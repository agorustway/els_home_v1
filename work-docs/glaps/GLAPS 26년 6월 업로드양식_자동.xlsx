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hoon\Desktop\els_home_v1\work-docs\glaps\"/>
    </mc:Choice>
  </mc:AlternateContent>
  <xr:revisionPtr revIDLastSave="0" documentId="13_ncr:1_{611BADBC-7555-4BFD-9E86-AC9A457F3877}" xr6:coauthVersionLast="47" xr6:coauthVersionMax="47" xr10:uidLastSave="{00000000-0000-0000-0000-000000000000}"/>
  <bookViews>
    <workbookView xWindow="-120" yWindow="-120" windowWidth="38640" windowHeight="21120" tabRatio="299" xr2:uid="{00000000-000D-0000-FFFF-FFFF00000000}"/>
  </bookViews>
  <sheets>
    <sheet name="ELS" sheetId="129" r:id="rId1"/>
    <sheet name="GLAPS컨테이너배차관리" sheetId="132" r:id="rId2"/>
    <sheet name="GLAPS정리" sheetId="121" r:id="rId3"/>
    <sheet name="CKD고객사코드" sheetId="131" r:id="rId4"/>
  </sheets>
  <definedNames>
    <definedName name="_xlnm._FilterDatabase" localSheetId="0" hidden="1">ELS!$B$2:$AA$890</definedName>
    <definedName name="_xlnm._FilterDatabase" localSheetId="2" hidden="1">GLAPS정리!$BG$1:$BP$95</definedName>
    <definedName name="_xlnm._FilterDatabase" localSheetId="1" hidden="1">GLAPS컨테이너배차관리!$A$1:$DX$1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3" i="129" l="1"/>
  <c r="BV40" i="129"/>
  <c r="BV7" i="129" l="1"/>
  <c r="AX889" i="129" l="1"/>
  <c r="AX888" i="129"/>
  <c r="AX887" i="129"/>
  <c r="AX886" i="129"/>
  <c r="AX885" i="129"/>
  <c r="AX884" i="129"/>
  <c r="AX883" i="129"/>
  <c r="AX882" i="129"/>
  <c r="AX881" i="129"/>
  <c r="AX880" i="129"/>
  <c r="AX879" i="129"/>
  <c r="AX878" i="129"/>
  <c r="AX877" i="129"/>
  <c r="AX876" i="129"/>
  <c r="AX875" i="129"/>
  <c r="AX874" i="129"/>
  <c r="AX873" i="129"/>
  <c r="AX872" i="129"/>
  <c r="AX871" i="129"/>
  <c r="AX870" i="129"/>
  <c r="AX869" i="129"/>
  <c r="AX868" i="129"/>
  <c r="AX867" i="129"/>
  <c r="AX866" i="129"/>
  <c r="AX865" i="129"/>
  <c r="AX864" i="129"/>
  <c r="AX863" i="129"/>
  <c r="AX862" i="129"/>
  <c r="AX861" i="129"/>
  <c r="AX860" i="129"/>
  <c r="AX859" i="129"/>
  <c r="AX858" i="129"/>
  <c r="AX857" i="129"/>
  <c r="AX856" i="129"/>
  <c r="AX855" i="129"/>
  <c r="AX854" i="129"/>
  <c r="AX853" i="129"/>
  <c r="AX852" i="129"/>
  <c r="AX851" i="129"/>
  <c r="AX850" i="129"/>
  <c r="AX849" i="129"/>
  <c r="AX848" i="129"/>
  <c r="AX847" i="129"/>
  <c r="AX846" i="129"/>
  <c r="AX845" i="129"/>
  <c r="AX844" i="129"/>
  <c r="AX843" i="129"/>
  <c r="AX842" i="129"/>
  <c r="AX841" i="129"/>
  <c r="AX840" i="129"/>
  <c r="AX839" i="129"/>
  <c r="AX838" i="129"/>
  <c r="AX837" i="129"/>
  <c r="AX836" i="129"/>
  <c r="AX835" i="129"/>
  <c r="AX834" i="129"/>
  <c r="AX833" i="129"/>
  <c r="AX832" i="129"/>
  <c r="AX831" i="129"/>
  <c r="AX830" i="129"/>
  <c r="AX829" i="129"/>
  <c r="AX828" i="129"/>
  <c r="AX827" i="129"/>
  <c r="AX826" i="129"/>
  <c r="AX825" i="129"/>
  <c r="AX824" i="129"/>
  <c r="AX823" i="129"/>
  <c r="AX822" i="129"/>
  <c r="AX821" i="129"/>
  <c r="AX820" i="129"/>
  <c r="AX819" i="129"/>
  <c r="AX818" i="129"/>
  <c r="AX817" i="129"/>
  <c r="AX816" i="129"/>
  <c r="AX815" i="129"/>
  <c r="AX814" i="129"/>
  <c r="AX813" i="129"/>
  <c r="AX812" i="129"/>
  <c r="AX811" i="129"/>
  <c r="AX810" i="129"/>
  <c r="AX809" i="129"/>
  <c r="AX808" i="129"/>
  <c r="AX807" i="129"/>
  <c r="AX806" i="129"/>
  <c r="AX805" i="129"/>
  <c r="AX804" i="129"/>
  <c r="AX803" i="129"/>
  <c r="AX802" i="129"/>
  <c r="AX801" i="129"/>
  <c r="AX800" i="129"/>
  <c r="AX799" i="129"/>
  <c r="AX798" i="129"/>
  <c r="AX797" i="129"/>
  <c r="AX796" i="129"/>
  <c r="AX795" i="129"/>
  <c r="AX794" i="129"/>
  <c r="AX793" i="129"/>
  <c r="AX792" i="129"/>
  <c r="AX791" i="129"/>
  <c r="AX790" i="129"/>
  <c r="AX789" i="129"/>
  <c r="AX788" i="129"/>
  <c r="AX787" i="129"/>
  <c r="AX786" i="129"/>
  <c r="AX785" i="129"/>
  <c r="AX784" i="129"/>
  <c r="AX783" i="129"/>
  <c r="AX782" i="129"/>
  <c r="AX781" i="129"/>
  <c r="AX780" i="129"/>
  <c r="AX779" i="129"/>
  <c r="AX778" i="129"/>
  <c r="AX777" i="129"/>
  <c r="AX776" i="129"/>
  <c r="AX775" i="129"/>
  <c r="AX774" i="129"/>
  <c r="AX773" i="129"/>
  <c r="AX772" i="129"/>
  <c r="AX771" i="129"/>
  <c r="AX770" i="129"/>
  <c r="AX769" i="129"/>
  <c r="AX768" i="129"/>
  <c r="AX767" i="129"/>
  <c r="AX766" i="129"/>
  <c r="AX765" i="129"/>
  <c r="AX764" i="129"/>
  <c r="AX763" i="129"/>
  <c r="AX762" i="129"/>
  <c r="AX761" i="129"/>
  <c r="AX760" i="129"/>
  <c r="AX759" i="129"/>
  <c r="AX758" i="129"/>
  <c r="AX757" i="129"/>
  <c r="AX756" i="129"/>
  <c r="AX755" i="129"/>
  <c r="AX754" i="129"/>
  <c r="AX753" i="129"/>
  <c r="AX752" i="129"/>
  <c r="AX751" i="129"/>
  <c r="AX750" i="129"/>
  <c r="AX749" i="129"/>
  <c r="AX748" i="129"/>
  <c r="AX747" i="129"/>
  <c r="AX746" i="129"/>
  <c r="AX745" i="129"/>
  <c r="AX744" i="129"/>
  <c r="AX743" i="129"/>
  <c r="AX742" i="129"/>
  <c r="AX741" i="129"/>
  <c r="AX740" i="129"/>
  <c r="AX739" i="129"/>
  <c r="AX738" i="129"/>
  <c r="AX737" i="129"/>
  <c r="AX736" i="129"/>
  <c r="AX735" i="129"/>
  <c r="AX734" i="129"/>
  <c r="AX733" i="129"/>
  <c r="AX732" i="129"/>
  <c r="AX731" i="129"/>
  <c r="AX730" i="129"/>
  <c r="AX729" i="129"/>
  <c r="AX728" i="129"/>
  <c r="AX727" i="129"/>
  <c r="AX726" i="129"/>
  <c r="AX725" i="129"/>
  <c r="AX724" i="129"/>
  <c r="AX723" i="129"/>
  <c r="AX722" i="129"/>
  <c r="AX721" i="129"/>
  <c r="AX720" i="129"/>
  <c r="AX719" i="129"/>
  <c r="AX718" i="129"/>
  <c r="AX717" i="129"/>
  <c r="AX716" i="129"/>
  <c r="AX715" i="129"/>
  <c r="AX714" i="129"/>
  <c r="AX713" i="129"/>
  <c r="AX712" i="129"/>
  <c r="AX711" i="129"/>
  <c r="AX710" i="129"/>
  <c r="AX709" i="129"/>
  <c r="AX708" i="129"/>
  <c r="AX707" i="129"/>
  <c r="AX706" i="129"/>
  <c r="AX705" i="129"/>
  <c r="AX704" i="129"/>
  <c r="AX703" i="129"/>
  <c r="AX702" i="129"/>
  <c r="AX701" i="129"/>
  <c r="AX700" i="129"/>
  <c r="AX699" i="129"/>
  <c r="AX698" i="129"/>
  <c r="AX697" i="129"/>
  <c r="AX696" i="129"/>
  <c r="AX695" i="129"/>
  <c r="AX694" i="129"/>
  <c r="AX693" i="129"/>
  <c r="AX692" i="129"/>
  <c r="AX691" i="129"/>
  <c r="AX690" i="129"/>
  <c r="AX689" i="129"/>
  <c r="AX688" i="129"/>
  <c r="AX687" i="129"/>
  <c r="AX686" i="129"/>
  <c r="AX685" i="129"/>
  <c r="AX684" i="129"/>
  <c r="AX683" i="129"/>
  <c r="AX682" i="129"/>
  <c r="AX681" i="129"/>
  <c r="AX680" i="129"/>
  <c r="AX679" i="129"/>
  <c r="AX678" i="129"/>
  <c r="AX677" i="129"/>
  <c r="AX676" i="129"/>
  <c r="AX675" i="129"/>
  <c r="AX674" i="129"/>
  <c r="AX673" i="129"/>
  <c r="AX672" i="129"/>
  <c r="AX671" i="129"/>
  <c r="AX670" i="129"/>
  <c r="AX669" i="129"/>
  <c r="AX668" i="129"/>
  <c r="AX667" i="129"/>
  <c r="AX666" i="129"/>
  <c r="AX665" i="129"/>
  <c r="AX664" i="129"/>
  <c r="AX663" i="129"/>
  <c r="AX662" i="129"/>
  <c r="AX661" i="129"/>
  <c r="AX660" i="129"/>
  <c r="AX659" i="129"/>
  <c r="AX658" i="129"/>
  <c r="AX657" i="129"/>
  <c r="AX656" i="129"/>
  <c r="AX655" i="129"/>
  <c r="AX654" i="129"/>
  <c r="AX653" i="129"/>
  <c r="AX652" i="129"/>
  <c r="AX651" i="129"/>
  <c r="AX650" i="129"/>
  <c r="AX649" i="129"/>
  <c r="AX648" i="129"/>
  <c r="AX647" i="129"/>
  <c r="AX646" i="129"/>
  <c r="AX645" i="129"/>
  <c r="AX644" i="129"/>
  <c r="AX643" i="129"/>
  <c r="AX642" i="129"/>
  <c r="AX641" i="129"/>
  <c r="AX640" i="129"/>
  <c r="AX639" i="129"/>
  <c r="AX638" i="129"/>
  <c r="AX637" i="129"/>
  <c r="AX636" i="129"/>
  <c r="AX635" i="129"/>
  <c r="AX634" i="129"/>
  <c r="AX633" i="129"/>
  <c r="AX632" i="129"/>
  <c r="AX631" i="129"/>
  <c r="AX630" i="129"/>
  <c r="AX629" i="129"/>
  <c r="AX628" i="129"/>
  <c r="AX627" i="129"/>
  <c r="AX626" i="129"/>
  <c r="AX625" i="129"/>
  <c r="AX624" i="129"/>
  <c r="AX623" i="129"/>
  <c r="AX622" i="129"/>
  <c r="AX621" i="129"/>
  <c r="AX620" i="129"/>
  <c r="AX619" i="129"/>
  <c r="AX618" i="129"/>
  <c r="AX617" i="129"/>
  <c r="AX616" i="129"/>
  <c r="AX615" i="129"/>
  <c r="AX614" i="129"/>
  <c r="AX613" i="129"/>
  <c r="AX612" i="129"/>
  <c r="AX611" i="129"/>
  <c r="AX610" i="129"/>
  <c r="AX609" i="129"/>
  <c r="AX608" i="129"/>
  <c r="AX607" i="129"/>
  <c r="AX606" i="129"/>
  <c r="AX605" i="129"/>
  <c r="AX604" i="129"/>
  <c r="AX603" i="129"/>
  <c r="AX602" i="129"/>
  <c r="AX601" i="129"/>
  <c r="AX600" i="129"/>
  <c r="AX599" i="129"/>
  <c r="AX598" i="129"/>
  <c r="AX597" i="129"/>
  <c r="AX596" i="129"/>
  <c r="AX595" i="129"/>
  <c r="AX594" i="129"/>
  <c r="AX593" i="129"/>
  <c r="AX592" i="129"/>
  <c r="AX591" i="129"/>
  <c r="AX590" i="129"/>
  <c r="AX589" i="129"/>
  <c r="AX588" i="129"/>
  <c r="AX587" i="129"/>
  <c r="AX586" i="129"/>
  <c r="AX585" i="129"/>
  <c r="AX584" i="129"/>
  <c r="AX583" i="129"/>
  <c r="AX582" i="129"/>
  <c r="AX581" i="129"/>
  <c r="AX580" i="129"/>
  <c r="AX579" i="129"/>
  <c r="AX578" i="129"/>
  <c r="AX577" i="129"/>
  <c r="AX576" i="129"/>
  <c r="AX575" i="129"/>
  <c r="AX574" i="129"/>
  <c r="AX573" i="129"/>
  <c r="AX572" i="129"/>
  <c r="AX571" i="129"/>
  <c r="AX570" i="129"/>
  <c r="AX569" i="129"/>
  <c r="AX568" i="129"/>
  <c r="AX567" i="129"/>
  <c r="AX566" i="129"/>
  <c r="AX565" i="129"/>
  <c r="AX564" i="129"/>
  <c r="AX563" i="129"/>
  <c r="AX562" i="129"/>
  <c r="AX561" i="129"/>
  <c r="AX560" i="129"/>
  <c r="AX559" i="129"/>
  <c r="AX558" i="129"/>
  <c r="AX557" i="129"/>
  <c r="AX556" i="129"/>
  <c r="AX555" i="129"/>
  <c r="AX554" i="129"/>
  <c r="AX553" i="129"/>
  <c r="AX552" i="129"/>
  <c r="AX551" i="129"/>
  <c r="AX550" i="129"/>
  <c r="AX549" i="129"/>
  <c r="AX548" i="129"/>
  <c r="AX547" i="129"/>
  <c r="AX546" i="129"/>
  <c r="AX545" i="129"/>
  <c r="AX544" i="129"/>
  <c r="AX543" i="129"/>
  <c r="AX542" i="129"/>
  <c r="AX541" i="129"/>
  <c r="AX540" i="129"/>
  <c r="AX539" i="129"/>
  <c r="AX538" i="129"/>
  <c r="AX537" i="129"/>
  <c r="AX536" i="129"/>
  <c r="AX535" i="129"/>
  <c r="AX534" i="129"/>
  <c r="AX533" i="129"/>
  <c r="AX532" i="129"/>
  <c r="AX531" i="129"/>
  <c r="AX530" i="129"/>
  <c r="AX529" i="129"/>
  <c r="AX528" i="129"/>
  <c r="AX527" i="129"/>
  <c r="AX526" i="129"/>
  <c r="AX525" i="129"/>
  <c r="AX524" i="129"/>
  <c r="AX523" i="129"/>
  <c r="AX522" i="129"/>
  <c r="AX521" i="129"/>
  <c r="AX520" i="129"/>
  <c r="AX519" i="129"/>
  <c r="AX518" i="129"/>
  <c r="AX517" i="129"/>
  <c r="AX516" i="129"/>
  <c r="AX515" i="129"/>
  <c r="AX514" i="129"/>
  <c r="AX513" i="129"/>
  <c r="AX512" i="129"/>
  <c r="AX511" i="129"/>
  <c r="AX510" i="129"/>
  <c r="AX509" i="129"/>
  <c r="AX508" i="129"/>
  <c r="AX507" i="129"/>
  <c r="AX506" i="129"/>
  <c r="AX505" i="129"/>
  <c r="AX504" i="129"/>
  <c r="AX503" i="129"/>
  <c r="AX502" i="129"/>
  <c r="AX501" i="129"/>
  <c r="AX500" i="129"/>
  <c r="AX499" i="129"/>
  <c r="AX498" i="129"/>
  <c r="AX497" i="129"/>
  <c r="AX496" i="129"/>
  <c r="AX495" i="129"/>
  <c r="AX494" i="129"/>
  <c r="AX493" i="129"/>
  <c r="AX492" i="129"/>
  <c r="AX491" i="129"/>
  <c r="AX490" i="129"/>
  <c r="AX489" i="129"/>
  <c r="AX488" i="129"/>
  <c r="AX487" i="129"/>
  <c r="AX486" i="129"/>
  <c r="AX485" i="129"/>
  <c r="AX484" i="129"/>
  <c r="AX483" i="129"/>
  <c r="AX482" i="129"/>
  <c r="AX481" i="129"/>
  <c r="AX480" i="129"/>
  <c r="AX479" i="129"/>
  <c r="AX478" i="129"/>
  <c r="AX477" i="129"/>
  <c r="AX476" i="129"/>
  <c r="AX475" i="129"/>
  <c r="AX474" i="129"/>
  <c r="AX473" i="129"/>
  <c r="AX472" i="129"/>
  <c r="AX471" i="129"/>
  <c r="AX470" i="129"/>
  <c r="AX469" i="129"/>
  <c r="AX468" i="129"/>
  <c r="AX467" i="129"/>
  <c r="AX466" i="129"/>
  <c r="AX465" i="129"/>
  <c r="AX464" i="129"/>
  <c r="AX463" i="129"/>
  <c r="AX462" i="129"/>
  <c r="AX461" i="129"/>
  <c r="AX460" i="129"/>
  <c r="AX459" i="129"/>
  <c r="AX458" i="129"/>
  <c r="AX457" i="129"/>
  <c r="AX456" i="129"/>
  <c r="AX455" i="129"/>
  <c r="AX454" i="129"/>
  <c r="AX453" i="129"/>
  <c r="AX452" i="129"/>
  <c r="AX451" i="129"/>
  <c r="AX450" i="129"/>
  <c r="AX449" i="129"/>
  <c r="AX448" i="129"/>
  <c r="AX447" i="129"/>
  <c r="AX446" i="129"/>
  <c r="AX445" i="129"/>
  <c r="AX444" i="129"/>
  <c r="AX443" i="129"/>
  <c r="AX442" i="129"/>
  <c r="AX441" i="129"/>
  <c r="AX440" i="129"/>
  <c r="AX439" i="129"/>
  <c r="AX438" i="129"/>
  <c r="AX437" i="129"/>
  <c r="AX436" i="129"/>
  <c r="AX435" i="129"/>
  <c r="AX434" i="129"/>
  <c r="AX433" i="129"/>
  <c r="AX432" i="129"/>
  <c r="AX431" i="129"/>
  <c r="AX430" i="129"/>
  <c r="AX429" i="129"/>
  <c r="AX428" i="129"/>
  <c r="AX427" i="129"/>
  <c r="AX426" i="129"/>
  <c r="AX425" i="129"/>
  <c r="AX424" i="129"/>
  <c r="AX423" i="129"/>
  <c r="AX422" i="129"/>
  <c r="AX421" i="129"/>
  <c r="AX420" i="129"/>
  <c r="AX419" i="129"/>
  <c r="AX418" i="129"/>
  <c r="AX417" i="129"/>
  <c r="AX416" i="129"/>
  <c r="AX415" i="129"/>
  <c r="AX414" i="129"/>
  <c r="AX413" i="129"/>
  <c r="AX412" i="129"/>
  <c r="AX411" i="129"/>
  <c r="AX410" i="129"/>
  <c r="AX409" i="129"/>
  <c r="AX408" i="129"/>
  <c r="AX407" i="129"/>
  <c r="AX406" i="129"/>
  <c r="AX405" i="129"/>
  <c r="AX404" i="129"/>
  <c r="AX403" i="129"/>
  <c r="AX402" i="129"/>
  <c r="AX401" i="129"/>
  <c r="AX400" i="129"/>
  <c r="AX399" i="129"/>
  <c r="AX398" i="129"/>
  <c r="AX397" i="129"/>
  <c r="AX396" i="129"/>
  <c r="AX395" i="129"/>
  <c r="AX394" i="129"/>
  <c r="AX393" i="129"/>
  <c r="AX392" i="129"/>
  <c r="AX391" i="129"/>
  <c r="AX390" i="129"/>
  <c r="AX389" i="129"/>
  <c r="AX388" i="129"/>
  <c r="AX387" i="129"/>
  <c r="AX386" i="129"/>
  <c r="AX385" i="129"/>
  <c r="AX384" i="129"/>
  <c r="AX383" i="129"/>
  <c r="AX382" i="129"/>
  <c r="AX381" i="129"/>
  <c r="AX380" i="129"/>
  <c r="AX379" i="129"/>
  <c r="AX378" i="129"/>
  <c r="AX377" i="129"/>
  <c r="AX376" i="129"/>
  <c r="AX375" i="129"/>
  <c r="AX374" i="129"/>
  <c r="AX373" i="129"/>
  <c r="AX372" i="129"/>
  <c r="AX371" i="129"/>
  <c r="AX370" i="129"/>
  <c r="AX369" i="129"/>
  <c r="AX368" i="129"/>
  <c r="AX367" i="129"/>
  <c r="AX366" i="129"/>
  <c r="AX365" i="129"/>
  <c r="AX364" i="129"/>
  <c r="AX363" i="129"/>
  <c r="AX362" i="129"/>
  <c r="AX361" i="129"/>
  <c r="AX360" i="129"/>
  <c r="AX359" i="129"/>
  <c r="AX358" i="129"/>
  <c r="AX357" i="129"/>
  <c r="AX356" i="129"/>
  <c r="AX355" i="129"/>
  <c r="AX354" i="129"/>
  <c r="AX353" i="129"/>
  <c r="AX352" i="129"/>
  <c r="AX351" i="129"/>
  <c r="AX350" i="129"/>
  <c r="AX349" i="129"/>
  <c r="AX348" i="129"/>
  <c r="AX347" i="129"/>
  <c r="AX346" i="129"/>
  <c r="AX345" i="129"/>
  <c r="AX344" i="129"/>
  <c r="AX343" i="129"/>
  <c r="AX342" i="129"/>
  <c r="AX341" i="129"/>
  <c r="AX340" i="129"/>
  <c r="AX339" i="129"/>
  <c r="AX338" i="129"/>
  <c r="AX337" i="129"/>
  <c r="AX336" i="129"/>
  <c r="AX335" i="129"/>
  <c r="AX334" i="129"/>
  <c r="AX333" i="129"/>
  <c r="AX332" i="129"/>
  <c r="AX331" i="129"/>
  <c r="AX330" i="129"/>
  <c r="AX329" i="129"/>
  <c r="AX328" i="129"/>
  <c r="AX327" i="129"/>
  <c r="AX326" i="129"/>
  <c r="AX325" i="129"/>
  <c r="AX324" i="129"/>
  <c r="AX323" i="129"/>
  <c r="AX322" i="129"/>
  <c r="AX321" i="129"/>
  <c r="AX320" i="129"/>
  <c r="AX319" i="129"/>
  <c r="AX318" i="129"/>
  <c r="AX317" i="129"/>
  <c r="AX316" i="129"/>
  <c r="AX315" i="129"/>
  <c r="AX314" i="129"/>
  <c r="AX313" i="129"/>
  <c r="AX312" i="129"/>
  <c r="AX311" i="129"/>
  <c r="AX310" i="129"/>
  <c r="AX309" i="129"/>
  <c r="AX308" i="129"/>
  <c r="AX307" i="129"/>
  <c r="AX306" i="129"/>
  <c r="AX305" i="129"/>
  <c r="AX304" i="129"/>
  <c r="AX303" i="129"/>
  <c r="AX302" i="129"/>
  <c r="AX301" i="129"/>
  <c r="AX300" i="129"/>
  <c r="AX299" i="129"/>
  <c r="AX298" i="129"/>
  <c r="AX297" i="129"/>
  <c r="AX296" i="129"/>
  <c r="AX295" i="129"/>
  <c r="AX294" i="129"/>
  <c r="AX293" i="129"/>
  <c r="AX292" i="129"/>
  <c r="AX291" i="129"/>
  <c r="AX290" i="129"/>
  <c r="AX289" i="129"/>
  <c r="AX288" i="129"/>
  <c r="AX287" i="129"/>
  <c r="AX286" i="129"/>
  <c r="AX285" i="129"/>
  <c r="AX284" i="129"/>
  <c r="AX283" i="129"/>
  <c r="AX282" i="129"/>
  <c r="AX281" i="129"/>
  <c r="AX280" i="129"/>
  <c r="AX279" i="129"/>
  <c r="AX278" i="129"/>
  <c r="AX277" i="129"/>
  <c r="AX276" i="129"/>
  <c r="AX275" i="129"/>
  <c r="AX274" i="129"/>
  <c r="AX273" i="129"/>
  <c r="AX272" i="129"/>
  <c r="AX271" i="129"/>
  <c r="AX270" i="129"/>
  <c r="AX269" i="129"/>
  <c r="AX268" i="129"/>
  <c r="AX267" i="129"/>
  <c r="AX266" i="129"/>
  <c r="AX265" i="129"/>
  <c r="AX264" i="129"/>
  <c r="AX263" i="129"/>
  <c r="AX262" i="129"/>
  <c r="AX261" i="129"/>
  <c r="AX260" i="129"/>
  <c r="AX259" i="129"/>
  <c r="AX258" i="129"/>
  <c r="AX257" i="129"/>
  <c r="AX256" i="129"/>
  <c r="AX255" i="129"/>
  <c r="AX254" i="129"/>
  <c r="AX253" i="129"/>
  <c r="AX252" i="129"/>
  <c r="AX251" i="129"/>
  <c r="AX250" i="129"/>
  <c r="AX249" i="129"/>
  <c r="AX248" i="129"/>
  <c r="AX247" i="129"/>
  <c r="AX246" i="129"/>
  <c r="AX245" i="129"/>
  <c r="AX244" i="129"/>
  <c r="AX243" i="129"/>
  <c r="AX242" i="129"/>
  <c r="AX241" i="129"/>
  <c r="AX240" i="129"/>
  <c r="AX239" i="129"/>
  <c r="AX238" i="129"/>
  <c r="AX237" i="129"/>
  <c r="AX236" i="129"/>
  <c r="AX235" i="129"/>
  <c r="AX234" i="129"/>
  <c r="AX233" i="129"/>
  <c r="AX232" i="129"/>
  <c r="AX231" i="129"/>
  <c r="AX230" i="129"/>
  <c r="AX229" i="129"/>
  <c r="AX228" i="129"/>
  <c r="AX227" i="129"/>
  <c r="AX226" i="129"/>
  <c r="AX225" i="129"/>
  <c r="AX224" i="129"/>
  <c r="AX223" i="129"/>
  <c r="AX222" i="129"/>
  <c r="AX221" i="129"/>
  <c r="AX220" i="129"/>
  <c r="AX219" i="129"/>
  <c r="AX218" i="129"/>
  <c r="AX217" i="129"/>
  <c r="AX216" i="129"/>
  <c r="AX215" i="129"/>
  <c r="AX214" i="129"/>
  <c r="AX213" i="129"/>
  <c r="AX212" i="129"/>
  <c r="AX211" i="129"/>
  <c r="AX210" i="129"/>
  <c r="AX209" i="129"/>
  <c r="AX208" i="129"/>
  <c r="AX207" i="129"/>
  <c r="AX206" i="129"/>
  <c r="AX205" i="129"/>
  <c r="AX204" i="129"/>
  <c r="AX203" i="129"/>
  <c r="AX202" i="129"/>
  <c r="AX201" i="129"/>
  <c r="AX200" i="129"/>
  <c r="AX199" i="129"/>
  <c r="AX198" i="129"/>
  <c r="AX197" i="129"/>
  <c r="AX196" i="129"/>
  <c r="AX195" i="129"/>
  <c r="AX194" i="129"/>
  <c r="AX193" i="129"/>
  <c r="AX192" i="129"/>
  <c r="AX191" i="129"/>
  <c r="AX190" i="129"/>
  <c r="AX189" i="129"/>
  <c r="AX188" i="129"/>
  <c r="AX187" i="129"/>
  <c r="AX186" i="129"/>
  <c r="AX185" i="129"/>
  <c r="AX184" i="129"/>
  <c r="AX183" i="129"/>
  <c r="AX182" i="129"/>
  <c r="AX181" i="129"/>
  <c r="AX180" i="129"/>
  <c r="AX179" i="129"/>
  <c r="AX178" i="129"/>
  <c r="AX177" i="129"/>
  <c r="AX176" i="129"/>
  <c r="AX175" i="129"/>
  <c r="AX174" i="129"/>
  <c r="AX173" i="129"/>
  <c r="AX172" i="129"/>
  <c r="AX171" i="129"/>
  <c r="AX170" i="129"/>
  <c r="AX169" i="129"/>
  <c r="AX168" i="129"/>
  <c r="AX167" i="129"/>
  <c r="AX166" i="129"/>
  <c r="AX165" i="129"/>
  <c r="AX164" i="129"/>
  <c r="AX163" i="129"/>
  <c r="AX162" i="129"/>
  <c r="AX161" i="129"/>
  <c r="AX160" i="129"/>
  <c r="AX159" i="129"/>
  <c r="AX158" i="129"/>
  <c r="AX157" i="129"/>
  <c r="AX156" i="129"/>
  <c r="AX155" i="129"/>
  <c r="AX154" i="129"/>
  <c r="AX153" i="129"/>
  <c r="AX152" i="129"/>
  <c r="AX151" i="129"/>
  <c r="AX150" i="129"/>
  <c r="AX149" i="129"/>
  <c r="AX148" i="129"/>
  <c r="AX147" i="129"/>
  <c r="AX146" i="129"/>
  <c r="AX145" i="129"/>
  <c r="AX144" i="129"/>
  <c r="AX143" i="129"/>
  <c r="AX142" i="129"/>
  <c r="AX141" i="129"/>
  <c r="AX140" i="129"/>
  <c r="AX139" i="129"/>
  <c r="AX138" i="129"/>
  <c r="AX137" i="129"/>
  <c r="AX136" i="129"/>
  <c r="AX135" i="129"/>
  <c r="AX134" i="129"/>
  <c r="AX133" i="129"/>
  <c r="AX132" i="129"/>
  <c r="AX131" i="129"/>
  <c r="AX130" i="129"/>
  <c r="AX129" i="129"/>
  <c r="AX128" i="129"/>
  <c r="AX127" i="129"/>
  <c r="AX126" i="129"/>
  <c r="AX125" i="129"/>
  <c r="AX124" i="129"/>
  <c r="AX123" i="129"/>
  <c r="AX122" i="129"/>
  <c r="AX121" i="129"/>
  <c r="AX120" i="129"/>
  <c r="AX119" i="129"/>
  <c r="AX118" i="129"/>
  <c r="AX117" i="129"/>
  <c r="AX116" i="129"/>
  <c r="AX115" i="129"/>
  <c r="AX114" i="129"/>
  <c r="AX113" i="129"/>
  <c r="AX112" i="129"/>
  <c r="AX111" i="129"/>
  <c r="AX110" i="129"/>
  <c r="AX109" i="129"/>
  <c r="AX108" i="129"/>
  <c r="AX107" i="129"/>
  <c r="AX106" i="129"/>
  <c r="AX105" i="129"/>
  <c r="AX104" i="129"/>
  <c r="AX103" i="129"/>
  <c r="AX102" i="129"/>
  <c r="AX101" i="129"/>
  <c r="AX100" i="129"/>
  <c r="AX99" i="129"/>
  <c r="AX98" i="129"/>
  <c r="AX97" i="129"/>
  <c r="AX96" i="129"/>
  <c r="AX95" i="129"/>
  <c r="AX94" i="129"/>
  <c r="AX93" i="129"/>
  <c r="AX92" i="129"/>
  <c r="AX91" i="129"/>
  <c r="AX90" i="129"/>
  <c r="AX89" i="129"/>
  <c r="AX88" i="129"/>
  <c r="AX87" i="129"/>
  <c r="AX86" i="129"/>
  <c r="AX85" i="129"/>
  <c r="AX84" i="129"/>
  <c r="AX83" i="129"/>
  <c r="AX82" i="129"/>
  <c r="AX81" i="129"/>
  <c r="AX80" i="129"/>
  <c r="AX79" i="129"/>
  <c r="AX78" i="129"/>
  <c r="AX77" i="129"/>
  <c r="AX76" i="129"/>
  <c r="AX75" i="129"/>
  <c r="AX74" i="129"/>
  <c r="AX73" i="129"/>
  <c r="AX72" i="129"/>
  <c r="AX71" i="129"/>
  <c r="AX70" i="129"/>
  <c r="AX69" i="129"/>
  <c r="AX68" i="129"/>
  <c r="AX67" i="129"/>
  <c r="AX66" i="129"/>
  <c r="AX65" i="129"/>
  <c r="AX64" i="129"/>
  <c r="AX63" i="129"/>
  <c r="AX62" i="129"/>
  <c r="AX61" i="129"/>
  <c r="AX60" i="129"/>
  <c r="AX59" i="129"/>
  <c r="AX58" i="129"/>
  <c r="AX57" i="129"/>
  <c r="AX56" i="129"/>
  <c r="AX55" i="129"/>
  <c r="AX54" i="129"/>
  <c r="AX53" i="129"/>
  <c r="AX52" i="129"/>
  <c r="AX51" i="129"/>
  <c r="AX50" i="129"/>
  <c r="AX49" i="129"/>
  <c r="AX48" i="129"/>
  <c r="AX47" i="129"/>
  <c r="AX46" i="129"/>
  <c r="AX45" i="129"/>
  <c r="AX44" i="129"/>
  <c r="AX43" i="129"/>
  <c r="AX42" i="129"/>
  <c r="AX41" i="129"/>
  <c r="AX40" i="129"/>
  <c r="AX39" i="129"/>
  <c r="AX38" i="129"/>
  <c r="AX37" i="129"/>
  <c r="AX36" i="129"/>
  <c r="AX35" i="129"/>
  <c r="AX34" i="129"/>
  <c r="AX33" i="129"/>
  <c r="AX32" i="129"/>
  <c r="AX31" i="129"/>
  <c r="AX30" i="129"/>
  <c r="AX29" i="129"/>
  <c r="AX28" i="129"/>
  <c r="AX27" i="129"/>
  <c r="AX26" i="129"/>
  <c r="AX25" i="129"/>
  <c r="AX24" i="129"/>
  <c r="AX23" i="129"/>
  <c r="AX22" i="129"/>
  <c r="AX21" i="129"/>
  <c r="AX20" i="129"/>
  <c r="AX19" i="129"/>
  <c r="AX18" i="129"/>
  <c r="AX17" i="129"/>
  <c r="AX16" i="129"/>
  <c r="AX15" i="129"/>
  <c r="AX14" i="129"/>
  <c r="AX13" i="129"/>
  <c r="AX12" i="129"/>
  <c r="AX11" i="129"/>
  <c r="AX10" i="129"/>
  <c r="AX9" i="129"/>
  <c r="AX8" i="129"/>
  <c r="AX7" i="129"/>
  <c r="AX6" i="129"/>
  <c r="AX5" i="129"/>
  <c r="AX4" i="129"/>
  <c r="AX3" i="129"/>
  <c r="AX890" i="129"/>
  <c r="BW3" i="129" l="1"/>
  <c r="AJ890" i="129" l="1"/>
  <c r="AJ889" i="129"/>
  <c r="AJ888" i="129"/>
  <c r="AJ887" i="129"/>
  <c r="AJ886" i="129"/>
  <c r="AJ885" i="129"/>
  <c r="AJ884" i="129"/>
  <c r="AJ883" i="129"/>
  <c r="AJ882" i="129"/>
  <c r="AJ881" i="129"/>
  <c r="AJ880" i="129"/>
  <c r="AJ879" i="129"/>
  <c r="AJ878" i="129"/>
  <c r="AJ877" i="129"/>
  <c r="AJ876" i="129"/>
  <c r="AJ875" i="129"/>
  <c r="AJ874" i="129"/>
  <c r="AJ873" i="129"/>
  <c r="AJ872" i="129"/>
  <c r="AJ871" i="129"/>
  <c r="AJ870" i="129"/>
  <c r="AJ869" i="129"/>
  <c r="AJ868" i="129"/>
  <c r="AJ867" i="129"/>
  <c r="AJ866" i="129"/>
  <c r="AJ865" i="129"/>
  <c r="AJ864" i="129"/>
  <c r="AJ863" i="129"/>
  <c r="AJ862" i="129"/>
  <c r="AJ861" i="129"/>
  <c r="AJ860" i="129"/>
  <c r="AJ859" i="129"/>
  <c r="AJ858" i="129"/>
  <c r="AJ857" i="129"/>
  <c r="AJ856" i="129"/>
  <c r="AJ855" i="129"/>
  <c r="AJ854" i="129"/>
  <c r="AJ853" i="129"/>
  <c r="AJ852" i="129"/>
  <c r="AJ851" i="129"/>
  <c r="AJ850" i="129"/>
  <c r="AJ849" i="129"/>
  <c r="AJ848" i="129"/>
  <c r="AJ847" i="129"/>
  <c r="AJ846" i="129"/>
  <c r="AJ845" i="129"/>
  <c r="AJ844" i="129"/>
  <c r="AJ843" i="129"/>
  <c r="AJ842" i="129"/>
  <c r="AJ841" i="129"/>
  <c r="AJ840" i="129"/>
  <c r="AJ839" i="129"/>
  <c r="AJ838" i="129"/>
  <c r="AJ837" i="129"/>
  <c r="AJ836" i="129"/>
  <c r="AJ835" i="129"/>
  <c r="AJ834" i="129"/>
  <c r="AJ833" i="129"/>
  <c r="AJ832" i="129"/>
  <c r="AJ831" i="129"/>
  <c r="AJ830" i="129"/>
  <c r="AJ829" i="129"/>
  <c r="AJ828" i="129"/>
  <c r="AJ827" i="129"/>
  <c r="AJ826" i="129"/>
  <c r="AJ825" i="129"/>
  <c r="AJ824" i="129"/>
  <c r="AJ823" i="129"/>
  <c r="AJ822" i="129"/>
  <c r="AJ821" i="129"/>
  <c r="AJ820" i="129"/>
  <c r="AJ819" i="129"/>
  <c r="AJ818" i="129"/>
  <c r="AJ817" i="129"/>
  <c r="AJ816" i="129"/>
  <c r="AJ815" i="129"/>
  <c r="AJ814" i="129"/>
  <c r="AJ813" i="129"/>
  <c r="AJ812" i="129"/>
  <c r="AJ811" i="129"/>
  <c r="AJ810" i="129"/>
  <c r="AJ809" i="129"/>
  <c r="AJ808" i="129"/>
  <c r="AJ807" i="129"/>
  <c r="AJ806" i="129"/>
  <c r="AJ805" i="129"/>
  <c r="AJ804" i="129"/>
  <c r="AJ803" i="129"/>
  <c r="AJ802" i="129"/>
  <c r="AJ801" i="129"/>
  <c r="AJ800" i="129"/>
  <c r="AJ799" i="129"/>
  <c r="AJ798" i="129"/>
  <c r="AJ797" i="129"/>
  <c r="AJ796" i="129"/>
  <c r="AJ795" i="129"/>
  <c r="AJ794" i="129"/>
  <c r="AJ793" i="129"/>
  <c r="AJ792" i="129"/>
  <c r="AJ791" i="129"/>
  <c r="AJ790" i="129"/>
  <c r="AJ789" i="129"/>
  <c r="AJ788" i="129"/>
  <c r="AJ787" i="129"/>
  <c r="AJ786" i="129"/>
  <c r="AJ785" i="129"/>
  <c r="AJ784" i="129"/>
  <c r="AJ783" i="129"/>
  <c r="AJ782" i="129"/>
  <c r="AJ781" i="129"/>
  <c r="AJ780" i="129"/>
  <c r="AJ779" i="129"/>
  <c r="AJ778" i="129"/>
  <c r="AJ777" i="129"/>
  <c r="AJ776" i="129"/>
  <c r="AJ775" i="129"/>
  <c r="AJ774" i="129"/>
  <c r="AJ773" i="129"/>
  <c r="AJ772" i="129"/>
  <c r="AJ771" i="129"/>
  <c r="AJ770" i="129"/>
  <c r="AJ769" i="129"/>
  <c r="AJ768" i="129"/>
  <c r="AJ767" i="129"/>
  <c r="AJ766" i="129"/>
  <c r="AJ765" i="129"/>
  <c r="AJ764" i="129"/>
  <c r="AJ763" i="129"/>
  <c r="AJ762" i="129"/>
  <c r="AJ761" i="129"/>
  <c r="AJ760" i="129"/>
  <c r="AJ759" i="129"/>
  <c r="AJ758" i="129"/>
  <c r="AJ757" i="129"/>
  <c r="AJ756" i="129"/>
  <c r="AJ755" i="129"/>
  <c r="AJ754" i="129"/>
  <c r="AJ753" i="129"/>
  <c r="AJ752" i="129"/>
  <c r="AJ751" i="129"/>
  <c r="AJ750" i="129"/>
  <c r="AJ749" i="129"/>
  <c r="AJ748" i="129"/>
  <c r="AJ747" i="129"/>
  <c r="AJ746" i="129"/>
  <c r="AJ745" i="129"/>
  <c r="AJ744" i="129"/>
  <c r="AJ743" i="129"/>
  <c r="AJ742" i="129"/>
  <c r="AJ741" i="129"/>
  <c r="AJ740" i="129"/>
  <c r="AJ739" i="129"/>
  <c r="AJ738" i="129"/>
  <c r="AJ737" i="129"/>
  <c r="AJ736" i="129"/>
  <c r="AJ735" i="129"/>
  <c r="AJ734" i="129"/>
  <c r="AJ733" i="129"/>
  <c r="AJ732" i="129"/>
  <c r="AJ731" i="129"/>
  <c r="AJ730" i="129"/>
  <c r="AJ729" i="129"/>
  <c r="AJ728" i="129"/>
  <c r="AJ727" i="129"/>
  <c r="AJ726" i="129"/>
  <c r="AJ725" i="129"/>
  <c r="AJ724" i="129"/>
  <c r="AJ723" i="129"/>
  <c r="AJ722" i="129"/>
  <c r="AJ721" i="129"/>
  <c r="AJ720" i="129"/>
  <c r="AJ719" i="129"/>
  <c r="AJ718" i="129"/>
  <c r="AJ717" i="129"/>
  <c r="AJ716" i="129"/>
  <c r="AJ715" i="129"/>
  <c r="AJ714" i="129"/>
  <c r="AJ713" i="129"/>
  <c r="AJ712" i="129"/>
  <c r="AJ711" i="129"/>
  <c r="AJ710" i="129"/>
  <c r="AJ709" i="129"/>
  <c r="AJ708" i="129"/>
  <c r="AJ707" i="129"/>
  <c r="AJ706" i="129"/>
  <c r="AJ705" i="129"/>
  <c r="AJ704" i="129"/>
  <c r="AJ703" i="129"/>
  <c r="AJ702" i="129"/>
  <c r="AJ701" i="129"/>
  <c r="AJ700" i="129"/>
  <c r="AJ699" i="129"/>
  <c r="AJ698" i="129"/>
  <c r="AJ697" i="129"/>
  <c r="AJ696" i="129"/>
  <c r="AJ695" i="129"/>
  <c r="AJ694" i="129"/>
  <c r="AJ693" i="129"/>
  <c r="AJ692" i="129"/>
  <c r="AJ691" i="129"/>
  <c r="AJ690" i="129"/>
  <c r="AJ689" i="129"/>
  <c r="AJ688" i="129"/>
  <c r="AJ687" i="129"/>
  <c r="AJ686" i="129"/>
  <c r="AJ685" i="129"/>
  <c r="AJ684" i="129"/>
  <c r="AJ683" i="129"/>
  <c r="AJ682" i="129"/>
  <c r="AJ681" i="129"/>
  <c r="AJ680" i="129"/>
  <c r="AJ679" i="129"/>
  <c r="AJ678" i="129"/>
  <c r="AJ677" i="129"/>
  <c r="AJ676" i="129"/>
  <c r="AJ675" i="129"/>
  <c r="AJ674" i="129"/>
  <c r="AJ673" i="129"/>
  <c r="AJ672" i="129"/>
  <c r="AJ671" i="129"/>
  <c r="AJ670" i="129"/>
  <c r="AJ669" i="129"/>
  <c r="AJ668" i="129"/>
  <c r="AJ667" i="129"/>
  <c r="AJ666" i="129"/>
  <c r="AJ665" i="129"/>
  <c r="AJ664" i="129"/>
  <c r="AJ663" i="129"/>
  <c r="AJ662" i="129"/>
  <c r="AJ661" i="129"/>
  <c r="AJ660" i="129"/>
  <c r="AJ659" i="129"/>
  <c r="AJ658" i="129"/>
  <c r="AJ657" i="129"/>
  <c r="AJ656" i="129"/>
  <c r="AJ655" i="129"/>
  <c r="AJ654" i="129"/>
  <c r="AJ653" i="129"/>
  <c r="AJ652" i="129"/>
  <c r="AJ651" i="129"/>
  <c r="AJ650" i="129"/>
  <c r="AJ649" i="129"/>
  <c r="AJ648" i="129"/>
  <c r="AJ647" i="129"/>
  <c r="AJ646" i="129"/>
  <c r="AJ645" i="129"/>
  <c r="AJ644" i="129"/>
  <c r="AJ643" i="129"/>
  <c r="AJ642" i="129"/>
  <c r="AJ641" i="129"/>
  <c r="AJ640" i="129"/>
  <c r="AJ639" i="129"/>
  <c r="AJ638" i="129"/>
  <c r="AJ637" i="129"/>
  <c r="AJ636" i="129"/>
  <c r="AJ635" i="129"/>
  <c r="AJ634" i="129"/>
  <c r="AJ633" i="129"/>
  <c r="AJ632" i="129"/>
  <c r="AJ631" i="129"/>
  <c r="AJ630" i="129"/>
  <c r="AJ629" i="129"/>
  <c r="AJ628" i="129"/>
  <c r="AJ627" i="129"/>
  <c r="AJ626" i="129"/>
  <c r="AJ625" i="129"/>
  <c r="AJ624" i="129"/>
  <c r="AJ623" i="129"/>
  <c r="AJ622" i="129"/>
  <c r="AJ621" i="129"/>
  <c r="AJ620" i="129"/>
  <c r="AJ619" i="129"/>
  <c r="AJ618" i="129"/>
  <c r="AJ617" i="129"/>
  <c r="AJ616" i="129"/>
  <c r="AJ615" i="129"/>
  <c r="AJ614" i="129"/>
  <c r="AJ613" i="129"/>
  <c r="AJ612" i="129"/>
  <c r="AJ611" i="129"/>
  <c r="AJ610" i="129"/>
  <c r="AJ609" i="129"/>
  <c r="AJ608" i="129"/>
  <c r="AJ607" i="129"/>
  <c r="AJ606" i="129"/>
  <c r="AJ605" i="129"/>
  <c r="AJ604" i="129"/>
  <c r="AJ603" i="129"/>
  <c r="AJ602" i="129"/>
  <c r="AJ601" i="129"/>
  <c r="AJ600" i="129"/>
  <c r="AJ599" i="129"/>
  <c r="AJ598" i="129"/>
  <c r="AJ597" i="129"/>
  <c r="AJ596" i="129"/>
  <c r="AJ595" i="129"/>
  <c r="AJ594" i="129"/>
  <c r="AJ593" i="129"/>
  <c r="AJ592" i="129"/>
  <c r="AJ591" i="129"/>
  <c r="AJ590" i="129"/>
  <c r="AJ589" i="129"/>
  <c r="AJ588" i="129"/>
  <c r="AJ587" i="129"/>
  <c r="AJ586" i="129"/>
  <c r="AJ585" i="129"/>
  <c r="AJ584" i="129"/>
  <c r="AJ583" i="129"/>
  <c r="AJ582" i="129"/>
  <c r="AJ581" i="129"/>
  <c r="AJ580" i="129"/>
  <c r="AJ579" i="129"/>
  <c r="AJ578" i="129"/>
  <c r="AJ577" i="129"/>
  <c r="AJ576" i="129"/>
  <c r="AJ575" i="129"/>
  <c r="AJ574" i="129"/>
  <c r="AJ573" i="129"/>
  <c r="AJ572" i="129"/>
  <c r="AJ571" i="129"/>
  <c r="AJ570" i="129"/>
  <c r="AJ569" i="129"/>
  <c r="AJ568" i="129"/>
  <c r="AJ567" i="129"/>
  <c r="AJ566" i="129"/>
  <c r="AJ565" i="129"/>
  <c r="AJ564" i="129"/>
  <c r="AJ563" i="129"/>
  <c r="AJ562" i="129"/>
  <c r="AJ561" i="129"/>
  <c r="AJ560" i="129"/>
  <c r="AJ559" i="129"/>
  <c r="AJ558" i="129"/>
  <c r="AJ557" i="129"/>
  <c r="AJ556" i="129"/>
  <c r="AJ555" i="129"/>
  <c r="AJ554" i="129"/>
  <c r="AJ553" i="129"/>
  <c r="AJ552" i="129"/>
  <c r="AJ551" i="129"/>
  <c r="AJ550" i="129"/>
  <c r="AJ549" i="129"/>
  <c r="AJ548" i="129"/>
  <c r="AJ547" i="129"/>
  <c r="AJ546" i="129"/>
  <c r="AJ545" i="129"/>
  <c r="AJ544" i="129"/>
  <c r="AJ543" i="129"/>
  <c r="AJ542" i="129"/>
  <c r="AJ541" i="129"/>
  <c r="AJ540" i="129"/>
  <c r="AJ539" i="129"/>
  <c r="AJ538" i="129"/>
  <c r="AJ537" i="129"/>
  <c r="AJ536" i="129"/>
  <c r="AJ535" i="129"/>
  <c r="AJ534" i="129"/>
  <c r="AJ533" i="129"/>
  <c r="AJ532" i="129"/>
  <c r="AJ531" i="129"/>
  <c r="AJ530" i="129"/>
  <c r="AJ529" i="129"/>
  <c r="AJ528" i="129"/>
  <c r="AJ527" i="129"/>
  <c r="AJ526" i="129"/>
  <c r="AJ525" i="129"/>
  <c r="AJ524" i="129"/>
  <c r="AJ523" i="129"/>
  <c r="AJ522" i="129"/>
  <c r="AJ521" i="129"/>
  <c r="AJ520" i="129"/>
  <c r="AJ519" i="129"/>
  <c r="AJ518" i="129"/>
  <c r="AJ517" i="129"/>
  <c r="AJ516" i="129"/>
  <c r="AJ515" i="129"/>
  <c r="AJ514" i="129"/>
  <c r="AJ513" i="129"/>
  <c r="AJ512" i="129"/>
  <c r="AJ511" i="129"/>
  <c r="AJ510" i="129"/>
  <c r="AJ509" i="129"/>
  <c r="AJ508" i="129"/>
  <c r="AJ507" i="129"/>
  <c r="AJ506" i="129"/>
  <c r="AJ505" i="129"/>
  <c r="AJ504" i="129"/>
  <c r="AJ503" i="129"/>
  <c r="AJ502" i="129"/>
  <c r="AJ501" i="129"/>
  <c r="AJ500" i="129"/>
  <c r="AJ499" i="129"/>
  <c r="AJ498" i="129"/>
  <c r="AJ497" i="129"/>
  <c r="AJ496" i="129"/>
  <c r="AJ495" i="129"/>
  <c r="AJ494" i="129"/>
  <c r="AJ493" i="129"/>
  <c r="AJ492" i="129"/>
  <c r="AJ491" i="129"/>
  <c r="AJ490" i="129"/>
  <c r="AJ489" i="129"/>
  <c r="AJ488" i="129"/>
  <c r="AJ487" i="129"/>
  <c r="AJ486" i="129"/>
  <c r="AJ485" i="129"/>
  <c r="AJ484" i="129"/>
  <c r="AJ483" i="129"/>
  <c r="AJ482" i="129"/>
  <c r="AJ481" i="129"/>
  <c r="AJ480" i="129"/>
  <c r="AJ479" i="129"/>
  <c r="AJ478" i="129"/>
  <c r="AJ477" i="129"/>
  <c r="AJ476" i="129"/>
  <c r="AJ475" i="129"/>
  <c r="AJ474" i="129"/>
  <c r="AJ473" i="129"/>
  <c r="AJ472" i="129"/>
  <c r="AJ471" i="129"/>
  <c r="AJ470" i="129"/>
  <c r="AJ469" i="129"/>
  <c r="AJ468" i="129"/>
  <c r="AJ467" i="129"/>
  <c r="AJ466" i="129"/>
  <c r="AJ465" i="129"/>
  <c r="AJ464" i="129"/>
  <c r="AJ463" i="129"/>
  <c r="AJ462" i="129"/>
  <c r="AJ461" i="129"/>
  <c r="AJ460" i="129"/>
  <c r="AJ459" i="129"/>
  <c r="AJ458" i="129"/>
  <c r="AJ457" i="129"/>
  <c r="AJ456" i="129"/>
  <c r="AJ455" i="129"/>
  <c r="AJ454" i="129"/>
  <c r="AJ453" i="129"/>
  <c r="AJ452" i="129"/>
  <c r="AJ451" i="129"/>
  <c r="AJ450" i="129"/>
  <c r="AJ449" i="129"/>
  <c r="AJ448" i="129"/>
  <c r="AJ447" i="129"/>
  <c r="AJ446" i="129"/>
  <c r="AJ445" i="129"/>
  <c r="AJ444" i="129"/>
  <c r="AJ443" i="129"/>
  <c r="AJ442" i="129"/>
  <c r="AJ441" i="129"/>
  <c r="AJ440" i="129"/>
  <c r="AJ439" i="129"/>
  <c r="AJ438" i="129"/>
  <c r="AJ437" i="129"/>
  <c r="AJ436" i="129"/>
  <c r="AJ435" i="129"/>
  <c r="AJ434" i="129"/>
  <c r="AJ433" i="129"/>
  <c r="AJ432" i="129"/>
  <c r="AJ431" i="129"/>
  <c r="AJ430" i="129"/>
  <c r="AJ429" i="129"/>
  <c r="AJ428" i="129"/>
  <c r="AJ427" i="129"/>
  <c r="AJ426" i="129"/>
  <c r="AJ425" i="129"/>
  <c r="AJ424" i="129"/>
  <c r="AJ423" i="129"/>
  <c r="AJ422" i="129"/>
  <c r="AJ421" i="129"/>
  <c r="AJ420" i="129"/>
  <c r="AJ419" i="129"/>
  <c r="AJ418" i="129"/>
  <c r="AJ417" i="129"/>
  <c r="AJ416" i="129"/>
  <c r="AJ415" i="129"/>
  <c r="AJ414" i="129"/>
  <c r="AJ413" i="129"/>
  <c r="AJ412" i="129"/>
  <c r="AJ411" i="129"/>
  <c r="AJ410" i="129"/>
  <c r="AJ409" i="129"/>
  <c r="AJ408" i="129"/>
  <c r="AJ407" i="129"/>
  <c r="AJ406" i="129"/>
  <c r="AJ405" i="129"/>
  <c r="AJ404" i="129"/>
  <c r="AJ403" i="129"/>
  <c r="AJ402" i="129"/>
  <c r="AJ401" i="129"/>
  <c r="AJ400" i="129"/>
  <c r="AJ399" i="129"/>
  <c r="AJ398" i="129"/>
  <c r="AJ397" i="129"/>
  <c r="AJ396" i="129"/>
  <c r="AJ395" i="129"/>
  <c r="AJ394" i="129"/>
  <c r="AJ393" i="129"/>
  <c r="AJ392" i="129"/>
  <c r="AJ391" i="129"/>
  <c r="AJ390" i="129"/>
  <c r="AJ389" i="129"/>
  <c r="AJ388" i="129"/>
  <c r="AJ387" i="129"/>
  <c r="AJ386" i="129"/>
  <c r="AJ385" i="129"/>
  <c r="AJ384" i="129"/>
  <c r="AJ383" i="129"/>
  <c r="AJ382" i="129"/>
  <c r="AJ381" i="129"/>
  <c r="AJ380" i="129"/>
  <c r="AJ379" i="129"/>
  <c r="AJ378" i="129"/>
  <c r="AJ377" i="129"/>
  <c r="AJ376" i="129"/>
  <c r="AJ375" i="129"/>
  <c r="AJ374" i="129"/>
  <c r="AJ373" i="129"/>
  <c r="AJ372" i="129"/>
  <c r="AJ371" i="129"/>
  <c r="AJ370" i="129"/>
  <c r="AJ369" i="129"/>
  <c r="AJ368" i="129"/>
  <c r="AJ367" i="129"/>
  <c r="AJ366" i="129"/>
  <c r="AJ365" i="129"/>
  <c r="AJ364" i="129"/>
  <c r="AJ363" i="129"/>
  <c r="AJ362" i="129"/>
  <c r="AJ361" i="129"/>
  <c r="AJ360" i="129"/>
  <c r="AJ359" i="129"/>
  <c r="AJ358" i="129"/>
  <c r="AJ357" i="129"/>
  <c r="AJ356" i="129"/>
  <c r="AJ355" i="129"/>
  <c r="AJ354" i="129"/>
  <c r="AJ353" i="129"/>
  <c r="AJ352" i="129"/>
  <c r="AJ351" i="129"/>
  <c r="AJ350" i="129"/>
  <c r="AJ349" i="129"/>
  <c r="AJ348" i="129"/>
  <c r="AJ347" i="129"/>
  <c r="AJ346" i="129"/>
  <c r="AJ345" i="129"/>
  <c r="AJ344" i="129"/>
  <c r="AJ343" i="129"/>
  <c r="AJ342" i="129"/>
  <c r="AJ341" i="129"/>
  <c r="AJ340" i="129"/>
  <c r="AJ339" i="129"/>
  <c r="AJ338" i="129"/>
  <c r="AJ337" i="129"/>
  <c r="AJ336" i="129"/>
  <c r="AJ335" i="129"/>
  <c r="AJ334" i="129"/>
  <c r="AJ333" i="129"/>
  <c r="AJ332" i="129"/>
  <c r="AJ331" i="129"/>
  <c r="AJ330" i="129"/>
  <c r="AJ329" i="129"/>
  <c r="AJ328" i="129"/>
  <c r="AJ327" i="129"/>
  <c r="AJ326" i="129"/>
  <c r="AJ325" i="129"/>
  <c r="AJ324" i="129"/>
  <c r="AJ323" i="129"/>
  <c r="AJ322" i="129"/>
  <c r="AJ321" i="129"/>
  <c r="AJ320" i="129"/>
  <c r="AJ319" i="129"/>
  <c r="AJ318" i="129"/>
  <c r="AJ317" i="129"/>
  <c r="AJ316" i="129"/>
  <c r="AJ315" i="129"/>
  <c r="AJ314" i="129"/>
  <c r="AJ313" i="129"/>
  <c r="AJ312" i="129"/>
  <c r="AJ311" i="129"/>
  <c r="AJ310" i="129"/>
  <c r="AJ309" i="129"/>
  <c r="AJ308" i="129"/>
  <c r="AJ307" i="129"/>
  <c r="AJ306" i="129"/>
  <c r="AJ305" i="129"/>
  <c r="AJ304" i="129"/>
  <c r="AJ303" i="129"/>
  <c r="AJ302" i="129"/>
  <c r="AJ301" i="129"/>
  <c r="AJ300" i="129"/>
  <c r="AJ299" i="129"/>
  <c r="AJ298" i="129"/>
  <c r="AJ297" i="129"/>
  <c r="AJ296" i="129"/>
  <c r="AJ295" i="129"/>
  <c r="AJ294" i="129"/>
  <c r="AJ293" i="129"/>
  <c r="AJ292" i="129"/>
  <c r="AJ291" i="129"/>
  <c r="AJ290" i="129"/>
  <c r="AJ289" i="129"/>
  <c r="AJ288" i="129"/>
  <c r="AJ287" i="129"/>
  <c r="AJ286" i="129"/>
  <c r="AJ285" i="129"/>
  <c r="AJ284" i="129"/>
  <c r="AJ283" i="129"/>
  <c r="AJ282" i="129"/>
  <c r="AJ281" i="129"/>
  <c r="AJ280" i="129"/>
  <c r="AJ279" i="129"/>
  <c r="AJ278" i="129"/>
  <c r="AJ277" i="129"/>
  <c r="AJ276" i="129"/>
  <c r="AJ275" i="129"/>
  <c r="AJ274" i="129"/>
  <c r="AJ273" i="129"/>
  <c r="AJ272" i="129"/>
  <c r="AJ271" i="129"/>
  <c r="AJ270" i="129"/>
  <c r="AJ269" i="129"/>
  <c r="AJ268" i="129"/>
  <c r="AJ267" i="129"/>
  <c r="AJ266" i="129"/>
  <c r="AJ265" i="129"/>
  <c r="AJ264" i="129"/>
  <c r="AJ263" i="129"/>
  <c r="AJ262" i="129"/>
  <c r="AJ261" i="129"/>
  <c r="AJ260" i="129"/>
  <c r="AJ259" i="129"/>
  <c r="AJ258" i="129"/>
  <c r="AJ257" i="129"/>
  <c r="AJ256" i="129"/>
  <c r="AJ255" i="129"/>
  <c r="AJ254" i="129"/>
  <c r="AJ253" i="129"/>
  <c r="AJ252" i="129"/>
  <c r="AJ251" i="129"/>
  <c r="AJ250" i="129"/>
  <c r="AJ249" i="129"/>
  <c r="AJ248" i="129"/>
  <c r="AJ247" i="129"/>
  <c r="AJ246" i="129"/>
  <c r="AJ245" i="129"/>
  <c r="AJ244" i="129"/>
  <c r="AJ243" i="129"/>
  <c r="AJ242" i="129"/>
  <c r="AJ241" i="129"/>
  <c r="AJ240" i="129"/>
  <c r="AJ239" i="129"/>
  <c r="AJ238" i="129"/>
  <c r="AJ237" i="129"/>
  <c r="AJ236" i="129"/>
  <c r="AJ235" i="129"/>
  <c r="AJ234" i="129"/>
  <c r="AJ233" i="129"/>
  <c r="AJ232" i="129"/>
  <c r="AJ231" i="129"/>
  <c r="AJ230" i="129"/>
  <c r="AJ229" i="129"/>
  <c r="AJ228" i="129"/>
  <c r="AJ227" i="129"/>
  <c r="AJ226" i="129"/>
  <c r="AJ225" i="129"/>
  <c r="AJ224" i="129"/>
  <c r="AJ223" i="129"/>
  <c r="AJ222" i="129"/>
  <c r="AJ221" i="129"/>
  <c r="AJ220" i="129"/>
  <c r="AJ219" i="129"/>
  <c r="AJ218" i="129"/>
  <c r="AJ217" i="129"/>
  <c r="AJ216" i="129"/>
  <c r="AJ215" i="129"/>
  <c r="AJ214" i="129"/>
  <c r="AJ213" i="129"/>
  <c r="AJ212" i="129"/>
  <c r="AJ211" i="129"/>
  <c r="AJ210" i="129"/>
  <c r="AJ209" i="129"/>
  <c r="AJ208" i="129"/>
  <c r="AJ207" i="129"/>
  <c r="AJ206" i="129"/>
  <c r="AJ205" i="129"/>
  <c r="AJ204" i="129"/>
  <c r="AJ203" i="129"/>
  <c r="AJ202" i="129"/>
  <c r="AJ201" i="129"/>
  <c r="AJ200" i="129"/>
  <c r="AJ199" i="129"/>
  <c r="AJ198" i="129"/>
  <c r="AJ197" i="129"/>
  <c r="AJ196" i="129"/>
  <c r="AJ195" i="129"/>
  <c r="AJ194" i="129"/>
  <c r="AJ193" i="129"/>
  <c r="AJ192" i="129"/>
  <c r="AJ191" i="129"/>
  <c r="AJ190" i="129"/>
  <c r="AJ189" i="129"/>
  <c r="AJ188" i="129"/>
  <c r="AJ187" i="129"/>
  <c r="AJ186" i="129"/>
  <c r="AJ185" i="129"/>
  <c r="AJ184" i="129"/>
  <c r="AJ183" i="129"/>
  <c r="AJ182" i="129"/>
  <c r="AJ181" i="129"/>
  <c r="AJ180" i="129"/>
  <c r="AJ179" i="129"/>
  <c r="AJ178" i="129"/>
  <c r="AJ177" i="129"/>
  <c r="AJ176" i="129"/>
  <c r="AJ175" i="129"/>
  <c r="AJ174" i="129"/>
  <c r="AJ173" i="129"/>
  <c r="AJ172" i="129"/>
  <c r="AJ171" i="129"/>
  <c r="AJ170" i="129"/>
  <c r="AJ169" i="129"/>
  <c r="AJ168" i="129"/>
  <c r="AJ167" i="129"/>
  <c r="AJ166" i="129"/>
  <c r="AJ165" i="129"/>
  <c r="AJ164" i="129"/>
  <c r="AJ163" i="129"/>
  <c r="AJ162" i="129"/>
  <c r="AJ161" i="129"/>
  <c r="AJ160" i="129"/>
  <c r="AJ159" i="129"/>
  <c r="AJ158" i="129"/>
  <c r="AJ157" i="129"/>
  <c r="AJ156" i="129"/>
  <c r="AJ155" i="129"/>
  <c r="AJ154" i="129"/>
  <c r="AJ153" i="129"/>
  <c r="AJ152" i="129"/>
  <c r="AJ151" i="129"/>
  <c r="AJ150" i="129"/>
  <c r="AJ149" i="129"/>
  <c r="AJ148" i="129"/>
  <c r="AJ147" i="129"/>
  <c r="AJ146" i="129"/>
  <c r="AJ145" i="129"/>
  <c r="AJ144" i="129"/>
  <c r="AJ143" i="129"/>
  <c r="AJ142" i="129"/>
  <c r="AJ141" i="129"/>
  <c r="AJ140" i="129"/>
  <c r="AJ139" i="129"/>
  <c r="AJ138" i="129"/>
  <c r="AJ137" i="129"/>
  <c r="AJ136" i="129"/>
  <c r="AJ135" i="129"/>
  <c r="AJ134" i="129"/>
  <c r="AJ133" i="129"/>
  <c r="AJ132" i="129"/>
  <c r="AJ131" i="129"/>
  <c r="AJ130" i="129"/>
  <c r="AJ129" i="129"/>
  <c r="AJ128" i="129"/>
  <c r="AJ127" i="129"/>
  <c r="AJ126" i="129"/>
  <c r="AJ125" i="129"/>
  <c r="AJ124" i="129"/>
  <c r="AJ123" i="129"/>
  <c r="AJ122" i="129"/>
  <c r="AJ121" i="129"/>
  <c r="AJ120" i="129"/>
  <c r="AJ119" i="129"/>
  <c r="AJ118" i="129"/>
  <c r="AJ117" i="129"/>
  <c r="AJ116" i="129"/>
  <c r="AJ115" i="129"/>
  <c r="AJ114" i="129"/>
  <c r="AJ113" i="129"/>
  <c r="AJ112" i="129"/>
  <c r="AJ111" i="129"/>
  <c r="AJ110" i="129"/>
  <c r="AJ109" i="129"/>
  <c r="AJ108" i="129"/>
  <c r="AJ107" i="129"/>
  <c r="AJ106" i="129"/>
  <c r="AJ105" i="129"/>
  <c r="AJ104" i="129"/>
  <c r="AJ103" i="129"/>
  <c r="AJ102" i="129"/>
  <c r="AJ101" i="129"/>
  <c r="AJ100" i="129"/>
  <c r="AJ99" i="129"/>
  <c r="AJ98" i="129"/>
  <c r="AJ97" i="129"/>
  <c r="AJ96" i="129"/>
  <c r="AJ95" i="129"/>
  <c r="AJ94" i="129"/>
  <c r="AJ93" i="129"/>
  <c r="AJ92" i="129"/>
  <c r="AJ91" i="129"/>
  <c r="AJ90" i="129"/>
  <c r="AJ89" i="129"/>
  <c r="AJ88" i="129"/>
  <c r="AJ87" i="129"/>
  <c r="AJ86" i="129"/>
  <c r="AJ85" i="129"/>
  <c r="AJ84" i="129"/>
  <c r="AJ83" i="129"/>
  <c r="AJ82" i="129"/>
  <c r="AJ81" i="129"/>
  <c r="AJ80" i="129"/>
  <c r="AJ79" i="129"/>
  <c r="AJ78" i="129"/>
  <c r="AJ77" i="129"/>
  <c r="AJ76" i="129"/>
  <c r="AJ75" i="129"/>
  <c r="AJ74" i="129"/>
  <c r="AJ73" i="129"/>
  <c r="AJ72" i="129"/>
  <c r="AJ71" i="129"/>
  <c r="AJ70" i="129"/>
  <c r="AJ69" i="129"/>
  <c r="AJ68" i="129"/>
  <c r="AJ67" i="129"/>
  <c r="AJ66" i="129"/>
  <c r="AJ65" i="129"/>
  <c r="AJ64" i="129"/>
  <c r="AJ63" i="129"/>
  <c r="AJ62" i="129"/>
  <c r="AJ61" i="129"/>
  <c r="AJ60" i="129"/>
  <c r="AJ59" i="129"/>
  <c r="AJ58" i="129"/>
  <c r="AJ57" i="129"/>
  <c r="AJ56" i="129"/>
  <c r="AJ55" i="129"/>
  <c r="AJ54" i="129"/>
  <c r="AJ53" i="129"/>
  <c r="AJ52" i="129"/>
  <c r="AJ51" i="129"/>
  <c r="AJ50" i="129"/>
  <c r="AJ49" i="129"/>
  <c r="AJ48" i="129"/>
  <c r="AJ47" i="129"/>
  <c r="AJ46" i="129"/>
  <c r="AJ45" i="129"/>
  <c r="AJ44" i="129"/>
  <c r="AJ43" i="129"/>
  <c r="AJ42" i="129"/>
  <c r="AJ41" i="129"/>
  <c r="AJ40" i="129"/>
  <c r="AJ39" i="129"/>
  <c r="AJ38" i="129"/>
  <c r="AJ37" i="129"/>
  <c r="AJ36" i="129"/>
  <c r="AJ35" i="129"/>
  <c r="AJ34" i="129"/>
  <c r="AJ33" i="129"/>
  <c r="AJ32" i="129"/>
  <c r="AJ31" i="129"/>
  <c r="AJ30" i="129"/>
  <c r="AJ29" i="129"/>
  <c r="AJ28" i="129"/>
  <c r="AJ27" i="129"/>
  <c r="AJ26" i="129"/>
  <c r="AJ25" i="129"/>
  <c r="AJ24" i="129"/>
  <c r="AJ23" i="129"/>
  <c r="AJ22" i="129"/>
  <c r="AJ21" i="129"/>
  <c r="AJ20" i="129"/>
  <c r="AJ19" i="129"/>
  <c r="AJ18" i="129"/>
  <c r="AJ17" i="129"/>
  <c r="AJ16" i="129"/>
  <c r="AJ15" i="129"/>
  <c r="AJ14" i="129"/>
  <c r="AJ13" i="129"/>
  <c r="AJ12" i="129"/>
  <c r="AJ11" i="129"/>
  <c r="AJ10" i="129"/>
  <c r="AJ9" i="129"/>
  <c r="AJ8" i="129"/>
  <c r="AJ7" i="129"/>
  <c r="AJ6" i="129"/>
  <c r="AJ5" i="129"/>
  <c r="AJ4" i="129"/>
  <c r="BV890" i="129" l="1"/>
  <c r="BV889" i="129"/>
  <c r="BV888" i="129"/>
  <c r="BV887" i="129"/>
  <c r="BV886" i="129"/>
  <c r="BV885" i="129"/>
  <c r="BV884" i="129"/>
  <c r="BV883" i="129"/>
  <c r="BV882" i="129"/>
  <c r="BV881" i="129"/>
  <c r="BV880" i="129"/>
  <c r="BV879" i="129"/>
  <c r="BV878" i="129"/>
  <c r="BV877" i="129"/>
  <c r="BV876" i="129"/>
  <c r="BV875" i="129"/>
  <c r="BV874" i="129"/>
  <c r="BV873" i="129"/>
  <c r="BV872" i="129"/>
  <c r="BV871" i="129"/>
  <c r="BV870" i="129"/>
  <c r="BV869" i="129"/>
  <c r="BV868" i="129"/>
  <c r="BV867" i="129"/>
  <c r="BV866" i="129"/>
  <c r="BV865" i="129"/>
  <c r="BV864" i="129"/>
  <c r="BV863" i="129"/>
  <c r="BV862" i="129"/>
  <c r="BV861" i="129"/>
  <c r="BV860" i="129"/>
  <c r="BV859" i="129"/>
  <c r="BV858" i="129"/>
  <c r="BV857" i="129"/>
  <c r="BV856" i="129"/>
  <c r="BV855" i="129"/>
  <c r="BV854" i="129"/>
  <c r="BV853" i="129"/>
  <c r="BV852" i="129"/>
  <c r="BV851" i="129"/>
  <c r="BV850" i="129"/>
  <c r="BV849" i="129"/>
  <c r="BV848" i="129"/>
  <c r="BV847" i="129"/>
  <c r="BV846" i="129"/>
  <c r="BV845" i="129"/>
  <c r="BV844" i="129"/>
  <c r="BV843" i="129"/>
  <c r="BV842" i="129"/>
  <c r="BV841" i="129"/>
  <c r="BV840" i="129"/>
  <c r="BV839" i="129"/>
  <c r="BV838" i="129"/>
  <c r="BV837" i="129"/>
  <c r="BV836" i="129"/>
  <c r="BV835" i="129"/>
  <c r="BV834" i="129"/>
  <c r="BV833" i="129"/>
  <c r="BV832" i="129"/>
  <c r="BV831" i="129"/>
  <c r="BV830" i="129"/>
  <c r="BV829" i="129"/>
  <c r="BV828" i="129"/>
  <c r="BV827" i="129"/>
  <c r="BV826" i="129"/>
  <c r="BV825" i="129"/>
  <c r="BV824" i="129"/>
  <c r="BV823" i="129"/>
  <c r="BV822" i="129"/>
  <c r="BV821" i="129"/>
  <c r="BV820" i="129"/>
  <c r="BV819" i="129"/>
  <c r="BV818" i="129"/>
  <c r="BV817" i="129"/>
  <c r="BV816" i="129"/>
  <c r="BV815" i="129"/>
  <c r="BV814" i="129"/>
  <c r="BV813" i="129"/>
  <c r="BV812" i="129"/>
  <c r="BV811" i="129"/>
  <c r="BV810" i="129"/>
  <c r="BV809" i="129"/>
  <c r="BV808" i="129"/>
  <c r="BV807" i="129"/>
  <c r="BV806" i="129"/>
  <c r="BV805" i="129"/>
  <c r="BV804" i="129"/>
  <c r="BV803" i="129"/>
  <c r="BV802" i="129"/>
  <c r="BV801" i="129"/>
  <c r="BV800" i="129"/>
  <c r="BV799" i="129"/>
  <c r="BV798" i="129"/>
  <c r="BV797" i="129"/>
  <c r="BV796" i="129"/>
  <c r="BV795" i="129"/>
  <c r="BV794" i="129"/>
  <c r="BV793" i="129"/>
  <c r="BV792" i="129"/>
  <c r="BV791" i="129"/>
  <c r="BV790" i="129"/>
  <c r="BV789" i="129"/>
  <c r="BV788" i="129"/>
  <c r="BV787" i="129"/>
  <c r="BV786" i="129"/>
  <c r="BV785" i="129"/>
  <c r="BV784" i="129"/>
  <c r="BV783" i="129"/>
  <c r="BV782" i="129"/>
  <c r="BV781" i="129"/>
  <c r="BV780" i="129"/>
  <c r="BV779" i="129"/>
  <c r="BV778" i="129"/>
  <c r="BV777" i="129"/>
  <c r="BV776" i="129"/>
  <c r="BV775" i="129"/>
  <c r="BV774" i="129"/>
  <c r="BV773" i="129"/>
  <c r="BV772" i="129"/>
  <c r="BV771" i="129"/>
  <c r="BV770" i="129"/>
  <c r="BV769" i="129"/>
  <c r="BV768" i="129"/>
  <c r="BV767" i="129"/>
  <c r="BV766" i="129"/>
  <c r="BV765" i="129"/>
  <c r="BV764" i="129"/>
  <c r="BV763" i="129"/>
  <c r="BV762" i="129"/>
  <c r="BV761" i="129"/>
  <c r="BV760" i="129"/>
  <c r="BV759" i="129"/>
  <c r="BV758" i="129"/>
  <c r="BV757" i="129"/>
  <c r="BV756" i="129"/>
  <c r="BV755" i="129"/>
  <c r="BV754" i="129"/>
  <c r="BV753" i="129"/>
  <c r="BV752" i="129"/>
  <c r="BV751" i="129"/>
  <c r="BV750" i="129"/>
  <c r="BV749" i="129"/>
  <c r="BV748" i="129"/>
  <c r="BV747" i="129"/>
  <c r="BV746" i="129"/>
  <c r="BV745" i="129"/>
  <c r="BV744" i="129"/>
  <c r="BV743" i="129"/>
  <c r="BV742" i="129"/>
  <c r="BV741" i="129"/>
  <c r="BV740" i="129"/>
  <c r="BV739" i="129"/>
  <c r="BV738" i="129"/>
  <c r="BV737" i="129"/>
  <c r="BV736" i="129"/>
  <c r="BV735" i="129"/>
  <c r="BV734" i="129"/>
  <c r="BV733" i="129"/>
  <c r="BV732" i="129"/>
  <c r="BV731" i="129"/>
  <c r="BV730" i="129"/>
  <c r="BV729" i="129"/>
  <c r="BV728" i="129"/>
  <c r="BV727" i="129"/>
  <c r="BV726" i="129"/>
  <c r="BV725" i="129"/>
  <c r="BV724" i="129"/>
  <c r="BV723" i="129"/>
  <c r="BV722" i="129"/>
  <c r="BV721" i="129"/>
  <c r="BV720" i="129"/>
  <c r="BV719" i="129"/>
  <c r="BV718" i="129"/>
  <c r="BV717" i="129"/>
  <c r="BV716" i="129"/>
  <c r="BV715" i="129"/>
  <c r="BV714" i="129"/>
  <c r="BV713" i="129"/>
  <c r="BV712" i="129"/>
  <c r="BV711" i="129"/>
  <c r="BV710" i="129"/>
  <c r="BV709" i="129"/>
  <c r="BV708" i="129"/>
  <c r="BV707" i="129"/>
  <c r="BV706" i="129"/>
  <c r="BV705" i="129"/>
  <c r="BV704" i="129"/>
  <c r="BV703" i="129"/>
  <c r="BV702" i="129"/>
  <c r="BV701" i="129"/>
  <c r="BV700" i="129"/>
  <c r="BV699" i="129"/>
  <c r="BV698" i="129"/>
  <c r="BV697" i="129"/>
  <c r="BV696" i="129"/>
  <c r="BV695" i="129"/>
  <c r="BV694" i="129"/>
  <c r="BV693" i="129"/>
  <c r="BV692" i="129"/>
  <c r="BV691" i="129"/>
  <c r="BV690" i="129"/>
  <c r="BV689" i="129"/>
  <c r="BV688" i="129"/>
  <c r="BV687" i="129"/>
  <c r="BV686" i="129"/>
  <c r="BV685" i="129"/>
  <c r="BV684" i="129"/>
  <c r="BV683" i="129"/>
  <c r="BV682" i="129"/>
  <c r="BV681" i="129"/>
  <c r="BV680" i="129"/>
  <c r="BV679" i="129"/>
  <c r="BV678" i="129"/>
  <c r="BV677" i="129"/>
  <c r="BV676" i="129"/>
  <c r="BV675" i="129"/>
  <c r="BV674" i="129"/>
  <c r="BV673" i="129"/>
  <c r="BV672" i="129"/>
  <c r="BV671" i="129"/>
  <c r="BV670" i="129"/>
  <c r="BV669" i="129"/>
  <c r="BV668" i="129"/>
  <c r="BV667" i="129"/>
  <c r="BV666" i="129"/>
  <c r="BV665" i="129"/>
  <c r="BV664" i="129"/>
  <c r="BV663" i="129"/>
  <c r="BV662" i="129"/>
  <c r="BV661" i="129"/>
  <c r="BV660" i="129"/>
  <c r="BV659" i="129"/>
  <c r="BV658" i="129"/>
  <c r="BV657" i="129"/>
  <c r="BV656" i="129"/>
  <c r="BV655" i="129"/>
  <c r="BV654" i="129"/>
  <c r="BV653" i="129"/>
  <c r="BV652" i="129"/>
  <c r="BV651" i="129"/>
  <c r="BV650" i="129"/>
  <c r="BV649" i="129"/>
  <c r="BV648" i="129"/>
  <c r="BV647" i="129"/>
  <c r="BV646" i="129"/>
  <c r="BV645" i="129"/>
  <c r="BV644" i="129"/>
  <c r="BV643" i="129"/>
  <c r="BV642" i="129"/>
  <c r="BV641" i="129"/>
  <c r="BV640" i="129"/>
  <c r="BV639" i="129"/>
  <c r="BV638" i="129"/>
  <c r="BV637" i="129"/>
  <c r="BV636" i="129"/>
  <c r="BV635" i="129"/>
  <c r="BV634" i="129"/>
  <c r="BV633" i="129"/>
  <c r="BV632" i="129"/>
  <c r="BV631" i="129"/>
  <c r="BV630" i="129"/>
  <c r="BV629" i="129"/>
  <c r="BV628" i="129"/>
  <c r="BV627" i="129"/>
  <c r="BV626" i="129"/>
  <c r="BV625" i="129"/>
  <c r="BV624" i="129"/>
  <c r="BV623" i="129"/>
  <c r="BV622" i="129"/>
  <c r="BV621" i="129"/>
  <c r="BV620" i="129"/>
  <c r="BV619" i="129"/>
  <c r="BV618" i="129"/>
  <c r="BV617" i="129"/>
  <c r="BV616" i="129"/>
  <c r="BV615" i="129"/>
  <c r="BV614" i="129"/>
  <c r="BV613" i="129"/>
  <c r="BV612" i="129"/>
  <c r="BV611" i="129"/>
  <c r="BV610" i="129"/>
  <c r="BV609" i="129"/>
  <c r="BV608" i="129"/>
  <c r="BV607" i="129"/>
  <c r="BV606" i="129"/>
  <c r="BV605" i="129"/>
  <c r="BV604" i="129"/>
  <c r="BV603" i="129"/>
  <c r="BV602" i="129"/>
  <c r="BV601" i="129"/>
  <c r="BV600" i="129"/>
  <c r="BV599" i="129"/>
  <c r="BV598" i="129"/>
  <c r="BV597" i="129"/>
  <c r="BV596" i="129"/>
  <c r="BV595" i="129"/>
  <c r="BV594" i="129"/>
  <c r="BV593" i="129"/>
  <c r="BV592" i="129"/>
  <c r="BV591" i="129"/>
  <c r="BV590" i="129"/>
  <c r="BV589" i="129"/>
  <c r="BV588" i="129"/>
  <c r="BV587" i="129"/>
  <c r="BV586" i="129"/>
  <c r="BV585" i="129"/>
  <c r="BV584" i="129"/>
  <c r="BV583" i="129"/>
  <c r="BV582" i="129"/>
  <c r="BV581" i="129"/>
  <c r="BV580" i="129"/>
  <c r="BV579" i="129"/>
  <c r="BV578" i="129"/>
  <c r="BV577" i="129"/>
  <c r="BV576" i="129"/>
  <c r="BV575" i="129"/>
  <c r="BV574" i="129"/>
  <c r="BV573" i="129"/>
  <c r="BV572" i="129"/>
  <c r="BV571" i="129"/>
  <c r="BV570" i="129"/>
  <c r="BV569" i="129"/>
  <c r="BV568" i="129"/>
  <c r="BV567" i="129"/>
  <c r="BV566" i="129"/>
  <c r="BV565" i="129"/>
  <c r="BV564" i="129"/>
  <c r="BV563" i="129"/>
  <c r="BV562" i="129"/>
  <c r="BV561" i="129"/>
  <c r="BV560" i="129"/>
  <c r="BV559" i="129"/>
  <c r="BV558" i="129"/>
  <c r="BV557" i="129"/>
  <c r="BV556" i="129"/>
  <c r="BV555" i="129"/>
  <c r="BV554" i="129"/>
  <c r="BV553" i="129"/>
  <c r="BV552" i="129"/>
  <c r="BV551" i="129"/>
  <c r="BV550" i="129"/>
  <c r="BV549" i="129"/>
  <c r="BV548" i="129"/>
  <c r="BV547" i="129"/>
  <c r="BV546" i="129"/>
  <c r="BV545" i="129"/>
  <c r="BV544" i="129"/>
  <c r="BV543" i="129"/>
  <c r="BV542" i="129"/>
  <c r="BV541" i="129"/>
  <c r="BV540" i="129"/>
  <c r="BV539" i="129"/>
  <c r="BV538" i="129"/>
  <c r="BV537" i="129"/>
  <c r="BV536" i="129"/>
  <c r="BV535" i="129"/>
  <c r="BV534" i="129"/>
  <c r="BV533" i="129"/>
  <c r="BV532" i="129"/>
  <c r="BV531" i="129"/>
  <c r="BV530" i="129"/>
  <c r="BV529" i="129"/>
  <c r="BV528" i="129"/>
  <c r="BV527" i="129"/>
  <c r="BV526" i="129"/>
  <c r="BV525" i="129"/>
  <c r="BV524" i="129"/>
  <c r="BV523" i="129"/>
  <c r="BV522" i="129"/>
  <c r="BV521" i="129"/>
  <c r="BV520" i="129"/>
  <c r="BV519" i="129"/>
  <c r="BV518" i="129"/>
  <c r="BV517" i="129"/>
  <c r="BV516" i="129"/>
  <c r="BV515" i="129"/>
  <c r="BV514" i="129"/>
  <c r="BV513" i="129"/>
  <c r="BV512" i="129"/>
  <c r="BV511" i="129"/>
  <c r="BV510" i="129"/>
  <c r="BV509" i="129"/>
  <c r="BV508" i="129"/>
  <c r="BV507" i="129"/>
  <c r="BV506" i="129"/>
  <c r="BV505" i="129"/>
  <c r="BV504" i="129"/>
  <c r="BV503" i="129"/>
  <c r="BV502" i="129"/>
  <c r="BV501" i="129"/>
  <c r="BV500" i="129"/>
  <c r="BV499" i="129"/>
  <c r="BV498" i="129"/>
  <c r="BV497" i="129"/>
  <c r="BV496" i="129"/>
  <c r="BV495" i="129"/>
  <c r="BV494" i="129"/>
  <c r="BV493" i="129"/>
  <c r="BV492" i="129"/>
  <c r="BV491" i="129"/>
  <c r="BV490" i="129"/>
  <c r="BV489" i="129"/>
  <c r="BV488" i="129"/>
  <c r="BV487" i="129"/>
  <c r="BV486" i="129"/>
  <c r="BV485" i="129"/>
  <c r="BV484" i="129"/>
  <c r="BV483" i="129"/>
  <c r="BV482" i="129"/>
  <c r="BV481" i="129"/>
  <c r="BV480" i="129"/>
  <c r="BV479" i="129"/>
  <c r="BV478" i="129"/>
  <c r="BV477" i="129"/>
  <c r="BV476" i="129"/>
  <c r="BV475" i="129"/>
  <c r="BV474" i="129"/>
  <c r="BV473" i="129"/>
  <c r="BV472" i="129"/>
  <c r="BV471" i="129"/>
  <c r="BV470" i="129"/>
  <c r="BV469" i="129"/>
  <c r="BV468" i="129"/>
  <c r="BV467" i="129"/>
  <c r="BV466" i="129"/>
  <c r="BV465" i="129"/>
  <c r="BV464" i="129"/>
  <c r="BV463" i="129"/>
  <c r="BV462" i="129"/>
  <c r="BV461" i="129"/>
  <c r="BV460" i="129"/>
  <c r="BV459" i="129"/>
  <c r="BV458" i="129"/>
  <c r="BV457" i="129"/>
  <c r="BV456" i="129"/>
  <c r="BV455" i="129"/>
  <c r="BV454" i="129"/>
  <c r="BV453" i="129"/>
  <c r="BV452" i="129"/>
  <c r="BV451" i="129"/>
  <c r="BV450" i="129"/>
  <c r="BV449" i="129"/>
  <c r="BV448" i="129"/>
  <c r="BV447" i="129"/>
  <c r="BV446" i="129"/>
  <c r="BV445" i="129"/>
  <c r="BV444" i="129"/>
  <c r="BV443" i="129"/>
  <c r="BV442" i="129"/>
  <c r="BV441" i="129"/>
  <c r="BV440" i="129"/>
  <c r="BV439" i="129"/>
  <c r="BV438" i="129"/>
  <c r="BV437" i="129"/>
  <c r="BV436" i="129"/>
  <c r="BV435" i="129"/>
  <c r="BV434" i="129"/>
  <c r="BV433" i="129"/>
  <c r="BV432" i="129"/>
  <c r="BV431" i="129"/>
  <c r="BV430" i="129"/>
  <c r="BV429" i="129"/>
  <c r="BV428" i="129"/>
  <c r="BV427" i="129"/>
  <c r="BV426" i="129"/>
  <c r="BV425" i="129"/>
  <c r="BV424" i="129"/>
  <c r="BV423" i="129"/>
  <c r="BV422" i="129"/>
  <c r="BV421" i="129"/>
  <c r="BV420" i="129"/>
  <c r="BV419" i="129"/>
  <c r="BV418" i="129"/>
  <c r="BV417" i="129"/>
  <c r="BV416" i="129"/>
  <c r="BV415" i="129"/>
  <c r="BV414" i="129"/>
  <c r="BV413" i="129"/>
  <c r="BV412" i="129"/>
  <c r="BV411" i="129"/>
  <c r="BV410" i="129"/>
  <c r="BV409" i="129"/>
  <c r="BV408" i="129"/>
  <c r="BV407" i="129"/>
  <c r="BV406" i="129"/>
  <c r="BV405" i="129"/>
  <c r="BV404" i="129"/>
  <c r="BV403" i="129"/>
  <c r="BV402" i="129"/>
  <c r="BV401" i="129"/>
  <c r="BV400" i="129"/>
  <c r="BV399" i="129"/>
  <c r="BV398" i="129"/>
  <c r="BV397" i="129"/>
  <c r="BV396" i="129"/>
  <c r="BV395" i="129"/>
  <c r="BV394" i="129"/>
  <c r="BV393" i="129"/>
  <c r="BV392" i="129"/>
  <c r="BV391" i="129"/>
  <c r="BV390" i="129"/>
  <c r="BV389" i="129"/>
  <c r="BV388" i="129"/>
  <c r="BV387" i="129"/>
  <c r="BV386" i="129"/>
  <c r="BV385" i="129"/>
  <c r="BV384" i="129"/>
  <c r="BV383" i="129"/>
  <c r="BV382" i="129"/>
  <c r="BV381" i="129"/>
  <c r="BV380" i="129"/>
  <c r="BV379" i="129"/>
  <c r="BV378" i="129"/>
  <c r="BV377" i="129"/>
  <c r="BV376" i="129"/>
  <c r="BV375" i="129"/>
  <c r="BV374" i="129"/>
  <c r="BV373" i="129"/>
  <c r="BV372" i="129"/>
  <c r="BV371" i="129"/>
  <c r="BV370" i="129"/>
  <c r="BV369" i="129"/>
  <c r="BV368" i="129"/>
  <c r="BV367" i="129"/>
  <c r="BV366" i="129"/>
  <c r="BV365" i="129"/>
  <c r="BV364" i="129"/>
  <c r="BV363" i="129"/>
  <c r="BV362" i="129"/>
  <c r="BV361" i="129"/>
  <c r="BV360" i="129"/>
  <c r="BV359" i="129"/>
  <c r="BV358" i="129"/>
  <c r="BV357" i="129"/>
  <c r="BV356" i="129"/>
  <c r="BV355" i="129"/>
  <c r="BV354" i="129"/>
  <c r="BV353" i="129"/>
  <c r="BV352" i="129"/>
  <c r="BV351" i="129"/>
  <c r="BV350" i="129"/>
  <c r="BV349" i="129"/>
  <c r="BV348" i="129"/>
  <c r="BV347" i="129"/>
  <c r="BV346" i="129"/>
  <c r="BV345" i="129"/>
  <c r="BV344" i="129"/>
  <c r="BV343" i="129"/>
  <c r="BV342" i="129"/>
  <c r="BV341" i="129"/>
  <c r="BV340" i="129"/>
  <c r="BV339" i="129"/>
  <c r="BV338" i="129"/>
  <c r="BV337" i="129"/>
  <c r="BV336" i="129"/>
  <c r="BV335" i="129"/>
  <c r="BV334" i="129"/>
  <c r="BV333" i="129"/>
  <c r="BV332" i="129"/>
  <c r="BV331" i="129"/>
  <c r="BV330" i="129"/>
  <c r="BV329" i="129"/>
  <c r="BV328" i="129"/>
  <c r="BV327" i="129"/>
  <c r="BV326" i="129"/>
  <c r="BV325" i="129"/>
  <c r="BV324" i="129"/>
  <c r="BV323" i="129"/>
  <c r="BV322" i="129"/>
  <c r="BV321" i="129"/>
  <c r="BV320" i="129"/>
  <c r="BV319" i="129"/>
  <c r="BV318" i="129"/>
  <c r="BV317" i="129"/>
  <c r="BV316" i="129"/>
  <c r="BV315" i="129"/>
  <c r="BV314" i="129"/>
  <c r="BV313" i="129"/>
  <c r="BV312" i="129"/>
  <c r="BV311" i="129"/>
  <c r="BV310" i="129"/>
  <c r="BV309" i="129"/>
  <c r="BV308" i="129"/>
  <c r="BV307" i="129"/>
  <c r="BV306" i="129"/>
  <c r="BV305" i="129"/>
  <c r="BV304" i="129"/>
  <c r="BV303" i="129"/>
  <c r="BV302" i="129"/>
  <c r="BV301" i="129"/>
  <c r="BV300" i="129"/>
  <c r="BV299" i="129"/>
  <c r="BV298" i="129"/>
  <c r="BV297" i="129"/>
  <c r="BV296" i="129"/>
  <c r="BV295" i="129"/>
  <c r="BV294" i="129"/>
  <c r="BV293" i="129"/>
  <c r="BV292" i="129"/>
  <c r="BV291" i="129"/>
  <c r="BV290" i="129"/>
  <c r="BV289" i="129"/>
  <c r="BV288" i="129"/>
  <c r="BV287" i="129"/>
  <c r="BV286" i="129"/>
  <c r="BV285" i="129"/>
  <c r="BV284" i="129"/>
  <c r="BV283" i="129"/>
  <c r="BV282" i="129"/>
  <c r="BV281" i="129"/>
  <c r="BV280" i="129"/>
  <c r="BV279" i="129"/>
  <c r="BV278" i="129"/>
  <c r="BV277" i="129"/>
  <c r="BV276" i="129"/>
  <c r="BV275" i="129"/>
  <c r="BV274" i="129"/>
  <c r="BV273" i="129"/>
  <c r="BV272" i="129"/>
  <c r="BV271" i="129"/>
  <c r="BV270" i="129"/>
  <c r="BV269" i="129"/>
  <c r="BV268" i="129"/>
  <c r="BV267" i="129"/>
  <c r="BV266" i="129"/>
  <c r="BV265" i="129"/>
  <c r="BV264" i="129"/>
  <c r="BV263" i="129"/>
  <c r="BV262" i="129"/>
  <c r="BV261" i="129"/>
  <c r="BV260" i="129"/>
  <c r="BV259" i="129"/>
  <c r="BV258" i="129"/>
  <c r="BV257" i="129"/>
  <c r="BV256" i="129"/>
  <c r="BV255" i="129"/>
  <c r="BV254" i="129"/>
  <c r="BV253" i="129"/>
  <c r="BV252" i="129"/>
  <c r="BV251" i="129"/>
  <c r="BV250" i="129"/>
  <c r="BV249" i="129"/>
  <c r="BV248" i="129"/>
  <c r="BV247" i="129"/>
  <c r="BV246" i="129"/>
  <c r="BV245" i="129"/>
  <c r="BV244" i="129"/>
  <c r="BV243" i="129"/>
  <c r="BV242" i="129"/>
  <c r="BV241" i="129"/>
  <c r="BV240" i="129"/>
  <c r="BV239" i="129"/>
  <c r="BV238" i="129"/>
  <c r="BV237" i="129"/>
  <c r="BV236" i="129"/>
  <c r="BV235" i="129"/>
  <c r="BV234" i="129"/>
  <c r="BV233" i="129"/>
  <c r="BV232" i="129"/>
  <c r="BV231" i="129"/>
  <c r="BV230" i="129"/>
  <c r="BV229" i="129"/>
  <c r="BV228" i="129"/>
  <c r="BV227" i="129"/>
  <c r="BV226" i="129"/>
  <c r="BV225" i="129"/>
  <c r="BV224" i="129"/>
  <c r="BV223" i="129"/>
  <c r="BV222" i="129"/>
  <c r="BV221" i="129"/>
  <c r="BV220" i="129"/>
  <c r="BV219" i="129"/>
  <c r="BV218" i="129"/>
  <c r="BV217" i="129"/>
  <c r="BV216" i="129"/>
  <c r="BV215" i="129"/>
  <c r="BV214" i="129"/>
  <c r="BV213" i="129"/>
  <c r="BV212" i="129"/>
  <c r="BV211" i="129"/>
  <c r="BV210" i="129"/>
  <c r="BV209" i="129"/>
  <c r="BV208" i="129"/>
  <c r="BV207" i="129"/>
  <c r="BV206" i="129"/>
  <c r="BV205" i="129"/>
  <c r="BV204" i="129"/>
  <c r="BV203" i="129"/>
  <c r="BV202" i="129"/>
  <c r="BV201" i="129"/>
  <c r="BV200" i="129"/>
  <c r="BV199" i="129"/>
  <c r="BV198" i="129"/>
  <c r="BV197" i="129"/>
  <c r="BV196" i="129"/>
  <c r="BV195" i="129"/>
  <c r="BV194" i="129"/>
  <c r="BV193" i="129"/>
  <c r="BV192" i="129"/>
  <c r="BV191" i="129"/>
  <c r="BV190" i="129"/>
  <c r="BV189" i="129"/>
  <c r="BV188" i="129"/>
  <c r="BV187" i="129"/>
  <c r="BV186" i="129"/>
  <c r="BV185" i="129"/>
  <c r="BV184" i="129"/>
  <c r="BV183" i="129"/>
  <c r="BV182" i="129"/>
  <c r="BV181" i="129"/>
  <c r="BV180" i="129"/>
  <c r="BV179" i="129"/>
  <c r="BV178" i="129"/>
  <c r="BV177" i="129"/>
  <c r="BV176" i="129"/>
  <c r="BV175" i="129"/>
  <c r="BV174" i="129"/>
  <c r="BV173" i="129"/>
  <c r="BV172" i="129"/>
  <c r="BV171" i="129"/>
  <c r="BV170" i="129"/>
  <c r="BV169" i="129"/>
  <c r="BV168" i="129"/>
  <c r="BV167" i="129"/>
  <c r="BV166" i="129"/>
  <c r="BV165" i="129"/>
  <c r="BV164" i="129"/>
  <c r="BV163" i="129"/>
  <c r="BV162" i="129"/>
  <c r="BV161" i="129"/>
  <c r="BV160" i="129"/>
  <c r="BV159" i="129"/>
  <c r="BV158" i="129"/>
  <c r="BV157" i="129"/>
  <c r="BV156" i="129"/>
  <c r="BV155" i="129"/>
  <c r="BV154" i="129"/>
  <c r="BV153" i="129"/>
  <c r="BV152" i="129"/>
  <c r="BV151" i="129"/>
  <c r="BV150" i="129"/>
  <c r="BV149" i="129"/>
  <c r="BV148" i="129"/>
  <c r="BV147" i="129"/>
  <c r="BV146" i="129"/>
  <c r="BV145" i="129"/>
  <c r="BV144" i="129"/>
  <c r="BV143" i="129"/>
  <c r="BV142" i="129"/>
  <c r="BV141" i="129"/>
  <c r="BV140" i="129"/>
  <c r="BV139" i="129"/>
  <c r="BV138" i="129"/>
  <c r="BV137" i="129"/>
  <c r="BV136" i="129"/>
  <c r="BV135" i="129"/>
  <c r="BV134" i="129"/>
  <c r="BV133" i="129"/>
  <c r="BV132" i="129"/>
  <c r="BV131" i="129"/>
  <c r="BV130" i="129"/>
  <c r="BV129" i="129"/>
  <c r="BV128" i="129"/>
  <c r="BV127" i="129"/>
  <c r="BV126" i="129"/>
  <c r="BV125" i="129"/>
  <c r="BV124" i="129"/>
  <c r="BV123" i="129"/>
  <c r="BV122" i="129"/>
  <c r="BV121" i="129"/>
  <c r="BV120" i="129"/>
  <c r="BV119" i="129"/>
  <c r="BV118" i="129"/>
  <c r="BV117" i="129"/>
  <c r="BV116" i="129"/>
  <c r="BV115" i="129"/>
  <c r="BV114" i="129"/>
  <c r="BV113" i="129"/>
  <c r="BV112" i="129"/>
  <c r="BV111" i="129"/>
  <c r="BV110" i="129"/>
  <c r="BV109" i="129"/>
  <c r="BV108" i="129"/>
  <c r="BV107" i="129"/>
  <c r="BV106" i="129"/>
  <c r="BV105" i="129"/>
  <c r="BV104" i="129"/>
  <c r="BV103" i="129"/>
  <c r="BV102" i="129"/>
  <c r="BV101" i="129"/>
  <c r="BV100" i="129"/>
  <c r="BV99" i="129"/>
  <c r="BV98" i="129"/>
  <c r="BV97" i="129"/>
  <c r="BV96" i="129"/>
  <c r="BV95" i="129"/>
  <c r="BV94" i="129"/>
  <c r="BV93" i="129"/>
  <c r="BV92" i="129"/>
  <c r="BV91" i="129"/>
  <c r="BV90" i="129"/>
  <c r="BV89" i="129"/>
  <c r="BV88" i="129"/>
  <c r="BV87" i="129"/>
  <c r="BV86" i="129"/>
  <c r="BV85" i="129"/>
  <c r="BV84" i="129"/>
  <c r="BV83" i="129"/>
  <c r="BV82" i="129"/>
  <c r="BV81" i="129"/>
  <c r="BV80" i="129"/>
  <c r="BV79" i="129"/>
  <c r="BV78" i="129"/>
  <c r="BV77" i="129"/>
  <c r="BV76" i="129"/>
  <c r="BV75" i="129"/>
  <c r="BV74" i="129"/>
  <c r="BV73" i="129"/>
  <c r="BV72" i="129"/>
  <c r="BV71" i="129"/>
  <c r="BV70" i="129"/>
  <c r="BV69" i="129"/>
  <c r="BV68" i="129"/>
  <c r="BV67" i="129"/>
  <c r="BV66" i="129"/>
  <c r="BV65" i="129"/>
  <c r="BV64" i="129"/>
  <c r="BV63" i="129"/>
  <c r="BV62" i="129"/>
  <c r="BV61" i="129"/>
  <c r="BV60" i="129"/>
  <c r="BV59" i="129"/>
  <c r="BV58" i="129"/>
  <c r="BV57" i="129"/>
  <c r="BV56" i="129"/>
  <c r="BV55" i="129"/>
  <c r="BV54" i="129"/>
  <c r="BV53" i="129"/>
  <c r="BV52" i="129"/>
  <c r="BV51" i="129"/>
  <c r="BV50" i="129"/>
  <c r="BV49" i="129"/>
  <c r="BV48" i="129"/>
  <c r="BV47" i="129"/>
  <c r="BV46" i="129"/>
  <c r="BV45" i="129"/>
  <c r="BV44" i="129"/>
  <c r="BV43" i="129"/>
  <c r="BV42" i="129"/>
  <c r="BV41" i="129"/>
  <c r="BV39" i="129"/>
  <c r="BV38" i="129"/>
  <c r="BV37" i="129"/>
  <c r="BV36" i="129"/>
  <c r="BV35" i="129"/>
  <c r="BV34" i="129"/>
  <c r="BV33" i="129"/>
  <c r="BV32" i="129"/>
  <c r="BV31" i="129"/>
  <c r="BV30" i="129"/>
  <c r="BV29" i="129"/>
  <c r="BV28" i="129"/>
  <c r="BV27" i="129"/>
  <c r="BV26" i="129"/>
  <c r="BV25" i="129"/>
  <c r="BV24" i="129"/>
  <c r="BV23" i="129"/>
  <c r="BV22" i="129"/>
  <c r="BV21" i="129"/>
  <c r="BV20" i="129"/>
  <c r="BV19" i="129"/>
  <c r="BV18" i="129"/>
  <c r="BV17" i="129"/>
  <c r="BV16" i="129"/>
  <c r="BV15" i="129"/>
  <c r="BV14" i="129"/>
  <c r="BV13" i="129"/>
  <c r="BV12" i="129"/>
  <c r="BV11" i="129"/>
  <c r="BV10" i="129"/>
  <c r="BV9" i="129"/>
  <c r="BV8" i="129"/>
  <c r="BV6" i="129"/>
  <c r="BV5" i="129"/>
  <c r="BV4" i="129"/>
  <c r="BV3" i="129"/>
  <c r="BW889" i="129"/>
  <c r="BW888" i="129"/>
  <c r="BW887" i="129"/>
  <c r="BW886" i="129"/>
  <c r="BW885" i="129"/>
  <c r="BW884" i="129"/>
  <c r="BW883" i="129"/>
  <c r="BW882" i="129"/>
  <c r="BW881" i="129"/>
  <c r="BW880" i="129"/>
  <c r="BW879" i="129"/>
  <c r="BW878" i="129"/>
  <c r="BW877" i="129"/>
  <c r="BW876" i="129"/>
  <c r="BW875" i="129"/>
  <c r="BW874" i="129"/>
  <c r="BW873" i="129"/>
  <c r="BW872" i="129"/>
  <c r="BW871" i="129"/>
  <c r="BW870" i="129"/>
  <c r="BW869" i="129"/>
  <c r="BW868" i="129"/>
  <c r="BW867" i="129"/>
  <c r="BW866" i="129"/>
  <c r="BW865" i="129"/>
  <c r="BW864" i="129"/>
  <c r="BW863" i="129"/>
  <c r="BW862" i="129"/>
  <c r="BW861" i="129"/>
  <c r="BW860" i="129"/>
  <c r="BW859" i="129"/>
  <c r="BW858" i="129"/>
  <c r="BW857" i="129"/>
  <c r="BW856" i="129"/>
  <c r="BW855" i="129"/>
  <c r="BW854" i="129"/>
  <c r="BW853" i="129"/>
  <c r="BW852" i="129"/>
  <c r="BW851" i="129"/>
  <c r="BW850" i="129"/>
  <c r="BW849" i="129"/>
  <c r="BW848" i="129"/>
  <c r="BW847" i="129"/>
  <c r="BW846" i="129"/>
  <c r="BW845" i="129"/>
  <c r="BW844" i="129"/>
  <c r="BW843" i="129"/>
  <c r="BW842" i="129"/>
  <c r="BW841" i="129"/>
  <c r="BW840" i="129"/>
  <c r="BW839" i="129"/>
  <c r="BW838" i="129"/>
  <c r="BW837" i="129"/>
  <c r="BW836" i="129"/>
  <c r="BW835" i="129"/>
  <c r="BW834" i="129"/>
  <c r="BW833" i="129"/>
  <c r="BW832" i="129"/>
  <c r="BW831" i="129"/>
  <c r="BW830" i="129"/>
  <c r="BW829" i="129"/>
  <c r="BW828" i="129"/>
  <c r="BW827" i="129"/>
  <c r="BW826" i="129"/>
  <c r="BW825" i="129"/>
  <c r="BW824" i="129"/>
  <c r="BW823" i="129"/>
  <c r="BW822" i="129"/>
  <c r="BW821" i="129"/>
  <c r="BW820" i="129"/>
  <c r="BW819" i="129"/>
  <c r="BW818" i="129"/>
  <c r="BW817" i="129"/>
  <c r="BW816" i="129"/>
  <c r="BW815" i="129"/>
  <c r="BW814" i="129"/>
  <c r="BW813" i="129"/>
  <c r="BW812" i="129"/>
  <c r="BW811" i="129"/>
  <c r="BW810" i="129"/>
  <c r="BW809" i="129"/>
  <c r="BW808" i="129"/>
  <c r="BW807" i="129"/>
  <c r="BW806" i="129"/>
  <c r="BW805" i="129"/>
  <c r="BW804" i="129"/>
  <c r="BW803" i="129"/>
  <c r="BW802" i="129"/>
  <c r="BW801" i="129"/>
  <c r="BW800" i="129"/>
  <c r="BW799" i="129"/>
  <c r="BW798" i="129"/>
  <c r="BW797" i="129"/>
  <c r="BW796" i="129"/>
  <c r="BW795" i="129"/>
  <c r="BW794" i="129"/>
  <c r="BW793" i="129"/>
  <c r="BW792" i="129"/>
  <c r="BW791" i="129"/>
  <c r="BW790" i="129"/>
  <c r="BW789" i="129"/>
  <c r="BW788" i="129"/>
  <c r="BW787" i="129"/>
  <c r="BW786" i="129"/>
  <c r="BW785" i="129"/>
  <c r="BW784" i="129"/>
  <c r="BW783" i="129"/>
  <c r="BW782" i="129"/>
  <c r="BW781" i="129"/>
  <c r="BW780" i="129"/>
  <c r="BW779" i="129"/>
  <c r="BW778" i="129"/>
  <c r="BW777" i="129"/>
  <c r="BW776" i="129"/>
  <c r="BW775" i="129"/>
  <c r="BW774" i="129"/>
  <c r="BW773" i="129"/>
  <c r="BW772" i="129"/>
  <c r="BW771" i="129"/>
  <c r="BW770" i="129"/>
  <c r="BW769" i="129"/>
  <c r="BW768" i="129"/>
  <c r="BW767" i="129"/>
  <c r="BW766" i="129"/>
  <c r="BW765" i="129"/>
  <c r="BW764" i="129"/>
  <c r="BW763" i="129"/>
  <c r="BW762" i="129"/>
  <c r="BW761" i="129"/>
  <c r="BW760" i="129"/>
  <c r="BW759" i="129"/>
  <c r="BW758" i="129"/>
  <c r="BW757" i="129"/>
  <c r="BW756" i="129"/>
  <c r="BW755" i="129"/>
  <c r="BW754" i="129"/>
  <c r="BW753" i="129"/>
  <c r="BW752" i="129"/>
  <c r="BW751" i="129"/>
  <c r="BW750" i="129"/>
  <c r="BW749" i="129"/>
  <c r="BW748" i="129"/>
  <c r="BW747" i="129"/>
  <c r="BW746" i="129"/>
  <c r="BW745" i="129"/>
  <c r="BW744" i="129"/>
  <c r="BW743" i="129"/>
  <c r="BW742" i="129"/>
  <c r="BW741" i="129"/>
  <c r="BW740" i="129"/>
  <c r="BW739" i="129"/>
  <c r="BW738" i="129"/>
  <c r="BW737" i="129"/>
  <c r="BW736" i="129"/>
  <c r="BW735" i="129"/>
  <c r="BW734" i="129"/>
  <c r="BW733" i="129"/>
  <c r="BW732" i="129"/>
  <c r="BW731" i="129"/>
  <c r="BW730" i="129"/>
  <c r="BW729" i="129"/>
  <c r="BW728" i="129"/>
  <c r="BW727" i="129"/>
  <c r="BW726" i="129"/>
  <c r="BW725" i="129"/>
  <c r="BW724" i="129"/>
  <c r="BW723" i="129"/>
  <c r="BW722" i="129"/>
  <c r="BW721" i="129"/>
  <c r="BW720" i="129"/>
  <c r="BW719" i="129"/>
  <c r="BW718" i="129"/>
  <c r="BW717" i="129"/>
  <c r="BW716" i="129"/>
  <c r="BW715" i="129"/>
  <c r="BW714" i="129"/>
  <c r="BW713" i="129"/>
  <c r="BW712" i="129"/>
  <c r="BW711" i="129"/>
  <c r="BW710" i="129"/>
  <c r="BW709" i="129"/>
  <c r="BW708" i="129"/>
  <c r="BW707" i="129"/>
  <c r="BW706" i="129"/>
  <c r="BW705" i="129"/>
  <c r="BW704" i="129"/>
  <c r="BW703" i="129"/>
  <c r="BW702" i="129"/>
  <c r="BW701" i="129"/>
  <c r="BW700" i="129"/>
  <c r="BW699" i="129"/>
  <c r="BW698" i="129"/>
  <c r="BW697" i="129"/>
  <c r="BW696" i="129"/>
  <c r="BW695" i="129"/>
  <c r="BW694" i="129"/>
  <c r="BW693" i="129"/>
  <c r="BW692" i="129"/>
  <c r="BW691" i="129"/>
  <c r="BW690" i="129"/>
  <c r="BW689" i="129"/>
  <c r="BW688" i="129"/>
  <c r="BW687" i="129"/>
  <c r="BW686" i="129"/>
  <c r="BW685" i="129"/>
  <c r="BW684" i="129"/>
  <c r="BW683" i="129"/>
  <c r="BW682" i="129"/>
  <c r="BW681" i="129"/>
  <c r="BW680" i="129"/>
  <c r="BW679" i="129"/>
  <c r="BW678" i="129"/>
  <c r="BW677" i="129"/>
  <c r="BW676" i="129"/>
  <c r="BW675" i="129"/>
  <c r="BW674" i="129"/>
  <c r="BW673" i="129"/>
  <c r="BW672" i="129"/>
  <c r="BW671" i="129"/>
  <c r="BW670" i="129"/>
  <c r="BW669" i="129"/>
  <c r="BW668" i="129"/>
  <c r="BW667" i="129"/>
  <c r="BW666" i="129"/>
  <c r="BW665" i="129"/>
  <c r="BW664" i="129"/>
  <c r="BW663" i="129"/>
  <c r="BW662" i="129"/>
  <c r="BW661" i="129"/>
  <c r="BW660" i="129"/>
  <c r="BW659" i="129"/>
  <c r="BW658" i="129"/>
  <c r="BW657" i="129"/>
  <c r="BW656" i="129"/>
  <c r="BW655" i="129"/>
  <c r="BW654" i="129"/>
  <c r="BW653" i="129"/>
  <c r="BW652" i="129"/>
  <c r="BW651" i="129"/>
  <c r="BW650" i="129"/>
  <c r="BW649" i="129"/>
  <c r="BW648" i="129"/>
  <c r="BW647" i="129"/>
  <c r="BW646" i="129"/>
  <c r="BW645" i="129"/>
  <c r="BW644" i="129"/>
  <c r="BW643" i="129"/>
  <c r="BW642" i="129"/>
  <c r="BW641" i="129"/>
  <c r="BW640" i="129"/>
  <c r="BW639" i="129"/>
  <c r="BW638" i="129"/>
  <c r="BW637" i="129"/>
  <c r="BW636" i="129"/>
  <c r="BW635" i="129"/>
  <c r="BW634" i="129"/>
  <c r="BW633" i="129"/>
  <c r="BW632" i="129"/>
  <c r="BW631" i="129"/>
  <c r="BW630" i="129"/>
  <c r="BW629" i="129"/>
  <c r="BW628" i="129"/>
  <c r="BW627" i="129"/>
  <c r="BW626" i="129"/>
  <c r="BW625" i="129"/>
  <c r="BW624" i="129"/>
  <c r="BW623" i="129"/>
  <c r="BW622" i="129"/>
  <c r="BW621" i="129"/>
  <c r="BW620" i="129"/>
  <c r="BW619" i="129"/>
  <c r="BW618" i="129"/>
  <c r="BW617" i="129"/>
  <c r="BW616" i="129"/>
  <c r="BW615" i="129"/>
  <c r="BW614" i="129"/>
  <c r="BW613" i="129"/>
  <c r="BW612" i="129"/>
  <c r="BW611" i="129"/>
  <c r="BW610" i="129"/>
  <c r="BW609" i="129"/>
  <c r="BW608" i="129"/>
  <c r="BW607" i="129"/>
  <c r="BW606" i="129"/>
  <c r="BW605" i="129"/>
  <c r="BW604" i="129"/>
  <c r="BW603" i="129"/>
  <c r="BW602" i="129"/>
  <c r="BW601" i="129"/>
  <c r="BW600" i="129"/>
  <c r="BW599" i="129"/>
  <c r="BW598" i="129"/>
  <c r="BW597" i="129"/>
  <c r="BW596" i="129"/>
  <c r="BW595" i="129"/>
  <c r="BW594" i="129"/>
  <c r="BW593" i="129"/>
  <c r="BW592" i="129"/>
  <c r="BW591" i="129"/>
  <c r="BW590" i="129"/>
  <c r="BW589" i="129"/>
  <c r="BW588" i="129"/>
  <c r="BW587" i="129"/>
  <c r="BW586" i="129"/>
  <c r="BW585" i="129"/>
  <c r="BW584" i="129"/>
  <c r="BW583" i="129"/>
  <c r="BW582" i="129"/>
  <c r="BW581" i="129"/>
  <c r="BW580" i="129"/>
  <c r="BW579" i="129"/>
  <c r="BW578" i="129"/>
  <c r="BW577" i="129"/>
  <c r="BW576" i="129"/>
  <c r="BW575" i="129"/>
  <c r="BW574" i="129"/>
  <c r="BW573" i="129"/>
  <c r="BW572" i="129"/>
  <c r="BW571" i="129"/>
  <c r="BW570" i="129"/>
  <c r="BW569" i="129"/>
  <c r="BW568" i="129"/>
  <c r="BW567" i="129"/>
  <c r="BW566" i="129"/>
  <c r="BW565" i="129"/>
  <c r="BW564" i="129"/>
  <c r="BW563" i="129"/>
  <c r="BW562" i="129"/>
  <c r="BW561" i="129"/>
  <c r="BW560" i="129"/>
  <c r="BW559" i="129"/>
  <c r="BW558" i="129"/>
  <c r="BW557" i="129"/>
  <c r="BW556" i="129"/>
  <c r="BW555" i="129"/>
  <c r="BW554" i="129"/>
  <c r="BW553" i="129"/>
  <c r="BW552" i="129"/>
  <c r="BW551" i="129"/>
  <c r="BW550" i="129"/>
  <c r="BW549" i="129"/>
  <c r="BW548" i="129"/>
  <c r="BW547" i="129"/>
  <c r="BW546" i="129"/>
  <c r="BW545" i="129"/>
  <c r="BW544" i="129"/>
  <c r="BW543" i="129"/>
  <c r="BW542" i="129"/>
  <c r="BW541" i="129"/>
  <c r="BW540" i="129"/>
  <c r="BW539" i="129"/>
  <c r="BW538" i="129"/>
  <c r="BW537" i="129"/>
  <c r="BW536" i="129"/>
  <c r="BW535" i="129"/>
  <c r="BW534" i="129"/>
  <c r="BW533" i="129"/>
  <c r="BW532" i="129"/>
  <c r="BW531" i="129"/>
  <c r="BW530" i="129"/>
  <c r="BW529" i="129"/>
  <c r="BW528" i="129"/>
  <c r="BW527" i="129"/>
  <c r="BW526" i="129"/>
  <c r="BW525" i="129"/>
  <c r="BW524" i="129"/>
  <c r="BW523" i="129"/>
  <c r="BW522" i="129"/>
  <c r="BW521" i="129"/>
  <c r="BW520" i="129"/>
  <c r="BW519" i="129"/>
  <c r="BW518" i="129"/>
  <c r="BW517" i="129"/>
  <c r="BW516" i="129"/>
  <c r="BW515" i="129"/>
  <c r="BW514" i="129"/>
  <c r="BW513" i="129"/>
  <c r="BW512" i="129"/>
  <c r="BW511" i="129"/>
  <c r="BW510" i="129"/>
  <c r="BW509" i="129"/>
  <c r="BW508" i="129"/>
  <c r="BW507" i="129"/>
  <c r="BW506" i="129"/>
  <c r="BW505" i="129"/>
  <c r="BW504" i="129"/>
  <c r="BW503" i="129"/>
  <c r="BW502" i="129"/>
  <c r="BW501" i="129"/>
  <c r="BW500" i="129"/>
  <c r="BW499" i="129"/>
  <c r="BW498" i="129"/>
  <c r="BW497" i="129"/>
  <c r="BW496" i="129"/>
  <c r="BW495" i="129"/>
  <c r="BW494" i="129"/>
  <c r="BW493" i="129"/>
  <c r="BW492" i="129"/>
  <c r="BW491" i="129"/>
  <c r="BW490" i="129"/>
  <c r="BW489" i="129"/>
  <c r="BW488" i="129"/>
  <c r="BW487" i="129"/>
  <c r="BW486" i="129"/>
  <c r="BW485" i="129"/>
  <c r="BW484" i="129"/>
  <c r="BW483" i="129"/>
  <c r="BW482" i="129"/>
  <c r="BW481" i="129"/>
  <c r="BW480" i="129"/>
  <c r="BW479" i="129"/>
  <c r="BW478" i="129"/>
  <c r="BW477" i="129"/>
  <c r="BW476" i="129"/>
  <c r="BW475" i="129"/>
  <c r="BW474" i="129"/>
  <c r="BW473" i="129"/>
  <c r="BW472" i="129"/>
  <c r="BW471" i="129"/>
  <c r="BW470" i="129"/>
  <c r="BW469" i="129"/>
  <c r="BW468" i="129"/>
  <c r="BW467" i="129"/>
  <c r="BW466" i="129"/>
  <c r="BW465" i="129"/>
  <c r="BW464" i="129"/>
  <c r="BW463" i="129"/>
  <c r="BW462" i="129"/>
  <c r="BW461" i="129"/>
  <c r="BW460" i="129"/>
  <c r="BW459" i="129"/>
  <c r="BW458" i="129"/>
  <c r="BW457" i="129"/>
  <c r="BW456" i="129"/>
  <c r="BW455" i="129"/>
  <c r="BW454" i="129"/>
  <c r="BW453" i="129"/>
  <c r="BW452" i="129"/>
  <c r="BW451" i="129"/>
  <c r="BW450" i="129"/>
  <c r="BW449" i="129"/>
  <c r="BW448" i="129"/>
  <c r="BW447" i="129"/>
  <c r="BW446" i="129"/>
  <c r="BW445" i="129"/>
  <c r="BW444" i="129"/>
  <c r="BW443" i="129"/>
  <c r="BW442" i="129"/>
  <c r="BW441" i="129"/>
  <c r="BW440" i="129"/>
  <c r="BW439" i="129"/>
  <c r="BW438" i="129"/>
  <c r="BW437" i="129"/>
  <c r="BW436" i="129"/>
  <c r="BW435" i="129"/>
  <c r="BW434" i="129"/>
  <c r="BW433" i="129"/>
  <c r="BW432" i="129"/>
  <c r="BW431" i="129"/>
  <c r="BW430" i="129"/>
  <c r="BW429" i="129"/>
  <c r="BW428" i="129"/>
  <c r="BW427" i="129"/>
  <c r="BW426" i="129"/>
  <c r="BW425" i="129"/>
  <c r="BW424" i="129"/>
  <c r="BW423" i="129"/>
  <c r="BW422" i="129"/>
  <c r="BW421" i="129"/>
  <c r="BW420" i="129"/>
  <c r="BW419" i="129"/>
  <c r="BW418" i="129"/>
  <c r="BW417" i="129"/>
  <c r="BW416" i="129"/>
  <c r="BW415" i="129"/>
  <c r="BW414" i="129"/>
  <c r="BW413" i="129"/>
  <c r="BW412" i="129"/>
  <c r="BW411" i="129"/>
  <c r="BW410" i="129"/>
  <c r="BW409" i="129"/>
  <c r="BW408" i="129"/>
  <c r="BW407" i="129"/>
  <c r="BW406" i="129"/>
  <c r="BW405" i="129"/>
  <c r="BW404" i="129"/>
  <c r="BW403" i="129"/>
  <c r="BW402" i="129"/>
  <c r="BW401" i="129"/>
  <c r="BW400" i="129"/>
  <c r="BW399" i="129"/>
  <c r="BW398" i="129"/>
  <c r="BW397" i="129"/>
  <c r="BW396" i="129"/>
  <c r="BW395" i="129"/>
  <c r="BW394" i="129"/>
  <c r="BW393" i="129"/>
  <c r="BW392" i="129"/>
  <c r="BW391" i="129"/>
  <c r="BW390" i="129"/>
  <c r="BW389" i="129"/>
  <c r="BW388" i="129"/>
  <c r="BW387" i="129"/>
  <c r="BW386" i="129"/>
  <c r="BW385" i="129"/>
  <c r="BW384" i="129"/>
  <c r="BW383" i="129"/>
  <c r="BW382" i="129"/>
  <c r="BW381" i="129"/>
  <c r="BW380" i="129"/>
  <c r="BW379" i="129"/>
  <c r="BW378" i="129"/>
  <c r="BW377" i="129"/>
  <c r="BW376" i="129"/>
  <c r="BW375" i="129"/>
  <c r="BW374" i="129"/>
  <c r="BW373" i="129"/>
  <c r="BW372" i="129"/>
  <c r="BW371" i="129"/>
  <c r="BW370" i="129"/>
  <c r="BW369" i="129"/>
  <c r="BW368" i="129"/>
  <c r="BW367" i="129"/>
  <c r="BW366" i="129"/>
  <c r="BW365" i="129"/>
  <c r="BW364" i="129"/>
  <c r="BW363" i="129"/>
  <c r="BW362" i="129"/>
  <c r="BW361" i="129"/>
  <c r="BW360" i="129"/>
  <c r="BW359" i="129"/>
  <c r="BW358" i="129"/>
  <c r="BW357" i="129"/>
  <c r="BW356" i="129"/>
  <c r="BW355" i="129"/>
  <c r="BW354" i="129"/>
  <c r="BW353" i="129"/>
  <c r="BW352" i="129"/>
  <c r="BW351" i="129"/>
  <c r="BW350" i="129"/>
  <c r="BW349" i="129"/>
  <c r="BW348" i="129"/>
  <c r="BW347" i="129"/>
  <c r="BW346" i="129"/>
  <c r="BW345" i="129"/>
  <c r="BW344" i="129"/>
  <c r="BW343" i="129"/>
  <c r="BW342" i="129"/>
  <c r="BW341" i="129"/>
  <c r="BW340" i="129"/>
  <c r="BW339" i="129"/>
  <c r="BW338" i="129"/>
  <c r="BW337" i="129"/>
  <c r="BW336" i="129"/>
  <c r="BW335" i="129"/>
  <c r="BW334" i="129"/>
  <c r="BW333" i="129"/>
  <c r="BW332" i="129"/>
  <c r="BW331" i="129"/>
  <c r="BW330" i="129"/>
  <c r="BW329" i="129"/>
  <c r="BW328" i="129"/>
  <c r="BW327" i="129"/>
  <c r="BW326" i="129"/>
  <c r="BW325" i="129"/>
  <c r="BW324" i="129"/>
  <c r="BW323" i="129"/>
  <c r="BW322" i="129"/>
  <c r="BW321" i="129"/>
  <c r="BW320" i="129"/>
  <c r="BW319" i="129"/>
  <c r="BW318" i="129"/>
  <c r="BW317" i="129"/>
  <c r="BW316" i="129"/>
  <c r="BW315" i="129"/>
  <c r="BW314" i="129"/>
  <c r="BW313" i="129"/>
  <c r="BW312" i="129"/>
  <c r="BW311" i="129"/>
  <c r="BW310" i="129"/>
  <c r="BW309" i="129"/>
  <c r="BW308" i="129"/>
  <c r="BW307" i="129"/>
  <c r="BW306" i="129"/>
  <c r="BW305" i="129"/>
  <c r="BW304" i="129"/>
  <c r="BW303" i="129"/>
  <c r="BW302" i="129"/>
  <c r="BW301" i="129"/>
  <c r="BW300" i="129"/>
  <c r="BW299" i="129"/>
  <c r="BW298" i="129"/>
  <c r="BW297" i="129"/>
  <c r="BW296" i="129"/>
  <c r="BW295" i="129"/>
  <c r="BW294" i="129"/>
  <c r="BW293" i="129"/>
  <c r="BW292" i="129"/>
  <c r="BW291" i="129"/>
  <c r="BW290" i="129"/>
  <c r="BW289" i="129"/>
  <c r="BW288" i="129"/>
  <c r="BW287" i="129"/>
  <c r="BW286" i="129"/>
  <c r="BW285" i="129"/>
  <c r="BW284" i="129"/>
  <c r="BW283" i="129"/>
  <c r="BW282" i="129"/>
  <c r="BW281" i="129"/>
  <c r="BW280" i="129"/>
  <c r="BW279" i="129"/>
  <c r="BW278" i="129"/>
  <c r="BW277" i="129"/>
  <c r="BW276" i="129"/>
  <c r="BW275" i="129"/>
  <c r="BW274" i="129"/>
  <c r="BW273" i="129"/>
  <c r="BW272" i="129"/>
  <c r="BW271" i="129"/>
  <c r="BW270" i="129"/>
  <c r="BW269" i="129"/>
  <c r="BW268" i="129"/>
  <c r="BW267" i="129"/>
  <c r="BW266" i="129"/>
  <c r="BW265" i="129"/>
  <c r="BW264" i="129"/>
  <c r="BW263" i="129"/>
  <c r="BW262" i="129"/>
  <c r="BW261" i="129"/>
  <c r="BW260" i="129"/>
  <c r="BW259" i="129"/>
  <c r="BW258" i="129"/>
  <c r="BW257" i="129"/>
  <c r="BW256" i="129"/>
  <c r="BW255" i="129"/>
  <c r="BW254" i="129"/>
  <c r="BW253" i="129"/>
  <c r="BW252" i="129"/>
  <c r="BW251" i="129"/>
  <c r="BW250" i="129"/>
  <c r="BW249" i="129"/>
  <c r="BW248" i="129"/>
  <c r="BW247" i="129"/>
  <c r="BW246" i="129"/>
  <c r="BW245" i="129"/>
  <c r="BW244" i="129"/>
  <c r="BW243" i="129"/>
  <c r="BW242" i="129"/>
  <c r="BW241" i="129"/>
  <c r="BW240" i="129"/>
  <c r="BW239" i="129"/>
  <c r="BW238" i="129"/>
  <c r="BW237" i="129"/>
  <c r="BW236" i="129"/>
  <c r="BW235" i="129"/>
  <c r="BW234" i="129"/>
  <c r="BW233" i="129"/>
  <c r="BW232" i="129"/>
  <c r="BW231" i="129"/>
  <c r="BW230" i="129"/>
  <c r="BW229" i="129"/>
  <c r="BW228" i="129"/>
  <c r="BW227" i="129"/>
  <c r="BW226" i="129"/>
  <c r="BW225" i="129"/>
  <c r="BW224" i="129"/>
  <c r="BW223" i="129"/>
  <c r="BW222" i="129"/>
  <c r="BW221" i="129"/>
  <c r="BW220" i="129"/>
  <c r="BW219" i="129"/>
  <c r="BW218" i="129"/>
  <c r="BW217" i="129"/>
  <c r="BW216" i="129"/>
  <c r="BW215" i="129"/>
  <c r="BW214" i="129"/>
  <c r="BW213" i="129"/>
  <c r="BW212" i="129"/>
  <c r="BW211" i="129"/>
  <c r="BW210" i="129"/>
  <c r="BW209" i="129"/>
  <c r="BW208" i="129"/>
  <c r="BW207" i="129"/>
  <c r="BW206" i="129"/>
  <c r="BW205" i="129"/>
  <c r="BW204" i="129"/>
  <c r="BW203" i="129"/>
  <c r="BW202" i="129"/>
  <c r="BW201" i="129"/>
  <c r="BW200" i="129"/>
  <c r="BW199" i="129"/>
  <c r="BW198" i="129"/>
  <c r="BW197" i="129"/>
  <c r="BW196" i="129"/>
  <c r="BW195" i="129"/>
  <c r="BW194" i="129"/>
  <c r="BW193" i="129"/>
  <c r="BW192" i="129"/>
  <c r="BW191" i="129"/>
  <c r="BW190" i="129"/>
  <c r="BW189" i="129"/>
  <c r="BW188" i="129"/>
  <c r="BW187" i="129"/>
  <c r="BW186" i="129"/>
  <c r="BW185" i="129"/>
  <c r="BW184" i="129"/>
  <c r="BW183" i="129"/>
  <c r="BW182" i="129"/>
  <c r="BW181" i="129"/>
  <c r="BW180" i="129"/>
  <c r="BW179" i="129"/>
  <c r="BW178" i="129"/>
  <c r="BW177" i="129"/>
  <c r="BW176" i="129"/>
  <c r="BW175" i="129"/>
  <c r="BW174" i="129"/>
  <c r="BW173" i="129"/>
  <c r="BW172" i="129"/>
  <c r="BW171" i="129"/>
  <c r="BW170" i="129"/>
  <c r="BW169" i="129"/>
  <c r="BW168" i="129"/>
  <c r="BW167" i="129"/>
  <c r="BW166" i="129"/>
  <c r="BW165" i="129"/>
  <c r="BW164" i="129"/>
  <c r="BW163" i="129"/>
  <c r="BW162" i="129"/>
  <c r="BW161" i="129"/>
  <c r="BW160" i="129"/>
  <c r="BW159" i="129"/>
  <c r="BW158" i="129"/>
  <c r="BW157" i="129"/>
  <c r="BW156" i="129"/>
  <c r="BW155" i="129"/>
  <c r="BW154" i="129"/>
  <c r="BW153" i="129"/>
  <c r="BW152" i="129"/>
  <c r="BW151" i="129"/>
  <c r="BW150" i="129"/>
  <c r="BW149" i="129"/>
  <c r="BW148" i="129"/>
  <c r="BW147" i="129"/>
  <c r="BW146" i="129"/>
  <c r="BW145" i="129"/>
  <c r="BW144" i="129"/>
  <c r="BW143" i="129"/>
  <c r="BW142" i="129"/>
  <c r="BW141" i="129"/>
  <c r="BW140" i="129"/>
  <c r="BW139" i="129"/>
  <c r="BW138" i="129"/>
  <c r="BW137" i="129"/>
  <c r="BW136" i="129"/>
  <c r="BW135" i="129"/>
  <c r="BW134" i="129"/>
  <c r="BW133" i="129"/>
  <c r="BW132" i="129"/>
  <c r="BW131" i="129"/>
  <c r="BW130" i="129"/>
  <c r="BW129" i="129"/>
  <c r="BW128" i="129"/>
  <c r="BW127" i="129"/>
  <c r="BW126" i="129"/>
  <c r="BW125" i="129"/>
  <c r="BW124" i="129"/>
  <c r="BW123" i="129"/>
  <c r="BW122" i="129"/>
  <c r="BW121" i="129"/>
  <c r="BW120" i="129"/>
  <c r="BW119" i="129"/>
  <c r="BW118" i="129"/>
  <c r="BW117" i="129"/>
  <c r="BW116" i="129"/>
  <c r="BW115" i="129"/>
  <c r="BW114" i="129"/>
  <c r="BW113" i="129"/>
  <c r="BW112" i="129"/>
  <c r="BW111" i="129"/>
  <c r="BW110" i="129"/>
  <c r="BW109" i="129"/>
  <c r="BW108" i="129"/>
  <c r="BW107" i="129"/>
  <c r="BW106" i="129"/>
  <c r="BW105" i="129"/>
  <c r="BW104" i="129"/>
  <c r="BW103" i="129"/>
  <c r="BW102" i="129"/>
  <c r="BW101" i="129"/>
  <c r="BW100" i="129"/>
  <c r="BW99" i="129"/>
  <c r="BW98" i="129"/>
  <c r="BW97" i="129"/>
  <c r="BW96" i="129"/>
  <c r="BW95" i="129"/>
  <c r="BW94" i="129"/>
  <c r="BW93" i="129"/>
  <c r="BW92" i="129"/>
  <c r="BW91" i="129"/>
  <c r="BW90" i="129"/>
  <c r="BW89" i="129"/>
  <c r="BW88" i="129"/>
  <c r="BW87" i="129"/>
  <c r="BW86" i="129"/>
  <c r="BW85" i="129"/>
  <c r="BW84" i="129"/>
  <c r="BW83" i="129"/>
  <c r="BW82" i="129"/>
  <c r="BW81" i="129"/>
  <c r="BW80" i="129"/>
  <c r="BW79" i="129"/>
  <c r="BW78" i="129"/>
  <c r="BW77" i="129"/>
  <c r="BW76" i="129"/>
  <c r="BW75" i="129"/>
  <c r="BW74" i="129"/>
  <c r="BW73" i="129"/>
  <c r="BW72" i="129"/>
  <c r="BW71" i="129"/>
  <c r="BW70" i="129"/>
  <c r="BW69" i="129"/>
  <c r="BW68" i="129"/>
  <c r="BW67" i="129"/>
  <c r="BW66" i="129"/>
  <c r="BW65" i="129"/>
  <c r="BW64" i="129"/>
  <c r="BW63" i="129"/>
  <c r="BW62" i="129"/>
  <c r="BW61" i="129"/>
  <c r="BW60" i="129"/>
  <c r="BW59" i="129"/>
  <c r="BW58" i="129"/>
  <c r="BW57" i="129"/>
  <c r="BW56" i="129"/>
  <c r="BW55" i="129"/>
  <c r="BW54" i="129"/>
  <c r="BW53" i="129"/>
  <c r="BW52" i="129"/>
  <c r="BW51" i="129"/>
  <c r="BW50" i="129"/>
  <c r="BW49" i="129"/>
  <c r="BW48" i="129"/>
  <c r="BW47" i="129"/>
  <c r="BW46" i="129"/>
  <c r="BW45" i="129"/>
  <c r="BW44" i="129"/>
  <c r="BW43" i="129"/>
  <c r="BW42" i="129"/>
  <c r="BW41" i="129"/>
  <c r="BW40" i="129"/>
  <c r="BW39" i="129"/>
  <c r="BW38" i="129"/>
  <c r="BW37" i="129"/>
  <c r="BW36" i="129"/>
  <c r="BW35" i="129"/>
  <c r="BW34" i="129"/>
  <c r="BW33" i="129"/>
  <c r="BW32" i="129"/>
  <c r="BW31" i="129"/>
  <c r="BW30" i="129"/>
  <c r="BW29" i="129"/>
  <c r="BW28" i="129"/>
  <c r="BW27" i="129"/>
  <c r="BW26" i="129"/>
  <c r="BW25" i="129"/>
  <c r="BW24" i="129"/>
  <c r="BW23" i="129"/>
  <c r="BW22" i="129"/>
  <c r="BW21" i="129"/>
  <c r="BW20" i="129"/>
  <c r="BW19" i="129"/>
  <c r="BW18" i="129"/>
  <c r="BW17" i="129"/>
  <c r="BW16" i="129"/>
  <c r="BW15" i="129"/>
  <c r="BW14" i="129"/>
  <c r="BW13" i="129"/>
  <c r="BW12" i="129"/>
  <c r="BW11" i="129"/>
  <c r="BW10" i="129"/>
  <c r="BW9" i="129"/>
  <c r="BW8" i="129"/>
  <c r="BW7" i="129"/>
  <c r="BW6" i="129"/>
  <c r="BW5" i="129"/>
  <c r="BW4" i="129"/>
  <c r="BW890" i="129"/>
  <c r="AR889" i="129" l="1"/>
  <c r="AR888" i="129"/>
  <c r="AR887" i="129"/>
  <c r="AR886" i="129"/>
  <c r="AR885" i="129"/>
  <c r="AR884" i="129"/>
  <c r="AR883" i="129"/>
  <c r="AR882" i="129"/>
  <c r="AR881" i="129"/>
  <c r="AR880" i="129"/>
  <c r="AR879" i="129"/>
  <c r="AR878" i="129"/>
  <c r="AR877" i="129"/>
  <c r="AR876" i="129"/>
  <c r="AR875" i="129"/>
  <c r="AR874" i="129"/>
  <c r="AR873" i="129"/>
  <c r="AR872" i="129"/>
  <c r="AR871" i="129"/>
  <c r="AR870" i="129"/>
  <c r="AR869" i="129"/>
  <c r="AR868" i="129"/>
  <c r="AR867" i="129"/>
  <c r="AR866" i="129"/>
  <c r="AR865" i="129"/>
  <c r="AR864" i="129"/>
  <c r="AR863" i="129"/>
  <c r="AR862" i="129"/>
  <c r="AR861" i="129"/>
  <c r="AR860" i="129"/>
  <c r="AR859" i="129"/>
  <c r="AR858" i="129"/>
  <c r="AR857" i="129"/>
  <c r="AR856" i="129"/>
  <c r="AR855" i="129"/>
  <c r="AR854" i="129"/>
  <c r="AR853" i="129"/>
  <c r="AR852" i="129"/>
  <c r="AR851" i="129"/>
  <c r="AR850" i="129"/>
  <c r="AR849" i="129"/>
  <c r="AR848" i="129"/>
  <c r="AR847" i="129"/>
  <c r="AR846" i="129"/>
  <c r="AR845" i="129"/>
  <c r="AR844" i="129"/>
  <c r="AR843" i="129"/>
  <c r="AR842" i="129"/>
  <c r="AR841" i="129"/>
  <c r="AR840" i="129"/>
  <c r="AR839" i="129"/>
  <c r="AR838" i="129"/>
  <c r="AR837" i="129"/>
  <c r="AR836" i="129"/>
  <c r="AR835" i="129"/>
  <c r="AR834" i="129"/>
  <c r="AR833" i="129"/>
  <c r="AR832" i="129"/>
  <c r="AR831" i="129"/>
  <c r="AR830" i="129"/>
  <c r="AR829" i="129"/>
  <c r="AR828" i="129"/>
  <c r="AR827" i="129"/>
  <c r="AR826" i="129"/>
  <c r="AR825" i="129"/>
  <c r="AR824" i="129"/>
  <c r="AR823" i="129"/>
  <c r="AR822" i="129"/>
  <c r="AR821" i="129"/>
  <c r="AR820" i="129"/>
  <c r="AR819" i="129"/>
  <c r="AR818" i="129"/>
  <c r="AR817" i="129"/>
  <c r="AR816" i="129"/>
  <c r="AR815" i="129"/>
  <c r="AR814" i="129"/>
  <c r="AR813" i="129"/>
  <c r="AR812" i="129"/>
  <c r="AR811" i="129"/>
  <c r="AR810" i="129"/>
  <c r="AR809" i="129"/>
  <c r="AR808" i="129"/>
  <c r="AR807" i="129"/>
  <c r="AR806" i="129"/>
  <c r="AR805" i="129"/>
  <c r="AR804" i="129"/>
  <c r="AR803" i="129"/>
  <c r="AR802" i="129"/>
  <c r="AR801" i="129"/>
  <c r="AR800" i="129"/>
  <c r="AR799" i="129"/>
  <c r="AR798" i="129"/>
  <c r="AR797" i="129"/>
  <c r="AR796" i="129"/>
  <c r="AR795" i="129"/>
  <c r="AR794" i="129"/>
  <c r="AR793" i="129"/>
  <c r="AR792" i="129"/>
  <c r="AR791" i="129"/>
  <c r="AR790" i="129"/>
  <c r="AR789" i="129"/>
  <c r="AR788" i="129"/>
  <c r="AR787" i="129"/>
  <c r="AR786" i="129"/>
  <c r="AR785" i="129"/>
  <c r="AR784" i="129"/>
  <c r="AR783" i="129"/>
  <c r="AR782" i="129"/>
  <c r="AR781" i="129"/>
  <c r="AR780" i="129"/>
  <c r="AR779" i="129"/>
  <c r="AR778" i="129"/>
  <c r="AR777" i="129"/>
  <c r="AR776" i="129"/>
  <c r="AR775" i="129"/>
  <c r="AR774" i="129"/>
  <c r="AR773" i="129"/>
  <c r="AR772" i="129"/>
  <c r="AR771" i="129"/>
  <c r="AR770" i="129"/>
  <c r="AR769" i="129"/>
  <c r="AR768" i="129"/>
  <c r="AR767" i="129"/>
  <c r="AR766" i="129"/>
  <c r="AR765" i="129"/>
  <c r="AR764" i="129"/>
  <c r="AR763" i="129"/>
  <c r="AR762" i="129"/>
  <c r="AR761" i="129"/>
  <c r="AR760" i="129"/>
  <c r="AR759" i="129"/>
  <c r="AR758" i="129"/>
  <c r="AR757" i="129"/>
  <c r="AR756" i="129"/>
  <c r="AR755" i="129"/>
  <c r="AR754" i="129"/>
  <c r="AR753" i="129"/>
  <c r="AR752" i="129"/>
  <c r="AR751" i="129"/>
  <c r="AR750" i="129"/>
  <c r="AR749" i="129"/>
  <c r="AR748" i="129"/>
  <c r="AR747" i="129"/>
  <c r="AR746" i="129"/>
  <c r="AR745" i="129"/>
  <c r="AR744" i="129"/>
  <c r="AR743" i="129"/>
  <c r="AR742" i="129"/>
  <c r="AR741" i="129"/>
  <c r="AR740" i="129"/>
  <c r="AR739" i="129"/>
  <c r="AR738" i="129"/>
  <c r="AR737" i="129"/>
  <c r="AR736" i="129"/>
  <c r="AR735" i="129"/>
  <c r="AR734" i="129"/>
  <c r="AR733" i="129"/>
  <c r="AR732" i="129"/>
  <c r="AR731" i="129"/>
  <c r="AR730" i="129"/>
  <c r="AR729" i="129"/>
  <c r="AR728" i="129"/>
  <c r="AR727" i="129"/>
  <c r="AR726" i="129"/>
  <c r="AR725" i="129"/>
  <c r="AR724" i="129"/>
  <c r="AR723" i="129"/>
  <c r="AR722" i="129"/>
  <c r="AR721" i="129"/>
  <c r="AR720" i="129"/>
  <c r="AR719" i="129"/>
  <c r="AR718" i="129"/>
  <c r="AR717" i="129"/>
  <c r="AR716" i="129"/>
  <c r="AR715" i="129"/>
  <c r="AR714" i="129"/>
  <c r="AR713" i="129"/>
  <c r="AR712" i="129"/>
  <c r="AR711" i="129"/>
  <c r="AR710" i="129"/>
  <c r="AR709" i="129"/>
  <c r="AR708" i="129"/>
  <c r="AR707" i="129"/>
  <c r="AR706" i="129"/>
  <c r="AR705" i="129"/>
  <c r="AR704" i="129"/>
  <c r="AR703" i="129"/>
  <c r="AR702" i="129"/>
  <c r="AR701" i="129"/>
  <c r="AR700" i="129"/>
  <c r="AR699" i="129"/>
  <c r="AR698" i="129"/>
  <c r="AR697" i="129"/>
  <c r="AR696" i="129"/>
  <c r="AR695" i="129"/>
  <c r="AR694" i="129"/>
  <c r="AR693" i="129"/>
  <c r="AR692" i="129"/>
  <c r="AR691" i="129"/>
  <c r="AR690" i="129"/>
  <c r="AR689" i="129"/>
  <c r="AR688" i="129"/>
  <c r="AR687" i="129"/>
  <c r="AR686" i="129"/>
  <c r="AR685" i="129"/>
  <c r="AR684" i="129"/>
  <c r="AR683" i="129"/>
  <c r="AR682" i="129"/>
  <c r="AR681" i="129"/>
  <c r="AR680" i="129"/>
  <c r="AR679" i="129"/>
  <c r="AR678" i="129"/>
  <c r="AR677" i="129"/>
  <c r="AR676" i="129"/>
  <c r="AR675" i="129"/>
  <c r="AR674" i="129"/>
  <c r="AR673" i="129"/>
  <c r="AR672" i="129"/>
  <c r="AR671" i="129"/>
  <c r="AR670" i="129"/>
  <c r="AR669" i="129"/>
  <c r="AR668" i="129"/>
  <c r="AR667" i="129"/>
  <c r="AR666" i="129"/>
  <c r="AR665" i="129"/>
  <c r="AR664" i="129"/>
  <c r="AR663" i="129"/>
  <c r="AR662" i="129"/>
  <c r="AR661" i="129"/>
  <c r="AR660" i="129"/>
  <c r="AR659" i="129"/>
  <c r="AR658" i="129"/>
  <c r="AR657" i="129"/>
  <c r="AR656" i="129"/>
  <c r="AR655" i="129"/>
  <c r="AR654" i="129"/>
  <c r="AR653" i="129"/>
  <c r="AR652" i="129"/>
  <c r="AR651" i="129"/>
  <c r="AR650" i="129"/>
  <c r="AR649" i="129"/>
  <c r="AR648" i="129"/>
  <c r="AR647" i="129"/>
  <c r="AR646" i="129"/>
  <c r="AR645" i="129"/>
  <c r="AR644" i="129"/>
  <c r="AR643" i="129"/>
  <c r="AR642" i="129"/>
  <c r="AR641" i="129"/>
  <c r="AR640" i="129"/>
  <c r="AR639" i="129"/>
  <c r="AR638" i="129"/>
  <c r="AR637" i="129"/>
  <c r="AR636" i="129"/>
  <c r="AR635" i="129"/>
  <c r="AR634" i="129"/>
  <c r="AR633" i="129"/>
  <c r="AR632" i="129"/>
  <c r="AR631" i="129"/>
  <c r="AR630" i="129"/>
  <c r="AR629" i="129"/>
  <c r="AR628" i="129"/>
  <c r="AR627" i="129"/>
  <c r="AR626" i="129"/>
  <c r="AR625" i="129"/>
  <c r="AR624" i="129"/>
  <c r="AR623" i="129"/>
  <c r="AR622" i="129"/>
  <c r="AR621" i="129"/>
  <c r="AR620" i="129"/>
  <c r="AR619" i="129"/>
  <c r="AR618" i="129"/>
  <c r="AR617" i="129"/>
  <c r="AR616" i="129"/>
  <c r="AR615" i="129"/>
  <c r="AR614" i="129"/>
  <c r="AR613" i="129"/>
  <c r="AR612" i="129"/>
  <c r="AR611" i="129"/>
  <c r="AR610" i="129"/>
  <c r="AR609" i="129"/>
  <c r="AR608" i="129"/>
  <c r="AR607" i="129"/>
  <c r="AR606" i="129"/>
  <c r="AR605" i="129"/>
  <c r="AR604" i="129"/>
  <c r="AR603" i="129"/>
  <c r="AR602" i="129"/>
  <c r="AR601" i="129"/>
  <c r="AR600" i="129"/>
  <c r="AR599" i="129"/>
  <c r="AR598" i="129"/>
  <c r="AR597" i="129"/>
  <c r="AR596" i="129"/>
  <c r="AR595" i="129"/>
  <c r="AR594" i="129"/>
  <c r="AR593" i="129"/>
  <c r="AR592" i="129"/>
  <c r="AR591" i="129"/>
  <c r="AR590" i="129"/>
  <c r="AR589" i="129"/>
  <c r="AR588" i="129"/>
  <c r="AR587" i="129"/>
  <c r="AR586" i="129"/>
  <c r="AR585" i="129"/>
  <c r="AR584" i="129"/>
  <c r="AR583" i="129"/>
  <c r="AR582" i="129"/>
  <c r="AR581" i="129"/>
  <c r="AR580" i="129"/>
  <c r="AR579" i="129"/>
  <c r="AR578" i="129"/>
  <c r="AR577" i="129"/>
  <c r="AR576" i="129"/>
  <c r="AR575" i="129"/>
  <c r="AR574" i="129"/>
  <c r="AR573" i="129"/>
  <c r="AR572" i="129"/>
  <c r="AR571" i="129"/>
  <c r="AR570" i="129"/>
  <c r="AR569" i="129"/>
  <c r="AR568" i="129"/>
  <c r="AR567" i="129"/>
  <c r="AR566" i="129"/>
  <c r="AR565" i="129"/>
  <c r="AR564" i="129"/>
  <c r="AR563" i="129"/>
  <c r="AR562" i="129"/>
  <c r="AR561" i="129"/>
  <c r="AR560" i="129"/>
  <c r="AR559" i="129"/>
  <c r="AR558" i="129"/>
  <c r="AR557" i="129"/>
  <c r="AR556" i="129"/>
  <c r="AR555" i="129"/>
  <c r="AR554" i="129"/>
  <c r="AR553" i="129"/>
  <c r="AR552" i="129"/>
  <c r="AR551" i="129"/>
  <c r="AR550" i="129"/>
  <c r="AR549" i="129"/>
  <c r="AR548" i="129"/>
  <c r="AR547" i="129"/>
  <c r="AR546" i="129"/>
  <c r="AR545" i="129"/>
  <c r="AR544" i="129"/>
  <c r="AR543" i="129"/>
  <c r="AR542" i="129"/>
  <c r="AR541" i="129"/>
  <c r="AR540" i="129"/>
  <c r="AR539" i="129"/>
  <c r="AR538" i="129"/>
  <c r="AR537" i="129"/>
  <c r="AR536" i="129"/>
  <c r="AR535" i="129"/>
  <c r="AR534" i="129"/>
  <c r="AR533" i="129"/>
  <c r="AR532" i="129"/>
  <c r="AR531" i="129"/>
  <c r="AR530" i="129"/>
  <c r="AR529" i="129"/>
  <c r="AR528" i="129"/>
  <c r="AR527" i="129"/>
  <c r="AR526" i="129"/>
  <c r="AR525" i="129"/>
  <c r="AR524" i="129"/>
  <c r="AR523" i="129"/>
  <c r="AR522" i="129"/>
  <c r="AR521" i="129"/>
  <c r="AR520" i="129"/>
  <c r="AR519" i="129"/>
  <c r="AR518" i="129"/>
  <c r="AR517" i="129"/>
  <c r="AR516" i="129"/>
  <c r="AR515" i="129"/>
  <c r="AR514" i="129"/>
  <c r="AR513" i="129"/>
  <c r="AR512" i="129"/>
  <c r="AR511" i="129"/>
  <c r="AR510" i="129"/>
  <c r="AR509" i="129"/>
  <c r="AR508" i="129"/>
  <c r="AR507" i="129"/>
  <c r="AR506" i="129"/>
  <c r="AR505" i="129"/>
  <c r="AR504" i="129"/>
  <c r="AR503" i="129"/>
  <c r="AR502" i="129"/>
  <c r="AR501" i="129"/>
  <c r="AR500" i="129"/>
  <c r="AR499" i="129"/>
  <c r="AR498" i="129"/>
  <c r="AR497" i="129"/>
  <c r="AR496" i="129"/>
  <c r="AR495" i="129"/>
  <c r="AR494" i="129"/>
  <c r="AR493" i="129"/>
  <c r="AR492" i="129"/>
  <c r="AR491" i="129"/>
  <c r="AR490" i="129"/>
  <c r="AR489" i="129"/>
  <c r="AR488" i="129"/>
  <c r="AR487" i="129"/>
  <c r="AR486" i="129"/>
  <c r="AR485" i="129"/>
  <c r="AR484" i="129"/>
  <c r="AR483" i="129"/>
  <c r="AR482" i="129"/>
  <c r="AR481" i="129"/>
  <c r="AR480" i="129"/>
  <c r="AR479" i="129"/>
  <c r="AR478" i="129"/>
  <c r="AR477" i="129"/>
  <c r="AR476" i="129"/>
  <c r="AR475" i="129"/>
  <c r="AR474" i="129"/>
  <c r="AR473" i="129"/>
  <c r="AR472" i="129"/>
  <c r="AR471" i="129"/>
  <c r="AR470" i="129"/>
  <c r="AR469" i="129"/>
  <c r="AR468" i="129"/>
  <c r="AR467" i="129"/>
  <c r="AR466" i="129"/>
  <c r="AR465" i="129"/>
  <c r="AR464" i="129"/>
  <c r="AR463" i="129"/>
  <c r="AR462" i="129"/>
  <c r="AR461" i="129"/>
  <c r="AR460" i="129"/>
  <c r="AR459" i="129"/>
  <c r="AR458" i="129"/>
  <c r="AR457" i="129"/>
  <c r="AR456" i="129"/>
  <c r="AR455" i="129"/>
  <c r="AR454" i="129"/>
  <c r="AR453" i="129"/>
  <c r="AR452" i="129"/>
  <c r="AR451" i="129"/>
  <c r="AR450" i="129"/>
  <c r="AR449" i="129"/>
  <c r="AR448" i="129"/>
  <c r="AR447" i="129"/>
  <c r="AR446" i="129"/>
  <c r="AR445" i="129"/>
  <c r="AR444" i="129"/>
  <c r="AR443" i="129"/>
  <c r="AR442" i="129"/>
  <c r="AR441" i="129"/>
  <c r="AR440" i="129"/>
  <c r="AR439" i="129"/>
  <c r="AR438" i="129"/>
  <c r="AR437" i="129"/>
  <c r="AR436" i="129"/>
  <c r="AR435" i="129"/>
  <c r="AR434" i="129"/>
  <c r="AR433" i="129"/>
  <c r="AR432" i="129"/>
  <c r="AR431" i="129"/>
  <c r="AR430" i="129"/>
  <c r="AR429" i="129"/>
  <c r="AR428" i="129"/>
  <c r="AR427" i="129"/>
  <c r="AR426" i="129"/>
  <c r="AR425" i="129"/>
  <c r="AR424" i="129"/>
  <c r="AR423" i="129"/>
  <c r="AR422" i="129"/>
  <c r="AR421" i="129"/>
  <c r="AR420" i="129"/>
  <c r="AR419" i="129"/>
  <c r="AR418" i="129"/>
  <c r="AR417" i="129"/>
  <c r="AR416" i="129"/>
  <c r="AR415" i="129"/>
  <c r="AR414" i="129"/>
  <c r="AR413" i="129"/>
  <c r="AR412" i="129"/>
  <c r="AR411" i="129"/>
  <c r="AR410" i="129"/>
  <c r="AR409" i="129"/>
  <c r="AR408" i="129"/>
  <c r="AR407" i="129"/>
  <c r="AR406" i="129"/>
  <c r="AR405" i="129"/>
  <c r="AR404" i="129"/>
  <c r="AR403" i="129"/>
  <c r="AR402" i="129"/>
  <c r="AR401" i="129"/>
  <c r="AR400" i="129"/>
  <c r="AR399" i="129"/>
  <c r="AR398" i="129"/>
  <c r="AR397" i="129"/>
  <c r="AR396" i="129"/>
  <c r="AR395" i="129"/>
  <c r="AR394" i="129"/>
  <c r="AR393" i="129"/>
  <c r="AR392" i="129"/>
  <c r="AR391" i="129"/>
  <c r="AR390" i="129"/>
  <c r="AR389" i="129"/>
  <c r="AR388" i="129"/>
  <c r="AR387" i="129"/>
  <c r="AR386" i="129"/>
  <c r="AR385" i="129"/>
  <c r="AR384" i="129"/>
  <c r="AR383" i="129"/>
  <c r="AR382" i="129"/>
  <c r="AR381" i="129"/>
  <c r="AR380" i="129"/>
  <c r="AR379" i="129"/>
  <c r="AR378" i="129"/>
  <c r="AR377" i="129"/>
  <c r="AR376" i="129"/>
  <c r="AR375" i="129"/>
  <c r="AR374" i="129"/>
  <c r="AR373" i="129"/>
  <c r="AR372" i="129"/>
  <c r="AR371" i="129"/>
  <c r="AR370" i="129"/>
  <c r="AR369" i="129"/>
  <c r="AR368" i="129"/>
  <c r="AR367" i="129"/>
  <c r="AR366" i="129"/>
  <c r="AR365" i="129"/>
  <c r="AR364" i="129"/>
  <c r="AR363" i="129"/>
  <c r="AR362" i="129"/>
  <c r="AR361" i="129"/>
  <c r="AR360" i="129"/>
  <c r="AR359" i="129"/>
  <c r="AR358" i="129"/>
  <c r="AR357" i="129"/>
  <c r="AR356" i="129"/>
  <c r="AR355" i="129"/>
  <c r="AR354" i="129"/>
  <c r="AR353" i="129"/>
  <c r="AR352" i="129"/>
  <c r="AR351" i="129"/>
  <c r="AR350" i="129"/>
  <c r="AR349" i="129"/>
  <c r="AR348" i="129"/>
  <c r="AR347" i="129"/>
  <c r="AR346" i="129"/>
  <c r="AR345" i="129"/>
  <c r="AR344" i="129"/>
  <c r="AR343" i="129"/>
  <c r="AR342" i="129"/>
  <c r="AR341" i="129"/>
  <c r="AR340" i="129"/>
  <c r="AR339" i="129"/>
  <c r="AR338" i="129"/>
  <c r="AR337" i="129"/>
  <c r="AR336" i="129"/>
  <c r="AR335" i="129"/>
  <c r="AR334" i="129"/>
  <c r="AR333" i="129"/>
  <c r="AR332" i="129"/>
  <c r="AR331" i="129"/>
  <c r="AR330" i="129"/>
  <c r="AR329" i="129"/>
  <c r="AR328" i="129"/>
  <c r="AR327" i="129"/>
  <c r="AR326" i="129"/>
  <c r="AR325" i="129"/>
  <c r="AR324" i="129"/>
  <c r="AR323" i="129"/>
  <c r="AR322" i="129"/>
  <c r="AR321" i="129"/>
  <c r="AR320" i="129"/>
  <c r="AR319" i="129"/>
  <c r="AR318" i="129"/>
  <c r="AR317" i="129"/>
  <c r="AR316" i="129"/>
  <c r="AR315" i="129"/>
  <c r="AR314" i="129"/>
  <c r="AR313" i="129"/>
  <c r="AR312" i="129"/>
  <c r="AR311" i="129"/>
  <c r="AR310" i="129"/>
  <c r="AR309" i="129"/>
  <c r="AR308" i="129"/>
  <c r="AR307" i="129"/>
  <c r="AR306" i="129"/>
  <c r="AR305" i="129"/>
  <c r="AR304" i="129"/>
  <c r="AR303" i="129"/>
  <c r="AR302" i="129"/>
  <c r="AR301" i="129"/>
  <c r="AR300" i="129"/>
  <c r="AR299" i="129"/>
  <c r="AR298" i="129"/>
  <c r="AR297" i="129"/>
  <c r="AR296" i="129"/>
  <c r="AR295" i="129"/>
  <c r="AR294" i="129"/>
  <c r="AR293" i="129"/>
  <c r="AR292" i="129"/>
  <c r="AR291" i="129"/>
  <c r="AR290" i="129"/>
  <c r="AR289" i="129"/>
  <c r="AR288" i="129"/>
  <c r="AR287" i="129"/>
  <c r="AR286" i="129"/>
  <c r="AR285" i="129"/>
  <c r="AR284" i="129"/>
  <c r="AR283" i="129"/>
  <c r="AR282" i="129"/>
  <c r="AR281" i="129"/>
  <c r="AR280" i="129"/>
  <c r="AR279" i="129"/>
  <c r="AR278" i="129"/>
  <c r="AR277" i="129"/>
  <c r="AR276" i="129"/>
  <c r="AR275" i="129"/>
  <c r="AR274" i="129"/>
  <c r="AR273" i="129"/>
  <c r="AR272" i="129"/>
  <c r="AR271" i="129"/>
  <c r="AR270" i="129"/>
  <c r="AR269" i="129"/>
  <c r="AR268" i="129"/>
  <c r="AR267" i="129"/>
  <c r="AR266" i="129"/>
  <c r="AR265" i="129"/>
  <c r="AR264" i="129"/>
  <c r="AR263" i="129"/>
  <c r="AR262" i="129"/>
  <c r="AR261" i="129"/>
  <c r="AR260" i="129"/>
  <c r="AR259" i="129"/>
  <c r="AR258" i="129"/>
  <c r="AR257" i="129"/>
  <c r="AR256" i="129"/>
  <c r="AR255" i="129"/>
  <c r="AR254" i="129"/>
  <c r="AR253" i="129"/>
  <c r="AR252" i="129"/>
  <c r="AR251" i="129"/>
  <c r="AR250" i="129"/>
  <c r="AR249" i="129"/>
  <c r="AR248" i="129"/>
  <c r="AR247" i="129"/>
  <c r="AR246" i="129"/>
  <c r="AR245" i="129"/>
  <c r="AR244" i="129"/>
  <c r="AR243" i="129"/>
  <c r="AR242" i="129"/>
  <c r="AR241" i="129"/>
  <c r="AR240" i="129"/>
  <c r="AR239" i="129"/>
  <c r="AR238" i="129"/>
  <c r="AR237" i="129"/>
  <c r="AR236" i="129"/>
  <c r="AR235" i="129"/>
  <c r="AR234" i="129"/>
  <c r="AR233" i="129"/>
  <c r="AR232" i="129"/>
  <c r="AR231" i="129"/>
  <c r="AR230" i="129"/>
  <c r="AR229" i="129"/>
  <c r="AR228" i="129"/>
  <c r="AR227" i="129"/>
  <c r="AR226" i="129"/>
  <c r="AR225" i="129"/>
  <c r="AR224" i="129"/>
  <c r="AR223" i="129"/>
  <c r="AR222" i="129"/>
  <c r="AR221" i="129"/>
  <c r="AR220" i="129"/>
  <c r="AR219" i="129"/>
  <c r="AR218" i="129"/>
  <c r="AR217" i="129"/>
  <c r="AR216" i="129"/>
  <c r="AR215" i="129"/>
  <c r="AR214" i="129"/>
  <c r="AR213" i="129"/>
  <c r="AR212" i="129"/>
  <c r="AR211" i="129"/>
  <c r="AR210" i="129"/>
  <c r="AR209" i="129"/>
  <c r="AR208" i="129"/>
  <c r="AR207" i="129"/>
  <c r="AR206" i="129"/>
  <c r="AR205" i="129"/>
  <c r="AR204" i="129"/>
  <c r="AR203" i="129"/>
  <c r="AR202" i="129"/>
  <c r="AR201" i="129"/>
  <c r="AR200" i="129"/>
  <c r="AR199" i="129"/>
  <c r="AR198" i="129"/>
  <c r="AR197" i="129"/>
  <c r="AR196" i="129"/>
  <c r="AR195" i="129"/>
  <c r="AR194" i="129"/>
  <c r="AR193" i="129"/>
  <c r="AR192" i="129"/>
  <c r="AR191" i="129"/>
  <c r="AR190" i="129"/>
  <c r="AR189" i="129"/>
  <c r="AR188" i="129"/>
  <c r="AR187" i="129"/>
  <c r="AR186" i="129"/>
  <c r="AR185" i="129"/>
  <c r="AR184" i="129"/>
  <c r="AR183" i="129"/>
  <c r="AR182" i="129"/>
  <c r="AR181" i="129"/>
  <c r="AR180" i="129"/>
  <c r="AR179" i="129"/>
  <c r="AR178" i="129"/>
  <c r="AR177" i="129"/>
  <c r="AR176" i="129"/>
  <c r="AR175" i="129"/>
  <c r="AR174" i="129"/>
  <c r="AR173" i="129"/>
  <c r="AR172" i="129"/>
  <c r="AR171" i="129"/>
  <c r="AR170" i="129"/>
  <c r="AR169" i="129"/>
  <c r="AR168" i="129"/>
  <c r="AR167" i="129"/>
  <c r="AR166" i="129"/>
  <c r="AR165" i="129"/>
  <c r="AR164" i="129"/>
  <c r="AR163" i="129"/>
  <c r="AR162" i="129"/>
  <c r="AR161" i="129"/>
  <c r="AR160" i="129"/>
  <c r="AR159" i="129"/>
  <c r="AR158" i="129"/>
  <c r="AR157" i="129"/>
  <c r="AR156" i="129"/>
  <c r="AR155" i="129"/>
  <c r="AR154" i="129"/>
  <c r="AR153" i="129"/>
  <c r="AR152" i="129"/>
  <c r="AR151" i="129"/>
  <c r="AR150" i="129"/>
  <c r="AR149" i="129"/>
  <c r="AR148" i="129"/>
  <c r="AR147" i="129"/>
  <c r="AR146" i="129"/>
  <c r="AR145" i="129"/>
  <c r="AR144" i="129"/>
  <c r="AR143" i="129"/>
  <c r="AR142" i="129"/>
  <c r="AR141" i="129"/>
  <c r="AR140" i="129"/>
  <c r="AR139" i="129"/>
  <c r="AR138" i="129"/>
  <c r="AR137" i="129"/>
  <c r="AR136" i="129"/>
  <c r="AR135" i="129"/>
  <c r="AR134" i="129"/>
  <c r="AR133" i="129"/>
  <c r="AR132" i="129"/>
  <c r="AR131" i="129"/>
  <c r="AR130" i="129"/>
  <c r="AR129" i="129"/>
  <c r="AR128" i="129"/>
  <c r="AR127" i="129"/>
  <c r="AR126" i="129"/>
  <c r="AR125" i="129"/>
  <c r="AR124" i="129"/>
  <c r="AR123" i="129"/>
  <c r="AR122" i="129"/>
  <c r="AR121" i="129"/>
  <c r="AR120" i="129"/>
  <c r="AR119" i="129"/>
  <c r="AR118" i="129"/>
  <c r="AR117" i="129"/>
  <c r="AR116" i="129"/>
  <c r="AR115" i="129"/>
  <c r="AR114" i="129"/>
  <c r="AR113" i="129"/>
  <c r="AR112" i="129"/>
  <c r="AR111" i="129"/>
  <c r="AR110" i="129"/>
  <c r="AR109" i="129"/>
  <c r="AR108" i="129"/>
  <c r="AR107" i="129"/>
  <c r="AR106" i="129"/>
  <c r="AR105" i="129"/>
  <c r="AR104" i="129"/>
  <c r="AR103" i="129"/>
  <c r="AR102" i="129"/>
  <c r="AR101" i="129"/>
  <c r="AR100" i="129"/>
  <c r="AR99" i="129"/>
  <c r="AR98" i="129"/>
  <c r="AR97" i="129"/>
  <c r="AR96" i="129"/>
  <c r="AR95" i="129"/>
  <c r="AR94" i="129"/>
  <c r="AR93" i="129"/>
  <c r="AR92" i="129"/>
  <c r="AR91" i="129"/>
  <c r="AR90" i="129"/>
  <c r="AR89" i="129"/>
  <c r="AR88" i="129"/>
  <c r="AR87" i="129"/>
  <c r="AR86" i="129"/>
  <c r="AR85" i="129"/>
  <c r="AR84" i="129"/>
  <c r="AR83" i="129"/>
  <c r="AR82" i="129"/>
  <c r="AR81" i="129"/>
  <c r="AR80" i="129"/>
  <c r="AR79" i="129"/>
  <c r="AR78" i="129"/>
  <c r="AR77" i="129"/>
  <c r="AR76" i="129"/>
  <c r="AR75" i="129"/>
  <c r="AR74" i="129"/>
  <c r="AR73" i="129"/>
  <c r="AR72" i="129"/>
  <c r="AR71" i="129"/>
  <c r="AR70" i="129"/>
  <c r="AR69" i="129"/>
  <c r="AR68" i="129"/>
  <c r="AR67" i="129"/>
  <c r="AR66" i="129"/>
  <c r="AR65" i="129"/>
  <c r="AR64" i="129"/>
  <c r="AR63" i="129"/>
  <c r="AR62" i="129"/>
  <c r="AR61" i="129"/>
  <c r="AR60" i="129"/>
  <c r="AR59" i="129"/>
  <c r="AR58" i="129"/>
  <c r="AR57" i="129"/>
  <c r="AR56" i="129"/>
  <c r="AR55" i="129"/>
  <c r="AR54" i="129"/>
  <c r="AR53" i="129"/>
  <c r="AR52" i="129"/>
  <c r="AR51" i="129"/>
  <c r="AR50" i="129"/>
  <c r="AR49" i="129"/>
  <c r="AR48" i="129"/>
  <c r="AR47" i="129"/>
  <c r="AR46" i="129"/>
  <c r="AR45" i="129"/>
  <c r="AR44" i="129"/>
  <c r="AR43" i="129"/>
  <c r="AR42" i="129"/>
  <c r="AR41" i="129"/>
  <c r="AR40" i="129"/>
  <c r="AR39" i="129"/>
  <c r="AR38" i="129"/>
  <c r="AR37" i="129"/>
  <c r="AR36" i="129"/>
  <c r="AR35" i="129"/>
  <c r="AR34" i="129"/>
  <c r="AR33" i="129"/>
  <c r="AR32" i="129"/>
  <c r="AR31" i="129"/>
  <c r="AR30" i="129"/>
  <c r="AR29" i="129"/>
  <c r="AR28" i="129"/>
  <c r="AR27" i="129"/>
  <c r="AR26" i="129"/>
  <c r="AR25" i="129"/>
  <c r="AR24" i="129"/>
  <c r="AR23" i="129"/>
  <c r="AR22" i="129"/>
  <c r="AR21" i="129"/>
  <c r="AR20" i="129"/>
  <c r="AR19" i="129"/>
  <c r="AR18" i="129"/>
  <c r="AR17" i="129"/>
  <c r="AR16" i="129"/>
  <c r="AR15" i="129"/>
  <c r="AR14" i="129"/>
  <c r="AR13" i="129"/>
  <c r="AR12" i="129"/>
  <c r="AR11" i="129"/>
  <c r="AR10" i="129"/>
  <c r="AR9" i="129"/>
  <c r="AR8" i="129"/>
  <c r="AR7" i="129"/>
  <c r="AR6" i="129"/>
  <c r="AR5" i="129"/>
  <c r="AR4" i="129"/>
  <c r="AR3" i="129"/>
  <c r="AR890" i="129"/>
  <c r="AD3" i="129" l="1"/>
  <c r="CA11" i="129" l="1"/>
  <c r="BZ11" i="129"/>
  <c r="BX11" i="129"/>
  <c r="BS11" i="129"/>
  <c r="BR11" i="129"/>
  <c r="BN11" i="129"/>
  <c r="AP11" i="129"/>
  <c r="AO11" i="129"/>
  <c r="AN11" i="129"/>
  <c r="AL11" i="129"/>
  <c r="AI11" i="129"/>
  <c r="AF11" i="129"/>
  <c r="AD11" i="129"/>
  <c r="AC11" i="129"/>
  <c r="CA10" i="129"/>
  <c r="BZ10" i="129"/>
  <c r="BX10" i="129"/>
  <c r="BS10" i="129"/>
  <c r="BR10" i="129"/>
  <c r="BN10" i="129"/>
  <c r="AP10" i="129"/>
  <c r="AO10" i="129"/>
  <c r="AN10" i="129"/>
  <c r="AL10" i="129"/>
  <c r="AI10" i="129"/>
  <c r="AF10" i="129"/>
  <c r="AD10" i="129"/>
  <c r="AC10" i="129"/>
  <c r="CA9" i="129"/>
  <c r="BZ9" i="129"/>
  <c r="BX9" i="129"/>
  <c r="BS9" i="129"/>
  <c r="BR9" i="129"/>
  <c r="BN9" i="129"/>
  <c r="AP9" i="129"/>
  <c r="AO9" i="129"/>
  <c r="AN9" i="129"/>
  <c r="AL9" i="129"/>
  <c r="AI9" i="129"/>
  <c r="AF9" i="129"/>
  <c r="AD9" i="129"/>
  <c r="AC9" i="129"/>
  <c r="BX890" i="129"/>
  <c r="BX889" i="129"/>
  <c r="BX888" i="129"/>
  <c r="BX887" i="129"/>
  <c r="BX886" i="129"/>
  <c r="BX885" i="129"/>
  <c r="BX884" i="129"/>
  <c r="BX883" i="129"/>
  <c r="BX882" i="129"/>
  <c r="BX881" i="129"/>
  <c r="BX880" i="129"/>
  <c r="BX879" i="129"/>
  <c r="BX878" i="129"/>
  <c r="BX877" i="129"/>
  <c r="BX876" i="129"/>
  <c r="BX875" i="129"/>
  <c r="BX874" i="129"/>
  <c r="BX873" i="129"/>
  <c r="BX872" i="129"/>
  <c r="BX871" i="129"/>
  <c r="BX870" i="129"/>
  <c r="BX869" i="129"/>
  <c r="BX868" i="129"/>
  <c r="BX867" i="129"/>
  <c r="BX866" i="129"/>
  <c r="BX865" i="129"/>
  <c r="BX864" i="129"/>
  <c r="BX863" i="129"/>
  <c r="BX862" i="129"/>
  <c r="BX861" i="129"/>
  <c r="BX860" i="129"/>
  <c r="BX859" i="129"/>
  <c r="BX858" i="129"/>
  <c r="BX857" i="129"/>
  <c r="BX856" i="129"/>
  <c r="BX855" i="129"/>
  <c r="BX854" i="129"/>
  <c r="BX853" i="129"/>
  <c r="BX852" i="129"/>
  <c r="BX851" i="129"/>
  <c r="BX850" i="129"/>
  <c r="BX849" i="129"/>
  <c r="BX848" i="129"/>
  <c r="BX847" i="129"/>
  <c r="BX846" i="129"/>
  <c r="BX845" i="129"/>
  <c r="BX844" i="129"/>
  <c r="BX843" i="129"/>
  <c r="BX842" i="129"/>
  <c r="BX841" i="129"/>
  <c r="BX840" i="129"/>
  <c r="BX839" i="129"/>
  <c r="BX838" i="129"/>
  <c r="BX837" i="129"/>
  <c r="BX836" i="129"/>
  <c r="BX835" i="129"/>
  <c r="BX834" i="129"/>
  <c r="BX833" i="129"/>
  <c r="BX832" i="129"/>
  <c r="BX831" i="129"/>
  <c r="BX830" i="129"/>
  <c r="BX829" i="129"/>
  <c r="BX828" i="129"/>
  <c r="BX827" i="129"/>
  <c r="BX826" i="129"/>
  <c r="BX825" i="129"/>
  <c r="BX824" i="129"/>
  <c r="BX823" i="129"/>
  <c r="BX822" i="129"/>
  <c r="BX821" i="129"/>
  <c r="BX820" i="129"/>
  <c r="BX819" i="129"/>
  <c r="BX818" i="129"/>
  <c r="BX817" i="129"/>
  <c r="BX816" i="129"/>
  <c r="BX815" i="129"/>
  <c r="BX814" i="129"/>
  <c r="BX813" i="129"/>
  <c r="BX812" i="129"/>
  <c r="BX811" i="129"/>
  <c r="BX810" i="129"/>
  <c r="BX809" i="129"/>
  <c r="BX808" i="129"/>
  <c r="BX807" i="129"/>
  <c r="BX806" i="129"/>
  <c r="BX805" i="129"/>
  <c r="BX804" i="129"/>
  <c r="BX803" i="129"/>
  <c r="BX802" i="129"/>
  <c r="BX801" i="129"/>
  <c r="BX800" i="129"/>
  <c r="BX799" i="129"/>
  <c r="BX798" i="129"/>
  <c r="BX797" i="129"/>
  <c r="BX796" i="129"/>
  <c r="BX795" i="129"/>
  <c r="BX794" i="129"/>
  <c r="BX793" i="129"/>
  <c r="BX792" i="129"/>
  <c r="BX791" i="129"/>
  <c r="BX790" i="129"/>
  <c r="BX789" i="129"/>
  <c r="BX788" i="129"/>
  <c r="BX787" i="129"/>
  <c r="BX786" i="129"/>
  <c r="BX785" i="129"/>
  <c r="BX784" i="129"/>
  <c r="BX783" i="129"/>
  <c r="BX782" i="129"/>
  <c r="BX781" i="129"/>
  <c r="BX780" i="129"/>
  <c r="BX779" i="129"/>
  <c r="BX778" i="129"/>
  <c r="BX777" i="129"/>
  <c r="BX776" i="129"/>
  <c r="BX775" i="129"/>
  <c r="BX774" i="129"/>
  <c r="BX773" i="129"/>
  <c r="BX772" i="129"/>
  <c r="BX771" i="129"/>
  <c r="BX770" i="129"/>
  <c r="BX769" i="129"/>
  <c r="BX768" i="129"/>
  <c r="BX767" i="129"/>
  <c r="BX766" i="129"/>
  <c r="BX765" i="129"/>
  <c r="BX764" i="129"/>
  <c r="BX763" i="129"/>
  <c r="BX762" i="129"/>
  <c r="BX761" i="129"/>
  <c r="BX760" i="129"/>
  <c r="BX759" i="129"/>
  <c r="BX758" i="129"/>
  <c r="BX757" i="129"/>
  <c r="BX756" i="129"/>
  <c r="BX755" i="129"/>
  <c r="BX754" i="129"/>
  <c r="BX753" i="129"/>
  <c r="BX752" i="129"/>
  <c r="BX751" i="129"/>
  <c r="BX750" i="129"/>
  <c r="BX749" i="129"/>
  <c r="BX748" i="129"/>
  <c r="BX747" i="129"/>
  <c r="BX746" i="129"/>
  <c r="BX745" i="129"/>
  <c r="BX744" i="129"/>
  <c r="BX743" i="129"/>
  <c r="BX742" i="129"/>
  <c r="BX741" i="129"/>
  <c r="BX740" i="129"/>
  <c r="BX739" i="129"/>
  <c r="BX738" i="129"/>
  <c r="BX737" i="129"/>
  <c r="BX736" i="129"/>
  <c r="BX735" i="129"/>
  <c r="BX734" i="129"/>
  <c r="BX733" i="129"/>
  <c r="BX732" i="129"/>
  <c r="BX731" i="129"/>
  <c r="BX730" i="129"/>
  <c r="BX729" i="129"/>
  <c r="BX728" i="129"/>
  <c r="BX727" i="129"/>
  <c r="BX726" i="129"/>
  <c r="BX725" i="129"/>
  <c r="BX724" i="129"/>
  <c r="BX723" i="129"/>
  <c r="BX722" i="129"/>
  <c r="BX721" i="129"/>
  <c r="BX720" i="129"/>
  <c r="BX719" i="129"/>
  <c r="BX718" i="129"/>
  <c r="BX717" i="129"/>
  <c r="BX716" i="129"/>
  <c r="BX715" i="129"/>
  <c r="BX714" i="129"/>
  <c r="BX713" i="129"/>
  <c r="BX712" i="129"/>
  <c r="BX711" i="129"/>
  <c r="BX710" i="129"/>
  <c r="BX709" i="129"/>
  <c r="BX708" i="129"/>
  <c r="BX707" i="129"/>
  <c r="BX706" i="129"/>
  <c r="BX705" i="129"/>
  <c r="BX704" i="129"/>
  <c r="BX703" i="129"/>
  <c r="BX702" i="129"/>
  <c r="BX701" i="129"/>
  <c r="BX700" i="129"/>
  <c r="BX699" i="129"/>
  <c r="BX698" i="129"/>
  <c r="BX697" i="129"/>
  <c r="BX696" i="129"/>
  <c r="BX695" i="129"/>
  <c r="BX694" i="129"/>
  <c r="BX693" i="129"/>
  <c r="BX692" i="129"/>
  <c r="BX691" i="129"/>
  <c r="BX690" i="129"/>
  <c r="BX689" i="129"/>
  <c r="BX688" i="129"/>
  <c r="BX687" i="129"/>
  <c r="BX686" i="129"/>
  <c r="BX685" i="129"/>
  <c r="BX684" i="129"/>
  <c r="BX683" i="129"/>
  <c r="BX682" i="129"/>
  <c r="BX681" i="129"/>
  <c r="BX680" i="129"/>
  <c r="BX679" i="129"/>
  <c r="BX678" i="129"/>
  <c r="BX677" i="129"/>
  <c r="BX676" i="129"/>
  <c r="BX675" i="129"/>
  <c r="BX674" i="129"/>
  <c r="BX673" i="129"/>
  <c r="BX672" i="129"/>
  <c r="BX671" i="129"/>
  <c r="BX670" i="129"/>
  <c r="BX669" i="129"/>
  <c r="BX668" i="129"/>
  <c r="BX667" i="129"/>
  <c r="BX666" i="129"/>
  <c r="BX665" i="129"/>
  <c r="BX664" i="129"/>
  <c r="BX663" i="129"/>
  <c r="BX662" i="129"/>
  <c r="BX661" i="129"/>
  <c r="BX660" i="129"/>
  <c r="BX659" i="129"/>
  <c r="BX658" i="129"/>
  <c r="BX657" i="129"/>
  <c r="BX656" i="129"/>
  <c r="BX655" i="129"/>
  <c r="BX654" i="129"/>
  <c r="BX653" i="129"/>
  <c r="BX652" i="129"/>
  <c r="BX651" i="129"/>
  <c r="BX650" i="129"/>
  <c r="BX649" i="129"/>
  <c r="BX648" i="129"/>
  <c r="BX647" i="129"/>
  <c r="BX646" i="129"/>
  <c r="BX645" i="129"/>
  <c r="BX644" i="129"/>
  <c r="BX643" i="129"/>
  <c r="BX642" i="129"/>
  <c r="BX641" i="129"/>
  <c r="BX640" i="129"/>
  <c r="BX639" i="129"/>
  <c r="BX638" i="129"/>
  <c r="BX637" i="129"/>
  <c r="BX636" i="129"/>
  <c r="BX635" i="129"/>
  <c r="BX634" i="129"/>
  <c r="BX633" i="129"/>
  <c r="BX632" i="129"/>
  <c r="BX631" i="129"/>
  <c r="BX630" i="129"/>
  <c r="BX629" i="129"/>
  <c r="BX628" i="129"/>
  <c r="BX627" i="129"/>
  <c r="BX626" i="129"/>
  <c r="BX625" i="129"/>
  <c r="BX624" i="129"/>
  <c r="BX623" i="129"/>
  <c r="BX622" i="129"/>
  <c r="BX621" i="129"/>
  <c r="BX620" i="129"/>
  <c r="BX619" i="129"/>
  <c r="BX618" i="129"/>
  <c r="BX617" i="129"/>
  <c r="BX616" i="129"/>
  <c r="BX615" i="129"/>
  <c r="BX614" i="129"/>
  <c r="BX613" i="129"/>
  <c r="BX612" i="129"/>
  <c r="BX611" i="129"/>
  <c r="BX610" i="129"/>
  <c r="BX609" i="129"/>
  <c r="BX608" i="129"/>
  <c r="BX607" i="129"/>
  <c r="BX606" i="129"/>
  <c r="BX605" i="129"/>
  <c r="BX604" i="129"/>
  <c r="BX603" i="129"/>
  <c r="BX602" i="129"/>
  <c r="BX601" i="129"/>
  <c r="BX600" i="129"/>
  <c r="BX599" i="129"/>
  <c r="BX598" i="129"/>
  <c r="BX597" i="129"/>
  <c r="BX596" i="129"/>
  <c r="BX595" i="129"/>
  <c r="BX594" i="129"/>
  <c r="BX593" i="129"/>
  <c r="BX592" i="129"/>
  <c r="BX591" i="129"/>
  <c r="BX590" i="129"/>
  <c r="BX589" i="129"/>
  <c r="BX588" i="129"/>
  <c r="BX587" i="129"/>
  <c r="BX586" i="129"/>
  <c r="BX585" i="129"/>
  <c r="BX584" i="129"/>
  <c r="BX583" i="129"/>
  <c r="BX582" i="129"/>
  <c r="BX581" i="129"/>
  <c r="BX580" i="129"/>
  <c r="BX579" i="129"/>
  <c r="BX578" i="129"/>
  <c r="BX577" i="129"/>
  <c r="BX576" i="129"/>
  <c r="BX575" i="129"/>
  <c r="BX574" i="129"/>
  <c r="BX573" i="129"/>
  <c r="BX572" i="129"/>
  <c r="BX571" i="129"/>
  <c r="BX570" i="129"/>
  <c r="BX569" i="129"/>
  <c r="BX568" i="129"/>
  <c r="BX567" i="129"/>
  <c r="BX566" i="129"/>
  <c r="BX565" i="129"/>
  <c r="BX564" i="129"/>
  <c r="BX563" i="129"/>
  <c r="BX562" i="129"/>
  <c r="BX561" i="129"/>
  <c r="BX560" i="129"/>
  <c r="BX559" i="129"/>
  <c r="BX558" i="129"/>
  <c r="BX557" i="129"/>
  <c r="BX556" i="129"/>
  <c r="BX555" i="129"/>
  <c r="BX554" i="129"/>
  <c r="BX553" i="129"/>
  <c r="BX552" i="129"/>
  <c r="BX551" i="129"/>
  <c r="BX550" i="129"/>
  <c r="BX549" i="129"/>
  <c r="BX548" i="129"/>
  <c r="BX547" i="129"/>
  <c r="BX546" i="129"/>
  <c r="BX545" i="129"/>
  <c r="BX544" i="129"/>
  <c r="BX543" i="129"/>
  <c r="BX542" i="129"/>
  <c r="BX541" i="129"/>
  <c r="BX540" i="129"/>
  <c r="BX539" i="129"/>
  <c r="BX538" i="129"/>
  <c r="BX537" i="129"/>
  <c r="BX536" i="129"/>
  <c r="BX535" i="129"/>
  <c r="BX534" i="129"/>
  <c r="BX533" i="129"/>
  <c r="BX532" i="129"/>
  <c r="BX531" i="129"/>
  <c r="BX530" i="129"/>
  <c r="BX529" i="129"/>
  <c r="BX528" i="129"/>
  <c r="BX527" i="129"/>
  <c r="BX526" i="129"/>
  <c r="BX525" i="129"/>
  <c r="BX524" i="129"/>
  <c r="BX523" i="129"/>
  <c r="BX522" i="129"/>
  <c r="BX521" i="129"/>
  <c r="BX520" i="129"/>
  <c r="BX519" i="129"/>
  <c r="BX518" i="129"/>
  <c r="BX517" i="129"/>
  <c r="BX516" i="129"/>
  <c r="BX515" i="129"/>
  <c r="BX514" i="129"/>
  <c r="BX513" i="129"/>
  <c r="BX512" i="129"/>
  <c r="BX511" i="129"/>
  <c r="BX510" i="129"/>
  <c r="BX509" i="129"/>
  <c r="BX508" i="129"/>
  <c r="BX507" i="129"/>
  <c r="BX506" i="129"/>
  <c r="BX505" i="129"/>
  <c r="BX504" i="129"/>
  <c r="BX503" i="129"/>
  <c r="BX502" i="129"/>
  <c r="BX501" i="129"/>
  <c r="BX500" i="129"/>
  <c r="BX499" i="129"/>
  <c r="BX498" i="129"/>
  <c r="BX497" i="129"/>
  <c r="BX496" i="129"/>
  <c r="BX495" i="129"/>
  <c r="BX494" i="129"/>
  <c r="BX493" i="129"/>
  <c r="BX492" i="129"/>
  <c r="BX491" i="129"/>
  <c r="BX490" i="129"/>
  <c r="BX489" i="129"/>
  <c r="BX488" i="129"/>
  <c r="BX487" i="129"/>
  <c r="BX486" i="129"/>
  <c r="BX485" i="129"/>
  <c r="BX484" i="129"/>
  <c r="BX483" i="129"/>
  <c r="BX482" i="129"/>
  <c r="BX481" i="129"/>
  <c r="BX480" i="129"/>
  <c r="BX479" i="129"/>
  <c r="BX478" i="129"/>
  <c r="BX477" i="129"/>
  <c r="BX476" i="129"/>
  <c r="BX475" i="129"/>
  <c r="BX474" i="129"/>
  <c r="BX473" i="129"/>
  <c r="BX472" i="129"/>
  <c r="BX471" i="129"/>
  <c r="BX470" i="129"/>
  <c r="BX469" i="129"/>
  <c r="BX468" i="129"/>
  <c r="BX467" i="129"/>
  <c r="BX466" i="129"/>
  <c r="BX465" i="129"/>
  <c r="BX464" i="129"/>
  <c r="BX463" i="129"/>
  <c r="BX462" i="129"/>
  <c r="BX461" i="129"/>
  <c r="BX460" i="129"/>
  <c r="BX459" i="129"/>
  <c r="BX458" i="129"/>
  <c r="BX457" i="129"/>
  <c r="BX456" i="129"/>
  <c r="BX455" i="129"/>
  <c r="BX454" i="129"/>
  <c r="BX453" i="129"/>
  <c r="BX452" i="129"/>
  <c r="BX451" i="129"/>
  <c r="BX450" i="129"/>
  <c r="BX449" i="129"/>
  <c r="BX448" i="129"/>
  <c r="BX447" i="129"/>
  <c r="BX446" i="129"/>
  <c r="BX445" i="129"/>
  <c r="BX444" i="129"/>
  <c r="BX443" i="129"/>
  <c r="BX442" i="129"/>
  <c r="BX441" i="129"/>
  <c r="BX440" i="129"/>
  <c r="BX439" i="129"/>
  <c r="BX438" i="129"/>
  <c r="BX437" i="129"/>
  <c r="BX436" i="129"/>
  <c r="BX435" i="129"/>
  <c r="BX434" i="129"/>
  <c r="BX433" i="129"/>
  <c r="BX432" i="129"/>
  <c r="BX431" i="129"/>
  <c r="BX430" i="129"/>
  <c r="BX429" i="129"/>
  <c r="BX428" i="129"/>
  <c r="BX427" i="129"/>
  <c r="BX426" i="129"/>
  <c r="BX425" i="129"/>
  <c r="BX424" i="129"/>
  <c r="BX423" i="129"/>
  <c r="BX422" i="129"/>
  <c r="BX421" i="129"/>
  <c r="BX420" i="129"/>
  <c r="BX419" i="129"/>
  <c r="BX418" i="129"/>
  <c r="BX417" i="129"/>
  <c r="BX416" i="129"/>
  <c r="BX415" i="129"/>
  <c r="BX414" i="129"/>
  <c r="BX413" i="129"/>
  <c r="BX412" i="129"/>
  <c r="BX411" i="129"/>
  <c r="BX410" i="129"/>
  <c r="BX409" i="129"/>
  <c r="BX408" i="129"/>
  <c r="BX407" i="129"/>
  <c r="BX406" i="129"/>
  <c r="BX405" i="129"/>
  <c r="BX404" i="129"/>
  <c r="BX403" i="129"/>
  <c r="BX402" i="129"/>
  <c r="BX401" i="129"/>
  <c r="BX400" i="129"/>
  <c r="BX399" i="129"/>
  <c r="BX398" i="129"/>
  <c r="BX397" i="129"/>
  <c r="BX396" i="129"/>
  <c r="BX395" i="129"/>
  <c r="BX394" i="129"/>
  <c r="BX393" i="129"/>
  <c r="BX392" i="129"/>
  <c r="BX391" i="129"/>
  <c r="BX390" i="129"/>
  <c r="BX389" i="129"/>
  <c r="BX388" i="129"/>
  <c r="BX387" i="129"/>
  <c r="BX386" i="129"/>
  <c r="BX385" i="129"/>
  <c r="BX384" i="129"/>
  <c r="BX383" i="129"/>
  <c r="BX382" i="129"/>
  <c r="BX381" i="129"/>
  <c r="BX380" i="129"/>
  <c r="BX379" i="129"/>
  <c r="BX378" i="129"/>
  <c r="BX377" i="129"/>
  <c r="BX376" i="129"/>
  <c r="BX375" i="129"/>
  <c r="BX374" i="129"/>
  <c r="BX373" i="129"/>
  <c r="BX372" i="129"/>
  <c r="BX371" i="129"/>
  <c r="BX370" i="129"/>
  <c r="BX369" i="129"/>
  <c r="BX368" i="129"/>
  <c r="BX367" i="129"/>
  <c r="BX366" i="129"/>
  <c r="BX365" i="129"/>
  <c r="BX364" i="129"/>
  <c r="BX363" i="129"/>
  <c r="BX362" i="129"/>
  <c r="BX361" i="129"/>
  <c r="BX360" i="129"/>
  <c r="BX359" i="129"/>
  <c r="BX358" i="129"/>
  <c r="BX357" i="129"/>
  <c r="BX356" i="129"/>
  <c r="BX355" i="129"/>
  <c r="BX354" i="129"/>
  <c r="BX353" i="129"/>
  <c r="BX352" i="129"/>
  <c r="BX351" i="129"/>
  <c r="BX350" i="129"/>
  <c r="BX349" i="129"/>
  <c r="BX348" i="129"/>
  <c r="BX347" i="129"/>
  <c r="BX346" i="129"/>
  <c r="BX345" i="129"/>
  <c r="BX344" i="129"/>
  <c r="BX343" i="129"/>
  <c r="BX342" i="129"/>
  <c r="BX341" i="129"/>
  <c r="BX340" i="129"/>
  <c r="BX339" i="129"/>
  <c r="BX338" i="129"/>
  <c r="BX337" i="129"/>
  <c r="BX336" i="129"/>
  <c r="BX335" i="129"/>
  <c r="BX334" i="129"/>
  <c r="BX333" i="129"/>
  <c r="BX332" i="129"/>
  <c r="BX331" i="129"/>
  <c r="BX330" i="129"/>
  <c r="BX329" i="129"/>
  <c r="BX328" i="129"/>
  <c r="BX327" i="129"/>
  <c r="BX326" i="129"/>
  <c r="BX325" i="129"/>
  <c r="BX324" i="129"/>
  <c r="BX323" i="129"/>
  <c r="BX322" i="129"/>
  <c r="BX321" i="129"/>
  <c r="BX320" i="129"/>
  <c r="BX319" i="129"/>
  <c r="BX318" i="129"/>
  <c r="BX317" i="129"/>
  <c r="BX316" i="129"/>
  <c r="BX315" i="129"/>
  <c r="BX314" i="129"/>
  <c r="BX313" i="129"/>
  <c r="BX312" i="129"/>
  <c r="BX311" i="129"/>
  <c r="BX310" i="129"/>
  <c r="BX309" i="129"/>
  <c r="BX308" i="129"/>
  <c r="BX307" i="129"/>
  <c r="BX306" i="129"/>
  <c r="BX305" i="129"/>
  <c r="BX304" i="129"/>
  <c r="BX303" i="129"/>
  <c r="BX302" i="129"/>
  <c r="BX301" i="129"/>
  <c r="BX300" i="129"/>
  <c r="BX299" i="129"/>
  <c r="BX298" i="129"/>
  <c r="BX297" i="129"/>
  <c r="BX296" i="129"/>
  <c r="BX295" i="129"/>
  <c r="BX294" i="129"/>
  <c r="BX293" i="129"/>
  <c r="BX292" i="129"/>
  <c r="BX291" i="129"/>
  <c r="BX290" i="129"/>
  <c r="BX289" i="129"/>
  <c r="BX288" i="129"/>
  <c r="BX287" i="129"/>
  <c r="BX286" i="129"/>
  <c r="BX285" i="129"/>
  <c r="BX284" i="129"/>
  <c r="BX283" i="129"/>
  <c r="BX282" i="129"/>
  <c r="BX281" i="129"/>
  <c r="BX280" i="129"/>
  <c r="BX279" i="129"/>
  <c r="BX278" i="129"/>
  <c r="BX277" i="129"/>
  <c r="BX276" i="129"/>
  <c r="BX275" i="129"/>
  <c r="BX274" i="129"/>
  <c r="BX273" i="129"/>
  <c r="BX272" i="129"/>
  <c r="BX271" i="129"/>
  <c r="BX270" i="129"/>
  <c r="BX269" i="129"/>
  <c r="BX268" i="129"/>
  <c r="BX267" i="129"/>
  <c r="BX266" i="129"/>
  <c r="BX265" i="129"/>
  <c r="BX264" i="129"/>
  <c r="BX263" i="129"/>
  <c r="BX262" i="129"/>
  <c r="BX261" i="129"/>
  <c r="BX260" i="129"/>
  <c r="BX259" i="129"/>
  <c r="BX258" i="129"/>
  <c r="BX257" i="129"/>
  <c r="BX256" i="129"/>
  <c r="BX255" i="129"/>
  <c r="BX254" i="129"/>
  <c r="BX253" i="129"/>
  <c r="BX252" i="129"/>
  <c r="BX251" i="129"/>
  <c r="BX250" i="129"/>
  <c r="BX249" i="129"/>
  <c r="BX248" i="129"/>
  <c r="BX247" i="129"/>
  <c r="BX246" i="129"/>
  <c r="BX245" i="129"/>
  <c r="BX244" i="129"/>
  <c r="BX243" i="129"/>
  <c r="BX242" i="129"/>
  <c r="BX241" i="129"/>
  <c r="BX240" i="129"/>
  <c r="BX239" i="129"/>
  <c r="BX238" i="129"/>
  <c r="BX237" i="129"/>
  <c r="BX236" i="129"/>
  <c r="BX235" i="129"/>
  <c r="BX234" i="129"/>
  <c r="BX233" i="129"/>
  <c r="BX232" i="129"/>
  <c r="BX231" i="129"/>
  <c r="BX230" i="129"/>
  <c r="BX229" i="129"/>
  <c r="BX228" i="129"/>
  <c r="BX227" i="129"/>
  <c r="BX226" i="129"/>
  <c r="BX225" i="129"/>
  <c r="BX224" i="129"/>
  <c r="BX223" i="129"/>
  <c r="BX222" i="129"/>
  <c r="BX221" i="129"/>
  <c r="BX220" i="129"/>
  <c r="BX219" i="129"/>
  <c r="BX218" i="129"/>
  <c r="BX217" i="129"/>
  <c r="BX216" i="129"/>
  <c r="BX215" i="129"/>
  <c r="BX214" i="129"/>
  <c r="BX213" i="129"/>
  <c r="BX212" i="129"/>
  <c r="BX211" i="129"/>
  <c r="BX210" i="129"/>
  <c r="BX209" i="129"/>
  <c r="BX208" i="129"/>
  <c r="BX207" i="129"/>
  <c r="BX206" i="129"/>
  <c r="BX205" i="129"/>
  <c r="BX204" i="129"/>
  <c r="BX203" i="129"/>
  <c r="BX202" i="129"/>
  <c r="BX201" i="129"/>
  <c r="BX200" i="129"/>
  <c r="BX199" i="129"/>
  <c r="BX198" i="129"/>
  <c r="BX197" i="129"/>
  <c r="BX196" i="129"/>
  <c r="BX195" i="129"/>
  <c r="BX194" i="129"/>
  <c r="BX193" i="129"/>
  <c r="BX192" i="129"/>
  <c r="BX191" i="129"/>
  <c r="BX190" i="129"/>
  <c r="BX189" i="129"/>
  <c r="BX188" i="129"/>
  <c r="BX187" i="129"/>
  <c r="BX186" i="129"/>
  <c r="BX185" i="129"/>
  <c r="BX184" i="129"/>
  <c r="BX183" i="129"/>
  <c r="BX182" i="129"/>
  <c r="BX181" i="129"/>
  <c r="BX180" i="129"/>
  <c r="BX179" i="129"/>
  <c r="BX178" i="129"/>
  <c r="BX177" i="129"/>
  <c r="BX176" i="129"/>
  <c r="BX175" i="129"/>
  <c r="BX174" i="129"/>
  <c r="BX173" i="129"/>
  <c r="BX172" i="129"/>
  <c r="BX171" i="129"/>
  <c r="BX170" i="129"/>
  <c r="BX169" i="129"/>
  <c r="BX168" i="129"/>
  <c r="BX167" i="129"/>
  <c r="BX166" i="129"/>
  <c r="BX165" i="129"/>
  <c r="BX164" i="129"/>
  <c r="BX163" i="129"/>
  <c r="BX162" i="129"/>
  <c r="BX161" i="129"/>
  <c r="BX160" i="129"/>
  <c r="BX159" i="129"/>
  <c r="BX158" i="129"/>
  <c r="BX157" i="129"/>
  <c r="BX156" i="129"/>
  <c r="BX155" i="129"/>
  <c r="BX154" i="129"/>
  <c r="BX153" i="129"/>
  <c r="BX152" i="129"/>
  <c r="BX151" i="129"/>
  <c r="BX150" i="129"/>
  <c r="BX149" i="129"/>
  <c r="BX148" i="129"/>
  <c r="BX147" i="129"/>
  <c r="BX146" i="129"/>
  <c r="BX145" i="129"/>
  <c r="BX144" i="129"/>
  <c r="BX143" i="129"/>
  <c r="BX142" i="129"/>
  <c r="BX141" i="129"/>
  <c r="BX140" i="129"/>
  <c r="BX139" i="129"/>
  <c r="BX138" i="129"/>
  <c r="BX137" i="129"/>
  <c r="BX136" i="129"/>
  <c r="BX135" i="129"/>
  <c r="BX134" i="129"/>
  <c r="BX133" i="129"/>
  <c r="BX132" i="129"/>
  <c r="BX131" i="129"/>
  <c r="BX130" i="129"/>
  <c r="BX129" i="129"/>
  <c r="BX128" i="129"/>
  <c r="BX127" i="129"/>
  <c r="BX126" i="129"/>
  <c r="BX125" i="129"/>
  <c r="BX124" i="129"/>
  <c r="BX123" i="129"/>
  <c r="BX122" i="129"/>
  <c r="BX121" i="129"/>
  <c r="BX120" i="129"/>
  <c r="BX119" i="129"/>
  <c r="BX118" i="129"/>
  <c r="BX117" i="129"/>
  <c r="BX116" i="129"/>
  <c r="BX115" i="129"/>
  <c r="BX114" i="129"/>
  <c r="BX113" i="129"/>
  <c r="BX112" i="129"/>
  <c r="BX111" i="129"/>
  <c r="BX110" i="129"/>
  <c r="BX109" i="129"/>
  <c r="BX108" i="129"/>
  <c r="BX107" i="129"/>
  <c r="BX106" i="129"/>
  <c r="BX105" i="129"/>
  <c r="BX104" i="129"/>
  <c r="BX103" i="129"/>
  <c r="BX102" i="129"/>
  <c r="BX101" i="129"/>
  <c r="BX100" i="129"/>
  <c r="BX99" i="129"/>
  <c r="BX98" i="129"/>
  <c r="BX97" i="129"/>
  <c r="BX96" i="129"/>
  <c r="BX95" i="129"/>
  <c r="BX94" i="129"/>
  <c r="BX93" i="129"/>
  <c r="BX92" i="129"/>
  <c r="BX91" i="129"/>
  <c r="BX90" i="129"/>
  <c r="BX89" i="129"/>
  <c r="BX88" i="129"/>
  <c r="BX87" i="129"/>
  <c r="BX86" i="129"/>
  <c r="BX85" i="129"/>
  <c r="BX84" i="129"/>
  <c r="BX83" i="129"/>
  <c r="BX82" i="129"/>
  <c r="BX81" i="129"/>
  <c r="BX80" i="129"/>
  <c r="BX79" i="129"/>
  <c r="BX78" i="129"/>
  <c r="BX77" i="129"/>
  <c r="BX76" i="129"/>
  <c r="BX75" i="129"/>
  <c r="BX74" i="129"/>
  <c r="BX73" i="129"/>
  <c r="BX72" i="129"/>
  <c r="BX71" i="129"/>
  <c r="BX70" i="129"/>
  <c r="BX69" i="129"/>
  <c r="BX68" i="129"/>
  <c r="BX67" i="129"/>
  <c r="BX66" i="129"/>
  <c r="BX65" i="129"/>
  <c r="BX64" i="129"/>
  <c r="BX63" i="129"/>
  <c r="BX62" i="129"/>
  <c r="BX61" i="129"/>
  <c r="BX60" i="129"/>
  <c r="BX59" i="129"/>
  <c r="BX58" i="129"/>
  <c r="BX57" i="129"/>
  <c r="BX56" i="129"/>
  <c r="BX55" i="129"/>
  <c r="BX54" i="129"/>
  <c r="BX53" i="129"/>
  <c r="BX52" i="129"/>
  <c r="BX51" i="129"/>
  <c r="BX50" i="129"/>
  <c r="BX49" i="129"/>
  <c r="BX48" i="129"/>
  <c r="BX47" i="129"/>
  <c r="BX46" i="129"/>
  <c r="BX45" i="129"/>
  <c r="BX44" i="129"/>
  <c r="BX43" i="129"/>
  <c r="BX42" i="129"/>
  <c r="BX41" i="129"/>
  <c r="BX40" i="129"/>
  <c r="BX39" i="129"/>
  <c r="BX38" i="129"/>
  <c r="BX37" i="129"/>
  <c r="BX36" i="129"/>
  <c r="BX35" i="129"/>
  <c r="BX33" i="129"/>
  <c r="BX20" i="129"/>
  <c r="BX19" i="129"/>
  <c r="BX26" i="129"/>
  <c r="BX25" i="129"/>
  <c r="BX24" i="129"/>
  <c r="BX23" i="129"/>
  <c r="BX22" i="129"/>
  <c r="BX21" i="129"/>
  <c r="BX32" i="129"/>
  <c r="BX18" i="129"/>
  <c r="BX17" i="129"/>
  <c r="BX16" i="129"/>
  <c r="BX15" i="129"/>
  <c r="BX34" i="129"/>
  <c r="BX31" i="129"/>
  <c r="BX30" i="129"/>
  <c r="BX29" i="129"/>
  <c r="BX28" i="129"/>
  <c r="BX27" i="129"/>
  <c r="BX14" i="129"/>
  <c r="BX13" i="129"/>
  <c r="BX12" i="129"/>
  <c r="BX8" i="129"/>
  <c r="BX7" i="129"/>
  <c r="BX6" i="129"/>
  <c r="BX5" i="129"/>
  <c r="BX4" i="129"/>
  <c r="BX3" i="129"/>
  <c r="BZ60" i="129"/>
  <c r="AD890" i="129"/>
  <c r="AD889" i="129"/>
  <c r="AD888" i="129"/>
  <c r="AD887" i="129"/>
  <c r="AD886" i="129"/>
  <c r="AD885" i="129"/>
  <c r="AD884" i="129"/>
  <c r="AD883" i="129"/>
  <c r="AD882" i="129"/>
  <c r="AD881" i="129"/>
  <c r="AD880" i="129"/>
  <c r="AD879" i="129"/>
  <c r="AD878" i="129"/>
  <c r="AD877" i="129"/>
  <c r="AD876" i="129"/>
  <c r="AD875" i="129"/>
  <c r="AD874" i="129"/>
  <c r="AD873" i="129"/>
  <c r="AD872" i="129"/>
  <c r="AD871" i="129"/>
  <c r="AD870" i="129"/>
  <c r="AD869" i="129"/>
  <c r="AD868" i="129"/>
  <c r="AD867" i="129"/>
  <c r="AD866" i="129"/>
  <c r="AD865" i="129"/>
  <c r="AD864" i="129"/>
  <c r="AD863" i="129"/>
  <c r="AD862" i="129"/>
  <c r="AD861" i="129"/>
  <c r="AD860" i="129"/>
  <c r="AD859" i="129"/>
  <c r="AD858" i="129"/>
  <c r="AD857" i="129"/>
  <c r="AD856" i="129"/>
  <c r="AD855" i="129"/>
  <c r="AD854" i="129"/>
  <c r="AD853" i="129"/>
  <c r="AD852" i="129"/>
  <c r="AD851" i="129"/>
  <c r="AD850" i="129"/>
  <c r="AD849" i="129"/>
  <c r="AD848" i="129"/>
  <c r="AD847" i="129"/>
  <c r="AD846" i="129"/>
  <c r="AD845" i="129"/>
  <c r="AD844" i="129"/>
  <c r="AD843" i="129"/>
  <c r="AD842" i="129"/>
  <c r="AD841" i="129"/>
  <c r="AD840" i="129"/>
  <c r="AD839" i="129"/>
  <c r="AD838" i="129"/>
  <c r="AD837" i="129"/>
  <c r="AD836" i="129"/>
  <c r="AD835" i="129"/>
  <c r="AD834" i="129"/>
  <c r="AD833" i="129"/>
  <c r="AD832" i="129"/>
  <c r="AD831" i="129"/>
  <c r="AD830" i="129"/>
  <c r="AD829" i="129"/>
  <c r="AD828" i="129"/>
  <c r="AD827" i="129"/>
  <c r="AD826" i="129"/>
  <c r="AD825" i="129"/>
  <c r="AD824" i="129"/>
  <c r="AD823" i="129"/>
  <c r="AD822" i="129"/>
  <c r="AD821" i="129"/>
  <c r="AD820" i="129"/>
  <c r="AD819" i="129"/>
  <c r="AD818" i="129"/>
  <c r="AD817" i="129"/>
  <c r="AD816" i="129"/>
  <c r="AD815" i="129"/>
  <c r="AD814" i="129"/>
  <c r="AD813" i="129"/>
  <c r="AD812" i="129"/>
  <c r="AD811" i="129"/>
  <c r="AD810" i="129"/>
  <c r="AD809" i="129"/>
  <c r="AD808" i="129"/>
  <c r="AD807" i="129"/>
  <c r="AD806" i="129"/>
  <c r="AD805" i="129"/>
  <c r="AD804" i="129"/>
  <c r="AD803" i="129"/>
  <c r="AD802" i="129"/>
  <c r="AD801" i="129"/>
  <c r="AD800" i="129"/>
  <c r="AD799" i="129"/>
  <c r="AD798" i="129"/>
  <c r="AD797" i="129"/>
  <c r="AD796" i="129"/>
  <c r="AD795" i="129"/>
  <c r="AD794" i="129"/>
  <c r="AD793" i="129"/>
  <c r="AD792" i="129"/>
  <c r="AD791" i="129"/>
  <c r="AD790" i="129"/>
  <c r="AD789" i="129"/>
  <c r="AD788" i="129"/>
  <c r="AD787" i="129"/>
  <c r="AD786" i="129"/>
  <c r="AD785" i="129"/>
  <c r="AD784" i="129"/>
  <c r="AD783" i="129"/>
  <c r="AD782" i="129"/>
  <c r="AD781" i="129"/>
  <c r="AD780" i="129"/>
  <c r="AD779" i="129"/>
  <c r="AD778" i="129"/>
  <c r="AD777" i="129"/>
  <c r="AD776" i="129"/>
  <c r="AD775" i="129"/>
  <c r="AD774" i="129"/>
  <c r="AD773" i="129"/>
  <c r="AD772" i="129"/>
  <c r="AD771" i="129"/>
  <c r="AD770" i="129"/>
  <c r="AD769" i="129"/>
  <c r="AD768" i="129"/>
  <c r="AD767" i="129"/>
  <c r="AD766" i="129"/>
  <c r="AD765" i="129"/>
  <c r="AD764" i="129"/>
  <c r="AD763" i="129"/>
  <c r="AD762" i="129"/>
  <c r="AD761" i="129"/>
  <c r="AD760" i="129"/>
  <c r="AD759" i="129"/>
  <c r="AD758" i="129"/>
  <c r="AD757" i="129"/>
  <c r="AD756" i="129"/>
  <c r="AD755" i="129"/>
  <c r="AD754" i="129"/>
  <c r="AD753" i="129"/>
  <c r="AD752" i="129"/>
  <c r="AD751" i="129"/>
  <c r="AD750" i="129"/>
  <c r="AD749" i="129"/>
  <c r="AD748" i="129"/>
  <c r="AD747" i="129"/>
  <c r="AD746" i="129"/>
  <c r="AD745" i="129"/>
  <c r="AD744" i="129"/>
  <c r="AD743" i="129"/>
  <c r="AD742" i="129"/>
  <c r="AD741" i="129"/>
  <c r="AD740" i="129"/>
  <c r="AD739" i="129"/>
  <c r="AD738" i="129"/>
  <c r="AD737" i="129"/>
  <c r="AD736" i="129"/>
  <c r="AD735" i="129"/>
  <c r="AD734" i="129"/>
  <c r="AD733" i="129"/>
  <c r="AD732" i="129"/>
  <c r="AD731" i="129"/>
  <c r="AD730" i="129"/>
  <c r="AD729" i="129"/>
  <c r="AD728" i="129"/>
  <c r="AD727" i="129"/>
  <c r="AD726" i="129"/>
  <c r="AD725" i="129"/>
  <c r="AD724" i="129"/>
  <c r="AD723" i="129"/>
  <c r="AD722" i="129"/>
  <c r="AD721" i="129"/>
  <c r="AD720" i="129"/>
  <c r="AD719" i="129"/>
  <c r="AD718" i="129"/>
  <c r="AD717" i="129"/>
  <c r="AD716" i="129"/>
  <c r="AD715" i="129"/>
  <c r="AD714" i="129"/>
  <c r="AD713" i="129"/>
  <c r="AD712" i="129"/>
  <c r="AD711" i="129"/>
  <c r="AD710" i="129"/>
  <c r="AD709" i="129"/>
  <c r="AD708" i="129"/>
  <c r="AD707" i="129"/>
  <c r="AD706" i="129"/>
  <c r="AD705" i="129"/>
  <c r="AD704" i="129"/>
  <c r="AD703" i="129"/>
  <c r="AD702" i="129"/>
  <c r="AD701" i="129"/>
  <c r="AD700" i="129"/>
  <c r="AD699" i="129"/>
  <c r="AD698" i="129"/>
  <c r="AD697" i="129"/>
  <c r="AD696" i="129"/>
  <c r="AD695" i="129"/>
  <c r="AD694" i="129"/>
  <c r="AD693" i="129"/>
  <c r="AD692" i="129"/>
  <c r="AD691" i="129"/>
  <c r="AD690" i="129"/>
  <c r="AD689" i="129"/>
  <c r="AD688" i="129"/>
  <c r="AD687" i="129"/>
  <c r="AD686" i="129"/>
  <c r="AD685" i="129"/>
  <c r="AD684" i="129"/>
  <c r="AD683" i="129"/>
  <c r="AD682" i="129"/>
  <c r="AD681" i="129"/>
  <c r="AD680" i="129"/>
  <c r="AD679" i="129"/>
  <c r="AD678" i="129"/>
  <c r="AD677" i="129"/>
  <c r="AD676" i="129"/>
  <c r="AD675" i="129"/>
  <c r="AD674" i="129"/>
  <c r="AD673" i="129"/>
  <c r="AD672" i="129"/>
  <c r="AD671" i="129"/>
  <c r="AD670" i="129"/>
  <c r="AD669" i="129"/>
  <c r="AD668" i="129"/>
  <c r="AD667" i="129"/>
  <c r="AD666" i="129"/>
  <c r="AD665" i="129"/>
  <c r="AD664" i="129"/>
  <c r="AD663" i="129"/>
  <c r="AD662" i="129"/>
  <c r="AD661" i="129"/>
  <c r="AD660" i="129"/>
  <c r="AD659" i="129"/>
  <c r="AD658" i="129"/>
  <c r="AD657" i="129"/>
  <c r="AD656" i="129"/>
  <c r="AD655" i="129"/>
  <c r="AD654" i="129"/>
  <c r="AD653" i="129"/>
  <c r="AD652" i="129"/>
  <c r="AD651" i="129"/>
  <c r="AD650" i="129"/>
  <c r="AD649" i="129"/>
  <c r="AD648" i="129"/>
  <c r="AD647" i="129"/>
  <c r="AD646" i="129"/>
  <c r="AD645" i="129"/>
  <c r="AD644" i="129"/>
  <c r="AD643" i="129"/>
  <c r="AD642" i="129"/>
  <c r="AD641" i="129"/>
  <c r="AD640" i="129"/>
  <c r="AD639" i="129"/>
  <c r="AD638" i="129"/>
  <c r="AD637" i="129"/>
  <c r="AD636" i="129"/>
  <c r="AD635" i="129"/>
  <c r="AD634" i="129"/>
  <c r="AD633" i="129"/>
  <c r="AD632" i="129"/>
  <c r="AD631" i="129"/>
  <c r="AD630" i="129"/>
  <c r="AD629" i="129"/>
  <c r="AD628" i="129"/>
  <c r="AD627" i="129"/>
  <c r="AD626" i="129"/>
  <c r="AD625" i="129"/>
  <c r="AD624" i="129"/>
  <c r="AD623" i="129"/>
  <c r="AD622" i="129"/>
  <c r="AD621" i="129"/>
  <c r="AD620" i="129"/>
  <c r="AD619" i="129"/>
  <c r="AD618" i="129"/>
  <c r="AD617" i="129"/>
  <c r="AD616" i="129"/>
  <c r="AD615" i="129"/>
  <c r="AD614" i="129"/>
  <c r="AD613" i="129"/>
  <c r="AD612" i="129"/>
  <c r="AD611" i="129"/>
  <c r="AD610" i="129"/>
  <c r="AD609" i="129"/>
  <c r="AD608" i="129"/>
  <c r="AD607" i="129"/>
  <c r="AD606" i="129"/>
  <c r="AD605" i="129"/>
  <c r="AD604" i="129"/>
  <c r="AD603" i="129"/>
  <c r="AD602" i="129"/>
  <c r="AD601" i="129"/>
  <c r="AD600" i="129"/>
  <c r="AD599" i="129"/>
  <c r="AD598" i="129"/>
  <c r="AD597" i="129"/>
  <c r="AD596" i="129"/>
  <c r="AD595" i="129"/>
  <c r="AD594" i="129"/>
  <c r="AD593" i="129"/>
  <c r="AD592" i="129"/>
  <c r="AD591" i="129"/>
  <c r="AD590" i="129"/>
  <c r="AD589" i="129"/>
  <c r="AD588" i="129"/>
  <c r="AD587" i="129"/>
  <c r="AD586" i="129"/>
  <c r="AD585" i="129"/>
  <c r="AD584" i="129"/>
  <c r="AD583" i="129"/>
  <c r="AD582" i="129"/>
  <c r="AD581" i="129"/>
  <c r="AD580" i="129"/>
  <c r="AD579" i="129"/>
  <c r="AD578" i="129"/>
  <c r="AD577" i="129"/>
  <c r="AD576" i="129"/>
  <c r="AD575" i="129"/>
  <c r="AD574" i="129"/>
  <c r="AD573" i="129"/>
  <c r="AD572" i="129"/>
  <c r="AD571" i="129"/>
  <c r="AD570" i="129"/>
  <c r="AD569" i="129"/>
  <c r="AD568" i="129"/>
  <c r="AD567" i="129"/>
  <c r="AD566" i="129"/>
  <c r="AD565" i="129"/>
  <c r="AD564" i="129"/>
  <c r="AD563" i="129"/>
  <c r="AD562" i="129"/>
  <c r="AD561" i="129"/>
  <c r="AD560" i="129"/>
  <c r="AD559" i="129"/>
  <c r="AD558" i="129"/>
  <c r="AD557" i="129"/>
  <c r="AD556" i="129"/>
  <c r="AD555" i="129"/>
  <c r="AD554" i="129"/>
  <c r="AD553" i="129"/>
  <c r="AD552" i="129"/>
  <c r="AD551" i="129"/>
  <c r="AD550" i="129"/>
  <c r="AD549" i="129"/>
  <c r="AD548" i="129"/>
  <c r="AD547" i="129"/>
  <c r="AD546" i="129"/>
  <c r="AD545" i="129"/>
  <c r="AD544" i="129"/>
  <c r="AD543" i="129"/>
  <c r="AD542" i="129"/>
  <c r="AD541" i="129"/>
  <c r="AD540" i="129"/>
  <c r="AD539" i="129"/>
  <c r="AD538" i="129"/>
  <c r="AD537" i="129"/>
  <c r="AD536" i="129"/>
  <c r="AD535" i="129"/>
  <c r="AD534" i="129"/>
  <c r="AD533" i="129"/>
  <c r="AD532" i="129"/>
  <c r="AD531" i="129"/>
  <c r="AD530" i="129"/>
  <c r="AD529" i="129"/>
  <c r="AD528" i="129"/>
  <c r="AD527" i="129"/>
  <c r="AD526" i="129"/>
  <c r="AD525" i="129"/>
  <c r="AD524" i="129"/>
  <c r="AD523" i="129"/>
  <c r="AD522" i="129"/>
  <c r="AD521" i="129"/>
  <c r="AD520" i="129"/>
  <c r="AD519" i="129"/>
  <c r="AD518" i="129"/>
  <c r="AD517" i="129"/>
  <c r="AD516" i="129"/>
  <c r="AD515" i="129"/>
  <c r="AD514" i="129"/>
  <c r="AD513" i="129"/>
  <c r="AD512" i="129"/>
  <c r="AD511" i="129"/>
  <c r="AD510" i="129"/>
  <c r="AD509" i="129"/>
  <c r="AD508" i="129"/>
  <c r="AD507" i="129"/>
  <c r="AD506" i="129"/>
  <c r="AD505" i="129"/>
  <c r="AD504" i="129"/>
  <c r="AD503" i="129"/>
  <c r="AD502" i="129"/>
  <c r="AD501" i="129"/>
  <c r="AD500" i="129"/>
  <c r="AD499" i="129"/>
  <c r="AD498" i="129"/>
  <c r="AD497" i="129"/>
  <c r="AD496" i="129"/>
  <c r="AD495" i="129"/>
  <c r="AD494" i="129"/>
  <c r="AD493" i="129"/>
  <c r="AD492" i="129"/>
  <c r="AD491" i="129"/>
  <c r="AD490" i="129"/>
  <c r="AD489" i="129"/>
  <c r="AD488" i="129"/>
  <c r="AD487" i="129"/>
  <c r="AD486" i="129"/>
  <c r="AD485" i="129"/>
  <c r="AD484" i="129"/>
  <c r="AD483" i="129"/>
  <c r="AD482" i="129"/>
  <c r="AD481" i="129"/>
  <c r="AD480" i="129"/>
  <c r="AD479" i="129"/>
  <c r="AD478" i="129"/>
  <c r="AD477" i="129"/>
  <c r="AD476" i="129"/>
  <c r="AD475" i="129"/>
  <c r="AD474" i="129"/>
  <c r="AD473" i="129"/>
  <c r="AD472" i="129"/>
  <c r="AD471" i="129"/>
  <c r="AD470" i="129"/>
  <c r="AD469" i="129"/>
  <c r="AD468" i="129"/>
  <c r="AD467" i="129"/>
  <c r="AD466" i="129"/>
  <c r="AD465" i="129"/>
  <c r="AD464" i="129"/>
  <c r="AD463" i="129"/>
  <c r="AD462" i="129"/>
  <c r="AD461" i="129"/>
  <c r="AD460" i="129"/>
  <c r="AD459" i="129"/>
  <c r="AD458" i="129"/>
  <c r="AD457" i="129"/>
  <c r="AD456" i="129"/>
  <c r="AD455" i="129"/>
  <c r="AD454" i="129"/>
  <c r="AD453" i="129"/>
  <c r="AD452" i="129"/>
  <c r="AD451" i="129"/>
  <c r="AD450" i="129"/>
  <c r="AD449" i="129"/>
  <c r="AD448" i="129"/>
  <c r="AD447" i="129"/>
  <c r="AD446" i="129"/>
  <c r="AD445" i="129"/>
  <c r="AD444" i="129"/>
  <c r="AD443" i="129"/>
  <c r="AD442" i="129"/>
  <c r="AD441" i="129"/>
  <c r="AD440" i="129"/>
  <c r="AD439" i="129"/>
  <c r="AD438" i="129"/>
  <c r="AD437" i="129"/>
  <c r="AD436" i="129"/>
  <c r="AD435" i="129"/>
  <c r="AD434" i="129"/>
  <c r="AD433" i="129"/>
  <c r="AD432" i="129"/>
  <c r="AD431" i="129"/>
  <c r="AD430" i="129"/>
  <c r="AD429" i="129"/>
  <c r="AD428" i="129"/>
  <c r="AD427" i="129"/>
  <c r="AD426" i="129"/>
  <c r="AD425" i="129"/>
  <c r="AD424" i="129"/>
  <c r="AD423" i="129"/>
  <c r="AD422" i="129"/>
  <c r="AD421" i="129"/>
  <c r="AD420" i="129"/>
  <c r="AD419" i="129"/>
  <c r="AD418" i="129"/>
  <c r="AD417" i="129"/>
  <c r="AD416" i="129"/>
  <c r="AD415" i="129"/>
  <c r="AD414" i="129"/>
  <c r="AD413" i="129"/>
  <c r="AD412" i="129"/>
  <c r="AD411" i="129"/>
  <c r="AD410" i="129"/>
  <c r="AD409" i="129"/>
  <c r="AD408" i="129"/>
  <c r="AD407" i="129"/>
  <c r="AD406" i="129"/>
  <c r="AD405" i="129"/>
  <c r="AD404" i="129"/>
  <c r="AD403" i="129"/>
  <c r="AD402" i="129"/>
  <c r="AD401" i="129"/>
  <c r="AD400" i="129"/>
  <c r="AD399" i="129"/>
  <c r="AD398" i="129"/>
  <c r="AD397" i="129"/>
  <c r="AD396" i="129"/>
  <c r="AD395" i="129"/>
  <c r="AD394" i="129"/>
  <c r="AD393" i="129"/>
  <c r="AD392" i="129"/>
  <c r="AD391" i="129"/>
  <c r="AD390" i="129"/>
  <c r="AD389" i="129"/>
  <c r="AD388" i="129"/>
  <c r="AD387" i="129"/>
  <c r="AD386" i="129"/>
  <c r="AD385" i="129"/>
  <c r="AD384" i="129"/>
  <c r="AD383" i="129"/>
  <c r="AD382" i="129"/>
  <c r="AD381" i="129"/>
  <c r="AD380" i="129"/>
  <c r="AD379" i="129"/>
  <c r="AD378" i="129"/>
  <c r="AD377" i="129"/>
  <c r="AD376" i="129"/>
  <c r="AD375" i="129"/>
  <c r="AD374" i="129"/>
  <c r="AD373" i="129"/>
  <c r="AD372" i="129"/>
  <c r="AD371" i="129"/>
  <c r="AD370" i="129"/>
  <c r="AD369" i="129"/>
  <c r="AD368" i="129"/>
  <c r="AD367" i="129"/>
  <c r="AD366" i="129"/>
  <c r="AD365" i="129"/>
  <c r="AD364" i="129"/>
  <c r="AD363" i="129"/>
  <c r="AD362" i="129"/>
  <c r="AD361" i="129"/>
  <c r="AD360" i="129"/>
  <c r="AD359" i="129"/>
  <c r="AD358" i="129"/>
  <c r="AD357" i="129"/>
  <c r="AD356" i="129"/>
  <c r="AD355" i="129"/>
  <c r="AD354" i="129"/>
  <c r="AD353" i="129"/>
  <c r="AD352" i="129"/>
  <c r="AD351" i="129"/>
  <c r="AD350" i="129"/>
  <c r="AD349" i="129"/>
  <c r="AD348" i="129"/>
  <c r="AD347" i="129"/>
  <c r="AD346" i="129"/>
  <c r="AD345" i="129"/>
  <c r="AD344" i="129"/>
  <c r="AD343" i="129"/>
  <c r="AD342" i="129"/>
  <c r="AD341" i="129"/>
  <c r="AD340" i="129"/>
  <c r="AD339" i="129"/>
  <c r="AD338" i="129"/>
  <c r="AD337" i="129"/>
  <c r="AD336" i="129"/>
  <c r="AD335" i="129"/>
  <c r="AD334" i="129"/>
  <c r="AD333" i="129"/>
  <c r="AD332" i="129"/>
  <c r="AD331" i="129"/>
  <c r="AD330" i="129"/>
  <c r="AD329" i="129"/>
  <c r="AD328" i="129"/>
  <c r="AD327" i="129"/>
  <c r="AD326" i="129"/>
  <c r="AD325" i="129"/>
  <c r="AD324" i="129"/>
  <c r="AD323" i="129"/>
  <c r="AD322" i="129"/>
  <c r="AD321" i="129"/>
  <c r="AD320" i="129"/>
  <c r="AD319" i="129"/>
  <c r="AD318" i="129"/>
  <c r="AD317" i="129"/>
  <c r="AD316" i="129"/>
  <c r="AD315" i="129"/>
  <c r="AD314" i="129"/>
  <c r="AD313" i="129"/>
  <c r="AD312" i="129"/>
  <c r="AD311" i="129"/>
  <c r="AD310" i="129"/>
  <c r="AD309" i="129"/>
  <c r="AD308" i="129"/>
  <c r="AD307" i="129"/>
  <c r="AD306" i="129"/>
  <c r="AD305" i="129"/>
  <c r="AD304" i="129"/>
  <c r="AD303" i="129"/>
  <c r="AD302" i="129"/>
  <c r="AD301" i="129"/>
  <c r="AD300" i="129"/>
  <c r="AD299" i="129"/>
  <c r="AD298" i="129"/>
  <c r="AD297" i="129"/>
  <c r="AD296" i="129"/>
  <c r="AD295" i="129"/>
  <c r="AD294" i="129"/>
  <c r="AD293" i="129"/>
  <c r="AD292" i="129"/>
  <c r="AD291" i="129"/>
  <c r="AD290" i="129"/>
  <c r="AD289" i="129"/>
  <c r="AD288" i="129"/>
  <c r="AD287" i="129"/>
  <c r="AD286" i="129"/>
  <c r="AD285" i="129"/>
  <c r="AD284" i="129"/>
  <c r="AD283" i="129"/>
  <c r="AD282" i="129"/>
  <c r="AD281" i="129"/>
  <c r="AD280" i="129"/>
  <c r="AD279" i="129"/>
  <c r="AD278" i="129"/>
  <c r="AD277" i="129"/>
  <c r="AD276" i="129"/>
  <c r="AD275" i="129"/>
  <c r="AD274" i="129"/>
  <c r="AD273" i="129"/>
  <c r="AD272" i="129"/>
  <c r="AD271" i="129"/>
  <c r="AD270" i="129"/>
  <c r="AD269" i="129"/>
  <c r="AD268" i="129"/>
  <c r="AD267" i="129"/>
  <c r="AD266" i="129"/>
  <c r="AD265" i="129"/>
  <c r="AD264" i="129"/>
  <c r="AD263" i="129"/>
  <c r="AD262" i="129"/>
  <c r="AD261" i="129"/>
  <c r="AD260" i="129"/>
  <c r="AD259" i="129"/>
  <c r="AD258" i="129"/>
  <c r="AD257" i="129"/>
  <c r="AD256" i="129"/>
  <c r="AD255" i="129"/>
  <c r="AD254" i="129"/>
  <c r="AD253" i="129"/>
  <c r="AD252" i="129"/>
  <c r="AD251" i="129"/>
  <c r="AD250" i="129"/>
  <c r="AD249" i="129"/>
  <c r="AD248" i="129"/>
  <c r="AD247" i="129"/>
  <c r="AD246" i="129"/>
  <c r="AD245" i="129"/>
  <c r="AD244" i="129"/>
  <c r="AD243" i="129"/>
  <c r="AD242" i="129"/>
  <c r="AD241" i="129"/>
  <c r="AD240" i="129"/>
  <c r="AD239" i="129"/>
  <c r="AD238" i="129"/>
  <c r="AD237" i="129"/>
  <c r="AD236" i="129"/>
  <c r="AD235" i="129"/>
  <c r="AD234" i="129"/>
  <c r="AD233" i="129"/>
  <c r="AD232" i="129"/>
  <c r="AD231" i="129"/>
  <c r="AD230" i="129"/>
  <c r="AD229" i="129"/>
  <c r="AD228" i="129"/>
  <c r="AD227" i="129"/>
  <c r="AD226" i="129"/>
  <c r="AD225" i="129"/>
  <c r="AD224" i="129"/>
  <c r="AD223" i="129"/>
  <c r="AD222" i="129"/>
  <c r="AD221" i="129"/>
  <c r="AD220" i="129"/>
  <c r="AD219" i="129"/>
  <c r="AD218" i="129"/>
  <c r="AD217" i="129"/>
  <c r="AD216" i="129"/>
  <c r="AD215" i="129"/>
  <c r="AD214" i="129"/>
  <c r="AD213" i="129"/>
  <c r="AD212" i="129"/>
  <c r="AD211" i="129"/>
  <c r="AD210" i="129"/>
  <c r="AD209" i="129"/>
  <c r="AD208" i="129"/>
  <c r="AD207" i="129"/>
  <c r="AD206" i="129"/>
  <c r="AD205" i="129"/>
  <c r="AD204" i="129"/>
  <c r="AD203" i="129"/>
  <c r="AD202" i="129"/>
  <c r="AD201" i="129"/>
  <c r="AD200" i="129"/>
  <c r="AD199" i="129"/>
  <c r="AD198" i="129"/>
  <c r="AD197" i="129"/>
  <c r="AD196" i="129"/>
  <c r="AD195" i="129"/>
  <c r="AD194" i="129"/>
  <c r="AD193" i="129"/>
  <c r="AD192" i="129"/>
  <c r="AD191" i="129"/>
  <c r="AD190" i="129"/>
  <c r="AD189" i="129"/>
  <c r="AD188" i="129"/>
  <c r="AD187" i="129"/>
  <c r="AD186" i="129"/>
  <c r="AD185" i="129"/>
  <c r="AD184" i="129"/>
  <c r="AD183" i="129"/>
  <c r="AD182" i="129"/>
  <c r="AD181" i="129"/>
  <c r="AD180" i="129"/>
  <c r="AD179" i="129"/>
  <c r="AD178" i="129"/>
  <c r="AD177" i="129"/>
  <c r="AD176" i="129"/>
  <c r="AD175" i="129"/>
  <c r="AD174" i="129"/>
  <c r="AD173" i="129"/>
  <c r="AD172" i="129"/>
  <c r="AD171" i="129"/>
  <c r="AD170" i="129"/>
  <c r="AD169" i="129"/>
  <c r="AD168" i="129"/>
  <c r="AD167" i="129"/>
  <c r="AD166" i="129"/>
  <c r="AD165" i="129"/>
  <c r="AD164" i="129"/>
  <c r="AD163" i="129"/>
  <c r="AD162" i="129"/>
  <c r="AD161" i="129"/>
  <c r="AD160" i="129"/>
  <c r="AD159" i="129"/>
  <c r="AD158" i="129"/>
  <c r="AD157" i="129"/>
  <c r="AD156" i="129"/>
  <c r="AD155" i="129"/>
  <c r="AD154" i="129"/>
  <c r="AD153" i="129"/>
  <c r="AD152" i="129"/>
  <c r="AD151" i="129"/>
  <c r="AD150" i="129"/>
  <c r="AD149" i="129"/>
  <c r="AD148" i="129"/>
  <c r="AD147" i="129"/>
  <c r="AD146" i="129"/>
  <c r="AD145" i="129"/>
  <c r="AD144" i="129"/>
  <c r="AD143" i="129"/>
  <c r="AD142" i="129"/>
  <c r="AD141" i="129"/>
  <c r="AD140" i="129"/>
  <c r="AD139" i="129"/>
  <c r="AD138" i="129"/>
  <c r="AD137" i="129"/>
  <c r="AD136" i="129"/>
  <c r="AD135" i="129"/>
  <c r="AD134" i="129"/>
  <c r="AD133" i="129"/>
  <c r="AD132" i="129"/>
  <c r="AD131" i="129"/>
  <c r="AD130" i="129"/>
  <c r="AD129" i="129"/>
  <c r="AD128" i="129"/>
  <c r="AD127" i="129"/>
  <c r="AD126" i="129"/>
  <c r="AD125" i="129"/>
  <c r="AD124" i="129"/>
  <c r="AD123" i="129"/>
  <c r="AD122" i="129"/>
  <c r="AD121" i="129"/>
  <c r="AD120" i="129"/>
  <c r="AD119" i="129"/>
  <c r="AD118" i="129"/>
  <c r="AD117" i="129"/>
  <c r="AD116" i="129"/>
  <c r="AD115" i="129"/>
  <c r="AD114" i="129"/>
  <c r="AD113" i="129"/>
  <c r="AD112" i="129"/>
  <c r="AD111" i="129"/>
  <c r="AD110" i="129"/>
  <c r="AD109" i="129"/>
  <c r="AD108" i="129"/>
  <c r="AD107" i="129"/>
  <c r="AD106" i="129"/>
  <c r="AD105" i="129"/>
  <c r="AD104" i="129"/>
  <c r="AD103" i="129"/>
  <c r="AD102" i="129"/>
  <c r="AD101" i="129"/>
  <c r="AD100" i="129"/>
  <c r="AD99" i="129"/>
  <c r="AD98" i="129"/>
  <c r="AD97" i="129"/>
  <c r="AD96" i="129"/>
  <c r="AD95" i="129"/>
  <c r="AD94" i="129"/>
  <c r="AD93" i="129"/>
  <c r="AD92" i="129"/>
  <c r="AD91" i="129"/>
  <c r="AD90" i="129"/>
  <c r="AD89" i="129"/>
  <c r="AD88" i="129"/>
  <c r="AD87" i="129"/>
  <c r="AD86" i="129"/>
  <c r="AD85" i="129"/>
  <c r="AD84" i="129"/>
  <c r="AD83" i="129"/>
  <c r="AD82" i="129"/>
  <c r="AD81" i="129"/>
  <c r="AD80" i="129"/>
  <c r="AD79" i="129"/>
  <c r="AD78" i="129"/>
  <c r="AD77" i="129"/>
  <c r="AD76" i="129"/>
  <c r="AD75" i="129"/>
  <c r="AD74" i="129"/>
  <c r="AD73" i="129"/>
  <c r="AD72" i="129"/>
  <c r="AD71" i="129"/>
  <c r="AD70" i="129"/>
  <c r="AD69" i="129"/>
  <c r="AD68" i="129"/>
  <c r="AD67" i="129"/>
  <c r="AD66" i="129"/>
  <c r="AD65" i="129"/>
  <c r="AD64" i="129"/>
  <c r="AD63" i="129"/>
  <c r="AD62" i="129"/>
  <c r="AD61" i="129"/>
  <c r="AD60" i="129"/>
  <c r="AD59" i="129"/>
  <c r="AD58" i="129"/>
  <c r="AD57" i="129"/>
  <c r="AD56" i="129"/>
  <c r="AD55" i="129"/>
  <c r="AD54" i="129"/>
  <c r="AD53" i="129"/>
  <c r="AD52" i="129"/>
  <c r="AD51" i="129"/>
  <c r="AD50" i="129"/>
  <c r="AD49" i="129"/>
  <c r="AD48" i="129"/>
  <c r="AD47" i="129"/>
  <c r="AD46" i="129"/>
  <c r="AD45" i="129"/>
  <c r="AD44" i="129"/>
  <c r="AD43" i="129"/>
  <c r="AD42" i="129"/>
  <c r="AD41" i="129"/>
  <c r="AD40" i="129"/>
  <c r="AD39" i="129"/>
  <c r="AD38" i="129"/>
  <c r="AD37" i="129"/>
  <c r="AD36" i="129"/>
  <c r="AD35" i="129"/>
  <c r="AD33" i="129"/>
  <c r="AD20" i="129"/>
  <c r="AD19" i="129"/>
  <c r="AD26" i="129"/>
  <c r="AD25" i="129"/>
  <c r="AD24" i="129"/>
  <c r="AD23" i="129"/>
  <c r="AD22" i="129"/>
  <c r="AD21" i="129"/>
  <c r="AD32" i="129"/>
  <c r="AD18" i="129"/>
  <c r="AD17" i="129"/>
  <c r="AD16" i="129"/>
  <c r="AD15" i="129"/>
  <c r="AD34" i="129"/>
  <c r="AD30" i="129"/>
  <c r="AD29" i="129"/>
  <c r="AD28" i="129"/>
  <c r="AD27" i="129"/>
  <c r="AD14" i="129"/>
  <c r="AD13" i="129"/>
  <c r="AD12" i="129"/>
  <c r="AD8" i="129"/>
  <c r="AD31" i="129"/>
  <c r="AD7" i="129"/>
  <c r="AD6" i="129"/>
  <c r="AD5" i="129"/>
  <c r="AD4" i="129"/>
  <c r="CL9" i="129" l="1"/>
  <c r="CL10" i="129"/>
  <c r="CL11" i="129"/>
  <c r="BM11" i="129"/>
  <c r="BM9" i="129"/>
  <c r="BM10" i="129"/>
  <c r="AL3" i="129"/>
  <c r="CA890" i="129" l="1"/>
  <c r="BZ890" i="129"/>
  <c r="BS890" i="129"/>
  <c r="BR890" i="129"/>
  <c r="BN890" i="129"/>
  <c r="AP890" i="129"/>
  <c r="AO890" i="129"/>
  <c r="AN890" i="129"/>
  <c r="AL890" i="129"/>
  <c r="AI890" i="129"/>
  <c r="CL890" i="129" s="1"/>
  <c r="AF890" i="129"/>
  <c r="AC890" i="129"/>
  <c r="S890" i="129"/>
  <c r="R890" i="129"/>
  <c r="Q890" i="129"/>
  <c r="CA889" i="129"/>
  <c r="BZ889" i="129"/>
  <c r="BS889" i="129"/>
  <c r="BR889" i="129"/>
  <c r="BN889" i="129"/>
  <c r="AP889" i="129"/>
  <c r="AO889" i="129"/>
  <c r="AN889" i="129"/>
  <c r="AL889" i="129"/>
  <c r="AI889" i="129"/>
  <c r="CL889" i="129" s="1"/>
  <c r="AF889" i="129"/>
  <c r="AC889" i="129"/>
  <c r="S889" i="129"/>
  <c r="R889" i="129"/>
  <c r="Q889" i="129"/>
  <c r="CA888" i="129"/>
  <c r="BZ888" i="129"/>
  <c r="BS888" i="129"/>
  <c r="BR888" i="129"/>
  <c r="BN888" i="129"/>
  <c r="AP888" i="129"/>
  <c r="AO888" i="129"/>
  <c r="AN888" i="129"/>
  <c r="AL888" i="129"/>
  <c r="AI888" i="129"/>
  <c r="CL888" i="129" s="1"/>
  <c r="AF888" i="129"/>
  <c r="AC888" i="129"/>
  <c r="S888" i="129"/>
  <c r="R888" i="129"/>
  <c r="Q888" i="129"/>
  <c r="CA887" i="129"/>
  <c r="BZ887" i="129"/>
  <c r="BS887" i="129"/>
  <c r="BR887" i="129"/>
  <c r="BN887" i="129"/>
  <c r="AP887" i="129"/>
  <c r="AO887" i="129"/>
  <c r="AN887" i="129"/>
  <c r="AL887" i="129"/>
  <c r="AI887" i="129"/>
  <c r="CL887" i="129" s="1"/>
  <c r="AF887" i="129"/>
  <c r="AC887" i="129"/>
  <c r="S887" i="129"/>
  <c r="R887" i="129"/>
  <c r="Q887" i="129"/>
  <c r="CA886" i="129"/>
  <c r="BZ886" i="129"/>
  <c r="BS886" i="129"/>
  <c r="BR886" i="129"/>
  <c r="BN886" i="129"/>
  <c r="AP886" i="129"/>
  <c r="AO886" i="129"/>
  <c r="AN886" i="129"/>
  <c r="AL886" i="129"/>
  <c r="AI886" i="129"/>
  <c r="CL886" i="129" s="1"/>
  <c r="AF886" i="129"/>
  <c r="AC886" i="129"/>
  <c r="S886" i="129"/>
  <c r="R886" i="129"/>
  <c r="Q886" i="129"/>
  <c r="CA885" i="129"/>
  <c r="BZ885" i="129"/>
  <c r="BS885" i="129"/>
  <c r="BR885" i="129"/>
  <c r="BN885" i="129"/>
  <c r="AP885" i="129"/>
  <c r="AO885" i="129"/>
  <c r="AN885" i="129"/>
  <c r="AL885" i="129"/>
  <c r="AI885" i="129"/>
  <c r="CL885" i="129" s="1"/>
  <c r="AF885" i="129"/>
  <c r="AC885" i="129"/>
  <c r="S885" i="129"/>
  <c r="R885" i="129"/>
  <c r="Q885" i="129"/>
  <c r="CA884" i="129"/>
  <c r="BZ884" i="129"/>
  <c r="BS884" i="129"/>
  <c r="BR884" i="129"/>
  <c r="BN884" i="129"/>
  <c r="AP884" i="129"/>
  <c r="AO884" i="129"/>
  <c r="AN884" i="129"/>
  <c r="AL884" i="129"/>
  <c r="AI884" i="129"/>
  <c r="CL884" i="129" s="1"/>
  <c r="AF884" i="129"/>
  <c r="AC884" i="129"/>
  <c r="S884" i="129"/>
  <c r="R884" i="129"/>
  <c r="Q884" i="129"/>
  <c r="CA883" i="129"/>
  <c r="BZ883" i="129"/>
  <c r="BS883" i="129"/>
  <c r="BR883" i="129"/>
  <c r="BN883" i="129"/>
  <c r="AP883" i="129"/>
  <c r="AO883" i="129"/>
  <c r="AN883" i="129"/>
  <c r="AL883" i="129"/>
  <c r="AI883" i="129"/>
  <c r="CL883" i="129" s="1"/>
  <c r="AF883" i="129"/>
  <c r="AC883" i="129"/>
  <c r="S883" i="129"/>
  <c r="R883" i="129"/>
  <c r="Q883" i="129"/>
  <c r="CA882" i="129"/>
  <c r="BZ882" i="129"/>
  <c r="BS882" i="129"/>
  <c r="BR882" i="129"/>
  <c r="BN882" i="129"/>
  <c r="AP882" i="129"/>
  <c r="AO882" i="129"/>
  <c r="AN882" i="129"/>
  <c r="AL882" i="129"/>
  <c r="AI882" i="129"/>
  <c r="CL882" i="129" s="1"/>
  <c r="AF882" i="129"/>
  <c r="AC882" i="129"/>
  <c r="S882" i="129"/>
  <c r="R882" i="129"/>
  <c r="Q882" i="129"/>
  <c r="CA881" i="129"/>
  <c r="BZ881" i="129"/>
  <c r="BS881" i="129"/>
  <c r="BR881" i="129"/>
  <c r="BN881" i="129"/>
  <c r="AP881" i="129"/>
  <c r="AO881" i="129"/>
  <c r="AN881" i="129"/>
  <c r="AL881" i="129"/>
  <c r="AI881" i="129"/>
  <c r="CL881" i="129" s="1"/>
  <c r="AF881" i="129"/>
  <c r="AC881" i="129"/>
  <c r="S881" i="129"/>
  <c r="R881" i="129"/>
  <c r="Q881" i="129"/>
  <c r="CA880" i="129"/>
  <c r="BZ880" i="129"/>
  <c r="BS880" i="129"/>
  <c r="BR880" i="129"/>
  <c r="BN880" i="129"/>
  <c r="AP880" i="129"/>
  <c r="AO880" i="129"/>
  <c r="AN880" i="129"/>
  <c r="AL880" i="129"/>
  <c r="AI880" i="129"/>
  <c r="CL880" i="129" s="1"/>
  <c r="AF880" i="129"/>
  <c r="AC880" i="129"/>
  <c r="S880" i="129"/>
  <c r="R880" i="129"/>
  <c r="Q880" i="129"/>
  <c r="CA879" i="129"/>
  <c r="BZ879" i="129"/>
  <c r="BS879" i="129"/>
  <c r="BR879" i="129"/>
  <c r="BN879" i="129"/>
  <c r="AP879" i="129"/>
  <c r="AO879" i="129"/>
  <c r="AN879" i="129"/>
  <c r="AL879" i="129"/>
  <c r="AI879" i="129"/>
  <c r="CL879" i="129" s="1"/>
  <c r="AF879" i="129"/>
  <c r="AC879" i="129"/>
  <c r="S879" i="129"/>
  <c r="R879" i="129"/>
  <c r="Q879" i="129"/>
  <c r="CA878" i="129"/>
  <c r="BZ878" i="129"/>
  <c r="BS878" i="129"/>
  <c r="BR878" i="129"/>
  <c r="BN878" i="129"/>
  <c r="AP878" i="129"/>
  <c r="AO878" i="129"/>
  <c r="AN878" i="129"/>
  <c r="AL878" i="129"/>
  <c r="AI878" i="129"/>
  <c r="CL878" i="129" s="1"/>
  <c r="AF878" i="129"/>
  <c r="AC878" i="129"/>
  <c r="S878" i="129"/>
  <c r="R878" i="129"/>
  <c r="Q878" i="129"/>
  <c r="CA877" i="129"/>
  <c r="BZ877" i="129"/>
  <c r="BS877" i="129"/>
  <c r="BR877" i="129"/>
  <c r="BN877" i="129"/>
  <c r="AP877" i="129"/>
  <c r="AO877" i="129"/>
  <c r="AN877" i="129"/>
  <c r="AL877" i="129"/>
  <c r="AI877" i="129"/>
  <c r="CL877" i="129" s="1"/>
  <c r="AF877" i="129"/>
  <c r="AC877" i="129"/>
  <c r="S877" i="129"/>
  <c r="R877" i="129"/>
  <c r="Q877" i="129"/>
  <c r="CA876" i="129"/>
  <c r="BZ876" i="129"/>
  <c r="BS876" i="129"/>
  <c r="BR876" i="129"/>
  <c r="BN876" i="129"/>
  <c r="AP876" i="129"/>
  <c r="AO876" i="129"/>
  <c r="AN876" i="129"/>
  <c r="AL876" i="129"/>
  <c r="AI876" i="129"/>
  <c r="CL876" i="129" s="1"/>
  <c r="AF876" i="129"/>
  <c r="AC876" i="129"/>
  <c r="S876" i="129"/>
  <c r="R876" i="129"/>
  <c r="Q876" i="129"/>
  <c r="CA875" i="129"/>
  <c r="BZ875" i="129"/>
  <c r="BS875" i="129"/>
  <c r="BR875" i="129"/>
  <c r="BN875" i="129"/>
  <c r="AP875" i="129"/>
  <c r="AO875" i="129"/>
  <c r="AN875" i="129"/>
  <c r="AL875" i="129"/>
  <c r="AI875" i="129"/>
  <c r="CL875" i="129" s="1"/>
  <c r="AF875" i="129"/>
  <c r="AC875" i="129"/>
  <c r="S875" i="129"/>
  <c r="R875" i="129"/>
  <c r="Q875" i="129"/>
  <c r="CA874" i="129"/>
  <c r="BZ874" i="129"/>
  <c r="BS874" i="129"/>
  <c r="BR874" i="129"/>
  <c r="BN874" i="129"/>
  <c r="AP874" i="129"/>
  <c r="AO874" i="129"/>
  <c r="AN874" i="129"/>
  <c r="AL874" i="129"/>
  <c r="AI874" i="129"/>
  <c r="CL874" i="129" s="1"/>
  <c r="AF874" i="129"/>
  <c r="AC874" i="129"/>
  <c r="S874" i="129"/>
  <c r="R874" i="129"/>
  <c r="Q874" i="129"/>
  <c r="CA873" i="129"/>
  <c r="BZ873" i="129"/>
  <c r="BS873" i="129"/>
  <c r="BR873" i="129"/>
  <c r="BN873" i="129"/>
  <c r="AP873" i="129"/>
  <c r="AO873" i="129"/>
  <c r="AN873" i="129"/>
  <c r="AL873" i="129"/>
  <c r="AI873" i="129"/>
  <c r="CL873" i="129" s="1"/>
  <c r="AF873" i="129"/>
  <c r="AC873" i="129"/>
  <c r="S873" i="129"/>
  <c r="R873" i="129"/>
  <c r="Q873" i="129"/>
  <c r="CA872" i="129"/>
  <c r="BZ872" i="129"/>
  <c r="BS872" i="129"/>
  <c r="BR872" i="129"/>
  <c r="BN872" i="129"/>
  <c r="AP872" i="129"/>
  <c r="AO872" i="129"/>
  <c r="AN872" i="129"/>
  <c r="AL872" i="129"/>
  <c r="AI872" i="129"/>
  <c r="CL872" i="129" s="1"/>
  <c r="AF872" i="129"/>
  <c r="AC872" i="129"/>
  <c r="S872" i="129"/>
  <c r="R872" i="129"/>
  <c r="Q872" i="129"/>
  <c r="CA871" i="129"/>
  <c r="BZ871" i="129"/>
  <c r="BS871" i="129"/>
  <c r="BR871" i="129"/>
  <c r="BN871" i="129"/>
  <c r="AP871" i="129"/>
  <c r="AO871" i="129"/>
  <c r="AN871" i="129"/>
  <c r="AL871" i="129"/>
  <c r="AI871" i="129"/>
  <c r="CL871" i="129" s="1"/>
  <c r="AF871" i="129"/>
  <c r="AC871" i="129"/>
  <c r="S871" i="129"/>
  <c r="R871" i="129"/>
  <c r="Q871" i="129"/>
  <c r="CA870" i="129"/>
  <c r="BZ870" i="129"/>
  <c r="BS870" i="129"/>
  <c r="BR870" i="129"/>
  <c r="BN870" i="129"/>
  <c r="AP870" i="129"/>
  <c r="AO870" i="129"/>
  <c r="AN870" i="129"/>
  <c r="AL870" i="129"/>
  <c r="AI870" i="129"/>
  <c r="CL870" i="129" s="1"/>
  <c r="AF870" i="129"/>
  <c r="AC870" i="129"/>
  <c r="S870" i="129"/>
  <c r="R870" i="129"/>
  <c r="Q870" i="129"/>
  <c r="CA869" i="129"/>
  <c r="BZ869" i="129"/>
  <c r="BS869" i="129"/>
  <c r="BR869" i="129"/>
  <c r="BN869" i="129"/>
  <c r="AP869" i="129"/>
  <c r="AO869" i="129"/>
  <c r="AN869" i="129"/>
  <c r="AL869" i="129"/>
  <c r="AI869" i="129"/>
  <c r="CL869" i="129" s="1"/>
  <c r="AF869" i="129"/>
  <c r="AC869" i="129"/>
  <c r="S869" i="129"/>
  <c r="R869" i="129"/>
  <c r="Q869" i="129"/>
  <c r="CA868" i="129"/>
  <c r="BZ868" i="129"/>
  <c r="BS868" i="129"/>
  <c r="BR868" i="129"/>
  <c r="BN868" i="129"/>
  <c r="AP868" i="129"/>
  <c r="AO868" i="129"/>
  <c r="AN868" i="129"/>
  <c r="AL868" i="129"/>
  <c r="AI868" i="129"/>
  <c r="CL868" i="129" s="1"/>
  <c r="AF868" i="129"/>
  <c r="AC868" i="129"/>
  <c r="S868" i="129"/>
  <c r="R868" i="129"/>
  <c r="Q868" i="129"/>
  <c r="CA867" i="129"/>
  <c r="BZ867" i="129"/>
  <c r="BS867" i="129"/>
  <c r="BR867" i="129"/>
  <c r="BN867" i="129"/>
  <c r="AP867" i="129"/>
  <c r="AO867" i="129"/>
  <c r="AN867" i="129"/>
  <c r="AL867" i="129"/>
  <c r="AI867" i="129"/>
  <c r="CL867" i="129" s="1"/>
  <c r="AF867" i="129"/>
  <c r="AC867" i="129"/>
  <c r="S867" i="129"/>
  <c r="R867" i="129"/>
  <c r="Q867" i="129"/>
  <c r="CA866" i="129"/>
  <c r="BZ866" i="129"/>
  <c r="BS866" i="129"/>
  <c r="BR866" i="129"/>
  <c r="BN866" i="129"/>
  <c r="AP866" i="129"/>
  <c r="AO866" i="129"/>
  <c r="AN866" i="129"/>
  <c r="AL866" i="129"/>
  <c r="AI866" i="129"/>
  <c r="CL866" i="129" s="1"/>
  <c r="AF866" i="129"/>
  <c r="AC866" i="129"/>
  <c r="S866" i="129"/>
  <c r="R866" i="129"/>
  <c r="Q866" i="129"/>
  <c r="CA865" i="129"/>
  <c r="BZ865" i="129"/>
  <c r="BS865" i="129"/>
  <c r="BR865" i="129"/>
  <c r="BN865" i="129"/>
  <c r="AP865" i="129"/>
  <c r="AO865" i="129"/>
  <c r="AN865" i="129"/>
  <c r="AL865" i="129"/>
  <c r="AI865" i="129"/>
  <c r="CL865" i="129" s="1"/>
  <c r="AF865" i="129"/>
  <c r="AC865" i="129"/>
  <c r="S865" i="129"/>
  <c r="R865" i="129"/>
  <c r="Q865" i="129"/>
  <c r="CA864" i="129"/>
  <c r="BZ864" i="129"/>
  <c r="BS864" i="129"/>
  <c r="BR864" i="129"/>
  <c r="BN864" i="129"/>
  <c r="AP864" i="129"/>
  <c r="AO864" i="129"/>
  <c r="AN864" i="129"/>
  <c r="AL864" i="129"/>
  <c r="AI864" i="129"/>
  <c r="CL864" i="129" s="1"/>
  <c r="AF864" i="129"/>
  <c r="AC864" i="129"/>
  <c r="S864" i="129"/>
  <c r="R864" i="129"/>
  <c r="Q864" i="129"/>
  <c r="CA863" i="129"/>
  <c r="BZ863" i="129"/>
  <c r="BS863" i="129"/>
  <c r="BR863" i="129"/>
  <c r="BN863" i="129"/>
  <c r="AP863" i="129"/>
  <c r="AO863" i="129"/>
  <c r="AN863" i="129"/>
  <c r="AL863" i="129"/>
  <c r="AI863" i="129"/>
  <c r="CL863" i="129" s="1"/>
  <c r="AF863" i="129"/>
  <c r="AC863" i="129"/>
  <c r="S863" i="129"/>
  <c r="R863" i="129"/>
  <c r="Q863" i="129"/>
  <c r="CA862" i="129"/>
  <c r="BZ862" i="129"/>
  <c r="BS862" i="129"/>
  <c r="BR862" i="129"/>
  <c r="BN862" i="129"/>
  <c r="AP862" i="129"/>
  <c r="AO862" i="129"/>
  <c r="AN862" i="129"/>
  <c r="AL862" i="129"/>
  <c r="AI862" i="129"/>
  <c r="CL862" i="129" s="1"/>
  <c r="AF862" i="129"/>
  <c r="AC862" i="129"/>
  <c r="S862" i="129"/>
  <c r="R862" i="129"/>
  <c r="Q862" i="129"/>
  <c r="CA861" i="129"/>
  <c r="BZ861" i="129"/>
  <c r="BS861" i="129"/>
  <c r="BR861" i="129"/>
  <c r="BN861" i="129"/>
  <c r="AP861" i="129"/>
  <c r="AO861" i="129"/>
  <c r="AN861" i="129"/>
  <c r="AL861" i="129"/>
  <c r="AI861" i="129"/>
  <c r="CL861" i="129" s="1"/>
  <c r="AF861" i="129"/>
  <c r="AC861" i="129"/>
  <c r="S861" i="129"/>
  <c r="R861" i="129"/>
  <c r="Q861" i="129"/>
  <c r="CA860" i="129"/>
  <c r="BZ860" i="129"/>
  <c r="BS860" i="129"/>
  <c r="BR860" i="129"/>
  <c r="BN860" i="129"/>
  <c r="AP860" i="129"/>
  <c r="AO860" i="129"/>
  <c r="AN860" i="129"/>
  <c r="AL860" i="129"/>
  <c r="AI860" i="129"/>
  <c r="CL860" i="129" s="1"/>
  <c r="AF860" i="129"/>
  <c r="AC860" i="129"/>
  <c r="S860" i="129"/>
  <c r="R860" i="129"/>
  <c r="Q860" i="129"/>
  <c r="CA859" i="129"/>
  <c r="BZ859" i="129"/>
  <c r="BS859" i="129"/>
  <c r="BR859" i="129"/>
  <c r="BN859" i="129"/>
  <c r="AP859" i="129"/>
  <c r="AO859" i="129"/>
  <c r="AN859" i="129"/>
  <c r="AL859" i="129"/>
  <c r="AI859" i="129"/>
  <c r="CL859" i="129" s="1"/>
  <c r="AF859" i="129"/>
  <c r="AC859" i="129"/>
  <c r="S859" i="129"/>
  <c r="R859" i="129"/>
  <c r="Q859" i="129"/>
  <c r="CA858" i="129"/>
  <c r="BZ858" i="129"/>
  <c r="BS858" i="129"/>
  <c r="BR858" i="129"/>
  <c r="BN858" i="129"/>
  <c r="AP858" i="129"/>
  <c r="AO858" i="129"/>
  <c r="AN858" i="129"/>
  <c r="AL858" i="129"/>
  <c r="AI858" i="129"/>
  <c r="CL858" i="129" s="1"/>
  <c r="AF858" i="129"/>
  <c r="AC858" i="129"/>
  <c r="S858" i="129"/>
  <c r="R858" i="129"/>
  <c r="Q858" i="129"/>
  <c r="CA857" i="129"/>
  <c r="BZ857" i="129"/>
  <c r="BS857" i="129"/>
  <c r="BR857" i="129"/>
  <c r="BN857" i="129"/>
  <c r="AP857" i="129"/>
  <c r="AO857" i="129"/>
  <c r="AN857" i="129"/>
  <c r="AL857" i="129"/>
  <c r="AI857" i="129"/>
  <c r="CL857" i="129" s="1"/>
  <c r="AF857" i="129"/>
  <c r="AC857" i="129"/>
  <c r="S857" i="129"/>
  <c r="R857" i="129"/>
  <c r="Q857" i="129"/>
  <c r="CA856" i="129"/>
  <c r="BZ856" i="129"/>
  <c r="BS856" i="129"/>
  <c r="BR856" i="129"/>
  <c r="BN856" i="129"/>
  <c r="AP856" i="129"/>
  <c r="AO856" i="129"/>
  <c r="AN856" i="129"/>
  <c r="AL856" i="129"/>
  <c r="AI856" i="129"/>
  <c r="CL856" i="129" s="1"/>
  <c r="AF856" i="129"/>
  <c r="AC856" i="129"/>
  <c r="S856" i="129"/>
  <c r="R856" i="129"/>
  <c r="Q856" i="129"/>
  <c r="CA855" i="129"/>
  <c r="BZ855" i="129"/>
  <c r="BS855" i="129"/>
  <c r="BR855" i="129"/>
  <c r="BN855" i="129"/>
  <c r="AP855" i="129"/>
  <c r="AO855" i="129"/>
  <c r="AN855" i="129"/>
  <c r="AL855" i="129"/>
  <c r="AI855" i="129"/>
  <c r="CL855" i="129" s="1"/>
  <c r="AF855" i="129"/>
  <c r="AC855" i="129"/>
  <c r="S855" i="129"/>
  <c r="R855" i="129"/>
  <c r="Q855" i="129"/>
  <c r="CA854" i="129"/>
  <c r="BZ854" i="129"/>
  <c r="BS854" i="129"/>
  <c r="BR854" i="129"/>
  <c r="BN854" i="129"/>
  <c r="AP854" i="129"/>
  <c r="AO854" i="129"/>
  <c r="AN854" i="129"/>
  <c r="AL854" i="129"/>
  <c r="AI854" i="129"/>
  <c r="CL854" i="129" s="1"/>
  <c r="AF854" i="129"/>
  <c r="AC854" i="129"/>
  <c r="S854" i="129"/>
  <c r="R854" i="129"/>
  <c r="Q854" i="129"/>
  <c r="CA853" i="129"/>
  <c r="BZ853" i="129"/>
  <c r="BS853" i="129"/>
  <c r="BR853" i="129"/>
  <c r="BN853" i="129"/>
  <c r="AP853" i="129"/>
  <c r="AO853" i="129"/>
  <c r="AN853" i="129"/>
  <c r="AL853" i="129"/>
  <c r="AI853" i="129"/>
  <c r="CL853" i="129" s="1"/>
  <c r="AF853" i="129"/>
  <c r="AC853" i="129"/>
  <c r="S853" i="129"/>
  <c r="R853" i="129"/>
  <c r="Q853" i="129"/>
  <c r="CA852" i="129"/>
  <c r="BZ852" i="129"/>
  <c r="BS852" i="129"/>
  <c r="BR852" i="129"/>
  <c r="BN852" i="129"/>
  <c r="AP852" i="129"/>
  <c r="AO852" i="129"/>
  <c r="AN852" i="129"/>
  <c r="AL852" i="129"/>
  <c r="AI852" i="129"/>
  <c r="CL852" i="129" s="1"/>
  <c r="AF852" i="129"/>
  <c r="AC852" i="129"/>
  <c r="S852" i="129"/>
  <c r="R852" i="129"/>
  <c r="Q852" i="129"/>
  <c r="CA851" i="129"/>
  <c r="BZ851" i="129"/>
  <c r="BS851" i="129"/>
  <c r="BR851" i="129"/>
  <c r="BN851" i="129"/>
  <c r="AP851" i="129"/>
  <c r="AO851" i="129"/>
  <c r="AN851" i="129"/>
  <c r="AL851" i="129"/>
  <c r="AI851" i="129"/>
  <c r="CL851" i="129" s="1"/>
  <c r="AF851" i="129"/>
  <c r="AC851" i="129"/>
  <c r="S851" i="129"/>
  <c r="R851" i="129"/>
  <c r="Q851" i="129"/>
  <c r="CA850" i="129"/>
  <c r="BZ850" i="129"/>
  <c r="BS850" i="129"/>
  <c r="BR850" i="129"/>
  <c r="BN850" i="129"/>
  <c r="AP850" i="129"/>
  <c r="AO850" i="129"/>
  <c r="AN850" i="129"/>
  <c r="AL850" i="129"/>
  <c r="AI850" i="129"/>
  <c r="CL850" i="129" s="1"/>
  <c r="AF850" i="129"/>
  <c r="AC850" i="129"/>
  <c r="S850" i="129"/>
  <c r="R850" i="129"/>
  <c r="Q850" i="129"/>
  <c r="CA849" i="129"/>
  <c r="BZ849" i="129"/>
  <c r="BS849" i="129"/>
  <c r="BR849" i="129"/>
  <c r="BN849" i="129"/>
  <c r="AP849" i="129"/>
  <c r="AO849" i="129"/>
  <c r="AN849" i="129"/>
  <c r="AL849" i="129"/>
  <c r="AI849" i="129"/>
  <c r="CL849" i="129" s="1"/>
  <c r="AF849" i="129"/>
  <c r="AC849" i="129"/>
  <c r="S849" i="129"/>
  <c r="R849" i="129"/>
  <c r="Q849" i="129"/>
  <c r="CA848" i="129"/>
  <c r="BZ848" i="129"/>
  <c r="BS848" i="129"/>
  <c r="BR848" i="129"/>
  <c r="BN848" i="129"/>
  <c r="AP848" i="129"/>
  <c r="AO848" i="129"/>
  <c r="AN848" i="129"/>
  <c r="AL848" i="129"/>
  <c r="AI848" i="129"/>
  <c r="CL848" i="129" s="1"/>
  <c r="AF848" i="129"/>
  <c r="AC848" i="129"/>
  <c r="S848" i="129"/>
  <c r="R848" i="129"/>
  <c r="Q848" i="129"/>
  <c r="CA847" i="129"/>
  <c r="BZ847" i="129"/>
  <c r="BS847" i="129"/>
  <c r="BR847" i="129"/>
  <c r="BN847" i="129"/>
  <c r="AP847" i="129"/>
  <c r="AO847" i="129"/>
  <c r="AN847" i="129"/>
  <c r="AL847" i="129"/>
  <c r="AI847" i="129"/>
  <c r="CL847" i="129" s="1"/>
  <c r="AF847" i="129"/>
  <c r="AC847" i="129"/>
  <c r="S847" i="129"/>
  <c r="R847" i="129"/>
  <c r="Q847" i="129"/>
  <c r="CA846" i="129"/>
  <c r="BZ846" i="129"/>
  <c r="BS846" i="129"/>
  <c r="BR846" i="129"/>
  <c r="BN846" i="129"/>
  <c r="AP846" i="129"/>
  <c r="AO846" i="129"/>
  <c r="AN846" i="129"/>
  <c r="AL846" i="129"/>
  <c r="AI846" i="129"/>
  <c r="CL846" i="129" s="1"/>
  <c r="AF846" i="129"/>
  <c r="AC846" i="129"/>
  <c r="S846" i="129"/>
  <c r="R846" i="129"/>
  <c r="Q846" i="129"/>
  <c r="CA845" i="129"/>
  <c r="BZ845" i="129"/>
  <c r="BS845" i="129"/>
  <c r="BR845" i="129"/>
  <c r="BN845" i="129"/>
  <c r="AP845" i="129"/>
  <c r="AO845" i="129"/>
  <c r="AN845" i="129"/>
  <c r="AL845" i="129"/>
  <c r="AI845" i="129"/>
  <c r="CL845" i="129" s="1"/>
  <c r="AF845" i="129"/>
  <c r="AC845" i="129"/>
  <c r="S845" i="129"/>
  <c r="R845" i="129"/>
  <c r="Q845" i="129"/>
  <c r="CA844" i="129"/>
  <c r="BZ844" i="129"/>
  <c r="BS844" i="129"/>
  <c r="BR844" i="129"/>
  <c r="BN844" i="129"/>
  <c r="AP844" i="129"/>
  <c r="AO844" i="129"/>
  <c r="AN844" i="129"/>
  <c r="AL844" i="129"/>
  <c r="AI844" i="129"/>
  <c r="CL844" i="129" s="1"/>
  <c r="AF844" i="129"/>
  <c r="AC844" i="129"/>
  <c r="S844" i="129"/>
  <c r="R844" i="129"/>
  <c r="Q844" i="129"/>
  <c r="CA843" i="129"/>
  <c r="BZ843" i="129"/>
  <c r="BS843" i="129"/>
  <c r="BR843" i="129"/>
  <c r="BN843" i="129"/>
  <c r="AP843" i="129"/>
  <c r="AO843" i="129"/>
  <c r="AN843" i="129"/>
  <c r="AL843" i="129"/>
  <c r="AI843" i="129"/>
  <c r="CL843" i="129" s="1"/>
  <c r="AF843" i="129"/>
  <c r="AC843" i="129"/>
  <c r="S843" i="129"/>
  <c r="R843" i="129"/>
  <c r="Q843" i="129"/>
  <c r="CA842" i="129"/>
  <c r="BZ842" i="129"/>
  <c r="BS842" i="129"/>
  <c r="BR842" i="129"/>
  <c r="BN842" i="129"/>
  <c r="AP842" i="129"/>
  <c r="AO842" i="129"/>
  <c r="AN842" i="129"/>
  <c r="AL842" i="129"/>
  <c r="AI842" i="129"/>
  <c r="CL842" i="129" s="1"/>
  <c r="AF842" i="129"/>
  <c r="AC842" i="129"/>
  <c r="S842" i="129"/>
  <c r="R842" i="129"/>
  <c r="Q842" i="129"/>
  <c r="CA841" i="129"/>
  <c r="BZ841" i="129"/>
  <c r="BS841" i="129"/>
  <c r="BR841" i="129"/>
  <c r="BN841" i="129"/>
  <c r="AP841" i="129"/>
  <c r="AO841" i="129"/>
  <c r="AN841" i="129"/>
  <c r="AL841" i="129"/>
  <c r="AI841" i="129"/>
  <c r="CL841" i="129" s="1"/>
  <c r="AF841" i="129"/>
  <c r="AC841" i="129"/>
  <c r="S841" i="129"/>
  <c r="R841" i="129"/>
  <c r="Q841" i="129"/>
  <c r="CA840" i="129"/>
  <c r="BZ840" i="129"/>
  <c r="BS840" i="129"/>
  <c r="BR840" i="129"/>
  <c r="BN840" i="129"/>
  <c r="AP840" i="129"/>
  <c r="AO840" i="129"/>
  <c r="AN840" i="129"/>
  <c r="AL840" i="129"/>
  <c r="AI840" i="129"/>
  <c r="CL840" i="129" s="1"/>
  <c r="AF840" i="129"/>
  <c r="AC840" i="129"/>
  <c r="S840" i="129"/>
  <c r="R840" i="129"/>
  <c r="Q840" i="129"/>
  <c r="CA839" i="129"/>
  <c r="BZ839" i="129"/>
  <c r="BS839" i="129"/>
  <c r="BR839" i="129"/>
  <c r="BN839" i="129"/>
  <c r="AP839" i="129"/>
  <c r="AO839" i="129"/>
  <c r="AN839" i="129"/>
  <c r="AL839" i="129"/>
  <c r="AI839" i="129"/>
  <c r="CL839" i="129" s="1"/>
  <c r="AF839" i="129"/>
  <c r="AC839" i="129"/>
  <c r="S839" i="129"/>
  <c r="R839" i="129"/>
  <c r="Q839" i="129"/>
  <c r="CA838" i="129"/>
  <c r="BZ838" i="129"/>
  <c r="BS838" i="129"/>
  <c r="BR838" i="129"/>
  <c r="BN838" i="129"/>
  <c r="AP838" i="129"/>
  <c r="AO838" i="129"/>
  <c r="AN838" i="129"/>
  <c r="AL838" i="129"/>
  <c r="AI838" i="129"/>
  <c r="CL838" i="129" s="1"/>
  <c r="AF838" i="129"/>
  <c r="AC838" i="129"/>
  <c r="S838" i="129"/>
  <c r="R838" i="129"/>
  <c r="Q838" i="129"/>
  <c r="CA837" i="129"/>
  <c r="BZ837" i="129"/>
  <c r="BS837" i="129"/>
  <c r="BR837" i="129"/>
  <c r="BN837" i="129"/>
  <c r="AP837" i="129"/>
  <c r="AO837" i="129"/>
  <c r="AN837" i="129"/>
  <c r="AL837" i="129"/>
  <c r="AI837" i="129"/>
  <c r="CL837" i="129" s="1"/>
  <c r="AF837" i="129"/>
  <c r="AC837" i="129"/>
  <c r="S837" i="129"/>
  <c r="R837" i="129"/>
  <c r="Q837" i="129"/>
  <c r="CA836" i="129"/>
  <c r="BZ836" i="129"/>
  <c r="BS836" i="129"/>
  <c r="BR836" i="129"/>
  <c r="BN836" i="129"/>
  <c r="AP836" i="129"/>
  <c r="AO836" i="129"/>
  <c r="AN836" i="129"/>
  <c r="AL836" i="129"/>
  <c r="AI836" i="129"/>
  <c r="CL836" i="129" s="1"/>
  <c r="AF836" i="129"/>
  <c r="AC836" i="129"/>
  <c r="S836" i="129"/>
  <c r="R836" i="129"/>
  <c r="Q836" i="129"/>
  <c r="CA835" i="129"/>
  <c r="BZ835" i="129"/>
  <c r="BS835" i="129"/>
  <c r="BR835" i="129"/>
  <c r="BN835" i="129"/>
  <c r="AP835" i="129"/>
  <c r="AO835" i="129"/>
  <c r="AN835" i="129"/>
  <c r="AL835" i="129"/>
  <c r="AI835" i="129"/>
  <c r="CL835" i="129" s="1"/>
  <c r="AF835" i="129"/>
  <c r="AC835" i="129"/>
  <c r="S835" i="129"/>
  <c r="R835" i="129"/>
  <c r="Q835" i="129"/>
  <c r="CA834" i="129"/>
  <c r="BZ834" i="129"/>
  <c r="BS834" i="129"/>
  <c r="BR834" i="129"/>
  <c r="BN834" i="129"/>
  <c r="AP834" i="129"/>
  <c r="AO834" i="129"/>
  <c r="AN834" i="129"/>
  <c r="AL834" i="129"/>
  <c r="AI834" i="129"/>
  <c r="CL834" i="129" s="1"/>
  <c r="AF834" i="129"/>
  <c r="AC834" i="129"/>
  <c r="S834" i="129"/>
  <c r="R834" i="129"/>
  <c r="Q834" i="129"/>
  <c r="CA833" i="129"/>
  <c r="BZ833" i="129"/>
  <c r="BS833" i="129"/>
  <c r="BR833" i="129"/>
  <c r="BN833" i="129"/>
  <c r="AP833" i="129"/>
  <c r="AO833" i="129"/>
  <c r="AN833" i="129"/>
  <c r="AL833" i="129"/>
  <c r="AI833" i="129"/>
  <c r="CL833" i="129" s="1"/>
  <c r="AF833" i="129"/>
  <c r="AC833" i="129"/>
  <c r="S833" i="129"/>
  <c r="R833" i="129"/>
  <c r="Q833" i="129"/>
  <c r="CA832" i="129"/>
  <c r="BZ832" i="129"/>
  <c r="BS832" i="129"/>
  <c r="BR832" i="129"/>
  <c r="BN832" i="129"/>
  <c r="AP832" i="129"/>
  <c r="AO832" i="129"/>
  <c r="AN832" i="129"/>
  <c r="AL832" i="129"/>
  <c r="AI832" i="129"/>
  <c r="CL832" i="129" s="1"/>
  <c r="AF832" i="129"/>
  <c r="AC832" i="129"/>
  <c r="S832" i="129"/>
  <c r="R832" i="129"/>
  <c r="Q832" i="129"/>
  <c r="CA831" i="129"/>
  <c r="BZ831" i="129"/>
  <c r="BS831" i="129"/>
  <c r="BR831" i="129"/>
  <c r="BN831" i="129"/>
  <c r="AP831" i="129"/>
  <c r="AO831" i="129"/>
  <c r="AN831" i="129"/>
  <c r="AL831" i="129"/>
  <c r="AI831" i="129"/>
  <c r="CL831" i="129" s="1"/>
  <c r="AF831" i="129"/>
  <c r="AC831" i="129"/>
  <c r="S831" i="129"/>
  <c r="R831" i="129"/>
  <c r="Q831" i="129"/>
  <c r="CA830" i="129"/>
  <c r="BZ830" i="129"/>
  <c r="BS830" i="129"/>
  <c r="BR830" i="129"/>
  <c r="BN830" i="129"/>
  <c r="AP830" i="129"/>
  <c r="AO830" i="129"/>
  <c r="AN830" i="129"/>
  <c r="AL830" i="129"/>
  <c r="AI830" i="129"/>
  <c r="CL830" i="129" s="1"/>
  <c r="AF830" i="129"/>
  <c r="AC830" i="129"/>
  <c r="S830" i="129"/>
  <c r="R830" i="129"/>
  <c r="Q830" i="129"/>
  <c r="CA829" i="129"/>
  <c r="BZ829" i="129"/>
  <c r="BS829" i="129"/>
  <c r="BR829" i="129"/>
  <c r="BN829" i="129"/>
  <c r="AP829" i="129"/>
  <c r="AO829" i="129"/>
  <c r="AN829" i="129"/>
  <c r="AL829" i="129"/>
  <c r="AI829" i="129"/>
  <c r="CL829" i="129" s="1"/>
  <c r="AF829" i="129"/>
  <c r="AC829" i="129"/>
  <c r="S829" i="129"/>
  <c r="R829" i="129"/>
  <c r="Q829" i="129"/>
  <c r="CA828" i="129"/>
  <c r="BZ828" i="129"/>
  <c r="BS828" i="129"/>
  <c r="BR828" i="129"/>
  <c r="BN828" i="129"/>
  <c r="AP828" i="129"/>
  <c r="AO828" i="129"/>
  <c r="AN828" i="129"/>
  <c r="AL828" i="129"/>
  <c r="AI828" i="129"/>
  <c r="CL828" i="129" s="1"/>
  <c r="AF828" i="129"/>
  <c r="AC828" i="129"/>
  <c r="S828" i="129"/>
  <c r="R828" i="129"/>
  <c r="Q828" i="129"/>
  <c r="CA827" i="129"/>
  <c r="BZ827" i="129"/>
  <c r="BS827" i="129"/>
  <c r="BR827" i="129"/>
  <c r="BN827" i="129"/>
  <c r="AP827" i="129"/>
  <c r="AO827" i="129"/>
  <c r="AN827" i="129"/>
  <c r="AL827" i="129"/>
  <c r="AI827" i="129"/>
  <c r="CL827" i="129" s="1"/>
  <c r="AF827" i="129"/>
  <c r="AC827" i="129"/>
  <c r="S827" i="129"/>
  <c r="R827" i="129"/>
  <c r="Q827" i="129"/>
  <c r="CA826" i="129"/>
  <c r="BZ826" i="129"/>
  <c r="BS826" i="129"/>
  <c r="BR826" i="129"/>
  <c r="BN826" i="129"/>
  <c r="AP826" i="129"/>
  <c r="AO826" i="129"/>
  <c r="AN826" i="129"/>
  <c r="AL826" i="129"/>
  <c r="AI826" i="129"/>
  <c r="CL826" i="129" s="1"/>
  <c r="AF826" i="129"/>
  <c r="AC826" i="129"/>
  <c r="S826" i="129"/>
  <c r="R826" i="129"/>
  <c r="Q826" i="129"/>
  <c r="CA825" i="129"/>
  <c r="BZ825" i="129"/>
  <c r="BS825" i="129"/>
  <c r="BR825" i="129"/>
  <c r="BN825" i="129"/>
  <c r="AP825" i="129"/>
  <c r="AO825" i="129"/>
  <c r="AN825" i="129"/>
  <c r="AL825" i="129"/>
  <c r="AI825" i="129"/>
  <c r="CL825" i="129" s="1"/>
  <c r="AF825" i="129"/>
  <c r="AC825" i="129"/>
  <c r="S825" i="129"/>
  <c r="R825" i="129"/>
  <c r="Q825" i="129"/>
  <c r="CA824" i="129"/>
  <c r="BZ824" i="129"/>
  <c r="BS824" i="129"/>
  <c r="BR824" i="129"/>
  <c r="BN824" i="129"/>
  <c r="AP824" i="129"/>
  <c r="AO824" i="129"/>
  <c r="AN824" i="129"/>
  <c r="AL824" i="129"/>
  <c r="AI824" i="129"/>
  <c r="CL824" i="129" s="1"/>
  <c r="AF824" i="129"/>
  <c r="AC824" i="129"/>
  <c r="S824" i="129"/>
  <c r="R824" i="129"/>
  <c r="Q824" i="129"/>
  <c r="CA823" i="129"/>
  <c r="BZ823" i="129"/>
  <c r="BS823" i="129"/>
  <c r="BR823" i="129"/>
  <c r="BN823" i="129"/>
  <c r="AP823" i="129"/>
  <c r="AO823" i="129"/>
  <c r="AN823" i="129"/>
  <c r="AL823" i="129"/>
  <c r="AI823" i="129"/>
  <c r="CL823" i="129" s="1"/>
  <c r="AF823" i="129"/>
  <c r="AC823" i="129"/>
  <c r="S823" i="129"/>
  <c r="R823" i="129"/>
  <c r="Q823" i="129"/>
  <c r="CA822" i="129"/>
  <c r="BZ822" i="129"/>
  <c r="BS822" i="129"/>
  <c r="BR822" i="129"/>
  <c r="BN822" i="129"/>
  <c r="AP822" i="129"/>
  <c r="AO822" i="129"/>
  <c r="AN822" i="129"/>
  <c r="AL822" i="129"/>
  <c r="AI822" i="129"/>
  <c r="CL822" i="129" s="1"/>
  <c r="AF822" i="129"/>
  <c r="AC822" i="129"/>
  <c r="S822" i="129"/>
  <c r="R822" i="129"/>
  <c r="Q822" i="129"/>
  <c r="CA821" i="129"/>
  <c r="BZ821" i="129"/>
  <c r="BS821" i="129"/>
  <c r="BR821" i="129"/>
  <c r="BN821" i="129"/>
  <c r="AP821" i="129"/>
  <c r="AO821" i="129"/>
  <c r="AN821" i="129"/>
  <c r="AL821" i="129"/>
  <c r="AI821" i="129"/>
  <c r="CL821" i="129" s="1"/>
  <c r="AF821" i="129"/>
  <c r="AC821" i="129"/>
  <c r="S821" i="129"/>
  <c r="R821" i="129"/>
  <c r="Q821" i="129"/>
  <c r="CA820" i="129"/>
  <c r="BZ820" i="129"/>
  <c r="BS820" i="129"/>
  <c r="BR820" i="129"/>
  <c r="BN820" i="129"/>
  <c r="AP820" i="129"/>
  <c r="AO820" i="129"/>
  <c r="AN820" i="129"/>
  <c r="AL820" i="129"/>
  <c r="AI820" i="129"/>
  <c r="CL820" i="129" s="1"/>
  <c r="AF820" i="129"/>
  <c r="AC820" i="129"/>
  <c r="S820" i="129"/>
  <c r="R820" i="129"/>
  <c r="Q820" i="129"/>
  <c r="CA819" i="129"/>
  <c r="BZ819" i="129"/>
  <c r="BS819" i="129"/>
  <c r="BR819" i="129"/>
  <c r="BN819" i="129"/>
  <c r="AP819" i="129"/>
  <c r="AO819" i="129"/>
  <c r="AN819" i="129"/>
  <c r="AL819" i="129"/>
  <c r="AI819" i="129"/>
  <c r="CL819" i="129" s="1"/>
  <c r="AF819" i="129"/>
  <c r="AC819" i="129"/>
  <c r="S819" i="129"/>
  <c r="R819" i="129"/>
  <c r="Q819" i="129"/>
  <c r="CA818" i="129"/>
  <c r="BZ818" i="129"/>
  <c r="BS818" i="129"/>
  <c r="BR818" i="129"/>
  <c r="BN818" i="129"/>
  <c r="AP818" i="129"/>
  <c r="AO818" i="129"/>
  <c r="AN818" i="129"/>
  <c r="AL818" i="129"/>
  <c r="AI818" i="129"/>
  <c r="CL818" i="129" s="1"/>
  <c r="AF818" i="129"/>
  <c r="AC818" i="129"/>
  <c r="S818" i="129"/>
  <c r="R818" i="129"/>
  <c r="Q818" i="129"/>
  <c r="CA817" i="129"/>
  <c r="BZ817" i="129"/>
  <c r="BS817" i="129"/>
  <c r="BR817" i="129"/>
  <c r="BN817" i="129"/>
  <c r="AP817" i="129"/>
  <c r="AO817" i="129"/>
  <c r="AN817" i="129"/>
  <c r="AL817" i="129"/>
  <c r="AI817" i="129"/>
  <c r="CL817" i="129" s="1"/>
  <c r="AF817" i="129"/>
  <c r="AC817" i="129"/>
  <c r="S817" i="129"/>
  <c r="R817" i="129"/>
  <c r="Q817" i="129"/>
  <c r="CA816" i="129"/>
  <c r="BZ816" i="129"/>
  <c r="BS816" i="129"/>
  <c r="BR816" i="129"/>
  <c r="BN816" i="129"/>
  <c r="AP816" i="129"/>
  <c r="AO816" i="129"/>
  <c r="AN816" i="129"/>
  <c r="AL816" i="129"/>
  <c r="AI816" i="129"/>
  <c r="CL816" i="129" s="1"/>
  <c r="AF816" i="129"/>
  <c r="AC816" i="129"/>
  <c r="S816" i="129"/>
  <c r="R816" i="129"/>
  <c r="Q816" i="129"/>
  <c r="CA815" i="129"/>
  <c r="BZ815" i="129"/>
  <c r="BS815" i="129"/>
  <c r="BR815" i="129"/>
  <c r="BN815" i="129"/>
  <c r="AP815" i="129"/>
  <c r="AO815" i="129"/>
  <c r="AN815" i="129"/>
  <c r="AL815" i="129"/>
  <c r="AI815" i="129"/>
  <c r="CL815" i="129" s="1"/>
  <c r="AF815" i="129"/>
  <c r="AC815" i="129"/>
  <c r="S815" i="129"/>
  <c r="R815" i="129"/>
  <c r="Q815" i="129"/>
  <c r="CA814" i="129"/>
  <c r="BZ814" i="129"/>
  <c r="BS814" i="129"/>
  <c r="BR814" i="129"/>
  <c r="BN814" i="129"/>
  <c r="AP814" i="129"/>
  <c r="AO814" i="129"/>
  <c r="AN814" i="129"/>
  <c r="AL814" i="129"/>
  <c r="AI814" i="129"/>
  <c r="CL814" i="129" s="1"/>
  <c r="AF814" i="129"/>
  <c r="AC814" i="129"/>
  <c r="S814" i="129"/>
  <c r="R814" i="129"/>
  <c r="Q814" i="129"/>
  <c r="CA813" i="129"/>
  <c r="BZ813" i="129"/>
  <c r="BS813" i="129"/>
  <c r="BR813" i="129"/>
  <c r="BN813" i="129"/>
  <c r="AP813" i="129"/>
  <c r="AO813" i="129"/>
  <c r="AN813" i="129"/>
  <c r="AL813" i="129"/>
  <c r="AI813" i="129"/>
  <c r="CL813" i="129" s="1"/>
  <c r="AF813" i="129"/>
  <c r="AC813" i="129"/>
  <c r="S813" i="129"/>
  <c r="R813" i="129"/>
  <c r="Q813" i="129"/>
  <c r="CA812" i="129"/>
  <c r="BZ812" i="129"/>
  <c r="BS812" i="129"/>
  <c r="BR812" i="129"/>
  <c r="BN812" i="129"/>
  <c r="AP812" i="129"/>
  <c r="AO812" i="129"/>
  <c r="AN812" i="129"/>
  <c r="AL812" i="129"/>
  <c r="AI812" i="129"/>
  <c r="CL812" i="129" s="1"/>
  <c r="AF812" i="129"/>
  <c r="AC812" i="129"/>
  <c r="S812" i="129"/>
  <c r="R812" i="129"/>
  <c r="Q812" i="129"/>
  <c r="CA811" i="129"/>
  <c r="BZ811" i="129"/>
  <c r="BS811" i="129"/>
  <c r="BR811" i="129"/>
  <c r="BN811" i="129"/>
  <c r="AP811" i="129"/>
  <c r="AO811" i="129"/>
  <c r="AN811" i="129"/>
  <c r="AL811" i="129"/>
  <c r="AI811" i="129"/>
  <c r="CL811" i="129" s="1"/>
  <c r="AF811" i="129"/>
  <c r="AC811" i="129"/>
  <c r="S811" i="129"/>
  <c r="R811" i="129"/>
  <c r="Q811" i="129"/>
  <c r="CA810" i="129"/>
  <c r="BZ810" i="129"/>
  <c r="BS810" i="129"/>
  <c r="BR810" i="129"/>
  <c r="BN810" i="129"/>
  <c r="AP810" i="129"/>
  <c r="AO810" i="129"/>
  <c r="AN810" i="129"/>
  <c r="AL810" i="129"/>
  <c r="AI810" i="129"/>
  <c r="CL810" i="129" s="1"/>
  <c r="AF810" i="129"/>
  <c r="AC810" i="129"/>
  <c r="S810" i="129"/>
  <c r="R810" i="129"/>
  <c r="Q810" i="129"/>
  <c r="CA809" i="129"/>
  <c r="BZ809" i="129"/>
  <c r="BS809" i="129"/>
  <c r="BR809" i="129"/>
  <c r="BN809" i="129"/>
  <c r="AP809" i="129"/>
  <c r="AO809" i="129"/>
  <c r="AN809" i="129"/>
  <c r="AL809" i="129"/>
  <c r="AI809" i="129"/>
  <c r="CL809" i="129" s="1"/>
  <c r="AF809" i="129"/>
  <c r="AC809" i="129"/>
  <c r="S809" i="129"/>
  <c r="R809" i="129"/>
  <c r="Q809" i="129"/>
  <c r="CA808" i="129"/>
  <c r="BZ808" i="129"/>
  <c r="BS808" i="129"/>
  <c r="BR808" i="129"/>
  <c r="BN808" i="129"/>
  <c r="AP808" i="129"/>
  <c r="AO808" i="129"/>
  <c r="AN808" i="129"/>
  <c r="AL808" i="129"/>
  <c r="AI808" i="129"/>
  <c r="CL808" i="129" s="1"/>
  <c r="AF808" i="129"/>
  <c r="AC808" i="129"/>
  <c r="S808" i="129"/>
  <c r="R808" i="129"/>
  <c r="Q808" i="129"/>
  <c r="CA807" i="129"/>
  <c r="BZ807" i="129"/>
  <c r="BS807" i="129"/>
  <c r="BR807" i="129"/>
  <c r="BN807" i="129"/>
  <c r="AP807" i="129"/>
  <c r="AO807" i="129"/>
  <c r="AN807" i="129"/>
  <c r="AL807" i="129"/>
  <c r="AI807" i="129"/>
  <c r="CL807" i="129" s="1"/>
  <c r="AF807" i="129"/>
  <c r="AC807" i="129"/>
  <c r="S807" i="129"/>
  <c r="R807" i="129"/>
  <c r="Q807" i="129"/>
  <c r="CA806" i="129"/>
  <c r="BZ806" i="129"/>
  <c r="BS806" i="129"/>
  <c r="BR806" i="129"/>
  <c r="BN806" i="129"/>
  <c r="AP806" i="129"/>
  <c r="AO806" i="129"/>
  <c r="AN806" i="129"/>
  <c r="AL806" i="129"/>
  <c r="AI806" i="129"/>
  <c r="CL806" i="129" s="1"/>
  <c r="AF806" i="129"/>
  <c r="AC806" i="129"/>
  <c r="S806" i="129"/>
  <c r="R806" i="129"/>
  <c r="Q806" i="129"/>
  <c r="CA805" i="129"/>
  <c r="BZ805" i="129"/>
  <c r="BS805" i="129"/>
  <c r="BR805" i="129"/>
  <c r="BN805" i="129"/>
  <c r="AP805" i="129"/>
  <c r="AO805" i="129"/>
  <c r="AN805" i="129"/>
  <c r="AL805" i="129"/>
  <c r="AI805" i="129"/>
  <c r="CL805" i="129" s="1"/>
  <c r="AF805" i="129"/>
  <c r="AC805" i="129"/>
  <c r="S805" i="129"/>
  <c r="R805" i="129"/>
  <c r="Q805" i="129"/>
  <c r="CA804" i="129"/>
  <c r="BZ804" i="129"/>
  <c r="BS804" i="129"/>
  <c r="BR804" i="129"/>
  <c r="BN804" i="129"/>
  <c r="AP804" i="129"/>
  <c r="AO804" i="129"/>
  <c r="AN804" i="129"/>
  <c r="AL804" i="129"/>
  <c r="AI804" i="129"/>
  <c r="CL804" i="129" s="1"/>
  <c r="AF804" i="129"/>
  <c r="AC804" i="129"/>
  <c r="S804" i="129"/>
  <c r="R804" i="129"/>
  <c r="Q804" i="129"/>
  <c r="CA803" i="129"/>
  <c r="BZ803" i="129"/>
  <c r="BS803" i="129"/>
  <c r="BR803" i="129"/>
  <c r="BN803" i="129"/>
  <c r="AP803" i="129"/>
  <c r="AO803" i="129"/>
  <c r="AN803" i="129"/>
  <c r="AL803" i="129"/>
  <c r="AI803" i="129"/>
  <c r="CL803" i="129" s="1"/>
  <c r="AF803" i="129"/>
  <c r="AC803" i="129"/>
  <c r="S803" i="129"/>
  <c r="R803" i="129"/>
  <c r="Q803" i="129"/>
  <c r="CA802" i="129"/>
  <c r="BZ802" i="129"/>
  <c r="BS802" i="129"/>
  <c r="BR802" i="129"/>
  <c r="BN802" i="129"/>
  <c r="AP802" i="129"/>
  <c r="AO802" i="129"/>
  <c r="AN802" i="129"/>
  <c r="AL802" i="129"/>
  <c r="AI802" i="129"/>
  <c r="CL802" i="129" s="1"/>
  <c r="AF802" i="129"/>
  <c r="AC802" i="129"/>
  <c r="S802" i="129"/>
  <c r="R802" i="129"/>
  <c r="Q802" i="129"/>
  <c r="CA801" i="129"/>
  <c r="BZ801" i="129"/>
  <c r="BS801" i="129"/>
  <c r="BR801" i="129"/>
  <c r="BN801" i="129"/>
  <c r="AP801" i="129"/>
  <c r="AO801" i="129"/>
  <c r="AN801" i="129"/>
  <c r="AL801" i="129"/>
  <c r="AI801" i="129"/>
  <c r="CL801" i="129" s="1"/>
  <c r="AF801" i="129"/>
  <c r="AC801" i="129"/>
  <c r="S801" i="129"/>
  <c r="R801" i="129"/>
  <c r="Q801" i="129"/>
  <c r="CA800" i="129"/>
  <c r="BZ800" i="129"/>
  <c r="BS800" i="129"/>
  <c r="BR800" i="129"/>
  <c r="BN800" i="129"/>
  <c r="AP800" i="129"/>
  <c r="AO800" i="129"/>
  <c r="AN800" i="129"/>
  <c r="AL800" i="129"/>
  <c r="AI800" i="129"/>
  <c r="CL800" i="129" s="1"/>
  <c r="AF800" i="129"/>
  <c r="AC800" i="129"/>
  <c r="S800" i="129"/>
  <c r="R800" i="129"/>
  <c r="Q800" i="129"/>
  <c r="CA799" i="129"/>
  <c r="BZ799" i="129"/>
  <c r="BS799" i="129"/>
  <c r="BR799" i="129"/>
  <c r="BN799" i="129"/>
  <c r="AP799" i="129"/>
  <c r="AO799" i="129"/>
  <c r="AN799" i="129"/>
  <c r="AL799" i="129"/>
  <c r="AI799" i="129"/>
  <c r="CL799" i="129" s="1"/>
  <c r="AF799" i="129"/>
  <c r="AC799" i="129"/>
  <c r="S799" i="129"/>
  <c r="R799" i="129"/>
  <c r="Q799" i="129"/>
  <c r="CA798" i="129"/>
  <c r="BZ798" i="129"/>
  <c r="BS798" i="129"/>
  <c r="BR798" i="129"/>
  <c r="BN798" i="129"/>
  <c r="AP798" i="129"/>
  <c r="AO798" i="129"/>
  <c r="AN798" i="129"/>
  <c r="AL798" i="129"/>
  <c r="AI798" i="129"/>
  <c r="CL798" i="129" s="1"/>
  <c r="AF798" i="129"/>
  <c r="AC798" i="129"/>
  <c r="S798" i="129"/>
  <c r="R798" i="129"/>
  <c r="Q798" i="129"/>
  <c r="CA797" i="129"/>
  <c r="BZ797" i="129"/>
  <c r="BS797" i="129"/>
  <c r="BR797" i="129"/>
  <c r="BN797" i="129"/>
  <c r="AP797" i="129"/>
  <c r="AO797" i="129"/>
  <c r="AN797" i="129"/>
  <c r="AL797" i="129"/>
  <c r="AI797" i="129"/>
  <c r="CL797" i="129" s="1"/>
  <c r="AF797" i="129"/>
  <c r="AC797" i="129"/>
  <c r="S797" i="129"/>
  <c r="R797" i="129"/>
  <c r="Q797" i="129"/>
  <c r="CA796" i="129"/>
  <c r="BZ796" i="129"/>
  <c r="BS796" i="129"/>
  <c r="BR796" i="129"/>
  <c r="BN796" i="129"/>
  <c r="AP796" i="129"/>
  <c r="AO796" i="129"/>
  <c r="AN796" i="129"/>
  <c r="AL796" i="129"/>
  <c r="AI796" i="129"/>
  <c r="CL796" i="129" s="1"/>
  <c r="AF796" i="129"/>
  <c r="AC796" i="129"/>
  <c r="S796" i="129"/>
  <c r="R796" i="129"/>
  <c r="Q796" i="129"/>
  <c r="CA795" i="129"/>
  <c r="BZ795" i="129"/>
  <c r="BS795" i="129"/>
  <c r="BR795" i="129"/>
  <c r="BN795" i="129"/>
  <c r="AP795" i="129"/>
  <c r="AO795" i="129"/>
  <c r="AN795" i="129"/>
  <c r="AL795" i="129"/>
  <c r="AI795" i="129"/>
  <c r="CL795" i="129" s="1"/>
  <c r="AF795" i="129"/>
  <c r="AC795" i="129"/>
  <c r="S795" i="129"/>
  <c r="R795" i="129"/>
  <c r="Q795" i="129"/>
  <c r="CA794" i="129"/>
  <c r="BZ794" i="129"/>
  <c r="BS794" i="129"/>
  <c r="BR794" i="129"/>
  <c r="BN794" i="129"/>
  <c r="AP794" i="129"/>
  <c r="AO794" i="129"/>
  <c r="AN794" i="129"/>
  <c r="AL794" i="129"/>
  <c r="AI794" i="129"/>
  <c r="CL794" i="129" s="1"/>
  <c r="AF794" i="129"/>
  <c r="AC794" i="129"/>
  <c r="S794" i="129"/>
  <c r="R794" i="129"/>
  <c r="Q794" i="129"/>
  <c r="CA793" i="129"/>
  <c r="BZ793" i="129"/>
  <c r="BS793" i="129"/>
  <c r="BR793" i="129"/>
  <c r="BN793" i="129"/>
  <c r="AP793" i="129"/>
  <c r="AO793" i="129"/>
  <c r="AN793" i="129"/>
  <c r="AL793" i="129"/>
  <c r="AI793" i="129"/>
  <c r="CL793" i="129" s="1"/>
  <c r="AF793" i="129"/>
  <c r="AC793" i="129"/>
  <c r="S793" i="129"/>
  <c r="R793" i="129"/>
  <c r="Q793" i="129"/>
  <c r="CA792" i="129"/>
  <c r="BZ792" i="129"/>
  <c r="BS792" i="129"/>
  <c r="BR792" i="129"/>
  <c r="BN792" i="129"/>
  <c r="AP792" i="129"/>
  <c r="AO792" i="129"/>
  <c r="AN792" i="129"/>
  <c r="AL792" i="129"/>
  <c r="AI792" i="129"/>
  <c r="CL792" i="129" s="1"/>
  <c r="AF792" i="129"/>
  <c r="AC792" i="129"/>
  <c r="S792" i="129"/>
  <c r="R792" i="129"/>
  <c r="Q792" i="129"/>
  <c r="CA791" i="129"/>
  <c r="BZ791" i="129"/>
  <c r="BS791" i="129"/>
  <c r="BR791" i="129"/>
  <c r="BN791" i="129"/>
  <c r="AP791" i="129"/>
  <c r="AO791" i="129"/>
  <c r="AN791" i="129"/>
  <c r="AL791" i="129"/>
  <c r="AI791" i="129"/>
  <c r="CL791" i="129" s="1"/>
  <c r="AF791" i="129"/>
  <c r="AC791" i="129"/>
  <c r="S791" i="129"/>
  <c r="R791" i="129"/>
  <c r="Q791" i="129"/>
  <c r="CA790" i="129"/>
  <c r="BZ790" i="129"/>
  <c r="BS790" i="129"/>
  <c r="BR790" i="129"/>
  <c r="BN790" i="129"/>
  <c r="AP790" i="129"/>
  <c r="AO790" i="129"/>
  <c r="AN790" i="129"/>
  <c r="AL790" i="129"/>
  <c r="AI790" i="129"/>
  <c r="CL790" i="129" s="1"/>
  <c r="AF790" i="129"/>
  <c r="AC790" i="129"/>
  <c r="S790" i="129"/>
  <c r="R790" i="129"/>
  <c r="Q790" i="129"/>
  <c r="CA789" i="129"/>
  <c r="BZ789" i="129"/>
  <c r="BS789" i="129"/>
  <c r="BR789" i="129"/>
  <c r="BN789" i="129"/>
  <c r="AP789" i="129"/>
  <c r="AO789" i="129"/>
  <c r="AN789" i="129"/>
  <c r="AL789" i="129"/>
  <c r="AI789" i="129"/>
  <c r="CL789" i="129" s="1"/>
  <c r="AF789" i="129"/>
  <c r="AC789" i="129"/>
  <c r="S789" i="129"/>
  <c r="R789" i="129"/>
  <c r="Q789" i="129"/>
  <c r="CA788" i="129"/>
  <c r="BZ788" i="129"/>
  <c r="BS788" i="129"/>
  <c r="BR788" i="129"/>
  <c r="BN788" i="129"/>
  <c r="AP788" i="129"/>
  <c r="AO788" i="129"/>
  <c r="AN788" i="129"/>
  <c r="AL788" i="129"/>
  <c r="AI788" i="129"/>
  <c r="CL788" i="129" s="1"/>
  <c r="AF788" i="129"/>
  <c r="AC788" i="129"/>
  <c r="S788" i="129"/>
  <c r="R788" i="129"/>
  <c r="Q788" i="129"/>
  <c r="CA787" i="129"/>
  <c r="BZ787" i="129"/>
  <c r="BS787" i="129"/>
  <c r="BR787" i="129"/>
  <c r="BN787" i="129"/>
  <c r="AP787" i="129"/>
  <c r="AO787" i="129"/>
  <c r="AN787" i="129"/>
  <c r="AL787" i="129"/>
  <c r="AI787" i="129"/>
  <c r="CL787" i="129" s="1"/>
  <c r="AF787" i="129"/>
  <c r="AC787" i="129"/>
  <c r="S787" i="129"/>
  <c r="R787" i="129"/>
  <c r="Q787" i="129"/>
  <c r="CA786" i="129"/>
  <c r="BZ786" i="129"/>
  <c r="BS786" i="129"/>
  <c r="BR786" i="129"/>
  <c r="BN786" i="129"/>
  <c r="AP786" i="129"/>
  <c r="AO786" i="129"/>
  <c r="AN786" i="129"/>
  <c r="AL786" i="129"/>
  <c r="AI786" i="129"/>
  <c r="CL786" i="129" s="1"/>
  <c r="AF786" i="129"/>
  <c r="AC786" i="129"/>
  <c r="S786" i="129"/>
  <c r="R786" i="129"/>
  <c r="Q786" i="129"/>
  <c r="CA785" i="129"/>
  <c r="BZ785" i="129"/>
  <c r="BS785" i="129"/>
  <c r="BR785" i="129"/>
  <c r="BN785" i="129"/>
  <c r="AP785" i="129"/>
  <c r="AO785" i="129"/>
  <c r="AN785" i="129"/>
  <c r="AL785" i="129"/>
  <c r="AI785" i="129"/>
  <c r="CL785" i="129" s="1"/>
  <c r="AF785" i="129"/>
  <c r="AC785" i="129"/>
  <c r="S785" i="129"/>
  <c r="R785" i="129"/>
  <c r="Q785" i="129"/>
  <c r="CA784" i="129"/>
  <c r="BZ784" i="129"/>
  <c r="BS784" i="129"/>
  <c r="BR784" i="129"/>
  <c r="BN784" i="129"/>
  <c r="AP784" i="129"/>
  <c r="AO784" i="129"/>
  <c r="AN784" i="129"/>
  <c r="AL784" i="129"/>
  <c r="AI784" i="129"/>
  <c r="CL784" i="129" s="1"/>
  <c r="AF784" i="129"/>
  <c r="AC784" i="129"/>
  <c r="S784" i="129"/>
  <c r="R784" i="129"/>
  <c r="Q784" i="129"/>
  <c r="CA783" i="129"/>
  <c r="BZ783" i="129"/>
  <c r="BS783" i="129"/>
  <c r="BR783" i="129"/>
  <c r="BN783" i="129"/>
  <c r="AP783" i="129"/>
  <c r="AO783" i="129"/>
  <c r="AN783" i="129"/>
  <c r="AL783" i="129"/>
  <c r="AI783" i="129"/>
  <c r="CL783" i="129" s="1"/>
  <c r="AF783" i="129"/>
  <c r="AC783" i="129"/>
  <c r="S783" i="129"/>
  <c r="R783" i="129"/>
  <c r="Q783" i="129"/>
  <c r="CA782" i="129"/>
  <c r="BZ782" i="129"/>
  <c r="BS782" i="129"/>
  <c r="BR782" i="129"/>
  <c r="BN782" i="129"/>
  <c r="AP782" i="129"/>
  <c r="AO782" i="129"/>
  <c r="AN782" i="129"/>
  <c r="AL782" i="129"/>
  <c r="AI782" i="129"/>
  <c r="CL782" i="129" s="1"/>
  <c r="AF782" i="129"/>
  <c r="AC782" i="129"/>
  <c r="S782" i="129"/>
  <c r="R782" i="129"/>
  <c r="Q782" i="129"/>
  <c r="CA781" i="129"/>
  <c r="BZ781" i="129"/>
  <c r="BS781" i="129"/>
  <c r="BR781" i="129"/>
  <c r="BN781" i="129"/>
  <c r="AP781" i="129"/>
  <c r="AO781" i="129"/>
  <c r="AN781" i="129"/>
  <c r="AL781" i="129"/>
  <c r="AI781" i="129"/>
  <c r="CL781" i="129" s="1"/>
  <c r="AF781" i="129"/>
  <c r="AC781" i="129"/>
  <c r="S781" i="129"/>
  <c r="R781" i="129"/>
  <c r="Q781" i="129"/>
  <c r="CA780" i="129"/>
  <c r="BZ780" i="129"/>
  <c r="BS780" i="129"/>
  <c r="BR780" i="129"/>
  <c r="BN780" i="129"/>
  <c r="AP780" i="129"/>
  <c r="AO780" i="129"/>
  <c r="AN780" i="129"/>
  <c r="AL780" i="129"/>
  <c r="AI780" i="129"/>
  <c r="CL780" i="129" s="1"/>
  <c r="AF780" i="129"/>
  <c r="AC780" i="129"/>
  <c r="S780" i="129"/>
  <c r="R780" i="129"/>
  <c r="Q780" i="129"/>
  <c r="CA779" i="129"/>
  <c r="BZ779" i="129"/>
  <c r="BS779" i="129"/>
  <c r="BR779" i="129"/>
  <c r="BN779" i="129"/>
  <c r="AP779" i="129"/>
  <c r="AO779" i="129"/>
  <c r="AN779" i="129"/>
  <c r="AL779" i="129"/>
  <c r="AI779" i="129"/>
  <c r="CL779" i="129" s="1"/>
  <c r="AF779" i="129"/>
  <c r="AC779" i="129"/>
  <c r="S779" i="129"/>
  <c r="R779" i="129"/>
  <c r="Q779" i="129"/>
  <c r="CA778" i="129"/>
  <c r="BZ778" i="129"/>
  <c r="BS778" i="129"/>
  <c r="BR778" i="129"/>
  <c r="BN778" i="129"/>
  <c r="AP778" i="129"/>
  <c r="AO778" i="129"/>
  <c r="AN778" i="129"/>
  <c r="AL778" i="129"/>
  <c r="AI778" i="129"/>
  <c r="CL778" i="129" s="1"/>
  <c r="AF778" i="129"/>
  <c r="AC778" i="129"/>
  <c r="S778" i="129"/>
  <c r="R778" i="129"/>
  <c r="Q778" i="129"/>
  <c r="CA777" i="129"/>
  <c r="BZ777" i="129"/>
  <c r="BS777" i="129"/>
  <c r="BR777" i="129"/>
  <c r="BN777" i="129"/>
  <c r="AP777" i="129"/>
  <c r="AO777" i="129"/>
  <c r="AN777" i="129"/>
  <c r="AL777" i="129"/>
  <c r="AI777" i="129"/>
  <c r="CL777" i="129" s="1"/>
  <c r="AF777" i="129"/>
  <c r="AC777" i="129"/>
  <c r="S777" i="129"/>
  <c r="R777" i="129"/>
  <c r="Q777" i="129"/>
  <c r="CA776" i="129"/>
  <c r="BZ776" i="129"/>
  <c r="BS776" i="129"/>
  <c r="BR776" i="129"/>
  <c r="BN776" i="129"/>
  <c r="AP776" i="129"/>
  <c r="AO776" i="129"/>
  <c r="AN776" i="129"/>
  <c r="AL776" i="129"/>
  <c r="AI776" i="129"/>
  <c r="CL776" i="129" s="1"/>
  <c r="AF776" i="129"/>
  <c r="AC776" i="129"/>
  <c r="S776" i="129"/>
  <c r="R776" i="129"/>
  <c r="Q776" i="129"/>
  <c r="CA775" i="129"/>
  <c r="BZ775" i="129"/>
  <c r="BS775" i="129"/>
  <c r="BR775" i="129"/>
  <c r="BN775" i="129"/>
  <c r="AP775" i="129"/>
  <c r="AO775" i="129"/>
  <c r="AN775" i="129"/>
  <c r="AL775" i="129"/>
  <c r="AI775" i="129"/>
  <c r="CL775" i="129" s="1"/>
  <c r="AF775" i="129"/>
  <c r="AC775" i="129"/>
  <c r="S775" i="129"/>
  <c r="R775" i="129"/>
  <c r="Q775" i="129"/>
  <c r="CA774" i="129"/>
  <c r="BZ774" i="129"/>
  <c r="BS774" i="129"/>
  <c r="BR774" i="129"/>
  <c r="BN774" i="129"/>
  <c r="AP774" i="129"/>
  <c r="AO774" i="129"/>
  <c r="AN774" i="129"/>
  <c r="AL774" i="129"/>
  <c r="AI774" i="129"/>
  <c r="CL774" i="129" s="1"/>
  <c r="AF774" i="129"/>
  <c r="AC774" i="129"/>
  <c r="S774" i="129"/>
  <c r="R774" i="129"/>
  <c r="Q774" i="129"/>
  <c r="CA773" i="129"/>
  <c r="BZ773" i="129"/>
  <c r="BS773" i="129"/>
  <c r="BR773" i="129"/>
  <c r="BN773" i="129"/>
  <c r="AP773" i="129"/>
  <c r="AO773" i="129"/>
  <c r="AN773" i="129"/>
  <c r="AL773" i="129"/>
  <c r="AI773" i="129"/>
  <c r="CL773" i="129" s="1"/>
  <c r="AF773" i="129"/>
  <c r="AC773" i="129"/>
  <c r="S773" i="129"/>
  <c r="R773" i="129"/>
  <c r="Q773" i="129"/>
  <c r="CA772" i="129"/>
  <c r="BZ772" i="129"/>
  <c r="BS772" i="129"/>
  <c r="BR772" i="129"/>
  <c r="BN772" i="129"/>
  <c r="AP772" i="129"/>
  <c r="AO772" i="129"/>
  <c r="AN772" i="129"/>
  <c r="AL772" i="129"/>
  <c r="AI772" i="129"/>
  <c r="CL772" i="129" s="1"/>
  <c r="AF772" i="129"/>
  <c r="AC772" i="129"/>
  <c r="S772" i="129"/>
  <c r="R772" i="129"/>
  <c r="Q772" i="129"/>
  <c r="CA771" i="129"/>
  <c r="BZ771" i="129"/>
  <c r="BS771" i="129"/>
  <c r="BR771" i="129"/>
  <c r="BN771" i="129"/>
  <c r="AP771" i="129"/>
  <c r="AO771" i="129"/>
  <c r="AN771" i="129"/>
  <c r="AL771" i="129"/>
  <c r="AI771" i="129"/>
  <c r="CL771" i="129" s="1"/>
  <c r="AF771" i="129"/>
  <c r="AC771" i="129"/>
  <c r="S771" i="129"/>
  <c r="R771" i="129"/>
  <c r="Q771" i="129"/>
  <c r="CA770" i="129"/>
  <c r="BZ770" i="129"/>
  <c r="BS770" i="129"/>
  <c r="BR770" i="129"/>
  <c r="BN770" i="129"/>
  <c r="AP770" i="129"/>
  <c r="AO770" i="129"/>
  <c r="AN770" i="129"/>
  <c r="AL770" i="129"/>
  <c r="AI770" i="129"/>
  <c r="CL770" i="129" s="1"/>
  <c r="AF770" i="129"/>
  <c r="AC770" i="129"/>
  <c r="S770" i="129"/>
  <c r="R770" i="129"/>
  <c r="Q770" i="129"/>
  <c r="CA769" i="129"/>
  <c r="BZ769" i="129"/>
  <c r="BS769" i="129"/>
  <c r="BR769" i="129"/>
  <c r="BN769" i="129"/>
  <c r="AP769" i="129"/>
  <c r="AO769" i="129"/>
  <c r="AN769" i="129"/>
  <c r="AL769" i="129"/>
  <c r="AI769" i="129"/>
  <c r="CL769" i="129" s="1"/>
  <c r="AF769" i="129"/>
  <c r="AC769" i="129"/>
  <c r="S769" i="129"/>
  <c r="R769" i="129"/>
  <c r="Q769" i="129"/>
  <c r="CA768" i="129"/>
  <c r="BZ768" i="129"/>
  <c r="BS768" i="129"/>
  <c r="BR768" i="129"/>
  <c r="BN768" i="129"/>
  <c r="AP768" i="129"/>
  <c r="AO768" i="129"/>
  <c r="AN768" i="129"/>
  <c r="AL768" i="129"/>
  <c r="AI768" i="129"/>
  <c r="CL768" i="129" s="1"/>
  <c r="AF768" i="129"/>
  <c r="AC768" i="129"/>
  <c r="S768" i="129"/>
  <c r="R768" i="129"/>
  <c r="Q768" i="129"/>
  <c r="CA767" i="129"/>
  <c r="BZ767" i="129"/>
  <c r="BS767" i="129"/>
  <c r="BR767" i="129"/>
  <c r="BN767" i="129"/>
  <c r="AP767" i="129"/>
  <c r="AO767" i="129"/>
  <c r="AN767" i="129"/>
  <c r="AL767" i="129"/>
  <c r="AI767" i="129"/>
  <c r="CL767" i="129" s="1"/>
  <c r="AF767" i="129"/>
  <c r="AC767" i="129"/>
  <c r="S767" i="129"/>
  <c r="R767" i="129"/>
  <c r="Q767" i="129"/>
  <c r="CA766" i="129"/>
  <c r="BZ766" i="129"/>
  <c r="BS766" i="129"/>
  <c r="BR766" i="129"/>
  <c r="BN766" i="129"/>
  <c r="AP766" i="129"/>
  <c r="AO766" i="129"/>
  <c r="AN766" i="129"/>
  <c r="AL766" i="129"/>
  <c r="AI766" i="129"/>
  <c r="CL766" i="129" s="1"/>
  <c r="AF766" i="129"/>
  <c r="AC766" i="129"/>
  <c r="S766" i="129"/>
  <c r="R766" i="129"/>
  <c r="Q766" i="129"/>
  <c r="CA765" i="129"/>
  <c r="BZ765" i="129"/>
  <c r="BS765" i="129"/>
  <c r="BR765" i="129"/>
  <c r="BN765" i="129"/>
  <c r="AP765" i="129"/>
  <c r="AO765" i="129"/>
  <c r="AN765" i="129"/>
  <c r="AL765" i="129"/>
  <c r="AI765" i="129"/>
  <c r="CL765" i="129" s="1"/>
  <c r="AF765" i="129"/>
  <c r="AC765" i="129"/>
  <c r="S765" i="129"/>
  <c r="R765" i="129"/>
  <c r="Q765" i="129"/>
  <c r="CA764" i="129"/>
  <c r="BZ764" i="129"/>
  <c r="BS764" i="129"/>
  <c r="BR764" i="129"/>
  <c r="BN764" i="129"/>
  <c r="AP764" i="129"/>
  <c r="AO764" i="129"/>
  <c r="AN764" i="129"/>
  <c r="AL764" i="129"/>
  <c r="AI764" i="129"/>
  <c r="CL764" i="129" s="1"/>
  <c r="AF764" i="129"/>
  <c r="AC764" i="129"/>
  <c r="S764" i="129"/>
  <c r="R764" i="129"/>
  <c r="Q764" i="129"/>
  <c r="CA763" i="129"/>
  <c r="BZ763" i="129"/>
  <c r="BS763" i="129"/>
  <c r="BR763" i="129"/>
  <c r="BN763" i="129"/>
  <c r="AP763" i="129"/>
  <c r="AO763" i="129"/>
  <c r="AN763" i="129"/>
  <c r="AL763" i="129"/>
  <c r="AI763" i="129"/>
  <c r="CL763" i="129" s="1"/>
  <c r="AF763" i="129"/>
  <c r="AC763" i="129"/>
  <c r="S763" i="129"/>
  <c r="R763" i="129"/>
  <c r="Q763" i="129"/>
  <c r="CA762" i="129"/>
  <c r="BZ762" i="129"/>
  <c r="BS762" i="129"/>
  <c r="BR762" i="129"/>
  <c r="BN762" i="129"/>
  <c r="AP762" i="129"/>
  <c r="AO762" i="129"/>
  <c r="AN762" i="129"/>
  <c r="AL762" i="129"/>
  <c r="AI762" i="129"/>
  <c r="CL762" i="129" s="1"/>
  <c r="AF762" i="129"/>
  <c r="AC762" i="129"/>
  <c r="S762" i="129"/>
  <c r="R762" i="129"/>
  <c r="Q762" i="129"/>
  <c r="CA761" i="129"/>
  <c r="BZ761" i="129"/>
  <c r="BS761" i="129"/>
  <c r="BR761" i="129"/>
  <c r="BN761" i="129"/>
  <c r="AP761" i="129"/>
  <c r="AO761" i="129"/>
  <c r="AN761" i="129"/>
  <c r="AL761" i="129"/>
  <c r="AI761" i="129"/>
  <c r="CL761" i="129" s="1"/>
  <c r="AF761" i="129"/>
  <c r="AC761" i="129"/>
  <c r="S761" i="129"/>
  <c r="R761" i="129"/>
  <c r="Q761" i="129"/>
  <c r="CA760" i="129"/>
  <c r="BZ760" i="129"/>
  <c r="BS760" i="129"/>
  <c r="BR760" i="129"/>
  <c r="BN760" i="129"/>
  <c r="AP760" i="129"/>
  <c r="AO760" i="129"/>
  <c r="AN760" i="129"/>
  <c r="AL760" i="129"/>
  <c r="AI760" i="129"/>
  <c r="CL760" i="129" s="1"/>
  <c r="AF760" i="129"/>
  <c r="AC760" i="129"/>
  <c r="S760" i="129"/>
  <c r="R760" i="129"/>
  <c r="Q760" i="129"/>
  <c r="CA759" i="129"/>
  <c r="BZ759" i="129"/>
  <c r="BS759" i="129"/>
  <c r="BR759" i="129"/>
  <c r="BN759" i="129"/>
  <c r="AP759" i="129"/>
  <c r="AO759" i="129"/>
  <c r="AN759" i="129"/>
  <c r="AL759" i="129"/>
  <c r="AI759" i="129"/>
  <c r="CL759" i="129" s="1"/>
  <c r="AF759" i="129"/>
  <c r="AC759" i="129"/>
  <c r="S759" i="129"/>
  <c r="R759" i="129"/>
  <c r="Q759" i="129"/>
  <c r="CA758" i="129"/>
  <c r="BZ758" i="129"/>
  <c r="BS758" i="129"/>
  <c r="BR758" i="129"/>
  <c r="BN758" i="129"/>
  <c r="AP758" i="129"/>
  <c r="AO758" i="129"/>
  <c r="AN758" i="129"/>
  <c r="AL758" i="129"/>
  <c r="AI758" i="129"/>
  <c r="CL758" i="129" s="1"/>
  <c r="AF758" i="129"/>
  <c r="AC758" i="129"/>
  <c r="S758" i="129"/>
  <c r="R758" i="129"/>
  <c r="Q758" i="129"/>
  <c r="CA757" i="129"/>
  <c r="BZ757" i="129"/>
  <c r="BS757" i="129"/>
  <c r="BR757" i="129"/>
  <c r="BN757" i="129"/>
  <c r="AP757" i="129"/>
  <c r="AO757" i="129"/>
  <c r="AN757" i="129"/>
  <c r="AL757" i="129"/>
  <c r="AI757" i="129"/>
  <c r="CL757" i="129" s="1"/>
  <c r="AF757" i="129"/>
  <c r="AC757" i="129"/>
  <c r="S757" i="129"/>
  <c r="R757" i="129"/>
  <c r="Q757" i="129"/>
  <c r="CA756" i="129"/>
  <c r="BZ756" i="129"/>
  <c r="BS756" i="129"/>
  <c r="BR756" i="129"/>
  <c r="BN756" i="129"/>
  <c r="AP756" i="129"/>
  <c r="AO756" i="129"/>
  <c r="AN756" i="129"/>
  <c r="AL756" i="129"/>
  <c r="AI756" i="129"/>
  <c r="CL756" i="129" s="1"/>
  <c r="AF756" i="129"/>
  <c r="AC756" i="129"/>
  <c r="S756" i="129"/>
  <c r="R756" i="129"/>
  <c r="Q756" i="129"/>
  <c r="CA755" i="129"/>
  <c r="BZ755" i="129"/>
  <c r="BS755" i="129"/>
  <c r="BR755" i="129"/>
  <c r="BN755" i="129"/>
  <c r="AP755" i="129"/>
  <c r="AO755" i="129"/>
  <c r="AN755" i="129"/>
  <c r="AL755" i="129"/>
  <c r="AI755" i="129"/>
  <c r="CL755" i="129" s="1"/>
  <c r="AF755" i="129"/>
  <c r="AC755" i="129"/>
  <c r="S755" i="129"/>
  <c r="R755" i="129"/>
  <c r="Q755" i="129"/>
  <c r="CA754" i="129"/>
  <c r="BZ754" i="129"/>
  <c r="BS754" i="129"/>
  <c r="BR754" i="129"/>
  <c r="BN754" i="129"/>
  <c r="AP754" i="129"/>
  <c r="AO754" i="129"/>
  <c r="AN754" i="129"/>
  <c r="AL754" i="129"/>
  <c r="AI754" i="129"/>
  <c r="CL754" i="129" s="1"/>
  <c r="AF754" i="129"/>
  <c r="AC754" i="129"/>
  <c r="S754" i="129"/>
  <c r="R754" i="129"/>
  <c r="Q754" i="129"/>
  <c r="CA753" i="129"/>
  <c r="BZ753" i="129"/>
  <c r="BS753" i="129"/>
  <c r="BR753" i="129"/>
  <c r="BN753" i="129"/>
  <c r="AP753" i="129"/>
  <c r="AO753" i="129"/>
  <c r="AN753" i="129"/>
  <c r="AL753" i="129"/>
  <c r="AI753" i="129"/>
  <c r="CL753" i="129" s="1"/>
  <c r="AF753" i="129"/>
  <c r="AC753" i="129"/>
  <c r="S753" i="129"/>
  <c r="R753" i="129"/>
  <c r="Q753" i="129"/>
  <c r="CA752" i="129"/>
  <c r="BZ752" i="129"/>
  <c r="BS752" i="129"/>
  <c r="BR752" i="129"/>
  <c r="BN752" i="129"/>
  <c r="AP752" i="129"/>
  <c r="AO752" i="129"/>
  <c r="AN752" i="129"/>
  <c r="AL752" i="129"/>
  <c r="AI752" i="129"/>
  <c r="CL752" i="129" s="1"/>
  <c r="AF752" i="129"/>
  <c r="AC752" i="129"/>
  <c r="S752" i="129"/>
  <c r="R752" i="129"/>
  <c r="Q752" i="129"/>
  <c r="CA751" i="129"/>
  <c r="BZ751" i="129"/>
  <c r="BS751" i="129"/>
  <c r="BR751" i="129"/>
  <c r="BN751" i="129"/>
  <c r="AP751" i="129"/>
  <c r="AO751" i="129"/>
  <c r="AN751" i="129"/>
  <c r="AL751" i="129"/>
  <c r="AI751" i="129"/>
  <c r="CL751" i="129" s="1"/>
  <c r="AF751" i="129"/>
  <c r="AC751" i="129"/>
  <c r="S751" i="129"/>
  <c r="R751" i="129"/>
  <c r="Q751" i="129"/>
  <c r="CA750" i="129"/>
  <c r="BZ750" i="129"/>
  <c r="BS750" i="129"/>
  <c r="BR750" i="129"/>
  <c r="BN750" i="129"/>
  <c r="AP750" i="129"/>
  <c r="AO750" i="129"/>
  <c r="AN750" i="129"/>
  <c r="AL750" i="129"/>
  <c r="AI750" i="129"/>
  <c r="CL750" i="129" s="1"/>
  <c r="AF750" i="129"/>
  <c r="AC750" i="129"/>
  <c r="S750" i="129"/>
  <c r="R750" i="129"/>
  <c r="Q750" i="129"/>
  <c r="CA749" i="129"/>
  <c r="BZ749" i="129"/>
  <c r="BS749" i="129"/>
  <c r="BR749" i="129"/>
  <c r="BN749" i="129"/>
  <c r="AP749" i="129"/>
  <c r="AO749" i="129"/>
  <c r="AN749" i="129"/>
  <c r="AL749" i="129"/>
  <c r="AI749" i="129"/>
  <c r="CL749" i="129" s="1"/>
  <c r="AF749" i="129"/>
  <c r="AC749" i="129"/>
  <c r="S749" i="129"/>
  <c r="R749" i="129"/>
  <c r="Q749" i="129"/>
  <c r="CA748" i="129"/>
  <c r="BZ748" i="129"/>
  <c r="BS748" i="129"/>
  <c r="BR748" i="129"/>
  <c r="BN748" i="129"/>
  <c r="AP748" i="129"/>
  <c r="AO748" i="129"/>
  <c r="AN748" i="129"/>
  <c r="AL748" i="129"/>
  <c r="AI748" i="129"/>
  <c r="CL748" i="129" s="1"/>
  <c r="AF748" i="129"/>
  <c r="AC748" i="129"/>
  <c r="S748" i="129"/>
  <c r="R748" i="129"/>
  <c r="Q748" i="129"/>
  <c r="CA747" i="129"/>
  <c r="BZ747" i="129"/>
  <c r="BS747" i="129"/>
  <c r="BR747" i="129"/>
  <c r="BN747" i="129"/>
  <c r="AP747" i="129"/>
  <c r="AO747" i="129"/>
  <c r="AN747" i="129"/>
  <c r="AL747" i="129"/>
  <c r="AI747" i="129"/>
  <c r="CL747" i="129" s="1"/>
  <c r="AF747" i="129"/>
  <c r="AC747" i="129"/>
  <c r="S747" i="129"/>
  <c r="R747" i="129"/>
  <c r="Q747" i="129"/>
  <c r="CA746" i="129"/>
  <c r="BZ746" i="129"/>
  <c r="BS746" i="129"/>
  <c r="BR746" i="129"/>
  <c r="BN746" i="129"/>
  <c r="AP746" i="129"/>
  <c r="AO746" i="129"/>
  <c r="AN746" i="129"/>
  <c r="AL746" i="129"/>
  <c r="AI746" i="129"/>
  <c r="CL746" i="129" s="1"/>
  <c r="AF746" i="129"/>
  <c r="AC746" i="129"/>
  <c r="S746" i="129"/>
  <c r="R746" i="129"/>
  <c r="Q746" i="129"/>
  <c r="CA745" i="129"/>
  <c r="BZ745" i="129"/>
  <c r="BS745" i="129"/>
  <c r="BR745" i="129"/>
  <c r="BN745" i="129"/>
  <c r="AP745" i="129"/>
  <c r="AO745" i="129"/>
  <c r="AN745" i="129"/>
  <c r="AL745" i="129"/>
  <c r="AI745" i="129"/>
  <c r="CL745" i="129" s="1"/>
  <c r="AF745" i="129"/>
  <c r="AC745" i="129"/>
  <c r="S745" i="129"/>
  <c r="R745" i="129"/>
  <c r="Q745" i="129"/>
  <c r="CA744" i="129"/>
  <c r="BZ744" i="129"/>
  <c r="BS744" i="129"/>
  <c r="BR744" i="129"/>
  <c r="BN744" i="129"/>
  <c r="AP744" i="129"/>
  <c r="AO744" i="129"/>
  <c r="AN744" i="129"/>
  <c r="AL744" i="129"/>
  <c r="AI744" i="129"/>
  <c r="CL744" i="129" s="1"/>
  <c r="AF744" i="129"/>
  <c r="AC744" i="129"/>
  <c r="S744" i="129"/>
  <c r="R744" i="129"/>
  <c r="Q744" i="129"/>
  <c r="CA743" i="129"/>
  <c r="BZ743" i="129"/>
  <c r="BS743" i="129"/>
  <c r="BR743" i="129"/>
  <c r="BN743" i="129"/>
  <c r="AP743" i="129"/>
  <c r="AO743" i="129"/>
  <c r="AN743" i="129"/>
  <c r="AL743" i="129"/>
  <c r="AI743" i="129"/>
  <c r="CL743" i="129" s="1"/>
  <c r="AF743" i="129"/>
  <c r="AC743" i="129"/>
  <c r="S743" i="129"/>
  <c r="R743" i="129"/>
  <c r="Q743" i="129"/>
  <c r="CA742" i="129"/>
  <c r="BZ742" i="129"/>
  <c r="BS742" i="129"/>
  <c r="BR742" i="129"/>
  <c r="BN742" i="129"/>
  <c r="AP742" i="129"/>
  <c r="AO742" i="129"/>
  <c r="AN742" i="129"/>
  <c r="AL742" i="129"/>
  <c r="AI742" i="129"/>
  <c r="CL742" i="129" s="1"/>
  <c r="AF742" i="129"/>
  <c r="AC742" i="129"/>
  <c r="S742" i="129"/>
  <c r="R742" i="129"/>
  <c r="Q742" i="129"/>
  <c r="CA741" i="129"/>
  <c r="BZ741" i="129"/>
  <c r="BS741" i="129"/>
  <c r="BR741" i="129"/>
  <c r="BN741" i="129"/>
  <c r="AP741" i="129"/>
  <c r="AO741" i="129"/>
  <c r="AN741" i="129"/>
  <c r="AL741" i="129"/>
  <c r="AI741" i="129"/>
  <c r="CL741" i="129" s="1"/>
  <c r="AF741" i="129"/>
  <c r="AC741" i="129"/>
  <c r="S741" i="129"/>
  <c r="R741" i="129"/>
  <c r="Q741" i="129"/>
  <c r="CA740" i="129"/>
  <c r="BZ740" i="129"/>
  <c r="BS740" i="129"/>
  <c r="BR740" i="129"/>
  <c r="BN740" i="129"/>
  <c r="AP740" i="129"/>
  <c r="AO740" i="129"/>
  <c r="AN740" i="129"/>
  <c r="AL740" i="129"/>
  <c r="AI740" i="129"/>
  <c r="CL740" i="129" s="1"/>
  <c r="AF740" i="129"/>
  <c r="AC740" i="129"/>
  <c r="S740" i="129"/>
  <c r="R740" i="129"/>
  <c r="Q740" i="129"/>
  <c r="CA739" i="129"/>
  <c r="BZ739" i="129"/>
  <c r="BS739" i="129"/>
  <c r="BR739" i="129"/>
  <c r="BN739" i="129"/>
  <c r="AP739" i="129"/>
  <c r="AO739" i="129"/>
  <c r="AN739" i="129"/>
  <c r="AL739" i="129"/>
  <c r="AI739" i="129"/>
  <c r="CL739" i="129" s="1"/>
  <c r="AF739" i="129"/>
  <c r="AC739" i="129"/>
  <c r="S739" i="129"/>
  <c r="R739" i="129"/>
  <c r="Q739" i="129"/>
  <c r="CA738" i="129"/>
  <c r="BZ738" i="129"/>
  <c r="BS738" i="129"/>
  <c r="BR738" i="129"/>
  <c r="BN738" i="129"/>
  <c r="AP738" i="129"/>
  <c r="AO738" i="129"/>
  <c r="AN738" i="129"/>
  <c r="AL738" i="129"/>
  <c r="AI738" i="129"/>
  <c r="CL738" i="129" s="1"/>
  <c r="AF738" i="129"/>
  <c r="AC738" i="129"/>
  <c r="S738" i="129"/>
  <c r="R738" i="129"/>
  <c r="Q738" i="129"/>
  <c r="CA737" i="129"/>
  <c r="BZ737" i="129"/>
  <c r="BS737" i="129"/>
  <c r="BR737" i="129"/>
  <c r="BN737" i="129"/>
  <c r="AP737" i="129"/>
  <c r="AO737" i="129"/>
  <c r="AN737" i="129"/>
  <c r="AL737" i="129"/>
  <c r="AI737" i="129"/>
  <c r="CL737" i="129" s="1"/>
  <c r="AF737" i="129"/>
  <c r="AC737" i="129"/>
  <c r="S737" i="129"/>
  <c r="R737" i="129"/>
  <c r="Q737" i="129"/>
  <c r="CA736" i="129"/>
  <c r="BZ736" i="129"/>
  <c r="BS736" i="129"/>
  <c r="BR736" i="129"/>
  <c r="BN736" i="129"/>
  <c r="AP736" i="129"/>
  <c r="AO736" i="129"/>
  <c r="AN736" i="129"/>
  <c r="AL736" i="129"/>
  <c r="AI736" i="129"/>
  <c r="CL736" i="129" s="1"/>
  <c r="AF736" i="129"/>
  <c r="AC736" i="129"/>
  <c r="S736" i="129"/>
  <c r="R736" i="129"/>
  <c r="Q736" i="129"/>
  <c r="CA735" i="129"/>
  <c r="BZ735" i="129"/>
  <c r="BS735" i="129"/>
  <c r="BR735" i="129"/>
  <c r="BN735" i="129"/>
  <c r="AP735" i="129"/>
  <c r="AO735" i="129"/>
  <c r="AN735" i="129"/>
  <c r="AL735" i="129"/>
  <c r="AI735" i="129"/>
  <c r="CL735" i="129" s="1"/>
  <c r="AF735" i="129"/>
  <c r="AC735" i="129"/>
  <c r="S735" i="129"/>
  <c r="R735" i="129"/>
  <c r="Q735" i="129"/>
  <c r="CA734" i="129"/>
  <c r="BZ734" i="129"/>
  <c r="BS734" i="129"/>
  <c r="BR734" i="129"/>
  <c r="BN734" i="129"/>
  <c r="AP734" i="129"/>
  <c r="AO734" i="129"/>
  <c r="AN734" i="129"/>
  <c r="AL734" i="129"/>
  <c r="AI734" i="129"/>
  <c r="CL734" i="129" s="1"/>
  <c r="AF734" i="129"/>
  <c r="AC734" i="129"/>
  <c r="S734" i="129"/>
  <c r="R734" i="129"/>
  <c r="Q734" i="129"/>
  <c r="CA733" i="129"/>
  <c r="BZ733" i="129"/>
  <c r="BS733" i="129"/>
  <c r="BR733" i="129"/>
  <c r="BN733" i="129"/>
  <c r="AP733" i="129"/>
  <c r="AO733" i="129"/>
  <c r="AN733" i="129"/>
  <c r="AL733" i="129"/>
  <c r="AI733" i="129"/>
  <c r="CL733" i="129" s="1"/>
  <c r="AF733" i="129"/>
  <c r="AC733" i="129"/>
  <c r="S733" i="129"/>
  <c r="R733" i="129"/>
  <c r="Q733" i="129"/>
  <c r="CA732" i="129"/>
  <c r="BZ732" i="129"/>
  <c r="BS732" i="129"/>
  <c r="BR732" i="129"/>
  <c r="BN732" i="129"/>
  <c r="AP732" i="129"/>
  <c r="AO732" i="129"/>
  <c r="AN732" i="129"/>
  <c r="AL732" i="129"/>
  <c r="AI732" i="129"/>
  <c r="CL732" i="129" s="1"/>
  <c r="AF732" i="129"/>
  <c r="AC732" i="129"/>
  <c r="S732" i="129"/>
  <c r="R732" i="129"/>
  <c r="Q732" i="129"/>
  <c r="CA731" i="129"/>
  <c r="BZ731" i="129"/>
  <c r="BS731" i="129"/>
  <c r="BR731" i="129"/>
  <c r="BN731" i="129"/>
  <c r="AP731" i="129"/>
  <c r="AO731" i="129"/>
  <c r="AN731" i="129"/>
  <c r="AL731" i="129"/>
  <c r="AI731" i="129"/>
  <c r="CL731" i="129" s="1"/>
  <c r="AF731" i="129"/>
  <c r="AC731" i="129"/>
  <c r="S731" i="129"/>
  <c r="R731" i="129"/>
  <c r="Q731" i="129"/>
  <c r="CA730" i="129"/>
  <c r="BZ730" i="129"/>
  <c r="BS730" i="129"/>
  <c r="BR730" i="129"/>
  <c r="BN730" i="129"/>
  <c r="AP730" i="129"/>
  <c r="AO730" i="129"/>
  <c r="AN730" i="129"/>
  <c r="AL730" i="129"/>
  <c r="AI730" i="129"/>
  <c r="CL730" i="129" s="1"/>
  <c r="AF730" i="129"/>
  <c r="AC730" i="129"/>
  <c r="S730" i="129"/>
  <c r="R730" i="129"/>
  <c r="Q730" i="129"/>
  <c r="CA729" i="129"/>
  <c r="BZ729" i="129"/>
  <c r="BS729" i="129"/>
  <c r="BR729" i="129"/>
  <c r="BN729" i="129"/>
  <c r="AP729" i="129"/>
  <c r="AO729" i="129"/>
  <c r="AN729" i="129"/>
  <c r="AL729" i="129"/>
  <c r="AI729" i="129"/>
  <c r="CL729" i="129" s="1"/>
  <c r="AF729" i="129"/>
  <c r="AC729" i="129"/>
  <c r="S729" i="129"/>
  <c r="R729" i="129"/>
  <c r="Q729" i="129"/>
  <c r="CA728" i="129"/>
  <c r="BZ728" i="129"/>
  <c r="BS728" i="129"/>
  <c r="BR728" i="129"/>
  <c r="BN728" i="129"/>
  <c r="AP728" i="129"/>
  <c r="AO728" i="129"/>
  <c r="AN728" i="129"/>
  <c r="AL728" i="129"/>
  <c r="AI728" i="129"/>
  <c r="CL728" i="129" s="1"/>
  <c r="AF728" i="129"/>
  <c r="AC728" i="129"/>
  <c r="S728" i="129"/>
  <c r="R728" i="129"/>
  <c r="Q728" i="129"/>
  <c r="CA727" i="129"/>
  <c r="BZ727" i="129"/>
  <c r="BS727" i="129"/>
  <c r="BR727" i="129"/>
  <c r="BN727" i="129"/>
  <c r="AP727" i="129"/>
  <c r="AO727" i="129"/>
  <c r="AN727" i="129"/>
  <c r="AL727" i="129"/>
  <c r="AI727" i="129"/>
  <c r="CL727" i="129" s="1"/>
  <c r="AF727" i="129"/>
  <c r="AC727" i="129"/>
  <c r="S727" i="129"/>
  <c r="R727" i="129"/>
  <c r="Q727" i="129"/>
  <c r="CA726" i="129"/>
  <c r="BZ726" i="129"/>
  <c r="BS726" i="129"/>
  <c r="BR726" i="129"/>
  <c r="BN726" i="129"/>
  <c r="AP726" i="129"/>
  <c r="AO726" i="129"/>
  <c r="AN726" i="129"/>
  <c r="AL726" i="129"/>
  <c r="AI726" i="129"/>
  <c r="CL726" i="129" s="1"/>
  <c r="AF726" i="129"/>
  <c r="AC726" i="129"/>
  <c r="S726" i="129"/>
  <c r="R726" i="129"/>
  <c r="Q726" i="129"/>
  <c r="CA725" i="129"/>
  <c r="BZ725" i="129"/>
  <c r="BS725" i="129"/>
  <c r="BR725" i="129"/>
  <c r="BN725" i="129"/>
  <c r="AP725" i="129"/>
  <c r="AO725" i="129"/>
  <c r="AN725" i="129"/>
  <c r="AL725" i="129"/>
  <c r="AI725" i="129"/>
  <c r="CL725" i="129" s="1"/>
  <c r="AF725" i="129"/>
  <c r="AC725" i="129"/>
  <c r="S725" i="129"/>
  <c r="R725" i="129"/>
  <c r="Q725" i="129"/>
  <c r="CA724" i="129"/>
  <c r="BZ724" i="129"/>
  <c r="BS724" i="129"/>
  <c r="BR724" i="129"/>
  <c r="BN724" i="129"/>
  <c r="AP724" i="129"/>
  <c r="AO724" i="129"/>
  <c r="AN724" i="129"/>
  <c r="AL724" i="129"/>
  <c r="AI724" i="129"/>
  <c r="CL724" i="129" s="1"/>
  <c r="AF724" i="129"/>
  <c r="AC724" i="129"/>
  <c r="S724" i="129"/>
  <c r="R724" i="129"/>
  <c r="Q724" i="129"/>
  <c r="CA723" i="129"/>
  <c r="BZ723" i="129"/>
  <c r="BS723" i="129"/>
  <c r="BR723" i="129"/>
  <c r="BN723" i="129"/>
  <c r="AP723" i="129"/>
  <c r="AO723" i="129"/>
  <c r="AN723" i="129"/>
  <c r="AL723" i="129"/>
  <c r="AI723" i="129"/>
  <c r="CL723" i="129" s="1"/>
  <c r="AF723" i="129"/>
  <c r="AC723" i="129"/>
  <c r="S723" i="129"/>
  <c r="R723" i="129"/>
  <c r="Q723" i="129"/>
  <c r="CA722" i="129"/>
  <c r="BZ722" i="129"/>
  <c r="BS722" i="129"/>
  <c r="BR722" i="129"/>
  <c r="BN722" i="129"/>
  <c r="AP722" i="129"/>
  <c r="AO722" i="129"/>
  <c r="AN722" i="129"/>
  <c r="AL722" i="129"/>
  <c r="AI722" i="129"/>
  <c r="CL722" i="129" s="1"/>
  <c r="AF722" i="129"/>
  <c r="AC722" i="129"/>
  <c r="S722" i="129"/>
  <c r="R722" i="129"/>
  <c r="Q722" i="129"/>
  <c r="CA721" i="129"/>
  <c r="BZ721" i="129"/>
  <c r="BS721" i="129"/>
  <c r="BR721" i="129"/>
  <c r="BN721" i="129"/>
  <c r="AP721" i="129"/>
  <c r="AO721" i="129"/>
  <c r="AN721" i="129"/>
  <c r="AL721" i="129"/>
  <c r="AI721" i="129"/>
  <c r="CL721" i="129" s="1"/>
  <c r="AF721" i="129"/>
  <c r="AC721" i="129"/>
  <c r="S721" i="129"/>
  <c r="R721" i="129"/>
  <c r="Q721" i="129"/>
  <c r="CA720" i="129"/>
  <c r="BZ720" i="129"/>
  <c r="BS720" i="129"/>
  <c r="BR720" i="129"/>
  <c r="BN720" i="129"/>
  <c r="AP720" i="129"/>
  <c r="AO720" i="129"/>
  <c r="AN720" i="129"/>
  <c r="AL720" i="129"/>
  <c r="AI720" i="129"/>
  <c r="CL720" i="129" s="1"/>
  <c r="AF720" i="129"/>
  <c r="AC720" i="129"/>
  <c r="S720" i="129"/>
  <c r="R720" i="129"/>
  <c r="Q720" i="129"/>
  <c r="CA719" i="129"/>
  <c r="BZ719" i="129"/>
  <c r="BS719" i="129"/>
  <c r="BR719" i="129"/>
  <c r="BN719" i="129"/>
  <c r="AP719" i="129"/>
  <c r="AO719" i="129"/>
  <c r="AN719" i="129"/>
  <c r="AL719" i="129"/>
  <c r="AI719" i="129"/>
  <c r="CL719" i="129" s="1"/>
  <c r="AF719" i="129"/>
  <c r="AC719" i="129"/>
  <c r="S719" i="129"/>
  <c r="R719" i="129"/>
  <c r="Q719" i="129"/>
  <c r="CA718" i="129"/>
  <c r="BZ718" i="129"/>
  <c r="BS718" i="129"/>
  <c r="BR718" i="129"/>
  <c r="BN718" i="129"/>
  <c r="AP718" i="129"/>
  <c r="AO718" i="129"/>
  <c r="AN718" i="129"/>
  <c r="AL718" i="129"/>
  <c r="AI718" i="129"/>
  <c r="CL718" i="129" s="1"/>
  <c r="AF718" i="129"/>
  <c r="AC718" i="129"/>
  <c r="S718" i="129"/>
  <c r="R718" i="129"/>
  <c r="Q718" i="129"/>
  <c r="CA717" i="129"/>
  <c r="BZ717" i="129"/>
  <c r="BS717" i="129"/>
  <c r="BR717" i="129"/>
  <c r="BN717" i="129"/>
  <c r="AP717" i="129"/>
  <c r="AO717" i="129"/>
  <c r="AN717" i="129"/>
  <c r="AL717" i="129"/>
  <c r="AI717" i="129"/>
  <c r="CL717" i="129" s="1"/>
  <c r="AF717" i="129"/>
  <c r="AC717" i="129"/>
  <c r="S717" i="129"/>
  <c r="R717" i="129"/>
  <c r="Q717" i="129"/>
  <c r="CA716" i="129"/>
  <c r="BZ716" i="129"/>
  <c r="BS716" i="129"/>
  <c r="BR716" i="129"/>
  <c r="BN716" i="129"/>
  <c r="AP716" i="129"/>
  <c r="AO716" i="129"/>
  <c r="AN716" i="129"/>
  <c r="AL716" i="129"/>
  <c r="AI716" i="129"/>
  <c r="CL716" i="129" s="1"/>
  <c r="AF716" i="129"/>
  <c r="AC716" i="129"/>
  <c r="S716" i="129"/>
  <c r="R716" i="129"/>
  <c r="Q716" i="129"/>
  <c r="CA715" i="129"/>
  <c r="BZ715" i="129"/>
  <c r="BS715" i="129"/>
  <c r="BR715" i="129"/>
  <c r="BN715" i="129"/>
  <c r="AP715" i="129"/>
  <c r="AO715" i="129"/>
  <c r="AN715" i="129"/>
  <c r="AL715" i="129"/>
  <c r="AI715" i="129"/>
  <c r="CL715" i="129" s="1"/>
  <c r="AF715" i="129"/>
  <c r="AC715" i="129"/>
  <c r="S715" i="129"/>
  <c r="R715" i="129"/>
  <c r="Q715" i="129"/>
  <c r="CA714" i="129"/>
  <c r="BZ714" i="129"/>
  <c r="BS714" i="129"/>
  <c r="BR714" i="129"/>
  <c r="BN714" i="129"/>
  <c r="AP714" i="129"/>
  <c r="AO714" i="129"/>
  <c r="AN714" i="129"/>
  <c r="AL714" i="129"/>
  <c r="AI714" i="129"/>
  <c r="CL714" i="129" s="1"/>
  <c r="AF714" i="129"/>
  <c r="AC714" i="129"/>
  <c r="S714" i="129"/>
  <c r="R714" i="129"/>
  <c r="Q714" i="129"/>
  <c r="CA713" i="129"/>
  <c r="BZ713" i="129"/>
  <c r="BS713" i="129"/>
  <c r="BR713" i="129"/>
  <c r="BN713" i="129"/>
  <c r="AP713" i="129"/>
  <c r="AO713" i="129"/>
  <c r="AN713" i="129"/>
  <c r="AL713" i="129"/>
  <c r="AI713" i="129"/>
  <c r="CL713" i="129" s="1"/>
  <c r="AF713" i="129"/>
  <c r="AC713" i="129"/>
  <c r="S713" i="129"/>
  <c r="R713" i="129"/>
  <c r="Q713" i="129"/>
  <c r="CA712" i="129"/>
  <c r="BZ712" i="129"/>
  <c r="BS712" i="129"/>
  <c r="BR712" i="129"/>
  <c r="BN712" i="129"/>
  <c r="AP712" i="129"/>
  <c r="AO712" i="129"/>
  <c r="AN712" i="129"/>
  <c r="AL712" i="129"/>
  <c r="AI712" i="129"/>
  <c r="CL712" i="129" s="1"/>
  <c r="AF712" i="129"/>
  <c r="AC712" i="129"/>
  <c r="S712" i="129"/>
  <c r="R712" i="129"/>
  <c r="Q712" i="129"/>
  <c r="CA711" i="129"/>
  <c r="BZ711" i="129"/>
  <c r="BS711" i="129"/>
  <c r="BR711" i="129"/>
  <c r="BN711" i="129"/>
  <c r="AP711" i="129"/>
  <c r="AO711" i="129"/>
  <c r="AN711" i="129"/>
  <c r="AL711" i="129"/>
  <c r="AI711" i="129"/>
  <c r="CL711" i="129" s="1"/>
  <c r="AF711" i="129"/>
  <c r="AC711" i="129"/>
  <c r="S711" i="129"/>
  <c r="R711" i="129"/>
  <c r="Q711" i="129"/>
  <c r="CA710" i="129"/>
  <c r="BZ710" i="129"/>
  <c r="BS710" i="129"/>
  <c r="BR710" i="129"/>
  <c r="BN710" i="129"/>
  <c r="AP710" i="129"/>
  <c r="AO710" i="129"/>
  <c r="AN710" i="129"/>
  <c r="AL710" i="129"/>
  <c r="AI710" i="129"/>
  <c r="CL710" i="129" s="1"/>
  <c r="AF710" i="129"/>
  <c r="AC710" i="129"/>
  <c r="S710" i="129"/>
  <c r="R710" i="129"/>
  <c r="Q710" i="129"/>
  <c r="CA709" i="129"/>
  <c r="BZ709" i="129"/>
  <c r="BS709" i="129"/>
  <c r="BR709" i="129"/>
  <c r="BN709" i="129"/>
  <c r="AP709" i="129"/>
  <c r="AO709" i="129"/>
  <c r="AN709" i="129"/>
  <c r="AL709" i="129"/>
  <c r="AI709" i="129"/>
  <c r="CL709" i="129" s="1"/>
  <c r="AF709" i="129"/>
  <c r="AC709" i="129"/>
  <c r="S709" i="129"/>
  <c r="R709" i="129"/>
  <c r="Q709" i="129"/>
  <c r="CA708" i="129"/>
  <c r="BZ708" i="129"/>
  <c r="BS708" i="129"/>
  <c r="BR708" i="129"/>
  <c r="BN708" i="129"/>
  <c r="AP708" i="129"/>
  <c r="AO708" i="129"/>
  <c r="AN708" i="129"/>
  <c r="AL708" i="129"/>
  <c r="AI708" i="129"/>
  <c r="CL708" i="129" s="1"/>
  <c r="AF708" i="129"/>
  <c r="AC708" i="129"/>
  <c r="S708" i="129"/>
  <c r="R708" i="129"/>
  <c r="Q708" i="129"/>
  <c r="CA707" i="129"/>
  <c r="BZ707" i="129"/>
  <c r="BS707" i="129"/>
  <c r="BR707" i="129"/>
  <c r="BN707" i="129"/>
  <c r="AP707" i="129"/>
  <c r="AO707" i="129"/>
  <c r="AN707" i="129"/>
  <c r="AL707" i="129"/>
  <c r="AI707" i="129"/>
  <c r="CL707" i="129" s="1"/>
  <c r="AF707" i="129"/>
  <c r="AC707" i="129"/>
  <c r="S707" i="129"/>
  <c r="R707" i="129"/>
  <c r="Q707" i="129"/>
  <c r="CA706" i="129"/>
  <c r="BZ706" i="129"/>
  <c r="BS706" i="129"/>
  <c r="BR706" i="129"/>
  <c r="BN706" i="129"/>
  <c r="AP706" i="129"/>
  <c r="AO706" i="129"/>
  <c r="AN706" i="129"/>
  <c r="AL706" i="129"/>
  <c r="AI706" i="129"/>
  <c r="CL706" i="129" s="1"/>
  <c r="AF706" i="129"/>
  <c r="AC706" i="129"/>
  <c r="S706" i="129"/>
  <c r="R706" i="129"/>
  <c r="Q706" i="129"/>
  <c r="CA705" i="129"/>
  <c r="BZ705" i="129"/>
  <c r="BS705" i="129"/>
  <c r="BR705" i="129"/>
  <c r="BN705" i="129"/>
  <c r="AP705" i="129"/>
  <c r="AO705" i="129"/>
  <c r="AN705" i="129"/>
  <c r="AL705" i="129"/>
  <c r="AI705" i="129"/>
  <c r="CL705" i="129" s="1"/>
  <c r="AF705" i="129"/>
  <c r="AC705" i="129"/>
  <c r="S705" i="129"/>
  <c r="R705" i="129"/>
  <c r="Q705" i="129"/>
  <c r="CA704" i="129"/>
  <c r="BZ704" i="129"/>
  <c r="BS704" i="129"/>
  <c r="BR704" i="129"/>
  <c r="BN704" i="129"/>
  <c r="AP704" i="129"/>
  <c r="AO704" i="129"/>
  <c r="AN704" i="129"/>
  <c r="AL704" i="129"/>
  <c r="AI704" i="129"/>
  <c r="CL704" i="129" s="1"/>
  <c r="AF704" i="129"/>
  <c r="AC704" i="129"/>
  <c r="S704" i="129"/>
  <c r="R704" i="129"/>
  <c r="Q704" i="129"/>
  <c r="CA703" i="129"/>
  <c r="BZ703" i="129"/>
  <c r="BS703" i="129"/>
  <c r="BR703" i="129"/>
  <c r="BN703" i="129"/>
  <c r="AP703" i="129"/>
  <c r="AO703" i="129"/>
  <c r="AN703" i="129"/>
  <c r="AL703" i="129"/>
  <c r="AI703" i="129"/>
  <c r="CL703" i="129" s="1"/>
  <c r="AF703" i="129"/>
  <c r="AC703" i="129"/>
  <c r="S703" i="129"/>
  <c r="R703" i="129"/>
  <c r="Q703" i="129"/>
  <c r="CA702" i="129"/>
  <c r="BZ702" i="129"/>
  <c r="BS702" i="129"/>
  <c r="BR702" i="129"/>
  <c r="BN702" i="129"/>
  <c r="AP702" i="129"/>
  <c r="AO702" i="129"/>
  <c r="AN702" i="129"/>
  <c r="AL702" i="129"/>
  <c r="AI702" i="129"/>
  <c r="CL702" i="129" s="1"/>
  <c r="AF702" i="129"/>
  <c r="AC702" i="129"/>
  <c r="S702" i="129"/>
  <c r="R702" i="129"/>
  <c r="Q702" i="129"/>
  <c r="CA701" i="129"/>
  <c r="BZ701" i="129"/>
  <c r="BS701" i="129"/>
  <c r="BR701" i="129"/>
  <c r="BN701" i="129"/>
  <c r="AP701" i="129"/>
  <c r="AO701" i="129"/>
  <c r="AN701" i="129"/>
  <c r="AL701" i="129"/>
  <c r="AI701" i="129"/>
  <c r="CL701" i="129" s="1"/>
  <c r="AF701" i="129"/>
  <c r="AC701" i="129"/>
  <c r="S701" i="129"/>
  <c r="R701" i="129"/>
  <c r="Q701" i="129"/>
  <c r="CA700" i="129"/>
  <c r="BZ700" i="129"/>
  <c r="BS700" i="129"/>
  <c r="BR700" i="129"/>
  <c r="BN700" i="129"/>
  <c r="AP700" i="129"/>
  <c r="AO700" i="129"/>
  <c r="AN700" i="129"/>
  <c r="AL700" i="129"/>
  <c r="AI700" i="129"/>
  <c r="CL700" i="129" s="1"/>
  <c r="AF700" i="129"/>
  <c r="AC700" i="129"/>
  <c r="S700" i="129"/>
  <c r="R700" i="129"/>
  <c r="Q700" i="129"/>
  <c r="CA699" i="129"/>
  <c r="BZ699" i="129"/>
  <c r="BS699" i="129"/>
  <c r="BR699" i="129"/>
  <c r="BN699" i="129"/>
  <c r="AP699" i="129"/>
  <c r="AO699" i="129"/>
  <c r="AN699" i="129"/>
  <c r="AL699" i="129"/>
  <c r="AI699" i="129"/>
  <c r="CL699" i="129" s="1"/>
  <c r="AF699" i="129"/>
  <c r="AC699" i="129"/>
  <c r="S699" i="129"/>
  <c r="R699" i="129"/>
  <c r="Q699" i="129"/>
  <c r="CA698" i="129"/>
  <c r="BZ698" i="129"/>
  <c r="BS698" i="129"/>
  <c r="BR698" i="129"/>
  <c r="BN698" i="129"/>
  <c r="AP698" i="129"/>
  <c r="AO698" i="129"/>
  <c r="AN698" i="129"/>
  <c r="AL698" i="129"/>
  <c r="AI698" i="129"/>
  <c r="CL698" i="129" s="1"/>
  <c r="AF698" i="129"/>
  <c r="AC698" i="129"/>
  <c r="S698" i="129"/>
  <c r="R698" i="129"/>
  <c r="Q698" i="129"/>
  <c r="CA697" i="129"/>
  <c r="BZ697" i="129"/>
  <c r="BS697" i="129"/>
  <c r="BR697" i="129"/>
  <c r="BN697" i="129"/>
  <c r="AP697" i="129"/>
  <c r="AO697" i="129"/>
  <c r="AN697" i="129"/>
  <c r="AL697" i="129"/>
  <c r="AI697" i="129"/>
  <c r="CL697" i="129" s="1"/>
  <c r="AF697" i="129"/>
  <c r="AC697" i="129"/>
  <c r="S697" i="129"/>
  <c r="R697" i="129"/>
  <c r="Q697" i="129"/>
  <c r="CA696" i="129"/>
  <c r="BZ696" i="129"/>
  <c r="BS696" i="129"/>
  <c r="BR696" i="129"/>
  <c r="BN696" i="129"/>
  <c r="AP696" i="129"/>
  <c r="AO696" i="129"/>
  <c r="AN696" i="129"/>
  <c r="AL696" i="129"/>
  <c r="AI696" i="129"/>
  <c r="CL696" i="129" s="1"/>
  <c r="AF696" i="129"/>
  <c r="AC696" i="129"/>
  <c r="S696" i="129"/>
  <c r="R696" i="129"/>
  <c r="Q696" i="129"/>
  <c r="CA695" i="129"/>
  <c r="BZ695" i="129"/>
  <c r="BS695" i="129"/>
  <c r="BR695" i="129"/>
  <c r="BN695" i="129"/>
  <c r="AP695" i="129"/>
  <c r="AO695" i="129"/>
  <c r="AN695" i="129"/>
  <c r="AL695" i="129"/>
  <c r="AI695" i="129"/>
  <c r="CL695" i="129" s="1"/>
  <c r="AF695" i="129"/>
  <c r="AC695" i="129"/>
  <c r="S695" i="129"/>
  <c r="R695" i="129"/>
  <c r="Q695" i="129"/>
  <c r="CA694" i="129"/>
  <c r="BZ694" i="129"/>
  <c r="BS694" i="129"/>
  <c r="BR694" i="129"/>
  <c r="BN694" i="129"/>
  <c r="AP694" i="129"/>
  <c r="AO694" i="129"/>
  <c r="AN694" i="129"/>
  <c r="AL694" i="129"/>
  <c r="AI694" i="129"/>
  <c r="CL694" i="129" s="1"/>
  <c r="AF694" i="129"/>
  <c r="AC694" i="129"/>
  <c r="S694" i="129"/>
  <c r="R694" i="129"/>
  <c r="Q694" i="129"/>
  <c r="CA693" i="129"/>
  <c r="BZ693" i="129"/>
  <c r="BS693" i="129"/>
  <c r="BR693" i="129"/>
  <c r="BN693" i="129"/>
  <c r="AP693" i="129"/>
  <c r="AO693" i="129"/>
  <c r="AN693" i="129"/>
  <c r="AL693" i="129"/>
  <c r="AI693" i="129"/>
  <c r="CL693" i="129" s="1"/>
  <c r="AF693" i="129"/>
  <c r="AC693" i="129"/>
  <c r="S693" i="129"/>
  <c r="R693" i="129"/>
  <c r="Q693" i="129"/>
  <c r="CA692" i="129"/>
  <c r="BZ692" i="129"/>
  <c r="BS692" i="129"/>
  <c r="BR692" i="129"/>
  <c r="BN692" i="129"/>
  <c r="AP692" i="129"/>
  <c r="AO692" i="129"/>
  <c r="AN692" i="129"/>
  <c r="AL692" i="129"/>
  <c r="AI692" i="129"/>
  <c r="CL692" i="129" s="1"/>
  <c r="AF692" i="129"/>
  <c r="AC692" i="129"/>
  <c r="S692" i="129"/>
  <c r="R692" i="129"/>
  <c r="Q692" i="129"/>
  <c r="CA691" i="129"/>
  <c r="BZ691" i="129"/>
  <c r="BS691" i="129"/>
  <c r="BR691" i="129"/>
  <c r="BN691" i="129"/>
  <c r="AP691" i="129"/>
  <c r="AO691" i="129"/>
  <c r="AN691" i="129"/>
  <c r="AL691" i="129"/>
  <c r="AI691" i="129"/>
  <c r="CL691" i="129" s="1"/>
  <c r="AF691" i="129"/>
  <c r="AC691" i="129"/>
  <c r="S691" i="129"/>
  <c r="R691" i="129"/>
  <c r="Q691" i="129"/>
  <c r="CA690" i="129"/>
  <c r="BZ690" i="129"/>
  <c r="BS690" i="129"/>
  <c r="BR690" i="129"/>
  <c r="BN690" i="129"/>
  <c r="AP690" i="129"/>
  <c r="AO690" i="129"/>
  <c r="AN690" i="129"/>
  <c r="AL690" i="129"/>
  <c r="AI690" i="129"/>
  <c r="CL690" i="129" s="1"/>
  <c r="AF690" i="129"/>
  <c r="AC690" i="129"/>
  <c r="S690" i="129"/>
  <c r="R690" i="129"/>
  <c r="Q690" i="129"/>
  <c r="CA689" i="129"/>
  <c r="BZ689" i="129"/>
  <c r="BS689" i="129"/>
  <c r="BR689" i="129"/>
  <c r="BN689" i="129"/>
  <c r="AP689" i="129"/>
  <c r="AO689" i="129"/>
  <c r="AN689" i="129"/>
  <c r="AL689" i="129"/>
  <c r="AI689" i="129"/>
  <c r="CL689" i="129" s="1"/>
  <c r="AF689" i="129"/>
  <c r="AC689" i="129"/>
  <c r="S689" i="129"/>
  <c r="R689" i="129"/>
  <c r="Q689" i="129"/>
  <c r="CA688" i="129"/>
  <c r="BZ688" i="129"/>
  <c r="BS688" i="129"/>
  <c r="BR688" i="129"/>
  <c r="BN688" i="129"/>
  <c r="AP688" i="129"/>
  <c r="AO688" i="129"/>
  <c r="AN688" i="129"/>
  <c r="AL688" i="129"/>
  <c r="AI688" i="129"/>
  <c r="CL688" i="129" s="1"/>
  <c r="AF688" i="129"/>
  <c r="AC688" i="129"/>
  <c r="S688" i="129"/>
  <c r="R688" i="129"/>
  <c r="Q688" i="129"/>
  <c r="CA687" i="129"/>
  <c r="BZ687" i="129"/>
  <c r="BS687" i="129"/>
  <c r="BR687" i="129"/>
  <c r="BN687" i="129"/>
  <c r="AP687" i="129"/>
  <c r="AO687" i="129"/>
  <c r="AN687" i="129"/>
  <c r="AL687" i="129"/>
  <c r="AI687" i="129"/>
  <c r="CL687" i="129" s="1"/>
  <c r="AF687" i="129"/>
  <c r="AC687" i="129"/>
  <c r="S687" i="129"/>
  <c r="R687" i="129"/>
  <c r="Q687" i="129"/>
  <c r="CA686" i="129"/>
  <c r="BZ686" i="129"/>
  <c r="BS686" i="129"/>
  <c r="BR686" i="129"/>
  <c r="BN686" i="129"/>
  <c r="AP686" i="129"/>
  <c r="AO686" i="129"/>
  <c r="AN686" i="129"/>
  <c r="AL686" i="129"/>
  <c r="AI686" i="129"/>
  <c r="CL686" i="129" s="1"/>
  <c r="AF686" i="129"/>
  <c r="AC686" i="129"/>
  <c r="S686" i="129"/>
  <c r="R686" i="129"/>
  <c r="Q686" i="129"/>
  <c r="CA685" i="129"/>
  <c r="BZ685" i="129"/>
  <c r="BS685" i="129"/>
  <c r="BR685" i="129"/>
  <c r="BN685" i="129"/>
  <c r="AP685" i="129"/>
  <c r="AO685" i="129"/>
  <c r="AN685" i="129"/>
  <c r="AL685" i="129"/>
  <c r="AI685" i="129"/>
  <c r="CL685" i="129" s="1"/>
  <c r="AF685" i="129"/>
  <c r="AC685" i="129"/>
  <c r="S685" i="129"/>
  <c r="R685" i="129"/>
  <c r="Q685" i="129"/>
  <c r="CA684" i="129"/>
  <c r="BZ684" i="129"/>
  <c r="BS684" i="129"/>
  <c r="BR684" i="129"/>
  <c r="BN684" i="129"/>
  <c r="AP684" i="129"/>
  <c r="AO684" i="129"/>
  <c r="AN684" i="129"/>
  <c r="AL684" i="129"/>
  <c r="AI684" i="129"/>
  <c r="CL684" i="129" s="1"/>
  <c r="AF684" i="129"/>
  <c r="AC684" i="129"/>
  <c r="S684" i="129"/>
  <c r="R684" i="129"/>
  <c r="Q684" i="129"/>
  <c r="CA683" i="129"/>
  <c r="BZ683" i="129"/>
  <c r="BS683" i="129"/>
  <c r="BR683" i="129"/>
  <c r="BN683" i="129"/>
  <c r="AP683" i="129"/>
  <c r="AO683" i="129"/>
  <c r="AN683" i="129"/>
  <c r="AL683" i="129"/>
  <c r="AI683" i="129"/>
  <c r="CL683" i="129" s="1"/>
  <c r="AF683" i="129"/>
  <c r="AC683" i="129"/>
  <c r="S683" i="129"/>
  <c r="R683" i="129"/>
  <c r="Q683" i="129"/>
  <c r="CA682" i="129"/>
  <c r="BZ682" i="129"/>
  <c r="BS682" i="129"/>
  <c r="BR682" i="129"/>
  <c r="BN682" i="129"/>
  <c r="AP682" i="129"/>
  <c r="AO682" i="129"/>
  <c r="AN682" i="129"/>
  <c r="AL682" i="129"/>
  <c r="AI682" i="129"/>
  <c r="CL682" i="129" s="1"/>
  <c r="AF682" i="129"/>
  <c r="AC682" i="129"/>
  <c r="S682" i="129"/>
  <c r="R682" i="129"/>
  <c r="Q682" i="129"/>
  <c r="CA681" i="129"/>
  <c r="BZ681" i="129"/>
  <c r="BS681" i="129"/>
  <c r="BR681" i="129"/>
  <c r="BN681" i="129"/>
  <c r="AP681" i="129"/>
  <c r="AO681" i="129"/>
  <c r="AN681" i="129"/>
  <c r="AL681" i="129"/>
  <c r="AI681" i="129"/>
  <c r="CL681" i="129" s="1"/>
  <c r="AF681" i="129"/>
  <c r="AC681" i="129"/>
  <c r="S681" i="129"/>
  <c r="R681" i="129"/>
  <c r="Q681" i="129"/>
  <c r="CA680" i="129"/>
  <c r="BZ680" i="129"/>
  <c r="BS680" i="129"/>
  <c r="BR680" i="129"/>
  <c r="BN680" i="129"/>
  <c r="AP680" i="129"/>
  <c r="AO680" i="129"/>
  <c r="AN680" i="129"/>
  <c r="AL680" i="129"/>
  <c r="AI680" i="129"/>
  <c r="CL680" i="129" s="1"/>
  <c r="AF680" i="129"/>
  <c r="AC680" i="129"/>
  <c r="S680" i="129"/>
  <c r="R680" i="129"/>
  <c r="Q680" i="129"/>
  <c r="CA679" i="129"/>
  <c r="BZ679" i="129"/>
  <c r="BS679" i="129"/>
  <c r="BR679" i="129"/>
  <c r="BN679" i="129"/>
  <c r="AP679" i="129"/>
  <c r="AO679" i="129"/>
  <c r="AN679" i="129"/>
  <c r="AL679" i="129"/>
  <c r="AI679" i="129"/>
  <c r="CL679" i="129" s="1"/>
  <c r="AF679" i="129"/>
  <c r="AC679" i="129"/>
  <c r="S679" i="129"/>
  <c r="R679" i="129"/>
  <c r="Q679" i="129"/>
  <c r="CA678" i="129"/>
  <c r="BZ678" i="129"/>
  <c r="BS678" i="129"/>
  <c r="BR678" i="129"/>
  <c r="BN678" i="129"/>
  <c r="AP678" i="129"/>
  <c r="AO678" i="129"/>
  <c r="AN678" i="129"/>
  <c r="AL678" i="129"/>
  <c r="AI678" i="129"/>
  <c r="CL678" i="129" s="1"/>
  <c r="AF678" i="129"/>
  <c r="AC678" i="129"/>
  <c r="S678" i="129"/>
  <c r="R678" i="129"/>
  <c r="Q678" i="129"/>
  <c r="CA677" i="129"/>
  <c r="BZ677" i="129"/>
  <c r="BS677" i="129"/>
  <c r="BR677" i="129"/>
  <c r="BN677" i="129"/>
  <c r="AP677" i="129"/>
  <c r="AO677" i="129"/>
  <c r="AN677" i="129"/>
  <c r="AL677" i="129"/>
  <c r="AI677" i="129"/>
  <c r="CL677" i="129" s="1"/>
  <c r="AF677" i="129"/>
  <c r="AC677" i="129"/>
  <c r="S677" i="129"/>
  <c r="R677" i="129"/>
  <c r="Q677" i="129"/>
  <c r="CA676" i="129"/>
  <c r="BZ676" i="129"/>
  <c r="BS676" i="129"/>
  <c r="BR676" i="129"/>
  <c r="BN676" i="129"/>
  <c r="AP676" i="129"/>
  <c r="AO676" i="129"/>
  <c r="AN676" i="129"/>
  <c r="AL676" i="129"/>
  <c r="AI676" i="129"/>
  <c r="CL676" i="129" s="1"/>
  <c r="AF676" i="129"/>
  <c r="AC676" i="129"/>
  <c r="S676" i="129"/>
  <c r="R676" i="129"/>
  <c r="Q676" i="129"/>
  <c r="CA675" i="129"/>
  <c r="BZ675" i="129"/>
  <c r="BS675" i="129"/>
  <c r="BR675" i="129"/>
  <c r="BN675" i="129"/>
  <c r="AP675" i="129"/>
  <c r="AO675" i="129"/>
  <c r="AN675" i="129"/>
  <c r="AL675" i="129"/>
  <c r="AI675" i="129"/>
  <c r="CL675" i="129" s="1"/>
  <c r="AF675" i="129"/>
  <c r="AC675" i="129"/>
  <c r="S675" i="129"/>
  <c r="R675" i="129"/>
  <c r="Q675" i="129"/>
  <c r="CA674" i="129"/>
  <c r="BZ674" i="129"/>
  <c r="BS674" i="129"/>
  <c r="BR674" i="129"/>
  <c r="BN674" i="129"/>
  <c r="AP674" i="129"/>
  <c r="AO674" i="129"/>
  <c r="AN674" i="129"/>
  <c r="AL674" i="129"/>
  <c r="AI674" i="129"/>
  <c r="CL674" i="129" s="1"/>
  <c r="AF674" i="129"/>
  <c r="AC674" i="129"/>
  <c r="S674" i="129"/>
  <c r="R674" i="129"/>
  <c r="Q674" i="129"/>
  <c r="CA673" i="129"/>
  <c r="BZ673" i="129"/>
  <c r="BS673" i="129"/>
  <c r="BR673" i="129"/>
  <c r="BN673" i="129"/>
  <c r="AP673" i="129"/>
  <c r="AO673" i="129"/>
  <c r="AN673" i="129"/>
  <c r="AL673" i="129"/>
  <c r="AI673" i="129"/>
  <c r="CL673" i="129" s="1"/>
  <c r="AF673" i="129"/>
  <c r="AC673" i="129"/>
  <c r="S673" i="129"/>
  <c r="R673" i="129"/>
  <c r="Q673" i="129"/>
  <c r="CA672" i="129"/>
  <c r="BZ672" i="129"/>
  <c r="BS672" i="129"/>
  <c r="BR672" i="129"/>
  <c r="BN672" i="129"/>
  <c r="AP672" i="129"/>
  <c r="AO672" i="129"/>
  <c r="AN672" i="129"/>
  <c r="AL672" i="129"/>
  <c r="AI672" i="129"/>
  <c r="CL672" i="129" s="1"/>
  <c r="AF672" i="129"/>
  <c r="AC672" i="129"/>
  <c r="S672" i="129"/>
  <c r="R672" i="129"/>
  <c r="Q672" i="129"/>
  <c r="CA671" i="129"/>
  <c r="BZ671" i="129"/>
  <c r="BS671" i="129"/>
  <c r="BR671" i="129"/>
  <c r="BN671" i="129"/>
  <c r="AP671" i="129"/>
  <c r="AO671" i="129"/>
  <c r="AN671" i="129"/>
  <c r="AL671" i="129"/>
  <c r="AI671" i="129"/>
  <c r="CL671" i="129" s="1"/>
  <c r="AF671" i="129"/>
  <c r="AC671" i="129"/>
  <c r="S671" i="129"/>
  <c r="R671" i="129"/>
  <c r="Q671" i="129"/>
  <c r="CA670" i="129"/>
  <c r="BZ670" i="129"/>
  <c r="BS670" i="129"/>
  <c r="BR670" i="129"/>
  <c r="BN670" i="129"/>
  <c r="AP670" i="129"/>
  <c r="AO670" i="129"/>
  <c r="AN670" i="129"/>
  <c r="AL670" i="129"/>
  <c r="AI670" i="129"/>
  <c r="CL670" i="129" s="1"/>
  <c r="AF670" i="129"/>
  <c r="AC670" i="129"/>
  <c r="S670" i="129"/>
  <c r="R670" i="129"/>
  <c r="Q670" i="129"/>
  <c r="CA669" i="129"/>
  <c r="BZ669" i="129"/>
  <c r="BS669" i="129"/>
  <c r="BR669" i="129"/>
  <c r="BN669" i="129"/>
  <c r="AP669" i="129"/>
  <c r="AO669" i="129"/>
  <c r="AN669" i="129"/>
  <c r="AL669" i="129"/>
  <c r="AI669" i="129"/>
  <c r="CL669" i="129" s="1"/>
  <c r="AF669" i="129"/>
  <c r="AC669" i="129"/>
  <c r="S669" i="129"/>
  <c r="R669" i="129"/>
  <c r="Q669" i="129"/>
  <c r="CA668" i="129"/>
  <c r="BZ668" i="129"/>
  <c r="BS668" i="129"/>
  <c r="BR668" i="129"/>
  <c r="BN668" i="129"/>
  <c r="AP668" i="129"/>
  <c r="AO668" i="129"/>
  <c r="AN668" i="129"/>
  <c r="AL668" i="129"/>
  <c r="AI668" i="129"/>
  <c r="CL668" i="129" s="1"/>
  <c r="AF668" i="129"/>
  <c r="AC668" i="129"/>
  <c r="S668" i="129"/>
  <c r="R668" i="129"/>
  <c r="Q668" i="129"/>
  <c r="CA667" i="129"/>
  <c r="BZ667" i="129"/>
  <c r="BS667" i="129"/>
  <c r="BR667" i="129"/>
  <c r="BN667" i="129"/>
  <c r="AP667" i="129"/>
  <c r="AO667" i="129"/>
  <c r="AN667" i="129"/>
  <c r="AL667" i="129"/>
  <c r="AI667" i="129"/>
  <c r="CL667" i="129" s="1"/>
  <c r="AF667" i="129"/>
  <c r="AC667" i="129"/>
  <c r="S667" i="129"/>
  <c r="R667" i="129"/>
  <c r="Q667" i="129"/>
  <c r="CA666" i="129"/>
  <c r="BZ666" i="129"/>
  <c r="BS666" i="129"/>
  <c r="BR666" i="129"/>
  <c r="BN666" i="129"/>
  <c r="AP666" i="129"/>
  <c r="AO666" i="129"/>
  <c r="AN666" i="129"/>
  <c r="AL666" i="129"/>
  <c r="AI666" i="129"/>
  <c r="CL666" i="129" s="1"/>
  <c r="AF666" i="129"/>
  <c r="AC666" i="129"/>
  <c r="S666" i="129"/>
  <c r="R666" i="129"/>
  <c r="Q666" i="129"/>
  <c r="CA665" i="129"/>
  <c r="BZ665" i="129"/>
  <c r="BS665" i="129"/>
  <c r="BR665" i="129"/>
  <c r="BN665" i="129"/>
  <c r="AP665" i="129"/>
  <c r="AO665" i="129"/>
  <c r="AN665" i="129"/>
  <c r="AL665" i="129"/>
  <c r="AI665" i="129"/>
  <c r="CL665" i="129" s="1"/>
  <c r="AF665" i="129"/>
  <c r="AC665" i="129"/>
  <c r="S665" i="129"/>
  <c r="R665" i="129"/>
  <c r="Q665" i="129"/>
  <c r="CA664" i="129"/>
  <c r="BZ664" i="129"/>
  <c r="BS664" i="129"/>
  <c r="BR664" i="129"/>
  <c r="BN664" i="129"/>
  <c r="AP664" i="129"/>
  <c r="AO664" i="129"/>
  <c r="AN664" i="129"/>
  <c r="AL664" i="129"/>
  <c r="AI664" i="129"/>
  <c r="CL664" i="129" s="1"/>
  <c r="AF664" i="129"/>
  <c r="AC664" i="129"/>
  <c r="S664" i="129"/>
  <c r="R664" i="129"/>
  <c r="Q664" i="129"/>
  <c r="CA663" i="129"/>
  <c r="BZ663" i="129"/>
  <c r="BS663" i="129"/>
  <c r="BR663" i="129"/>
  <c r="BN663" i="129"/>
  <c r="AP663" i="129"/>
  <c r="AO663" i="129"/>
  <c r="AN663" i="129"/>
  <c r="AL663" i="129"/>
  <c r="AI663" i="129"/>
  <c r="CL663" i="129" s="1"/>
  <c r="AF663" i="129"/>
  <c r="AC663" i="129"/>
  <c r="S663" i="129"/>
  <c r="R663" i="129"/>
  <c r="Q663" i="129"/>
  <c r="CA662" i="129"/>
  <c r="BZ662" i="129"/>
  <c r="BS662" i="129"/>
  <c r="BR662" i="129"/>
  <c r="BN662" i="129"/>
  <c r="AP662" i="129"/>
  <c r="AO662" i="129"/>
  <c r="AN662" i="129"/>
  <c r="AL662" i="129"/>
  <c r="AI662" i="129"/>
  <c r="CL662" i="129" s="1"/>
  <c r="AF662" i="129"/>
  <c r="AC662" i="129"/>
  <c r="S662" i="129"/>
  <c r="R662" i="129"/>
  <c r="Q662" i="129"/>
  <c r="CA661" i="129"/>
  <c r="BZ661" i="129"/>
  <c r="BS661" i="129"/>
  <c r="BR661" i="129"/>
  <c r="BN661" i="129"/>
  <c r="AP661" i="129"/>
  <c r="AO661" i="129"/>
  <c r="AN661" i="129"/>
  <c r="AL661" i="129"/>
  <c r="AI661" i="129"/>
  <c r="CL661" i="129" s="1"/>
  <c r="AF661" i="129"/>
  <c r="AC661" i="129"/>
  <c r="S661" i="129"/>
  <c r="R661" i="129"/>
  <c r="Q661" i="129"/>
  <c r="CA660" i="129"/>
  <c r="BZ660" i="129"/>
  <c r="BS660" i="129"/>
  <c r="BR660" i="129"/>
  <c r="BN660" i="129"/>
  <c r="AP660" i="129"/>
  <c r="AO660" i="129"/>
  <c r="AN660" i="129"/>
  <c r="AL660" i="129"/>
  <c r="AI660" i="129"/>
  <c r="CL660" i="129" s="1"/>
  <c r="AF660" i="129"/>
  <c r="AC660" i="129"/>
  <c r="S660" i="129"/>
  <c r="R660" i="129"/>
  <c r="Q660" i="129"/>
  <c r="CA659" i="129"/>
  <c r="BZ659" i="129"/>
  <c r="BS659" i="129"/>
  <c r="BR659" i="129"/>
  <c r="BN659" i="129"/>
  <c r="AP659" i="129"/>
  <c r="AO659" i="129"/>
  <c r="AN659" i="129"/>
  <c r="AL659" i="129"/>
  <c r="AI659" i="129"/>
  <c r="CL659" i="129" s="1"/>
  <c r="AF659" i="129"/>
  <c r="AC659" i="129"/>
  <c r="S659" i="129"/>
  <c r="R659" i="129"/>
  <c r="Q659" i="129"/>
  <c r="CA658" i="129"/>
  <c r="BZ658" i="129"/>
  <c r="BS658" i="129"/>
  <c r="BR658" i="129"/>
  <c r="BN658" i="129"/>
  <c r="AP658" i="129"/>
  <c r="AO658" i="129"/>
  <c r="AN658" i="129"/>
  <c r="AL658" i="129"/>
  <c r="AI658" i="129"/>
  <c r="CL658" i="129" s="1"/>
  <c r="AF658" i="129"/>
  <c r="AC658" i="129"/>
  <c r="S658" i="129"/>
  <c r="R658" i="129"/>
  <c r="Q658" i="129"/>
  <c r="CA657" i="129"/>
  <c r="BZ657" i="129"/>
  <c r="BS657" i="129"/>
  <c r="BR657" i="129"/>
  <c r="BN657" i="129"/>
  <c r="AP657" i="129"/>
  <c r="AO657" i="129"/>
  <c r="AN657" i="129"/>
  <c r="AL657" i="129"/>
  <c r="AI657" i="129"/>
  <c r="CL657" i="129" s="1"/>
  <c r="AF657" i="129"/>
  <c r="AC657" i="129"/>
  <c r="S657" i="129"/>
  <c r="R657" i="129"/>
  <c r="Q657" i="129"/>
  <c r="CA656" i="129"/>
  <c r="BZ656" i="129"/>
  <c r="BS656" i="129"/>
  <c r="BR656" i="129"/>
  <c r="BN656" i="129"/>
  <c r="AP656" i="129"/>
  <c r="AO656" i="129"/>
  <c r="AN656" i="129"/>
  <c r="AL656" i="129"/>
  <c r="AI656" i="129"/>
  <c r="CL656" i="129" s="1"/>
  <c r="AF656" i="129"/>
  <c r="AC656" i="129"/>
  <c r="S656" i="129"/>
  <c r="R656" i="129"/>
  <c r="Q656" i="129"/>
  <c r="CA655" i="129"/>
  <c r="BZ655" i="129"/>
  <c r="BS655" i="129"/>
  <c r="BR655" i="129"/>
  <c r="BN655" i="129"/>
  <c r="AP655" i="129"/>
  <c r="AO655" i="129"/>
  <c r="AN655" i="129"/>
  <c r="AL655" i="129"/>
  <c r="AI655" i="129"/>
  <c r="CL655" i="129" s="1"/>
  <c r="AF655" i="129"/>
  <c r="AC655" i="129"/>
  <c r="S655" i="129"/>
  <c r="R655" i="129"/>
  <c r="Q655" i="129"/>
  <c r="CA654" i="129"/>
  <c r="BZ654" i="129"/>
  <c r="BS654" i="129"/>
  <c r="BR654" i="129"/>
  <c r="BN654" i="129"/>
  <c r="AP654" i="129"/>
  <c r="AO654" i="129"/>
  <c r="AN654" i="129"/>
  <c r="AL654" i="129"/>
  <c r="AI654" i="129"/>
  <c r="CL654" i="129" s="1"/>
  <c r="AF654" i="129"/>
  <c r="AC654" i="129"/>
  <c r="S654" i="129"/>
  <c r="R654" i="129"/>
  <c r="Q654" i="129"/>
  <c r="CA653" i="129"/>
  <c r="BZ653" i="129"/>
  <c r="BS653" i="129"/>
  <c r="BR653" i="129"/>
  <c r="BN653" i="129"/>
  <c r="AP653" i="129"/>
  <c r="AO653" i="129"/>
  <c r="AN653" i="129"/>
  <c r="AL653" i="129"/>
  <c r="AI653" i="129"/>
  <c r="CL653" i="129" s="1"/>
  <c r="AF653" i="129"/>
  <c r="AC653" i="129"/>
  <c r="S653" i="129"/>
  <c r="R653" i="129"/>
  <c r="Q653" i="129"/>
  <c r="CA652" i="129"/>
  <c r="BZ652" i="129"/>
  <c r="BS652" i="129"/>
  <c r="BR652" i="129"/>
  <c r="BN652" i="129"/>
  <c r="AP652" i="129"/>
  <c r="AO652" i="129"/>
  <c r="AN652" i="129"/>
  <c r="AL652" i="129"/>
  <c r="AI652" i="129"/>
  <c r="CL652" i="129" s="1"/>
  <c r="AF652" i="129"/>
  <c r="AC652" i="129"/>
  <c r="S652" i="129"/>
  <c r="R652" i="129"/>
  <c r="Q652" i="129"/>
  <c r="CA651" i="129"/>
  <c r="BZ651" i="129"/>
  <c r="BS651" i="129"/>
  <c r="BR651" i="129"/>
  <c r="BN651" i="129"/>
  <c r="AP651" i="129"/>
  <c r="AO651" i="129"/>
  <c r="AN651" i="129"/>
  <c r="AL651" i="129"/>
  <c r="AI651" i="129"/>
  <c r="CL651" i="129" s="1"/>
  <c r="AF651" i="129"/>
  <c r="AC651" i="129"/>
  <c r="S651" i="129"/>
  <c r="R651" i="129"/>
  <c r="Q651" i="129"/>
  <c r="CA650" i="129"/>
  <c r="BZ650" i="129"/>
  <c r="BS650" i="129"/>
  <c r="BR650" i="129"/>
  <c r="BN650" i="129"/>
  <c r="AP650" i="129"/>
  <c r="AO650" i="129"/>
  <c r="AN650" i="129"/>
  <c r="AL650" i="129"/>
  <c r="AI650" i="129"/>
  <c r="CL650" i="129" s="1"/>
  <c r="AF650" i="129"/>
  <c r="AC650" i="129"/>
  <c r="S650" i="129"/>
  <c r="R650" i="129"/>
  <c r="Q650" i="129"/>
  <c r="CA649" i="129"/>
  <c r="BZ649" i="129"/>
  <c r="BS649" i="129"/>
  <c r="BR649" i="129"/>
  <c r="BN649" i="129"/>
  <c r="AP649" i="129"/>
  <c r="AO649" i="129"/>
  <c r="AN649" i="129"/>
  <c r="AL649" i="129"/>
  <c r="AI649" i="129"/>
  <c r="CL649" i="129" s="1"/>
  <c r="AF649" i="129"/>
  <c r="AC649" i="129"/>
  <c r="S649" i="129"/>
  <c r="R649" i="129"/>
  <c r="Q649" i="129"/>
  <c r="CA648" i="129"/>
  <c r="BZ648" i="129"/>
  <c r="BS648" i="129"/>
  <c r="BR648" i="129"/>
  <c r="BN648" i="129"/>
  <c r="AP648" i="129"/>
  <c r="AO648" i="129"/>
  <c r="AN648" i="129"/>
  <c r="AL648" i="129"/>
  <c r="AI648" i="129"/>
  <c r="CL648" i="129" s="1"/>
  <c r="AF648" i="129"/>
  <c r="AC648" i="129"/>
  <c r="S648" i="129"/>
  <c r="R648" i="129"/>
  <c r="Q648" i="129"/>
  <c r="CA647" i="129"/>
  <c r="BZ647" i="129"/>
  <c r="BS647" i="129"/>
  <c r="BR647" i="129"/>
  <c r="BN647" i="129"/>
  <c r="AP647" i="129"/>
  <c r="AO647" i="129"/>
  <c r="AN647" i="129"/>
  <c r="AL647" i="129"/>
  <c r="AI647" i="129"/>
  <c r="CL647" i="129" s="1"/>
  <c r="AF647" i="129"/>
  <c r="AC647" i="129"/>
  <c r="S647" i="129"/>
  <c r="R647" i="129"/>
  <c r="Q647" i="129"/>
  <c r="CA646" i="129"/>
  <c r="BZ646" i="129"/>
  <c r="BS646" i="129"/>
  <c r="BR646" i="129"/>
  <c r="BN646" i="129"/>
  <c r="AP646" i="129"/>
  <c r="AO646" i="129"/>
  <c r="AN646" i="129"/>
  <c r="AL646" i="129"/>
  <c r="AI646" i="129"/>
  <c r="CL646" i="129" s="1"/>
  <c r="AF646" i="129"/>
  <c r="AC646" i="129"/>
  <c r="S646" i="129"/>
  <c r="R646" i="129"/>
  <c r="Q646" i="129"/>
  <c r="CA645" i="129"/>
  <c r="BZ645" i="129"/>
  <c r="BS645" i="129"/>
  <c r="BR645" i="129"/>
  <c r="BN645" i="129"/>
  <c r="AP645" i="129"/>
  <c r="AO645" i="129"/>
  <c r="AN645" i="129"/>
  <c r="AL645" i="129"/>
  <c r="AI645" i="129"/>
  <c r="CL645" i="129" s="1"/>
  <c r="AF645" i="129"/>
  <c r="AC645" i="129"/>
  <c r="S645" i="129"/>
  <c r="R645" i="129"/>
  <c r="Q645" i="129"/>
  <c r="CA644" i="129"/>
  <c r="BZ644" i="129"/>
  <c r="BS644" i="129"/>
  <c r="BR644" i="129"/>
  <c r="BN644" i="129"/>
  <c r="AP644" i="129"/>
  <c r="AO644" i="129"/>
  <c r="AN644" i="129"/>
  <c r="AL644" i="129"/>
  <c r="AI644" i="129"/>
  <c r="CL644" i="129" s="1"/>
  <c r="AF644" i="129"/>
  <c r="AC644" i="129"/>
  <c r="S644" i="129"/>
  <c r="R644" i="129"/>
  <c r="Q644" i="129"/>
  <c r="CA643" i="129"/>
  <c r="BZ643" i="129"/>
  <c r="BS643" i="129"/>
  <c r="BR643" i="129"/>
  <c r="BN643" i="129"/>
  <c r="AP643" i="129"/>
  <c r="AO643" i="129"/>
  <c r="AN643" i="129"/>
  <c r="AL643" i="129"/>
  <c r="AI643" i="129"/>
  <c r="CL643" i="129" s="1"/>
  <c r="AF643" i="129"/>
  <c r="AC643" i="129"/>
  <c r="S643" i="129"/>
  <c r="R643" i="129"/>
  <c r="Q643" i="129"/>
  <c r="CA642" i="129"/>
  <c r="BZ642" i="129"/>
  <c r="BS642" i="129"/>
  <c r="BR642" i="129"/>
  <c r="BN642" i="129"/>
  <c r="AP642" i="129"/>
  <c r="AO642" i="129"/>
  <c r="AN642" i="129"/>
  <c r="AL642" i="129"/>
  <c r="AI642" i="129"/>
  <c r="CL642" i="129" s="1"/>
  <c r="AF642" i="129"/>
  <c r="AC642" i="129"/>
  <c r="S642" i="129"/>
  <c r="R642" i="129"/>
  <c r="Q642" i="129"/>
  <c r="CA641" i="129"/>
  <c r="BZ641" i="129"/>
  <c r="BS641" i="129"/>
  <c r="BR641" i="129"/>
  <c r="BN641" i="129"/>
  <c r="AP641" i="129"/>
  <c r="AO641" i="129"/>
  <c r="AN641" i="129"/>
  <c r="AL641" i="129"/>
  <c r="AI641" i="129"/>
  <c r="CL641" i="129" s="1"/>
  <c r="AF641" i="129"/>
  <c r="AC641" i="129"/>
  <c r="S641" i="129"/>
  <c r="R641" i="129"/>
  <c r="Q641" i="129"/>
  <c r="CA640" i="129"/>
  <c r="BZ640" i="129"/>
  <c r="BS640" i="129"/>
  <c r="BR640" i="129"/>
  <c r="BN640" i="129"/>
  <c r="AP640" i="129"/>
  <c r="AO640" i="129"/>
  <c r="AN640" i="129"/>
  <c r="AL640" i="129"/>
  <c r="AI640" i="129"/>
  <c r="CL640" i="129" s="1"/>
  <c r="AF640" i="129"/>
  <c r="AC640" i="129"/>
  <c r="S640" i="129"/>
  <c r="R640" i="129"/>
  <c r="Q640" i="129"/>
  <c r="CA639" i="129"/>
  <c r="BZ639" i="129"/>
  <c r="BS639" i="129"/>
  <c r="BR639" i="129"/>
  <c r="BN639" i="129"/>
  <c r="AP639" i="129"/>
  <c r="AO639" i="129"/>
  <c r="AN639" i="129"/>
  <c r="AL639" i="129"/>
  <c r="AI639" i="129"/>
  <c r="CL639" i="129" s="1"/>
  <c r="AF639" i="129"/>
  <c r="AC639" i="129"/>
  <c r="S639" i="129"/>
  <c r="R639" i="129"/>
  <c r="Q639" i="129"/>
  <c r="CA638" i="129"/>
  <c r="BZ638" i="129"/>
  <c r="BS638" i="129"/>
  <c r="BR638" i="129"/>
  <c r="BN638" i="129"/>
  <c r="AP638" i="129"/>
  <c r="AO638" i="129"/>
  <c r="AN638" i="129"/>
  <c r="AL638" i="129"/>
  <c r="AI638" i="129"/>
  <c r="CL638" i="129" s="1"/>
  <c r="AF638" i="129"/>
  <c r="AC638" i="129"/>
  <c r="S638" i="129"/>
  <c r="R638" i="129"/>
  <c r="Q638" i="129"/>
  <c r="CA637" i="129"/>
  <c r="BZ637" i="129"/>
  <c r="BS637" i="129"/>
  <c r="BR637" i="129"/>
  <c r="BN637" i="129"/>
  <c r="AP637" i="129"/>
  <c r="AO637" i="129"/>
  <c r="AN637" i="129"/>
  <c r="AL637" i="129"/>
  <c r="AI637" i="129"/>
  <c r="CL637" i="129" s="1"/>
  <c r="AF637" i="129"/>
  <c r="AC637" i="129"/>
  <c r="S637" i="129"/>
  <c r="R637" i="129"/>
  <c r="Q637" i="129"/>
  <c r="CA636" i="129"/>
  <c r="BZ636" i="129"/>
  <c r="BS636" i="129"/>
  <c r="BR636" i="129"/>
  <c r="BN636" i="129"/>
  <c r="AP636" i="129"/>
  <c r="AO636" i="129"/>
  <c r="AN636" i="129"/>
  <c r="AL636" i="129"/>
  <c r="AI636" i="129"/>
  <c r="CL636" i="129" s="1"/>
  <c r="AF636" i="129"/>
  <c r="AC636" i="129"/>
  <c r="S636" i="129"/>
  <c r="R636" i="129"/>
  <c r="Q636" i="129"/>
  <c r="CA635" i="129"/>
  <c r="BZ635" i="129"/>
  <c r="BS635" i="129"/>
  <c r="BR635" i="129"/>
  <c r="BN635" i="129"/>
  <c r="AP635" i="129"/>
  <c r="AO635" i="129"/>
  <c r="AN635" i="129"/>
  <c r="AL635" i="129"/>
  <c r="AI635" i="129"/>
  <c r="CL635" i="129" s="1"/>
  <c r="AF635" i="129"/>
  <c r="AC635" i="129"/>
  <c r="S635" i="129"/>
  <c r="R635" i="129"/>
  <c r="Q635" i="129"/>
  <c r="CA634" i="129"/>
  <c r="BZ634" i="129"/>
  <c r="BS634" i="129"/>
  <c r="BR634" i="129"/>
  <c r="BN634" i="129"/>
  <c r="AP634" i="129"/>
  <c r="AO634" i="129"/>
  <c r="AN634" i="129"/>
  <c r="AL634" i="129"/>
  <c r="AI634" i="129"/>
  <c r="CL634" i="129" s="1"/>
  <c r="AF634" i="129"/>
  <c r="AC634" i="129"/>
  <c r="S634" i="129"/>
  <c r="R634" i="129"/>
  <c r="Q634" i="129"/>
  <c r="CA633" i="129"/>
  <c r="BZ633" i="129"/>
  <c r="BS633" i="129"/>
  <c r="BR633" i="129"/>
  <c r="BN633" i="129"/>
  <c r="AP633" i="129"/>
  <c r="AO633" i="129"/>
  <c r="AN633" i="129"/>
  <c r="AL633" i="129"/>
  <c r="AI633" i="129"/>
  <c r="CL633" i="129" s="1"/>
  <c r="AF633" i="129"/>
  <c r="AC633" i="129"/>
  <c r="S633" i="129"/>
  <c r="R633" i="129"/>
  <c r="Q633" i="129"/>
  <c r="CA632" i="129"/>
  <c r="BZ632" i="129"/>
  <c r="BS632" i="129"/>
  <c r="BR632" i="129"/>
  <c r="BN632" i="129"/>
  <c r="AP632" i="129"/>
  <c r="AO632" i="129"/>
  <c r="AN632" i="129"/>
  <c r="AL632" i="129"/>
  <c r="AI632" i="129"/>
  <c r="CL632" i="129" s="1"/>
  <c r="AF632" i="129"/>
  <c r="AC632" i="129"/>
  <c r="S632" i="129"/>
  <c r="R632" i="129"/>
  <c r="Q632" i="129"/>
  <c r="CA631" i="129"/>
  <c r="BZ631" i="129"/>
  <c r="BS631" i="129"/>
  <c r="BR631" i="129"/>
  <c r="BN631" i="129"/>
  <c r="AP631" i="129"/>
  <c r="AO631" i="129"/>
  <c r="AN631" i="129"/>
  <c r="AL631" i="129"/>
  <c r="AI631" i="129"/>
  <c r="CL631" i="129" s="1"/>
  <c r="AF631" i="129"/>
  <c r="AC631" i="129"/>
  <c r="S631" i="129"/>
  <c r="R631" i="129"/>
  <c r="Q631" i="129"/>
  <c r="CA630" i="129"/>
  <c r="BZ630" i="129"/>
  <c r="BS630" i="129"/>
  <c r="BR630" i="129"/>
  <c r="BN630" i="129"/>
  <c r="AP630" i="129"/>
  <c r="AO630" i="129"/>
  <c r="AN630" i="129"/>
  <c r="AL630" i="129"/>
  <c r="AI630" i="129"/>
  <c r="CL630" i="129" s="1"/>
  <c r="AF630" i="129"/>
  <c r="AC630" i="129"/>
  <c r="S630" i="129"/>
  <c r="R630" i="129"/>
  <c r="Q630" i="129"/>
  <c r="CA629" i="129"/>
  <c r="BZ629" i="129"/>
  <c r="BS629" i="129"/>
  <c r="BR629" i="129"/>
  <c r="BN629" i="129"/>
  <c r="AP629" i="129"/>
  <c r="AO629" i="129"/>
  <c r="AN629" i="129"/>
  <c r="AL629" i="129"/>
  <c r="AI629" i="129"/>
  <c r="CL629" i="129" s="1"/>
  <c r="AF629" i="129"/>
  <c r="AC629" i="129"/>
  <c r="S629" i="129"/>
  <c r="R629" i="129"/>
  <c r="Q629" i="129"/>
  <c r="CA628" i="129"/>
  <c r="BZ628" i="129"/>
  <c r="BS628" i="129"/>
  <c r="BR628" i="129"/>
  <c r="BN628" i="129"/>
  <c r="AP628" i="129"/>
  <c r="AO628" i="129"/>
  <c r="AN628" i="129"/>
  <c r="AL628" i="129"/>
  <c r="AI628" i="129"/>
  <c r="CL628" i="129" s="1"/>
  <c r="AF628" i="129"/>
  <c r="AC628" i="129"/>
  <c r="S628" i="129"/>
  <c r="R628" i="129"/>
  <c r="Q628" i="129"/>
  <c r="CA627" i="129"/>
  <c r="BZ627" i="129"/>
  <c r="BS627" i="129"/>
  <c r="BR627" i="129"/>
  <c r="BN627" i="129"/>
  <c r="AP627" i="129"/>
  <c r="AO627" i="129"/>
  <c r="AN627" i="129"/>
  <c r="AL627" i="129"/>
  <c r="AI627" i="129"/>
  <c r="CL627" i="129" s="1"/>
  <c r="AF627" i="129"/>
  <c r="AC627" i="129"/>
  <c r="S627" i="129"/>
  <c r="R627" i="129"/>
  <c r="Q627" i="129"/>
  <c r="CA626" i="129"/>
  <c r="BZ626" i="129"/>
  <c r="BS626" i="129"/>
  <c r="BR626" i="129"/>
  <c r="BN626" i="129"/>
  <c r="AP626" i="129"/>
  <c r="AO626" i="129"/>
  <c r="AN626" i="129"/>
  <c r="AL626" i="129"/>
  <c r="AI626" i="129"/>
  <c r="CL626" i="129" s="1"/>
  <c r="AF626" i="129"/>
  <c r="AC626" i="129"/>
  <c r="S626" i="129"/>
  <c r="R626" i="129"/>
  <c r="Q626" i="129"/>
  <c r="CA625" i="129"/>
  <c r="BZ625" i="129"/>
  <c r="BS625" i="129"/>
  <c r="BR625" i="129"/>
  <c r="BN625" i="129"/>
  <c r="AP625" i="129"/>
  <c r="AO625" i="129"/>
  <c r="AN625" i="129"/>
  <c r="AL625" i="129"/>
  <c r="AI625" i="129"/>
  <c r="CL625" i="129" s="1"/>
  <c r="AF625" i="129"/>
  <c r="AC625" i="129"/>
  <c r="S625" i="129"/>
  <c r="R625" i="129"/>
  <c r="Q625" i="129"/>
  <c r="CA624" i="129"/>
  <c r="BZ624" i="129"/>
  <c r="BS624" i="129"/>
  <c r="BR624" i="129"/>
  <c r="BN624" i="129"/>
  <c r="AP624" i="129"/>
  <c r="AO624" i="129"/>
  <c r="AN624" i="129"/>
  <c r="AL624" i="129"/>
  <c r="AI624" i="129"/>
  <c r="CL624" i="129" s="1"/>
  <c r="AF624" i="129"/>
  <c r="AC624" i="129"/>
  <c r="S624" i="129"/>
  <c r="R624" i="129"/>
  <c r="Q624" i="129"/>
  <c r="CA623" i="129"/>
  <c r="BZ623" i="129"/>
  <c r="BS623" i="129"/>
  <c r="BR623" i="129"/>
  <c r="BN623" i="129"/>
  <c r="AP623" i="129"/>
  <c r="AO623" i="129"/>
  <c r="AN623" i="129"/>
  <c r="AL623" i="129"/>
  <c r="AI623" i="129"/>
  <c r="CL623" i="129" s="1"/>
  <c r="AF623" i="129"/>
  <c r="AC623" i="129"/>
  <c r="S623" i="129"/>
  <c r="R623" i="129"/>
  <c r="Q623" i="129"/>
  <c r="CA622" i="129"/>
  <c r="BZ622" i="129"/>
  <c r="BS622" i="129"/>
  <c r="BR622" i="129"/>
  <c r="BN622" i="129"/>
  <c r="AP622" i="129"/>
  <c r="AO622" i="129"/>
  <c r="AN622" i="129"/>
  <c r="AL622" i="129"/>
  <c r="AI622" i="129"/>
  <c r="CL622" i="129" s="1"/>
  <c r="AF622" i="129"/>
  <c r="AC622" i="129"/>
  <c r="S622" i="129"/>
  <c r="R622" i="129"/>
  <c r="Q622" i="129"/>
  <c r="CA621" i="129"/>
  <c r="BZ621" i="129"/>
  <c r="BS621" i="129"/>
  <c r="BR621" i="129"/>
  <c r="BN621" i="129"/>
  <c r="AP621" i="129"/>
  <c r="AO621" i="129"/>
  <c r="AN621" i="129"/>
  <c r="AL621" i="129"/>
  <c r="AI621" i="129"/>
  <c r="CL621" i="129" s="1"/>
  <c r="AF621" i="129"/>
  <c r="AC621" i="129"/>
  <c r="S621" i="129"/>
  <c r="R621" i="129"/>
  <c r="Q621" i="129"/>
  <c r="CA620" i="129"/>
  <c r="BZ620" i="129"/>
  <c r="BS620" i="129"/>
  <c r="BR620" i="129"/>
  <c r="BN620" i="129"/>
  <c r="AP620" i="129"/>
  <c r="AO620" i="129"/>
  <c r="AN620" i="129"/>
  <c r="AL620" i="129"/>
  <c r="AI620" i="129"/>
  <c r="CL620" i="129" s="1"/>
  <c r="AF620" i="129"/>
  <c r="AC620" i="129"/>
  <c r="S620" i="129"/>
  <c r="R620" i="129"/>
  <c r="Q620" i="129"/>
  <c r="CA619" i="129"/>
  <c r="BZ619" i="129"/>
  <c r="BS619" i="129"/>
  <c r="BR619" i="129"/>
  <c r="BN619" i="129"/>
  <c r="AP619" i="129"/>
  <c r="AO619" i="129"/>
  <c r="AN619" i="129"/>
  <c r="AL619" i="129"/>
  <c r="AI619" i="129"/>
  <c r="CL619" i="129" s="1"/>
  <c r="AF619" i="129"/>
  <c r="AC619" i="129"/>
  <c r="S619" i="129"/>
  <c r="R619" i="129"/>
  <c r="Q619" i="129"/>
  <c r="CA618" i="129"/>
  <c r="BZ618" i="129"/>
  <c r="BS618" i="129"/>
  <c r="BR618" i="129"/>
  <c r="BN618" i="129"/>
  <c r="AP618" i="129"/>
  <c r="AO618" i="129"/>
  <c r="AN618" i="129"/>
  <c r="AL618" i="129"/>
  <c r="AI618" i="129"/>
  <c r="CL618" i="129" s="1"/>
  <c r="AF618" i="129"/>
  <c r="AC618" i="129"/>
  <c r="S618" i="129"/>
  <c r="R618" i="129"/>
  <c r="Q618" i="129"/>
  <c r="CA617" i="129"/>
  <c r="BZ617" i="129"/>
  <c r="BS617" i="129"/>
  <c r="BR617" i="129"/>
  <c r="BN617" i="129"/>
  <c r="AP617" i="129"/>
  <c r="AO617" i="129"/>
  <c r="AN617" i="129"/>
  <c r="AL617" i="129"/>
  <c r="AI617" i="129"/>
  <c r="CL617" i="129" s="1"/>
  <c r="AF617" i="129"/>
  <c r="AC617" i="129"/>
  <c r="S617" i="129"/>
  <c r="R617" i="129"/>
  <c r="Q617" i="129"/>
  <c r="CA616" i="129"/>
  <c r="BZ616" i="129"/>
  <c r="BS616" i="129"/>
  <c r="BR616" i="129"/>
  <c r="BN616" i="129"/>
  <c r="AP616" i="129"/>
  <c r="AO616" i="129"/>
  <c r="AN616" i="129"/>
  <c r="AL616" i="129"/>
  <c r="AI616" i="129"/>
  <c r="CL616" i="129" s="1"/>
  <c r="AF616" i="129"/>
  <c r="AC616" i="129"/>
  <c r="S616" i="129"/>
  <c r="R616" i="129"/>
  <c r="Q616" i="129"/>
  <c r="CA615" i="129"/>
  <c r="BZ615" i="129"/>
  <c r="BS615" i="129"/>
  <c r="BR615" i="129"/>
  <c r="BN615" i="129"/>
  <c r="AP615" i="129"/>
  <c r="AO615" i="129"/>
  <c r="AN615" i="129"/>
  <c r="AL615" i="129"/>
  <c r="AI615" i="129"/>
  <c r="CL615" i="129" s="1"/>
  <c r="AF615" i="129"/>
  <c r="AC615" i="129"/>
  <c r="S615" i="129"/>
  <c r="R615" i="129"/>
  <c r="Q615" i="129"/>
  <c r="CA614" i="129"/>
  <c r="BZ614" i="129"/>
  <c r="BS614" i="129"/>
  <c r="BR614" i="129"/>
  <c r="BN614" i="129"/>
  <c r="AP614" i="129"/>
  <c r="AO614" i="129"/>
  <c r="AN614" i="129"/>
  <c r="AL614" i="129"/>
  <c r="AI614" i="129"/>
  <c r="CL614" i="129" s="1"/>
  <c r="AF614" i="129"/>
  <c r="AC614" i="129"/>
  <c r="S614" i="129"/>
  <c r="R614" i="129"/>
  <c r="Q614" i="129"/>
  <c r="CA613" i="129"/>
  <c r="BZ613" i="129"/>
  <c r="BS613" i="129"/>
  <c r="BR613" i="129"/>
  <c r="BN613" i="129"/>
  <c r="AP613" i="129"/>
  <c r="AO613" i="129"/>
  <c r="AN613" i="129"/>
  <c r="AL613" i="129"/>
  <c r="AI613" i="129"/>
  <c r="CL613" i="129" s="1"/>
  <c r="AF613" i="129"/>
  <c r="AC613" i="129"/>
  <c r="S613" i="129"/>
  <c r="R613" i="129"/>
  <c r="Q613" i="129"/>
  <c r="CA612" i="129"/>
  <c r="BZ612" i="129"/>
  <c r="BS612" i="129"/>
  <c r="BR612" i="129"/>
  <c r="BN612" i="129"/>
  <c r="AP612" i="129"/>
  <c r="AO612" i="129"/>
  <c r="AN612" i="129"/>
  <c r="AL612" i="129"/>
  <c r="AI612" i="129"/>
  <c r="CL612" i="129" s="1"/>
  <c r="AF612" i="129"/>
  <c r="AC612" i="129"/>
  <c r="S612" i="129"/>
  <c r="R612" i="129"/>
  <c r="Q612" i="129"/>
  <c r="CA611" i="129"/>
  <c r="BZ611" i="129"/>
  <c r="BS611" i="129"/>
  <c r="BR611" i="129"/>
  <c r="BN611" i="129"/>
  <c r="AP611" i="129"/>
  <c r="AO611" i="129"/>
  <c r="AN611" i="129"/>
  <c r="AL611" i="129"/>
  <c r="AI611" i="129"/>
  <c r="CL611" i="129" s="1"/>
  <c r="AF611" i="129"/>
  <c r="AC611" i="129"/>
  <c r="S611" i="129"/>
  <c r="R611" i="129"/>
  <c r="Q611" i="129"/>
  <c r="CA610" i="129"/>
  <c r="BZ610" i="129"/>
  <c r="BS610" i="129"/>
  <c r="BR610" i="129"/>
  <c r="BN610" i="129"/>
  <c r="AP610" i="129"/>
  <c r="AO610" i="129"/>
  <c r="AN610" i="129"/>
  <c r="AL610" i="129"/>
  <c r="AI610" i="129"/>
  <c r="CL610" i="129" s="1"/>
  <c r="AF610" i="129"/>
  <c r="AC610" i="129"/>
  <c r="S610" i="129"/>
  <c r="R610" i="129"/>
  <c r="Q610" i="129"/>
  <c r="CA609" i="129"/>
  <c r="BZ609" i="129"/>
  <c r="BS609" i="129"/>
  <c r="BR609" i="129"/>
  <c r="BN609" i="129"/>
  <c r="AP609" i="129"/>
  <c r="AO609" i="129"/>
  <c r="AN609" i="129"/>
  <c r="AL609" i="129"/>
  <c r="AI609" i="129"/>
  <c r="CL609" i="129" s="1"/>
  <c r="AF609" i="129"/>
  <c r="AC609" i="129"/>
  <c r="S609" i="129"/>
  <c r="R609" i="129"/>
  <c r="Q609" i="129"/>
  <c r="CA608" i="129"/>
  <c r="BZ608" i="129"/>
  <c r="BS608" i="129"/>
  <c r="BR608" i="129"/>
  <c r="BN608" i="129"/>
  <c r="AP608" i="129"/>
  <c r="AO608" i="129"/>
  <c r="AN608" i="129"/>
  <c r="AL608" i="129"/>
  <c r="AI608" i="129"/>
  <c r="CL608" i="129" s="1"/>
  <c r="AF608" i="129"/>
  <c r="AC608" i="129"/>
  <c r="S608" i="129"/>
  <c r="R608" i="129"/>
  <c r="Q608" i="129"/>
  <c r="CA607" i="129"/>
  <c r="BZ607" i="129"/>
  <c r="BS607" i="129"/>
  <c r="BR607" i="129"/>
  <c r="BN607" i="129"/>
  <c r="AP607" i="129"/>
  <c r="AO607" i="129"/>
  <c r="AN607" i="129"/>
  <c r="AL607" i="129"/>
  <c r="AI607" i="129"/>
  <c r="CL607" i="129" s="1"/>
  <c r="AF607" i="129"/>
  <c r="AC607" i="129"/>
  <c r="S607" i="129"/>
  <c r="R607" i="129"/>
  <c r="Q607" i="129"/>
  <c r="CA606" i="129"/>
  <c r="BZ606" i="129"/>
  <c r="BS606" i="129"/>
  <c r="BR606" i="129"/>
  <c r="BN606" i="129"/>
  <c r="AP606" i="129"/>
  <c r="AO606" i="129"/>
  <c r="AN606" i="129"/>
  <c r="AL606" i="129"/>
  <c r="AI606" i="129"/>
  <c r="CL606" i="129" s="1"/>
  <c r="AF606" i="129"/>
  <c r="AC606" i="129"/>
  <c r="S606" i="129"/>
  <c r="R606" i="129"/>
  <c r="Q606" i="129"/>
  <c r="CA605" i="129"/>
  <c r="BZ605" i="129"/>
  <c r="BS605" i="129"/>
  <c r="BR605" i="129"/>
  <c r="BN605" i="129"/>
  <c r="AP605" i="129"/>
  <c r="AO605" i="129"/>
  <c r="AN605" i="129"/>
  <c r="AL605" i="129"/>
  <c r="AI605" i="129"/>
  <c r="CL605" i="129" s="1"/>
  <c r="AF605" i="129"/>
  <c r="AC605" i="129"/>
  <c r="S605" i="129"/>
  <c r="R605" i="129"/>
  <c r="Q605" i="129"/>
  <c r="CA604" i="129"/>
  <c r="BZ604" i="129"/>
  <c r="BS604" i="129"/>
  <c r="BR604" i="129"/>
  <c r="BN604" i="129"/>
  <c r="AP604" i="129"/>
  <c r="AO604" i="129"/>
  <c r="AN604" i="129"/>
  <c r="AL604" i="129"/>
  <c r="AI604" i="129"/>
  <c r="CL604" i="129" s="1"/>
  <c r="AF604" i="129"/>
  <c r="AC604" i="129"/>
  <c r="S604" i="129"/>
  <c r="R604" i="129"/>
  <c r="Q604" i="129"/>
  <c r="CA603" i="129"/>
  <c r="BZ603" i="129"/>
  <c r="BS603" i="129"/>
  <c r="BR603" i="129"/>
  <c r="BN603" i="129"/>
  <c r="AP603" i="129"/>
  <c r="AO603" i="129"/>
  <c r="AN603" i="129"/>
  <c r="AL603" i="129"/>
  <c r="AI603" i="129"/>
  <c r="CL603" i="129" s="1"/>
  <c r="AF603" i="129"/>
  <c r="AC603" i="129"/>
  <c r="S603" i="129"/>
  <c r="R603" i="129"/>
  <c r="Q603" i="129"/>
  <c r="CA602" i="129"/>
  <c r="BZ602" i="129"/>
  <c r="BS602" i="129"/>
  <c r="BR602" i="129"/>
  <c r="BN602" i="129"/>
  <c r="AP602" i="129"/>
  <c r="AO602" i="129"/>
  <c r="AN602" i="129"/>
  <c r="AL602" i="129"/>
  <c r="AI602" i="129"/>
  <c r="CL602" i="129" s="1"/>
  <c r="AF602" i="129"/>
  <c r="AC602" i="129"/>
  <c r="S602" i="129"/>
  <c r="R602" i="129"/>
  <c r="Q602" i="129"/>
  <c r="CA601" i="129"/>
  <c r="BZ601" i="129"/>
  <c r="BS601" i="129"/>
  <c r="BR601" i="129"/>
  <c r="BN601" i="129"/>
  <c r="AP601" i="129"/>
  <c r="AO601" i="129"/>
  <c r="AN601" i="129"/>
  <c r="AL601" i="129"/>
  <c r="AI601" i="129"/>
  <c r="CL601" i="129" s="1"/>
  <c r="AF601" i="129"/>
  <c r="AC601" i="129"/>
  <c r="S601" i="129"/>
  <c r="R601" i="129"/>
  <c r="Q601" i="129"/>
  <c r="CA600" i="129"/>
  <c r="BZ600" i="129"/>
  <c r="BS600" i="129"/>
  <c r="BR600" i="129"/>
  <c r="BN600" i="129"/>
  <c r="AP600" i="129"/>
  <c r="AO600" i="129"/>
  <c r="AN600" i="129"/>
  <c r="AL600" i="129"/>
  <c r="AI600" i="129"/>
  <c r="CL600" i="129" s="1"/>
  <c r="AF600" i="129"/>
  <c r="AC600" i="129"/>
  <c r="S600" i="129"/>
  <c r="R600" i="129"/>
  <c r="Q600" i="129"/>
  <c r="CA599" i="129"/>
  <c r="BZ599" i="129"/>
  <c r="BS599" i="129"/>
  <c r="BR599" i="129"/>
  <c r="BN599" i="129"/>
  <c r="AP599" i="129"/>
  <c r="AO599" i="129"/>
  <c r="AN599" i="129"/>
  <c r="AL599" i="129"/>
  <c r="AI599" i="129"/>
  <c r="CL599" i="129" s="1"/>
  <c r="AF599" i="129"/>
  <c r="AC599" i="129"/>
  <c r="S599" i="129"/>
  <c r="R599" i="129"/>
  <c r="Q599" i="129"/>
  <c r="CA598" i="129"/>
  <c r="BZ598" i="129"/>
  <c r="BS598" i="129"/>
  <c r="BR598" i="129"/>
  <c r="BN598" i="129"/>
  <c r="AP598" i="129"/>
  <c r="AO598" i="129"/>
  <c r="AN598" i="129"/>
  <c r="AL598" i="129"/>
  <c r="AI598" i="129"/>
  <c r="CL598" i="129" s="1"/>
  <c r="AF598" i="129"/>
  <c r="AC598" i="129"/>
  <c r="S598" i="129"/>
  <c r="R598" i="129"/>
  <c r="Q598" i="129"/>
  <c r="CA597" i="129"/>
  <c r="BZ597" i="129"/>
  <c r="BS597" i="129"/>
  <c r="BR597" i="129"/>
  <c r="BN597" i="129"/>
  <c r="AP597" i="129"/>
  <c r="AO597" i="129"/>
  <c r="AN597" i="129"/>
  <c r="AL597" i="129"/>
  <c r="AI597" i="129"/>
  <c r="CL597" i="129" s="1"/>
  <c r="AF597" i="129"/>
  <c r="AC597" i="129"/>
  <c r="S597" i="129"/>
  <c r="R597" i="129"/>
  <c r="Q597" i="129"/>
  <c r="CA596" i="129"/>
  <c r="BZ596" i="129"/>
  <c r="BS596" i="129"/>
  <c r="BR596" i="129"/>
  <c r="BN596" i="129"/>
  <c r="AP596" i="129"/>
  <c r="AO596" i="129"/>
  <c r="AN596" i="129"/>
  <c r="AL596" i="129"/>
  <c r="AI596" i="129"/>
  <c r="CL596" i="129" s="1"/>
  <c r="AF596" i="129"/>
  <c r="AC596" i="129"/>
  <c r="S596" i="129"/>
  <c r="R596" i="129"/>
  <c r="Q596" i="129"/>
  <c r="CA595" i="129"/>
  <c r="BZ595" i="129"/>
  <c r="BS595" i="129"/>
  <c r="BR595" i="129"/>
  <c r="BN595" i="129"/>
  <c r="AP595" i="129"/>
  <c r="AO595" i="129"/>
  <c r="AN595" i="129"/>
  <c r="AL595" i="129"/>
  <c r="AI595" i="129"/>
  <c r="CL595" i="129" s="1"/>
  <c r="AF595" i="129"/>
  <c r="AC595" i="129"/>
  <c r="S595" i="129"/>
  <c r="R595" i="129"/>
  <c r="Q595" i="129"/>
  <c r="CA594" i="129"/>
  <c r="BZ594" i="129"/>
  <c r="BS594" i="129"/>
  <c r="BR594" i="129"/>
  <c r="BN594" i="129"/>
  <c r="AP594" i="129"/>
  <c r="AO594" i="129"/>
  <c r="AN594" i="129"/>
  <c r="AL594" i="129"/>
  <c r="AI594" i="129"/>
  <c r="CL594" i="129" s="1"/>
  <c r="AF594" i="129"/>
  <c r="AC594" i="129"/>
  <c r="S594" i="129"/>
  <c r="R594" i="129"/>
  <c r="Q594" i="129"/>
  <c r="CA593" i="129"/>
  <c r="BZ593" i="129"/>
  <c r="BS593" i="129"/>
  <c r="BR593" i="129"/>
  <c r="BN593" i="129"/>
  <c r="AP593" i="129"/>
  <c r="AO593" i="129"/>
  <c r="AN593" i="129"/>
  <c r="AL593" i="129"/>
  <c r="AI593" i="129"/>
  <c r="CL593" i="129" s="1"/>
  <c r="AF593" i="129"/>
  <c r="AC593" i="129"/>
  <c r="S593" i="129"/>
  <c r="R593" i="129"/>
  <c r="Q593" i="129"/>
  <c r="CA592" i="129"/>
  <c r="BZ592" i="129"/>
  <c r="BS592" i="129"/>
  <c r="BR592" i="129"/>
  <c r="BN592" i="129"/>
  <c r="AP592" i="129"/>
  <c r="AO592" i="129"/>
  <c r="AN592" i="129"/>
  <c r="AL592" i="129"/>
  <c r="AI592" i="129"/>
  <c r="CL592" i="129" s="1"/>
  <c r="AF592" i="129"/>
  <c r="AC592" i="129"/>
  <c r="S592" i="129"/>
  <c r="R592" i="129"/>
  <c r="Q592" i="129"/>
  <c r="CA591" i="129"/>
  <c r="BZ591" i="129"/>
  <c r="BS591" i="129"/>
  <c r="BR591" i="129"/>
  <c r="BN591" i="129"/>
  <c r="AP591" i="129"/>
  <c r="AO591" i="129"/>
  <c r="AN591" i="129"/>
  <c r="AL591" i="129"/>
  <c r="AI591" i="129"/>
  <c r="CL591" i="129" s="1"/>
  <c r="AF591" i="129"/>
  <c r="AC591" i="129"/>
  <c r="S591" i="129"/>
  <c r="R591" i="129"/>
  <c r="Q591" i="129"/>
  <c r="CA590" i="129"/>
  <c r="BZ590" i="129"/>
  <c r="BS590" i="129"/>
  <c r="BR590" i="129"/>
  <c r="BN590" i="129"/>
  <c r="AP590" i="129"/>
  <c r="AO590" i="129"/>
  <c r="AN590" i="129"/>
  <c r="AL590" i="129"/>
  <c r="AI590" i="129"/>
  <c r="CL590" i="129" s="1"/>
  <c r="AF590" i="129"/>
  <c r="AC590" i="129"/>
  <c r="S590" i="129"/>
  <c r="R590" i="129"/>
  <c r="Q590" i="129"/>
  <c r="CA589" i="129"/>
  <c r="BZ589" i="129"/>
  <c r="BS589" i="129"/>
  <c r="BR589" i="129"/>
  <c r="BN589" i="129"/>
  <c r="AP589" i="129"/>
  <c r="AO589" i="129"/>
  <c r="AN589" i="129"/>
  <c r="AL589" i="129"/>
  <c r="AI589" i="129"/>
  <c r="CL589" i="129" s="1"/>
  <c r="AF589" i="129"/>
  <c r="AC589" i="129"/>
  <c r="S589" i="129"/>
  <c r="R589" i="129"/>
  <c r="Q589" i="129"/>
  <c r="CA588" i="129"/>
  <c r="BZ588" i="129"/>
  <c r="BS588" i="129"/>
  <c r="BR588" i="129"/>
  <c r="BN588" i="129"/>
  <c r="AP588" i="129"/>
  <c r="AO588" i="129"/>
  <c r="AN588" i="129"/>
  <c r="AL588" i="129"/>
  <c r="AI588" i="129"/>
  <c r="CL588" i="129" s="1"/>
  <c r="AF588" i="129"/>
  <c r="AC588" i="129"/>
  <c r="S588" i="129"/>
  <c r="R588" i="129"/>
  <c r="Q588" i="129"/>
  <c r="CA587" i="129"/>
  <c r="BZ587" i="129"/>
  <c r="BS587" i="129"/>
  <c r="BR587" i="129"/>
  <c r="BN587" i="129"/>
  <c r="AP587" i="129"/>
  <c r="AO587" i="129"/>
  <c r="AN587" i="129"/>
  <c r="AL587" i="129"/>
  <c r="AI587" i="129"/>
  <c r="CL587" i="129" s="1"/>
  <c r="AF587" i="129"/>
  <c r="AC587" i="129"/>
  <c r="S587" i="129"/>
  <c r="R587" i="129"/>
  <c r="Q587" i="129"/>
  <c r="CA586" i="129"/>
  <c r="BZ586" i="129"/>
  <c r="BS586" i="129"/>
  <c r="BR586" i="129"/>
  <c r="BN586" i="129"/>
  <c r="AP586" i="129"/>
  <c r="AO586" i="129"/>
  <c r="AN586" i="129"/>
  <c r="AL586" i="129"/>
  <c r="AI586" i="129"/>
  <c r="CL586" i="129" s="1"/>
  <c r="AF586" i="129"/>
  <c r="AC586" i="129"/>
  <c r="S586" i="129"/>
  <c r="R586" i="129"/>
  <c r="Q586" i="129"/>
  <c r="CA585" i="129"/>
  <c r="BZ585" i="129"/>
  <c r="BS585" i="129"/>
  <c r="BR585" i="129"/>
  <c r="BN585" i="129"/>
  <c r="AP585" i="129"/>
  <c r="AO585" i="129"/>
  <c r="AN585" i="129"/>
  <c r="AL585" i="129"/>
  <c r="AI585" i="129"/>
  <c r="CL585" i="129" s="1"/>
  <c r="AF585" i="129"/>
  <c r="AC585" i="129"/>
  <c r="S585" i="129"/>
  <c r="R585" i="129"/>
  <c r="Q585" i="129"/>
  <c r="CA584" i="129"/>
  <c r="BZ584" i="129"/>
  <c r="BS584" i="129"/>
  <c r="BR584" i="129"/>
  <c r="BN584" i="129"/>
  <c r="AP584" i="129"/>
  <c r="AO584" i="129"/>
  <c r="AN584" i="129"/>
  <c r="AL584" i="129"/>
  <c r="AI584" i="129"/>
  <c r="CL584" i="129" s="1"/>
  <c r="AF584" i="129"/>
  <c r="AC584" i="129"/>
  <c r="S584" i="129"/>
  <c r="R584" i="129"/>
  <c r="Q584" i="129"/>
  <c r="CA583" i="129"/>
  <c r="BZ583" i="129"/>
  <c r="BS583" i="129"/>
  <c r="BR583" i="129"/>
  <c r="BN583" i="129"/>
  <c r="AP583" i="129"/>
  <c r="AO583" i="129"/>
  <c r="AN583" i="129"/>
  <c r="AL583" i="129"/>
  <c r="AI583" i="129"/>
  <c r="CL583" i="129" s="1"/>
  <c r="AF583" i="129"/>
  <c r="AC583" i="129"/>
  <c r="S583" i="129"/>
  <c r="R583" i="129"/>
  <c r="Q583" i="129"/>
  <c r="CA582" i="129"/>
  <c r="BZ582" i="129"/>
  <c r="BS582" i="129"/>
  <c r="BR582" i="129"/>
  <c r="BN582" i="129"/>
  <c r="AP582" i="129"/>
  <c r="AO582" i="129"/>
  <c r="AN582" i="129"/>
  <c r="AL582" i="129"/>
  <c r="AI582" i="129"/>
  <c r="CL582" i="129" s="1"/>
  <c r="AF582" i="129"/>
  <c r="AC582" i="129"/>
  <c r="S582" i="129"/>
  <c r="R582" i="129"/>
  <c r="Q582" i="129"/>
  <c r="CA581" i="129"/>
  <c r="BZ581" i="129"/>
  <c r="BS581" i="129"/>
  <c r="BR581" i="129"/>
  <c r="BN581" i="129"/>
  <c r="AP581" i="129"/>
  <c r="AO581" i="129"/>
  <c r="AN581" i="129"/>
  <c r="AL581" i="129"/>
  <c r="AI581" i="129"/>
  <c r="CL581" i="129" s="1"/>
  <c r="AF581" i="129"/>
  <c r="AC581" i="129"/>
  <c r="S581" i="129"/>
  <c r="R581" i="129"/>
  <c r="Q581" i="129"/>
  <c r="CA580" i="129"/>
  <c r="BZ580" i="129"/>
  <c r="BS580" i="129"/>
  <c r="BR580" i="129"/>
  <c r="BN580" i="129"/>
  <c r="AP580" i="129"/>
  <c r="AO580" i="129"/>
  <c r="AN580" i="129"/>
  <c r="AL580" i="129"/>
  <c r="AI580" i="129"/>
  <c r="CL580" i="129" s="1"/>
  <c r="AF580" i="129"/>
  <c r="AC580" i="129"/>
  <c r="S580" i="129"/>
  <c r="R580" i="129"/>
  <c r="Q580" i="129"/>
  <c r="CA579" i="129"/>
  <c r="BZ579" i="129"/>
  <c r="BS579" i="129"/>
  <c r="BR579" i="129"/>
  <c r="BN579" i="129"/>
  <c r="AP579" i="129"/>
  <c r="AO579" i="129"/>
  <c r="AN579" i="129"/>
  <c r="AL579" i="129"/>
  <c r="AI579" i="129"/>
  <c r="CL579" i="129" s="1"/>
  <c r="AF579" i="129"/>
  <c r="AC579" i="129"/>
  <c r="S579" i="129"/>
  <c r="R579" i="129"/>
  <c r="Q579" i="129"/>
  <c r="CA578" i="129"/>
  <c r="BZ578" i="129"/>
  <c r="BS578" i="129"/>
  <c r="BR578" i="129"/>
  <c r="BN578" i="129"/>
  <c r="AP578" i="129"/>
  <c r="AO578" i="129"/>
  <c r="AN578" i="129"/>
  <c r="AL578" i="129"/>
  <c r="AI578" i="129"/>
  <c r="CL578" i="129" s="1"/>
  <c r="AF578" i="129"/>
  <c r="AC578" i="129"/>
  <c r="S578" i="129"/>
  <c r="R578" i="129"/>
  <c r="Q578" i="129"/>
  <c r="CA577" i="129"/>
  <c r="BZ577" i="129"/>
  <c r="BS577" i="129"/>
  <c r="BR577" i="129"/>
  <c r="BN577" i="129"/>
  <c r="AP577" i="129"/>
  <c r="AO577" i="129"/>
  <c r="AN577" i="129"/>
  <c r="AL577" i="129"/>
  <c r="AI577" i="129"/>
  <c r="CL577" i="129" s="1"/>
  <c r="AF577" i="129"/>
  <c r="AC577" i="129"/>
  <c r="S577" i="129"/>
  <c r="R577" i="129"/>
  <c r="Q577" i="129"/>
  <c r="CA576" i="129"/>
  <c r="BZ576" i="129"/>
  <c r="BS576" i="129"/>
  <c r="BR576" i="129"/>
  <c r="BN576" i="129"/>
  <c r="AP576" i="129"/>
  <c r="AO576" i="129"/>
  <c r="AN576" i="129"/>
  <c r="AL576" i="129"/>
  <c r="AI576" i="129"/>
  <c r="CL576" i="129" s="1"/>
  <c r="AF576" i="129"/>
  <c r="AC576" i="129"/>
  <c r="S576" i="129"/>
  <c r="R576" i="129"/>
  <c r="Q576" i="129"/>
  <c r="CA575" i="129"/>
  <c r="BZ575" i="129"/>
  <c r="BS575" i="129"/>
  <c r="BR575" i="129"/>
  <c r="BN575" i="129"/>
  <c r="AP575" i="129"/>
  <c r="AO575" i="129"/>
  <c r="AN575" i="129"/>
  <c r="AL575" i="129"/>
  <c r="AI575" i="129"/>
  <c r="CL575" i="129" s="1"/>
  <c r="AF575" i="129"/>
  <c r="AC575" i="129"/>
  <c r="S575" i="129"/>
  <c r="R575" i="129"/>
  <c r="Q575" i="129"/>
  <c r="CA574" i="129"/>
  <c r="BZ574" i="129"/>
  <c r="BS574" i="129"/>
  <c r="BR574" i="129"/>
  <c r="BN574" i="129"/>
  <c r="AP574" i="129"/>
  <c r="AO574" i="129"/>
  <c r="AN574" i="129"/>
  <c r="AL574" i="129"/>
  <c r="AI574" i="129"/>
  <c r="CL574" i="129" s="1"/>
  <c r="AF574" i="129"/>
  <c r="AC574" i="129"/>
  <c r="S574" i="129"/>
  <c r="R574" i="129"/>
  <c r="Q574" i="129"/>
  <c r="CA573" i="129"/>
  <c r="BZ573" i="129"/>
  <c r="BS573" i="129"/>
  <c r="BR573" i="129"/>
  <c r="BN573" i="129"/>
  <c r="AP573" i="129"/>
  <c r="AO573" i="129"/>
  <c r="AN573" i="129"/>
  <c r="AL573" i="129"/>
  <c r="AI573" i="129"/>
  <c r="CL573" i="129" s="1"/>
  <c r="AF573" i="129"/>
  <c r="AC573" i="129"/>
  <c r="S573" i="129"/>
  <c r="R573" i="129"/>
  <c r="Q573" i="129"/>
  <c r="CA572" i="129"/>
  <c r="BZ572" i="129"/>
  <c r="BS572" i="129"/>
  <c r="BR572" i="129"/>
  <c r="BN572" i="129"/>
  <c r="AP572" i="129"/>
  <c r="AO572" i="129"/>
  <c r="AN572" i="129"/>
  <c r="AL572" i="129"/>
  <c r="AI572" i="129"/>
  <c r="CL572" i="129" s="1"/>
  <c r="AF572" i="129"/>
  <c r="AC572" i="129"/>
  <c r="S572" i="129"/>
  <c r="R572" i="129"/>
  <c r="Q572" i="129"/>
  <c r="CA571" i="129"/>
  <c r="BZ571" i="129"/>
  <c r="BS571" i="129"/>
  <c r="BR571" i="129"/>
  <c r="BN571" i="129"/>
  <c r="AP571" i="129"/>
  <c r="AO571" i="129"/>
  <c r="AN571" i="129"/>
  <c r="AL571" i="129"/>
  <c r="AI571" i="129"/>
  <c r="CL571" i="129" s="1"/>
  <c r="AF571" i="129"/>
  <c r="AC571" i="129"/>
  <c r="S571" i="129"/>
  <c r="R571" i="129"/>
  <c r="Q571" i="129"/>
  <c r="CA570" i="129"/>
  <c r="BZ570" i="129"/>
  <c r="BS570" i="129"/>
  <c r="BR570" i="129"/>
  <c r="BN570" i="129"/>
  <c r="AP570" i="129"/>
  <c r="AO570" i="129"/>
  <c r="AN570" i="129"/>
  <c r="AL570" i="129"/>
  <c r="AI570" i="129"/>
  <c r="CL570" i="129" s="1"/>
  <c r="AF570" i="129"/>
  <c r="AC570" i="129"/>
  <c r="S570" i="129"/>
  <c r="R570" i="129"/>
  <c r="Q570" i="129"/>
  <c r="CA569" i="129"/>
  <c r="BZ569" i="129"/>
  <c r="BS569" i="129"/>
  <c r="BR569" i="129"/>
  <c r="BN569" i="129"/>
  <c r="AP569" i="129"/>
  <c r="AO569" i="129"/>
  <c r="AN569" i="129"/>
  <c r="AL569" i="129"/>
  <c r="AI569" i="129"/>
  <c r="CL569" i="129" s="1"/>
  <c r="AF569" i="129"/>
  <c r="AC569" i="129"/>
  <c r="S569" i="129"/>
  <c r="R569" i="129"/>
  <c r="Q569" i="129"/>
  <c r="CA568" i="129"/>
  <c r="BZ568" i="129"/>
  <c r="BS568" i="129"/>
  <c r="BR568" i="129"/>
  <c r="BN568" i="129"/>
  <c r="AP568" i="129"/>
  <c r="AO568" i="129"/>
  <c r="AN568" i="129"/>
  <c r="AL568" i="129"/>
  <c r="AI568" i="129"/>
  <c r="CL568" i="129" s="1"/>
  <c r="AF568" i="129"/>
  <c r="AC568" i="129"/>
  <c r="S568" i="129"/>
  <c r="R568" i="129"/>
  <c r="Q568" i="129"/>
  <c r="CA567" i="129"/>
  <c r="BZ567" i="129"/>
  <c r="BS567" i="129"/>
  <c r="BR567" i="129"/>
  <c r="BN567" i="129"/>
  <c r="AP567" i="129"/>
  <c r="AO567" i="129"/>
  <c r="AN567" i="129"/>
  <c r="AL567" i="129"/>
  <c r="AI567" i="129"/>
  <c r="CL567" i="129" s="1"/>
  <c r="AF567" i="129"/>
  <c r="AC567" i="129"/>
  <c r="S567" i="129"/>
  <c r="R567" i="129"/>
  <c r="Q567" i="129"/>
  <c r="CA566" i="129"/>
  <c r="BZ566" i="129"/>
  <c r="BS566" i="129"/>
  <c r="BR566" i="129"/>
  <c r="BN566" i="129"/>
  <c r="AP566" i="129"/>
  <c r="AO566" i="129"/>
  <c r="AN566" i="129"/>
  <c r="AL566" i="129"/>
  <c r="AI566" i="129"/>
  <c r="CL566" i="129" s="1"/>
  <c r="AF566" i="129"/>
  <c r="AC566" i="129"/>
  <c r="S566" i="129"/>
  <c r="R566" i="129"/>
  <c r="Q566" i="129"/>
  <c r="CA565" i="129"/>
  <c r="BZ565" i="129"/>
  <c r="BS565" i="129"/>
  <c r="BR565" i="129"/>
  <c r="BN565" i="129"/>
  <c r="AP565" i="129"/>
  <c r="AO565" i="129"/>
  <c r="AN565" i="129"/>
  <c r="AL565" i="129"/>
  <c r="AI565" i="129"/>
  <c r="CL565" i="129" s="1"/>
  <c r="AF565" i="129"/>
  <c r="AC565" i="129"/>
  <c r="S565" i="129"/>
  <c r="R565" i="129"/>
  <c r="Q565" i="129"/>
  <c r="CA564" i="129"/>
  <c r="BZ564" i="129"/>
  <c r="BS564" i="129"/>
  <c r="BR564" i="129"/>
  <c r="BN564" i="129"/>
  <c r="AP564" i="129"/>
  <c r="AO564" i="129"/>
  <c r="AN564" i="129"/>
  <c r="AL564" i="129"/>
  <c r="AI564" i="129"/>
  <c r="CL564" i="129" s="1"/>
  <c r="AF564" i="129"/>
  <c r="AC564" i="129"/>
  <c r="S564" i="129"/>
  <c r="R564" i="129"/>
  <c r="Q564" i="129"/>
  <c r="CA563" i="129"/>
  <c r="BZ563" i="129"/>
  <c r="BS563" i="129"/>
  <c r="BR563" i="129"/>
  <c r="BN563" i="129"/>
  <c r="AP563" i="129"/>
  <c r="AO563" i="129"/>
  <c r="AN563" i="129"/>
  <c r="AL563" i="129"/>
  <c r="AI563" i="129"/>
  <c r="CL563" i="129" s="1"/>
  <c r="AF563" i="129"/>
  <c r="AC563" i="129"/>
  <c r="S563" i="129"/>
  <c r="R563" i="129"/>
  <c r="Q563" i="129"/>
  <c r="CA562" i="129"/>
  <c r="BZ562" i="129"/>
  <c r="BS562" i="129"/>
  <c r="BR562" i="129"/>
  <c r="BN562" i="129"/>
  <c r="AP562" i="129"/>
  <c r="AO562" i="129"/>
  <c r="AN562" i="129"/>
  <c r="AL562" i="129"/>
  <c r="AI562" i="129"/>
  <c r="CL562" i="129" s="1"/>
  <c r="AF562" i="129"/>
  <c r="AC562" i="129"/>
  <c r="S562" i="129"/>
  <c r="R562" i="129"/>
  <c r="Q562" i="129"/>
  <c r="CA561" i="129"/>
  <c r="BZ561" i="129"/>
  <c r="BS561" i="129"/>
  <c r="BR561" i="129"/>
  <c r="BN561" i="129"/>
  <c r="AP561" i="129"/>
  <c r="AO561" i="129"/>
  <c r="AN561" i="129"/>
  <c r="AL561" i="129"/>
  <c r="AI561" i="129"/>
  <c r="CL561" i="129" s="1"/>
  <c r="AF561" i="129"/>
  <c r="AC561" i="129"/>
  <c r="S561" i="129"/>
  <c r="R561" i="129"/>
  <c r="Q561" i="129"/>
  <c r="CA560" i="129"/>
  <c r="BZ560" i="129"/>
  <c r="BS560" i="129"/>
  <c r="BR560" i="129"/>
  <c r="BN560" i="129"/>
  <c r="AP560" i="129"/>
  <c r="AO560" i="129"/>
  <c r="AN560" i="129"/>
  <c r="AL560" i="129"/>
  <c r="AI560" i="129"/>
  <c r="CL560" i="129" s="1"/>
  <c r="AF560" i="129"/>
  <c r="AC560" i="129"/>
  <c r="S560" i="129"/>
  <c r="R560" i="129"/>
  <c r="Q560" i="129"/>
  <c r="CA559" i="129"/>
  <c r="BZ559" i="129"/>
  <c r="BS559" i="129"/>
  <c r="BR559" i="129"/>
  <c r="BN559" i="129"/>
  <c r="AP559" i="129"/>
  <c r="AO559" i="129"/>
  <c r="AN559" i="129"/>
  <c r="AL559" i="129"/>
  <c r="AI559" i="129"/>
  <c r="CL559" i="129" s="1"/>
  <c r="AF559" i="129"/>
  <c r="AC559" i="129"/>
  <c r="S559" i="129"/>
  <c r="R559" i="129"/>
  <c r="Q559" i="129"/>
  <c r="CA558" i="129"/>
  <c r="BZ558" i="129"/>
  <c r="BS558" i="129"/>
  <c r="BR558" i="129"/>
  <c r="BN558" i="129"/>
  <c r="AP558" i="129"/>
  <c r="AO558" i="129"/>
  <c r="AN558" i="129"/>
  <c r="AL558" i="129"/>
  <c r="AI558" i="129"/>
  <c r="CL558" i="129" s="1"/>
  <c r="AF558" i="129"/>
  <c r="AC558" i="129"/>
  <c r="S558" i="129"/>
  <c r="R558" i="129"/>
  <c r="Q558" i="129"/>
  <c r="CA557" i="129"/>
  <c r="BZ557" i="129"/>
  <c r="BS557" i="129"/>
  <c r="BR557" i="129"/>
  <c r="BN557" i="129"/>
  <c r="AP557" i="129"/>
  <c r="AO557" i="129"/>
  <c r="AN557" i="129"/>
  <c r="AL557" i="129"/>
  <c r="AI557" i="129"/>
  <c r="CL557" i="129" s="1"/>
  <c r="AF557" i="129"/>
  <c r="AC557" i="129"/>
  <c r="S557" i="129"/>
  <c r="R557" i="129"/>
  <c r="Q557" i="129"/>
  <c r="CA556" i="129"/>
  <c r="BZ556" i="129"/>
  <c r="BS556" i="129"/>
  <c r="BR556" i="129"/>
  <c r="BN556" i="129"/>
  <c r="AP556" i="129"/>
  <c r="AO556" i="129"/>
  <c r="AN556" i="129"/>
  <c r="AL556" i="129"/>
  <c r="AI556" i="129"/>
  <c r="CL556" i="129" s="1"/>
  <c r="AF556" i="129"/>
  <c r="AC556" i="129"/>
  <c r="S556" i="129"/>
  <c r="R556" i="129"/>
  <c r="Q556" i="129"/>
  <c r="CA555" i="129"/>
  <c r="BZ555" i="129"/>
  <c r="BS555" i="129"/>
  <c r="BR555" i="129"/>
  <c r="BN555" i="129"/>
  <c r="AP555" i="129"/>
  <c r="AO555" i="129"/>
  <c r="AN555" i="129"/>
  <c r="AL555" i="129"/>
  <c r="AI555" i="129"/>
  <c r="CL555" i="129" s="1"/>
  <c r="AF555" i="129"/>
  <c r="AC555" i="129"/>
  <c r="S555" i="129"/>
  <c r="R555" i="129"/>
  <c r="Q555" i="129"/>
  <c r="CA554" i="129"/>
  <c r="BZ554" i="129"/>
  <c r="BS554" i="129"/>
  <c r="BR554" i="129"/>
  <c r="BN554" i="129"/>
  <c r="AP554" i="129"/>
  <c r="AO554" i="129"/>
  <c r="AN554" i="129"/>
  <c r="AL554" i="129"/>
  <c r="AI554" i="129"/>
  <c r="CL554" i="129" s="1"/>
  <c r="AF554" i="129"/>
  <c r="AC554" i="129"/>
  <c r="S554" i="129"/>
  <c r="R554" i="129"/>
  <c r="Q554" i="129"/>
  <c r="CA553" i="129"/>
  <c r="BZ553" i="129"/>
  <c r="BS553" i="129"/>
  <c r="BR553" i="129"/>
  <c r="BN553" i="129"/>
  <c r="AP553" i="129"/>
  <c r="AO553" i="129"/>
  <c r="AN553" i="129"/>
  <c r="AL553" i="129"/>
  <c r="AI553" i="129"/>
  <c r="CL553" i="129" s="1"/>
  <c r="AF553" i="129"/>
  <c r="AC553" i="129"/>
  <c r="S553" i="129"/>
  <c r="R553" i="129"/>
  <c r="Q553" i="129"/>
  <c r="CA552" i="129"/>
  <c r="BZ552" i="129"/>
  <c r="BS552" i="129"/>
  <c r="BR552" i="129"/>
  <c r="BN552" i="129"/>
  <c r="AP552" i="129"/>
  <c r="AO552" i="129"/>
  <c r="AN552" i="129"/>
  <c r="AL552" i="129"/>
  <c r="AI552" i="129"/>
  <c r="CL552" i="129" s="1"/>
  <c r="AF552" i="129"/>
  <c r="AC552" i="129"/>
  <c r="S552" i="129"/>
  <c r="R552" i="129"/>
  <c r="Q552" i="129"/>
  <c r="CA551" i="129"/>
  <c r="BZ551" i="129"/>
  <c r="BS551" i="129"/>
  <c r="BR551" i="129"/>
  <c r="BN551" i="129"/>
  <c r="AP551" i="129"/>
  <c r="AO551" i="129"/>
  <c r="AN551" i="129"/>
  <c r="AL551" i="129"/>
  <c r="AI551" i="129"/>
  <c r="CL551" i="129" s="1"/>
  <c r="AF551" i="129"/>
  <c r="AC551" i="129"/>
  <c r="S551" i="129"/>
  <c r="R551" i="129"/>
  <c r="Q551" i="129"/>
  <c r="CA550" i="129"/>
  <c r="BZ550" i="129"/>
  <c r="BS550" i="129"/>
  <c r="BR550" i="129"/>
  <c r="BN550" i="129"/>
  <c r="AP550" i="129"/>
  <c r="AO550" i="129"/>
  <c r="AN550" i="129"/>
  <c r="AL550" i="129"/>
  <c r="AI550" i="129"/>
  <c r="CL550" i="129" s="1"/>
  <c r="AF550" i="129"/>
  <c r="AC550" i="129"/>
  <c r="S550" i="129"/>
  <c r="R550" i="129"/>
  <c r="Q550" i="129"/>
  <c r="CA549" i="129"/>
  <c r="BZ549" i="129"/>
  <c r="BS549" i="129"/>
  <c r="BR549" i="129"/>
  <c r="BN549" i="129"/>
  <c r="AP549" i="129"/>
  <c r="AO549" i="129"/>
  <c r="AN549" i="129"/>
  <c r="AL549" i="129"/>
  <c r="AI549" i="129"/>
  <c r="CL549" i="129" s="1"/>
  <c r="AF549" i="129"/>
  <c r="AC549" i="129"/>
  <c r="S549" i="129"/>
  <c r="R549" i="129"/>
  <c r="Q549" i="129"/>
  <c r="CA548" i="129"/>
  <c r="BZ548" i="129"/>
  <c r="BS548" i="129"/>
  <c r="BR548" i="129"/>
  <c r="BN548" i="129"/>
  <c r="AP548" i="129"/>
  <c r="AO548" i="129"/>
  <c r="AN548" i="129"/>
  <c r="AL548" i="129"/>
  <c r="AI548" i="129"/>
  <c r="CL548" i="129" s="1"/>
  <c r="AF548" i="129"/>
  <c r="AC548" i="129"/>
  <c r="S548" i="129"/>
  <c r="R548" i="129"/>
  <c r="Q548" i="129"/>
  <c r="CA547" i="129"/>
  <c r="BZ547" i="129"/>
  <c r="BS547" i="129"/>
  <c r="BR547" i="129"/>
  <c r="BN547" i="129"/>
  <c r="AP547" i="129"/>
  <c r="AO547" i="129"/>
  <c r="AN547" i="129"/>
  <c r="AL547" i="129"/>
  <c r="AI547" i="129"/>
  <c r="CL547" i="129" s="1"/>
  <c r="AF547" i="129"/>
  <c r="AC547" i="129"/>
  <c r="S547" i="129"/>
  <c r="R547" i="129"/>
  <c r="Q547" i="129"/>
  <c r="CA546" i="129"/>
  <c r="BZ546" i="129"/>
  <c r="BS546" i="129"/>
  <c r="BR546" i="129"/>
  <c r="BN546" i="129"/>
  <c r="AP546" i="129"/>
  <c r="AO546" i="129"/>
  <c r="AN546" i="129"/>
  <c r="AL546" i="129"/>
  <c r="AI546" i="129"/>
  <c r="CL546" i="129" s="1"/>
  <c r="AF546" i="129"/>
  <c r="AC546" i="129"/>
  <c r="S546" i="129"/>
  <c r="R546" i="129"/>
  <c r="Q546" i="129"/>
  <c r="CA545" i="129"/>
  <c r="BZ545" i="129"/>
  <c r="BS545" i="129"/>
  <c r="BR545" i="129"/>
  <c r="BN545" i="129"/>
  <c r="AP545" i="129"/>
  <c r="AO545" i="129"/>
  <c r="AN545" i="129"/>
  <c r="AL545" i="129"/>
  <c r="AI545" i="129"/>
  <c r="CL545" i="129" s="1"/>
  <c r="AF545" i="129"/>
  <c r="AC545" i="129"/>
  <c r="S545" i="129"/>
  <c r="R545" i="129"/>
  <c r="Q545" i="129"/>
  <c r="CA544" i="129"/>
  <c r="BZ544" i="129"/>
  <c r="BS544" i="129"/>
  <c r="BR544" i="129"/>
  <c r="BN544" i="129"/>
  <c r="AP544" i="129"/>
  <c r="AO544" i="129"/>
  <c r="AN544" i="129"/>
  <c r="AL544" i="129"/>
  <c r="AI544" i="129"/>
  <c r="CL544" i="129" s="1"/>
  <c r="AF544" i="129"/>
  <c r="AC544" i="129"/>
  <c r="S544" i="129"/>
  <c r="R544" i="129"/>
  <c r="Q544" i="129"/>
  <c r="CA543" i="129"/>
  <c r="BZ543" i="129"/>
  <c r="BS543" i="129"/>
  <c r="BR543" i="129"/>
  <c r="BN543" i="129"/>
  <c r="AP543" i="129"/>
  <c r="AO543" i="129"/>
  <c r="AN543" i="129"/>
  <c r="AL543" i="129"/>
  <c r="AI543" i="129"/>
  <c r="CL543" i="129" s="1"/>
  <c r="AF543" i="129"/>
  <c r="AC543" i="129"/>
  <c r="S543" i="129"/>
  <c r="R543" i="129"/>
  <c r="Q543" i="129"/>
  <c r="CA542" i="129"/>
  <c r="BZ542" i="129"/>
  <c r="BS542" i="129"/>
  <c r="BR542" i="129"/>
  <c r="BN542" i="129"/>
  <c r="AP542" i="129"/>
  <c r="AO542" i="129"/>
  <c r="AN542" i="129"/>
  <c r="AL542" i="129"/>
  <c r="AI542" i="129"/>
  <c r="CL542" i="129" s="1"/>
  <c r="AF542" i="129"/>
  <c r="AC542" i="129"/>
  <c r="S542" i="129"/>
  <c r="R542" i="129"/>
  <c r="Q542" i="129"/>
  <c r="CA541" i="129"/>
  <c r="BZ541" i="129"/>
  <c r="BS541" i="129"/>
  <c r="BR541" i="129"/>
  <c r="BN541" i="129"/>
  <c r="AP541" i="129"/>
  <c r="AO541" i="129"/>
  <c r="AN541" i="129"/>
  <c r="AL541" i="129"/>
  <c r="AI541" i="129"/>
  <c r="CL541" i="129" s="1"/>
  <c r="AF541" i="129"/>
  <c r="AC541" i="129"/>
  <c r="S541" i="129"/>
  <c r="R541" i="129"/>
  <c r="Q541" i="129"/>
  <c r="CA540" i="129"/>
  <c r="BZ540" i="129"/>
  <c r="BS540" i="129"/>
  <c r="BR540" i="129"/>
  <c r="BN540" i="129"/>
  <c r="AP540" i="129"/>
  <c r="AO540" i="129"/>
  <c r="AN540" i="129"/>
  <c r="AL540" i="129"/>
  <c r="AI540" i="129"/>
  <c r="CL540" i="129" s="1"/>
  <c r="AF540" i="129"/>
  <c r="AC540" i="129"/>
  <c r="S540" i="129"/>
  <c r="R540" i="129"/>
  <c r="Q540" i="129"/>
  <c r="CA539" i="129"/>
  <c r="BZ539" i="129"/>
  <c r="BS539" i="129"/>
  <c r="BR539" i="129"/>
  <c r="BN539" i="129"/>
  <c r="AP539" i="129"/>
  <c r="AO539" i="129"/>
  <c r="AN539" i="129"/>
  <c r="AL539" i="129"/>
  <c r="AI539" i="129"/>
  <c r="CL539" i="129" s="1"/>
  <c r="AF539" i="129"/>
  <c r="AC539" i="129"/>
  <c r="S539" i="129"/>
  <c r="R539" i="129"/>
  <c r="Q539" i="129"/>
  <c r="CA538" i="129"/>
  <c r="BZ538" i="129"/>
  <c r="BS538" i="129"/>
  <c r="BR538" i="129"/>
  <c r="BN538" i="129"/>
  <c r="AP538" i="129"/>
  <c r="AO538" i="129"/>
  <c r="AN538" i="129"/>
  <c r="AL538" i="129"/>
  <c r="AI538" i="129"/>
  <c r="CL538" i="129" s="1"/>
  <c r="AF538" i="129"/>
  <c r="AC538" i="129"/>
  <c r="S538" i="129"/>
  <c r="R538" i="129"/>
  <c r="Q538" i="129"/>
  <c r="CA537" i="129"/>
  <c r="BZ537" i="129"/>
  <c r="BS537" i="129"/>
  <c r="BR537" i="129"/>
  <c r="BN537" i="129"/>
  <c r="AP537" i="129"/>
  <c r="AO537" i="129"/>
  <c r="AN537" i="129"/>
  <c r="AL537" i="129"/>
  <c r="AI537" i="129"/>
  <c r="CL537" i="129" s="1"/>
  <c r="AF537" i="129"/>
  <c r="AC537" i="129"/>
  <c r="S537" i="129"/>
  <c r="R537" i="129"/>
  <c r="Q537" i="129"/>
  <c r="CA536" i="129"/>
  <c r="BZ536" i="129"/>
  <c r="BS536" i="129"/>
  <c r="BR536" i="129"/>
  <c r="BN536" i="129"/>
  <c r="AP536" i="129"/>
  <c r="AO536" i="129"/>
  <c r="AN536" i="129"/>
  <c r="AL536" i="129"/>
  <c r="AI536" i="129"/>
  <c r="CL536" i="129" s="1"/>
  <c r="AF536" i="129"/>
  <c r="AC536" i="129"/>
  <c r="S536" i="129"/>
  <c r="R536" i="129"/>
  <c r="Q536" i="129"/>
  <c r="CA535" i="129"/>
  <c r="BZ535" i="129"/>
  <c r="BS535" i="129"/>
  <c r="BR535" i="129"/>
  <c r="BN535" i="129"/>
  <c r="AP535" i="129"/>
  <c r="AO535" i="129"/>
  <c r="AN535" i="129"/>
  <c r="AL535" i="129"/>
  <c r="AI535" i="129"/>
  <c r="CL535" i="129" s="1"/>
  <c r="AF535" i="129"/>
  <c r="AC535" i="129"/>
  <c r="S535" i="129"/>
  <c r="R535" i="129"/>
  <c r="Q535" i="129"/>
  <c r="CA534" i="129"/>
  <c r="BZ534" i="129"/>
  <c r="BS534" i="129"/>
  <c r="BR534" i="129"/>
  <c r="BN534" i="129"/>
  <c r="AP534" i="129"/>
  <c r="AO534" i="129"/>
  <c r="AN534" i="129"/>
  <c r="AL534" i="129"/>
  <c r="AI534" i="129"/>
  <c r="CL534" i="129" s="1"/>
  <c r="AF534" i="129"/>
  <c r="AC534" i="129"/>
  <c r="S534" i="129"/>
  <c r="R534" i="129"/>
  <c r="Q534" i="129"/>
  <c r="CA533" i="129"/>
  <c r="BZ533" i="129"/>
  <c r="BS533" i="129"/>
  <c r="BR533" i="129"/>
  <c r="BN533" i="129"/>
  <c r="AP533" i="129"/>
  <c r="AO533" i="129"/>
  <c r="AN533" i="129"/>
  <c r="AL533" i="129"/>
  <c r="AI533" i="129"/>
  <c r="CL533" i="129" s="1"/>
  <c r="AF533" i="129"/>
  <c r="AC533" i="129"/>
  <c r="S533" i="129"/>
  <c r="R533" i="129"/>
  <c r="Q533" i="129"/>
  <c r="CA532" i="129"/>
  <c r="BZ532" i="129"/>
  <c r="BS532" i="129"/>
  <c r="BR532" i="129"/>
  <c r="BN532" i="129"/>
  <c r="AP532" i="129"/>
  <c r="AO532" i="129"/>
  <c r="AN532" i="129"/>
  <c r="AL532" i="129"/>
  <c r="AI532" i="129"/>
  <c r="CL532" i="129" s="1"/>
  <c r="AF532" i="129"/>
  <c r="AC532" i="129"/>
  <c r="S532" i="129"/>
  <c r="R532" i="129"/>
  <c r="Q532" i="129"/>
  <c r="CA531" i="129"/>
  <c r="BZ531" i="129"/>
  <c r="BS531" i="129"/>
  <c r="BR531" i="129"/>
  <c r="BN531" i="129"/>
  <c r="AP531" i="129"/>
  <c r="AO531" i="129"/>
  <c r="AN531" i="129"/>
  <c r="AL531" i="129"/>
  <c r="AI531" i="129"/>
  <c r="CL531" i="129" s="1"/>
  <c r="AF531" i="129"/>
  <c r="AC531" i="129"/>
  <c r="S531" i="129"/>
  <c r="R531" i="129"/>
  <c r="Q531" i="129"/>
  <c r="CA530" i="129"/>
  <c r="BZ530" i="129"/>
  <c r="BS530" i="129"/>
  <c r="BR530" i="129"/>
  <c r="BN530" i="129"/>
  <c r="AP530" i="129"/>
  <c r="AO530" i="129"/>
  <c r="AN530" i="129"/>
  <c r="AL530" i="129"/>
  <c r="AI530" i="129"/>
  <c r="CL530" i="129" s="1"/>
  <c r="AF530" i="129"/>
  <c r="AC530" i="129"/>
  <c r="S530" i="129"/>
  <c r="R530" i="129"/>
  <c r="Q530" i="129"/>
  <c r="CA529" i="129"/>
  <c r="BZ529" i="129"/>
  <c r="BS529" i="129"/>
  <c r="BR529" i="129"/>
  <c r="BN529" i="129"/>
  <c r="AP529" i="129"/>
  <c r="AO529" i="129"/>
  <c r="AN529" i="129"/>
  <c r="AL529" i="129"/>
  <c r="AI529" i="129"/>
  <c r="CL529" i="129" s="1"/>
  <c r="AF529" i="129"/>
  <c r="AC529" i="129"/>
  <c r="S529" i="129"/>
  <c r="R529" i="129"/>
  <c r="Q529" i="129"/>
  <c r="CA528" i="129"/>
  <c r="BZ528" i="129"/>
  <c r="BS528" i="129"/>
  <c r="BR528" i="129"/>
  <c r="BN528" i="129"/>
  <c r="AP528" i="129"/>
  <c r="AO528" i="129"/>
  <c r="AN528" i="129"/>
  <c r="AL528" i="129"/>
  <c r="AI528" i="129"/>
  <c r="CL528" i="129" s="1"/>
  <c r="AF528" i="129"/>
  <c r="AC528" i="129"/>
  <c r="S528" i="129"/>
  <c r="R528" i="129"/>
  <c r="Q528" i="129"/>
  <c r="CA527" i="129"/>
  <c r="BZ527" i="129"/>
  <c r="BS527" i="129"/>
  <c r="BR527" i="129"/>
  <c r="BN527" i="129"/>
  <c r="AP527" i="129"/>
  <c r="AO527" i="129"/>
  <c r="AN527" i="129"/>
  <c r="AL527" i="129"/>
  <c r="AI527" i="129"/>
  <c r="CL527" i="129" s="1"/>
  <c r="AF527" i="129"/>
  <c r="AC527" i="129"/>
  <c r="S527" i="129"/>
  <c r="R527" i="129"/>
  <c r="Q527" i="129"/>
  <c r="CA526" i="129"/>
  <c r="BZ526" i="129"/>
  <c r="BS526" i="129"/>
  <c r="BR526" i="129"/>
  <c r="BN526" i="129"/>
  <c r="AP526" i="129"/>
  <c r="AO526" i="129"/>
  <c r="AN526" i="129"/>
  <c r="AL526" i="129"/>
  <c r="AI526" i="129"/>
  <c r="CL526" i="129" s="1"/>
  <c r="AF526" i="129"/>
  <c r="AC526" i="129"/>
  <c r="S526" i="129"/>
  <c r="R526" i="129"/>
  <c r="Q526" i="129"/>
  <c r="CA525" i="129"/>
  <c r="BZ525" i="129"/>
  <c r="BS525" i="129"/>
  <c r="BR525" i="129"/>
  <c r="BN525" i="129"/>
  <c r="AP525" i="129"/>
  <c r="AO525" i="129"/>
  <c r="AN525" i="129"/>
  <c r="AL525" i="129"/>
  <c r="AI525" i="129"/>
  <c r="CL525" i="129" s="1"/>
  <c r="AF525" i="129"/>
  <c r="AC525" i="129"/>
  <c r="S525" i="129"/>
  <c r="R525" i="129"/>
  <c r="Q525" i="129"/>
  <c r="CA524" i="129"/>
  <c r="BZ524" i="129"/>
  <c r="BS524" i="129"/>
  <c r="BR524" i="129"/>
  <c r="BN524" i="129"/>
  <c r="AP524" i="129"/>
  <c r="AO524" i="129"/>
  <c r="AN524" i="129"/>
  <c r="AL524" i="129"/>
  <c r="AI524" i="129"/>
  <c r="CL524" i="129" s="1"/>
  <c r="AF524" i="129"/>
  <c r="AC524" i="129"/>
  <c r="S524" i="129"/>
  <c r="R524" i="129"/>
  <c r="Q524" i="129"/>
  <c r="CA523" i="129"/>
  <c r="BZ523" i="129"/>
  <c r="BS523" i="129"/>
  <c r="BR523" i="129"/>
  <c r="BN523" i="129"/>
  <c r="AP523" i="129"/>
  <c r="AO523" i="129"/>
  <c r="AN523" i="129"/>
  <c r="AL523" i="129"/>
  <c r="AI523" i="129"/>
  <c r="CL523" i="129" s="1"/>
  <c r="AF523" i="129"/>
  <c r="AC523" i="129"/>
  <c r="S523" i="129"/>
  <c r="R523" i="129"/>
  <c r="Q523" i="129"/>
  <c r="CA522" i="129"/>
  <c r="BZ522" i="129"/>
  <c r="BS522" i="129"/>
  <c r="BR522" i="129"/>
  <c r="BN522" i="129"/>
  <c r="AP522" i="129"/>
  <c r="AO522" i="129"/>
  <c r="AN522" i="129"/>
  <c r="AL522" i="129"/>
  <c r="AI522" i="129"/>
  <c r="CL522" i="129" s="1"/>
  <c r="AF522" i="129"/>
  <c r="AC522" i="129"/>
  <c r="S522" i="129"/>
  <c r="R522" i="129"/>
  <c r="Q522" i="129"/>
  <c r="CA521" i="129"/>
  <c r="BZ521" i="129"/>
  <c r="BS521" i="129"/>
  <c r="BR521" i="129"/>
  <c r="BN521" i="129"/>
  <c r="AP521" i="129"/>
  <c r="AO521" i="129"/>
  <c r="AN521" i="129"/>
  <c r="AL521" i="129"/>
  <c r="AI521" i="129"/>
  <c r="CL521" i="129" s="1"/>
  <c r="AF521" i="129"/>
  <c r="AC521" i="129"/>
  <c r="S521" i="129"/>
  <c r="R521" i="129"/>
  <c r="Q521" i="129"/>
  <c r="CA520" i="129"/>
  <c r="BZ520" i="129"/>
  <c r="BS520" i="129"/>
  <c r="BR520" i="129"/>
  <c r="BN520" i="129"/>
  <c r="AP520" i="129"/>
  <c r="AO520" i="129"/>
  <c r="AN520" i="129"/>
  <c r="AL520" i="129"/>
  <c r="AI520" i="129"/>
  <c r="CL520" i="129" s="1"/>
  <c r="AF520" i="129"/>
  <c r="AC520" i="129"/>
  <c r="S520" i="129"/>
  <c r="R520" i="129"/>
  <c r="Q520" i="129"/>
  <c r="CA519" i="129"/>
  <c r="BZ519" i="129"/>
  <c r="BS519" i="129"/>
  <c r="BR519" i="129"/>
  <c r="BN519" i="129"/>
  <c r="AP519" i="129"/>
  <c r="AO519" i="129"/>
  <c r="AN519" i="129"/>
  <c r="AL519" i="129"/>
  <c r="AI519" i="129"/>
  <c r="CL519" i="129" s="1"/>
  <c r="AF519" i="129"/>
  <c r="AC519" i="129"/>
  <c r="S519" i="129"/>
  <c r="R519" i="129"/>
  <c r="Q519" i="129"/>
  <c r="CA518" i="129"/>
  <c r="BZ518" i="129"/>
  <c r="BS518" i="129"/>
  <c r="BR518" i="129"/>
  <c r="BN518" i="129"/>
  <c r="AP518" i="129"/>
  <c r="AO518" i="129"/>
  <c r="AN518" i="129"/>
  <c r="AL518" i="129"/>
  <c r="AI518" i="129"/>
  <c r="CL518" i="129" s="1"/>
  <c r="AF518" i="129"/>
  <c r="AC518" i="129"/>
  <c r="S518" i="129"/>
  <c r="R518" i="129"/>
  <c r="Q518" i="129"/>
  <c r="CA517" i="129"/>
  <c r="BZ517" i="129"/>
  <c r="BS517" i="129"/>
  <c r="BR517" i="129"/>
  <c r="BN517" i="129"/>
  <c r="AP517" i="129"/>
  <c r="AO517" i="129"/>
  <c r="AN517" i="129"/>
  <c r="AL517" i="129"/>
  <c r="AI517" i="129"/>
  <c r="CL517" i="129" s="1"/>
  <c r="AF517" i="129"/>
  <c r="AC517" i="129"/>
  <c r="S517" i="129"/>
  <c r="R517" i="129"/>
  <c r="Q517" i="129"/>
  <c r="CA516" i="129"/>
  <c r="BZ516" i="129"/>
  <c r="BS516" i="129"/>
  <c r="BR516" i="129"/>
  <c r="BN516" i="129"/>
  <c r="AP516" i="129"/>
  <c r="AO516" i="129"/>
  <c r="AN516" i="129"/>
  <c r="AL516" i="129"/>
  <c r="AI516" i="129"/>
  <c r="CL516" i="129" s="1"/>
  <c r="AF516" i="129"/>
  <c r="AC516" i="129"/>
  <c r="S516" i="129"/>
  <c r="R516" i="129"/>
  <c r="Q516" i="129"/>
  <c r="CA515" i="129"/>
  <c r="BZ515" i="129"/>
  <c r="BS515" i="129"/>
  <c r="BR515" i="129"/>
  <c r="BN515" i="129"/>
  <c r="AP515" i="129"/>
  <c r="AO515" i="129"/>
  <c r="AN515" i="129"/>
  <c r="AL515" i="129"/>
  <c r="AI515" i="129"/>
  <c r="CL515" i="129" s="1"/>
  <c r="AF515" i="129"/>
  <c r="AC515" i="129"/>
  <c r="S515" i="129"/>
  <c r="R515" i="129"/>
  <c r="Q515" i="129"/>
  <c r="CA514" i="129"/>
  <c r="BZ514" i="129"/>
  <c r="BS514" i="129"/>
  <c r="BR514" i="129"/>
  <c r="BN514" i="129"/>
  <c r="AP514" i="129"/>
  <c r="AO514" i="129"/>
  <c r="AN514" i="129"/>
  <c r="AL514" i="129"/>
  <c r="AI514" i="129"/>
  <c r="CL514" i="129" s="1"/>
  <c r="AF514" i="129"/>
  <c r="AC514" i="129"/>
  <c r="S514" i="129"/>
  <c r="R514" i="129"/>
  <c r="Q514" i="129"/>
  <c r="CA513" i="129"/>
  <c r="BZ513" i="129"/>
  <c r="BS513" i="129"/>
  <c r="BR513" i="129"/>
  <c r="BN513" i="129"/>
  <c r="AP513" i="129"/>
  <c r="AO513" i="129"/>
  <c r="AN513" i="129"/>
  <c r="AL513" i="129"/>
  <c r="AI513" i="129"/>
  <c r="CL513" i="129" s="1"/>
  <c r="AF513" i="129"/>
  <c r="AC513" i="129"/>
  <c r="S513" i="129"/>
  <c r="R513" i="129"/>
  <c r="Q513" i="129"/>
  <c r="CA512" i="129"/>
  <c r="BZ512" i="129"/>
  <c r="BS512" i="129"/>
  <c r="BR512" i="129"/>
  <c r="BN512" i="129"/>
  <c r="AP512" i="129"/>
  <c r="AO512" i="129"/>
  <c r="AN512" i="129"/>
  <c r="AL512" i="129"/>
  <c r="AI512" i="129"/>
  <c r="CL512" i="129" s="1"/>
  <c r="AF512" i="129"/>
  <c r="AC512" i="129"/>
  <c r="S512" i="129"/>
  <c r="R512" i="129"/>
  <c r="Q512" i="129"/>
  <c r="CA511" i="129"/>
  <c r="BZ511" i="129"/>
  <c r="BS511" i="129"/>
  <c r="BR511" i="129"/>
  <c r="BN511" i="129"/>
  <c r="AP511" i="129"/>
  <c r="AO511" i="129"/>
  <c r="AN511" i="129"/>
  <c r="AL511" i="129"/>
  <c r="AI511" i="129"/>
  <c r="CL511" i="129" s="1"/>
  <c r="AF511" i="129"/>
  <c r="AC511" i="129"/>
  <c r="S511" i="129"/>
  <c r="R511" i="129"/>
  <c r="Q511" i="129"/>
  <c r="CA510" i="129"/>
  <c r="BZ510" i="129"/>
  <c r="BS510" i="129"/>
  <c r="BR510" i="129"/>
  <c r="BN510" i="129"/>
  <c r="AP510" i="129"/>
  <c r="AO510" i="129"/>
  <c r="AN510" i="129"/>
  <c r="AL510" i="129"/>
  <c r="AI510" i="129"/>
  <c r="CL510" i="129" s="1"/>
  <c r="AF510" i="129"/>
  <c r="AC510" i="129"/>
  <c r="S510" i="129"/>
  <c r="R510" i="129"/>
  <c r="Q510" i="129"/>
  <c r="CA509" i="129"/>
  <c r="BZ509" i="129"/>
  <c r="BS509" i="129"/>
  <c r="BR509" i="129"/>
  <c r="BN509" i="129"/>
  <c r="AP509" i="129"/>
  <c r="AO509" i="129"/>
  <c r="AN509" i="129"/>
  <c r="AL509" i="129"/>
  <c r="AI509" i="129"/>
  <c r="CL509" i="129" s="1"/>
  <c r="AF509" i="129"/>
  <c r="AC509" i="129"/>
  <c r="S509" i="129"/>
  <c r="R509" i="129"/>
  <c r="Q509" i="129"/>
  <c r="CA508" i="129"/>
  <c r="BZ508" i="129"/>
  <c r="BS508" i="129"/>
  <c r="BR508" i="129"/>
  <c r="BN508" i="129"/>
  <c r="AP508" i="129"/>
  <c r="AO508" i="129"/>
  <c r="AN508" i="129"/>
  <c r="AL508" i="129"/>
  <c r="AI508" i="129"/>
  <c r="CL508" i="129" s="1"/>
  <c r="AF508" i="129"/>
  <c r="AC508" i="129"/>
  <c r="S508" i="129"/>
  <c r="R508" i="129"/>
  <c r="Q508" i="129"/>
  <c r="CA507" i="129"/>
  <c r="BZ507" i="129"/>
  <c r="BS507" i="129"/>
  <c r="BR507" i="129"/>
  <c r="BN507" i="129"/>
  <c r="AP507" i="129"/>
  <c r="AO507" i="129"/>
  <c r="AN507" i="129"/>
  <c r="AL507" i="129"/>
  <c r="AI507" i="129"/>
  <c r="CL507" i="129" s="1"/>
  <c r="AF507" i="129"/>
  <c r="AC507" i="129"/>
  <c r="S507" i="129"/>
  <c r="R507" i="129"/>
  <c r="Q507" i="129"/>
  <c r="CA506" i="129"/>
  <c r="BZ506" i="129"/>
  <c r="BS506" i="129"/>
  <c r="BR506" i="129"/>
  <c r="BN506" i="129"/>
  <c r="AP506" i="129"/>
  <c r="AO506" i="129"/>
  <c r="AN506" i="129"/>
  <c r="AL506" i="129"/>
  <c r="AI506" i="129"/>
  <c r="CL506" i="129" s="1"/>
  <c r="AF506" i="129"/>
  <c r="AC506" i="129"/>
  <c r="S506" i="129"/>
  <c r="R506" i="129"/>
  <c r="Q506" i="129"/>
  <c r="CA505" i="129"/>
  <c r="BZ505" i="129"/>
  <c r="BS505" i="129"/>
  <c r="BR505" i="129"/>
  <c r="BN505" i="129"/>
  <c r="AP505" i="129"/>
  <c r="AO505" i="129"/>
  <c r="AN505" i="129"/>
  <c r="AL505" i="129"/>
  <c r="AI505" i="129"/>
  <c r="CL505" i="129" s="1"/>
  <c r="AF505" i="129"/>
  <c r="AC505" i="129"/>
  <c r="S505" i="129"/>
  <c r="R505" i="129"/>
  <c r="Q505" i="129"/>
  <c r="CA504" i="129"/>
  <c r="BZ504" i="129"/>
  <c r="BS504" i="129"/>
  <c r="BR504" i="129"/>
  <c r="BN504" i="129"/>
  <c r="AP504" i="129"/>
  <c r="AO504" i="129"/>
  <c r="AN504" i="129"/>
  <c r="AL504" i="129"/>
  <c r="AI504" i="129"/>
  <c r="CL504" i="129" s="1"/>
  <c r="AF504" i="129"/>
  <c r="AC504" i="129"/>
  <c r="S504" i="129"/>
  <c r="R504" i="129"/>
  <c r="Q504" i="129"/>
  <c r="CA503" i="129"/>
  <c r="BZ503" i="129"/>
  <c r="BS503" i="129"/>
  <c r="BR503" i="129"/>
  <c r="BN503" i="129"/>
  <c r="AP503" i="129"/>
  <c r="AO503" i="129"/>
  <c r="AN503" i="129"/>
  <c r="AL503" i="129"/>
  <c r="AI503" i="129"/>
  <c r="CL503" i="129" s="1"/>
  <c r="AF503" i="129"/>
  <c r="AC503" i="129"/>
  <c r="S503" i="129"/>
  <c r="R503" i="129"/>
  <c r="Q503" i="129"/>
  <c r="CA502" i="129"/>
  <c r="BZ502" i="129"/>
  <c r="BS502" i="129"/>
  <c r="BR502" i="129"/>
  <c r="BN502" i="129"/>
  <c r="AP502" i="129"/>
  <c r="AO502" i="129"/>
  <c r="AN502" i="129"/>
  <c r="AL502" i="129"/>
  <c r="AI502" i="129"/>
  <c r="CL502" i="129" s="1"/>
  <c r="AF502" i="129"/>
  <c r="AC502" i="129"/>
  <c r="S502" i="129"/>
  <c r="R502" i="129"/>
  <c r="Q502" i="129"/>
  <c r="CA501" i="129"/>
  <c r="BZ501" i="129"/>
  <c r="BS501" i="129"/>
  <c r="BR501" i="129"/>
  <c r="BN501" i="129"/>
  <c r="AP501" i="129"/>
  <c r="AO501" i="129"/>
  <c r="AN501" i="129"/>
  <c r="AL501" i="129"/>
  <c r="AI501" i="129"/>
  <c r="CL501" i="129" s="1"/>
  <c r="AF501" i="129"/>
  <c r="AC501" i="129"/>
  <c r="S501" i="129"/>
  <c r="R501" i="129"/>
  <c r="Q501" i="129"/>
  <c r="CA500" i="129"/>
  <c r="BZ500" i="129"/>
  <c r="BS500" i="129"/>
  <c r="BR500" i="129"/>
  <c r="BN500" i="129"/>
  <c r="AP500" i="129"/>
  <c r="AO500" i="129"/>
  <c r="AN500" i="129"/>
  <c r="AL500" i="129"/>
  <c r="AI500" i="129"/>
  <c r="CL500" i="129" s="1"/>
  <c r="AF500" i="129"/>
  <c r="AC500" i="129"/>
  <c r="S500" i="129"/>
  <c r="R500" i="129"/>
  <c r="Q500" i="129"/>
  <c r="CA499" i="129"/>
  <c r="BZ499" i="129"/>
  <c r="BS499" i="129"/>
  <c r="BR499" i="129"/>
  <c r="BN499" i="129"/>
  <c r="AP499" i="129"/>
  <c r="AO499" i="129"/>
  <c r="AN499" i="129"/>
  <c r="AL499" i="129"/>
  <c r="AI499" i="129"/>
  <c r="CL499" i="129" s="1"/>
  <c r="AF499" i="129"/>
  <c r="AC499" i="129"/>
  <c r="S499" i="129"/>
  <c r="R499" i="129"/>
  <c r="Q499" i="129"/>
  <c r="CA498" i="129"/>
  <c r="BZ498" i="129"/>
  <c r="BS498" i="129"/>
  <c r="BR498" i="129"/>
  <c r="BN498" i="129"/>
  <c r="AP498" i="129"/>
  <c r="AO498" i="129"/>
  <c r="AN498" i="129"/>
  <c r="AL498" i="129"/>
  <c r="AI498" i="129"/>
  <c r="CL498" i="129" s="1"/>
  <c r="AF498" i="129"/>
  <c r="AC498" i="129"/>
  <c r="S498" i="129"/>
  <c r="R498" i="129"/>
  <c r="Q498" i="129"/>
  <c r="CA497" i="129"/>
  <c r="BZ497" i="129"/>
  <c r="BS497" i="129"/>
  <c r="BR497" i="129"/>
  <c r="BN497" i="129"/>
  <c r="AP497" i="129"/>
  <c r="AO497" i="129"/>
  <c r="AN497" i="129"/>
  <c r="AL497" i="129"/>
  <c r="AI497" i="129"/>
  <c r="CL497" i="129" s="1"/>
  <c r="AF497" i="129"/>
  <c r="AC497" i="129"/>
  <c r="S497" i="129"/>
  <c r="R497" i="129"/>
  <c r="Q497" i="129"/>
  <c r="CA496" i="129"/>
  <c r="BZ496" i="129"/>
  <c r="BS496" i="129"/>
  <c r="BR496" i="129"/>
  <c r="BN496" i="129"/>
  <c r="AP496" i="129"/>
  <c r="AO496" i="129"/>
  <c r="AN496" i="129"/>
  <c r="AL496" i="129"/>
  <c r="AI496" i="129"/>
  <c r="CL496" i="129" s="1"/>
  <c r="AF496" i="129"/>
  <c r="AC496" i="129"/>
  <c r="S496" i="129"/>
  <c r="R496" i="129"/>
  <c r="Q496" i="129"/>
  <c r="CA495" i="129"/>
  <c r="BZ495" i="129"/>
  <c r="BS495" i="129"/>
  <c r="BR495" i="129"/>
  <c r="BN495" i="129"/>
  <c r="AP495" i="129"/>
  <c r="AO495" i="129"/>
  <c r="AN495" i="129"/>
  <c r="AL495" i="129"/>
  <c r="AI495" i="129"/>
  <c r="CL495" i="129" s="1"/>
  <c r="AF495" i="129"/>
  <c r="AC495" i="129"/>
  <c r="S495" i="129"/>
  <c r="R495" i="129"/>
  <c r="Q495" i="129"/>
  <c r="CA494" i="129"/>
  <c r="BZ494" i="129"/>
  <c r="BS494" i="129"/>
  <c r="BR494" i="129"/>
  <c r="BN494" i="129"/>
  <c r="AP494" i="129"/>
  <c r="AO494" i="129"/>
  <c r="AN494" i="129"/>
  <c r="AL494" i="129"/>
  <c r="AI494" i="129"/>
  <c r="CL494" i="129" s="1"/>
  <c r="AF494" i="129"/>
  <c r="AC494" i="129"/>
  <c r="S494" i="129"/>
  <c r="R494" i="129"/>
  <c r="Q494" i="129"/>
  <c r="CA493" i="129"/>
  <c r="BZ493" i="129"/>
  <c r="BS493" i="129"/>
  <c r="BR493" i="129"/>
  <c r="BN493" i="129"/>
  <c r="AP493" i="129"/>
  <c r="AO493" i="129"/>
  <c r="AN493" i="129"/>
  <c r="AL493" i="129"/>
  <c r="AI493" i="129"/>
  <c r="CL493" i="129" s="1"/>
  <c r="AF493" i="129"/>
  <c r="AC493" i="129"/>
  <c r="S493" i="129"/>
  <c r="R493" i="129"/>
  <c r="Q493" i="129"/>
  <c r="CA492" i="129"/>
  <c r="BZ492" i="129"/>
  <c r="BS492" i="129"/>
  <c r="BR492" i="129"/>
  <c r="BN492" i="129"/>
  <c r="AP492" i="129"/>
  <c r="AO492" i="129"/>
  <c r="AN492" i="129"/>
  <c r="AL492" i="129"/>
  <c r="AI492" i="129"/>
  <c r="CL492" i="129" s="1"/>
  <c r="AF492" i="129"/>
  <c r="AC492" i="129"/>
  <c r="S492" i="129"/>
  <c r="R492" i="129"/>
  <c r="Q492" i="129"/>
  <c r="CA491" i="129"/>
  <c r="BZ491" i="129"/>
  <c r="BS491" i="129"/>
  <c r="BR491" i="129"/>
  <c r="BN491" i="129"/>
  <c r="AP491" i="129"/>
  <c r="AO491" i="129"/>
  <c r="AN491" i="129"/>
  <c r="AL491" i="129"/>
  <c r="AI491" i="129"/>
  <c r="CL491" i="129" s="1"/>
  <c r="AF491" i="129"/>
  <c r="AC491" i="129"/>
  <c r="S491" i="129"/>
  <c r="R491" i="129"/>
  <c r="Q491" i="129"/>
  <c r="CA490" i="129"/>
  <c r="BZ490" i="129"/>
  <c r="BS490" i="129"/>
  <c r="BR490" i="129"/>
  <c r="BN490" i="129"/>
  <c r="AP490" i="129"/>
  <c r="AO490" i="129"/>
  <c r="AN490" i="129"/>
  <c r="AL490" i="129"/>
  <c r="AI490" i="129"/>
  <c r="CL490" i="129" s="1"/>
  <c r="AF490" i="129"/>
  <c r="AC490" i="129"/>
  <c r="S490" i="129"/>
  <c r="R490" i="129"/>
  <c r="Q490" i="129"/>
  <c r="CA489" i="129"/>
  <c r="BZ489" i="129"/>
  <c r="BS489" i="129"/>
  <c r="BR489" i="129"/>
  <c r="BN489" i="129"/>
  <c r="AP489" i="129"/>
  <c r="AO489" i="129"/>
  <c r="AN489" i="129"/>
  <c r="AL489" i="129"/>
  <c r="AI489" i="129"/>
  <c r="CL489" i="129" s="1"/>
  <c r="AF489" i="129"/>
  <c r="AC489" i="129"/>
  <c r="S489" i="129"/>
  <c r="R489" i="129"/>
  <c r="Q489" i="129"/>
  <c r="CA488" i="129"/>
  <c r="BZ488" i="129"/>
  <c r="BS488" i="129"/>
  <c r="BR488" i="129"/>
  <c r="BN488" i="129"/>
  <c r="AP488" i="129"/>
  <c r="AO488" i="129"/>
  <c r="AN488" i="129"/>
  <c r="AL488" i="129"/>
  <c r="AI488" i="129"/>
  <c r="CL488" i="129" s="1"/>
  <c r="AF488" i="129"/>
  <c r="AC488" i="129"/>
  <c r="S488" i="129"/>
  <c r="R488" i="129"/>
  <c r="Q488" i="129"/>
  <c r="CA487" i="129"/>
  <c r="BZ487" i="129"/>
  <c r="BS487" i="129"/>
  <c r="BR487" i="129"/>
  <c r="BN487" i="129"/>
  <c r="AP487" i="129"/>
  <c r="AO487" i="129"/>
  <c r="AN487" i="129"/>
  <c r="AL487" i="129"/>
  <c r="AI487" i="129"/>
  <c r="CL487" i="129" s="1"/>
  <c r="AF487" i="129"/>
  <c r="AC487" i="129"/>
  <c r="S487" i="129"/>
  <c r="R487" i="129"/>
  <c r="Q487" i="129"/>
  <c r="CA486" i="129"/>
  <c r="BZ486" i="129"/>
  <c r="BS486" i="129"/>
  <c r="BR486" i="129"/>
  <c r="BN486" i="129"/>
  <c r="AP486" i="129"/>
  <c r="AO486" i="129"/>
  <c r="AN486" i="129"/>
  <c r="AL486" i="129"/>
  <c r="AI486" i="129"/>
  <c r="CL486" i="129" s="1"/>
  <c r="AF486" i="129"/>
  <c r="AC486" i="129"/>
  <c r="S486" i="129"/>
  <c r="R486" i="129"/>
  <c r="Q486" i="129"/>
  <c r="CA485" i="129"/>
  <c r="BZ485" i="129"/>
  <c r="BS485" i="129"/>
  <c r="BR485" i="129"/>
  <c r="BN485" i="129"/>
  <c r="AP485" i="129"/>
  <c r="AO485" i="129"/>
  <c r="AN485" i="129"/>
  <c r="AL485" i="129"/>
  <c r="AI485" i="129"/>
  <c r="CL485" i="129" s="1"/>
  <c r="AF485" i="129"/>
  <c r="AC485" i="129"/>
  <c r="S485" i="129"/>
  <c r="R485" i="129"/>
  <c r="Q485" i="129"/>
  <c r="CA484" i="129"/>
  <c r="BZ484" i="129"/>
  <c r="BS484" i="129"/>
  <c r="BR484" i="129"/>
  <c r="BN484" i="129"/>
  <c r="AP484" i="129"/>
  <c r="AO484" i="129"/>
  <c r="AN484" i="129"/>
  <c r="AL484" i="129"/>
  <c r="AI484" i="129"/>
  <c r="CL484" i="129" s="1"/>
  <c r="AF484" i="129"/>
  <c r="AC484" i="129"/>
  <c r="S484" i="129"/>
  <c r="R484" i="129"/>
  <c r="Q484" i="129"/>
  <c r="CA483" i="129"/>
  <c r="BZ483" i="129"/>
  <c r="BS483" i="129"/>
  <c r="BR483" i="129"/>
  <c r="BN483" i="129"/>
  <c r="AP483" i="129"/>
  <c r="AO483" i="129"/>
  <c r="AN483" i="129"/>
  <c r="AL483" i="129"/>
  <c r="AI483" i="129"/>
  <c r="CL483" i="129" s="1"/>
  <c r="AF483" i="129"/>
  <c r="AC483" i="129"/>
  <c r="S483" i="129"/>
  <c r="R483" i="129"/>
  <c r="Q483" i="129"/>
  <c r="CA482" i="129"/>
  <c r="BZ482" i="129"/>
  <c r="BS482" i="129"/>
  <c r="BR482" i="129"/>
  <c r="BN482" i="129"/>
  <c r="AP482" i="129"/>
  <c r="AO482" i="129"/>
  <c r="AN482" i="129"/>
  <c r="AL482" i="129"/>
  <c r="AI482" i="129"/>
  <c r="CL482" i="129" s="1"/>
  <c r="AF482" i="129"/>
  <c r="AC482" i="129"/>
  <c r="S482" i="129"/>
  <c r="R482" i="129"/>
  <c r="Q482" i="129"/>
  <c r="CA481" i="129"/>
  <c r="BZ481" i="129"/>
  <c r="BS481" i="129"/>
  <c r="BR481" i="129"/>
  <c r="BN481" i="129"/>
  <c r="AP481" i="129"/>
  <c r="AO481" i="129"/>
  <c r="AN481" i="129"/>
  <c r="AL481" i="129"/>
  <c r="AI481" i="129"/>
  <c r="CL481" i="129" s="1"/>
  <c r="AF481" i="129"/>
  <c r="AC481" i="129"/>
  <c r="S481" i="129"/>
  <c r="R481" i="129"/>
  <c r="Q481" i="129"/>
  <c r="CA480" i="129"/>
  <c r="BZ480" i="129"/>
  <c r="BS480" i="129"/>
  <c r="BR480" i="129"/>
  <c r="BN480" i="129"/>
  <c r="AP480" i="129"/>
  <c r="AO480" i="129"/>
  <c r="AN480" i="129"/>
  <c r="AL480" i="129"/>
  <c r="AI480" i="129"/>
  <c r="CL480" i="129" s="1"/>
  <c r="AF480" i="129"/>
  <c r="AC480" i="129"/>
  <c r="S480" i="129"/>
  <c r="R480" i="129"/>
  <c r="Q480" i="129"/>
  <c r="CA479" i="129"/>
  <c r="BZ479" i="129"/>
  <c r="BS479" i="129"/>
  <c r="BR479" i="129"/>
  <c r="BN479" i="129"/>
  <c r="AP479" i="129"/>
  <c r="AO479" i="129"/>
  <c r="AN479" i="129"/>
  <c r="AL479" i="129"/>
  <c r="AI479" i="129"/>
  <c r="CL479" i="129" s="1"/>
  <c r="AF479" i="129"/>
  <c r="AC479" i="129"/>
  <c r="S479" i="129"/>
  <c r="R479" i="129"/>
  <c r="Q479" i="129"/>
  <c r="CA478" i="129"/>
  <c r="BZ478" i="129"/>
  <c r="BS478" i="129"/>
  <c r="BR478" i="129"/>
  <c r="BN478" i="129"/>
  <c r="AP478" i="129"/>
  <c r="AO478" i="129"/>
  <c r="AN478" i="129"/>
  <c r="AL478" i="129"/>
  <c r="AI478" i="129"/>
  <c r="CL478" i="129" s="1"/>
  <c r="AF478" i="129"/>
  <c r="AC478" i="129"/>
  <c r="S478" i="129"/>
  <c r="R478" i="129"/>
  <c r="Q478" i="129"/>
  <c r="CA477" i="129"/>
  <c r="BZ477" i="129"/>
  <c r="BS477" i="129"/>
  <c r="BR477" i="129"/>
  <c r="BN477" i="129"/>
  <c r="AP477" i="129"/>
  <c r="AO477" i="129"/>
  <c r="AN477" i="129"/>
  <c r="AL477" i="129"/>
  <c r="AI477" i="129"/>
  <c r="CL477" i="129" s="1"/>
  <c r="AF477" i="129"/>
  <c r="AC477" i="129"/>
  <c r="S477" i="129"/>
  <c r="R477" i="129"/>
  <c r="Q477" i="129"/>
  <c r="CA476" i="129"/>
  <c r="BZ476" i="129"/>
  <c r="BS476" i="129"/>
  <c r="BR476" i="129"/>
  <c r="BN476" i="129"/>
  <c r="AP476" i="129"/>
  <c r="AO476" i="129"/>
  <c r="AN476" i="129"/>
  <c r="AL476" i="129"/>
  <c r="AI476" i="129"/>
  <c r="CL476" i="129" s="1"/>
  <c r="AF476" i="129"/>
  <c r="AC476" i="129"/>
  <c r="S476" i="129"/>
  <c r="R476" i="129"/>
  <c r="Q476" i="129"/>
  <c r="CA475" i="129"/>
  <c r="BZ475" i="129"/>
  <c r="BS475" i="129"/>
  <c r="BR475" i="129"/>
  <c r="BN475" i="129"/>
  <c r="AP475" i="129"/>
  <c r="AO475" i="129"/>
  <c r="AN475" i="129"/>
  <c r="AL475" i="129"/>
  <c r="AI475" i="129"/>
  <c r="CL475" i="129" s="1"/>
  <c r="AF475" i="129"/>
  <c r="AC475" i="129"/>
  <c r="S475" i="129"/>
  <c r="R475" i="129"/>
  <c r="Q475" i="129"/>
  <c r="CA474" i="129"/>
  <c r="BZ474" i="129"/>
  <c r="BS474" i="129"/>
  <c r="BR474" i="129"/>
  <c r="BN474" i="129"/>
  <c r="AP474" i="129"/>
  <c r="AO474" i="129"/>
  <c r="AN474" i="129"/>
  <c r="AL474" i="129"/>
  <c r="AI474" i="129"/>
  <c r="CL474" i="129" s="1"/>
  <c r="AF474" i="129"/>
  <c r="AC474" i="129"/>
  <c r="S474" i="129"/>
  <c r="R474" i="129"/>
  <c r="Q474" i="129"/>
  <c r="CA473" i="129"/>
  <c r="BZ473" i="129"/>
  <c r="BS473" i="129"/>
  <c r="BR473" i="129"/>
  <c r="BN473" i="129"/>
  <c r="AP473" i="129"/>
  <c r="AO473" i="129"/>
  <c r="AN473" i="129"/>
  <c r="AL473" i="129"/>
  <c r="AI473" i="129"/>
  <c r="CL473" i="129" s="1"/>
  <c r="AF473" i="129"/>
  <c r="AC473" i="129"/>
  <c r="S473" i="129"/>
  <c r="R473" i="129"/>
  <c r="Q473" i="129"/>
  <c r="CA472" i="129"/>
  <c r="BZ472" i="129"/>
  <c r="BS472" i="129"/>
  <c r="BR472" i="129"/>
  <c r="BN472" i="129"/>
  <c r="AP472" i="129"/>
  <c r="AO472" i="129"/>
  <c r="AN472" i="129"/>
  <c r="AL472" i="129"/>
  <c r="AI472" i="129"/>
  <c r="CL472" i="129" s="1"/>
  <c r="AF472" i="129"/>
  <c r="AC472" i="129"/>
  <c r="S472" i="129"/>
  <c r="R472" i="129"/>
  <c r="Q472" i="129"/>
  <c r="CA471" i="129"/>
  <c r="BZ471" i="129"/>
  <c r="BS471" i="129"/>
  <c r="BR471" i="129"/>
  <c r="BN471" i="129"/>
  <c r="AP471" i="129"/>
  <c r="AO471" i="129"/>
  <c r="AN471" i="129"/>
  <c r="AL471" i="129"/>
  <c r="AI471" i="129"/>
  <c r="CL471" i="129" s="1"/>
  <c r="AF471" i="129"/>
  <c r="AC471" i="129"/>
  <c r="S471" i="129"/>
  <c r="R471" i="129"/>
  <c r="Q471" i="129"/>
  <c r="CA470" i="129"/>
  <c r="BZ470" i="129"/>
  <c r="BS470" i="129"/>
  <c r="BR470" i="129"/>
  <c r="BN470" i="129"/>
  <c r="AP470" i="129"/>
  <c r="AO470" i="129"/>
  <c r="AN470" i="129"/>
  <c r="AL470" i="129"/>
  <c r="AI470" i="129"/>
  <c r="CL470" i="129" s="1"/>
  <c r="AF470" i="129"/>
  <c r="AC470" i="129"/>
  <c r="S470" i="129"/>
  <c r="R470" i="129"/>
  <c r="Q470" i="129"/>
  <c r="CA469" i="129"/>
  <c r="BZ469" i="129"/>
  <c r="BS469" i="129"/>
  <c r="BR469" i="129"/>
  <c r="BN469" i="129"/>
  <c r="AP469" i="129"/>
  <c r="AO469" i="129"/>
  <c r="AN469" i="129"/>
  <c r="AL469" i="129"/>
  <c r="AI469" i="129"/>
  <c r="CL469" i="129" s="1"/>
  <c r="AF469" i="129"/>
  <c r="AC469" i="129"/>
  <c r="S469" i="129"/>
  <c r="R469" i="129"/>
  <c r="Q469" i="129"/>
  <c r="CA468" i="129"/>
  <c r="BZ468" i="129"/>
  <c r="BS468" i="129"/>
  <c r="BR468" i="129"/>
  <c r="BN468" i="129"/>
  <c r="AP468" i="129"/>
  <c r="AO468" i="129"/>
  <c r="AN468" i="129"/>
  <c r="AL468" i="129"/>
  <c r="AI468" i="129"/>
  <c r="CL468" i="129" s="1"/>
  <c r="AF468" i="129"/>
  <c r="AC468" i="129"/>
  <c r="S468" i="129"/>
  <c r="R468" i="129"/>
  <c r="Q468" i="129"/>
  <c r="CA467" i="129"/>
  <c r="BZ467" i="129"/>
  <c r="BS467" i="129"/>
  <c r="BR467" i="129"/>
  <c r="BN467" i="129"/>
  <c r="AP467" i="129"/>
  <c r="AO467" i="129"/>
  <c r="AN467" i="129"/>
  <c r="AL467" i="129"/>
  <c r="AI467" i="129"/>
  <c r="CL467" i="129" s="1"/>
  <c r="AF467" i="129"/>
  <c r="AC467" i="129"/>
  <c r="S467" i="129"/>
  <c r="R467" i="129"/>
  <c r="Q467" i="129"/>
  <c r="CA466" i="129"/>
  <c r="BZ466" i="129"/>
  <c r="BS466" i="129"/>
  <c r="BR466" i="129"/>
  <c r="BN466" i="129"/>
  <c r="AP466" i="129"/>
  <c r="AO466" i="129"/>
  <c r="AN466" i="129"/>
  <c r="AL466" i="129"/>
  <c r="AI466" i="129"/>
  <c r="CL466" i="129" s="1"/>
  <c r="AF466" i="129"/>
  <c r="AC466" i="129"/>
  <c r="S466" i="129"/>
  <c r="R466" i="129"/>
  <c r="Q466" i="129"/>
  <c r="CA465" i="129"/>
  <c r="BZ465" i="129"/>
  <c r="BS465" i="129"/>
  <c r="BR465" i="129"/>
  <c r="BN465" i="129"/>
  <c r="AP465" i="129"/>
  <c r="AO465" i="129"/>
  <c r="AN465" i="129"/>
  <c r="AL465" i="129"/>
  <c r="AI465" i="129"/>
  <c r="CL465" i="129" s="1"/>
  <c r="AF465" i="129"/>
  <c r="AC465" i="129"/>
  <c r="S465" i="129"/>
  <c r="R465" i="129"/>
  <c r="Q465" i="129"/>
  <c r="CA464" i="129"/>
  <c r="BZ464" i="129"/>
  <c r="BS464" i="129"/>
  <c r="BR464" i="129"/>
  <c r="BN464" i="129"/>
  <c r="AP464" i="129"/>
  <c r="AO464" i="129"/>
  <c r="AN464" i="129"/>
  <c r="AL464" i="129"/>
  <c r="AI464" i="129"/>
  <c r="CL464" i="129" s="1"/>
  <c r="AF464" i="129"/>
  <c r="AC464" i="129"/>
  <c r="S464" i="129"/>
  <c r="R464" i="129"/>
  <c r="Q464" i="129"/>
  <c r="CA463" i="129"/>
  <c r="BZ463" i="129"/>
  <c r="BS463" i="129"/>
  <c r="BR463" i="129"/>
  <c r="BN463" i="129"/>
  <c r="AP463" i="129"/>
  <c r="AO463" i="129"/>
  <c r="AN463" i="129"/>
  <c r="AL463" i="129"/>
  <c r="AI463" i="129"/>
  <c r="CL463" i="129" s="1"/>
  <c r="AF463" i="129"/>
  <c r="AC463" i="129"/>
  <c r="S463" i="129"/>
  <c r="R463" i="129"/>
  <c r="Q463" i="129"/>
  <c r="CA462" i="129"/>
  <c r="BZ462" i="129"/>
  <c r="BS462" i="129"/>
  <c r="BR462" i="129"/>
  <c r="BN462" i="129"/>
  <c r="AP462" i="129"/>
  <c r="AO462" i="129"/>
  <c r="AN462" i="129"/>
  <c r="AL462" i="129"/>
  <c r="AI462" i="129"/>
  <c r="CL462" i="129" s="1"/>
  <c r="AF462" i="129"/>
  <c r="AC462" i="129"/>
  <c r="S462" i="129"/>
  <c r="R462" i="129"/>
  <c r="Q462" i="129"/>
  <c r="CA461" i="129"/>
  <c r="BZ461" i="129"/>
  <c r="BS461" i="129"/>
  <c r="BR461" i="129"/>
  <c r="BN461" i="129"/>
  <c r="AP461" i="129"/>
  <c r="AO461" i="129"/>
  <c r="AN461" i="129"/>
  <c r="AL461" i="129"/>
  <c r="AI461" i="129"/>
  <c r="CL461" i="129" s="1"/>
  <c r="AF461" i="129"/>
  <c r="AC461" i="129"/>
  <c r="S461" i="129"/>
  <c r="R461" i="129"/>
  <c r="Q461" i="129"/>
  <c r="CA460" i="129"/>
  <c r="BZ460" i="129"/>
  <c r="BS460" i="129"/>
  <c r="BR460" i="129"/>
  <c r="BN460" i="129"/>
  <c r="AP460" i="129"/>
  <c r="AO460" i="129"/>
  <c r="AN460" i="129"/>
  <c r="AL460" i="129"/>
  <c r="AI460" i="129"/>
  <c r="CL460" i="129" s="1"/>
  <c r="AF460" i="129"/>
  <c r="AC460" i="129"/>
  <c r="S460" i="129"/>
  <c r="R460" i="129"/>
  <c r="Q460" i="129"/>
  <c r="CA459" i="129"/>
  <c r="BZ459" i="129"/>
  <c r="BS459" i="129"/>
  <c r="BR459" i="129"/>
  <c r="BN459" i="129"/>
  <c r="AP459" i="129"/>
  <c r="AO459" i="129"/>
  <c r="AN459" i="129"/>
  <c r="AL459" i="129"/>
  <c r="AI459" i="129"/>
  <c r="CL459" i="129" s="1"/>
  <c r="AF459" i="129"/>
  <c r="AC459" i="129"/>
  <c r="S459" i="129"/>
  <c r="R459" i="129"/>
  <c r="Q459" i="129"/>
  <c r="CA458" i="129"/>
  <c r="BZ458" i="129"/>
  <c r="BS458" i="129"/>
  <c r="BR458" i="129"/>
  <c r="BN458" i="129"/>
  <c r="AP458" i="129"/>
  <c r="AO458" i="129"/>
  <c r="AN458" i="129"/>
  <c r="AL458" i="129"/>
  <c r="AI458" i="129"/>
  <c r="CL458" i="129" s="1"/>
  <c r="AF458" i="129"/>
  <c r="AC458" i="129"/>
  <c r="S458" i="129"/>
  <c r="R458" i="129"/>
  <c r="Q458" i="129"/>
  <c r="CA457" i="129"/>
  <c r="BZ457" i="129"/>
  <c r="BS457" i="129"/>
  <c r="BR457" i="129"/>
  <c r="BN457" i="129"/>
  <c r="AP457" i="129"/>
  <c r="AO457" i="129"/>
  <c r="AN457" i="129"/>
  <c r="AL457" i="129"/>
  <c r="AI457" i="129"/>
  <c r="CL457" i="129" s="1"/>
  <c r="AF457" i="129"/>
  <c r="AC457" i="129"/>
  <c r="S457" i="129"/>
  <c r="R457" i="129"/>
  <c r="Q457" i="129"/>
  <c r="CA456" i="129"/>
  <c r="BZ456" i="129"/>
  <c r="BS456" i="129"/>
  <c r="BR456" i="129"/>
  <c r="BN456" i="129"/>
  <c r="AP456" i="129"/>
  <c r="AO456" i="129"/>
  <c r="AN456" i="129"/>
  <c r="AL456" i="129"/>
  <c r="AI456" i="129"/>
  <c r="CL456" i="129" s="1"/>
  <c r="AF456" i="129"/>
  <c r="AC456" i="129"/>
  <c r="S456" i="129"/>
  <c r="R456" i="129"/>
  <c r="Q456" i="129"/>
  <c r="CA455" i="129"/>
  <c r="BZ455" i="129"/>
  <c r="BS455" i="129"/>
  <c r="BR455" i="129"/>
  <c r="BN455" i="129"/>
  <c r="AP455" i="129"/>
  <c r="AO455" i="129"/>
  <c r="AN455" i="129"/>
  <c r="AL455" i="129"/>
  <c r="AI455" i="129"/>
  <c r="CL455" i="129" s="1"/>
  <c r="AF455" i="129"/>
  <c r="AC455" i="129"/>
  <c r="S455" i="129"/>
  <c r="R455" i="129"/>
  <c r="Q455" i="129"/>
  <c r="CA454" i="129"/>
  <c r="BZ454" i="129"/>
  <c r="BS454" i="129"/>
  <c r="BR454" i="129"/>
  <c r="BN454" i="129"/>
  <c r="AP454" i="129"/>
  <c r="AO454" i="129"/>
  <c r="AN454" i="129"/>
  <c r="AL454" i="129"/>
  <c r="AI454" i="129"/>
  <c r="CL454" i="129" s="1"/>
  <c r="AF454" i="129"/>
  <c r="AC454" i="129"/>
  <c r="S454" i="129"/>
  <c r="R454" i="129"/>
  <c r="Q454" i="129"/>
  <c r="CA453" i="129"/>
  <c r="BZ453" i="129"/>
  <c r="BS453" i="129"/>
  <c r="BR453" i="129"/>
  <c r="BN453" i="129"/>
  <c r="AP453" i="129"/>
  <c r="AO453" i="129"/>
  <c r="AN453" i="129"/>
  <c r="AL453" i="129"/>
  <c r="AI453" i="129"/>
  <c r="CL453" i="129" s="1"/>
  <c r="AF453" i="129"/>
  <c r="AC453" i="129"/>
  <c r="S453" i="129"/>
  <c r="R453" i="129"/>
  <c r="Q453" i="129"/>
  <c r="CA452" i="129"/>
  <c r="BZ452" i="129"/>
  <c r="BS452" i="129"/>
  <c r="BR452" i="129"/>
  <c r="BN452" i="129"/>
  <c r="AP452" i="129"/>
  <c r="AO452" i="129"/>
  <c r="AN452" i="129"/>
  <c r="AL452" i="129"/>
  <c r="AI452" i="129"/>
  <c r="CL452" i="129" s="1"/>
  <c r="AF452" i="129"/>
  <c r="AC452" i="129"/>
  <c r="S452" i="129"/>
  <c r="R452" i="129"/>
  <c r="Q452" i="129"/>
  <c r="CA451" i="129"/>
  <c r="BZ451" i="129"/>
  <c r="BS451" i="129"/>
  <c r="BR451" i="129"/>
  <c r="BN451" i="129"/>
  <c r="AP451" i="129"/>
  <c r="AO451" i="129"/>
  <c r="AN451" i="129"/>
  <c r="AL451" i="129"/>
  <c r="AI451" i="129"/>
  <c r="CL451" i="129" s="1"/>
  <c r="AF451" i="129"/>
  <c r="AC451" i="129"/>
  <c r="S451" i="129"/>
  <c r="R451" i="129"/>
  <c r="Q451" i="129"/>
  <c r="CA450" i="129"/>
  <c r="BZ450" i="129"/>
  <c r="BS450" i="129"/>
  <c r="BR450" i="129"/>
  <c r="BN450" i="129"/>
  <c r="AP450" i="129"/>
  <c r="AO450" i="129"/>
  <c r="AN450" i="129"/>
  <c r="AL450" i="129"/>
  <c r="AI450" i="129"/>
  <c r="CL450" i="129" s="1"/>
  <c r="AF450" i="129"/>
  <c r="AC450" i="129"/>
  <c r="S450" i="129"/>
  <c r="R450" i="129"/>
  <c r="Q450" i="129"/>
  <c r="CA449" i="129"/>
  <c r="BZ449" i="129"/>
  <c r="BS449" i="129"/>
  <c r="BR449" i="129"/>
  <c r="BN449" i="129"/>
  <c r="AP449" i="129"/>
  <c r="AO449" i="129"/>
  <c r="AN449" i="129"/>
  <c r="AL449" i="129"/>
  <c r="AI449" i="129"/>
  <c r="CL449" i="129" s="1"/>
  <c r="AF449" i="129"/>
  <c r="AC449" i="129"/>
  <c r="S449" i="129"/>
  <c r="R449" i="129"/>
  <c r="Q449" i="129"/>
  <c r="CA448" i="129"/>
  <c r="BZ448" i="129"/>
  <c r="BS448" i="129"/>
  <c r="BR448" i="129"/>
  <c r="BN448" i="129"/>
  <c r="AP448" i="129"/>
  <c r="AO448" i="129"/>
  <c r="AN448" i="129"/>
  <c r="AL448" i="129"/>
  <c r="AI448" i="129"/>
  <c r="CL448" i="129" s="1"/>
  <c r="AF448" i="129"/>
  <c r="AC448" i="129"/>
  <c r="S448" i="129"/>
  <c r="R448" i="129"/>
  <c r="Q448" i="129"/>
  <c r="CA447" i="129"/>
  <c r="BZ447" i="129"/>
  <c r="BS447" i="129"/>
  <c r="BR447" i="129"/>
  <c r="BN447" i="129"/>
  <c r="AP447" i="129"/>
  <c r="AO447" i="129"/>
  <c r="AN447" i="129"/>
  <c r="AL447" i="129"/>
  <c r="AI447" i="129"/>
  <c r="CL447" i="129" s="1"/>
  <c r="AF447" i="129"/>
  <c r="AC447" i="129"/>
  <c r="S447" i="129"/>
  <c r="R447" i="129"/>
  <c r="Q447" i="129"/>
  <c r="CA446" i="129"/>
  <c r="BZ446" i="129"/>
  <c r="BS446" i="129"/>
  <c r="BR446" i="129"/>
  <c r="BN446" i="129"/>
  <c r="AP446" i="129"/>
  <c r="AO446" i="129"/>
  <c r="AN446" i="129"/>
  <c r="AL446" i="129"/>
  <c r="AI446" i="129"/>
  <c r="CL446" i="129" s="1"/>
  <c r="AF446" i="129"/>
  <c r="AC446" i="129"/>
  <c r="S446" i="129"/>
  <c r="R446" i="129"/>
  <c r="Q446" i="129"/>
  <c r="CA445" i="129"/>
  <c r="BZ445" i="129"/>
  <c r="BS445" i="129"/>
  <c r="BR445" i="129"/>
  <c r="BN445" i="129"/>
  <c r="AP445" i="129"/>
  <c r="AO445" i="129"/>
  <c r="AN445" i="129"/>
  <c r="AL445" i="129"/>
  <c r="AI445" i="129"/>
  <c r="CL445" i="129" s="1"/>
  <c r="AF445" i="129"/>
  <c r="AC445" i="129"/>
  <c r="S445" i="129"/>
  <c r="R445" i="129"/>
  <c r="Q445" i="129"/>
  <c r="CA444" i="129"/>
  <c r="BZ444" i="129"/>
  <c r="BS444" i="129"/>
  <c r="BR444" i="129"/>
  <c r="BN444" i="129"/>
  <c r="AP444" i="129"/>
  <c r="AO444" i="129"/>
  <c r="AN444" i="129"/>
  <c r="AL444" i="129"/>
  <c r="AI444" i="129"/>
  <c r="CL444" i="129" s="1"/>
  <c r="AF444" i="129"/>
  <c r="AC444" i="129"/>
  <c r="S444" i="129"/>
  <c r="R444" i="129"/>
  <c r="Q444" i="129"/>
  <c r="CA443" i="129"/>
  <c r="BZ443" i="129"/>
  <c r="BS443" i="129"/>
  <c r="BR443" i="129"/>
  <c r="BN443" i="129"/>
  <c r="AP443" i="129"/>
  <c r="AO443" i="129"/>
  <c r="AN443" i="129"/>
  <c r="AL443" i="129"/>
  <c r="AI443" i="129"/>
  <c r="CL443" i="129" s="1"/>
  <c r="AF443" i="129"/>
  <c r="AC443" i="129"/>
  <c r="S443" i="129"/>
  <c r="R443" i="129"/>
  <c r="Q443" i="129"/>
  <c r="CA442" i="129"/>
  <c r="BZ442" i="129"/>
  <c r="BS442" i="129"/>
  <c r="BR442" i="129"/>
  <c r="BN442" i="129"/>
  <c r="AP442" i="129"/>
  <c r="AO442" i="129"/>
  <c r="AN442" i="129"/>
  <c r="AL442" i="129"/>
  <c r="AI442" i="129"/>
  <c r="CL442" i="129" s="1"/>
  <c r="AF442" i="129"/>
  <c r="AC442" i="129"/>
  <c r="S442" i="129"/>
  <c r="R442" i="129"/>
  <c r="Q442" i="129"/>
  <c r="CA441" i="129"/>
  <c r="BZ441" i="129"/>
  <c r="BS441" i="129"/>
  <c r="BR441" i="129"/>
  <c r="BN441" i="129"/>
  <c r="AP441" i="129"/>
  <c r="AO441" i="129"/>
  <c r="AN441" i="129"/>
  <c r="AL441" i="129"/>
  <c r="AI441" i="129"/>
  <c r="CL441" i="129" s="1"/>
  <c r="AF441" i="129"/>
  <c r="AC441" i="129"/>
  <c r="S441" i="129"/>
  <c r="R441" i="129"/>
  <c r="Q441" i="129"/>
  <c r="CA440" i="129"/>
  <c r="BZ440" i="129"/>
  <c r="BS440" i="129"/>
  <c r="BR440" i="129"/>
  <c r="BN440" i="129"/>
  <c r="AP440" i="129"/>
  <c r="AO440" i="129"/>
  <c r="AN440" i="129"/>
  <c r="AL440" i="129"/>
  <c r="AI440" i="129"/>
  <c r="CL440" i="129" s="1"/>
  <c r="AF440" i="129"/>
  <c r="AC440" i="129"/>
  <c r="S440" i="129"/>
  <c r="R440" i="129"/>
  <c r="Q440" i="129"/>
  <c r="CA439" i="129"/>
  <c r="BZ439" i="129"/>
  <c r="BS439" i="129"/>
  <c r="BR439" i="129"/>
  <c r="BN439" i="129"/>
  <c r="AP439" i="129"/>
  <c r="AO439" i="129"/>
  <c r="AN439" i="129"/>
  <c r="AL439" i="129"/>
  <c r="AI439" i="129"/>
  <c r="CL439" i="129" s="1"/>
  <c r="AF439" i="129"/>
  <c r="AC439" i="129"/>
  <c r="S439" i="129"/>
  <c r="R439" i="129"/>
  <c r="Q439" i="129"/>
  <c r="CA438" i="129"/>
  <c r="BZ438" i="129"/>
  <c r="BS438" i="129"/>
  <c r="BR438" i="129"/>
  <c r="BN438" i="129"/>
  <c r="AP438" i="129"/>
  <c r="AO438" i="129"/>
  <c r="AN438" i="129"/>
  <c r="AL438" i="129"/>
  <c r="AI438" i="129"/>
  <c r="CL438" i="129" s="1"/>
  <c r="AF438" i="129"/>
  <c r="AC438" i="129"/>
  <c r="S438" i="129"/>
  <c r="R438" i="129"/>
  <c r="Q438" i="129"/>
  <c r="CA437" i="129"/>
  <c r="BZ437" i="129"/>
  <c r="BS437" i="129"/>
  <c r="BR437" i="129"/>
  <c r="BN437" i="129"/>
  <c r="AP437" i="129"/>
  <c r="AO437" i="129"/>
  <c r="AN437" i="129"/>
  <c r="AL437" i="129"/>
  <c r="AI437" i="129"/>
  <c r="CL437" i="129" s="1"/>
  <c r="AF437" i="129"/>
  <c r="AC437" i="129"/>
  <c r="S437" i="129"/>
  <c r="R437" i="129"/>
  <c r="Q437" i="129"/>
  <c r="CA436" i="129"/>
  <c r="BZ436" i="129"/>
  <c r="BS436" i="129"/>
  <c r="BR436" i="129"/>
  <c r="BN436" i="129"/>
  <c r="AP436" i="129"/>
  <c r="AO436" i="129"/>
  <c r="AN436" i="129"/>
  <c r="AL436" i="129"/>
  <c r="AI436" i="129"/>
  <c r="CL436" i="129" s="1"/>
  <c r="AF436" i="129"/>
  <c r="AC436" i="129"/>
  <c r="S436" i="129"/>
  <c r="R436" i="129"/>
  <c r="Q436" i="129"/>
  <c r="CA435" i="129"/>
  <c r="BZ435" i="129"/>
  <c r="BS435" i="129"/>
  <c r="BR435" i="129"/>
  <c r="BN435" i="129"/>
  <c r="AP435" i="129"/>
  <c r="AO435" i="129"/>
  <c r="AN435" i="129"/>
  <c r="AL435" i="129"/>
  <c r="AI435" i="129"/>
  <c r="CL435" i="129" s="1"/>
  <c r="AF435" i="129"/>
  <c r="AC435" i="129"/>
  <c r="S435" i="129"/>
  <c r="R435" i="129"/>
  <c r="Q435" i="129"/>
  <c r="CA434" i="129"/>
  <c r="BZ434" i="129"/>
  <c r="BS434" i="129"/>
  <c r="BR434" i="129"/>
  <c r="BN434" i="129"/>
  <c r="AP434" i="129"/>
  <c r="AO434" i="129"/>
  <c r="AN434" i="129"/>
  <c r="AL434" i="129"/>
  <c r="AI434" i="129"/>
  <c r="CL434" i="129" s="1"/>
  <c r="AF434" i="129"/>
  <c r="AC434" i="129"/>
  <c r="S434" i="129"/>
  <c r="R434" i="129"/>
  <c r="Q434" i="129"/>
  <c r="CA433" i="129"/>
  <c r="BZ433" i="129"/>
  <c r="BS433" i="129"/>
  <c r="BR433" i="129"/>
  <c r="BN433" i="129"/>
  <c r="AP433" i="129"/>
  <c r="AO433" i="129"/>
  <c r="AN433" i="129"/>
  <c r="AL433" i="129"/>
  <c r="AI433" i="129"/>
  <c r="CL433" i="129" s="1"/>
  <c r="AF433" i="129"/>
  <c r="AC433" i="129"/>
  <c r="S433" i="129"/>
  <c r="R433" i="129"/>
  <c r="Q433" i="129"/>
  <c r="CA432" i="129"/>
  <c r="BZ432" i="129"/>
  <c r="BS432" i="129"/>
  <c r="BR432" i="129"/>
  <c r="BN432" i="129"/>
  <c r="AP432" i="129"/>
  <c r="AO432" i="129"/>
  <c r="AN432" i="129"/>
  <c r="AL432" i="129"/>
  <c r="AI432" i="129"/>
  <c r="CL432" i="129" s="1"/>
  <c r="AF432" i="129"/>
  <c r="AC432" i="129"/>
  <c r="S432" i="129"/>
  <c r="R432" i="129"/>
  <c r="Q432" i="129"/>
  <c r="CA431" i="129"/>
  <c r="BZ431" i="129"/>
  <c r="BS431" i="129"/>
  <c r="BR431" i="129"/>
  <c r="BN431" i="129"/>
  <c r="AP431" i="129"/>
  <c r="AO431" i="129"/>
  <c r="AN431" i="129"/>
  <c r="AL431" i="129"/>
  <c r="AI431" i="129"/>
  <c r="CL431" i="129" s="1"/>
  <c r="AF431" i="129"/>
  <c r="AC431" i="129"/>
  <c r="S431" i="129"/>
  <c r="R431" i="129"/>
  <c r="Q431" i="129"/>
  <c r="CA430" i="129"/>
  <c r="BZ430" i="129"/>
  <c r="BS430" i="129"/>
  <c r="BR430" i="129"/>
  <c r="BN430" i="129"/>
  <c r="AP430" i="129"/>
  <c r="AO430" i="129"/>
  <c r="AN430" i="129"/>
  <c r="AL430" i="129"/>
  <c r="AI430" i="129"/>
  <c r="CL430" i="129" s="1"/>
  <c r="AF430" i="129"/>
  <c r="AC430" i="129"/>
  <c r="S430" i="129"/>
  <c r="R430" i="129"/>
  <c r="Q430" i="129"/>
  <c r="CA429" i="129"/>
  <c r="BZ429" i="129"/>
  <c r="BS429" i="129"/>
  <c r="BR429" i="129"/>
  <c r="BN429" i="129"/>
  <c r="AP429" i="129"/>
  <c r="AO429" i="129"/>
  <c r="AN429" i="129"/>
  <c r="AL429" i="129"/>
  <c r="AI429" i="129"/>
  <c r="CL429" i="129" s="1"/>
  <c r="AF429" i="129"/>
  <c r="AC429" i="129"/>
  <c r="S429" i="129"/>
  <c r="R429" i="129"/>
  <c r="Q429" i="129"/>
  <c r="CA428" i="129"/>
  <c r="BZ428" i="129"/>
  <c r="BS428" i="129"/>
  <c r="BR428" i="129"/>
  <c r="BN428" i="129"/>
  <c r="AP428" i="129"/>
  <c r="AO428" i="129"/>
  <c r="AN428" i="129"/>
  <c r="AL428" i="129"/>
  <c r="AI428" i="129"/>
  <c r="CL428" i="129" s="1"/>
  <c r="AF428" i="129"/>
  <c r="AC428" i="129"/>
  <c r="S428" i="129"/>
  <c r="R428" i="129"/>
  <c r="Q428" i="129"/>
  <c r="CA427" i="129"/>
  <c r="BZ427" i="129"/>
  <c r="BS427" i="129"/>
  <c r="BR427" i="129"/>
  <c r="BN427" i="129"/>
  <c r="AP427" i="129"/>
  <c r="AO427" i="129"/>
  <c r="AN427" i="129"/>
  <c r="AL427" i="129"/>
  <c r="AI427" i="129"/>
  <c r="CL427" i="129" s="1"/>
  <c r="AF427" i="129"/>
  <c r="AC427" i="129"/>
  <c r="S427" i="129"/>
  <c r="R427" i="129"/>
  <c r="Q427" i="129"/>
  <c r="CA426" i="129"/>
  <c r="BZ426" i="129"/>
  <c r="BS426" i="129"/>
  <c r="BR426" i="129"/>
  <c r="BN426" i="129"/>
  <c r="AP426" i="129"/>
  <c r="AO426" i="129"/>
  <c r="AN426" i="129"/>
  <c r="AL426" i="129"/>
  <c r="AI426" i="129"/>
  <c r="CL426" i="129" s="1"/>
  <c r="AF426" i="129"/>
  <c r="AC426" i="129"/>
  <c r="S426" i="129"/>
  <c r="R426" i="129"/>
  <c r="Q426" i="129"/>
  <c r="CA425" i="129"/>
  <c r="BZ425" i="129"/>
  <c r="BS425" i="129"/>
  <c r="BR425" i="129"/>
  <c r="BN425" i="129"/>
  <c r="AP425" i="129"/>
  <c r="AO425" i="129"/>
  <c r="AN425" i="129"/>
  <c r="AL425" i="129"/>
  <c r="AI425" i="129"/>
  <c r="CL425" i="129" s="1"/>
  <c r="AF425" i="129"/>
  <c r="AC425" i="129"/>
  <c r="S425" i="129"/>
  <c r="R425" i="129"/>
  <c r="Q425" i="129"/>
  <c r="CA424" i="129"/>
  <c r="BZ424" i="129"/>
  <c r="BS424" i="129"/>
  <c r="BR424" i="129"/>
  <c r="BN424" i="129"/>
  <c r="AP424" i="129"/>
  <c r="AO424" i="129"/>
  <c r="AN424" i="129"/>
  <c r="AL424" i="129"/>
  <c r="AI424" i="129"/>
  <c r="CL424" i="129" s="1"/>
  <c r="AF424" i="129"/>
  <c r="AC424" i="129"/>
  <c r="S424" i="129"/>
  <c r="R424" i="129"/>
  <c r="Q424" i="129"/>
  <c r="CA423" i="129"/>
  <c r="BZ423" i="129"/>
  <c r="BS423" i="129"/>
  <c r="BR423" i="129"/>
  <c r="BN423" i="129"/>
  <c r="AP423" i="129"/>
  <c r="AO423" i="129"/>
  <c r="AN423" i="129"/>
  <c r="AL423" i="129"/>
  <c r="AI423" i="129"/>
  <c r="CL423" i="129" s="1"/>
  <c r="AF423" i="129"/>
  <c r="AC423" i="129"/>
  <c r="S423" i="129"/>
  <c r="R423" i="129"/>
  <c r="Q423" i="129"/>
  <c r="CA422" i="129"/>
  <c r="BZ422" i="129"/>
  <c r="BS422" i="129"/>
  <c r="BR422" i="129"/>
  <c r="BN422" i="129"/>
  <c r="AP422" i="129"/>
  <c r="AO422" i="129"/>
  <c r="AN422" i="129"/>
  <c r="AL422" i="129"/>
  <c r="AI422" i="129"/>
  <c r="CL422" i="129" s="1"/>
  <c r="AF422" i="129"/>
  <c r="AC422" i="129"/>
  <c r="S422" i="129"/>
  <c r="R422" i="129"/>
  <c r="Q422" i="129"/>
  <c r="CA421" i="129"/>
  <c r="BZ421" i="129"/>
  <c r="BS421" i="129"/>
  <c r="BR421" i="129"/>
  <c r="BN421" i="129"/>
  <c r="AP421" i="129"/>
  <c r="AO421" i="129"/>
  <c r="AN421" i="129"/>
  <c r="AL421" i="129"/>
  <c r="AI421" i="129"/>
  <c r="CL421" i="129" s="1"/>
  <c r="AF421" i="129"/>
  <c r="AC421" i="129"/>
  <c r="S421" i="129"/>
  <c r="R421" i="129"/>
  <c r="Q421" i="129"/>
  <c r="CA420" i="129"/>
  <c r="BZ420" i="129"/>
  <c r="BS420" i="129"/>
  <c r="BR420" i="129"/>
  <c r="BN420" i="129"/>
  <c r="AP420" i="129"/>
  <c r="AO420" i="129"/>
  <c r="AN420" i="129"/>
  <c r="AL420" i="129"/>
  <c r="AI420" i="129"/>
  <c r="CL420" i="129" s="1"/>
  <c r="AF420" i="129"/>
  <c r="AC420" i="129"/>
  <c r="S420" i="129"/>
  <c r="R420" i="129"/>
  <c r="Q420" i="129"/>
  <c r="CA419" i="129"/>
  <c r="BZ419" i="129"/>
  <c r="BS419" i="129"/>
  <c r="BR419" i="129"/>
  <c r="BN419" i="129"/>
  <c r="AP419" i="129"/>
  <c r="AO419" i="129"/>
  <c r="AN419" i="129"/>
  <c r="AL419" i="129"/>
  <c r="AI419" i="129"/>
  <c r="CL419" i="129" s="1"/>
  <c r="AF419" i="129"/>
  <c r="AC419" i="129"/>
  <c r="S419" i="129"/>
  <c r="R419" i="129"/>
  <c r="Q419" i="129"/>
  <c r="CA418" i="129"/>
  <c r="BZ418" i="129"/>
  <c r="BS418" i="129"/>
  <c r="BR418" i="129"/>
  <c r="BN418" i="129"/>
  <c r="AP418" i="129"/>
  <c r="AO418" i="129"/>
  <c r="AN418" i="129"/>
  <c r="AL418" i="129"/>
  <c r="AI418" i="129"/>
  <c r="CL418" i="129" s="1"/>
  <c r="AF418" i="129"/>
  <c r="AC418" i="129"/>
  <c r="S418" i="129"/>
  <c r="R418" i="129"/>
  <c r="Q418" i="129"/>
  <c r="CA417" i="129"/>
  <c r="BZ417" i="129"/>
  <c r="BS417" i="129"/>
  <c r="BR417" i="129"/>
  <c r="BN417" i="129"/>
  <c r="AP417" i="129"/>
  <c r="AO417" i="129"/>
  <c r="AN417" i="129"/>
  <c r="AL417" i="129"/>
  <c r="AI417" i="129"/>
  <c r="CL417" i="129" s="1"/>
  <c r="AF417" i="129"/>
  <c r="AC417" i="129"/>
  <c r="S417" i="129"/>
  <c r="R417" i="129"/>
  <c r="Q417" i="129"/>
  <c r="CA416" i="129"/>
  <c r="BZ416" i="129"/>
  <c r="BS416" i="129"/>
  <c r="BR416" i="129"/>
  <c r="BN416" i="129"/>
  <c r="AP416" i="129"/>
  <c r="AO416" i="129"/>
  <c r="AN416" i="129"/>
  <c r="AL416" i="129"/>
  <c r="AI416" i="129"/>
  <c r="CL416" i="129" s="1"/>
  <c r="AF416" i="129"/>
  <c r="AC416" i="129"/>
  <c r="S416" i="129"/>
  <c r="R416" i="129"/>
  <c r="Q416" i="129"/>
  <c r="CA415" i="129"/>
  <c r="BZ415" i="129"/>
  <c r="BS415" i="129"/>
  <c r="BR415" i="129"/>
  <c r="BN415" i="129"/>
  <c r="AP415" i="129"/>
  <c r="AO415" i="129"/>
  <c r="AN415" i="129"/>
  <c r="AL415" i="129"/>
  <c r="AI415" i="129"/>
  <c r="CL415" i="129" s="1"/>
  <c r="AF415" i="129"/>
  <c r="AC415" i="129"/>
  <c r="S415" i="129"/>
  <c r="R415" i="129"/>
  <c r="Q415" i="129"/>
  <c r="CA414" i="129"/>
  <c r="BZ414" i="129"/>
  <c r="BS414" i="129"/>
  <c r="BR414" i="129"/>
  <c r="BN414" i="129"/>
  <c r="AP414" i="129"/>
  <c r="AO414" i="129"/>
  <c r="AN414" i="129"/>
  <c r="AL414" i="129"/>
  <c r="AI414" i="129"/>
  <c r="CL414" i="129" s="1"/>
  <c r="AF414" i="129"/>
  <c r="AC414" i="129"/>
  <c r="S414" i="129"/>
  <c r="R414" i="129"/>
  <c r="Q414" i="129"/>
  <c r="CA413" i="129"/>
  <c r="BZ413" i="129"/>
  <c r="BS413" i="129"/>
  <c r="BR413" i="129"/>
  <c r="BN413" i="129"/>
  <c r="AP413" i="129"/>
  <c r="AO413" i="129"/>
  <c r="AN413" i="129"/>
  <c r="AL413" i="129"/>
  <c r="AI413" i="129"/>
  <c r="CL413" i="129" s="1"/>
  <c r="AF413" i="129"/>
  <c r="AC413" i="129"/>
  <c r="S413" i="129"/>
  <c r="R413" i="129"/>
  <c r="Q413" i="129"/>
  <c r="CA412" i="129"/>
  <c r="BZ412" i="129"/>
  <c r="BS412" i="129"/>
  <c r="BR412" i="129"/>
  <c r="BN412" i="129"/>
  <c r="AP412" i="129"/>
  <c r="AO412" i="129"/>
  <c r="AN412" i="129"/>
  <c r="AL412" i="129"/>
  <c r="AI412" i="129"/>
  <c r="CL412" i="129" s="1"/>
  <c r="AF412" i="129"/>
  <c r="AC412" i="129"/>
  <c r="S412" i="129"/>
  <c r="R412" i="129"/>
  <c r="Q412" i="129"/>
  <c r="CA411" i="129"/>
  <c r="BZ411" i="129"/>
  <c r="BS411" i="129"/>
  <c r="BR411" i="129"/>
  <c r="BN411" i="129"/>
  <c r="AP411" i="129"/>
  <c r="AO411" i="129"/>
  <c r="AN411" i="129"/>
  <c r="AL411" i="129"/>
  <c r="AI411" i="129"/>
  <c r="CL411" i="129" s="1"/>
  <c r="AF411" i="129"/>
  <c r="AC411" i="129"/>
  <c r="S411" i="129"/>
  <c r="R411" i="129"/>
  <c r="Q411" i="129"/>
  <c r="CA410" i="129"/>
  <c r="BZ410" i="129"/>
  <c r="BS410" i="129"/>
  <c r="BR410" i="129"/>
  <c r="BN410" i="129"/>
  <c r="AP410" i="129"/>
  <c r="AO410" i="129"/>
  <c r="AN410" i="129"/>
  <c r="AL410" i="129"/>
  <c r="AI410" i="129"/>
  <c r="CL410" i="129" s="1"/>
  <c r="AF410" i="129"/>
  <c r="AC410" i="129"/>
  <c r="S410" i="129"/>
  <c r="R410" i="129"/>
  <c r="Q410" i="129"/>
  <c r="CA409" i="129"/>
  <c r="BZ409" i="129"/>
  <c r="BS409" i="129"/>
  <c r="BR409" i="129"/>
  <c r="BN409" i="129"/>
  <c r="AP409" i="129"/>
  <c r="AO409" i="129"/>
  <c r="AN409" i="129"/>
  <c r="AL409" i="129"/>
  <c r="AI409" i="129"/>
  <c r="CL409" i="129" s="1"/>
  <c r="AF409" i="129"/>
  <c r="AC409" i="129"/>
  <c r="S409" i="129"/>
  <c r="R409" i="129"/>
  <c r="Q409" i="129"/>
  <c r="CA408" i="129"/>
  <c r="BZ408" i="129"/>
  <c r="BS408" i="129"/>
  <c r="BR408" i="129"/>
  <c r="BN408" i="129"/>
  <c r="AP408" i="129"/>
  <c r="AO408" i="129"/>
  <c r="AN408" i="129"/>
  <c r="AL408" i="129"/>
  <c r="AI408" i="129"/>
  <c r="CL408" i="129" s="1"/>
  <c r="AF408" i="129"/>
  <c r="AC408" i="129"/>
  <c r="S408" i="129"/>
  <c r="R408" i="129"/>
  <c r="Q408" i="129"/>
  <c r="CA407" i="129"/>
  <c r="BZ407" i="129"/>
  <c r="BS407" i="129"/>
  <c r="BR407" i="129"/>
  <c r="BN407" i="129"/>
  <c r="AP407" i="129"/>
  <c r="AO407" i="129"/>
  <c r="AN407" i="129"/>
  <c r="AL407" i="129"/>
  <c r="AI407" i="129"/>
  <c r="CL407" i="129" s="1"/>
  <c r="AF407" i="129"/>
  <c r="AC407" i="129"/>
  <c r="S407" i="129"/>
  <c r="R407" i="129"/>
  <c r="Q407" i="129"/>
  <c r="CA406" i="129"/>
  <c r="BZ406" i="129"/>
  <c r="BS406" i="129"/>
  <c r="BR406" i="129"/>
  <c r="BN406" i="129"/>
  <c r="AP406" i="129"/>
  <c r="AO406" i="129"/>
  <c r="AN406" i="129"/>
  <c r="AL406" i="129"/>
  <c r="AI406" i="129"/>
  <c r="CL406" i="129" s="1"/>
  <c r="AF406" i="129"/>
  <c r="AC406" i="129"/>
  <c r="S406" i="129"/>
  <c r="R406" i="129"/>
  <c r="Q406" i="129"/>
  <c r="CA405" i="129"/>
  <c r="BZ405" i="129"/>
  <c r="BS405" i="129"/>
  <c r="BR405" i="129"/>
  <c r="BN405" i="129"/>
  <c r="AP405" i="129"/>
  <c r="AO405" i="129"/>
  <c r="AN405" i="129"/>
  <c r="AL405" i="129"/>
  <c r="AI405" i="129"/>
  <c r="CL405" i="129" s="1"/>
  <c r="AF405" i="129"/>
  <c r="AC405" i="129"/>
  <c r="S405" i="129"/>
  <c r="R405" i="129"/>
  <c r="Q405" i="129"/>
  <c r="CA404" i="129"/>
  <c r="BZ404" i="129"/>
  <c r="BS404" i="129"/>
  <c r="BR404" i="129"/>
  <c r="BN404" i="129"/>
  <c r="AP404" i="129"/>
  <c r="AO404" i="129"/>
  <c r="AN404" i="129"/>
  <c r="AL404" i="129"/>
  <c r="AI404" i="129"/>
  <c r="CL404" i="129" s="1"/>
  <c r="AF404" i="129"/>
  <c r="AC404" i="129"/>
  <c r="S404" i="129"/>
  <c r="R404" i="129"/>
  <c r="Q404" i="129"/>
  <c r="CA403" i="129"/>
  <c r="BZ403" i="129"/>
  <c r="BS403" i="129"/>
  <c r="BR403" i="129"/>
  <c r="BN403" i="129"/>
  <c r="AP403" i="129"/>
  <c r="AO403" i="129"/>
  <c r="AN403" i="129"/>
  <c r="AL403" i="129"/>
  <c r="AI403" i="129"/>
  <c r="CL403" i="129" s="1"/>
  <c r="AF403" i="129"/>
  <c r="AC403" i="129"/>
  <c r="S403" i="129"/>
  <c r="R403" i="129"/>
  <c r="Q403" i="129"/>
  <c r="CA402" i="129"/>
  <c r="BZ402" i="129"/>
  <c r="BS402" i="129"/>
  <c r="BR402" i="129"/>
  <c r="BN402" i="129"/>
  <c r="AP402" i="129"/>
  <c r="AO402" i="129"/>
  <c r="AN402" i="129"/>
  <c r="AL402" i="129"/>
  <c r="AI402" i="129"/>
  <c r="CL402" i="129" s="1"/>
  <c r="AF402" i="129"/>
  <c r="AC402" i="129"/>
  <c r="S402" i="129"/>
  <c r="R402" i="129"/>
  <c r="Q402" i="129"/>
  <c r="CA401" i="129"/>
  <c r="BZ401" i="129"/>
  <c r="BS401" i="129"/>
  <c r="BR401" i="129"/>
  <c r="BN401" i="129"/>
  <c r="AP401" i="129"/>
  <c r="AO401" i="129"/>
  <c r="AN401" i="129"/>
  <c r="AL401" i="129"/>
  <c r="AI401" i="129"/>
  <c r="CL401" i="129" s="1"/>
  <c r="AF401" i="129"/>
  <c r="AC401" i="129"/>
  <c r="S401" i="129"/>
  <c r="R401" i="129"/>
  <c r="Q401" i="129"/>
  <c r="CA400" i="129"/>
  <c r="BZ400" i="129"/>
  <c r="BS400" i="129"/>
  <c r="BR400" i="129"/>
  <c r="BN400" i="129"/>
  <c r="AP400" i="129"/>
  <c r="AO400" i="129"/>
  <c r="AN400" i="129"/>
  <c r="AL400" i="129"/>
  <c r="AI400" i="129"/>
  <c r="CL400" i="129" s="1"/>
  <c r="AF400" i="129"/>
  <c r="AC400" i="129"/>
  <c r="S400" i="129"/>
  <c r="R400" i="129"/>
  <c r="Q400" i="129"/>
  <c r="CA399" i="129"/>
  <c r="BZ399" i="129"/>
  <c r="BS399" i="129"/>
  <c r="BR399" i="129"/>
  <c r="BN399" i="129"/>
  <c r="AP399" i="129"/>
  <c r="AO399" i="129"/>
  <c r="AN399" i="129"/>
  <c r="AL399" i="129"/>
  <c r="AI399" i="129"/>
  <c r="CL399" i="129" s="1"/>
  <c r="AF399" i="129"/>
  <c r="AC399" i="129"/>
  <c r="S399" i="129"/>
  <c r="R399" i="129"/>
  <c r="Q399" i="129"/>
  <c r="CA398" i="129"/>
  <c r="BZ398" i="129"/>
  <c r="BS398" i="129"/>
  <c r="BR398" i="129"/>
  <c r="BN398" i="129"/>
  <c r="AP398" i="129"/>
  <c r="AO398" i="129"/>
  <c r="AN398" i="129"/>
  <c r="AL398" i="129"/>
  <c r="AI398" i="129"/>
  <c r="CL398" i="129" s="1"/>
  <c r="AF398" i="129"/>
  <c r="AC398" i="129"/>
  <c r="S398" i="129"/>
  <c r="R398" i="129"/>
  <c r="Q398" i="129"/>
  <c r="CA397" i="129"/>
  <c r="BZ397" i="129"/>
  <c r="BS397" i="129"/>
  <c r="BR397" i="129"/>
  <c r="BN397" i="129"/>
  <c r="AP397" i="129"/>
  <c r="AO397" i="129"/>
  <c r="AN397" i="129"/>
  <c r="AL397" i="129"/>
  <c r="AI397" i="129"/>
  <c r="CL397" i="129" s="1"/>
  <c r="AF397" i="129"/>
  <c r="AC397" i="129"/>
  <c r="S397" i="129"/>
  <c r="R397" i="129"/>
  <c r="Q397" i="129"/>
  <c r="CA396" i="129"/>
  <c r="BZ396" i="129"/>
  <c r="BS396" i="129"/>
  <c r="BR396" i="129"/>
  <c r="BN396" i="129"/>
  <c r="AP396" i="129"/>
  <c r="AO396" i="129"/>
  <c r="AN396" i="129"/>
  <c r="AL396" i="129"/>
  <c r="AI396" i="129"/>
  <c r="CL396" i="129" s="1"/>
  <c r="AF396" i="129"/>
  <c r="AC396" i="129"/>
  <c r="S396" i="129"/>
  <c r="R396" i="129"/>
  <c r="Q396" i="129"/>
  <c r="CA395" i="129"/>
  <c r="BZ395" i="129"/>
  <c r="BS395" i="129"/>
  <c r="BR395" i="129"/>
  <c r="BN395" i="129"/>
  <c r="AP395" i="129"/>
  <c r="AO395" i="129"/>
  <c r="AN395" i="129"/>
  <c r="AL395" i="129"/>
  <c r="AI395" i="129"/>
  <c r="CL395" i="129" s="1"/>
  <c r="AF395" i="129"/>
  <c r="AC395" i="129"/>
  <c r="S395" i="129"/>
  <c r="R395" i="129"/>
  <c r="Q395" i="129"/>
  <c r="CA394" i="129"/>
  <c r="BZ394" i="129"/>
  <c r="BS394" i="129"/>
  <c r="BR394" i="129"/>
  <c r="BN394" i="129"/>
  <c r="AP394" i="129"/>
  <c r="AO394" i="129"/>
  <c r="AN394" i="129"/>
  <c r="AL394" i="129"/>
  <c r="AI394" i="129"/>
  <c r="CL394" i="129" s="1"/>
  <c r="AF394" i="129"/>
  <c r="AC394" i="129"/>
  <c r="S394" i="129"/>
  <c r="R394" i="129"/>
  <c r="Q394" i="129"/>
  <c r="CA393" i="129"/>
  <c r="BZ393" i="129"/>
  <c r="BS393" i="129"/>
  <c r="BR393" i="129"/>
  <c r="BN393" i="129"/>
  <c r="AP393" i="129"/>
  <c r="AO393" i="129"/>
  <c r="AN393" i="129"/>
  <c r="AL393" i="129"/>
  <c r="AI393" i="129"/>
  <c r="CL393" i="129" s="1"/>
  <c r="AF393" i="129"/>
  <c r="AC393" i="129"/>
  <c r="S393" i="129"/>
  <c r="R393" i="129"/>
  <c r="Q393" i="129"/>
  <c r="CA392" i="129"/>
  <c r="BZ392" i="129"/>
  <c r="BS392" i="129"/>
  <c r="BR392" i="129"/>
  <c r="BN392" i="129"/>
  <c r="AP392" i="129"/>
  <c r="AO392" i="129"/>
  <c r="AN392" i="129"/>
  <c r="AL392" i="129"/>
  <c r="AI392" i="129"/>
  <c r="CL392" i="129" s="1"/>
  <c r="AF392" i="129"/>
  <c r="AC392" i="129"/>
  <c r="S392" i="129"/>
  <c r="R392" i="129"/>
  <c r="Q392" i="129"/>
  <c r="CA391" i="129"/>
  <c r="BZ391" i="129"/>
  <c r="BS391" i="129"/>
  <c r="BR391" i="129"/>
  <c r="BN391" i="129"/>
  <c r="AP391" i="129"/>
  <c r="AO391" i="129"/>
  <c r="AN391" i="129"/>
  <c r="AL391" i="129"/>
  <c r="AI391" i="129"/>
  <c r="CL391" i="129" s="1"/>
  <c r="AF391" i="129"/>
  <c r="AC391" i="129"/>
  <c r="S391" i="129"/>
  <c r="R391" i="129"/>
  <c r="Q391" i="129"/>
  <c r="CA390" i="129"/>
  <c r="BZ390" i="129"/>
  <c r="BS390" i="129"/>
  <c r="BR390" i="129"/>
  <c r="BN390" i="129"/>
  <c r="AP390" i="129"/>
  <c r="AO390" i="129"/>
  <c r="AN390" i="129"/>
  <c r="AL390" i="129"/>
  <c r="AI390" i="129"/>
  <c r="CL390" i="129" s="1"/>
  <c r="AF390" i="129"/>
  <c r="AC390" i="129"/>
  <c r="S390" i="129"/>
  <c r="R390" i="129"/>
  <c r="Q390" i="129"/>
  <c r="CA389" i="129"/>
  <c r="BZ389" i="129"/>
  <c r="BS389" i="129"/>
  <c r="BR389" i="129"/>
  <c r="BN389" i="129"/>
  <c r="AP389" i="129"/>
  <c r="AO389" i="129"/>
  <c r="AN389" i="129"/>
  <c r="AL389" i="129"/>
  <c r="AI389" i="129"/>
  <c r="CL389" i="129" s="1"/>
  <c r="AF389" i="129"/>
  <c r="AC389" i="129"/>
  <c r="S389" i="129"/>
  <c r="R389" i="129"/>
  <c r="Q389" i="129"/>
  <c r="CA388" i="129"/>
  <c r="BZ388" i="129"/>
  <c r="BS388" i="129"/>
  <c r="BR388" i="129"/>
  <c r="BN388" i="129"/>
  <c r="AP388" i="129"/>
  <c r="AO388" i="129"/>
  <c r="AN388" i="129"/>
  <c r="AL388" i="129"/>
  <c r="AI388" i="129"/>
  <c r="CL388" i="129" s="1"/>
  <c r="AF388" i="129"/>
  <c r="AC388" i="129"/>
  <c r="S388" i="129"/>
  <c r="R388" i="129"/>
  <c r="Q388" i="129"/>
  <c r="CA387" i="129"/>
  <c r="BZ387" i="129"/>
  <c r="BS387" i="129"/>
  <c r="BR387" i="129"/>
  <c r="BN387" i="129"/>
  <c r="AP387" i="129"/>
  <c r="AO387" i="129"/>
  <c r="AN387" i="129"/>
  <c r="AL387" i="129"/>
  <c r="AI387" i="129"/>
  <c r="CL387" i="129" s="1"/>
  <c r="AF387" i="129"/>
  <c r="AC387" i="129"/>
  <c r="S387" i="129"/>
  <c r="R387" i="129"/>
  <c r="Q387" i="129"/>
  <c r="CA386" i="129"/>
  <c r="BZ386" i="129"/>
  <c r="BS386" i="129"/>
  <c r="BR386" i="129"/>
  <c r="BN386" i="129"/>
  <c r="AP386" i="129"/>
  <c r="AO386" i="129"/>
  <c r="AN386" i="129"/>
  <c r="AL386" i="129"/>
  <c r="AI386" i="129"/>
  <c r="CL386" i="129" s="1"/>
  <c r="AF386" i="129"/>
  <c r="AC386" i="129"/>
  <c r="S386" i="129"/>
  <c r="R386" i="129"/>
  <c r="Q386" i="129"/>
  <c r="CA385" i="129"/>
  <c r="BZ385" i="129"/>
  <c r="BS385" i="129"/>
  <c r="BR385" i="129"/>
  <c r="BN385" i="129"/>
  <c r="AP385" i="129"/>
  <c r="AO385" i="129"/>
  <c r="AN385" i="129"/>
  <c r="AL385" i="129"/>
  <c r="AI385" i="129"/>
  <c r="CL385" i="129" s="1"/>
  <c r="AF385" i="129"/>
  <c r="AC385" i="129"/>
  <c r="S385" i="129"/>
  <c r="R385" i="129"/>
  <c r="Q385" i="129"/>
  <c r="CA384" i="129"/>
  <c r="BZ384" i="129"/>
  <c r="BS384" i="129"/>
  <c r="BR384" i="129"/>
  <c r="BN384" i="129"/>
  <c r="AP384" i="129"/>
  <c r="AO384" i="129"/>
  <c r="AN384" i="129"/>
  <c r="AL384" i="129"/>
  <c r="AI384" i="129"/>
  <c r="CL384" i="129" s="1"/>
  <c r="AF384" i="129"/>
  <c r="AC384" i="129"/>
  <c r="S384" i="129"/>
  <c r="R384" i="129"/>
  <c r="Q384" i="129"/>
  <c r="CA383" i="129"/>
  <c r="BZ383" i="129"/>
  <c r="BS383" i="129"/>
  <c r="BR383" i="129"/>
  <c r="BN383" i="129"/>
  <c r="AP383" i="129"/>
  <c r="AO383" i="129"/>
  <c r="AN383" i="129"/>
  <c r="AL383" i="129"/>
  <c r="AI383" i="129"/>
  <c r="CL383" i="129" s="1"/>
  <c r="AF383" i="129"/>
  <c r="AC383" i="129"/>
  <c r="S383" i="129"/>
  <c r="R383" i="129"/>
  <c r="Q383" i="129"/>
  <c r="CA382" i="129"/>
  <c r="BZ382" i="129"/>
  <c r="BS382" i="129"/>
  <c r="BR382" i="129"/>
  <c r="BN382" i="129"/>
  <c r="AP382" i="129"/>
  <c r="AO382" i="129"/>
  <c r="AN382" i="129"/>
  <c r="AL382" i="129"/>
  <c r="AI382" i="129"/>
  <c r="CL382" i="129" s="1"/>
  <c r="AF382" i="129"/>
  <c r="AC382" i="129"/>
  <c r="S382" i="129"/>
  <c r="R382" i="129"/>
  <c r="Q382" i="129"/>
  <c r="CA381" i="129"/>
  <c r="BZ381" i="129"/>
  <c r="BS381" i="129"/>
  <c r="BR381" i="129"/>
  <c r="BN381" i="129"/>
  <c r="AP381" i="129"/>
  <c r="AO381" i="129"/>
  <c r="AN381" i="129"/>
  <c r="AL381" i="129"/>
  <c r="AI381" i="129"/>
  <c r="CL381" i="129" s="1"/>
  <c r="AF381" i="129"/>
  <c r="AC381" i="129"/>
  <c r="S381" i="129"/>
  <c r="R381" i="129"/>
  <c r="Q381" i="129"/>
  <c r="CA380" i="129"/>
  <c r="BZ380" i="129"/>
  <c r="BS380" i="129"/>
  <c r="BR380" i="129"/>
  <c r="BN380" i="129"/>
  <c r="AP380" i="129"/>
  <c r="AO380" i="129"/>
  <c r="AN380" i="129"/>
  <c r="AL380" i="129"/>
  <c r="AI380" i="129"/>
  <c r="CL380" i="129" s="1"/>
  <c r="AF380" i="129"/>
  <c r="AC380" i="129"/>
  <c r="S380" i="129"/>
  <c r="R380" i="129"/>
  <c r="Q380" i="129"/>
  <c r="CA379" i="129"/>
  <c r="BZ379" i="129"/>
  <c r="BS379" i="129"/>
  <c r="BR379" i="129"/>
  <c r="BN379" i="129"/>
  <c r="AP379" i="129"/>
  <c r="AO379" i="129"/>
  <c r="AN379" i="129"/>
  <c r="AL379" i="129"/>
  <c r="AI379" i="129"/>
  <c r="CL379" i="129" s="1"/>
  <c r="AF379" i="129"/>
  <c r="AC379" i="129"/>
  <c r="S379" i="129"/>
  <c r="R379" i="129"/>
  <c r="Q379" i="129"/>
  <c r="CA378" i="129"/>
  <c r="BZ378" i="129"/>
  <c r="BS378" i="129"/>
  <c r="BR378" i="129"/>
  <c r="BN378" i="129"/>
  <c r="AP378" i="129"/>
  <c r="AO378" i="129"/>
  <c r="AN378" i="129"/>
  <c r="AL378" i="129"/>
  <c r="AI378" i="129"/>
  <c r="CL378" i="129" s="1"/>
  <c r="AF378" i="129"/>
  <c r="AC378" i="129"/>
  <c r="S378" i="129"/>
  <c r="R378" i="129"/>
  <c r="Q378" i="129"/>
  <c r="CA377" i="129"/>
  <c r="BZ377" i="129"/>
  <c r="BS377" i="129"/>
  <c r="BR377" i="129"/>
  <c r="BN377" i="129"/>
  <c r="AP377" i="129"/>
  <c r="AO377" i="129"/>
  <c r="AN377" i="129"/>
  <c r="AL377" i="129"/>
  <c r="AI377" i="129"/>
  <c r="CL377" i="129" s="1"/>
  <c r="AF377" i="129"/>
  <c r="AC377" i="129"/>
  <c r="S377" i="129"/>
  <c r="R377" i="129"/>
  <c r="Q377" i="129"/>
  <c r="CA376" i="129"/>
  <c r="BZ376" i="129"/>
  <c r="BS376" i="129"/>
  <c r="BR376" i="129"/>
  <c r="BN376" i="129"/>
  <c r="AP376" i="129"/>
  <c r="AO376" i="129"/>
  <c r="AN376" i="129"/>
  <c r="AL376" i="129"/>
  <c r="AI376" i="129"/>
  <c r="CL376" i="129" s="1"/>
  <c r="AF376" i="129"/>
  <c r="AC376" i="129"/>
  <c r="S376" i="129"/>
  <c r="R376" i="129"/>
  <c r="Q376" i="129"/>
  <c r="CA375" i="129"/>
  <c r="BZ375" i="129"/>
  <c r="BS375" i="129"/>
  <c r="BR375" i="129"/>
  <c r="BN375" i="129"/>
  <c r="AP375" i="129"/>
  <c r="AO375" i="129"/>
  <c r="AN375" i="129"/>
  <c r="AL375" i="129"/>
  <c r="AI375" i="129"/>
  <c r="CL375" i="129" s="1"/>
  <c r="AF375" i="129"/>
  <c r="AC375" i="129"/>
  <c r="S375" i="129"/>
  <c r="R375" i="129"/>
  <c r="Q375" i="129"/>
  <c r="CA374" i="129"/>
  <c r="BZ374" i="129"/>
  <c r="BS374" i="129"/>
  <c r="BR374" i="129"/>
  <c r="BN374" i="129"/>
  <c r="AP374" i="129"/>
  <c r="AO374" i="129"/>
  <c r="AN374" i="129"/>
  <c r="AL374" i="129"/>
  <c r="AI374" i="129"/>
  <c r="CL374" i="129" s="1"/>
  <c r="AF374" i="129"/>
  <c r="AC374" i="129"/>
  <c r="S374" i="129"/>
  <c r="R374" i="129"/>
  <c r="Q374" i="129"/>
  <c r="CA373" i="129"/>
  <c r="BZ373" i="129"/>
  <c r="BS373" i="129"/>
  <c r="BR373" i="129"/>
  <c r="BN373" i="129"/>
  <c r="AP373" i="129"/>
  <c r="AO373" i="129"/>
  <c r="AN373" i="129"/>
  <c r="AL373" i="129"/>
  <c r="AI373" i="129"/>
  <c r="CL373" i="129" s="1"/>
  <c r="AF373" i="129"/>
  <c r="AC373" i="129"/>
  <c r="S373" i="129"/>
  <c r="R373" i="129"/>
  <c r="Q373" i="129"/>
  <c r="CA372" i="129"/>
  <c r="BZ372" i="129"/>
  <c r="BS372" i="129"/>
  <c r="BR372" i="129"/>
  <c r="BN372" i="129"/>
  <c r="AP372" i="129"/>
  <c r="AO372" i="129"/>
  <c r="AN372" i="129"/>
  <c r="AL372" i="129"/>
  <c r="AI372" i="129"/>
  <c r="CL372" i="129" s="1"/>
  <c r="AF372" i="129"/>
  <c r="AC372" i="129"/>
  <c r="S372" i="129"/>
  <c r="R372" i="129"/>
  <c r="Q372" i="129"/>
  <c r="CA371" i="129"/>
  <c r="BZ371" i="129"/>
  <c r="BS371" i="129"/>
  <c r="BR371" i="129"/>
  <c r="BN371" i="129"/>
  <c r="AP371" i="129"/>
  <c r="AO371" i="129"/>
  <c r="AN371" i="129"/>
  <c r="AL371" i="129"/>
  <c r="AI371" i="129"/>
  <c r="CL371" i="129" s="1"/>
  <c r="AF371" i="129"/>
  <c r="AC371" i="129"/>
  <c r="S371" i="129"/>
  <c r="R371" i="129"/>
  <c r="Q371" i="129"/>
  <c r="CA370" i="129"/>
  <c r="BZ370" i="129"/>
  <c r="BS370" i="129"/>
  <c r="BR370" i="129"/>
  <c r="BN370" i="129"/>
  <c r="AP370" i="129"/>
  <c r="AO370" i="129"/>
  <c r="AN370" i="129"/>
  <c r="AL370" i="129"/>
  <c r="AI370" i="129"/>
  <c r="CL370" i="129" s="1"/>
  <c r="AF370" i="129"/>
  <c r="AC370" i="129"/>
  <c r="S370" i="129"/>
  <c r="R370" i="129"/>
  <c r="Q370" i="129"/>
  <c r="CA369" i="129"/>
  <c r="BZ369" i="129"/>
  <c r="BS369" i="129"/>
  <c r="BR369" i="129"/>
  <c r="BN369" i="129"/>
  <c r="AP369" i="129"/>
  <c r="AO369" i="129"/>
  <c r="AN369" i="129"/>
  <c r="AL369" i="129"/>
  <c r="AI369" i="129"/>
  <c r="CL369" i="129" s="1"/>
  <c r="AF369" i="129"/>
  <c r="AC369" i="129"/>
  <c r="S369" i="129"/>
  <c r="R369" i="129"/>
  <c r="Q369" i="129"/>
  <c r="CA368" i="129"/>
  <c r="BZ368" i="129"/>
  <c r="BS368" i="129"/>
  <c r="BR368" i="129"/>
  <c r="BN368" i="129"/>
  <c r="AP368" i="129"/>
  <c r="AO368" i="129"/>
  <c r="AN368" i="129"/>
  <c r="AL368" i="129"/>
  <c r="AI368" i="129"/>
  <c r="CL368" i="129" s="1"/>
  <c r="AF368" i="129"/>
  <c r="AC368" i="129"/>
  <c r="S368" i="129"/>
  <c r="R368" i="129"/>
  <c r="Q368" i="129"/>
  <c r="CA367" i="129"/>
  <c r="BZ367" i="129"/>
  <c r="BS367" i="129"/>
  <c r="BR367" i="129"/>
  <c r="BN367" i="129"/>
  <c r="AP367" i="129"/>
  <c r="AO367" i="129"/>
  <c r="AN367" i="129"/>
  <c r="AL367" i="129"/>
  <c r="AI367" i="129"/>
  <c r="CL367" i="129" s="1"/>
  <c r="AF367" i="129"/>
  <c r="AC367" i="129"/>
  <c r="S367" i="129"/>
  <c r="R367" i="129"/>
  <c r="Q367" i="129"/>
  <c r="CA366" i="129"/>
  <c r="BZ366" i="129"/>
  <c r="BS366" i="129"/>
  <c r="BR366" i="129"/>
  <c r="BN366" i="129"/>
  <c r="AP366" i="129"/>
  <c r="AO366" i="129"/>
  <c r="AN366" i="129"/>
  <c r="AL366" i="129"/>
  <c r="AI366" i="129"/>
  <c r="CL366" i="129" s="1"/>
  <c r="AF366" i="129"/>
  <c r="AC366" i="129"/>
  <c r="S366" i="129"/>
  <c r="R366" i="129"/>
  <c r="Q366" i="129"/>
  <c r="CA365" i="129"/>
  <c r="BZ365" i="129"/>
  <c r="BS365" i="129"/>
  <c r="BR365" i="129"/>
  <c r="BN365" i="129"/>
  <c r="AP365" i="129"/>
  <c r="AO365" i="129"/>
  <c r="AN365" i="129"/>
  <c r="AL365" i="129"/>
  <c r="AI365" i="129"/>
  <c r="CL365" i="129" s="1"/>
  <c r="AF365" i="129"/>
  <c r="AC365" i="129"/>
  <c r="S365" i="129"/>
  <c r="R365" i="129"/>
  <c r="Q365" i="129"/>
  <c r="CA364" i="129"/>
  <c r="BZ364" i="129"/>
  <c r="BS364" i="129"/>
  <c r="BR364" i="129"/>
  <c r="BN364" i="129"/>
  <c r="AP364" i="129"/>
  <c r="AO364" i="129"/>
  <c r="AN364" i="129"/>
  <c r="AL364" i="129"/>
  <c r="AI364" i="129"/>
  <c r="CL364" i="129" s="1"/>
  <c r="AF364" i="129"/>
  <c r="AC364" i="129"/>
  <c r="S364" i="129"/>
  <c r="R364" i="129"/>
  <c r="Q364" i="129"/>
  <c r="CA363" i="129"/>
  <c r="BZ363" i="129"/>
  <c r="BS363" i="129"/>
  <c r="BR363" i="129"/>
  <c r="BN363" i="129"/>
  <c r="AP363" i="129"/>
  <c r="AO363" i="129"/>
  <c r="AN363" i="129"/>
  <c r="AL363" i="129"/>
  <c r="AI363" i="129"/>
  <c r="CL363" i="129" s="1"/>
  <c r="AF363" i="129"/>
  <c r="AC363" i="129"/>
  <c r="S363" i="129"/>
  <c r="R363" i="129"/>
  <c r="Q363" i="129"/>
  <c r="CA362" i="129"/>
  <c r="BZ362" i="129"/>
  <c r="BS362" i="129"/>
  <c r="BR362" i="129"/>
  <c r="BN362" i="129"/>
  <c r="AP362" i="129"/>
  <c r="AO362" i="129"/>
  <c r="AN362" i="129"/>
  <c r="AL362" i="129"/>
  <c r="AI362" i="129"/>
  <c r="CL362" i="129" s="1"/>
  <c r="AF362" i="129"/>
  <c r="AC362" i="129"/>
  <c r="S362" i="129"/>
  <c r="R362" i="129"/>
  <c r="Q362" i="129"/>
  <c r="CA361" i="129"/>
  <c r="BZ361" i="129"/>
  <c r="BS361" i="129"/>
  <c r="BR361" i="129"/>
  <c r="BN361" i="129"/>
  <c r="AP361" i="129"/>
  <c r="AO361" i="129"/>
  <c r="AN361" i="129"/>
  <c r="AL361" i="129"/>
  <c r="AI361" i="129"/>
  <c r="CL361" i="129" s="1"/>
  <c r="AF361" i="129"/>
  <c r="AC361" i="129"/>
  <c r="S361" i="129"/>
  <c r="R361" i="129"/>
  <c r="Q361" i="129"/>
  <c r="CA360" i="129"/>
  <c r="BZ360" i="129"/>
  <c r="BS360" i="129"/>
  <c r="BR360" i="129"/>
  <c r="BN360" i="129"/>
  <c r="AP360" i="129"/>
  <c r="AO360" i="129"/>
  <c r="AN360" i="129"/>
  <c r="AL360" i="129"/>
  <c r="AI360" i="129"/>
  <c r="CL360" i="129" s="1"/>
  <c r="AF360" i="129"/>
  <c r="AC360" i="129"/>
  <c r="S360" i="129"/>
  <c r="R360" i="129"/>
  <c r="Q360" i="129"/>
  <c r="CA359" i="129"/>
  <c r="BZ359" i="129"/>
  <c r="BS359" i="129"/>
  <c r="BR359" i="129"/>
  <c r="BN359" i="129"/>
  <c r="AP359" i="129"/>
  <c r="AO359" i="129"/>
  <c r="AN359" i="129"/>
  <c r="AL359" i="129"/>
  <c r="AI359" i="129"/>
  <c r="CL359" i="129" s="1"/>
  <c r="AF359" i="129"/>
  <c r="AC359" i="129"/>
  <c r="S359" i="129"/>
  <c r="R359" i="129"/>
  <c r="Q359" i="129"/>
  <c r="CA358" i="129"/>
  <c r="BZ358" i="129"/>
  <c r="BS358" i="129"/>
  <c r="BR358" i="129"/>
  <c r="BN358" i="129"/>
  <c r="AP358" i="129"/>
  <c r="AO358" i="129"/>
  <c r="AN358" i="129"/>
  <c r="AL358" i="129"/>
  <c r="AI358" i="129"/>
  <c r="CL358" i="129" s="1"/>
  <c r="AF358" i="129"/>
  <c r="AC358" i="129"/>
  <c r="S358" i="129"/>
  <c r="R358" i="129"/>
  <c r="Q358" i="129"/>
  <c r="CA357" i="129"/>
  <c r="BZ357" i="129"/>
  <c r="BS357" i="129"/>
  <c r="BR357" i="129"/>
  <c r="BN357" i="129"/>
  <c r="AP357" i="129"/>
  <c r="AO357" i="129"/>
  <c r="AN357" i="129"/>
  <c r="AL357" i="129"/>
  <c r="AI357" i="129"/>
  <c r="CL357" i="129" s="1"/>
  <c r="AF357" i="129"/>
  <c r="AC357" i="129"/>
  <c r="S357" i="129"/>
  <c r="R357" i="129"/>
  <c r="Q357" i="129"/>
  <c r="CA356" i="129"/>
  <c r="BZ356" i="129"/>
  <c r="BS356" i="129"/>
  <c r="BR356" i="129"/>
  <c r="BN356" i="129"/>
  <c r="AP356" i="129"/>
  <c r="AO356" i="129"/>
  <c r="AN356" i="129"/>
  <c r="AL356" i="129"/>
  <c r="AI356" i="129"/>
  <c r="CL356" i="129" s="1"/>
  <c r="AF356" i="129"/>
  <c r="AC356" i="129"/>
  <c r="S356" i="129"/>
  <c r="R356" i="129"/>
  <c r="Q356" i="129"/>
  <c r="CA355" i="129"/>
  <c r="BZ355" i="129"/>
  <c r="BS355" i="129"/>
  <c r="BR355" i="129"/>
  <c r="BN355" i="129"/>
  <c r="AP355" i="129"/>
  <c r="AO355" i="129"/>
  <c r="AN355" i="129"/>
  <c r="AL355" i="129"/>
  <c r="AI355" i="129"/>
  <c r="CL355" i="129" s="1"/>
  <c r="AF355" i="129"/>
  <c r="AC355" i="129"/>
  <c r="S355" i="129"/>
  <c r="R355" i="129"/>
  <c r="Q355" i="129"/>
  <c r="CA354" i="129"/>
  <c r="BZ354" i="129"/>
  <c r="BS354" i="129"/>
  <c r="BR354" i="129"/>
  <c r="BN354" i="129"/>
  <c r="AP354" i="129"/>
  <c r="AO354" i="129"/>
  <c r="AN354" i="129"/>
  <c r="AL354" i="129"/>
  <c r="AI354" i="129"/>
  <c r="CL354" i="129" s="1"/>
  <c r="AF354" i="129"/>
  <c r="AC354" i="129"/>
  <c r="S354" i="129"/>
  <c r="R354" i="129"/>
  <c r="Q354" i="129"/>
  <c r="CA353" i="129"/>
  <c r="BZ353" i="129"/>
  <c r="BS353" i="129"/>
  <c r="BR353" i="129"/>
  <c r="BN353" i="129"/>
  <c r="AP353" i="129"/>
  <c r="AO353" i="129"/>
  <c r="AN353" i="129"/>
  <c r="AL353" i="129"/>
  <c r="AI353" i="129"/>
  <c r="CL353" i="129" s="1"/>
  <c r="AF353" i="129"/>
  <c r="AC353" i="129"/>
  <c r="S353" i="129"/>
  <c r="R353" i="129"/>
  <c r="Q353" i="129"/>
  <c r="CA352" i="129"/>
  <c r="BZ352" i="129"/>
  <c r="BS352" i="129"/>
  <c r="BR352" i="129"/>
  <c r="BN352" i="129"/>
  <c r="AP352" i="129"/>
  <c r="AO352" i="129"/>
  <c r="AN352" i="129"/>
  <c r="AL352" i="129"/>
  <c r="AI352" i="129"/>
  <c r="CL352" i="129" s="1"/>
  <c r="AF352" i="129"/>
  <c r="AC352" i="129"/>
  <c r="S352" i="129"/>
  <c r="R352" i="129"/>
  <c r="Q352" i="129"/>
  <c r="CA351" i="129"/>
  <c r="BZ351" i="129"/>
  <c r="BS351" i="129"/>
  <c r="BR351" i="129"/>
  <c r="BN351" i="129"/>
  <c r="AP351" i="129"/>
  <c r="AO351" i="129"/>
  <c r="AN351" i="129"/>
  <c r="AL351" i="129"/>
  <c r="AI351" i="129"/>
  <c r="CL351" i="129" s="1"/>
  <c r="AF351" i="129"/>
  <c r="AC351" i="129"/>
  <c r="S351" i="129"/>
  <c r="R351" i="129"/>
  <c r="Q351" i="129"/>
  <c r="CA350" i="129"/>
  <c r="BZ350" i="129"/>
  <c r="BS350" i="129"/>
  <c r="BR350" i="129"/>
  <c r="BN350" i="129"/>
  <c r="AP350" i="129"/>
  <c r="AO350" i="129"/>
  <c r="AN350" i="129"/>
  <c r="AL350" i="129"/>
  <c r="AI350" i="129"/>
  <c r="CL350" i="129" s="1"/>
  <c r="AF350" i="129"/>
  <c r="AC350" i="129"/>
  <c r="S350" i="129"/>
  <c r="R350" i="129"/>
  <c r="Q350" i="129"/>
  <c r="CA349" i="129"/>
  <c r="BZ349" i="129"/>
  <c r="BS349" i="129"/>
  <c r="BR349" i="129"/>
  <c r="BN349" i="129"/>
  <c r="AP349" i="129"/>
  <c r="AO349" i="129"/>
  <c r="AN349" i="129"/>
  <c r="AL349" i="129"/>
  <c r="AI349" i="129"/>
  <c r="CL349" i="129" s="1"/>
  <c r="AF349" i="129"/>
  <c r="AC349" i="129"/>
  <c r="S349" i="129"/>
  <c r="R349" i="129"/>
  <c r="Q349" i="129"/>
  <c r="CA348" i="129"/>
  <c r="BZ348" i="129"/>
  <c r="BS348" i="129"/>
  <c r="BR348" i="129"/>
  <c r="BN348" i="129"/>
  <c r="AP348" i="129"/>
  <c r="AO348" i="129"/>
  <c r="AN348" i="129"/>
  <c r="AL348" i="129"/>
  <c r="AI348" i="129"/>
  <c r="CL348" i="129" s="1"/>
  <c r="AF348" i="129"/>
  <c r="AC348" i="129"/>
  <c r="S348" i="129"/>
  <c r="R348" i="129"/>
  <c r="Q348" i="129"/>
  <c r="CA347" i="129"/>
  <c r="BZ347" i="129"/>
  <c r="BS347" i="129"/>
  <c r="BR347" i="129"/>
  <c r="BN347" i="129"/>
  <c r="AP347" i="129"/>
  <c r="AO347" i="129"/>
  <c r="AN347" i="129"/>
  <c r="AL347" i="129"/>
  <c r="AI347" i="129"/>
  <c r="CL347" i="129" s="1"/>
  <c r="AF347" i="129"/>
  <c r="AC347" i="129"/>
  <c r="S347" i="129"/>
  <c r="R347" i="129"/>
  <c r="Q347" i="129"/>
  <c r="CA346" i="129"/>
  <c r="BZ346" i="129"/>
  <c r="BS346" i="129"/>
  <c r="BR346" i="129"/>
  <c r="BN346" i="129"/>
  <c r="AP346" i="129"/>
  <c r="AO346" i="129"/>
  <c r="AN346" i="129"/>
  <c r="AL346" i="129"/>
  <c r="AI346" i="129"/>
  <c r="CL346" i="129" s="1"/>
  <c r="AF346" i="129"/>
  <c r="AC346" i="129"/>
  <c r="S346" i="129"/>
  <c r="R346" i="129"/>
  <c r="Q346" i="129"/>
  <c r="CA345" i="129"/>
  <c r="BZ345" i="129"/>
  <c r="BS345" i="129"/>
  <c r="BR345" i="129"/>
  <c r="BN345" i="129"/>
  <c r="AP345" i="129"/>
  <c r="AO345" i="129"/>
  <c r="AN345" i="129"/>
  <c r="AL345" i="129"/>
  <c r="AI345" i="129"/>
  <c r="CL345" i="129" s="1"/>
  <c r="AF345" i="129"/>
  <c r="AC345" i="129"/>
  <c r="S345" i="129"/>
  <c r="R345" i="129"/>
  <c r="Q345" i="129"/>
  <c r="CA344" i="129"/>
  <c r="BZ344" i="129"/>
  <c r="BS344" i="129"/>
  <c r="BR344" i="129"/>
  <c r="BN344" i="129"/>
  <c r="AP344" i="129"/>
  <c r="AO344" i="129"/>
  <c r="AN344" i="129"/>
  <c r="AL344" i="129"/>
  <c r="AI344" i="129"/>
  <c r="CL344" i="129" s="1"/>
  <c r="AF344" i="129"/>
  <c r="AC344" i="129"/>
  <c r="S344" i="129"/>
  <c r="R344" i="129"/>
  <c r="Q344" i="129"/>
  <c r="CA343" i="129"/>
  <c r="BZ343" i="129"/>
  <c r="BS343" i="129"/>
  <c r="BR343" i="129"/>
  <c r="BN343" i="129"/>
  <c r="AP343" i="129"/>
  <c r="AO343" i="129"/>
  <c r="AN343" i="129"/>
  <c r="AL343" i="129"/>
  <c r="AI343" i="129"/>
  <c r="CL343" i="129" s="1"/>
  <c r="AF343" i="129"/>
  <c r="AC343" i="129"/>
  <c r="S343" i="129"/>
  <c r="R343" i="129"/>
  <c r="Q343" i="129"/>
  <c r="CA342" i="129"/>
  <c r="BZ342" i="129"/>
  <c r="BS342" i="129"/>
  <c r="BR342" i="129"/>
  <c r="BN342" i="129"/>
  <c r="AP342" i="129"/>
  <c r="AO342" i="129"/>
  <c r="AN342" i="129"/>
  <c r="AL342" i="129"/>
  <c r="AI342" i="129"/>
  <c r="CL342" i="129" s="1"/>
  <c r="AF342" i="129"/>
  <c r="AC342" i="129"/>
  <c r="S342" i="129"/>
  <c r="R342" i="129"/>
  <c r="Q342" i="129"/>
  <c r="CA341" i="129"/>
  <c r="BZ341" i="129"/>
  <c r="BS341" i="129"/>
  <c r="BR341" i="129"/>
  <c r="BN341" i="129"/>
  <c r="AP341" i="129"/>
  <c r="AO341" i="129"/>
  <c r="AN341" i="129"/>
  <c r="AL341" i="129"/>
  <c r="AI341" i="129"/>
  <c r="CL341" i="129" s="1"/>
  <c r="AF341" i="129"/>
  <c r="AC341" i="129"/>
  <c r="S341" i="129"/>
  <c r="R341" i="129"/>
  <c r="Q341" i="129"/>
  <c r="CA340" i="129"/>
  <c r="BZ340" i="129"/>
  <c r="BS340" i="129"/>
  <c r="BR340" i="129"/>
  <c r="BN340" i="129"/>
  <c r="AP340" i="129"/>
  <c r="AO340" i="129"/>
  <c r="AN340" i="129"/>
  <c r="AL340" i="129"/>
  <c r="AI340" i="129"/>
  <c r="CL340" i="129" s="1"/>
  <c r="AF340" i="129"/>
  <c r="AC340" i="129"/>
  <c r="S340" i="129"/>
  <c r="R340" i="129"/>
  <c r="Q340" i="129"/>
  <c r="CA339" i="129"/>
  <c r="BZ339" i="129"/>
  <c r="BS339" i="129"/>
  <c r="BR339" i="129"/>
  <c r="BN339" i="129"/>
  <c r="AP339" i="129"/>
  <c r="AO339" i="129"/>
  <c r="AN339" i="129"/>
  <c r="AL339" i="129"/>
  <c r="AI339" i="129"/>
  <c r="CL339" i="129" s="1"/>
  <c r="AF339" i="129"/>
  <c r="AC339" i="129"/>
  <c r="S339" i="129"/>
  <c r="R339" i="129"/>
  <c r="Q339" i="129"/>
  <c r="CA338" i="129"/>
  <c r="BZ338" i="129"/>
  <c r="BS338" i="129"/>
  <c r="BR338" i="129"/>
  <c r="BN338" i="129"/>
  <c r="AP338" i="129"/>
  <c r="AO338" i="129"/>
  <c r="AN338" i="129"/>
  <c r="AL338" i="129"/>
  <c r="AI338" i="129"/>
  <c r="CL338" i="129" s="1"/>
  <c r="AF338" i="129"/>
  <c r="AC338" i="129"/>
  <c r="S338" i="129"/>
  <c r="R338" i="129"/>
  <c r="Q338" i="129"/>
  <c r="CA337" i="129"/>
  <c r="BZ337" i="129"/>
  <c r="BS337" i="129"/>
  <c r="BR337" i="129"/>
  <c r="BN337" i="129"/>
  <c r="AP337" i="129"/>
  <c r="AO337" i="129"/>
  <c r="AN337" i="129"/>
  <c r="AL337" i="129"/>
  <c r="AI337" i="129"/>
  <c r="CL337" i="129" s="1"/>
  <c r="AF337" i="129"/>
  <c r="AC337" i="129"/>
  <c r="S337" i="129"/>
  <c r="R337" i="129"/>
  <c r="Q337" i="129"/>
  <c r="CA336" i="129"/>
  <c r="BZ336" i="129"/>
  <c r="BS336" i="129"/>
  <c r="BR336" i="129"/>
  <c r="BN336" i="129"/>
  <c r="AP336" i="129"/>
  <c r="AO336" i="129"/>
  <c r="AN336" i="129"/>
  <c r="AL336" i="129"/>
  <c r="AI336" i="129"/>
  <c r="CL336" i="129" s="1"/>
  <c r="AF336" i="129"/>
  <c r="AC336" i="129"/>
  <c r="S336" i="129"/>
  <c r="R336" i="129"/>
  <c r="Q336" i="129"/>
  <c r="CA335" i="129"/>
  <c r="BZ335" i="129"/>
  <c r="BS335" i="129"/>
  <c r="BR335" i="129"/>
  <c r="BN335" i="129"/>
  <c r="AP335" i="129"/>
  <c r="AO335" i="129"/>
  <c r="AN335" i="129"/>
  <c r="AL335" i="129"/>
  <c r="AI335" i="129"/>
  <c r="CL335" i="129" s="1"/>
  <c r="AF335" i="129"/>
  <c r="AC335" i="129"/>
  <c r="S335" i="129"/>
  <c r="R335" i="129"/>
  <c r="Q335" i="129"/>
  <c r="CA334" i="129"/>
  <c r="BZ334" i="129"/>
  <c r="BS334" i="129"/>
  <c r="BR334" i="129"/>
  <c r="BN334" i="129"/>
  <c r="AP334" i="129"/>
  <c r="AO334" i="129"/>
  <c r="AN334" i="129"/>
  <c r="AL334" i="129"/>
  <c r="AI334" i="129"/>
  <c r="CL334" i="129" s="1"/>
  <c r="AF334" i="129"/>
  <c r="AC334" i="129"/>
  <c r="S334" i="129"/>
  <c r="R334" i="129"/>
  <c r="Q334" i="129"/>
  <c r="CA333" i="129"/>
  <c r="BZ333" i="129"/>
  <c r="BS333" i="129"/>
  <c r="BR333" i="129"/>
  <c r="BN333" i="129"/>
  <c r="AP333" i="129"/>
  <c r="AO333" i="129"/>
  <c r="AN333" i="129"/>
  <c r="AL333" i="129"/>
  <c r="AI333" i="129"/>
  <c r="CL333" i="129" s="1"/>
  <c r="AF333" i="129"/>
  <c r="AC333" i="129"/>
  <c r="S333" i="129"/>
  <c r="R333" i="129"/>
  <c r="Q333" i="129"/>
  <c r="CA332" i="129"/>
  <c r="BZ332" i="129"/>
  <c r="BS332" i="129"/>
  <c r="BR332" i="129"/>
  <c r="BN332" i="129"/>
  <c r="AP332" i="129"/>
  <c r="AO332" i="129"/>
  <c r="AN332" i="129"/>
  <c r="AL332" i="129"/>
  <c r="AI332" i="129"/>
  <c r="CL332" i="129" s="1"/>
  <c r="AF332" i="129"/>
  <c r="AC332" i="129"/>
  <c r="S332" i="129"/>
  <c r="R332" i="129"/>
  <c r="Q332" i="129"/>
  <c r="CA331" i="129"/>
  <c r="BZ331" i="129"/>
  <c r="BS331" i="129"/>
  <c r="BR331" i="129"/>
  <c r="BN331" i="129"/>
  <c r="AP331" i="129"/>
  <c r="AO331" i="129"/>
  <c r="AN331" i="129"/>
  <c r="AL331" i="129"/>
  <c r="AI331" i="129"/>
  <c r="CL331" i="129" s="1"/>
  <c r="AF331" i="129"/>
  <c r="AC331" i="129"/>
  <c r="S331" i="129"/>
  <c r="R331" i="129"/>
  <c r="Q331" i="129"/>
  <c r="CA330" i="129"/>
  <c r="BZ330" i="129"/>
  <c r="BS330" i="129"/>
  <c r="BR330" i="129"/>
  <c r="BN330" i="129"/>
  <c r="AP330" i="129"/>
  <c r="AO330" i="129"/>
  <c r="AN330" i="129"/>
  <c r="AL330" i="129"/>
  <c r="AI330" i="129"/>
  <c r="CL330" i="129" s="1"/>
  <c r="AF330" i="129"/>
  <c r="AC330" i="129"/>
  <c r="S330" i="129"/>
  <c r="R330" i="129"/>
  <c r="Q330" i="129"/>
  <c r="CA329" i="129"/>
  <c r="BZ329" i="129"/>
  <c r="BS329" i="129"/>
  <c r="BR329" i="129"/>
  <c r="BN329" i="129"/>
  <c r="AP329" i="129"/>
  <c r="AO329" i="129"/>
  <c r="AN329" i="129"/>
  <c r="AL329" i="129"/>
  <c r="AI329" i="129"/>
  <c r="CL329" i="129" s="1"/>
  <c r="AF329" i="129"/>
  <c r="AC329" i="129"/>
  <c r="S329" i="129"/>
  <c r="R329" i="129"/>
  <c r="Q329" i="129"/>
  <c r="CA328" i="129"/>
  <c r="BZ328" i="129"/>
  <c r="BS328" i="129"/>
  <c r="BR328" i="129"/>
  <c r="BN328" i="129"/>
  <c r="AP328" i="129"/>
  <c r="AO328" i="129"/>
  <c r="AN328" i="129"/>
  <c r="AL328" i="129"/>
  <c r="AI328" i="129"/>
  <c r="CL328" i="129" s="1"/>
  <c r="AF328" i="129"/>
  <c r="AC328" i="129"/>
  <c r="S328" i="129"/>
  <c r="R328" i="129"/>
  <c r="Q328" i="129"/>
  <c r="CA327" i="129"/>
  <c r="BZ327" i="129"/>
  <c r="BS327" i="129"/>
  <c r="BR327" i="129"/>
  <c r="BN327" i="129"/>
  <c r="AP327" i="129"/>
  <c r="AO327" i="129"/>
  <c r="AN327" i="129"/>
  <c r="AL327" i="129"/>
  <c r="AI327" i="129"/>
  <c r="CL327" i="129" s="1"/>
  <c r="AF327" i="129"/>
  <c r="AC327" i="129"/>
  <c r="S327" i="129"/>
  <c r="R327" i="129"/>
  <c r="Q327" i="129"/>
  <c r="CA326" i="129"/>
  <c r="BZ326" i="129"/>
  <c r="BS326" i="129"/>
  <c r="BR326" i="129"/>
  <c r="BN326" i="129"/>
  <c r="AP326" i="129"/>
  <c r="AO326" i="129"/>
  <c r="AN326" i="129"/>
  <c r="AL326" i="129"/>
  <c r="AI326" i="129"/>
  <c r="CL326" i="129" s="1"/>
  <c r="AF326" i="129"/>
  <c r="AC326" i="129"/>
  <c r="S326" i="129"/>
  <c r="R326" i="129"/>
  <c r="Q326" i="129"/>
  <c r="CA325" i="129"/>
  <c r="BZ325" i="129"/>
  <c r="BS325" i="129"/>
  <c r="BR325" i="129"/>
  <c r="BN325" i="129"/>
  <c r="AP325" i="129"/>
  <c r="AO325" i="129"/>
  <c r="AN325" i="129"/>
  <c r="AL325" i="129"/>
  <c r="AI325" i="129"/>
  <c r="CL325" i="129" s="1"/>
  <c r="AF325" i="129"/>
  <c r="AC325" i="129"/>
  <c r="S325" i="129"/>
  <c r="R325" i="129"/>
  <c r="Q325" i="129"/>
  <c r="CA324" i="129"/>
  <c r="BZ324" i="129"/>
  <c r="BS324" i="129"/>
  <c r="BR324" i="129"/>
  <c r="BN324" i="129"/>
  <c r="AP324" i="129"/>
  <c r="AO324" i="129"/>
  <c r="AN324" i="129"/>
  <c r="AL324" i="129"/>
  <c r="AI324" i="129"/>
  <c r="CL324" i="129" s="1"/>
  <c r="AF324" i="129"/>
  <c r="AC324" i="129"/>
  <c r="S324" i="129"/>
  <c r="R324" i="129"/>
  <c r="Q324" i="129"/>
  <c r="CA323" i="129"/>
  <c r="BZ323" i="129"/>
  <c r="BS323" i="129"/>
  <c r="BR323" i="129"/>
  <c r="BN323" i="129"/>
  <c r="AP323" i="129"/>
  <c r="AO323" i="129"/>
  <c r="AN323" i="129"/>
  <c r="AL323" i="129"/>
  <c r="AI323" i="129"/>
  <c r="CL323" i="129" s="1"/>
  <c r="AF323" i="129"/>
  <c r="AC323" i="129"/>
  <c r="S323" i="129"/>
  <c r="R323" i="129"/>
  <c r="Q323" i="129"/>
  <c r="CA322" i="129"/>
  <c r="BZ322" i="129"/>
  <c r="BS322" i="129"/>
  <c r="BR322" i="129"/>
  <c r="BN322" i="129"/>
  <c r="AP322" i="129"/>
  <c r="AO322" i="129"/>
  <c r="AN322" i="129"/>
  <c r="AL322" i="129"/>
  <c r="AI322" i="129"/>
  <c r="CL322" i="129" s="1"/>
  <c r="AF322" i="129"/>
  <c r="AC322" i="129"/>
  <c r="S322" i="129"/>
  <c r="R322" i="129"/>
  <c r="Q322" i="129"/>
  <c r="CA321" i="129"/>
  <c r="BZ321" i="129"/>
  <c r="BS321" i="129"/>
  <c r="BR321" i="129"/>
  <c r="BN321" i="129"/>
  <c r="AP321" i="129"/>
  <c r="AO321" i="129"/>
  <c r="AN321" i="129"/>
  <c r="AL321" i="129"/>
  <c r="AI321" i="129"/>
  <c r="CL321" i="129" s="1"/>
  <c r="AF321" i="129"/>
  <c r="AC321" i="129"/>
  <c r="S321" i="129"/>
  <c r="R321" i="129"/>
  <c r="Q321" i="129"/>
  <c r="CA320" i="129"/>
  <c r="BZ320" i="129"/>
  <c r="BS320" i="129"/>
  <c r="BR320" i="129"/>
  <c r="BN320" i="129"/>
  <c r="AP320" i="129"/>
  <c r="AO320" i="129"/>
  <c r="AN320" i="129"/>
  <c r="AL320" i="129"/>
  <c r="AI320" i="129"/>
  <c r="CL320" i="129" s="1"/>
  <c r="AF320" i="129"/>
  <c r="AC320" i="129"/>
  <c r="S320" i="129"/>
  <c r="R320" i="129"/>
  <c r="Q320" i="129"/>
  <c r="CA319" i="129"/>
  <c r="BZ319" i="129"/>
  <c r="BS319" i="129"/>
  <c r="BR319" i="129"/>
  <c r="BN319" i="129"/>
  <c r="AP319" i="129"/>
  <c r="AO319" i="129"/>
  <c r="AN319" i="129"/>
  <c r="AL319" i="129"/>
  <c r="AI319" i="129"/>
  <c r="CL319" i="129" s="1"/>
  <c r="AF319" i="129"/>
  <c r="AC319" i="129"/>
  <c r="S319" i="129"/>
  <c r="R319" i="129"/>
  <c r="Q319" i="129"/>
  <c r="CA318" i="129"/>
  <c r="BZ318" i="129"/>
  <c r="BS318" i="129"/>
  <c r="BR318" i="129"/>
  <c r="BN318" i="129"/>
  <c r="AP318" i="129"/>
  <c r="AO318" i="129"/>
  <c r="AN318" i="129"/>
  <c r="AL318" i="129"/>
  <c r="AI318" i="129"/>
  <c r="CL318" i="129" s="1"/>
  <c r="AF318" i="129"/>
  <c r="AC318" i="129"/>
  <c r="S318" i="129"/>
  <c r="R318" i="129"/>
  <c r="Q318" i="129"/>
  <c r="CA317" i="129"/>
  <c r="BZ317" i="129"/>
  <c r="BS317" i="129"/>
  <c r="BR317" i="129"/>
  <c r="BN317" i="129"/>
  <c r="AP317" i="129"/>
  <c r="AO317" i="129"/>
  <c r="AN317" i="129"/>
  <c r="AL317" i="129"/>
  <c r="AI317" i="129"/>
  <c r="CL317" i="129" s="1"/>
  <c r="AF317" i="129"/>
  <c r="AC317" i="129"/>
  <c r="S317" i="129"/>
  <c r="R317" i="129"/>
  <c r="Q317" i="129"/>
  <c r="CA316" i="129"/>
  <c r="BZ316" i="129"/>
  <c r="BS316" i="129"/>
  <c r="BR316" i="129"/>
  <c r="BN316" i="129"/>
  <c r="AP316" i="129"/>
  <c r="AO316" i="129"/>
  <c r="AN316" i="129"/>
  <c r="AL316" i="129"/>
  <c r="AI316" i="129"/>
  <c r="CL316" i="129" s="1"/>
  <c r="AF316" i="129"/>
  <c r="AC316" i="129"/>
  <c r="S316" i="129"/>
  <c r="R316" i="129"/>
  <c r="Q316" i="129"/>
  <c r="CA315" i="129"/>
  <c r="BZ315" i="129"/>
  <c r="BS315" i="129"/>
  <c r="BR315" i="129"/>
  <c r="BN315" i="129"/>
  <c r="AP315" i="129"/>
  <c r="AO315" i="129"/>
  <c r="AN315" i="129"/>
  <c r="AL315" i="129"/>
  <c r="AI315" i="129"/>
  <c r="CL315" i="129" s="1"/>
  <c r="AF315" i="129"/>
  <c r="AC315" i="129"/>
  <c r="S315" i="129"/>
  <c r="R315" i="129"/>
  <c r="Q315" i="129"/>
  <c r="CA314" i="129"/>
  <c r="BZ314" i="129"/>
  <c r="BS314" i="129"/>
  <c r="BR314" i="129"/>
  <c r="BN314" i="129"/>
  <c r="AP314" i="129"/>
  <c r="AO314" i="129"/>
  <c r="AN314" i="129"/>
  <c r="AL314" i="129"/>
  <c r="AI314" i="129"/>
  <c r="CL314" i="129" s="1"/>
  <c r="AF314" i="129"/>
  <c r="AC314" i="129"/>
  <c r="S314" i="129"/>
  <c r="R314" i="129"/>
  <c r="Q314" i="129"/>
  <c r="CA313" i="129"/>
  <c r="BZ313" i="129"/>
  <c r="BS313" i="129"/>
  <c r="BR313" i="129"/>
  <c r="BN313" i="129"/>
  <c r="AP313" i="129"/>
  <c r="AO313" i="129"/>
  <c r="AN313" i="129"/>
  <c r="AL313" i="129"/>
  <c r="AI313" i="129"/>
  <c r="CL313" i="129" s="1"/>
  <c r="AF313" i="129"/>
  <c r="AC313" i="129"/>
  <c r="S313" i="129"/>
  <c r="R313" i="129"/>
  <c r="Q313" i="129"/>
  <c r="CA312" i="129"/>
  <c r="BZ312" i="129"/>
  <c r="BS312" i="129"/>
  <c r="BR312" i="129"/>
  <c r="BN312" i="129"/>
  <c r="AP312" i="129"/>
  <c r="AO312" i="129"/>
  <c r="AN312" i="129"/>
  <c r="AL312" i="129"/>
  <c r="AI312" i="129"/>
  <c r="CL312" i="129" s="1"/>
  <c r="AF312" i="129"/>
  <c r="AC312" i="129"/>
  <c r="S312" i="129"/>
  <c r="R312" i="129"/>
  <c r="Q312" i="129"/>
  <c r="CA311" i="129"/>
  <c r="BZ311" i="129"/>
  <c r="BS311" i="129"/>
  <c r="BR311" i="129"/>
  <c r="BN311" i="129"/>
  <c r="AP311" i="129"/>
  <c r="AO311" i="129"/>
  <c r="AN311" i="129"/>
  <c r="AL311" i="129"/>
  <c r="AI311" i="129"/>
  <c r="CL311" i="129" s="1"/>
  <c r="AF311" i="129"/>
  <c r="AC311" i="129"/>
  <c r="S311" i="129"/>
  <c r="R311" i="129"/>
  <c r="Q311" i="129"/>
  <c r="CA310" i="129"/>
  <c r="BZ310" i="129"/>
  <c r="BS310" i="129"/>
  <c r="BR310" i="129"/>
  <c r="BN310" i="129"/>
  <c r="AP310" i="129"/>
  <c r="AO310" i="129"/>
  <c r="AN310" i="129"/>
  <c r="AL310" i="129"/>
  <c r="AI310" i="129"/>
  <c r="CL310" i="129" s="1"/>
  <c r="AF310" i="129"/>
  <c r="AC310" i="129"/>
  <c r="S310" i="129"/>
  <c r="R310" i="129"/>
  <c r="Q310" i="129"/>
  <c r="CA309" i="129"/>
  <c r="BZ309" i="129"/>
  <c r="BS309" i="129"/>
  <c r="BR309" i="129"/>
  <c r="BN309" i="129"/>
  <c r="AP309" i="129"/>
  <c r="AO309" i="129"/>
  <c r="AN309" i="129"/>
  <c r="AL309" i="129"/>
  <c r="AI309" i="129"/>
  <c r="CL309" i="129" s="1"/>
  <c r="AF309" i="129"/>
  <c r="AC309" i="129"/>
  <c r="S309" i="129"/>
  <c r="R309" i="129"/>
  <c r="Q309" i="129"/>
  <c r="CA308" i="129"/>
  <c r="BZ308" i="129"/>
  <c r="BS308" i="129"/>
  <c r="BR308" i="129"/>
  <c r="BN308" i="129"/>
  <c r="AP308" i="129"/>
  <c r="AO308" i="129"/>
  <c r="AN308" i="129"/>
  <c r="AL308" i="129"/>
  <c r="AI308" i="129"/>
  <c r="CL308" i="129" s="1"/>
  <c r="AF308" i="129"/>
  <c r="AC308" i="129"/>
  <c r="S308" i="129"/>
  <c r="R308" i="129"/>
  <c r="Q308" i="129"/>
  <c r="CA307" i="129"/>
  <c r="BZ307" i="129"/>
  <c r="BS307" i="129"/>
  <c r="BR307" i="129"/>
  <c r="BN307" i="129"/>
  <c r="AP307" i="129"/>
  <c r="AO307" i="129"/>
  <c r="AN307" i="129"/>
  <c r="AL307" i="129"/>
  <c r="AI307" i="129"/>
  <c r="CL307" i="129" s="1"/>
  <c r="AF307" i="129"/>
  <c r="AC307" i="129"/>
  <c r="S307" i="129"/>
  <c r="R307" i="129"/>
  <c r="Q307" i="129"/>
  <c r="CA306" i="129"/>
  <c r="BZ306" i="129"/>
  <c r="BS306" i="129"/>
  <c r="BR306" i="129"/>
  <c r="BN306" i="129"/>
  <c r="AP306" i="129"/>
  <c r="AO306" i="129"/>
  <c r="AN306" i="129"/>
  <c r="AL306" i="129"/>
  <c r="AI306" i="129"/>
  <c r="CL306" i="129" s="1"/>
  <c r="AF306" i="129"/>
  <c r="AC306" i="129"/>
  <c r="S306" i="129"/>
  <c r="R306" i="129"/>
  <c r="Q306" i="129"/>
  <c r="CA305" i="129"/>
  <c r="BZ305" i="129"/>
  <c r="BS305" i="129"/>
  <c r="BR305" i="129"/>
  <c r="BN305" i="129"/>
  <c r="AP305" i="129"/>
  <c r="AO305" i="129"/>
  <c r="AN305" i="129"/>
  <c r="AL305" i="129"/>
  <c r="AI305" i="129"/>
  <c r="CL305" i="129" s="1"/>
  <c r="AF305" i="129"/>
  <c r="AC305" i="129"/>
  <c r="S305" i="129"/>
  <c r="R305" i="129"/>
  <c r="Q305" i="129"/>
  <c r="CA304" i="129"/>
  <c r="BZ304" i="129"/>
  <c r="BS304" i="129"/>
  <c r="BR304" i="129"/>
  <c r="BN304" i="129"/>
  <c r="AP304" i="129"/>
  <c r="AO304" i="129"/>
  <c r="AN304" i="129"/>
  <c r="AL304" i="129"/>
  <c r="AI304" i="129"/>
  <c r="CL304" i="129" s="1"/>
  <c r="AF304" i="129"/>
  <c r="AC304" i="129"/>
  <c r="S304" i="129"/>
  <c r="R304" i="129"/>
  <c r="Q304" i="129"/>
  <c r="CA303" i="129"/>
  <c r="BZ303" i="129"/>
  <c r="BS303" i="129"/>
  <c r="BR303" i="129"/>
  <c r="BN303" i="129"/>
  <c r="AP303" i="129"/>
  <c r="AO303" i="129"/>
  <c r="AN303" i="129"/>
  <c r="AL303" i="129"/>
  <c r="AI303" i="129"/>
  <c r="CL303" i="129" s="1"/>
  <c r="AF303" i="129"/>
  <c r="AC303" i="129"/>
  <c r="S303" i="129"/>
  <c r="R303" i="129"/>
  <c r="Q303" i="129"/>
  <c r="CA302" i="129"/>
  <c r="BZ302" i="129"/>
  <c r="BS302" i="129"/>
  <c r="BR302" i="129"/>
  <c r="BN302" i="129"/>
  <c r="AP302" i="129"/>
  <c r="AO302" i="129"/>
  <c r="AN302" i="129"/>
  <c r="AL302" i="129"/>
  <c r="AI302" i="129"/>
  <c r="CL302" i="129" s="1"/>
  <c r="AF302" i="129"/>
  <c r="AC302" i="129"/>
  <c r="S302" i="129"/>
  <c r="R302" i="129"/>
  <c r="Q302" i="129"/>
  <c r="CA301" i="129"/>
  <c r="BZ301" i="129"/>
  <c r="BS301" i="129"/>
  <c r="BR301" i="129"/>
  <c r="BN301" i="129"/>
  <c r="AP301" i="129"/>
  <c r="AO301" i="129"/>
  <c r="AN301" i="129"/>
  <c r="AL301" i="129"/>
  <c r="AI301" i="129"/>
  <c r="CL301" i="129" s="1"/>
  <c r="AF301" i="129"/>
  <c r="AC301" i="129"/>
  <c r="S301" i="129"/>
  <c r="R301" i="129"/>
  <c r="Q301" i="129"/>
  <c r="CA300" i="129"/>
  <c r="BZ300" i="129"/>
  <c r="BS300" i="129"/>
  <c r="BR300" i="129"/>
  <c r="BN300" i="129"/>
  <c r="AP300" i="129"/>
  <c r="AO300" i="129"/>
  <c r="AN300" i="129"/>
  <c r="AL300" i="129"/>
  <c r="AI300" i="129"/>
  <c r="CL300" i="129" s="1"/>
  <c r="AF300" i="129"/>
  <c r="AC300" i="129"/>
  <c r="S300" i="129"/>
  <c r="R300" i="129"/>
  <c r="Q300" i="129"/>
  <c r="CA299" i="129"/>
  <c r="BZ299" i="129"/>
  <c r="BS299" i="129"/>
  <c r="BR299" i="129"/>
  <c r="BN299" i="129"/>
  <c r="AP299" i="129"/>
  <c r="AO299" i="129"/>
  <c r="AN299" i="129"/>
  <c r="AL299" i="129"/>
  <c r="AI299" i="129"/>
  <c r="CL299" i="129" s="1"/>
  <c r="AF299" i="129"/>
  <c r="AC299" i="129"/>
  <c r="S299" i="129"/>
  <c r="R299" i="129"/>
  <c r="Q299" i="129"/>
  <c r="CA298" i="129"/>
  <c r="BZ298" i="129"/>
  <c r="BS298" i="129"/>
  <c r="BR298" i="129"/>
  <c r="BN298" i="129"/>
  <c r="AP298" i="129"/>
  <c r="AO298" i="129"/>
  <c r="AN298" i="129"/>
  <c r="AL298" i="129"/>
  <c r="AI298" i="129"/>
  <c r="CL298" i="129" s="1"/>
  <c r="AF298" i="129"/>
  <c r="AC298" i="129"/>
  <c r="S298" i="129"/>
  <c r="R298" i="129"/>
  <c r="Q298" i="129"/>
  <c r="CA297" i="129"/>
  <c r="BZ297" i="129"/>
  <c r="BS297" i="129"/>
  <c r="BR297" i="129"/>
  <c r="BN297" i="129"/>
  <c r="AP297" i="129"/>
  <c r="AO297" i="129"/>
  <c r="AN297" i="129"/>
  <c r="AL297" i="129"/>
  <c r="AI297" i="129"/>
  <c r="CL297" i="129" s="1"/>
  <c r="AF297" i="129"/>
  <c r="AC297" i="129"/>
  <c r="S297" i="129"/>
  <c r="R297" i="129"/>
  <c r="Q297" i="129"/>
  <c r="CA296" i="129"/>
  <c r="BZ296" i="129"/>
  <c r="BS296" i="129"/>
  <c r="BR296" i="129"/>
  <c r="BN296" i="129"/>
  <c r="AP296" i="129"/>
  <c r="AO296" i="129"/>
  <c r="AN296" i="129"/>
  <c r="AL296" i="129"/>
  <c r="AI296" i="129"/>
  <c r="CL296" i="129" s="1"/>
  <c r="AF296" i="129"/>
  <c r="AC296" i="129"/>
  <c r="S296" i="129"/>
  <c r="R296" i="129"/>
  <c r="Q296" i="129"/>
  <c r="CA295" i="129"/>
  <c r="BZ295" i="129"/>
  <c r="BS295" i="129"/>
  <c r="BR295" i="129"/>
  <c r="BN295" i="129"/>
  <c r="AP295" i="129"/>
  <c r="AO295" i="129"/>
  <c r="AN295" i="129"/>
  <c r="AL295" i="129"/>
  <c r="AI295" i="129"/>
  <c r="CL295" i="129" s="1"/>
  <c r="AF295" i="129"/>
  <c r="AC295" i="129"/>
  <c r="S295" i="129"/>
  <c r="R295" i="129"/>
  <c r="Q295" i="129"/>
  <c r="CA294" i="129"/>
  <c r="BZ294" i="129"/>
  <c r="BS294" i="129"/>
  <c r="BR294" i="129"/>
  <c r="BN294" i="129"/>
  <c r="AP294" i="129"/>
  <c r="AO294" i="129"/>
  <c r="AN294" i="129"/>
  <c r="AL294" i="129"/>
  <c r="AI294" i="129"/>
  <c r="CL294" i="129" s="1"/>
  <c r="AF294" i="129"/>
  <c r="AC294" i="129"/>
  <c r="S294" i="129"/>
  <c r="R294" i="129"/>
  <c r="Q294" i="129"/>
  <c r="CA293" i="129"/>
  <c r="BZ293" i="129"/>
  <c r="BS293" i="129"/>
  <c r="BR293" i="129"/>
  <c r="BN293" i="129"/>
  <c r="AP293" i="129"/>
  <c r="AO293" i="129"/>
  <c r="AN293" i="129"/>
  <c r="AL293" i="129"/>
  <c r="AI293" i="129"/>
  <c r="CL293" i="129" s="1"/>
  <c r="AF293" i="129"/>
  <c r="AC293" i="129"/>
  <c r="S293" i="129"/>
  <c r="R293" i="129"/>
  <c r="Q293" i="129"/>
  <c r="CA292" i="129"/>
  <c r="BZ292" i="129"/>
  <c r="BS292" i="129"/>
  <c r="BR292" i="129"/>
  <c r="BN292" i="129"/>
  <c r="AP292" i="129"/>
  <c r="AO292" i="129"/>
  <c r="AN292" i="129"/>
  <c r="AL292" i="129"/>
  <c r="AI292" i="129"/>
  <c r="CL292" i="129" s="1"/>
  <c r="AF292" i="129"/>
  <c r="AC292" i="129"/>
  <c r="S292" i="129"/>
  <c r="R292" i="129"/>
  <c r="Q292" i="129"/>
  <c r="CA291" i="129"/>
  <c r="BZ291" i="129"/>
  <c r="BS291" i="129"/>
  <c r="BR291" i="129"/>
  <c r="BN291" i="129"/>
  <c r="AP291" i="129"/>
  <c r="AO291" i="129"/>
  <c r="AN291" i="129"/>
  <c r="AL291" i="129"/>
  <c r="AI291" i="129"/>
  <c r="CL291" i="129" s="1"/>
  <c r="AF291" i="129"/>
  <c r="AC291" i="129"/>
  <c r="S291" i="129"/>
  <c r="R291" i="129"/>
  <c r="Q291" i="129"/>
  <c r="CA290" i="129"/>
  <c r="BZ290" i="129"/>
  <c r="BS290" i="129"/>
  <c r="BR290" i="129"/>
  <c r="BN290" i="129"/>
  <c r="AP290" i="129"/>
  <c r="AO290" i="129"/>
  <c r="AN290" i="129"/>
  <c r="AL290" i="129"/>
  <c r="AI290" i="129"/>
  <c r="CL290" i="129" s="1"/>
  <c r="AF290" i="129"/>
  <c r="AC290" i="129"/>
  <c r="S290" i="129"/>
  <c r="R290" i="129"/>
  <c r="Q290" i="129"/>
  <c r="CA289" i="129"/>
  <c r="BZ289" i="129"/>
  <c r="BS289" i="129"/>
  <c r="BR289" i="129"/>
  <c r="BN289" i="129"/>
  <c r="AP289" i="129"/>
  <c r="AO289" i="129"/>
  <c r="AN289" i="129"/>
  <c r="AL289" i="129"/>
  <c r="AI289" i="129"/>
  <c r="CL289" i="129" s="1"/>
  <c r="AF289" i="129"/>
  <c r="AC289" i="129"/>
  <c r="S289" i="129"/>
  <c r="R289" i="129"/>
  <c r="Q289" i="129"/>
  <c r="CA288" i="129"/>
  <c r="BZ288" i="129"/>
  <c r="BS288" i="129"/>
  <c r="BR288" i="129"/>
  <c r="BN288" i="129"/>
  <c r="AP288" i="129"/>
  <c r="AO288" i="129"/>
  <c r="AN288" i="129"/>
  <c r="AL288" i="129"/>
  <c r="AI288" i="129"/>
  <c r="CL288" i="129" s="1"/>
  <c r="AF288" i="129"/>
  <c r="AC288" i="129"/>
  <c r="S288" i="129"/>
  <c r="R288" i="129"/>
  <c r="Q288" i="129"/>
  <c r="CA287" i="129"/>
  <c r="BZ287" i="129"/>
  <c r="BS287" i="129"/>
  <c r="BR287" i="129"/>
  <c r="BN287" i="129"/>
  <c r="AP287" i="129"/>
  <c r="AO287" i="129"/>
  <c r="AN287" i="129"/>
  <c r="AL287" i="129"/>
  <c r="AI287" i="129"/>
  <c r="CL287" i="129" s="1"/>
  <c r="AF287" i="129"/>
  <c r="AC287" i="129"/>
  <c r="S287" i="129"/>
  <c r="R287" i="129"/>
  <c r="Q287" i="129"/>
  <c r="CA286" i="129"/>
  <c r="BZ286" i="129"/>
  <c r="BS286" i="129"/>
  <c r="BR286" i="129"/>
  <c r="BN286" i="129"/>
  <c r="AP286" i="129"/>
  <c r="AO286" i="129"/>
  <c r="AN286" i="129"/>
  <c r="AL286" i="129"/>
  <c r="AI286" i="129"/>
  <c r="CL286" i="129" s="1"/>
  <c r="AF286" i="129"/>
  <c r="AC286" i="129"/>
  <c r="S286" i="129"/>
  <c r="R286" i="129"/>
  <c r="Q286" i="129"/>
  <c r="CA285" i="129"/>
  <c r="BZ285" i="129"/>
  <c r="BS285" i="129"/>
  <c r="BR285" i="129"/>
  <c r="BN285" i="129"/>
  <c r="AP285" i="129"/>
  <c r="AO285" i="129"/>
  <c r="AN285" i="129"/>
  <c r="AL285" i="129"/>
  <c r="AI285" i="129"/>
  <c r="CL285" i="129" s="1"/>
  <c r="AF285" i="129"/>
  <c r="AC285" i="129"/>
  <c r="S285" i="129"/>
  <c r="R285" i="129"/>
  <c r="Q285" i="129"/>
  <c r="CA284" i="129"/>
  <c r="BZ284" i="129"/>
  <c r="BS284" i="129"/>
  <c r="BR284" i="129"/>
  <c r="BN284" i="129"/>
  <c r="AP284" i="129"/>
  <c r="AO284" i="129"/>
  <c r="AN284" i="129"/>
  <c r="AL284" i="129"/>
  <c r="AI284" i="129"/>
  <c r="CL284" i="129" s="1"/>
  <c r="AF284" i="129"/>
  <c r="AC284" i="129"/>
  <c r="S284" i="129"/>
  <c r="R284" i="129"/>
  <c r="Q284" i="129"/>
  <c r="CA283" i="129"/>
  <c r="BZ283" i="129"/>
  <c r="BS283" i="129"/>
  <c r="BR283" i="129"/>
  <c r="BN283" i="129"/>
  <c r="AP283" i="129"/>
  <c r="AO283" i="129"/>
  <c r="AN283" i="129"/>
  <c r="AL283" i="129"/>
  <c r="AI283" i="129"/>
  <c r="CL283" i="129" s="1"/>
  <c r="AF283" i="129"/>
  <c r="AC283" i="129"/>
  <c r="S283" i="129"/>
  <c r="R283" i="129"/>
  <c r="Q283" i="129"/>
  <c r="CA282" i="129"/>
  <c r="BZ282" i="129"/>
  <c r="BS282" i="129"/>
  <c r="BR282" i="129"/>
  <c r="BN282" i="129"/>
  <c r="AP282" i="129"/>
  <c r="AO282" i="129"/>
  <c r="AN282" i="129"/>
  <c r="AL282" i="129"/>
  <c r="AI282" i="129"/>
  <c r="CL282" i="129" s="1"/>
  <c r="AF282" i="129"/>
  <c r="AC282" i="129"/>
  <c r="S282" i="129"/>
  <c r="R282" i="129"/>
  <c r="Q282" i="129"/>
  <c r="CA281" i="129"/>
  <c r="BZ281" i="129"/>
  <c r="BS281" i="129"/>
  <c r="BR281" i="129"/>
  <c r="BN281" i="129"/>
  <c r="AP281" i="129"/>
  <c r="AO281" i="129"/>
  <c r="AN281" i="129"/>
  <c r="AL281" i="129"/>
  <c r="AI281" i="129"/>
  <c r="CL281" i="129" s="1"/>
  <c r="AF281" i="129"/>
  <c r="AC281" i="129"/>
  <c r="S281" i="129"/>
  <c r="R281" i="129"/>
  <c r="Q281" i="129"/>
  <c r="CA280" i="129"/>
  <c r="BZ280" i="129"/>
  <c r="BS280" i="129"/>
  <c r="BR280" i="129"/>
  <c r="BN280" i="129"/>
  <c r="AP280" i="129"/>
  <c r="AO280" i="129"/>
  <c r="AN280" i="129"/>
  <c r="AL280" i="129"/>
  <c r="AI280" i="129"/>
  <c r="CL280" i="129" s="1"/>
  <c r="AF280" i="129"/>
  <c r="AC280" i="129"/>
  <c r="S280" i="129"/>
  <c r="R280" i="129"/>
  <c r="Q280" i="129"/>
  <c r="CA279" i="129"/>
  <c r="BZ279" i="129"/>
  <c r="BS279" i="129"/>
  <c r="BR279" i="129"/>
  <c r="BN279" i="129"/>
  <c r="AP279" i="129"/>
  <c r="AO279" i="129"/>
  <c r="AN279" i="129"/>
  <c r="AL279" i="129"/>
  <c r="AI279" i="129"/>
  <c r="CL279" i="129" s="1"/>
  <c r="AF279" i="129"/>
  <c r="AC279" i="129"/>
  <c r="S279" i="129"/>
  <c r="R279" i="129"/>
  <c r="Q279" i="129"/>
  <c r="CA278" i="129"/>
  <c r="BZ278" i="129"/>
  <c r="BS278" i="129"/>
  <c r="BR278" i="129"/>
  <c r="BN278" i="129"/>
  <c r="AP278" i="129"/>
  <c r="AO278" i="129"/>
  <c r="AN278" i="129"/>
  <c r="AL278" i="129"/>
  <c r="AI278" i="129"/>
  <c r="CL278" i="129" s="1"/>
  <c r="AF278" i="129"/>
  <c r="AC278" i="129"/>
  <c r="S278" i="129"/>
  <c r="R278" i="129"/>
  <c r="Q278" i="129"/>
  <c r="CA277" i="129"/>
  <c r="BZ277" i="129"/>
  <c r="BS277" i="129"/>
  <c r="BR277" i="129"/>
  <c r="BN277" i="129"/>
  <c r="AP277" i="129"/>
  <c r="AO277" i="129"/>
  <c r="AN277" i="129"/>
  <c r="AL277" i="129"/>
  <c r="AI277" i="129"/>
  <c r="CL277" i="129" s="1"/>
  <c r="AF277" i="129"/>
  <c r="AC277" i="129"/>
  <c r="S277" i="129"/>
  <c r="R277" i="129"/>
  <c r="Q277" i="129"/>
  <c r="CA276" i="129"/>
  <c r="BZ276" i="129"/>
  <c r="BS276" i="129"/>
  <c r="BR276" i="129"/>
  <c r="BN276" i="129"/>
  <c r="AP276" i="129"/>
  <c r="AO276" i="129"/>
  <c r="AN276" i="129"/>
  <c r="AL276" i="129"/>
  <c r="AI276" i="129"/>
  <c r="CL276" i="129" s="1"/>
  <c r="AF276" i="129"/>
  <c r="AC276" i="129"/>
  <c r="S276" i="129"/>
  <c r="R276" i="129"/>
  <c r="Q276" i="129"/>
  <c r="CA275" i="129"/>
  <c r="BZ275" i="129"/>
  <c r="BS275" i="129"/>
  <c r="BR275" i="129"/>
  <c r="BN275" i="129"/>
  <c r="AP275" i="129"/>
  <c r="AO275" i="129"/>
  <c r="AN275" i="129"/>
  <c r="AL275" i="129"/>
  <c r="AI275" i="129"/>
  <c r="CL275" i="129" s="1"/>
  <c r="AF275" i="129"/>
  <c r="AC275" i="129"/>
  <c r="S275" i="129"/>
  <c r="R275" i="129"/>
  <c r="Q275" i="129"/>
  <c r="CA274" i="129"/>
  <c r="BZ274" i="129"/>
  <c r="BS274" i="129"/>
  <c r="BR274" i="129"/>
  <c r="BN274" i="129"/>
  <c r="AP274" i="129"/>
  <c r="AO274" i="129"/>
  <c r="AN274" i="129"/>
  <c r="AL274" i="129"/>
  <c r="AI274" i="129"/>
  <c r="CL274" i="129" s="1"/>
  <c r="AF274" i="129"/>
  <c r="AC274" i="129"/>
  <c r="S274" i="129"/>
  <c r="R274" i="129"/>
  <c r="Q274" i="129"/>
  <c r="CA273" i="129"/>
  <c r="BZ273" i="129"/>
  <c r="BS273" i="129"/>
  <c r="BR273" i="129"/>
  <c r="BN273" i="129"/>
  <c r="AP273" i="129"/>
  <c r="AO273" i="129"/>
  <c r="AN273" i="129"/>
  <c r="AL273" i="129"/>
  <c r="AI273" i="129"/>
  <c r="CL273" i="129" s="1"/>
  <c r="AF273" i="129"/>
  <c r="AC273" i="129"/>
  <c r="S273" i="129"/>
  <c r="R273" i="129"/>
  <c r="Q273" i="129"/>
  <c r="CA272" i="129"/>
  <c r="BZ272" i="129"/>
  <c r="BS272" i="129"/>
  <c r="BR272" i="129"/>
  <c r="BN272" i="129"/>
  <c r="AP272" i="129"/>
  <c r="AO272" i="129"/>
  <c r="AN272" i="129"/>
  <c r="AL272" i="129"/>
  <c r="AI272" i="129"/>
  <c r="CL272" i="129" s="1"/>
  <c r="AF272" i="129"/>
  <c r="AC272" i="129"/>
  <c r="S272" i="129"/>
  <c r="R272" i="129"/>
  <c r="Q272" i="129"/>
  <c r="CA271" i="129"/>
  <c r="BZ271" i="129"/>
  <c r="BS271" i="129"/>
  <c r="BR271" i="129"/>
  <c r="BN271" i="129"/>
  <c r="AP271" i="129"/>
  <c r="AO271" i="129"/>
  <c r="AN271" i="129"/>
  <c r="AL271" i="129"/>
  <c r="AI271" i="129"/>
  <c r="CL271" i="129" s="1"/>
  <c r="AF271" i="129"/>
  <c r="AC271" i="129"/>
  <c r="S271" i="129"/>
  <c r="R271" i="129"/>
  <c r="Q271" i="129"/>
  <c r="CA270" i="129"/>
  <c r="BZ270" i="129"/>
  <c r="BS270" i="129"/>
  <c r="BR270" i="129"/>
  <c r="BN270" i="129"/>
  <c r="AP270" i="129"/>
  <c r="AO270" i="129"/>
  <c r="AN270" i="129"/>
  <c r="AL270" i="129"/>
  <c r="AI270" i="129"/>
  <c r="CL270" i="129" s="1"/>
  <c r="AF270" i="129"/>
  <c r="AC270" i="129"/>
  <c r="S270" i="129"/>
  <c r="R270" i="129"/>
  <c r="Q270" i="129"/>
  <c r="CA269" i="129"/>
  <c r="BZ269" i="129"/>
  <c r="BS269" i="129"/>
  <c r="BR269" i="129"/>
  <c r="BN269" i="129"/>
  <c r="AP269" i="129"/>
  <c r="AO269" i="129"/>
  <c r="AN269" i="129"/>
  <c r="AL269" i="129"/>
  <c r="AI269" i="129"/>
  <c r="CL269" i="129" s="1"/>
  <c r="AF269" i="129"/>
  <c r="AC269" i="129"/>
  <c r="S269" i="129"/>
  <c r="R269" i="129"/>
  <c r="Q269" i="129"/>
  <c r="CA268" i="129"/>
  <c r="BZ268" i="129"/>
  <c r="BS268" i="129"/>
  <c r="BR268" i="129"/>
  <c r="BN268" i="129"/>
  <c r="AP268" i="129"/>
  <c r="AO268" i="129"/>
  <c r="AN268" i="129"/>
  <c r="AL268" i="129"/>
  <c r="AI268" i="129"/>
  <c r="CL268" i="129" s="1"/>
  <c r="AF268" i="129"/>
  <c r="AC268" i="129"/>
  <c r="S268" i="129"/>
  <c r="R268" i="129"/>
  <c r="Q268" i="129"/>
  <c r="CA267" i="129"/>
  <c r="BZ267" i="129"/>
  <c r="BS267" i="129"/>
  <c r="BR267" i="129"/>
  <c r="BN267" i="129"/>
  <c r="AP267" i="129"/>
  <c r="AO267" i="129"/>
  <c r="AN267" i="129"/>
  <c r="AL267" i="129"/>
  <c r="AI267" i="129"/>
  <c r="CL267" i="129" s="1"/>
  <c r="AF267" i="129"/>
  <c r="AC267" i="129"/>
  <c r="S267" i="129"/>
  <c r="R267" i="129"/>
  <c r="Q267" i="129"/>
  <c r="CA266" i="129"/>
  <c r="BZ266" i="129"/>
  <c r="BS266" i="129"/>
  <c r="BR266" i="129"/>
  <c r="BN266" i="129"/>
  <c r="AP266" i="129"/>
  <c r="AO266" i="129"/>
  <c r="AN266" i="129"/>
  <c r="AL266" i="129"/>
  <c r="AI266" i="129"/>
  <c r="CL266" i="129" s="1"/>
  <c r="AF266" i="129"/>
  <c r="AC266" i="129"/>
  <c r="S266" i="129"/>
  <c r="R266" i="129"/>
  <c r="Q266" i="129"/>
  <c r="CA265" i="129"/>
  <c r="BZ265" i="129"/>
  <c r="BS265" i="129"/>
  <c r="BR265" i="129"/>
  <c r="BN265" i="129"/>
  <c r="AP265" i="129"/>
  <c r="AO265" i="129"/>
  <c r="AN265" i="129"/>
  <c r="AL265" i="129"/>
  <c r="AI265" i="129"/>
  <c r="CL265" i="129" s="1"/>
  <c r="AF265" i="129"/>
  <c r="AC265" i="129"/>
  <c r="S265" i="129"/>
  <c r="R265" i="129"/>
  <c r="Q265" i="129"/>
  <c r="CA264" i="129"/>
  <c r="BZ264" i="129"/>
  <c r="BS264" i="129"/>
  <c r="BR264" i="129"/>
  <c r="BN264" i="129"/>
  <c r="AP264" i="129"/>
  <c r="AO264" i="129"/>
  <c r="AN264" i="129"/>
  <c r="AL264" i="129"/>
  <c r="AI264" i="129"/>
  <c r="CL264" i="129" s="1"/>
  <c r="AF264" i="129"/>
  <c r="AC264" i="129"/>
  <c r="S264" i="129"/>
  <c r="R264" i="129"/>
  <c r="Q264" i="129"/>
  <c r="CA263" i="129"/>
  <c r="BZ263" i="129"/>
  <c r="BS263" i="129"/>
  <c r="BR263" i="129"/>
  <c r="BN263" i="129"/>
  <c r="AP263" i="129"/>
  <c r="AO263" i="129"/>
  <c r="AN263" i="129"/>
  <c r="AL263" i="129"/>
  <c r="AI263" i="129"/>
  <c r="CL263" i="129" s="1"/>
  <c r="AF263" i="129"/>
  <c r="AC263" i="129"/>
  <c r="S263" i="129"/>
  <c r="R263" i="129"/>
  <c r="Q263" i="129"/>
  <c r="CA262" i="129"/>
  <c r="BZ262" i="129"/>
  <c r="BS262" i="129"/>
  <c r="BR262" i="129"/>
  <c r="BN262" i="129"/>
  <c r="AP262" i="129"/>
  <c r="AO262" i="129"/>
  <c r="AN262" i="129"/>
  <c r="AL262" i="129"/>
  <c r="AI262" i="129"/>
  <c r="CL262" i="129" s="1"/>
  <c r="AF262" i="129"/>
  <c r="AC262" i="129"/>
  <c r="S262" i="129"/>
  <c r="R262" i="129"/>
  <c r="Q262" i="129"/>
  <c r="CA261" i="129"/>
  <c r="BZ261" i="129"/>
  <c r="BS261" i="129"/>
  <c r="BR261" i="129"/>
  <c r="BN261" i="129"/>
  <c r="AP261" i="129"/>
  <c r="AO261" i="129"/>
  <c r="AN261" i="129"/>
  <c r="AL261" i="129"/>
  <c r="AI261" i="129"/>
  <c r="CL261" i="129" s="1"/>
  <c r="AF261" i="129"/>
  <c r="AC261" i="129"/>
  <c r="S261" i="129"/>
  <c r="R261" i="129"/>
  <c r="Q261" i="129"/>
  <c r="CA260" i="129"/>
  <c r="BZ260" i="129"/>
  <c r="BS260" i="129"/>
  <c r="BR260" i="129"/>
  <c r="BN260" i="129"/>
  <c r="AP260" i="129"/>
  <c r="AO260" i="129"/>
  <c r="AN260" i="129"/>
  <c r="AL260" i="129"/>
  <c r="AI260" i="129"/>
  <c r="CL260" i="129" s="1"/>
  <c r="AF260" i="129"/>
  <c r="AC260" i="129"/>
  <c r="S260" i="129"/>
  <c r="R260" i="129"/>
  <c r="Q260" i="129"/>
  <c r="CA259" i="129"/>
  <c r="BZ259" i="129"/>
  <c r="BS259" i="129"/>
  <c r="BR259" i="129"/>
  <c r="BN259" i="129"/>
  <c r="AP259" i="129"/>
  <c r="AO259" i="129"/>
  <c r="AN259" i="129"/>
  <c r="AL259" i="129"/>
  <c r="AI259" i="129"/>
  <c r="CL259" i="129" s="1"/>
  <c r="AF259" i="129"/>
  <c r="AC259" i="129"/>
  <c r="S259" i="129"/>
  <c r="R259" i="129"/>
  <c r="Q259" i="129"/>
  <c r="CA258" i="129"/>
  <c r="BZ258" i="129"/>
  <c r="BS258" i="129"/>
  <c r="BR258" i="129"/>
  <c r="BN258" i="129"/>
  <c r="AP258" i="129"/>
  <c r="AO258" i="129"/>
  <c r="AN258" i="129"/>
  <c r="AL258" i="129"/>
  <c r="AI258" i="129"/>
  <c r="CL258" i="129" s="1"/>
  <c r="AF258" i="129"/>
  <c r="AC258" i="129"/>
  <c r="S258" i="129"/>
  <c r="R258" i="129"/>
  <c r="Q258" i="129"/>
  <c r="CA257" i="129"/>
  <c r="BZ257" i="129"/>
  <c r="BS257" i="129"/>
  <c r="BR257" i="129"/>
  <c r="BN257" i="129"/>
  <c r="AP257" i="129"/>
  <c r="AO257" i="129"/>
  <c r="AN257" i="129"/>
  <c r="AL257" i="129"/>
  <c r="AI257" i="129"/>
  <c r="CL257" i="129" s="1"/>
  <c r="AF257" i="129"/>
  <c r="AC257" i="129"/>
  <c r="S257" i="129"/>
  <c r="R257" i="129"/>
  <c r="Q257" i="129"/>
  <c r="CA256" i="129"/>
  <c r="BZ256" i="129"/>
  <c r="BS256" i="129"/>
  <c r="BR256" i="129"/>
  <c r="BN256" i="129"/>
  <c r="AP256" i="129"/>
  <c r="AO256" i="129"/>
  <c r="AN256" i="129"/>
  <c r="AL256" i="129"/>
  <c r="AI256" i="129"/>
  <c r="CL256" i="129" s="1"/>
  <c r="AF256" i="129"/>
  <c r="AC256" i="129"/>
  <c r="S256" i="129"/>
  <c r="R256" i="129"/>
  <c r="Q256" i="129"/>
  <c r="CA255" i="129"/>
  <c r="BZ255" i="129"/>
  <c r="BS255" i="129"/>
  <c r="BR255" i="129"/>
  <c r="BN255" i="129"/>
  <c r="AP255" i="129"/>
  <c r="AO255" i="129"/>
  <c r="AN255" i="129"/>
  <c r="AL255" i="129"/>
  <c r="AI255" i="129"/>
  <c r="CL255" i="129" s="1"/>
  <c r="AF255" i="129"/>
  <c r="AC255" i="129"/>
  <c r="S255" i="129"/>
  <c r="R255" i="129"/>
  <c r="Q255" i="129"/>
  <c r="CA254" i="129"/>
  <c r="BZ254" i="129"/>
  <c r="BS254" i="129"/>
  <c r="BR254" i="129"/>
  <c r="BN254" i="129"/>
  <c r="AP254" i="129"/>
  <c r="AO254" i="129"/>
  <c r="AN254" i="129"/>
  <c r="AL254" i="129"/>
  <c r="AI254" i="129"/>
  <c r="CL254" i="129" s="1"/>
  <c r="AF254" i="129"/>
  <c r="AC254" i="129"/>
  <c r="S254" i="129"/>
  <c r="R254" i="129"/>
  <c r="Q254" i="129"/>
  <c r="CA253" i="129"/>
  <c r="BZ253" i="129"/>
  <c r="BS253" i="129"/>
  <c r="BR253" i="129"/>
  <c r="BN253" i="129"/>
  <c r="AP253" i="129"/>
  <c r="AO253" i="129"/>
  <c r="AN253" i="129"/>
  <c r="AL253" i="129"/>
  <c r="AI253" i="129"/>
  <c r="CL253" i="129" s="1"/>
  <c r="AF253" i="129"/>
  <c r="AC253" i="129"/>
  <c r="S253" i="129"/>
  <c r="R253" i="129"/>
  <c r="Q253" i="129"/>
  <c r="CA252" i="129"/>
  <c r="BZ252" i="129"/>
  <c r="BS252" i="129"/>
  <c r="BR252" i="129"/>
  <c r="BN252" i="129"/>
  <c r="AP252" i="129"/>
  <c r="AO252" i="129"/>
  <c r="AN252" i="129"/>
  <c r="AL252" i="129"/>
  <c r="AI252" i="129"/>
  <c r="CL252" i="129" s="1"/>
  <c r="AF252" i="129"/>
  <c r="AC252" i="129"/>
  <c r="S252" i="129"/>
  <c r="R252" i="129"/>
  <c r="Q252" i="129"/>
  <c r="CA251" i="129"/>
  <c r="BZ251" i="129"/>
  <c r="BS251" i="129"/>
  <c r="BR251" i="129"/>
  <c r="BN251" i="129"/>
  <c r="AP251" i="129"/>
  <c r="AO251" i="129"/>
  <c r="AN251" i="129"/>
  <c r="AL251" i="129"/>
  <c r="AI251" i="129"/>
  <c r="CL251" i="129" s="1"/>
  <c r="AF251" i="129"/>
  <c r="AC251" i="129"/>
  <c r="S251" i="129"/>
  <c r="R251" i="129"/>
  <c r="Q251" i="129"/>
  <c r="CA250" i="129"/>
  <c r="BZ250" i="129"/>
  <c r="BS250" i="129"/>
  <c r="BR250" i="129"/>
  <c r="BN250" i="129"/>
  <c r="AP250" i="129"/>
  <c r="AO250" i="129"/>
  <c r="AN250" i="129"/>
  <c r="AL250" i="129"/>
  <c r="AI250" i="129"/>
  <c r="CL250" i="129" s="1"/>
  <c r="AF250" i="129"/>
  <c r="AC250" i="129"/>
  <c r="S250" i="129"/>
  <c r="R250" i="129"/>
  <c r="Q250" i="129"/>
  <c r="CA249" i="129"/>
  <c r="BZ249" i="129"/>
  <c r="BS249" i="129"/>
  <c r="BR249" i="129"/>
  <c r="BN249" i="129"/>
  <c r="AP249" i="129"/>
  <c r="AO249" i="129"/>
  <c r="AN249" i="129"/>
  <c r="AL249" i="129"/>
  <c r="AI249" i="129"/>
  <c r="CL249" i="129" s="1"/>
  <c r="AF249" i="129"/>
  <c r="AC249" i="129"/>
  <c r="S249" i="129"/>
  <c r="R249" i="129"/>
  <c r="Q249" i="129"/>
  <c r="CA248" i="129"/>
  <c r="BZ248" i="129"/>
  <c r="BS248" i="129"/>
  <c r="BR248" i="129"/>
  <c r="BN248" i="129"/>
  <c r="AP248" i="129"/>
  <c r="AO248" i="129"/>
  <c r="AN248" i="129"/>
  <c r="AL248" i="129"/>
  <c r="AI248" i="129"/>
  <c r="CL248" i="129" s="1"/>
  <c r="AF248" i="129"/>
  <c r="AC248" i="129"/>
  <c r="S248" i="129"/>
  <c r="R248" i="129"/>
  <c r="Q248" i="129"/>
  <c r="CA247" i="129"/>
  <c r="BZ247" i="129"/>
  <c r="BS247" i="129"/>
  <c r="BR247" i="129"/>
  <c r="BN247" i="129"/>
  <c r="AP247" i="129"/>
  <c r="AO247" i="129"/>
  <c r="AN247" i="129"/>
  <c r="AL247" i="129"/>
  <c r="AI247" i="129"/>
  <c r="CL247" i="129" s="1"/>
  <c r="AF247" i="129"/>
  <c r="AC247" i="129"/>
  <c r="S247" i="129"/>
  <c r="R247" i="129"/>
  <c r="Q247" i="129"/>
  <c r="CA246" i="129"/>
  <c r="BZ246" i="129"/>
  <c r="BS246" i="129"/>
  <c r="BR246" i="129"/>
  <c r="BN246" i="129"/>
  <c r="AP246" i="129"/>
  <c r="AO246" i="129"/>
  <c r="AN246" i="129"/>
  <c r="AL246" i="129"/>
  <c r="AI246" i="129"/>
  <c r="CL246" i="129" s="1"/>
  <c r="AF246" i="129"/>
  <c r="AC246" i="129"/>
  <c r="S246" i="129"/>
  <c r="R246" i="129"/>
  <c r="Q246" i="129"/>
  <c r="CA245" i="129"/>
  <c r="BZ245" i="129"/>
  <c r="BS245" i="129"/>
  <c r="BR245" i="129"/>
  <c r="BN245" i="129"/>
  <c r="AP245" i="129"/>
  <c r="AO245" i="129"/>
  <c r="AN245" i="129"/>
  <c r="AL245" i="129"/>
  <c r="AI245" i="129"/>
  <c r="CL245" i="129" s="1"/>
  <c r="AF245" i="129"/>
  <c r="AC245" i="129"/>
  <c r="S245" i="129"/>
  <c r="R245" i="129"/>
  <c r="Q245" i="129"/>
  <c r="CA244" i="129"/>
  <c r="BZ244" i="129"/>
  <c r="BS244" i="129"/>
  <c r="BR244" i="129"/>
  <c r="BN244" i="129"/>
  <c r="AP244" i="129"/>
  <c r="AO244" i="129"/>
  <c r="AN244" i="129"/>
  <c r="AL244" i="129"/>
  <c r="AI244" i="129"/>
  <c r="CL244" i="129" s="1"/>
  <c r="AF244" i="129"/>
  <c r="AC244" i="129"/>
  <c r="S244" i="129"/>
  <c r="R244" i="129"/>
  <c r="Q244" i="129"/>
  <c r="CA243" i="129"/>
  <c r="BZ243" i="129"/>
  <c r="BS243" i="129"/>
  <c r="BR243" i="129"/>
  <c r="BN243" i="129"/>
  <c r="AP243" i="129"/>
  <c r="AO243" i="129"/>
  <c r="AN243" i="129"/>
  <c r="AL243" i="129"/>
  <c r="AI243" i="129"/>
  <c r="CL243" i="129" s="1"/>
  <c r="AF243" i="129"/>
  <c r="AC243" i="129"/>
  <c r="S243" i="129"/>
  <c r="R243" i="129"/>
  <c r="Q243" i="129"/>
  <c r="CA242" i="129"/>
  <c r="BZ242" i="129"/>
  <c r="BS242" i="129"/>
  <c r="BR242" i="129"/>
  <c r="BN242" i="129"/>
  <c r="AP242" i="129"/>
  <c r="AO242" i="129"/>
  <c r="AN242" i="129"/>
  <c r="AL242" i="129"/>
  <c r="AI242" i="129"/>
  <c r="CL242" i="129" s="1"/>
  <c r="AF242" i="129"/>
  <c r="AC242" i="129"/>
  <c r="S242" i="129"/>
  <c r="R242" i="129"/>
  <c r="Q242" i="129"/>
  <c r="CA241" i="129"/>
  <c r="BZ241" i="129"/>
  <c r="BS241" i="129"/>
  <c r="BR241" i="129"/>
  <c r="BN241" i="129"/>
  <c r="AP241" i="129"/>
  <c r="AO241" i="129"/>
  <c r="AN241" i="129"/>
  <c r="AL241" i="129"/>
  <c r="AI241" i="129"/>
  <c r="CL241" i="129" s="1"/>
  <c r="AF241" i="129"/>
  <c r="AC241" i="129"/>
  <c r="S241" i="129"/>
  <c r="R241" i="129"/>
  <c r="Q241" i="129"/>
  <c r="CA240" i="129"/>
  <c r="BZ240" i="129"/>
  <c r="BS240" i="129"/>
  <c r="BR240" i="129"/>
  <c r="BN240" i="129"/>
  <c r="AP240" i="129"/>
  <c r="AO240" i="129"/>
  <c r="AN240" i="129"/>
  <c r="AL240" i="129"/>
  <c r="AI240" i="129"/>
  <c r="CL240" i="129" s="1"/>
  <c r="AF240" i="129"/>
  <c r="AC240" i="129"/>
  <c r="S240" i="129"/>
  <c r="R240" i="129"/>
  <c r="Q240" i="129"/>
  <c r="CA239" i="129"/>
  <c r="BZ239" i="129"/>
  <c r="BS239" i="129"/>
  <c r="BR239" i="129"/>
  <c r="BN239" i="129"/>
  <c r="AP239" i="129"/>
  <c r="AO239" i="129"/>
  <c r="AN239" i="129"/>
  <c r="AL239" i="129"/>
  <c r="AI239" i="129"/>
  <c r="CL239" i="129" s="1"/>
  <c r="AF239" i="129"/>
  <c r="AC239" i="129"/>
  <c r="S239" i="129"/>
  <c r="R239" i="129"/>
  <c r="Q239" i="129"/>
  <c r="CA238" i="129"/>
  <c r="BZ238" i="129"/>
  <c r="BS238" i="129"/>
  <c r="BR238" i="129"/>
  <c r="BN238" i="129"/>
  <c r="AP238" i="129"/>
  <c r="AO238" i="129"/>
  <c r="AN238" i="129"/>
  <c r="AL238" i="129"/>
  <c r="AI238" i="129"/>
  <c r="CL238" i="129" s="1"/>
  <c r="AF238" i="129"/>
  <c r="AC238" i="129"/>
  <c r="S238" i="129"/>
  <c r="R238" i="129"/>
  <c r="Q238" i="129"/>
  <c r="CA237" i="129"/>
  <c r="BZ237" i="129"/>
  <c r="BS237" i="129"/>
  <c r="BR237" i="129"/>
  <c r="BN237" i="129"/>
  <c r="AP237" i="129"/>
  <c r="AO237" i="129"/>
  <c r="AN237" i="129"/>
  <c r="AL237" i="129"/>
  <c r="AI237" i="129"/>
  <c r="CL237" i="129" s="1"/>
  <c r="AF237" i="129"/>
  <c r="AC237" i="129"/>
  <c r="S237" i="129"/>
  <c r="R237" i="129"/>
  <c r="Q237" i="129"/>
  <c r="CA236" i="129"/>
  <c r="BZ236" i="129"/>
  <c r="BS236" i="129"/>
  <c r="BR236" i="129"/>
  <c r="BN236" i="129"/>
  <c r="AP236" i="129"/>
  <c r="AO236" i="129"/>
  <c r="AN236" i="129"/>
  <c r="AL236" i="129"/>
  <c r="AI236" i="129"/>
  <c r="CL236" i="129" s="1"/>
  <c r="AF236" i="129"/>
  <c r="AC236" i="129"/>
  <c r="S236" i="129"/>
  <c r="R236" i="129"/>
  <c r="Q236" i="129"/>
  <c r="CA235" i="129"/>
  <c r="BZ235" i="129"/>
  <c r="BS235" i="129"/>
  <c r="BR235" i="129"/>
  <c r="BN235" i="129"/>
  <c r="AP235" i="129"/>
  <c r="AO235" i="129"/>
  <c r="AN235" i="129"/>
  <c r="AL235" i="129"/>
  <c r="AI235" i="129"/>
  <c r="CL235" i="129" s="1"/>
  <c r="AF235" i="129"/>
  <c r="AC235" i="129"/>
  <c r="S235" i="129"/>
  <c r="R235" i="129"/>
  <c r="Q235" i="129"/>
  <c r="CA234" i="129"/>
  <c r="BZ234" i="129"/>
  <c r="BS234" i="129"/>
  <c r="BR234" i="129"/>
  <c r="BN234" i="129"/>
  <c r="AP234" i="129"/>
  <c r="AO234" i="129"/>
  <c r="AN234" i="129"/>
  <c r="AL234" i="129"/>
  <c r="AI234" i="129"/>
  <c r="CL234" i="129" s="1"/>
  <c r="AF234" i="129"/>
  <c r="AC234" i="129"/>
  <c r="S234" i="129"/>
  <c r="R234" i="129"/>
  <c r="Q234" i="129"/>
  <c r="CA233" i="129"/>
  <c r="BZ233" i="129"/>
  <c r="BS233" i="129"/>
  <c r="BR233" i="129"/>
  <c r="BN233" i="129"/>
  <c r="AP233" i="129"/>
  <c r="AO233" i="129"/>
  <c r="AN233" i="129"/>
  <c r="AL233" i="129"/>
  <c r="AI233" i="129"/>
  <c r="CL233" i="129" s="1"/>
  <c r="AF233" i="129"/>
  <c r="AC233" i="129"/>
  <c r="S233" i="129"/>
  <c r="R233" i="129"/>
  <c r="Q233" i="129"/>
  <c r="CA232" i="129"/>
  <c r="BZ232" i="129"/>
  <c r="BS232" i="129"/>
  <c r="BR232" i="129"/>
  <c r="BN232" i="129"/>
  <c r="AP232" i="129"/>
  <c r="AO232" i="129"/>
  <c r="AN232" i="129"/>
  <c r="AL232" i="129"/>
  <c r="AI232" i="129"/>
  <c r="CL232" i="129" s="1"/>
  <c r="AF232" i="129"/>
  <c r="AC232" i="129"/>
  <c r="S232" i="129"/>
  <c r="R232" i="129"/>
  <c r="Q232" i="129"/>
  <c r="CA231" i="129"/>
  <c r="BZ231" i="129"/>
  <c r="BS231" i="129"/>
  <c r="BR231" i="129"/>
  <c r="BN231" i="129"/>
  <c r="AP231" i="129"/>
  <c r="AO231" i="129"/>
  <c r="AN231" i="129"/>
  <c r="AL231" i="129"/>
  <c r="AI231" i="129"/>
  <c r="CL231" i="129" s="1"/>
  <c r="AF231" i="129"/>
  <c r="AC231" i="129"/>
  <c r="S231" i="129"/>
  <c r="R231" i="129"/>
  <c r="Q231" i="129"/>
  <c r="CA230" i="129"/>
  <c r="BZ230" i="129"/>
  <c r="BS230" i="129"/>
  <c r="BR230" i="129"/>
  <c r="BN230" i="129"/>
  <c r="AP230" i="129"/>
  <c r="AO230" i="129"/>
  <c r="AN230" i="129"/>
  <c r="AL230" i="129"/>
  <c r="AI230" i="129"/>
  <c r="CL230" i="129" s="1"/>
  <c r="AF230" i="129"/>
  <c r="AC230" i="129"/>
  <c r="S230" i="129"/>
  <c r="R230" i="129"/>
  <c r="Q230" i="129"/>
  <c r="CA229" i="129"/>
  <c r="BZ229" i="129"/>
  <c r="BS229" i="129"/>
  <c r="BR229" i="129"/>
  <c r="BN229" i="129"/>
  <c r="AP229" i="129"/>
  <c r="AO229" i="129"/>
  <c r="AN229" i="129"/>
  <c r="AL229" i="129"/>
  <c r="AI229" i="129"/>
  <c r="CL229" i="129" s="1"/>
  <c r="AF229" i="129"/>
  <c r="AC229" i="129"/>
  <c r="S229" i="129"/>
  <c r="R229" i="129"/>
  <c r="Q229" i="129"/>
  <c r="CA228" i="129"/>
  <c r="BZ228" i="129"/>
  <c r="BS228" i="129"/>
  <c r="BR228" i="129"/>
  <c r="BN228" i="129"/>
  <c r="AP228" i="129"/>
  <c r="AO228" i="129"/>
  <c r="AN228" i="129"/>
  <c r="AL228" i="129"/>
  <c r="AI228" i="129"/>
  <c r="CL228" i="129" s="1"/>
  <c r="AF228" i="129"/>
  <c r="AC228" i="129"/>
  <c r="S228" i="129"/>
  <c r="R228" i="129"/>
  <c r="Q228" i="129"/>
  <c r="CA227" i="129"/>
  <c r="BZ227" i="129"/>
  <c r="BS227" i="129"/>
  <c r="BR227" i="129"/>
  <c r="BN227" i="129"/>
  <c r="AP227" i="129"/>
  <c r="AO227" i="129"/>
  <c r="AN227" i="129"/>
  <c r="AL227" i="129"/>
  <c r="AI227" i="129"/>
  <c r="CL227" i="129" s="1"/>
  <c r="AF227" i="129"/>
  <c r="AC227" i="129"/>
  <c r="S227" i="129"/>
  <c r="R227" i="129"/>
  <c r="Q227" i="129"/>
  <c r="CA226" i="129"/>
  <c r="BZ226" i="129"/>
  <c r="BS226" i="129"/>
  <c r="BR226" i="129"/>
  <c r="BN226" i="129"/>
  <c r="AP226" i="129"/>
  <c r="AO226" i="129"/>
  <c r="AN226" i="129"/>
  <c r="AL226" i="129"/>
  <c r="AI226" i="129"/>
  <c r="CL226" i="129" s="1"/>
  <c r="AF226" i="129"/>
  <c r="AC226" i="129"/>
  <c r="S226" i="129"/>
  <c r="R226" i="129"/>
  <c r="Q226" i="129"/>
  <c r="CA225" i="129"/>
  <c r="BZ225" i="129"/>
  <c r="BS225" i="129"/>
  <c r="BR225" i="129"/>
  <c r="BN225" i="129"/>
  <c r="AP225" i="129"/>
  <c r="AO225" i="129"/>
  <c r="AN225" i="129"/>
  <c r="AL225" i="129"/>
  <c r="AI225" i="129"/>
  <c r="CL225" i="129" s="1"/>
  <c r="AF225" i="129"/>
  <c r="AC225" i="129"/>
  <c r="S225" i="129"/>
  <c r="R225" i="129"/>
  <c r="Q225" i="129"/>
  <c r="CA224" i="129"/>
  <c r="BZ224" i="129"/>
  <c r="BS224" i="129"/>
  <c r="BR224" i="129"/>
  <c r="BN224" i="129"/>
  <c r="AP224" i="129"/>
  <c r="AO224" i="129"/>
  <c r="AN224" i="129"/>
  <c r="AL224" i="129"/>
  <c r="AI224" i="129"/>
  <c r="CL224" i="129" s="1"/>
  <c r="AF224" i="129"/>
  <c r="AC224" i="129"/>
  <c r="S224" i="129"/>
  <c r="R224" i="129"/>
  <c r="Q224" i="129"/>
  <c r="CA223" i="129"/>
  <c r="BZ223" i="129"/>
  <c r="BS223" i="129"/>
  <c r="BR223" i="129"/>
  <c r="BN223" i="129"/>
  <c r="AP223" i="129"/>
  <c r="AO223" i="129"/>
  <c r="AN223" i="129"/>
  <c r="AL223" i="129"/>
  <c r="AI223" i="129"/>
  <c r="CL223" i="129" s="1"/>
  <c r="AF223" i="129"/>
  <c r="AC223" i="129"/>
  <c r="S223" i="129"/>
  <c r="R223" i="129"/>
  <c r="Q223" i="129"/>
  <c r="CA222" i="129"/>
  <c r="BZ222" i="129"/>
  <c r="BS222" i="129"/>
  <c r="BR222" i="129"/>
  <c r="BN222" i="129"/>
  <c r="AP222" i="129"/>
  <c r="AO222" i="129"/>
  <c r="AN222" i="129"/>
  <c r="AL222" i="129"/>
  <c r="AI222" i="129"/>
  <c r="CL222" i="129" s="1"/>
  <c r="AF222" i="129"/>
  <c r="AC222" i="129"/>
  <c r="S222" i="129"/>
  <c r="R222" i="129"/>
  <c r="Q222" i="129"/>
  <c r="CA221" i="129"/>
  <c r="BZ221" i="129"/>
  <c r="BS221" i="129"/>
  <c r="BR221" i="129"/>
  <c r="BN221" i="129"/>
  <c r="AP221" i="129"/>
  <c r="AO221" i="129"/>
  <c r="AN221" i="129"/>
  <c r="AL221" i="129"/>
  <c r="AI221" i="129"/>
  <c r="CL221" i="129" s="1"/>
  <c r="AF221" i="129"/>
  <c r="AC221" i="129"/>
  <c r="S221" i="129"/>
  <c r="R221" i="129"/>
  <c r="Q221" i="129"/>
  <c r="CA220" i="129"/>
  <c r="BZ220" i="129"/>
  <c r="BS220" i="129"/>
  <c r="BR220" i="129"/>
  <c r="BN220" i="129"/>
  <c r="AP220" i="129"/>
  <c r="AO220" i="129"/>
  <c r="AN220" i="129"/>
  <c r="AL220" i="129"/>
  <c r="AI220" i="129"/>
  <c r="CL220" i="129" s="1"/>
  <c r="AF220" i="129"/>
  <c r="AC220" i="129"/>
  <c r="S220" i="129"/>
  <c r="R220" i="129"/>
  <c r="Q220" i="129"/>
  <c r="CA219" i="129"/>
  <c r="BZ219" i="129"/>
  <c r="BS219" i="129"/>
  <c r="BR219" i="129"/>
  <c r="BN219" i="129"/>
  <c r="AP219" i="129"/>
  <c r="AO219" i="129"/>
  <c r="AN219" i="129"/>
  <c r="AL219" i="129"/>
  <c r="AI219" i="129"/>
  <c r="CL219" i="129" s="1"/>
  <c r="AF219" i="129"/>
  <c r="AC219" i="129"/>
  <c r="S219" i="129"/>
  <c r="R219" i="129"/>
  <c r="Q219" i="129"/>
  <c r="CA218" i="129"/>
  <c r="BZ218" i="129"/>
  <c r="BS218" i="129"/>
  <c r="BR218" i="129"/>
  <c r="BN218" i="129"/>
  <c r="AP218" i="129"/>
  <c r="AO218" i="129"/>
  <c r="AN218" i="129"/>
  <c r="AL218" i="129"/>
  <c r="AI218" i="129"/>
  <c r="CL218" i="129" s="1"/>
  <c r="AF218" i="129"/>
  <c r="AC218" i="129"/>
  <c r="S218" i="129"/>
  <c r="R218" i="129"/>
  <c r="Q218" i="129"/>
  <c r="CA217" i="129"/>
  <c r="BZ217" i="129"/>
  <c r="BS217" i="129"/>
  <c r="BR217" i="129"/>
  <c r="BN217" i="129"/>
  <c r="AP217" i="129"/>
  <c r="AO217" i="129"/>
  <c r="AN217" i="129"/>
  <c r="AL217" i="129"/>
  <c r="AI217" i="129"/>
  <c r="CL217" i="129" s="1"/>
  <c r="AF217" i="129"/>
  <c r="AC217" i="129"/>
  <c r="S217" i="129"/>
  <c r="R217" i="129"/>
  <c r="Q217" i="129"/>
  <c r="CA216" i="129"/>
  <c r="BZ216" i="129"/>
  <c r="BS216" i="129"/>
  <c r="BR216" i="129"/>
  <c r="BN216" i="129"/>
  <c r="AP216" i="129"/>
  <c r="AO216" i="129"/>
  <c r="AN216" i="129"/>
  <c r="AL216" i="129"/>
  <c r="AI216" i="129"/>
  <c r="CL216" i="129" s="1"/>
  <c r="AF216" i="129"/>
  <c r="AC216" i="129"/>
  <c r="S216" i="129"/>
  <c r="R216" i="129"/>
  <c r="Q216" i="129"/>
  <c r="CA215" i="129"/>
  <c r="BZ215" i="129"/>
  <c r="BS215" i="129"/>
  <c r="BR215" i="129"/>
  <c r="BN215" i="129"/>
  <c r="AP215" i="129"/>
  <c r="AO215" i="129"/>
  <c r="AN215" i="129"/>
  <c r="AL215" i="129"/>
  <c r="AI215" i="129"/>
  <c r="CL215" i="129" s="1"/>
  <c r="AF215" i="129"/>
  <c r="AC215" i="129"/>
  <c r="S215" i="129"/>
  <c r="R215" i="129"/>
  <c r="Q215" i="129"/>
  <c r="CA214" i="129"/>
  <c r="BZ214" i="129"/>
  <c r="BS214" i="129"/>
  <c r="BR214" i="129"/>
  <c r="BN214" i="129"/>
  <c r="AP214" i="129"/>
  <c r="AO214" i="129"/>
  <c r="AN214" i="129"/>
  <c r="AL214" i="129"/>
  <c r="AI214" i="129"/>
  <c r="CL214" i="129" s="1"/>
  <c r="AF214" i="129"/>
  <c r="AC214" i="129"/>
  <c r="S214" i="129"/>
  <c r="R214" i="129"/>
  <c r="Q214" i="129"/>
  <c r="CA213" i="129"/>
  <c r="BZ213" i="129"/>
  <c r="BS213" i="129"/>
  <c r="BR213" i="129"/>
  <c r="BN213" i="129"/>
  <c r="AP213" i="129"/>
  <c r="AO213" i="129"/>
  <c r="AN213" i="129"/>
  <c r="AL213" i="129"/>
  <c r="AI213" i="129"/>
  <c r="CL213" i="129" s="1"/>
  <c r="AF213" i="129"/>
  <c r="AC213" i="129"/>
  <c r="S213" i="129"/>
  <c r="R213" i="129"/>
  <c r="Q213" i="129"/>
  <c r="CA212" i="129"/>
  <c r="BZ212" i="129"/>
  <c r="BS212" i="129"/>
  <c r="BR212" i="129"/>
  <c r="BN212" i="129"/>
  <c r="AP212" i="129"/>
  <c r="AO212" i="129"/>
  <c r="AN212" i="129"/>
  <c r="AL212" i="129"/>
  <c r="AI212" i="129"/>
  <c r="CL212" i="129" s="1"/>
  <c r="AF212" i="129"/>
  <c r="AC212" i="129"/>
  <c r="S212" i="129"/>
  <c r="R212" i="129"/>
  <c r="Q212" i="129"/>
  <c r="CA211" i="129"/>
  <c r="BZ211" i="129"/>
  <c r="BS211" i="129"/>
  <c r="BR211" i="129"/>
  <c r="BN211" i="129"/>
  <c r="AP211" i="129"/>
  <c r="AO211" i="129"/>
  <c r="AN211" i="129"/>
  <c r="AL211" i="129"/>
  <c r="AI211" i="129"/>
  <c r="CL211" i="129" s="1"/>
  <c r="AF211" i="129"/>
  <c r="AC211" i="129"/>
  <c r="S211" i="129"/>
  <c r="R211" i="129"/>
  <c r="Q211" i="129"/>
  <c r="CA210" i="129"/>
  <c r="BZ210" i="129"/>
  <c r="BS210" i="129"/>
  <c r="BR210" i="129"/>
  <c r="BN210" i="129"/>
  <c r="AP210" i="129"/>
  <c r="AO210" i="129"/>
  <c r="AN210" i="129"/>
  <c r="AL210" i="129"/>
  <c r="AI210" i="129"/>
  <c r="CL210" i="129" s="1"/>
  <c r="AF210" i="129"/>
  <c r="AC210" i="129"/>
  <c r="S210" i="129"/>
  <c r="R210" i="129"/>
  <c r="Q210" i="129"/>
  <c r="CA209" i="129"/>
  <c r="BZ209" i="129"/>
  <c r="BS209" i="129"/>
  <c r="BR209" i="129"/>
  <c r="BN209" i="129"/>
  <c r="AP209" i="129"/>
  <c r="AO209" i="129"/>
  <c r="AN209" i="129"/>
  <c r="AL209" i="129"/>
  <c r="AI209" i="129"/>
  <c r="CL209" i="129" s="1"/>
  <c r="AF209" i="129"/>
  <c r="AC209" i="129"/>
  <c r="S209" i="129"/>
  <c r="R209" i="129"/>
  <c r="Q209" i="129"/>
  <c r="CA208" i="129"/>
  <c r="BZ208" i="129"/>
  <c r="BS208" i="129"/>
  <c r="BR208" i="129"/>
  <c r="BN208" i="129"/>
  <c r="AP208" i="129"/>
  <c r="AO208" i="129"/>
  <c r="AN208" i="129"/>
  <c r="AL208" i="129"/>
  <c r="AI208" i="129"/>
  <c r="CL208" i="129" s="1"/>
  <c r="AF208" i="129"/>
  <c r="AC208" i="129"/>
  <c r="S208" i="129"/>
  <c r="R208" i="129"/>
  <c r="Q208" i="129"/>
  <c r="CA207" i="129"/>
  <c r="BZ207" i="129"/>
  <c r="BS207" i="129"/>
  <c r="BR207" i="129"/>
  <c r="BN207" i="129"/>
  <c r="AP207" i="129"/>
  <c r="AO207" i="129"/>
  <c r="AN207" i="129"/>
  <c r="AL207" i="129"/>
  <c r="AI207" i="129"/>
  <c r="CL207" i="129" s="1"/>
  <c r="AF207" i="129"/>
  <c r="AC207" i="129"/>
  <c r="S207" i="129"/>
  <c r="R207" i="129"/>
  <c r="Q207" i="129"/>
  <c r="CA206" i="129"/>
  <c r="BZ206" i="129"/>
  <c r="BS206" i="129"/>
  <c r="BR206" i="129"/>
  <c r="BN206" i="129"/>
  <c r="AP206" i="129"/>
  <c r="AO206" i="129"/>
  <c r="AN206" i="129"/>
  <c r="AL206" i="129"/>
  <c r="AI206" i="129"/>
  <c r="CL206" i="129" s="1"/>
  <c r="AF206" i="129"/>
  <c r="AC206" i="129"/>
  <c r="S206" i="129"/>
  <c r="R206" i="129"/>
  <c r="Q206" i="129"/>
  <c r="CA205" i="129"/>
  <c r="BZ205" i="129"/>
  <c r="BS205" i="129"/>
  <c r="BR205" i="129"/>
  <c r="BN205" i="129"/>
  <c r="AP205" i="129"/>
  <c r="AO205" i="129"/>
  <c r="AN205" i="129"/>
  <c r="AL205" i="129"/>
  <c r="AI205" i="129"/>
  <c r="CL205" i="129" s="1"/>
  <c r="AF205" i="129"/>
  <c r="AC205" i="129"/>
  <c r="S205" i="129"/>
  <c r="R205" i="129"/>
  <c r="Q205" i="129"/>
  <c r="CA204" i="129"/>
  <c r="BZ204" i="129"/>
  <c r="BS204" i="129"/>
  <c r="BR204" i="129"/>
  <c r="BN204" i="129"/>
  <c r="AP204" i="129"/>
  <c r="AO204" i="129"/>
  <c r="AN204" i="129"/>
  <c r="AL204" i="129"/>
  <c r="AI204" i="129"/>
  <c r="CL204" i="129" s="1"/>
  <c r="AF204" i="129"/>
  <c r="AC204" i="129"/>
  <c r="S204" i="129"/>
  <c r="R204" i="129"/>
  <c r="Q204" i="129"/>
  <c r="CA203" i="129"/>
  <c r="BZ203" i="129"/>
  <c r="BS203" i="129"/>
  <c r="BR203" i="129"/>
  <c r="BN203" i="129"/>
  <c r="AP203" i="129"/>
  <c r="AO203" i="129"/>
  <c r="AN203" i="129"/>
  <c r="AL203" i="129"/>
  <c r="AI203" i="129"/>
  <c r="CL203" i="129" s="1"/>
  <c r="AF203" i="129"/>
  <c r="AC203" i="129"/>
  <c r="S203" i="129"/>
  <c r="R203" i="129"/>
  <c r="Q203" i="129"/>
  <c r="CA202" i="129"/>
  <c r="BZ202" i="129"/>
  <c r="BS202" i="129"/>
  <c r="BR202" i="129"/>
  <c r="BN202" i="129"/>
  <c r="AP202" i="129"/>
  <c r="AO202" i="129"/>
  <c r="AN202" i="129"/>
  <c r="AL202" i="129"/>
  <c r="AI202" i="129"/>
  <c r="CL202" i="129" s="1"/>
  <c r="AF202" i="129"/>
  <c r="AC202" i="129"/>
  <c r="S202" i="129"/>
  <c r="R202" i="129"/>
  <c r="Q202" i="129"/>
  <c r="CA201" i="129"/>
  <c r="BZ201" i="129"/>
  <c r="BS201" i="129"/>
  <c r="BR201" i="129"/>
  <c r="BN201" i="129"/>
  <c r="AP201" i="129"/>
  <c r="AO201" i="129"/>
  <c r="AN201" i="129"/>
  <c r="AL201" i="129"/>
  <c r="AI201" i="129"/>
  <c r="CL201" i="129" s="1"/>
  <c r="AF201" i="129"/>
  <c r="AC201" i="129"/>
  <c r="S201" i="129"/>
  <c r="R201" i="129"/>
  <c r="Q201" i="129"/>
  <c r="CA200" i="129"/>
  <c r="BZ200" i="129"/>
  <c r="BS200" i="129"/>
  <c r="BR200" i="129"/>
  <c r="BN200" i="129"/>
  <c r="AP200" i="129"/>
  <c r="AO200" i="129"/>
  <c r="AN200" i="129"/>
  <c r="AL200" i="129"/>
  <c r="AI200" i="129"/>
  <c r="CL200" i="129" s="1"/>
  <c r="AF200" i="129"/>
  <c r="AC200" i="129"/>
  <c r="S200" i="129"/>
  <c r="R200" i="129"/>
  <c r="Q200" i="129"/>
  <c r="CA199" i="129"/>
  <c r="BZ199" i="129"/>
  <c r="BS199" i="129"/>
  <c r="BR199" i="129"/>
  <c r="BN199" i="129"/>
  <c r="AP199" i="129"/>
  <c r="AO199" i="129"/>
  <c r="AN199" i="129"/>
  <c r="AL199" i="129"/>
  <c r="AI199" i="129"/>
  <c r="CL199" i="129" s="1"/>
  <c r="AF199" i="129"/>
  <c r="AC199" i="129"/>
  <c r="S199" i="129"/>
  <c r="R199" i="129"/>
  <c r="Q199" i="129"/>
  <c r="CA198" i="129"/>
  <c r="BZ198" i="129"/>
  <c r="BS198" i="129"/>
  <c r="BR198" i="129"/>
  <c r="BN198" i="129"/>
  <c r="AP198" i="129"/>
  <c r="AO198" i="129"/>
  <c r="AN198" i="129"/>
  <c r="AL198" i="129"/>
  <c r="AI198" i="129"/>
  <c r="CL198" i="129" s="1"/>
  <c r="AF198" i="129"/>
  <c r="AC198" i="129"/>
  <c r="S198" i="129"/>
  <c r="R198" i="129"/>
  <c r="Q198" i="129"/>
  <c r="CA197" i="129"/>
  <c r="BZ197" i="129"/>
  <c r="BS197" i="129"/>
  <c r="BR197" i="129"/>
  <c r="BN197" i="129"/>
  <c r="AP197" i="129"/>
  <c r="AO197" i="129"/>
  <c r="AN197" i="129"/>
  <c r="AL197" i="129"/>
  <c r="AI197" i="129"/>
  <c r="CL197" i="129" s="1"/>
  <c r="AF197" i="129"/>
  <c r="AC197" i="129"/>
  <c r="S197" i="129"/>
  <c r="R197" i="129"/>
  <c r="Q197" i="129"/>
  <c r="CA196" i="129"/>
  <c r="BZ196" i="129"/>
  <c r="BS196" i="129"/>
  <c r="BR196" i="129"/>
  <c r="BN196" i="129"/>
  <c r="AP196" i="129"/>
  <c r="AO196" i="129"/>
  <c r="AN196" i="129"/>
  <c r="AL196" i="129"/>
  <c r="AI196" i="129"/>
  <c r="CL196" i="129" s="1"/>
  <c r="AF196" i="129"/>
  <c r="AC196" i="129"/>
  <c r="S196" i="129"/>
  <c r="R196" i="129"/>
  <c r="Q196" i="129"/>
  <c r="CA195" i="129"/>
  <c r="BZ195" i="129"/>
  <c r="BS195" i="129"/>
  <c r="BR195" i="129"/>
  <c r="BN195" i="129"/>
  <c r="AP195" i="129"/>
  <c r="AO195" i="129"/>
  <c r="AN195" i="129"/>
  <c r="AL195" i="129"/>
  <c r="AI195" i="129"/>
  <c r="CL195" i="129" s="1"/>
  <c r="AF195" i="129"/>
  <c r="AC195" i="129"/>
  <c r="S195" i="129"/>
  <c r="R195" i="129"/>
  <c r="Q195" i="129"/>
  <c r="CA194" i="129"/>
  <c r="BZ194" i="129"/>
  <c r="BS194" i="129"/>
  <c r="BR194" i="129"/>
  <c r="BN194" i="129"/>
  <c r="AP194" i="129"/>
  <c r="AO194" i="129"/>
  <c r="AN194" i="129"/>
  <c r="AL194" i="129"/>
  <c r="AI194" i="129"/>
  <c r="CL194" i="129" s="1"/>
  <c r="AF194" i="129"/>
  <c r="AC194" i="129"/>
  <c r="S194" i="129"/>
  <c r="R194" i="129"/>
  <c r="Q194" i="129"/>
  <c r="CA193" i="129"/>
  <c r="BZ193" i="129"/>
  <c r="BS193" i="129"/>
  <c r="BR193" i="129"/>
  <c r="BN193" i="129"/>
  <c r="AP193" i="129"/>
  <c r="AO193" i="129"/>
  <c r="AN193" i="129"/>
  <c r="AL193" i="129"/>
  <c r="AI193" i="129"/>
  <c r="CL193" i="129" s="1"/>
  <c r="AF193" i="129"/>
  <c r="AC193" i="129"/>
  <c r="S193" i="129"/>
  <c r="R193" i="129"/>
  <c r="Q193" i="129"/>
  <c r="CA192" i="129"/>
  <c r="BZ192" i="129"/>
  <c r="BS192" i="129"/>
  <c r="BR192" i="129"/>
  <c r="BN192" i="129"/>
  <c r="AP192" i="129"/>
  <c r="AO192" i="129"/>
  <c r="AN192" i="129"/>
  <c r="AL192" i="129"/>
  <c r="AI192" i="129"/>
  <c r="CL192" i="129" s="1"/>
  <c r="AF192" i="129"/>
  <c r="AC192" i="129"/>
  <c r="S192" i="129"/>
  <c r="R192" i="129"/>
  <c r="Q192" i="129"/>
  <c r="CA191" i="129"/>
  <c r="BZ191" i="129"/>
  <c r="BS191" i="129"/>
  <c r="BR191" i="129"/>
  <c r="BN191" i="129"/>
  <c r="AP191" i="129"/>
  <c r="AO191" i="129"/>
  <c r="AN191" i="129"/>
  <c r="AL191" i="129"/>
  <c r="AI191" i="129"/>
  <c r="CL191" i="129" s="1"/>
  <c r="AF191" i="129"/>
  <c r="AC191" i="129"/>
  <c r="S191" i="129"/>
  <c r="R191" i="129"/>
  <c r="Q191" i="129"/>
  <c r="CA190" i="129"/>
  <c r="BZ190" i="129"/>
  <c r="BS190" i="129"/>
  <c r="BR190" i="129"/>
  <c r="BN190" i="129"/>
  <c r="AP190" i="129"/>
  <c r="AO190" i="129"/>
  <c r="AN190" i="129"/>
  <c r="AL190" i="129"/>
  <c r="AI190" i="129"/>
  <c r="CL190" i="129" s="1"/>
  <c r="AF190" i="129"/>
  <c r="AC190" i="129"/>
  <c r="S190" i="129"/>
  <c r="R190" i="129"/>
  <c r="Q190" i="129"/>
  <c r="CA189" i="129"/>
  <c r="BZ189" i="129"/>
  <c r="BS189" i="129"/>
  <c r="BR189" i="129"/>
  <c r="BN189" i="129"/>
  <c r="AP189" i="129"/>
  <c r="AO189" i="129"/>
  <c r="AN189" i="129"/>
  <c r="AL189" i="129"/>
  <c r="AI189" i="129"/>
  <c r="CL189" i="129" s="1"/>
  <c r="AF189" i="129"/>
  <c r="AC189" i="129"/>
  <c r="S189" i="129"/>
  <c r="R189" i="129"/>
  <c r="Q189" i="129"/>
  <c r="CA188" i="129"/>
  <c r="BZ188" i="129"/>
  <c r="BS188" i="129"/>
  <c r="BR188" i="129"/>
  <c r="BN188" i="129"/>
  <c r="AP188" i="129"/>
  <c r="AO188" i="129"/>
  <c r="AN188" i="129"/>
  <c r="AL188" i="129"/>
  <c r="AI188" i="129"/>
  <c r="CL188" i="129" s="1"/>
  <c r="AF188" i="129"/>
  <c r="AC188" i="129"/>
  <c r="S188" i="129"/>
  <c r="R188" i="129"/>
  <c r="Q188" i="129"/>
  <c r="CA187" i="129"/>
  <c r="BZ187" i="129"/>
  <c r="BS187" i="129"/>
  <c r="BR187" i="129"/>
  <c r="BN187" i="129"/>
  <c r="AP187" i="129"/>
  <c r="AO187" i="129"/>
  <c r="AN187" i="129"/>
  <c r="AL187" i="129"/>
  <c r="AI187" i="129"/>
  <c r="CL187" i="129" s="1"/>
  <c r="AF187" i="129"/>
  <c r="AC187" i="129"/>
  <c r="S187" i="129"/>
  <c r="R187" i="129"/>
  <c r="Q187" i="129"/>
  <c r="CA186" i="129"/>
  <c r="BZ186" i="129"/>
  <c r="BS186" i="129"/>
  <c r="BR186" i="129"/>
  <c r="BN186" i="129"/>
  <c r="AP186" i="129"/>
  <c r="AO186" i="129"/>
  <c r="AN186" i="129"/>
  <c r="AL186" i="129"/>
  <c r="AI186" i="129"/>
  <c r="CL186" i="129" s="1"/>
  <c r="AF186" i="129"/>
  <c r="AC186" i="129"/>
  <c r="S186" i="129"/>
  <c r="R186" i="129"/>
  <c r="Q186" i="129"/>
  <c r="CA185" i="129"/>
  <c r="BZ185" i="129"/>
  <c r="BS185" i="129"/>
  <c r="BR185" i="129"/>
  <c r="BN185" i="129"/>
  <c r="AP185" i="129"/>
  <c r="AO185" i="129"/>
  <c r="AN185" i="129"/>
  <c r="AL185" i="129"/>
  <c r="AI185" i="129"/>
  <c r="CL185" i="129" s="1"/>
  <c r="AF185" i="129"/>
  <c r="AC185" i="129"/>
  <c r="S185" i="129"/>
  <c r="R185" i="129"/>
  <c r="Q185" i="129"/>
  <c r="CA184" i="129"/>
  <c r="BZ184" i="129"/>
  <c r="BS184" i="129"/>
  <c r="BR184" i="129"/>
  <c r="BN184" i="129"/>
  <c r="AP184" i="129"/>
  <c r="AO184" i="129"/>
  <c r="AN184" i="129"/>
  <c r="AL184" i="129"/>
  <c r="AI184" i="129"/>
  <c r="CL184" i="129" s="1"/>
  <c r="AF184" i="129"/>
  <c r="AC184" i="129"/>
  <c r="S184" i="129"/>
  <c r="R184" i="129"/>
  <c r="Q184" i="129"/>
  <c r="CA183" i="129"/>
  <c r="BZ183" i="129"/>
  <c r="BS183" i="129"/>
  <c r="BR183" i="129"/>
  <c r="BN183" i="129"/>
  <c r="AP183" i="129"/>
  <c r="AO183" i="129"/>
  <c r="AN183" i="129"/>
  <c r="AL183" i="129"/>
  <c r="AI183" i="129"/>
  <c r="CL183" i="129" s="1"/>
  <c r="AF183" i="129"/>
  <c r="AC183" i="129"/>
  <c r="S183" i="129"/>
  <c r="R183" i="129"/>
  <c r="Q183" i="129"/>
  <c r="CA182" i="129"/>
  <c r="BZ182" i="129"/>
  <c r="BS182" i="129"/>
  <c r="BR182" i="129"/>
  <c r="BN182" i="129"/>
  <c r="AP182" i="129"/>
  <c r="AO182" i="129"/>
  <c r="AN182" i="129"/>
  <c r="AL182" i="129"/>
  <c r="AI182" i="129"/>
  <c r="CL182" i="129" s="1"/>
  <c r="AF182" i="129"/>
  <c r="AC182" i="129"/>
  <c r="S182" i="129"/>
  <c r="R182" i="129"/>
  <c r="Q182" i="129"/>
  <c r="CA181" i="129"/>
  <c r="BZ181" i="129"/>
  <c r="BS181" i="129"/>
  <c r="BR181" i="129"/>
  <c r="BN181" i="129"/>
  <c r="AP181" i="129"/>
  <c r="AO181" i="129"/>
  <c r="AN181" i="129"/>
  <c r="AL181" i="129"/>
  <c r="AI181" i="129"/>
  <c r="CL181" i="129" s="1"/>
  <c r="AF181" i="129"/>
  <c r="AC181" i="129"/>
  <c r="S181" i="129"/>
  <c r="R181" i="129"/>
  <c r="Q181" i="129"/>
  <c r="CA180" i="129"/>
  <c r="BZ180" i="129"/>
  <c r="BS180" i="129"/>
  <c r="BR180" i="129"/>
  <c r="BN180" i="129"/>
  <c r="AP180" i="129"/>
  <c r="AO180" i="129"/>
  <c r="AN180" i="129"/>
  <c r="AL180" i="129"/>
  <c r="AI180" i="129"/>
  <c r="CL180" i="129" s="1"/>
  <c r="AF180" i="129"/>
  <c r="AC180" i="129"/>
  <c r="S180" i="129"/>
  <c r="R180" i="129"/>
  <c r="Q180" i="129"/>
  <c r="CA179" i="129"/>
  <c r="BZ179" i="129"/>
  <c r="BS179" i="129"/>
  <c r="BR179" i="129"/>
  <c r="BN179" i="129"/>
  <c r="AP179" i="129"/>
  <c r="AO179" i="129"/>
  <c r="AN179" i="129"/>
  <c r="AL179" i="129"/>
  <c r="AI179" i="129"/>
  <c r="CL179" i="129" s="1"/>
  <c r="AF179" i="129"/>
  <c r="AC179" i="129"/>
  <c r="S179" i="129"/>
  <c r="R179" i="129"/>
  <c r="Q179" i="129"/>
  <c r="CA178" i="129"/>
  <c r="BZ178" i="129"/>
  <c r="BS178" i="129"/>
  <c r="BR178" i="129"/>
  <c r="BN178" i="129"/>
  <c r="AP178" i="129"/>
  <c r="AO178" i="129"/>
  <c r="AN178" i="129"/>
  <c r="AL178" i="129"/>
  <c r="AI178" i="129"/>
  <c r="CL178" i="129" s="1"/>
  <c r="AF178" i="129"/>
  <c r="AC178" i="129"/>
  <c r="S178" i="129"/>
  <c r="R178" i="129"/>
  <c r="Q178" i="129"/>
  <c r="CA177" i="129"/>
  <c r="BZ177" i="129"/>
  <c r="BS177" i="129"/>
  <c r="BR177" i="129"/>
  <c r="BN177" i="129"/>
  <c r="AP177" i="129"/>
  <c r="AO177" i="129"/>
  <c r="AN177" i="129"/>
  <c r="AL177" i="129"/>
  <c r="AI177" i="129"/>
  <c r="CL177" i="129" s="1"/>
  <c r="AF177" i="129"/>
  <c r="AC177" i="129"/>
  <c r="S177" i="129"/>
  <c r="R177" i="129"/>
  <c r="Q177" i="129"/>
  <c r="CA176" i="129"/>
  <c r="BZ176" i="129"/>
  <c r="BS176" i="129"/>
  <c r="BR176" i="129"/>
  <c r="BN176" i="129"/>
  <c r="AP176" i="129"/>
  <c r="AO176" i="129"/>
  <c r="AN176" i="129"/>
  <c r="AL176" i="129"/>
  <c r="AI176" i="129"/>
  <c r="CL176" i="129" s="1"/>
  <c r="AF176" i="129"/>
  <c r="AC176" i="129"/>
  <c r="S176" i="129"/>
  <c r="R176" i="129"/>
  <c r="Q176" i="129"/>
  <c r="CA175" i="129"/>
  <c r="BZ175" i="129"/>
  <c r="BS175" i="129"/>
  <c r="BR175" i="129"/>
  <c r="BN175" i="129"/>
  <c r="AP175" i="129"/>
  <c r="AO175" i="129"/>
  <c r="AN175" i="129"/>
  <c r="AL175" i="129"/>
  <c r="AI175" i="129"/>
  <c r="CL175" i="129" s="1"/>
  <c r="AF175" i="129"/>
  <c r="AC175" i="129"/>
  <c r="S175" i="129"/>
  <c r="R175" i="129"/>
  <c r="Q175" i="129"/>
  <c r="CA174" i="129"/>
  <c r="BZ174" i="129"/>
  <c r="BS174" i="129"/>
  <c r="BR174" i="129"/>
  <c r="BN174" i="129"/>
  <c r="AP174" i="129"/>
  <c r="AO174" i="129"/>
  <c r="AN174" i="129"/>
  <c r="AL174" i="129"/>
  <c r="AI174" i="129"/>
  <c r="CL174" i="129" s="1"/>
  <c r="AF174" i="129"/>
  <c r="AC174" i="129"/>
  <c r="S174" i="129"/>
  <c r="R174" i="129"/>
  <c r="Q174" i="129"/>
  <c r="CA173" i="129"/>
  <c r="BZ173" i="129"/>
  <c r="BS173" i="129"/>
  <c r="BR173" i="129"/>
  <c r="BN173" i="129"/>
  <c r="AP173" i="129"/>
  <c r="AO173" i="129"/>
  <c r="AN173" i="129"/>
  <c r="AL173" i="129"/>
  <c r="AI173" i="129"/>
  <c r="CL173" i="129" s="1"/>
  <c r="AF173" i="129"/>
  <c r="AC173" i="129"/>
  <c r="S173" i="129"/>
  <c r="R173" i="129"/>
  <c r="Q173" i="129"/>
  <c r="CA172" i="129"/>
  <c r="BZ172" i="129"/>
  <c r="BS172" i="129"/>
  <c r="BR172" i="129"/>
  <c r="BN172" i="129"/>
  <c r="AP172" i="129"/>
  <c r="AO172" i="129"/>
  <c r="AN172" i="129"/>
  <c r="AL172" i="129"/>
  <c r="AI172" i="129"/>
  <c r="CL172" i="129" s="1"/>
  <c r="AF172" i="129"/>
  <c r="AC172" i="129"/>
  <c r="S172" i="129"/>
  <c r="R172" i="129"/>
  <c r="Q172" i="129"/>
  <c r="CA171" i="129"/>
  <c r="BZ171" i="129"/>
  <c r="BS171" i="129"/>
  <c r="BR171" i="129"/>
  <c r="BN171" i="129"/>
  <c r="AP171" i="129"/>
  <c r="AO171" i="129"/>
  <c r="AN171" i="129"/>
  <c r="AL171" i="129"/>
  <c r="AI171" i="129"/>
  <c r="CL171" i="129" s="1"/>
  <c r="AF171" i="129"/>
  <c r="AC171" i="129"/>
  <c r="S171" i="129"/>
  <c r="R171" i="129"/>
  <c r="Q171" i="129"/>
  <c r="CA170" i="129"/>
  <c r="BZ170" i="129"/>
  <c r="BS170" i="129"/>
  <c r="BR170" i="129"/>
  <c r="BN170" i="129"/>
  <c r="AP170" i="129"/>
  <c r="AO170" i="129"/>
  <c r="AN170" i="129"/>
  <c r="AL170" i="129"/>
  <c r="AI170" i="129"/>
  <c r="CL170" i="129" s="1"/>
  <c r="AF170" i="129"/>
  <c r="AC170" i="129"/>
  <c r="S170" i="129"/>
  <c r="R170" i="129"/>
  <c r="Q170" i="129"/>
  <c r="CA169" i="129"/>
  <c r="BZ169" i="129"/>
  <c r="BS169" i="129"/>
  <c r="BR169" i="129"/>
  <c r="BN169" i="129"/>
  <c r="AP169" i="129"/>
  <c r="AO169" i="129"/>
  <c r="AN169" i="129"/>
  <c r="AL169" i="129"/>
  <c r="AI169" i="129"/>
  <c r="CL169" i="129" s="1"/>
  <c r="AF169" i="129"/>
  <c r="AC169" i="129"/>
  <c r="S169" i="129"/>
  <c r="R169" i="129"/>
  <c r="Q169" i="129"/>
  <c r="CA168" i="129"/>
  <c r="BZ168" i="129"/>
  <c r="BS168" i="129"/>
  <c r="BR168" i="129"/>
  <c r="BN168" i="129"/>
  <c r="AP168" i="129"/>
  <c r="AO168" i="129"/>
  <c r="AN168" i="129"/>
  <c r="AL168" i="129"/>
  <c r="AI168" i="129"/>
  <c r="CL168" i="129" s="1"/>
  <c r="AF168" i="129"/>
  <c r="AC168" i="129"/>
  <c r="S168" i="129"/>
  <c r="R168" i="129"/>
  <c r="Q168" i="129"/>
  <c r="CA167" i="129"/>
  <c r="BZ167" i="129"/>
  <c r="BS167" i="129"/>
  <c r="BR167" i="129"/>
  <c r="BN167" i="129"/>
  <c r="AP167" i="129"/>
  <c r="AO167" i="129"/>
  <c r="AN167" i="129"/>
  <c r="AL167" i="129"/>
  <c r="AI167" i="129"/>
  <c r="CL167" i="129" s="1"/>
  <c r="AF167" i="129"/>
  <c r="AC167" i="129"/>
  <c r="S167" i="129"/>
  <c r="R167" i="129"/>
  <c r="Q167" i="129"/>
  <c r="CA166" i="129"/>
  <c r="BZ166" i="129"/>
  <c r="BS166" i="129"/>
  <c r="BR166" i="129"/>
  <c r="BN166" i="129"/>
  <c r="AP166" i="129"/>
  <c r="AO166" i="129"/>
  <c r="AN166" i="129"/>
  <c r="AL166" i="129"/>
  <c r="AI166" i="129"/>
  <c r="CL166" i="129" s="1"/>
  <c r="AF166" i="129"/>
  <c r="AC166" i="129"/>
  <c r="S166" i="129"/>
  <c r="R166" i="129"/>
  <c r="Q166" i="129"/>
  <c r="CA165" i="129"/>
  <c r="BZ165" i="129"/>
  <c r="BS165" i="129"/>
  <c r="BR165" i="129"/>
  <c r="BN165" i="129"/>
  <c r="AP165" i="129"/>
  <c r="AO165" i="129"/>
  <c r="AN165" i="129"/>
  <c r="AL165" i="129"/>
  <c r="AI165" i="129"/>
  <c r="CL165" i="129" s="1"/>
  <c r="AF165" i="129"/>
  <c r="AC165" i="129"/>
  <c r="S165" i="129"/>
  <c r="R165" i="129"/>
  <c r="Q165" i="129"/>
  <c r="CA164" i="129"/>
  <c r="BZ164" i="129"/>
  <c r="BS164" i="129"/>
  <c r="BR164" i="129"/>
  <c r="BN164" i="129"/>
  <c r="AP164" i="129"/>
  <c r="AO164" i="129"/>
  <c r="AN164" i="129"/>
  <c r="AL164" i="129"/>
  <c r="AI164" i="129"/>
  <c r="CL164" i="129" s="1"/>
  <c r="AF164" i="129"/>
  <c r="AC164" i="129"/>
  <c r="S164" i="129"/>
  <c r="R164" i="129"/>
  <c r="Q164" i="129"/>
  <c r="CA163" i="129"/>
  <c r="BZ163" i="129"/>
  <c r="BS163" i="129"/>
  <c r="BR163" i="129"/>
  <c r="BN163" i="129"/>
  <c r="AP163" i="129"/>
  <c r="AO163" i="129"/>
  <c r="AN163" i="129"/>
  <c r="AL163" i="129"/>
  <c r="AI163" i="129"/>
  <c r="CL163" i="129" s="1"/>
  <c r="AF163" i="129"/>
  <c r="AC163" i="129"/>
  <c r="S163" i="129"/>
  <c r="R163" i="129"/>
  <c r="Q163" i="129"/>
  <c r="CA162" i="129"/>
  <c r="BZ162" i="129"/>
  <c r="BS162" i="129"/>
  <c r="BR162" i="129"/>
  <c r="BN162" i="129"/>
  <c r="AP162" i="129"/>
  <c r="AO162" i="129"/>
  <c r="AN162" i="129"/>
  <c r="AL162" i="129"/>
  <c r="AI162" i="129"/>
  <c r="CL162" i="129" s="1"/>
  <c r="AF162" i="129"/>
  <c r="AC162" i="129"/>
  <c r="S162" i="129"/>
  <c r="R162" i="129"/>
  <c r="Q162" i="129"/>
  <c r="CA161" i="129"/>
  <c r="BZ161" i="129"/>
  <c r="BS161" i="129"/>
  <c r="BR161" i="129"/>
  <c r="BN161" i="129"/>
  <c r="AP161" i="129"/>
  <c r="AO161" i="129"/>
  <c r="AN161" i="129"/>
  <c r="AL161" i="129"/>
  <c r="AI161" i="129"/>
  <c r="CL161" i="129" s="1"/>
  <c r="AF161" i="129"/>
  <c r="AC161" i="129"/>
  <c r="S161" i="129"/>
  <c r="R161" i="129"/>
  <c r="Q161" i="129"/>
  <c r="CA160" i="129"/>
  <c r="BZ160" i="129"/>
  <c r="BS160" i="129"/>
  <c r="BR160" i="129"/>
  <c r="BN160" i="129"/>
  <c r="AP160" i="129"/>
  <c r="AO160" i="129"/>
  <c r="AN160" i="129"/>
  <c r="AL160" i="129"/>
  <c r="AI160" i="129"/>
  <c r="CL160" i="129" s="1"/>
  <c r="AF160" i="129"/>
  <c r="AC160" i="129"/>
  <c r="S160" i="129"/>
  <c r="R160" i="129"/>
  <c r="Q160" i="129"/>
  <c r="CA159" i="129"/>
  <c r="BZ159" i="129"/>
  <c r="BS159" i="129"/>
  <c r="BR159" i="129"/>
  <c r="BN159" i="129"/>
  <c r="AP159" i="129"/>
  <c r="AO159" i="129"/>
  <c r="AN159" i="129"/>
  <c r="AL159" i="129"/>
  <c r="AI159" i="129"/>
  <c r="CL159" i="129" s="1"/>
  <c r="AF159" i="129"/>
  <c r="AC159" i="129"/>
  <c r="S159" i="129"/>
  <c r="R159" i="129"/>
  <c r="Q159" i="129"/>
  <c r="CA158" i="129"/>
  <c r="BZ158" i="129"/>
  <c r="BS158" i="129"/>
  <c r="BR158" i="129"/>
  <c r="BN158" i="129"/>
  <c r="AP158" i="129"/>
  <c r="AO158" i="129"/>
  <c r="AN158" i="129"/>
  <c r="AL158" i="129"/>
  <c r="AI158" i="129"/>
  <c r="CL158" i="129" s="1"/>
  <c r="AF158" i="129"/>
  <c r="AC158" i="129"/>
  <c r="S158" i="129"/>
  <c r="R158" i="129"/>
  <c r="Q158" i="129"/>
  <c r="CA157" i="129"/>
  <c r="BZ157" i="129"/>
  <c r="BS157" i="129"/>
  <c r="BR157" i="129"/>
  <c r="BN157" i="129"/>
  <c r="AP157" i="129"/>
  <c r="AO157" i="129"/>
  <c r="AN157" i="129"/>
  <c r="AL157" i="129"/>
  <c r="AI157" i="129"/>
  <c r="CL157" i="129" s="1"/>
  <c r="AF157" i="129"/>
  <c r="AC157" i="129"/>
  <c r="S157" i="129"/>
  <c r="R157" i="129"/>
  <c r="Q157" i="129"/>
  <c r="CA156" i="129"/>
  <c r="BZ156" i="129"/>
  <c r="BS156" i="129"/>
  <c r="BR156" i="129"/>
  <c r="BN156" i="129"/>
  <c r="AP156" i="129"/>
  <c r="AO156" i="129"/>
  <c r="AN156" i="129"/>
  <c r="AL156" i="129"/>
  <c r="AI156" i="129"/>
  <c r="CL156" i="129" s="1"/>
  <c r="AF156" i="129"/>
  <c r="AC156" i="129"/>
  <c r="S156" i="129"/>
  <c r="R156" i="129"/>
  <c r="Q156" i="129"/>
  <c r="CA155" i="129"/>
  <c r="BZ155" i="129"/>
  <c r="BS155" i="129"/>
  <c r="BR155" i="129"/>
  <c r="BN155" i="129"/>
  <c r="AP155" i="129"/>
  <c r="AO155" i="129"/>
  <c r="AN155" i="129"/>
  <c r="AL155" i="129"/>
  <c r="AI155" i="129"/>
  <c r="CL155" i="129" s="1"/>
  <c r="AF155" i="129"/>
  <c r="AC155" i="129"/>
  <c r="S155" i="129"/>
  <c r="R155" i="129"/>
  <c r="Q155" i="129"/>
  <c r="CA154" i="129"/>
  <c r="BZ154" i="129"/>
  <c r="BS154" i="129"/>
  <c r="BR154" i="129"/>
  <c r="BN154" i="129"/>
  <c r="AP154" i="129"/>
  <c r="AO154" i="129"/>
  <c r="AN154" i="129"/>
  <c r="AL154" i="129"/>
  <c r="AI154" i="129"/>
  <c r="CL154" i="129" s="1"/>
  <c r="AF154" i="129"/>
  <c r="AC154" i="129"/>
  <c r="S154" i="129"/>
  <c r="R154" i="129"/>
  <c r="Q154" i="129"/>
  <c r="CA153" i="129"/>
  <c r="BZ153" i="129"/>
  <c r="BS153" i="129"/>
  <c r="BR153" i="129"/>
  <c r="BN153" i="129"/>
  <c r="AP153" i="129"/>
  <c r="AO153" i="129"/>
  <c r="AN153" i="129"/>
  <c r="AL153" i="129"/>
  <c r="AI153" i="129"/>
  <c r="CL153" i="129" s="1"/>
  <c r="AF153" i="129"/>
  <c r="AC153" i="129"/>
  <c r="S153" i="129"/>
  <c r="R153" i="129"/>
  <c r="Q153" i="129"/>
  <c r="CA152" i="129"/>
  <c r="BZ152" i="129"/>
  <c r="BS152" i="129"/>
  <c r="BR152" i="129"/>
  <c r="BN152" i="129"/>
  <c r="AP152" i="129"/>
  <c r="AO152" i="129"/>
  <c r="AN152" i="129"/>
  <c r="AL152" i="129"/>
  <c r="AI152" i="129"/>
  <c r="CL152" i="129" s="1"/>
  <c r="AF152" i="129"/>
  <c r="AC152" i="129"/>
  <c r="S152" i="129"/>
  <c r="R152" i="129"/>
  <c r="Q152" i="129"/>
  <c r="CA151" i="129"/>
  <c r="BZ151" i="129"/>
  <c r="BS151" i="129"/>
  <c r="BR151" i="129"/>
  <c r="BN151" i="129"/>
  <c r="AP151" i="129"/>
  <c r="AO151" i="129"/>
  <c r="AN151" i="129"/>
  <c r="AL151" i="129"/>
  <c r="AI151" i="129"/>
  <c r="CL151" i="129" s="1"/>
  <c r="AF151" i="129"/>
  <c r="AC151" i="129"/>
  <c r="S151" i="129"/>
  <c r="R151" i="129"/>
  <c r="Q151" i="129"/>
  <c r="CA150" i="129"/>
  <c r="BZ150" i="129"/>
  <c r="BS150" i="129"/>
  <c r="BR150" i="129"/>
  <c r="BN150" i="129"/>
  <c r="AP150" i="129"/>
  <c r="AO150" i="129"/>
  <c r="AN150" i="129"/>
  <c r="AL150" i="129"/>
  <c r="AI150" i="129"/>
  <c r="CL150" i="129" s="1"/>
  <c r="AF150" i="129"/>
  <c r="AC150" i="129"/>
  <c r="S150" i="129"/>
  <c r="R150" i="129"/>
  <c r="Q150" i="129"/>
  <c r="CA149" i="129"/>
  <c r="BZ149" i="129"/>
  <c r="BS149" i="129"/>
  <c r="BR149" i="129"/>
  <c r="BN149" i="129"/>
  <c r="AP149" i="129"/>
  <c r="AO149" i="129"/>
  <c r="AN149" i="129"/>
  <c r="AL149" i="129"/>
  <c r="AI149" i="129"/>
  <c r="CL149" i="129" s="1"/>
  <c r="AF149" i="129"/>
  <c r="AC149" i="129"/>
  <c r="S149" i="129"/>
  <c r="R149" i="129"/>
  <c r="Q149" i="129"/>
  <c r="CA148" i="129"/>
  <c r="BZ148" i="129"/>
  <c r="BS148" i="129"/>
  <c r="BR148" i="129"/>
  <c r="BN148" i="129"/>
  <c r="AP148" i="129"/>
  <c r="AO148" i="129"/>
  <c r="AN148" i="129"/>
  <c r="AL148" i="129"/>
  <c r="AI148" i="129"/>
  <c r="CL148" i="129" s="1"/>
  <c r="AF148" i="129"/>
  <c r="AC148" i="129"/>
  <c r="S148" i="129"/>
  <c r="R148" i="129"/>
  <c r="Q148" i="129"/>
  <c r="CA147" i="129"/>
  <c r="BZ147" i="129"/>
  <c r="BS147" i="129"/>
  <c r="BR147" i="129"/>
  <c r="BN147" i="129"/>
  <c r="AP147" i="129"/>
  <c r="AO147" i="129"/>
  <c r="AN147" i="129"/>
  <c r="AL147" i="129"/>
  <c r="AI147" i="129"/>
  <c r="CL147" i="129" s="1"/>
  <c r="AF147" i="129"/>
  <c r="AC147" i="129"/>
  <c r="S147" i="129"/>
  <c r="R147" i="129"/>
  <c r="Q147" i="129"/>
  <c r="CA146" i="129"/>
  <c r="BZ146" i="129"/>
  <c r="BS146" i="129"/>
  <c r="BR146" i="129"/>
  <c r="BN146" i="129"/>
  <c r="AP146" i="129"/>
  <c r="AO146" i="129"/>
  <c r="AN146" i="129"/>
  <c r="AL146" i="129"/>
  <c r="AI146" i="129"/>
  <c r="CL146" i="129" s="1"/>
  <c r="AF146" i="129"/>
  <c r="AC146" i="129"/>
  <c r="S146" i="129"/>
  <c r="R146" i="129"/>
  <c r="Q146" i="129"/>
  <c r="CA145" i="129"/>
  <c r="BZ145" i="129"/>
  <c r="BS145" i="129"/>
  <c r="BR145" i="129"/>
  <c r="BN145" i="129"/>
  <c r="AP145" i="129"/>
  <c r="AO145" i="129"/>
  <c r="AN145" i="129"/>
  <c r="AL145" i="129"/>
  <c r="AI145" i="129"/>
  <c r="CL145" i="129" s="1"/>
  <c r="AF145" i="129"/>
  <c r="AC145" i="129"/>
  <c r="S145" i="129"/>
  <c r="R145" i="129"/>
  <c r="Q145" i="129"/>
  <c r="CA144" i="129"/>
  <c r="BZ144" i="129"/>
  <c r="BS144" i="129"/>
  <c r="BR144" i="129"/>
  <c r="BN144" i="129"/>
  <c r="AP144" i="129"/>
  <c r="AO144" i="129"/>
  <c r="AN144" i="129"/>
  <c r="AL144" i="129"/>
  <c r="AI144" i="129"/>
  <c r="CL144" i="129" s="1"/>
  <c r="AF144" i="129"/>
  <c r="AC144" i="129"/>
  <c r="S144" i="129"/>
  <c r="R144" i="129"/>
  <c r="Q144" i="129"/>
  <c r="CA143" i="129"/>
  <c r="BZ143" i="129"/>
  <c r="BS143" i="129"/>
  <c r="BR143" i="129"/>
  <c r="BN143" i="129"/>
  <c r="AP143" i="129"/>
  <c r="AO143" i="129"/>
  <c r="AN143" i="129"/>
  <c r="AL143" i="129"/>
  <c r="AI143" i="129"/>
  <c r="CL143" i="129" s="1"/>
  <c r="AF143" i="129"/>
  <c r="AC143" i="129"/>
  <c r="S143" i="129"/>
  <c r="R143" i="129"/>
  <c r="Q143" i="129"/>
  <c r="CA142" i="129"/>
  <c r="BZ142" i="129"/>
  <c r="BS142" i="129"/>
  <c r="BR142" i="129"/>
  <c r="BN142" i="129"/>
  <c r="AP142" i="129"/>
  <c r="AO142" i="129"/>
  <c r="AN142" i="129"/>
  <c r="AL142" i="129"/>
  <c r="AI142" i="129"/>
  <c r="CL142" i="129" s="1"/>
  <c r="AF142" i="129"/>
  <c r="AC142" i="129"/>
  <c r="S142" i="129"/>
  <c r="R142" i="129"/>
  <c r="Q142" i="129"/>
  <c r="CA141" i="129"/>
  <c r="BZ141" i="129"/>
  <c r="BS141" i="129"/>
  <c r="BR141" i="129"/>
  <c r="BN141" i="129"/>
  <c r="AP141" i="129"/>
  <c r="AO141" i="129"/>
  <c r="AN141" i="129"/>
  <c r="AL141" i="129"/>
  <c r="AI141" i="129"/>
  <c r="CL141" i="129" s="1"/>
  <c r="AF141" i="129"/>
  <c r="AC141" i="129"/>
  <c r="S141" i="129"/>
  <c r="R141" i="129"/>
  <c r="Q141" i="129"/>
  <c r="CA140" i="129"/>
  <c r="BZ140" i="129"/>
  <c r="BS140" i="129"/>
  <c r="BR140" i="129"/>
  <c r="BN140" i="129"/>
  <c r="AP140" i="129"/>
  <c r="AO140" i="129"/>
  <c r="AN140" i="129"/>
  <c r="AL140" i="129"/>
  <c r="AI140" i="129"/>
  <c r="CL140" i="129" s="1"/>
  <c r="AF140" i="129"/>
  <c r="AC140" i="129"/>
  <c r="S140" i="129"/>
  <c r="R140" i="129"/>
  <c r="Q140" i="129"/>
  <c r="CA139" i="129"/>
  <c r="BZ139" i="129"/>
  <c r="BS139" i="129"/>
  <c r="BR139" i="129"/>
  <c r="BN139" i="129"/>
  <c r="AP139" i="129"/>
  <c r="AO139" i="129"/>
  <c r="AN139" i="129"/>
  <c r="AL139" i="129"/>
  <c r="AI139" i="129"/>
  <c r="CL139" i="129" s="1"/>
  <c r="AF139" i="129"/>
  <c r="AC139" i="129"/>
  <c r="S139" i="129"/>
  <c r="R139" i="129"/>
  <c r="Q139" i="129"/>
  <c r="CA138" i="129"/>
  <c r="BZ138" i="129"/>
  <c r="BS138" i="129"/>
  <c r="BR138" i="129"/>
  <c r="BN138" i="129"/>
  <c r="AP138" i="129"/>
  <c r="AO138" i="129"/>
  <c r="AN138" i="129"/>
  <c r="AL138" i="129"/>
  <c r="AI138" i="129"/>
  <c r="CL138" i="129" s="1"/>
  <c r="AF138" i="129"/>
  <c r="AC138" i="129"/>
  <c r="S138" i="129"/>
  <c r="R138" i="129"/>
  <c r="Q138" i="129"/>
  <c r="CA137" i="129"/>
  <c r="BZ137" i="129"/>
  <c r="BS137" i="129"/>
  <c r="BR137" i="129"/>
  <c r="BN137" i="129"/>
  <c r="AP137" i="129"/>
  <c r="AO137" i="129"/>
  <c r="AN137" i="129"/>
  <c r="AL137" i="129"/>
  <c r="AI137" i="129"/>
  <c r="CL137" i="129" s="1"/>
  <c r="AF137" i="129"/>
  <c r="AC137" i="129"/>
  <c r="S137" i="129"/>
  <c r="R137" i="129"/>
  <c r="Q137" i="129"/>
  <c r="CA136" i="129"/>
  <c r="BZ136" i="129"/>
  <c r="BS136" i="129"/>
  <c r="BR136" i="129"/>
  <c r="BN136" i="129"/>
  <c r="AP136" i="129"/>
  <c r="AO136" i="129"/>
  <c r="AN136" i="129"/>
  <c r="AL136" i="129"/>
  <c r="AI136" i="129"/>
  <c r="CL136" i="129" s="1"/>
  <c r="AF136" i="129"/>
  <c r="AC136" i="129"/>
  <c r="S136" i="129"/>
  <c r="R136" i="129"/>
  <c r="Q136" i="129"/>
  <c r="CA135" i="129"/>
  <c r="BZ135" i="129"/>
  <c r="BS135" i="129"/>
  <c r="BR135" i="129"/>
  <c r="BN135" i="129"/>
  <c r="AP135" i="129"/>
  <c r="AO135" i="129"/>
  <c r="AN135" i="129"/>
  <c r="AL135" i="129"/>
  <c r="AI135" i="129"/>
  <c r="CL135" i="129" s="1"/>
  <c r="AF135" i="129"/>
  <c r="AC135" i="129"/>
  <c r="S135" i="129"/>
  <c r="R135" i="129"/>
  <c r="Q135" i="129"/>
  <c r="CA134" i="129"/>
  <c r="BZ134" i="129"/>
  <c r="BS134" i="129"/>
  <c r="BR134" i="129"/>
  <c r="BN134" i="129"/>
  <c r="AP134" i="129"/>
  <c r="AO134" i="129"/>
  <c r="AN134" i="129"/>
  <c r="AL134" i="129"/>
  <c r="AI134" i="129"/>
  <c r="CL134" i="129" s="1"/>
  <c r="AF134" i="129"/>
  <c r="AC134" i="129"/>
  <c r="S134" i="129"/>
  <c r="R134" i="129"/>
  <c r="Q134" i="129"/>
  <c r="CA133" i="129"/>
  <c r="BZ133" i="129"/>
  <c r="BS133" i="129"/>
  <c r="BR133" i="129"/>
  <c r="BN133" i="129"/>
  <c r="AP133" i="129"/>
  <c r="AO133" i="129"/>
  <c r="AN133" i="129"/>
  <c r="AL133" i="129"/>
  <c r="AI133" i="129"/>
  <c r="CL133" i="129" s="1"/>
  <c r="AF133" i="129"/>
  <c r="AC133" i="129"/>
  <c r="S133" i="129"/>
  <c r="R133" i="129"/>
  <c r="Q133" i="129"/>
  <c r="CA132" i="129"/>
  <c r="BZ132" i="129"/>
  <c r="BS132" i="129"/>
  <c r="BR132" i="129"/>
  <c r="BN132" i="129"/>
  <c r="AP132" i="129"/>
  <c r="AO132" i="129"/>
  <c r="AN132" i="129"/>
  <c r="AL132" i="129"/>
  <c r="AI132" i="129"/>
  <c r="CL132" i="129" s="1"/>
  <c r="AF132" i="129"/>
  <c r="AC132" i="129"/>
  <c r="S132" i="129"/>
  <c r="R132" i="129"/>
  <c r="Q132" i="129"/>
  <c r="CA131" i="129"/>
  <c r="BZ131" i="129"/>
  <c r="BS131" i="129"/>
  <c r="BR131" i="129"/>
  <c r="BN131" i="129"/>
  <c r="AP131" i="129"/>
  <c r="AO131" i="129"/>
  <c r="AN131" i="129"/>
  <c r="AL131" i="129"/>
  <c r="AI131" i="129"/>
  <c r="CL131" i="129" s="1"/>
  <c r="AF131" i="129"/>
  <c r="AC131" i="129"/>
  <c r="S131" i="129"/>
  <c r="R131" i="129"/>
  <c r="Q131" i="129"/>
  <c r="CA130" i="129"/>
  <c r="BZ130" i="129"/>
  <c r="BS130" i="129"/>
  <c r="BR130" i="129"/>
  <c r="BN130" i="129"/>
  <c r="AP130" i="129"/>
  <c r="AO130" i="129"/>
  <c r="AN130" i="129"/>
  <c r="AL130" i="129"/>
  <c r="AI130" i="129"/>
  <c r="CL130" i="129" s="1"/>
  <c r="AF130" i="129"/>
  <c r="AC130" i="129"/>
  <c r="CA129" i="129"/>
  <c r="BZ129" i="129"/>
  <c r="BS129" i="129"/>
  <c r="BR129" i="129"/>
  <c r="BN129" i="129"/>
  <c r="AP129" i="129"/>
  <c r="AO129" i="129"/>
  <c r="AN129" i="129"/>
  <c r="AL129" i="129"/>
  <c r="AI129" i="129"/>
  <c r="CL129" i="129" s="1"/>
  <c r="AF129" i="129"/>
  <c r="AC129" i="129"/>
  <c r="CA128" i="129"/>
  <c r="BZ128" i="129"/>
  <c r="BS128" i="129"/>
  <c r="BR128" i="129"/>
  <c r="BN128" i="129"/>
  <c r="AP128" i="129"/>
  <c r="AO128" i="129"/>
  <c r="AN128" i="129"/>
  <c r="AL128" i="129"/>
  <c r="AI128" i="129"/>
  <c r="CL128" i="129" s="1"/>
  <c r="AF128" i="129"/>
  <c r="AC128" i="129"/>
  <c r="CA127" i="129"/>
  <c r="BZ127" i="129"/>
  <c r="BS127" i="129"/>
  <c r="BR127" i="129"/>
  <c r="BN127" i="129"/>
  <c r="AP127" i="129"/>
  <c r="AO127" i="129"/>
  <c r="AN127" i="129"/>
  <c r="AL127" i="129"/>
  <c r="AI127" i="129"/>
  <c r="CL127" i="129" s="1"/>
  <c r="AF127" i="129"/>
  <c r="AC127" i="129"/>
  <c r="CA126" i="129"/>
  <c r="BZ126" i="129"/>
  <c r="BS126" i="129"/>
  <c r="BR126" i="129"/>
  <c r="BN126" i="129"/>
  <c r="AP126" i="129"/>
  <c r="AO126" i="129"/>
  <c r="AN126" i="129"/>
  <c r="AL126" i="129"/>
  <c r="AI126" i="129"/>
  <c r="CL126" i="129" s="1"/>
  <c r="AF126" i="129"/>
  <c r="AC126" i="129"/>
  <c r="CA125" i="129"/>
  <c r="BZ125" i="129"/>
  <c r="BS125" i="129"/>
  <c r="BR125" i="129"/>
  <c r="BN125" i="129"/>
  <c r="AP125" i="129"/>
  <c r="AO125" i="129"/>
  <c r="AN125" i="129"/>
  <c r="AL125" i="129"/>
  <c r="AI125" i="129"/>
  <c r="CL125" i="129" s="1"/>
  <c r="AF125" i="129"/>
  <c r="AC125" i="129"/>
  <c r="CA124" i="129"/>
  <c r="BZ124" i="129"/>
  <c r="BS124" i="129"/>
  <c r="BR124" i="129"/>
  <c r="BN124" i="129"/>
  <c r="AP124" i="129"/>
  <c r="AO124" i="129"/>
  <c r="AN124" i="129"/>
  <c r="AL124" i="129"/>
  <c r="AI124" i="129"/>
  <c r="CL124" i="129" s="1"/>
  <c r="AF124" i="129"/>
  <c r="AC124" i="129"/>
  <c r="CA123" i="129"/>
  <c r="BZ123" i="129"/>
  <c r="BS123" i="129"/>
  <c r="BR123" i="129"/>
  <c r="BN123" i="129"/>
  <c r="AP123" i="129"/>
  <c r="AO123" i="129"/>
  <c r="AN123" i="129"/>
  <c r="AL123" i="129"/>
  <c r="AI123" i="129"/>
  <c r="CL123" i="129" s="1"/>
  <c r="AF123" i="129"/>
  <c r="AC123" i="129"/>
  <c r="CA122" i="129"/>
  <c r="BZ122" i="129"/>
  <c r="BS122" i="129"/>
  <c r="BR122" i="129"/>
  <c r="BN122" i="129"/>
  <c r="AP122" i="129"/>
  <c r="AO122" i="129"/>
  <c r="AN122" i="129"/>
  <c r="AL122" i="129"/>
  <c r="AI122" i="129"/>
  <c r="CL122" i="129" s="1"/>
  <c r="AF122" i="129"/>
  <c r="AC122" i="129"/>
  <c r="CA121" i="129"/>
  <c r="BZ121" i="129"/>
  <c r="BS121" i="129"/>
  <c r="BR121" i="129"/>
  <c r="BN121" i="129"/>
  <c r="AP121" i="129"/>
  <c r="AO121" i="129"/>
  <c r="AN121" i="129"/>
  <c r="AL121" i="129"/>
  <c r="AI121" i="129"/>
  <c r="CL121" i="129" s="1"/>
  <c r="AF121" i="129"/>
  <c r="AC121" i="129"/>
  <c r="CA120" i="129"/>
  <c r="BZ120" i="129"/>
  <c r="BS120" i="129"/>
  <c r="BR120" i="129"/>
  <c r="BN120" i="129"/>
  <c r="AP120" i="129"/>
  <c r="AO120" i="129"/>
  <c r="AN120" i="129"/>
  <c r="AL120" i="129"/>
  <c r="AI120" i="129"/>
  <c r="CL120" i="129" s="1"/>
  <c r="AF120" i="129"/>
  <c r="AC120" i="129"/>
  <c r="CA119" i="129"/>
  <c r="BZ119" i="129"/>
  <c r="BS119" i="129"/>
  <c r="BR119" i="129"/>
  <c r="BN119" i="129"/>
  <c r="AP119" i="129"/>
  <c r="AO119" i="129"/>
  <c r="AN119" i="129"/>
  <c r="AL119" i="129"/>
  <c r="AI119" i="129"/>
  <c r="CL119" i="129" s="1"/>
  <c r="AF119" i="129"/>
  <c r="AC119" i="129"/>
  <c r="CA118" i="129"/>
  <c r="BZ118" i="129"/>
  <c r="BS118" i="129"/>
  <c r="BR118" i="129"/>
  <c r="BN118" i="129"/>
  <c r="AP118" i="129"/>
  <c r="AO118" i="129"/>
  <c r="AN118" i="129"/>
  <c r="AL118" i="129"/>
  <c r="AI118" i="129"/>
  <c r="CL118" i="129" s="1"/>
  <c r="AF118" i="129"/>
  <c r="AC118" i="129"/>
  <c r="CA117" i="129"/>
  <c r="BZ117" i="129"/>
  <c r="BS117" i="129"/>
  <c r="BR117" i="129"/>
  <c r="BN117" i="129"/>
  <c r="AP117" i="129"/>
  <c r="AO117" i="129"/>
  <c r="AN117" i="129"/>
  <c r="AL117" i="129"/>
  <c r="AI117" i="129"/>
  <c r="CL117" i="129" s="1"/>
  <c r="AF117" i="129"/>
  <c r="AC117" i="129"/>
  <c r="CA116" i="129"/>
  <c r="BZ116" i="129"/>
  <c r="BS116" i="129"/>
  <c r="BR116" i="129"/>
  <c r="BN116" i="129"/>
  <c r="AP116" i="129"/>
  <c r="AO116" i="129"/>
  <c r="AN116" i="129"/>
  <c r="AL116" i="129"/>
  <c r="AI116" i="129"/>
  <c r="CL116" i="129" s="1"/>
  <c r="AF116" i="129"/>
  <c r="AC116" i="129"/>
  <c r="CA115" i="129"/>
  <c r="BZ115" i="129"/>
  <c r="BS115" i="129"/>
  <c r="BR115" i="129"/>
  <c r="BN115" i="129"/>
  <c r="AP115" i="129"/>
  <c r="AO115" i="129"/>
  <c r="AN115" i="129"/>
  <c r="AL115" i="129"/>
  <c r="AI115" i="129"/>
  <c r="CL115" i="129" s="1"/>
  <c r="AF115" i="129"/>
  <c r="AC115" i="129"/>
  <c r="CA114" i="129"/>
  <c r="BZ114" i="129"/>
  <c r="BS114" i="129"/>
  <c r="BR114" i="129"/>
  <c r="BN114" i="129"/>
  <c r="AP114" i="129"/>
  <c r="AO114" i="129"/>
  <c r="AN114" i="129"/>
  <c r="AL114" i="129"/>
  <c r="AI114" i="129"/>
  <c r="CL114" i="129" s="1"/>
  <c r="AF114" i="129"/>
  <c r="AC114" i="129"/>
  <c r="CA113" i="129"/>
  <c r="BZ113" i="129"/>
  <c r="BS113" i="129"/>
  <c r="BR113" i="129"/>
  <c r="BN113" i="129"/>
  <c r="AP113" i="129"/>
  <c r="AO113" i="129"/>
  <c r="AN113" i="129"/>
  <c r="AL113" i="129"/>
  <c r="AI113" i="129"/>
  <c r="CL113" i="129" s="1"/>
  <c r="AF113" i="129"/>
  <c r="AC113" i="129"/>
  <c r="CA112" i="129"/>
  <c r="BZ112" i="129"/>
  <c r="BS112" i="129"/>
  <c r="BR112" i="129"/>
  <c r="BN112" i="129"/>
  <c r="AP112" i="129"/>
  <c r="AO112" i="129"/>
  <c r="AN112" i="129"/>
  <c r="AL112" i="129"/>
  <c r="AI112" i="129"/>
  <c r="CL112" i="129" s="1"/>
  <c r="AF112" i="129"/>
  <c r="AC112" i="129"/>
  <c r="CA111" i="129"/>
  <c r="BZ111" i="129"/>
  <c r="BS111" i="129"/>
  <c r="BR111" i="129"/>
  <c r="BN111" i="129"/>
  <c r="AP111" i="129"/>
  <c r="AO111" i="129"/>
  <c r="AN111" i="129"/>
  <c r="AL111" i="129"/>
  <c r="AI111" i="129"/>
  <c r="CL111" i="129" s="1"/>
  <c r="AF111" i="129"/>
  <c r="AC111" i="129"/>
  <c r="CA110" i="129"/>
  <c r="BZ110" i="129"/>
  <c r="BS110" i="129"/>
  <c r="BR110" i="129"/>
  <c r="BN110" i="129"/>
  <c r="AP110" i="129"/>
  <c r="AO110" i="129"/>
  <c r="AN110" i="129"/>
  <c r="AL110" i="129"/>
  <c r="AI110" i="129"/>
  <c r="CL110" i="129" s="1"/>
  <c r="AF110" i="129"/>
  <c r="AC110" i="129"/>
  <c r="CA109" i="129"/>
  <c r="BZ109" i="129"/>
  <c r="BS109" i="129"/>
  <c r="BR109" i="129"/>
  <c r="BN109" i="129"/>
  <c r="AP109" i="129"/>
  <c r="AO109" i="129"/>
  <c r="AN109" i="129"/>
  <c r="AL109" i="129"/>
  <c r="AI109" i="129"/>
  <c r="CL109" i="129" s="1"/>
  <c r="AF109" i="129"/>
  <c r="AC109" i="129"/>
  <c r="CA108" i="129"/>
  <c r="BZ108" i="129"/>
  <c r="BS108" i="129"/>
  <c r="BR108" i="129"/>
  <c r="BN108" i="129"/>
  <c r="AP108" i="129"/>
  <c r="AO108" i="129"/>
  <c r="AN108" i="129"/>
  <c r="AL108" i="129"/>
  <c r="AI108" i="129"/>
  <c r="CL108" i="129" s="1"/>
  <c r="AF108" i="129"/>
  <c r="AC108" i="129"/>
  <c r="CA107" i="129"/>
  <c r="BZ107" i="129"/>
  <c r="BS107" i="129"/>
  <c r="BR107" i="129"/>
  <c r="BN107" i="129"/>
  <c r="AP107" i="129"/>
  <c r="AO107" i="129"/>
  <c r="AN107" i="129"/>
  <c r="AL107" i="129"/>
  <c r="AI107" i="129"/>
  <c r="CL107" i="129" s="1"/>
  <c r="AF107" i="129"/>
  <c r="AC107" i="129"/>
  <c r="CA106" i="129"/>
  <c r="BZ106" i="129"/>
  <c r="BS106" i="129"/>
  <c r="BR106" i="129"/>
  <c r="BN106" i="129"/>
  <c r="AP106" i="129"/>
  <c r="AO106" i="129"/>
  <c r="AN106" i="129"/>
  <c r="AL106" i="129"/>
  <c r="AI106" i="129"/>
  <c r="CL106" i="129" s="1"/>
  <c r="AF106" i="129"/>
  <c r="AC106" i="129"/>
  <c r="CA105" i="129"/>
  <c r="BZ105" i="129"/>
  <c r="BS105" i="129"/>
  <c r="BR105" i="129"/>
  <c r="BN105" i="129"/>
  <c r="AP105" i="129"/>
  <c r="AO105" i="129"/>
  <c r="AN105" i="129"/>
  <c r="AL105" i="129"/>
  <c r="AI105" i="129"/>
  <c r="CL105" i="129" s="1"/>
  <c r="AF105" i="129"/>
  <c r="AC105" i="129"/>
  <c r="CA104" i="129"/>
  <c r="BZ104" i="129"/>
  <c r="BS104" i="129"/>
  <c r="BR104" i="129"/>
  <c r="BN104" i="129"/>
  <c r="AP104" i="129"/>
  <c r="AO104" i="129"/>
  <c r="AN104" i="129"/>
  <c r="AL104" i="129"/>
  <c r="AI104" i="129"/>
  <c r="CL104" i="129" s="1"/>
  <c r="AF104" i="129"/>
  <c r="AC104" i="129"/>
  <c r="CA103" i="129"/>
  <c r="BZ103" i="129"/>
  <c r="BS103" i="129"/>
  <c r="BR103" i="129"/>
  <c r="BN103" i="129"/>
  <c r="AP103" i="129"/>
  <c r="AO103" i="129"/>
  <c r="AN103" i="129"/>
  <c r="AL103" i="129"/>
  <c r="AI103" i="129"/>
  <c r="CL103" i="129" s="1"/>
  <c r="AF103" i="129"/>
  <c r="AC103" i="129"/>
  <c r="CA102" i="129"/>
  <c r="BZ102" i="129"/>
  <c r="BS102" i="129"/>
  <c r="BR102" i="129"/>
  <c r="BN102" i="129"/>
  <c r="AP102" i="129"/>
  <c r="AO102" i="129"/>
  <c r="AN102" i="129"/>
  <c r="AL102" i="129"/>
  <c r="AI102" i="129"/>
  <c r="CL102" i="129" s="1"/>
  <c r="AF102" i="129"/>
  <c r="AC102" i="129"/>
  <c r="CA101" i="129"/>
  <c r="BZ101" i="129"/>
  <c r="BS101" i="129"/>
  <c r="BR101" i="129"/>
  <c r="BN101" i="129"/>
  <c r="AP101" i="129"/>
  <c r="AO101" i="129"/>
  <c r="AN101" i="129"/>
  <c r="AL101" i="129"/>
  <c r="AI101" i="129"/>
  <c r="CL101" i="129" s="1"/>
  <c r="AF101" i="129"/>
  <c r="AC101" i="129"/>
  <c r="CA100" i="129"/>
  <c r="BZ100" i="129"/>
  <c r="BS100" i="129"/>
  <c r="BR100" i="129"/>
  <c r="BN100" i="129"/>
  <c r="AP100" i="129"/>
  <c r="AO100" i="129"/>
  <c r="AN100" i="129"/>
  <c r="AL100" i="129"/>
  <c r="AI100" i="129"/>
  <c r="CL100" i="129" s="1"/>
  <c r="AF100" i="129"/>
  <c r="AC100" i="129"/>
  <c r="CA99" i="129"/>
  <c r="BZ99" i="129"/>
  <c r="BS99" i="129"/>
  <c r="BR99" i="129"/>
  <c r="BN99" i="129"/>
  <c r="AP99" i="129"/>
  <c r="AO99" i="129"/>
  <c r="AN99" i="129"/>
  <c r="AL99" i="129"/>
  <c r="AI99" i="129"/>
  <c r="CL99" i="129" s="1"/>
  <c r="AF99" i="129"/>
  <c r="AC99" i="129"/>
  <c r="CA98" i="129"/>
  <c r="BZ98" i="129"/>
  <c r="BS98" i="129"/>
  <c r="BR98" i="129"/>
  <c r="BN98" i="129"/>
  <c r="AP98" i="129"/>
  <c r="AO98" i="129"/>
  <c r="AN98" i="129"/>
  <c r="AL98" i="129"/>
  <c r="AI98" i="129"/>
  <c r="CL98" i="129" s="1"/>
  <c r="AF98" i="129"/>
  <c r="AC98" i="129"/>
  <c r="CA97" i="129"/>
  <c r="BZ97" i="129"/>
  <c r="BS97" i="129"/>
  <c r="BR97" i="129"/>
  <c r="BN97" i="129"/>
  <c r="AP97" i="129"/>
  <c r="AO97" i="129"/>
  <c r="AN97" i="129"/>
  <c r="AL97" i="129"/>
  <c r="AI97" i="129"/>
  <c r="CL97" i="129" s="1"/>
  <c r="AF97" i="129"/>
  <c r="AC97" i="129"/>
  <c r="CA96" i="129"/>
  <c r="BZ96" i="129"/>
  <c r="BS96" i="129"/>
  <c r="BR96" i="129"/>
  <c r="BN96" i="129"/>
  <c r="AP96" i="129"/>
  <c r="AO96" i="129"/>
  <c r="AN96" i="129"/>
  <c r="AL96" i="129"/>
  <c r="AI96" i="129"/>
  <c r="CL96" i="129" s="1"/>
  <c r="AF96" i="129"/>
  <c r="AC96" i="129"/>
  <c r="CA95" i="129"/>
  <c r="BZ95" i="129"/>
  <c r="BS95" i="129"/>
  <c r="BR95" i="129"/>
  <c r="BN95" i="129"/>
  <c r="AP95" i="129"/>
  <c r="AO95" i="129"/>
  <c r="AN95" i="129"/>
  <c r="AL95" i="129"/>
  <c r="AI95" i="129"/>
  <c r="CL95" i="129" s="1"/>
  <c r="AF95" i="129"/>
  <c r="AC95" i="129"/>
  <c r="CA94" i="129"/>
  <c r="BZ94" i="129"/>
  <c r="BS94" i="129"/>
  <c r="BR94" i="129"/>
  <c r="BN94" i="129"/>
  <c r="AP94" i="129"/>
  <c r="AO94" i="129"/>
  <c r="AN94" i="129"/>
  <c r="AL94" i="129"/>
  <c r="AI94" i="129"/>
  <c r="CL94" i="129" s="1"/>
  <c r="AF94" i="129"/>
  <c r="AC94" i="129"/>
  <c r="CA93" i="129"/>
  <c r="BZ93" i="129"/>
  <c r="BS93" i="129"/>
  <c r="BR93" i="129"/>
  <c r="BN93" i="129"/>
  <c r="AP93" i="129"/>
  <c r="AO93" i="129"/>
  <c r="AN93" i="129"/>
  <c r="AL93" i="129"/>
  <c r="AI93" i="129"/>
  <c r="CL93" i="129" s="1"/>
  <c r="AF93" i="129"/>
  <c r="AC93" i="129"/>
  <c r="CA92" i="129"/>
  <c r="BZ92" i="129"/>
  <c r="BS92" i="129"/>
  <c r="BR92" i="129"/>
  <c r="BN92" i="129"/>
  <c r="AP92" i="129"/>
  <c r="AO92" i="129"/>
  <c r="AN92" i="129"/>
  <c r="AL92" i="129"/>
  <c r="AI92" i="129"/>
  <c r="CL92" i="129" s="1"/>
  <c r="AF92" i="129"/>
  <c r="AC92" i="129"/>
  <c r="CA91" i="129"/>
  <c r="BZ91" i="129"/>
  <c r="BS91" i="129"/>
  <c r="BR91" i="129"/>
  <c r="BN91" i="129"/>
  <c r="AP91" i="129"/>
  <c r="AO91" i="129"/>
  <c r="AN91" i="129"/>
  <c r="AL91" i="129"/>
  <c r="AI91" i="129"/>
  <c r="CL91" i="129" s="1"/>
  <c r="AF91" i="129"/>
  <c r="AC91" i="129"/>
  <c r="CA90" i="129"/>
  <c r="BZ90" i="129"/>
  <c r="BS90" i="129"/>
  <c r="BR90" i="129"/>
  <c r="BN90" i="129"/>
  <c r="AP90" i="129"/>
  <c r="AO90" i="129"/>
  <c r="AN90" i="129"/>
  <c r="AL90" i="129"/>
  <c r="AI90" i="129"/>
  <c r="CL90" i="129" s="1"/>
  <c r="AF90" i="129"/>
  <c r="AC90" i="129"/>
  <c r="CA89" i="129"/>
  <c r="BZ89" i="129"/>
  <c r="BS89" i="129"/>
  <c r="BR89" i="129"/>
  <c r="BN89" i="129"/>
  <c r="AP89" i="129"/>
  <c r="AO89" i="129"/>
  <c r="AN89" i="129"/>
  <c r="AL89" i="129"/>
  <c r="AI89" i="129"/>
  <c r="CL89" i="129" s="1"/>
  <c r="AF89" i="129"/>
  <c r="AC89" i="129"/>
  <c r="CA88" i="129"/>
  <c r="BZ88" i="129"/>
  <c r="BS88" i="129"/>
  <c r="BR88" i="129"/>
  <c r="BN88" i="129"/>
  <c r="AP88" i="129"/>
  <c r="AO88" i="129"/>
  <c r="AN88" i="129"/>
  <c r="AL88" i="129"/>
  <c r="AI88" i="129"/>
  <c r="CL88" i="129" s="1"/>
  <c r="AF88" i="129"/>
  <c r="AC88" i="129"/>
  <c r="CA87" i="129"/>
  <c r="BZ87" i="129"/>
  <c r="BS87" i="129"/>
  <c r="BR87" i="129"/>
  <c r="BN87" i="129"/>
  <c r="AP87" i="129"/>
  <c r="AO87" i="129"/>
  <c r="AN87" i="129"/>
  <c r="AL87" i="129"/>
  <c r="AI87" i="129"/>
  <c r="CL87" i="129" s="1"/>
  <c r="AF87" i="129"/>
  <c r="AC87" i="129"/>
  <c r="CA86" i="129"/>
  <c r="BZ86" i="129"/>
  <c r="BS86" i="129"/>
  <c r="BR86" i="129"/>
  <c r="BN86" i="129"/>
  <c r="AP86" i="129"/>
  <c r="AO86" i="129"/>
  <c r="AN86" i="129"/>
  <c r="AL86" i="129"/>
  <c r="AI86" i="129"/>
  <c r="CL86" i="129" s="1"/>
  <c r="AF86" i="129"/>
  <c r="AC86" i="129"/>
  <c r="CA85" i="129"/>
  <c r="BZ85" i="129"/>
  <c r="BS85" i="129"/>
  <c r="BR85" i="129"/>
  <c r="BN85" i="129"/>
  <c r="AP85" i="129"/>
  <c r="AO85" i="129"/>
  <c r="AN85" i="129"/>
  <c r="AL85" i="129"/>
  <c r="AI85" i="129"/>
  <c r="CL85" i="129" s="1"/>
  <c r="AF85" i="129"/>
  <c r="AC85" i="129"/>
  <c r="CA84" i="129"/>
  <c r="BZ84" i="129"/>
  <c r="BS84" i="129"/>
  <c r="BR84" i="129"/>
  <c r="BN84" i="129"/>
  <c r="AP84" i="129"/>
  <c r="AO84" i="129"/>
  <c r="AN84" i="129"/>
  <c r="AL84" i="129"/>
  <c r="AI84" i="129"/>
  <c r="CL84" i="129" s="1"/>
  <c r="AF84" i="129"/>
  <c r="AC84" i="129"/>
  <c r="CA83" i="129"/>
  <c r="BZ83" i="129"/>
  <c r="BS83" i="129"/>
  <c r="BR83" i="129"/>
  <c r="BN83" i="129"/>
  <c r="AP83" i="129"/>
  <c r="AO83" i="129"/>
  <c r="AN83" i="129"/>
  <c r="AL83" i="129"/>
  <c r="AI83" i="129"/>
  <c r="CL83" i="129" s="1"/>
  <c r="AF83" i="129"/>
  <c r="AC83" i="129"/>
  <c r="CA82" i="129"/>
  <c r="BZ82" i="129"/>
  <c r="BS82" i="129"/>
  <c r="BR82" i="129"/>
  <c r="BN82" i="129"/>
  <c r="AP82" i="129"/>
  <c r="AO82" i="129"/>
  <c r="AN82" i="129"/>
  <c r="AL82" i="129"/>
  <c r="AI82" i="129"/>
  <c r="CL82" i="129" s="1"/>
  <c r="AF82" i="129"/>
  <c r="AC82" i="129"/>
  <c r="CA81" i="129"/>
  <c r="BZ81" i="129"/>
  <c r="BS81" i="129"/>
  <c r="BR81" i="129"/>
  <c r="BN81" i="129"/>
  <c r="AP81" i="129"/>
  <c r="AO81" i="129"/>
  <c r="AN81" i="129"/>
  <c r="AL81" i="129"/>
  <c r="AI81" i="129"/>
  <c r="CL81" i="129" s="1"/>
  <c r="AF81" i="129"/>
  <c r="AC81" i="129"/>
  <c r="CA80" i="129"/>
  <c r="BZ80" i="129"/>
  <c r="BS80" i="129"/>
  <c r="BR80" i="129"/>
  <c r="BN80" i="129"/>
  <c r="AP80" i="129"/>
  <c r="AO80" i="129"/>
  <c r="AN80" i="129"/>
  <c r="AL80" i="129"/>
  <c r="AI80" i="129"/>
  <c r="CL80" i="129" s="1"/>
  <c r="AF80" i="129"/>
  <c r="AC80" i="129"/>
  <c r="CA79" i="129"/>
  <c r="BZ79" i="129"/>
  <c r="BS79" i="129"/>
  <c r="BR79" i="129"/>
  <c r="BN79" i="129"/>
  <c r="AP79" i="129"/>
  <c r="AO79" i="129"/>
  <c r="AN79" i="129"/>
  <c r="AL79" i="129"/>
  <c r="AI79" i="129"/>
  <c r="CL79" i="129" s="1"/>
  <c r="AF79" i="129"/>
  <c r="AC79" i="129"/>
  <c r="CA78" i="129"/>
  <c r="BZ78" i="129"/>
  <c r="BS78" i="129"/>
  <c r="BR78" i="129"/>
  <c r="BN78" i="129"/>
  <c r="AP78" i="129"/>
  <c r="AO78" i="129"/>
  <c r="AN78" i="129"/>
  <c r="AL78" i="129"/>
  <c r="AI78" i="129"/>
  <c r="CL78" i="129" s="1"/>
  <c r="AF78" i="129"/>
  <c r="AC78" i="129"/>
  <c r="CA77" i="129"/>
  <c r="BZ77" i="129"/>
  <c r="BS77" i="129"/>
  <c r="BR77" i="129"/>
  <c r="BN77" i="129"/>
  <c r="AP77" i="129"/>
  <c r="AO77" i="129"/>
  <c r="AN77" i="129"/>
  <c r="AL77" i="129"/>
  <c r="AI77" i="129"/>
  <c r="CL77" i="129" s="1"/>
  <c r="AF77" i="129"/>
  <c r="AC77" i="129"/>
  <c r="CA76" i="129"/>
  <c r="BZ76" i="129"/>
  <c r="BS76" i="129"/>
  <c r="BR76" i="129"/>
  <c r="BN76" i="129"/>
  <c r="AP76" i="129"/>
  <c r="AO76" i="129"/>
  <c r="AN76" i="129"/>
  <c r="AL76" i="129"/>
  <c r="AI76" i="129"/>
  <c r="CL76" i="129" s="1"/>
  <c r="AF76" i="129"/>
  <c r="AC76" i="129"/>
  <c r="CA75" i="129"/>
  <c r="BZ75" i="129"/>
  <c r="BS75" i="129"/>
  <c r="BR75" i="129"/>
  <c r="BN75" i="129"/>
  <c r="AP75" i="129"/>
  <c r="AO75" i="129"/>
  <c r="AN75" i="129"/>
  <c r="AL75" i="129"/>
  <c r="AI75" i="129"/>
  <c r="CL75" i="129" s="1"/>
  <c r="AF75" i="129"/>
  <c r="AC75" i="129"/>
  <c r="CA74" i="129"/>
  <c r="BZ74" i="129"/>
  <c r="BS74" i="129"/>
  <c r="BR74" i="129"/>
  <c r="BN74" i="129"/>
  <c r="AP74" i="129"/>
  <c r="AO74" i="129"/>
  <c r="AN74" i="129"/>
  <c r="AL74" i="129"/>
  <c r="AI74" i="129"/>
  <c r="CL74" i="129" s="1"/>
  <c r="AF74" i="129"/>
  <c r="AC74" i="129"/>
  <c r="CA73" i="129"/>
  <c r="BZ73" i="129"/>
  <c r="BS73" i="129"/>
  <c r="BR73" i="129"/>
  <c r="BN73" i="129"/>
  <c r="AP73" i="129"/>
  <c r="AO73" i="129"/>
  <c r="AN73" i="129"/>
  <c r="AL73" i="129"/>
  <c r="AI73" i="129"/>
  <c r="CL73" i="129" s="1"/>
  <c r="AF73" i="129"/>
  <c r="AC73" i="129"/>
  <c r="CA72" i="129"/>
  <c r="BZ72" i="129"/>
  <c r="BS72" i="129"/>
  <c r="BR72" i="129"/>
  <c r="BN72" i="129"/>
  <c r="AP72" i="129"/>
  <c r="AO72" i="129"/>
  <c r="AN72" i="129"/>
  <c r="AL72" i="129"/>
  <c r="AI72" i="129"/>
  <c r="CL72" i="129" s="1"/>
  <c r="AF72" i="129"/>
  <c r="AC72" i="129"/>
  <c r="CA71" i="129"/>
  <c r="BZ71" i="129"/>
  <c r="BS71" i="129"/>
  <c r="BR71" i="129"/>
  <c r="BN71" i="129"/>
  <c r="AP71" i="129"/>
  <c r="AO71" i="129"/>
  <c r="AN71" i="129"/>
  <c r="AL71" i="129"/>
  <c r="AI71" i="129"/>
  <c r="CL71" i="129" s="1"/>
  <c r="AF71" i="129"/>
  <c r="AC71" i="129"/>
  <c r="CA70" i="129"/>
  <c r="BZ70" i="129"/>
  <c r="BS70" i="129"/>
  <c r="BR70" i="129"/>
  <c r="BN70" i="129"/>
  <c r="AP70" i="129"/>
  <c r="AO70" i="129"/>
  <c r="AN70" i="129"/>
  <c r="AL70" i="129"/>
  <c r="AI70" i="129"/>
  <c r="CL70" i="129" s="1"/>
  <c r="AF70" i="129"/>
  <c r="AC70" i="129"/>
  <c r="CA69" i="129"/>
  <c r="BZ69" i="129"/>
  <c r="BS69" i="129"/>
  <c r="BR69" i="129"/>
  <c r="BN69" i="129"/>
  <c r="AP69" i="129"/>
  <c r="AO69" i="129"/>
  <c r="AN69" i="129"/>
  <c r="AL69" i="129"/>
  <c r="AI69" i="129"/>
  <c r="CL69" i="129" s="1"/>
  <c r="AF69" i="129"/>
  <c r="AC69" i="129"/>
  <c r="CA68" i="129"/>
  <c r="BZ68" i="129"/>
  <c r="BS68" i="129"/>
  <c r="BR68" i="129"/>
  <c r="BN68" i="129"/>
  <c r="AP68" i="129"/>
  <c r="AO68" i="129"/>
  <c r="AN68" i="129"/>
  <c r="AL68" i="129"/>
  <c r="AI68" i="129"/>
  <c r="CL68" i="129" s="1"/>
  <c r="AF68" i="129"/>
  <c r="AC68" i="129"/>
  <c r="CA67" i="129"/>
  <c r="BZ67" i="129"/>
  <c r="BS67" i="129"/>
  <c r="BR67" i="129"/>
  <c r="BN67" i="129"/>
  <c r="AP67" i="129"/>
  <c r="AO67" i="129"/>
  <c r="AN67" i="129"/>
  <c r="AL67" i="129"/>
  <c r="AI67" i="129"/>
  <c r="CL67" i="129" s="1"/>
  <c r="AF67" i="129"/>
  <c r="AC67" i="129"/>
  <c r="CA66" i="129"/>
  <c r="BZ66" i="129"/>
  <c r="BS66" i="129"/>
  <c r="BR66" i="129"/>
  <c r="BN66" i="129"/>
  <c r="AP66" i="129"/>
  <c r="AO66" i="129"/>
  <c r="AN66" i="129"/>
  <c r="AL66" i="129"/>
  <c r="AI66" i="129"/>
  <c r="CL66" i="129" s="1"/>
  <c r="AF66" i="129"/>
  <c r="AC66" i="129"/>
  <c r="CA65" i="129"/>
  <c r="BZ65" i="129"/>
  <c r="BS65" i="129"/>
  <c r="BR65" i="129"/>
  <c r="BN65" i="129"/>
  <c r="AP65" i="129"/>
  <c r="AO65" i="129"/>
  <c r="AN65" i="129"/>
  <c r="AL65" i="129"/>
  <c r="AI65" i="129"/>
  <c r="CL65" i="129" s="1"/>
  <c r="AF65" i="129"/>
  <c r="AC65" i="129"/>
  <c r="CA64" i="129"/>
  <c r="BZ64" i="129"/>
  <c r="BS64" i="129"/>
  <c r="BR64" i="129"/>
  <c r="BN64" i="129"/>
  <c r="AP64" i="129"/>
  <c r="AO64" i="129"/>
  <c r="AN64" i="129"/>
  <c r="AL64" i="129"/>
  <c r="AI64" i="129"/>
  <c r="CL64" i="129" s="1"/>
  <c r="AF64" i="129"/>
  <c r="AC64" i="129"/>
  <c r="CA63" i="129"/>
  <c r="BZ63" i="129"/>
  <c r="BS63" i="129"/>
  <c r="BR63" i="129"/>
  <c r="BN63" i="129"/>
  <c r="AP63" i="129"/>
  <c r="AO63" i="129"/>
  <c r="AN63" i="129"/>
  <c r="AL63" i="129"/>
  <c r="AI63" i="129"/>
  <c r="CL63" i="129" s="1"/>
  <c r="AF63" i="129"/>
  <c r="AC63" i="129"/>
  <c r="CA62" i="129"/>
  <c r="BZ62" i="129"/>
  <c r="BS62" i="129"/>
  <c r="BR62" i="129"/>
  <c r="BN62" i="129"/>
  <c r="AP62" i="129"/>
  <c r="AO62" i="129"/>
  <c r="AN62" i="129"/>
  <c r="AL62" i="129"/>
  <c r="AI62" i="129"/>
  <c r="CL62" i="129" s="1"/>
  <c r="AF62" i="129"/>
  <c r="AC62" i="129"/>
  <c r="CA61" i="129"/>
  <c r="BZ61" i="129"/>
  <c r="BS61" i="129"/>
  <c r="BR61" i="129"/>
  <c r="BN61" i="129"/>
  <c r="AP61" i="129"/>
  <c r="AO61" i="129"/>
  <c r="AN61" i="129"/>
  <c r="AL61" i="129"/>
  <c r="AI61" i="129"/>
  <c r="AF61" i="129"/>
  <c r="AC61" i="129"/>
  <c r="CA60" i="129"/>
  <c r="BS60" i="129"/>
  <c r="BR60" i="129"/>
  <c r="BN60" i="129"/>
  <c r="AP60" i="129"/>
  <c r="AO60" i="129"/>
  <c r="AN60" i="129"/>
  <c r="AL60" i="129"/>
  <c r="AI60" i="129"/>
  <c r="AF60" i="129"/>
  <c r="AC60" i="129"/>
  <c r="CA59" i="129"/>
  <c r="BZ59" i="129"/>
  <c r="BS59" i="129"/>
  <c r="BR59" i="129"/>
  <c r="BN59" i="129"/>
  <c r="AP59" i="129"/>
  <c r="AO59" i="129"/>
  <c r="AN59" i="129"/>
  <c r="AL59" i="129"/>
  <c r="AI59" i="129"/>
  <c r="AF59" i="129"/>
  <c r="AC59" i="129"/>
  <c r="CA58" i="129"/>
  <c r="BZ58" i="129"/>
  <c r="BS58" i="129"/>
  <c r="BR58" i="129"/>
  <c r="BN58" i="129"/>
  <c r="AP58" i="129"/>
  <c r="AO58" i="129"/>
  <c r="AN58" i="129"/>
  <c r="AL58" i="129"/>
  <c r="AI58" i="129"/>
  <c r="AF58" i="129"/>
  <c r="AC58" i="129"/>
  <c r="CA57" i="129"/>
  <c r="BZ57" i="129"/>
  <c r="BS57" i="129"/>
  <c r="BR57" i="129"/>
  <c r="BN57" i="129"/>
  <c r="AP57" i="129"/>
  <c r="AO57" i="129"/>
  <c r="AN57" i="129"/>
  <c r="AL57" i="129"/>
  <c r="AI57" i="129"/>
  <c r="AF57" i="129"/>
  <c r="AC57" i="129"/>
  <c r="CA56" i="129"/>
  <c r="BZ56" i="129"/>
  <c r="BS56" i="129"/>
  <c r="BR56" i="129"/>
  <c r="BN56" i="129"/>
  <c r="AP56" i="129"/>
  <c r="AO56" i="129"/>
  <c r="AN56" i="129"/>
  <c r="AL56" i="129"/>
  <c r="AI56" i="129"/>
  <c r="AF56" i="129"/>
  <c r="AC56" i="129"/>
  <c r="CA55" i="129"/>
  <c r="BZ55" i="129"/>
  <c r="BS55" i="129"/>
  <c r="BR55" i="129"/>
  <c r="BN55" i="129"/>
  <c r="AP55" i="129"/>
  <c r="AO55" i="129"/>
  <c r="AN55" i="129"/>
  <c r="AL55" i="129"/>
  <c r="AI55" i="129"/>
  <c r="AF55" i="129"/>
  <c r="AC55" i="129"/>
  <c r="CA54" i="129"/>
  <c r="BZ54" i="129"/>
  <c r="BS54" i="129"/>
  <c r="BR54" i="129"/>
  <c r="BN54" i="129"/>
  <c r="AP54" i="129"/>
  <c r="AO54" i="129"/>
  <c r="AN54" i="129"/>
  <c r="AL54" i="129"/>
  <c r="AI54" i="129"/>
  <c r="AF54" i="129"/>
  <c r="AC54" i="129"/>
  <c r="CA53" i="129"/>
  <c r="BZ53" i="129"/>
  <c r="BS53" i="129"/>
  <c r="BR53" i="129"/>
  <c r="BN53" i="129"/>
  <c r="AP53" i="129"/>
  <c r="AO53" i="129"/>
  <c r="AN53" i="129"/>
  <c r="AL53" i="129"/>
  <c r="AI53" i="129"/>
  <c r="AF53" i="129"/>
  <c r="AC53" i="129"/>
  <c r="CA52" i="129"/>
  <c r="BZ52" i="129"/>
  <c r="BS52" i="129"/>
  <c r="BR52" i="129"/>
  <c r="BN52" i="129"/>
  <c r="AP52" i="129"/>
  <c r="AO52" i="129"/>
  <c r="AN52" i="129"/>
  <c r="AL52" i="129"/>
  <c r="AI52" i="129"/>
  <c r="AF52" i="129"/>
  <c r="AC52" i="129"/>
  <c r="CA51" i="129"/>
  <c r="BZ51" i="129"/>
  <c r="BS51" i="129"/>
  <c r="BR51" i="129"/>
  <c r="BN51" i="129"/>
  <c r="AP51" i="129"/>
  <c r="AO51" i="129"/>
  <c r="AN51" i="129"/>
  <c r="AL51" i="129"/>
  <c r="AI51" i="129"/>
  <c r="AF51" i="129"/>
  <c r="AC51" i="129"/>
  <c r="CA50" i="129"/>
  <c r="BZ50" i="129"/>
  <c r="BS50" i="129"/>
  <c r="BR50" i="129"/>
  <c r="BN50" i="129"/>
  <c r="AP50" i="129"/>
  <c r="AO50" i="129"/>
  <c r="AN50" i="129"/>
  <c r="AL50" i="129"/>
  <c r="AI50" i="129"/>
  <c r="AF50" i="129"/>
  <c r="AC50" i="129"/>
  <c r="CA49" i="129"/>
  <c r="BZ49" i="129"/>
  <c r="BS49" i="129"/>
  <c r="BR49" i="129"/>
  <c r="BN49" i="129"/>
  <c r="AP49" i="129"/>
  <c r="AO49" i="129"/>
  <c r="AN49" i="129"/>
  <c r="AL49" i="129"/>
  <c r="AI49" i="129"/>
  <c r="AF49" i="129"/>
  <c r="AC49" i="129"/>
  <c r="CA48" i="129"/>
  <c r="BZ48" i="129"/>
  <c r="BS48" i="129"/>
  <c r="BR48" i="129"/>
  <c r="BN48" i="129"/>
  <c r="AP48" i="129"/>
  <c r="AO48" i="129"/>
  <c r="AN48" i="129"/>
  <c r="AL48" i="129"/>
  <c r="AI48" i="129"/>
  <c r="AF48" i="129"/>
  <c r="AC48" i="129"/>
  <c r="CA47" i="129"/>
  <c r="BZ47" i="129"/>
  <c r="BS47" i="129"/>
  <c r="BR47" i="129"/>
  <c r="BN47" i="129"/>
  <c r="AP47" i="129"/>
  <c r="AO47" i="129"/>
  <c r="AN47" i="129"/>
  <c r="AL47" i="129"/>
  <c r="AI47" i="129"/>
  <c r="AF47" i="129"/>
  <c r="AC47" i="129"/>
  <c r="CA46" i="129"/>
  <c r="BZ46" i="129"/>
  <c r="BS46" i="129"/>
  <c r="BR46" i="129"/>
  <c r="BN46" i="129"/>
  <c r="AP46" i="129"/>
  <c r="AO46" i="129"/>
  <c r="AN46" i="129"/>
  <c r="AL46" i="129"/>
  <c r="AI46" i="129"/>
  <c r="AF46" i="129"/>
  <c r="AC46" i="129"/>
  <c r="CA45" i="129"/>
  <c r="BZ45" i="129"/>
  <c r="BS45" i="129"/>
  <c r="BR45" i="129"/>
  <c r="BN45" i="129"/>
  <c r="AP45" i="129"/>
  <c r="AO45" i="129"/>
  <c r="AN45" i="129"/>
  <c r="AL45" i="129"/>
  <c r="AI45" i="129"/>
  <c r="AF45" i="129"/>
  <c r="AC45" i="129"/>
  <c r="CA44" i="129"/>
  <c r="BZ44" i="129"/>
  <c r="BS44" i="129"/>
  <c r="BR44" i="129"/>
  <c r="BN44" i="129"/>
  <c r="AP44" i="129"/>
  <c r="AO44" i="129"/>
  <c r="AN44" i="129"/>
  <c r="AL44" i="129"/>
  <c r="AI44" i="129"/>
  <c r="AF44" i="129"/>
  <c r="AC44" i="129"/>
  <c r="CA43" i="129"/>
  <c r="BZ43" i="129"/>
  <c r="BS43" i="129"/>
  <c r="BR43" i="129"/>
  <c r="BN43" i="129"/>
  <c r="AP43" i="129"/>
  <c r="AO43" i="129"/>
  <c r="AN43" i="129"/>
  <c r="AL43" i="129"/>
  <c r="AI43" i="129"/>
  <c r="AF43" i="129"/>
  <c r="AC43" i="129"/>
  <c r="CA42" i="129"/>
  <c r="BZ42" i="129"/>
  <c r="BS42" i="129"/>
  <c r="BR42" i="129"/>
  <c r="BN42" i="129"/>
  <c r="AP42" i="129"/>
  <c r="AO42" i="129"/>
  <c r="AN42" i="129"/>
  <c r="AL42" i="129"/>
  <c r="AI42" i="129"/>
  <c r="AF42" i="129"/>
  <c r="AC42" i="129"/>
  <c r="CA41" i="129"/>
  <c r="BZ41" i="129"/>
  <c r="BS41" i="129"/>
  <c r="BR41" i="129"/>
  <c r="BN41" i="129"/>
  <c r="AP41" i="129"/>
  <c r="AO41" i="129"/>
  <c r="AN41" i="129"/>
  <c r="AL41" i="129"/>
  <c r="AI41" i="129"/>
  <c r="AF41" i="129"/>
  <c r="AC41" i="129"/>
  <c r="CA40" i="129"/>
  <c r="BZ40" i="129"/>
  <c r="BS40" i="129"/>
  <c r="BR40" i="129"/>
  <c r="BN40" i="129"/>
  <c r="AP40" i="129"/>
  <c r="AO40" i="129"/>
  <c r="AN40" i="129"/>
  <c r="AL40" i="129"/>
  <c r="AI40" i="129"/>
  <c r="AF40" i="129"/>
  <c r="AC40" i="129"/>
  <c r="CA39" i="129"/>
  <c r="BZ39" i="129"/>
  <c r="BS39" i="129"/>
  <c r="BR39" i="129"/>
  <c r="BN39" i="129"/>
  <c r="AP39" i="129"/>
  <c r="AO39" i="129"/>
  <c r="AN39" i="129"/>
  <c r="AL39" i="129"/>
  <c r="AI39" i="129"/>
  <c r="AF39" i="129"/>
  <c r="AC39" i="129"/>
  <c r="CA38" i="129"/>
  <c r="BZ38" i="129"/>
  <c r="BS38" i="129"/>
  <c r="BR38" i="129"/>
  <c r="BN38" i="129"/>
  <c r="AP38" i="129"/>
  <c r="AO38" i="129"/>
  <c r="AN38" i="129"/>
  <c r="AL38" i="129"/>
  <c r="AI38" i="129"/>
  <c r="AF38" i="129"/>
  <c r="AC38" i="129"/>
  <c r="CA37" i="129"/>
  <c r="BZ37" i="129"/>
  <c r="BS37" i="129"/>
  <c r="BR37" i="129"/>
  <c r="BN37" i="129"/>
  <c r="AP37" i="129"/>
  <c r="AO37" i="129"/>
  <c r="AN37" i="129"/>
  <c r="AL37" i="129"/>
  <c r="AI37" i="129"/>
  <c r="AF37" i="129"/>
  <c r="AC37" i="129"/>
  <c r="CA36" i="129"/>
  <c r="BZ36" i="129"/>
  <c r="BS36" i="129"/>
  <c r="BR36" i="129"/>
  <c r="BN36" i="129"/>
  <c r="AP36" i="129"/>
  <c r="AO36" i="129"/>
  <c r="AN36" i="129"/>
  <c r="AL36" i="129"/>
  <c r="AI36" i="129"/>
  <c r="AF36" i="129"/>
  <c r="AC36" i="129"/>
  <c r="CA35" i="129"/>
  <c r="BZ35" i="129"/>
  <c r="BS35" i="129"/>
  <c r="BR35" i="129"/>
  <c r="BN35" i="129"/>
  <c r="AP35" i="129"/>
  <c r="AO35" i="129"/>
  <c r="AN35" i="129"/>
  <c r="AL35" i="129"/>
  <c r="AI35" i="129"/>
  <c r="AF35" i="129"/>
  <c r="AC35" i="129"/>
  <c r="CA33" i="129"/>
  <c r="BZ33" i="129"/>
  <c r="BS33" i="129"/>
  <c r="BR33" i="129"/>
  <c r="BN33" i="129"/>
  <c r="AP33" i="129"/>
  <c r="AO33" i="129"/>
  <c r="AN33" i="129"/>
  <c r="AL33" i="129"/>
  <c r="AI33" i="129"/>
  <c r="AF33" i="129"/>
  <c r="AC33" i="129"/>
  <c r="CA20" i="129"/>
  <c r="BZ20" i="129"/>
  <c r="BS20" i="129"/>
  <c r="BR20" i="129"/>
  <c r="BN20" i="129"/>
  <c r="AP20" i="129"/>
  <c r="AO20" i="129"/>
  <c r="AN20" i="129"/>
  <c r="AL20" i="129"/>
  <c r="AI20" i="129"/>
  <c r="AF20" i="129"/>
  <c r="AC20" i="129"/>
  <c r="CA19" i="129"/>
  <c r="BZ19" i="129"/>
  <c r="BS19" i="129"/>
  <c r="BR19" i="129"/>
  <c r="BN19" i="129"/>
  <c r="AP19" i="129"/>
  <c r="AO19" i="129"/>
  <c r="AN19" i="129"/>
  <c r="AL19" i="129"/>
  <c r="AI19" i="129"/>
  <c r="AF19" i="129"/>
  <c r="AC19" i="129"/>
  <c r="CA26" i="129"/>
  <c r="BZ26" i="129"/>
  <c r="BS26" i="129"/>
  <c r="BR26" i="129"/>
  <c r="BN26" i="129"/>
  <c r="AP26" i="129"/>
  <c r="AO26" i="129"/>
  <c r="AN26" i="129"/>
  <c r="AL26" i="129"/>
  <c r="AI26" i="129"/>
  <c r="AF26" i="129"/>
  <c r="AC26" i="129"/>
  <c r="CA25" i="129"/>
  <c r="BZ25" i="129"/>
  <c r="BS25" i="129"/>
  <c r="BR25" i="129"/>
  <c r="BN25" i="129"/>
  <c r="AP25" i="129"/>
  <c r="AO25" i="129"/>
  <c r="AN25" i="129"/>
  <c r="AL25" i="129"/>
  <c r="AI25" i="129"/>
  <c r="AF25" i="129"/>
  <c r="AC25" i="129"/>
  <c r="CA24" i="129"/>
  <c r="BZ24" i="129"/>
  <c r="BS24" i="129"/>
  <c r="BR24" i="129"/>
  <c r="BN24" i="129"/>
  <c r="AP24" i="129"/>
  <c r="AO24" i="129"/>
  <c r="AN24" i="129"/>
  <c r="AL24" i="129"/>
  <c r="AI24" i="129"/>
  <c r="AF24" i="129"/>
  <c r="AC24" i="129"/>
  <c r="CA23" i="129"/>
  <c r="BZ23" i="129"/>
  <c r="BS23" i="129"/>
  <c r="BR23" i="129"/>
  <c r="BN23" i="129"/>
  <c r="AP23" i="129"/>
  <c r="AO23" i="129"/>
  <c r="AN23" i="129"/>
  <c r="AL23" i="129"/>
  <c r="AI23" i="129"/>
  <c r="AF23" i="129"/>
  <c r="AC23" i="129"/>
  <c r="CA22" i="129"/>
  <c r="BZ22" i="129"/>
  <c r="BS22" i="129"/>
  <c r="BR22" i="129"/>
  <c r="BN22" i="129"/>
  <c r="AP22" i="129"/>
  <c r="AO22" i="129"/>
  <c r="AN22" i="129"/>
  <c r="AL22" i="129"/>
  <c r="AI22" i="129"/>
  <c r="AF22" i="129"/>
  <c r="AC22" i="129"/>
  <c r="CA21" i="129"/>
  <c r="BZ21" i="129"/>
  <c r="BS21" i="129"/>
  <c r="BR21" i="129"/>
  <c r="BN21" i="129"/>
  <c r="AP21" i="129"/>
  <c r="AO21" i="129"/>
  <c r="AN21" i="129"/>
  <c r="AL21" i="129"/>
  <c r="AI21" i="129"/>
  <c r="AF21" i="129"/>
  <c r="AC21" i="129"/>
  <c r="CA32" i="129"/>
  <c r="BZ32" i="129"/>
  <c r="BS32" i="129"/>
  <c r="BR32" i="129"/>
  <c r="BN32" i="129"/>
  <c r="AP32" i="129"/>
  <c r="AO32" i="129"/>
  <c r="AN32" i="129"/>
  <c r="AL32" i="129"/>
  <c r="AI32" i="129"/>
  <c r="AF32" i="129"/>
  <c r="AC32" i="129"/>
  <c r="CA18" i="129"/>
  <c r="BZ18" i="129"/>
  <c r="BS18" i="129"/>
  <c r="BR18" i="129"/>
  <c r="BN18" i="129"/>
  <c r="AP18" i="129"/>
  <c r="AO18" i="129"/>
  <c r="AN18" i="129"/>
  <c r="AL18" i="129"/>
  <c r="AI18" i="129"/>
  <c r="AF18" i="129"/>
  <c r="AC18" i="129"/>
  <c r="CA17" i="129"/>
  <c r="BZ17" i="129"/>
  <c r="BS17" i="129"/>
  <c r="BR17" i="129"/>
  <c r="BN17" i="129"/>
  <c r="AP17" i="129"/>
  <c r="AO17" i="129"/>
  <c r="AN17" i="129"/>
  <c r="AL17" i="129"/>
  <c r="AI17" i="129"/>
  <c r="AF17" i="129"/>
  <c r="AC17" i="129"/>
  <c r="CA16" i="129"/>
  <c r="BZ16" i="129"/>
  <c r="BS16" i="129"/>
  <c r="BR16" i="129"/>
  <c r="BN16" i="129"/>
  <c r="AP16" i="129"/>
  <c r="AO16" i="129"/>
  <c r="AN16" i="129"/>
  <c r="AL16" i="129"/>
  <c r="AI16" i="129"/>
  <c r="AF16" i="129"/>
  <c r="AC16" i="129"/>
  <c r="CA15" i="129"/>
  <c r="BZ15" i="129"/>
  <c r="BS15" i="129"/>
  <c r="BR15" i="129"/>
  <c r="BN15" i="129"/>
  <c r="AP15" i="129"/>
  <c r="AO15" i="129"/>
  <c r="AN15" i="129"/>
  <c r="AL15" i="129"/>
  <c r="AI15" i="129"/>
  <c r="AF15" i="129"/>
  <c r="AC15" i="129"/>
  <c r="CA34" i="129"/>
  <c r="BZ34" i="129"/>
  <c r="BS34" i="129"/>
  <c r="BR34" i="129"/>
  <c r="BN34" i="129"/>
  <c r="AP34" i="129"/>
  <c r="AO34" i="129"/>
  <c r="AN34" i="129"/>
  <c r="AL34" i="129"/>
  <c r="AI34" i="129"/>
  <c r="AF34" i="129"/>
  <c r="AC34" i="129"/>
  <c r="CA30" i="129"/>
  <c r="BZ30" i="129"/>
  <c r="BS30" i="129"/>
  <c r="BR30" i="129"/>
  <c r="BN30" i="129"/>
  <c r="AP30" i="129"/>
  <c r="AO30" i="129"/>
  <c r="AN30" i="129"/>
  <c r="AL30" i="129"/>
  <c r="AI30" i="129"/>
  <c r="AF30" i="129"/>
  <c r="AC30" i="129"/>
  <c r="CA29" i="129"/>
  <c r="BZ29" i="129"/>
  <c r="BS29" i="129"/>
  <c r="BR29" i="129"/>
  <c r="BN29" i="129"/>
  <c r="AP29" i="129"/>
  <c r="AO29" i="129"/>
  <c r="AN29" i="129"/>
  <c r="AL29" i="129"/>
  <c r="AI29" i="129"/>
  <c r="AF29" i="129"/>
  <c r="AC29" i="129"/>
  <c r="CA28" i="129"/>
  <c r="BZ28" i="129"/>
  <c r="BS28" i="129"/>
  <c r="BR28" i="129"/>
  <c r="BN28" i="129"/>
  <c r="AP28" i="129"/>
  <c r="AO28" i="129"/>
  <c r="AN28" i="129"/>
  <c r="AL28" i="129"/>
  <c r="AI28" i="129"/>
  <c r="AF28" i="129"/>
  <c r="AC28" i="129"/>
  <c r="CA27" i="129"/>
  <c r="BZ27" i="129"/>
  <c r="BS27" i="129"/>
  <c r="BR27" i="129"/>
  <c r="BN27" i="129"/>
  <c r="AP27" i="129"/>
  <c r="AO27" i="129"/>
  <c r="AN27" i="129"/>
  <c r="AL27" i="129"/>
  <c r="AI27" i="129"/>
  <c r="AF27" i="129"/>
  <c r="AC27" i="129"/>
  <c r="CA14" i="129"/>
  <c r="BZ14" i="129"/>
  <c r="BS14" i="129"/>
  <c r="BR14" i="129"/>
  <c r="BN14" i="129"/>
  <c r="AP14" i="129"/>
  <c r="AO14" i="129"/>
  <c r="AN14" i="129"/>
  <c r="AL14" i="129"/>
  <c r="AI14" i="129"/>
  <c r="AF14" i="129"/>
  <c r="AC14" i="129"/>
  <c r="CA13" i="129"/>
  <c r="BZ13" i="129"/>
  <c r="BS13" i="129"/>
  <c r="BR13" i="129"/>
  <c r="BN13" i="129"/>
  <c r="AP13" i="129"/>
  <c r="AO13" i="129"/>
  <c r="AN13" i="129"/>
  <c r="AL13" i="129"/>
  <c r="AI13" i="129"/>
  <c r="AF13" i="129"/>
  <c r="AC13" i="129"/>
  <c r="CA12" i="129"/>
  <c r="BZ12" i="129"/>
  <c r="BS12" i="129"/>
  <c r="BR12" i="129"/>
  <c r="BN12" i="129"/>
  <c r="AP12" i="129"/>
  <c r="AO12" i="129"/>
  <c r="AN12" i="129"/>
  <c r="AL12" i="129"/>
  <c r="AI12" i="129"/>
  <c r="AF12" i="129"/>
  <c r="AC12" i="129"/>
  <c r="CA8" i="129"/>
  <c r="BZ8" i="129"/>
  <c r="BS8" i="129"/>
  <c r="BR8" i="129"/>
  <c r="BN8" i="129"/>
  <c r="AP8" i="129"/>
  <c r="AO8" i="129"/>
  <c r="AN8" i="129"/>
  <c r="AL8" i="129"/>
  <c r="AI8" i="129"/>
  <c r="AF8" i="129"/>
  <c r="AC8" i="129"/>
  <c r="CA31" i="129"/>
  <c r="BZ31" i="129"/>
  <c r="BS31" i="129"/>
  <c r="BR31" i="129"/>
  <c r="BN31" i="129"/>
  <c r="AP31" i="129"/>
  <c r="AO31" i="129"/>
  <c r="AN31" i="129"/>
  <c r="AL31" i="129"/>
  <c r="AI31" i="129"/>
  <c r="AF31" i="129"/>
  <c r="AC31" i="129"/>
  <c r="CA7" i="129"/>
  <c r="BZ7" i="129"/>
  <c r="BS7" i="129"/>
  <c r="BR7" i="129"/>
  <c r="BN7" i="129"/>
  <c r="AP7" i="129"/>
  <c r="AO7" i="129"/>
  <c r="AN7" i="129"/>
  <c r="AL7" i="129"/>
  <c r="AI7" i="129"/>
  <c r="AF7" i="129"/>
  <c r="AC7" i="129"/>
  <c r="CA6" i="129"/>
  <c r="BZ6" i="129"/>
  <c r="BS6" i="129"/>
  <c r="BR6" i="129"/>
  <c r="BN6" i="129"/>
  <c r="AP6" i="129"/>
  <c r="AO6" i="129"/>
  <c r="AN6" i="129"/>
  <c r="AL6" i="129"/>
  <c r="AI6" i="129"/>
  <c r="AF6" i="129"/>
  <c r="AC6" i="129"/>
  <c r="CA5" i="129"/>
  <c r="BZ5" i="129"/>
  <c r="BS5" i="129"/>
  <c r="BR5" i="129"/>
  <c r="BN5" i="129"/>
  <c r="AP5" i="129"/>
  <c r="AO5" i="129"/>
  <c r="AN5" i="129"/>
  <c r="AL5" i="129"/>
  <c r="AI5" i="129"/>
  <c r="AF5" i="129"/>
  <c r="AC5" i="129"/>
  <c r="CA4" i="129"/>
  <c r="BZ4" i="129"/>
  <c r="BS4" i="129"/>
  <c r="BR4" i="129"/>
  <c r="BN4" i="129"/>
  <c r="AP4" i="129"/>
  <c r="AO4" i="129"/>
  <c r="AN4" i="129"/>
  <c r="AL4" i="129"/>
  <c r="AI4" i="129"/>
  <c r="AF4" i="129"/>
  <c r="AC4" i="129"/>
  <c r="CA3" i="129"/>
  <c r="BZ3" i="129"/>
  <c r="BS3" i="129"/>
  <c r="BR3" i="129"/>
  <c r="BN3" i="129"/>
  <c r="AP3" i="129"/>
  <c r="AO3" i="129"/>
  <c r="AN3" i="129"/>
  <c r="AI3" i="129"/>
  <c r="AF3" i="129"/>
  <c r="AC3" i="129"/>
  <c r="CL34" i="129" l="1"/>
  <c r="CL25" i="129"/>
  <c r="CL37" i="129"/>
  <c r="CL41" i="129"/>
  <c r="CL45" i="129"/>
  <c r="CL24" i="129"/>
  <c r="CL23" i="129"/>
  <c r="CL22" i="129"/>
  <c r="CL61" i="129"/>
  <c r="CL32" i="129"/>
  <c r="CL6" i="129"/>
  <c r="CL18" i="129"/>
  <c r="CL60" i="129"/>
  <c r="CL36" i="129"/>
  <c r="CL52" i="129"/>
  <c r="CL59" i="129"/>
  <c r="CL49" i="129"/>
  <c r="CL58" i="129"/>
  <c r="CL48" i="129"/>
  <c r="CL57" i="129"/>
  <c r="CL4" i="129"/>
  <c r="CL29" i="129"/>
  <c r="CL16" i="129"/>
  <c r="CL35" i="129"/>
  <c r="CL47" i="129"/>
  <c r="CL56" i="129"/>
  <c r="CL27" i="129"/>
  <c r="CL30" i="129"/>
  <c r="CL17" i="129"/>
  <c r="CL13" i="129"/>
  <c r="CL15" i="129"/>
  <c r="CL21" i="129"/>
  <c r="CL7" i="129"/>
  <c r="CL3" i="129"/>
  <c r="CL8" i="129"/>
  <c r="CL53" i="129"/>
  <c r="CL31" i="129"/>
  <c r="CL14" i="129"/>
  <c r="CL40" i="129"/>
  <c r="CL55" i="129"/>
  <c r="CL38" i="129"/>
  <c r="CL42" i="129"/>
  <c r="CL50" i="129"/>
  <c r="CL54" i="129"/>
  <c r="CL20" i="129"/>
  <c r="CL19" i="129"/>
  <c r="CL44" i="129"/>
  <c r="CL5" i="129"/>
  <c r="CL39" i="129"/>
  <c r="CL43" i="129"/>
  <c r="CL51" i="129"/>
  <c r="CL12" i="129"/>
  <c r="CL28" i="129"/>
  <c r="CL33" i="129"/>
  <c r="CL46" i="129"/>
  <c r="CL26" i="129"/>
  <c r="BM287" i="129"/>
  <c r="BM13" i="129"/>
  <c r="BM234" i="129"/>
  <c r="BM466" i="129"/>
  <c r="BM506" i="129"/>
  <c r="BM634" i="129"/>
  <c r="BM658" i="129"/>
  <c r="BM754" i="129"/>
  <c r="BM850" i="129"/>
  <c r="BM874" i="129"/>
  <c r="BM339" i="129"/>
  <c r="BM756" i="129"/>
  <c r="BM780" i="129"/>
  <c r="BM836" i="129"/>
  <c r="BM852" i="129"/>
  <c r="BM868" i="129"/>
  <c r="BM196" i="129"/>
  <c r="BM220" i="129"/>
  <c r="BM612" i="129"/>
  <c r="BM628" i="129"/>
  <c r="BM708" i="129"/>
  <c r="BM317" i="129"/>
  <c r="BM871" i="129"/>
  <c r="BM448" i="129"/>
  <c r="BM121" i="129"/>
  <c r="BM153" i="129"/>
  <c r="BM5" i="129"/>
  <c r="BM179" i="129"/>
  <c r="BM459" i="129"/>
  <c r="BM53" i="129"/>
  <c r="BM85" i="129"/>
  <c r="BM340" i="129"/>
  <c r="BM493" i="129"/>
  <c r="BM572" i="129"/>
  <c r="BM214" i="129"/>
  <c r="BM535" i="129"/>
  <c r="BM512" i="129"/>
  <c r="BM544" i="129"/>
  <c r="BM656" i="129"/>
  <c r="BM106" i="129"/>
  <c r="BM146" i="129"/>
  <c r="BM226" i="129"/>
  <c r="BM474" i="129"/>
  <c r="BM38" i="129"/>
  <c r="BM730" i="129"/>
  <c r="BM747" i="129"/>
  <c r="BM54" i="129"/>
  <c r="BM118" i="129"/>
  <c r="BM150" i="129"/>
  <c r="BM182" i="129"/>
  <c r="BM452" i="129"/>
  <c r="BM524" i="129"/>
  <c r="BM28" i="129"/>
  <c r="BM238" i="129"/>
  <c r="BM476" i="129"/>
  <c r="BM517" i="129"/>
  <c r="BM557" i="129"/>
  <c r="BM397" i="129"/>
  <c r="BM541" i="129"/>
  <c r="BM580" i="129"/>
  <c r="BM605" i="129"/>
  <c r="BM645" i="129"/>
  <c r="BM741" i="129"/>
  <c r="BM845" i="129"/>
  <c r="BM80" i="129"/>
  <c r="BM128" i="129"/>
  <c r="BM168" i="129"/>
  <c r="BM247" i="129"/>
  <c r="BM470" i="129"/>
  <c r="BM32" i="129"/>
  <c r="BM41" i="129"/>
  <c r="BM359" i="129"/>
  <c r="BM390" i="129"/>
  <c r="BM423" i="129"/>
  <c r="BM439" i="129"/>
  <c r="BM686" i="129"/>
  <c r="BM288" i="129"/>
  <c r="BM296" i="129"/>
  <c r="BM320" i="129"/>
  <c r="BM384" i="129"/>
  <c r="BM400" i="129"/>
  <c r="BM408" i="129"/>
  <c r="BM591" i="129"/>
  <c r="BM647" i="129"/>
  <c r="BM743" i="129"/>
  <c r="BM791" i="129"/>
  <c r="BM89" i="129"/>
  <c r="BM105" i="129"/>
  <c r="BM185" i="129"/>
  <c r="BM887" i="129"/>
  <c r="BM163" i="129"/>
  <c r="BM282" i="129"/>
  <c r="BM832" i="129"/>
  <c r="BM36" i="129"/>
  <c r="BM314" i="129"/>
  <c r="BM410" i="129"/>
  <c r="BM521" i="129"/>
  <c r="BM585" i="129"/>
  <c r="BM641" i="129"/>
  <c r="BM849" i="129"/>
  <c r="BM4" i="129"/>
  <c r="BM776" i="129"/>
  <c r="BM820" i="129"/>
  <c r="BM313" i="129"/>
  <c r="BM460" i="129"/>
  <c r="BM501" i="129"/>
  <c r="BM582" i="129"/>
  <c r="BM717" i="129"/>
  <c r="BM732" i="129"/>
  <c r="BM740" i="129"/>
  <c r="BM685" i="129"/>
  <c r="BM6" i="129"/>
  <c r="BM57" i="129"/>
  <c r="BM198" i="129"/>
  <c r="BM300" i="129"/>
  <c r="BM372" i="129"/>
  <c r="BM381" i="129"/>
  <c r="BM613" i="129"/>
  <c r="BM725" i="129"/>
  <c r="BM815" i="129"/>
  <c r="BM12" i="129"/>
  <c r="BM374" i="129"/>
  <c r="BM538" i="129"/>
  <c r="BM607" i="129"/>
  <c r="BM786" i="129"/>
  <c r="BM831" i="129"/>
  <c r="BM847" i="129"/>
  <c r="BM870" i="129"/>
  <c r="BM52" i="129"/>
  <c r="BM65" i="129"/>
  <c r="BM73" i="129"/>
  <c r="BM101" i="129"/>
  <c r="BM130" i="129"/>
  <c r="BM265" i="129"/>
  <c r="BM367" i="129"/>
  <c r="BM412" i="129"/>
  <c r="BM432" i="129"/>
  <c r="BM440" i="129"/>
  <c r="BM489" i="129"/>
  <c r="BM518" i="129"/>
  <c r="BM592" i="129"/>
  <c r="BM644" i="129"/>
  <c r="BM719" i="129"/>
  <c r="BM734" i="129"/>
  <c r="BM778" i="129"/>
  <c r="BM124" i="129"/>
  <c r="BM164" i="129"/>
  <c r="BM200" i="129"/>
  <c r="BM207" i="129"/>
  <c r="BM375" i="129"/>
  <c r="BM483" i="129"/>
  <c r="BM570" i="129"/>
  <c r="BM727" i="129"/>
  <c r="BM795" i="129"/>
  <c r="BM855" i="129"/>
  <c r="BM863" i="129"/>
  <c r="BM74" i="129"/>
  <c r="BM178" i="129"/>
  <c r="BM266" i="129"/>
  <c r="BM330" i="129"/>
  <c r="BM361" i="129"/>
  <c r="BM441" i="129"/>
  <c r="BM132" i="129"/>
  <c r="BM201" i="129"/>
  <c r="BM230" i="129"/>
  <c r="BM244" i="129"/>
  <c r="BM346" i="129"/>
  <c r="BM391" i="129"/>
  <c r="BM399" i="129"/>
  <c r="BM469" i="129"/>
  <c r="BM491" i="129"/>
  <c r="BM498" i="129"/>
  <c r="BM765" i="129"/>
  <c r="BM788" i="129"/>
  <c r="BM564" i="129"/>
  <c r="BM615" i="129"/>
  <c r="BM646" i="129"/>
  <c r="BM653" i="129"/>
  <c r="BM721" i="129"/>
  <c r="BM237" i="129"/>
  <c r="BM456" i="129"/>
  <c r="BM527" i="129"/>
  <c r="BM586" i="129"/>
  <c r="BM654" i="129"/>
  <c r="BM706" i="129"/>
  <c r="BM767" i="129"/>
  <c r="BM834" i="129"/>
  <c r="BM857" i="129"/>
  <c r="BM865" i="129"/>
  <c r="BM68" i="129"/>
  <c r="BM76" i="129"/>
  <c r="BM91" i="129"/>
  <c r="BM181" i="129"/>
  <c r="BM223" i="129"/>
  <c r="BM224" i="129"/>
  <c r="BM268" i="129"/>
  <c r="BM355" i="129"/>
  <c r="BM457" i="129"/>
  <c r="BM534" i="129"/>
  <c r="BM722" i="129"/>
  <c r="BM166" i="129"/>
  <c r="BM378" i="129"/>
  <c r="BM421" i="129"/>
  <c r="BM631" i="129"/>
  <c r="BM707" i="129"/>
  <c r="BM753" i="129"/>
  <c r="BM842" i="129"/>
  <c r="BM843" i="129"/>
  <c r="BM873" i="129"/>
  <c r="BM35" i="129"/>
  <c r="BM84" i="129"/>
  <c r="BM134" i="129"/>
  <c r="BM147" i="129"/>
  <c r="BM217" i="129"/>
  <c r="BM225" i="129"/>
  <c r="BM269" i="129"/>
  <c r="BM486" i="129"/>
  <c r="BM618" i="129"/>
  <c r="BM625" i="129"/>
  <c r="BM813" i="129"/>
  <c r="BM21" i="129"/>
  <c r="BM15" i="129"/>
  <c r="BM16" i="129"/>
  <c r="BM596" i="129"/>
  <c r="BM792" i="129"/>
  <c r="BM881" i="129"/>
  <c r="BM39" i="129"/>
  <c r="BM50" i="129"/>
  <c r="BM102" i="129"/>
  <c r="BM116" i="129"/>
  <c r="BM191" i="129"/>
  <c r="BM199" i="129"/>
  <c r="BM218" i="129"/>
  <c r="BM291" i="129"/>
  <c r="BM311" i="129"/>
  <c r="BM393" i="129"/>
  <c r="BM420" i="129"/>
  <c r="BM490" i="129"/>
  <c r="BM496" i="129"/>
  <c r="BM516" i="129"/>
  <c r="BM542" i="129"/>
  <c r="BM548" i="129"/>
  <c r="BM576" i="129"/>
  <c r="BM671" i="129"/>
  <c r="BM705" i="129"/>
  <c r="BM733" i="129"/>
  <c r="BM746" i="129"/>
  <c r="BM766" i="129"/>
  <c r="BM772" i="129"/>
  <c r="BM779" i="129"/>
  <c r="BM861" i="129"/>
  <c r="BM438" i="129"/>
  <c r="BM34" i="129"/>
  <c r="BM22" i="129"/>
  <c r="BM51" i="129"/>
  <c r="BM83" i="129"/>
  <c r="BM103" i="129"/>
  <c r="BM131" i="129"/>
  <c r="BM167" i="129"/>
  <c r="BM362" i="129"/>
  <c r="BM583" i="129"/>
  <c r="BM606" i="129"/>
  <c r="BM619" i="129"/>
  <c r="BM678" i="129"/>
  <c r="BM698" i="129"/>
  <c r="BM759" i="129"/>
  <c r="BM794" i="129"/>
  <c r="BM807" i="129"/>
  <c r="BM814" i="129"/>
  <c r="BM869" i="129"/>
  <c r="BM884" i="129"/>
  <c r="BM333" i="129"/>
  <c r="BM394" i="129"/>
  <c r="BM70" i="129"/>
  <c r="BM327" i="129"/>
  <c r="BM660" i="129"/>
  <c r="BM673" i="129"/>
  <c r="BM679" i="129"/>
  <c r="BM687" i="129"/>
  <c r="BM700" i="129"/>
  <c r="BM742" i="129"/>
  <c r="BM768" i="129"/>
  <c r="BM781" i="129"/>
  <c r="BM809" i="129"/>
  <c r="BM885" i="129"/>
  <c r="BM285" i="129"/>
  <c r="BM92" i="129"/>
  <c r="BM97" i="129"/>
  <c r="BM98" i="129"/>
  <c r="BM140" i="129"/>
  <c r="BM151" i="129"/>
  <c r="BM169" i="129"/>
  <c r="BM193" i="129"/>
  <c r="BM202" i="129"/>
  <c r="BM245" i="129"/>
  <c r="BM267" i="129"/>
  <c r="BM293" i="129"/>
  <c r="BM328" i="129"/>
  <c r="BM335" i="129"/>
  <c r="BM343" i="129"/>
  <c r="BM447" i="129"/>
  <c r="BM537" i="129"/>
  <c r="BM714" i="129"/>
  <c r="BM844" i="129"/>
  <c r="BM864" i="129"/>
  <c r="BM877" i="129"/>
  <c r="BM347" i="129"/>
  <c r="BM503" i="129"/>
  <c r="BM17" i="129"/>
  <c r="BM47" i="129"/>
  <c r="BM86" i="129"/>
  <c r="BM227" i="129"/>
  <c r="BM233" i="129"/>
  <c r="BM274" i="129"/>
  <c r="BM301" i="129"/>
  <c r="BM308" i="129"/>
  <c r="BM315" i="129"/>
  <c r="BM357" i="129"/>
  <c r="BM370" i="129"/>
  <c r="BM389" i="129"/>
  <c r="BM473" i="129"/>
  <c r="BM505" i="129"/>
  <c r="BM621" i="129"/>
  <c r="BM635" i="129"/>
  <c r="BM674" i="129"/>
  <c r="BM680" i="129"/>
  <c r="BM769" i="129"/>
  <c r="BM782" i="129"/>
  <c r="BM377" i="129"/>
  <c r="BM418" i="129"/>
  <c r="BM467" i="129"/>
  <c r="BM519" i="129"/>
  <c r="BM532" i="129"/>
  <c r="BM629" i="129"/>
  <c r="BM694" i="129"/>
  <c r="BM709" i="129"/>
  <c r="BM775" i="129"/>
  <c r="BM797" i="129"/>
  <c r="BM27" i="129"/>
  <c r="BM113" i="129"/>
  <c r="BM240" i="129"/>
  <c r="BM316" i="129"/>
  <c r="BM358" i="129"/>
  <c r="BM559" i="129"/>
  <c r="BM587" i="129"/>
  <c r="BM622" i="129"/>
  <c r="BM688" i="129"/>
  <c r="BM723" i="129"/>
  <c r="BM762" i="129"/>
  <c r="BM823" i="129"/>
  <c r="BM111" i="129"/>
  <c r="BM402" i="129"/>
  <c r="BM99" i="129"/>
  <c r="BM281" i="129"/>
  <c r="BM336" i="129"/>
  <c r="BM405" i="129"/>
  <c r="BM507" i="129"/>
  <c r="BM675" i="129"/>
  <c r="BM858" i="129"/>
  <c r="BM212" i="129"/>
  <c r="BM341" i="129"/>
  <c r="BM66" i="129"/>
  <c r="BM93" i="129"/>
  <c r="BM114" i="129"/>
  <c r="BM295" i="129"/>
  <c r="BM413" i="129"/>
  <c r="BM462" i="129"/>
  <c r="BM567" i="129"/>
  <c r="BM637" i="129"/>
  <c r="BM683" i="129"/>
  <c r="BM695" i="129"/>
  <c r="BM710" i="129"/>
  <c r="BM751" i="129"/>
  <c r="BM757" i="129"/>
  <c r="BM764" i="129"/>
  <c r="BM784" i="129"/>
  <c r="BM798" i="129"/>
  <c r="BM818" i="129"/>
  <c r="BM824" i="129"/>
  <c r="BM880" i="129"/>
  <c r="BM292" i="129"/>
  <c r="BM37" i="129"/>
  <c r="BM55" i="129"/>
  <c r="BM100" i="129"/>
  <c r="BM136" i="129"/>
  <c r="BM159" i="129"/>
  <c r="BM183" i="129"/>
  <c r="BM197" i="129"/>
  <c r="BM216" i="129"/>
  <c r="BM235" i="129"/>
  <c r="BM270" i="129"/>
  <c r="BM338" i="129"/>
  <c r="BM406" i="129"/>
  <c r="BM431" i="129"/>
  <c r="BM455" i="129"/>
  <c r="BM616" i="129"/>
  <c r="BM724" i="129"/>
  <c r="BM812" i="129"/>
  <c r="BM846" i="129"/>
  <c r="BM867" i="129"/>
  <c r="BM543" i="129"/>
  <c r="BM599" i="129"/>
  <c r="BM26" i="129"/>
  <c r="BM67" i="129"/>
  <c r="BM148" i="129"/>
  <c r="BM160" i="129"/>
  <c r="BM242" i="129"/>
  <c r="BM276" i="129"/>
  <c r="BM297" i="129"/>
  <c r="BM345" i="129"/>
  <c r="BM360" i="129"/>
  <c r="BM414" i="129"/>
  <c r="BM425" i="129"/>
  <c r="BM463" i="129"/>
  <c r="BM495" i="129"/>
  <c r="BM604" i="129"/>
  <c r="BM651" i="129"/>
  <c r="BM663" i="129"/>
  <c r="BM690" i="129"/>
  <c r="BM785" i="129"/>
  <c r="BM826" i="129"/>
  <c r="BM839" i="129"/>
  <c r="BM8" i="129"/>
  <c r="BM520" i="129"/>
  <c r="BM525" i="129"/>
  <c r="BM666" i="129"/>
  <c r="BM31" i="129"/>
  <c r="BM173" i="129"/>
  <c r="BM260" i="129"/>
  <c r="BM177" i="129"/>
  <c r="BM115" i="129"/>
  <c r="BM152" i="129"/>
  <c r="BM165" i="129"/>
  <c r="BM246" i="129"/>
  <c r="BM294" i="129"/>
  <c r="BM426" i="129"/>
  <c r="BM475" i="129"/>
  <c r="BM526" i="129"/>
  <c r="BM676" i="129"/>
  <c r="BM422" i="129"/>
  <c r="BM25" i="129"/>
  <c r="BM149" i="129"/>
  <c r="BM157" i="129"/>
  <c r="BM243" i="129"/>
  <c r="BM348" i="129"/>
  <c r="BM655" i="129"/>
  <c r="BM711" i="129"/>
  <c r="BM137" i="129"/>
  <c r="BM145" i="129"/>
  <c r="BM184" i="129"/>
  <c r="BM277" i="129"/>
  <c r="BM325" i="129"/>
  <c r="BM411" i="129"/>
  <c r="BM415" i="129"/>
  <c r="BM504" i="129"/>
  <c r="BM642" i="129"/>
  <c r="BM692" i="129"/>
  <c r="BM30" i="129"/>
  <c r="BM58" i="129"/>
  <c r="BM373" i="129"/>
  <c r="BM450" i="129"/>
  <c r="BM180" i="129"/>
  <c r="BM464" i="129"/>
  <c r="BM500" i="129"/>
  <c r="BM602" i="129"/>
  <c r="BM189" i="129"/>
  <c r="BM365" i="129"/>
  <c r="BM42" i="129"/>
  <c r="BM59" i="129"/>
  <c r="BM307" i="129"/>
  <c r="BM442" i="129"/>
  <c r="BM451" i="129"/>
  <c r="BM551" i="129"/>
  <c r="BM571" i="129"/>
  <c r="BM804" i="129"/>
  <c r="BM601" i="129"/>
  <c r="BM696" i="129"/>
  <c r="BM108" i="129"/>
  <c r="BM251" i="129"/>
  <c r="BM256" i="129"/>
  <c r="BM290" i="129"/>
  <c r="BM324" i="129"/>
  <c r="BM454" i="129"/>
  <c r="BM550" i="129"/>
  <c r="BM555" i="129"/>
  <c r="BM593" i="129"/>
  <c r="BM597" i="129"/>
  <c r="BM650" i="129"/>
  <c r="BM715" i="129"/>
  <c r="BM737" i="129"/>
  <c r="BM750" i="129"/>
  <c r="BM763" i="129"/>
  <c r="BM821" i="129"/>
  <c r="BM830" i="129"/>
  <c r="BM882" i="129"/>
  <c r="BM33" i="129"/>
  <c r="BM79" i="129"/>
  <c r="BM87" i="129"/>
  <c r="BM120" i="129"/>
  <c r="BM205" i="129"/>
  <c r="BM209" i="129"/>
  <c r="BM353" i="129"/>
  <c r="BM484" i="129"/>
  <c r="BM63" i="129"/>
  <c r="BM71" i="129"/>
  <c r="BM96" i="129"/>
  <c r="BM104" i="129"/>
  <c r="BM112" i="129"/>
  <c r="BM261" i="129"/>
  <c r="BM278" i="129"/>
  <c r="BM286" i="129"/>
  <c r="BM303" i="129"/>
  <c r="BM329" i="129"/>
  <c r="BM435" i="129"/>
  <c r="BM443" i="129"/>
  <c r="BM471" i="129"/>
  <c r="BM480" i="129"/>
  <c r="BM488" i="129"/>
  <c r="BM530" i="129"/>
  <c r="BM584" i="129"/>
  <c r="BM589" i="129"/>
  <c r="BM611" i="129"/>
  <c r="BM620" i="129"/>
  <c r="BM624" i="129"/>
  <c r="BM632" i="129"/>
  <c r="BM667" i="129"/>
  <c r="BM689" i="129"/>
  <c r="BM693" i="129"/>
  <c r="BM702" i="129"/>
  <c r="BM790" i="129"/>
  <c r="BM799" i="129"/>
  <c r="BM848" i="129"/>
  <c r="BM856" i="129"/>
  <c r="BM878" i="129"/>
  <c r="BM817" i="129"/>
  <c r="BM141" i="129"/>
  <c r="BM161" i="129"/>
  <c r="BM206" i="129"/>
  <c r="BM210" i="129"/>
  <c r="BM219" i="129"/>
  <c r="BM304" i="129"/>
  <c r="BM481" i="129"/>
  <c r="BM522" i="129"/>
  <c r="BM539" i="129"/>
  <c r="BM556" i="129"/>
  <c r="BM577" i="129"/>
  <c r="BM581" i="129"/>
  <c r="BM594" i="129"/>
  <c r="BM598" i="129"/>
  <c r="BM633" i="129"/>
  <c r="BM638" i="129"/>
  <c r="BM668" i="129"/>
  <c r="BM703" i="129"/>
  <c r="BM720" i="129"/>
  <c r="BM728" i="129"/>
  <c r="BM738" i="129"/>
  <c r="BM773" i="129"/>
  <c r="BM808" i="129"/>
  <c r="BM853" i="129"/>
  <c r="BM862" i="129"/>
  <c r="BM866" i="129"/>
  <c r="BM14" i="129"/>
  <c r="BM64" i="129"/>
  <c r="BM117" i="129"/>
  <c r="BM125" i="129"/>
  <c r="BM129" i="129"/>
  <c r="BM133" i="129"/>
  <c r="BM154" i="129"/>
  <c r="BM170" i="129"/>
  <c r="BM186" i="129"/>
  <c r="BM215" i="129"/>
  <c r="BM231" i="129"/>
  <c r="BM248" i="129"/>
  <c r="BM252" i="129"/>
  <c r="BM309" i="129"/>
  <c r="BM354" i="129"/>
  <c r="BM383" i="129"/>
  <c r="BM387" i="129"/>
  <c r="BM424" i="129"/>
  <c r="BM428" i="129"/>
  <c r="BM468" i="129"/>
  <c r="BM472" i="129"/>
  <c r="BM477" i="129"/>
  <c r="BM560" i="129"/>
  <c r="BM573" i="129"/>
  <c r="BM590" i="129"/>
  <c r="BM603" i="129"/>
  <c r="BM608" i="129"/>
  <c r="BM677" i="129"/>
  <c r="BM23" i="129"/>
  <c r="BM44" i="129"/>
  <c r="BM48" i="129"/>
  <c r="BM60" i="129"/>
  <c r="BM109" i="129"/>
  <c r="BM138" i="129"/>
  <c r="BM194" i="129"/>
  <c r="BM262" i="129"/>
  <c r="BM326" i="129"/>
  <c r="BM342" i="129"/>
  <c r="BM395" i="129"/>
  <c r="BM407" i="129"/>
  <c r="BM416" i="129"/>
  <c r="BM643" i="129"/>
  <c r="BM787" i="129"/>
  <c r="BM800" i="129"/>
  <c r="BM805" i="129"/>
  <c r="BM827" i="129"/>
  <c r="BM840" i="129"/>
  <c r="BM875" i="129"/>
  <c r="BM879" i="129"/>
  <c r="BM888" i="129"/>
  <c r="BM18" i="129"/>
  <c r="BM19" i="129"/>
  <c r="BM40" i="129"/>
  <c r="BM56" i="129"/>
  <c r="BM122" i="129"/>
  <c r="BM162" i="129"/>
  <c r="BM211" i="129"/>
  <c r="BM253" i="129"/>
  <c r="BM271" i="129"/>
  <c r="BM275" i="129"/>
  <c r="BM279" i="129"/>
  <c r="BM283" i="129"/>
  <c r="BM305" i="129"/>
  <c r="BM318" i="129"/>
  <c r="BM363" i="129"/>
  <c r="BM436" i="129"/>
  <c r="BM461" i="129"/>
  <c r="BM465" i="129"/>
  <c r="BM511" i="129"/>
  <c r="BM523" i="129"/>
  <c r="BM540" i="129"/>
  <c r="BM561" i="129"/>
  <c r="BM626" i="129"/>
  <c r="BM639" i="129"/>
  <c r="BM682" i="129"/>
  <c r="BM699" i="129"/>
  <c r="BM712" i="129"/>
  <c r="BM729" i="129"/>
  <c r="BM664" i="129"/>
  <c r="BM669" i="129"/>
  <c r="BM739" i="129"/>
  <c r="BM748" i="129"/>
  <c r="BM752" i="129"/>
  <c r="BM760" i="129"/>
  <c r="BM783" i="129"/>
  <c r="BM801" i="129"/>
  <c r="BM819" i="129"/>
  <c r="BM837" i="129"/>
  <c r="BM859" i="129"/>
  <c r="BM69" i="129"/>
  <c r="BM77" i="129"/>
  <c r="BM81" i="129"/>
  <c r="BM143" i="129"/>
  <c r="BM187" i="129"/>
  <c r="BM195" i="129"/>
  <c r="BM228" i="129"/>
  <c r="BM232" i="129"/>
  <c r="BM258" i="129"/>
  <c r="BM280" i="129"/>
  <c r="BM310" i="129"/>
  <c r="BM322" i="129"/>
  <c r="BM364" i="129"/>
  <c r="BM433" i="129"/>
  <c r="BM445" i="129"/>
  <c r="BM478" i="129"/>
  <c r="BM528" i="129"/>
  <c r="BM574" i="129"/>
  <c r="BM609" i="129"/>
  <c r="BM617" i="129"/>
  <c r="BM735" i="129"/>
  <c r="BM770" i="129"/>
  <c r="BM810" i="129"/>
  <c r="BM828" i="129"/>
  <c r="BM90" i="129"/>
  <c r="BM139" i="129"/>
  <c r="BM175" i="129"/>
  <c r="BM204" i="129"/>
  <c r="BM208" i="129"/>
  <c r="BM221" i="129"/>
  <c r="BM263" i="129"/>
  <c r="BM284" i="129"/>
  <c r="BM306" i="129"/>
  <c r="BM331" i="129"/>
  <c r="BM351" i="129"/>
  <c r="BM368" i="129"/>
  <c r="BM380" i="129"/>
  <c r="BM388" i="129"/>
  <c r="BM392" i="129"/>
  <c r="BM396" i="129"/>
  <c r="BM404" i="129"/>
  <c r="BM429" i="129"/>
  <c r="BM437" i="129"/>
  <c r="BM449" i="129"/>
  <c r="BM545" i="129"/>
  <c r="BM657" i="129"/>
  <c r="BM661" i="129"/>
  <c r="BM553" i="129"/>
  <c r="BM640" i="129"/>
  <c r="BM648" i="129"/>
  <c r="BM761" i="129"/>
  <c r="BM860" i="129"/>
  <c r="BM890" i="129"/>
  <c r="BM3" i="129"/>
  <c r="BM29" i="129"/>
  <c r="BM24" i="129"/>
  <c r="BM45" i="129"/>
  <c r="BM49" i="129"/>
  <c r="BM61" i="129"/>
  <c r="BM107" i="129"/>
  <c r="BM127" i="129"/>
  <c r="BM135" i="129"/>
  <c r="BM192" i="129"/>
  <c r="BM272" i="129"/>
  <c r="BM289" i="129"/>
  <c r="BM298" i="129"/>
  <c r="BM376" i="129"/>
  <c r="BM453" i="129"/>
  <c r="BM458" i="129"/>
  <c r="BM558" i="129"/>
  <c r="BM566" i="129"/>
  <c r="BM614" i="129"/>
  <c r="BM623" i="129"/>
  <c r="BM636" i="129"/>
  <c r="BM670" i="129"/>
  <c r="BM718" i="129"/>
  <c r="BM731" i="129"/>
  <c r="BM736" i="129"/>
  <c r="BM802" i="129"/>
  <c r="BM811" i="129"/>
  <c r="BM829" i="129"/>
  <c r="BM833" i="129"/>
  <c r="BM838" i="129"/>
  <c r="BM7" i="129"/>
  <c r="BM20" i="129"/>
  <c r="BM82" i="129"/>
  <c r="BM95" i="129"/>
  <c r="BM119" i="129"/>
  <c r="BM144" i="129"/>
  <c r="BM156" i="129"/>
  <c r="BM172" i="129"/>
  <c r="BM176" i="129"/>
  <c r="BM188" i="129"/>
  <c r="BM213" i="129"/>
  <c r="BM229" i="129"/>
  <c r="BM250" i="129"/>
  <c r="BM255" i="129"/>
  <c r="BM264" i="129"/>
  <c r="BM323" i="129"/>
  <c r="BM344" i="129"/>
  <c r="BM356" i="129"/>
  <c r="BM385" i="129"/>
  <c r="BM409" i="129"/>
  <c r="BM479" i="129"/>
  <c r="BM487" i="129"/>
  <c r="BM492" i="129"/>
  <c r="BM508" i="129"/>
  <c r="BM529" i="129"/>
  <c r="BM554" i="129"/>
  <c r="BM600" i="129"/>
  <c r="BM610" i="129"/>
  <c r="BM701" i="129"/>
  <c r="BM744" i="129"/>
  <c r="BM749" i="129"/>
  <c r="BM789" i="129"/>
  <c r="BM851" i="129"/>
  <c r="BM872" i="129"/>
  <c r="BM886" i="129"/>
  <c r="BM502" i="129"/>
  <c r="BM816" i="129"/>
  <c r="BM203" i="129"/>
  <c r="BM379" i="129"/>
  <c r="BM427" i="129"/>
  <c r="BM78" i="129"/>
  <c r="BM75" i="129"/>
  <c r="BM94" i="129"/>
  <c r="BM259" i="129"/>
  <c r="BM312" i="129"/>
  <c r="BM499" i="129"/>
  <c r="BM672" i="129"/>
  <c r="BM332" i="129"/>
  <c r="BM126" i="129"/>
  <c r="BM239" i="129"/>
  <c r="BM72" i="129"/>
  <c r="BM369" i="129"/>
  <c r="BM444" i="129"/>
  <c r="BM569" i="129"/>
  <c r="BM704" i="129"/>
  <c r="BM123" i="129"/>
  <c r="BM142" i="129"/>
  <c r="BM236" i="129"/>
  <c r="BM349" i="129"/>
  <c r="BM417" i="129"/>
  <c r="BM513" i="129"/>
  <c r="BM774" i="129"/>
  <c r="BM110" i="129"/>
  <c r="BM88" i="129"/>
  <c r="BM509" i="129"/>
  <c r="BM158" i="129"/>
  <c r="BM485" i="129"/>
  <c r="BM46" i="129"/>
  <c r="BM155" i="129"/>
  <c r="BM174" i="129"/>
  <c r="BM249" i="129"/>
  <c r="BM771" i="129"/>
  <c r="BM299" i="129"/>
  <c r="BM352" i="129"/>
  <c r="BM43" i="129"/>
  <c r="BM62" i="129"/>
  <c r="BM171" i="129"/>
  <c r="BM190" i="129"/>
  <c r="BM319" i="129"/>
  <c r="BM386" i="129"/>
  <c r="BM434" i="129"/>
  <c r="BM482" i="129"/>
  <c r="BM745" i="129"/>
  <c r="BM825" i="129"/>
  <c r="BM854" i="129"/>
  <c r="BM883" i="129"/>
  <c r="BM273" i="129"/>
  <c r="BM366" i="129"/>
  <c r="BM547" i="129"/>
  <c r="BM562" i="129"/>
  <c r="BM630" i="129"/>
  <c r="BM659" i="129"/>
  <c r="BM684" i="129"/>
  <c r="BM758" i="129"/>
  <c r="BM796" i="129"/>
  <c r="BM257" i="129"/>
  <c r="BM350" i="129"/>
  <c r="BM401" i="129"/>
  <c r="BM510" i="129"/>
  <c r="BM514" i="129"/>
  <c r="BM536" i="129"/>
  <c r="BM578" i="129"/>
  <c r="BM713" i="129"/>
  <c r="BM876" i="129"/>
  <c r="BM337" i="129"/>
  <c r="BM533" i="129"/>
  <c r="BM563" i="129"/>
  <c r="BM627" i="129"/>
  <c r="BM652" i="129"/>
  <c r="BM726" i="129"/>
  <c r="BM755" i="129"/>
  <c r="BM822" i="129"/>
  <c r="BM254" i="129"/>
  <c r="BM497" i="129"/>
  <c r="BM697" i="129"/>
  <c r="BM793" i="129"/>
  <c r="BM835" i="129"/>
  <c r="BM889" i="129"/>
  <c r="BM241" i="129"/>
  <c r="BM334" i="129"/>
  <c r="BM371" i="129"/>
  <c r="BM398" i="129"/>
  <c r="BM321" i="129"/>
  <c r="BM419" i="129"/>
  <c r="BM446" i="129"/>
  <c r="BM515" i="129"/>
  <c r="BM552" i="129"/>
  <c r="BM575" i="129"/>
  <c r="BM579" i="129"/>
  <c r="BM595" i="129"/>
  <c r="BM681" i="129"/>
  <c r="BM806" i="129"/>
  <c r="BM494" i="129"/>
  <c r="BM549" i="129"/>
  <c r="BM665" i="129"/>
  <c r="BM777" i="129"/>
  <c r="BM222" i="129"/>
  <c r="BM382" i="129"/>
  <c r="BM568" i="129"/>
  <c r="BM588" i="129"/>
  <c r="BM649" i="129"/>
  <c r="BM803" i="129"/>
  <c r="BM302" i="129"/>
  <c r="BM403" i="129"/>
  <c r="BM430" i="129"/>
  <c r="BM531" i="129"/>
  <c r="BM546" i="129"/>
  <c r="BM565" i="129"/>
  <c r="BM662" i="129"/>
  <c r="BM691" i="129"/>
  <c r="BM716" i="129"/>
  <c r="BM841" i="129"/>
</calcChain>
</file>

<file path=xl/sharedStrings.xml><?xml version="1.0" encoding="utf-8"?>
<sst xmlns="http://schemas.openxmlformats.org/spreadsheetml/2006/main" count="16219" uniqueCount="4429">
  <si>
    <t>POD</t>
    <phoneticPr fontId="18" type="noConversion"/>
  </si>
  <si>
    <t>선사코드</t>
    <phoneticPr fontId="18" type="noConversion"/>
  </si>
  <si>
    <t>S013_EZN</t>
  </si>
  <si>
    <t>S013_EZM</t>
  </si>
  <si>
    <t>코드</t>
  </si>
  <si>
    <t>S013_EZA</t>
  </si>
  <si>
    <t>S013_EZB</t>
  </si>
  <si>
    <t>S013_EZJ</t>
  </si>
  <si>
    <t>S013_TEM</t>
  </si>
  <si>
    <t>S013_EZP</t>
  </si>
  <si>
    <t>S009_H01</t>
  </si>
  <si>
    <t>S009_H06</t>
  </si>
  <si>
    <t>S009_H08</t>
  </si>
  <si>
    <t>S009_H11</t>
  </si>
  <si>
    <t>S009_H12</t>
  </si>
  <si>
    <t>S009_H15</t>
  </si>
  <si>
    <t>S009_H16</t>
  </si>
  <si>
    <t>S009_H17</t>
  </si>
  <si>
    <t>S009_H19</t>
  </si>
  <si>
    <t>S009_H20</t>
  </si>
  <si>
    <t>S009_H21</t>
  </si>
  <si>
    <t>S009_H22</t>
  </si>
  <si>
    <t>S013_EZU</t>
  </si>
  <si>
    <t>S013_EZI</t>
  </si>
  <si>
    <t>S013_ATR</t>
  </si>
  <si>
    <t>Location Description</t>
  </si>
  <si>
    <t>이름</t>
    <phoneticPr fontId="18" type="noConversion"/>
  </si>
  <si>
    <t>016120002</t>
  </si>
  <si>
    <t>평택당진항내항동부두(#1,2,3)CY</t>
  </si>
  <si>
    <t>01612002</t>
  </si>
  <si>
    <t>평택아이포트 (PNCT)</t>
  </si>
  <si>
    <t>01612033</t>
  </si>
  <si>
    <t>평택컨테이너터미널CY (PCTC)</t>
  </si>
  <si>
    <t>01612040</t>
  </si>
  <si>
    <t>평택항카페리화물터미널</t>
  </si>
  <si>
    <t>02011219</t>
  </si>
  <si>
    <t>진아(주) 보세창고</t>
  </si>
  <si>
    <t>02012001</t>
  </si>
  <si>
    <t>선광종합물류</t>
  </si>
  <si>
    <t>02012012</t>
  </si>
  <si>
    <t>에스엠상선경인터미널(주)</t>
  </si>
  <si>
    <t>02012016</t>
  </si>
  <si>
    <t>한진인천컨테이너터미널(주)</t>
  </si>
  <si>
    <t>02077002</t>
  </si>
  <si>
    <t>인천컨테이너터미널</t>
  </si>
  <si>
    <t>아산서영</t>
  </si>
  <si>
    <t>02077130</t>
  </si>
  <si>
    <t>우련CY</t>
  </si>
  <si>
    <t>02077178</t>
  </si>
  <si>
    <t>인천항8부두주식회사</t>
  </si>
  <si>
    <t>03002009</t>
  </si>
  <si>
    <t>부산항국제여객터미널장치장</t>
  </si>
  <si>
    <t>상세주소</t>
  </si>
  <si>
    <t>03002010</t>
  </si>
  <si>
    <t>제 1 부두 (부산)</t>
  </si>
  <si>
    <t>B015_SBIGS</t>
  </si>
  <si>
    <t>03002199</t>
  </si>
  <si>
    <t>제8부두 지정장치장</t>
  </si>
  <si>
    <t>B015_SBCHW</t>
  </si>
  <si>
    <t>03012003</t>
  </si>
  <si>
    <t>부산진역철도보세창고</t>
  </si>
  <si>
    <t>03012226</t>
  </si>
  <si>
    <t>부산항터미널(주)감만 (BPT감만)</t>
  </si>
  <si>
    <t>B015_SBSWH</t>
  </si>
  <si>
    <t>03012240</t>
  </si>
  <si>
    <t>한국허치슨터미널 (HBCT)</t>
  </si>
  <si>
    <t>03077003</t>
  </si>
  <si>
    <t>부산신항다목적터미날(주)</t>
  </si>
  <si>
    <t>B015_SB2CY</t>
  </si>
  <si>
    <t>03077006</t>
  </si>
  <si>
    <t>B015_SBCAM</t>
  </si>
  <si>
    <t>B015_SBUNG</t>
  </si>
  <si>
    <t>SB웅동</t>
  </si>
  <si>
    <t>03077011</t>
  </si>
  <si>
    <t>B015_KOSEN</t>
  </si>
  <si>
    <t>코센코물류</t>
  </si>
  <si>
    <t>부산신항국제터미널 (PNIT)</t>
  </si>
  <si>
    <t>B015_SEJEN</t>
  </si>
  <si>
    <t>부산항터미널(주)신선대 (BPT신선대)</t>
  </si>
  <si>
    <t>B015_SBNSC</t>
  </si>
  <si>
    <t>03077026</t>
  </si>
  <si>
    <t>BUSAN NEW CONTAINER TERMINAL (BNCT)</t>
  </si>
  <si>
    <t>B015_SBNPC</t>
  </si>
  <si>
    <t>03077061</t>
  </si>
  <si>
    <t>천일용당CY</t>
  </si>
  <si>
    <t>03077102</t>
  </si>
  <si>
    <t>부산신항만 주식회사(PNC)</t>
  </si>
  <si>
    <t>06277033</t>
  </si>
  <si>
    <t>한국국제터미널 주식회사</t>
  </si>
  <si>
    <t>06277057</t>
  </si>
  <si>
    <t>광양대한통운</t>
  </si>
  <si>
    <t>06277064</t>
  </si>
  <si>
    <t>08012025</t>
  </si>
  <si>
    <t>군산항컨테이너터미널운영(주)</t>
  </si>
  <si>
    <t>유엔씨티 주식회사</t>
  </si>
  <si>
    <t>포항영일신항만(주)</t>
  </si>
  <si>
    <t>코레일로지스주식회사</t>
  </si>
  <si>
    <t>03012312</t>
    <phoneticPr fontId="18" type="noConversion"/>
  </si>
  <si>
    <t>동부부산컨테이너터미널 (DPCT)</t>
    <phoneticPr fontId="18" type="noConversion"/>
  </si>
  <si>
    <t>선광 인천 터미널 (ISCT</t>
    <phoneticPr fontId="18" type="noConversion"/>
  </si>
  <si>
    <t>KMMG</t>
  </si>
  <si>
    <t>USSAV</t>
  </si>
  <si>
    <t>IDTPP</t>
  </si>
  <si>
    <t>INKAT</t>
  </si>
  <si>
    <t>SIKOP</t>
  </si>
  <si>
    <t>조지아</t>
    <phoneticPr fontId="28" type="noConversion"/>
  </si>
  <si>
    <t>인니</t>
    <phoneticPr fontId="28" type="noConversion"/>
  </si>
  <si>
    <t>인도</t>
    <phoneticPr fontId="28" type="noConversion"/>
  </si>
  <si>
    <t>코퍼</t>
    <phoneticPr fontId="28" type="noConversion"/>
  </si>
  <si>
    <t>SGSIN</t>
  </si>
  <si>
    <t>USMOB</t>
  </si>
  <si>
    <t>싱가폴</t>
    <phoneticPr fontId="28" type="noConversion"/>
  </si>
  <si>
    <t>모빌</t>
    <phoneticPr fontId="28" type="noConversion"/>
  </si>
  <si>
    <t>브라질</t>
    <phoneticPr fontId="28" type="noConversion"/>
  </si>
  <si>
    <t>터키</t>
    <phoneticPr fontId="28" type="noConversion"/>
  </si>
  <si>
    <t>GA2557</t>
  </si>
  <si>
    <t>HMMA</t>
  </si>
  <si>
    <t>BH03</t>
  </si>
  <si>
    <t>SK02</t>
  </si>
  <si>
    <t>HMMC</t>
  </si>
  <si>
    <t>운송사</t>
    <phoneticPr fontId="28" type="noConversion"/>
  </si>
  <si>
    <t>비고</t>
    <phoneticPr fontId="28" type="noConversion"/>
  </si>
  <si>
    <t>H000_GA</t>
    <phoneticPr fontId="28" type="noConversion"/>
  </si>
  <si>
    <t>H000_GB</t>
    <phoneticPr fontId="28" type="noConversion"/>
  </si>
  <si>
    <t>H000_GC</t>
    <phoneticPr fontId="28" type="noConversion"/>
  </si>
  <si>
    <t>KAC</t>
    <phoneticPr fontId="28" type="noConversion"/>
  </si>
  <si>
    <t>금호타이어</t>
    <phoneticPr fontId="28" type="noConversion"/>
  </si>
  <si>
    <t>경북 경주시 외동읍 문산공단길 84-200</t>
    <phoneticPr fontId="28" type="noConversion"/>
  </si>
  <si>
    <t>베바스토</t>
    <phoneticPr fontId="28" type="noConversion"/>
  </si>
  <si>
    <t>HAOS</t>
  </si>
  <si>
    <t>충남 아산시 인주면 인주산단로 75-60</t>
    <phoneticPr fontId="28" type="noConversion"/>
  </si>
  <si>
    <t>충청남도 아산시 음봉면 아산밸리로388번길 186</t>
    <phoneticPr fontId="28" type="noConversion"/>
  </si>
  <si>
    <t>세종특별자치시 전의면 산단길 134</t>
    <phoneticPr fontId="28" type="noConversion"/>
  </si>
  <si>
    <t>H000_GG</t>
    <phoneticPr fontId="28" type="noConversion"/>
  </si>
  <si>
    <t>울산광역시 울주군 두서면 활천산업로 100</t>
    <phoneticPr fontId="28" type="noConversion"/>
  </si>
  <si>
    <t>울산광역시 울주군 두서면 활천산업로 160</t>
    <phoneticPr fontId="28" type="noConversion"/>
  </si>
  <si>
    <t>울산광역시 울주군 두서면 활천산업로 76</t>
    <phoneticPr fontId="28" type="noConversion"/>
  </si>
  <si>
    <t>울산광역시 울주군 온산읍 처용산업로 6</t>
    <phoneticPr fontId="28" type="noConversion"/>
  </si>
  <si>
    <t>경북 김천시 공단로 258-45</t>
    <phoneticPr fontId="28" type="noConversion"/>
  </si>
  <si>
    <t>CODE</t>
    <phoneticPr fontId="28" type="noConversion"/>
  </si>
  <si>
    <t>CONSIGNEE</t>
    <phoneticPr fontId="28" type="noConversion"/>
  </si>
  <si>
    <t>TEAM</t>
    <phoneticPr fontId="28" type="noConversion"/>
  </si>
  <si>
    <t>PIC</t>
    <phoneticPr fontId="28" type="noConversion"/>
  </si>
  <si>
    <t>부산북항</t>
  </si>
  <si>
    <t>부산신항</t>
  </si>
  <si>
    <t>KRPTK</t>
  </si>
  <si>
    <t>평택항</t>
  </si>
  <si>
    <t>인천항</t>
  </si>
  <si>
    <t>의왕(부곡)</t>
  </si>
  <si>
    <t>광양항</t>
  </si>
  <si>
    <t>금호타이어</t>
  </si>
  <si>
    <t>HMI</t>
  </si>
  <si>
    <t>HMMI</t>
  </si>
  <si>
    <t>HMMR</t>
  </si>
  <si>
    <t>현대모비스㈜ 김천공장</t>
  </si>
  <si>
    <t>CAOA</t>
  </si>
  <si>
    <t>TRAMB</t>
    <phoneticPr fontId="28" type="noConversion"/>
  </si>
  <si>
    <t>AMBARLI</t>
    <phoneticPr fontId="28" type="noConversion"/>
  </si>
  <si>
    <t>DEBRV</t>
    <phoneticPr fontId="28" type="noConversion"/>
  </si>
  <si>
    <t>BREMERHAVEN</t>
    <phoneticPr fontId="28" type="noConversion"/>
  </si>
  <si>
    <t>MYBTW</t>
    <phoneticPr fontId="28" type="noConversion"/>
  </si>
  <si>
    <t>USCHS</t>
    <phoneticPr fontId="28" type="noConversion"/>
  </si>
  <si>
    <t>CHARLESTON, SC</t>
    <phoneticPr fontId="28" type="noConversion"/>
  </si>
  <si>
    <t>BDCGP</t>
    <phoneticPr fontId="28" type="noConversion"/>
  </si>
  <si>
    <t>CHATTOGRAM</t>
    <phoneticPr fontId="28" type="noConversion"/>
  </si>
  <si>
    <t>INMAA</t>
    <phoneticPr fontId="28" type="noConversion"/>
  </si>
  <si>
    <t>VNC8Q</t>
    <phoneticPr fontId="28" type="noConversion"/>
  </si>
  <si>
    <t>CHU LAI</t>
    <phoneticPr fontId="28" type="noConversion"/>
  </si>
  <si>
    <t>VNDAD</t>
    <phoneticPr fontId="28" type="noConversion"/>
  </si>
  <si>
    <t>DA NANG</t>
    <phoneticPr fontId="28" type="noConversion"/>
  </si>
  <si>
    <t>BDDAC</t>
    <phoneticPr fontId="28" type="noConversion"/>
  </si>
  <si>
    <t>DHAKA</t>
    <phoneticPr fontId="28" type="noConversion"/>
  </si>
  <si>
    <t>DZDJE</t>
    <phoneticPr fontId="28" type="noConversion"/>
  </si>
  <si>
    <t>DJEN-DJEN</t>
    <phoneticPr fontId="28" type="noConversion"/>
  </si>
  <si>
    <t>INENR</t>
    <phoneticPr fontId="28" type="noConversion"/>
  </si>
  <si>
    <t>ENNORE</t>
    <phoneticPr fontId="28" type="noConversion"/>
  </si>
  <si>
    <t>MXESE</t>
    <phoneticPr fontId="28" type="noConversion"/>
  </si>
  <si>
    <t>ENSENADA</t>
    <phoneticPr fontId="28" type="noConversion"/>
  </si>
  <si>
    <t>VNHPH</t>
    <phoneticPr fontId="28" type="noConversion"/>
  </si>
  <si>
    <t>HAIPHONG</t>
    <phoneticPr fontId="28" type="noConversion"/>
  </si>
  <si>
    <t>DEHAM</t>
    <phoneticPr fontId="28" type="noConversion"/>
  </si>
  <si>
    <t>HAMBURG</t>
    <phoneticPr fontId="28" type="noConversion"/>
  </si>
  <si>
    <t>CNHUA</t>
    <phoneticPr fontId="28" type="noConversion"/>
  </si>
  <si>
    <t>HUANGPU PT</t>
    <phoneticPr fontId="28" type="noConversion"/>
  </si>
  <si>
    <t>CLIQQ</t>
    <phoneticPr fontId="28" type="noConversion"/>
  </si>
  <si>
    <t>IQUIQUE</t>
    <phoneticPr fontId="28" type="noConversion"/>
  </si>
  <si>
    <t>TRIST</t>
    <phoneticPr fontId="28" type="noConversion"/>
  </si>
  <si>
    <t>ISTANBUL</t>
    <phoneticPr fontId="28" type="noConversion"/>
  </si>
  <si>
    <t>TRIZT</t>
    <phoneticPr fontId="28" type="noConversion"/>
  </si>
  <si>
    <t>IZMIT KORFEZI, TURKEY</t>
    <phoneticPr fontId="28" type="noConversion"/>
  </si>
  <si>
    <t>JAKAR</t>
    <phoneticPr fontId="28" type="noConversion"/>
  </si>
  <si>
    <t>JAKARTA</t>
    <phoneticPr fontId="28" type="noConversion"/>
  </si>
  <si>
    <t>AEJEA</t>
    <phoneticPr fontId="28" type="noConversion"/>
  </si>
  <si>
    <t>JEBEL ALI</t>
    <phoneticPr fontId="28" type="noConversion"/>
  </si>
  <si>
    <t>UZJIZ</t>
    <phoneticPr fontId="28" type="noConversion"/>
  </si>
  <si>
    <t>JIZZAKH(To-Be Checked)</t>
    <phoneticPr fontId="28" type="noConversion"/>
  </si>
  <si>
    <t>INKAT</t>
    <phoneticPr fontId="28" type="noConversion"/>
  </si>
  <si>
    <t>SIKOP</t>
    <phoneticPr fontId="28" type="noConversion"/>
  </si>
  <si>
    <t>KOPER</t>
    <phoneticPr fontId="28" type="noConversion"/>
  </si>
  <si>
    <t>THLCH</t>
    <phoneticPr fontId="28" type="noConversion"/>
  </si>
  <si>
    <t>LAEM CHABANG</t>
    <phoneticPr fontId="28" type="noConversion"/>
  </si>
  <si>
    <t>MXLZC</t>
    <phoneticPr fontId="28" type="noConversion"/>
  </si>
  <si>
    <t>LAZARO CARDENAS</t>
    <phoneticPr fontId="28" type="noConversion"/>
  </si>
  <si>
    <t>CNLYG</t>
    <phoneticPr fontId="28" type="noConversion"/>
  </si>
  <si>
    <t>LIANYUNGANG</t>
    <phoneticPr fontId="28" type="noConversion"/>
  </si>
  <si>
    <t>USLGB</t>
    <phoneticPr fontId="28" type="noConversion"/>
  </si>
  <si>
    <t>USLAX</t>
    <phoneticPr fontId="28" type="noConversion"/>
  </si>
  <si>
    <t>CNLZU</t>
    <phoneticPr fontId="28" type="noConversion"/>
  </si>
  <si>
    <t>LUZHOU</t>
    <phoneticPr fontId="28" type="noConversion"/>
  </si>
  <si>
    <t>PLMAA</t>
    <phoneticPr fontId="28" type="noConversion"/>
  </si>
  <si>
    <t>MXZLO</t>
    <phoneticPr fontId="28" type="noConversion"/>
  </si>
  <si>
    <t>CDMAT</t>
    <phoneticPr fontId="28" type="noConversion"/>
  </si>
  <si>
    <t>MATADI</t>
    <phoneticPr fontId="28" type="noConversion"/>
  </si>
  <si>
    <t>USMOB</t>
    <phoneticPr fontId="28" type="noConversion"/>
  </si>
  <si>
    <t>CNNTG</t>
    <phoneticPr fontId="28" type="noConversion"/>
  </si>
  <si>
    <t>MRNKC</t>
    <phoneticPr fontId="28" type="noConversion"/>
  </si>
  <si>
    <t>NOUAKCHOTT</t>
    <phoneticPr fontId="28" type="noConversion"/>
  </si>
  <si>
    <t>JPOSA</t>
    <phoneticPr fontId="28" type="noConversion"/>
  </si>
  <si>
    <t>OSAKA</t>
    <phoneticPr fontId="28" type="noConversion"/>
  </si>
  <si>
    <t>MYPEN</t>
    <phoneticPr fontId="28" type="noConversion"/>
  </si>
  <si>
    <t>MYPKG</t>
    <phoneticPr fontId="28" type="noConversion"/>
  </si>
  <si>
    <t>PKBQM</t>
    <phoneticPr fontId="28" type="noConversion"/>
  </si>
  <si>
    <t>PORT QASIM</t>
    <phoneticPr fontId="28" type="noConversion"/>
  </si>
  <si>
    <t>SCPOV</t>
    <phoneticPr fontId="28" type="noConversion"/>
  </si>
  <si>
    <t>PORT VICTORIA</t>
    <phoneticPr fontId="28" type="noConversion"/>
  </si>
  <si>
    <t>CRCAL</t>
    <phoneticPr fontId="28" type="noConversion"/>
  </si>
  <si>
    <t>PUERTO CALDERA</t>
    <phoneticPr fontId="28" type="noConversion"/>
  </si>
  <si>
    <t>GTPRQ</t>
    <phoneticPr fontId="28" type="noConversion"/>
  </si>
  <si>
    <t>PUERTO QUETZAL</t>
    <phoneticPr fontId="28" type="noConversion"/>
  </si>
  <si>
    <t>CNTAO</t>
    <phoneticPr fontId="28" type="noConversion"/>
  </si>
  <si>
    <t>UARNI</t>
    <phoneticPr fontId="28" type="noConversion"/>
  </si>
  <si>
    <t>RENI</t>
    <phoneticPr fontId="28" type="noConversion"/>
  </si>
  <si>
    <t>BRSSZ</t>
    <phoneticPr fontId="28" type="noConversion"/>
  </si>
  <si>
    <t>SANTOS</t>
    <phoneticPr fontId="28" type="noConversion"/>
  </si>
  <si>
    <t>USSAV</t>
    <phoneticPr fontId="28" type="noConversion"/>
  </si>
  <si>
    <t>CNSHA</t>
    <phoneticPr fontId="28" type="noConversion"/>
  </si>
  <si>
    <t>SGSIN</t>
    <phoneticPr fontId="28" type="noConversion"/>
  </si>
  <si>
    <t>SINGAPORE</t>
    <phoneticPr fontId="28" type="noConversion"/>
  </si>
  <si>
    <t>TWTPE</t>
    <phoneticPr fontId="28" type="noConversion"/>
  </si>
  <si>
    <t>TAIPEI</t>
    <phoneticPr fontId="28" type="noConversion"/>
  </si>
  <si>
    <t>IDTPP</t>
    <phoneticPr fontId="28" type="noConversion"/>
  </si>
  <si>
    <t>TANJUNG PRIOK</t>
    <phoneticPr fontId="28" type="noConversion"/>
  </si>
  <si>
    <t>GHTEM</t>
    <phoneticPr fontId="28" type="noConversion"/>
  </si>
  <si>
    <t>TEMA</t>
    <phoneticPr fontId="28" type="noConversion"/>
  </si>
  <si>
    <t>NGTIN</t>
    <phoneticPr fontId="28" type="noConversion"/>
  </si>
  <si>
    <t>TINCAN/LAGOS</t>
    <phoneticPr fontId="28" type="noConversion"/>
  </si>
  <si>
    <t>CNWEI</t>
    <phoneticPr fontId="28" type="noConversion"/>
  </si>
  <si>
    <t>CNXGA</t>
    <phoneticPr fontId="28" type="noConversion"/>
  </si>
  <si>
    <t>XINGANG</t>
    <phoneticPr fontId="28" type="noConversion"/>
  </si>
  <si>
    <t>CNXGG</t>
    <phoneticPr fontId="28" type="noConversion"/>
  </si>
  <si>
    <t>XINGANG, CHINA</t>
    <phoneticPr fontId="28" type="noConversion"/>
  </si>
  <si>
    <t>MMRGN</t>
    <phoneticPr fontId="28" type="noConversion"/>
  </si>
  <si>
    <t>YANGON</t>
    <phoneticPr fontId="28" type="noConversion"/>
  </si>
  <si>
    <t>TRYAR</t>
    <phoneticPr fontId="28" type="noConversion"/>
  </si>
  <si>
    <t>YARIMCA</t>
    <phoneticPr fontId="28" type="noConversion"/>
  </si>
  <si>
    <t>CNZJG</t>
    <phoneticPr fontId="28" type="noConversion"/>
  </si>
  <si>
    <t>ZHANGJIAGANG</t>
    <phoneticPr fontId="28" type="noConversion"/>
  </si>
  <si>
    <t>CHARLESTON</t>
    <phoneticPr fontId="28" type="noConversion"/>
  </si>
  <si>
    <t>IZMIT KORFEZI</t>
    <phoneticPr fontId="28" type="noConversion"/>
  </si>
  <si>
    <t>CHENNAI</t>
    <phoneticPr fontId="28" type="noConversion"/>
  </si>
  <si>
    <t>JIZZAKH</t>
    <phoneticPr fontId="28" type="noConversion"/>
  </si>
  <si>
    <t>KATTUPALLI</t>
    <phoneticPr fontId="28" type="noConversion"/>
  </si>
  <si>
    <t>LONG BEACH</t>
    <phoneticPr fontId="28" type="noConversion"/>
  </si>
  <si>
    <t>LOS ANGELES</t>
    <phoneticPr fontId="28" type="noConversion"/>
  </si>
  <si>
    <t>MALASZEWICZE</t>
    <phoneticPr fontId="28" type="noConversion"/>
  </si>
  <si>
    <t>MANZANILLO</t>
    <phoneticPr fontId="28" type="noConversion"/>
  </si>
  <si>
    <t>PENANG</t>
    <phoneticPr fontId="28" type="noConversion"/>
  </si>
  <si>
    <t>QINGDAO</t>
    <phoneticPr fontId="28" type="noConversion"/>
  </si>
  <si>
    <t>SAVANNAH</t>
    <phoneticPr fontId="28" type="noConversion"/>
  </si>
  <si>
    <t>SHANGHAI</t>
    <phoneticPr fontId="28" type="noConversion"/>
  </si>
  <si>
    <t>WEIHAI</t>
    <phoneticPr fontId="28" type="noConversion"/>
  </si>
  <si>
    <t>H000_KC</t>
    <phoneticPr fontId="28" type="noConversion"/>
  </si>
  <si>
    <t>H000_SM</t>
    <phoneticPr fontId="28" type="noConversion"/>
  </si>
  <si>
    <t>H000_YK</t>
    <phoneticPr fontId="28" type="noConversion"/>
  </si>
  <si>
    <t>H000_JB</t>
    <phoneticPr fontId="28" type="noConversion"/>
  </si>
  <si>
    <t>H000_KG</t>
    <phoneticPr fontId="28" type="noConversion"/>
  </si>
  <si>
    <t>H000_KY</t>
    <phoneticPr fontId="28" type="noConversion"/>
  </si>
  <si>
    <t>H000_U1</t>
    <phoneticPr fontId="28" type="noConversion"/>
  </si>
  <si>
    <t>H000_U2</t>
    <phoneticPr fontId="28" type="noConversion"/>
  </si>
  <si>
    <t>H000_YH</t>
    <phoneticPr fontId="28" type="noConversion"/>
  </si>
  <si>
    <t>H000_YP</t>
    <phoneticPr fontId="28" type="noConversion"/>
  </si>
  <si>
    <t>H000_YW</t>
    <phoneticPr fontId="28" type="noConversion"/>
  </si>
  <si>
    <t>H000_KA</t>
    <phoneticPr fontId="28" type="noConversion"/>
  </si>
  <si>
    <t>H000_BB</t>
    <phoneticPr fontId="28" type="noConversion"/>
  </si>
  <si>
    <t>H000_MK</t>
    <phoneticPr fontId="28" type="noConversion"/>
  </si>
  <si>
    <t>BUSAN(NEW)</t>
  </si>
  <si>
    <t>LONG BEACH, CA</t>
  </si>
  <si>
    <t>MONTEVIDEO</t>
  </si>
  <si>
    <t>유니팩(봉계)</t>
  </si>
  <si>
    <t>울산시 울주군 두서면 활천산업로 136</t>
  </si>
  <si>
    <t>유니팩_봉계(차체 및 의장)</t>
  </si>
  <si>
    <t>유니팩_직대통합포장장</t>
  </si>
  <si>
    <t>S013_EZC</t>
  </si>
  <si>
    <t>현대성우캐스팅(충주)</t>
  </si>
  <si>
    <t>충북 충주시 충주산단2로 83</t>
  </si>
  <si>
    <t>S013_M13</t>
  </si>
  <si>
    <t>충남 아산시 영인면 윤보선로 67</t>
  </si>
  <si>
    <t>경북 경주시 외동읍 제내사일길 59-49</t>
  </si>
  <si>
    <t>S009_H23</t>
  </si>
  <si>
    <t>파텍스(서산)</t>
  </si>
  <si>
    <t>충남 서산시 지곡면 무장길 29</t>
  </si>
  <si>
    <t>대한포장(현곡)</t>
  </si>
  <si>
    <t>M011_001</t>
  </si>
  <si>
    <t>S009_H28</t>
  </si>
  <si>
    <t>파텍스(익산)</t>
  </si>
  <si>
    <t>전북 익산시 석암로3길 17-26(용제동)</t>
  </si>
  <si>
    <t>S013_M01</t>
  </si>
  <si>
    <t>경주 IHL</t>
  </si>
  <si>
    <t>S013_M07</t>
  </si>
  <si>
    <t>김해 대호</t>
  </si>
  <si>
    <t>S013_M20</t>
  </si>
  <si>
    <t>S013_M12</t>
  </si>
  <si>
    <t>S013_M10</t>
  </si>
  <si>
    <t>아산 PNP</t>
  </si>
  <si>
    <t>S013_M17</t>
  </si>
  <si>
    <t>창원 하나비전</t>
  </si>
  <si>
    <t>S013_M15</t>
  </si>
  <si>
    <t>S013_M19</t>
  </si>
  <si>
    <t>S013_M030</t>
  </si>
  <si>
    <t>태양수출포장</t>
  </si>
  <si>
    <t>코드</t>
    <phoneticPr fontId="28" type="noConversion"/>
  </si>
  <si>
    <t>KELANG</t>
  </si>
  <si>
    <t>ContainerNo.</t>
  </si>
  <si>
    <t>SealNumber1</t>
  </si>
  <si>
    <t>ELS솔루션</t>
    <phoneticPr fontId="30" type="noConversion"/>
  </si>
  <si>
    <t>담당자</t>
  </si>
  <si>
    <t>GA1405</t>
  </si>
  <si>
    <t>KRKUV</t>
  </si>
  <si>
    <t>KRKAN</t>
  </si>
  <si>
    <t>HMGICS</t>
    <phoneticPr fontId="28" type="noConversion"/>
  </si>
  <si>
    <t>CAOA</t>
    <phoneticPr fontId="28" type="noConversion"/>
  </si>
  <si>
    <t>ULSAN(NEW)</t>
  </si>
  <si>
    <t>울산신항</t>
  </si>
  <si>
    <t>울산정일</t>
  </si>
  <si>
    <t>GUNSAN</t>
  </si>
  <si>
    <t>군산</t>
  </si>
  <si>
    <t>KRINC</t>
  </si>
  <si>
    <t>인천항국제여객터미널</t>
  </si>
  <si>
    <t>인천신항</t>
  </si>
  <si>
    <t>LAZARO CARDENAS</t>
  </si>
  <si>
    <t>02012014</t>
  </si>
  <si>
    <t>02012007</t>
  </si>
  <si>
    <t>02012018</t>
  </si>
  <si>
    <t>광양항관세자유지역(B015)</t>
  </si>
  <si>
    <t>FTL</t>
    <phoneticPr fontId="30" type="noConversion"/>
  </si>
  <si>
    <t>03077126</t>
  </si>
  <si>
    <t>HTWO</t>
  </si>
  <si>
    <t>S013_EZX</t>
  </si>
  <si>
    <t>동원글로벌터미널부산(DGT)</t>
    <phoneticPr fontId="18" type="noConversion"/>
  </si>
  <si>
    <t>경상북도 경주시 현곡면 안현로 464</t>
  </si>
  <si>
    <t>알트론</t>
  </si>
  <si>
    <t>우성(아산)</t>
  </si>
  <si>
    <t>모비스 AS아산센터</t>
  </si>
  <si>
    <t>주소</t>
    <phoneticPr fontId="28" type="noConversion"/>
  </si>
  <si>
    <t>인터지스 감만 터미널 (BGCT)</t>
    <phoneticPr fontId="18" type="noConversion"/>
  </si>
  <si>
    <t>KCTC-우암터미널 (UTC)</t>
    <phoneticPr fontId="18" type="noConversion"/>
  </si>
  <si>
    <t>인터지스 CY 7부두</t>
    <phoneticPr fontId="18" type="noConversion"/>
  </si>
  <si>
    <t>지역</t>
    <phoneticPr fontId="30" type="noConversion"/>
  </si>
  <si>
    <t>광양</t>
    <phoneticPr fontId="30" type="noConversion"/>
  </si>
  <si>
    <t>군산</t>
    <phoneticPr fontId="30" type="noConversion"/>
  </si>
  <si>
    <t>울산신항</t>
    <phoneticPr fontId="30" type="noConversion"/>
  </si>
  <si>
    <t>울산항</t>
    <phoneticPr fontId="30" type="noConversion"/>
  </si>
  <si>
    <t>포항</t>
    <phoneticPr fontId="30" type="noConversion"/>
  </si>
  <si>
    <t>의왕</t>
    <phoneticPr fontId="30" type="noConversion"/>
  </si>
  <si>
    <t>특이사항</t>
    <phoneticPr fontId="30" type="noConversion"/>
  </si>
  <si>
    <t>부산컨테이너터미널 (BCT)</t>
    <phoneticPr fontId="30" type="noConversion"/>
  </si>
  <si>
    <t>선광신컨테이너터미널 보세창고</t>
  </si>
  <si>
    <t>E1 컨테이너터미널 (북항)</t>
  </si>
  <si>
    <t>인천 국제여객터미널 보세창고 (북항)</t>
  </si>
  <si>
    <t>인천/북항</t>
    <phoneticPr fontId="30" type="noConversion"/>
  </si>
  <si>
    <t>부산 북항</t>
    <phoneticPr fontId="30" type="noConversion"/>
  </si>
  <si>
    <t>부산 신항</t>
    <phoneticPr fontId="30" type="noConversion"/>
  </si>
  <si>
    <t>평택당진항내항동부두(#1,2,3)CY</t>
    <phoneticPr fontId="30" type="noConversion"/>
  </si>
  <si>
    <t xml:space="preserve">
북항</t>
    <phoneticPr fontId="30" type="noConversion"/>
  </si>
  <si>
    <t>광주광역시 북구 첨단연신로 279 (안전운임상 양산동 / 연제동)</t>
    <phoneticPr fontId="28" type="noConversion"/>
  </si>
  <si>
    <t>광주광역시 광산구 어등대로 658 (어룡동 / 소촌동 센터 단가동일)</t>
    <phoneticPr fontId="28" type="noConversion"/>
  </si>
  <si>
    <t>경기도 평택시 팽성읍 추팔산단 1길 64</t>
    <phoneticPr fontId="28" type="noConversion"/>
  </si>
  <si>
    <t>경기도 평택시 오성면 오성서로 168</t>
    <phoneticPr fontId="28" type="noConversion"/>
  </si>
  <si>
    <t>GA1453</t>
  </si>
  <si>
    <t>GA2668</t>
  </si>
  <si>
    <t>FTL</t>
  </si>
  <si>
    <t>03012010</t>
    <phoneticPr fontId="30" type="noConversion"/>
  </si>
  <si>
    <t>신감만 한국허치슨(주)컨테이너</t>
    <phoneticPr fontId="30" type="noConversion"/>
  </si>
  <si>
    <r>
      <t>H000_SM</t>
    </r>
    <r>
      <rPr>
        <sz val="10"/>
        <color rgb="FFFF0000"/>
        <rFont val="맑은 고딕"/>
        <family val="3"/>
        <charset val="129"/>
        <scheme val="minor"/>
      </rPr>
      <t>2</t>
    </r>
    <phoneticPr fontId="28" type="noConversion"/>
  </si>
  <si>
    <r>
      <t>H000_YK</t>
    </r>
    <r>
      <rPr>
        <sz val="10"/>
        <color rgb="FFFF0000"/>
        <rFont val="맑은 고딕"/>
        <family val="3"/>
        <charset val="129"/>
        <scheme val="minor"/>
      </rPr>
      <t>2</t>
    </r>
    <phoneticPr fontId="28" type="noConversion"/>
  </si>
  <si>
    <r>
      <t>H000_YW</t>
    </r>
    <r>
      <rPr>
        <b/>
        <sz val="10"/>
        <color rgb="FFFF0000"/>
        <rFont val="맑은 고딕"/>
        <family val="3"/>
        <charset val="129"/>
        <scheme val="minor"/>
      </rPr>
      <t>2</t>
    </r>
    <phoneticPr fontId="28" type="noConversion"/>
  </si>
  <si>
    <r>
      <t xml:space="preserve">경북 경주시 </t>
    </r>
    <r>
      <rPr>
        <b/>
        <sz val="10"/>
        <color theme="1"/>
        <rFont val="맑은 고딕"/>
        <family val="3"/>
        <charset val="129"/>
        <scheme val="minor"/>
      </rPr>
      <t>외동읍</t>
    </r>
    <r>
      <rPr>
        <sz val="10"/>
        <color theme="1"/>
        <rFont val="맑은 고딕"/>
        <family val="3"/>
        <charset val="129"/>
        <scheme val="minor"/>
      </rPr>
      <t xml:space="preserve"> 구어리 1414-2 (구어리)
경북경주시 외동읍 구어2산단로 1길 161</t>
    </r>
    <phoneticPr fontId="28" type="noConversion"/>
  </si>
  <si>
    <t>IH01</t>
  </si>
  <si>
    <t>UM07</t>
  </si>
  <si>
    <t>B000007246</t>
    <phoneticPr fontId="30" type="noConversion"/>
  </si>
  <si>
    <t>포장장</t>
    <phoneticPr fontId="28" type="noConversion"/>
  </si>
  <si>
    <t>POSORJA</t>
  </si>
  <si>
    <t>KARACHI</t>
  </si>
  <si>
    <t>7부두</t>
    <phoneticPr fontId="30" type="noConversion"/>
  </si>
  <si>
    <t>신선대</t>
    <phoneticPr fontId="30" type="noConversion"/>
  </si>
  <si>
    <t>감만</t>
    <phoneticPr fontId="30" type="noConversion"/>
  </si>
  <si>
    <t>오부두</t>
    <phoneticPr fontId="30" type="noConversion"/>
  </si>
  <si>
    <t>동부감만</t>
    <phoneticPr fontId="30" type="noConversion"/>
  </si>
  <si>
    <t>BCT</t>
    <phoneticPr fontId="30" type="noConversion"/>
  </si>
  <si>
    <t>한진</t>
    <phoneticPr fontId="30" type="noConversion"/>
  </si>
  <si>
    <t>현대</t>
    <phoneticPr fontId="30" type="noConversion"/>
  </si>
  <si>
    <t>국제</t>
    <phoneticPr fontId="30" type="noConversion"/>
  </si>
  <si>
    <t>고려</t>
    <phoneticPr fontId="30" type="noConversion"/>
  </si>
  <si>
    <t>부산</t>
    <phoneticPr fontId="30" type="noConversion"/>
  </si>
  <si>
    <t>다목적</t>
    <phoneticPr fontId="30" type="noConversion"/>
  </si>
  <si>
    <t>동원</t>
    <phoneticPr fontId="30" type="noConversion"/>
  </si>
  <si>
    <t>부산 남구 우암로 225</t>
  </si>
  <si>
    <t>신감만오부두</t>
    <phoneticPr fontId="30" type="noConversion"/>
  </si>
  <si>
    <t>GA0233</t>
  </si>
  <si>
    <t>EA03</t>
  </si>
  <si>
    <t>평택</t>
    <phoneticPr fontId="30" type="noConversion"/>
  </si>
  <si>
    <t>한진부산컨테이너터미널 (HJNC)</t>
    <phoneticPr fontId="30" type="noConversion"/>
  </si>
  <si>
    <t>현대부산신항만 (HPNT)</t>
    <phoneticPr fontId="30" type="noConversion"/>
  </si>
  <si>
    <t>포장장</t>
  </si>
  <si>
    <r>
      <t xml:space="preserve">충남 아산시 신창면 서부북로 397-8 </t>
    </r>
    <r>
      <rPr>
        <sz val="10"/>
        <color rgb="FFFF0000"/>
        <rFont val="맑은 고딕"/>
        <family val="3"/>
        <charset val="129"/>
        <scheme val="minor"/>
      </rPr>
      <t xml:space="preserve">(3공장) </t>
    </r>
    <phoneticPr fontId="28" type="noConversion"/>
  </si>
  <si>
    <r>
      <t xml:space="preserve">충남 아산시 신창면 서부북로 82  </t>
    </r>
    <r>
      <rPr>
        <b/>
        <sz val="10"/>
        <color rgb="FFFF0000"/>
        <rFont val="맑은 고딕"/>
        <family val="3"/>
        <charset val="129"/>
        <scheme val="minor"/>
      </rPr>
      <t>(2공장)</t>
    </r>
    <phoneticPr fontId="28" type="noConversion"/>
  </si>
  <si>
    <t>파키스탄</t>
    <phoneticPr fontId="28" type="noConversion"/>
  </si>
  <si>
    <t>PKPCT</t>
    <phoneticPr fontId="28" type="noConversion"/>
  </si>
  <si>
    <t>이집트</t>
    <phoneticPr fontId="28" type="noConversion"/>
  </si>
  <si>
    <t xml:space="preserve">EGDAM </t>
    <phoneticPr fontId="28" type="noConversion"/>
  </si>
  <si>
    <t>두바이</t>
    <phoneticPr fontId="28" type="noConversion"/>
  </si>
  <si>
    <t>AEDXB</t>
    <phoneticPr fontId="28" type="noConversion"/>
  </si>
  <si>
    <t>시드니</t>
    <phoneticPr fontId="28" type="noConversion"/>
  </si>
  <si>
    <t xml:space="preserve">AUSYD </t>
    <phoneticPr fontId="28" type="noConversion"/>
  </si>
  <si>
    <t>러시아</t>
    <phoneticPr fontId="28" type="noConversion"/>
  </si>
  <si>
    <t>SAINT PETERSBURG</t>
    <phoneticPr fontId="28" type="noConversion"/>
  </si>
  <si>
    <t>RULED</t>
    <phoneticPr fontId="28" type="noConversion"/>
  </si>
  <si>
    <t>아틀란타</t>
    <phoneticPr fontId="28" type="noConversion"/>
  </si>
  <si>
    <t>ATL</t>
    <phoneticPr fontId="28" type="noConversion"/>
  </si>
  <si>
    <t>라오스</t>
    <phoneticPr fontId="28" type="noConversion"/>
  </si>
  <si>
    <t>LASAV</t>
    <phoneticPr fontId="28" type="noConversion"/>
  </si>
  <si>
    <t>멀캄</t>
    <phoneticPr fontId="28" type="noConversion"/>
  </si>
  <si>
    <t>CAMAK</t>
    <phoneticPr fontId="28" type="noConversion"/>
  </si>
  <si>
    <t>USMIA</t>
    <phoneticPr fontId="28" type="noConversion"/>
  </si>
  <si>
    <t>오하이오</t>
    <phoneticPr fontId="28" type="noConversion"/>
  </si>
  <si>
    <t>FOH</t>
    <phoneticPr fontId="28" type="noConversion"/>
  </si>
  <si>
    <t>함부르크, 독일</t>
    <phoneticPr fontId="28" type="noConversion"/>
  </si>
  <si>
    <t xml:space="preserve">DEHAM </t>
    <phoneticPr fontId="28" type="noConversion"/>
  </si>
  <si>
    <t>GBSOU</t>
    <phoneticPr fontId="28" type="noConversion"/>
  </si>
  <si>
    <t>USTIW</t>
    <phoneticPr fontId="28" type="noConversion"/>
  </si>
  <si>
    <t>스페인</t>
    <phoneticPr fontId="28" type="noConversion"/>
  </si>
  <si>
    <t>ESVLC</t>
    <phoneticPr fontId="28" type="noConversion"/>
  </si>
  <si>
    <t>USRCH</t>
    <phoneticPr fontId="28" type="noConversion"/>
  </si>
  <si>
    <t>영국</t>
    <phoneticPr fontId="28" type="noConversion"/>
  </si>
  <si>
    <t>ITGOA</t>
    <phoneticPr fontId="28" type="noConversion"/>
  </si>
  <si>
    <t>AUFRE</t>
    <phoneticPr fontId="28" type="noConversion"/>
  </si>
  <si>
    <t>HUBUD</t>
    <phoneticPr fontId="28" type="noConversion"/>
  </si>
  <si>
    <t>달라스</t>
    <phoneticPr fontId="28" type="noConversion"/>
  </si>
  <si>
    <t>USDAL</t>
    <phoneticPr fontId="28" type="noConversion"/>
  </si>
  <si>
    <t>더반</t>
    <phoneticPr fontId="28" type="noConversion"/>
  </si>
  <si>
    <t>ZADUR</t>
    <phoneticPr fontId="28" type="noConversion"/>
  </si>
  <si>
    <t>카자흐스탄</t>
    <phoneticPr fontId="28" type="noConversion"/>
  </si>
  <si>
    <t>KZPRA</t>
    <phoneticPr fontId="28" type="noConversion"/>
  </si>
  <si>
    <t>이스라엘</t>
    <phoneticPr fontId="28" type="noConversion"/>
  </si>
  <si>
    <t>ILMSP</t>
    <phoneticPr fontId="28" type="noConversion"/>
  </si>
  <si>
    <t>체코</t>
    <phoneticPr fontId="28" type="noConversion"/>
  </si>
  <si>
    <t>시카고</t>
    <phoneticPr fontId="28" type="noConversion"/>
  </si>
  <si>
    <t>USCHI</t>
    <phoneticPr fontId="28" type="noConversion"/>
  </si>
  <si>
    <t>뉴욕(사우스윈져, 제임스버그)</t>
    <phoneticPr fontId="28" type="noConversion"/>
  </si>
  <si>
    <t>USJFK</t>
    <phoneticPr fontId="28" type="noConversion"/>
  </si>
  <si>
    <t>브레머하벤</t>
    <phoneticPr fontId="28" type="noConversion"/>
  </si>
  <si>
    <t>MONTEVIDEO</t>
    <phoneticPr fontId="28" type="noConversion"/>
  </si>
  <si>
    <t>UYMVD</t>
    <phoneticPr fontId="28" type="noConversion"/>
  </si>
  <si>
    <t>타지키스탄</t>
    <phoneticPr fontId="28" type="noConversion"/>
  </si>
  <si>
    <t>TJDUS</t>
    <phoneticPr fontId="28" type="noConversion"/>
  </si>
  <si>
    <t>Tadzhikistan</t>
    <phoneticPr fontId="28" type="noConversion"/>
  </si>
  <si>
    <t>NANTONG</t>
    <phoneticPr fontId="28" type="noConversion"/>
  </si>
  <si>
    <t>POSORJA</t>
    <phoneticPr fontId="28" type="noConversion"/>
  </si>
  <si>
    <t>ECPSJ</t>
    <phoneticPr fontId="28" type="noConversion"/>
  </si>
  <si>
    <t>NHAVA SHEVA</t>
    <phoneticPr fontId="28" type="noConversion"/>
  </si>
  <si>
    <t>INNSA</t>
    <phoneticPr fontId="28" type="noConversion"/>
  </si>
  <si>
    <t>Chittagong</t>
    <phoneticPr fontId="28" type="noConversion"/>
  </si>
  <si>
    <t>GUAYAQUIL</t>
    <phoneticPr fontId="28" type="noConversion"/>
  </si>
  <si>
    <t>ECGYE</t>
    <phoneticPr fontId="28" type="noConversion"/>
  </si>
  <si>
    <t>KARACHI</t>
    <phoneticPr fontId="28" type="noConversion"/>
  </si>
  <si>
    <t>KLMKA</t>
    <phoneticPr fontId="28" type="noConversion"/>
  </si>
  <si>
    <t>Chile</t>
    <phoneticPr fontId="28" type="noConversion"/>
  </si>
  <si>
    <t>칠레</t>
    <phoneticPr fontId="28" type="noConversion"/>
  </si>
  <si>
    <t>DAMIETTA</t>
    <phoneticPr fontId="28" type="noConversion"/>
  </si>
  <si>
    <t>EGDAM</t>
    <phoneticPr fontId="28" type="noConversion"/>
  </si>
  <si>
    <t>ALMATY</t>
    <phoneticPr fontId="28" type="noConversion"/>
  </si>
  <si>
    <t>KZALA</t>
    <phoneticPr fontId="28" type="noConversion"/>
  </si>
  <si>
    <t>EVYAP</t>
    <phoneticPr fontId="28" type="noConversion"/>
  </si>
  <si>
    <t>IZMIT</t>
    <phoneticPr fontId="28" type="noConversion"/>
  </si>
  <si>
    <t>CLSAI</t>
  </si>
  <si>
    <t>KRONSHTADT</t>
    <phoneticPr fontId="28" type="noConversion"/>
  </si>
  <si>
    <t xml:space="preserve">RUKDT </t>
    <phoneticPr fontId="28" type="noConversion"/>
  </si>
  <si>
    <t>BRONKA</t>
    <phoneticPr fontId="28" type="noConversion"/>
  </si>
  <si>
    <t>RUBNK</t>
    <phoneticPr fontId="28" type="noConversion"/>
  </si>
  <si>
    <t>VLADIVOSTOK</t>
    <phoneticPr fontId="28" type="noConversion"/>
  </si>
  <si>
    <t xml:space="preserve">RUVVO </t>
    <phoneticPr fontId="28" type="noConversion"/>
  </si>
  <si>
    <t>RUVYP</t>
    <phoneticPr fontId="28" type="noConversion"/>
  </si>
  <si>
    <t>VOSTOCHNIY</t>
    <phoneticPr fontId="28" type="noConversion"/>
  </si>
  <si>
    <t>인천여객</t>
    <phoneticPr fontId="30" type="noConversion"/>
  </si>
  <si>
    <t>H000_JC</t>
    <phoneticPr fontId="28" type="noConversion"/>
  </si>
  <si>
    <t>울산광역시 울주군 두서면 활천 산업로 136 (활천리)</t>
    <phoneticPr fontId="28" type="noConversion"/>
  </si>
  <si>
    <t>PROCON</t>
  </si>
  <si>
    <t>Webasto Mexico</t>
  </si>
  <si>
    <t>F000018979</t>
  </si>
  <si>
    <t>UH03</t>
  </si>
  <si>
    <t>MH03</t>
  </si>
  <si>
    <t>S0091</t>
  </si>
  <si>
    <t>GA0196</t>
  </si>
  <si>
    <t>GA1302</t>
  </si>
  <si>
    <t>USHS</t>
  </si>
  <si>
    <t>GA0011</t>
  </si>
  <si>
    <t>GA2982</t>
  </si>
  <si>
    <t>GA2717</t>
  </si>
  <si>
    <t>HMB</t>
  </si>
  <si>
    <t>HMCIST</t>
  </si>
  <si>
    <t>VH07</t>
  </si>
  <si>
    <t>VNHPH</t>
  </si>
  <si>
    <t>F000018228</t>
  </si>
  <si>
    <t>GA0151</t>
  </si>
  <si>
    <t>G001</t>
  </si>
  <si>
    <t>CC54</t>
  </si>
  <si>
    <t>GLAPS</t>
    <phoneticPr fontId="30" type="noConversion"/>
  </si>
  <si>
    <t>KRBNP</t>
    <phoneticPr fontId="30" type="noConversion"/>
  </si>
  <si>
    <t>GENOA</t>
    <phoneticPr fontId="28" type="noConversion"/>
  </si>
  <si>
    <t>운송사</t>
  </si>
  <si>
    <t>배차시간</t>
  </si>
  <si>
    <t>구분(오전,오후)</t>
  </si>
  <si>
    <t>실출하지</t>
  </si>
  <si>
    <t>고객사</t>
  </si>
  <si>
    <t>선사</t>
  </si>
  <si>
    <t>사이즈</t>
  </si>
  <si>
    <t>국가(도착항)</t>
  </si>
  <si>
    <t>40HC</t>
  </si>
  <si>
    <t>편성넘버</t>
  </si>
  <si>
    <t>오더구분</t>
    <phoneticPr fontId="18" type="noConversion"/>
  </si>
  <si>
    <t>선사명</t>
    <phoneticPr fontId="18" type="noConversion"/>
  </si>
  <si>
    <t>화주사 코드</t>
    <phoneticPr fontId="18" type="noConversion"/>
  </si>
  <si>
    <t>화주사명</t>
    <phoneticPr fontId="18" type="noConversion"/>
  </si>
  <si>
    <t xml:space="preserve">반출지(출발)코드 </t>
    <phoneticPr fontId="18" type="noConversion"/>
  </si>
  <si>
    <t>작업지(하차지)코드</t>
    <phoneticPr fontId="18" type="noConversion"/>
  </si>
  <si>
    <t>반입지(도착)코드</t>
    <phoneticPr fontId="18" type="noConversion"/>
  </si>
  <si>
    <t>운송경로 코드</t>
    <phoneticPr fontId="18" type="noConversion"/>
  </si>
  <si>
    <t xml:space="preserve">운송서비스 코드 </t>
    <phoneticPr fontId="18" type="noConversion"/>
  </si>
  <si>
    <t>운송서비스명</t>
    <phoneticPr fontId="18" type="noConversion"/>
  </si>
  <si>
    <t>운송사 코드</t>
    <phoneticPr fontId="18" type="noConversion"/>
  </si>
  <si>
    <t>운송사명</t>
    <phoneticPr fontId="18" type="noConversion"/>
  </si>
  <si>
    <t>부킹번호</t>
    <phoneticPr fontId="18" type="noConversion"/>
  </si>
  <si>
    <t>B/L</t>
    <phoneticPr fontId="18" type="noConversion"/>
  </si>
  <si>
    <t>컨테이너 번호</t>
    <phoneticPr fontId="18" type="noConversion"/>
  </si>
  <si>
    <t>MRN</t>
    <phoneticPr fontId="18" type="noConversion"/>
  </si>
  <si>
    <t>POL</t>
    <phoneticPr fontId="18" type="noConversion"/>
  </si>
  <si>
    <t>최종목적지</t>
    <phoneticPr fontId="18" type="noConversion"/>
  </si>
  <si>
    <t>ETA</t>
    <phoneticPr fontId="18" type="noConversion"/>
  </si>
  <si>
    <t>ETD</t>
    <phoneticPr fontId="18" type="noConversion"/>
  </si>
  <si>
    <t xml:space="preserve">DOC </t>
    <phoneticPr fontId="18" type="noConversion"/>
  </si>
  <si>
    <t xml:space="preserve">CGO </t>
    <phoneticPr fontId="18" type="noConversion"/>
  </si>
  <si>
    <t>실화주사 코드</t>
    <phoneticPr fontId="18" type="noConversion"/>
  </si>
  <si>
    <t>실화주사명</t>
    <phoneticPr fontId="18" type="noConversion"/>
  </si>
  <si>
    <t>포워더 코드</t>
    <phoneticPr fontId="18" type="noConversion"/>
  </si>
  <si>
    <t>포워더명</t>
    <phoneticPr fontId="18" type="noConversion"/>
  </si>
  <si>
    <t>선사항차</t>
    <phoneticPr fontId="18" type="noConversion"/>
  </si>
  <si>
    <t>모선코드</t>
    <phoneticPr fontId="18" type="noConversion"/>
  </si>
  <si>
    <t>반출기한</t>
    <phoneticPr fontId="18" type="noConversion"/>
  </si>
  <si>
    <t>모선항차</t>
    <phoneticPr fontId="18" type="noConversion"/>
  </si>
  <si>
    <t>모선명</t>
    <phoneticPr fontId="18" type="noConversion"/>
  </si>
  <si>
    <t>선적지</t>
    <phoneticPr fontId="18" type="noConversion"/>
  </si>
  <si>
    <t>터미널</t>
    <phoneticPr fontId="18" type="noConversion"/>
  </si>
  <si>
    <t>양하터미널</t>
    <phoneticPr fontId="18" type="noConversion"/>
  </si>
  <si>
    <t>반출예약</t>
    <phoneticPr fontId="18" type="noConversion"/>
  </si>
  <si>
    <t>냉동 여부</t>
    <phoneticPr fontId="18" type="noConversion"/>
  </si>
  <si>
    <t xml:space="preserve">위험물 여부 </t>
    <phoneticPr fontId="18" type="noConversion"/>
  </si>
  <si>
    <t>FREE TIME</t>
    <phoneticPr fontId="18" type="noConversion"/>
  </si>
  <si>
    <t>공컨반납기한</t>
    <phoneticPr fontId="18" type="noConversion"/>
  </si>
  <si>
    <t>반출CY</t>
    <phoneticPr fontId="18" type="noConversion"/>
  </si>
  <si>
    <t>반입CY</t>
    <phoneticPr fontId="18" type="noConversion"/>
  </si>
  <si>
    <t>ODCY업체코드</t>
    <phoneticPr fontId="18" type="noConversion"/>
  </si>
  <si>
    <t>선픽업</t>
    <phoneticPr fontId="18" type="noConversion"/>
  </si>
  <si>
    <t>컨사이니</t>
    <phoneticPr fontId="28" type="noConversion"/>
  </si>
  <si>
    <t>할증 1</t>
    <phoneticPr fontId="28" type="noConversion"/>
  </si>
  <si>
    <t>할증 2</t>
  </si>
  <si>
    <t>할증 3</t>
  </si>
  <si>
    <t>할증 4</t>
  </si>
  <si>
    <t>할증 5</t>
  </si>
  <si>
    <t>오더등록자명</t>
    <phoneticPr fontId="18" type="noConversion"/>
  </si>
  <si>
    <t>오더등록자연락처</t>
    <phoneticPr fontId="18" type="noConversion"/>
  </si>
  <si>
    <t>오더등록업체코드</t>
    <phoneticPr fontId="18" type="noConversion"/>
  </si>
  <si>
    <t>오더등록자이메일</t>
    <phoneticPr fontId="18" type="noConversion"/>
  </si>
  <si>
    <t>통지사항</t>
    <phoneticPr fontId="18" type="noConversion"/>
  </si>
  <si>
    <t>CKD</t>
    <phoneticPr fontId="28" type="noConversion"/>
  </si>
  <si>
    <t>아산1센터</t>
    <phoneticPr fontId="28" type="noConversion"/>
  </si>
  <si>
    <t>아산2센터</t>
    <phoneticPr fontId="28" type="noConversion"/>
  </si>
  <si>
    <t>3공장</t>
    <phoneticPr fontId="28" type="noConversion"/>
  </si>
  <si>
    <t>2공장</t>
    <phoneticPr fontId="28" type="noConversion"/>
  </si>
  <si>
    <t>팽성공장</t>
    <phoneticPr fontId="28" type="noConversion"/>
  </si>
  <si>
    <t>오성공장</t>
    <phoneticPr fontId="28" type="noConversion"/>
  </si>
  <si>
    <t>전북 완주군 봉동읍 완주산단7로 107</t>
    <phoneticPr fontId="28" type="noConversion"/>
  </si>
  <si>
    <t>뷰텍2포장장</t>
    <phoneticPr fontId="28" type="noConversion"/>
  </si>
  <si>
    <t>전라북도 완주군 봉동읍 완주산단2로 268</t>
    <phoneticPr fontId="28" type="noConversion"/>
  </si>
  <si>
    <t>뷰텍1포장장</t>
    <phoneticPr fontId="28" type="noConversion"/>
  </si>
  <si>
    <t>광주광역시 평동산단10번로 19</t>
    <phoneticPr fontId="28" type="noConversion"/>
  </si>
  <si>
    <t>MIP</t>
    <phoneticPr fontId="28" type="noConversion"/>
  </si>
  <si>
    <t>서영(경주)</t>
  </si>
  <si>
    <t>경북 경주시 외동읍 문산리282</t>
  </si>
  <si>
    <t>　</t>
  </si>
  <si>
    <t>서영(아산)</t>
  </si>
  <si>
    <t>충남 아산시 인주면 걸매리 1020</t>
  </si>
  <si>
    <t>울산공장</t>
  </si>
  <si>
    <t>울산광역시 북구 효문동 염포로 700</t>
  </si>
  <si>
    <t>아산공장</t>
  </si>
  <si>
    <t>충남 아산시 인주면 현대로 1077</t>
  </si>
  <si>
    <t>아산 대한</t>
  </si>
  <si>
    <t>충남 아산시 인주면 아산호로 95</t>
  </si>
  <si>
    <t>충남 아산시 선장면 삽교천로 2-24</t>
  </si>
  <si>
    <t>아산 우성테크</t>
  </si>
  <si>
    <t>동우(모화)</t>
  </si>
  <si>
    <t>S009_H14</t>
  </si>
  <si>
    <t>경북 경주시 외동읍 모화산단길 114</t>
  </si>
  <si>
    <t>동우(문산)</t>
  </si>
  <si>
    <t>경북 경주시 외동읍 문산공단길 84-105</t>
  </si>
  <si>
    <t>동우(메탈)</t>
  </si>
  <si>
    <t>경북 경주시 외동읍 문산공단길 84-202</t>
  </si>
  <si>
    <t>동우(입실)</t>
  </si>
  <si>
    <t>경북 경주시 외동읍 입실리 1172-8</t>
  </si>
  <si>
    <t>동우(명성)</t>
  </si>
  <si>
    <t>경북 경주시 외동읍 문산공단길 84-250</t>
  </si>
  <si>
    <t>동우(세웅)</t>
  </si>
  <si>
    <t>경북 경주시 외동읍 문산공단 안길 7-10</t>
  </si>
  <si>
    <t>대한포장(울산1공장)</t>
  </si>
  <si>
    <t>울산광역시 울주군 청량읍 처용산업3길 74(용암리 933)</t>
  </si>
  <si>
    <t>대한포장(울산2공장)</t>
  </si>
  <si>
    <t>울산광역시 울주군 온산읍 처용산업 3길 30-27</t>
  </si>
  <si>
    <t>대한포장(울산3공장)</t>
  </si>
  <si>
    <t>울산광역시 울주군 온산읍 처용산업 3길 30-36</t>
  </si>
  <si>
    <t>경북 경주시 외동읍 외남로 1704-39 </t>
  </si>
  <si>
    <t>대한포장(경주2공장_봉계)</t>
  </si>
  <si>
    <t>울산광역시 울주군 두동면 봉계농공길 41</t>
  </si>
  <si>
    <t>유니팩봉계, 직대포장장</t>
  </si>
  <si>
    <t>유니팩경주</t>
  </si>
  <si>
    <t>유니팩(경주)</t>
  </si>
  <si>
    <t>경주시 외동읍 문산공단길 84-206</t>
  </si>
  <si>
    <t>유니팩(경주,외동,문산,입실)</t>
  </si>
  <si>
    <t>유니팩(입실)</t>
  </si>
  <si>
    <t>유니팩(문산)</t>
  </si>
  <si>
    <t>유니팩(외동)</t>
  </si>
  <si>
    <t>대한포장(경주)</t>
  </si>
  <si>
    <t>S009_H18</t>
  </si>
  <si>
    <t>경주대한(경주,외동,문산,입실)</t>
  </si>
  <si>
    <t>핸즈코퍼레이션</t>
  </si>
  <si>
    <t>경북 경주시 외동읍 문산공단길 84-206 신뢰기업 경주공장</t>
  </si>
  <si>
    <t>경기도 평택시 포승읍 평택항로 156번길 87</t>
  </si>
  <si>
    <t>서영(용연)</t>
  </si>
  <si>
    <t>울산광역시 남구 선암동 186-3</t>
  </si>
  <si>
    <t>용연서영</t>
  </si>
  <si>
    <t>서영(여천)</t>
  </si>
  <si>
    <t>울산광역시 남구 여천동 426-27</t>
  </si>
  <si>
    <t>여천서영</t>
  </si>
  <si>
    <t>대호물류(아산)</t>
  </si>
  <si>
    <t>대호물류(경주)</t>
  </si>
  <si>
    <t>S013_M03</t>
  </si>
  <si>
    <t>S009_H27</t>
  </si>
  <si>
    <t>넥센타이어</t>
  </si>
  <si>
    <t>S009_H29</t>
  </si>
  <si>
    <t>울산광역시 울주군 삼남면 하방로 77 (주)넥센</t>
  </si>
  <si>
    <t>서영(전주)</t>
  </si>
  <si>
    <t>전북 완주군 봉동읍 테크노밸리1로 49</t>
  </si>
  <si>
    <t>서영(부산)</t>
  </si>
  <si>
    <t>부산광역시 강서구 생곡산단1로 24번길 51</t>
  </si>
  <si>
    <t>서영(익산)</t>
  </si>
  <si>
    <t>서영(용연)-파텍스(서산)</t>
  </si>
  <si>
    <t>S009_H21_23</t>
  </si>
  <si>
    <t>파텍스(서산)-의왕ICD</t>
  </si>
  <si>
    <t>S009_H23_UW</t>
  </si>
  <si>
    <t>서양(아산)-의왕ICD</t>
  </si>
  <si>
    <t>S009_H02_UW</t>
  </si>
  <si>
    <t>대한포장(청량)-서산파텍스</t>
  </si>
  <si>
    <t>S009_H17_23</t>
  </si>
  <si>
    <t>S009_H14_23</t>
  </si>
  <si>
    <t>동우(경주)-서산파텍스</t>
  </si>
  <si>
    <t>유니팩(봉계)-서산파텍스</t>
  </si>
  <si>
    <t>S009_H15_23</t>
  </si>
  <si>
    <t>경림(아산)-의왕ICD</t>
  </si>
  <si>
    <t>H000_YK_UW</t>
  </si>
  <si>
    <t>대한포장(아산)-의왕ICD</t>
  </si>
  <si>
    <t>S009_H11_UW</t>
  </si>
  <si>
    <t>유니팩(경주)-서산파텍스</t>
  </si>
  <si>
    <t>S009_H16_23</t>
  </si>
  <si>
    <t>현대모비스 (AS,모듈)</t>
    <phoneticPr fontId="28" type="noConversion"/>
  </si>
  <si>
    <t>김제 PMI 코리아 산업</t>
  </si>
  <si>
    <t>전라북도 김제시 만경읍 대동리 1137</t>
  </si>
  <si>
    <t>충청남도 아산시 영인면 신봉리 840-2</t>
  </si>
  <si>
    <t>천안수출물류센터</t>
  </si>
  <si>
    <t>충남 천안시 서북구 입장면 용정리 235-11</t>
  </si>
  <si>
    <t>경주 SDP</t>
    <phoneticPr fontId="29" type="noConversion"/>
  </si>
  <si>
    <t>경상북도 경주시 외동읍 구어리 12-53</t>
  </si>
  <si>
    <t>모비스 AS울산1센터</t>
  </si>
  <si>
    <t>울산광역시 북구 염포동 265</t>
  </si>
  <si>
    <t>울산2 도크</t>
  </si>
  <si>
    <t>울산광역시 남구 매암동 393번지(야음장생포동)</t>
  </si>
  <si>
    <t>울산2 임시창고</t>
  </si>
  <si>
    <t>울산광역시 남구 황성동 842-2(선암동)</t>
  </si>
  <si>
    <t>울산2 범퍼</t>
  </si>
  <si>
    <t>모비스 AS울산3센터</t>
  </si>
  <si>
    <t>울산광역시 남구 장생포동 323(야음장생포동)</t>
  </si>
  <si>
    <t>울산(서영)</t>
    <phoneticPr fontId="29" type="noConversion"/>
  </si>
  <si>
    <t>울산광역시 남구 성암동 186-3</t>
  </si>
  <si>
    <t>닷썸</t>
    <phoneticPr fontId="29" type="noConversion"/>
  </si>
  <si>
    <t>S013_PAT</t>
  </si>
  <si>
    <t xml:space="preserve">경기도 파주시 탄현면 웅지로 44-78 </t>
  </si>
  <si>
    <t>경상북도 경주시 외동읍 문산공단길 215</t>
  </si>
  <si>
    <t>아산 서영</t>
  </si>
  <si>
    <t>충청남도 아산시 인주면 인주산단로 151</t>
  </si>
  <si>
    <t>울산 서영(울산 여천)</t>
  </si>
  <si>
    <t>울산광역시 남구 야음장생포동</t>
  </si>
  <si>
    <t>경주 대호</t>
  </si>
  <si>
    <t>경상북도 경주시 외동읍 제내리 903-26</t>
  </si>
  <si>
    <t>울산 서영(울산 용연)</t>
  </si>
  <si>
    <t>울산광역시 남구 성암동 186-3(선암동)</t>
  </si>
  <si>
    <t>경상남도 창원시 성산구 성산동 43(웅남동)</t>
  </si>
  <si>
    <t>김천 모비스</t>
  </si>
  <si>
    <t>S013_M06</t>
  </si>
  <si>
    <t>경상북도 김천시 대신동 1020 번지</t>
  </si>
  <si>
    <t>경상남도 김해시 진례면 고모리 1562-14</t>
  </si>
  <si>
    <t>김해 대호(신규공장)</t>
  </si>
  <si>
    <t>경남 김해시 풍유동 1006-14</t>
  </si>
  <si>
    <t>서산 서영</t>
    <phoneticPr fontId="29" type="noConversion"/>
  </si>
  <si>
    <t xml:space="preserve">충남 서산시 지곡면 무장산업로 201-100 </t>
  </si>
  <si>
    <t>충남 아산시 둔포면 석곡길 40-49</t>
  </si>
  <si>
    <t>아산 대호</t>
  </si>
  <si>
    <t>충청남도 아산시 영인면 신봉리 80-1</t>
  </si>
  <si>
    <t>전라북도 완주군 봉동읍 완주산단8로 45</t>
  </si>
  <si>
    <t>울산시 울주군 웅촌면 당고개1길 42-32</t>
  </si>
  <si>
    <t>성력</t>
  </si>
  <si>
    <t>S013_M031</t>
  </si>
  <si>
    <t>천안친환경물류센터</t>
  </si>
  <si>
    <t>EEA(H)</t>
    <phoneticPr fontId="28" type="noConversion"/>
  </si>
  <si>
    <t>충남 천안시 서북구 성환읍 율금리 775-7</t>
    <phoneticPr fontId="28" type="noConversion"/>
  </si>
  <si>
    <t>7/1일부 출하발생 예정</t>
    <phoneticPr fontId="28" type="noConversion"/>
  </si>
  <si>
    <t>EEK(K)</t>
    <phoneticPr fontId="28" type="noConversion"/>
  </si>
  <si>
    <t>지역</t>
    <phoneticPr fontId="28" type="noConversion"/>
  </si>
  <si>
    <t>GA3067</t>
  </si>
  <si>
    <t>F000018551</t>
  </si>
  <si>
    <t>I584</t>
  </si>
  <si>
    <t>DH02</t>
  </si>
  <si>
    <t>GA2327</t>
  </si>
  <si>
    <t>GA2355</t>
  </si>
  <si>
    <t>MC09</t>
  </si>
  <si>
    <t>LA4080</t>
  </si>
  <si>
    <t>GA1328</t>
  </si>
  <si>
    <t>GA2797</t>
  </si>
  <si>
    <t>GA1111</t>
  </si>
  <si>
    <t>YSIND</t>
  </si>
  <si>
    <t>GA2993</t>
  </si>
  <si>
    <t>GA2814</t>
  </si>
  <si>
    <t>F000018555</t>
  </si>
  <si>
    <t>SJAL</t>
  </si>
  <si>
    <t>GA2704</t>
  </si>
  <si>
    <t>GA2678</t>
  </si>
  <si>
    <t>F000018379</t>
  </si>
  <si>
    <t>F000018140</t>
  </si>
  <si>
    <t>GA0030</t>
  </si>
  <si>
    <t>GA0225</t>
  </si>
  <si>
    <t>GA1670</t>
  </si>
  <si>
    <t>BM08</t>
  </si>
  <si>
    <t>GA0491</t>
  </si>
  <si>
    <t>MY01</t>
  </si>
  <si>
    <t>GA2445</t>
  </si>
  <si>
    <t>브라질</t>
  </si>
  <si>
    <t>인니</t>
  </si>
  <si>
    <t>Z000</t>
  </si>
  <si>
    <t>싱가폴</t>
  </si>
  <si>
    <t>터키</t>
  </si>
  <si>
    <t>체코</t>
  </si>
  <si>
    <t>인도</t>
  </si>
  <si>
    <t>미국</t>
  </si>
  <si>
    <t>DUMMY</t>
  </si>
  <si>
    <t>스리랑카</t>
  </si>
  <si>
    <t>HNMPL</t>
  </si>
  <si>
    <t>파키스탄</t>
  </si>
  <si>
    <t>F000018361</t>
  </si>
  <si>
    <t>광저우</t>
  </si>
  <si>
    <t>천베트남</t>
  </si>
  <si>
    <t>베트남</t>
  </si>
  <si>
    <t>대만</t>
  </si>
  <si>
    <t>인도네시아</t>
  </si>
  <si>
    <t>방글라데시</t>
  </si>
  <si>
    <t>CNSHA</t>
  </si>
  <si>
    <t>중국북경</t>
  </si>
  <si>
    <t>에콰도르</t>
  </si>
  <si>
    <t>라오스</t>
  </si>
  <si>
    <t>PT</t>
  </si>
  <si>
    <t>HTK</t>
  </si>
  <si>
    <t>카자흐스탄</t>
  </si>
  <si>
    <t>TWTPE</t>
  </si>
  <si>
    <t>이집트</t>
  </si>
  <si>
    <t>BHMC</t>
  </si>
  <si>
    <t>중국</t>
  </si>
  <si>
    <t>INOKOM</t>
  </si>
  <si>
    <t>말레이시아</t>
  </si>
  <si>
    <t>CNXCG</t>
  </si>
  <si>
    <t>북경</t>
  </si>
  <si>
    <t>베이징</t>
  </si>
  <si>
    <t>모비스</t>
    <phoneticPr fontId="28" type="noConversion"/>
  </si>
  <si>
    <t>북미</t>
    <phoneticPr fontId="28" type="noConversion"/>
  </si>
  <si>
    <t>아태</t>
    <phoneticPr fontId="28" type="noConversion"/>
  </si>
  <si>
    <t>유럽</t>
    <phoneticPr fontId="28" type="noConversion"/>
  </si>
  <si>
    <t>중남미</t>
    <phoneticPr fontId="28" type="noConversion"/>
  </si>
  <si>
    <t>POD코드</t>
    <phoneticPr fontId="18" type="noConversion"/>
  </si>
  <si>
    <t>국가</t>
    <phoneticPr fontId="18" type="noConversion"/>
  </si>
  <si>
    <t>DUBAI</t>
    <phoneticPr fontId="28" type="noConversion"/>
  </si>
  <si>
    <t>Belgium</t>
    <phoneticPr fontId="28" type="noConversion"/>
  </si>
  <si>
    <t>ATLANTA</t>
    <phoneticPr fontId="28" type="noConversion"/>
  </si>
  <si>
    <t>FREMANTLE</t>
    <phoneticPr fontId="28" type="noConversion"/>
  </si>
  <si>
    <t>SYDNEY</t>
    <phoneticPr fontId="28" type="noConversion"/>
  </si>
  <si>
    <t>치타공</t>
    <phoneticPr fontId="28" type="noConversion"/>
  </si>
  <si>
    <t>다카</t>
    <phoneticPr fontId="28" type="noConversion"/>
  </si>
  <si>
    <t>산토스</t>
    <phoneticPr fontId="28" type="noConversion"/>
  </si>
  <si>
    <t>MARKHAM</t>
    <phoneticPr fontId="28" type="noConversion"/>
  </si>
  <si>
    <t>마타다이</t>
    <phoneticPr fontId="28" type="noConversion"/>
  </si>
  <si>
    <t>황푸</t>
    <phoneticPr fontId="28" type="noConversion"/>
  </si>
  <si>
    <t>린양강</t>
    <phoneticPr fontId="28" type="noConversion"/>
  </si>
  <si>
    <t>VALENCIA</t>
    <phoneticPr fontId="28" type="noConversion"/>
  </si>
  <si>
    <t xml:space="preserve">PAKISTAN </t>
    <phoneticPr fontId="28" type="noConversion"/>
  </si>
  <si>
    <t>DALLAS</t>
    <phoneticPr fontId="28" type="noConversion"/>
  </si>
  <si>
    <t>뉴욕</t>
    <phoneticPr fontId="28" type="noConversion"/>
  </si>
  <si>
    <t>미국 LONG BEACH, CA</t>
    <phoneticPr fontId="28" type="noConversion"/>
  </si>
  <si>
    <t>마이애미</t>
    <phoneticPr fontId="28" type="noConversion"/>
  </si>
  <si>
    <t>JEFFERSON(현대)</t>
    <phoneticPr fontId="28" type="noConversion"/>
  </si>
  <si>
    <t>JEFFERSON(현대 별곤)</t>
    <phoneticPr fontId="28" type="noConversion"/>
  </si>
  <si>
    <t>MONTGOMERY</t>
    <phoneticPr fontId="28" type="noConversion"/>
  </si>
  <si>
    <t>스리랑카</t>
    <phoneticPr fontId="28" type="noConversion"/>
  </si>
  <si>
    <t>네팔</t>
    <phoneticPr fontId="28" type="noConversion"/>
  </si>
  <si>
    <t>광저우</t>
    <phoneticPr fontId="28" type="noConversion"/>
  </si>
  <si>
    <t>BEANR</t>
    <phoneticPr fontId="28" type="noConversion"/>
  </si>
  <si>
    <t>ANTWERP</t>
    <phoneticPr fontId="28" type="noConversion"/>
  </si>
  <si>
    <t>CLSAI</t>
    <phoneticPr fontId="28" type="noConversion"/>
  </si>
  <si>
    <t>GROVEPORT</t>
    <phoneticPr fontId="28" type="noConversion"/>
  </si>
  <si>
    <t>Southampton</t>
    <phoneticPr fontId="28" type="noConversion"/>
  </si>
  <si>
    <t>BUTTERWORTH, MALAYSIA</t>
    <phoneticPr fontId="28" type="noConversion"/>
  </si>
  <si>
    <t>PORT KELANG,MALAYSIA</t>
    <phoneticPr fontId="28" type="noConversion"/>
  </si>
  <si>
    <t>KOPER, SLOVENIA (체코슬로베니아)</t>
    <phoneticPr fontId="28" type="noConversion"/>
  </si>
  <si>
    <t>AURORA</t>
    <phoneticPr fontId="28" type="noConversion"/>
  </si>
  <si>
    <t>Miami, United States of America</t>
    <phoneticPr fontId="28" type="noConversion"/>
  </si>
  <si>
    <t>Mobile, United States</t>
    <phoneticPr fontId="28" type="noConversion"/>
  </si>
  <si>
    <t>Richmond, United States</t>
    <phoneticPr fontId="28" type="noConversion"/>
  </si>
  <si>
    <t>Tacoma, United States</t>
    <phoneticPr fontId="28" type="noConversion"/>
  </si>
  <si>
    <t>DURBAN</t>
    <phoneticPr fontId="28" type="noConversion"/>
  </si>
  <si>
    <t>DAMIETTA, EGYPT</t>
    <phoneticPr fontId="28" type="noConversion"/>
  </si>
  <si>
    <t>AUSYD</t>
    <phoneticPr fontId="28" type="noConversion"/>
  </si>
  <si>
    <t>SYDNEY, AUSTRALIA</t>
    <phoneticPr fontId="28" type="noConversion"/>
  </si>
  <si>
    <t>RUBNK - BRONKA</t>
    <phoneticPr fontId="28" type="noConversion"/>
  </si>
  <si>
    <t>RBRONKA</t>
    <phoneticPr fontId="28" type="noConversion"/>
  </si>
  <si>
    <t>RUKDT - KRONSHTADT</t>
    <phoneticPr fontId="28" type="noConversion"/>
  </si>
  <si>
    <t>RULED - SAINT PETERSBURG (LENINGRAD)</t>
    <phoneticPr fontId="28" type="noConversion"/>
  </si>
  <si>
    <t>SAINT PETERSBURG (LENINGRAD)</t>
    <phoneticPr fontId="28" type="noConversion"/>
  </si>
  <si>
    <t>RUVVO - VLADIVOSTOK</t>
    <phoneticPr fontId="28" type="noConversion"/>
  </si>
  <si>
    <t>RUVYP - VOSTOCHNY</t>
    <phoneticPr fontId="28" type="noConversion"/>
  </si>
  <si>
    <t>VOSTOCHNY</t>
    <phoneticPr fontId="28" type="noConversion"/>
  </si>
  <si>
    <t>LAWRENCEVILLE</t>
    <phoneticPr fontId="28" type="noConversion"/>
  </si>
  <si>
    <t>LKCMB</t>
    <phoneticPr fontId="28" type="noConversion"/>
  </si>
  <si>
    <t>COLOMBO</t>
    <phoneticPr fontId="28" type="noConversion"/>
  </si>
  <si>
    <t>INCCU</t>
    <phoneticPr fontId="28" type="noConversion"/>
  </si>
  <si>
    <t>CALCUTTA</t>
    <phoneticPr fontId="28" type="noConversion"/>
  </si>
  <si>
    <t>ESBCN</t>
    <phoneticPr fontId="28" type="noConversion"/>
  </si>
  <si>
    <t>BARCELONA, SPAIN</t>
    <phoneticPr fontId="28" type="noConversion"/>
  </si>
  <si>
    <t>JEFFERSON</t>
    <phoneticPr fontId="28" type="noConversion"/>
  </si>
  <si>
    <t>USEWR</t>
    <phoneticPr fontId="28" type="noConversion"/>
  </si>
  <si>
    <t>SOUTH WINDSOR</t>
    <phoneticPr fontId="28" type="noConversion"/>
  </si>
  <si>
    <t>JAMESBURG</t>
    <phoneticPr fontId="28" type="noConversion"/>
  </si>
  <si>
    <t>ONTARIO</t>
    <phoneticPr fontId="28" type="noConversion"/>
  </si>
  <si>
    <t>RIVERSIDE</t>
    <phoneticPr fontId="28" type="noConversion"/>
  </si>
  <si>
    <t>LANCASTER</t>
    <phoneticPr fontId="28" type="noConversion"/>
  </si>
  <si>
    <t>SUMNER</t>
    <phoneticPr fontId="28" type="noConversion"/>
  </si>
  <si>
    <t>USTPA</t>
    <phoneticPr fontId="28" type="noConversion"/>
  </si>
  <si>
    <t>ABURNDALE</t>
    <phoneticPr fontId="28" type="noConversion"/>
  </si>
  <si>
    <t>-</t>
    <phoneticPr fontId="28" type="noConversion"/>
  </si>
  <si>
    <t>CAPRR</t>
    <phoneticPr fontId="28" type="noConversion"/>
  </si>
  <si>
    <t>CALGARY</t>
    <phoneticPr fontId="28" type="noConversion"/>
  </si>
  <si>
    <t>CAVAN</t>
    <phoneticPr fontId="28" type="noConversion"/>
  </si>
  <si>
    <t>DELTA</t>
    <phoneticPr fontId="28" type="noConversion"/>
  </si>
  <si>
    <t>BERHNA</t>
    <phoneticPr fontId="28" type="noConversion"/>
  </si>
  <si>
    <t>TAMWORTH</t>
    <phoneticPr fontId="28" type="noConversion"/>
  </si>
  <si>
    <t>SEGOT</t>
    <phoneticPr fontId="28" type="noConversion"/>
  </si>
  <si>
    <t>JONKOPING</t>
    <phoneticPr fontId="28" type="noConversion"/>
  </si>
  <si>
    <t>SAN FERNANDOS</t>
    <phoneticPr fontId="28" type="noConversion"/>
  </si>
  <si>
    <t>PREGNANA MILANESE</t>
    <phoneticPr fontId="28" type="noConversion"/>
  </si>
  <si>
    <t>RUVVO</t>
    <phoneticPr fontId="28" type="noConversion"/>
  </si>
  <si>
    <t>Moscow</t>
    <phoneticPr fontId="28" type="noConversion"/>
  </si>
  <si>
    <t>Ekaterinburg</t>
    <phoneticPr fontId="28" type="noConversion"/>
  </si>
  <si>
    <t>Kazan</t>
    <phoneticPr fontId="28" type="noConversion"/>
  </si>
  <si>
    <t>Rostov</t>
    <phoneticPr fontId="28" type="noConversion"/>
  </si>
  <si>
    <t>St.Petersburg</t>
    <phoneticPr fontId="28" type="noConversion"/>
  </si>
  <si>
    <t>EGALY</t>
    <phoneticPr fontId="28" type="noConversion"/>
  </si>
  <si>
    <t>ALEXANDRIA (OLD)</t>
    <phoneticPr fontId="28" type="noConversion"/>
  </si>
  <si>
    <t>NZAKL</t>
    <phoneticPr fontId="28" type="noConversion"/>
  </si>
  <si>
    <t>AUCKLAND</t>
    <phoneticPr fontId="28" type="noConversion"/>
  </si>
  <si>
    <t>PFPPT</t>
    <phoneticPr fontId="28" type="noConversion"/>
  </si>
  <si>
    <t>PAPEETE</t>
    <phoneticPr fontId="28" type="noConversion"/>
  </si>
  <si>
    <t>NCNOU</t>
    <phoneticPr fontId="28" type="noConversion"/>
  </si>
  <si>
    <t>NOUMEA</t>
    <phoneticPr fontId="28" type="noConversion"/>
  </si>
  <si>
    <t>PGPOM</t>
    <phoneticPr fontId="28" type="noConversion"/>
  </si>
  <si>
    <t>PT.MORESBY</t>
    <phoneticPr fontId="28" type="noConversion"/>
  </si>
  <si>
    <t>HKHKG</t>
    <phoneticPr fontId="28" type="noConversion"/>
  </si>
  <si>
    <t>HONGKONG</t>
    <phoneticPr fontId="28" type="noConversion"/>
  </si>
  <si>
    <t>PHMNN</t>
    <phoneticPr fontId="28" type="noConversion"/>
  </si>
  <si>
    <t>SOUTH MANILA</t>
    <phoneticPr fontId="28" type="noConversion"/>
  </si>
  <si>
    <t>BNMUA</t>
    <phoneticPr fontId="28" type="noConversion"/>
  </si>
  <si>
    <t>MUARA</t>
    <phoneticPr fontId="28" type="noConversion"/>
  </si>
  <si>
    <t>JPYOK</t>
    <phoneticPr fontId="28" type="noConversion"/>
  </si>
  <si>
    <t>YOKOHAMA</t>
    <phoneticPr fontId="28" type="noConversion"/>
  </si>
  <si>
    <t>PKKRC</t>
    <phoneticPr fontId="28" type="noConversion"/>
  </si>
  <si>
    <t>ARBUE</t>
    <phoneticPr fontId="28" type="noConversion"/>
  </si>
  <si>
    <t>BUENOS AIRES</t>
    <phoneticPr fontId="28" type="noConversion"/>
  </si>
  <si>
    <t>PYASU</t>
    <phoneticPr fontId="28" type="noConversion"/>
  </si>
  <si>
    <t>ASUNCION</t>
    <phoneticPr fontId="28" type="noConversion"/>
  </si>
  <si>
    <t>PECLL</t>
    <phoneticPr fontId="28" type="noConversion"/>
  </si>
  <si>
    <t>CALLAO</t>
    <phoneticPr fontId="28" type="noConversion"/>
  </si>
  <si>
    <t>SAN ANTONIO</t>
    <phoneticPr fontId="28" type="noConversion"/>
  </si>
  <si>
    <t>LAZARO</t>
    <phoneticPr fontId="28" type="noConversion"/>
  </si>
  <si>
    <t>천일</t>
    <phoneticPr fontId="18" type="noConversion"/>
  </si>
  <si>
    <t>B050</t>
    <phoneticPr fontId="18" type="noConversion"/>
  </si>
  <si>
    <t>광미로지스</t>
    <phoneticPr fontId="18" type="noConversion"/>
  </si>
  <si>
    <t>G002</t>
    <phoneticPr fontId="18" type="noConversion"/>
  </si>
  <si>
    <t>B590</t>
    <phoneticPr fontId="18" type="noConversion"/>
  </si>
  <si>
    <t>B675</t>
    <phoneticPr fontId="18" type="noConversion"/>
  </si>
  <si>
    <t>E1487</t>
    <phoneticPr fontId="18" type="noConversion"/>
  </si>
  <si>
    <t>B124</t>
    <phoneticPr fontId="18" type="noConversion"/>
  </si>
  <si>
    <t>B414</t>
    <phoneticPr fontId="18" type="noConversion"/>
  </si>
  <si>
    <t>현대모비스</t>
    <phoneticPr fontId="18" type="noConversion"/>
  </si>
  <si>
    <t>S013</t>
    <phoneticPr fontId="18" type="noConversion"/>
  </si>
  <si>
    <t>한백뉴로텍</t>
    <phoneticPr fontId="18" type="noConversion"/>
  </si>
  <si>
    <t>N078</t>
    <phoneticPr fontId="18" type="noConversion"/>
  </si>
  <si>
    <t>I022</t>
  </si>
  <si>
    <t>E922</t>
  </si>
  <si>
    <t>BP</t>
    <phoneticPr fontId="28" type="noConversion"/>
  </si>
  <si>
    <t>B000016649</t>
  </si>
  <si>
    <t>AS</t>
  </si>
  <si>
    <t>1.터미널 코드</t>
    <phoneticPr fontId="18" type="noConversion"/>
  </si>
  <si>
    <t>Location CODE</t>
    <phoneticPr fontId="18" type="noConversion"/>
  </si>
  <si>
    <t>인천/신항</t>
    <phoneticPr fontId="18" type="noConversion"/>
  </si>
  <si>
    <t>02012230</t>
    <phoneticPr fontId="18" type="noConversion"/>
  </si>
  <si>
    <t>03012219</t>
    <phoneticPr fontId="18" type="noConversion"/>
  </si>
  <si>
    <t>03012257</t>
    <phoneticPr fontId="18" type="noConversion"/>
  </si>
  <si>
    <t>03012343</t>
    <phoneticPr fontId="18" type="noConversion"/>
  </si>
  <si>
    <t>03077016</t>
    <phoneticPr fontId="18" type="noConversion"/>
  </si>
  <si>
    <t>03077076</t>
    <phoneticPr fontId="18" type="noConversion"/>
  </si>
  <si>
    <t>(주)국보CY</t>
    <phoneticPr fontId="18" type="noConversion"/>
  </si>
  <si>
    <t>03077013</t>
    <phoneticPr fontId="18" type="noConversion"/>
  </si>
  <si>
    <t>03077135</t>
    <phoneticPr fontId="18" type="noConversion"/>
  </si>
  <si>
    <t>울산신항컨테이너터미널</t>
    <phoneticPr fontId="18" type="noConversion"/>
  </si>
  <si>
    <t>정일부두</t>
    <phoneticPr fontId="18" type="noConversion"/>
  </si>
  <si>
    <t>신항</t>
    <phoneticPr fontId="30" type="noConversion"/>
  </si>
  <si>
    <t>MOBILE</t>
  </si>
  <si>
    <t>KOPER</t>
  </si>
  <si>
    <t>KATTUPALLI</t>
  </si>
  <si>
    <t>SAVANNAH</t>
  </si>
  <si>
    <t>LONG BEACH</t>
  </si>
  <si>
    <t>ENSENADA</t>
  </si>
  <si>
    <t>LA</t>
  </si>
  <si>
    <t>CHULAI</t>
  </si>
  <si>
    <t>MXLZC</t>
  </si>
  <si>
    <t>USLGB</t>
  </si>
  <si>
    <t>MXESE</t>
  </si>
  <si>
    <t>USLAX</t>
  </si>
  <si>
    <t>VNC8Q</t>
  </si>
  <si>
    <t>TANJUNG PRIOK</t>
  </si>
  <si>
    <t>SANTOS</t>
  </si>
  <si>
    <t>IZMIT</t>
  </si>
  <si>
    <t>YARIMCA</t>
  </si>
  <si>
    <t>SINGAPORE</t>
  </si>
  <si>
    <t>HAIPHONG</t>
  </si>
  <si>
    <t>BRSSZ</t>
  </si>
  <si>
    <t>TRIZT</t>
  </si>
  <si>
    <t>TRYAR</t>
  </si>
  <si>
    <t>INNSA</t>
  </si>
  <si>
    <t>LUZHOU</t>
  </si>
  <si>
    <t>PORT QASIM</t>
  </si>
  <si>
    <t>MALASZEWICZE</t>
  </si>
  <si>
    <t>CNLZU</t>
  </si>
  <si>
    <t>PKBQM</t>
  </si>
  <si>
    <t>UYMVD</t>
  </si>
  <si>
    <t>PLMAA</t>
  </si>
  <si>
    <t>NHAVA SHEVA</t>
  </si>
  <si>
    <t>현대글로비스</t>
    <phoneticPr fontId="30" type="noConversion"/>
  </si>
  <si>
    <t>KR10</t>
    <phoneticPr fontId="30" type="noConversion"/>
  </si>
  <si>
    <t>화주</t>
    <phoneticPr fontId="28" type="noConversion"/>
  </si>
  <si>
    <t>LIANYUNGANG</t>
  </si>
  <si>
    <t>NANTONG</t>
  </si>
  <si>
    <t>MANZANILLO</t>
  </si>
  <si>
    <t>WEIHAI</t>
  </si>
  <si>
    <t>재밸알리</t>
    <phoneticPr fontId="28" type="noConversion"/>
  </si>
  <si>
    <t>벨기애</t>
    <phoneticPr fontId="28" type="noConversion"/>
  </si>
  <si>
    <t>앤트워프</t>
    <phoneticPr fontId="28" type="noConversion"/>
  </si>
  <si>
    <t>프리맨탈</t>
    <phoneticPr fontId="28" type="noConversion"/>
  </si>
  <si>
    <t>난퉁</t>
    <phoneticPr fontId="28" type="noConversion"/>
  </si>
  <si>
    <t>상하이</t>
    <phoneticPr fontId="28" type="noConversion"/>
  </si>
  <si>
    <t>칭따오</t>
    <phoneticPr fontId="28" type="noConversion"/>
  </si>
  <si>
    <t>웨이하이</t>
    <phoneticPr fontId="28" type="noConversion"/>
  </si>
  <si>
    <t>신강</t>
    <phoneticPr fontId="28" type="noConversion"/>
  </si>
  <si>
    <t>신강,차이나</t>
    <phoneticPr fontId="28" type="noConversion"/>
  </si>
  <si>
    <t>장지강</t>
    <phoneticPr fontId="28" type="noConversion"/>
  </si>
  <si>
    <t>과야킬</t>
    <phoneticPr fontId="28" type="noConversion"/>
  </si>
  <si>
    <t>탄정프리옥</t>
    <phoneticPr fontId="28" type="noConversion"/>
  </si>
  <si>
    <t>카투팔리</t>
    <phoneticPr fontId="28" type="noConversion"/>
  </si>
  <si>
    <t>첸나이</t>
    <phoneticPr fontId="28" type="noConversion"/>
  </si>
  <si>
    <t>나바샤바</t>
    <phoneticPr fontId="28" type="noConversion"/>
  </si>
  <si>
    <t>제노아</t>
    <phoneticPr fontId="28" type="noConversion"/>
  </si>
  <si>
    <t>자카르타</t>
    <phoneticPr fontId="28" type="noConversion"/>
  </si>
  <si>
    <t>카라치</t>
    <phoneticPr fontId="28" type="noConversion"/>
  </si>
  <si>
    <t>알마티</t>
    <phoneticPr fontId="28" type="noConversion"/>
  </si>
  <si>
    <t>양곤</t>
    <phoneticPr fontId="28" type="noConversion"/>
  </si>
  <si>
    <t>만자닐로</t>
    <phoneticPr fontId="28" type="noConversion"/>
  </si>
  <si>
    <t>라자루</t>
    <phoneticPr fontId="28" type="noConversion"/>
  </si>
  <si>
    <t>까와</t>
    <phoneticPr fontId="28" type="noConversion"/>
  </si>
  <si>
    <t>슬로박</t>
    <phoneticPr fontId="28" type="noConversion"/>
  </si>
  <si>
    <t>재퍼슨</t>
    <phoneticPr fontId="28" type="noConversion"/>
  </si>
  <si>
    <t>LA</t>
    <phoneticPr fontId="28" type="noConversion"/>
  </si>
  <si>
    <t>이즈미트</t>
    <phoneticPr fontId="28" type="noConversion"/>
  </si>
  <si>
    <t>TREVY</t>
  </si>
  <si>
    <t>배차요청일자</t>
    <phoneticPr fontId="18" type="noConversion"/>
  </si>
  <si>
    <t>배차요청시간</t>
    <phoneticPr fontId="18" type="noConversion"/>
  </si>
  <si>
    <t>KR10</t>
  </si>
  <si>
    <t>KMS</t>
  </si>
  <si>
    <t>아산 1포장장</t>
    <phoneticPr fontId="28" type="noConversion"/>
  </si>
  <si>
    <t>아산 2포장장</t>
    <phoneticPr fontId="28" type="noConversion"/>
  </si>
  <si>
    <t>아산 3포장장</t>
    <phoneticPr fontId="28" type="noConversion"/>
  </si>
  <si>
    <t>KCC 글라스</t>
    <phoneticPr fontId="28" type="noConversion"/>
  </si>
  <si>
    <t>경림 3공장</t>
    <phoneticPr fontId="28" type="noConversion"/>
  </si>
  <si>
    <t>경림 2공장</t>
    <phoneticPr fontId="28" type="noConversion"/>
  </si>
  <si>
    <t>셀맥 오성</t>
    <phoneticPr fontId="28" type="noConversion"/>
  </si>
  <si>
    <t>경주 유니팩(냉천,구어,외동)</t>
  </si>
  <si>
    <t>경주 유니팩</t>
    <phoneticPr fontId="28" type="noConversion"/>
  </si>
  <si>
    <t>울산 유니팩</t>
    <phoneticPr fontId="28" type="noConversion"/>
  </si>
  <si>
    <t>현대모비스 김천</t>
    <phoneticPr fontId="28" type="noConversion"/>
  </si>
  <si>
    <t>BUSAN</t>
    <phoneticPr fontId="30" type="noConversion"/>
  </si>
  <si>
    <t>PYONGTAEK</t>
  </si>
  <si>
    <t>KWANGYANG</t>
  </si>
  <si>
    <t>BUSAN(NEW)</t>
    <phoneticPr fontId="30" type="noConversion"/>
  </si>
  <si>
    <t>국가</t>
  </si>
  <si>
    <t>POD코드</t>
  </si>
  <si>
    <t>모빌</t>
  </si>
  <si>
    <t>코퍼</t>
  </si>
  <si>
    <t>조지아</t>
  </si>
  <si>
    <t>슬로박</t>
  </si>
  <si>
    <t>AMBARLI</t>
  </si>
  <si>
    <t>TRAMB</t>
  </si>
  <si>
    <t>BREMERHAVEN</t>
  </si>
  <si>
    <t>DEBRV</t>
  </si>
  <si>
    <t>BUTTERWORTH</t>
  </si>
  <si>
    <t>MYBTW</t>
  </si>
  <si>
    <t>CHARLESTON</t>
  </si>
  <si>
    <t>USCHS</t>
  </si>
  <si>
    <t>CHATTOGRAM</t>
  </si>
  <si>
    <t>BDCGP</t>
  </si>
  <si>
    <t>CHENNAI</t>
  </si>
  <si>
    <t>INMAA</t>
  </si>
  <si>
    <t>CHU LAI</t>
  </si>
  <si>
    <t>DA NANG</t>
  </si>
  <si>
    <t>VNDAD</t>
  </si>
  <si>
    <t>DHAKA</t>
  </si>
  <si>
    <t>BDDAC</t>
  </si>
  <si>
    <t>DJEN-DJEN</t>
  </si>
  <si>
    <t>DZDJE</t>
  </si>
  <si>
    <t>ENNORE</t>
  </si>
  <si>
    <t>INENR</t>
  </si>
  <si>
    <t>HAMBURG</t>
  </si>
  <si>
    <t>DEHAM</t>
  </si>
  <si>
    <t>HUANGPU PT</t>
  </si>
  <si>
    <t>CNHUA</t>
  </si>
  <si>
    <t>IQUIQUE</t>
  </si>
  <si>
    <t>CLIQQ</t>
  </si>
  <si>
    <t>ISTANBUL</t>
  </si>
  <si>
    <t>TRIST</t>
  </si>
  <si>
    <t>IZMIT KORFEZI</t>
  </si>
  <si>
    <t>JAKARTA</t>
  </si>
  <si>
    <t>JAKAR</t>
  </si>
  <si>
    <t>JEBEL ALI</t>
  </si>
  <si>
    <t>AEJEA</t>
  </si>
  <si>
    <t>JIZZAKH</t>
  </si>
  <si>
    <t>UZJIZ</t>
  </si>
  <si>
    <t>LAEM CHABANG</t>
  </si>
  <si>
    <t>THLCH</t>
  </si>
  <si>
    <t>CNLYG</t>
  </si>
  <si>
    <t>LOS ANGELES</t>
  </si>
  <si>
    <t>MXZLO</t>
  </si>
  <si>
    <t>멕시코</t>
  </si>
  <si>
    <t>MATADI</t>
  </si>
  <si>
    <t>CDMAT</t>
  </si>
  <si>
    <t>NANTONG PT</t>
  </si>
  <si>
    <t>CNNTG</t>
  </si>
  <si>
    <t>NOUAKCHOTT</t>
  </si>
  <si>
    <t>MRNKC</t>
  </si>
  <si>
    <t>OSAKA</t>
  </si>
  <si>
    <t>JPOSA</t>
  </si>
  <si>
    <t>PENANG</t>
  </si>
  <si>
    <t>MYPEN</t>
  </si>
  <si>
    <t>PORT KLANG</t>
  </si>
  <si>
    <t>MYPKG</t>
  </si>
  <si>
    <t>PORT VICTORIA</t>
  </si>
  <si>
    <t>SCPOV</t>
  </si>
  <si>
    <t>PUERTO CALDERA</t>
  </si>
  <si>
    <t>CRCAL</t>
  </si>
  <si>
    <t>PUERTO QUETZAL</t>
  </si>
  <si>
    <t>GTPRQ</t>
  </si>
  <si>
    <t>QINGDAO</t>
  </si>
  <si>
    <t>CNTAO</t>
  </si>
  <si>
    <t>RENI</t>
  </si>
  <si>
    <t>UARNI</t>
  </si>
  <si>
    <t>SHANGHAI</t>
  </si>
  <si>
    <t>TAIPEI</t>
  </si>
  <si>
    <t>TEMA</t>
  </si>
  <si>
    <t>GHTEM</t>
  </si>
  <si>
    <t>TINCAN/LAGOS</t>
  </si>
  <si>
    <t>NGTIN</t>
  </si>
  <si>
    <t>CNWEI</t>
  </si>
  <si>
    <t>XINGANG</t>
  </si>
  <si>
    <t>CNXGA</t>
  </si>
  <si>
    <t>XINGANG, CHINA</t>
  </si>
  <si>
    <t>CNXGG</t>
  </si>
  <si>
    <t>YANGON</t>
  </si>
  <si>
    <t>MMRGN</t>
  </si>
  <si>
    <t>ZHANGJIAGANG</t>
  </si>
  <si>
    <t>CNZJG</t>
  </si>
  <si>
    <t>PKPCT</t>
  </si>
  <si>
    <t xml:space="preserve">EGDAM </t>
  </si>
  <si>
    <t>두바이</t>
  </si>
  <si>
    <t>AEDXB</t>
  </si>
  <si>
    <t>시드니</t>
  </si>
  <si>
    <t xml:space="preserve">AUSYD </t>
  </si>
  <si>
    <t>벨지움</t>
  </si>
  <si>
    <t>ANR</t>
  </si>
  <si>
    <t>BRONKA</t>
  </si>
  <si>
    <t>RUBNK</t>
  </si>
  <si>
    <t>KRONSHTADT</t>
  </si>
  <si>
    <t xml:space="preserve">RUKDT </t>
  </si>
  <si>
    <t>SAINT PETERSBURG</t>
  </si>
  <si>
    <t>RULED</t>
  </si>
  <si>
    <t>VLADIVOSTOK</t>
  </si>
  <si>
    <t xml:space="preserve">RUVVO </t>
  </si>
  <si>
    <t>VOSTOCHNIY</t>
  </si>
  <si>
    <t>RUVYP</t>
  </si>
  <si>
    <t>아틀란타</t>
  </si>
  <si>
    <t>ATL</t>
  </si>
  <si>
    <t>LASAV</t>
  </si>
  <si>
    <t>멀캄</t>
  </si>
  <si>
    <t>CAMAK</t>
  </si>
  <si>
    <t>마이에미</t>
  </si>
  <si>
    <t>USMIA</t>
  </si>
  <si>
    <t>오하이오</t>
  </si>
  <si>
    <t>FOH</t>
  </si>
  <si>
    <t>함부르크, 독일</t>
  </si>
  <si>
    <t xml:space="preserve">DEHAM </t>
  </si>
  <si>
    <t>사우스햄튼, 영국</t>
  </si>
  <si>
    <t>GBSOU</t>
  </si>
  <si>
    <t>타코마</t>
  </si>
  <si>
    <t>USTIW</t>
  </si>
  <si>
    <t>스페인</t>
  </si>
  <si>
    <t>ESVLC</t>
  </si>
  <si>
    <t>리치몬드</t>
  </si>
  <si>
    <t>USRCH</t>
  </si>
  <si>
    <t>영국</t>
  </si>
  <si>
    <t>GENOA</t>
  </si>
  <si>
    <t>ITGOA</t>
  </si>
  <si>
    <t>프리멘탈</t>
  </si>
  <si>
    <t>AUFRE</t>
  </si>
  <si>
    <t>헝가리</t>
  </si>
  <si>
    <t>HUBUD</t>
  </si>
  <si>
    <t>달라스</t>
  </si>
  <si>
    <t>USDAL</t>
  </si>
  <si>
    <t>더반</t>
  </si>
  <si>
    <t>ZADUR</t>
  </si>
  <si>
    <t>제퍼슨(사바나)</t>
  </si>
  <si>
    <t>사바나</t>
  </si>
  <si>
    <t>페어번(사바나)</t>
  </si>
  <si>
    <t>KZPRA</t>
  </si>
  <si>
    <t>이스라엘</t>
  </si>
  <si>
    <t>ILMSP</t>
  </si>
  <si>
    <t>알라바마(모빌)</t>
  </si>
  <si>
    <t>체코BSA</t>
  </si>
  <si>
    <t>미국 모빌</t>
  </si>
  <si>
    <t>시카고</t>
  </si>
  <si>
    <t>USCHI</t>
  </si>
  <si>
    <t>뉴욕(사우스윈져, 제임스버그)</t>
  </si>
  <si>
    <t>USJFK</t>
  </si>
  <si>
    <t>브레머하벤</t>
  </si>
  <si>
    <t>CHARLESTON, SC</t>
  </si>
  <si>
    <t>CHENNAI, INDIA</t>
  </si>
  <si>
    <t>IZMIT KORFEZI, TURKEY</t>
  </si>
  <si>
    <t>JIZZAKH(To-Be Checked)</t>
  </si>
  <si>
    <t>LOS ANGELES, CA</t>
  </si>
  <si>
    <t>PENANG (GEORGETOWN)</t>
  </si>
  <si>
    <t>QASIM</t>
  </si>
  <si>
    <t>QINGDAO, CHINA</t>
  </si>
  <si>
    <t>SHANGHAI, CHINA</t>
  </si>
  <si>
    <t>WEIHAI, CHINA</t>
  </si>
  <si>
    <t>PORTKELANG</t>
  </si>
  <si>
    <t>타지키스탄</t>
  </si>
  <si>
    <t>TJDUS</t>
  </si>
  <si>
    <t>Tadzhikistan</t>
  </si>
  <si>
    <t>PORTQASIM</t>
  </si>
  <si>
    <t>LAZARO CARDENS</t>
  </si>
  <si>
    <t>TANJUNGPRIOK</t>
  </si>
  <si>
    <t>LAZAROCARDENAS</t>
  </si>
  <si>
    <t>ECPSJ</t>
  </si>
  <si>
    <t>Chittagong</t>
  </si>
  <si>
    <t>GUAYAQUIL</t>
  </si>
  <si>
    <t>롱비치</t>
  </si>
  <si>
    <t>KLMKA</t>
  </si>
  <si>
    <t>Chile</t>
  </si>
  <si>
    <t>칠레</t>
  </si>
  <si>
    <t>DAMIETTA</t>
  </si>
  <si>
    <t>EGDAM</t>
  </si>
  <si>
    <t>ALMATY</t>
  </si>
  <si>
    <t>KZALA</t>
  </si>
  <si>
    <t>EVYAP</t>
  </si>
  <si>
    <t>배차
요청일</t>
    <phoneticPr fontId="30" type="noConversion"/>
  </si>
  <si>
    <t>B000016289</t>
    <phoneticPr fontId="30" type="noConversion"/>
  </si>
  <si>
    <t>B000034663</t>
    <phoneticPr fontId="30" type="noConversion"/>
  </si>
  <si>
    <t>선진TLS</t>
    <phoneticPr fontId="30" type="noConversion"/>
  </si>
  <si>
    <t>B000032574</t>
    <phoneticPr fontId="30" type="noConversion"/>
  </si>
  <si>
    <t>공성운수(주)</t>
    <phoneticPr fontId="30" type="noConversion"/>
  </si>
  <si>
    <t>B000007122</t>
    <phoneticPr fontId="30" type="noConversion"/>
  </si>
  <si>
    <t>B000011469</t>
    <phoneticPr fontId="30" type="noConversion"/>
  </si>
  <si>
    <t>B000004409</t>
    <phoneticPr fontId="30" type="noConversion"/>
  </si>
  <si>
    <t>B000029339</t>
    <phoneticPr fontId="30" type="noConversion"/>
  </si>
  <si>
    <t>유니팩</t>
    <phoneticPr fontId="30" type="noConversion"/>
  </si>
  <si>
    <t>B000005189</t>
    <phoneticPr fontId="30" type="noConversion"/>
  </si>
  <si>
    <t>B000003280</t>
  </si>
  <si>
    <t>B000026065</t>
  </si>
  <si>
    <t>B000034432</t>
  </si>
  <si>
    <t>세방</t>
    <phoneticPr fontId="30" type="noConversion"/>
  </si>
  <si>
    <t>B015</t>
    <phoneticPr fontId="18" type="noConversion"/>
  </si>
  <si>
    <t>Y132</t>
    <phoneticPr fontId="18" type="noConversion"/>
  </si>
  <si>
    <t>현성로지스틱</t>
    <phoneticPr fontId="30" type="noConversion"/>
  </si>
  <si>
    <t>U415</t>
    <phoneticPr fontId="18" type="noConversion"/>
  </si>
  <si>
    <t>K587</t>
    <phoneticPr fontId="18" type="noConversion"/>
  </si>
  <si>
    <t>구산물류</t>
    <phoneticPr fontId="30" type="noConversion"/>
  </si>
  <si>
    <t>성보</t>
    <phoneticPr fontId="30" type="noConversion"/>
  </si>
  <si>
    <t>오더(KD기준)</t>
    <phoneticPr fontId="30" type="noConversion"/>
  </si>
  <si>
    <t>KD용~</t>
    <phoneticPr fontId="30" type="noConversion"/>
  </si>
  <si>
    <t>할증</t>
    <phoneticPr fontId="30" type="noConversion"/>
  </si>
  <si>
    <t>KRBNX</t>
    <phoneticPr fontId="30" type="noConversion"/>
  </si>
  <si>
    <t>현대자동차</t>
    <phoneticPr fontId="30" type="noConversion"/>
  </si>
  <si>
    <t>S009_H31</t>
  </si>
  <si>
    <t>KIA URUGUAY</t>
  </si>
  <si>
    <t>B000032220</t>
  </si>
  <si>
    <t>머스크</t>
    <phoneticPr fontId="28" type="noConversion"/>
  </si>
  <si>
    <t>E866</t>
    <phoneticPr fontId="30" type="noConversion"/>
  </si>
  <si>
    <t>GA0704</t>
  </si>
  <si>
    <t>F000019156</t>
  </si>
  <si>
    <t>ADIENT US LLC</t>
  </si>
  <si>
    <t>GA3079</t>
  </si>
  <si>
    <t>INALFA USA</t>
  </si>
  <si>
    <t>KASK</t>
  </si>
  <si>
    <t>ADM</t>
  </si>
  <si>
    <t>Kia Kazakhstan</t>
  </si>
  <si>
    <t>DWI</t>
  </si>
  <si>
    <t>HMTR</t>
  </si>
  <si>
    <t>HMSG</t>
  </si>
  <si>
    <t>AGR</t>
  </si>
  <si>
    <t>HMID</t>
  </si>
  <si>
    <t>GII</t>
  </si>
  <si>
    <t>CMC</t>
  </si>
  <si>
    <t>SMT</t>
  </si>
  <si>
    <t>EGY</t>
  </si>
  <si>
    <t>EVMC</t>
  </si>
  <si>
    <t>PKT</t>
  </si>
  <si>
    <t>CM Industries</t>
  </si>
  <si>
    <t>HTCV</t>
  </si>
  <si>
    <t>HTMV</t>
  </si>
  <si>
    <t>HTC</t>
  </si>
  <si>
    <t>HMGICS</t>
  </si>
  <si>
    <t>DYK</t>
  </si>
  <si>
    <t>HTBC</t>
  </si>
  <si>
    <t>TENNECO</t>
  </si>
  <si>
    <t>KCN</t>
  </si>
  <si>
    <t>KIN</t>
  </si>
  <si>
    <t>HMI PUNE</t>
  </si>
  <si>
    <t>YONGSAN</t>
  </si>
  <si>
    <t>Garrett Motion</t>
  </si>
  <si>
    <t>BEIJING SEJONG</t>
  </si>
  <si>
    <t>KIA LUCKY MOTORS</t>
  </si>
  <si>
    <t>FAIR TECH</t>
  </si>
  <si>
    <t>KAGA</t>
  </si>
  <si>
    <t>SAMBO A&amp;T</t>
  </si>
  <si>
    <t>HANON ALABAMA</t>
  </si>
  <si>
    <t>HSAA</t>
  </si>
  <si>
    <t>SEJONG ALABAMA</t>
  </si>
  <si>
    <t>SEJONG GEORGIA</t>
  </si>
  <si>
    <t>DSA</t>
  </si>
  <si>
    <t>SEOYON E-HWA AL</t>
  </si>
  <si>
    <t>서연이화</t>
  </si>
  <si>
    <t>PHA</t>
  </si>
  <si>
    <t>ECOPLASTIC AMERICA</t>
  </si>
  <si>
    <t>DSC SAVANNAH</t>
  </si>
  <si>
    <t>HMGMA</t>
  </si>
  <si>
    <t>ALABAMA(HB)</t>
  </si>
  <si>
    <t>SEOYON E-HWA BRAZIL</t>
  </si>
  <si>
    <t>AYMESA</t>
  </si>
  <si>
    <t>FAURECIA MEX</t>
  </si>
  <si>
    <t>KMM</t>
  </si>
  <si>
    <t>KMX</t>
  </si>
  <si>
    <t>LEEHAN AMERICA</t>
  </si>
  <si>
    <t>MAGNETI</t>
  </si>
  <si>
    <t>MONTICH</t>
  </si>
  <si>
    <t>SOMIL</t>
  </si>
  <si>
    <t>SEJONG MEX</t>
  </si>
  <si>
    <t>TRANSLEAD</t>
  </si>
  <si>
    <t>YONGSAN(M)</t>
  </si>
  <si>
    <t>DUAL MEXICO</t>
  </si>
  <si>
    <t>LA3030</t>
  </si>
  <si>
    <t>GA2409</t>
  </si>
  <si>
    <t>F000019162</t>
  </si>
  <si>
    <t>GA2751</t>
  </si>
  <si>
    <t>S009_H02</t>
    <phoneticPr fontId="30" type="noConversion"/>
  </si>
  <si>
    <t>J007_J001</t>
    <phoneticPr fontId="30" type="noConversion"/>
  </si>
  <si>
    <t>차량번호</t>
    <phoneticPr fontId="18" type="noConversion"/>
  </si>
  <si>
    <t>공휴일-10
위험물-30</t>
    <phoneticPr fontId="30" type="noConversion"/>
  </si>
  <si>
    <t>컨테이너 
수량</t>
    <phoneticPr fontId="18" type="noConversion"/>
  </si>
  <si>
    <t>컨테이너 
규격</t>
    <phoneticPr fontId="18" type="noConversion"/>
  </si>
  <si>
    <t>ITAMCO</t>
    <phoneticPr fontId="30" type="noConversion"/>
  </si>
  <si>
    <t>KOLAO</t>
    <phoneticPr fontId="30" type="noConversion"/>
  </si>
  <si>
    <t>FOB</t>
    <phoneticPr fontId="30" type="noConversion"/>
  </si>
  <si>
    <t>카자흐스탄</t>
    <phoneticPr fontId="30" type="noConversion"/>
  </si>
  <si>
    <t>광양 금호타이어</t>
    <phoneticPr fontId="28" type="noConversion"/>
  </si>
  <si>
    <t>H000_GG1</t>
    <phoneticPr fontId="28" type="noConversion"/>
  </si>
  <si>
    <t>유럽</t>
  </si>
  <si>
    <t>GDANSK</t>
  </si>
  <si>
    <t>PLGDN</t>
  </si>
  <si>
    <t>광양시 광양읍 초남공단3길 2</t>
    <phoneticPr fontId="30" type="noConversion"/>
  </si>
  <si>
    <t>기아 슬로바키아</t>
  </si>
  <si>
    <t>ADM JIZZAKH</t>
  </si>
  <si>
    <t>INALFA EUROPE</t>
  </si>
  <si>
    <t>F000019206</t>
  </si>
  <si>
    <t>Inalfa Roof Systems BV</t>
  </si>
  <si>
    <t>기아 카자흐스탄</t>
  </si>
  <si>
    <t>주식회사 포스코인터내셔널</t>
  </si>
  <si>
    <t>Hyundai Motor Manufactiring Czech</t>
  </si>
  <si>
    <t>HYUNDAI ASSAN OTOMOTIV SANAYI VE TICARET</t>
  </si>
  <si>
    <t>HAOS-&gt;HMTR 명칭변경</t>
  </si>
  <si>
    <t>Hyundai MotorSport GmbH</t>
  </si>
  <si>
    <t>LLC"HYUNDAI MOTOR MANUFACTURING RUS"LIT.</t>
  </si>
  <si>
    <t>(구 HMMR)</t>
  </si>
  <si>
    <t>Hyundai Trans Kazakhstan L.L.P</t>
  </si>
  <si>
    <t>아태</t>
  </si>
  <si>
    <t>HYUNDAI MOTORS INDONESIA</t>
  </si>
  <si>
    <t>(주) 현대자동차 인도네시아</t>
  </si>
  <si>
    <t>PT GLOVIS INDONESIA INTERNATIONAL</t>
  </si>
  <si>
    <t>C.N.A Manufacturing Sdn. Bhd.</t>
  </si>
  <si>
    <t>수성특장㈜</t>
  </si>
  <si>
    <t>PKT CONSOLIDATION SERVICE</t>
  </si>
  <si>
    <t>씨엠인더스트리 유한회사(영업소)</t>
  </si>
  <si>
    <t>HYUNDAI THANH CONG COMMERCIAL VEHIC</t>
  </si>
  <si>
    <t>Hyundai Thanh Cong Viet Nam Auto Ma</t>
  </si>
  <si>
    <t>현대 탄콩 베트남 주식회사</t>
  </si>
  <si>
    <t>HTBC(사천현대)</t>
  </si>
  <si>
    <t>테네코</t>
  </si>
  <si>
    <t>기아차 인도공장</t>
  </si>
  <si>
    <t>PROCON ENGINEERING PVT LTD</t>
  </si>
  <si>
    <t>비계열 KARACHI SPOT</t>
  </si>
  <si>
    <t>현대자동차(주)인디아</t>
  </si>
  <si>
    <t>HMI 3공장</t>
  </si>
  <si>
    <t>용산 인디아</t>
  </si>
  <si>
    <t>가렛모션</t>
  </si>
  <si>
    <t>BEIJING SEJONG AUTO PARTS CO., LTD.</t>
  </si>
  <si>
    <t>Lucky Motor Corporation Limited</t>
  </si>
  <si>
    <t>북미</t>
  </si>
  <si>
    <t>Adient US LLC</t>
  </si>
  <si>
    <t>인알파USA</t>
  </si>
  <si>
    <t>기아자동차 조지아공장</t>
  </si>
  <si>
    <t>삼보A&amp;T 아메리카</t>
  </si>
  <si>
    <t>한온 알라바마</t>
  </si>
  <si>
    <t>에이치에스 오토모티브 알라바마</t>
  </si>
  <si>
    <t>SEJONG ALABAMA LLC</t>
  </si>
  <si>
    <t>세종조지아</t>
  </si>
  <si>
    <t>DAEHAN SOLUTION ALABAMA</t>
  </si>
  <si>
    <t>Seoyon E-Hwa Interior Systems Alabama</t>
  </si>
  <si>
    <t>PHA Alabama, LLC</t>
  </si>
  <si>
    <t>ECOPLASTIC AMERICA CORP</t>
  </si>
  <si>
    <t>현대자동차 알라바마공장</t>
  </si>
  <si>
    <t>중남미</t>
  </si>
  <si>
    <t>HYUNDAI MOTOR BRASIL MONTADORA DE A</t>
  </si>
  <si>
    <t>서연이화 브라질</t>
  </si>
  <si>
    <t>AYMESA SA</t>
  </si>
  <si>
    <t>CAOA Montadora de Veiculos Ltda.</t>
  </si>
  <si>
    <t>베바스토 멕시코</t>
  </si>
  <si>
    <t>멕시코포레시아</t>
  </si>
  <si>
    <t>기아자동차 멕시코</t>
  </si>
  <si>
    <t>리한 아메리카</t>
  </si>
  <si>
    <t>Magneti Marelli Sistemas Automotivo</t>
  </si>
  <si>
    <t>MONTICH URUGUAY</t>
  </si>
  <si>
    <t>기아 주식회사</t>
  </si>
  <si>
    <t>SOMIL S.A.</t>
  </si>
  <si>
    <t>세종멕시코</t>
  </si>
  <si>
    <t>HYUNDAI TR</t>
  </si>
  <si>
    <t>YONG SAN AUTOMOTIVE MEXICO</t>
  </si>
  <si>
    <t>DUAL BORGSTENA TRIM MEXICO</t>
  </si>
  <si>
    <t>서연써밋오토모티브</t>
  </si>
  <si>
    <t>B000005273</t>
    <phoneticPr fontId="28" type="noConversion"/>
  </si>
  <si>
    <t>B000017449</t>
    <phoneticPr fontId="28" type="noConversion"/>
  </si>
  <si>
    <t>KRUWN</t>
    <phoneticPr fontId="28" type="noConversion"/>
  </si>
  <si>
    <t>비고</t>
    <phoneticPr fontId="30" type="noConversion"/>
  </si>
  <si>
    <t>CKD</t>
    <phoneticPr fontId="30" type="noConversion"/>
  </si>
  <si>
    <t>하나 TPS</t>
  </si>
  <si>
    <t>경상북도</t>
  </si>
  <si>
    <t>충청남도</t>
  </si>
  <si>
    <t>전라북도</t>
  </si>
  <si>
    <t>경기도</t>
  </si>
  <si>
    <t>U001</t>
    <phoneticPr fontId="28" type="noConversion"/>
  </si>
  <si>
    <t>기존코드</t>
    <phoneticPr fontId="28" type="noConversion"/>
  </si>
  <si>
    <t>웅동</t>
  </si>
  <si>
    <t>녹산</t>
  </si>
  <si>
    <t>ADM JIZZAKH</t>
    <phoneticPr fontId="28" type="noConversion"/>
  </si>
  <si>
    <t>F000018806</t>
    <phoneticPr fontId="28" type="noConversion"/>
  </si>
  <si>
    <t>MENANG (기아)</t>
    <phoneticPr fontId="28" type="noConversion"/>
  </si>
  <si>
    <t>현대차 말레이시아 공장 (메낭 현차)</t>
    <phoneticPr fontId="28" type="noConversion"/>
  </si>
  <si>
    <t>MENANG(HMC)</t>
    <phoneticPr fontId="28" type="noConversion"/>
  </si>
  <si>
    <t>CA0241</t>
    <phoneticPr fontId="28" type="noConversion"/>
  </si>
  <si>
    <t>ECGAL</t>
  </si>
  <si>
    <t>A (입력값)</t>
  </si>
  <si>
    <t>B (결과코드)</t>
  </si>
  <si>
    <t>KRPUS</t>
  </si>
  <si>
    <t>BUSAN</t>
  </si>
  <si>
    <t>KRUSN</t>
  </si>
  <si>
    <t>KRONS</t>
  </si>
  <si>
    <t>KRINC_FRY</t>
  </si>
  <si>
    <t>INCHEON</t>
  </si>
  <si>
    <t>KRINC_NEW</t>
  </si>
  <si>
    <t>SEOYON SUMMIT AUTO</t>
    <phoneticPr fontId="28" type="noConversion"/>
  </si>
  <si>
    <t>F000019385(본사 직정산?확인할 것)</t>
    <phoneticPr fontId="28" type="noConversion"/>
  </si>
  <si>
    <t>현재 기아만 발생~</t>
    <phoneticPr fontId="28" type="noConversion"/>
  </si>
  <si>
    <t>KRONS</t>
    <phoneticPr fontId="30" type="noConversion"/>
  </si>
  <si>
    <t>KRONS</t>
    <phoneticPr fontId="28" type="noConversion"/>
  </si>
  <si>
    <t>한솔로지스틱스</t>
    <phoneticPr fontId="28" type="noConversion"/>
  </si>
  <si>
    <t>B000032695</t>
  </si>
  <si>
    <t>S210</t>
  </si>
  <si>
    <t>LOCATION</t>
    <phoneticPr fontId="45" type="noConversion"/>
  </si>
  <si>
    <t>DESCRIPTION</t>
    <phoneticPr fontId="45" type="noConversion"/>
  </si>
  <si>
    <t>구분</t>
    <phoneticPr fontId="45" type="noConversion"/>
  </si>
  <si>
    <r>
      <t>KD</t>
    </r>
    <r>
      <rPr>
        <sz val="10"/>
        <rFont val="맑은 고딕"/>
        <family val="3"/>
        <charset val="129"/>
      </rPr>
      <t>보낼값</t>
    </r>
    <phoneticPr fontId="45" type="noConversion"/>
  </si>
  <si>
    <t>03002007</t>
  </si>
  <si>
    <t>부산세관 신항지정장치장</t>
  </si>
  <si>
    <t>KRBNP_ZONE</t>
    <phoneticPr fontId="45" type="noConversion"/>
  </si>
  <si>
    <t>[KRBNP]BUSAN(NEW)</t>
    <phoneticPr fontId="45" type="noConversion"/>
  </si>
  <si>
    <t>[KRBNP]BUSAN(NEW)</t>
  </si>
  <si>
    <t>한진부산컨테이너터미널 (HJNC)</t>
  </si>
  <si>
    <t>03077007</t>
  </si>
  <si>
    <t>한진해운신항만㈜자유무역지역</t>
  </si>
  <si>
    <t>현대부산신항만 (HPNT)</t>
  </si>
  <si>
    <t>03077012</t>
  </si>
  <si>
    <t>현대부산신항만㈜CFS</t>
  </si>
  <si>
    <t>03077013</t>
  </si>
  <si>
    <t>부산컨테이너터미널(주)</t>
  </si>
  <si>
    <t>03077135</t>
  </si>
  <si>
    <t>동원글로벌컨테이너부산</t>
  </si>
  <si>
    <t>03078001</t>
  </si>
  <si>
    <t>씨스테인웨그</t>
  </si>
  <si>
    <t>B015_KOSENAG</t>
  </si>
  <si>
    <t>코센코안골 CY</t>
  </si>
  <si>
    <t>B015_SB1CY</t>
  </si>
  <si>
    <t>SB1CY(세방)</t>
  </si>
  <si>
    <t>SB2CY(세방)</t>
  </si>
  <si>
    <t>SB청암신항</t>
  </si>
  <si>
    <t>천우(세방)</t>
  </si>
  <si>
    <t>이지스 두동(세방)</t>
  </si>
  <si>
    <t>세방신항쿨스</t>
  </si>
  <si>
    <t>세방녹산쿨스</t>
  </si>
  <si>
    <t>송정(세방)</t>
  </si>
  <si>
    <t>세방&amp;제니스CY</t>
  </si>
  <si>
    <t>B590_HTBCT</t>
  </si>
  <si>
    <t>BCT(한타)</t>
  </si>
  <si>
    <t>B590_HTBGDC</t>
  </si>
  <si>
    <t>BGDC(한타)</t>
  </si>
  <si>
    <t>B590_HTJS</t>
  </si>
  <si>
    <t>지사물류(한타)</t>
  </si>
  <si>
    <t>B590_HTNS</t>
  </si>
  <si>
    <t>녹산CY(한타)</t>
  </si>
  <si>
    <t>B590_HTSH</t>
  </si>
  <si>
    <t>신항CY(한타)</t>
  </si>
  <si>
    <t>E922_DAEWOO</t>
    <phoneticPr fontId="45" type="noConversion"/>
  </si>
  <si>
    <t>대우로지스 CY</t>
  </si>
  <si>
    <t>E922_DGT</t>
  </si>
  <si>
    <t>동원글로벌터미널</t>
  </si>
  <si>
    <t>KRBNP</t>
  </si>
  <si>
    <t>BUSAN NEW PORT</t>
  </si>
  <si>
    <t>KRPUS_NEW</t>
  </si>
  <si>
    <t>S004_LOTNS</t>
  </si>
  <si>
    <t>롯데녹산CY</t>
  </si>
  <si>
    <t>SDR_NEW</t>
  </si>
  <si>
    <t>신대륙 (신항)</t>
  </si>
  <si>
    <t>YDF</t>
  </si>
  <si>
    <t>웅동CY</t>
  </si>
  <si>
    <t>03912047</t>
  </si>
  <si>
    <t>고려우암콘테이너</t>
  </si>
  <si>
    <t>KRPUS_ZONE</t>
  </si>
  <si>
    <t>[KRPUS]BUSAN</t>
  </si>
  <si>
    <t>KRPUS_ZONE</t>
    <phoneticPr fontId="45" type="noConversion"/>
  </si>
  <si>
    <t>03012010</t>
  </si>
  <si>
    <t>신감만 한국허치슨(주)컨테이너</t>
  </si>
  <si>
    <t>03012219</t>
  </si>
  <si>
    <t>인터지스 감만 터미널 (BGCT)</t>
  </si>
  <si>
    <t>03012257</t>
  </si>
  <si>
    <t>KCTC-우암터미널 (UTC)</t>
  </si>
  <si>
    <t>03012312</t>
  </si>
  <si>
    <t>동부부산컨테이너터미널 (DPCT)</t>
  </si>
  <si>
    <t>03012343</t>
  </si>
  <si>
    <t>인터지스7부두 (부산항 제7부두)</t>
  </si>
  <si>
    <t>03077016</t>
  </si>
  <si>
    <t>03077076</t>
  </si>
  <si>
    <t>(주)국보CY</t>
  </si>
  <si>
    <t>B015_SBEZY</t>
  </si>
  <si>
    <t>이지콘(세방)</t>
  </si>
  <si>
    <t>B590_DNK</t>
  </si>
  <si>
    <t>디엔케이물류</t>
  </si>
  <si>
    <t>B590_HTYJ</t>
  </si>
  <si>
    <t>영진CY(한타)</t>
  </si>
  <si>
    <t>BEST_F</t>
  </si>
  <si>
    <t>베스트우암(북항)</t>
  </si>
  <si>
    <t>BUSAN, KOREA</t>
  </si>
  <si>
    <t>KRPUS_OLD</t>
  </si>
  <si>
    <t>BUSAN PORT (OLD)</t>
  </si>
  <si>
    <t>KUKDONG_F</t>
  </si>
  <si>
    <t>극동 CY</t>
  </si>
  <si>
    <t>NDW_CY</t>
  </si>
  <si>
    <t>뉴대원 CY</t>
  </si>
  <si>
    <t>SGUM_CY</t>
  </si>
  <si>
    <t>SB청암</t>
  </si>
  <si>
    <t>KRKAN_ZONE</t>
    <phoneticPr fontId="45" type="noConversion"/>
  </si>
  <si>
    <t>[KRKY] KWANGYANG</t>
  </si>
  <si>
    <t>KRKAN_ZONE</t>
  </si>
  <si>
    <t>광양항관세자유지역(세방)</t>
  </si>
  <si>
    <t>KWANGYANG, REPUBLIC OF KOREA</t>
  </si>
  <si>
    <t>KRPTK_ZONE</t>
    <phoneticPr fontId="45" type="noConversion"/>
  </si>
  <si>
    <t>[KRPTK] PYONGTAEK</t>
  </si>
  <si>
    <t>KRPTK_ZONE</t>
  </si>
  <si>
    <t>KRINC_OLD_ZONE</t>
    <phoneticPr fontId="45" type="noConversion"/>
  </si>
  <si>
    <t>[KRINC] INCHEON</t>
  </si>
  <si>
    <t>E1 컨테이너 터미널</t>
  </si>
  <si>
    <t>KRINC_OLD_ZONE</t>
  </si>
  <si>
    <t>INCHEON, KOREA</t>
  </si>
  <si>
    <t>KRINC_OLD</t>
  </si>
  <si>
    <t>인천 구항</t>
  </si>
  <si>
    <t>선광신컨테이너터미널보세창고</t>
  </si>
  <si>
    <t>KRINC_NEW_ZONE</t>
    <phoneticPr fontId="45" type="noConversion"/>
  </si>
  <si>
    <t>KRINC_NEW_ZONE</t>
  </si>
  <si>
    <t>02012230</t>
  </si>
  <si>
    <t>선광 인천 터미널 (ISCT)</t>
  </si>
  <si>
    <t>인천 신항</t>
  </si>
  <si>
    <t>LA4104</t>
  </si>
  <si>
    <t>THE LOGIS_CY</t>
  </si>
  <si>
    <t>더로지스 CY</t>
  </si>
  <si>
    <t>KRINC_FRY_ZONE</t>
    <phoneticPr fontId="45" type="noConversion"/>
  </si>
  <si>
    <t>인천항국제여객부두 컨테이너 보세창고</t>
  </si>
  <si>
    <t>KRINC_FRY_ZONE</t>
  </si>
  <si>
    <t>11012030</t>
  </si>
  <si>
    <t>정일부두</t>
  </si>
  <si>
    <t>KRUSN_OLD_ZONE</t>
    <phoneticPr fontId="45" type="noConversion"/>
  </si>
  <si>
    <t>[KRONS] ONSAN</t>
  </si>
  <si>
    <t>KRUSN_OLD</t>
  </si>
  <si>
    <t>11012002</t>
  </si>
  <si>
    <t>울산신항컨테이너터미널</t>
  </si>
  <si>
    <t>KRUSN_NEW_ZONE</t>
    <phoneticPr fontId="45" type="noConversion"/>
  </si>
  <si>
    <t>[KRUSN] ULSAN</t>
  </si>
  <si>
    <t>11012003</t>
  </si>
  <si>
    <t>KRUSN_NEW_ZONE</t>
  </si>
  <si>
    <t>ULSAN, KOREA</t>
  </si>
  <si>
    <t>KRUSN_NEW</t>
  </si>
  <si>
    <t>S103</t>
    <phoneticPr fontId="28" type="noConversion"/>
  </si>
  <si>
    <t>QINGDAO, XINGANG
김장훈 KIA</t>
    <phoneticPr fontId="28" type="noConversion"/>
  </si>
  <si>
    <t>KIA(PENANG)</t>
    <phoneticPr fontId="28" type="noConversion"/>
  </si>
  <si>
    <t>곡성 금호타이어</t>
    <phoneticPr fontId="28" type="noConversion"/>
  </si>
  <si>
    <t>H000_GG2</t>
    <phoneticPr fontId="28" type="noConversion"/>
  </si>
  <si>
    <t>전라남도 곡성군 입면 금호길 85-63 금호타이어</t>
    <phoneticPr fontId="30" type="noConversion"/>
  </si>
  <si>
    <t>F000018792</t>
    <phoneticPr fontId="28" type="noConversion"/>
  </si>
  <si>
    <t>MAGNA</t>
    <phoneticPr fontId="28" type="noConversion"/>
  </si>
  <si>
    <t>마그나 오토모티브</t>
  </si>
  <si>
    <t>기아㈜</t>
    <phoneticPr fontId="28" type="noConversion"/>
  </si>
  <si>
    <t>MC09</t>
    <phoneticPr fontId="28" type="noConversion"/>
  </si>
  <si>
    <t>CNA</t>
    <phoneticPr fontId="28" type="noConversion"/>
  </si>
  <si>
    <t>S106</t>
  </si>
  <si>
    <t>S258</t>
  </si>
  <si>
    <t>LA0317</t>
  </si>
  <si>
    <t>S024</t>
  </si>
  <si>
    <t>E234</t>
  </si>
  <si>
    <t>S199</t>
  </si>
  <si>
    <t>S101</t>
  </si>
  <si>
    <t>S056</t>
  </si>
  <si>
    <t>S071</t>
  </si>
  <si>
    <t>S028</t>
  </si>
  <si>
    <t>S010</t>
  </si>
  <si>
    <t>GA2650</t>
  </si>
  <si>
    <t>I216</t>
  </si>
  <si>
    <t>S667</t>
  </si>
  <si>
    <t>E1669</t>
  </si>
  <si>
    <t>LA2574</t>
  </si>
  <si>
    <t>S117</t>
  </si>
  <si>
    <t>LA1082</t>
  </si>
  <si>
    <t>S682</t>
  </si>
  <si>
    <t>S897</t>
  </si>
  <si>
    <t>S094</t>
  </si>
  <si>
    <t>LA3632</t>
  </si>
  <si>
    <t>B000118982</t>
  </si>
  <si>
    <t>E299</t>
  </si>
  <si>
    <t>S669</t>
  </si>
  <si>
    <t>E659</t>
  </si>
  <si>
    <t>F000018181</t>
  </si>
  <si>
    <t>S147</t>
  </si>
  <si>
    <t>GLPAS선사(해당 코드만 사용!!)  I/F</t>
    <phoneticPr fontId="28" type="noConversion"/>
  </si>
  <si>
    <t>GLOVE 선사코드</t>
    <phoneticPr fontId="28" type="noConversion"/>
  </si>
  <si>
    <r>
      <t xml:space="preserve">GLPAS선사
</t>
    </r>
    <r>
      <rPr>
        <b/>
        <sz val="9"/>
        <color rgb="FFFF0000"/>
        <rFont val="harmony"/>
        <family val="3"/>
        <charset val="129"/>
      </rPr>
      <t>(해당 코드만 사용!!)</t>
    </r>
    <r>
      <rPr>
        <sz val="9"/>
        <rFont val="harmony"/>
        <family val="3"/>
        <charset val="129"/>
      </rPr>
      <t xml:space="preserve">  I/F</t>
    </r>
    <phoneticPr fontId="28" type="noConversion"/>
  </si>
  <si>
    <t>KMD</t>
    <phoneticPr fontId="28" type="noConversion"/>
  </si>
  <si>
    <t>[KM] KMTC</t>
    <phoneticPr fontId="28" type="noConversion"/>
  </si>
  <si>
    <t>EMA</t>
    <phoneticPr fontId="28" type="noConversion"/>
  </si>
  <si>
    <t>[EG] EVERGREEN</t>
    <phoneticPr fontId="28" type="noConversion"/>
  </si>
  <si>
    <t>ONE</t>
    <phoneticPr fontId="28" type="noConversion"/>
  </si>
  <si>
    <t>[ON] ONE</t>
    <phoneticPr fontId="28" type="noConversion"/>
  </si>
  <si>
    <t>MAE</t>
    <phoneticPr fontId="28" type="noConversion"/>
  </si>
  <si>
    <t>[MA] MAERSK</t>
    <phoneticPr fontId="28" type="noConversion"/>
  </si>
  <si>
    <t>CMA</t>
    <phoneticPr fontId="28" type="noConversion"/>
  </si>
  <si>
    <t>[CM] CMA</t>
    <phoneticPr fontId="28" type="noConversion"/>
  </si>
  <si>
    <t>WHL</t>
    <phoneticPr fontId="28" type="noConversion"/>
  </si>
  <si>
    <t>[WL] WANHAI LINE</t>
    <phoneticPr fontId="28" type="noConversion"/>
  </si>
  <si>
    <t>CNC</t>
    <phoneticPr fontId="28" type="noConversion"/>
  </si>
  <si>
    <t>[CN] CNC</t>
    <phoneticPr fontId="28" type="noConversion"/>
  </si>
  <si>
    <t>COH</t>
    <phoneticPr fontId="28" type="noConversion"/>
  </si>
  <si>
    <t>[CH] CO HEUNG</t>
    <phoneticPr fontId="28" type="noConversion"/>
  </si>
  <si>
    <t>NSL</t>
    <phoneticPr fontId="28" type="noConversion"/>
  </si>
  <si>
    <t>[NS] 남성해운</t>
    <phoneticPr fontId="28" type="noConversion"/>
  </si>
  <si>
    <t>SKR</t>
    <phoneticPr fontId="28" type="noConversion"/>
  </si>
  <si>
    <t>[JS] 장금상선</t>
    <phoneticPr fontId="28" type="noConversion"/>
  </si>
  <si>
    <t>MSC</t>
    <phoneticPr fontId="28" type="noConversion"/>
  </si>
  <si>
    <t>[MS] MSC</t>
    <phoneticPr fontId="28" type="noConversion"/>
  </si>
  <si>
    <t>HLC</t>
    <phoneticPr fontId="28" type="noConversion"/>
  </si>
  <si>
    <t>[HL] HAPAG LLOYD</t>
    <phoneticPr fontId="28" type="noConversion"/>
  </si>
  <si>
    <t>HMM</t>
    <phoneticPr fontId="28" type="noConversion"/>
  </si>
  <si>
    <t>[HS] 현대상선</t>
    <phoneticPr fontId="28" type="noConversion"/>
  </si>
  <si>
    <t>[CG] 성도글로비스</t>
    <phoneticPr fontId="28" type="noConversion"/>
  </si>
  <si>
    <t>FERRY</t>
    <phoneticPr fontId="28" type="noConversion"/>
  </si>
  <si>
    <t>[PE] FERRY</t>
    <phoneticPr fontId="28" type="noConversion"/>
  </si>
  <si>
    <t>SLK</t>
    <phoneticPr fontId="28" type="noConversion"/>
  </si>
  <si>
    <t>[SL] SEALEAD</t>
    <phoneticPr fontId="28" type="noConversion"/>
  </si>
  <si>
    <t>SIT</t>
    <phoneticPr fontId="28" type="noConversion"/>
  </si>
  <si>
    <t>[SI] SITC</t>
    <phoneticPr fontId="28" type="noConversion"/>
  </si>
  <si>
    <t>DYS</t>
    <phoneticPr fontId="28" type="noConversion"/>
  </si>
  <si>
    <t>[DY] 동영해운</t>
    <phoneticPr fontId="28" type="noConversion"/>
  </si>
  <si>
    <t>HAS</t>
    <phoneticPr fontId="28" type="noConversion"/>
  </si>
  <si>
    <t>[HA] 흥아해운</t>
    <phoneticPr fontId="28" type="noConversion"/>
  </si>
  <si>
    <t>OOL</t>
    <phoneticPr fontId="28" type="noConversion"/>
  </si>
  <si>
    <t>[OC] OOCL</t>
    <phoneticPr fontId="28" type="noConversion"/>
  </si>
  <si>
    <t>SML</t>
    <phoneticPr fontId="28" type="noConversion"/>
  </si>
  <si>
    <t>[SM] SM상선</t>
    <phoneticPr fontId="28" type="noConversion"/>
  </si>
  <si>
    <t>COS</t>
    <phoneticPr fontId="28" type="noConversion"/>
  </si>
  <si>
    <t>[CO] COSCO</t>
    <phoneticPr fontId="28" type="noConversion"/>
  </si>
  <si>
    <t>HSL</t>
    <phoneticPr fontId="28" type="noConversion"/>
  </si>
  <si>
    <t>[HG] 한성라인</t>
    <phoneticPr fontId="28" type="noConversion"/>
  </si>
  <si>
    <t>DWS</t>
    <phoneticPr fontId="28" type="noConversion"/>
  </si>
  <si>
    <t>[OO] DOOWOO</t>
    <phoneticPr fontId="28" type="noConversion"/>
  </si>
  <si>
    <t>IAL</t>
    <phoneticPr fontId="28" type="noConversion"/>
  </si>
  <si>
    <t>[IA] IAL</t>
    <phoneticPr fontId="28" type="noConversion"/>
  </si>
  <si>
    <t>JP</t>
    <phoneticPr fontId="28" type="noConversion"/>
  </si>
  <si>
    <t>[JP] JP</t>
    <phoneticPr fontId="28" type="noConversion"/>
  </si>
  <si>
    <t>YML</t>
    <phoneticPr fontId="28" type="noConversion"/>
  </si>
  <si>
    <t>[YM] YANG MING</t>
    <phoneticPr fontId="28" type="noConversion"/>
  </si>
  <si>
    <t>WDF</t>
    <phoneticPr fontId="28" type="noConversion"/>
  </si>
  <si>
    <t>[WD] 위동항운</t>
    <phoneticPr fontId="28" type="noConversion"/>
  </si>
  <si>
    <t>TSL</t>
    <phoneticPr fontId="28" type="noConversion"/>
  </si>
  <si>
    <t>[TL] TS LINES</t>
    <phoneticPr fontId="28" type="noConversion"/>
  </si>
  <si>
    <t>반출지</t>
    <phoneticPr fontId="30" type="noConversion"/>
  </si>
  <si>
    <t>터미널명칭</t>
    <phoneticPr fontId="28" type="noConversion"/>
  </si>
  <si>
    <t>PNCT</t>
    <phoneticPr fontId="28" type="noConversion"/>
  </si>
  <si>
    <t>한진인천</t>
    <phoneticPr fontId="28" type="noConversion"/>
  </si>
  <si>
    <t>다목적</t>
    <phoneticPr fontId="28" type="noConversion"/>
  </si>
  <si>
    <t>HJNC</t>
    <phoneticPr fontId="28" type="noConversion"/>
  </si>
  <si>
    <t>HPNT</t>
    <phoneticPr fontId="28" type="noConversion"/>
  </si>
  <si>
    <t>PNIT</t>
    <phoneticPr fontId="28" type="noConversion"/>
  </si>
  <si>
    <t>BNCT</t>
    <phoneticPr fontId="28" type="noConversion"/>
  </si>
  <si>
    <t>PNC</t>
    <phoneticPr fontId="28" type="noConversion"/>
  </si>
  <si>
    <t>BCT</t>
    <phoneticPr fontId="28" type="noConversion"/>
  </si>
  <si>
    <t>DGT</t>
    <phoneticPr fontId="28" type="noConversion"/>
  </si>
  <si>
    <t>울산신항</t>
    <phoneticPr fontId="28" type="noConversion"/>
  </si>
  <si>
    <t>울산정일</t>
    <phoneticPr fontId="28" type="noConversion"/>
  </si>
  <si>
    <t>군산항</t>
    <phoneticPr fontId="28" type="noConversion"/>
  </si>
  <si>
    <t>한국국제</t>
    <phoneticPr fontId="28" type="noConversion"/>
  </si>
  <si>
    <t>의왕</t>
    <phoneticPr fontId="28" type="noConversion"/>
  </si>
  <si>
    <t>포항신항</t>
    <phoneticPr fontId="28" type="noConversion"/>
  </si>
  <si>
    <t>PCTC</t>
    <phoneticPr fontId="28" type="noConversion"/>
  </si>
  <si>
    <t>선광신인천</t>
    <phoneticPr fontId="28" type="noConversion"/>
  </si>
  <si>
    <t>선광인천</t>
    <phoneticPr fontId="28" type="noConversion"/>
  </si>
  <si>
    <t>선광종합</t>
    <phoneticPr fontId="28" type="noConversion"/>
  </si>
  <si>
    <t>인천항</t>
    <phoneticPr fontId="28" type="noConversion"/>
  </si>
  <si>
    <t>BPT신선대</t>
    <phoneticPr fontId="28" type="noConversion"/>
  </si>
  <si>
    <t>BPT감만</t>
    <phoneticPr fontId="28" type="noConversion"/>
  </si>
  <si>
    <t>HBCT</t>
    <phoneticPr fontId="28" type="noConversion"/>
  </si>
  <si>
    <t>인천여객</t>
    <phoneticPr fontId="28" type="noConversion"/>
  </si>
  <si>
    <t>E1</t>
    <phoneticPr fontId="28" type="noConversion"/>
  </si>
  <si>
    <t>KCTC우암</t>
    <phoneticPr fontId="28" type="noConversion"/>
  </si>
  <si>
    <t>7부두</t>
    <phoneticPr fontId="28" type="noConversion"/>
  </si>
  <si>
    <t>DPCT</t>
    <phoneticPr fontId="28" type="noConversion"/>
  </si>
  <si>
    <t>신감만</t>
    <phoneticPr fontId="28" type="noConversion"/>
  </si>
  <si>
    <t xml:space="preserve">배후단지
</t>
    <phoneticPr fontId="28" type="noConversion"/>
  </si>
  <si>
    <t>SB송정CY</t>
  </si>
  <si>
    <t>부산 강서구 송정동 870-5, 송정W/H</t>
  </si>
  <si>
    <t>이지스녹산</t>
  </si>
  <si>
    <t>부산시 강서구 녹산산업북로 119 이지스녹산</t>
  </si>
  <si>
    <t>서측CY</t>
  </si>
  <si>
    <t>경상남도 창원시 진해구 수도동 301번지</t>
  </si>
  <si>
    <t>제니스</t>
  </si>
  <si>
    <t>부산광역시 강서구 송정동 1711-4 세방제니스CY</t>
  </si>
  <si>
    <t>부산 강서구 송정동1196-1 SB청암신항</t>
  </si>
  <si>
    <t>코센코안골</t>
  </si>
  <si>
    <t>경상남도 창원시 진해구 안골로89번길 106 코센코안골CY</t>
  </si>
  <si>
    <t>청암북항</t>
  </si>
  <si>
    <t>부산광역시 남구 우암로 127 SB청암북항</t>
  </si>
  <si>
    <t>북항</t>
  </si>
  <si>
    <t>이지콘CY</t>
  </si>
  <si>
    <t>부산 동구 성남로 27 이지콘CY</t>
  </si>
  <si>
    <t>한타송정CY</t>
  </si>
  <si>
    <t>부산광역시 강서구 송정동 1190-32</t>
  </si>
  <si>
    <t>B590_HTSJ</t>
  </si>
  <si>
    <t>신항CY</t>
  </si>
  <si>
    <t>경남 창원시 진해구 용원동 1337-7</t>
  </si>
  <si>
    <t>BGDC</t>
  </si>
  <si>
    <t>경상남도 창원시 진해구 신항4로 15-77</t>
  </si>
  <si>
    <t>DWL(대우로지스)</t>
  </si>
  <si>
    <t>경남 창원시 진해구 신항9로 136</t>
  </si>
  <si>
    <t>B590_HTDWL</t>
  </si>
  <si>
    <t>대우로지스</t>
  </si>
  <si>
    <t>경남 창원시 진해구 남문동 1190-1</t>
  </si>
  <si>
    <t>E922_DAEWOO</t>
  </si>
  <si>
    <t>경상남도 창원시 진해구 신항로 633</t>
  </si>
  <si>
    <t>셀맥 팽성</t>
    <phoneticPr fontId="28" type="noConversion"/>
  </si>
  <si>
    <t>반입지</t>
    <phoneticPr fontId="30" type="noConversion"/>
  </si>
  <si>
    <t>청암신항</t>
    <phoneticPr fontId="28" type="noConversion"/>
  </si>
  <si>
    <t>KRINC</t>
    <phoneticPr fontId="28" type="noConversion"/>
  </si>
  <si>
    <t>ULSAN</t>
    <phoneticPr fontId="28" type="noConversion"/>
  </si>
  <si>
    <t>공휴일,
위험물,중량</t>
    <phoneticPr fontId="30" type="noConversion"/>
  </si>
  <si>
    <t>KWANGYANG</t>
    <phoneticPr fontId="28" type="noConversion"/>
  </si>
  <si>
    <t>GUNSAN</t>
    <phoneticPr fontId="28" type="noConversion"/>
  </si>
  <si>
    <t>PYONGTAEK</t>
    <phoneticPr fontId="28" type="noConversion"/>
  </si>
  <si>
    <t>세방</t>
  </si>
  <si>
    <t>세방</t>
    <phoneticPr fontId="28" type="noConversion"/>
  </si>
  <si>
    <t>..=IF(OR(K3="BUSAN(NEW)",K3="BUSAN"),IF(W3="세방",IF(K3="BUSAN(NEW)","03077102","03077016"),IFERROR(VLOOKUP(W3,GLAPS정리!AE42:AF50,2,FALSE),"")),"")</t>
  </si>
  <si>
    <t>..=IF(W3="세방",IF(K3="BUSAN(NEW)","03077102",IF(K3="BUSAN","03077016","")),IFERROR(VLOOKUP(W3,GLAPS정리!AE3:AF50,2,FALSE),""))</t>
  </si>
  <si>
    <t>반입지함수참고</t>
  </si>
  <si>
    <t>상차지</t>
    <phoneticPr fontId="28" type="noConversion"/>
  </si>
  <si>
    <t>반입일
(ODCY/터미널)</t>
    <phoneticPr fontId="30" type="noConversion"/>
  </si>
  <si>
    <t>ODCY
세부명칭</t>
    <phoneticPr fontId="30" type="noConversion"/>
  </si>
  <si>
    <t>목록외 작성금지</t>
  </si>
  <si>
    <t>목록외 작성금지</t>
    <phoneticPr fontId="30" type="noConversion"/>
  </si>
  <si>
    <t>CKD선사(시스템)</t>
    <phoneticPr fontId="28" type="noConversion"/>
  </si>
  <si>
    <t>CKD선사(메일오더)</t>
    <phoneticPr fontId="28" type="noConversion"/>
  </si>
  <si>
    <t>KMTC</t>
    <phoneticPr fontId="28" type="noConversion"/>
  </si>
  <si>
    <t>EVERGREEN</t>
    <phoneticPr fontId="28" type="noConversion"/>
  </si>
  <si>
    <t>MAERSK</t>
    <phoneticPr fontId="28" type="noConversion"/>
  </si>
  <si>
    <t>WANHAI LINE</t>
    <phoneticPr fontId="28" type="noConversion"/>
  </si>
  <si>
    <t>CO HEUNG</t>
    <phoneticPr fontId="28" type="noConversion"/>
  </si>
  <si>
    <t>남성해운</t>
    <phoneticPr fontId="28" type="noConversion"/>
  </si>
  <si>
    <t>장금상선</t>
    <phoneticPr fontId="28" type="noConversion"/>
  </si>
  <si>
    <t>HAPAG LLOYD</t>
    <phoneticPr fontId="28" type="noConversion"/>
  </si>
  <si>
    <t>현대상선</t>
    <phoneticPr fontId="28" type="noConversion"/>
  </si>
  <si>
    <t>성도글로비스</t>
    <phoneticPr fontId="28" type="noConversion"/>
  </si>
  <si>
    <t>SEALEAD</t>
    <phoneticPr fontId="28" type="noConversion"/>
  </si>
  <si>
    <t>SITC</t>
    <phoneticPr fontId="28" type="noConversion"/>
  </si>
  <si>
    <t>흥아해운</t>
    <phoneticPr fontId="28" type="noConversion"/>
  </si>
  <si>
    <t>동영해운</t>
    <phoneticPr fontId="28" type="noConversion"/>
  </si>
  <si>
    <t>OOCL</t>
    <phoneticPr fontId="28" type="noConversion"/>
  </si>
  <si>
    <t>SM상선</t>
    <phoneticPr fontId="28" type="noConversion"/>
  </si>
  <si>
    <t>COSCO</t>
    <phoneticPr fontId="28" type="noConversion"/>
  </si>
  <si>
    <t>한성라인</t>
    <phoneticPr fontId="28" type="noConversion"/>
  </si>
  <si>
    <t>DOOWOO</t>
    <phoneticPr fontId="28" type="noConversion"/>
  </si>
  <si>
    <t>YANG MING</t>
    <phoneticPr fontId="28" type="noConversion"/>
  </si>
  <si>
    <t>위동항운</t>
    <phoneticPr fontId="28" type="noConversion"/>
  </si>
  <si>
    <t>TS LINES</t>
    <phoneticPr fontId="28" type="noConversion"/>
  </si>
  <si>
    <t>EAS</t>
  </si>
  <si>
    <t>PORT KLENG</t>
  </si>
  <si>
    <t>MENANG</t>
    <phoneticPr fontId="28" type="noConversion"/>
  </si>
  <si>
    <t>F000018889/미발생</t>
    <phoneticPr fontId="28" type="noConversion"/>
  </si>
  <si>
    <t>GGJ</t>
  </si>
  <si>
    <t>ODCY(세방)
반입터미널</t>
    <phoneticPr fontId="30" type="noConversion"/>
  </si>
  <si>
    <t>GLS(첨단)</t>
  </si>
  <si>
    <t>KIA(PENANG)</t>
    <phoneticPr fontId="30" type="noConversion"/>
  </si>
  <si>
    <t>전주 뷰텍 2포장장</t>
  </si>
  <si>
    <t>FJJ</t>
  </si>
  <si>
    <t>리퍼 ,위험물
위험물리퍼</t>
    <phoneticPr fontId="30" type="noConversion"/>
  </si>
  <si>
    <t>KIA-실 고객사 확인 수정</t>
    <phoneticPr fontId="30" type="noConversion"/>
  </si>
  <si>
    <t>전주 뷰텍 1포장장</t>
    <phoneticPr fontId="28" type="noConversion"/>
  </si>
  <si>
    <t>광주 YSP</t>
    <phoneticPr fontId="28" type="noConversion"/>
  </si>
  <si>
    <t>울산 1포장장</t>
    <phoneticPr fontId="28" type="noConversion"/>
  </si>
  <si>
    <t>울산 2포장장</t>
    <phoneticPr fontId="28" type="noConversion"/>
  </si>
  <si>
    <t>울산 PLS</t>
    <phoneticPr fontId="28" type="noConversion"/>
  </si>
  <si>
    <t>울산 하나TPS</t>
    <phoneticPr fontId="28" type="noConversion"/>
  </si>
  <si>
    <t>모듈</t>
  </si>
  <si>
    <t>GA1588</t>
  </si>
  <si>
    <t>MOBBEL</t>
  </si>
  <si>
    <t>한타</t>
    <phoneticPr fontId="28" type="noConversion"/>
  </si>
  <si>
    <t>평택당진항</t>
    <phoneticPr fontId="28" type="noConversion"/>
  </si>
  <si>
    <t>컨테이너
종류
 (위험물,리퍼)</t>
    <phoneticPr fontId="30" type="noConversion"/>
  </si>
  <si>
    <t>S013</t>
  </si>
  <si>
    <t>부킹</t>
    <phoneticPr fontId="30" type="noConversion"/>
  </si>
  <si>
    <t>반입지(DESTI~) 함수</t>
  </si>
  <si>
    <t>입력X</t>
    <phoneticPr fontId="30" type="noConversion"/>
  </si>
  <si>
    <t>KRKUV</t>
    <phoneticPr fontId="28" type="noConversion"/>
  </si>
  <si>
    <r>
      <t xml:space="preserve">GLAPS </t>
    </r>
    <r>
      <rPr>
        <sz val="10"/>
        <rFont val="맑은 고딕"/>
        <family val="3"/>
        <charset val="129"/>
      </rPr>
      <t>코드</t>
    </r>
    <phoneticPr fontId="44" type="noConversion"/>
  </si>
  <si>
    <r>
      <t xml:space="preserve">GLAPS </t>
    </r>
    <r>
      <rPr>
        <sz val="10"/>
        <rFont val="맑은 고딕"/>
        <family val="2"/>
        <charset val="129"/>
      </rPr>
      <t>포트</t>
    </r>
    <phoneticPr fontId="44" type="noConversion"/>
  </si>
  <si>
    <t>비고</t>
    <phoneticPr fontId="45" type="noConversion"/>
  </si>
  <si>
    <t xml:space="preserve">임시 시행업체 </t>
    <phoneticPr fontId="45" type="noConversion"/>
  </si>
  <si>
    <t>로케이션</t>
    <phoneticPr fontId="45" type="noConversion"/>
  </si>
  <si>
    <t>KCTDC</t>
  </si>
  <si>
    <r>
      <rPr>
        <sz val="10"/>
        <rFont val="맑은 고딕"/>
        <family val="3"/>
        <charset val="129"/>
      </rPr>
      <t>부산세관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신항지정장치장</t>
    </r>
    <phoneticPr fontId="45" type="noConversion"/>
  </si>
  <si>
    <t>PNDKC</t>
  </si>
  <si>
    <t>03077003</t>
    <phoneticPr fontId="45" type="noConversion"/>
  </si>
  <si>
    <t>HJNCP</t>
  </si>
  <si>
    <r>
      <rPr>
        <sz val="10"/>
        <rFont val="맑은 고딕"/>
        <family val="3"/>
        <charset val="129"/>
      </rPr>
      <t>한진부산컨테이너터미널</t>
    </r>
    <r>
      <rPr>
        <sz val="10"/>
        <rFont val="Arial"/>
        <family val="2"/>
      </rPr>
      <t xml:space="preserve"> (HJNC)</t>
    </r>
    <phoneticPr fontId="45" type="noConversion"/>
  </si>
  <si>
    <t>03077006</t>
    <phoneticPr fontId="45" type="noConversion"/>
  </si>
  <si>
    <t>HJNCF</t>
  </si>
  <si>
    <t>HPNTC</t>
  </si>
  <si>
    <t>HMMCY</t>
  </si>
  <si>
    <t>PNITC</t>
  </si>
  <si>
    <t>BNCTC</t>
  </si>
  <si>
    <t>PNCOC</t>
  </si>
  <si>
    <t>BCTHD</t>
  </si>
  <si>
    <t>DGTBC</t>
  </si>
  <si>
    <t>창고&amp;영업소</t>
    <phoneticPr fontId="45" type="noConversion"/>
  </si>
  <si>
    <t>B015KOSEN</t>
  </si>
  <si>
    <t>B015KOSENAG</t>
  </si>
  <si>
    <r>
      <rPr>
        <sz val="10"/>
        <rFont val="맑은 고딕"/>
        <family val="3"/>
        <charset val="129"/>
      </rPr>
      <t>코센코안골</t>
    </r>
    <r>
      <rPr>
        <sz val="10"/>
        <rFont val="Arial"/>
        <family val="2"/>
      </rPr>
      <t xml:space="preserve"> CY</t>
    </r>
    <phoneticPr fontId="45" type="noConversion"/>
  </si>
  <si>
    <t>B015SB1CY</t>
  </si>
  <si>
    <t>B015SB2CY</t>
  </si>
  <si>
    <t>B015SBCAM</t>
  </si>
  <si>
    <r>
      <t>SB</t>
    </r>
    <r>
      <rPr>
        <sz val="10"/>
        <rFont val="맑은 고딕"/>
        <family val="3"/>
        <charset val="129"/>
      </rPr>
      <t>청암신항</t>
    </r>
    <phoneticPr fontId="45" type="noConversion"/>
  </si>
  <si>
    <t>B015SBCHW</t>
  </si>
  <si>
    <t>B015SBIGS</t>
  </si>
  <si>
    <t>B015SBNPC</t>
  </si>
  <si>
    <t>B015SBNSC</t>
  </si>
  <si>
    <t>B015SBSWH</t>
  </si>
  <si>
    <r>
      <rPr>
        <sz val="10"/>
        <rFont val="맑은 고딕"/>
        <family val="3"/>
        <charset val="129"/>
      </rPr>
      <t>송정</t>
    </r>
    <r>
      <rPr>
        <sz val="10"/>
        <rFont val="Arial"/>
        <family val="2"/>
      </rPr>
      <t>(</t>
    </r>
    <r>
      <rPr>
        <sz val="10"/>
        <rFont val="맑은 고딕"/>
        <family val="3"/>
        <charset val="129"/>
      </rPr>
      <t>세방</t>
    </r>
    <r>
      <rPr>
        <sz val="10"/>
        <rFont val="Arial"/>
        <family val="2"/>
      </rPr>
      <t>)</t>
    </r>
    <phoneticPr fontId="45" type="noConversion"/>
  </si>
  <si>
    <t>B015SBUNG</t>
  </si>
  <si>
    <t>B015SEJEN</t>
  </si>
  <si>
    <t>B590HTBCT</t>
  </si>
  <si>
    <t>B590HTBGDC</t>
  </si>
  <si>
    <t>B590HTJS</t>
  </si>
  <si>
    <t>B590HTNS</t>
  </si>
  <si>
    <t>B590HTSH</t>
  </si>
  <si>
    <t>B000004717</t>
  </si>
  <si>
    <t>E922_DGT</t>
    <phoneticPr fontId="45" type="noConversion"/>
  </si>
  <si>
    <t>미등록</t>
    <phoneticPr fontId="45" type="noConversion"/>
  </si>
  <si>
    <t>S004LOTNS</t>
  </si>
  <si>
    <t>추가</t>
    <phoneticPr fontId="45" type="noConversion"/>
  </si>
  <si>
    <t>B590HTDWL</t>
  </si>
  <si>
    <t>대우로지스(한타)</t>
  </si>
  <si>
    <t>KRBNP_ZONE</t>
  </si>
  <si>
    <t>KCTCC</t>
  </si>
  <si>
    <t/>
  </si>
  <si>
    <t>PPMLC</t>
  </si>
  <si>
    <t>BS1OC</t>
  </si>
  <si>
    <r>
      <rPr>
        <sz val="10"/>
        <rFont val="맑은 고딕"/>
        <family val="3"/>
        <charset val="129"/>
      </rPr>
      <t>제</t>
    </r>
    <r>
      <rPr>
        <sz val="10"/>
        <rFont val="Arial"/>
        <family val="2"/>
      </rPr>
      <t xml:space="preserve"> 1 </t>
    </r>
    <r>
      <rPr>
        <sz val="10"/>
        <rFont val="맑은 고딕"/>
        <family val="3"/>
        <charset val="129"/>
      </rPr>
      <t>부두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부산</t>
    </r>
    <r>
      <rPr>
        <sz val="10"/>
        <rFont val="Arial"/>
        <family val="2"/>
      </rPr>
      <t>)</t>
    </r>
    <phoneticPr fontId="45" type="noConversion"/>
  </si>
  <si>
    <t>03002010</t>
    <phoneticPr fontId="45" type="noConversion"/>
  </si>
  <si>
    <t>PPMEC</t>
  </si>
  <si>
    <t>KOPUC</t>
  </si>
  <si>
    <t>GCTOC</t>
  </si>
  <si>
    <t>KJTCC</t>
  </si>
  <si>
    <t>BICTC</t>
  </si>
  <si>
    <t>BCTOC</t>
  </si>
  <si>
    <t>PPMKC</t>
  </si>
  <si>
    <t>폐업</t>
    <phoneticPr fontId="45" type="noConversion"/>
  </si>
  <si>
    <t>GPDBC</t>
  </si>
  <si>
    <t>BS7OC</t>
  </si>
  <si>
    <t>PECTC</t>
  </si>
  <si>
    <t>CITBC</t>
  </si>
  <si>
    <t>KBKSC</t>
  </si>
  <si>
    <t>B015SBEZY</t>
  </si>
  <si>
    <t>B590DNK</t>
  </si>
  <si>
    <t>B590HTYJ</t>
  </si>
  <si>
    <t>BESTF</t>
  </si>
  <si>
    <t>KUKDONGF</t>
  </si>
  <si>
    <t>SMKRC</t>
  </si>
  <si>
    <r>
      <rPr>
        <sz val="10"/>
        <rFont val="맑은 고딕"/>
        <family val="3"/>
        <charset val="129"/>
      </rPr>
      <t>뉴대원</t>
    </r>
    <r>
      <rPr>
        <sz val="10"/>
        <rFont val="Arial"/>
        <family val="2"/>
      </rPr>
      <t xml:space="preserve"> CY</t>
    </r>
    <phoneticPr fontId="45" type="noConversion"/>
  </si>
  <si>
    <t>SGUMCY</t>
  </si>
  <si>
    <t>KITKC</t>
  </si>
  <si>
    <t>KEGWC</t>
  </si>
  <si>
    <t>GICTC</t>
  </si>
  <si>
    <t>PNCTC</t>
  </si>
  <si>
    <t>PCTCC</t>
  </si>
  <si>
    <t>E1CTC</t>
  </si>
  <si>
    <t>02012007</t>
    <phoneticPr fontId="45" type="noConversion"/>
  </si>
  <si>
    <t>HJGIC</t>
  </si>
  <si>
    <t>ICTPC</t>
  </si>
  <si>
    <t>WOOYC</t>
  </si>
  <si>
    <t>SNCTC</t>
    <phoneticPr fontId="45" type="noConversion"/>
  </si>
  <si>
    <t>HJITC</t>
  </si>
  <si>
    <t>SICTC</t>
  </si>
  <si>
    <t>02012230</t>
    <phoneticPr fontId="45" type="noConversion"/>
  </si>
  <si>
    <t>미사용</t>
    <phoneticPr fontId="45" type="noConversion"/>
  </si>
  <si>
    <t>LOGIC</t>
  </si>
  <si>
    <t>SLCLC</t>
  </si>
  <si>
    <t>IFPCC</t>
  </si>
  <si>
    <t>JUCTC</t>
  </si>
  <si>
    <t>UDITC</t>
  </si>
  <si>
    <t>11012003</t>
    <phoneticPr fontId="45" type="noConversion"/>
  </si>
  <si>
    <t>엑셀 입력값</t>
    <phoneticPr fontId="44" type="noConversion"/>
  </si>
  <si>
    <t>세방청암(북)</t>
    <phoneticPr fontId="28" type="noConversion"/>
  </si>
  <si>
    <t>세방청암(신)</t>
    <phoneticPr fontId="28" type="noConversion"/>
  </si>
  <si>
    <t>SDRNEW</t>
    <phoneticPr fontId="45" type="noConversion"/>
  </si>
  <si>
    <t>동원</t>
    <phoneticPr fontId="28" type="noConversion"/>
  </si>
  <si>
    <t>E922DAEWOO</t>
    <phoneticPr fontId="45" type="noConversion"/>
  </si>
  <si>
    <t>E922_DAEWOO</t>
    <phoneticPr fontId="28" type="noConversion"/>
  </si>
  <si>
    <t xml:space="preserve">GLAPS 코드 </t>
    <phoneticPr fontId="30" type="noConversion"/>
  </si>
  <si>
    <t>GLAPS 포트</t>
    <phoneticPr fontId="30" type="noConversion"/>
  </si>
  <si>
    <t>직반입 이트란스IF 또는 수기입력
,ODCY보관은 보관소 또는  I/F</t>
    <phoneticPr fontId="30" type="noConversion"/>
  </si>
  <si>
    <t>KRINC</t>
    <phoneticPr fontId="30" type="noConversion"/>
  </si>
  <si>
    <t>KRINF</t>
  </si>
  <si>
    <t>KRINF</t>
    <phoneticPr fontId="30" type="noConversion"/>
  </si>
  <si>
    <t>KRINN</t>
  </si>
  <si>
    <t>KRINN</t>
    <phoneticPr fontId="30" type="noConversion"/>
  </si>
  <si>
    <t>KRINC_FRY</t>
    <phoneticPr fontId="28" type="noConversion"/>
  </si>
  <si>
    <t>KRINC_NEW</t>
    <phoneticPr fontId="28" type="noConversion"/>
  </si>
  <si>
    <t>ULSAN, INCHEON
실 반입코드 변경!!</t>
    <phoneticPr fontId="30" type="noConversion"/>
  </si>
  <si>
    <t>INCHEON</t>
    <phoneticPr fontId="28" type="noConversion"/>
  </si>
  <si>
    <t>KRINC(인천항) ,KRINF(여객), KRINN(신항) 수기정정</t>
    <phoneticPr fontId="30" type="noConversion"/>
  </si>
  <si>
    <t>KRUSN(신항) ,KRONS(정일) 수기정정</t>
    <phoneticPr fontId="30" type="noConversion"/>
  </si>
  <si>
    <t>한타</t>
    <phoneticPr fontId="18" type="noConversion"/>
  </si>
  <si>
    <t>B000034432</t>
    <phoneticPr fontId="28" type="noConversion"/>
  </si>
  <si>
    <t>모비스</t>
    <phoneticPr fontId="30" type="noConversion"/>
  </si>
  <si>
    <t>KCTDC(신)</t>
    <phoneticPr fontId="28" type="noConversion"/>
  </si>
  <si>
    <t>다목적(신)</t>
    <phoneticPr fontId="28" type="noConversion"/>
  </si>
  <si>
    <t>HJNC(신)</t>
    <phoneticPr fontId="28" type="noConversion"/>
  </si>
  <si>
    <t>HPNT(신)</t>
    <phoneticPr fontId="28" type="noConversion"/>
  </si>
  <si>
    <t>PNIT(신)</t>
    <phoneticPr fontId="28" type="noConversion"/>
  </si>
  <si>
    <t>BNCT(신)</t>
    <phoneticPr fontId="28" type="noConversion"/>
  </si>
  <si>
    <t>PNC(신)</t>
    <phoneticPr fontId="28" type="noConversion"/>
  </si>
  <si>
    <t>BCT(신)</t>
    <phoneticPr fontId="28" type="noConversion"/>
  </si>
  <si>
    <t>DGT(신)</t>
    <phoneticPr fontId="28" type="noConversion"/>
  </si>
  <si>
    <t>씨스테인(신)</t>
    <phoneticPr fontId="28" type="noConversion"/>
  </si>
  <si>
    <t>코센코(신)</t>
    <phoneticPr fontId="28" type="noConversion"/>
  </si>
  <si>
    <t>코센코안골(신)</t>
    <phoneticPr fontId="28" type="noConversion"/>
  </si>
  <si>
    <t>세방1CY(신)</t>
    <phoneticPr fontId="28" type="noConversion"/>
  </si>
  <si>
    <t>세방2CY(신)</t>
    <phoneticPr fontId="28" type="noConversion"/>
  </si>
  <si>
    <t>세방천우(신)</t>
    <phoneticPr fontId="28" type="noConversion"/>
  </si>
  <si>
    <t>세방이지스(신)</t>
    <phoneticPr fontId="28" type="noConversion"/>
  </si>
  <si>
    <t>세방신항쿨스(신)</t>
    <phoneticPr fontId="28" type="noConversion"/>
  </si>
  <si>
    <t>세방녹산쿨스(신)</t>
    <phoneticPr fontId="28" type="noConversion"/>
  </si>
  <si>
    <t>세방송정(신)</t>
    <phoneticPr fontId="28" type="noConversion"/>
  </si>
  <si>
    <t>세방웅동(신)</t>
    <phoneticPr fontId="28" type="noConversion"/>
  </si>
  <si>
    <t>세방제니스(신)</t>
    <phoneticPr fontId="28" type="noConversion"/>
  </si>
  <si>
    <t>한타BCT(신)</t>
    <phoneticPr fontId="28" type="noConversion"/>
  </si>
  <si>
    <t>한타BGDC(신)</t>
    <phoneticPr fontId="28" type="noConversion"/>
  </si>
  <si>
    <t>힌타지사물류(신)</t>
    <phoneticPr fontId="28" type="noConversion"/>
  </si>
  <si>
    <t>한타녹산(신)</t>
    <phoneticPr fontId="28" type="noConversion"/>
  </si>
  <si>
    <t>한타신항(신)</t>
    <phoneticPr fontId="28" type="noConversion"/>
  </si>
  <si>
    <t>동원보관소(신)</t>
    <phoneticPr fontId="28" type="noConversion"/>
  </si>
  <si>
    <t>롯데녹산(신)</t>
    <phoneticPr fontId="28" type="noConversion"/>
  </si>
  <si>
    <t>신대륙(신)</t>
    <phoneticPr fontId="45" type="noConversion"/>
  </si>
  <si>
    <t>웅동(신)</t>
    <phoneticPr fontId="28" type="noConversion"/>
  </si>
  <si>
    <t>한타대우(신)</t>
    <phoneticPr fontId="28" type="noConversion"/>
  </si>
  <si>
    <t>고려우암(북)</t>
    <phoneticPr fontId="28" type="noConversion"/>
  </si>
  <si>
    <t>부산항국제여객(북)</t>
    <phoneticPr fontId="28" type="noConversion"/>
  </si>
  <si>
    <t>제1부두(북)</t>
    <phoneticPr fontId="28" type="noConversion"/>
  </si>
  <si>
    <t>PPMEC(북)</t>
    <phoneticPr fontId="28" type="noConversion"/>
  </si>
  <si>
    <t>부산진철도(북)</t>
    <phoneticPr fontId="28" type="noConversion"/>
  </si>
  <si>
    <t>신감만(북)</t>
    <phoneticPr fontId="28" type="noConversion"/>
  </si>
  <si>
    <t>인터지스감만(북)</t>
    <phoneticPr fontId="28" type="noConversion"/>
  </si>
  <si>
    <t>BPT감만(북)</t>
    <phoneticPr fontId="28" type="noConversion"/>
  </si>
  <si>
    <t>허치슨(북)</t>
    <phoneticPr fontId="28" type="noConversion"/>
  </si>
  <si>
    <t>KCTC우암(북)</t>
    <phoneticPr fontId="28" type="noConversion"/>
  </si>
  <si>
    <t>DPCT(북)</t>
    <phoneticPr fontId="28" type="noConversion"/>
  </si>
  <si>
    <t>7부두(북)</t>
    <phoneticPr fontId="28" type="noConversion"/>
  </si>
  <si>
    <t>BPT신선대(북)</t>
    <phoneticPr fontId="28" type="noConversion"/>
  </si>
  <si>
    <t>천일용당(북)</t>
    <phoneticPr fontId="28" type="noConversion"/>
  </si>
  <si>
    <t>국보(북)</t>
    <phoneticPr fontId="28" type="noConversion"/>
  </si>
  <si>
    <t>세방이지콘(북)</t>
    <phoneticPr fontId="28" type="noConversion"/>
  </si>
  <si>
    <t>한타디엔케이(북)</t>
    <phoneticPr fontId="28" type="noConversion"/>
  </si>
  <si>
    <t>한타영진(북)</t>
    <phoneticPr fontId="28" type="noConversion"/>
  </si>
  <si>
    <t>베스트우암(북)</t>
    <phoneticPr fontId="28" type="noConversion"/>
  </si>
  <si>
    <t>극동(북)</t>
    <phoneticPr fontId="28" type="noConversion"/>
  </si>
  <si>
    <t>뉴대원(북)</t>
    <phoneticPr fontId="28" type="noConversion"/>
  </si>
  <si>
    <t>광양국제(광양)</t>
    <phoneticPr fontId="28" type="noConversion"/>
  </si>
  <si>
    <t>광양대한통운(광양)</t>
    <phoneticPr fontId="28" type="noConversion"/>
  </si>
  <si>
    <t>GICTC(광양)</t>
    <phoneticPr fontId="28" type="noConversion"/>
  </si>
  <si>
    <t>평택아이포트(평택)</t>
    <phoneticPr fontId="28" type="noConversion"/>
  </si>
  <si>
    <t>평택컨테이너CY(평택)</t>
    <phoneticPr fontId="28" type="noConversion"/>
  </si>
  <si>
    <t>인천진아(인천항)</t>
    <phoneticPr fontId="28" type="noConversion"/>
  </si>
  <si>
    <t>인천E1(인천항)</t>
    <phoneticPr fontId="28" type="noConversion"/>
  </si>
  <si>
    <t>인천SM경인터미널(인천항)</t>
    <phoneticPr fontId="28" type="noConversion"/>
  </si>
  <si>
    <t>인천항(인천항)</t>
    <phoneticPr fontId="28" type="noConversion"/>
  </si>
  <si>
    <t>인천우련(인천항)</t>
    <phoneticPr fontId="28" type="noConversion"/>
  </si>
  <si>
    <t>인천항8부두(인천항)</t>
    <phoneticPr fontId="28" type="noConversion"/>
  </si>
  <si>
    <t>선광인천보세(인천신)</t>
  </si>
  <si>
    <t>선광인천보세(인천신)</t>
    <phoneticPr fontId="45" type="noConversion"/>
  </si>
  <si>
    <t>한진인천(인천신)</t>
  </si>
  <si>
    <t>한진인천(인천신)</t>
    <phoneticPr fontId="28" type="noConversion"/>
  </si>
  <si>
    <t>선광인천신항(인천신)</t>
  </si>
  <si>
    <t>선광인천신항(인천신)</t>
    <phoneticPr fontId="28" type="noConversion"/>
  </si>
  <si>
    <t>인천더로지스(인천신)</t>
  </si>
  <si>
    <t>인천더로지스(인천신)</t>
    <phoneticPr fontId="28" type="noConversion"/>
  </si>
  <si>
    <t>선광종합물류(인천여객)</t>
  </si>
  <si>
    <t>선광종합물류(인천여객)</t>
    <phoneticPr fontId="28" type="noConversion"/>
  </si>
  <si>
    <t>인천여객(인천여객)</t>
  </si>
  <si>
    <t>인천여객(인천여객)</t>
    <phoneticPr fontId="28" type="noConversion"/>
  </si>
  <si>
    <t>KRBNX</t>
  </si>
  <si>
    <t>H000_YK</t>
  </si>
  <si>
    <t>충청남도(1센터)</t>
  </si>
  <si>
    <t>아산 1포장장 (공성실업)</t>
  </si>
  <si>
    <t>H000_GA</t>
  </si>
  <si>
    <t>GA</t>
  </si>
  <si>
    <t>아산 2포장장 (오토쎌)</t>
  </si>
  <si>
    <t>H000_GB</t>
  </si>
  <si>
    <t>GB</t>
  </si>
  <si>
    <t>충청남도(2센터)</t>
  </si>
  <si>
    <t>아산 3포장장 (아산YSP)</t>
  </si>
  <si>
    <t>H000_GC</t>
  </si>
  <si>
    <t>GC</t>
  </si>
  <si>
    <t>EAS1</t>
  </si>
  <si>
    <t>KAC (KCC글라스세종)</t>
  </si>
  <si>
    <t>H000_KC</t>
  </si>
  <si>
    <t>KC</t>
  </si>
  <si>
    <t>KAC</t>
  </si>
  <si>
    <t>경림 3공장</t>
  </si>
  <si>
    <t>EGL</t>
  </si>
  <si>
    <t>경림 2공장</t>
  </si>
  <si>
    <t>H000_YK2</t>
  </si>
  <si>
    <t>셀맥 팽성</t>
  </si>
  <si>
    <t>H000_SM</t>
  </si>
  <si>
    <t>ESM</t>
  </si>
  <si>
    <t>셀맥 오성</t>
  </si>
  <si>
    <t>H000_SM2</t>
  </si>
  <si>
    <t>전주 뷰텍(2포장장)</t>
  </si>
  <si>
    <t>H000_JB</t>
  </si>
  <si>
    <t>JB</t>
  </si>
  <si>
    <t>전주 뷰텍(1포장장)</t>
  </si>
  <si>
    <t>H000_JC</t>
  </si>
  <si>
    <t>JC</t>
  </si>
  <si>
    <t>전라남도</t>
  </si>
  <si>
    <t>H000_GG</t>
  </si>
  <si>
    <t>광양 금호타이어</t>
  </si>
  <si>
    <r>
      <t>H000_GG</t>
    </r>
    <r>
      <rPr>
        <b/>
        <sz val="11"/>
        <color theme="1"/>
        <rFont val="맑은 고딕"/>
        <family val="3"/>
        <charset val="129"/>
        <scheme val="minor"/>
      </rPr>
      <t>1</t>
    </r>
  </si>
  <si>
    <t>IH</t>
  </si>
  <si>
    <t>HKY</t>
  </si>
  <si>
    <t>곡성 금호타이어</t>
  </si>
  <si>
    <r>
      <t>H000_GG</t>
    </r>
    <r>
      <rPr>
        <b/>
        <sz val="11"/>
        <color theme="1"/>
        <rFont val="맑은 고딕"/>
        <family val="3"/>
        <charset val="129"/>
        <scheme val="minor"/>
      </rPr>
      <t>2</t>
    </r>
  </si>
  <si>
    <t>KMH</t>
  </si>
  <si>
    <t>GLS</t>
  </si>
  <si>
    <t>H000_KG</t>
  </si>
  <si>
    <t>KG</t>
  </si>
  <si>
    <t>YSP</t>
  </si>
  <si>
    <t>H000_KY</t>
  </si>
  <si>
    <t>KY</t>
  </si>
  <si>
    <t>경상</t>
  </si>
  <si>
    <t>울산 1포장장 (다원)</t>
  </si>
  <si>
    <t>H000_U1</t>
  </si>
  <si>
    <t>U1</t>
  </si>
  <si>
    <t>UUS</t>
  </si>
  <si>
    <t>울산 2포장장 (리바트)</t>
  </si>
  <si>
    <t>H000_U2</t>
  </si>
  <si>
    <t>U2</t>
  </si>
  <si>
    <t>H000_YH</t>
  </si>
  <si>
    <t>YH</t>
  </si>
  <si>
    <t>PLS</t>
  </si>
  <si>
    <t>H000_YP</t>
  </si>
  <si>
    <t>YP</t>
  </si>
  <si>
    <t>LGJ</t>
  </si>
  <si>
    <r>
      <t>H000_YW</t>
    </r>
    <r>
      <rPr>
        <b/>
        <sz val="11"/>
        <color theme="1"/>
        <rFont val="맑은 고딕"/>
        <family val="3"/>
        <charset val="129"/>
        <scheme val="minor"/>
      </rPr>
      <t>2</t>
    </r>
  </si>
  <si>
    <t>YW</t>
  </si>
  <si>
    <t>울산 유니팩(울산)</t>
  </si>
  <si>
    <t>H000_YW</t>
  </si>
  <si>
    <t>KAC(KCC글라스 울산)</t>
  </si>
  <si>
    <t>H000_KA</t>
  </si>
  <si>
    <t>UKA</t>
  </si>
  <si>
    <t>베바스토</t>
  </si>
  <si>
    <t>H000_BB</t>
  </si>
  <si>
    <t>UBB</t>
  </si>
  <si>
    <t>H000_MK</t>
  </si>
  <si>
    <t>LKC</t>
  </si>
  <si>
    <t>동원대우보관소(신)</t>
    <phoneticPr fontId="45" type="noConversion"/>
  </si>
  <si>
    <t>E922DGT</t>
    <phoneticPr fontId="28" type="noConversion"/>
  </si>
  <si>
    <t>창고&amp;영업소</t>
  </si>
  <si>
    <t>KASK</t>
    <phoneticPr fontId="30" type="noConversion"/>
  </si>
  <si>
    <t>유럽</t>
    <phoneticPr fontId="30" type="noConversion"/>
  </si>
  <si>
    <t>기아 슬로바키아</t>
    <phoneticPr fontId="30" type="noConversion"/>
  </si>
  <si>
    <t>[KS]</t>
  </si>
  <si>
    <t>KIA LUCKY MOTORS</t>
    <phoneticPr fontId="30" type="noConversion"/>
  </si>
  <si>
    <t>KMS</t>
    <phoneticPr fontId="30" type="noConversion"/>
  </si>
  <si>
    <t>ADM</t>
    <phoneticPr fontId="30" type="noConversion"/>
  </si>
  <si>
    <t>ADM JIZZAKH</t>
    <phoneticPr fontId="30" type="noConversion"/>
  </si>
  <si>
    <t>[AB]</t>
    <phoneticPr fontId="30" type="noConversion"/>
  </si>
  <si>
    <t>AYMESA</t>
    <phoneticPr fontId="30" type="noConversion"/>
  </si>
  <si>
    <t>ADM JIZZAHK</t>
    <phoneticPr fontId="30" type="noConversion"/>
  </si>
  <si>
    <t>QINGDAO, XINGANG</t>
    <phoneticPr fontId="30" type="noConversion"/>
  </si>
  <si>
    <t>[AZ]</t>
  </si>
  <si>
    <t>INALFA EUROPE</t>
    <phoneticPr fontId="30" type="noConversion"/>
  </si>
  <si>
    <t>Inalfa Roof Systems BV</t>
    <phoneticPr fontId="30" type="noConversion"/>
  </si>
  <si>
    <t>[IE]</t>
  </si>
  <si>
    <t>SOMIL</t>
    <phoneticPr fontId="30" type="noConversion"/>
  </si>
  <si>
    <t>Kia Kazakhstan</t>
    <phoneticPr fontId="30" type="noConversion"/>
  </si>
  <si>
    <t>기아 카자흐스탄</t>
    <phoneticPr fontId="30" type="noConversion"/>
  </si>
  <si>
    <t>[KZ]</t>
    <phoneticPr fontId="30" type="noConversion"/>
  </si>
  <si>
    <t>DWI</t>
    <phoneticPr fontId="30" type="noConversion"/>
  </si>
  <si>
    <t>주식회사 포스코인터내셔널</t>
    <phoneticPr fontId="30" type="noConversion"/>
  </si>
  <si>
    <t>[DW]</t>
    <phoneticPr fontId="30" type="noConversion"/>
  </si>
  <si>
    <t>HMMC</t>
    <phoneticPr fontId="30" type="noConversion"/>
  </si>
  <si>
    <t>Hyundai Motor Manufactiring Czech</t>
    <phoneticPr fontId="30" type="noConversion"/>
  </si>
  <si>
    <t>[HC]</t>
  </si>
  <si>
    <t>SMT</t>
    <phoneticPr fontId="30" type="noConversion"/>
  </si>
  <si>
    <t>F000018792</t>
    <phoneticPr fontId="30" type="noConversion"/>
  </si>
  <si>
    <t>MAGNA</t>
    <phoneticPr fontId="30" type="noConversion"/>
  </si>
  <si>
    <t>마그나 오토모티브</t>
    <phoneticPr fontId="30" type="noConversion"/>
  </si>
  <si>
    <t>[MS]</t>
    <phoneticPr fontId="30" type="noConversion"/>
  </si>
  <si>
    <t>HAOS</t>
    <phoneticPr fontId="30" type="noConversion"/>
  </si>
  <si>
    <t>HYUNDAI ASSAN OTOMOTIV SANAYI VE TICARET</t>
    <phoneticPr fontId="30" type="noConversion"/>
  </si>
  <si>
    <t>HMTR</t>
    <phoneticPr fontId="30" type="noConversion"/>
  </si>
  <si>
    <t>HAOS-&gt;HMTR 명칭변경</t>
    <phoneticPr fontId="30" type="noConversion"/>
  </si>
  <si>
    <t>[HA]</t>
  </si>
  <si>
    <t>포장장 고객사  - KIA</t>
    <phoneticPr fontId="30" type="noConversion"/>
  </si>
  <si>
    <t>HMSG</t>
    <phoneticPr fontId="30" type="noConversion"/>
  </si>
  <si>
    <t>Hyundai MotorSport GmbH</t>
    <phoneticPr fontId="30" type="noConversion"/>
  </si>
  <si>
    <t>[HM]</t>
    <phoneticPr fontId="30" type="noConversion"/>
  </si>
  <si>
    <t>POD</t>
    <phoneticPr fontId="30" type="noConversion"/>
  </si>
  <si>
    <t>HMMR</t>
    <phoneticPr fontId="30" type="noConversion"/>
  </si>
  <si>
    <t>LLC"HYUNDAI MOTOR MANUFACTURING RUS"LIT.</t>
    <phoneticPr fontId="30" type="noConversion"/>
  </si>
  <si>
    <t>[HF]</t>
    <phoneticPr fontId="30" type="noConversion"/>
  </si>
  <si>
    <t>[KK]</t>
    <phoneticPr fontId="30" type="noConversion"/>
  </si>
  <si>
    <t>AGR</t>
    <phoneticPr fontId="30" type="noConversion"/>
  </si>
  <si>
    <t>(구 HMMR)</t>
    <phoneticPr fontId="30" type="noConversion"/>
  </si>
  <si>
    <t>S103</t>
    <phoneticPr fontId="30" type="noConversion"/>
  </si>
  <si>
    <t>KIA</t>
    <phoneticPr fontId="30" type="noConversion"/>
  </si>
  <si>
    <t>아태</t>
    <phoneticPr fontId="30" type="noConversion"/>
  </si>
  <si>
    <t>PENANG</t>
    <phoneticPr fontId="30" type="noConversion"/>
  </si>
  <si>
    <t>HTK</t>
    <phoneticPr fontId="30" type="noConversion"/>
  </si>
  <si>
    <t>Hyundai Trans Kazakhstan L.L.P</t>
    <phoneticPr fontId="30" type="noConversion"/>
  </si>
  <si>
    <t>[HK]</t>
    <phoneticPr fontId="30" type="noConversion"/>
  </si>
  <si>
    <t>GA2557</t>
    <phoneticPr fontId="30" type="noConversion"/>
  </si>
  <si>
    <t>HMGICS</t>
    <phoneticPr fontId="30" type="noConversion"/>
  </si>
  <si>
    <t>SINGAPORE</t>
    <phoneticPr fontId="30" type="noConversion"/>
  </si>
  <si>
    <t>F000019385</t>
    <phoneticPr fontId="30" type="noConversion"/>
  </si>
  <si>
    <t>SEOYON SUMMIT AUTO IND</t>
    <phoneticPr fontId="30" type="noConversion"/>
  </si>
  <si>
    <t>서연써밋오토모티브</t>
    <phoneticPr fontId="30" type="noConversion"/>
  </si>
  <si>
    <t>[SR]</t>
  </si>
  <si>
    <t>KCN</t>
    <phoneticPr fontId="30" type="noConversion"/>
  </si>
  <si>
    <t>HMID</t>
    <phoneticPr fontId="30" type="noConversion"/>
  </si>
  <si>
    <t>HYUNDAI MOTORS INDONESIA</t>
    <phoneticPr fontId="30" type="noConversion"/>
  </si>
  <si>
    <t>[HQ]</t>
  </si>
  <si>
    <t>HMMI</t>
    <phoneticPr fontId="30" type="noConversion"/>
  </si>
  <si>
    <t>(주) 현대자동차 인도네시아</t>
    <phoneticPr fontId="30" type="noConversion"/>
  </si>
  <si>
    <t>[HI]</t>
  </si>
  <si>
    <t>KIA URUGUAY</t>
    <phoneticPr fontId="30" type="noConversion"/>
  </si>
  <si>
    <t>중남미</t>
    <phoneticPr fontId="30" type="noConversion"/>
  </si>
  <si>
    <t>MONTEVIDEO (SOMIL , MONTICH -포장장에서 구분)</t>
    <phoneticPr fontId="30" type="noConversion"/>
  </si>
  <si>
    <t>GII</t>
    <phoneticPr fontId="30" type="noConversion"/>
  </si>
  <si>
    <t>PT GLOVIS INDONESIA INTERNATIONAL</t>
    <phoneticPr fontId="30" type="noConversion"/>
  </si>
  <si>
    <t>[ID]</t>
  </si>
  <si>
    <t>CMC</t>
    <phoneticPr fontId="30" type="noConversion"/>
  </si>
  <si>
    <t>C.N.A Manufacturing Sdn. Bhd.</t>
    <phoneticPr fontId="30" type="noConversion"/>
  </si>
  <si>
    <t>박성현책임 변경</t>
    <phoneticPr fontId="30" type="noConversion"/>
  </si>
  <si>
    <t>[AC]</t>
    <phoneticPr fontId="30" type="noConversion"/>
  </si>
  <si>
    <t>S013</t>
    <phoneticPr fontId="30" type="noConversion"/>
  </si>
  <si>
    <t>기아㈜</t>
    <phoneticPr fontId="30" type="noConversion"/>
  </si>
  <si>
    <t>LA3030</t>
    <phoneticPr fontId="28" type="noConversion"/>
  </si>
  <si>
    <t>수성특장㈜</t>
    <phoneticPr fontId="30" type="noConversion"/>
  </si>
  <si>
    <t>[VS]</t>
  </si>
  <si>
    <t>EGY</t>
    <phoneticPr fontId="30" type="noConversion"/>
  </si>
  <si>
    <t>EVMC</t>
    <phoneticPr fontId="30" type="noConversion"/>
  </si>
  <si>
    <t>[EM]</t>
  </si>
  <si>
    <t>GA2409</t>
    <phoneticPr fontId="28" type="noConversion"/>
  </si>
  <si>
    <t>PKT</t>
    <phoneticPr fontId="30" type="noConversion"/>
  </si>
  <si>
    <t>PKT CONSOLIDATION SERVICE</t>
    <phoneticPr fontId="30" type="noConversion"/>
  </si>
  <si>
    <t>[PK]</t>
  </si>
  <si>
    <t>CM Industries</t>
    <phoneticPr fontId="30" type="noConversion"/>
  </si>
  <si>
    <t>씨엠인더스트리 유한회사(영업소)</t>
    <phoneticPr fontId="30" type="noConversion"/>
  </si>
  <si>
    <t>[CI]</t>
  </si>
  <si>
    <t>HTCV</t>
    <phoneticPr fontId="30" type="noConversion"/>
  </si>
  <si>
    <t>HYUNDAI THANH CONG COMMERCIAL VEHIC</t>
    <phoneticPr fontId="30" type="noConversion"/>
  </si>
  <si>
    <t>[HV]</t>
  </si>
  <si>
    <t>HTMV</t>
    <phoneticPr fontId="30" type="noConversion"/>
  </si>
  <si>
    <t>Hyundai Thanh Cong Viet Nam Auto Ma</t>
    <phoneticPr fontId="30" type="noConversion"/>
  </si>
  <si>
    <t>[HT]</t>
  </si>
  <si>
    <t>HTC</t>
    <phoneticPr fontId="30" type="noConversion"/>
  </si>
  <si>
    <t>현대 탄콩 베트남 주식회사</t>
    <phoneticPr fontId="30" type="noConversion"/>
  </si>
  <si>
    <t>[TC]</t>
    <phoneticPr fontId="30" type="noConversion"/>
  </si>
  <si>
    <t>[HE]</t>
  </si>
  <si>
    <t>DYK</t>
    <phoneticPr fontId="30" type="noConversion"/>
  </si>
  <si>
    <t>HTBC</t>
    <phoneticPr fontId="30" type="noConversion"/>
  </si>
  <si>
    <t>HTBC(사천현대)</t>
    <phoneticPr fontId="30" type="noConversion"/>
  </si>
  <si>
    <t>[HS]</t>
  </si>
  <si>
    <t>TENNECO</t>
    <phoneticPr fontId="30" type="noConversion"/>
  </si>
  <si>
    <t>테네코</t>
    <phoneticPr fontId="30" type="noConversion"/>
  </si>
  <si>
    <t>[TN]</t>
    <phoneticPr fontId="30" type="noConversion"/>
  </si>
  <si>
    <t>[PY]</t>
  </si>
  <si>
    <t>KIN</t>
    <phoneticPr fontId="30" type="noConversion"/>
  </si>
  <si>
    <t>기아차 인도공장</t>
    <phoneticPr fontId="30" type="noConversion"/>
  </si>
  <si>
    <t>[KD]</t>
  </si>
  <si>
    <t>F000018889</t>
    <phoneticPr fontId="30" type="noConversion"/>
  </si>
  <si>
    <t>MENANG (현대)</t>
    <phoneticPr fontId="30" type="noConversion"/>
  </si>
  <si>
    <t>현대차 말레이시아 공장 (현차)</t>
    <phoneticPr fontId="30" type="noConversion"/>
  </si>
  <si>
    <t>CKD구분 불가능</t>
    <phoneticPr fontId="30" type="noConversion"/>
  </si>
  <si>
    <t>[MC]</t>
    <phoneticPr fontId="30" type="noConversion"/>
  </si>
  <si>
    <t>F000018806</t>
    <phoneticPr fontId="30" type="noConversion"/>
  </si>
  <si>
    <t>MENANG (기아)</t>
    <phoneticPr fontId="30" type="noConversion"/>
  </si>
  <si>
    <t>GA1111</t>
    <phoneticPr fontId="30" type="noConversion"/>
  </si>
  <si>
    <t>PROCON ENGINEERING PVT LTD</t>
    <phoneticPr fontId="30" type="noConversion"/>
  </si>
  <si>
    <t>비계열 KARACHI SPOT</t>
    <phoneticPr fontId="30" type="noConversion"/>
  </si>
  <si>
    <t>[PR]</t>
    <phoneticPr fontId="30" type="noConversion"/>
  </si>
  <si>
    <t>HMI</t>
    <phoneticPr fontId="30" type="noConversion"/>
  </si>
  <si>
    <t>현대자동차(주)인디아</t>
    <phoneticPr fontId="30" type="noConversion"/>
  </si>
  <si>
    <t>[HD]</t>
  </si>
  <si>
    <t>IH01</t>
    <phoneticPr fontId="28" type="noConversion"/>
  </si>
  <si>
    <t>HMI PUNE</t>
    <phoneticPr fontId="30" type="noConversion"/>
  </si>
  <si>
    <t>HMI 3공장</t>
    <phoneticPr fontId="30" type="noConversion"/>
  </si>
  <si>
    <t>[HO]</t>
  </si>
  <si>
    <t>YONGSAN</t>
    <phoneticPr fontId="30" type="noConversion"/>
  </si>
  <si>
    <t>용산 인디아</t>
    <phoneticPr fontId="30" type="noConversion"/>
  </si>
  <si>
    <t>[AY]</t>
    <phoneticPr fontId="30" type="noConversion"/>
  </si>
  <si>
    <t>Garrett Motion</t>
    <phoneticPr fontId="30" type="noConversion"/>
  </si>
  <si>
    <t>가렛모션</t>
    <phoneticPr fontId="30" type="noConversion"/>
  </si>
  <si>
    <t>[GR]</t>
  </si>
  <si>
    <t>BEIJING SEJONG</t>
    <phoneticPr fontId="30" type="noConversion"/>
  </si>
  <si>
    <t>BEIJING SEJONG AUTO PARTS CO., LTD.</t>
    <phoneticPr fontId="30" type="noConversion"/>
  </si>
  <si>
    <t>[BS]</t>
    <phoneticPr fontId="30" type="noConversion"/>
  </si>
  <si>
    <t>Lucky Motor Corporation Limited</t>
    <phoneticPr fontId="30" type="noConversion"/>
  </si>
  <si>
    <t>[KL]</t>
    <phoneticPr fontId="30" type="noConversion"/>
  </si>
  <si>
    <t>FAIR TECH</t>
    <phoneticPr fontId="30" type="noConversion"/>
  </si>
  <si>
    <t>[FT]</t>
    <phoneticPr fontId="30" type="noConversion"/>
  </si>
  <si>
    <t>CA0241</t>
    <phoneticPr fontId="30" type="noConversion"/>
  </si>
  <si>
    <t>[BD]</t>
    <phoneticPr fontId="30" type="noConversion"/>
  </si>
  <si>
    <t>MC09</t>
    <phoneticPr fontId="30" type="noConversion"/>
  </si>
  <si>
    <t>CNA</t>
    <phoneticPr fontId="30" type="noConversion"/>
  </si>
  <si>
    <t>[AN]</t>
  </si>
  <si>
    <t>북미</t>
    <phoneticPr fontId="30" type="noConversion"/>
  </si>
  <si>
    <t>Adient US LLC</t>
    <phoneticPr fontId="30" type="noConversion"/>
  </si>
  <si>
    <t>[AI]</t>
  </si>
  <si>
    <t>인알파USA</t>
    <phoneticPr fontId="30" type="noConversion"/>
  </si>
  <si>
    <t>[IU]</t>
    <phoneticPr fontId="30" type="noConversion"/>
  </si>
  <si>
    <t>KAGA</t>
    <phoneticPr fontId="30" type="noConversion"/>
  </si>
  <si>
    <t>기아자동차 조지아공장</t>
    <phoneticPr fontId="30" type="noConversion"/>
  </si>
  <si>
    <t>[KG]</t>
  </si>
  <si>
    <t>SAMBO A&amp;T</t>
    <phoneticPr fontId="30" type="noConversion"/>
  </si>
  <si>
    <t>삼보A&amp;T 아메리카</t>
    <phoneticPr fontId="30" type="noConversion"/>
  </si>
  <si>
    <t>[SI]</t>
  </si>
  <si>
    <t>HANON ALABAMA</t>
    <phoneticPr fontId="30" type="noConversion"/>
  </si>
  <si>
    <t>한온 알라바마</t>
    <phoneticPr fontId="30" type="noConversion"/>
  </si>
  <si>
    <t>[HU]</t>
  </si>
  <si>
    <t>HSAA</t>
    <phoneticPr fontId="30" type="noConversion"/>
  </si>
  <si>
    <t>에이치에스 오토모티브 알라바마</t>
    <phoneticPr fontId="30" type="noConversion"/>
  </si>
  <si>
    <t>[NR]</t>
  </si>
  <si>
    <t>SEJONG ALABAMA</t>
    <phoneticPr fontId="30" type="noConversion"/>
  </si>
  <si>
    <t>SEJONG ALABAMA LLC</t>
    <phoneticPr fontId="30" type="noConversion"/>
  </si>
  <si>
    <t>[NA]</t>
  </si>
  <si>
    <t>SEJONG GEORGIA</t>
    <phoneticPr fontId="30" type="noConversion"/>
  </si>
  <si>
    <t>세종조지아</t>
    <phoneticPr fontId="30" type="noConversion"/>
  </si>
  <si>
    <t>[NG]</t>
  </si>
  <si>
    <t>DSA</t>
    <phoneticPr fontId="30" type="noConversion"/>
  </si>
  <si>
    <t>DAEHAN SOLUTION ALABAMA</t>
    <phoneticPr fontId="30" type="noConversion"/>
  </si>
  <si>
    <t>[DS]</t>
    <phoneticPr fontId="30" type="noConversion"/>
  </si>
  <si>
    <t>SEOYON E-HWA AL</t>
    <phoneticPr fontId="30" type="noConversion"/>
  </si>
  <si>
    <t>Seoyon E-Hwa Interior Systems Alabama</t>
    <phoneticPr fontId="30" type="noConversion"/>
  </si>
  <si>
    <t>[SW]</t>
  </si>
  <si>
    <t>서연이화</t>
    <phoneticPr fontId="30" type="noConversion"/>
  </si>
  <si>
    <t>[SW]</t>
    <phoneticPr fontId="30" type="noConversion"/>
  </si>
  <si>
    <t>PHA</t>
    <phoneticPr fontId="30" type="noConversion"/>
  </si>
  <si>
    <t>PHA Alabama, LLC</t>
    <phoneticPr fontId="30" type="noConversion"/>
  </si>
  <si>
    <t>[PA]</t>
    <phoneticPr fontId="30" type="noConversion"/>
  </si>
  <si>
    <t>ECOPLASTIC AMERICA</t>
    <phoneticPr fontId="30" type="noConversion"/>
  </si>
  <si>
    <t>ECOPLASTIC AMERICA CORP</t>
    <phoneticPr fontId="30" type="noConversion"/>
  </si>
  <si>
    <t>[ES]</t>
    <phoneticPr fontId="30" type="noConversion"/>
  </si>
  <si>
    <t>DSC SAVANNAH</t>
    <phoneticPr fontId="30" type="noConversion"/>
  </si>
  <si>
    <t>[DF]</t>
    <phoneticPr fontId="30" type="noConversion"/>
  </si>
  <si>
    <t>HMGMA</t>
    <phoneticPr fontId="30" type="noConversion"/>
  </si>
  <si>
    <t>[HP]</t>
  </si>
  <si>
    <t>ALABAMA(HB)</t>
    <phoneticPr fontId="30" type="noConversion"/>
  </si>
  <si>
    <t>현대자동차 알라바마공장</t>
    <phoneticPr fontId="30" type="noConversion"/>
  </si>
  <si>
    <t>HMMA</t>
    <phoneticPr fontId="30" type="noConversion"/>
  </si>
  <si>
    <t>[HB]</t>
  </si>
  <si>
    <t>HMB</t>
    <phoneticPr fontId="30" type="noConversion"/>
  </si>
  <si>
    <t>HYUNDAI MOTOR BRASIL MONTADORA DE A</t>
    <phoneticPr fontId="30" type="noConversion"/>
  </si>
  <si>
    <t>[HW]</t>
  </si>
  <si>
    <t>F000019162</t>
    <phoneticPr fontId="30" type="noConversion"/>
  </si>
  <si>
    <t>SEOYON E-HWA BRAZIL</t>
    <phoneticPr fontId="30" type="noConversion"/>
  </si>
  <si>
    <t>서연이화 브라질</t>
    <phoneticPr fontId="30" type="noConversion"/>
  </si>
  <si>
    <t>[BE]</t>
    <phoneticPr fontId="30" type="noConversion"/>
  </si>
  <si>
    <t>AYMESA SA</t>
    <phoneticPr fontId="30" type="noConversion"/>
  </si>
  <si>
    <t>GUAYAQUIL 에콰도르</t>
    <phoneticPr fontId="30" type="noConversion"/>
  </si>
  <si>
    <t>[NV]</t>
    <phoneticPr fontId="30" type="noConversion"/>
  </si>
  <si>
    <t>CAOA</t>
    <phoneticPr fontId="30" type="noConversion"/>
  </si>
  <si>
    <t>CAOA Montadora de Veiculos Ltda.</t>
    <phoneticPr fontId="30" type="noConversion"/>
  </si>
  <si>
    <t>[CA]</t>
    <phoneticPr fontId="30" type="noConversion"/>
  </si>
  <si>
    <t>F000018979</t>
    <phoneticPr fontId="30" type="noConversion"/>
  </si>
  <si>
    <t>Webasto Mexico</t>
    <phoneticPr fontId="30" type="noConversion"/>
  </si>
  <si>
    <t>베바스토 멕시코</t>
    <phoneticPr fontId="30" type="noConversion"/>
  </si>
  <si>
    <t>[WM]</t>
  </si>
  <si>
    <t>FAURECIA MEX</t>
    <phoneticPr fontId="30" type="noConversion"/>
  </si>
  <si>
    <t>멕시코포레시아</t>
    <phoneticPr fontId="30" type="noConversion"/>
  </si>
  <si>
    <t>[FM]</t>
    <phoneticPr fontId="30" type="noConversion"/>
  </si>
  <si>
    <t>KMM</t>
    <phoneticPr fontId="30" type="noConversion"/>
  </si>
  <si>
    <t>기아자동차 멕시코</t>
    <phoneticPr fontId="30" type="noConversion"/>
  </si>
  <si>
    <t>KMX</t>
    <phoneticPr fontId="30" type="noConversion"/>
  </si>
  <si>
    <t>[KM]</t>
  </si>
  <si>
    <t>LEEHAN AMERICA</t>
    <phoneticPr fontId="30" type="noConversion"/>
  </si>
  <si>
    <t>리한 아메리카</t>
    <phoneticPr fontId="30" type="noConversion"/>
  </si>
  <si>
    <t>[LH]</t>
    <phoneticPr fontId="30" type="noConversion"/>
  </si>
  <si>
    <t>MAGNETI</t>
    <phoneticPr fontId="30" type="noConversion"/>
  </si>
  <si>
    <t>Magneti Marelli Sistemas Automotivo</t>
    <phoneticPr fontId="30" type="noConversion"/>
  </si>
  <si>
    <t>[MM]</t>
    <phoneticPr fontId="30" type="noConversion"/>
  </si>
  <si>
    <t>MONTICH</t>
    <phoneticPr fontId="30" type="noConversion"/>
  </si>
  <si>
    <t>MONTICH URUGUAY</t>
    <phoneticPr fontId="30" type="noConversion"/>
  </si>
  <si>
    <t>[S3]</t>
  </si>
  <si>
    <t>기아 주식회사</t>
    <phoneticPr fontId="30" type="noConversion"/>
  </si>
  <si>
    <t>국가 재확인</t>
    <phoneticPr fontId="30" type="noConversion"/>
  </si>
  <si>
    <t>GA2751</t>
    <phoneticPr fontId="30" type="noConversion"/>
  </si>
  <si>
    <t>SOMIL S.A.</t>
    <phoneticPr fontId="30" type="noConversion"/>
  </si>
  <si>
    <t>[SO]</t>
  </si>
  <si>
    <t>SEJONG MEX</t>
    <phoneticPr fontId="30" type="noConversion"/>
  </si>
  <si>
    <t>세종멕시코</t>
    <phoneticPr fontId="30" type="noConversion"/>
  </si>
  <si>
    <t>[ME]</t>
  </si>
  <si>
    <t>TRANSLEAD</t>
    <phoneticPr fontId="30" type="noConversion"/>
  </si>
  <si>
    <t>HYUNDAI TR</t>
    <phoneticPr fontId="30" type="noConversion"/>
  </si>
  <si>
    <t>[SN]</t>
  </si>
  <si>
    <t>YONGSAN(M)</t>
    <phoneticPr fontId="30" type="noConversion"/>
  </si>
  <si>
    <t>YONG SAN AUTOMOTIVE MEXICO</t>
    <phoneticPr fontId="30" type="noConversion"/>
  </si>
  <si>
    <t>DUAL MEXICO</t>
    <phoneticPr fontId="30" type="noConversion"/>
  </si>
  <si>
    <t>DUAL BORGSTENA TRIM MEXICO</t>
    <phoneticPr fontId="30" type="noConversion"/>
  </si>
  <si>
    <t>[DL]</t>
  </si>
  <si>
    <t>실출하지</t>
    <phoneticPr fontId="18" type="noConversion"/>
  </si>
  <si>
    <t>권역</t>
    <phoneticPr fontId="45" type="noConversion"/>
  </si>
  <si>
    <t>포장협력사</t>
    <phoneticPr fontId="45" type="noConversion"/>
  </si>
  <si>
    <t>GLOVE 코드</t>
    <phoneticPr fontId="45" type="noConversion"/>
  </si>
  <si>
    <t>CKD시스템 코드</t>
    <phoneticPr fontId="45" type="noConversion"/>
  </si>
  <si>
    <t>CKD시스템</t>
    <phoneticPr fontId="45" type="noConversion"/>
  </si>
  <si>
    <t>실출하지 코드</t>
    <phoneticPr fontId="45" type="noConversion"/>
  </si>
  <si>
    <t>CKD /KIA</t>
    <phoneticPr fontId="28" type="noConversion"/>
  </si>
  <si>
    <t>CKD사업팀 김시온M
PENANG</t>
    <phoneticPr fontId="28" type="noConversion"/>
  </si>
  <si>
    <t>KIA</t>
    <phoneticPr fontId="28" type="noConversion"/>
  </si>
  <si>
    <t>S103</t>
  </si>
  <si>
    <t>기아 통합</t>
    <phoneticPr fontId="28" type="noConversion"/>
  </si>
  <si>
    <t>[KRPTK] PYONGTAEK</t>
    <phoneticPr fontId="45" type="noConversion"/>
  </si>
  <si>
    <t>!U001,!GA1588,!MOBBEL</t>
    <phoneticPr fontId="30" type="noConversion"/>
  </si>
  <si>
    <t>MAE</t>
  </si>
  <si>
    <t>ONE</t>
  </si>
  <si>
    <t>CMA</t>
  </si>
  <si>
    <t>HLC</t>
  </si>
  <si>
    <t>CNC</t>
  </si>
  <si>
    <t>의왕ICD</t>
  </si>
  <si>
    <t>X260601-001265</t>
  </si>
  <si>
    <t>D713CJ044</t>
  </si>
  <si>
    <t>X260601-000615</t>
  </si>
  <si>
    <t>040600302750</t>
  </si>
  <si>
    <t>X260601-000616</t>
  </si>
  <si>
    <t>SELG82718800</t>
  </si>
  <si>
    <t>X260601-000617</t>
  </si>
  <si>
    <t>X260601-000618</t>
  </si>
  <si>
    <t>X260601-000619</t>
  </si>
  <si>
    <t>X260601-000620</t>
  </si>
  <si>
    <t>X260601-000621</t>
  </si>
  <si>
    <t>X260601-000622</t>
  </si>
  <si>
    <t>X260601-000623</t>
  </si>
  <si>
    <t>X260601-000624</t>
  </si>
  <si>
    <t>X260601-000625</t>
  </si>
  <si>
    <t>CMA2605280010-2</t>
  </si>
  <si>
    <t>X260601-000626</t>
  </si>
  <si>
    <t>X260601-000627</t>
  </si>
  <si>
    <t>X260601-000628</t>
  </si>
  <si>
    <t>X260601-000629</t>
  </si>
  <si>
    <t>X260601-000630</t>
  </si>
  <si>
    <t>X260601-000631</t>
  </si>
  <si>
    <t>040600297471</t>
  </si>
  <si>
    <t>X260601-000632</t>
  </si>
  <si>
    <t>X260601-000633</t>
  </si>
  <si>
    <t>X260601-000634</t>
  </si>
  <si>
    <t>X260601-000635</t>
  </si>
  <si>
    <t>X260601-000636</t>
  </si>
  <si>
    <t>X260601-000637</t>
  </si>
  <si>
    <t>X260601-000638</t>
  </si>
  <si>
    <t>X260601-000639</t>
  </si>
  <si>
    <t>X260601-000640</t>
  </si>
  <si>
    <t>X260601-000641</t>
  </si>
  <si>
    <t>X260601-000642</t>
  </si>
  <si>
    <t>X260601-000643</t>
  </si>
  <si>
    <t>X260601-000644</t>
  </si>
  <si>
    <t>X260601-000645</t>
  </si>
  <si>
    <t>HHLAKRGLOVISPUSQFP</t>
  </si>
  <si>
    <t>X260601-000646</t>
  </si>
  <si>
    <t>X260601-000647</t>
  </si>
  <si>
    <t>X260601-000648</t>
  </si>
  <si>
    <t>X260601-000649</t>
  </si>
  <si>
    <t>X260601-000650</t>
  </si>
  <si>
    <t>X260601-000651</t>
  </si>
  <si>
    <t>AFW0283961</t>
  </si>
  <si>
    <t>X260601-000655</t>
  </si>
  <si>
    <t>X260601-000656</t>
  </si>
  <si>
    <t>X260601-000657</t>
  </si>
  <si>
    <t>X260601-000658</t>
  </si>
  <si>
    <t>X260601-000659</t>
  </si>
  <si>
    <t>X260601-000660</t>
  </si>
  <si>
    <t>X260601-000661</t>
  </si>
  <si>
    <t>X260601-000662</t>
  </si>
  <si>
    <t>X260601-000663</t>
  </si>
  <si>
    <t>X260601-000664</t>
  </si>
  <si>
    <t>X260601-000666</t>
  </si>
  <si>
    <t>X260601-000667</t>
  </si>
  <si>
    <t>X260601-000668</t>
  </si>
  <si>
    <t>X260601-000669</t>
  </si>
  <si>
    <t>GBF3263001601</t>
  </si>
  <si>
    <t>X260601-000670</t>
  </si>
  <si>
    <t>X260601-000671</t>
  </si>
  <si>
    <t>X260601-000672</t>
  </si>
  <si>
    <t>X260601-000673</t>
  </si>
  <si>
    <t>X260601-000674</t>
  </si>
  <si>
    <t>X260601-000675</t>
  </si>
  <si>
    <t>X260601-000676</t>
  </si>
  <si>
    <t>SECLC</t>
  </si>
  <si>
    <t>13112002</t>
  </si>
  <si>
    <t>미사용</t>
  </si>
  <si>
    <t>TCKU7120760</t>
  </si>
  <si>
    <t>KR1235408</t>
  </si>
  <si>
    <t>EGSU1310650</t>
  </si>
  <si>
    <t>EMCFCC9735</t>
  </si>
  <si>
    <t>TRHU4540264</t>
  </si>
  <si>
    <t>KRAX06925</t>
  </si>
  <si>
    <t>ONEU0452007</t>
  </si>
  <si>
    <t>KRAX23080</t>
  </si>
  <si>
    <t>NYKU0707965</t>
  </si>
  <si>
    <t>KRAX49013</t>
  </si>
  <si>
    <t>ONEU1475218</t>
  </si>
  <si>
    <t>KRAX49057</t>
  </si>
  <si>
    <t>ONEU0495009</t>
  </si>
  <si>
    <t>KRAX49079</t>
  </si>
  <si>
    <t>MRSU9581094</t>
  </si>
  <si>
    <t>KR0851593</t>
  </si>
  <si>
    <t>MRSU5695015</t>
  </si>
  <si>
    <t>KR1160331</t>
  </si>
  <si>
    <t>CAAU9299930</t>
  </si>
  <si>
    <t>KR1160792</t>
  </si>
  <si>
    <t>CAAU9020270</t>
  </si>
  <si>
    <t>KR0412457</t>
  </si>
  <si>
    <t>CMAU9949749</t>
  </si>
  <si>
    <t>M6617660</t>
  </si>
  <si>
    <t>CAIU9184359</t>
  </si>
  <si>
    <t>M6617519</t>
  </si>
  <si>
    <t>SEKU5718859</t>
  </si>
  <si>
    <t>R8738985</t>
  </si>
  <si>
    <t>TCKU7693335</t>
  </si>
  <si>
    <t>M6616072</t>
  </si>
  <si>
    <t>TXGU8364100</t>
  </si>
  <si>
    <t>M6617549</t>
  </si>
  <si>
    <t>TCKU6301907</t>
  </si>
  <si>
    <t>M6616015</t>
  </si>
  <si>
    <t>EISU8254423</t>
  </si>
  <si>
    <t>EMCFCC9465</t>
  </si>
  <si>
    <t>EITU9284982</t>
  </si>
  <si>
    <t>EMCFCC9045</t>
  </si>
  <si>
    <t>EITU9345100</t>
  </si>
  <si>
    <t>EMCFCC9445</t>
  </si>
  <si>
    <t>TCNU5260958</t>
  </si>
  <si>
    <t>EMCFCC5255</t>
  </si>
  <si>
    <t>BMOU6011529</t>
  </si>
  <si>
    <t>EMCFCC5195</t>
  </si>
  <si>
    <t>EITU9855320</t>
  </si>
  <si>
    <t>EMCFCC9165</t>
  </si>
  <si>
    <t>TGBU6277235</t>
  </si>
  <si>
    <t>EMCFCC5185</t>
  </si>
  <si>
    <t>EMCU1830020</t>
  </si>
  <si>
    <t>EMCFCC5225</t>
  </si>
  <si>
    <t>EMCU9969809</t>
  </si>
  <si>
    <t>EMCFCC5235</t>
  </si>
  <si>
    <t>CAIU4712962</t>
  </si>
  <si>
    <t>KR1235407</t>
  </si>
  <si>
    <t>MRKU6127212</t>
  </si>
  <si>
    <t>KR1148534</t>
  </si>
  <si>
    <t>MRSU6140691</t>
  </si>
  <si>
    <t>KR1026709</t>
  </si>
  <si>
    <t>MRKU3044500</t>
  </si>
  <si>
    <t>KR1026710</t>
  </si>
  <si>
    <t>MAGU5456317</t>
  </si>
  <si>
    <t>KR1062099</t>
  </si>
  <si>
    <t>HLXU8602325</t>
  </si>
  <si>
    <t>HLC1553773</t>
  </si>
  <si>
    <t>HAMU2351457</t>
  </si>
  <si>
    <t>HLC1478481</t>
  </si>
  <si>
    <t>UACU5590859</t>
  </si>
  <si>
    <t>HLC1270517</t>
  </si>
  <si>
    <t>GAOU6594934</t>
  </si>
  <si>
    <t>KRAX55277</t>
  </si>
  <si>
    <t>TGCU5304330</t>
  </si>
  <si>
    <t>KRAX18018</t>
  </si>
  <si>
    <t>EITU1928203</t>
  </si>
  <si>
    <t>EMCFCC5175</t>
  </si>
  <si>
    <t>FCIU3803958</t>
  </si>
  <si>
    <t>R8718358</t>
  </si>
  <si>
    <t>TIIU6492880</t>
  </si>
  <si>
    <t>EMCFCC5805</t>
  </si>
  <si>
    <t>MRSU4709813</t>
  </si>
  <si>
    <t>KR0807977</t>
  </si>
  <si>
    <t>MRSU9127570</t>
  </si>
  <si>
    <t>KR1025555</t>
  </si>
  <si>
    <t>MRSU2060200</t>
  </si>
  <si>
    <t>KR1235406</t>
  </si>
  <si>
    <t>GCXU6408728</t>
  </si>
  <si>
    <t>MRSU3887765</t>
  </si>
  <si>
    <t>KR0851578</t>
  </si>
  <si>
    <t>MRSU7173513</t>
  </si>
  <si>
    <t>KR0851573</t>
  </si>
  <si>
    <t>HASU4331976</t>
  </si>
  <si>
    <t>KR0851587</t>
  </si>
  <si>
    <t>CMAU4676256</t>
  </si>
  <si>
    <t>M6623571</t>
  </si>
  <si>
    <t>CMAU3331178</t>
  </si>
  <si>
    <t>R8843401</t>
  </si>
  <si>
    <t>GAOU6220425</t>
  </si>
  <si>
    <t>EMCFCC5245</t>
  </si>
  <si>
    <t>HASU4118662</t>
  </si>
  <si>
    <t>KR1165229</t>
  </si>
  <si>
    <t>MSKU5726650</t>
  </si>
  <si>
    <t>KR0851572</t>
  </si>
  <si>
    <t>HNKU6395995</t>
  </si>
  <si>
    <t>004241</t>
  </si>
  <si>
    <t>HNKU6396630</t>
  </si>
  <si>
    <t>000152</t>
  </si>
  <si>
    <t>HNKU6396707</t>
  </si>
  <si>
    <t>31000792</t>
  </si>
  <si>
    <t>KDCU8028863</t>
  </si>
  <si>
    <t>241157</t>
  </si>
  <si>
    <t>HNKU6396414</t>
  </si>
  <si>
    <t>003744</t>
  </si>
  <si>
    <t>WIKU5279640</t>
  </si>
  <si>
    <t>001642</t>
  </si>
  <si>
    <t>FFAU6795252</t>
  </si>
  <si>
    <t>KRAX55245</t>
  </si>
  <si>
    <t>CAIU7473218</t>
  </si>
  <si>
    <t>KRAX55291</t>
  </si>
  <si>
    <t>[KRKY] KWANGYANG</t>
    <phoneticPr fontId="45" type="noConversion"/>
  </si>
  <si>
    <t>CG</t>
    <phoneticPr fontId="28" type="noConversion"/>
  </si>
  <si>
    <t>의왕ICD</t>
    <phoneticPr fontId="28" type="noConversion"/>
  </si>
  <si>
    <t>KRUWN</t>
  </si>
  <si>
    <t>성도글로비스</t>
  </si>
  <si>
    <t>차량넘버</t>
    <phoneticPr fontId="30" type="noConversion"/>
  </si>
  <si>
    <t>스타국제물류㈜</t>
  </si>
  <si>
    <t>IAL</t>
  </si>
  <si>
    <t>X260601-001153</t>
  </si>
  <si>
    <t>X260601-001158</t>
  </si>
  <si>
    <t>X260601-001150</t>
  </si>
  <si>
    <t>X260601-001152</t>
  </si>
  <si>
    <t>X260601-001159</t>
  </si>
  <si>
    <t>X260601-001154</t>
  </si>
  <si>
    <t>X260601-001155</t>
  </si>
  <si>
    <t>X260601-001164</t>
  </si>
  <si>
    <t>X260601-001151</t>
  </si>
  <si>
    <t>X260601-001162</t>
  </si>
  <si>
    <t>X260601-001160</t>
  </si>
  <si>
    <t>X260601-001161</t>
  </si>
  <si>
    <t>X260601-001122</t>
  </si>
  <si>
    <t>X260601-001156</t>
  </si>
  <si>
    <t>X260602-001446</t>
  </si>
  <si>
    <t>X260601-001163</t>
  </si>
  <si>
    <t>HLXU8433713</t>
  </si>
  <si>
    <t>HLC1478482</t>
  </si>
  <si>
    <t>TCLU6484338</t>
  </si>
  <si>
    <t>KRAX75779</t>
  </si>
  <si>
    <t>UASU1009146</t>
  </si>
  <si>
    <t>HLC1520892</t>
  </si>
  <si>
    <t>HAMU2811613</t>
  </si>
  <si>
    <t>HLC1553759</t>
  </si>
  <si>
    <t>FFAU7364861</t>
  </si>
  <si>
    <t>KRAX77965</t>
  </si>
  <si>
    <t>ECMU7566471</t>
  </si>
  <si>
    <t>M6613883</t>
  </si>
  <si>
    <t>TCLU1650729</t>
  </si>
  <si>
    <t>KRAX23051</t>
  </si>
  <si>
    <t>KDCU8012002</t>
  </si>
  <si>
    <t>241596</t>
  </si>
  <si>
    <t>CAAU7082798</t>
  </si>
  <si>
    <t>KR1062079</t>
  </si>
  <si>
    <t>TEMU5329252</t>
  </si>
  <si>
    <t>R8723178</t>
  </si>
  <si>
    <t>BMOU5857030</t>
  </si>
  <si>
    <t>M6613929</t>
  </si>
  <si>
    <t>CMAU2872100</t>
  </si>
  <si>
    <t>R8701131</t>
  </si>
  <si>
    <t>ONEU1573240</t>
  </si>
  <si>
    <t>KRAX55279</t>
  </si>
  <si>
    <t>CAAU9491223</t>
  </si>
  <si>
    <t>KRAY18182</t>
  </si>
  <si>
    <t>ONEU1632322</t>
  </si>
  <si>
    <t>KRAX55852</t>
  </si>
  <si>
    <t>TCLU8304369</t>
  </si>
  <si>
    <t>KRAX18165</t>
  </si>
  <si>
    <t>X260601-001142</t>
  </si>
  <si>
    <t>X260601-001143</t>
  </si>
  <si>
    <t>X260601-001144</t>
  </si>
  <si>
    <t>X260601-001145</t>
  </si>
  <si>
    <t>X260601-001139</t>
  </si>
  <si>
    <t>X260601-001140</t>
  </si>
  <si>
    <t>X260601-001141</t>
  </si>
  <si>
    <t>X260601-001146</t>
  </si>
  <si>
    <t>X260601-001147</t>
  </si>
  <si>
    <t>X260602-001393</t>
  </si>
  <si>
    <t>X260602-001392</t>
  </si>
  <si>
    <t>X260602-001395</t>
  </si>
  <si>
    <t>M6431670</t>
  </si>
  <si>
    <t>CMAU9717743</t>
  </si>
  <si>
    <t>TCNU3016177</t>
  </si>
  <si>
    <t>M6431659</t>
  </si>
  <si>
    <t>CMAU8875744</t>
  </si>
  <si>
    <t>M6431632</t>
  </si>
  <si>
    <t>TCLU6486177</t>
  </si>
  <si>
    <t>M6427435</t>
  </si>
  <si>
    <t>TCKU6205890</t>
  </si>
  <si>
    <t>M6427445</t>
  </si>
  <si>
    <t>FFAU4365735</t>
  </si>
  <si>
    <t>M6431625</t>
  </si>
  <si>
    <t>TIIU7052778</t>
  </si>
  <si>
    <t>M6427401</t>
  </si>
  <si>
    <t>ECMU7139124</t>
  </si>
  <si>
    <t>M6616889</t>
  </si>
  <si>
    <t>CMAU9938277</t>
  </si>
  <si>
    <t>M6412752</t>
  </si>
  <si>
    <t>TIIU4328076</t>
  </si>
  <si>
    <t>M6631989</t>
  </si>
  <si>
    <t>GAOU6830752</t>
  </si>
  <si>
    <t>R8725181</t>
  </si>
  <si>
    <t>HLAKRGLOVISPUSQFP</t>
  </si>
  <si>
    <t>CMA2605270018</t>
  </si>
  <si>
    <t>D713CC044</t>
  </si>
  <si>
    <t>CMA2605290009-1</t>
  </si>
  <si>
    <t>CMA2605290009</t>
  </si>
  <si>
    <t>DRYU9980526</t>
  </si>
  <si>
    <t>M6431541</t>
  </si>
  <si>
    <t>CMAU6470109</t>
  </si>
  <si>
    <t>M6431505</t>
  </si>
  <si>
    <t>XHCU5375371</t>
  </si>
  <si>
    <t>M6427291</t>
  </si>
  <si>
    <t>TGBU7700043</t>
  </si>
  <si>
    <t>M6513294</t>
  </si>
  <si>
    <t>ECMU4937157</t>
  </si>
  <si>
    <t>M6427428</t>
  </si>
  <si>
    <t>CAIU9693443</t>
  </si>
  <si>
    <t>R8715619</t>
  </si>
  <si>
    <t>CMAU8673403</t>
  </si>
  <si>
    <t>R8791742</t>
  </si>
  <si>
    <t>CMAU6179686</t>
  </si>
  <si>
    <t>R8858747</t>
  </si>
  <si>
    <t>X260601-001138</t>
  </si>
  <si>
    <t>X260601-001133</t>
  </si>
  <si>
    <t>X260601-001134</t>
  </si>
  <si>
    <t>X260601-001135</t>
  </si>
  <si>
    <t>X260601-001136</t>
  </si>
  <si>
    <t>X260602-001394</t>
  </si>
  <si>
    <t>X260602-001391</t>
  </si>
  <si>
    <t>X260601-001137</t>
  </si>
  <si>
    <t>WHSU6105622</t>
  </si>
  <si>
    <t>WHA3168630</t>
  </si>
  <si>
    <t>WHSU5274401</t>
  </si>
  <si>
    <t>WHLM532462</t>
  </si>
  <si>
    <t>WHSU6729188</t>
  </si>
  <si>
    <t>WHA3169271</t>
  </si>
  <si>
    <t>X260601-001148</t>
  </si>
  <si>
    <t>X260602-001397</t>
  </si>
  <si>
    <t>X260601-001149</t>
  </si>
  <si>
    <t>005GX17204</t>
  </si>
  <si>
    <t>X260601-001123</t>
  </si>
  <si>
    <t>X260601-001131</t>
  </si>
  <si>
    <t>X260601-001266</t>
  </si>
  <si>
    <t>X260601-001124</t>
  </si>
  <si>
    <t>TRHU4019894</t>
  </si>
  <si>
    <t>KRAX73898</t>
  </si>
  <si>
    <t>IAAU1059775</t>
  </si>
  <si>
    <t>IAAH857133</t>
  </si>
  <si>
    <t>KMTU9514380</t>
  </si>
  <si>
    <t>KSC835440</t>
  </si>
  <si>
    <t>TEMU7511230</t>
  </si>
  <si>
    <t>KRAX49603</t>
  </si>
  <si>
    <t>X260601-001267</t>
  </si>
  <si>
    <t>X260601-001268</t>
  </si>
  <si>
    <t>X260601-001125</t>
  </si>
  <si>
    <t>X260601-001129</t>
  </si>
  <si>
    <t>TEMU6692025</t>
  </si>
  <si>
    <t>KSC835322</t>
  </si>
  <si>
    <t>BMOU6934716</t>
  </si>
  <si>
    <t>KSC758859</t>
  </si>
  <si>
    <t>ONEU6942151</t>
  </si>
  <si>
    <t>KRAV28414</t>
  </si>
  <si>
    <t>MRSU4761262</t>
  </si>
  <si>
    <t>KR1235405</t>
  </si>
  <si>
    <t>X260601-001121</t>
  </si>
  <si>
    <t>X260601-001126</t>
  </si>
  <si>
    <t>CMAU9917058</t>
  </si>
  <si>
    <t>M6524888</t>
  </si>
  <si>
    <t>ONEU6964546</t>
  </si>
  <si>
    <t>KRAT38517</t>
  </si>
  <si>
    <t>X260601-001269</t>
  </si>
  <si>
    <t>TEMU7820727</t>
  </si>
  <si>
    <t>KSC798194</t>
  </si>
  <si>
    <t>X260601-001130</t>
  </si>
  <si>
    <t>WHSU5588423</t>
  </si>
  <si>
    <t>WHLL317238</t>
  </si>
  <si>
    <t>X260601-001157</t>
  </si>
  <si>
    <t>ONEU1364702</t>
  </si>
  <si>
    <t>KRAX55263</t>
  </si>
  <si>
    <t>X260601-001127</t>
  </si>
  <si>
    <t>X260602-001418</t>
  </si>
  <si>
    <t>MRSU8929626</t>
  </si>
  <si>
    <t>KR1026690</t>
  </si>
  <si>
    <t>MRSU6245687</t>
  </si>
  <si>
    <t>KR0851518</t>
  </si>
  <si>
    <t>X260601-001128</t>
  </si>
  <si>
    <t>MRSU6831179</t>
  </si>
  <si>
    <t>KR1062100</t>
  </si>
  <si>
    <t>X260601-001132</t>
  </si>
  <si>
    <t>HMMU6472262</t>
  </si>
  <si>
    <t>25H0413422</t>
  </si>
  <si>
    <t>X260602-001419</t>
  </si>
  <si>
    <t>X260602-001417</t>
  </si>
  <si>
    <t>TCKU6177885</t>
  </si>
  <si>
    <t>KR0851474</t>
  </si>
  <si>
    <t>MRSU3678826</t>
  </si>
  <si>
    <t>KR0851520</t>
  </si>
  <si>
    <t>X260602-001416</t>
  </si>
  <si>
    <t>TCLU8290959</t>
  </si>
  <si>
    <t>KR0851478</t>
  </si>
  <si>
    <t>KR04401885</t>
  </si>
  <si>
    <t>ONEU5506301</t>
  </si>
  <si>
    <t>KRAX77942</t>
  </si>
  <si>
    <t>X260601-001165</t>
  </si>
  <si>
    <t>SELA71117000</t>
  </si>
  <si>
    <t>CMAU3334639</t>
  </si>
  <si>
    <t>M6613921</t>
  </si>
  <si>
    <t>GCXU5841184</t>
  </si>
  <si>
    <t>M6613878</t>
  </si>
  <si>
    <t>ECMU4919338</t>
  </si>
  <si>
    <t>M6613930</t>
  </si>
  <si>
    <t>UETU7115488</t>
  </si>
  <si>
    <t>M6613943</t>
  </si>
  <si>
    <t>X260601-001166</t>
  </si>
  <si>
    <t>X260601-001167</t>
  </si>
  <si>
    <t>X260601-001168</t>
  </si>
  <si>
    <t>X260601-001169</t>
  </si>
  <si>
    <t>ODCY명</t>
  </si>
  <si>
    <t>번호</t>
  </si>
  <si>
    <t>배차</t>
  </si>
  <si>
    <t>운송</t>
  </si>
  <si>
    <t>오더번호(TMS)</t>
  </si>
  <si>
    <t>편성번호</t>
  </si>
  <si>
    <t>배차번호</t>
  </si>
  <si>
    <t>진행상태</t>
  </si>
  <si>
    <t>정산상태</t>
  </si>
  <si>
    <t>오더구분</t>
  </si>
  <si>
    <t>작업지(하차지)도착요청일</t>
  </si>
  <si>
    <t>작업지(하차지)도착요청시간</t>
  </si>
  <si>
    <t>픽업부킹번호</t>
  </si>
  <si>
    <t>반입부킹번호</t>
  </si>
  <si>
    <t>선사코드</t>
  </si>
  <si>
    <t>선사명</t>
  </si>
  <si>
    <t>POL</t>
  </si>
  <si>
    <t>Pod</t>
  </si>
  <si>
    <t>최종목적지</t>
  </si>
  <si>
    <t>작업지(하차지)명</t>
  </si>
  <si>
    <t>컨샤이니명</t>
  </si>
  <si>
    <t>선적지</t>
  </si>
  <si>
    <t>화주사</t>
  </si>
  <si>
    <t>컨테이너 번호</t>
  </si>
  <si>
    <t>컨규격</t>
  </si>
  <si>
    <t>봉인번호</t>
  </si>
  <si>
    <t>컨테이너 사진</t>
  </si>
  <si>
    <t>차량번호</t>
  </si>
  <si>
    <t>운전원명</t>
  </si>
  <si>
    <t>기사전화번호</t>
  </si>
  <si>
    <t>차량아이디</t>
  </si>
  <si>
    <t>ATD</t>
  </si>
  <si>
    <t>ETD</t>
  </si>
  <si>
    <t>ETA</t>
  </si>
  <si>
    <t>냉동</t>
  </si>
  <si>
    <t>온도</t>
  </si>
  <si>
    <t>위험물</t>
  </si>
  <si>
    <t>위험물코드</t>
  </si>
  <si>
    <t>위험물 Free Time</t>
  </si>
  <si>
    <t>공컨반납기한</t>
  </si>
  <si>
    <t>반납기한초과</t>
  </si>
  <si>
    <t>철송여부</t>
  </si>
  <si>
    <t>오더등급</t>
  </si>
  <si>
    <t>하차지등급</t>
  </si>
  <si>
    <t>운송구분</t>
  </si>
  <si>
    <t>직계약여부</t>
  </si>
  <si>
    <t>모바일배정</t>
  </si>
  <si>
    <t>운전원매입금액</t>
  </si>
  <si>
    <t>운전원배차여부</t>
  </si>
  <si>
    <t>GMMS 등록</t>
  </si>
  <si>
    <t>운송사코드</t>
  </si>
  <si>
    <t>수기배정사유</t>
  </si>
  <si>
    <t>수기배정사유내용</t>
  </si>
  <si>
    <t>판매시장</t>
  </si>
  <si>
    <t>판매구분</t>
  </si>
  <si>
    <t>매출구분</t>
  </si>
  <si>
    <t>직계약 차량</t>
  </si>
  <si>
    <t>입차영업소</t>
  </si>
  <si>
    <t>입차일자</t>
  </si>
  <si>
    <t>COPINO</t>
  </si>
  <si>
    <t>COPINO전송일시</t>
  </si>
  <si>
    <t>COPINO응답여부</t>
  </si>
  <si>
    <t>COPINO응답메시지</t>
  </si>
  <si>
    <t>운송경로코드</t>
  </si>
  <si>
    <t>운송경로명</t>
  </si>
  <si>
    <t>운송경로 기준거리(KM)</t>
  </si>
  <si>
    <t>반출가능여부</t>
  </si>
  <si>
    <t>반출지 코드</t>
  </si>
  <si>
    <t>반출지명(출발)</t>
  </si>
  <si>
    <t>반출지 주소</t>
  </si>
  <si>
    <t>파손컨 여부</t>
  </si>
  <si>
    <t>파손사진</t>
  </si>
  <si>
    <t>파손신고일</t>
  </si>
  <si>
    <t>파손신고시간</t>
  </si>
  <si>
    <t>반출완료일시</t>
  </si>
  <si>
    <t>작업지 코드</t>
  </si>
  <si>
    <t>작업지(하차지) 주소</t>
  </si>
  <si>
    <t>작업(하차)완료일시</t>
  </si>
  <si>
    <t>경유지코드</t>
  </si>
  <si>
    <t>경유지명</t>
  </si>
  <si>
    <t>경유지주소</t>
  </si>
  <si>
    <t>선픽업여부</t>
  </si>
  <si>
    <t>선픽업정산방식</t>
  </si>
  <si>
    <t>선픽업창고명</t>
  </si>
  <si>
    <t>선픽업시작일</t>
  </si>
  <si>
    <t>선픽업종료일</t>
  </si>
  <si>
    <t>선픽업보관일수</t>
  </si>
  <si>
    <t>ODCY 여부</t>
  </si>
  <si>
    <t>ODCY 코드</t>
  </si>
  <si>
    <t>ODCY창고명</t>
  </si>
  <si>
    <t>보관일수</t>
  </si>
  <si>
    <t>선픽업 보관일수</t>
  </si>
  <si>
    <t>반출CY</t>
  </si>
  <si>
    <t>반출CY일치여부</t>
  </si>
  <si>
    <t>반출일시</t>
  </si>
  <si>
    <t>반입CY</t>
  </si>
  <si>
    <t>반입CY일치여부</t>
  </si>
  <si>
    <t>반입일시</t>
  </si>
  <si>
    <t>컨테이너 중량</t>
  </si>
  <si>
    <t>VGM</t>
  </si>
  <si>
    <t>화물설명</t>
  </si>
  <si>
    <t>화주 구분</t>
  </si>
  <si>
    <t>산업군</t>
  </si>
  <si>
    <t>오더일시</t>
  </si>
  <si>
    <t>배정일시</t>
  </si>
  <si>
    <t>배차일시</t>
  </si>
  <si>
    <t>배차취소시간</t>
  </si>
  <si>
    <t>정산기준일자</t>
  </si>
  <si>
    <t>통지사항</t>
  </si>
  <si>
    <t>메모</t>
  </si>
  <si>
    <t>매입금액</t>
  </si>
  <si>
    <t>할증1</t>
  </si>
  <si>
    <t>할증2</t>
  </si>
  <si>
    <t>할증3</t>
  </si>
  <si>
    <t>할증4</t>
  </si>
  <si>
    <t>할증5</t>
  </si>
  <si>
    <t>매입할증 합계</t>
  </si>
  <si>
    <t>선픽업료</t>
  </si>
  <si>
    <t>공컨상차비여부</t>
  </si>
  <si>
    <t>정산정보</t>
  </si>
  <si>
    <t>오더등록업체</t>
  </si>
  <si>
    <t>오더등록자명</t>
  </si>
  <si>
    <t>오더등록자 연락처</t>
  </si>
  <si>
    <t>오더등록자 이메일</t>
  </si>
  <si>
    <t>운송서비스</t>
  </si>
  <si>
    <t>운송서비스코드</t>
  </si>
  <si>
    <t>공차중량</t>
  </si>
  <si>
    <t>193</t>
  </si>
  <si>
    <t>W260602-00000423</t>
  </si>
  <si>
    <t>X260602-001956</t>
  </si>
  <si>
    <t>Y260602-001956</t>
  </si>
  <si>
    <t>배정</t>
  </si>
  <si>
    <t>미생성</t>
  </si>
  <si>
    <t>수출</t>
  </si>
  <si>
    <t>18:00</t>
  </si>
  <si>
    <t>SELG82813400</t>
  </si>
  <si>
    <t>오션네트워크익스프레스</t>
  </si>
  <si>
    <t>[GB]아산 2포장장 (오토쎌)</t>
  </si>
  <si>
    <t>네슬리</t>
  </si>
  <si>
    <t>현대글로비스주식회사</t>
  </si>
  <si>
    <t>4510</t>
  </si>
  <si>
    <t>N</t>
  </si>
  <si>
    <t>D</t>
  </si>
  <si>
    <t>주선</t>
  </si>
  <si>
    <t>1011</t>
  </si>
  <si>
    <t>㈜이엘에스솔루션</t>
  </si>
  <si>
    <t>반제품</t>
  </si>
  <si>
    <t>운송료</t>
  </si>
  <si>
    <t>AAAAAAAAA</t>
  </si>
  <si>
    <t>컨테이너 미정의</t>
  </si>
  <si>
    <t>AAA</t>
  </si>
  <si>
    <t>미정의</t>
  </si>
  <si>
    <t>__:__</t>
  </si>
  <si>
    <t>0</t>
  </si>
  <si>
    <t>계열</t>
  </si>
  <si>
    <t>02)16:51</t>
  </si>
  <si>
    <t>박승기</t>
  </si>
  <si>
    <t>컨테이너_수출</t>
  </si>
  <si>
    <t>5010001</t>
  </si>
  <si>
    <t>192</t>
  </si>
  <si>
    <t>W260602-00000422</t>
  </si>
  <si>
    <t>X260602-001957</t>
  </si>
  <si>
    <t>Y260602-001957</t>
  </si>
  <si>
    <t>13:00</t>
  </si>
  <si>
    <t>머스크</t>
  </si>
  <si>
    <t>셔틀</t>
  </si>
  <si>
    <t>191</t>
  </si>
  <si>
    <t>W260602-00000421</t>
  </si>
  <si>
    <t>X260602-002072</t>
  </si>
  <si>
    <t>Y260602-002072</t>
  </si>
  <si>
    <t>대신</t>
  </si>
  <si>
    <t>02)17:35</t>
  </si>
  <si>
    <t>190</t>
  </si>
  <si>
    <t>X260602-002071</t>
  </si>
  <si>
    <t>Y260602-002071</t>
  </si>
  <si>
    <t>19:00</t>
  </si>
  <si>
    <t>02)17:34</t>
  </si>
  <si>
    <t>189</t>
  </si>
  <si>
    <t>X260602-002070</t>
  </si>
  <si>
    <t>Y260602-002070</t>
  </si>
  <si>
    <t>14:00</t>
  </si>
  <si>
    <t>02)17:33</t>
  </si>
  <si>
    <t>188</t>
  </si>
  <si>
    <t>X260602-001958</t>
  </si>
  <si>
    <t>Y260602-001958</t>
  </si>
  <si>
    <t>미배정</t>
  </si>
  <si>
    <t>187</t>
  </si>
  <si>
    <t>W260602-00000417</t>
  </si>
  <si>
    <t>X260602-001962</t>
  </si>
  <si>
    <t>Y260602-001962</t>
  </si>
  <si>
    <t>15:00</t>
  </si>
  <si>
    <t>186</t>
  </si>
  <si>
    <t>W260602-00000416</t>
  </si>
  <si>
    <t>X260602-001963</t>
  </si>
  <si>
    <t>Y260602-001963</t>
  </si>
  <si>
    <t>09:00</t>
  </si>
  <si>
    <t>이지</t>
  </si>
  <si>
    <t>185</t>
  </si>
  <si>
    <t>W260602-00000415</t>
  </si>
  <si>
    <t>X260602-001964</t>
  </si>
  <si>
    <t>Y260602-001964</t>
  </si>
  <si>
    <t>11:00</t>
  </si>
  <si>
    <t>184</t>
  </si>
  <si>
    <t>W260602-00000414</t>
  </si>
  <si>
    <t>X260602-001965</t>
  </si>
  <si>
    <t>Y260602-001965</t>
  </si>
  <si>
    <t>16:00</t>
  </si>
  <si>
    <t>WHL</t>
  </si>
  <si>
    <t>Wanhai라인</t>
  </si>
  <si>
    <t>HMI/HMI PUNE</t>
  </si>
  <si>
    <t>GLC00263</t>
  </si>
  <si>
    <t>부산신항 [GB]아산 2포장장 부산신항</t>
  </si>
  <si>
    <t>183</t>
  </si>
  <si>
    <t>W260602-00000413</t>
  </si>
  <si>
    <t>X260602-001966</t>
  </si>
  <si>
    <t>Y260602-001966</t>
  </si>
  <si>
    <t>배차확정</t>
  </si>
  <si>
    <t>08:00</t>
  </si>
  <si>
    <t>자차</t>
  </si>
  <si>
    <t>WHSU6549777</t>
  </si>
  <si>
    <t>WHA3168605</t>
  </si>
  <si>
    <t>보기</t>
  </si>
  <si>
    <t>부산99바7157</t>
  </si>
  <si>
    <t>현우진</t>
  </si>
  <si>
    <t>01062228360</t>
  </si>
  <si>
    <t>DSDS7157</t>
  </si>
  <si>
    <t>2026-06-02 17:21:28</t>
  </si>
  <si>
    <t>02)16:55</t>
  </si>
  <si>
    <t>182</t>
  </si>
  <si>
    <t>W260602-00000412</t>
  </si>
  <si>
    <t>X260602-001967</t>
  </si>
  <si>
    <t>Y260602-001967</t>
  </si>
  <si>
    <t>WHSU5174357</t>
  </si>
  <si>
    <t>WHA3168615</t>
  </si>
  <si>
    <t>경북98사1145</t>
  </si>
  <si>
    <t>김현수</t>
  </si>
  <si>
    <t>01074705405</t>
  </si>
  <si>
    <t>KDBE1145</t>
  </si>
  <si>
    <t>2026-06-02 17:17:11</t>
  </si>
  <si>
    <t>181</t>
  </si>
  <si>
    <t>W260602-00000411</t>
  </si>
  <si>
    <t>X260602-001968</t>
  </si>
  <si>
    <t>Y260602-001968</t>
  </si>
  <si>
    <t>10:00</t>
  </si>
  <si>
    <t>칸</t>
  </si>
  <si>
    <t>180</t>
  </si>
  <si>
    <t>W260602-00000410</t>
  </si>
  <si>
    <t>X260602-001969</t>
  </si>
  <si>
    <t>Y260602-001969</t>
  </si>
  <si>
    <t>신승</t>
  </si>
  <si>
    <t>179</t>
  </si>
  <si>
    <t>W260602-00000409</t>
  </si>
  <si>
    <t>X260602-001970</t>
  </si>
  <si>
    <t>Y260602-001970</t>
  </si>
  <si>
    <t>178</t>
  </si>
  <si>
    <t>W260602-00000408</t>
  </si>
  <si>
    <t>X260602-001971</t>
  </si>
  <si>
    <t>Y260602-001971</t>
  </si>
  <si>
    <t>HLAKRGLOVKDPUS</t>
  </si>
  <si>
    <t>하파그로이드</t>
  </si>
  <si>
    <t>177</t>
  </si>
  <si>
    <t>W260602-00000407</t>
  </si>
  <si>
    <t>X260602-001972</t>
  </si>
  <si>
    <t>Y260602-001972</t>
  </si>
  <si>
    <t>176</t>
  </si>
  <si>
    <t>W260602-00000406</t>
  </si>
  <si>
    <t>X260602-001973</t>
  </si>
  <si>
    <t>Y260602-001973</t>
  </si>
  <si>
    <t>운송완료</t>
  </si>
  <si>
    <t>정산실적생성</t>
  </si>
  <si>
    <t>CMA2606010011</t>
  </si>
  <si>
    <t>CMA-CGM</t>
  </si>
  <si>
    <t>[GA]아산 1포장장 (공성실업)</t>
  </si>
  <si>
    <t>CMAU7117159</t>
  </si>
  <si>
    <t>M6412892</t>
  </si>
  <si>
    <t>경남99바4922</t>
  </si>
  <si>
    <t>이명열</t>
  </si>
  <si>
    <t>01053830311</t>
  </si>
  <si>
    <t>FSFS4922</t>
  </si>
  <si>
    <t>GLC00003</t>
  </si>
  <si>
    <t>부산신항 [GA]아산 1포장장 (공성실업) 부산신항</t>
  </si>
  <si>
    <t>02)16:54</t>
  </si>
  <si>
    <t>175</t>
  </si>
  <si>
    <t>W260602-00000405</t>
  </si>
  <si>
    <t>X260602-001974</t>
  </si>
  <si>
    <t>Y260602-001974</t>
  </si>
  <si>
    <t>BMOU5643070</t>
  </si>
  <si>
    <t>M6519509</t>
  </si>
  <si>
    <t>대구98바2977</t>
  </si>
  <si>
    <t>이성수</t>
  </si>
  <si>
    <t>01064842977</t>
  </si>
  <si>
    <t>GJEW2977</t>
  </si>
  <si>
    <t>2026-06-02 21:40:29</t>
  </si>
  <si>
    <t>174</t>
  </si>
  <si>
    <t>W260602-00000404</t>
  </si>
  <si>
    <t>X260602-001975</t>
  </si>
  <si>
    <t>Y260602-001975</t>
  </si>
  <si>
    <t>인천98자2508</t>
  </si>
  <si>
    <t>한명훈</t>
  </si>
  <si>
    <t>01024773035</t>
  </si>
  <si>
    <t>HMHM2508</t>
  </si>
  <si>
    <t>Y</t>
  </si>
  <si>
    <t>2026-06-03 09:23:24</t>
  </si>
  <si>
    <t>173</t>
  </si>
  <si>
    <t>W260602-00000403</t>
  </si>
  <si>
    <t>X260602-001976</t>
  </si>
  <si>
    <t>Y260602-001976</t>
  </si>
  <si>
    <t>경북98아8163</t>
  </si>
  <si>
    <t>피재갑</t>
  </si>
  <si>
    <t>01044534566</t>
  </si>
  <si>
    <t>KDBE8163</t>
  </si>
  <si>
    <t>2026-06-03 09:22:53</t>
  </si>
  <si>
    <t>172</t>
  </si>
  <si>
    <t>W260602-00000402</t>
  </si>
  <si>
    <t>X260602-001977</t>
  </si>
  <si>
    <t>Y260602-001977</t>
  </si>
  <si>
    <t>경남99바3256</t>
  </si>
  <si>
    <t>박병희</t>
  </si>
  <si>
    <t>01035373253</t>
  </si>
  <si>
    <t>SYSY3256</t>
  </si>
  <si>
    <t>2026-06-03 09:25:35</t>
  </si>
  <si>
    <t>2026-06-02 20:48:51</t>
  </si>
  <si>
    <t>171</t>
  </si>
  <si>
    <t>W260602-00000401</t>
  </si>
  <si>
    <t>X260602-001978</t>
  </si>
  <si>
    <t>Y260602-001978</t>
  </si>
  <si>
    <t>울산99바9676</t>
  </si>
  <si>
    <t>장성운</t>
  </si>
  <si>
    <t>01035114690</t>
  </si>
  <si>
    <t>FSFS9676</t>
  </si>
  <si>
    <t>2026-06-03 09:25:05</t>
  </si>
  <si>
    <t>2026-06-03 00:04:35</t>
  </si>
  <si>
    <t>170</t>
  </si>
  <si>
    <t>W260602-00000400</t>
  </si>
  <si>
    <t>X260602-001979</t>
  </si>
  <si>
    <t>Y260602-001979</t>
  </si>
  <si>
    <t>10:30</t>
  </si>
  <si>
    <t>169</t>
  </si>
  <si>
    <t>W260602-00000399</t>
  </si>
  <si>
    <t>X260602-001980</t>
  </si>
  <si>
    <t>Y260602-001980</t>
  </si>
  <si>
    <t>168</t>
  </si>
  <si>
    <t>W260602-00000398</t>
  </si>
  <si>
    <t>X260602-001981</t>
  </si>
  <si>
    <t>Y260602-001981</t>
  </si>
  <si>
    <t>167</t>
  </si>
  <si>
    <t>W260602-00000397</t>
  </si>
  <si>
    <t>X260602-001982</t>
  </si>
  <si>
    <t>Y260602-001982</t>
  </si>
  <si>
    <t>BEAU4767641</t>
  </si>
  <si>
    <t>M6412856</t>
  </si>
  <si>
    <t>대구98바3558</t>
  </si>
  <si>
    <t>문성진</t>
  </si>
  <si>
    <t>01036465666</t>
  </si>
  <si>
    <t>SYSY3558</t>
  </si>
  <si>
    <t>2026-06-02 17:12:45</t>
  </si>
  <si>
    <t>166</t>
  </si>
  <si>
    <t>W260602-00000396</t>
  </si>
  <si>
    <t>X260602-001983</t>
  </si>
  <si>
    <t>Y260602-001983</t>
  </si>
  <si>
    <t>ECMU5193316</t>
  </si>
  <si>
    <t>M6427485</t>
  </si>
  <si>
    <t>경기99사1487</t>
  </si>
  <si>
    <t>박준일</t>
  </si>
  <si>
    <t>01052330030</t>
  </si>
  <si>
    <t>LOVE1487</t>
  </si>
  <si>
    <t>2026-06-02 18:53:29</t>
  </si>
  <si>
    <t>165</t>
  </si>
  <si>
    <t>W260602-00000395</t>
  </si>
  <si>
    <t>X260602-001984</t>
  </si>
  <si>
    <t>Y260602-001984</t>
  </si>
  <si>
    <t>경기99바3976</t>
  </si>
  <si>
    <t>윤대식</t>
  </si>
  <si>
    <t>01090907883</t>
  </si>
  <si>
    <t>GOLD3976</t>
  </si>
  <si>
    <t>2026-06-03 09:24:25</t>
  </si>
  <si>
    <t>2026-06-02 18:13:22</t>
  </si>
  <si>
    <t>164</t>
  </si>
  <si>
    <t>W260602-00000394</t>
  </si>
  <si>
    <t>X260602-001985</t>
  </si>
  <si>
    <t>Y260602-001985</t>
  </si>
  <si>
    <t>포유</t>
  </si>
  <si>
    <t>ECMU5790944</t>
  </si>
  <si>
    <t>M6412845</t>
  </si>
  <si>
    <t>경남99사8337</t>
  </si>
  <si>
    <t>박상무</t>
  </si>
  <si>
    <t>01085064681</t>
  </si>
  <si>
    <t>FYOU8337</t>
  </si>
  <si>
    <t>2026-06-03 09:44:56</t>
  </si>
  <si>
    <t>03)09:44</t>
  </si>
  <si>
    <t>163</t>
  </si>
  <si>
    <t>W260602-00000393</t>
  </si>
  <si>
    <t>X260602-001986</t>
  </si>
  <si>
    <t>Y260602-001986</t>
  </si>
  <si>
    <t>162</t>
  </si>
  <si>
    <t>W260602-00000392</t>
  </si>
  <si>
    <t>X260602-002069</t>
  </si>
  <si>
    <t>Y260602-002069</t>
  </si>
  <si>
    <t>[GC]아산 3포장장 (아산YSP)</t>
  </si>
  <si>
    <t>KMX/KMM</t>
  </si>
  <si>
    <t>02)17:29</t>
  </si>
  <si>
    <t>161</t>
  </si>
  <si>
    <t>X260602-001987</t>
  </si>
  <si>
    <t>Y260602-001987</t>
  </si>
  <si>
    <t>160</t>
  </si>
  <si>
    <t>W260602-00000391</t>
  </si>
  <si>
    <t>X260602-001988</t>
  </si>
  <si>
    <t>Y260602-001988</t>
  </si>
  <si>
    <t>CSS</t>
  </si>
  <si>
    <t>159</t>
  </si>
  <si>
    <t>W260602-00000390</t>
  </si>
  <si>
    <t>X260602-001989</t>
  </si>
  <si>
    <t>Y260602-001989</t>
  </si>
  <si>
    <t>158</t>
  </si>
  <si>
    <t>W260602-00000389</t>
  </si>
  <si>
    <t>X260602-001990</t>
  </si>
  <si>
    <t>Y260602-001990</t>
  </si>
  <si>
    <t>157</t>
  </si>
  <si>
    <t>W260602-00000388</t>
  </si>
  <si>
    <t>X260602-001991</t>
  </si>
  <si>
    <t>Y260602-001991</t>
  </si>
  <si>
    <t>156</t>
  </si>
  <si>
    <t>W260602-00000387</t>
  </si>
  <si>
    <t>X260602-001992</t>
  </si>
  <si>
    <t>Y260602-001992</t>
  </si>
  <si>
    <t>부산98사6411</t>
  </si>
  <si>
    <t>강동현</t>
  </si>
  <si>
    <t>01039029092</t>
  </si>
  <si>
    <t>LSLS6411</t>
  </si>
  <si>
    <t>GLC00022</t>
  </si>
  <si>
    <t>부산신항 [GC]아산 3포장장 (아산YSP) 부산신항</t>
  </si>
  <si>
    <t>155</t>
  </si>
  <si>
    <t>W260602-00000386</t>
  </si>
  <si>
    <t>X260602-001993</t>
  </si>
  <si>
    <t>Y260602-001993</t>
  </si>
  <si>
    <t>EMC</t>
  </si>
  <si>
    <t>에버그린</t>
  </si>
  <si>
    <t>154</t>
  </si>
  <si>
    <t>W260602-00000385</t>
  </si>
  <si>
    <t>X260602-001994</t>
  </si>
  <si>
    <t>Y260602-001994</t>
  </si>
  <si>
    <t>CMA2606010011-1</t>
  </si>
  <si>
    <t>유엘피</t>
  </si>
  <si>
    <t>2210</t>
  </si>
  <si>
    <t>153</t>
  </si>
  <si>
    <t>W260602-00000384</t>
  </si>
  <si>
    <t>X260602-001995</t>
  </si>
  <si>
    <t>Y260602-001995</t>
  </si>
  <si>
    <t>152</t>
  </si>
  <si>
    <t>W260602-00000383</t>
  </si>
  <si>
    <t>X260602-001996</t>
  </si>
  <si>
    <t>Y260602-001996</t>
  </si>
  <si>
    <t>ONEU0621719</t>
  </si>
  <si>
    <t>KRAX14757</t>
  </si>
  <si>
    <t>경북98사7570</t>
  </si>
  <si>
    <t>김수환</t>
  </si>
  <si>
    <t>01062730440</t>
  </si>
  <si>
    <t>KDBE7570</t>
  </si>
  <si>
    <t>2026-06-02 22:00:46</t>
  </si>
  <si>
    <t>151</t>
  </si>
  <si>
    <t>W260602-00000382</t>
  </si>
  <si>
    <t>X260602-001997</t>
  </si>
  <si>
    <t>Y260602-001997</t>
  </si>
  <si>
    <t>삼익</t>
  </si>
  <si>
    <t>150</t>
  </si>
  <si>
    <t>W260602-00000381</t>
  </si>
  <si>
    <t>X260602-001998</t>
  </si>
  <si>
    <t>Y260602-001998</t>
  </si>
  <si>
    <t>동원</t>
  </si>
  <si>
    <t>149</t>
  </si>
  <si>
    <t>W260602-00000380</t>
  </si>
  <si>
    <t>X260602-001999</t>
  </si>
  <si>
    <t>Y260602-001999</t>
  </si>
  <si>
    <t>14:50</t>
  </si>
  <si>
    <t>[KC]KCC 글라스</t>
  </si>
  <si>
    <t>148</t>
  </si>
  <si>
    <t>W260602-00000379</t>
  </si>
  <si>
    <t>X260602-002000</t>
  </si>
  <si>
    <t>Y260602-002000</t>
  </si>
  <si>
    <t>13:30</t>
  </si>
  <si>
    <t>GLC00035</t>
  </si>
  <si>
    <t>부산신항 [KC]KCC 글라스 부산신항</t>
  </si>
  <si>
    <t>147</t>
  </si>
  <si>
    <t>W260602-00000378</t>
  </si>
  <si>
    <t>X260602-002001</t>
  </si>
  <si>
    <t>Y260602-002001</t>
  </si>
  <si>
    <t>13:50</t>
  </si>
  <si>
    <t>146</t>
  </si>
  <si>
    <t>W260602-00000377</t>
  </si>
  <si>
    <t>X260602-002002</t>
  </si>
  <si>
    <t>Y260602-002002</t>
  </si>
  <si>
    <t>14:10</t>
  </si>
  <si>
    <t>145</t>
  </si>
  <si>
    <t>W260602-00000376</t>
  </si>
  <si>
    <t>X260602-002003</t>
  </si>
  <si>
    <t>Y260602-002003</t>
  </si>
  <si>
    <t>14:30</t>
  </si>
  <si>
    <t>CMA2605290012</t>
  </si>
  <si>
    <t>TGBU5280738</t>
  </si>
  <si>
    <t>M6412832</t>
  </si>
  <si>
    <t>경남99바4895</t>
  </si>
  <si>
    <t>전성환</t>
  </si>
  <si>
    <t>01026260220</t>
  </si>
  <si>
    <t>GJEW4895</t>
  </si>
  <si>
    <t>2026-06-02 17:30:19</t>
  </si>
  <si>
    <t>02)16:53</t>
  </si>
  <si>
    <t>144</t>
  </si>
  <si>
    <t>W260602-00000375</t>
  </si>
  <si>
    <t>X260602-002004</t>
  </si>
  <si>
    <t>Y260602-002004</t>
  </si>
  <si>
    <t>143</t>
  </si>
  <si>
    <t>W260602-00000292</t>
  </si>
  <si>
    <t>X260602-001804</t>
  </si>
  <si>
    <t>Y260602-001804</t>
  </si>
  <si>
    <t>EGSU1533660</t>
  </si>
  <si>
    <t>EMCMQM0998</t>
  </si>
  <si>
    <t>경기99아1365</t>
  </si>
  <si>
    <t>이주환</t>
  </si>
  <si>
    <t>01041316728</t>
  </si>
  <si>
    <t>SMSM1365</t>
  </si>
  <si>
    <t>2026-06-03 07:38:40</t>
  </si>
  <si>
    <t>02)16:22</t>
  </si>
  <si>
    <t>03)07:36</t>
  </si>
  <si>
    <t>142</t>
  </si>
  <si>
    <t>W260602-00000291</t>
  </si>
  <si>
    <t>X260602-001805</t>
  </si>
  <si>
    <t>Y260602-001805</t>
  </si>
  <si>
    <t>CAAU5880130</t>
  </si>
  <si>
    <t>EMCFCC9475</t>
  </si>
  <si>
    <t>충남99사9324</t>
  </si>
  <si>
    <t>이오선</t>
  </si>
  <si>
    <t>01023708245</t>
  </si>
  <si>
    <t>MKMK9324</t>
  </si>
  <si>
    <t>2026-06-03 07:39:02</t>
  </si>
  <si>
    <t>141</t>
  </si>
  <si>
    <t>W260602-00000290</t>
  </si>
  <si>
    <t>X260602-001806</t>
  </si>
  <si>
    <t>Y260602-001806</t>
  </si>
  <si>
    <t>GAOU6321272</t>
  </si>
  <si>
    <t>EMCFCC9755</t>
  </si>
  <si>
    <t>2026-06-03 10:54:43</t>
  </si>
  <si>
    <t>03)10:38</t>
  </si>
  <si>
    <t>세방(주)</t>
  </si>
  <si>
    <t>140</t>
  </si>
  <si>
    <t>W260602-00000289</t>
  </si>
  <si>
    <t>X260602-001807</t>
  </si>
  <si>
    <t>Y260602-001807</t>
  </si>
  <si>
    <t>FFAU7341090</t>
  </si>
  <si>
    <t>KR1160914</t>
  </si>
  <si>
    <t>2026-06-02 19:13:16</t>
  </si>
  <si>
    <t>B015&amp;이지스녹산</t>
  </si>
  <si>
    <t>02)16:45</t>
  </si>
  <si>
    <t>139</t>
  </si>
  <si>
    <t>W260602-00000288</t>
  </si>
  <si>
    <t>X260602-001808</t>
  </si>
  <si>
    <t>Y260602-001808</t>
  </si>
  <si>
    <t>MRKU6147501</t>
  </si>
  <si>
    <t>KR1160930</t>
  </si>
  <si>
    <t>2026-06-03 07:50:45</t>
  </si>
  <si>
    <t>138</t>
  </si>
  <si>
    <t>W260602-00000287</t>
  </si>
  <si>
    <t>X260602-001809</t>
  </si>
  <si>
    <t>Y260602-001809</t>
  </si>
  <si>
    <t>WHSU8030780</t>
  </si>
  <si>
    <t>WHA3168736</t>
  </si>
  <si>
    <t>부산98사7354</t>
  </si>
  <si>
    <t>최경도</t>
  </si>
  <si>
    <t>SMSM7354</t>
  </si>
  <si>
    <t>2026-06-02 17:33:11</t>
  </si>
  <si>
    <t>2026-06-03 10:22:03</t>
  </si>
  <si>
    <t>137</t>
  </si>
  <si>
    <t>W260602-00000286</t>
  </si>
  <si>
    <t>X260602-001810</t>
  </si>
  <si>
    <t>Y260602-001810</t>
  </si>
  <si>
    <t>WHSU6182819</t>
  </si>
  <si>
    <t>WHA3168614</t>
  </si>
  <si>
    <t>부산98사2885</t>
  </si>
  <si>
    <t>강성욱</t>
  </si>
  <si>
    <t>01028163959</t>
  </si>
  <si>
    <t>KOKO2885</t>
  </si>
  <si>
    <t>2026-06-02 17:39:34</t>
  </si>
  <si>
    <t>136</t>
  </si>
  <si>
    <t>W260602-00000285</t>
  </si>
  <si>
    <t>X260602-001811</t>
  </si>
  <si>
    <t>Y260602-001811</t>
  </si>
  <si>
    <t>WHSU6054309</t>
  </si>
  <si>
    <t>WHA3168609</t>
  </si>
  <si>
    <t>2026-06-03 00:30:24</t>
  </si>
  <si>
    <t>02)16:46</t>
  </si>
  <si>
    <t>135</t>
  </si>
  <si>
    <t>W260602-00000284</t>
  </si>
  <si>
    <t>X260602-001812</t>
  </si>
  <si>
    <t>Y260602-001812</t>
  </si>
  <si>
    <t>WHSU5166747</t>
  </si>
  <si>
    <t>WHA3168603</t>
  </si>
  <si>
    <t>대구99바2909</t>
  </si>
  <si>
    <t>이국형</t>
  </si>
  <si>
    <t>01088560424</t>
  </si>
  <si>
    <t>FLFL2909</t>
  </si>
  <si>
    <t>2026-06-02 17:30:30</t>
  </si>
  <si>
    <t>134</t>
  </si>
  <si>
    <t>W260602-00000283</t>
  </si>
  <si>
    <t>X260602-001813</t>
  </si>
  <si>
    <t>Y260602-001813</t>
  </si>
  <si>
    <t>TXGU8148672</t>
  </si>
  <si>
    <t>WHA3168738</t>
  </si>
  <si>
    <t>부산99사4852</t>
  </si>
  <si>
    <t>김순철</t>
  </si>
  <si>
    <t>01087448686</t>
  </si>
  <si>
    <t>JSGL4852</t>
  </si>
  <si>
    <t>2026-06-02 17:30:23</t>
  </si>
  <si>
    <t>133</t>
  </si>
  <si>
    <t>W260602-00000282</t>
  </si>
  <si>
    <t>X260602-001814</t>
  </si>
  <si>
    <t>Y260602-001814</t>
  </si>
  <si>
    <t>WHSU8526723</t>
  </si>
  <si>
    <t>WHA3168606</t>
  </si>
  <si>
    <t>2026-06-02 19:52:49</t>
  </si>
  <si>
    <t>132</t>
  </si>
  <si>
    <t>W260602-00000281</t>
  </si>
  <si>
    <t>X260602-001815</t>
  </si>
  <si>
    <t>Y260602-001815</t>
  </si>
  <si>
    <t>WHSU6879634</t>
  </si>
  <si>
    <t>WHA3168620</t>
  </si>
  <si>
    <t>2026-06-03 07:53:02</t>
  </si>
  <si>
    <t>131</t>
  </si>
  <si>
    <t>W260602-00000136</t>
  </si>
  <si>
    <t>X260602-001581</t>
  </si>
  <si>
    <t>Y260602-001581</t>
  </si>
  <si>
    <t>CI260529-7</t>
  </si>
  <si>
    <t>LYG</t>
  </si>
  <si>
    <t>연운항훼리</t>
  </si>
  <si>
    <t>[GS]아산 서영</t>
  </si>
  <si>
    <t>CKFU9210225</t>
  </si>
  <si>
    <t>LYG299006</t>
  </si>
  <si>
    <t>인천99아8453</t>
  </si>
  <si>
    <t>황연수</t>
  </si>
  <si>
    <t>01057758453</t>
  </si>
  <si>
    <t>YLCF8453</t>
  </si>
  <si>
    <t>2026-06-02 13:29:57</t>
  </si>
  <si>
    <t>S009_H02</t>
  </si>
  <si>
    <t>02)11:13</t>
  </si>
  <si>
    <t>02)13:29</t>
  </si>
  <si>
    <t>김병주</t>
  </si>
  <si>
    <t>130</t>
  </si>
  <si>
    <t>W260601-00000688</t>
  </si>
  <si>
    <t>Y260601-001269</t>
  </si>
  <si>
    <t>KMD</t>
  </si>
  <si>
    <t>고려해운</t>
  </si>
  <si>
    <t>KRPNC</t>
  </si>
  <si>
    <t>INKTP</t>
  </si>
  <si>
    <t>[GB]아산 2포장장</t>
  </si>
  <si>
    <t>부산99사4692</t>
  </si>
  <si>
    <t>강수환</t>
  </si>
  <si>
    <t>01099984348</t>
  </si>
  <si>
    <t>MOAA4692</t>
  </si>
  <si>
    <t>2026-06-02 07:52:51</t>
  </si>
  <si>
    <t>01)17:39</t>
  </si>
  <si>
    <t>02)07:45</t>
  </si>
  <si>
    <t>02)07:44</t>
  </si>
  <si>
    <t>임지언</t>
  </si>
  <si>
    <t>129</t>
  </si>
  <si>
    <t>Y260601-001268</t>
  </si>
  <si>
    <t>경북98사5822</t>
  </si>
  <si>
    <t>이가람</t>
  </si>
  <si>
    <t>01047667318</t>
  </si>
  <si>
    <t>D8805822</t>
  </si>
  <si>
    <t>2026-06-02 07:53:08</t>
  </si>
  <si>
    <t>01)17:35</t>
  </si>
  <si>
    <t>128</t>
  </si>
  <si>
    <t>Y260601-001267</t>
  </si>
  <si>
    <t>인천98아4008</t>
  </si>
  <si>
    <t>윤근영</t>
  </si>
  <si>
    <t>01030054008</t>
  </si>
  <si>
    <t>FLFL4008</t>
  </si>
  <si>
    <t>2026-06-02 07:53:20</t>
  </si>
  <si>
    <t>127</t>
  </si>
  <si>
    <t>Y260601-001266</t>
  </si>
  <si>
    <t>2026-06-01 18:10:23</t>
  </si>
  <si>
    <t>01)17:36</t>
  </si>
  <si>
    <t>126</t>
  </si>
  <si>
    <t>W260601-00000687</t>
  </si>
  <si>
    <t>Y260601-001265</t>
  </si>
  <si>
    <t>2026-06-01 17:48:37</t>
  </si>
  <si>
    <t>2026-05-30 12:23:00</t>
  </si>
  <si>
    <t>01)17:29</t>
  </si>
  <si>
    <t>01)17:40</t>
  </si>
  <si>
    <t>김송미</t>
  </si>
  <si>
    <t>125</t>
  </si>
  <si>
    <t>W260601-00000651</t>
  </si>
  <si>
    <t>Y260601-001121</t>
  </si>
  <si>
    <t>2026-06-01 23:16:43</t>
  </si>
  <si>
    <t>B015&amp;이지스두동</t>
  </si>
  <si>
    <t>2</t>
  </si>
  <si>
    <t>01)16:32</t>
  </si>
  <si>
    <t>01)22:57</t>
  </si>
  <si>
    <t>01)22:56</t>
  </si>
  <si>
    <t>124</t>
  </si>
  <si>
    <t>W260601-00000650</t>
  </si>
  <si>
    <t>Y260601-001122</t>
  </si>
  <si>
    <t>충남99사9582</t>
  </si>
  <si>
    <t>손승식</t>
  </si>
  <si>
    <t>01094488116</t>
  </si>
  <si>
    <t>ROAD9582</t>
  </si>
  <si>
    <t>2026-06-02 13:43:33</t>
  </si>
  <si>
    <t>02)13:42</t>
  </si>
  <si>
    <t>123</t>
  </si>
  <si>
    <t>W260601-00000649</t>
  </si>
  <si>
    <t>Y260601-001123</t>
  </si>
  <si>
    <t>2026-06-01 17:27:04</t>
  </si>
  <si>
    <t>01)16:44</t>
  </si>
  <si>
    <t>122</t>
  </si>
  <si>
    <t>W260601-00000648</t>
  </si>
  <si>
    <t>Y260601-001124</t>
  </si>
  <si>
    <t>2026-06-01 17:31:37</t>
  </si>
  <si>
    <t>2026-06-02 10:37:38</t>
  </si>
  <si>
    <t>신지우암 / SB청암</t>
  </si>
  <si>
    <t>2026-06-01 17:33:00</t>
  </si>
  <si>
    <t>121</t>
  </si>
  <si>
    <t>W260601-00000647</t>
  </si>
  <si>
    <t>Y260601-001125</t>
  </si>
  <si>
    <t>부산99사4818</t>
  </si>
  <si>
    <t>최성규</t>
  </si>
  <si>
    <t>01026137635</t>
  </si>
  <si>
    <t>FLFL4818</t>
  </si>
  <si>
    <t>2026-06-02 08:41:20</t>
  </si>
  <si>
    <t>1</t>
  </si>
  <si>
    <t>02)08:39</t>
  </si>
  <si>
    <t>120</t>
  </si>
  <si>
    <t>W260601-00000646</t>
  </si>
  <si>
    <t>Y260601-001126</t>
  </si>
  <si>
    <t>경기99바9684</t>
  </si>
  <si>
    <t>김종덕</t>
  </si>
  <si>
    <t>01062159234</t>
  </si>
  <si>
    <t>GSKW9684</t>
  </si>
  <si>
    <t>2026-06-02 10:09:39</t>
  </si>
  <si>
    <t>02)10:06</t>
  </si>
  <si>
    <t>119</t>
  </si>
  <si>
    <t>W260601-00000645</t>
  </si>
  <si>
    <t>Y260601-001127</t>
  </si>
  <si>
    <t>대전99바8680</t>
  </si>
  <si>
    <t>유정근</t>
  </si>
  <si>
    <t>01054848738</t>
  </si>
  <si>
    <t>D8808680</t>
  </si>
  <si>
    <t>GLC00058</t>
  </si>
  <si>
    <t>의왕ICD [GB]아산 2포장장 (오토쎌) 부산신항</t>
  </si>
  <si>
    <t>2026-06-02 14:36:11</t>
  </si>
  <si>
    <t>02)14:35</t>
  </si>
  <si>
    <t>118</t>
  </si>
  <si>
    <t>W260601-00000644</t>
  </si>
  <si>
    <t>Y260601-001128</t>
  </si>
  <si>
    <t>충북99바1096</t>
  </si>
  <si>
    <t>김진동</t>
  </si>
  <si>
    <t>01088034936</t>
  </si>
  <si>
    <t>GKIM1096</t>
  </si>
  <si>
    <t>2026-06-02 15:54:40</t>
  </si>
  <si>
    <t>02)14:40</t>
  </si>
  <si>
    <t>117</t>
  </si>
  <si>
    <t>W260601-00000643</t>
  </si>
  <si>
    <t>Y260602-001419</t>
  </si>
  <si>
    <t>경평</t>
  </si>
  <si>
    <t>부산98바5442</t>
  </si>
  <si>
    <t>조광현</t>
  </si>
  <si>
    <t>01045867301</t>
  </si>
  <si>
    <t>CKHK5442</t>
  </si>
  <si>
    <t>2026-06-02 13:39:40</t>
  </si>
  <si>
    <t>02)08:43</t>
  </si>
  <si>
    <t>02)13:38</t>
  </si>
  <si>
    <t>116</t>
  </si>
  <si>
    <t>Y260602-001418</t>
  </si>
  <si>
    <t>부산98사2586</t>
  </si>
  <si>
    <t>정택우</t>
  </si>
  <si>
    <t>01094751840</t>
  </si>
  <si>
    <t>CSSU2586</t>
  </si>
  <si>
    <t>2026-06-02 13:17:02</t>
  </si>
  <si>
    <t>02)13:16</t>
  </si>
  <si>
    <t>115</t>
  </si>
  <si>
    <t>Y260602-001417</t>
  </si>
  <si>
    <t>울산99바1433</t>
  </si>
  <si>
    <t>방영삼</t>
  </si>
  <si>
    <t>01057572458</t>
  </si>
  <si>
    <t>HIHI1433</t>
  </si>
  <si>
    <t>2026-06-02 13:16:49</t>
  </si>
  <si>
    <t>114</t>
  </si>
  <si>
    <t>Y260602-001416</t>
  </si>
  <si>
    <t>20:00</t>
  </si>
  <si>
    <t>경남99사5301</t>
  </si>
  <si>
    <t>이용환</t>
  </si>
  <si>
    <t>01055006187</t>
  </si>
  <si>
    <t>KSKS5301</t>
  </si>
  <si>
    <t>2026-06-02 14:34:37</t>
  </si>
  <si>
    <t>02)08:42</t>
  </si>
  <si>
    <t>02)14:33</t>
  </si>
  <si>
    <t>113</t>
  </si>
  <si>
    <t>Y260601-001129</t>
  </si>
  <si>
    <t>2026-06-02 12:12:12</t>
  </si>
  <si>
    <t>02)12:11</t>
  </si>
  <si>
    <t>112</t>
  </si>
  <si>
    <t>W260601-00000642</t>
  </si>
  <si>
    <t>Y260601-001130</t>
  </si>
  <si>
    <t>2026-06-02 14:02:39</t>
  </si>
  <si>
    <t>2026-06-02 10:17:58</t>
  </si>
  <si>
    <t>15000</t>
  </si>
  <si>
    <t>02)10:17</t>
  </si>
  <si>
    <t>01)17:41</t>
  </si>
  <si>
    <t>111</t>
  </si>
  <si>
    <t>W260601-00000641</t>
  </si>
  <si>
    <t>Y260601-001131</t>
  </si>
  <si>
    <t>인터아시아라인</t>
  </si>
  <si>
    <t>광주98아1272</t>
  </si>
  <si>
    <t>조인수</t>
  </si>
  <si>
    <t>01062048754</t>
  </si>
  <si>
    <t>WJWJ1272</t>
  </si>
  <si>
    <t>2026-06-02 07:54:15</t>
  </si>
  <si>
    <t>01)16:54</t>
  </si>
  <si>
    <t>110</t>
  </si>
  <si>
    <t>W260601-00000640</t>
  </si>
  <si>
    <t>Y260601-001132</t>
  </si>
  <si>
    <t>HMM</t>
  </si>
  <si>
    <t>에이치엠엠(주)</t>
  </si>
  <si>
    <t>부산98바5393</t>
  </si>
  <si>
    <t>조병석</t>
  </si>
  <si>
    <t>01038442452</t>
  </si>
  <si>
    <t>BSBS5393</t>
  </si>
  <si>
    <t>2026-06-02 13:58:06</t>
  </si>
  <si>
    <t>02)13:56</t>
  </si>
  <si>
    <t>109</t>
  </si>
  <si>
    <t>W260601-00000639</t>
  </si>
  <si>
    <t>Y260601-001133</t>
  </si>
  <si>
    <t>2026-06-01 18:32:35</t>
  </si>
  <si>
    <t>2026-06-02 12:08:30</t>
  </si>
  <si>
    <t>2026-06-01 18:23:00</t>
  </si>
  <si>
    <t>108</t>
  </si>
  <si>
    <t>W260601-00000638</t>
  </si>
  <si>
    <t>Y260601-001134</t>
  </si>
  <si>
    <t>2026-06-01 20:07:48</t>
  </si>
  <si>
    <t>2026-06-02 10:34:51</t>
  </si>
  <si>
    <t>2026-06-01 20:13:00</t>
  </si>
  <si>
    <t>107</t>
  </si>
  <si>
    <t>W260601-00000637</t>
  </si>
  <si>
    <t>Y260601-001135</t>
  </si>
  <si>
    <t>2026-06-01 21:05:56</t>
  </si>
  <si>
    <t>01)16:43</t>
  </si>
  <si>
    <t>106</t>
  </si>
  <si>
    <t>W260601-00000636</t>
  </si>
  <si>
    <t>Y260601-001136</t>
  </si>
  <si>
    <t>2026-06-02 08:06:00</t>
  </si>
  <si>
    <t>2026-06-02 12:52:04</t>
  </si>
  <si>
    <t>2026-06-01 21:57:00</t>
  </si>
  <si>
    <t>105</t>
  </si>
  <si>
    <t>W260601-00000635</t>
  </si>
  <si>
    <t>Y260602-001394</t>
  </si>
  <si>
    <t>경남99바7955</t>
  </si>
  <si>
    <t>김종구</t>
  </si>
  <si>
    <t>01094806279</t>
  </si>
  <si>
    <t>GMLC7955</t>
  </si>
  <si>
    <t>2026-06-02 14:34:41</t>
  </si>
  <si>
    <t>02)08:16</t>
  </si>
  <si>
    <t>02)13:57</t>
  </si>
  <si>
    <t>104</t>
  </si>
  <si>
    <t>Y260602-001393</t>
  </si>
  <si>
    <t>CMA2605280010</t>
  </si>
  <si>
    <t>충북98바3520</t>
  </si>
  <si>
    <t>한만복</t>
  </si>
  <si>
    <t>01067506750</t>
  </si>
  <si>
    <t>DSDS3520</t>
  </si>
  <si>
    <t>2026-06-02 13:14:31</t>
  </si>
  <si>
    <t>02)14:17</t>
  </si>
  <si>
    <t>103</t>
  </si>
  <si>
    <t>Y260602-001392</t>
  </si>
  <si>
    <t>부산98사1046</t>
  </si>
  <si>
    <t>박상현</t>
  </si>
  <si>
    <t>01045663902</t>
  </si>
  <si>
    <t>SJLU1046</t>
  </si>
  <si>
    <t>2026-06-02 13:14:18</t>
  </si>
  <si>
    <t>02)14:15</t>
  </si>
  <si>
    <t>02)14:14</t>
  </si>
  <si>
    <t>102</t>
  </si>
  <si>
    <t>Y260602-001391</t>
  </si>
  <si>
    <t>부산99바8947</t>
  </si>
  <si>
    <t>이경재</t>
  </si>
  <si>
    <t>01024257372</t>
  </si>
  <si>
    <t>CSSU8947</t>
  </si>
  <si>
    <t>2026-06-02 14:52:37</t>
  </si>
  <si>
    <t>02)14:52</t>
  </si>
  <si>
    <t>101</t>
  </si>
  <si>
    <t>Y260601-001137</t>
  </si>
  <si>
    <t>경기98아6471</t>
  </si>
  <si>
    <t>박은탁</t>
  </si>
  <si>
    <t>01086369572</t>
  </si>
  <si>
    <t>FYOU6471</t>
  </si>
  <si>
    <t>2026-06-02 14:50:47</t>
  </si>
  <si>
    <t>02)14:50</t>
  </si>
  <si>
    <t>100</t>
  </si>
  <si>
    <t>W260601-00000634</t>
  </si>
  <si>
    <t>Y260601-001138</t>
  </si>
  <si>
    <t>부산99사5218</t>
  </si>
  <si>
    <t>강영석</t>
  </si>
  <si>
    <t>01033698558</t>
  </si>
  <si>
    <t>D8805218</t>
  </si>
  <si>
    <t>2026-06-01 16:43:59</t>
  </si>
  <si>
    <t>2026-06-01 15:48:00</t>
  </si>
  <si>
    <t>99</t>
  </si>
  <si>
    <t>W260601-00000633</t>
  </si>
  <si>
    <t>Y260601-001139</t>
  </si>
  <si>
    <t>충남98사1980</t>
  </si>
  <si>
    <t>서정환</t>
  </si>
  <si>
    <t>01035598694</t>
  </si>
  <si>
    <t>JHJH1980</t>
  </si>
  <si>
    <t>2026-06-02 07:54:30</t>
  </si>
  <si>
    <t>02)07:46</t>
  </si>
  <si>
    <t>98</t>
  </si>
  <si>
    <t>W260601-00000632</t>
  </si>
  <si>
    <t>Y260601-001140</t>
  </si>
  <si>
    <t>부산98사3985</t>
  </si>
  <si>
    <t>서재혁</t>
  </si>
  <si>
    <t>01045988694</t>
  </si>
  <si>
    <t>JHJH3985</t>
  </si>
  <si>
    <t>2026-06-02 07:54:42</t>
  </si>
  <si>
    <t>97</t>
  </si>
  <si>
    <t>W260601-00000631</t>
  </si>
  <si>
    <t>Y260601-001141</t>
  </si>
  <si>
    <t>대구99바2913</t>
  </si>
  <si>
    <t>차점수</t>
  </si>
  <si>
    <t>01038127010</t>
  </si>
  <si>
    <t>FSFS2913</t>
  </si>
  <si>
    <t>2026-06-02 07:54:54</t>
  </si>
  <si>
    <t>96</t>
  </si>
  <si>
    <t>W260601-00000630</t>
  </si>
  <si>
    <t>Y260601-001142</t>
  </si>
  <si>
    <t>TEMU7191964</t>
  </si>
  <si>
    <t>2026-06-01 17:41:33</t>
  </si>
  <si>
    <t>2026-06-01 17:47:00</t>
  </si>
  <si>
    <t>95</t>
  </si>
  <si>
    <t>W260601-00000629</t>
  </si>
  <si>
    <t>Y260601-001143</t>
  </si>
  <si>
    <t>M431649</t>
  </si>
  <si>
    <t>2026-06-01 18:51:59</t>
  </si>
  <si>
    <t>2026-06-02 08:29:11</t>
  </si>
  <si>
    <t>2026-06-01 18:43:00</t>
  </si>
  <si>
    <t>94</t>
  </si>
  <si>
    <t>W260601-00000628</t>
  </si>
  <si>
    <t>Y260601-001144</t>
  </si>
  <si>
    <t>2026-06-02 08:04:05</t>
  </si>
  <si>
    <t>93</t>
  </si>
  <si>
    <t>W260601-00000627</t>
  </si>
  <si>
    <t>Y260601-001145</t>
  </si>
  <si>
    <t>2026-06-01 18:31:43</t>
  </si>
  <si>
    <t>92</t>
  </si>
  <si>
    <t>W260601-00000626</t>
  </si>
  <si>
    <t>Y260601-001146</t>
  </si>
  <si>
    <t>2026-06-02 00:00:49</t>
  </si>
  <si>
    <t>2026-06-02 00:07:00</t>
  </si>
  <si>
    <t>01)16:42</t>
  </si>
  <si>
    <t>91</t>
  </si>
  <si>
    <t>W260601-00000625</t>
  </si>
  <si>
    <t>Y260602-001395</t>
  </si>
  <si>
    <t>부산99바7387</t>
  </si>
  <si>
    <t>허선호</t>
  </si>
  <si>
    <t>01085278385</t>
  </si>
  <si>
    <t>FYOU7387</t>
  </si>
  <si>
    <t>2026-06-02 16:04:52</t>
  </si>
  <si>
    <t>02)08:17</t>
  </si>
  <si>
    <t>02)16:03</t>
  </si>
  <si>
    <t>90</t>
  </si>
  <si>
    <t>Y260601-001147</t>
  </si>
  <si>
    <t>2026-06-01 16:45:06</t>
  </si>
  <si>
    <t>2026-06-02 00:14:02</t>
  </si>
  <si>
    <t>2026-06-02 21:41:42</t>
  </si>
  <si>
    <t>2026-06-02 00:17:00</t>
  </si>
  <si>
    <t>89</t>
  </si>
  <si>
    <t>W260601-00000624</t>
  </si>
  <si>
    <t>Y260601-001148</t>
  </si>
  <si>
    <t>전남98바1112</t>
  </si>
  <si>
    <t>오치윤</t>
  </si>
  <si>
    <t>01088769939</t>
  </si>
  <si>
    <t>DSDS1112</t>
  </si>
  <si>
    <t>2026-06-02 09:01:55</t>
  </si>
  <si>
    <t>02)09:01</t>
  </si>
  <si>
    <t>88</t>
  </si>
  <si>
    <t>W260601-00000623</t>
  </si>
  <si>
    <t>Y260602-001397</t>
  </si>
  <si>
    <t>부산98사3946</t>
  </si>
  <si>
    <t>박정석</t>
  </si>
  <si>
    <t>01064726435</t>
  </si>
  <si>
    <t>SEOK3946</t>
  </si>
  <si>
    <t>2026-06-02 13:04:59</t>
  </si>
  <si>
    <t>02)08:19</t>
  </si>
  <si>
    <t>02)13:04</t>
  </si>
  <si>
    <t>87</t>
  </si>
  <si>
    <t>Y260601-001149</t>
  </si>
  <si>
    <t>부산99바9554</t>
  </si>
  <si>
    <t>김민재</t>
  </si>
  <si>
    <t>01050228920</t>
  </si>
  <si>
    <t>MJ899554</t>
  </si>
  <si>
    <t>2026-06-02 11:05:23</t>
  </si>
  <si>
    <t>02)11:04</t>
  </si>
  <si>
    <t>86</t>
  </si>
  <si>
    <t>W260601-00000622</t>
  </si>
  <si>
    <t>Y260601-001150</t>
  </si>
  <si>
    <t>2026-06-02 08:04:30</t>
  </si>
  <si>
    <t>85</t>
  </si>
  <si>
    <t>W260601-00000621</t>
  </si>
  <si>
    <t>Y260601-001151</t>
  </si>
  <si>
    <t>충남98사5335</t>
  </si>
  <si>
    <t>오방진</t>
  </si>
  <si>
    <t>01086604786</t>
  </si>
  <si>
    <t>HTNS5335</t>
  </si>
  <si>
    <t>GLC00121</t>
  </si>
  <si>
    <t>의왕ICD [GC]아산 3포장장 (아산YSP) 부산신항</t>
  </si>
  <si>
    <t>2026-06-02 10:18:50</t>
  </si>
  <si>
    <t>02)10:18</t>
  </si>
  <si>
    <t>84</t>
  </si>
  <si>
    <t>W260601-00000620</t>
  </si>
  <si>
    <t>Y260601-001152</t>
  </si>
  <si>
    <t>부산99사5823</t>
  </si>
  <si>
    <t>양홍길</t>
  </si>
  <si>
    <t>01097291244</t>
  </si>
  <si>
    <t>YULS5823</t>
  </si>
  <si>
    <t>2026-06-01 16:41:53</t>
  </si>
  <si>
    <t>2026-06-01 16:25:00</t>
  </si>
  <si>
    <t>01)16:40</t>
  </si>
  <si>
    <t>83</t>
  </si>
  <si>
    <t>W260601-00000619</t>
  </si>
  <si>
    <t>Y260601-001153</t>
  </si>
  <si>
    <t>2026-06-01 16:44:21</t>
  </si>
  <si>
    <t>82</t>
  </si>
  <si>
    <t>W260601-00000618</t>
  </si>
  <si>
    <t>Y260601-001154</t>
  </si>
  <si>
    <t>부산99사8065</t>
  </si>
  <si>
    <t>문정국</t>
  </si>
  <si>
    <t>01038383321</t>
  </si>
  <si>
    <t>DHDH8065</t>
  </si>
  <si>
    <t>2026-06-02 07:43:20</t>
  </si>
  <si>
    <t>01)16:33</t>
  </si>
  <si>
    <t>02)07:41</t>
  </si>
  <si>
    <t>81</t>
  </si>
  <si>
    <t>W260601-00000617</t>
  </si>
  <si>
    <t>Y260601-001155</t>
  </si>
  <si>
    <t>대구99바1052</t>
  </si>
  <si>
    <t>김중기</t>
  </si>
  <si>
    <t>01034337835</t>
  </si>
  <si>
    <t>BORA1052</t>
  </si>
  <si>
    <t>2026-06-02 07:55:14</t>
  </si>
  <si>
    <t>02)07:48</t>
  </si>
  <si>
    <t>80</t>
  </si>
  <si>
    <t>W260601-00000616</t>
  </si>
  <si>
    <t>Y260601-001156</t>
  </si>
  <si>
    <t>충남98사3323</t>
  </si>
  <si>
    <t>최동규</t>
  </si>
  <si>
    <t>01088157528</t>
  </si>
  <si>
    <t>UPUP3323</t>
  </si>
  <si>
    <t>2026-06-02 10:39:02</t>
  </si>
  <si>
    <t>02)10:38</t>
  </si>
  <si>
    <t>79</t>
  </si>
  <si>
    <t>W260601-00000615</t>
  </si>
  <si>
    <t>Y260602-001446</t>
  </si>
  <si>
    <t>경기99바9674</t>
  </si>
  <si>
    <t>황인복</t>
  </si>
  <si>
    <t>01052148874</t>
  </si>
  <si>
    <t>MEXP9674</t>
  </si>
  <si>
    <t>GLC00025</t>
  </si>
  <si>
    <t>인천신항 [GC]아산 3포장장 (아산YSP) 부산신항</t>
  </si>
  <si>
    <t>2026-06-02 12:26:28</t>
  </si>
  <si>
    <t>SNCTC</t>
  </si>
  <si>
    <t>02)08:56</t>
  </si>
  <si>
    <t>02)12:26</t>
  </si>
  <si>
    <t>78</t>
  </si>
  <si>
    <t>Y260601-001157</t>
  </si>
  <si>
    <t>GLC00378</t>
  </si>
  <si>
    <t>부산북항 [GB]아산 2포장장 (오토쎌) 부산신항</t>
  </si>
  <si>
    <t>2026-06-02 14:26:22</t>
  </si>
  <si>
    <t>77</t>
  </si>
  <si>
    <t>W260601-00000614</t>
  </si>
  <si>
    <t>Y260601-001158</t>
  </si>
  <si>
    <t>2026-06-01 17:19:58</t>
  </si>
  <si>
    <t>2026-06-02 09:37:45</t>
  </si>
  <si>
    <t>76</t>
  </si>
  <si>
    <t>W260601-00000613</t>
  </si>
  <si>
    <t>Y260601-001159</t>
  </si>
  <si>
    <t>부산99사7774</t>
  </si>
  <si>
    <t>김영진</t>
  </si>
  <si>
    <t>01093723259</t>
  </si>
  <si>
    <t>FYOU7774</t>
  </si>
  <si>
    <t>2026-06-02 07:47:49</t>
  </si>
  <si>
    <t>75</t>
  </si>
  <si>
    <t>W260601-00000612</t>
  </si>
  <si>
    <t>Y260601-001160</t>
  </si>
  <si>
    <t>2026-06-02 08:05:44</t>
  </si>
  <si>
    <t>74</t>
  </si>
  <si>
    <t>W260601-00000611</t>
  </si>
  <si>
    <t>Y260601-001161</t>
  </si>
  <si>
    <t>경남99바5140</t>
  </si>
  <si>
    <t>이승일</t>
  </si>
  <si>
    <t>01087758427</t>
  </si>
  <si>
    <t>YCGC5140</t>
  </si>
  <si>
    <t>2026-06-02 09:15:42</t>
  </si>
  <si>
    <t>02)09:12</t>
  </si>
  <si>
    <t>73</t>
  </si>
  <si>
    <t>W260601-00000610</t>
  </si>
  <si>
    <t>Y260601-001162</t>
  </si>
  <si>
    <t>경남99사2330</t>
  </si>
  <si>
    <t>이동욱</t>
  </si>
  <si>
    <t>01048503269</t>
  </si>
  <si>
    <t>UPUP2330</t>
  </si>
  <si>
    <t>2026-06-02 09:15:57</t>
  </si>
  <si>
    <t>02)09:13</t>
  </si>
  <si>
    <t>72</t>
  </si>
  <si>
    <t>W260601-00000609</t>
  </si>
  <si>
    <t>Y260601-001163</t>
  </si>
  <si>
    <t>2026-06-01 17:25:23</t>
  </si>
  <si>
    <t>2026-06-02 17:52:53</t>
  </si>
  <si>
    <t>B015청암</t>
  </si>
  <si>
    <t>2026-06-02 01:58:00</t>
  </si>
  <si>
    <t>71</t>
  </si>
  <si>
    <t>W260601-00000608</t>
  </si>
  <si>
    <t>Y260601-001164</t>
  </si>
  <si>
    <t>CG</t>
  </si>
  <si>
    <t>[CG] 성도글로비스</t>
  </si>
  <si>
    <t>선진</t>
  </si>
  <si>
    <t>인천99아9316</t>
  </si>
  <si>
    <t>장용태</t>
  </si>
  <si>
    <t>01073519933</t>
  </si>
  <si>
    <t>TPTP9316</t>
  </si>
  <si>
    <t>GLC00190</t>
  </si>
  <si>
    <t>인천항국제여객터미널 [GC]아산 3포장장 (아산YSP) 인천항국제여객터미널</t>
  </si>
  <si>
    <t>2026-06-02 07:58:36</t>
  </si>
  <si>
    <t>02)07:57</t>
  </si>
  <si>
    <t>70</t>
  </si>
  <si>
    <t>W260601-00000607</t>
  </si>
  <si>
    <t>Y260601-001165</t>
  </si>
  <si>
    <t>경남99사7933</t>
  </si>
  <si>
    <t>김준호</t>
  </si>
  <si>
    <t>01090018366</t>
  </si>
  <si>
    <t>KLTC7933</t>
  </si>
  <si>
    <t>2026-06-02 08:29:40</t>
  </si>
  <si>
    <t>02)08:26</t>
  </si>
  <si>
    <t>69</t>
  </si>
  <si>
    <t>W260601-00000606</t>
  </si>
  <si>
    <t>Y260601-001166</t>
  </si>
  <si>
    <t>부산99사3111</t>
  </si>
  <si>
    <t>박기수</t>
  </si>
  <si>
    <t>01027256552</t>
  </si>
  <si>
    <t>TJTJ3111</t>
  </si>
  <si>
    <t>2026-06-02 07:49:14</t>
  </si>
  <si>
    <t>68</t>
  </si>
  <si>
    <t>W260601-00000605</t>
  </si>
  <si>
    <t>Y260601-001167</t>
  </si>
  <si>
    <t>부산99사9691</t>
  </si>
  <si>
    <t>조학래</t>
  </si>
  <si>
    <t>01038295353</t>
  </si>
  <si>
    <t>OKOK9691</t>
  </si>
  <si>
    <t>2026-06-02 07:49:57</t>
  </si>
  <si>
    <t>67</t>
  </si>
  <si>
    <t>W260601-00000604</t>
  </si>
  <si>
    <t>Y260601-001168</t>
  </si>
  <si>
    <t>대전99바3134</t>
  </si>
  <si>
    <t>김건우</t>
  </si>
  <si>
    <t>01024962750</t>
  </si>
  <si>
    <t>KLTC3134</t>
  </si>
  <si>
    <t>2026-06-02 07:50:26</t>
  </si>
  <si>
    <t>66</t>
  </si>
  <si>
    <t>W260601-00000603</t>
  </si>
  <si>
    <t>Y260601-001169</t>
  </si>
  <si>
    <t>부산99바8968</t>
  </si>
  <si>
    <t>정윤석</t>
  </si>
  <si>
    <t>01085195413</t>
  </si>
  <si>
    <t>FLFL8968</t>
  </si>
  <si>
    <t>2026-06-02 07:50:44</t>
  </si>
  <si>
    <t>65</t>
  </si>
  <si>
    <t>W260601-00000411</t>
  </si>
  <si>
    <t>X260601-000879</t>
  </si>
  <si>
    <t>Y260601-000879</t>
  </si>
  <si>
    <t>SITINC8059847</t>
  </si>
  <si>
    <t>SIT</t>
  </si>
  <si>
    <t>SITC라인</t>
  </si>
  <si>
    <t>아산 서영 모원리공장</t>
  </si>
  <si>
    <t>HPCU5104847</t>
  </si>
  <si>
    <t>4500</t>
  </si>
  <si>
    <t>SITR224362</t>
  </si>
  <si>
    <t>경기98바6712</t>
  </si>
  <si>
    <t>이헌종</t>
  </si>
  <si>
    <t>01088753634</t>
  </si>
  <si>
    <t>DAEW6712</t>
  </si>
  <si>
    <t>2026-06-02 09:24:39</t>
  </si>
  <si>
    <t>S103_K16</t>
  </si>
  <si>
    <t>01)13:36</t>
  </si>
  <si>
    <t>02)09:23</t>
  </si>
  <si>
    <t>64</t>
  </si>
  <si>
    <t>X260601-000878</t>
  </si>
  <si>
    <t>Y260601-000878</t>
  </si>
  <si>
    <t>FFAU7042551</t>
  </si>
  <si>
    <t>SITR224194</t>
  </si>
  <si>
    <t>대전99바7502</t>
  </si>
  <si>
    <t>박성훈</t>
  </si>
  <si>
    <t>01063568400</t>
  </si>
  <si>
    <t>WWTL7502</t>
  </si>
  <si>
    <t>2026-06-02 10:55:06</t>
  </si>
  <si>
    <t>02)10:54</t>
  </si>
  <si>
    <t>63</t>
  </si>
  <si>
    <t>X260601-000877</t>
  </si>
  <si>
    <t>Y260601-000877</t>
  </si>
  <si>
    <t>TIIU4821673</t>
  </si>
  <si>
    <t>SITR224260</t>
  </si>
  <si>
    <t>서울98사5869</t>
  </si>
  <si>
    <t>김형철</t>
  </si>
  <si>
    <t>01053413807</t>
  </si>
  <si>
    <t>DONG5869</t>
  </si>
  <si>
    <t>2026-06-01 17:18:57</t>
  </si>
  <si>
    <t>2026-06-01 15:31:00</t>
  </si>
  <si>
    <t>01)17:18</t>
  </si>
  <si>
    <t>62</t>
  </si>
  <si>
    <t>W260601-00000409</t>
  </si>
  <si>
    <t>X260601-000875</t>
  </si>
  <si>
    <t>Y260601-000875</t>
  </si>
  <si>
    <t>CKFU9211427</t>
  </si>
  <si>
    <t>LYG299089</t>
  </si>
  <si>
    <t>경기98자9214</t>
  </si>
  <si>
    <t>윤영석</t>
  </si>
  <si>
    <t>01071093619</t>
  </si>
  <si>
    <t>SPLO9214</t>
  </si>
  <si>
    <t>2026-06-01 16:41:36</t>
  </si>
  <si>
    <t>2026-06-01 11:34:00</t>
  </si>
  <si>
    <t>01)13:33</t>
  </si>
  <si>
    <t>61</t>
  </si>
  <si>
    <t>X260601-000874</t>
  </si>
  <si>
    <t>Y260601-000874</t>
  </si>
  <si>
    <t>CKFU9211073</t>
  </si>
  <si>
    <t>LYG299024</t>
  </si>
  <si>
    <t>인천99아4346</t>
  </si>
  <si>
    <t>김현산</t>
  </si>
  <si>
    <t>01091824191</t>
  </si>
  <si>
    <t>NAJI4346</t>
  </si>
  <si>
    <t>2026-06-01 16:41:13</t>
  </si>
  <si>
    <t>2026-06-01 13:03:00</t>
  </si>
  <si>
    <t>01)16:38</t>
  </si>
  <si>
    <t>60</t>
  </si>
  <si>
    <t>W260601-00000266</t>
  </si>
  <si>
    <t>Y260601-000615</t>
  </si>
  <si>
    <t>인천99아7127</t>
  </si>
  <si>
    <t>이윤수</t>
  </si>
  <si>
    <t>01025916024</t>
  </si>
  <si>
    <t>DKTK7127</t>
  </si>
  <si>
    <t>2026-06-01 12:52:41</t>
  </si>
  <si>
    <t>3</t>
  </si>
  <si>
    <t>2026-05-30 05:48:00</t>
  </si>
  <si>
    <t>01)11:08</t>
  </si>
  <si>
    <t>01)11:30</t>
  </si>
  <si>
    <t>59</t>
  </si>
  <si>
    <t>W260601-00000265</t>
  </si>
  <si>
    <t>Y260601-000616</t>
  </si>
  <si>
    <t>2026-06-01 12:50:19</t>
  </si>
  <si>
    <t>2026-05-29 17:32:00</t>
  </si>
  <si>
    <t>01)11:34</t>
  </si>
  <si>
    <t>58</t>
  </si>
  <si>
    <t>W260601-00000264</t>
  </si>
  <si>
    <t>Y260601-000617</t>
  </si>
  <si>
    <t>경기99아5120</t>
  </si>
  <si>
    <t>윤건호</t>
  </si>
  <si>
    <t>01045777885</t>
  </si>
  <si>
    <t>UPUP8181</t>
  </si>
  <si>
    <t>2026-06-01 13:08:48</t>
  </si>
  <si>
    <t>HJNPC</t>
  </si>
  <si>
    <t>2026-05-27 22:06:00</t>
  </si>
  <si>
    <t>01)13:07</t>
  </si>
  <si>
    <t>57</t>
  </si>
  <si>
    <t>W260601-00000263</t>
  </si>
  <si>
    <t>Y260601-000618</t>
  </si>
  <si>
    <t>부산99사6944</t>
  </si>
  <si>
    <t>정영근</t>
  </si>
  <si>
    <t>01038949021</t>
  </si>
  <si>
    <t>UPUP6944</t>
  </si>
  <si>
    <t>2026-06-01 13:08:30</t>
  </si>
  <si>
    <t>CSBGC</t>
  </si>
  <si>
    <t>2026-06-01 10:14:00</t>
  </si>
  <si>
    <t>01)12:58</t>
  </si>
  <si>
    <t>56</t>
  </si>
  <si>
    <t>W260601-00000262</t>
  </si>
  <si>
    <t>Y260601-000619</t>
  </si>
  <si>
    <t>광주99사3553</t>
  </si>
  <si>
    <t>박승재</t>
  </si>
  <si>
    <t>01086146535</t>
  </si>
  <si>
    <t>KBTK3553</t>
  </si>
  <si>
    <t>2026-06-01 15:58:21</t>
  </si>
  <si>
    <t>2026-05-31 20:09:00</t>
  </si>
  <si>
    <t>01)16:02</t>
  </si>
  <si>
    <t>55</t>
  </si>
  <si>
    <t>W260601-00000261</t>
  </si>
  <si>
    <t>Y260601-000620</t>
  </si>
  <si>
    <t>부산98바5915</t>
  </si>
  <si>
    <t>서봉준</t>
  </si>
  <si>
    <t>01045710212</t>
  </si>
  <si>
    <t>SNCL5915</t>
  </si>
  <si>
    <t>2026-06-01 15:57:57</t>
  </si>
  <si>
    <t>2026-05-25 19:25:00</t>
  </si>
  <si>
    <t>54</t>
  </si>
  <si>
    <t>W260601-00000260</t>
  </si>
  <si>
    <t>Y260601-000621</t>
  </si>
  <si>
    <t>서울98바6586</t>
  </si>
  <si>
    <t>민경동</t>
  </si>
  <si>
    <t>01045494978</t>
  </si>
  <si>
    <t>UPUP6586</t>
  </si>
  <si>
    <t>2026-06-01 12:36:41</t>
  </si>
  <si>
    <t>GLGIC</t>
  </si>
  <si>
    <t>2026-06-01 09:36:00</t>
  </si>
  <si>
    <t>01)11:41</t>
  </si>
  <si>
    <t>53</t>
  </si>
  <si>
    <t>W260601-00000259</t>
  </si>
  <si>
    <t>Y260601-000622</t>
  </si>
  <si>
    <t>2026-06-01 11:35:50</t>
  </si>
  <si>
    <t>2026-05-30 20:30:00</t>
  </si>
  <si>
    <t>01)11:31</t>
  </si>
  <si>
    <t>52</t>
  </si>
  <si>
    <t>W260601-00000258</t>
  </si>
  <si>
    <t>Y260601-000623</t>
  </si>
  <si>
    <t>2026-06-01 11:35:36</t>
  </si>
  <si>
    <t>2026-05-29 17:17:00</t>
  </si>
  <si>
    <t>51</t>
  </si>
  <si>
    <t>W260601-00000257</t>
  </si>
  <si>
    <t>Y260601-000624</t>
  </si>
  <si>
    <t>부산99사5939</t>
  </si>
  <si>
    <t>최경철</t>
  </si>
  <si>
    <t>01035793657</t>
  </si>
  <si>
    <t>CALO5939</t>
  </si>
  <si>
    <t>2026-06-01 13:43:45</t>
  </si>
  <si>
    <t>KLTES</t>
  </si>
  <si>
    <t>2026-06-01 12:10:00</t>
  </si>
  <si>
    <t>01)13:43</t>
  </si>
  <si>
    <t>50</t>
  </si>
  <si>
    <t>W260601-00000256</t>
  </si>
  <si>
    <t>Y260601-000625</t>
  </si>
  <si>
    <t>2026-06-01 12:53:02</t>
  </si>
  <si>
    <t>2026-05-30 02:23:00</t>
  </si>
  <si>
    <t>01)11:27</t>
  </si>
  <si>
    <t>49</t>
  </si>
  <si>
    <t>W260601-00000255</t>
  </si>
  <si>
    <t>Y260601-000626</t>
  </si>
  <si>
    <t>2026-06-01 12:53:23</t>
  </si>
  <si>
    <t>2026-05-29 19:08:00</t>
  </si>
  <si>
    <t>48</t>
  </si>
  <si>
    <t>W260601-00000254</t>
  </si>
  <si>
    <t>Y260601-000627</t>
  </si>
  <si>
    <t>2026-06-01 11:36:57</t>
  </si>
  <si>
    <t>2026-06-01 11:31:00</t>
  </si>
  <si>
    <t>01)11:33</t>
  </si>
  <si>
    <t>47</t>
  </si>
  <si>
    <t>W260601-00000253</t>
  </si>
  <si>
    <t>Y260601-000628</t>
  </si>
  <si>
    <t>2026-06-01 11:36:02</t>
  </si>
  <si>
    <t>2026-06-01 11:27:00</t>
  </si>
  <si>
    <t>46</t>
  </si>
  <si>
    <t>W260601-00000252</t>
  </si>
  <si>
    <t>Y260601-000629</t>
  </si>
  <si>
    <t>경북98아7623</t>
  </si>
  <si>
    <t>이상호</t>
  </si>
  <si>
    <t>01038286019</t>
  </si>
  <si>
    <t>KDBE7623</t>
  </si>
  <si>
    <t>2026-06-01 12:48:14</t>
  </si>
  <si>
    <t>2026-05-29 20:45:00</t>
  </si>
  <si>
    <t>45</t>
  </si>
  <si>
    <t>W260601-00000251</t>
  </si>
  <si>
    <t>Y260601-000630</t>
  </si>
  <si>
    <t>2026-06-01 12:50:52</t>
  </si>
  <si>
    <t>2026-05-30 15:28:00</t>
  </si>
  <si>
    <t>44</t>
  </si>
  <si>
    <t>W260601-00000250</t>
  </si>
  <si>
    <t>Y260601-000631</t>
  </si>
  <si>
    <t>2026-06-01 11:36:44</t>
  </si>
  <si>
    <t>2026-06-01 11:35:35</t>
  </si>
  <si>
    <t>2026-05-29 20:25:00</t>
  </si>
  <si>
    <t>43</t>
  </si>
  <si>
    <t>W260601-00000249</t>
  </si>
  <si>
    <t>Y260601-000632</t>
  </si>
  <si>
    <t>2026-06-01 11:36:30</t>
  </si>
  <si>
    <t>2026-06-01 13:56:59</t>
  </si>
  <si>
    <t>42</t>
  </si>
  <si>
    <t>W260601-00000248</t>
  </si>
  <si>
    <t>Y260601-000633</t>
  </si>
  <si>
    <t>경남99사8875</t>
  </si>
  <si>
    <t>이정대</t>
  </si>
  <si>
    <t>01031665201</t>
  </si>
  <si>
    <t>GSCT8875</t>
  </si>
  <si>
    <t>2026-06-01 11:35:09</t>
  </si>
  <si>
    <t>2026-05-29 19:54:00</t>
  </si>
  <si>
    <t>41</t>
  </si>
  <si>
    <t>W260601-00000247</t>
  </si>
  <si>
    <t>Y260601-000634</t>
  </si>
  <si>
    <t>2026-06-01 11:34:48</t>
  </si>
  <si>
    <t>2026-05-31 18:20:00</t>
  </si>
  <si>
    <t>40</t>
  </si>
  <si>
    <t>W260601-00000246</t>
  </si>
  <si>
    <t>Y260601-000635</t>
  </si>
  <si>
    <t>2026-06-01 11:34:28</t>
  </si>
  <si>
    <t>2026-05-30 23:23:00</t>
  </si>
  <si>
    <t>39</t>
  </si>
  <si>
    <t>W260601-00000245</t>
  </si>
  <si>
    <t>Y260601-000636</t>
  </si>
  <si>
    <t>부산99사5911</t>
  </si>
  <si>
    <t>안경호</t>
  </si>
  <si>
    <t>01046594890</t>
  </si>
  <si>
    <t>KSTC5911</t>
  </si>
  <si>
    <t>2026-06-01 11:33:36</t>
  </si>
  <si>
    <t>2026-05-29 18:05:00</t>
  </si>
  <si>
    <t>38</t>
  </si>
  <si>
    <t>W260601-00000244</t>
  </si>
  <si>
    <t>Y260601-000637</t>
  </si>
  <si>
    <t>2026-06-01 11:36:15</t>
  </si>
  <si>
    <t>2026-06-01 14:33:16</t>
  </si>
  <si>
    <t>2026-05-30 19:56:00</t>
  </si>
  <si>
    <t>37</t>
  </si>
  <si>
    <t>W260601-00000243</t>
  </si>
  <si>
    <t>Y260601-000638</t>
  </si>
  <si>
    <t>인천99사1588</t>
  </si>
  <si>
    <t>김정길</t>
  </si>
  <si>
    <t>01093713269</t>
  </si>
  <si>
    <t>FYOU1588</t>
  </si>
  <si>
    <t>2026-06-01 11:25:19</t>
  </si>
  <si>
    <t>2026-05-31 09:53:00</t>
  </si>
  <si>
    <t>01)11:23</t>
  </si>
  <si>
    <t>36</t>
  </si>
  <si>
    <t>W260601-00000242</t>
  </si>
  <si>
    <t>Y260601-000639</t>
  </si>
  <si>
    <t>2026-06-01 12:42:42</t>
  </si>
  <si>
    <t>2026-05-31 13:05:00</t>
  </si>
  <si>
    <t>35</t>
  </si>
  <si>
    <t>W260601-00000241</t>
  </si>
  <si>
    <t>Y260601-000640</t>
  </si>
  <si>
    <t>GLC00055</t>
  </si>
  <si>
    <t>의왕ICD [GA]아산 1포장장 (공성실업) 부산신항</t>
  </si>
  <si>
    <t>2026-06-01 12:44:23</t>
  </si>
  <si>
    <t>SLLGC</t>
  </si>
  <si>
    <t>2026-06-01 09:16:00</t>
  </si>
  <si>
    <t>01)11:37</t>
  </si>
  <si>
    <t>34</t>
  </si>
  <si>
    <t>W260601-00000240</t>
  </si>
  <si>
    <t>Y260601-000641</t>
  </si>
  <si>
    <t>부산99사7873</t>
  </si>
  <si>
    <t>김상용</t>
  </si>
  <si>
    <t>01035647476</t>
  </si>
  <si>
    <t>CALO7873</t>
  </si>
  <si>
    <t>2026-06-01 13:43:34</t>
  </si>
  <si>
    <t>01)13:42</t>
  </si>
  <si>
    <t>01)13:41</t>
  </si>
  <si>
    <t>33</t>
  </si>
  <si>
    <t>W260601-00000239</t>
  </si>
  <si>
    <t>Y260601-000642</t>
  </si>
  <si>
    <t>경기98아6865</t>
  </si>
  <si>
    <t>전중규</t>
  </si>
  <si>
    <t>01033302200</t>
  </si>
  <si>
    <t>BORA6865</t>
  </si>
  <si>
    <t>2026-06-01 12:43:59</t>
  </si>
  <si>
    <t>HANTC</t>
  </si>
  <si>
    <t>01)12:41</t>
  </si>
  <si>
    <t>32</t>
  </si>
  <si>
    <t>W260601-00000238</t>
  </si>
  <si>
    <t>Y260601-000643</t>
  </si>
  <si>
    <t>경북98사6535</t>
  </si>
  <si>
    <t>조득연</t>
  </si>
  <si>
    <t>01049171155</t>
  </si>
  <si>
    <t>BORA6535</t>
  </si>
  <si>
    <t>2026-06-01 12:43:34</t>
  </si>
  <si>
    <t>31</t>
  </si>
  <si>
    <t>W260601-00000237</t>
  </si>
  <si>
    <t>Y260601-000644</t>
  </si>
  <si>
    <t>2026-06-01 12:38:25</t>
  </si>
  <si>
    <t>01)12:36</t>
  </si>
  <si>
    <t>30</t>
  </si>
  <si>
    <t>W260601-00000236</t>
  </si>
  <si>
    <t>Y260601-000645</t>
  </si>
  <si>
    <t>경기98자1806</t>
  </si>
  <si>
    <t>김용희</t>
  </si>
  <si>
    <t>01028865439</t>
  </si>
  <si>
    <t>ACEM1806</t>
  </si>
  <si>
    <t>2026-06-01 13:58:02</t>
  </si>
  <si>
    <t>01)13:57</t>
  </si>
  <si>
    <t>29</t>
  </si>
  <si>
    <t>W260601-00000235</t>
  </si>
  <si>
    <t>Y260601-000646</t>
  </si>
  <si>
    <t>2026-06-01 11:31:21</t>
  </si>
  <si>
    <t>28</t>
  </si>
  <si>
    <t>W260601-00000234</t>
  </si>
  <si>
    <t>Y260601-000647</t>
  </si>
  <si>
    <t>2026-06-01 11:31:02</t>
  </si>
  <si>
    <t>01)11:29</t>
  </si>
  <si>
    <t>27</t>
  </si>
  <si>
    <t>W260601-00000233</t>
  </si>
  <si>
    <t>Y260601-000648</t>
  </si>
  <si>
    <t>부산98사2791</t>
  </si>
  <si>
    <t>이경국</t>
  </si>
  <si>
    <t>01040542056</t>
  </si>
  <si>
    <t>SBSB2791</t>
  </si>
  <si>
    <t>2026-06-01 12:42:25</t>
  </si>
  <si>
    <t>2026-05-28 22:52:00</t>
  </si>
  <si>
    <t>01)11:38</t>
  </si>
  <si>
    <t>26</t>
  </si>
  <si>
    <t>W260601-00000232</t>
  </si>
  <si>
    <t>Y260601-000649</t>
  </si>
  <si>
    <t>2026-06-01 11:29:52</t>
  </si>
  <si>
    <t>2026-05-30 20:28:00</t>
  </si>
  <si>
    <t>25</t>
  </si>
  <si>
    <t>W260601-00000231</t>
  </si>
  <si>
    <t>Y260601-000650</t>
  </si>
  <si>
    <t>부산99바9041</t>
  </si>
  <si>
    <t>김태형</t>
  </si>
  <si>
    <t>01040490076</t>
  </si>
  <si>
    <t>ABCD9041</t>
  </si>
  <si>
    <t>2026-06-01 12:51:56</t>
  </si>
  <si>
    <t>2026-05-30 17:49:00</t>
  </si>
  <si>
    <t>01)11:35</t>
  </si>
  <si>
    <t>24</t>
  </si>
  <si>
    <t>W260601-00000230</t>
  </si>
  <si>
    <t>Y260601-000651</t>
  </si>
  <si>
    <t>충남99사6954</t>
  </si>
  <si>
    <t>제갈명종</t>
  </si>
  <si>
    <t>01063852321</t>
  </si>
  <si>
    <t>LJLJ6954</t>
  </si>
  <si>
    <t>GLC00020</t>
  </si>
  <si>
    <t>광양항 [GC]아산 3포장장 (아산YSP) 광양항</t>
  </si>
  <si>
    <t>2026-06-01 12:27:46</t>
  </si>
  <si>
    <t>01)11:39</t>
  </si>
  <si>
    <t>23</t>
  </si>
  <si>
    <t>W260601-00000226</t>
  </si>
  <si>
    <t>Y260601-000655</t>
  </si>
  <si>
    <t>2026-06-01 11:34:30</t>
  </si>
  <si>
    <t>2026-06-01 11:15:00</t>
  </si>
  <si>
    <t>22</t>
  </si>
  <si>
    <t>W260601-00000225</t>
  </si>
  <si>
    <t>Y260601-000656</t>
  </si>
  <si>
    <t>인천98바4392</t>
  </si>
  <si>
    <t>최주희</t>
  </si>
  <si>
    <t>01033994920</t>
  </si>
  <si>
    <t>HJJH4392</t>
  </si>
  <si>
    <t>2026-06-01 14:11:35</t>
  </si>
  <si>
    <t>HJTML</t>
  </si>
  <si>
    <t>2026-06-01 15:59:00</t>
  </si>
  <si>
    <t>01)14:10</t>
  </si>
  <si>
    <t>21</t>
  </si>
  <si>
    <t>W260601-00000224</t>
  </si>
  <si>
    <t>Y260601-000657</t>
  </si>
  <si>
    <t>대전99바3037</t>
  </si>
  <si>
    <t>엄재갑</t>
  </si>
  <si>
    <t>01094725603</t>
  </si>
  <si>
    <t>KWON3037</t>
  </si>
  <si>
    <t>2026-06-01 14:11:17</t>
  </si>
  <si>
    <t>20</t>
  </si>
  <si>
    <t>W260601-00000223</t>
  </si>
  <si>
    <t>Y260601-000658</t>
  </si>
  <si>
    <t>부산98사2792</t>
  </si>
  <si>
    <t>이철희</t>
  </si>
  <si>
    <t>01021963902</t>
  </si>
  <si>
    <t>SBSB2792</t>
  </si>
  <si>
    <t>2026-06-01 12:41:55</t>
  </si>
  <si>
    <t>2026-06-01 10:55:00</t>
  </si>
  <si>
    <t>19</t>
  </si>
  <si>
    <t>W260601-00000222</t>
  </si>
  <si>
    <t>Y260601-000659</t>
  </si>
  <si>
    <t>부산99사8355</t>
  </si>
  <si>
    <t>김헌규</t>
  </si>
  <si>
    <t>01035823039</t>
  </si>
  <si>
    <t>ABCD8355</t>
  </si>
  <si>
    <t>2026-06-01 13:51:57</t>
  </si>
  <si>
    <t>2026-06-01 13:02:00</t>
  </si>
  <si>
    <t>01)12:46</t>
  </si>
  <si>
    <t>18</t>
  </si>
  <si>
    <t>W260601-00000221</t>
  </si>
  <si>
    <t>Y260601-000660</t>
  </si>
  <si>
    <t>울산99바2095</t>
  </si>
  <si>
    <t>전명식</t>
  </si>
  <si>
    <t>01038632908</t>
  </si>
  <si>
    <t>AAAA2095</t>
  </si>
  <si>
    <t>2026-06-01 12:59:39</t>
  </si>
  <si>
    <t>2026-06-01 11:13:00</t>
  </si>
  <si>
    <t>17</t>
  </si>
  <si>
    <t>W260601-00000220</t>
  </si>
  <si>
    <t>Y260601-000661</t>
  </si>
  <si>
    <t>부산99사9215</t>
  </si>
  <si>
    <t>이창신</t>
  </si>
  <si>
    <t>01028299215</t>
  </si>
  <si>
    <t>HIHI9215</t>
  </si>
  <si>
    <t>2026-06-01 12:59:57</t>
  </si>
  <si>
    <t>2026-06-01 11:29:00</t>
  </si>
  <si>
    <t>16</t>
  </si>
  <si>
    <t>W260601-00000219</t>
  </si>
  <si>
    <t>Y260601-000662</t>
  </si>
  <si>
    <t>2026-06-01 12:59:23</t>
  </si>
  <si>
    <t>2026-06-01 10:33:00</t>
  </si>
  <si>
    <t>15</t>
  </si>
  <si>
    <t>W260601-00000218</t>
  </si>
  <si>
    <t>Y260601-000663</t>
  </si>
  <si>
    <t>2026-06-01 11:35:53</t>
  </si>
  <si>
    <t>2026-06-01 11:19:00</t>
  </si>
  <si>
    <t>14</t>
  </si>
  <si>
    <t>W260601-00000217</t>
  </si>
  <si>
    <t>Y260601-000664</t>
  </si>
  <si>
    <t>2026-06-01 14:03:09</t>
  </si>
  <si>
    <t>2026-06-01 10:25:00</t>
  </si>
  <si>
    <t>01)14:02</t>
  </si>
  <si>
    <t>13</t>
  </si>
  <si>
    <t>W260601-00000215</t>
  </si>
  <si>
    <t>Y260601-000666</t>
  </si>
  <si>
    <t>경북98사2408</t>
  </si>
  <si>
    <t>김현민</t>
  </si>
  <si>
    <t>01042926363</t>
  </si>
  <si>
    <t>KDBE2408</t>
  </si>
  <si>
    <t>2026-06-01 12:51:31</t>
  </si>
  <si>
    <t>12</t>
  </si>
  <si>
    <t>W260601-00000214</t>
  </si>
  <si>
    <t>Y260601-000667</t>
  </si>
  <si>
    <t>2026-06-01 11:36:01</t>
  </si>
  <si>
    <t>2026-06-01 12:05:40</t>
  </si>
  <si>
    <t>11</t>
  </si>
  <si>
    <t>W260601-00000213</t>
  </si>
  <si>
    <t>Y260601-000668</t>
  </si>
  <si>
    <t>경기98바6477</t>
  </si>
  <si>
    <t>김홍식</t>
  </si>
  <si>
    <t>01052760615</t>
  </si>
  <si>
    <t>GSTU6477</t>
  </si>
  <si>
    <t>2026-06-01 12:36:17</t>
  </si>
  <si>
    <t>B015&amp;천우</t>
  </si>
  <si>
    <t>01)12:34</t>
  </si>
  <si>
    <t>10</t>
  </si>
  <si>
    <t>W260601-00000212</t>
  </si>
  <si>
    <t>Y260601-000669</t>
  </si>
  <si>
    <t>경기99사1327</t>
  </si>
  <si>
    <t>송수근</t>
  </si>
  <si>
    <t>01052249699</t>
  </si>
  <si>
    <t>DWOO1327</t>
  </si>
  <si>
    <t>GLC00012</t>
  </si>
  <si>
    <t>인천항국제여객터미널 [GA]아산 1포장장 (공성실업) 인천항국제여객터미널</t>
  </si>
  <si>
    <t>2026-06-01 12:27:33</t>
  </si>
  <si>
    <t>9</t>
  </si>
  <si>
    <t>W260601-00000211</t>
  </si>
  <si>
    <t>Y260601-000670</t>
  </si>
  <si>
    <t>서울98사8216</t>
  </si>
  <si>
    <t>강천식</t>
  </si>
  <si>
    <t>01094347116</t>
  </si>
  <si>
    <t>GWON8216</t>
  </si>
  <si>
    <t>2026-06-01 12:26:39</t>
  </si>
  <si>
    <t>8</t>
  </si>
  <si>
    <t>W260601-00000210</t>
  </si>
  <si>
    <t>Y260601-000671</t>
  </si>
  <si>
    <t>경기99바6044</t>
  </si>
  <si>
    <t>최종홍</t>
  </si>
  <si>
    <t>01076971001</t>
  </si>
  <si>
    <t>DTCT6044</t>
  </si>
  <si>
    <t>2026-06-01 12:26:27</t>
  </si>
  <si>
    <t>7</t>
  </si>
  <si>
    <t>W260601-00000209</t>
  </si>
  <si>
    <t>Y260601-000672</t>
  </si>
  <si>
    <t>경기99바9391</t>
  </si>
  <si>
    <t>황정임</t>
  </si>
  <si>
    <t>01085958092</t>
  </si>
  <si>
    <t>HRTR9391</t>
  </si>
  <si>
    <t>2026-06-01 12:26:16</t>
  </si>
  <si>
    <t>6</t>
  </si>
  <si>
    <t>W260601-00000208</t>
  </si>
  <si>
    <t>Y260601-000673</t>
  </si>
  <si>
    <t>인천98바6343</t>
  </si>
  <si>
    <t>엄민웅</t>
  </si>
  <si>
    <t>01053867042</t>
  </si>
  <si>
    <t>FOFO6343</t>
  </si>
  <si>
    <t>2026-06-01 12:26:01</t>
  </si>
  <si>
    <t>5</t>
  </si>
  <si>
    <t>W260601-00000207</t>
  </si>
  <si>
    <t>Y260601-000674</t>
  </si>
  <si>
    <t>2026-06-01 12:25:43</t>
  </si>
  <si>
    <t>4</t>
  </si>
  <si>
    <t>W260601-00000206</t>
  </si>
  <si>
    <t>Y260601-000675</t>
  </si>
  <si>
    <t>2026-06-01 12:42:49</t>
  </si>
  <si>
    <t>01)11:40</t>
  </si>
  <si>
    <t>W260601-00000205</t>
  </si>
  <si>
    <t>Y260601-000676</t>
  </si>
  <si>
    <t>2026-06-01 13:06:25</t>
  </si>
  <si>
    <t>01)12:38</t>
  </si>
  <si>
    <t>W260601-00000176</t>
  </si>
  <si>
    <t>X260601-000595</t>
  </si>
  <si>
    <t>Y260601-000595</t>
  </si>
  <si>
    <t>D776F5028</t>
  </si>
  <si>
    <t>CNNGB</t>
  </si>
  <si>
    <t>PKPQM</t>
  </si>
  <si>
    <t>아산 서영 2공장</t>
  </si>
  <si>
    <t>CAAU8493643</t>
  </si>
  <si>
    <t>KR0901048</t>
  </si>
  <si>
    <t>전남98사2362</t>
  </si>
  <si>
    <t>주정열</t>
  </si>
  <si>
    <t>01086259101</t>
  </si>
  <si>
    <t>DAON2362</t>
  </si>
  <si>
    <t>2026-06-01 11:20:52</t>
  </si>
  <si>
    <t>S103_K01</t>
  </si>
  <si>
    <t>01)11:05</t>
  </si>
  <si>
    <t>01)11:18</t>
  </si>
  <si>
    <t>X260601-000594</t>
  </si>
  <si>
    <t>Y260601-000594</t>
  </si>
  <si>
    <t>MRSU3042881</t>
  </si>
  <si>
    <t>KR0901067</t>
  </si>
  <si>
    <t>대전99바7479</t>
  </si>
  <si>
    <t>이용일</t>
  </si>
  <si>
    <t>01066113564</t>
  </si>
  <si>
    <t>MMSS7479</t>
  </si>
  <si>
    <t>2026-06-01 11:20:40</t>
  </si>
  <si>
    <t>01)11:17</t>
  </si>
  <si>
    <t>W260602-00000421</t>
    <phoneticPr fontId="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</si>
</sst>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0_ "/>
    <numFmt numFmtId="177" formatCode="mm&quot;월&quot;\ dd&quot;일&quot;"/>
    <numFmt numFmtId="178" formatCode="0_);\(0\)"/>
    <numFmt numFmtId="179" formatCode="h:mm;@"/>
    <numFmt numFmtId="180" formatCode="[$-412]yyyy\-mm\-dd"/>
    <numFmt numFmtId="181" formatCode="[$-412]yyyy\-mm\-dd\ ddd"/>
    <numFmt numFmtId="182" formatCode="#,###,###,###,##0"/>
  </numFmts>
  <fonts count="63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Arial"/>
      <family val="2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21212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8"/>
      <name val="Arial"/>
      <family val="2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0"/>
      <color rgb="FFFF0000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3"/>
    </font>
    <font>
      <sz val="10"/>
      <color rgb="FFFF0000"/>
      <name val="맑은 고딕"/>
      <family val="3"/>
    </font>
    <font>
      <sz val="10"/>
      <name val="맑은 고딕"/>
      <family val="3"/>
      <charset val="129"/>
    </font>
    <font>
      <sz val="11"/>
      <color rgb="FF000000"/>
      <name val="맑은 고딕"/>
      <family val="3"/>
    </font>
    <font>
      <sz val="10"/>
      <color rgb="FF333333"/>
      <name val="맑은 고딕"/>
      <family val="3"/>
    </font>
    <font>
      <sz val="9"/>
      <name val="harmony"/>
      <family val="3"/>
      <charset val="129"/>
    </font>
    <font>
      <sz val="7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Segoe UI"/>
      <family val="2"/>
    </font>
    <font>
      <sz val="10"/>
      <name val="Arial"/>
      <family val="2"/>
    </font>
    <font>
      <sz val="8"/>
      <name val="돋움"/>
      <family val="3"/>
      <charset val="129"/>
    </font>
    <font>
      <b/>
      <sz val="9"/>
      <color rgb="FFFF0000"/>
      <name val="harmony"/>
      <family val="3"/>
      <charset val="129"/>
    </font>
    <font>
      <b/>
      <sz val="8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10"/>
      <name val="맑은 고딕"/>
      <family val="2"/>
      <charset val="129"/>
    </font>
    <font>
      <sz val="10"/>
      <name val="Arial"/>
      <family val="3"/>
      <charset val="129"/>
    </font>
    <font>
      <sz val="10"/>
      <color theme="3" tint="0.499984740745262"/>
      <name val="Arial"/>
      <family val="2"/>
    </font>
    <font>
      <sz val="10"/>
      <color rgb="FFFF0000"/>
      <name val="Arial"/>
      <family val="2"/>
    </font>
    <font>
      <sz val="10"/>
      <color theme="9"/>
      <name val="Arial"/>
      <family val="2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trike/>
      <sz val="12"/>
      <color theme="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color rgb="FF000000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</fonts>
  <fills count="2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C2CBD4"/>
      </right>
      <top style="thin">
        <color rgb="FFC2CBD4"/>
      </top>
      <bottom style="thin">
        <color rgb="FFC2CBD4"/>
      </bottom>
      <diagonal/>
    </border>
    <border>
      <left/>
      <right style="thin">
        <color rgb="FFC2CBD4"/>
      </right>
      <top/>
      <bottom style="thin">
        <color rgb="FFC2CBD4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 style="medium">
        <color indexed="64"/>
      </right>
      <top/>
      <bottom/>
      <diagonal/>
    </border>
    <border>
      <left style="thin">
        <color rgb="FFC2CBD4"/>
      </left>
      <right style="thin">
        <color rgb="FFC2CBD4"/>
      </right>
      <top style="thin">
        <color rgb="FFC2CBD4"/>
      </top>
      <bottom style="thin">
        <color rgb="FFC2CBD4"/>
      </bottom>
      <diagonal/>
    </border>
    <border>
      <left style="thin">
        <color rgb="FFC2CBD4"/>
      </left>
      <right style="thin">
        <color rgb="FFC2CBD4"/>
      </right>
      <top/>
      <bottom style="thin">
        <color rgb="FFC2CBD4"/>
      </bottom>
      <diagonal/>
    </border>
    <border>
      <left/>
      <right style="thin">
        <color rgb="FFC2CBD4"/>
      </right>
      <top/>
      <bottom/>
      <diagonal/>
    </border>
    <border>
      <left style="thin">
        <color rgb="FFADC0ED"/>
      </left>
      <right style="thin">
        <color rgb="FFADC0ED"/>
      </right>
      <top style="thin">
        <color rgb="FFADC0ED"/>
      </top>
      <bottom style="thin">
        <color rgb="FFADC0ED"/>
      </bottom>
      <diagonal/>
    </border>
  </borders>
  <cellStyleXfs count="25">
    <xf numFmtId="0" fontId="0" fillId="0" borderId="0">
      <alignment vertical="center"/>
    </xf>
    <xf numFmtId="0" fontId="20" fillId="0" borderId="0"/>
    <xf numFmtId="0" fontId="19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31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2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1" fillId="0" borderId="0" xfId="0" applyFont="1">
      <alignment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18" fontId="21" fillId="0" borderId="0" xfId="0" applyNumberFormat="1" applyFont="1">
      <alignment vertical="center"/>
    </xf>
    <xf numFmtId="0" fontId="0" fillId="0" borderId="1" xfId="0" applyBorder="1">
      <alignment vertical="center"/>
    </xf>
    <xf numFmtId="0" fontId="21" fillId="3" borderId="4" xfId="0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center" vertical="center"/>
    </xf>
    <xf numFmtId="176" fontId="21" fillId="0" borderId="0" xfId="0" applyNumberFormat="1" applyFont="1" applyAlignment="1">
      <alignment horizontal="center" vertical="center"/>
    </xf>
    <xf numFmtId="0" fontId="21" fillId="7" borderId="1" xfId="3" applyFont="1" applyFill="1" applyBorder="1" applyAlignment="1">
      <alignment horizontal="center" vertical="center"/>
    </xf>
    <xf numFmtId="177" fontId="21" fillId="0" borderId="0" xfId="0" applyNumberFormat="1" applyFont="1" applyAlignment="1">
      <alignment horizontal="center" vertical="center"/>
    </xf>
    <xf numFmtId="178" fontId="21" fillId="0" borderId="0" xfId="0" applyNumberFormat="1" applyFont="1" applyAlignment="1">
      <alignment horizontal="center" vertical="center"/>
    </xf>
    <xf numFmtId="0" fontId="0" fillId="0" borderId="1" xfId="0" applyBorder="1" applyAlignment="1">
      <alignment vertical="center" wrapText="1"/>
    </xf>
    <xf numFmtId="179" fontId="21" fillId="0" borderId="0" xfId="0" applyNumberFormat="1" applyFont="1" applyAlignment="1">
      <alignment horizontal="center" vertical="center"/>
    </xf>
    <xf numFmtId="0" fontId="22" fillId="3" borderId="3" xfId="0" applyFont="1" applyFill="1" applyBorder="1" applyAlignment="1">
      <alignment horizontal="center" vertical="center" wrapText="1"/>
    </xf>
    <xf numFmtId="0" fontId="22" fillId="3" borderId="4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 readingOrder="1"/>
    </xf>
    <xf numFmtId="0" fontId="21" fillId="11" borderId="3" xfId="0" applyFont="1" applyFill="1" applyBorder="1" applyAlignment="1">
      <alignment horizontal="center" vertical="center"/>
    </xf>
    <xf numFmtId="0" fontId="21" fillId="11" borderId="4" xfId="0" applyFont="1" applyFill="1" applyBorder="1" applyAlignment="1">
      <alignment horizontal="center" vertical="center"/>
    </xf>
    <xf numFmtId="178" fontId="21" fillId="11" borderId="4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9" borderId="1" xfId="0" applyFill="1" applyBorder="1">
      <alignment vertical="center"/>
    </xf>
    <xf numFmtId="0" fontId="0" fillId="0" borderId="5" xfId="0" applyBorder="1" applyAlignment="1">
      <alignment horizontal="left" vertical="center"/>
    </xf>
    <xf numFmtId="0" fontId="34" fillId="14" borderId="10" xfId="0" applyFont="1" applyFill="1" applyBorder="1">
      <alignment vertical="center"/>
    </xf>
    <xf numFmtId="0" fontId="21" fillId="6" borderId="1" xfId="3" applyFont="1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21" fillId="7" borderId="1" xfId="3" applyFont="1" applyFill="1" applyBorder="1" applyAlignment="1">
      <alignment horizontal="left" vertical="center"/>
    </xf>
    <xf numFmtId="0" fontId="21" fillId="0" borderId="1" xfId="3" applyFont="1" applyBorder="1" applyAlignment="1">
      <alignment horizontal="left" vertical="center"/>
    </xf>
    <xf numFmtId="0" fontId="21" fillId="0" borderId="5" xfId="3" applyFont="1" applyBorder="1" applyAlignment="1">
      <alignment horizontal="left" vertical="center"/>
    </xf>
    <xf numFmtId="0" fontId="21" fillId="7" borderId="1" xfId="3" applyFont="1" applyFill="1" applyBorder="1" applyAlignment="1">
      <alignment horizontal="left" vertical="center" wrapText="1"/>
    </xf>
    <xf numFmtId="0" fontId="35" fillId="14" borderId="10" xfId="0" applyFont="1" applyFill="1" applyBorder="1">
      <alignment vertical="center"/>
    </xf>
    <xf numFmtId="0" fontId="36" fillId="14" borderId="10" xfId="0" applyFont="1" applyFill="1" applyBorder="1">
      <alignment vertical="center"/>
    </xf>
    <xf numFmtId="0" fontId="34" fillId="14" borderId="11" xfId="0" applyFont="1" applyFill="1" applyBorder="1">
      <alignment vertical="center"/>
    </xf>
    <xf numFmtId="0" fontId="37" fillId="14" borderId="11" xfId="0" applyFont="1" applyFill="1" applyBorder="1">
      <alignment vertical="center"/>
    </xf>
    <xf numFmtId="0" fontId="35" fillId="14" borderId="12" xfId="0" applyFont="1" applyFill="1" applyBorder="1">
      <alignment vertical="center"/>
    </xf>
    <xf numFmtId="0" fontId="35" fillId="14" borderId="13" xfId="0" applyFont="1" applyFill="1" applyBorder="1">
      <alignment vertical="center"/>
    </xf>
    <xf numFmtId="0" fontId="35" fillId="14" borderId="14" xfId="0" applyFont="1" applyFill="1" applyBorder="1">
      <alignment vertical="center"/>
    </xf>
    <xf numFmtId="0" fontId="35" fillId="14" borderId="15" xfId="0" applyFont="1" applyFill="1" applyBorder="1">
      <alignment vertical="center"/>
    </xf>
    <xf numFmtId="0" fontId="38" fillId="14" borderId="14" xfId="0" applyFont="1" applyFill="1" applyBorder="1">
      <alignment vertical="center"/>
    </xf>
    <xf numFmtId="0" fontId="39" fillId="14" borderId="10" xfId="0" applyFont="1" applyFill="1" applyBorder="1">
      <alignment vertical="center"/>
    </xf>
    <xf numFmtId="0" fontId="39" fillId="14" borderId="13" xfId="0" applyFont="1" applyFill="1" applyBorder="1">
      <alignment vertical="center"/>
    </xf>
    <xf numFmtId="0" fontId="35" fillId="14" borderId="11" xfId="0" applyFont="1" applyFill="1" applyBorder="1">
      <alignment vertical="center"/>
    </xf>
    <xf numFmtId="0" fontId="21" fillId="6" borderId="1" xfId="3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1" fillId="0" borderId="1" xfId="0" applyFont="1" applyBorder="1">
      <alignment vertical="center"/>
    </xf>
    <xf numFmtId="0" fontId="21" fillId="10" borderId="1" xfId="3" applyFont="1" applyFill="1" applyBorder="1" applyAlignment="1">
      <alignment horizontal="center" vertical="center"/>
    </xf>
    <xf numFmtId="0" fontId="21" fillId="6" borderId="0" xfId="0" applyFont="1" applyFill="1" applyAlignment="1">
      <alignment horizontal="center" vertical="center"/>
    </xf>
    <xf numFmtId="0" fontId="19" fillId="6" borderId="1" xfId="0" applyFont="1" applyFill="1" applyBorder="1">
      <alignment vertical="center"/>
    </xf>
    <xf numFmtId="0" fontId="19" fillId="0" borderId="1" xfId="0" applyFont="1" applyBorder="1">
      <alignment vertical="center"/>
    </xf>
    <xf numFmtId="0" fontId="19" fillId="0" borderId="5" xfId="0" applyFont="1" applyBorder="1">
      <alignment vertical="center"/>
    </xf>
    <xf numFmtId="0" fontId="19" fillId="0" borderId="10" xfId="0" applyFont="1" applyBorder="1">
      <alignment vertical="center"/>
    </xf>
    <xf numFmtId="0" fontId="19" fillId="0" borderId="1" xfId="0" applyFont="1" applyBorder="1" applyAlignment="1">
      <alignment vertical="top"/>
    </xf>
    <xf numFmtId="0" fontId="22" fillId="0" borderId="0" xfId="0" applyFont="1" applyAlignment="1">
      <alignment horizontal="left" vertical="center"/>
    </xf>
    <xf numFmtId="0" fontId="21" fillId="5" borderId="1" xfId="0" applyFont="1" applyFill="1" applyBorder="1" applyAlignment="1">
      <alignment horizontal="left" vertical="center"/>
    </xf>
    <xf numFmtId="0" fontId="21" fillId="0" borderId="1" xfId="0" quotePrefix="1" applyFont="1" applyBorder="1" applyAlignment="1">
      <alignment horizontal="left" vertical="center"/>
    </xf>
    <xf numFmtId="0" fontId="21" fillId="2" borderId="1" xfId="0" applyFont="1" applyFill="1" applyBorder="1" applyAlignment="1">
      <alignment horizontal="left" vertical="center"/>
    </xf>
    <xf numFmtId="0" fontId="21" fillId="6" borderId="1" xfId="0" applyFont="1" applyFill="1" applyBorder="1" applyAlignment="1">
      <alignment horizontal="left" vertical="top"/>
    </xf>
    <xf numFmtId="0" fontId="21" fillId="0" borderId="7" xfId="0" applyFont="1" applyBorder="1" applyAlignment="1">
      <alignment horizontal="left" vertical="top"/>
    </xf>
    <xf numFmtId="0" fontId="21" fillId="0" borderId="1" xfId="0" applyFont="1" applyBorder="1" applyAlignment="1">
      <alignment horizontal="left" vertical="top"/>
    </xf>
    <xf numFmtId="0" fontId="21" fillId="0" borderId="7" xfId="0" applyFont="1" applyBorder="1" applyAlignment="1">
      <alignment horizontal="left" vertical="center"/>
    </xf>
    <xf numFmtId="0" fontId="21" fillId="0" borderId="1" xfId="0" applyFont="1" applyBorder="1" applyAlignment="1">
      <alignment horizontal="left" vertical="top" wrapText="1"/>
    </xf>
    <xf numFmtId="0" fontId="26" fillId="12" borderId="1" xfId="0" applyFont="1" applyFill="1" applyBorder="1" applyAlignment="1">
      <alignment horizontal="center" vertical="center"/>
    </xf>
    <xf numFmtId="0" fontId="21" fillId="0" borderId="1" xfId="3" applyFont="1" applyBorder="1">
      <alignment vertical="center"/>
    </xf>
    <xf numFmtId="0" fontId="21" fillId="7" borderId="1" xfId="3" applyFont="1" applyFill="1" applyBorder="1">
      <alignment vertical="center"/>
    </xf>
    <xf numFmtId="49" fontId="40" fillId="0" borderId="20" xfId="0" applyNumberFormat="1" applyFont="1" applyBorder="1" applyAlignment="1">
      <alignment horizontal="center" vertical="center" wrapText="1"/>
    </xf>
    <xf numFmtId="0" fontId="0" fillId="0" borderId="20" xfId="0" applyBorder="1">
      <alignment vertical="center"/>
    </xf>
    <xf numFmtId="49" fontId="40" fillId="0" borderId="0" xfId="0" applyNumberFormat="1" applyFont="1" applyAlignment="1">
      <alignment horizontal="center" vertical="center" wrapText="1"/>
    </xf>
    <xf numFmtId="14" fontId="21" fillId="0" borderId="0" xfId="0" applyNumberFormat="1" applyFont="1">
      <alignment vertical="center"/>
    </xf>
    <xf numFmtId="0" fontId="0" fillId="6" borderId="1" xfId="0" applyFill="1" applyBorder="1">
      <alignment vertical="center"/>
    </xf>
    <xf numFmtId="0" fontId="0" fillId="0" borderId="10" xfId="0" applyBorder="1">
      <alignment vertical="center"/>
    </xf>
    <xf numFmtId="0" fontId="0" fillId="0" borderId="0" xfId="0" applyAlignment="1">
      <alignment vertical="center" wrapText="1"/>
    </xf>
    <xf numFmtId="0" fontId="41" fillId="0" borderId="1" xfId="0" applyFont="1" applyBorder="1" applyAlignment="1">
      <alignment vertical="center" wrapText="1"/>
    </xf>
    <xf numFmtId="0" fontId="21" fillId="0" borderId="0" xfId="0" applyFont="1" applyAlignment="1">
      <alignment vertical="center" wrapText="1"/>
    </xf>
    <xf numFmtId="49" fontId="27" fillId="7" borderId="23" xfId="0" applyNumberFormat="1" applyFont="1" applyFill="1" applyBorder="1" applyAlignment="1">
      <alignment horizontal="center" vertical="center"/>
    </xf>
    <xf numFmtId="0" fontId="0" fillId="7" borderId="0" xfId="0" applyFill="1">
      <alignment vertical="center"/>
    </xf>
    <xf numFmtId="0" fontId="21" fillId="15" borderId="1" xfId="0" applyFont="1" applyFill="1" applyBorder="1" applyAlignment="1">
      <alignment horizontal="left" vertical="top" wrapText="1"/>
    </xf>
    <xf numFmtId="0" fontId="43" fillId="16" borderId="24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0" fontId="44" fillId="0" borderId="1" xfId="0" applyFont="1" applyBorder="1" applyAlignment="1">
      <alignment vertical="top"/>
    </xf>
    <xf numFmtId="0" fontId="37" fillId="0" borderId="1" xfId="0" applyFont="1" applyBorder="1" applyAlignment="1">
      <alignment vertical="top"/>
    </xf>
    <xf numFmtId="0" fontId="21" fillId="10" borderId="1" xfId="3" applyFont="1" applyFill="1" applyBorder="1" applyAlignment="1">
      <alignment horizontal="center" vertical="center" wrapText="1"/>
    </xf>
    <xf numFmtId="49" fontId="40" fillId="3" borderId="19" xfId="0" applyNumberFormat="1" applyFont="1" applyFill="1" applyBorder="1" applyAlignment="1">
      <alignment horizontal="center" vertical="center" wrapText="1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vertical="center" wrapText="1"/>
    </xf>
    <xf numFmtId="0" fontId="21" fillId="0" borderId="0" xfId="0" applyFont="1" applyAlignment="1">
      <alignment horizontal="center" vertical="center" wrapText="1"/>
    </xf>
    <xf numFmtId="0" fontId="0" fillId="0" borderId="2" xfId="0" applyBorder="1">
      <alignment vertical="center"/>
    </xf>
    <xf numFmtId="0" fontId="21" fillId="11" borderId="0" xfId="0" applyFont="1" applyFill="1" applyAlignment="1">
      <alignment horizontal="center" vertical="center" wrapText="1"/>
    </xf>
    <xf numFmtId="0" fontId="21" fillId="0" borderId="25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178" fontId="21" fillId="11" borderId="0" xfId="0" applyNumberFormat="1" applyFont="1" applyFill="1" applyAlignment="1">
      <alignment horizontal="center" vertical="center" wrapText="1"/>
    </xf>
    <xf numFmtId="0" fontId="24" fillId="3" borderId="1" xfId="3" applyFont="1" applyFill="1" applyBorder="1" applyAlignment="1">
      <alignment horizontal="left" vertical="center"/>
    </xf>
    <xf numFmtId="14" fontId="21" fillId="11" borderId="0" xfId="0" applyNumberFormat="1" applyFont="1" applyFill="1" applyAlignment="1">
      <alignment horizontal="center" vertical="center" wrapText="1"/>
    </xf>
    <xf numFmtId="14" fontId="21" fillId="0" borderId="0" xfId="0" applyNumberFormat="1" applyFont="1" applyAlignment="1">
      <alignment horizontal="center" vertical="center"/>
    </xf>
    <xf numFmtId="0" fontId="24" fillId="3" borderId="0" xfId="0" applyFont="1" applyFill="1">
      <alignment vertical="center"/>
    </xf>
    <xf numFmtId="0" fontId="47" fillId="11" borderId="4" xfId="0" applyFont="1" applyFill="1" applyBorder="1" applyAlignment="1">
      <alignment horizontal="center" vertical="center" wrapText="1"/>
    </xf>
    <xf numFmtId="0" fontId="48" fillId="3" borderId="0" xfId="0" applyFont="1" applyFill="1" applyAlignment="1">
      <alignment vertical="center" wrapText="1"/>
    </xf>
    <xf numFmtId="0" fontId="48" fillId="3" borderId="21" xfId="0" applyFont="1" applyFill="1" applyBorder="1" applyAlignment="1">
      <alignment vertical="center" wrapText="1"/>
    </xf>
    <xf numFmtId="0" fontId="21" fillId="7" borderId="1" xfId="3" applyFont="1" applyFill="1" applyBorder="1" applyAlignment="1">
      <alignment horizontal="center" vertical="center" wrapText="1"/>
    </xf>
    <xf numFmtId="0" fontId="21" fillId="3" borderId="0" xfId="0" applyFont="1" applyFill="1">
      <alignment vertical="center"/>
    </xf>
    <xf numFmtId="0" fontId="21" fillId="3" borderId="0" xfId="0" applyFont="1" applyFill="1" applyAlignment="1">
      <alignment vertical="center" wrapText="1"/>
    </xf>
    <xf numFmtId="0" fontId="44" fillId="18" borderId="0" xfId="0" applyFont="1" applyFill="1" applyAlignment="1">
      <alignment horizontal="center" vertical="center"/>
    </xf>
    <xf numFmtId="49" fontId="44" fillId="18" borderId="0" xfId="0" applyNumberFormat="1" applyFont="1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37" fillId="18" borderId="0" xfId="0" applyFont="1" applyFill="1" applyAlignment="1">
      <alignment horizontal="center" vertical="center"/>
    </xf>
    <xf numFmtId="0" fontId="49" fillId="18" borderId="0" xfId="0" applyFon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49" fontId="0" fillId="0" borderId="0" xfId="0" quotePrefix="1" applyNumberFormat="1" applyAlignment="1">
      <alignment horizontal="center" vertical="center"/>
    </xf>
    <xf numFmtId="49" fontId="44" fillId="0" borderId="0" xfId="0" applyNumberFormat="1" applyFont="1" applyAlignment="1">
      <alignment horizontal="center" vertical="center"/>
    </xf>
    <xf numFmtId="49" fontId="0" fillId="13" borderId="0" xfId="0" applyNumberFormat="1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44" fillId="13" borderId="0" xfId="0" applyFont="1" applyFill="1" applyAlignment="1">
      <alignment horizontal="center" vertical="center"/>
    </xf>
    <xf numFmtId="0" fontId="37" fillId="0" borderId="0" xfId="0" applyFont="1" applyAlignment="1">
      <alignment horizontal="center" vertical="center"/>
    </xf>
    <xf numFmtId="49" fontId="44" fillId="3" borderId="0" xfId="0" applyNumberFormat="1" applyFont="1" applyFill="1" applyAlignment="1">
      <alignment horizontal="center" vertical="center"/>
    </xf>
    <xf numFmtId="0" fontId="44" fillId="0" borderId="0" xfId="0" quotePrefix="1" applyFont="1" applyAlignment="1">
      <alignment horizontal="center" vertical="center"/>
    </xf>
    <xf numFmtId="49" fontId="44" fillId="0" borderId="0" xfId="0" quotePrefix="1" applyNumberFormat="1" applyFont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0" fontId="51" fillId="0" borderId="0" xfId="0" applyFont="1" applyAlignment="1">
      <alignment horizontal="center" vertical="center"/>
    </xf>
    <xf numFmtId="49" fontId="0" fillId="8" borderId="0" xfId="0" applyNumberFormat="1" applyFill="1" applyAlignment="1">
      <alignment horizontal="center" vertical="center"/>
    </xf>
    <xf numFmtId="0" fontId="51" fillId="8" borderId="0" xfId="0" applyFont="1" applyFill="1" applyAlignment="1">
      <alignment horizontal="center" vertical="center"/>
    </xf>
    <xf numFmtId="49" fontId="44" fillId="8" borderId="0" xfId="0" applyNumberFormat="1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52" fillId="8" borderId="0" xfId="0" applyFont="1" applyFill="1" applyAlignment="1">
      <alignment horizontal="center" vertical="center"/>
    </xf>
    <xf numFmtId="0" fontId="44" fillId="8" borderId="0" xfId="0" applyFont="1" applyFill="1" applyAlignment="1">
      <alignment horizontal="center" vertical="center"/>
    </xf>
    <xf numFmtId="49" fontId="53" fillId="8" borderId="0" xfId="0" applyNumberFormat="1" applyFont="1" applyFill="1" applyAlignment="1">
      <alignment horizontal="center" vertical="center"/>
    </xf>
    <xf numFmtId="0" fontId="53" fillId="0" borderId="0" xfId="0" applyFont="1" applyAlignment="1">
      <alignment horizontal="center" vertical="center"/>
    </xf>
    <xf numFmtId="49" fontId="49" fillId="3" borderId="0" xfId="0" applyNumberFormat="1" applyFont="1" applyFill="1" applyAlignment="1">
      <alignment horizontal="center" vertical="center"/>
    </xf>
    <xf numFmtId="0" fontId="21" fillId="0" borderId="0" xfId="0" quotePrefix="1" applyFont="1" applyAlignment="1">
      <alignment horizontal="center" vertical="center"/>
    </xf>
    <xf numFmtId="0" fontId="24" fillId="3" borderId="0" xfId="0" applyFont="1" applyFill="1" applyAlignment="1">
      <alignment vertical="center" wrapText="1"/>
    </xf>
    <xf numFmtId="0" fontId="26" fillId="3" borderId="1" xfId="0" applyFont="1" applyFill="1" applyBorder="1" applyAlignment="1">
      <alignment horizontal="center" vertical="center"/>
    </xf>
    <xf numFmtId="0" fontId="54" fillId="6" borderId="5" xfId="3" applyFont="1" applyFill="1" applyBorder="1" applyAlignment="1">
      <alignment horizontal="center" vertical="center"/>
    </xf>
    <xf numFmtId="0" fontId="54" fillId="4" borderId="5" xfId="3" applyFont="1" applyFill="1" applyBorder="1" applyAlignment="1">
      <alignment horizontal="center" vertical="center"/>
    </xf>
    <xf numFmtId="0" fontId="55" fillId="2" borderId="1" xfId="3" applyFont="1" applyFill="1" applyBorder="1" applyAlignment="1">
      <alignment horizontal="center" vertical="center"/>
    </xf>
    <xf numFmtId="0" fontId="56" fillId="2" borderId="1" xfId="3" applyFont="1" applyFill="1" applyBorder="1" applyAlignment="1">
      <alignment horizontal="center" vertical="center"/>
    </xf>
    <xf numFmtId="0" fontId="56" fillId="4" borderId="1" xfId="3" applyFont="1" applyFill="1" applyBorder="1" applyAlignment="1">
      <alignment horizontal="center" vertical="center"/>
    </xf>
    <xf numFmtId="0" fontId="57" fillId="2" borderId="1" xfId="3" applyFont="1" applyFill="1" applyBorder="1" applyAlignment="1">
      <alignment horizontal="center" vertical="center"/>
    </xf>
    <xf numFmtId="0" fontId="55" fillId="3" borderId="1" xfId="3" applyFont="1" applyFill="1" applyBorder="1" applyAlignment="1">
      <alignment horizontal="center" vertical="center"/>
    </xf>
    <xf numFmtId="0" fontId="56" fillId="6" borderId="1" xfId="3" applyFont="1" applyFill="1" applyBorder="1" applyAlignment="1">
      <alignment horizontal="center" vertical="center"/>
    </xf>
    <xf numFmtId="0" fontId="54" fillId="6" borderId="1" xfId="3" applyFont="1" applyFill="1" applyBorder="1" applyAlignment="1">
      <alignment horizontal="center" vertical="center"/>
    </xf>
    <xf numFmtId="0" fontId="58" fillId="2" borderId="1" xfId="3" applyFont="1" applyFill="1" applyBorder="1" applyAlignment="1">
      <alignment horizontal="center" vertical="center"/>
    </xf>
    <xf numFmtId="0" fontId="58" fillId="10" borderId="1" xfId="3" applyFont="1" applyFill="1" applyBorder="1" applyAlignment="1">
      <alignment horizontal="center" vertical="center"/>
    </xf>
    <xf numFmtId="0" fontId="56" fillId="10" borderId="1" xfId="3" applyFont="1" applyFill="1" applyBorder="1" applyAlignment="1">
      <alignment horizontal="center" vertical="center"/>
    </xf>
    <xf numFmtId="0" fontId="55" fillId="10" borderId="1" xfId="3" applyFont="1" applyFill="1" applyBorder="1" applyAlignment="1">
      <alignment horizontal="center" vertical="center"/>
    </xf>
    <xf numFmtId="0" fontId="55" fillId="4" borderId="1" xfId="3" applyFont="1" applyFill="1" applyBorder="1" applyAlignment="1">
      <alignment horizontal="center" vertical="center"/>
    </xf>
    <xf numFmtId="0" fontId="58" fillId="4" borderId="1" xfId="3" applyFont="1" applyFill="1" applyBorder="1" applyAlignment="1">
      <alignment horizontal="center" vertical="center"/>
    </xf>
    <xf numFmtId="0" fontId="59" fillId="10" borderId="1" xfId="3" applyFont="1" applyFill="1" applyBorder="1" applyAlignment="1">
      <alignment horizontal="center" vertical="center"/>
    </xf>
    <xf numFmtId="0" fontId="56" fillId="10" borderId="22" xfId="3" applyFont="1" applyFill="1" applyBorder="1" applyAlignment="1">
      <alignment horizontal="center" vertical="center"/>
    </xf>
    <xf numFmtId="0" fontId="56" fillId="3" borderId="1" xfId="3" applyFont="1" applyFill="1" applyBorder="1" applyAlignment="1">
      <alignment horizontal="center" vertical="center"/>
    </xf>
    <xf numFmtId="0" fontId="60" fillId="10" borderId="1" xfId="3" applyFont="1" applyFill="1" applyBorder="1" applyAlignment="1">
      <alignment horizontal="center" vertical="center"/>
    </xf>
    <xf numFmtId="0" fontId="61" fillId="10" borderId="1" xfId="3" applyFont="1" applyFill="1" applyBorder="1" applyAlignment="1">
      <alignment horizontal="center" vertical="center"/>
    </xf>
    <xf numFmtId="0" fontId="55" fillId="8" borderId="1" xfId="3" applyFont="1" applyFill="1" applyBorder="1" applyAlignment="1">
      <alignment horizontal="center" vertical="center"/>
    </xf>
    <xf numFmtId="0" fontId="56" fillId="8" borderId="1" xfId="3" applyFont="1" applyFill="1" applyBorder="1" applyAlignment="1">
      <alignment horizontal="center" vertical="center"/>
    </xf>
    <xf numFmtId="0" fontId="56" fillId="15" borderId="1" xfId="3" applyFont="1" applyFill="1" applyBorder="1" applyAlignment="1">
      <alignment horizontal="center" vertical="center"/>
    </xf>
    <xf numFmtId="0" fontId="0" fillId="4" borderId="0" xfId="0" applyFill="1">
      <alignment vertical="center"/>
    </xf>
    <xf numFmtId="0" fontId="22" fillId="7" borderId="8" xfId="3" applyFont="1" applyFill="1" applyBorder="1" applyAlignment="1">
      <alignment horizontal="center" vertical="center"/>
    </xf>
    <xf numFmtId="0" fontId="22" fillId="7" borderId="8" xfId="3" applyFont="1" applyFill="1" applyBorder="1" applyAlignment="1">
      <alignment horizontal="left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left" vertical="center"/>
    </xf>
    <xf numFmtId="0" fontId="22" fillId="7" borderId="1" xfId="0" applyFont="1" applyFill="1" applyBorder="1" applyAlignment="1">
      <alignment horizontal="left" vertical="center"/>
    </xf>
    <xf numFmtId="0" fontId="62" fillId="7" borderId="10" xfId="0" applyFont="1" applyFill="1" applyBorder="1" applyAlignment="1">
      <alignment horizontal="center" vertical="center"/>
    </xf>
    <xf numFmtId="0" fontId="21" fillId="7" borderId="10" xfId="0" applyFont="1" applyFill="1" applyBorder="1">
      <alignment vertical="center"/>
    </xf>
    <xf numFmtId="0" fontId="21" fillId="7" borderId="10" xfId="0" applyFont="1" applyFill="1" applyBorder="1" applyAlignment="1">
      <alignment horizontal="left" vertical="center"/>
    </xf>
    <xf numFmtId="0" fontId="62" fillId="7" borderId="12" xfId="0" applyFont="1" applyFill="1" applyBorder="1" applyAlignment="1">
      <alignment horizontal="center" vertical="center"/>
    </xf>
    <xf numFmtId="0" fontId="21" fillId="7" borderId="12" xfId="0" applyFont="1" applyFill="1" applyBorder="1">
      <alignment vertical="center"/>
    </xf>
    <xf numFmtId="0" fontId="62" fillId="7" borderId="11" xfId="0" applyFont="1" applyFill="1" applyBorder="1" applyAlignment="1">
      <alignment horizontal="center" vertical="center"/>
    </xf>
    <xf numFmtId="0" fontId="21" fillId="7" borderId="11" xfId="0" applyFont="1" applyFill="1" applyBorder="1">
      <alignment vertical="center"/>
    </xf>
    <xf numFmtId="49" fontId="37" fillId="3" borderId="0" xfId="0" applyNumberFormat="1" applyFont="1" applyFill="1" applyAlignment="1">
      <alignment horizontal="center" vertical="center"/>
    </xf>
    <xf numFmtId="49" fontId="50" fillId="3" borderId="0" xfId="0" applyNumberFormat="1" applyFont="1" applyFill="1" applyAlignment="1">
      <alignment horizontal="center" vertical="center"/>
    </xf>
    <xf numFmtId="0" fontId="40" fillId="0" borderId="27" xfId="0" applyFont="1" applyBorder="1" applyAlignment="1">
      <alignment horizontal="left" vertical="center" wrapText="1"/>
    </xf>
    <xf numFmtId="49" fontId="40" fillId="0" borderId="20" xfId="0" applyNumberFormat="1" applyFont="1" applyBorder="1" applyAlignment="1">
      <alignment horizontal="center" vertical="top" wrapText="1"/>
    </xf>
    <xf numFmtId="0" fontId="40" fillId="0" borderId="20" xfId="0" applyFont="1" applyBorder="1" applyAlignment="1">
      <alignment horizontal="center" vertical="center" wrapText="1"/>
    </xf>
    <xf numFmtId="180" fontId="40" fillId="0" borderId="20" xfId="0" applyNumberFormat="1" applyFont="1" applyBorder="1" applyAlignment="1">
      <alignment horizontal="center" vertical="center" wrapText="1"/>
    </xf>
    <xf numFmtId="0" fontId="40" fillId="0" borderId="20" xfId="0" applyFont="1" applyBorder="1" applyAlignment="1">
      <alignment horizontal="left" vertical="center" wrapText="1"/>
    </xf>
    <xf numFmtId="3" fontId="40" fillId="0" borderId="20" xfId="0" applyNumberFormat="1" applyFont="1" applyBorder="1" applyAlignment="1">
      <alignment horizontal="right" vertical="center" wrapText="1"/>
    </xf>
    <xf numFmtId="181" fontId="40" fillId="0" borderId="20" xfId="0" applyNumberFormat="1" applyFont="1" applyBorder="1" applyAlignment="1">
      <alignment horizontal="center" vertical="center" wrapText="1"/>
    </xf>
    <xf numFmtId="0" fontId="40" fillId="0" borderId="20" xfId="0" applyFont="1" applyBorder="1" applyAlignment="1">
      <alignment horizontal="right" vertical="center" wrapText="1"/>
    </xf>
    <xf numFmtId="49" fontId="40" fillId="0" borderId="20" xfId="0" applyNumberFormat="1" applyFont="1" applyBorder="1" applyAlignment="1">
      <alignment horizontal="right" vertical="center" wrapText="1"/>
    </xf>
    <xf numFmtId="49" fontId="40" fillId="0" borderId="20" xfId="0" applyNumberFormat="1" applyFont="1" applyBorder="1" applyAlignment="1">
      <alignment horizontal="left" vertical="center" wrapText="1"/>
    </xf>
    <xf numFmtId="182" fontId="40" fillId="0" borderId="20" xfId="0" applyNumberFormat="1" applyFont="1" applyBorder="1" applyAlignment="1">
      <alignment horizontal="right" vertical="center" wrapText="1"/>
    </xf>
    <xf numFmtId="0" fontId="40" fillId="0" borderId="29" xfId="0" applyFont="1" applyBorder="1" applyAlignment="1">
      <alignment horizontal="center" vertical="center" wrapText="1"/>
    </xf>
    <xf numFmtId="0" fontId="40" fillId="19" borderId="26" xfId="0" applyFont="1" applyFill="1" applyBorder="1" applyAlignment="1">
      <alignment horizontal="center" vertical="center" wrapText="1"/>
    </xf>
    <xf numFmtId="49" fontId="40" fillId="19" borderId="19" xfId="0" applyNumberFormat="1" applyFont="1" applyFill="1" applyBorder="1" applyAlignment="1">
      <alignment horizontal="center" vertical="center" wrapText="1"/>
    </xf>
    <xf numFmtId="0" fontId="40" fillId="19" borderId="19" xfId="0" applyFont="1" applyFill="1" applyBorder="1" applyAlignment="1">
      <alignment horizontal="center" vertical="center" wrapText="1"/>
    </xf>
    <xf numFmtId="0" fontId="0" fillId="19" borderId="0" xfId="0" applyFill="1">
      <alignment vertical="center"/>
    </xf>
    <xf numFmtId="49" fontId="40" fillId="0" borderId="28" xfId="0" applyNumberFormat="1" applyFont="1" applyBorder="1" applyAlignment="1">
      <alignment horizontal="center" vertical="top" wrapText="1"/>
    </xf>
    <xf numFmtId="49" fontId="40" fillId="0" borderId="20" xfId="0" applyNumberFormat="1" applyFont="1" applyBorder="1" applyAlignment="1">
      <alignment horizontal="center" vertical="center" wrapText="1"/>
    </xf>
    <xf numFmtId="49" fontId="40" fillId="0" borderId="28" xfId="0" applyNumberFormat="1" applyFont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2" fillId="7" borderId="6" xfId="3" applyFont="1" applyFill="1" applyBorder="1" applyAlignment="1">
      <alignment horizontal="center" vertical="center"/>
    </xf>
    <xf numFmtId="0" fontId="22" fillId="7" borderId="9" xfId="3" applyFont="1" applyFill="1" applyBorder="1" applyAlignment="1">
      <alignment horizontal="center" vertical="center"/>
    </xf>
    <xf numFmtId="0" fontId="22" fillId="7" borderId="7" xfId="3" applyFont="1" applyFill="1" applyBorder="1" applyAlignment="1">
      <alignment horizontal="center" vertical="center"/>
    </xf>
    <xf numFmtId="0" fontId="22" fillId="7" borderId="16" xfId="3" applyFont="1" applyFill="1" applyBorder="1" applyAlignment="1">
      <alignment horizontal="center" vertical="center"/>
    </xf>
    <xf numFmtId="0" fontId="22" fillId="7" borderId="17" xfId="3" applyFont="1" applyFill="1" applyBorder="1" applyAlignment="1">
      <alignment horizontal="center" vertical="center"/>
    </xf>
    <xf numFmtId="0" fontId="22" fillId="7" borderId="18" xfId="3" applyFont="1" applyFill="1" applyBorder="1" applyAlignment="1">
      <alignment horizontal="center" vertical="center"/>
    </xf>
    <xf numFmtId="0" fontId="21" fillId="0" borderId="5" xfId="0" applyFont="1" applyBorder="1" applyAlignment="1">
      <alignment horizontal="left" vertical="center"/>
    </xf>
    <xf numFmtId="0" fontId="21" fillId="0" borderId="8" xfId="0" applyFont="1" applyBorder="1" applyAlignment="1">
      <alignment horizontal="left" vertical="center"/>
    </xf>
    <xf numFmtId="0" fontId="21" fillId="0" borderId="2" xfId="0" applyFont="1" applyBorder="1" applyAlignment="1">
      <alignment horizontal="left" vertical="center"/>
    </xf>
    <xf numFmtId="0" fontId="21" fillId="0" borderId="5" xfId="0" applyFont="1" applyBorder="1" applyAlignment="1">
      <alignment horizontal="center" vertical="top" wrapText="1"/>
    </xf>
    <xf numFmtId="0" fontId="21" fillId="0" borderId="8" xfId="0" applyFont="1" applyBorder="1" applyAlignment="1">
      <alignment horizontal="center" vertical="top" wrapText="1"/>
    </xf>
    <xf numFmtId="0" fontId="21" fillId="0" borderId="2" xfId="0" applyFont="1" applyBorder="1" applyAlignment="1">
      <alignment horizontal="center" vertical="top" wrapText="1"/>
    </xf>
    <xf numFmtId="0" fontId="21" fillId="0" borderId="5" xfId="0" applyFont="1" applyBorder="1" applyAlignment="1">
      <alignment horizontal="left" vertical="top" wrapText="1"/>
    </xf>
    <xf numFmtId="0" fontId="21" fillId="0" borderId="8" xfId="0" applyFont="1" applyBorder="1" applyAlignment="1">
      <alignment horizontal="left" vertical="top" wrapText="1"/>
    </xf>
    <xf numFmtId="0" fontId="21" fillId="0" borderId="2" xfId="0" applyFont="1" applyBorder="1" applyAlignment="1">
      <alignment horizontal="left" vertical="top" wrapText="1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1" fillId="7" borderId="5" xfId="0" applyFont="1" applyFill="1" applyBorder="1" applyAlignment="1">
      <alignment horizontal="left" vertical="center"/>
    </xf>
    <xf numFmtId="0" fontId="21" fillId="7" borderId="8" xfId="0" applyFont="1" applyFill="1" applyBorder="1" applyAlignment="1">
      <alignment horizontal="left" vertical="center"/>
    </xf>
    <xf numFmtId="0" fontId="21" fillId="7" borderId="2" xfId="0" applyFont="1" applyFill="1" applyBorder="1" applyAlignment="1">
      <alignment horizontal="left" vertical="center"/>
    </xf>
    <xf numFmtId="0" fontId="54" fillId="3" borderId="1" xfId="0" applyFont="1" applyFill="1" applyBorder="1" applyAlignment="1">
      <alignment horizontal="center" vertical="center"/>
    </xf>
  </cellXfs>
  <cellStyles count="25">
    <cellStyle name="Hyperlink" xfId="6" xr:uid="{20B5AB0E-E31F-4442-81B4-EE27E44CD975}"/>
    <cellStyle name="쉼표 [0] 2" xfId="15" xr:uid="{6A5331F4-81B2-47F1-A7CB-CF7C4F41F75D}"/>
    <cellStyle name="쉼표 [0] 3" xfId="18" xr:uid="{873EECB7-F0DE-45D6-9997-A42E0864718B}"/>
    <cellStyle name="표준" xfId="0" builtinId="0"/>
    <cellStyle name="표준 10" xfId="14" xr:uid="{2533E786-794B-4335-9998-E973C40BACCE}"/>
    <cellStyle name="표준 11" xfId="16" xr:uid="{C68C90C8-AD7C-43F8-BC54-D01B475A5CAA}"/>
    <cellStyle name="표준 11 2" xfId="20" xr:uid="{4CF54C7E-DC51-4261-B345-3847C39EB69F}"/>
    <cellStyle name="표준 11 3" xfId="21" xr:uid="{E1E100A8-0529-4D52-BE5E-3DEB776985E1}"/>
    <cellStyle name="표준 12" xfId="17" xr:uid="{2005B87A-639F-4D7D-BC0C-FFC39FD671EB}"/>
    <cellStyle name="표준 13" xfId="22" xr:uid="{C966D1F0-277B-4AFF-BF51-FFEF175BD959}"/>
    <cellStyle name="표준 2" xfId="1" xr:uid="{00000000-0005-0000-0000-000002000000}"/>
    <cellStyle name="표준 2 2" xfId="5" xr:uid="{BA2CF668-AB31-4FAA-B285-1BA5C4DDC8A7}"/>
    <cellStyle name="표준 3" xfId="2" xr:uid="{00000000-0005-0000-0000-000003000000}"/>
    <cellStyle name="표준 4" xfId="4" xr:uid="{1B487ED4-EF49-4450-9FB1-C1A165FF7B38}"/>
    <cellStyle name="표준 4 2" xfId="13" xr:uid="{77D38E5F-41FF-4DAF-894C-2690B090A46D}"/>
    <cellStyle name="표준 5" xfId="3" xr:uid="{FA20E8C1-4403-49DB-90EE-0B2E9B2FCAFF}"/>
    <cellStyle name="표준 5 2" xfId="8" xr:uid="{65D2AC04-2E41-406E-BB7E-A2EE965D2914}"/>
    <cellStyle name="표준 5 3" xfId="12" xr:uid="{04A9683C-1E9A-4B56-93C7-A0B60845BE67}"/>
    <cellStyle name="표준 5 4" xfId="23" xr:uid="{59444FDC-83D6-4435-A88D-1EBABF529B54}"/>
    <cellStyle name="표준 5 5" xfId="24" xr:uid="{2F9CD717-453A-451F-86FA-0F0A3A3FD76C}"/>
    <cellStyle name="표준 6" xfId="7" xr:uid="{ABCA7ADB-8597-4FC4-9A04-ACB2521C1A59}"/>
    <cellStyle name="표준 7" xfId="9" xr:uid="{58D17566-9F5E-4E08-B8EE-20A1B78DA49A}"/>
    <cellStyle name="표준 8" xfId="10" xr:uid="{67613007-948C-41E1-830D-8D1DEB3443D0}"/>
    <cellStyle name="표준 8 2" xfId="19" xr:uid="{6C5B5DDA-88E5-4448-A518-C5D36D1B6E1C}"/>
    <cellStyle name="표준 9" xfId="11" xr:uid="{C0C68E53-AB0F-48E0-A673-11C258077921}"/>
  </cellStyles>
  <dxfs count="6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C8EF0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E23F1-2D24-41C6-BD8C-D7FDBDA7195F}">
  <sheetPr codeName="Sheet3">
    <tabColor rgb="FF7030A0"/>
  </sheetPr>
  <dimension ref="A1:CL892"/>
  <sheetViews>
    <sheetView tabSelected="1" zoomScale="70" zoomScaleNormal="70" workbookViewId="0">
      <pane xSplit="1" ySplit="2" topLeftCell="B3" activePane="bottomRight" state="frozen"/>
      <selection activeCell="F18" sqref="F18"/>
      <selection pane="topRight" activeCell="F18" sqref="F18"/>
      <selection pane="bottomLeft" activeCell="F18" sqref="F18"/>
      <selection pane="bottomRight" activeCell="J8" sqref="J8"/>
    </sheetView>
  </sheetViews>
  <sheetFormatPr defaultColWidth="8.75" defaultRowHeight="20.45" customHeight="1"/>
  <cols>
    <col min="1" max="1" width="3.75" style="2" customWidth="1"/>
    <col min="2" max="2" width="9.125" style="11" bestFit="1" customWidth="1"/>
    <col min="3" max="3" width="10.75" style="3" customWidth="1"/>
    <col min="4" max="4" width="9.375" style="16" bestFit="1" customWidth="1"/>
    <col min="5" max="5" width="5.375" style="11" customWidth="1"/>
    <col min="6" max="6" width="10.375" style="3" bestFit="1" customWidth="1"/>
    <col min="7" max="7" width="7.25" style="11" customWidth="1"/>
    <col min="8" max="8" width="9.375" style="3" customWidth="1"/>
    <col min="9" max="9" width="9.375" style="3" bestFit="1" customWidth="1"/>
    <col min="10" max="10" width="9.25" style="11" customWidth="1"/>
    <col min="11" max="11" width="16.75" style="3" bestFit="1" customWidth="1"/>
    <col min="12" max="12" width="13.125" style="3" customWidth="1"/>
    <col min="13" max="14" width="10.875" style="3" customWidth="1"/>
    <col min="15" max="15" width="17.25" style="3" customWidth="1"/>
    <col min="16" max="16" width="9.875" style="2" customWidth="1"/>
    <col min="17" max="18" width="5.75" style="3" customWidth="1"/>
    <col min="19" max="19" width="5.875" style="3" bestFit="1" customWidth="1"/>
    <col min="20" max="20" width="12.75" style="3" bestFit="1" customWidth="1"/>
    <col min="21" max="21" width="12.625" style="3" bestFit="1" customWidth="1"/>
    <col min="22" max="22" width="9.625" style="3" customWidth="1"/>
    <col min="23" max="23" width="16.125" style="14" customWidth="1"/>
    <col min="24" max="25" width="11.75" style="95" customWidth="1"/>
    <col min="26" max="26" width="9.875" style="3" bestFit="1" customWidth="1"/>
    <col min="27" max="27" width="10.25" style="14" customWidth="1"/>
    <col min="28" max="28" width="1.5" style="90" customWidth="1"/>
    <col min="29" max="29" width="4" style="2" customWidth="1"/>
    <col min="30" max="30" width="5.375" style="2" customWidth="1"/>
    <col min="31" max="31" width="0.5" style="2" customWidth="1"/>
    <col min="32" max="33" width="4.25" style="2" customWidth="1"/>
    <col min="34" max="34" width="11.875" style="2" customWidth="1"/>
    <col min="35" max="35" width="8.75" style="2"/>
    <col min="36" max="36" width="15.875" style="2" customWidth="1"/>
    <col min="37" max="37" width="0.5" style="2" customWidth="1"/>
    <col min="38" max="38" width="8.125" style="2" customWidth="1"/>
    <col min="39" max="39" width="0.5" style="2" customWidth="1"/>
    <col min="40" max="40" width="11.625" style="70" bestFit="1" customWidth="1"/>
    <col min="41" max="41" width="5.125" style="2" customWidth="1"/>
    <col min="42" max="42" width="10.625" style="2" bestFit="1" customWidth="1"/>
    <col min="43" max="43" width="0.5" style="2" customWidth="1"/>
    <col min="44" max="44" width="10" style="2" customWidth="1"/>
    <col min="45" max="45" width="0.625" style="2" customWidth="1"/>
    <col min="46" max="48" width="0.5" style="2" customWidth="1"/>
    <col min="49" max="49" width="2" style="2" customWidth="1"/>
    <col min="50" max="53" width="6.625" style="2" customWidth="1"/>
    <col min="54" max="64" width="0.25" style="2" customWidth="1"/>
    <col min="65" max="66" width="5.125" style="2" customWidth="1"/>
    <col min="67" max="69" width="0.375" style="2" customWidth="1"/>
    <col min="70" max="70" width="4.75" style="2" customWidth="1"/>
    <col min="71" max="71" width="4.5" style="2" customWidth="1"/>
    <col min="72" max="72" width="0.25" style="2" customWidth="1"/>
    <col min="73" max="73" width="4.375" style="2" customWidth="1"/>
    <col min="74" max="74" width="16.625" style="2" customWidth="1"/>
    <col min="75" max="75" width="33.5" style="2" customWidth="1"/>
    <col min="76" max="76" width="12.875" style="2" customWidth="1"/>
    <col min="77" max="77" width="0.375" style="2" hidden="1" customWidth="1"/>
    <col min="78" max="78" width="7" style="2" customWidth="1"/>
    <col min="79" max="79" width="9.125" style="2" customWidth="1"/>
    <col min="80" max="88" width="0.625" style="2" customWidth="1"/>
    <col min="89" max="90" width="10.125" style="2" customWidth="1"/>
    <col min="91" max="16384" width="8.75" style="2"/>
  </cols>
  <sheetData>
    <row r="1" spans="1:90" ht="37.5" customHeight="1" thickBot="1">
      <c r="B1" s="2" t="s">
        <v>2326</v>
      </c>
      <c r="C1" s="2"/>
      <c r="D1" s="2"/>
      <c r="E1" s="2"/>
      <c r="F1" s="96" t="s">
        <v>1741</v>
      </c>
      <c r="G1" s="2"/>
      <c r="H1" s="96" t="s">
        <v>1778</v>
      </c>
      <c r="I1" s="2"/>
      <c r="J1" s="2"/>
      <c r="K1" s="133" t="s">
        <v>1910</v>
      </c>
      <c r="L1" s="2"/>
      <c r="M1" s="2"/>
      <c r="N1" s="2"/>
      <c r="O1" s="96" t="s">
        <v>1742</v>
      </c>
      <c r="P1" s="98" t="s">
        <v>1777</v>
      </c>
      <c r="Q1" s="2"/>
      <c r="R1" s="2"/>
      <c r="S1" s="2"/>
      <c r="T1" s="75"/>
      <c r="U1" s="2"/>
      <c r="V1" s="99" t="s">
        <v>1729</v>
      </c>
      <c r="W1" s="2"/>
      <c r="X1" s="70"/>
      <c r="Y1" s="70"/>
      <c r="Z1" s="96" t="s">
        <v>1742</v>
      </c>
      <c r="AA1" s="2"/>
      <c r="AC1" s="2">
        <v>20</v>
      </c>
      <c r="AF1" s="2" t="s">
        <v>1015</v>
      </c>
      <c r="AH1" s="101" t="s">
        <v>1794</v>
      </c>
      <c r="AJ1" s="102" t="s">
        <v>1901</v>
      </c>
      <c r="AL1" s="2">
        <v>5010001</v>
      </c>
      <c r="AN1" s="2"/>
      <c r="BN1" s="2">
        <v>1</v>
      </c>
      <c r="BV1" s="101" t="s">
        <v>1900</v>
      </c>
      <c r="BW1" s="102" t="s">
        <v>1902</v>
      </c>
      <c r="CA1" s="75" t="s">
        <v>1311</v>
      </c>
    </row>
    <row r="2" spans="1:90" ht="31.5" customHeight="1" thickBot="1">
      <c r="A2" s="7"/>
      <c r="B2" s="17" t="s">
        <v>1209</v>
      </c>
      <c r="C2" s="9" t="s">
        <v>519</v>
      </c>
      <c r="D2" s="18" t="s">
        <v>520</v>
      </c>
      <c r="E2" s="18" t="s">
        <v>521</v>
      </c>
      <c r="F2" s="10" t="s">
        <v>413</v>
      </c>
      <c r="G2" s="10" t="s">
        <v>522</v>
      </c>
      <c r="H2" s="10" t="s">
        <v>523</v>
      </c>
      <c r="I2" s="10" t="s">
        <v>524</v>
      </c>
      <c r="J2" s="10" t="s">
        <v>525</v>
      </c>
      <c r="K2" s="18" t="s">
        <v>1725</v>
      </c>
      <c r="L2" s="9" t="s">
        <v>526</v>
      </c>
      <c r="M2" s="9" t="s">
        <v>1395</v>
      </c>
      <c r="N2" s="9" t="s">
        <v>2525</v>
      </c>
      <c r="O2" s="20" t="s">
        <v>1661</v>
      </c>
      <c r="P2" s="97" t="s">
        <v>1790</v>
      </c>
      <c r="Q2" s="19">
        <v>20</v>
      </c>
      <c r="R2" s="19">
        <v>40</v>
      </c>
      <c r="S2" s="19" t="s">
        <v>527</v>
      </c>
      <c r="T2" s="20" t="s">
        <v>322</v>
      </c>
      <c r="U2" s="21" t="s">
        <v>323</v>
      </c>
      <c r="V2" s="21" t="s">
        <v>1234</v>
      </c>
      <c r="W2" s="22" t="s">
        <v>528</v>
      </c>
      <c r="X2" s="94" t="s">
        <v>1792</v>
      </c>
      <c r="Y2" s="94" t="s">
        <v>1739</v>
      </c>
      <c r="Z2" s="89" t="s">
        <v>1772</v>
      </c>
      <c r="AA2" s="92" t="s">
        <v>1740</v>
      </c>
      <c r="AC2" s="64" t="s">
        <v>529</v>
      </c>
      <c r="AD2" s="64" t="s">
        <v>1</v>
      </c>
      <c r="AE2" s="64" t="s">
        <v>530</v>
      </c>
      <c r="AF2" s="64" t="s">
        <v>531</v>
      </c>
      <c r="AG2" s="64" t="s">
        <v>532</v>
      </c>
      <c r="AH2" s="64" t="s">
        <v>533</v>
      </c>
      <c r="AI2" s="64" t="s">
        <v>534</v>
      </c>
      <c r="AJ2" s="134" t="s">
        <v>535</v>
      </c>
      <c r="AK2" s="64" t="s">
        <v>536</v>
      </c>
      <c r="AL2" s="64" t="s">
        <v>537</v>
      </c>
      <c r="AM2" s="64" t="s">
        <v>538</v>
      </c>
      <c r="AN2" s="64" t="s">
        <v>1013</v>
      </c>
      <c r="AO2" s="64" t="s">
        <v>1014</v>
      </c>
      <c r="AP2" s="64" t="s">
        <v>539</v>
      </c>
      <c r="AQ2" s="64" t="s">
        <v>540</v>
      </c>
      <c r="AR2" s="64" t="s">
        <v>541</v>
      </c>
      <c r="AS2" s="64" t="s">
        <v>542</v>
      </c>
      <c r="AT2" s="64" t="s">
        <v>543</v>
      </c>
      <c r="AU2" s="64" t="s">
        <v>544</v>
      </c>
      <c r="AV2" s="64" t="s">
        <v>545</v>
      </c>
      <c r="AW2" s="64" t="s">
        <v>0</v>
      </c>
      <c r="AX2" s="64" t="s">
        <v>546</v>
      </c>
      <c r="AY2" s="64" t="s">
        <v>547</v>
      </c>
      <c r="AZ2" s="64" t="s">
        <v>548</v>
      </c>
      <c r="BA2" s="64" t="s">
        <v>549</v>
      </c>
      <c r="BB2" s="64" t="s">
        <v>550</v>
      </c>
      <c r="BC2" s="64" t="s">
        <v>551</v>
      </c>
      <c r="BD2" s="64" t="s">
        <v>552</v>
      </c>
      <c r="BE2" s="64" t="s">
        <v>553</v>
      </c>
      <c r="BF2" s="64" t="s">
        <v>554</v>
      </c>
      <c r="BG2" s="64" t="s">
        <v>555</v>
      </c>
      <c r="BH2" s="64" t="s">
        <v>556</v>
      </c>
      <c r="BI2" s="64" t="s">
        <v>557</v>
      </c>
      <c r="BJ2" s="64" t="s">
        <v>558</v>
      </c>
      <c r="BK2" s="64" t="s">
        <v>559</v>
      </c>
      <c r="BL2" s="64" t="s">
        <v>560</v>
      </c>
      <c r="BM2" s="64" t="s">
        <v>1313</v>
      </c>
      <c r="BN2" s="64" t="s">
        <v>1312</v>
      </c>
      <c r="BO2" s="64" t="s">
        <v>561</v>
      </c>
      <c r="BP2" s="64" t="s">
        <v>562</v>
      </c>
      <c r="BQ2" s="64" t="s">
        <v>563</v>
      </c>
      <c r="BR2" s="64" t="s">
        <v>564</v>
      </c>
      <c r="BS2" s="64" t="s">
        <v>565</v>
      </c>
      <c r="BT2" s="64" t="s">
        <v>566</v>
      </c>
      <c r="BU2" s="64" t="s">
        <v>567</v>
      </c>
      <c r="BV2" s="134" t="s">
        <v>568</v>
      </c>
      <c r="BW2" s="64" t="s">
        <v>569</v>
      </c>
      <c r="BX2" s="64" t="s">
        <v>570</v>
      </c>
      <c r="BY2" s="64" t="s">
        <v>571</v>
      </c>
      <c r="BZ2" s="64" t="s">
        <v>572</v>
      </c>
      <c r="CA2" s="64" t="s">
        <v>573</v>
      </c>
      <c r="CB2" s="64" t="s">
        <v>574</v>
      </c>
      <c r="CC2" s="64" t="s">
        <v>575</v>
      </c>
      <c r="CD2" s="64" t="s">
        <v>576</v>
      </c>
      <c r="CE2" s="64" t="s">
        <v>577</v>
      </c>
      <c r="CF2" s="64" t="s">
        <v>578</v>
      </c>
      <c r="CG2" s="64" t="s">
        <v>579</v>
      </c>
      <c r="CH2" s="64" t="s">
        <v>580</v>
      </c>
      <c r="CI2" s="64" t="s">
        <v>581</v>
      </c>
      <c r="CJ2" s="64" t="s">
        <v>582</v>
      </c>
      <c r="CK2" s="64" t="s">
        <v>1310</v>
      </c>
      <c r="CL2" s="64" t="s">
        <v>2313</v>
      </c>
    </row>
    <row r="3" spans="1:90" ht="20.45" customHeight="1">
      <c r="B3" s="13"/>
      <c r="G3" s="3"/>
      <c r="J3" s="3"/>
      <c r="X3" s="13"/>
      <c r="Y3" s="13"/>
      <c r="Z3" s="91"/>
      <c r="AC3" s="2">
        <f t="shared" ref="AC3:AC59" si="0">$AC$1</f>
        <v>20</v>
      </c>
      <c r="AD3" s="2" t="str">
        <f>IFERROR(INDEX(GLAPS정리!$D$2:$D$50,MATCH(I3,GLAPS정리!$A$2:$A$50,0)),IFERROR(INDEX(GLAPS정리!$D$2:$D$50,MATCH(I3,GLAPS정리!$B$2:$B$50,0)),""))</f>
        <v/>
      </c>
      <c r="AF3" s="2" t="str">
        <f t="shared" ref="AF3:AF59" si="1">$AF$1</f>
        <v>KR10</v>
      </c>
      <c r="AI3" s="2" t="e">
        <f>VLOOKUP(F3,GLAPS정리!$G$3:$J$114,2,0)</f>
        <v>#N/A</v>
      </c>
      <c r="AJ3" s="2" t="e">
        <f>IF(Z3="울산정일","KRONS",IF(Z3="울산신항","KRUSN",IF(OR(Z3="선광종합물류(인천여객)",Z3="인천여객(인천여객)"),"KRINF",IF(OR(Z3="선광인천보세(인천신)",Z3="한진인천(인천신)",Z3="선광인천신항(인천신)",Z3="인천더로지스(인천신)"),"KRINN",IF(OR(Z3="인천진아(인천항)",Z3="인천E1(인천항)",Z3="인천SM경인터미널(인천항)",Z3="인천항(인천항)",Z3="인천우련(인천항)",Z3="인천항8부두(인천항)"),"KRINC",VLOOKUP(K3,GLAPS정리!$BB$2:$BC$33,2,0))))))</f>
        <v>#N/A</v>
      </c>
      <c r="AL3" s="2">
        <f>$AL$1</f>
        <v>5010001</v>
      </c>
      <c r="AN3" s="70" t="str">
        <f t="shared" ref="AN3:AN59" si="2">TEXT(B3,"YYYY-MM-DD")</f>
        <v>1900-01-00</v>
      </c>
      <c r="AO3" s="2" t="str">
        <f t="shared" ref="AO3:AO59" si="3">IF(E3="오전", "0800", IF(E3="오후", "1300", IF(E3="잔업", "1800", "")))</f>
        <v/>
      </c>
      <c r="AP3" s="2" t="e">
        <f>VLOOKUP(C3,GLAPS정리!$AX$2:$AZ$17,3,0)</f>
        <v>#N/A</v>
      </c>
      <c r="AR3" s="2">
        <f t="shared" ref="AR3:AR66" si="4">X3</f>
        <v>0</v>
      </c>
      <c r="AX3" s="2" t="e">
        <f>VLOOKUP(L3,GLAPS정리!$V$3:$W$180,2,0)</f>
        <v>#N/A</v>
      </c>
      <c r="BM3" s="2" t="str">
        <f t="shared" ref="BM3:BM59" si="5">IF(AND(Q3=1,OR(P3="",P3="위험물")), "2210", IF(AND(Q3=1,OR(P3="리퍼",P3="위험물리퍼")), "2230", IF(AND(S3=1,OR(P3="",P3="위험물")), "4510", IF(AND(S3=1,OR(P3="리퍼",P3="위험물리퍼")), "4530", IF(AND(R3=1,OR(P3="",P3="위험물")), "4210", IF(AND(R3=1,P3="리퍼"), "4230", " "))))))</f>
        <v xml:space="preserve"> </v>
      </c>
      <c r="BN3" s="2">
        <f t="shared" ref="BN3:BN59" si="6">$BN$1</f>
        <v>1</v>
      </c>
      <c r="BR3" s="2" t="str">
        <f t="shared" ref="BR3:BR59" si="7">IF(OR(P3="리퍼",P3="위험물리퍼"),"Y","")</f>
        <v/>
      </c>
      <c r="BS3" s="2" t="str">
        <f t="shared" ref="BS3:BS59" si="8">IF(OR(P3="위험물",P3="위험물리퍼"),"Y","")</f>
        <v/>
      </c>
      <c r="BV3" s="2" t="e">
        <f>VLOOKUP(O3,GLAPS정리!$BH$2:$BI$94,2,0)</f>
        <v>#N/A</v>
      </c>
      <c r="BW3" s="2" t="str">
        <f>IF(OR(Z3="동원",Z3="세방",Z3="한타"),"",IFERROR(INDEX(GLAPS정리!$BI$2:$BI$101,MATCH(Z3,GLAPS정리!$BH$2:$BH$101,0)),""))</f>
        <v/>
      </c>
      <c r="BX3" s="2" t="str">
        <f>IF(Z3="","",IFERROR(VLOOKUP(Z3,GLAPS정리!$AX$2:$AZ$17,3,0),""))</f>
        <v/>
      </c>
      <c r="BZ3" s="2" t="e">
        <f>VLOOKUP(H3,GLAPS정리!$L$3:$O$133,2,0)</f>
        <v>#N/A</v>
      </c>
      <c r="CA3" s="2" t="str">
        <f t="shared" ref="CA3:CA59" si="9">IF(V3="공휴일", 10, IF(V3="야간", 20, IF(V3="위험물", 30, IF(V3="중량", 40, ""))))</f>
        <v/>
      </c>
      <c r="CL3" s="2" t="e">
        <f>VLOOKUP(AI3,GLAPS정리!$BT$3:$BV$26,3,0)</f>
        <v>#N/A</v>
      </c>
    </row>
    <row r="4" spans="1:90" ht="20.45" customHeight="1">
      <c r="B4" s="13"/>
      <c r="G4" s="3"/>
      <c r="J4" s="3"/>
      <c r="X4" s="13"/>
      <c r="Y4" s="13"/>
      <c r="Z4" s="91"/>
      <c r="AC4" s="2">
        <f t="shared" si="0"/>
        <v>20</v>
      </c>
      <c r="AD4" s="2" t="str">
        <f>IFERROR(INDEX(GLAPS정리!$D$2:$D$50,MATCH(I4,GLAPS정리!$A$2:$A$50,0)),IFERROR(INDEX(GLAPS정리!$D$2:$D$50,MATCH(I4,GLAPS정리!$B$2:$B$50,0)),""))</f>
        <v/>
      </c>
      <c r="AF4" s="2" t="str">
        <f t="shared" si="1"/>
        <v>KR10</v>
      </c>
      <c r="AI4" s="2" t="e">
        <f>VLOOKUP(F4,GLAPS정리!$G$3:$J$114,2,0)</f>
        <v>#N/A</v>
      </c>
      <c r="AJ4" s="2" t="e">
        <f>IF(Z4="울산정일","KRONS",IF(Z4="울산신항","KRUSN",IF(OR(Z4="선광종합물류(인천여객)",Z4="인천여객(인천여객)"),"KRINF",IF(OR(Z4="선광인천보세(인천신)",Z4="한진인천(인천신)",Z4="선광인천신항(인천신)",Z4="인천더로지스(인천신)"),"KRINN",IF(OR(Z4="인천진아(인천항)",Z4="인천E1(인천항)",Z4="인천SM경인터미널(인천항)",Z4="인천항(인천항)",Z4="인천우련(인천항)",Z4="인천항8부두(인천항)"),"KRINC",VLOOKUP(K4,GLAPS정리!$BB$2:$BC$33,2,0))))))</f>
        <v>#N/A</v>
      </c>
      <c r="AL4" s="2">
        <f t="shared" ref="AL4:AL59" si="10">$AL$1</f>
        <v>5010001</v>
      </c>
      <c r="AN4" s="70" t="str">
        <f t="shared" si="2"/>
        <v>1900-01-00</v>
      </c>
      <c r="AO4" s="2" t="str">
        <f t="shared" si="3"/>
        <v/>
      </c>
      <c r="AP4" s="2" t="e">
        <f>VLOOKUP(C4,GLAPS정리!$AX$2:$AZ$17,3,0)</f>
        <v>#N/A</v>
      </c>
      <c r="AR4" s="2">
        <f t="shared" si="4"/>
        <v>0</v>
      </c>
      <c r="AX4" s="2" t="e">
        <f>VLOOKUP(L4,GLAPS정리!$V$3:$W$180,2,0)</f>
        <v>#N/A</v>
      </c>
      <c r="BM4" s="2" t="str">
        <f t="shared" si="5"/>
        <v xml:space="preserve"> </v>
      </c>
      <c r="BN4" s="2">
        <f t="shared" si="6"/>
        <v>1</v>
      </c>
      <c r="BR4" s="2" t="str">
        <f t="shared" si="7"/>
        <v/>
      </c>
      <c r="BS4" s="2" t="str">
        <f t="shared" si="8"/>
        <v/>
      </c>
      <c r="BV4" s="2" t="e">
        <f>VLOOKUP(O4,GLAPS정리!$BH$2:$BI$94,2,0)</f>
        <v>#N/A</v>
      </c>
      <c r="BW4" s="2" t="str">
        <f>IF(OR(Z4="동원",Z4="세방",Z4="한타"),"",IFERROR(INDEX(GLAPS정리!$BI$2:$BI$101,MATCH(Z4,GLAPS정리!$BH$2:$BH$101,0)),""))</f>
        <v/>
      </c>
      <c r="BX4" s="2" t="str">
        <f>IF(Z4="","",IFERROR(VLOOKUP(Z4,GLAPS정리!$AX$2:$AZ$17,3,0),""))</f>
        <v/>
      </c>
      <c r="BZ4" s="2" t="e">
        <f>VLOOKUP(H4,GLAPS정리!$L$3:$O$133,2,0)</f>
        <v>#N/A</v>
      </c>
      <c r="CA4" s="2" t="str">
        <f t="shared" si="9"/>
        <v/>
      </c>
      <c r="CL4" s="2" t="e">
        <f>VLOOKUP(AI4,GLAPS정리!$BT$3:$BV$26,3,0)</f>
        <v>#N/A</v>
      </c>
    </row>
    <row r="5" spans="1:90" ht="20.45" customHeight="1">
      <c r="B5" s="13"/>
      <c r="G5" s="3"/>
      <c r="J5" s="3"/>
      <c r="X5" s="13"/>
      <c r="Y5" s="13"/>
      <c r="Z5" s="91"/>
      <c r="AC5" s="2">
        <f t="shared" si="0"/>
        <v>20</v>
      </c>
      <c r="AD5" s="2" t="str">
        <f>IFERROR(INDEX(GLAPS정리!$D$2:$D$50,MATCH(I5,GLAPS정리!$A$2:$A$50,0)),IFERROR(INDEX(GLAPS정리!$D$2:$D$50,MATCH(I5,GLAPS정리!$B$2:$B$50,0)),""))</f>
        <v/>
      </c>
      <c r="AF5" s="2" t="str">
        <f t="shared" si="1"/>
        <v>KR10</v>
      </c>
      <c r="AI5" s="2" t="e">
        <f>VLOOKUP(F5,GLAPS정리!$G$3:$J$114,2,0)</f>
        <v>#N/A</v>
      </c>
      <c r="AJ5" s="2" t="e">
        <f>IF(Z5="울산정일","KRONS",IF(Z5="울산신항","KRUSN",IF(OR(Z5="선광종합물류(인천여객)",Z5="인천여객(인천여객)"),"KRINF",IF(OR(Z5="선광인천보세(인천신)",Z5="한진인천(인천신)",Z5="선광인천신항(인천신)",Z5="인천더로지스(인천신)"),"KRINN",IF(OR(Z5="인천진아(인천항)",Z5="인천E1(인천항)",Z5="인천SM경인터미널(인천항)",Z5="인천항(인천항)",Z5="인천우련(인천항)",Z5="인천항8부두(인천항)"),"KRINC",VLOOKUP(K5,GLAPS정리!$BB$2:$BC$33,2,0))))))</f>
        <v>#N/A</v>
      </c>
      <c r="AL5" s="2">
        <f t="shared" si="10"/>
        <v>5010001</v>
      </c>
      <c r="AN5" s="70" t="str">
        <f t="shared" si="2"/>
        <v>1900-01-00</v>
      </c>
      <c r="AO5" s="2" t="str">
        <f t="shared" si="3"/>
        <v/>
      </c>
      <c r="AP5" s="2" t="e">
        <f>VLOOKUP(C5,GLAPS정리!$AX$2:$AZ$17,3,0)</f>
        <v>#N/A</v>
      </c>
      <c r="AR5" s="2">
        <f t="shared" si="4"/>
        <v>0</v>
      </c>
      <c r="AX5" s="2" t="e">
        <f>VLOOKUP(L5,GLAPS정리!$V$3:$W$180,2,0)</f>
        <v>#N/A</v>
      </c>
      <c r="BM5" s="2" t="str">
        <f t="shared" si="5"/>
        <v xml:space="preserve"> </v>
      </c>
      <c r="BN5" s="2">
        <f t="shared" si="6"/>
        <v>1</v>
      </c>
      <c r="BR5" s="2" t="str">
        <f t="shared" si="7"/>
        <v/>
      </c>
      <c r="BS5" s="2" t="str">
        <f t="shared" si="8"/>
        <v/>
      </c>
      <c r="BV5" s="2" t="e">
        <f>VLOOKUP(O5,GLAPS정리!$BH$2:$BI$94,2,0)</f>
        <v>#N/A</v>
      </c>
      <c r="BW5" s="2" t="str">
        <f>IF(OR(Z5="동원",Z5="세방",Z5="한타"),"",IFERROR(INDEX(GLAPS정리!$BI$2:$BI$101,MATCH(Z5,GLAPS정리!$BH$2:$BH$101,0)),""))</f>
        <v/>
      </c>
      <c r="BX5" s="2" t="str">
        <f>IF(Z5="","",IFERROR(VLOOKUP(Z5,GLAPS정리!$AX$2:$AZ$17,3,0),""))</f>
        <v/>
      </c>
      <c r="BZ5" s="2" t="e">
        <f>VLOOKUP(H5,GLAPS정리!$L$3:$O$133,2,0)</f>
        <v>#N/A</v>
      </c>
      <c r="CA5" s="2" t="str">
        <f t="shared" si="9"/>
        <v/>
      </c>
      <c r="CL5" s="2" t="e">
        <f>VLOOKUP(AI5,GLAPS정리!$BT$3:$BV$26,3,0)</f>
        <v>#N/A</v>
      </c>
    </row>
    <row r="6" spans="1:90" ht="20.45" customHeight="1">
      <c r="B6" s="13"/>
      <c r="G6" s="3"/>
      <c r="J6" s="3"/>
      <c r="U6" s="132"/>
      <c r="X6" s="13"/>
      <c r="Y6" s="13"/>
      <c r="Z6" s="91"/>
      <c r="AC6" s="2">
        <f t="shared" si="0"/>
        <v>20</v>
      </c>
      <c r="AD6" s="2" t="str">
        <f>IFERROR(INDEX(GLAPS정리!$D$2:$D$50,MATCH(I6,GLAPS정리!$A$2:$A$50,0)),IFERROR(INDEX(GLAPS정리!$D$2:$D$50,MATCH(I6,GLAPS정리!$B$2:$B$50,0)),""))</f>
        <v/>
      </c>
      <c r="AF6" s="2" t="str">
        <f t="shared" si="1"/>
        <v>KR10</v>
      </c>
      <c r="AI6" s="2" t="e">
        <f>VLOOKUP(F6,GLAPS정리!$G$3:$J$114,2,0)</f>
        <v>#N/A</v>
      </c>
      <c r="AJ6" s="2" t="e">
        <f>IF(Z6="울산정일","KRONS",IF(Z6="울산신항","KRUSN",IF(OR(Z6="선광종합물류(인천여객)",Z6="인천여객(인천여객)"),"KRINF",IF(OR(Z6="선광인천보세(인천신)",Z6="한진인천(인천신)",Z6="선광인천신항(인천신)",Z6="인천더로지스(인천신)"),"KRINN",IF(OR(Z6="인천진아(인천항)",Z6="인천E1(인천항)",Z6="인천SM경인터미널(인천항)",Z6="인천항(인천항)",Z6="인천우련(인천항)",Z6="인천항8부두(인천항)"),"KRINC",VLOOKUP(K6,GLAPS정리!$BB$2:$BC$33,2,0))))))</f>
        <v>#N/A</v>
      </c>
      <c r="AL6" s="2">
        <f t="shared" si="10"/>
        <v>5010001</v>
      </c>
      <c r="AN6" s="70" t="str">
        <f t="shared" si="2"/>
        <v>1900-01-00</v>
      </c>
      <c r="AO6" s="2" t="str">
        <f t="shared" si="3"/>
        <v/>
      </c>
      <c r="AP6" s="2" t="e">
        <f>VLOOKUP(C6,GLAPS정리!$AX$2:$AZ$17,3,0)</f>
        <v>#N/A</v>
      </c>
      <c r="AR6" s="2">
        <f t="shared" si="4"/>
        <v>0</v>
      </c>
      <c r="AX6" s="2" t="e">
        <f>VLOOKUP(L6,GLAPS정리!$V$3:$W$180,2,0)</f>
        <v>#N/A</v>
      </c>
      <c r="BM6" s="2" t="str">
        <f t="shared" si="5"/>
        <v xml:space="preserve"> </v>
      </c>
      <c r="BN6" s="2">
        <f t="shared" si="6"/>
        <v>1</v>
      </c>
      <c r="BR6" s="2" t="str">
        <f t="shared" si="7"/>
        <v/>
      </c>
      <c r="BS6" s="2" t="str">
        <f t="shared" si="8"/>
        <v/>
      </c>
      <c r="BV6" s="2" t="e">
        <f>VLOOKUP(O6,GLAPS정리!$BH$2:$BI$94,2,0)</f>
        <v>#N/A</v>
      </c>
      <c r="BW6" s="2" t="str">
        <f>IF(OR(Z6="동원",Z6="세방",Z6="한타"),"",IFERROR(INDEX(GLAPS정리!$BI$2:$BI$101,MATCH(Z6,GLAPS정리!$BH$2:$BH$101,0)),""))</f>
        <v/>
      </c>
      <c r="BX6" s="2" t="str">
        <f>IF(Z6="","",IFERROR(VLOOKUP(Z6,GLAPS정리!$AX$2:$AZ$17,3,0),""))</f>
        <v/>
      </c>
      <c r="BZ6" s="2" t="e">
        <f>VLOOKUP(H6,GLAPS정리!$L$3:$O$133,2,0)</f>
        <v>#N/A</v>
      </c>
      <c r="CA6" s="2" t="str">
        <f t="shared" si="9"/>
        <v/>
      </c>
      <c r="CL6" s="2" t="e">
        <f>VLOOKUP(AI6,GLAPS정리!$BT$3:$BV$26,3,0)</f>
        <v>#N/A</v>
      </c>
    </row>
    <row r="7" spans="1:90" ht="20.45" customHeight="1">
      <c r="B7" s="13"/>
      <c r="G7" s="3"/>
      <c r="J7" s="3"/>
      <c r="X7" s="13"/>
      <c r="Y7" s="13"/>
      <c r="Z7" s="91"/>
      <c r="AC7" s="2">
        <f t="shared" si="0"/>
        <v>20</v>
      </c>
      <c r="AD7" s="2" t="str">
        <f>IFERROR(INDEX(GLAPS정리!$D$2:$D$50,MATCH(I7,GLAPS정리!$A$2:$A$50,0)),IFERROR(INDEX(GLAPS정리!$D$2:$D$50,MATCH(I7,GLAPS정리!$B$2:$B$50,0)),""))</f>
        <v/>
      </c>
      <c r="AF7" s="2" t="str">
        <f t="shared" si="1"/>
        <v>KR10</v>
      </c>
      <c r="AI7" s="2" t="e">
        <f>VLOOKUP(F7,GLAPS정리!$G$3:$J$114,2,0)</f>
        <v>#N/A</v>
      </c>
      <c r="AJ7" s="2" t="e">
        <f>IF(Z7="울산정일","KRONS",IF(Z7="울산신항","KRUSN",IF(OR(Z7="선광종합물류(인천여객)",Z7="인천여객(인천여객)"),"KRINF",IF(OR(Z7="선광인천보세(인천신)",Z7="한진인천(인천신)",Z7="선광인천신항(인천신)",Z7="인천더로지스(인천신)"),"KRINN",IF(OR(Z7="인천진아(인천항)",Z7="인천E1(인천항)",Z7="인천SM경인터미널(인천항)",Z7="인천항(인천항)",Z7="인천우련(인천항)",Z7="인천항8부두(인천항)"),"KRINC",VLOOKUP(K7,GLAPS정리!$BB$2:$BC$33,2,0))))))</f>
        <v>#N/A</v>
      </c>
      <c r="AL7" s="2">
        <f t="shared" si="10"/>
        <v>5010001</v>
      </c>
      <c r="AN7" s="70" t="str">
        <f t="shared" si="2"/>
        <v>1900-01-00</v>
      </c>
      <c r="AO7" s="2" t="str">
        <f t="shared" si="3"/>
        <v/>
      </c>
      <c r="AP7" s="2" t="e">
        <f>VLOOKUP(C7,GLAPS정리!$AX$2:$AZ$17,3,0)</f>
        <v>#N/A</v>
      </c>
      <c r="AR7" s="2">
        <f t="shared" si="4"/>
        <v>0</v>
      </c>
      <c r="AX7" s="2" t="e">
        <f>VLOOKUP(L7,GLAPS정리!$V$3:$W$180,2,0)</f>
        <v>#N/A</v>
      </c>
      <c r="BM7" s="2" t="str">
        <f t="shared" si="5"/>
        <v xml:space="preserve"> </v>
      </c>
      <c r="BN7" s="2">
        <f t="shared" si="6"/>
        <v>1</v>
      </c>
      <c r="BR7" s="2" t="str">
        <f t="shared" si="7"/>
        <v/>
      </c>
      <c r="BS7" s="2" t="str">
        <f t="shared" si="8"/>
        <v/>
      </c>
      <c r="BV7" s="2" t="e">
        <f>VLOOKUP(O7,GLAPS정리!$BH$2:$BI$94,2,0)</f>
        <v>#N/A</v>
      </c>
      <c r="BW7" s="2" t="str">
        <f>IF(OR(Z7="동원",Z7="세방",Z7="한타"),"",IFERROR(INDEX(GLAPS정리!$BI$2:$BI$101,MATCH(Z7,GLAPS정리!$BH$2:$BH$101,0)),""))</f>
        <v/>
      </c>
      <c r="BX7" s="2" t="str">
        <f>IF(Z7="","",IFERROR(VLOOKUP(Z7,GLAPS정리!$AX$2:$AZ$17,3,0),""))</f>
        <v/>
      </c>
      <c r="BZ7" s="2" t="e">
        <f>VLOOKUP(H7,GLAPS정리!$L$3:$O$133,2,0)</f>
        <v>#N/A</v>
      </c>
      <c r="CA7" s="2" t="str">
        <f t="shared" si="9"/>
        <v/>
      </c>
      <c r="CL7" s="2" t="e">
        <f>VLOOKUP(AI7,GLAPS정리!$BT$3:$BV$26,3,0)</f>
        <v>#N/A</v>
      </c>
    </row>
    <row r="8" spans="1:90" ht="20.45" customHeight="1">
      <c r="B8" s="13"/>
      <c r="C8" s="13"/>
      <c r="E8" s="13"/>
      <c r="F8" s="13"/>
      <c r="G8" s="13"/>
      <c r="H8" s="13"/>
      <c r="I8" s="13"/>
      <c r="J8" s="13"/>
      <c r="K8" s="13"/>
      <c r="L8" s="13"/>
      <c r="M8" s="13"/>
      <c r="N8" s="13"/>
      <c r="X8" s="13"/>
      <c r="Y8" s="13"/>
      <c r="Z8" s="91"/>
      <c r="AC8" s="2">
        <f t="shared" si="0"/>
        <v>20</v>
      </c>
      <c r="AD8" s="2" t="str">
        <f>IFERROR(INDEX(GLAPS정리!$D$2:$D$50,MATCH(I8,GLAPS정리!$A$2:$A$50,0)),IFERROR(INDEX(GLAPS정리!$D$2:$D$50,MATCH(I8,GLAPS정리!$B$2:$B$50,0)),""))</f>
        <v/>
      </c>
      <c r="AF8" s="2" t="str">
        <f t="shared" si="1"/>
        <v>KR10</v>
      </c>
      <c r="AI8" s="2" t="e">
        <f>VLOOKUP(F8,GLAPS정리!$G$3:$J$114,2,0)</f>
        <v>#N/A</v>
      </c>
      <c r="AJ8" s="2" t="e">
        <f>IF(Z8="울산정일","KRONS",IF(Z8="울산신항","KRUSN",IF(OR(Z8="선광종합물류(인천여객)",Z8="인천여객(인천여객)"),"KRINF",IF(OR(Z8="선광인천보세(인천신)",Z8="한진인천(인천신)",Z8="선광인천신항(인천신)",Z8="인천더로지스(인천신)"),"KRINN",IF(OR(Z8="인천진아(인천항)",Z8="인천E1(인천항)",Z8="인천SM경인터미널(인천항)",Z8="인천항(인천항)",Z8="인천우련(인천항)",Z8="인천항8부두(인천항)"),"KRINC",VLOOKUP(K8,GLAPS정리!$BB$2:$BC$33,2,0))))))</f>
        <v>#N/A</v>
      </c>
      <c r="AL8" s="2">
        <f t="shared" si="10"/>
        <v>5010001</v>
      </c>
      <c r="AN8" s="70" t="str">
        <f t="shared" si="2"/>
        <v>1900-01-00</v>
      </c>
      <c r="AO8" s="2" t="str">
        <f t="shared" si="3"/>
        <v/>
      </c>
      <c r="AP8" s="2" t="e">
        <f>VLOOKUP(C8,GLAPS정리!$AX$2:$AZ$17,3,0)</f>
        <v>#N/A</v>
      </c>
      <c r="AR8" s="2">
        <f t="shared" si="4"/>
        <v>0</v>
      </c>
      <c r="AX8" s="2" t="e">
        <f>VLOOKUP(L8,GLAPS정리!$V$3:$W$180,2,0)</f>
        <v>#N/A</v>
      </c>
      <c r="BM8" s="2" t="str">
        <f t="shared" si="5"/>
        <v xml:space="preserve"> </v>
      </c>
      <c r="BN8" s="2">
        <f t="shared" si="6"/>
        <v>1</v>
      </c>
      <c r="BR8" s="2" t="str">
        <f t="shared" si="7"/>
        <v/>
      </c>
      <c r="BS8" s="2" t="str">
        <f t="shared" si="8"/>
        <v/>
      </c>
      <c r="BV8" s="2" t="e">
        <f>VLOOKUP(O8,GLAPS정리!$BH$2:$BI$94,2,0)</f>
        <v>#N/A</v>
      </c>
      <c r="BW8" s="2" t="str">
        <f>IF(OR(Z8="동원",Z8="세방",Z8="한타"),"",IFERROR(INDEX(GLAPS정리!$BI$2:$BI$101,MATCH(Z8,GLAPS정리!$BH$2:$BH$101,0)),""))</f>
        <v/>
      </c>
      <c r="BX8" s="2" t="str">
        <f>IF(Z8="","",IFERROR(VLOOKUP(Z8,GLAPS정리!$AX$2:$AZ$17,3,0),""))</f>
        <v/>
      </c>
      <c r="BZ8" s="2" t="e">
        <f>VLOOKUP(H8,GLAPS정리!$L$3:$O$133,2,0)</f>
        <v>#N/A</v>
      </c>
      <c r="CA8" s="2" t="str">
        <f t="shared" si="9"/>
        <v/>
      </c>
      <c r="CL8" s="2" t="e">
        <f>VLOOKUP(AI8,GLAPS정리!$BT$3:$BV$26,3,0)</f>
        <v>#N/A</v>
      </c>
    </row>
    <row r="9" spans="1:90" ht="20.45" customHeight="1">
      <c r="B9" s="13"/>
      <c r="C9" s="13"/>
      <c r="E9" s="13"/>
      <c r="F9" s="13"/>
      <c r="G9" s="13"/>
      <c r="H9" s="13"/>
      <c r="I9" s="13"/>
      <c r="J9" s="13"/>
      <c r="K9" s="13"/>
      <c r="L9" s="13"/>
      <c r="M9" s="13"/>
      <c r="N9" s="13"/>
      <c r="X9" s="13"/>
      <c r="Y9" s="13"/>
      <c r="Z9" s="91"/>
      <c r="AC9" s="2">
        <f t="shared" si="0"/>
        <v>20</v>
      </c>
      <c r="AD9" s="2" t="str">
        <f>IFERROR(INDEX(GLAPS정리!$D$2:$D$50,MATCH(I9,GLAPS정리!$A$2:$A$50,0)),IFERROR(INDEX(GLAPS정리!$D$2:$D$50,MATCH(I9,GLAPS정리!$B$2:$B$50,0)),""))</f>
        <v/>
      </c>
      <c r="AF9" s="2" t="str">
        <f t="shared" si="1"/>
        <v>KR10</v>
      </c>
      <c r="AI9" s="2" t="e">
        <f>VLOOKUP(F9,GLAPS정리!$G$3:$J$114,2,0)</f>
        <v>#N/A</v>
      </c>
      <c r="AJ9" s="2" t="e">
        <f>IF(Z9="울산정일","KRONS",IF(Z9="울산신항","KRUSN",IF(OR(Z9="선광종합물류(인천여객)",Z9="인천여객(인천여객)"),"KRINF",IF(OR(Z9="선광인천보세(인천신)",Z9="한진인천(인천신)",Z9="선광인천신항(인천신)",Z9="인천더로지스(인천신)"),"KRINN",IF(OR(Z9="인천진아(인천항)",Z9="인천E1(인천항)",Z9="인천SM경인터미널(인천항)",Z9="인천항(인천항)",Z9="인천우련(인천항)",Z9="인천항8부두(인천항)"),"KRINC",VLOOKUP(K9,GLAPS정리!$BB$2:$BC$33,2,0))))))</f>
        <v>#N/A</v>
      </c>
      <c r="AL9" s="2">
        <f t="shared" si="10"/>
        <v>5010001</v>
      </c>
      <c r="AN9" s="70" t="str">
        <f t="shared" ref="AN9:AN11" si="11">TEXT(B9,"YYYY-MM-DD")</f>
        <v>1900-01-00</v>
      </c>
      <c r="AO9" s="2" t="str">
        <f t="shared" ref="AO9:AO11" si="12">IF(E9="오전", "0800", IF(E9="오후", "1300", IF(E9="잔업", "1800", "")))</f>
        <v/>
      </c>
      <c r="AP9" s="2" t="e">
        <f>VLOOKUP(C9,GLAPS정리!$AX$2:$AZ$17,3,0)</f>
        <v>#N/A</v>
      </c>
      <c r="AR9" s="2">
        <f t="shared" si="4"/>
        <v>0</v>
      </c>
      <c r="AX9" s="2" t="e">
        <f>VLOOKUP(L9,GLAPS정리!$V$3:$W$180,2,0)</f>
        <v>#N/A</v>
      </c>
      <c r="BM9" s="2" t="str">
        <f t="shared" ref="BM9:BM11" si="13">IF(AND(Q9=1,OR(P9="",P9="위험물")), "2210", IF(AND(Q9=1,OR(P9="리퍼",P9="위험물리퍼")), "2230", IF(AND(S9=1,OR(P9="",P9="위험물")), "4510", IF(AND(S9=1,OR(P9="리퍼",P9="위험물리퍼")), "4530", IF(AND(R9=1,OR(P9="",P9="위험물")), "4210", IF(AND(R9=1,P9="리퍼"), "4230", " "))))))</f>
        <v xml:space="preserve"> </v>
      </c>
      <c r="BN9" s="2">
        <f t="shared" si="6"/>
        <v>1</v>
      </c>
      <c r="BR9" s="2" t="str">
        <f t="shared" ref="BR9:BR11" si="14">IF(OR(P9="리퍼",P9="위험물리퍼"),"Y","")</f>
        <v/>
      </c>
      <c r="BS9" s="2" t="str">
        <f t="shared" ref="BS9:BS11" si="15">IF(OR(P9="위험물",P9="위험물리퍼"),"Y","")</f>
        <v/>
      </c>
      <c r="BV9" s="2" t="e">
        <f>VLOOKUP(O9,GLAPS정리!$BH$2:$BI$94,2,0)</f>
        <v>#N/A</v>
      </c>
      <c r="BW9" s="2" t="str">
        <f>IF(OR(Z9="동원",Z9="세방",Z9="한타"),"",IFERROR(INDEX(GLAPS정리!$BI$2:$BI$101,MATCH(Z9,GLAPS정리!$BH$2:$BH$101,0)),""))</f>
        <v/>
      </c>
      <c r="BX9" s="2" t="str">
        <f>IF(Z9="","",IFERROR(VLOOKUP(Z9,GLAPS정리!$AX$2:$AZ$17,3,0),""))</f>
        <v/>
      </c>
      <c r="BZ9" s="2" t="e">
        <f>VLOOKUP(H9,GLAPS정리!$L$3:$O$133,2,0)</f>
        <v>#N/A</v>
      </c>
      <c r="CA9" s="2" t="str">
        <f t="shared" ref="CA9:CA11" si="16">IF(V9="공휴일", 10, IF(V9="야간", 20, IF(V9="위험물", 30, IF(V9="중량", 40, ""))))</f>
        <v/>
      </c>
      <c r="CL9" s="2" t="e">
        <f>VLOOKUP(AI9,GLAPS정리!$BT$3:$BV$26,3,0)</f>
        <v>#N/A</v>
      </c>
    </row>
    <row r="10" spans="1:90" ht="20.45" customHeight="1">
      <c r="B10" s="13"/>
      <c r="C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X10" s="13"/>
      <c r="Y10" s="13"/>
      <c r="Z10" s="91"/>
      <c r="AC10" s="2">
        <f t="shared" si="0"/>
        <v>20</v>
      </c>
      <c r="AD10" s="2" t="str">
        <f>IFERROR(INDEX(GLAPS정리!$D$2:$D$50,MATCH(I10,GLAPS정리!$A$2:$A$50,0)),IFERROR(INDEX(GLAPS정리!$D$2:$D$50,MATCH(I10,GLAPS정리!$B$2:$B$50,0)),""))</f>
        <v/>
      </c>
      <c r="AF10" s="2" t="str">
        <f t="shared" si="1"/>
        <v>KR10</v>
      </c>
      <c r="AI10" s="2" t="e">
        <f>VLOOKUP(F10,GLAPS정리!$G$3:$J$114,2,0)</f>
        <v>#N/A</v>
      </c>
      <c r="AJ10" s="2" t="e">
        <f>IF(Z10="울산정일","KRONS",IF(Z10="울산신항","KRUSN",IF(OR(Z10="선광종합물류(인천여객)",Z10="인천여객(인천여객)"),"KRINF",IF(OR(Z10="선광인천보세(인천신)",Z10="한진인천(인천신)",Z10="선광인천신항(인천신)",Z10="인천더로지스(인천신)"),"KRINN",IF(OR(Z10="인천진아(인천항)",Z10="인천E1(인천항)",Z10="인천SM경인터미널(인천항)",Z10="인천항(인천항)",Z10="인천우련(인천항)",Z10="인천항8부두(인천항)"),"KRINC",VLOOKUP(K10,GLAPS정리!$BB$2:$BC$33,2,0))))))</f>
        <v>#N/A</v>
      </c>
      <c r="AL10" s="2">
        <f t="shared" si="10"/>
        <v>5010001</v>
      </c>
      <c r="AN10" s="70" t="str">
        <f t="shared" si="11"/>
        <v>1900-01-00</v>
      </c>
      <c r="AO10" s="2" t="str">
        <f t="shared" si="12"/>
        <v/>
      </c>
      <c r="AP10" s="2" t="e">
        <f>VLOOKUP(C10,GLAPS정리!$AX$2:$AZ$17,3,0)</f>
        <v>#N/A</v>
      </c>
      <c r="AR10" s="2">
        <f t="shared" si="4"/>
        <v>0</v>
      </c>
      <c r="AX10" s="2" t="e">
        <f>VLOOKUP(L10,GLAPS정리!$V$3:$W$180,2,0)</f>
        <v>#N/A</v>
      </c>
      <c r="BM10" s="2" t="str">
        <f t="shared" si="13"/>
        <v xml:space="preserve"> </v>
      </c>
      <c r="BN10" s="2">
        <f t="shared" si="6"/>
        <v>1</v>
      </c>
      <c r="BR10" s="2" t="str">
        <f t="shared" si="14"/>
        <v/>
      </c>
      <c r="BS10" s="2" t="str">
        <f t="shared" si="15"/>
        <v/>
      </c>
      <c r="BV10" s="2" t="e">
        <f>VLOOKUP(O10,GLAPS정리!$BH$2:$BI$94,2,0)</f>
        <v>#N/A</v>
      </c>
      <c r="BW10" s="2" t="str">
        <f>IF(OR(Z10="동원",Z10="세방",Z10="한타"),"",IFERROR(INDEX(GLAPS정리!$BI$2:$BI$101,MATCH(Z10,GLAPS정리!$BH$2:$BH$101,0)),""))</f>
        <v/>
      </c>
      <c r="BX10" s="2" t="str">
        <f>IF(Z10="","",IFERROR(VLOOKUP(Z10,GLAPS정리!$AX$2:$AZ$17,3,0),""))</f>
        <v/>
      </c>
      <c r="BZ10" s="2" t="e">
        <f>VLOOKUP(H10,GLAPS정리!$L$3:$O$133,2,0)</f>
        <v>#N/A</v>
      </c>
      <c r="CA10" s="2" t="str">
        <f t="shared" si="16"/>
        <v/>
      </c>
      <c r="CL10" s="2" t="e">
        <f>VLOOKUP(AI10,GLAPS정리!$BT$3:$BV$26,3,0)</f>
        <v>#N/A</v>
      </c>
    </row>
    <row r="11" spans="1:90" ht="20.45" customHeight="1">
      <c r="B11" s="13"/>
      <c r="C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X11" s="13"/>
      <c r="Y11" s="13"/>
      <c r="Z11" s="91"/>
      <c r="AC11" s="2">
        <f t="shared" si="0"/>
        <v>20</v>
      </c>
      <c r="AD11" s="2" t="str">
        <f>IFERROR(INDEX(GLAPS정리!$D$2:$D$50,MATCH(I11,GLAPS정리!$A$2:$A$50,0)),IFERROR(INDEX(GLAPS정리!$D$2:$D$50,MATCH(I11,GLAPS정리!$B$2:$B$50,0)),""))</f>
        <v/>
      </c>
      <c r="AF11" s="2" t="str">
        <f t="shared" si="1"/>
        <v>KR10</v>
      </c>
      <c r="AI11" s="2" t="e">
        <f>VLOOKUP(F11,GLAPS정리!$G$3:$J$114,2,0)</f>
        <v>#N/A</v>
      </c>
      <c r="AJ11" s="2" t="e">
        <f>IF(Z11="울산정일","KRONS",IF(Z11="울산신항","KRUSN",IF(OR(Z11="선광종합물류(인천여객)",Z11="인천여객(인천여객)"),"KRINF",IF(OR(Z11="선광인천보세(인천신)",Z11="한진인천(인천신)",Z11="선광인천신항(인천신)",Z11="인천더로지스(인천신)"),"KRINN",IF(OR(Z11="인천진아(인천항)",Z11="인천E1(인천항)",Z11="인천SM경인터미널(인천항)",Z11="인천항(인천항)",Z11="인천우련(인천항)",Z11="인천항8부두(인천항)"),"KRINC",VLOOKUP(K11,GLAPS정리!$BB$2:$BC$33,2,0))))))</f>
        <v>#N/A</v>
      </c>
      <c r="AL11" s="2">
        <f t="shared" si="10"/>
        <v>5010001</v>
      </c>
      <c r="AN11" s="70" t="str">
        <f t="shared" si="11"/>
        <v>1900-01-00</v>
      </c>
      <c r="AO11" s="2" t="str">
        <f t="shared" si="12"/>
        <v/>
      </c>
      <c r="AP11" s="2" t="e">
        <f>VLOOKUP(C11,GLAPS정리!$AX$2:$AZ$17,3,0)</f>
        <v>#N/A</v>
      </c>
      <c r="AR11" s="2">
        <f t="shared" si="4"/>
        <v>0</v>
      </c>
      <c r="AX11" s="2" t="e">
        <f>VLOOKUP(L11,GLAPS정리!$V$3:$W$180,2,0)</f>
        <v>#N/A</v>
      </c>
      <c r="BM11" s="2" t="str">
        <f t="shared" si="13"/>
        <v xml:space="preserve"> </v>
      </c>
      <c r="BN11" s="2">
        <f t="shared" si="6"/>
        <v>1</v>
      </c>
      <c r="BR11" s="2" t="str">
        <f t="shared" si="14"/>
        <v/>
      </c>
      <c r="BS11" s="2" t="str">
        <f t="shared" si="15"/>
        <v/>
      </c>
      <c r="BV11" s="2" t="e">
        <f>VLOOKUP(O11,GLAPS정리!$BH$2:$BI$94,2,0)</f>
        <v>#N/A</v>
      </c>
      <c r="BW11" s="2" t="str">
        <f>IF(OR(Z11="동원",Z11="세방",Z11="한타"),"",IFERROR(INDEX(GLAPS정리!$BI$2:$BI$101,MATCH(Z11,GLAPS정리!$BH$2:$BH$101,0)),""))</f>
        <v/>
      </c>
      <c r="BX11" s="2" t="str">
        <f>IF(Z11="","",IFERROR(VLOOKUP(Z11,GLAPS정리!$AX$2:$AZ$17,3,0),""))</f>
        <v/>
      </c>
      <c r="BZ11" s="2" t="e">
        <f>VLOOKUP(H11,GLAPS정리!$L$3:$O$133,2,0)</f>
        <v>#N/A</v>
      </c>
      <c r="CA11" s="2" t="str">
        <f t="shared" si="16"/>
        <v/>
      </c>
      <c r="CL11" s="2" t="e">
        <f>VLOOKUP(AI11,GLAPS정리!$BT$3:$BV$26,3,0)</f>
        <v>#N/A</v>
      </c>
    </row>
    <row r="12" spans="1:90" ht="20.45" customHeight="1">
      <c r="B12" s="13"/>
      <c r="C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X12" s="13"/>
      <c r="Y12" s="13"/>
      <c r="Z12" s="91"/>
      <c r="AC12" s="2">
        <f t="shared" si="0"/>
        <v>20</v>
      </c>
      <c r="AD12" s="2" t="str">
        <f>IFERROR(INDEX(GLAPS정리!$D$2:$D$50,MATCH(I12,GLAPS정리!$A$2:$A$50,0)),IFERROR(INDEX(GLAPS정리!$D$2:$D$50,MATCH(I12,GLAPS정리!$B$2:$B$50,0)),""))</f>
        <v/>
      </c>
      <c r="AF12" s="2" t="str">
        <f t="shared" si="1"/>
        <v>KR10</v>
      </c>
      <c r="AI12" s="2" t="e">
        <f>VLOOKUP(F12,GLAPS정리!$G$3:$J$114,2,0)</f>
        <v>#N/A</v>
      </c>
      <c r="AJ12" s="2" t="e">
        <f>IF(Z12="울산정일","KRONS",IF(Z12="울산신항","KRUSN",IF(OR(Z12="선광종합물류(인천여객)",Z12="인천여객(인천여객)"),"KRINF",IF(OR(Z12="선광인천보세(인천신)",Z12="한진인천(인천신)",Z12="선광인천신항(인천신)",Z12="인천더로지스(인천신)"),"KRINN",IF(OR(Z12="인천진아(인천항)",Z12="인천E1(인천항)",Z12="인천SM경인터미널(인천항)",Z12="인천항(인천항)",Z12="인천우련(인천항)",Z12="인천항8부두(인천항)"),"KRINC",VLOOKUP(K12,GLAPS정리!$BB$2:$BC$33,2,0))))))</f>
        <v>#N/A</v>
      </c>
      <c r="AL12" s="2">
        <f t="shared" si="10"/>
        <v>5010001</v>
      </c>
      <c r="AN12" s="70" t="str">
        <f t="shared" si="2"/>
        <v>1900-01-00</v>
      </c>
      <c r="AO12" s="2" t="str">
        <f t="shared" si="3"/>
        <v/>
      </c>
      <c r="AP12" s="2" t="e">
        <f>VLOOKUP(C12,GLAPS정리!$AX$2:$AZ$17,3,0)</f>
        <v>#N/A</v>
      </c>
      <c r="AR12" s="2">
        <f t="shared" si="4"/>
        <v>0</v>
      </c>
      <c r="AX12" s="2" t="e">
        <f>VLOOKUP(L12,GLAPS정리!$V$3:$W$180,2,0)</f>
        <v>#N/A</v>
      </c>
      <c r="BM12" s="2" t="str">
        <f t="shared" si="5"/>
        <v xml:space="preserve"> </v>
      </c>
      <c r="BN12" s="2">
        <f t="shared" si="6"/>
        <v>1</v>
      </c>
      <c r="BR12" s="2" t="str">
        <f t="shared" si="7"/>
        <v/>
      </c>
      <c r="BS12" s="2" t="str">
        <f t="shared" si="8"/>
        <v/>
      </c>
      <c r="BV12" s="2" t="e">
        <f>VLOOKUP(O12,GLAPS정리!$BH$2:$BI$94,2,0)</f>
        <v>#N/A</v>
      </c>
      <c r="BW12" s="2" t="str">
        <f>IF(OR(Z12="동원",Z12="세방",Z12="한타"),"",IFERROR(INDEX(GLAPS정리!$BI$2:$BI$101,MATCH(Z12,GLAPS정리!$BH$2:$BH$101,0)),""))</f>
        <v/>
      </c>
      <c r="BX12" s="2" t="str">
        <f>IF(Z12="","",IFERROR(VLOOKUP(Z12,GLAPS정리!$AX$2:$AZ$17,3,0),""))</f>
        <v/>
      </c>
      <c r="BZ12" s="2" t="e">
        <f>VLOOKUP(H12,GLAPS정리!$L$3:$O$133,2,0)</f>
        <v>#N/A</v>
      </c>
      <c r="CA12" s="2" t="str">
        <f t="shared" si="9"/>
        <v/>
      </c>
      <c r="CL12" s="2" t="e">
        <f>VLOOKUP(AI12,GLAPS정리!$BT$3:$BV$26,3,0)</f>
        <v>#N/A</v>
      </c>
    </row>
    <row r="13" spans="1:90" ht="20.45" customHeight="1">
      <c r="B13" s="13"/>
      <c r="C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X13" s="13"/>
      <c r="Y13" s="13"/>
      <c r="Z13" s="91"/>
      <c r="AC13" s="2">
        <f t="shared" si="0"/>
        <v>20</v>
      </c>
      <c r="AD13" s="2" t="str">
        <f>IFERROR(INDEX(GLAPS정리!$D$2:$D$50,MATCH(I13,GLAPS정리!$A$2:$A$50,0)),IFERROR(INDEX(GLAPS정리!$D$2:$D$50,MATCH(I13,GLAPS정리!$B$2:$B$50,0)),""))</f>
        <v/>
      </c>
      <c r="AF13" s="2" t="str">
        <f t="shared" si="1"/>
        <v>KR10</v>
      </c>
      <c r="AI13" s="2" t="e">
        <f>VLOOKUP(F13,GLAPS정리!$G$3:$J$114,2,0)</f>
        <v>#N/A</v>
      </c>
      <c r="AJ13" s="2" t="e">
        <f>IF(Z13="울산정일","KRONS",IF(Z13="울산신항","KRUSN",IF(OR(Z13="선광종합물류(인천여객)",Z13="인천여객(인천여객)"),"KRINF",IF(OR(Z13="선광인천보세(인천신)",Z13="한진인천(인천신)",Z13="선광인천신항(인천신)",Z13="인천더로지스(인천신)"),"KRINN",IF(OR(Z13="인천진아(인천항)",Z13="인천E1(인천항)",Z13="인천SM경인터미널(인천항)",Z13="인천항(인천항)",Z13="인천우련(인천항)",Z13="인천항8부두(인천항)"),"KRINC",VLOOKUP(K13,GLAPS정리!$BB$2:$BC$33,2,0))))))</f>
        <v>#N/A</v>
      </c>
      <c r="AL13" s="2">
        <f t="shared" si="10"/>
        <v>5010001</v>
      </c>
      <c r="AN13" s="70" t="str">
        <f t="shared" si="2"/>
        <v>1900-01-00</v>
      </c>
      <c r="AO13" s="2" t="str">
        <f t="shared" si="3"/>
        <v/>
      </c>
      <c r="AP13" s="2" t="e">
        <f>VLOOKUP(C13,GLAPS정리!$AX$2:$AZ$17,3,0)</f>
        <v>#N/A</v>
      </c>
      <c r="AR13" s="2">
        <f t="shared" si="4"/>
        <v>0</v>
      </c>
      <c r="AX13" s="2" t="e">
        <f>VLOOKUP(L13,GLAPS정리!$V$3:$W$180,2,0)</f>
        <v>#N/A</v>
      </c>
      <c r="BM13" s="2" t="str">
        <f t="shared" si="5"/>
        <v xml:space="preserve"> </v>
      </c>
      <c r="BN13" s="2">
        <f t="shared" si="6"/>
        <v>1</v>
      </c>
      <c r="BR13" s="2" t="str">
        <f t="shared" si="7"/>
        <v/>
      </c>
      <c r="BS13" s="2" t="str">
        <f t="shared" si="8"/>
        <v/>
      </c>
      <c r="BV13" s="2" t="e">
        <f>VLOOKUP(O13,GLAPS정리!$BH$2:$BI$94,2,0)</f>
        <v>#N/A</v>
      </c>
      <c r="BW13" s="2" t="str">
        <f>IF(OR(Z13="동원",Z13="세방",Z13="한타"),"",IFERROR(INDEX(GLAPS정리!$BI$2:$BI$101,MATCH(Z13,GLAPS정리!$BH$2:$BH$101,0)),""))</f>
        <v/>
      </c>
      <c r="BX13" s="2" t="str">
        <f>IF(Z13="","",IFERROR(VLOOKUP(Z13,GLAPS정리!$AX$2:$AZ$17,3,0),""))</f>
        <v/>
      </c>
      <c r="BZ13" s="2" t="e">
        <f>VLOOKUP(H13,GLAPS정리!$L$3:$O$133,2,0)</f>
        <v>#N/A</v>
      </c>
      <c r="CA13" s="2" t="str">
        <f t="shared" si="9"/>
        <v/>
      </c>
      <c r="CL13" s="2" t="e">
        <f>VLOOKUP(AI13,GLAPS정리!$BT$3:$BV$26,3,0)</f>
        <v>#N/A</v>
      </c>
    </row>
    <row r="14" spans="1:90" ht="20.45" customHeight="1">
      <c r="B14" s="13"/>
      <c r="C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X14" s="13"/>
      <c r="Y14" s="13"/>
      <c r="Z14" s="91"/>
      <c r="AC14" s="2">
        <f t="shared" si="0"/>
        <v>20</v>
      </c>
      <c r="AD14" s="2" t="str">
        <f>IFERROR(INDEX(GLAPS정리!$D$2:$D$50,MATCH(I14,GLAPS정리!$A$2:$A$50,0)),IFERROR(INDEX(GLAPS정리!$D$2:$D$50,MATCH(I14,GLAPS정리!$B$2:$B$50,0)),""))</f>
        <v/>
      </c>
      <c r="AF14" s="2" t="str">
        <f t="shared" si="1"/>
        <v>KR10</v>
      </c>
      <c r="AI14" s="2" t="e">
        <f>VLOOKUP(F14,GLAPS정리!$G$3:$J$114,2,0)</f>
        <v>#N/A</v>
      </c>
      <c r="AJ14" s="2" t="e">
        <f>IF(Z14="울산정일","KRONS",IF(Z14="울산신항","KRUSN",IF(OR(Z14="선광종합물류(인천여객)",Z14="인천여객(인천여객)"),"KRINF",IF(OR(Z14="선광인천보세(인천신)",Z14="한진인천(인천신)",Z14="선광인천신항(인천신)",Z14="인천더로지스(인천신)"),"KRINN",IF(OR(Z14="인천진아(인천항)",Z14="인천E1(인천항)",Z14="인천SM경인터미널(인천항)",Z14="인천항(인천항)",Z14="인천우련(인천항)",Z14="인천항8부두(인천항)"),"KRINC",VLOOKUP(K14,GLAPS정리!$BB$2:$BC$33,2,0))))))</f>
        <v>#N/A</v>
      </c>
      <c r="AL14" s="2">
        <f t="shared" si="10"/>
        <v>5010001</v>
      </c>
      <c r="AN14" s="70" t="str">
        <f t="shared" si="2"/>
        <v>1900-01-00</v>
      </c>
      <c r="AO14" s="2" t="str">
        <f t="shared" si="3"/>
        <v/>
      </c>
      <c r="AP14" s="2" t="e">
        <f>VLOOKUP(C14,GLAPS정리!$AX$2:$AZ$17,3,0)</f>
        <v>#N/A</v>
      </c>
      <c r="AR14" s="2">
        <f t="shared" si="4"/>
        <v>0</v>
      </c>
      <c r="AX14" s="2" t="e">
        <f>VLOOKUP(L14,GLAPS정리!$V$3:$W$180,2,0)</f>
        <v>#N/A</v>
      </c>
      <c r="BM14" s="2" t="str">
        <f t="shared" si="5"/>
        <v xml:space="preserve"> </v>
      </c>
      <c r="BN14" s="2">
        <f t="shared" si="6"/>
        <v>1</v>
      </c>
      <c r="BR14" s="2" t="str">
        <f t="shared" si="7"/>
        <v/>
      </c>
      <c r="BS14" s="2" t="str">
        <f t="shared" si="8"/>
        <v/>
      </c>
      <c r="BV14" s="2" t="e">
        <f>VLOOKUP(O14,GLAPS정리!$BH$2:$BI$94,2,0)</f>
        <v>#N/A</v>
      </c>
      <c r="BW14" s="2" t="str">
        <f>IF(OR(Z14="동원",Z14="세방",Z14="한타"),"",IFERROR(INDEX(GLAPS정리!$BI$2:$BI$101,MATCH(Z14,GLAPS정리!$BH$2:$BH$101,0)),""))</f>
        <v/>
      </c>
      <c r="BX14" s="2" t="str">
        <f>IF(Z14="","",IFERROR(VLOOKUP(Z14,GLAPS정리!$AX$2:$AZ$17,3,0),""))</f>
        <v/>
      </c>
      <c r="BZ14" s="2" t="e">
        <f>VLOOKUP(H14,GLAPS정리!$L$3:$O$133,2,0)</f>
        <v>#N/A</v>
      </c>
      <c r="CA14" s="2" t="str">
        <f t="shared" si="9"/>
        <v/>
      </c>
      <c r="CL14" s="2" t="e">
        <f>VLOOKUP(AI14,GLAPS정리!$BT$3:$BV$26,3,0)</f>
        <v>#N/A</v>
      </c>
    </row>
    <row r="15" spans="1:90" ht="20.45" customHeight="1">
      <c r="A15" s="70"/>
      <c r="B15" s="13"/>
      <c r="C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X15" s="13"/>
      <c r="Y15" s="13"/>
      <c r="Z15" s="91"/>
      <c r="AC15" s="2">
        <f t="shared" si="0"/>
        <v>20</v>
      </c>
      <c r="AD15" s="2" t="str">
        <f>IFERROR(INDEX(GLAPS정리!$D$2:$D$50,MATCH(I15,GLAPS정리!$A$2:$A$50,0)),IFERROR(INDEX(GLAPS정리!$D$2:$D$50,MATCH(I15,GLAPS정리!$B$2:$B$50,0)),""))</f>
        <v/>
      </c>
      <c r="AF15" s="2" t="str">
        <f t="shared" si="1"/>
        <v>KR10</v>
      </c>
      <c r="AI15" s="2" t="e">
        <f>VLOOKUP(F15,GLAPS정리!$G$3:$J$114,2,0)</f>
        <v>#N/A</v>
      </c>
      <c r="AJ15" s="2" t="e">
        <f>IF(Z15="울산정일","KRONS",IF(Z15="울산신항","KRUSN",IF(OR(Z15="선광종합물류(인천여객)",Z15="인천여객(인천여객)"),"KRINF",IF(OR(Z15="선광인천보세(인천신)",Z15="한진인천(인천신)",Z15="선광인천신항(인천신)",Z15="인천더로지스(인천신)"),"KRINN",IF(OR(Z15="인천진아(인천항)",Z15="인천E1(인천항)",Z15="인천SM경인터미널(인천항)",Z15="인천항(인천항)",Z15="인천우련(인천항)",Z15="인천항8부두(인천항)"),"KRINC",VLOOKUP(K15,GLAPS정리!$BB$2:$BC$33,2,0))))))</f>
        <v>#N/A</v>
      </c>
      <c r="AL15" s="2">
        <f t="shared" si="10"/>
        <v>5010001</v>
      </c>
      <c r="AN15" s="70" t="str">
        <f t="shared" si="2"/>
        <v>1900-01-00</v>
      </c>
      <c r="AO15" s="2" t="str">
        <f t="shared" si="3"/>
        <v/>
      </c>
      <c r="AP15" s="2" t="e">
        <f>VLOOKUP(C15,GLAPS정리!$AX$2:$AZ$17,3,0)</f>
        <v>#N/A</v>
      </c>
      <c r="AR15" s="2">
        <f t="shared" si="4"/>
        <v>0</v>
      </c>
      <c r="AX15" s="2" t="e">
        <f>VLOOKUP(L15,GLAPS정리!$V$3:$W$180,2,0)</f>
        <v>#N/A</v>
      </c>
      <c r="BM15" s="2" t="str">
        <f t="shared" si="5"/>
        <v xml:space="preserve"> </v>
      </c>
      <c r="BN15" s="2">
        <f t="shared" si="6"/>
        <v>1</v>
      </c>
      <c r="BR15" s="2" t="str">
        <f t="shared" si="7"/>
        <v/>
      </c>
      <c r="BS15" s="2" t="str">
        <f t="shared" si="8"/>
        <v/>
      </c>
      <c r="BV15" s="2" t="e">
        <f>VLOOKUP(O15,GLAPS정리!$BH$2:$BI$94,2,0)</f>
        <v>#N/A</v>
      </c>
      <c r="BW15" s="2" t="str">
        <f>IF(OR(Z15="동원",Z15="세방",Z15="한타"),"",IFERROR(INDEX(GLAPS정리!$BI$2:$BI$101,MATCH(Z15,GLAPS정리!$BH$2:$BH$101,0)),""))</f>
        <v/>
      </c>
      <c r="BX15" s="2" t="str">
        <f>IF(Z15="","",IFERROR(VLOOKUP(Z15,GLAPS정리!$AX$2:$AZ$17,3,0),""))</f>
        <v/>
      </c>
      <c r="BZ15" s="2" t="e">
        <f>VLOOKUP(H15,GLAPS정리!$L$3:$O$133,2,0)</f>
        <v>#N/A</v>
      </c>
      <c r="CA15" s="2" t="str">
        <f t="shared" si="9"/>
        <v/>
      </c>
      <c r="CL15" s="2" t="e">
        <f>VLOOKUP(AI15,GLAPS정리!$BT$3:$BV$26,3,0)</f>
        <v>#N/A</v>
      </c>
    </row>
    <row r="16" spans="1:90" ht="20.45" customHeight="1">
      <c r="A16" s="70"/>
      <c r="B16" s="13"/>
      <c r="C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X16" s="13"/>
      <c r="Y16" s="13"/>
      <c r="Z16" s="91"/>
      <c r="AC16" s="2">
        <f t="shared" si="0"/>
        <v>20</v>
      </c>
      <c r="AD16" s="2" t="str">
        <f>IFERROR(INDEX(GLAPS정리!$D$2:$D$50,MATCH(I16,GLAPS정리!$A$2:$A$50,0)),IFERROR(INDEX(GLAPS정리!$D$2:$D$50,MATCH(I16,GLAPS정리!$B$2:$B$50,0)),""))</f>
        <v/>
      </c>
      <c r="AF16" s="2" t="str">
        <f t="shared" si="1"/>
        <v>KR10</v>
      </c>
      <c r="AI16" s="2" t="e">
        <f>VLOOKUP(F16,GLAPS정리!$G$3:$J$114,2,0)</f>
        <v>#N/A</v>
      </c>
      <c r="AJ16" s="2" t="e">
        <f>IF(Z16="울산정일","KRONS",IF(Z16="울산신항","KRUSN",IF(OR(Z16="선광종합물류(인천여객)",Z16="인천여객(인천여객)"),"KRINF",IF(OR(Z16="선광인천보세(인천신)",Z16="한진인천(인천신)",Z16="선광인천신항(인천신)",Z16="인천더로지스(인천신)"),"KRINN",IF(OR(Z16="인천진아(인천항)",Z16="인천E1(인천항)",Z16="인천SM경인터미널(인천항)",Z16="인천항(인천항)",Z16="인천우련(인천항)",Z16="인천항8부두(인천항)"),"KRINC",VLOOKUP(K16,GLAPS정리!$BB$2:$BC$33,2,0))))))</f>
        <v>#N/A</v>
      </c>
      <c r="AL16" s="2">
        <f t="shared" si="10"/>
        <v>5010001</v>
      </c>
      <c r="AN16" s="70" t="str">
        <f t="shared" si="2"/>
        <v>1900-01-00</v>
      </c>
      <c r="AO16" s="2" t="str">
        <f t="shared" si="3"/>
        <v/>
      </c>
      <c r="AP16" s="2" t="e">
        <f>VLOOKUP(C16,GLAPS정리!$AX$2:$AZ$17,3,0)</f>
        <v>#N/A</v>
      </c>
      <c r="AR16" s="2">
        <f t="shared" si="4"/>
        <v>0</v>
      </c>
      <c r="AX16" s="2" t="e">
        <f>VLOOKUP(L16,GLAPS정리!$V$3:$W$180,2,0)</f>
        <v>#N/A</v>
      </c>
      <c r="BM16" s="2" t="str">
        <f t="shared" si="5"/>
        <v xml:space="preserve"> </v>
      </c>
      <c r="BN16" s="2">
        <f t="shared" si="6"/>
        <v>1</v>
      </c>
      <c r="BR16" s="2" t="str">
        <f t="shared" si="7"/>
        <v/>
      </c>
      <c r="BS16" s="2" t="str">
        <f t="shared" si="8"/>
        <v/>
      </c>
      <c r="BV16" s="2" t="e">
        <f>VLOOKUP(O16,GLAPS정리!$BH$2:$BI$94,2,0)</f>
        <v>#N/A</v>
      </c>
      <c r="BW16" s="2" t="str">
        <f>IF(OR(Z16="동원",Z16="세방",Z16="한타"),"",IFERROR(INDEX(GLAPS정리!$BI$2:$BI$101,MATCH(Z16,GLAPS정리!$BH$2:$BH$101,0)),""))</f>
        <v/>
      </c>
      <c r="BX16" s="2" t="str">
        <f>IF(Z16="","",IFERROR(VLOOKUP(Z16,GLAPS정리!$AX$2:$AZ$17,3,0),""))</f>
        <v/>
      </c>
      <c r="BZ16" s="2" t="e">
        <f>VLOOKUP(H16,GLAPS정리!$L$3:$O$133,2,0)</f>
        <v>#N/A</v>
      </c>
      <c r="CA16" s="2" t="str">
        <f t="shared" si="9"/>
        <v/>
      </c>
      <c r="CL16" s="2" t="e">
        <f>VLOOKUP(AI16,GLAPS정리!$BT$3:$BV$26,3,0)</f>
        <v>#N/A</v>
      </c>
    </row>
    <row r="17" spans="1:90" ht="20.45" customHeight="1">
      <c r="A17" s="70"/>
      <c r="B17" s="13"/>
      <c r="C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X17" s="13"/>
      <c r="Y17" s="13"/>
      <c r="Z17" s="91"/>
      <c r="AC17" s="2">
        <f t="shared" si="0"/>
        <v>20</v>
      </c>
      <c r="AD17" s="2" t="str">
        <f>IFERROR(INDEX(GLAPS정리!$D$2:$D$50,MATCH(I17,GLAPS정리!$A$2:$A$50,0)),IFERROR(INDEX(GLAPS정리!$D$2:$D$50,MATCH(I17,GLAPS정리!$B$2:$B$50,0)),""))</f>
        <v/>
      </c>
      <c r="AF17" s="2" t="str">
        <f t="shared" si="1"/>
        <v>KR10</v>
      </c>
      <c r="AI17" s="2" t="e">
        <f>VLOOKUP(F17,GLAPS정리!$G$3:$J$114,2,0)</f>
        <v>#N/A</v>
      </c>
      <c r="AJ17" s="2" t="e">
        <f>IF(Z17="울산정일","KRONS",IF(Z17="울산신항","KRUSN",IF(OR(Z17="선광종합물류(인천여객)",Z17="인천여객(인천여객)"),"KRINF",IF(OR(Z17="선광인천보세(인천신)",Z17="한진인천(인천신)",Z17="선광인천신항(인천신)",Z17="인천더로지스(인천신)"),"KRINN",IF(OR(Z17="인천진아(인천항)",Z17="인천E1(인천항)",Z17="인천SM경인터미널(인천항)",Z17="인천항(인천항)",Z17="인천우련(인천항)",Z17="인천항8부두(인천항)"),"KRINC",VLOOKUP(K17,GLAPS정리!$BB$2:$BC$33,2,0))))))</f>
        <v>#N/A</v>
      </c>
      <c r="AL17" s="2">
        <f t="shared" si="10"/>
        <v>5010001</v>
      </c>
      <c r="AN17" s="70" t="str">
        <f t="shared" si="2"/>
        <v>1900-01-00</v>
      </c>
      <c r="AO17" s="2" t="str">
        <f t="shared" si="3"/>
        <v/>
      </c>
      <c r="AP17" s="2" t="e">
        <f>VLOOKUP(C17,GLAPS정리!$AX$2:$AZ$17,3,0)</f>
        <v>#N/A</v>
      </c>
      <c r="AR17" s="2">
        <f t="shared" si="4"/>
        <v>0</v>
      </c>
      <c r="AX17" s="2" t="e">
        <f>VLOOKUP(L17,GLAPS정리!$V$3:$W$180,2,0)</f>
        <v>#N/A</v>
      </c>
      <c r="BM17" s="2" t="str">
        <f t="shared" si="5"/>
        <v xml:space="preserve"> </v>
      </c>
      <c r="BN17" s="2">
        <f t="shared" si="6"/>
        <v>1</v>
      </c>
      <c r="BR17" s="2" t="str">
        <f t="shared" si="7"/>
        <v/>
      </c>
      <c r="BS17" s="2" t="str">
        <f t="shared" si="8"/>
        <v/>
      </c>
      <c r="BV17" s="2" t="e">
        <f>VLOOKUP(O17,GLAPS정리!$BH$2:$BI$94,2,0)</f>
        <v>#N/A</v>
      </c>
      <c r="BW17" s="2" t="str">
        <f>IF(OR(Z17="동원",Z17="세방",Z17="한타"),"",IFERROR(INDEX(GLAPS정리!$BI$2:$BI$101,MATCH(Z17,GLAPS정리!$BH$2:$BH$101,0)),""))</f>
        <v/>
      </c>
      <c r="BX17" s="2" t="str">
        <f>IF(Z17="","",IFERROR(VLOOKUP(Z17,GLAPS정리!$AX$2:$AZ$17,3,0),""))</f>
        <v/>
      </c>
      <c r="BZ17" s="2" t="e">
        <f>VLOOKUP(H17,GLAPS정리!$L$3:$O$133,2,0)</f>
        <v>#N/A</v>
      </c>
      <c r="CA17" s="2" t="str">
        <f t="shared" si="9"/>
        <v/>
      </c>
      <c r="CL17" s="2" t="e">
        <f>VLOOKUP(AI17,GLAPS정리!$BT$3:$BV$26,3,0)</f>
        <v>#N/A</v>
      </c>
    </row>
    <row r="18" spans="1:90" ht="20.45" customHeight="1">
      <c r="A18" s="70"/>
      <c r="B18" s="13"/>
      <c r="C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X18" s="13"/>
      <c r="Y18" s="13"/>
      <c r="Z18" s="91"/>
      <c r="AC18" s="2">
        <f t="shared" si="0"/>
        <v>20</v>
      </c>
      <c r="AD18" s="2" t="str">
        <f>IFERROR(INDEX(GLAPS정리!$D$2:$D$50,MATCH(I18,GLAPS정리!$A$2:$A$50,0)),IFERROR(INDEX(GLAPS정리!$D$2:$D$50,MATCH(I18,GLAPS정리!$B$2:$B$50,0)),""))</f>
        <v/>
      </c>
      <c r="AF18" s="2" t="str">
        <f t="shared" si="1"/>
        <v>KR10</v>
      </c>
      <c r="AI18" s="2" t="e">
        <f>VLOOKUP(F18,GLAPS정리!$G$3:$J$114,2,0)</f>
        <v>#N/A</v>
      </c>
      <c r="AJ18" s="2" t="e">
        <f>IF(Z18="울산정일","KRONS",IF(Z18="울산신항","KRUSN",IF(OR(Z18="선광종합물류(인천여객)",Z18="인천여객(인천여객)"),"KRINF",IF(OR(Z18="선광인천보세(인천신)",Z18="한진인천(인천신)",Z18="선광인천신항(인천신)",Z18="인천더로지스(인천신)"),"KRINN",IF(OR(Z18="인천진아(인천항)",Z18="인천E1(인천항)",Z18="인천SM경인터미널(인천항)",Z18="인천항(인천항)",Z18="인천우련(인천항)",Z18="인천항8부두(인천항)"),"KRINC",VLOOKUP(K18,GLAPS정리!$BB$2:$BC$33,2,0))))))</f>
        <v>#N/A</v>
      </c>
      <c r="AL18" s="2">
        <f t="shared" si="10"/>
        <v>5010001</v>
      </c>
      <c r="AN18" s="70" t="str">
        <f t="shared" si="2"/>
        <v>1900-01-00</v>
      </c>
      <c r="AO18" s="2" t="str">
        <f t="shared" si="3"/>
        <v/>
      </c>
      <c r="AP18" s="2" t="e">
        <f>VLOOKUP(C18,GLAPS정리!$AX$2:$AZ$17,3,0)</f>
        <v>#N/A</v>
      </c>
      <c r="AR18" s="2">
        <f t="shared" si="4"/>
        <v>0</v>
      </c>
      <c r="AX18" s="2" t="e">
        <f>VLOOKUP(L18,GLAPS정리!$V$3:$W$180,2,0)</f>
        <v>#N/A</v>
      </c>
      <c r="BM18" s="2" t="str">
        <f t="shared" si="5"/>
        <v xml:space="preserve"> </v>
      </c>
      <c r="BN18" s="2">
        <f t="shared" si="6"/>
        <v>1</v>
      </c>
      <c r="BR18" s="2" t="str">
        <f t="shared" si="7"/>
        <v/>
      </c>
      <c r="BS18" s="2" t="str">
        <f t="shared" si="8"/>
        <v/>
      </c>
      <c r="BV18" s="2" t="e">
        <f>VLOOKUP(O18,GLAPS정리!$BH$2:$BI$94,2,0)</f>
        <v>#N/A</v>
      </c>
      <c r="BW18" s="2" t="str">
        <f>IF(OR(Z18="동원",Z18="세방",Z18="한타"),"",IFERROR(INDEX(GLAPS정리!$BI$2:$BI$101,MATCH(Z18,GLAPS정리!$BH$2:$BH$101,0)),""))</f>
        <v/>
      </c>
      <c r="BX18" s="2" t="str">
        <f>IF(Z18="","",IFERROR(VLOOKUP(Z18,GLAPS정리!$AX$2:$AZ$17,3,0),""))</f>
        <v/>
      </c>
      <c r="BZ18" s="2" t="e">
        <f>VLOOKUP(H18,GLAPS정리!$L$3:$O$133,2,0)</f>
        <v>#N/A</v>
      </c>
      <c r="CA18" s="2" t="str">
        <f t="shared" si="9"/>
        <v/>
      </c>
      <c r="CL18" s="2" t="e">
        <f>VLOOKUP(AI18,GLAPS정리!$BT$3:$BV$26,3,0)</f>
        <v>#N/A</v>
      </c>
    </row>
    <row r="19" spans="1:90" ht="20.45" customHeight="1">
      <c r="B19" s="13"/>
      <c r="C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X19" s="13"/>
      <c r="Y19" s="13"/>
      <c r="Z19" s="91"/>
      <c r="AC19" s="2">
        <f t="shared" si="0"/>
        <v>20</v>
      </c>
      <c r="AD19" s="2" t="str">
        <f>IFERROR(INDEX(GLAPS정리!$D$2:$D$50,MATCH(I19,GLAPS정리!$A$2:$A$50,0)),IFERROR(INDEX(GLAPS정리!$D$2:$D$50,MATCH(I19,GLAPS정리!$B$2:$B$50,0)),""))</f>
        <v/>
      </c>
      <c r="AF19" s="2" t="str">
        <f t="shared" si="1"/>
        <v>KR10</v>
      </c>
      <c r="AI19" s="2" t="e">
        <f>VLOOKUP(F19,GLAPS정리!$G$3:$J$114,2,0)</f>
        <v>#N/A</v>
      </c>
      <c r="AJ19" s="2" t="e">
        <f>IF(Z19="울산정일","KRONS",IF(Z19="울산신항","KRUSN",IF(OR(Z19="선광종합물류(인천여객)",Z19="인천여객(인천여객)"),"KRINF",IF(OR(Z19="선광인천보세(인천신)",Z19="한진인천(인천신)",Z19="선광인천신항(인천신)",Z19="인천더로지스(인천신)"),"KRINN",IF(OR(Z19="인천진아(인천항)",Z19="인천E1(인천항)",Z19="인천SM경인터미널(인천항)",Z19="인천항(인천항)",Z19="인천우련(인천항)",Z19="인천항8부두(인천항)"),"KRINC",VLOOKUP(K19,GLAPS정리!$BB$2:$BC$33,2,0))))))</f>
        <v>#N/A</v>
      </c>
      <c r="AL19" s="2">
        <f t="shared" si="10"/>
        <v>5010001</v>
      </c>
      <c r="AN19" s="70" t="str">
        <f>TEXT(B19,"YYYY-MM-DD")</f>
        <v>1900-01-00</v>
      </c>
      <c r="AO19" s="2" t="str">
        <f>IF(E19="오전", "0800", IF(E19="오후", "1300", IF(E19="잔업", "1800", "")))</f>
        <v/>
      </c>
      <c r="AP19" s="2" t="e">
        <f>VLOOKUP(C19,GLAPS정리!$AX$2:$AZ$17,3,0)</f>
        <v>#N/A</v>
      </c>
      <c r="AR19" s="2">
        <f t="shared" si="4"/>
        <v>0</v>
      </c>
      <c r="AX19" s="2" t="e">
        <f>VLOOKUP(L19,GLAPS정리!$V$3:$W$180,2,0)</f>
        <v>#N/A</v>
      </c>
      <c r="BM19" s="2" t="str">
        <f>IF(AND(Q19=1,OR(P19="",P19="위험물")), "2210", IF(AND(Q19=1,OR(P19="리퍼",P19="위험물리퍼")), "2230", IF(AND(S19=1,OR(P19="",P19="위험물")), "4510", IF(AND(S19=1,OR(P19="리퍼",P19="위험물리퍼")), "4530", IF(AND(R19=1,OR(P19="",P19="위험물")), "4210", IF(AND(R19=1,P19="리퍼"), "4230", " "))))))</f>
        <v xml:space="preserve"> </v>
      </c>
      <c r="BN19" s="2">
        <f t="shared" si="6"/>
        <v>1</v>
      </c>
      <c r="BR19" s="2" t="str">
        <f>IF(OR(P19="리퍼",P19="위험물리퍼"),"Y","")</f>
        <v/>
      </c>
      <c r="BS19" s="2" t="str">
        <f>IF(OR(P19="위험물",P19="위험물리퍼"),"Y","")</f>
        <v/>
      </c>
      <c r="BV19" s="2" t="e">
        <f>VLOOKUP(O19,GLAPS정리!$BH$2:$BI$94,2,0)</f>
        <v>#N/A</v>
      </c>
      <c r="BW19" s="2" t="str">
        <f>IF(OR(Z19="동원",Z19="세방",Z19="한타"),"",IFERROR(INDEX(GLAPS정리!$BI$2:$BI$101,MATCH(Z19,GLAPS정리!$BH$2:$BH$101,0)),""))</f>
        <v/>
      </c>
      <c r="BX19" s="2" t="str">
        <f>IF(Z19="","",IFERROR(VLOOKUP(Z19,GLAPS정리!$AX$2:$AZ$17,3,0),""))</f>
        <v/>
      </c>
      <c r="BZ19" s="2" t="e">
        <f>VLOOKUP(H19,GLAPS정리!$L$3:$O$133,2,0)</f>
        <v>#N/A</v>
      </c>
      <c r="CA19" s="2" t="str">
        <f>IF(V19="공휴일", 10, IF(V19="야간", 20, IF(V19="위험물", 30, IF(V19="중량", 40, ""))))</f>
        <v/>
      </c>
      <c r="CL19" s="2" t="e">
        <f>VLOOKUP(AI19,GLAPS정리!$BT$3:$BV$26,3,0)</f>
        <v>#N/A</v>
      </c>
    </row>
    <row r="20" spans="1:90" ht="20.45" customHeight="1">
      <c r="B20" s="13"/>
      <c r="C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X20" s="13"/>
      <c r="Y20" s="13"/>
      <c r="Z20" s="91"/>
      <c r="AC20" s="2">
        <f t="shared" si="0"/>
        <v>20</v>
      </c>
      <c r="AD20" s="2" t="str">
        <f>IFERROR(INDEX(GLAPS정리!$D$2:$D$50,MATCH(I20,GLAPS정리!$A$2:$A$50,0)),IFERROR(INDEX(GLAPS정리!$D$2:$D$50,MATCH(I20,GLAPS정리!$B$2:$B$50,0)),""))</f>
        <v/>
      </c>
      <c r="AF20" s="2" t="str">
        <f t="shared" si="1"/>
        <v>KR10</v>
      </c>
      <c r="AI20" s="2" t="e">
        <f>VLOOKUP(F20,GLAPS정리!$G$3:$J$114,2,0)</f>
        <v>#N/A</v>
      </c>
      <c r="AJ20" s="2" t="e">
        <f>IF(Z20="울산정일","KRONS",IF(Z20="울산신항","KRUSN",IF(OR(Z20="선광종합물류(인천여객)",Z20="인천여객(인천여객)"),"KRINF",IF(OR(Z20="선광인천보세(인천신)",Z20="한진인천(인천신)",Z20="선광인천신항(인천신)",Z20="인천더로지스(인천신)"),"KRINN",IF(OR(Z20="인천진아(인천항)",Z20="인천E1(인천항)",Z20="인천SM경인터미널(인천항)",Z20="인천항(인천항)",Z20="인천우련(인천항)",Z20="인천항8부두(인천항)"),"KRINC",VLOOKUP(K20,GLAPS정리!$BB$2:$BC$33,2,0))))))</f>
        <v>#N/A</v>
      </c>
      <c r="AL20" s="2">
        <f t="shared" si="10"/>
        <v>5010001</v>
      </c>
      <c r="AN20" s="70" t="str">
        <f>TEXT(B20,"YYYY-MM-DD")</f>
        <v>1900-01-00</v>
      </c>
      <c r="AO20" s="2" t="str">
        <f>IF(E20="오전", "0800", IF(E20="오후", "1300", IF(E20="잔업", "1800", "")))</f>
        <v/>
      </c>
      <c r="AP20" s="2" t="e">
        <f>VLOOKUP(C20,GLAPS정리!$AX$2:$AZ$17,3,0)</f>
        <v>#N/A</v>
      </c>
      <c r="AR20" s="2">
        <f t="shared" si="4"/>
        <v>0</v>
      </c>
      <c r="AX20" s="2" t="e">
        <f>VLOOKUP(L20,GLAPS정리!$V$3:$W$180,2,0)</f>
        <v>#N/A</v>
      </c>
      <c r="BM20" s="2" t="str">
        <f>IF(AND(Q20=1,OR(P20="",P20="위험물")), "2210", IF(AND(Q20=1,OR(P20="리퍼",P20="위험물리퍼")), "2230", IF(AND(S20=1,OR(P20="",P20="위험물")), "4510", IF(AND(S20=1,OR(P20="리퍼",P20="위험물리퍼")), "4530", IF(AND(R20=1,OR(P20="",P20="위험물")), "4210", IF(AND(R20=1,P20="리퍼"), "4230", " "))))))</f>
        <v xml:space="preserve"> </v>
      </c>
      <c r="BN20" s="2">
        <f t="shared" si="6"/>
        <v>1</v>
      </c>
      <c r="BR20" s="2" t="str">
        <f>IF(OR(P20="리퍼",P20="위험물리퍼"),"Y","")</f>
        <v/>
      </c>
      <c r="BS20" s="2" t="str">
        <f>IF(OR(P20="위험물",P20="위험물리퍼"),"Y","")</f>
        <v/>
      </c>
      <c r="BV20" s="2" t="e">
        <f>VLOOKUP(O20,GLAPS정리!$BH$2:$BI$94,2,0)</f>
        <v>#N/A</v>
      </c>
      <c r="BW20" s="2" t="str">
        <f>IF(OR(Z20="동원",Z20="세방",Z20="한타"),"",IFERROR(INDEX(GLAPS정리!$BI$2:$BI$101,MATCH(Z20,GLAPS정리!$BH$2:$BH$101,0)),""))</f>
        <v/>
      </c>
      <c r="BX20" s="2" t="str">
        <f>IF(Z20="","",IFERROR(VLOOKUP(Z20,GLAPS정리!$AX$2:$AZ$17,3,0),""))</f>
        <v/>
      </c>
      <c r="BZ20" s="2" t="e">
        <f>VLOOKUP(H20,GLAPS정리!$L$3:$O$133,2,0)</f>
        <v>#N/A</v>
      </c>
      <c r="CA20" s="2" t="str">
        <f>IF(V20="공휴일", 10, IF(V20="야간", 20, IF(V20="위험물", 30, IF(V20="중량", 40, ""))))</f>
        <v/>
      </c>
      <c r="CL20" s="2" t="e">
        <f>VLOOKUP(AI20,GLAPS정리!$BT$3:$BV$26,3,0)</f>
        <v>#N/A</v>
      </c>
    </row>
    <row r="21" spans="1:90" ht="20.45" customHeight="1">
      <c r="A21" s="70"/>
      <c r="B21" s="13"/>
      <c r="C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X21" s="13"/>
      <c r="Y21" s="13"/>
      <c r="Z21" s="91"/>
      <c r="AC21" s="2">
        <f t="shared" si="0"/>
        <v>20</v>
      </c>
      <c r="AD21" s="2" t="str">
        <f>IFERROR(INDEX(GLAPS정리!$D$2:$D$50,MATCH(I21,GLAPS정리!$A$2:$A$50,0)),IFERROR(INDEX(GLAPS정리!$D$2:$D$50,MATCH(I21,GLAPS정리!$B$2:$B$50,0)),""))</f>
        <v/>
      </c>
      <c r="AF21" s="2" t="str">
        <f t="shared" si="1"/>
        <v>KR10</v>
      </c>
      <c r="AI21" s="2" t="e">
        <f>VLOOKUP(F21,GLAPS정리!$G$3:$J$114,2,0)</f>
        <v>#N/A</v>
      </c>
      <c r="AJ21" s="2" t="e">
        <f>IF(Z21="울산정일","KRONS",IF(Z21="울산신항","KRUSN",IF(OR(Z21="선광종합물류(인천여객)",Z21="인천여객(인천여객)"),"KRINF",IF(OR(Z21="선광인천보세(인천신)",Z21="한진인천(인천신)",Z21="선광인천신항(인천신)",Z21="인천더로지스(인천신)"),"KRINN",IF(OR(Z21="인천진아(인천항)",Z21="인천E1(인천항)",Z21="인천SM경인터미널(인천항)",Z21="인천항(인천항)",Z21="인천우련(인천항)",Z21="인천항8부두(인천항)"),"KRINC",VLOOKUP(K21,GLAPS정리!$BB$2:$BC$33,2,0))))))</f>
        <v>#N/A</v>
      </c>
      <c r="AL21" s="2">
        <f t="shared" si="10"/>
        <v>5010001</v>
      </c>
      <c r="AN21" s="70" t="str">
        <f t="shared" si="2"/>
        <v>1900-01-00</v>
      </c>
      <c r="AO21" s="2" t="str">
        <f t="shared" si="3"/>
        <v/>
      </c>
      <c r="AP21" s="2" t="e">
        <f>VLOOKUP(C21,GLAPS정리!$AX$2:$AZ$17,3,0)</f>
        <v>#N/A</v>
      </c>
      <c r="AR21" s="2">
        <f t="shared" si="4"/>
        <v>0</v>
      </c>
      <c r="AX21" s="2" t="e">
        <f>VLOOKUP(L21,GLAPS정리!$V$3:$W$180,2,0)</f>
        <v>#N/A</v>
      </c>
      <c r="BM21" s="2" t="str">
        <f t="shared" si="5"/>
        <v xml:space="preserve"> </v>
      </c>
      <c r="BN21" s="2">
        <f t="shared" si="6"/>
        <v>1</v>
      </c>
      <c r="BR21" s="2" t="str">
        <f t="shared" si="7"/>
        <v/>
      </c>
      <c r="BS21" s="2" t="str">
        <f t="shared" si="8"/>
        <v/>
      </c>
      <c r="BV21" s="2" t="e">
        <f>VLOOKUP(O21,GLAPS정리!$BH$2:$BI$94,2,0)</f>
        <v>#N/A</v>
      </c>
      <c r="BW21" s="2" t="str">
        <f>IF(OR(Z21="동원",Z21="세방",Z21="한타"),"",IFERROR(INDEX(GLAPS정리!$BI$2:$BI$101,MATCH(Z21,GLAPS정리!$BH$2:$BH$101,0)),""))</f>
        <v/>
      </c>
      <c r="BX21" s="2" t="str">
        <f>IF(Z21="","",IFERROR(VLOOKUP(Z21,GLAPS정리!$AX$2:$AZ$17,3,0),""))</f>
        <v/>
      </c>
      <c r="BZ21" s="2" t="e">
        <f>VLOOKUP(H21,GLAPS정리!$L$3:$O$133,2,0)</f>
        <v>#N/A</v>
      </c>
      <c r="CA21" s="2" t="str">
        <f t="shared" si="9"/>
        <v/>
      </c>
      <c r="CL21" s="2" t="e">
        <f>VLOOKUP(AI21,GLAPS정리!$BT$3:$BV$26,3,0)</f>
        <v>#N/A</v>
      </c>
    </row>
    <row r="22" spans="1:90" ht="20.45" customHeight="1">
      <c r="A22" s="70"/>
      <c r="B22" s="13"/>
      <c r="C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X22" s="13"/>
      <c r="Y22" s="13"/>
      <c r="Z22" s="91"/>
      <c r="AC22" s="2">
        <f t="shared" si="0"/>
        <v>20</v>
      </c>
      <c r="AD22" s="2" t="str">
        <f>IFERROR(INDEX(GLAPS정리!$D$2:$D$50,MATCH(I22,GLAPS정리!$A$2:$A$50,0)),IFERROR(INDEX(GLAPS정리!$D$2:$D$50,MATCH(I22,GLAPS정리!$B$2:$B$50,0)),""))</f>
        <v/>
      </c>
      <c r="AF22" s="2" t="str">
        <f t="shared" si="1"/>
        <v>KR10</v>
      </c>
      <c r="AI22" s="2" t="e">
        <f>VLOOKUP(F22,GLAPS정리!$G$3:$J$114,2,0)</f>
        <v>#N/A</v>
      </c>
      <c r="AJ22" s="2" t="e">
        <f>IF(Z22="울산정일","KRONS",IF(Z22="울산신항","KRUSN",IF(OR(Z22="선광종합물류(인천여객)",Z22="인천여객(인천여객)"),"KRINF",IF(OR(Z22="선광인천보세(인천신)",Z22="한진인천(인천신)",Z22="선광인천신항(인천신)",Z22="인천더로지스(인천신)"),"KRINN",IF(OR(Z22="인천진아(인천항)",Z22="인천E1(인천항)",Z22="인천SM경인터미널(인천항)",Z22="인천항(인천항)",Z22="인천우련(인천항)",Z22="인천항8부두(인천항)"),"KRINC",VLOOKUP(K22,GLAPS정리!$BB$2:$BC$33,2,0))))))</f>
        <v>#N/A</v>
      </c>
      <c r="AL22" s="2">
        <f t="shared" si="10"/>
        <v>5010001</v>
      </c>
      <c r="AN22" s="70" t="str">
        <f t="shared" si="2"/>
        <v>1900-01-00</v>
      </c>
      <c r="AO22" s="2" t="str">
        <f t="shared" si="3"/>
        <v/>
      </c>
      <c r="AP22" s="2" t="e">
        <f>VLOOKUP(C22,GLAPS정리!$AX$2:$AZ$17,3,0)</f>
        <v>#N/A</v>
      </c>
      <c r="AR22" s="2">
        <f t="shared" si="4"/>
        <v>0</v>
      </c>
      <c r="AX22" s="2" t="e">
        <f>VLOOKUP(L22,GLAPS정리!$V$3:$W$180,2,0)</f>
        <v>#N/A</v>
      </c>
      <c r="BM22" s="2" t="str">
        <f t="shared" si="5"/>
        <v xml:space="preserve"> </v>
      </c>
      <c r="BN22" s="2">
        <f t="shared" si="6"/>
        <v>1</v>
      </c>
      <c r="BR22" s="2" t="str">
        <f t="shared" si="7"/>
        <v/>
      </c>
      <c r="BS22" s="2" t="str">
        <f t="shared" si="8"/>
        <v/>
      </c>
      <c r="BV22" s="2" t="e">
        <f>VLOOKUP(O22,GLAPS정리!$BH$2:$BI$94,2,0)</f>
        <v>#N/A</v>
      </c>
      <c r="BW22" s="2" t="str">
        <f>IF(OR(Z22="동원",Z22="세방",Z22="한타"),"",IFERROR(INDEX(GLAPS정리!$BI$2:$BI$101,MATCH(Z22,GLAPS정리!$BH$2:$BH$101,0)),""))</f>
        <v/>
      </c>
      <c r="BX22" s="2" t="str">
        <f>IF(Z22="","",IFERROR(VLOOKUP(Z22,GLAPS정리!$AX$2:$AZ$17,3,0),""))</f>
        <v/>
      </c>
      <c r="BZ22" s="2" t="e">
        <f>VLOOKUP(H22,GLAPS정리!$L$3:$O$133,2,0)</f>
        <v>#N/A</v>
      </c>
      <c r="CA22" s="2" t="str">
        <f t="shared" si="9"/>
        <v/>
      </c>
      <c r="CL22" s="2" t="e">
        <f>VLOOKUP(AI22,GLAPS정리!$BT$3:$BV$26,3,0)</f>
        <v>#N/A</v>
      </c>
    </row>
    <row r="23" spans="1:90" ht="20.45" customHeight="1">
      <c r="A23" s="70"/>
      <c r="B23" s="13"/>
      <c r="C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X23" s="13"/>
      <c r="Y23" s="13"/>
      <c r="Z23" s="91"/>
      <c r="AC23" s="2">
        <f t="shared" si="0"/>
        <v>20</v>
      </c>
      <c r="AD23" s="2" t="str">
        <f>IFERROR(INDEX(GLAPS정리!$D$2:$D$50,MATCH(I23,GLAPS정리!$A$2:$A$50,0)),IFERROR(INDEX(GLAPS정리!$D$2:$D$50,MATCH(I23,GLAPS정리!$B$2:$B$50,0)),""))</f>
        <v/>
      </c>
      <c r="AF23" s="2" t="str">
        <f t="shared" si="1"/>
        <v>KR10</v>
      </c>
      <c r="AI23" s="2" t="e">
        <f>VLOOKUP(F23,GLAPS정리!$G$3:$J$114,2,0)</f>
        <v>#N/A</v>
      </c>
      <c r="AJ23" s="2" t="e">
        <f>IF(Z23="울산정일","KRONS",IF(Z23="울산신항","KRUSN",IF(OR(Z23="선광종합물류(인천여객)",Z23="인천여객(인천여객)"),"KRINF",IF(OR(Z23="선광인천보세(인천신)",Z23="한진인천(인천신)",Z23="선광인천신항(인천신)",Z23="인천더로지스(인천신)"),"KRINN",IF(OR(Z23="인천진아(인천항)",Z23="인천E1(인천항)",Z23="인천SM경인터미널(인천항)",Z23="인천항(인천항)",Z23="인천우련(인천항)",Z23="인천항8부두(인천항)"),"KRINC",VLOOKUP(K23,GLAPS정리!$BB$2:$BC$33,2,0))))))</f>
        <v>#N/A</v>
      </c>
      <c r="AL23" s="2">
        <f t="shared" si="10"/>
        <v>5010001</v>
      </c>
      <c r="AN23" s="70" t="str">
        <f t="shared" si="2"/>
        <v>1900-01-00</v>
      </c>
      <c r="AO23" s="2" t="str">
        <f t="shared" si="3"/>
        <v/>
      </c>
      <c r="AP23" s="2" t="e">
        <f>VLOOKUP(C23,GLAPS정리!$AX$2:$AZ$17,3,0)</f>
        <v>#N/A</v>
      </c>
      <c r="AR23" s="2">
        <f t="shared" si="4"/>
        <v>0</v>
      </c>
      <c r="AX23" s="2" t="e">
        <f>VLOOKUP(L23,GLAPS정리!$V$3:$W$180,2,0)</f>
        <v>#N/A</v>
      </c>
      <c r="BM23" s="2" t="str">
        <f t="shared" si="5"/>
        <v xml:space="preserve"> </v>
      </c>
      <c r="BN23" s="2">
        <f t="shared" si="6"/>
        <v>1</v>
      </c>
      <c r="BR23" s="2" t="str">
        <f t="shared" si="7"/>
        <v/>
      </c>
      <c r="BS23" s="2" t="str">
        <f t="shared" si="8"/>
        <v/>
      </c>
      <c r="BV23" s="2" t="e">
        <f>VLOOKUP(O23,GLAPS정리!$BH$2:$BI$94,2,0)</f>
        <v>#N/A</v>
      </c>
      <c r="BW23" s="2" t="str">
        <f>IF(OR(Z23="동원",Z23="세방",Z23="한타"),"",IFERROR(INDEX(GLAPS정리!$BI$2:$BI$101,MATCH(Z23,GLAPS정리!$BH$2:$BH$101,0)),""))</f>
        <v/>
      </c>
      <c r="BX23" s="2" t="str">
        <f>IF(Z23="","",IFERROR(VLOOKUP(Z23,GLAPS정리!$AX$2:$AZ$17,3,0),""))</f>
        <v/>
      </c>
      <c r="BZ23" s="2" t="e">
        <f>VLOOKUP(H23,GLAPS정리!$L$3:$O$133,2,0)</f>
        <v>#N/A</v>
      </c>
      <c r="CA23" s="2" t="str">
        <f t="shared" si="9"/>
        <v/>
      </c>
      <c r="CL23" s="2" t="e">
        <f>VLOOKUP(AI23,GLAPS정리!$BT$3:$BV$26,3,0)</f>
        <v>#N/A</v>
      </c>
    </row>
    <row r="24" spans="1:90" ht="20.45" customHeight="1">
      <c r="A24" s="70"/>
      <c r="B24" s="13"/>
      <c r="C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X24" s="13"/>
      <c r="Y24" s="13"/>
      <c r="Z24" s="91"/>
      <c r="AC24" s="2">
        <f t="shared" si="0"/>
        <v>20</v>
      </c>
      <c r="AD24" s="2" t="str">
        <f>IFERROR(INDEX(GLAPS정리!$D$2:$D$50,MATCH(I24,GLAPS정리!$A$2:$A$50,0)),IFERROR(INDEX(GLAPS정리!$D$2:$D$50,MATCH(I24,GLAPS정리!$B$2:$B$50,0)),""))</f>
        <v/>
      </c>
      <c r="AF24" s="2" t="str">
        <f t="shared" si="1"/>
        <v>KR10</v>
      </c>
      <c r="AI24" s="2" t="e">
        <f>VLOOKUP(F24,GLAPS정리!$G$3:$J$114,2,0)</f>
        <v>#N/A</v>
      </c>
      <c r="AJ24" s="2" t="e">
        <f>IF(Z24="울산정일","KRONS",IF(Z24="울산신항","KRUSN",IF(OR(Z24="선광종합물류(인천여객)",Z24="인천여객(인천여객)"),"KRINF",IF(OR(Z24="선광인천보세(인천신)",Z24="한진인천(인천신)",Z24="선광인천신항(인천신)",Z24="인천더로지스(인천신)"),"KRINN",IF(OR(Z24="인천진아(인천항)",Z24="인천E1(인천항)",Z24="인천SM경인터미널(인천항)",Z24="인천항(인천항)",Z24="인천우련(인천항)",Z24="인천항8부두(인천항)"),"KRINC",VLOOKUP(K24,GLAPS정리!$BB$2:$BC$33,2,0))))))</f>
        <v>#N/A</v>
      </c>
      <c r="AL24" s="2">
        <f t="shared" si="10"/>
        <v>5010001</v>
      </c>
      <c r="AN24" s="70" t="str">
        <f t="shared" si="2"/>
        <v>1900-01-00</v>
      </c>
      <c r="AO24" s="2" t="str">
        <f t="shared" si="3"/>
        <v/>
      </c>
      <c r="AP24" s="2" t="e">
        <f>VLOOKUP(C24,GLAPS정리!$AX$2:$AZ$17,3,0)</f>
        <v>#N/A</v>
      </c>
      <c r="AR24" s="2">
        <f t="shared" si="4"/>
        <v>0</v>
      </c>
      <c r="AX24" s="2" t="e">
        <f>VLOOKUP(L24,GLAPS정리!$V$3:$W$180,2,0)</f>
        <v>#N/A</v>
      </c>
      <c r="BM24" s="2" t="str">
        <f t="shared" si="5"/>
        <v xml:space="preserve"> </v>
      </c>
      <c r="BN24" s="2">
        <f t="shared" si="6"/>
        <v>1</v>
      </c>
      <c r="BR24" s="2" t="str">
        <f t="shared" si="7"/>
        <v/>
      </c>
      <c r="BS24" s="2" t="str">
        <f t="shared" si="8"/>
        <v/>
      </c>
      <c r="BV24" s="2" t="e">
        <f>VLOOKUP(O24,GLAPS정리!$BH$2:$BI$94,2,0)</f>
        <v>#N/A</v>
      </c>
      <c r="BW24" s="2" t="str">
        <f>IF(OR(Z24="동원",Z24="세방",Z24="한타"),"",IFERROR(INDEX(GLAPS정리!$BI$2:$BI$101,MATCH(Z24,GLAPS정리!$BH$2:$BH$101,0)),""))</f>
        <v/>
      </c>
      <c r="BX24" s="2" t="str">
        <f>IF(Z24="","",IFERROR(VLOOKUP(Z24,GLAPS정리!$AX$2:$AZ$17,3,0),""))</f>
        <v/>
      </c>
      <c r="BZ24" s="2" t="e">
        <f>VLOOKUP(H24,GLAPS정리!$L$3:$O$133,2,0)</f>
        <v>#N/A</v>
      </c>
      <c r="CA24" s="2" t="str">
        <f t="shared" si="9"/>
        <v/>
      </c>
      <c r="CL24" s="2" t="e">
        <f>VLOOKUP(AI24,GLAPS정리!$BT$3:$BV$26,3,0)</f>
        <v>#N/A</v>
      </c>
    </row>
    <row r="25" spans="1:90" ht="20.45" customHeight="1">
      <c r="A25" s="70"/>
      <c r="B25" s="13"/>
      <c r="C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X25" s="13"/>
      <c r="Y25" s="13"/>
      <c r="Z25" s="91"/>
      <c r="AC25" s="2">
        <f t="shared" si="0"/>
        <v>20</v>
      </c>
      <c r="AD25" s="2" t="str">
        <f>IFERROR(INDEX(GLAPS정리!$D$2:$D$50,MATCH(I25,GLAPS정리!$A$2:$A$50,0)),IFERROR(INDEX(GLAPS정리!$D$2:$D$50,MATCH(I25,GLAPS정리!$B$2:$B$50,0)),""))</f>
        <v/>
      </c>
      <c r="AF25" s="2" t="str">
        <f t="shared" si="1"/>
        <v>KR10</v>
      </c>
      <c r="AI25" s="2" t="e">
        <f>VLOOKUP(F25,GLAPS정리!$G$3:$J$114,2,0)</f>
        <v>#N/A</v>
      </c>
      <c r="AJ25" s="2" t="e">
        <f>IF(Z25="울산정일","KRONS",IF(Z25="울산신항","KRUSN",IF(OR(Z25="선광종합물류(인천여객)",Z25="인천여객(인천여객)"),"KRINF",IF(OR(Z25="선광인천보세(인천신)",Z25="한진인천(인천신)",Z25="선광인천신항(인천신)",Z25="인천더로지스(인천신)"),"KRINN",IF(OR(Z25="인천진아(인천항)",Z25="인천E1(인천항)",Z25="인천SM경인터미널(인천항)",Z25="인천항(인천항)",Z25="인천우련(인천항)",Z25="인천항8부두(인천항)"),"KRINC",VLOOKUP(K25,GLAPS정리!$BB$2:$BC$33,2,0))))))</f>
        <v>#N/A</v>
      </c>
      <c r="AL25" s="2">
        <f t="shared" si="10"/>
        <v>5010001</v>
      </c>
      <c r="AN25" s="70" t="str">
        <f t="shared" si="2"/>
        <v>1900-01-00</v>
      </c>
      <c r="AO25" s="2" t="str">
        <f t="shared" si="3"/>
        <v/>
      </c>
      <c r="AP25" s="2" t="e">
        <f>VLOOKUP(C25,GLAPS정리!$AX$2:$AZ$17,3,0)</f>
        <v>#N/A</v>
      </c>
      <c r="AR25" s="2">
        <f t="shared" si="4"/>
        <v>0</v>
      </c>
      <c r="AX25" s="2" t="e">
        <f>VLOOKUP(L25,GLAPS정리!$V$3:$W$180,2,0)</f>
        <v>#N/A</v>
      </c>
      <c r="BM25" s="2" t="str">
        <f t="shared" si="5"/>
        <v xml:space="preserve"> </v>
      </c>
      <c r="BN25" s="2">
        <f t="shared" si="6"/>
        <v>1</v>
      </c>
      <c r="BR25" s="2" t="str">
        <f t="shared" si="7"/>
        <v/>
      </c>
      <c r="BS25" s="2" t="str">
        <f t="shared" si="8"/>
        <v/>
      </c>
      <c r="BV25" s="2" t="e">
        <f>VLOOKUP(O25,GLAPS정리!$BH$2:$BI$94,2,0)</f>
        <v>#N/A</v>
      </c>
      <c r="BW25" s="2" t="str">
        <f>IF(OR(Z25="동원",Z25="세방",Z25="한타"),"",IFERROR(INDEX(GLAPS정리!$BI$2:$BI$101,MATCH(Z25,GLAPS정리!$BH$2:$BH$101,0)),""))</f>
        <v/>
      </c>
      <c r="BX25" s="2" t="str">
        <f>IF(Z25="","",IFERROR(VLOOKUP(Z25,GLAPS정리!$AX$2:$AZ$17,3,0),""))</f>
        <v/>
      </c>
      <c r="BZ25" s="2" t="e">
        <f>VLOOKUP(H25,GLAPS정리!$L$3:$O$133,2,0)</f>
        <v>#N/A</v>
      </c>
      <c r="CA25" s="2" t="str">
        <f t="shared" si="9"/>
        <v/>
      </c>
      <c r="CL25" s="2" t="e">
        <f>VLOOKUP(AI25,GLAPS정리!$BT$3:$BV$26,3,0)</f>
        <v>#N/A</v>
      </c>
    </row>
    <row r="26" spans="1:90" ht="20.45" customHeight="1">
      <c r="A26" s="70"/>
      <c r="B26" s="13"/>
      <c r="C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X26" s="13"/>
      <c r="Y26" s="13"/>
      <c r="Z26" s="91"/>
      <c r="AC26" s="2">
        <f t="shared" si="0"/>
        <v>20</v>
      </c>
      <c r="AD26" s="2" t="str">
        <f>IFERROR(INDEX(GLAPS정리!$D$2:$D$50,MATCH(I26,GLAPS정리!$A$2:$A$50,0)),IFERROR(INDEX(GLAPS정리!$D$2:$D$50,MATCH(I26,GLAPS정리!$B$2:$B$50,0)),""))</f>
        <v/>
      </c>
      <c r="AF26" s="2" t="str">
        <f t="shared" si="1"/>
        <v>KR10</v>
      </c>
      <c r="AI26" s="2" t="e">
        <f>VLOOKUP(F26,GLAPS정리!$G$3:$J$114,2,0)</f>
        <v>#N/A</v>
      </c>
      <c r="AJ26" s="2" t="e">
        <f>IF(Z26="울산정일","KRONS",IF(Z26="울산신항","KRUSN",IF(OR(Z26="선광종합물류(인천여객)",Z26="인천여객(인천여객)"),"KRINF",IF(OR(Z26="선광인천보세(인천신)",Z26="한진인천(인천신)",Z26="선광인천신항(인천신)",Z26="인천더로지스(인천신)"),"KRINN",IF(OR(Z26="인천진아(인천항)",Z26="인천E1(인천항)",Z26="인천SM경인터미널(인천항)",Z26="인천항(인천항)",Z26="인천우련(인천항)",Z26="인천항8부두(인천항)"),"KRINC",VLOOKUP(K26,GLAPS정리!$BB$2:$BC$33,2,0))))))</f>
        <v>#N/A</v>
      </c>
      <c r="AL26" s="2">
        <f t="shared" si="10"/>
        <v>5010001</v>
      </c>
      <c r="AN26" s="70" t="str">
        <f t="shared" si="2"/>
        <v>1900-01-00</v>
      </c>
      <c r="AO26" s="2" t="str">
        <f t="shared" si="3"/>
        <v/>
      </c>
      <c r="AP26" s="2" t="e">
        <f>VLOOKUP(C26,GLAPS정리!$AX$2:$AZ$17,3,0)</f>
        <v>#N/A</v>
      </c>
      <c r="AR26" s="2">
        <f t="shared" si="4"/>
        <v>0</v>
      </c>
      <c r="AX26" s="2" t="e">
        <f>VLOOKUP(L26,GLAPS정리!$V$3:$W$180,2,0)</f>
        <v>#N/A</v>
      </c>
      <c r="BM26" s="2" t="str">
        <f t="shared" si="5"/>
        <v xml:space="preserve"> </v>
      </c>
      <c r="BN26" s="2">
        <f t="shared" si="6"/>
        <v>1</v>
      </c>
      <c r="BR26" s="2" t="str">
        <f t="shared" si="7"/>
        <v/>
      </c>
      <c r="BS26" s="2" t="str">
        <f t="shared" si="8"/>
        <v/>
      </c>
      <c r="BV26" s="2" t="e">
        <f>VLOOKUP(O26,GLAPS정리!$BH$2:$BI$94,2,0)</f>
        <v>#N/A</v>
      </c>
      <c r="BW26" s="2" t="str">
        <f>IF(OR(Z26="동원",Z26="세방",Z26="한타"),"",IFERROR(INDEX(GLAPS정리!$BI$2:$BI$101,MATCH(Z26,GLAPS정리!$BH$2:$BH$101,0)),""))</f>
        <v/>
      </c>
      <c r="BX26" s="2" t="str">
        <f>IF(Z26="","",IFERROR(VLOOKUP(Z26,GLAPS정리!$AX$2:$AZ$17,3,0),""))</f>
        <v/>
      </c>
      <c r="BZ26" s="2" t="e">
        <f>VLOOKUP(H26,GLAPS정리!$L$3:$O$133,2,0)</f>
        <v>#N/A</v>
      </c>
      <c r="CA26" s="2" t="str">
        <f t="shared" si="9"/>
        <v/>
      </c>
      <c r="CL26" s="2" t="e">
        <f>VLOOKUP(AI26,GLAPS정리!$BT$3:$BV$26,3,0)</f>
        <v>#N/A</v>
      </c>
    </row>
    <row r="27" spans="1:90" ht="20.45" customHeight="1">
      <c r="B27" s="13"/>
      <c r="C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X27" s="13"/>
      <c r="Y27" s="13"/>
      <c r="Z27" s="91"/>
      <c r="AC27" s="2">
        <f t="shared" si="0"/>
        <v>20</v>
      </c>
      <c r="AD27" s="2" t="str">
        <f>IFERROR(INDEX(GLAPS정리!$D$2:$D$50,MATCH(I27,GLAPS정리!$A$2:$A$50,0)),IFERROR(INDEX(GLAPS정리!$D$2:$D$50,MATCH(I27,GLAPS정리!$B$2:$B$50,0)),""))</f>
        <v/>
      </c>
      <c r="AF27" s="2" t="str">
        <f t="shared" si="1"/>
        <v>KR10</v>
      </c>
      <c r="AI27" s="2" t="e">
        <f>VLOOKUP(F27,GLAPS정리!$G$3:$J$114,2,0)</f>
        <v>#N/A</v>
      </c>
      <c r="AJ27" s="2" t="e">
        <f>IF(Z27="울산정일","KRONS",IF(Z27="울산신항","KRUSN",IF(OR(Z27="선광종합물류(인천여객)",Z27="인천여객(인천여객)"),"KRINF",IF(OR(Z27="선광인천보세(인천신)",Z27="한진인천(인천신)",Z27="선광인천신항(인천신)",Z27="인천더로지스(인천신)"),"KRINN",IF(OR(Z27="인천진아(인천항)",Z27="인천E1(인천항)",Z27="인천SM경인터미널(인천항)",Z27="인천항(인천항)",Z27="인천우련(인천항)",Z27="인천항8부두(인천항)"),"KRINC",VLOOKUP(K27,GLAPS정리!$BB$2:$BC$33,2,0))))))</f>
        <v>#N/A</v>
      </c>
      <c r="AL27" s="2">
        <f t="shared" si="10"/>
        <v>5010001</v>
      </c>
      <c r="AN27" s="70" t="str">
        <f t="shared" ref="AN27:AN34" si="17">TEXT(B27,"YYYY-MM-DD")</f>
        <v>1900-01-00</v>
      </c>
      <c r="AO27" s="2" t="str">
        <f t="shared" ref="AO27:AO34" si="18">IF(E27="오전", "0800", IF(E27="오후", "1300", IF(E27="잔업", "1800", "")))</f>
        <v/>
      </c>
      <c r="AP27" s="2" t="e">
        <f>VLOOKUP(C27,GLAPS정리!$AX$2:$AZ$17,3,0)</f>
        <v>#N/A</v>
      </c>
      <c r="AR27" s="2">
        <f t="shared" si="4"/>
        <v>0</v>
      </c>
      <c r="AX27" s="2" t="e">
        <f>VLOOKUP(L27,GLAPS정리!$V$3:$W$180,2,0)</f>
        <v>#N/A</v>
      </c>
      <c r="BM27" s="2" t="str">
        <f t="shared" ref="BM27:BM34" si="19">IF(AND(Q27=1,OR(P27="",P27="위험물")), "2210", IF(AND(Q27=1,OR(P27="리퍼",P27="위험물리퍼")), "2230", IF(AND(S27=1,OR(P27="",P27="위험물")), "4510", IF(AND(S27=1,OR(P27="리퍼",P27="위험물리퍼")), "4530", IF(AND(R27=1,OR(P27="",P27="위험물")), "4210", IF(AND(R27=1,P27="리퍼"), "4230", " "))))))</f>
        <v xml:space="preserve"> </v>
      </c>
      <c r="BN27" s="2">
        <f t="shared" si="6"/>
        <v>1</v>
      </c>
      <c r="BR27" s="2" t="str">
        <f t="shared" ref="BR27:BR34" si="20">IF(OR(P27="리퍼",P27="위험물리퍼"),"Y","")</f>
        <v/>
      </c>
      <c r="BS27" s="2" t="str">
        <f t="shared" ref="BS27:BS34" si="21">IF(OR(P27="위험물",P27="위험물리퍼"),"Y","")</f>
        <v/>
      </c>
      <c r="BV27" s="2" t="e">
        <f>VLOOKUP(O27,GLAPS정리!$BH$2:$BI$94,2,0)</f>
        <v>#N/A</v>
      </c>
      <c r="BW27" s="2" t="str">
        <f>IF(OR(Z27="동원",Z27="세방",Z27="한타"),"",IFERROR(INDEX(GLAPS정리!$BI$2:$BI$101,MATCH(Z27,GLAPS정리!$BH$2:$BH$101,0)),""))</f>
        <v/>
      </c>
      <c r="BX27" s="2" t="str">
        <f>IF(Z27="","",IFERROR(VLOOKUP(Z27,GLAPS정리!$AX$2:$AZ$17,3,0),""))</f>
        <v/>
      </c>
      <c r="BZ27" s="2" t="e">
        <f>VLOOKUP(H27,GLAPS정리!$L$3:$O$133,2,0)</f>
        <v>#N/A</v>
      </c>
      <c r="CA27" s="2" t="str">
        <f t="shared" ref="CA27:CA34" si="22">IF(V27="공휴일", 10, IF(V27="야간", 20, IF(V27="위험물", 30, IF(V27="중량", 40, ""))))</f>
        <v/>
      </c>
      <c r="CL27" s="2" t="e">
        <f>VLOOKUP(AI27,GLAPS정리!$BT$3:$BV$26,3,0)</f>
        <v>#N/A</v>
      </c>
    </row>
    <row r="28" spans="1:90" ht="20.45" customHeight="1">
      <c r="B28" s="13"/>
      <c r="C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X28" s="13"/>
      <c r="Y28" s="13"/>
      <c r="Z28" s="91"/>
      <c r="AC28" s="2">
        <f t="shared" si="0"/>
        <v>20</v>
      </c>
      <c r="AD28" s="2" t="str">
        <f>IFERROR(INDEX(GLAPS정리!$D$2:$D$50,MATCH(I28,GLAPS정리!$A$2:$A$50,0)),IFERROR(INDEX(GLAPS정리!$D$2:$D$50,MATCH(I28,GLAPS정리!$B$2:$B$50,0)),""))</f>
        <v/>
      </c>
      <c r="AF28" s="2" t="str">
        <f t="shared" si="1"/>
        <v>KR10</v>
      </c>
      <c r="AI28" s="2" t="e">
        <f>VLOOKUP(F28,GLAPS정리!$G$3:$J$114,2,0)</f>
        <v>#N/A</v>
      </c>
      <c r="AJ28" s="2" t="e">
        <f>IF(Z28="울산정일","KRONS",IF(Z28="울산신항","KRUSN",IF(OR(Z28="선광종합물류(인천여객)",Z28="인천여객(인천여객)"),"KRINF",IF(OR(Z28="선광인천보세(인천신)",Z28="한진인천(인천신)",Z28="선광인천신항(인천신)",Z28="인천더로지스(인천신)"),"KRINN",IF(OR(Z28="인천진아(인천항)",Z28="인천E1(인천항)",Z28="인천SM경인터미널(인천항)",Z28="인천항(인천항)",Z28="인천우련(인천항)",Z28="인천항8부두(인천항)"),"KRINC",VLOOKUP(K28,GLAPS정리!$BB$2:$BC$33,2,0))))))</f>
        <v>#N/A</v>
      </c>
      <c r="AL28" s="2">
        <f t="shared" si="10"/>
        <v>5010001</v>
      </c>
      <c r="AN28" s="70" t="str">
        <f t="shared" si="17"/>
        <v>1900-01-00</v>
      </c>
      <c r="AO28" s="2" t="str">
        <f t="shared" si="18"/>
        <v/>
      </c>
      <c r="AP28" s="2" t="e">
        <f>VLOOKUP(C28,GLAPS정리!$AX$2:$AZ$17,3,0)</f>
        <v>#N/A</v>
      </c>
      <c r="AR28" s="2">
        <f t="shared" si="4"/>
        <v>0</v>
      </c>
      <c r="AX28" s="2" t="e">
        <f>VLOOKUP(L28,GLAPS정리!$V$3:$W$180,2,0)</f>
        <v>#N/A</v>
      </c>
      <c r="BM28" s="2" t="str">
        <f t="shared" si="19"/>
        <v xml:space="preserve"> </v>
      </c>
      <c r="BN28" s="2">
        <f t="shared" si="6"/>
        <v>1</v>
      </c>
      <c r="BR28" s="2" t="str">
        <f t="shared" si="20"/>
        <v/>
      </c>
      <c r="BS28" s="2" t="str">
        <f t="shared" si="21"/>
        <v/>
      </c>
      <c r="BV28" s="2" t="e">
        <f>VLOOKUP(O28,GLAPS정리!$BH$2:$BI$94,2,0)</f>
        <v>#N/A</v>
      </c>
      <c r="BW28" s="2" t="str">
        <f>IF(OR(Z28="동원",Z28="세방",Z28="한타"),"",IFERROR(INDEX(GLAPS정리!$BI$2:$BI$101,MATCH(Z28,GLAPS정리!$BH$2:$BH$101,0)),""))</f>
        <v/>
      </c>
      <c r="BX28" s="2" t="str">
        <f>IF(Z28="","",IFERROR(VLOOKUP(Z28,GLAPS정리!$AX$2:$AZ$17,3,0),""))</f>
        <v/>
      </c>
      <c r="BZ28" s="2" t="e">
        <f>VLOOKUP(H28,GLAPS정리!$L$3:$O$133,2,0)</f>
        <v>#N/A</v>
      </c>
      <c r="CA28" s="2" t="str">
        <f t="shared" si="22"/>
        <v/>
      </c>
      <c r="CL28" s="2" t="e">
        <f>VLOOKUP(AI28,GLAPS정리!$BT$3:$BV$26,3,0)</f>
        <v>#N/A</v>
      </c>
    </row>
    <row r="29" spans="1:90" ht="20.45" customHeight="1">
      <c r="A29" s="70"/>
      <c r="B29" s="13"/>
      <c r="C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U29" s="87"/>
      <c r="X29" s="13"/>
      <c r="Y29" s="13"/>
      <c r="Z29" s="91"/>
      <c r="AC29" s="2">
        <f t="shared" si="0"/>
        <v>20</v>
      </c>
      <c r="AD29" s="2" t="str">
        <f>IFERROR(INDEX(GLAPS정리!$D$2:$D$50,MATCH(I29,GLAPS정리!$A$2:$A$50,0)),IFERROR(INDEX(GLAPS정리!$D$2:$D$50,MATCH(I29,GLAPS정리!$B$2:$B$50,0)),""))</f>
        <v/>
      </c>
      <c r="AF29" s="2" t="str">
        <f t="shared" si="1"/>
        <v>KR10</v>
      </c>
      <c r="AI29" s="2" t="e">
        <f>VLOOKUP(F29,GLAPS정리!$G$3:$J$114,2,0)</f>
        <v>#N/A</v>
      </c>
      <c r="AJ29" s="2" t="e">
        <f>IF(Z29="울산정일","KRONS",IF(Z29="울산신항","KRUSN",IF(OR(Z29="선광종합물류(인천여객)",Z29="인천여객(인천여객)"),"KRINF",IF(OR(Z29="선광인천보세(인천신)",Z29="한진인천(인천신)",Z29="선광인천신항(인천신)",Z29="인천더로지스(인천신)"),"KRINN",IF(OR(Z29="인천진아(인천항)",Z29="인천E1(인천항)",Z29="인천SM경인터미널(인천항)",Z29="인천항(인천항)",Z29="인천우련(인천항)",Z29="인천항8부두(인천항)"),"KRINC",VLOOKUP(K29,GLAPS정리!$BB$2:$BC$33,2,0))))))</f>
        <v>#N/A</v>
      </c>
      <c r="AL29" s="2">
        <f t="shared" si="10"/>
        <v>5010001</v>
      </c>
      <c r="AN29" s="70" t="str">
        <f t="shared" si="17"/>
        <v>1900-01-00</v>
      </c>
      <c r="AO29" s="2" t="str">
        <f t="shared" si="18"/>
        <v/>
      </c>
      <c r="AP29" s="2" t="e">
        <f>VLOOKUP(C29,GLAPS정리!$AX$2:$AZ$17,3,0)</f>
        <v>#N/A</v>
      </c>
      <c r="AR29" s="2">
        <f t="shared" si="4"/>
        <v>0</v>
      </c>
      <c r="AX29" s="2" t="e">
        <f>VLOOKUP(L29,GLAPS정리!$V$3:$W$180,2,0)</f>
        <v>#N/A</v>
      </c>
      <c r="BM29" s="2" t="str">
        <f t="shared" si="19"/>
        <v xml:space="preserve"> </v>
      </c>
      <c r="BN29" s="2">
        <f t="shared" si="6"/>
        <v>1</v>
      </c>
      <c r="BR29" s="2" t="str">
        <f t="shared" si="20"/>
        <v/>
      </c>
      <c r="BS29" s="2" t="str">
        <f t="shared" si="21"/>
        <v/>
      </c>
      <c r="BV29" s="2" t="e">
        <f>VLOOKUP(O29,GLAPS정리!$BH$2:$BI$94,2,0)</f>
        <v>#N/A</v>
      </c>
      <c r="BW29" s="2" t="str">
        <f>IF(OR(Z29="동원",Z29="세방",Z29="한타"),"",IFERROR(INDEX(GLAPS정리!$BI$2:$BI$101,MATCH(Z29,GLAPS정리!$BH$2:$BH$101,0)),""))</f>
        <v/>
      </c>
      <c r="BX29" s="2" t="str">
        <f>IF(Z29="","",IFERROR(VLOOKUP(Z29,GLAPS정리!$AX$2:$AZ$17,3,0),""))</f>
        <v/>
      </c>
      <c r="BZ29" s="2" t="e">
        <f>VLOOKUP(H29,GLAPS정리!$L$3:$O$133,2,0)</f>
        <v>#N/A</v>
      </c>
      <c r="CA29" s="2" t="str">
        <f t="shared" si="22"/>
        <v/>
      </c>
      <c r="CL29" s="2" t="e">
        <f>VLOOKUP(AI29,GLAPS정리!$BT$3:$BV$26,3,0)</f>
        <v>#N/A</v>
      </c>
    </row>
    <row r="30" spans="1:90" ht="20.45" customHeight="1">
      <c r="A30" s="70"/>
      <c r="B30" s="13"/>
      <c r="C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X30" s="13"/>
      <c r="Y30" s="13"/>
      <c r="Z30" s="91"/>
      <c r="AC30" s="2">
        <f t="shared" si="0"/>
        <v>20</v>
      </c>
      <c r="AD30" s="2" t="str">
        <f>IFERROR(INDEX(GLAPS정리!$D$2:$D$50,MATCH(I30,GLAPS정리!$A$2:$A$50,0)),IFERROR(INDEX(GLAPS정리!$D$2:$D$50,MATCH(I30,GLAPS정리!$B$2:$B$50,0)),""))</f>
        <v/>
      </c>
      <c r="AF30" s="2" t="str">
        <f t="shared" si="1"/>
        <v>KR10</v>
      </c>
      <c r="AI30" s="2" t="e">
        <f>VLOOKUP(F30,GLAPS정리!$G$3:$J$114,2,0)</f>
        <v>#N/A</v>
      </c>
      <c r="AJ30" s="2" t="e">
        <f>IF(Z30="울산정일","KRONS",IF(Z30="울산신항","KRUSN",IF(OR(Z30="선광종합물류(인천여객)",Z30="인천여객(인천여객)"),"KRINF",IF(OR(Z30="선광인천보세(인천신)",Z30="한진인천(인천신)",Z30="선광인천신항(인천신)",Z30="인천더로지스(인천신)"),"KRINN",IF(OR(Z30="인천진아(인천항)",Z30="인천E1(인천항)",Z30="인천SM경인터미널(인천항)",Z30="인천항(인천항)",Z30="인천우련(인천항)",Z30="인천항8부두(인천항)"),"KRINC",VLOOKUP(K30,GLAPS정리!$BB$2:$BC$33,2,0))))))</f>
        <v>#N/A</v>
      </c>
      <c r="AL30" s="2">
        <f t="shared" si="10"/>
        <v>5010001</v>
      </c>
      <c r="AN30" s="70" t="str">
        <f t="shared" si="17"/>
        <v>1900-01-00</v>
      </c>
      <c r="AO30" s="2" t="str">
        <f t="shared" si="18"/>
        <v/>
      </c>
      <c r="AP30" s="2" t="e">
        <f>VLOOKUP(C30,GLAPS정리!$AX$2:$AZ$17,3,0)</f>
        <v>#N/A</v>
      </c>
      <c r="AR30" s="2">
        <f t="shared" si="4"/>
        <v>0</v>
      </c>
      <c r="AX30" s="2" t="e">
        <f>VLOOKUP(L30,GLAPS정리!$V$3:$W$180,2,0)</f>
        <v>#N/A</v>
      </c>
      <c r="BM30" s="2" t="str">
        <f t="shared" si="19"/>
        <v xml:space="preserve"> </v>
      </c>
      <c r="BN30" s="2">
        <f t="shared" si="6"/>
        <v>1</v>
      </c>
      <c r="BR30" s="2" t="str">
        <f t="shared" si="20"/>
        <v/>
      </c>
      <c r="BS30" s="2" t="str">
        <f t="shared" si="21"/>
        <v/>
      </c>
      <c r="BV30" s="2" t="e">
        <f>VLOOKUP(O30,GLAPS정리!$BH$2:$BI$94,2,0)</f>
        <v>#N/A</v>
      </c>
      <c r="BW30" s="2" t="str">
        <f>IF(OR(Z30="동원",Z30="세방",Z30="한타"),"",IFERROR(INDEX(GLAPS정리!$BI$2:$BI$101,MATCH(Z30,GLAPS정리!$BH$2:$BH$101,0)),""))</f>
        <v/>
      </c>
      <c r="BX30" s="2" t="str">
        <f>IF(Z30="","",IFERROR(VLOOKUP(Z30,GLAPS정리!$AX$2:$AZ$17,3,0),""))</f>
        <v/>
      </c>
      <c r="BZ30" s="2" t="e">
        <f>VLOOKUP(H30,GLAPS정리!$L$3:$O$133,2,0)</f>
        <v>#N/A</v>
      </c>
      <c r="CA30" s="2" t="str">
        <f t="shared" si="22"/>
        <v/>
      </c>
      <c r="CL30" s="2" t="e">
        <f>VLOOKUP(AI30,GLAPS정리!$BT$3:$BV$26,3,0)</f>
        <v>#N/A</v>
      </c>
    </row>
    <row r="31" spans="1:90" ht="20.45" customHeight="1">
      <c r="B31" s="13"/>
      <c r="C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U31" s="87"/>
      <c r="X31" s="13"/>
      <c r="Y31" s="13"/>
      <c r="Z31" s="91"/>
      <c r="AC31" s="2">
        <f t="shared" si="0"/>
        <v>20</v>
      </c>
      <c r="AD31" s="2" t="str">
        <f>IFERROR(INDEX(GLAPS정리!$D$2:$D$50,MATCH(I31,GLAPS정리!$A$2:$A$50,0)),IFERROR(INDEX(GLAPS정리!$D$2:$D$50,MATCH(I31,GLAPS정리!$B$2:$B$50,0)),""))</f>
        <v/>
      </c>
      <c r="AF31" s="2" t="str">
        <f t="shared" si="1"/>
        <v>KR10</v>
      </c>
      <c r="AI31" s="2" t="e">
        <f>VLOOKUP(F31,GLAPS정리!$G$3:$J$114,2,0)</f>
        <v>#N/A</v>
      </c>
      <c r="AJ31" s="2" t="e">
        <f>IF(Z31="울산정일","KRONS",IF(Z31="울산신항","KRUSN",IF(OR(Z31="선광종합물류(인천여객)",Z31="인천여객(인천여객)"),"KRINF",IF(OR(Z31="선광인천보세(인천신)",Z31="한진인천(인천신)",Z31="선광인천신항(인천신)",Z31="인천더로지스(인천신)"),"KRINN",IF(OR(Z31="인천진아(인천항)",Z31="인천E1(인천항)",Z31="인천SM경인터미널(인천항)",Z31="인천항(인천항)",Z31="인천우련(인천항)",Z31="인천항8부두(인천항)"),"KRINC",VLOOKUP(K31,GLAPS정리!$BB$2:$BC$33,2,0))))))</f>
        <v>#N/A</v>
      </c>
      <c r="AL31" s="2">
        <f t="shared" si="10"/>
        <v>5010001</v>
      </c>
      <c r="AN31" s="70" t="str">
        <f t="shared" si="17"/>
        <v>1900-01-00</v>
      </c>
      <c r="AO31" s="2" t="str">
        <f t="shared" si="18"/>
        <v/>
      </c>
      <c r="AP31" s="2" t="e">
        <f>VLOOKUP(C31,GLAPS정리!$AX$2:$AZ$17,3,0)</f>
        <v>#N/A</v>
      </c>
      <c r="AR31" s="2">
        <f t="shared" si="4"/>
        <v>0</v>
      </c>
      <c r="AX31" s="2" t="e">
        <f>VLOOKUP(L31,GLAPS정리!$V$3:$W$180,2,0)</f>
        <v>#N/A</v>
      </c>
      <c r="BM31" s="2" t="str">
        <f t="shared" si="19"/>
        <v xml:space="preserve"> </v>
      </c>
      <c r="BN31" s="2">
        <f t="shared" si="6"/>
        <v>1</v>
      </c>
      <c r="BR31" s="2" t="str">
        <f t="shared" si="20"/>
        <v/>
      </c>
      <c r="BS31" s="2" t="str">
        <f t="shared" si="21"/>
        <v/>
      </c>
      <c r="BV31" s="2" t="e">
        <f>VLOOKUP(O31,GLAPS정리!$BH$2:$BI$94,2,0)</f>
        <v>#N/A</v>
      </c>
      <c r="BW31" s="2" t="str">
        <f>IF(OR(Z31="동원",Z31="세방",Z31="한타"),"",IFERROR(INDEX(GLAPS정리!$BI$2:$BI$101,MATCH(Z31,GLAPS정리!$BH$2:$BH$101,0)),""))</f>
        <v/>
      </c>
      <c r="BX31" s="2" t="str">
        <f>IF(Z31="","",IFERROR(VLOOKUP(Z31,GLAPS정리!$AX$2:$AZ$17,3,0),""))</f>
        <v/>
      </c>
      <c r="BZ31" s="2" t="e">
        <f>VLOOKUP(H31,GLAPS정리!$L$3:$O$133,2,0)</f>
        <v>#N/A</v>
      </c>
      <c r="CA31" s="2" t="str">
        <f t="shared" si="22"/>
        <v/>
      </c>
      <c r="CL31" s="2" t="e">
        <f>VLOOKUP(AI31,GLAPS정리!$BT$3:$BV$26,3,0)</f>
        <v>#N/A</v>
      </c>
    </row>
    <row r="32" spans="1:90" ht="20.45" customHeight="1">
      <c r="A32" s="70"/>
      <c r="B32" s="13"/>
      <c r="C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X32" s="13"/>
      <c r="Y32" s="13"/>
      <c r="Z32" s="91"/>
      <c r="AC32" s="2">
        <f t="shared" si="0"/>
        <v>20</v>
      </c>
      <c r="AD32" s="2" t="str">
        <f>IFERROR(INDEX(GLAPS정리!$D$2:$D$50,MATCH(I32,GLAPS정리!$A$2:$A$50,0)),IFERROR(INDEX(GLAPS정리!$D$2:$D$50,MATCH(I32,GLAPS정리!$B$2:$B$50,0)),""))</f>
        <v/>
      </c>
      <c r="AF32" s="2" t="str">
        <f t="shared" si="1"/>
        <v>KR10</v>
      </c>
      <c r="AI32" s="2" t="e">
        <f>VLOOKUP(F32,GLAPS정리!$G$3:$J$114,2,0)</f>
        <v>#N/A</v>
      </c>
      <c r="AJ32" s="2" t="e">
        <f>IF(Z32="울산정일","KRONS",IF(Z32="울산신항","KRUSN",IF(OR(Z32="선광종합물류(인천여객)",Z32="인천여객(인천여객)"),"KRINF",IF(OR(Z32="선광인천보세(인천신)",Z32="한진인천(인천신)",Z32="선광인천신항(인천신)",Z32="인천더로지스(인천신)"),"KRINN",IF(OR(Z32="인천진아(인천항)",Z32="인천E1(인천항)",Z32="인천SM경인터미널(인천항)",Z32="인천항(인천항)",Z32="인천우련(인천항)",Z32="인천항8부두(인천항)"),"KRINC",VLOOKUP(K32,GLAPS정리!$BB$2:$BC$33,2,0))))))</f>
        <v>#N/A</v>
      </c>
      <c r="AL32" s="2">
        <f t="shared" si="10"/>
        <v>5010001</v>
      </c>
      <c r="AN32" s="70" t="str">
        <f t="shared" si="17"/>
        <v>1900-01-00</v>
      </c>
      <c r="AO32" s="2" t="str">
        <f t="shared" si="18"/>
        <v/>
      </c>
      <c r="AP32" s="2" t="e">
        <f>VLOOKUP(C32,GLAPS정리!$AX$2:$AZ$17,3,0)</f>
        <v>#N/A</v>
      </c>
      <c r="AR32" s="2">
        <f t="shared" si="4"/>
        <v>0</v>
      </c>
      <c r="AX32" s="2" t="e">
        <f>VLOOKUP(L32,GLAPS정리!$V$3:$W$180,2,0)</f>
        <v>#N/A</v>
      </c>
      <c r="BM32" s="2" t="str">
        <f t="shared" si="19"/>
        <v xml:space="preserve"> </v>
      </c>
      <c r="BN32" s="2">
        <f t="shared" si="6"/>
        <v>1</v>
      </c>
      <c r="BR32" s="2" t="str">
        <f t="shared" si="20"/>
        <v/>
      </c>
      <c r="BS32" s="2" t="str">
        <f t="shared" si="21"/>
        <v/>
      </c>
      <c r="BV32" s="2" t="e">
        <f>VLOOKUP(O32,GLAPS정리!$BH$2:$BI$94,2,0)</f>
        <v>#N/A</v>
      </c>
      <c r="BW32" s="2" t="str">
        <f>IF(OR(Z32="동원",Z32="세방",Z32="한타"),"",IFERROR(INDEX(GLAPS정리!$BI$2:$BI$101,MATCH(Z32,GLAPS정리!$BH$2:$BH$101,0)),""))</f>
        <v/>
      </c>
      <c r="BX32" s="2" t="str">
        <f>IF(Z32="","",IFERROR(VLOOKUP(Z32,GLAPS정리!$AX$2:$AZ$17,3,0),""))</f>
        <v/>
      </c>
      <c r="BZ32" s="2" t="e">
        <f>VLOOKUP(H32,GLAPS정리!$L$3:$O$133,2,0)</f>
        <v>#N/A</v>
      </c>
      <c r="CA32" s="2" t="str">
        <f t="shared" si="22"/>
        <v/>
      </c>
      <c r="CL32" s="2" t="e">
        <f>VLOOKUP(AI32,GLAPS정리!$BT$3:$BV$26,3,0)</f>
        <v>#N/A</v>
      </c>
    </row>
    <row r="33" spans="1:90" ht="20.45" customHeight="1">
      <c r="B33" s="13"/>
      <c r="C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X33" s="13"/>
      <c r="Y33" s="13"/>
      <c r="Z33" s="91"/>
      <c r="AC33" s="2">
        <f t="shared" si="0"/>
        <v>20</v>
      </c>
      <c r="AD33" s="2" t="str">
        <f>IFERROR(INDEX(GLAPS정리!$D$2:$D$50,MATCH(I33,GLAPS정리!$A$2:$A$50,0)),IFERROR(INDEX(GLAPS정리!$D$2:$D$50,MATCH(I33,GLAPS정리!$B$2:$B$50,0)),""))</f>
        <v/>
      </c>
      <c r="AF33" s="2" t="str">
        <f t="shared" si="1"/>
        <v>KR10</v>
      </c>
      <c r="AI33" s="2" t="e">
        <f>VLOOKUP(F33,GLAPS정리!$G$3:$J$114,2,0)</f>
        <v>#N/A</v>
      </c>
      <c r="AJ33" s="2" t="e">
        <f>IF(Z33="울산정일","KRONS",IF(Z33="울산신항","KRUSN",IF(OR(Z33="선광종합물류(인천여객)",Z33="인천여객(인천여객)"),"KRINF",IF(OR(Z33="선광인천보세(인천신)",Z33="한진인천(인천신)",Z33="선광인천신항(인천신)",Z33="인천더로지스(인천신)"),"KRINN",IF(OR(Z33="인천진아(인천항)",Z33="인천E1(인천항)",Z33="인천SM경인터미널(인천항)",Z33="인천항(인천항)",Z33="인천우련(인천항)",Z33="인천항8부두(인천항)"),"KRINC",VLOOKUP(K33,GLAPS정리!$BB$2:$BC$33,2,0))))))</f>
        <v>#N/A</v>
      </c>
      <c r="AL33" s="2">
        <f t="shared" si="10"/>
        <v>5010001</v>
      </c>
      <c r="AN33" s="70" t="str">
        <f t="shared" si="17"/>
        <v>1900-01-00</v>
      </c>
      <c r="AO33" s="2" t="str">
        <f t="shared" si="18"/>
        <v/>
      </c>
      <c r="AP33" s="2" t="e">
        <f>VLOOKUP(C33,GLAPS정리!$AX$2:$AZ$17,3,0)</f>
        <v>#N/A</v>
      </c>
      <c r="AR33" s="2">
        <f t="shared" si="4"/>
        <v>0</v>
      </c>
      <c r="AX33" s="2" t="e">
        <f>VLOOKUP(L33,GLAPS정리!$V$3:$W$180,2,0)</f>
        <v>#N/A</v>
      </c>
      <c r="BM33" s="2" t="str">
        <f t="shared" si="19"/>
        <v xml:space="preserve"> </v>
      </c>
      <c r="BN33" s="2">
        <f t="shared" si="6"/>
        <v>1</v>
      </c>
      <c r="BR33" s="2" t="str">
        <f t="shared" si="20"/>
        <v/>
      </c>
      <c r="BS33" s="2" t="str">
        <f t="shared" si="21"/>
        <v/>
      </c>
      <c r="BV33" s="2" t="e">
        <f>VLOOKUP(O33,GLAPS정리!$BH$2:$BI$94,2,0)</f>
        <v>#N/A</v>
      </c>
      <c r="BW33" s="2" t="str">
        <f>IF(OR(Z33="동원",Z33="세방",Z33="한타"),"",IFERROR(INDEX(GLAPS정리!$BI$2:$BI$101,MATCH(Z33,GLAPS정리!$BH$2:$BH$101,0)),""))</f>
        <v/>
      </c>
      <c r="BX33" s="2" t="str">
        <f>IF(Z33="","",IFERROR(VLOOKUP(Z33,GLAPS정리!$AX$2:$AZ$17,3,0),""))</f>
        <v/>
      </c>
      <c r="BZ33" s="2" t="e">
        <f>VLOOKUP(H33,GLAPS정리!$L$3:$O$133,2,0)</f>
        <v>#N/A</v>
      </c>
      <c r="CA33" s="2" t="str">
        <f t="shared" si="22"/>
        <v/>
      </c>
      <c r="CL33" s="2" t="e">
        <f>VLOOKUP(AI33,GLAPS정리!$BT$3:$BV$26,3,0)</f>
        <v>#N/A</v>
      </c>
    </row>
    <row r="34" spans="1:90" ht="20.45" customHeight="1">
      <c r="A34" s="70"/>
      <c r="B34" s="13"/>
      <c r="C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X34" s="13"/>
      <c r="Y34" s="13"/>
      <c r="Z34" s="91"/>
      <c r="AC34" s="2">
        <f t="shared" si="0"/>
        <v>20</v>
      </c>
      <c r="AD34" s="2" t="str">
        <f>IFERROR(INDEX(GLAPS정리!$D$2:$D$50,MATCH(I34,GLAPS정리!$A$2:$A$50,0)),IFERROR(INDEX(GLAPS정리!$D$2:$D$50,MATCH(I34,GLAPS정리!$B$2:$B$50,0)),""))</f>
        <v/>
      </c>
      <c r="AF34" s="2" t="str">
        <f t="shared" si="1"/>
        <v>KR10</v>
      </c>
      <c r="AI34" s="2" t="e">
        <f>VLOOKUP(F34,GLAPS정리!$G$3:$J$114,2,0)</f>
        <v>#N/A</v>
      </c>
      <c r="AJ34" s="2" t="e">
        <f>IF(Z34="울산정일","KRONS",IF(Z34="울산신항","KRUSN",IF(OR(Z34="선광종합물류(인천여객)",Z34="인천여객(인천여객)"),"KRINF",IF(OR(Z34="선광인천보세(인천신)",Z34="한진인천(인천신)",Z34="선광인천신항(인천신)",Z34="인천더로지스(인천신)"),"KRINN",IF(OR(Z34="인천진아(인천항)",Z34="인천E1(인천항)",Z34="인천SM경인터미널(인천항)",Z34="인천항(인천항)",Z34="인천우련(인천항)",Z34="인천항8부두(인천항)"),"KRINC",VLOOKUP(K34,GLAPS정리!$BB$2:$BC$33,2,0))))))</f>
        <v>#N/A</v>
      </c>
      <c r="AL34" s="2">
        <f t="shared" si="10"/>
        <v>5010001</v>
      </c>
      <c r="AN34" s="70" t="str">
        <f t="shared" si="17"/>
        <v>1900-01-00</v>
      </c>
      <c r="AO34" s="2" t="str">
        <f t="shared" si="18"/>
        <v/>
      </c>
      <c r="AP34" s="2" t="e">
        <f>VLOOKUP(C34,GLAPS정리!$AX$2:$AZ$17,3,0)</f>
        <v>#N/A</v>
      </c>
      <c r="AR34" s="2">
        <f t="shared" si="4"/>
        <v>0</v>
      </c>
      <c r="AX34" s="2" t="e">
        <f>VLOOKUP(L34,GLAPS정리!$V$3:$W$180,2,0)</f>
        <v>#N/A</v>
      </c>
      <c r="BM34" s="2" t="str">
        <f t="shared" si="19"/>
        <v xml:space="preserve"> </v>
      </c>
      <c r="BN34" s="2">
        <f t="shared" si="6"/>
        <v>1</v>
      </c>
      <c r="BR34" s="2" t="str">
        <f t="shared" si="20"/>
        <v/>
      </c>
      <c r="BS34" s="2" t="str">
        <f t="shared" si="21"/>
        <v/>
      </c>
      <c r="BV34" s="2" t="e">
        <f>VLOOKUP(O34,GLAPS정리!$BH$2:$BI$94,2,0)</f>
        <v>#N/A</v>
      </c>
      <c r="BW34" s="2" t="str">
        <f>IF(OR(Z34="동원",Z34="세방",Z34="한타"),"",IFERROR(INDEX(GLAPS정리!$BI$2:$BI$101,MATCH(Z34,GLAPS정리!$BH$2:$BH$101,0)),""))</f>
        <v/>
      </c>
      <c r="BX34" s="2" t="str">
        <f>IF(Z34="","",IFERROR(VLOOKUP(Z34,GLAPS정리!$AX$2:$AZ$17,3,0),""))</f>
        <v/>
      </c>
      <c r="BZ34" s="2" t="e">
        <f>VLOOKUP(H34,GLAPS정리!$L$3:$O$133,2,0)</f>
        <v>#N/A</v>
      </c>
      <c r="CA34" s="2" t="str">
        <f t="shared" si="22"/>
        <v/>
      </c>
      <c r="CL34" s="2" t="e">
        <f>VLOOKUP(AI34,GLAPS정리!$BT$3:$BV$26,3,0)</f>
        <v>#N/A</v>
      </c>
    </row>
    <row r="35" spans="1:90" ht="20.45" customHeight="1">
      <c r="B35" s="13"/>
      <c r="C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X35" s="13"/>
      <c r="Y35" s="13"/>
      <c r="Z35" s="91"/>
      <c r="AC35" s="2">
        <f t="shared" si="0"/>
        <v>20</v>
      </c>
      <c r="AD35" s="2" t="str">
        <f>IFERROR(INDEX(GLAPS정리!$D$2:$D$50,MATCH(I35,GLAPS정리!$A$2:$A$50,0)),IFERROR(INDEX(GLAPS정리!$D$2:$D$50,MATCH(I35,GLAPS정리!$B$2:$B$50,0)),""))</f>
        <v/>
      </c>
      <c r="AF35" s="2" t="str">
        <f t="shared" si="1"/>
        <v>KR10</v>
      </c>
      <c r="AI35" s="2" t="e">
        <f>VLOOKUP(F35,GLAPS정리!$G$3:$J$114,2,0)</f>
        <v>#N/A</v>
      </c>
      <c r="AJ35" s="2" t="e">
        <f>IF(Z35="울산정일","KRONS",IF(Z35="울산신항","KRUSN",IF(OR(Z35="선광종합물류(인천여객)",Z35="인천여객(인천여객)"),"KRINF",IF(OR(Z35="선광인천보세(인천신)",Z35="한진인천(인천신)",Z35="선광인천신항(인천신)",Z35="인천더로지스(인천신)"),"KRINN",IF(OR(Z35="인천진아(인천항)",Z35="인천E1(인천항)",Z35="인천SM경인터미널(인천항)",Z35="인천항(인천항)",Z35="인천우련(인천항)",Z35="인천항8부두(인천항)"),"KRINC",VLOOKUP(K35,GLAPS정리!$BB$2:$BC$33,2,0))))))</f>
        <v>#N/A</v>
      </c>
      <c r="AL35" s="2">
        <f t="shared" si="10"/>
        <v>5010001</v>
      </c>
      <c r="AN35" s="70" t="str">
        <f t="shared" si="2"/>
        <v>1900-01-00</v>
      </c>
      <c r="AO35" s="2" t="str">
        <f t="shared" si="3"/>
        <v/>
      </c>
      <c r="AP35" s="2" t="e">
        <f>VLOOKUP(C35,GLAPS정리!$AX$2:$AZ$17,3,0)</f>
        <v>#N/A</v>
      </c>
      <c r="AR35" s="2">
        <f t="shared" si="4"/>
        <v>0</v>
      </c>
      <c r="AX35" s="2" t="e">
        <f>VLOOKUP(L35,GLAPS정리!$V$3:$W$180,2,0)</f>
        <v>#N/A</v>
      </c>
      <c r="BM35" s="2" t="str">
        <f t="shared" si="5"/>
        <v xml:space="preserve"> </v>
      </c>
      <c r="BN35" s="2">
        <f t="shared" si="6"/>
        <v>1</v>
      </c>
      <c r="BR35" s="2" t="str">
        <f t="shared" si="7"/>
        <v/>
      </c>
      <c r="BS35" s="2" t="str">
        <f t="shared" si="8"/>
        <v/>
      </c>
      <c r="BV35" s="2" t="e">
        <f>VLOOKUP(O35,GLAPS정리!$BH$2:$BI$94,2,0)</f>
        <v>#N/A</v>
      </c>
      <c r="BW35" s="2" t="str">
        <f>IF(OR(Z35="동원",Z35="세방",Z35="한타"),"",IFERROR(INDEX(GLAPS정리!$BI$2:$BI$101,MATCH(Z35,GLAPS정리!$BH$2:$BH$101,0)),""))</f>
        <v/>
      </c>
      <c r="BX35" s="2" t="str">
        <f>IF(Z35="","",IFERROR(VLOOKUP(Z35,GLAPS정리!$AX$2:$AZ$17,3,0),""))</f>
        <v/>
      </c>
      <c r="BZ35" s="2" t="e">
        <f>VLOOKUP(H35,GLAPS정리!$L$3:$O$133,2,0)</f>
        <v>#N/A</v>
      </c>
      <c r="CA35" s="2" t="str">
        <f t="shared" si="9"/>
        <v/>
      </c>
      <c r="CL35" s="2" t="e">
        <f>VLOOKUP(AI35,GLAPS정리!$BT$3:$BV$26,3,0)</f>
        <v>#N/A</v>
      </c>
    </row>
    <row r="36" spans="1:90" ht="20.45" customHeight="1">
      <c r="B36" s="13"/>
      <c r="G36" s="3"/>
      <c r="J36" s="3"/>
      <c r="X36" s="13"/>
      <c r="Y36" s="13"/>
      <c r="Z36" s="91"/>
      <c r="AC36" s="2">
        <f t="shared" si="0"/>
        <v>20</v>
      </c>
      <c r="AD36" s="2" t="str">
        <f>IFERROR(INDEX(GLAPS정리!$D$2:$D$50,MATCH(I36,GLAPS정리!$A$2:$A$50,0)),IFERROR(INDEX(GLAPS정리!$D$2:$D$50,MATCH(I36,GLAPS정리!$B$2:$B$50,0)),""))</f>
        <v/>
      </c>
      <c r="AF36" s="2" t="str">
        <f t="shared" si="1"/>
        <v>KR10</v>
      </c>
      <c r="AI36" s="2" t="e">
        <f>VLOOKUP(F36,GLAPS정리!$G$3:$J$114,2,0)</f>
        <v>#N/A</v>
      </c>
      <c r="AJ36" s="2" t="e">
        <f>IF(Z36="울산정일","KRONS",IF(Z36="울산신항","KRUSN",IF(OR(Z36="선광종합물류(인천여객)",Z36="인천여객(인천여객)"),"KRINF",IF(OR(Z36="선광인천보세(인천신)",Z36="한진인천(인천신)",Z36="선광인천신항(인천신)",Z36="인천더로지스(인천신)"),"KRINN",IF(OR(Z36="인천진아(인천항)",Z36="인천E1(인천항)",Z36="인천SM경인터미널(인천항)",Z36="인천항(인천항)",Z36="인천우련(인천항)",Z36="인천항8부두(인천항)"),"KRINC",VLOOKUP(K36,GLAPS정리!$BB$2:$BC$33,2,0))))))</f>
        <v>#N/A</v>
      </c>
      <c r="AL36" s="2">
        <f t="shared" si="10"/>
        <v>5010001</v>
      </c>
      <c r="AN36" s="70" t="str">
        <f t="shared" si="2"/>
        <v>1900-01-00</v>
      </c>
      <c r="AO36" s="2" t="str">
        <f t="shared" si="3"/>
        <v/>
      </c>
      <c r="AP36" s="2" t="e">
        <f>VLOOKUP(C36,GLAPS정리!$AX$2:$AZ$17,3,0)</f>
        <v>#N/A</v>
      </c>
      <c r="AR36" s="2">
        <f t="shared" si="4"/>
        <v>0</v>
      </c>
      <c r="AX36" s="2" t="e">
        <f>VLOOKUP(L36,GLAPS정리!$V$3:$W$180,2,0)</f>
        <v>#N/A</v>
      </c>
      <c r="BM36" s="2" t="str">
        <f t="shared" si="5"/>
        <v xml:space="preserve"> </v>
      </c>
      <c r="BN36" s="2">
        <f t="shared" si="6"/>
        <v>1</v>
      </c>
      <c r="BR36" s="2" t="str">
        <f t="shared" si="7"/>
        <v/>
      </c>
      <c r="BS36" s="2" t="str">
        <f t="shared" si="8"/>
        <v/>
      </c>
      <c r="BV36" s="2" t="e">
        <f>VLOOKUP(O36,GLAPS정리!$BH$2:$BI$94,2,0)</f>
        <v>#N/A</v>
      </c>
      <c r="BW36" s="2" t="str">
        <f>IF(OR(Z36="동원",Z36="세방",Z36="한타"),"",IFERROR(INDEX(GLAPS정리!$BI$2:$BI$101,MATCH(Z36,GLAPS정리!$BH$2:$BH$101,0)),""))</f>
        <v/>
      </c>
      <c r="BX36" s="2" t="str">
        <f>IF(Z36="","",IFERROR(VLOOKUP(Z36,GLAPS정리!$AX$2:$AZ$17,3,0),""))</f>
        <v/>
      </c>
      <c r="BZ36" s="2" t="e">
        <f>VLOOKUP(H36,GLAPS정리!$L$3:$O$133,2,0)</f>
        <v>#N/A</v>
      </c>
      <c r="CA36" s="2" t="str">
        <f t="shared" si="9"/>
        <v/>
      </c>
      <c r="CL36" s="2" t="e">
        <f>VLOOKUP(AI36,GLAPS정리!$BT$3:$BV$26,3,0)</f>
        <v>#N/A</v>
      </c>
    </row>
    <row r="37" spans="1:90" ht="20.45" customHeight="1">
      <c r="B37" s="13"/>
      <c r="G37" s="3"/>
      <c r="J37" s="3"/>
      <c r="U37"/>
      <c r="V37" s="14"/>
      <c r="X37" s="13"/>
      <c r="Y37" s="13"/>
      <c r="Z37" s="91"/>
      <c r="AC37" s="2">
        <f t="shared" si="0"/>
        <v>20</v>
      </c>
      <c r="AD37" s="2" t="str">
        <f>IFERROR(INDEX(GLAPS정리!$D$2:$D$50,MATCH(I37,GLAPS정리!$A$2:$A$50,0)),IFERROR(INDEX(GLAPS정리!$D$2:$D$50,MATCH(I37,GLAPS정리!$B$2:$B$50,0)),""))</f>
        <v/>
      </c>
      <c r="AF37" s="2" t="str">
        <f t="shared" si="1"/>
        <v>KR10</v>
      </c>
      <c r="AI37" s="2" t="e">
        <f>VLOOKUP(F37,GLAPS정리!$G$3:$J$114,2,0)</f>
        <v>#N/A</v>
      </c>
      <c r="AJ37" s="2" t="e">
        <f>IF(Z37="울산정일","KRONS",IF(Z37="울산신항","KRUSN",IF(OR(Z37="선광종합물류(인천여객)",Z37="인천여객(인천여객)"),"KRINF",IF(OR(Z37="선광인천보세(인천신)",Z37="한진인천(인천신)",Z37="선광인천신항(인천신)",Z37="인천더로지스(인천신)"),"KRINN",IF(OR(Z37="인천진아(인천항)",Z37="인천E1(인천항)",Z37="인천SM경인터미널(인천항)",Z37="인천항(인천항)",Z37="인천우련(인천항)",Z37="인천항8부두(인천항)"),"KRINC",VLOOKUP(K37,GLAPS정리!$BB$2:$BC$33,2,0))))))</f>
        <v>#N/A</v>
      </c>
      <c r="AL37" s="2">
        <f t="shared" si="10"/>
        <v>5010001</v>
      </c>
      <c r="AN37" s="70" t="str">
        <f t="shared" si="2"/>
        <v>1900-01-00</v>
      </c>
      <c r="AO37" s="2" t="str">
        <f t="shared" si="3"/>
        <v/>
      </c>
      <c r="AP37" s="2" t="e">
        <f>VLOOKUP(C37,GLAPS정리!$AX$2:$AZ$17,3,0)</f>
        <v>#N/A</v>
      </c>
      <c r="AR37" s="2">
        <f t="shared" si="4"/>
        <v>0</v>
      </c>
      <c r="AX37" s="2" t="e">
        <f>VLOOKUP(L37,GLAPS정리!$V$3:$W$180,2,0)</f>
        <v>#N/A</v>
      </c>
      <c r="BM37" s="2" t="str">
        <f t="shared" si="5"/>
        <v xml:space="preserve"> </v>
      </c>
      <c r="BN37" s="2">
        <f t="shared" si="6"/>
        <v>1</v>
      </c>
      <c r="BR37" s="2" t="str">
        <f t="shared" si="7"/>
        <v/>
      </c>
      <c r="BS37" s="2" t="str">
        <f t="shared" si="8"/>
        <v/>
      </c>
      <c r="BV37" s="2" t="e">
        <f>VLOOKUP(O37,GLAPS정리!$BH$2:$BI$94,2,0)</f>
        <v>#N/A</v>
      </c>
      <c r="BW37" s="2" t="str">
        <f>IF(OR(Z37="동원",Z37="세방",Z37="한타"),"",IFERROR(INDEX(GLAPS정리!$BI$2:$BI$101,MATCH(Z37,GLAPS정리!$BH$2:$BH$101,0)),""))</f>
        <v/>
      </c>
      <c r="BX37" s="2" t="str">
        <f>IF(Z37="","",IFERROR(VLOOKUP(Z37,GLAPS정리!$AX$2:$AZ$17,3,0),""))</f>
        <v/>
      </c>
      <c r="BZ37" s="2" t="e">
        <f>VLOOKUP(H37,GLAPS정리!$L$3:$O$133,2,0)</f>
        <v>#N/A</v>
      </c>
      <c r="CA37" s="2" t="str">
        <f t="shared" si="9"/>
        <v/>
      </c>
      <c r="CL37" s="2" t="e">
        <f>VLOOKUP(AI37,GLAPS정리!$BT$3:$BV$26,3,0)</f>
        <v>#N/A</v>
      </c>
    </row>
    <row r="38" spans="1:90" ht="20.45" customHeight="1">
      <c r="B38" s="13"/>
      <c r="G38" s="3"/>
      <c r="J38" s="3"/>
      <c r="V38" s="14"/>
      <c r="X38" s="13"/>
      <c r="Y38" s="13"/>
      <c r="Z38" s="91"/>
      <c r="AC38" s="2">
        <f t="shared" si="0"/>
        <v>20</v>
      </c>
      <c r="AD38" s="2" t="str">
        <f>IFERROR(INDEX(GLAPS정리!$D$2:$D$50,MATCH(I38,GLAPS정리!$A$2:$A$50,0)),IFERROR(INDEX(GLAPS정리!$D$2:$D$50,MATCH(I38,GLAPS정리!$B$2:$B$50,0)),""))</f>
        <v/>
      </c>
      <c r="AF38" s="2" t="str">
        <f t="shared" si="1"/>
        <v>KR10</v>
      </c>
      <c r="AI38" s="2" t="e">
        <f>VLOOKUP(F38,GLAPS정리!$G$3:$J$114,2,0)</f>
        <v>#N/A</v>
      </c>
      <c r="AJ38" s="2" t="e">
        <f>IF(Z38="울산정일","KRONS",IF(Z38="울산신항","KRUSN",IF(OR(Z38="선광종합물류(인천여객)",Z38="인천여객(인천여객)"),"KRINF",IF(OR(Z38="선광인천보세(인천신)",Z38="한진인천(인천신)",Z38="선광인천신항(인천신)",Z38="인천더로지스(인천신)"),"KRINN",IF(OR(Z38="인천진아(인천항)",Z38="인천E1(인천항)",Z38="인천SM경인터미널(인천항)",Z38="인천항(인천항)",Z38="인천우련(인천항)",Z38="인천항8부두(인천항)"),"KRINC",VLOOKUP(K38,GLAPS정리!$BB$2:$BC$33,2,0))))))</f>
        <v>#N/A</v>
      </c>
      <c r="AL38" s="2">
        <f t="shared" si="10"/>
        <v>5010001</v>
      </c>
      <c r="AN38" s="70" t="str">
        <f t="shared" si="2"/>
        <v>1900-01-00</v>
      </c>
      <c r="AO38" s="2" t="str">
        <f t="shared" si="3"/>
        <v/>
      </c>
      <c r="AP38" s="2" t="e">
        <f>VLOOKUP(C38,GLAPS정리!$AX$2:$AZ$17,3,0)</f>
        <v>#N/A</v>
      </c>
      <c r="AR38" s="2">
        <f t="shared" si="4"/>
        <v>0</v>
      </c>
      <c r="AX38" s="2" t="e">
        <f>VLOOKUP(L38,GLAPS정리!$V$3:$W$180,2,0)</f>
        <v>#N/A</v>
      </c>
      <c r="BM38" s="2" t="str">
        <f t="shared" si="5"/>
        <v xml:space="preserve"> </v>
      </c>
      <c r="BN38" s="2">
        <f t="shared" si="6"/>
        <v>1</v>
      </c>
      <c r="BR38" s="2" t="str">
        <f t="shared" si="7"/>
        <v/>
      </c>
      <c r="BS38" s="2" t="str">
        <f t="shared" si="8"/>
        <v/>
      </c>
      <c r="BV38" s="2" t="e">
        <f>VLOOKUP(O38,GLAPS정리!$BH$2:$BI$94,2,0)</f>
        <v>#N/A</v>
      </c>
      <c r="BW38" s="2" t="str">
        <f>IF(OR(Z38="동원",Z38="세방",Z38="한타"),"",IFERROR(INDEX(GLAPS정리!$BI$2:$BI$101,MATCH(Z38,GLAPS정리!$BH$2:$BH$101,0)),""))</f>
        <v/>
      </c>
      <c r="BX38" s="2" t="str">
        <f>IF(Z38="","",IFERROR(VLOOKUP(Z38,GLAPS정리!$AX$2:$AZ$17,3,0),""))</f>
        <v/>
      </c>
      <c r="BZ38" s="2" t="e">
        <f>VLOOKUP(H38,GLAPS정리!$L$3:$O$133,2,0)</f>
        <v>#N/A</v>
      </c>
      <c r="CA38" s="2" t="str">
        <f t="shared" si="9"/>
        <v/>
      </c>
      <c r="CL38" s="2" t="e">
        <f>VLOOKUP(AI38,GLAPS정리!$BT$3:$BV$26,3,0)</f>
        <v>#N/A</v>
      </c>
    </row>
    <row r="39" spans="1:90" ht="20.45" customHeight="1">
      <c r="B39" s="13"/>
      <c r="G39" s="3"/>
      <c r="J39" s="3"/>
      <c r="V39" s="14"/>
      <c r="X39" s="13"/>
      <c r="Y39" s="13"/>
      <c r="Z39" s="91"/>
      <c r="AC39" s="2">
        <f t="shared" si="0"/>
        <v>20</v>
      </c>
      <c r="AD39" s="2" t="str">
        <f>IFERROR(INDEX(GLAPS정리!$D$2:$D$50,MATCH(I39,GLAPS정리!$A$2:$A$50,0)),IFERROR(INDEX(GLAPS정리!$D$2:$D$50,MATCH(I39,GLAPS정리!$B$2:$B$50,0)),""))</f>
        <v/>
      </c>
      <c r="AF39" s="2" t="str">
        <f t="shared" si="1"/>
        <v>KR10</v>
      </c>
      <c r="AI39" s="2" t="e">
        <f>VLOOKUP(F39,GLAPS정리!$G$3:$J$114,2,0)</f>
        <v>#N/A</v>
      </c>
      <c r="AJ39" s="2" t="e">
        <f>IF(Z39="울산정일","KRONS",IF(Z39="울산신항","KRUSN",IF(OR(Z39="선광종합물류(인천여객)",Z39="인천여객(인천여객)"),"KRINF",IF(OR(Z39="선광인천보세(인천신)",Z39="한진인천(인천신)",Z39="선광인천신항(인천신)",Z39="인천더로지스(인천신)"),"KRINN",IF(OR(Z39="인천진아(인천항)",Z39="인천E1(인천항)",Z39="인천SM경인터미널(인천항)",Z39="인천항(인천항)",Z39="인천우련(인천항)",Z39="인천항8부두(인천항)"),"KRINC",VLOOKUP(K39,GLAPS정리!$BB$2:$BC$33,2,0))))))</f>
        <v>#N/A</v>
      </c>
      <c r="AL39" s="2">
        <f t="shared" si="10"/>
        <v>5010001</v>
      </c>
      <c r="AN39" s="70" t="str">
        <f t="shared" si="2"/>
        <v>1900-01-00</v>
      </c>
      <c r="AO39" s="2" t="str">
        <f t="shared" si="3"/>
        <v/>
      </c>
      <c r="AP39" s="2" t="e">
        <f>VLOOKUP(C39,GLAPS정리!$AX$2:$AZ$17,3,0)</f>
        <v>#N/A</v>
      </c>
      <c r="AR39" s="2">
        <f t="shared" si="4"/>
        <v>0</v>
      </c>
      <c r="AX39" s="2" t="e">
        <f>VLOOKUP(L39,GLAPS정리!$V$3:$W$180,2,0)</f>
        <v>#N/A</v>
      </c>
      <c r="BM39" s="2" t="str">
        <f t="shared" si="5"/>
        <v xml:space="preserve"> </v>
      </c>
      <c r="BN39" s="2">
        <f t="shared" si="6"/>
        <v>1</v>
      </c>
      <c r="BR39" s="2" t="str">
        <f t="shared" si="7"/>
        <v/>
      </c>
      <c r="BS39" s="2" t="str">
        <f t="shared" si="8"/>
        <v/>
      </c>
      <c r="BV39" s="2" t="e">
        <f>VLOOKUP(O39,GLAPS정리!$BH$2:$BI$94,2,0)</f>
        <v>#N/A</v>
      </c>
      <c r="BW39" s="2" t="str">
        <f>IF(OR(Z39="동원",Z39="세방",Z39="한타"),"",IFERROR(INDEX(GLAPS정리!$BI$2:$BI$101,MATCH(Z39,GLAPS정리!$BH$2:$BH$101,0)),""))</f>
        <v/>
      </c>
      <c r="BX39" s="2" t="str">
        <f>IF(Z39="","",IFERROR(VLOOKUP(Z39,GLAPS정리!$AX$2:$AZ$17,3,0),""))</f>
        <v/>
      </c>
      <c r="BZ39" s="2" t="e">
        <f>VLOOKUP(H39,GLAPS정리!$L$3:$O$133,2,0)</f>
        <v>#N/A</v>
      </c>
      <c r="CA39" s="2" t="str">
        <f t="shared" si="9"/>
        <v/>
      </c>
      <c r="CL39" s="2" t="e">
        <f>VLOOKUP(AI39,GLAPS정리!$BT$3:$BV$26,3,0)</f>
        <v>#N/A</v>
      </c>
    </row>
    <row r="40" spans="1:90" ht="20.45" customHeight="1">
      <c r="B40" s="13"/>
      <c r="G40" s="3"/>
      <c r="J40" s="3"/>
      <c r="V40" s="14"/>
      <c r="X40" s="13"/>
      <c r="Y40" s="13"/>
      <c r="Z40" s="91"/>
      <c r="AC40" s="2">
        <f t="shared" si="0"/>
        <v>20</v>
      </c>
      <c r="AD40" s="2" t="str">
        <f>IFERROR(INDEX(GLAPS정리!$D$2:$D$50,MATCH(I40,GLAPS정리!$A$2:$A$50,0)),IFERROR(INDEX(GLAPS정리!$D$2:$D$50,MATCH(I40,GLAPS정리!$B$2:$B$50,0)),""))</f>
        <v/>
      </c>
      <c r="AF40" s="2" t="str">
        <f t="shared" si="1"/>
        <v>KR10</v>
      </c>
      <c r="AI40" s="2" t="e">
        <f>VLOOKUP(F40,GLAPS정리!$G$3:$J$114,2,0)</f>
        <v>#N/A</v>
      </c>
      <c r="AJ40" s="2" t="e">
        <f>IF(Z40="울산정일","KRONS",IF(Z40="울산신항","KRUSN",IF(OR(Z40="선광종합물류(인천여객)",Z40="인천여객(인천여객)"),"KRINF",IF(OR(Z40="선광인천보세(인천신)",Z40="한진인천(인천신)",Z40="선광인천신항(인천신)",Z40="인천더로지스(인천신)"),"KRINN",IF(OR(Z40="인천진아(인천항)",Z40="인천E1(인천항)",Z40="인천SM경인터미널(인천항)",Z40="인천항(인천항)",Z40="인천우련(인천항)",Z40="인천항8부두(인천항)"),"KRINC",VLOOKUP(K40,GLAPS정리!$BB$2:$BC$33,2,0))))))</f>
        <v>#N/A</v>
      </c>
      <c r="AL40" s="2">
        <f t="shared" si="10"/>
        <v>5010001</v>
      </c>
      <c r="AN40" s="70" t="str">
        <f t="shared" si="2"/>
        <v>1900-01-00</v>
      </c>
      <c r="AO40" s="2" t="str">
        <f t="shared" si="3"/>
        <v/>
      </c>
      <c r="AP40" s="2" t="e">
        <f>VLOOKUP(C40,GLAPS정리!$AX$2:$AZ$17,3,0)</f>
        <v>#N/A</v>
      </c>
      <c r="AR40" s="2">
        <f t="shared" si="4"/>
        <v>0</v>
      </c>
      <c r="AX40" s="2" t="e">
        <f>VLOOKUP(L40,GLAPS정리!$V$3:$W$180,2,0)</f>
        <v>#N/A</v>
      </c>
      <c r="BM40" s="2" t="str">
        <f t="shared" si="5"/>
        <v xml:space="preserve"> </v>
      </c>
      <c r="BN40" s="2">
        <f t="shared" si="6"/>
        <v>1</v>
      </c>
      <c r="BR40" s="2" t="str">
        <f t="shared" si="7"/>
        <v/>
      </c>
      <c r="BS40" s="2" t="str">
        <f t="shared" si="8"/>
        <v/>
      </c>
      <c r="BV40" s="2" t="e">
        <f>VLOOKUP(O40,GLAPS정리!$BH$2:$BI$94,2,0)</f>
        <v>#N/A</v>
      </c>
      <c r="BW40" s="2" t="str">
        <f>IF(OR(Z40="동원",Z40="세방",Z40="한타"),"",IFERROR(INDEX(GLAPS정리!$BI$2:$BI$101,MATCH(Z40,GLAPS정리!$BH$2:$BH$101,0)),""))</f>
        <v/>
      </c>
      <c r="BX40" s="2" t="str">
        <f>IF(Z40="","",IFERROR(VLOOKUP(Z40,GLAPS정리!$AX$2:$AZ$17,3,0),""))</f>
        <v/>
      </c>
      <c r="BZ40" s="2" t="e">
        <f>VLOOKUP(H40,GLAPS정리!$L$3:$O$133,2,0)</f>
        <v>#N/A</v>
      </c>
      <c r="CA40" s="2" t="str">
        <f t="shared" si="9"/>
        <v/>
      </c>
      <c r="CL40" s="2" t="e">
        <f>VLOOKUP(AI40,GLAPS정리!$BT$3:$BV$26,3,0)</f>
        <v>#N/A</v>
      </c>
    </row>
    <row r="41" spans="1:90" ht="20.45" customHeight="1">
      <c r="B41" s="13"/>
      <c r="G41" s="3"/>
      <c r="J41" s="3"/>
      <c r="V41" s="14"/>
      <c r="X41" s="13"/>
      <c r="Y41" s="13"/>
      <c r="Z41" s="91"/>
      <c r="AC41" s="2">
        <f t="shared" si="0"/>
        <v>20</v>
      </c>
      <c r="AD41" s="2" t="str">
        <f>IFERROR(INDEX(GLAPS정리!$D$2:$D$50,MATCH(I41,GLAPS정리!$A$2:$A$50,0)),IFERROR(INDEX(GLAPS정리!$D$2:$D$50,MATCH(I41,GLAPS정리!$B$2:$B$50,0)),""))</f>
        <v/>
      </c>
      <c r="AF41" s="2" t="str">
        <f t="shared" si="1"/>
        <v>KR10</v>
      </c>
      <c r="AI41" s="2" t="e">
        <f>VLOOKUP(F41,GLAPS정리!$G$3:$J$114,2,0)</f>
        <v>#N/A</v>
      </c>
      <c r="AJ41" s="2" t="e">
        <f>IF(Z41="울산정일","KRONS",IF(Z41="울산신항","KRUSN",IF(OR(Z41="선광종합물류(인천여객)",Z41="인천여객(인천여객)"),"KRINF",IF(OR(Z41="선광인천보세(인천신)",Z41="한진인천(인천신)",Z41="선광인천신항(인천신)",Z41="인천더로지스(인천신)"),"KRINN",IF(OR(Z41="인천진아(인천항)",Z41="인천E1(인천항)",Z41="인천SM경인터미널(인천항)",Z41="인천항(인천항)",Z41="인천우련(인천항)",Z41="인천항8부두(인천항)"),"KRINC",VLOOKUP(K41,GLAPS정리!$BB$2:$BC$33,2,0))))))</f>
        <v>#N/A</v>
      </c>
      <c r="AL41" s="2">
        <f t="shared" si="10"/>
        <v>5010001</v>
      </c>
      <c r="AN41" s="70" t="str">
        <f t="shared" si="2"/>
        <v>1900-01-00</v>
      </c>
      <c r="AO41" s="2" t="str">
        <f t="shared" si="3"/>
        <v/>
      </c>
      <c r="AP41" s="2" t="e">
        <f>VLOOKUP(C41,GLAPS정리!$AX$2:$AZ$17,3,0)</f>
        <v>#N/A</v>
      </c>
      <c r="AR41" s="2">
        <f t="shared" si="4"/>
        <v>0</v>
      </c>
      <c r="AX41" s="2" t="e">
        <f>VLOOKUP(L41,GLAPS정리!$V$3:$W$180,2,0)</f>
        <v>#N/A</v>
      </c>
      <c r="BM41" s="2" t="str">
        <f t="shared" si="5"/>
        <v xml:space="preserve"> </v>
      </c>
      <c r="BN41" s="2">
        <f t="shared" si="6"/>
        <v>1</v>
      </c>
      <c r="BR41" s="2" t="str">
        <f t="shared" si="7"/>
        <v/>
      </c>
      <c r="BS41" s="2" t="str">
        <f t="shared" si="8"/>
        <v/>
      </c>
      <c r="BV41" s="2" t="e">
        <f>VLOOKUP(O41,GLAPS정리!$BH$2:$BI$94,2,0)</f>
        <v>#N/A</v>
      </c>
      <c r="BW41" s="2" t="str">
        <f>IF(OR(Z41="동원",Z41="세방",Z41="한타"),"",IFERROR(INDEX(GLAPS정리!$BI$2:$BI$101,MATCH(Z41,GLAPS정리!$BH$2:$BH$101,0)),""))</f>
        <v/>
      </c>
      <c r="BX41" s="2" t="str">
        <f>IF(Z41="","",IFERROR(VLOOKUP(Z41,GLAPS정리!$AX$2:$AZ$17,3,0),""))</f>
        <v/>
      </c>
      <c r="BZ41" s="2" t="e">
        <f>VLOOKUP(H41,GLAPS정리!$L$3:$O$133,2,0)</f>
        <v>#N/A</v>
      </c>
      <c r="CA41" s="2" t="str">
        <f t="shared" si="9"/>
        <v/>
      </c>
      <c r="CL41" s="2" t="e">
        <f>VLOOKUP(AI41,GLAPS정리!$BT$3:$BV$26,3,0)</f>
        <v>#N/A</v>
      </c>
    </row>
    <row r="42" spans="1:90" ht="20.45" customHeight="1">
      <c r="B42" s="13"/>
      <c r="G42" s="3"/>
      <c r="J42" s="3"/>
      <c r="V42" s="14"/>
      <c r="X42" s="13"/>
      <c r="Y42" s="13"/>
      <c r="Z42" s="91"/>
      <c r="AC42" s="2">
        <f t="shared" si="0"/>
        <v>20</v>
      </c>
      <c r="AD42" s="2" t="str">
        <f>IFERROR(INDEX(GLAPS정리!$D$2:$D$50,MATCH(I42,GLAPS정리!$A$2:$A$50,0)),IFERROR(INDEX(GLAPS정리!$D$2:$D$50,MATCH(I42,GLAPS정리!$B$2:$B$50,0)),""))</f>
        <v/>
      </c>
      <c r="AF42" s="2" t="str">
        <f t="shared" si="1"/>
        <v>KR10</v>
      </c>
      <c r="AI42" s="2" t="e">
        <f>VLOOKUP(F42,GLAPS정리!$G$3:$J$114,2,0)</f>
        <v>#N/A</v>
      </c>
      <c r="AJ42" s="2" t="e">
        <f>IF(Z42="울산정일","KRONS",IF(Z42="울산신항","KRUSN",IF(OR(Z42="선광종합물류(인천여객)",Z42="인천여객(인천여객)"),"KRINF",IF(OR(Z42="선광인천보세(인천신)",Z42="한진인천(인천신)",Z42="선광인천신항(인천신)",Z42="인천더로지스(인천신)"),"KRINN",IF(OR(Z42="인천진아(인천항)",Z42="인천E1(인천항)",Z42="인천SM경인터미널(인천항)",Z42="인천항(인천항)",Z42="인천우련(인천항)",Z42="인천항8부두(인천항)"),"KRINC",VLOOKUP(K42,GLAPS정리!$BB$2:$BC$33,2,0))))))</f>
        <v>#N/A</v>
      </c>
      <c r="AL42" s="2">
        <f t="shared" si="10"/>
        <v>5010001</v>
      </c>
      <c r="AN42" s="70" t="str">
        <f t="shared" si="2"/>
        <v>1900-01-00</v>
      </c>
      <c r="AO42" s="2" t="str">
        <f t="shared" si="3"/>
        <v/>
      </c>
      <c r="AP42" s="2" t="e">
        <f>VLOOKUP(C42,GLAPS정리!$AX$2:$AZ$17,3,0)</f>
        <v>#N/A</v>
      </c>
      <c r="AR42" s="2">
        <f t="shared" si="4"/>
        <v>0</v>
      </c>
      <c r="AX42" s="2" t="e">
        <f>VLOOKUP(L42,GLAPS정리!$V$3:$W$180,2,0)</f>
        <v>#N/A</v>
      </c>
      <c r="BM42" s="2" t="str">
        <f t="shared" si="5"/>
        <v xml:space="preserve"> </v>
      </c>
      <c r="BN42" s="2">
        <f t="shared" si="6"/>
        <v>1</v>
      </c>
      <c r="BR42" s="2" t="str">
        <f t="shared" si="7"/>
        <v/>
      </c>
      <c r="BS42" s="2" t="str">
        <f t="shared" si="8"/>
        <v/>
      </c>
      <c r="BV42" s="2" t="e">
        <f>VLOOKUP(O42,GLAPS정리!$BH$2:$BI$94,2,0)</f>
        <v>#N/A</v>
      </c>
      <c r="BW42" s="2" t="str">
        <f>IF(OR(Z42="동원",Z42="세방",Z42="한타"),"",IFERROR(INDEX(GLAPS정리!$BI$2:$BI$101,MATCH(Z42,GLAPS정리!$BH$2:$BH$101,0)),""))</f>
        <v/>
      </c>
      <c r="BX42" s="2" t="str">
        <f>IF(Z42="","",IFERROR(VLOOKUP(Z42,GLAPS정리!$AX$2:$AZ$17,3,0),""))</f>
        <v/>
      </c>
      <c r="BZ42" s="2" t="e">
        <f>VLOOKUP(H42,GLAPS정리!$L$3:$O$133,2,0)</f>
        <v>#N/A</v>
      </c>
      <c r="CA42" s="2" t="str">
        <f t="shared" si="9"/>
        <v/>
      </c>
      <c r="CL42" s="2" t="e">
        <f>VLOOKUP(AI42,GLAPS정리!$BT$3:$BV$26,3,0)</f>
        <v>#N/A</v>
      </c>
    </row>
    <row r="43" spans="1:90" ht="20.45" customHeight="1">
      <c r="B43" s="13"/>
      <c r="G43" s="3"/>
      <c r="J43" s="3"/>
      <c r="X43" s="13"/>
      <c r="Y43" s="13"/>
      <c r="Z43" s="91"/>
      <c r="AC43" s="2">
        <f t="shared" si="0"/>
        <v>20</v>
      </c>
      <c r="AD43" s="2" t="str">
        <f>IFERROR(INDEX(GLAPS정리!$D$2:$D$50,MATCH(I43,GLAPS정리!$A$2:$A$50,0)),IFERROR(INDEX(GLAPS정리!$D$2:$D$50,MATCH(I43,GLAPS정리!$B$2:$B$50,0)),""))</f>
        <v/>
      </c>
      <c r="AF43" s="2" t="str">
        <f t="shared" si="1"/>
        <v>KR10</v>
      </c>
      <c r="AI43" s="2" t="e">
        <f>VLOOKUP(F43,GLAPS정리!$G$3:$J$114,2,0)</f>
        <v>#N/A</v>
      </c>
      <c r="AJ43" s="2" t="e">
        <f>IF(Z43="울산정일","KRONS",IF(Z43="울산신항","KRUSN",IF(OR(Z43="선광종합물류(인천여객)",Z43="인천여객(인천여객)"),"KRINF",IF(OR(Z43="선광인천보세(인천신)",Z43="한진인천(인천신)",Z43="선광인천신항(인천신)",Z43="인천더로지스(인천신)"),"KRINN",IF(OR(Z43="인천진아(인천항)",Z43="인천E1(인천항)",Z43="인천SM경인터미널(인천항)",Z43="인천항(인천항)",Z43="인천우련(인천항)",Z43="인천항8부두(인천항)"),"KRINC",VLOOKUP(K43,GLAPS정리!$BB$2:$BC$33,2,0))))))</f>
        <v>#N/A</v>
      </c>
      <c r="AL43" s="2">
        <f t="shared" si="10"/>
        <v>5010001</v>
      </c>
      <c r="AN43" s="70" t="str">
        <f t="shared" si="2"/>
        <v>1900-01-00</v>
      </c>
      <c r="AO43" s="2" t="str">
        <f t="shared" si="3"/>
        <v/>
      </c>
      <c r="AP43" s="2" t="e">
        <f>VLOOKUP(C43,GLAPS정리!$AX$2:$AZ$17,3,0)</f>
        <v>#N/A</v>
      </c>
      <c r="AR43" s="2">
        <f t="shared" si="4"/>
        <v>0</v>
      </c>
      <c r="AX43" s="2" t="e">
        <f>VLOOKUP(L43,GLAPS정리!$V$3:$W$180,2,0)</f>
        <v>#N/A</v>
      </c>
      <c r="BM43" s="2" t="str">
        <f t="shared" si="5"/>
        <v xml:space="preserve"> </v>
      </c>
      <c r="BN43" s="2">
        <f t="shared" si="6"/>
        <v>1</v>
      </c>
      <c r="BR43" s="2" t="str">
        <f t="shared" si="7"/>
        <v/>
      </c>
      <c r="BS43" s="2" t="str">
        <f t="shared" si="8"/>
        <v/>
      </c>
      <c r="BV43" s="2" t="e">
        <f>VLOOKUP(O43,GLAPS정리!$BH$2:$BI$94,2,0)</f>
        <v>#N/A</v>
      </c>
      <c r="BW43" s="2" t="str">
        <f>IF(OR(Z43="동원",Z43="세방",Z43="한타"),"",IFERROR(INDEX(GLAPS정리!$BI$2:$BI$101,MATCH(Z43,GLAPS정리!$BH$2:$BH$101,0)),""))</f>
        <v/>
      </c>
      <c r="BX43" s="2" t="str">
        <f>IF(Z43="","",IFERROR(VLOOKUP(Z43,GLAPS정리!$AX$2:$AZ$17,3,0),""))</f>
        <v/>
      </c>
      <c r="BZ43" s="2" t="e">
        <f>VLOOKUP(H43,GLAPS정리!$L$3:$O$133,2,0)</f>
        <v>#N/A</v>
      </c>
      <c r="CA43" s="2" t="str">
        <f t="shared" si="9"/>
        <v/>
      </c>
      <c r="CL43" s="2" t="e">
        <f>VLOOKUP(AI43,GLAPS정리!$BT$3:$BV$26,3,0)</f>
        <v>#N/A</v>
      </c>
    </row>
    <row r="44" spans="1:90" ht="20.45" customHeight="1">
      <c r="B44" s="13"/>
      <c r="G44" s="3"/>
      <c r="J44" s="3"/>
      <c r="X44" s="13"/>
      <c r="Y44" s="13"/>
      <c r="Z44" s="91"/>
      <c r="AC44" s="2">
        <f t="shared" si="0"/>
        <v>20</v>
      </c>
      <c r="AD44" s="2" t="str">
        <f>IFERROR(INDEX(GLAPS정리!$D$2:$D$50,MATCH(I44,GLAPS정리!$A$2:$A$50,0)),IFERROR(INDEX(GLAPS정리!$D$2:$D$50,MATCH(I44,GLAPS정리!$B$2:$B$50,0)),""))</f>
        <v/>
      </c>
      <c r="AF44" s="2" t="str">
        <f t="shared" si="1"/>
        <v>KR10</v>
      </c>
      <c r="AI44" s="2" t="e">
        <f>VLOOKUP(F44,GLAPS정리!$G$3:$J$114,2,0)</f>
        <v>#N/A</v>
      </c>
      <c r="AJ44" s="2" t="e">
        <f>IF(Z44="울산정일","KRONS",IF(Z44="울산신항","KRUSN",IF(OR(Z44="선광종합물류(인천여객)",Z44="인천여객(인천여객)"),"KRINF",IF(OR(Z44="선광인천보세(인천신)",Z44="한진인천(인천신)",Z44="선광인천신항(인천신)",Z44="인천더로지스(인천신)"),"KRINN",IF(OR(Z44="인천진아(인천항)",Z44="인천E1(인천항)",Z44="인천SM경인터미널(인천항)",Z44="인천항(인천항)",Z44="인천우련(인천항)",Z44="인천항8부두(인천항)"),"KRINC",VLOOKUP(K44,GLAPS정리!$BB$2:$BC$33,2,0))))))</f>
        <v>#N/A</v>
      </c>
      <c r="AL44" s="2">
        <f t="shared" si="10"/>
        <v>5010001</v>
      </c>
      <c r="AN44" s="70" t="str">
        <f t="shared" si="2"/>
        <v>1900-01-00</v>
      </c>
      <c r="AO44" s="2" t="str">
        <f t="shared" si="3"/>
        <v/>
      </c>
      <c r="AP44" s="2" t="e">
        <f>VLOOKUP(C44,GLAPS정리!$AX$2:$AZ$17,3,0)</f>
        <v>#N/A</v>
      </c>
      <c r="AR44" s="2">
        <f t="shared" si="4"/>
        <v>0</v>
      </c>
      <c r="AX44" s="2" t="e">
        <f>VLOOKUP(L44,GLAPS정리!$V$3:$W$180,2,0)</f>
        <v>#N/A</v>
      </c>
      <c r="BM44" s="2" t="str">
        <f t="shared" si="5"/>
        <v xml:space="preserve"> </v>
      </c>
      <c r="BN44" s="2">
        <f t="shared" si="6"/>
        <v>1</v>
      </c>
      <c r="BR44" s="2" t="str">
        <f t="shared" si="7"/>
        <v/>
      </c>
      <c r="BS44" s="2" t="str">
        <f t="shared" si="8"/>
        <v/>
      </c>
      <c r="BV44" s="2" t="e">
        <f>VLOOKUP(O44,GLAPS정리!$BH$2:$BI$94,2,0)</f>
        <v>#N/A</v>
      </c>
      <c r="BW44" s="2" t="str">
        <f>IF(OR(Z44="동원",Z44="세방",Z44="한타"),"",IFERROR(INDEX(GLAPS정리!$BI$2:$BI$101,MATCH(Z44,GLAPS정리!$BH$2:$BH$101,0)),""))</f>
        <v/>
      </c>
      <c r="BX44" s="2" t="str">
        <f>IF(Z44="","",IFERROR(VLOOKUP(Z44,GLAPS정리!$AX$2:$AZ$17,3,0),""))</f>
        <v/>
      </c>
      <c r="BZ44" s="2" t="e">
        <f>VLOOKUP(H44,GLAPS정리!$L$3:$O$133,2,0)</f>
        <v>#N/A</v>
      </c>
      <c r="CA44" s="2" t="str">
        <f t="shared" si="9"/>
        <v/>
      </c>
      <c r="CL44" s="2" t="e">
        <f>VLOOKUP(AI44,GLAPS정리!$BT$3:$BV$26,3,0)</f>
        <v>#N/A</v>
      </c>
    </row>
    <row r="45" spans="1:90" ht="20.45" customHeight="1">
      <c r="B45" s="13"/>
      <c r="G45" s="3"/>
      <c r="J45" s="3"/>
      <c r="X45" s="13"/>
      <c r="Y45" s="13"/>
      <c r="Z45" s="91"/>
      <c r="AC45" s="2">
        <f t="shared" si="0"/>
        <v>20</v>
      </c>
      <c r="AD45" s="2" t="str">
        <f>IFERROR(INDEX(GLAPS정리!$D$2:$D$50,MATCH(I45,GLAPS정리!$A$2:$A$50,0)),IFERROR(INDEX(GLAPS정리!$D$2:$D$50,MATCH(I45,GLAPS정리!$B$2:$B$50,0)),""))</f>
        <v/>
      </c>
      <c r="AF45" s="2" t="str">
        <f t="shared" si="1"/>
        <v>KR10</v>
      </c>
      <c r="AI45" s="2" t="e">
        <f>VLOOKUP(F45,GLAPS정리!$G$3:$J$114,2,0)</f>
        <v>#N/A</v>
      </c>
      <c r="AJ45" s="2" t="e">
        <f>IF(Z45="울산정일","KRONS",IF(Z45="울산신항","KRUSN",IF(OR(Z45="선광종합물류(인천여객)",Z45="인천여객(인천여객)"),"KRINF",IF(OR(Z45="선광인천보세(인천신)",Z45="한진인천(인천신)",Z45="선광인천신항(인천신)",Z45="인천더로지스(인천신)"),"KRINN",IF(OR(Z45="인천진아(인천항)",Z45="인천E1(인천항)",Z45="인천SM경인터미널(인천항)",Z45="인천항(인천항)",Z45="인천우련(인천항)",Z45="인천항8부두(인천항)"),"KRINC",VLOOKUP(K45,GLAPS정리!$BB$2:$BC$33,2,0))))))</f>
        <v>#N/A</v>
      </c>
      <c r="AL45" s="2">
        <f t="shared" si="10"/>
        <v>5010001</v>
      </c>
      <c r="AN45" s="70" t="str">
        <f t="shared" si="2"/>
        <v>1900-01-00</v>
      </c>
      <c r="AO45" s="2" t="str">
        <f t="shared" si="3"/>
        <v/>
      </c>
      <c r="AP45" s="2" t="e">
        <f>VLOOKUP(C45,GLAPS정리!$AX$2:$AZ$17,3,0)</f>
        <v>#N/A</v>
      </c>
      <c r="AR45" s="2">
        <f t="shared" si="4"/>
        <v>0</v>
      </c>
      <c r="AX45" s="2" t="e">
        <f>VLOOKUP(L45,GLAPS정리!$V$3:$W$180,2,0)</f>
        <v>#N/A</v>
      </c>
      <c r="BM45" s="2" t="str">
        <f t="shared" si="5"/>
        <v xml:space="preserve"> </v>
      </c>
      <c r="BN45" s="2">
        <f t="shared" si="6"/>
        <v>1</v>
      </c>
      <c r="BR45" s="2" t="str">
        <f t="shared" si="7"/>
        <v/>
      </c>
      <c r="BS45" s="2" t="str">
        <f t="shared" si="8"/>
        <v/>
      </c>
      <c r="BV45" s="2" t="e">
        <f>VLOOKUP(O45,GLAPS정리!$BH$2:$BI$94,2,0)</f>
        <v>#N/A</v>
      </c>
      <c r="BW45" s="2" t="str">
        <f>IF(OR(Z45="동원",Z45="세방",Z45="한타"),"",IFERROR(INDEX(GLAPS정리!$BI$2:$BI$101,MATCH(Z45,GLAPS정리!$BH$2:$BH$101,0)),""))</f>
        <v/>
      </c>
      <c r="BX45" s="2" t="str">
        <f>IF(Z45="","",IFERROR(VLOOKUP(Z45,GLAPS정리!$AX$2:$AZ$17,3,0),""))</f>
        <v/>
      </c>
      <c r="BZ45" s="2" t="e">
        <f>VLOOKUP(H45,GLAPS정리!$L$3:$O$133,2,0)</f>
        <v>#N/A</v>
      </c>
      <c r="CA45" s="2" t="str">
        <f t="shared" si="9"/>
        <v/>
      </c>
      <c r="CL45" s="2" t="e">
        <f>VLOOKUP(AI45,GLAPS정리!$BT$3:$BV$26,3,0)</f>
        <v>#N/A</v>
      </c>
    </row>
    <row r="46" spans="1:90" ht="20.45" customHeight="1">
      <c r="B46" s="13"/>
      <c r="G46" s="3"/>
      <c r="J46" s="3"/>
      <c r="X46" s="13"/>
      <c r="Y46" s="13"/>
      <c r="Z46" s="91"/>
      <c r="AC46" s="2">
        <f t="shared" si="0"/>
        <v>20</v>
      </c>
      <c r="AD46" s="2" t="str">
        <f>IFERROR(INDEX(GLAPS정리!$D$2:$D$50,MATCH(I46,GLAPS정리!$A$2:$A$50,0)),IFERROR(INDEX(GLAPS정리!$D$2:$D$50,MATCH(I46,GLAPS정리!$B$2:$B$50,0)),""))</f>
        <v/>
      </c>
      <c r="AF46" s="2" t="str">
        <f t="shared" si="1"/>
        <v>KR10</v>
      </c>
      <c r="AI46" s="2" t="e">
        <f>VLOOKUP(F46,GLAPS정리!$G$3:$J$114,2,0)</f>
        <v>#N/A</v>
      </c>
      <c r="AJ46" s="2" t="e">
        <f>IF(Z46="울산정일","KRONS",IF(Z46="울산신항","KRUSN",IF(OR(Z46="선광종합물류(인천여객)",Z46="인천여객(인천여객)"),"KRINF",IF(OR(Z46="선광인천보세(인천신)",Z46="한진인천(인천신)",Z46="선광인천신항(인천신)",Z46="인천더로지스(인천신)"),"KRINN",IF(OR(Z46="인천진아(인천항)",Z46="인천E1(인천항)",Z46="인천SM경인터미널(인천항)",Z46="인천항(인천항)",Z46="인천우련(인천항)",Z46="인천항8부두(인천항)"),"KRINC",VLOOKUP(K46,GLAPS정리!$BB$2:$BC$33,2,0))))))</f>
        <v>#N/A</v>
      </c>
      <c r="AL46" s="2">
        <f t="shared" si="10"/>
        <v>5010001</v>
      </c>
      <c r="AN46" s="70" t="str">
        <f t="shared" si="2"/>
        <v>1900-01-00</v>
      </c>
      <c r="AO46" s="2" t="str">
        <f t="shared" si="3"/>
        <v/>
      </c>
      <c r="AP46" s="2" t="e">
        <f>VLOOKUP(C46,GLAPS정리!$AX$2:$AZ$17,3,0)</f>
        <v>#N/A</v>
      </c>
      <c r="AR46" s="2">
        <f t="shared" si="4"/>
        <v>0</v>
      </c>
      <c r="AX46" s="2" t="e">
        <f>VLOOKUP(L46,GLAPS정리!$V$3:$W$180,2,0)</f>
        <v>#N/A</v>
      </c>
      <c r="BM46" s="2" t="str">
        <f t="shared" si="5"/>
        <v xml:space="preserve"> </v>
      </c>
      <c r="BN46" s="2">
        <f t="shared" si="6"/>
        <v>1</v>
      </c>
      <c r="BR46" s="2" t="str">
        <f t="shared" si="7"/>
        <v/>
      </c>
      <c r="BS46" s="2" t="str">
        <f t="shared" si="8"/>
        <v/>
      </c>
      <c r="BV46" s="2" t="e">
        <f>VLOOKUP(O46,GLAPS정리!$BH$2:$BI$94,2,0)</f>
        <v>#N/A</v>
      </c>
      <c r="BW46" s="2" t="str">
        <f>IF(OR(Z46="동원",Z46="세방",Z46="한타"),"",IFERROR(INDEX(GLAPS정리!$BI$2:$BI$101,MATCH(Z46,GLAPS정리!$BH$2:$BH$101,0)),""))</f>
        <v/>
      </c>
      <c r="BX46" s="2" t="str">
        <f>IF(Z46="","",IFERROR(VLOOKUP(Z46,GLAPS정리!$AX$2:$AZ$17,3,0),""))</f>
        <v/>
      </c>
      <c r="BZ46" s="2" t="e">
        <f>VLOOKUP(H46,GLAPS정리!$L$3:$O$133,2,0)</f>
        <v>#N/A</v>
      </c>
      <c r="CA46" s="2" t="str">
        <f t="shared" si="9"/>
        <v/>
      </c>
      <c r="CL46" s="2" t="e">
        <f>VLOOKUP(AI46,GLAPS정리!$BT$3:$BV$26,3,0)</f>
        <v>#N/A</v>
      </c>
    </row>
    <row r="47" spans="1:90" ht="20.45" customHeight="1">
      <c r="B47" s="13"/>
      <c r="G47" s="3"/>
      <c r="J47" s="3"/>
      <c r="X47" s="13"/>
      <c r="Y47" s="13"/>
      <c r="Z47" s="91"/>
      <c r="AC47" s="2">
        <f t="shared" si="0"/>
        <v>20</v>
      </c>
      <c r="AD47" s="2" t="str">
        <f>IFERROR(INDEX(GLAPS정리!$D$2:$D$50,MATCH(I47,GLAPS정리!$A$2:$A$50,0)),IFERROR(INDEX(GLAPS정리!$D$2:$D$50,MATCH(I47,GLAPS정리!$B$2:$B$50,0)),""))</f>
        <v/>
      </c>
      <c r="AF47" s="2" t="str">
        <f t="shared" si="1"/>
        <v>KR10</v>
      </c>
      <c r="AI47" s="2" t="e">
        <f>VLOOKUP(F47,GLAPS정리!$G$3:$J$114,2,0)</f>
        <v>#N/A</v>
      </c>
      <c r="AJ47" s="2" t="e">
        <f>IF(Z47="울산정일","KRONS",IF(Z47="울산신항","KRUSN",IF(OR(Z47="선광종합물류(인천여객)",Z47="인천여객(인천여객)"),"KRINF",IF(OR(Z47="선광인천보세(인천신)",Z47="한진인천(인천신)",Z47="선광인천신항(인천신)",Z47="인천더로지스(인천신)"),"KRINN",IF(OR(Z47="인천진아(인천항)",Z47="인천E1(인천항)",Z47="인천SM경인터미널(인천항)",Z47="인천항(인천항)",Z47="인천우련(인천항)",Z47="인천항8부두(인천항)"),"KRINC",VLOOKUP(K47,GLAPS정리!$BB$2:$BC$33,2,0))))))</f>
        <v>#N/A</v>
      </c>
      <c r="AL47" s="2">
        <f t="shared" si="10"/>
        <v>5010001</v>
      </c>
      <c r="AN47" s="70" t="str">
        <f t="shared" si="2"/>
        <v>1900-01-00</v>
      </c>
      <c r="AO47" s="2" t="str">
        <f t="shared" si="3"/>
        <v/>
      </c>
      <c r="AP47" s="2" t="e">
        <f>VLOOKUP(C47,GLAPS정리!$AX$2:$AZ$17,3,0)</f>
        <v>#N/A</v>
      </c>
      <c r="AR47" s="2">
        <f t="shared" si="4"/>
        <v>0</v>
      </c>
      <c r="AX47" s="2" t="e">
        <f>VLOOKUP(L47,GLAPS정리!$V$3:$W$180,2,0)</f>
        <v>#N/A</v>
      </c>
      <c r="BM47" s="2" t="str">
        <f t="shared" si="5"/>
        <v xml:space="preserve"> </v>
      </c>
      <c r="BN47" s="2">
        <f t="shared" si="6"/>
        <v>1</v>
      </c>
      <c r="BR47" s="2" t="str">
        <f t="shared" si="7"/>
        <v/>
      </c>
      <c r="BS47" s="2" t="str">
        <f t="shared" si="8"/>
        <v/>
      </c>
      <c r="BV47" s="2" t="e">
        <f>VLOOKUP(O47,GLAPS정리!$BH$2:$BI$94,2,0)</f>
        <v>#N/A</v>
      </c>
      <c r="BW47" s="2" t="str">
        <f>IF(OR(Z47="동원",Z47="세방",Z47="한타"),"",IFERROR(INDEX(GLAPS정리!$BI$2:$BI$101,MATCH(Z47,GLAPS정리!$BH$2:$BH$101,0)),""))</f>
        <v/>
      </c>
      <c r="BX47" s="2" t="str">
        <f>IF(Z47="","",IFERROR(VLOOKUP(Z47,GLAPS정리!$AX$2:$AZ$17,3,0),""))</f>
        <v/>
      </c>
      <c r="BZ47" s="2" t="e">
        <f>VLOOKUP(H47,GLAPS정리!$L$3:$O$133,2,0)</f>
        <v>#N/A</v>
      </c>
      <c r="CA47" s="2" t="str">
        <f t="shared" si="9"/>
        <v/>
      </c>
      <c r="CL47" s="2" t="e">
        <f>VLOOKUP(AI47,GLAPS정리!$BT$3:$BV$26,3,0)</f>
        <v>#N/A</v>
      </c>
    </row>
    <row r="48" spans="1:90" ht="20.45" customHeight="1">
      <c r="B48" s="13"/>
      <c r="G48" s="3"/>
      <c r="J48" s="3"/>
      <c r="X48" s="13"/>
      <c r="Y48" s="13"/>
      <c r="Z48" s="91"/>
      <c r="AC48" s="2">
        <f t="shared" si="0"/>
        <v>20</v>
      </c>
      <c r="AD48" s="2" t="str">
        <f>IFERROR(INDEX(GLAPS정리!$D$2:$D$50,MATCH(I48,GLAPS정리!$A$2:$A$50,0)),IFERROR(INDEX(GLAPS정리!$D$2:$D$50,MATCH(I48,GLAPS정리!$B$2:$B$50,0)),""))</f>
        <v/>
      </c>
      <c r="AF48" s="2" t="str">
        <f t="shared" si="1"/>
        <v>KR10</v>
      </c>
      <c r="AI48" s="2" t="e">
        <f>VLOOKUP(F48,GLAPS정리!$G$3:$J$114,2,0)</f>
        <v>#N/A</v>
      </c>
      <c r="AJ48" s="2" t="e">
        <f>IF(Z48="울산정일","KRONS",IF(Z48="울산신항","KRUSN",IF(OR(Z48="선광종합물류(인천여객)",Z48="인천여객(인천여객)"),"KRINF",IF(OR(Z48="선광인천보세(인천신)",Z48="한진인천(인천신)",Z48="선광인천신항(인천신)",Z48="인천더로지스(인천신)"),"KRINN",IF(OR(Z48="인천진아(인천항)",Z48="인천E1(인천항)",Z48="인천SM경인터미널(인천항)",Z48="인천항(인천항)",Z48="인천우련(인천항)",Z48="인천항8부두(인천항)"),"KRINC",VLOOKUP(K48,GLAPS정리!$BB$2:$BC$33,2,0))))))</f>
        <v>#N/A</v>
      </c>
      <c r="AL48" s="2">
        <f t="shared" si="10"/>
        <v>5010001</v>
      </c>
      <c r="AN48" s="70" t="str">
        <f t="shared" si="2"/>
        <v>1900-01-00</v>
      </c>
      <c r="AO48" s="2" t="str">
        <f t="shared" si="3"/>
        <v/>
      </c>
      <c r="AP48" s="2" t="e">
        <f>VLOOKUP(C48,GLAPS정리!$AX$2:$AZ$17,3,0)</f>
        <v>#N/A</v>
      </c>
      <c r="AR48" s="2">
        <f t="shared" si="4"/>
        <v>0</v>
      </c>
      <c r="AX48" s="2" t="e">
        <f>VLOOKUP(L48,GLAPS정리!$V$3:$W$180,2,0)</f>
        <v>#N/A</v>
      </c>
      <c r="BM48" s="2" t="str">
        <f t="shared" si="5"/>
        <v xml:space="preserve"> </v>
      </c>
      <c r="BN48" s="2">
        <f t="shared" si="6"/>
        <v>1</v>
      </c>
      <c r="BR48" s="2" t="str">
        <f t="shared" si="7"/>
        <v/>
      </c>
      <c r="BS48" s="2" t="str">
        <f t="shared" si="8"/>
        <v/>
      </c>
      <c r="BV48" s="2" t="e">
        <f>VLOOKUP(O48,GLAPS정리!$BH$2:$BI$94,2,0)</f>
        <v>#N/A</v>
      </c>
      <c r="BW48" s="2" t="str">
        <f>IF(OR(Z48="동원",Z48="세방",Z48="한타"),"",IFERROR(INDEX(GLAPS정리!$BI$2:$BI$101,MATCH(Z48,GLAPS정리!$BH$2:$BH$101,0)),""))</f>
        <v/>
      </c>
      <c r="BX48" s="2" t="str">
        <f>IF(Z48="","",IFERROR(VLOOKUP(Z48,GLAPS정리!$AX$2:$AZ$17,3,0),""))</f>
        <v/>
      </c>
      <c r="BZ48" s="2" t="e">
        <f>VLOOKUP(H48,GLAPS정리!$L$3:$O$133,2,0)</f>
        <v>#N/A</v>
      </c>
      <c r="CA48" s="2" t="str">
        <f t="shared" si="9"/>
        <v/>
      </c>
      <c r="CL48" s="2" t="e">
        <f>VLOOKUP(AI48,GLAPS정리!$BT$3:$BV$26,3,0)</f>
        <v>#N/A</v>
      </c>
    </row>
    <row r="49" spans="2:90" ht="20.45" customHeight="1">
      <c r="B49" s="13"/>
      <c r="G49" s="3"/>
      <c r="J49" s="3"/>
      <c r="X49" s="13"/>
      <c r="Y49" s="13"/>
      <c r="Z49" s="91"/>
      <c r="AC49" s="2">
        <f t="shared" si="0"/>
        <v>20</v>
      </c>
      <c r="AD49" s="2" t="str">
        <f>IFERROR(INDEX(GLAPS정리!$D$2:$D$50,MATCH(I49,GLAPS정리!$A$2:$A$50,0)),IFERROR(INDEX(GLAPS정리!$D$2:$D$50,MATCH(I49,GLAPS정리!$B$2:$B$50,0)),""))</f>
        <v/>
      </c>
      <c r="AF49" s="2" t="str">
        <f t="shared" si="1"/>
        <v>KR10</v>
      </c>
      <c r="AI49" s="2" t="e">
        <f>VLOOKUP(F49,GLAPS정리!$G$3:$J$114,2,0)</f>
        <v>#N/A</v>
      </c>
      <c r="AJ49" s="2" t="e">
        <f>IF(Z49="울산정일","KRONS",IF(Z49="울산신항","KRUSN",IF(OR(Z49="선광종합물류(인천여객)",Z49="인천여객(인천여객)"),"KRINF",IF(OR(Z49="선광인천보세(인천신)",Z49="한진인천(인천신)",Z49="선광인천신항(인천신)",Z49="인천더로지스(인천신)"),"KRINN",IF(OR(Z49="인천진아(인천항)",Z49="인천E1(인천항)",Z49="인천SM경인터미널(인천항)",Z49="인천항(인천항)",Z49="인천우련(인천항)",Z49="인천항8부두(인천항)"),"KRINC",VLOOKUP(K49,GLAPS정리!$BB$2:$BC$33,2,0))))))</f>
        <v>#N/A</v>
      </c>
      <c r="AL49" s="2">
        <f t="shared" si="10"/>
        <v>5010001</v>
      </c>
      <c r="AN49" s="70" t="str">
        <f t="shared" si="2"/>
        <v>1900-01-00</v>
      </c>
      <c r="AO49" s="2" t="str">
        <f t="shared" si="3"/>
        <v/>
      </c>
      <c r="AP49" s="2" t="e">
        <f>VLOOKUP(C49,GLAPS정리!$AX$2:$AZ$17,3,0)</f>
        <v>#N/A</v>
      </c>
      <c r="AR49" s="2">
        <f t="shared" si="4"/>
        <v>0</v>
      </c>
      <c r="AX49" s="2" t="e">
        <f>VLOOKUP(L49,GLAPS정리!$V$3:$W$180,2,0)</f>
        <v>#N/A</v>
      </c>
      <c r="BM49" s="2" t="str">
        <f t="shared" si="5"/>
        <v xml:space="preserve"> </v>
      </c>
      <c r="BN49" s="2">
        <f t="shared" si="6"/>
        <v>1</v>
      </c>
      <c r="BR49" s="2" t="str">
        <f t="shared" si="7"/>
        <v/>
      </c>
      <c r="BS49" s="2" t="str">
        <f t="shared" si="8"/>
        <v/>
      </c>
      <c r="BV49" s="2" t="e">
        <f>VLOOKUP(O49,GLAPS정리!$BH$2:$BI$94,2,0)</f>
        <v>#N/A</v>
      </c>
      <c r="BW49" s="2" t="str">
        <f>IF(OR(Z49="동원",Z49="세방",Z49="한타"),"",IFERROR(INDEX(GLAPS정리!$BI$2:$BI$101,MATCH(Z49,GLAPS정리!$BH$2:$BH$101,0)),""))</f>
        <v/>
      </c>
      <c r="BX49" s="2" t="str">
        <f>IF(Z49="","",IFERROR(VLOOKUP(Z49,GLAPS정리!$AX$2:$AZ$17,3,0),""))</f>
        <v/>
      </c>
      <c r="BZ49" s="2" t="e">
        <f>VLOOKUP(H49,GLAPS정리!$L$3:$O$133,2,0)</f>
        <v>#N/A</v>
      </c>
      <c r="CA49" s="2" t="str">
        <f t="shared" si="9"/>
        <v/>
      </c>
      <c r="CL49" s="2" t="e">
        <f>VLOOKUP(AI49,GLAPS정리!$BT$3:$BV$26,3,0)</f>
        <v>#N/A</v>
      </c>
    </row>
    <row r="50" spans="2:90" ht="20.45" customHeight="1">
      <c r="B50" s="13"/>
      <c r="G50" s="3"/>
      <c r="J50" s="3"/>
      <c r="X50" s="13"/>
      <c r="Y50" s="13"/>
      <c r="Z50" s="91"/>
      <c r="AC50" s="2">
        <f t="shared" si="0"/>
        <v>20</v>
      </c>
      <c r="AD50" s="2" t="str">
        <f>IFERROR(INDEX(GLAPS정리!$D$2:$D$50,MATCH(I50,GLAPS정리!$A$2:$A$50,0)),IFERROR(INDEX(GLAPS정리!$D$2:$D$50,MATCH(I50,GLAPS정리!$B$2:$B$50,0)),""))</f>
        <v/>
      </c>
      <c r="AF50" s="2" t="str">
        <f t="shared" si="1"/>
        <v>KR10</v>
      </c>
      <c r="AI50" s="2" t="e">
        <f>VLOOKUP(F50,GLAPS정리!$G$3:$J$114,2,0)</f>
        <v>#N/A</v>
      </c>
      <c r="AJ50" s="2" t="e">
        <f>IF(Z50="울산정일","KRONS",IF(Z50="울산신항","KRUSN",IF(OR(Z50="선광종합물류(인천여객)",Z50="인천여객(인천여객)"),"KRINF",IF(OR(Z50="선광인천보세(인천신)",Z50="한진인천(인천신)",Z50="선광인천신항(인천신)",Z50="인천더로지스(인천신)"),"KRINN",IF(OR(Z50="인천진아(인천항)",Z50="인천E1(인천항)",Z50="인천SM경인터미널(인천항)",Z50="인천항(인천항)",Z50="인천우련(인천항)",Z50="인천항8부두(인천항)"),"KRINC",VLOOKUP(K50,GLAPS정리!$BB$2:$BC$33,2,0))))))</f>
        <v>#N/A</v>
      </c>
      <c r="AL50" s="2">
        <f t="shared" si="10"/>
        <v>5010001</v>
      </c>
      <c r="AN50" s="70" t="str">
        <f t="shared" si="2"/>
        <v>1900-01-00</v>
      </c>
      <c r="AO50" s="2" t="str">
        <f t="shared" si="3"/>
        <v/>
      </c>
      <c r="AP50" s="2" t="e">
        <f>VLOOKUP(C50,GLAPS정리!$AX$2:$AZ$17,3,0)</f>
        <v>#N/A</v>
      </c>
      <c r="AR50" s="2">
        <f t="shared" si="4"/>
        <v>0</v>
      </c>
      <c r="AX50" s="2" t="e">
        <f>VLOOKUP(L50,GLAPS정리!$V$3:$W$180,2,0)</f>
        <v>#N/A</v>
      </c>
      <c r="BM50" s="2" t="str">
        <f t="shared" si="5"/>
        <v xml:space="preserve"> </v>
      </c>
      <c r="BN50" s="2">
        <f t="shared" si="6"/>
        <v>1</v>
      </c>
      <c r="BR50" s="2" t="str">
        <f t="shared" si="7"/>
        <v/>
      </c>
      <c r="BS50" s="2" t="str">
        <f t="shared" si="8"/>
        <v/>
      </c>
      <c r="BV50" s="2" t="e">
        <f>VLOOKUP(O50,GLAPS정리!$BH$2:$BI$94,2,0)</f>
        <v>#N/A</v>
      </c>
      <c r="BW50" s="2" t="str">
        <f>IF(OR(Z50="동원",Z50="세방",Z50="한타"),"",IFERROR(INDEX(GLAPS정리!$BI$2:$BI$101,MATCH(Z50,GLAPS정리!$BH$2:$BH$101,0)),""))</f>
        <v/>
      </c>
      <c r="BX50" s="2" t="str">
        <f>IF(Z50="","",IFERROR(VLOOKUP(Z50,GLAPS정리!$AX$2:$AZ$17,3,0),""))</f>
        <v/>
      </c>
      <c r="BZ50" s="2" t="e">
        <f>VLOOKUP(H50,GLAPS정리!$L$3:$O$133,2,0)</f>
        <v>#N/A</v>
      </c>
      <c r="CA50" s="2" t="str">
        <f t="shared" si="9"/>
        <v/>
      </c>
      <c r="CL50" s="2" t="e">
        <f>VLOOKUP(AI50,GLAPS정리!$BT$3:$BV$26,3,0)</f>
        <v>#N/A</v>
      </c>
    </row>
    <row r="51" spans="2:90" ht="20.45" customHeight="1">
      <c r="B51" s="13"/>
      <c r="G51" s="3"/>
      <c r="J51" s="3"/>
      <c r="X51" s="13"/>
      <c r="Y51" s="13"/>
      <c r="Z51" s="91"/>
      <c r="AC51" s="2">
        <f t="shared" si="0"/>
        <v>20</v>
      </c>
      <c r="AD51" s="2" t="str">
        <f>IFERROR(INDEX(GLAPS정리!$D$2:$D$50,MATCH(I51,GLAPS정리!$A$2:$A$50,0)),IFERROR(INDEX(GLAPS정리!$D$2:$D$50,MATCH(I51,GLAPS정리!$B$2:$B$50,0)),""))</f>
        <v/>
      </c>
      <c r="AF51" s="2" t="str">
        <f t="shared" si="1"/>
        <v>KR10</v>
      </c>
      <c r="AI51" s="2" t="e">
        <f>VLOOKUP(F51,GLAPS정리!$G$3:$J$114,2,0)</f>
        <v>#N/A</v>
      </c>
      <c r="AJ51" s="2" t="e">
        <f>IF(Z51="울산정일","KRONS",IF(Z51="울산신항","KRUSN",IF(OR(Z51="선광종합물류(인천여객)",Z51="인천여객(인천여객)"),"KRINF",IF(OR(Z51="선광인천보세(인천신)",Z51="한진인천(인천신)",Z51="선광인천신항(인천신)",Z51="인천더로지스(인천신)"),"KRINN",IF(OR(Z51="인천진아(인천항)",Z51="인천E1(인천항)",Z51="인천SM경인터미널(인천항)",Z51="인천항(인천항)",Z51="인천우련(인천항)",Z51="인천항8부두(인천항)"),"KRINC",VLOOKUP(K51,GLAPS정리!$BB$2:$BC$33,2,0))))))</f>
        <v>#N/A</v>
      </c>
      <c r="AL51" s="2">
        <f t="shared" si="10"/>
        <v>5010001</v>
      </c>
      <c r="AN51" s="70" t="str">
        <f t="shared" si="2"/>
        <v>1900-01-00</v>
      </c>
      <c r="AO51" s="2" t="str">
        <f t="shared" si="3"/>
        <v/>
      </c>
      <c r="AP51" s="2" t="e">
        <f>VLOOKUP(C51,GLAPS정리!$AX$2:$AZ$17,3,0)</f>
        <v>#N/A</v>
      </c>
      <c r="AR51" s="2">
        <f t="shared" si="4"/>
        <v>0</v>
      </c>
      <c r="AX51" s="2" t="e">
        <f>VLOOKUP(L51,GLAPS정리!$V$3:$W$180,2,0)</f>
        <v>#N/A</v>
      </c>
      <c r="BM51" s="2" t="str">
        <f t="shared" si="5"/>
        <v xml:space="preserve"> </v>
      </c>
      <c r="BN51" s="2">
        <f t="shared" si="6"/>
        <v>1</v>
      </c>
      <c r="BR51" s="2" t="str">
        <f t="shared" si="7"/>
        <v/>
      </c>
      <c r="BS51" s="2" t="str">
        <f t="shared" si="8"/>
        <v/>
      </c>
      <c r="BV51" s="2" t="e">
        <f>VLOOKUP(O51,GLAPS정리!$BH$2:$BI$94,2,0)</f>
        <v>#N/A</v>
      </c>
      <c r="BW51" s="2" t="str">
        <f>IF(OR(Z51="동원",Z51="세방",Z51="한타"),"",IFERROR(INDEX(GLAPS정리!$BI$2:$BI$101,MATCH(Z51,GLAPS정리!$BH$2:$BH$101,0)),""))</f>
        <v/>
      </c>
      <c r="BX51" s="2" t="str">
        <f>IF(Z51="","",IFERROR(VLOOKUP(Z51,GLAPS정리!$AX$2:$AZ$17,3,0),""))</f>
        <v/>
      </c>
      <c r="BZ51" s="2" t="e">
        <f>VLOOKUP(H51,GLAPS정리!$L$3:$O$133,2,0)</f>
        <v>#N/A</v>
      </c>
      <c r="CA51" s="2" t="str">
        <f t="shared" si="9"/>
        <v/>
      </c>
      <c r="CL51" s="2" t="e">
        <f>VLOOKUP(AI51,GLAPS정리!$BT$3:$BV$26,3,0)</f>
        <v>#N/A</v>
      </c>
    </row>
    <row r="52" spans="2:90" ht="20.45" customHeight="1">
      <c r="B52" s="13"/>
      <c r="G52" s="3"/>
      <c r="J52" s="3"/>
      <c r="X52" s="13"/>
      <c r="Y52" s="13"/>
      <c r="Z52" s="91"/>
      <c r="AC52" s="2">
        <f t="shared" si="0"/>
        <v>20</v>
      </c>
      <c r="AD52" s="2" t="str">
        <f>IFERROR(INDEX(GLAPS정리!$D$2:$D$50,MATCH(I52,GLAPS정리!$A$2:$A$50,0)),IFERROR(INDEX(GLAPS정리!$D$2:$D$50,MATCH(I52,GLAPS정리!$B$2:$B$50,0)),""))</f>
        <v/>
      </c>
      <c r="AF52" s="2" t="str">
        <f t="shared" si="1"/>
        <v>KR10</v>
      </c>
      <c r="AI52" s="2" t="e">
        <f>VLOOKUP(F52,GLAPS정리!$G$3:$J$114,2,0)</f>
        <v>#N/A</v>
      </c>
      <c r="AJ52" s="2" t="e">
        <f>IF(Z52="울산정일","KRONS",IF(Z52="울산신항","KRUSN",IF(OR(Z52="선광종합물류(인천여객)",Z52="인천여객(인천여객)"),"KRINF",IF(OR(Z52="선광인천보세(인천신)",Z52="한진인천(인천신)",Z52="선광인천신항(인천신)",Z52="인천더로지스(인천신)"),"KRINN",IF(OR(Z52="인천진아(인천항)",Z52="인천E1(인천항)",Z52="인천SM경인터미널(인천항)",Z52="인천항(인천항)",Z52="인천우련(인천항)",Z52="인천항8부두(인천항)"),"KRINC",VLOOKUP(K52,GLAPS정리!$BB$2:$BC$33,2,0))))))</f>
        <v>#N/A</v>
      </c>
      <c r="AL52" s="2">
        <f t="shared" si="10"/>
        <v>5010001</v>
      </c>
      <c r="AN52" s="70" t="str">
        <f t="shared" si="2"/>
        <v>1900-01-00</v>
      </c>
      <c r="AO52" s="2" t="str">
        <f t="shared" si="3"/>
        <v/>
      </c>
      <c r="AP52" s="2" t="e">
        <f>VLOOKUP(C52,GLAPS정리!$AX$2:$AZ$17,3,0)</f>
        <v>#N/A</v>
      </c>
      <c r="AR52" s="2">
        <f t="shared" si="4"/>
        <v>0</v>
      </c>
      <c r="AX52" s="2" t="e">
        <f>VLOOKUP(L52,GLAPS정리!$V$3:$W$180,2,0)</f>
        <v>#N/A</v>
      </c>
      <c r="BM52" s="2" t="str">
        <f t="shared" si="5"/>
        <v xml:space="preserve"> </v>
      </c>
      <c r="BN52" s="2">
        <f t="shared" si="6"/>
        <v>1</v>
      </c>
      <c r="BR52" s="2" t="str">
        <f t="shared" si="7"/>
        <v/>
      </c>
      <c r="BS52" s="2" t="str">
        <f t="shared" si="8"/>
        <v/>
      </c>
      <c r="BV52" s="2" t="e">
        <f>VLOOKUP(O52,GLAPS정리!$BH$2:$BI$94,2,0)</f>
        <v>#N/A</v>
      </c>
      <c r="BW52" s="2" t="str">
        <f>IF(OR(Z52="동원",Z52="세방",Z52="한타"),"",IFERROR(INDEX(GLAPS정리!$BI$2:$BI$101,MATCH(Z52,GLAPS정리!$BH$2:$BH$101,0)),""))</f>
        <v/>
      </c>
      <c r="BX52" s="2" t="str">
        <f>IF(Z52="","",IFERROR(VLOOKUP(Z52,GLAPS정리!$AX$2:$AZ$17,3,0),""))</f>
        <v/>
      </c>
      <c r="BZ52" s="2" t="e">
        <f>VLOOKUP(H52,GLAPS정리!$L$3:$O$133,2,0)</f>
        <v>#N/A</v>
      </c>
      <c r="CA52" s="2" t="str">
        <f t="shared" si="9"/>
        <v/>
      </c>
      <c r="CL52" s="2" t="e">
        <f>VLOOKUP(AI52,GLAPS정리!$BT$3:$BV$26,3,0)</f>
        <v>#N/A</v>
      </c>
    </row>
    <row r="53" spans="2:90" ht="20.45" customHeight="1">
      <c r="B53" s="13"/>
      <c r="G53" s="3"/>
      <c r="J53" s="3"/>
      <c r="X53" s="13"/>
      <c r="Y53" s="13"/>
      <c r="Z53" s="91"/>
      <c r="AC53" s="2">
        <f t="shared" si="0"/>
        <v>20</v>
      </c>
      <c r="AD53" s="2" t="str">
        <f>IFERROR(INDEX(GLAPS정리!$D$2:$D$50,MATCH(I53,GLAPS정리!$A$2:$A$50,0)),IFERROR(INDEX(GLAPS정리!$D$2:$D$50,MATCH(I53,GLAPS정리!$B$2:$B$50,0)),""))</f>
        <v/>
      </c>
      <c r="AF53" s="2" t="str">
        <f t="shared" si="1"/>
        <v>KR10</v>
      </c>
      <c r="AI53" s="2" t="e">
        <f>VLOOKUP(F53,GLAPS정리!$G$3:$J$114,2,0)</f>
        <v>#N/A</v>
      </c>
      <c r="AJ53" s="2" t="e">
        <f>IF(Z53="울산정일","KRONS",IF(Z53="울산신항","KRUSN",IF(OR(Z53="선광종합물류(인천여객)",Z53="인천여객(인천여객)"),"KRINF",IF(OR(Z53="선광인천보세(인천신)",Z53="한진인천(인천신)",Z53="선광인천신항(인천신)",Z53="인천더로지스(인천신)"),"KRINN",IF(OR(Z53="인천진아(인천항)",Z53="인천E1(인천항)",Z53="인천SM경인터미널(인천항)",Z53="인천항(인천항)",Z53="인천우련(인천항)",Z53="인천항8부두(인천항)"),"KRINC",VLOOKUP(K53,GLAPS정리!$BB$2:$BC$33,2,0))))))</f>
        <v>#N/A</v>
      </c>
      <c r="AL53" s="2">
        <f t="shared" si="10"/>
        <v>5010001</v>
      </c>
      <c r="AN53" s="70" t="str">
        <f t="shared" si="2"/>
        <v>1900-01-00</v>
      </c>
      <c r="AO53" s="2" t="str">
        <f t="shared" si="3"/>
        <v/>
      </c>
      <c r="AP53" s="2" t="e">
        <f>VLOOKUP(C53,GLAPS정리!$AX$2:$AZ$17,3,0)</f>
        <v>#N/A</v>
      </c>
      <c r="AR53" s="2">
        <f t="shared" si="4"/>
        <v>0</v>
      </c>
      <c r="AX53" s="2" t="e">
        <f>VLOOKUP(L53,GLAPS정리!$V$3:$W$180,2,0)</f>
        <v>#N/A</v>
      </c>
      <c r="BM53" s="2" t="str">
        <f t="shared" si="5"/>
        <v xml:space="preserve"> </v>
      </c>
      <c r="BN53" s="2">
        <f t="shared" si="6"/>
        <v>1</v>
      </c>
      <c r="BR53" s="2" t="str">
        <f t="shared" si="7"/>
        <v/>
      </c>
      <c r="BS53" s="2" t="str">
        <f t="shared" si="8"/>
        <v/>
      </c>
      <c r="BV53" s="2" t="e">
        <f>VLOOKUP(O53,GLAPS정리!$BH$2:$BI$94,2,0)</f>
        <v>#N/A</v>
      </c>
      <c r="BW53" s="2" t="str">
        <f>IF(OR(Z53="동원",Z53="세방",Z53="한타"),"",IFERROR(INDEX(GLAPS정리!$BI$2:$BI$101,MATCH(Z53,GLAPS정리!$BH$2:$BH$101,0)),""))</f>
        <v/>
      </c>
      <c r="BX53" s="2" t="str">
        <f>IF(Z53="","",IFERROR(VLOOKUP(Z53,GLAPS정리!$AX$2:$AZ$17,3,0),""))</f>
        <v/>
      </c>
      <c r="BZ53" s="2" t="e">
        <f>VLOOKUP(H53,GLAPS정리!$L$3:$O$133,2,0)</f>
        <v>#N/A</v>
      </c>
      <c r="CA53" s="2" t="str">
        <f t="shared" si="9"/>
        <v/>
      </c>
      <c r="CL53" s="2" t="e">
        <f>VLOOKUP(AI53,GLAPS정리!$BT$3:$BV$26,3,0)</f>
        <v>#N/A</v>
      </c>
    </row>
    <row r="54" spans="2:90" ht="20.45" customHeight="1">
      <c r="B54" s="13"/>
      <c r="G54" s="3"/>
      <c r="J54" s="3"/>
      <c r="X54" s="13"/>
      <c r="Y54" s="13"/>
      <c r="Z54" s="91"/>
      <c r="AC54" s="2">
        <f t="shared" si="0"/>
        <v>20</v>
      </c>
      <c r="AD54" s="2" t="str">
        <f>IFERROR(INDEX(GLAPS정리!$D$2:$D$50,MATCH(I54,GLAPS정리!$A$2:$A$50,0)),IFERROR(INDEX(GLAPS정리!$D$2:$D$50,MATCH(I54,GLAPS정리!$B$2:$B$50,0)),""))</f>
        <v/>
      </c>
      <c r="AF54" s="2" t="str">
        <f t="shared" si="1"/>
        <v>KR10</v>
      </c>
      <c r="AI54" s="2" t="e">
        <f>VLOOKUP(F54,GLAPS정리!$G$3:$J$114,2,0)</f>
        <v>#N/A</v>
      </c>
      <c r="AJ54" s="2" t="e">
        <f>IF(Z54="울산정일","KRONS",IF(Z54="울산신항","KRUSN",IF(OR(Z54="선광종합물류(인천여객)",Z54="인천여객(인천여객)"),"KRINF",IF(OR(Z54="선광인천보세(인천신)",Z54="한진인천(인천신)",Z54="선광인천신항(인천신)",Z54="인천더로지스(인천신)"),"KRINN",IF(OR(Z54="인천진아(인천항)",Z54="인천E1(인천항)",Z54="인천SM경인터미널(인천항)",Z54="인천항(인천항)",Z54="인천우련(인천항)",Z54="인천항8부두(인천항)"),"KRINC",VLOOKUP(K54,GLAPS정리!$BB$2:$BC$33,2,0))))))</f>
        <v>#N/A</v>
      </c>
      <c r="AL54" s="2">
        <f t="shared" si="10"/>
        <v>5010001</v>
      </c>
      <c r="AN54" s="70" t="str">
        <f t="shared" si="2"/>
        <v>1900-01-00</v>
      </c>
      <c r="AO54" s="2" t="str">
        <f t="shared" si="3"/>
        <v/>
      </c>
      <c r="AP54" s="2" t="e">
        <f>VLOOKUP(C54,GLAPS정리!$AX$2:$AZ$17,3,0)</f>
        <v>#N/A</v>
      </c>
      <c r="AR54" s="2">
        <f t="shared" si="4"/>
        <v>0</v>
      </c>
      <c r="AX54" s="2" t="e">
        <f>VLOOKUP(L54,GLAPS정리!$V$3:$W$180,2,0)</f>
        <v>#N/A</v>
      </c>
      <c r="BM54" s="2" t="str">
        <f t="shared" si="5"/>
        <v xml:space="preserve"> </v>
      </c>
      <c r="BN54" s="2">
        <f t="shared" si="6"/>
        <v>1</v>
      </c>
      <c r="BR54" s="2" t="str">
        <f t="shared" si="7"/>
        <v/>
      </c>
      <c r="BS54" s="2" t="str">
        <f t="shared" si="8"/>
        <v/>
      </c>
      <c r="BV54" s="2" t="e">
        <f>VLOOKUP(O54,GLAPS정리!$BH$2:$BI$94,2,0)</f>
        <v>#N/A</v>
      </c>
      <c r="BW54" s="2" t="str">
        <f>IF(OR(Z54="동원",Z54="세방",Z54="한타"),"",IFERROR(INDEX(GLAPS정리!$BI$2:$BI$101,MATCH(Z54,GLAPS정리!$BH$2:$BH$101,0)),""))</f>
        <v/>
      </c>
      <c r="BX54" s="2" t="str">
        <f>IF(Z54="","",IFERROR(VLOOKUP(Z54,GLAPS정리!$AX$2:$AZ$17,3,0),""))</f>
        <v/>
      </c>
      <c r="BZ54" s="2" t="e">
        <f>VLOOKUP(H54,GLAPS정리!$L$3:$O$133,2,0)</f>
        <v>#N/A</v>
      </c>
      <c r="CA54" s="2" t="str">
        <f t="shared" si="9"/>
        <v/>
      </c>
      <c r="CL54" s="2" t="e">
        <f>VLOOKUP(AI54,GLAPS정리!$BT$3:$BV$26,3,0)</f>
        <v>#N/A</v>
      </c>
    </row>
    <row r="55" spans="2:90" ht="20.45" customHeight="1">
      <c r="B55" s="13"/>
      <c r="G55" s="3"/>
      <c r="J55" s="3"/>
      <c r="X55" s="13"/>
      <c r="Y55" s="13"/>
      <c r="Z55" s="91"/>
      <c r="AC55" s="2">
        <f t="shared" si="0"/>
        <v>20</v>
      </c>
      <c r="AD55" s="2" t="str">
        <f>IFERROR(INDEX(GLAPS정리!$D$2:$D$50,MATCH(I55,GLAPS정리!$A$2:$A$50,0)),IFERROR(INDEX(GLAPS정리!$D$2:$D$50,MATCH(I55,GLAPS정리!$B$2:$B$50,0)),""))</f>
        <v/>
      </c>
      <c r="AF55" s="2" t="str">
        <f t="shared" si="1"/>
        <v>KR10</v>
      </c>
      <c r="AI55" s="2" t="e">
        <f>VLOOKUP(F55,GLAPS정리!$G$3:$J$114,2,0)</f>
        <v>#N/A</v>
      </c>
      <c r="AJ55" s="2" t="e">
        <f>IF(Z55="울산정일","KRONS",IF(Z55="울산신항","KRUSN",IF(OR(Z55="선광종합물류(인천여객)",Z55="인천여객(인천여객)"),"KRINF",IF(OR(Z55="선광인천보세(인천신)",Z55="한진인천(인천신)",Z55="선광인천신항(인천신)",Z55="인천더로지스(인천신)"),"KRINN",IF(OR(Z55="인천진아(인천항)",Z55="인천E1(인천항)",Z55="인천SM경인터미널(인천항)",Z55="인천항(인천항)",Z55="인천우련(인천항)",Z55="인천항8부두(인천항)"),"KRINC",VLOOKUP(K55,GLAPS정리!$BB$2:$BC$33,2,0))))))</f>
        <v>#N/A</v>
      </c>
      <c r="AL55" s="2">
        <f t="shared" si="10"/>
        <v>5010001</v>
      </c>
      <c r="AN55" s="70" t="str">
        <f t="shared" si="2"/>
        <v>1900-01-00</v>
      </c>
      <c r="AO55" s="2" t="str">
        <f t="shared" si="3"/>
        <v/>
      </c>
      <c r="AP55" s="2" t="e">
        <f>VLOOKUP(C55,GLAPS정리!$AX$2:$AZ$17,3,0)</f>
        <v>#N/A</v>
      </c>
      <c r="AR55" s="2">
        <f t="shared" si="4"/>
        <v>0</v>
      </c>
      <c r="AX55" s="2" t="e">
        <f>VLOOKUP(L55,GLAPS정리!$V$3:$W$180,2,0)</f>
        <v>#N/A</v>
      </c>
      <c r="BM55" s="2" t="str">
        <f t="shared" si="5"/>
        <v xml:space="preserve"> </v>
      </c>
      <c r="BN55" s="2">
        <f t="shared" si="6"/>
        <v>1</v>
      </c>
      <c r="BR55" s="2" t="str">
        <f t="shared" si="7"/>
        <v/>
      </c>
      <c r="BS55" s="2" t="str">
        <f t="shared" si="8"/>
        <v/>
      </c>
      <c r="BV55" s="2" t="e">
        <f>VLOOKUP(O55,GLAPS정리!$BH$2:$BI$94,2,0)</f>
        <v>#N/A</v>
      </c>
      <c r="BW55" s="2" t="str">
        <f>IF(OR(Z55="동원",Z55="세방",Z55="한타"),"",IFERROR(INDEX(GLAPS정리!$BI$2:$BI$101,MATCH(Z55,GLAPS정리!$BH$2:$BH$101,0)),""))</f>
        <v/>
      </c>
      <c r="BX55" s="2" t="str">
        <f>IF(Z55="","",IFERROR(VLOOKUP(Z55,GLAPS정리!$AX$2:$AZ$17,3,0),""))</f>
        <v/>
      </c>
      <c r="BZ55" s="2" t="e">
        <f>VLOOKUP(H55,GLAPS정리!$L$3:$O$133,2,0)</f>
        <v>#N/A</v>
      </c>
      <c r="CA55" s="2" t="str">
        <f t="shared" si="9"/>
        <v/>
      </c>
      <c r="CL55" s="2" t="e">
        <f>VLOOKUP(AI55,GLAPS정리!$BT$3:$BV$26,3,0)</f>
        <v>#N/A</v>
      </c>
    </row>
    <row r="56" spans="2:90" ht="20.45" customHeight="1">
      <c r="B56" s="13"/>
      <c r="G56" s="3"/>
      <c r="J56" s="3"/>
      <c r="X56" s="13"/>
      <c r="Y56" s="13"/>
      <c r="Z56" s="91"/>
      <c r="AC56" s="2">
        <f t="shared" si="0"/>
        <v>20</v>
      </c>
      <c r="AD56" s="2" t="str">
        <f>IFERROR(INDEX(GLAPS정리!$D$2:$D$50,MATCH(I56,GLAPS정리!$A$2:$A$50,0)),IFERROR(INDEX(GLAPS정리!$D$2:$D$50,MATCH(I56,GLAPS정리!$B$2:$B$50,0)),""))</f>
        <v/>
      </c>
      <c r="AF56" s="2" t="str">
        <f t="shared" si="1"/>
        <v>KR10</v>
      </c>
      <c r="AI56" s="2" t="e">
        <f>VLOOKUP(F56,GLAPS정리!$G$3:$J$114,2,0)</f>
        <v>#N/A</v>
      </c>
      <c r="AJ56" s="2" t="e">
        <f>IF(Z56="울산정일","KRONS",IF(Z56="울산신항","KRUSN",IF(OR(Z56="선광종합물류(인천여객)",Z56="인천여객(인천여객)"),"KRINF",IF(OR(Z56="선광인천보세(인천신)",Z56="한진인천(인천신)",Z56="선광인천신항(인천신)",Z56="인천더로지스(인천신)"),"KRINN",IF(OR(Z56="인천진아(인천항)",Z56="인천E1(인천항)",Z56="인천SM경인터미널(인천항)",Z56="인천항(인천항)",Z56="인천우련(인천항)",Z56="인천항8부두(인천항)"),"KRINC",VLOOKUP(K56,GLAPS정리!$BB$2:$BC$33,2,0))))))</f>
        <v>#N/A</v>
      </c>
      <c r="AL56" s="2">
        <f t="shared" si="10"/>
        <v>5010001</v>
      </c>
      <c r="AN56" s="70" t="str">
        <f t="shared" si="2"/>
        <v>1900-01-00</v>
      </c>
      <c r="AO56" s="2" t="str">
        <f t="shared" si="3"/>
        <v/>
      </c>
      <c r="AP56" s="2" t="e">
        <f>VLOOKUP(C56,GLAPS정리!$AX$2:$AZ$17,3,0)</f>
        <v>#N/A</v>
      </c>
      <c r="AR56" s="2">
        <f t="shared" si="4"/>
        <v>0</v>
      </c>
      <c r="AX56" s="2" t="e">
        <f>VLOOKUP(L56,GLAPS정리!$V$3:$W$180,2,0)</f>
        <v>#N/A</v>
      </c>
      <c r="BM56" s="2" t="str">
        <f t="shared" si="5"/>
        <v xml:space="preserve"> </v>
      </c>
      <c r="BN56" s="2">
        <f t="shared" si="6"/>
        <v>1</v>
      </c>
      <c r="BR56" s="2" t="str">
        <f t="shared" si="7"/>
        <v/>
      </c>
      <c r="BS56" s="2" t="str">
        <f t="shared" si="8"/>
        <v/>
      </c>
      <c r="BV56" s="2" t="e">
        <f>VLOOKUP(O56,GLAPS정리!$BH$2:$BI$94,2,0)</f>
        <v>#N/A</v>
      </c>
      <c r="BW56" s="2" t="str">
        <f>IF(OR(Z56="동원",Z56="세방",Z56="한타"),"",IFERROR(INDEX(GLAPS정리!$BI$2:$BI$101,MATCH(Z56,GLAPS정리!$BH$2:$BH$101,0)),""))</f>
        <v/>
      </c>
      <c r="BX56" s="2" t="str">
        <f>IF(Z56="","",IFERROR(VLOOKUP(Z56,GLAPS정리!$AX$2:$AZ$17,3,0),""))</f>
        <v/>
      </c>
      <c r="BZ56" s="2" t="e">
        <f>VLOOKUP(H56,GLAPS정리!$L$3:$O$133,2,0)</f>
        <v>#N/A</v>
      </c>
      <c r="CA56" s="2" t="str">
        <f t="shared" si="9"/>
        <v/>
      </c>
      <c r="CL56" s="2" t="e">
        <f>VLOOKUP(AI56,GLAPS정리!$BT$3:$BV$26,3,0)</f>
        <v>#N/A</v>
      </c>
    </row>
    <row r="57" spans="2:90" ht="20.45" customHeight="1">
      <c r="B57" s="13"/>
      <c r="G57" s="3"/>
      <c r="J57" s="3"/>
      <c r="X57" s="13"/>
      <c r="Y57" s="13"/>
      <c r="Z57" s="91"/>
      <c r="AC57" s="2">
        <f t="shared" si="0"/>
        <v>20</v>
      </c>
      <c r="AD57" s="2" t="str">
        <f>IFERROR(INDEX(GLAPS정리!$D$2:$D$50,MATCH(I57,GLAPS정리!$A$2:$A$50,0)),IFERROR(INDEX(GLAPS정리!$D$2:$D$50,MATCH(I57,GLAPS정리!$B$2:$B$50,0)),""))</f>
        <v/>
      </c>
      <c r="AF57" s="2" t="str">
        <f t="shared" si="1"/>
        <v>KR10</v>
      </c>
      <c r="AI57" s="2" t="e">
        <f>VLOOKUP(F57,GLAPS정리!$G$3:$J$114,2,0)</f>
        <v>#N/A</v>
      </c>
      <c r="AJ57" s="2" t="e">
        <f>IF(Z57="울산정일","KRONS",IF(Z57="울산신항","KRUSN",IF(OR(Z57="선광종합물류(인천여객)",Z57="인천여객(인천여객)"),"KRINF",IF(OR(Z57="선광인천보세(인천신)",Z57="한진인천(인천신)",Z57="선광인천신항(인천신)",Z57="인천더로지스(인천신)"),"KRINN",IF(OR(Z57="인천진아(인천항)",Z57="인천E1(인천항)",Z57="인천SM경인터미널(인천항)",Z57="인천항(인천항)",Z57="인천우련(인천항)",Z57="인천항8부두(인천항)"),"KRINC",VLOOKUP(K57,GLAPS정리!$BB$2:$BC$33,2,0))))))</f>
        <v>#N/A</v>
      </c>
      <c r="AL57" s="2">
        <f t="shared" si="10"/>
        <v>5010001</v>
      </c>
      <c r="AN57" s="70" t="str">
        <f t="shared" si="2"/>
        <v>1900-01-00</v>
      </c>
      <c r="AO57" s="2" t="str">
        <f t="shared" si="3"/>
        <v/>
      </c>
      <c r="AP57" s="2" t="e">
        <f>VLOOKUP(C57,GLAPS정리!$AX$2:$AZ$17,3,0)</f>
        <v>#N/A</v>
      </c>
      <c r="AR57" s="2">
        <f t="shared" si="4"/>
        <v>0</v>
      </c>
      <c r="AX57" s="2" t="e">
        <f>VLOOKUP(L57,GLAPS정리!$V$3:$W$180,2,0)</f>
        <v>#N/A</v>
      </c>
      <c r="BM57" s="2" t="str">
        <f t="shared" si="5"/>
        <v xml:space="preserve"> </v>
      </c>
      <c r="BN57" s="2">
        <f t="shared" si="6"/>
        <v>1</v>
      </c>
      <c r="BR57" s="2" t="str">
        <f t="shared" si="7"/>
        <v/>
      </c>
      <c r="BS57" s="2" t="str">
        <f t="shared" si="8"/>
        <v/>
      </c>
      <c r="BV57" s="2" t="e">
        <f>VLOOKUP(O57,GLAPS정리!$BH$2:$BI$94,2,0)</f>
        <v>#N/A</v>
      </c>
      <c r="BW57" s="2" t="str">
        <f>IF(OR(Z57="동원",Z57="세방",Z57="한타"),"",IFERROR(INDEX(GLAPS정리!$BI$2:$BI$101,MATCH(Z57,GLAPS정리!$BH$2:$BH$101,0)),""))</f>
        <v/>
      </c>
      <c r="BX57" s="2" t="str">
        <f>IF(Z57="","",IFERROR(VLOOKUP(Z57,GLAPS정리!$AX$2:$AZ$17,3,0),""))</f>
        <v/>
      </c>
      <c r="BZ57" s="2" t="e">
        <f>VLOOKUP(H57,GLAPS정리!$L$3:$O$133,2,0)</f>
        <v>#N/A</v>
      </c>
      <c r="CA57" s="2" t="str">
        <f t="shared" si="9"/>
        <v/>
      </c>
      <c r="CL57" s="2" t="e">
        <f>VLOOKUP(AI57,GLAPS정리!$BT$3:$BV$26,3,0)</f>
        <v>#N/A</v>
      </c>
    </row>
    <row r="58" spans="2:90" ht="20.45" customHeight="1">
      <c r="B58" s="13"/>
      <c r="G58" s="3"/>
      <c r="J58" s="3"/>
      <c r="X58" s="13"/>
      <c r="Y58" s="13"/>
      <c r="Z58" s="91"/>
      <c r="AC58" s="2">
        <f t="shared" si="0"/>
        <v>20</v>
      </c>
      <c r="AD58" s="2" t="str">
        <f>IFERROR(INDEX(GLAPS정리!$D$2:$D$50,MATCH(I58,GLAPS정리!$A$2:$A$50,0)),IFERROR(INDEX(GLAPS정리!$D$2:$D$50,MATCH(I58,GLAPS정리!$B$2:$B$50,0)),""))</f>
        <v/>
      </c>
      <c r="AF58" s="2" t="str">
        <f t="shared" si="1"/>
        <v>KR10</v>
      </c>
      <c r="AI58" s="2" t="e">
        <f>VLOOKUP(F58,GLAPS정리!$G$3:$J$114,2,0)</f>
        <v>#N/A</v>
      </c>
      <c r="AJ58" s="2" t="e">
        <f>IF(Z58="울산정일","KRONS",IF(Z58="울산신항","KRUSN",IF(OR(Z58="선광종합물류(인천여객)",Z58="인천여객(인천여객)"),"KRINF",IF(OR(Z58="선광인천보세(인천신)",Z58="한진인천(인천신)",Z58="선광인천신항(인천신)",Z58="인천더로지스(인천신)"),"KRINN",IF(OR(Z58="인천진아(인천항)",Z58="인천E1(인천항)",Z58="인천SM경인터미널(인천항)",Z58="인천항(인천항)",Z58="인천우련(인천항)",Z58="인천항8부두(인천항)"),"KRINC",VLOOKUP(K58,GLAPS정리!$BB$2:$BC$33,2,0))))))</f>
        <v>#N/A</v>
      </c>
      <c r="AL58" s="2">
        <f t="shared" si="10"/>
        <v>5010001</v>
      </c>
      <c r="AN58" s="70" t="str">
        <f t="shared" si="2"/>
        <v>1900-01-00</v>
      </c>
      <c r="AO58" s="2" t="str">
        <f t="shared" si="3"/>
        <v/>
      </c>
      <c r="AP58" s="2" t="e">
        <f>VLOOKUP(C58,GLAPS정리!$AX$2:$AZ$17,3,0)</f>
        <v>#N/A</v>
      </c>
      <c r="AR58" s="2">
        <f t="shared" si="4"/>
        <v>0</v>
      </c>
      <c r="AX58" s="2" t="e">
        <f>VLOOKUP(L58,GLAPS정리!$V$3:$W$180,2,0)</f>
        <v>#N/A</v>
      </c>
      <c r="BM58" s="2" t="str">
        <f t="shared" si="5"/>
        <v xml:space="preserve"> </v>
      </c>
      <c r="BN58" s="2">
        <f t="shared" si="6"/>
        <v>1</v>
      </c>
      <c r="BR58" s="2" t="str">
        <f t="shared" si="7"/>
        <v/>
      </c>
      <c r="BS58" s="2" t="str">
        <f t="shared" si="8"/>
        <v/>
      </c>
      <c r="BV58" s="2" t="e">
        <f>VLOOKUP(O58,GLAPS정리!$BH$2:$BI$94,2,0)</f>
        <v>#N/A</v>
      </c>
      <c r="BW58" s="2" t="str">
        <f>IF(OR(Z58="동원",Z58="세방",Z58="한타"),"",IFERROR(INDEX(GLAPS정리!$BI$2:$BI$101,MATCH(Z58,GLAPS정리!$BH$2:$BH$101,0)),""))</f>
        <v/>
      </c>
      <c r="BX58" s="2" t="str">
        <f>IF(Z58="","",IFERROR(VLOOKUP(Z58,GLAPS정리!$AX$2:$AZ$17,3,0),""))</f>
        <v/>
      </c>
      <c r="BZ58" s="2" t="e">
        <f>VLOOKUP(H58,GLAPS정리!$L$3:$O$133,2,0)</f>
        <v>#N/A</v>
      </c>
      <c r="CA58" s="2" t="str">
        <f t="shared" si="9"/>
        <v/>
      </c>
      <c r="CL58" s="2" t="e">
        <f>VLOOKUP(AI58,GLAPS정리!$BT$3:$BV$26,3,0)</f>
        <v>#N/A</v>
      </c>
    </row>
    <row r="59" spans="2:90" ht="20.45" customHeight="1">
      <c r="B59" s="13"/>
      <c r="G59" s="3"/>
      <c r="J59" s="3"/>
      <c r="X59" s="13"/>
      <c r="Y59" s="13"/>
      <c r="Z59" s="91"/>
      <c r="AC59" s="2">
        <f t="shared" si="0"/>
        <v>20</v>
      </c>
      <c r="AD59" s="2" t="str">
        <f>IFERROR(INDEX(GLAPS정리!$D$2:$D$50,MATCH(I59,GLAPS정리!$A$2:$A$50,0)),IFERROR(INDEX(GLAPS정리!$D$2:$D$50,MATCH(I59,GLAPS정리!$B$2:$B$50,0)),""))</f>
        <v/>
      </c>
      <c r="AF59" s="2" t="str">
        <f t="shared" si="1"/>
        <v>KR10</v>
      </c>
      <c r="AI59" s="2" t="e">
        <f>VLOOKUP(F59,GLAPS정리!$G$3:$J$114,2,0)</f>
        <v>#N/A</v>
      </c>
      <c r="AJ59" s="2" t="e">
        <f>IF(Z59="울산정일","KRONS",IF(Z59="울산신항","KRUSN",IF(OR(Z59="선광종합물류(인천여객)",Z59="인천여객(인천여객)"),"KRINF",IF(OR(Z59="선광인천보세(인천신)",Z59="한진인천(인천신)",Z59="선광인천신항(인천신)",Z59="인천더로지스(인천신)"),"KRINN",IF(OR(Z59="인천진아(인천항)",Z59="인천E1(인천항)",Z59="인천SM경인터미널(인천항)",Z59="인천항(인천항)",Z59="인천우련(인천항)",Z59="인천항8부두(인천항)"),"KRINC",VLOOKUP(K59,GLAPS정리!$BB$2:$BC$33,2,0))))))</f>
        <v>#N/A</v>
      </c>
      <c r="AL59" s="2">
        <f t="shared" si="10"/>
        <v>5010001</v>
      </c>
      <c r="AN59" s="70" t="str">
        <f t="shared" si="2"/>
        <v>1900-01-00</v>
      </c>
      <c r="AO59" s="2" t="str">
        <f t="shared" si="3"/>
        <v/>
      </c>
      <c r="AP59" s="2" t="e">
        <f>VLOOKUP(C59,GLAPS정리!$AX$2:$AZ$17,3,0)</f>
        <v>#N/A</v>
      </c>
      <c r="AR59" s="2">
        <f t="shared" si="4"/>
        <v>0</v>
      </c>
      <c r="AX59" s="2" t="e">
        <f>VLOOKUP(L59,GLAPS정리!$V$3:$W$180,2,0)</f>
        <v>#N/A</v>
      </c>
      <c r="BM59" s="2" t="str">
        <f t="shared" si="5"/>
        <v xml:space="preserve"> </v>
      </c>
      <c r="BN59" s="2">
        <f t="shared" si="6"/>
        <v>1</v>
      </c>
      <c r="BR59" s="2" t="str">
        <f t="shared" si="7"/>
        <v/>
      </c>
      <c r="BS59" s="2" t="str">
        <f t="shared" si="8"/>
        <v/>
      </c>
      <c r="BV59" s="2" t="e">
        <f>VLOOKUP(O59,GLAPS정리!$BH$2:$BI$94,2,0)</f>
        <v>#N/A</v>
      </c>
      <c r="BW59" s="2" t="str">
        <f>IF(OR(Z59="동원",Z59="세방",Z59="한타"),"",IFERROR(INDEX(GLAPS정리!$BI$2:$BI$101,MATCH(Z59,GLAPS정리!$BH$2:$BH$101,0)),""))</f>
        <v/>
      </c>
      <c r="BX59" s="2" t="str">
        <f>IF(Z59="","",IFERROR(VLOOKUP(Z59,GLAPS정리!$AX$2:$AZ$17,3,0),""))</f>
        <v/>
      </c>
      <c r="BZ59" s="2" t="e">
        <f>VLOOKUP(H59,GLAPS정리!$L$3:$O$133,2,0)</f>
        <v>#N/A</v>
      </c>
      <c r="CA59" s="2" t="str">
        <f t="shared" si="9"/>
        <v/>
      </c>
      <c r="CL59" s="2" t="e">
        <f>VLOOKUP(AI59,GLAPS정리!$BT$3:$BV$26,3,0)</f>
        <v>#N/A</v>
      </c>
    </row>
    <row r="60" spans="2:90" ht="20.45" customHeight="1">
      <c r="B60" s="13"/>
      <c r="G60" s="3"/>
      <c r="J60" s="3"/>
      <c r="X60" s="13"/>
      <c r="Y60" s="13"/>
      <c r="Z60" s="91"/>
      <c r="AC60" s="2">
        <f t="shared" ref="AC60:AC123" si="23">$AC$1</f>
        <v>20</v>
      </c>
      <c r="AD60" s="2" t="str">
        <f>IFERROR(INDEX(GLAPS정리!$D$2:$D$50,MATCH(I60,GLAPS정리!$A$2:$A$50,0)),IFERROR(INDEX(GLAPS정리!$D$2:$D$50,MATCH(I60,GLAPS정리!$B$2:$B$50,0)),""))</f>
        <v/>
      </c>
      <c r="AF60" s="2" t="str">
        <f t="shared" ref="AF60:AF123" si="24">$AF$1</f>
        <v>KR10</v>
      </c>
      <c r="AI60" s="2" t="e">
        <f>VLOOKUP(F60,GLAPS정리!$G$3:$J$114,2,0)</f>
        <v>#N/A</v>
      </c>
      <c r="AJ60" s="2" t="e">
        <f>IF(Z60="울산정일","KRONS",IF(Z60="울산신항","KRUSN",IF(OR(Z60="선광종합물류(인천여객)",Z60="인천여객(인천여객)"),"KRINF",IF(OR(Z60="선광인천보세(인천신)",Z60="한진인천(인천신)",Z60="선광인천신항(인천신)",Z60="인천더로지스(인천신)"),"KRINN",IF(OR(Z60="인천진아(인천항)",Z60="인천E1(인천항)",Z60="인천SM경인터미널(인천항)",Z60="인천항(인천항)",Z60="인천우련(인천항)",Z60="인천항8부두(인천항)"),"KRINC",VLOOKUP(K60,GLAPS정리!$BB$2:$BC$33,2,0))))))</f>
        <v>#N/A</v>
      </c>
      <c r="AL60" s="2">
        <f t="shared" ref="AL60:AL123" si="25">$AL$1</f>
        <v>5010001</v>
      </c>
      <c r="AN60" s="70" t="str">
        <f t="shared" ref="AN60:AN123" si="26">TEXT(B60,"YYYY-MM-DD")</f>
        <v>1900-01-00</v>
      </c>
      <c r="AO60" s="2" t="str">
        <f t="shared" ref="AO60:AO123" si="27">IF(E60="오전", "0800", IF(E60="오후", "1300", IF(E60="잔업", "1800", "")))</f>
        <v/>
      </c>
      <c r="AP60" s="2" t="e">
        <f>VLOOKUP(C60,GLAPS정리!$AX$2:$AZ$17,3,0)</f>
        <v>#N/A</v>
      </c>
      <c r="AR60" s="2">
        <f t="shared" si="4"/>
        <v>0</v>
      </c>
      <c r="AX60" s="2" t="e">
        <f>VLOOKUP(L60,GLAPS정리!$V$3:$W$180,2,0)</f>
        <v>#N/A</v>
      </c>
      <c r="BM60" s="2" t="str">
        <f t="shared" ref="BM60:BM123" si="28">IF(AND(Q60=1,OR(P60="",P60="위험물")), "2210", IF(AND(Q60=1,OR(P60="리퍼",P60="위험물리퍼")), "2230", IF(AND(S60=1,OR(P60="",P60="위험물")), "4510", IF(AND(S60=1,OR(P60="리퍼",P60="위험물리퍼")), "4530", IF(AND(R60=1,OR(P60="",P60="위험물")), "4210", IF(AND(R60=1,P60="리퍼"), "4230", " "))))))</f>
        <v xml:space="preserve"> </v>
      </c>
      <c r="BN60" s="2">
        <f t="shared" ref="BN60:BN123" si="29">$BN$1</f>
        <v>1</v>
      </c>
      <c r="BR60" s="2" t="str">
        <f t="shared" ref="BR60:BR123" si="30">IF(OR(P60="리퍼",P60="위험물리퍼"),"Y","")</f>
        <v/>
      </c>
      <c r="BS60" s="2" t="str">
        <f t="shared" ref="BS60:BS123" si="31">IF(OR(P60="위험물",P60="위험물리퍼"),"Y","")</f>
        <v/>
      </c>
      <c r="BV60" s="2" t="e">
        <f>VLOOKUP(O60,GLAPS정리!$BH$2:$BI$94,2,0)</f>
        <v>#N/A</v>
      </c>
      <c r="BW60" s="2" t="str">
        <f>IF(OR(Z60="동원",Z60="세방",Z60="한타"),"",IFERROR(INDEX(GLAPS정리!$BI$2:$BI$101,MATCH(Z60,GLAPS정리!$BH$2:$BH$101,0)),""))</f>
        <v/>
      </c>
      <c r="BX60" s="2" t="str">
        <f>IF(Z60="","",IFERROR(VLOOKUP(Z60,GLAPS정리!$AX$2:$AZ$17,3,0),""))</f>
        <v/>
      </c>
      <c r="BZ60" s="2" t="e">
        <f>VLOOKUP(H60,GLAPS정리!$L$3:$O$133,2,0)</f>
        <v>#N/A</v>
      </c>
      <c r="CA60" s="2" t="str">
        <f t="shared" ref="CA60:CA123" si="32">IF(V60="공휴일", 10, IF(V60="야간", 20, IF(V60="위험물", 30, IF(V60="중량", 40, ""))))</f>
        <v/>
      </c>
      <c r="CL60" s="2" t="e">
        <f>VLOOKUP(AI60,GLAPS정리!$BT$3:$BV$26,3,0)</f>
        <v>#N/A</v>
      </c>
    </row>
    <row r="61" spans="2:90" ht="20.45" customHeight="1">
      <c r="B61" s="13"/>
      <c r="G61" s="3"/>
      <c r="J61" s="3"/>
      <c r="X61" s="13"/>
      <c r="Y61" s="13"/>
      <c r="Z61" s="91"/>
      <c r="AC61" s="2">
        <f t="shared" si="23"/>
        <v>20</v>
      </c>
      <c r="AD61" s="2" t="str">
        <f>IFERROR(INDEX(GLAPS정리!$D$2:$D$50,MATCH(I61,GLAPS정리!$A$2:$A$50,0)),IFERROR(INDEX(GLAPS정리!$D$2:$D$50,MATCH(I61,GLAPS정리!$B$2:$B$50,0)),""))</f>
        <v/>
      </c>
      <c r="AF61" s="2" t="str">
        <f t="shared" si="24"/>
        <v>KR10</v>
      </c>
      <c r="AI61" s="2" t="e">
        <f>VLOOKUP(F61,GLAPS정리!$G$3:$J$114,2,0)</f>
        <v>#N/A</v>
      </c>
      <c r="AJ61" s="2" t="e">
        <f>IF(Z61="울산정일","KRONS",IF(Z61="울산신항","KRUSN",IF(OR(Z61="선광종합물류(인천여객)",Z61="인천여객(인천여객)"),"KRINF",IF(OR(Z61="선광인천보세(인천신)",Z61="한진인천(인천신)",Z61="선광인천신항(인천신)",Z61="인천더로지스(인천신)"),"KRINN",IF(OR(Z61="인천진아(인천항)",Z61="인천E1(인천항)",Z61="인천SM경인터미널(인천항)",Z61="인천항(인천항)",Z61="인천우련(인천항)",Z61="인천항8부두(인천항)"),"KRINC",VLOOKUP(K61,GLAPS정리!$BB$2:$BC$33,2,0))))))</f>
        <v>#N/A</v>
      </c>
      <c r="AL61" s="2">
        <f t="shared" si="25"/>
        <v>5010001</v>
      </c>
      <c r="AN61" s="70" t="str">
        <f t="shared" si="26"/>
        <v>1900-01-00</v>
      </c>
      <c r="AO61" s="2" t="str">
        <f t="shared" si="27"/>
        <v/>
      </c>
      <c r="AP61" s="2" t="e">
        <f>VLOOKUP(C61,GLAPS정리!$AX$2:$AZ$17,3,0)</f>
        <v>#N/A</v>
      </c>
      <c r="AR61" s="2">
        <f t="shared" si="4"/>
        <v>0</v>
      </c>
      <c r="AX61" s="2" t="e">
        <f>VLOOKUP(L61,GLAPS정리!$V$3:$W$180,2,0)</f>
        <v>#N/A</v>
      </c>
      <c r="BM61" s="2" t="str">
        <f t="shared" si="28"/>
        <v xml:space="preserve"> </v>
      </c>
      <c r="BN61" s="2">
        <f t="shared" si="29"/>
        <v>1</v>
      </c>
      <c r="BR61" s="2" t="str">
        <f t="shared" si="30"/>
        <v/>
      </c>
      <c r="BS61" s="2" t="str">
        <f t="shared" si="31"/>
        <v/>
      </c>
      <c r="BV61" s="2" t="e">
        <f>VLOOKUP(O61,GLAPS정리!$BH$2:$BI$94,2,0)</f>
        <v>#N/A</v>
      </c>
      <c r="BW61" s="2" t="str">
        <f>IF(OR(Z61="동원",Z61="세방",Z61="한타"),"",IFERROR(INDEX(GLAPS정리!$BI$2:$BI$101,MATCH(Z61,GLAPS정리!$BH$2:$BH$101,0)),""))</f>
        <v/>
      </c>
      <c r="BX61" s="2" t="str">
        <f>IF(Z61="","",IFERROR(VLOOKUP(Z61,GLAPS정리!$AX$2:$AZ$17,3,0),""))</f>
        <v/>
      </c>
      <c r="BZ61" s="2" t="e">
        <f>VLOOKUP(H61,GLAPS정리!$L$3:$O$133,2,0)</f>
        <v>#N/A</v>
      </c>
      <c r="CA61" s="2" t="str">
        <f t="shared" si="32"/>
        <v/>
      </c>
      <c r="CL61" s="2" t="e">
        <f>VLOOKUP(AI61,GLAPS정리!$BT$3:$BV$26,3,0)</f>
        <v>#N/A</v>
      </c>
    </row>
    <row r="62" spans="2:90" ht="20.45" customHeight="1">
      <c r="B62" s="13"/>
      <c r="G62" s="3"/>
      <c r="J62" s="3"/>
      <c r="X62" s="13"/>
      <c r="Y62" s="13"/>
      <c r="Z62" s="91"/>
      <c r="AC62" s="2">
        <f t="shared" si="23"/>
        <v>20</v>
      </c>
      <c r="AD62" s="2" t="str">
        <f>IFERROR(INDEX(GLAPS정리!$D$2:$D$50,MATCH(I62,GLAPS정리!$A$2:$A$50,0)),IFERROR(INDEX(GLAPS정리!$D$2:$D$50,MATCH(I62,GLAPS정리!$B$2:$B$50,0)),""))</f>
        <v/>
      </c>
      <c r="AF62" s="2" t="str">
        <f t="shared" si="24"/>
        <v>KR10</v>
      </c>
      <c r="AI62" s="2" t="e">
        <f>VLOOKUP(F62,GLAPS정리!$G$3:$J$114,2,0)</f>
        <v>#N/A</v>
      </c>
      <c r="AJ62" s="2" t="e">
        <f>IF(Z62="울산정일","KRONS",IF(Z62="울산신항","KRUSN",IF(OR(Z62="선광종합물류(인천여객)",Z62="인천여객(인천여객)"),"KRINF",IF(OR(Z62="선광인천보세(인천신)",Z62="한진인천(인천신)",Z62="선광인천신항(인천신)",Z62="인천더로지스(인천신)"),"KRINN",IF(OR(Z62="인천진아(인천항)",Z62="인천E1(인천항)",Z62="인천SM경인터미널(인천항)",Z62="인천항(인천항)",Z62="인천우련(인천항)",Z62="인천항8부두(인천항)"),"KRINC",VLOOKUP(K62,GLAPS정리!$BB$2:$BC$33,2,0))))))</f>
        <v>#N/A</v>
      </c>
      <c r="AL62" s="2">
        <f t="shared" si="25"/>
        <v>5010001</v>
      </c>
      <c r="AN62" s="70" t="str">
        <f t="shared" si="26"/>
        <v>1900-01-00</v>
      </c>
      <c r="AO62" s="2" t="str">
        <f t="shared" si="27"/>
        <v/>
      </c>
      <c r="AP62" s="2" t="e">
        <f>VLOOKUP(C62,GLAPS정리!$AX$2:$AZ$17,3,0)</f>
        <v>#N/A</v>
      </c>
      <c r="AR62" s="2">
        <f t="shared" si="4"/>
        <v>0</v>
      </c>
      <c r="AX62" s="2" t="e">
        <f>VLOOKUP(L62,GLAPS정리!$V$3:$W$180,2,0)</f>
        <v>#N/A</v>
      </c>
      <c r="BM62" s="2" t="str">
        <f t="shared" si="28"/>
        <v xml:space="preserve"> </v>
      </c>
      <c r="BN62" s="2">
        <f t="shared" si="29"/>
        <v>1</v>
      </c>
      <c r="BR62" s="2" t="str">
        <f t="shared" si="30"/>
        <v/>
      </c>
      <c r="BS62" s="2" t="str">
        <f t="shared" si="31"/>
        <v/>
      </c>
      <c r="BV62" s="2" t="e">
        <f>VLOOKUP(O62,GLAPS정리!$BH$2:$BI$94,2,0)</f>
        <v>#N/A</v>
      </c>
      <c r="BW62" s="2" t="str">
        <f>IF(OR(Z62="동원",Z62="세방",Z62="한타"),"",IFERROR(INDEX(GLAPS정리!$BI$2:$BI$101,MATCH(Z62,GLAPS정리!$BH$2:$BH$101,0)),""))</f>
        <v/>
      </c>
      <c r="BX62" s="2" t="str">
        <f>IF(Z62="","",IFERROR(VLOOKUP(Z62,GLAPS정리!$AX$2:$AZ$17,3,0),""))</f>
        <v/>
      </c>
      <c r="BZ62" s="2" t="e">
        <f>VLOOKUP(H62,GLAPS정리!$L$3:$O$133,2,0)</f>
        <v>#N/A</v>
      </c>
      <c r="CA62" s="2" t="str">
        <f t="shared" si="32"/>
        <v/>
      </c>
      <c r="CL62" s="2" t="e">
        <f>VLOOKUP(AI62,GLAPS정리!$BT$3:$BV$26,3,0)</f>
        <v>#N/A</v>
      </c>
    </row>
    <row r="63" spans="2:90" ht="20.45" customHeight="1">
      <c r="B63" s="13"/>
      <c r="G63" s="3"/>
      <c r="J63" s="3"/>
      <c r="X63" s="13"/>
      <c r="Y63" s="13"/>
      <c r="Z63" s="91"/>
      <c r="AC63" s="2">
        <f t="shared" si="23"/>
        <v>20</v>
      </c>
      <c r="AD63" s="2" t="str">
        <f>IFERROR(INDEX(GLAPS정리!$D$2:$D$50,MATCH(I63,GLAPS정리!$A$2:$A$50,0)),IFERROR(INDEX(GLAPS정리!$D$2:$D$50,MATCH(I63,GLAPS정리!$B$2:$B$50,0)),""))</f>
        <v/>
      </c>
      <c r="AF63" s="2" t="str">
        <f t="shared" si="24"/>
        <v>KR10</v>
      </c>
      <c r="AI63" s="2" t="e">
        <f>VLOOKUP(F63,GLAPS정리!$G$3:$J$114,2,0)</f>
        <v>#N/A</v>
      </c>
      <c r="AJ63" s="2" t="e">
        <f>IF(Z63="울산정일","KRONS",IF(Z63="울산신항","KRUSN",IF(OR(Z63="선광종합물류(인천여객)",Z63="인천여객(인천여객)"),"KRINF",IF(OR(Z63="선광인천보세(인천신)",Z63="한진인천(인천신)",Z63="선광인천신항(인천신)",Z63="인천더로지스(인천신)"),"KRINN",IF(OR(Z63="인천진아(인천항)",Z63="인천E1(인천항)",Z63="인천SM경인터미널(인천항)",Z63="인천항(인천항)",Z63="인천우련(인천항)",Z63="인천항8부두(인천항)"),"KRINC",VLOOKUP(K63,GLAPS정리!$BB$2:$BC$33,2,0))))))</f>
        <v>#N/A</v>
      </c>
      <c r="AL63" s="2">
        <f t="shared" si="25"/>
        <v>5010001</v>
      </c>
      <c r="AN63" s="70" t="str">
        <f t="shared" si="26"/>
        <v>1900-01-00</v>
      </c>
      <c r="AO63" s="2" t="str">
        <f t="shared" si="27"/>
        <v/>
      </c>
      <c r="AP63" s="2" t="e">
        <f>VLOOKUP(C63,GLAPS정리!$AX$2:$AZ$17,3,0)</f>
        <v>#N/A</v>
      </c>
      <c r="AR63" s="2">
        <f t="shared" si="4"/>
        <v>0</v>
      </c>
      <c r="AX63" s="2" t="e">
        <f>VLOOKUP(L63,GLAPS정리!$V$3:$W$180,2,0)</f>
        <v>#N/A</v>
      </c>
      <c r="BM63" s="2" t="str">
        <f t="shared" si="28"/>
        <v xml:space="preserve"> </v>
      </c>
      <c r="BN63" s="2">
        <f t="shared" si="29"/>
        <v>1</v>
      </c>
      <c r="BR63" s="2" t="str">
        <f t="shared" si="30"/>
        <v/>
      </c>
      <c r="BS63" s="2" t="str">
        <f t="shared" si="31"/>
        <v/>
      </c>
      <c r="BV63" s="2" t="e">
        <f>VLOOKUP(O63,GLAPS정리!$BH$2:$BI$94,2,0)</f>
        <v>#N/A</v>
      </c>
      <c r="BW63" s="2" t="str">
        <f>IF(OR(Z63="동원",Z63="세방",Z63="한타"),"",IFERROR(INDEX(GLAPS정리!$BI$2:$BI$101,MATCH(Z63,GLAPS정리!$BH$2:$BH$101,0)),""))</f>
        <v/>
      </c>
      <c r="BX63" s="2" t="str">
        <f>IF(Z63="","",IFERROR(VLOOKUP(Z63,GLAPS정리!$AX$2:$AZ$17,3,0),""))</f>
        <v/>
      </c>
      <c r="BZ63" s="2" t="e">
        <f>VLOOKUP(H63,GLAPS정리!$L$3:$O$133,2,0)</f>
        <v>#N/A</v>
      </c>
      <c r="CA63" s="2" t="str">
        <f t="shared" si="32"/>
        <v/>
      </c>
      <c r="CL63" s="2" t="e">
        <f>VLOOKUP(AI63,GLAPS정리!$BT$3:$BV$26,3,0)</f>
        <v>#N/A</v>
      </c>
    </row>
    <row r="64" spans="2:90" ht="20.45" customHeight="1">
      <c r="B64" s="13"/>
      <c r="G64" s="3"/>
      <c r="J64" s="3"/>
      <c r="X64" s="13"/>
      <c r="Y64" s="13"/>
      <c r="Z64" s="91"/>
      <c r="AC64" s="2">
        <f t="shared" si="23"/>
        <v>20</v>
      </c>
      <c r="AD64" s="2" t="str">
        <f>IFERROR(INDEX(GLAPS정리!$D$2:$D$50,MATCH(I64,GLAPS정리!$A$2:$A$50,0)),IFERROR(INDEX(GLAPS정리!$D$2:$D$50,MATCH(I64,GLAPS정리!$B$2:$B$50,0)),""))</f>
        <v/>
      </c>
      <c r="AF64" s="2" t="str">
        <f t="shared" si="24"/>
        <v>KR10</v>
      </c>
      <c r="AI64" s="2" t="e">
        <f>VLOOKUP(F64,GLAPS정리!$G$3:$J$114,2,0)</f>
        <v>#N/A</v>
      </c>
      <c r="AJ64" s="2" t="e">
        <f>IF(Z64="울산정일","KRONS",IF(Z64="울산신항","KRUSN",IF(OR(Z64="선광종합물류(인천여객)",Z64="인천여객(인천여객)"),"KRINF",IF(OR(Z64="선광인천보세(인천신)",Z64="한진인천(인천신)",Z64="선광인천신항(인천신)",Z64="인천더로지스(인천신)"),"KRINN",IF(OR(Z64="인천진아(인천항)",Z64="인천E1(인천항)",Z64="인천SM경인터미널(인천항)",Z64="인천항(인천항)",Z64="인천우련(인천항)",Z64="인천항8부두(인천항)"),"KRINC",VLOOKUP(K64,GLAPS정리!$BB$2:$BC$33,2,0))))))</f>
        <v>#N/A</v>
      </c>
      <c r="AL64" s="2">
        <f t="shared" si="25"/>
        <v>5010001</v>
      </c>
      <c r="AN64" s="70" t="str">
        <f t="shared" si="26"/>
        <v>1900-01-00</v>
      </c>
      <c r="AO64" s="2" t="str">
        <f t="shared" si="27"/>
        <v/>
      </c>
      <c r="AP64" s="2" t="e">
        <f>VLOOKUP(C64,GLAPS정리!$AX$2:$AZ$17,3,0)</f>
        <v>#N/A</v>
      </c>
      <c r="AR64" s="2">
        <f t="shared" si="4"/>
        <v>0</v>
      </c>
      <c r="AX64" s="2" t="e">
        <f>VLOOKUP(L64,GLAPS정리!$V$3:$W$180,2,0)</f>
        <v>#N/A</v>
      </c>
      <c r="BM64" s="2" t="str">
        <f t="shared" si="28"/>
        <v xml:space="preserve"> </v>
      </c>
      <c r="BN64" s="2">
        <f t="shared" si="29"/>
        <v>1</v>
      </c>
      <c r="BR64" s="2" t="str">
        <f t="shared" si="30"/>
        <v/>
      </c>
      <c r="BS64" s="2" t="str">
        <f t="shared" si="31"/>
        <v/>
      </c>
      <c r="BV64" s="2" t="e">
        <f>VLOOKUP(O64,GLAPS정리!$BH$2:$BI$94,2,0)</f>
        <v>#N/A</v>
      </c>
      <c r="BW64" s="2" t="str">
        <f>IF(OR(Z64="동원",Z64="세방",Z64="한타"),"",IFERROR(INDEX(GLAPS정리!$BI$2:$BI$101,MATCH(Z64,GLAPS정리!$BH$2:$BH$101,0)),""))</f>
        <v/>
      </c>
      <c r="BX64" s="2" t="str">
        <f>IF(Z64="","",IFERROR(VLOOKUP(Z64,GLAPS정리!$AX$2:$AZ$17,3,0),""))</f>
        <v/>
      </c>
      <c r="BZ64" s="2" t="e">
        <f>VLOOKUP(H64,GLAPS정리!$L$3:$O$133,2,0)</f>
        <v>#N/A</v>
      </c>
      <c r="CA64" s="2" t="str">
        <f t="shared" si="32"/>
        <v/>
      </c>
      <c r="CL64" s="2" t="e">
        <f>VLOOKUP(AI64,GLAPS정리!$BT$3:$BV$26,3,0)</f>
        <v>#N/A</v>
      </c>
    </row>
    <row r="65" spans="2:90" ht="20.45" customHeight="1">
      <c r="B65" s="13"/>
      <c r="G65" s="3"/>
      <c r="J65" s="3"/>
      <c r="X65" s="13"/>
      <c r="Y65" s="13"/>
      <c r="Z65" s="91"/>
      <c r="AC65" s="2">
        <f t="shared" si="23"/>
        <v>20</v>
      </c>
      <c r="AD65" s="2" t="str">
        <f>IFERROR(INDEX(GLAPS정리!$D$2:$D$50,MATCH(I65,GLAPS정리!$A$2:$A$50,0)),IFERROR(INDEX(GLAPS정리!$D$2:$D$50,MATCH(I65,GLAPS정리!$B$2:$B$50,0)),""))</f>
        <v/>
      </c>
      <c r="AF65" s="2" t="str">
        <f t="shared" si="24"/>
        <v>KR10</v>
      </c>
      <c r="AI65" s="2" t="e">
        <f>VLOOKUP(F65,GLAPS정리!$G$3:$J$114,2,0)</f>
        <v>#N/A</v>
      </c>
      <c r="AJ65" s="2" t="e">
        <f>IF(Z65="울산정일","KRONS",IF(Z65="울산신항","KRUSN",IF(OR(Z65="선광종합물류(인천여객)",Z65="인천여객(인천여객)"),"KRINF",IF(OR(Z65="선광인천보세(인천신)",Z65="한진인천(인천신)",Z65="선광인천신항(인천신)",Z65="인천더로지스(인천신)"),"KRINN",IF(OR(Z65="인천진아(인천항)",Z65="인천E1(인천항)",Z65="인천SM경인터미널(인천항)",Z65="인천항(인천항)",Z65="인천우련(인천항)",Z65="인천항8부두(인천항)"),"KRINC",VLOOKUP(K65,GLAPS정리!$BB$2:$BC$33,2,0))))))</f>
        <v>#N/A</v>
      </c>
      <c r="AL65" s="2">
        <f t="shared" si="25"/>
        <v>5010001</v>
      </c>
      <c r="AN65" s="70" t="str">
        <f t="shared" si="26"/>
        <v>1900-01-00</v>
      </c>
      <c r="AO65" s="2" t="str">
        <f t="shared" si="27"/>
        <v/>
      </c>
      <c r="AP65" s="2" t="e">
        <f>VLOOKUP(C65,GLAPS정리!$AX$2:$AZ$17,3,0)</f>
        <v>#N/A</v>
      </c>
      <c r="AR65" s="2">
        <f t="shared" si="4"/>
        <v>0</v>
      </c>
      <c r="AX65" s="2" t="e">
        <f>VLOOKUP(L65,GLAPS정리!$V$3:$W$180,2,0)</f>
        <v>#N/A</v>
      </c>
      <c r="BM65" s="2" t="str">
        <f t="shared" si="28"/>
        <v xml:space="preserve"> </v>
      </c>
      <c r="BN65" s="2">
        <f t="shared" si="29"/>
        <v>1</v>
      </c>
      <c r="BR65" s="2" t="str">
        <f t="shared" si="30"/>
        <v/>
      </c>
      <c r="BS65" s="2" t="str">
        <f t="shared" si="31"/>
        <v/>
      </c>
      <c r="BV65" s="2" t="e">
        <f>VLOOKUP(O65,GLAPS정리!$BH$2:$BI$94,2,0)</f>
        <v>#N/A</v>
      </c>
      <c r="BW65" s="2" t="str">
        <f>IF(OR(Z65="동원",Z65="세방",Z65="한타"),"",IFERROR(INDEX(GLAPS정리!$BI$2:$BI$101,MATCH(Z65,GLAPS정리!$BH$2:$BH$101,0)),""))</f>
        <v/>
      </c>
      <c r="BX65" s="2" t="str">
        <f>IF(Z65="","",IFERROR(VLOOKUP(Z65,GLAPS정리!$AX$2:$AZ$17,3,0),""))</f>
        <v/>
      </c>
      <c r="BZ65" s="2" t="e">
        <f>VLOOKUP(H65,GLAPS정리!$L$3:$O$133,2,0)</f>
        <v>#N/A</v>
      </c>
      <c r="CA65" s="2" t="str">
        <f t="shared" si="32"/>
        <v/>
      </c>
      <c r="CL65" s="2" t="e">
        <f>VLOOKUP(AI65,GLAPS정리!$BT$3:$BV$26,3,0)</f>
        <v>#N/A</v>
      </c>
    </row>
    <row r="66" spans="2:90" ht="20.45" customHeight="1">
      <c r="B66" s="13"/>
      <c r="G66" s="3"/>
      <c r="J66" s="3"/>
      <c r="X66" s="13"/>
      <c r="Y66" s="13"/>
      <c r="Z66" s="91"/>
      <c r="AC66" s="2">
        <f t="shared" si="23"/>
        <v>20</v>
      </c>
      <c r="AD66" s="2" t="str">
        <f>IFERROR(INDEX(GLAPS정리!$D$2:$D$50,MATCH(I66,GLAPS정리!$A$2:$A$50,0)),IFERROR(INDEX(GLAPS정리!$D$2:$D$50,MATCH(I66,GLAPS정리!$B$2:$B$50,0)),""))</f>
        <v/>
      </c>
      <c r="AF66" s="2" t="str">
        <f t="shared" si="24"/>
        <v>KR10</v>
      </c>
      <c r="AI66" s="2" t="e">
        <f>VLOOKUP(F66,GLAPS정리!$G$3:$J$114,2,0)</f>
        <v>#N/A</v>
      </c>
      <c r="AJ66" s="2" t="e">
        <f>IF(Z66="울산정일","KRONS",IF(Z66="울산신항","KRUSN",IF(OR(Z66="선광종합물류(인천여객)",Z66="인천여객(인천여객)"),"KRINF",IF(OR(Z66="선광인천보세(인천신)",Z66="한진인천(인천신)",Z66="선광인천신항(인천신)",Z66="인천더로지스(인천신)"),"KRINN",IF(OR(Z66="인천진아(인천항)",Z66="인천E1(인천항)",Z66="인천SM경인터미널(인천항)",Z66="인천항(인천항)",Z66="인천우련(인천항)",Z66="인천항8부두(인천항)"),"KRINC",VLOOKUP(K66,GLAPS정리!$BB$2:$BC$33,2,0))))))</f>
        <v>#N/A</v>
      </c>
      <c r="AL66" s="2">
        <f t="shared" si="25"/>
        <v>5010001</v>
      </c>
      <c r="AN66" s="70" t="str">
        <f t="shared" si="26"/>
        <v>1900-01-00</v>
      </c>
      <c r="AO66" s="2" t="str">
        <f t="shared" si="27"/>
        <v/>
      </c>
      <c r="AP66" s="2" t="e">
        <f>VLOOKUP(C66,GLAPS정리!$AX$2:$AZ$17,3,0)</f>
        <v>#N/A</v>
      </c>
      <c r="AR66" s="2">
        <f t="shared" si="4"/>
        <v>0</v>
      </c>
      <c r="AX66" s="2" t="e">
        <f>VLOOKUP(L66,GLAPS정리!$V$3:$W$180,2,0)</f>
        <v>#N/A</v>
      </c>
      <c r="BM66" s="2" t="str">
        <f t="shared" si="28"/>
        <v xml:space="preserve"> </v>
      </c>
      <c r="BN66" s="2">
        <f t="shared" si="29"/>
        <v>1</v>
      </c>
      <c r="BR66" s="2" t="str">
        <f t="shared" si="30"/>
        <v/>
      </c>
      <c r="BS66" s="2" t="str">
        <f t="shared" si="31"/>
        <v/>
      </c>
      <c r="BV66" s="2" t="e">
        <f>VLOOKUP(O66,GLAPS정리!$BH$2:$BI$94,2,0)</f>
        <v>#N/A</v>
      </c>
      <c r="BW66" s="2" t="str">
        <f>IF(OR(Z66="동원",Z66="세방",Z66="한타"),"",IFERROR(INDEX(GLAPS정리!$BI$2:$BI$101,MATCH(Z66,GLAPS정리!$BH$2:$BH$101,0)),""))</f>
        <v/>
      </c>
      <c r="BX66" s="2" t="str">
        <f>IF(Z66="","",IFERROR(VLOOKUP(Z66,GLAPS정리!$AX$2:$AZ$17,3,0),""))</f>
        <v/>
      </c>
      <c r="BZ66" s="2" t="e">
        <f>VLOOKUP(H66,GLAPS정리!$L$3:$O$133,2,0)</f>
        <v>#N/A</v>
      </c>
      <c r="CA66" s="2" t="str">
        <f t="shared" si="32"/>
        <v/>
      </c>
      <c r="CL66" s="2" t="e">
        <f>VLOOKUP(AI66,GLAPS정리!$BT$3:$BV$26,3,0)</f>
        <v>#N/A</v>
      </c>
    </row>
    <row r="67" spans="2:90" ht="20.45" customHeight="1">
      <c r="B67" s="13"/>
      <c r="G67" s="3"/>
      <c r="J67" s="3"/>
      <c r="X67" s="13"/>
      <c r="Y67" s="13"/>
      <c r="Z67" s="91"/>
      <c r="AC67" s="2">
        <f t="shared" si="23"/>
        <v>20</v>
      </c>
      <c r="AD67" s="2" t="str">
        <f>IFERROR(INDEX(GLAPS정리!$D$2:$D$50,MATCH(I67,GLAPS정리!$A$2:$A$50,0)),IFERROR(INDEX(GLAPS정리!$D$2:$D$50,MATCH(I67,GLAPS정리!$B$2:$B$50,0)),""))</f>
        <v/>
      </c>
      <c r="AF67" s="2" t="str">
        <f t="shared" si="24"/>
        <v>KR10</v>
      </c>
      <c r="AI67" s="2" t="e">
        <f>VLOOKUP(F67,GLAPS정리!$G$3:$J$114,2,0)</f>
        <v>#N/A</v>
      </c>
      <c r="AJ67" s="2" t="e">
        <f>IF(Z67="울산정일","KRONS",IF(Z67="울산신항","KRUSN",IF(OR(Z67="선광종합물류(인천여객)",Z67="인천여객(인천여객)"),"KRINF",IF(OR(Z67="선광인천보세(인천신)",Z67="한진인천(인천신)",Z67="선광인천신항(인천신)",Z67="인천더로지스(인천신)"),"KRINN",IF(OR(Z67="인천진아(인천항)",Z67="인천E1(인천항)",Z67="인천SM경인터미널(인천항)",Z67="인천항(인천항)",Z67="인천우련(인천항)",Z67="인천항8부두(인천항)"),"KRINC",VLOOKUP(K67,GLAPS정리!$BB$2:$BC$33,2,0))))))</f>
        <v>#N/A</v>
      </c>
      <c r="AL67" s="2">
        <f t="shared" si="25"/>
        <v>5010001</v>
      </c>
      <c r="AN67" s="70" t="str">
        <f t="shared" si="26"/>
        <v>1900-01-00</v>
      </c>
      <c r="AO67" s="2" t="str">
        <f t="shared" si="27"/>
        <v/>
      </c>
      <c r="AP67" s="2" t="e">
        <f>VLOOKUP(C67,GLAPS정리!$AX$2:$AZ$17,3,0)</f>
        <v>#N/A</v>
      </c>
      <c r="AR67" s="2">
        <f t="shared" ref="AR67:AR130" si="33">X67</f>
        <v>0</v>
      </c>
      <c r="AX67" s="2" t="e">
        <f>VLOOKUP(L67,GLAPS정리!$V$3:$W$180,2,0)</f>
        <v>#N/A</v>
      </c>
      <c r="BM67" s="2" t="str">
        <f t="shared" si="28"/>
        <v xml:space="preserve"> </v>
      </c>
      <c r="BN67" s="2">
        <f t="shared" si="29"/>
        <v>1</v>
      </c>
      <c r="BR67" s="2" t="str">
        <f t="shared" si="30"/>
        <v/>
      </c>
      <c r="BS67" s="2" t="str">
        <f t="shared" si="31"/>
        <v/>
      </c>
      <c r="BV67" s="2" t="e">
        <f>VLOOKUP(O67,GLAPS정리!$BH$2:$BI$94,2,0)</f>
        <v>#N/A</v>
      </c>
      <c r="BW67" s="2" t="str">
        <f>IF(OR(Z67="동원",Z67="세방",Z67="한타"),"",IFERROR(INDEX(GLAPS정리!$BI$2:$BI$101,MATCH(Z67,GLAPS정리!$BH$2:$BH$101,0)),""))</f>
        <v/>
      </c>
      <c r="BX67" s="2" t="str">
        <f>IF(Z67="","",IFERROR(VLOOKUP(Z67,GLAPS정리!$AX$2:$AZ$17,3,0),""))</f>
        <v/>
      </c>
      <c r="BZ67" s="2" t="e">
        <f>VLOOKUP(H67,GLAPS정리!$L$3:$O$133,2,0)</f>
        <v>#N/A</v>
      </c>
      <c r="CA67" s="2" t="str">
        <f t="shared" si="32"/>
        <v/>
      </c>
      <c r="CL67" s="2" t="e">
        <f>VLOOKUP(AI67,GLAPS정리!$BT$3:$BV$26,3,0)</f>
        <v>#N/A</v>
      </c>
    </row>
    <row r="68" spans="2:90" ht="20.45" customHeight="1">
      <c r="B68" s="13"/>
      <c r="G68" s="3"/>
      <c r="J68" s="3"/>
      <c r="X68" s="13"/>
      <c r="Y68" s="13"/>
      <c r="Z68" s="91"/>
      <c r="AC68" s="2">
        <f t="shared" si="23"/>
        <v>20</v>
      </c>
      <c r="AD68" s="2" t="str">
        <f>IFERROR(INDEX(GLAPS정리!$D$2:$D$50,MATCH(I68,GLAPS정리!$A$2:$A$50,0)),IFERROR(INDEX(GLAPS정리!$D$2:$D$50,MATCH(I68,GLAPS정리!$B$2:$B$50,0)),""))</f>
        <v/>
      </c>
      <c r="AF68" s="2" t="str">
        <f t="shared" si="24"/>
        <v>KR10</v>
      </c>
      <c r="AI68" s="2" t="e">
        <f>VLOOKUP(F68,GLAPS정리!$G$3:$J$114,2,0)</f>
        <v>#N/A</v>
      </c>
      <c r="AJ68" s="2" t="e">
        <f>IF(Z68="울산정일","KRONS",IF(Z68="울산신항","KRUSN",IF(OR(Z68="선광종합물류(인천여객)",Z68="인천여객(인천여객)"),"KRINF",IF(OR(Z68="선광인천보세(인천신)",Z68="한진인천(인천신)",Z68="선광인천신항(인천신)",Z68="인천더로지스(인천신)"),"KRINN",IF(OR(Z68="인천진아(인천항)",Z68="인천E1(인천항)",Z68="인천SM경인터미널(인천항)",Z68="인천항(인천항)",Z68="인천우련(인천항)",Z68="인천항8부두(인천항)"),"KRINC",VLOOKUP(K68,GLAPS정리!$BB$2:$BC$33,2,0))))))</f>
        <v>#N/A</v>
      </c>
      <c r="AL68" s="2">
        <f t="shared" si="25"/>
        <v>5010001</v>
      </c>
      <c r="AN68" s="70" t="str">
        <f t="shared" si="26"/>
        <v>1900-01-00</v>
      </c>
      <c r="AO68" s="2" t="str">
        <f t="shared" si="27"/>
        <v/>
      </c>
      <c r="AP68" s="2" t="e">
        <f>VLOOKUP(C68,GLAPS정리!$AX$2:$AZ$17,3,0)</f>
        <v>#N/A</v>
      </c>
      <c r="AR68" s="2">
        <f t="shared" si="33"/>
        <v>0</v>
      </c>
      <c r="AX68" s="2" t="e">
        <f>VLOOKUP(L68,GLAPS정리!$V$3:$W$180,2,0)</f>
        <v>#N/A</v>
      </c>
      <c r="BM68" s="2" t="str">
        <f t="shared" si="28"/>
        <v xml:space="preserve"> </v>
      </c>
      <c r="BN68" s="2">
        <f t="shared" si="29"/>
        <v>1</v>
      </c>
      <c r="BR68" s="2" t="str">
        <f t="shared" si="30"/>
        <v/>
      </c>
      <c r="BS68" s="2" t="str">
        <f t="shared" si="31"/>
        <v/>
      </c>
      <c r="BV68" s="2" t="e">
        <f>VLOOKUP(O68,GLAPS정리!$BH$2:$BI$94,2,0)</f>
        <v>#N/A</v>
      </c>
      <c r="BW68" s="2" t="str">
        <f>IF(OR(Z68="동원",Z68="세방",Z68="한타"),"",IFERROR(INDEX(GLAPS정리!$BI$2:$BI$101,MATCH(Z68,GLAPS정리!$BH$2:$BH$101,0)),""))</f>
        <v/>
      </c>
      <c r="BX68" s="2" t="str">
        <f>IF(Z68="","",IFERROR(VLOOKUP(Z68,GLAPS정리!$AX$2:$AZ$17,3,0),""))</f>
        <v/>
      </c>
      <c r="BZ68" s="2" t="e">
        <f>VLOOKUP(H68,GLAPS정리!$L$3:$O$133,2,0)</f>
        <v>#N/A</v>
      </c>
      <c r="CA68" s="2" t="str">
        <f t="shared" si="32"/>
        <v/>
      </c>
      <c r="CL68" s="2" t="e">
        <f>VLOOKUP(AI68,GLAPS정리!$BT$3:$BV$26,3,0)</f>
        <v>#N/A</v>
      </c>
    </row>
    <row r="69" spans="2:90" ht="20.45" customHeight="1">
      <c r="B69" s="13"/>
      <c r="G69" s="3"/>
      <c r="J69" s="3"/>
      <c r="X69" s="13"/>
      <c r="Y69" s="13"/>
      <c r="Z69" s="91"/>
      <c r="AC69" s="2">
        <f t="shared" si="23"/>
        <v>20</v>
      </c>
      <c r="AD69" s="2" t="str">
        <f>IFERROR(INDEX(GLAPS정리!$D$2:$D$50,MATCH(I69,GLAPS정리!$A$2:$A$50,0)),IFERROR(INDEX(GLAPS정리!$D$2:$D$50,MATCH(I69,GLAPS정리!$B$2:$B$50,0)),""))</f>
        <v/>
      </c>
      <c r="AF69" s="2" t="str">
        <f t="shared" si="24"/>
        <v>KR10</v>
      </c>
      <c r="AI69" s="2" t="e">
        <f>VLOOKUP(F69,GLAPS정리!$G$3:$J$114,2,0)</f>
        <v>#N/A</v>
      </c>
      <c r="AJ69" s="2" t="e">
        <f>IF(Z69="울산정일","KRONS",IF(Z69="울산신항","KRUSN",IF(OR(Z69="선광종합물류(인천여객)",Z69="인천여객(인천여객)"),"KRINF",IF(OR(Z69="선광인천보세(인천신)",Z69="한진인천(인천신)",Z69="선광인천신항(인천신)",Z69="인천더로지스(인천신)"),"KRINN",IF(OR(Z69="인천진아(인천항)",Z69="인천E1(인천항)",Z69="인천SM경인터미널(인천항)",Z69="인천항(인천항)",Z69="인천우련(인천항)",Z69="인천항8부두(인천항)"),"KRINC",VLOOKUP(K69,GLAPS정리!$BB$2:$BC$33,2,0))))))</f>
        <v>#N/A</v>
      </c>
      <c r="AL69" s="2">
        <f t="shared" si="25"/>
        <v>5010001</v>
      </c>
      <c r="AN69" s="70" t="str">
        <f t="shared" si="26"/>
        <v>1900-01-00</v>
      </c>
      <c r="AO69" s="2" t="str">
        <f t="shared" si="27"/>
        <v/>
      </c>
      <c r="AP69" s="2" t="e">
        <f>VLOOKUP(C69,GLAPS정리!$AX$2:$AZ$17,3,0)</f>
        <v>#N/A</v>
      </c>
      <c r="AR69" s="2">
        <f t="shared" si="33"/>
        <v>0</v>
      </c>
      <c r="AX69" s="2" t="e">
        <f>VLOOKUP(L69,GLAPS정리!$V$3:$W$180,2,0)</f>
        <v>#N/A</v>
      </c>
      <c r="BM69" s="2" t="str">
        <f t="shared" si="28"/>
        <v xml:space="preserve"> </v>
      </c>
      <c r="BN69" s="2">
        <f t="shared" si="29"/>
        <v>1</v>
      </c>
      <c r="BR69" s="2" t="str">
        <f t="shared" si="30"/>
        <v/>
      </c>
      <c r="BS69" s="2" t="str">
        <f t="shared" si="31"/>
        <v/>
      </c>
      <c r="BV69" s="2" t="e">
        <f>VLOOKUP(O69,GLAPS정리!$BH$2:$BI$94,2,0)</f>
        <v>#N/A</v>
      </c>
      <c r="BW69" s="2" t="str">
        <f>IF(OR(Z69="동원",Z69="세방",Z69="한타"),"",IFERROR(INDEX(GLAPS정리!$BI$2:$BI$101,MATCH(Z69,GLAPS정리!$BH$2:$BH$101,0)),""))</f>
        <v/>
      </c>
      <c r="BX69" s="2" t="str">
        <f>IF(Z69="","",IFERROR(VLOOKUP(Z69,GLAPS정리!$AX$2:$AZ$17,3,0),""))</f>
        <v/>
      </c>
      <c r="BZ69" s="2" t="e">
        <f>VLOOKUP(H69,GLAPS정리!$L$3:$O$133,2,0)</f>
        <v>#N/A</v>
      </c>
      <c r="CA69" s="2" t="str">
        <f t="shared" si="32"/>
        <v/>
      </c>
      <c r="CL69" s="2" t="e">
        <f>VLOOKUP(AI69,GLAPS정리!$BT$3:$BV$26,3,0)</f>
        <v>#N/A</v>
      </c>
    </row>
    <row r="70" spans="2:90" ht="20.45" customHeight="1">
      <c r="B70" s="13"/>
      <c r="G70" s="3"/>
      <c r="J70" s="3"/>
      <c r="X70" s="13"/>
      <c r="Y70" s="13"/>
      <c r="Z70" s="91"/>
      <c r="AC70" s="2">
        <f t="shared" si="23"/>
        <v>20</v>
      </c>
      <c r="AD70" s="2" t="str">
        <f>IFERROR(INDEX(GLAPS정리!$D$2:$D$50,MATCH(I70,GLAPS정리!$A$2:$A$50,0)),IFERROR(INDEX(GLAPS정리!$D$2:$D$50,MATCH(I70,GLAPS정리!$B$2:$B$50,0)),""))</f>
        <v/>
      </c>
      <c r="AF70" s="2" t="str">
        <f t="shared" si="24"/>
        <v>KR10</v>
      </c>
      <c r="AI70" s="2" t="e">
        <f>VLOOKUP(F70,GLAPS정리!$G$3:$J$114,2,0)</f>
        <v>#N/A</v>
      </c>
      <c r="AJ70" s="2" t="e">
        <f>IF(Z70="울산정일","KRONS",IF(Z70="울산신항","KRUSN",IF(OR(Z70="선광종합물류(인천여객)",Z70="인천여객(인천여객)"),"KRINF",IF(OR(Z70="선광인천보세(인천신)",Z70="한진인천(인천신)",Z70="선광인천신항(인천신)",Z70="인천더로지스(인천신)"),"KRINN",IF(OR(Z70="인천진아(인천항)",Z70="인천E1(인천항)",Z70="인천SM경인터미널(인천항)",Z70="인천항(인천항)",Z70="인천우련(인천항)",Z70="인천항8부두(인천항)"),"KRINC",VLOOKUP(K70,GLAPS정리!$BB$2:$BC$33,2,0))))))</f>
        <v>#N/A</v>
      </c>
      <c r="AL70" s="2">
        <f t="shared" si="25"/>
        <v>5010001</v>
      </c>
      <c r="AN70" s="70" t="str">
        <f t="shared" si="26"/>
        <v>1900-01-00</v>
      </c>
      <c r="AO70" s="2" t="str">
        <f t="shared" si="27"/>
        <v/>
      </c>
      <c r="AP70" s="2" t="e">
        <f>VLOOKUP(C70,GLAPS정리!$AX$2:$AZ$17,3,0)</f>
        <v>#N/A</v>
      </c>
      <c r="AR70" s="2">
        <f t="shared" si="33"/>
        <v>0</v>
      </c>
      <c r="AX70" s="2" t="e">
        <f>VLOOKUP(L70,GLAPS정리!$V$3:$W$180,2,0)</f>
        <v>#N/A</v>
      </c>
      <c r="BM70" s="2" t="str">
        <f t="shared" si="28"/>
        <v xml:space="preserve"> </v>
      </c>
      <c r="BN70" s="2">
        <f t="shared" si="29"/>
        <v>1</v>
      </c>
      <c r="BR70" s="2" t="str">
        <f t="shared" si="30"/>
        <v/>
      </c>
      <c r="BS70" s="2" t="str">
        <f t="shared" si="31"/>
        <v/>
      </c>
      <c r="BV70" s="2" t="e">
        <f>VLOOKUP(O70,GLAPS정리!$BH$2:$BI$94,2,0)</f>
        <v>#N/A</v>
      </c>
      <c r="BW70" s="2" t="str">
        <f>IF(OR(Z70="동원",Z70="세방",Z70="한타"),"",IFERROR(INDEX(GLAPS정리!$BI$2:$BI$101,MATCH(Z70,GLAPS정리!$BH$2:$BH$101,0)),""))</f>
        <v/>
      </c>
      <c r="BX70" s="2" t="str">
        <f>IF(Z70="","",IFERROR(VLOOKUP(Z70,GLAPS정리!$AX$2:$AZ$17,3,0),""))</f>
        <v/>
      </c>
      <c r="BZ70" s="2" t="e">
        <f>VLOOKUP(H70,GLAPS정리!$L$3:$O$133,2,0)</f>
        <v>#N/A</v>
      </c>
      <c r="CA70" s="2" t="str">
        <f t="shared" si="32"/>
        <v/>
      </c>
      <c r="CL70" s="2" t="e">
        <f>VLOOKUP(AI70,GLAPS정리!$BT$3:$BV$26,3,0)</f>
        <v>#N/A</v>
      </c>
    </row>
    <row r="71" spans="2:90" ht="20.45" customHeight="1">
      <c r="B71" s="13"/>
      <c r="G71" s="3"/>
      <c r="J71" s="3"/>
      <c r="X71" s="13"/>
      <c r="Y71" s="13"/>
      <c r="Z71" s="91"/>
      <c r="AC71" s="2">
        <f t="shared" si="23"/>
        <v>20</v>
      </c>
      <c r="AD71" s="2" t="str">
        <f>IFERROR(INDEX(GLAPS정리!$D$2:$D$50,MATCH(I71,GLAPS정리!$A$2:$A$50,0)),IFERROR(INDEX(GLAPS정리!$D$2:$D$50,MATCH(I71,GLAPS정리!$B$2:$B$50,0)),""))</f>
        <v/>
      </c>
      <c r="AF71" s="2" t="str">
        <f t="shared" si="24"/>
        <v>KR10</v>
      </c>
      <c r="AI71" s="2" t="e">
        <f>VLOOKUP(F71,GLAPS정리!$G$3:$J$114,2,0)</f>
        <v>#N/A</v>
      </c>
      <c r="AJ71" s="2" t="e">
        <f>IF(Z71="울산정일","KRONS",IF(Z71="울산신항","KRUSN",IF(OR(Z71="선광종합물류(인천여객)",Z71="인천여객(인천여객)"),"KRINF",IF(OR(Z71="선광인천보세(인천신)",Z71="한진인천(인천신)",Z71="선광인천신항(인천신)",Z71="인천더로지스(인천신)"),"KRINN",IF(OR(Z71="인천진아(인천항)",Z71="인천E1(인천항)",Z71="인천SM경인터미널(인천항)",Z71="인천항(인천항)",Z71="인천우련(인천항)",Z71="인천항8부두(인천항)"),"KRINC",VLOOKUP(K71,GLAPS정리!$BB$2:$BC$33,2,0))))))</f>
        <v>#N/A</v>
      </c>
      <c r="AL71" s="2">
        <f t="shared" si="25"/>
        <v>5010001</v>
      </c>
      <c r="AN71" s="70" t="str">
        <f t="shared" si="26"/>
        <v>1900-01-00</v>
      </c>
      <c r="AO71" s="2" t="str">
        <f t="shared" si="27"/>
        <v/>
      </c>
      <c r="AP71" s="2" t="e">
        <f>VLOOKUP(C71,GLAPS정리!$AX$2:$AZ$17,3,0)</f>
        <v>#N/A</v>
      </c>
      <c r="AR71" s="2">
        <f t="shared" si="33"/>
        <v>0</v>
      </c>
      <c r="AX71" s="2" t="e">
        <f>VLOOKUP(L71,GLAPS정리!$V$3:$W$180,2,0)</f>
        <v>#N/A</v>
      </c>
      <c r="BM71" s="2" t="str">
        <f t="shared" si="28"/>
        <v xml:space="preserve"> </v>
      </c>
      <c r="BN71" s="2">
        <f t="shared" si="29"/>
        <v>1</v>
      </c>
      <c r="BR71" s="2" t="str">
        <f t="shared" si="30"/>
        <v/>
      </c>
      <c r="BS71" s="2" t="str">
        <f t="shared" si="31"/>
        <v/>
      </c>
      <c r="BV71" s="2" t="e">
        <f>VLOOKUP(O71,GLAPS정리!$BH$2:$BI$94,2,0)</f>
        <v>#N/A</v>
      </c>
      <c r="BW71" s="2" t="str">
        <f>IF(OR(Z71="동원",Z71="세방",Z71="한타"),"",IFERROR(INDEX(GLAPS정리!$BI$2:$BI$101,MATCH(Z71,GLAPS정리!$BH$2:$BH$101,0)),""))</f>
        <v/>
      </c>
      <c r="BX71" s="2" t="str">
        <f>IF(Z71="","",IFERROR(VLOOKUP(Z71,GLAPS정리!$AX$2:$AZ$17,3,0),""))</f>
        <v/>
      </c>
      <c r="BZ71" s="2" t="e">
        <f>VLOOKUP(H71,GLAPS정리!$L$3:$O$133,2,0)</f>
        <v>#N/A</v>
      </c>
      <c r="CA71" s="2" t="str">
        <f t="shared" si="32"/>
        <v/>
      </c>
      <c r="CL71" s="2" t="e">
        <f>VLOOKUP(AI71,GLAPS정리!$BT$3:$BV$26,3,0)</f>
        <v>#N/A</v>
      </c>
    </row>
    <row r="72" spans="2:90" ht="20.45" customHeight="1">
      <c r="B72" s="13"/>
      <c r="G72" s="3"/>
      <c r="J72" s="3"/>
      <c r="X72" s="13"/>
      <c r="Y72" s="13"/>
      <c r="Z72" s="91"/>
      <c r="AC72" s="2">
        <f t="shared" si="23"/>
        <v>20</v>
      </c>
      <c r="AD72" s="2" t="str">
        <f>IFERROR(INDEX(GLAPS정리!$D$2:$D$50,MATCH(I72,GLAPS정리!$A$2:$A$50,0)),IFERROR(INDEX(GLAPS정리!$D$2:$D$50,MATCH(I72,GLAPS정리!$B$2:$B$50,0)),""))</f>
        <v/>
      </c>
      <c r="AF72" s="2" t="str">
        <f t="shared" si="24"/>
        <v>KR10</v>
      </c>
      <c r="AI72" s="2" t="e">
        <f>VLOOKUP(F72,GLAPS정리!$G$3:$J$114,2,0)</f>
        <v>#N/A</v>
      </c>
      <c r="AJ72" s="2" t="e">
        <f>IF(Z72="울산정일","KRONS",IF(Z72="울산신항","KRUSN",IF(OR(Z72="선광종합물류(인천여객)",Z72="인천여객(인천여객)"),"KRINF",IF(OR(Z72="선광인천보세(인천신)",Z72="한진인천(인천신)",Z72="선광인천신항(인천신)",Z72="인천더로지스(인천신)"),"KRINN",IF(OR(Z72="인천진아(인천항)",Z72="인천E1(인천항)",Z72="인천SM경인터미널(인천항)",Z72="인천항(인천항)",Z72="인천우련(인천항)",Z72="인천항8부두(인천항)"),"KRINC",VLOOKUP(K72,GLAPS정리!$BB$2:$BC$33,2,0))))))</f>
        <v>#N/A</v>
      </c>
      <c r="AL72" s="2">
        <f t="shared" si="25"/>
        <v>5010001</v>
      </c>
      <c r="AN72" s="70" t="str">
        <f t="shared" si="26"/>
        <v>1900-01-00</v>
      </c>
      <c r="AO72" s="2" t="str">
        <f t="shared" si="27"/>
        <v/>
      </c>
      <c r="AP72" s="2" t="e">
        <f>VLOOKUP(C72,GLAPS정리!$AX$2:$AZ$17,3,0)</f>
        <v>#N/A</v>
      </c>
      <c r="AR72" s="2">
        <f t="shared" si="33"/>
        <v>0</v>
      </c>
      <c r="AX72" s="2" t="e">
        <f>VLOOKUP(L72,GLAPS정리!$V$3:$W$180,2,0)</f>
        <v>#N/A</v>
      </c>
      <c r="BM72" s="2" t="str">
        <f t="shared" si="28"/>
        <v xml:space="preserve"> </v>
      </c>
      <c r="BN72" s="2">
        <f t="shared" si="29"/>
        <v>1</v>
      </c>
      <c r="BR72" s="2" t="str">
        <f t="shared" si="30"/>
        <v/>
      </c>
      <c r="BS72" s="2" t="str">
        <f t="shared" si="31"/>
        <v/>
      </c>
      <c r="BV72" s="2" t="e">
        <f>VLOOKUP(O72,GLAPS정리!$BH$2:$BI$94,2,0)</f>
        <v>#N/A</v>
      </c>
      <c r="BW72" s="2" t="str">
        <f>IF(OR(Z72="동원",Z72="세방",Z72="한타"),"",IFERROR(INDEX(GLAPS정리!$BI$2:$BI$101,MATCH(Z72,GLAPS정리!$BH$2:$BH$101,0)),""))</f>
        <v/>
      </c>
      <c r="BX72" s="2" t="str">
        <f>IF(Z72="","",IFERROR(VLOOKUP(Z72,GLAPS정리!$AX$2:$AZ$17,3,0),""))</f>
        <v/>
      </c>
      <c r="BZ72" s="2" t="e">
        <f>VLOOKUP(H72,GLAPS정리!$L$3:$O$133,2,0)</f>
        <v>#N/A</v>
      </c>
      <c r="CA72" s="2" t="str">
        <f t="shared" si="32"/>
        <v/>
      </c>
      <c r="CL72" s="2" t="e">
        <f>VLOOKUP(AI72,GLAPS정리!$BT$3:$BV$26,3,0)</f>
        <v>#N/A</v>
      </c>
    </row>
    <row r="73" spans="2:90" ht="20.45" customHeight="1">
      <c r="B73" s="13"/>
      <c r="G73" s="3"/>
      <c r="J73" s="3"/>
      <c r="X73" s="13"/>
      <c r="Y73" s="13"/>
      <c r="Z73" s="91"/>
      <c r="AC73" s="2">
        <f t="shared" si="23"/>
        <v>20</v>
      </c>
      <c r="AD73" s="2" t="str">
        <f>IFERROR(INDEX(GLAPS정리!$D$2:$D$50,MATCH(I73,GLAPS정리!$A$2:$A$50,0)),IFERROR(INDEX(GLAPS정리!$D$2:$D$50,MATCH(I73,GLAPS정리!$B$2:$B$50,0)),""))</f>
        <v/>
      </c>
      <c r="AF73" s="2" t="str">
        <f t="shared" si="24"/>
        <v>KR10</v>
      </c>
      <c r="AI73" s="2" t="e">
        <f>VLOOKUP(F73,GLAPS정리!$G$3:$J$114,2,0)</f>
        <v>#N/A</v>
      </c>
      <c r="AJ73" s="2" t="e">
        <f>IF(Z73="울산정일","KRONS",IF(Z73="울산신항","KRUSN",IF(OR(Z73="선광종합물류(인천여객)",Z73="인천여객(인천여객)"),"KRINF",IF(OR(Z73="선광인천보세(인천신)",Z73="한진인천(인천신)",Z73="선광인천신항(인천신)",Z73="인천더로지스(인천신)"),"KRINN",IF(OR(Z73="인천진아(인천항)",Z73="인천E1(인천항)",Z73="인천SM경인터미널(인천항)",Z73="인천항(인천항)",Z73="인천우련(인천항)",Z73="인천항8부두(인천항)"),"KRINC",VLOOKUP(K73,GLAPS정리!$BB$2:$BC$33,2,0))))))</f>
        <v>#N/A</v>
      </c>
      <c r="AL73" s="2">
        <f t="shared" si="25"/>
        <v>5010001</v>
      </c>
      <c r="AN73" s="70" t="str">
        <f t="shared" si="26"/>
        <v>1900-01-00</v>
      </c>
      <c r="AO73" s="2" t="str">
        <f t="shared" si="27"/>
        <v/>
      </c>
      <c r="AP73" s="2" t="e">
        <f>VLOOKUP(C73,GLAPS정리!$AX$2:$AZ$17,3,0)</f>
        <v>#N/A</v>
      </c>
      <c r="AR73" s="2">
        <f t="shared" si="33"/>
        <v>0</v>
      </c>
      <c r="AX73" s="2" t="e">
        <f>VLOOKUP(L73,GLAPS정리!$V$3:$W$180,2,0)</f>
        <v>#N/A</v>
      </c>
      <c r="BM73" s="2" t="str">
        <f t="shared" si="28"/>
        <v xml:space="preserve"> </v>
      </c>
      <c r="BN73" s="2">
        <f t="shared" si="29"/>
        <v>1</v>
      </c>
      <c r="BR73" s="2" t="str">
        <f t="shared" si="30"/>
        <v/>
      </c>
      <c r="BS73" s="2" t="str">
        <f t="shared" si="31"/>
        <v/>
      </c>
      <c r="BV73" s="2" t="e">
        <f>VLOOKUP(O73,GLAPS정리!$BH$2:$BI$94,2,0)</f>
        <v>#N/A</v>
      </c>
      <c r="BW73" s="2" t="str">
        <f>IF(OR(Z73="동원",Z73="세방",Z73="한타"),"",IFERROR(INDEX(GLAPS정리!$BI$2:$BI$101,MATCH(Z73,GLAPS정리!$BH$2:$BH$101,0)),""))</f>
        <v/>
      </c>
      <c r="BX73" s="2" t="str">
        <f>IF(Z73="","",IFERROR(VLOOKUP(Z73,GLAPS정리!$AX$2:$AZ$17,3,0),""))</f>
        <v/>
      </c>
      <c r="BZ73" s="2" t="e">
        <f>VLOOKUP(H73,GLAPS정리!$L$3:$O$133,2,0)</f>
        <v>#N/A</v>
      </c>
      <c r="CA73" s="2" t="str">
        <f t="shared" si="32"/>
        <v/>
      </c>
      <c r="CL73" s="2" t="e">
        <f>VLOOKUP(AI73,GLAPS정리!$BT$3:$BV$26,3,0)</f>
        <v>#N/A</v>
      </c>
    </row>
    <row r="74" spans="2:90" ht="20.45" customHeight="1">
      <c r="B74" s="13"/>
      <c r="G74" s="3"/>
      <c r="J74" s="3"/>
      <c r="X74" s="13"/>
      <c r="Y74" s="13"/>
      <c r="Z74" s="91"/>
      <c r="AC74" s="2">
        <f t="shared" si="23"/>
        <v>20</v>
      </c>
      <c r="AD74" s="2" t="str">
        <f>IFERROR(INDEX(GLAPS정리!$D$2:$D$50,MATCH(I74,GLAPS정리!$A$2:$A$50,0)),IFERROR(INDEX(GLAPS정리!$D$2:$D$50,MATCH(I74,GLAPS정리!$B$2:$B$50,0)),""))</f>
        <v/>
      </c>
      <c r="AF74" s="2" t="str">
        <f t="shared" si="24"/>
        <v>KR10</v>
      </c>
      <c r="AI74" s="2" t="e">
        <f>VLOOKUP(F74,GLAPS정리!$G$3:$J$114,2,0)</f>
        <v>#N/A</v>
      </c>
      <c r="AJ74" s="2" t="e">
        <f>IF(Z74="울산정일","KRONS",IF(Z74="울산신항","KRUSN",IF(OR(Z74="선광종합물류(인천여객)",Z74="인천여객(인천여객)"),"KRINF",IF(OR(Z74="선광인천보세(인천신)",Z74="한진인천(인천신)",Z74="선광인천신항(인천신)",Z74="인천더로지스(인천신)"),"KRINN",IF(OR(Z74="인천진아(인천항)",Z74="인천E1(인천항)",Z74="인천SM경인터미널(인천항)",Z74="인천항(인천항)",Z74="인천우련(인천항)",Z74="인천항8부두(인천항)"),"KRINC",VLOOKUP(K74,GLAPS정리!$BB$2:$BC$33,2,0))))))</f>
        <v>#N/A</v>
      </c>
      <c r="AL74" s="2">
        <f t="shared" si="25"/>
        <v>5010001</v>
      </c>
      <c r="AN74" s="70" t="str">
        <f t="shared" si="26"/>
        <v>1900-01-00</v>
      </c>
      <c r="AO74" s="2" t="str">
        <f t="shared" si="27"/>
        <v/>
      </c>
      <c r="AP74" s="2" t="e">
        <f>VLOOKUP(C74,GLAPS정리!$AX$2:$AZ$17,3,0)</f>
        <v>#N/A</v>
      </c>
      <c r="AR74" s="2">
        <f t="shared" si="33"/>
        <v>0</v>
      </c>
      <c r="AX74" s="2" t="e">
        <f>VLOOKUP(L74,GLAPS정리!$V$3:$W$180,2,0)</f>
        <v>#N/A</v>
      </c>
      <c r="BM74" s="2" t="str">
        <f t="shared" si="28"/>
        <v xml:space="preserve"> </v>
      </c>
      <c r="BN74" s="2">
        <f t="shared" si="29"/>
        <v>1</v>
      </c>
      <c r="BR74" s="2" t="str">
        <f t="shared" si="30"/>
        <v/>
      </c>
      <c r="BS74" s="2" t="str">
        <f t="shared" si="31"/>
        <v/>
      </c>
      <c r="BV74" s="2" t="e">
        <f>VLOOKUP(O74,GLAPS정리!$BH$2:$BI$94,2,0)</f>
        <v>#N/A</v>
      </c>
      <c r="BW74" s="2" t="str">
        <f>IF(OR(Z74="동원",Z74="세방",Z74="한타"),"",IFERROR(INDEX(GLAPS정리!$BI$2:$BI$101,MATCH(Z74,GLAPS정리!$BH$2:$BH$101,0)),""))</f>
        <v/>
      </c>
      <c r="BX74" s="2" t="str">
        <f>IF(Z74="","",IFERROR(VLOOKUP(Z74,GLAPS정리!$AX$2:$AZ$17,3,0),""))</f>
        <v/>
      </c>
      <c r="BZ74" s="2" t="e">
        <f>VLOOKUP(H74,GLAPS정리!$L$3:$O$133,2,0)</f>
        <v>#N/A</v>
      </c>
      <c r="CA74" s="2" t="str">
        <f t="shared" si="32"/>
        <v/>
      </c>
      <c r="CL74" s="2" t="e">
        <f>VLOOKUP(AI74,GLAPS정리!$BT$3:$BV$26,3,0)</f>
        <v>#N/A</v>
      </c>
    </row>
    <row r="75" spans="2:90" ht="20.45" customHeight="1">
      <c r="B75" s="13"/>
      <c r="G75" s="3"/>
      <c r="J75" s="3"/>
      <c r="X75" s="13"/>
      <c r="Y75" s="13"/>
      <c r="Z75" s="91"/>
      <c r="AC75" s="2">
        <f t="shared" si="23"/>
        <v>20</v>
      </c>
      <c r="AD75" s="2" t="str">
        <f>IFERROR(INDEX(GLAPS정리!$D$2:$D$50,MATCH(I75,GLAPS정리!$A$2:$A$50,0)),IFERROR(INDEX(GLAPS정리!$D$2:$D$50,MATCH(I75,GLAPS정리!$B$2:$B$50,0)),""))</f>
        <v/>
      </c>
      <c r="AF75" s="2" t="str">
        <f t="shared" si="24"/>
        <v>KR10</v>
      </c>
      <c r="AI75" s="2" t="e">
        <f>VLOOKUP(F75,GLAPS정리!$G$3:$J$114,2,0)</f>
        <v>#N/A</v>
      </c>
      <c r="AJ75" s="2" t="e">
        <f>IF(Z75="울산정일","KRONS",IF(Z75="울산신항","KRUSN",IF(OR(Z75="선광종합물류(인천여객)",Z75="인천여객(인천여객)"),"KRINF",IF(OR(Z75="선광인천보세(인천신)",Z75="한진인천(인천신)",Z75="선광인천신항(인천신)",Z75="인천더로지스(인천신)"),"KRINN",IF(OR(Z75="인천진아(인천항)",Z75="인천E1(인천항)",Z75="인천SM경인터미널(인천항)",Z75="인천항(인천항)",Z75="인천우련(인천항)",Z75="인천항8부두(인천항)"),"KRINC",VLOOKUP(K75,GLAPS정리!$BB$2:$BC$33,2,0))))))</f>
        <v>#N/A</v>
      </c>
      <c r="AL75" s="2">
        <f t="shared" si="25"/>
        <v>5010001</v>
      </c>
      <c r="AN75" s="70" t="str">
        <f t="shared" si="26"/>
        <v>1900-01-00</v>
      </c>
      <c r="AO75" s="2" t="str">
        <f t="shared" si="27"/>
        <v/>
      </c>
      <c r="AP75" s="2" t="e">
        <f>VLOOKUP(C75,GLAPS정리!$AX$2:$AZ$17,3,0)</f>
        <v>#N/A</v>
      </c>
      <c r="AR75" s="2">
        <f t="shared" si="33"/>
        <v>0</v>
      </c>
      <c r="AX75" s="2" t="e">
        <f>VLOOKUP(L75,GLAPS정리!$V$3:$W$180,2,0)</f>
        <v>#N/A</v>
      </c>
      <c r="BM75" s="2" t="str">
        <f t="shared" si="28"/>
        <v xml:space="preserve"> </v>
      </c>
      <c r="BN75" s="2">
        <f t="shared" si="29"/>
        <v>1</v>
      </c>
      <c r="BR75" s="2" t="str">
        <f t="shared" si="30"/>
        <v/>
      </c>
      <c r="BS75" s="2" t="str">
        <f t="shared" si="31"/>
        <v/>
      </c>
      <c r="BV75" s="2" t="e">
        <f>VLOOKUP(O75,GLAPS정리!$BH$2:$BI$94,2,0)</f>
        <v>#N/A</v>
      </c>
      <c r="BW75" s="2" t="str">
        <f>IF(OR(Z75="동원",Z75="세방",Z75="한타"),"",IFERROR(INDEX(GLAPS정리!$BI$2:$BI$101,MATCH(Z75,GLAPS정리!$BH$2:$BH$101,0)),""))</f>
        <v/>
      </c>
      <c r="BX75" s="2" t="str">
        <f>IF(Z75="","",IFERROR(VLOOKUP(Z75,GLAPS정리!$AX$2:$AZ$17,3,0),""))</f>
        <v/>
      </c>
      <c r="BZ75" s="2" t="e">
        <f>VLOOKUP(H75,GLAPS정리!$L$3:$O$133,2,0)</f>
        <v>#N/A</v>
      </c>
      <c r="CA75" s="2" t="str">
        <f t="shared" si="32"/>
        <v/>
      </c>
      <c r="CL75" s="2" t="e">
        <f>VLOOKUP(AI75,GLAPS정리!$BT$3:$BV$26,3,0)</f>
        <v>#N/A</v>
      </c>
    </row>
    <row r="76" spans="2:90" ht="20.45" customHeight="1">
      <c r="B76" s="13"/>
      <c r="G76" s="3"/>
      <c r="J76" s="3"/>
      <c r="X76" s="13"/>
      <c r="Y76" s="13"/>
      <c r="Z76" s="91"/>
      <c r="AC76" s="2">
        <f t="shared" si="23"/>
        <v>20</v>
      </c>
      <c r="AD76" s="2" t="str">
        <f>IFERROR(INDEX(GLAPS정리!$D$2:$D$50,MATCH(I76,GLAPS정리!$A$2:$A$50,0)),IFERROR(INDEX(GLAPS정리!$D$2:$D$50,MATCH(I76,GLAPS정리!$B$2:$B$50,0)),""))</f>
        <v/>
      </c>
      <c r="AF76" s="2" t="str">
        <f t="shared" si="24"/>
        <v>KR10</v>
      </c>
      <c r="AI76" s="2" t="e">
        <f>VLOOKUP(F76,GLAPS정리!$G$3:$J$114,2,0)</f>
        <v>#N/A</v>
      </c>
      <c r="AJ76" s="2" t="e">
        <f>IF(Z76="울산정일","KRONS",IF(Z76="울산신항","KRUSN",IF(OR(Z76="선광종합물류(인천여객)",Z76="인천여객(인천여객)"),"KRINF",IF(OR(Z76="선광인천보세(인천신)",Z76="한진인천(인천신)",Z76="선광인천신항(인천신)",Z76="인천더로지스(인천신)"),"KRINN",IF(OR(Z76="인천진아(인천항)",Z76="인천E1(인천항)",Z76="인천SM경인터미널(인천항)",Z76="인천항(인천항)",Z76="인천우련(인천항)",Z76="인천항8부두(인천항)"),"KRINC",VLOOKUP(K76,GLAPS정리!$BB$2:$BC$33,2,0))))))</f>
        <v>#N/A</v>
      </c>
      <c r="AL76" s="2">
        <f t="shared" si="25"/>
        <v>5010001</v>
      </c>
      <c r="AN76" s="70" t="str">
        <f t="shared" si="26"/>
        <v>1900-01-00</v>
      </c>
      <c r="AO76" s="2" t="str">
        <f t="shared" si="27"/>
        <v/>
      </c>
      <c r="AP76" s="2" t="e">
        <f>VLOOKUP(C76,GLAPS정리!$AX$2:$AZ$17,3,0)</f>
        <v>#N/A</v>
      </c>
      <c r="AR76" s="2">
        <f t="shared" si="33"/>
        <v>0</v>
      </c>
      <c r="AX76" s="2" t="e">
        <f>VLOOKUP(L76,GLAPS정리!$V$3:$W$180,2,0)</f>
        <v>#N/A</v>
      </c>
      <c r="BM76" s="2" t="str">
        <f t="shared" si="28"/>
        <v xml:space="preserve"> </v>
      </c>
      <c r="BN76" s="2">
        <f t="shared" si="29"/>
        <v>1</v>
      </c>
      <c r="BR76" s="2" t="str">
        <f t="shared" si="30"/>
        <v/>
      </c>
      <c r="BS76" s="2" t="str">
        <f t="shared" si="31"/>
        <v/>
      </c>
      <c r="BV76" s="2" t="e">
        <f>VLOOKUP(O76,GLAPS정리!$BH$2:$BI$94,2,0)</f>
        <v>#N/A</v>
      </c>
      <c r="BW76" s="2" t="str">
        <f>IF(OR(Z76="동원",Z76="세방",Z76="한타"),"",IFERROR(INDEX(GLAPS정리!$BI$2:$BI$101,MATCH(Z76,GLAPS정리!$BH$2:$BH$101,0)),""))</f>
        <v/>
      </c>
      <c r="BX76" s="2" t="str">
        <f>IF(Z76="","",IFERROR(VLOOKUP(Z76,GLAPS정리!$AX$2:$AZ$17,3,0),""))</f>
        <v/>
      </c>
      <c r="BZ76" s="2" t="e">
        <f>VLOOKUP(H76,GLAPS정리!$L$3:$O$133,2,0)</f>
        <v>#N/A</v>
      </c>
      <c r="CA76" s="2" t="str">
        <f t="shared" si="32"/>
        <v/>
      </c>
      <c r="CL76" s="2" t="e">
        <f>VLOOKUP(AI76,GLAPS정리!$BT$3:$BV$26,3,0)</f>
        <v>#N/A</v>
      </c>
    </row>
    <row r="77" spans="2:90" ht="20.45" customHeight="1">
      <c r="B77" s="13"/>
      <c r="G77" s="3"/>
      <c r="J77" s="3"/>
      <c r="X77" s="13"/>
      <c r="Y77" s="13"/>
      <c r="Z77" s="91"/>
      <c r="AC77" s="2">
        <f t="shared" si="23"/>
        <v>20</v>
      </c>
      <c r="AD77" s="2" t="str">
        <f>IFERROR(INDEX(GLAPS정리!$D$2:$D$50,MATCH(I77,GLAPS정리!$A$2:$A$50,0)),IFERROR(INDEX(GLAPS정리!$D$2:$D$50,MATCH(I77,GLAPS정리!$B$2:$B$50,0)),""))</f>
        <v/>
      </c>
      <c r="AF77" s="2" t="str">
        <f t="shared" si="24"/>
        <v>KR10</v>
      </c>
      <c r="AI77" s="2" t="e">
        <f>VLOOKUP(F77,GLAPS정리!$G$3:$J$114,2,0)</f>
        <v>#N/A</v>
      </c>
      <c r="AJ77" s="2" t="e">
        <f>IF(Z77="울산정일","KRONS",IF(Z77="울산신항","KRUSN",IF(OR(Z77="선광종합물류(인천여객)",Z77="인천여객(인천여객)"),"KRINF",IF(OR(Z77="선광인천보세(인천신)",Z77="한진인천(인천신)",Z77="선광인천신항(인천신)",Z77="인천더로지스(인천신)"),"KRINN",IF(OR(Z77="인천진아(인천항)",Z77="인천E1(인천항)",Z77="인천SM경인터미널(인천항)",Z77="인천항(인천항)",Z77="인천우련(인천항)",Z77="인천항8부두(인천항)"),"KRINC",VLOOKUP(K77,GLAPS정리!$BB$2:$BC$33,2,0))))))</f>
        <v>#N/A</v>
      </c>
      <c r="AL77" s="2">
        <f t="shared" si="25"/>
        <v>5010001</v>
      </c>
      <c r="AN77" s="70" t="str">
        <f t="shared" si="26"/>
        <v>1900-01-00</v>
      </c>
      <c r="AO77" s="2" t="str">
        <f t="shared" si="27"/>
        <v/>
      </c>
      <c r="AP77" s="2" t="e">
        <f>VLOOKUP(C77,GLAPS정리!$AX$2:$AZ$17,3,0)</f>
        <v>#N/A</v>
      </c>
      <c r="AR77" s="2">
        <f t="shared" si="33"/>
        <v>0</v>
      </c>
      <c r="AX77" s="2" t="e">
        <f>VLOOKUP(L77,GLAPS정리!$V$3:$W$180,2,0)</f>
        <v>#N/A</v>
      </c>
      <c r="BM77" s="2" t="str">
        <f t="shared" si="28"/>
        <v xml:space="preserve"> </v>
      </c>
      <c r="BN77" s="2">
        <f t="shared" si="29"/>
        <v>1</v>
      </c>
      <c r="BR77" s="2" t="str">
        <f t="shared" si="30"/>
        <v/>
      </c>
      <c r="BS77" s="2" t="str">
        <f t="shared" si="31"/>
        <v/>
      </c>
      <c r="BV77" s="2" t="e">
        <f>VLOOKUP(O77,GLAPS정리!$BH$2:$BI$94,2,0)</f>
        <v>#N/A</v>
      </c>
      <c r="BW77" s="2" t="str">
        <f>IF(OR(Z77="동원",Z77="세방",Z77="한타"),"",IFERROR(INDEX(GLAPS정리!$BI$2:$BI$101,MATCH(Z77,GLAPS정리!$BH$2:$BH$101,0)),""))</f>
        <v/>
      </c>
      <c r="BX77" s="2" t="str">
        <f>IF(Z77="","",IFERROR(VLOOKUP(Z77,GLAPS정리!$AX$2:$AZ$17,3,0),""))</f>
        <v/>
      </c>
      <c r="BZ77" s="2" t="e">
        <f>VLOOKUP(H77,GLAPS정리!$L$3:$O$133,2,0)</f>
        <v>#N/A</v>
      </c>
      <c r="CA77" s="2" t="str">
        <f t="shared" si="32"/>
        <v/>
      </c>
      <c r="CL77" s="2" t="e">
        <f>VLOOKUP(AI77,GLAPS정리!$BT$3:$BV$26,3,0)</f>
        <v>#N/A</v>
      </c>
    </row>
    <row r="78" spans="2:90" ht="20.45" customHeight="1">
      <c r="B78" s="13"/>
      <c r="G78" s="3"/>
      <c r="J78" s="3"/>
      <c r="X78" s="13"/>
      <c r="Y78" s="13"/>
      <c r="Z78" s="91"/>
      <c r="AC78" s="2">
        <f t="shared" si="23"/>
        <v>20</v>
      </c>
      <c r="AD78" s="2" t="str">
        <f>IFERROR(INDEX(GLAPS정리!$D$2:$D$50,MATCH(I78,GLAPS정리!$A$2:$A$50,0)),IFERROR(INDEX(GLAPS정리!$D$2:$D$50,MATCH(I78,GLAPS정리!$B$2:$B$50,0)),""))</f>
        <v/>
      </c>
      <c r="AF78" s="2" t="str">
        <f t="shared" si="24"/>
        <v>KR10</v>
      </c>
      <c r="AI78" s="2" t="e">
        <f>VLOOKUP(F78,GLAPS정리!$G$3:$J$114,2,0)</f>
        <v>#N/A</v>
      </c>
      <c r="AJ78" s="2" t="e">
        <f>IF(Z78="울산정일","KRONS",IF(Z78="울산신항","KRUSN",IF(OR(Z78="선광종합물류(인천여객)",Z78="인천여객(인천여객)"),"KRINF",IF(OR(Z78="선광인천보세(인천신)",Z78="한진인천(인천신)",Z78="선광인천신항(인천신)",Z78="인천더로지스(인천신)"),"KRINN",IF(OR(Z78="인천진아(인천항)",Z78="인천E1(인천항)",Z78="인천SM경인터미널(인천항)",Z78="인천항(인천항)",Z78="인천우련(인천항)",Z78="인천항8부두(인천항)"),"KRINC",VLOOKUP(K78,GLAPS정리!$BB$2:$BC$33,2,0))))))</f>
        <v>#N/A</v>
      </c>
      <c r="AL78" s="2">
        <f t="shared" si="25"/>
        <v>5010001</v>
      </c>
      <c r="AN78" s="70" t="str">
        <f t="shared" si="26"/>
        <v>1900-01-00</v>
      </c>
      <c r="AO78" s="2" t="str">
        <f t="shared" si="27"/>
        <v/>
      </c>
      <c r="AP78" s="2" t="e">
        <f>VLOOKUP(C78,GLAPS정리!$AX$2:$AZ$17,3,0)</f>
        <v>#N/A</v>
      </c>
      <c r="AR78" s="2">
        <f t="shared" si="33"/>
        <v>0</v>
      </c>
      <c r="AX78" s="2" t="e">
        <f>VLOOKUP(L78,GLAPS정리!$V$3:$W$180,2,0)</f>
        <v>#N/A</v>
      </c>
      <c r="BM78" s="2" t="str">
        <f t="shared" si="28"/>
        <v xml:space="preserve"> </v>
      </c>
      <c r="BN78" s="2">
        <f t="shared" si="29"/>
        <v>1</v>
      </c>
      <c r="BR78" s="2" t="str">
        <f t="shared" si="30"/>
        <v/>
      </c>
      <c r="BS78" s="2" t="str">
        <f t="shared" si="31"/>
        <v/>
      </c>
      <c r="BV78" s="2" t="e">
        <f>VLOOKUP(O78,GLAPS정리!$BH$2:$BI$94,2,0)</f>
        <v>#N/A</v>
      </c>
      <c r="BW78" s="2" t="str">
        <f>IF(OR(Z78="동원",Z78="세방",Z78="한타"),"",IFERROR(INDEX(GLAPS정리!$BI$2:$BI$101,MATCH(Z78,GLAPS정리!$BH$2:$BH$101,0)),""))</f>
        <v/>
      </c>
      <c r="BX78" s="2" t="str">
        <f>IF(Z78="","",IFERROR(VLOOKUP(Z78,GLAPS정리!$AX$2:$AZ$17,3,0),""))</f>
        <v/>
      </c>
      <c r="BZ78" s="2" t="e">
        <f>VLOOKUP(H78,GLAPS정리!$L$3:$O$133,2,0)</f>
        <v>#N/A</v>
      </c>
      <c r="CA78" s="2" t="str">
        <f t="shared" si="32"/>
        <v/>
      </c>
      <c r="CL78" s="2" t="e">
        <f>VLOOKUP(AI78,GLAPS정리!$BT$3:$BV$26,3,0)</f>
        <v>#N/A</v>
      </c>
    </row>
    <row r="79" spans="2:90" ht="20.45" customHeight="1">
      <c r="B79" s="13"/>
      <c r="G79" s="3"/>
      <c r="J79" s="3"/>
      <c r="X79" s="13"/>
      <c r="Y79" s="13"/>
      <c r="Z79" s="91"/>
      <c r="AC79" s="2">
        <f t="shared" si="23"/>
        <v>20</v>
      </c>
      <c r="AD79" s="2" t="str">
        <f>IFERROR(INDEX(GLAPS정리!$D$2:$D$50,MATCH(I79,GLAPS정리!$A$2:$A$50,0)),IFERROR(INDEX(GLAPS정리!$D$2:$D$50,MATCH(I79,GLAPS정리!$B$2:$B$50,0)),""))</f>
        <v/>
      </c>
      <c r="AF79" s="2" t="str">
        <f t="shared" si="24"/>
        <v>KR10</v>
      </c>
      <c r="AI79" s="2" t="e">
        <f>VLOOKUP(F79,GLAPS정리!$G$3:$J$114,2,0)</f>
        <v>#N/A</v>
      </c>
      <c r="AJ79" s="2" t="e">
        <f>IF(Z79="울산정일","KRONS",IF(Z79="울산신항","KRUSN",IF(OR(Z79="선광종합물류(인천여객)",Z79="인천여객(인천여객)"),"KRINF",IF(OR(Z79="선광인천보세(인천신)",Z79="한진인천(인천신)",Z79="선광인천신항(인천신)",Z79="인천더로지스(인천신)"),"KRINN",IF(OR(Z79="인천진아(인천항)",Z79="인천E1(인천항)",Z79="인천SM경인터미널(인천항)",Z79="인천항(인천항)",Z79="인천우련(인천항)",Z79="인천항8부두(인천항)"),"KRINC",VLOOKUP(K79,GLAPS정리!$BB$2:$BC$33,2,0))))))</f>
        <v>#N/A</v>
      </c>
      <c r="AL79" s="2">
        <f t="shared" si="25"/>
        <v>5010001</v>
      </c>
      <c r="AN79" s="70" t="str">
        <f t="shared" si="26"/>
        <v>1900-01-00</v>
      </c>
      <c r="AO79" s="2" t="str">
        <f t="shared" si="27"/>
        <v/>
      </c>
      <c r="AP79" s="2" t="e">
        <f>VLOOKUP(C79,GLAPS정리!$AX$2:$AZ$17,3,0)</f>
        <v>#N/A</v>
      </c>
      <c r="AR79" s="2">
        <f t="shared" si="33"/>
        <v>0</v>
      </c>
      <c r="AX79" s="2" t="e">
        <f>VLOOKUP(L79,GLAPS정리!$V$3:$W$180,2,0)</f>
        <v>#N/A</v>
      </c>
      <c r="BM79" s="2" t="str">
        <f t="shared" si="28"/>
        <v xml:space="preserve"> </v>
      </c>
      <c r="BN79" s="2">
        <f t="shared" si="29"/>
        <v>1</v>
      </c>
      <c r="BR79" s="2" t="str">
        <f t="shared" si="30"/>
        <v/>
      </c>
      <c r="BS79" s="2" t="str">
        <f t="shared" si="31"/>
        <v/>
      </c>
      <c r="BV79" s="2" t="e">
        <f>VLOOKUP(O79,GLAPS정리!$BH$2:$BI$94,2,0)</f>
        <v>#N/A</v>
      </c>
      <c r="BW79" s="2" t="str">
        <f>IF(OR(Z79="동원",Z79="세방",Z79="한타"),"",IFERROR(INDEX(GLAPS정리!$BI$2:$BI$101,MATCH(Z79,GLAPS정리!$BH$2:$BH$101,0)),""))</f>
        <v/>
      </c>
      <c r="BX79" s="2" t="str">
        <f>IF(Z79="","",IFERROR(VLOOKUP(Z79,GLAPS정리!$AX$2:$AZ$17,3,0),""))</f>
        <v/>
      </c>
      <c r="BZ79" s="2" t="e">
        <f>VLOOKUP(H79,GLAPS정리!$L$3:$O$133,2,0)</f>
        <v>#N/A</v>
      </c>
      <c r="CA79" s="2" t="str">
        <f t="shared" si="32"/>
        <v/>
      </c>
      <c r="CL79" s="2" t="e">
        <f>VLOOKUP(AI79,GLAPS정리!$BT$3:$BV$26,3,0)</f>
        <v>#N/A</v>
      </c>
    </row>
    <row r="80" spans="2:90" ht="20.45" customHeight="1">
      <c r="B80" s="13"/>
      <c r="G80" s="3"/>
      <c r="J80" s="3"/>
      <c r="X80" s="13"/>
      <c r="Y80" s="13"/>
      <c r="Z80" s="91"/>
      <c r="AC80" s="2">
        <f t="shared" si="23"/>
        <v>20</v>
      </c>
      <c r="AD80" s="2" t="str">
        <f>IFERROR(INDEX(GLAPS정리!$D$2:$D$50,MATCH(I80,GLAPS정리!$A$2:$A$50,0)),IFERROR(INDEX(GLAPS정리!$D$2:$D$50,MATCH(I80,GLAPS정리!$B$2:$B$50,0)),""))</f>
        <v/>
      </c>
      <c r="AF80" s="2" t="str">
        <f t="shared" si="24"/>
        <v>KR10</v>
      </c>
      <c r="AI80" s="2" t="e">
        <f>VLOOKUP(F80,GLAPS정리!$G$3:$J$114,2,0)</f>
        <v>#N/A</v>
      </c>
      <c r="AJ80" s="2" t="e">
        <f>IF(Z80="울산정일","KRONS",IF(Z80="울산신항","KRUSN",IF(OR(Z80="선광종합물류(인천여객)",Z80="인천여객(인천여객)"),"KRINF",IF(OR(Z80="선광인천보세(인천신)",Z80="한진인천(인천신)",Z80="선광인천신항(인천신)",Z80="인천더로지스(인천신)"),"KRINN",IF(OR(Z80="인천진아(인천항)",Z80="인천E1(인천항)",Z80="인천SM경인터미널(인천항)",Z80="인천항(인천항)",Z80="인천우련(인천항)",Z80="인천항8부두(인천항)"),"KRINC",VLOOKUP(K80,GLAPS정리!$BB$2:$BC$33,2,0))))))</f>
        <v>#N/A</v>
      </c>
      <c r="AL80" s="2">
        <f t="shared" si="25"/>
        <v>5010001</v>
      </c>
      <c r="AN80" s="70" t="str">
        <f t="shared" si="26"/>
        <v>1900-01-00</v>
      </c>
      <c r="AO80" s="2" t="str">
        <f t="shared" si="27"/>
        <v/>
      </c>
      <c r="AP80" s="2" t="e">
        <f>VLOOKUP(C80,GLAPS정리!$AX$2:$AZ$17,3,0)</f>
        <v>#N/A</v>
      </c>
      <c r="AR80" s="2">
        <f t="shared" si="33"/>
        <v>0</v>
      </c>
      <c r="AX80" s="2" t="e">
        <f>VLOOKUP(L80,GLAPS정리!$V$3:$W$180,2,0)</f>
        <v>#N/A</v>
      </c>
      <c r="BM80" s="2" t="str">
        <f t="shared" si="28"/>
        <v xml:space="preserve"> </v>
      </c>
      <c r="BN80" s="2">
        <f t="shared" si="29"/>
        <v>1</v>
      </c>
      <c r="BR80" s="2" t="str">
        <f t="shared" si="30"/>
        <v/>
      </c>
      <c r="BS80" s="2" t="str">
        <f t="shared" si="31"/>
        <v/>
      </c>
      <c r="BV80" s="2" t="e">
        <f>VLOOKUP(O80,GLAPS정리!$BH$2:$BI$94,2,0)</f>
        <v>#N/A</v>
      </c>
      <c r="BW80" s="2" t="str">
        <f>IF(OR(Z80="동원",Z80="세방",Z80="한타"),"",IFERROR(INDEX(GLAPS정리!$BI$2:$BI$101,MATCH(Z80,GLAPS정리!$BH$2:$BH$101,0)),""))</f>
        <v/>
      </c>
      <c r="BX80" s="2" t="str">
        <f>IF(Z80="","",IFERROR(VLOOKUP(Z80,GLAPS정리!$AX$2:$AZ$17,3,0),""))</f>
        <v/>
      </c>
      <c r="BZ80" s="2" t="e">
        <f>VLOOKUP(H80,GLAPS정리!$L$3:$O$133,2,0)</f>
        <v>#N/A</v>
      </c>
      <c r="CA80" s="2" t="str">
        <f t="shared" si="32"/>
        <v/>
      </c>
      <c r="CL80" s="2" t="e">
        <f>VLOOKUP(AI80,GLAPS정리!$BT$3:$BV$26,3,0)</f>
        <v>#N/A</v>
      </c>
    </row>
    <row r="81" spans="2:90" ht="20.45" customHeight="1">
      <c r="B81" s="13"/>
      <c r="G81" s="3"/>
      <c r="J81" s="3"/>
      <c r="X81" s="13"/>
      <c r="Y81" s="13"/>
      <c r="Z81" s="91"/>
      <c r="AC81" s="2">
        <f t="shared" si="23"/>
        <v>20</v>
      </c>
      <c r="AD81" s="2" t="str">
        <f>IFERROR(INDEX(GLAPS정리!$D$2:$D$50,MATCH(I81,GLAPS정리!$A$2:$A$50,0)),IFERROR(INDEX(GLAPS정리!$D$2:$D$50,MATCH(I81,GLAPS정리!$B$2:$B$50,0)),""))</f>
        <v/>
      </c>
      <c r="AF81" s="2" t="str">
        <f t="shared" si="24"/>
        <v>KR10</v>
      </c>
      <c r="AI81" s="2" t="e">
        <f>VLOOKUP(F81,GLAPS정리!$G$3:$J$114,2,0)</f>
        <v>#N/A</v>
      </c>
      <c r="AJ81" s="2" t="e">
        <f>IF(Z81="울산정일","KRONS",IF(Z81="울산신항","KRUSN",IF(OR(Z81="선광종합물류(인천여객)",Z81="인천여객(인천여객)"),"KRINF",IF(OR(Z81="선광인천보세(인천신)",Z81="한진인천(인천신)",Z81="선광인천신항(인천신)",Z81="인천더로지스(인천신)"),"KRINN",IF(OR(Z81="인천진아(인천항)",Z81="인천E1(인천항)",Z81="인천SM경인터미널(인천항)",Z81="인천항(인천항)",Z81="인천우련(인천항)",Z81="인천항8부두(인천항)"),"KRINC",VLOOKUP(K81,GLAPS정리!$BB$2:$BC$33,2,0))))))</f>
        <v>#N/A</v>
      </c>
      <c r="AL81" s="2">
        <f t="shared" si="25"/>
        <v>5010001</v>
      </c>
      <c r="AN81" s="70" t="str">
        <f t="shared" si="26"/>
        <v>1900-01-00</v>
      </c>
      <c r="AO81" s="2" t="str">
        <f t="shared" si="27"/>
        <v/>
      </c>
      <c r="AP81" s="2" t="e">
        <f>VLOOKUP(C81,GLAPS정리!$AX$2:$AZ$17,3,0)</f>
        <v>#N/A</v>
      </c>
      <c r="AR81" s="2">
        <f t="shared" si="33"/>
        <v>0</v>
      </c>
      <c r="AX81" s="2" t="e">
        <f>VLOOKUP(L81,GLAPS정리!$V$3:$W$180,2,0)</f>
        <v>#N/A</v>
      </c>
      <c r="BM81" s="2" t="str">
        <f t="shared" si="28"/>
        <v xml:space="preserve"> </v>
      </c>
      <c r="BN81" s="2">
        <f t="shared" si="29"/>
        <v>1</v>
      </c>
      <c r="BR81" s="2" t="str">
        <f t="shared" si="30"/>
        <v/>
      </c>
      <c r="BS81" s="2" t="str">
        <f t="shared" si="31"/>
        <v/>
      </c>
      <c r="BV81" s="2" t="e">
        <f>VLOOKUP(O81,GLAPS정리!$BH$2:$BI$94,2,0)</f>
        <v>#N/A</v>
      </c>
      <c r="BW81" s="2" t="str">
        <f>IF(OR(Z81="동원",Z81="세방",Z81="한타"),"",IFERROR(INDEX(GLAPS정리!$BI$2:$BI$101,MATCH(Z81,GLAPS정리!$BH$2:$BH$101,0)),""))</f>
        <v/>
      </c>
      <c r="BX81" s="2" t="str">
        <f>IF(Z81="","",IFERROR(VLOOKUP(Z81,GLAPS정리!$AX$2:$AZ$17,3,0),""))</f>
        <v/>
      </c>
      <c r="BZ81" s="2" t="e">
        <f>VLOOKUP(H81,GLAPS정리!$L$3:$O$133,2,0)</f>
        <v>#N/A</v>
      </c>
      <c r="CA81" s="2" t="str">
        <f t="shared" si="32"/>
        <v/>
      </c>
      <c r="CL81" s="2" t="e">
        <f>VLOOKUP(AI81,GLAPS정리!$BT$3:$BV$26,3,0)</f>
        <v>#N/A</v>
      </c>
    </row>
    <row r="82" spans="2:90" ht="20.45" customHeight="1">
      <c r="B82" s="13"/>
      <c r="G82" s="3"/>
      <c r="J82" s="3"/>
      <c r="X82" s="13"/>
      <c r="Y82" s="13"/>
      <c r="Z82" s="91"/>
      <c r="AC82" s="2">
        <f t="shared" si="23"/>
        <v>20</v>
      </c>
      <c r="AD82" s="2" t="str">
        <f>IFERROR(INDEX(GLAPS정리!$D$2:$D$50,MATCH(I82,GLAPS정리!$A$2:$A$50,0)),IFERROR(INDEX(GLAPS정리!$D$2:$D$50,MATCH(I82,GLAPS정리!$B$2:$B$50,0)),""))</f>
        <v/>
      </c>
      <c r="AF82" s="2" t="str">
        <f t="shared" si="24"/>
        <v>KR10</v>
      </c>
      <c r="AI82" s="2" t="e">
        <f>VLOOKUP(F82,GLAPS정리!$G$3:$J$114,2,0)</f>
        <v>#N/A</v>
      </c>
      <c r="AJ82" s="2" t="e">
        <f>IF(Z82="울산정일","KRONS",IF(Z82="울산신항","KRUSN",IF(OR(Z82="선광종합물류(인천여객)",Z82="인천여객(인천여객)"),"KRINF",IF(OR(Z82="선광인천보세(인천신)",Z82="한진인천(인천신)",Z82="선광인천신항(인천신)",Z82="인천더로지스(인천신)"),"KRINN",IF(OR(Z82="인천진아(인천항)",Z82="인천E1(인천항)",Z82="인천SM경인터미널(인천항)",Z82="인천항(인천항)",Z82="인천우련(인천항)",Z82="인천항8부두(인천항)"),"KRINC",VLOOKUP(K82,GLAPS정리!$BB$2:$BC$33,2,0))))))</f>
        <v>#N/A</v>
      </c>
      <c r="AL82" s="2">
        <f t="shared" si="25"/>
        <v>5010001</v>
      </c>
      <c r="AN82" s="70" t="str">
        <f t="shared" si="26"/>
        <v>1900-01-00</v>
      </c>
      <c r="AO82" s="2" t="str">
        <f t="shared" si="27"/>
        <v/>
      </c>
      <c r="AP82" s="2" t="e">
        <f>VLOOKUP(C82,GLAPS정리!$AX$2:$AZ$17,3,0)</f>
        <v>#N/A</v>
      </c>
      <c r="AR82" s="2">
        <f t="shared" si="33"/>
        <v>0</v>
      </c>
      <c r="AX82" s="2" t="e">
        <f>VLOOKUP(L82,GLAPS정리!$V$3:$W$180,2,0)</f>
        <v>#N/A</v>
      </c>
      <c r="BM82" s="2" t="str">
        <f t="shared" si="28"/>
        <v xml:space="preserve"> </v>
      </c>
      <c r="BN82" s="2">
        <f t="shared" si="29"/>
        <v>1</v>
      </c>
      <c r="BR82" s="2" t="str">
        <f t="shared" si="30"/>
        <v/>
      </c>
      <c r="BS82" s="2" t="str">
        <f t="shared" si="31"/>
        <v/>
      </c>
      <c r="BV82" s="2" t="e">
        <f>VLOOKUP(O82,GLAPS정리!$BH$2:$BI$94,2,0)</f>
        <v>#N/A</v>
      </c>
      <c r="BW82" s="2" t="str">
        <f>IF(OR(Z82="동원",Z82="세방",Z82="한타"),"",IFERROR(INDEX(GLAPS정리!$BI$2:$BI$101,MATCH(Z82,GLAPS정리!$BH$2:$BH$101,0)),""))</f>
        <v/>
      </c>
      <c r="BX82" s="2" t="str">
        <f>IF(Z82="","",IFERROR(VLOOKUP(Z82,GLAPS정리!$AX$2:$AZ$17,3,0),""))</f>
        <v/>
      </c>
      <c r="BZ82" s="2" t="e">
        <f>VLOOKUP(H82,GLAPS정리!$L$3:$O$133,2,0)</f>
        <v>#N/A</v>
      </c>
      <c r="CA82" s="2" t="str">
        <f t="shared" si="32"/>
        <v/>
      </c>
      <c r="CL82" s="2" t="e">
        <f>VLOOKUP(AI82,GLAPS정리!$BT$3:$BV$26,3,0)</f>
        <v>#N/A</v>
      </c>
    </row>
    <row r="83" spans="2:90" ht="20.45" customHeight="1">
      <c r="B83" s="13"/>
      <c r="G83" s="3"/>
      <c r="J83" s="3"/>
      <c r="X83" s="13"/>
      <c r="Y83" s="13"/>
      <c r="Z83" s="91"/>
      <c r="AC83" s="2">
        <f t="shared" si="23"/>
        <v>20</v>
      </c>
      <c r="AD83" s="2" t="str">
        <f>IFERROR(INDEX(GLAPS정리!$D$2:$D$50,MATCH(I83,GLAPS정리!$A$2:$A$50,0)),IFERROR(INDEX(GLAPS정리!$D$2:$D$50,MATCH(I83,GLAPS정리!$B$2:$B$50,0)),""))</f>
        <v/>
      </c>
      <c r="AF83" s="2" t="str">
        <f t="shared" si="24"/>
        <v>KR10</v>
      </c>
      <c r="AI83" s="2" t="e">
        <f>VLOOKUP(F83,GLAPS정리!$G$3:$J$114,2,0)</f>
        <v>#N/A</v>
      </c>
      <c r="AJ83" s="2" t="e">
        <f>IF(Z83="울산정일","KRONS",IF(Z83="울산신항","KRUSN",IF(OR(Z83="선광종합물류(인천여객)",Z83="인천여객(인천여객)"),"KRINF",IF(OR(Z83="선광인천보세(인천신)",Z83="한진인천(인천신)",Z83="선광인천신항(인천신)",Z83="인천더로지스(인천신)"),"KRINN",IF(OR(Z83="인천진아(인천항)",Z83="인천E1(인천항)",Z83="인천SM경인터미널(인천항)",Z83="인천항(인천항)",Z83="인천우련(인천항)",Z83="인천항8부두(인천항)"),"KRINC",VLOOKUP(K83,GLAPS정리!$BB$2:$BC$33,2,0))))))</f>
        <v>#N/A</v>
      </c>
      <c r="AL83" s="2">
        <f t="shared" si="25"/>
        <v>5010001</v>
      </c>
      <c r="AN83" s="70" t="str">
        <f t="shared" si="26"/>
        <v>1900-01-00</v>
      </c>
      <c r="AO83" s="2" t="str">
        <f t="shared" si="27"/>
        <v/>
      </c>
      <c r="AP83" s="2" t="e">
        <f>VLOOKUP(C83,GLAPS정리!$AX$2:$AZ$17,3,0)</f>
        <v>#N/A</v>
      </c>
      <c r="AR83" s="2">
        <f t="shared" si="33"/>
        <v>0</v>
      </c>
      <c r="AX83" s="2" t="e">
        <f>VLOOKUP(L83,GLAPS정리!$V$3:$W$180,2,0)</f>
        <v>#N/A</v>
      </c>
      <c r="BM83" s="2" t="str">
        <f t="shared" si="28"/>
        <v xml:space="preserve"> </v>
      </c>
      <c r="BN83" s="2">
        <f t="shared" si="29"/>
        <v>1</v>
      </c>
      <c r="BR83" s="2" t="str">
        <f t="shared" si="30"/>
        <v/>
      </c>
      <c r="BS83" s="2" t="str">
        <f t="shared" si="31"/>
        <v/>
      </c>
      <c r="BV83" s="2" t="e">
        <f>VLOOKUP(O83,GLAPS정리!$BH$2:$BI$94,2,0)</f>
        <v>#N/A</v>
      </c>
      <c r="BW83" s="2" t="str">
        <f>IF(OR(Z83="동원",Z83="세방",Z83="한타"),"",IFERROR(INDEX(GLAPS정리!$BI$2:$BI$101,MATCH(Z83,GLAPS정리!$BH$2:$BH$101,0)),""))</f>
        <v/>
      </c>
      <c r="BX83" s="2" t="str">
        <f>IF(Z83="","",IFERROR(VLOOKUP(Z83,GLAPS정리!$AX$2:$AZ$17,3,0),""))</f>
        <v/>
      </c>
      <c r="BZ83" s="2" t="e">
        <f>VLOOKUP(H83,GLAPS정리!$L$3:$O$133,2,0)</f>
        <v>#N/A</v>
      </c>
      <c r="CA83" s="2" t="str">
        <f t="shared" si="32"/>
        <v/>
      </c>
      <c r="CL83" s="2" t="e">
        <f>VLOOKUP(AI83,GLAPS정리!$BT$3:$BV$26,3,0)</f>
        <v>#N/A</v>
      </c>
    </row>
    <row r="84" spans="2:90" ht="20.45" customHeight="1">
      <c r="B84" s="13"/>
      <c r="G84" s="3"/>
      <c r="J84" s="3"/>
      <c r="X84" s="13"/>
      <c r="Y84" s="13"/>
      <c r="Z84" s="91"/>
      <c r="AC84" s="2">
        <f t="shared" si="23"/>
        <v>20</v>
      </c>
      <c r="AD84" s="2" t="str">
        <f>IFERROR(INDEX(GLAPS정리!$D$2:$D$50,MATCH(I84,GLAPS정리!$A$2:$A$50,0)),IFERROR(INDEX(GLAPS정리!$D$2:$D$50,MATCH(I84,GLAPS정리!$B$2:$B$50,0)),""))</f>
        <v/>
      </c>
      <c r="AF84" s="2" t="str">
        <f t="shared" si="24"/>
        <v>KR10</v>
      </c>
      <c r="AI84" s="2" t="e">
        <f>VLOOKUP(F84,GLAPS정리!$G$3:$J$114,2,0)</f>
        <v>#N/A</v>
      </c>
      <c r="AJ84" s="2" t="e">
        <f>IF(Z84="울산정일","KRONS",IF(Z84="울산신항","KRUSN",IF(OR(Z84="선광종합물류(인천여객)",Z84="인천여객(인천여객)"),"KRINF",IF(OR(Z84="선광인천보세(인천신)",Z84="한진인천(인천신)",Z84="선광인천신항(인천신)",Z84="인천더로지스(인천신)"),"KRINN",IF(OR(Z84="인천진아(인천항)",Z84="인천E1(인천항)",Z84="인천SM경인터미널(인천항)",Z84="인천항(인천항)",Z84="인천우련(인천항)",Z84="인천항8부두(인천항)"),"KRINC",VLOOKUP(K84,GLAPS정리!$BB$2:$BC$33,2,0))))))</f>
        <v>#N/A</v>
      </c>
      <c r="AL84" s="2">
        <f t="shared" si="25"/>
        <v>5010001</v>
      </c>
      <c r="AN84" s="70" t="str">
        <f t="shared" si="26"/>
        <v>1900-01-00</v>
      </c>
      <c r="AO84" s="2" t="str">
        <f t="shared" si="27"/>
        <v/>
      </c>
      <c r="AP84" s="2" t="e">
        <f>VLOOKUP(C84,GLAPS정리!$AX$2:$AZ$17,3,0)</f>
        <v>#N/A</v>
      </c>
      <c r="AR84" s="2">
        <f t="shared" si="33"/>
        <v>0</v>
      </c>
      <c r="AX84" s="2" t="e">
        <f>VLOOKUP(L84,GLAPS정리!$V$3:$W$180,2,0)</f>
        <v>#N/A</v>
      </c>
      <c r="BM84" s="2" t="str">
        <f t="shared" si="28"/>
        <v xml:space="preserve"> </v>
      </c>
      <c r="BN84" s="2">
        <f t="shared" si="29"/>
        <v>1</v>
      </c>
      <c r="BR84" s="2" t="str">
        <f t="shared" si="30"/>
        <v/>
      </c>
      <c r="BS84" s="2" t="str">
        <f t="shared" si="31"/>
        <v/>
      </c>
      <c r="BV84" s="2" t="e">
        <f>VLOOKUP(O84,GLAPS정리!$BH$2:$BI$94,2,0)</f>
        <v>#N/A</v>
      </c>
      <c r="BW84" s="2" t="str">
        <f>IF(OR(Z84="동원",Z84="세방",Z84="한타"),"",IFERROR(INDEX(GLAPS정리!$BI$2:$BI$101,MATCH(Z84,GLAPS정리!$BH$2:$BH$101,0)),""))</f>
        <v/>
      </c>
      <c r="BX84" s="2" t="str">
        <f>IF(Z84="","",IFERROR(VLOOKUP(Z84,GLAPS정리!$AX$2:$AZ$17,3,0),""))</f>
        <v/>
      </c>
      <c r="BZ84" s="2" t="e">
        <f>VLOOKUP(H84,GLAPS정리!$L$3:$O$133,2,0)</f>
        <v>#N/A</v>
      </c>
      <c r="CA84" s="2" t="str">
        <f t="shared" si="32"/>
        <v/>
      </c>
      <c r="CL84" s="2" t="e">
        <f>VLOOKUP(AI84,GLAPS정리!$BT$3:$BV$26,3,0)</f>
        <v>#N/A</v>
      </c>
    </row>
    <row r="85" spans="2:90" ht="20.45" customHeight="1">
      <c r="B85" s="13"/>
      <c r="G85" s="3"/>
      <c r="J85" s="3"/>
      <c r="X85" s="13"/>
      <c r="Y85" s="13"/>
      <c r="Z85" s="91"/>
      <c r="AC85" s="2">
        <f t="shared" si="23"/>
        <v>20</v>
      </c>
      <c r="AD85" s="2" t="str">
        <f>IFERROR(INDEX(GLAPS정리!$D$2:$D$50,MATCH(I85,GLAPS정리!$A$2:$A$50,0)),IFERROR(INDEX(GLAPS정리!$D$2:$D$50,MATCH(I85,GLAPS정리!$B$2:$B$50,0)),""))</f>
        <v/>
      </c>
      <c r="AF85" s="2" t="str">
        <f t="shared" si="24"/>
        <v>KR10</v>
      </c>
      <c r="AI85" s="2" t="e">
        <f>VLOOKUP(F85,GLAPS정리!$G$3:$J$114,2,0)</f>
        <v>#N/A</v>
      </c>
      <c r="AJ85" s="2" t="e">
        <f>IF(Z85="울산정일","KRONS",IF(Z85="울산신항","KRUSN",IF(OR(Z85="선광종합물류(인천여객)",Z85="인천여객(인천여객)"),"KRINF",IF(OR(Z85="선광인천보세(인천신)",Z85="한진인천(인천신)",Z85="선광인천신항(인천신)",Z85="인천더로지스(인천신)"),"KRINN",IF(OR(Z85="인천진아(인천항)",Z85="인천E1(인천항)",Z85="인천SM경인터미널(인천항)",Z85="인천항(인천항)",Z85="인천우련(인천항)",Z85="인천항8부두(인천항)"),"KRINC",VLOOKUP(K85,GLAPS정리!$BB$2:$BC$33,2,0))))))</f>
        <v>#N/A</v>
      </c>
      <c r="AL85" s="2">
        <f t="shared" si="25"/>
        <v>5010001</v>
      </c>
      <c r="AN85" s="70" t="str">
        <f t="shared" si="26"/>
        <v>1900-01-00</v>
      </c>
      <c r="AO85" s="2" t="str">
        <f t="shared" si="27"/>
        <v/>
      </c>
      <c r="AP85" s="2" t="e">
        <f>VLOOKUP(C85,GLAPS정리!$AX$2:$AZ$17,3,0)</f>
        <v>#N/A</v>
      </c>
      <c r="AR85" s="2">
        <f t="shared" si="33"/>
        <v>0</v>
      </c>
      <c r="AX85" s="2" t="e">
        <f>VLOOKUP(L85,GLAPS정리!$V$3:$W$180,2,0)</f>
        <v>#N/A</v>
      </c>
      <c r="BM85" s="2" t="str">
        <f t="shared" si="28"/>
        <v xml:space="preserve"> </v>
      </c>
      <c r="BN85" s="2">
        <f t="shared" si="29"/>
        <v>1</v>
      </c>
      <c r="BR85" s="2" t="str">
        <f t="shared" si="30"/>
        <v/>
      </c>
      <c r="BS85" s="2" t="str">
        <f t="shared" si="31"/>
        <v/>
      </c>
      <c r="BV85" s="2" t="e">
        <f>VLOOKUP(O85,GLAPS정리!$BH$2:$BI$94,2,0)</f>
        <v>#N/A</v>
      </c>
      <c r="BW85" s="2" t="str">
        <f>IF(OR(Z85="동원",Z85="세방",Z85="한타"),"",IFERROR(INDEX(GLAPS정리!$BI$2:$BI$101,MATCH(Z85,GLAPS정리!$BH$2:$BH$101,0)),""))</f>
        <v/>
      </c>
      <c r="BX85" s="2" t="str">
        <f>IF(Z85="","",IFERROR(VLOOKUP(Z85,GLAPS정리!$AX$2:$AZ$17,3,0),""))</f>
        <v/>
      </c>
      <c r="BZ85" s="2" t="e">
        <f>VLOOKUP(H85,GLAPS정리!$L$3:$O$133,2,0)</f>
        <v>#N/A</v>
      </c>
      <c r="CA85" s="2" t="str">
        <f t="shared" si="32"/>
        <v/>
      </c>
      <c r="CL85" s="2" t="e">
        <f>VLOOKUP(AI85,GLAPS정리!$BT$3:$BV$26,3,0)</f>
        <v>#N/A</v>
      </c>
    </row>
    <row r="86" spans="2:90" ht="20.45" customHeight="1">
      <c r="B86" s="13"/>
      <c r="G86" s="3"/>
      <c r="J86" s="3"/>
      <c r="X86" s="13"/>
      <c r="Y86" s="13"/>
      <c r="Z86" s="91"/>
      <c r="AC86" s="2">
        <f t="shared" si="23"/>
        <v>20</v>
      </c>
      <c r="AD86" s="2" t="str">
        <f>IFERROR(INDEX(GLAPS정리!$D$2:$D$50,MATCH(I86,GLAPS정리!$A$2:$A$50,0)),IFERROR(INDEX(GLAPS정리!$D$2:$D$50,MATCH(I86,GLAPS정리!$B$2:$B$50,0)),""))</f>
        <v/>
      </c>
      <c r="AF86" s="2" t="str">
        <f t="shared" si="24"/>
        <v>KR10</v>
      </c>
      <c r="AI86" s="2" t="e">
        <f>VLOOKUP(F86,GLAPS정리!$G$3:$J$114,2,0)</f>
        <v>#N/A</v>
      </c>
      <c r="AJ86" s="2" t="e">
        <f>IF(Z86="울산정일","KRONS",IF(Z86="울산신항","KRUSN",IF(OR(Z86="선광종합물류(인천여객)",Z86="인천여객(인천여객)"),"KRINF",IF(OR(Z86="선광인천보세(인천신)",Z86="한진인천(인천신)",Z86="선광인천신항(인천신)",Z86="인천더로지스(인천신)"),"KRINN",IF(OR(Z86="인천진아(인천항)",Z86="인천E1(인천항)",Z86="인천SM경인터미널(인천항)",Z86="인천항(인천항)",Z86="인천우련(인천항)",Z86="인천항8부두(인천항)"),"KRINC",VLOOKUP(K86,GLAPS정리!$BB$2:$BC$33,2,0))))))</f>
        <v>#N/A</v>
      </c>
      <c r="AL86" s="2">
        <f t="shared" si="25"/>
        <v>5010001</v>
      </c>
      <c r="AN86" s="70" t="str">
        <f t="shared" si="26"/>
        <v>1900-01-00</v>
      </c>
      <c r="AO86" s="2" t="str">
        <f t="shared" si="27"/>
        <v/>
      </c>
      <c r="AP86" s="2" t="e">
        <f>VLOOKUP(C86,GLAPS정리!$AX$2:$AZ$17,3,0)</f>
        <v>#N/A</v>
      </c>
      <c r="AR86" s="2">
        <f t="shared" si="33"/>
        <v>0</v>
      </c>
      <c r="AX86" s="2" t="e">
        <f>VLOOKUP(L86,GLAPS정리!$V$3:$W$180,2,0)</f>
        <v>#N/A</v>
      </c>
      <c r="BM86" s="2" t="str">
        <f t="shared" si="28"/>
        <v xml:space="preserve"> </v>
      </c>
      <c r="BN86" s="2">
        <f t="shared" si="29"/>
        <v>1</v>
      </c>
      <c r="BR86" s="2" t="str">
        <f t="shared" si="30"/>
        <v/>
      </c>
      <c r="BS86" s="2" t="str">
        <f t="shared" si="31"/>
        <v/>
      </c>
      <c r="BV86" s="2" t="e">
        <f>VLOOKUP(O86,GLAPS정리!$BH$2:$BI$94,2,0)</f>
        <v>#N/A</v>
      </c>
      <c r="BW86" s="2" t="str">
        <f>IF(OR(Z86="동원",Z86="세방",Z86="한타"),"",IFERROR(INDEX(GLAPS정리!$BI$2:$BI$101,MATCH(Z86,GLAPS정리!$BH$2:$BH$101,0)),""))</f>
        <v/>
      </c>
      <c r="BX86" s="2" t="str">
        <f>IF(Z86="","",IFERROR(VLOOKUP(Z86,GLAPS정리!$AX$2:$AZ$17,3,0),""))</f>
        <v/>
      </c>
      <c r="BZ86" s="2" t="e">
        <f>VLOOKUP(H86,GLAPS정리!$L$3:$O$133,2,0)</f>
        <v>#N/A</v>
      </c>
      <c r="CA86" s="2" t="str">
        <f t="shared" si="32"/>
        <v/>
      </c>
      <c r="CL86" s="2" t="e">
        <f>VLOOKUP(AI86,GLAPS정리!$BT$3:$BV$26,3,0)</f>
        <v>#N/A</v>
      </c>
    </row>
    <row r="87" spans="2:90" ht="20.45" customHeight="1">
      <c r="B87" s="13"/>
      <c r="G87" s="3"/>
      <c r="J87" s="3"/>
      <c r="X87" s="13"/>
      <c r="Y87" s="13"/>
      <c r="Z87" s="91"/>
      <c r="AC87" s="2">
        <f t="shared" si="23"/>
        <v>20</v>
      </c>
      <c r="AD87" s="2" t="str">
        <f>IFERROR(INDEX(GLAPS정리!$D$2:$D$50,MATCH(I87,GLAPS정리!$A$2:$A$50,0)),IFERROR(INDEX(GLAPS정리!$D$2:$D$50,MATCH(I87,GLAPS정리!$B$2:$B$50,0)),""))</f>
        <v/>
      </c>
      <c r="AF87" s="2" t="str">
        <f t="shared" si="24"/>
        <v>KR10</v>
      </c>
      <c r="AI87" s="2" t="e">
        <f>VLOOKUP(F87,GLAPS정리!$G$3:$J$114,2,0)</f>
        <v>#N/A</v>
      </c>
      <c r="AJ87" s="2" t="e">
        <f>IF(Z87="울산정일","KRONS",IF(Z87="울산신항","KRUSN",IF(OR(Z87="선광종합물류(인천여객)",Z87="인천여객(인천여객)"),"KRINF",IF(OR(Z87="선광인천보세(인천신)",Z87="한진인천(인천신)",Z87="선광인천신항(인천신)",Z87="인천더로지스(인천신)"),"KRINN",IF(OR(Z87="인천진아(인천항)",Z87="인천E1(인천항)",Z87="인천SM경인터미널(인천항)",Z87="인천항(인천항)",Z87="인천우련(인천항)",Z87="인천항8부두(인천항)"),"KRINC",VLOOKUP(K87,GLAPS정리!$BB$2:$BC$33,2,0))))))</f>
        <v>#N/A</v>
      </c>
      <c r="AL87" s="2">
        <f t="shared" si="25"/>
        <v>5010001</v>
      </c>
      <c r="AN87" s="70" t="str">
        <f t="shared" si="26"/>
        <v>1900-01-00</v>
      </c>
      <c r="AO87" s="2" t="str">
        <f t="shared" si="27"/>
        <v/>
      </c>
      <c r="AP87" s="2" t="e">
        <f>VLOOKUP(C87,GLAPS정리!$AX$2:$AZ$17,3,0)</f>
        <v>#N/A</v>
      </c>
      <c r="AR87" s="2">
        <f t="shared" si="33"/>
        <v>0</v>
      </c>
      <c r="AX87" s="2" t="e">
        <f>VLOOKUP(L87,GLAPS정리!$V$3:$W$180,2,0)</f>
        <v>#N/A</v>
      </c>
      <c r="BM87" s="2" t="str">
        <f t="shared" si="28"/>
        <v xml:space="preserve"> </v>
      </c>
      <c r="BN87" s="2">
        <f t="shared" si="29"/>
        <v>1</v>
      </c>
      <c r="BR87" s="2" t="str">
        <f t="shared" si="30"/>
        <v/>
      </c>
      <c r="BS87" s="2" t="str">
        <f t="shared" si="31"/>
        <v/>
      </c>
      <c r="BV87" s="2" t="e">
        <f>VLOOKUP(O87,GLAPS정리!$BH$2:$BI$94,2,0)</f>
        <v>#N/A</v>
      </c>
      <c r="BW87" s="2" t="str">
        <f>IF(OR(Z87="동원",Z87="세방",Z87="한타"),"",IFERROR(INDEX(GLAPS정리!$BI$2:$BI$101,MATCH(Z87,GLAPS정리!$BH$2:$BH$101,0)),""))</f>
        <v/>
      </c>
      <c r="BX87" s="2" t="str">
        <f>IF(Z87="","",IFERROR(VLOOKUP(Z87,GLAPS정리!$AX$2:$AZ$17,3,0),""))</f>
        <v/>
      </c>
      <c r="BZ87" s="2" t="e">
        <f>VLOOKUP(H87,GLAPS정리!$L$3:$O$133,2,0)</f>
        <v>#N/A</v>
      </c>
      <c r="CA87" s="2" t="str">
        <f t="shared" si="32"/>
        <v/>
      </c>
      <c r="CL87" s="2" t="e">
        <f>VLOOKUP(AI87,GLAPS정리!$BT$3:$BV$26,3,0)</f>
        <v>#N/A</v>
      </c>
    </row>
    <row r="88" spans="2:90" ht="20.45" customHeight="1">
      <c r="B88" s="13"/>
      <c r="G88" s="3"/>
      <c r="J88" s="3"/>
      <c r="X88" s="13"/>
      <c r="Y88" s="13"/>
      <c r="Z88" s="91"/>
      <c r="AC88" s="2">
        <f t="shared" si="23"/>
        <v>20</v>
      </c>
      <c r="AD88" s="2" t="str">
        <f>IFERROR(INDEX(GLAPS정리!$D$2:$D$50,MATCH(I88,GLAPS정리!$A$2:$A$50,0)),IFERROR(INDEX(GLAPS정리!$D$2:$D$50,MATCH(I88,GLAPS정리!$B$2:$B$50,0)),""))</f>
        <v/>
      </c>
      <c r="AF88" s="2" t="str">
        <f t="shared" si="24"/>
        <v>KR10</v>
      </c>
      <c r="AI88" s="2" t="e">
        <f>VLOOKUP(F88,GLAPS정리!$G$3:$J$114,2,0)</f>
        <v>#N/A</v>
      </c>
      <c r="AJ88" s="2" t="e">
        <f>IF(Z88="울산정일","KRONS",IF(Z88="울산신항","KRUSN",IF(OR(Z88="선광종합물류(인천여객)",Z88="인천여객(인천여객)"),"KRINF",IF(OR(Z88="선광인천보세(인천신)",Z88="한진인천(인천신)",Z88="선광인천신항(인천신)",Z88="인천더로지스(인천신)"),"KRINN",IF(OR(Z88="인천진아(인천항)",Z88="인천E1(인천항)",Z88="인천SM경인터미널(인천항)",Z88="인천항(인천항)",Z88="인천우련(인천항)",Z88="인천항8부두(인천항)"),"KRINC",VLOOKUP(K88,GLAPS정리!$BB$2:$BC$33,2,0))))))</f>
        <v>#N/A</v>
      </c>
      <c r="AL88" s="2">
        <f t="shared" si="25"/>
        <v>5010001</v>
      </c>
      <c r="AN88" s="70" t="str">
        <f t="shared" si="26"/>
        <v>1900-01-00</v>
      </c>
      <c r="AO88" s="2" t="str">
        <f t="shared" si="27"/>
        <v/>
      </c>
      <c r="AP88" s="2" t="e">
        <f>VLOOKUP(C88,GLAPS정리!$AX$2:$AZ$17,3,0)</f>
        <v>#N/A</v>
      </c>
      <c r="AR88" s="2">
        <f t="shared" si="33"/>
        <v>0</v>
      </c>
      <c r="AX88" s="2" t="e">
        <f>VLOOKUP(L88,GLAPS정리!$V$3:$W$180,2,0)</f>
        <v>#N/A</v>
      </c>
      <c r="BM88" s="2" t="str">
        <f t="shared" si="28"/>
        <v xml:space="preserve"> </v>
      </c>
      <c r="BN88" s="2">
        <f t="shared" si="29"/>
        <v>1</v>
      </c>
      <c r="BR88" s="2" t="str">
        <f t="shared" si="30"/>
        <v/>
      </c>
      <c r="BS88" s="2" t="str">
        <f t="shared" si="31"/>
        <v/>
      </c>
      <c r="BV88" s="2" t="e">
        <f>VLOOKUP(O88,GLAPS정리!$BH$2:$BI$94,2,0)</f>
        <v>#N/A</v>
      </c>
      <c r="BW88" s="2" t="str">
        <f>IF(OR(Z88="동원",Z88="세방",Z88="한타"),"",IFERROR(INDEX(GLAPS정리!$BI$2:$BI$101,MATCH(Z88,GLAPS정리!$BH$2:$BH$101,0)),""))</f>
        <v/>
      </c>
      <c r="BX88" s="2" t="str">
        <f>IF(Z88="","",IFERROR(VLOOKUP(Z88,GLAPS정리!$AX$2:$AZ$17,3,0),""))</f>
        <v/>
      </c>
      <c r="BZ88" s="2" t="e">
        <f>VLOOKUP(H88,GLAPS정리!$L$3:$O$133,2,0)</f>
        <v>#N/A</v>
      </c>
      <c r="CA88" s="2" t="str">
        <f t="shared" si="32"/>
        <v/>
      </c>
      <c r="CL88" s="2" t="e">
        <f>VLOOKUP(AI88,GLAPS정리!$BT$3:$BV$26,3,0)</f>
        <v>#N/A</v>
      </c>
    </row>
    <row r="89" spans="2:90" ht="20.45" customHeight="1">
      <c r="B89" s="13"/>
      <c r="G89" s="3"/>
      <c r="J89" s="3"/>
      <c r="X89" s="13"/>
      <c r="Y89" s="13"/>
      <c r="Z89" s="91"/>
      <c r="AC89" s="2">
        <f t="shared" si="23"/>
        <v>20</v>
      </c>
      <c r="AD89" s="2" t="str">
        <f>IFERROR(INDEX(GLAPS정리!$D$2:$D$50,MATCH(I89,GLAPS정리!$A$2:$A$50,0)),IFERROR(INDEX(GLAPS정리!$D$2:$D$50,MATCH(I89,GLAPS정리!$B$2:$B$50,0)),""))</f>
        <v/>
      </c>
      <c r="AF89" s="2" t="str">
        <f t="shared" si="24"/>
        <v>KR10</v>
      </c>
      <c r="AI89" s="2" t="e">
        <f>VLOOKUP(F89,GLAPS정리!$G$3:$J$114,2,0)</f>
        <v>#N/A</v>
      </c>
      <c r="AJ89" s="2" t="e">
        <f>IF(Z89="울산정일","KRONS",IF(Z89="울산신항","KRUSN",IF(OR(Z89="선광종합물류(인천여객)",Z89="인천여객(인천여객)"),"KRINF",IF(OR(Z89="선광인천보세(인천신)",Z89="한진인천(인천신)",Z89="선광인천신항(인천신)",Z89="인천더로지스(인천신)"),"KRINN",IF(OR(Z89="인천진아(인천항)",Z89="인천E1(인천항)",Z89="인천SM경인터미널(인천항)",Z89="인천항(인천항)",Z89="인천우련(인천항)",Z89="인천항8부두(인천항)"),"KRINC",VLOOKUP(K89,GLAPS정리!$BB$2:$BC$33,2,0))))))</f>
        <v>#N/A</v>
      </c>
      <c r="AL89" s="2">
        <f t="shared" si="25"/>
        <v>5010001</v>
      </c>
      <c r="AN89" s="70" t="str">
        <f t="shared" si="26"/>
        <v>1900-01-00</v>
      </c>
      <c r="AO89" s="2" t="str">
        <f t="shared" si="27"/>
        <v/>
      </c>
      <c r="AP89" s="2" t="e">
        <f>VLOOKUP(C89,GLAPS정리!$AX$2:$AZ$17,3,0)</f>
        <v>#N/A</v>
      </c>
      <c r="AR89" s="2">
        <f t="shared" si="33"/>
        <v>0</v>
      </c>
      <c r="AX89" s="2" t="e">
        <f>VLOOKUP(L89,GLAPS정리!$V$3:$W$180,2,0)</f>
        <v>#N/A</v>
      </c>
      <c r="BM89" s="2" t="str">
        <f t="shared" si="28"/>
        <v xml:space="preserve"> </v>
      </c>
      <c r="BN89" s="2">
        <f t="shared" si="29"/>
        <v>1</v>
      </c>
      <c r="BR89" s="2" t="str">
        <f t="shared" si="30"/>
        <v/>
      </c>
      <c r="BS89" s="2" t="str">
        <f t="shared" si="31"/>
        <v/>
      </c>
      <c r="BV89" s="2" t="e">
        <f>VLOOKUP(O89,GLAPS정리!$BH$2:$BI$94,2,0)</f>
        <v>#N/A</v>
      </c>
      <c r="BW89" s="2" t="str">
        <f>IF(OR(Z89="동원",Z89="세방",Z89="한타"),"",IFERROR(INDEX(GLAPS정리!$BI$2:$BI$101,MATCH(Z89,GLAPS정리!$BH$2:$BH$101,0)),""))</f>
        <v/>
      </c>
      <c r="BX89" s="2" t="str">
        <f>IF(Z89="","",IFERROR(VLOOKUP(Z89,GLAPS정리!$AX$2:$AZ$17,3,0),""))</f>
        <v/>
      </c>
      <c r="BZ89" s="2" t="e">
        <f>VLOOKUP(H89,GLAPS정리!$L$3:$O$133,2,0)</f>
        <v>#N/A</v>
      </c>
      <c r="CA89" s="2" t="str">
        <f t="shared" si="32"/>
        <v/>
      </c>
      <c r="CL89" s="2" t="e">
        <f>VLOOKUP(AI89,GLAPS정리!$BT$3:$BV$26,3,0)</f>
        <v>#N/A</v>
      </c>
    </row>
    <row r="90" spans="2:90" ht="20.45" customHeight="1">
      <c r="B90" s="13"/>
      <c r="G90" s="3"/>
      <c r="J90" s="3"/>
      <c r="X90" s="13"/>
      <c r="Y90" s="13"/>
      <c r="Z90" s="91"/>
      <c r="AC90" s="2">
        <f t="shared" si="23"/>
        <v>20</v>
      </c>
      <c r="AD90" s="2" t="str">
        <f>IFERROR(INDEX(GLAPS정리!$D$2:$D$50,MATCH(I90,GLAPS정리!$A$2:$A$50,0)),IFERROR(INDEX(GLAPS정리!$D$2:$D$50,MATCH(I90,GLAPS정리!$B$2:$B$50,0)),""))</f>
        <v/>
      </c>
      <c r="AF90" s="2" t="str">
        <f t="shared" si="24"/>
        <v>KR10</v>
      </c>
      <c r="AI90" s="2" t="e">
        <f>VLOOKUP(F90,GLAPS정리!$G$3:$J$114,2,0)</f>
        <v>#N/A</v>
      </c>
      <c r="AJ90" s="2" t="e">
        <f>IF(Z90="울산정일","KRONS",IF(Z90="울산신항","KRUSN",IF(OR(Z90="선광종합물류(인천여객)",Z90="인천여객(인천여객)"),"KRINF",IF(OR(Z90="선광인천보세(인천신)",Z90="한진인천(인천신)",Z90="선광인천신항(인천신)",Z90="인천더로지스(인천신)"),"KRINN",IF(OR(Z90="인천진아(인천항)",Z90="인천E1(인천항)",Z90="인천SM경인터미널(인천항)",Z90="인천항(인천항)",Z90="인천우련(인천항)",Z90="인천항8부두(인천항)"),"KRINC",VLOOKUP(K90,GLAPS정리!$BB$2:$BC$33,2,0))))))</f>
        <v>#N/A</v>
      </c>
      <c r="AL90" s="2">
        <f t="shared" si="25"/>
        <v>5010001</v>
      </c>
      <c r="AN90" s="70" t="str">
        <f t="shared" si="26"/>
        <v>1900-01-00</v>
      </c>
      <c r="AO90" s="2" t="str">
        <f t="shared" si="27"/>
        <v/>
      </c>
      <c r="AP90" s="2" t="e">
        <f>VLOOKUP(C90,GLAPS정리!$AX$2:$AZ$17,3,0)</f>
        <v>#N/A</v>
      </c>
      <c r="AR90" s="2">
        <f t="shared" si="33"/>
        <v>0</v>
      </c>
      <c r="AX90" s="2" t="e">
        <f>VLOOKUP(L90,GLAPS정리!$V$3:$W$180,2,0)</f>
        <v>#N/A</v>
      </c>
      <c r="BM90" s="2" t="str">
        <f t="shared" si="28"/>
        <v xml:space="preserve"> </v>
      </c>
      <c r="BN90" s="2">
        <f t="shared" si="29"/>
        <v>1</v>
      </c>
      <c r="BR90" s="2" t="str">
        <f t="shared" si="30"/>
        <v/>
      </c>
      <c r="BS90" s="2" t="str">
        <f t="shared" si="31"/>
        <v/>
      </c>
      <c r="BV90" s="2" t="e">
        <f>VLOOKUP(O90,GLAPS정리!$BH$2:$BI$94,2,0)</f>
        <v>#N/A</v>
      </c>
      <c r="BW90" s="2" t="str">
        <f>IF(OR(Z90="동원",Z90="세방",Z90="한타"),"",IFERROR(INDEX(GLAPS정리!$BI$2:$BI$101,MATCH(Z90,GLAPS정리!$BH$2:$BH$101,0)),""))</f>
        <v/>
      </c>
      <c r="BX90" s="2" t="str">
        <f>IF(Z90="","",IFERROR(VLOOKUP(Z90,GLAPS정리!$AX$2:$AZ$17,3,0),""))</f>
        <v/>
      </c>
      <c r="BZ90" s="2" t="e">
        <f>VLOOKUP(H90,GLAPS정리!$L$3:$O$133,2,0)</f>
        <v>#N/A</v>
      </c>
      <c r="CA90" s="2" t="str">
        <f t="shared" si="32"/>
        <v/>
      </c>
      <c r="CL90" s="2" t="e">
        <f>VLOOKUP(AI90,GLAPS정리!$BT$3:$BV$26,3,0)</f>
        <v>#N/A</v>
      </c>
    </row>
    <row r="91" spans="2:90" ht="20.45" customHeight="1">
      <c r="B91" s="13"/>
      <c r="G91" s="3"/>
      <c r="J91" s="3"/>
      <c r="X91" s="13"/>
      <c r="Y91" s="13"/>
      <c r="Z91" s="91"/>
      <c r="AC91" s="2">
        <f t="shared" si="23"/>
        <v>20</v>
      </c>
      <c r="AD91" s="2" t="str">
        <f>IFERROR(INDEX(GLAPS정리!$D$2:$D$50,MATCH(I91,GLAPS정리!$A$2:$A$50,0)),IFERROR(INDEX(GLAPS정리!$D$2:$D$50,MATCH(I91,GLAPS정리!$B$2:$B$50,0)),""))</f>
        <v/>
      </c>
      <c r="AF91" s="2" t="str">
        <f t="shared" si="24"/>
        <v>KR10</v>
      </c>
      <c r="AI91" s="2" t="e">
        <f>VLOOKUP(F91,GLAPS정리!$G$3:$J$114,2,0)</f>
        <v>#N/A</v>
      </c>
      <c r="AJ91" s="2" t="e">
        <f>IF(Z91="울산정일","KRONS",IF(Z91="울산신항","KRUSN",IF(OR(Z91="선광종합물류(인천여객)",Z91="인천여객(인천여객)"),"KRINF",IF(OR(Z91="선광인천보세(인천신)",Z91="한진인천(인천신)",Z91="선광인천신항(인천신)",Z91="인천더로지스(인천신)"),"KRINN",IF(OR(Z91="인천진아(인천항)",Z91="인천E1(인천항)",Z91="인천SM경인터미널(인천항)",Z91="인천항(인천항)",Z91="인천우련(인천항)",Z91="인천항8부두(인천항)"),"KRINC",VLOOKUP(K91,GLAPS정리!$BB$2:$BC$33,2,0))))))</f>
        <v>#N/A</v>
      </c>
      <c r="AL91" s="2">
        <f t="shared" si="25"/>
        <v>5010001</v>
      </c>
      <c r="AN91" s="70" t="str">
        <f t="shared" si="26"/>
        <v>1900-01-00</v>
      </c>
      <c r="AO91" s="2" t="str">
        <f t="shared" si="27"/>
        <v/>
      </c>
      <c r="AP91" s="2" t="e">
        <f>VLOOKUP(C91,GLAPS정리!$AX$2:$AZ$17,3,0)</f>
        <v>#N/A</v>
      </c>
      <c r="AR91" s="2">
        <f t="shared" si="33"/>
        <v>0</v>
      </c>
      <c r="AX91" s="2" t="e">
        <f>VLOOKUP(L91,GLAPS정리!$V$3:$W$180,2,0)</f>
        <v>#N/A</v>
      </c>
      <c r="BM91" s="2" t="str">
        <f t="shared" si="28"/>
        <v xml:space="preserve"> </v>
      </c>
      <c r="BN91" s="2">
        <f t="shared" si="29"/>
        <v>1</v>
      </c>
      <c r="BR91" s="2" t="str">
        <f t="shared" si="30"/>
        <v/>
      </c>
      <c r="BS91" s="2" t="str">
        <f t="shared" si="31"/>
        <v/>
      </c>
      <c r="BV91" s="2" t="e">
        <f>VLOOKUP(O91,GLAPS정리!$BH$2:$BI$94,2,0)</f>
        <v>#N/A</v>
      </c>
      <c r="BW91" s="2" t="str">
        <f>IF(OR(Z91="동원",Z91="세방",Z91="한타"),"",IFERROR(INDEX(GLAPS정리!$BI$2:$BI$101,MATCH(Z91,GLAPS정리!$BH$2:$BH$101,0)),""))</f>
        <v/>
      </c>
      <c r="BX91" s="2" t="str">
        <f>IF(Z91="","",IFERROR(VLOOKUP(Z91,GLAPS정리!$AX$2:$AZ$17,3,0),""))</f>
        <v/>
      </c>
      <c r="BZ91" s="2" t="e">
        <f>VLOOKUP(H91,GLAPS정리!$L$3:$O$133,2,0)</f>
        <v>#N/A</v>
      </c>
      <c r="CA91" s="2" t="str">
        <f t="shared" si="32"/>
        <v/>
      </c>
      <c r="CL91" s="2" t="e">
        <f>VLOOKUP(AI91,GLAPS정리!$BT$3:$BV$26,3,0)</f>
        <v>#N/A</v>
      </c>
    </row>
    <row r="92" spans="2:90" ht="20.45" customHeight="1">
      <c r="B92" s="13"/>
      <c r="G92" s="3"/>
      <c r="J92" s="3"/>
      <c r="X92" s="13"/>
      <c r="Y92" s="13"/>
      <c r="Z92" s="91"/>
      <c r="AC92" s="2">
        <f t="shared" si="23"/>
        <v>20</v>
      </c>
      <c r="AD92" s="2" t="str">
        <f>IFERROR(INDEX(GLAPS정리!$D$2:$D$50,MATCH(I92,GLAPS정리!$A$2:$A$50,0)),IFERROR(INDEX(GLAPS정리!$D$2:$D$50,MATCH(I92,GLAPS정리!$B$2:$B$50,0)),""))</f>
        <v/>
      </c>
      <c r="AF92" s="2" t="str">
        <f t="shared" si="24"/>
        <v>KR10</v>
      </c>
      <c r="AI92" s="2" t="e">
        <f>VLOOKUP(F92,GLAPS정리!$G$3:$J$114,2,0)</f>
        <v>#N/A</v>
      </c>
      <c r="AJ92" s="2" t="e">
        <f>IF(Z92="울산정일","KRONS",IF(Z92="울산신항","KRUSN",IF(OR(Z92="선광종합물류(인천여객)",Z92="인천여객(인천여객)"),"KRINF",IF(OR(Z92="선광인천보세(인천신)",Z92="한진인천(인천신)",Z92="선광인천신항(인천신)",Z92="인천더로지스(인천신)"),"KRINN",IF(OR(Z92="인천진아(인천항)",Z92="인천E1(인천항)",Z92="인천SM경인터미널(인천항)",Z92="인천항(인천항)",Z92="인천우련(인천항)",Z92="인천항8부두(인천항)"),"KRINC",VLOOKUP(K92,GLAPS정리!$BB$2:$BC$33,2,0))))))</f>
        <v>#N/A</v>
      </c>
      <c r="AL92" s="2">
        <f t="shared" si="25"/>
        <v>5010001</v>
      </c>
      <c r="AN92" s="70" t="str">
        <f t="shared" si="26"/>
        <v>1900-01-00</v>
      </c>
      <c r="AO92" s="2" t="str">
        <f t="shared" si="27"/>
        <v/>
      </c>
      <c r="AP92" s="2" t="e">
        <f>VLOOKUP(C92,GLAPS정리!$AX$2:$AZ$17,3,0)</f>
        <v>#N/A</v>
      </c>
      <c r="AR92" s="2">
        <f t="shared" si="33"/>
        <v>0</v>
      </c>
      <c r="AX92" s="2" t="e">
        <f>VLOOKUP(L92,GLAPS정리!$V$3:$W$180,2,0)</f>
        <v>#N/A</v>
      </c>
      <c r="BM92" s="2" t="str">
        <f t="shared" si="28"/>
        <v xml:space="preserve"> </v>
      </c>
      <c r="BN92" s="2">
        <f t="shared" si="29"/>
        <v>1</v>
      </c>
      <c r="BR92" s="2" t="str">
        <f t="shared" si="30"/>
        <v/>
      </c>
      <c r="BS92" s="2" t="str">
        <f t="shared" si="31"/>
        <v/>
      </c>
      <c r="BV92" s="2" t="e">
        <f>VLOOKUP(O92,GLAPS정리!$BH$2:$BI$94,2,0)</f>
        <v>#N/A</v>
      </c>
      <c r="BW92" s="2" t="str">
        <f>IF(OR(Z92="동원",Z92="세방",Z92="한타"),"",IFERROR(INDEX(GLAPS정리!$BI$2:$BI$101,MATCH(Z92,GLAPS정리!$BH$2:$BH$101,0)),""))</f>
        <v/>
      </c>
      <c r="BX92" s="2" t="str">
        <f>IF(Z92="","",IFERROR(VLOOKUP(Z92,GLAPS정리!$AX$2:$AZ$17,3,0),""))</f>
        <v/>
      </c>
      <c r="BZ92" s="2" t="e">
        <f>VLOOKUP(H92,GLAPS정리!$L$3:$O$133,2,0)</f>
        <v>#N/A</v>
      </c>
      <c r="CA92" s="2" t="str">
        <f t="shared" si="32"/>
        <v/>
      </c>
      <c r="CL92" s="2" t="e">
        <f>VLOOKUP(AI92,GLAPS정리!$BT$3:$BV$26,3,0)</f>
        <v>#N/A</v>
      </c>
    </row>
    <row r="93" spans="2:90" ht="20.45" customHeight="1">
      <c r="B93" s="13"/>
      <c r="G93" s="3"/>
      <c r="J93" s="3"/>
      <c r="X93" s="13"/>
      <c r="Y93" s="13"/>
      <c r="Z93" s="91"/>
      <c r="AC93" s="2">
        <f t="shared" si="23"/>
        <v>20</v>
      </c>
      <c r="AD93" s="2" t="str">
        <f>IFERROR(INDEX(GLAPS정리!$D$2:$D$50,MATCH(I93,GLAPS정리!$A$2:$A$50,0)),IFERROR(INDEX(GLAPS정리!$D$2:$D$50,MATCH(I93,GLAPS정리!$B$2:$B$50,0)),""))</f>
        <v/>
      </c>
      <c r="AF93" s="2" t="str">
        <f t="shared" si="24"/>
        <v>KR10</v>
      </c>
      <c r="AI93" s="2" t="e">
        <f>VLOOKUP(F93,GLAPS정리!$G$3:$J$114,2,0)</f>
        <v>#N/A</v>
      </c>
      <c r="AJ93" s="2" t="e">
        <f>IF(Z93="울산정일","KRONS",IF(Z93="울산신항","KRUSN",IF(OR(Z93="선광종합물류(인천여객)",Z93="인천여객(인천여객)"),"KRINF",IF(OR(Z93="선광인천보세(인천신)",Z93="한진인천(인천신)",Z93="선광인천신항(인천신)",Z93="인천더로지스(인천신)"),"KRINN",IF(OR(Z93="인천진아(인천항)",Z93="인천E1(인천항)",Z93="인천SM경인터미널(인천항)",Z93="인천항(인천항)",Z93="인천우련(인천항)",Z93="인천항8부두(인천항)"),"KRINC",VLOOKUP(K93,GLAPS정리!$BB$2:$BC$33,2,0))))))</f>
        <v>#N/A</v>
      </c>
      <c r="AL93" s="2">
        <f t="shared" si="25"/>
        <v>5010001</v>
      </c>
      <c r="AN93" s="70" t="str">
        <f t="shared" si="26"/>
        <v>1900-01-00</v>
      </c>
      <c r="AO93" s="2" t="str">
        <f t="shared" si="27"/>
        <v/>
      </c>
      <c r="AP93" s="2" t="e">
        <f>VLOOKUP(C93,GLAPS정리!$AX$2:$AZ$17,3,0)</f>
        <v>#N/A</v>
      </c>
      <c r="AR93" s="2">
        <f t="shared" si="33"/>
        <v>0</v>
      </c>
      <c r="AX93" s="2" t="e">
        <f>VLOOKUP(L93,GLAPS정리!$V$3:$W$180,2,0)</f>
        <v>#N/A</v>
      </c>
      <c r="BM93" s="2" t="str">
        <f t="shared" si="28"/>
        <v xml:space="preserve"> </v>
      </c>
      <c r="BN93" s="2">
        <f t="shared" si="29"/>
        <v>1</v>
      </c>
      <c r="BR93" s="2" t="str">
        <f t="shared" si="30"/>
        <v/>
      </c>
      <c r="BS93" s="2" t="str">
        <f t="shared" si="31"/>
        <v/>
      </c>
      <c r="BV93" s="2" t="e">
        <f>VLOOKUP(O93,GLAPS정리!$BH$2:$BI$94,2,0)</f>
        <v>#N/A</v>
      </c>
      <c r="BW93" s="2" t="str">
        <f>IF(OR(Z93="동원",Z93="세방",Z93="한타"),"",IFERROR(INDEX(GLAPS정리!$BI$2:$BI$101,MATCH(Z93,GLAPS정리!$BH$2:$BH$101,0)),""))</f>
        <v/>
      </c>
      <c r="BX93" s="2" t="str">
        <f>IF(Z93="","",IFERROR(VLOOKUP(Z93,GLAPS정리!$AX$2:$AZ$17,3,0),""))</f>
        <v/>
      </c>
      <c r="BZ93" s="2" t="e">
        <f>VLOOKUP(H93,GLAPS정리!$L$3:$O$133,2,0)</f>
        <v>#N/A</v>
      </c>
      <c r="CA93" s="2" t="str">
        <f t="shared" si="32"/>
        <v/>
      </c>
      <c r="CL93" s="2" t="e">
        <f>VLOOKUP(AI93,GLAPS정리!$BT$3:$BV$26,3,0)</f>
        <v>#N/A</v>
      </c>
    </row>
    <row r="94" spans="2:90" ht="20.45" customHeight="1">
      <c r="B94" s="13"/>
      <c r="G94" s="3"/>
      <c r="J94" s="3"/>
      <c r="X94" s="13"/>
      <c r="Y94" s="13"/>
      <c r="Z94" s="91"/>
      <c r="AC94" s="2">
        <f t="shared" si="23"/>
        <v>20</v>
      </c>
      <c r="AD94" s="2" t="str">
        <f>IFERROR(INDEX(GLAPS정리!$D$2:$D$50,MATCH(I94,GLAPS정리!$A$2:$A$50,0)),IFERROR(INDEX(GLAPS정리!$D$2:$D$50,MATCH(I94,GLAPS정리!$B$2:$B$50,0)),""))</f>
        <v/>
      </c>
      <c r="AF94" s="2" t="str">
        <f t="shared" si="24"/>
        <v>KR10</v>
      </c>
      <c r="AI94" s="2" t="e">
        <f>VLOOKUP(F94,GLAPS정리!$G$3:$J$114,2,0)</f>
        <v>#N/A</v>
      </c>
      <c r="AJ94" s="2" t="e">
        <f>IF(Z94="울산정일","KRONS",IF(Z94="울산신항","KRUSN",IF(OR(Z94="선광종합물류(인천여객)",Z94="인천여객(인천여객)"),"KRINF",IF(OR(Z94="선광인천보세(인천신)",Z94="한진인천(인천신)",Z94="선광인천신항(인천신)",Z94="인천더로지스(인천신)"),"KRINN",IF(OR(Z94="인천진아(인천항)",Z94="인천E1(인천항)",Z94="인천SM경인터미널(인천항)",Z94="인천항(인천항)",Z94="인천우련(인천항)",Z94="인천항8부두(인천항)"),"KRINC",VLOOKUP(K94,GLAPS정리!$BB$2:$BC$33,2,0))))))</f>
        <v>#N/A</v>
      </c>
      <c r="AL94" s="2">
        <f t="shared" si="25"/>
        <v>5010001</v>
      </c>
      <c r="AN94" s="70" t="str">
        <f t="shared" si="26"/>
        <v>1900-01-00</v>
      </c>
      <c r="AO94" s="2" t="str">
        <f t="shared" si="27"/>
        <v/>
      </c>
      <c r="AP94" s="2" t="e">
        <f>VLOOKUP(C94,GLAPS정리!$AX$2:$AZ$17,3,0)</f>
        <v>#N/A</v>
      </c>
      <c r="AR94" s="2">
        <f t="shared" si="33"/>
        <v>0</v>
      </c>
      <c r="AX94" s="2" t="e">
        <f>VLOOKUP(L94,GLAPS정리!$V$3:$W$180,2,0)</f>
        <v>#N/A</v>
      </c>
      <c r="BM94" s="2" t="str">
        <f t="shared" si="28"/>
        <v xml:space="preserve"> </v>
      </c>
      <c r="BN94" s="2">
        <f t="shared" si="29"/>
        <v>1</v>
      </c>
      <c r="BR94" s="2" t="str">
        <f t="shared" si="30"/>
        <v/>
      </c>
      <c r="BS94" s="2" t="str">
        <f t="shared" si="31"/>
        <v/>
      </c>
      <c r="BV94" s="2" t="e">
        <f>VLOOKUP(O94,GLAPS정리!$BH$2:$BI$94,2,0)</f>
        <v>#N/A</v>
      </c>
      <c r="BW94" s="2" t="str">
        <f>IF(OR(Z94="동원",Z94="세방",Z94="한타"),"",IFERROR(INDEX(GLAPS정리!$BI$2:$BI$101,MATCH(Z94,GLAPS정리!$BH$2:$BH$101,0)),""))</f>
        <v/>
      </c>
      <c r="BX94" s="2" t="str">
        <f>IF(Z94="","",IFERROR(VLOOKUP(Z94,GLAPS정리!$AX$2:$AZ$17,3,0),""))</f>
        <v/>
      </c>
      <c r="BZ94" s="2" t="e">
        <f>VLOOKUP(H94,GLAPS정리!$L$3:$O$133,2,0)</f>
        <v>#N/A</v>
      </c>
      <c r="CA94" s="2" t="str">
        <f t="shared" si="32"/>
        <v/>
      </c>
      <c r="CL94" s="2" t="e">
        <f>VLOOKUP(AI94,GLAPS정리!$BT$3:$BV$26,3,0)</f>
        <v>#N/A</v>
      </c>
    </row>
    <row r="95" spans="2:90" ht="20.45" customHeight="1">
      <c r="B95" s="13"/>
      <c r="G95" s="3"/>
      <c r="J95" s="3"/>
      <c r="X95" s="13"/>
      <c r="Y95" s="13"/>
      <c r="Z95" s="91"/>
      <c r="AC95" s="2">
        <f t="shared" si="23"/>
        <v>20</v>
      </c>
      <c r="AD95" s="2" t="str">
        <f>IFERROR(INDEX(GLAPS정리!$D$2:$D$50,MATCH(I95,GLAPS정리!$A$2:$A$50,0)),IFERROR(INDEX(GLAPS정리!$D$2:$D$50,MATCH(I95,GLAPS정리!$B$2:$B$50,0)),""))</f>
        <v/>
      </c>
      <c r="AF95" s="2" t="str">
        <f t="shared" si="24"/>
        <v>KR10</v>
      </c>
      <c r="AI95" s="2" t="e">
        <f>VLOOKUP(F95,GLAPS정리!$G$3:$J$114,2,0)</f>
        <v>#N/A</v>
      </c>
      <c r="AJ95" s="2" t="e">
        <f>IF(Z95="울산정일","KRONS",IF(Z95="울산신항","KRUSN",IF(OR(Z95="선광종합물류(인천여객)",Z95="인천여객(인천여객)"),"KRINF",IF(OR(Z95="선광인천보세(인천신)",Z95="한진인천(인천신)",Z95="선광인천신항(인천신)",Z95="인천더로지스(인천신)"),"KRINN",IF(OR(Z95="인천진아(인천항)",Z95="인천E1(인천항)",Z95="인천SM경인터미널(인천항)",Z95="인천항(인천항)",Z95="인천우련(인천항)",Z95="인천항8부두(인천항)"),"KRINC",VLOOKUP(K95,GLAPS정리!$BB$2:$BC$33,2,0))))))</f>
        <v>#N/A</v>
      </c>
      <c r="AL95" s="2">
        <f t="shared" si="25"/>
        <v>5010001</v>
      </c>
      <c r="AN95" s="70" t="str">
        <f t="shared" si="26"/>
        <v>1900-01-00</v>
      </c>
      <c r="AO95" s="2" t="str">
        <f t="shared" si="27"/>
        <v/>
      </c>
      <c r="AP95" s="2" t="e">
        <f>VLOOKUP(C95,GLAPS정리!$AX$2:$AZ$17,3,0)</f>
        <v>#N/A</v>
      </c>
      <c r="AR95" s="2">
        <f t="shared" si="33"/>
        <v>0</v>
      </c>
      <c r="AX95" s="2" t="e">
        <f>VLOOKUP(L95,GLAPS정리!$V$3:$W$180,2,0)</f>
        <v>#N/A</v>
      </c>
      <c r="BM95" s="2" t="str">
        <f t="shared" si="28"/>
        <v xml:space="preserve"> </v>
      </c>
      <c r="BN95" s="2">
        <f t="shared" si="29"/>
        <v>1</v>
      </c>
      <c r="BR95" s="2" t="str">
        <f t="shared" si="30"/>
        <v/>
      </c>
      <c r="BS95" s="2" t="str">
        <f t="shared" si="31"/>
        <v/>
      </c>
      <c r="BV95" s="2" t="e">
        <f>VLOOKUP(O95,GLAPS정리!$BH$2:$BI$94,2,0)</f>
        <v>#N/A</v>
      </c>
      <c r="BW95" s="2" t="str">
        <f>IF(OR(Z95="동원",Z95="세방",Z95="한타"),"",IFERROR(INDEX(GLAPS정리!$BI$2:$BI$101,MATCH(Z95,GLAPS정리!$BH$2:$BH$101,0)),""))</f>
        <v/>
      </c>
      <c r="BX95" s="2" t="str">
        <f>IF(Z95="","",IFERROR(VLOOKUP(Z95,GLAPS정리!$AX$2:$AZ$17,3,0),""))</f>
        <v/>
      </c>
      <c r="BZ95" s="2" t="e">
        <f>VLOOKUP(H95,GLAPS정리!$L$3:$O$133,2,0)</f>
        <v>#N/A</v>
      </c>
      <c r="CA95" s="2" t="str">
        <f t="shared" si="32"/>
        <v/>
      </c>
      <c r="CL95" s="2" t="e">
        <f>VLOOKUP(AI95,GLAPS정리!$BT$3:$BV$26,3,0)</f>
        <v>#N/A</v>
      </c>
    </row>
    <row r="96" spans="2:90" ht="20.45" customHeight="1">
      <c r="B96" s="13"/>
      <c r="G96" s="3"/>
      <c r="J96" s="3"/>
      <c r="X96" s="13"/>
      <c r="Y96" s="13"/>
      <c r="Z96" s="91"/>
      <c r="AC96" s="2">
        <f t="shared" si="23"/>
        <v>20</v>
      </c>
      <c r="AD96" s="2" t="str">
        <f>IFERROR(INDEX(GLAPS정리!$D$2:$D$50,MATCH(I96,GLAPS정리!$A$2:$A$50,0)),IFERROR(INDEX(GLAPS정리!$D$2:$D$50,MATCH(I96,GLAPS정리!$B$2:$B$50,0)),""))</f>
        <v/>
      </c>
      <c r="AF96" s="2" t="str">
        <f t="shared" si="24"/>
        <v>KR10</v>
      </c>
      <c r="AI96" s="2" t="e">
        <f>VLOOKUP(F96,GLAPS정리!$G$3:$J$114,2,0)</f>
        <v>#N/A</v>
      </c>
      <c r="AJ96" s="2" t="e">
        <f>IF(Z96="울산정일","KRONS",IF(Z96="울산신항","KRUSN",IF(OR(Z96="선광종합물류(인천여객)",Z96="인천여객(인천여객)"),"KRINF",IF(OR(Z96="선광인천보세(인천신)",Z96="한진인천(인천신)",Z96="선광인천신항(인천신)",Z96="인천더로지스(인천신)"),"KRINN",IF(OR(Z96="인천진아(인천항)",Z96="인천E1(인천항)",Z96="인천SM경인터미널(인천항)",Z96="인천항(인천항)",Z96="인천우련(인천항)",Z96="인천항8부두(인천항)"),"KRINC",VLOOKUP(K96,GLAPS정리!$BB$2:$BC$33,2,0))))))</f>
        <v>#N/A</v>
      </c>
      <c r="AL96" s="2">
        <f t="shared" si="25"/>
        <v>5010001</v>
      </c>
      <c r="AN96" s="70" t="str">
        <f t="shared" si="26"/>
        <v>1900-01-00</v>
      </c>
      <c r="AO96" s="2" t="str">
        <f t="shared" si="27"/>
        <v/>
      </c>
      <c r="AP96" s="2" t="e">
        <f>VLOOKUP(C96,GLAPS정리!$AX$2:$AZ$17,3,0)</f>
        <v>#N/A</v>
      </c>
      <c r="AR96" s="2">
        <f t="shared" si="33"/>
        <v>0</v>
      </c>
      <c r="AX96" s="2" t="e">
        <f>VLOOKUP(L96,GLAPS정리!$V$3:$W$180,2,0)</f>
        <v>#N/A</v>
      </c>
      <c r="BM96" s="2" t="str">
        <f t="shared" si="28"/>
        <v xml:space="preserve"> </v>
      </c>
      <c r="BN96" s="2">
        <f t="shared" si="29"/>
        <v>1</v>
      </c>
      <c r="BR96" s="2" t="str">
        <f t="shared" si="30"/>
        <v/>
      </c>
      <c r="BS96" s="2" t="str">
        <f t="shared" si="31"/>
        <v/>
      </c>
      <c r="BV96" s="2" t="e">
        <f>VLOOKUP(O96,GLAPS정리!$BH$2:$BI$94,2,0)</f>
        <v>#N/A</v>
      </c>
      <c r="BW96" s="2" t="str">
        <f>IF(OR(Z96="동원",Z96="세방",Z96="한타"),"",IFERROR(INDEX(GLAPS정리!$BI$2:$BI$101,MATCH(Z96,GLAPS정리!$BH$2:$BH$101,0)),""))</f>
        <v/>
      </c>
      <c r="BX96" s="2" t="str">
        <f>IF(Z96="","",IFERROR(VLOOKUP(Z96,GLAPS정리!$AX$2:$AZ$17,3,0),""))</f>
        <v/>
      </c>
      <c r="BZ96" s="2" t="e">
        <f>VLOOKUP(H96,GLAPS정리!$L$3:$O$133,2,0)</f>
        <v>#N/A</v>
      </c>
      <c r="CA96" s="2" t="str">
        <f t="shared" si="32"/>
        <v/>
      </c>
      <c r="CL96" s="2" t="e">
        <f>VLOOKUP(AI96,GLAPS정리!$BT$3:$BV$26,3,0)</f>
        <v>#N/A</v>
      </c>
    </row>
    <row r="97" spans="2:90" ht="20.45" customHeight="1">
      <c r="B97" s="13"/>
      <c r="G97" s="3"/>
      <c r="J97" s="3"/>
      <c r="X97" s="13"/>
      <c r="Y97" s="13"/>
      <c r="Z97" s="91"/>
      <c r="AC97" s="2">
        <f t="shared" si="23"/>
        <v>20</v>
      </c>
      <c r="AD97" s="2" t="str">
        <f>IFERROR(INDEX(GLAPS정리!$D$2:$D$50,MATCH(I97,GLAPS정리!$A$2:$A$50,0)),IFERROR(INDEX(GLAPS정리!$D$2:$D$50,MATCH(I97,GLAPS정리!$B$2:$B$50,0)),""))</f>
        <v/>
      </c>
      <c r="AF97" s="2" t="str">
        <f t="shared" si="24"/>
        <v>KR10</v>
      </c>
      <c r="AI97" s="2" t="e">
        <f>VLOOKUP(F97,GLAPS정리!$G$3:$J$114,2,0)</f>
        <v>#N/A</v>
      </c>
      <c r="AJ97" s="2" t="e">
        <f>IF(Z97="울산정일","KRONS",IF(Z97="울산신항","KRUSN",IF(OR(Z97="선광종합물류(인천여객)",Z97="인천여객(인천여객)"),"KRINF",IF(OR(Z97="선광인천보세(인천신)",Z97="한진인천(인천신)",Z97="선광인천신항(인천신)",Z97="인천더로지스(인천신)"),"KRINN",IF(OR(Z97="인천진아(인천항)",Z97="인천E1(인천항)",Z97="인천SM경인터미널(인천항)",Z97="인천항(인천항)",Z97="인천우련(인천항)",Z97="인천항8부두(인천항)"),"KRINC",VLOOKUP(K97,GLAPS정리!$BB$2:$BC$33,2,0))))))</f>
        <v>#N/A</v>
      </c>
      <c r="AL97" s="2">
        <f t="shared" si="25"/>
        <v>5010001</v>
      </c>
      <c r="AN97" s="70" t="str">
        <f t="shared" si="26"/>
        <v>1900-01-00</v>
      </c>
      <c r="AO97" s="2" t="str">
        <f t="shared" si="27"/>
        <v/>
      </c>
      <c r="AP97" s="2" t="e">
        <f>VLOOKUP(C97,GLAPS정리!$AX$2:$AZ$17,3,0)</f>
        <v>#N/A</v>
      </c>
      <c r="AR97" s="2">
        <f t="shared" si="33"/>
        <v>0</v>
      </c>
      <c r="AX97" s="2" t="e">
        <f>VLOOKUP(L97,GLAPS정리!$V$3:$W$180,2,0)</f>
        <v>#N/A</v>
      </c>
      <c r="BM97" s="2" t="str">
        <f t="shared" si="28"/>
        <v xml:space="preserve"> </v>
      </c>
      <c r="BN97" s="2">
        <f t="shared" si="29"/>
        <v>1</v>
      </c>
      <c r="BR97" s="2" t="str">
        <f t="shared" si="30"/>
        <v/>
      </c>
      <c r="BS97" s="2" t="str">
        <f t="shared" si="31"/>
        <v/>
      </c>
      <c r="BV97" s="2" t="e">
        <f>VLOOKUP(O97,GLAPS정리!$BH$2:$BI$94,2,0)</f>
        <v>#N/A</v>
      </c>
      <c r="BW97" s="2" t="str">
        <f>IF(OR(Z97="동원",Z97="세방",Z97="한타"),"",IFERROR(INDEX(GLAPS정리!$BI$2:$BI$101,MATCH(Z97,GLAPS정리!$BH$2:$BH$101,0)),""))</f>
        <v/>
      </c>
      <c r="BX97" s="2" t="str">
        <f>IF(Z97="","",IFERROR(VLOOKUP(Z97,GLAPS정리!$AX$2:$AZ$17,3,0),""))</f>
        <v/>
      </c>
      <c r="BZ97" s="2" t="e">
        <f>VLOOKUP(H97,GLAPS정리!$L$3:$O$133,2,0)</f>
        <v>#N/A</v>
      </c>
      <c r="CA97" s="2" t="str">
        <f t="shared" si="32"/>
        <v/>
      </c>
      <c r="CL97" s="2" t="e">
        <f>VLOOKUP(AI97,GLAPS정리!$BT$3:$BV$26,3,0)</f>
        <v>#N/A</v>
      </c>
    </row>
    <row r="98" spans="2:90" ht="20.45" customHeight="1">
      <c r="B98" s="13"/>
      <c r="G98" s="3"/>
      <c r="J98" s="3"/>
      <c r="X98" s="13"/>
      <c r="Y98" s="13"/>
      <c r="Z98" s="91"/>
      <c r="AC98" s="2">
        <f t="shared" si="23"/>
        <v>20</v>
      </c>
      <c r="AD98" s="2" t="str">
        <f>IFERROR(INDEX(GLAPS정리!$D$2:$D$50,MATCH(I98,GLAPS정리!$A$2:$A$50,0)),IFERROR(INDEX(GLAPS정리!$D$2:$D$50,MATCH(I98,GLAPS정리!$B$2:$B$50,0)),""))</f>
        <v/>
      </c>
      <c r="AF98" s="2" t="str">
        <f t="shared" si="24"/>
        <v>KR10</v>
      </c>
      <c r="AI98" s="2" t="e">
        <f>VLOOKUP(F98,GLAPS정리!$G$3:$J$114,2,0)</f>
        <v>#N/A</v>
      </c>
      <c r="AJ98" s="2" t="e">
        <f>IF(Z98="울산정일","KRONS",IF(Z98="울산신항","KRUSN",IF(OR(Z98="선광종합물류(인천여객)",Z98="인천여객(인천여객)"),"KRINF",IF(OR(Z98="선광인천보세(인천신)",Z98="한진인천(인천신)",Z98="선광인천신항(인천신)",Z98="인천더로지스(인천신)"),"KRINN",IF(OR(Z98="인천진아(인천항)",Z98="인천E1(인천항)",Z98="인천SM경인터미널(인천항)",Z98="인천항(인천항)",Z98="인천우련(인천항)",Z98="인천항8부두(인천항)"),"KRINC",VLOOKUP(K98,GLAPS정리!$BB$2:$BC$33,2,0))))))</f>
        <v>#N/A</v>
      </c>
      <c r="AL98" s="2">
        <f t="shared" si="25"/>
        <v>5010001</v>
      </c>
      <c r="AN98" s="70" t="str">
        <f t="shared" si="26"/>
        <v>1900-01-00</v>
      </c>
      <c r="AO98" s="2" t="str">
        <f t="shared" si="27"/>
        <v/>
      </c>
      <c r="AP98" s="2" t="e">
        <f>VLOOKUP(C98,GLAPS정리!$AX$2:$AZ$17,3,0)</f>
        <v>#N/A</v>
      </c>
      <c r="AR98" s="2">
        <f t="shared" si="33"/>
        <v>0</v>
      </c>
      <c r="AX98" s="2" t="e">
        <f>VLOOKUP(L98,GLAPS정리!$V$3:$W$180,2,0)</f>
        <v>#N/A</v>
      </c>
      <c r="BM98" s="2" t="str">
        <f t="shared" si="28"/>
        <v xml:space="preserve"> </v>
      </c>
      <c r="BN98" s="2">
        <f t="shared" si="29"/>
        <v>1</v>
      </c>
      <c r="BR98" s="2" t="str">
        <f t="shared" si="30"/>
        <v/>
      </c>
      <c r="BS98" s="2" t="str">
        <f t="shared" si="31"/>
        <v/>
      </c>
      <c r="BV98" s="2" t="e">
        <f>VLOOKUP(O98,GLAPS정리!$BH$2:$BI$94,2,0)</f>
        <v>#N/A</v>
      </c>
      <c r="BW98" s="2" t="str">
        <f>IF(OR(Z98="동원",Z98="세방",Z98="한타"),"",IFERROR(INDEX(GLAPS정리!$BI$2:$BI$101,MATCH(Z98,GLAPS정리!$BH$2:$BH$101,0)),""))</f>
        <v/>
      </c>
      <c r="BX98" s="2" t="str">
        <f>IF(Z98="","",IFERROR(VLOOKUP(Z98,GLAPS정리!$AX$2:$AZ$17,3,0),""))</f>
        <v/>
      </c>
      <c r="BZ98" s="2" t="e">
        <f>VLOOKUP(H98,GLAPS정리!$L$3:$O$133,2,0)</f>
        <v>#N/A</v>
      </c>
      <c r="CA98" s="2" t="str">
        <f t="shared" si="32"/>
        <v/>
      </c>
      <c r="CL98" s="2" t="e">
        <f>VLOOKUP(AI98,GLAPS정리!$BT$3:$BV$26,3,0)</f>
        <v>#N/A</v>
      </c>
    </row>
    <row r="99" spans="2:90" ht="20.45" customHeight="1">
      <c r="B99" s="13"/>
      <c r="G99" s="3"/>
      <c r="J99" s="3"/>
      <c r="X99" s="13"/>
      <c r="Y99" s="13"/>
      <c r="Z99" s="91"/>
      <c r="AC99" s="2">
        <f t="shared" si="23"/>
        <v>20</v>
      </c>
      <c r="AD99" s="2" t="str">
        <f>IFERROR(INDEX(GLAPS정리!$D$2:$D$50,MATCH(I99,GLAPS정리!$A$2:$A$50,0)),IFERROR(INDEX(GLAPS정리!$D$2:$D$50,MATCH(I99,GLAPS정리!$B$2:$B$50,0)),""))</f>
        <v/>
      </c>
      <c r="AF99" s="2" t="str">
        <f t="shared" si="24"/>
        <v>KR10</v>
      </c>
      <c r="AI99" s="2" t="e">
        <f>VLOOKUP(F99,GLAPS정리!$G$3:$J$114,2,0)</f>
        <v>#N/A</v>
      </c>
      <c r="AJ99" s="2" t="e">
        <f>IF(Z99="울산정일","KRONS",IF(Z99="울산신항","KRUSN",IF(OR(Z99="선광종합물류(인천여객)",Z99="인천여객(인천여객)"),"KRINF",IF(OR(Z99="선광인천보세(인천신)",Z99="한진인천(인천신)",Z99="선광인천신항(인천신)",Z99="인천더로지스(인천신)"),"KRINN",IF(OR(Z99="인천진아(인천항)",Z99="인천E1(인천항)",Z99="인천SM경인터미널(인천항)",Z99="인천항(인천항)",Z99="인천우련(인천항)",Z99="인천항8부두(인천항)"),"KRINC",VLOOKUP(K99,GLAPS정리!$BB$2:$BC$33,2,0))))))</f>
        <v>#N/A</v>
      </c>
      <c r="AL99" s="2">
        <f t="shared" si="25"/>
        <v>5010001</v>
      </c>
      <c r="AN99" s="70" t="str">
        <f t="shared" si="26"/>
        <v>1900-01-00</v>
      </c>
      <c r="AO99" s="2" t="str">
        <f t="shared" si="27"/>
        <v/>
      </c>
      <c r="AP99" s="2" t="e">
        <f>VLOOKUP(C99,GLAPS정리!$AX$2:$AZ$17,3,0)</f>
        <v>#N/A</v>
      </c>
      <c r="AR99" s="2">
        <f t="shared" si="33"/>
        <v>0</v>
      </c>
      <c r="AX99" s="2" t="e">
        <f>VLOOKUP(L99,GLAPS정리!$V$3:$W$180,2,0)</f>
        <v>#N/A</v>
      </c>
      <c r="BM99" s="2" t="str">
        <f t="shared" si="28"/>
        <v xml:space="preserve"> </v>
      </c>
      <c r="BN99" s="2">
        <f t="shared" si="29"/>
        <v>1</v>
      </c>
      <c r="BR99" s="2" t="str">
        <f t="shared" si="30"/>
        <v/>
      </c>
      <c r="BS99" s="2" t="str">
        <f t="shared" si="31"/>
        <v/>
      </c>
      <c r="BV99" s="2" t="e">
        <f>VLOOKUP(O99,GLAPS정리!$BH$2:$BI$94,2,0)</f>
        <v>#N/A</v>
      </c>
      <c r="BW99" s="2" t="str">
        <f>IF(OR(Z99="동원",Z99="세방",Z99="한타"),"",IFERROR(INDEX(GLAPS정리!$BI$2:$BI$101,MATCH(Z99,GLAPS정리!$BH$2:$BH$101,0)),""))</f>
        <v/>
      </c>
      <c r="BX99" s="2" t="str">
        <f>IF(Z99="","",IFERROR(VLOOKUP(Z99,GLAPS정리!$AX$2:$AZ$17,3,0),""))</f>
        <v/>
      </c>
      <c r="BZ99" s="2" t="e">
        <f>VLOOKUP(H99,GLAPS정리!$L$3:$O$133,2,0)</f>
        <v>#N/A</v>
      </c>
      <c r="CA99" s="2" t="str">
        <f t="shared" si="32"/>
        <v/>
      </c>
      <c r="CL99" s="2" t="e">
        <f>VLOOKUP(AI99,GLAPS정리!$BT$3:$BV$26,3,0)</f>
        <v>#N/A</v>
      </c>
    </row>
    <row r="100" spans="2:90" ht="20.45" customHeight="1">
      <c r="B100" s="13"/>
      <c r="G100" s="3"/>
      <c r="J100" s="3"/>
      <c r="X100" s="13"/>
      <c r="Y100" s="13"/>
      <c r="Z100" s="91"/>
      <c r="AC100" s="2">
        <f t="shared" si="23"/>
        <v>20</v>
      </c>
      <c r="AD100" s="2" t="str">
        <f>IFERROR(INDEX(GLAPS정리!$D$2:$D$50,MATCH(I100,GLAPS정리!$A$2:$A$50,0)),IFERROR(INDEX(GLAPS정리!$D$2:$D$50,MATCH(I100,GLAPS정리!$B$2:$B$50,0)),""))</f>
        <v/>
      </c>
      <c r="AF100" s="2" t="str">
        <f t="shared" si="24"/>
        <v>KR10</v>
      </c>
      <c r="AI100" s="2" t="e">
        <f>VLOOKUP(F100,GLAPS정리!$G$3:$J$114,2,0)</f>
        <v>#N/A</v>
      </c>
      <c r="AJ100" s="2" t="e">
        <f>IF(Z100="울산정일","KRONS",IF(Z100="울산신항","KRUSN",IF(OR(Z100="선광종합물류(인천여객)",Z100="인천여객(인천여객)"),"KRINF",IF(OR(Z100="선광인천보세(인천신)",Z100="한진인천(인천신)",Z100="선광인천신항(인천신)",Z100="인천더로지스(인천신)"),"KRINN",IF(OR(Z100="인천진아(인천항)",Z100="인천E1(인천항)",Z100="인천SM경인터미널(인천항)",Z100="인천항(인천항)",Z100="인천우련(인천항)",Z100="인천항8부두(인천항)"),"KRINC",VLOOKUP(K100,GLAPS정리!$BB$2:$BC$33,2,0))))))</f>
        <v>#N/A</v>
      </c>
      <c r="AL100" s="2">
        <f t="shared" si="25"/>
        <v>5010001</v>
      </c>
      <c r="AN100" s="70" t="str">
        <f t="shared" si="26"/>
        <v>1900-01-00</v>
      </c>
      <c r="AO100" s="2" t="str">
        <f t="shared" si="27"/>
        <v/>
      </c>
      <c r="AP100" s="2" t="e">
        <f>VLOOKUP(C100,GLAPS정리!$AX$2:$AZ$17,3,0)</f>
        <v>#N/A</v>
      </c>
      <c r="AR100" s="2">
        <f t="shared" si="33"/>
        <v>0</v>
      </c>
      <c r="AX100" s="2" t="e">
        <f>VLOOKUP(L100,GLAPS정리!$V$3:$W$180,2,0)</f>
        <v>#N/A</v>
      </c>
      <c r="BM100" s="2" t="str">
        <f t="shared" si="28"/>
        <v xml:space="preserve"> </v>
      </c>
      <c r="BN100" s="2">
        <f t="shared" si="29"/>
        <v>1</v>
      </c>
      <c r="BR100" s="2" t="str">
        <f t="shared" si="30"/>
        <v/>
      </c>
      <c r="BS100" s="2" t="str">
        <f t="shared" si="31"/>
        <v/>
      </c>
      <c r="BV100" s="2" t="e">
        <f>VLOOKUP(O100,GLAPS정리!$BH$2:$BI$94,2,0)</f>
        <v>#N/A</v>
      </c>
      <c r="BW100" s="2" t="str">
        <f>IF(OR(Z100="동원",Z100="세방",Z100="한타"),"",IFERROR(INDEX(GLAPS정리!$BI$2:$BI$101,MATCH(Z100,GLAPS정리!$BH$2:$BH$101,0)),""))</f>
        <v/>
      </c>
      <c r="BX100" s="2" t="str">
        <f>IF(Z100="","",IFERROR(VLOOKUP(Z100,GLAPS정리!$AX$2:$AZ$17,3,0),""))</f>
        <v/>
      </c>
      <c r="BZ100" s="2" t="e">
        <f>VLOOKUP(H100,GLAPS정리!$L$3:$O$133,2,0)</f>
        <v>#N/A</v>
      </c>
      <c r="CA100" s="2" t="str">
        <f t="shared" si="32"/>
        <v/>
      </c>
      <c r="CL100" s="2" t="e">
        <f>VLOOKUP(AI100,GLAPS정리!$BT$3:$BV$26,3,0)</f>
        <v>#N/A</v>
      </c>
    </row>
    <row r="101" spans="2:90" ht="20.45" customHeight="1">
      <c r="B101" s="13"/>
      <c r="G101" s="3"/>
      <c r="J101" s="3"/>
      <c r="X101" s="13"/>
      <c r="Y101" s="13"/>
      <c r="Z101" s="91"/>
      <c r="AC101" s="2">
        <f t="shared" si="23"/>
        <v>20</v>
      </c>
      <c r="AD101" s="2" t="str">
        <f>IFERROR(INDEX(GLAPS정리!$D$2:$D$50,MATCH(I101,GLAPS정리!$A$2:$A$50,0)),IFERROR(INDEX(GLAPS정리!$D$2:$D$50,MATCH(I101,GLAPS정리!$B$2:$B$50,0)),""))</f>
        <v/>
      </c>
      <c r="AF101" s="2" t="str">
        <f t="shared" si="24"/>
        <v>KR10</v>
      </c>
      <c r="AI101" s="2" t="e">
        <f>VLOOKUP(F101,GLAPS정리!$G$3:$J$114,2,0)</f>
        <v>#N/A</v>
      </c>
      <c r="AJ101" s="2" t="e">
        <f>IF(Z101="울산정일","KRONS",IF(Z101="울산신항","KRUSN",IF(OR(Z101="선광종합물류(인천여객)",Z101="인천여객(인천여객)"),"KRINF",IF(OR(Z101="선광인천보세(인천신)",Z101="한진인천(인천신)",Z101="선광인천신항(인천신)",Z101="인천더로지스(인천신)"),"KRINN",IF(OR(Z101="인천진아(인천항)",Z101="인천E1(인천항)",Z101="인천SM경인터미널(인천항)",Z101="인천항(인천항)",Z101="인천우련(인천항)",Z101="인천항8부두(인천항)"),"KRINC",VLOOKUP(K101,GLAPS정리!$BB$2:$BC$33,2,0))))))</f>
        <v>#N/A</v>
      </c>
      <c r="AL101" s="2">
        <f t="shared" si="25"/>
        <v>5010001</v>
      </c>
      <c r="AN101" s="70" t="str">
        <f t="shared" si="26"/>
        <v>1900-01-00</v>
      </c>
      <c r="AO101" s="2" t="str">
        <f t="shared" si="27"/>
        <v/>
      </c>
      <c r="AP101" s="2" t="e">
        <f>VLOOKUP(C101,GLAPS정리!$AX$2:$AZ$17,3,0)</f>
        <v>#N/A</v>
      </c>
      <c r="AR101" s="2">
        <f t="shared" si="33"/>
        <v>0</v>
      </c>
      <c r="AX101" s="2" t="e">
        <f>VLOOKUP(L101,GLAPS정리!$V$3:$W$180,2,0)</f>
        <v>#N/A</v>
      </c>
      <c r="BM101" s="2" t="str">
        <f t="shared" si="28"/>
        <v xml:space="preserve"> </v>
      </c>
      <c r="BN101" s="2">
        <f t="shared" si="29"/>
        <v>1</v>
      </c>
      <c r="BR101" s="2" t="str">
        <f t="shared" si="30"/>
        <v/>
      </c>
      <c r="BS101" s="2" t="str">
        <f t="shared" si="31"/>
        <v/>
      </c>
      <c r="BV101" s="2" t="e">
        <f>VLOOKUP(O101,GLAPS정리!$BH$2:$BI$94,2,0)</f>
        <v>#N/A</v>
      </c>
      <c r="BW101" s="2" t="str">
        <f>IF(OR(Z101="동원",Z101="세방",Z101="한타"),"",IFERROR(INDEX(GLAPS정리!$BI$2:$BI$101,MATCH(Z101,GLAPS정리!$BH$2:$BH$101,0)),""))</f>
        <v/>
      </c>
      <c r="BX101" s="2" t="str">
        <f>IF(Z101="","",IFERROR(VLOOKUP(Z101,GLAPS정리!$AX$2:$AZ$17,3,0),""))</f>
        <v/>
      </c>
      <c r="BZ101" s="2" t="e">
        <f>VLOOKUP(H101,GLAPS정리!$L$3:$O$133,2,0)</f>
        <v>#N/A</v>
      </c>
      <c r="CA101" s="2" t="str">
        <f t="shared" si="32"/>
        <v/>
      </c>
      <c r="CL101" s="2" t="e">
        <f>VLOOKUP(AI101,GLAPS정리!$BT$3:$BV$26,3,0)</f>
        <v>#N/A</v>
      </c>
    </row>
    <row r="102" spans="2:90" ht="20.45" customHeight="1">
      <c r="B102" s="13"/>
      <c r="G102" s="3"/>
      <c r="J102" s="3"/>
      <c r="X102" s="13"/>
      <c r="Y102" s="13"/>
      <c r="Z102" s="91"/>
      <c r="AC102" s="2">
        <f t="shared" si="23"/>
        <v>20</v>
      </c>
      <c r="AD102" s="2" t="str">
        <f>IFERROR(INDEX(GLAPS정리!$D$2:$D$50,MATCH(I102,GLAPS정리!$A$2:$A$50,0)),IFERROR(INDEX(GLAPS정리!$D$2:$D$50,MATCH(I102,GLAPS정리!$B$2:$B$50,0)),""))</f>
        <v/>
      </c>
      <c r="AF102" s="2" t="str">
        <f t="shared" si="24"/>
        <v>KR10</v>
      </c>
      <c r="AI102" s="2" t="e">
        <f>VLOOKUP(F102,GLAPS정리!$G$3:$J$114,2,0)</f>
        <v>#N/A</v>
      </c>
      <c r="AJ102" s="2" t="e">
        <f>IF(Z102="울산정일","KRONS",IF(Z102="울산신항","KRUSN",IF(OR(Z102="선광종합물류(인천여객)",Z102="인천여객(인천여객)"),"KRINF",IF(OR(Z102="선광인천보세(인천신)",Z102="한진인천(인천신)",Z102="선광인천신항(인천신)",Z102="인천더로지스(인천신)"),"KRINN",IF(OR(Z102="인천진아(인천항)",Z102="인천E1(인천항)",Z102="인천SM경인터미널(인천항)",Z102="인천항(인천항)",Z102="인천우련(인천항)",Z102="인천항8부두(인천항)"),"KRINC",VLOOKUP(K102,GLAPS정리!$BB$2:$BC$33,2,0))))))</f>
        <v>#N/A</v>
      </c>
      <c r="AL102" s="2">
        <f t="shared" si="25"/>
        <v>5010001</v>
      </c>
      <c r="AN102" s="70" t="str">
        <f t="shared" si="26"/>
        <v>1900-01-00</v>
      </c>
      <c r="AO102" s="2" t="str">
        <f t="shared" si="27"/>
        <v/>
      </c>
      <c r="AP102" s="2" t="e">
        <f>VLOOKUP(C102,GLAPS정리!$AX$2:$AZ$17,3,0)</f>
        <v>#N/A</v>
      </c>
      <c r="AR102" s="2">
        <f t="shared" si="33"/>
        <v>0</v>
      </c>
      <c r="AX102" s="2" t="e">
        <f>VLOOKUP(L102,GLAPS정리!$V$3:$W$180,2,0)</f>
        <v>#N/A</v>
      </c>
      <c r="BM102" s="2" t="str">
        <f t="shared" si="28"/>
        <v xml:space="preserve"> </v>
      </c>
      <c r="BN102" s="2">
        <f t="shared" si="29"/>
        <v>1</v>
      </c>
      <c r="BR102" s="2" t="str">
        <f t="shared" si="30"/>
        <v/>
      </c>
      <c r="BS102" s="2" t="str">
        <f t="shared" si="31"/>
        <v/>
      </c>
      <c r="BV102" s="2" t="e">
        <f>VLOOKUP(O102,GLAPS정리!$BH$2:$BI$94,2,0)</f>
        <v>#N/A</v>
      </c>
      <c r="BW102" s="2" t="str">
        <f>IF(OR(Z102="동원",Z102="세방",Z102="한타"),"",IFERROR(INDEX(GLAPS정리!$BI$2:$BI$101,MATCH(Z102,GLAPS정리!$BH$2:$BH$101,0)),""))</f>
        <v/>
      </c>
      <c r="BX102" s="2" t="str">
        <f>IF(Z102="","",IFERROR(VLOOKUP(Z102,GLAPS정리!$AX$2:$AZ$17,3,0),""))</f>
        <v/>
      </c>
      <c r="BZ102" s="2" t="e">
        <f>VLOOKUP(H102,GLAPS정리!$L$3:$O$133,2,0)</f>
        <v>#N/A</v>
      </c>
      <c r="CA102" s="2" t="str">
        <f t="shared" si="32"/>
        <v/>
      </c>
      <c r="CL102" s="2" t="e">
        <f>VLOOKUP(AI102,GLAPS정리!$BT$3:$BV$26,3,0)</f>
        <v>#N/A</v>
      </c>
    </row>
    <row r="103" spans="2:90" ht="20.45" customHeight="1">
      <c r="B103" s="13"/>
      <c r="G103" s="3"/>
      <c r="J103" s="3"/>
      <c r="X103" s="13"/>
      <c r="Y103" s="13"/>
      <c r="Z103" s="91"/>
      <c r="AC103" s="2">
        <f t="shared" si="23"/>
        <v>20</v>
      </c>
      <c r="AD103" s="2" t="str">
        <f>IFERROR(INDEX(GLAPS정리!$D$2:$D$50,MATCH(I103,GLAPS정리!$A$2:$A$50,0)),IFERROR(INDEX(GLAPS정리!$D$2:$D$50,MATCH(I103,GLAPS정리!$B$2:$B$50,0)),""))</f>
        <v/>
      </c>
      <c r="AF103" s="2" t="str">
        <f t="shared" si="24"/>
        <v>KR10</v>
      </c>
      <c r="AI103" s="2" t="e">
        <f>VLOOKUP(F103,GLAPS정리!$G$3:$J$114,2,0)</f>
        <v>#N/A</v>
      </c>
      <c r="AJ103" s="2" t="e">
        <f>IF(Z103="울산정일","KRONS",IF(Z103="울산신항","KRUSN",IF(OR(Z103="선광종합물류(인천여객)",Z103="인천여객(인천여객)"),"KRINF",IF(OR(Z103="선광인천보세(인천신)",Z103="한진인천(인천신)",Z103="선광인천신항(인천신)",Z103="인천더로지스(인천신)"),"KRINN",IF(OR(Z103="인천진아(인천항)",Z103="인천E1(인천항)",Z103="인천SM경인터미널(인천항)",Z103="인천항(인천항)",Z103="인천우련(인천항)",Z103="인천항8부두(인천항)"),"KRINC",VLOOKUP(K103,GLAPS정리!$BB$2:$BC$33,2,0))))))</f>
        <v>#N/A</v>
      </c>
      <c r="AL103" s="2">
        <f t="shared" si="25"/>
        <v>5010001</v>
      </c>
      <c r="AN103" s="70" t="str">
        <f t="shared" si="26"/>
        <v>1900-01-00</v>
      </c>
      <c r="AO103" s="2" t="str">
        <f t="shared" si="27"/>
        <v/>
      </c>
      <c r="AP103" s="2" t="e">
        <f>VLOOKUP(C103,GLAPS정리!$AX$2:$AZ$17,3,0)</f>
        <v>#N/A</v>
      </c>
      <c r="AR103" s="2">
        <f t="shared" si="33"/>
        <v>0</v>
      </c>
      <c r="AX103" s="2" t="e">
        <f>VLOOKUP(L103,GLAPS정리!$V$3:$W$180,2,0)</f>
        <v>#N/A</v>
      </c>
      <c r="BM103" s="2" t="str">
        <f t="shared" si="28"/>
        <v xml:space="preserve"> </v>
      </c>
      <c r="BN103" s="2">
        <f t="shared" si="29"/>
        <v>1</v>
      </c>
      <c r="BR103" s="2" t="str">
        <f t="shared" si="30"/>
        <v/>
      </c>
      <c r="BS103" s="2" t="str">
        <f t="shared" si="31"/>
        <v/>
      </c>
      <c r="BV103" s="2" t="e">
        <f>VLOOKUP(O103,GLAPS정리!$BH$2:$BI$94,2,0)</f>
        <v>#N/A</v>
      </c>
      <c r="BW103" s="2" t="str">
        <f>IF(OR(Z103="동원",Z103="세방",Z103="한타"),"",IFERROR(INDEX(GLAPS정리!$BI$2:$BI$101,MATCH(Z103,GLAPS정리!$BH$2:$BH$101,0)),""))</f>
        <v/>
      </c>
      <c r="BX103" s="2" t="str">
        <f>IF(Z103="","",IFERROR(VLOOKUP(Z103,GLAPS정리!$AX$2:$AZ$17,3,0),""))</f>
        <v/>
      </c>
      <c r="BZ103" s="2" t="e">
        <f>VLOOKUP(H103,GLAPS정리!$L$3:$O$133,2,0)</f>
        <v>#N/A</v>
      </c>
      <c r="CA103" s="2" t="str">
        <f t="shared" si="32"/>
        <v/>
      </c>
      <c r="CL103" s="2" t="e">
        <f>VLOOKUP(AI103,GLAPS정리!$BT$3:$BV$26,3,0)</f>
        <v>#N/A</v>
      </c>
    </row>
    <row r="104" spans="2:90" ht="20.45" customHeight="1">
      <c r="B104" s="13"/>
      <c r="G104" s="3"/>
      <c r="J104" s="3"/>
      <c r="X104" s="13"/>
      <c r="Y104" s="13"/>
      <c r="Z104" s="91"/>
      <c r="AC104" s="2">
        <f t="shared" si="23"/>
        <v>20</v>
      </c>
      <c r="AD104" s="2" t="str">
        <f>IFERROR(INDEX(GLAPS정리!$D$2:$D$50,MATCH(I104,GLAPS정리!$A$2:$A$50,0)),IFERROR(INDEX(GLAPS정리!$D$2:$D$50,MATCH(I104,GLAPS정리!$B$2:$B$50,0)),""))</f>
        <v/>
      </c>
      <c r="AF104" s="2" t="str">
        <f t="shared" si="24"/>
        <v>KR10</v>
      </c>
      <c r="AI104" s="2" t="e">
        <f>VLOOKUP(F104,GLAPS정리!$G$3:$J$114,2,0)</f>
        <v>#N/A</v>
      </c>
      <c r="AJ104" s="2" t="e">
        <f>IF(Z104="울산정일","KRONS",IF(Z104="울산신항","KRUSN",IF(OR(Z104="선광종합물류(인천여객)",Z104="인천여객(인천여객)"),"KRINF",IF(OR(Z104="선광인천보세(인천신)",Z104="한진인천(인천신)",Z104="선광인천신항(인천신)",Z104="인천더로지스(인천신)"),"KRINN",IF(OR(Z104="인천진아(인천항)",Z104="인천E1(인천항)",Z104="인천SM경인터미널(인천항)",Z104="인천항(인천항)",Z104="인천우련(인천항)",Z104="인천항8부두(인천항)"),"KRINC",VLOOKUP(K104,GLAPS정리!$BB$2:$BC$33,2,0))))))</f>
        <v>#N/A</v>
      </c>
      <c r="AL104" s="2">
        <f t="shared" si="25"/>
        <v>5010001</v>
      </c>
      <c r="AN104" s="70" t="str">
        <f t="shared" si="26"/>
        <v>1900-01-00</v>
      </c>
      <c r="AO104" s="2" t="str">
        <f t="shared" si="27"/>
        <v/>
      </c>
      <c r="AP104" s="2" t="e">
        <f>VLOOKUP(C104,GLAPS정리!$AX$2:$AZ$17,3,0)</f>
        <v>#N/A</v>
      </c>
      <c r="AR104" s="2">
        <f t="shared" si="33"/>
        <v>0</v>
      </c>
      <c r="AX104" s="2" t="e">
        <f>VLOOKUP(L104,GLAPS정리!$V$3:$W$180,2,0)</f>
        <v>#N/A</v>
      </c>
      <c r="BM104" s="2" t="str">
        <f t="shared" si="28"/>
        <v xml:space="preserve"> </v>
      </c>
      <c r="BN104" s="2">
        <f t="shared" si="29"/>
        <v>1</v>
      </c>
      <c r="BR104" s="2" t="str">
        <f t="shared" si="30"/>
        <v/>
      </c>
      <c r="BS104" s="2" t="str">
        <f t="shared" si="31"/>
        <v/>
      </c>
      <c r="BV104" s="2" t="e">
        <f>VLOOKUP(O104,GLAPS정리!$BH$2:$BI$94,2,0)</f>
        <v>#N/A</v>
      </c>
      <c r="BW104" s="2" t="str">
        <f>IF(OR(Z104="동원",Z104="세방",Z104="한타"),"",IFERROR(INDEX(GLAPS정리!$BI$2:$BI$101,MATCH(Z104,GLAPS정리!$BH$2:$BH$101,0)),""))</f>
        <v/>
      </c>
      <c r="BX104" s="2" t="str">
        <f>IF(Z104="","",IFERROR(VLOOKUP(Z104,GLAPS정리!$AX$2:$AZ$17,3,0),""))</f>
        <v/>
      </c>
      <c r="BZ104" s="2" t="e">
        <f>VLOOKUP(H104,GLAPS정리!$L$3:$O$133,2,0)</f>
        <v>#N/A</v>
      </c>
      <c r="CA104" s="2" t="str">
        <f t="shared" si="32"/>
        <v/>
      </c>
      <c r="CL104" s="2" t="e">
        <f>VLOOKUP(AI104,GLAPS정리!$BT$3:$BV$26,3,0)</f>
        <v>#N/A</v>
      </c>
    </row>
    <row r="105" spans="2:90" ht="20.45" customHeight="1">
      <c r="B105" s="13"/>
      <c r="G105" s="3"/>
      <c r="J105" s="3"/>
      <c r="X105" s="13"/>
      <c r="Y105" s="13"/>
      <c r="Z105" s="91"/>
      <c r="AC105" s="2">
        <f t="shared" si="23"/>
        <v>20</v>
      </c>
      <c r="AD105" s="2" t="str">
        <f>IFERROR(INDEX(GLAPS정리!$D$2:$D$50,MATCH(I105,GLAPS정리!$A$2:$A$50,0)),IFERROR(INDEX(GLAPS정리!$D$2:$D$50,MATCH(I105,GLAPS정리!$B$2:$B$50,0)),""))</f>
        <v/>
      </c>
      <c r="AF105" s="2" t="str">
        <f t="shared" si="24"/>
        <v>KR10</v>
      </c>
      <c r="AI105" s="2" t="e">
        <f>VLOOKUP(F105,GLAPS정리!$G$3:$J$114,2,0)</f>
        <v>#N/A</v>
      </c>
      <c r="AJ105" s="2" t="e">
        <f>IF(Z105="울산정일","KRONS",IF(Z105="울산신항","KRUSN",IF(OR(Z105="선광종합물류(인천여객)",Z105="인천여객(인천여객)"),"KRINF",IF(OR(Z105="선광인천보세(인천신)",Z105="한진인천(인천신)",Z105="선광인천신항(인천신)",Z105="인천더로지스(인천신)"),"KRINN",IF(OR(Z105="인천진아(인천항)",Z105="인천E1(인천항)",Z105="인천SM경인터미널(인천항)",Z105="인천항(인천항)",Z105="인천우련(인천항)",Z105="인천항8부두(인천항)"),"KRINC",VLOOKUP(K105,GLAPS정리!$BB$2:$BC$33,2,0))))))</f>
        <v>#N/A</v>
      </c>
      <c r="AL105" s="2">
        <f t="shared" si="25"/>
        <v>5010001</v>
      </c>
      <c r="AN105" s="70" t="str">
        <f t="shared" si="26"/>
        <v>1900-01-00</v>
      </c>
      <c r="AO105" s="2" t="str">
        <f t="shared" si="27"/>
        <v/>
      </c>
      <c r="AP105" s="2" t="e">
        <f>VLOOKUP(C105,GLAPS정리!$AX$2:$AZ$17,3,0)</f>
        <v>#N/A</v>
      </c>
      <c r="AR105" s="2">
        <f t="shared" si="33"/>
        <v>0</v>
      </c>
      <c r="AX105" s="2" t="e">
        <f>VLOOKUP(L105,GLAPS정리!$V$3:$W$180,2,0)</f>
        <v>#N/A</v>
      </c>
      <c r="BM105" s="2" t="str">
        <f t="shared" si="28"/>
        <v xml:space="preserve"> </v>
      </c>
      <c r="BN105" s="2">
        <f t="shared" si="29"/>
        <v>1</v>
      </c>
      <c r="BR105" s="2" t="str">
        <f t="shared" si="30"/>
        <v/>
      </c>
      <c r="BS105" s="2" t="str">
        <f t="shared" si="31"/>
        <v/>
      </c>
      <c r="BV105" s="2" t="e">
        <f>VLOOKUP(O105,GLAPS정리!$BH$2:$BI$94,2,0)</f>
        <v>#N/A</v>
      </c>
      <c r="BW105" s="2" t="str">
        <f>IF(OR(Z105="동원",Z105="세방",Z105="한타"),"",IFERROR(INDEX(GLAPS정리!$BI$2:$BI$101,MATCH(Z105,GLAPS정리!$BH$2:$BH$101,0)),""))</f>
        <v/>
      </c>
      <c r="BX105" s="2" t="str">
        <f>IF(Z105="","",IFERROR(VLOOKUP(Z105,GLAPS정리!$AX$2:$AZ$17,3,0),""))</f>
        <v/>
      </c>
      <c r="BZ105" s="2" t="e">
        <f>VLOOKUP(H105,GLAPS정리!$L$3:$O$133,2,0)</f>
        <v>#N/A</v>
      </c>
      <c r="CA105" s="2" t="str">
        <f t="shared" si="32"/>
        <v/>
      </c>
      <c r="CL105" s="2" t="e">
        <f>VLOOKUP(AI105,GLAPS정리!$BT$3:$BV$26,3,0)</f>
        <v>#N/A</v>
      </c>
    </row>
    <row r="106" spans="2:90" ht="20.45" customHeight="1">
      <c r="B106" s="13"/>
      <c r="G106" s="3"/>
      <c r="J106" s="3"/>
      <c r="X106" s="13"/>
      <c r="Y106" s="13"/>
      <c r="Z106" s="91"/>
      <c r="AC106" s="2">
        <f t="shared" si="23"/>
        <v>20</v>
      </c>
      <c r="AD106" s="2" t="str">
        <f>IFERROR(INDEX(GLAPS정리!$D$2:$D$50,MATCH(I106,GLAPS정리!$A$2:$A$50,0)),IFERROR(INDEX(GLAPS정리!$D$2:$D$50,MATCH(I106,GLAPS정리!$B$2:$B$50,0)),""))</f>
        <v/>
      </c>
      <c r="AF106" s="2" t="str">
        <f t="shared" si="24"/>
        <v>KR10</v>
      </c>
      <c r="AI106" s="2" t="e">
        <f>VLOOKUP(F106,GLAPS정리!$G$3:$J$114,2,0)</f>
        <v>#N/A</v>
      </c>
      <c r="AJ106" s="2" t="e">
        <f>IF(Z106="울산정일","KRONS",IF(Z106="울산신항","KRUSN",IF(OR(Z106="선광종합물류(인천여객)",Z106="인천여객(인천여객)"),"KRINF",IF(OR(Z106="선광인천보세(인천신)",Z106="한진인천(인천신)",Z106="선광인천신항(인천신)",Z106="인천더로지스(인천신)"),"KRINN",IF(OR(Z106="인천진아(인천항)",Z106="인천E1(인천항)",Z106="인천SM경인터미널(인천항)",Z106="인천항(인천항)",Z106="인천우련(인천항)",Z106="인천항8부두(인천항)"),"KRINC",VLOOKUP(K106,GLAPS정리!$BB$2:$BC$33,2,0))))))</f>
        <v>#N/A</v>
      </c>
      <c r="AL106" s="2">
        <f t="shared" si="25"/>
        <v>5010001</v>
      </c>
      <c r="AN106" s="70" t="str">
        <f t="shared" si="26"/>
        <v>1900-01-00</v>
      </c>
      <c r="AO106" s="2" t="str">
        <f t="shared" si="27"/>
        <v/>
      </c>
      <c r="AP106" s="2" t="e">
        <f>VLOOKUP(C106,GLAPS정리!$AX$2:$AZ$17,3,0)</f>
        <v>#N/A</v>
      </c>
      <c r="AR106" s="2">
        <f t="shared" si="33"/>
        <v>0</v>
      </c>
      <c r="AX106" s="2" t="e">
        <f>VLOOKUP(L106,GLAPS정리!$V$3:$W$180,2,0)</f>
        <v>#N/A</v>
      </c>
      <c r="BM106" s="2" t="str">
        <f t="shared" si="28"/>
        <v xml:space="preserve"> </v>
      </c>
      <c r="BN106" s="2">
        <f t="shared" si="29"/>
        <v>1</v>
      </c>
      <c r="BR106" s="2" t="str">
        <f t="shared" si="30"/>
        <v/>
      </c>
      <c r="BS106" s="2" t="str">
        <f t="shared" si="31"/>
        <v/>
      </c>
      <c r="BV106" s="2" t="e">
        <f>VLOOKUP(O106,GLAPS정리!$BH$2:$BI$94,2,0)</f>
        <v>#N/A</v>
      </c>
      <c r="BW106" s="2" t="str">
        <f>IF(OR(Z106="동원",Z106="세방",Z106="한타"),"",IFERROR(INDEX(GLAPS정리!$BI$2:$BI$101,MATCH(Z106,GLAPS정리!$BH$2:$BH$101,0)),""))</f>
        <v/>
      </c>
      <c r="BX106" s="2" t="str">
        <f>IF(Z106="","",IFERROR(VLOOKUP(Z106,GLAPS정리!$AX$2:$AZ$17,3,0),""))</f>
        <v/>
      </c>
      <c r="BZ106" s="2" t="e">
        <f>VLOOKUP(H106,GLAPS정리!$L$3:$O$133,2,0)</f>
        <v>#N/A</v>
      </c>
      <c r="CA106" s="2" t="str">
        <f t="shared" si="32"/>
        <v/>
      </c>
      <c r="CL106" s="2" t="e">
        <f>VLOOKUP(AI106,GLAPS정리!$BT$3:$BV$26,3,0)</f>
        <v>#N/A</v>
      </c>
    </row>
    <row r="107" spans="2:90" ht="20.45" customHeight="1">
      <c r="B107" s="13"/>
      <c r="G107" s="3"/>
      <c r="J107" s="3"/>
      <c r="X107" s="13"/>
      <c r="Y107" s="13"/>
      <c r="Z107" s="91"/>
      <c r="AC107" s="2">
        <f t="shared" si="23"/>
        <v>20</v>
      </c>
      <c r="AD107" s="2" t="str">
        <f>IFERROR(INDEX(GLAPS정리!$D$2:$D$50,MATCH(I107,GLAPS정리!$A$2:$A$50,0)),IFERROR(INDEX(GLAPS정리!$D$2:$D$50,MATCH(I107,GLAPS정리!$B$2:$B$50,0)),""))</f>
        <v/>
      </c>
      <c r="AF107" s="2" t="str">
        <f t="shared" si="24"/>
        <v>KR10</v>
      </c>
      <c r="AI107" s="2" t="e">
        <f>VLOOKUP(F107,GLAPS정리!$G$3:$J$114,2,0)</f>
        <v>#N/A</v>
      </c>
      <c r="AJ107" s="2" t="e">
        <f>IF(Z107="울산정일","KRONS",IF(Z107="울산신항","KRUSN",IF(OR(Z107="선광종합물류(인천여객)",Z107="인천여객(인천여객)"),"KRINF",IF(OR(Z107="선광인천보세(인천신)",Z107="한진인천(인천신)",Z107="선광인천신항(인천신)",Z107="인천더로지스(인천신)"),"KRINN",IF(OR(Z107="인천진아(인천항)",Z107="인천E1(인천항)",Z107="인천SM경인터미널(인천항)",Z107="인천항(인천항)",Z107="인천우련(인천항)",Z107="인천항8부두(인천항)"),"KRINC",VLOOKUP(K107,GLAPS정리!$BB$2:$BC$33,2,0))))))</f>
        <v>#N/A</v>
      </c>
      <c r="AL107" s="2">
        <f t="shared" si="25"/>
        <v>5010001</v>
      </c>
      <c r="AN107" s="70" t="str">
        <f t="shared" si="26"/>
        <v>1900-01-00</v>
      </c>
      <c r="AO107" s="2" t="str">
        <f t="shared" si="27"/>
        <v/>
      </c>
      <c r="AP107" s="2" t="e">
        <f>VLOOKUP(C107,GLAPS정리!$AX$2:$AZ$17,3,0)</f>
        <v>#N/A</v>
      </c>
      <c r="AR107" s="2">
        <f t="shared" si="33"/>
        <v>0</v>
      </c>
      <c r="AX107" s="2" t="e">
        <f>VLOOKUP(L107,GLAPS정리!$V$3:$W$180,2,0)</f>
        <v>#N/A</v>
      </c>
      <c r="BM107" s="2" t="str">
        <f t="shared" si="28"/>
        <v xml:space="preserve"> </v>
      </c>
      <c r="BN107" s="2">
        <f t="shared" si="29"/>
        <v>1</v>
      </c>
      <c r="BR107" s="2" t="str">
        <f t="shared" si="30"/>
        <v/>
      </c>
      <c r="BS107" s="2" t="str">
        <f t="shared" si="31"/>
        <v/>
      </c>
      <c r="BV107" s="2" t="e">
        <f>VLOOKUP(O107,GLAPS정리!$BH$2:$BI$94,2,0)</f>
        <v>#N/A</v>
      </c>
      <c r="BW107" s="2" t="str">
        <f>IF(OR(Z107="동원",Z107="세방",Z107="한타"),"",IFERROR(INDEX(GLAPS정리!$BI$2:$BI$101,MATCH(Z107,GLAPS정리!$BH$2:$BH$101,0)),""))</f>
        <v/>
      </c>
      <c r="BX107" s="2" t="str">
        <f>IF(Z107="","",IFERROR(VLOOKUP(Z107,GLAPS정리!$AX$2:$AZ$17,3,0),""))</f>
        <v/>
      </c>
      <c r="BZ107" s="2" t="e">
        <f>VLOOKUP(H107,GLAPS정리!$L$3:$O$133,2,0)</f>
        <v>#N/A</v>
      </c>
      <c r="CA107" s="2" t="str">
        <f t="shared" si="32"/>
        <v/>
      </c>
      <c r="CL107" s="2" t="e">
        <f>VLOOKUP(AI107,GLAPS정리!$BT$3:$BV$26,3,0)</f>
        <v>#N/A</v>
      </c>
    </row>
    <row r="108" spans="2:90" ht="20.45" customHeight="1">
      <c r="B108" s="13"/>
      <c r="G108" s="3"/>
      <c r="J108" s="3"/>
      <c r="X108" s="13"/>
      <c r="Y108" s="13"/>
      <c r="Z108" s="91"/>
      <c r="AC108" s="2">
        <f t="shared" si="23"/>
        <v>20</v>
      </c>
      <c r="AD108" s="2" t="str">
        <f>IFERROR(INDEX(GLAPS정리!$D$2:$D$50,MATCH(I108,GLAPS정리!$A$2:$A$50,0)),IFERROR(INDEX(GLAPS정리!$D$2:$D$50,MATCH(I108,GLAPS정리!$B$2:$B$50,0)),""))</f>
        <v/>
      </c>
      <c r="AF108" s="2" t="str">
        <f t="shared" si="24"/>
        <v>KR10</v>
      </c>
      <c r="AI108" s="2" t="e">
        <f>VLOOKUP(F108,GLAPS정리!$G$3:$J$114,2,0)</f>
        <v>#N/A</v>
      </c>
      <c r="AJ108" s="2" t="e">
        <f>IF(Z108="울산정일","KRONS",IF(Z108="울산신항","KRUSN",IF(OR(Z108="선광종합물류(인천여객)",Z108="인천여객(인천여객)"),"KRINF",IF(OR(Z108="선광인천보세(인천신)",Z108="한진인천(인천신)",Z108="선광인천신항(인천신)",Z108="인천더로지스(인천신)"),"KRINN",IF(OR(Z108="인천진아(인천항)",Z108="인천E1(인천항)",Z108="인천SM경인터미널(인천항)",Z108="인천항(인천항)",Z108="인천우련(인천항)",Z108="인천항8부두(인천항)"),"KRINC",VLOOKUP(K108,GLAPS정리!$BB$2:$BC$33,2,0))))))</f>
        <v>#N/A</v>
      </c>
      <c r="AL108" s="2">
        <f t="shared" si="25"/>
        <v>5010001</v>
      </c>
      <c r="AN108" s="70" t="str">
        <f t="shared" si="26"/>
        <v>1900-01-00</v>
      </c>
      <c r="AO108" s="2" t="str">
        <f t="shared" si="27"/>
        <v/>
      </c>
      <c r="AP108" s="2" t="e">
        <f>VLOOKUP(C108,GLAPS정리!$AX$2:$AZ$17,3,0)</f>
        <v>#N/A</v>
      </c>
      <c r="AR108" s="2">
        <f t="shared" si="33"/>
        <v>0</v>
      </c>
      <c r="AX108" s="2" t="e">
        <f>VLOOKUP(L108,GLAPS정리!$V$3:$W$180,2,0)</f>
        <v>#N/A</v>
      </c>
      <c r="BM108" s="2" t="str">
        <f t="shared" si="28"/>
        <v xml:space="preserve"> </v>
      </c>
      <c r="BN108" s="2">
        <f t="shared" si="29"/>
        <v>1</v>
      </c>
      <c r="BR108" s="2" t="str">
        <f t="shared" si="30"/>
        <v/>
      </c>
      <c r="BS108" s="2" t="str">
        <f t="shared" si="31"/>
        <v/>
      </c>
      <c r="BV108" s="2" t="e">
        <f>VLOOKUP(O108,GLAPS정리!$BH$2:$BI$94,2,0)</f>
        <v>#N/A</v>
      </c>
      <c r="BW108" s="2" t="str">
        <f>IF(OR(Z108="동원",Z108="세방",Z108="한타"),"",IFERROR(INDEX(GLAPS정리!$BI$2:$BI$101,MATCH(Z108,GLAPS정리!$BH$2:$BH$101,0)),""))</f>
        <v/>
      </c>
      <c r="BX108" s="2" t="str">
        <f>IF(Z108="","",IFERROR(VLOOKUP(Z108,GLAPS정리!$AX$2:$AZ$17,3,0),""))</f>
        <v/>
      </c>
      <c r="BZ108" s="2" t="e">
        <f>VLOOKUP(H108,GLAPS정리!$L$3:$O$133,2,0)</f>
        <v>#N/A</v>
      </c>
      <c r="CA108" s="2" t="str">
        <f t="shared" si="32"/>
        <v/>
      </c>
      <c r="CL108" s="2" t="e">
        <f>VLOOKUP(AI108,GLAPS정리!$BT$3:$BV$26,3,0)</f>
        <v>#N/A</v>
      </c>
    </row>
    <row r="109" spans="2:90" ht="20.45" customHeight="1">
      <c r="B109" s="13"/>
      <c r="G109" s="3"/>
      <c r="J109" s="3"/>
      <c r="X109" s="13"/>
      <c r="Y109" s="13"/>
      <c r="Z109" s="91"/>
      <c r="AC109" s="2">
        <f t="shared" si="23"/>
        <v>20</v>
      </c>
      <c r="AD109" s="2" t="str">
        <f>IFERROR(INDEX(GLAPS정리!$D$2:$D$50,MATCH(I109,GLAPS정리!$A$2:$A$50,0)),IFERROR(INDEX(GLAPS정리!$D$2:$D$50,MATCH(I109,GLAPS정리!$B$2:$B$50,0)),""))</f>
        <v/>
      </c>
      <c r="AF109" s="2" t="str">
        <f t="shared" si="24"/>
        <v>KR10</v>
      </c>
      <c r="AI109" s="2" t="e">
        <f>VLOOKUP(F109,GLAPS정리!$G$3:$J$114,2,0)</f>
        <v>#N/A</v>
      </c>
      <c r="AJ109" s="2" t="e">
        <f>IF(Z109="울산정일","KRONS",IF(Z109="울산신항","KRUSN",IF(OR(Z109="선광종합물류(인천여객)",Z109="인천여객(인천여객)"),"KRINF",IF(OR(Z109="선광인천보세(인천신)",Z109="한진인천(인천신)",Z109="선광인천신항(인천신)",Z109="인천더로지스(인천신)"),"KRINN",IF(OR(Z109="인천진아(인천항)",Z109="인천E1(인천항)",Z109="인천SM경인터미널(인천항)",Z109="인천항(인천항)",Z109="인천우련(인천항)",Z109="인천항8부두(인천항)"),"KRINC",VLOOKUP(K109,GLAPS정리!$BB$2:$BC$33,2,0))))))</f>
        <v>#N/A</v>
      </c>
      <c r="AL109" s="2">
        <f t="shared" si="25"/>
        <v>5010001</v>
      </c>
      <c r="AN109" s="70" t="str">
        <f t="shared" si="26"/>
        <v>1900-01-00</v>
      </c>
      <c r="AO109" s="2" t="str">
        <f t="shared" si="27"/>
        <v/>
      </c>
      <c r="AP109" s="2" t="e">
        <f>VLOOKUP(C109,GLAPS정리!$AX$2:$AZ$17,3,0)</f>
        <v>#N/A</v>
      </c>
      <c r="AR109" s="2">
        <f t="shared" si="33"/>
        <v>0</v>
      </c>
      <c r="AX109" s="2" t="e">
        <f>VLOOKUP(L109,GLAPS정리!$V$3:$W$180,2,0)</f>
        <v>#N/A</v>
      </c>
      <c r="BM109" s="2" t="str">
        <f t="shared" si="28"/>
        <v xml:space="preserve"> </v>
      </c>
      <c r="BN109" s="2">
        <f t="shared" si="29"/>
        <v>1</v>
      </c>
      <c r="BR109" s="2" t="str">
        <f t="shared" si="30"/>
        <v/>
      </c>
      <c r="BS109" s="2" t="str">
        <f t="shared" si="31"/>
        <v/>
      </c>
      <c r="BV109" s="2" t="e">
        <f>VLOOKUP(O109,GLAPS정리!$BH$2:$BI$94,2,0)</f>
        <v>#N/A</v>
      </c>
      <c r="BW109" s="2" t="str">
        <f>IF(OR(Z109="동원",Z109="세방",Z109="한타"),"",IFERROR(INDEX(GLAPS정리!$BI$2:$BI$101,MATCH(Z109,GLAPS정리!$BH$2:$BH$101,0)),""))</f>
        <v/>
      </c>
      <c r="BX109" s="2" t="str">
        <f>IF(Z109="","",IFERROR(VLOOKUP(Z109,GLAPS정리!$AX$2:$AZ$17,3,0),""))</f>
        <v/>
      </c>
      <c r="BZ109" s="2" t="e">
        <f>VLOOKUP(H109,GLAPS정리!$L$3:$O$133,2,0)</f>
        <v>#N/A</v>
      </c>
      <c r="CA109" s="2" t="str">
        <f t="shared" si="32"/>
        <v/>
      </c>
      <c r="CL109" s="2" t="e">
        <f>VLOOKUP(AI109,GLAPS정리!$BT$3:$BV$26,3,0)</f>
        <v>#N/A</v>
      </c>
    </row>
    <row r="110" spans="2:90" ht="20.45" customHeight="1">
      <c r="B110" s="13"/>
      <c r="G110" s="3"/>
      <c r="J110" s="3"/>
      <c r="X110" s="13"/>
      <c r="Y110" s="13"/>
      <c r="Z110" s="91"/>
      <c r="AC110" s="2">
        <f t="shared" si="23"/>
        <v>20</v>
      </c>
      <c r="AD110" s="2" t="str">
        <f>IFERROR(INDEX(GLAPS정리!$D$2:$D$50,MATCH(I110,GLAPS정리!$A$2:$A$50,0)),IFERROR(INDEX(GLAPS정리!$D$2:$D$50,MATCH(I110,GLAPS정리!$B$2:$B$50,0)),""))</f>
        <v/>
      </c>
      <c r="AF110" s="2" t="str">
        <f t="shared" si="24"/>
        <v>KR10</v>
      </c>
      <c r="AI110" s="2" t="e">
        <f>VLOOKUP(F110,GLAPS정리!$G$3:$J$114,2,0)</f>
        <v>#N/A</v>
      </c>
      <c r="AJ110" s="2" t="e">
        <f>IF(Z110="울산정일","KRONS",IF(Z110="울산신항","KRUSN",IF(OR(Z110="선광종합물류(인천여객)",Z110="인천여객(인천여객)"),"KRINF",IF(OR(Z110="선광인천보세(인천신)",Z110="한진인천(인천신)",Z110="선광인천신항(인천신)",Z110="인천더로지스(인천신)"),"KRINN",IF(OR(Z110="인천진아(인천항)",Z110="인천E1(인천항)",Z110="인천SM경인터미널(인천항)",Z110="인천항(인천항)",Z110="인천우련(인천항)",Z110="인천항8부두(인천항)"),"KRINC",VLOOKUP(K110,GLAPS정리!$BB$2:$BC$33,2,0))))))</f>
        <v>#N/A</v>
      </c>
      <c r="AL110" s="2">
        <f t="shared" si="25"/>
        <v>5010001</v>
      </c>
      <c r="AN110" s="70" t="str">
        <f t="shared" si="26"/>
        <v>1900-01-00</v>
      </c>
      <c r="AO110" s="2" t="str">
        <f t="shared" si="27"/>
        <v/>
      </c>
      <c r="AP110" s="2" t="e">
        <f>VLOOKUP(C110,GLAPS정리!$AX$2:$AZ$17,3,0)</f>
        <v>#N/A</v>
      </c>
      <c r="AR110" s="2">
        <f t="shared" si="33"/>
        <v>0</v>
      </c>
      <c r="AX110" s="2" t="e">
        <f>VLOOKUP(L110,GLAPS정리!$V$3:$W$180,2,0)</f>
        <v>#N/A</v>
      </c>
      <c r="BM110" s="2" t="str">
        <f t="shared" si="28"/>
        <v xml:space="preserve"> </v>
      </c>
      <c r="BN110" s="2">
        <f t="shared" si="29"/>
        <v>1</v>
      </c>
      <c r="BR110" s="2" t="str">
        <f t="shared" si="30"/>
        <v/>
      </c>
      <c r="BS110" s="2" t="str">
        <f t="shared" si="31"/>
        <v/>
      </c>
      <c r="BV110" s="2" t="e">
        <f>VLOOKUP(O110,GLAPS정리!$BH$2:$BI$94,2,0)</f>
        <v>#N/A</v>
      </c>
      <c r="BW110" s="2" t="str">
        <f>IF(OR(Z110="동원",Z110="세방",Z110="한타"),"",IFERROR(INDEX(GLAPS정리!$BI$2:$BI$101,MATCH(Z110,GLAPS정리!$BH$2:$BH$101,0)),""))</f>
        <v/>
      </c>
      <c r="BX110" s="2" t="str">
        <f>IF(Z110="","",IFERROR(VLOOKUP(Z110,GLAPS정리!$AX$2:$AZ$17,3,0),""))</f>
        <v/>
      </c>
      <c r="BZ110" s="2" t="e">
        <f>VLOOKUP(H110,GLAPS정리!$L$3:$O$133,2,0)</f>
        <v>#N/A</v>
      </c>
      <c r="CA110" s="2" t="str">
        <f t="shared" si="32"/>
        <v/>
      </c>
      <c r="CL110" s="2" t="e">
        <f>VLOOKUP(AI110,GLAPS정리!$BT$3:$BV$26,3,0)</f>
        <v>#N/A</v>
      </c>
    </row>
    <row r="111" spans="2:90" ht="20.45" customHeight="1">
      <c r="B111" s="13"/>
      <c r="G111" s="3"/>
      <c r="J111" s="3"/>
      <c r="X111" s="13"/>
      <c r="Y111" s="13"/>
      <c r="Z111" s="91"/>
      <c r="AC111" s="2">
        <f t="shared" si="23"/>
        <v>20</v>
      </c>
      <c r="AD111" s="2" t="str">
        <f>IFERROR(INDEX(GLAPS정리!$D$2:$D$50,MATCH(I111,GLAPS정리!$A$2:$A$50,0)),IFERROR(INDEX(GLAPS정리!$D$2:$D$50,MATCH(I111,GLAPS정리!$B$2:$B$50,0)),""))</f>
        <v/>
      </c>
      <c r="AF111" s="2" t="str">
        <f t="shared" si="24"/>
        <v>KR10</v>
      </c>
      <c r="AI111" s="2" t="e">
        <f>VLOOKUP(F111,GLAPS정리!$G$3:$J$114,2,0)</f>
        <v>#N/A</v>
      </c>
      <c r="AJ111" s="2" t="e">
        <f>IF(Z111="울산정일","KRONS",IF(Z111="울산신항","KRUSN",IF(OR(Z111="선광종합물류(인천여객)",Z111="인천여객(인천여객)"),"KRINF",IF(OR(Z111="선광인천보세(인천신)",Z111="한진인천(인천신)",Z111="선광인천신항(인천신)",Z111="인천더로지스(인천신)"),"KRINN",IF(OR(Z111="인천진아(인천항)",Z111="인천E1(인천항)",Z111="인천SM경인터미널(인천항)",Z111="인천항(인천항)",Z111="인천우련(인천항)",Z111="인천항8부두(인천항)"),"KRINC",VLOOKUP(K111,GLAPS정리!$BB$2:$BC$33,2,0))))))</f>
        <v>#N/A</v>
      </c>
      <c r="AL111" s="2">
        <f t="shared" si="25"/>
        <v>5010001</v>
      </c>
      <c r="AN111" s="70" t="str">
        <f t="shared" si="26"/>
        <v>1900-01-00</v>
      </c>
      <c r="AO111" s="2" t="str">
        <f t="shared" si="27"/>
        <v/>
      </c>
      <c r="AP111" s="2" t="e">
        <f>VLOOKUP(C111,GLAPS정리!$AX$2:$AZ$17,3,0)</f>
        <v>#N/A</v>
      </c>
      <c r="AR111" s="2">
        <f t="shared" si="33"/>
        <v>0</v>
      </c>
      <c r="AX111" s="2" t="e">
        <f>VLOOKUP(L111,GLAPS정리!$V$3:$W$180,2,0)</f>
        <v>#N/A</v>
      </c>
      <c r="BM111" s="2" t="str">
        <f t="shared" si="28"/>
        <v xml:space="preserve"> </v>
      </c>
      <c r="BN111" s="2">
        <f t="shared" si="29"/>
        <v>1</v>
      </c>
      <c r="BR111" s="2" t="str">
        <f t="shared" si="30"/>
        <v/>
      </c>
      <c r="BS111" s="2" t="str">
        <f t="shared" si="31"/>
        <v/>
      </c>
      <c r="BV111" s="2" t="e">
        <f>VLOOKUP(O111,GLAPS정리!$BH$2:$BI$94,2,0)</f>
        <v>#N/A</v>
      </c>
      <c r="BW111" s="2" t="str">
        <f>IF(OR(Z111="동원",Z111="세방",Z111="한타"),"",IFERROR(INDEX(GLAPS정리!$BI$2:$BI$101,MATCH(Z111,GLAPS정리!$BH$2:$BH$101,0)),""))</f>
        <v/>
      </c>
      <c r="BX111" s="2" t="str">
        <f>IF(Z111="","",IFERROR(VLOOKUP(Z111,GLAPS정리!$AX$2:$AZ$17,3,0),""))</f>
        <v/>
      </c>
      <c r="BZ111" s="2" t="e">
        <f>VLOOKUP(H111,GLAPS정리!$L$3:$O$133,2,0)</f>
        <v>#N/A</v>
      </c>
      <c r="CA111" s="2" t="str">
        <f t="shared" si="32"/>
        <v/>
      </c>
      <c r="CL111" s="2" t="e">
        <f>VLOOKUP(AI111,GLAPS정리!$BT$3:$BV$26,3,0)</f>
        <v>#N/A</v>
      </c>
    </row>
    <row r="112" spans="2:90" ht="20.45" customHeight="1">
      <c r="B112" s="13"/>
      <c r="G112" s="3"/>
      <c r="J112" s="3"/>
      <c r="X112" s="13"/>
      <c r="Y112" s="13"/>
      <c r="Z112" s="91"/>
      <c r="AC112" s="2">
        <f t="shared" si="23"/>
        <v>20</v>
      </c>
      <c r="AD112" s="2" t="str">
        <f>IFERROR(INDEX(GLAPS정리!$D$2:$D$50,MATCH(I112,GLAPS정리!$A$2:$A$50,0)),IFERROR(INDEX(GLAPS정리!$D$2:$D$50,MATCH(I112,GLAPS정리!$B$2:$B$50,0)),""))</f>
        <v/>
      </c>
      <c r="AF112" s="2" t="str">
        <f t="shared" si="24"/>
        <v>KR10</v>
      </c>
      <c r="AI112" s="2" t="e">
        <f>VLOOKUP(F112,GLAPS정리!$G$3:$J$114,2,0)</f>
        <v>#N/A</v>
      </c>
      <c r="AJ112" s="2" t="e">
        <f>IF(Z112="울산정일","KRONS",IF(Z112="울산신항","KRUSN",IF(OR(Z112="선광종합물류(인천여객)",Z112="인천여객(인천여객)"),"KRINF",IF(OR(Z112="선광인천보세(인천신)",Z112="한진인천(인천신)",Z112="선광인천신항(인천신)",Z112="인천더로지스(인천신)"),"KRINN",IF(OR(Z112="인천진아(인천항)",Z112="인천E1(인천항)",Z112="인천SM경인터미널(인천항)",Z112="인천항(인천항)",Z112="인천우련(인천항)",Z112="인천항8부두(인천항)"),"KRINC",VLOOKUP(K112,GLAPS정리!$BB$2:$BC$33,2,0))))))</f>
        <v>#N/A</v>
      </c>
      <c r="AL112" s="2">
        <f t="shared" si="25"/>
        <v>5010001</v>
      </c>
      <c r="AN112" s="70" t="str">
        <f t="shared" si="26"/>
        <v>1900-01-00</v>
      </c>
      <c r="AO112" s="2" t="str">
        <f t="shared" si="27"/>
        <v/>
      </c>
      <c r="AP112" s="2" t="e">
        <f>VLOOKUP(C112,GLAPS정리!$AX$2:$AZ$17,3,0)</f>
        <v>#N/A</v>
      </c>
      <c r="AR112" s="2">
        <f t="shared" si="33"/>
        <v>0</v>
      </c>
      <c r="AX112" s="2" t="e">
        <f>VLOOKUP(L112,GLAPS정리!$V$3:$W$180,2,0)</f>
        <v>#N/A</v>
      </c>
      <c r="BM112" s="2" t="str">
        <f t="shared" si="28"/>
        <v xml:space="preserve"> </v>
      </c>
      <c r="BN112" s="2">
        <f t="shared" si="29"/>
        <v>1</v>
      </c>
      <c r="BR112" s="2" t="str">
        <f t="shared" si="30"/>
        <v/>
      </c>
      <c r="BS112" s="2" t="str">
        <f t="shared" si="31"/>
        <v/>
      </c>
      <c r="BV112" s="2" t="e">
        <f>VLOOKUP(O112,GLAPS정리!$BH$2:$BI$94,2,0)</f>
        <v>#N/A</v>
      </c>
      <c r="BW112" s="2" t="str">
        <f>IF(OR(Z112="동원",Z112="세방",Z112="한타"),"",IFERROR(INDEX(GLAPS정리!$BI$2:$BI$101,MATCH(Z112,GLAPS정리!$BH$2:$BH$101,0)),""))</f>
        <v/>
      </c>
      <c r="BX112" s="2" t="str">
        <f>IF(Z112="","",IFERROR(VLOOKUP(Z112,GLAPS정리!$AX$2:$AZ$17,3,0),""))</f>
        <v/>
      </c>
      <c r="BZ112" s="2" t="e">
        <f>VLOOKUP(H112,GLAPS정리!$L$3:$O$133,2,0)</f>
        <v>#N/A</v>
      </c>
      <c r="CA112" s="2" t="str">
        <f t="shared" si="32"/>
        <v/>
      </c>
      <c r="CL112" s="2" t="e">
        <f>VLOOKUP(AI112,GLAPS정리!$BT$3:$BV$26,3,0)</f>
        <v>#N/A</v>
      </c>
    </row>
    <row r="113" spans="2:90" ht="20.45" customHeight="1">
      <c r="B113" s="13"/>
      <c r="G113" s="3"/>
      <c r="J113" s="3"/>
      <c r="X113" s="13"/>
      <c r="Y113" s="13"/>
      <c r="Z113" s="91"/>
      <c r="AC113" s="2">
        <f t="shared" si="23"/>
        <v>20</v>
      </c>
      <c r="AD113" s="2" t="str">
        <f>IFERROR(INDEX(GLAPS정리!$D$2:$D$50,MATCH(I113,GLAPS정리!$A$2:$A$50,0)),IFERROR(INDEX(GLAPS정리!$D$2:$D$50,MATCH(I113,GLAPS정리!$B$2:$B$50,0)),""))</f>
        <v/>
      </c>
      <c r="AF113" s="2" t="str">
        <f t="shared" si="24"/>
        <v>KR10</v>
      </c>
      <c r="AI113" s="2" t="e">
        <f>VLOOKUP(F113,GLAPS정리!$G$3:$J$114,2,0)</f>
        <v>#N/A</v>
      </c>
      <c r="AJ113" s="2" t="e">
        <f>IF(Z113="울산정일","KRONS",IF(Z113="울산신항","KRUSN",IF(OR(Z113="선광종합물류(인천여객)",Z113="인천여객(인천여객)"),"KRINF",IF(OR(Z113="선광인천보세(인천신)",Z113="한진인천(인천신)",Z113="선광인천신항(인천신)",Z113="인천더로지스(인천신)"),"KRINN",IF(OR(Z113="인천진아(인천항)",Z113="인천E1(인천항)",Z113="인천SM경인터미널(인천항)",Z113="인천항(인천항)",Z113="인천우련(인천항)",Z113="인천항8부두(인천항)"),"KRINC",VLOOKUP(K113,GLAPS정리!$BB$2:$BC$33,2,0))))))</f>
        <v>#N/A</v>
      </c>
      <c r="AL113" s="2">
        <f t="shared" si="25"/>
        <v>5010001</v>
      </c>
      <c r="AN113" s="70" t="str">
        <f t="shared" si="26"/>
        <v>1900-01-00</v>
      </c>
      <c r="AO113" s="2" t="str">
        <f t="shared" si="27"/>
        <v/>
      </c>
      <c r="AP113" s="2" t="e">
        <f>VLOOKUP(C113,GLAPS정리!$AX$2:$AZ$17,3,0)</f>
        <v>#N/A</v>
      </c>
      <c r="AR113" s="2">
        <f t="shared" si="33"/>
        <v>0</v>
      </c>
      <c r="AX113" s="2" t="e">
        <f>VLOOKUP(L113,GLAPS정리!$V$3:$W$180,2,0)</f>
        <v>#N/A</v>
      </c>
      <c r="BM113" s="2" t="str">
        <f t="shared" si="28"/>
        <v xml:space="preserve"> </v>
      </c>
      <c r="BN113" s="2">
        <f t="shared" si="29"/>
        <v>1</v>
      </c>
      <c r="BR113" s="2" t="str">
        <f t="shared" si="30"/>
        <v/>
      </c>
      <c r="BS113" s="2" t="str">
        <f t="shared" si="31"/>
        <v/>
      </c>
      <c r="BV113" s="2" t="e">
        <f>VLOOKUP(O113,GLAPS정리!$BH$2:$BI$94,2,0)</f>
        <v>#N/A</v>
      </c>
      <c r="BW113" s="2" t="str">
        <f>IF(OR(Z113="동원",Z113="세방",Z113="한타"),"",IFERROR(INDEX(GLAPS정리!$BI$2:$BI$101,MATCH(Z113,GLAPS정리!$BH$2:$BH$101,0)),""))</f>
        <v/>
      </c>
      <c r="BX113" s="2" t="str">
        <f>IF(Z113="","",IFERROR(VLOOKUP(Z113,GLAPS정리!$AX$2:$AZ$17,3,0),""))</f>
        <v/>
      </c>
      <c r="BZ113" s="2" t="e">
        <f>VLOOKUP(H113,GLAPS정리!$L$3:$O$133,2,0)</f>
        <v>#N/A</v>
      </c>
      <c r="CA113" s="2" t="str">
        <f t="shared" si="32"/>
        <v/>
      </c>
      <c r="CL113" s="2" t="e">
        <f>VLOOKUP(AI113,GLAPS정리!$BT$3:$BV$26,3,0)</f>
        <v>#N/A</v>
      </c>
    </row>
    <row r="114" spans="2:90" ht="20.45" customHeight="1">
      <c r="B114" s="13"/>
      <c r="G114" s="3"/>
      <c r="J114" s="3"/>
      <c r="X114" s="13"/>
      <c r="Y114" s="13"/>
      <c r="Z114" s="91"/>
      <c r="AC114" s="2">
        <f t="shared" si="23"/>
        <v>20</v>
      </c>
      <c r="AD114" s="2" t="str">
        <f>IFERROR(INDEX(GLAPS정리!$D$2:$D$50,MATCH(I114,GLAPS정리!$A$2:$A$50,0)),IFERROR(INDEX(GLAPS정리!$D$2:$D$50,MATCH(I114,GLAPS정리!$B$2:$B$50,0)),""))</f>
        <v/>
      </c>
      <c r="AF114" s="2" t="str">
        <f t="shared" si="24"/>
        <v>KR10</v>
      </c>
      <c r="AI114" s="2" t="e">
        <f>VLOOKUP(F114,GLAPS정리!$G$3:$J$114,2,0)</f>
        <v>#N/A</v>
      </c>
      <c r="AJ114" s="2" t="e">
        <f>IF(Z114="울산정일","KRONS",IF(Z114="울산신항","KRUSN",IF(OR(Z114="선광종합물류(인천여객)",Z114="인천여객(인천여객)"),"KRINF",IF(OR(Z114="선광인천보세(인천신)",Z114="한진인천(인천신)",Z114="선광인천신항(인천신)",Z114="인천더로지스(인천신)"),"KRINN",IF(OR(Z114="인천진아(인천항)",Z114="인천E1(인천항)",Z114="인천SM경인터미널(인천항)",Z114="인천항(인천항)",Z114="인천우련(인천항)",Z114="인천항8부두(인천항)"),"KRINC",VLOOKUP(K114,GLAPS정리!$BB$2:$BC$33,2,0))))))</f>
        <v>#N/A</v>
      </c>
      <c r="AL114" s="2">
        <f t="shared" si="25"/>
        <v>5010001</v>
      </c>
      <c r="AN114" s="70" t="str">
        <f t="shared" si="26"/>
        <v>1900-01-00</v>
      </c>
      <c r="AO114" s="2" t="str">
        <f t="shared" si="27"/>
        <v/>
      </c>
      <c r="AP114" s="2" t="e">
        <f>VLOOKUP(C114,GLAPS정리!$AX$2:$AZ$17,3,0)</f>
        <v>#N/A</v>
      </c>
      <c r="AR114" s="2">
        <f t="shared" si="33"/>
        <v>0</v>
      </c>
      <c r="AX114" s="2" t="e">
        <f>VLOOKUP(L114,GLAPS정리!$V$3:$W$180,2,0)</f>
        <v>#N/A</v>
      </c>
      <c r="BM114" s="2" t="str">
        <f t="shared" si="28"/>
        <v xml:space="preserve"> </v>
      </c>
      <c r="BN114" s="2">
        <f t="shared" si="29"/>
        <v>1</v>
      </c>
      <c r="BR114" s="2" t="str">
        <f t="shared" si="30"/>
        <v/>
      </c>
      <c r="BS114" s="2" t="str">
        <f t="shared" si="31"/>
        <v/>
      </c>
      <c r="BV114" s="2" t="e">
        <f>VLOOKUP(O114,GLAPS정리!$BH$2:$BI$94,2,0)</f>
        <v>#N/A</v>
      </c>
      <c r="BW114" s="2" t="str">
        <f>IF(OR(Z114="동원",Z114="세방",Z114="한타"),"",IFERROR(INDEX(GLAPS정리!$BI$2:$BI$101,MATCH(Z114,GLAPS정리!$BH$2:$BH$101,0)),""))</f>
        <v/>
      </c>
      <c r="BX114" s="2" t="str">
        <f>IF(Z114="","",IFERROR(VLOOKUP(Z114,GLAPS정리!$AX$2:$AZ$17,3,0),""))</f>
        <v/>
      </c>
      <c r="BZ114" s="2" t="e">
        <f>VLOOKUP(H114,GLAPS정리!$L$3:$O$133,2,0)</f>
        <v>#N/A</v>
      </c>
      <c r="CA114" s="2" t="str">
        <f t="shared" si="32"/>
        <v/>
      </c>
      <c r="CL114" s="2" t="e">
        <f>VLOOKUP(AI114,GLAPS정리!$BT$3:$BV$26,3,0)</f>
        <v>#N/A</v>
      </c>
    </row>
    <row r="115" spans="2:90" ht="20.45" customHeight="1">
      <c r="B115" s="13"/>
      <c r="G115" s="3"/>
      <c r="J115" s="3"/>
      <c r="X115" s="13"/>
      <c r="Y115" s="13"/>
      <c r="Z115" s="91"/>
      <c r="AC115" s="2">
        <f t="shared" si="23"/>
        <v>20</v>
      </c>
      <c r="AD115" s="2" t="str">
        <f>IFERROR(INDEX(GLAPS정리!$D$2:$D$50,MATCH(I115,GLAPS정리!$A$2:$A$50,0)),IFERROR(INDEX(GLAPS정리!$D$2:$D$50,MATCH(I115,GLAPS정리!$B$2:$B$50,0)),""))</f>
        <v/>
      </c>
      <c r="AF115" s="2" t="str">
        <f t="shared" si="24"/>
        <v>KR10</v>
      </c>
      <c r="AI115" s="2" t="e">
        <f>VLOOKUP(F115,GLAPS정리!$G$3:$J$114,2,0)</f>
        <v>#N/A</v>
      </c>
      <c r="AJ115" s="2" t="e">
        <f>IF(Z115="울산정일","KRONS",IF(Z115="울산신항","KRUSN",IF(OR(Z115="선광종합물류(인천여객)",Z115="인천여객(인천여객)"),"KRINF",IF(OR(Z115="선광인천보세(인천신)",Z115="한진인천(인천신)",Z115="선광인천신항(인천신)",Z115="인천더로지스(인천신)"),"KRINN",IF(OR(Z115="인천진아(인천항)",Z115="인천E1(인천항)",Z115="인천SM경인터미널(인천항)",Z115="인천항(인천항)",Z115="인천우련(인천항)",Z115="인천항8부두(인천항)"),"KRINC",VLOOKUP(K115,GLAPS정리!$BB$2:$BC$33,2,0))))))</f>
        <v>#N/A</v>
      </c>
      <c r="AL115" s="2">
        <f t="shared" si="25"/>
        <v>5010001</v>
      </c>
      <c r="AN115" s="70" t="str">
        <f t="shared" si="26"/>
        <v>1900-01-00</v>
      </c>
      <c r="AO115" s="2" t="str">
        <f t="shared" si="27"/>
        <v/>
      </c>
      <c r="AP115" s="2" t="e">
        <f>VLOOKUP(C115,GLAPS정리!$AX$2:$AZ$17,3,0)</f>
        <v>#N/A</v>
      </c>
      <c r="AR115" s="2">
        <f t="shared" si="33"/>
        <v>0</v>
      </c>
      <c r="AX115" s="2" t="e">
        <f>VLOOKUP(L115,GLAPS정리!$V$3:$W$180,2,0)</f>
        <v>#N/A</v>
      </c>
      <c r="BM115" s="2" t="str">
        <f t="shared" si="28"/>
        <v xml:space="preserve"> </v>
      </c>
      <c r="BN115" s="2">
        <f t="shared" si="29"/>
        <v>1</v>
      </c>
      <c r="BR115" s="2" t="str">
        <f t="shared" si="30"/>
        <v/>
      </c>
      <c r="BS115" s="2" t="str">
        <f t="shared" si="31"/>
        <v/>
      </c>
      <c r="BV115" s="2" t="e">
        <f>VLOOKUP(O115,GLAPS정리!$BH$2:$BI$94,2,0)</f>
        <v>#N/A</v>
      </c>
      <c r="BW115" s="2" t="str">
        <f>IF(OR(Z115="동원",Z115="세방",Z115="한타"),"",IFERROR(INDEX(GLAPS정리!$BI$2:$BI$101,MATCH(Z115,GLAPS정리!$BH$2:$BH$101,0)),""))</f>
        <v/>
      </c>
      <c r="BX115" s="2" t="str">
        <f>IF(Z115="","",IFERROR(VLOOKUP(Z115,GLAPS정리!$AX$2:$AZ$17,3,0),""))</f>
        <v/>
      </c>
      <c r="BZ115" s="2" t="e">
        <f>VLOOKUP(H115,GLAPS정리!$L$3:$O$133,2,0)</f>
        <v>#N/A</v>
      </c>
      <c r="CA115" s="2" t="str">
        <f t="shared" si="32"/>
        <v/>
      </c>
      <c r="CL115" s="2" t="e">
        <f>VLOOKUP(AI115,GLAPS정리!$BT$3:$BV$26,3,0)</f>
        <v>#N/A</v>
      </c>
    </row>
    <row r="116" spans="2:90" ht="20.45" customHeight="1">
      <c r="B116" s="13"/>
      <c r="G116" s="3"/>
      <c r="J116" s="3"/>
      <c r="X116" s="13"/>
      <c r="Y116" s="13"/>
      <c r="Z116" s="91"/>
      <c r="AC116" s="2">
        <f t="shared" si="23"/>
        <v>20</v>
      </c>
      <c r="AD116" s="2" t="str">
        <f>IFERROR(INDEX(GLAPS정리!$D$2:$D$50,MATCH(I116,GLAPS정리!$A$2:$A$50,0)),IFERROR(INDEX(GLAPS정리!$D$2:$D$50,MATCH(I116,GLAPS정리!$B$2:$B$50,0)),""))</f>
        <v/>
      </c>
      <c r="AF116" s="2" t="str">
        <f t="shared" si="24"/>
        <v>KR10</v>
      </c>
      <c r="AI116" s="2" t="e">
        <f>VLOOKUP(F116,GLAPS정리!$G$3:$J$114,2,0)</f>
        <v>#N/A</v>
      </c>
      <c r="AJ116" s="2" t="e">
        <f>IF(Z116="울산정일","KRONS",IF(Z116="울산신항","KRUSN",IF(OR(Z116="선광종합물류(인천여객)",Z116="인천여객(인천여객)"),"KRINF",IF(OR(Z116="선광인천보세(인천신)",Z116="한진인천(인천신)",Z116="선광인천신항(인천신)",Z116="인천더로지스(인천신)"),"KRINN",IF(OR(Z116="인천진아(인천항)",Z116="인천E1(인천항)",Z116="인천SM경인터미널(인천항)",Z116="인천항(인천항)",Z116="인천우련(인천항)",Z116="인천항8부두(인천항)"),"KRINC",VLOOKUP(K116,GLAPS정리!$BB$2:$BC$33,2,0))))))</f>
        <v>#N/A</v>
      </c>
      <c r="AL116" s="2">
        <f t="shared" si="25"/>
        <v>5010001</v>
      </c>
      <c r="AN116" s="70" t="str">
        <f t="shared" si="26"/>
        <v>1900-01-00</v>
      </c>
      <c r="AO116" s="2" t="str">
        <f t="shared" si="27"/>
        <v/>
      </c>
      <c r="AP116" s="2" t="e">
        <f>VLOOKUP(C116,GLAPS정리!$AX$2:$AZ$17,3,0)</f>
        <v>#N/A</v>
      </c>
      <c r="AR116" s="2">
        <f t="shared" si="33"/>
        <v>0</v>
      </c>
      <c r="AX116" s="2" t="e">
        <f>VLOOKUP(L116,GLAPS정리!$V$3:$W$180,2,0)</f>
        <v>#N/A</v>
      </c>
      <c r="BM116" s="2" t="str">
        <f t="shared" si="28"/>
        <v xml:space="preserve"> </v>
      </c>
      <c r="BN116" s="2">
        <f t="shared" si="29"/>
        <v>1</v>
      </c>
      <c r="BR116" s="2" t="str">
        <f t="shared" si="30"/>
        <v/>
      </c>
      <c r="BS116" s="2" t="str">
        <f t="shared" si="31"/>
        <v/>
      </c>
      <c r="BV116" s="2" t="e">
        <f>VLOOKUP(O116,GLAPS정리!$BH$2:$BI$94,2,0)</f>
        <v>#N/A</v>
      </c>
      <c r="BW116" s="2" t="str">
        <f>IF(OR(Z116="동원",Z116="세방",Z116="한타"),"",IFERROR(INDEX(GLAPS정리!$BI$2:$BI$101,MATCH(Z116,GLAPS정리!$BH$2:$BH$101,0)),""))</f>
        <v/>
      </c>
      <c r="BX116" s="2" t="str">
        <f>IF(Z116="","",IFERROR(VLOOKUP(Z116,GLAPS정리!$AX$2:$AZ$17,3,0),""))</f>
        <v/>
      </c>
      <c r="BZ116" s="2" t="e">
        <f>VLOOKUP(H116,GLAPS정리!$L$3:$O$133,2,0)</f>
        <v>#N/A</v>
      </c>
      <c r="CA116" s="2" t="str">
        <f t="shared" si="32"/>
        <v/>
      </c>
      <c r="CL116" s="2" t="e">
        <f>VLOOKUP(AI116,GLAPS정리!$BT$3:$BV$26,3,0)</f>
        <v>#N/A</v>
      </c>
    </row>
    <row r="117" spans="2:90" ht="20.45" customHeight="1">
      <c r="B117" s="13"/>
      <c r="G117" s="3"/>
      <c r="J117" s="3"/>
      <c r="X117" s="13"/>
      <c r="Y117" s="13"/>
      <c r="Z117" s="91"/>
      <c r="AC117" s="2">
        <f t="shared" si="23"/>
        <v>20</v>
      </c>
      <c r="AD117" s="2" t="str">
        <f>IFERROR(INDEX(GLAPS정리!$D$2:$D$50,MATCH(I117,GLAPS정리!$A$2:$A$50,0)),IFERROR(INDEX(GLAPS정리!$D$2:$D$50,MATCH(I117,GLAPS정리!$B$2:$B$50,0)),""))</f>
        <v/>
      </c>
      <c r="AF117" s="2" t="str">
        <f t="shared" si="24"/>
        <v>KR10</v>
      </c>
      <c r="AI117" s="2" t="e">
        <f>VLOOKUP(F117,GLAPS정리!$G$3:$J$114,2,0)</f>
        <v>#N/A</v>
      </c>
      <c r="AJ117" s="2" t="e">
        <f>IF(Z117="울산정일","KRONS",IF(Z117="울산신항","KRUSN",IF(OR(Z117="선광종합물류(인천여객)",Z117="인천여객(인천여객)"),"KRINF",IF(OR(Z117="선광인천보세(인천신)",Z117="한진인천(인천신)",Z117="선광인천신항(인천신)",Z117="인천더로지스(인천신)"),"KRINN",IF(OR(Z117="인천진아(인천항)",Z117="인천E1(인천항)",Z117="인천SM경인터미널(인천항)",Z117="인천항(인천항)",Z117="인천우련(인천항)",Z117="인천항8부두(인천항)"),"KRINC",VLOOKUP(K117,GLAPS정리!$BB$2:$BC$33,2,0))))))</f>
        <v>#N/A</v>
      </c>
      <c r="AL117" s="2">
        <f t="shared" si="25"/>
        <v>5010001</v>
      </c>
      <c r="AN117" s="70" t="str">
        <f t="shared" si="26"/>
        <v>1900-01-00</v>
      </c>
      <c r="AO117" s="2" t="str">
        <f t="shared" si="27"/>
        <v/>
      </c>
      <c r="AP117" s="2" t="e">
        <f>VLOOKUP(C117,GLAPS정리!$AX$2:$AZ$17,3,0)</f>
        <v>#N/A</v>
      </c>
      <c r="AR117" s="2">
        <f t="shared" si="33"/>
        <v>0</v>
      </c>
      <c r="AX117" s="2" t="e">
        <f>VLOOKUP(L117,GLAPS정리!$V$3:$W$180,2,0)</f>
        <v>#N/A</v>
      </c>
      <c r="BM117" s="2" t="str">
        <f t="shared" si="28"/>
        <v xml:space="preserve"> </v>
      </c>
      <c r="BN117" s="2">
        <f t="shared" si="29"/>
        <v>1</v>
      </c>
      <c r="BR117" s="2" t="str">
        <f t="shared" si="30"/>
        <v/>
      </c>
      <c r="BS117" s="2" t="str">
        <f t="shared" si="31"/>
        <v/>
      </c>
      <c r="BV117" s="2" t="e">
        <f>VLOOKUP(O117,GLAPS정리!$BH$2:$BI$94,2,0)</f>
        <v>#N/A</v>
      </c>
      <c r="BW117" s="2" t="str">
        <f>IF(OR(Z117="동원",Z117="세방",Z117="한타"),"",IFERROR(INDEX(GLAPS정리!$BI$2:$BI$101,MATCH(Z117,GLAPS정리!$BH$2:$BH$101,0)),""))</f>
        <v/>
      </c>
      <c r="BX117" s="2" t="str">
        <f>IF(Z117="","",IFERROR(VLOOKUP(Z117,GLAPS정리!$AX$2:$AZ$17,3,0),""))</f>
        <v/>
      </c>
      <c r="BZ117" s="2" t="e">
        <f>VLOOKUP(H117,GLAPS정리!$L$3:$O$133,2,0)</f>
        <v>#N/A</v>
      </c>
      <c r="CA117" s="2" t="str">
        <f t="shared" si="32"/>
        <v/>
      </c>
      <c r="CL117" s="2" t="e">
        <f>VLOOKUP(AI117,GLAPS정리!$BT$3:$BV$26,3,0)</f>
        <v>#N/A</v>
      </c>
    </row>
    <row r="118" spans="2:90" ht="20.45" customHeight="1">
      <c r="B118" s="13"/>
      <c r="G118" s="3"/>
      <c r="J118" s="3"/>
      <c r="X118" s="13"/>
      <c r="Y118" s="13"/>
      <c r="Z118" s="91"/>
      <c r="AC118" s="2">
        <f t="shared" si="23"/>
        <v>20</v>
      </c>
      <c r="AD118" s="2" t="str">
        <f>IFERROR(INDEX(GLAPS정리!$D$2:$D$50,MATCH(I118,GLAPS정리!$A$2:$A$50,0)),IFERROR(INDEX(GLAPS정리!$D$2:$D$50,MATCH(I118,GLAPS정리!$B$2:$B$50,0)),""))</f>
        <v/>
      </c>
      <c r="AF118" s="2" t="str">
        <f t="shared" si="24"/>
        <v>KR10</v>
      </c>
      <c r="AI118" s="2" t="e">
        <f>VLOOKUP(F118,GLAPS정리!$G$3:$J$114,2,0)</f>
        <v>#N/A</v>
      </c>
      <c r="AJ118" s="2" t="e">
        <f>IF(Z118="울산정일","KRONS",IF(Z118="울산신항","KRUSN",IF(OR(Z118="선광종합물류(인천여객)",Z118="인천여객(인천여객)"),"KRINF",IF(OR(Z118="선광인천보세(인천신)",Z118="한진인천(인천신)",Z118="선광인천신항(인천신)",Z118="인천더로지스(인천신)"),"KRINN",IF(OR(Z118="인천진아(인천항)",Z118="인천E1(인천항)",Z118="인천SM경인터미널(인천항)",Z118="인천항(인천항)",Z118="인천우련(인천항)",Z118="인천항8부두(인천항)"),"KRINC",VLOOKUP(K118,GLAPS정리!$BB$2:$BC$33,2,0))))))</f>
        <v>#N/A</v>
      </c>
      <c r="AL118" s="2">
        <f t="shared" si="25"/>
        <v>5010001</v>
      </c>
      <c r="AN118" s="70" t="str">
        <f t="shared" si="26"/>
        <v>1900-01-00</v>
      </c>
      <c r="AO118" s="2" t="str">
        <f t="shared" si="27"/>
        <v/>
      </c>
      <c r="AP118" s="2" t="e">
        <f>VLOOKUP(C118,GLAPS정리!$AX$2:$AZ$17,3,0)</f>
        <v>#N/A</v>
      </c>
      <c r="AR118" s="2">
        <f t="shared" si="33"/>
        <v>0</v>
      </c>
      <c r="AX118" s="2" t="e">
        <f>VLOOKUP(L118,GLAPS정리!$V$3:$W$180,2,0)</f>
        <v>#N/A</v>
      </c>
      <c r="BM118" s="2" t="str">
        <f t="shared" si="28"/>
        <v xml:space="preserve"> </v>
      </c>
      <c r="BN118" s="2">
        <f t="shared" si="29"/>
        <v>1</v>
      </c>
      <c r="BR118" s="2" t="str">
        <f t="shared" si="30"/>
        <v/>
      </c>
      <c r="BS118" s="2" t="str">
        <f t="shared" si="31"/>
        <v/>
      </c>
      <c r="BV118" s="2" t="e">
        <f>VLOOKUP(O118,GLAPS정리!$BH$2:$BI$94,2,0)</f>
        <v>#N/A</v>
      </c>
      <c r="BW118" s="2" t="str">
        <f>IF(OR(Z118="동원",Z118="세방",Z118="한타"),"",IFERROR(INDEX(GLAPS정리!$BI$2:$BI$101,MATCH(Z118,GLAPS정리!$BH$2:$BH$101,0)),""))</f>
        <v/>
      </c>
      <c r="BX118" s="2" t="str">
        <f>IF(Z118="","",IFERROR(VLOOKUP(Z118,GLAPS정리!$AX$2:$AZ$17,3,0),""))</f>
        <v/>
      </c>
      <c r="BZ118" s="2" t="e">
        <f>VLOOKUP(H118,GLAPS정리!$L$3:$O$133,2,0)</f>
        <v>#N/A</v>
      </c>
      <c r="CA118" s="2" t="str">
        <f t="shared" si="32"/>
        <v/>
      </c>
      <c r="CL118" s="2" t="e">
        <f>VLOOKUP(AI118,GLAPS정리!$BT$3:$BV$26,3,0)</f>
        <v>#N/A</v>
      </c>
    </row>
    <row r="119" spans="2:90" ht="20.45" customHeight="1">
      <c r="B119" s="13"/>
      <c r="G119" s="3"/>
      <c r="J119" s="3"/>
      <c r="X119" s="13"/>
      <c r="Y119" s="13"/>
      <c r="Z119" s="91"/>
      <c r="AC119" s="2">
        <f t="shared" si="23"/>
        <v>20</v>
      </c>
      <c r="AD119" s="2" t="str">
        <f>IFERROR(INDEX(GLAPS정리!$D$2:$D$50,MATCH(I119,GLAPS정리!$A$2:$A$50,0)),IFERROR(INDEX(GLAPS정리!$D$2:$D$50,MATCH(I119,GLAPS정리!$B$2:$B$50,0)),""))</f>
        <v/>
      </c>
      <c r="AF119" s="2" t="str">
        <f t="shared" si="24"/>
        <v>KR10</v>
      </c>
      <c r="AI119" s="2" t="e">
        <f>VLOOKUP(F119,GLAPS정리!$G$3:$J$114,2,0)</f>
        <v>#N/A</v>
      </c>
      <c r="AJ119" s="2" t="e">
        <f>IF(Z119="울산정일","KRONS",IF(Z119="울산신항","KRUSN",IF(OR(Z119="선광종합물류(인천여객)",Z119="인천여객(인천여객)"),"KRINF",IF(OR(Z119="선광인천보세(인천신)",Z119="한진인천(인천신)",Z119="선광인천신항(인천신)",Z119="인천더로지스(인천신)"),"KRINN",IF(OR(Z119="인천진아(인천항)",Z119="인천E1(인천항)",Z119="인천SM경인터미널(인천항)",Z119="인천항(인천항)",Z119="인천우련(인천항)",Z119="인천항8부두(인천항)"),"KRINC",VLOOKUP(K119,GLAPS정리!$BB$2:$BC$33,2,0))))))</f>
        <v>#N/A</v>
      </c>
      <c r="AL119" s="2">
        <f t="shared" si="25"/>
        <v>5010001</v>
      </c>
      <c r="AN119" s="70" t="str">
        <f t="shared" si="26"/>
        <v>1900-01-00</v>
      </c>
      <c r="AO119" s="2" t="str">
        <f t="shared" si="27"/>
        <v/>
      </c>
      <c r="AP119" s="2" t="e">
        <f>VLOOKUP(C119,GLAPS정리!$AX$2:$AZ$17,3,0)</f>
        <v>#N/A</v>
      </c>
      <c r="AR119" s="2">
        <f t="shared" si="33"/>
        <v>0</v>
      </c>
      <c r="AX119" s="2" t="e">
        <f>VLOOKUP(L119,GLAPS정리!$V$3:$W$180,2,0)</f>
        <v>#N/A</v>
      </c>
      <c r="BM119" s="2" t="str">
        <f t="shared" si="28"/>
        <v xml:space="preserve"> </v>
      </c>
      <c r="BN119" s="2">
        <f t="shared" si="29"/>
        <v>1</v>
      </c>
      <c r="BR119" s="2" t="str">
        <f t="shared" si="30"/>
        <v/>
      </c>
      <c r="BS119" s="2" t="str">
        <f t="shared" si="31"/>
        <v/>
      </c>
      <c r="BV119" s="2" t="e">
        <f>VLOOKUP(O119,GLAPS정리!$BH$2:$BI$94,2,0)</f>
        <v>#N/A</v>
      </c>
      <c r="BW119" s="2" t="str">
        <f>IF(OR(Z119="동원",Z119="세방",Z119="한타"),"",IFERROR(INDEX(GLAPS정리!$BI$2:$BI$101,MATCH(Z119,GLAPS정리!$BH$2:$BH$101,0)),""))</f>
        <v/>
      </c>
      <c r="BX119" s="2" t="str">
        <f>IF(Z119="","",IFERROR(VLOOKUP(Z119,GLAPS정리!$AX$2:$AZ$17,3,0),""))</f>
        <v/>
      </c>
      <c r="BZ119" s="2" t="e">
        <f>VLOOKUP(H119,GLAPS정리!$L$3:$O$133,2,0)</f>
        <v>#N/A</v>
      </c>
      <c r="CA119" s="2" t="str">
        <f t="shared" si="32"/>
        <v/>
      </c>
      <c r="CL119" s="2" t="e">
        <f>VLOOKUP(AI119,GLAPS정리!$BT$3:$BV$26,3,0)</f>
        <v>#N/A</v>
      </c>
    </row>
    <row r="120" spans="2:90" ht="20.45" customHeight="1">
      <c r="B120" s="13"/>
      <c r="G120" s="3"/>
      <c r="J120" s="3"/>
      <c r="X120" s="13"/>
      <c r="Y120" s="13"/>
      <c r="Z120" s="91"/>
      <c r="AC120" s="2">
        <f t="shared" si="23"/>
        <v>20</v>
      </c>
      <c r="AD120" s="2" t="str">
        <f>IFERROR(INDEX(GLAPS정리!$D$2:$D$50,MATCH(I120,GLAPS정리!$A$2:$A$50,0)),IFERROR(INDEX(GLAPS정리!$D$2:$D$50,MATCH(I120,GLAPS정리!$B$2:$B$50,0)),""))</f>
        <v/>
      </c>
      <c r="AF120" s="2" t="str">
        <f t="shared" si="24"/>
        <v>KR10</v>
      </c>
      <c r="AI120" s="2" t="e">
        <f>VLOOKUP(F120,GLAPS정리!$G$3:$J$114,2,0)</f>
        <v>#N/A</v>
      </c>
      <c r="AJ120" s="2" t="e">
        <f>IF(Z120="울산정일","KRONS",IF(Z120="울산신항","KRUSN",IF(OR(Z120="선광종합물류(인천여객)",Z120="인천여객(인천여객)"),"KRINF",IF(OR(Z120="선광인천보세(인천신)",Z120="한진인천(인천신)",Z120="선광인천신항(인천신)",Z120="인천더로지스(인천신)"),"KRINN",IF(OR(Z120="인천진아(인천항)",Z120="인천E1(인천항)",Z120="인천SM경인터미널(인천항)",Z120="인천항(인천항)",Z120="인천우련(인천항)",Z120="인천항8부두(인천항)"),"KRINC",VLOOKUP(K120,GLAPS정리!$BB$2:$BC$33,2,0))))))</f>
        <v>#N/A</v>
      </c>
      <c r="AL120" s="2">
        <f t="shared" si="25"/>
        <v>5010001</v>
      </c>
      <c r="AN120" s="70" t="str">
        <f t="shared" si="26"/>
        <v>1900-01-00</v>
      </c>
      <c r="AO120" s="2" t="str">
        <f t="shared" si="27"/>
        <v/>
      </c>
      <c r="AP120" s="2" t="e">
        <f>VLOOKUP(C120,GLAPS정리!$AX$2:$AZ$17,3,0)</f>
        <v>#N/A</v>
      </c>
      <c r="AR120" s="2">
        <f t="shared" si="33"/>
        <v>0</v>
      </c>
      <c r="AX120" s="2" t="e">
        <f>VLOOKUP(L120,GLAPS정리!$V$3:$W$180,2,0)</f>
        <v>#N/A</v>
      </c>
      <c r="BM120" s="2" t="str">
        <f t="shared" si="28"/>
        <v xml:space="preserve"> </v>
      </c>
      <c r="BN120" s="2">
        <f t="shared" si="29"/>
        <v>1</v>
      </c>
      <c r="BR120" s="2" t="str">
        <f t="shared" si="30"/>
        <v/>
      </c>
      <c r="BS120" s="2" t="str">
        <f t="shared" si="31"/>
        <v/>
      </c>
      <c r="BV120" s="2" t="e">
        <f>VLOOKUP(O120,GLAPS정리!$BH$2:$BI$94,2,0)</f>
        <v>#N/A</v>
      </c>
      <c r="BW120" s="2" t="str">
        <f>IF(OR(Z120="동원",Z120="세방",Z120="한타"),"",IFERROR(INDEX(GLAPS정리!$BI$2:$BI$101,MATCH(Z120,GLAPS정리!$BH$2:$BH$101,0)),""))</f>
        <v/>
      </c>
      <c r="BX120" s="2" t="str">
        <f>IF(Z120="","",IFERROR(VLOOKUP(Z120,GLAPS정리!$AX$2:$AZ$17,3,0),""))</f>
        <v/>
      </c>
      <c r="BZ120" s="2" t="e">
        <f>VLOOKUP(H120,GLAPS정리!$L$3:$O$133,2,0)</f>
        <v>#N/A</v>
      </c>
      <c r="CA120" s="2" t="str">
        <f t="shared" si="32"/>
        <v/>
      </c>
      <c r="CL120" s="2" t="e">
        <f>VLOOKUP(AI120,GLAPS정리!$BT$3:$BV$26,3,0)</f>
        <v>#N/A</v>
      </c>
    </row>
    <row r="121" spans="2:90" ht="20.45" customHeight="1">
      <c r="B121" s="13"/>
      <c r="G121" s="1"/>
      <c r="J121" s="3"/>
      <c r="X121" s="13"/>
      <c r="Y121" s="13"/>
      <c r="Z121" s="91"/>
      <c r="AC121" s="2">
        <f t="shared" si="23"/>
        <v>20</v>
      </c>
      <c r="AD121" s="2" t="str">
        <f>IFERROR(INDEX(GLAPS정리!$D$2:$D$50,MATCH(I121,GLAPS정리!$A$2:$A$50,0)),IFERROR(INDEX(GLAPS정리!$D$2:$D$50,MATCH(I121,GLAPS정리!$B$2:$B$50,0)),""))</f>
        <v/>
      </c>
      <c r="AF121" s="2" t="str">
        <f t="shared" si="24"/>
        <v>KR10</v>
      </c>
      <c r="AI121" s="2" t="e">
        <f>VLOOKUP(F121,GLAPS정리!$G$3:$J$114,2,0)</f>
        <v>#N/A</v>
      </c>
      <c r="AJ121" s="2" t="e">
        <f>IF(Z121="울산정일","KRONS",IF(Z121="울산신항","KRUSN",IF(OR(Z121="선광종합물류(인천여객)",Z121="인천여객(인천여객)"),"KRINF",IF(OR(Z121="선광인천보세(인천신)",Z121="한진인천(인천신)",Z121="선광인천신항(인천신)",Z121="인천더로지스(인천신)"),"KRINN",IF(OR(Z121="인천진아(인천항)",Z121="인천E1(인천항)",Z121="인천SM경인터미널(인천항)",Z121="인천항(인천항)",Z121="인천우련(인천항)",Z121="인천항8부두(인천항)"),"KRINC",VLOOKUP(K121,GLAPS정리!$BB$2:$BC$33,2,0))))))</f>
        <v>#N/A</v>
      </c>
      <c r="AL121" s="2">
        <f t="shared" si="25"/>
        <v>5010001</v>
      </c>
      <c r="AN121" s="70" t="str">
        <f t="shared" si="26"/>
        <v>1900-01-00</v>
      </c>
      <c r="AO121" s="2" t="str">
        <f t="shared" si="27"/>
        <v/>
      </c>
      <c r="AP121" s="2" t="e">
        <f>VLOOKUP(C121,GLAPS정리!$AX$2:$AZ$17,3,0)</f>
        <v>#N/A</v>
      </c>
      <c r="AR121" s="2">
        <f t="shared" si="33"/>
        <v>0</v>
      </c>
      <c r="AX121" s="2" t="e">
        <f>VLOOKUP(L121,GLAPS정리!$V$3:$W$180,2,0)</f>
        <v>#N/A</v>
      </c>
      <c r="BM121" s="2" t="str">
        <f t="shared" si="28"/>
        <v xml:space="preserve"> </v>
      </c>
      <c r="BN121" s="2">
        <f t="shared" si="29"/>
        <v>1</v>
      </c>
      <c r="BR121" s="2" t="str">
        <f t="shared" si="30"/>
        <v/>
      </c>
      <c r="BS121" s="2" t="str">
        <f t="shared" si="31"/>
        <v/>
      </c>
      <c r="BV121" s="2" t="e">
        <f>VLOOKUP(O121,GLAPS정리!$BH$2:$BI$94,2,0)</f>
        <v>#N/A</v>
      </c>
      <c r="BW121" s="2" t="str">
        <f>IF(OR(Z121="동원",Z121="세방",Z121="한타"),"",IFERROR(INDEX(GLAPS정리!$BI$2:$BI$101,MATCH(Z121,GLAPS정리!$BH$2:$BH$101,0)),""))</f>
        <v/>
      </c>
      <c r="BX121" s="2" t="str">
        <f>IF(Z121="","",IFERROR(VLOOKUP(Z121,GLAPS정리!$AX$2:$AZ$17,3,0),""))</f>
        <v/>
      </c>
      <c r="BZ121" s="2" t="e">
        <f>VLOOKUP(H121,GLAPS정리!$L$3:$O$133,2,0)</f>
        <v>#N/A</v>
      </c>
      <c r="CA121" s="2" t="str">
        <f t="shared" si="32"/>
        <v/>
      </c>
      <c r="CL121" s="2" t="e">
        <f>VLOOKUP(AI121,GLAPS정리!$BT$3:$BV$26,3,0)</f>
        <v>#N/A</v>
      </c>
    </row>
    <row r="122" spans="2:90" ht="20.45" customHeight="1">
      <c r="B122" s="13"/>
      <c r="G122" s="1"/>
      <c r="J122" s="3"/>
      <c r="X122" s="13"/>
      <c r="Y122" s="13"/>
      <c r="Z122" s="91"/>
      <c r="AC122" s="2">
        <f t="shared" si="23"/>
        <v>20</v>
      </c>
      <c r="AD122" s="2" t="str">
        <f>IFERROR(INDEX(GLAPS정리!$D$2:$D$50,MATCH(I122,GLAPS정리!$A$2:$A$50,0)),IFERROR(INDEX(GLAPS정리!$D$2:$D$50,MATCH(I122,GLAPS정리!$B$2:$B$50,0)),""))</f>
        <v/>
      </c>
      <c r="AF122" s="2" t="str">
        <f t="shared" si="24"/>
        <v>KR10</v>
      </c>
      <c r="AI122" s="2" t="e">
        <f>VLOOKUP(F122,GLAPS정리!$G$3:$J$114,2,0)</f>
        <v>#N/A</v>
      </c>
      <c r="AJ122" s="2" t="e">
        <f>IF(Z122="울산정일","KRONS",IF(Z122="울산신항","KRUSN",IF(OR(Z122="선광종합물류(인천여객)",Z122="인천여객(인천여객)"),"KRINF",IF(OR(Z122="선광인천보세(인천신)",Z122="한진인천(인천신)",Z122="선광인천신항(인천신)",Z122="인천더로지스(인천신)"),"KRINN",IF(OR(Z122="인천진아(인천항)",Z122="인천E1(인천항)",Z122="인천SM경인터미널(인천항)",Z122="인천항(인천항)",Z122="인천우련(인천항)",Z122="인천항8부두(인천항)"),"KRINC",VLOOKUP(K122,GLAPS정리!$BB$2:$BC$33,2,0))))))</f>
        <v>#N/A</v>
      </c>
      <c r="AL122" s="2">
        <f t="shared" si="25"/>
        <v>5010001</v>
      </c>
      <c r="AN122" s="70" t="str">
        <f t="shared" si="26"/>
        <v>1900-01-00</v>
      </c>
      <c r="AO122" s="2" t="str">
        <f t="shared" si="27"/>
        <v/>
      </c>
      <c r="AP122" s="2" t="e">
        <f>VLOOKUP(C122,GLAPS정리!$AX$2:$AZ$17,3,0)</f>
        <v>#N/A</v>
      </c>
      <c r="AR122" s="2">
        <f t="shared" si="33"/>
        <v>0</v>
      </c>
      <c r="AX122" s="2" t="e">
        <f>VLOOKUP(L122,GLAPS정리!$V$3:$W$180,2,0)</f>
        <v>#N/A</v>
      </c>
      <c r="BM122" s="2" t="str">
        <f t="shared" si="28"/>
        <v xml:space="preserve"> </v>
      </c>
      <c r="BN122" s="2">
        <f t="shared" si="29"/>
        <v>1</v>
      </c>
      <c r="BR122" s="2" t="str">
        <f t="shared" si="30"/>
        <v/>
      </c>
      <c r="BS122" s="2" t="str">
        <f t="shared" si="31"/>
        <v/>
      </c>
      <c r="BV122" s="2" t="e">
        <f>VLOOKUP(O122,GLAPS정리!$BH$2:$BI$94,2,0)</f>
        <v>#N/A</v>
      </c>
      <c r="BW122" s="2" t="str">
        <f>IF(OR(Z122="동원",Z122="세방",Z122="한타"),"",IFERROR(INDEX(GLAPS정리!$BI$2:$BI$101,MATCH(Z122,GLAPS정리!$BH$2:$BH$101,0)),""))</f>
        <v/>
      </c>
      <c r="BX122" s="2" t="str">
        <f>IF(Z122="","",IFERROR(VLOOKUP(Z122,GLAPS정리!$AX$2:$AZ$17,3,0),""))</f>
        <v/>
      </c>
      <c r="BZ122" s="2" t="e">
        <f>VLOOKUP(H122,GLAPS정리!$L$3:$O$133,2,0)</f>
        <v>#N/A</v>
      </c>
      <c r="CA122" s="2" t="str">
        <f t="shared" si="32"/>
        <v/>
      </c>
      <c r="CL122" s="2" t="e">
        <f>VLOOKUP(AI122,GLAPS정리!$BT$3:$BV$26,3,0)</f>
        <v>#N/A</v>
      </c>
    </row>
    <row r="123" spans="2:90" ht="20.45" customHeight="1">
      <c r="B123" s="13"/>
      <c r="G123" s="1"/>
      <c r="J123" s="3"/>
      <c r="X123" s="13"/>
      <c r="Y123" s="13"/>
      <c r="Z123" s="91"/>
      <c r="AC123" s="2">
        <f t="shared" si="23"/>
        <v>20</v>
      </c>
      <c r="AD123" s="2" t="str">
        <f>IFERROR(INDEX(GLAPS정리!$D$2:$D$50,MATCH(I123,GLAPS정리!$A$2:$A$50,0)),IFERROR(INDEX(GLAPS정리!$D$2:$D$50,MATCH(I123,GLAPS정리!$B$2:$B$50,0)),""))</f>
        <v/>
      </c>
      <c r="AF123" s="2" t="str">
        <f t="shared" si="24"/>
        <v>KR10</v>
      </c>
      <c r="AI123" s="2" t="e">
        <f>VLOOKUP(F123,GLAPS정리!$G$3:$J$114,2,0)</f>
        <v>#N/A</v>
      </c>
      <c r="AJ123" s="2" t="e">
        <f>IF(Z123="울산정일","KRONS",IF(Z123="울산신항","KRUSN",IF(OR(Z123="선광종합물류(인천여객)",Z123="인천여객(인천여객)"),"KRINF",IF(OR(Z123="선광인천보세(인천신)",Z123="한진인천(인천신)",Z123="선광인천신항(인천신)",Z123="인천더로지스(인천신)"),"KRINN",IF(OR(Z123="인천진아(인천항)",Z123="인천E1(인천항)",Z123="인천SM경인터미널(인천항)",Z123="인천항(인천항)",Z123="인천우련(인천항)",Z123="인천항8부두(인천항)"),"KRINC",VLOOKUP(K123,GLAPS정리!$BB$2:$BC$33,2,0))))))</f>
        <v>#N/A</v>
      </c>
      <c r="AL123" s="2">
        <f t="shared" si="25"/>
        <v>5010001</v>
      </c>
      <c r="AN123" s="70" t="str">
        <f t="shared" si="26"/>
        <v>1900-01-00</v>
      </c>
      <c r="AO123" s="2" t="str">
        <f t="shared" si="27"/>
        <v/>
      </c>
      <c r="AP123" s="2" t="e">
        <f>VLOOKUP(C123,GLAPS정리!$AX$2:$AZ$17,3,0)</f>
        <v>#N/A</v>
      </c>
      <c r="AR123" s="2">
        <f t="shared" si="33"/>
        <v>0</v>
      </c>
      <c r="AX123" s="2" t="e">
        <f>VLOOKUP(L123,GLAPS정리!$V$3:$W$180,2,0)</f>
        <v>#N/A</v>
      </c>
      <c r="BM123" s="2" t="str">
        <f t="shared" si="28"/>
        <v xml:space="preserve"> </v>
      </c>
      <c r="BN123" s="2">
        <f t="shared" si="29"/>
        <v>1</v>
      </c>
      <c r="BR123" s="2" t="str">
        <f t="shared" si="30"/>
        <v/>
      </c>
      <c r="BS123" s="2" t="str">
        <f t="shared" si="31"/>
        <v/>
      </c>
      <c r="BV123" s="2" t="e">
        <f>VLOOKUP(O123,GLAPS정리!$BH$2:$BI$94,2,0)</f>
        <v>#N/A</v>
      </c>
      <c r="BW123" s="2" t="str">
        <f>IF(OR(Z123="동원",Z123="세방",Z123="한타"),"",IFERROR(INDEX(GLAPS정리!$BI$2:$BI$101,MATCH(Z123,GLAPS정리!$BH$2:$BH$101,0)),""))</f>
        <v/>
      </c>
      <c r="BX123" s="2" t="str">
        <f>IF(Z123="","",IFERROR(VLOOKUP(Z123,GLAPS정리!$AX$2:$AZ$17,3,0),""))</f>
        <v/>
      </c>
      <c r="BZ123" s="2" t="e">
        <f>VLOOKUP(H123,GLAPS정리!$L$3:$O$133,2,0)</f>
        <v>#N/A</v>
      </c>
      <c r="CA123" s="2" t="str">
        <f t="shared" si="32"/>
        <v/>
      </c>
      <c r="CL123" s="2" t="e">
        <f>VLOOKUP(AI123,GLAPS정리!$BT$3:$BV$26,3,0)</f>
        <v>#N/A</v>
      </c>
    </row>
    <row r="124" spans="2:90" ht="20.45" customHeight="1">
      <c r="B124" s="13"/>
      <c r="G124" s="1"/>
      <c r="J124" s="3"/>
      <c r="X124" s="13"/>
      <c r="Y124" s="13"/>
      <c r="Z124" s="91"/>
      <c r="AC124" s="2">
        <f t="shared" ref="AC124:AC187" si="34">$AC$1</f>
        <v>20</v>
      </c>
      <c r="AD124" s="2" t="str">
        <f>IFERROR(INDEX(GLAPS정리!$D$2:$D$50,MATCH(I124,GLAPS정리!$A$2:$A$50,0)),IFERROR(INDEX(GLAPS정리!$D$2:$D$50,MATCH(I124,GLAPS정리!$B$2:$B$50,0)),""))</f>
        <v/>
      </c>
      <c r="AF124" s="2" t="str">
        <f t="shared" ref="AF124:AF187" si="35">$AF$1</f>
        <v>KR10</v>
      </c>
      <c r="AI124" s="2" t="e">
        <f>VLOOKUP(F124,GLAPS정리!$G$3:$J$114,2,0)</f>
        <v>#N/A</v>
      </c>
      <c r="AJ124" s="2" t="e">
        <f>IF(Z124="울산정일","KRONS",IF(Z124="울산신항","KRUSN",IF(OR(Z124="선광종합물류(인천여객)",Z124="인천여객(인천여객)"),"KRINF",IF(OR(Z124="선광인천보세(인천신)",Z124="한진인천(인천신)",Z124="선광인천신항(인천신)",Z124="인천더로지스(인천신)"),"KRINN",IF(OR(Z124="인천진아(인천항)",Z124="인천E1(인천항)",Z124="인천SM경인터미널(인천항)",Z124="인천항(인천항)",Z124="인천우련(인천항)",Z124="인천항8부두(인천항)"),"KRINC",VLOOKUP(K124,GLAPS정리!$BB$2:$BC$33,2,0))))))</f>
        <v>#N/A</v>
      </c>
      <c r="AL124" s="2">
        <f t="shared" ref="AL124:AL187" si="36">$AL$1</f>
        <v>5010001</v>
      </c>
      <c r="AN124" s="70" t="str">
        <f t="shared" ref="AN124:AN187" si="37">TEXT(B124,"YYYY-MM-DD")</f>
        <v>1900-01-00</v>
      </c>
      <c r="AO124" s="2" t="str">
        <f t="shared" ref="AO124:AO187" si="38">IF(E124="오전", "0800", IF(E124="오후", "1300", IF(E124="잔업", "1800", "")))</f>
        <v/>
      </c>
      <c r="AP124" s="2" t="e">
        <f>VLOOKUP(C124,GLAPS정리!$AX$2:$AZ$17,3,0)</f>
        <v>#N/A</v>
      </c>
      <c r="AR124" s="2">
        <f t="shared" si="33"/>
        <v>0</v>
      </c>
      <c r="AX124" s="2" t="e">
        <f>VLOOKUP(L124,GLAPS정리!$V$3:$W$180,2,0)</f>
        <v>#N/A</v>
      </c>
      <c r="BM124" s="2" t="str">
        <f t="shared" ref="BM124:BM187" si="39">IF(AND(Q124=1,OR(P124="",P124="위험물")), "2210", IF(AND(Q124=1,OR(P124="리퍼",P124="위험물리퍼")), "2230", IF(AND(S124=1,OR(P124="",P124="위험물")), "4510", IF(AND(S124=1,OR(P124="리퍼",P124="위험물리퍼")), "4530", IF(AND(R124=1,OR(P124="",P124="위험물")), "4210", IF(AND(R124=1,P124="리퍼"), "4230", " "))))))</f>
        <v xml:space="preserve"> </v>
      </c>
      <c r="BN124" s="2">
        <f t="shared" ref="BN124:BN187" si="40">$BN$1</f>
        <v>1</v>
      </c>
      <c r="BR124" s="2" t="str">
        <f t="shared" ref="BR124:BR187" si="41">IF(OR(P124="리퍼",P124="위험물리퍼"),"Y","")</f>
        <v/>
      </c>
      <c r="BS124" s="2" t="str">
        <f t="shared" ref="BS124:BS187" si="42">IF(OR(P124="위험물",P124="위험물리퍼"),"Y","")</f>
        <v/>
      </c>
      <c r="BV124" s="2" t="e">
        <f>VLOOKUP(O124,GLAPS정리!$BH$2:$BI$94,2,0)</f>
        <v>#N/A</v>
      </c>
      <c r="BW124" s="2" t="str">
        <f>IF(OR(Z124="동원",Z124="세방",Z124="한타"),"",IFERROR(INDEX(GLAPS정리!$BI$2:$BI$101,MATCH(Z124,GLAPS정리!$BH$2:$BH$101,0)),""))</f>
        <v/>
      </c>
      <c r="BX124" s="2" t="str">
        <f>IF(Z124="","",IFERROR(VLOOKUP(Z124,GLAPS정리!$AX$2:$AZ$17,3,0),""))</f>
        <v/>
      </c>
      <c r="BZ124" s="2" t="e">
        <f>VLOOKUP(H124,GLAPS정리!$L$3:$O$133,2,0)</f>
        <v>#N/A</v>
      </c>
      <c r="CA124" s="2" t="str">
        <f t="shared" ref="CA124:CA187" si="43">IF(V124="공휴일", 10, IF(V124="야간", 20, IF(V124="위험물", 30, IF(V124="중량", 40, ""))))</f>
        <v/>
      </c>
      <c r="CL124" s="2" t="e">
        <f>VLOOKUP(AI124,GLAPS정리!$BT$3:$BV$26,3,0)</f>
        <v>#N/A</v>
      </c>
    </row>
    <row r="125" spans="2:90" ht="20.45" customHeight="1">
      <c r="B125" s="13"/>
      <c r="G125" s="1"/>
      <c r="J125" s="3"/>
      <c r="X125" s="13"/>
      <c r="Y125" s="13"/>
      <c r="Z125" s="91"/>
      <c r="AC125" s="2">
        <f t="shared" si="34"/>
        <v>20</v>
      </c>
      <c r="AD125" s="2" t="str">
        <f>IFERROR(INDEX(GLAPS정리!$D$2:$D$50,MATCH(I125,GLAPS정리!$A$2:$A$50,0)),IFERROR(INDEX(GLAPS정리!$D$2:$D$50,MATCH(I125,GLAPS정리!$B$2:$B$50,0)),""))</f>
        <v/>
      </c>
      <c r="AF125" s="2" t="str">
        <f t="shared" si="35"/>
        <v>KR10</v>
      </c>
      <c r="AI125" s="2" t="e">
        <f>VLOOKUP(F125,GLAPS정리!$G$3:$J$114,2,0)</f>
        <v>#N/A</v>
      </c>
      <c r="AJ125" s="2" t="e">
        <f>IF(Z125="울산정일","KRONS",IF(Z125="울산신항","KRUSN",IF(OR(Z125="선광종합물류(인천여객)",Z125="인천여객(인천여객)"),"KRINF",IF(OR(Z125="선광인천보세(인천신)",Z125="한진인천(인천신)",Z125="선광인천신항(인천신)",Z125="인천더로지스(인천신)"),"KRINN",IF(OR(Z125="인천진아(인천항)",Z125="인천E1(인천항)",Z125="인천SM경인터미널(인천항)",Z125="인천항(인천항)",Z125="인천우련(인천항)",Z125="인천항8부두(인천항)"),"KRINC",VLOOKUP(K125,GLAPS정리!$BB$2:$BC$33,2,0))))))</f>
        <v>#N/A</v>
      </c>
      <c r="AL125" s="2">
        <f t="shared" si="36"/>
        <v>5010001</v>
      </c>
      <c r="AN125" s="70" t="str">
        <f t="shared" si="37"/>
        <v>1900-01-00</v>
      </c>
      <c r="AO125" s="2" t="str">
        <f t="shared" si="38"/>
        <v/>
      </c>
      <c r="AP125" s="2" t="e">
        <f>VLOOKUP(C125,GLAPS정리!$AX$2:$AZ$17,3,0)</f>
        <v>#N/A</v>
      </c>
      <c r="AR125" s="2">
        <f t="shared" si="33"/>
        <v>0</v>
      </c>
      <c r="AX125" s="2" t="e">
        <f>VLOOKUP(L125,GLAPS정리!$V$3:$W$180,2,0)</f>
        <v>#N/A</v>
      </c>
      <c r="BM125" s="2" t="str">
        <f t="shared" si="39"/>
        <v xml:space="preserve"> </v>
      </c>
      <c r="BN125" s="2">
        <f t="shared" si="40"/>
        <v>1</v>
      </c>
      <c r="BR125" s="2" t="str">
        <f t="shared" si="41"/>
        <v/>
      </c>
      <c r="BS125" s="2" t="str">
        <f t="shared" si="42"/>
        <v/>
      </c>
      <c r="BV125" s="2" t="e">
        <f>VLOOKUP(O125,GLAPS정리!$BH$2:$BI$94,2,0)</f>
        <v>#N/A</v>
      </c>
      <c r="BW125" s="2" t="str">
        <f>IF(OR(Z125="동원",Z125="세방",Z125="한타"),"",IFERROR(INDEX(GLAPS정리!$BI$2:$BI$101,MATCH(Z125,GLAPS정리!$BH$2:$BH$101,0)),""))</f>
        <v/>
      </c>
      <c r="BX125" s="2" t="str">
        <f>IF(Z125="","",IFERROR(VLOOKUP(Z125,GLAPS정리!$AX$2:$AZ$17,3,0),""))</f>
        <v/>
      </c>
      <c r="BZ125" s="2" t="e">
        <f>VLOOKUP(H125,GLAPS정리!$L$3:$O$133,2,0)</f>
        <v>#N/A</v>
      </c>
      <c r="CA125" s="2" t="str">
        <f t="shared" si="43"/>
        <v/>
      </c>
      <c r="CL125" s="2" t="e">
        <f>VLOOKUP(AI125,GLAPS정리!$BT$3:$BV$26,3,0)</f>
        <v>#N/A</v>
      </c>
    </row>
    <row r="126" spans="2:90" ht="20.45" customHeight="1">
      <c r="B126" s="13"/>
      <c r="G126" s="3"/>
      <c r="J126" s="3"/>
      <c r="X126" s="13"/>
      <c r="Y126" s="13"/>
      <c r="Z126" s="91"/>
      <c r="AC126" s="2">
        <f t="shared" si="34"/>
        <v>20</v>
      </c>
      <c r="AD126" s="2" t="str">
        <f>IFERROR(INDEX(GLAPS정리!$D$2:$D$50,MATCH(I126,GLAPS정리!$A$2:$A$50,0)),IFERROR(INDEX(GLAPS정리!$D$2:$D$50,MATCH(I126,GLAPS정리!$B$2:$B$50,0)),""))</f>
        <v/>
      </c>
      <c r="AF126" s="2" t="str">
        <f t="shared" si="35"/>
        <v>KR10</v>
      </c>
      <c r="AI126" s="2" t="e">
        <f>VLOOKUP(F126,GLAPS정리!$G$3:$J$114,2,0)</f>
        <v>#N/A</v>
      </c>
      <c r="AJ126" s="2" t="e">
        <f>IF(Z126="울산정일","KRONS",IF(Z126="울산신항","KRUSN",IF(OR(Z126="선광종합물류(인천여객)",Z126="인천여객(인천여객)"),"KRINF",IF(OR(Z126="선광인천보세(인천신)",Z126="한진인천(인천신)",Z126="선광인천신항(인천신)",Z126="인천더로지스(인천신)"),"KRINN",IF(OR(Z126="인천진아(인천항)",Z126="인천E1(인천항)",Z126="인천SM경인터미널(인천항)",Z126="인천항(인천항)",Z126="인천우련(인천항)",Z126="인천항8부두(인천항)"),"KRINC",VLOOKUP(K126,GLAPS정리!$BB$2:$BC$33,2,0))))))</f>
        <v>#N/A</v>
      </c>
      <c r="AL126" s="2">
        <f t="shared" si="36"/>
        <v>5010001</v>
      </c>
      <c r="AN126" s="70" t="str">
        <f t="shared" si="37"/>
        <v>1900-01-00</v>
      </c>
      <c r="AO126" s="2" t="str">
        <f t="shared" si="38"/>
        <v/>
      </c>
      <c r="AP126" s="2" t="e">
        <f>VLOOKUP(C126,GLAPS정리!$AX$2:$AZ$17,3,0)</f>
        <v>#N/A</v>
      </c>
      <c r="AR126" s="2">
        <f t="shared" si="33"/>
        <v>0</v>
      </c>
      <c r="AX126" s="2" t="e">
        <f>VLOOKUP(L126,GLAPS정리!$V$3:$W$180,2,0)</f>
        <v>#N/A</v>
      </c>
      <c r="BM126" s="2" t="str">
        <f t="shared" si="39"/>
        <v xml:space="preserve"> </v>
      </c>
      <c r="BN126" s="2">
        <f t="shared" si="40"/>
        <v>1</v>
      </c>
      <c r="BR126" s="2" t="str">
        <f t="shared" si="41"/>
        <v/>
      </c>
      <c r="BS126" s="2" t="str">
        <f t="shared" si="42"/>
        <v/>
      </c>
      <c r="BV126" s="2" t="e">
        <f>VLOOKUP(O126,GLAPS정리!$BH$2:$BI$94,2,0)</f>
        <v>#N/A</v>
      </c>
      <c r="BW126" s="2" t="str">
        <f>IF(OR(Z126="동원",Z126="세방",Z126="한타"),"",IFERROR(INDEX(GLAPS정리!$BI$2:$BI$101,MATCH(Z126,GLAPS정리!$BH$2:$BH$101,0)),""))</f>
        <v/>
      </c>
      <c r="BX126" s="2" t="str">
        <f>IF(Z126="","",IFERROR(VLOOKUP(Z126,GLAPS정리!$AX$2:$AZ$17,3,0),""))</f>
        <v/>
      </c>
      <c r="BZ126" s="2" t="e">
        <f>VLOOKUP(H126,GLAPS정리!$L$3:$O$133,2,0)</f>
        <v>#N/A</v>
      </c>
      <c r="CA126" s="2" t="str">
        <f t="shared" si="43"/>
        <v/>
      </c>
      <c r="CL126" s="2" t="e">
        <f>VLOOKUP(AI126,GLAPS정리!$BT$3:$BV$26,3,0)</f>
        <v>#N/A</v>
      </c>
    </row>
    <row r="127" spans="2:90" ht="20.45" customHeight="1">
      <c r="B127" s="13"/>
      <c r="G127" s="3"/>
      <c r="J127" s="3"/>
      <c r="X127" s="13"/>
      <c r="Y127" s="13"/>
      <c r="Z127" s="91"/>
      <c r="AC127" s="2">
        <f t="shared" si="34"/>
        <v>20</v>
      </c>
      <c r="AD127" s="2" t="str">
        <f>IFERROR(INDEX(GLAPS정리!$D$2:$D$50,MATCH(I127,GLAPS정리!$A$2:$A$50,0)),IFERROR(INDEX(GLAPS정리!$D$2:$D$50,MATCH(I127,GLAPS정리!$B$2:$B$50,0)),""))</f>
        <v/>
      </c>
      <c r="AF127" s="2" t="str">
        <f t="shared" si="35"/>
        <v>KR10</v>
      </c>
      <c r="AI127" s="2" t="e">
        <f>VLOOKUP(F127,GLAPS정리!$G$3:$J$114,2,0)</f>
        <v>#N/A</v>
      </c>
      <c r="AJ127" s="2" t="e">
        <f>IF(Z127="울산정일","KRONS",IF(Z127="울산신항","KRUSN",IF(OR(Z127="선광종합물류(인천여객)",Z127="인천여객(인천여객)"),"KRINF",IF(OR(Z127="선광인천보세(인천신)",Z127="한진인천(인천신)",Z127="선광인천신항(인천신)",Z127="인천더로지스(인천신)"),"KRINN",IF(OR(Z127="인천진아(인천항)",Z127="인천E1(인천항)",Z127="인천SM경인터미널(인천항)",Z127="인천항(인천항)",Z127="인천우련(인천항)",Z127="인천항8부두(인천항)"),"KRINC",VLOOKUP(K127,GLAPS정리!$BB$2:$BC$33,2,0))))))</f>
        <v>#N/A</v>
      </c>
      <c r="AL127" s="2">
        <f t="shared" si="36"/>
        <v>5010001</v>
      </c>
      <c r="AN127" s="70" t="str">
        <f t="shared" si="37"/>
        <v>1900-01-00</v>
      </c>
      <c r="AO127" s="2" t="str">
        <f t="shared" si="38"/>
        <v/>
      </c>
      <c r="AP127" s="2" t="e">
        <f>VLOOKUP(C127,GLAPS정리!$AX$2:$AZ$17,3,0)</f>
        <v>#N/A</v>
      </c>
      <c r="AR127" s="2">
        <f t="shared" si="33"/>
        <v>0</v>
      </c>
      <c r="AX127" s="2" t="e">
        <f>VLOOKUP(L127,GLAPS정리!$V$3:$W$180,2,0)</f>
        <v>#N/A</v>
      </c>
      <c r="BM127" s="2" t="str">
        <f t="shared" si="39"/>
        <v xml:space="preserve"> </v>
      </c>
      <c r="BN127" s="2">
        <f t="shared" si="40"/>
        <v>1</v>
      </c>
      <c r="BR127" s="2" t="str">
        <f t="shared" si="41"/>
        <v/>
      </c>
      <c r="BS127" s="2" t="str">
        <f t="shared" si="42"/>
        <v/>
      </c>
      <c r="BV127" s="2" t="e">
        <f>VLOOKUP(O127,GLAPS정리!$BH$2:$BI$94,2,0)</f>
        <v>#N/A</v>
      </c>
      <c r="BW127" s="2" t="str">
        <f>IF(OR(Z127="동원",Z127="세방",Z127="한타"),"",IFERROR(INDEX(GLAPS정리!$BI$2:$BI$101,MATCH(Z127,GLAPS정리!$BH$2:$BH$101,0)),""))</f>
        <v/>
      </c>
      <c r="BX127" s="2" t="str">
        <f>IF(Z127="","",IFERROR(VLOOKUP(Z127,GLAPS정리!$AX$2:$AZ$17,3,0),""))</f>
        <v/>
      </c>
      <c r="BZ127" s="2" t="e">
        <f>VLOOKUP(H127,GLAPS정리!$L$3:$O$133,2,0)</f>
        <v>#N/A</v>
      </c>
      <c r="CA127" s="2" t="str">
        <f t="shared" si="43"/>
        <v/>
      </c>
      <c r="CL127" s="2" t="e">
        <f>VLOOKUP(AI127,GLAPS정리!$BT$3:$BV$26,3,0)</f>
        <v>#N/A</v>
      </c>
    </row>
    <row r="128" spans="2:90" ht="20.45" customHeight="1">
      <c r="B128" s="13"/>
      <c r="G128" s="3"/>
      <c r="J128" s="3"/>
      <c r="X128" s="13"/>
      <c r="Y128" s="13"/>
      <c r="Z128" s="91"/>
      <c r="AC128" s="2">
        <f t="shared" si="34"/>
        <v>20</v>
      </c>
      <c r="AD128" s="2" t="str">
        <f>IFERROR(INDEX(GLAPS정리!$D$2:$D$50,MATCH(I128,GLAPS정리!$A$2:$A$50,0)),IFERROR(INDEX(GLAPS정리!$D$2:$D$50,MATCH(I128,GLAPS정리!$B$2:$B$50,0)),""))</f>
        <v/>
      </c>
      <c r="AF128" s="2" t="str">
        <f t="shared" si="35"/>
        <v>KR10</v>
      </c>
      <c r="AI128" s="2" t="e">
        <f>VLOOKUP(F128,GLAPS정리!$G$3:$J$114,2,0)</f>
        <v>#N/A</v>
      </c>
      <c r="AJ128" s="2" t="e">
        <f>IF(Z128="울산정일","KRONS",IF(Z128="울산신항","KRUSN",IF(OR(Z128="선광종합물류(인천여객)",Z128="인천여객(인천여객)"),"KRINF",IF(OR(Z128="선광인천보세(인천신)",Z128="한진인천(인천신)",Z128="선광인천신항(인천신)",Z128="인천더로지스(인천신)"),"KRINN",IF(OR(Z128="인천진아(인천항)",Z128="인천E1(인천항)",Z128="인천SM경인터미널(인천항)",Z128="인천항(인천항)",Z128="인천우련(인천항)",Z128="인천항8부두(인천항)"),"KRINC",VLOOKUP(K128,GLAPS정리!$BB$2:$BC$33,2,0))))))</f>
        <v>#N/A</v>
      </c>
      <c r="AL128" s="2">
        <f t="shared" si="36"/>
        <v>5010001</v>
      </c>
      <c r="AN128" s="70" t="str">
        <f t="shared" si="37"/>
        <v>1900-01-00</v>
      </c>
      <c r="AO128" s="2" t="str">
        <f t="shared" si="38"/>
        <v/>
      </c>
      <c r="AP128" s="2" t="e">
        <f>VLOOKUP(C128,GLAPS정리!$AX$2:$AZ$17,3,0)</f>
        <v>#N/A</v>
      </c>
      <c r="AR128" s="2">
        <f t="shared" si="33"/>
        <v>0</v>
      </c>
      <c r="AX128" s="2" t="e">
        <f>VLOOKUP(L128,GLAPS정리!$V$3:$W$180,2,0)</f>
        <v>#N/A</v>
      </c>
      <c r="BM128" s="2" t="str">
        <f t="shared" si="39"/>
        <v xml:space="preserve"> </v>
      </c>
      <c r="BN128" s="2">
        <f t="shared" si="40"/>
        <v>1</v>
      </c>
      <c r="BR128" s="2" t="str">
        <f t="shared" si="41"/>
        <v/>
      </c>
      <c r="BS128" s="2" t="str">
        <f t="shared" si="42"/>
        <v/>
      </c>
      <c r="BV128" s="2" t="e">
        <f>VLOOKUP(O128,GLAPS정리!$BH$2:$BI$94,2,0)</f>
        <v>#N/A</v>
      </c>
      <c r="BW128" s="2" t="str">
        <f>IF(OR(Z128="동원",Z128="세방",Z128="한타"),"",IFERROR(INDEX(GLAPS정리!$BI$2:$BI$101,MATCH(Z128,GLAPS정리!$BH$2:$BH$101,0)),""))</f>
        <v/>
      </c>
      <c r="BX128" s="2" t="str">
        <f>IF(Z128="","",IFERROR(VLOOKUP(Z128,GLAPS정리!$AX$2:$AZ$17,3,0),""))</f>
        <v/>
      </c>
      <c r="BZ128" s="2" t="e">
        <f>VLOOKUP(H128,GLAPS정리!$L$3:$O$133,2,0)</f>
        <v>#N/A</v>
      </c>
      <c r="CA128" s="2" t="str">
        <f t="shared" si="43"/>
        <v/>
      </c>
      <c r="CL128" s="2" t="e">
        <f>VLOOKUP(AI128,GLAPS정리!$BT$3:$BV$26,3,0)</f>
        <v>#N/A</v>
      </c>
    </row>
    <row r="129" spans="2:90" ht="20.45" customHeight="1">
      <c r="B129" s="13"/>
      <c r="G129" s="3"/>
      <c r="J129" s="3"/>
      <c r="X129" s="13"/>
      <c r="Y129" s="13"/>
      <c r="Z129" s="91"/>
      <c r="AC129" s="2">
        <f t="shared" si="34"/>
        <v>20</v>
      </c>
      <c r="AD129" s="2" t="str">
        <f>IFERROR(INDEX(GLAPS정리!$D$2:$D$50,MATCH(I129,GLAPS정리!$A$2:$A$50,0)),IFERROR(INDEX(GLAPS정리!$D$2:$D$50,MATCH(I129,GLAPS정리!$B$2:$B$50,0)),""))</f>
        <v/>
      </c>
      <c r="AF129" s="2" t="str">
        <f t="shared" si="35"/>
        <v>KR10</v>
      </c>
      <c r="AI129" s="2" t="e">
        <f>VLOOKUP(F129,GLAPS정리!$G$3:$J$114,2,0)</f>
        <v>#N/A</v>
      </c>
      <c r="AJ129" s="2" t="e">
        <f>IF(Z129="울산정일","KRONS",IF(Z129="울산신항","KRUSN",IF(OR(Z129="선광종합물류(인천여객)",Z129="인천여객(인천여객)"),"KRINF",IF(OR(Z129="선광인천보세(인천신)",Z129="한진인천(인천신)",Z129="선광인천신항(인천신)",Z129="인천더로지스(인천신)"),"KRINN",IF(OR(Z129="인천진아(인천항)",Z129="인천E1(인천항)",Z129="인천SM경인터미널(인천항)",Z129="인천항(인천항)",Z129="인천우련(인천항)",Z129="인천항8부두(인천항)"),"KRINC",VLOOKUP(K129,GLAPS정리!$BB$2:$BC$33,2,0))))))</f>
        <v>#N/A</v>
      </c>
      <c r="AL129" s="2">
        <f t="shared" si="36"/>
        <v>5010001</v>
      </c>
      <c r="AN129" s="70" t="str">
        <f t="shared" si="37"/>
        <v>1900-01-00</v>
      </c>
      <c r="AO129" s="2" t="str">
        <f t="shared" si="38"/>
        <v/>
      </c>
      <c r="AP129" s="2" t="e">
        <f>VLOOKUP(C129,GLAPS정리!$AX$2:$AZ$17,3,0)</f>
        <v>#N/A</v>
      </c>
      <c r="AR129" s="2">
        <f t="shared" si="33"/>
        <v>0</v>
      </c>
      <c r="AX129" s="2" t="e">
        <f>VLOOKUP(L129,GLAPS정리!$V$3:$W$180,2,0)</f>
        <v>#N/A</v>
      </c>
      <c r="BM129" s="2" t="str">
        <f t="shared" si="39"/>
        <v xml:space="preserve"> </v>
      </c>
      <c r="BN129" s="2">
        <f t="shared" si="40"/>
        <v>1</v>
      </c>
      <c r="BR129" s="2" t="str">
        <f t="shared" si="41"/>
        <v/>
      </c>
      <c r="BS129" s="2" t="str">
        <f t="shared" si="42"/>
        <v/>
      </c>
      <c r="BV129" s="2" t="e">
        <f>VLOOKUP(O129,GLAPS정리!$BH$2:$BI$94,2,0)</f>
        <v>#N/A</v>
      </c>
      <c r="BW129" s="2" t="str">
        <f>IF(OR(Z129="동원",Z129="세방",Z129="한타"),"",IFERROR(INDEX(GLAPS정리!$BI$2:$BI$101,MATCH(Z129,GLAPS정리!$BH$2:$BH$101,0)),""))</f>
        <v/>
      </c>
      <c r="BX129" s="2" t="str">
        <f>IF(Z129="","",IFERROR(VLOOKUP(Z129,GLAPS정리!$AX$2:$AZ$17,3,0),""))</f>
        <v/>
      </c>
      <c r="BZ129" s="2" t="e">
        <f>VLOOKUP(H129,GLAPS정리!$L$3:$O$133,2,0)</f>
        <v>#N/A</v>
      </c>
      <c r="CA129" s="2" t="str">
        <f t="shared" si="43"/>
        <v/>
      </c>
      <c r="CL129" s="2" t="e">
        <f>VLOOKUP(AI129,GLAPS정리!$BT$3:$BV$26,3,0)</f>
        <v>#N/A</v>
      </c>
    </row>
    <row r="130" spans="2:90" ht="20.45" customHeight="1">
      <c r="B130" s="13"/>
      <c r="G130" s="3"/>
      <c r="J130" s="3"/>
      <c r="X130" s="13"/>
      <c r="Y130" s="13"/>
      <c r="Z130" s="91"/>
      <c r="AC130" s="2">
        <f t="shared" si="34"/>
        <v>20</v>
      </c>
      <c r="AD130" s="2" t="str">
        <f>IFERROR(INDEX(GLAPS정리!$D$2:$D$50,MATCH(I130,GLAPS정리!$A$2:$A$50,0)),IFERROR(INDEX(GLAPS정리!$D$2:$D$50,MATCH(I130,GLAPS정리!$B$2:$B$50,0)),""))</f>
        <v/>
      </c>
      <c r="AF130" s="2" t="str">
        <f t="shared" si="35"/>
        <v>KR10</v>
      </c>
      <c r="AI130" s="2" t="e">
        <f>VLOOKUP(F130,GLAPS정리!$G$3:$J$114,2,0)</f>
        <v>#N/A</v>
      </c>
      <c r="AJ130" s="2" t="e">
        <f>IF(Z130="울산정일","KRONS",IF(Z130="울산신항","KRUSN",IF(OR(Z130="선광종합물류(인천여객)",Z130="인천여객(인천여객)"),"KRINF",IF(OR(Z130="선광인천보세(인천신)",Z130="한진인천(인천신)",Z130="선광인천신항(인천신)",Z130="인천더로지스(인천신)"),"KRINN",IF(OR(Z130="인천진아(인천항)",Z130="인천E1(인천항)",Z130="인천SM경인터미널(인천항)",Z130="인천항(인천항)",Z130="인천우련(인천항)",Z130="인천항8부두(인천항)"),"KRINC",VLOOKUP(K130,GLAPS정리!$BB$2:$BC$33,2,0))))))</f>
        <v>#N/A</v>
      </c>
      <c r="AL130" s="2">
        <f t="shared" si="36"/>
        <v>5010001</v>
      </c>
      <c r="AN130" s="70" t="str">
        <f t="shared" si="37"/>
        <v>1900-01-00</v>
      </c>
      <c r="AO130" s="2" t="str">
        <f t="shared" si="38"/>
        <v/>
      </c>
      <c r="AP130" s="2" t="e">
        <f>VLOOKUP(C130,GLAPS정리!$AX$2:$AZ$17,3,0)</f>
        <v>#N/A</v>
      </c>
      <c r="AR130" s="2">
        <f t="shared" si="33"/>
        <v>0</v>
      </c>
      <c r="AX130" s="2" t="e">
        <f>VLOOKUP(L130,GLAPS정리!$V$3:$W$180,2,0)</f>
        <v>#N/A</v>
      </c>
      <c r="BM130" s="2" t="str">
        <f t="shared" si="39"/>
        <v xml:space="preserve"> </v>
      </c>
      <c r="BN130" s="2">
        <f t="shared" si="40"/>
        <v>1</v>
      </c>
      <c r="BR130" s="2" t="str">
        <f t="shared" si="41"/>
        <v/>
      </c>
      <c r="BS130" s="2" t="str">
        <f t="shared" si="42"/>
        <v/>
      </c>
      <c r="BV130" s="2" t="e">
        <f>VLOOKUP(O130,GLAPS정리!$BH$2:$BI$94,2,0)</f>
        <v>#N/A</v>
      </c>
      <c r="BW130" s="2" t="str">
        <f>IF(OR(Z130="동원",Z130="세방",Z130="한타"),"",IFERROR(INDEX(GLAPS정리!$BI$2:$BI$101,MATCH(Z130,GLAPS정리!$BH$2:$BH$101,0)),""))</f>
        <v/>
      </c>
      <c r="BX130" s="2" t="str">
        <f>IF(Z130="","",IFERROR(VLOOKUP(Z130,GLAPS정리!$AX$2:$AZ$17,3,0),""))</f>
        <v/>
      </c>
      <c r="BZ130" s="2" t="e">
        <f>VLOOKUP(H130,GLAPS정리!$L$3:$O$133,2,0)</f>
        <v>#N/A</v>
      </c>
      <c r="CA130" s="2" t="str">
        <f t="shared" si="43"/>
        <v/>
      </c>
      <c r="CL130" s="2" t="e">
        <f>VLOOKUP(AI130,GLAPS정리!$BT$3:$BV$26,3,0)</f>
        <v>#N/A</v>
      </c>
    </row>
    <row r="131" spans="2:90" ht="20.45" customHeight="1">
      <c r="B131" s="13"/>
      <c r="G131" s="3"/>
      <c r="J131" s="3"/>
      <c r="Q131" s="3" t="str">
        <f t="shared" ref="Q131:Q187" si="44">IF(J131="20 FeeT",1,"")</f>
        <v/>
      </c>
      <c r="R131" s="3" t="str">
        <f t="shared" ref="R131:R187" si="45">IF(J131="40 Feet N",1,"")</f>
        <v/>
      </c>
      <c r="S131" s="3" t="str">
        <f t="shared" ref="S131:S187" si="46">IF(J131="40 Feet H",1,"")</f>
        <v/>
      </c>
      <c r="X131" s="13"/>
      <c r="Y131" s="13"/>
      <c r="Z131" s="91"/>
      <c r="AC131" s="2">
        <f t="shared" si="34"/>
        <v>20</v>
      </c>
      <c r="AD131" s="2" t="str">
        <f>IFERROR(INDEX(GLAPS정리!$D$2:$D$50,MATCH(I131,GLAPS정리!$A$2:$A$50,0)),IFERROR(INDEX(GLAPS정리!$D$2:$D$50,MATCH(I131,GLAPS정리!$B$2:$B$50,0)),""))</f>
        <v/>
      </c>
      <c r="AF131" s="2" t="str">
        <f t="shared" si="35"/>
        <v>KR10</v>
      </c>
      <c r="AI131" s="2" t="e">
        <f>VLOOKUP(F131,GLAPS정리!$G$3:$J$114,2,0)</f>
        <v>#N/A</v>
      </c>
      <c r="AJ131" s="2" t="e">
        <f>IF(Z131="울산정일","KRONS",IF(Z131="울산신항","KRUSN",IF(OR(Z131="선광종합물류(인천여객)",Z131="인천여객(인천여객)"),"KRINF",IF(OR(Z131="선광인천보세(인천신)",Z131="한진인천(인천신)",Z131="선광인천신항(인천신)",Z131="인천더로지스(인천신)"),"KRINN",IF(OR(Z131="인천진아(인천항)",Z131="인천E1(인천항)",Z131="인천SM경인터미널(인천항)",Z131="인천항(인천항)",Z131="인천우련(인천항)",Z131="인천항8부두(인천항)"),"KRINC",VLOOKUP(K131,GLAPS정리!$BB$2:$BC$33,2,0))))))</f>
        <v>#N/A</v>
      </c>
      <c r="AL131" s="2">
        <f t="shared" si="36"/>
        <v>5010001</v>
      </c>
      <c r="AN131" s="70" t="str">
        <f t="shared" si="37"/>
        <v>1900-01-00</v>
      </c>
      <c r="AO131" s="2" t="str">
        <f t="shared" si="38"/>
        <v/>
      </c>
      <c r="AP131" s="2" t="e">
        <f>VLOOKUP(C131,GLAPS정리!$AX$2:$AZ$17,3,0)</f>
        <v>#N/A</v>
      </c>
      <c r="AR131" s="2">
        <f t="shared" ref="AR131:AR194" si="47">X131</f>
        <v>0</v>
      </c>
      <c r="AX131" s="2" t="e">
        <f>VLOOKUP(L131,GLAPS정리!$V$3:$W$180,2,0)</f>
        <v>#N/A</v>
      </c>
      <c r="BM131" s="2" t="str">
        <f t="shared" si="39"/>
        <v xml:space="preserve"> </v>
      </c>
      <c r="BN131" s="2">
        <f t="shared" si="40"/>
        <v>1</v>
      </c>
      <c r="BR131" s="2" t="str">
        <f t="shared" si="41"/>
        <v/>
      </c>
      <c r="BS131" s="2" t="str">
        <f t="shared" si="42"/>
        <v/>
      </c>
      <c r="BV131" s="2" t="e">
        <f>VLOOKUP(O131,GLAPS정리!$BH$2:$BI$94,2,0)</f>
        <v>#N/A</v>
      </c>
      <c r="BW131" s="2" t="str">
        <f>IF(OR(Z131="동원",Z131="세방",Z131="한타"),"",IFERROR(INDEX(GLAPS정리!$BI$2:$BI$101,MATCH(Z131,GLAPS정리!$BH$2:$BH$101,0)),""))</f>
        <v/>
      </c>
      <c r="BX131" s="2" t="str">
        <f>IF(Z131="","",IFERROR(VLOOKUP(Z131,GLAPS정리!$AX$2:$AZ$17,3,0),""))</f>
        <v/>
      </c>
      <c r="BZ131" s="2" t="e">
        <f>VLOOKUP(H131,GLAPS정리!$L$3:$O$133,2,0)</f>
        <v>#N/A</v>
      </c>
      <c r="CA131" s="2" t="str">
        <f t="shared" si="43"/>
        <v/>
      </c>
      <c r="CL131" s="2" t="e">
        <f>VLOOKUP(AI131,GLAPS정리!$BT$3:$BV$26,3,0)</f>
        <v>#N/A</v>
      </c>
    </row>
    <row r="132" spans="2:90" ht="20.45" customHeight="1">
      <c r="B132" s="13"/>
      <c r="G132" s="3"/>
      <c r="J132" s="3"/>
      <c r="Q132" s="3" t="str">
        <f t="shared" si="44"/>
        <v/>
      </c>
      <c r="R132" s="3" t="str">
        <f t="shared" si="45"/>
        <v/>
      </c>
      <c r="S132" s="3" t="str">
        <f t="shared" si="46"/>
        <v/>
      </c>
      <c r="X132" s="13"/>
      <c r="Y132" s="13"/>
      <c r="Z132" s="91"/>
      <c r="AC132" s="2">
        <f t="shared" si="34"/>
        <v>20</v>
      </c>
      <c r="AD132" s="2" t="str">
        <f>IFERROR(INDEX(GLAPS정리!$D$2:$D$50,MATCH(I132,GLAPS정리!$A$2:$A$50,0)),IFERROR(INDEX(GLAPS정리!$D$2:$D$50,MATCH(I132,GLAPS정리!$B$2:$B$50,0)),""))</f>
        <v/>
      </c>
      <c r="AF132" s="2" t="str">
        <f t="shared" si="35"/>
        <v>KR10</v>
      </c>
      <c r="AI132" s="2" t="e">
        <f>VLOOKUP(F132,GLAPS정리!$G$3:$J$114,2,0)</f>
        <v>#N/A</v>
      </c>
      <c r="AJ132" s="2" t="e">
        <f>IF(Z132="울산정일","KRONS",IF(Z132="울산신항","KRUSN",IF(OR(Z132="선광종합물류(인천여객)",Z132="인천여객(인천여객)"),"KRINF",IF(OR(Z132="선광인천보세(인천신)",Z132="한진인천(인천신)",Z132="선광인천신항(인천신)",Z132="인천더로지스(인천신)"),"KRINN",IF(OR(Z132="인천진아(인천항)",Z132="인천E1(인천항)",Z132="인천SM경인터미널(인천항)",Z132="인천항(인천항)",Z132="인천우련(인천항)",Z132="인천항8부두(인천항)"),"KRINC",VLOOKUP(K132,GLAPS정리!$BB$2:$BC$33,2,0))))))</f>
        <v>#N/A</v>
      </c>
      <c r="AL132" s="2">
        <f t="shared" si="36"/>
        <v>5010001</v>
      </c>
      <c r="AN132" s="70" t="str">
        <f t="shared" si="37"/>
        <v>1900-01-00</v>
      </c>
      <c r="AO132" s="2" t="str">
        <f t="shared" si="38"/>
        <v/>
      </c>
      <c r="AP132" s="2" t="e">
        <f>VLOOKUP(C132,GLAPS정리!$AX$2:$AZ$17,3,0)</f>
        <v>#N/A</v>
      </c>
      <c r="AR132" s="2">
        <f t="shared" si="47"/>
        <v>0</v>
      </c>
      <c r="AX132" s="2" t="e">
        <f>VLOOKUP(L132,GLAPS정리!$V$3:$W$180,2,0)</f>
        <v>#N/A</v>
      </c>
      <c r="BM132" s="2" t="str">
        <f t="shared" si="39"/>
        <v xml:space="preserve"> </v>
      </c>
      <c r="BN132" s="2">
        <f t="shared" si="40"/>
        <v>1</v>
      </c>
      <c r="BR132" s="2" t="str">
        <f t="shared" si="41"/>
        <v/>
      </c>
      <c r="BS132" s="2" t="str">
        <f t="shared" si="42"/>
        <v/>
      </c>
      <c r="BV132" s="2" t="e">
        <f>VLOOKUP(O132,GLAPS정리!$BH$2:$BI$94,2,0)</f>
        <v>#N/A</v>
      </c>
      <c r="BW132" s="2" t="str">
        <f>IF(OR(Z132="동원",Z132="세방",Z132="한타"),"",IFERROR(INDEX(GLAPS정리!$BI$2:$BI$101,MATCH(Z132,GLAPS정리!$BH$2:$BH$101,0)),""))</f>
        <v/>
      </c>
      <c r="BX132" s="2" t="str">
        <f>IF(Z132="","",IFERROR(VLOOKUP(Z132,GLAPS정리!$AX$2:$AZ$17,3,0),""))</f>
        <v/>
      </c>
      <c r="BZ132" s="2" t="e">
        <f>VLOOKUP(H132,GLAPS정리!$L$3:$O$133,2,0)</f>
        <v>#N/A</v>
      </c>
      <c r="CA132" s="2" t="str">
        <f t="shared" si="43"/>
        <v/>
      </c>
      <c r="CL132" s="2" t="e">
        <f>VLOOKUP(AI132,GLAPS정리!$BT$3:$BV$26,3,0)</f>
        <v>#N/A</v>
      </c>
    </row>
    <row r="133" spans="2:90" ht="20.45" customHeight="1">
      <c r="B133" s="13"/>
      <c r="G133" s="3"/>
      <c r="J133" s="3"/>
      <c r="Q133" s="3" t="str">
        <f t="shared" si="44"/>
        <v/>
      </c>
      <c r="R133" s="3" t="str">
        <f t="shared" si="45"/>
        <v/>
      </c>
      <c r="S133" s="3" t="str">
        <f t="shared" si="46"/>
        <v/>
      </c>
      <c r="X133" s="13"/>
      <c r="Y133" s="13"/>
      <c r="Z133" s="91"/>
      <c r="AC133" s="2">
        <f t="shared" si="34"/>
        <v>20</v>
      </c>
      <c r="AD133" s="2" t="str">
        <f>IFERROR(INDEX(GLAPS정리!$D$2:$D$50,MATCH(I133,GLAPS정리!$A$2:$A$50,0)),IFERROR(INDEX(GLAPS정리!$D$2:$D$50,MATCH(I133,GLAPS정리!$B$2:$B$50,0)),""))</f>
        <v/>
      </c>
      <c r="AF133" s="2" t="str">
        <f t="shared" si="35"/>
        <v>KR10</v>
      </c>
      <c r="AI133" s="2" t="e">
        <f>VLOOKUP(F133,GLAPS정리!$G$3:$J$114,2,0)</f>
        <v>#N/A</v>
      </c>
      <c r="AJ133" s="2" t="e">
        <f>IF(Z133="울산정일","KRONS",IF(Z133="울산신항","KRUSN",IF(OR(Z133="선광종합물류(인천여객)",Z133="인천여객(인천여객)"),"KRINF",IF(OR(Z133="선광인천보세(인천신)",Z133="한진인천(인천신)",Z133="선광인천신항(인천신)",Z133="인천더로지스(인천신)"),"KRINN",IF(OR(Z133="인천진아(인천항)",Z133="인천E1(인천항)",Z133="인천SM경인터미널(인천항)",Z133="인천항(인천항)",Z133="인천우련(인천항)",Z133="인천항8부두(인천항)"),"KRINC",VLOOKUP(K133,GLAPS정리!$BB$2:$BC$33,2,0))))))</f>
        <v>#N/A</v>
      </c>
      <c r="AL133" s="2">
        <f t="shared" si="36"/>
        <v>5010001</v>
      </c>
      <c r="AN133" s="70" t="str">
        <f t="shared" si="37"/>
        <v>1900-01-00</v>
      </c>
      <c r="AO133" s="2" t="str">
        <f t="shared" si="38"/>
        <v/>
      </c>
      <c r="AP133" s="2" t="e">
        <f>VLOOKUP(C133,GLAPS정리!$AX$2:$AZ$17,3,0)</f>
        <v>#N/A</v>
      </c>
      <c r="AR133" s="2">
        <f t="shared" si="47"/>
        <v>0</v>
      </c>
      <c r="AX133" s="2" t="e">
        <f>VLOOKUP(L133,GLAPS정리!$V$3:$W$180,2,0)</f>
        <v>#N/A</v>
      </c>
      <c r="BM133" s="2" t="str">
        <f t="shared" si="39"/>
        <v xml:space="preserve"> </v>
      </c>
      <c r="BN133" s="2">
        <f t="shared" si="40"/>
        <v>1</v>
      </c>
      <c r="BR133" s="2" t="str">
        <f t="shared" si="41"/>
        <v/>
      </c>
      <c r="BS133" s="2" t="str">
        <f t="shared" si="42"/>
        <v/>
      </c>
      <c r="BV133" s="2" t="e">
        <f>VLOOKUP(O133,GLAPS정리!$BH$2:$BI$94,2,0)</f>
        <v>#N/A</v>
      </c>
      <c r="BW133" s="2" t="str">
        <f>IF(OR(Z133="동원",Z133="세방",Z133="한타"),"",IFERROR(INDEX(GLAPS정리!$BI$2:$BI$101,MATCH(Z133,GLAPS정리!$BH$2:$BH$101,0)),""))</f>
        <v/>
      </c>
      <c r="BX133" s="2" t="str">
        <f>IF(Z133="","",IFERROR(VLOOKUP(Z133,GLAPS정리!$AX$2:$AZ$17,3,0),""))</f>
        <v/>
      </c>
      <c r="BZ133" s="2" t="e">
        <f>VLOOKUP(H133,GLAPS정리!$L$3:$O$133,2,0)</f>
        <v>#N/A</v>
      </c>
      <c r="CA133" s="2" t="str">
        <f t="shared" si="43"/>
        <v/>
      </c>
      <c r="CL133" s="2" t="e">
        <f>VLOOKUP(AI133,GLAPS정리!$BT$3:$BV$26,3,0)</f>
        <v>#N/A</v>
      </c>
    </row>
    <row r="134" spans="2:90" ht="20.45" customHeight="1">
      <c r="B134" s="13"/>
      <c r="G134" s="3"/>
      <c r="J134" s="3"/>
      <c r="Q134" s="3" t="str">
        <f t="shared" si="44"/>
        <v/>
      </c>
      <c r="R134" s="3" t="str">
        <f t="shared" si="45"/>
        <v/>
      </c>
      <c r="S134" s="3" t="str">
        <f t="shared" si="46"/>
        <v/>
      </c>
      <c r="X134" s="13"/>
      <c r="Y134" s="13"/>
      <c r="Z134" s="91"/>
      <c r="AC134" s="2">
        <f t="shared" si="34"/>
        <v>20</v>
      </c>
      <c r="AD134" s="2" t="str">
        <f>IFERROR(INDEX(GLAPS정리!$D$2:$D$50,MATCH(I134,GLAPS정리!$A$2:$A$50,0)),IFERROR(INDEX(GLAPS정리!$D$2:$D$50,MATCH(I134,GLAPS정리!$B$2:$B$50,0)),""))</f>
        <v/>
      </c>
      <c r="AF134" s="2" t="str">
        <f t="shared" si="35"/>
        <v>KR10</v>
      </c>
      <c r="AI134" s="2" t="e">
        <f>VLOOKUP(F134,GLAPS정리!$G$3:$J$114,2,0)</f>
        <v>#N/A</v>
      </c>
      <c r="AJ134" s="2" t="e">
        <f>IF(Z134="울산정일","KRONS",IF(Z134="울산신항","KRUSN",IF(OR(Z134="선광종합물류(인천여객)",Z134="인천여객(인천여객)"),"KRINF",IF(OR(Z134="선광인천보세(인천신)",Z134="한진인천(인천신)",Z134="선광인천신항(인천신)",Z134="인천더로지스(인천신)"),"KRINN",IF(OR(Z134="인천진아(인천항)",Z134="인천E1(인천항)",Z134="인천SM경인터미널(인천항)",Z134="인천항(인천항)",Z134="인천우련(인천항)",Z134="인천항8부두(인천항)"),"KRINC",VLOOKUP(K134,GLAPS정리!$BB$2:$BC$33,2,0))))))</f>
        <v>#N/A</v>
      </c>
      <c r="AL134" s="2">
        <f t="shared" si="36"/>
        <v>5010001</v>
      </c>
      <c r="AN134" s="70" t="str">
        <f t="shared" si="37"/>
        <v>1900-01-00</v>
      </c>
      <c r="AO134" s="2" t="str">
        <f t="shared" si="38"/>
        <v/>
      </c>
      <c r="AP134" s="2" t="e">
        <f>VLOOKUP(C134,GLAPS정리!$AX$2:$AZ$17,3,0)</f>
        <v>#N/A</v>
      </c>
      <c r="AR134" s="2">
        <f t="shared" si="47"/>
        <v>0</v>
      </c>
      <c r="AX134" s="2" t="e">
        <f>VLOOKUP(L134,GLAPS정리!$V$3:$W$180,2,0)</f>
        <v>#N/A</v>
      </c>
      <c r="BM134" s="2" t="str">
        <f t="shared" si="39"/>
        <v xml:space="preserve"> </v>
      </c>
      <c r="BN134" s="2">
        <f t="shared" si="40"/>
        <v>1</v>
      </c>
      <c r="BR134" s="2" t="str">
        <f t="shared" si="41"/>
        <v/>
      </c>
      <c r="BS134" s="2" t="str">
        <f t="shared" si="42"/>
        <v/>
      </c>
      <c r="BV134" s="2" t="e">
        <f>VLOOKUP(O134,GLAPS정리!$BH$2:$BI$94,2,0)</f>
        <v>#N/A</v>
      </c>
      <c r="BW134" s="2" t="str">
        <f>IF(OR(Z134="동원",Z134="세방",Z134="한타"),"",IFERROR(INDEX(GLAPS정리!$BI$2:$BI$101,MATCH(Z134,GLAPS정리!$BH$2:$BH$101,0)),""))</f>
        <v/>
      </c>
      <c r="BX134" s="2" t="str">
        <f>IF(Z134="","",IFERROR(VLOOKUP(Z134,GLAPS정리!$AX$2:$AZ$17,3,0),""))</f>
        <v/>
      </c>
      <c r="BZ134" s="2" t="e">
        <f>VLOOKUP(H134,GLAPS정리!$L$3:$O$133,2,0)</f>
        <v>#N/A</v>
      </c>
      <c r="CA134" s="2" t="str">
        <f t="shared" si="43"/>
        <v/>
      </c>
      <c r="CL134" s="2" t="e">
        <f>VLOOKUP(AI134,GLAPS정리!$BT$3:$BV$26,3,0)</f>
        <v>#N/A</v>
      </c>
    </row>
    <row r="135" spans="2:90" ht="20.45" customHeight="1">
      <c r="B135" s="13"/>
      <c r="G135" s="3"/>
      <c r="J135" s="3"/>
      <c r="Q135" s="3" t="str">
        <f t="shared" si="44"/>
        <v/>
      </c>
      <c r="R135" s="3" t="str">
        <f t="shared" si="45"/>
        <v/>
      </c>
      <c r="S135" s="3" t="str">
        <f t="shared" si="46"/>
        <v/>
      </c>
      <c r="X135" s="13"/>
      <c r="Y135" s="13"/>
      <c r="Z135" s="91"/>
      <c r="AC135" s="2">
        <f t="shared" si="34"/>
        <v>20</v>
      </c>
      <c r="AD135" s="2" t="str">
        <f>IFERROR(INDEX(GLAPS정리!$D$2:$D$50,MATCH(I135,GLAPS정리!$A$2:$A$50,0)),IFERROR(INDEX(GLAPS정리!$D$2:$D$50,MATCH(I135,GLAPS정리!$B$2:$B$50,0)),""))</f>
        <v/>
      </c>
      <c r="AF135" s="2" t="str">
        <f t="shared" si="35"/>
        <v>KR10</v>
      </c>
      <c r="AI135" s="2" t="e">
        <f>VLOOKUP(F135,GLAPS정리!$G$3:$J$114,2,0)</f>
        <v>#N/A</v>
      </c>
      <c r="AJ135" s="2" t="e">
        <f>IF(Z135="울산정일","KRONS",IF(Z135="울산신항","KRUSN",IF(OR(Z135="선광종합물류(인천여객)",Z135="인천여객(인천여객)"),"KRINF",IF(OR(Z135="선광인천보세(인천신)",Z135="한진인천(인천신)",Z135="선광인천신항(인천신)",Z135="인천더로지스(인천신)"),"KRINN",IF(OR(Z135="인천진아(인천항)",Z135="인천E1(인천항)",Z135="인천SM경인터미널(인천항)",Z135="인천항(인천항)",Z135="인천우련(인천항)",Z135="인천항8부두(인천항)"),"KRINC",VLOOKUP(K135,GLAPS정리!$BB$2:$BC$33,2,0))))))</f>
        <v>#N/A</v>
      </c>
      <c r="AL135" s="2">
        <f t="shared" si="36"/>
        <v>5010001</v>
      </c>
      <c r="AN135" s="70" t="str">
        <f t="shared" si="37"/>
        <v>1900-01-00</v>
      </c>
      <c r="AO135" s="2" t="str">
        <f t="shared" si="38"/>
        <v/>
      </c>
      <c r="AP135" s="2" t="e">
        <f>VLOOKUP(C135,GLAPS정리!$AX$2:$AZ$17,3,0)</f>
        <v>#N/A</v>
      </c>
      <c r="AR135" s="2">
        <f t="shared" si="47"/>
        <v>0</v>
      </c>
      <c r="AX135" s="2" t="e">
        <f>VLOOKUP(L135,GLAPS정리!$V$3:$W$180,2,0)</f>
        <v>#N/A</v>
      </c>
      <c r="BM135" s="2" t="str">
        <f t="shared" si="39"/>
        <v xml:space="preserve"> </v>
      </c>
      <c r="BN135" s="2">
        <f t="shared" si="40"/>
        <v>1</v>
      </c>
      <c r="BR135" s="2" t="str">
        <f t="shared" si="41"/>
        <v/>
      </c>
      <c r="BS135" s="2" t="str">
        <f t="shared" si="42"/>
        <v/>
      </c>
      <c r="BV135" s="2" t="e">
        <f>VLOOKUP(O135,GLAPS정리!$BH$2:$BI$94,2,0)</f>
        <v>#N/A</v>
      </c>
      <c r="BW135" s="2" t="str">
        <f>IF(OR(Z135="동원",Z135="세방",Z135="한타"),"",IFERROR(INDEX(GLAPS정리!$BI$2:$BI$101,MATCH(Z135,GLAPS정리!$BH$2:$BH$101,0)),""))</f>
        <v/>
      </c>
      <c r="BX135" s="2" t="str">
        <f>IF(Z135="","",IFERROR(VLOOKUP(Z135,GLAPS정리!$AX$2:$AZ$17,3,0),""))</f>
        <v/>
      </c>
      <c r="BZ135" s="2" t="e">
        <f>VLOOKUP(H135,GLAPS정리!$L$3:$O$133,2,0)</f>
        <v>#N/A</v>
      </c>
      <c r="CA135" s="2" t="str">
        <f t="shared" si="43"/>
        <v/>
      </c>
      <c r="CL135" s="2" t="e">
        <f>VLOOKUP(AI135,GLAPS정리!$BT$3:$BV$26,3,0)</f>
        <v>#N/A</v>
      </c>
    </row>
    <row r="136" spans="2:90" ht="20.45" customHeight="1">
      <c r="B136" s="13"/>
      <c r="G136" s="3"/>
      <c r="J136" s="3"/>
      <c r="Q136" s="3" t="str">
        <f t="shared" si="44"/>
        <v/>
      </c>
      <c r="R136" s="3" t="str">
        <f t="shared" si="45"/>
        <v/>
      </c>
      <c r="S136" s="3" t="str">
        <f t="shared" si="46"/>
        <v/>
      </c>
      <c r="X136" s="13"/>
      <c r="Y136" s="13"/>
      <c r="Z136" s="91"/>
      <c r="AC136" s="2">
        <f t="shared" si="34"/>
        <v>20</v>
      </c>
      <c r="AD136" s="2" t="str">
        <f>IFERROR(INDEX(GLAPS정리!$D$2:$D$50,MATCH(I136,GLAPS정리!$A$2:$A$50,0)),IFERROR(INDEX(GLAPS정리!$D$2:$D$50,MATCH(I136,GLAPS정리!$B$2:$B$50,0)),""))</f>
        <v/>
      </c>
      <c r="AF136" s="2" t="str">
        <f t="shared" si="35"/>
        <v>KR10</v>
      </c>
      <c r="AI136" s="2" t="e">
        <f>VLOOKUP(F136,GLAPS정리!$G$3:$J$114,2,0)</f>
        <v>#N/A</v>
      </c>
      <c r="AJ136" s="2" t="e">
        <f>IF(Z136="울산정일","KRONS",IF(Z136="울산신항","KRUSN",IF(OR(Z136="선광종합물류(인천여객)",Z136="인천여객(인천여객)"),"KRINF",IF(OR(Z136="선광인천보세(인천신)",Z136="한진인천(인천신)",Z136="선광인천신항(인천신)",Z136="인천더로지스(인천신)"),"KRINN",IF(OR(Z136="인천진아(인천항)",Z136="인천E1(인천항)",Z136="인천SM경인터미널(인천항)",Z136="인천항(인천항)",Z136="인천우련(인천항)",Z136="인천항8부두(인천항)"),"KRINC",VLOOKUP(K136,GLAPS정리!$BB$2:$BC$33,2,0))))))</f>
        <v>#N/A</v>
      </c>
      <c r="AL136" s="2">
        <f t="shared" si="36"/>
        <v>5010001</v>
      </c>
      <c r="AN136" s="70" t="str">
        <f t="shared" si="37"/>
        <v>1900-01-00</v>
      </c>
      <c r="AO136" s="2" t="str">
        <f t="shared" si="38"/>
        <v/>
      </c>
      <c r="AP136" s="2" t="e">
        <f>VLOOKUP(C136,GLAPS정리!$AX$2:$AZ$17,3,0)</f>
        <v>#N/A</v>
      </c>
      <c r="AR136" s="2">
        <f t="shared" si="47"/>
        <v>0</v>
      </c>
      <c r="AX136" s="2" t="e">
        <f>VLOOKUP(L136,GLAPS정리!$V$3:$W$180,2,0)</f>
        <v>#N/A</v>
      </c>
      <c r="BM136" s="2" t="str">
        <f t="shared" si="39"/>
        <v xml:space="preserve"> </v>
      </c>
      <c r="BN136" s="2">
        <f t="shared" si="40"/>
        <v>1</v>
      </c>
      <c r="BR136" s="2" t="str">
        <f t="shared" si="41"/>
        <v/>
      </c>
      <c r="BS136" s="2" t="str">
        <f t="shared" si="42"/>
        <v/>
      </c>
      <c r="BV136" s="2" t="e">
        <f>VLOOKUP(O136,GLAPS정리!$BH$2:$BI$94,2,0)</f>
        <v>#N/A</v>
      </c>
      <c r="BW136" s="2" t="str">
        <f>IF(OR(Z136="동원",Z136="세방",Z136="한타"),"",IFERROR(INDEX(GLAPS정리!$BI$2:$BI$101,MATCH(Z136,GLAPS정리!$BH$2:$BH$101,0)),""))</f>
        <v/>
      </c>
      <c r="BX136" s="2" t="str">
        <f>IF(Z136="","",IFERROR(VLOOKUP(Z136,GLAPS정리!$AX$2:$AZ$17,3,0),""))</f>
        <v/>
      </c>
      <c r="BZ136" s="2" t="e">
        <f>VLOOKUP(H136,GLAPS정리!$L$3:$O$133,2,0)</f>
        <v>#N/A</v>
      </c>
      <c r="CA136" s="2" t="str">
        <f t="shared" si="43"/>
        <v/>
      </c>
      <c r="CL136" s="2" t="e">
        <f>VLOOKUP(AI136,GLAPS정리!$BT$3:$BV$26,3,0)</f>
        <v>#N/A</v>
      </c>
    </row>
    <row r="137" spans="2:90" ht="20.45" customHeight="1">
      <c r="B137" s="13"/>
      <c r="G137" s="3"/>
      <c r="J137" s="3"/>
      <c r="Q137" s="3" t="str">
        <f t="shared" si="44"/>
        <v/>
      </c>
      <c r="R137" s="3" t="str">
        <f t="shared" si="45"/>
        <v/>
      </c>
      <c r="S137" s="3" t="str">
        <f t="shared" si="46"/>
        <v/>
      </c>
      <c r="X137" s="13"/>
      <c r="Y137" s="13"/>
      <c r="Z137" s="91"/>
      <c r="AC137" s="2">
        <f t="shared" si="34"/>
        <v>20</v>
      </c>
      <c r="AD137" s="2" t="str">
        <f>IFERROR(INDEX(GLAPS정리!$D$2:$D$50,MATCH(I137,GLAPS정리!$A$2:$A$50,0)),IFERROR(INDEX(GLAPS정리!$D$2:$D$50,MATCH(I137,GLAPS정리!$B$2:$B$50,0)),""))</f>
        <v/>
      </c>
      <c r="AF137" s="2" t="str">
        <f t="shared" si="35"/>
        <v>KR10</v>
      </c>
      <c r="AI137" s="2" t="e">
        <f>VLOOKUP(F137,GLAPS정리!$G$3:$J$114,2,0)</f>
        <v>#N/A</v>
      </c>
      <c r="AJ137" s="2" t="e">
        <f>IF(Z137="울산정일","KRONS",IF(Z137="울산신항","KRUSN",IF(OR(Z137="선광종합물류(인천여객)",Z137="인천여객(인천여객)"),"KRINF",IF(OR(Z137="선광인천보세(인천신)",Z137="한진인천(인천신)",Z137="선광인천신항(인천신)",Z137="인천더로지스(인천신)"),"KRINN",IF(OR(Z137="인천진아(인천항)",Z137="인천E1(인천항)",Z137="인천SM경인터미널(인천항)",Z137="인천항(인천항)",Z137="인천우련(인천항)",Z137="인천항8부두(인천항)"),"KRINC",VLOOKUP(K137,GLAPS정리!$BB$2:$BC$33,2,0))))))</f>
        <v>#N/A</v>
      </c>
      <c r="AL137" s="2">
        <f t="shared" si="36"/>
        <v>5010001</v>
      </c>
      <c r="AN137" s="70" t="str">
        <f t="shared" si="37"/>
        <v>1900-01-00</v>
      </c>
      <c r="AO137" s="2" t="str">
        <f t="shared" si="38"/>
        <v/>
      </c>
      <c r="AP137" s="2" t="e">
        <f>VLOOKUP(C137,GLAPS정리!$AX$2:$AZ$17,3,0)</f>
        <v>#N/A</v>
      </c>
      <c r="AR137" s="2">
        <f t="shared" si="47"/>
        <v>0</v>
      </c>
      <c r="AX137" s="2" t="e">
        <f>VLOOKUP(L137,GLAPS정리!$V$3:$W$180,2,0)</f>
        <v>#N/A</v>
      </c>
      <c r="BM137" s="2" t="str">
        <f t="shared" si="39"/>
        <v xml:space="preserve"> </v>
      </c>
      <c r="BN137" s="2">
        <f t="shared" si="40"/>
        <v>1</v>
      </c>
      <c r="BR137" s="2" t="str">
        <f t="shared" si="41"/>
        <v/>
      </c>
      <c r="BS137" s="2" t="str">
        <f t="shared" si="42"/>
        <v/>
      </c>
      <c r="BV137" s="2" t="e">
        <f>VLOOKUP(O137,GLAPS정리!$BH$2:$BI$94,2,0)</f>
        <v>#N/A</v>
      </c>
      <c r="BW137" s="2" t="str">
        <f>IF(OR(Z137="동원",Z137="세방",Z137="한타"),"",IFERROR(INDEX(GLAPS정리!$BI$2:$BI$101,MATCH(Z137,GLAPS정리!$BH$2:$BH$101,0)),""))</f>
        <v/>
      </c>
      <c r="BX137" s="2" t="str">
        <f>IF(Z137="","",IFERROR(VLOOKUP(Z137,GLAPS정리!$AX$2:$AZ$17,3,0),""))</f>
        <v/>
      </c>
      <c r="BZ137" s="2" t="e">
        <f>VLOOKUP(H137,GLAPS정리!$L$3:$O$133,2,0)</f>
        <v>#N/A</v>
      </c>
      <c r="CA137" s="2" t="str">
        <f t="shared" si="43"/>
        <v/>
      </c>
      <c r="CL137" s="2" t="e">
        <f>VLOOKUP(AI137,GLAPS정리!$BT$3:$BV$26,3,0)</f>
        <v>#N/A</v>
      </c>
    </row>
    <row r="138" spans="2:90" ht="20.45" customHeight="1">
      <c r="B138" s="13"/>
      <c r="G138" s="3"/>
      <c r="J138" s="3"/>
      <c r="Q138" s="3" t="str">
        <f t="shared" si="44"/>
        <v/>
      </c>
      <c r="R138" s="3" t="str">
        <f t="shared" si="45"/>
        <v/>
      </c>
      <c r="S138" s="3" t="str">
        <f t="shared" si="46"/>
        <v/>
      </c>
      <c r="X138" s="13"/>
      <c r="Y138" s="13"/>
      <c r="Z138" s="91"/>
      <c r="AC138" s="2">
        <f t="shared" si="34"/>
        <v>20</v>
      </c>
      <c r="AD138" s="2" t="str">
        <f>IFERROR(INDEX(GLAPS정리!$D$2:$D$50,MATCH(I138,GLAPS정리!$A$2:$A$50,0)),IFERROR(INDEX(GLAPS정리!$D$2:$D$50,MATCH(I138,GLAPS정리!$B$2:$B$50,0)),""))</f>
        <v/>
      </c>
      <c r="AF138" s="2" t="str">
        <f t="shared" si="35"/>
        <v>KR10</v>
      </c>
      <c r="AI138" s="2" t="e">
        <f>VLOOKUP(F138,GLAPS정리!$G$3:$J$114,2,0)</f>
        <v>#N/A</v>
      </c>
      <c r="AJ138" s="2" t="e">
        <f>IF(Z138="울산정일","KRONS",IF(Z138="울산신항","KRUSN",IF(OR(Z138="선광종합물류(인천여객)",Z138="인천여객(인천여객)"),"KRINF",IF(OR(Z138="선광인천보세(인천신)",Z138="한진인천(인천신)",Z138="선광인천신항(인천신)",Z138="인천더로지스(인천신)"),"KRINN",IF(OR(Z138="인천진아(인천항)",Z138="인천E1(인천항)",Z138="인천SM경인터미널(인천항)",Z138="인천항(인천항)",Z138="인천우련(인천항)",Z138="인천항8부두(인천항)"),"KRINC",VLOOKUP(K138,GLAPS정리!$BB$2:$BC$33,2,0))))))</f>
        <v>#N/A</v>
      </c>
      <c r="AL138" s="2">
        <f t="shared" si="36"/>
        <v>5010001</v>
      </c>
      <c r="AN138" s="70" t="str">
        <f t="shared" si="37"/>
        <v>1900-01-00</v>
      </c>
      <c r="AO138" s="2" t="str">
        <f t="shared" si="38"/>
        <v/>
      </c>
      <c r="AP138" s="2" t="e">
        <f>VLOOKUP(C138,GLAPS정리!$AX$2:$AZ$17,3,0)</f>
        <v>#N/A</v>
      </c>
      <c r="AR138" s="2">
        <f t="shared" si="47"/>
        <v>0</v>
      </c>
      <c r="AX138" s="2" t="e">
        <f>VLOOKUP(L138,GLAPS정리!$V$3:$W$180,2,0)</f>
        <v>#N/A</v>
      </c>
      <c r="BM138" s="2" t="str">
        <f t="shared" si="39"/>
        <v xml:space="preserve"> </v>
      </c>
      <c r="BN138" s="2">
        <f t="shared" si="40"/>
        <v>1</v>
      </c>
      <c r="BR138" s="2" t="str">
        <f t="shared" si="41"/>
        <v/>
      </c>
      <c r="BS138" s="2" t="str">
        <f t="shared" si="42"/>
        <v/>
      </c>
      <c r="BV138" s="2" t="e">
        <f>VLOOKUP(O138,GLAPS정리!$BH$2:$BI$94,2,0)</f>
        <v>#N/A</v>
      </c>
      <c r="BW138" s="2" t="str">
        <f>IF(OR(Z138="동원",Z138="세방",Z138="한타"),"",IFERROR(INDEX(GLAPS정리!$BI$2:$BI$101,MATCH(Z138,GLAPS정리!$BH$2:$BH$101,0)),""))</f>
        <v/>
      </c>
      <c r="BX138" s="2" t="str">
        <f>IF(Z138="","",IFERROR(VLOOKUP(Z138,GLAPS정리!$AX$2:$AZ$17,3,0),""))</f>
        <v/>
      </c>
      <c r="BZ138" s="2" t="e">
        <f>VLOOKUP(H138,GLAPS정리!$L$3:$O$133,2,0)</f>
        <v>#N/A</v>
      </c>
      <c r="CA138" s="2" t="str">
        <f t="shared" si="43"/>
        <v/>
      </c>
      <c r="CL138" s="2" t="e">
        <f>VLOOKUP(AI138,GLAPS정리!$BT$3:$BV$26,3,0)</f>
        <v>#N/A</v>
      </c>
    </row>
    <row r="139" spans="2:90" ht="20.45" customHeight="1">
      <c r="B139" s="13"/>
      <c r="G139" s="3"/>
      <c r="J139" s="3"/>
      <c r="Q139" s="3" t="str">
        <f t="shared" si="44"/>
        <v/>
      </c>
      <c r="R139" s="3" t="str">
        <f t="shared" si="45"/>
        <v/>
      </c>
      <c r="S139" s="3" t="str">
        <f t="shared" si="46"/>
        <v/>
      </c>
      <c r="X139" s="13"/>
      <c r="Y139" s="13"/>
      <c r="Z139" s="91"/>
      <c r="AC139" s="2">
        <f t="shared" si="34"/>
        <v>20</v>
      </c>
      <c r="AD139" s="2" t="str">
        <f>IFERROR(INDEX(GLAPS정리!$D$2:$D$50,MATCH(I139,GLAPS정리!$A$2:$A$50,0)),IFERROR(INDEX(GLAPS정리!$D$2:$D$50,MATCH(I139,GLAPS정리!$B$2:$B$50,0)),""))</f>
        <v/>
      </c>
      <c r="AF139" s="2" t="str">
        <f t="shared" si="35"/>
        <v>KR10</v>
      </c>
      <c r="AI139" s="2" t="e">
        <f>VLOOKUP(F139,GLAPS정리!$G$3:$J$114,2,0)</f>
        <v>#N/A</v>
      </c>
      <c r="AJ139" s="2" t="e">
        <f>IF(Z139="울산정일","KRONS",IF(Z139="울산신항","KRUSN",IF(OR(Z139="선광종합물류(인천여객)",Z139="인천여객(인천여객)"),"KRINF",IF(OR(Z139="선광인천보세(인천신)",Z139="한진인천(인천신)",Z139="선광인천신항(인천신)",Z139="인천더로지스(인천신)"),"KRINN",IF(OR(Z139="인천진아(인천항)",Z139="인천E1(인천항)",Z139="인천SM경인터미널(인천항)",Z139="인천항(인천항)",Z139="인천우련(인천항)",Z139="인천항8부두(인천항)"),"KRINC",VLOOKUP(K139,GLAPS정리!$BB$2:$BC$33,2,0))))))</f>
        <v>#N/A</v>
      </c>
      <c r="AL139" s="2">
        <f t="shared" si="36"/>
        <v>5010001</v>
      </c>
      <c r="AN139" s="70" t="str">
        <f t="shared" si="37"/>
        <v>1900-01-00</v>
      </c>
      <c r="AO139" s="2" t="str">
        <f t="shared" si="38"/>
        <v/>
      </c>
      <c r="AP139" s="2" t="e">
        <f>VLOOKUP(C139,GLAPS정리!$AX$2:$AZ$17,3,0)</f>
        <v>#N/A</v>
      </c>
      <c r="AR139" s="2">
        <f t="shared" si="47"/>
        <v>0</v>
      </c>
      <c r="AX139" s="2" t="e">
        <f>VLOOKUP(L139,GLAPS정리!$V$3:$W$180,2,0)</f>
        <v>#N/A</v>
      </c>
      <c r="BM139" s="2" t="str">
        <f t="shared" si="39"/>
        <v xml:space="preserve"> </v>
      </c>
      <c r="BN139" s="2">
        <f t="shared" si="40"/>
        <v>1</v>
      </c>
      <c r="BR139" s="2" t="str">
        <f t="shared" si="41"/>
        <v/>
      </c>
      <c r="BS139" s="2" t="str">
        <f t="shared" si="42"/>
        <v/>
      </c>
      <c r="BV139" s="2" t="e">
        <f>VLOOKUP(O139,GLAPS정리!$BH$2:$BI$94,2,0)</f>
        <v>#N/A</v>
      </c>
      <c r="BW139" s="2" t="str">
        <f>IF(OR(Z139="동원",Z139="세방",Z139="한타"),"",IFERROR(INDEX(GLAPS정리!$BI$2:$BI$101,MATCH(Z139,GLAPS정리!$BH$2:$BH$101,0)),""))</f>
        <v/>
      </c>
      <c r="BX139" s="2" t="str">
        <f>IF(Z139="","",IFERROR(VLOOKUP(Z139,GLAPS정리!$AX$2:$AZ$17,3,0),""))</f>
        <v/>
      </c>
      <c r="BZ139" s="2" t="e">
        <f>VLOOKUP(H139,GLAPS정리!$L$3:$O$133,2,0)</f>
        <v>#N/A</v>
      </c>
      <c r="CA139" s="2" t="str">
        <f t="shared" si="43"/>
        <v/>
      </c>
      <c r="CL139" s="2" t="e">
        <f>VLOOKUP(AI139,GLAPS정리!$BT$3:$BV$26,3,0)</f>
        <v>#N/A</v>
      </c>
    </row>
    <row r="140" spans="2:90" ht="20.45" customHeight="1">
      <c r="B140" s="13"/>
      <c r="G140" s="3"/>
      <c r="J140" s="3"/>
      <c r="Q140" s="3" t="str">
        <f t="shared" si="44"/>
        <v/>
      </c>
      <c r="R140" s="3" t="str">
        <f t="shared" si="45"/>
        <v/>
      </c>
      <c r="S140" s="3" t="str">
        <f t="shared" si="46"/>
        <v/>
      </c>
      <c r="X140" s="13"/>
      <c r="Y140" s="13"/>
      <c r="Z140" s="91"/>
      <c r="AC140" s="2">
        <f t="shared" si="34"/>
        <v>20</v>
      </c>
      <c r="AD140" s="2" t="str">
        <f>IFERROR(INDEX(GLAPS정리!$D$2:$D$50,MATCH(I140,GLAPS정리!$A$2:$A$50,0)),IFERROR(INDEX(GLAPS정리!$D$2:$D$50,MATCH(I140,GLAPS정리!$B$2:$B$50,0)),""))</f>
        <v/>
      </c>
      <c r="AF140" s="2" t="str">
        <f t="shared" si="35"/>
        <v>KR10</v>
      </c>
      <c r="AI140" s="2" t="e">
        <f>VLOOKUP(F140,GLAPS정리!$G$3:$J$114,2,0)</f>
        <v>#N/A</v>
      </c>
      <c r="AJ140" s="2" t="e">
        <f>IF(Z140="울산정일","KRONS",IF(Z140="울산신항","KRUSN",IF(OR(Z140="선광종합물류(인천여객)",Z140="인천여객(인천여객)"),"KRINF",IF(OR(Z140="선광인천보세(인천신)",Z140="한진인천(인천신)",Z140="선광인천신항(인천신)",Z140="인천더로지스(인천신)"),"KRINN",IF(OR(Z140="인천진아(인천항)",Z140="인천E1(인천항)",Z140="인천SM경인터미널(인천항)",Z140="인천항(인천항)",Z140="인천우련(인천항)",Z140="인천항8부두(인천항)"),"KRINC",VLOOKUP(K140,GLAPS정리!$BB$2:$BC$33,2,0))))))</f>
        <v>#N/A</v>
      </c>
      <c r="AL140" s="2">
        <f t="shared" si="36"/>
        <v>5010001</v>
      </c>
      <c r="AN140" s="70" t="str">
        <f t="shared" si="37"/>
        <v>1900-01-00</v>
      </c>
      <c r="AO140" s="2" t="str">
        <f t="shared" si="38"/>
        <v/>
      </c>
      <c r="AP140" s="2" t="e">
        <f>VLOOKUP(C140,GLAPS정리!$AX$2:$AZ$17,3,0)</f>
        <v>#N/A</v>
      </c>
      <c r="AR140" s="2">
        <f t="shared" si="47"/>
        <v>0</v>
      </c>
      <c r="AX140" s="2" t="e">
        <f>VLOOKUP(L140,GLAPS정리!$V$3:$W$180,2,0)</f>
        <v>#N/A</v>
      </c>
      <c r="BM140" s="2" t="str">
        <f t="shared" si="39"/>
        <v xml:space="preserve"> </v>
      </c>
      <c r="BN140" s="2">
        <f t="shared" si="40"/>
        <v>1</v>
      </c>
      <c r="BR140" s="2" t="str">
        <f t="shared" si="41"/>
        <v/>
      </c>
      <c r="BS140" s="2" t="str">
        <f t="shared" si="42"/>
        <v/>
      </c>
      <c r="BV140" s="2" t="e">
        <f>VLOOKUP(O140,GLAPS정리!$BH$2:$BI$94,2,0)</f>
        <v>#N/A</v>
      </c>
      <c r="BW140" s="2" t="str">
        <f>IF(OR(Z140="동원",Z140="세방",Z140="한타"),"",IFERROR(INDEX(GLAPS정리!$BI$2:$BI$101,MATCH(Z140,GLAPS정리!$BH$2:$BH$101,0)),""))</f>
        <v/>
      </c>
      <c r="BX140" s="2" t="str">
        <f>IF(Z140="","",IFERROR(VLOOKUP(Z140,GLAPS정리!$AX$2:$AZ$17,3,0),""))</f>
        <v/>
      </c>
      <c r="BZ140" s="2" t="e">
        <f>VLOOKUP(H140,GLAPS정리!$L$3:$O$133,2,0)</f>
        <v>#N/A</v>
      </c>
      <c r="CA140" s="2" t="str">
        <f t="shared" si="43"/>
        <v/>
      </c>
      <c r="CL140" s="2" t="e">
        <f>VLOOKUP(AI140,GLAPS정리!$BT$3:$BV$26,3,0)</f>
        <v>#N/A</v>
      </c>
    </row>
    <row r="141" spans="2:90" ht="20.45" customHeight="1">
      <c r="B141" s="13"/>
      <c r="G141" s="3"/>
      <c r="J141" s="3"/>
      <c r="Q141" s="3" t="str">
        <f t="shared" si="44"/>
        <v/>
      </c>
      <c r="R141" s="3" t="str">
        <f t="shared" si="45"/>
        <v/>
      </c>
      <c r="S141" s="3" t="str">
        <f t="shared" si="46"/>
        <v/>
      </c>
      <c r="X141" s="13"/>
      <c r="Y141" s="13"/>
      <c r="Z141" s="91"/>
      <c r="AC141" s="2">
        <f t="shared" si="34"/>
        <v>20</v>
      </c>
      <c r="AD141" s="2" t="str">
        <f>IFERROR(INDEX(GLAPS정리!$D$2:$D$50,MATCH(I141,GLAPS정리!$A$2:$A$50,0)),IFERROR(INDEX(GLAPS정리!$D$2:$D$50,MATCH(I141,GLAPS정리!$B$2:$B$50,0)),""))</f>
        <v/>
      </c>
      <c r="AF141" s="2" t="str">
        <f t="shared" si="35"/>
        <v>KR10</v>
      </c>
      <c r="AI141" s="2" t="e">
        <f>VLOOKUP(F141,GLAPS정리!$G$3:$J$114,2,0)</f>
        <v>#N/A</v>
      </c>
      <c r="AJ141" s="2" t="e">
        <f>IF(Z141="울산정일","KRONS",IF(Z141="울산신항","KRUSN",IF(OR(Z141="선광종합물류(인천여객)",Z141="인천여객(인천여객)"),"KRINF",IF(OR(Z141="선광인천보세(인천신)",Z141="한진인천(인천신)",Z141="선광인천신항(인천신)",Z141="인천더로지스(인천신)"),"KRINN",IF(OR(Z141="인천진아(인천항)",Z141="인천E1(인천항)",Z141="인천SM경인터미널(인천항)",Z141="인천항(인천항)",Z141="인천우련(인천항)",Z141="인천항8부두(인천항)"),"KRINC",VLOOKUP(K141,GLAPS정리!$BB$2:$BC$33,2,0))))))</f>
        <v>#N/A</v>
      </c>
      <c r="AL141" s="2">
        <f t="shared" si="36"/>
        <v>5010001</v>
      </c>
      <c r="AN141" s="70" t="str">
        <f t="shared" si="37"/>
        <v>1900-01-00</v>
      </c>
      <c r="AO141" s="2" t="str">
        <f t="shared" si="38"/>
        <v/>
      </c>
      <c r="AP141" s="2" t="e">
        <f>VLOOKUP(C141,GLAPS정리!$AX$2:$AZ$17,3,0)</f>
        <v>#N/A</v>
      </c>
      <c r="AR141" s="2">
        <f t="shared" si="47"/>
        <v>0</v>
      </c>
      <c r="AX141" s="2" t="e">
        <f>VLOOKUP(L141,GLAPS정리!$V$3:$W$180,2,0)</f>
        <v>#N/A</v>
      </c>
      <c r="BM141" s="2" t="str">
        <f t="shared" si="39"/>
        <v xml:space="preserve"> </v>
      </c>
      <c r="BN141" s="2">
        <f t="shared" si="40"/>
        <v>1</v>
      </c>
      <c r="BR141" s="2" t="str">
        <f t="shared" si="41"/>
        <v/>
      </c>
      <c r="BS141" s="2" t="str">
        <f t="shared" si="42"/>
        <v/>
      </c>
      <c r="BV141" s="2" t="e">
        <f>VLOOKUP(O141,GLAPS정리!$BH$2:$BI$94,2,0)</f>
        <v>#N/A</v>
      </c>
      <c r="BW141" s="2" t="str">
        <f>IF(OR(Z141="동원",Z141="세방",Z141="한타"),"",IFERROR(INDEX(GLAPS정리!$BI$2:$BI$101,MATCH(Z141,GLAPS정리!$BH$2:$BH$101,0)),""))</f>
        <v/>
      </c>
      <c r="BX141" s="2" t="str">
        <f>IF(Z141="","",IFERROR(VLOOKUP(Z141,GLAPS정리!$AX$2:$AZ$17,3,0),""))</f>
        <v/>
      </c>
      <c r="BZ141" s="2" t="e">
        <f>VLOOKUP(H141,GLAPS정리!$L$3:$O$133,2,0)</f>
        <v>#N/A</v>
      </c>
      <c r="CA141" s="2" t="str">
        <f t="shared" si="43"/>
        <v/>
      </c>
      <c r="CL141" s="2" t="e">
        <f>VLOOKUP(AI141,GLAPS정리!$BT$3:$BV$26,3,0)</f>
        <v>#N/A</v>
      </c>
    </row>
    <row r="142" spans="2:90" ht="20.45" customHeight="1">
      <c r="B142" s="13"/>
      <c r="G142" s="3"/>
      <c r="J142" s="3"/>
      <c r="Q142" s="3" t="str">
        <f t="shared" si="44"/>
        <v/>
      </c>
      <c r="R142" s="3" t="str">
        <f t="shared" si="45"/>
        <v/>
      </c>
      <c r="S142" s="3" t="str">
        <f t="shared" si="46"/>
        <v/>
      </c>
      <c r="X142" s="13"/>
      <c r="Y142" s="13"/>
      <c r="Z142" s="91"/>
      <c r="AC142" s="2">
        <f t="shared" si="34"/>
        <v>20</v>
      </c>
      <c r="AD142" s="2" t="str">
        <f>IFERROR(INDEX(GLAPS정리!$D$2:$D$50,MATCH(I142,GLAPS정리!$A$2:$A$50,0)),IFERROR(INDEX(GLAPS정리!$D$2:$D$50,MATCH(I142,GLAPS정리!$B$2:$B$50,0)),""))</f>
        <v/>
      </c>
      <c r="AF142" s="2" t="str">
        <f t="shared" si="35"/>
        <v>KR10</v>
      </c>
      <c r="AI142" s="2" t="e">
        <f>VLOOKUP(F142,GLAPS정리!$G$3:$J$114,2,0)</f>
        <v>#N/A</v>
      </c>
      <c r="AJ142" s="2" t="e">
        <f>IF(Z142="울산정일","KRONS",IF(Z142="울산신항","KRUSN",IF(OR(Z142="선광종합물류(인천여객)",Z142="인천여객(인천여객)"),"KRINF",IF(OR(Z142="선광인천보세(인천신)",Z142="한진인천(인천신)",Z142="선광인천신항(인천신)",Z142="인천더로지스(인천신)"),"KRINN",IF(OR(Z142="인천진아(인천항)",Z142="인천E1(인천항)",Z142="인천SM경인터미널(인천항)",Z142="인천항(인천항)",Z142="인천우련(인천항)",Z142="인천항8부두(인천항)"),"KRINC",VLOOKUP(K142,GLAPS정리!$BB$2:$BC$33,2,0))))))</f>
        <v>#N/A</v>
      </c>
      <c r="AL142" s="2">
        <f t="shared" si="36"/>
        <v>5010001</v>
      </c>
      <c r="AN142" s="70" t="str">
        <f t="shared" si="37"/>
        <v>1900-01-00</v>
      </c>
      <c r="AO142" s="2" t="str">
        <f t="shared" si="38"/>
        <v/>
      </c>
      <c r="AP142" s="2" t="e">
        <f>VLOOKUP(C142,GLAPS정리!$AX$2:$AZ$17,3,0)</f>
        <v>#N/A</v>
      </c>
      <c r="AR142" s="2">
        <f t="shared" si="47"/>
        <v>0</v>
      </c>
      <c r="AX142" s="2" t="e">
        <f>VLOOKUP(L142,GLAPS정리!$V$3:$W$180,2,0)</f>
        <v>#N/A</v>
      </c>
      <c r="BM142" s="2" t="str">
        <f t="shared" si="39"/>
        <v xml:space="preserve"> </v>
      </c>
      <c r="BN142" s="2">
        <f t="shared" si="40"/>
        <v>1</v>
      </c>
      <c r="BR142" s="2" t="str">
        <f t="shared" si="41"/>
        <v/>
      </c>
      <c r="BS142" s="2" t="str">
        <f t="shared" si="42"/>
        <v/>
      </c>
      <c r="BV142" s="2" t="e">
        <f>VLOOKUP(O142,GLAPS정리!$BH$2:$BI$94,2,0)</f>
        <v>#N/A</v>
      </c>
      <c r="BW142" s="2" t="str">
        <f>IF(OR(Z142="동원",Z142="세방",Z142="한타"),"",IFERROR(INDEX(GLAPS정리!$BI$2:$BI$101,MATCH(Z142,GLAPS정리!$BH$2:$BH$101,0)),""))</f>
        <v/>
      </c>
      <c r="BX142" s="2" t="str">
        <f>IF(Z142="","",IFERROR(VLOOKUP(Z142,GLAPS정리!$AX$2:$AZ$17,3,0),""))</f>
        <v/>
      </c>
      <c r="BZ142" s="2" t="e">
        <f>VLOOKUP(H142,GLAPS정리!$L$3:$O$133,2,0)</f>
        <v>#N/A</v>
      </c>
      <c r="CA142" s="2" t="str">
        <f t="shared" si="43"/>
        <v/>
      </c>
      <c r="CL142" s="2" t="e">
        <f>VLOOKUP(AI142,GLAPS정리!$BT$3:$BV$26,3,0)</f>
        <v>#N/A</v>
      </c>
    </row>
    <row r="143" spans="2:90" ht="20.45" customHeight="1">
      <c r="B143" s="13"/>
      <c r="G143" s="3"/>
      <c r="J143" s="3"/>
      <c r="Q143" s="3" t="str">
        <f t="shared" si="44"/>
        <v/>
      </c>
      <c r="R143" s="3" t="str">
        <f t="shared" si="45"/>
        <v/>
      </c>
      <c r="S143" s="3" t="str">
        <f t="shared" si="46"/>
        <v/>
      </c>
      <c r="X143" s="13"/>
      <c r="Y143" s="13"/>
      <c r="Z143" s="91"/>
      <c r="AC143" s="2">
        <f t="shared" si="34"/>
        <v>20</v>
      </c>
      <c r="AD143" s="2" t="str">
        <f>IFERROR(INDEX(GLAPS정리!$D$2:$D$50,MATCH(I143,GLAPS정리!$A$2:$A$50,0)),IFERROR(INDEX(GLAPS정리!$D$2:$D$50,MATCH(I143,GLAPS정리!$B$2:$B$50,0)),""))</f>
        <v/>
      </c>
      <c r="AF143" s="2" t="str">
        <f t="shared" si="35"/>
        <v>KR10</v>
      </c>
      <c r="AI143" s="2" t="e">
        <f>VLOOKUP(F143,GLAPS정리!$G$3:$J$114,2,0)</f>
        <v>#N/A</v>
      </c>
      <c r="AJ143" s="2" t="e">
        <f>IF(Z143="울산정일","KRONS",IF(Z143="울산신항","KRUSN",IF(OR(Z143="선광종합물류(인천여객)",Z143="인천여객(인천여객)"),"KRINF",IF(OR(Z143="선광인천보세(인천신)",Z143="한진인천(인천신)",Z143="선광인천신항(인천신)",Z143="인천더로지스(인천신)"),"KRINN",IF(OR(Z143="인천진아(인천항)",Z143="인천E1(인천항)",Z143="인천SM경인터미널(인천항)",Z143="인천항(인천항)",Z143="인천우련(인천항)",Z143="인천항8부두(인천항)"),"KRINC",VLOOKUP(K143,GLAPS정리!$BB$2:$BC$33,2,0))))))</f>
        <v>#N/A</v>
      </c>
      <c r="AL143" s="2">
        <f t="shared" si="36"/>
        <v>5010001</v>
      </c>
      <c r="AN143" s="70" t="str">
        <f t="shared" si="37"/>
        <v>1900-01-00</v>
      </c>
      <c r="AO143" s="2" t="str">
        <f t="shared" si="38"/>
        <v/>
      </c>
      <c r="AP143" s="2" t="e">
        <f>VLOOKUP(C143,GLAPS정리!$AX$2:$AZ$17,3,0)</f>
        <v>#N/A</v>
      </c>
      <c r="AR143" s="2">
        <f t="shared" si="47"/>
        <v>0</v>
      </c>
      <c r="AX143" s="2" t="e">
        <f>VLOOKUP(L143,GLAPS정리!$V$3:$W$180,2,0)</f>
        <v>#N/A</v>
      </c>
      <c r="BM143" s="2" t="str">
        <f t="shared" si="39"/>
        <v xml:space="preserve"> </v>
      </c>
      <c r="BN143" s="2">
        <f t="shared" si="40"/>
        <v>1</v>
      </c>
      <c r="BR143" s="2" t="str">
        <f t="shared" si="41"/>
        <v/>
      </c>
      <c r="BS143" s="2" t="str">
        <f t="shared" si="42"/>
        <v/>
      </c>
      <c r="BV143" s="2" t="e">
        <f>VLOOKUP(O143,GLAPS정리!$BH$2:$BI$94,2,0)</f>
        <v>#N/A</v>
      </c>
      <c r="BW143" s="2" t="str">
        <f>IF(OR(Z143="동원",Z143="세방",Z143="한타"),"",IFERROR(INDEX(GLAPS정리!$BI$2:$BI$101,MATCH(Z143,GLAPS정리!$BH$2:$BH$101,0)),""))</f>
        <v/>
      </c>
      <c r="BX143" s="2" t="str">
        <f>IF(Z143="","",IFERROR(VLOOKUP(Z143,GLAPS정리!$AX$2:$AZ$17,3,0),""))</f>
        <v/>
      </c>
      <c r="BZ143" s="2" t="e">
        <f>VLOOKUP(H143,GLAPS정리!$L$3:$O$133,2,0)</f>
        <v>#N/A</v>
      </c>
      <c r="CA143" s="2" t="str">
        <f t="shared" si="43"/>
        <v/>
      </c>
      <c r="CL143" s="2" t="e">
        <f>VLOOKUP(AI143,GLAPS정리!$BT$3:$BV$26,3,0)</f>
        <v>#N/A</v>
      </c>
    </row>
    <row r="144" spans="2:90" ht="20.45" customHeight="1">
      <c r="B144" s="13"/>
      <c r="G144" s="3"/>
      <c r="J144" s="3"/>
      <c r="Q144" s="3" t="str">
        <f t="shared" si="44"/>
        <v/>
      </c>
      <c r="R144" s="3" t="str">
        <f t="shared" si="45"/>
        <v/>
      </c>
      <c r="S144" s="3" t="str">
        <f t="shared" si="46"/>
        <v/>
      </c>
      <c r="X144" s="13"/>
      <c r="Y144" s="13"/>
      <c r="Z144" s="91"/>
      <c r="AC144" s="2">
        <f t="shared" si="34"/>
        <v>20</v>
      </c>
      <c r="AD144" s="2" t="str">
        <f>IFERROR(INDEX(GLAPS정리!$D$2:$D$50,MATCH(I144,GLAPS정리!$A$2:$A$50,0)),IFERROR(INDEX(GLAPS정리!$D$2:$D$50,MATCH(I144,GLAPS정리!$B$2:$B$50,0)),""))</f>
        <v/>
      </c>
      <c r="AF144" s="2" t="str">
        <f t="shared" si="35"/>
        <v>KR10</v>
      </c>
      <c r="AI144" s="2" t="e">
        <f>VLOOKUP(F144,GLAPS정리!$G$3:$J$114,2,0)</f>
        <v>#N/A</v>
      </c>
      <c r="AJ144" s="2" t="e">
        <f>IF(Z144="울산정일","KRONS",IF(Z144="울산신항","KRUSN",IF(OR(Z144="선광종합물류(인천여객)",Z144="인천여객(인천여객)"),"KRINF",IF(OR(Z144="선광인천보세(인천신)",Z144="한진인천(인천신)",Z144="선광인천신항(인천신)",Z144="인천더로지스(인천신)"),"KRINN",IF(OR(Z144="인천진아(인천항)",Z144="인천E1(인천항)",Z144="인천SM경인터미널(인천항)",Z144="인천항(인천항)",Z144="인천우련(인천항)",Z144="인천항8부두(인천항)"),"KRINC",VLOOKUP(K144,GLAPS정리!$BB$2:$BC$33,2,0))))))</f>
        <v>#N/A</v>
      </c>
      <c r="AL144" s="2">
        <f t="shared" si="36"/>
        <v>5010001</v>
      </c>
      <c r="AN144" s="70" t="str">
        <f t="shared" si="37"/>
        <v>1900-01-00</v>
      </c>
      <c r="AO144" s="2" t="str">
        <f t="shared" si="38"/>
        <v/>
      </c>
      <c r="AP144" s="2" t="e">
        <f>VLOOKUP(C144,GLAPS정리!$AX$2:$AZ$17,3,0)</f>
        <v>#N/A</v>
      </c>
      <c r="AR144" s="2">
        <f t="shared" si="47"/>
        <v>0</v>
      </c>
      <c r="AX144" s="2" t="e">
        <f>VLOOKUP(L144,GLAPS정리!$V$3:$W$180,2,0)</f>
        <v>#N/A</v>
      </c>
      <c r="BM144" s="2" t="str">
        <f t="shared" si="39"/>
        <v xml:space="preserve"> </v>
      </c>
      <c r="BN144" s="2">
        <f t="shared" si="40"/>
        <v>1</v>
      </c>
      <c r="BR144" s="2" t="str">
        <f t="shared" si="41"/>
        <v/>
      </c>
      <c r="BS144" s="2" t="str">
        <f t="shared" si="42"/>
        <v/>
      </c>
      <c r="BV144" s="2" t="e">
        <f>VLOOKUP(O144,GLAPS정리!$BH$2:$BI$94,2,0)</f>
        <v>#N/A</v>
      </c>
      <c r="BW144" s="2" t="str">
        <f>IF(OR(Z144="동원",Z144="세방",Z144="한타"),"",IFERROR(INDEX(GLAPS정리!$BI$2:$BI$101,MATCH(Z144,GLAPS정리!$BH$2:$BH$101,0)),""))</f>
        <v/>
      </c>
      <c r="BX144" s="2" t="str">
        <f>IF(Z144="","",IFERROR(VLOOKUP(Z144,GLAPS정리!$AX$2:$AZ$17,3,0),""))</f>
        <v/>
      </c>
      <c r="BZ144" s="2" t="e">
        <f>VLOOKUP(H144,GLAPS정리!$L$3:$O$133,2,0)</f>
        <v>#N/A</v>
      </c>
      <c r="CA144" s="2" t="str">
        <f t="shared" si="43"/>
        <v/>
      </c>
      <c r="CL144" s="2" t="e">
        <f>VLOOKUP(AI144,GLAPS정리!$BT$3:$BV$26,3,0)</f>
        <v>#N/A</v>
      </c>
    </row>
    <row r="145" spans="2:90" ht="20.45" customHeight="1">
      <c r="B145" s="13"/>
      <c r="G145" s="3"/>
      <c r="J145" s="3"/>
      <c r="Q145" s="3" t="str">
        <f t="shared" si="44"/>
        <v/>
      </c>
      <c r="R145" s="3" t="str">
        <f t="shared" si="45"/>
        <v/>
      </c>
      <c r="S145" s="3" t="str">
        <f t="shared" si="46"/>
        <v/>
      </c>
      <c r="X145" s="13"/>
      <c r="Y145" s="13"/>
      <c r="Z145" s="91"/>
      <c r="AC145" s="2">
        <f t="shared" si="34"/>
        <v>20</v>
      </c>
      <c r="AD145" s="2" t="str">
        <f>IFERROR(INDEX(GLAPS정리!$D$2:$D$50,MATCH(I145,GLAPS정리!$A$2:$A$50,0)),IFERROR(INDEX(GLAPS정리!$D$2:$D$50,MATCH(I145,GLAPS정리!$B$2:$B$50,0)),""))</f>
        <v/>
      </c>
      <c r="AF145" s="2" t="str">
        <f t="shared" si="35"/>
        <v>KR10</v>
      </c>
      <c r="AI145" s="2" t="e">
        <f>VLOOKUP(F145,GLAPS정리!$G$3:$J$114,2,0)</f>
        <v>#N/A</v>
      </c>
      <c r="AJ145" s="2" t="e">
        <f>IF(Z145="울산정일","KRONS",IF(Z145="울산신항","KRUSN",IF(OR(Z145="선광종합물류(인천여객)",Z145="인천여객(인천여객)"),"KRINF",IF(OR(Z145="선광인천보세(인천신)",Z145="한진인천(인천신)",Z145="선광인천신항(인천신)",Z145="인천더로지스(인천신)"),"KRINN",IF(OR(Z145="인천진아(인천항)",Z145="인천E1(인천항)",Z145="인천SM경인터미널(인천항)",Z145="인천항(인천항)",Z145="인천우련(인천항)",Z145="인천항8부두(인천항)"),"KRINC",VLOOKUP(K145,GLAPS정리!$BB$2:$BC$33,2,0))))))</f>
        <v>#N/A</v>
      </c>
      <c r="AL145" s="2">
        <f t="shared" si="36"/>
        <v>5010001</v>
      </c>
      <c r="AN145" s="70" t="str">
        <f t="shared" si="37"/>
        <v>1900-01-00</v>
      </c>
      <c r="AO145" s="2" t="str">
        <f t="shared" si="38"/>
        <v/>
      </c>
      <c r="AP145" s="2" t="e">
        <f>VLOOKUP(C145,GLAPS정리!$AX$2:$AZ$17,3,0)</f>
        <v>#N/A</v>
      </c>
      <c r="AR145" s="2">
        <f t="shared" si="47"/>
        <v>0</v>
      </c>
      <c r="AX145" s="2" t="e">
        <f>VLOOKUP(L145,GLAPS정리!$V$3:$W$180,2,0)</f>
        <v>#N/A</v>
      </c>
      <c r="BM145" s="2" t="str">
        <f t="shared" si="39"/>
        <v xml:space="preserve"> </v>
      </c>
      <c r="BN145" s="2">
        <f t="shared" si="40"/>
        <v>1</v>
      </c>
      <c r="BR145" s="2" t="str">
        <f t="shared" si="41"/>
        <v/>
      </c>
      <c r="BS145" s="2" t="str">
        <f t="shared" si="42"/>
        <v/>
      </c>
      <c r="BV145" s="2" t="e">
        <f>VLOOKUP(O145,GLAPS정리!$BH$2:$BI$94,2,0)</f>
        <v>#N/A</v>
      </c>
      <c r="BW145" s="2" t="str">
        <f>IF(OR(Z145="동원",Z145="세방",Z145="한타"),"",IFERROR(INDEX(GLAPS정리!$BI$2:$BI$101,MATCH(Z145,GLAPS정리!$BH$2:$BH$101,0)),""))</f>
        <v/>
      </c>
      <c r="BX145" s="2" t="str">
        <f>IF(Z145="","",IFERROR(VLOOKUP(Z145,GLAPS정리!$AX$2:$AZ$17,3,0),""))</f>
        <v/>
      </c>
      <c r="BZ145" s="2" t="e">
        <f>VLOOKUP(H145,GLAPS정리!$L$3:$O$133,2,0)</f>
        <v>#N/A</v>
      </c>
      <c r="CA145" s="2" t="str">
        <f t="shared" si="43"/>
        <v/>
      </c>
      <c r="CL145" s="2" t="e">
        <f>VLOOKUP(AI145,GLAPS정리!$BT$3:$BV$26,3,0)</f>
        <v>#N/A</v>
      </c>
    </row>
    <row r="146" spans="2:90" ht="20.45" customHeight="1">
      <c r="B146" s="13"/>
      <c r="G146" s="3"/>
      <c r="J146" s="3"/>
      <c r="Q146" s="3" t="str">
        <f t="shared" si="44"/>
        <v/>
      </c>
      <c r="R146" s="3" t="str">
        <f t="shared" si="45"/>
        <v/>
      </c>
      <c r="S146" s="3" t="str">
        <f t="shared" si="46"/>
        <v/>
      </c>
      <c r="X146" s="13"/>
      <c r="Y146" s="13"/>
      <c r="Z146" s="91"/>
      <c r="AC146" s="2">
        <f t="shared" si="34"/>
        <v>20</v>
      </c>
      <c r="AD146" s="2" t="str">
        <f>IFERROR(INDEX(GLAPS정리!$D$2:$D$50,MATCH(I146,GLAPS정리!$A$2:$A$50,0)),IFERROR(INDEX(GLAPS정리!$D$2:$D$50,MATCH(I146,GLAPS정리!$B$2:$B$50,0)),""))</f>
        <v/>
      </c>
      <c r="AF146" s="2" t="str">
        <f t="shared" si="35"/>
        <v>KR10</v>
      </c>
      <c r="AI146" s="2" t="e">
        <f>VLOOKUP(F146,GLAPS정리!$G$3:$J$114,2,0)</f>
        <v>#N/A</v>
      </c>
      <c r="AJ146" s="2" t="e">
        <f>IF(Z146="울산정일","KRONS",IF(Z146="울산신항","KRUSN",IF(OR(Z146="선광종합물류(인천여객)",Z146="인천여객(인천여객)"),"KRINF",IF(OR(Z146="선광인천보세(인천신)",Z146="한진인천(인천신)",Z146="선광인천신항(인천신)",Z146="인천더로지스(인천신)"),"KRINN",IF(OR(Z146="인천진아(인천항)",Z146="인천E1(인천항)",Z146="인천SM경인터미널(인천항)",Z146="인천항(인천항)",Z146="인천우련(인천항)",Z146="인천항8부두(인천항)"),"KRINC",VLOOKUP(K146,GLAPS정리!$BB$2:$BC$33,2,0))))))</f>
        <v>#N/A</v>
      </c>
      <c r="AL146" s="2">
        <f t="shared" si="36"/>
        <v>5010001</v>
      </c>
      <c r="AN146" s="70" t="str">
        <f t="shared" si="37"/>
        <v>1900-01-00</v>
      </c>
      <c r="AO146" s="2" t="str">
        <f t="shared" si="38"/>
        <v/>
      </c>
      <c r="AP146" s="2" t="e">
        <f>VLOOKUP(C146,GLAPS정리!$AX$2:$AZ$17,3,0)</f>
        <v>#N/A</v>
      </c>
      <c r="AR146" s="2">
        <f t="shared" si="47"/>
        <v>0</v>
      </c>
      <c r="AX146" s="2" t="e">
        <f>VLOOKUP(L146,GLAPS정리!$V$3:$W$180,2,0)</f>
        <v>#N/A</v>
      </c>
      <c r="BM146" s="2" t="str">
        <f t="shared" si="39"/>
        <v xml:space="preserve"> </v>
      </c>
      <c r="BN146" s="2">
        <f t="shared" si="40"/>
        <v>1</v>
      </c>
      <c r="BR146" s="2" t="str">
        <f t="shared" si="41"/>
        <v/>
      </c>
      <c r="BS146" s="2" t="str">
        <f t="shared" si="42"/>
        <v/>
      </c>
      <c r="BV146" s="2" t="e">
        <f>VLOOKUP(O146,GLAPS정리!$BH$2:$BI$94,2,0)</f>
        <v>#N/A</v>
      </c>
      <c r="BW146" s="2" t="str">
        <f>IF(OR(Z146="동원",Z146="세방",Z146="한타"),"",IFERROR(INDEX(GLAPS정리!$BI$2:$BI$101,MATCH(Z146,GLAPS정리!$BH$2:$BH$101,0)),""))</f>
        <v/>
      </c>
      <c r="BX146" s="2" t="str">
        <f>IF(Z146="","",IFERROR(VLOOKUP(Z146,GLAPS정리!$AX$2:$AZ$17,3,0),""))</f>
        <v/>
      </c>
      <c r="BZ146" s="2" t="e">
        <f>VLOOKUP(H146,GLAPS정리!$L$3:$O$133,2,0)</f>
        <v>#N/A</v>
      </c>
      <c r="CA146" s="2" t="str">
        <f t="shared" si="43"/>
        <v/>
      </c>
      <c r="CL146" s="2" t="e">
        <f>VLOOKUP(AI146,GLAPS정리!$BT$3:$BV$26,3,0)</f>
        <v>#N/A</v>
      </c>
    </row>
    <row r="147" spans="2:90" ht="20.45" customHeight="1">
      <c r="B147" s="13"/>
      <c r="G147" s="3"/>
      <c r="J147" s="3"/>
      <c r="Q147" s="3" t="str">
        <f t="shared" si="44"/>
        <v/>
      </c>
      <c r="R147" s="3" t="str">
        <f t="shared" si="45"/>
        <v/>
      </c>
      <c r="S147" s="3" t="str">
        <f t="shared" si="46"/>
        <v/>
      </c>
      <c r="X147" s="13"/>
      <c r="Y147" s="13"/>
      <c r="Z147" s="91"/>
      <c r="AC147" s="2">
        <f t="shared" si="34"/>
        <v>20</v>
      </c>
      <c r="AD147" s="2" t="str">
        <f>IFERROR(INDEX(GLAPS정리!$D$2:$D$50,MATCH(I147,GLAPS정리!$A$2:$A$50,0)),IFERROR(INDEX(GLAPS정리!$D$2:$D$50,MATCH(I147,GLAPS정리!$B$2:$B$50,0)),""))</f>
        <v/>
      </c>
      <c r="AF147" s="2" t="str">
        <f t="shared" si="35"/>
        <v>KR10</v>
      </c>
      <c r="AI147" s="2" t="e">
        <f>VLOOKUP(F147,GLAPS정리!$G$3:$J$114,2,0)</f>
        <v>#N/A</v>
      </c>
      <c r="AJ147" s="2" t="e">
        <f>IF(Z147="울산정일","KRONS",IF(Z147="울산신항","KRUSN",IF(OR(Z147="선광종합물류(인천여객)",Z147="인천여객(인천여객)"),"KRINF",IF(OR(Z147="선광인천보세(인천신)",Z147="한진인천(인천신)",Z147="선광인천신항(인천신)",Z147="인천더로지스(인천신)"),"KRINN",IF(OR(Z147="인천진아(인천항)",Z147="인천E1(인천항)",Z147="인천SM경인터미널(인천항)",Z147="인천항(인천항)",Z147="인천우련(인천항)",Z147="인천항8부두(인천항)"),"KRINC",VLOOKUP(K147,GLAPS정리!$BB$2:$BC$33,2,0))))))</f>
        <v>#N/A</v>
      </c>
      <c r="AL147" s="2">
        <f t="shared" si="36"/>
        <v>5010001</v>
      </c>
      <c r="AN147" s="70" t="str">
        <f t="shared" si="37"/>
        <v>1900-01-00</v>
      </c>
      <c r="AO147" s="2" t="str">
        <f t="shared" si="38"/>
        <v/>
      </c>
      <c r="AP147" s="2" t="e">
        <f>VLOOKUP(C147,GLAPS정리!$AX$2:$AZ$17,3,0)</f>
        <v>#N/A</v>
      </c>
      <c r="AR147" s="2">
        <f t="shared" si="47"/>
        <v>0</v>
      </c>
      <c r="AX147" s="2" t="e">
        <f>VLOOKUP(L147,GLAPS정리!$V$3:$W$180,2,0)</f>
        <v>#N/A</v>
      </c>
      <c r="BM147" s="2" t="str">
        <f t="shared" si="39"/>
        <v xml:space="preserve"> </v>
      </c>
      <c r="BN147" s="2">
        <f t="shared" si="40"/>
        <v>1</v>
      </c>
      <c r="BR147" s="2" t="str">
        <f t="shared" si="41"/>
        <v/>
      </c>
      <c r="BS147" s="2" t="str">
        <f t="shared" si="42"/>
        <v/>
      </c>
      <c r="BV147" s="2" t="e">
        <f>VLOOKUP(O147,GLAPS정리!$BH$2:$BI$94,2,0)</f>
        <v>#N/A</v>
      </c>
      <c r="BW147" s="2" t="str">
        <f>IF(OR(Z147="동원",Z147="세방",Z147="한타"),"",IFERROR(INDEX(GLAPS정리!$BI$2:$BI$101,MATCH(Z147,GLAPS정리!$BH$2:$BH$101,0)),""))</f>
        <v/>
      </c>
      <c r="BX147" s="2" t="str">
        <f>IF(Z147="","",IFERROR(VLOOKUP(Z147,GLAPS정리!$AX$2:$AZ$17,3,0),""))</f>
        <v/>
      </c>
      <c r="BZ147" s="2" t="e">
        <f>VLOOKUP(H147,GLAPS정리!$L$3:$O$133,2,0)</f>
        <v>#N/A</v>
      </c>
      <c r="CA147" s="2" t="str">
        <f t="shared" si="43"/>
        <v/>
      </c>
      <c r="CL147" s="2" t="e">
        <f>VLOOKUP(AI147,GLAPS정리!$BT$3:$BV$26,3,0)</f>
        <v>#N/A</v>
      </c>
    </row>
    <row r="148" spans="2:90" ht="20.45" customHeight="1">
      <c r="B148" s="13"/>
      <c r="G148" s="3"/>
      <c r="J148" s="3"/>
      <c r="Q148" s="3" t="str">
        <f t="shared" si="44"/>
        <v/>
      </c>
      <c r="R148" s="3" t="str">
        <f t="shared" si="45"/>
        <v/>
      </c>
      <c r="S148" s="3" t="str">
        <f t="shared" si="46"/>
        <v/>
      </c>
      <c r="X148" s="13"/>
      <c r="Y148" s="13"/>
      <c r="Z148" s="91"/>
      <c r="AC148" s="2">
        <f t="shared" si="34"/>
        <v>20</v>
      </c>
      <c r="AD148" s="2" t="str">
        <f>IFERROR(INDEX(GLAPS정리!$D$2:$D$50,MATCH(I148,GLAPS정리!$A$2:$A$50,0)),IFERROR(INDEX(GLAPS정리!$D$2:$D$50,MATCH(I148,GLAPS정리!$B$2:$B$50,0)),""))</f>
        <v/>
      </c>
      <c r="AF148" s="2" t="str">
        <f t="shared" si="35"/>
        <v>KR10</v>
      </c>
      <c r="AI148" s="2" t="e">
        <f>VLOOKUP(F148,GLAPS정리!$G$3:$J$114,2,0)</f>
        <v>#N/A</v>
      </c>
      <c r="AJ148" s="2" t="e">
        <f>IF(Z148="울산정일","KRONS",IF(Z148="울산신항","KRUSN",IF(OR(Z148="선광종합물류(인천여객)",Z148="인천여객(인천여객)"),"KRINF",IF(OR(Z148="선광인천보세(인천신)",Z148="한진인천(인천신)",Z148="선광인천신항(인천신)",Z148="인천더로지스(인천신)"),"KRINN",IF(OR(Z148="인천진아(인천항)",Z148="인천E1(인천항)",Z148="인천SM경인터미널(인천항)",Z148="인천항(인천항)",Z148="인천우련(인천항)",Z148="인천항8부두(인천항)"),"KRINC",VLOOKUP(K148,GLAPS정리!$BB$2:$BC$33,2,0))))))</f>
        <v>#N/A</v>
      </c>
      <c r="AL148" s="2">
        <f t="shared" si="36"/>
        <v>5010001</v>
      </c>
      <c r="AN148" s="70" t="str">
        <f t="shared" si="37"/>
        <v>1900-01-00</v>
      </c>
      <c r="AO148" s="2" t="str">
        <f t="shared" si="38"/>
        <v/>
      </c>
      <c r="AP148" s="2" t="e">
        <f>VLOOKUP(C148,GLAPS정리!$AX$2:$AZ$17,3,0)</f>
        <v>#N/A</v>
      </c>
      <c r="AR148" s="2">
        <f t="shared" si="47"/>
        <v>0</v>
      </c>
      <c r="AX148" s="2" t="e">
        <f>VLOOKUP(L148,GLAPS정리!$V$3:$W$180,2,0)</f>
        <v>#N/A</v>
      </c>
      <c r="BM148" s="2" t="str">
        <f t="shared" si="39"/>
        <v xml:space="preserve"> </v>
      </c>
      <c r="BN148" s="2">
        <f t="shared" si="40"/>
        <v>1</v>
      </c>
      <c r="BR148" s="2" t="str">
        <f t="shared" si="41"/>
        <v/>
      </c>
      <c r="BS148" s="2" t="str">
        <f t="shared" si="42"/>
        <v/>
      </c>
      <c r="BV148" s="2" t="e">
        <f>VLOOKUP(O148,GLAPS정리!$BH$2:$BI$94,2,0)</f>
        <v>#N/A</v>
      </c>
      <c r="BW148" s="2" t="str">
        <f>IF(OR(Z148="동원",Z148="세방",Z148="한타"),"",IFERROR(INDEX(GLAPS정리!$BI$2:$BI$101,MATCH(Z148,GLAPS정리!$BH$2:$BH$101,0)),""))</f>
        <v/>
      </c>
      <c r="BX148" s="2" t="str">
        <f>IF(Z148="","",IFERROR(VLOOKUP(Z148,GLAPS정리!$AX$2:$AZ$17,3,0),""))</f>
        <v/>
      </c>
      <c r="BZ148" s="2" t="e">
        <f>VLOOKUP(H148,GLAPS정리!$L$3:$O$133,2,0)</f>
        <v>#N/A</v>
      </c>
      <c r="CA148" s="2" t="str">
        <f t="shared" si="43"/>
        <v/>
      </c>
      <c r="CL148" s="2" t="e">
        <f>VLOOKUP(AI148,GLAPS정리!$BT$3:$BV$26,3,0)</f>
        <v>#N/A</v>
      </c>
    </row>
    <row r="149" spans="2:90" ht="20.45" customHeight="1">
      <c r="B149" s="13"/>
      <c r="G149" s="3"/>
      <c r="J149" s="3"/>
      <c r="Q149" s="3" t="str">
        <f t="shared" si="44"/>
        <v/>
      </c>
      <c r="R149" s="3" t="str">
        <f t="shared" si="45"/>
        <v/>
      </c>
      <c r="S149" s="3" t="str">
        <f t="shared" si="46"/>
        <v/>
      </c>
      <c r="X149" s="13"/>
      <c r="Y149" s="13"/>
      <c r="Z149" s="91"/>
      <c r="AC149" s="2">
        <f t="shared" si="34"/>
        <v>20</v>
      </c>
      <c r="AD149" s="2" t="str">
        <f>IFERROR(INDEX(GLAPS정리!$D$2:$D$50,MATCH(I149,GLAPS정리!$A$2:$A$50,0)),IFERROR(INDEX(GLAPS정리!$D$2:$D$50,MATCH(I149,GLAPS정리!$B$2:$B$50,0)),""))</f>
        <v/>
      </c>
      <c r="AF149" s="2" t="str">
        <f t="shared" si="35"/>
        <v>KR10</v>
      </c>
      <c r="AI149" s="2" t="e">
        <f>VLOOKUP(F149,GLAPS정리!$G$3:$J$114,2,0)</f>
        <v>#N/A</v>
      </c>
      <c r="AJ149" s="2" t="e">
        <f>IF(Z149="울산정일","KRONS",IF(Z149="울산신항","KRUSN",IF(OR(Z149="선광종합물류(인천여객)",Z149="인천여객(인천여객)"),"KRINF",IF(OR(Z149="선광인천보세(인천신)",Z149="한진인천(인천신)",Z149="선광인천신항(인천신)",Z149="인천더로지스(인천신)"),"KRINN",IF(OR(Z149="인천진아(인천항)",Z149="인천E1(인천항)",Z149="인천SM경인터미널(인천항)",Z149="인천항(인천항)",Z149="인천우련(인천항)",Z149="인천항8부두(인천항)"),"KRINC",VLOOKUP(K149,GLAPS정리!$BB$2:$BC$33,2,0))))))</f>
        <v>#N/A</v>
      </c>
      <c r="AL149" s="2">
        <f t="shared" si="36"/>
        <v>5010001</v>
      </c>
      <c r="AN149" s="70" t="str">
        <f t="shared" si="37"/>
        <v>1900-01-00</v>
      </c>
      <c r="AO149" s="2" t="str">
        <f t="shared" si="38"/>
        <v/>
      </c>
      <c r="AP149" s="2" t="e">
        <f>VLOOKUP(C149,GLAPS정리!$AX$2:$AZ$17,3,0)</f>
        <v>#N/A</v>
      </c>
      <c r="AR149" s="2">
        <f t="shared" si="47"/>
        <v>0</v>
      </c>
      <c r="AX149" s="2" t="e">
        <f>VLOOKUP(L149,GLAPS정리!$V$3:$W$180,2,0)</f>
        <v>#N/A</v>
      </c>
      <c r="BM149" s="2" t="str">
        <f t="shared" si="39"/>
        <v xml:space="preserve"> </v>
      </c>
      <c r="BN149" s="2">
        <f t="shared" si="40"/>
        <v>1</v>
      </c>
      <c r="BR149" s="2" t="str">
        <f t="shared" si="41"/>
        <v/>
      </c>
      <c r="BS149" s="2" t="str">
        <f t="shared" si="42"/>
        <v/>
      </c>
      <c r="BV149" s="2" t="e">
        <f>VLOOKUP(O149,GLAPS정리!$BH$2:$BI$94,2,0)</f>
        <v>#N/A</v>
      </c>
      <c r="BW149" s="2" t="str">
        <f>IF(OR(Z149="동원",Z149="세방",Z149="한타"),"",IFERROR(INDEX(GLAPS정리!$BI$2:$BI$101,MATCH(Z149,GLAPS정리!$BH$2:$BH$101,0)),""))</f>
        <v/>
      </c>
      <c r="BX149" s="2" t="str">
        <f>IF(Z149="","",IFERROR(VLOOKUP(Z149,GLAPS정리!$AX$2:$AZ$17,3,0),""))</f>
        <v/>
      </c>
      <c r="BZ149" s="2" t="e">
        <f>VLOOKUP(H149,GLAPS정리!$L$3:$O$133,2,0)</f>
        <v>#N/A</v>
      </c>
      <c r="CA149" s="2" t="str">
        <f t="shared" si="43"/>
        <v/>
      </c>
      <c r="CL149" s="2" t="e">
        <f>VLOOKUP(AI149,GLAPS정리!$BT$3:$BV$26,3,0)</f>
        <v>#N/A</v>
      </c>
    </row>
    <row r="150" spans="2:90" ht="20.45" customHeight="1">
      <c r="B150" s="13"/>
      <c r="G150" s="3"/>
      <c r="J150" s="3"/>
      <c r="Q150" s="3" t="str">
        <f t="shared" si="44"/>
        <v/>
      </c>
      <c r="R150" s="3" t="str">
        <f t="shared" si="45"/>
        <v/>
      </c>
      <c r="S150" s="3" t="str">
        <f t="shared" si="46"/>
        <v/>
      </c>
      <c r="X150" s="13"/>
      <c r="Y150" s="13"/>
      <c r="Z150" s="91"/>
      <c r="AC150" s="2">
        <f t="shared" si="34"/>
        <v>20</v>
      </c>
      <c r="AD150" s="2" t="str">
        <f>IFERROR(INDEX(GLAPS정리!$D$2:$D$50,MATCH(I150,GLAPS정리!$A$2:$A$50,0)),IFERROR(INDEX(GLAPS정리!$D$2:$D$50,MATCH(I150,GLAPS정리!$B$2:$B$50,0)),""))</f>
        <v/>
      </c>
      <c r="AF150" s="2" t="str">
        <f t="shared" si="35"/>
        <v>KR10</v>
      </c>
      <c r="AI150" s="2" t="e">
        <f>VLOOKUP(F150,GLAPS정리!$G$3:$J$114,2,0)</f>
        <v>#N/A</v>
      </c>
      <c r="AJ150" s="2" t="e">
        <f>IF(Z150="울산정일","KRONS",IF(Z150="울산신항","KRUSN",IF(OR(Z150="선광종합물류(인천여객)",Z150="인천여객(인천여객)"),"KRINF",IF(OR(Z150="선광인천보세(인천신)",Z150="한진인천(인천신)",Z150="선광인천신항(인천신)",Z150="인천더로지스(인천신)"),"KRINN",IF(OR(Z150="인천진아(인천항)",Z150="인천E1(인천항)",Z150="인천SM경인터미널(인천항)",Z150="인천항(인천항)",Z150="인천우련(인천항)",Z150="인천항8부두(인천항)"),"KRINC",VLOOKUP(K150,GLAPS정리!$BB$2:$BC$33,2,0))))))</f>
        <v>#N/A</v>
      </c>
      <c r="AL150" s="2">
        <f t="shared" si="36"/>
        <v>5010001</v>
      </c>
      <c r="AN150" s="70" t="str">
        <f t="shared" si="37"/>
        <v>1900-01-00</v>
      </c>
      <c r="AO150" s="2" t="str">
        <f t="shared" si="38"/>
        <v/>
      </c>
      <c r="AP150" s="2" t="e">
        <f>VLOOKUP(C150,GLAPS정리!$AX$2:$AZ$17,3,0)</f>
        <v>#N/A</v>
      </c>
      <c r="AR150" s="2">
        <f t="shared" si="47"/>
        <v>0</v>
      </c>
      <c r="AX150" s="2" t="e">
        <f>VLOOKUP(L150,GLAPS정리!$V$3:$W$180,2,0)</f>
        <v>#N/A</v>
      </c>
      <c r="BM150" s="2" t="str">
        <f t="shared" si="39"/>
        <v xml:space="preserve"> </v>
      </c>
      <c r="BN150" s="2">
        <f t="shared" si="40"/>
        <v>1</v>
      </c>
      <c r="BR150" s="2" t="str">
        <f t="shared" si="41"/>
        <v/>
      </c>
      <c r="BS150" s="2" t="str">
        <f t="shared" si="42"/>
        <v/>
      </c>
      <c r="BV150" s="2" t="e">
        <f>VLOOKUP(O150,GLAPS정리!$BH$2:$BI$94,2,0)</f>
        <v>#N/A</v>
      </c>
      <c r="BW150" s="2" t="str">
        <f>IF(OR(Z150="동원",Z150="세방",Z150="한타"),"",IFERROR(INDEX(GLAPS정리!$BI$2:$BI$101,MATCH(Z150,GLAPS정리!$BH$2:$BH$101,0)),""))</f>
        <v/>
      </c>
      <c r="BX150" s="2" t="str">
        <f>IF(Z150="","",IFERROR(VLOOKUP(Z150,GLAPS정리!$AX$2:$AZ$17,3,0),""))</f>
        <v/>
      </c>
      <c r="BZ150" s="2" t="e">
        <f>VLOOKUP(H150,GLAPS정리!$L$3:$O$133,2,0)</f>
        <v>#N/A</v>
      </c>
      <c r="CA150" s="2" t="str">
        <f t="shared" si="43"/>
        <v/>
      </c>
      <c r="CL150" s="2" t="e">
        <f>VLOOKUP(AI150,GLAPS정리!$BT$3:$BV$26,3,0)</f>
        <v>#N/A</v>
      </c>
    </row>
    <row r="151" spans="2:90" ht="20.45" customHeight="1">
      <c r="B151" s="13"/>
      <c r="G151" s="3"/>
      <c r="J151" s="3"/>
      <c r="Q151" s="3" t="str">
        <f t="shared" si="44"/>
        <v/>
      </c>
      <c r="R151" s="3" t="str">
        <f t="shared" si="45"/>
        <v/>
      </c>
      <c r="S151" s="3" t="str">
        <f t="shared" si="46"/>
        <v/>
      </c>
      <c r="X151" s="13"/>
      <c r="Y151" s="13"/>
      <c r="Z151" s="91"/>
      <c r="AC151" s="2">
        <f t="shared" si="34"/>
        <v>20</v>
      </c>
      <c r="AD151" s="2" t="str">
        <f>IFERROR(INDEX(GLAPS정리!$D$2:$D$50,MATCH(I151,GLAPS정리!$A$2:$A$50,0)),IFERROR(INDEX(GLAPS정리!$D$2:$D$50,MATCH(I151,GLAPS정리!$B$2:$B$50,0)),""))</f>
        <v/>
      </c>
      <c r="AF151" s="2" t="str">
        <f t="shared" si="35"/>
        <v>KR10</v>
      </c>
      <c r="AI151" s="2" t="e">
        <f>VLOOKUP(F151,GLAPS정리!$G$3:$J$114,2,0)</f>
        <v>#N/A</v>
      </c>
      <c r="AJ151" s="2" t="e">
        <f>IF(Z151="울산정일","KRONS",IF(Z151="울산신항","KRUSN",IF(OR(Z151="선광종합물류(인천여객)",Z151="인천여객(인천여객)"),"KRINF",IF(OR(Z151="선광인천보세(인천신)",Z151="한진인천(인천신)",Z151="선광인천신항(인천신)",Z151="인천더로지스(인천신)"),"KRINN",IF(OR(Z151="인천진아(인천항)",Z151="인천E1(인천항)",Z151="인천SM경인터미널(인천항)",Z151="인천항(인천항)",Z151="인천우련(인천항)",Z151="인천항8부두(인천항)"),"KRINC",VLOOKUP(K151,GLAPS정리!$BB$2:$BC$33,2,0))))))</f>
        <v>#N/A</v>
      </c>
      <c r="AL151" s="2">
        <f t="shared" si="36"/>
        <v>5010001</v>
      </c>
      <c r="AN151" s="70" t="str">
        <f t="shared" si="37"/>
        <v>1900-01-00</v>
      </c>
      <c r="AO151" s="2" t="str">
        <f t="shared" si="38"/>
        <v/>
      </c>
      <c r="AP151" s="2" t="e">
        <f>VLOOKUP(C151,GLAPS정리!$AX$2:$AZ$17,3,0)</f>
        <v>#N/A</v>
      </c>
      <c r="AR151" s="2">
        <f t="shared" si="47"/>
        <v>0</v>
      </c>
      <c r="AX151" s="2" t="e">
        <f>VLOOKUP(L151,GLAPS정리!$V$3:$W$180,2,0)</f>
        <v>#N/A</v>
      </c>
      <c r="BM151" s="2" t="str">
        <f t="shared" si="39"/>
        <v xml:space="preserve"> </v>
      </c>
      <c r="BN151" s="2">
        <f t="shared" si="40"/>
        <v>1</v>
      </c>
      <c r="BR151" s="2" t="str">
        <f t="shared" si="41"/>
        <v/>
      </c>
      <c r="BS151" s="2" t="str">
        <f t="shared" si="42"/>
        <v/>
      </c>
      <c r="BV151" s="2" t="e">
        <f>VLOOKUP(O151,GLAPS정리!$BH$2:$BI$94,2,0)</f>
        <v>#N/A</v>
      </c>
      <c r="BW151" s="2" t="str">
        <f>IF(OR(Z151="동원",Z151="세방",Z151="한타"),"",IFERROR(INDEX(GLAPS정리!$BI$2:$BI$101,MATCH(Z151,GLAPS정리!$BH$2:$BH$101,0)),""))</f>
        <v/>
      </c>
      <c r="BX151" s="2" t="str">
        <f>IF(Z151="","",IFERROR(VLOOKUP(Z151,GLAPS정리!$AX$2:$AZ$17,3,0),""))</f>
        <v/>
      </c>
      <c r="BZ151" s="2" t="e">
        <f>VLOOKUP(H151,GLAPS정리!$L$3:$O$133,2,0)</f>
        <v>#N/A</v>
      </c>
      <c r="CA151" s="2" t="str">
        <f t="shared" si="43"/>
        <v/>
      </c>
      <c r="CL151" s="2" t="e">
        <f>VLOOKUP(AI151,GLAPS정리!$BT$3:$BV$26,3,0)</f>
        <v>#N/A</v>
      </c>
    </row>
    <row r="152" spans="2:90" ht="20.45" customHeight="1">
      <c r="B152" s="13"/>
      <c r="G152" s="3"/>
      <c r="J152" s="3"/>
      <c r="Q152" s="3" t="str">
        <f t="shared" si="44"/>
        <v/>
      </c>
      <c r="R152" s="3" t="str">
        <f t="shared" si="45"/>
        <v/>
      </c>
      <c r="S152" s="3" t="str">
        <f t="shared" si="46"/>
        <v/>
      </c>
      <c r="X152" s="13"/>
      <c r="Y152" s="13"/>
      <c r="Z152" s="91"/>
      <c r="AC152" s="2">
        <f t="shared" si="34"/>
        <v>20</v>
      </c>
      <c r="AD152" s="2" t="str">
        <f>IFERROR(INDEX(GLAPS정리!$D$2:$D$50,MATCH(I152,GLAPS정리!$A$2:$A$50,0)),IFERROR(INDEX(GLAPS정리!$D$2:$D$50,MATCH(I152,GLAPS정리!$B$2:$B$50,0)),""))</f>
        <v/>
      </c>
      <c r="AF152" s="2" t="str">
        <f t="shared" si="35"/>
        <v>KR10</v>
      </c>
      <c r="AI152" s="2" t="e">
        <f>VLOOKUP(F152,GLAPS정리!$G$3:$J$114,2,0)</f>
        <v>#N/A</v>
      </c>
      <c r="AJ152" s="2" t="e">
        <f>IF(Z152="울산정일","KRONS",IF(Z152="울산신항","KRUSN",IF(OR(Z152="선광종합물류(인천여객)",Z152="인천여객(인천여객)"),"KRINF",IF(OR(Z152="선광인천보세(인천신)",Z152="한진인천(인천신)",Z152="선광인천신항(인천신)",Z152="인천더로지스(인천신)"),"KRINN",IF(OR(Z152="인천진아(인천항)",Z152="인천E1(인천항)",Z152="인천SM경인터미널(인천항)",Z152="인천항(인천항)",Z152="인천우련(인천항)",Z152="인천항8부두(인천항)"),"KRINC",VLOOKUP(K152,GLAPS정리!$BB$2:$BC$33,2,0))))))</f>
        <v>#N/A</v>
      </c>
      <c r="AL152" s="2">
        <f t="shared" si="36"/>
        <v>5010001</v>
      </c>
      <c r="AN152" s="70" t="str">
        <f t="shared" si="37"/>
        <v>1900-01-00</v>
      </c>
      <c r="AO152" s="2" t="str">
        <f t="shared" si="38"/>
        <v/>
      </c>
      <c r="AP152" s="2" t="e">
        <f>VLOOKUP(C152,GLAPS정리!$AX$2:$AZ$17,3,0)</f>
        <v>#N/A</v>
      </c>
      <c r="AR152" s="2">
        <f t="shared" si="47"/>
        <v>0</v>
      </c>
      <c r="AX152" s="2" t="e">
        <f>VLOOKUP(L152,GLAPS정리!$V$3:$W$180,2,0)</f>
        <v>#N/A</v>
      </c>
      <c r="BM152" s="2" t="str">
        <f t="shared" si="39"/>
        <v xml:space="preserve"> </v>
      </c>
      <c r="BN152" s="2">
        <f t="shared" si="40"/>
        <v>1</v>
      </c>
      <c r="BR152" s="2" t="str">
        <f t="shared" si="41"/>
        <v/>
      </c>
      <c r="BS152" s="2" t="str">
        <f t="shared" si="42"/>
        <v/>
      </c>
      <c r="BV152" s="2" t="e">
        <f>VLOOKUP(O152,GLAPS정리!$BH$2:$BI$94,2,0)</f>
        <v>#N/A</v>
      </c>
      <c r="BW152" s="2" t="str">
        <f>IF(OR(Z152="동원",Z152="세방",Z152="한타"),"",IFERROR(INDEX(GLAPS정리!$BI$2:$BI$101,MATCH(Z152,GLAPS정리!$BH$2:$BH$101,0)),""))</f>
        <v/>
      </c>
      <c r="BX152" s="2" t="str">
        <f>IF(Z152="","",IFERROR(VLOOKUP(Z152,GLAPS정리!$AX$2:$AZ$17,3,0),""))</f>
        <v/>
      </c>
      <c r="BZ152" s="2" t="e">
        <f>VLOOKUP(H152,GLAPS정리!$L$3:$O$133,2,0)</f>
        <v>#N/A</v>
      </c>
      <c r="CA152" s="2" t="str">
        <f t="shared" si="43"/>
        <v/>
      </c>
      <c r="CL152" s="2" t="e">
        <f>VLOOKUP(AI152,GLAPS정리!$BT$3:$BV$26,3,0)</f>
        <v>#N/A</v>
      </c>
    </row>
    <row r="153" spans="2:90" ht="20.45" customHeight="1">
      <c r="B153" s="13"/>
      <c r="G153" s="3"/>
      <c r="J153" s="3"/>
      <c r="Q153" s="3" t="str">
        <f t="shared" si="44"/>
        <v/>
      </c>
      <c r="R153" s="3" t="str">
        <f t="shared" si="45"/>
        <v/>
      </c>
      <c r="S153" s="3" t="str">
        <f t="shared" si="46"/>
        <v/>
      </c>
      <c r="X153" s="13"/>
      <c r="Y153" s="13"/>
      <c r="Z153" s="91"/>
      <c r="AC153" s="2">
        <f t="shared" si="34"/>
        <v>20</v>
      </c>
      <c r="AD153" s="2" t="str">
        <f>IFERROR(INDEX(GLAPS정리!$D$2:$D$50,MATCH(I153,GLAPS정리!$A$2:$A$50,0)),IFERROR(INDEX(GLAPS정리!$D$2:$D$50,MATCH(I153,GLAPS정리!$B$2:$B$50,0)),""))</f>
        <v/>
      </c>
      <c r="AF153" s="2" t="str">
        <f t="shared" si="35"/>
        <v>KR10</v>
      </c>
      <c r="AI153" s="2" t="e">
        <f>VLOOKUP(F153,GLAPS정리!$G$3:$J$114,2,0)</f>
        <v>#N/A</v>
      </c>
      <c r="AJ153" s="2" t="e">
        <f>IF(Z153="울산정일","KRONS",IF(Z153="울산신항","KRUSN",IF(OR(Z153="선광종합물류(인천여객)",Z153="인천여객(인천여객)"),"KRINF",IF(OR(Z153="선광인천보세(인천신)",Z153="한진인천(인천신)",Z153="선광인천신항(인천신)",Z153="인천더로지스(인천신)"),"KRINN",IF(OR(Z153="인천진아(인천항)",Z153="인천E1(인천항)",Z153="인천SM경인터미널(인천항)",Z153="인천항(인천항)",Z153="인천우련(인천항)",Z153="인천항8부두(인천항)"),"KRINC",VLOOKUP(K153,GLAPS정리!$BB$2:$BC$33,2,0))))))</f>
        <v>#N/A</v>
      </c>
      <c r="AL153" s="2">
        <f t="shared" si="36"/>
        <v>5010001</v>
      </c>
      <c r="AN153" s="70" t="str">
        <f t="shared" si="37"/>
        <v>1900-01-00</v>
      </c>
      <c r="AO153" s="2" t="str">
        <f t="shared" si="38"/>
        <v/>
      </c>
      <c r="AP153" s="2" t="e">
        <f>VLOOKUP(C153,GLAPS정리!$AX$2:$AZ$17,3,0)</f>
        <v>#N/A</v>
      </c>
      <c r="AR153" s="2">
        <f t="shared" si="47"/>
        <v>0</v>
      </c>
      <c r="AX153" s="2" t="e">
        <f>VLOOKUP(L153,GLAPS정리!$V$3:$W$180,2,0)</f>
        <v>#N/A</v>
      </c>
      <c r="BM153" s="2" t="str">
        <f t="shared" si="39"/>
        <v xml:space="preserve"> </v>
      </c>
      <c r="BN153" s="2">
        <f t="shared" si="40"/>
        <v>1</v>
      </c>
      <c r="BR153" s="2" t="str">
        <f t="shared" si="41"/>
        <v/>
      </c>
      <c r="BS153" s="2" t="str">
        <f t="shared" si="42"/>
        <v/>
      </c>
      <c r="BV153" s="2" t="e">
        <f>VLOOKUP(O153,GLAPS정리!$BH$2:$BI$94,2,0)</f>
        <v>#N/A</v>
      </c>
      <c r="BW153" s="2" t="str">
        <f>IF(OR(Z153="동원",Z153="세방",Z153="한타"),"",IFERROR(INDEX(GLAPS정리!$BI$2:$BI$101,MATCH(Z153,GLAPS정리!$BH$2:$BH$101,0)),""))</f>
        <v/>
      </c>
      <c r="BX153" s="2" t="str">
        <f>IF(Z153="","",IFERROR(VLOOKUP(Z153,GLAPS정리!$AX$2:$AZ$17,3,0),""))</f>
        <v/>
      </c>
      <c r="BZ153" s="2" t="e">
        <f>VLOOKUP(H153,GLAPS정리!$L$3:$O$133,2,0)</f>
        <v>#N/A</v>
      </c>
      <c r="CA153" s="2" t="str">
        <f t="shared" si="43"/>
        <v/>
      </c>
      <c r="CL153" s="2" t="e">
        <f>VLOOKUP(AI153,GLAPS정리!$BT$3:$BV$26,3,0)</f>
        <v>#N/A</v>
      </c>
    </row>
    <row r="154" spans="2:90" ht="20.45" customHeight="1">
      <c r="B154" s="13"/>
      <c r="G154" s="3"/>
      <c r="J154" s="3"/>
      <c r="Q154" s="3" t="str">
        <f t="shared" si="44"/>
        <v/>
      </c>
      <c r="R154" s="3" t="str">
        <f t="shared" si="45"/>
        <v/>
      </c>
      <c r="S154" s="3" t="str">
        <f t="shared" si="46"/>
        <v/>
      </c>
      <c r="X154" s="13"/>
      <c r="Y154" s="13"/>
      <c r="Z154" s="91"/>
      <c r="AC154" s="2">
        <f t="shared" si="34"/>
        <v>20</v>
      </c>
      <c r="AD154" s="2" t="str">
        <f>IFERROR(INDEX(GLAPS정리!$D$2:$D$50,MATCH(I154,GLAPS정리!$A$2:$A$50,0)),IFERROR(INDEX(GLAPS정리!$D$2:$D$50,MATCH(I154,GLAPS정리!$B$2:$B$50,0)),""))</f>
        <v/>
      </c>
      <c r="AF154" s="2" t="str">
        <f t="shared" si="35"/>
        <v>KR10</v>
      </c>
      <c r="AI154" s="2" t="e">
        <f>VLOOKUP(F154,GLAPS정리!$G$3:$J$114,2,0)</f>
        <v>#N/A</v>
      </c>
      <c r="AJ154" s="2" t="e">
        <f>IF(Z154="울산정일","KRONS",IF(Z154="울산신항","KRUSN",IF(OR(Z154="선광종합물류(인천여객)",Z154="인천여객(인천여객)"),"KRINF",IF(OR(Z154="선광인천보세(인천신)",Z154="한진인천(인천신)",Z154="선광인천신항(인천신)",Z154="인천더로지스(인천신)"),"KRINN",IF(OR(Z154="인천진아(인천항)",Z154="인천E1(인천항)",Z154="인천SM경인터미널(인천항)",Z154="인천항(인천항)",Z154="인천우련(인천항)",Z154="인천항8부두(인천항)"),"KRINC",VLOOKUP(K154,GLAPS정리!$BB$2:$BC$33,2,0))))))</f>
        <v>#N/A</v>
      </c>
      <c r="AL154" s="2">
        <f t="shared" si="36"/>
        <v>5010001</v>
      </c>
      <c r="AN154" s="70" t="str">
        <f t="shared" si="37"/>
        <v>1900-01-00</v>
      </c>
      <c r="AO154" s="2" t="str">
        <f t="shared" si="38"/>
        <v/>
      </c>
      <c r="AP154" s="2" t="e">
        <f>VLOOKUP(C154,GLAPS정리!$AX$2:$AZ$17,3,0)</f>
        <v>#N/A</v>
      </c>
      <c r="AR154" s="2">
        <f t="shared" si="47"/>
        <v>0</v>
      </c>
      <c r="AX154" s="2" t="e">
        <f>VLOOKUP(L154,GLAPS정리!$V$3:$W$180,2,0)</f>
        <v>#N/A</v>
      </c>
      <c r="BM154" s="2" t="str">
        <f t="shared" si="39"/>
        <v xml:space="preserve"> </v>
      </c>
      <c r="BN154" s="2">
        <f t="shared" si="40"/>
        <v>1</v>
      </c>
      <c r="BR154" s="2" t="str">
        <f t="shared" si="41"/>
        <v/>
      </c>
      <c r="BS154" s="2" t="str">
        <f t="shared" si="42"/>
        <v/>
      </c>
      <c r="BV154" s="2" t="e">
        <f>VLOOKUP(O154,GLAPS정리!$BH$2:$BI$94,2,0)</f>
        <v>#N/A</v>
      </c>
      <c r="BW154" s="2" t="str">
        <f>IF(OR(Z154="동원",Z154="세방",Z154="한타"),"",IFERROR(INDEX(GLAPS정리!$BI$2:$BI$101,MATCH(Z154,GLAPS정리!$BH$2:$BH$101,0)),""))</f>
        <v/>
      </c>
      <c r="BX154" s="2" t="str">
        <f>IF(Z154="","",IFERROR(VLOOKUP(Z154,GLAPS정리!$AX$2:$AZ$17,3,0),""))</f>
        <v/>
      </c>
      <c r="BZ154" s="2" t="e">
        <f>VLOOKUP(H154,GLAPS정리!$L$3:$O$133,2,0)</f>
        <v>#N/A</v>
      </c>
      <c r="CA154" s="2" t="str">
        <f t="shared" si="43"/>
        <v/>
      </c>
      <c r="CL154" s="2" t="e">
        <f>VLOOKUP(AI154,GLAPS정리!$BT$3:$BV$26,3,0)</f>
        <v>#N/A</v>
      </c>
    </row>
    <row r="155" spans="2:90" ht="20.45" customHeight="1">
      <c r="B155" s="13"/>
      <c r="G155" s="3"/>
      <c r="J155" s="3"/>
      <c r="Q155" s="3" t="str">
        <f t="shared" si="44"/>
        <v/>
      </c>
      <c r="R155" s="3" t="str">
        <f t="shared" si="45"/>
        <v/>
      </c>
      <c r="S155" s="3" t="str">
        <f t="shared" si="46"/>
        <v/>
      </c>
      <c r="X155" s="13"/>
      <c r="Y155" s="13"/>
      <c r="Z155" s="91"/>
      <c r="AC155" s="2">
        <f t="shared" si="34"/>
        <v>20</v>
      </c>
      <c r="AD155" s="2" t="str">
        <f>IFERROR(INDEX(GLAPS정리!$D$2:$D$50,MATCH(I155,GLAPS정리!$A$2:$A$50,0)),IFERROR(INDEX(GLAPS정리!$D$2:$D$50,MATCH(I155,GLAPS정리!$B$2:$B$50,0)),""))</f>
        <v/>
      </c>
      <c r="AF155" s="2" t="str">
        <f t="shared" si="35"/>
        <v>KR10</v>
      </c>
      <c r="AI155" s="2" t="e">
        <f>VLOOKUP(F155,GLAPS정리!$G$3:$J$114,2,0)</f>
        <v>#N/A</v>
      </c>
      <c r="AJ155" s="2" t="e">
        <f>IF(Z155="울산정일","KRONS",IF(Z155="울산신항","KRUSN",IF(OR(Z155="선광종합물류(인천여객)",Z155="인천여객(인천여객)"),"KRINF",IF(OR(Z155="선광인천보세(인천신)",Z155="한진인천(인천신)",Z155="선광인천신항(인천신)",Z155="인천더로지스(인천신)"),"KRINN",IF(OR(Z155="인천진아(인천항)",Z155="인천E1(인천항)",Z155="인천SM경인터미널(인천항)",Z155="인천항(인천항)",Z155="인천우련(인천항)",Z155="인천항8부두(인천항)"),"KRINC",VLOOKUP(K155,GLAPS정리!$BB$2:$BC$33,2,0))))))</f>
        <v>#N/A</v>
      </c>
      <c r="AL155" s="2">
        <f t="shared" si="36"/>
        <v>5010001</v>
      </c>
      <c r="AN155" s="70" t="str">
        <f t="shared" si="37"/>
        <v>1900-01-00</v>
      </c>
      <c r="AO155" s="2" t="str">
        <f t="shared" si="38"/>
        <v/>
      </c>
      <c r="AP155" s="2" t="e">
        <f>VLOOKUP(C155,GLAPS정리!$AX$2:$AZ$17,3,0)</f>
        <v>#N/A</v>
      </c>
      <c r="AR155" s="2">
        <f t="shared" si="47"/>
        <v>0</v>
      </c>
      <c r="AX155" s="2" t="e">
        <f>VLOOKUP(L155,GLAPS정리!$V$3:$W$180,2,0)</f>
        <v>#N/A</v>
      </c>
      <c r="BM155" s="2" t="str">
        <f t="shared" si="39"/>
        <v xml:space="preserve"> </v>
      </c>
      <c r="BN155" s="2">
        <f t="shared" si="40"/>
        <v>1</v>
      </c>
      <c r="BR155" s="2" t="str">
        <f t="shared" si="41"/>
        <v/>
      </c>
      <c r="BS155" s="2" t="str">
        <f t="shared" si="42"/>
        <v/>
      </c>
      <c r="BV155" s="2" t="e">
        <f>VLOOKUP(O155,GLAPS정리!$BH$2:$BI$94,2,0)</f>
        <v>#N/A</v>
      </c>
      <c r="BW155" s="2" t="str">
        <f>IF(OR(Z155="동원",Z155="세방",Z155="한타"),"",IFERROR(INDEX(GLAPS정리!$BI$2:$BI$101,MATCH(Z155,GLAPS정리!$BH$2:$BH$101,0)),""))</f>
        <v/>
      </c>
      <c r="BX155" s="2" t="str">
        <f>IF(Z155="","",IFERROR(VLOOKUP(Z155,GLAPS정리!$AX$2:$AZ$17,3,0),""))</f>
        <v/>
      </c>
      <c r="BZ155" s="2" t="e">
        <f>VLOOKUP(H155,GLAPS정리!$L$3:$O$133,2,0)</f>
        <v>#N/A</v>
      </c>
      <c r="CA155" s="2" t="str">
        <f t="shared" si="43"/>
        <v/>
      </c>
      <c r="CL155" s="2" t="e">
        <f>VLOOKUP(AI155,GLAPS정리!$BT$3:$BV$26,3,0)</f>
        <v>#N/A</v>
      </c>
    </row>
    <row r="156" spans="2:90" ht="20.45" customHeight="1">
      <c r="B156" s="13"/>
      <c r="G156" s="3"/>
      <c r="J156" s="3"/>
      <c r="Q156" s="3" t="str">
        <f t="shared" si="44"/>
        <v/>
      </c>
      <c r="R156" s="3" t="str">
        <f t="shared" si="45"/>
        <v/>
      </c>
      <c r="S156" s="3" t="str">
        <f t="shared" si="46"/>
        <v/>
      </c>
      <c r="X156" s="13"/>
      <c r="Y156" s="13"/>
      <c r="Z156" s="91"/>
      <c r="AC156" s="2">
        <f t="shared" si="34"/>
        <v>20</v>
      </c>
      <c r="AD156" s="2" t="str">
        <f>IFERROR(INDEX(GLAPS정리!$D$2:$D$50,MATCH(I156,GLAPS정리!$A$2:$A$50,0)),IFERROR(INDEX(GLAPS정리!$D$2:$D$50,MATCH(I156,GLAPS정리!$B$2:$B$50,0)),""))</f>
        <v/>
      </c>
      <c r="AF156" s="2" t="str">
        <f t="shared" si="35"/>
        <v>KR10</v>
      </c>
      <c r="AI156" s="2" t="e">
        <f>VLOOKUP(F156,GLAPS정리!$G$3:$J$114,2,0)</f>
        <v>#N/A</v>
      </c>
      <c r="AJ156" s="2" t="e">
        <f>IF(Z156="울산정일","KRONS",IF(Z156="울산신항","KRUSN",IF(OR(Z156="선광종합물류(인천여객)",Z156="인천여객(인천여객)"),"KRINF",IF(OR(Z156="선광인천보세(인천신)",Z156="한진인천(인천신)",Z156="선광인천신항(인천신)",Z156="인천더로지스(인천신)"),"KRINN",IF(OR(Z156="인천진아(인천항)",Z156="인천E1(인천항)",Z156="인천SM경인터미널(인천항)",Z156="인천항(인천항)",Z156="인천우련(인천항)",Z156="인천항8부두(인천항)"),"KRINC",VLOOKUP(K156,GLAPS정리!$BB$2:$BC$33,2,0))))))</f>
        <v>#N/A</v>
      </c>
      <c r="AL156" s="2">
        <f t="shared" si="36"/>
        <v>5010001</v>
      </c>
      <c r="AN156" s="70" t="str">
        <f t="shared" si="37"/>
        <v>1900-01-00</v>
      </c>
      <c r="AO156" s="2" t="str">
        <f t="shared" si="38"/>
        <v/>
      </c>
      <c r="AP156" s="2" t="e">
        <f>VLOOKUP(C156,GLAPS정리!$AX$2:$AZ$17,3,0)</f>
        <v>#N/A</v>
      </c>
      <c r="AR156" s="2">
        <f t="shared" si="47"/>
        <v>0</v>
      </c>
      <c r="AX156" s="2" t="e">
        <f>VLOOKUP(L156,GLAPS정리!$V$3:$W$180,2,0)</f>
        <v>#N/A</v>
      </c>
      <c r="BM156" s="2" t="str">
        <f t="shared" si="39"/>
        <v xml:space="preserve"> </v>
      </c>
      <c r="BN156" s="2">
        <f t="shared" si="40"/>
        <v>1</v>
      </c>
      <c r="BR156" s="2" t="str">
        <f t="shared" si="41"/>
        <v/>
      </c>
      <c r="BS156" s="2" t="str">
        <f t="shared" si="42"/>
        <v/>
      </c>
      <c r="BV156" s="2" t="e">
        <f>VLOOKUP(O156,GLAPS정리!$BH$2:$BI$94,2,0)</f>
        <v>#N/A</v>
      </c>
      <c r="BW156" s="2" t="str">
        <f>IF(OR(Z156="동원",Z156="세방",Z156="한타"),"",IFERROR(INDEX(GLAPS정리!$BI$2:$BI$101,MATCH(Z156,GLAPS정리!$BH$2:$BH$101,0)),""))</f>
        <v/>
      </c>
      <c r="BX156" s="2" t="str">
        <f>IF(Z156="","",IFERROR(VLOOKUP(Z156,GLAPS정리!$AX$2:$AZ$17,3,0),""))</f>
        <v/>
      </c>
      <c r="BZ156" s="2" t="e">
        <f>VLOOKUP(H156,GLAPS정리!$L$3:$O$133,2,0)</f>
        <v>#N/A</v>
      </c>
      <c r="CA156" s="2" t="str">
        <f t="shared" si="43"/>
        <v/>
      </c>
      <c r="CL156" s="2" t="e">
        <f>VLOOKUP(AI156,GLAPS정리!$BT$3:$BV$26,3,0)</f>
        <v>#N/A</v>
      </c>
    </row>
    <row r="157" spans="2:90" ht="20.45" customHeight="1">
      <c r="B157" s="13"/>
      <c r="G157" s="3"/>
      <c r="J157" s="3"/>
      <c r="Q157" s="3" t="str">
        <f t="shared" si="44"/>
        <v/>
      </c>
      <c r="R157" s="3" t="str">
        <f t="shared" si="45"/>
        <v/>
      </c>
      <c r="S157" s="3" t="str">
        <f t="shared" si="46"/>
        <v/>
      </c>
      <c r="X157" s="13"/>
      <c r="Y157" s="13"/>
      <c r="Z157" s="91"/>
      <c r="AC157" s="2">
        <f t="shared" si="34"/>
        <v>20</v>
      </c>
      <c r="AD157" s="2" t="str">
        <f>IFERROR(INDEX(GLAPS정리!$D$2:$D$50,MATCH(I157,GLAPS정리!$A$2:$A$50,0)),IFERROR(INDEX(GLAPS정리!$D$2:$D$50,MATCH(I157,GLAPS정리!$B$2:$B$50,0)),""))</f>
        <v/>
      </c>
      <c r="AF157" s="2" t="str">
        <f t="shared" si="35"/>
        <v>KR10</v>
      </c>
      <c r="AI157" s="2" t="e">
        <f>VLOOKUP(F157,GLAPS정리!$G$3:$J$114,2,0)</f>
        <v>#N/A</v>
      </c>
      <c r="AJ157" s="2" t="e">
        <f>IF(Z157="울산정일","KRONS",IF(Z157="울산신항","KRUSN",IF(OR(Z157="선광종합물류(인천여객)",Z157="인천여객(인천여객)"),"KRINF",IF(OR(Z157="선광인천보세(인천신)",Z157="한진인천(인천신)",Z157="선광인천신항(인천신)",Z157="인천더로지스(인천신)"),"KRINN",IF(OR(Z157="인천진아(인천항)",Z157="인천E1(인천항)",Z157="인천SM경인터미널(인천항)",Z157="인천항(인천항)",Z157="인천우련(인천항)",Z157="인천항8부두(인천항)"),"KRINC",VLOOKUP(K157,GLAPS정리!$BB$2:$BC$33,2,0))))))</f>
        <v>#N/A</v>
      </c>
      <c r="AL157" s="2">
        <f t="shared" si="36"/>
        <v>5010001</v>
      </c>
      <c r="AN157" s="70" t="str">
        <f t="shared" si="37"/>
        <v>1900-01-00</v>
      </c>
      <c r="AO157" s="2" t="str">
        <f t="shared" si="38"/>
        <v/>
      </c>
      <c r="AP157" s="2" t="e">
        <f>VLOOKUP(C157,GLAPS정리!$AX$2:$AZ$17,3,0)</f>
        <v>#N/A</v>
      </c>
      <c r="AR157" s="2">
        <f t="shared" si="47"/>
        <v>0</v>
      </c>
      <c r="AX157" s="2" t="e">
        <f>VLOOKUP(L157,GLAPS정리!$V$3:$W$180,2,0)</f>
        <v>#N/A</v>
      </c>
      <c r="BM157" s="2" t="str">
        <f t="shared" si="39"/>
        <v xml:space="preserve"> </v>
      </c>
      <c r="BN157" s="2">
        <f t="shared" si="40"/>
        <v>1</v>
      </c>
      <c r="BR157" s="2" t="str">
        <f t="shared" si="41"/>
        <v/>
      </c>
      <c r="BS157" s="2" t="str">
        <f t="shared" si="42"/>
        <v/>
      </c>
      <c r="BV157" s="2" t="e">
        <f>VLOOKUP(O157,GLAPS정리!$BH$2:$BI$94,2,0)</f>
        <v>#N/A</v>
      </c>
      <c r="BW157" s="2" t="str">
        <f>IF(OR(Z157="동원",Z157="세방",Z157="한타"),"",IFERROR(INDEX(GLAPS정리!$BI$2:$BI$101,MATCH(Z157,GLAPS정리!$BH$2:$BH$101,0)),""))</f>
        <v/>
      </c>
      <c r="BX157" s="2" t="str">
        <f>IF(Z157="","",IFERROR(VLOOKUP(Z157,GLAPS정리!$AX$2:$AZ$17,3,0),""))</f>
        <v/>
      </c>
      <c r="BZ157" s="2" t="e">
        <f>VLOOKUP(H157,GLAPS정리!$L$3:$O$133,2,0)</f>
        <v>#N/A</v>
      </c>
      <c r="CA157" s="2" t="str">
        <f t="shared" si="43"/>
        <v/>
      </c>
      <c r="CL157" s="2" t="e">
        <f>VLOOKUP(AI157,GLAPS정리!$BT$3:$BV$26,3,0)</f>
        <v>#N/A</v>
      </c>
    </row>
    <row r="158" spans="2:90" ht="20.45" customHeight="1">
      <c r="B158" s="13"/>
      <c r="G158" s="3"/>
      <c r="J158" s="3"/>
      <c r="Q158" s="3" t="str">
        <f t="shared" si="44"/>
        <v/>
      </c>
      <c r="R158" s="3" t="str">
        <f t="shared" si="45"/>
        <v/>
      </c>
      <c r="S158" s="3" t="str">
        <f t="shared" si="46"/>
        <v/>
      </c>
      <c r="X158" s="13"/>
      <c r="Y158" s="13"/>
      <c r="Z158" s="91"/>
      <c r="AC158" s="2">
        <f t="shared" si="34"/>
        <v>20</v>
      </c>
      <c r="AD158" s="2" t="str">
        <f>IFERROR(INDEX(GLAPS정리!$D$2:$D$50,MATCH(I158,GLAPS정리!$A$2:$A$50,0)),IFERROR(INDEX(GLAPS정리!$D$2:$D$50,MATCH(I158,GLAPS정리!$B$2:$B$50,0)),""))</f>
        <v/>
      </c>
      <c r="AF158" s="2" t="str">
        <f t="shared" si="35"/>
        <v>KR10</v>
      </c>
      <c r="AI158" s="2" t="e">
        <f>VLOOKUP(F158,GLAPS정리!$G$3:$J$114,2,0)</f>
        <v>#N/A</v>
      </c>
      <c r="AJ158" s="2" t="e">
        <f>IF(Z158="울산정일","KRONS",IF(Z158="울산신항","KRUSN",IF(OR(Z158="선광종합물류(인천여객)",Z158="인천여객(인천여객)"),"KRINF",IF(OR(Z158="선광인천보세(인천신)",Z158="한진인천(인천신)",Z158="선광인천신항(인천신)",Z158="인천더로지스(인천신)"),"KRINN",IF(OR(Z158="인천진아(인천항)",Z158="인천E1(인천항)",Z158="인천SM경인터미널(인천항)",Z158="인천항(인천항)",Z158="인천우련(인천항)",Z158="인천항8부두(인천항)"),"KRINC",VLOOKUP(K158,GLAPS정리!$BB$2:$BC$33,2,0))))))</f>
        <v>#N/A</v>
      </c>
      <c r="AL158" s="2">
        <f t="shared" si="36"/>
        <v>5010001</v>
      </c>
      <c r="AN158" s="70" t="str">
        <f t="shared" si="37"/>
        <v>1900-01-00</v>
      </c>
      <c r="AO158" s="2" t="str">
        <f t="shared" si="38"/>
        <v/>
      </c>
      <c r="AP158" s="2" t="e">
        <f>VLOOKUP(C158,GLAPS정리!$AX$2:$AZ$17,3,0)</f>
        <v>#N/A</v>
      </c>
      <c r="AR158" s="2">
        <f t="shared" si="47"/>
        <v>0</v>
      </c>
      <c r="AX158" s="2" t="e">
        <f>VLOOKUP(L158,GLAPS정리!$V$3:$W$180,2,0)</f>
        <v>#N/A</v>
      </c>
      <c r="BM158" s="2" t="str">
        <f t="shared" si="39"/>
        <v xml:space="preserve"> </v>
      </c>
      <c r="BN158" s="2">
        <f t="shared" si="40"/>
        <v>1</v>
      </c>
      <c r="BR158" s="2" t="str">
        <f t="shared" si="41"/>
        <v/>
      </c>
      <c r="BS158" s="2" t="str">
        <f t="shared" si="42"/>
        <v/>
      </c>
      <c r="BV158" s="2" t="e">
        <f>VLOOKUP(O158,GLAPS정리!$BH$2:$BI$94,2,0)</f>
        <v>#N/A</v>
      </c>
      <c r="BW158" s="2" t="str">
        <f>IF(OR(Z158="동원",Z158="세방",Z158="한타"),"",IFERROR(INDEX(GLAPS정리!$BI$2:$BI$101,MATCH(Z158,GLAPS정리!$BH$2:$BH$101,0)),""))</f>
        <v/>
      </c>
      <c r="BX158" s="2" t="str">
        <f>IF(Z158="","",IFERROR(VLOOKUP(Z158,GLAPS정리!$AX$2:$AZ$17,3,0),""))</f>
        <v/>
      </c>
      <c r="BZ158" s="2" t="e">
        <f>VLOOKUP(H158,GLAPS정리!$L$3:$O$133,2,0)</f>
        <v>#N/A</v>
      </c>
      <c r="CA158" s="2" t="str">
        <f t="shared" si="43"/>
        <v/>
      </c>
      <c r="CL158" s="2" t="e">
        <f>VLOOKUP(AI158,GLAPS정리!$BT$3:$BV$26,3,0)</f>
        <v>#N/A</v>
      </c>
    </row>
    <row r="159" spans="2:90" ht="20.45" customHeight="1">
      <c r="B159" s="13"/>
      <c r="G159" s="3"/>
      <c r="J159" s="3"/>
      <c r="Q159" s="3" t="str">
        <f t="shared" si="44"/>
        <v/>
      </c>
      <c r="R159" s="3" t="str">
        <f t="shared" si="45"/>
        <v/>
      </c>
      <c r="S159" s="3" t="str">
        <f t="shared" si="46"/>
        <v/>
      </c>
      <c r="X159" s="13"/>
      <c r="Y159" s="13"/>
      <c r="Z159" s="91"/>
      <c r="AC159" s="2">
        <f t="shared" si="34"/>
        <v>20</v>
      </c>
      <c r="AD159" s="2" t="str">
        <f>IFERROR(INDEX(GLAPS정리!$D$2:$D$50,MATCH(I159,GLAPS정리!$A$2:$A$50,0)),IFERROR(INDEX(GLAPS정리!$D$2:$D$50,MATCH(I159,GLAPS정리!$B$2:$B$50,0)),""))</f>
        <v/>
      </c>
      <c r="AF159" s="2" t="str">
        <f t="shared" si="35"/>
        <v>KR10</v>
      </c>
      <c r="AI159" s="2" t="e">
        <f>VLOOKUP(F159,GLAPS정리!$G$3:$J$114,2,0)</f>
        <v>#N/A</v>
      </c>
      <c r="AJ159" s="2" t="e">
        <f>IF(Z159="울산정일","KRONS",IF(Z159="울산신항","KRUSN",IF(OR(Z159="선광종합물류(인천여객)",Z159="인천여객(인천여객)"),"KRINF",IF(OR(Z159="선광인천보세(인천신)",Z159="한진인천(인천신)",Z159="선광인천신항(인천신)",Z159="인천더로지스(인천신)"),"KRINN",IF(OR(Z159="인천진아(인천항)",Z159="인천E1(인천항)",Z159="인천SM경인터미널(인천항)",Z159="인천항(인천항)",Z159="인천우련(인천항)",Z159="인천항8부두(인천항)"),"KRINC",VLOOKUP(K159,GLAPS정리!$BB$2:$BC$33,2,0))))))</f>
        <v>#N/A</v>
      </c>
      <c r="AL159" s="2">
        <f t="shared" si="36"/>
        <v>5010001</v>
      </c>
      <c r="AN159" s="70" t="str">
        <f t="shared" si="37"/>
        <v>1900-01-00</v>
      </c>
      <c r="AO159" s="2" t="str">
        <f t="shared" si="38"/>
        <v/>
      </c>
      <c r="AP159" s="2" t="e">
        <f>VLOOKUP(C159,GLAPS정리!$AX$2:$AZ$17,3,0)</f>
        <v>#N/A</v>
      </c>
      <c r="AR159" s="2">
        <f t="shared" si="47"/>
        <v>0</v>
      </c>
      <c r="AX159" s="2" t="e">
        <f>VLOOKUP(L159,GLAPS정리!$V$3:$W$180,2,0)</f>
        <v>#N/A</v>
      </c>
      <c r="BM159" s="2" t="str">
        <f t="shared" si="39"/>
        <v xml:space="preserve"> </v>
      </c>
      <c r="BN159" s="2">
        <f t="shared" si="40"/>
        <v>1</v>
      </c>
      <c r="BR159" s="2" t="str">
        <f t="shared" si="41"/>
        <v/>
      </c>
      <c r="BS159" s="2" t="str">
        <f t="shared" si="42"/>
        <v/>
      </c>
      <c r="BV159" s="2" t="e">
        <f>VLOOKUP(O159,GLAPS정리!$BH$2:$BI$94,2,0)</f>
        <v>#N/A</v>
      </c>
      <c r="BW159" s="2" t="str">
        <f>IF(OR(Z159="동원",Z159="세방",Z159="한타"),"",IFERROR(INDEX(GLAPS정리!$BI$2:$BI$101,MATCH(Z159,GLAPS정리!$BH$2:$BH$101,0)),""))</f>
        <v/>
      </c>
      <c r="BX159" s="2" t="str">
        <f>IF(Z159="","",IFERROR(VLOOKUP(Z159,GLAPS정리!$AX$2:$AZ$17,3,0),""))</f>
        <v/>
      </c>
      <c r="BZ159" s="2" t="e">
        <f>VLOOKUP(H159,GLAPS정리!$L$3:$O$133,2,0)</f>
        <v>#N/A</v>
      </c>
      <c r="CA159" s="2" t="str">
        <f t="shared" si="43"/>
        <v/>
      </c>
      <c r="CL159" s="2" t="e">
        <f>VLOOKUP(AI159,GLAPS정리!$BT$3:$BV$26,3,0)</f>
        <v>#N/A</v>
      </c>
    </row>
    <row r="160" spans="2:90" ht="20.45" customHeight="1">
      <c r="B160" s="13"/>
      <c r="G160" s="3"/>
      <c r="J160" s="3"/>
      <c r="Q160" s="3" t="str">
        <f t="shared" si="44"/>
        <v/>
      </c>
      <c r="R160" s="3" t="str">
        <f t="shared" si="45"/>
        <v/>
      </c>
      <c r="S160" s="3" t="str">
        <f t="shared" si="46"/>
        <v/>
      </c>
      <c r="X160" s="13"/>
      <c r="Y160" s="13"/>
      <c r="Z160" s="91"/>
      <c r="AC160" s="2">
        <f t="shared" si="34"/>
        <v>20</v>
      </c>
      <c r="AD160" s="2" t="str">
        <f>IFERROR(INDEX(GLAPS정리!$D$2:$D$50,MATCH(I160,GLAPS정리!$A$2:$A$50,0)),IFERROR(INDEX(GLAPS정리!$D$2:$D$50,MATCH(I160,GLAPS정리!$B$2:$B$50,0)),""))</f>
        <v/>
      </c>
      <c r="AF160" s="2" t="str">
        <f t="shared" si="35"/>
        <v>KR10</v>
      </c>
      <c r="AI160" s="2" t="e">
        <f>VLOOKUP(F160,GLAPS정리!$G$3:$J$114,2,0)</f>
        <v>#N/A</v>
      </c>
      <c r="AJ160" s="2" t="e">
        <f>IF(Z160="울산정일","KRONS",IF(Z160="울산신항","KRUSN",IF(OR(Z160="선광종합물류(인천여객)",Z160="인천여객(인천여객)"),"KRINF",IF(OR(Z160="선광인천보세(인천신)",Z160="한진인천(인천신)",Z160="선광인천신항(인천신)",Z160="인천더로지스(인천신)"),"KRINN",IF(OR(Z160="인천진아(인천항)",Z160="인천E1(인천항)",Z160="인천SM경인터미널(인천항)",Z160="인천항(인천항)",Z160="인천우련(인천항)",Z160="인천항8부두(인천항)"),"KRINC",VLOOKUP(K160,GLAPS정리!$BB$2:$BC$33,2,0))))))</f>
        <v>#N/A</v>
      </c>
      <c r="AL160" s="2">
        <f t="shared" si="36"/>
        <v>5010001</v>
      </c>
      <c r="AN160" s="70" t="str">
        <f t="shared" si="37"/>
        <v>1900-01-00</v>
      </c>
      <c r="AO160" s="2" t="str">
        <f t="shared" si="38"/>
        <v/>
      </c>
      <c r="AP160" s="2" t="e">
        <f>VLOOKUP(C160,GLAPS정리!$AX$2:$AZ$17,3,0)</f>
        <v>#N/A</v>
      </c>
      <c r="AR160" s="2">
        <f t="shared" si="47"/>
        <v>0</v>
      </c>
      <c r="AX160" s="2" t="e">
        <f>VLOOKUP(L160,GLAPS정리!$V$3:$W$180,2,0)</f>
        <v>#N/A</v>
      </c>
      <c r="BM160" s="2" t="str">
        <f t="shared" si="39"/>
        <v xml:space="preserve"> </v>
      </c>
      <c r="BN160" s="2">
        <f t="shared" si="40"/>
        <v>1</v>
      </c>
      <c r="BR160" s="2" t="str">
        <f t="shared" si="41"/>
        <v/>
      </c>
      <c r="BS160" s="2" t="str">
        <f t="shared" si="42"/>
        <v/>
      </c>
      <c r="BV160" s="2" t="e">
        <f>VLOOKUP(O160,GLAPS정리!$BH$2:$BI$94,2,0)</f>
        <v>#N/A</v>
      </c>
      <c r="BW160" s="2" t="str">
        <f>IF(OR(Z160="동원",Z160="세방",Z160="한타"),"",IFERROR(INDEX(GLAPS정리!$BI$2:$BI$101,MATCH(Z160,GLAPS정리!$BH$2:$BH$101,0)),""))</f>
        <v/>
      </c>
      <c r="BX160" s="2" t="str">
        <f>IF(Z160="","",IFERROR(VLOOKUP(Z160,GLAPS정리!$AX$2:$AZ$17,3,0),""))</f>
        <v/>
      </c>
      <c r="BZ160" s="2" t="e">
        <f>VLOOKUP(H160,GLAPS정리!$L$3:$O$133,2,0)</f>
        <v>#N/A</v>
      </c>
      <c r="CA160" s="2" t="str">
        <f t="shared" si="43"/>
        <v/>
      </c>
      <c r="CL160" s="2" t="e">
        <f>VLOOKUP(AI160,GLAPS정리!$BT$3:$BV$26,3,0)</f>
        <v>#N/A</v>
      </c>
    </row>
    <row r="161" spans="2:90" ht="20.45" customHeight="1">
      <c r="B161" s="13"/>
      <c r="G161" s="3"/>
      <c r="J161" s="3"/>
      <c r="Q161" s="3" t="str">
        <f t="shared" si="44"/>
        <v/>
      </c>
      <c r="R161" s="3" t="str">
        <f t="shared" si="45"/>
        <v/>
      </c>
      <c r="S161" s="3" t="str">
        <f t="shared" si="46"/>
        <v/>
      </c>
      <c r="X161" s="13"/>
      <c r="Y161" s="13"/>
      <c r="Z161" s="91"/>
      <c r="AC161" s="2">
        <f t="shared" si="34"/>
        <v>20</v>
      </c>
      <c r="AD161" s="2" t="str">
        <f>IFERROR(INDEX(GLAPS정리!$D$2:$D$50,MATCH(I161,GLAPS정리!$A$2:$A$50,0)),IFERROR(INDEX(GLAPS정리!$D$2:$D$50,MATCH(I161,GLAPS정리!$B$2:$B$50,0)),""))</f>
        <v/>
      </c>
      <c r="AF161" s="2" t="str">
        <f t="shared" si="35"/>
        <v>KR10</v>
      </c>
      <c r="AI161" s="2" t="e">
        <f>VLOOKUP(F161,GLAPS정리!$G$3:$J$114,2,0)</f>
        <v>#N/A</v>
      </c>
      <c r="AJ161" s="2" t="e">
        <f>IF(Z161="울산정일","KRONS",IF(Z161="울산신항","KRUSN",IF(OR(Z161="선광종합물류(인천여객)",Z161="인천여객(인천여객)"),"KRINF",IF(OR(Z161="선광인천보세(인천신)",Z161="한진인천(인천신)",Z161="선광인천신항(인천신)",Z161="인천더로지스(인천신)"),"KRINN",IF(OR(Z161="인천진아(인천항)",Z161="인천E1(인천항)",Z161="인천SM경인터미널(인천항)",Z161="인천항(인천항)",Z161="인천우련(인천항)",Z161="인천항8부두(인천항)"),"KRINC",VLOOKUP(K161,GLAPS정리!$BB$2:$BC$33,2,0))))))</f>
        <v>#N/A</v>
      </c>
      <c r="AL161" s="2">
        <f t="shared" si="36"/>
        <v>5010001</v>
      </c>
      <c r="AN161" s="70" t="str">
        <f t="shared" si="37"/>
        <v>1900-01-00</v>
      </c>
      <c r="AO161" s="2" t="str">
        <f t="shared" si="38"/>
        <v/>
      </c>
      <c r="AP161" s="2" t="e">
        <f>VLOOKUP(C161,GLAPS정리!$AX$2:$AZ$17,3,0)</f>
        <v>#N/A</v>
      </c>
      <c r="AR161" s="2">
        <f t="shared" si="47"/>
        <v>0</v>
      </c>
      <c r="AX161" s="2" t="e">
        <f>VLOOKUP(L161,GLAPS정리!$V$3:$W$180,2,0)</f>
        <v>#N/A</v>
      </c>
      <c r="BM161" s="2" t="str">
        <f t="shared" si="39"/>
        <v xml:space="preserve"> </v>
      </c>
      <c r="BN161" s="2">
        <f t="shared" si="40"/>
        <v>1</v>
      </c>
      <c r="BR161" s="2" t="str">
        <f t="shared" si="41"/>
        <v/>
      </c>
      <c r="BS161" s="2" t="str">
        <f t="shared" si="42"/>
        <v/>
      </c>
      <c r="BV161" s="2" t="e">
        <f>VLOOKUP(O161,GLAPS정리!$BH$2:$BI$94,2,0)</f>
        <v>#N/A</v>
      </c>
      <c r="BW161" s="2" t="str">
        <f>IF(OR(Z161="동원",Z161="세방",Z161="한타"),"",IFERROR(INDEX(GLAPS정리!$BI$2:$BI$101,MATCH(Z161,GLAPS정리!$BH$2:$BH$101,0)),""))</f>
        <v/>
      </c>
      <c r="BX161" s="2" t="str">
        <f>IF(Z161="","",IFERROR(VLOOKUP(Z161,GLAPS정리!$AX$2:$AZ$17,3,0),""))</f>
        <v/>
      </c>
      <c r="BZ161" s="2" t="e">
        <f>VLOOKUP(H161,GLAPS정리!$L$3:$O$133,2,0)</f>
        <v>#N/A</v>
      </c>
      <c r="CA161" s="2" t="str">
        <f t="shared" si="43"/>
        <v/>
      </c>
      <c r="CL161" s="2" t="e">
        <f>VLOOKUP(AI161,GLAPS정리!$BT$3:$BV$26,3,0)</f>
        <v>#N/A</v>
      </c>
    </row>
    <row r="162" spans="2:90" ht="20.45" customHeight="1">
      <c r="B162" s="13"/>
      <c r="G162" s="3"/>
      <c r="J162" s="3"/>
      <c r="Q162" s="3" t="str">
        <f t="shared" si="44"/>
        <v/>
      </c>
      <c r="R162" s="3" t="str">
        <f t="shared" si="45"/>
        <v/>
      </c>
      <c r="S162" s="3" t="str">
        <f t="shared" si="46"/>
        <v/>
      </c>
      <c r="X162" s="13"/>
      <c r="Y162" s="13"/>
      <c r="Z162" s="91"/>
      <c r="AC162" s="2">
        <f t="shared" si="34"/>
        <v>20</v>
      </c>
      <c r="AD162" s="2" t="str">
        <f>IFERROR(INDEX(GLAPS정리!$D$2:$D$50,MATCH(I162,GLAPS정리!$A$2:$A$50,0)),IFERROR(INDEX(GLAPS정리!$D$2:$D$50,MATCH(I162,GLAPS정리!$B$2:$B$50,0)),""))</f>
        <v/>
      </c>
      <c r="AF162" s="2" t="str">
        <f t="shared" si="35"/>
        <v>KR10</v>
      </c>
      <c r="AI162" s="2" t="e">
        <f>VLOOKUP(F162,GLAPS정리!$G$3:$J$114,2,0)</f>
        <v>#N/A</v>
      </c>
      <c r="AJ162" s="2" t="e">
        <f>IF(Z162="울산정일","KRONS",IF(Z162="울산신항","KRUSN",IF(OR(Z162="선광종합물류(인천여객)",Z162="인천여객(인천여객)"),"KRINF",IF(OR(Z162="선광인천보세(인천신)",Z162="한진인천(인천신)",Z162="선광인천신항(인천신)",Z162="인천더로지스(인천신)"),"KRINN",IF(OR(Z162="인천진아(인천항)",Z162="인천E1(인천항)",Z162="인천SM경인터미널(인천항)",Z162="인천항(인천항)",Z162="인천우련(인천항)",Z162="인천항8부두(인천항)"),"KRINC",VLOOKUP(K162,GLAPS정리!$BB$2:$BC$33,2,0))))))</f>
        <v>#N/A</v>
      </c>
      <c r="AL162" s="2">
        <f t="shared" si="36"/>
        <v>5010001</v>
      </c>
      <c r="AN162" s="70" t="str">
        <f t="shared" si="37"/>
        <v>1900-01-00</v>
      </c>
      <c r="AO162" s="2" t="str">
        <f t="shared" si="38"/>
        <v/>
      </c>
      <c r="AP162" s="2" t="e">
        <f>VLOOKUP(C162,GLAPS정리!$AX$2:$AZ$17,3,0)</f>
        <v>#N/A</v>
      </c>
      <c r="AR162" s="2">
        <f t="shared" si="47"/>
        <v>0</v>
      </c>
      <c r="AX162" s="2" t="e">
        <f>VLOOKUP(L162,GLAPS정리!$V$3:$W$180,2,0)</f>
        <v>#N/A</v>
      </c>
      <c r="BM162" s="2" t="str">
        <f t="shared" si="39"/>
        <v xml:space="preserve"> </v>
      </c>
      <c r="BN162" s="2">
        <f t="shared" si="40"/>
        <v>1</v>
      </c>
      <c r="BR162" s="2" t="str">
        <f t="shared" si="41"/>
        <v/>
      </c>
      <c r="BS162" s="2" t="str">
        <f t="shared" si="42"/>
        <v/>
      </c>
      <c r="BV162" s="2" t="e">
        <f>VLOOKUP(O162,GLAPS정리!$BH$2:$BI$94,2,0)</f>
        <v>#N/A</v>
      </c>
      <c r="BW162" s="2" t="str">
        <f>IF(OR(Z162="동원",Z162="세방",Z162="한타"),"",IFERROR(INDEX(GLAPS정리!$BI$2:$BI$101,MATCH(Z162,GLAPS정리!$BH$2:$BH$101,0)),""))</f>
        <v/>
      </c>
      <c r="BX162" s="2" t="str">
        <f>IF(Z162="","",IFERROR(VLOOKUP(Z162,GLAPS정리!$AX$2:$AZ$17,3,0),""))</f>
        <v/>
      </c>
      <c r="BZ162" s="2" t="e">
        <f>VLOOKUP(H162,GLAPS정리!$L$3:$O$133,2,0)</f>
        <v>#N/A</v>
      </c>
      <c r="CA162" s="2" t="str">
        <f t="shared" si="43"/>
        <v/>
      </c>
      <c r="CL162" s="2" t="e">
        <f>VLOOKUP(AI162,GLAPS정리!$BT$3:$BV$26,3,0)</f>
        <v>#N/A</v>
      </c>
    </row>
    <row r="163" spans="2:90" ht="20.45" customHeight="1">
      <c r="B163" s="13"/>
      <c r="G163" s="3"/>
      <c r="J163" s="3"/>
      <c r="Q163" s="3" t="str">
        <f t="shared" si="44"/>
        <v/>
      </c>
      <c r="R163" s="3" t="str">
        <f t="shared" si="45"/>
        <v/>
      </c>
      <c r="S163" s="3" t="str">
        <f t="shared" si="46"/>
        <v/>
      </c>
      <c r="X163" s="13"/>
      <c r="Y163" s="13"/>
      <c r="Z163" s="91"/>
      <c r="AC163" s="2">
        <f t="shared" si="34"/>
        <v>20</v>
      </c>
      <c r="AD163" s="2" t="str">
        <f>IFERROR(INDEX(GLAPS정리!$D$2:$D$50,MATCH(I163,GLAPS정리!$A$2:$A$50,0)),IFERROR(INDEX(GLAPS정리!$D$2:$D$50,MATCH(I163,GLAPS정리!$B$2:$B$50,0)),""))</f>
        <v/>
      </c>
      <c r="AF163" s="2" t="str">
        <f t="shared" si="35"/>
        <v>KR10</v>
      </c>
      <c r="AI163" s="2" t="e">
        <f>VLOOKUP(F163,GLAPS정리!$G$3:$J$114,2,0)</f>
        <v>#N/A</v>
      </c>
      <c r="AJ163" s="2" t="e">
        <f>IF(Z163="울산정일","KRONS",IF(Z163="울산신항","KRUSN",IF(OR(Z163="선광종합물류(인천여객)",Z163="인천여객(인천여객)"),"KRINF",IF(OR(Z163="선광인천보세(인천신)",Z163="한진인천(인천신)",Z163="선광인천신항(인천신)",Z163="인천더로지스(인천신)"),"KRINN",IF(OR(Z163="인천진아(인천항)",Z163="인천E1(인천항)",Z163="인천SM경인터미널(인천항)",Z163="인천항(인천항)",Z163="인천우련(인천항)",Z163="인천항8부두(인천항)"),"KRINC",VLOOKUP(K163,GLAPS정리!$BB$2:$BC$33,2,0))))))</f>
        <v>#N/A</v>
      </c>
      <c r="AL163" s="2">
        <f t="shared" si="36"/>
        <v>5010001</v>
      </c>
      <c r="AN163" s="70" t="str">
        <f t="shared" si="37"/>
        <v>1900-01-00</v>
      </c>
      <c r="AO163" s="2" t="str">
        <f t="shared" si="38"/>
        <v/>
      </c>
      <c r="AP163" s="2" t="e">
        <f>VLOOKUP(C163,GLAPS정리!$AX$2:$AZ$17,3,0)</f>
        <v>#N/A</v>
      </c>
      <c r="AR163" s="2">
        <f t="shared" si="47"/>
        <v>0</v>
      </c>
      <c r="AX163" s="2" t="e">
        <f>VLOOKUP(L163,GLAPS정리!$V$3:$W$180,2,0)</f>
        <v>#N/A</v>
      </c>
      <c r="BM163" s="2" t="str">
        <f t="shared" si="39"/>
        <v xml:space="preserve"> </v>
      </c>
      <c r="BN163" s="2">
        <f t="shared" si="40"/>
        <v>1</v>
      </c>
      <c r="BR163" s="2" t="str">
        <f t="shared" si="41"/>
        <v/>
      </c>
      <c r="BS163" s="2" t="str">
        <f t="shared" si="42"/>
        <v/>
      </c>
      <c r="BV163" s="2" t="e">
        <f>VLOOKUP(O163,GLAPS정리!$BH$2:$BI$94,2,0)</f>
        <v>#N/A</v>
      </c>
      <c r="BW163" s="2" t="str">
        <f>IF(OR(Z163="동원",Z163="세방",Z163="한타"),"",IFERROR(INDEX(GLAPS정리!$BI$2:$BI$101,MATCH(Z163,GLAPS정리!$BH$2:$BH$101,0)),""))</f>
        <v/>
      </c>
      <c r="BX163" s="2" t="str">
        <f>IF(Z163="","",IFERROR(VLOOKUP(Z163,GLAPS정리!$AX$2:$AZ$17,3,0),""))</f>
        <v/>
      </c>
      <c r="BZ163" s="2" t="e">
        <f>VLOOKUP(H163,GLAPS정리!$L$3:$O$133,2,0)</f>
        <v>#N/A</v>
      </c>
      <c r="CA163" s="2" t="str">
        <f t="shared" si="43"/>
        <v/>
      </c>
      <c r="CL163" s="2" t="e">
        <f>VLOOKUP(AI163,GLAPS정리!$BT$3:$BV$26,3,0)</f>
        <v>#N/A</v>
      </c>
    </row>
    <row r="164" spans="2:90" ht="20.45" customHeight="1">
      <c r="B164" s="13"/>
      <c r="G164" s="3"/>
      <c r="J164" s="3"/>
      <c r="Q164" s="3" t="str">
        <f t="shared" si="44"/>
        <v/>
      </c>
      <c r="R164" s="3" t="str">
        <f t="shared" si="45"/>
        <v/>
      </c>
      <c r="S164" s="3" t="str">
        <f t="shared" si="46"/>
        <v/>
      </c>
      <c r="X164" s="13"/>
      <c r="Y164" s="13"/>
      <c r="Z164" s="91"/>
      <c r="AC164" s="2">
        <f t="shared" si="34"/>
        <v>20</v>
      </c>
      <c r="AD164" s="2" t="str">
        <f>IFERROR(INDEX(GLAPS정리!$D$2:$D$50,MATCH(I164,GLAPS정리!$A$2:$A$50,0)),IFERROR(INDEX(GLAPS정리!$D$2:$D$50,MATCH(I164,GLAPS정리!$B$2:$B$50,0)),""))</f>
        <v/>
      </c>
      <c r="AF164" s="2" t="str">
        <f t="shared" si="35"/>
        <v>KR10</v>
      </c>
      <c r="AI164" s="2" t="e">
        <f>VLOOKUP(F164,GLAPS정리!$G$3:$J$114,2,0)</f>
        <v>#N/A</v>
      </c>
      <c r="AJ164" s="2" t="e">
        <f>IF(Z164="울산정일","KRONS",IF(Z164="울산신항","KRUSN",IF(OR(Z164="선광종합물류(인천여객)",Z164="인천여객(인천여객)"),"KRINF",IF(OR(Z164="선광인천보세(인천신)",Z164="한진인천(인천신)",Z164="선광인천신항(인천신)",Z164="인천더로지스(인천신)"),"KRINN",IF(OR(Z164="인천진아(인천항)",Z164="인천E1(인천항)",Z164="인천SM경인터미널(인천항)",Z164="인천항(인천항)",Z164="인천우련(인천항)",Z164="인천항8부두(인천항)"),"KRINC",VLOOKUP(K164,GLAPS정리!$BB$2:$BC$33,2,0))))))</f>
        <v>#N/A</v>
      </c>
      <c r="AL164" s="2">
        <f t="shared" si="36"/>
        <v>5010001</v>
      </c>
      <c r="AN164" s="70" t="str">
        <f t="shared" si="37"/>
        <v>1900-01-00</v>
      </c>
      <c r="AO164" s="2" t="str">
        <f t="shared" si="38"/>
        <v/>
      </c>
      <c r="AP164" s="2" t="e">
        <f>VLOOKUP(C164,GLAPS정리!$AX$2:$AZ$17,3,0)</f>
        <v>#N/A</v>
      </c>
      <c r="AR164" s="2">
        <f t="shared" si="47"/>
        <v>0</v>
      </c>
      <c r="AX164" s="2" t="e">
        <f>VLOOKUP(L164,GLAPS정리!$V$3:$W$180,2,0)</f>
        <v>#N/A</v>
      </c>
      <c r="BM164" s="2" t="str">
        <f t="shared" si="39"/>
        <v xml:space="preserve"> </v>
      </c>
      <c r="BN164" s="2">
        <f t="shared" si="40"/>
        <v>1</v>
      </c>
      <c r="BR164" s="2" t="str">
        <f t="shared" si="41"/>
        <v/>
      </c>
      <c r="BS164" s="2" t="str">
        <f t="shared" si="42"/>
        <v/>
      </c>
      <c r="BV164" s="2" t="e">
        <f>VLOOKUP(O164,GLAPS정리!$BH$2:$BI$94,2,0)</f>
        <v>#N/A</v>
      </c>
      <c r="BW164" s="2" t="str">
        <f>IF(OR(Z164="동원",Z164="세방",Z164="한타"),"",IFERROR(INDEX(GLAPS정리!$BI$2:$BI$101,MATCH(Z164,GLAPS정리!$BH$2:$BH$101,0)),""))</f>
        <v/>
      </c>
      <c r="BX164" s="2" t="str">
        <f>IF(Z164="","",IFERROR(VLOOKUP(Z164,GLAPS정리!$AX$2:$AZ$17,3,0),""))</f>
        <v/>
      </c>
      <c r="BZ164" s="2" t="e">
        <f>VLOOKUP(H164,GLAPS정리!$L$3:$O$133,2,0)</f>
        <v>#N/A</v>
      </c>
      <c r="CA164" s="2" t="str">
        <f t="shared" si="43"/>
        <v/>
      </c>
      <c r="CL164" s="2" t="e">
        <f>VLOOKUP(AI164,GLAPS정리!$BT$3:$BV$26,3,0)</f>
        <v>#N/A</v>
      </c>
    </row>
    <row r="165" spans="2:90" ht="20.45" customHeight="1">
      <c r="B165" s="13"/>
      <c r="G165" s="3"/>
      <c r="J165" s="3"/>
      <c r="Q165" s="3" t="str">
        <f t="shared" si="44"/>
        <v/>
      </c>
      <c r="R165" s="3" t="str">
        <f t="shared" si="45"/>
        <v/>
      </c>
      <c r="S165" s="3" t="str">
        <f t="shared" si="46"/>
        <v/>
      </c>
      <c r="X165" s="13"/>
      <c r="Y165" s="13"/>
      <c r="Z165" s="91"/>
      <c r="AC165" s="2">
        <f t="shared" si="34"/>
        <v>20</v>
      </c>
      <c r="AD165" s="2" t="str">
        <f>IFERROR(INDEX(GLAPS정리!$D$2:$D$50,MATCH(I165,GLAPS정리!$A$2:$A$50,0)),IFERROR(INDEX(GLAPS정리!$D$2:$D$50,MATCH(I165,GLAPS정리!$B$2:$B$50,0)),""))</f>
        <v/>
      </c>
      <c r="AF165" s="2" t="str">
        <f t="shared" si="35"/>
        <v>KR10</v>
      </c>
      <c r="AI165" s="2" t="e">
        <f>VLOOKUP(F165,GLAPS정리!$G$3:$J$114,2,0)</f>
        <v>#N/A</v>
      </c>
      <c r="AJ165" s="2" t="e">
        <f>IF(Z165="울산정일","KRONS",IF(Z165="울산신항","KRUSN",IF(OR(Z165="선광종합물류(인천여객)",Z165="인천여객(인천여객)"),"KRINF",IF(OR(Z165="선광인천보세(인천신)",Z165="한진인천(인천신)",Z165="선광인천신항(인천신)",Z165="인천더로지스(인천신)"),"KRINN",IF(OR(Z165="인천진아(인천항)",Z165="인천E1(인천항)",Z165="인천SM경인터미널(인천항)",Z165="인천항(인천항)",Z165="인천우련(인천항)",Z165="인천항8부두(인천항)"),"KRINC",VLOOKUP(K165,GLAPS정리!$BB$2:$BC$33,2,0))))))</f>
        <v>#N/A</v>
      </c>
      <c r="AL165" s="2">
        <f t="shared" si="36"/>
        <v>5010001</v>
      </c>
      <c r="AN165" s="70" t="str">
        <f t="shared" si="37"/>
        <v>1900-01-00</v>
      </c>
      <c r="AO165" s="2" t="str">
        <f t="shared" si="38"/>
        <v/>
      </c>
      <c r="AP165" s="2" t="e">
        <f>VLOOKUP(C165,GLAPS정리!$AX$2:$AZ$17,3,0)</f>
        <v>#N/A</v>
      </c>
      <c r="AR165" s="2">
        <f t="shared" si="47"/>
        <v>0</v>
      </c>
      <c r="AX165" s="2" t="e">
        <f>VLOOKUP(L165,GLAPS정리!$V$3:$W$180,2,0)</f>
        <v>#N/A</v>
      </c>
      <c r="BM165" s="2" t="str">
        <f t="shared" si="39"/>
        <v xml:space="preserve"> </v>
      </c>
      <c r="BN165" s="2">
        <f t="shared" si="40"/>
        <v>1</v>
      </c>
      <c r="BR165" s="2" t="str">
        <f t="shared" si="41"/>
        <v/>
      </c>
      <c r="BS165" s="2" t="str">
        <f t="shared" si="42"/>
        <v/>
      </c>
      <c r="BV165" s="2" t="e">
        <f>VLOOKUP(O165,GLAPS정리!$BH$2:$BI$94,2,0)</f>
        <v>#N/A</v>
      </c>
      <c r="BW165" s="2" t="str">
        <f>IF(OR(Z165="동원",Z165="세방",Z165="한타"),"",IFERROR(INDEX(GLAPS정리!$BI$2:$BI$101,MATCH(Z165,GLAPS정리!$BH$2:$BH$101,0)),""))</f>
        <v/>
      </c>
      <c r="BX165" s="2" t="str">
        <f>IF(Z165="","",IFERROR(VLOOKUP(Z165,GLAPS정리!$AX$2:$AZ$17,3,0),""))</f>
        <v/>
      </c>
      <c r="BZ165" s="2" t="e">
        <f>VLOOKUP(H165,GLAPS정리!$L$3:$O$133,2,0)</f>
        <v>#N/A</v>
      </c>
      <c r="CA165" s="2" t="str">
        <f t="shared" si="43"/>
        <v/>
      </c>
      <c r="CL165" s="2" t="e">
        <f>VLOOKUP(AI165,GLAPS정리!$BT$3:$BV$26,3,0)</f>
        <v>#N/A</v>
      </c>
    </row>
    <row r="166" spans="2:90" ht="20.45" customHeight="1">
      <c r="B166" s="13"/>
      <c r="G166" s="3"/>
      <c r="J166" s="3"/>
      <c r="Q166" s="3" t="str">
        <f t="shared" si="44"/>
        <v/>
      </c>
      <c r="R166" s="3" t="str">
        <f t="shared" si="45"/>
        <v/>
      </c>
      <c r="S166" s="3" t="str">
        <f t="shared" si="46"/>
        <v/>
      </c>
      <c r="X166" s="13"/>
      <c r="Y166" s="13"/>
      <c r="Z166" s="91"/>
      <c r="AC166" s="2">
        <f t="shared" si="34"/>
        <v>20</v>
      </c>
      <c r="AD166" s="2" t="str">
        <f>IFERROR(INDEX(GLAPS정리!$D$2:$D$50,MATCH(I166,GLAPS정리!$A$2:$A$50,0)),IFERROR(INDEX(GLAPS정리!$D$2:$D$50,MATCH(I166,GLAPS정리!$B$2:$B$50,0)),""))</f>
        <v/>
      </c>
      <c r="AF166" s="2" t="str">
        <f t="shared" si="35"/>
        <v>KR10</v>
      </c>
      <c r="AI166" s="2" t="e">
        <f>VLOOKUP(F166,GLAPS정리!$G$3:$J$114,2,0)</f>
        <v>#N/A</v>
      </c>
      <c r="AJ166" s="2" t="e">
        <f>IF(Z166="울산정일","KRONS",IF(Z166="울산신항","KRUSN",IF(OR(Z166="선광종합물류(인천여객)",Z166="인천여객(인천여객)"),"KRINF",IF(OR(Z166="선광인천보세(인천신)",Z166="한진인천(인천신)",Z166="선광인천신항(인천신)",Z166="인천더로지스(인천신)"),"KRINN",IF(OR(Z166="인천진아(인천항)",Z166="인천E1(인천항)",Z166="인천SM경인터미널(인천항)",Z166="인천항(인천항)",Z166="인천우련(인천항)",Z166="인천항8부두(인천항)"),"KRINC",VLOOKUP(K166,GLAPS정리!$BB$2:$BC$33,2,0))))))</f>
        <v>#N/A</v>
      </c>
      <c r="AL166" s="2">
        <f t="shared" si="36"/>
        <v>5010001</v>
      </c>
      <c r="AN166" s="70" t="str">
        <f t="shared" si="37"/>
        <v>1900-01-00</v>
      </c>
      <c r="AO166" s="2" t="str">
        <f t="shared" si="38"/>
        <v/>
      </c>
      <c r="AP166" s="2" t="e">
        <f>VLOOKUP(C166,GLAPS정리!$AX$2:$AZ$17,3,0)</f>
        <v>#N/A</v>
      </c>
      <c r="AR166" s="2">
        <f t="shared" si="47"/>
        <v>0</v>
      </c>
      <c r="AX166" s="2" t="e">
        <f>VLOOKUP(L166,GLAPS정리!$V$3:$W$180,2,0)</f>
        <v>#N/A</v>
      </c>
      <c r="BM166" s="2" t="str">
        <f t="shared" si="39"/>
        <v xml:space="preserve"> </v>
      </c>
      <c r="BN166" s="2">
        <f t="shared" si="40"/>
        <v>1</v>
      </c>
      <c r="BR166" s="2" t="str">
        <f t="shared" si="41"/>
        <v/>
      </c>
      <c r="BS166" s="2" t="str">
        <f t="shared" si="42"/>
        <v/>
      </c>
      <c r="BV166" s="2" t="e">
        <f>VLOOKUP(O166,GLAPS정리!$BH$2:$BI$94,2,0)</f>
        <v>#N/A</v>
      </c>
      <c r="BW166" s="2" t="str">
        <f>IF(OR(Z166="동원",Z166="세방",Z166="한타"),"",IFERROR(INDEX(GLAPS정리!$BI$2:$BI$101,MATCH(Z166,GLAPS정리!$BH$2:$BH$101,0)),""))</f>
        <v/>
      </c>
      <c r="BX166" s="2" t="str">
        <f>IF(Z166="","",IFERROR(VLOOKUP(Z166,GLAPS정리!$AX$2:$AZ$17,3,0),""))</f>
        <v/>
      </c>
      <c r="BZ166" s="2" t="e">
        <f>VLOOKUP(H166,GLAPS정리!$L$3:$O$133,2,0)</f>
        <v>#N/A</v>
      </c>
      <c r="CA166" s="2" t="str">
        <f t="shared" si="43"/>
        <v/>
      </c>
      <c r="CL166" s="2" t="e">
        <f>VLOOKUP(AI166,GLAPS정리!$BT$3:$BV$26,3,0)</f>
        <v>#N/A</v>
      </c>
    </row>
    <row r="167" spans="2:90" ht="20.45" customHeight="1">
      <c r="B167" s="13"/>
      <c r="G167" s="3"/>
      <c r="J167" s="3"/>
      <c r="Q167" s="3" t="str">
        <f t="shared" si="44"/>
        <v/>
      </c>
      <c r="R167" s="3" t="str">
        <f t="shared" si="45"/>
        <v/>
      </c>
      <c r="S167" s="3" t="str">
        <f t="shared" si="46"/>
        <v/>
      </c>
      <c r="X167" s="13"/>
      <c r="Y167" s="13"/>
      <c r="Z167" s="91"/>
      <c r="AC167" s="2">
        <f t="shared" si="34"/>
        <v>20</v>
      </c>
      <c r="AD167" s="2" t="str">
        <f>IFERROR(INDEX(GLAPS정리!$D$2:$D$50,MATCH(I167,GLAPS정리!$A$2:$A$50,0)),IFERROR(INDEX(GLAPS정리!$D$2:$D$50,MATCH(I167,GLAPS정리!$B$2:$B$50,0)),""))</f>
        <v/>
      </c>
      <c r="AF167" s="2" t="str">
        <f t="shared" si="35"/>
        <v>KR10</v>
      </c>
      <c r="AI167" s="2" t="e">
        <f>VLOOKUP(F167,GLAPS정리!$G$3:$J$114,2,0)</f>
        <v>#N/A</v>
      </c>
      <c r="AJ167" s="2" t="e">
        <f>IF(Z167="울산정일","KRONS",IF(Z167="울산신항","KRUSN",IF(OR(Z167="선광종합물류(인천여객)",Z167="인천여객(인천여객)"),"KRINF",IF(OR(Z167="선광인천보세(인천신)",Z167="한진인천(인천신)",Z167="선광인천신항(인천신)",Z167="인천더로지스(인천신)"),"KRINN",IF(OR(Z167="인천진아(인천항)",Z167="인천E1(인천항)",Z167="인천SM경인터미널(인천항)",Z167="인천항(인천항)",Z167="인천우련(인천항)",Z167="인천항8부두(인천항)"),"KRINC",VLOOKUP(K167,GLAPS정리!$BB$2:$BC$33,2,0))))))</f>
        <v>#N/A</v>
      </c>
      <c r="AL167" s="2">
        <f t="shared" si="36"/>
        <v>5010001</v>
      </c>
      <c r="AN167" s="70" t="str">
        <f t="shared" si="37"/>
        <v>1900-01-00</v>
      </c>
      <c r="AO167" s="2" t="str">
        <f t="shared" si="38"/>
        <v/>
      </c>
      <c r="AP167" s="2" t="e">
        <f>VLOOKUP(C167,GLAPS정리!$AX$2:$AZ$17,3,0)</f>
        <v>#N/A</v>
      </c>
      <c r="AR167" s="2">
        <f t="shared" si="47"/>
        <v>0</v>
      </c>
      <c r="AX167" s="2" t="e">
        <f>VLOOKUP(L167,GLAPS정리!$V$3:$W$180,2,0)</f>
        <v>#N/A</v>
      </c>
      <c r="BM167" s="2" t="str">
        <f t="shared" si="39"/>
        <v xml:space="preserve"> </v>
      </c>
      <c r="BN167" s="2">
        <f t="shared" si="40"/>
        <v>1</v>
      </c>
      <c r="BR167" s="2" t="str">
        <f t="shared" si="41"/>
        <v/>
      </c>
      <c r="BS167" s="2" t="str">
        <f t="shared" si="42"/>
        <v/>
      </c>
      <c r="BV167" s="2" t="e">
        <f>VLOOKUP(O167,GLAPS정리!$BH$2:$BI$94,2,0)</f>
        <v>#N/A</v>
      </c>
      <c r="BW167" s="2" t="str">
        <f>IF(OR(Z167="동원",Z167="세방",Z167="한타"),"",IFERROR(INDEX(GLAPS정리!$BI$2:$BI$101,MATCH(Z167,GLAPS정리!$BH$2:$BH$101,0)),""))</f>
        <v/>
      </c>
      <c r="BX167" s="2" t="str">
        <f>IF(Z167="","",IFERROR(VLOOKUP(Z167,GLAPS정리!$AX$2:$AZ$17,3,0),""))</f>
        <v/>
      </c>
      <c r="BZ167" s="2" t="e">
        <f>VLOOKUP(H167,GLAPS정리!$L$3:$O$133,2,0)</f>
        <v>#N/A</v>
      </c>
      <c r="CA167" s="2" t="str">
        <f t="shared" si="43"/>
        <v/>
      </c>
      <c r="CL167" s="2" t="e">
        <f>VLOOKUP(AI167,GLAPS정리!$BT$3:$BV$26,3,0)</f>
        <v>#N/A</v>
      </c>
    </row>
    <row r="168" spans="2:90" ht="20.45" customHeight="1">
      <c r="B168" s="13"/>
      <c r="G168" s="3"/>
      <c r="J168" s="3"/>
      <c r="Q168" s="3" t="str">
        <f t="shared" si="44"/>
        <v/>
      </c>
      <c r="R168" s="3" t="str">
        <f t="shared" si="45"/>
        <v/>
      </c>
      <c r="S168" s="3" t="str">
        <f t="shared" si="46"/>
        <v/>
      </c>
      <c r="X168" s="13"/>
      <c r="Y168" s="13"/>
      <c r="Z168" s="91"/>
      <c r="AC168" s="2">
        <f t="shared" si="34"/>
        <v>20</v>
      </c>
      <c r="AD168" s="2" t="str">
        <f>IFERROR(INDEX(GLAPS정리!$D$2:$D$50,MATCH(I168,GLAPS정리!$A$2:$A$50,0)),IFERROR(INDEX(GLAPS정리!$D$2:$D$50,MATCH(I168,GLAPS정리!$B$2:$B$50,0)),""))</f>
        <v/>
      </c>
      <c r="AF168" s="2" t="str">
        <f t="shared" si="35"/>
        <v>KR10</v>
      </c>
      <c r="AI168" s="2" t="e">
        <f>VLOOKUP(F168,GLAPS정리!$G$3:$J$114,2,0)</f>
        <v>#N/A</v>
      </c>
      <c r="AJ168" s="2" t="e">
        <f>IF(Z168="울산정일","KRONS",IF(Z168="울산신항","KRUSN",IF(OR(Z168="선광종합물류(인천여객)",Z168="인천여객(인천여객)"),"KRINF",IF(OR(Z168="선광인천보세(인천신)",Z168="한진인천(인천신)",Z168="선광인천신항(인천신)",Z168="인천더로지스(인천신)"),"KRINN",IF(OR(Z168="인천진아(인천항)",Z168="인천E1(인천항)",Z168="인천SM경인터미널(인천항)",Z168="인천항(인천항)",Z168="인천우련(인천항)",Z168="인천항8부두(인천항)"),"KRINC",VLOOKUP(K168,GLAPS정리!$BB$2:$BC$33,2,0))))))</f>
        <v>#N/A</v>
      </c>
      <c r="AL168" s="2">
        <f t="shared" si="36"/>
        <v>5010001</v>
      </c>
      <c r="AN168" s="70" t="str">
        <f t="shared" si="37"/>
        <v>1900-01-00</v>
      </c>
      <c r="AO168" s="2" t="str">
        <f t="shared" si="38"/>
        <v/>
      </c>
      <c r="AP168" s="2" t="e">
        <f>VLOOKUP(C168,GLAPS정리!$AX$2:$AZ$17,3,0)</f>
        <v>#N/A</v>
      </c>
      <c r="AR168" s="2">
        <f t="shared" si="47"/>
        <v>0</v>
      </c>
      <c r="AX168" s="2" t="e">
        <f>VLOOKUP(L168,GLAPS정리!$V$3:$W$180,2,0)</f>
        <v>#N/A</v>
      </c>
      <c r="BM168" s="2" t="str">
        <f t="shared" si="39"/>
        <v xml:space="preserve"> </v>
      </c>
      <c r="BN168" s="2">
        <f t="shared" si="40"/>
        <v>1</v>
      </c>
      <c r="BR168" s="2" t="str">
        <f t="shared" si="41"/>
        <v/>
      </c>
      <c r="BS168" s="2" t="str">
        <f t="shared" si="42"/>
        <v/>
      </c>
      <c r="BV168" s="2" t="e">
        <f>VLOOKUP(O168,GLAPS정리!$BH$2:$BI$94,2,0)</f>
        <v>#N/A</v>
      </c>
      <c r="BW168" s="2" t="str">
        <f>IF(OR(Z168="동원",Z168="세방",Z168="한타"),"",IFERROR(INDEX(GLAPS정리!$BI$2:$BI$101,MATCH(Z168,GLAPS정리!$BH$2:$BH$101,0)),""))</f>
        <v/>
      </c>
      <c r="BX168" s="2" t="str">
        <f>IF(Z168="","",IFERROR(VLOOKUP(Z168,GLAPS정리!$AX$2:$AZ$17,3,0),""))</f>
        <v/>
      </c>
      <c r="BZ168" s="2" t="e">
        <f>VLOOKUP(H168,GLAPS정리!$L$3:$O$133,2,0)</f>
        <v>#N/A</v>
      </c>
      <c r="CA168" s="2" t="str">
        <f t="shared" si="43"/>
        <v/>
      </c>
      <c r="CL168" s="2" t="e">
        <f>VLOOKUP(AI168,GLAPS정리!$BT$3:$BV$26,3,0)</f>
        <v>#N/A</v>
      </c>
    </row>
    <row r="169" spans="2:90" ht="20.45" customHeight="1">
      <c r="B169" s="13"/>
      <c r="G169" s="3"/>
      <c r="J169" s="3"/>
      <c r="Q169" s="3" t="str">
        <f t="shared" si="44"/>
        <v/>
      </c>
      <c r="R169" s="3" t="str">
        <f t="shared" si="45"/>
        <v/>
      </c>
      <c r="S169" s="3" t="str">
        <f t="shared" si="46"/>
        <v/>
      </c>
      <c r="X169" s="13"/>
      <c r="Y169" s="13"/>
      <c r="Z169" s="91"/>
      <c r="AC169" s="2">
        <f t="shared" si="34"/>
        <v>20</v>
      </c>
      <c r="AD169" s="2" t="str">
        <f>IFERROR(INDEX(GLAPS정리!$D$2:$D$50,MATCH(I169,GLAPS정리!$A$2:$A$50,0)),IFERROR(INDEX(GLAPS정리!$D$2:$D$50,MATCH(I169,GLAPS정리!$B$2:$B$50,0)),""))</f>
        <v/>
      </c>
      <c r="AF169" s="2" t="str">
        <f t="shared" si="35"/>
        <v>KR10</v>
      </c>
      <c r="AI169" s="2" t="e">
        <f>VLOOKUP(F169,GLAPS정리!$G$3:$J$114,2,0)</f>
        <v>#N/A</v>
      </c>
      <c r="AJ169" s="2" t="e">
        <f>IF(Z169="울산정일","KRONS",IF(Z169="울산신항","KRUSN",IF(OR(Z169="선광종합물류(인천여객)",Z169="인천여객(인천여객)"),"KRINF",IF(OR(Z169="선광인천보세(인천신)",Z169="한진인천(인천신)",Z169="선광인천신항(인천신)",Z169="인천더로지스(인천신)"),"KRINN",IF(OR(Z169="인천진아(인천항)",Z169="인천E1(인천항)",Z169="인천SM경인터미널(인천항)",Z169="인천항(인천항)",Z169="인천우련(인천항)",Z169="인천항8부두(인천항)"),"KRINC",VLOOKUP(K169,GLAPS정리!$BB$2:$BC$33,2,0))))))</f>
        <v>#N/A</v>
      </c>
      <c r="AL169" s="2">
        <f t="shared" si="36"/>
        <v>5010001</v>
      </c>
      <c r="AN169" s="70" t="str">
        <f t="shared" si="37"/>
        <v>1900-01-00</v>
      </c>
      <c r="AO169" s="2" t="str">
        <f t="shared" si="38"/>
        <v/>
      </c>
      <c r="AP169" s="2" t="e">
        <f>VLOOKUP(C169,GLAPS정리!$AX$2:$AZ$17,3,0)</f>
        <v>#N/A</v>
      </c>
      <c r="AR169" s="2">
        <f t="shared" si="47"/>
        <v>0</v>
      </c>
      <c r="AX169" s="2" t="e">
        <f>VLOOKUP(L169,GLAPS정리!$V$3:$W$180,2,0)</f>
        <v>#N/A</v>
      </c>
      <c r="BM169" s="2" t="str">
        <f t="shared" si="39"/>
        <v xml:space="preserve"> </v>
      </c>
      <c r="BN169" s="2">
        <f t="shared" si="40"/>
        <v>1</v>
      </c>
      <c r="BR169" s="2" t="str">
        <f t="shared" si="41"/>
        <v/>
      </c>
      <c r="BS169" s="2" t="str">
        <f t="shared" si="42"/>
        <v/>
      </c>
      <c r="BV169" s="2" t="e">
        <f>VLOOKUP(O169,GLAPS정리!$BH$2:$BI$94,2,0)</f>
        <v>#N/A</v>
      </c>
      <c r="BW169" s="2" t="str">
        <f>IF(OR(Z169="동원",Z169="세방",Z169="한타"),"",IFERROR(INDEX(GLAPS정리!$BI$2:$BI$101,MATCH(Z169,GLAPS정리!$BH$2:$BH$101,0)),""))</f>
        <v/>
      </c>
      <c r="BX169" s="2" t="str">
        <f>IF(Z169="","",IFERROR(VLOOKUP(Z169,GLAPS정리!$AX$2:$AZ$17,3,0),""))</f>
        <v/>
      </c>
      <c r="BZ169" s="2" t="e">
        <f>VLOOKUP(H169,GLAPS정리!$L$3:$O$133,2,0)</f>
        <v>#N/A</v>
      </c>
      <c r="CA169" s="2" t="str">
        <f t="shared" si="43"/>
        <v/>
      </c>
      <c r="CL169" s="2" t="e">
        <f>VLOOKUP(AI169,GLAPS정리!$BT$3:$BV$26,3,0)</f>
        <v>#N/A</v>
      </c>
    </row>
    <row r="170" spans="2:90" ht="20.45" customHeight="1">
      <c r="B170" s="13"/>
      <c r="G170" s="3"/>
      <c r="J170" s="3"/>
      <c r="Q170" s="3" t="str">
        <f t="shared" si="44"/>
        <v/>
      </c>
      <c r="R170" s="3" t="str">
        <f t="shared" si="45"/>
        <v/>
      </c>
      <c r="S170" s="3" t="str">
        <f t="shared" si="46"/>
        <v/>
      </c>
      <c r="X170" s="13"/>
      <c r="Y170" s="13"/>
      <c r="Z170" s="91"/>
      <c r="AC170" s="2">
        <f t="shared" si="34"/>
        <v>20</v>
      </c>
      <c r="AD170" s="2" t="str">
        <f>IFERROR(INDEX(GLAPS정리!$D$2:$D$50,MATCH(I170,GLAPS정리!$A$2:$A$50,0)),IFERROR(INDEX(GLAPS정리!$D$2:$D$50,MATCH(I170,GLAPS정리!$B$2:$B$50,0)),""))</f>
        <v/>
      </c>
      <c r="AF170" s="2" t="str">
        <f t="shared" si="35"/>
        <v>KR10</v>
      </c>
      <c r="AI170" s="2" t="e">
        <f>VLOOKUP(F170,GLAPS정리!$G$3:$J$114,2,0)</f>
        <v>#N/A</v>
      </c>
      <c r="AJ170" s="2" t="e">
        <f>IF(Z170="울산정일","KRONS",IF(Z170="울산신항","KRUSN",IF(OR(Z170="선광종합물류(인천여객)",Z170="인천여객(인천여객)"),"KRINF",IF(OR(Z170="선광인천보세(인천신)",Z170="한진인천(인천신)",Z170="선광인천신항(인천신)",Z170="인천더로지스(인천신)"),"KRINN",IF(OR(Z170="인천진아(인천항)",Z170="인천E1(인천항)",Z170="인천SM경인터미널(인천항)",Z170="인천항(인천항)",Z170="인천우련(인천항)",Z170="인천항8부두(인천항)"),"KRINC",VLOOKUP(K170,GLAPS정리!$BB$2:$BC$33,2,0))))))</f>
        <v>#N/A</v>
      </c>
      <c r="AL170" s="2">
        <f t="shared" si="36"/>
        <v>5010001</v>
      </c>
      <c r="AN170" s="70" t="str">
        <f t="shared" si="37"/>
        <v>1900-01-00</v>
      </c>
      <c r="AO170" s="2" t="str">
        <f t="shared" si="38"/>
        <v/>
      </c>
      <c r="AP170" s="2" t="e">
        <f>VLOOKUP(C170,GLAPS정리!$AX$2:$AZ$17,3,0)</f>
        <v>#N/A</v>
      </c>
      <c r="AR170" s="2">
        <f t="shared" si="47"/>
        <v>0</v>
      </c>
      <c r="AX170" s="2" t="e">
        <f>VLOOKUP(L170,GLAPS정리!$V$3:$W$180,2,0)</f>
        <v>#N/A</v>
      </c>
      <c r="BM170" s="2" t="str">
        <f t="shared" si="39"/>
        <v xml:space="preserve"> </v>
      </c>
      <c r="BN170" s="2">
        <f t="shared" si="40"/>
        <v>1</v>
      </c>
      <c r="BR170" s="2" t="str">
        <f t="shared" si="41"/>
        <v/>
      </c>
      <c r="BS170" s="2" t="str">
        <f t="shared" si="42"/>
        <v/>
      </c>
      <c r="BV170" s="2" t="e">
        <f>VLOOKUP(O170,GLAPS정리!$BH$2:$BI$94,2,0)</f>
        <v>#N/A</v>
      </c>
      <c r="BW170" s="2" t="str">
        <f>IF(OR(Z170="동원",Z170="세방",Z170="한타"),"",IFERROR(INDEX(GLAPS정리!$BI$2:$BI$101,MATCH(Z170,GLAPS정리!$BH$2:$BH$101,0)),""))</f>
        <v/>
      </c>
      <c r="BX170" s="2" t="str">
        <f>IF(Z170="","",IFERROR(VLOOKUP(Z170,GLAPS정리!$AX$2:$AZ$17,3,0),""))</f>
        <v/>
      </c>
      <c r="BZ170" s="2" t="e">
        <f>VLOOKUP(H170,GLAPS정리!$L$3:$O$133,2,0)</f>
        <v>#N/A</v>
      </c>
      <c r="CA170" s="2" t="str">
        <f t="shared" si="43"/>
        <v/>
      </c>
      <c r="CL170" s="2" t="e">
        <f>VLOOKUP(AI170,GLAPS정리!$BT$3:$BV$26,3,0)</f>
        <v>#N/A</v>
      </c>
    </row>
    <row r="171" spans="2:90" ht="20.45" customHeight="1">
      <c r="B171" s="13"/>
      <c r="G171" s="3"/>
      <c r="J171" s="3"/>
      <c r="Q171" s="3" t="str">
        <f t="shared" si="44"/>
        <v/>
      </c>
      <c r="R171" s="3" t="str">
        <f t="shared" si="45"/>
        <v/>
      </c>
      <c r="S171" s="3" t="str">
        <f t="shared" si="46"/>
        <v/>
      </c>
      <c r="X171" s="13"/>
      <c r="Y171" s="13"/>
      <c r="Z171" s="91"/>
      <c r="AC171" s="2">
        <f t="shared" si="34"/>
        <v>20</v>
      </c>
      <c r="AD171" s="2" t="str">
        <f>IFERROR(INDEX(GLAPS정리!$D$2:$D$50,MATCH(I171,GLAPS정리!$A$2:$A$50,0)),IFERROR(INDEX(GLAPS정리!$D$2:$D$50,MATCH(I171,GLAPS정리!$B$2:$B$50,0)),""))</f>
        <v/>
      </c>
      <c r="AF171" s="2" t="str">
        <f t="shared" si="35"/>
        <v>KR10</v>
      </c>
      <c r="AI171" s="2" t="e">
        <f>VLOOKUP(F171,GLAPS정리!$G$3:$J$114,2,0)</f>
        <v>#N/A</v>
      </c>
      <c r="AJ171" s="2" t="e">
        <f>IF(Z171="울산정일","KRONS",IF(Z171="울산신항","KRUSN",IF(OR(Z171="선광종합물류(인천여객)",Z171="인천여객(인천여객)"),"KRINF",IF(OR(Z171="선광인천보세(인천신)",Z171="한진인천(인천신)",Z171="선광인천신항(인천신)",Z171="인천더로지스(인천신)"),"KRINN",IF(OR(Z171="인천진아(인천항)",Z171="인천E1(인천항)",Z171="인천SM경인터미널(인천항)",Z171="인천항(인천항)",Z171="인천우련(인천항)",Z171="인천항8부두(인천항)"),"KRINC",VLOOKUP(K171,GLAPS정리!$BB$2:$BC$33,2,0))))))</f>
        <v>#N/A</v>
      </c>
      <c r="AL171" s="2">
        <f t="shared" si="36"/>
        <v>5010001</v>
      </c>
      <c r="AN171" s="70" t="str">
        <f t="shared" si="37"/>
        <v>1900-01-00</v>
      </c>
      <c r="AO171" s="2" t="str">
        <f t="shared" si="38"/>
        <v/>
      </c>
      <c r="AP171" s="2" t="e">
        <f>VLOOKUP(C171,GLAPS정리!$AX$2:$AZ$17,3,0)</f>
        <v>#N/A</v>
      </c>
      <c r="AR171" s="2">
        <f t="shared" si="47"/>
        <v>0</v>
      </c>
      <c r="AX171" s="2" t="e">
        <f>VLOOKUP(L171,GLAPS정리!$V$3:$W$180,2,0)</f>
        <v>#N/A</v>
      </c>
      <c r="BM171" s="2" t="str">
        <f t="shared" si="39"/>
        <v xml:space="preserve"> </v>
      </c>
      <c r="BN171" s="2">
        <f t="shared" si="40"/>
        <v>1</v>
      </c>
      <c r="BR171" s="2" t="str">
        <f t="shared" si="41"/>
        <v/>
      </c>
      <c r="BS171" s="2" t="str">
        <f t="shared" si="42"/>
        <v/>
      </c>
      <c r="BV171" s="2" t="e">
        <f>VLOOKUP(O171,GLAPS정리!$BH$2:$BI$94,2,0)</f>
        <v>#N/A</v>
      </c>
      <c r="BW171" s="2" t="str">
        <f>IF(OR(Z171="동원",Z171="세방",Z171="한타"),"",IFERROR(INDEX(GLAPS정리!$BI$2:$BI$101,MATCH(Z171,GLAPS정리!$BH$2:$BH$101,0)),""))</f>
        <v/>
      </c>
      <c r="BX171" s="2" t="str">
        <f>IF(Z171="","",IFERROR(VLOOKUP(Z171,GLAPS정리!$AX$2:$AZ$17,3,0),""))</f>
        <v/>
      </c>
      <c r="BZ171" s="2" t="e">
        <f>VLOOKUP(H171,GLAPS정리!$L$3:$O$133,2,0)</f>
        <v>#N/A</v>
      </c>
      <c r="CA171" s="2" t="str">
        <f t="shared" si="43"/>
        <v/>
      </c>
      <c r="CL171" s="2" t="e">
        <f>VLOOKUP(AI171,GLAPS정리!$BT$3:$BV$26,3,0)</f>
        <v>#N/A</v>
      </c>
    </row>
    <row r="172" spans="2:90" ht="20.45" customHeight="1">
      <c r="B172" s="13"/>
      <c r="G172" s="3"/>
      <c r="J172" s="3"/>
      <c r="Q172" s="3" t="str">
        <f t="shared" si="44"/>
        <v/>
      </c>
      <c r="R172" s="3" t="str">
        <f t="shared" si="45"/>
        <v/>
      </c>
      <c r="S172" s="3" t="str">
        <f t="shared" si="46"/>
        <v/>
      </c>
      <c r="X172" s="13"/>
      <c r="Y172" s="13"/>
      <c r="Z172" s="91"/>
      <c r="AC172" s="2">
        <f t="shared" si="34"/>
        <v>20</v>
      </c>
      <c r="AD172" s="2" t="str">
        <f>IFERROR(INDEX(GLAPS정리!$D$2:$D$50,MATCH(I172,GLAPS정리!$A$2:$A$50,0)),IFERROR(INDEX(GLAPS정리!$D$2:$D$50,MATCH(I172,GLAPS정리!$B$2:$B$50,0)),""))</f>
        <v/>
      </c>
      <c r="AF172" s="2" t="str">
        <f t="shared" si="35"/>
        <v>KR10</v>
      </c>
      <c r="AI172" s="2" t="e">
        <f>VLOOKUP(F172,GLAPS정리!$G$3:$J$114,2,0)</f>
        <v>#N/A</v>
      </c>
      <c r="AJ172" s="2" t="e">
        <f>IF(Z172="울산정일","KRONS",IF(Z172="울산신항","KRUSN",IF(OR(Z172="선광종합물류(인천여객)",Z172="인천여객(인천여객)"),"KRINF",IF(OR(Z172="선광인천보세(인천신)",Z172="한진인천(인천신)",Z172="선광인천신항(인천신)",Z172="인천더로지스(인천신)"),"KRINN",IF(OR(Z172="인천진아(인천항)",Z172="인천E1(인천항)",Z172="인천SM경인터미널(인천항)",Z172="인천항(인천항)",Z172="인천우련(인천항)",Z172="인천항8부두(인천항)"),"KRINC",VLOOKUP(K172,GLAPS정리!$BB$2:$BC$33,2,0))))))</f>
        <v>#N/A</v>
      </c>
      <c r="AL172" s="2">
        <f t="shared" si="36"/>
        <v>5010001</v>
      </c>
      <c r="AN172" s="70" t="str">
        <f t="shared" si="37"/>
        <v>1900-01-00</v>
      </c>
      <c r="AO172" s="2" t="str">
        <f t="shared" si="38"/>
        <v/>
      </c>
      <c r="AP172" s="2" t="e">
        <f>VLOOKUP(C172,GLAPS정리!$AX$2:$AZ$17,3,0)</f>
        <v>#N/A</v>
      </c>
      <c r="AR172" s="2">
        <f t="shared" si="47"/>
        <v>0</v>
      </c>
      <c r="AX172" s="2" t="e">
        <f>VLOOKUP(L172,GLAPS정리!$V$3:$W$180,2,0)</f>
        <v>#N/A</v>
      </c>
      <c r="BM172" s="2" t="str">
        <f t="shared" si="39"/>
        <v xml:space="preserve"> </v>
      </c>
      <c r="BN172" s="2">
        <f t="shared" si="40"/>
        <v>1</v>
      </c>
      <c r="BR172" s="2" t="str">
        <f t="shared" si="41"/>
        <v/>
      </c>
      <c r="BS172" s="2" t="str">
        <f t="shared" si="42"/>
        <v/>
      </c>
      <c r="BV172" s="2" t="e">
        <f>VLOOKUP(O172,GLAPS정리!$BH$2:$BI$94,2,0)</f>
        <v>#N/A</v>
      </c>
      <c r="BW172" s="2" t="str">
        <f>IF(OR(Z172="동원",Z172="세방",Z172="한타"),"",IFERROR(INDEX(GLAPS정리!$BI$2:$BI$101,MATCH(Z172,GLAPS정리!$BH$2:$BH$101,0)),""))</f>
        <v/>
      </c>
      <c r="BX172" s="2" t="str">
        <f>IF(Z172="","",IFERROR(VLOOKUP(Z172,GLAPS정리!$AX$2:$AZ$17,3,0),""))</f>
        <v/>
      </c>
      <c r="BZ172" s="2" t="e">
        <f>VLOOKUP(H172,GLAPS정리!$L$3:$O$133,2,0)</f>
        <v>#N/A</v>
      </c>
      <c r="CA172" s="2" t="str">
        <f t="shared" si="43"/>
        <v/>
      </c>
      <c r="CL172" s="2" t="e">
        <f>VLOOKUP(AI172,GLAPS정리!$BT$3:$BV$26,3,0)</f>
        <v>#N/A</v>
      </c>
    </row>
    <row r="173" spans="2:90" ht="20.45" customHeight="1">
      <c r="B173" s="13"/>
      <c r="G173" s="3"/>
      <c r="J173" s="3"/>
      <c r="Q173" s="3" t="str">
        <f t="shared" si="44"/>
        <v/>
      </c>
      <c r="R173" s="3" t="str">
        <f t="shared" si="45"/>
        <v/>
      </c>
      <c r="S173" s="3" t="str">
        <f t="shared" si="46"/>
        <v/>
      </c>
      <c r="X173" s="13"/>
      <c r="Y173" s="13"/>
      <c r="Z173" s="91"/>
      <c r="AC173" s="2">
        <f t="shared" si="34"/>
        <v>20</v>
      </c>
      <c r="AD173" s="2" t="str">
        <f>IFERROR(INDEX(GLAPS정리!$D$2:$D$50,MATCH(I173,GLAPS정리!$A$2:$A$50,0)),IFERROR(INDEX(GLAPS정리!$D$2:$D$50,MATCH(I173,GLAPS정리!$B$2:$B$50,0)),""))</f>
        <v/>
      </c>
      <c r="AF173" s="2" t="str">
        <f t="shared" si="35"/>
        <v>KR10</v>
      </c>
      <c r="AI173" s="2" t="e">
        <f>VLOOKUP(F173,GLAPS정리!$G$3:$J$114,2,0)</f>
        <v>#N/A</v>
      </c>
      <c r="AJ173" s="2" t="e">
        <f>IF(Z173="울산정일","KRONS",IF(Z173="울산신항","KRUSN",IF(OR(Z173="선광종합물류(인천여객)",Z173="인천여객(인천여객)"),"KRINF",IF(OR(Z173="선광인천보세(인천신)",Z173="한진인천(인천신)",Z173="선광인천신항(인천신)",Z173="인천더로지스(인천신)"),"KRINN",IF(OR(Z173="인천진아(인천항)",Z173="인천E1(인천항)",Z173="인천SM경인터미널(인천항)",Z173="인천항(인천항)",Z173="인천우련(인천항)",Z173="인천항8부두(인천항)"),"KRINC",VLOOKUP(K173,GLAPS정리!$BB$2:$BC$33,2,0))))))</f>
        <v>#N/A</v>
      </c>
      <c r="AL173" s="2">
        <f t="shared" si="36"/>
        <v>5010001</v>
      </c>
      <c r="AN173" s="70" t="str">
        <f t="shared" si="37"/>
        <v>1900-01-00</v>
      </c>
      <c r="AO173" s="2" t="str">
        <f t="shared" si="38"/>
        <v/>
      </c>
      <c r="AP173" s="2" t="e">
        <f>VLOOKUP(C173,GLAPS정리!$AX$2:$AZ$17,3,0)</f>
        <v>#N/A</v>
      </c>
      <c r="AR173" s="2">
        <f t="shared" si="47"/>
        <v>0</v>
      </c>
      <c r="AX173" s="2" t="e">
        <f>VLOOKUP(L173,GLAPS정리!$V$3:$W$180,2,0)</f>
        <v>#N/A</v>
      </c>
      <c r="BM173" s="2" t="str">
        <f t="shared" si="39"/>
        <v xml:space="preserve"> </v>
      </c>
      <c r="BN173" s="2">
        <f t="shared" si="40"/>
        <v>1</v>
      </c>
      <c r="BR173" s="2" t="str">
        <f t="shared" si="41"/>
        <v/>
      </c>
      <c r="BS173" s="2" t="str">
        <f t="shared" si="42"/>
        <v/>
      </c>
      <c r="BV173" s="2" t="e">
        <f>VLOOKUP(O173,GLAPS정리!$BH$2:$BI$94,2,0)</f>
        <v>#N/A</v>
      </c>
      <c r="BW173" s="2" t="str">
        <f>IF(OR(Z173="동원",Z173="세방",Z173="한타"),"",IFERROR(INDEX(GLAPS정리!$BI$2:$BI$101,MATCH(Z173,GLAPS정리!$BH$2:$BH$101,0)),""))</f>
        <v/>
      </c>
      <c r="BX173" s="2" t="str">
        <f>IF(Z173="","",IFERROR(VLOOKUP(Z173,GLAPS정리!$AX$2:$AZ$17,3,0),""))</f>
        <v/>
      </c>
      <c r="BZ173" s="2" t="e">
        <f>VLOOKUP(H173,GLAPS정리!$L$3:$O$133,2,0)</f>
        <v>#N/A</v>
      </c>
      <c r="CA173" s="2" t="str">
        <f t="shared" si="43"/>
        <v/>
      </c>
      <c r="CL173" s="2" t="e">
        <f>VLOOKUP(AI173,GLAPS정리!$BT$3:$BV$26,3,0)</f>
        <v>#N/A</v>
      </c>
    </row>
    <row r="174" spans="2:90" ht="20.45" customHeight="1">
      <c r="B174" s="13"/>
      <c r="G174" s="3"/>
      <c r="J174" s="3"/>
      <c r="Q174" s="3" t="str">
        <f t="shared" si="44"/>
        <v/>
      </c>
      <c r="R174" s="3" t="str">
        <f t="shared" si="45"/>
        <v/>
      </c>
      <c r="S174" s="3" t="str">
        <f t="shared" si="46"/>
        <v/>
      </c>
      <c r="X174" s="13"/>
      <c r="Y174" s="13"/>
      <c r="Z174" s="91"/>
      <c r="AC174" s="2">
        <f t="shared" si="34"/>
        <v>20</v>
      </c>
      <c r="AD174" s="2" t="str">
        <f>IFERROR(INDEX(GLAPS정리!$D$2:$D$50,MATCH(I174,GLAPS정리!$A$2:$A$50,0)),IFERROR(INDEX(GLAPS정리!$D$2:$D$50,MATCH(I174,GLAPS정리!$B$2:$B$50,0)),""))</f>
        <v/>
      </c>
      <c r="AF174" s="2" t="str">
        <f t="shared" si="35"/>
        <v>KR10</v>
      </c>
      <c r="AI174" s="2" t="e">
        <f>VLOOKUP(F174,GLAPS정리!$G$3:$J$114,2,0)</f>
        <v>#N/A</v>
      </c>
      <c r="AJ174" s="2" t="e">
        <f>IF(Z174="울산정일","KRONS",IF(Z174="울산신항","KRUSN",IF(OR(Z174="선광종합물류(인천여객)",Z174="인천여객(인천여객)"),"KRINF",IF(OR(Z174="선광인천보세(인천신)",Z174="한진인천(인천신)",Z174="선광인천신항(인천신)",Z174="인천더로지스(인천신)"),"KRINN",IF(OR(Z174="인천진아(인천항)",Z174="인천E1(인천항)",Z174="인천SM경인터미널(인천항)",Z174="인천항(인천항)",Z174="인천우련(인천항)",Z174="인천항8부두(인천항)"),"KRINC",VLOOKUP(K174,GLAPS정리!$BB$2:$BC$33,2,0))))))</f>
        <v>#N/A</v>
      </c>
      <c r="AL174" s="2">
        <f t="shared" si="36"/>
        <v>5010001</v>
      </c>
      <c r="AN174" s="70" t="str">
        <f t="shared" si="37"/>
        <v>1900-01-00</v>
      </c>
      <c r="AO174" s="2" t="str">
        <f t="shared" si="38"/>
        <v/>
      </c>
      <c r="AP174" s="2" t="e">
        <f>VLOOKUP(C174,GLAPS정리!$AX$2:$AZ$17,3,0)</f>
        <v>#N/A</v>
      </c>
      <c r="AR174" s="2">
        <f t="shared" si="47"/>
        <v>0</v>
      </c>
      <c r="AX174" s="2" t="e">
        <f>VLOOKUP(L174,GLAPS정리!$V$3:$W$180,2,0)</f>
        <v>#N/A</v>
      </c>
      <c r="BM174" s="2" t="str">
        <f t="shared" si="39"/>
        <v xml:space="preserve"> </v>
      </c>
      <c r="BN174" s="2">
        <f t="shared" si="40"/>
        <v>1</v>
      </c>
      <c r="BR174" s="2" t="str">
        <f t="shared" si="41"/>
        <v/>
      </c>
      <c r="BS174" s="2" t="str">
        <f t="shared" si="42"/>
        <v/>
      </c>
      <c r="BV174" s="2" t="e">
        <f>VLOOKUP(O174,GLAPS정리!$BH$2:$BI$94,2,0)</f>
        <v>#N/A</v>
      </c>
      <c r="BW174" s="2" t="str">
        <f>IF(OR(Z174="동원",Z174="세방",Z174="한타"),"",IFERROR(INDEX(GLAPS정리!$BI$2:$BI$101,MATCH(Z174,GLAPS정리!$BH$2:$BH$101,0)),""))</f>
        <v/>
      </c>
      <c r="BX174" s="2" t="str">
        <f>IF(Z174="","",IFERROR(VLOOKUP(Z174,GLAPS정리!$AX$2:$AZ$17,3,0),""))</f>
        <v/>
      </c>
      <c r="BZ174" s="2" t="e">
        <f>VLOOKUP(H174,GLAPS정리!$L$3:$O$133,2,0)</f>
        <v>#N/A</v>
      </c>
      <c r="CA174" s="2" t="str">
        <f t="shared" si="43"/>
        <v/>
      </c>
      <c r="CL174" s="2" t="e">
        <f>VLOOKUP(AI174,GLAPS정리!$BT$3:$BV$26,3,0)</f>
        <v>#N/A</v>
      </c>
    </row>
    <row r="175" spans="2:90" ht="20.45" customHeight="1">
      <c r="B175" s="13"/>
      <c r="G175" s="3"/>
      <c r="J175" s="3"/>
      <c r="Q175" s="3" t="str">
        <f t="shared" si="44"/>
        <v/>
      </c>
      <c r="R175" s="3" t="str">
        <f t="shared" si="45"/>
        <v/>
      </c>
      <c r="S175" s="3" t="str">
        <f t="shared" si="46"/>
        <v/>
      </c>
      <c r="X175" s="13"/>
      <c r="Y175" s="13"/>
      <c r="Z175" s="91"/>
      <c r="AC175" s="2">
        <f t="shared" si="34"/>
        <v>20</v>
      </c>
      <c r="AD175" s="2" t="str">
        <f>IFERROR(INDEX(GLAPS정리!$D$2:$D$50,MATCH(I175,GLAPS정리!$A$2:$A$50,0)),IFERROR(INDEX(GLAPS정리!$D$2:$D$50,MATCH(I175,GLAPS정리!$B$2:$B$50,0)),""))</f>
        <v/>
      </c>
      <c r="AF175" s="2" t="str">
        <f t="shared" si="35"/>
        <v>KR10</v>
      </c>
      <c r="AI175" s="2" t="e">
        <f>VLOOKUP(F175,GLAPS정리!$G$3:$J$114,2,0)</f>
        <v>#N/A</v>
      </c>
      <c r="AJ175" s="2" t="e">
        <f>IF(Z175="울산정일","KRONS",IF(Z175="울산신항","KRUSN",IF(OR(Z175="선광종합물류(인천여객)",Z175="인천여객(인천여객)"),"KRINF",IF(OR(Z175="선광인천보세(인천신)",Z175="한진인천(인천신)",Z175="선광인천신항(인천신)",Z175="인천더로지스(인천신)"),"KRINN",IF(OR(Z175="인천진아(인천항)",Z175="인천E1(인천항)",Z175="인천SM경인터미널(인천항)",Z175="인천항(인천항)",Z175="인천우련(인천항)",Z175="인천항8부두(인천항)"),"KRINC",VLOOKUP(K175,GLAPS정리!$BB$2:$BC$33,2,0))))))</f>
        <v>#N/A</v>
      </c>
      <c r="AL175" s="2">
        <f t="shared" si="36"/>
        <v>5010001</v>
      </c>
      <c r="AN175" s="70" t="str">
        <f t="shared" si="37"/>
        <v>1900-01-00</v>
      </c>
      <c r="AO175" s="2" t="str">
        <f t="shared" si="38"/>
        <v/>
      </c>
      <c r="AP175" s="2" t="e">
        <f>VLOOKUP(C175,GLAPS정리!$AX$2:$AZ$17,3,0)</f>
        <v>#N/A</v>
      </c>
      <c r="AR175" s="2">
        <f t="shared" si="47"/>
        <v>0</v>
      </c>
      <c r="AX175" s="2" t="e">
        <f>VLOOKUP(L175,GLAPS정리!$V$3:$W$180,2,0)</f>
        <v>#N/A</v>
      </c>
      <c r="BM175" s="2" t="str">
        <f t="shared" si="39"/>
        <v xml:space="preserve"> </v>
      </c>
      <c r="BN175" s="2">
        <f t="shared" si="40"/>
        <v>1</v>
      </c>
      <c r="BR175" s="2" t="str">
        <f t="shared" si="41"/>
        <v/>
      </c>
      <c r="BS175" s="2" t="str">
        <f t="shared" si="42"/>
        <v/>
      </c>
      <c r="BV175" s="2" t="e">
        <f>VLOOKUP(O175,GLAPS정리!$BH$2:$BI$94,2,0)</f>
        <v>#N/A</v>
      </c>
      <c r="BW175" s="2" t="str">
        <f>IF(OR(Z175="동원",Z175="세방",Z175="한타"),"",IFERROR(INDEX(GLAPS정리!$BI$2:$BI$101,MATCH(Z175,GLAPS정리!$BH$2:$BH$101,0)),""))</f>
        <v/>
      </c>
      <c r="BX175" s="2" t="str">
        <f>IF(Z175="","",IFERROR(VLOOKUP(Z175,GLAPS정리!$AX$2:$AZ$17,3,0),""))</f>
        <v/>
      </c>
      <c r="BZ175" s="2" t="e">
        <f>VLOOKUP(H175,GLAPS정리!$L$3:$O$133,2,0)</f>
        <v>#N/A</v>
      </c>
      <c r="CA175" s="2" t="str">
        <f t="shared" si="43"/>
        <v/>
      </c>
      <c r="CL175" s="2" t="e">
        <f>VLOOKUP(AI175,GLAPS정리!$BT$3:$BV$26,3,0)</f>
        <v>#N/A</v>
      </c>
    </row>
    <row r="176" spans="2:90" ht="20.45" customHeight="1">
      <c r="B176" s="13"/>
      <c r="G176" s="3"/>
      <c r="J176" s="3"/>
      <c r="Q176" s="3" t="str">
        <f t="shared" si="44"/>
        <v/>
      </c>
      <c r="R176" s="3" t="str">
        <f t="shared" si="45"/>
        <v/>
      </c>
      <c r="S176" s="3" t="str">
        <f t="shared" si="46"/>
        <v/>
      </c>
      <c r="X176" s="13"/>
      <c r="Y176" s="13"/>
      <c r="Z176" s="91"/>
      <c r="AC176" s="2">
        <f t="shared" si="34"/>
        <v>20</v>
      </c>
      <c r="AD176" s="2" t="str">
        <f>IFERROR(INDEX(GLAPS정리!$D$2:$D$50,MATCH(I176,GLAPS정리!$A$2:$A$50,0)),IFERROR(INDEX(GLAPS정리!$D$2:$D$50,MATCH(I176,GLAPS정리!$B$2:$B$50,0)),""))</f>
        <v/>
      </c>
      <c r="AF176" s="2" t="str">
        <f t="shared" si="35"/>
        <v>KR10</v>
      </c>
      <c r="AI176" s="2" t="e">
        <f>VLOOKUP(F176,GLAPS정리!$G$3:$J$114,2,0)</f>
        <v>#N/A</v>
      </c>
      <c r="AJ176" s="2" t="e">
        <f>IF(Z176="울산정일","KRONS",IF(Z176="울산신항","KRUSN",IF(OR(Z176="선광종합물류(인천여객)",Z176="인천여객(인천여객)"),"KRINF",IF(OR(Z176="선광인천보세(인천신)",Z176="한진인천(인천신)",Z176="선광인천신항(인천신)",Z176="인천더로지스(인천신)"),"KRINN",IF(OR(Z176="인천진아(인천항)",Z176="인천E1(인천항)",Z176="인천SM경인터미널(인천항)",Z176="인천항(인천항)",Z176="인천우련(인천항)",Z176="인천항8부두(인천항)"),"KRINC",VLOOKUP(K176,GLAPS정리!$BB$2:$BC$33,2,0))))))</f>
        <v>#N/A</v>
      </c>
      <c r="AL176" s="2">
        <f t="shared" si="36"/>
        <v>5010001</v>
      </c>
      <c r="AN176" s="70" t="str">
        <f t="shared" si="37"/>
        <v>1900-01-00</v>
      </c>
      <c r="AO176" s="2" t="str">
        <f t="shared" si="38"/>
        <v/>
      </c>
      <c r="AP176" s="2" t="e">
        <f>VLOOKUP(C176,GLAPS정리!$AX$2:$AZ$17,3,0)</f>
        <v>#N/A</v>
      </c>
      <c r="AR176" s="2">
        <f t="shared" si="47"/>
        <v>0</v>
      </c>
      <c r="AX176" s="2" t="e">
        <f>VLOOKUP(L176,GLAPS정리!$V$3:$W$180,2,0)</f>
        <v>#N/A</v>
      </c>
      <c r="BM176" s="2" t="str">
        <f t="shared" si="39"/>
        <v xml:space="preserve"> </v>
      </c>
      <c r="BN176" s="2">
        <f t="shared" si="40"/>
        <v>1</v>
      </c>
      <c r="BR176" s="2" t="str">
        <f t="shared" si="41"/>
        <v/>
      </c>
      <c r="BS176" s="2" t="str">
        <f t="shared" si="42"/>
        <v/>
      </c>
      <c r="BV176" s="2" t="e">
        <f>VLOOKUP(O176,GLAPS정리!$BH$2:$BI$94,2,0)</f>
        <v>#N/A</v>
      </c>
      <c r="BW176" s="2" t="str">
        <f>IF(OR(Z176="동원",Z176="세방",Z176="한타"),"",IFERROR(INDEX(GLAPS정리!$BI$2:$BI$101,MATCH(Z176,GLAPS정리!$BH$2:$BH$101,0)),""))</f>
        <v/>
      </c>
      <c r="BX176" s="2" t="str">
        <f>IF(Z176="","",IFERROR(VLOOKUP(Z176,GLAPS정리!$AX$2:$AZ$17,3,0),""))</f>
        <v/>
      </c>
      <c r="BZ176" s="2" t="e">
        <f>VLOOKUP(H176,GLAPS정리!$L$3:$O$133,2,0)</f>
        <v>#N/A</v>
      </c>
      <c r="CA176" s="2" t="str">
        <f t="shared" si="43"/>
        <v/>
      </c>
      <c r="CL176" s="2" t="e">
        <f>VLOOKUP(AI176,GLAPS정리!$BT$3:$BV$26,3,0)</f>
        <v>#N/A</v>
      </c>
    </row>
    <row r="177" spans="2:90" ht="20.45" customHeight="1">
      <c r="B177" s="13"/>
      <c r="G177" s="3"/>
      <c r="J177" s="3"/>
      <c r="Q177" s="3" t="str">
        <f t="shared" si="44"/>
        <v/>
      </c>
      <c r="R177" s="3" t="str">
        <f t="shared" si="45"/>
        <v/>
      </c>
      <c r="S177" s="3" t="str">
        <f t="shared" si="46"/>
        <v/>
      </c>
      <c r="X177" s="13"/>
      <c r="Y177" s="13"/>
      <c r="Z177" s="91"/>
      <c r="AC177" s="2">
        <f t="shared" si="34"/>
        <v>20</v>
      </c>
      <c r="AD177" s="2" t="str">
        <f>IFERROR(INDEX(GLAPS정리!$D$2:$D$50,MATCH(I177,GLAPS정리!$A$2:$A$50,0)),IFERROR(INDEX(GLAPS정리!$D$2:$D$50,MATCH(I177,GLAPS정리!$B$2:$B$50,0)),""))</f>
        <v/>
      </c>
      <c r="AF177" s="2" t="str">
        <f t="shared" si="35"/>
        <v>KR10</v>
      </c>
      <c r="AI177" s="2" t="e">
        <f>VLOOKUP(F177,GLAPS정리!$G$3:$J$114,2,0)</f>
        <v>#N/A</v>
      </c>
      <c r="AJ177" s="2" t="e">
        <f>IF(Z177="울산정일","KRONS",IF(Z177="울산신항","KRUSN",IF(OR(Z177="선광종합물류(인천여객)",Z177="인천여객(인천여객)"),"KRINF",IF(OR(Z177="선광인천보세(인천신)",Z177="한진인천(인천신)",Z177="선광인천신항(인천신)",Z177="인천더로지스(인천신)"),"KRINN",IF(OR(Z177="인천진아(인천항)",Z177="인천E1(인천항)",Z177="인천SM경인터미널(인천항)",Z177="인천항(인천항)",Z177="인천우련(인천항)",Z177="인천항8부두(인천항)"),"KRINC",VLOOKUP(K177,GLAPS정리!$BB$2:$BC$33,2,0))))))</f>
        <v>#N/A</v>
      </c>
      <c r="AL177" s="2">
        <f t="shared" si="36"/>
        <v>5010001</v>
      </c>
      <c r="AN177" s="70" t="str">
        <f t="shared" si="37"/>
        <v>1900-01-00</v>
      </c>
      <c r="AO177" s="2" t="str">
        <f t="shared" si="38"/>
        <v/>
      </c>
      <c r="AP177" s="2" t="e">
        <f>VLOOKUP(C177,GLAPS정리!$AX$2:$AZ$17,3,0)</f>
        <v>#N/A</v>
      </c>
      <c r="AR177" s="2">
        <f t="shared" si="47"/>
        <v>0</v>
      </c>
      <c r="AX177" s="2" t="e">
        <f>VLOOKUP(L177,GLAPS정리!$V$3:$W$180,2,0)</f>
        <v>#N/A</v>
      </c>
      <c r="BM177" s="2" t="str">
        <f t="shared" si="39"/>
        <v xml:space="preserve"> </v>
      </c>
      <c r="BN177" s="2">
        <f t="shared" si="40"/>
        <v>1</v>
      </c>
      <c r="BR177" s="2" t="str">
        <f t="shared" si="41"/>
        <v/>
      </c>
      <c r="BS177" s="2" t="str">
        <f t="shared" si="42"/>
        <v/>
      </c>
      <c r="BV177" s="2" t="e">
        <f>VLOOKUP(O177,GLAPS정리!$BH$2:$BI$94,2,0)</f>
        <v>#N/A</v>
      </c>
      <c r="BW177" s="2" t="str">
        <f>IF(OR(Z177="동원",Z177="세방",Z177="한타"),"",IFERROR(INDEX(GLAPS정리!$BI$2:$BI$101,MATCH(Z177,GLAPS정리!$BH$2:$BH$101,0)),""))</f>
        <v/>
      </c>
      <c r="BX177" s="2" t="str">
        <f>IF(Z177="","",IFERROR(VLOOKUP(Z177,GLAPS정리!$AX$2:$AZ$17,3,0),""))</f>
        <v/>
      </c>
      <c r="BZ177" s="2" t="e">
        <f>VLOOKUP(H177,GLAPS정리!$L$3:$O$133,2,0)</f>
        <v>#N/A</v>
      </c>
      <c r="CA177" s="2" t="str">
        <f t="shared" si="43"/>
        <v/>
      </c>
      <c r="CL177" s="2" t="e">
        <f>VLOOKUP(AI177,GLAPS정리!$BT$3:$BV$26,3,0)</f>
        <v>#N/A</v>
      </c>
    </row>
    <row r="178" spans="2:90" ht="20.45" customHeight="1">
      <c r="B178" s="13"/>
      <c r="G178" s="3"/>
      <c r="J178" s="3"/>
      <c r="Q178" s="3" t="str">
        <f t="shared" si="44"/>
        <v/>
      </c>
      <c r="R178" s="3" t="str">
        <f t="shared" si="45"/>
        <v/>
      </c>
      <c r="S178" s="3" t="str">
        <f t="shared" si="46"/>
        <v/>
      </c>
      <c r="X178" s="13"/>
      <c r="Y178" s="13"/>
      <c r="Z178" s="91"/>
      <c r="AC178" s="2">
        <f t="shared" si="34"/>
        <v>20</v>
      </c>
      <c r="AD178" s="2" t="str">
        <f>IFERROR(INDEX(GLAPS정리!$D$2:$D$50,MATCH(I178,GLAPS정리!$A$2:$A$50,0)),IFERROR(INDEX(GLAPS정리!$D$2:$D$50,MATCH(I178,GLAPS정리!$B$2:$B$50,0)),""))</f>
        <v/>
      </c>
      <c r="AF178" s="2" t="str">
        <f t="shared" si="35"/>
        <v>KR10</v>
      </c>
      <c r="AI178" s="2" t="e">
        <f>VLOOKUP(F178,GLAPS정리!$G$3:$J$114,2,0)</f>
        <v>#N/A</v>
      </c>
      <c r="AJ178" s="2" t="e">
        <f>IF(Z178="울산정일","KRONS",IF(Z178="울산신항","KRUSN",IF(OR(Z178="선광종합물류(인천여객)",Z178="인천여객(인천여객)"),"KRINF",IF(OR(Z178="선광인천보세(인천신)",Z178="한진인천(인천신)",Z178="선광인천신항(인천신)",Z178="인천더로지스(인천신)"),"KRINN",IF(OR(Z178="인천진아(인천항)",Z178="인천E1(인천항)",Z178="인천SM경인터미널(인천항)",Z178="인천항(인천항)",Z178="인천우련(인천항)",Z178="인천항8부두(인천항)"),"KRINC",VLOOKUP(K178,GLAPS정리!$BB$2:$BC$33,2,0))))))</f>
        <v>#N/A</v>
      </c>
      <c r="AL178" s="2">
        <f t="shared" si="36"/>
        <v>5010001</v>
      </c>
      <c r="AN178" s="70" t="str">
        <f t="shared" si="37"/>
        <v>1900-01-00</v>
      </c>
      <c r="AO178" s="2" t="str">
        <f t="shared" si="38"/>
        <v/>
      </c>
      <c r="AP178" s="2" t="e">
        <f>VLOOKUP(C178,GLAPS정리!$AX$2:$AZ$17,3,0)</f>
        <v>#N/A</v>
      </c>
      <c r="AR178" s="2">
        <f t="shared" si="47"/>
        <v>0</v>
      </c>
      <c r="AX178" s="2" t="e">
        <f>VLOOKUP(L178,GLAPS정리!$V$3:$W$180,2,0)</f>
        <v>#N/A</v>
      </c>
      <c r="BM178" s="2" t="str">
        <f t="shared" si="39"/>
        <v xml:space="preserve"> </v>
      </c>
      <c r="BN178" s="2">
        <f t="shared" si="40"/>
        <v>1</v>
      </c>
      <c r="BR178" s="2" t="str">
        <f t="shared" si="41"/>
        <v/>
      </c>
      <c r="BS178" s="2" t="str">
        <f t="shared" si="42"/>
        <v/>
      </c>
      <c r="BV178" s="2" t="e">
        <f>VLOOKUP(O178,GLAPS정리!$BH$2:$BI$94,2,0)</f>
        <v>#N/A</v>
      </c>
      <c r="BW178" s="2" t="str">
        <f>IF(OR(Z178="동원",Z178="세방",Z178="한타"),"",IFERROR(INDEX(GLAPS정리!$BI$2:$BI$101,MATCH(Z178,GLAPS정리!$BH$2:$BH$101,0)),""))</f>
        <v/>
      </c>
      <c r="BX178" s="2" t="str">
        <f>IF(Z178="","",IFERROR(VLOOKUP(Z178,GLAPS정리!$AX$2:$AZ$17,3,0),""))</f>
        <v/>
      </c>
      <c r="BZ178" s="2" t="e">
        <f>VLOOKUP(H178,GLAPS정리!$L$3:$O$133,2,0)</f>
        <v>#N/A</v>
      </c>
      <c r="CA178" s="2" t="str">
        <f t="shared" si="43"/>
        <v/>
      </c>
      <c r="CL178" s="2" t="e">
        <f>VLOOKUP(AI178,GLAPS정리!$BT$3:$BV$26,3,0)</f>
        <v>#N/A</v>
      </c>
    </row>
    <row r="179" spans="2:90" ht="20.45" customHeight="1">
      <c r="B179" s="13"/>
      <c r="G179" s="3"/>
      <c r="J179" s="3"/>
      <c r="Q179" s="3" t="str">
        <f t="shared" si="44"/>
        <v/>
      </c>
      <c r="R179" s="3" t="str">
        <f t="shared" si="45"/>
        <v/>
      </c>
      <c r="S179" s="3" t="str">
        <f t="shared" si="46"/>
        <v/>
      </c>
      <c r="X179" s="13"/>
      <c r="Y179" s="13"/>
      <c r="Z179" s="91"/>
      <c r="AC179" s="2">
        <f t="shared" si="34"/>
        <v>20</v>
      </c>
      <c r="AD179" s="2" t="str">
        <f>IFERROR(INDEX(GLAPS정리!$D$2:$D$50,MATCH(I179,GLAPS정리!$A$2:$A$50,0)),IFERROR(INDEX(GLAPS정리!$D$2:$D$50,MATCH(I179,GLAPS정리!$B$2:$B$50,0)),""))</f>
        <v/>
      </c>
      <c r="AF179" s="2" t="str">
        <f t="shared" si="35"/>
        <v>KR10</v>
      </c>
      <c r="AI179" s="2" t="e">
        <f>VLOOKUP(F179,GLAPS정리!$G$3:$J$114,2,0)</f>
        <v>#N/A</v>
      </c>
      <c r="AJ179" s="2" t="e">
        <f>IF(Z179="울산정일","KRONS",IF(Z179="울산신항","KRUSN",IF(OR(Z179="선광종합물류(인천여객)",Z179="인천여객(인천여객)"),"KRINF",IF(OR(Z179="선광인천보세(인천신)",Z179="한진인천(인천신)",Z179="선광인천신항(인천신)",Z179="인천더로지스(인천신)"),"KRINN",IF(OR(Z179="인천진아(인천항)",Z179="인천E1(인천항)",Z179="인천SM경인터미널(인천항)",Z179="인천항(인천항)",Z179="인천우련(인천항)",Z179="인천항8부두(인천항)"),"KRINC",VLOOKUP(K179,GLAPS정리!$BB$2:$BC$33,2,0))))))</f>
        <v>#N/A</v>
      </c>
      <c r="AL179" s="2">
        <f t="shared" si="36"/>
        <v>5010001</v>
      </c>
      <c r="AN179" s="70" t="str">
        <f t="shared" si="37"/>
        <v>1900-01-00</v>
      </c>
      <c r="AO179" s="2" t="str">
        <f t="shared" si="38"/>
        <v/>
      </c>
      <c r="AP179" s="2" t="e">
        <f>VLOOKUP(C179,GLAPS정리!$AX$2:$AZ$17,3,0)</f>
        <v>#N/A</v>
      </c>
      <c r="AR179" s="2">
        <f t="shared" si="47"/>
        <v>0</v>
      </c>
      <c r="AX179" s="2" t="e">
        <f>VLOOKUP(L179,GLAPS정리!$V$3:$W$180,2,0)</f>
        <v>#N/A</v>
      </c>
      <c r="BM179" s="2" t="str">
        <f t="shared" si="39"/>
        <v xml:space="preserve"> </v>
      </c>
      <c r="BN179" s="2">
        <f t="shared" si="40"/>
        <v>1</v>
      </c>
      <c r="BR179" s="2" t="str">
        <f t="shared" si="41"/>
        <v/>
      </c>
      <c r="BS179" s="2" t="str">
        <f t="shared" si="42"/>
        <v/>
      </c>
      <c r="BV179" s="2" t="e">
        <f>VLOOKUP(O179,GLAPS정리!$BH$2:$BI$94,2,0)</f>
        <v>#N/A</v>
      </c>
      <c r="BW179" s="2" t="str">
        <f>IF(OR(Z179="동원",Z179="세방",Z179="한타"),"",IFERROR(INDEX(GLAPS정리!$BI$2:$BI$101,MATCH(Z179,GLAPS정리!$BH$2:$BH$101,0)),""))</f>
        <v/>
      </c>
      <c r="BX179" s="2" t="str">
        <f>IF(Z179="","",IFERROR(VLOOKUP(Z179,GLAPS정리!$AX$2:$AZ$17,3,0),""))</f>
        <v/>
      </c>
      <c r="BZ179" s="2" t="e">
        <f>VLOOKUP(H179,GLAPS정리!$L$3:$O$133,2,0)</f>
        <v>#N/A</v>
      </c>
      <c r="CA179" s="2" t="str">
        <f t="shared" si="43"/>
        <v/>
      </c>
      <c r="CL179" s="2" t="e">
        <f>VLOOKUP(AI179,GLAPS정리!$BT$3:$BV$26,3,0)</f>
        <v>#N/A</v>
      </c>
    </row>
    <row r="180" spans="2:90" ht="20.45" customHeight="1">
      <c r="B180" s="13"/>
      <c r="G180" s="3"/>
      <c r="J180" s="3"/>
      <c r="Q180" s="3" t="str">
        <f t="shared" si="44"/>
        <v/>
      </c>
      <c r="R180" s="3" t="str">
        <f t="shared" si="45"/>
        <v/>
      </c>
      <c r="S180" s="3" t="str">
        <f t="shared" si="46"/>
        <v/>
      </c>
      <c r="X180" s="13"/>
      <c r="Y180" s="13"/>
      <c r="Z180" s="91"/>
      <c r="AC180" s="2">
        <f t="shared" si="34"/>
        <v>20</v>
      </c>
      <c r="AD180" s="2" t="str">
        <f>IFERROR(INDEX(GLAPS정리!$D$2:$D$50,MATCH(I180,GLAPS정리!$A$2:$A$50,0)),IFERROR(INDEX(GLAPS정리!$D$2:$D$50,MATCH(I180,GLAPS정리!$B$2:$B$50,0)),""))</f>
        <v/>
      </c>
      <c r="AF180" s="2" t="str">
        <f t="shared" si="35"/>
        <v>KR10</v>
      </c>
      <c r="AI180" s="2" t="e">
        <f>VLOOKUP(F180,GLAPS정리!$G$3:$J$114,2,0)</f>
        <v>#N/A</v>
      </c>
      <c r="AJ180" s="2" t="e">
        <f>IF(Z180="울산정일","KRONS",IF(Z180="울산신항","KRUSN",IF(OR(Z180="선광종합물류(인천여객)",Z180="인천여객(인천여객)"),"KRINF",IF(OR(Z180="선광인천보세(인천신)",Z180="한진인천(인천신)",Z180="선광인천신항(인천신)",Z180="인천더로지스(인천신)"),"KRINN",IF(OR(Z180="인천진아(인천항)",Z180="인천E1(인천항)",Z180="인천SM경인터미널(인천항)",Z180="인천항(인천항)",Z180="인천우련(인천항)",Z180="인천항8부두(인천항)"),"KRINC",VLOOKUP(K180,GLAPS정리!$BB$2:$BC$33,2,0))))))</f>
        <v>#N/A</v>
      </c>
      <c r="AL180" s="2">
        <f t="shared" si="36"/>
        <v>5010001</v>
      </c>
      <c r="AN180" s="70" t="str">
        <f t="shared" si="37"/>
        <v>1900-01-00</v>
      </c>
      <c r="AO180" s="2" t="str">
        <f t="shared" si="38"/>
        <v/>
      </c>
      <c r="AP180" s="2" t="e">
        <f>VLOOKUP(C180,GLAPS정리!$AX$2:$AZ$17,3,0)</f>
        <v>#N/A</v>
      </c>
      <c r="AR180" s="2">
        <f t="shared" si="47"/>
        <v>0</v>
      </c>
      <c r="AX180" s="2" t="e">
        <f>VLOOKUP(L180,GLAPS정리!$V$3:$W$180,2,0)</f>
        <v>#N/A</v>
      </c>
      <c r="BM180" s="2" t="str">
        <f t="shared" si="39"/>
        <v xml:space="preserve"> </v>
      </c>
      <c r="BN180" s="2">
        <f t="shared" si="40"/>
        <v>1</v>
      </c>
      <c r="BR180" s="2" t="str">
        <f t="shared" si="41"/>
        <v/>
      </c>
      <c r="BS180" s="2" t="str">
        <f t="shared" si="42"/>
        <v/>
      </c>
      <c r="BV180" s="2" t="e">
        <f>VLOOKUP(O180,GLAPS정리!$BH$2:$BI$94,2,0)</f>
        <v>#N/A</v>
      </c>
      <c r="BW180" s="2" t="str">
        <f>IF(OR(Z180="동원",Z180="세방",Z180="한타"),"",IFERROR(INDEX(GLAPS정리!$BI$2:$BI$101,MATCH(Z180,GLAPS정리!$BH$2:$BH$101,0)),""))</f>
        <v/>
      </c>
      <c r="BX180" s="2" t="str">
        <f>IF(Z180="","",IFERROR(VLOOKUP(Z180,GLAPS정리!$AX$2:$AZ$17,3,0),""))</f>
        <v/>
      </c>
      <c r="BZ180" s="2" t="e">
        <f>VLOOKUP(H180,GLAPS정리!$L$3:$O$133,2,0)</f>
        <v>#N/A</v>
      </c>
      <c r="CA180" s="2" t="str">
        <f t="shared" si="43"/>
        <v/>
      </c>
      <c r="CL180" s="2" t="e">
        <f>VLOOKUP(AI180,GLAPS정리!$BT$3:$BV$26,3,0)</f>
        <v>#N/A</v>
      </c>
    </row>
    <row r="181" spans="2:90" ht="20.45" customHeight="1">
      <c r="B181" s="13"/>
      <c r="G181" s="3"/>
      <c r="J181" s="3"/>
      <c r="Q181" s="3" t="str">
        <f t="shared" si="44"/>
        <v/>
      </c>
      <c r="R181" s="3" t="str">
        <f t="shared" si="45"/>
        <v/>
      </c>
      <c r="S181" s="3" t="str">
        <f t="shared" si="46"/>
        <v/>
      </c>
      <c r="X181" s="13"/>
      <c r="Y181" s="13"/>
      <c r="Z181" s="91"/>
      <c r="AC181" s="2">
        <f t="shared" si="34"/>
        <v>20</v>
      </c>
      <c r="AD181" s="2" t="str">
        <f>IFERROR(INDEX(GLAPS정리!$D$2:$D$50,MATCH(I181,GLAPS정리!$A$2:$A$50,0)),IFERROR(INDEX(GLAPS정리!$D$2:$D$50,MATCH(I181,GLAPS정리!$B$2:$B$50,0)),""))</f>
        <v/>
      </c>
      <c r="AF181" s="2" t="str">
        <f t="shared" si="35"/>
        <v>KR10</v>
      </c>
      <c r="AI181" s="2" t="e">
        <f>VLOOKUP(F181,GLAPS정리!$G$3:$J$114,2,0)</f>
        <v>#N/A</v>
      </c>
      <c r="AJ181" s="2" t="e">
        <f>IF(Z181="울산정일","KRONS",IF(Z181="울산신항","KRUSN",IF(OR(Z181="선광종합물류(인천여객)",Z181="인천여객(인천여객)"),"KRINF",IF(OR(Z181="선광인천보세(인천신)",Z181="한진인천(인천신)",Z181="선광인천신항(인천신)",Z181="인천더로지스(인천신)"),"KRINN",IF(OR(Z181="인천진아(인천항)",Z181="인천E1(인천항)",Z181="인천SM경인터미널(인천항)",Z181="인천항(인천항)",Z181="인천우련(인천항)",Z181="인천항8부두(인천항)"),"KRINC",VLOOKUP(K181,GLAPS정리!$BB$2:$BC$33,2,0))))))</f>
        <v>#N/A</v>
      </c>
      <c r="AL181" s="2">
        <f t="shared" si="36"/>
        <v>5010001</v>
      </c>
      <c r="AN181" s="70" t="str">
        <f t="shared" si="37"/>
        <v>1900-01-00</v>
      </c>
      <c r="AO181" s="2" t="str">
        <f t="shared" si="38"/>
        <v/>
      </c>
      <c r="AP181" s="2" t="e">
        <f>VLOOKUP(C181,GLAPS정리!$AX$2:$AZ$17,3,0)</f>
        <v>#N/A</v>
      </c>
      <c r="AR181" s="2">
        <f t="shared" si="47"/>
        <v>0</v>
      </c>
      <c r="AX181" s="2" t="e">
        <f>VLOOKUP(L181,GLAPS정리!$V$3:$W$180,2,0)</f>
        <v>#N/A</v>
      </c>
      <c r="BM181" s="2" t="str">
        <f t="shared" si="39"/>
        <v xml:space="preserve"> </v>
      </c>
      <c r="BN181" s="2">
        <f t="shared" si="40"/>
        <v>1</v>
      </c>
      <c r="BR181" s="2" t="str">
        <f t="shared" si="41"/>
        <v/>
      </c>
      <c r="BS181" s="2" t="str">
        <f t="shared" si="42"/>
        <v/>
      </c>
      <c r="BV181" s="2" t="e">
        <f>VLOOKUP(O181,GLAPS정리!$BH$2:$BI$94,2,0)</f>
        <v>#N/A</v>
      </c>
      <c r="BW181" s="2" t="str">
        <f>IF(OR(Z181="동원",Z181="세방",Z181="한타"),"",IFERROR(INDEX(GLAPS정리!$BI$2:$BI$101,MATCH(Z181,GLAPS정리!$BH$2:$BH$101,0)),""))</f>
        <v/>
      </c>
      <c r="BX181" s="2" t="str">
        <f>IF(Z181="","",IFERROR(VLOOKUP(Z181,GLAPS정리!$AX$2:$AZ$17,3,0),""))</f>
        <v/>
      </c>
      <c r="BZ181" s="2" t="e">
        <f>VLOOKUP(H181,GLAPS정리!$L$3:$O$133,2,0)</f>
        <v>#N/A</v>
      </c>
      <c r="CA181" s="2" t="str">
        <f t="shared" si="43"/>
        <v/>
      </c>
      <c r="CL181" s="2" t="e">
        <f>VLOOKUP(AI181,GLAPS정리!$BT$3:$BV$26,3,0)</f>
        <v>#N/A</v>
      </c>
    </row>
    <row r="182" spans="2:90" ht="20.45" customHeight="1">
      <c r="B182" s="13"/>
      <c r="G182" s="3"/>
      <c r="J182" s="3"/>
      <c r="Q182" s="3" t="str">
        <f t="shared" si="44"/>
        <v/>
      </c>
      <c r="R182" s="3" t="str">
        <f t="shared" si="45"/>
        <v/>
      </c>
      <c r="S182" s="3" t="str">
        <f t="shared" si="46"/>
        <v/>
      </c>
      <c r="X182" s="13"/>
      <c r="Y182" s="13"/>
      <c r="Z182" s="91"/>
      <c r="AC182" s="2">
        <f t="shared" si="34"/>
        <v>20</v>
      </c>
      <c r="AD182" s="2" t="str">
        <f>IFERROR(INDEX(GLAPS정리!$D$2:$D$50,MATCH(I182,GLAPS정리!$A$2:$A$50,0)),IFERROR(INDEX(GLAPS정리!$D$2:$D$50,MATCH(I182,GLAPS정리!$B$2:$B$50,0)),""))</f>
        <v/>
      </c>
      <c r="AF182" s="2" t="str">
        <f t="shared" si="35"/>
        <v>KR10</v>
      </c>
      <c r="AI182" s="2" t="e">
        <f>VLOOKUP(F182,GLAPS정리!$G$3:$J$114,2,0)</f>
        <v>#N/A</v>
      </c>
      <c r="AJ182" s="2" t="e">
        <f>IF(Z182="울산정일","KRONS",IF(Z182="울산신항","KRUSN",IF(OR(Z182="선광종합물류(인천여객)",Z182="인천여객(인천여객)"),"KRINF",IF(OR(Z182="선광인천보세(인천신)",Z182="한진인천(인천신)",Z182="선광인천신항(인천신)",Z182="인천더로지스(인천신)"),"KRINN",IF(OR(Z182="인천진아(인천항)",Z182="인천E1(인천항)",Z182="인천SM경인터미널(인천항)",Z182="인천항(인천항)",Z182="인천우련(인천항)",Z182="인천항8부두(인천항)"),"KRINC",VLOOKUP(K182,GLAPS정리!$BB$2:$BC$33,2,0))))))</f>
        <v>#N/A</v>
      </c>
      <c r="AL182" s="2">
        <f t="shared" si="36"/>
        <v>5010001</v>
      </c>
      <c r="AN182" s="70" t="str">
        <f t="shared" si="37"/>
        <v>1900-01-00</v>
      </c>
      <c r="AO182" s="2" t="str">
        <f t="shared" si="38"/>
        <v/>
      </c>
      <c r="AP182" s="2" t="e">
        <f>VLOOKUP(C182,GLAPS정리!$AX$2:$AZ$17,3,0)</f>
        <v>#N/A</v>
      </c>
      <c r="AR182" s="2">
        <f t="shared" si="47"/>
        <v>0</v>
      </c>
      <c r="AX182" s="2" t="e">
        <f>VLOOKUP(L182,GLAPS정리!$V$3:$W$180,2,0)</f>
        <v>#N/A</v>
      </c>
      <c r="BM182" s="2" t="str">
        <f t="shared" si="39"/>
        <v xml:space="preserve"> </v>
      </c>
      <c r="BN182" s="2">
        <f t="shared" si="40"/>
        <v>1</v>
      </c>
      <c r="BR182" s="2" t="str">
        <f t="shared" si="41"/>
        <v/>
      </c>
      <c r="BS182" s="2" t="str">
        <f t="shared" si="42"/>
        <v/>
      </c>
      <c r="BV182" s="2" t="e">
        <f>VLOOKUP(O182,GLAPS정리!$BH$2:$BI$94,2,0)</f>
        <v>#N/A</v>
      </c>
      <c r="BW182" s="2" t="str">
        <f>IF(OR(Z182="동원",Z182="세방",Z182="한타"),"",IFERROR(INDEX(GLAPS정리!$BI$2:$BI$101,MATCH(Z182,GLAPS정리!$BH$2:$BH$101,0)),""))</f>
        <v/>
      </c>
      <c r="BX182" s="2" t="str">
        <f>IF(Z182="","",IFERROR(VLOOKUP(Z182,GLAPS정리!$AX$2:$AZ$17,3,0),""))</f>
        <v/>
      </c>
      <c r="BZ182" s="2" t="e">
        <f>VLOOKUP(H182,GLAPS정리!$L$3:$O$133,2,0)</f>
        <v>#N/A</v>
      </c>
      <c r="CA182" s="2" t="str">
        <f t="shared" si="43"/>
        <v/>
      </c>
      <c r="CL182" s="2" t="e">
        <f>VLOOKUP(AI182,GLAPS정리!$BT$3:$BV$26,3,0)</f>
        <v>#N/A</v>
      </c>
    </row>
    <row r="183" spans="2:90" ht="20.45" customHeight="1">
      <c r="B183" s="13"/>
      <c r="G183" s="3"/>
      <c r="J183" s="3"/>
      <c r="Q183" s="3" t="str">
        <f t="shared" si="44"/>
        <v/>
      </c>
      <c r="R183" s="3" t="str">
        <f t="shared" si="45"/>
        <v/>
      </c>
      <c r="S183" s="3" t="str">
        <f t="shared" si="46"/>
        <v/>
      </c>
      <c r="X183" s="13"/>
      <c r="Y183" s="13"/>
      <c r="Z183" s="91"/>
      <c r="AC183" s="2">
        <f t="shared" si="34"/>
        <v>20</v>
      </c>
      <c r="AD183" s="2" t="str">
        <f>IFERROR(INDEX(GLAPS정리!$D$2:$D$50,MATCH(I183,GLAPS정리!$A$2:$A$50,0)),IFERROR(INDEX(GLAPS정리!$D$2:$D$50,MATCH(I183,GLAPS정리!$B$2:$B$50,0)),""))</f>
        <v/>
      </c>
      <c r="AF183" s="2" t="str">
        <f t="shared" si="35"/>
        <v>KR10</v>
      </c>
      <c r="AI183" s="2" t="e">
        <f>VLOOKUP(F183,GLAPS정리!$G$3:$J$114,2,0)</f>
        <v>#N/A</v>
      </c>
      <c r="AJ183" s="2" t="e">
        <f>IF(Z183="울산정일","KRONS",IF(Z183="울산신항","KRUSN",IF(OR(Z183="선광종합물류(인천여객)",Z183="인천여객(인천여객)"),"KRINF",IF(OR(Z183="선광인천보세(인천신)",Z183="한진인천(인천신)",Z183="선광인천신항(인천신)",Z183="인천더로지스(인천신)"),"KRINN",IF(OR(Z183="인천진아(인천항)",Z183="인천E1(인천항)",Z183="인천SM경인터미널(인천항)",Z183="인천항(인천항)",Z183="인천우련(인천항)",Z183="인천항8부두(인천항)"),"KRINC",VLOOKUP(K183,GLAPS정리!$BB$2:$BC$33,2,0))))))</f>
        <v>#N/A</v>
      </c>
      <c r="AL183" s="2">
        <f t="shared" si="36"/>
        <v>5010001</v>
      </c>
      <c r="AN183" s="70" t="str">
        <f t="shared" si="37"/>
        <v>1900-01-00</v>
      </c>
      <c r="AO183" s="2" t="str">
        <f t="shared" si="38"/>
        <v/>
      </c>
      <c r="AP183" s="2" t="e">
        <f>VLOOKUP(C183,GLAPS정리!$AX$2:$AZ$17,3,0)</f>
        <v>#N/A</v>
      </c>
      <c r="AR183" s="2">
        <f t="shared" si="47"/>
        <v>0</v>
      </c>
      <c r="AX183" s="2" t="e">
        <f>VLOOKUP(L183,GLAPS정리!$V$3:$W$180,2,0)</f>
        <v>#N/A</v>
      </c>
      <c r="BM183" s="2" t="str">
        <f t="shared" si="39"/>
        <v xml:space="preserve"> </v>
      </c>
      <c r="BN183" s="2">
        <f t="shared" si="40"/>
        <v>1</v>
      </c>
      <c r="BR183" s="2" t="str">
        <f t="shared" si="41"/>
        <v/>
      </c>
      <c r="BS183" s="2" t="str">
        <f t="shared" si="42"/>
        <v/>
      </c>
      <c r="BV183" s="2" t="e">
        <f>VLOOKUP(O183,GLAPS정리!$BH$2:$BI$94,2,0)</f>
        <v>#N/A</v>
      </c>
      <c r="BW183" s="2" t="str">
        <f>IF(OR(Z183="동원",Z183="세방",Z183="한타"),"",IFERROR(INDEX(GLAPS정리!$BI$2:$BI$101,MATCH(Z183,GLAPS정리!$BH$2:$BH$101,0)),""))</f>
        <v/>
      </c>
      <c r="BX183" s="2" t="str">
        <f>IF(Z183="","",IFERROR(VLOOKUP(Z183,GLAPS정리!$AX$2:$AZ$17,3,0),""))</f>
        <v/>
      </c>
      <c r="BZ183" s="2" t="e">
        <f>VLOOKUP(H183,GLAPS정리!$L$3:$O$133,2,0)</f>
        <v>#N/A</v>
      </c>
      <c r="CA183" s="2" t="str">
        <f t="shared" si="43"/>
        <v/>
      </c>
      <c r="CL183" s="2" t="e">
        <f>VLOOKUP(AI183,GLAPS정리!$BT$3:$BV$26,3,0)</f>
        <v>#N/A</v>
      </c>
    </row>
    <row r="184" spans="2:90" ht="20.45" customHeight="1">
      <c r="B184" s="13"/>
      <c r="G184" s="3"/>
      <c r="J184" s="3"/>
      <c r="Q184" s="3" t="str">
        <f t="shared" si="44"/>
        <v/>
      </c>
      <c r="R184" s="3" t="str">
        <f t="shared" si="45"/>
        <v/>
      </c>
      <c r="S184" s="3" t="str">
        <f t="shared" si="46"/>
        <v/>
      </c>
      <c r="X184" s="13"/>
      <c r="Y184" s="13"/>
      <c r="Z184" s="91"/>
      <c r="AC184" s="2">
        <f t="shared" si="34"/>
        <v>20</v>
      </c>
      <c r="AD184" s="2" t="str">
        <f>IFERROR(INDEX(GLAPS정리!$D$2:$D$50,MATCH(I184,GLAPS정리!$A$2:$A$50,0)),IFERROR(INDEX(GLAPS정리!$D$2:$D$50,MATCH(I184,GLAPS정리!$B$2:$B$50,0)),""))</f>
        <v/>
      </c>
      <c r="AF184" s="2" t="str">
        <f t="shared" si="35"/>
        <v>KR10</v>
      </c>
      <c r="AI184" s="2" t="e">
        <f>VLOOKUP(F184,GLAPS정리!$G$3:$J$114,2,0)</f>
        <v>#N/A</v>
      </c>
      <c r="AJ184" s="2" t="e">
        <f>IF(Z184="울산정일","KRONS",IF(Z184="울산신항","KRUSN",IF(OR(Z184="선광종합물류(인천여객)",Z184="인천여객(인천여객)"),"KRINF",IF(OR(Z184="선광인천보세(인천신)",Z184="한진인천(인천신)",Z184="선광인천신항(인천신)",Z184="인천더로지스(인천신)"),"KRINN",IF(OR(Z184="인천진아(인천항)",Z184="인천E1(인천항)",Z184="인천SM경인터미널(인천항)",Z184="인천항(인천항)",Z184="인천우련(인천항)",Z184="인천항8부두(인천항)"),"KRINC",VLOOKUP(K184,GLAPS정리!$BB$2:$BC$33,2,0))))))</f>
        <v>#N/A</v>
      </c>
      <c r="AL184" s="2">
        <f t="shared" si="36"/>
        <v>5010001</v>
      </c>
      <c r="AN184" s="70" t="str">
        <f t="shared" si="37"/>
        <v>1900-01-00</v>
      </c>
      <c r="AO184" s="2" t="str">
        <f t="shared" si="38"/>
        <v/>
      </c>
      <c r="AP184" s="2" t="e">
        <f>VLOOKUP(C184,GLAPS정리!$AX$2:$AZ$17,3,0)</f>
        <v>#N/A</v>
      </c>
      <c r="AR184" s="2">
        <f t="shared" si="47"/>
        <v>0</v>
      </c>
      <c r="AX184" s="2" t="e">
        <f>VLOOKUP(L184,GLAPS정리!$V$3:$W$180,2,0)</f>
        <v>#N/A</v>
      </c>
      <c r="BM184" s="2" t="str">
        <f t="shared" si="39"/>
        <v xml:space="preserve"> </v>
      </c>
      <c r="BN184" s="2">
        <f t="shared" si="40"/>
        <v>1</v>
      </c>
      <c r="BR184" s="2" t="str">
        <f t="shared" si="41"/>
        <v/>
      </c>
      <c r="BS184" s="2" t="str">
        <f t="shared" si="42"/>
        <v/>
      </c>
      <c r="BV184" s="2" t="e">
        <f>VLOOKUP(O184,GLAPS정리!$BH$2:$BI$94,2,0)</f>
        <v>#N/A</v>
      </c>
      <c r="BW184" s="2" t="str">
        <f>IF(OR(Z184="동원",Z184="세방",Z184="한타"),"",IFERROR(INDEX(GLAPS정리!$BI$2:$BI$101,MATCH(Z184,GLAPS정리!$BH$2:$BH$101,0)),""))</f>
        <v/>
      </c>
      <c r="BX184" s="2" t="str">
        <f>IF(Z184="","",IFERROR(VLOOKUP(Z184,GLAPS정리!$AX$2:$AZ$17,3,0),""))</f>
        <v/>
      </c>
      <c r="BZ184" s="2" t="e">
        <f>VLOOKUP(H184,GLAPS정리!$L$3:$O$133,2,0)</f>
        <v>#N/A</v>
      </c>
      <c r="CA184" s="2" t="str">
        <f t="shared" si="43"/>
        <v/>
      </c>
      <c r="CL184" s="2" t="e">
        <f>VLOOKUP(AI184,GLAPS정리!$BT$3:$BV$26,3,0)</f>
        <v>#N/A</v>
      </c>
    </row>
    <row r="185" spans="2:90" ht="20.45" customHeight="1">
      <c r="B185" s="13"/>
      <c r="G185" s="3"/>
      <c r="J185" s="3"/>
      <c r="Q185" s="3" t="str">
        <f t="shared" si="44"/>
        <v/>
      </c>
      <c r="R185" s="3" t="str">
        <f t="shared" si="45"/>
        <v/>
      </c>
      <c r="S185" s="3" t="str">
        <f t="shared" si="46"/>
        <v/>
      </c>
      <c r="X185" s="13"/>
      <c r="Y185" s="13"/>
      <c r="Z185" s="91"/>
      <c r="AC185" s="2">
        <f t="shared" si="34"/>
        <v>20</v>
      </c>
      <c r="AD185" s="2" t="str">
        <f>IFERROR(INDEX(GLAPS정리!$D$2:$D$50,MATCH(I185,GLAPS정리!$A$2:$A$50,0)),IFERROR(INDEX(GLAPS정리!$D$2:$D$50,MATCH(I185,GLAPS정리!$B$2:$B$50,0)),""))</f>
        <v/>
      </c>
      <c r="AF185" s="2" t="str">
        <f t="shared" si="35"/>
        <v>KR10</v>
      </c>
      <c r="AI185" s="2" t="e">
        <f>VLOOKUP(F185,GLAPS정리!$G$3:$J$114,2,0)</f>
        <v>#N/A</v>
      </c>
      <c r="AJ185" s="2" t="e">
        <f>IF(Z185="울산정일","KRONS",IF(Z185="울산신항","KRUSN",IF(OR(Z185="선광종합물류(인천여객)",Z185="인천여객(인천여객)"),"KRINF",IF(OR(Z185="선광인천보세(인천신)",Z185="한진인천(인천신)",Z185="선광인천신항(인천신)",Z185="인천더로지스(인천신)"),"KRINN",IF(OR(Z185="인천진아(인천항)",Z185="인천E1(인천항)",Z185="인천SM경인터미널(인천항)",Z185="인천항(인천항)",Z185="인천우련(인천항)",Z185="인천항8부두(인천항)"),"KRINC",VLOOKUP(K185,GLAPS정리!$BB$2:$BC$33,2,0))))))</f>
        <v>#N/A</v>
      </c>
      <c r="AL185" s="2">
        <f t="shared" si="36"/>
        <v>5010001</v>
      </c>
      <c r="AN185" s="70" t="str">
        <f t="shared" si="37"/>
        <v>1900-01-00</v>
      </c>
      <c r="AO185" s="2" t="str">
        <f t="shared" si="38"/>
        <v/>
      </c>
      <c r="AP185" s="2" t="e">
        <f>VLOOKUP(C185,GLAPS정리!$AX$2:$AZ$17,3,0)</f>
        <v>#N/A</v>
      </c>
      <c r="AR185" s="2">
        <f t="shared" si="47"/>
        <v>0</v>
      </c>
      <c r="AX185" s="2" t="e">
        <f>VLOOKUP(L185,GLAPS정리!$V$3:$W$180,2,0)</f>
        <v>#N/A</v>
      </c>
      <c r="BM185" s="2" t="str">
        <f t="shared" si="39"/>
        <v xml:space="preserve"> </v>
      </c>
      <c r="BN185" s="2">
        <f t="shared" si="40"/>
        <v>1</v>
      </c>
      <c r="BR185" s="2" t="str">
        <f t="shared" si="41"/>
        <v/>
      </c>
      <c r="BS185" s="2" t="str">
        <f t="shared" si="42"/>
        <v/>
      </c>
      <c r="BV185" s="2" t="e">
        <f>VLOOKUP(O185,GLAPS정리!$BH$2:$BI$94,2,0)</f>
        <v>#N/A</v>
      </c>
      <c r="BW185" s="2" t="str">
        <f>IF(OR(Z185="동원",Z185="세방",Z185="한타"),"",IFERROR(INDEX(GLAPS정리!$BI$2:$BI$101,MATCH(Z185,GLAPS정리!$BH$2:$BH$101,0)),""))</f>
        <v/>
      </c>
      <c r="BX185" s="2" t="str">
        <f>IF(Z185="","",IFERROR(VLOOKUP(Z185,GLAPS정리!$AX$2:$AZ$17,3,0),""))</f>
        <v/>
      </c>
      <c r="BZ185" s="2" t="e">
        <f>VLOOKUP(H185,GLAPS정리!$L$3:$O$133,2,0)</f>
        <v>#N/A</v>
      </c>
      <c r="CA185" s="2" t="str">
        <f t="shared" si="43"/>
        <v/>
      </c>
      <c r="CL185" s="2" t="e">
        <f>VLOOKUP(AI185,GLAPS정리!$BT$3:$BV$26,3,0)</f>
        <v>#N/A</v>
      </c>
    </row>
    <row r="186" spans="2:90" ht="20.45" customHeight="1">
      <c r="B186" s="13"/>
      <c r="G186" s="3"/>
      <c r="J186" s="3"/>
      <c r="Q186" s="3" t="str">
        <f t="shared" si="44"/>
        <v/>
      </c>
      <c r="R186" s="3" t="str">
        <f t="shared" si="45"/>
        <v/>
      </c>
      <c r="S186" s="3" t="str">
        <f t="shared" si="46"/>
        <v/>
      </c>
      <c r="X186" s="13"/>
      <c r="Y186" s="13"/>
      <c r="Z186" s="91"/>
      <c r="AC186" s="2">
        <f t="shared" si="34"/>
        <v>20</v>
      </c>
      <c r="AD186" s="2" t="str">
        <f>IFERROR(INDEX(GLAPS정리!$D$2:$D$50,MATCH(I186,GLAPS정리!$A$2:$A$50,0)),IFERROR(INDEX(GLAPS정리!$D$2:$D$50,MATCH(I186,GLAPS정리!$B$2:$B$50,0)),""))</f>
        <v/>
      </c>
      <c r="AF186" s="2" t="str">
        <f t="shared" si="35"/>
        <v>KR10</v>
      </c>
      <c r="AI186" s="2" t="e">
        <f>VLOOKUP(F186,GLAPS정리!$G$3:$J$114,2,0)</f>
        <v>#N/A</v>
      </c>
      <c r="AJ186" s="2" t="e">
        <f>IF(Z186="울산정일","KRONS",IF(Z186="울산신항","KRUSN",IF(OR(Z186="선광종합물류(인천여객)",Z186="인천여객(인천여객)"),"KRINF",IF(OR(Z186="선광인천보세(인천신)",Z186="한진인천(인천신)",Z186="선광인천신항(인천신)",Z186="인천더로지스(인천신)"),"KRINN",IF(OR(Z186="인천진아(인천항)",Z186="인천E1(인천항)",Z186="인천SM경인터미널(인천항)",Z186="인천항(인천항)",Z186="인천우련(인천항)",Z186="인천항8부두(인천항)"),"KRINC",VLOOKUP(K186,GLAPS정리!$BB$2:$BC$33,2,0))))))</f>
        <v>#N/A</v>
      </c>
      <c r="AL186" s="2">
        <f t="shared" si="36"/>
        <v>5010001</v>
      </c>
      <c r="AN186" s="70" t="str">
        <f t="shared" si="37"/>
        <v>1900-01-00</v>
      </c>
      <c r="AO186" s="2" t="str">
        <f t="shared" si="38"/>
        <v/>
      </c>
      <c r="AP186" s="2" t="e">
        <f>VLOOKUP(C186,GLAPS정리!$AX$2:$AZ$17,3,0)</f>
        <v>#N/A</v>
      </c>
      <c r="AR186" s="2">
        <f t="shared" si="47"/>
        <v>0</v>
      </c>
      <c r="AX186" s="2" t="e">
        <f>VLOOKUP(L186,GLAPS정리!$V$3:$W$180,2,0)</f>
        <v>#N/A</v>
      </c>
      <c r="BM186" s="2" t="str">
        <f t="shared" si="39"/>
        <v xml:space="preserve"> </v>
      </c>
      <c r="BN186" s="2">
        <f t="shared" si="40"/>
        <v>1</v>
      </c>
      <c r="BR186" s="2" t="str">
        <f t="shared" si="41"/>
        <v/>
      </c>
      <c r="BS186" s="2" t="str">
        <f t="shared" si="42"/>
        <v/>
      </c>
      <c r="BV186" s="2" t="e">
        <f>VLOOKUP(O186,GLAPS정리!$BH$2:$BI$94,2,0)</f>
        <v>#N/A</v>
      </c>
      <c r="BW186" s="2" t="str">
        <f>IF(OR(Z186="동원",Z186="세방",Z186="한타"),"",IFERROR(INDEX(GLAPS정리!$BI$2:$BI$101,MATCH(Z186,GLAPS정리!$BH$2:$BH$101,0)),""))</f>
        <v/>
      </c>
      <c r="BX186" s="2" t="str">
        <f>IF(Z186="","",IFERROR(VLOOKUP(Z186,GLAPS정리!$AX$2:$AZ$17,3,0),""))</f>
        <v/>
      </c>
      <c r="BZ186" s="2" t="e">
        <f>VLOOKUP(H186,GLAPS정리!$L$3:$O$133,2,0)</f>
        <v>#N/A</v>
      </c>
      <c r="CA186" s="2" t="str">
        <f t="shared" si="43"/>
        <v/>
      </c>
      <c r="CL186" s="2" t="e">
        <f>VLOOKUP(AI186,GLAPS정리!$BT$3:$BV$26,3,0)</f>
        <v>#N/A</v>
      </c>
    </row>
    <row r="187" spans="2:90" ht="20.45" customHeight="1">
      <c r="B187" s="13"/>
      <c r="G187" s="3"/>
      <c r="J187" s="3"/>
      <c r="Q187" s="3" t="str">
        <f t="shared" si="44"/>
        <v/>
      </c>
      <c r="R187" s="3" t="str">
        <f t="shared" si="45"/>
        <v/>
      </c>
      <c r="S187" s="3" t="str">
        <f t="shared" si="46"/>
        <v/>
      </c>
      <c r="X187" s="13"/>
      <c r="Y187" s="13"/>
      <c r="Z187" s="91"/>
      <c r="AC187" s="2">
        <f t="shared" si="34"/>
        <v>20</v>
      </c>
      <c r="AD187" s="2" t="str">
        <f>IFERROR(INDEX(GLAPS정리!$D$2:$D$50,MATCH(I187,GLAPS정리!$A$2:$A$50,0)),IFERROR(INDEX(GLAPS정리!$D$2:$D$50,MATCH(I187,GLAPS정리!$B$2:$B$50,0)),""))</f>
        <v/>
      </c>
      <c r="AF187" s="2" t="str">
        <f t="shared" si="35"/>
        <v>KR10</v>
      </c>
      <c r="AI187" s="2" t="e">
        <f>VLOOKUP(F187,GLAPS정리!$G$3:$J$114,2,0)</f>
        <v>#N/A</v>
      </c>
      <c r="AJ187" s="2" t="e">
        <f>IF(Z187="울산정일","KRONS",IF(Z187="울산신항","KRUSN",IF(OR(Z187="선광종합물류(인천여객)",Z187="인천여객(인천여객)"),"KRINF",IF(OR(Z187="선광인천보세(인천신)",Z187="한진인천(인천신)",Z187="선광인천신항(인천신)",Z187="인천더로지스(인천신)"),"KRINN",IF(OR(Z187="인천진아(인천항)",Z187="인천E1(인천항)",Z187="인천SM경인터미널(인천항)",Z187="인천항(인천항)",Z187="인천우련(인천항)",Z187="인천항8부두(인천항)"),"KRINC",VLOOKUP(K187,GLAPS정리!$BB$2:$BC$33,2,0))))))</f>
        <v>#N/A</v>
      </c>
      <c r="AL187" s="2">
        <f t="shared" si="36"/>
        <v>5010001</v>
      </c>
      <c r="AN187" s="70" t="str">
        <f t="shared" si="37"/>
        <v>1900-01-00</v>
      </c>
      <c r="AO187" s="2" t="str">
        <f t="shared" si="38"/>
        <v/>
      </c>
      <c r="AP187" s="2" t="e">
        <f>VLOOKUP(C187,GLAPS정리!$AX$2:$AZ$17,3,0)</f>
        <v>#N/A</v>
      </c>
      <c r="AR187" s="2">
        <f t="shared" si="47"/>
        <v>0</v>
      </c>
      <c r="AX187" s="2" t="e">
        <f>VLOOKUP(L187,GLAPS정리!$V$3:$W$180,2,0)</f>
        <v>#N/A</v>
      </c>
      <c r="BM187" s="2" t="str">
        <f t="shared" si="39"/>
        <v xml:space="preserve"> </v>
      </c>
      <c r="BN187" s="2">
        <f t="shared" si="40"/>
        <v>1</v>
      </c>
      <c r="BR187" s="2" t="str">
        <f t="shared" si="41"/>
        <v/>
      </c>
      <c r="BS187" s="2" t="str">
        <f t="shared" si="42"/>
        <v/>
      </c>
      <c r="BV187" s="2" t="e">
        <f>VLOOKUP(O187,GLAPS정리!$BH$2:$BI$94,2,0)</f>
        <v>#N/A</v>
      </c>
      <c r="BW187" s="2" t="str">
        <f>IF(OR(Z187="동원",Z187="세방",Z187="한타"),"",IFERROR(INDEX(GLAPS정리!$BI$2:$BI$101,MATCH(Z187,GLAPS정리!$BH$2:$BH$101,0)),""))</f>
        <v/>
      </c>
      <c r="BX187" s="2" t="str">
        <f>IF(Z187="","",IFERROR(VLOOKUP(Z187,GLAPS정리!$AX$2:$AZ$17,3,0),""))</f>
        <v/>
      </c>
      <c r="BZ187" s="2" t="e">
        <f>VLOOKUP(H187,GLAPS정리!$L$3:$O$133,2,0)</f>
        <v>#N/A</v>
      </c>
      <c r="CA187" s="2" t="str">
        <f t="shared" si="43"/>
        <v/>
      </c>
      <c r="CL187" s="2" t="e">
        <f>VLOOKUP(AI187,GLAPS정리!$BT$3:$BV$26,3,0)</f>
        <v>#N/A</v>
      </c>
    </row>
    <row r="188" spans="2:90" ht="20.45" customHeight="1">
      <c r="B188" s="13"/>
      <c r="G188" s="3"/>
      <c r="J188" s="3"/>
      <c r="Q188" s="3" t="str">
        <f t="shared" ref="Q188:Q251" si="48">IF(J188="20 FeeT",1,"")</f>
        <v/>
      </c>
      <c r="R188" s="3" t="str">
        <f t="shared" ref="R188:R251" si="49">IF(J188="40 Feet N",1,"")</f>
        <v/>
      </c>
      <c r="S188" s="3" t="str">
        <f t="shared" ref="S188:S251" si="50">IF(J188="40 Feet H",1,"")</f>
        <v/>
      </c>
      <c r="X188" s="13"/>
      <c r="Y188" s="13"/>
      <c r="Z188" s="91"/>
      <c r="AC188" s="2">
        <f t="shared" ref="AC188:AC251" si="51">$AC$1</f>
        <v>20</v>
      </c>
      <c r="AD188" s="2" t="str">
        <f>IFERROR(INDEX(GLAPS정리!$D$2:$D$50,MATCH(I188,GLAPS정리!$A$2:$A$50,0)),IFERROR(INDEX(GLAPS정리!$D$2:$D$50,MATCH(I188,GLAPS정리!$B$2:$B$50,0)),""))</f>
        <v/>
      </c>
      <c r="AF188" s="2" t="str">
        <f t="shared" ref="AF188:AF251" si="52">$AF$1</f>
        <v>KR10</v>
      </c>
      <c r="AI188" s="2" t="e">
        <f>VLOOKUP(F188,GLAPS정리!$G$3:$J$114,2,0)</f>
        <v>#N/A</v>
      </c>
      <c r="AJ188" s="2" t="e">
        <f>IF(Z188="울산정일","KRONS",IF(Z188="울산신항","KRUSN",IF(OR(Z188="선광종합물류(인천여객)",Z188="인천여객(인천여객)"),"KRINF",IF(OR(Z188="선광인천보세(인천신)",Z188="한진인천(인천신)",Z188="선광인천신항(인천신)",Z188="인천더로지스(인천신)"),"KRINN",IF(OR(Z188="인천진아(인천항)",Z188="인천E1(인천항)",Z188="인천SM경인터미널(인천항)",Z188="인천항(인천항)",Z188="인천우련(인천항)",Z188="인천항8부두(인천항)"),"KRINC",VLOOKUP(K188,GLAPS정리!$BB$2:$BC$33,2,0))))))</f>
        <v>#N/A</v>
      </c>
      <c r="AL188" s="2">
        <f t="shared" ref="AL188:AL251" si="53">$AL$1</f>
        <v>5010001</v>
      </c>
      <c r="AN188" s="70" t="str">
        <f t="shared" ref="AN188:AN251" si="54">TEXT(B188,"YYYY-MM-DD")</f>
        <v>1900-01-00</v>
      </c>
      <c r="AO188" s="2" t="str">
        <f t="shared" ref="AO188:AO251" si="55">IF(E188="오전", "0800", IF(E188="오후", "1300", IF(E188="잔업", "1800", "")))</f>
        <v/>
      </c>
      <c r="AP188" s="2" t="e">
        <f>VLOOKUP(C188,GLAPS정리!$AX$2:$AZ$17,3,0)</f>
        <v>#N/A</v>
      </c>
      <c r="AR188" s="2">
        <f t="shared" si="47"/>
        <v>0</v>
      </c>
      <c r="AX188" s="2" t="e">
        <f>VLOOKUP(L188,GLAPS정리!$V$3:$W$180,2,0)</f>
        <v>#N/A</v>
      </c>
      <c r="BM188" s="2" t="str">
        <f t="shared" ref="BM188:BM251" si="56">IF(AND(Q188=1,OR(P188="",P188="위험물")), "2210", IF(AND(Q188=1,OR(P188="리퍼",P188="위험물리퍼")), "2230", IF(AND(S188=1,OR(P188="",P188="위험물")), "4510", IF(AND(S188=1,OR(P188="리퍼",P188="위험물리퍼")), "4530", IF(AND(R188=1,OR(P188="",P188="위험물")), "4210", IF(AND(R188=1,P188="리퍼"), "4230", " "))))))</f>
        <v xml:space="preserve"> </v>
      </c>
      <c r="BN188" s="2">
        <f t="shared" ref="BN188:BN251" si="57">$BN$1</f>
        <v>1</v>
      </c>
      <c r="BR188" s="2" t="str">
        <f t="shared" ref="BR188:BR251" si="58">IF(OR(P188="리퍼",P188="위험물리퍼"),"Y","")</f>
        <v/>
      </c>
      <c r="BS188" s="2" t="str">
        <f t="shared" ref="BS188:BS251" si="59">IF(OR(P188="위험물",P188="위험물리퍼"),"Y","")</f>
        <v/>
      </c>
      <c r="BV188" s="2" t="e">
        <f>VLOOKUP(O188,GLAPS정리!$BH$2:$BI$94,2,0)</f>
        <v>#N/A</v>
      </c>
      <c r="BW188" s="2" t="str">
        <f>IF(OR(Z188="동원",Z188="세방",Z188="한타"),"",IFERROR(INDEX(GLAPS정리!$BI$2:$BI$101,MATCH(Z188,GLAPS정리!$BH$2:$BH$101,0)),""))</f>
        <v/>
      </c>
      <c r="BX188" s="2" t="str">
        <f>IF(Z188="","",IFERROR(VLOOKUP(Z188,GLAPS정리!$AX$2:$AZ$17,3,0),""))</f>
        <v/>
      </c>
      <c r="BZ188" s="2" t="e">
        <f>VLOOKUP(H188,GLAPS정리!$L$3:$O$133,2,0)</f>
        <v>#N/A</v>
      </c>
      <c r="CA188" s="2" t="str">
        <f t="shared" ref="CA188:CA251" si="60">IF(V188="공휴일", 10, IF(V188="야간", 20, IF(V188="위험물", 30, IF(V188="중량", 40, ""))))</f>
        <v/>
      </c>
      <c r="CL188" s="2" t="e">
        <f>VLOOKUP(AI188,GLAPS정리!$BT$3:$BV$26,3,0)</f>
        <v>#N/A</v>
      </c>
    </row>
    <row r="189" spans="2:90" ht="20.45" customHeight="1">
      <c r="B189" s="13"/>
      <c r="G189" s="3"/>
      <c r="J189" s="3"/>
      <c r="Q189" s="3" t="str">
        <f t="shared" si="48"/>
        <v/>
      </c>
      <c r="R189" s="3" t="str">
        <f t="shared" si="49"/>
        <v/>
      </c>
      <c r="S189" s="3" t="str">
        <f t="shared" si="50"/>
        <v/>
      </c>
      <c r="X189" s="13"/>
      <c r="Y189" s="13"/>
      <c r="Z189" s="91"/>
      <c r="AC189" s="2">
        <f t="shared" si="51"/>
        <v>20</v>
      </c>
      <c r="AD189" s="2" t="str">
        <f>IFERROR(INDEX(GLAPS정리!$D$2:$D$50,MATCH(I189,GLAPS정리!$A$2:$A$50,0)),IFERROR(INDEX(GLAPS정리!$D$2:$D$50,MATCH(I189,GLAPS정리!$B$2:$B$50,0)),""))</f>
        <v/>
      </c>
      <c r="AF189" s="2" t="str">
        <f t="shared" si="52"/>
        <v>KR10</v>
      </c>
      <c r="AI189" s="2" t="e">
        <f>VLOOKUP(F189,GLAPS정리!$G$3:$J$114,2,0)</f>
        <v>#N/A</v>
      </c>
      <c r="AJ189" s="2" t="e">
        <f>IF(Z189="울산정일","KRONS",IF(Z189="울산신항","KRUSN",IF(OR(Z189="선광종합물류(인천여객)",Z189="인천여객(인천여객)"),"KRINF",IF(OR(Z189="선광인천보세(인천신)",Z189="한진인천(인천신)",Z189="선광인천신항(인천신)",Z189="인천더로지스(인천신)"),"KRINN",IF(OR(Z189="인천진아(인천항)",Z189="인천E1(인천항)",Z189="인천SM경인터미널(인천항)",Z189="인천항(인천항)",Z189="인천우련(인천항)",Z189="인천항8부두(인천항)"),"KRINC",VLOOKUP(K189,GLAPS정리!$BB$2:$BC$33,2,0))))))</f>
        <v>#N/A</v>
      </c>
      <c r="AL189" s="2">
        <f t="shared" si="53"/>
        <v>5010001</v>
      </c>
      <c r="AN189" s="70" t="str">
        <f t="shared" si="54"/>
        <v>1900-01-00</v>
      </c>
      <c r="AO189" s="2" t="str">
        <f t="shared" si="55"/>
        <v/>
      </c>
      <c r="AP189" s="2" t="e">
        <f>VLOOKUP(C189,GLAPS정리!$AX$2:$AZ$17,3,0)</f>
        <v>#N/A</v>
      </c>
      <c r="AR189" s="2">
        <f t="shared" si="47"/>
        <v>0</v>
      </c>
      <c r="AX189" s="2" t="e">
        <f>VLOOKUP(L189,GLAPS정리!$V$3:$W$180,2,0)</f>
        <v>#N/A</v>
      </c>
      <c r="BM189" s="2" t="str">
        <f t="shared" si="56"/>
        <v xml:space="preserve"> </v>
      </c>
      <c r="BN189" s="2">
        <f t="shared" si="57"/>
        <v>1</v>
      </c>
      <c r="BR189" s="2" t="str">
        <f t="shared" si="58"/>
        <v/>
      </c>
      <c r="BS189" s="2" t="str">
        <f t="shared" si="59"/>
        <v/>
      </c>
      <c r="BV189" s="2" t="e">
        <f>VLOOKUP(O189,GLAPS정리!$BH$2:$BI$94,2,0)</f>
        <v>#N/A</v>
      </c>
      <c r="BW189" s="2" t="str">
        <f>IF(OR(Z189="동원",Z189="세방",Z189="한타"),"",IFERROR(INDEX(GLAPS정리!$BI$2:$BI$101,MATCH(Z189,GLAPS정리!$BH$2:$BH$101,0)),""))</f>
        <v/>
      </c>
      <c r="BX189" s="2" t="str">
        <f>IF(Z189="","",IFERROR(VLOOKUP(Z189,GLAPS정리!$AX$2:$AZ$17,3,0),""))</f>
        <v/>
      </c>
      <c r="BZ189" s="2" t="e">
        <f>VLOOKUP(H189,GLAPS정리!$L$3:$O$133,2,0)</f>
        <v>#N/A</v>
      </c>
      <c r="CA189" s="2" t="str">
        <f t="shared" si="60"/>
        <v/>
      </c>
      <c r="CL189" s="2" t="e">
        <f>VLOOKUP(AI189,GLAPS정리!$BT$3:$BV$26,3,0)</f>
        <v>#N/A</v>
      </c>
    </row>
    <row r="190" spans="2:90" ht="20.45" customHeight="1">
      <c r="B190" s="13"/>
      <c r="G190" s="3"/>
      <c r="J190" s="3"/>
      <c r="Q190" s="3" t="str">
        <f t="shared" si="48"/>
        <v/>
      </c>
      <c r="R190" s="3" t="str">
        <f t="shared" si="49"/>
        <v/>
      </c>
      <c r="S190" s="3" t="str">
        <f t="shared" si="50"/>
        <v/>
      </c>
      <c r="X190" s="13"/>
      <c r="Y190" s="13"/>
      <c r="Z190" s="91"/>
      <c r="AC190" s="2">
        <f t="shared" si="51"/>
        <v>20</v>
      </c>
      <c r="AD190" s="2" t="str">
        <f>IFERROR(INDEX(GLAPS정리!$D$2:$D$50,MATCH(I190,GLAPS정리!$A$2:$A$50,0)),IFERROR(INDEX(GLAPS정리!$D$2:$D$50,MATCH(I190,GLAPS정리!$B$2:$B$50,0)),""))</f>
        <v/>
      </c>
      <c r="AF190" s="2" t="str">
        <f t="shared" si="52"/>
        <v>KR10</v>
      </c>
      <c r="AI190" s="2" t="e">
        <f>VLOOKUP(F190,GLAPS정리!$G$3:$J$114,2,0)</f>
        <v>#N/A</v>
      </c>
      <c r="AJ190" s="2" t="e">
        <f>IF(Z190="울산정일","KRONS",IF(Z190="울산신항","KRUSN",IF(OR(Z190="선광종합물류(인천여객)",Z190="인천여객(인천여객)"),"KRINF",IF(OR(Z190="선광인천보세(인천신)",Z190="한진인천(인천신)",Z190="선광인천신항(인천신)",Z190="인천더로지스(인천신)"),"KRINN",IF(OR(Z190="인천진아(인천항)",Z190="인천E1(인천항)",Z190="인천SM경인터미널(인천항)",Z190="인천항(인천항)",Z190="인천우련(인천항)",Z190="인천항8부두(인천항)"),"KRINC",VLOOKUP(K190,GLAPS정리!$BB$2:$BC$33,2,0))))))</f>
        <v>#N/A</v>
      </c>
      <c r="AL190" s="2">
        <f t="shared" si="53"/>
        <v>5010001</v>
      </c>
      <c r="AN190" s="70" t="str">
        <f t="shared" si="54"/>
        <v>1900-01-00</v>
      </c>
      <c r="AO190" s="2" t="str">
        <f t="shared" si="55"/>
        <v/>
      </c>
      <c r="AP190" s="2" t="e">
        <f>VLOOKUP(C190,GLAPS정리!$AX$2:$AZ$17,3,0)</f>
        <v>#N/A</v>
      </c>
      <c r="AR190" s="2">
        <f t="shared" si="47"/>
        <v>0</v>
      </c>
      <c r="AX190" s="2" t="e">
        <f>VLOOKUP(L190,GLAPS정리!$V$3:$W$180,2,0)</f>
        <v>#N/A</v>
      </c>
      <c r="BM190" s="2" t="str">
        <f t="shared" si="56"/>
        <v xml:space="preserve"> </v>
      </c>
      <c r="BN190" s="2">
        <f t="shared" si="57"/>
        <v>1</v>
      </c>
      <c r="BR190" s="2" t="str">
        <f t="shared" si="58"/>
        <v/>
      </c>
      <c r="BS190" s="2" t="str">
        <f t="shared" si="59"/>
        <v/>
      </c>
      <c r="BV190" s="2" t="e">
        <f>VLOOKUP(O190,GLAPS정리!$BH$2:$BI$94,2,0)</f>
        <v>#N/A</v>
      </c>
      <c r="BW190" s="2" t="str">
        <f>IF(OR(Z190="동원",Z190="세방",Z190="한타"),"",IFERROR(INDEX(GLAPS정리!$BI$2:$BI$101,MATCH(Z190,GLAPS정리!$BH$2:$BH$101,0)),""))</f>
        <v/>
      </c>
      <c r="BX190" s="2" t="str">
        <f>IF(Z190="","",IFERROR(VLOOKUP(Z190,GLAPS정리!$AX$2:$AZ$17,3,0),""))</f>
        <v/>
      </c>
      <c r="BZ190" s="2" t="e">
        <f>VLOOKUP(H190,GLAPS정리!$L$3:$O$133,2,0)</f>
        <v>#N/A</v>
      </c>
      <c r="CA190" s="2" t="str">
        <f t="shared" si="60"/>
        <v/>
      </c>
      <c r="CL190" s="2" t="e">
        <f>VLOOKUP(AI190,GLAPS정리!$BT$3:$BV$26,3,0)</f>
        <v>#N/A</v>
      </c>
    </row>
    <row r="191" spans="2:90" ht="20.45" customHeight="1">
      <c r="B191" s="13"/>
      <c r="G191" s="3"/>
      <c r="J191" s="3"/>
      <c r="Q191" s="3" t="str">
        <f t="shared" si="48"/>
        <v/>
      </c>
      <c r="R191" s="3" t="str">
        <f t="shared" si="49"/>
        <v/>
      </c>
      <c r="S191" s="3" t="str">
        <f t="shared" si="50"/>
        <v/>
      </c>
      <c r="X191" s="13"/>
      <c r="Y191" s="13"/>
      <c r="Z191" s="91"/>
      <c r="AC191" s="2">
        <f t="shared" si="51"/>
        <v>20</v>
      </c>
      <c r="AD191" s="2" t="str">
        <f>IFERROR(INDEX(GLAPS정리!$D$2:$D$50,MATCH(I191,GLAPS정리!$A$2:$A$50,0)),IFERROR(INDEX(GLAPS정리!$D$2:$D$50,MATCH(I191,GLAPS정리!$B$2:$B$50,0)),""))</f>
        <v/>
      </c>
      <c r="AF191" s="2" t="str">
        <f t="shared" si="52"/>
        <v>KR10</v>
      </c>
      <c r="AI191" s="2" t="e">
        <f>VLOOKUP(F191,GLAPS정리!$G$3:$J$114,2,0)</f>
        <v>#N/A</v>
      </c>
      <c r="AJ191" s="2" t="e">
        <f>IF(Z191="울산정일","KRONS",IF(Z191="울산신항","KRUSN",IF(OR(Z191="선광종합물류(인천여객)",Z191="인천여객(인천여객)"),"KRINF",IF(OR(Z191="선광인천보세(인천신)",Z191="한진인천(인천신)",Z191="선광인천신항(인천신)",Z191="인천더로지스(인천신)"),"KRINN",IF(OR(Z191="인천진아(인천항)",Z191="인천E1(인천항)",Z191="인천SM경인터미널(인천항)",Z191="인천항(인천항)",Z191="인천우련(인천항)",Z191="인천항8부두(인천항)"),"KRINC",VLOOKUP(K191,GLAPS정리!$BB$2:$BC$33,2,0))))))</f>
        <v>#N/A</v>
      </c>
      <c r="AL191" s="2">
        <f t="shared" si="53"/>
        <v>5010001</v>
      </c>
      <c r="AN191" s="70" t="str">
        <f t="shared" si="54"/>
        <v>1900-01-00</v>
      </c>
      <c r="AO191" s="2" t="str">
        <f t="shared" si="55"/>
        <v/>
      </c>
      <c r="AP191" s="2" t="e">
        <f>VLOOKUP(C191,GLAPS정리!$AX$2:$AZ$17,3,0)</f>
        <v>#N/A</v>
      </c>
      <c r="AR191" s="2">
        <f t="shared" si="47"/>
        <v>0</v>
      </c>
      <c r="AX191" s="2" t="e">
        <f>VLOOKUP(L191,GLAPS정리!$V$3:$W$180,2,0)</f>
        <v>#N/A</v>
      </c>
      <c r="BM191" s="2" t="str">
        <f t="shared" si="56"/>
        <v xml:space="preserve"> </v>
      </c>
      <c r="BN191" s="2">
        <f t="shared" si="57"/>
        <v>1</v>
      </c>
      <c r="BR191" s="2" t="str">
        <f t="shared" si="58"/>
        <v/>
      </c>
      <c r="BS191" s="2" t="str">
        <f t="shared" si="59"/>
        <v/>
      </c>
      <c r="BV191" s="2" t="e">
        <f>VLOOKUP(O191,GLAPS정리!$BH$2:$BI$94,2,0)</f>
        <v>#N/A</v>
      </c>
      <c r="BW191" s="2" t="str">
        <f>IF(OR(Z191="동원",Z191="세방",Z191="한타"),"",IFERROR(INDEX(GLAPS정리!$BI$2:$BI$101,MATCH(Z191,GLAPS정리!$BH$2:$BH$101,0)),""))</f>
        <v/>
      </c>
      <c r="BX191" s="2" t="str">
        <f>IF(Z191="","",IFERROR(VLOOKUP(Z191,GLAPS정리!$AX$2:$AZ$17,3,0),""))</f>
        <v/>
      </c>
      <c r="BZ191" s="2" t="e">
        <f>VLOOKUP(H191,GLAPS정리!$L$3:$O$133,2,0)</f>
        <v>#N/A</v>
      </c>
      <c r="CA191" s="2" t="str">
        <f t="shared" si="60"/>
        <v/>
      </c>
      <c r="CL191" s="2" t="e">
        <f>VLOOKUP(AI191,GLAPS정리!$BT$3:$BV$26,3,0)</f>
        <v>#N/A</v>
      </c>
    </row>
    <row r="192" spans="2:90" ht="20.45" customHeight="1">
      <c r="B192" s="13"/>
      <c r="G192" s="3"/>
      <c r="J192" s="3"/>
      <c r="Q192" s="3" t="str">
        <f t="shared" si="48"/>
        <v/>
      </c>
      <c r="R192" s="3" t="str">
        <f t="shared" si="49"/>
        <v/>
      </c>
      <c r="S192" s="3" t="str">
        <f t="shared" si="50"/>
        <v/>
      </c>
      <c r="X192" s="13"/>
      <c r="Y192" s="13"/>
      <c r="Z192" s="91"/>
      <c r="AC192" s="2">
        <f t="shared" si="51"/>
        <v>20</v>
      </c>
      <c r="AD192" s="2" t="str">
        <f>IFERROR(INDEX(GLAPS정리!$D$2:$D$50,MATCH(I192,GLAPS정리!$A$2:$A$50,0)),IFERROR(INDEX(GLAPS정리!$D$2:$D$50,MATCH(I192,GLAPS정리!$B$2:$B$50,0)),""))</f>
        <v/>
      </c>
      <c r="AF192" s="2" t="str">
        <f t="shared" si="52"/>
        <v>KR10</v>
      </c>
      <c r="AI192" s="2" t="e">
        <f>VLOOKUP(F192,GLAPS정리!$G$3:$J$114,2,0)</f>
        <v>#N/A</v>
      </c>
      <c r="AJ192" s="2" t="e">
        <f>IF(Z192="울산정일","KRONS",IF(Z192="울산신항","KRUSN",IF(OR(Z192="선광종합물류(인천여객)",Z192="인천여객(인천여객)"),"KRINF",IF(OR(Z192="선광인천보세(인천신)",Z192="한진인천(인천신)",Z192="선광인천신항(인천신)",Z192="인천더로지스(인천신)"),"KRINN",IF(OR(Z192="인천진아(인천항)",Z192="인천E1(인천항)",Z192="인천SM경인터미널(인천항)",Z192="인천항(인천항)",Z192="인천우련(인천항)",Z192="인천항8부두(인천항)"),"KRINC",VLOOKUP(K192,GLAPS정리!$BB$2:$BC$33,2,0))))))</f>
        <v>#N/A</v>
      </c>
      <c r="AL192" s="2">
        <f t="shared" si="53"/>
        <v>5010001</v>
      </c>
      <c r="AN192" s="70" t="str">
        <f t="shared" si="54"/>
        <v>1900-01-00</v>
      </c>
      <c r="AO192" s="2" t="str">
        <f t="shared" si="55"/>
        <v/>
      </c>
      <c r="AP192" s="2" t="e">
        <f>VLOOKUP(C192,GLAPS정리!$AX$2:$AZ$17,3,0)</f>
        <v>#N/A</v>
      </c>
      <c r="AR192" s="2">
        <f t="shared" si="47"/>
        <v>0</v>
      </c>
      <c r="AX192" s="2" t="e">
        <f>VLOOKUP(L192,GLAPS정리!$V$3:$W$180,2,0)</f>
        <v>#N/A</v>
      </c>
      <c r="BM192" s="2" t="str">
        <f t="shared" si="56"/>
        <v xml:space="preserve"> </v>
      </c>
      <c r="BN192" s="2">
        <f t="shared" si="57"/>
        <v>1</v>
      </c>
      <c r="BR192" s="2" t="str">
        <f t="shared" si="58"/>
        <v/>
      </c>
      <c r="BS192" s="2" t="str">
        <f t="shared" si="59"/>
        <v/>
      </c>
      <c r="BV192" s="2" t="e">
        <f>VLOOKUP(O192,GLAPS정리!$BH$2:$BI$94,2,0)</f>
        <v>#N/A</v>
      </c>
      <c r="BW192" s="2" t="str">
        <f>IF(OR(Z192="동원",Z192="세방",Z192="한타"),"",IFERROR(INDEX(GLAPS정리!$BI$2:$BI$101,MATCH(Z192,GLAPS정리!$BH$2:$BH$101,0)),""))</f>
        <v/>
      </c>
      <c r="BX192" s="2" t="str">
        <f>IF(Z192="","",IFERROR(VLOOKUP(Z192,GLAPS정리!$AX$2:$AZ$17,3,0),""))</f>
        <v/>
      </c>
      <c r="BZ192" s="2" t="e">
        <f>VLOOKUP(H192,GLAPS정리!$L$3:$O$133,2,0)</f>
        <v>#N/A</v>
      </c>
      <c r="CA192" s="2" t="str">
        <f t="shared" si="60"/>
        <v/>
      </c>
      <c r="CL192" s="2" t="e">
        <f>VLOOKUP(AI192,GLAPS정리!$BT$3:$BV$26,3,0)</f>
        <v>#N/A</v>
      </c>
    </row>
    <row r="193" spans="2:90" ht="20.45" customHeight="1">
      <c r="B193" s="13"/>
      <c r="G193" s="3"/>
      <c r="J193" s="3"/>
      <c r="Q193" s="3" t="str">
        <f t="shared" si="48"/>
        <v/>
      </c>
      <c r="R193" s="3" t="str">
        <f t="shared" si="49"/>
        <v/>
      </c>
      <c r="S193" s="3" t="str">
        <f t="shared" si="50"/>
        <v/>
      </c>
      <c r="X193" s="13"/>
      <c r="Y193" s="13"/>
      <c r="Z193" s="91"/>
      <c r="AC193" s="2">
        <f t="shared" si="51"/>
        <v>20</v>
      </c>
      <c r="AD193" s="2" t="str">
        <f>IFERROR(INDEX(GLAPS정리!$D$2:$D$50,MATCH(I193,GLAPS정리!$A$2:$A$50,0)),IFERROR(INDEX(GLAPS정리!$D$2:$D$50,MATCH(I193,GLAPS정리!$B$2:$B$50,0)),""))</f>
        <v/>
      </c>
      <c r="AF193" s="2" t="str">
        <f t="shared" si="52"/>
        <v>KR10</v>
      </c>
      <c r="AI193" s="2" t="e">
        <f>VLOOKUP(F193,GLAPS정리!$G$3:$J$114,2,0)</f>
        <v>#N/A</v>
      </c>
      <c r="AJ193" s="2" t="e">
        <f>IF(Z193="울산정일","KRONS",IF(Z193="울산신항","KRUSN",IF(OR(Z193="선광종합물류(인천여객)",Z193="인천여객(인천여객)"),"KRINF",IF(OR(Z193="선광인천보세(인천신)",Z193="한진인천(인천신)",Z193="선광인천신항(인천신)",Z193="인천더로지스(인천신)"),"KRINN",IF(OR(Z193="인천진아(인천항)",Z193="인천E1(인천항)",Z193="인천SM경인터미널(인천항)",Z193="인천항(인천항)",Z193="인천우련(인천항)",Z193="인천항8부두(인천항)"),"KRINC",VLOOKUP(K193,GLAPS정리!$BB$2:$BC$33,2,0))))))</f>
        <v>#N/A</v>
      </c>
      <c r="AL193" s="2">
        <f t="shared" si="53"/>
        <v>5010001</v>
      </c>
      <c r="AN193" s="70" t="str">
        <f t="shared" si="54"/>
        <v>1900-01-00</v>
      </c>
      <c r="AO193" s="2" t="str">
        <f t="shared" si="55"/>
        <v/>
      </c>
      <c r="AP193" s="2" t="e">
        <f>VLOOKUP(C193,GLAPS정리!$AX$2:$AZ$17,3,0)</f>
        <v>#N/A</v>
      </c>
      <c r="AR193" s="2">
        <f t="shared" si="47"/>
        <v>0</v>
      </c>
      <c r="AX193" s="2" t="e">
        <f>VLOOKUP(L193,GLAPS정리!$V$3:$W$180,2,0)</f>
        <v>#N/A</v>
      </c>
      <c r="BM193" s="2" t="str">
        <f t="shared" si="56"/>
        <v xml:space="preserve"> </v>
      </c>
      <c r="BN193" s="2">
        <f t="shared" si="57"/>
        <v>1</v>
      </c>
      <c r="BR193" s="2" t="str">
        <f t="shared" si="58"/>
        <v/>
      </c>
      <c r="BS193" s="2" t="str">
        <f t="shared" si="59"/>
        <v/>
      </c>
      <c r="BV193" s="2" t="e">
        <f>VLOOKUP(O193,GLAPS정리!$BH$2:$BI$94,2,0)</f>
        <v>#N/A</v>
      </c>
      <c r="BW193" s="2" t="str">
        <f>IF(OR(Z193="동원",Z193="세방",Z193="한타"),"",IFERROR(INDEX(GLAPS정리!$BI$2:$BI$101,MATCH(Z193,GLAPS정리!$BH$2:$BH$101,0)),""))</f>
        <v/>
      </c>
      <c r="BX193" s="2" t="str">
        <f>IF(Z193="","",IFERROR(VLOOKUP(Z193,GLAPS정리!$AX$2:$AZ$17,3,0),""))</f>
        <v/>
      </c>
      <c r="BZ193" s="2" t="e">
        <f>VLOOKUP(H193,GLAPS정리!$L$3:$O$133,2,0)</f>
        <v>#N/A</v>
      </c>
      <c r="CA193" s="2" t="str">
        <f t="shared" si="60"/>
        <v/>
      </c>
      <c r="CL193" s="2" t="e">
        <f>VLOOKUP(AI193,GLAPS정리!$BT$3:$BV$26,3,0)</f>
        <v>#N/A</v>
      </c>
    </row>
    <row r="194" spans="2:90" ht="20.45" customHeight="1">
      <c r="B194" s="13"/>
      <c r="G194" s="3"/>
      <c r="J194" s="3"/>
      <c r="Q194" s="3" t="str">
        <f t="shared" si="48"/>
        <v/>
      </c>
      <c r="R194" s="3" t="str">
        <f t="shared" si="49"/>
        <v/>
      </c>
      <c r="S194" s="3" t="str">
        <f t="shared" si="50"/>
        <v/>
      </c>
      <c r="X194" s="13"/>
      <c r="Y194" s="13"/>
      <c r="Z194" s="91"/>
      <c r="AC194" s="2">
        <f t="shared" si="51"/>
        <v>20</v>
      </c>
      <c r="AD194" s="2" t="str">
        <f>IFERROR(INDEX(GLAPS정리!$D$2:$D$50,MATCH(I194,GLAPS정리!$A$2:$A$50,0)),IFERROR(INDEX(GLAPS정리!$D$2:$D$50,MATCH(I194,GLAPS정리!$B$2:$B$50,0)),""))</f>
        <v/>
      </c>
      <c r="AF194" s="2" t="str">
        <f t="shared" si="52"/>
        <v>KR10</v>
      </c>
      <c r="AI194" s="2" t="e">
        <f>VLOOKUP(F194,GLAPS정리!$G$3:$J$114,2,0)</f>
        <v>#N/A</v>
      </c>
      <c r="AJ194" s="2" t="e">
        <f>IF(Z194="울산정일","KRONS",IF(Z194="울산신항","KRUSN",IF(OR(Z194="선광종합물류(인천여객)",Z194="인천여객(인천여객)"),"KRINF",IF(OR(Z194="선광인천보세(인천신)",Z194="한진인천(인천신)",Z194="선광인천신항(인천신)",Z194="인천더로지스(인천신)"),"KRINN",IF(OR(Z194="인천진아(인천항)",Z194="인천E1(인천항)",Z194="인천SM경인터미널(인천항)",Z194="인천항(인천항)",Z194="인천우련(인천항)",Z194="인천항8부두(인천항)"),"KRINC",VLOOKUP(K194,GLAPS정리!$BB$2:$BC$33,2,0))))))</f>
        <v>#N/A</v>
      </c>
      <c r="AL194" s="2">
        <f t="shared" si="53"/>
        <v>5010001</v>
      </c>
      <c r="AN194" s="70" t="str">
        <f t="shared" si="54"/>
        <v>1900-01-00</v>
      </c>
      <c r="AO194" s="2" t="str">
        <f t="shared" si="55"/>
        <v/>
      </c>
      <c r="AP194" s="2" t="e">
        <f>VLOOKUP(C194,GLAPS정리!$AX$2:$AZ$17,3,0)</f>
        <v>#N/A</v>
      </c>
      <c r="AR194" s="2">
        <f t="shared" si="47"/>
        <v>0</v>
      </c>
      <c r="AX194" s="2" t="e">
        <f>VLOOKUP(L194,GLAPS정리!$V$3:$W$180,2,0)</f>
        <v>#N/A</v>
      </c>
      <c r="BM194" s="2" t="str">
        <f t="shared" si="56"/>
        <v xml:space="preserve"> </v>
      </c>
      <c r="BN194" s="2">
        <f t="shared" si="57"/>
        <v>1</v>
      </c>
      <c r="BR194" s="2" t="str">
        <f t="shared" si="58"/>
        <v/>
      </c>
      <c r="BS194" s="2" t="str">
        <f t="shared" si="59"/>
        <v/>
      </c>
      <c r="BV194" s="2" t="e">
        <f>VLOOKUP(O194,GLAPS정리!$BH$2:$BI$94,2,0)</f>
        <v>#N/A</v>
      </c>
      <c r="BW194" s="2" t="str">
        <f>IF(OR(Z194="동원",Z194="세방",Z194="한타"),"",IFERROR(INDEX(GLAPS정리!$BI$2:$BI$101,MATCH(Z194,GLAPS정리!$BH$2:$BH$101,0)),""))</f>
        <v/>
      </c>
      <c r="BX194" s="2" t="str">
        <f>IF(Z194="","",IFERROR(VLOOKUP(Z194,GLAPS정리!$AX$2:$AZ$17,3,0),""))</f>
        <v/>
      </c>
      <c r="BZ194" s="2" t="e">
        <f>VLOOKUP(H194,GLAPS정리!$L$3:$O$133,2,0)</f>
        <v>#N/A</v>
      </c>
      <c r="CA194" s="2" t="str">
        <f t="shared" si="60"/>
        <v/>
      </c>
      <c r="CL194" s="2" t="e">
        <f>VLOOKUP(AI194,GLAPS정리!$BT$3:$BV$26,3,0)</f>
        <v>#N/A</v>
      </c>
    </row>
    <row r="195" spans="2:90" ht="20.45" customHeight="1">
      <c r="B195" s="13"/>
      <c r="G195" s="3"/>
      <c r="J195" s="3"/>
      <c r="Q195" s="3" t="str">
        <f t="shared" si="48"/>
        <v/>
      </c>
      <c r="R195" s="3" t="str">
        <f t="shared" si="49"/>
        <v/>
      </c>
      <c r="S195" s="3" t="str">
        <f t="shared" si="50"/>
        <v/>
      </c>
      <c r="X195" s="13"/>
      <c r="Y195" s="13"/>
      <c r="Z195" s="91"/>
      <c r="AC195" s="2">
        <f t="shared" si="51"/>
        <v>20</v>
      </c>
      <c r="AD195" s="2" t="str">
        <f>IFERROR(INDEX(GLAPS정리!$D$2:$D$50,MATCH(I195,GLAPS정리!$A$2:$A$50,0)),IFERROR(INDEX(GLAPS정리!$D$2:$D$50,MATCH(I195,GLAPS정리!$B$2:$B$50,0)),""))</f>
        <v/>
      </c>
      <c r="AF195" s="2" t="str">
        <f t="shared" si="52"/>
        <v>KR10</v>
      </c>
      <c r="AI195" s="2" t="e">
        <f>VLOOKUP(F195,GLAPS정리!$G$3:$J$114,2,0)</f>
        <v>#N/A</v>
      </c>
      <c r="AJ195" s="2" t="e">
        <f>IF(Z195="울산정일","KRONS",IF(Z195="울산신항","KRUSN",IF(OR(Z195="선광종합물류(인천여객)",Z195="인천여객(인천여객)"),"KRINF",IF(OR(Z195="선광인천보세(인천신)",Z195="한진인천(인천신)",Z195="선광인천신항(인천신)",Z195="인천더로지스(인천신)"),"KRINN",IF(OR(Z195="인천진아(인천항)",Z195="인천E1(인천항)",Z195="인천SM경인터미널(인천항)",Z195="인천항(인천항)",Z195="인천우련(인천항)",Z195="인천항8부두(인천항)"),"KRINC",VLOOKUP(K195,GLAPS정리!$BB$2:$BC$33,2,0))))))</f>
        <v>#N/A</v>
      </c>
      <c r="AL195" s="2">
        <f t="shared" si="53"/>
        <v>5010001</v>
      </c>
      <c r="AN195" s="70" t="str">
        <f t="shared" si="54"/>
        <v>1900-01-00</v>
      </c>
      <c r="AO195" s="2" t="str">
        <f t="shared" si="55"/>
        <v/>
      </c>
      <c r="AP195" s="2" t="e">
        <f>VLOOKUP(C195,GLAPS정리!$AX$2:$AZ$17,3,0)</f>
        <v>#N/A</v>
      </c>
      <c r="AR195" s="2">
        <f t="shared" ref="AR195:AR258" si="61">X195</f>
        <v>0</v>
      </c>
      <c r="AX195" s="2" t="e">
        <f>VLOOKUP(L195,GLAPS정리!$V$3:$W$180,2,0)</f>
        <v>#N/A</v>
      </c>
      <c r="BM195" s="2" t="str">
        <f t="shared" si="56"/>
        <v xml:space="preserve"> </v>
      </c>
      <c r="BN195" s="2">
        <f t="shared" si="57"/>
        <v>1</v>
      </c>
      <c r="BR195" s="2" t="str">
        <f t="shared" si="58"/>
        <v/>
      </c>
      <c r="BS195" s="2" t="str">
        <f t="shared" si="59"/>
        <v/>
      </c>
      <c r="BV195" s="2" t="e">
        <f>VLOOKUP(O195,GLAPS정리!$BH$2:$BI$94,2,0)</f>
        <v>#N/A</v>
      </c>
      <c r="BW195" s="2" t="str">
        <f>IF(OR(Z195="동원",Z195="세방",Z195="한타"),"",IFERROR(INDEX(GLAPS정리!$BI$2:$BI$101,MATCH(Z195,GLAPS정리!$BH$2:$BH$101,0)),""))</f>
        <v/>
      </c>
      <c r="BX195" s="2" t="str">
        <f>IF(Z195="","",IFERROR(VLOOKUP(Z195,GLAPS정리!$AX$2:$AZ$17,3,0),""))</f>
        <v/>
      </c>
      <c r="BZ195" s="2" t="e">
        <f>VLOOKUP(H195,GLAPS정리!$L$3:$O$133,2,0)</f>
        <v>#N/A</v>
      </c>
      <c r="CA195" s="2" t="str">
        <f t="shared" si="60"/>
        <v/>
      </c>
      <c r="CL195" s="2" t="e">
        <f>VLOOKUP(AI195,GLAPS정리!$BT$3:$BV$26,3,0)</f>
        <v>#N/A</v>
      </c>
    </row>
    <row r="196" spans="2:90" ht="20.45" customHeight="1">
      <c r="B196" s="13"/>
      <c r="G196" s="3"/>
      <c r="J196" s="3"/>
      <c r="Q196" s="3" t="str">
        <f t="shared" si="48"/>
        <v/>
      </c>
      <c r="R196" s="3" t="str">
        <f t="shared" si="49"/>
        <v/>
      </c>
      <c r="S196" s="3" t="str">
        <f t="shared" si="50"/>
        <v/>
      </c>
      <c r="X196" s="13"/>
      <c r="Y196" s="13"/>
      <c r="Z196" s="91"/>
      <c r="AC196" s="2">
        <f t="shared" si="51"/>
        <v>20</v>
      </c>
      <c r="AD196" s="2" t="str">
        <f>IFERROR(INDEX(GLAPS정리!$D$2:$D$50,MATCH(I196,GLAPS정리!$A$2:$A$50,0)),IFERROR(INDEX(GLAPS정리!$D$2:$D$50,MATCH(I196,GLAPS정리!$B$2:$B$50,0)),""))</f>
        <v/>
      </c>
      <c r="AF196" s="2" t="str">
        <f t="shared" si="52"/>
        <v>KR10</v>
      </c>
      <c r="AI196" s="2" t="e">
        <f>VLOOKUP(F196,GLAPS정리!$G$3:$J$114,2,0)</f>
        <v>#N/A</v>
      </c>
      <c r="AJ196" s="2" t="e">
        <f>IF(Z196="울산정일","KRONS",IF(Z196="울산신항","KRUSN",IF(OR(Z196="선광종합물류(인천여객)",Z196="인천여객(인천여객)"),"KRINF",IF(OR(Z196="선광인천보세(인천신)",Z196="한진인천(인천신)",Z196="선광인천신항(인천신)",Z196="인천더로지스(인천신)"),"KRINN",IF(OR(Z196="인천진아(인천항)",Z196="인천E1(인천항)",Z196="인천SM경인터미널(인천항)",Z196="인천항(인천항)",Z196="인천우련(인천항)",Z196="인천항8부두(인천항)"),"KRINC",VLOOKUP(K196,GLAPS정리!$BB$2:$BC$33,2,0))))))</f>
        <v>#N/A</v>
      </c>
      <c r="AL196" s="2">
        <f t="shared" si="53"/>
        <v>5010001</v>
      </c>
      <c r="AN196" s="70" t="str">
        <f t="shared" si="54"/>
        <v>1900-01-00</v>
      </c>
      <c r="AO196" s="2" t="str">
        <f t="shared" si="55"/>
        <v/>
      </c>
      <c r="AP196" s="2" t="e">
        <f>VLOOKUP(C196,GLAPS정리!$AX$2:$AZ$17,3,0)</f>
        <v>#N/A</v>
      </c>
      <c r="AR196" s="2">
        <f t="shared" si="61"/>
        <v>0</v>
      </c>
      <c r="AX196" s="2" t="e">
        <f>VLOOKUP(L196,GLAPS정리!$V$3:$W$180,2,0)</f>
        <v>#N/A</v>
      </c>
      <c r="BM196" s="2" t="str">
        <f t="shared" si="56"/>
        <v xml:space="preserve"> </v>
      </c>
      <c r="BN196" s="2">
        <f t="shared" si="57"/>
        <v>1</v>
      </c>
      <c r="BR196" s="2" t="str">
        <f t="shared" si="58"/>
        <v/>
      </c>
      <c r="BS196" s="2" t="str">
        <f t="shared" si="59"/>
        <v/>
      </c>
      <c r="BV196" s="2" t="e">
        <f>VLOOKUP(O196,GLAPS정리!$BH$2:$BI$94,2,0)</f>
        <v>#N/A</v>
      </c>
      <c r="BW196" s="2" t="str">
        <f>IF(OR(Z196="동원",Z196="세방",Z196="한타"),"",IFERROR(INDEX(GLAPS정리!$BI$2:$BI$101,MATCH(Z196,GLAPS정리!$BH$2:$BH$101,0)),""))</f>
        <v/>
      </c>
      <c r="BX196" s="2" t="str">
        <f>IF(Z196="","",IFERROR(VLOOKUP(Z196,GLAPS정리!$AX$2:$AZ$17,3,0),""))</f>
        <v/>
      </c>
      <c r="BZ196" s="2" t="e">
        <f>VLOOKUP(H196,GLAPS정리!$L$3:$O$133,2,0)</f>
        <v>#N/A</v>
      </c>
      <c r="CA196" s="2" t="str">
        <f t="shared" si="60"/>
        <v/>
      </c>
      <c r="CL196" s="2" t="e">
        <f>VLOOKUP(AI196,GLAPS정리!$BT$3:$BV$26,3,0)</f>
        <v>#N/A</v>
      </c>
    </row>
    <row r="197" spans="2:90" ht="20.45" customHeight="1">
      <c r="B197" s="13"/>
      <c r="G197" s="3"/>
      <c r="J197" s="3"/>
      <c r="Q197" s="3" t="str">
        <f t="shared" si="48"/>
        <v/>
      </c>
      <c r="R197" s="3" t="str">
        <f t="shared" si="49"/>
        <v/>
      </c>
      <c r="S197" s="3" t="str">
        <f t="shared" si="50"/>
        <v/>
      </c>
      <c r="X197" s="13"/>
      <c r="Y197" s="13"/>
      <c r="Z197" s="91"/>
      <c r="AC197" s="2">
        <f t="shared" si="51"/>
        <v>20</v>
      </c>
      <c r="AD197" s="2" t="str">
        <f>IFERROR(INDEX(GLAPS정리!$D$2:$D$50,MATCH(I197,GLAPS정리!$A$2:$A$50,0)),IFERROR(INDEX(GLAPS정리!$D$2:$D$50,MATCH(I197,GLAPS정리!$B$2:$B$50,0)),""))</f>
        <v/>
      </c>
      <c r="AF197" s="2" t="str">
        <f t="shared" si="52"/>
        <v>KR10</v>
      </c>
      <c r="AI197" s="2" t="e">
        <f>VLOOKUP(F197,GLAPS정리!$G$3:$J$114,2,0)</f>
        <v>#N/A</v>
      </c>
      <c r="AJ197" s="2" t="e">
        <f>IF(Z197="울산정일","KRONS",IF(Z197="울산신항","KRUSN",IF(OR(Z197="선광종합물류(인천여객)",Z197="인천여객(인천여객)"),"KRINF",IF(OR(Z197="선광인천보세(인천신)",Z197="한진인천(인천신)",Z197="선광인천신항(인천신)",Z197="인천더로지스(인천신)"),"KRINN",IF(OR(Z197="인천진아(인천항)",Z197="인천E1(인천항)",Z197="인천SM경인터미널(인천항)",Z197="인천항(인천항)",Z197="인천우련(인천항)",Z197="인천항8부두(인천항)"),"KRINC",VLOOKUP(K197,GLAPS정리!$BB$2:$BC$33,2,0))))))</f>
        <v>#N/A</v>
      </c>
      <c r="AL197" s="2">
        <f t="shared" si="53"/>
        <v>5010001</v>
      </c>
      <c r="AN197" s="70" t="str">
        <f t="shared" si="54"/>
        <v>1900-01-00</v>
      </c>
      <c r="AO197" s="2" t="str">
        <f t="shared" si="55"/>
        <v/>
      </c>
      <c r="AP197" s="2" t="e">
        <f>VLOOKUP(C197,GLAPS정리!$AX$2:$AZ$17,3,0)</f>
        <v>#N/A</v>
      </c>
      <c r="AR197" s="2">
        <f t="shared" si="61"/>
        <v>0</v>
      </c>
      <c r="AX197" s="2" t="e">
        <f>VLOOKUP(L197,GLAPS정리!$V$3:$W$180,2,0)</f>
        <v>#N/A</v>
      </c>
      <c r="BM197" s="2" t="str">
        <f t="shared" si="56"/>
        <v xml:space="preserve"> </v>
      </c>
      <c r="BN197" s="2">
        <f t="shared" si="57"/>
        <v>1</v>
      </c>
      <c r="BR197" s="2" t="str">
        <f t="shared" si="58"/>
        <v/>
      </c>
      <c r="BS197" s="2" t="str">
        <f t="shared" si="59"/>
        <v/>
      </c>
      <c r="BV197" s="2" t="e">
        <f>VLOOKUP(O197,GLAPS정리!$BH$2:$BI$94,2,0)</f>
        <v>#N/A</v>
      </c>
      <c r="BW197" s="2" t="str">
        <f>IF(OR(Z197="동원",Z197="세방",Z197="한타"),"",IFERROR(INDEX(GLAPS정리!$BI$2:$BI$101,MATCH(Z197,GLAPS정리!$BH$2:$BH$101,0)),""))</f>
        <v/>
      </c>
      <c r="BX197" s="2" t="str">
        <f>IF(Z197="","",IFERROR(VLOOKUP(Z197,GLAPS정리!$AX$2:$AZ$17,3,0),""))</f>
        <v/>
      </c>
      <c r="BZ197" s="2" t="e">
        <f>VLOOKUP(H197,GLAPS정리!$L$3:$O$133,2,0)</f>
        <v>#N/A</v>
      </c>
      <c r="CA197" s="2" t="str">
        <f t="shared" si="60"/>
        <v/>
      </c>
      <c r="CL197" s="2" t="e">
        <f>VLOOKUP(AI197,GLAPS정리!$BT$3:$BV$26,3,0)</f>
        <v>#N/A</v>
      </c>
    </row>
    <row r="198" spans="2:90" ht="20.45" customHeight="1">
      <c r="B198" s="13"/>
      <c r="G198" s="3"/>
      <c r="J198" s="3"/>
      <c r="Q198" s="3" t="str">
        <f t="shared" si="48"/>
        <v/>
      </c>
      <c r="R198" s="3" t="str">
        <f t="shared" si="49"/>
        <v/>
      </c>
      <c r="S198" s="3" t="str">
        <f t="shared" si="50"/>
        <v/>
      </c>
      <c r="X198" s="13"/>
      <c r="Y198" s="13"/>
      <c r="Z198" s="91"/>
      <c r="AC198" s="2">
        <f t="shared" si="51"/>
        <v>20</v>
      </c>
      <c r="AD198" s="2" t="str">
        <f>IFERROR(INDEX(GLAPS정리!$D$2:$D$50,MATCH(I198,GLAPS정리!$A$2:$A$50,0)),IFERROR(INDEX(GLAPS정리!$D$2:$D$50,MATCH(I198,GLAPS정리!$B$2:$B$50,0)),""))</f>
        <v/>
      </c>
      <c r="AF198" s="2" t="str">
        <f t="shared" si="52"/>
        <v>KR10</v>
      </c>
      <c r="AI198" s="2" t="e">
        <f>VLOOKUP(F198,GLAPS정리!$G$3:$J$114,2,0)</f>
        <v>#N/A</v>
      </c>
      <c r="AJ198" s="2" t="e">
        <f>IF(Z198="울산정일","KRONS",IF(Z198="울산신항","KRUSN",IF(OR(Z198="선광종합물류(인천여객)",Z198="인천여객(인천여객)"),"KRINF",IF(OR(Z198="선광인천보세(인천신)",Z198="한진인천(인천신)",Z198="선광인천신항(인천신)",Z198="인천더로지스(인천신)"),"KRINN",IF(OR(Z198="인천진아(인천항)",Z198="인천E1(인천항)",Z198="인천SM경인터미널(인천항)",Z198="인천항(인천항)",Z198="인천우련(인천항)",Z198="인천항8부두(인천항)"),"KRINC",VLOOKUP(K198,GLAPS정리!$BB$2:$BC$33,2,0))))))</f>
        <v>#N/A</v>
      </c>
      <c r="AL198" s="2">
        <f t="shared" si="53"/>
        <v>5010001</v>
      </c>
      <c r="AN198" s="70" t="str">
        <f t="shared" si="54"/>
        <v>1900-01-00</v>
      </c>
      <c r="AO198" s="2" t="str">
        <f t="shared" si="55"/>
        <v/>
      </c>
      <c r="AP198" s="2" t="e">
        <f>VLOOKUP(C198,GLAPS정리!$AX$2:$AZ$17,3,0)</f>
        <v>#N/A</v>
      </c>
      <c r="AR198" s="2">
        <f t="shared" si="61"/>
        <v>0</v>
      </c>
      <c r="AX198" s="2" t="e">
        <f>VLOOKUP(L198,GLAPS정리!$V$3:$W$180,2,0)</f>
        <v>#N/A</v>
      </c>
      <c r="BM198" s="2" t="str">
        <f t="shared" si="56"/>
        <v xml:space="preserve"> </v>
      </c>
      <c r="BN198" s="2">
        <f t="shared" si="57"/>
        <v>1</v>
      </c>
      <c r="BR198" s="2" t="str">
        <f t="shared" si="58"/>
        <v/>
      </c>
      <c r="BS198" s="2" t="str">
        <f t="shared" si="59"/>
        <v/>
      </c>
      <c r="BV198" s="2" t="e">
        <f>VLOOKUP(O198,GLAPS정리!$BH$2:$BI$94,2,0)</f>
        <v>#N/A</v>
      </c>
      <c r="BW198" s="2" t="str">
        <f>IF(OR(Z198="동원",Z198="세방",Z198="한타"),"",IFERROR(INDEX(GLAPS정리!$BI$2:$BI$101,MATCH(Z198,GLAPS정리!$BH$2:$BH$101,0)),""))</f>
        <v/>
      </c>
      <c r="BX198" s="2" t="str">
        <f>IF(Z198="","",IFERROR(VLOOKUP(Z198,GLAPS정리!$AX$2:$AZ$17,3,0),""))</f>
        <v/>
      </c>
      <c r="BZ198" s="2" t="e">
        <f>VLOOKUP(H198,GLAPS정리!$L$3:$O$133,2,0)</f>
        <v>#N/A</v>
      </c>
      <c r="CA198" s="2" t="str">
        <f t="shared" si="60"/>
        <v/>
      </c>
      <c r="CL198" s="2" t="e">
        <f>VLOOKUP(AI198,GLAPS정리!$BT$3:$BV$26,3,0)</f>
        <v>#N/A</v>
      </c>
    </row>
    <row r="199" spans="2:90" ht="20.45" customHeight="1">
      <c r="B199" s="13"/>
      <c r="G199" s="3"/>
      <c r="J199" s="3"/>
      <c r="Q199" s="3" t="str">
        <f t="shared" si="48"/>
        <v/>
      </c>
      <c r="R199" s="3" t="str">
        <f t="shared" si="49"/>
        <v/>
      </c>
      <c r="S199" s="3" t="str">
        <f t="shared" si="50"/>
        <v/>
      </c>
      <c r="X199" s="13"/>
      <c r="Y199" s="13"/>
      <c r="Z199" s="91"/>
      <c r="AC199" s="2">
        <f t="shared" si="51"/>
        <v>20</v>
      </c>
      <c r="AD199" s="2" t="str">
        <f>IFERROR(INDEX(GLAPS정리!$D$2:$D$50,MATCH(I199,GLAPS정리!$A$2:$A$50,0)),IFERROR(INDEX(GLAPS정리!$D$2:$D$50,MATCH(I199,GLAPS정리!$B$2:$B$50,0)),""))</f>
        <v/>
      </c>
      <c r="AF199" s="2" t="str">
        <f t="shared" si="52"/>
        <v>KR10</v>
      </c>
      <c r="AI199" s="2" t="e">
        <f>VLOOKUP(F199,GLAPS정리!$G$3:$J$114,2,0)</f>
        <v>#N/A</v>
      </c>
      <c r="AJ199" s="2" t="e">
        <f>IF(Z199="울산정일","KRONS",IF(Z199="울산신항","KRUSN",IF(OR(Z199="선광종합물류(인천여객)",Z199="인천여객(인천여객)"),"KRINF",IF(OR(Z199="선광인천보세(인천신)",Z199="한진인천(인천신)",Z199="선광인천신항(인천신)",Z199="인천더로지스(인천신)"),"KRINN",IF(OR(Z199="인천진아(인천항)",Z199="인천E1(인천항)",Z199="인천SM경인터미널(인천항)",Z199="인천항(인천항)",Z199="인천우련(인천항)",Z199="인천항8부두(인천항)"),"KRINC",VLOOKUP(K199,GLAPS정리!$BB$2:$BC$33,2,0))))))</f>
        <v>#N/A</v>
      </c>
      <c r="AL199" s="2">
        <f t="shared" si="53"/>
        <v>5010001</v>
      </c>
      <c r="AN199" s="70" t="str">
        <f t="shared" si="54"/>
        <v>1900-01-00</v>
      </c>
      <c r="AO199" s="2" t="str">
        <f t="shared" si="55"/>
        <v/>
      </c>
      <c r="AP199" s="2" t="e">
        <f>VLOOKUP(C199,GLAPS정리!$AX$2:$AZ$17,3,0)</f>
        <v>#N/A</v>
      </c>
      <c r="AR199" s="2">
        <f t="shared" si="61"/>
        <v>0</v>
      </c>
      <c r="AX199" s="2" t="e">
        <f>VLOOKUP(L199,GLAPS정리!$V$3:$W$180,2,0)</f>
        <v>#N/A</v>
      </c>
      <c r="BM199" s="2" t="str">
        <f t="shared" si="56"/>
        <v xml:space="preserve"> </v>
      </c>
      <c r="BN199" s="2">
        <f t="shared" si="57"/>
        <v>1</v>
      </c>
      <c r="BR199" s="2" t="str">
        <f t="shared" si="58"/>
        <v/>
      </c>
      <c r="BS199" s="2" t="str">
        <f t="shared" si="59"/>
        <v/>
      </c>
      <c r="BV199" s="2" t="e">
        <f>VLOOKUP(O199,GLAPS정리!$BH$2:$BI$94,2,0)</f>
        <v>#N/A</v>
      </c>
      <c r="BW199" s="2" t="str">
        <f>IF(OR(Z199="동원",Z199="세방",Z199="한타"),"",IFERROR(INDEX(GLAPS정리!$BI$2:$BI$101,MATCH(Z199,GLAPS정리!$BH$2:$BH$101,0)),""))</f>
        <v/>
      </c>
      <c r="BX199" s="2" t="str">
        <f>IF(Z199="","",IFERROR(VLOOKUP(Z199,GLAPS정리!$AX$2:$AZ$17,3,0),""))</f>
        <v/>
      </c>
      <c r="BZ199" s="2" t="e">
        <f>VLOOKUP(H199,GLAPS정리!$L$3:$O$133,2,0)</f>
        <v>#N/A</v>
      </c>
      <c r="CA199" s="2" t="str">
        <f t="shared" si="60"/>
        <v/>
      </c>
      <c r="CL199" s="2" t="e">
        <f>VLOOKUP(AI199,GLAPS정리!$BT$3:$BV$26,3,0)</f>
        <v>#N/A</v>
      </c>
    </row>
    <row r="200" spans="2:90" ht="20.45" customHeight="1">
      <c r="B200" s="13"/>
      <c r="G200" s="3"/>
      <c r="J200" s="3"/>
      <c r="Q200" s="3" t="str">
        <f t="shared" si="48"/>
        <v/>
      </c>
      <c r="R200" s="3" t="str">
        <f t="shared" si="49"/>
        <v/>
      </c>
      <c r="S200" s="3" t="str">
        <f t="shared" si="50"/>
        <v/>
      </c>
      <c r="X200" s="13"/>
      <c r="Y200" s="13"/>
      <c r="Z200" s="91"/>
      <c r="AC200" s="2">
        <f t="shared" si="51"/>
        <v>20</v>
      </c>
      <c r="AD200" s="2" t="str">
        <f>IFERROR(INDEX(GLAPS정리!$D$2:$D$50,MATCH(I200,GLAPS정리!$A$2:$A$50,0)),IFERROR(INDEX(GLAPS정리!$D$2:$D$50,MATCH(I200,GLAPS정리!$B$2:$B$50,0)),""))</f>
        <v/>
      </c>
      <c r="AF200" s="2" t="str">
        <f t="shared" si="52"/>
        <v>KR10</v>
      </c>
      <c r="AI200" s="2" t="e">
        <f>VLOOKUP(F200,GLAPS정리!$G$3:$J$114,2,0)</f>
        <v>#N/A</v>
      </c>
      <c r="AJ200" s="2" t="e">
        <f>IF(Z200="울산정일","KRONS",IF(Z200="울산신항","KRUSN",IF(OR(Z200="선광종합물류(인천여객)",Z200="인천여객(인천여객)"),"KRINF",IF(OR(Z200="선광인천보세(인천신)",Z200="한진인천(인천신)",Z200="선광인천신항(인천신)",Z200="인천더로지스(인천신)"),"KRINN",IF(OR(Z200="인천진아(인천항)",Z200="인천E1(인천항)",Z200="인천SM경인터미널(인천항)",Z200="인천항(인천항)",Z200="인천우련(인천항)",Z200="인천항8부두(인천항)"),"KRINC",VLOOKUP(K200,GLAPS정리!$BB$2:$BC$33,2,0))))))</f>
        <v>#N/A</v>
      </c>
      <c r="AL200" s="2">
        <f t="shared" si="53"/>
        <v>5010001</v>
      </c>
      <c r="AN200" s="70" t="str">
        <f t="shared" si="54"/>
        <v>1900-01-00</v>
      </c>
      <c r="AO200" s="2" t="str">
        <f t="shared" si="55"/>
        <v/>
      </c>
      <c r="AP200" s="2" t="e">
        <f>VLOOKUP(C200,GLAPS정리!$AX$2:$AZ$17,3,0)</f>
        <v>#N/A</v>
      </c>
      <c r="AR200" s="2">
        <f t="shared" si="61"/>
        <v>0</v>
      </c>
      <c r="AX200" s="2" t="e">
        <f>VLOOKUP(L200,GLAPS정리!$V$3:$W$180,2,0)</f>
        <v>#N/A</v>
      </c>
      <c r="BM200" s="2" t="str">
        <f t="shared" si="56"/>
        <v xml:space="preserve"> </v>
      </c>
      <c r="BN200" s="2">
        <f t="shared" si="57"/>
        <v>1</v>
      </c>
      <c r="BR200" s="2" t="str">
        <f t="shared" si="58"/>
        <v/>
      </c>
      <c r="BS200" s="2" t="str">
        <f t="shared" si="59"/>
        <v/>
      </c>
      <c r="BV200" s="2" t="e">
        <f>VLOOKUP(O200,GLAPS정리!$BH$2:$BI$94,2,0)</f>
        <v>#N/A</v>
      </c>
      <c r="BW200" s="2" t="str">
        <f>IF(OR(Z200="동원",Z200="세방",Z200="한타"),"",IFERROR(INDEX(GLAPS정리!$BI$2:$BI$101,MATCH(Z200,GLAPS정리!$BH$2:$BH$101,0)),""))</f>
        <v/>
      </c>
      <c r="BX200" s="2" t="str">
        <f>IF(Z200="","",IFERROR(VLOOKUP(Z200,GLAPS정리!$AX$2:$AZ$17,3,0),""))</f>
        <v/>
      </c>
      <c r="BZ200" s="2" t="e">
        <f>VLOOKUP(H200,GLAPS정리!$L$3:$O$133,2,0)</f>
        <v>#N/A</v>
      </c>
      <c r="CA200" s="2" t="str">
        <f t="shared" si="60"/>
        <v/>
      </c>
      <c r="CL200" s="2" t="e">
        <f>VLOOKUP(AI200,GLAPS정리!$BT$3:$BV$26,3,0)</f>
        <v>#N/A</v>
      </c>
    </row>
    <row r="201" spans="2:90" ht="20.45" customHeight="1">
      <c r="B201" s="13"/>
      <c r="G201" s="3"/>
      <c r="J201" s="3"/>
      <c r="Q201" s="3" t="str">
        <f t="shared" si="48"/>
        <v/>
      </c>
      <c r="R201" s="3" t="str">
        <f t="shared" si="49"/>
        <v/>
      </c>
      <c r="S201" s="3" t="str">
        <f t="shared" si="50"/>
        <v/>
      </c>
      <c r="X201" s="13"/>
      <c r="Y201" s="13"/>
      <c r="Z201" s="91"/>
      <c r="AC201" s="2">
        <f t="shared" si="51"/>
        <v>20</v>
      </c>
      <c r="AD201" s="2" t="str">
        <f>IFERROR(INDEX(GLAPS정리!$D$2:$D$50,MATCH(I201,GLAPS정리!$A$2:$A$50,0)),IFERROR(INDEX(GLAPS정리!$D$2:$D$50,MATCH(I201,GLAPS정리!$B$2:$B$50,0)),""))</f>
        <v/>
      </c>
      <c r="AF201" s="2" t="str">
        <f t="shared" si="52"/>
        <v>KR10</v>
      </c>
      <c r="AI201" s="2" t="e">
        <f>VLOOKUP(F201,GLAPS정리!$G$3:$J$114,2,0)</f>
        <v>#N/A</v>
      </c>
      <c r="AJ201" s="2" t="e">
        <f>IF(Z201="울산정일","KRONS",IF(Z201="울산신항","KRUSN",IF(OR(Z201="선광종합물류(인천여객)",Z201="인천여객(인천여객)"),"KRINF",IF(OR(Z201="선광인천보세(인천신)",Z201="한진인천(인천신)",Z201="선광인천신항(인천신)",Z201="인천더로지스(인천신)"),"KRINN",IF(OR(Z201="인천진아(인천항)",Z201="인천E1(인천항)",Z201="인천SM경인터미널(인천항)",Z201="인천항(인천항)",Z201="인천우련(인천항)",Z201="인천항8부두(인천항)"),"KRINC",VLOOKUP(K201,GLAPS정리!$BB$2:$BC$33,2,0))))))</f>
        <v>#N/A</v>
      </c>
      <c r="AL201" s="2">
        <f t="shared" si="53"/>
        <v>5010001</v>
      </c>
      <c r="AN201" s="70" t="str">
        <f t="shared" si="54"/>
        <v>1900-01-00</v>
      </c>
      <c r="AO201" s="2" t="str">
        <f t="shared" si="55"/>
        <v/>
      </c>
      <c r="AP201" s="2" t="e">
        <f>VLOOKUP(C201,GLAPS정리!$AX$2:$AZ$17,3,0)</f>
        <v>#N/A</v>
      </c>
      <c r="AR201" s="2">
        <f t="shared" si="61"/>
        <v>0</v>
      </c>
      <c r="AX201" s="2" t="e">
        <f>VLOOKUP(L201,GLAPS정리!$V$3:$W$180,2,0)</f>
        <v>#N/A</v>
      </c>
      <c r="BM201" s="2" t="str">
        <f t="shared" si="56"/>
        <v xml:space="preserve"> </v>
      </c>
      <c r="BN201" s="2">
        <f t="shared" si="57"/>
        <v>1</v>
      </c>
      <c r="BR201" s="2" t="str">
        <f t="shared" si="58"/>
        <v/>
      </c>
      <c r="BS201" s="2" t="str">
        <f t="shared" si="59"/>
        <v/>
      </c>
      <c r="BV201" s="2" t="e">
        <f>VLOOKUP(O201,GLAPS정리!$BH$2:$BI$94,2,0)</f>
        <v>#N/A</v>
      </c>
      <c r="BW201" s="2" t="str">
        <f>IF(OR(Z201="동원",Z201="세방",Z201="한타"),"",IFERROR(INDEX(GLAPS정리!$BI$2:$BI$101,MATCH(Z201,GLAPS정리!$BH$2:$BH$101,0)),""))</f>
        <v/>
      </c>
      <c r="BX201" s="2" t="str">
        <f>IF(Z201="","",IFERROR(VLOOKUP(Z201,GLAPS정리!$AX$2:$AZ$17,3,0),""))</f>
        <v/>
      </c>
      <c r="BZ201" s="2" t="e">
        <f>VLOOKUP(H201,GLAPS정리!$L$3:$O$133,2,0)</f>
        <v>#N/A</v>
      </c>
      <c r="CA201" s="2" t="str">
        <f t="shared" si="60"/>
        <v/>
      </c>
      <c r="CL201" s="2" t="e">
        <f>VLOOKUP(AI201,GLAPS정리!$BT$3:$BV$26,3,0)</f>
        <v>#N/A</v>
      </c>
    </row>
    <row r="202" spans="2:90" ht="20.45" customHeight="1">
      <c r="B202" s="13"/>
      <c r="G202" s="3"/>
      <c r="J202" s="3"/>
      <c r="Q202" s="3" t="str">
        <f t="shared" si="48"/>
        <v/>
      </c>
      <c r="R202" s="3" t="str">
        <f t="shared" si="49"/>
        <v/>
      </c>
      <c r="S202" s="3" t="str">
        <f t="shared" si="50"/>
        <v/>
      </c>
      <c r="X202" s="13"/>
      <c r="Y202" s="13"/>
      <c r="Z202" s="91"/>
      <c r="AC202" s="2">
        <f t="shared" si="51"/>
        <v>20</v>
      </c>
      <c r="AD202" s="2" t="str">
        <f>IFERROR(INDEX(GLAPS정리!$D$2:$D$50,MATCH(I202,GLAPS정리!$A$2:$A$50,0)),IFERROR(INDEX(GLAPS정리!$D$2:$D$50,MATCH(I202,GLAPS정리!$B$2:$B$50,0)),""))</f>
        <v/>
      </c>
      <c r="AF202" s="2" t="str">
        <f t="shared" si="52"/>
        <v>KR10</v>
      </c>
      <c r="AI202" s="2" t="e">
        <f>VLOOKUP(F202,GLAPS정리!$G$3:$J$114,2,0)</f>
        <v>#N/A</v>
      </c>
      <c r="AJ202" s="2" t="e">
        <f>IF(Z202="울산정일","KRONS",IF(Z202="울산신항","KRUSN",IF(OR(Z202="선광종합물류(인천여객)",Z202="인천여객(인천여객)"),"KRINF",IF(OR(Z202="선광인천보세(인천신)",Z202="한진인천(인천신)",Z202="선광인천신항(인천신)",Z202="인천더로지스(인천신)"),"KRINN",IF(OR(Z202="인천진아(인천항)",Z202="인천E1(인천항)",Z202="인천SM경인터미널(인천항)",Z202="인천항(인천항)",Z202="인천우련(인천항)",Z202="인천항8부두(인천항)"),"KRINC",VLOOKUP(K202,GLAPS정리!$BB$2:$BC$33,2,0))))))</f>
        <v>#N/A</v>
      </c>
      <c r="AL202" s="2">
        <f t="shared" si="53"/>
        <v>5010001</v>
      </c>
      <c r="AN202" s="70" t="str">
        <f t="shared" si="54"/>
        <v>1900-01-00</v>
      </c>
      <c r="AO202" s="2" t="str">
        <f t="shared" si="55"/>
        <v/>
      </c>
      <c r="AP202" s="2" t="e">
        <f>VLOOKUP(C202,GLAPS정리!$AX$2:$AZ$17,3,0)</f>
        <v>#N/A</v>
      </c>
      <c r="AR202" s="2">
        <f t="shared" si="61"/>
        <v>0</v>
      </c>
      <c r="AX202" s="2" t="e">
        <f>VLOOKUP(L202,GLAPS정리!$V$3:$W$180,2,0)</f>
        <v>#N/A</v>
      </c>
      <c r="BM202" s="2" t="str">
        <f t="shared" si="56"/>
        <v xml:space="preserve"> </v>
      </c>
      <c r="BN202" s="2">
        <f t="shared" si="57"/>
        <v>1</v>
      </c>
      <c r="BR202" s="2" t="str">
        <f t="shared" si="58"/>
        <v/>
      </c>
      <c r="BS202" s="2" t="str">
        <f t="shared" si="59"/>
        <v/>
      </c>
      <c r="BV202" s="2" t="e">
        <f>VLOOKUP(O202,GLAPS정리!$BH$2:$BI$94,2,0)</f>
        <v>#N/A</v>
      </c>
      <c r="BW202" s="2" t="str">
        <f>IF(OR(Z202="동원",Z202="세방",Z202="한타"),"",IFERROR(INDEX(GLAPS정리!$BI$2:$BI$101,MATCH(Z202,GLAPS정리!$BH$2:$BH$101,0)),""))</f>
        <v/>
      </c>
      <c r="BX202" s="2" t="str">
        <f>IF(Z202="","",IFERROR(VLOOKUP(Z202,GLAPS정리!$AX$2:$AZ$17,3,0),""))</f>
        <v/>
      </c>
      <c r="BZ202" s="2" t="e">
        <f>VLOOKUP(H202,GLAPS정리!$L$3:$O$133,2,0)</f>
        <v>#N/A</v>
      </c>
      <c r="CA202" s="2" t="str">
        <f t="shared" si="60"/>
        <v/>
      </c>
      <c r="CL202" s="2" t="e">
        <f>VLOOKUP(AI202,GLAPS정리!$BT$3:$BV$26,3,0)</f>
        <v>#N/A</v>
      </c>
    </row>
    <row r="203" spans="2:90" ht="20.45" customHeight="1">
      <c r="B203" s="13"/>
      <c r="G203" s="3"/>
      <c r="J203" s="3"/>
      <c r="Q203" s="3" t="str">
        <f t="shared" si="48"/>
        <v/>
      </c>
      <c r="R203" s="3" t="str">
        <f t="shared" si="49"/>
        <v/>
      </c>
      <c r="S203" s="3" t="str">
        <f t="shared" si="50"/>
        <v/>
      </c>
      <c r="X203" s="13"/>
      <c r="Y203" s="13"/>
      <c r="Z203" s="91"/>
      <c r="AC203" s="2">
        <f t="shared" si="51"/>
        <v>20</v>
      </c>
      <c r="AD203" s="2" t="str">
        <f>IFERROR(INDEX(GLAPS정리!$D$2:$D$50,MATCH(I203,GLAPS정리!$A$2:$A$50,0)),IFERROR(INDEX(GLAPS정리!$D$2:$D$50,MATCH(I203,GLAPS정리!$B$2:$B$50,0)),""))</f>
        <v/>
      </c>
      <c r="AF203" s="2" t="str">
        <f t="shared" si="52"/>
        <v>KR10</v>
      </c>
      <c r="AI203" s="2" t="e">
        <f>VLOOKUP(F203,GLAPS정리!$G$3:$J$114,2,0)</f>
        <v>#N/A</v>
      </c>
      <c r="AJ203" s="2" t="e">
        <f>IF(Z203="울산정일","KRONS",IF(Z203="울산신항","KRUSN",IF(OR(Z203="선광종합물류(인천여객)",Z203="인천여객(인천여객)"),"KRINF",IF(OR(Z203="선광인천보세(인천신)",Z203="한진인천(인천신)",Z203="선광인천신항(인천신)",Z203="인천더로지스(인천신)"),"KRINN",IF(OR(Z203="인천진아(인천항)",Z203="인천E1(인천항)",Z203="인천SM경인터미널(인천항)",Z203="인천항(인천항)",Z203="인천우련(인천항)",Z203="인천항8부두(인천항)"),"KRINC",VLOOKUP(K203,GLAPS정리!$BB$2:$BC$33,2,0))))))</f>
        <v>#N/A</v>
      </c>
      <c r="AL203" s="2">
        <f t="shared" si="53"/>
        <v>5010001</v>
      </c>
      <c r="AN203" s="70" t="str">
        <f t="shared" si="54"/>
        <v>1900-01-00</v>
      </c>
      <c r="AO203" s="2" t="str">
        <f t="shared" si="55"/>
        <v/>
      </c>
      <c r="AP203" s="2" t="e">
        <f>VLOOKUP(C203,GLAPS정리!$AX$2:$AZ$17,3,0)</f>
        <v>#N/A</v>
      </c>
      <c r="AR203" s="2">
        <f t="shared" si="61"/>
        <v>0</v>
      </c>
      <c r="AX203" s="2" t="e">
        <f>VLOOKUP(L203,GLAPS정리!$V$3:$W$180,2,0)</f>
        <v>#N/A</v>
      </c>
      <c r="BM203" s="2" t="str">
        <f t="shared" si="56"/>
        <v xml:space="preserve"> </v>
      </c>
      <c r="BN203" s="2">
        <f t="shared" si="57"/>
        <v>1</v>
      </c>
      <c r="BR203" s="2" t="str">
        <f t="shared" si="58"/>
        <v/>
      </c>
      <c r="BS203" s="2" t="str">
        <f t="shared" si="59"/>
        <v/>
      </c>
      <c r="BV203" s="2" t="e">
        <f>VLOOKUP(O203,GLAPS정리!$BH$2:$BI$94,2,0)</f>
        <v>#N/A</v>
      </c>
      <c r="BW203" s="2" t="str">
        <f>IF(OR(Z203="동원",Z203="세방",Z203="한타"),"",IFERROR(INDEX(GLAPS정리!$BI$2:$BI$101,MATCH(Z203,GLAPS정리!$BH$2:$BH$101,0)),""))</f>
        <v/>
      </c>
      <c r="BX203" s="2" t="str">
        <f>IF(Z203="","",IFERROR(VLOOKUP(Z203,GLAPS정리!$AX$2:$AZ$17,3,0),""))</f>
        <v/>
      </c>
      <c r="BZ203" s="2" t="e">
        <f>VLOOKUP(H203,GLAPS정리!$L$3:$O$133,2,0)</f>
        <v>#N/A</v>
      </c>
      <c r="CA203" s="2" t="str">
        <f t="shared" si="60"/>
        <v/>
      </c>
      <c r="CL203" s="2" t="e">
        <f>VLOOKUP(AI203,GLAPS정리!$BT$3:$BV$26,3,0)</f>
        <v>#N/A</v>
      </c>
    </row>
    <row r="204" spans="2:90" ht="20.45" customHeight="1">
      <c r="B204" s="13"/>
      <c r="G204" s="3"/>
      <c r="J204" s="3"/>
      <c r="Q204" s="3" t="str">
        <f t="shared" si="48"/>
        <v/>
      </c>
      <c r="R204" s="3" t="str">
        <f t="shared" si="49"/>
        <v/>
      </c>
      <c r="S204" s="3" t="str">
        <f t="shared" si="50"/>
        <v/>
      </c>
      <c r="X204" s="13"/>
      <c r="Y204" s="13"/>
      <c r="Z204" s="91"/>
      <c r="AC204" s="2">
        <f t="shared" si="51"/>
        <v>20</v>
      </c>
      <c r="AD204" s="2" t="str">
        <f>IFERROR(INDEX(GLAPS정리!$D$2:$D$50,MATCH(I204,GLAPS정리!$A$2:$A$50,0)),IFERROR(INDEX(GLAPS정리!$D$2:$D$50,MATCH(I204,GLAPS정리!$B$2:$B$50,0)),""))</f>
        <v/>
      </c>
      <c r="AF204" s="2" t="str">
        <f t="shared" si="52"/>
        <v>KR10</v>
      </c>
      <c r="AI204" s="2" t="e">
        <f>VLOOKUP(F204,GLAPS정리!$G$3:$J$114,2,0)</f>
        <v>#N/A</v>
      </c>
      <c r="AJ204" s="2" t="e">
        <f>IF(Z204="울산정일","KRONS",IF(Z204="울산신항","KRUSN",IF(OR(Z204="선광종합물류(인천여객)",Z204="인천여객(인천여객)"),"KRINF",IF(OR(Z204="선광인천보세(인천신)",Z204="한진인천(인천신)",Z204="선광인천신항(인천신)",Z204="인천더로지스(인천신)"),"KRINN",IF(OR(Z204="인천진아(인천항)",Z204="인천E1(인천항)",Z204="인천SM경인터미널(인천항)",Z204="인천항(인천항)",Z204="인천우련(인천항)",Z204="인천항8부두(인천항)"),"KRINC",VLOOKUP(K204,GLAPS정리!$BB$2:$BC$33,2,0))))))</f>
        <v>#N/A</v>
      </c>
      <c r="AL204" s="2">
        <f t="shared" si="53"/>
        <v>5010001</v>
      </c>
      <c r="AN204" s="70" t="str">
        <f t="shared" si="54"/>
        <v>1900-01-00</v>
      </c>
      <c r="AO204" s="2" t="str">
        <f t="shared" si="55"/>
        <v/>
      </c>
      <c r="AP204" s="2" t="e">
        <f>VLOOKUP(C204,GLAPS정리!$AX$2:$AZ$17,3,0)</f>
        <v>#N/A</v>
      </c>
      <c r="AR204" s="2">
        <f t="shared" si="61"/>
        <v>0</v>
      </c>
      <c r="AX204" s="2" t="e">
        <f>VLOOKUP(L204,GLAPS정리!$V$3:$W$180,2,0)</f>
        <v>#N/A</v>
      </c>
      <c r="BM204" s="2" t="str">
        <f t="shared" si="56"/>
        <v xml:space="preserve"> </v>
      </c>
      <c r="BN204" s="2">
        <f t="shared" si="57"/>
        <v>1</v>
      </c>
      <c r="BR204" s="2" t="str">
        <f t="shared" si="58"/>
        <v/>
      </c>
      <c r="BS204" s="2" t="str">
        <f t="shared" si="59"/>
        <v/>
      </c>
      <c r="BV204" s="2" t="e">
        <f>VLOOKUP(O204,GLAPS정리!$BH$2:$BI$94,2,0)</f>
        <v>#N/A</v>
      </c>
      <c r="BW204" s="2" t="str">
        <f>IF(OR(Z204="동원",Z204="세방",Z204="한타"),"",IFERROR(INDEX(GLAPS정리!$BI$2:$BI$101,MATCH(Z204,GLAPS정리!$BH$2:$BH$101,0)),""))</f>
        <v/>
      </c>
      <c r="BX204" s="2" t="str">
        <f>IF(Z204="","",IFERROR(VLOOKUP(Z204,GLAPS정리!$AX$2:$AZ$17,3,0),""))</f>
        <v/>
      </c>
      <c r="BZ204" s="2" t="e">
        <f>VLOOKUP(H204,GLAPS정리!$L$3:$O$133,2,0)</f>
        <v>#N/A</v>
      </c>
      <c r="CA204" s="2" t="str">
        <f t="shared" si="60"/>
        <v/>
      </c>
      <c r="CL204" s="2" t="e">
        <f>VLOOKUP(AI204,GLAPS정리!$BT$3:$BV$26,3,0)</f>
        <v>#N/A</v>
      </c>
    </row>
    <row r="205" spans="2:90" ht="20.45" customHeight="1">
      <c r="B205" s="13"/>
      <c r="G205" s="3"/>
      <c r="J205" s="3"/>
      <c r="Q205" s="3" t="str">
        <f t="shared" si="48"/>
        <v/>
      </c>
      <c r="R205" s="3" t="str">
        <f t="shared" si="49"/>
        <v/>
      </c>
      <c r="S205" s="3" t="str">
        <f t="shared" si="50"/>
        <v/>
      </c>
      <c r="X205" s="13"/>
      <c r="Y205" s="13"/>
      <c r="Z205" s="91"/>
      <c r="AC205" s="2">
        <f t="shared" si="51"/>
        <v>20</v>
      </c>
      <c r="AD205" s="2" t="str">
        <f>IFERROR(INDEX(GLAPS정리!$D$2:$D$50,MATCH(I205,GLAPS정리!$A$2:$A$50,0)),IFERROR(INDEX(GLAPS정리!$D$2:$D$50,MATCH(I205,GLAPS정리!$B$2:$B$50,0)),""))</f>
        <v/>
      </c>
      <c r="AF205" s="2" t="str">
        <f t="shared" si="52"/>
        <v>KR10</v>
      </c>
      <c r="AI205" s="2" t="e">
        <f>VLOOKUP(F205,GLAPS정리!$G$3:$J$114,2,0)</f>
        <v>#N/A</v>
      </c>
      <c r="AJ205" s="2" t="e">
        <f>IF(Z205="울산정일","KRONS",IF(Z205="울산신항","KRUSN",IF(OR(Z205="선광종합물류(인천여객)",Z205="인천여객(인천여객)"),"KRINF",IF(OR(Z205="선광인천보세(인천신)",Z205="한진인천(인천신)",Z205="선광인천신항(인천신)",Z205="인천더로지스(인천신)"),"KRINN",IF(OR(Z205="인천진아(인천항)",Z205="인천E1(인천항)",Z205="인천SM경인터미널(인천항)",Z205="인천항(인천항)",Z205="인천우련(인천항)",Z205="인천항8부두(인천항)"),"KRINC",VLOOKUP(K205,GLAPS정리!$BB$2:$BC$33,2,0))))))</f>
        <v>#N/A</v>
      </c>
      <c r="AL205" s="2">
        <f t="shared" si="53"/>
        <v>5010001</v>
      </c>
      <c r="AN205" s="70" t="str">
        <f t="shared" si="54"/>
        <v>1900-01-00</v>
      </c>
      <c r="AO205" s="2" t="str">
        <f t="shared" si="55"/>
        <v/>
      </c>
      <c r="AP205" s="2" t="e">
        <f>VLOOKUP(C205,GLAPS정리!$AX$2:$AZ$17,3,0)</f>
        <v>#N/A</v>
      </c>
      <c r="AR205" s="2">
        <f t="shared" si="61"/>
        <v>0</v>
      </c>
      <c r="AX205" s="2" t="e">
        <f>VLOOKUP(L205,GLAPS정리!$V$3:$W$180,2,0)</f>
        <v>#N/A</v>
      </c>
      <c r="BM205" s="2" t="str">
        <f t="shared" si="56"/>
        <v xml:space="preserve"> </v>
      </c>
      <c r="BN205" s="2">
        <f t="shared" si="57"/>
        <v>1</v>
      </c>
      <c r="BR205" s="2" t="str">
        <f t="shared" si="58"/>
        <v/>
      </c>
      <c r="BS205" s="2" t="str">
        <f t="shared" si="59"/>
        <v/>
      </c>
      <c r="BV205" s="2" t="e">
        <f>VLOOKUP(O205,GLAPS정리!$BH$2:$BI$94,2,0)</f>
        <v>#N/A</v>
      </c>
      <c r="BW205" s="2" t="str">
        <f>IF(OR(Z205="동원",Z205="세방",Z205="한타"),"",IFERROR(INDEX(GLAPS정리!$BI$2:$BI$101,MATCH(Z205,GLAPS정리!$BH$2:$BH$101,0)),""))</f>
        <v/>
      </c>
      <c r="BX205" s="2" t="str">
        <f>IF(Z205="","",IFERROR(VLOOKUP(Z205,GLAPS정리!$AX$2:$AZ$17,3,0),""))</f>
        <v/>
      </c>
      <c r="BZ205" s="2" t="e">
        <f>VLOOKUP(H205,GLAPS정리!$L$3:$O$133,2,0)</f>
        <v>#N/A</v>
      </c>
      <c r="CA205" s="2" t="str">
        <f t="shared" si="60"/>
        <v/>
      </c>
      <c r="CL205" s="2" t="e">
        <f>VLOOKUP(AI205,GLAPS정리!$BT$3:$BV$26,3,0)</f>
        <v>#N/A</v>
      </c>
    </row>
    <row r="206" spans="2:90" ht="20.45" customHeight="1">
      <c r="B206" s="13"/>
      <c r="G206" s="3"/>
      <c r="J206" s="3"/>
      <c r="Q206" s="3" t="str">
        <f t="shared" si="48"/>
        <v/>
      </c>
      <c r="R206" s="3" t="str">
        <f t="shared" si="49"/>
        <v/>
      </c>
      <c r="S206" s="3" t="str">
        <f t="shared" si="50"/>
        <v/>
      </c>
      <c r="X206" s="13"/>
      <c r="Y206" s="13"/>
      <c r="Z206" s="91"/>
      <c r="AC206" s="2">
        <f t="shared" si="51"/>
        <v>20</v>
      </c>
      <c r="AD206" s="2" t="str">
        <f>IFERROR(INDEX(GLAPS정리!$D$2:$D$50,MATCH(I206,GLAPS정리!$A$2:$A$50,0)),IFERROR(INDEX(GLAPS정리!$D$2:$D$50,MATCH(I206,GLAPS정리!$B$2:$B$50,0)),""))</f>
        <v/>
      </c>
      <c r="AF206" s="2" t="str">
        <f t="shared" si="52"/>
        <v>KR10</v>
      </c>
      <c r="AI206" s="2" t="e">
        <f>VLOOKUP(F206,GLAPS정리!$G$3:$J$114,2,0)</f>
        <v>#N/A</v>
      </c>
      <c r="AJ206" s="2" t="e">
        <f>IF(Z206="울산정일","KRONS",IF(Z206="울산신항","KRUSN",IF(OR(Z206="선광종합물류(인천여객)",Z206="인천여객(인천여객)"),"KRINF",IF(OR(Z206="선광인천보세(인천신)",Z206="한진인천(인천신)",Z206="선광인천신항(인천신)",Z206="인천더로지스(인천신)"),"KRINN",IF(OR(Z206="인천진아(인천항)",Z206="인천E1(인천항)",Z206="인천SM경인터미널(인천항)",Z206="인천항(인천항)",Z206="인천우련(인천항)",Z206="인천항8부두(인천항)"),"KRINC",VLOOKUP(K206,GLAPS정리!$BB$2:$BC$33,2,0))))))</f>
        <v>#N/A</v>
      </c>
      <c r="AL206" s="2">
        <f t="shared" si="53"/>
        <v>5010001</v>
      </c>
      <c r="AN206" s="70" t="str">
        <f t="shared" si="54"/>
        <v>1900-01-00</v>
      </c>
      <c r="AO206" s="2" t="str">
        <f t="shared" si="55"/>
        <v/>
      </c>
      <c r="AP206" s="2" t="e">
        <f>VLOOKUP(C206,GLAPS정리!$AX$2:$AZ$17,3,0)</f>
        <v>#N/A</v>
      </c>
      <c r="AR206" s="2">
        <f t="shared" si="61"/>
        <v>0</v>
      </c>
      <c r="AX206" s="2" t="e">
        <f>VLOOKUP(L206,GLAPS정리!$V$3:$W$180,2,0)</f>
        <v>#N/A</v>
      </c>
      <c r="BM206" s="2" t="str">
        <f t="shared" si="56"/>
        <v xml:space="preserve"> </v>
      </c>
      <c r="BN206" s="2">
        <f t="shared" si="57"/>
        <v>1</v>
      </c>
      <c r="BR206" s="2" t="str">
        <f t="shared" si="58"/>
        <v/>
      </c>
      <c r="BS206" s="2" t="str">
        <f t="shared" si="59"/>
        <v/>
      </c>
      <c r="BV206" s="2" t="e">
        <f>VLOOKUP(O206,GLAPS정리!$BH$2:$BI$94,2,0)</f>
        <v>#N/A</v>
      </c>
      <c r="BW206" s="2" t="str">
        <f>IF(OR(Z206="동원",Z206="세방",Z206="한타"),"",IFERROR(INDEX(GLAPS정리!$BI$2:$BI$101,MATCH(Z206,GLAPS정리!$BH$2:$BH$101,0)),""))</f>
        <v/>
      </c>
      <c r="BX206" s="2" t="str">
        <f>IF(Z206="","",IFERROR(VLOOKUP(Z206,GLAPS정리!$AX$2:$AZ$17,3,0),""))</f>
        <v/>
      </c>
      <c r="BZ206" s="2" t="e">
        <f>VLOOKUP(H206,GLAPS정리!$L$3:$O$133,2,0)</f>
        <v>#N/A</v>
      </c>
      <c r="CA206" s="2" t="str">
        <f t="shared" si="60"/>
        <v/>
      </c>
      <c r="CL206" s="2" t="e">
        <f>VLOOKUP(AI206,GLAPS정리!$BT$3:$BV$26,3,0)</f>
        <v>#N/A</v>
      </c>
    </row>
    <row r="207" spans="2:90" ht="20.45" customHeight="1">
      <c r="B207" s="13"/>
      <c r="G207" s="3"/>
      <c r="J207" s="3"/>
      <c r="Q207" s="3" t="str">
        <f t="shared" si="48"/>
        <v/>
      </c>
      <c r="R207" s="3" t="str">
        <f t="shared" si="49"/>
        <v/>
      </c>
      <c r="S207" s="3" t="str">
        <f t="shared" si="50"/>
        <v/>
      </c>
      <c r="X207" s="13"/>
      <c r="Y207" s="13"/>
      <c r="Z207" s="91"/>
      <c r="AC207" s="2">
        <f t="shared" si="51"/>
        <v>20</v>
      </c>
      <c r="AD207" s="2" t="str">
        <f>IFERROR(INDEX(GLAPS정리!$D$2:$D$50,MATCH(I207,GLAPS정리!$A$2:$A$50,0)),IFERROR(INDEX(GLAPS정리!$D$2:$D$50,MATCH(I207,GLAPS정리!$B$2:$B$50,0)),""))</f>
        <v/>
      </c>
      <c r="AF207" s="2" t="str">
        <f t="shared" si="52"/>
        <v>KR10</v>
      </c>
      <c r="AI207" s="2" t="e">
        <f>VLOOKUP(F207,GLAPS정리!$G$3:$J$114,2,0)</f>
        <v>#N/A</v>
      </c>
      <c r="AJ207" s="2" t="e">
        <f>IF(Z207="울산정일","KRONS",IF(Z207="울산신항","KRUSN",IF(OR(Z207="선광종합물류(인천여객)",Z207="인천여객(인천여객)"),"KRINF",IF(OR(Z207="선광인천보세(인천신)",Z207="한진인천(인천신)",Z207="선광인천신항(인천신)",Z207="인천더로지스(인천신)"),"KRINN",IF(OR(Z207="인천진아(인천항)",Z207="인천E1(인천항)",Z207="인천SM경인터미널(인천항)",Z207="인천항(인천항)",Z207="인천우련(인천항)",Z207="인천항8부두(인천항)"),"KRINC",VLOOKUP(K207,GLAPS정리!$BB$2:$BC$33,2,0))))))</f>
        <v>#N/A</v>
      </c>
      <c r="AL207" s="2">
        <f t="shared" si="53"/>
        <v>5010001</v>
      </c>
      <c r="AN207" s="70" t="str">
        <f t="shared" si="54"/>
        <v>1900-01-00</v>
      </c>
      <c r="AO207" s="2" t="str">
        <f t="shared" si="55"/>
        <v/>
      </c>
      <c r="AP207" s="2" t="e">
        <f>VLOOKUP(C207,GLAPS정리!$AX$2:$AZ$17,3,0)</f>
        <v>#N/A</v>
      </c>
      <c r="AR207" s="2">
        <f t="shared" si="61"/>
        <v>0</v>
      </c>
      <c r="AX207" s="2" t="e">
        <f>VLOOKUP(L207,GLAPS정리!$V$3:$W$180,2,0)</f>
        <v>#N/A</v>
      </c>
      <c r="BM207" s="2" t="str">
        <f t="shared" si="56"/>
        <v xml:space="preserve"> </v>
      </c>
      <c r="BN207" s="2">
        <f t="shared" si="57"/>
        <v>1</v>
      </c>
      <c r="BR207" s="2" t="str">
        <f t="shared" si="58"/>
        <v/>
      </c>
      <c r="BS207" s="2" t="str">
        <f t="shared" si="59"/>
        <v/>
      </c>
      <c r="BV207" s="2" t="e">
        <f>VLOOKUP(O207,GLAPS정리!$BH$2:$BI$94,2,0)</f>
        <v>#N/A</v>
      </c>
      <c r="BW207" s="2" t="str">
        <f>IF(OR(Z207="동원",Z207="세방",Z207="한타"),"",IFERROR(INDEX(GLAPS정리!$BI$2:$BI$101,MATCH(Z207,GLAPS정리!$BH$2:$BH$101,0)),""))</f>
        <v/>
      </c>
      <c r="BX207" s="2" t="str">
        <f>IF(Z207="","",IFERROR(VLOOKUP(Z207,GLAPS정리!$AX$2:$AZ$17,3,0),""))</f>
        <v/>
      </c>
      <c r="BZ207" s="2" t="e">
        <f>VLOOKUP(H207,GLAPS정리!$L$3:$O$133,2,0)</f>
        <v>#N/A</v>
      </c>
      <c r="CA207" s="2" t="str">
        <f t="shared" si="60"/>
        <v/>
      </c>
      <c r="CL207" s="2" t="e">
        <f>VLOOKUP(AI207,GLAPS정리!$BT$3:$BV$26,3,0)</f>
        <v>#N/A</v>
      </c>
    </row>
    <row r="208" spans="2:90" ht="20.45" customHeight="1">
      <c r="B208" s="13"/>
      <c r="G208" s="3"/>
      <c r="J208" s="3"/>
      <c r="Q208" s="3" t="str">
        <f t="shared" si="48"/>
        <v/>
      </c>
      <c r="R208" s="3" t="str">
        <f t="shared" si="49"/>
        <v/>
      </c>
      <c r="S208" s="3" t="str">
        <f t="shared" si="50"/>
        <v/>
      </c>
      <c r="X208" s="13"/>
      <c r="Y208" s="13"/>
      <c r="Z208" s="91"/>
      <c r="AC208" s="2">
        <f t="shared" si="51"/>
        <v>20</v>
      </c>
      <c r="AD208" s="2" t="str">
        <f>IFERROR(INDEX(GLAPS정리!$D$2:$D$50,MATCH(I208,GLAPS정리!$A$2:$A$50,0)),IFERROR(INDEX(GLAPS정리!$D$2:$D$50,MATCH(I208,GLAPS정리!$B$2:$B$50,0)),""))</f>
        <v/>
      </c>
      <c r="AF208" s="2" t="str">
        <f t="shared" si="52"/>
        <v>KR10</v>
      </c>
      <c r="AI208" s="2" t="e">
        <f>VLOOKUP(F208,GLAPS정리!$G$3:$J$114,2,0)</f>
        <v>#N/A</v>
      </c>
      <c r="AJ208" s="2" t="e">
        <f>IF(Z208="울산정일","KRONS",IF(Z208="울산신항","KRUSN",IF(OR(Z208="선광종합물류(인천여객)",Z208="인천여객(인천여객)"),"KRINF",IF(OR(Z208="선광인천보세(인천신)",Z208="한진인천(인천신)",Z208="선광인천신항(인천신)",Z208="인천더로지스(인천신)"),"KRINN",IF(OR(Z208="인천진아(인천항)",Z208="인천E1(인천항)",Z208="인천SM경인터미널(인천항)",Z208="인천항(인천항)",Z208="인천우련(인천항)",Z208="인천항8부두(인천항)"),"KRINC",VLOOKUP(K208,GLAPS정리!$BB$2:$BC$33,2,0))))))</f>
        <v>#N/A</v>
      </c>
      <c r="AL208" s="2">
        <f t="shared" si="53"/>
        <v>5010001</v>
      </c>
      <c r="AN208" s="70" t="str">
        <f t="shared" si="54"/>
        <v>1900-01-00</v>
      </c>
      <c r="AO208" s="2" t="str">
        <f t="shared" si="55"/>
        <v/>
      </c>
      <c r="AP208" s="2" t="e">
        <f>VLOOKUP(C208,GLAPS정리!$AX$2:$AZ$17,3,0)</f>
        <v>#N/A</v>
      </c>
      <c r="AR208" s="2">
        <f t="shared" si="61"/>
        <v>0</v>
      </c>
      <c r="AX208" s="2" t="e">
        <f>VLOOKUP(L208,GLAPS정리!$V$3:$W$180,2,0)</f>
        <v>#N/A</v>
      </c>
      <c r="BM208" s="2" t="str">
        <f t="shared" si="56"/>
        <v xml:space="preserve"> </v>
      </c>
      <c r="BN208" s="2">
        <f t="shared" si="57"/>
        <v>1</v>
      </c>
      <c r="BR208" s="2" t="str">
        <f t="shared" si="58"/>
        <v/>
      </c>
      <c r="BS208" s="2" t="str">
        <f t="shared" si="59"/>
        <v/>
      </c>
      <c r="BV208" s="2" t="e">
        <f>VLOOKUP(O208,GLAPS정리!$BH$2:$BI$94,2,0)</f>
        <v>#N/A</v>
      </c>
      <c r="BW208" s="2" t="str">
        <f>IF(OR(Z208="동원",Z208="세방",Z208="한타"),"",IFERROR(INDEX(GLAPS정리!$BI$2:$BI$101,MATCH(Z208,GLAPS정리!$BH$2:$BH$101,0)),""))</f>
        <v/>
      </c>
      <c r="BX208" s="2" t="str">
        <f>IF(Z208="","",IFERROR(VLOOKUP(Z208,GLAPS정리!$AX$2:$AZ$17,3,0),""))</f>
        <v/>
      </c>
      <c r="BZ208" s="2" t="e">
        <f>VLOOKUP(H208,GLAPS정리!$L$3:$O$133,2,0)</f>
        <v>#N/A</v>
      </c>
      <c r="CA208" s="2" t="str">
        <f t="shared" si="60"/>
        <v/>
      </c>
      <c r="CL208" s="2" t="e">
        <f>VLOOKUP(AI208,GLAPS정리!$BT$3:$BV$26,3,0)</f>
        <v>#N/A</v>
      </c>
    </row>
    <row r="209" spans="2:90" ht="20.45" customHeight="1">
      <c r="B209" s="13"/>
      <c r="G209" s="3"/>
      <c r="J209" s="3"/>
      <c r="Q209" s="3" t="str">
        <f t="shared" si="48"/>
        <v/>
      </c>
      <c r="R209" s="3" t="str">
        <f t="shared" si="49"/>
        <v/>
      </c>
      <c r="S209" s="3" t="str">
        <f t="shared" si="50"/>
        <v/>
      </c>
      <c r="X209" s="13"/>
      <c r="Y209" s="13"/>
      <c r="Z209" s="91"/>
      <c r="AC209" s="2">
        <f t="shared" si="51"/>
        <v>20</v>
      </c>
      <c r="AD209" s="2" t="str">
        <f>IFERROR(INDEX(GLAPS정리!$D$2:$D$50,MATCH(I209,GLAPS정리!$A$2:$A$50,0)),IFERROR(INDEX(GLAPS정리!$D$2:$D$50,MATCH(I209,GLAPS정리!$B$2:$B$50,0)),""))</f>
        <v/>
      </c>
      <c r="AF209" s="2" t="str">
        <f t="shared" si="52"/>
        <v>KR10</v>
      </c>
      <c r="AI209" s="2" t="e">
        <f>VLOOKUP(F209,GLAPS정리!$G$3:$J$114,2,0)</f>
        <v>#N/A</v>
      </c>
      <c r="AJ209" s="2" t="e">
        <f>IF(Z209="울산정일","KRONS",IF(Z209="울산신항","KRUSN",IF(OR(Z209="선광종합물류(인천여객)",Z209="인천여객(인천여객)"),"KRINF",IF(OR(Z209="선광인천보세(인천신)",Z209="한진인천(인천신)",Z209="선광인천신항(인천신)",Z209="인천더로지스(인천신)"),"KRINN",IF(OR(Z209="인천진아(인천항)",Z209="인천E1(인천항)",Z209="인천SM경인터미널(인천항)",Z209="인천항(인천항)",Z209="인천우련(인천항)",Z209="인천항8부두(인천항)"),"KRINC",VLOOKUP(K209,GLAPS정리!$BB$2:$BC$33,2,0))))))</f>
        <v>#N/A</v>
      </c>
      <c r="AL209" s="2">
        <f t="shared" si="53"/>
        <v>5010001</v>
      </c>
      <c r="AN209" s="70" t="str">
        <f t="shared" si="54"/>
        <v>1900-01-00</v>
      </c>
      <c r="AO209" s="2" t="str">
        <f t="shared" si="55"/>
        <v/>
      </c>
      <c r="AP209" s="2" t="e">
        <f>VLOOKUP(C209,GLAPS정리!$AX$2:$AZ$17,3,0)</f>
        <v>#N/A</v>
      </c>
      <c r="AR209" s="2">
        <f t="shared" si="61"/>
        <v>0</v>
      </c>
      <c r="AX209" s="2" t="e">
        <f>VLOOKUP(L209,GLAPS정리!$V$3:$W$180,2,0)</f>
        <v>#N/A</v>
      </c>
      <c r="BM209" s="2" t="str">
        <f t="shared" si="56"/>
        <v xml:space="preserve"> </v>
      </c>
      <c r="BN209" s="2">
        <f t="shared" si="57"/>
        <v>1</v>
      </c>
      <c r="BR209" s="2" t="str">
        <f t="shared" si="58"/>
        <v/>
      </c>
      <c r="BS209" s="2" t="str">
        <f t="shared" si="59"/>
        <v/>
      </c>
      <c r="BV209" s="2" t="e">
        <f>VLOOKUP(O209,GLAPS정리!$BH$2:$BI$94,2,0)</f>
        <v>#N/A</v>
      </c>
      <c r="BW209" s="2" t="str">
        <f>IF(OR(Z209="동원",Z209="세방",Z209="한타"),"",IFERROR(INDEX(GLAPS정리!$BI$2:$BI$101,MATCH(Z209,GLAPS정리!$BH$2:$BH$101,0)),""))</f>
        <v/>
      </c>
      <c r="BX209" s="2" t="str">
        <f>IF(Z209="","",IFERROR(VLOOKUP(Z209,GLAPS정리!$AX$2:$AZ$17,3,0),""))</f>
        <v/>
      </c>
      <c r="BZ209" s="2" t="e">
        <f>VLOOKUP(H209,GLAPS정리!$L$3:$O$133,2,0)</f>
        <v>#N/A</v>
      </c>
      <c r="CA209" s="2" t="str">
        <f t="shared" si="60"/>
        <v/>
      </c>
      <c r="CL209" s="2" t="e">
        <f>VLOOKUP(AI209,GLAPS정리!$BT$3:$BV$26,3,0)</f>
        <v>#N/A</v>
      </c>
    </row>
    <row r="210" spans="2:90" ht="20.45" customHeight="1">
      <c r="B210" s="13"/>
      <c r="G210" s="3"/>
      <c r="J210" s="3"/>
      <c r="Q210" s="3" t="str">
        <f t="shared" si="48"/>
        <v/>
      </c>
      <c r="R210" s="3" t="str">
        <f t="shared" si="49"/>
        <v/>
      </c>
      <c r="S210" s="3" t="str">
        <f t="shared" si="50"/>
        <v/>
      </c>
      <c r="X210" s="13"/>
      <c r="Y210" s="13"/>
      <c r="Z210" s="91"/>
      <c r="AC210" s="2">
        <f t="shared" si="51"/>
        <v>20</v>
      </c>
      <c r="AD210" s="2" t="str">
        <f>IFERROR(INDEX(GLAPS정리!$D$2:$D$50,MATCH(I210,GLAPS정리!$A$2:$A$50,0)),IFERROR(INDEX(GLAPS정리!$D$2:$D$50,MATCH(I210,GLAPS정리!$B$2:$B$50,0)),""))</f>
        <v/>
      </c>
      <c r="AF210" s="2" t="str">
        <f t="shared" si="52"/>
        <v>KR10</v>
      </c>
      <c r="AI210" s="2" t="e">
        <f>VLOOKUP(F210,GLAPS정리!$G$3:$J$114,2,0)</f>
        <v>#N/A</v>
      </c>
      <c r="AJ210" s="2" t="e">
        <f>IF(Z210="울산정일","KRONS",IF(Z210="울산신항","KRUSN",IF(OR(Z210="선광종합물류(인천여객)",Z210="인천여객(인천여객)"),"KRINF",IF(OR(Z210="선광인천보세(인천신)",Z210="한진인천(인천신)",Z210="선광인천신항(인천신)",Z210="인천더로지스(인천신)"),"KRINN",IF(OR(Z210="인천진아(인천항)",Z210="인천E1(인천항)",Z210="인천SM경인터미널(인천항)",Z210="인천항(인천항)",Z210="인천우련(인천항)",Z210="인천항8부두(인천항)"),"KRINC",VLOOKUP(K210,GLAPS정리!$BB$2:$BC$33,2,0))))))</f>
        <v>#N/A</v>
      </c>
      <c r="AL210" s="2">
        <f t="shared" si="53"/>
        <v>5010001</v>
      </c>
      <c r="AN210" s="70" t="str">
        <f t="shared" si="54"/>
        <v>1900-01-00</v>
      </c>
      <c r="AO210" s="2" t="str">
        <f t="shared" si="55"/>
        <v/>
      </c>
      <c r="AP210" s="2" t="e">
        <f>VLOOKUP(C210,GLAPS정리!$AX$2:$AZ$17,3,0)</f>
        <v>#N/A</v>
      </c>
      <c r="AR210" s="2">
        <f t="shared" si="61"/>
        <v>0</v>
      </c>
      <c r="AX210" s="2" t="e">
        <f>VLOOKUP(L210,GLAPS정리!$V$3:$W$180,2,0)</f>
        <v>#N/A</v>
      </c>
      <c r="BM210" s="2" t="str">
        <f t="shared" si="56"/>
        <v xml:space="preserve"> </v>
      </c>
      <c r="BN210" s="2">
        <f t="shared" si="57"/>
        <v>1</v>
      </c>
      <c r="BR210" s="2" t="str">
        <f t="shared" si="58"/>
        <v/>
      </c>
      <c r="BS210" s="2" t="str">
        <f t="shared" si="59"/>
        <v/>
      </c>
      <c r="BV210" s="2" t="e">
        <f>VLOOKUP(O210,GLAPS정리!$BH$2:$BI$94,2,0)</f>
        <v>#N/A</v>
      </c>
      <c r="BW210" s="2" t="str">
        <f>IF(OR(Z210="동원",Z210="세방",Z210="한타"),"",IFERROR(INDEX(GLAPS정리!$BI$2:$BI$101,MATCH(Z210,GLAPS정리!$BH$2:$BH$101,0)),""))</f>
        <v/>
      </c>
      <c r="BX210" s="2" t="str">
        <f>IF(Z210="","",IFERROR(VLOOKUP(Z210,GLAPS정리!$AX$2:$AZ$17,3,0),""))</f>
        <v/>
      </c>
      <c r="BZ210" s="2" t="e">
        <f>VLOOKUP(H210,GLAPS정리!$L$3:$O$133,2,0)</f>
        <v>#N/A</v>
      </c>
      <c r="CA210" s="2" t="str">
        <f t="shared" si="60"/>
        <v/>
      </c>
      <c r="CL210" s="2" t="e">
        <f>VLOOKUP(AI210,GLAPS정리!$BT$3:$BV$26,3,0)</f>
        <v>#N/A</v>
      </c>
    </row>
    <row r="211" spans="2:90" ht="20.45" customHeight="1">
      <c r="B211" s="13"/>
      <c r="G211" s="3"/>
      <c r="J211" s="3"/>
      <c r="Q211" s="3" t="str">
        <f t="shared" si="48"/>
        <v/>
      </c>
      <c r="R211" s="3" t="str">
        <f t="shared" si="49"/>
        <v/>
      </c>
      <c r="S211" s="3" t="str">
        <f t="shared" si="50"/>
        <v/>
      </c>
      <c r="X211" s="13"/>
      <c r="Y211" s="13"/>
      <c r="Z211" s="91"/>
      <c r="AC211" s="2">
        <f t="shared" si="51"/>
        <v>20</v>
      </c>
      <c r="AD211" s="2" t="str">
        <f>IFERROR(INDEX(GLAPS정리!$D$2:$D$50,MATCH(I211,GLAPS정리!$A$2:$A$50,0)),IFERROR(INDEX(GLAPS정리!$D$2:$D$50,MATCH(I211,GLAPS정리!$B$2:$B$50,0)),""))</f>
        <v/>
      </c>
      <c r="AF211" s="2" t="str">
        <f t="shared" si="52"/>
        <v>KR10</v>
      </c>
      <c r="AI211" s="2" t="e">
        <f>VLOOKUP(F211,GLAPS정리!$G$3:$J$114,2,0)</f>
        <v>#N/A</v>
      </c>
      <c r="AJ211" s="2" t="e">
        <f>IF(Z211="울산정일","KRONS",IF(Z211="울산신항","KRUSN",IF(OR(Z211="선광종합물류(인천여객)",Z211="인천여객(인천여객)"),"KRINF",IF(OR(Z211="선광인천보세(인천신)",Z211="한진인천(인천신)",Z211="선광인천신항(인천신)",Z211="인천더로지스(인천신)"),"KRINN",IF(OR(Z211="인천진아(인천항)",Z211="인천E1(인천항)",Z211="인천SM경인터미널(인천항)",Z211="인천항(인천항)",Z211="인천우련(인천항)",Z211="인천항8부두(인천항)"),"KRINC",VLOOKUP(K211,GLAPS정리!$BB$2:$BC$33,2,0))))))</f>
        <v>#N/A</v>
      </c>
      <c r="AL211" s="2">
        <f t="shared" si="53"/>
        <v>5010001</v>
      </c>
      <c r="AN211" s="70" t="str">
        <f t="shared" si="54"/>
        <v>1900-01-00</v>
      </c>
      <c r="AO211" s="2" t="str">
        <f t="shared" si="55"/>
        <v/>
      </c>
      <c r="AP211" s="2" t="e">
        <f>VLOOKUP(C211,GLAPS정리!$AX$2:$AZ$17,3,0)</f>
        <v>#N/A</v>
      </c>
      <c r="AR211" s="2">
        <f t="shared" si="61"/>
        <v>0</v>
      </c>
      <c r="AX211" s="2" t="e">
        <f>VLOOKUP(L211,GLAPS정리!$V$3:$W$180,2,0)</f>
        <v>#N/A</v>
      </c>
      <c r="BM211" s="2" t="str">
        <f t="shared" si="56"/>
        <v xml:space="preserve"> </v>
      </c>
      <c r="BN211" s="2">
        <f t="shared" si="57"/>
        <v>1</v>
      </c>
      <c r="BR211" s="2" t="str">
        <f t="shared" si="58"/>
        <v/>
      </c>
      <c r="BS211" s="2" t="str">
        <f t="shared" si="59"/>
        <v/>
      </c>
      <c r="BV211" s="2" t="e">
        <f>VLOOKUP(O211,GLAPS정리!$BH$2:$BI$94,2,0)</f>
        <v>#N/A</v>
      </c>
      <c r="BW211" s="2" t="str">
        <f>IF(OR(Z211="동원",Z211="세방",Z211="한타"),"",IFERROR(INDEX(GLAPS정리!$BI$2:$BI$101,MATCH(Z211,GLAPS정리!$BH$2:$BH$101,0)),""))</f>
        <v/>
      </c>
      <c r="BX211" s="2" t="str">
        <f>IF(Z211="","",IFERROR(VLOOKUP(Z211,GLAPS정리!$AX$2:$AZ$17,3,0),""))</f>
        <v/>
      </c>
      <c r="BZ211" s="2" t="e">
        <f>VLOOKUP(H211,GLAPS정리!$L$3:$O$133,2,0)</f>
        <v>#N/A</v>
      </c>
      <c r="CA211" s="2" t="str">
        <f t="shared" si="60"/>
        <v/>
      </c>
      <c r="CL211" s="2" t="e">
        <f>VLOOKUP(AI211,GLAPS정리!$BT$3:$BV$26,3,0)</f>
        <v>#N/A</v>
      </c>
    </row>
    <row r="212" spans="2:90" ht="20.45" customHeight="1">
      <c r="B212" s="13"/>
      <c r="G212" s="3"/>
      <c r="J212" s="3"/>
      <c r="Q212" s="3" t="str">
        <f t="shared" si="48"/>
        <v/>
      </c>
      <c r="R212" s="3" t="str">
        <f t="shared" si="49"/>
        <v/>
      </c>
      <c r="S212" s="3" t="str">
        <f t="shared" si="50"/>
        <v/>
      </c>
      <c r="X212" s="13"/>
      <c r="Y212" s="13"/>
      <c r="Z212" s="91"/>
      <c r="AC212" s="2">
        <f t="shared" si="51"/>
        <v>20</v>
      </c>
      <c r="AD212" s="2" t="str">
        <f>IFERROR(INDEX(GLAPS정리!$D$2:$D$50,MATCH(I212,GLAPS정리!$A$2:$A$50,0)),IFERROR(INDEX(GLAPS정리!$D$2:$D$50,MATCH(I212,GLAPS정리!$B$2:$B$50,0)),""))</f>
        <v/>
      </c>
      <c r="AF212" s="2" t="str">
        <f t="shared" si="52"/>
        <v>KR10</v>
      </c>
      <c r="AI212" s="2" t="e">
        <f>VLOOKUP(F212,GLAPS정리!$G$3:$J$114,2,0)</f>
        <v>#N/A</v>
      </c>
      <c r="AJ212" s="2" t="e">
        <f>IF(Z212="울산정일","KRONS",IF(Z212="울산신항","KRUSN",IF(OR(Z212="선광종합물류(인천여객)",Z212="인천여객(인천여객)"),"KRINF",IF(OR(Z212="선광인천보세(인천신)",Z212="한진인천(인천신)",Z212="선광인천신항(인천신)",Z212="인천더로지스(인천신)"),"KRINN",IF(OR(Z212="인천진아(인천항)",Z212="인천E1(인천항)",Z212="인천SM경인터미널(인천항)",Z212="인천항(인천항)",Z212="인천우련(인천항)",Z212="인천항8부두(인천항)"),"KRINC",VLOOKUP(K212,GLAPS정리!$BB$2:$BC$33,2,0))))))</f>
        <v>#N/A</v>
      </c>
      <c r="AL212" s="2">
        <f t="shared" si="53"/>
        <v>5010001</v>
      </c>
      <c r="AN212" s="70" t="str">
        <f t="shared" si="54"/>
        <v>1900-01-00</v>
      </c>
      <c r="AO212" s="2" t="str">
        <f t="shared" si="55"/>
        <v/>
      </c>
      <c r="AP212" s="2" t="e">
        <f>VLOOKUP(C212,GLAPS정리!$AX$2:$AZ$17,3,0)</f>
        <v>#N/A</v>
      </c>
      <c r="AR212" s="2">
        <f t="shared" si="61"/>
        <v>0</v>
      </c>
      <c r="AX212" s="2" t="e">
        <f>VLOOKUP(L212,GLAPS정리!$V$3:$W$180,2,0)</f>
        <v>#N/A</v>
      </c>
      <c r="BM212" s="2" t="str">
        <f t="shared" si="56"/>
        <v xml:space="preserve"> </v>
      </c>
      <c r="BN212" s="2">
        <f t="shared" si="57"/>
        <v>1</v>
      </c>
      <c r="BR212" s="2" t="str">
        <f t="shared" si="58"/>
        <v/>
      </c>
      <c r="BS212" s="2" t="str">
        <f t="shared" si="59"/>
        <v/>
      </c>
      <c r="BV212" s="2" t="e">
        <f>VLOOKUP(O212,GLAPS정리!$BH$2:$BI$94,2,0)</f>
        <v>#N/A</v>
      </c>
      <c r="BW212" s="2" t="str">
        <f>IF(OR(Z212="동원",Z212="세방",Z212="한타"),"",IFERROR(INDEX(GLAPS정리!$BI$2:$BI$101,MATCH(Z212,GLAPS정리!$BH$2:$BH$101,0)),""))</f>
        <v/>
      </c>
      <c r="BX212" s="2" t="str">
        <f>IF(Z212="","",IFERROR(VLOOKUP(Z212,GLAPS정리!$AX$2:$AZ$17,3,0),""))</f>
        <v/>
      </c>
      <c r="BZ212" s="2" t="e">
        <f>VLOOKUP(H212,GLAPS정리!$L$3:$O$133,2,0)</f>
        <v>#N/A</v>
      </c>
      <c r="CA212" s="2" t="str">
        <f t="shared" si="60"/>
        <v/>
      </c>
      <c r="CL212" s="2" t="e">
        <f>VLOOKUP(AI212,GLAPS정리!$BT$3:$BV$26,3,0)</f>
        <v>#N/A</v>
      </c>
    </row>
    <row r="213" spans="2:90" ht="20.45" customHeight="1">
      <c r="B213" s="13"/>
      <c r="G213" s="3"/>
      <c r="J213" s="3"/>
      <c r="Q213" s="3" t="str">
        <f t="shared" si="48"/>
        <v/>
      </c>
      <c r="R213" s="3" t="str">
        <f t="shared" si="49"/>
        <v/>
      </c>
      <c r="S213" s="3" t="str">
        <f t="shared" si="50"/>
        <v/>
      </c>
      <c r="X213" s="13"/>
      <c r="Y213" s="13"/>
      <c r="Z213" s="91"/>
      <c r="AC213" s="2">
        <f t="shared" si="51"/>
        <v>20</v>
      </c>
      <c r="AD213" s="2" t="str">
        <f>IFERROR(INDEX(GLAPS정리!$D$2:$D$50,MATCH(I213,GLAPS정리!$A$2:$A$50,0)),IFERROR(INDEX(GLAPS정리!$D$2:$D$50,MATCH(I213,GLAPS정리!$B$2:$B$50,0)),""))</f>
        <v/>
      </c>
      <c r="AF213" s="2" t="str">
        <f t="shared" si="52"/>
        <v>KR10</v>
      </c>
      <c r="AI213" s="2" t="e">
        <f>VLOOKUP(F213,GLAPS정리!$G$3:$J$114,2,0)</f>
        <v>#N/A</v>
      </c>
      <c r="AJ213" s="2" t="e">
        <f>IF(Z213="울산정일","KRONS",IF(Z213="울산신항","KRUSN",IF(OR(Z213="선광종합물류(인천여객)",Z213="인천여객(인천여객)"),"KRINF",IF(OR(Z213="선광인천보세(인천신)",Z213="한진인천(인천신)",Z213="선광인천신항(인천신)",Z213="인천더로지스(인천신)"),"KRINN",IF(OR(Z213="인천진아(인천항)",Z213="인천E1(인천항)",Z213="인천SM경인터미널(인천항)",Z213="인천항(인천항)",Z213="인천우련(인천항)",Z213="인천항8부두(인천항)"),"KRINC",VLOOKUP(K213,GLAPS정리!$BB$2:$BC$33,2,0))))))</f>
        <v>#N/A</v>
      </c>
      <c r="AL213" s="2">
        <f t="shared" si="53"/>
        <v>5010001</v>
      </c>
      <c r="AN213" s="70" t="str">
        <f t="shared" si="54"/>
        <v>1900-01-00</v>
      </c>
      <c r="AO213" s="2" t="str">
        <f t="shared" si="55"/>
        <v/>
      </c>
      <c r="AP213" s="2" t="e">
        <f>VLOOKUP(C213,GLAPS정리!$AX$2:$AZ$17,3,0)</f>
        <v>#N/A</v>
      </c>
      <c r="AR213" s="2">
        <f t="shared" si="61"/>
        <v>0</v>
      </c>
      <c r="AX213" s="2" t="e">
        <f>VLOOKUP(L213,GLAPS정리!$V$3:$W$180,2,0)</f>
        <v>#N/A</v>
      </c>
      <c r="BM213" s="2" t="str">
        <f t="shared" si="56"/>
        <v xml:space="preserve"> </v>
      </c>
      <c r="BN213" s="2">
        <f t="shared" si="57"/>
        <v>1</v>
      </c>
      <c r="BR213" s="2" t="str">
        <f t="shared" si="58"/>
        <v/>
      </c>
      <c r="BS213" s="2" t="str">
        <f t="shared" si="59"/>
        <v/>
      </c>
      <c r="BV213" s="2" t="e">
        <f>VLOOKUP(O213,GLAPS정리!$BH$2:$BI$94,2,0)</f>
        <v>#N/A</v>
      </c>
      <c r="BW213" s="2" t="str">
        <f>IF(OR(Z213="동원",Z213="세방",Z213="한타"),"",IFERROR(INDEX(GLAPS정리!$BI$2:$BI$101,MATCH(Z213,GLAPS정리!$BH$2:$BH$101,0)),""))</f>
        <v/>
      </c>
      <c r="BX213" s="2" t="str">
        <f>IF(Z213="","",IFERROR(VLOOKUP(Z213,GLAPS정리!$AX$2:$AZ$17,3,0),""))</f>
        <v/>
      </c>
      <c r="BZ213" s="2" t="e">
        <f>VLOOKUP(H213,GLAPS정리!$L$3:$O$133,2,0)</f>
        <v>#N/A</v>
      </c>
      <c r="CA213" s="2" t="str">
        <f t="shared" si="60"/>
        <v/>
      </c>
      <c r="CL213" s="2" t="e">
        <f>VLOOKUP(AI213,GLAPS정리!$BT$3:$BV$26,3,0)</f>
        <v>#N/A</v>
      </c>
    </row>
    <row r="214" spans="2:90" ht="20.45" customHeight="1">
      <c r="B214" s="13"/>
      <c r="G214" s="3"/>
      <c r="J214" s="3"/>
      <c r="Q214" s="3" t="str">
        <f t="shared" si="48"/>
        <v/>
      </c>
      <c r="R214" s="3" t="str">
        <f t="shared" si="49"/>
        <v/>
      </c>
      <c r="S214" s="3" t="str">
        <f t="shared" si="50"/>
        <v/>
      </c>
      <c r="X214" s="13"/>
      <c r="Y214" s="13"/>
      <c r="Z214" s="91"/>
      <c r="AC214" s="2">
        <f t="shared" si="51"/>
        <v>20</v>
      </c>
      <c r="AD214" s="2" t="str">
        <f>IFERROR(INDEX(GLAPS정리!$D$2:$D$50,MATCH(I214,GLAPS정리!$A$2:$A$50,0)),IFERROR(INDEX(GLAPS정리!$D$2:$D$50,MATCH(I214,GLAPS정리!$B$2:$B$50,0)),""))</f>
        <v/>
      </c>
      <c r="AF214" s="2" t="str">
        <f t="shared" si="52"/>
        <v>KR10</v>
      </c>
      <c r="AI214" s="2" t="e">
        <f>VLOOKUP(F214,GLAPS정리!$G$3:$J$114,2,0)</f>
        <v>#N/A</v>
      </c>
      <c r="AJ214" s="2" t="e">
        <f>IF(Z214="울산정일","KRONS",IF(Z214="울산신항","KRUSN",IF(OR(Z214="선광종합물류(인천여객)",Z214="인천여객(인천여객)"),"KRINF",IF(OR(Z214="선광인천보세(인천신)",Z214="한진인천(인천신)",Z214="선광인천신항(인천신)",Z214="인천더로지스(인천신)"),"KRINN",IF(OR(Z214="인천진아(인천항)",Z214="인천E1(인천항)",Z214="인천SM경인터미널(인천항)",Z214="인천항(인천항)",Z214="인천우련(인천항)",Z214="인천항8부두(인천항)"),"KRINC",VLOOKUP(K214,GLAPS정리!$BB$2:$BC$33,2,0))))))</f>
        <v>#N/A</v>
      </c>
      <c r="AL214" s="2">
        <f t="shared" si="53"/>
        <v>5010001</v>
      </c>
      <c r="AN214" s="70" t="str">
        <f t="shared" si="54"/>
        <v>1900-01-00</v>
      </c>
      <c r="AO214" s="2" t="str">
        <f t="shared" si="55"/>
        <v/>
      </c>
      <c r="AP214" s="2" t="e">
        <f>VLOOKUP(C214,GLAPS정리!$AX$2:$AZ$17,3,0)</f>
        <v>#N/A</v>
      </c>
      <c r="AR214" s="2">
        <f t="shared" si="61"/>
        <v>0</v>
      </c>
      <c r="AX214" s="2" t="e">
        <f>VLOOKUP(L214,GLAPS정리!$V$3:$W$180,2,0)</f>
        <v>#N/A</v>
      </c>
      <c r="BM214" s="2" t="str">
        <f t="shared" si="56"/>
        <v xml:space="preserve"> </v>
      </c>
      <c r="BN214" s="2">
        <f t="shared" si="57"/>
        <v>1</v>
      </c>
      <c r="BR214" s="2" t="str">
        <f t="shared" si="58"/>
        <v/>
      </c>
      <c r="BS214" s="2" t="str">
        <f t="shared" si="59"/>
        <v/>
      </c>
      <c r="BV214" s="2" t="e">
        <f>VLOOKUP(O214,GLAPS정리!$BH$2:$BI$94,2,0)</f>
        <v>#N/A</v>
      </c>
      <c r="BW214" s="2" t="str">
        <f>IF(OR(Z214="동원",Z214="세방",Z214="한타"),"",IFERROR(INDEX(GLAPS정리!$BI$2:$BI$101,MATCH(Z214,GLAPS정리!$BH$2:$BH$101,0)),""))</f>
        <v/>
      </c>
      <c r="BX214" s="2" t="str">
        <f>IF(Z214="","",IFERROR(VLOOKUP(Z214,GLAPS정리!$AX$2:$AZ$17,3,0),""))</f>
        <v/>
      </c>
      <c r="BZ214" s="2" t="e">
        <f>VLOOKUP(H214,GLAPS정리!$L$3:$O$133,2,0)</f>
        <v>#N/A</v>
      </c>
      <c r="CA214" s="2" t="str">
        <f t="shared" si="60"/>
        <v/>
      </c>
      <c r="CL214" s="2" t="e">
        <f>VLOOKUP(AI214,GLAPS정리!$BT$3:$BV$26,3,0)</f>
        <v>#N/A</v>
      </c>
    </row>
    <row r="215" spans="2:90" ht="20.45" customHeight="1">
      <c r="B215" s="13"/>
      <c r="G215" s="3"/>
      <c r="J215" s="3"/>
      <c r="Q215" s="3" t="str">
        <f t="shared" si="48"/>
        <v/>
      </c>
      <c r="R215" s="3" t="str">
        <f t="shared" si="49"/>
        <v/>
      </c>
      <c r="S215" s="3" t="str">
        <f t="shared" si="50"/>
        <v/>
      </c>
      <c r="X215" s="13"/>
      <c r="Y215" s="13"/>
      <c r="Z215" s="91"/>
      <c r="AC215" s="2">
        <f t="shared" si="51"/>
        <v>20</v>
      </c>
      <c r="AD215" s="2" t="str">
        <f>IFERROR(INDEX(GLAPS정리!$D$2:$D$50,MATCH(I215,GLAPS정리!$A$2:$A$50,0)),IFERROR(INDEX(GLAPS정리!$D$2:$D$50,MATCH(I215,GLAPS정리!$B$2:$B$50,0)),""))</f>
        <v/>
      </c>
      <c r="AF215" s="2" t="str">
        <f t="shared" si="52"/>
        <v>KR10</v>
      </c>
      <c r="AI215" s="2" t="e">
        <f>VLOOKUP(F215,GLAPS정리!$G$3:$J$114,2,0)</f>
        <v>#N/A</v>
      </c>
      <c r="AJ215" s="2" t="e">
        <f>IF(Z215="울산정일","KRONS",IF(Z215="울산신항","KRUSN",IF(OR(Z215="선광종합물류(인천여객)",Z215="인천여객(인천여객)"),"KRINF",IF(OR(Z215="선광인천보세(인천신)",Z215="한진인천(인천신)",Z215="선광인천신항(인천신)",Z215="인천더로지스(인천신)"),"KRINN",IF(OR(Z215="인천진아(인천항)",Z215="인천E1(인천항)",Z215="인천SM경인터미널(인천항)",Z215="인천항(인천항)",Z215="인천우련(인천항)",Z215="인천항8부두(인천항)"),"KRINC",VLOOKUP(K215,GLAPS정리!$BB$2:$BC$33,2,0))))))</f>
        <v>#N/A</v>
      </c>
      <c r="AL215" s="2">
        <f t="shared" si="53"/>
        <v>5010001</v>
      </c>
      <c r="AN215" s="70" t="str">
        <f t="shared" si="54"/>
        <v>1900-01-00</v>
      </c>
      <c r="AO215" s="2" t="str">
        <f t="shared" si="55"/>
        <v/>
      </c>
      <c r="AP215" s="2" t="e">
        <f>VLOOKUP(C215,GLAPS정리!$AX$2:$AZ$17,3,0)</f>
        <v>#N/A</v>
      </c>
      <c r="AR215" s="2">
        <f t="shared" si="61"/>
        <v>0</v>
      </c>
      <c r="AX215" s="2" t="e">
        <f>VLOOKUP(L215,GLAPS정리!$V$3:$W$180,2,0)</f>
        <v>#N/A</v>
      </c>
      <c r="BM215" s="2" t="str">
        <f t="shared" si="56"/>
        <v xml:space="preserve"> </v>
      </c>
      <c r="BN215" s="2">
        <f t="shared" si="57"/>
        <v>1</v>
      </c>
      <c r="BR215" s="2" t="str">
        <f t="shared" si="58"/>
        <v/>
      </c>
      <c r="BS215" s="2" t="str">
        <f t="shared" si="59"/>
        <v/>
      </c>
      <c r="BV215" s="2" t="e">
        <f>VLOOKUP(O215,GLAPS정리!$BH$2:$BI$94,2,0)</f>
        <v>#N/A</v>
      </c>
      <c r="BW215" s="2" t="str">
        <f>IF(OR(Z215="동원",Z215="세방",Z215="한타"),"",IFERROR(INDEX(GLAPS정리!$BI$2:$BI$101,MATCH(Z215,GLAPS정리!$BH$2:$BH$101,0)),""))</f>
        <v/>
      </c>
      <c r="BX215" s="2" t="str">
        <f>IF(Z215="","",IFERROR(VLOOKUP(Z215,GLAPS정리!$AX$2:$AZ$17,3,0),""))</f>
        <v/>
      </c>
      <c r="BZ215" s="2" t="e">
        <f>VLOOKUP(H215,GLAPS정리!$L$3:$O$133,2,0)</f>
        <v>#N/A</v>
      </c>
      <c r="CA215" s="2" t="str">
        <f t="shared" si="60"/>
        <v/>
      </c>
      <c r="CL215" s="2" t="e">
        <f>VLOOKUP(AI215,GLAPS정리!$BT$3:$BV$26,3,0)</f>
        <v>#N/A</v>
      </c>
    </row>
    <row r="216" spans="2:90" ht="20.45" customHeight="1">
      <c r="B216" s="13"/>
      <c r="G216" s="3"/>
      <c r="J216" s="3"/>
      <c r="Q216" s="3" t="str">
        <f t="shared" si="48"/>
        <v/>
      </c>
      <c r="R216" s="3" t="str">
        <f t="shared" si="49"/>
        <v/>
      </c>
      <c r="S216" s="3" t="str">
        <f t="shared" si="50"/>
        <v/>
      </c>
      <c r="X216" s="13"/>
      <c r="Y216" s="13"/>
      <c r="Z216" s="91"/>
      <c r="AC216" s="2">
        <f t="shared" si="51"/>
        <v>20</v>
      </c>
      <c r="AD216" s="2" t="str">
        <f>IFERROR(INDEX(GLAPS정리!$D$2:$D$50,MATCH(I216,GLAPS정리!$A$2:$A$50,0)),IFERROR(INDEX(GLAPS정리!$D$2:$D$50,MATCH(I216,GLAPS정리!$B$2:$B$50,0)),""))</f>
        <v/>
      </c>
      <c r="AF216" s="2" t="str">
        <f t="shared" si="52"/>
        <v>KR10</v>
      </c>
      <c r="AI216" s="2" t="e">
        <f>VLOOKUP(F216,GLAPS정리!$G$3:$J$114,2,0)</f>
        <v>#N/A</v>
      </c>
      <c r="AJ216" s="2" t="e">
        <f>IF(Z216="울산정일","KRONS",IF(Z216="울산신항","KRUSN",IF(OR(Z216="선광종합물류(인천여객)",Z216="인천여객(인천여객)"),"KRINF",IF(OR(Z216="선광인천보세(인천신)",Z216="한진인천(인천신)",Z216="선광인천신항(인천신)",Z216="인천더로지스(인천신)"),"KRINN",IF(OR(Z216="인천진아(인천항)",Z216="인천E1(인천항)",Z216="인천SM경인터미널(인천항)",Z216="인천항(인천항)",Z216="인천우련(인천항)",Z216="인천항8부두(인천항)"),"KRINC",VLOOKUP(K216,GLAPS정리!$BB$2:$BC$33,2,0))))))</f>
        <v>#N/A</v>
      </c>
      <c r="AL216" s="2">
        <f t="shared" si="53"/>
        <v>5010001</v>
      </c>
      <c r="AN216" s="70" t="str">
        <f t="shared" si="54"/>
        <v>1900-01-00</v>
      </c>
      <c r="AO216" s="2" t="str">
        <f t="shared" si="55"/>
        <v/>
      </c>
      <c r="AP216" s="2" t="e">
        <f>VLOOKUP(C216,GLAPS정리!$AX$2:$AZ$17,3,0)</f>
        <v>#N/A</v>
      </c>
      <c r="AR216" s="2">
        <f t="shared" si="61"/>
        <v>0</v>
      </c>
      <c r="AX216" s="2" t="e">
        <f>VLOOKUP(L216,GLAPS정리!$V$3:$W$180,2,0)</f>
        <v>#N/A</v>
      </c>
      <c r="BM216" s="2" t="str">
        <f t="shared" si="56"/>
        <v xml:space="preserve"> </v>
      </c>
      <c r="BN216" s="2">
        <f t="shared" si="57"/>
        <v>1</v>
      </c>
      <c r="BR216" s="2" t="str">
        <f t="shared" si="58"/>
        <v/>
      </c>
      <c r="BS216" s="2" t="str">
        <f t="shared" si="59"/>
        <v/>
      </c>
      <c r="BV216" s="2" t="e">
        <f>VLOOKUP(O216,GLAPS정리!$BH$2:$BI$94,2,0)</f>
        <v>#N/A</v>
      </c>
      <c r="BW216" s="2" t="str">
        <f>IF(OR(Z216="동원",Z216="세방",Z216="한타"),"",IFERROR(INDEX(GLAPS정리!$BI$2:$BI$101,MATCH(Z216,GLAPS정리!$BH$2:$BH$101,0)),""))</f>
        <v/>
      </c>
      <c r="BX216" s="2" t="str">
        <f>IF(Z216="","",IFERROR(VLOOKUP(Z216,GLAPS정리!$AX$2:$AZ$17,3,0),""))</f>
        <v/>
      </c>
      <c r="BZ216" s="2" t="e">
        <f>VLOOKUP(H216,GLAPS정리!$L$3:$O$133,2,0)</f>
        <v>#N/A</v>
      </c>
      <c r="CA216" s="2" t="str">
        <f t="shared" si="60"/>
        <v/>
      </c>
      <c r="CL216" s="2" t="e">
        <f>VLOOKUP(AI216,GLAPS정리!$BT$3:$BV$26,3,0)</f>
        <v>#N/A</v>
      </c>
    </row>
    <row r="217" spans="2:90" ht="20.45" customHeight="1">
      <c r="B217" s="13"/>
      <c r="G217" s="3"/>
      <c r="J217" s="3"/>
      <c r="Q217" s="3" t="str">
        <f t="shared" si="48"/>
        <v/>
      </c>
      <c r="R217" s="3" t="str">
        <f t="shared" si="49"/>
        <v/>
      </c>
      <c r="S217" s="3" t="str">
        <f t="shared" si="50"/>
        <v/>
      </c>
      <c r="X217" s="13"/>
      <c r="Y217" s="13"/>
      <c r="Z217" s="91"/>
      <c r="AC217" s="2">
        <f t="shared" si="51"/>
        <v>20</v>
      </c>
      <c r="AD217" s="2" t="str">
        <f>IFERROR(INDEX(GLAPS정리!$D$2:$D$50,MATCH(I217,GLAPS정리!$A$2:$A$50,0)),IFERROR(INDEX(GLAPS정리!$D$2:$D$50,MATCH(I217,GLAPS정리!$B$2:$B$50,0)),""))</f>
        <v/>
      </c>
      <c r="AF217" s="2" t="str">
        <f t="shared" si="52"/>
        <v>KR10</v>
      </c>
      <c r="AI217" s="2" t="e">
        <f>VLOOKUP(F217,GLAPS정리!$G$3:$J$114,2,0)</f>
        <v>#N/A</v>
      </c>
      <c r="AJ217" s="2" t="e">
        <f>IF(Z217="울산정일","KRONS",IF(Z217="울산신항","KRUSN",IF(OR(Z217="선광종합물류(인천여객)",Z217="인천여객(인천여객)"),"KRINF",IF(OR(Z217="선광인천보세(인천신)",Z217="한진인천(인천신)",Z217="선광인천신항(인천신)",Z217="인천더로지스(인천신)"),"KRINN",IF(OR(Z217="인천진아(인천항)",Z217="인천E1(인천항)",Z217="인천SM경인터미널(인천항)",Z217="인천항(인천항)",Z217="인천우련(인천항)",Z217="인천항8부두(인천항)"),"KRINC",VLOOKUP(K217,GLAPS정리!$BB$2:$BC$33,2,0))))))</f>
        <v>#N/A</v>
      </c>
      <c r="AL217" s="2">
        <f t="shared" si="53"/>
        <v>5010001</v>
      </c>
      <c r="AN217" s="70" t="str">
        <f t="shared" si="54"/>
        <v>1900-01-00</v>
      </c>
      <c r="AO217" s="2" t="str">
        <f t="shared" si="55"/>
        <v/>
      </c>
      <c r="AP217" s="2" t="e">
        <f>VLOOKUP(C217,GLAPS정리!$AX$2:$AZ$17,3,0)</f>
        <v>#N/A</v>
      </c>
      <c r="AR217" s="2">
        <f t="shared" si="61"/>
        <v>0</v>
      </c>
      <c r="AX217" s="2" t="e">
        <f>VLOOKUP(L217,GLAPS정리!$V$3:$W$180,2,0)</f>
        <v>#N/A</v>
      </c>
      <c r="BM217" s="2" t="str">
        <f t="shared" si="56"/>
        <v xml:space="preserve"> </v>
      </c>
      <c r="BN217" s="2">
        <f t="shared" si="57"/>
        <v>1</v>
      </c>
      <c r="BR217" s="2" t="str">
        <f t="shared" si="58"/>
        <v/>
      </c>
      <c r="BS217" s="2" t="str">
        <f t="shared" si="59"/>
        <v/>
      </c>
      <c r="BV217" s="2" t="e">
        <f>VLOOKUP(O217,GLAPS정리!$BH$2:$BI$94,2,0)</f>
        <v>#N/A</v>
      </c>
      <c r="BW217" s="2" t="str">
        <f>IF(OR(Z217="동원",Z217="세방",Z217="한타"),"",IFERROR(INDEX(GLAPS정리!$BI$2:$BI$101,MATCH(Z217,GLAPS정리!$BH$2:$BH$101,0)),""))</f>
        <v/>
      </c>
      <c r="BX217" s="2" t="str">
        <f>IF(Z217="","",IFERROR(VLOOKUP(Z217,GLAPS정리!$AX$2:$AZ$17,3,0),""))</f>
        <v/>
      </c>
      <c r="BZ217" s="2" t="e">
        <f>VLOOKUP(H217,GLAPS정리!$L$3:$O$133,2,0)</f>
        <v>#N/A</v>
      </c>
      <c r="CA217" s="2" t="str">
        <f t="shared" si="60"/>
        <v/>
      </c>
      <c r="CL217" s="2" t="e">
        <f>VLOOKUP(AI217,GLAPS정리!$BT$3:$BV$26,3,0)</f>
        <v>#N/A</v>
      </c>
    </row>
    <row r="218" spans="2:90" ht="20.45" customHeight="1">
      <c r="B218" s="13"/>
      <c r="G218" s="3"/>
      <c r="J218" s="3"/>
      <c r="Q218" s="3" t="str">
        <f t="shared" si="48"/>
        <v/>
      </c>
      <c r="R218" s="3" t="str">
        <f t="shared" si="49"/>
        <v/>
      </c>
      <c r="S218" s="3" t="str">
        <f t="shared" si="50"/>
        <v/>
      </c>
      <c r="X218" s="13"/>
      <c r="Y218" s="13"/>
      <c r="Z218" s="91"/>
      <c r="AC218" s="2">
        <f t="shared" si="51"/>
        <v>20</v>
      </c>
      <c r="AD218" s="2" t="str">
        <f>IFERROR(INDEX(GLAPS정리!$D$2:$D$50,MATCH(I218,GLAPS정리!$A$2:$A$50,0)),IFERROR(INDEX(GLAPS정리!$D$2:$D$50,MATCH(I218,GLAPS정리!$B$2:$B$50,0)),""))</f>
        <v/>
      </c>
      <c r="AF218" s="2" t="str">
        <f t="shared" si="52"/>
        <v>KR10</v>
      </c>
      <c r="AI218" s="2" t="e">
        <f>VLOOKUP(F218,GLAPS정리!$G$3:$J$114,2,0)</f>
        <v>#N/A</v>
      </c>
      <c r="AJ218" s="2" t="e">
        <f>IF(Z218="울산정일","KRONS",IF(Z218="울산신항","KRUSN",IF(OR(Z218="선광종합물류(인천여객)",Z218="인천여객(인천여객)"),"KRINF",IF(OR(Z218="선광인천보세(인천신)",Z218="한진인천(인천신)",Z218="선광인천신항(인천신)",Z218="인천더로지스(인천신)"),"KRINN",IF(OR(Z218="인천진아(인천항)",Z218="인천E1(인천항)",Z218="인천SM경인터미널(인천항)",Z218="인천항(인천항)",Z218="인천우련(인천항)",Z218="인천항8부두(인천항)"),"KRINC",VLOOKUP(K218,GLAPS정리!$BB$2:$BC$33,2,0))))))</f>
        <v>#N/A</v>
      </c>
      <c r="AL218" s="2">
        <f t="shared" si="53"/>
        <v>5010001</v>
      </c>
      <c r="AN218" s="70" t="str">
        <f t="shared" si="54"/>
        <v>1900-01-00</v>
      </c>
      <c r="AO218" s="2" t="str">
        <f t="shared" si="55"/>
        <v/>
      </c>
      <c r="AP218" s="2" t="e">
        <f>VLOOKUP(C218,GLAPS정리!$AX$2:$AZ$17,3,0)</f>
        <v>#N/A</v>
      </c>
      <c r="AR218" s="2">
        <f t="shared" si="61"/>
        <v>0</v>
      </c>
      <c r="AX218" s="2" t="e">
        <f>VLOOKUP(L218,GLAPS정리!$V$3:$W$180,2,0)</f>
        <v>#N/A</v>
      </c>
      <c r="BM218" s="2" t="str">
        <f t="shared" si="56"/>
        <v xml:space="preserve"> </v>
      </c>
      <c r="BN218" s="2">
        <f t="shared" si="57"/>
        <v>1</v>
      </c>
      <c r="BR218" s="2" t="str">
        <f t="shared" si="58"/>
        <v/>
      </c>
      <c r="BS218" s="2" t="str">
        <f t="shared" si="59"/>
        <v/>
      </c>
      <c r="BV218" s="2" t="e">
        <f>VLOOKUP(O218,GLAPS정리!$BH$2:$BI$94,2,0)</f>
        <v>#N/A</v>
      </c>
      <c r="BW218" s="2" t="str">
        <f>IF(OR(Z218="동원",Z218="세방",Z218="한타"),"",IFERROR(INDEX(GLAPS정리!$BI$2:$BI$101,MATCH(Z218,GLAPS정리!$BH$2:$BH$101,0)),""))</f>
        <v/>
      </c>
      <c r="BX218" s="2" t="str">
        <f>IF(Z218="","",IFERROR(VLOOKUP(Z218,GLAPS정리!$AX$2:$AZ$17,3,0),""))</f>
        <v/>
      </c>
      <c r="BZ218" s="2" t="e">
        <f>VLOOKUP(H218,GLAPS정리!$L$3:$O$133,2,0)</f>
        <v>#N/A</v>
      </c>
      <c r="CA218" s="2" t="str">
        <f t="shared" si="60"/>
        <v/>
      </c>
      <c r="CL218" s="2" t="e">
        <f>VLOOKUP(AI218,GLAPS정리!$BT$3:$BV$26,3,0)</f>
        <v>#N/A</v>
      </c>
    </row>
    <row r="219" spans="2:90" ht="20.45" customHeight="1">
      <c r="B219" s="13"/>
      <c r="G219" s="3"/>
      <c r="J219" s="3"/>
      <c r="Q219" s="3" t="str">
        <f t="shared" si="48"/>
        <v/>
      </c>
      <c r="R219" s="3" t="str">
        <f t="shared" si="49"/>
        <v/>
      </c>
      <c r="S219" s="3" t="str">
        <f t="shared" si="50"/>
        <v/>
      </c>
      <c r="X219" s="13"/>
      <c r="Y219" s="13"/>
      <c r="Z219" s="91"/>
      <c r="AC219" s="2">
        <f t="shared" si="51"/>
        <v>20</v>
      </c>
      <c r="AD219" s="2" t="str">
        <f>IFERROR(INDEX(GLAPS정리!$D$2:$D$50,MATCH(I219,GLAPS정리!$A$2:$A$50,0)),IFERROR(INDEX(GLAPS정리!$D$2:$D$50,MATCH(I219,GLAPS정리!$B$2:$B$50,0)),""))</f>
        <v/>
      </c>
      <c r="AF219" s="2" t="str">
        <f t="shared" si="52"/>
        <v>KR10</v>
      </c>
      <c r="AI219" s="2" t="e">
        <f>VLOOKUP(F219,GLAPS정리!$G$3:$J$114,2,0)</f>
        <v>#N/A</v>
      </c>
      <c r="AJ219" s="2" t="e">
        <f>IF(Z219="울산정일","KRONS",IF(Z219="울산신항","KRUSN",IF(OR(Z219="선광종합물류(인천여객)",Z219="인천여객(인천여객)"),"KRINF",IF(OR(Z219="선광인천보세(인천신)",Z219="한진인천(인천신)",Z219="선광인천신항(인천신)",Z219="인천더로지스(인천신)"),"KRINN",IF(OR(Z219="인천진아(인천항)",Z219="인천E1(인천항)",Z219="인천SM경인터미널(인천항)",Z219="인천항(인천항)",Z219="인천우련(인천항)",Z219="인천항8부두(인천항)"),"KRINC",VLOOKUP(K219,GLAPS정리!$BB$2:$BC$33,2,0))))))</f>
        <v>#N/A</v>
      </c>
      <c r="AL219" s="2">
        <f t="shared" si="53"/>
        <v>5010001</v>
      </c>
      <c r="AN219" s="70" t="str">
        <f t="shared" si="54"/>
        <v>1900-01-00</v>
      </c>
      <c r="AO219" s="2" t="str">
        <f t="shared" si="55"/>
        <v/>
      </c>
      <c r="AP219" s="2" t="e">
        <f>VLOOKUP(C219,GLAPS정리!$AX$2:$AZ$17,3,0)</f>
        <v>#N/A</v>
      </c>
      <c r="AR219" s="2">
        <f t="shared" si="61"/>
        <v>0</v>
      </c>
      <c r="AX219" s="2" t="e">
        <f>VLOOKUP(L219,GLAPS정리!$V$3:$W$180,2,0)</f>
        <v>#N/A</v>
      </c>
      <c r="BM219" s="2" t="str">
        <f t="shared" si="56"/>
        <v xml:space="preserve"> </v>
      </c>
      <c r="BN219" s="2">
        <f t="shared" si="57"/>
        <v>1</v>
      </c>
      <c r="BR219" s="2" t="str">
        <f t="shared" si="58"/>
        <v/>
      </c>
      <c r="BS219" s="2" t="str">
        <f t="shared" si="59"/>
        <v/>
      </c>
      <c r="BV219" s="2" t="e">
        <f>VLOOKUP(O219,GLAPS정리!$BH$2:$BI$94,2,0)</f>
        <v>#N/A</v>
      </c>
      <c r="BW219" s="2" t="str">
        <f>IF(OR(Z219="동원",Z219="세방",Z219="한타"),"",IFERROR(INDEX(GLAPS정리!$BI$2:$BI$101,MATCH(Z219,GLAPS정리!$BH$2:$BH$101,0)),""))</f>
        <v/>
      </c>
      <c r="BX219" s="2" t="str">
        <f>IF(Z219="","",IFERROR(VLOOKUP(Z219,GLAPS정리!$AX$2:$AZ$17,3,0),""))</f>
        <v/>
      </c>
      <c r="BZ219" s="2" t="e">
        <f>VLOOKUP(H219,GLAPS정리!$L$3:$O$133,2,0)</f>
        <v>#N/A</v>
      </c>
      <c r="CA219" s="2" t="str">
        <f t="shared" si="60"/>
        <v/>
      </c>
      <c r="CL219" s="2" t="e">
        <f>VLOOKUP(AI219,GLAPS정리!$BT$3:$BV$26,3,0)</f>
        <v>#N/A</v>
      </c>
    </row>
    <row r="220" spans="2:90" ht="20.45" customHeight="1">
      <c r="B220" s="13"/>
      <c r="G220" s="3"/>
      <c r="J220" s="3"/>
      <c r="Q220" s="3" t="str">
        <f t="shared" si="48"/>
        <v/>
      </c>
      <c r="R220" s="3" t="str">
        <f t="shared" si="49"/>
        <v/>
      </c>
      <c r="S220" s="3" t="str">
        <f t="shared" si="50"/>
        <v/>
      </c>
      <c r="X220" s="13"/>
      <c r="Y220" s="13"/>
      <c r="Z220" s="91"/>
      <c r="AC220" s="2">
        <f t="shared" si="51"/>
        <v>20</v>
      </c>
      <c r="AD220" s="2" t="str">
        <f>IFERROR(INDEX(GLAPS정리!$D$2:$D$50,MATCH(I220,GLAPS정리!$A$2:$A$50,0)),IFERROR(INDEX(GLAPS정리!$D$2:$D$50,MATCH(I220,GLAPS정리!$B$2:$B$50,0)),""))</f>
        <v/>
      </c>
      <c r="AF220" s="2" t="str">
        <f t="shared" si="52"/>
        <v>KR10</v>
      </c>
      <c r="AI220" s="2" t="e">
        <f>VLOOKUP(F220,GLAPS정리!$G$3:$J$114,2,0)</f>
        <v>#N/A</v>
      </c>
      <c r="AJ220" s="2" t="e">
        <f>IF(Z220="울산정일","KRONS",IF(Z220="울산신항","KRUSN",IF(OR(Z220="선광종합물류(인천여객)",Z220="인천여객(인천여객)"),"KRINF",IF(OR(Z220="선광인천보세(인천신)",Z220="한진인천(인천신)",Z220="선광인천신항(인천신)",Z220="인천더로지스(인천신)"),"KRINN",IF(OR(Z220="인천진아(인천항)",Z220="인천E1(인천항)",Z220="인천SM경인터미널(인천항)",Z220="인천항(인천항)",Z220="인천우련(인천항)",Z220="인천항8부두(인천항)"),"KRINC",VLOOKUP(K220,GLAPS정리!$BB$2:$BC$33,2,0))))))</f>
        <v>#N/A</v>
      </c>
      <c r="AL220" s="2">
        <f t="shared" si="53"/>
        <v>5010001</v>
      </c>
      <c r="AN220" s="70" t="str">
        <f t="shared" si="54"/>
        <v>1900-01-00</v>
      </c>
      <c r="AO220" s="2" t="str">
        <f t="shared" si="55"/>
        <v/>
      </c>
      <c r="AP220" s="2" t="e">
        <f>VLOOKUP(C220,GLAPS정리!$AX$2:$AZ$17,3,0)</f>
        <v>#N/A</v>
      </c>
      <c r="AR220" s="2">
        <f t="shared" si="61"/>
        <v>0</v>
      </c>
      <c r="AX220" s="2" t="e">
        <f>VLOOKUP(L220,GLAPS정리!$V$3:$W$180,2,0)</f>
        <v>#N/A</v>
      </c>
      <c r="BM220" s="2" t="str">
        <f t="shared" si="56"/>
        <v xml:space="preserve"> </v>
      </c>
      <c r="BN220" s="2">
        <f t="shared" si="57"/>
        <v>1</v>
      </c>
      <c r="BR220" s="2" t="str">
        <f t="shared" si="58"/>
        <v/>
      </c>
      <c r="BS220" s="2" t="str">
        <f t="shared" si="59"/>
        <v/>
      </c>
      <c r="BV220" s="2" t="e">
        <f>VLOOKUP(O220,GLAPS정리!$BH$2:$BI$94,2,0)</f>
        <v>#N/A</v>
      </c>
      <c r="BW220" s="2" t="str">
        <f>IF(OR(Z220="동원",Z220="세방",Z220="한타"),"",IFERROR(INDEX(GLAPS정리!$BI$2:$BI$101,MATCH(Z220,GLAPS정리!$BH$2:$BH$101,0)),""))</f>
        <v/>
      </c>
      <c r="BX220" s="2" t="str">
        <f>IF(Z220="","",IFERROR(VLOOKUP(Z220,GLAPS정리!$AX$2:$AZ$17,3,0),""))</f>
        <v/>
      </c>
      <c r="BZ220" s="2" t="e">
        <f>VLOOKUP(H220,GLAPS정리!$L$3:$O$133,2,0)</f>
        <v>#N/A</v>
      </c>
      <c r="CA220" s="2" t="str">
        <f t="shared" si="60"/>
        <v/>
      </c>
      <c r="CL220" s="2" t="e">
        <f>VLOOKUP(AI220,GLAPS정리!$BT$3:$BV$26,3,0)</f>
        <v>#N/A</v>
      </c>
    </row>
    <row r="221" spans="2:90" ht="20.45" customHeight="1">
      <c r="B221" s="13"/>
      <c r="G221" s="3"/>
      <c r="J221" s="3"/>
      <c r="Q221" s="3" t="str">
        <f t="shared" si="48"/>
        <v/>
      </c>
      <c r="R221" s="3" t="str">
        <f t="shared" si="49"/>
        <v/>
      </c>
      <c r="S221" s="3" t="str">
        <f t="shared" si="50"/>
        <v/>
      </c>
      <c r="X221" s="13"/>
      <c r="Y221" s="13"/>
      <c r="Z221" s="91"/>
      <c r="AC221" s="2">
        <f t="shared" si="51"/>
        <v>20</v>
      </c>
      <c r="AD221" s="2" t="str">
        <f>IFERROR(INDEX(GLAPS정리!$D$2:$D$50,MATCH(I221,GLAPS정리!$A$2:$A$50,0)),IFERROR(INDEX(GLAPS정리!$D$2:$D$50,MATCH(I221,GLAPS정리!$B$2:$B$50,0)),""))</f>
        <v/>
      </c>
      <c r="AF221" s="2" t="str">
        <f t="shared" si="52"/>
        <v>KR10</v>
      </c>
      <c r="AI221" s="2" t="e">
        <f>VLOOKUP(F221,GLAPS정리!$G$3:$J$114,2,0)</f>
        <v>#N/A</v>
      </c>
      <c r="AJ221" s="2" t="e">
        <f>IF(Z221="울산정일","KRONS",IF(Z221="울산신항","KRUSN",IF(OR(Z221="선광종합물류(인천여객)",Z221="인천여객(인천여객)"),"KRINF",IF(OR(Z221="선광인천보세(인천신)",Z221="한진인천(인천신)",Z221="선광인천신항(인천신)",Z221="인천더로지스(인천신)"),"KRINN",IF(OR(Z221="인천진아(인천항)",Z221="인천E1(인천항)",Z221="인천SM경인터미널(인천항)",Z221="인천항(인천항)",Z221="인천우련(인천항)",Z221="인천항8부두(인천항)"),"KRINC",VLOOKUP(K221,GLAPS정리!$BB$2:$BC$33,2,0))))))</f>
        <v>#N/A</v>
      </c>
      <c r="AL221" s="2">
        <f t="shared" si="53"/>
        <v>5010001</v>
      </c>
      <c r="AN221" s="70" t="str">
        <f t="shared" si="54"/>
        <v>1900-01-00</v>
      </c>
      <c r="AO221" s="2" t="str">
        <f t="shared" si="55"/>
        <v/>
      </c>
      <c r="AP221" s="2" t="e">
        <f>VLOOKUP(C221,GLAPS정리!$AX$2:$AZ$17,3,0)</f>
        <v>#N/A</v>
      </c>
      <c r="AR221" s="2">
        <f t="shared" si="61"/>
        <v>0</v>
      </c>
      <c r="AX221" s="2" t="e">
        <f>VLOOKUP(L221,GLAPS정리!$V$3:$W$180,2,0)</f>
        <v>#N/A</v>
      </c>
      <c r="BM221" s="2" t="str">
        <f t="shared" si="56"/>
        <v xml:space="preserve"> </v>
      </c>
      <c r="BN221" s="2">
        <f t="shared" si="57"/>
        <v>1</v>
      </c>
      <c r="BR221" s="2" t="str">
        <f t="shared" si="58"/>
        <v/>
      </c>
      <c r="BS221" s="2" t="str">
        <f t="shared" si="59"/>
        <v/>
      </c>
      <c r="BV221" s="2" t="e">
        <f>VLOOKUP(O221,GLAPS정리!$BH$2:$BI$94,2,0)</f>
        <v>#N/A</v>
      </c>
      <c r="BW221" s="2" t="str">
        <f>IF(OR(Z221="동원",Z221="세방",Z221="한타"),"",IFERROR(INDEX(GLAPS정리!$BI$2:$BI$101,MATCH(Z221,GLAPS정리!$BH$2:$BH$101,0)),""))</f>
        <v/>
      </c>
      <c r="BX221" s="2" t="str">
        <f>IF(Z221="","",IFERROR(VLOOKUP(Z221,GLAPS정리!$AX$2:$AZ$17,3,0),""))</f>
        <v/>
      </c>
      <c r="BZ221" s="2" t="e">
        <f>VLOOKUP(H221,GLAPS정리!$L$3:$O$133,2,0)</f>
        <v>#N/A</v>
      </c>
      <c r="CA221" s="2" t="str">
        <f t="shared" si="60"/>
        <v/>
      </c>
      <c r="CL221" s="2" t="e">
        <f>VLOOKUP(AI221,GLAPS정리!$BT$3:$BV$26,3,0)</f>
        <v>#N/A</v>
      </c>
    </row>
    <row r="222" spans="2:90" ht="20.45" customHeight="1">
      <c r="B222" s="13"/>
      <c r="G222" s="3"/>
      <c r="J222" s="3"/>
      <c r="Q222" s="3" t="str">
        <f t="shared" si="48"/>
        <v/>
      </c>
      <c r="R222" s="3" t="str">
        <f t="shared" si="49"/>
        <v/>
      </c>
      <c r="S222" s="3" t="str">
        <f t="shared" si="50"/>
        <v/>
      </c>
      <c r="X222" s="13"/>
      <c r="Y222" s="13"/>
      <c r="Z222" s="91"/>
      <c r="AC222" s="2">
        <f t="shared" si="51"/>
        <v>20</v>
      </c>
      <c r="AD222" s="2" t="str">
        <f>IFERROR(INDEX(GLAPS정리!$D$2:$D$50,MATCH(I222,GLAPS정리!$A$2:$A$50,0)),IFERROR(INDEX(GLAPS정리!$D$2:$D$50,MATCH(I222,GLAPS정리!$B$2:$B$50,0)),""))</f>
        <v/>
      </c>
      <c r="AF222" s="2" t="str">
        <f t="shared" si="52"/>
        <v>KR10</v>
      </c>
      <c r="AI222" s="2" t="e">
        <f>VLOOKUP(F222,GLAPS정리!$G$3:$J$114,2,0)</f>
        <v>#N/A</v>
      </c>
      <c r="AJ222" s="2" t="e">
        <f>IF(Z222="울산정일","KRONS",IF(Z222="울산신항","KRUSN",IF(OR(Z222="선광종합물류(인천여객)",Z222="인천여객(인천여객)"),"KRINF",IF(OR(Z222="선광인천보세(인천신)",Z222="한진인천(인천신)",Z222="선광인천신항(인천신)",Z222="인천더로지스(인천신)"),"KRINN",IF(OR(Z222="인천진아(인천항)",Z222="인천E1(인천항)",Z222="인천SM경인터미널(인천항)",Z222="인천항(인천항)",Z222="인천우련(인천항)",Z222="인천항8부두(인천항)"),"KRINC",VLOOKUP(K222,GLAPS정리!$BB$2:$BC$33,2,0))))))</f>
        <v>#N/A</v>
      </c>
      <c r="AL222" s="2">
        <f t="shared" si="53"/>
        <v>5010001</v>
      </c>
      <c r="AN222" s="70" t="str">
        <f t="shared" si="54"/>
        <v>1900-01-00</v>
      </c>
      <c r="AO222" s="2" t="str">
        <f t="shared" si="55"/>
        <v/>
      </c>
      <c r="AP222" s="2" t="e">
        <f>VLOOKUP(C222,GLAPS정리!$AX$2:$AZ$17,3,0)</f>
        <v>#N/A</v>
      </c>
      <c r="AR222" s="2">
        <f t="shared" si="61"/>
        <v>0</v>
      </c>
      <c r="AX222" s="2" t="e">
        <f>VLOOKUP(L222,GLAPS정리!$V$3:$W$180,2,0)</f>
        <v>#N/A</v>
      </c>
      <c r="BM222" s="2" t="str">
        <f t="shared" si="56"/>
        <v xml:space="preserve"> </v>
      </c>
      <c r="BN222" s="2">
        <f t="shared" si="57"/>
        <v>1</v>
      </c>
      <c r="BR222" s="2" t="str">
        <f t="shared" si="58"/>
        <v/>
      </c>
      <c r="BS222" s="2" t="str">
        <f t="shared" si="59"/>
        <v/>
      </c>
      <c r="BV222" s="2" t="e">
        <f>VLOOKUP(O222,GLAPS정리!$BH$2:$BI$94,2,0)</f>
        <v>#N/A</v>
      </c>
      <c r="BW222" s="2" t="str">
        <f>IF(OR(Z222="동원",Z222="세방",Z222="한타"),"",IFERROR(INDEX(GLAPS정리!$BI$2:$BI$101,MATCH(Z222,GLAPS정리!$BH$2:$BH$101,0)),""))</f>
        <v/>
      </c>
      <c r="BX222" s="2" t="str">
        <f>IF(Z222="","",IFERROR(VLOOKUP(Z222,GLAPS정리!$AX$2:$AZ$17,3,0),""))</f>
        <v/>
      </c>
      <c r="BZ222" s="2" t="e">
        <f>VLOOKUP(H222,GLAPS정리!$L$3:$O$133,2,0)</f>
        <v>#N/A</v>
      </c>
      <c r="CA222" s="2" t="str">
        <f t="shared" si="60"/>
        <v/>
      </c>
      <c r="CL222" s="2" t="e">
        <f>VLOOKUP(AI222,GLAPS정리!$BT$3:$BV$26,3,0)</f>
        <v>#N/A</v>
      </c>
    </row>
    <row r="223" spans="2:90" ht="20.45" customHeight="1">
      <c r="B223" s="13"/>
      <c r="G223" s="3"/>
      <c r="J223" s="3"/>
      <c r="Q223" s="3" t="str">
        <f t="shared" si="48"/>
        <v/>
      </c>
      <c r="R223" s="3" t="str">
        <f t="shared" si="49"/>
        <v/>
      </c>
      <c r="S223" s="3" t="str">
        <f t="shared" si="50"/>
        <v/>
      </c>
      <c r="X223" s="13"/>
      <c r="Y223" s="13"/>
      <c r="Z223" s="91"/>
      <c r="AC223" s="2">
        <f t="shared" si="51"/>
        <v>20</v>
      </c>
      <c r="AD223" s="2" t="str">
        <f>IFERROR(INDEX(GLAPS정리!$D$2:$D$50,MATCH(I223,GLAPS정리!$A$2:$A$50,0)),IFERROR(INDEX(GLAPS정리!$D$2:$D$50,MATCH(I223,GLAPS정리!$B$2:$B$50,0)),""))</f>
        <v/>
      </c>
      <c r="AF223" s="2" t="str">
        <f t="shared" si="52"/>
        <v>KR10</v>
      </c>
      <c r="AI223" s="2" t="e">
        <f>VLOOKUP(F223,GLAPS정리!$G$3:$J$114,2,0)</f>
        <v>#N/A</v>
      </c>
      <c r="AJ223" s="2" t="e">
        <f>IF(Z223="울산정일","KRONS",IF(Z223="울산신항","KRUSN",IF(OR(Z223="선광종합물류(인천여객)",Z223="인천여객(인천여객)"),"KRINF",IF(OR(Z223="선광인천보세(인천신)",Z223="한진인천(인천신)",Z223="선광인천신항(인천신)",Z223="인천더로지스(인천신)"),"KRINN",IF(OR(Z223="인천진아(인천항)",Z223="인천E1(인천항)",Z223="인천SM경인터미널(인천항)",Z223="인천항(인천항)",Z223="인천우련(인천항)",Z223="인천항8부두(인천항)"),"KRINC",VLOOKUP(K223,GLAPS정리!$BB$2:$BC$33,2,0))))))</f>
        <v>#N/A</v>
      </c>
      <c r="AL223" s="2">
        <f t="shared" si="53"/>
        <v>5010001</v>
      </c>
      <c r="AN223" s="70" t="str">
        <f t="shared" si="54"/>
        <v>1900-01-00</v>
      </c>
      <c r="AO223" s="2" t="str">
        <f t="shared" si="55"/>
        <v/>
      </c>
      <c r="AP223" s="2" t="e">
        <f>VLOOKUP(C223,GLAPS정리!$AX$2:$AZ$17,3,0)</f>
        <v>#N/A</v>
      </c>
      <c r="AR223" s="2">
        <f t="shared" si="61"/>
        <v>0</v>
      </c>
      <c r="AX223" s="2" t="e">
        <f>VLOOKUP(L223,GLAPS정리!$V$3:$W$180,2,0)</f>
        <v>#N/A</v>
      </c>
      <c r="BM223" s="2" t="str">
        <f t="shared" si="56"/>
        <v xml:space="preserve"> </v>
      </c>
      <c r="BN223" s="2">
        <f t="shared" si="57"/>
        <v>1</v>
      </c>
      <c r="BR223" s="2" t="str">
        <f t="shared" si="58"/>
        <v/>
      </c>
      <c r="BS223" s="2" t="str">
        <f t="shared" si="59"/>
        <v/>
      </c>
      <c r="BV223" s="2" t="e">
        <f>VLOOKUP(O223,GLAPS정리!$BH$2:$BI$94,2,0)</f>
        <v>#N/A</v>
      </c>
      <c r="BW223" s="2" t="str">
        <f>IF(OR(Z223="동원",Z223="세방",Z223="한타"),"",IFERROR(INDEX(GLAPS정리!$BI$2:$BI$101,MATCH(Z223,GLAPS정리!$BH$2:$BH$101,0)),""))</f>
        <v/>
      </c>
      <c r="BX223" s="2" t="str">
        <f>IF(Z223="","",IFERROR(VLOOKUP(Z223,GLAPS정리!$AX$2:$AZ$17,3,0),""))</f>
        <v/>
      </c>
      <c r="BZ223" s="2" t="e">
        <f>VLOOKUP(H223,GLAPS정리!$L$3:$O$133,2,0)</f>
        <v>#N/A</v>
      </c>
      <c r="CA223" s="2" t="str">
        <f t="shared" si="60"/>
        <v/>
      </c>
      <c r="CL223" s="2" t="e">
        <f>VLOOKUP(AI223,GLAPS정리!$BT$3:$BV$26,3,0)</f>
        <v>#N/A</v>
      </c>
    </row>
    <row r="224" spans="2:90" ht="20.45" customHeight="1">
      <c r="B224" s="13"/>
      <c r="G224" s="3"/>
      <c r="J224" s="3"/>
      <c r="Q224" s="3" t="str">
        <f t="shared" si="48"/>
        <v/>
      </c>
      <c r="R224" s="3" t="str">
        <f t="shared" si="49"/>
        <v/>
      </c>
      <c r="S224" s="3" t="str">
        <f t="shared" si="50"/>
        <v/>
      </c>
      <c r="X224" s="13"/>
      <c r="Y224" s="13"/>
      <c r="Z224" s="91"/>
      <c r="AC224" s="2">
        <f t="shared" si="51"/>
        <v>20</v>
      </c>
      <c r="AD224" s="2" t="str">
        <f>IFERROR(INDEX(GLAPS정리!$D$2:$D$50,MATCH(I224,GLAPS정리!$A$2:$A$50,0)),IFERROR(INDEX(GLAPS정리!$D$2:$D$50,MATCH(I224,GLAPS정리!$B$2:$B$50,0)),""))</f>
        <v/>
      </c>
      <c r="AF224" s="2" t="str">
        <f t="shared" si="52"/>
        <v>KR10</v>
      </c>
      <c r="AI224" s="2" t="e">
        <f>VLOOKUP(F224,GLAPS정리!$G$3:$J$114,2,0)</f>
        <v>#N/A</v>
      </c>
      <c r="AJ224" s="2" t="e">
        <f>IF(Z224="울산정일","KRONS",IF(Z224="울산신항","KRUSN",IF(OR(Z224="선광종합물류(인천여객)",Z224="인천여객(인천여객)"),"KRINF",IF(OR(Z224="선광인천보세(인천신)",Z224="한진인천(인천신)",Z224="선광인천신항(인천신)",Z224="인천더로지스(인천신)"),"KRINN",IF(OR(Z224="인천진아(인천항)",Z224="인천E1(인천항)",Z224="인천SM경인터미널(인천항)",Z224="인천항(인천항)",Z224="인천우련(인천항)",Z224="인천항8부두(인천항)"),"KRINC",VLOOKUP(K224,GLAPS정리!$BB$2:$BC$33,2,0))))))</f>
        <v>#N/A</v>
      </c>
      <c r="AL224" s="2">
        <f t="shared" si="53"/>
        <v>5010001</v>
      </c>
      <c r="AN224" s="70" t="str">
        <f t="shared" si="54"/>
        <v>1900-01-00</v>
      </c>
      <c r="AO224" s="2" t="str">
        <f t="shared" si="55"/>
        <v/>
      </c>
      <c r="AP224" s="2" t="e">
        <f>VLOOKUP(C224,GLAPS정리!$AX$2:$AZ$17,3,0)</f>
        <v>#N/A</v>
      </c>
      <c r="AR224" s="2">
        <f t="shared" si="61"/>
        <v>0</v>
      </c>
      <c r="AX224" s="2" t="e">
        <f>VLOOKUP(L224,GLAPS정리!$V$3:$W$180,2,0)</f>
        <v>#N/A</v>
      </c>
      <c r="BM224" s="2" t="str">
        <f t="shared" si="56"/>
        <v xml:space="preserve"> </v>
      </c>
      <c r="BN224" s="2">
        <f t="shared" si="57"/>
        <v>1</v>
      </c>
      <c r="BR224" s="2" t="str">
        <f t="shared" si="58"/>
        <v/>
      </c>
      <c r="BS224" s="2" t="str">
        <f t="shared" si="59"/>
        <v/>
      </c>
      <c r="BV224" s="2" t="e">
        <f>VLOOKUP(O224,GLAPS정리!$BH$2:$BI$94,2,0)</f>
        <v>#N/A</v>
      </c>
      <c r="BW224" s="2" t="str">
        <f>IF(OR(Z224="동원",Z224="세방",Z224="한타"),"",IFERROR(INDEX(GLAPS정리!$BI$2:$BI$101,MATCH(Z224,GLAPS정리!$BH$2:$BH$101,0)),""))</f>
        <v/>
      </c>
      <c r="BX224" s="2" t="str">
        <f>IF(Z224="","",IFERROR(VLOOKUP(Z224,GLAPS정리!$AX$2:$AZ$17,3,0),""))</f>
        <v/>
      </c>
      <c r="BZ224" s="2" t="e">
        <f>VLOOKUP(H224,GLAPS정리!$L$3:$O$133,2,0)</f>
        <v>#N/A</v>
      </c>
      <c r="CA224" s="2" t="str">
        <f t="shared" si="60"/>
        <v/>
      </c>
      <c r="CL224" s="2" t="e">
        <f>VLOOKUP(AI224,GLAPS정리!$BT$3:$BV$26,3,0)</f>
        <v>#N/A</v>
      </c>
    </row>
    <row r="225" spans="2:90" ht="20.45" customHeight="1">
      <c r="B225" s="13"/>
      <c r="G225" s="3"/>
      <c r="J225" s="3"/>
      <c r="Q225" s="3" t="str">
        <f t="shared" si="48"/>
        <v/>
      </c>
      <c r="R225" s="3" t="str">
        <f t="shared" si="49"/>
        <v/>
      </c>
      <c r="S225" s="3" t="str">
        <f t="shared" si="50"/>
        <v/>
      </c>
      <c r="X225" s="13"/>
      <c r="Y225" s="13"/>
      <c r="Z225" s="91"/>
      <c r="AC225" s="2">
        <f t="shared" si="51"/>
        <v>20</v>
      </c>
      <c r="AD225" s="2" t="str">
        <f>IFERROR(INDEX(GLAPS정리!$D$2:$D$50,MATCH(I225,GLAPS정리!$A$2:$A$50,0)),IFERROR(INDEX(GLAPS정리!$D$2:$D$50,MATCH(I225,GLAPS정리!$B$2:$B$50,0)),""))</f>
        <v/>
      </c>
      <c r="AF225" s="2" t="str">
        <f t="shared" si="52"/>
        <v>KR10</v>
      </c>
      <c r="AI225" s="2" t="e">
        <f>VLOOKUP(F225,GLAPS정리!$G$3:$J$114,2,0)</f>
        <v>#N/A</v>
      </c>
      <c r="AJ225" s="2" t="e">
        <f>IF(Z225="울산정일","KRONS",IF(Z225="울산신항","KRUSN",IF(OR(Z225="선광종합물류(인천여객)",Z225="인천여객(인천여객)"),"KRINF",IF(OR(Z225="선광인천보세(인천신)",Z225="한진인천(인천신)",Z225="선광인천신항(인천신)",Z225="인천더로지스(인천신)"),"KRINN",IF(OR(Z225="인천진아(인천항)",Z225="인천E1(인천항)",Z225="인천SM경인터미널(인천항)",Z225="인천항(인천항)",Z225="인천우련(인천항)",Z225="인천항8부두(인천항)"),"KRINC",VLOOKUP(K225,GLAPS정리!$BB$2:$BC$33,2,0))))))</f>
        <v>#N/A</v>
      </c>
      <c r="AL225" s="2">
        <f t="shared" si="53"/>
        <v>5010001</v>
      </c>
      <c r="AN225" s="70" t="str">
        <f t="shared" si="54"/>
        <v>1900-01-00</v>
      </c>
      <c r="AO225" s="2" t="str">
        <f t="shared" si="55"/>
        <v/>
      </c>
      <c r="AP225" s="2" t="e">
        <f>VLOOKUP(C225,GLAPS정리!$AX$2:$AZ$17,3,0)</f>
        <v>#N/A</v>
      </c>
      <c r="AR225" s="2">
        <f t="shared" si="61"/>
        <v>0</v>
      </c>
      <c r="AX225" s="2" t="e">
        <f>VLOOKUP(L225,GLAPS정리!$V$3:$W$180,2,0)</f>
        <v>#N/A</v>
      </c>
      <c r="BM225" s="2" t="str">
        <f t="shared" si="56"/>
        <v xml:space="preserve"> </v>
      </c>
      <c r="BN225" s="2">
        <f t="shared" si="57"/>
        <v>1</v>
      </c>
      <c r="BR225" s="2" t="str">
        <f t="shared" si="58"/>
        <v/>
      </c>
      <c r="BS225" s="2" t="str">
        <f t="shared" si="59"/>
        <v/>
      </c>
      <c r="BV225" s="2" t="e">
        <f>VLOOKUP(O225,GLAPS정리!$BH$2:$BI$94,2,0)</f>
        <v>#N/A</v>
      </c>
      <c r="BW225" s="2" t="str">
        <f>IF(OR(Z225="동원",Z225="세방",Z225="한타"),"",IFERROR(INDEX(GLAPS정리!$BI$2:$BI$101,MATCH(Z225,GLAPS정리!$BH$2:$BH$101,0)),""))</f>
        <v/>
      </c>
      <c r="BX225" s="2" t="str">
        <f>IF(Z225="","",IFERROR(VLOOKUP(Z225,GLAPS정리!$AX$2:$AZ$17,3,0),""))</f>
        <v/>
      </c>
      <c r="BZ225" s="2" t="e">
        <f>VLOOKUP(H225,GLAPS정리!$L$3:$O$133,2,0)</f>
        <v>#N/A</v>
      </c>
      <c r="CA225" s="2" t="str">
        <f t="shared" si="60"/>
        <v/>
      </c>
      <c r="CL225" s="2" t="e">
        <f>VLOOKUP(AI225,GLAPS정리!$BT$3:$BV$26,3,0)</f>
        <v>#N/A</v>
      </c>
    </row>
    <row r="226" spans="2:90" ht="20.45" customHeight="1">
      <c r="B226" s="13"/>
      <c r="G226" s="3"/>
      <c r="J226" s="3"/>
      <c r="Q226" s="3" t="str">
        <f t="shared" si="48"/>
        <v/>
      </c>
      <c r="R226" s="3" t="str">
        <f t="shared" si="49"/>
        <v/>
      </c>
      <c r="S226" s="3" t="str">
        <f t="shared" si="50"/>
        <v/>
      </c>
      <c r="X226" s="13"/>
      <c r="Y226" s="13"/>
      <c r="Z226" s="91"/>
      <c r="AC226" s="2">
        <f t="shared" si="51"/>
        <v>20</v>
      </c>
      <c r="AD226" s="2" t="str">
        <f>IFERROR(INDEX(GLAPS정리!$D$2:$D$50,MATCH(I226,GLAPS정리!$A$2:$A$50,0)),IFERROR(INDEX(GLAPS정리!$D$2:$D$50,MATCH(I226,GLAPS정리!$B$2:$B$50,0)),""))</f>
        <v/>
      </c>
      <c r="AF226" s="2" t="str">
        <f t="shared" si="52"/>
        <v>KR10</v>
      </c>
      <c r="AI226" s="2" t="e">
        <f>VLOOKUP(F226,GLAPS정리!$G$3:$J$114,2,0)</f>
        <v>#N/A</v>
      </c>
      <c r="AJ226" s="2" t="e">
        <f>IF(Z226="울산정일","KRONS",IF(Z226="울산신항","KRUSN",IF(OR(Z226="선광종합물류(인천여객)",Z226="인천여객(인천여객)"),"KRINF",IF(OR(Z226="선광인천보세(인천신)",Z226="한진인천(인천신)",Z226="선광인천신항(인천신)",Z226="인천더로지스(인천신)"),"KRINN",IF(OR(Z226="인천진아(인천항)",Z226="인천E1(인천항)",Z226="인천SM경인터미널(인천항)",Z226="인천항(인천항)",Z226="인천우련(인천항)",Z226="인천항8부두(인천항)"),"KRINC",VLOOKUP(K226,GLAPS정리!$BB$2:$BC$33,2,0))))))</f>
        <v>#N/A</v>
      </c>
      <c r="AL226" s="2">
        <f t="shared" si="53"/>
        <v>5010001</v>
      </c>
      <c r="AN226" s="70" t="str">
        <f t="shared" si="54"/>
        <v>1900-01-00</v>
      </c>
      <c r="AO226" s="2" t="str">
        <f t="shared" si="55"/>
        <v/>
      </c>
      <c r="AP226" s="2" t="e">
        <f>VLOOKUP(C226,GLAPS정리!$AX$2:$AZ$17,3,0)</f>
        <v>#N/A</v>
      </c>
      <c r="AR226" s="2">
        <f t="shared" si="61"/>
        <v>0</v>
      </c>
      <c r="AX226" s="2" t="e">
        <f>VLOOKUP(L226,GLAPS정리!$V$3:$W$180,2,0)</f>
        <v>#N/A</v>
      </c>
      <c r="BM226" s="2" t="str">
        <f t="shared" si="56"/>
        <v xml:space="preserve"> </v>
      </c>
      <c r="BN226" s="2">
        <f t="shared" si="57"/>
        <v>1</v>
      </c>
      <c r="BR226" s="2" t="str">
        <f t="shared" si="58"/>
        <v/>
      </c>
      <c r="BS226" s="2" t="str">
        <f t="shared" si="59"/>
        <v/>
      </c>
      <c r="BV226" s="2" t="e">
        <f>VLOOKUP(O226,GLAPS정리!$BH$2:$BI$94,2,0)</f>
        <v>#N/A</v>
      </c>
      <c r="BW226" s="2" t="str">
        <f>IF(OR(Z226="동원",Z226="세방",Z226="한타"),"",IFERROR(INDEX(GLAPS정리!$BI$2:$BI$101,MATCH(Z226,GLAPS정리!$BH$2:$BH$101,0)),""))</f>
        <v/>
      </c>
      <c r="BX226" s="2" t="str">
        <f>IF(Z226="","",IFERROR(VLOOKUP(Z226,GLAPS정리!$AX$2:$AZ$17,3,0),""))</f>
        <v/>
      </c>
      <c r="BZ226" s="2" t="e">
        <f>VLOOKUP(H226,GLAPS정리!$L$3:$O$133,2,0)</f>
        <v>#N/A</v>
      </c>
      <c r="CA226" s="2" t="str">
        <f t="shared" si="60"/>
        <v/>
      </c>
      <c r="CL226" s="2" t="e">
        <f>VLOOKUP(AI226,GLAPS정리!$BT$3:$BV$26,3,0)</f>
        <v>#N/A</v>
      </c>
    </row>
    <row r="227" spans="2:90" ht="20.45" customHeight="1">
      <c r="B227" s="13"/>
      <c r="G227" s="3"/>
      <c r="J227" s="3"/>
      <c r="Q227" s="3" t="str">
        <f t="shared" si="48"/>
        <v/>
      </c>
      <c r="R227" s="3" t="str">
        <f t="shared" si="49"/>
        <v/>
      </c>
      <c r="S227" s="3" t="str">
        <f t="shared" si="50"/>
        <v/>
      </c>
      <c r="X227" s="13"/>
      <c r="Y227" s="13"/>
      <c r="Z227" s="91"/>
      <c r="AC227" s="2">
        <f t="shared" si="51"/>
        <v>20</v>
      </c>
      <c r="AD227" s="2" t="str">
        <f>IFERROR(INDEX(GLAPS정리!$D$2:$D$50,MATCH(I227,GLAPS정리!$A$2:$A$50,0)),IFERROR(INDEX(GLAPS정리!$D$2:$D$50,MATCH(I227,GLAPS정리!$B$2:$B$50,0)),""))</f>
        <v/>
      </c>
      <c r="AF227" s="2" t="str">
        <f t="shared" si="52"/>
        <v>KR10</v>
      </c>
      <c r="AI227" s="2" t="e">
        <f>VLOOKUP(F227,GLAPS정리!$G$3:$J$114,2,0)</f>
        <v>#N/A</v>
      </c>
      <c r="AJ227" s="2" t="e">
        <f>IF(Z227="울산정일","KRONS",IF(Z227="울산신항","KRUSN",IF(OR(Z227="선광종합물류(인천여객)",Z227="인천여객(인천여객)"),"KRINF",IF(OR(Z227="선광인천보세(인천신)",Z227="한진인천(인천신)",Z227="선광인천신항(인천신)",Z227="인천더로지스(인천신)"),"KRINN",IF(OR(Z227="인천진아(인천항)",Z227="인천E1(인천항)",Z227="인천SM경인터미널(인천항)",Z227="인천항(인천항)",Z227="인천우련(인천항)",Z227="인천항8부두(인천항)"),"KRINC",VLOOKUP(K227,GLAPS정리!$BB$2:$BC$33,2,0))))))</f>
        <v>#N/A</v>
      </c>
      <c r="AL227" s="2">
        <f t="shared" si="53"/>
        <v>5010001</v>
      </c>
      <c r="AN227" s="70" t="str">
        <f t="shared" si="54"/>
        <v>1900-01-00</v>
      </c>
      <c r="AO227" s="2" t="str">
        <f t="shared" si="55"/>
        <v/>
      </c>
      <c r="AP227" s="2" t="e">
        <f>VLOOKUP(C227,GLAPS정리!$AX$2:$AZ$17,3,0)</f>
        <v>#N/A</v>
      </c>
      <c r="AR227" s="2">
        <f t="shared" si="61"/>
        <v>0</v>
      </c>
      <c r="AX227" s="2" t="e">
        <f>VLOOKUP(L227,GLAPS정리!$V$3:$W$180,2,0)</f>
        <v>#N/A</v>
      </c>
      <c r="BM227" s="2" t="str">
        <f t="shared" si="56"/>
        <v xml:space="preserve"> </v>
      </c>
      <c r="BN227" s="2">
        <f t="shared" si="57"/>
        <v>1</v>
      </c>
      <c r="BR227" s="2" t="str">
        <f t="shared" si="58"/>
        <v/>
      </c>
      <c r="BS227" s="2" t="str">
        <f t="shared" si="59"/>
        <v/>
      </c>
      <c r="BV227" s="2" t="e">
        <f>VLOOKUP(O227,GLAPS정리!$BH$2:$BI$94,2,0)</f>
        <v>#N/A</v>
      </c>
      <c r="BW227" s="2" t="str">
        <f>IF(OR(Z227="동원",Z227="세방",Z227="한타"),"",IFERROR(INDEX(GLAPS정리!$BI$2:$BI$101,MATCH(Z227,GLAPS정리!$BH$2:$BH$101,0)),""))</f>
        <v/>
      </c>
      <c r="BX227" s="2" t="str">
        <f>IF(Z227="","",IFERROR(VLOOKUP(Z227,GLAPS정리!$AX$2:$AZ$17,3,0),""))</f>
        <v/>
      </c>
      <c r="BZ227" s="2" t="e">
        <f>VLOOKUP(H227,GLAPS정리!$L$3:$O$133,2,0)</f>
        <v>#N/A</v>
      </c>
      <c r="CA227" s="2" t="str">
        <f t="shared" si="60"/>
        <v/>
      </c>
      <c r="CL227" s="2" t="e">
        <f>VLOOKUP(AI227,GLAPS정리!$BT$3:$BV$26,3,0)</f>
        <v>#N/A</v>
      </c>
    </row>
    <row r="228" spans="2:90" ht="20.45" customHeight="1">
      <c r="B228" s="13"/>
      <c r="G228" s="3"/>
      <c r="J228" s="3"/>
      <c r="Q228" s="3" t="str">
        <f t="shared" si="48"/>
        <v/>
      </c>
      <c r="R228" s="3" t="str">
        <f t="shared" si="49"/>
        <v/>
      </c>
      <c r="S228" s="3" t="str">
        <f t="shared" si="50"/>
        <v/>
      </c>
      <c r="X228" s="13"/>
      <c r="Y228" s="13"/>
      <c r="Z228" s="91"/>
      <c r="AC228" s="2">
        <f t="shared" si="51"/>
        <v>20</v>
      </c>
      <c r="AD228" s="2" t="str">
        <f>IFERROR(INDEX(GLAPS정리!$D$2:$D$50,MATCH(I228,GLAPS정리!$A$2:$A$50,0)),IFERROR(INDEX(GLAPS정리!$D$2:$D$50,MATCH(I228,GLAPS정리!$B$2:$B$50,0)),""))</f>
        <v/>
      </c>
      <c r="AF228" s="2" t="str">
        <f t="shared" si="52"/>
        <v>KR10</v>
      </c>
      <c r="AI228" s="2" t="e">
        <f>VLOOKUP(F228,GLAPS정리!$G$3:$J$114,2,0)</f>
        <v>#N/A</v>
      </c>
      <c r="AJ228" s="2" t="e">
        <f>IF(Z228="울산정일","KRONS",IF(Z228="울산신항","KRUSN",IF(OR(Z228="선광종합물류(인천여객)",Z228="인천여객(인천여객)"),"KRINF",IF(OR(Z228="선광인천보세(인천신)",Z228="한진인천(인천신)",Z228="선광인천신항(인천신)",Z228="인천더로지스(인천신)"),"KRINN",IF(OR(Z228="인천진아(인천항)",Z228="인천E1(인천항)",Z228="인천SM경인터미널(인천항)",Z228="인천항(인천항)",Z228="인천우련(인천항)",Z228="인천항8부두(인천항)"),"KRINC",VLOOKUP(K228,GLAPS정리!$BB$2:$BC$33,2,0))))))</f>
        <v>#N/A</v>
      </c>
      <c r="AL228" s="2">
        <f t="shared" si="53"/>
        <v>5010001</v>
      </c>
      <c r="AN228" s="70" t="str">
        <f t="shared" si="54"/>
        <v>1900-01-00</v>
      </c>
      <c r="AO228" s="2" t="str">
        <f t="shared" si="55"/>
        <v/>
      </c>
      <c r="AP228" s="2" t="e">
        <f>VLOOKUP(C228,GLAPS정리!$AX$2:$AZ$17,3,0)</f>
        <v>#N/A</v>
      </c>
      <c r="AR228" s="2">
        <f t="shared" si="61"/>
        <v>0</v>
      </c>
      <c r="AX228" s="2" t="e">
        <f>VLOOKUP(L228,GLAPS정리!$V$3:$W$180,2,0)</f>
        <v>#N/A</v>
      </c>
      <c r="BM228" s="2" t="str">
        <f t="shared" si="56"/>
        <v xml:space="preserve"> </v>
      </c>
      <c r="BN228" s="2">
        <f t="shared" si="57"/>
        <v>1</v>
      </c>
      <c r="BR228" s="2" t="str">
        <f t="shared" si="58"/>
        <v/>
      </c>
      <c r="BS228" s="2" t="str">
        <f t="shared" si="59"/>
        <v/>
      </c>
      <c r="BV228" s="2" t="e">
        <f>VLOOKUP(O228,GLAPS정리!$BH$2:$BI$94,2,0)</f>
        <v>#N/A</v>
      </c>
      <c r="BW228" s="2" t="str">
        <f>IF(OR(Z228="동원",Z228="세방",Z228="한타"),"",IFERROR(INDEX(GLAPS정리!$BI$2:$BI$101,MATCH(Z228,GLAPS정리!$BH$2:$BH$101,0)),""))</f>
        <v/>
      </c>
      <c r="BX228" s="2" t="str">
        <f>IF(Z228="","",IFERROR(VLOOKUP(Z228,GLAPS정리!$AX$2:$AZ$17,3,0),""))</f>
        <v/>
      </c>
      <c r="BZ228" s="2" t="e">
        <f>VLOOKUP(H228,GLAPS정리!$L$3:$O$133,2,0)</f>
        <v>#N/A</v>
      </c>
      <c r="CA228" s="2" t="str">
        <f t="shared" si="60"/>
        <v/>
      </c>
      <c r="CL228" s="2" t="e">
        <f>VLOOKUP(AI228,GLAPS정리!$BT$3:$BV$26,3,0)</f>
        <v>#N/A</v>
      </c>
    </row>
    <row r="229" spans="2:90" ht="20.45" customHeight="1">
      <c r="B229" s="13"/>
      <c r="G229" s="3"/>
      <c r="J229" s="3"/>
      <c r="Q229" s="3" t="str">
        <f t="shared" si="48"/>
        <v/>
      </c>
      <c r="R229" s="3" t="str">
        <f t="shared" si="49"/>
        <v/>
      </c>
      <c r="S229" s="3" t="str">
        <f t="shared" si="50"/>
        <v/>
      </c>
      <c r="X229" s="13"/>
      <c r="Y229" s="13"/>
      <c r="Z229" s="91"/>
      <c r="AC229" s="2">
        <f t="shared" si="51"/>
        <v>20</v>
      </c>
      <c r="AD229" s="2" t="str">
        <f>IFERROR(INDEX(GLAPS정리!$D$2:$D$50,MATCH(I229,GLAPS정리!$A$2:$A$50,0)),IFERROR(INDEX(GLAPS정리!$D$2:$D$50,MATCH(I229,GLAPS정리!$B$2:$B$50,0)),""))</f>
        <v/>
      </c>
      <c r="AF229" s="2" t="str">
        <f t="shared" si="52"/>
        <v>KR10</v>
      </c>
      <c r="AI229" s="2" t="e">
        <f>VLOOKUP(F229,GLAPS정리!$G$3:$J$114,2,0)</f>
        <v>#N/A</v>
      </c>
      <c r="AJ229" s="2" t="e">
        <f>IF(Z229="울산정일","KRONS",IF(Z229="울산신항","KRUSN",IF(OR(Z229="선광종합물류(인천여객)",Z229="인천여객(인천여객)"),"KRINF",IF(OR(Z229="선광인천보세(인천신)",Z229="한진인천(인천신)",Z229="선광인천신항(인천신)",Z229="인천더로지스(인천신)"),"KRINN",IF(OR(Z229="인천진아(인천항)",Z229="인천E1(인천항)",Z229="인천SM경인터미널(인천항)",Z229="인천항(인천항)",Z229="인천우련(인천항)",Z229="인천항8부두(인천항)"),"KRINC",VLOOKUP(K229,GLAPS정리!$BB$2:$BC$33,2,0))))))</f>
        <v>#N/A</v>
      </c>
      <c r="AL229" s="2">
        <f t="shared" si="53"/>
        <v>5010001</v>
      </c>
      <c r="AN229" s="70" t="str">
        <f t="shared" si="54"/>
        <v>1900-01-00</v>
      </c>
      <c r="AO229" s="2" t="str">
        <f t="shared" si="55"/>
        <v/>
      </c>
      <c r="AP229" s="2" t="e">
        <f>VLOOKUP(C229,GLAPS정리!$AX$2:$AZ$17,3,0)</f>
        <v>#N/A</v>
      </c>
      <c r="AR229" s="2">
        <f t="shared" si="61"/>
        <v>0</v>
      </c>
      <c r="AX229" s="2" t="e">
        <f>VLOOKUP(L229,GLAPS정리!$V$3:$W$180,2,0)</f>
        <v>#N/A</v>
      </c>
      <c r="BM229" s="2" t="str">
        <f t="shared" si="56"/>
        <v xml:space="preserve"> </v>
      </c>
      <c r="BN229" s="2">
        <f t="shared" si="57"/>
        <v>1</v>
      </c>
      <c r="BR229" s="2" t="str">
        <f t="shared" si="58"/>
        <v/>
      </c>
      <c r="BS229" s="2" t="str">
        <f t="shared" si="59"/>
        <v/>
      </c>
      <c r="BV229" s="2" t="e">
        <f>VLOOKUP(O229,GLAPS정리!$BH$2:$BI$94,2,0)</f>
        <v>#N/A</v>
      </c>
      <c r="BW229" s="2" t="str">
        <f>IF(OR(Z229="동원",Z229="세방",Z229="한타"),"",IFERROR(INDEX(GLAPS정리!$BI$2:$BI$101,MATCH(Z229,GLAPS정리!$BH$2:$BH$101,0)),""))</f>
        <v/>
      </c>
      <c r="BX229" s="2" t="str">
        <f>IF(Z229="","",IFERROR(VLOOKUP(Z229,GLAPS정리!$AX$2:$AZ$17,3,0),""))</f>
        <v/>
      </c>
      <c r="BZ229" s="2" t="e">
        <f>VLOOKUP(H229,GLAPS정리!$L$3:$O$133,2,0)</f>
        <v>#N/A</v>
      </c>
      <c r="CA229" s="2" t="str">
        <f t="shared" si="60"/>
        <v/>
      </c>
      <c r="CL229" s="2" t="e">
        <f>VLOOKUP(AI229,GLAPS정리!$BT$3:$BV$26,3,0)</f>
        <v>#N/A</v>
      </c>
    </row>
    <row r="230" spans="2:90" ht="20.45" customHeight="1">
      <c r="B230" s="13"/>
      <c r="G230" s="3"/>
      <c r="J230" s="3"/>
      <c r="Q230" s="3" t="str">
        <f t="shared" si="48"/>
        <v/>
      </c>
      <c r="R230" s="3" t="str">
        <f t="shared" si="49"/>
        <v/>
      </c>
      <c r="S230" s="3" t="str">
        <f t="shared" si="50"/>
        <v/>
      </c>
      <c r="X230" s="13"/>
      <c r="Y230" s="13"/>
      <c r="Z230" s="91"/>
      <c r="AC230" s="2">
        <f t="shared" si="51"/>
        <v>20</v>
      </c>
      <c r="AD230" s="2" t="str">
        <f>IFERROR(INDEX(GLAPS정리!$D$2:$D$50,MATCH(I230,GLAPS정리!$A$2:$A$50,0)),IFERROR(INDEX(GLAPS정리!$D$2:$D$50,MATCH(I230,GLAPS정리!$B$2:$B$50,0)),""))</f>
        <v/>
      </c>
      <c r="AF230" s="2" t="str">
        <f t="shared" si="52"/>
        <v>KR10</v>
      </c>
      <c r="AI230" s="2" t="e">
        <f>VLOOKUP(F230,GLAPS정리!$G$3:$J$114,2,0)</f>
        <v>#N/A</v>
      </c>
      <c r="AJ230" s="2" t="e">
        <f>IF(Z230="울산정일","KRONS",IF(Z230="울산신항","KRUSN",IF(OR(Z230="선광종합물류(인천여객)",Z230="인천여객(인천여객)"),"KRINF",IF(OR(Z230="선광인천보세(인천신)",Z230="한진인천(인천신)",Z230="선광인천신항(인천신)",Z230="인천더로지스(인천신)"),"KRINN",IF(OR(Z230="인천진아(인천항)",Z230="인천E1(인천항)",Z230="인천SM경인터미널(인천항)",Z230="인천항(인천항)",Z230="인천우련(인천항)",Z230="인천항8부두(인천항)"),"KRINC",VLOOKUP(K230,GLAPS정리!$BB$2:$BC$33,2,0))))))</f>
        <v>#N/A</v>
      </c>
      <c r="AL230" s="2">
        <f t="shared" si="53"/>
        <v>5010001</v>
      </c>
      <c r="AN230" s="70" t="str">
        <f t="shared" si="54"/>
        <v>1900-01-00</v>
      </c>
      <c r="AO230" s="2" t="str">
        <f t="shared" si="55"/>
        <v/>
      </c>
      <c r="AP230" s="2" t="e">
        <f>VLOOKUP(C230,GLAPS정리!$AX$2:$AZ$17,3,0)</f>
        <v>#N/A</v>
      </c>
      <c r="AR230" s="2">
        <f t="shared" si="61"/>
        <v>0</v>
      </c>
      <c r="AX230" s="2" t="e">
        <f>VLOOKUP(L230,GLAPS정리!$V$3:$W$180,2,0)</f>
        <v>#N/A</v>
      </c>
      <c r="BM230" s="2" t="str">
        <f t="shared" si="56"/>
        <v xml:space="preserve"> </v>
      </c>
      <c r="BN230" s="2">
        <f t="shared" si="57"/>
        <v>1</v>
      </c>
      <c r="BR230" s="2" t="str">
        <f t="shared" si="58"/>
        <v/>
      </c>
      <c r="BS230" s="2" t="str">
        <f t="shared" si="59"/>
        <v/>
      </c>
      <c r="BV230" s="2" t="e">
        <f>VLOOKUP(O230,GLAPS정리!$BH$2:$BI$94,2,0)</f>
        <v>#N/A</v>
      </c>
      <c r="BW230" s="2" t="str">
        <f>IF(OR(Z230="동원",Z230="세방",Z230="한타"),"",IFERROR(INDEX(GLAPS정리!$BI$2:$BI$101,MATCH(Z230,GLAPS정리!$BH$2:$BH$101,0)),""))</f>
        <v/>
      </c>
      <c r="BX230" s="2" t="str">
        <f>IF(Z230="","",IFERROR(VLOOKUP(Z230,GLAPS정리!$AX$2:$AZ$17,3,0),""))</f>
        <v/>
      </c>
      <c r="BZ230" s="2" t="e">
        <f>VLOOKUP(H230,GLAPS정리!$L$3:$O$133,2,0)</f>
        <v>#N/A</v>
      </c>
      <c r="CA230" s="2" t="str">
        <f t="shared" si="60"/>
        <v/>
      </c>
      <c r="CL230" s="2" t="e">
        <f>VLOOKUP(AI230,GLAPS정리!$BT$3:$BV$26,3,0)</f>
        <v>#N/A</v>
      </c>
    </row>
    <row r="231" spans="2:90" ht="20.45" customHeight="1">
      <c r="B231" s="13"/>
      <c r="G231" s="3"/>
      <c r="J231" s="3"/>
      <c r="Q231" s="3" t="str">
        <f t="shared" si="48"/>
        <v/>
      </c>
      <c r="R231" s="3" t="str">
        <f t="shared" si="49"/>
        <v/>
      </c>
      <c r="S231" s="3" t="str">
        <f t="shared" si="50"/>
        <v/>
      </c>
      <c r="X231" s="13"/>
      <c r="Y231" s="13"/>
      <c r="Z231" s="91"/>
      <c r="AC231" s="2">
        <f t="shared" si="51"/>
        <v>20</v>
      </c>
      <c r="AD231" s="2" t="str">
        <f>IFERROR(INDEX(GLAPS정리!$D$2:$D$50,MATCH(I231,GLAPS정리!$A$2:$A$50,0)),IFERROR(INDEX(GLAPS정리!$D$2:$D$50,MATCH(I231,GLAPS정리!$B$2:$B$50,0)),""))</f>
        <v/>
      </c>
      <c r="AF231" s="2" t="str">
        <f t="shared" si="52"/>
        <v>KR10</v>
      </c>
      <c r="AI231" s="2" t="e">
        <f>VLOOKUP(F231,GLAPS정리!$G$3:$J$114,2,0)</f>
        <v>#N/A</v>
      </c>
      <c r="AJ231" s="2" t="e">
        <f>IF(Z231="울산정일","KRONS",IF(Z231="울산신항","KRUSN",IF(OR(Z231="선광종합물류(인천여객)",Z231="인천여객(인천여객)"),"KRINF",IF(OR(Z231="선광인천보세(인천신)",Z231="한진인천(인천신)",Z231="선광인천신항(인천신)",Z231="인천더로지스(인천신)"),"KRINN",IF(OR(Z231="인천진아(인천항)",Z231="인천E1(인천항)",Z231="인천SM경인터미널(인천항)",Z231="인천항(인천항)",Z231="인천우련(인천항)",Z231="인천항8부두(인천항)"),"KRINC",VLOOKUP(K231,GLAPS정리!$BB$2:$BC$33,2,0))))))</f>
        <v>#N/A</v>
      </c>
      <c r="AL231" s="2">
        <f t="shared" si="53"/>
        <v>5010001</v>
      </c>
      <c r="AN231" s="70" t="str">
        <f t="shared" si="54"/>
        <v>1900-01-00</v>
      </c>
      <c r="AO231" s="2" t="str">
        <f t="shared" si="55"/>
        <v/>
      </c>
      <c r="AP231" s="2" t="e">
        <f>VLOOKUP(C231,GLAPS정리!$AX$2:$AZ$17,3,0)</f>
        <v>#N/A</v>
      </c>
      <c r="AR231" s="2">
        <f t="shared" si="61"/>
        <v>0</v>
      </c>
      <c r="AX231" s="2" t="e">
        <f>VLOOKUP(L231,GLAPS정리!$V$3:$W$180,2,0)</f>
        <v>#N/A</v>
      </c>
      <c r="BM231" s="2" t="str">
        <f t="shared" si="56"/>
        <v xml:space="preserve"> </v>
      </c>
      <c r="BN231" s="2">
        <f t="shared" si="57"/>
        <v>1</v>
      </c>
      <c r="BR231" s="2" t="str">
        <f t="shared" si="58"/>
        <v/>
      </c>
      <c r="BS231" s="2" t="str">
        <f t="shared" si="59"/>
        <v/>
      </c>
      <c r="BV231" s="2" t="e">
        <f>VLOOKUP(O231,GLAPS정리!$BH$2:$BI$94,2,0)</f>
        <v>#N/A</v>
      </c>
      <c r="BW231" s="2" t="str">
        <f>IF(OR(Z231="동원",Z231="세방",Z231="한타"),"",IFERROR(INDEX(GLAPS정리!$BI$2:$BI$101,MATCH(Z231,GLAPS정리!$BH$2:$BH$101,0)),""))</f>
        <v/>
      </c>
      <c r="BX231" s="2" t="str">
        <f>IF(Z231="","",IFERROR(VLOOKUP(Z231,GLAPS정리!$AX$2:$AZ$17,3,0),""))</f>
        <v/>
      </c>
      <c r="BZ231" s="2" t="e">
        <f>VLOOKUP(H231,GLAPS정리!$L$3:$O$133,2,0)</f>
        <v>#N/A</v>
      </c>
      <c r="CA231" s="2" t="str">
        <f t="shared" si="60"/>
        <v/>
      </c>
      <c r="CL231" s="2" t="e">
        <f>VLOOKUP(AI231,GLAPS정리!$BT$3:$BV$26,3,0)</f>
        <v>#N/A</v>
      </c>
    </row>
    <row r="232" spans="2:90" ht="20.45" customHeight="1">
      <c r="B232" s="13"/>
      <c r="G232" s="3"/>
      <c r="J232" s="3"/>
      <c r="Q232" s="3" t="str">
        <f t="shared" si="48"/>
        <v/>
      </c>
      <c r="R232" s="3" t="str">
        <f t="shared" si="49"/>
        <v/>
      </c>
      <c r="S232" s="3" t="str">
        <f t="shared" si="50"/>
        <v/>
      </c>
      <c r="X232" s="13"/>
      <c r="Y232" s="13"/>
      <c r="Z232" s="91"/>
      <c r="AC232" s="2">
        <f t="shared" si="51"/>
        <v>20</v>
      </c>
      <c r="AD232" s="2" t="str">
        <f>IFERROR(INDEX(GLAPS정리!$D$2:$D$50,MATCH(I232,GLAPS정리!$A$2:$A$50,0)),IFERROR(INDEX(GLAPS정리!$D$2:$D$50,MATCH(I232,GLAPS정리!$B$2:$B$50,0)),""))</f>
        <v/>
      </c>
      <c r="AF232" s="2" t="str">
        <f t="shared" si="52"/>
        <v>KR10</v>
      </c>
      <c r="AI232" s="2" t="e">
        <f>VLOOKUP(F232,GLAPS정리!$G$3:$J$114,2,0)</f>
        <v>#N/A</v>
      </c>
      <c r="AJ232" s="2" t="e">
        <f>IF(Z232="울산정일","KRONS",IF(Z232="울산신항","KRUSN",IF(OR(Z232="선광종합물류(인천여객)",Z232="인천여객(인천여객)"),"KRINF",IF(OR(Z232="선광인천보세(인천신)",Z232="한진인천(인천신)",Z232="선광인천신항(인천신)",Z232="인천더로지스(인천신)"),"KRINN",IF(OR(Z232="인천진아(인천항)",Z232="인천E1(인천항)",Z232="인천SM경인터미널(인천항)",Z232="인천항(인천항)",Z232="인천우련(인천항)",Z232="인천항8부두(인천항)"),"KRINC",VLOOKUP(K232,GLAPS정리!$BB$2:$BC$33,2,0))))))</f>
        <v>#N/A</v>
      </c>
      <c r="AL232" s="2">
        <f t="shared" si="53"/>
        <v>5010001</v>
      </c>
      <c r="AN232" s="70" t="str">
        <f t="shared" si="54"/>
        <v>1900-01-00</v>
      </c>
      <c r="AO232" s="2" t="str">
        <f t="shared" si="55"/>
        <v/>
      </c>
      <c r="AP232" s="2" t="e">
        <f>VLOOKUP(C232,GLAPS정리!$AX$2:$AZ$17,3,0)</f>
        <v>#N/A</v>
      </c>
      <c r="AR232" s="2">
        <f t="shared" si="61"/>
        <v>0</v>
      </c>
      <c r="AX232" s="2" t="e">
        <f>VLOOKUP(L232,GLAPS정리!$V$3:$W$180,2,0)</f>
        <v>#N/A</v>
      </c>
      <c r="BM232" s="2" t="str">
        <f t="shared" si="56"/>
        <v xml:space="preserve"> </v>
      </c>
      <c r="BN232" s="2">
        <f t="shared" si="57"/>
        <v>1</v>
      </c>
      <c r="BR232" s="2" t="str">
        <f t="shared" si="58"/>
        <v/>
      </c>
      <c r="BS232" s="2" t="str">
        <f t="shared" si="59"/>
        <v/>
      </c>
      <c r="BV232" s="2" t="e">
        <f>VLOOKUP(O232,GLAPS정리!$BH$2:$BI$94,2,0)</f>
        <v>#N/A</v>
      </c>
      <c r="BW232" s="2" t="str">
        <f>IF(OR(Z232="동원",Z232="세방",Z232="한타"),"",IFERROR(INDEX(GLAPS정리!$BI$2:$BI$101,MATCH(Z232,GLAPS정리!$BH$2:$BH$101,0)),""))</f>
        <v/>
      </c>
      <c r="BX232" s="2" t="str">
        <f>IF(Z232="","",IFERROR(VLOOKUP(Z232,GLAPS정리!$AX$2:$AZ$17,3,0),""))</f>
        <v/>
      </c>
      <c r="BZ232" s="2" t="e">
        <f>VLOOKUP(H232,GLAPS정리!$L$3:$O$133,2,0)</f>
        <v>#N/A</v>
      </c>
      <c r="CA232" s="2" t="str">
        <f t="shared" si="60"/>
        <v/>
      </c>
      <c r="CL232" s="2" t="e">
        <f>VLOOKUP(AI232,GLAPS정리!$BT$3:$BV$26,3,0)</f>
        <v>#N/A</v>
      </c>
    </row>
    <row r="233" spans="2:90" ht="20.45" customHeight="1">
      <c r="B233" s="13"/>
      <c r="G233" s="3"/>
      <c r="J233" s="3"/>
      <c r="Q233" s="3" t="str">
        <f t="shared" si="48"/>
        <v/>
      </c>
      <c r="R233" s="3" t="str">
        <f t="shared" si="49"/>
        <v/>
      </c>
      <c r="S233" s="3" t="str">
        <f t="shared" si="50"/>
        <v/>
      </c>
      <c r="X233" s="13"/>
      <c r="Y233" s="13"/>
      <c r="Z233" s="91"/>
      <c r="AC233" s="2">
        <f t="shared" si="51"/>
        <v>20</v>
      </c>
      <c r="AD233" s="2" t="str">
        <f>IFERROR(INDEX(GLAPS정리!$D$2:$D$50,MATCH(I233,GLAPS정리!$A$2:$A$50,0)),IFERROR(INDEX(GLAPS정리!$D$2:$D$50,MATCH(I233,GLAPS정리!$B$2:$B$50,0)),""))</f>
        <v/>
      </c>
      <c r="AF233" s="2" t="str">
        <f t="shared" si="52"/>
        <v>KR10</v>
      </c>
      <c r="AI233" s="2" t="e">
        <f>VLOOKUP(F233,GLAPS정리!$G$3:$J$114,2,0)</f>
        <v>#N/A</v>
      </c>
      <c r="AJ233" s="2" t="e">
        <f>IF(Z233="울산정일","KRONS",IF(Z233="울산신항","KRUSN",IF(OR(Z233="선광종합물류(인천여객)",Z233="인천여객(인천여객)"),"KRINF",IF(OR(Z233="선광인천보세(인천신)",Z233="한진인천(인천신)",Z233="선광인천신항(인천신)",Z233="인천더로지스(인천신)"),"KRINN",IF(OR(Z233="인천진아(인천항)",Z233="인천E1(인천항)",Z233="인천SM경인터미널(인천항)",Z233="인천항(인천항)",Z233="인천우련(인천항)",Z233="인천항8부두(인천항)"),"KRINC",VLOOKUP(K233,GLAPS정리!$BB$2:$BC$33,2,0))))))</f>
        <v>#N/A</v>
      </c>
      <c r="AL233" s="2">
        <f t="shared" si="53"/>
        <v>5010001</v>
      </c>
      <c r="AN233" s="70" t="str">
        <f t="shared" si="54"/>
        <v>1900-01-00</v>
      </c>
      <c r="AO233" s="2" t="str">
        <f t="shared" si="55"/>
        <v/>
      </c>
      <c r="AP233" s="2" t="e">
        <f>VLOOKUP(C233,GLAPS정리!$AX$2:$AZ$17,3,0)</f>
        <v>#N/A</v>
      </c>
      <c r="AR233" s="2">
        <f t="shared" si="61"/>
        <v>0</v>
      </c>
      <c r="AX233" s="2" t="e">
        <f>VLOOKUP(L233,GLAPS정리!$V$3:$W$180,2,0)</f>
        <v>#N/A</v>
      </c>
      <c r="BM233" s="2" t="str">
        <f t="shared" si="56"/>
        <v xml:space="preserve"> </v>
      </c>
      <c r="BN233" s="2">
        <f t="shared" si="57"/>
        <v>1</v>
      </c>
      <c r="BR233" s="2" t="str">
        <f t="shared" si="58"/>
        <v/>
      </c>
      <c r="BS233" s="2" t="str">
        <f t="shared" si="59"/>
        <v/>
      </c>
      <c r="BV233" s="2" t="e">
        <f>VLOOKUP(O233,GLAPS정리!$BH$2:$BI$94,2,0)</f>
        <v>#N/A</v>
      </c>
      <c r="BW233" s="2" t="str">
        <f>IF(OR(Z233="동원",Z233="세방",Z233="한타"),"",IFERROR(INDEX(GLAPS정리!$BI$2:$BI$101,MATCH(Z233,GLAPS정리!$BH$2:$BH$101,0)),""))</f>
        <v/>
      </c>
      <c r="BX233" s="2" t="str">
        <f>IF(Z233="","",IFERROR(VLOOKUP(Z233,GLAPS정리!$AX$2:$AZ$17,3,0),""))</f>
        <v/>
      </c>
      <c r="BZ233" s="2" t="e">
        <f>VLOOKUP(H233,GLAPS정리!$L$3:$O$133,2,0)</f>
        <v>#N/A</v>
      </c>
      <c r="CA233" s="2" t="str">
        <f t="shared" si="60"/>
        <v/>
      </c>
      <c r="CL233" s="2" t="e">
        <f>VLOOKUP(AI233,GLAPS정리!$BT$3:$BV$26,3,0)</f>
        <v>#N/A</v>
      </c>
    </row>
    <row r="234" spans="2:90" ht="20.45" customHeight="1">
      <c r="B234" s="13"/>
      <c r="G234" s="3"/>
      <c r="J234" s="3"/>
      <c r="Q234" s="3" t="str">
        <f t="shared" si="48"/>
        <v/>
      </c>
      <c r="R234" s="3" t="str">
        <f t="shared" si="49"/>
        <v/>
      </c>
      <c r="S234" s="3" t="str">
        <f t="shared" si="50"/>
        <v/>
      </c>
      <c r="X234" s="13"/>
      <c r="Y234" s="13"/>
      <c r="Z234" s="91"/>
      <c r="AC234" s="2">
        <f t="shared" si="51"/>
        <v>20</v>
      </c>
      <c r="AD234" s="2" t="str">
        <f>IFERROR(INDEX(GLAPS정리!$D$2:$D$50,MATCH(I234,GLAPS정리!$A$2:$A$50,0)),IFERROR(INDEX(GLAPS정리!$D$2:$D$50,MATCH(I234,GLAPS정리!$B$2:$B$50,0)),""))</f>
        <v/>
      </c>
      <c r="AF234" s="2" t="str">
        <f t="shared" si="52"/>
        <v>KR10</v>
      </c>
      <c r="AI234" s="2" t="e">
        <f>VLOOKUP(F234,GLAPS정리!$G$3:$J$114,2,0)</f>
        <v>#N/A</v>
      </c>
      <c r="AJ234" s="2" t="e">
        <f>IF(Z234="울산정일","KRONS",IF(Z234="울산신항","KRUSN",IF(OR(Z234="선광종합물류(인천여객)",Z234="인천여객(인천여객)"),"KRINF",IF(OR(Z234="선광인천보세(인천신)",Z234="한진인천(인천신)",Z234="선광인천신항(인천신)",Z234="인천더로지스(인천신)"),"KRINN",IF(OR(Z234="인천진아(인천항)",Z234="인천E1(인천항)",Z234="인천SM경인터미널(인천항)",Z234="인천항(인천항)",Z234="인천우련(인천항)",Z234="인천항8부두(인천항)"),"KRINC",VLOOKUP(K234,GLAPS정리!$BB$2:$BC$33,2,0))))))</f>
        <v>#N/A</v>
      </c>
      <c r="AL234" s="2">
        <f t="shared" si="53"/>
        <v>5010001</v>
      </c>
      <c r="AN234" s="70" t="str">
        <f t="shared" si="54"/>
        <v>1900-01-00</v>
      </c>
      <c r="AO234" s="2" t="str">
        <f t="shared" si="55"/>
        <v/>
      </c>
      <c r="AP234" s="2" t="e">
        <f>VLOOKUP(C234,GLAPS정리!$AX$2:$AZ$17,3,0)</f>
        <v>#N/A</v>
      </c>
      <c r="AR234" s="2">
        <f t="shared" si="61"/>
        <v>0</v>
      </c>
      <c r="AX234" s="2" t="e">
        <f>VLOOKUP(L234,GLAPS정리!$V$3:$W$180,2,0)</f>
        <v>#N/A</v>
      </c>
      <c r="BM234" s="2" t="str">
        <f t="shared" si="56"/>
        <v xml:space="preserve"> </v>
      </c>
      <c r="BN234" s="2">
        <f t="shared" si="57"/>
        <v>1</v>
      </c>
      <c r="BR234" s="2" t="str">
        <f t="shared" si="58"/>
        <v/>
      </c>
      <c r="BS234" s="2" t="str">
        <f t="shared" si="59"/>
        <v/>
      </c>
      <c r="BV234" s="2" t="e">
        <f>VLOOKUP(O234,GLAPS정리!$BH$2:$BI$94,2,0)</f>
        <v>#N/A</v>
      </c>
      <c r="BW234" s="2" t="str">
        <f>IF(OR(Z234="동원",Z234="세방",Z234="한타"),"",IFERROR(INDEX(GLAPS정리!$BI$2:$BI$101,MATCH(Z234,GLAPS정리!$BH$2:$BH$101,0)),""))</f>
        <v/>
      </c>
      <c r="BX234" s="2" t="str">
        <f>IF(Z234="","",IFERROR(VLOOKUP(Z234,GLAPS정리!$AX$2:$AZ$17,3,0),""))</f>
        <v/>
      </c>
      <c r="BZ234" s="2" t="e">
        <f>VLOOKUP(H234,GLAPS정리!$L$3:$O$133,2,0)</f>
        <v>#N/A</v>
      </c>
      <c r="CA234" s="2" t="str">
        <f t="shared" si="60"/>
        <v/>
      </c>
      <c r="CL234" s="2" t="e">
        <f>VLOOKUP(AI234,GLAPS정리!$BT$3:$BV$26,3,0)</f>
        <v>#N/A</v>
      </c>
    </row>
    <row r="235" spans="2:90" ht="20.45" customHeight="1">
      <c r="B235" s="13"/>
      <c r="G235" s="3"/>
      <c r="J235" s="3"/>
      <c r="Q235" s="3" t="str">
        <f t="shared" si="48"/>
        <v/>
      </c>
      <c r="R235" s="3" t="str">
        <f t="shared" si="49"/>
        <v/>
      </c>
      <c r="S235" s="3" t="str">
        <f t="shared" si="50"/>
        <v/>
      </c>
      <c r="X235" s="13"/>
      <c r="Y235" s="13"/>
      <c r="Z235" s="91"/>
      <c r="AC235" s="2">
        <f t="shared" si="51"/>
        <v>20</v>
      </c>
      <c r="AD235" s="2" t="str">
        <f>IFERROR(INDEX(GLAPS정리!$D$2:$D$50,MATCH(I235,GLAPS정리!$A$2:$A$50,0)),IFERROR(INDEX(GLAPS정리!$D$2:$D$50,MATCH(I235,GLAPS정리!$B$2:$B$50,0)),""))</f>
        <v/>
      </c>
      <c r="AF235" s="2" t="str">
        <f t="shared" si="52"/>
        <v>KR10</v>
      </c>
      <c r="AI235" s="2" t="e">
        <f>VLOOKUP(F235,GLAPS정리!$G$3:$J$114,2,0)</f>
        <v>#N/A</v>
      </c>
      <c r="AJ235" s="2" t="e">
        <f>IF(Z235="울산정일","KRONS",IF(Z235="울산신항","KRUSN",IF(OR(Z235="선광종합물류(인천여객)",Z235="인천여객(인천여객)"),"KRINF",IF(OR(Z235="선광인천보세(인천신)",Z235="한진인천(인천신)",Z235="선광인천신항(인천신)",Z235="인천더로지스(인천신)"),"KRINN",IF(OR(Z235="인천진아(인천항)",Z235="인천E1(인천항)",Z235="인천SM경인터미널(인천항)",Z235="인천항(인천항)",Z235="인천우련(인천항)",Z235="인천항8부두(인천항)"),"KRINC",VLOOKUP(K235,GLAPS정리!$BB$2:$BC$33,2,0))))))</f>
        <v>#N/A</v>
      </c>
      <c r="AL235" s="2">
        <f t="shared" si="53"/>
        <v>5010001</v>
      </c>
      <c r="AN235" s="70" t="str">
        <f t="shared" si="54"/>
        <v>1900-01-00</v>
      </c>
      <c r="AO235" s="2" t="str">
        <f t="shared" si="55"/>
        <v/>
      </c>
      <c r="AP235" s="2" t="e">
        <f>VLOOKUP(C235,GLAPS정리!$AX$2:$AZ$17,3,0)</f>
        <v>#N/A</v>
      </c>
      <c r="AR235" s="2">
        <f t="shared" si="61"/>
        <v>0</v>
      </c>
      <c r="AX235" s="2" t="e">
        <f>VLOOKUP(L235,GLAPS정리!$V$3:$W$180,2,0)</f>
        <v>#N/A</v>
      </c>
      <c r="BM235" s="2" t="str">
        <f t="shared" si="56"/>
        <v xml:space="preserve"> </v>
      </c>
      <c r="BN235" s="2">
        <f t="shared" si="57"/>
        <v>1</v>
      </c>
      <c r="BR235" s="2" t="str">
        <f t="shared" si="58"/>
        <v/>
      </c>
      <c r="BS235" s="2" t="str">
        <f t="shared" si="59"/>
        <v/>
      </c>
      <c r="BV235" s="2" t="e">
        <f>VLOOKUP(O235,GLAPS정리!$BH$2:$BI$94,2,0)</f>
        <v>#N/A</v>
      </c>
      <c r="BW235" s="2" t="str">
        <f>IF(OR(Z235="동원",Z235="세방",Z235="한타"),"",IFERROR(INDEX(GLAPS정리!$BI$2:$BI$101,MATCH(Z235,GLAPS정리!$BH$2:$BH$101,0)),""))</f>
        <v/>
      </c>
      <c r="BX235" s="2" t="str">
        <f>IF(Z235="","",IFERROR(VLOOKUP(Z235,GLAPS정리!$AX$2:$AZ$17,3,0),""))</f>
        <v/>
      </c>
      <c r="BZ235" s="2" t="e">
        <f>VLOOKUP(H235,GLAPS정리!$L$3:$O$133,2,0)</f>
        <v>#N/A</v>
      </c>
      <c r="CA235" s="2" t="str">
        <f t="shared" si="60"/>
        <v/>
      </c>
      <c r="CL235" s="2" t="e">
        <f>VLOOKUP(AI235,GLAPS정리!$BT$3:$BV$26,3,0)</f>
        <v>#N/A</v>
      </c>
    </row>
    <row r="236" spans="2:90" ht="20.45" customHeight="1">
      <c r="B236" s="13"/>
      <c r="G236" s="3"/>
      <c r="J236" s="3"/>
      <c r="Q236" s="3" t="str">
        <f t="shared" si="48"/>
        <v/>
      </c>
      <c r="R236" s="3" t="str">
        <f t="shared" si="49"/>
        <v/>
      </c>
      <c r="S236" s="3" t="str">
        <f t="shared" si="50"/>
        <v/>
      </c>
      <c r="X236" s="13"/>
      <c r="Y236" s="13"/>
      <c r="Z236" s="91"/>
      <c r="AC236" s="2">
        <f t="shared" si="51"/>
        <v>20</v>
      </c>
      <c r="AD236" s="2" t="str">
        <f>IFERROR(INDEX(GLAPS정리!$D$2:$D$50,MATCH(I236,GLAPS정리!$A$2:$A$50,0)),IFERROR(INDEX(GLAPS정리!$D$2:$D$50,MATCH(I236,GLAPS정리!$B$2:$B$50,0)),""))</f>
        <v/>
      </c>
      <c r="AF236" s="2" t="str">
        <f t="shared" si="52"/>
        <v>KR10</v>
      </c>
      <c r="AI236" s="2" t="e">
        <f>VLOOKUP(F236,GLAPS정리!$G$3:$J$114,2,0)</f>
        <v>#N/A</v>
      </c>
      <c r="AJ236" s="2" t="e">
        <f>IF(Z236="울산정일","KRONS",IF(Z236="울산신항","KRUSN",IF(OR(Z236="선광종합물류(인천여객)",Z236="인천여객(인천여객)"),"KRINF",IF(OR(Z236="선광인천보세(인천신)",Z236="한진인천(인천신)",Z236="선광인천신항(인천신)",Z236="인천더로지스(인천신)"),"KRINN",IF(OR(Z236="인천진아(인천항)",Z236="인천E1(인천항)",Z236="인천SM경인터미널(인천항)",Z236="인천항(인천항)",Z236="인천우련(인천항)",Z236="인천항8부두(인천항)"),"KRINC",VLOOKUP(K236,GLAPS정리!$BB$2:$BC$33,2,0))))))</f>
        <v>#N/A</v>
      </c>
      <c r="AL236" s="2">
        <f t="shared" si="53"/>
        <v>5010001</v>
      </c>
      <c r="AN236" s="70" t="str">
        <f t="shared" si="54"/>
        <v>1900-01-00</v>
      </c>
      <c r="AO236" s="2" t="str">
        <f t="shared" si="55"/>
        <v/>
      </c>
      <c r="AP236" s="2" t="e">
        <f>VLOOKUP(C236,GLAPS정리!$AX$2:$AZ$17,3,0)</f>
        <v>#N/A</v>
      </c>
      <c r="AR236" s="2">
        <f t="shared" si="61"/>
        <v>0</v>
      </c>
      <c r="AX236" s="2" t="e">
        <f>VLOOKUP(L236,GLAPS정리!$V$3:$W$180,2,0)</f>
        <v>#N/A</v>
      </c>
      <c r="BM236" s="2" t="str">
        <f t="shared" si="56"/>
        <v xml:space="preserve"> </v>
      </c>
      <c r="BN236" s="2">
        <f t="shared" si="57"/>
        <v>1</v>
      </c>
      <c r="BR236" s="2" t="str">
        <f t="shared" si="58"/>
        <v/>
      </c>
      <c r="BS236" s="2" t="str">
        <f t="shared" si="59"/>
        <v/>
      </c>
      <c r="BV236" s="2" t="e">
        <f>VLOOKUP(O236,GLAPS정리!$BH$2:$BI$94,2,0)</f>
        <v>#N/A</v>
      </c>
      <c r="BW236" s="2" t="str">
        <f>IF(OR(Z236="동원",Z236="세방",Z236="한타"),"",IFERROR(INDEX(GLAPS정리!$BI$2:$BI$101,MATCH(Z236,GLAPS정리!$BH$2:$BH$101,0)),""))</f>
        <v/>
      </c>
      <c r="BX236" s="2" t="str">
        <f>IF(Z236="","",IFERROR(VLOOKUP(Z236,GLAPS정리!$AX$2:$AZ$17,3,0),""))</f>
        <v/>
      </c>
      <c r="BZ236" s="2" t="e">
        <f>VLOOKUP(H236,GLAPS정리!$L$3:$O$133,2,0)</f>
        <v>#N/A</v>
      </c>
      <c r="CA236" s="2" t="str">
        <f t="shared" si="60"/>
        <v/>
      </c>
      <c r="CL236" s="2" t="e">
        <f>VLOOKUP(AI236,GLAPS정리!$BT$3:$BV$26,3,0)</f>
        <v>#N/A</v>
      </c>
    </row>
    <row r="237" spans="2:90" ht="20.45" customHeight="1">
      <c r="B237" s="13"/>
      <c r="G237" s="3"/>
      <c r="J237" s="3"/>
      <c r="Q237" s="3" t="str">
        <f t="shared" si="48"/>
        <v/>
      </c>
      <c r="R237" s="3" t="str">
        <f t="shared" si="49"/>
        <v/>
      </c>
      <c r="S237" s="3" t="str">
        <f t="shared" si="50"/>
        <v/>
      </c>
      <c r="X237" s="13"/>
      <c r="Y237" s="13"/>
      <c r="Z237" s="91"/>
      <c r="AC237" s="2">
        <f t="shared" si="51"/>
        <v>20</v>
      </c>
      <c r="AD237" s="2" t="str">
        <f>IFERROR(INDEX(GLAPS정리!$D$2:$D$50,MATCH(I237,GLAPS정리!$A$2:$A$50,0)),IFERROR(INDEX(GLAPS정리!$D$2:$D$50,MATCH(I237,GLAPS정리!$B$2:$B$50,0)),""))</f>
        <v/>
      </c>
      <c r="AF237" s="2" t="str">
        <f t="shared" si="52"/>
        <v>KR10</v>
      </c>
      <c r="AI237" s="2" t="e">
        <f>VLOOKUP(F237,GLAPS정리!$G$3:$J$114,2,0)</f>
        <v>#N/A</v>
      </c>
      <c r="AJ237" s="2" t="e">
        <f>IF(Z237="울산정일","KRONS",IF(Z237="울산신항","KRUSN",IF(OR(Z237="선광종합물류(인천여객)",Z237="인천여객(인천여객)"),"KRINF",IF(OR(Z237="선광인천보세(인천신)",Z237="한진인천(인천신)",Z237="선광인천신항(인천신)",Z237="인천더로지스(인천신)"),"KRINN",IF(OR(Z237="인천진아(인천항)",Z237="인천E1(인천항)",Z237="인천SM경인터미널(인천항)",Z237="인천항(인천항)",Z237="인천우련(인천항)",Z237="인천항8부두(인천항)"),"KRINC",VLOOKUP(K237,GLAPS정리!$BB$2:$BC$33,2,0))))))</f>
        <v>#N/A</v>
      </c>
      <c r="AL237" s="2">
        <f t="shared" si="53"/>
        <v>5010001</v>
      </c>
      <c r="AN237" s="70" t="str">
        <f t="shared" si="54"/>
        <v>1900-01-00</v>
      </c>
      <c r="AO237" s="2" t="str">
        <f t="shared" si="55"/>
        <v/>
      </c>
      <c r="AP237" s="2" t="e">
        <f>VLOOKUP(C237,GLAPS정리!$AX$2:$AZ$17,3,0)</f>
        <v>#N/A</v>
      </c>
      <c r="AR237" s="2">
        <f t="shared" si="61"/>
        <v>0</v>
      </c>
      <c r="AX237" s="2" t="e">
        <f>VLOOKUP(L237,GLAPS정리!$V$3:$W$180,2,0)</f>
        <v>#N/A</v>
      </c>
      <c r="BM237" s="2" t="str">
        <f t="shared" si="56"/>
        <v xml:space="preserve"> </v>
      </c>
      <c r="BN237" s="2">
        <f t="shared" si="57"/>
        <v>1</v>
      </c>
      <c r="BR237" s="2" t="str">
        <f t="shared" si="58"/>
        <v/>
      </c>
      <c r="BS237" s="2" t="str">
        <f t="shared" si="59"/>
        <v/>
      </c>
      <c r="BV237" s="2" t="e">
        <f>VLOOKUP(O237,GLAPS정리!$BH$2:$BI$94,2,0)</f>
        <v>#N/A</v>
      </c>
      <c r="BW237" s="2" t="str">
        <f>IF(OR(Z237="동원",Z237="세방",Z237="한타"),"",IFERROR(INDEX(GLAPS정리!$BI$2:$BI$101,MATCH(Z237,GLAPS정리!$BH$2:$BH$101,0)),""))</f>
        <v/>
      </c>
      <c r="BX237" s="2" t="str">
        <f>IF(Z237="","",IFERROR(VLOOKUP(Z237,GLAPS정리!$AX$2:$AZ$17,3,0),""))</f>
        <v/>
      </c>
      <c r="BZ237" s="2" t="e">
        <f>VLOOKUP(H237,GLAPS정리!$L$3:$O$133,2,0)</f>
        <v>#N/A</v>
      </c>
      <c r="CA237" s="2" t="str">
        <f t="shared" si="60"/>
        <v/>
      </c>
      <c r="CL237" s="2" t="e">
        <f>VLOOKUP(AI237,GLAPS정리!$BT$3:$BV$26,3,0)</f>
        <v>#N/A</v>
      </c>
    </row>
    <row r="238" spans="2:90" ht="20.45" customHeight="1">
      <c r="B238" s="13"/>
      <c r="G238" s="3"/>
      <c r="J238" s="3"/>
      <c r="Q238" s="3" t="str">
        <f t="shared" si="48"/>
        <v/>
      </c>
      <c r="R238" s="3" t="str">
        <f t="shared" si="49"/>
        <v/>
      </c>
      <c r="S238" s="3" t="str">
        <f t="shared" si="50"/>
        <v/>
      </c>
      <c r="X238" s="13"/>
      <c r="Y238" s="13"/>
      <c r="Z238" s="91"/>
      <c r="AC238" s="2">
        <f t="shared" si="51"/>
        <v>20</v>
      </c>
      <c r="AD238" s="2" t="str">
        <f>IFERROR(INDEX(GLAPS정리!$D$2:$D$50,MATCH(I238,GLAPS정리!$A$2:$A$50,0)),IFERROR(INDEX(GLAPS정리!$D$2:$D$50,MATCH(I238,GLAPS정리!$B$2:$B$50,0)),""))</f>
        <v/>
      </c>
      <c r="AF238" s="2" t="str">
        <f t="shared" si="52"/>
        <v>KR10</v>
      </c>
      <c r="AI238" s="2" t="e">
        <f>VLOOKUP(F238,GLAPS정리!$G$3:$J$114,2,0)</f>
        <v>#N/A</v>
      </c>
      <c r="AJ238" s="2" t="e">
        <f>IF(Z238="울산정일","KRONS",IF(Z238="울산신항","KRUSN",IF(OR(Z238="선광종합물류(인천여객)",Z238="인천여객(인천여객)"),"KRINF",IF(OR(Z238="선광인천보세(인천신)",Z238="한진인천(인천신)",Z238="선광인천신항(인천신)",Z238="인천더로지스(인천신)"),"KRINN",IF(OR(Z238="인천진아(인천항)",Z238="인천E1(인천항)",Z238="인천SM경인터미널(인천항)",Z238="인천항(인천항)",Z238="인천우련(인천항)",Z238="인천항8부두(인천항)"),"KRINC",VLOOKUP(K238,GLAPS정리!$BB$2:$BC$33,2,0))))))</f>
        <v>#N/A</v>
      </c>
      <c r="AL238" s="2">
        <f t="shared" si="53"/>
        <v>5010001</v>
      </c>
      <c r="AN238" s="70" t="str">
        <f t="shared" si="54"/>
        <v>1900-01-00</v>
      </c>
      <c r="AO238" s="2" t="str">
        <f t="shared" si="55"/>
        <v/>
      </c>
      <c r="AP238" s="2" t="e">
        <f>VLOOKUP(C238,GLAPS정리!$AX$2:$AZ$17,3,0)</f>
        <v>#N/A</v>
      </c>
      <c r="AR238" s="2">
        <f t="shared" si="61"/>
        <v>0</v>
      </c>
      <c r="AX238" s="2" t="e">
        <f>VLOOKUP(L238,GLAPS정리!$V$3:$W$180,2,0)</f>
        <v>#N/A</v>
      </c>
      <c r="BM238" s="2" t="str">
        <f t="shared" si="56"/>
        <v xml:space="preserve"> </v>
      </c>
      <c r="BN238" s="2">
        <f t="shared" si="57"/>
        <v>1</v>
      </c>
      <c r="BR238" s="2" t="str">
        <f t="shared" si="58"/>
        <v/>
      </c>
      <c r="BS238" s="2" t="str">
        <f t="shared" si="59"/>
        <v/>
      </c>
      <c r="BV238" s="2" t="e">
        <f>VLOOKUP(O238,GLAPS정리!$BH$2:$BI$94,2,0)</f>
        <v>#N/A</v>
      </c>
      <c r="BW238" s="2" t="str">
        <f>IF(OR(Z238="동원",Z238="세방",Z238="한타"),"",IFERROR(INDEX(GLAPS정리!$BI$2:$BI$101,MATCH(Z238,GLAPS정리!$BH$2:$BH$101,0)),""))</f>
        <v/>
      </c>
      <c r="BX238" s="2" t="str">
        <f>IF(Z238="","",IFERROR(VLOOKUP(Z238,GLAPS정리!$AX$2:$AZ$17,3,0),""))</f>
        <v/>
      </c>
      <c r="BZ238" s="2" t="e">
        <f>VLOOKUP(H238,GLAPS정리!$L$3:$O$133,2,0)</f>
        <v>#N/A</v>
      </c>
      <c r="CA238" s="2" t="str">
        <f t="shared" si="60"/>
        <v/>
      </c>
      <c r="CL238" s="2" t="e">
        <f>VLOOKUP(AI238,GLAPS정리!$BT$3:$BV$26,3,0)</f>
        <v>#N/A</v>
      </c>
    </row>
    <row r="239" spans="2:90" ht="20.45" customHeight="1">
      <c r="B239" s="13"/>
      <c r="G239" s="3"/>
      <c r="J239" s="3"/>
      <c r="Q239" s="3" t="str">
        <f t="shared" si="48"/>
        <v/>
      </c>
      <c r="R239" s="3" t="str">
        <f t="shared" si="49"/>
        <v/>
      </c>
      <c r="S239" s="3" t="str">
        <f t="shared" si="50"/>
        <v/>
      </c>
      <c r="X239" s="13"/>
      <c r="Y239" s="13"/>
      <c r="Z239" s="91"/>
      <c r="AC239" s="2">
        <f t="shared" si="51"/>
        <v>20</v>
      </c>
      <c r="AD239" s="2" t="str">
        <f>IFERROR(INDEX(GLAPS정리!$D$2:$D$50,MATCH(I239,GLAPS정리!$A$2:$A$50,0)),IFERROR(INDEX(GLAPS정리!$D$2:$D$50,MATCH(I239,GLAPS정리!$B$2:$B$50,0)),""))</f>
        <v/>
      </c>
      <c r="AF239" s="2" t="str">
        <f t="shared" si="52"/>
        <v>KR10</v>
      </c>
      <c r="AI239" s="2" t="e">
        <f>VLOOKUP(F239,GLAPS정리!$G$3:$J$114,2,0)</f>
        <v>#N/A</v>
      </c>
      <c r="AJ239" s="2" t="e">
        <f>IF(Z239="울산정일","KRONS",IF(Z239="울산신항","KRUSN",IF(OR(Z239="선광종합물류(인천여객)",Z239="인천여객(인천여객)"),"KRINF",IF(OR(Z239="선광인천보세(인천신)",Z239="한진인천(인천신)",Z239="선광인천신항(인천신)",Z239="인천더로지스(인천신)"),"KRINN",IF(OR(Z239="인천진아(인천항)",Z239="인천E1(인천항)",Z239="인천SM경인터미널(인천항)",Z239="인천항(인천항)",Z239="인천우련(인천항)",Z239="인천항8부두(인천항)"),"KRINC",VLOOKUP(K239,GLAPS정리!$BB$2:$BC$33,2,0))))))</f>
        <v>#N/A</v>
      </c>
      <c r="AL239" s="2">
        <f t="shared" si="53"/>
        <v>5010001</v>
      </c>
      <c r="AN239" s="70" t="str">
        <f t="shared" si="54"/>
        <v>1900-01-00</v>
      </c>
      <c r="AO239" s="2" t="str">
        <f t="shared" si="55"/>
        <v/>
      </c>
      <c r="AP239" s="2" t="e">
        <f>VLOOKUP(C239,GLAPS정리!$AX$2:$AZ$17,3,0)</f>
        <v>#N/A</v>
      </c>
      <c r="AR239" s="2">
        <f t="shared" si="61"/>
        <v>0</v>
      </c>
      <c r="AX239" s="2" t="e">
        <f>VLOOKUP(L239,GLAPS정리!$V$3:$W$180,2,0)</f>
        <v>#N/A</v>
      </c>
      <c r="BM239" s="2" t="str">
        <f t="shared" si="56"/>
        <v xml:space="preserve"> </v>
      </c>
      <c r="BN239" s="2">
        <f t="shared" si="57"/>
        <v>1</v>
      </c>
      <c r="BR239" s="2" t="str">
        <f t="shared" si="58"/>
        <v/>
      </c>
      <c r="BS239" s="2" t="str">
        <f t="shared" si="59"/>
        <v/>
      </c>
      <c r="BV239" s="2" t="e">
        <f>VLOOKUP(O239,GLAPS정리!$BH$2:$BI$94,2,0)</f>
        <v>#N/A</v>
      </c>
      <c r="BW239" s="2" t="str">
        <f>IF(OR(Z239="동원",Z239="세방",Z239="한타"),"",IFERROR(INDEX(GLAPS정리!$BI$2:$BI$101,MATCH(Z239,GLAPS정리!$BH$2:$BH$101,0)),""))</f>
        <v/>
      </c>
      <c r="BX239" s="2" t="str">
        <f>IF(Z239="","",IFERROR(VLOOKUP(Z239,GLAPS정리!$AX$2:$AZ$17,3,0),""))</f>
        <v/>
      </c>
      <c r="BZ239" s="2" t="e">
        <f>VLOOKUP(H239,GLAPS정리!$L$3:$O$133,2,0)</f>
        <v>#N/A</v>
      </c>
      <c r="CA239" s="2" t="str">
        <f t="shared" si="60"/>
        <v/>
      </c>
      <c r="CL239" s="2" t="e">
        <f>VLOOKUP(AI239,GLAPS정리!$BT$3:$BV$26,3,0)</f>
        <v>#N/A</v>
      </c>
    </row>
    <row r="240" spans="2:90" ht="20.45" customHeight="1">
      <c r="B240" s="13"/>
      <c r="G240" s="3"/>
      <c r="J240" s="3"/>
      <c r="Q240" s="3" t="str">
        <f t="shared" si="48"/>
        <v/>
      </c>
      <c r="R240" s="3" t="str">
        <f t="shared" si="49"/>
        <v/>
      </c>
      <c r="S240" s="3" t="str">
        <f t="shared" si="50"/>
        <v/>
      </c>
      <c r="X240" s="13"/>
      <c r="Y240" s="13"/>
      <c r="Z240" s="91"/>
      <c r="AC240" s="2">
        <f t="shared" si="51"/>
        <v>20</v>
      </c>
      <c r="AD240" s="2" t="str">
        <f>IFERROR(INDEX(GLAPS정리!$D$2:$D$50,MATCH(I240,GLAPS정리!$A$2:$A$50,0)),IFERROR(INDEX(GLAPS정리!$D$2:$D$50,MATCH(I240,GLAPS정리!$B$2:$B$50,0)),""))</f>
        <v/>
      </c>
      <c r="AF240" s="2" t="str">
        <f t="shared" si="52"/>
        <v>KR10</v>
      </c>
      <c r="AI240" s="2" t="e">
        <f>VLOOKUP(F240,GLAPS정리!$G$3:$J$114,2,0)</f>
        <v>#N/A</v>
      </c>
      <c r="AJ240" s="2" t="e">
        <f>IF(Z240="울산정일","KRONS",IF(Z240="울산신항","KRUSN",IF(OR(Z240="선광종합물류(인천여객)",Z240="인천여객(인천여객)"),"KRINF",IF(OR(Z240="선광인천보세(인천신)",Z240="한진인천(인천신)",Z240="선광인천신항(인천신)",Z240="인천더로지스(인천신)"),"KRINN",IF(OR(Z240="인천진아(인천항)",Z240="인천E1(인천항)",Z240="인천SM경인터미널(인천항)",Z240="인천항(인천항)",Z240="인천우련(인천항)",Z240="인천항8부두(인천항)"),"KRINC",VLOOKUP(K240,GLAPS정리!$BB$2:$BC$33,2,0))))))</f>
        <v>#N/A</v>
      </c>
      <c r="AL240" s="2">
        <f t="shared" si="53"/>
        <v>5010001</v>
      </c>
      <c r="AN240" s="70" t="str">
        <f t="shared" si="54"/>
        <v>1900-01-00</v>
      </c>
      <c r="AO240" s="2" t="str">
        <f t="shared" si="55"/>
        <v/>
      </c>
      <c r="AP240" s="2" t="e">
        <f>VLOOKUP(C240,GLAPS정리!$AX$2:$AZ$17,3,0)</f>
        <v>#N/A</v>
      </c>
      <c r="AR240" s="2">
        <f t="shared" si="61"/>
        <v>0</v>
      </c>
      <c r="AX240" s="2" t="e">
        <f>VLOOKUP(L240,GLAPS정리!$V$3:$W$180,2,0)</f>
        <v>#N/A</v>
      </c>
      <c r="BM240" s="2" t="str">
        <f t="shared" si="56"/>
        <v xml:space="preserve"> </v>
      </c>
      <c r="BN240" s="2">
        <f t="shared" si="57"/>
        <v>1</v>
      </c>
      <c r="BR240" s="2" t="str">
        <f t="shared" si="58"/>
        <v/>
      </c>
      <c r="BS240" s="2" t="str">
        <f t="shared" si="59"/>
        <v/>
      </c>
      <c r="BV240" s="2" t="e">
        <f>VLOOKUP(O240,GLAPS정리!$BH$2:$BI$94,2,0)</f>
        <v>#N/A</v>
      </c>
      <c r="BW240" s="2" t="str">
        <f>IF(OR(Z240="동원",Z240="세방",Z240="한타"),"",IFERROR(INDEX(GLAPS정리!$BI$2:$BI$101,MATCH(Z240,GLAPS정리!$BH$2:$BH$101,0)),""))</f>
        <v/>
      </c>
      <c r="BX240" s="2" t="str">
        <f>IF(Z240="","",IFERROR(VLOOKUP(Z240,GLAPS정리!$AX$2:$AZ$17,3,0),""))</f>
        <v/>
      </c>
      <c r="BZ240" s="2" t="e">
        <f>VLOOKUP(H240,GLAPS정리!$L$3:$O$133,2,0)</f>
        <v>#N/A</v>
      </c>
      <c r="CA240" s="2" t="str">
        <f t="shared" si="60"/>
        <v/>
      </c>
      <c r="CL240" s="2" t="e">
        <f>VLOOKUP(AI240,GLAPS정리!$BT$3:$BV$26,3,0)</f>
        <v>#N/A</v>
      </c>
    </row>
    <row r="241" spans="2:90" ht="20.45" customHeight="1">
      <c r="B241" s="13"/>
      <c r="G241" s="3"/>
      <c r="J241" s="3"/>
      <c r="Q241" s="3" t="str">
        <f t="shared" si="48"/>
        <v/>
      </c>
      <c r="R241" s="3" t="str">
        <f t="shared" si="49"/>
        <v/>
      </c>
      <c r="S241" s="3" t="str">
        <f t="shared" si="50"/>
        <v/>
      </c>
      <c r="X241" s="13"/>
      <c r="Y241" s="13"/>
      <c r="Z241" s="91"/>
      <c r="AC241" s="2">
        <f t="shared" si="51"/>
        <v>20</v>
      </c>
      <c r="AD241" s="2" t="str">
        <f>IFERROR(INDEX(GLAPS정리!$D$2:$D$50,MATCH(I241,GLAPS정리!$A$2:$A$50,0)),IFERROR(INDEX(GLAPS정리!$D$2:$D$50,MATCH(I241,GLAPS정리!$B$2:$B$50,0)),""))</f>
        <v/>
      </c>
      <c r="AF241" s="2" t="str">
        <f t="shared" si="52"/>
        <v>KR10</v>
      </c>
      <c r="AI241" s="2" t="e">
        <f>VLOOKUP(F241,GLAPS정리!$G$3:$J$114,2,0)</f>
        <v>#N/A</v>
      </c>
      <c r="AJ241" s="2" t="e">
        <f>IF(Z241="울산정일","KRONS",IF(Z241="울산신항","KRUSN",IF(OR(Z241="선광종합물류(인천여객)",Z241="인천여객(인천여객)"),"KRINF",IF(OR(Z241="선광인천보세(인천신)",Z241="한진인천(인천신)",Z241="선광인천신항(인천신)",Z241="인천더로지스(인천신)"),"KRINN",IF(OR(Z241="인천진아(인천항)",Z241="인천E1(인천항)",Z241="인천SM경인터미널(인천항)",Z241="인천항(인천항)",Z241="인천우련(인천항)",Z241="인천항8부두(인천항)"),"KRINC",VLOOKUP(K241,GLAPS정리!$BB$2:$BC$33,2,0))))))</f>
        <v>#N/A</v>
      </c>
      <c r="AL241" s="2">
        <f t="shared" si="53"/>
        <v>5010001</v>
      </c>
      <c r="AN241" s="70" t="str">
        <f t="shared" si="54"/>
        <v>1900-01-00</v>
      </c>
      <c r="AO241" s="2" t="str">
        <f t="shared" si="55"/>
        <v/>
      </c>
      <c r="AP241" s="2" t="e">
        <f>VLOOKUP(C241,GLAPS정리!$AX$2:$AZ$17,3,0)</f>
        <v>#N/A</v>
      </c>
      <c r="AR241" s="2">
        <f t="shared" si="61"/>
        <v>0</v>
      </c>
      <c r="AX241" s="2" t="e">
        <f>VLOOKUP(L241,GLAPS정리!$V$3:$W$180,2,0)</f>
        <v>#N/A</v>
      </c>
      <c r="BM241" s="2" t="str">
        <f t="shared" si="56"/>
        <v xml:space="preserve"> </v>
      </c>
      <c r="BN241" s="2">
        <f t="shared" si="57"/>
        <v>1</v>
      </c>
      <c r="BR241" s="2" t="str">
        <f t="shared" si="58"/>
        <v/>
      </c>
      <c r="BS241" s="2" t="str">
        <f t="shared" si="59"/>
        <v/>
      </c>
      <c r="BV241" s="2" t="e">
        <f>VLOOKUP(O241,GLAPS정리!$BH$2:$BI$94,2,0)</f>
        <v>#N/A</v>
      </c>
      <c r="BW241" s="2" t="str">
        <f>IF(OR(Z241="동원",Z241="세방",Z241="한타"),"",IFERROR(INDEX(GLAPS정리!$BI$2:$BI$101,MATCH(Z241,GLAPS정리!$BH$2:$BH$101,0)),""))</f>
        <v/>
      </c>
      <c r="BX241" s="2" t="str">
        <f>IF(Z241="","",IFERROR(VLOOKUP(Z241,GLAPS정리!$AX$2:$AZ$17,3,0),""))</f>
        <v/>
      </c>
      <c r="BZ241" s="2" t="e">
        <f>VLOOKUP(H241,GLAPS정리!$L$3:$O$133,2,0)</f>
        <v>#N/A</v>
      </c>
      <c r="CA241" s="2" t="str">
        <f t="shared" si="60"/>
        <v/>
      </c>
      <c r="CL241" s="2" t="e">
        <f>VLOOKUP(AI241,GLAPS정리!$BT$3:$BV$26,3,0)</f>
        <v>#N/A</v>
      </c>
    </row>
    <row r="242" spans="2:90" ht="20.45" customHeight="1">
      <c r="B242" s="13"/>
      <c r="G242" s="3"/>
      <c r="J242" s="3"/>
      <c r="Q242" s="3" t="str">
        <f t="shared" si="48"/>
        <v/>
      </c>
      <c r="R242" s="3" t="str">
        <f t="shared" si="49"/>
        <v/>
      </c>
      <c r="S242" s="3" t="str">
        <f t="shared" si="50"/>
        <v/>
      </c>
      <c r="X242" s="13"/>
      <c r="Y242" s="13"/>
      <c r="Z242" s="91"/>
      <c r="AC242" s="2">
        <f t="shared" si="51"/>
        <v>20</v>
      </c>
      <c r="AD242" s="2" t="str">
        <f>IFERROR(INDEX(GLAPS정리!$D$2:$D$50,MATCH(I242,GLAPS정리!$A$2:$A$50,0)),IFERROR(INDEX(GLAPS정리!$D$2:$D$50,MATCH(I242,GLAPS정리!$B$2:$B$50,0)),""))</f>
        <v/>
      </c>
      <c r="AF242" s="2" t="str">
        <f t="shared" si="52"/>
        <v>KR10</v>
      </c>
      <c r="AI242" s="2" t="e">
        <f>VLOOKUP(F242,GLAPS정리!$G$3:$J$114,2,0)</f>
        <v>#N/A</v>
      </c>
      <c r="AJ242" s="2" t="e">
        <f>IF(Z242="울산정일","KRONS",IF(Z242="울산신항","KRUSN",IF(OR(Z242="선광종합물류(인천여객)",Z242="인천여객(인천여객)"),"KRINF",IF(OR(Z242="선광인천보세(인천신)",Z242="한진인천(인천신)",Z242="선광인천신항(인천신)",Z242="인천더로지스(인천신)"),"KRINN",IF(OR(Z242="인천진아(인천항)",Z242="인천E1(인천항)",Z242="인천SM경인터미널(인천항)",Z242="인천항(인천항)",Z242="인천우련(인천항)",Z242="인천항8부두(인천항)"),"KRINC",VLOOKUP(K242,GLAPS정리!$BB$2:$BC$33,2,0))))))</f>
        <v>#N/A</v>
      </c>
      <c r="AL242" s="2">
        <f t="shared" si="53"/>
        <v>5010001</v>
      </c>
      <c r="AN242" s="70" t="str">
        <f t="shared" si="54"/>
        <v>1900-01-00</v>
      </c>
      <c r="AO242" s="2" t="str">
        <f t="shared" si="55"/>
        <v/>
      </c>
      <c r="AP242" s="2" t="e">
        <f>VLOOKUP(C242,GLAPS정리!$AX$2:$AZ$17,3,0)</f>
        <v>#N/A</v>
      </c>
      <c r="AR242" s="2">
        <f t="shared" si="61"/>
        <v>0</v>
      </c>
      <c r="AX242" s="2" t="e">
        <f>VLOOKUP(L242,GLAPS정리!$V$3:$W$180,2,0)</f>
        <v>#N/A</v>
      </c>
      <c r="BM242" s="2" t="str">
        <f t="shared" si="56"/>
        <v xml:space="preserve"> </v>
      </c>
      <c r="BN242" s="2">
        <f t="shared" si="57"/>
        <v>1</v>
      </c>
      <c r="BR242" s="2" t="str">
        <f t="shared" si="58"/>
        <v/>
      </c>
      <c r="BS242" s="2" t="str">
        <f t="shared" si="59"/>
        <v/>
      </c>
      <c r="BV242" s="2" t="e">
        <f>VLOOKUP(O242,GLAPS정리!$BH$2:$BI$94,2,0)</f>
        <v>#N/A</v>
      </c>
      <c r="BW242" s="2" t="str">
        <f>IF(OR(Z242="동원",Z242="세방",Z242="한타"),"",IFERROR(INDEX(GLAPS정리!$BI$2:$BI$101,MATCH(Z242,GLAPS정리!$BH$2:$BH$101,0)),""))</f>
        <v/>
      </c>
      <c r="BX242" s="2" t="str">
        <f>IF(Z242="","",IFERROR(VLOOKUP(Z242,GLAPS정리!$AX$2:$AZ$17,3,0),""))</f>
        <v/>
      </c>
      <c r="BZ242" s="2" t="e">
        <f>VLOOKUP(H242,GLAPS정리!$L$3:$O$133,2,0)</f>
        <v>#N/A</v>
      </c>
      <c r="CA242" s="2" t="str">
        <f t="shared" si="60"/>
        <v/>
      </c>
      <c r="CL242" s="2" t="e">
        <f>VLOOKUP(AI242,GLAPS정리!$BT$3:$BV$26,3,0)</f>
        <v>#N/A</v>
      </c>
    </row>
    <row r="243" spans="2:90" ht="20.45" customHeight="1">
      <c r="B243" s="13"/>
      <c r="G243" s="3"/>
      <c r="J243" s="3"/>
      <c r="Q243" s="3" t="str">
        <f t="shared" si="48"/>
        <v/>
      </c>
      <c r="R243" s="3" t="str">
        <f t="shared" si="49"/>
        <v/>
      </c>
      <c r="S243" s="3" t="str">
        <f t="shared" si="50"/>
        <v/>
      </c>
      <c r="X243" s="13"/>
      <c r="Y243" s="13"/>
      <c r="Z243" s="91"/>
      <c r="AC243" s="2">
        <f t="shared" si="51"/>
        <v>20</v>
      </c>
      <c r="AD243" s="2" t="str">
        <f>IFERROR(INDEX(GLAPS정리!$D$2:$D$50,MATCH(I243,GLAPS정리!$A$2:$A$50,0)),IFERROR(INDEX(GLAPS정리!$D$2:$D$50,MATCH(I243,GLAPS정리!$B$2:$B$50,0)),""))</f>
        <v/>
      </c>
      <c r="AF243" s="2" t="str">
        <f t="shared" si="52"/>
        <v>KR10</v>
      </c>
      <c r="AI243" s="2" t="e">
        <f>VLOOKUP(F243,GLAPS정리!$G$3:$J$114,2,0)</f>
        <v>#N/A</v>
      </c>
      <c r="AJ243" s="2" t="e">
        <f>IF(Z243="울산정일","KRONS",IF(Z243="울산신항","KRUSN",IF(OR(Z243="선광종합물류(인천여객)",Z243="인천여객(인천여객)"),"KRINF",IF(OR(Z243="선광인천보세(인천신)",Z243="한진인천(인천신)",Z243="선광인천신항(인천신)",Z243="인천더로지스(인천신)"),"KRINN",IF(OR(Z243="인천진아(인천항)",Z243="인천E1(인천항)",Z243="인천SM경인터미널(인천항)",Z243="인천항(인천항)",Z243="인천우련(인천항)",Z243="인천항8부두(인천항)"),"KRINC",VLOOKUP(K243,GLAPS정리!$BB$2:$BC$33,2,0))))))</f>
        <v>#N/A</v>
      </c>
      <c r="AL243" s="2">
        <f t="shared" si="53"/>
        <v>5010001</v>
      </c>
      <c r="AN243" s="70" t="str">
        <f t="shared" si="54"/>
        <v>1900-01-00</v>
      </c>
      <c r="AO243" s="2" t="str">
        <f t="shared" si="55"/>
        <v/>
      </c>
      <c r="AP243" s="2" t="e">
        <f>VLOOKUP(C243,GLAPS정리!$AX$2:$AZ$17,3,0)</f>
        <v>#N/A</v>
      </c>
      <c r="AR243" s="2">
        <f t="shared" si="61"/>
        <v>0</v>
      </c>
      <c r="AX243" s="2" t="e">
        <f>VLOOKUP(L243,GLAPS정리!$V$3:$W$180,2,0)</f>
        <v>#N/A</v>
      </c>
      <c r="BM243" s="2" t="str">
        <f t="shared" si="56"/>
        <v xml:space="preserve"> </v>
      </c>
      <c r="BN243" s="2">
        <f t="shared" si="57"/>
        <v>1</v>
      </c>
      <c r="BR243" s="2" t="str">
        <f t="shared" si="58"/>
        <v/>
      </c>
      <c r="BS243" s="2" t="str">
        <f t="shared" si="59"/>
        <v/>
      </c>
      <c r="BV243" s="2" t="e">
        <f>VLOOKUP(O243,GLAPS정리!$BH$2:$BI$94,2,0)</f>
        <v>#N/A</v>
      </c>
      <c r="BW243" s="2" t="str">
        <f>IF(OR(Z243="동원",Z243="세방",Z243="한타"),"",IFERROR(INDEX(GLAPS정리!$BI$2:$BI$101,MATCH(Z243,GLAPS정리!$BH$2:$BH$101,0)),""))</f>
        <v/>
      </c>
      <c r="BX243" s="2" t="str">
        <f>IF(Z243="","",IFERROR(VLOOKUP(Z243,GLAPS정리!$AX$2:$AZ$17,3,0),""))</f>
        <v/>
      </c>
      <c r="BZ243" s="2" t="e">
        <f>VLOOKUP(H243,GLAPS정리!$L$3:$O$133,2,0)</f>
        <v>#N/A</v>
      </c>
      <c r="CA243" s="2" t="str">
        <f t="shared" si="60"/>
        <v/>
      </c>
      <c r="CL243" s="2" t="e">
        <f>VLOOKUP(AI243,GLAPS정리!$BT$3:$BV$26,3,0)</f>
        <v>#N/A</v>
      </c>
    </row>
    <row r="244" spans="2:90" ht="20.45" customHeight="1">
      <c r="B244" s="13"/>
      <c r="G244" s="3"/>
      <c r="J244" s="3"/>
      <c r="Q244" s="3" t="str">
        <f t="shared" si="48"/>
        <v/>
      </c>
      <c r="R244" s="3" t="str">
        <f t="shared" si="49"/>
        <v/>
      </c>
      <c r="S244" s="3" t="str">
        <f t="shared" si="50"/>
        <v/>
      </c>
      <c r="X244" s="13"/>
      <c r="Y244" s="13"/>
      <c r="Z244" s="91"/>
      <c r="AC244" s="2">
        <f t="shared" si="51"/>
        <v>20</v>
      </c>
      <c r="AD244" s="2" t="str">
        <f>IFERROR(INDEX(GLAPS정리!$D$2:$D$50,MATCH(I244,GLAPS정리!$A$2:$A$50,0)),IFERROR(INDEX(GLAPS정리!$D$2:$D$50,MATCH(I244,GLAPS정리!$B$2:$B$50,0)),""))</f>
        <v/>
      </c>
      <c r="AF244" s="2" t="str">
        <f t="shared" si="52"/>
        <v>KR10</v>
      </c>
      <c r="AI244" s="2" t="e">
        <f>VLOOKUP(F244,GLAPS정리!$G$3:$J$114,2,0)</f>
        <v>#N/A</v>
      </c>
      <c r="AJ244" s="2" t="e">
        <f>IF(Z244="울산정일","KRONS",IF(Z244="울산신항","KRUSN",IF(OR(Z244="선광종합물류(인천여객)",Z244="인천여객(인천여객)"),"KRINF",IF(OR(Z244="선광인천보세(인천신)",Z244="한진인천(인천신)",Z244="선광인천신항(인천신)",Z244="인천더로지스(인천신)"),"KRINN",IF(OR(Z244="인천진아(인천항)",Z244="인천E1(인천항)",Z244="인천SM경인터미널(인천항)",Z244="인천항(인천항)",Z244="인천우련(인천항)",Z244="인천항8부두(인천항)"),"KRINC",VLOOKUP(K244,GLAPS정리!$BB$2:$BC$33,2,0))))))</f>
        <v>#N/A</v>
      </c>
      <c r="AL244" s="2">
        <f t="shared" si="53"/>
        <v>5010001</v>
      </c>
      <c r="AN244" s="70" t="str">
        <f t="shared" si="54"/>
        <v>1900-01-00</v>
      </c>
      <c r="AO244" s="2" t="str">
        <f t="shared" si="55"/>
        <v/>
      </c>
      <c r="AP244" s="2" t="e">
        <f>VLOOKUP(C244,GLAPS정리!$AX$2:$AZ$17,3,0)</f>
        <v>#N/A</v>
      </c>
      <c r="AR244" s="2">
        <f t="shared" si="61"/>
        <v>0</v>
      </c>
      <c r="AX244" s="2" t="e">
        <f>VLOOKUP(L244,GLAPS정리!$V$3:$W$180,2,0)</f>
        <v>#N/A</v>
      </c>
      <c r="BM244" s="2" t="str">
        <f t="shared" si="56"/>
        <v xml:space="preserve"> </v>
      </c>
      <c r="BN244" s="2">
        <f t="shared" si="57"/>
        <v>1</v>
      </c>
      <c r="BR244" s="2" t="str">
        <f t="shared" si="58"/>
        <v/>
      </c>
      <c r="BS244" s="2" t="str">
        <f t="shared" si="59"/>
        <v/>
      </c>
      <c r="BV244" s="2" t="e">
        <f>VLOOKUP(O244,GLAPS정리!$BH$2:$BI$94,2,0)</f>
        <v>#N/A</v>
      </c>
      <c r="BW244" s="2" t="str">
        <f>IF(OR(Z244="동원",Z244="세방",Z244="한타"),"",IFERROR(INDEX(GLAPS정리!$BI$2:$BI$101,MATCH(Z244,GLAPS정리!$BH$2:$BH$101,0)),""))</f>
        <v/>
      </c>
      <c r="BX244" s="2" t="str">
        <f>IF(Z244="","",IFERROR(VLOOKUP(Z244,GLAPS정리!$AX$2:$AZ$17,3,0),""))</f>
        <v/>
      </c>
      <c r="BZ244" s="2" t="e">
        <f>VLOOKUP(H244,GLAPS정리!$L$3:$O$133,2,0)</f>
        <v>#N/A</v>
      </c>
      <c r="CA244" s="2" t="str">
        <f t="shared" si="60"/>
        <v/>
      </c>
      <c r="CL244" s="2" t="e">
        <f>VLOOKUP(AI244,GLAPS정리!$BT$3:$BV$26,3,0)</f>
        <v>#N/A</v>
      </c>
    </row>
    <row r="245" spans="2:90" ht="20.45" customHeight="1">
      <c r="B245" s="13"/>
      <c r="G245" s="3"/>
      <c r="J245" s="3"/>
      <c r="Q245" s="3" t="str">
        <f t="shared" si="48"/>
        <v/>
      </c>
      <c r="R245" s="3" t="str">
        <f t="shared" si="49"/>
        <v/>
      </c>
      <c r="S245" s="3" t="str">
        <f t="shared" si="50"/>
        <v/>
      </c>
      <c r="X245" s="13"/>
      <c r="Y245" s="13"/>
      <c r="Z245" s="91"/>
      <c r="AC245" s="2">
        <f t="shared" si="51"/>
        <v>20</v>
      </c>
      <c r="AD245" s="2" t="str">
        <f>IFERROR(INDEX(GLAPS정리!$D$2:$D$50,MATCH(I245,GLAPS정리!$A$2:$A$50,0)),IFERROR(INDEX(GLAPS정리!$D$2:$D$50,MATCH(I245,GLAPS정리!$B$2:$B$50,0)),""))</f>
        <v/>
      </c>
      <c r="AF245" s="2" t="str">
        <f t="shared" si="52"/>
        <v>KR10</v>
      </c>
      <c r="AI245" s="2" t="e">
        <f>VLOOKUP(F245,GLAPS정리!$G$3:$J$114,2,0)</f>
        <v>#N/A</v>
      </c>
      <c r="AJ245" s="2" t="e">
        <f>IF(Z245="울산정일","KRONS",IF(Z245="울산신항","KRUSN",IF(OR(Z245="선광종합물류(인천여객)",Z245="인천여객(인천여객)"),"KRINF",IF(OR(Z245="선광인천보세(인천신)",Z245="한진인천(인천신)",Z245="선광인천신항(인천신)",Z245="인천더로지스(인천신)"),"KRINN",IF(OR(Z245="인천진아(인천항)",Z245="인천E1(인천항)",Z245="인천SM경인터미널(인천항)",Z245="인천항(인천항)",Z245="인천우련(인천항)",Z245="인천항8부두(인천항)"),"KRINC",VLOOKUP(K245,GLAPS정리!$BB$2:$BC$33,2,0))))))</f>
        <v>#N/A</v>
      </c>
      <c r="AL245" s="2">
        <f t="shared" si="53"/>
        <v>5010001</v>
      </c>
      <c r="AN245" s="70" t="str">
        <f t="shared" si="54"/>
        <v>1900-01-00</v>
      </c>
      <c r="AO245" s="2" t="str">
        <f t="shared" si="55"/>
        <v/>
      </c>
      <c r="AP245" s="2" t="e">
        <f>VLOOKUP(C245,GLAPS정리!$AX$2:$AZ$17,3,0)</f>
        <v>#N/A</v>
      </c>
      <c r="AR245" s="2">
        <f t="shared" si="61"/>
        <v>0</v>
      </c>
      <c r="AX245" s="2" t="e">
        <f>VLOOKUP(L245,GLAPS정리!$V$3:$W$180,2,0)</f>
        <v>#N/A</v>
      </c>
      <c r="BM245" s="2" t="str">
        <f t="shared" si="56"/>
        <v xml:space="preserve"> </v>
      </c>
      <c r="BN245" s="2">
        <f t="shared" si="57"/>
        <v>1</v>
      </c>
      <c r="BR245" s="2" t="str">
        <f t="shared" si="58"/>
        <v/>
      </c>
      <c r="BS245" s="2" t="str">
        <f t="shared" si="59"/>
        <v/>
      </c>
      <c r="BV245" s="2" t="e">
        <f>VLOOKUP(O245,GLAPS정리!$BH$2:$BI$94,2,0)</f>
        <v>#N/A</v>
      </c>
      <c r="BW245" s="2" t="str">
        <f>IF(OR(Z245="동원",Z245="세방",Z245="한타"),"",IFERROR(INDEX(GLAPS정리!$BI$2:$BI$101,MATCH(Z245,GLAPS정리!$BH$2:$BH$101,0)),""))</f>
        <v/>
      </c>
      <c r="BX245" s="2" t="str">
        <f>IF(Z245="","",IFERROR(VLOOKUP(Z245,GLAPS정리!$AX$2:$AZ$17,3,0),""))</f>
        <v/>
      </c>
      <c r="BZ245" s="2" t="e">
        <f>VLOOKUP(H245,GLAPS정리!$L$3:$O$133,2,0)</f>
        <v>#N/A</v>
      </c>
      <c r="CA245" s="2" t="str">
        <f t="shared" si="60"/>
        <v/>
      </c>
      <c r="CL245" s="2" t="e">
        <f>VLOOKUP(AI245,GLAPS정리!$BT$3:$BV$26,3,0)</f>
        <v>#N/A</v>
      </c>
    </row>
    <row r="246" spans="2:90" ht="20.45" customHeight="1">
      <c r="B246" s="13"/>
      <c r="G246" s="3"/>
      <c r="J246" s="3"/>
      <c r="Q246" s="3" t="str">
        <f t="shared" si="48"/>
        <v/>
      </c>
      <c r="R246" s="3" t="str">
        <f t="shared" si="49"/>
        <v/>
      </c>
      <c r="S246" s="3" t="str">
        <f t="shared" si="50"/>
        <v/>
      </c>
      <c r="X246" s="13"/>
      <c r="Y246" s="13"/>
      <c r="Z246" s="91"/>
      <c r="AC246" s="2">
        <f t="shared" si="51"/>
        <v>20</v>
      </c>
      <c r="AD246" s="2" t="str">
        <f>IFERROR(INDEX(GLAPS정리!$D$2:$D$50,MATCH(I246,GLAPS정리!$A$2:$A$50,0)),IFERROR(INDEX(GLAPS정리!$D$2:$D$50,MATCH(I246,GLAPS정리!$B$2:$B$50,0)),""))</f>
        <v/>
      </c>
      <c r="AF246" s="2" t="str">
        <f t="shared" si="52"/>
        <v>KR10</v>
      </c>
      <c r="AI246" s="2" t="e">
        <f>VLOOKUP(F246,GLAPS정리!$G$3:$J$114,2,0)</f>
        <v>#N/A</v>
      </c>
      <c r="AJ246" s="2" t="e">
        <f>IF(Z246="울산정일","KRONS",IF(Z246="울산신항","KRUSN",IF(OR(Z246="선광종합물류(인천여객)",Z246="인천여객(인천여객)"),"KRINF",IF(OR(Z246="선광인천보세(인천신)",Z246="한진인천(인천신)",Z246="선광인천신항(인천신)",Z246="인천더로지스(인천신)"),"KRINN",IF(OR(Z246="인천진아(인천항)",Z246="인천E1(인천항)",Z246="인천SM경인터미널(인천항)",Z246="인천항(인천항)",Z246="인천우련(인천항)",Z246="인천항8부두(인천항)"),"KRINC",VLOOKUP(K246,GLAPS정리!$BB$2:$BC$33,2,0))))))</f>
        <v>#N/A</v>
      </c>
      <c r="AL246" s="2">
        <f t="shared" si="53"/>
        <v>5010001</v>
      </c>
      <c r="AN246" s="70" t="str">
        <f t="shared" si="54"/>
        <v>1900-01-00</v>
      </c>
      <c r="AO246" s="2" t="str">
        <f t="shared" si="55"/>
        <v/>
      </c>
      <c r="AP246" s="2" t="e">
        <f>VLOOKUP(C246,GLAPS정리!$AX$2:$AZ$17,3,0)</f>
        <v>#N/A</v>
      </c>
      <c r="AR246" s="2">
        <f t="shared" si="61"/>
        <v>0</v>
      </c>
      <c r="AX246" s="2" t="e">
        <f>VLOOKUP(L246,GLAPS정리!$V$3:$W$180,2,0)</f>
        <v>#N/A</v>
      </c>
      <c r="BM246" s="2" t="str">
        <f t="shared" si="56"/>
        <v xml:space="preserve"> </v>
      </c>
      <c r="BN246" s="2">
        <f t="shared" si="57"/>
        <v>1</v>
      </c>
      <c r="BR246" s="2" t="str">
        <f t="shared" si="58"/>
        <v/>
      </c>
      <c r="BS246" s="2" t="str">
        <f t="shared" si="59"/>
        <v/>
      </c>
      <c r="BV246" s="2" t="e">
        <f>VLOOKUP(O246,GLAPS정리!$BH$2:$BI$94,2,0)</f>
        <v>#N/A</v>
      </c>
      <c r="BW246" s="2" t="str">
        <f>IF(OR(Z246="동원",Z246="세방",Z246="한타"),"",IFERROR(INDEX(GLAPS정리!$BI$2:$BI$101,MATCH(Z246,GLAPS정리!$BH$2:$BH$101,0)),""))</f>
        <v/>
      </c>
      <c r="BX246" s="2" t="str">
        <f>IF(Z246="","",IFERROR(VLOOKUP(Z246,GLAPS정리!$AX$2:$AZ$17,3,0),""))</f>
        <v/>
      </c>
      <c r="BZ246" s="2" t="e">
        <f>VLOOKUP(H246,GLAPS정리!$L$3:$O$133,2,0)</f>
        <v>#N/A</v>
      </c>
      <c r="CA246" s="2" t="str">
        <f t="shared" si="60"/>
        <v/>
      </c>
      <c r="CL246" s="2" t="e">
        <f>VLOOKUP(AI246,GLAPS정리!$BT$3:$BV$26,3,0)</f>
        <v>#N/A</v>
      </c>
    </row>
    <row r="247" spans="2:90" ht="20.45" customHeight="1">
      <c r="B247" s="13"/>
      <c r="G247" s="3"/>
      <c r="J247" s="3"/>
      <c r="Q247" s="3" t="str">
        <f t="shared" si="48"/>
        <v/>
      </c>
      <c r="R247" s="3" t="str">
        <f t="shared" si="49"/>
        <v/>
      </c>
      <c r="S247" s="3" t="str">
        <f t="shared" si="50"/>
        <v/>
      </c>
      <c r="X247" s="13"/>
      <c r="Y247" s="13"/>
      <c r="Z247" s="91"/>
      <c r="AC247" s="2">
        <f t="shared" si="51"/>
        <v>20</v>
      </c>
      <c r="AD247" s="2" t="str">
        <f>IFERROR(INDEX(GLAPS정리!$D$2:$D$50,MATCH(I247,GLAPS정리!$A$2:$A$50,0)),IFERROR(INDEX(GLAPS정리!$D$2:$D$50,MATCH(I247,GLAPS정리!$B$2:$B$50,0)),""))</f>
        <v/>
      </c>
      <c r="AF247" s="2" t="str">
        <f t="shared" si="52"/>
        <v>KR10</v>
      </c>
      <c r="AI247" s="2" t="e">
        <f>VLOOKUP(F247,GLAPS정리!$G$3:$J$114,2,0)</f>
        <v>#N/A</v>
      </c>
      <c r="AJ247" s="2" t="e">
        <f>IF(Z247="울산정일","KRONS",IF(Z247="울산신항","KRUSN",IF(OR(Z247="선광종합물류(인천여객)",Z247="인천여객(인천여객)"),"KRINF",IF(OR(Z247="선광인천보세(인천신)",Z247="한진인천(인천신)",Z247="선광인천신항(인천신)",Z247="인천더로지스(인천신)"),"KRINN",IF(OR(Z247="인천진아(인천항)",Z247="인천E1(인천항)",Z247="인천SM경인터미널(인천항)",Z247="인천항(인천항)",Z247="인천우련(인천항)",Z247="인천항8부두(인천항)"),"KRINC",VLOOKUP(K247,GLAPS정리!$BB$2:$BC$33,2,0))))))</f>
        <v>#N/A</v>
      </c>
      <c r="AL247" s="2">
        <f t="shared" si="53"/>
        <v>5010001</v>
      </c>
      <c r="AN247" s="70" t="str">
        <f t="shared" si="54"/>
        <v>1900-01-00</v>
      </c>
      <c r="AO247" s="2" t="str">
        <f t="shared" si="55"/>
        <v/>
      </c>
      <c r="AP247" s="2" t="e">
        <f>VLOOKUP(C247,GLAPS정리!$AX$2:$AZ$17,3,0)</f>
        <v>#N/A</v>
      </c>
      <c r="AR247" s="2">
        <f t="shared" si="61"/>
        <v>0</v>
      </c>
      <c r="AX247" s="2" t="e">
        <f>VLOOKUP(L247,GLAPS정리!$V$3:$W$180,2,0)</f>
        <v>#N/A</v>
      </c>
      <c r="BM247" s="2" t="str">
        <f t="shared" si="56"/>
        <v xml:space="preserve"> </v>
      </c>
      <c r="BN247" s="2">
        <f t="shared" si="57"/>
        <v>1</v>
      </c>
      <c r="BR247" s="2" t="str">
        <f t="shared" si="58"/>
        <v/>
      </c>
      <c r="BS247" s="2" t="str">
        <f t="shared" si="59"/>
        <v/>
      </c>
      <c r="BV247" s="2" t="e">
        <f>VLOOKUP(O247,GLAPS정리!$BH$2:$BI$94,2,0)</f>
        <v>#N/A</v>
      </c>
      <c r="BW247" s="2" t="str">
        <f>IF(OR(Z247="동원",Z247="세방",Z247="한타"),"",IFERROR(INDEX(GLAPS정리!$BI$2:$BI$101,MATCH(Z247,GLAPS정리!$BH$2:$BH$101,0)),""))</f>
        <v/>
      </c>
      <c r="BX247" s="2" t="str">
        <f>IF(Z247="","",IFERROR(VLOOKUP(Z247,GLAPS정리!$AX$2:$AZ$17,3,0),""))</f>
        <v/>
      </c>
      <c r="BZ247" s="2" t="e">
        <f>VLOOKUP(H247,GLAPS정리!$L$3:$O$133,2,0)</f>
        <v>#N/A</v>
      </c>
      <c r="CA247" s="2" t="str">
        <f t="shared" si="60"/>
        <v/>
      </c>
      <c r="CL247" s="2" t="e">
        <f>VLOOKUP(AI247,GLAPS정리!$BT$3:$BV$26,3,0)</f>
        <v>#N/A</v>
      </c>
    </row>
    <row r="248" spans="2:90" ht="20.45" customHeight="1">
      <c r="B248" s="13"/>
      <c r="G248" s="3"/>
      <c r="J248" s="3"/>
      <c r="Q248" s="3" t="str">
        <f t="shared" si="48"/>
        <v/>
      </c>
      <c r="R248" s="3" t="str">
        <f t="shared" si="49"/>
        <v/>
      </c>
      <c r="S248" s="3" t="str">
        <f t="shared" si="50"/>
        <v/>
      </c>
      <c r="X248" s="13"/>
      <c r="Y248" s="13"/>
      <c r="Z248" s="91"/>
      <c r="AC248" s="2">
        <f t="shared" si="51"/>
        <v>20</v>
      </c>
      <c r="AD248" s="2" t="str">
        <f>IFERROR(INDEX(GLAPS정리!$D$2:$D$50,MATCH(I248,GLAPS정리!$A$2:$A$50,0)),IFERROR(INDEX(GLAPS정리!$D$2:$D$50,MATCH(I248,GLAPS정리!$B$2:$B$50,0)),""))</f>
        <v/>
      </c>
      <c r="AF248" s="2" t="str">
        <f t="shared" si="52"/>
        <v>KR10</v>
      </c>
      <c r="AI248" s="2" t="e">
        <f>VLOOKUP(F248,GLAPS정리!$G$3:$J$114,2,0)</f>
        <v>#N/A</v>
      </c>
      <c r="AJ248" s="2" t="e">
        <f>IF(Z248="울산정일","KRONS",IF(Z248="울산신항","KRUSN",IF(OR(Z248="선광종합물류(인천여객)",Z248="인천여객(인천여객)"),"KRINF",IF(OR(Z248="선광인천보세(인천신)",Z248="한진인천(인천신)",Z248="선광인천신항(인천신)",Z248="인천더로지스(인천신)"),"KRINN",IF(OR(Z248="인천진아(인천항)",Z248="인천E1(인천항)",Z248="인천SM경인터미널(인천항)",Z248="인천항(인천항)",Z248="인천우련(인천항)",Z248="인천항8부두(인천항)"),"KRINC",VLOOKUP(K248,GLAPS정리!$BB$2:$BC$33,2,0))))))</f>
        <v>#N/A</v>
      </c>
      <c r="AL248" s="2">
        <f t="shared" si="53"/>
        <v>5010001</v>
      </c>
      <c r="AN248" s="70" t="str">
        <f t="shared" si="54"/>
        <v>1900-01-00</v>
      </c>
      <c r="AO248" s="2" t="str">
        <f t="shared" si="55"/>
        <v/>
      </c>
      <c r="AP248" s="2" t="e">
        <f>VLOOKUP(C248,GLAPS정리!$AX$2:$AZ$17,3,0)</f>
        <v>#N/A</v>
      </c>
      <c r="AR248" s="2">
        <f t="shared" si="61"/>
        <v>0</v>
      </c>
      <c r="AX248" s="2" t="e">
        <f>VLOOKUP(L248,GLAPS정리!$V$3:$W$180,2,0)</f>
        <v>#N/A</v>
      </c>
      <c r="BM248" s="2" t="str">
        <f t="shared" si="56"/>
        <v xml:space="preserve"> </v>
      </c>
      <c r="BN248" s="2">
        <f t="shared" si="57"/>
        <v>1</v>
      </c>
      <c r="BR248" s="2" t="str">
        <f t="shared" si="58"/>
        <v/>
      </c>
      <c r="BS248" s="2" t="str">
        <f t="shared" si="59"/>
        <v/>
      </c>
      <c r="BV248" s="2" t="e">
        <f>VLOOKUP(O248,GLAPS정리!$BH$2:$BI$94,2,0)</f>
        <v>#N/A</v>
      </c>
      <c r="BW248" s="2" t="str">
        <f>IF(OR(Z248="동원",Z248="세방",Z248="한타"),"",IFERROR(INDEX(GLAPS정리!$BI$2:$BI$101,MATCH(Z248,GLAPS정리!$BH$2:$BH$101,0)),""))</f>
        <v/>
      </c>
      <c r="BX248" s="2" t="str">
        <f>IF(Z248="","",IFERROR(VLOOKUP(Z248,GLAPS정리!$AX$2:$AZ$17,3,0),""))</f>
        <v/>
      </c>
      <c r="BZ248" s="2" t="e">
        <f>VLOOKUP(H248,GLAPS정리!$L$3:$O$133,2,0)</f>
        <v>#N/A</v>
      </c>
      <c r="CA248" s="2" t="str">
        <f t="shared" si="60"/>
        <v/>
      </c>
      <c r="CL248" s="2" t="e">
        <f>VLOOKUP(AI248,GLAPS정리!$BT$3:$BV$26,3,0)</f>
        <v>#N/A</v>
      </c>
    </row>
    <row r="249" spans="2:90" ht="20.45" customHeight="1">
      <c r="B249" s="13"/>
      <c r="G249" s="3"/>
      <c r="J249" s="3"/>
      <c r="Q249" s="3" t="str">
        <f t="shared" si="48"/>
        <v/>
      </c>
      <c r="R249" s="3" t="str">
        <f t="shared" si="49"/>
        <v/>
      </c>
      <c r="S249" s="3" t="str">
        <f t="shared" si="50"/>
        <v/>
      </c>
      <c r="X249" s="13"/>
      <c r="Y249" s="13"/>
      <c r="Z249" s="91"/>
      <c r="AC249" s="2">
        <f t="shared" si="51"/>
        <v>20</v>
      </c>
      <c r="AD249" s="2" t="str">
        <f>IFERROR(INDEX(GLAPS정리!$D$2:$D$50,MATCH(I249,GLAPS정리!$A$2:$A$50,0)),IFERROR(INDEX(GLAPS정리!$D$2:$D$50,MATCH(I249,GLAPS정리!$B$2:$B$50,0)),""))</f>
        <v/>
      </c>
      <c r="AF249" s="2" t="str">
        <f t="shared" si="52"/>
        <v>KR10</v>
      </c>
      <c r="AI249" s="2" t="e">
        <f>VLOOKUP(F249,GLAPS정리!$G$3:$J$114,2,0)</f>
        <v>#N/A</v>
      </c>
      <c r="AJ249" s="2" t="e">
        <f>IF(Z249="울산정일","KRONS",IF(Z249="울산신항","KRUSN",IF(OR(Z249="선광종합물류(인천여객)",Z249="인천여객(인천여객)"),"KRINF",IF(OR(Z249="선광인천보세(인천신)",Z249="한진인천(인천신)",Z249="선광인천신항(인천신)",Z249="인천더로지스(인천신)"),"KRINN",IF(OR(Z249="인천진아(인천항)",Z249="인천E1(인천항)",Z249="인천SM경인터미널(인천항)",Z249="인천항(인천항)",Z249="인천우련(인천항)",Z249="인천항8부두(인천항)"),"KRINC",VLOOKUP(K249,GLAPS정리!$BB$2:$BC$33,2,0))))))</f>
        <v>#N/A</v>
      </c>
      <c r="AL249" s="2">
        <f t="shared" si="53"/>
        <v>5010001</v>
      </c>
      <c r="AN249" s="70" t="str">
        <f t="shared" si="54"/>
        <v>1900-01-00</v>
      </c>
      <c r="AO249" s="2" t="str">
        <f t="shared" si="55"/>
        <v/>
      </c>
      <c r="AP249" s="2" t="e">
        <f>VLOOKUP(C249,GLAPS정리!$AX$2:$AZ$17,3,0)</f>
        <v>#N/A</v>
      </c>
      <c r="AR249" s="2">
        <f t="shared" si="61"/>
        <v>0</v>
      </c>
      <c r="AX249" s="2" t="e">
        <f>VLOOKUP(L249,GLAPS정리!$V$3:$W$180,2,0)</f>
        <v>#N/A</v>
      </c>
      <c r="BM249" s="2" t="str">
        <f t="shared" si="56"/>
        <v xml:space="preserve"> </v>
      </c>
      <c r="BN249" s="2">
        <f t="shared" si="57"/>
        <v>1</v>
      </c>
      <c r="BR249" s="2" t="str">
        <f t="shared" si="58"/>
        <v/>
      </c>
      <c r="BS249" s="2" t="str">
        <f t="shared" si="59"/>
        <v/>
      </c>
      <c r="BV249" s="2" t="e">
        <f>VLOOKUP(O249,GLAPS정리!$BH$2:$BI$94,2,0)</f>
        <v>#N/A</v>
      </c>
      <c r="BW249" s="2" t="str">
        <f>IF(OR(Z249="동원",Z249="세방",Z249="한타"),"",IFERROR(INDEX(GLAPS정리!$BI$2:$BI$101,MATCH(Z249,GLAPS정리!$BH$2:$BH$101,0)),""))</f>
        <v/>
      </c>
      <c r="BX249" s="2" t="str">
        <f>IF(Z249="","",IFERROR(VLOOKUP(Z249,GLAPS정리!$AX$2:$AZ$17,3,0),""))</f>
        <v/>
      </c>
      <c r="BZ249" s="2" t="e">
        <f>VLOOKUP(H249,GLAPS정리!$L$3:$O$133,2,0)</f>
        <v>#N/A</v>
      </c>
      <c r="CA249" s="2" t="str">
        <f t="shared" si="60"/>
        <v/>
      </c>
      <c r="CL249" s="2" t="e">
        <f>VLOOKUP(AI249,GLAPS정리!$BT$3:$BV$26,3,0)</f>
        <v>#N/A</v>
      </c>
    </row>
    <row r="250" spans="2:90" ht="20.45" customHeight="1">
      <c r="B250" s="13"/>
      <c r="G250" s="3"/>
      <c r="J250" s="3"/>
      <c r="Q250" s="3" t="str">
        <f t="shared" si="48"/>
        <v/>
      </c>
      <c r="R250" s="3" t="str">
        <f t="shared" si="49"/>
        <v/>
      </c>
      <c r="S250" s="3" t="str">
        <f t="shared" si="50"/>
        <v/>
      </c>
      <c r="X250" s="13"/>
      <c r="Y250" s="13"/>
      <c r="Z250" s="91"/>
      <c r="AC250" s="2">
        <f t="shared" si="51"/>
        <v>20</v>
      </c>
      <c r="AD250" s="2" t="str">
        <f>IFERROR(INDEX(GLAPS정리!$D$2:$D$50,MATCH(I250,GLAPS정리!$A$2:$A$50,0)),IFERROR(INDEX(GLAPS정리!$D$2:$D$50,MATCH(I250,GLAPS정리!$B$2:$B$50,0)),""))</f>
        <v/>
      </c>
      <c r="AF250" s="2" t="str">
        <f t="shared" si="52"/>
        <v>KR10</v>
      </c>
      <c r="AI250" s="2" t="e">
        <f>VLOOKUP(F250,GLAPS정리!$G$3:$J$114,2,0)</f>
        <v>#N/A</v>
      </c>
      <c r="AJ250" s="2" t="e">
        <f>IF(Z250="울산정일","KRONS",IF(Z250="울산신항","KRUSN",IF(OR(Z250="선광종합물류(인천여객)",Z250="인천여객(인천여객)"),"KRINF",IF(OR(Z250="선광인천보세(인천신)",Z250="한진인천(인천신)",Z250="선광인천신항(인천신)",Z250="인천더로지스(인천신)"),"KRINN",IF(OR(Z250="인천진아(인천항)",Z250="인천E1(인천항)",Z250="인천SM경인터미널(인천항)",Z250="인천항(인천항)",Z250="인천우련(인천항)",Z250="인천항8부두(인천항)"),"KRINC",VLOOKUP(K250,GLAPS정리!$BB$2:$BC$33,2,0))))))</f>
        <v>#N/A</v>
      </c>
      <c r="AL250" s="2">
        <f t="shared" si="53"/>
        <v>5010001</v>
      </c>
      <c r="AN250" s="70" t="str">
        <f t="shared" si="54"/>
        <v>1900-01-00</v>
      </c>
      <c r="AO250" s="2" t="str">
        <f t="shared" si="55"/>
        <v/>
      </c>
      <c r="AP250" s="2" t="e">
        <f>VLOOKUP(C250,GLAPS정리!$AX$2:$AZ$17,3,0)</f>
        <v>#N/A</v>
      </c>
      <c r="AR250" s="2">
        <f t="shared" si="61"/>
        <v>0</v>
      </c>
      <c r="AX250" s="2" t="e">
        <f>VLOOKUP(L250,GLAPS정리!$V$3:$W$180,2,0)</f>
        <v>#N/A</v>
      </c>
      <c r="BM250" s="2" t="str">
        <f t="shared" si="56"/>
        <v xml:space="preserve"> </v>
      </c>
      <c r="BN250" s="2">
        <f t="shared" si="57"/>
        <v>1</v>
      </c>
      <c r="BR250" s="2" t="str">
        <f t="shared" si="58"/>
        <v/>
      </c>
      <c r="BS250" s="2" t="str">
        <f t="shared" si="59"/>
        <v/>
      </c>
      <c r="BV250" s="2" t="e">
        <f>VLOOKUP(O250,GLAPS정리!$BH$2:$BI$94,2,0)</f>
        <v>#N/A</v>
      </c>
      <c r="BW250" s="2" t="str">
        <f>IF(OR(Z250="동원",Z250="세방",Z250="한타"),"",IFERROR(INDEX(GLAPS정리!$BI$2:$BI$101,MATCH(Z250,GLAPS정리!$BH$2:$BH$101,0)),""))</f>
        <v/>
      </c>
      <c r="BX250" s="2" t="str">
        <f>IF(Z250="","",IFERROR(VLOOKUP(Z250,GLAPS정리!$AX$2:$AZ$17,3,0),""))</f>
        <v/>
      </c>
      <c r="BZ250" s="2" t="e">
        <f>VLOOKUP(H250,GLAPS정리!$L$3:$O$133,2,0)</f>
        <v>#N/A</v>
      </c>
      <c r="CA250" s="2" t="str">
        <f t="shared" si="60"/>
        <v/>
      </c>
      <c r="CL250" s="2" t="e">
        <f>VLOOKUP(AI250,GLAPS정리!$BT$3:$BV$26,3,0)</f>
        <v>#N/A</v>
      </c>
    </row>
    <row r="251" spans="2:90" ht="20.45" customHeight="1">
      <c r="B251" s="13"/>
      <c r="G251" s="3"/>
      <c r="J251" s="3"/>
      <c r="Q251" s="3" t="str">
        <f t="shared" si="48"/>
        <v/>
      </c>
      <c r="R251" s="3" t="str">
        <f t="shared" si="49"/>
        <v/>
      </c>
      <c r="S251" s="3" t="str">
        <f t="shared" si="50"/>
        <v/>
      </c>
      <c r="X251" s="13"/>
      <c r="Y251" s="13"/>
      <c r="Z251" s="91"/>
      <c r="AC251" s="2">
        <f t="shared" si="51"/>
        <v>20</v>
      </c>
      <c r="AD251" s="2" t="str">
        <f>IFERROR(INDEX(GLAPS정리!$D$2:$D$50,MATCH(I251,GLAPS정리!$A$2:$A$50,0)),IFERROR(INDEX(GLAPS정리!$D$2:$D$50,MATCH(I251,GLAPS정리!$B$2:$B$50,0)),""))</f>
        <v/>
      </c>
      <c r="AF251" s="2" t="str">
        <f t="shared" si="52"/>
        <v>KR10</v>
      </c>
      <c r="AI251" s="2" t="e">
        <f>VLOOKUP(F251,GLAPS정리!$G$3:$J$114,2,0)</f>
        <v>#N/A</v>
      </c>
      <c r="AJ251" s="2" t="e">
        <f>IF(Z251="울산정일","KRONS",IF(Z251="울산신항","KRUSN",IF(OR(Z251="선광종합물류(인천여객)",Z251="인천여객(인천여객)"),"KRINF",IF(OR(Z251="선광인천보세(인천신)",Z251="한진인천(인천신)",Z251="선광인천신항(인천신)",Z251="인천더로지스(인천신)"),"KRINN",IF(OR(Z251="인천진아(인천항)",Z251="인천E1(인천항)",Z251="인천SM경인터미널(인천항)",Z251="인천항(인천항)",Z251="인천우련(인천항)",Z251="인천항8부두(인천항)"),"KRINC",VLOOKUP(K251,GLAPS정리!$BB$2:$BC$33,2,0))))))</f>
        <v>#N/A</v>
      </c>
      <c r="AL251" s="2">
        <f t="shared" si="53"/>
        <v>5010001</v>
      </c>
      <c r="AN251" s="70" t="str">
        <f t="shared" si="54"/>
        <v>1900-01-00</v>
      </c>
      <c r="AO251" s="2" t="str">
        <f t="shared" si="55"/>
        <v/>
      </c>
      <c r="AP251" s="2" t="e">
        <f>VLOOKUP(C251,GLAPS정리!$AX$2:$AZ$17,3,0)</f>
        <v>#N/A</v>
      </c>
      <c r="AR251" s="2">
        <f t="shared" si="61"/>
        <v>0</v>
      </c>
      <c r="AX251" s="2" t="e">
        <f>VLOOKUP(L251,GLAPS정리!$V$3:$W$180,2,0)</f>
        <v>#N/A</v>
      </c>
      <c r="BM251" s="2" t="str">
        <f t="shared" si="56"/>
        <v xml:space="preserve"> </v>
      </c>
      <c r="BN251" s="2">
        <f t="shared" si="57"/>
        <v>1</v>
      </c>
      <c r="BR251" s="2" t="str">
        <f t="shared" si="58"/>
        <v/>
      </c>
      <c r="BS251" s="2" t="str">
        <f t="shared" si="59"/>
        <v/>
      </c>
      <c r="BV251" s="2" t="e">
        <f>VLOOKUP(O251,GLAPS정리!$BH$2:$BI$94,2,0)</f>
        <v>#N/A</v>
      </c>
      <c r="BW251" s="2" t="str">
        <f>IF(OR(Z251="동원",Z251="세방",Z251="한타"),"",IFERROR(INDEX(GLAPS정리!$BI$2:$BI$101,MATCH(Z251,GLAPS정리!$BH$2:$BH$101,0)),""))</f>
        <v/>
      </c>
      <c r="BX251" s="2" t="str">
        <f>IF(Z251="","",IFERROR(VLOOKUP(Z251,GLAPS정리!$AX$2:$AZ$17,3,0),""))</f>
        <v/>
      </c>
      <c r="BZ251" s="2" t="e">
        <f>VLOOKUP(H251,GLAPS정리!$L$3:$O$133,2,0)</f>
        <v>#N/A</v>
      </c>
      <c r="CA251" s="2" t="str">
        <f t="shared" si="60"/>
        <v/>
      </c>
      <c r="CL251" s="2" t="e">
        <f>VLOOKUP(AI251,GLAPS정리!$BT$3:$BV$26,3,0)</f>
        <v>#N/A</v>
      </c>
    </row>
    <row r="252" spans="2:90" ht="20.45" customHeight="1">
      <c r="B252" s="13"/>
      <c r="G252" s="3"/>
      <c r="J252" s="3"/>
      <c r="Q252" s="3" t="str">
        <f t="shared" ref="Q252:Q315" si="62">IF(J252="20 FeeT",1,"")</f>
        <v/>
      </c>
      <c r="R252" s="3" t="str">
        <f t="shared" ref="R252:R315" si="63">IF(J252="40 Feet N",1,"")</f>
        <v/>
      </c>
      <c r="S252" s="3" t="str">
        <f t="shared" ref="S252:S315" si="64">IF(J252="40 Feet H",1,"")</f>
        <v/>
      </c>
      <c r="X252" s="13"/>
      <c r="Y252" s="13"/>
      <c r="Z252" s="91"/>
      <c r="AC252" s="2">
        <f t="shared" ref="AC252:AC315" si="65">$AC$1</f>
        <v>20</v>
      </c>
      <c r="AD252" s="2" t="str">
        <f>IFERROR(INDEX(GLAPS정리!$D$2:$D$50,MATCH(I252,GLAPS정리!$A$2:$A$50,0)),IFERROR(INDEX(GLAPS정리!$D$2:$D$50,MATCH(I252,GLAPS정리!$B$2:$B$50,0)),""))</f>
        <v/>
      </c>
      <c r="AF252" s="2" t="str">
        <f t="shared" ref="AF252:AF315" si="66">$AF$1</f>
        <v>KR10</v>
      </c>
      <c r="AI252" s="2" t="e">
        <f>VLOOKUP(F252,GLAPS정리!$G$3:$J$114,2,0)</f>
        <v>#N/A</v>
      </c>
      <c r="AJ252" s="2" t="e">
        <f>IF(Z252="울산정일","KRONS",IF(Z252="울산신항","KRUSN",IF(OR(Z252="선광종합물류(인천여객)",Z252="인천여객(인천여객)"),"KRINF",IF(OR(Z252="선광인천보세(인천신)",Z252="한진인천(인천신)",Z252="선광인천신항(인천신)",Z252="인천더로지스(인천신)"),"KRINN",IF(OR(Z252="인천진아(인천항)",Z252="인천E1(인천항)",Z252="인천SM경인터미널(인천항)",Z252="인천항(인천항)",Z252="인천우련(인천항)",Z252="인천항8부두(인천항)"),"KRINC",VLOOKUP(K252,GLAPS정리!$BB$2:$BC$33,2,0))))))</f>
        <v>#N/A</v>
      </c>
      <c r="AL252" s="2">
        <f t="shared" ref="AL252:AL315" si="67">$AL$1</f>
        <v>5010001</v>
      </c>
      <c r="AN252" s="70" t="str">
        <f t="shared" ref="AN252:AN315" si="68">TEXT(B252,"YYYY-MM-DD")</f>
        <v>1900-01-00</v>
      </c>
      <c r="AO252" s="2" t="str">
        <f t="shared" ref="AO252:AO315" si="69">IF(E252="오전", "0800", IF(E252="오후", "1300", IF(E252="잔업", "1800", "")))</f>
        <v/>
      </c>
      <c r="AP252" s="2" t="e">
        <f>VLOOKUP(C252,GLAPS정리!$AX$2:$AZ$17,3,0)</f>
        <v>#N/A</v>
      </c>
      <c r="AR252" s="2">
        <f t="shared" si="61"/>
        <v>0</v>
      </c>
      <c r="AX252" s="2" t="e">
        <f>VLOOKUP(L252,GLAPS정리!$V$3:$W$180,2,0)</f>
        <v>#N/A</v>
      </c>
      <c r="BM252" s="2" t="str">
        <f t="shared" ref="BM252:BM315" si="70">IF(AND(Q252=1,OR(P252="",P252="위험물")), "2210", IF(AND(Q252=1,OR(P252="리퍼",P252="위험물리퍼")), "2230", IF(AND(S252=1,OR(P252="",P252="위험물")), "4510", IF(AND(S252=1,OR(P252="리퍼",P252="위험물리퍼")), "4530", IF(AND(R252=1,OR(P252="",P252="위험물")), "4210", IF(AND(R252=1,P252="리퍼"), "4230", " "))))))</f>
        <v xml:space="preserve"> </v>
      </c>
      <c r="BN252" s="2">
        <f t="shared" ref="BN252:BN315" si="71">$BN$1</f>
        <v>1</v>
      </c>
      <c r="BR252" s="2" t="str">
        <f t="shared" ref="BR252:BR315" si="72">IF(OR(P252="리퍼",P252="위험물리퍼"),"Y","")</f>
        <v/>
      </c>
      <c r="BS252" s="2" t="str">
        <f t="shared" ref="BS252:BS315" si="73">IF(OR(P252="위험물",P252="위험물리퍼"),"Y","")</f>
        <v/>
      </c>
      <c r="BV252" s="2" t="e">
        <f>VLOOKUP(O252,GLAPS정리!$BH$2:$BI$94,2,0)</f>
        <v>#N/A</v>
      </c>
      <c r="BW252" s="2" t="str">
        <f>IF(OR(Z252="동원",Z252="세방",Z252="한타"),"",IFERROR(INDEX(GLAPS정리!$BI$2:$BI$101,MATCH(Z252,GLAPS정리!$BH$2:$BH$101,0)),""))</f>
        <v/>
      </c>
      <c r="BX252" s="2" t="str">
        <f>IF(Z252="","",IFERROR(VLOOKUP(Z252,GLAPS정리!$AX$2:$AZ$17,3,0),""))</f>
        <v/>
      </c>
      <c r="BZ252" s="2" t="e">
        <f>VLOOKUP(H252,GLAPS정리!$L$3:$O$133,2,0)</f>
        <v>#N/A</v>
      </c>
      <c r="CA252" s="2" t="str">
        <f t="shared" ref="CA252:CA315" si="74">IF(V252="공휴일", 10, IF(V252="야간", 20, IF(V252="위험물", 30, IF(V252="중량", 40, ""))))</f>
        <v/>
      </c>
      <c r="CL252" s="2" t="e">
        <f>VLOOKUP(AI252,GLAPS정리!$BT$3:$BV$26,3,0)</f>
        <v>#N/A</v>
      </c>
    </row>
    <row r="253" spans="2:90" ht="20.45" customHeight="1">
      <c r="B253" s="13"/>
      <c r="G253" s="3"/>
      <c r="J253" s="3"/>
      <c r="Q253" s="3" t="str">
        <f t="shared" si="62"/>
        <v/>
      </c>
      <c r="R253" s="3" t="str">
        <f t="shared" si="63"/>
        <v/>
      </c>
      <c r="S253" s="3" t="str">
        <f t="shared" si="64"/>
        <v/>
      </c>
      <c r="X253" s="13"/>
      <c r="Y253" s="13"/>
      <c r="Z253" s="91"/>
      <c r="AC253" s="2">
        <f t="shared" si="65"/>
        <v>20</v>
      </c>
      <c r="AD253" s="2" t="str">
        <f>IFERROR(INDEX(GLAPS정리!$D$2:$D$50,MATCH(I253,GLAPS정리!$A$2:$A$50,0)),IFERROR(INDEX(GLAPS정리!$D$2:$D$50,MATCH(I253,GLAPS정리!$B$2:$B$50,0)),""))</f>
        <v/>
      </c>
      <c r="AF253" s="2" t="str">
        <f t="shared" si="66"/>
        <v>KR10</v>
      </c>
      <c r="AI253" s="2" t="e">
        <f>VLOOKUP(F253,GLAPS정리!$G$3:$J$114,2,0)</f>
        <v>#N/A</v>
      </c>
      <c r="AJ253" s="2" t="e">
        <f>IF(Z253="울산정일","KRONS",IF(Z253="울산신항","KRUSN",IF(OR(Z253="선광종합물류(인천여객)",Z253="인천여객(인천여객)"),"KRINF",IF(OR(Z253="선광인천보세(인천신)",Z253="한진인천(인천신)",Z253="선광인천신항(인천신)",Z253="인천더로지스(인천신)"),"KRINN",IF(OR(Z253="인천진아(인천항)",Z253="인천E1(인천항)",Z253="인천SM경인터미널(인천항)",Z253="인천항(인천항)",Z253="인천우련(인천항)",Z253="인천항8부두(인천항)"),"KRINC",VLOOKUP(K253,GLAPS정리!$BB$2:$BC$33,2,0))))))</f>
        <v>#N/A</v>
      </c>
      <c r="AL253" s="2">
        <f t="shared" si="67"/>
        <v>5010001</v>
      </c>
      <c r="AN253" s="70" t="str">
        <f t="shared" si="68"/>
        <v>1900-01-00</v>
      </c>
      <c r="AO253" s="2" t="str">
        <f t="shared" si="69"/>
        <v/>
      </c>
      <c r="AP253" s="2" t="e">
        <f>VLOOKUP(C253,GLAPS정리!$AX$2:$AZ$17,3,0)</f>
        <v>#N/A</v>
      </c>
      <c r="AR253" s="2">
        <f t="shared" si="61"/>
        <v>0</v>
      </c>
      <c r="AX253" s="2" t="e">
        <f>VLOOKUP(L253,GLAPS정리!$V$3:$W$180,2,0)</f>
        <v>#N/A</v>
      </c>
      <c r="BM253" s="2" t="str">
        <f t="shared" si="70"/>
        <v xml:space="preserve"> </v>
      </c>
      <c r="BN253" s="2">
        <f t="shared" si="71"/>
        <v>1</v>
      </c>
      <c r="BR253" s="2" t="str">
        <f t="shared" si="72"/>
        <v/>
      </c>
      <c r="BS253" s="2" t="str">
        <f t="shared" si="73"/>
        <v/>
      </c>
      <c r="BV253" s="2" t="e">
        <f>VLOOKUP(O253,GLAPS정리!$BH$2:$BI$94,2,0)</f>
        <v>#N/A</v>
      </c>
      <c r="BW253" s="2" t="str">
        <f>IF(OR(Z253="동원",Z253="세방",Z253="한타"),"",IFERROR(INDEX(GLAPS정리!$BI$2:$BI$101,MATCH(Z253,GLAPS정리!$BH$2:$BH$101,0)),""))</f>
        <v/>
      </c>
      <c r="BX253" s="2" t="str">
        <f>IF(Z253="","",IFERROR(VLOOKUP(Z253,GLAPS정리!$AX$2:$AZ$17,3,0),""))</f>
        <v/>
      </c>
      <c r="BZ253" s="2" t="e">
        <f>VLOOKUP(H253,GLAPS정리!$L$3:$O$133,2,0)</f>
        <v>#N/A</v>
      </c>
      <c r="CA253" s="2" t="str">
        <f t="shared" si="74"/>
        <v/>
      </c>
      <c r="CL253" s="2" t="e">
        <f>VLOOKUP(AI253,GLAPS정리!$BT$3:$BV$26,3,0)</f>
        <v>#N/A</v>
      </c>
    </row>
    <row r="254" spans="2:90" ht="20.45" customHeight="1">
      <c r="B254" s="13"/>
      <c r="G254" s="3"/>
      <c r="J254" s="3"/>
      <c r="Q254" s="3" t="str">
        <f t="shared" si="62"/>
        <v/>
      </c>
      <c r="R254" s="3" t="str">
        <f t="shared" si="63"/>
        <v/>
      </c>
      <c r="S254" s="3" t="str">
        <f t="shared" si="64"/>
        <v/>
      </c>
      <c r="X254" s="13"/>
      <c r="Y254" s="13"/>
      <c r="Z254" s="91"/>
      <c r="AC254" s="2">
        <f t="shared" si="65"/>
        <v>20</v>
      </c>
      <c r="AD254" s="2" t="str">
        <f>IFERROR(INDEX(GLAPS정리!$D$2:$D$50,MATCH(I254,GLAPS정리!$A$2:$A$50,0)),IFERROR(INDEX(GLAPS정리!$D$2:$D$50,MATCH(I254,GLAPS정리!$B$2:$B$50,0)),""))</f>
        <v/>
      </c>
      <c r="AF254" s="2" t="str">
        <f t="shared" si="66"/>
        <v>KR10</v>
      </c>
      <c r="AI254" s="2" t="e">
        <f>VLOOKUP(F254,GLAPS정리!$G$3:$J$114,2,0)</f>
        <v>#N/A</v>
      </c>
      <c r="AJ254" s="2" t="e">
        <f>IF(Z254="울산정일","KRONS",IF(Z254="울산신항","KRUSN",IF(OR(Z254="선광종합물류(인천여객)",Z254="인천여객(인천여객)"),"KRINF",IF(OR(Z254="선광인천보세(인천신)",Z254="한진인천(인천신)",Z254="선광인천신항(인천신)",Z254="인천더로지스(인천신)"),"KRINN",IF(OR(Z254="인천진아(인천항)",Z254="인천E1(인천항)",Z254="인천SM경인터미널(인천항)",Z254="인천항(인천항)",Z254="인천우련(인천항)",Z254="인천항8부두(인천항)"),"KRINC",VLOOKUP(K254,GLAPS정리!$BB$2:$BC$33,2,0))))))</f>
        <v>#N/A</v>
      </c>
      <c r="AL254" s="2">
        <f t="shared" si="67"/>
        <v>5010001</v>
      </c>
      <c r="AN254" s="70" t="str">
        <f t="shared" si="68"/>
        <v>1900-01-00</v>
      </c>
      <c r="AO254" s="2" t="str">
        <f t="shared" si="69"/>
        <v/>
      </c>
      <c r="AP254" s="2" t="e">
        <f>VLOOKUP(C254,GLAPS정리!$AX$2:$AZ$17,3,0)</f>
        <v>#N/A</v>
      </c>
      <c r="AR254" s="2">
        <f t="shared" si="61"/>
        <v>0</v>
      </c>
      <c r="AX254" s="2" t="e">
        <f>VLOOKUP(L254,GLAPS정리!$V$3:$W$180,2,0)</f>
        <v>#N/A</v>
      </c>
      <c r="BM254" s="2" t="str">
        <f t="shared" si="70"/>
        <v xml:space="preserve"> </v>
      </c>
      <c r="BN254" s="2">
        <f t="shared" si="71"/>
        <v>1</v>
      </c>
      <c r="BR254" s="2" t="str">
        <f t="shared" si="72"/>
        <v/>
      </c>
      <c r="BS254" s="2" t="str">
        <f t="shared" si="73"/>
        <v/>
      </c>
      <c r="BV254" s="2" t="e">
        <f>VLOOKUP(O254,GLAPS정리!$BH$2:$BI$94,2,0)</f>
        <v>#N/A</v>
      </c>
      <c r="BW254" s="2" t="str">
        <f>IF(OR(Z254="동원",Z254="세방",Z254="한타"),"",IFERROR(INDEX(GLAPS정리!$BI$2:$BI$101,MATCH(Z254,GLAPS정리!$BH$2:$BH$101,0)),""))</f>
        <v/>
      </c>
      <c r="BX254" s="2" t="str">
        <f>IF(Z254="","",IFERROR(VLOOKUP(Z254,GLAPS정리!$AX$2:$AZ$17,3,0),""))</f>
        <v/>
      </c>
      <c r="BZ254" s="2" t="e">
        <f>VLOOKUP(H254,GLAPS정리!$L$3:$O$133,2,0)</f>
        <v>#N/A</v>
      </c>
      <c r="CA254" s="2" t="str">
        <f t="shared" si="74"/>
        <v/>
      </c>
      <c r="CL254" s="2" t="e">
        <f>VLOOKUP(AI254,GLAPS정리!$BT$3:$BV$26,3,0)</f>
        <v>#N/A</v>
      </c>
    </row>
    <row r="255" spans="2:90" ht="20.45" customHeight="1">
      <c r="B255" s="13"/>
      <c r="G255" s="3"/>
      <c r="J255" s="3"/>
      <c r="Q255" s="3" t="str">
        <f t="shared" si="62"/>
        <v/>
      </c>
      <c r="R255" s="3" t="str">
        <f t="shared" si="63"/>
        <v/>
      </c>
      <c r="S255" s="3" t="str">
        <f t="shared" si="64"/>
        <v/>
      </c>
      <c r="X255" s="13"/>
      <c r="Y255" s="13"/>
      <c r="Z255" s="91"/>
      <c r="AC255" s="2">
        <f t="shared" si="65"/>
        <v>20</v>
      </c>
      <c r="AD255" s="2" t="str">
        <f>IFERROR(INDEX(GLAPS정리!$D$2:$D$50,MATCH(I255,GLAPS정리!$A$2:$A$50,0)),IFERROR(INDEX(GLAPS정리!$D$2:$D$50,MATCH(I255,GLAPS정리!$B$2:$B$50,0)),""))</f>
        <v/>
      </c>
      <c r="AF255" s="2" t="str">
        <f t="shared" si="66"/>
        <v>KR10</v>
      </c>
      <c r="AI255" s="2" t="e">
        <f>VLOOKUP(F255,GLAPS정리!$G$3:$J$114,2,0)</f>
        <v>#N/A</v>
      </c>
      <c r="AJ255" s="2" t="e">
        <f>IF(Z255="울산정일","KRONS",IF(Z255="울산신항","KRUSN",IF(OR(Z255="선광종합물류(인천여객)",Z255="인천여객(인천여객)"),"KRINF",IF(OR(Z255="선광인천보세(인천신)",Z255="한진인천(인천신)",Z255="선광인천신항(인천신)",Z255="인천더로지스(인천신)"),"KRINN",IF(OR(Z255="인천진아(인천항)",Z255="인천E1(인천항)",Z255="인천SM경인터미널(인천항)",Z255="인천항(인천항)",Z255="인천우련(인천항)",Z255="인천항8부두(인천항)"),"KRINC",VLOOKUP(K255,GLAPS정리!$BB$2:$BC$33,2,0))))))</f>
        <v>#N/A</v>
      </c>
      <c r="AL255" s="2">
        <f t="shared" si="67"/>
        <v>5010001</v>
      </c>
      <c r="AN255" s="70" t="str">
        <f t="shared" si="68"/>
        <v>1900-01-00</v>
      </c>
      <c r="AO255" s="2" t="str">
        <f t="shared" si="69"/>
        <v/>
      </c>
      <c r="AP255" s="2" t="e">
        <f>VLOOKUP(C255,GLAPS정리!$AX$2:$AZ$17,3,0)</f>
        <v>#N/A</v>
      </c>
      <c r="AR255" s="2">
        <f t="shared" si="61"/>
        <v>0</v>
      </c>
      <c r="AX255" s="2" t="e">
        <f>VLOOKUP(L255,GLAPS정리!$V$3:$W$180,2,0)</f>
        <v>#N/A</v>
      </c>
      <c r="BM255" s="2" t="str">
        <f t="shared" si="70"/>
        <v xml:space="preserve"> </v>
      </c>
      <c r="BN255" s="2">
        <f t="shared" si="71"/>
        <v>1</v>
      </c>
      <c r="BR255" s="2" t="str">
        <f t="shared" si="72"/>
        <v/>
      </c>
      <c r="BS255" s="2" t="str">
        <f t="shared" si="73"/>
        <v/>
      </c>
      <c r="BV255" s="2" t="e">
        <f>VLOOKUP(O255,GLAPS정리!$BH$2:$BI$94,2,0)</f>
        <v>#N/A</v>
      </c>
      <c r="BW255" s="2" t="str">
        <f>IF(OR(Z255="동원",Z255="세방",Z255="한타"),"",IFERROR(INDEX(GLAPS정리!$BI$2:$BI$101,MATCH(Z255,GLAPS정리!$BH$2:$BH$101,0)),""))</f>
        <v/>
      </c>
      <c r="BX255" s="2" t="str">
        <f>IF(Z255="","",IFERROR(VLOOKUP(Z255,GLAPS정리!$AX$2:$AZ$17,3,0),""))</f>
        <v/>
      </c>
      <c r="BZ255" s="2" t="e">
        <f>VLOOKUP(H255,GLAPS정리!$L$3:$O$133,2,0)</f>
        <v>#N/A</v>
      </c>
      <c r="CA255" s="2" t="str">
        <f t="shared" si="74"/>
        <v/>
      </c>
      <c r="CL255" s="2" t="e">
        <f>VLOOKUP(AI255,GLAPS정리!$BT$3:$BV$26,3,0)</f>
        <v>#N/A</v>
      </c>
    </row>
    <row r="256" spans="2:90" ht="20.45" customHeight="1">
      <c r="B256" s="13"/>
      <c r="G256" s="3"/>
      <c r="J256" s="3"/>
      <c r="Q256" s="3" t="str">
        <f t="shared" si="62"/>
        <v/>
      </c>
      <c r="R256" s="3" t="str">
        <f t="shared" si="63"/>
        <v/>
      </c>
      <c r="S256" s="3" t="str">
        <f t="shared" si="64"/>
        <v/>
      </c>
      <c r="X256" s="13"/>
      <c r="Y256" s="13"/>
      <c r="Z256" s="91"/>
      <c r="AC256" s="2">
        <f t="shared" si="65"/>
        <v>20</v>
      </c>
      <c r="AD256" s="2" t="str">
        <f>IFERROR(INDEX(GLAPS정리!$D$2:$D$50,MATCH(I256,GLAPS정리!$A$2:$A$50,0)),IFERROR(INDEX(GLAPS정리!$D$2:$D$50,MATCH(I256,GLAPS정리!$B$2:$B$50,0)),""))</f>
        <v/>
      </c>
      <c r="AF256" s="2" t="str">
        <f t="shared" si="66"/>
        <v>KR10</v>
      </c>
      <c r="AI256" s="2" t="e">
        <f>VLOOKUP(F256,GLAPS정리!$G$3:$J$114,2,0)</f>
        <v>#N/A</v>
      </c>
      <c r="AJ256" s="2" t="e">
        <f>IF(Z256="울산정일","KRONS",IF(Z256="울산신항","KRUSN",IF(OR(Z256="선광종합물류(인천여객)",Z256="인천여객(인천여객)"),"KRINF",IF(OR(Z256="선광인천보세(인천신)",Z256="한진인천(인천신)",Z256="선광인천신항(인천신)",Z256="인천더로지스(인천신)"),"KRINN",IF(OR(Z256="인천진아(인천항)",Z256="인천E1(인천항)",Z256="인천SM경인터미널(인천항)",Z256="인천항(인천항)",Z256="인천우련(인천항)",Z256="인천항8부두(인천항)"),"KRINC",VLOOKUP(K256,GLAPS정리!$BB$2:$BC$33,2,0))))))</f>
        <v>#N/A</v>
      </c>
      <c r="AL256" s="2">
        <f t="shared" si="67"/>
        <v>5010001</v>
      </c>
      <c r="AN256" s="70" t="str">
        <f t="shared" si="68"/>
        <v>1900-01-00</v>
      </c>
      <c r="AO256" s="2" t="str">
        <f t="shared" si="69"/>
        <v/>
      </c>
      <c r="AP256" s="2" t="e">
        <f>VLOOKUP(C256,GLAPS정리!$AX$2:$AZ$17,3,0)</f>
        <v>#N/A</v>
      </c>
      <c r="AR256" s="2">
        <f t="shared" si="61"/>
        <v>0</v>
      </c>
      <c r="AX256" s="2" t="e">
        <f>VLOOKUP(L256,GLAPS정리!$V$3:$W$180,2,0)</f>
        <v>#N/A</v>
      </c>
      <c r="BM256" s="2" t="str">
        <f t="shared" si="70"/>
        <v xml:space="preserve"> </v>
      </c>
      <c r="BN256" s="2">
        <f t="shared" si="71"/>
        <v>1</v>
      </c>
      <c r="BR256" s="2" t="str">
        <f t="shared" si="72"/>
        <v/>
      </c>
      <c r="BS256" s="2" t="str">
        <f t="shared" si="73"/>
        <v/>
      </c>
      <c r="BV256" s="2" t="e">
        <f>VLOOKUP(O256,GLAPS정리!$BH$2:$BI$94,2,0)</f>
        <v>#N/A</v>
      </c>
      <c r="BW256" s="2" t="str">
        <f>IF(OR(Z256="동원",Z256="세방",Z256="한타"),"",IFERROR(INDEX(GLAPS정리!$BI$2:$BI$101,MATCH(Z256,GLAPS정리!$BH$2:$BH$101,0)),""))</f>
        <v/>
      </c>
      <c r="BX256" s="2" t="str">
        <f>IF(Z256="","",IFERROR(VLOOKUP(Z256,GLAPS정리!$AX$2:$AZ$17,3,0),""))</f>
        <v/>
      </c>
      <c r="BZ256" s="2" t="e">
        <f>VLOOKUP(H256,GLAPS정리!$L$3:$O$133,2,0)</f>
        <v>#N/A</v>
      </c>
      <c r="CA256" s="2" t="str">
        <f t="shared" si="74"/>
        <v/>
      </c>
      <c r="CL256" s="2" t="e">
        <f>VLOOKUP(AI256,GLAPS정리!$BT$3:$BV$26,3,0)</f>
        <v>#N/A</v>
      </c>
    </row>
    <row r="257" spans="2:90" ht="20.45" customHeight="1">
      <c r="B257" s="13"/>
      <c r="G257" s="3"/>
      <c r="J257" s="3"/>
      <c r="Q257" s="3" t="str">
        <f t="shared" si="62"/>
        <v/>
      </c>
      <c r="R257" s="3" t="str">
        <f t="shared" si="63"/>
        <v/>
      </c>
      <c r="S257" s="3" t="str">
        <f t="shared" si="64"/>
        <v/>
      </c>
      <c r="X257" s="13"/>
      <c r="Y257" s="13"/>
      <c r="Z257" s="91"/>
      <c r="AC257" s="2">
        <f t="shared" si="65"/>
        <v>20</v>
      </c>
      <c r="AD257" s="2" t="str">
        <f>IFERROR(INDEX(GLAPS정리!$D$2:$D$50,MATCH(I257,GLAPS정리!$A$2:$A$50,0)),IFERROR(INDEX(GLAPS정리!$D$2:$D$50,MATCH(I257,GLAPS정리!$B$2:$B$50,0)),""))</f>
        <v/>
      </c>
      <c r="AF257" s="2" t="str">
        <f t="shared" si="66"/>
        <v>KR10</v>
      </c>
      <c r="AI257" s="2" t="e">
        <f>VLOOKUP(F257,GLAPS정리!$G$3:$J$114,2,0)</f>
        <v>#N/A</v>
      </c>
      <c r="AJ257" s="2" t="e">
        <f>IF(Z257="울산정일","KRONS",IF(Z257="울산신항","KRUSN",IF(OR(Z257="선광종합물류(인천여객)",Z257="인천여객(인천여객)"),"KRINF",IF(OR(Z257="선광인천보세(인천신)",Z257="한진인천(인천신)",Z257="선광인천신항(인천신)",Z257="인천더로지스(인천신)"),"KRINN",IF(OR(Z257="인천진아(인천항)",Z257="인천E1(인천항)",Z257="인천SM경인터미널(인천항)",Z257="인천항(인천항)",Z257="인천우련(인천항)",Z257="인천항8부두(인천항)"),"KRINC",VLOOKUP(K257,GLAPS정리!$BB$2:$BC$33,2,0))))))</f>
        <v>#N/A</v>
      </c>
      <c r="AL257" s="2">
        <f t="shared" si="67"/>
        <v>5010001</v>
      </c>
      <c r="AN257" s="70" t="str">
        <f t="shared" si="68"/>
        <v>1900-01-00</v>
      </c>
      <c r="AO257" s="2" t="str">
        <f t="shared" si="69"/>
        <v/>
      </c>
      <c r="AP257" s="2" t="e">
        <f>VLOOKUP(C257,GLAPS정리!$AX$2:$AZ$17,3,0)</f>
        <v>#N/A</v>
      </c>
      <c r="AR257" s="2">
        <f t="shared" si="61"/>
        <v>0</v>
      </c>
      <c r="AX257" s="2" t="e">
        <f>VLOOKUP(L257,GLAPS정리!$V$3:$W$180,2,0)</f>
        <v>#N/A</v>
      </c>
      <c r="BM257" s="2" t="str">
        <f t="shared" si="70"/>
        <v xml:space="preserve"> </v>
      </c>
      <c r="BN257" s="2">
        <f t="shared" si="71"/>
        <v>1</v>
      </c>
      <c r="BR257" s="2" t="str">
        <f t="shared" si="72"/>
        <v/>
      </c>
      <c r="BS257" s="2" t="str">
        <f t="shared" si="73"/>
        <v/>
      </c>
      <c r="BV257" s="2" t="e">
        <f>VLOOKUP(O257,GLAPS정리!$BH$2:$BI$94,2,0)</f>
        <v>#N/A</v>
      </c>
      <c r="BW257" s="2" t="str">
        <f>IF(OR(Z257="동원",Z257="세방",Z257="한타"),"",IFERROR(INDEX(GLAPS정리!$BI$2:$BI$101,MATCH(Z257,GLAPS정리!$BH$2:$BH$101,0)),""))</f>
        <v/>
      </c>
      <c r="BX257" s="2" t="str">
        <f>IF(Z257="","",IFERROR(VLOOKUP(Z257,GLAPS정리!$AX$2:$AZ$17,3,0),""))</f>
        <v/>
      </c>
      <c r="BZ257" s="2" t="e">
        <f>VLOOKUP(H257,GLAPS정리!$L$3:$O$133,2,0)</f>
        <v>#N/A</v>
      </c>
      <c r="CA257" s="2" t="str">
        <f t="shared" si="74"/>
        <v/>
      </c>
      <c r="CL257" s="2" t="e">
        <f>VLOOKUP(AI257,GLAPS정리!$BT$3:$BV$26,3,0)</f>
        <v>#N/A</v>
      </c>
    </row>
    <row r="258" spans="2:90" ht="20.45" customHeight="1">
      <c r="B258" s="13"/>
      <c r="G258" s="3"/>
      <c r="J258" s="3"/>
      <c r="Q258" s="3" t="str">
        <f t="shared" si="62"/>
        <v/>
      </c>
      <c r="R258" s="3" t="str">
        <f t="shared" si="63"/>
        <v/>
      </c>
      <c r="S258" s="3" t="str">
        <f t="shared" si="64"/>
        <v/>
      </c>
      <c r="X258" s="13"/>
      <c r="Y258" s="13"/>
      <c r="Z258" s="91"/>
      <c r="AC258" s="2">
        <f t="shared" si="65"/>
        <v>20</v>
      </c>
      <c r="AD258" s="2" t="str">
        <f>IFERROR(INDEX(GLAPS정리!$D$2:$D$50,MATCH(I258,GLAPS정리!$A$2:$A$50,0)),IFERROR(INDEX(GLAPS정리!$D$2:$D$50,MATCH(I258,GLAPS정리!$B$2:$B$50,0)),""))</f>
        <v/>
      </c>
      <c r="AF258" s="2" t="str">
        <f t="shared" si="66"/>
        <v>KR10</v>
      </c>
      <c r="AI258" s="2" t="e">
        <f>VLOOKUP(F258,GLAPS정리!$G$3:$J$114,2,0)</f>
        <v>#N/A</v>
      </c>
      <c r="AJ258" s="2" t="e">
        <f>IF(Z258="울산정일","KRONS",IF(Z258="울산신항","KRUSN",IF(OR(Z258="선광종합물류(인천여객)",Z258="인천여객(인천여객)"),"KRINF",IF(OR(Z258="선광인천보세(인천신)",Z258="한진인천(인천신)",Z258="선광인천신항(인천신)",Z258="인천더로지스(인천신)"),"KRINN",IF(OR(Z258="인천진아(인천항)",Z258="인천E1(인천항)",Z258="인천SM경인터미널(인천항)",Z258="인천항(인천항)",Z258="인천우련(인천항)",Z258="인천항8부두(인천항)"),"KRINC",VLOOKUP(K258,GLAPS정리!$BB$2:$BC$33,2,0))))))</f>
        <v>#N/A</v>
      </c>
      <c r="AL258" s="2">
        <f t="shared" si="67"/>
        <v>5010001</v>
      </c>
      <c r="AN258" s="70" t="str">
        <f t="shared" si="68"/>
        <v>1900-01-00</v>
      </c>
      <c r="AO258" s="2" t="str">
        <f t="shared" si="69"/>
        <v/>
      </c>
      <c r="AP258" s="2" t="e">
        <f>VLOOKUP(C258,GLAPS정리!$AX$2:$AZ$17,3,0)</f>
        <v>#N/A</v>
      </c>
      <c r="AR258" s="2">
        <f t="shared" si="61"/>
        <v>0</v>
      </c>
      <c r="AX258" s="2" t="e">
        <f>VLOOKUP(L258,GLAPS정리!$V$3:$W$180,2,0)</f>
        <v>#N/A</v>
      </c>
      <c r="BM258" s="2" t="str">
        <f t="shared" si="70"/>
        <v xml:space="preserve"> </v>
      </c>
      <c r="BN258" s="2">
        <f t="shared" si="71"/>
        <v>1</v>
      </c>
      <c r="BR258" s="2" t="str">
        <f t="shared" si="72"/>
        <v/>
      </c>
      <c r="BS258" s="2" t="str">
        <f t="shared" si="73"/>
        <v/>
      </c>
      <c r="BV258" s="2" t="e">
        <f>VLOOKUP(O258,GLAPS정리!$BH$2:$BI$94,2,0)</f>
        <v>#N/A</v>
      </c>
      <c r="BW258" s="2" t="str">
        <f>IF(OR(Z258="동원",Z258="세방",Z258="한타"),"",IFERROR(INDEX(GLAPS정리!$BI$2:$BI$101,MATCH(Z258,GLAPS정리!$BH$2:$BH$101,0)),""))</f>
        <v/>
      </c>
      <c r="BX258" s="2" t="str">
        <f>IF(Z258="","",IFERROR(VLOOKUP(Z258,GLAPS정리!$AX$2:$AZ$17,3,0),""))</f>
        <v/>
      </c>
      <c r="BZ258" s="2" t="e">
        <f>VLOOKUP(H258,GLAPS정리!$L$3:$O$133,2,0)</f>
        <v>#N/A</v>
      </c>
      <c r="CA258" s="2" t="str">
        <f t="shared" si="74"/>
        <v/>
      </c>
      <c r="CL258" s="2" t="e">
        <f>VLOOKUP(AI258,GLAPS정리!$BT$3:$BV$26,3,0)</f>
        <v>#N/A</v>
      </c>
    </row>
    <row r="259" spans="2:90" ht="20.45" customHeight="1">
      <c r="B259" s="13"/>
      <c r="G259" s="3"/>
      <c r="J259" s="3"/>
      <c r="Q259" s="3" t="str">
        <f t="shared" si="62"/>
        <v/>
      </c>
      <c r="R259" s="3" t="str">
        <f t="shared" si="63"/>
        <v/>
      </c>
      <c r="S259" s="3" t="str">
        <f t="shared" si="64"/>
        <v/>
      </c>
      <c r="X259" s="13"/>
      <c r="Y259" s="13"/>
      <c r="Z259" s="91"/>
      <c r="AC259" s="2">
        <f t="shared" si="65"/>
        <v>20</v>
      </c>
      <c r="AD259" s="2" t="str">
        <f>IFERROR(INDEX(GLAPS정리!$D$2:$D$50,MATCH(I259,GLAPS정리!$A$2:$A$50,0)),IFERROR(INDEX(GLAPS정리!$D$2:$D$50,MATCH(I259,GLAPS정리!$B$2:$B$50,0)),""))</f>
        <v/>
      </c>
      <c r="AF259" s="2" t="str">
        <f t="shared" si="66"/>
        <v>KR10</v>
      </c>
      <c r="AI259" s="2" t="e">
        <f>VLOOKUP(F259,GLAPS정리!$G$3:$J$114,2,0)</f>
        <v>#N/A</v>
      </c>
      <c r="AJ259" s="2" t="e">
        <f>IF(Z259="울산정일","KRONS",IF(Z259="울산신항","KRUSN",IF(OR(Z259="선광종합물류(인천여객)",Z259="인천여객(인천여객)"),"KRINF",IF(OR(Z259="선광인천보세(인천신)",Z259="한진인천(인천신)",Z259="선광인천신항(인천신)",Z259="인천더로지스(인천신)"),"KRINN",IF(OR(Z259="인천진아(인천항)",Z259="인천E1(인천항)",Z259="인천SM경인터미널(인천항)",Z259="인천항(인천항)",Z259="인천우련(인천항)",Z259="인천항8부두(인천항)"),"KRINC",VLOOKUP(K259,GLAPS정리!$BB$2:$BC$33,2,0))))))</f>
        <v>#N/A</v>
      </c>
      <c r="AL259" s="2">
        <f t="shared" si="67"/>
        <v>5010001</v>
      </c>
      <c r="AN259" s="70" t="str">
        <f t="shared" si="68"/>
        <v>1900-01-00</v>
      </c>
      <c r="AO259" s="2" t="str">
        <f t="shared" si="69"/>
        <v/>
      </c>
      <c r="AP259" s="2" t="e">
        <f>VLOOKUP(C259,GLAPS정리!$AX$2:$AZ$17,3,0)</f>
        <v>#N/A</v>
      </c>
      <c r="AR259" s="2">
        <f t="shared" ref="AR259:AR322" si="75">X259</f>
        <v>0</v>
      </c>
      <c r="AX259" s="2" t="e">
        <f>VLOOKUP(L259,GLAPS정리!$V$3:$W$180,2,0)</f>
        <v>#N/A</v>
      </c>
      <c r="BM259" s="2" t="str">
        <f t="shared" si="70"/>
        <v xml:space="preserve"> </v>
      </c>
      <c r="BN259" s="2">
        <f t="shared" si="71"/>
        <v>1</v>
      </c>
      <c r="BR259" s="2" t="str">
        <f t="shared" si="72"/>
        <v/>
      </c>
      <c r="BS259" s="2" t="str">
        <f t="shared" si="73"/>
        <v/>
      </c>
      <c r="BV259" s="2" t="e">
        <f>VLOOKUP(O259,GLAPS정리!$BH$2:$BI$94,2,0)</f>
        <v>#N/A</v>
      </c>
      <c r="BW259" s="2" t="str">
        <f>IF(OR(Z259="동원",Z259="세방",Z259="한타"),"",IFERROR(INDEX(GLAPS정리!$BI$2:$BI$101,MATCH(Z259,GLAPS정리!$BH$2:$BH$101,0)),""))</f>
        <v/>
      </c>
      <c r="BX259" s="2" t="str">
        <f>IF(Z259="","",IFERROR(VLOOKUP(Z259,GLAPS정리!$AX$2:$AZ$17,3,0),""))</f>
        <v/>
      </c>
      <c r="BZ259" s="2" t="e">
        <f>VLOOKUP(H259,GLAPS정리!$L$3:$O$133,2,0)</f>
        <v>#N/A</v>
      </c>
      <c r="CA259" s="2" t="str">
        <f t="shared" si="74"/>
        <v/>
      </c>
      <c r="CL259" s="2" t="e">
        <f>VLOOKUP(AI259,GLAPS정리!$BT$3:$BV$26,3,0)</f>
        <v>#N/A</v>
      </c>
    </row>
    <row r="260" spans="2:90" ht="20.45" customHeight="1">
      <c r="B260" s="13"/>
      <c r="G260" s="3"/>
      <c r="J260" s="3"/>
      <c r="Q260" s="3" t="str">
        <f t="shared" si="62"/>
        <v/>
      </c>
      <c r="R260" s="3" t="str">
        <f t="shared" si="63"/>
        <v/>
      </c>
      <c r="S260" s="3" t="str">
        <f t="shared" si="64"/>
        <v/>
      </c>
      <c r="X260" s="13"/>
      <c r="Y260" s="13"/>
      <c r="Z260" s="91"/>
      <c r="AC260" s="2">
        <f t="shared" si="65"/>
        <v>20</v>
      </c>
      <c r="AD260" s="2" t="str">
        <f>IFERROR(INDEX(GLAPS정리!$D$2:$D$50,MATCH(I260,GLAPS정리!$A$2:$A$50,0)),IFERROR(INDEX(GLAPS정리!$D$2:$D$50,MATCH(I260,GLAPS정리!$B$2:$B$50,0)),""))</f>
        <v/>
      </c>
      <c r="AF260" s="2" t="str">
        <f t="shared" si="66"/>
        <v>KR10</v>
      </c>
      <c r="AI260" s="2" t="e">
        <f>VLOOKUP(F260,GLAPS정리!$G$3:$J$114,2,0)</f>
        <v>#N/A</v>
      </c>
      <c r="AJ260" s="2" t="e">
        <f>IF(Z260="울산정일","KRONS",IF(Z260="울산신항","KRUSN",IF(OR(Z260="선광종합물류(인천여객)",Z260="인천여객(인천여객)"),"KRINF",IF(OR(Z260="선광인천보세(인천신)",Z260="한진인천(인천신)",Z260="선광인천신항(인천신)",Z260="인천더로지스(인천신)"),"KRINN",IF(OR(Z260="인천진아(인천항)",Z260="인천E1(인천항)",Z260="인천SM경인터미널(인천항)",Z260="인천항(인천항)",Z260="인천우련(인천항)",Z260="인천항8부두(인천항)"),"KRINC",VLOOKUP(K260,GLAPS정리!$BB$2:$BC$33,2,0))))))</f>
        <v>#N/A</v>
      </c>
      <c r="AL260" s="2">
        <f t="shared" si="67"/>
        <v>5010001</v>
      </c>
      <c r="AN260" s="70" t="str">
        <f t="shared" si="68"/>
        <v>1900-01-00</v>
      </c>
      <c r="AO260" s="2" t="str">
        <f t="shared" si="69"/>
        <v/>
      </c>
      <c r="AP260" s="2" t="e">
        <f>VLOOKUP(C260,GLAPS정리!$AX$2:$AZ$17,3,0)</f>
        <v>#N/A</v>
      </c>
      <c r="AR260" s="2">
        <f t="shared" si="75"/>
        <v>0</v>
      </c>
      <c r="AX260" s="2" t="e">
        <f>VLOOKUP(L260,GLAPS정리!$V$3:$W$180,2,0)</f>
        <v>#N/A</v>
      </c>
      <c r="BM260" s="2" t="str">
        <f t="shared" si="70"/>
        <v xml:space="preserve"> </v>
      </c>
      <c r="BN260" s="2">
        <f t="shared" si="71"/>
        <v>1</v>
      </c>
      <c r="BR260" s="2" t="str">
        <f t="shared" si="72"/>
        <v/>
      </c>
      <c r="BS260" s="2" t="str">
        <f t="shared" si="73"/>
        <v/>
      </c>
      <c r="BV260" s="2" t="e">
        <f>VLOOKUP(O260,GLAPS정리!$BH$2:$BI$94,2,0)</f>
        <v>#N/A</v>
      </c>
      <c r="BW260" s="2" t="str">
        <f>IF(OR(Z260="동원",Z260="세방",Z260="한타"),"",IFERROR(INDEX(GLAPS정리!$BI$2:$BI$101,MATCH(Z260,GLAPS정리!$BH$2:$BH$101,0)),""))</f>
        <v/>
      </c>
      <c r="BX260" s="2" t="str">
        <f>IF(Z260="","",IFERROR(VLOOKUP(Z260,GLAPS정리!$AX$2:$AZ$17,3,0),""))</f>
        <v/>
      </c>
      <c r="BZ260" s="2" t="e">
        <f>VLOOKUP(H260,GLAPS정리!$L$3:$O$133,2,0)</f>
        <v>#N/A</v>
      </c>
      <c r="CA260" s="2" t="str">
        <f t="shared" si="74"/>
        <v/>
      </c>
      <c r="CL260" s="2" t="e">
        <f>VLOOKUP(AI260,GLAPS정리!$BT$3:$BV$26,3,0)</f>
        <v>#N/A</v>
      </c>
    </row>
    <row r="261" spans="2:90" ht="20.45" customHeight="1">
      <c r="B261" s="13"/>
      <c r="G261" s="3"/>
      <c r="J261" s="3"/>
      <c r="Q261" s="3" t="str">
        <f t="shared" si="62"/>
        <v/>
      </c>
      <c r="R261" s="3" t="str">
        <f t="shared" si="63"/>
        <v/>
      </c>
      <c r="S261" s="3" t="str">
        <f t="shared" si="64"/>
        <v/>
      </c>
      <c r="X261" s="13"/>
      <c r="Y261" s="13"/>
      <c r="Z261" s="91"/>
      <c r="AC261" s="2">
        <f t="shared" si="65"/>
        <v>20</v>
      </c>
      <c r="AD261" s="2" t="str">
        <f>IFERROR(INDEX(GLAPS정리!$D$2:$D$50,MATCH(I261,GLAPS정리!$A$2:$A$50,0)),IFERROR(INDEX(GLAPS정리!$D$2:$D$50,MATCH(I261,GLAPS정리!$B$2:$B$50,0)),""))</f>
        <v/>
      </c>
      <c r="AF261" s="2" t="str">
        <f t="shared" si="66"/>
        <v>KR10</v>
      </c>
      <c r="AI261" s="2" t="e">
        <f>VLOOKUP(F261,GLAPS정리!$G$3:$J$114,2,0)</f>
        <v>#N/A</v>
      </c>
      <c r="AJ261" s="2" t="e">
        <f>IF(Z261="울산정일","KRONS",IF(Z261="울산신항","KRUSN",IF(OR(Z261="선광종합물류(인천여객)",Z261="인천여객(인천여객)"),"KRINF",IF(OR(Z261="선광인천보세(인천신)",Z261="한진인천(인천신)",Z261="선광인천신항(인천신)",Z261="인천더로지스(인천신)"),"KRINN",IF(OR(Z261="인천진아(인천항)",Z261="인천E1(인천항)",Z261="인천SM경인터미널(인천항)",Z261="인천항(인천항)",Z261="인천우련(인천항)",Z261="인천항8부두(인천항)"),"KRINC",VLOOKUP(K261,GLAPS정리!$BB$2:$BC$33,2,0))))))</f>
        <v>#N/A</v>
      </c>
      <c r="AL261" s="2">
        <f t="shared" si="67"/>
        <v>5010001</v>
      </c>
      <c r="AN261" s="70" t="str">
        <f t="shared" si="68"/>
        <v>1900-01-00</v>
      </c>
      <c r="AO261" s="2" t="str">
        <f t="shared" si="69"/>
        <v/>
      </c>
      <c r="AP261" s="2" t="e">
        <f>VLOOKUP(C261,GLAPS정리!$AX$2:$AZ$17,3,0)</f>
        <v>#N/A</v>
      </c>
      <c r="AR261" s="2">
        <f t="shared" si="75"/>
        <v>0</v>
      </c>
      <c r="AX261" s="2" t="e">
        <f>VLOOKUP(L261,GLAPS정리!$V$3:$W$180,2,0)</f>
        <v>#N/A</v>
      </c>
      <c r="BM261" s="2" t="str">
        <f t="shared" si="70"/>
        <v xml:space="preserve"> </v>
      </c>
      <c r="BN261" s="2">
        <f t="shared" si="71"/>
        <v>1</v>
      </c>
      <c r="BR261" s="2" t="str">
        <f t="shared" si="72"/>
        <v/>
      </c>
      <c r="BS261" s="2" t="str">
        <f t="shared" si="73"/>
        <v/>
      </c>
      <c r="BV261" s="2" t="e">
        <f>VLOOKUP(O261,GLAPS정리!$BH$2:$BI$94,2,0)</f>
        <v>#N/A</v>
      </c>
      <c r="BW261" s="2" t="str">
        <f>IF(OR(Z261="동원",Z261="세방",Z261="한타"),"",IFERROR(INDEX(GLAPS정리!$BI$2:$BI$101,MATCH(Z261,GLAPS정리!$BH$2:$BH$101,0)),""))</f>
        <v/>
      </c>
      <c r="BX261" s="2" t="str">
        <f>IF(Z261="","",IFERROR(VLOOKUP(Z261,GLAPS정리!$AX$2:$AZ$17,3,0),""))</f>
        <v/>
      </c>
      <c r="BZ261" s="2" t="e">
        <f>VLOOKUP(H261,GLAPS정리!$L$3:$O$133,2,0)</f>
        <v>#N/A</v>
      </c>
      <c r="CA261" s="2" t="str">
        <f t="shared" si="74"/>
        <v/>
      </c>
      <c r="CL261" s="2" t="e">
        <f>VLOOKUP(AI261,GLAPS정리!$BT$3:$BV$26,3,0)</f>
        <v>#N/A</v>
      </c>
    </row>
    <row r="262" spans="2:90" ht="20.45" customHeight="1">
      <c r="B262" s="13"/>
      <c r="G262" s="3"/>
      <c r="J262" s="3"/>
      <c r="Q262" s="3" t="str">
        <f t="shared" si="62"/>
        <v/>
      </c>
      <c r="R262" s="3" t="str">
        <f t="shared" si="63"/>
        <v/>
      </c>
      <c r="S262" s="3" t="str">
        <f t="shared" si="64"/>
        <v/>
      </c>
      <c r="X262" s="13"/>
      <c r="Y262" s="13"/>
      <c r="Z262" s="91"/>
      <c r="AC262" s="2">
        <f t="shared" si="65"/>
        <v>20</v>
      </c>
      <c r="AD262" s="2" t="str">
        <f>IFERROR(INDEX(GLAPS정리!$D$2:$D$50,MATCH(I262,GLAPS정리!$A$2:$A$50,0)),IFERROR(INDEX(GLAPS정리!$D$2:$D$50,MATCH(I262,GLAPS정리!$B$2:$B$50,0)),""))</f>
        <v/>
      </c>
      <c r="AF262" s="2" t="str">
        <f t="shared" si="66"/>
        <v>KR10</v>
      </c>
      <c r="AI262" s="2" t="e">
        <f>VLOOKUP(F262,GLAPS정리!$G$3:$J$114,2,0)</f>
        <v>#N/A</v>
      </c>
      <c r="AJ262" s="2" t="e">
        <f>IF(Z262="울산정일","KRONS",IF(Z262="울산신항","KRUSN",IF(OR(Z262="선광종합물류(인천여객)",Z262="인천여객(인천여객)"),"KRINF",IF(OR(Z262="선광인천보세(인천신)",Z262="한진인천(인천신)",Z262="선광인천신항(인천신)",Z262="인천더로지스(인천신)"),"KRINN",IF(OR(Z262="인천진아(인천항)",Z262="인천E1(인천항)",Z262="인천SM경인터미널(인천항)",Z262="인천항(인천항)",Z262="인천우련(인천항)",Z262="인천항8부두(인천항)"),"KRINC",VLOOKUP(K262,GLAPS정리!$BB$2:$BC$33,2,0))))))</f>
        <v>#N/A</v>
      </c>
      <c r="AL262" s="2">
        <f t="shared" si="67"/>
        <v>5010001</v>
      </c>
      <c r="AN262" s="70" t="str">
        <f t="shared" si="68"/>
        <v>1900-01-00</v>
      </c>
      <c r="AO262" s="2" t="str">
        <f t="shared" si="69"/>
        <v/>
      </c>
      <c r="AP262" s="2" t="e">
        <f>VLOOKUP(C262,GLAPS정리!$AX$2:$AZ$17,3,0)</f>
        <v>#N/A</v>
      </c>
      <c r="AR262" s="2">
        <f t="shared" si="75"/>
        <v>0</v>
      </c>
      <c r="AX262" s="2" t="e">
        <f>VLOOKUP(L262,GLAPS정리!$V$3:$W$180,2,0)</f>
        <v>#N/A</v>
      </c>
      <c r="BM262" s="2" t="str">
        <f t="shared" si="70"/>
        <v xml:space="preserve"> </v>
      </c>
      <c r="BN262" s="2">
        <f t="shared" si="71"/>
        <v>1</v>
      </c>
      <c r="BR262" s="2" t="str">
        <f t="shared" si="72"/>
        <v/>
      </c>
      <c r="BS262" s="2" t="str">
        <f t="shared" si="73"/>
        <v/>
      </c>
      <c r="BV262" s="2" t="e">
        <f>VLOOKUP(O262,GLAPS정리!$BH$2:$BI$94,2,0)</f>
        <v>#N/A</v>
      </c>
      <c r="BW262" s="2" t="str">
        <f>IF(OR(Z262="동원",Z262="세방",Z262="한타"),"",IFERROR(INDEX(GLAPS정리!$BI$2:$BI$101,MATCH(Z262,GLAPS정리!$BH$2:$BH$101,0)),""))</f>
        <v/>
      </c>
      <c r="BX262" s="2" t="str">
        <f>IF(Z262="","",IFERROR(VLOOKUP(Z262,GLAPS정리!$AX$2:$AZ$17,3,0),""))</f>
        <v/>
      </c>
      <c r="BZ262" s="2" t="e">
        <f>VLOOKUP(H262,GLAPS정리!$L$3:$O$133,2,0)</f>
        <v>#N/A</v>
      </c>
      <c r="CA262" s="2" t="str">
        <f t="shared" si="74"/>
        <v/>
      </c>
      <c r="CL262" s="2" t="e">
        <f>VLOOKUP(AI262,GLAPS정리!$BT$3:$BV$26,3,0)</f>
        <v>#N/A</v>
      </c>
    </row>
    <row r="263" spans="2:90" ht="20.45" customHeight="1">
      <c r="B263" s="13"/>
      <c r="G263" s="3"/>
      <c r="J263" s="3"/>
      <c r="Q263" s="3" t="str">
        <f t="shared" si="62"/>
        <v/>
      </c>
      <c r="R263" s="3" t="str">
        <f t="shared" si="63"/>
        <v/>
      </c>
      <c r="S263" s="3" t="str">
        <f t="shared" si="64"/>
        <v/>
      </c>
      <c r="X263" s="13"/>
      <c r="Y263" s="13"/>
      <c r="Z263" s="91"/>
      <c r="AC263" s="2">
        <f t="shared" si="65"/>
        <v>20</v>
      </c>
      <c r="AD263" s="2" t="str">
        <f>IFERROR(INDEX(GLAPS정리!$D$2:$D$50,MATCH(I263,GLAPS정리!$A$2:$A$50,0)),IFERROR(INDEX(GLAPS정리!$D$2:$D$50,MATCH(I263,GLAPS정리!$B$2:$B$50,0)),""))</f>
        <v/>
      </c>
      <c r="AF263" s="2" t="str">
        <f t="shared" si="66"/>
        <v>KR10</v>
      </c>
      <c r="AI263" s="2" t="e">
        <f>VLOOKUP(F263,GLAPS정리!$G$3:$J$114,2,0)</f>
        <v>#N/A</v>
      </c>
      <c r="AJ263" s="2" t="e">
        <f>IF(Z263="울산정일","KRONS",IF(Z263="울산신항","KRUSN",IF(OR(Z263="선광종합물류(인천여객)",Z263="인천여객(인천여객)"),"KRINF",IF(OR(Z263="선광인천보세(인천신)",Z263="한진인천(인천신)",Z263="선광인천신항(인천신)",Z263="인천더로지스(인천신)"),"KRINN",IF(OR(Z263="인천진아(인천항)",Z263="인천E1(인천항)",Z263="인천SM경인터미널(인천항)",Z263="인천항(인천항)",Z263="인천우련(인천항)",Z263="인천항8부두(인천항)"),"KRINC",VLOOKUP(K263,GLAPS정리!$BB$2:$BC$33,2,0))))))</f>
        <v>#N/A</v>
      </c>
      <c r="AL263" s="2">
        <f t="shared" si="67"/>
        <v>5010001</v>
      </c>
      <c r="AN263" s="70" t="str">
        <f t="shared" si="68"/>
        <v>1900-01-00</v>
      </c>
      <c r="AO263" s="2" t="str">
        <f t="shared" si="69"/>
        <v/>
      </c>
      <c r="AP263" s="2" t="e">
        <f>VLOOKUP(C263,GLAPS정리!$AX$2:$AZ$17,3,0)</f>
        <v>#N/A</v>
      </c>
      <c r="AR263" s="2">
        <f t="shared" si="75"/>
        <v>0</v>
      </c>
      <c r="AX263" s="2" t="e">
        <f>VLOOKUP(L263,GLAPS정리!$V$3:$W$180,2,0)</f>
        <v>#N/A</v>
      </c>
      <c r="BM263" s="2" t="str">
        <f t="shared" si="70"/>
        <v xml:space="preserve"> </v>
      </c>
      <c r="BN263" s="2">
        <f t="shared" si="71"/>
        <v>1</v>
      </c>
      <c r="BR263" s="2" t="str">
        <f t="shared" si="72"/>
        <v/>
      </c>
      <c r="BS263" s="2" t="str">
        <f t="shared" si="73"/>
        <v/>
      </c>
      <c r="BV263" s="2" t="e">
        <f>VLOOKUP(O263,GLAPS정리!$BH$2:$BI$94,2,0)</f>
        <v>#N/A</v>
      </c>
      <c r="BW263" s="2" t="str">
        <f>IF(OR(Z263="동원",Z263="세방",Z263="한타"),"",IFERROR(INDEX(GLAPS정리!$BI$2:$BI$101,MATCH(Z263,GLAPS정리!$BH$2:$BH$101,0)),""))</f>
        <v/>
      </c>
      <c r="BX263" s="2" t="str">
        <f>IF(Z263="","",IFERROR(VLOOKUP(Z263,GLAPS정리!$AX$2:$AZ$17,3,0),""))</f>
        <v/>
      </c>
      <c r="BZ263" s="2" t="e">
        <f>VLOOKUP(H263,GLAPS정리!$L$3:$O$133,2,0)</f>
        <v>#N/A</v>
      </c>
      <c r="CA263" s="2" t="str">
        <f t="shared" si="74"/>
        <v/>
      </c>
      <c r="CL263" s="2" t="e">
        <f>VLOOKUP(AI263,GLAPS정리!$BT$3:$BV$26,3,0)</f>
        <v>#N/A</v>
      </c>
    </row>
    <row r="264" spans="2:90" ht="20.45" customHeight="1">
      <c r="B264" s="13"/>
      <c r="G264" s="3"/>
      <c r="J264" s="3"/>
      <c r="Q264" s="3" t="str">
        <f t="shared" si="62"/>
        <v/>
      </c>
      <c r="R264" s="3" t="str">
        <f t="shared" si="63"/>
        <v/>
      </c>
      <c r="S264" s="3" t="str">
        <f t="shared" si="64"/>
        <v/>
      </c>
      <c r="X264" s="13"/>
      <c r="Y264" s="13"/>
      <c r="Z264" s="91"/>
      <c r="AC264" s="2">
        <f t="shared" si="65"/>
        <v>20</v>
      </c>
      <c r="AD264" s="2" t="str">
        <f>IFERROR(INDEX(GLAPS정리!$D$2:$D$50,MATCH(I264,GLAPS정리!$A$2:$A$50,0)),IFERROR(INDEX(GLAPS정리!$D$2:$D$50,MATCH(I264,GLAPS정리!$B$2:$B$50,0)),""))</f>
        <v/>
      </c>
      <c r="AF264" s="2" t="str">
        <f t="shared" si="66"/>
        <v>KR10</v>
      </c>
      <c r="AI264" s="2" t="e">
        <f>VLOOKUP(F264,GLAPS정리!$G$3:$J$114,2,0)</f>
        <v>#N/A</v>
      </c>
      <c r="AJ264" s="2" t="e">
        <f>IF(Z264="울산정일","KRONS",IF(Z264="울산신항","KRUSN",IF(OR(Z264="선광종합물류(인천여객)",Z264="인천여객(인천여객)"),"KRINF",IF(OR(Z264="선광인천보세(인천신)",Z264="한진인천(인천신)",Z264="선광인천신항(인천신)",Z264="인천더로지스(인천신)"),"KRINN",IF(OR(Z264="인천진아(인천항)",Z264="인천E1(인천항)",Z264="인천SM경인터미널(인천항)",Z264="인천항(인천항)",Z264="인천우련(인천항)",Z264="인천항8부두(인천항)"),"KRINC",VLOOKUP(K264,GLAPS정리!$BB$2:$BC$33,2,0))))))</f>
        <v>#N/A</v>
      </c>
      <c r="AL264" s="2">
        <f t="shared" si="67"/>
        <v>5010001</v>
      </c>
      <c r="AN264" s="70" t="str">
        <f t="shared" si="68"/>
        <v>1900-01-00</v>
      </c>
      <c r="AO264" s="2" t="str">
        <f t="shared" si="69"/>
        <v/>
      </c>
      <c r="AP264" s="2" t="e">
        <f>VLOOKUP(C264,GLAPS정리!$AX$2:$AZ$17,3,0)</f>
        <v>#N/A</v>
      </c>
      <c r="AR264" s="2">
        <f t="shared" si="75"/>
        <v>0</v>
      </c>
      <c r="AX264" s="2" t="e">
        <f>VLOOKUP(L264,GLAPS정리!$V$3:$W$180,2,0)</f>
        <v>#N/A</v>
      </c>
      <c r="BM264" s="2" t="str">
        <f t="shared" si="70"/>
        <v xml:space="preserve"> </v>
      </c>
      <c r="BN264" s="2">
        <f t="shared" si="71"/>
        <v>1</v>
      </c>
      <c r="BR264" s="2" t="str">
        <f t="shared" si="72"/>
        <v/>
      </c>
      <c r="BS264" s="2" t="str">
        <f t="shared" si="73"/>
        <v/>
      </c>
      <c r="BV264" s="2" t="e">
        <f>VLOOKUP(O264,GLAPS정리!$BH$2:$BI$94,2,0)</f>
        <v>#N/A</v>
      </c>
      <c r="BW264" s="2" t="str">
        <f>IF(OR(Z264="동원",Z264="세방",Z264="한타"),"",IFERROR(INDEX(GLAPS정리!$BI$2:$BI$101,MATCH(Z264,GLAPS정리!$BH$2:$BH$101,0)),""))</f>
        <v/>
      </c>
      <c r="BX264" s="2" t="str">
        <f>IF(Z264="","",IFERROR(VLOOKUP(Z264,GLAPS정리!$AX$2:$AZ$17,3,0),""))</f>
        <v/>
      </c>
      <c r="BZ264" s="2" t="e">
        <f>VLOOKUP(H264,GLAPS정리!$L$3:$O$133,2,0)</f>
        <v>#N/A</v>
      </c>
      <c r="CA264" s="2" t="str">
        <f t="shared" si="74"/>
        <v/>
      </c>
      <c r="CL264" s="2" t="e">
        <f>VLOOKUP(AI264,GLAPS정리!$BT$3:$BV$26,3,0)</f>
        <v>#N/A</v>
      </c>
    </row>
    <row r="265" spans="2:90" ht="20.45" customHeight="1">
      <c r="B265" s="13"/>
      <c r="G265" s="3"/>
      <c r="J265" s="3"/>
      <c r="Q265" s="3" t="str">
        <f t="shared" si="62"/>
        <v/>
      </c>
      <c r="R265" s="3" t="str">
        <f t="shared" si="63"/>
        <v/>
      </c>
      <c r="S265" s="3" t="str">
        <f t="shared" si="64"/>
        <v/>
      </c>
      <c r="X265" s="13"/>
      <c r="Y265" s="13"/>
      <c r="Z265" s="91"/>
      <c r="AC265" s="2">
        <f t="shared" si="65"/>
        <v>20</v>
      </c>
      <c r="AD265" s="2" t="str">
        <f>IFERROR(INDEX(GLAPS정리!$D$2:$D$50,MATCH(I265,GLAPS정리!$A$2:$A$50,0)),IFERROR(INDEX(GLAPS정리!$D$2:$D$50,MATCH(I265,GLAPS정리!$B$2:$B$50,0)),""))</f>
        <v/>
      </c>
      <c r="AF265" s="2" t="str">
        <f t="shared" si="66"/>
        <v>KR10</v>
      </c>
      <c r="AI265" s="2" t="e">
        <f>VLOOKUP(F265,GLAPS정리!$G$3:$J$114,2,0)</f>
        <v>#N/A</v>
      </c>
      <c r="AJ265" s="2" t="e">
        <f>IF(Z265="울산정일","KRONS",IF(Z265="울산신항","KRUSN",IF(OR(Z265="선광종합물류(인천여객)",Z265="인천여객(인천여객)"),"KRINF",IF(OR(Z265="선광인천보세(인천신)",Z265="한진인천(인천신)",Z265="선광인천신항(인천신)",Z265="인천더로지스(인천신)"),"KRINN",IF(OR(Z265="인천진아(인천항)",Z265="인천E1(인천항)",Z265="인천SM경인터미널(인천항)",Z265="인천항(인천항)",Z265="인천우련(인천항)",Z265="인천항8부두(인천항)"),"KRINC",VLOOKUP(K265,GLAPS정리!$BB$2:$BC$33,2,0))))))</f>
        <v>#N/A</v>
      </c>
      <c r="AL265" s="2">
        <f t="shared" si="67"/>
        <v>5010001</v>
      </c>
      <c r="AN265" s="70" t="str">
        <f t="shared" si="68"/>
        <v>1900-01-00</v>
      </c>
      <c r="AO265" s="2" t="str">
        <f t="shared" si="69"/>
        <v/>
      </c>
      <c r="AP265" s="2" t="e">
        <f>VLOOKUP(C265,GLAPS정리!$AX$2:$AZ$17,3,0)</f>
        <v>#N/A</v>
      </c>
      <c r="AR265" s="2">
        <f t="shared" si="75"/>
        <v>0</v>
      </c>
      <c r="AX265" s="2" t="e">
        <f>VLOOKUP(L265,GLAPS정리!$V$3:$W$180,2,0)</f>
        <v>#N/A</v>
      </c>
      <c r="BM265" s="2" t="str">
        <f t="shared" si="70"/>
        <v xml:space="preserve"> </v>
      </c>
      <c r="BN265" s="2">
        <f t="shared" si="71"/>
        <v>1</v>
      </c>
      <c r="BR265" s="2" t="str">
        <f t="shared" si="72"/>
        <v/>
      </c>
      <c r="BS265" s="2" t="str">
        <f t="shared" si="73"/>
        <v/>
      </c>
      <c r="BV265" s="2" t="e">
        <f>VLOOKUP(O265,GLAPS정리!$BH$2:$BI$94,2,0)</f>
        <v>#N/A</v>
      </c>
      <c r="BW265" s="2" t="str">
        <f>IF(OR(Z265="동원",Z265="세방",Z265="한타"),"",IFERROR(INDEX(GLAPS정리!$BI$2:$BI$101,MATCH(Z265,GLAPS정리!$BH$2:$BH$101,0)),""))</f>
        <v/>
      </c>
      <c r="BX265" s="2" t="str">
        <f>IF(Z265="","",IFERROR(VLOOKUP(Z265,GLAPS정리!$AX$2:$AZ$17,3,0),""))</f>
        <v/>
      </c>
      <c r="BZ265" s="2" t="e">
        <f>VLOOKUP(H265,GLAPS정리!$L$3:$O$133,2,0)</f>
        <v>#N/A</v>
      </c>
      <c r="CA265" s="2" t="str">
        <f t="shared" si="74"/>
        <v/>
      </c>
      <c r="CL265" s="2" t="e">
        <f>VLOOKUP(AI265,GLAPS정리!$BT$3:$BV$26,3,0)</f>
        <v>#N/A</v>
      </c>
    </row>
    <row r="266" spans="2:90" ht="20.45" customHeight="1">
      <c r="B266" s="13"/>
      <c r="G266" s="3"/>
      <c r="J266" s="3"/>
      <c r="Q266" s="3" t="str">
        <f t="shared" si="62"/>
        <v/>
      </c>
      <c r="R266" s="3" t="str">
        <f t="shared" si="63"/>
        <v/>
      </c>
      <c r="S266" s="3" t="str">
        <f t="shared" si="64"/>
        <v/>
      </c>
      <c r="X266" s="13"/>
      <c r="Y266" s="13"/>
      <c r="Z266" s="91"/>
      <c r="AC266" s="2">
        <f t="shared" si="65"/>
        <v>20</v>
      </c>
      <c r="AD266" s="2" t="str">
        <f>IFERROR(INDEX(GLAPS정리!$D$2:$D$50,MATCH(I266,GLAPS정리!$A$2:$A$50,0)),IFERROR(INDEX(GLAPS정리!$D$2:$D$50,MATCH(I266,GLAPS정리!$B$2:$B$50,0)),""))</f>
        <v/>
      </c>
      <c r="AF266" s="2" t="str">
        <f t="shared" si="66"/>
        <v>KR10</v>
      </c>
      <c r="AI266" s="2" t="e">
        <f>VLOOKUP(F266,GLAPS정리!$G$3:$J$114,2,0)</f>
        <v>#N/A</v>
      </c>
      <c r="AJ266" s="2" t="e">
        <f>IF(Z266="울산정일","KRONS",IF(Z266="울산신항","KRUSN",IF(OR(Z266="선광종합물류(인천여객)",Z266="인천여객(인천여객)"),"KRINF",IF(OR(Z266="선광인천보세(인천신)",Z266="한진인천(인천신)",Z266="선광인천신항(인천신)",Z266="인천더로지스(인천신)"),"KRINN",IF(OR(Z266="인천진아(인천항)",Z266="인천E1(인천항)",Z266="인천SM경인터미널(인천항)",Z266="인천항(인천항)",Z266="인천우련(인천항)",Z266="인천항8부두(인천항)"),"KRINC",VLOOKUP(K266,GLAPS정리!$BB$2:$BC$33,2,0))))))</f>
        <v>#N/A</v>
      </c>
      <c r="AL266" s="2">
        <f t="shared" si="67"/>
        <v>5010001</v>
      </c>
      <c r="AN266" s="70" t="str">
        <f t="shared" si="68"/>
        <v>1900-01-00</v>
      </c>
      <c r="AO266" s="2" t="str">
        <f t="shared" si="69"/>
        <v/>
      </c>
      <c r="AP266" s="2" t="e">
        <f>VLOOKUP(C266,GLAPS정리!$AX$2:$AZ$17,3,0)</f>
        <v>#N/A</v>
      </c>
      <c r="AR266" s="2">
        <f t="shared" si="75"/>
        <v>0</v>
      </c>
      <c r="AX266" s="2" t="e">
        <f>VLOOKUP(L266,GLAPS정리!$V$3:$W$180,2,0)</f>
        <v>#N/A</v>
      </c>
      <c r="BM266" s="2" t="str">
        <f t="shared" si="70"/>
        <v xml:space="preserve"> </v>
      </c>
      <c r="BN266" s="2">
        <f t="shared" si="71"/>
        <v>1</v>
      </c>
      <c r="BR266" s="2" t="str">
        <f t="shared" si="72"/>
        <v/>
      </c>
      <c r="BS266" s="2" t="str">
        <f t="shared" si="73"/>
        <v/>
      </c>
      <c r="BV266" s="2" t="e">
        <f>VLOOKUP(O266,GLAPS정리!$BH$2:$BI$94,2,0)</f>
        <v>#N/A</v>
      </c>
      <c r="BW266" s="2" t="str">
        <f>IF(OR(Z266="동원",Z266="세방",Z266="한타"),"",IFERROR(INDEX(GLAPS정리!$BI$2:$BI$101,MATCH(Z266,GLAPS정리!$BH$2:$BH$101,0)),""))</f>
        <v/>
      </c>
      <c r="BX266" s="2" t="str">
        <f>IF(Z266="","",IFERROR(VLOOKUP(Z266,GLAPS정리!$AX$2:$AZ$17,3,0),""))</f>
        <v/>
      </c>
      <c r="BZ266" s="2" t="e">
        <f>VLOOKUP(H266,GLAPS정리!$L$3:$O$133,2,0)</f>
        <v>#N/A</v>
      </c>
      <c r="CA266" s="2" t="str">
        <f t="shared" si="74"/>
        <v/>
      </c>
      <c r="CL266" s="2" t="e">
        <f>VLOOKUP(AI266,GLAPS정리!$BT$3:$BV$26,3,0)</f>
        <v>#N/A</v>
      </c>
    </row>
    <row r="267" spans="2:90" ht="20.45" customHeight="1">
      <c r="B267" s="13"/>
      <c r="G267" s="3"/>
      <c r="J267" s="3"/>
      <c r="Q267" s="3" t="str">
        <f t="shared" si="62"/>
        <v/>
      </c>
      <c r="R267" s="3" t="str">
        <f t="shared" si="63"/>
        <v/>
      </c>
      <c r="S267" s="3" t="str">
        <f t="shared" si="64"/>
        <v/>
      </c>
      <c r="X267" s="13"/>
      <c r="Y267" s="13"/>
      <c r="Z267" s="91"/>
      <c r="AC267" s="2">
        <f t="shared" si="65"/>
        <v>20</v>
      </c>
      <c r="AD267" s="2" t="str">
        <f>IFERROR(INDEX(GLAPS정리!$D$2:$D$50,MATCH(I267,GLAPS정리!$A$2:$A$50,0)),IFERROR(INDEX(GLAPS정리!$D$2:$D$50,MATCH(I267,GLAPS정리!$B$2:$B$50,0)),""))</f>
        <v/>
      </c>
      <c r="AF267" s="2" t="str">
        <f t="shared" si="66"/>
        <v>KR10</v>
      </c>
      <c r="AI267" s="2" t="e">
        <f>VLOOKUP(F267,GLAPS정리!$G$3:$J$114,2,0)</f>
        <v>#N/A</v>
      </c>
      <c r="AJ267" s="2" t="e">
        <f>IF(Z267="울산정일","KRONS",IF(Z267="울산신항","KRUSN",IF(OR(Z267="선광종합물류(인천여객)",Z267="인천여객(인천여객)"),"KRINF",IF(OR(Z267="선광인천보세(인천신)",Z267="한진인천(인천신)",Z267="선광인천신항(인천신)",Z267="인천더로지스(인천신)"),"KRINN",IF(OR(Z267="인천진아(인천항)",Z267="인천E1(인천항)",Z267="인천SM경인터미널(인천항)",Z267="인천항(인천항)",Z267="인천우련(인천항)",Z267="인천항8부두(인천항)"),"KRINC",VLOOKUP(K267,GLAPS정리!$BB$2:$BC$33,2,0))))))</f>
        <v>#N/A</v>
      </c>
      <c r="AL267" s="2">
        <f t="shared" si="67"/>
        <v>5010001</v>
      </c>
      <c r="AN267" s="70" t="str">
        <f t="shared" si="68"/>
        <v>1900-01-00</v>
      </c>
      <c r="AO267" s="2" t="str">
        <f t="shared" si="69"/>
        <v/>
      </c>
      <c r="AP267" s="2" t="e">
        <f>VLOOKUP(C267,GLAPS정리!$AX$2:$AZ$17,3,0)</f>
        <v>#N/A</v>
      </c>
      <c r="AR267" s="2">
        <f t="shared" si="75"/>
        <v>0</v>
      </c>
      <c r="AX267" s="2" t="e">
        <f>VLOOKUP(L267,GLAPS정리!$V$3:$W$180,2,0)</f>
        <v>#N/A</v>
      </c>
      <c r="BM267" s="2" t="str">
        <f t="shared" si="70"/>
        <v xml:space="preserve"> </v>
      </c>
      <c r="BN267" s="2">
        <f t="shared" si="71"/>
        <v>1</v>
      </c>
      <c r="BR267" s="2" t="str">
        <f t="shared" si="72"/>
        <v/>
      </c>
      <c r="BS267" s="2" t="str">
        <f t="shared" si="73"/>
        <v/>
      </c>
      <c r="BV267" s="2" t="e">
        <f>VLOOKUP(O267,GLAPS정리!$BH$2:$BI$94,2,0)</f>
        <v>#N/A</v>
      </c>
      <c r="BW267" s="2" t="str">
        <f>IF(OR(Z267="동원",Z267="세방",Z267="한타"),"",IFERROR(INDEX(GLAPS정리!$BI$2:$BI$101,MATCH(Z267,GLAPS정리!$BH$2:$BH$101,0)),""))</f>
        <v/>
      </c>
      <c r="BX267" s="2" t="str">
        <f>IF(Z267="","",IFERROR(VLOOKUP(Z267,GLAPS정리!$AX$2:$AZ$17,3,0),""))</f>
        <v/>
      </c>
      <c r="BZ267" s="2" t="e">
        <f>VLOOKUP(H267,GLAPS정리!$L$3:$O$133,2,0)</f>
        <v>#N/A</v>
      </c>
      <c r="CA267" s="2" t="str">
        <f t="shared" si="74"/>
        <v/>
      </c>
      <c r="CL267" s="2" t="e">
        <f>VLOOKUP(AI267,GLAPS정리!$BT$3:$BV$26,3,0)</f>
        <v>#N/A</v>
      </c>
    </row>
    <row r="268" spans="2:90" ht="20.45" customHeight="1">
      <c r="B268" s="13"/>
      <c r="G268" s="3"/>
      <c r="J268" s="3"/>
      <c r="Q268" s="3" t="str">
        <f t="shared" si="62"/>
        <v/>
      </c>
      <c r="R268" s="3" t="str">
        <f t="shared" si="63"/>
        <v/>
      </c>
      <c r="S268" s="3" t="str">
        <f t="shared" si="64"/>
        <v/>
      </c>
      <c r="X268" s="13"/>
      <c r="Y268" s="13"/>
      <c r="Z268" s="91"/>
      <c r="AC268" s="2">
        <f t="shared" si="65"/>
        <v>20</v>
      </c>
      <c r="AD268" s="2" t="str">
        <f>IFERROR(INDEX(GLAPS정리!$D$2:$D$50,MATCH(I268,GLAPS정리!$A$2:$A$50,0)),IFERROR(INDEX(GLAPS정리!$D$2:$D$50,MATCH(I268,GLAPS정리!$B$2:$B$50,0)),""))</f>
        <v/>
      </c>
      <c r="AF268" s="2" t="str">
        <f t="shared" si="66"/>
        <v>KR10</v>
      </c>
      <c r="AI268" s="2" t="e">
        <f>VLOOKUP(F268,GLAPS정리!$G$3:$J$114,2,0)</f>
        <v>#N/A</v>
      </c>
      <c r="AJ268" s="2" t="e">
        <f>IF(Z268="울산정일","KRONS",IF(Z268="울산신항","KRUSN",IF(OR(Z268="선광종합물류(인천여객)",Z268="인천여객(인천여객)"),"KRINF",IF(OR(Z268="선광인천보세(인천신)",Z268="한진인천(인천신)",Z268="선광인천신항(인천신)",Z268="인천더로지스(인천신)"),"KRINN",IF(OR(Z268="인천진아(인천항)",Z268="인천E1(인천항)",Z268="인천SM경인터미널(인천항)",Z268="인천항(인천항)",Z268="인천우련(인천항)",Z268="인천항8부두(인천항)"),"KRINC",VLOOKUP(K268,GLAPS정리!$BB$2:$BC$33,2,0))))))</f>
        <v>#N/A</v>
      </c>
      <c r="AL268" s="2">
        <f t="shared" si="67"/>
        <v>5010001</v>
      </c>
      <c r="AN268" s="70" t="str">
        <f t="shared" si="68"/>
        <v>1900-01-00</v>
      </c>
      <c r="AO268" s="2" t="str">
        <f t="shared" si="69"/>
        <v/>
      </c>
      <c r="AP268" s="2" t="e">
        <f>VLOOKUP(C268,GLAPS정리!$AX$2:$AZ$17,3,0)</f>
        <v>#N/A</v>
      </c>
      <c r="AR268" s="2">
        <f t="shared" si="75"/>
        <v>0</v>
      </c>
      <c r="AX268" s="2" t="e">
        <f>VLOOKUP(L268,GLAPS정리!$V$3:$W$180,2,0)</f>
        <v>#N/A</v>
      </c>
      <c r="BM268" s="2" t="str">
        <f t="shared" si="70"/>
        <v xml:space="preserve"> </v>
      </c>
      <c r="BN268" s="2">
        <f t="shared" si="71"/>
        <v>1</v>
      </c>
      <c r="BR268" s="2" t="str">
        <f t="shared" si="72"/>
        <v/>
      </c>
      <c r="BS268" s="2" t="str">
        <f t="shared" si="73"/>
        <v/>
      </c>
      <c r="BV268" s="2" t="e">
        <f>VLOOKUP(O268,GLAPS정리!$BH$2:$BI$94,2,0)</f>
        <v>#N/A</v>
      </c>
      <c r="BW268" s="2" t="str">
        <f>IF(OR(Z268="동원",Z268="세방",Z268="한타"),"",IFERROR(INDEX(GLAPS정리!$BI$2:$BI$101,MATCH(Z268,GLAPS정리!$BH$2:$BH$101,0)),""))</f>
        <v/>
      </c>
      <c r="BX268" s="2" t="str">
        <f>IF(Z268="","",IFERROR(VLOOKUP(Z268,GLAPS정리!$AX$2:$AZ$17,3,0),""))</f>
        <v/>
      </c>
      <c r="BZ268" s="2" t="e">
        <f>VLOOKUP(H268,GLAPS정리!$L$3:$O$133,2,0)</f>
        <v>#N/A</v>
      </c>
      <c r="CA268" s="2" t="str">
        <f t="shared" si="74"/>
        <v/>
      </c>
      <c r="CL268" s="2" t="e">
        <f>VLOOKUP(AI268,GLAPS정리!$BT$3:$BV$26,3,0)</f>
        <v>#N/A</v>
      </c>
    </row>
    <row r="269" spans="2:90" ht="20.45" customHeight="1">
      <c r="B269" s="13"/>
      <c r="G269" s="3"/>
      <c r="J269" s="3"/>
      <c r="Q269" s="3" t="str">
        <f t="shared" si="62"/>
        <v/>
      </c>
      <c r="R269" s="3" t="str">
        <f t="shared" si="63"/>
        <v/>
      </c>
      <c r="S269" s="3" t="str">
        <f t="shared" si="64"/>
        <v/>
      </c>
      <c r="X269" s="13"/>
      <c r="Y269" s="13"/>
      <c r="Z269" s="91"/>
      <c r="AC269" s="2">
        <f t="shared" si="65"/>
        <v>20</v>
      </c>
      <c r="AD269" s="2" t="str">
        <f>IFERROR(INDEX(GLAPS정리!$D$2:$D$50,MATCH(I269,GLAPS정리!$A$2:$A$50,0)),IFERROR(INDEX(GLAPS정리!$D$2:$D$50,MATCH(I269,GLAPS정리!$B$2:$B$50,0)),""))</f>
        <v/>
      </c>
      <c r="AF269" s="2" t="str">
        <f t="shared" si="66"/>
        <v>KR10</v>
      </c>
      <c r="AI269" s="2" t="e">
        <f>VLOOKUP(F269,GLAPS정리!$G$3:$J$114,2,0)</f>
        <v>#N/A</v>
      </c>
      <c r="AJ269" s="2" t="e">
        <f>IF(Z269="울산정일","KRONS",IF(Z269="울산신항","KRUSN",IF(OR(Z269="선광종합물류(인천여객)",Z269="인천여객(인천여객)"),"KRINF",IF(OR(Z269="선광인천보세(인천신)",Z269="한진인천(인천신)",Z269="선광인천신항(인천신)",Z269="인천더로지스(인천신)"),"KRINN",IF(OR(Z269="인천진아(인천항)",Z269="인천E1(인천항)",Z269="인천SM경인터미널(인천항)",Z269="인천항(인천항)",Z269="인천우련(인천항)",Z269="인천항8부두(인천항)"),"KRINC",VLOOKUP(K269,GLAPS정리!$BB$2:$BC$33,2,0))))))</f>
        <v>#N/A</v>
      </c>
      <c r="AL269" s="2">
        <f t="shared" si="67"/>
        <v>5010001</v>
      </c>
      <c r="AN269" s="70" t="str">
        <f t="shared" si="68"/>
        <v>1900-01-00</v>
      </c>
      <c r="AO269" s="2" t="str">
        <f t="shared" si="69"/>
        <v/>
      </c>
      <c r="AP269" s="2" t="e">
        <f>VLOOKUP(C269,GLAPS정리!$AX$2:$AZ$17,3,0)</f>
        <v>#N/A</v>
      </c>
      <c r="AR269" s="2">
        <f t="shared" si="75"/>
        <v>0</v>
      </c>
      <c r="AX269" s="2" t="e">
        <f>VLOOKUP(L269,GLAPS정리!$V$3:$W$180,2,0)</f>
        <v>#N/A</v>
      </c>
      <c r="BM269" s="2" t="str">
        <f t="shared" si="70"/>
        <v xml:space="preserve"> </v>
      </c>
      <c r="BN269" s="2">
        <f t="shared" si="71"/>
        <v>1</v>
      </c>
      <c r="BR269" s="2" t="str">
        <f t="shared" si="72"/>
        <v/>
      </c>
      <c r="BS269" s="2" t="str">
        <f t="shared" si="73"/>
        <v/>
      </c>
      <c r="BV269" s="2" t="e">
        <f>VLOOKUP(O269,GLAPS정리!$BH$2:$BI$94,2,0)</f>
        <v>#N/A</v>
      </c>
      <c r="BW269" s="2" t="str">
        <f>IF(OR(Z269="동원",Z269="세방",Z269="한타"),"",IFERROR(INDEX(GLAPS정리!$BI$2:$BI$101,MATCH(Z269,GLAPS정리!$BH$2:$BH$101,0)),""))</f>
        <v/>
      </c>
      <c r="BX269" s="2" t="str">
        <f>IF(Z269="","",IFERROR(VLOOKUP(Z269,GLAPS정리!$AX$2:$AZ$17,3,0),""))</f>
        <v/>
      </c>
      <c r="BZ269" s="2" t="e">
        <f>VLOOKUP(H269,GLAPS정리!$L$3:$O$133,2,0)</f>
        <v>#N/A</v>
      </c>
      <c r="CA269" s="2" t="str">
        <f t="shared" si="74"/>
        <v/>
      </c>
      <c r="CL269" s="2" t="e">
        <f>VLOOKUP(AI269,GLAPS정리!$BT$3:$BV$26,3,0)</f>
        <v>#N/A</v>
      </c>
    </row>
    <row r="270" spans="2:90" ht="20.45" customHeight="1">
      <c r="B270" s="13"/>
      <c r="G270" s="3"/>
      <c r="J270" s="3"/>
      <c r="Q270" s="3" t="str">
        <f t="shared" si="62"/>
        <v/>
      </c>
      <c r="R270" s="3" t="str">
        <f t="shared" si="63"/>
        <v/>
      </c>
      <c r="S270" s="3" t="str">
        <f t="shared" si="64"/>
        <v/>
      </c>
      <c r="X270" s="13"/>
      <c r="Y270" s="13"/>
      <c r="Z270" s="91"/>
      <c r="AC270" s="2">
        <f t="shared" si="65"/>
        <v>20</v>
      </c>
      <c r="AD270" s="2" t="str">
        <f>IFERROR(INDEX(GLAPS정리!$D$2:$D$50,MATCH(I270,GLAPS정리!$A$2:$A$50,0)),IFERROR(INDEX(GLAPS정리!$D$2:$D$50,MATCH(I270,GLAPS정리!$B$2:$B$50,0)),""))</f>
        <v/>
      </c>
      <c r="AF270" s="2" t="str">
        <f t="shared" si="66"/>
        <v>KR10</v>
      </c>
      <c r="AI270" s="2" t="e">
        <f>VLOOKUP(F270,GLAPS정리!$G$3:$J$114,2,0)</f>
        <v>#N/A</v>
      </c>
      <c r="AJ270" s="2" t="e">
        <f>IF(Z270="울산정일","KRONS",IF(Z270="울산신항","KRUSN",IF(OR(Z270="선광종합물류(인천여객)",Z270="인천여객(인천여객)"),"KRINF",IF(OR(Z270="선광인천보세(인천신)",Z270="한진인천(인천신)",Z270="선광인천신항(인천신)",Z270="인천더로지스(인천신)"),"KRINN",IF(OR(Z270="인천진아(인천항)",Z270="인천E1(인천항)",Z270="인천SM경인터미널(인천항)",Z270="인천항(인천항)",Z270="인천우련(인천항)",Z270="인천항8부두(인천항)"),"KRINC",VLOOKUP(K270,GLAPS정리!$BB$2:$BC$33,2,0))))))</f>
        <v>#N/A</v>
      </c>
      <c r="AL270" s="2">
        <f t="shared" si="67"/>
        <v>5010001</v>
      </c>
      <c r="AN270" s="70" t="str">
        <f t="shared" si="68"/>
        <v>1900-01-00</v>
      </c>
      <c r="AO270" s="2" t="str">
        <f t="shared" si="69"/>
        <v/>
      </c>
      <c r="AP270" s="2" t="e">
        <f>VLOOKUP(C270,GLAPS정리!$AX$2:$AZ$17,3,0)</f>
        <v>#N/A</v>
      </c>
      <c r="AR270" s="2">
        <f t="shared" si="75"/>
        <v>0</v>
      </c>
      <c r="AX270" s="2" t="e">
        <f>VLOOKUP(L270,GLAPS정리!$V$3:$W$180,2,0)</f>
        <v>#N/A</v>
      </c>
      <c r="BM270" s="2" t="str">
        <f t="shared" si="70"/>
        <v xml:space="preserve"> </v>
      </c>
      <c r="BN270" s="2">
        <f t="shared" si="71"/>
        <v>1</v>
      </c>
      <c r="BR270" s="2" t="str">
        <f t="shared" si="72"/>
        <v/>
      </c>
      <c r="BS270" s="2" t="str">
        <f t="shared" si="73"/>
        <v/>
      </c>
      <c r="BV270" s="2" t="e">
        <f>VLOOKUP(O270,GLAPS정리!$BH$2:$BI$94,2,0)</f>
        <v>#N/A</v>
      </c>
      <c r="BW270" s="2" t="str">
        <f>IF(OR(Z270="동원",Z270="세방",Z270="한타"),"",IFERROR(INDEX(GLAPS정리!$BI$2:$BI$101,MATCH(Z270,GLAPS정리!$BH$2:$BH$101,0)),""))</f>
        <v/>
      </c>
      <c r="BX270" s="2" t="str">
        <f>IF(Z270="","",IFERROR(VLOOKUP(Z270,GLAPS정리!$AX$2:$AZ$17,3,0),""))</f>
        <v/>
      </c>
      <c r="BZ270" s="2" t="e">
        <f>VLOOKUP(H270,GLAPS정리!$L$3:$O$133,2,0)</f>
        <v>#N/A</v>
      </c>
      <c r="CA270" s="2" t="str">
        <f t="shared" si="74"/>
        <v/>
      </c>
      <c r="CL270" s="2" t="e">
        <f>VLOOKUP(AI270,GLAPS정리!$BT$3:$BV$26,3,0)</f>
        <v>#N/A</v>
      </c>
    </row>
    <row r="271" spans="2:90" ht="20.45" customHeight="1">
      <c r="B271" s="13"/>
      <c r="G271" s="3"/>
      <c r="J271" s="3"/>
      <c r="Q271" s="3" t="str">
        <f t="shared" si="62"/>
        <v/>
      </c>
      <c r="R271" s="3" t="str">
        <f t="shared" si="63"/>
        <v/>
      </c>
      <c r="S271" s="3" t="str">
        <f t="shared" si="64"/>
        <v/>
      </c>
      <c r="X271" s="13"/>
      <c r="Y271" s="13"/>
      <c r="Z271" s="91"/>
      <c r="AC271" s="2">
        <f t="shared" si="65"/>
        <v>20</v>
      </c>
      <c r="AD271" s="2" t="str">
        <f>IFERROR(INDEX(GLAPS정리!$D$2:$D$50,MATCH(I271,GLAPS정리!$A$2:$A$50,0)),IFERROR(INDEX(GLAPS정리!$D$2:$D$50,MATCH(I271,GLAPS정리!$B$2:$B$50,0)),""))</f>
        <v/>
      </c>
      <c r="AF271" s="2" t="str">
        <f t="shared" si="66"/>
        <v>KR10</v>
      </c>
      <c r="AI271" s="2" t="e">
        <f>VLOOKUP(F271,GLAPS정리!$G$3:$J$114,2,0)</f>
        <v>#N/A</v>
      </c>
      <c r="AJ271" s="2" t="e">
        <f>IF(Z271="울산정일","KRONS",IF(Z271="울산신항","KRUSN",IF(OR(Z271="선광종합물류(인천여객)",Z271="인천여객(인천여객)"),"KRINF",IF(OR(Z271="선광인천보세(인천신)",Z271="한진인천(인천신)",Z271="선광인천신항(인천신)",Z271="인천더로지스(인천신)"),"KRINN",IF(OR(Z271="인천진아(인천항)",Z271="인천E1(인천항)",Z271="인천SM경인터미널(인천항)",Z271="인천항(인천항)",Z271="인천우련(인천항)",Z271="인천항8부두(인천항)"),"KRINC",VLOOKUP(K271,GLAPS정리!$BB$2:$BC$33,2,0))))))</f>
        <v>#N/A</v>
      </c>
      <c r="AL271" s="2">
        <f t="shared" si="67"/>
        <v>5010001</v>
      </c>
      <c r="AN271" s="70" t="str">
        <f t="shared" si="68"/>
        <v>1900-01-00</v>
      </c>
      <c r="AO271" s="2" t="str">
        <f t="shared" si="69"/>
        <v/>
      </c>
      <c r="AP271" s="2" t="e">
        <f>VLOOKUP(C271,GLAPS정리!$AX$2:$AZ$17,3,0)</f>
        <v>#N/A</v>
      </c>
      <c r="AR271" s="2">
        <f t="shared" si="75"/>
        <v>0</v>
      </c>
      <c r="AX271" s="2" t="e">
        <f>VLOOKUP(L271,GLAPS정리!$V$3:$W$180,2,0)</f>
        <v>#N/A</v>
      </c>
      <c r="BM271" s="2" t="str">
        <f t="shared" si="70"/>
        <v xml:space="preserve"> </v>
      </c>
      <c r="BN271" s="2">
        <f t="shared" si="71"/>
        <v>1</v>
      </c>
      <c r="BR271" s="2" t="str">
        <f t="shared" si="72"/>
        <v/>
      </c>
      <c r="BS271" s="2" t="str">
        <f t="shared" si="73"/>
        <v/>
      </c>
      <c r="BV271" s="2" t="e">
        <f>VLOOKUP(O271,GLAPS정리!$BH$2:$BI$94,2,0)</f>
        <v>#N/A</v>
      </c>
      <c r="BW271" s="2" t="str">
        <f>IF(OR(Z271="동원",Z271="세방",Z271="한타"),"",IFERROR(INDEX(GLAPS정리!$BI$2:$BI$101,MATCH(Z271,GLAPS정리!$BH$2:$BH$101,0)),""))</f>
        <v/>
      </c>
      <c r="BX271" s="2" t="str">
        <f>IF(Z271="","",IFERROR(VLOOKUP(Z271,GLAPS정리!$AX$2:$AZ$17,3,0),""))</f>
        <v/>
      </c>
      <c r="BZ271" s="2" t="e">
        <f>VLOOKUP(H271,GLAPS정리!$L$3:$O$133,2,0)</f>
        <v>#N/A</v>
      </c>
      <c r="CA271" s="2" t="str">
        <f t="shared" si="74"/>
        <v/>
      </c>
      <c r="CL271" s="2" t="e">
        <f>VLOOKUP(AI271,GLAPS정리!$BT$3:$BV$26,3,0)</f>
        <v>#N/A</v>
      </c>
    </row>
    <row r="272" spans="2:90" ht="20.45" customHeight="1">
      <c r="B272" s="13"/>
      <c r="G272" s="3"/>
      <c r="J272" s="3"/>
      <c r="Q272" s="3" t="str">
        <f t="shared" si="62"/>
        <v/>
      </c>
      <c r="R272" s="3" t="str">
        <f t="shared" si="63"/>
        <v/>
      </c>
      <c r="S272" s="3" t="str">
        <f t="shared" si="64"/>
        <v/>
      </c>
      <c r="X272" s="13"/>
      <c r="Y272" s="13"/>
      <c r="Z272" s="91"/>
      <c r="AC272" s="2">
        <f t="shared" si="65"/>
        <v>20</v>
      </c>
      <c r="AD272" s="2" t="str">
        <f>IFERROR(INDEX(GLAPS정리!$D$2:$D$50,MATCH(I272,GLAPS정리!$A$2:$A$50,0)),IFERROR(INDEX(GLAPS정리!$D$2:$D$50,MATCH(I272,GLAPS정리!$B$2:$B$50,0)),""))</f>
        <v/>
      </c>
      <c r="AF272" s="2" t="str">
        <f t="shared" si="66"/>
        <v>KR10</v>
      </c>
      <c r="AI272" s="2" t="e">
        <f>VLOOKUP(F272,GLAPS정리!$G$3:$J$114,2,0)</f>
        <v>#N/A</v>
      </c>
      <c r="AJ272" s="2" t="e">
        <f>IF(Z272="울산정일","KRONS",IF(Z272="울산신항","KRUSN",IF(OR(Z272="선광종합물류(인천여객)",Z272="인천여객(인천여객)"),"KRINF",IF(OR(Z272="선광인천보세(인천신)",Z272="한진인천(인천신)",Z272="선광인천신항(인천신)",Z272="인천더로지스(인천신)"),"KRINN",IF(OR(Z272="인천진아(인천항)",Z272="인천E1(인천항)",Z272="인천SM경인터미널(인천항)",Z272="인천항(인천항)",Z272="인천우련(인천항)",Z272="인천항8부두(인천항)"),"KRINC",VLOOKUP(K272,GLAPS정리!$BB$2:$BC$33,2,0))))))</f>
        <v>#N/A</v>
      </c>
      <c r="AL272" s="2">
        <f t="shared" si="67"/>
        <v>5010001</v>
      </c>
      <c r="AN272" s="70" t="str">
        <f t="shared" si="68"/>
        <v>1900-01-00</v>
      </c>
      <c r="AO272" s="2" t="str">
        <f t="shared" si="69"/>
        <v/>
      </c>
      <c r="AP272" s="2" t="e">
        <f>VLOOKUP(C272,GLAPS정리!$AX$2:$AZ$17,3,0)</f>
        <v>#N/A</v>
      </c>
      <c r="AR272" s="2">
        <f t="shared" si="75"/>
        <v>0</v>
      </c>
      <c r="AX272" s="2" t="e">
        <f>VLOOKUP(L272,GLAPS정리!$V$3:$W$180,2,0)</f>
        <v>#N/A</v>
      </c>
      <c r="BM272" s="2" t="str">
        <f t="shared" si="70"/>
        <v xml:space="preserve"> </v>
      </c>
      <c r="BN272" s="2">
        <f t="shared" si="71"/>
        <v>1</v>
      </c>
      <c r="BR272" s="2" t="str">
        <f t="shared" si="72"/>
        <v/>
      </c>
      <c r="BS272" s="2" t="str">
        <f t="shared" si="73"/>
        <v/>
      </c>
      <c r="BV272" s="2" t="e">
        <f>VLOOKUP(O272,GLAPS정리!$BH$2:$BI$94,2,0)</f>
        <v>#N/A</v>
      </c>
      <c r="BW272" s="2" t="str">
        <f>IF(OR(Z272="동원",Z272="세방",Z272="한타"),"",IFERROR(INDEX(GLAPS정리!$BI$2:$BI$101,MATCH(Z272,GLAPS정리!$BH$2:$BH$101,0)),""))</f>
        <v/>
      </c>
      <c r="BX272" s="2" t="str">
        <f>IF(Z272="","",IFERROR(VLOOKUP(Z272,GLAPS정리!$AX$2:$AZ$17,3,0),""))</f>
        <v/>
      </c>
      <c r="BZ272" s="2" t="e">
        <f>VLOOKUP(H272,GLAPS정리!$L$3:$O$133,2,0)</f>
        <v>#N/A</v>
      </c>
      <c r="CA272" s="2" t="str">
        <f t="shared" si="74"/>
        <v/>
      </c>
      <c r="CL272" s="2" t="e">
        <f>VLOOKUP(AI272,GLAPS정리!$BT$3:$BV$26,3,0)</f>
        <v>#N/A</v>
      </c>
    </row>
    <row r="273" spans="2:90" ht="20.45" customHeight="1">
      <c r="B273" s="13"/>
      <c r="G273" s="3"/>
      <c r="J273" s="3"/>
      <c r="Q273" s="3" t="str">
        <f t="shared" si="62"/>
        <v/>
      </c>
      <c r="R273" s="3" t="str">
        <f t="shared" si="63"/>
        <v/>
      </c>
      <c r="S273" s="3" t="str">
        <f t="shared" si="64"/>
        <v/>
      </c>
      <c r="X273" s="13"/>
      <c r="Y273" s="13"/>
      <c r="Z273" s="91"/>
      <c r="AC273" s="2">
        <f t="shared" si="65"/>
        <v>20</v>
      </c>
      <c r="AD273" s="2" t="str">
        <f>IFERROR(INDEX(GLAPS정리!$D$2:$D$50,MATCH(I273,GLAPS정리!$A$2:$A$50,0)),IFERROR(INDEX(GLAPS정리!$D$2:$D$50,MATCH(I273,GLAPS정리!$B$2:$B$50,0)),""))</f>
        <v/>
      </c>
      <c r="AF273" s="2" t="str">
        <f t="shared" si="66"/>
        <v>KR10</v>
      </c>
      <c r="AI273" s="2" t="e">
        <f>VLOOKUP(F273,GLAPS정리!$G$3:$J$114,2,0)</f>
        <v>#N/A</v>
      </c>
      <c r="AJ273" s="2" t="e">
        <f>IF(Z273="울산정일","KRONS",IF(Z273="울산신항","KRUSN",IF(OR(Z273="선광종합물류(인천여객)",Z273="인천여객(인천여객)"),"KRINF",IF(OR(Z273="선광인천보세(인천신)",Z273="한진인천(인천신)",Z273="선광인천신항(인천신)",Z273="인천더로지스(인천신)"),"KRINN",IF(OR(Z273="인천진아(인천항)",Z273="인천E1(인천항)",Z273="인천SM경인터미널(인천항)",Z273="인천항(인천항)",Z273="인천우련(인천항)",Z273="인천항8부두(인천항)"),"KRINC",VLOOKUP(K273,GLAPS정리!$BB$2:$BC$33,2,0))))))</f>
        <v>#N/A</v>
      </c>
      <c r="AL273" s="2">
        <f t="shared" si="67"/>
        <v>5010001</v>
      </c>
      <c r="AN273" s="70" t="str">
        <f t="shared" si="68"/>
        <v>1900-01-00</v>
      </c>
      <c r="AO273" s="2" t="str">
        <f t="shared" si="69"/>
        <v/>
      </c>
      <c r="AP273" s="2" t="e">
        <f>VLOOKUP(C273,GLAPS정리!$AX$2:$AZ$17,3,0)</f>
        <v>#N/A</v>
      </c>
      <c r="AR273" s="2">
        <f t="shared" si="75"/>
        <v>0</v>
      </c>
      <c r="AX273" s="2" t="e">
        <f>VLOOKUP(L273,GLAPS정리!$V$3:$W$180,2,0)</f>
        <v>#N/A</v>
      </c>
      <c r="BM273" s="2" t="str">
        <f t="shared" si="70"/>
        <v xml:space="preserve"> </v>
      </c>
      <c r="BN273" s="2">
        <f t="shared" si="71"/>
        <v>1</v>
      </c>
      <c r="BR273" s="2" t="str">
        <f t="shared" si="72"/>
        <v/>
      </c>
      <c r="BS273" s="2" t="str">
        <f t="shared" si="73"/>
        <v/>
      </c>
      <c r="BV273" s="2" t="e">
        <f>VLOOKUP(O273,GLAPS정리!$BH$2:$BI$94,2,0)</f>
        <v>#N/A</v>
      </c>
      <c r="BW273" s="2" t="str">
        <f>IF(OR(Z273="동원",Z273="세방",Z273="한타"),"",IFERROR(INDEX(GLAPS정리!$BI$2:$BI$101,MATCH(Z273,GLAPS정리!$BH$2:$BH$101,0)),""))</f>
        <v/>
      </c>
      <c r="BX273" s="2" t="str">
        <f>IF(Z273="","",IFERROR(VLOOKUP(Z273,GLAPS정리!$AX$2:$AZ$17,3,0),""))</f>
        <v/>
      </c>
      <c r="BZ273" s="2" t="e">
        <f>VLOOKUP(H273,GLAPS정리!$L$3:$O$133,2,0)</f>
        <v>#N/A</v>
      </c>
      <c r="CA273" s="2" t="str">
        <f t="shared" si="74"/>
        <v/>
      </c>
      <c r="CL273" s="2" t="e">
        <f>VLOOKUP(AI273,GLAPS정리!$BT$3:$BV$26,3,0)</f>
        <v>#N/A</v>
      </c>
    </row>
    <row r="274" spans="2:90" ht="20.45" customHeight="1">
      <c r="B274" s="13"/>
      <c r="G274" s="3"/>
      <c r="J274" s="3"/>
      <c r="Q274" s="3" t="str">
        <f t="shared" si="62"/>
        <v/>
      </c>
      <c r="R274" s="3" t="str">
        <f t="shared" si="63"/>
        <v/>
      </c>
      <c r="S274" s="3" t="str">
        <f t="shared" si="64"/>
        <v/>
      </c>
      <c r="X274" s="13"/>
      <c r="Y274" s="13"/>
      <c r="Z274" s="91"/>
      <c r="AC274" s="2">
        <f t="shared" si="65"/>
        <v>20</v>
      </c>
      <c r="AD274" s="2" t="str">
        <f>IFERROR(INDEX(GLAPS정리!$D$2:$D$50,MATCH(I274,GLAPS정리!$A$2:$A$50,0)),IFERROR(INDEX(GLAPS정리!$D$2:$D$50,MATCH(I274,GLAPS정리!$B$2:$B$50,0)),""))</f>
        <v/>
      </c>
      <c r="AF274" s="2" t="str">
        <f t="shared" si="66"/>
        <v>KR10</v>
      </c>
      <c r="AI274" s="2" t="e">
        <f>VLOOKUP(F274,GLAPS정리!$G$3:$J$114,2,0)</f>
        <v>#N/A</v>
      </c>
      <c r="AJ274" s="2" t="e">
        <f>IF(Z274="울산정일","KRONS",IF(Z274="울산신항","KRUSN",IF(OR(Z274="선광종합물류(인천여객)",Z274="인천여객(인천여객)"),"KRINF",IF(OR(Z274="선광인천보세(인천신)",Z274="한진인천(인천신)",Z274="선광인천신항(인천신)",Z274="인천더로지스(인천신)"),"KRINN",IF(OR(Z274="인천진아(인천항)",Z274="인천E1(인천항)",Z274="인천SM경인터미널(인천항)",Z274="인천항(인천항)",Z274="인천우련(인천항)",Z274="인천항8부두(인천항)"),"KRINC",VLOOKUP(K274,GLAPS정리!$BB$2:$BC$33,2,0))))))</f>
        <v>#N/A</v>
      </c>
      <c r="AL274" s="2">
        <f t="shared" si="67"/>
        <v>5010001</v>
      </c>
      <c r="AN274" s="70" t="str">
        <f t="shared" si="68"/>
        <v>1900-01-00</v>
      </c>
      <c r="AO274" s="2" t="str">
        <f t="shared" si="69"/>
        <v/>
      </c>
      <c r="AP274" s="2" t="e">
        <f>VLOOKUP(C274,GLAPS정리!$AX$2:$AZ$17,3,0)</f>
        <v>#N/A</v>
      </c>
      <c r="AR274" s="2">
        <f t="shared" si="75"/>
        <v>0</v>
      </c>
      <c r="AX274" s="2" t="e">
        <f>VLOOKUP(L274,GLAPS정리!$V$3:$W$180,2,0)</f>
        <v>#N/A</v>
      </c>
      <c r="BM274" s="2" t="str">
        <f t="shared" si="70"/>
        <v xml:space="preserve"> </v>
      </c>
      <c r="BN274" s="2">
        <f t="shared" si="71"/>
        <v>1</v>
      </c>
      <c r="BR274" s="2" t="str">
        <f t="shared" si="72"/>
        <v/>
      </c>
      <c r="BS274" s="2" t="str">
        <f t="shared" si="73"/>
        <v/>
      </c>
      <c r="BV274" s="2" t="e">
        <f>VLOOKUP(O274,GLAPS정리!$BH$2:$BI$94,2,0)</f>
        <v>#N/A</v>
      </c>
      <c r="BW274" s="2" t="str">
        <f>IF(OR(Z274="동원",Z274="세방",Z274="한타"),"",IFERROR(INDEX(GLAPS정리!$BI$2:$BI$101,MATCH(Z274,GLAPS정리!$BH$2:$BH$101,0)),""))</f>
        <v/>
      </c>
      <c r="BX274" s="2" t="str">
        <f>IF(Z274="","",IFERROR(VLOOKUP(Z274,GLAPS정리!$AX$2:$AZ$17,3,0),""))</f>
        <v/>
      </c>
      <c r="BZ274" s="2" t="e">
        <f>VLOOKUP(H274,GLAPS정리!$L$3:$O$133,2,0)</f>
        <v>#N/A</v>
      </c>
      <c r="CA274" s="2" t="str">
        <f t="shared" si="74"/>
        <v/>
      </c>
      <c r="CL274" s="2" t="e">
        <f>VLOOKUP(AI274,GLAPS정리!$BT$3:$BV$26,3,0)</f>
        <v>#N/A</v>
      </c>
    </row>
    <row r="275" spans="2:90" ht="20.45" customHeight="1">
      <c r="B275" s="13"/>
      <c r="G275" s="3"/>
      <c r="J275" s="3"/>
      <c r="Q275" s="3" t="str">
        <f t="shared" si="62"/>
        <v/>
      </c>
      <c r="R275" s="3" t="str">
        <f t="shared" si="63"/>
        <v/>
      </c>
      <c r="S275" s="3" t="str">
        <f t="shared" si="64"/>
        <v/>
      </c>
      <c r="X275" s="13"/>
      <c r="Y275" s="13"/>
      <c r="Z275" s="91"/>
      <c r="AC275" s="2">
        <f t="shared" si="65"/>
        <v>20</v>
      </c>
      <c r="AD275" s="2" t="str">
        <f>IFERROR(INDEX(GLAPS정리!$D$2:$D$50,MATCH(I275,GLAPS정리!$A$2:$A$50,0)),IFERROR(INDEX(GLAPS정리!$D$2:$D$50,MATCH(I275,GLAPS정리!$B$2:$B$50,0)),""))</f>
        <v/>
      </c>
      <c r="AF275" s="2" t="str">
        <f t="shared" si="66"/>
        <v>KR10</v>
      </c>
      <c r="AI275" s="2" t="e">
        <f>VLOOKUP(F275,GLAPS정리!$G$3:$J$114,2,0)</f>
        <v>#N/A</v>
      </c>
      <c r="AJ275" s="2" t="e">
        <f>IF(Z275="울산정일","KRONS",IF(Z275="울산신항","KRUSN",IF(OR(Z275="선광종합물류(인천여객)",Z275="인천여객(인천여객)"),"KRINF",IF(OR(Z275="선광인천보세(인천신)",Z275="한진인천(인천신)",Z275="선광인천신항(인천신)",Z275="인천더로지스(인천신)"),"KRINN",IF(OR(Z275="인천진아(인천항)",Z275="인천E1(인천항)",Z275="인천SM경인터미널(인천항)",Z275="인천항(인천항)",Z275="인천우련(인천항)",Z275="인천항8부두(인천항)"),"KRINC",VLOOKUP(K275,GLAPS정리!$BB$2:$BC$33,2,0))))))</f>
        <v>#N/A</v>
      </c>
      <c r="AL275" s="2">
        <f t="shared" si="67"/>
        <v>5010001</v>
      </c>
      <c r="AN275" s="70" t="str">
        <f t="shared" si="68"/>
        <v>1900-01-00</v>
      </c>
      <c r="AO275" s="2" t="str">
        <f t="shared" si="69"/>
        <v/>
      </c>
      <c r="AP275" s="2" t="e">
        <f>VLOOKUP(C275,GLAPS정리!$AX$2:$AZ$17,3,0)</f>
        <v>#N/A</v>
      </c>
      <c r="AR275" s="2">
        <f t="shared" si="75"/>
        <v>0</v>
      </c>
      <c r="AX275" s="2" t="e">
        <f>VLOOKUP(L275,GLAPS정리!$V$3:$W$180,2,0)</f>
        <v>#N/A</v>
      </c>
      <c r="BM275" s="2" t="str">
        <f t="shared" si="70"/>
        <v xml:space="preserve"> </v>
      </c>
      <c r="BN275" s="2">
        <f t="shared" si="71"/>
        <v>1</v>
      </c>
      <c r="BR275" s="2" t="str">
        <f t="shared" si="72"/>
        <v/>
      </c>
      <c r="BS275" s="2" t="str">
        <f t="shared" si="73"/>
        <v/>
      </c>
      <c r="BV275" s="2" t="e">
        <f>VLOOKUP(O275,GLAPS정리!$BH$2:$BI$94,2,0)</f>
        <v>#N/A</v>
      </c>
      <c r="BW275" s="2" t="str">
        <f>IF(OR(Z275="동원",Z275="세방",Z275="한타"),"",IFERROR(INDEX(GLAPS정리!$BI$2:$BI$101,MATCH(Z275,GLAPS정리!$BH$2:$BH$101,0)),""))</f>
        <v/>
      </c>
      <c r="BX275" s="2" t="str">
        <f>IF(Z275="","",IFERROR(VLOOKUP(Z275,GLAPS정리!$AX$2:$AZ$17,3,0),""))</f>
        <v/>
      </c>
      <c r="BZ275" s="2" t="e">
        <f>VLOOKUP(H275,GLAPS정리!$L$3:$O$133,2,0)</f>
        <v>#N/A</v>
      </c>
      <c r="CA275" s="2" t="str">
        <f t="shared" si="74"/>
        <v/>
      </c>
      <c r="CL275" s="2" t="e">
        <f>VLOOKUP(AI275,GLAPS정리!$BT$3:$BV$26,3,0)</f>
        <v>#N/A</v>
      </c>
    </row>
    <row r="276" spans="2:90" ht="20.45" customHeight="1">
      <c r="B276" s="13"/>
      <c r="G276" s="3"/>
      <c r="J276" s="3"/>
      <c r="Q276" s="3" t="str">
        <f t="shared" si="62"/>
        <v/>
      </c>
      <c r="R276" s="3" t="str">
        <f t="shared" si="63"/>
        <v/>
      </c>
      <c r="S276" s="3" t="str">
        <f t="shared" si="64"/>
        <v/>
      </c>
      <c r="X276" s="13"/>
      <c r="Y276" s="13"/>
      <c r="Z276" s="91"/>
      <c r="AC276" s="2">
        <f t="shared" si="65"/>
        <v>20</v>
      </c>
      <c r="AD276" s="2" t="str">
        <f>IFERROR(INDEX(GLAPS정리!$D$2:$D$50,MATCH(I276,GLAPS정리!$A$2:$A$50,0)),IFERROR(INDEX(GLAPS정리!$D$2:$D$50,MATCH(I276,GLAPS정리!$B$2:$B$50,0)),""))</f>
        <v/>
      </c>
      <c r="AF276" s="2" t="str">
        <f t="shared" si="66"/>
        <v>KR10</v>
      </c>
      <c r="AI276" s="2" t="e">
        <f>VLOOKUP(F276,GLAPS정리!$G$3:$J$114,2,0)</f>
        <v>#N/A</v>
      </c>
      <c r="AJ276" s="2" t="e">
        <f>IF(Z276="울산정일","KRONS",IF(Z276="울산신항","KRUSN",IF(OR(Z276="선광종합물류(인천여객)",Z276="인천여객(인천여객)"),"KRINF",IF(OR(Z276="선광인천보세(인천신)",Z276="한진인천(인천신)",Z276="선광인천신항(인천신)",Z276="인천더로지스(인천신)"),"KRINN",IF(OR(Z276="인천진아(인천항)",Z276="인천E1(인천항)",Z276="인천SM경인터미널(인천항)",Z276="인천항(인천항)",Z276="인천우련(인천항)",Z276="인천항8부두(인천항)"),"KRINC",VLOOKUP(K276,GLAPS정리!$BB$2:$BC$33,2,0))))))</f>
        <v>#N/A</v>
      </c>
      <c r="AL276" s="2">
        <f t="shared" si="67"/>
        <v>5010001</v>
      </c>
      <c r="AN276" s="70" t="str">
        <f t="shared" si="68"/>
        <v>1900-01-00</v>
      </c>
      <c r="AO276" s="2" t="str">
        <f t="shared" si="69"/>
        <v/>
      </c>
      <c r="AP276" s="2" t="e">
        <f>VLOOKUP(C276,GLAPS정리!$AX$2:$AZ$17,3,0)</f>
        <v>#N/A</v>
      </c>
      <c r="AR276" s="2">
        <f t="shared" si="75"/>
        <v>0</v>
      </c>
      <c r="AX276" s="2" t="e">
        <f>VLOOKUP(L276,GLAPS정리!$V$3:$W$180,2,0)</f>
        <v>#N/A</v>
      </c>
      <c r="BM276" s="2" t="str">
        <f t="shared" si="70"/>
        <v xml:space="preserve"> </v>
      </c>
      <c r="BN276" s="2">
        <f t="shared" si="71"/>
        <v>1</v>
      </c>
      <c r="BR276" s="2" t="str">
        <f t="shared" si="72"/>
        <v/>
      </c>
      <c r="BS276" s="2" t="str">
        <f t="shared" si="73"/>
        <v/>
      </c>
      <c r="BV276" s="2" t="e">
        <f>VLOOKUP(O276,GLAPS정리!$BH$2:$BI$94,2,0)</f>
        <v>#N/A</v>
      </c>
      <c r="BW276" s="2" t="str">
        <f>IF(OR(Z276="동원",Z276="세방",Z276="한타"),"",IFERROR(INDEX(GLAPS정리!$BI$2:$BI$101,MATCH(Z276,GLAPS정리!$BH$2:$BH$101,0)),""))</f>
        <v/>
      </c>
      <c r="BX276" s="2" t="str">
        <f>IF(Z276="","",IFERROR(VLOOKUP(Z276,GLAPS정리!$AX$2:$AZ$17,3,0),""))</f>
        <v/>
      </c>
      <c r="BZ276" s="2" t="e">
        <f>VLOOKUP(H276,GLAPS정리!$L$3:$O$133,2,0)</f>
        <v>#N/A</v>
      </c>
      <c r="CA276" s="2" t="str">
        <f t="shared" si="74"/>
        <v/>
      </c>
      <c r="CL276" s="2" t="e">
        <f>VLOOKUP(AI276,GLAPS정리!$BT$3:$BV$26,3,0)</f>
        <v>#N/A</v>
      </c>
    </row>
    <row r="277" spans="2:90" ht="20.45" customHeight="1">
      <c r="B277" s="13"/>
      <c r="G277" s="3"/>
      <c r="J277" s="3"/>
      <c r="Q277" s="3" t="str">
        <f t="shared" si="62"/>
        <v/>
      </c>
      <c r="R277" s="3" t="str">
        <f t="shared" si="63"/>
        <v/>
      </c>
      <c r="S277" s="3" t="str">
        <f t="shared" si="64"/>
        <v/>
      </c>
      <c r="X277" s="13"/>
      <c r="Y277" s="13"/>
      <c r="Z277" s="91"/>
      <c r="AC277" s="2">
        <f t="shared" si="65"/>
        <v>20</v>
      </c>
      <c r="AD277" s="2" t="str">
        <f>IFERROR(INDEX(GLAPS정리!$D$2:$D$50,MATCH(I277,GLAPS정리!$A$2:$A$50,0)),IFERROR(INDEX(GLAPS정리!$D$2:$D$50,MATCH(I277,GLAPS정리!$B$2:$B$50,0)),""))</f>
        <v/>
      </c>
      <c r="AF277" s="2" t="str">
        <f t="shared" si="66"/>
        <v>KR10</v>
      </c>
      <c r="AI277" s="2" t="e">
        <f>VLOOKUP(F277,GLAPS정리!$G$3:$J$114,2,0)</f>
        <v>#N/A</v>
      </c>
      <c r="AJ277" s="2" t="e">
        <f>IF(Z277="울산정일","KRONS",IF(Z277="울산신항","KRUSN",IF(OR(Z277="선광종합물류(인천여객)",Z277="인천여객(인천여객)"),"KRINF",IF(OR(Z277="선광인천보세(인천신)",Z277="한진인천(인천신)",Z277="선광인천신항(인천신)",Z277="인천더로지스(인천신)"),"KRINN",IF(OR(Z277="인천진아(인천항)",Z277="인천E1(인천항)",Z277="인천SM경인터미널(인천항)",Z277="인천항(인천항)",Z277="인천우련(인천항)",Z277="인천항8부두(인천항)"),"KRINC",VLOOKUP(K277,GLAPS정리!$BB$2:$BC$33,2,0))))))</f>
        <v>#N/A</v>
      </c>
      <c r="AL277" s="2">
        <f t="shared" si="67"/>
        <v>5010001</v>
      </c>
      <c r="AN277" s="70" t="str">
        <f t="shared" si="68"/>
        <v>1900-01-00</v>
      </c>
      <c r="AO277" s="2" t="str">
        <f t="shared" si="69"/>
        <v/>
      </c>
      <c r="AP277" s="2" t="e">
        <f>VLOOKUP(C277,GLAPS정리!$AX$2:$AZ$17,3,0)</f>
        <v>#N/A</v>
      </c>
      <c r="AR277" s="2">
        <f t="shared" si="75"/>
        <v>0</v>
      </c>
      <c r="AX277" s="2" t="e">
        <f>VLOOKUP(L277,GLAPS정리!$V$3:$W$180,2,0)</f>
        <v>#N/A</v>
      </c>
      <c r="BM277" s="2" t="str">
        <f t="shared" si="70"/>
        <v xml:space="preserve"> </v>
      </c>
      <c r="BN277" s="2">
        <f t="shared" si="71"/>
        <v>1</v>
      </c>
      <c r="BR277" s="2" t="str">
        <f t="shared" si="72"/>
        <v/>
      </c>
      <c r="BS277" s="2" t="str">
        <f t="shared" si="73"/>
        <v/>
      </c>
      <c r="BV277" s="2" t="e">
        <f>VLOOKUP(O277,GLAPS정리!$BH$2:$BI$94,2,0)</f>
        <v>#N/A</v>
      </c>
      <c r="BW277" s="2" t="str">
        <f>IF(OR(Z277="동원",Z277="세방",Z277="한타"),"",IFERROR(INDEX(GLAPS정리!$BI$2:$BI$101,MATCH(Z277,GLAPS정리!$BH$2:$BH$101,0)),""))</f>
        <v/>
      </c>
      <c r="BX277" s="2" t="str">
        <f>IF(Z277="","",IFERROR(VLOOKUP(Z277,GLAPS정리!$AX$2:$AZ$17,3,0),""))</f>
        <v/>
      </c>
      <c r="BZ277" s="2" t="e">
        <f>VLOOKUP(H277,GLAPS정리!$L$3:$O$133,2,0)</f>
        <v>#N/A</v>
      </c>
      <c r="CA277" s="2" t="str">
        <f t="shared" si="74"/>
        <v/>
      </c>
      <c r="CL277" s="2" t="e">
        <f>VLOOKUP(AI277,GLAPS정리!$BT$3:$BV$26,3,0)</f>
        <v>#N/A</v>
      </c>
    </row>
    <row r="278" spans="2:90" ht="20.45" customHeight="1">
      <c r="B278" s="13"/>
      <c r="G278" s="3"/>
      <c r="J278" s="3"/>
      <c r="Q278" s="3" t="str">
        <f t="shared" si="62"/>
        <v/>
      </c>
      <c r="R278" s="3" t="str">
        <f t="shared" si="63"/>
        <v/>
      </c>
      <c r="S278" s="3" t="str">
        <f t="shared" si="64"/>
        <v/>
      </c>
      <c r="X278" s="13"/>
      <c r="Y278" s="13"/>
      <c r="Z278" s="91"/>
      <c r="AC278" s="2">
        <f t="shared" si="65"/>
        <v>20</v>
      </c>
      <c r="AD278" s="2" t="str">
        <f>IFERROR(INDEX(GLAPS정리!$D$2:$D$50,MATCH(I278,GLAPS정리!$A$2:$A$50,0)),IFERROR(INDEX(GLAPS정리!$D$2:$D$50,MATCH(I278,GLAPS정리!$B$2:$B$50,0)),""))</f>
        <v/>
      </c>
      <c r="AF278" s="2" t="str">
        <f t="shared" si="66"/>
        <v>KR10</v>
      </c>
      <c r="AI278" s="2" t="e">
        <f>VLOOKUP(F278,GLAPS정리!$G$3:$J$114,2,0)</f>
        <v>#N/A</v>
      </c>
      <c r="AJ278" s="2" t="e">
        <f>IF(Z278="울산정일","KRONS",IF(Z278="울산신항","KRUSN",IF(OR(Z278="선광종합물류(인천여객)",Z278="인천여객(인천여객)"),"KRINF",IF(OR(Z278="선광인천보세(인천신)",Z278="한진인천(인천신)",Z278="선광인천신항(인천신)",Z278="인천더로지스(인천신)"),"KRINN",IF(OR(Z278="인천진아(인천항)",Z278="인천E1(인천항)",Z278="인천SM경인터미널(인천항)",Z278="인천항(인천항)",Z278="인천우련(인천항)",Z278="인천항8부두(인천항)"),"KRINC",VLOOKUP(K278,GLAPS정리!$BB$2:$BC$33,2,0))))))</f>
        <v>#N/A</v>
      </c>
      <c r="AL278" s="2">
        <f t="shared" si="67"/>
        <v>5010001</v>
      </c>
      <c r="AN278" s="70" t="str">
        <f t="shared" si="68"/>
        <v>1900-01-00</v>
      </c>
      <c r="AO278" s="2" t="str">
        <f t="shared" si="69"/>
        <v/>
      </c>
      <c r="AP278" s="2" t="e">
        <f>VLOOKUP(C278,GLAPS정리!$AX$2:$AZ$17,3,0)</f>
        <v>#N/A</v>
      </c>
      <c r="AR278" s="2">
        <f t="shared" si="75"/>
        <v>0</v>
      </c>
      <c r="AX278" s="2" t="e">
        <f>VLOOKUP(L278,GLAPS정리!$V$3:$W$180,2,0)</f>
        <v>#N/A</v>
      </c>
      <c r="BM278" s="2" t="str">
        <f t="shared" si="70"/>
        <v xml:space="preserve"> </v>
      </c>
      <c r="BN278" s="2">
        <f t="shared" si="71"/>
        <v>1</v>
      </c>
      <c r="BR278" s="2" t="str">
        <f t="shared" si="72"/>
        <v/>
      </c>
      <c r="BS278" s="2" t="str">
        <f t="shared" si="73"/>
        <v/>
      </c>
      <c r="BV278" s="2" t="e">
        <f>VLOOKUP(O278,GLAPS정리!$BH$2:$BI$94,2,0)</f>
        <v>#N/A</v>
      </c>
      <c r="BW278" s="2" t="str">
        <f>IF(OR(Z278="동원",Z278="세방",Z278="한타"),"",IFERROR(INDEX(GLAPS정리!$BI$2:$BI$101,MATCH(Z278,GLAPS정리!$BH$2:$BH$101,0)),""))</f>
        <v/>
      </c>
      <c r="BX278" s="2" t="str">
        <f>IF(Z278="","",IFERROR(VLOOKUP(Z278,GLAPS정리!$AX$2:$AZ$17,3,0),""))</f>
        <v/>
      </c>
      <c r="BZ278" s="2" t="e">
        <f>VLOOKUP(H278,GLAPS정리!$L$3:$O$133,2,0)</f>
        <v>#N/A</v>
      </c>
      <c r="CA278" s="2" t="str">
        <f t="shared" si="74"/>
        <v/>
      </c>
      <c r="CL278" s="2" t="e">
        <f>VLOOKUP(AI278,GLAPS정리!$BT$3:$BV$26,3,0)</f>
        <v>#N/A</v>
      </c>
    </row>
    <row r="279" spans="2:90" ht="20.45" customHeight="1">
      <c r="B279" s="13"/>
      <c r="G279" s="3"/>
      <c r="J279" s="3"/>
      <c r="Q279" s="3" t="str">
        <f t="shared" si="62"/>
        <v/>
      </c>
      <c r="R279" s="3" t="str">
        <f t="shared" si="63"/>
        <v/>
      </c>
      <c r="S279" s="3" t="str">
        <f t="shared" si="64"/>
        <v/>
      </c>
      <c r="X279" s="13"/>
      <c r="Y279" s="13"/>
      <c r="Z279" s="91"/>
      <c r="AC279" s="2">
        <f t="shared" si="65"/>
        <v>20</v>
      </c>
      <c r="AD279" s="2" t="str">
        <f>IFERROR(INDEX(GLAPS정리!$D$2:$D$50,MATCH(I279,GLAPS정리!$A$2:$A$50,0)),IFERROR(INDEX(GLAPS정리!$D$2:$D$50,MATCH(I279,GLAPS정리!$B$2:$B$50,0)),""))</f>
        <v/>
      </c>
      <c r="AF279" s="2" t="str">
        <f t="shared" si="66"/>
        <v>KR10</v>
      </c>
      <c r="AI279" s="2" t="e">
        <f>VLOOKUP(F279,GLAPS정리!$G$3:$J$114,2,0)</f>
        <v>#N/A</v>
      </c>
      <c r="AJ279" s="2" t="e">
        <f>IF(Z279="울산정일","KRONS",IF(Z279="울산신항","KRUSN",IF(OR(Z279="선광종합물류(인천여객)",Z279="인천여객(인천여객)"),"KRINF",IF(OR(Z279="선광인천보세(인천신)",Z279="한진인천(인천신)",Z279="선광인천신항(인천신)",Z279="인천더로지스(인천신)"),"KRINN",IF(OR(Z279="인천진아(인천항)",Z279="인천E1(인천항)",Z279="인천SM경인터미널(인천항)",Z279="인천항(인천항)",Z279="인천우련(인천항)",Z279="인천항8부두(인천항)"),"KRINC",VLOOKUP(K279,GLAPS정리!$BB$2:$BC$33,2,0))))))</f>
        <v>#N/A</v>
      </c>
      <c r="AL279" s="2">
        <f t="shared" si="67"/>
        <v>5010001</v>
      </c>
      <c r="AN279" s="70" t="str">
        <f t="shared" si="68"/>
        <v>1900-01-00</v>
      </c>
      <c r="AO279" s="2" t="str">
        <f t="shared" si="69"/>
        <v/>
      </c>
      <c r="AP279" s="2" t="e">
        <f>VLOOKUP(C279,GLAPS정리!$AX$2:$AZ$17,3,0)</f>
        <v>#N/A</v>
      </c>
      <c r="AR279" s="2">
        <f t="shared" si="75"/>
        <v>0</v>
      </c>
      <c r="AX279" s="2" t="e">
        <f>VLOOKUP(L279,GLAPS정리!$V$3:$W$180,2,0)</f>
        <v>#N/A</v>
      </c>
      <c r="BM279" s="2" t="str">
        <f t="shared" si="70"/>
        <v xml:space="preserve"> </v>
      </c>
      <c r="BN279" s="2">
        <f t="shared" si="71"/>
        <v>1</v>
      </c>
      <c r="BR279" s="2" t="str">
        <f t="shared" si="72"/>
        <v/>
      </c>
      <c r="BS279" s="2" t="str">
        <f t="shared" si="73"/>
        <v/>
      </c>
      <c r="BV279" s="2" t="e">
        <f>VLOOKUP(O279,GLAPS정리!$BH$2:$BI$94,2,0)</f>
        <v>#N/A</v>
      </c>
      <c r="BW279" s="2" t="str">
        <f>IF(OR(Z279="동원",Z279="세방",Z279="한타"),"",IFERROR(INDEX(GLAPS정리!$BI$2:$BI$101,MATCH(Z279,GLAPS정리!$BH$2:$BH$101,0)),""))</f>
        <v/>
      </c>
      <c r="BX279" s="2" t="str">
        <f>IF(Z279="","",IFERROR(VLOOKUP(Z279,GLAPS정리!$AX$2:$AZ$17,3,0),""))</f>
        <v/>
      </c>
      <c r="BZ279" s="2" t="e">
        <f>VLOOKUP(H279,GLAPS정리!$L$3:$O$133,2,0)</f>
        <v>#N/A</v>
      </c>
      <c r="CA279" s="2" t="str">
        <f t="shared" si="74"/>
        <v/>
      </c>
      <c r="CL279" s="2" t="e">
        <f>VLOOKUP(AI279,GLAPS정리!$BT$3:$BV$26,3,0)</f>
        <v>#N/A</v>
      </c>
    </row>
    <row r="280" spans="2:90" ht="20.45" customHeight="1">
      <c r="B280" s="13"/>
      <c r="G280" s="3"/>
      <c r="J280" s="3"/>
      <c r="Q280" s="3" t="str">
        <f t="shared" si="62"/>
        <v/>
      </c>
      <c r="R280" s="3" t="str">
        <f t="shared" si="63"/>
        <v/>
      </c>
      <c r="S280" s="3" t="str">
        <f t="shared" si="64"/>
        <v/>
      </c>
      <c r="X280" s="13"/>
      <c r="Y280" s="13"/>
      <c r="Z280" s="91"/>
      <c r="AC280" s="2">
        <f t="shared" si="65"/>
        <v>20</v>
      </c>
      <c r="AD280" s="2" t="str">
        <f>IFERROR(INDEX(GLAPS정리!$D$2:$D$50,MATCH(I280,GLAPS정리!$A$2:$A$50,0)),IFERROR(INDEX(GLAPS정리!$D$2:$D$50,MATCH(I280,GLAPS정리!$B$2:$B$50,0)),""))</f>
        <v/>
      </c>
      <c r="AF280" s="2" t="str">
        <f t="shared" si="66"/>
        <v>KR10</v>
      </c>
      <c r="AI280" s="2" t="e">
        <f>VLOOKUP(F280,GLAPS정리!$G$3:$J$114,2,0)</f>
        <v>#N/A</v>
      </c>
      <c r="AJ280" s="2" t="e">
        <f>IF(Z280="울산정일","KRONS",IF(Z280="울산신항","KRUSN",IF(OR(Z280="선광종합물류(인천여객)",Z280="인천여객(인천여객)"),"KRINF",IF(OR(Z280="선광인천보세(인천신)",Z280="한진인천(인천신)",Z280="선광인천신항(인천신)",Z280="인천더로지스(인천신)"),"KRINN",IF(OR(Z280="인천진아(인천항)",Z280="인천E1(인천항)",Z280="인천SM경인터미널(인천항)",Z280="인천항(인천항)",Z280="인천우련(인천항)",Z280="인천항8부두(인천항)"),"KRINC",VLOOKUP(K280,GLAPS정리!$BB$2:$BC$33,2,0))))))</f>
        <v>#N/A</v>
      </c>
      <c r="AL280" s="2">
        <f t="shared" si="67"/>
        <v>5010001</v>
      </c>
      <c r="AN280" s="70" t="str">
        <f t="shared" si="68"/>
        <v>1900-01-00</v>
      </c>
      <c r="AO280" s="2" t="str">
        <f t="shared" si="69"/>
        <v/>
      </c>
      <c r="AP280" s="2" t="e">
        <f>VLOOKUP(C280,GLAPS정리!$AX$2:$AZ$17,3,0)</f>
        <v>#N/A</v>
      </c>
      <c r="AR280" s="2">
        <f t="shared" si="75"/>
        <v>0</v>
      </c>
      <c r="AX280" s="2" t="e">
        <f>VLOOKUP(L280,GLAPS정리!$V$3:$W$180,2,0)</f>
        <v>#N/A</v>
      </c>
      <c r="BM280" s="2" t="str">
        <f t="shared" si="70"/>
        <v xml:space="preserve"> </v>
      </c>
      <c r="BN280" s="2">
        <f t="shared" si="71"/>
        <v>1</v>
      </c>
      <c r="BR280" s="2" t="str">
        <f t="shared" si="72"/>
        <v/>
      </c>
      <c r="BS280" s="2" t="str">
        <f t="shared" si="73"/>
        <v/>
      </c>
      <c r="BV280" s="2" t="e">
        <f>VLOOKUP(O280,GLAPS정리!$BH$2:$BI$94,2,0)</f>
        <v>#N/A</v>
      </c>
      <c r="BW280" s="2" t="str">
        <f>IF(OR(Z280="동원",Z280="세방",Z280="한타"),"",IFERROR(INDEX(GLAPS정리!$BI$2:$BI$101,MATCH(Z280,GLAPS정리!$BH$2:$BH$101,0)),""))</f>
        <v/>
      </c>
      <c r="BX280" s="2" t="str">
        <f>IF(Z280="","",IFERROR(VLOOKUP(Z280,GLAPS정리!$AX$2:$AZ$17,3,0),""))</f>
        <v/>
      </c>
      <c r="BZ280" s="2" t="e">
        <f>VLOOKUP(H280,GLAPS정리!$L$3:$O$133,2,0)</f>
        <v>#N/A</v>
      </c>
      <c r="CA280" s="2" t="str">
        <f t="shared" si="74"/>
        <v/>
      </c>
      <c r="CL280" s="2" t="e">
        <f>VLOOKUP(AI280,GLAPS정리!$BT$3:$BV$26,3,0)</f>
        <v>#N/A</v>
      </c>
    </row>
    <row r="281" spans="2:90" ht="20.45" customHeight="1">
      <c r="B281" s="13"/>
      <c r="G281" s="3"/>
      <c r="J281" s="3"/>
      <c r="Q281" s="3" t="str">
        <f t="shared" si="62"/>
        <v/>
      </c>
      <c r="R281" s="3" t="str">
        <f t="shared" si="63"/>
        <v/>
      </c>
      <c r="S281" s="3" t="str">
        <f t="shared" si="64"/>
        <v/>
      </c>
      <c r="X281" s="13"/>
      <c r="Y281" s="13"/>
      <c r="Z281" s="91"/>
      <c r="AC281" s="2">
        <f t="shared" si="65"/>
        <v>20</v>
      </c>
      <c r="AD281" s="2" t="str">
        <f>IFERROR(INDEX(GLAPS정리!$D$2:$D$50,MATCH(I281,GLAPS정리!$A$2:$A$50,0)),IFERROR(INDEX(GLAPS정리!$D$2:$D$50,MATCH(I281,GLAPS정리!$B$2:$B$50,0)),""))</f>
        <v/>
      </c>
      <c r="AF281" s="2" t="str">
        <f t="shared" si="66"/>
        <v>KR10</v>
      </c>
      <c r="AI281" s="2" t="e">
        <f>VLOOKUP(F281,GLAPS정리!$G$3:$J$114,2,0)</f>
        <v>#N/A</v>
      </c>
      <c r="AJ281" s="2" t="e">
        <f>IF(Z281="울산정일","KRONS",IF(Z281="울산신항","KRUSN",IF(OR(Z281="선광종합물류(인천여객)",Z281="인천여객(인천여객)"),"KRINF",IF(OR(Z281="선광인천보세(인천신)",Z281="한진인천(인천신)",Z281="선광인천신항(인천신)",Z281="인천더로지스(인천신)"),"KRINN",IF(OR(Z281="인천진아(인천항)",Z281="인천E1(인천항)",Z281="인천SM경인터미널(인천항)",Z281="인천항(인천항)",Z281="인천우련(인천항)",Z281="인천항8부두(인천항)"),"KRINC",VLOOKUP(K281,GLAPS정리!$BB$2:$BC$33,2,0))))))</f>
        <v>#N/A</v>
      </c>
      <c r="AL281" s="2">
        <f t="shared" si="67"/>
        <v>5010001</v>
      </c>
      <c r="AN281" s="70" t="str">
        <f t="shared" si="68"/>
        <v>1900-01-00</v>
      </c>
      <c r="AO281" s="2" t="str">
        <f t="shared" si="69"/>
        <v/>
      </c>
      <c r="AP281" s="2" t="e">
        <f>VLOOKUP(C281,GLAPS정리!$AX$2:$AZ$17,3,0)</f>
        <v>#N/A</v>
      </c>
      <c r="AR281" s="2">
        <f t="shared" si="75"/>
        <v>0</v>
      </c>
      <c r="AX281" s="2" t="e">
        <f>VLOOKUP(L281,GLAPS정리!$V$3:$W$180,2,0)</f>
        <v>#N/A</v>
      </c>
      <c r="BM281" s="2" t="str">
        <f t="shared" si="70"/>
        <v xml:space="preserve"> </v>
      </c>
      <c r="BN281" s="2">
        <f t="shared" si="71"/>
        <v>1</v>
      </c>
      <c r="BR281" s="2" t="str">
        <f t="shared" si="72"/>
        <v/>
      </c>
      <c r="BS281" s="2" t="str">
        <f t="shared" si="73"/>
        <v/>
      </c>
      <c r="BV281" s="2" t="e">
        <f>VLOOKUP(O281,GLAPS정리!$BH$2:$BI$94,2,0)</f>
        <v>#N/A</v>
      </c>
      <c r="BW281" s="2" t="str">
        <f>IF(OR(Z281="동원",Z281="세방",Z281="한타"),"",IFERROR(INDEX(GLAPS정리!$BI$2:$BI$101,MATCH(Z281,GLAPS정리!$BH$2:$BH$101,0)),""))</f>
        <v/>
      </c>
      <c r="BX281" s="2" t="str">
        <f>IF(Z281="","",IFERROR(VLOOKUP(Z281,GLAPS정리!$AX$2:$AZ$17,3,0),""))</f>
        <v/>
      </c>
      <c r="BZ281" s="2" t="e">
        <f>VLOOKUP(H281,GLAPS정리!$L$3:$O$133,2,0)</f>
        <v>#N/A</v>
      </c>
      <c r="CA281" s="2" t="str">
        <f t="shared" si="74"/>
        <v/>
      </c>
      <c r="CL281" s="2" t="e">
        <f>VLOOKUP(AI281,GLAPS정리!$BT$3:$BV$26,3,0)</f>
        <v>#N/A</v>
      </c>
    </row>
    <row r="282" spans="2:90" ht="20.45" customHeight="1">
      <c r="B282" s="13"/>
      <c r="G282" s="3"/>
      <c r="J282" s="3"/>
      <c r="Q282" s="3" t="str">
        <f t="shared" si="62"/>
        <v/>
      </c>
      <c r="R282" s="3" t="str">
        <f t="shared" si="63"/>
        <v/>
      </c>
      <c r="S282" s="3" t="str">
        <f t="shared" si="64"/>
        <v/>
      </c>
      <c r="X282" s="13"/>
      <c r="Y282" s="13"/>
      <c r="Z282" s="91"/>
      <c r="AC282" s="2">
        <f t="shared" si="65"/>
        <v>20</v>
      </c>
      <c r="AD282" s="2" t="str">
        <f>IFERROR(INDEX(GLAPS정리!$D$2:$D$50,MATCH(I282,GLAPS정리!$A$2:$A$50,0)),IFERROR(INDEX(GLAPS정리!$D$2:$D$50,MATCH(I282,GLAPS정리!$B$2:$B$50,0)),""))</f>
        <v/>
      </c>
      <c r="AF282" s="2" t="str">
        <f t="shared" si="66"/>
        <v>KR10</v>
      </c>
      <c r="AI282" s="2" t="e">
        <f>VLOOKUP(F282,GLAPS정리!$G$3:$J$114,2,0)</f>
        <v>#N/A</v>
      </c>
      <c r="AJ282" s="2" t="e">
        <f>IF(Z282="울산정일","KRONS",IF(Z282="울산신항","KRUSN",IF(OR(Z282="선광종합물류(인천여객)",Z282="인천여객(인천여객)"),"KRINF",IF(OR(Z282="선광인천보세(인천신)",Z282="한진인천(인천신)",Z282="선광인천신항(인천신)",Z282="인천더로지스(인천신)"),"KRINN",IF(OR(Z282="인천진아(인천항)",Z282="인천E1(인천항)",Z282="인천SM경인터미널(인천항)",Z282="인천항(인천항)",Z282="인천우련(인천항)",Z282="인천항8부두(인천항)"),"KRINC",VLOOKUP(K282,GLAPS정리!$BB$2:$BC$33,2,0))))))</f>
        <v>#N/A</v>
      </c>
      <c r="AL282" s="2">
        <f t="shared" si="67"/>
        <v>5010001</v>
      </c>
      <c r="AN282" s="70" t="str">
        <f t="shared" si="68"/>
        <v>1900-01-00</v>
      </c>
      <c r="AO282" s="2" t="str">
        <f t="shared" si="69"/>
        <v/>
      </c>
      <c r="AP282" s="2" t="e">
        <f>VLOOKUP(C282,GLAPS정리!$AX$2:$AZ$17,3,0)</f>
        <v>#N/A</v>
      </c>
      <c r="AR282" s="2">
        <f t="shared" si="75"/>
        <v>0</v>
      </c>
      <c r="AX282" s="2" t="e">
        <f>VLOOKUP(L282,GLAPS정리!$V$3:$W$180,2,0)</f>
        <v>#N/A</v>
      </c>
      <c r="BM282" s="2" t="str">
        <f t="shared" si="70"/>
        <v xml:space="preserve"> </v>
      </c>
      <c r="BN282" s="2">
        <f t="shared" si="71"/>
        <v>1</v>
      </c>
      <c r="BR282" s="2" t="str">
        <f t="shared" si="72"/>
        <v/>
      </c>
      <c r="BS282" s="2" t="str">
        <f t="shared" si="73"/>
        <v/>
      </c>
      <c r="BV282" s="2" t="e">
        <f>VLOOKUP(O282,GLAPS정리!$BH$2:$BI$94,2,0)</f>
        <v>#N/A</v>
      </c>
      <c r="BW282" s="2" t="str">
        <f>IF(OR(Z282="동원",Z282="세방",Z282="한타"),"",IFERROR(INDEX(GLAPS정리!$BI$2:$BI$101,MATCH(Z282,GLAPS정리!$BH$2:$BH$101,0)),""))</f>
        <v/>
      </c>
      <c r="BX282" s="2" t="str">
        <f>IF(Z282="","",IFERROR(VLOOKUP(Z282,GLAPS정리!$AX$2:$AZ$17,3,0),""))</f>
        <v/>
      </c>
      <c r="BZ282" s="2" t="e">
        <f>VLOOKUP(H282,GLAPS정리!$L$3:$O$133,2,0)</f>
        <v>#N/A</v>
      </c>
      <c r="CA282" s="2" t="str">
        <f t="shared" si="74"/>
        <v/>
      </c>
      <c r="CL282" s="2" t="e">
        <f>VLOOKUP(AI282,GLAPS정리!$BT$3:$BV$26,3,0)</f>
        <v>#N/A</v>
      </c>
    </row>
    <row r="283" spans="2:90" ht="20.45" customHeight="1">
      <c r="B283" s="13"/>
      <c r="G283" s="3"/>
      <c r="J283" s="3"/>
      <c r="Q283" s="3" t="str">
        <f t="shared" si="62"/>
        <v/>
      </c>
      <c r="R283" s="3" t="str">
        <f t="shared" si="63"/>
        <v/>
      </c>
      <c r="S283" s="3" t="str">
        <f t="shared" si="64"/>
        <v/>
      </c>
      <c r="X283" s="13"/>
      <c r="Y283" s="13"/>
      <c r="Z283" s="91"/>
      <c r="AC283" s="2">
        <f t="shared" si="65"/>
        <v>20</v>
      </c>
      <c r="AD283" s="2" t="str">
        <f>IFERROR(INDEX(GLAPS정리!$D$2:$D$50,MATCH(I283,GLAPS정리!$A$2:$A$50,0)),IFERROR(INDEX(GLAPS정리!$D$2:$D$50,MATCH(I283,GLAPS정리!$B$2:$B$50,0)),""))</f>
        <v/>
      </c>
      <c r="AF283" s="2" t="str">
        <f t="shared" si="66"/>
        <v>KR10</v>
      </c>
      <c r="AI283" s="2" t="e">
        <f>VLOOKUP(F283,GLAPS정리!$G$3:$J$114,2,0)</f>
        <v>#N/A</v>
      </c>
      <c r="AJ283" s="2" t="e">
        <f>IF(Z283="울산정일","KRONS",IF(Z283="울산신항","KRUSN",IF(OR(Z283="선광종합물류(인천여객)",Z283="인천여객(인천여객)"),"KRINF",IF(OR(Z283="선광인천보세(인천신)",Z283="한진인천(인천신)",Z283="선광인천신항(인천신)",Z283="인천더로지스(인천신)"),"KRINN",IF(OR(Z283="인천진아(인천항)",Z283="인천E1(인천항)",Z283="인천SM경인터미널(인천항)",Z283="인천항(인천항)",Z283="인천우련(인천항)",Z283="인천항8부두(인천항)"),"KRINC",VLOOKUP(K283,GLAPS정리!$BB$2:$BC$33,2,0))))))</f>
        <v>#N/A</v>
      </c>
      <c r="AL283" s="2">
        <f t="shared" si="67"/>
        <v>5010001</v>
      </c>
      <c r="AN283" s="70" t="str">
        <f t="shared" si="68"/>
        <v>1900-01-00</v>
      </c>
      <c r="AO283" s="2" t="str">
        <f t="shared" si="69"/>
        <v/>
      </c>
      <c r="AP283" s="2" t="e">
        <f>VLOOKUP(C283,GLAPS정리!$AX$2:$AZ$17,3,0)</f>
        <v>#N/A</v>
      </c>
      <c r="AR283" s="2">
        <f t="shared" si="75"/>
        <v>0</v>
      </c>
      <c r="AX283" s="2" t="e">
        <f>VLOOKUP(L283,GLAPS정리!$V$3:$W$180,2,0)</f>
        <v>#N/A</v>
      </c>
      <c r="BM283" s="2" t="str">
        <f t="shared" si="70"/>
        <v xml:space="preserve"> </v>
      </c>
      <c r="BN283" s="2">
        <f t="shared" si="71"/>
        <v>1</v>
      </c>
      <c r="BR283" s="2" t="str">
        <f t="shared" si="72"/>
        <v/>
      </c>
      <c r="BS283" s="2" t="str">
        <f t="shared" si="73"/>
        <v/>
      </c>
      <c r="BV283" s="2" t="e">
        <f>VLOOKUP(O283,GLAPS정리!$BH$2:$BI$94,2,0)</f>
        <v>#N/A</v>
      </c>
      <c r="BW283" s="2" t="str">
        <f>IF(OR(Z283="동원",Z283="세방",Z283="한타"),"",IFERROR(INDEX(GLAPS정리!$BI$2:$BI$101,MATCH(Z283,GLAPS정리!$BH$2:$BH$101,0)),""))</f>
        <v/>
      </c>
      <c r="BX283" s="2" t="str">
        <f>IF(Z283="","",IFERROR(VLOOKUP(Z283,GLAPS정리!$AX$2:$AZ$17,3,0),""))</f>
        <v/>
      </c>
      <c r="BZ283" s="2" t="e">
        <f>VLOOKUP(H283,GLAPS정리!$L$3:$O$133,2,0)</f>
        <v>#N/A</v>
      </c>
      <c r="CA283" s="2" t="str">
        <f t="shared" si="74"/>
        <v/>
      </c>
      <c r="CL283" s="2" t="e">
        <f>VLOOKUP(AI283,GLAPS정리!$BT$3:$BV$26,3,0)</f>
        <v>#N/A</v>
      </c>
    </row>
    <row r="284" spans="2:90" ht="20.45" customHeight="1">
      <c r="B284" s="13"/>
      <c r="G284" s="3"/>
      <c r="J284" s="3"/>
      <c r="Q284" s="3" t="str">
        <f t="shared" si="62"/>
        <v/>
      </c>
      <c r="R284" s="3" t="str">
        <f t="shared" si="63"/>
        <v/>
      </c>
      <c r="S284" s="3" t="str">
        <f t="shared" si="64"/>
        <v/>
      </c>
      <c r="X284" s="13"/>
      <c r="Y284" s="13"/>
      <c r="Z284" s="91"/>
      <c r="AC284" s="2">
        <f t="shared" si="65"/>
        <v>20</v>
      </c>
      <c r="AD284" s="2" t="str">
        <f>IFERROR(INDEX(GLAPS정리!$D$2:$D$50,MATCH(I284,GLAPS정리!$A$2:$A$50,0)),IFERROR(INDEX(GLAPS정리!$D$2:$D$50,MATCH(I284,GLAPS정리!$B$2:$B$50,0)),""))</f>
        <v/>
      </c>
      <c r="AF284" s="2" t="str">
        <f t="shared" si="66"/>
        <v>KR10</v>
      </c>
      <c r="AI284" s="2" t="e">
        <f>VLOOKUP(F284,GLAPS정리!$G$3:$J$114,2,0)</f>
        <v>#N/A</v>
      </c>
      <c r="AJ284" s="2" t="e">
        <f>IF(Z284="울산정일","KRONS",IF(Z284="울산신항","KRUSN",IF(OR(Z284="선광종합물류(인천여객)",Z284="인천여객(인천여객)"),"KRINF",IF(OR(Z284="선광인천보세(인천신)",Z284="한진인천(인천신)",Z284="선광인천신항(인천신)",Z284="인천더로지스(인천신)"),"KRINN",IF(OR(Z284="인천진아(인천항)",Z284="인천E1(인천항)",Z284="인천SM경인터미널(인천항)",Z284="인천항(인천항)",Z284="인천우련(인천항)",Z284="인천항8부두(인천항)"),"KRINC",VLOOKUP(K284,GLAPS정리!$BB$2:$BC$33,2,0))))))</f>
        <v>#N/A</v>
      </c>
      <c r="AL284" s="2">
        <f t="shared" si="67"/>
        <v>5010001</v>
      </c>
      <c r="AN284" s="70" t="str">
        <f t="shared" si="68"/>
        <v>1900-01-00</v>
      </c>
      <c r="AO284" s="2" t="str">
        <f t="shared" si="69"/>
        <v/>
      </c>
      <c r="AP284" s="2" t="e">
        <f>VLOOKUP(C284,GLAPS정리!$AX$2:$AZ$17,3,0)</f>
        <v>#N/A</v>
      </c>
      <c r="AR284" s="2">
        <f t="shared" si="75"/>
        <v>0</v>
      </c>
      <c r="AX284" s="2" t="e">
        <f>VLOOKUP(L284,GLAPS정리!$V$3:$W$180,2,0)</f>
        <v>#N/A</v>
      </c>
      <c r="BM284" s="2" t="str">
        <f t="shared" si="70"/>
        <v xml:space="preserve"> </v>
      </c>
      <c r="BN284" s="2">
        <f t="shared" si="71"/>
        <v>1</v>
      </c>
      <c r="BR284" s="2" t="str">
        <f t="shared" si="72"/>
        <v/>
      </c>
      <c r="BS284" s="2" t="str">
        <f t="shared" si="73"/>
        <v/>
      </c>
      <c r="BV284" s="2" t="e">
        <f>VLOOKUP(O284,GLAPS정리!$BH$2:$BI$94,2,0)</f>
        <v>#N/A</v>
      </c>
      <c r="BW284" s="2" t="str">
        <f>IF(OR(Z284="동원",Z284="세방",Z284="한타"),"",IFERROR(INDEX(GLAPS정리!$BI$2:$BI$101,MATCH(Z284,GLAPS정리!$BH$2:$BH$101,0)),""))</f>
        <v/>
      </c>
      <c r="BX284" s="2" t="str">
        <f>IF(Z284="","",IFERROR(VLOOKUP(Z284,GLAPS정리!$AX$2:$AZ$17,3,0),""))</f>
        <v/>
      </c>
      <c r="BZ284" s="2" t="e">
        <f>VLOOKUP(H284,GLAPS정리!$L$3:$O$133,2,0)</f>
        <v>#N/A</v>
      </c>
      <c r="CA284" s="2" t="str">
        <f t="shared" si="74"/>
        <v/>
      </c>
      <c r="CL284" s="2" t="e">
        <f>VLOOKUP(AI284,GLAPS정리!$BT$3:$BV$26,3,0)</f>
        <v>#N/A</v>
      </c>
    </row>
    <row r="285" spans="2:90" ht="20.45" customHeight="1">
      <c r="B285" s="13"/>
      <c r="G285" s="3"/>
      <c r="J285" s="3"/>
      <c r="Q285" s="3" t="str">
        <f t="shared" si="62"/>
        <v/>
      </c>
      <c r="R285" s="3" t="str">
        <f t="shared" si="63"/>
        <v/>
      </c>
      <c r="S285" s="3" t="str">
        <f t="shared" si="64"/>
        <v/>
      </c>
      <c r="X285" s="13"/>
      <c r="Y285" s="13"/>
      <c r="Z285" s="91"/>
      <c r="AC285" s="2">
        <f t="shared" si="65"/>
        <v>20</v>
      </c>
      <c r="AD285" s="2" t="str">
        <f>IFERROR(INDEX(GLAPS정리!$D$2:$D$50,MATCH(I285,GLAPS정리!$A$2:$A$50,0)),IFERROR(INDEX(GLAPS정리!$D$2:$D$50,MATCH(I285,GLAPS정리!$B$2:$B$50,0)),""))</f>
        <v/>
      </c>
      <c r="AF285" s="2" t="str">
        <f t="shared" si="66"/>
        <v>KR10</v>
      </c>
      <c r="AI285" s="2" t="e">
        <f>VLOOKUP(F285,GLAPS정리!$G$3:$J$114,2,0)</f>
        <v>#N/A</v>
      </c>
      <c r="AJ285" s="2" t="e">
        <f>IF(Z285="울산정일","KRONS",IF(Z285="울산신항","KRUSN",IF(OR(Z285="선광종합물류(인천여객)",Z285="인천여객(인천여객)"),"KRINF",IF(OR(Z285="선광인천보세(인천신)",Z285="한진인천(인천신)",Z285="선광인천신항(인천신)",Z285="인천더로지스(인천신)"),"KRINN",IF(OR(Z285="인천진아(인천항)",Z285="인천E1(인천항)",Z285="인천SM경인터미널(인천항)",Z285="인천항(인천항)",Z285="인천우련(인천항)",Z285="인천항8부두(인천항)"),"KRINC",VLOOKUP(K285,GLAPS정리!$BB$2:$BC$33,2,0))))))</f>
        <v>#N/A</v>
      </c>
      <c r="AL285" s="2">
        <f t="shared" si="67"/>
        <v>5010001</v>
      </c>
      <c r="AN285" s="70" t="str">
        <f t="shared" si="68"/>
        <v>1900-01-00</v>
      </c>
      <c r="AO285" s="2" t="str">
        <f t="shared" si="69"/>
        <v/>
      </c>
      <c r="AP285" s="2" t="e">
        <f>VLOOKUP(C285,GLAPS정리!$AX$2:$AZ$17,3,0)</f>
        <v>#N/A</v>
      </c>
      <c r="AR285" s="2">
        <f t="shared" si="75"/>
        <v>0</v>
      </c>
      <c r="AX285" s="2" t="e">
        <f>VLOOKUP(L285,GLAPS정리!$V$3:$W$180,2,0)</f>
        <v>#N/A</v>
      </c>
      <c r="BM285" s="2" t="str">
        <f t="shared" si="70"/>
        <v xml:space="preserve"> </v>
      </c>
      <c r="BN285" s="2">
        <f t="shared" si="71"/>
        <v>1</v>
      </c>
      <c r="BR285" s="2" t="str">
        <f t="shared" si="72"/>
        <v/>
      </c>
      <c r="BS285" s="2" t="str">
        <f t="shared" si="73"/>
        <v/>
      </c>
      <c r="BV285" s="2" t="e">
        <f>VLOOKUP(O285,GLAPS정리!$BH$2:$BI$94,2,0)</f>
        <v>#N/A</v>
      </c>
      <c r="BW285" s="2" t="str">
        <f>IF(OR(Z285="동원",Z285="세방",Z285="한타"),"",IFERROR(INDEX(GLAPS정리!$BI$2:$BI$101,MATCH(Z285,GLAPS정리!$BH$2:$BH$101,0)),""))</f>
        <v/>
      </c>
      <c r="BX285" s="2" t="str">
        <f>IF(Z285="","",IFERROR(VLOOKUP(Z285,GLAPS정리!$AX$2:$AZ$17,3,0),""))</f>
        <v/>
      </c>
      <c r="BZ285" s="2" t="e">
        <f>VLOOKUP(H285,GLAPS정리!$L$3:$O$133,2,0)</f>
        <v>#N/A</v>
      </c>
      <c r="CA285" s="2" t="str">
        <f t="shared" si="74"/>
        <v/>
      </c>
      <c r="CL285" s="2" t="e">
        <f>VLOOKUP(AI285,GLAPS정리!$BT$3:$BV$26,3,0)</f>
        <v>#N/A</v>
      </c>
    </row>
    <row r="286" spans="2:90" ht="20.45" customHeight="1">
      <c r="B286" s="13"/>
      <c r="G286" s="3"/>
      <c r="J286" s="3"/>
      <c r="Q286" s="3" t="str">
        <f t="shared" si="62"/>
        <v/>
      </c>
      <c r="R286" s="3" t="str">
        <f t="shared" si="63"/>
        <v/>
      </c>
      <c r="S286" s="3" t="str">
        <f t="shared" si="64"/>
        <v/>
      </c>
      <c r="X286" s="13"/>
      <c r="Y286" s="13"/>
      <c r="Z286" s="91"/>
      <c r="AC286" s="2">
        <f t="shared" si="65"/>
        <v>20</v>
      </c>
      <c r="AD286" s="2" t="str">
        <f>IFERROR(INDEX(GLAPS정리!$D$2:$D$50,MATCH(I286,GLAPS정리!$A$2:$A$50,0)),IFERROR(INDEX(GLAPS정리!$D$2:$D$50,MATCH(I286,GLAPS정리!$B$2:$B$50,0)),""))</f>
        <v/>
      </c>
      <c r="AF286" s="2" t="str">
        <f t="shared" si="66"/>
        <v>KR10</v>
      </c>
      <c r="AI286" s="2" t="e">
        <f>VLOOKUP(F286,GLAPS정리!$G$3:$J$114,2,0)</f>
        <v>#N/A</v>
      </c>
      <c r="AJ286" s="2" t="e">
        <f>IF(Z286="울산정일","KRONS",IF(Z286="울산신항","KRUSN",IF(OR(Z286="선광종합물류(인천여객)",Z286="인천여객(인천여객)"),"KRINF",IF(OR(Z286="선광인천보세(인천신)",Z286="한진인천(인천신)",Z286="선광인천신항(인천신)",Z286="인천더로지스(인천신)"),"KRINN",IF(OR(Z286="인천진아(인천항)",Z286="인천E1(인천항)",Z286="인천SM경인터미널(인천항)",Z286="인천항(인천항)",Z286="인천우련(인천항)",Z286="인천항8부두(인천항)"),"KRINC",VLOOKUP(K286,GLAPS정리!$BB$2:$BC$33,2,0))))))</f>
        <v>#N/A</v>
      </c>
      <c r="AL286" s="2">
        <f t="shared" si="67"/>
        <v>5010001</v>
      </c>
      <c r="AN286" s="70" t="str">
        <f t="shared" si="68"/>
        <v>1900-01-00</v>
      </c>
      <c r="AO286" s="2" t="str">
        <f t="shared" si="69"/>
        <v/>
      </c>
      <c r="AP286" s="2" t="e">
        <f>VLOOKUP(C286,GLAPS정리!$AX$2:$AZ$17,3,0)</f>
        <v>#N/A</v>
      </c>
      <c r="AR286" s="2">
        <f t="shared" si="75"/>
        <v>0</v>
      </c>
      <c r="AX286" s="2" t="e">
        <f>VLOOKUP(L286,GLAPS정리!$V$3:$W$180,2,0)</f>
        <v>#N/A</v>
      </c>
      <c r="BM286" s="2" t="str">
        <f t="shared" si="70"/>
        <v xml:space="preserve"> </v>
      </c>
      <c r="BN286" s="2">
        <f t="shared" si="71"/>
        <v>1</v>
      </c>
      <c r="BR286" s="2" t="str">
        <f t="shared" si="72"/>
        <v/>
      </c>
      <c r="BS286" s="2" t="str">
        <f t="shared" si="73"/>
        <v/>
      </c>
      <c r="BV286" s="2" t="e">
        <f>VLOOKUP(O286,GLAPS정리!$BH$2:$BI$94,2,0)</f>
        <v>#N/A</v>
      </c>
      <c r="BW286" s="2" t="str">
        <f>IF(OR(Z286="동원",Z286="세방",Z286="한타"),"",IFERROR(INDEX(GLAPS정리!$BI$2:$BI$101,MATCH(Z286,GLAPS정리!$BH$2:$BH$101,0)),""))</f>
        <v/>
      </c>
      <c r="BX286" s="2" t="str">
        <f>IF(Z286="","",IFERROR(VLOOKUP(Z286,GLAPS정리!$AX$2:$AZ$17,3,0),""))</f>
        <v/>
      </c>
      <c r="BZ286" s="2" t="e">
        <f>VLOOKUP(H286,GLAPS정리!$L$3:$O$133,2,0)</f>
        <v>#N/A</v>
      </c>
      <c r="CA286" s="2" t="str">
        <f t="shared" si="74"/>
        <v/>
      </c>
      <c r="CL286" s="2" t="e">
        <f>VLOOKUP(AI286,GLAPS정리!$BT$3:$BV$26,3,0)</f>
        <v>#N/A</v>
      </c>
    </row>
    <row r="287" spans="2:90" ht="20.45" customHeight="1">
      <c r="B287" s="13"/>
      <c r="G287" s="3"/>
      <c r="J287" s="3"/>
      <c r="Q287" s="3" t="str">
        <f t="shared" si="62"/>
        <v/>
      </c>
      <c r="R287" s="3" t="str">
        <f t="shared" si="63"/>
        <v/>
      </c>
      <c r="S287" s="3" t="str">
        <f t="shared" si="64"/>
        <v/>
      </c>
      <c r="X287" s="13"/>
      <c r="Y287" s="13"/>
      <c r="Z287" s="91"/>
      <c r="AC287" s="2">
        <f t="shared" si="65"/>
        <v>20</v>
      </c>
      <c r="AD287" s="2" t="str">
        <f>IFERROR(INDEX(GLAPS정리!$D$2:$D$50,MATCH(I287,GLAPS정리!$A$2:$A$50,0)),IFERROR(INDEX(GLAPS정리!$D$2:$D$50,MATCH(I287,GLAPS정리!$B$2:$B$50,0)),""))</f>
        <v/>
      </c>
      <c r="AF287" s="2" t="str">
        <f t="shared" si="66"/>
        <v>KR10</v>
      </c>
      <c r="AI287" s="2" t="e">
        <f>VLOOKUP(F287,GLAPS정리!$G$3:$J$114,2,0)</f>
        <v>#N/A</v>
      </c>
      <c r="AJ287" s="2" t="e">
        <f>IF(Z287="울산정일","KRONS",IF(Z287="울산신항","KRUSN",IF(OR(Z287="선광종합물류(인천여객)",Z287="인천여객(인천여객)"),"KRINF",IF(OR(Z287="선광인천보세(인천신)",Z287="한진인천(인천신)",Z287="선광인천신항(인천신)",Z287="인천더로지스(인천신)"),"KRINN",IF(OR(Z287="인천진아(인천항)",Z287="인천E1(인천항)",Z287="인천SM경인터미널(인천항)",Z287="인천항(인천항)",Z287="인천우련(인천항)",Z287="인천항8부두(인천항)"),"KRINC",VLOOKUP(K287,GLAPS정리!$BB$2:$BC$33,2,0))))))</f>
        <v>#N/A</v>
      </c>
      <c r="AL287" s="2">
        <f t="shared" si="67"/>
        <v>5010001</v>
      </c>
      <c r="AN287" s="70" t="str">
        <f t="shared" si="68"/>
        <v>1900-01-00</v>
      </c>
      <c r="AO287" s="2" t="str">
        <f t="shared" si="69"/>
        <v/>
      </c>
      <c r="AP287" s="2" t="e">
        <f>VLOOKUP(C287,GLAPS정리!$AX$2:$AZ$17,3,0)</f>
        <v>#N/A</v>
      </c>
      <c r="AR287" s="2">
        <f t="shared" si="75"/>
        <v>0</v>
      </c>
      <c r="AX287" s="2" t="e">
        <f>VLOOKUP(L287,GLAPS정리!$V$3:$W$180,2,0)</f>
        <v>#N/A</v>
      </c>
      <c r="BM287" s="2" t="str">
        <f t="shared" si="70"/>
        <v xml:space="preserve"> </v>
      </c>
      <c r="BN287" s="2">
        <f t="shared" si="71"/>
        <v>1</v>
      </c>
      <c r="BR287" s="2" t="str">
        <f t="shared" si="72"/>
        <v/>
      </c>
      <c r="BS287" s="2" t="str">
        <f t="shared" si="73"/>
        <v/>
      </c>
      <c r="BV287" s="2" t="e">
        <f>VLOOKUP(O287,GLAPS정리!$BH$2:$BI$94,2,0)</f>
        <v>#N/A</v>
      </c>
      <c r="BW287" s="2" t="str">
        <f>IF(OR(Z287="동원",Z287="세방",Z287="한타"),"",IFERROR(INDEX(GLAPS정리!$BI$2:$BI$101,MATCH(Z287,GLAPS정리!$BH$2:$BH$101,0)),""))</f>
        <v/>
      </c>
      <c r="BX287" s="2" t="str">
        <f>IF(Z287="","",IFERROR(VLOOKUP(Z287,GLAPS정리!$AX$2:$AZ$17,3,0),""))</f>
        <v/>
      </c>
      <c r="BZ287" s="2" t="e">
        <f>VLOOKUP(H287,GLAPS정리!$L$3:$O$133,2,0)</f>
        <v>#N/A</v>
      </c>
      <c r="CA287" s="2" t="str">
        <f t="shared" si="74"/>
        <v/>
      </c>
      <c r="CL287" s="2" t="e">
        <f>VLOOKUP(AI287,GLAPS정리!$BT$3:$BV$26,3,0)</f>
        <v>#N/A</v>
      </c>
    </row>
    <row r="288" spans="2:90" ht="20.45" customHeight="1">
      <c r="B288" s="13"/>
      <c r="G288" s="3"/>
      <c r="J288" s="3"/>
      <c r="Q288" s="3" t="str">
        <f t="shared" si="62"/>
        <v/>
      </c>
      <c r="R288" s="3" t="str">
        <f t="shared" si="63"/>
        <v/>
      </c>
      <c r="S288" s="3" t="str">
        <f t="shared" si="64"/>
        <v/>
      </c>
      <c r="X288" s="13"/>
      <c r="Y288" s="13"/>
      <c r="Z288" s="91"/>
      <c r="AC288" s="2">
        <f t="shared" si="65"/>
        <v>20</v>
      </c>
      <c r="AD288" s="2" t="str">
        <f>IFERROR(INDEX(GLAPS정리!$D$2:$D$50,MATCH(I288,GLAPS정리!$A$2:$A$50,0)),IFERROR(INDEX(GLAPS정리!$D$2:$D$50,MATCH(I288,GLAPS정리!$B$2:$B$50,0)),""))</f>
        <v/>
      </c>
      <c r="AF288" s="2" t="str">
        <f t="shared" si="66"/>
        <v>KR10</v>
      </c>
      <c r="AI288" s="2" t="e">
        <f>VLOOKUP(F288,GLAPS정리!$G$3:$J$114,2,0)</f>
        <v>#N/A</v>
      </c>
      <c r="AJ288" s="2" t="e">
        <f>IF(Z288="울산정일","KRONS",IF(Z288="울산신항","KRUSN",IF(OR(Z288="선광종합물류(인천여객)",Z288="인천여객(인천여객)"),"KRINF",IF(OR(Z288="선광인천보세(인천신)",Z288="한진인천(인천신)",Z288="선광인천신항(인천신)",Z288="인천더로지스(인천신)"),"KRINN",IF(OR(Z288="인천진아(인천항)",Z288="인천E1(인천항)",Z288="인천SM경인터미널(인천항)",Z288="인천항(인천항)",Z288="인천우련(인천항)",Z288="인천항8부두(인천항)"),"KRINC",VLOOKUP(K288,GLAPS정리!$BB$2:$BC$33,2,0))))))</f>
        <v>#N/A</v>
      </c>
      <c r="AL288" s="2">
        <f t="shared" si="67"/>
        <v>5010001</v>
      </c>
      <c r="AN288" s="70" t="str">
        <f t="shared" si="68"/>
        <v>1900-01-00</v>
      </c>
      <c r="AO288" s="2" t="str">
        <f t="shared" si="69"/>
        <v/>
      </c>
      <c r="AP288" s="2" t="e">
        <f>VLOOKUP(C288,GLAPS정리!$AX$2:$AZ$17,3,0)</f>
        <v>#N/A</v>
      </c>
      <c r="AR288" s="2">
        <f t="shared" si="75"/>
        <v>0</v>
      </c>
      <c r="AX288" s="2" t="e">
        <f>VLOOKUP(L288,GLAPS정리!$V$3:$W$180,2,0)</f>
        <v>#N/A</v>
      </c>
      <c r="BM288" s="2" t="str">
        <f t="shared" si="70"/>
        <v xml:space="preserve"> </v>
      </c>
      <c r="BN288" s="2">
        <f t="shared" si="71"/>
        <v>1</v>
      </c>
      <c r="BR288" s="2" t="str">
        <f t="shared" si="72"/>
        <v/>
      </c>
      <c r="BS288" s="2" t="str">
        <f t="shared" si="73"/>
        <v/>
      </c>
      <c r="BV288" s="2" t="e">
        <f>VLOOKUP(O288,GLAPS정리!$BH$2:$BI$94,2,0)</f>
        <v>#N/A</v>
      </c>
      <c r="BW288" s="2" t="str">
        <f>IF(OR(Z288="동원",Z288="세방",Z288="한타"),"",IFERROR(INDEX(GLAPS정리!$BI$2:$BI$101,MATCH(Z288,GLAPS정리!$BH$2:$BH$101,0)),""))</f>
        <v/>
      </c>
      <c r="BX288" s="2" t="str">
        <f>IF(Z288="","",IFERROR(VLOOKUP(Z288,GLAPS정리!$AX$2:$AZ$17,3,0),""))</f>
        <v/>
      </c>
      <c r="BZ288" s="2" t="e">
        <f>VLOOKUP(H288,GLAPS정리!$L$3:$O$133,2,0)</f>
        <v>#N/A</v>
      </c>
      <c r="CA288" s="2" t="str">
        <f t="shared" si="74"/>
        <v/>
      </c>
      <c r="CL288" s="2" t="e">
        <f>VLOOKUP(AI288,GLAPS정리!$BT$3:$BV$26,3,0)</f>
        <v>#N/A</v>
      </c>
    </row>
    <row r="289" spans="2:90" ht="20.45" customHeight="1">
      <c r="B289" s="13"/>
      <c r="G289" s="3"/>
      <c r="J289" s="3"/>
      <c r="Q289" s="3" t="str">
        <f t="shared" si="62"/>
        <v/>
      </c>
      <c r="R289" s="3" t="str">
        <f t="shared" si="63"/>
        <v/>
      </c>
      <c r="S289" s="3" t="str">
        <f t="shared" si="64"/>
        <v/>
      </c>
      <c r="X289" s="13"/>
      <c r="Y289" s="13"/>
      <c r="Z289" s="91"/>
      <c r="AC289" s="2">
        <f t="shared" si="65"/>
        <v>20</v>
      </c>
      <c r="AD289" s="2" t="str">
        <f>IFERROR(INDEX(GLAPS정리!$D$2:$D$50,MATCH(I289,GLAPS정리!$A$2:$A$50,0)),IFERROR(INDEX(GLAPS정리!$D$2:$D$50,MATCH(I289,GLAPS정리!$B$2:$B$50,0)),""))</f>
        <v/>
      </c>
      <c r="AF289" s="2" t="str">
        <f t="shared" si="66"/>
        <v>KR10</v>
      </c>
      <c r="AI289" s="2" t="e">
        <f>VLOOKUP(F289,GLAPS정리!$G$3:$J$114,2,0)</f>
        <v>#N/A</v>
      </c>
      <c r="AJ289" s="2" t="e">
        <f>IF(Z289="울산정일","KRONS",IF(Z289="울산신항","KRUSN",IF(OR(Z289="선광종합물류(인천여객)",Z289="인천여객(인천여객)"),"KRINF",IF(OR(Z289="선광인천보세(인천신)",Z289="한진인천(인천신)",Z289="선광인천신항(인천신)",Z289="인천더로지스(인천신)"),"KRINN",IF(OR(Z289="인천진아(인천항)",Z289="인천E1(인천항)",Z289="인천SM경인터미널(인천항)",Z289="인천항(인천항)",Z289="인천우련(인천항)",Z289="인천항8부두(인천항)"),"KRINC",VLOOKUP(K289,GLAPS정리!$BB$2:$BC$33,2,0))))))</f>
        <v>#N/A</v>
      </c>
      <c r="AL289" s="2">
        <f t="shared" si="67"/>
        <v>5010001</v>
      </c>
      <c r="AN289" s="70" t="str">
        <f t="shared" si="68"/>
        <v>1900-01-00</v>
      </c>
      <c r="AO289" s="2" t="str">
        <f t="shared" si="69"/>
        <v/>
      </c>
      <c r="AP289" s="2" t="e">
        <f>VLOOKUP(C289,GLAPS정리!$AX$2:$AZ$17,3,0)</f>
        <v>#N/A</v>
      </c>
      <c r="AR289" s="2">
        <f t="shared" si="75"/>
        <v>0</v>
      </c>
      <c r="AX289" s="2" t="e">
        <f>VLOOKUP(L289,GLAPS정리!$V$3:$W$180,2,0)</f>
        <v>#N/A</v>
      </c>
      <c r="BM289" s="2" t="str">
        <f t="shared" si="70"/>
        <v xml:space="preserve"> </v>
      </c>
      <c r="BN289" s="2">
        <f t="shared" si="71"/>
        <v>1</v>
      </c>
      <c r="BR289" s="2" t="str">
        <f t="shared" si="72"/>
        <v/>
      </c>
      <c r="BS289" s="2" t="str">
        <f t="shared" si="73"/>
        <v/>
      </c>
      <c r="BV289" s="2" t="e">
        <f>VLOOKUP(O289,GLAPS정리!$BH$2:$BI$94,2,0)</f>
        <v>#N/A</v>
      </c>
      <c r="BW289" s="2" t="str">
        <f>IF(OR(Z289="동원",Z289="세방",Z289="한타"),"",IFERROR(INDEX(GLAPS정리!$BI$2:$BI$101,MATCH(Z289,GLAPS정리!$BH$2:$BH$101,0)),""))</f>
        <v/>
      </c>
      <c r="BX289" s="2" t="str">
        <f>IF(Z289="","",IFERROR(VLOOKUP(Z289,GLAPS정리!$AX$2:$AZ$17,3,0),""))</f>
        <v/>
      </c>
      <c r="BZ289" s="2" t="e">
        <f>VLOOKUP(H289,GLAPS정리!$L$3:$O$133,2,0)</f>
        <v>#N/A</v>
      </c>
      <c r="CA289" s="2" t="str">
        <f t="shared" si="74"/>
        <v/>
      </c>
      <c r="CL289" s="2" t="e">
        <f>VLOOKUP(AI289,GLAPS정리!$BT$3:$BV$26,3,0)</f>
        <v>#N/A</v>
      </c>
    </row>
    <row r="290" spans="2:90" ht="20.45" customHeight="1">
      <c r="B290" s="13"/>
      <c r="G290" s="3"/>
      <c r="J290" s="3"/>
      <c r="Q290" s="3" t="str">
        <f t="shared" si="62"/>
        <v/>
      </c>
      <c r="R290" s="3" t="str">
        <f t="shared" si="63"/>
        <v/>
      </c>
      <c r="S290" s="3" t="str">
        <f t="shared" si="64"/>
        <v/>
      </c>
      <c r="X290" s="13"/>
      <c r="Y290" s="13"/>
      <c r="Z290" s="91"/>
      <c r="AC290" s="2">
        <f t="shared" si="65"/>
        <v>20</v>
      </c>
      <c r="AD290" s="2" t="str">
        <f>IFERROR(INDEX(GLAPS정리!$D$2:$D$50,MATCH(I290,GLAPS정리!$A$2:$A$50,0)),IFERROR(INDEX(GLAPS정리!$D$2:$D$50,MATCH(I290,GLAPS정리!$B$2:$B$50,0)),""))</f>
        <v/>
      </c>
      <c r="AF290" s="2" t="str">
        <f t="shared" si="66"/>
        <v>KR10</v>
      </c>
      <c r="AI290" s="2" t="e">
        <f>VLOOKUP(F290,GLAPS정리!$G$3:$J$114,2,0)</f>
        <v>#N/A</v>
      </c>
      <c r="AJ290" s="2" t="e">
        <f>IF(Z290="울산정일","KRONS",IF(Z290="울산신항","KRUSN",IF(OR(Z290="선광종합물류(인천여객)",Z290="인천여객(인천여객)"),"KRINF",IF(OR(Z290="선광인천보세(인천신)",Z290="한진인천(인천신)",Z290="선광인천신항(인천신)",Z290="인천더로지스(인천신)"),"KRINN",IF(OR(Z290="인천진아(인천항)",Z290="인천E1(인천항)",Z290="인천SM경인터미널(인천항)",Z290="인천항(인천항)",Z290="인천우련(인천항)",Z290="인천항8부두(인천항)"),"KRINC",VLOOKUP(K290,GLAPS정리!$BB$2:$BC$33,2,0))))))</f>
        <v>#N/A</v>
      </c>
      <c r="AL290" s="2">
        <f t="shared" si="67"/>
        <v>5010001</v>
      </c>
      <c r="AN290" s="70" t="str">
        <f t="shared" si="68"/>
        <v>1900-01-00</v>
      </c>
      <c r="AO290" s="2" t="str">
        <f t="shared" si="69"/>
        <v/>
      </c>
      <c r="AP290" s="2" t="e">
        <f>VLOOKUP(C290,GLAPS정리!$AX$2:$AZ$17,3,0)</f>
        <v>#N/A</v>
      </c>
      <c r="AR290" s="2">
        <f t="shared" si="75"/>
        <v>0</v>
      </c>
      <c r="AX290" s="2" t="e">
        <f>VLOOKUP(L290,GLAPS정리!$V$3:$W$180,2,0)</f>
        <v>#N/A</v>
      </c>
      <c r="BM290" s="2" t="str">
        <f t="shared" si="70"/>
        <v xml:space="preserve"> </v>
      </c>
      <c r="BN290" s="2">
        <f t="shared" si="71"/>
        <v>1</v>
      </c>
      <c r="BR290" s="2" t="str">
        <f t="shared" si="72"/>
        <v/>
      </c>
      <c r="BS290" s="2" t="str">
        <f t="shared" si="73"/>
        <v/>
      </c>
      <c r="BV290" s="2" t="e">
        <f>VLOOKUP(O290,GLAPS정리!$BH$2:$BI$94,2,0)</f>
        <v>#N/A</v>
      </c>
      <c r="BW290" s="2" t="str">
        <f>IF(OR(Z290="동원",Z290="세방",Z290="한타"),"",IFERROR(INDEX(GLAPS정리!$BI$2:$BI$101,MATCH(Z290,GLAPS정리!$BH$2:$BH$101,0)),""))</f>
        <v/>
      </c>
      <c r="BX290" s="2" t="str">
        <f>IF(Z290="","",IFERROR(VLOOKUP(Z290,GLAPS정리!$AX$2:$AZ$17,3,0),""))</f>
        <v/>
      </c>
      <c r="BZ290" s="2" t="e">
        <f>VLOOKUP(H290,GLAPS정리!$L$3:$O$133,2,0)</f>
        <v>#N/A</v>
      </c>
      <c r="CA290" s="2" t="str">
        <f t="shared" si="74"/>
        <v/>
      </c>
      <c r="CL290" s="2" t="e">
        <f>VLOOKUP(AI290,GLAPS정리!$BT$3:$BV$26,3,0)</f>
        <v>#N/A</v>
      </c>
    </row>
    <row r="291" spans="2:90" ht="20.45" customHeight="1">
      <c r="B291" s="13"/>
      <c r="G291" s="3"/>
      <c r="J291" s="3"/>
      <c r="Q291" s="3" t="str">
        <f t="shared" si="62"/>
        <v/>
      </c>
      <c r="R291" s="3" t="str">
        <f t="shared" si="63"/>
        <v/>
      </c>
      <c r="S291" s="3" t="str">
        <f t="shared" si="64"/>
        <v/>
      </c>
      <c r="X291" s="13"/>
      <c r="Y291" s="13"/>
      <c r="Z291" s="91"/>
      <c r="AC291" s="2">
        <f t="shared" si="65"/>
        <v>20</v>
      </c>
      <c r="AD291" s="2" t="str">
        <f>IFERROR(INDEX(GLAPS정리!$D$2:$D$50,MATCH(I291,GLAPS정리!$A$2:$A$50,0)),IFERROR(INDEX(GLAPS정리!$D$2:$D$50,MATCH(I291,GLAPS정리!$B$2:$B$50,0)),""))</f>
        <v/>
      </c>
      <c r="AF291" s="2" t="str">
        <f t="shared" si="66"/>
        <v>KR10</v>
      </c>
      <c r="AI291" s="2" t="e">
        <f>VLOOKUP(F291,GLAPS정리!$G$3:$J$114,2,0)</f>
        <v>#N/A</v>
      </c>
      <c r="AJ291" s="2" t="e">
        <f>IF(Z291="울산정일","KRONS",IF(Z291="울산신항","KRUSN",IF(OR(Z291="선광종합물류(인천여객)",Z291="인천여객(인천여객)"),"KRINF",IF(OR(Z291="선광인천보세(인천신)",Z291="한진인천(인천신)",Z291="선광인천신항(인천신)",Z291="인천더로지스(인천신)"),"KRINN",IF(OR(Z291="인천진아(인천항)",Z291="인천E1(인천항)",Z291="인천SM경인터미널(인천항)",Z291="인천항(인천항)",Z291="인천우련(인천항)",Z291="인천항8부두(인천항)"),"KRINC",VLOOKUP(K291,GLAPS정리!$BB$2:$BC$33,2,0))))))</f>
        <v>#N/A</v>
      </c>
      <c r="AL291" s="2">
        <f t="shared" si="67"/>
        <v>5010001</v>
      </c>
      <c r="AN291" s="70" t="str">
        <f t="shared" si="68"/>
        <v>1900-01-00</v>
      </c>
      <c r="AO291" s="2" t="str">
        <f t="shared" si="69"/>
        <v/>
      </c>
      <c r="AP291" s="2" t="e">
        <f>VLOOKUP(C291,GLAPS정리!$AX$2:$AZ$17,3,0)</f>
        <v>#N/A</v>
      </c>
      <c r="AR291" s="2">
        <f t="shared" si="75"/>
        <v>0</v>
      </c>
      <c r="AX291" s="2" t="e">
        <f>VLOOKUP(L291,GLAPS정리!$V$3:$W$180,2,0)</f>
        <v>#N/A</v>
      </c>
      <c r="BM291" s="2" t="str">
        <f t="shared" si="70"/>
        <v xml:space="preserve"> </v>
      </c>
      <c r="BN291" s="2">
        <f t="shared" si="71"/>
        <v>1</v>
      </c>
      <c r="BR291" s="2" t="str">
        <f t="shared" si="72"/>
        <v/>
      </c>
      <c r="BS291" s="2" t="str">
        <f t="shared" si="73"/>
        <v/>
      </c>
      <c r="BV291" s="2" t="e">
        <f>VLOOKUP(O291,GLAPS정리!$BH$2:$BI$94,2,0)</f>
        <v>#N/A</v>
      </c>
      <c r="BW291" s="2" t="str">
        <f>IF(OR(Z291="동원",Z291="세방",Z291="한타"),"",IFERROR(INDEX(GLAPS정리!$BI$2:$BI$101,MATCH(Z291,GLAPS정리!$BH$2:$BH$101,0)),""))</f>
        <v/>
      </c>
      <c r="BX291" s="2" t="str">
        <f>IF(Z291="","",IFERROR(VLOOKUP(Z291,GLAPS정리!$AX$2:$AZ$17,3,0),""))</f>
        <v/>
      </c>
      <c r="BZ291" s="2" t="e">
        <f>VLOOKUP(H291,GLAPS정리!$L$3:$O$133,2,0)</f>
        <v>#N/A</v>
      </c>
      <c r="CA291" s="2" t="str">
        <f t="shared" si="74"/>
        <v/>
      </c>
      <c r="CL291" s="2" t="e">
        <f>VLOOKUP(AI291,GLAPS정리!$BT$3:$BV$26,3,0)</f>
        <v>#N/A</v>
      </c>
    </row>
    <row r="292" spans="2:90" ht="20.45" customHeight="1">
      <c r="B292" s="13"/>
      <c r="G292" s="3"/>
      <c r="J292" s="3"/>
      <c r="Q292" s="3" t="str">
        <f t="shared" si="62"/>
        <v/>
      </c>
      <c r="R292" s="3" t="str">
        <f t="shared" si="63"/>
        <v/>
      </c>
      <c r="S292" s="3" t="str">
        <f t="shared" si="64"/>
        <v/>
      </c>
      <c r="X292" s="13"/>
      <c r="Y292" s="13"/>
      <c r="Z292" s="91"/>
      <c r="AC292" s="2">
        <f t="shared" si="65"/>
        <v>20</v>
      </c>
      <c r="AD292" s="2" t="str">
        <f>IFERROR(INDEX(GLAPS정리!$D$2:$D$50,MATCH(I292,GLAPS정리!$A$2:$A$50,0)),IFERROR(INDEX(GLAPS정리!$D$2:$D$50,MATCH(I292,GLAPS정리!$B$2:$B$50,0)),""))</f>
        <v/>
      </c>
      <c r="AF292" s="2" t="str">
        <f t="shared" si="66"/>
        <v>KR10</v>
      </c>
      <c r="AI292" s="2" t="e">
        <f>VLOOKUP(F292,GLAPS정리!$G$3:$J$114,2,0)</f>
        <v>#N/A</v>
      </c>
      <c r="AJ292" s="2" t="e">
        <f>IF(Z292="울산정일","KRONS",IF(Z292="울산신항","KRUSN",IF(OR(Z292="선광종합물류(인천여객)",Z292="인천여객(인천여객)"),"KRINF",IF(OR(Z292="선광인천보세(인천신)",Z292="한진인천(인천신)",Z292="선광인천신항(인천신)",Z292="인천더로지스(인천신)"),"KRINN",IF(OR(Z292="인천진아(인천항)",Z292="인천E1(인천항)",Z292="인천SM경인터미널(인천항)",Z292="인천항(인천항)",Z292="인천우련(인천항)",Z292="인천항8부두(인천항)"),"KRINC",VLOOKUP(K292,GLAPS정리!$BB$2:$BC$33,2,0))))))</f>
        <v>#N/A</v>
      </c>
      <c r="AL292" s="2">
        <f t="shared" si="67"/>
        <v>5010001</v>
      </c>
      <c r="AN292" s="70" t="str">
        <f t="shared" si="68"/>
        <v>1900-01-00</v>
      </c>
      <c r="AO292" s="2" t="str">
        <f t="shared" si="69"/>
        <v/>
      </c>
      <c r="AP292" s="2" t="e">
        <f>VLOOKUP(C292,GLAPS정리!$AX$2:$AZ$17,3,0)</f>
        <v>#N/A</v>
      </c>
      <c r="AR292" s="2">
        <f t="shared" si="75"/>
        <v>0</v>
      </c>
      <c r="AX292" s="2" t="e">
        <f>VLOOKUP(L292,GLAPS정리!$V$3:$W$180,2,0)</f>
        <v>#N/A</v>
      </c>
      <c r="BM292" s="2" t="str">
        <f t="shared" si="70"/>
        <v xml:space="preserve"> </v>
      </c>
      <c r="BN292" s="2">
        <f t="shared" si="71"/>
        <v>1</v>
      </c>
      <c r="BR292" s="2" t="str">
        <f t="shared" si="72"/>
        <v/>
      </c>
      <c r="BS292" s="2" t="str">
        <f t="shared" si="73"/>
        <v/>
      </c>
      <c r="BV292" s="2" t="e">
        <f>VLOOKUP(O292,GLAPS정리!$BH$2:$BI$94,2,0)</f>
        <v>#N/A</v>
      </c>
      <c r="BW292" s="2" t="str">
        <f>IF(OR(Z292="동원",Z292="세방",Z292="한타"),"",IFERROR(INDEX(GLAPS정리!$BI$2:$BI$101,MATCH(Z292,GLAPS정리!$BH$2:$BH$101,0)),""))</f>
        <v/>
      </c>
      <c r="BX292" s="2" t="str">
        <f>IF(Z292="","",IFERROR(VLOOKUP(Z292,GLAPS정리!$AX$2:$AZ$17,3,0),""))</f>
        <v/>
      </c>
      <c r="BZ292" s="2" t="e">
        <f>VLOOKUP(H292,GLAPS정리!$L$3:$O$133,2,0)</f>
        <v>#N/A</v>
      </c>
      <c r="CA292" s="2" t="str">
        <f t="shared" si="74"/>
        <v/>
      </c>
      <c r="CL292" s="2" t="e">
        <f>VLOOKUP(AI292,GLAPS정리!$BT$3:$BV$26,3,0)</f>
        <v>#N/A</v>
      </c>
    </row>
    <row r="293" spans="2:90" ht="20.45" customHeight="1">
      <c r="B293" s="13"/>
      <c r="G293" s="3"/>
      <c r="J293" s="3"/>
      <c r="Q293" s="3" t="str">
        <f t="shared" si="62"/>
        <v/>
      </c>
      <c r="R293" s="3" t="str">
        <f t="shared" si="63"/>
        <v/>
      </c>
      <c r="S293" s="3" t="str">
        <f t="shared" si="64"/>
        <v/>
      </c>
      <c r="X293" s="13"/>
      <c r="Y293" s="13"/>
      <c r="Z293" s="91"/>
      <c r="AC293" s="2">
        <f t="shared" si="65"/>
        <v>20</v>
      </c>
      <c r="AD293" s="2" t="str">
        <f>IFERROR(INDEX(GLAPS정리!$D$2:$D$50,MATCH(I293,GLAPS정리!$A$2:$A$50,0)),IFERROR(INDEX(GLAPS정리!$D$2:$D$50,MATCH(I293,GLAPS정리!$B$2:$B$50,0)),""))</f>
        <v/>
      </c>
      <c r="AF293" s="2" t="str">
        <f t="shared" si="66"/>
        <v>KR10</v>
      </c>
      <c r="AI293" s="2" t="e">
        <f>VLOOKUP(F293,GLAPS정리!$G$3:$J$114,2,0)</f>
        <v>#N/A</v>
      </c>
      <c r="AJ293" s="2" t="e">
        <f>IF(Z293="울산정일","KRONS",IF(Z293="울산신항","KRUSN",IF(OR(Z293="선광종합물류(인천여객)",Z293="인천여객(인천여객)"),"KRINF",IF(OR(Z293="선광인천보세(인천신)",Z293="한진인천(인천신)",Z293="선광인천신항(인천신)",Z293="인천더로지스(인천신)"),"KRINN",IF(OR(Z293="인천진아(인천항)",Z293="인천E1(인천항)",Z293="인천SM경인터미널(인천항)",Z293="인천항(인천항)",Z293="인천우련(인천항)",Z293="인천항8부두(인천항)"),"KRINC",VLOOKUP(K293,GLAPS정리!$BB$2:$BC$33,2,0))))))</f>
        <v>#N/A</v>
      </c>
      <c r="AL293" s="2">
        <f t="shared" si="67"/>
        <v>5010001</v>
      </c>
      <c r="AN293" s="70" t="str">
        <f t="shared" si="68"/>
        <v>1900-01-00</v>
      </c>
      <c r="AO293" s="2" t="str">
        <f t="shared" si="69"/>
        <v/>
      </c>
      <c r="AP293" s="2" t="e">
        <f>VLOOKUP(C293,GLAPS정리!$AX$2:$AZ$17,3,0)</f>
        <v>#N/A</v>
      </c>
      <c r="AR293" s="2">
        <f t="shared" si="75"/>
        <v>0</v>
      </c>
      <c r="AX293" s="2" t="e">
        <f>VLOOKUP(L293,GLAPS정리!$V$3:$W$180,2,0)</f>
        <v>#N/A</v>
      </c>
      <c r="BM293" s="2" t="str">
        <f t="shared" si="70"/>
        <v xml:space="preserve"> </v>
      </c>
      <c r="BN293" s="2">
        <f t="shared" si="71"/>
        <v>1</v>
      </c>
      <c r="BR293" s="2" t="str">
        <f t="shared" si="72"/>
        <v/>
      </c>
      <c r="BS293" s="2" t="str">
        <f t="shared" si="73"/>
        <v/>
      </c>
      <c r="BV293" s="2" t="e">
        <f>VLOOKUP(O293,GLAPS정리!$BH$2:$BI$94,2,0)</f>
        <v>#N/A</v>
      </c>
      <c r="BW293" s="2" t="str">
        <f>IF(OR(Z293="동원",Z293="세방",Z293="한타"),"",IFERROR(INDEX(GLAPS정리!$BI$2:$BI$101,MATCH(Z293,GLAPS정리!$BH$2:$BH$101,0)),""))</f>
        <v/>
      </c>
      <c r="BX293" s="2" t="str">
        <f>IF(Z293="","",IFERROR(VLOOKUP(Z293,GLAPS정리!$AX$2:$AZ$17,3,0),""))</f>
        <v/>
      </c>
      <c r="BZ293" s="2" t="e">
        <f>VLOOKUP(H293,GLAPS정리!$L$3:$O$133,2,0)</f>
        <v>#N/A</v>
      </c>
      <c r="CA293" s="2" t="str">
        <f t="shared" si="74"/>
        <v/>
      </c>
      <c r="CL293" s="2" t="e">
        <f>VLOOKUP(AI293,GLAPS정리!$BT$3:$BV$26,3,0)</f>
        <v>#N/A</v>
      </c>
    </row>
    <row r="294" spans="2:90" ht="20.45" customHeight="1">
      <c r="B294" s="13"/>
      <c r="G294" s="3"/>
      <c r="J294" s="3"/>
      <c r="Q294" s="3" t="str">
        <f t="shared" si="62"/>
        <v/>
      </c>
      <c r="R294" s="3" t="str">
        <f t="shared" si="63"/>
        <v/>
      </c>
      <c r="S294" s="3" t="str">
        <f t="shared" si="64"/>
        <v/>
      </c>
      <c r="X294" s="13"/>
      <c r="Y294" s="13"/>
      <c r="Z294" s="91"/>
      <c r="AC294" s="2">
        <f t="shared" si="65"/>
        <v>20</v>
      </c>
      <c r="AD294" s="2" t="str">
        <f>IFERROR(INDEX(GLAPS정리!$D$2:$D$50,MATCH(I294,GLAPS정리!$A$2:$A$50,0)),IFERROR(INDEX(GLAPS정리!$D$2:$D$50,MATCH(I294,GLAPS정리!$B$2:$B$50,0)),""))</f>
        <v/>
      </c>
      <c r="AF294" s="2" t="str">
        <f t="shared" si="66"/>
        <v>KR10</v>
      </c>
      <c r="AI294" s="2" t="e">
        <f>VLOOKUP(F294,GLAPS정리!$G$3:$J$114,2,0)</f>
        <v>#N/A</v>
      </c>
      <c r="AJ294" s="2" t="e">
        <f>IF(Z294="울산정일","KRONS",IF(Z294="울산신항","KRUSN",IF(OR(Z294="선광종합물류(인천여객)",Z294="인천여객(인천여객)"),"KRINF",IF(OR(Z294="선광인천보세(인천신)",Z294="한진인천(인천신)",Z294="선광인천신항(인천신)",Z294="인천더로지스(인천신)"),"KRINN",IF(OR(Z294="인천진아(인천항)",Z294="인천E1(인천항)",Z294="인천SM경인터미널(인천항)",Z294="인천항(인천항)",Z294="인천우련(인천항)",Z294="인천항8부두(인천항)"),"KRINC",VLOOKUP(K294,GLAPS정리!$BB$2:$BC$33,2,0))))))</f>
        <v>#N/A</v>
      </c>
      <c r="AL294" s="2">
        <f t="shared" si="67"/>
        <v>5010001</v>
      </c>
      <c r="AN294" s="70" t="str">
        <f t="shared" si="68"/>
        <v>1900-01-00</v>
      </c>
      <c r="AO294" s="2" t="str">
        <f t="shared" si="69"/>
        <v/>
      </c>
      <c r="AP294" s="2" t="e">
        <f>VLOOKUP(C294,GLAPS정리!$AX$2:$AZ$17,3,0)</f>
        <v>#N/A</v>
      </c>
      <c r="AR294" s="2">
        <f t="shared" si="75"/>
        <v>0</v>
      </c>
      <c r="AX294" s="2" t="e">
        <f>VLOOKUP(L294,GLAPS정리!$V$3:$W$180,2,0)</f>
        <v>#N/A</v>
      </c>
      <c r="BM294" s="2" t="str">
        <f t="shared" si="70"/>
        <v xml:space="preserve"> </v>
      </c>
      <c r="BN294" s="2">
        <f t="shared" si="71"/>
        <v>1</v>
      </c>
      <c r="BR294" s="2" t="str">
        <f t="shared" si="72"/>
        <v/>
      </c>
      <c r="BS294" s="2" t="str">
        <f t="shared" si="73"/>
        <v/>
      </c>
      <c r="BV294" s="2" t="e">
        <f>VLOOKUP(O294,GLAPS정리!$BH$2:$BI$94,2,0)</f>
        <v>#N/A</v>
      </c>
      <c r="BW294" s="2" t="str">
        <f>IF(OR(Z294="동원",Z294="세방",Z294="한타"),"",IFERROR(INDEX(GLAPS정리!$BI$2:$BI$101,MATCH(Z294,GLAPS정리!$BH$2:$BH$101,0)),""))</f>
        <v/>
      </c>
      <c r="BX294" s="2" t="str">
        <f>IF(Z294="","",IFERROR(VLOOKUP(Z294,GLAPS정리!$AX$2:$AZ$17,3,0),""))</f>
        <v/>
      </c>
      <c r="BZ294" s="2" t="e">
        <f>VLOOKUP(H294,GLAPS정리!$L$3:$O$133,2,0)</f>
        <v>#N/A</v>
      </c>
      <c r="CA294" s="2" t="str">
        <f t="shared" si="74"/>
        <v/>
      </c>
      <c r="CL294" s="2" t="e">
        <f>VLOOKUP(AI294,GLAPS정리!$BT$3:$BV$26,3,0)</f>
        <v>#N/A</v>
      </c>
    </row>
    <row r="295" spans="2:90" ht="20.45" customHeight="1">
      <c r="B295" s="13"/>
      <c r="G295" s="3"/>
      <c r="J295" s="3"/>
      <c r="Q295" s="3" t="str">
        <f t="shared" si="62"/>
        <v/>
      </c>
      <c r="R295" s="3" t="str">
        <f t="shared" si="63"/>
        <v/>
      </c>
      <c r="S295" s="3" t="str">
        <f t="shared" si="64"/>
        <v/>
      </c>
      <c r="X295" s="13"/>
      <c r="Y295" s="13"/>
      <c r="Z295" s="91"/>
      <c r="AC295" s="2">
        <f t="shared" si="65"/>
        <v>20</v>
      </c>
      <c r="AD295" s="2" t="str">
        <f>IFERROR(INDEX(GLAPS정리!$D$2:$D$50,MATCH(I295,GLAPS정리!$A$2:$A$50,0)),IFERROR(INDEX(GLAPS정리!$D$2:$D$50,MATCH(I295,GLAPS정리!$B$2:$B$50,0)),""))</f>
        <v/>
      </c>
      <c r="AF295" s="2" t="str">
        <f t="shared" si="66"/>
        <v>KR10</v>
      </c>
      <c r="AI295" s="2" t="e">
        <f>VLOOKUP(F295,GLAPS정리!$G$3:$J$114,2,0)</f>
        <v>#N/A</v>
      </c>
      <c r="AJ295" s="2" t="e">
        <f>IF(Z295="울산정일","KRONS",IF(Z295="울산신항","KRUSN",IF(OR(Z295="선광종합물류(인천여객)",Z295="인천여객(인천여객)"),"KRINF",IF(OR(Z295="선광인천보세(인천신)",Z295="한진인천(인천신)",Z295="선광인천신항(인천신)",Z295="인천더로지스(인천신)"),"KRINN",IF(OR(Z295="인천진아(인천항)",Z295="인천E1(인천항)",Z295="인천SM경인터미널(인천항)",Z295="인천항(인천항)",Z295="인천우련(인천항)",Z295="인천항8부두(인천항)"),"KRINC",VLOOKUP(K295,GLAPS정리!$BB$2:$BC$33,2,0))))))</f>
        <v>#N/A</v>
      </c>
      <c r="AL295" s="2">
        <f t="shared" si="67"/>
        <v>5010001</v>
      </c>
      <c r="AN295" s="70" t="str">
        <f t="shared" si="68"/>
        <v>1900-01-00</v>
      </c>
      <c r="AO295" s="2" t="str">
        <f t="shared" si="69"/>
        <v/>
      </c>
      <c r="AP295" s="2" t="e">
        <f>VLOOKUP(C295,GLAPS정리!$AX$2:$AZ$17,3,0)</f>
        <v>#N/A</v>
      </c>
      <c r="AR295" s="2">
        <f t="shared" si="75"/>
        <v>0</v>
      </c>
      <c r="AX295" s="2" t="e">
        <f>VLOOKUP(L295,GLAPS정리!$V$3:$W$180,2,0)</f>
        <v>#N/A</v>
      </c>
      <c r="BM295" s="2" t="str">
        <f t="shared" si="70"/>
        <v xml:space="preserve"> </v>
      </c>
      <c r="BN295" s="2">
        <f t="shared" si="71"/>
        <v>1</v>
      </c>
      <c r="BR295" s="2" t="str">
        <f t="shared" si="72"/>
        <v/>
      </c>
      <c r="BS295" s="2" t="str">
        <f t="shared" si="73"/>
        <v/>
      </c>
      <c r="BV295" s="2" t="e">
        <f>VLOOKUP(O295,GLAPS정리!$BH$2:$BI$94,2,0)</f>
        <v>#N/A</v>
      </c>
      <c r="BW295" s="2" t="str">
        <f>IF(OR(Z295="동원",Z295="세방",Z295="한타"),"",IFERROR(INDEX(GLAPS정리!$BI$2:$BI$101,MATCH(Z295,GLAPS정리!$BH$2:$BH$101,0)),""))</f>
        <v/>
      </c>
      <c r="BX295" s="2" t="str">
        <f>IF(Z295="","",IFERROR(VLOOKUP(Z295,GLAPS정리!$AX$2:$AZ$17,3,0),""))</f>
        <v/>
      </c>
      <c r="BZ295" s="2" t="e">
        <f>VLOOKUP(H295,GLAPS정리!$L$3:$O$133,2,0)</f>
        <v>#N/A</v>
      </c>
      <c r="CA295" s="2" t="str">
        <f t="shared" si="74"/>
        <v/>
      </c>
      <c r="CL295" s="2" t="e">
        <f>VLOOKUP(AI295,GLAPS정리!$BT$3:$BV$26,3,0)</f>
        <v>#N/A</v>
      </c>
    </row>
    <row r="296" spans="2:90" ht="20.45" customHeight="1">
      <c r="B296" s="13"/>
      <c r="G296" s="3"/>
      <c r="J296" s="3"/>
      <c r="Q296" s="3" t="str">
        <f t="shared" si="62"/>
        <v/>
      </c>
      <c r="R296" s="3" t="str">
        <f t="shared" si="63"/>
        <v/>
      </c>
      <c r="S296" s="3" t="str">
        <f t="shared" si="64"/>
        <v/>
      </c>
      <c r="X296" s="13"/>
      <c r="Y296" s="13"/>
      <c r="Z296" s="91"/>
      <c r="AC296" s="2">
        <f t="shared" si="65"/>
        <v>20</v>
      </c>
      <c r="AD296" s="2" t="str">
        <f>IFERROR(INDEX(GLAPS정리!$D$2:$D$50,MATCH(I296,GLAPS정리!$A$2:$A$50,0)),IFERROR(INDEX(GLAPS정리!$D$2:$D$50,MATCH(I296,GLAPS정리!$B$2:$B$50,0)),""))</f>
        <v/>
      </c>
      <c r="AF296" s="2" t="str">
        <f t="shared" si="66"/>
        <v>KR10</v>
      </c>
      <c r="AI296" s="2" t="e">
        <f>VLOOKUP(F296,GLAPS정리!$G$3:$J$114,2,0)</f>
        <v>#N/A</v>
      </c>
      <c r="AJ296" s="2" t="e">
        <f>IF(Z296="울산정일","KRONS",IF(Z296="울산신항","KRUSN",IF(OR(Z296="선광종합물류(인천여객)",Z296="인천여객(인천여객)"),"KRINF",IF(OR(Z296="선광인천보세(인천신)",Z296="한진인천(인천신)",Z296="선광인천신항(인천신)",Z296="인천더로지스(인천신)"),"KRINN",IF(OR(Z296="인천진아(인천항)",Z296="인천E1(인천항)",Z296="인천SM경인터미널(인천항)",Z296="인천항(인천항)",Z296="인천우련(인천항)",Z296="인천항8부두(인천항)"),"KRINC",VLOOKUP(K296,GLAPS정리!$BB$2:$BC$33,2,0))))))</f>
        <v>#N/A</v>
      </c>
      <c r="AL296" s="2">
        <f t="shared" si="67"/>
        <v>5010001</v>
      </c>
      <c r="AN296" s="70" t="str">
        <f t="shared" si="68"/>
        <v>1900-01-00</v>
      </c>
      <c r="AO296" s="2" t="str">
        <f t="shared" si="69"/>
        <v/>
      </c>
      <c r="AP296" s="2" t="e">
        <f>VLOOKUP(C296,GLAPS정리!$AX$2:$AZ$17,3,0)</f>
        <v>#N/A</v>
      </c>
      <c r="AR296" s="2">
        <f t="shared" si="75"/>
        <v>0</v>
      </c>
      <c r="AX296" s="2" t="e">
        <f>VLOOKUP(L296,GLAPS정리!$V$3:$W$180,2,0)</f>
        <v>#N/A</v>
      </c>
      <c r="BM296" s="2" t="str">
        <f t="shared" si="70"/>
        <v xml:space="preserve"> </v>
      </c>
      <c r="BN296" s="2">
        <f t="shared" si="71"/>
        <v>1</v>
      </c>
      <c r="BR296" s="2" t="str">
        <f t="shared" si="72"/>
        <v/>
      </c>
      <c r="BS296" s="2" t="str">
        <f t="shared" si="73"/>
        <v/>
      </c>
      <c r="BV296" s="2" t="e">
        <f>VLOOKUP(O296,GLAPS정리!$BH$2:$BI$94,2,0)</f>
        <v>#N/A</v>
      </c>
      <c r="BW296" s="2" t="str">
        <f>IF(OR(Z296="동원",Z296="세방",Z296="한타"),"",IFERROR(INDEX(GLAPS정리!$BI$2:$BI$101,MATCH(Z296,GLAPS정리!$BH$2:$BH$101,0)),""))</f>
        <v/>
      </c>
      <c r="BX296" s="2" t="str">
        <f>IF(Z296="","",IFERROR(VLOOKUP(Z296,GLAPS정리!$AX$2:$AZ$17,3,0),""))</f>
        <v/>
      </c>
      <c r="BZ296" s="2" t="e">
        <f>VLOOKUP(H296,GLAPS정리!$L$3:$O$133,2,0)</f>
        <v>#N/A</v>
      </c>
      <c r="CA296" s="2" t="str">
        <f t="shared" si="74"/>
        <v/>
      </c>
      <c r="CL296" s="2" t="e">
        <f>VLOOKUP(AI296,GLAPS정리!$BT$3:$BV$26,3,0)</f>
        <v>#N/A</v>
      </c>
    </row>
    <row r="297" spans="2:90" ht="20.45" customHeight="1">
      <c r="B297" s="13"/>
      <c r="G297" s="3"/>
      <c r="J297" s="3"/>
      <c r="Q297" s="3" t="str">
        <f t="shared" si="62"/>
        <v/>
      </c>
      <c r="R297" s="3" t="str">
        <f t="shared" si="63"/>
        <v/>
      </c>
      <c r="S297" s="3" t="str">
        <f t="shared" si="64"/>
        <v/>
      </c>
      <c r="X297" s="13"/>
      <c r="Y297" s="13"/>
      <c r="Z297" s="91"/>
      <c r="AC297" s="2">
        <f t="shared" si="65"/>
        <v>20</v>
      </c>
      <c r="AD297" s="2" t="str">
        <f>IFERROR(INDEX(GLAPS정리!$D$2:$D$50,MATCH(I297,GLAPS정리!$A$2:$A$50,0)),IFERROR(INDEX(GLAPS정리!$D$2:$D$50,MATCH(I297,GLAPS정리!$B$2:$B$50,0)),""))</f>
        <v/>
      </c>
      <c r="AF297" s="2" t="str">
        <f t="shared" si="66"/>
        <v>KR10</v>
      </c>
      <c r="AI297" s="2" t="e">
        <f>VLOOKUP(F297,GLAPS정리!$G$3:$J$114,2,0)</f>
        <v>#N/A</v>
      </c>
      <c r="AJ297" s="2" t="e">
        <f>IF(Z297="울산정일","KRONS",IF(Z297="울산신항","KRUSN",IF(OR(Z297="선광종합물류(인천여객)",Z297="인천여객(인천여객)"),"KRINF",IF(OR(Z297="선광인천보세(인천신)",Z297="한진인천(인천신)",Z297="선광인천신항(인천신)",Z297="인천더로지스(인천신)"),"KRINN",IF(OR(Z297="인천진아(인천항)",Z297="인천E1(인천항)",Z297="인천SM경인터미널(인천항)",Z297="인천항(인천항)",Z297="인천우련(인천항)",Z297="인천항8부두(인천항)"),"KRINC",VLOOKUP(K297,GLAPS정리!$BB$2:$BC$33,2,0))))))</f>
        <v>#N/A</v>
      </c>
      <c r="AL297" s="2">
        <f t="shared" si="67"/>
        <v>5010001</v>
      </c>
      <c r="AN297" s="70" t="str">
        <f t="shared" si="68"/>
        <v>1900-01-00</v>
      </c>
      <c r="AO297" s="2" t="str">
        <f t="shared" si="69"/>
        <v/>
      </c>
      <c r="AP297" s="2" t="e">
        <f>VLOOKUP(C297,GLAPS정리!$AX$2:$AZ$17,3,0)</f>
        <v>#N/A</v>
      </c>
      <c r="AR297" s="2">
        <f t="shared" si="75"/>
        <v>0</v>
      </c>
      <c r="AX297" s="2" t="e">
        <f>VLOOKUP(L297,GLAPS정리!$V$3:$W$180,2,0)</f>
        <v>#N/A</v>
      </c>
      <c r="BM297" s="2" t="str">
        <f t="shared" si="70"/>
        <v xml:space="preserve"> </v>
      </c>
      <c r="BN297" s="2">
        <f t="shared" si="71"/>
        <v>1</v>
      </c>
      <c r="BR297" s="2" t="str">
        <f t="shared" si="72"/>
        <v/>
      </c>
      <c r="BS297" s="2" t="str">
        <f t="shared" si="73"/>
        <v/>
      </c>
      <c r="BV297" s="2" t="e">
        <f>VLOOKUP(O297,GLAPS정리!$BH$2:$BI$94,2,0)</f>
        <v>#N/A</v>
      </c>
      <c r="BW297" s="2" t="str">
        <f>IF(OR(Z297="동원",Z297="세방",Z297="한타"),"",IFERROR(INDEX(GLAPS정리!$BI$2:$BI$101,MATCH(Z297,GLAPS정리!$BH$2:$BH$101,0)),""))</f>
        <v/>
      </c>
      <c r="BX297" s="2" t="str">
        <f>IF(Z297="","",IFERROR(VLOOKUP(Z297,GLAPS정리!$AX$2:$AZ$17,3,0),""))</f>
        <v/>
      </c>
      <c r="BZ297" s="2" t="e">
        <f>VLOOKUP(H297,GLAPS정리!$L$3:$O$133,2,0)</f>
        <v>#N/A</v>
      </c>
      <c r="CA297" s="2" t="str">
        <f t="shared" si="74"/>
        <v/>
      </c>
      <c r="CL297" s="2" t="e">
        <f>VLOOKUP(AI297,GLAPS정리!$BT$3:$BV$26,3,0)</f>
        <v>#N/A</v>
      </c>
    </row>
    <row r="298" spans="2:90" ht="20.45" customHeight="1">
      <c r="B298" s="13"/>
      <c r="G298" s="3"/>
      <c r="J298" s="3"/>
      <c r="Q298" s="3" t="str">
        <f t="shared" si="62"/>
        <v/>
      </c>
      <c r="R298" s="3" t="str">
        <f t="shared" si="63"/>
        <v/>
      </c>
      <c r="S298" s="3" t="str">
        <f t="shared" si="64"/>
        <v/>
      </c>
      <c r="X298" s="13"/>
      <c r="Y298" s="13"/>
      <c r="Z298" s="91"/>
      <c r="AC298" s="2">
        <f t="shared" si="65"/>
        <v>20</v>
      </c>
      <c r="AD298" s="2" t="str">
        <f>IFERROR(INDEX(GLAPS정리!$D$2:$D$50,MATCH(I298,GLAPS정리!$A$2:$A$50,0)),IFERROR(INDEX(GLAPS정리!$D$2:$D$50,MATCH(I298,GLAPS정리!$B$2:$B$50,0)),""))</f>
        <v/>
      </c>
      <c r="AF298" s="2" t="str">
        <f t="shared" si="66"/>
        <v>KR10</v>
      </c>
      <c r="AI298" s="2" t="e">
        <f>VLOOKUP(F298,GLAPS정리!$G$3:$J$114,2,0)</f>
        <v>#N/A</v>
      </c>
      <c r="AJ298" s="2" t="e">
        <f>IF(Z298="울산정일","KRONS",IF(Z298="울산신항","KRUSN",IF(OR(Z298="선광종합물류(인천여객)",Z298="인천여객(인천여객)"),"KRINF",IF(OR(Z298="선광인천보세(인천신)",Z298="한진인천(인천신)",Z298="선광인천신항(인천신)",Z298="인천더로지스(인천신)"),"KRINN",IF(OR(Z298="인천진아(인천항)",Z298="인천E1(인천항)",Z298="인천SM경인터미널(인천항)",Z298="인천항(인천항)",Z298="인천우련(인천항)",Z298="인천항8부두(인천항)"),"KRINC",VLOOKUP(K298,GLAPS정리!$BB$2:$BC$33,2,0))))))</f>
        <v>#N/A</v>
      </c>
      <c r="AL298" s="2">
        <f t="shared" si="67"/>
        <v>5010001</v>
      </c>
      <c r="AN298" s="70" t="str">
        <f t="shared" si="68"/>
        <v>1900-01-00</v>
      </c>
      <c r="AO298" s="2" t="str">
        <f t="shared" si="69"/>
        <v/>
      </c>
      <c r="AP298" s="2" t="e">
        <f>VLOOKUP(C298,GLAPS정리!$AX$2:$AZ$17,3,0)</f>
        <v>#N/A</v>
      </c>
      <c r="AR298" s="2">
        <f t="shared" si="75"/>
        <v>0</v>
      </c>
      <c r="AX298" s="2" t="e">
        <f>VLOOKUP(L298,GLAPS정리!$V$3:$W$180,2,0)</f>
        <v>#N/A</v>
      </c>
      <c r="BM298" s="2" t="str">
        <f t="shared" si="70"/>
        <v xml:space="preserve"> </v>
      </c>
      <c r="BN298" s="2">
        <f t="shared" si="71"/>
        <v>1</v>
      </c>
      <c r="BR298" s="2" t="str">
        <f t="shared" si="72"/>
        <v/>
      </c>
      <c r="BS298" s="2" t="str">
        <f t="shared" si="73"/>
        <v/>
      </c>
      <c r="BV298" s="2" t="e">
        <f>VLOOKUP(O298,GLAPS정리!$BH$2:$BI$94,2,0)</f>
        <v>#N/A</v>
      </c>
      <c r="BW298" s="2" t="str">
        <f>IF(OR(Z298="동원",Z298="세방",Z298="한타"),"",IFERROR(INDEX(GLAPS정리!$BI$2:$BI$101,MATCH(Z298,GLAPS정리!$BH$2:$BH$101,0)),""))</f>
        <v/>
      </c>
      <c r="BX298" s="2" t="str">
        <f>IF(Z298="","",IFERROR(VLOOKUP(Z298,GLAPS정리!$AX$2:$AZ$17,3,0),""))</f>
        <v/>
      </c>
      <c r="BZ298" s="2" t="e">
        <f>VLOOKUP(H298,GLAPS정리!$L$3:$O$133,2,0)</f>
        <v>#N/A</v>
      </c>
      <c r="CA298" s="2" t="str">
        <f t="shared" si="74"/>
        <v/>
      </c>
      <c r="CL298" s="2" t="e">
        <f>VLOOKUP(AI298,GLAPS정리!$BT$3:$BV$26,3,0)</f>
        <v>#N/A</v>
      </c>
    </row>
    <row r="299" spans="2:90" ht="20.45" customHeight="1">
      <c r="B299" s="13"/>
      <c r="G299" s="3"/>
      <c r="J299" s="3"/>
      <c r="Q299" s="3" t="str">
        <f t="shared" si="62"/>
        <v/>
      </c>
      <c r="R299" s="3" t="str">
        <f t="shared" si="63"/>
        <v/>
      </c>
      <c r="S299" s="3" t="str">
        <f t="shared" si="64"/>
        <v/>
      </c>
      <c r="X299" s="13"/>
      <c r="Y299" s="13"/>
      <c r="Z299" s="91"/>
      <c r="AC299" s="2">
        <f t="shared" si="65"/>
        <v>20</v>
      </c>
      <c r="AD299" s="2" t="str">
        <f>IFERROR(INDEX(GLAPS정리!$D$2:$D$50,MATCH(I299,GLAPS정리!$A$2:$A$50,0)),IFERROR(INDEX(GLAPS정리!$D$2:$D$50,MATCH(I299,GLAPS정리!$B$2:$B$50,0)),""))</f>
        <v/>
      </c>
      <c r="AF299" s="2" t="str">
        <f t="shared" si="66"/>
        <v>KR10</v>
      </c>
      <c r="AI299" s="2" t="e">
        <f>VLOOKUP(F299,GLAPS정리!$G$3:$J$114,2,0)</f>
        <v>#N/A</v>
      </c>
      <c r="AJ299" s="2" t="e">
        <f>IF(Z299="울산정일","KRONS",IF(Z299="울산신항","KRUSN",IF(OR(Z299="선광종합물류(인천여객)",Z299="인천여객(인천여객)"),"KRINF",IF(OR(Z299="선광인천보세(인천신)",Z299="한진인천(인천신)",Z299="선광인천신항(인천신)",Z299="인천더로지스(인천신)"),"KRINN",IF(OR(Z299="인천진아(인천항)",Z299="인천E1(인천항)",Z299="인천SM경인터미널(인천항)",Z299="인천항(인천항)",Z299="인천우련(인천항)",Z299="인천항8부두(인천항)"),"KRINC",VLOOKUP(K299,GLAPS정리!$BB$2:$BC$33,2,0))))))</f>
        <v>#N/A</v>
      </c>
      <c r="AL299" s="2">
        <f t="shared" si="67"/>
        <v>5010001</v>
      </c>
      <c r="AN299" s="70" t="str">
        <f t="shared" si="68"/>
        <v>1900-01-00</v>
      </c>
      <c r="AO299" s="2" t="str">
        <f t="shared" si="69"/>
        <v/>
      </c>
      <c r="AP299" s="2" t="e">
        <f>VLOOKUP(C299,GLAPS정리!$AX$2:$AZ$17,3,0)</f>
        <v>#N/A</v>
      </c>
      <c r="AR299" s="2">
        <f t="shared" si="75"/>
        <v>0</v>
      </c>
      <c r="AX299" s="2" t="e">
        <f>VLOOKUP(L299,GLAPS정리!$V$3:$W$180,2,0)</f>
        <v>#N/A</v>
      </c>
      <c r="BM299" s="2" t="str">
        <f t="shared" si="70"/>
        <v xml:space="preserve"> </v>
      </c>
      <c r="BN299" s="2">
        <f t="shared" si="71"/>
        <v>1</v>
      </c>
      <c r="BR299" s="2" t="str">
        <f t="shared" si="72"/>
        <v/>
      </c>
      <c r="BS299" s="2" t="str">
        <f t="shared" si="73"/>
        <v/>
      </c>
      <c r="BV299" s="2" t="e">
        <f>VLOOKUP(O299,GLAPS정리!$BH$2:$BI$94,2,0)</f>
        <v>#N/A</v>
      </c>
      <c r="BW299" s="2" t="str">
        <f>IF(OR(Z299="동원",Z299="세방",Z299="한타"),"",IFERROR(INDEX(GLAPS정리!$BI$2:$BI$101,MATCH(Z299,GLAPS정리!$BH$2:$BH$101,0)),""))</f>
        <v/>
      </c>
      <c r="BX299" s="2" t="str">
        <f>IF(Z299="","",IFERROR(VLOOKUP(Z299,GLAPS정리!$AX$2:$AZ$17,3,0),""))</f>
        <v/>
      </c>
      <c r="BZ299" s="2" t="e">
        <f>VLOOKUP(H299,GLAPS정리!$L$3:$O$133,2,0)</f>
        <v>#N/A</v>
      </c>
      <c r="CA299" s="2" t="str">
        <f t="shared" si="74"/>
        <v/>
      </c>
      <c r="CL299" s="2" t="e">
        <f>VLOOKUP(AI299,GLAPS정리!$BT$3:$BV$26,3,0)</f>
        <v>#N/A</v>
      </c>
    </row>
    <row r="300" spans="2:90" ht="20.45" customHeight="1">
      <c r="B300" s="13"/>
      <c r="G300" s="3"/>
      <c r="J300" s="3"/>
      <c r="Q300" s="3" t="str">
        <f t="shared" si="62"/>
        <v/>
      </c>
      <c r="R300" s="3" t="str">
        <f t="shared" si="63"/>
        <v/>
      </c>
      <c r="S300" s="3" t="str">
        <f t="shared" si="64"/>
        <v/>
      </c>
      <c r="X300" s="13"/>
      <c r="Y300" s="13"/>
      <c r="Z300" s="91"/>
      <c r="AC300" s="2">
        <f t="shared" si="65"/>
        <v>20</v>
      </c>
      <c r="AD300" s="2" t="str">
        <f>IFERROR(INDEX(GLAPS정리!$D$2:$D$50,MATCH(I300,GLAPS정리!$A$2:$A$50,0)),IFERROR(INDEX(GLAPS정리!$D$2:$D$50,MATCH(I300,GLAPS정리!$B$2:$B$50,0)),""))</f>
        <v/>
      </c>
      <c r="AF300" s="2" t="str">
        <f t="shared" si="66"/>
        <v>KR10</v>
      </c>
      <c r="AI300" s="2" t="e">
        <f>VLOOKUP(F300,GLAPS정리!$G$3:$J$114,2,0)</f>
        <v>#N/A</v>
      </c>
      <c r="AJ300" s="2" t="e">
        <f>IF(Z300="울산정일","KRONS",IF(Z300="울산신항","KRUSN",IF(OR(Z300="선광종합물류(인천여객)",Z300="인천여객(인천여객)"),"KRINF",IF(OR(Z300="선광인천보세(인천신)",Z300="한진인천(인천신)",Z300="선광인천신항(인천신)",Z300="인천더로지스(인천신)"),"KRINN",IF(OR(Z300="인천진아(인천항)",Z300="인천E1(인천항)",Z300="인천SM경인터미널(인천항)",Z300="인천항(인천항)",Z300="인천우련(인천항)",Z300="인천항8부두(인천항)"),"KRINC",VLOOKUP(K300,GLAPS정리!$BB$2:$BC$33,2,0))))))</f>
        <v>#N/A</v>
      </c>
      <c r="AL300" s="2">
        <f t="shared" si="67"/>
        <v>5010001</v>
      </c>
      <c r="AN300" s="70" t="str">
        <f t="shared" si="68"/>
        <v>1900-01-00</v>
      </c>
      <c r="AO300" s="2" t="str">
        <f t="shared" si="69"/>
        <v/>
      </c>
      <c r="AP300" s="2" t="e">
        <f>VLOOKUP(C300,GLAPS정리!$AX$2:$AZ$17,3,0)</f>
        <v>#N/A</v>
      </c>
      <c r="AR300" s="2">
        <f t="shared" si="75"/>
        <v>0</v>
      </c>
      <c r="AX300" s="2" t="e">
        <f>VLOOKUP(L300,GLAPS정리!$V$3:$W$180,2,0)</f>
        <v>#N/A</v>
      </c>
      <c r="BM300" s="2" t="str">
        <f t="shared" si="70"/>
        <v xml:space="preserve"> </v>
      </c>
      <c r="BN300" s="2">
        <f t="shared" si="71"/>
        <v>1</v>
      </c>
      <c r="BR300" s="2" t="str">
        <f t="shared" si="72"/>
        <v/>
      </c>
      <c r="BS300" s="2" t="str">
        <f t="shared" si="73"/>
        <v/>
      </c>
      <c r="BV300" s="2" t="e">
        <f>VLOOKUP(O300,GLAPS정리!$BH$2:$BI$94,2,0)</f>
        <v>#N/A</v>
      </c>
      <c r="BW300" s="2" t="str">
        <f>IF(OR(Z300="동원",Z300="세방",Z300="한타"),"",IFERROR(INDEX(GLAPS정리!$BI$2:$BI$101,MATCH(Z300,GLAPS정리!$BH$2:$BH$101,0)),""))</f>
        <v/>
      </c>
      <c r="BX300" s="2" t="str">
        <f>IF(Z300="","",IFERROR(VLOOKUP(Z300,GLAPS정리!$AX$2:$AZ$17,3,0),""))</f>
        <v/>
      </c>
      <c r="BZ300" s="2" t="e">
        <f>VLOOKUP(H300,GLAPS정리!$L$3:$O$133,2,0)</f>
        <v>#N/A</v>
      </c>
      <c r="CA300" s="2" t="str">
        <f t="shared" si="74"/>
        <v/>
      </c>
      <c r="CL300" s="2" t="e">
        <f>VLOOKUP(AI300,GLAPS정리!$BT$3:$BV$26,3,0)</f>
        <v>#N/A</v>
      </c>
    </row>
    <row r="301" spans="2:90" ht="20.45" customHeight="1">
      <c r="B301" s="13"/>
      <c r="G301" s="3"/>
      <c r="J301" s="3"/>
      <c r="Q301" s="3" t="str">
        <f t="shared" si="62"/>
        <v/>
      </c>
      <c r="R301" s="3" t="str">
        <f t="shared" si="63"/>
        <v/>
      </c>
      <c r="S301" s="3" t="str">
        <f t="shared" si="64"/>
        <v/>
      </c>
      <c r="X301" s="13"/>
      <c r="Y301" s="13"/>
      <c r="Z301" s="91"/>
      <c r="AC301" s="2">
        <f t="shared" si="65"/>
        <v>20</v>
      </c>
      <c r="AD301" s="2" t="str">
        <f>IFERROR(INDEX(GLAPS정리!$D$2:$D$50,MATCH(I301,GLAPS정리!$A$2:$A$50,0)),IFERROR(INDEX(GLAPS정리!$D$2:$D$50,MATCH(I301,GLAPS정리!$B$2:$B$50,0)),""))</f>
        <v/>
      </c>
      <c r="AF301" s="2" t="str">
        <f t="shared" si="66"/>
        <v>KR10</v>
      </c>
      <c r="AI301" s="2" t="e">
        <f>VLOOKUP(F301,GLAPS정리!$G$3:$J$114,2,0)</f>
        <v>#N/A</v>
      </c>
      <c r="AJ301" s="2" t="e">
        <f>IF(Z301="울산정일","KRONS",IF(Z301="울산신항","KRUSN",IF(OR(Z301="선광종합물류(인천여객)",Z301="인천여객(인천여객)"),"KRINF",IF(OR(Z301="선광인천보세(인천신)",Z301="한진인천(인천신)",Z301="선광인천신항(인천신)",Z301="인천더로지스(인천신)"),"KRINN",IF(OR(Z301="인천진아(인천항)",Z301="인천E1(인천항)",Z301="인천SM경인터미널(인천항)",Z301="인천항(인천항)",Z301="인천우련(인천항)",Z301="인천항8부두(인천항)"),"KRINC",VLOOKUP(K301,GLAPS정리!$BB$2:$BC$33,2,0))))))</f>
        <v>#N/A</v>
      </c>
      <c r="AL301" s="2">
        <f t="shared" si="67"/>
        <v>5010001</v>
      </c>
      <c r="AN301" s="70" t="str">
        <f t="shared" si="68"/>
        <v>1900-01-00</v>
      </c>
      <c r="AO301" s="2" t="str">
        <f t="shared" si="69"/>
        <v/>
      </c>
      <c r="AP301" s="2" t="e">
        <f>VLOOKUP(C301,GLAPS정리!$AX$2:$AZ$17,3,0)</f>
        <v>#N/A</v>
      </c>
      <c r="AR301" s="2">
        <f t="shared" si="75"/>
        <v>0</v>
      </c>
      <c r="AX301" s="2" t="e">
        <f>VLOOKUP(L301,GLAPS정리!$V$3:$W$180,2,0)</f>
        <v>#N/A</v>
      </c>
      <c r="BM301" s="2" t="str">
        <f t="shared" si="70"/>
        <v xml:space="preserve"> </v>
      </c>
      <c r="BN301" s="2">
        <f t="shared" si="71"/>
        <v>1</v>
      </c>
      <c r="BR301" s="2" t="str">
        <f t="shared" si="72"/>
        <v/>
      </c>
      <c r="BS301" s="2" t="str">
        <f t="shared" si="73"/>
        <v/>
      </c>
      <c r="BV301" s="2" t="e">
        <f>VLOOKUP(O301,GLAPS정리!$BH$2:$BI$94,2,0)</f>
        <v>#N/A</v>
      </c>
      <c r="BW301" s="2" t="str">
        <f>IF(OR(Z301="동원",Z301="세방",Z301="한타"),"",IFERROR(INDEX(GLAPS정리!$BI$2:$BI$101,MATCH(Z301,GLAPS정리!$BH$2:$BH$101,0)),""))</f>
        <v/>
      </c>
      <c r="BX301" s="2" t="str">
        <f>IF(Z301="","",IFERROR(VLOOKUP(Z301,GLAPS정리!$AX$2:$AZ$17,3,0),""))</f>
        <v/>
      </c>
      <c r="BZ301" s="2" t="e">
        <f>VLOOKUP(H301,GLAPS정리!$L$3:$O$133,2,0)</f>
        <v>#N/A</v>
      </c>
      <c r="CA301" s="2" t="str">
        <f t="shared" si="74"/>
        <v/>
      </c>
      <c r="CL301" s="2" t="e">
        <f>VLOOKUP(AI301,GLAPS정리!$BT$3:$BV$26,3,0)</f>
        <v>#N/A</v>
      </c>
    </row>
    <row r="302" spans="2:90" ht="20.45" customHeight="1">
      <c r="B302" s="13"/>
      <c r="G302" s="3"/>
      <c r="J302" s="3"/>
      <c r="Q302" s="3" t="str">
        <f t="shared" si="62"/>
        <v/>
      </c>
      <c r="R302" s="3" t="str">
        <f t="shared" si="63"/>
        <v/>
      </c>
      <c r="S302" s="3" t="str">
        <f t="shared" si="64"/>
        <v/>
      </c>
      <c r="X302" s="13"/>
      <c r="Y302" s="13"/>
      <c r="Z302" s="91"/>
      <c r="AC302" s="2">
        <f t="shared" si="65"/>
        <v>20</v>
      </c>
      <c r="AD302" s="2" t="str">
        <f>IFERROR(INDEX(GLAPS정리!$D$2:$D$50,MATCH(I302,GLAPS정리!$A$2:$A$50,0)),IFERROR(INDEX(GLAPS정리!$D$2:$D$50,MATCH(I302,GLAPS정리!$B$2:$B$50,0)),""))</f>
        <v/>
      </c>
      <c r="AF302" s="2" t="str">
        <f t="shared" si="66"/>
        <v>KR10</v>
      </c>
      <c r="AI302" s="2" t="e">
        <f>VLOOKUP(F302,GLAPS정리!$G$3:$J$114,2,0)</f>
        <v>#N/A</v>
      </c>
      <c r="AJ302" s="2" t="e">
        <f>IF(Z302="울산정일","KRONS",IF(Z302="울산신항","KRUSN",IF(OR(Z302="선광종합물류(인천여객)",Z302="인천여객(인천여객)"),"KRINF",IF(OR(Z302="선광인천보세(인천신)",Z302="한진인천(인천신)",Z302="선광인천신항(인천신)",Z302="인천더로지스(인천신)"),"KRINN",IF(OR(Z302="인천진아(인천항)",Z302="인천E1(인천항)",Z302="인천SM경인터미널(인천항)",Z302="인천항(인천항)",Z302="인천우련(인천항)",Z302="인천항8부두(인천항)"),"KRINC",VLOOKUP(K302,GLAPS정리!$BB$2:$BC$33,2,0))))))</f>
        <v>#N/A</v>
      </c>
      <c r="AL302" s="2">
        <f t="shared" si="67"/>
        <v>5010001</v>
      </c>
      <c r="AN302" s="70" t="str">
        <f t="shared" si="68"/>
        <v>1900-01-00</v>
      </c>
      <c r="AO302" s="2" t="str">
        <f t="shared" si="69"/>
        <v/>
      </c>
      <c r="AP302" s="2" t="e">
        <f>VLOOKUP(C302,GLAPS정리!$AX$2:$AZ$17,3,0)</f>
        <v>#N/A</v>
      </c>
      <c r="AR302" s="2">
        <f t="shared" si="75"/>
        <v>0</v>
      </c>
      <c r="AX302" s="2" t="e">
        <f>VLOOKUP(L302,GLAPS정리!$V$3:$W$180,2,0)</f>
        <v>#N/A</v>
      </c>
      <c r="BM302" s="2" t="str">
        <f t="shared" si="70"/>
        <v xml:space="preserve"> </v>
      </c>
      <c r="BN302" s="2">
        <f t="shared" si="71"/>
        <v>1</v>
      </c>
      <c r="BR302" s="2" t="str">
        <f t="shared" si="72"/>
        <v/>
      </c>
      <c r="BS302" s="2" t="str">
        <f t="shared" si="73"/>
        <v/>
      </c>
      <c r="BV302" s="2" t="e">
        <f>VLOOKUP(O302,GLAPS정리!$BH$2:$BI$94,2,0)</f>
        <v>#N/A</v>
      </c>
      <c r="BW302" s="2" t="str">
        <f>IF(OR(Z302="동원",Z302="세방",Z302="한타"),"",IFERROR(INDEX(GLAPS정리!$BI$2:$BI$101,MATCH(Z302,GLAPS정리!$BH$2:$BH$101,0)),""))</f>
        <v/>
      </c>
      <c r="BX302" s="2" t="str">
        <f>IF(Z302="","",IFERROR(VLOOKUP(Z302,GLAPS정리!$AX$2:$AZ$17,3,0),""))</f>
        <v/>
      </c>
      <c r="BZ302" s="2" t="e">
        <f>VLOOKUP(H302,GLAPS정리!$L$3:$O$133,2,0)</f>
        <v>#N/A</v>
      </c>
      <c r="CA302" s="2" t="str">
        <f t="shared" si="74"/>
        <v/>
      </c>
      <c r="CL302" s="2" t="e">
        <f>VLOOKUP(AI302,GLAPS정리!$BT$3:$BV$26,3,0)</f>
        <v>#N/A</v>
      </c>
    </row>
    <row r="303" spans="2:90" ht="20.45" customHeight="1">
      <c r="B303" s="13"/>
      <c r="G303" s="3"/>
      <c r="J303" s="3"/>
      <c r="Q303" s="3" t="str">
        <f t="shared" si="62"/>
        <v/>
      </c>
      <c r="R303" s="3" t="str">
        <f t="shared" si="63"/>
        <v/>
      </c>
      <c r="S303" s="3" t="str">
        <f t="shared" si="64"/>
        <v/>
      </c>
      <c r="X303" s="13"/>
      <c r="Y303" s="13"/>
      <c r="Z303" s="91"/>
      <c r="AC303" s="2">
        <f t="shared" si="65"/>
        <v>20</v>
      </c>
      <c r="AD303" s="2" t="str">
        <f>IFERROR(INDEX(GLAPS정리!$D$2:$D$50,MATCH(I303,GLAPS정리!$A$2:$A$50,0)),IFERROR(INDEX(GLAPS정리!$D$2:$D$50,MATCH(I303,GLAPS정리!$B$2:$B$50,0)),""))</f>
        <v/>
      </c>
      <c r="AF303" s="2" t="str">
        <f t="shared" si="66"/>
        <v>KR10</v>
      </c>
      <c r="AI303" s="2" t="e">
        <f>VLOOKUP(F303,GLAPS정리!$G$3:$J$114,2,0)</f>
        <v>#N/A</v>
      </c>
      <c r="AJ303" s="2" t="e">
        <f>IF(Z303="울산정일","KRONS",IF(Z303="울산신항","KRUSN",IF(OR(Z303="선광종합물류(인천여객)",Z303="인천여객(인천여객)"),"KRINF",IF(OR(Z303="선광인천보세(인천신)",Z303="한진인천(인천신)",Z303="선광인천신항(인천신)",Z303="인천더로지스(인천신)"),"KRINN",IF(OR(Z303="인천진아(인천항)",Z303="인천E1(인천항)",Z303="인천SM경인터미널(인천항)",Z303="인천항(인천항)",Z303="인천우련(인천항)",Z303="인천항8부두(인천항)"),"KRINC",VLOOKUP(K303,GLAPS정리!$BB$2:$BC$33,2,0))))))</f>
        <v>#N/A</v>
      </c>
      <c r="AL303" s="2">
        <f t="shared" si="67"/>
        <v>5010001</v>
      </c>
      <c r="AN303" s="70" t="str">
        <f t="shared" si="68"/>
        <v>1900-01-00</v>
      </c>
      <c r="AO303" s="2" t="str">
        <f t="shared" si="69"/>
        <v/>
      </c>
      <c r="AP303" s="2" t="e">
        <f>VLOOKUP(C303,GLAPS정리!$AX$2:$AZ$17,3,0)</f>
        <v>#N/A</v>
      </c>
      <c r="AR303" s="2">
        <f t="shared" si="75"/>
        <v>0</v>
      </c>
      <c r="AX303" s="2" t="e">
        <f>VLOOKUP(L303,GLAPS정리!$V$3:$W$180,2,0)</f>
        <v>#N/A</v>
      </c>
      <c r="BM303" s="2" t="str">
        <f t="shared" si="70"/>
        <v xml:space="preserve"> </v>
      </c>
      <c r="BN303" s="2">
        <f t="shared" si="71"/>
        <v>1</v>
      </c>
      <c r="BR303" s="2" t="str">
        <f t="shared" si="72"/>
        <v/>
      </c>
      <c r="BS303" s="2" t="str">
        <f t="shared" si="73"/>
        <v/>
      </c>
      <c r="BV303" s="2" t="e">
        <f>VLOOKUP(O303,GLAPS정리!$BH$2:$BI$94,2,0)</f>
        <v>#N/A</v>
      </c>
      <c r="BW303" s="2" t="str">
        <f>IF(OR(Z303="동원",Z303="세방",Z303="한타"),"",IFERROR(INDEX(GLAPS정리!$BI$2:$BI$101,MATCH(Z303,GLAPS정리!$BH$2:$BH$101,0)),""))</f>
        <v/>
      </c>
      <c r="BX303" s="2" t="str">
        <f>IF(Z303="","",IFERROR(VLOOKUP(Z303,GLAPS정리!$AX$2:$AZ$17,3,0),""))</f>
        <v/>
      </c>
      <c r="BZ303" s="2" t="e">
        <f>VLOOKUP(H303,GLAPS정리!$L$3:$O$133,2,0)</f>
        <v>#N/A</v>
      </c>
      <c r="CA303" s="2" t="str">
        <f t="shared" si="74"/>
        <v/>
      </c>
      <c r="CL303" s="2" t="e">
        <f>VLOOKUP(AI303,GLAPS정리!$BT$3:$BV$26,3,0)</f>
        <v>#N/A</v>
      </c>
    </row>
    <row r="304" spans="2:90" ht="20.45" customHeight="1">
      <c r="B304" s="13"/>
      <c r="G304" s="3"/>
      <c r="J304" s="3"/>
      <c r="Q304" s="3" t="str">
        <f t="shared" si="62"/>
        <v/>
      </c>
      <c r="R304" s="3" t="str">
        <f t="shared" si="63"/>
        <v/>
      </c>
      <c r="S304" s="3" t="str">
        <f t="shared" si="64"/>
        <v/>
      </c>
      <c r="X304" s="13"/>
      <c r="Y304" s="13"/>
      <c r="Z304" s="91"/>
      <c r="AC304" s="2">
        <f t="shared" si="65"/>
        <v>20</v>
      </c>
      <c r="AD304" s="2" t="str">
        <f>IFERROR(INDEX(GLAPS정리!$D$2:$D$50,MATCH(I304,GLAPS정리!$A$2:$A$50,0)),IFERROR(INDEX(GLAPS정리!$D$2:$D$50,MATCH(I304,GLAPS정리!$B$2:$B$50,0)),""))</f>
        <v/>
      </c>
      <c r="AF304" s="2" t="str">
        <f t="shared" si="66"/>
        <v>KR10</v>
      </c>
      <c r="AI304" s="2" t="e">
        <f>VLOOKUP(F304,GLAPS정리!$G$3:$J$114,2,0)</f>
        <v>#N/A</v>
      </c>
      <c r="AJ304" s="2" t="e">
        <f>IF(Z304="울산정일","KRONS",IF(Z304="울산신항","KRUSN",IF(OR(Z304="선광종합물류(인천여객)",Z304="인천여객(인천여객)"),"KRINF",IF(OR(Z304="선광인천보세(인천신)",Z304="한진인천(인천신)",Z304="선광인천신항(인천신)",Z304="인천더로지스(인천신)"),"KRINN",IF(OR(Z304="인천진아(인천항)",Z304="인천E1(인천항)",Z304="인천SM경인터미널(인천항)",Z304="인천항(인천항)",Z304="인천우련(인천항)",Z304="인천항8부두(인천항)"),"KRINC",VLOOKUP(K304,GLAPS정리!$BB$2:$BC$33,2,0))))))</f>
        <v>#N/A</v>
      </c>
      <c r="AL304" s="2">
        <f t="shared" si="67"/>
        <v>5010001</v>
      </c>
      <c r="AN304" s="70" t="str">
        <f t="shared" si="68"/>
        <v>1900-01-00</v>
      </c>
      <c r="AO304" s="2" t="str">
        <f t="shared" si="69"/>
        <v/>
      </c>
      <c r="AP304" s="2" t="e">
        <f>VLOOKUP(C304,GLAPS정리!$AX$2:$AZ$17,3,0)</f>
        <v>#N/A</v>
      </c>
      <c r="AR304" s="2">
        <f t="shared" si="75"/>
        <v>0</v>
      </c>
      <c r="AX304" s="2" t="e">
        <f>VLOOKUP(L304,GLAPS정리!$V$3:$W$180,2,0)</f>
        <v>#N/A</v>
      </c>
      <c r="BM304" s="2" t="str">
        <f t="shared" si="70"/>
        <v xml:space="preserve"> </v>
      </c>
      <c r="BN304" s="2">
        <f t="shared" si="71"/>
        <v>1</v>
      </c>
      <c r="BR304" s="2" t="str">
        <f t="shared" si="72"/>
        <v/>
      </c>
      <c r="BS304" s="2" t="str">
        <f t="shared" si="73"/>
        <v/>
      </c>
      <c r="BV304" s="2" t="e">
        <f>VLOOKUP(O304,GLAPS정리!$BH$2:$BI$94,2,0)</f>
        <v>#N/A</v>
      </c>
      <c r="BW304" s="2" t="str">
        <f>IF(OR(Z304="동원",Z304="세방",Z304="한타"),"",IFERROR(INDEX(GLAPS정리!$BI$2:$BI$101,MATCH(Z304,GLAPS정리!$BH$2:$BH$101,0)),""))</f>
        <v/>
      </c>
      <c r="BX304" s="2" t="str">
        <f>IF(Z304="","",IFERROR(VLOOKUP(Z304,GLAPS정리!$AX$2:$AZ$17,3,0),""))</f>
        <v/>
      </c>
      <c r="BZ304" s="2" t="e">
        <f>VLOOKUP(H304,GLAPS정리!$L$3:$O$133,2,0)</f>
        <v>#N/A</v>
      </c>
      <c r="CA304" s="2" t="str">
        <f t="shared" si="74"/>
        <v/>
      </c>
      <c r="CL304" s="2" t="e">
        <f>VLOOKUP(AI304,GLAPS정리!$BT$3:$BV$26,3,0)</f>
        <v>#N/A</v>
      </c>
    </row>
    <row r="305" spans="2:90" ht="20.45" customHeight="1">
      <c r="B305" s="13"/>
      <c r="G305" s="3"/>
      <c r="J305" s="3"/>
      <c r="Q305" s="3" t="str">
        <f t="shared" si="62"/>
        <v/>
      </c>
      <c r="R305" s="3" t="str">
        <f t="shared" si="63"/>
        <v/>
      </c>
      <c r="S305" s="3" t="str">
        <f t="shared" si="64"/>
        <v/>
      </c>
      <c r="X305" s="13"/>
      <c r="Y305" s="13"/>
      <c r="Z305" s="91"/>
      <c r="AC305" s="2">
        <f t="shared" si="65"/>
        <v>20</v>
      </c>
      <c r="AD305" s="2" t="str">
        <f>IFERROR(INDEX(GLAPS정리!$D$2:$D$50,MATCH(I305,GLAPS정리!$A$2:$A$50,0)),IFERROR(INDEX(GLAPS정리!$D$2:$D$50,MATCH(I305,GLAPS정리!$B$2:$B$50,0)),""))</f>
        <v/>
      </c>
      <c r="AF305" s="2" t="str">
        <f t="shared" si="66"/>
        <v>KR10</v>
      </c>
      <c r="AI305" s="2" t="e">
        <f>VLOOKUP(F305,GLAPS정리!$G$3:$J$114,2,0)</f>
        <v>#N/A</v>
      </c>
      <c r="AJ305" s="2" t="e">
        <f>IF(Z305="울산정일","KRONS",IF(Z305="울산신항","KRUSN",IF(OR(Z305="선광종합물류(인천여객)",Z305="인천여객(인천여객)"),"KRINF",IF(OR(Z305="선광인천보세(인천신)",Z305="한진인천(인천신)",Z305="선광인천신항(인천신)",Z305="인천더로지스(인천신)"),"KRINN",IF(OR(Z305="인천진아(인천항)",Z305="인천E1(인천항)",Z305="인천SM경인터미널(인천항)",Z305="인천항(인천항)",Z305="인천우련(인천항)",Z305="인천항8부두(인천항)"),"KRINC",VLOOKUP(K305,GLAPS정리!$BB$2:$BC$33,2,0))))))</f>
        <v>#N/A</v>
      </c>
      <c r="AL305" s="2">
        <f t="shared" si="67"/>
        <v>5010001</v>
      </c>
      <c r="AN305" s="70" t="str">
        <f t="shared" si="68"/>
        <v>1900-01-00</v>
      </c>
      <c r="AO305" s="2" t="str">
        <f t="shared" si="69"/>
        <v/>
      </c>
      <c r="AP305" s="2" t="e">
        <f>VLOOKUP(C305,GLAPS정리!$AX$2:$AZ$17,3,0)</f>
        <v>#N/A</v>
      </c>
      <c r="AR305" s="2">
        <f t="shared" si="75"/>
        <v>0</v>
      </c>
      <c r="AX305" s="2" t="e">
        <f>VLOOKUP(L305,GLAPS정리!$V$3:$W$180,2,0)</f>
        <v>#N/A</v>
      </c>
      <c r="BM305" s="2" t="str">
        <f t="shared" si="70"/>
        <v xml:space="preserve"> </v>
      </c>
      <c r="BN305" s="2">
        <f t="shared" si="71"/>
        <v>1</v>
      </c>
      <c r="BR305" s="2" t="str">
        <f t="shared" si="72"/>
        <v/>
      </c>
      <c r="BS305" s="2" t="str">
        <f t="shared" si="73"/>
        <v/>
      </c>
      <c r="BV305" s="2" t="e">
        <f>VLOOKUP(O305,GLAPS정리!$BH$2:$BI$94,2,0)</f>
        <v>#N/A</v>
      </c>
      <c r="BW305" s="2" t="str">
        <f>IF(OR(Z305="동원",Z305="세방",Z305="한타"),"",IFERROR(INDEX(GLAPS정리!$BI$2:$BI$101,MATCH(Z305,GLAPS정리!$BH$2:$BH$101,0)),""))</f>
        <v/>
      </c>
      <c r="BX305" s="2" t="str">
        <f>IF(Z305="","",IFERROR(VLOOKUP(Z305,GLAPS정리!$AX$2:$AZ$17,3,0),""))</f>
        <v/>
      </c>
      <c r="BZ305" s="2" t="e">
        <f>VLOOKUP(H305,GLAPS정리!$L$3:$O$133,2,0)</f>
        <v>#N/A</v>
      </c>
      <c r="CA305" s="2" t="str">
        <f t="shared" si="74"/>
        <v/>
      </c>
      <c r="CL305" s="2" t="e">
        <f>VLOOKUP(AI305,GLAPS정리!$BT$3:$BV$26,3,0)</f>
        <v>#N/A</v>
      </c>
    </row>
    <row r="306" spans="2:90" ht="20.45" customHeight="1">
      <c r="B306" s="13"/>
      <c r="G306" s="3"/>
      <c r="J306" s="3"/>
      <c r="Q306" s="3" t="str">
        <f t="shared" si="62"/>
        <v/>
      </c>
      <c r="R306" s="3" t="str">
        <f t="shared" si="63"/>
        <v/>
      </c>
      <c r="S306" s="3" t="str">
        <f t="shared" si="64"/>
        <v/>
      </c>
      <c r="X306" s="13"/>
      <c r="Y306" s="13"/>
      <c r="Z306" s="91"/>
      <c r="AC306" s="2">
        <f t="shared" si="65"/>
        <v>20</v>
      </c>
      <c r="AD306" s="2" t="str">
        <f>IFERROR(INDEX(GLAPS정리!$D$2:$D$50,MATCH(I306,GLAPS정리!$A$2:$A$50,0)),IFERROR(INDEX(GLAPS정리!$D$2:$D$50,MATCH(I306,GLAPS정리!$B$2:$B$50,0)),""))</f>
        <v/>
      </c>
      <c r="AF306" s="2" t="str">
        <f t="shared" si="66"/>
        <v>KR10</v>
      </c>
      <c r="AI306" s="2" t="e">
        <f>VLOOKUP(F306,GLAPS정리!$G$3:$J$114,2,0)</f>
        <v>#N/A</v>
      </c>
      <c r="AJ306" s="2" t="e">
        <f>IF(Z306="울산정일","KRONS",IF(Z306="울산신항","KRUSN",IF(OR(Z306="선광종합물류(인천여객)",Z306="인천여객(인천여객)"),"KRINF",IF(OR(Z306="선광인천보세(인천신)",Z306="한진인천(인천신)",Z306="선광인천신항(인천신)",Z306="인천더로지스(인천신)"),"KRINN",IF(OR(Z306="인천진아(인천항)",Z306="인천E1(인천항)",Z306="인천SM경인터미널(인천항)",Z306="인천항(인천항)",Z306="인천우련(인천항)",Z306="인천항8부두(인천항)"),"KRINC",VLOOKUP(K306,GLAPS정리!$BB$2:$BC$33,2,0))))))</f>
        <v>#N/A</v>
      </c>
      <c r="AL306" s="2">
        <f t="shared" si="67"/>
        <v>5010001</v>
      </c>
      <c r="AN306" s="70" t="str">
        <f t="shared" si="68"/>
        <v>1900-01-00</v>
      </c>
      <c r="AO306" s="2" t="str">
        <f t="shared" si="69"/>
        <v/>
      </c>
      <c r="AP306" s="2" t="e">
        <f>VLOOKUP(C306,GLAPS정리!$AX$2:$AZ$17,3,0)</f>
        <v>#N/A</v>
      </c>
      <c r="AR306" s="2">
        <f t="shared" si="75"/>
        <v>0</v>
      </c>
      <c r="AX306" s="2" t="e">
        <f>VLOOKUP(L306,GLAPS정리!$V$3:$W$180,2,0)</f>
        <v>#N/A</v>
      </c>
      <c r="BM306" s="2" t="str">
        <f t="shared" si="70"/>
        <v xml:space="preserve"> </v>
      </c>
      <c r="BN306" s="2">
        <f t="shared" si="71"/>
        <v>1</v>
      </c>
      <c r="BR306" s="2" t="str">
        <f t="shared" si="72"/>
        <v/>
      </c>
      <c r="BS306" s="2" t="str">
        <f t="shared" si="73"/>
        <v/>
      </c>
      <c r="BV306" s="2" t="e">
        <f>VLOOKUP(O306,GLAPS정리!$BH$2:$BI$94,2,0)</f>
        <v>#N/A</v>
      </c>
      <c r="BW306" s="2" t="str">
        <f>IF(OR(Z306="동원",Z306="세방",Z306="한타"),"",IFERROR(INDEX(GLAPS정리!$BI$2:$BI$101,MATCH(Z306,GLAPS정리!$BH$2:$BH$101,0)),""))</f>
        <v/>
      </c>
      <c r="BX306" s="2" t="str">
        <f>IF(Z306="","",IFERROR(VLOOKUP(Z306,GLAPS정리!$AX$2:$AZ$17,3,0),""))</f>
        <v/>
      </c>
      <c r="BZ306" s="2" t="e">
        <f>VLOOKUP(H306,GLAPS정리!$L$3:$O$133,2,0)</f>
        <v>#N/A</v>
      </c>
      <c r="CA306" s="2" t="str">
        <f t="shared" si="74"/>
        <v/>
      </c>
      <c r="CL306" s="2" t="e">
        <f>VLOOKUP(AI306,GLAPS정리!$BT$3:$BV$26,3,0)</f>
        <v>#N/A</v>
      </c>
    </row>
    <row r="307" spans="2:90" ht="20.45" customHeight="1">
      <c r="B307" s="13"/>
      <c r="G307" s="3"/>
      <c r="J307" s="3"/>
      <c r="Q307" s="3" t="str">
        <f t="shared" si="62"/>
        <v/>
      </c>
      <c r="R307" s="3" t="str">
        <f t="shared" si="63"/>
        <v/>
      </c>
      <c r="S307" s="3" t="str">
        <f t="shared" si="64"/>
        <v/>
      </c>
      <c r="X307" s="13"/>
      <c r="Y307" s="13"/>
      <c r="Z307" s="91"/>
      <c r="AC307" s="2">
        <f t="shared" si="65"/>
        <v>20</v>
      </c>
      <c r="AD307" s="2" t="str">
        <f>IFERROR(INDEX(GLAPS정리!$D$2:$D$50,MATCH(I307,GLAPS정리!$A$2:$A$50,0)),IFERROR(INDEX(GLAPS정리!$D$2:$D$50,MATCH(I307,GLAPS정리!$B$2:$B$50,0)),""))</f>
        <v/>
      </c>
      <c r="AF307" s="2" t="str">
        <f t="shared" si="66"/>
        <v>KR10</v>
      </c>
      <c r="AI307" s="2" t="e">
        <f>VLOOKUP(F307,GLAPS정리!$G$3:$J$114,2,0)</f>
        <v>#N/A</v>
      </c>
      <c r="AJ307" s="2" t="e">
        <f>IF(Z307="울산정일","KRONS",IF(Z307="울산신항","KRUSN",IF(OR(Z307="선광종합물류(인천여객)",Z307="인천여객(인천여객)"),"KRINF",IF(OR(Z307="선광인천보세(인천신)",Z307="한진인천(인천신)",Z307="선광인천신항(인천신)",Z307="인천더로지스(인천신)"),"KRINN",IF(OR(Z307="인천진아(인천항)",Z307="인천E1(인천항)",Z307="인천SM경인터미널(인천항)",Z307="인천항(인천항)",Z307="인천우련(인천항)",Z307="인천항8부두(인천항)"),"KRINC",VLOOKUP(K307,GLAPS정리!$BB$2:$BC$33,2,0))))))</f>
        <v>#N/A</v>
      </c>
      <c r="AL307" s="2">
        <f t="shared" si="67"/>
        <v>5010001</v>
      </c>
      <c r="AN307" s="70" t="str">
        <f t="shared" si="68"/>
        <v>1900-01-00</v>
      </c>
      <c r="AO307" s="2" t="str">
        <f t="shared" si="69"/>
        <v/>
      </c>
      <c r="AP307" s="2" t="e">
        <f>VLOOKUP(C307,GLAPS정리!$AX$2:$AZ$17,3,0)</f>
        <v>#N/A</v>
      </c>
      <c r="AR307" s="2">
        <f t="shared" si="75"/>
        <v>0</v>
      </c>
      <c r="AX307" s="2" t="e">
        <f>VLOOKUP(L307,GLAPS정리!$V$3:$W$180,2,0)</f>
        <v>#N/A</v>
      </c>
      <c r="BM307" s="2" t="str">
        <f t="shared" si="70"/>
        <v xml:space="preserve"> </v>
      </c>
      <c r="BN307" s="2">
        <f t="shared" si="71"/>
        <v>1</v>
      </c>
      <c r="BR307" s="2" t="str">
        <f t="shared" si="72"/>
        <v/>
      </c>
      <c r="BS307" s="2" t="str">
        <f t="shared" si="73"/>
        <v/>
      </c>
      <c r="BV307" s="2" t="e">
        <f>VLOOKUP(O307,GLAPS정리!$BH$2:$BI$94,2,0)</f>
        <v>#N/A</v>
      </c>
      <c r="BW307" s="2" t="str">
        <f>IF(OR(Z307="동원",Z307="세방",Z307="한타"),"",IFERROR(INDEX(GLAPS정리!$BI$2:$BI$101,MATCH(Z307,GLAPS정리!$BH$2:$BH$101,0)),""))</f>
        <v/>
      </c>
      <c r="BX307" s="2" t="str">
        <f>IF(Z307="","",IFERROR(VLOOKUP(Z307,GLAPS정리!$AX$2:$AZ$17,3,0),""))</f>
        <v/>
      </c>
      <c r="BZ307" s="2" t="e">
        <f>VLOOKUP(H307,GLAPS정리!$L$3:$O$133,2,0)</f>
        <v>#N/A</v>
      </c>
      <c r="CA307" s="2" t="str">
        <f t="shared" si="74"/>
        <v/>
      </c>
      <c r="CL307" s="2" t="e">
        <f>VLOOKUP(AI307,GLAPS정리!$BT$3:$BV$26,3,0)</f>
        <v>#N/A</v>
      </c>
    </row>
    <row r="308" spans="2:90" ht="20.45" customHeight="1">
      <c r="B308" s="13"/>
      <c r="G308" s="3"/>
      <c r="J308" s="3"/>
      <c r="Q308" s="3" t="str">
        <f t="shared" si="62"/>
        <v/>
      </c>
      <c r="R308" s="3" t="str">
        <f t="shared" si="63"/>
        <v/>
      </c>
      <c r="S308" s="3" t="str">
        <f t="shared" si="64"/>
        <v/>
      </c>
      <c r="X308" s="13"/>
      <c r="Y308" s="13"/>
      <c r="Z308" s="91"/>
      <c r="AC308" s="2">
        <f t="shared" si="65"/>
        <v>20</v>
      </c>
      <c r="AD308" s="2" t="str">
        <f>IFERROR(INDEX(GLAPS정리!$D$2:$D$50,MATCH(I308,GLAPS정리!$A$2:$A$50,0)),IFERROR(INDEX(GLAPS정리!$D$2:$D$50,MATCH(I308,GLAPS정리!$B$2:$B$50,0)),""))</f>
        <v/>
      </c>
      <c r="AF308" s="2" t="str">
        <f t="shared" si="66"/>
        <v>KR10</v>
      </c>
      <c r="AI308" s="2" t="e">
        <f>VLOOKUP(F308,GLAPS정리!$G$3:$J$114,2,0)</f>
        <v>#N/A</v>
      </c>
      <c r="AJ308" s="2" t="e">
        <f>IF(Z308="울산정일","KRONS",IF(Z308="울산신항","KRUSN",IF(OR(Z308="선광종합물류(인천여객)",Z308="인천여객(인천여객)"),"KRINF",IF(OR(Z308="선광인천보세(인천신)",Z308="한진인천(인천신)",Z308="선광인천신항(인천신)",Z308="인천더로지스(인천신)"),"KRINN",IF(OR(Z308="인천진아(인천항)",Z308="인천E1(인천항)",Z308="인천SM경인터미널(인천항)",Z308="인천항(인천항)",Z308="인천우련(인천항)",Z308="인천항8부두(인천항)"),"KRINC",VLOOKUP(K308,GLAPS정리!$BB$2:$BC$33,2,0))))))</f>
        <v>#N/A</v>
      </c>
      <c r="AL308" s="2">
        <f t="shared" si="67"/>
        <v>5010001</v>
      </c>
      <c r="AN308" s="70" t="str">
        <f t="shared" si="68"/>
        <v>1900-01-00</v>
      </c>
      <c r="AO308" s="2" t="str">
        <f t="shared" si="69"/>
        <v/>
      </c>
      <c r="AP308" s="2" t="e">
        <f>VLOOKUP(C308,GLAPS정리!$AX$2:$AZ$17,3,0)</f>
        <v>#N/A</v>
      </c>
      <c r="AR308" s="2">
        <f t="shared" si="75"/>
        <v>0</v>
      </c>
      <c r="AX308" s="2" t="e">
        <f>VLOOKUP(L308,GLAPS정리!$V$3:$W$180,2,0)</f>
        <v>#N/A</v>
      </c>
      <c r="BM308" s="2" t="str">
        <f t="shared" si="70"/>
        <v xml:space="preserve"> </v>
      </c>
      <c r="BN308" s="2">
        <f t="shared" si="71"/>
        <v>1</v>
      </c>
      <c r="BR308" s="2" t="str">
        <f t="shared" si="72"/>
        <v/>
      </c>
      <c r="BS308" s="2" t="str">
        <f t="shared" si="73"/>
        <v/>
      </c>
      <c r="BV308" s="2" t="e">
        <f>VLOOKUP(O308,GLAPS정리!$BH$2:$BI$94,2,0)</f>
        <v>#N/A</v>
      </c>
      <c r="BW308" s="2" t="str">
        <f>IF(OR(Z308="동원",Z308="세방",Z308="한타"),"",IFERROR(INDEX(GLAPS정리!$BI$2:$BI$101,MATCH(Z308,GLAPS정리!$BH$2:$BH$101,0)),""))</f>
        <v/>
      </c>
      <c r="BX308" s="2" t="str">
        <f>IF(Z308="","",IFERROR(VLOOKUP(Z308,GLAPS정리!$AX$2:$AZ$17,3,0),""))</f>
        <v/>
      </c>
      <c r="BZ308" s="2" t="e">
        <f>VLOOKUP(H308,GLAPS정리!$L$3:$O$133,2,0)</f>
        <v>#N/A</v>
      </c>
      <c r="CA308" s="2" t="str">
        <f t="shared" si="74"/>
        <v/>
      </c>
      <c r="CL308" s="2" t="e">
        <f>VLOOKUP(AI308,GLAPS정리!$BT$3:$BV$26,3,0)</f>
        <v>#N/A</v>
      </c>
    </row>
    <row r="309" spans="2:90" ht="20.45" customHeight="1">
      <c r="B309" s="13"/>
      <c r="G309" s="3"/>
      <c r="J309" s="3"/>
      <c r="Q309" s="3" t="str">
        <f t="shared" si="62"/>
        <v/>
      </c>
      <c r="R309" s="3" t="str">
        <f t="shared" si="63"/>
        <v/>
      </c>
      <c r="S309" s="3" t="str">
        <f t="shared" si="64"/>
        <v/>
      </c>
      <c r="X309" s="13"/>
      <c r="Y309" s="13"/>
      <c r="Z309" s="91"/>
      <c r="AC309" s="2">
        <f t="shared" si="65"/>
        <v>20</v>
      </c>
      <c r="AD309" s="2" t="str">
        <f>IFERROR(INDEX(GLAPS정리!$D$2:$D$50,MATCH(I309,GLAPS정리!$A$2:$A$50,0)),IFERROR(INDEX(GLAPS정리!$D$2:$D$50,MATCH(I309,GLAPS정리!$B$2:$B$50,0)),""))</f>
        <v/>
      </c>
      <c r="AF309" s="2" t="str">
        <f t="shared" si="66"/>
        <v>KR10</v>
      </c>
      <c r="AI309" s="2" t="e">
        <f>VLOOKUP(F309,GLAPS정리!$G$3:$J$114,2,0)</f>
        <v>#N/A</v>
      </c>
      <c r="AJ309" s="2" t="e">
        <f>IF(Z309="울산정일","KRONS",IF(Z309="울산신항","KRUSN",IF(OR(Z309="선광종합물류(인천여객)",Z309="인천여객(인천여객)"),"KRINF",IF(OR(Z309="선광인천보세(인천신)",Z309="한진인천(인천신)",Z309="선광인천신항(인천신)",Z309="인천더로지스(인천신)"),"KRINN",IF(OR(Z309="인천진아(인천항)",Z309="인천E1(인천항)",Z309="인천SM경인터미널(인천항)",Z309="인천항(인천항)",Z309="인천우련(인천항)",Z309="인천항8부두(인천항)"),"KRINC",VLOOKUP(K309,GLAPS정리!$BB$2:$BC$33,2,0))))))</f>
        <v>#N/A</v>
      </c>
      <c r="AL309" s="2">
        <f t="shared" si="67"/>
        <v>5010001</v>
      </c>
      <c r="AN309" s="70" t="str">
        <f t="shared" si="68"/>
        <v>1900-01-00</v>
      </c>
      <c r="AO309" s="2" t="str">
        <f t="shared" si="69"/>
        <v/>
      </c>
      <c r="AP309" s="2" t="e">
        <f>VLOOKUP(C309,GLAPS정리!$AX$2:$AZ$17,3,0)</f>
        <v>#N/A</v>
      </c>
      <c r="AR309" s="2">
        <f t="shared" si="75"/>
        <v>0</v>
      </c>
      <c r="AX309" s="2" t="e">
        <f>VLOOKUP(L309,GLAPS정리!$V$3:$W$180,2,0)</f>
        <v>#N/A</v>
      </c>
      <c r="BM309" s="2" t="str">
        <f t="shared" si="70"/>
        <v xml:space="preserve"> </v>
      </c>
      <c r="BN309" s="2">
        <f t="shared" si="71"/>
        <v>1</v>
      </c>
      <c r="BR309" s="2" t="str">
        <f t="shared" si="72"/>
        <v/>
      </c>
      <c r="BS309" s="2" t="str">
        <f t="shared" si="73"/>
        <v/>
      </c>
      <c r="BV309" s="2" t="e">
        <f>VLOOKUP(O309,GLAPS정리!$BH$2:$BI$94,2,0)</f>
        <v>#N/A</v>
      </c>
      <c r="BW309" s="2" t="str">
        <f>IF(OR(Z309="동원",Z309="세방",Z309="한타"),"",IFERROR(INDEX(GLAPS정리!$BI$2:$BI$101,MATCH(Z309,GLAPS정리!$BH$2:$BH$101,0)),""))</f>
        <v/>
      </c>
      <c r="BX309" s="2" t="str">
        <f>IF(Z309="","",IFERROR(VLOOKUP(Z309,GLAPS정리!$AX$2:$AZ$17,3,0),""))</f>
        <v/>
      </c>
      <c r="BZ309" s="2" t="e">
        <f>VLOOKUP(H309,GLAPS정리!$L$3:$O$133,2,0)</f>
        <v>#N/A</v>
      </c>
      <c r="CA309" s="2" t="str">
        <f t="shared" si="74"/>
        <v/>
      </c>
      <c r="CL309" s="2" t="e">
        <f>VLOOKUP(AI309,GLAPS정리!$BT$3:$BV$26,3,0)</f>
        <v>#N/A</v>
      </c>
    </row>
    <row r="310" spans="2:90" ht="20.45" customHeight="1">
      <c r="B310" s="13"/>
      <c r="G310" s="3"/>
      <c r="J310" s="3"/>
      <c r="Q310" s="3" t="str">
        <f t="shared" si="62"/>
        <v/>
      </c>
      <c r="R310" s="3" t="str">
        <f t="shared" si="63"/>
        <v/>
      </c>
      <c r="S310" s="3" t="str">
        <f t="shared" si="64"/>
        <v/>
      </c>
      <c r="X310" s="13"/>
      <c r="Y310" s="13"/>
      <c r="Z310" s="91"/>
      <c r="AC310" s="2">
        <f t="shared" si="65"/>
        <v>20</v>
      </c>
      <c r="AD310" s="2" t="str">
        <f>IFERROR(INDEX(GLAPS정리!$D$2:$D$50,MATCH(I310,GLAPS정리!$A$2:$A$50,0)),IFERROR(INDEX(GLAPS정리!$D$2:$D$50,MATCH(I310,GLAPS정리!$B$2:$B$50,0)),""))</f>
        <v/>
      </c>
      <c r="AF310" s="2" t="str">
        <f t="shared" si="66"/>
        <v>KR10</v>
      </c>
      <c r="AI310" s="2" t="e">
        <f>VLOOKUP(F310,GLAPS정리!$G$3:$J$114,2,0)</f>
        <v>#N/A</v>
      </c>
      <c r="AJ310" s="2" t="e">
        <f>IF(Z310="울산정일","KRONS",IF(Z310="울산신항","KRUSN",IF(OR(Z310="선광종합물류(인천여객)",Z310="인천여객(인천여객)"),"KRINF",IF(OR(Z310="선광인천보세(인천신)",Z310="한진인천(인천신)",Z310="선광인천신항(인천신)",Z310="인천더로지스(인천신)"),"KRINN",IF(OR(Z310="인천진아(인천항)",Z310="인천E1(인천항)",Z310="인천SM경인터미널(인천항)",Z310="인천항(인천항)",Z310="인천우련(인천항)",Z310="인천항8부두(인천항)"),"KRINC",VLOOKUP(K310,GLAPS정리!$BB$2:$BC$33,2,0))))))</f>
        <v>#N/A</v>
      </c>
      <c r="AL310" s="2">
        <f t="shared" si="67"/>
        <v>5010001</v>
      </c>
      <c r="AN310" s="70" t="str">
        <f t="shared" si="68"/>
        <v>1900-01-00</v>
      </c>
      <c r="AO310" s="2" t="str">
        <f t="shared" si="69"/>
        <v/>
      </c>
      <c r="AP310" s="2" t="e">
        <f>VLOOKUP(C310,GLAPS정리!$AX$2:$AZ$17,3,0)</f>
        <v>#N/A</v>
      </c>
      <c r="AR310" s="2">
        <f t="shared" si="75"/>
        <v>0</v>
      </c>
      <c r="AX310" s="2" t="e">
        <f>VLOOKUP(L310,GLAPS정리!$V$3:$W$180,2,0)</f>
        <v>#N/A</v>
      </c>
      <c r="BM310" s="2" t="str">
        <f t="shared" si="70"/>
        <v xml:space="preserve"> </v>
      </c>
      <c r="BN310" s="2">
        <f t="shared" si="71"/>
        <v>1</v>
      </c>
      <c r="BR310" s="2" t="str">
        <f t="shared" si="72"/>
        <v/>
      </c>
      <c r="BS310" s="2" t="str">
        <f t="shared" si="73"/>
        <v/>
      </c>
      <c r="BV310" s="2" t="e">
        <f>VLOOKUP(O310,GLAPS정리!$BH$2:$BI$94,2,0)</f>
        <v>#N/A</v>
      </c>
      <c r="BW310" s="2" t="str">
        <f>IF(OR(Z310="동원",Z310="세방",Z310="한타"),"",IFERROR(INDEX(GLAPS정리!$BI$2:$BI$101,MATCH(Z310,GLAPS정리!$BH$2:$BH$101,0)),""))</f>
        <v/>
      </c>
      <c r="BX310" s="2" t="str">
        <f>IF(Z310="","",IFERROR(VLOOKUP(Z310,GLAPS정리!$AX$2:$AZ$17,3,0),""))</f>
        <v/>
      </c>
      <c r="BZ310" s="2" t="e">
        <f>VLOOKUP(H310,GLAPS정리!$L$3:$O$133,2,0)</f>
        <v>#N/A</v>
      </c>
      <c r="CA310" s="2" t="str">
        <f t="shared" si="74"/>
        <v/>
      </c>
      <c r="CL310" s="2" t="e">
        <f>VLOOKUP(AI310,GLAPS정리!$BT$3:$BV$26,3,0)</f>
        <v>#N/A</v>
      </c>
    </row>
    <row r="311" spans="2:90" ht="20.45" customHeight="1">
      <c r="B311" s="13"/>
      <c r="G311" s="3"/>
      <c r="J311" s="3"/>
      <c r="Q311" s="3" t="str">
        <f t="shared" si="62"/>
        <v/>
      </c>
      <c r="R311" s="3" t="str">
        <f t="shared" si="63"/>
        <v/>
      </c>
      <c r="S311" s="3" t="str">
        <f t="shared" si="64"/>
        <v/>
      </c>
      <c r="X311" s="13"/>
      <c r="Y311" s="13"/>
      <c r="Z311" s="91"/>
      <c r="AC311" s="2">
        <f t="shared" si="65"/>
        <v>20</v>
      </c>
      <c r="AD311" s="2" t="str">
        <f>IFERROR(INDEX(GLAPS정리!$D$2:$D$50,MATCH(I311,GLAPS정리!$A$2:$A$50,0)),IFERROR(INDEX(GLAPS정리!$D$2:$D$50,MATCH(I311,GLAPS정리!$B$2:$B$50,0)),""))</f>
        <v/>
      </c>
      <c r="AF311" s="2" t="str">
        <f t="shared" si="66"/>
        <v>KR10</v>
      </c>
      <c r="AI311" s="2" t="e">
        <f>VLOOKUP(F311,GLAPS정리!$G$3:$J$114,2,0)</f>
        <v>#N/A</v>
      </c>
      <c r="AJ311" s="2" t="e">
        <f>IF(Z311="울산정일","KRONS",IF(Z311="울산신항","KRUSN",IF(OR(Z311="선광종합물류(인천여객)",Z311="인천여객(인천여객)"),"KRINF",IF(OR(Z311="선광인천보세(인천신)",Z311="한진인천(인천신)",Z311="선광인천신항(인천신)",Z311="인천더로지스(인천신)"),"KRINN",IF(OR(Z311="인천진아(인천항)",Z311="인천E1(인천항)",Z311="인천SM경인터미널(인천항)",Z311="인천항(인천항)",Z311="인천우련(인천항)",Z311="인천항8부두(인천항)"),"KRINC",VLOOKUP(K311,GLAPS정리!$BB$2:$BC$33,2,0))))))</f>
        <v>#N/A</v>
      </c>
      <c r="AL311" s="2">
        <f t="shared" si="67"/>
        <v>5010001</v>
      </c>
      <c r="AN311" s="70" t="str">
        <f t="shared" si="68"/>
        <v>1900-01-00</v>
      </c>
      <c r="AO311" s="2" t="str">
        <f t="shared" si="69"/>
        <v/>
      </c>
      <c r="AP311" s="2" t="e">
        <f>VLOOKUP(C311,GLAPS정리!$AX$2:$AZ$17,3,0)</f>
        <v>#N/A</v>
      </c>
      <c r="AR311" s="2">
        <f t="shared" si="75"/>
        <v>0</v>
      </c>
      <c r="AX311" s="2" t="e">
        <f>VLOOKUP(L311,GLAPS정리!$V$3:$W$180,2,0)</f>
        <v>#N/A</v>
      </c>
      <c r="BM311" s="2" t="str">
        <f t="shared" si="70"/>
        <v xml:space="preserve"> </v>
      </c>
      <c r="BN311" s="2">
        <f t="shared" si="71"/>
        <v>1</v>
      </c>
      <c r="BR311" s="2" t="str">
        <f t="shared" si="72"/>
        <v/>
      </c>
      <c r="BS311" s="2" t="str">
        <f t="shared" si="73"/>
        <v/>
      </c>
      <c r="BV311" s="2" t="e">
        <f>VLOOKUP(O311,GLAPS정리!$BH$2:$BI$94,2,0)</f>
        <v>#N/A</v>
      </c>
      <c r="BW311" s="2" t="str">
        <f>IF(OR(Z311="동원",Z311="세방",Z311="한타"),"",IFERROR(INDEX(GLAPS정리!$BI$2:$BI$101,MATCH(Z311,GLAPS정리!$BH$2:$BH$101,0)),""))</f>
        <v/>
      </c>
      <c r="BX311" s="2" t="str">
        <f>IF(Z311="","",IFERROR(VLOOKUP(Z311,GLAPS정리!$AX$2:$AZ$17,3,0),""))</f>
        <v/>
      </c>
      <c r="BZ311" s="2" t="e">
        <f>VLOOKUP(H311,GLAPS정리!$L$3:$O$133,2,0)</f>
        <v>#N/A</v>
      </c>
      <c r="CA311" s="2" t="str">
        <f t="shared" si="74"/>
        <v/>
      </c>
      <c r="CL311" s="2" t="e">
        <f>VLOOKUP(AI311,GLAPS정리!$BT$3:$BV$26,3,0)</f>
        <v>#N/A</v>
      </c>
    </row>
    <row r="312" spans="2:90" ht="20.45" customHeight="1">
      <c r="B312" s="13"/>
      <c r="G312" s="3"/>
      <c r="J312" s="3"/>
      <c r="Q312" s="3" t="str">
        <f t="shared" si="62"/>
        <v/>
      </c>
      <c r="R312" s="3" t="str">
        <f t="shared" si="63"/>
        <v/>
      </c>
      <c r="S312" s="3" t="str">
        <f t="shared" si="64"/>
        <v/>
      </c>
      <c r="X312" s="13"/>
      <c r="Y312" s="13"/>
      <c r="Z312" s="91"/>
      <c r="AC312" s="2">
        <f t="shared" si="65"/>
        <v>20</v>
      </c>
      <c r="AD312" s="2" t="str">
        <f>IFERROR(INDEX(GLAPS정리!$D$2:$D$50,MATCH(I312,GLAPS정리!$A$2:$A$50,0)),IFERROR(INDEX(GLAPS정리!$D$2:$D$50,MATCH(I312,GLAPS정리!$B$2:$B$50,0)),""))</f>
        <v/>
      </c>
      <c r="AF312" s="2" t="str">
        <f t="shared" si="66"/>
        <v>KR10</v>
      </c>
      <c r="AI312" s="2" t="e">
        <f>VLOOKUP(F312,GLAPS정리!$G$3:$J$114,2,0)</f>
        <v>#N/A</v>
      </c>
      <c r="AJ312" s="2" t="e">
        <f>IF(Z312="울산정일","KRONS",IF(Z312="울산신항","KRUSN",IF(OR(Z312="선광종합물류(인천여객)",Z312="인천여객(인천여객)"),"KRINF",IF(OR(Z312="선광인천보세(인천신)",Z312="한진인천(인천신)",Z312="선광인천신항(인천신)",Z312="인천더로지스(인천신)"),"KRINN",IF(OR(Z312="인천진아(인천항)",Z312="인천E1(인천항)",Z312="인천SM경인터미널(인천항)",Z312="인천항(인천항)",Z312="인천우련(인천항)",Z312="인천항8부두(인천항)"),"KRINC",VLOOKUP(K312,GLAPS정리!$BB$2:$BC$33,2,0))))))</f>
        <v>#N/A</v>
      </c>
      <c r="AL312" s="2">
        <f t="shared" si="67"/>
        <v>5010001</v>
      </c>
      <c r="AN312" s="70" t="str">
        <f t="shared" si="68"/>
        <v>1900-01-00</v>
      </c>
      <c r="AO312" s="2" t="str">
        <f t="shared" si="69"/>
        <v/>
      </c>
      <c r="AP312" s="2" t="e">
        <f>VLOOKUP(C312,GLAPS정리!$AX$2:$AZ$17,3,0)</f>
        <v>#N/A</v>
      </c>
      <c r="AR312" s="2">
        <f t="shared" si="75"/>
        <v>0</v>
      </c>
      <c r="AX312" s="2" t="e">
        <f>VLOOKUP(L312,GLAPS정리!$V$3:$W$180,2,0)</f>
        <v>#N/A</v>
      </c>
      <c r="BM312" s="2" t="str">
        <f t="shared" si="70"/>
        <v xml:space="preserve"> </v>
      </c>
      <c r="BN312" s="2">
        <f t="shared" si="71"/>
        <v>1</v>
      </c>
      <c r="BR312" s="2" t="str">
        <f t="shared" si="72"/>
        <v/>
      </c>
      <c r="BS312" s="2" t="str">
        <f t="shared" si="73"/>
        <v/>
      </c>
      <c r="BV312" s="2" t="e">
        <f>VLOOKUP(O312,GLAPS정리!$BH$2:$BI$94,2,0)</f>
        <v>#N/A</v>
      </c>
      <c r="BW312" s="2" t="str">
        <f>IF(OR(Z312="동원",Z312="세방",Z312="한타"),"",IFERROR(INDEX(GLAPS정리!$BI$2:$BI$101,MATCH(Z312,GLAPS정리!$BH$2:$BH$101,0)),""))</f>
        <v/>
      </c>
      <c r="BX312" s="2" t="str">
        <f>IF(Z312="","",IFERROR(VLOOKUP(Z312,GLAPS정리!$AX$2:$AZ$17,3,0),""))</f>
        <v/>
      </c>
      <c r="BZ312" s="2" t="e">
        <f>VLOOKUP(H312,GLAPS정리!$L$3:$O$133,2,0)</f>
        <v>#N/A</v>
      </c>
      <c r="CA312" s="2" t="str">
        <f t="shared" si="74"/>
        <v/>
      </c>
      <c r="CL312" s="2" t="e">
        <f>VLOOKUP(AI312,GLAPS정리!$BT$3:$BV$26,3,0)</f>
        <v>#N/A</v>
      </c>
    </row>
    <row r="313" spans="2:90" ht="20.45" customHeight="1">
      <c r="B313" s="13"/>
      <c r="G313" s="3"/>
      <c r="J313" s="3"/>
      <c r="Q313" s="3" t="str">
        <f t="shared" si="62"/>
        <v/>
      </c>
      <c r="R313" s="3" t="str">
        <f t="shared" si="63"/>
        <v/>
      </c>
      <c r="S313" s="3" t="str">
        <f t="shared" si="64"/>
        <v/>
      </c>
      <c r="X313" s="13"/>
      <c r="Y313" s="13"/>
      <c r="Z313" s="91"/>
      <c r="AC313" s="2">
        <f t="shared" si="65"/>
        <v>20</v>
      </c>
      <c r="AD313" s="2" t="str">
        <f>IFERROR(INDEX(GLAPS정리!$D$2:$D$50,MATCH(I313,GLAPS정리!$A$2:$A$50,0)),IFERROR(INDEX(GLAPS정리!$D$2:$D$50,MATCH(I313,GLAPS정리!$B$2:$B$50,0)),""))</f>
        <v/>
      </c>
      <c r="AF313" s="2" t="str">
        <f t="shared" si="66"/>
        <v>KR10</v>
      </c>
      <c r="AI313" s="2" t="e">
        <f>VLOOKUP(F313,GLAPS정리!$G$3:$J$114,2,0)</f>
        <v>#N/A</v>
      </c>
      <c r="AJ313" s="2" t="e">
        <f>IF(Z313="울산정일","KRONS",IF(Z313="울산신항","KRUSN",IF(OR(Z313="선광종합물류(인천여객)",Z313="인천여객(인천여객)"),"KRINF",IF(OR(Z313="선광인천보세(인천신)",Z313="한진인천(인천신)",Z313="선광인천신항(인천신)",Z313="인천더로지스(인천신)"),"KRINN",IF(OR(Z313="인천진아(인천항)",Z313="인천E1(인천항)",Z313="인천SM경인터미널(인천항)",Z313="인천항(인천항)",Z313="인천우련(인천항)",Z313="인천항8부두(인천항)"),"KRINC",VLOOKUP(K313,GLAPS정리!$BB$2:$BC$33,2,0))))))</f>
        <v>#N/A</v>
      </c>
      <c r="AL313" s="2">
        <f t="shared" si="67"/>
        <v>5010001</v>
      </c>
      <c r="AN313" s="70" t="str">
        <f t="shared" si="68"/>
        <v>1900-01-00</v>
      </c>
      <c r="AO313" s="2" t="str">
        <f t="shared" si="69"/>
        <v/>
      </c>
      <c r="AP313" s="2" t="e">
        <f>VLOOKUP(C313,GLAPS정리!$AX$2:$AZ$17,3,0)</f>
        <v>#N/A</v>
      </c>
      <c r="AR313" s="2">
        <f t="shared" si="75"/>
        <v>0</v>
      </c>
      <c r="AX313" s="2" t="e">
        <f>VLOOKUP(L313,GLAPS정리!$V$3:$W$180,2,0)</f>
        <v>#N/A</v>
      </c>
      <c r="BM313" s="2" t="str">
        <f t="shared" si="70"/>
        <v xml:space="preserve"> </v>
      </c>
      <c r="BN313" s="2">
        <f t="shared" si="71"/>
        <v>1</v>
      </c>
      <c r="BR313" s="2" t="str">
        <f t="shared" si="72"/>
        <v/>
      </c>
      <c r="BS313" s="2" t="str">
        <f t="shared" si="73"/>
        <v/>
      </c>
      <c r="BV313" s="2" t="e">
        <f>VLOOKUP(O313,GLAPS정리!$BH$2:$BI$94,2,0)</f>
        <v>#N/A</v>
      </c>
      <c r="BW313" s="2" t="str">
        <f>IF(OR(Z313="동원",Z313="세방",Z313="한타"),"",IFERROR(INDEX(GLAPS정리!$BI$2:$BI$101,MATCH(Z313,GLAPS정리!$BH$2:$BH$101,0)),""))</f>
        <v/>
      </c>
      <c r="BX313" s="2" t="str">
        <f>IF(Z313="","",IFERROR(VLOOKUP(Z313,GLAPS정리!$AX$2:$AZ$17,3,0),""))</f>
        <v/>
      </c>
      <c r="BZ313" s="2" t="e">
        <f>VLOOKUP(H313,GLAPS정리!$L$3:$O$133,2,0)</f>
        <v>#N/A</v>
      </c>
      <c r="CA313" s="2" t="str">
        <f t="shared" si="74"/>
        <v/>
      </c>
      <c r="CL313" s="2" t="e">
        <f>VLOOKUP(AI313,GLAPS정리!$BT$3:$BV$26,3,0)</f>
        <v>#N/A</v>
      </c>
    </row>
    <row r="314" spans="2:90" ht="20.45" customHeight="1">
      <c r="B314" s="13"/>
      <c r="G314" s="3"/>
      <c r="J314" s="3"/>
      <c r="Q314" s="3" t="str">
        <f t="shared" si="62"/>
        <v/>
      </c>
      <c r="R314" s="3" t="str">
        <f t="shared" si="63"/>
        <v/>
      </c>
      <c r="S314" s="3" t="str">
        <f t="shared" si="64"/>
        <v/>
      </c>
      <c r="X314" s="13"/>
      <c r="Y314" s="13"/>
      <c r="Z314" s="91"/>
      <c r="AC314" s="2">
        <f t="shared" si="65"/>
        <v>20</v>
      </c>
      <c r="AD314" s="2" t="str">
        <f>IFERROR(INDEX(GLAPS정리!$D$2:$D$50,MATCH(I314,GLAPS정리!$A$2:$A$50,0)),IFERROR(INDEX(GLAPS정리!$D$2:$D$50,MATCH(I314,GLAPS정리!$B$2:$B$50,0)),""))</f>
        <v/>
      </c>
      <c r="AF314" s="2" t="str">
        <f t="shared" si="66"/>
        <v>KR10</v>
      </c>
      <c r="AI314" s="2" t="e">
        <f>VLOOKUP(F314,GLAPS정리!$G$3:$J$114,2,0)</f>
        <v>#N/A</v>
      </c>
      <c r="AJ314" s="2" t="e">
        <f>IF(Z314="울산정일","KRONS",IF(Z314="울산신항","KRUSN",IF(OR(Z314="선광종합물류(인천여객)",Z314="인천여객(인천여객)"),"KRINF",IF(OR(Z314="선광인천보세(인천신)",Z314="한진인천(인천신)",Z314="선광인천신항(인천신)",Z314="인천더로지스(인천신)"),"KRINN",IF(OR(Z314="인천진아(인천항)",Z314="인천E1(인천항)",Z314="인천SM경인터미널(인천항)",Z314="인천항(인천항)",Z314="인천우련(인천항)",Z314="인천항8부두(인천항)"),"KRINC",VLOOKUP(K314,GLAPS정리!$BB$2:$BC$33,2,0))))))</f>
        <v>#N/A</v>
      </c>
      <c r="AL314" s="2">
        <f t="shared" si="67"/>
        <v>5010001</v>
      </c>
      <c r="AN314" s="70" t="str">
        <f t="shared" si="68"/>
        <v>1900-01-00</v>
      </c>
      <c r="AO314" s="2" t="str">
        <f t="shared" si="69"/>
        <v/>
      </c>
      <c r="AP314" s="2" t="e">
        <f>VLOOKUP(C314,GLAPS정리!$AX$2:$AZ$17,3,0)</f>
        <v>#N/A</v>
      </c>
      <c r="AR314" s="2">
        <f t="shared" si="75"/>
        <v>0</v>
      </c>
      <c r="AX314" s="2" t="e">
        <f>VLOOKUP(L314,GLAPS정리!$V$3:$W$180,2,0)</f>
        <v>#N/A</v>
      </c>
      <c r="BM314" s="2" t="str">
        <f t="shared" si="70"/>
        <v xml:space="preserve"> </v>
      </c>
      <c r="BN314" s="2">
        <f t="shared" si="71"/>
        <v>1</v>
      </c>
      <c r="BR314" s="2" t="str">
        <f t="shared" si="72"/>
        <v/>
      </c>
      <c r="BS314" s="2" t="str">
        <f t="shared" si="73"/>
        <v/>
      </c>
      <c r="BV314" s="2" t="e">
        <f>VLOOKUP(O314,GLAPS정리!$BH$2:$BI$94,2,0)</f>
        <v>#N/A</v>
      </c>
      <c r="BW314" s="2" t="str">
        <f>IF(OR(Z314="동원",Z314="세방",Z314="한타"),"",IFERROR(INDEX(GLAPS정리!$BI$2:$BI$101,MATCH(Z314,GLAPS정리!$BH$2:$BH$101,0)),""))</f>
        <v/>
      </c>
      <c r="BX314" s="2" t="str">
        <f>IF(Z314="","",IFERROR(VLOOKUP(Z314,GLAPS정리!$AX$2:$AZ$17,3,0),""))</f>
        <v/>
      </c>
      <c r="BZ314" s="2" t="e">
        <f>VLOOKUP(H314,GLAPS정리!$L$3:$O$133,2,0)</f>
        <v>#N/A</v>
      </c>
      <c r="CA314" s="2" t="str">
        <f t="shared" si="74"/>
        <v/>
      </c>
      <c r="CL314" s="2" t="e">
        <f>VLOOKUP(AI314,GLAPS정리!$BT$3:$BV$26,3,0)</f>
        <v>#N/A</v>
      </c>
    </row>
    <row r="315" spans="2:90" ht="20.45" customHeight="1">
      <c r="B315" s="13"/>
      <c r="G315" s="3"/>
      <c r="J315" s="3"/>
      <c r="Q315" s="3" t="str">
        <f t="shared" si="62"/>
        <v/>
      </c>
      <c r="R315" s="3" t="str">
        <f t="shared" si="63"/>
        <v/>
      </c>
      <c r="S315" s="3" t="str">
        <f t="shared" si="64"/>
        <v/>
      </c>
      <c r="X315" s="13"/>
      <c r="Y315" s="13"/>
      <c r="Z315" s="91"/>
      <c r="AC315" s="2">
        <f t="shared" si="65"/>
        <v>20</v>
      </c>
      <c r="AD315" s="2" t="str">
        <f>IFERROR(INDEX(GLAPS정리!$D$2:$D$50,MATCH(I315,GLAPS정리!$A$2:$A$50,0)),IFERROR(INDEX(GLAPS정리!$D$2:$D$50,MATCH(I315,GLAPS정리!$B$2:$B$50,0)),""))</f>
        <v/>
      </c>
      <c r="AF315" s="2" t="str">
        <f t="shared" si="66"/>
        <v>KR10</v>
      </c>
      <c r="AI315" s="2" t="e">
        <f>VLOOKUP(F315,GLAPS정리!$G$3:$J$114,2,0)</f>
        <v>#N/A</v>
      </c>
      <c r="AJ315" s="2" t="e">
        <f>IF(Z315="울산정일","KRONS",IF(Z315="울산신항","KRUSN",IF(OR(Z315="선광종합물류(인천여객)",Z315="인천여객(인천여객)"),"KRINF",IF(OR(Z315="선광인천보세(인천신)",Z315="한진인천(인천신)",Z315="선광인천신항(인천신)",Z315="인천더로지스(인천신)"),"KRINN",IF(OR(Z315="인천진아(인천항)",Z315="인천E1(인천항)",Z315="인천SM경인터미널(인천항)",Z315="인천항(인천항)",Z315="인천우련(인천항)",Z315="인천항8부두(인천항)"),"KRINC",VLOOKUP(K315,GLAPS정리!$BB$2:$BC$33,2,0))))))</f>
        <v>#N/A</v>
      </c>
      <c r="AL315" s="2">
        <f t="shared" si="67"/>
        <v>5010001</v>
      </c>
      <c r="AN315" s="70" t="str">
        <f t="shared" si="68"/>
        <v>1900-01-00</v>
      </c>
      <c r="AO315" s="2" t="str">
        <f t="shared" si="69"/>
        <v/>
      </c>
      <c r="AP315" s="2" t="e">
        <f>VLOOKUP(C315,GLAPS정리!$AX$2:$AZ$17,3,0)</f>
        <v>#N/A</v>
      </c>
      <c r="AR315" s="2">
        <f t="shared" si="75"/>
        <v>0</v>
      </c>
      <c r="AX315" s="2" t="e">
        <f>VLOOKUP(L315,GLAPS정리!$V$3:$W$180,2,0)</f>
        <v>#N/A</v>
      </c>
      <c r="BM315" s="2" t="str">
        <f t="shared" si="70"/>
        <v xml:space="preserve"> </v>
      </c>
      <c r="BN315" s="2">
        <f t="shared" si="71"/>
        <v>1</v>
      </c>
      <c r="BR315" s="2" t="str">
        <f t="shared" si="72"/>
        <v/>
      </c>
      <c r="BS315" s="2" t="str">
        <f t="shared" si="73"/>
        <v/>
      </c>
      <c r="BV315" s="2" t="e">
        <f>VLOOKUP(O315,GLAPS정리!$BH$2:$BI$94,2,0)</f>
        <v>#N/A</v>
      </c>
      <c r="BW315" s="2" t="str">
        <f>IF(OR(Z315="동원",Z315="세방",Z315="한타"),"",IFERROR(INDEX(GLAPS정리!$BI$2:$BI$101,MATCH(Z315,GLAPS정리!$BH$2:$BH$101,0)),""))</f>
        <v/>
      </c>
      <c r="BX315" s="2" t="str">
        <f>IF(Z315="","",IFERROR(VLOOKUP(Z315,GLAPS정리!$AX$2:$AZ$17,3,0),""))</f>
        <v/>
      </c>
      <c r="BZ315" s="2" t="e">
        <f>VLOOKUP(H315,GLAPS정리!$L$3:$O$133,2,0)</f>
        <v>#N/A</v>
      </c>
      <c r="CA315" s="2" t="str">
        <f t="shared" si="74"/>
        <v/>
      </c>
      <c r="CL315" s="2" t="e">
        <f>VLOOKUP(AI315,GLAPS정리!$BT$3:$BV$26,3,0)</f>
        <v>#N/A</v>
      </c>
    </row>
    <row r="316" spans="2:90" ht="20.45" customHeight="1">
      <c r="B316" s="13"/>
      <c r="G316" s="3"/>
      <c r="J316" s="3"/>
      <c r="Q316" s="3" t="str">
        <f t="shared" ref="Q316:Q379" si="76">IF(J316="20 FeeT",1,"")</f>
        <v/>
      </c>
      <c r="R316" s="3" t="str">
        <f t="shared" ref="R316:R379" si="77">IF(J316="40 Feet N",1,"")</f>
        <v/>
      </c>
      <c r="S316" s="3" t="str">
        <f t="shared" ref="S316:S379" si="78">IF(J316="40 Feet H",1,"")</f>
        <v/>
      </c>
      <c r="X316" s="13"/>
      <c r="Y316" s="13"/>
      <c r="Z316" s="91"/>
      <c r="AC316" s="2">
        <f t="shared" ref="AC316:AC379" si="79">$AC$1</f>
        <v>20</v>
      </c>
      <c r="AD316" s="2" t="str">
        <f>IFERROR(INDEX(GLAPS정리!$D$2:$D$50,MATCH(I316,GLAPS정리!$A$2:$A$50,0)),IFERROR(INDEX(GLAPS정리!$D$2:$D$50,MATCH(I316,GLAPS정리!$B$2:$B$50,0)),""))</f>
        <v/>
      </c>
      <c r="AF316" s="2" t="str">
        <f t="shared" ref="AF316:AF379" si="80">$AF$1</f>
        <v>KR10</v>
      </c>
      <c r="AI316" s="2" t="e">
        <f>VLOOKUP(F316,GLAPS정리!$G$3:$J$114,2,0)</f>
        <v>#N/A</v>
      </c>
      <c r="AJ316" s="2" t="e">
        <f>IF(Z316="울산정일","KRONS",IF(Z316="울산신항","KRUSN",IF(OR(Z316="선광종합물류(인천여객)",Z316="인천여객(인천여객)"),"KRINF",IF(OR(Z316="선광인천보세(인천신)",Z316="한진인천(인천신)",Z316="선광인천신항(인천신)",Z316="인천더로지스(인천신)"),"KRINN",IF(OR(Z316="인천진아(인천항)",Z316="인천E1(인천항)",Z316="인천SM경인터미널(인천항)",Z316="인천항(인천항)",Z316="인천우련(인천항)",Z316="인천항8부두(인천항)"),"KRINC",VLOOKUP(K316,GLAPS정리!$BB$2:$BC$33,2,0))))))</f>
        <v>#N/A</v>
      </c>
      <c r="AL316" s="2">
        <f t="shared" ref="AL316:AL379" si="81">$AL$1</f>
        <v>5010001</v>
      </c>
      <c r="AN316" s="70" t="str">
        <f t="shared" ref="AN316:AN379" si="82">TEXT(B316,"YYYY-MM-DD")</f>
        <v>1900-01-00</v>
      </c>
      <c r="AO316" s="2" t="str">
        <f t="shared" ref="AO316:AO379" si="83">IF(E316="오전", "0800", IF(E316="오후", "1300", IF(E316="잔업", "1800", "")))</f>
        <v/>
      </c>
      <c r="AP316" s="2" t="e">
        <f>VLOOKUP(C316,GLAPS정리!$AX$2:$AZ$17,3,0)</f>
        <v>#N/A</v>
      </c>
      <c r="AR316" s="2">
        <f t="shared" si="75"/>
        <v>0</v>
      </c>
      <c r="AX316" s="2" t="e">
        <f>VLOOKUP(L316,GLAPS정리!$V$3:$W$180,2,0)</f>
        <v>#N/A</v>
      </c>
      <c r="BM316" s="2" t="str">
        <f t="shared" ref="BM316:BM379" si="84">IF(AND(Q316=1,OR(P316="",P316="위험물")), "2210", IF(AND(Q316=1,OR(P316="리퍼",P316="위험물리퍼")), "2230", IF(AND(S316=1,OR(P316="",P316="위험물")), "4510", IF(AND(S316=1,OR(P316="리퍼",P316="위험물리퍼")), "4530", IF(AND(R316=1,OR(P316="",P316="위험물")), "4210", IF(AND(R316=1,P316="리퍼"), "4230", " "))))))</f>
        <v xml:space="preserve"> </v>
      </c>
      <c r="BN316" s="2">
        <f t="shared" ref="BN316:BN379" si="85">$BN$1</f>
        <v>1</v>
      </c>
      <c r="BR316" s="2" t="str">
        <f t="shared" ref="BR316:BR379" si="86">IF(OR(P316="리퍼",P316="위험물리퍼"),"Y","")</f>
        <v/>
      </c>
      <c r="BS316" s="2" t="str">
        <f t="shared" ref="BS316:BS379" si="87">IF(OR(P316="위험물",P316="위험물리퍼"),"Y","")</f>
        <v/>
      </c>
      <c r="BV316" s="2" t="e">
        <f>VLOOKUP(O316,GLAPS정리!$BH$2:$BI$94,2,0)</f>
        <v>#N/A</v>
      </c>
      <c r="BW316" s="2" t="str">
        <f>IF(OR(Z316="동원",Z316="세방",Z316="한타"),"",IFERROR(INDEX(GLAPS정리!$BI$2:$BI$101,MATCH(Z316,GLAPS정리!$BH$2:$BH$101,0)),""))</f>
        <v/>
      </c>
      <c r="BX316" s="2" t="str">
        <f>IF(Z316="","",IFERROR(VLOOKUP(Z316,GLAPS정리!$AX$2:$AZ$17,3,0),""))</f>
        <v/>
      </c>
      <c r="BZ316" s="2" t="e">
        <f>VLOOKUP(H316,GLAPS정리!$L$3:$O$133,2,0)</f>
        <v>#N/A</v>
      </c>
      <c r="CA316" s="2" t="str">
        <f t="shared" ref="CA316:CA379" si="88">IF(V316="공휴일", 10, IF(V316="야간", 20, IF(V316="위험물", 30, IF(V316="중량", 40, ""))))</f>
        <v/>
      </c>
      <c r="CL316" s="2" t="e">
        <f>VLOOKUP(AI316,GLAPS정리!$BT$3:$BV$26,3,0)</f>
        <v>#N/A</v>
      </c>
    </row>
    <row r="317" spans="2:90" ht="20.45" customHeight="1">
      <c r="B317" s="13"/>
      <c r="G317" s="3"/>
      <c r="J317" s="3"/>
      <c r="Q317" s="3" t="str">
        <f t="shared" si="76"/>
        <v/>
      </c>
      <c r="R317" s="3" t="str">
        <f t="shared" si="77"/>
        <v/>
      </c>
      <c r="S317" s="3" t="str">
        <f t="shared" si="78"/>
        <v/>
      </c>
      <c r="X317" s="13"/>
      <c r="Y317" s="13"/>
      <c r="Z317" s="91"/>
      <c r="AC317" s="2">
        <f t="shared" si="79"/>
        <v>20</v>
      </c>
      <c r="AD317" s="2" t="str">
        <f>IFERROR(INDEX(GLAPS정리!$D$2:$D$50,MATCH(I317,GLAPS정리!$A$2:$A$50,0)),IFERROR(INDEX(GLAPS정리!$D$2:$D$50,MATCH(I317,GLAPS정리!$B$2:$B$50,0)),""))</f>
        <v/>
      </c>
      <c r="AF317" s="2" t="str">
        <f t="shared" si="80"/>
        <v>KR10</v>
      </c>
      <c r="AI317" s="2" t="e">
        <f>VLOOKUP(F317,GLAPS정리!$G$3:$J$114,2,0)</f>
        <v>#N/A</v>
      </c>
      <c r="AJ317" s="2" t="e">
        <f>IF(Z317="울산정일","KRONS",IF(Z317="울산신항","KRUSN",IF(OR(Z317="선광종합물류(인천여객)",Z317="인천여객(인천여객)"),"KRINF",IF(OR(Z317="선광인천보세(인천신)",Z317="한진인천(인천신)",Z317="선광인천신항(인천신)",Z317="인천더로지스(인천신)"),"KRINN",IF(OR(Z317="인천진아(인천항)",Z317="인천E1(인천항)",Z317="인천SM경인터미널(인천항)",Z317="인천항(인천항)",Z317="인천우련(인천항)",Z317="인천항8부두(인천항)"),"KRINC",VLOOKUP(K317,GLAPS정리!$BB$2:$BC$33,2,0))))))</f>
        <v>#N/A</v>
      </c>
      <c r="AL317" s="2">
        <f t="shared" si="81"/>
        <v>5010001</v>
      </c>
      <c r="AN317" s="70" t="str">
        <f t="shared" si="82"/>
        <v>1900-01-00</v>
      </c>
      <c r="AO317" s="2" t="str">
        <f t="shared" si="83"/>
        <v/>
      </c>
      <c r="AP317" s="2" t="e">
        <f>VLOOKUP(C317,GLAPS정리!$AX$2:$AZ$17,3,0)</f>
        <v>#N/A</v>
      </c>
      <c r="AR317" s="2">
        <f t="shared" si="75"/>
        <v>0</v>
      </c>
      <c r="AX317" s="2" t="e">
        <f>VLOOKUP(L317,GLAPS정리!$V$3:$W$180,2,0)</f>
        <v>#N/A</v>
      </c>
      <c r="BM317" s="2" t="str">
        <f t="shared" si="84"/>
        <v xml:space="preserve"> </v>
      </c>
      <c r="BN317" s="2">
        <f t="shared" si="85"/>
        <v>1</v>
      </c>
      <c r="BR317" s="2" t="str">
        <f t="shared" si="86"/>
        <v/>
      </c>
      <c r="BS317" s="2" t="str">
        <f t="shared" si="87"/>
        <v/>
      </c>
      <c r="BV317" s="2" t="e">
        <f>VLOOKUP(O317,GLAPS정리!$BH$2:$BI$94,2,0)</f>
        <v>#N/A</v>
      </c>
      <c r="BW317" s="2" t="str">
        <f>IF(OR(Z317="동원",Z317="세방",Z317="한타"),"",IFERROR(INDEX(GLAPS정리!$BI$2:$BI$101,MATCH(Z317,GLAPS정리!$BH$2:$BH$101,0)),""))</f>
        <v/>
      </c>
      <c r="BX317" s="2" t="str">
        <f>IF(Z317="","",IFERROR(VLOOKUP(Z317,GLAPS정리!$AX$2:$AZ$17,3,0),""))</f>
        <v/>
      </c>
      <c r="BZ317" s="2" t="e">
        <f>VLOOKUP(H317,GLAPS정리!$L$3:$O$133,2,0)</f>
        <v>#N/A</v>
      </c>
      <c r="CA317" s="2" t="str">
        <f t="shared" si="88"/>
        <v/>
      </c>
      <c r="CL317" s="2" t="e">
        <f>VLOOKUP(AI317,GLAPS정리!$BT$3:$BV$26,3,0)</f>
        <v>#N/A</v>
      </c>
    </row>
    <row r="318" spans="2:90" ht="20.45" customHeight="1">
      <c r="B318" s="13"/>
      <c r="G318" s="3"/>
      <c r="J318" s="3"/>
      <c r="Q318" s="3" t="str">
        <f t="shared" si="76"/>
        <v/>
      </c>
      <c r="R318" s="3" t="str">
        <f t="shared" si="77"/>
        <v/>
      </c>
      <c r="S318" s="3" t="str">
        <f t="shared" si="78"/>
        <v/>
      </c>
      <c r="X318" s="13"/>
      <c r="Y318" s="13"/>
      <c r="Z318" s="91"/>
      <c r="AC318" s="2">
        <f t="shared" si="79"/>
        <v>20</v>
      </c>
      <c r="AD318" s="2" t="str">
        <f>IFERROR(INDEX(GLAPS정리!$D$2:$D$50,MATCH(I318,GLAPS정리!$A$2:$A$50,0)),IFERROR(INDEX(GLAPS정리!$D$2:$D$50,MATCH(I318,GLAPS정리!$B$2:$B$50,0)),""))</f>
        <v/>
      </c>
      <c r="AF318" s="2" t="str">
        <f t="shared" si="80"/>
        <v>KR10</v>
      </c>
      <c r="AI318" s="2" t="e">
        <f>VLOOKUP(F318,GLAPS정리!$G$3:$J$114,2,0)</f>
        <v>#N/A</v>
      </c>
      <c r="AJ318" s="2" t="e">
        <f>IF(Z318="울산정일","KRONS",IF(Z318="울산신항","KRUSN",IF(OR(Z318="선광종합물류(인천여객)",Z318="인천여객(인천여객)"),"KRINF",IF(OR(Z318="선광인천보세(인천신)",Z318="한진인천(인천신)",Z318="선광인천신항(인천신)",Z318="인천더로지스(인천신)"),"KRINN",IF(OR(Z318="인천진아(인천항)",Z318="인천E1(인천항)",Z318="인천SM경인터미널(인천항)",Z318="인천항(인천항)",Z318="인천우련(인천항)",Z318="인천항8부두(인천항)"),"KRINC",VLOOKUP(K318,GLAPS정리!$BB$2:$BC$33,2,0))))))</f>
        <v>#N/A</v>
      </c>
      <c r="AL318" s="2">
        <f t="shared" si="81"/>
        <v>5010001</v>
      </c>
      <c r="AN318" s="70" t="str">
        <f t="shared" si="82"/>
        <v>1900-01-00</v>
      </c>
      <c r="AO318" s="2" t="str">
        <f t="shared" si="83"/>
        <v/>
      </c>
      <c r="AP318" s="2" t="e">
        <f>VLOOKUP(C318,GLAPS정리!$AX$2:$AZ$17,3,0)</f>
        <v>#N/A</v>
      </c>
      <c r="AR318" s="2">
        <f t="shared" si="75"/>
        <v>0</v>
      </c>
      <c r="AX318" s="2" t="e">
        <f>VLOOKUP(L318,GLAPS정리!$V$3:$W$180,2,0)</f>
        <v>#N/A</v>
      </c>
      <c r="BM318" s="2" t="str">
        <f t="shared" si="84"/>
        <v xml:space="preserve"> </v>
      </c>
      <c r="BN318" s="2">
        <f t="shared" si="85"/>
        <v>1</v>
      </c>
      <c r="BR318" s="2" t="str">
        <f t="shared" si="86"/>
        <v/>
      </c>
      <c r="BS318" s="2" t="str">
        <f t="shared" si="87"/>
        <v/>
      </c>
      <c r="BV318" s="2" t="e">
        <f>VLOOKUP(O318,GLAPS정리!$BH$2:$BI$94,2,0)</f>
        <v>#N/A</v>
      </c>
      <c r="BW318" s="2" t="str">
        <f>IF(OR(Z318="동원",Z318="세방",Z318="한타"),"",IFERROR(INDEX(GLAPS정리!$BI$2:$BI$101,MATCH(Z318,GLAPS정리!$BH$2:$BH$101,0)),""))</f>
        <v/>
      </c>
      <c r="BX318" s="2" t="str">
        <f>IF(Z318="","",IFERROR(VLOOKUP(Z318,GLAPS정리!$AX$2:$AZ$17,3,0),""))</f>
        <v/>
      </c>
      <c r="BZ318" s="2" t="e">
        <f>VLOOKUP(H318,GLAPS정리!$L$3:$O$133,2,0)</f>
        <v>#N/A</v>
      </c>
      <c r="CA318" s="2" t="str">
        <f t="shared" si="88"/>
        <v/>
      </c>
      <c r="CL318" s="2" t="e">
        <f>VLOOKUP(AI318,GLAPS정리!$BT$3:$BV$26,3,0)</f>
        <v>#N/A</v>
      </c>
    </row>
    <row r="319" spans="2:90" ht="20.45" customHeight="1">
      <c r="B319" s="13"/>
      <c r="G319" s="3"/>
      <c r="J319" s="3"/>
      <c r="Q319" s="3" t="str">
        <f t="shared" si="76"/>
        <v/>
      </c>
      <c r="R319" s="3" t="str">
        <f t="shared" si="77"/>
        <v/>
      </c>
      <c r="S319" s="3" t="str">
        <f t="shared" si="78"/>
        <v/>
      </c>
      <c r="X319" s="13"/>
      <c r="Y319" s="13"/>
      <c r="Z319" s="91"/>
      <c r="AC319" s="2">
        <f t="shared" si="79"/>
        <v>20</v>
      </c>
      <c r="AD319" s="2" t="str">
        <f>IFERROR(INDEX(GLAPS정리!$D$2:$D$50,MATCH(I319,GLAPS정리!$A$2:$A$50,0)),IFERROR(INDEX(GLAPS정리!$D$2:$D$50,MATCH(I319,GLAPS정리!$B$2:$B$50,0)),""))</f>
        <v/>
      </c>
      <c r="AF319" s="2" t="str">
        <f t="shared" si="80"/>
        <v>KR10</v>
      </c>
      <c r="AI319" s="2" t="e">
        <f>VLOOKUP(F319,GLAPS정리!$G$3:$J$114,2,0)</f>
        <v>#N/A</v>
      </c>
      <c r="AJ319" s="2" t="e">
        <f>IF(Z319="울산정일","KRONS",IF(Z319="울산신항","KRUSN",IF(OR(Z319="선광종합물류(인천여객)",Z319="인천여객(인천여객)"),"KRINF",IF(OR(Z319="선광인천보세(인천신)",Z319="한진인천(인천신)",Z319="선광인천신항(인천신)",Z319="인천더로지스(인천신)"),"KRINN",IF(OR(Z319="인천진아(인천항)",Z319="인천E1(인천항)",Z319="인천SM경인터미널(인천항)",Z319="인천항(인천항)",Z319="인천우련(인천항)",Z319="인천항8부두(인천항)"),"KRINC",VLOOKUP(K319,GLAPS정리!$BB$2:$BC$33,2,0))))))</f>
        <v>#N/A</v>
      </c>
      <c r="AL319" s="2">
        <f t="shared" si="81"/>
        <v>5010001</v>
      </c>
      <c r="AN319" s="70" t="str">
        <f t="shared" si="82"/>
        <v>1900-01-00</v>
      </c>
      <c r="AO319" s="2" t="str">
        <f t="shared" si="83"/>
        <v/>
      </c>
      <c r="AP319" s="2" t="e">
        <f>VLOOKUP(C319,GLAPS정리!$AX$2:$AZ$17,3,0)</f>
        <v>#N/A</v>
      </c>
      <c r="AR319" s="2">
        <f t="shared" si="75"/>
        <v>0</v>
      </c>
      <c r="AX319" s="2" t="e">
        <f>VLOOKUP(L319,GLAPS정리!$V$3:$W$180,2,0)</f>
        <v>#N/A</v>
      </c>
      <c r="BM319" s="2" t="str">
        <f t="shared" si="84"/>
        <v xml:space="preserve"> </v>
      </c>
      <c r="BN319" s="2">
        <f t="shared" si="85"/>
        <v>1</v>
      </c>
      <c r="BR319" s="2" t="str">
        <f t="shared" si="86"/>
        <v/>
      </c>
      <c r="BS319" s="2" t="str">
        <f t="shared" si="87"/>
        <v/>
      </c>
      <c r="BV319" s="2" t="e">
        <f>VLOOKUP(O319,GLAPS정리!$BH$2:$BI$94,2,0)</f>
        <v>#N/A</v>
      </c>
      <c r="BW319" s="2" t="str">
        <f>IF(OR(Z319="동원",Z319="세방",Z319="한타"),"",IFERROR(INDEX(GLAPS정리!$BI$2:$BI$101,MATCH(Z319,GLAPS정리!$BH$2:$BH$101,0)),""))</f>
        <v/>
      </c>
      <c r="BX319" s="2" t="str">
        <f>IF(Z319="","",IFERROR(VLOOKUP(Z319,GLAPS정리!$AX$2:$AZ$17,3,0),""))</f>
        <v/>
      </c>
      <c r="BZ319" s="2" t="e">
        <f>VLOOKUP(H319,GLAPS정리!$L$3:$O$133,2,0)</f>
        <v>#N/A</v>
      </c>
      <c r="CA319" s="2" t="str">
        <f t="shared" si="88"/>
        <v/>
      </c>
      <c r="CL319" s="2" t="e">
        <f>VLOOKUP(AI319,GLAPS정리!$BT$3:$BV$26,3,0)</f>
        <v>#N/A</v>
      </c>
    </row>
    <row r="320" spans="2:90" ht="20.45" customHeight="1">
      <c r="B320" s="13"/>
      <c r="G320" s="3"/>
      <c r="J320" s="3"/>
      <c r="Q320" s="3" t="str">
        <f t="shared" si="76"/>
        <v/>
      </c>
      <c r="R320" s="3" t="str">
        <f t="shared" si="77"/>
        <v/>
      </c>
      <c r="S320" s="3" t="str">
        <f t="shared" si="78"/>
        <v/>
      </c>
      <c r="X320" s="13"/>
      <c r="Y320" s="13"/>
      <c r="Z320" s="91"/>
      <c r="AC320" s="2">
        <f t="shared" si="79"/>
        <v>20</v>
      </c>
      <c r="AD320" s="2" t="str">
        <f>IFERROR(INDEX(GLAPS정리!$D$2:$D$50,MATCH(I320,GLAPS정리!$A$2:$A$50,0)),IFERROR(INDEX(GLAPS정리!$D$2:$D$50,MATCH(I320,GLAPS정리!$B$2:$B$50,0)),""))</f>
        <v/>
      </c>
      <c r="AF320" s="2" t="str">
        <f t="shared" si="80"/>
        <v>KR10</v>
      </c>
      <c r="AI320" s="2" t="e">
        <f>VLOOKUP(F320,GLAPS정리!$G$3:$J$114,2,0)</f>
        <v>#N/A</v>
      </c>
      <c r="AJ320" s="2" t="e">
        <f>IF(Z320="울산정일","KRONS",IF(Z320="울산신항","KRUSN",IF(OR(Z320="선광종합물류(인천여객)",Z320="인천여객(인천여객)"),"KRINF",IF(OR(Z320="선광인천보세(인천신)",Z320="한진인천(인천신)",Z320="선광인천신항(인천신)",Z320="인천더로지스(인천신)"),"KRINN",IF(OR(Z320="인천진아(인천항)",Z320="인천E1(인천항)",Z320="인천SM경인터미널(인천항)",Z320="인천항(인천항)",Z320="인천우련(인천항)",Z320="인천항8부두(인천항)"),"KRINC",VLOOKUP(K320,GLAPS정리!$BB$2:$BC$33,2,0))))))</f>
        <v>#N/A</v>
      </c>
      <c r="AL320" s="2">
        <f t="shared" si="81"/>
        <v>5010001</v>
      </c>
      <c r="AN320" s="70" t="str">
        <f t="shared" si="82"/>
        <v>1900-01-00</v>
      </c>
      <c r="AO320" s="2" t="str">
        <f t="shared" si="83"/>
        <v/>
      </c>
      <c r="AP320" s="2" t="e">
        <f>VLOOKUP(C320,GLAPS정리!$AX$2:$AZ$17,3,0)</f>
        <v>#N/A</v>
      </c>
      <c r="AR320" s="2">
        <f t="shared" si="75"/>
        <v>0</v>
      </c>
      <c r="AX320" s="2" t="e">
        <f>VLOOKUP(L320,GLAPS정리!$V$3:$W$180,2,0)</f>
        <v>#N/A</v>
      </c>
      <c r="BM320" s="2" t="str">
        <f t="shared" si="84"/>
        <v xml:space="preserve"> </v>
      </c>
      <c r="BN320" s="2">
        <f t="shared" si="85"/>
        <v>1</v>
      </c>
      <c r="BR320" s="2" t="str">
        <f t="shared" si="86"/>
        <v/>
      </c>
      <c r="BS320" s="2" t="str">
        <f t="shared" si="87"/>
        <v/>
      </c>
      <c r="BV320" s="2" t="e">
        <f>VLOOKUP(O320,GLAPS정리!$BH$2:$BI$94,2,0)</f>
        <v>#N/A</v>
      </c>
      <c r="BW320" s="2" t="str">
        <f>IF(OR(Z320="동원",Z320="세방",Z320="한타"),"",IFERROR(INDEX(GLAPS정리!$BI$2:$BI$101,MATCH(Z320,GLAPS정리!$BH$2:$BH$101,0)),""))</f>
        <v/>
      </c>
      <c r="BX320" s="2" t="str">
        <f>IF(Z320="","",IFERROR(VLOOKUP(Z320,GLAPS정리!$AX$2:$AZ$17,3,0),""))</f>
        <v/>
      </c>
      <c r="BZ320" s="2" t="e">
        <f>VLOOKUP(H320,GLAPS정리!$L$3:$O$133,2,0)</f>
        <v>#N/A</v>
      </c>
      <c r="CA320" s="2" t="str">
        <f t="shared" si="88"/>
        <v/>
      </c>
      <c r="CL320" s="2" t="e">
        <f>VLOOKUP(AI320,GLAPS정리!$BT$3:$BV$26,3,0)</f>
        <v>#N/A</v>
      </c>
    </row>
    <row r="321" spans="2:90" ht="20.45" customHeight="1">
      <c r="B321" s="13"/>
      <c r="G321" s="3"/>
      <c r="J321" s="3"/>
      <c r="Q321" s="3" t="str">
        <f t="shared" si="76"/>
        <v/>
      </c>
      <c r="R321" s="3" t="str">
        <f t="shared" si="77"/>
        <v/>
      </c>
      <c r="S321" s="3" t="str">
        <f t="shared" si="78"/>
        <v/>
      </c>
      <c r="X321" s="13"/>
      <c r="Y321" s="13"/>
      <c r="Z321" s="91"/>
      <c r="AC321" s="2">
        <f t="shared" si="79"/>
        <v>20</v>
      </c>
      <c r="AD321" s="2" t="str">
        <f>IFERROR(INDEX(GLAPS정리!$D$2:$D$50,MATCH(I321,GLAPS정리!$A$2:$A$50,0)),IFERROR(INDEX(GLAPS정리!$D$2:$D$50,MATCH(I321,GLAPS정리!$B$2:$B$50,0)),""))</f>
        <v/>
      </c>
      <c r="AF321" s="2" t="str">
        <f t="shared" si="80"/>
        <v>KR10</v>
      </c>
      <c r="AI321" s="2" t="e">
        <f>VLOOKUP(F321,GLAPS정리!$G$3:$J$114,2,0)</f>
        <v>#N/A</v>
      </c>
      <c r="AJ321" s="2" t="e">
        <f>IF(Z321="울산정일","KRONS",IF(Z321="울산신항","KRUSN",IF(OR(Z321="선광종합물류(인천여객)",Z321="인천여객(인천여객)"),"KRINF",IF(OR(Z321="선광인천보세(인천신)",Z321="한진인천(인천신)",Z321="선광인천신항(인천신)",Z321="인천더로지스(인천신)"),"KRINN",IF(OR(Z321="인천진아(인천항)",Z321="인천E1(인천항)",Z321="인천SM경인터미널(인천항)",Z321="인천항(인천항)",Z321="인천우련(인천항)",Z321="인천항8부두(인천항)"),"KRINC",VLOOKUP(K321,GLAPS정리!$BB$2:$BC$33,2,0))))))</f>
        <v>#N/A</v>
      </c>
      <c r="AL321" s="2">
        <f t="shared" si="81"/>
        <v>5010001</v>
      </c>
      <c r="AN321" s="70" t="str">
        <f t="shared" si="82"/>
        <v>1900-01-00</v>
      </c>
      <c r="AO321" s="2" t="str">
        <f t="shared" si="83"/>
        <v/>
      </c>
      <c r="AP321" s="2" t="e">
        <f>VLOOKUP(C321,GLAPS정리!$AX$2:$AZ$17,3,0)</f>
        <v>#N/A</v>
      </c>
      <c r="AR321" s="2">
        <f t="shared" si="75"/>
        <v>0</v>
      </c>
      <c r="AX321" s="2" t="e">
        <f>VLOOKUP(L321,GLAPS정리!$V$3:$W$180,2,0)</f>
        <v>#N/A</v>
      </c>
      <c r="BM321" s="2" t="str">
        <f t="shared" si="84"/>
        <v xml:space="preserve"> </v>
      </c>
      <c r="BN321" s="2">
        <f t="shared" si="85"/>
        <v>1</v>
      </c>
      <c r="BR321" s="2" t="str">
        <f t="shared" si="86"/>
        <v/>
      </c>
      <c r="BS321" s="2" t="str">
        <f t="shared" si="87"/>
        <v/>
      </c>
      <c r="BV321" s="2" t="e">
        <f>VLOOKUP(O321,GLAPS정리!$BH$2:$BI$94,2,0)</f>
        <v>#N/A</v>
      </c>
      <c r="BW321" s="2" t="str">
        <f>IF(OR(Z321="동원",Z321="세방",Z321="한타"),"",IFERROR(INDEX(GLAPS정리!$BI$2:$BI$101,MATCH(Z321,GLAPS정리!$BH$2:$BH$101,0)),""))</f>
        <v/>
      </c>
      <c r="BX321" s="2" t="str">
        <f>IF(Z321="","",IFERROR(VLOOKUP(Z321,GLAPS정리!$AX$2:$AZ$17,3,0),""))</f>
        <v/>
      </c>
      <c r="BZ321" s="2" t="e">
        <f>VLOOKUP(H321,GLAPS정리!$L$3:$O$133,2,0)</f>
        <v>#N/A</v>
      </c>
      <c r="CA321" s="2" t="str">
        <f t="shared" si="88"/>
        <v/>
      </c>
      <c r="CL321" s="2" t="e">
        <f>VLOOKUP(AI321,GLAPS정리!$BT$3:$BV$26,3,0)</f>
        <v>#N/A</v>
      </c>
    </row>
    <row r="322" spans="2:90" ht="20.45" customHeight="1">
      <c r="B322" s="13"/>
      <c r="G322" s="3"/>
      <c r="J322" s="3"/>
      <c r="Q322" s="3" t="str">
        <f t="shared" si="76"/>
        <v/>
      </c>
      <c r="R322" s="3" t="str">
        <f t="shared" si="77"/>
        <v/>
      </c>
      <c r="S322" s="3" t="str">
        <f t="shared" si="78"/>
        <v/>
      </c>
      <c r="X322" s="13"/>
      <c r="Y322" s="13"/>
      <c r="Z322" s="91"/>
      <c r="AC322" s="2">
        <f t="shared" si="79"/>
        <v>20</v>
      </c>
      <c r="AD322" s="2" t="str">
        <f>IFERROR(INDEX(GLAPS정리!$D$2:$D$50,MATCH(I322,GLAPS정리!$A$2:$A$50,0)),IFERROR(INDEX(GLAPS정리!$D$2:$D$50,MATCH(I322,GLAPS정리!$B$2:$B$50,0)),""))</f>
        <v/>
      </c>
      <c r="AF322" s="2" t="str">
        <f t="shared" si="80"/>
        <v>KR10</v>
      </c>
      <c r="AI322" s="2" t="e">
        <f>VLOOKUP(F322,GLAPS정리!$G$3:$J$114,2,0)</f>
        <v>#N/A</v>
      </c>
      <c r="AJ322" s="2" t="e">
        <f>IF(Z322="울산정일","KRONS",IF(Z322="울산신항","KRUSN",IF(OR(Z322="선광종합물류(인천여객)",Z322="인천여객(인천여객)"),"KRINF",IF(OR(Z322="선광인천보세(인천신)",Z322="한진인천(인천신)",Z322="선광인천신항(인천신)",Z322="인천더로지스(인천신)"),"KRINN",IF(OR(Z322="인천진아(인천항)",Z322="인천E1(인천항)",Z322="인천SM경인터미널(인천항)",Z322="인천항(인천항)",Z322="인천우련(인천항)",Z322="인천항8부두(인천항)"),"KRINC",VLOOKUP(K322,GLAPS정리!$BB$2:$BC$33,2,0))))))</f>
        <v>#N/A</v>
      </c>
      <c r="AL322" s="2">
        <f t="shared" si="81"/>
        <v>5010001</v>
      </c>
      <c r="AN322" s="70" t="str">
        <f t="shared" si="82"/>
        <v>1900-01-00</v>
      </c>
      <c r="AO322" s="2" t="str">
        <f t="shared" si="83"/>
        <v/>
      </c>
      <c r="AP322" s="2" t="e">
        <f>VLOOKUP(C322,GLAPS정리!$AX$2:$AZ$17,3,0)</f>
        <v>#N/A</v>
      </c>
      <c r="AR322" s="2">
        <f t="shared" si="75"/>
        <v>0</v>
      </c>
      <c r="AX322" s="2" t="e">
        <f>VLOOKUP(L322,GLAPS정리!$V$3:$W$180,2,0)</f>
        <v>#N/A</v>
      </c>
      <c r="BM322" s="2" t="str">
        <f t="shared" si="84"/>
        <v xml:space="preserve"> </v>
      </c>
      <c r="BN322" s="2">
        <f t="shared" si="85"/>
        <v>1</v>
      </c>
      <c r="BR322" s="2" t="str">
        <f t="shared" si="86"/>
        <v/>
      </c>
      <c r="BS322" s="2" t="str">
        <f t="shared" si="87"/>
        <v/>
      </c>
      <c r="BV322" s="2" t="e">
        <f>VLOOKUP(O322,GLAPS정리!$BH$2:$BI$94,2,0)</f>
        <v>#N/A</v>
      </c>
      <c r="BW322" s="2" t="str">
        <f>IF(OR(Z322="동원",Z322="세방",Z322="한타"),"",IFERROR(INDEX(GLAPS정리!$BI$2:$BI$101,MATCH(Z322,GLAPS정리!$BH$2:$BH$101,0)),""))</f>
        <v/>
      </c>
      <c r="BX322" s="2" t="str">
        <f>IF(Z322="","",IFERROR(VLOOKUP(Z322,GLAPS정리!$AX$2:$AZ$17,3,0),""))</f>
        <v/>
      </c>
      <c r="BZ322" s="2" t="e">
        <f>VLOOKUP(H322,GLAPS정리!$L$3:$O$133,2,0)</f>
        <v>#N/A</v>
      </c>
      <c r="CA322" s="2" t="str">
        <f t="shared" si="88"/>
        <v/>
      </c>
      <c r="CL322" s="2" t="e">
        <f>VLOOKUP(AI322,GLAPS정리!$BT$3:$BV$26,3,0)</f>
        <v>#N/A</v>
      </c>
    </row>
    <row r="323" spans="2:90" ht="20.45" customHeight="1">
      <c r="B323" s="13"/>
      <c r="G323" s="3"/>
      <c r="J323" s="3"/>
      <c r="Q323" s="3" t="str">
        <f t="shared" si="76"/>
        <v/>
      </c>
      <c r="R323" s="3" t="str">
        <f t="shared" si="77"/>
        <v/>
      </c>
      <c r="S323" s="3" t="str">
        <f t="shared" si="78"/>
        <v/>
      </c>
      <c r="X323" s="13"/>
      <c r="Y323" s="13"/>
      <c r="Z323" s="91"/>
      <c r="AC323" s="2">
        <f t="shared" si="79"/>
        <v>20</v>
      </c>
      <c r="AD323" s="2" t="str">
        <f>IFERROR(INDEX(GLAPS정리!$D$2:$D$50,MATCH(I323,GLAPS정리!$A$2:$A$50,0)),IFERROR(INDEX(GLAPS정리!$D$2:$D$50,MATCH(I323,GLAPS정리!$B$2:$B$50,0)),""))</f>
        <v/>
      </c>
      <c r="AF323" s="2" t="str">
        <f t="shared" si="80"/>
        <v>KR10</v>
      </c>
      <c r="AI323" s="2" t="e">
        <f>VLOOKUP(F323,GLAPS정리!$G$3:$J$114,2,0)</f>
        <v>#N/A</v>
      </c>
      <c r="AJ323" s="2" t="e">
        <f>IF(Z323="울산정일","KRONS",IF(Z323="울산신항","KRUSN",IF(OR(Z323="선광종합물류(인천여객)",Z323="인천여객(인천여객)"),"KRINF",IF(OR(Z323="선광인천보세(인천신)",Z323="한진인천(인천신)",Z323="선광인천신항(인천신)",Z323="인천더로지스(인천신)"),"KRINN",IF(OR(Z323="인천진아(인천항)",Z323="인천E1(인천항)",Z323="인천SM경인터미널(인천항)",Z323="인천항(인천항)",Z323="인천우련(인천항)",Z323="인천항8부두(인천항)"),"KRINC",VLOOKUP(K323,GLAPS정리!$BB$2:$BC$33,2,0))))))</f>
        <v>#N/A</v>
      </c>
      <c r="AL323" s="2">
        <f t="shared" si="81"/>
        <v>5010001</v>
      </c>
      <c r="AN323" s="70" t="str">
        <f t="shared" si="82"/>
        <v>1900-01-00</v>
      </c>
      <c r="AO323" s="2" t="str">
        <f t="shared" si="83"/>
        <v/>
      </c>
      <c r="AP323" s="2" t="e">
        <f>VLOOKUP(C323,GLAPS정리!$AX$2:$AZ$17,3,0)</f>
        <v>#N/A</v>
      </c>
      <c r="AR323" s="2">
        <f t="shared" ref="AR323:AR386" si="89">X323</f>
        <v>0</v>
      </c>
      <c r="AX323" s="2" t="e">
        <f>VLOOKUP(L323,GLAPS정리!$V$3:$W$180,2,0)</f>
        <v>#N/A</v>
      </c>
      <c r="BM323" s="2" t="str">
        <f t="shared" si="84"/>
        <v xml:space="preserve"> </v>
      </c>
      <c r="BN323" s="2">
        <f t="shared" si="85"/>
        <v>1</v>
      </c>
      <c r="BR323" s="2" t="str">
        <f t="shared" si="86"/>
        <v/>
      </c>
      <c r="BS323" s="2" t="str">
        <f t="shared" si="87"/>
        <v/>
      </c>
      <c r="BV323" s="2" t="e">
        <f>VLOOKUP(O323,GLAPS정리!$BH$2:$BI$94,2,0)</f>
        <v>#N/A</v>
      </c>
      <c r="BW323" s="2" t="str">
        <f>IF(OR(Z323="동원",Z323="세방",Z323="한타"),"",IFERROR(INDEX(GLAPS정리!$BI$2:$BI$101,MATCH(Z323,GLAPS정리!$BH$2:$BH$101,0)),""))</f>
        <v/>
      </c>
      <c r="BX323" s="2" t="str">
        <f>IF(Z323="","",IFERROR(VLOOKUP(Z323,GLAPS정리!$AX$2:$AZ$17,3,0),""))</f>
        <v/>
      </c>
      <c r="BZ323" s="2" t="e">
        <f>VLOOKUP(H323,GLAPS정리!$L$3:$O$133,2,0)</f>
        <v>#N/A</v>
      </c>
      <c r="CA323" s="2" t="str">
        <f t="shared" si="88"/>
        <v/>
      </c>
      <c r="CL323" s="2" t="e">
        <f>VLOOKUP(AI323,GLAPS정리!$BT$3:$BV$26,3,0)</f>
        <v>#N/A</v>
      </c>
    </row>
    <row r="324" spans="2:90" ht="20.45" customHeight="1">
      <c r="B324" s="13"/>
      <c r="G324" s="3"/>
      <c r="J324" s="3"/>
      <c r="Q324" s="3" t="str">
        <f t="shared" si="76"/>
        <v/>
      </c>
      <c r="R324" s="3" t="str">
        <f t="shared" si="77"/>
        <v/>
      </c>
      <c r="S324" s="3" t="str">
        <f t="shared" si="78"/>
        <v/>
      </c>
      <c r="X324" s="13"/>
      <c r="Y324" s="13"/>
      <c r="Z324" s="91"/>
      <c r="AC324" s="2">
        <f t="shared" si="79"/>
        <v>20</v>
      </c>
      <c r="AD324" s="2" t="str">
        <f>IFERROR(INDEX(GLAPS정리!$D$2:$D$50,MATCH(I324,GLAPS정리!$A$2:$A$50,0)),IFERROR(INDEX(GLAPS정리!$D$2:$D$50,MATCH(I324,GLAPS정리!$B$2:$B$50,0)),""))</f>
        <v/>
      </c>
      <c r="AF324" s="2" t="str">
        <f t="shared" si="80"/>
        <v>KR10</v>
      </c>
      <c r="AI324" s="2" t="e">
        <f>VLOOKUP(F324,GLAPS정리!$G$3:$J$114,2,0)</f>
        <v>#N/A</v>
      </c>
      <c r="AJ324" s="2" t="e">
        <f>IF(Z324="울산정일","KRONS",IF(Z324="울산신항","KRUSN",IF(OR(Z324="선광종합물류(인천여객)",Z324="인천여객(인천여객)"),"KRINF",IF(OR(Z324="선광인천보세(인천신)",Z324="한진인천(인천신)",Z324="선광인천신항(인천신)",Z324="인천더로지스(인천신)"),"KRINN",IF(OR(Z324="인천진아(인천항)",Z324="인천E1(인천항)",Z324="인천SM경인터미널(인천항)",Z324="인천항(인천항)",Z324="인천우련(인천항)",Z324="인천항8부두(인천항)"),"KRINC",VLOOKUP(K324,GLAPS정리!$BB$2:$BC$33,2,0))))))</f>
        <v>#N/A</v>
      </c>
      <c r="AL324" s="2">
        <f t="shared" si="81"/>
        <v>5010001</v>
      </c>
      <c r="AN324" s="70" t="str">
        <f t="shared" si="82"/>
        <v>1900-01-00</v>
      </c>
      <c r="AO324" s="2" t="str">
        <f t="shared" si="83"/>
        <v/>
      </c>
      <c r="AP324" s="2" t="e">
        <f>VLOOKUP(C324,GLAPS정리!$AX$2:$AZ$17,3,0)</f>
        <v>#N/A</v>
      </c>
      <c r="AR324" s="2">
        <f t="shared" si="89"/>
        <v>0</v>
      </c>
      <c r="AX324" s="2" t="e">
        <f>VLOOKUP(L324,GLAPS정리!$V$3:$W$180,2,0)</f>
        <v>#N/A</v>
      </c>
      <c r="BM324" s="2" t="str">
        <f t="shared" si="84"/>
        <v xml:space="preserve"> </v>
      </c>
      <c r="BN324" s="2">
        <f t="shared" si="85"/>
        <v>1</v>
      </c>
      <c r="BR324" s="2" t="str">
        <f t="shared" si="86"/>
        <v/>
      </c>
      <c r="BS324" s="2" t="str">
        <f t="shared" si="87"/>
        <v/>
      </c>
      <c r="BV324" s="2" t="e">
        <f>VLOOKUP(O324,GLAPS정리!$BH$2:$BI$94,2,0)</f>
        <v>#N/A</v>
      </c>
      <c r="BW324" s="2" t="str">
        <f>IF(OR(Z324="동원",Z324="세방",Z324="한타"),"",IFERROR(INDEX(GLAPS정리!$BI$2:$BI$101,MATCH(Z324,GLAPS정리!$BH$2:$BH$101,0)),""))</f>
        <v/>
      </c>
      <c r="BX324" s="2" t="str">
        <f>IF(Z324="","",IFERROR(VLOOKUP(Z324,GLAPS정리!$AX$2:$AZ$17,3,0),""))</f>
        <v/>
      </c>
      <c r="BZ324" s="2" t="e">
        <f>VLOOKUP(H324,GLAPS정리!$L$3:$O$133,2,0)</f>
        <v>#N/A</v>
      </c>
      <c r="CA324" s="2" t="str">
        <f t="shared" si="88"/>
        <v/>
      </c>
      <c r="CL324" s="2" t="e">
        <f>VLOOKUP(AI324,GLAPS정리!$BT$3:$BV$26,3,0)</f>
        <v>#N/A</v>
      </c>
    </row>
    <row r="325" spans="2:90" ht="20.45" customHeight="1">
      <c r="B325" s="13"/>
      <c r="G325" s="3"/>
      <c r="J325" s="3"/>
      <c r="Q325" s="3" t="str">
        <f t="shared" si="76"/>
        <v/>
      </c>
      <c r="R325" s="3" t="str">
        <f t="shared" si="77"/>
        <v/>
      </c>
      <c r="S325" s="3" t="str">
        <f t="shared" si="78"/>
        <v/>
      </c>
      <c r="X325" s="13"/>
      <c r="Y325" s="13"/>
      <c r="Z325" s="91"/>
      <c r="AC325" s="2">
        <f t="shared" si="79"/>
        <v>20</v>
      </c>
      <c r="AD325" s="2" t="str">
        <f>IFERROR(INDEX(GLAPS정리!$D$2:$D$50,MATCH(I325,GLAPS정리!$A$2:$A$50,0)),IFERROR(INDEX(GLAPS정리!$D$2:$D$50,MATCH(I325,GLAPS정리!$B$2:$B$50,0)),""))</f>
        <v/>
      </c>
      <c r="AF325" s="2" t="str">
        <f t="shared" si="80"/>
        <v>KR10</v>
      </c>
      <c r="AI325" s="2" t="e">
        <f>VLOOKUP(F325,GLAPS정리!$G$3:$J$114,2,0)</f>
        <v>#N/A</v>
      </c>
      <c r="AJ325" s="2" t="e">
        <f>IF(Z325="울산정일","KRONS",IF(Z325="울산신항","KRUSN",IF(OR(Z325="선광종합물류(인천여객)",Z325="인천여객(인천여객)"),"KRINF",IF(OR(Z325="선광인천보세(인천신)",Z325="한진인천(인천신)",Z325="선광인천신항(인천신)",Z325="인천더로지스(인천신)"),"KRINN",IF(OR(Z325="인천진아(인천항)",Z325="인천E1(인천항)",Z325="인천SM경인터미널(인천항)",Z325="인천항(인천항)",Z325="인천우련(인천항)",Z325="인천항8부두(인천항)"),"KRINC",VLOOKUP(K325,GLAPS정리!$BB$2:$BC$33,2,0))))))</f>
        <v>#N/A</v>
      </c>
      <c r="AL325" s="2">
        <f t="shared" si="81"/>
        <v>5010001</v>
      </c>
      <c r="AN325" s="70" t="str">
        <f t="shared" si="82"/>
        <v>1900-01-00</v>
      </c>
      <c r="AO325" s="2" t="str">
        <f t="shared" si="83"/>
        <v/>
      </c>
      <c r="AP325" s="2" t="e">
        <f>VLOOKUP(C325,GLAPS정리!$AX$2:$AZ$17,3,0)</f>
        <v>#N/A</v>
      </c>
      <c r="AR325" s="2">
        <f t="shared" si="89"/>
        <v>0</v>
      </c>
      <c r="AX325" s="2" t="e">
        <f>VLOOKUP(L325,GLAPS정리!$V$3:$W$180,2,0)</f>
        <v>#N/A</v>
      </c>
      <c r="BM325" s="2" t="str">
        <f t="shared" si="84"/>
        <v xml:space="preserve"> </v>
      </c>
      <c r="BN325" s="2">
        <f t="shared" si="85"/>
        <v>1</v>
      </c>
      <c r="BR325" s="2" t="str">
        <f t="shared" si="86"/>
        <v/>
      </c>
      <c r="BS325" s="2" t="str">
        <f t="shared" si="87"/>
        <v/>
      </c>
      <c r="BV325" s="2" t="e">
        <f>VLOOKUP(O325,GLAPS정리!$BH$2:$BI$94,2,0)</f>
        <v>#N/A</v>
      </c>
      <c r="BW325" s="2" t="str">
        <f>IF(OR(Z325="동원",Z325="세방",Z325="한타"),"",IFERROR(INDEX(GLAPS정리!$BI$2:$BI$101,MATCH(Z325,GLAPS정리!$BH$2:$BH$101,0)),""))</f>
        <v/>
      </c>
      <c r="BX325" s="2" t="str">
        <f>IF(Z325="","",IFERROR(VLOOKUP(Z325,GLAPS정리!$AX$2:$AZ$17,3,0),""))</f>
        <v/>
      </c>
      <c r="BZ325" s="2" t="e">
        <f>VLOOKUP(H325,GLAPS정리!$L$3:$O$133,2,0)</f>
        <v>#N/A</v>
      </c>
      <c r="CA325" s="2" t="str">
        <f t="shared" si="88"/>
        <v/>
      </c>
      <c r="CL325" s="2" t="e">
        <f>VLOOKUP(AI325,GLAPS정리!$BT$3:$BV$26,3,0)</f>
        <v>#N/A</v>
      </c>
    </row>
    <row r="326" spans="2:90" ht="20.45" customHeight="1">
      <c r="B326" s="13"/>
      <c r="G326" s="3"/>
      <c r="J326" s="3"/>
      <c r="Q326" s="3" t="str">
        <f t="shared" si="76"/>
        <v/>
      </c>
      <c r="R326" s="3" t="str">
        <f t="shared" si="77"/>
        <v/>
      </c>
      <c r="S326" s="3" t="str">
        <f t="shared" si="78"/>
        <v/>
      </c>
      <c r="X326" s="13"/>
      <c r="Y326" s="13"/>
      <c r="Z326" s="91"/>
      <c r="AC326" s="2">
        <f t="shared" si="79"/>
        <v>20</v>
      </c>
      <c r="AD326" s="2" t="str">
        <f>IFERROR(INDEX(GLAPS정리!$D$2:$D$50,MATCH(I326,GLAPS정리!$A$2:$A$50,0)),IFERROR(INDEX(GLAPS정리!$D$2:$D$50,MATCH(I326,GLAPS정리!$B$2:$B$50,0)),""))</f>
        <v/>
      </c>
      <c r="AF326" s="2" t="str">
        <f t="shared" si="80"/>
        <v>KR10</v>
      </c>
      <c r="AI326" s="2" t="e">
        <f>VLOOKUP(F326,GLAPS정리!$G$3:$J$114,2,0)</f>
        <v>#N/A</v>
      </c>
      <c r="AJ326" s="2" t="e">
        <f>IF(Z326="울산정일","KRONS",IF(Z326="울산신항","KRUSN",IF(OR(Z326="선광종합물류(인천여객)",Z326="인천여객(인천여객)"),"KRINF",IF(OR(Z326="선광인천보세(인천신)",Z326="한진인천(인천신)",Z326="선광인천신항(인천신)",Z326="인천더로지스(인천신)"),"KRINN",IF(OR(Z326="인천진아(인천항)",Z326="인천E1(인천항)",Z326="인천SM경인터미널(인천항)",Z326="인천항(인천항)",Z326="인천우련(인천항)",Z326="인천항8부두(인천항)"),"KRINC",VLOOKUP(K326,GLAPS정리!$BB$2:$BC$33,2,0))))))</f>
        <v>#N/A</v>
      </c>
      <c r="AL326" s="2">
        <f t="shared" si="81"/>
        <v>5010001</v>
      </c>
      <c r="AN326" s="70" t="str">
        <f t="shared" si="82"/>
        <v>1900-01-00</v>
      </c>
      <c r="AO326" s="2" t="str">
        <f t="shared" si="83"/>
        <v/>
      </c>
      <c r="AP326" s="2" t="e">
        <f>VLOOKUP(C326,GLAPS정리!$AX$2:$AZ$17,3,0)</f>
        <v>#N/A</v>
      </c>
      <c r="AR326" s="2">
        <f t="shared" si="89"/>
        <v>0</v>
      </c>
      <c r="AX326" s="2" t="e">
        <f>VLOOKUP(L326,GLAPS정리!$V$3:$W$180,2,0)</f>
        <v>#N/A</v>
      </c>
      <c r="BM326" s="2" t="str">
        <f t="shared" si="84"/>
        <v xml:space="preserve"> </v>
      </c>
      <c r="BN326" s="2">
        <f t="shared" si="85"/>
        <v>1</v>
      </c>
      <c r="BR326" s="2" t="str">
        <f t="shared" si="86"/>
        <v/>
      </c>
      <c r="BS326" s="2" t="str">
        <f t="shared" si="87"/>
        <v/>
      </c>
      <c r="BV326" s="2" t="e">
        <f>VLOOKUP(O326,GLAPS정리!$BH$2:$BI$94,2,0)</f>
        <v>#N/A</v>
      </c>
      <c r="BW326" s="2" t="str">
        <f>IF(OR(Z326="동원",Z326="세방",Z326="한타"),"",IFERROR(INDEX(GLAPS정리!$BI$2:$BI$101,MATCH(Z326,GLAPS정리!$BH$2:$BH$101,0)),""))</f>
        <v/>
      </c>
      <c r="BX326" s="2" t="str">
        <f>IF(Z326="","",IFERROR(VLOOKUP(Z326,GLAPS정리!$AX$2:$AZ$17,3,0),""))</f>
        <v/>
      </c>
      <c r="BZ326" s="2" t="e">
        <f>VLOOKUP(H326,GLAPS정리!$L$3:$O$133,2,0)</f>
        <v>#N/A</v>
      </c>
      <c r="CA326" s="2" t="str">
        <f t="shared" si="88"/>
        <v/>
      </c>
      <c r="CL326" s="2" t="e">
        <f>VLOOKUP(AI326,GLAPS정리!$BT$3:$BV$26,3,0)</f>
        <v>#N/A</v>
      </c>
    </row>
    <row r="327" spans="2:90" ht="20.45" customHeight="1">
      <c r="B327" s="13"/>
      <c r="G327" s="3"/>
      <c r="J327" s="3"/>
      <c r="Q327" s="3" t="str">
        <f t="shared" si="76"/>
        <v/>
      </c>
      <c r="R327" s="3" t="str">
        <f t="shared" si="77"/>
        <v/>
      </c>
      <c r="S327" s="3" t="str">
        <f t="shared" si="78"/>
        <v/>
      </c>
      <c r="X327" s="13"/>
      <c r="Y327" s="13"/>
      <c r="Z327" s="91"/>
      <c r="AC327" s="2">
        <f t="shared" si="79"/>
        <v>20</v>
      </c>
      <c r="AD327" s="2" t="str">
        <f>IFERROR(INDEX(GLAPS정리!$D$2:$D$50,MATCH(I327,GLAPS정리!$A$2:$A$50,0)),IFERROR(INDEX(GLAPS정리!$D$2:$D$50,MATCH(I327,GLAPS정리!$B$2:$B$50,0)),""))</f>
        <v/>
      </c>
      <c r="AF327" s="2" t="str">
        <f t="shared" si="80"/>
        <v>KR10</v>
      </c>
      <c r="AI327" s="2" t="e">
        <f>VLOOKUP(F327,GLAPS정리!$G$3:$J$114,2,0)</f>
        <v>#N/A</v>
      </c>
      <c r="AJ327" s="2" t="e">
        <f>IF(Z327="울산정일","KRONS",IF(Z327="울산신항","KRUSN",IF(OR(Z327="선광종합물류(인천여객)",Z327="인천여객(인천여객)"),"KRINF",IF(OR(Z327="선광인천보세(인천신)",Z327="한진인천(인천신)",Z327="선광인천신항(인천신)",Z327="인천더로지스(인천신)"),"KRINN",IF(OR(Z327="인천진아(인천항)",Z327="인천E1(인천항)",Z327="인천SM경인터미널(인천항)",Z327="인천항(인천항)",Z327="인천우련(인천항)",Z327="인천항8부두(인천항)"),"KRINC",VLOOKUP(K327,GLAPS정리!$BB$2:$BC$33,2,0))))))</f>
        <v>#N/A</v>
      </c>
      <c r="AL327" s="2">
        <f t="shared" si="81"/>
        <v>5010001</v>
      </c>
      <c r="AN327" s="70" t="str">
        <f t="shared" si="82"/>
        <v>1900-01-00</v>
      </c>
      <c r="AO327" s="2" t="str">
        <f t="shared" si="83"/>
        <v/>
      </c>
      <c r="AP327" s="2" t="e">
        <f>VLOOKUP(C327,GLAPS정리!$AX$2:$AZ$17,3,0)</f>
        <v>#N/A</v>
      </c>
      <c r="AR327" s="2">
        <f t="shared" si="89"/>
        <v>0</v>
      </c>
      <c r="AX327" s="2" t="e">
        <f>VLOOKUP(L327,GLAPS정리!$V$3:$W$180,2,0)</f>
        <v>#N/A</v>
      </c>
      <c r="BM327" s="2" t="str">
        <f t="shared" si="84"/>
        <v xml:space="preserve"> </v>
      </c>
      <c r="BN327" s="2">
        <f t="shared" si="85"/>
        <v>1</v>
      </c>
      <c r="BR327" s="2" t="str">
        <f t="shared" si="86"/>
        <v/>
      </c>
      <c r="BS327" s="2" t="str">
        <f t="shared" si="87"/>
        <v/>
      </c>
      <c r="BV327" s="2" t="e">
        <f>VLOOKUP(O327,GLAPS정리!$BH$2:$BI$94,2,0)</f>
        <v>#N/A</v>
      </c>
      <c r="BW327" s="2" t="str">
        <f>IF(OR(Z327="동원",Z327="세방",Z327="한타"),"",IFERROR(INDEX(GLAPS정리!$BI$2:$BI$101,MATCH(Z327,GLAPS정리!$BH$2:$BH$101,0)),""))</f>
        <v/>
      </c>
      <c r="BX327" s="2" t="str">
        <f>IF(Z327="","",IFERROR(VLOOKUP(Z327,GLAPS정리!$AX$2:$AZ$17,3,0),""))</f>
        <v/>
      </c>
      <c r="BZ327" s="2" t="e">
        <f>VLOOKUP(H327,GLAPS정리!$L$3:$O$133,2,0)</f>
        <v>#N/A</v>
      </c>
      <c r="CA327" s="2" t="str">
        <f t="shared" si="88"/>
        <v/>
      </c>
      <c r="CL327" s="2" t="e">
        <f>VLOOKUP(AI327,GLAPS정리!$BT$3:$BV$26,3,0)</f>
        <v>#N/A</v>
      </c>
    </row>
    <row r="328" spans="2:90" ht="20.45" customHeight="1">
      <c r="B328" s="13"/>
      <c r="G328" s="3"/>
      <c r="J328" s="3"/>
      <c r="Q328" s="3" t="str">
        <f t="shared" si="76"/>
        <v/>
      </c>
      <c r="R328" s="3" t="str">
        <f t="shared" si="77"/>
        <v/>
      </c>
      <c r="S328" s="3" t="str">
        <f t="shared" si="78"/>
        <v/>
      </c>
      <c r="X328" s="13"/>
      <c r="Y328" s="13"/>
      <c r="Z328" s="91"/>
      <c r="AC328" s="2">
        <f t="shared" si="79"/>
        <v>20</v>
      </c>
      <c r="AD328" s="2" t="str">
        <f>IFERROR(INDEX(GLAPS정리!$D$2:$D$50,MATCH(I328,GLAPS정리!$A$2:$A$50,0)),IFERROR(INDEX(GLAPS정리!$D$2:$D$50,MATCH(I328,GLAPS정리!$B$2:$B$50,0)),""))</f>
        <v/>
      </c>
      <c r="AF328" s="2" t="str">
        <f t="shared" si="80"/>
        <v>KR10</v>
      </c>
      <c r="AI328" s="2" t="e">
        <f>VLOOKUP(F328,GLAPS정리!$G$3:$J$114,2,0)</f>
        <v>#N/A</v>
      </c>
      <c r="AJ328" s="2" t="e">
        <f>IF(Z328="울산정일","KRONS",IF(Z328="울산신항","KRUSN",IF(OR(Z328="선광종합물류(인천여객)",Z328="인천여객(인천여객)"),"KRINF",IF(OR(Z328="선광인천보세(인천신)",Z328="한진인천(인천신)",Z328="선광인천신항(인천신)",Z328="인천더로지스(인천신)"),"KRINN",IF(OR(Z328="인천진아(인천항)",Z328="인천E1(인천항)",Z328="인천SM경인터미널(인천항)",Z328="인천항(인천항)",Z328="인천우련(인천항)",Z328="인천항8부두(인천항)"),"KRINC",VLOOKUP(K328,GLAPS정리!$BB$2:$BC$33,2,0))))))</f>
        <v>#N/A</v>
      </c>
      <c r="AL328" s="2">
        <f t="shared" si="81"/>
        <v>5010001</v>
      </c>
      <c r="AN328" s="70" t="str">
        <f t="shared" si="82"/>
        <v>1900-01-00</v>
      </c>
      <c r="AO328" s="2" t="str">
        <f t="shared" si="83"/>
        <v/>
      </c>
      <c r="AP328" s="2" t="e">
        <f>VLOOKUP(C328,GLAPS정리!$AX$2:$AZ$17,3,0)</f>
        <v>#N/A</v>
      </c>
      <c r="AR328" s="2">
        <f t="shared" si="89"/>
        <v>0</v>
      </c>
      <c r="AX328" s="2" t="e">
        <f>VLOOKUP(L328,GLAPS정리!$V$3:$W$180,2,0)</f>
        <v>#N/A</v>
      </c>
      <c r="BM328" s="2" t="str">
        <f t="shared" si="84"/>
        <v xml:space="preserve"> </v>
      </c>
      <c r="BN328" s="2">
        <f t="shared" si="85"/>
        <v>1</v>
      </c>
      <c r="BR328" s="2" t="str">
        <f t="shared" si="86"/>
        <v/>
      </c>
      <c r="BS328" s="2" t="str">
        <f t="shared" si="87"/>
        <v/>
      </c>
      <c r="BV328" s="2" t="e">
        <f>VLOOKUP(O328,GLAPS정리!$BH$2:$BI$94,2,0)</f>
        <v>#N/A</v>
      </c>
      <c r="BW328" s="2" t="str">
        <f>IF(OR(Z328="동원",Z328="세방",Z328="한타"),"",IFERROR(INDEX(GLAPS정리!$BI$2:$BI$101,MATCH(Z328,GLAPS정리!$BH$2:$BH$101,0)),""))</f>
        <v/>
      </c>
      <c r="BX328" s="2" t="str">
        <f>IF(Z328="","",IFERROR(VLOOKUP(Z328,GLAPS정리!$AX$2:$AZ$17,3,0),""))</f>
        <v/>
      </c>
      <c r="BZ328" s="2" t="e">
        <f>VLOOKUP(H328,GLAPS정리!$L$3:$O$133,2,0)</f>
        <v>#N/A</v>
      </c>
      <c r="CA328" s="2" t="str">
        <f t="shared" si="88"/>
        <v/>
      </c>
      <c r="CL328" s="2" t="e">
        <f>VLOOKUP(AI328,GLAPS정리!$BT$3:$BV$26,3,0)</f>
        <v>#N/A</v>
      </c>
    </row>
    <row r="329" spans="2:90" ht="20.45" customHeight="1">
      <c r="B329" s="13"/>
      <c r="G329" s="3"/>
      <c r="J329" s="3"/>
      <c r="Q329" s="3" t="str">
        <f t="shared" si="76"/>
        <v/>
      </c>
      <c r="R329" s="3" t="str">
        <f t="shared" si="77"/>
        <v/>
      </c>
      <c r="S329" s="3" t="str">
        <f t="shared" si="78"/>
        <v/>
      </c>
      <c r="X329" s="13"/>
      <c r="Y329" s="13"/>
      <c r="Z329" s="91"/>
      <c r="AC329" s="2">
        <f t="shared" si="79"/>
        <v>20</v>
      </c>
      <c r="AD329" s="2" t="str">
        <f>IFERROR(INDEX(GLAPS정리!$D$2:$D$50,MATCH(I329,GLAPS정리!$A$2:$A$50,0)),IFERROR(INDEX(GLAPS정리!$D$2:$D$50,MATCH(I329,GLAPS정리!$B$2:$B$50,0)),""))</f>
        <v/>
      </c>
      <c r="AF329" s="2" t="str">
        <f t="shared" si="80"/>
        <v>KR10</v>
      </c>
      <c r="AI329" s="2" t="e">
        <f>VLOOKUP(F329,GLAPS정리!$G$3:$J$114,2,0)</f>
        <v>#N/A</v>
      </c>
      <c r="AJ329" s="2" t="e">
        <f>IF(Z329="울산정일","KRONS",IF(Z329="울산신항","KRUSN",IF(OR(Z329="선광종합물류(인천여객)",Z329="인천여객(인천여객)"),"KRINF",IF(OR(Z329="선광인천보세(인천신)",Z329="한진인천(인천신)",Z329="선광인천신항(인천신)",Z329="인천더로지스(인천신)"),"KRINN",IF(OR(Z329="인천진아(인천항)",Z329="인천E1(인천항)",Z329="인천SM경인터미널(인천항)",Z329="인천항(인천항)",Z329="인천우련(인천항)",Z329="인천항8부두(인천항)"),"KRINC",VLOOKUP(K329,GLAPS정리!$BB$2:$BC$33,2,0))))))</f>
        <v>#N/A</v>
      </c>
      <c r="AL329" s="2">
        <f t="shared" si="81"/>
        <v>5010001</v>
      </c>
      <c r="AN329" s="70" t="str">
        <f t="shared" si="82"/>
        <v>1900-01-00</v>
      </c>
      <c r="AO329" s="2" t="str">
        <f t="shared" si="83"/>
        <v/>
      </c>
      <c r="AP329" s="2" t="e">
        <f>VLOOKUP(C329,GLAPS정리!$AX$2:$AZ$17,3,0)</f>
        <v>#N/A</v>
      </c>
      <c r="AR329" s="2">
        <f t="shared" si="89"/>
        <v>0</v>
      </c>
      <c r="AX329" s="2" t="e">
        <f>VLOOKUP(L329,GLAPS정리!$V$3:$W$180,2,0)</f>
        <v>#N/A</v>
      </c>
      <c r="BM329" s="2" t="str">
        <f t="shared" si="84"/>
        <v xml:space="preserve"> </v>
      </c>
      <c r="BN329" s="2">
        <f t="shared" si="85"/>
        <v>1</v>
      </c>
      <c r="BR329" s="2" t="str">
        <f t="shared" si="86"/>
        <v/>
      </c>
      <c r="BS329" s="2" t="str">
        <f t="shared" si="87"/>
        <v/>
      </c>
      <c r="BV329" s="2" t="e">
        <f>VLOOKUP(O329,GLAPS정리!$BH$2:$BI$94,2,0)</f>
        <v>#N/A</v>
      </c>
      <c r="BW329" s="2" t="str">
        <f>IF(OR(Z329="동원",Z329="세방",Z329="한타"),"",IFERROR(INDEX(GLAPS정리!$BI$2:$BI$101,MATCH(Z329,GLAPS정리!$BH$2:$BH$101,0)),""))</f>
        <v/>
      </c>
      <c r="BX329" s="2" t="str">
        <f>IF(Z329="","",IFERROR(VLOOKUP(Z329,GLAPS정리!$AX$2:$AZ$17,3,0),""))</f>
        <v/>
      </c>
      <c r="BZ329" s="2" t="e">
        <f>VLOOKUP(H329,GLAPS정리!$L$3:$O$133,2,0)</f>
        <v>#N/A</v>
      </c>
      <c r="CA329" s="2" t="str">
        <f t="shared" si="88"/>
        <v/>
      </c>
      <c r="CL329" s="2" t="e">
        <f>VLOOKUP(AI329,GLAPS정리!$BT$3:$BV$26,3,0)</f>
        <v>#N/A</v>
      </c>
    </row>
    <row r="330" spans="2:90" ht="20.45" customHeight="1">
      <c r="B330" s="13"/>
      <c r="G330" s="3"/>
      <c r="J330" s="3"/>
      <c r="Q330" s="3" t="str">
        <f t="shared" si="76"/>
        <v/>
      </c>
      <c r="R330" s="3" t="str">
        <f t="shared" si="77"/>
        <v/>
      </c>
      <c r="S330" s="3" t="str">
        <f t="shared" si="78"/>
        <v/>
      </c>
      <c r="X330" s="13"/>
      <c r="Y330" s="13"/>
      <c r="Z330" s="91"/>
      <c r="AC330" s="2">
        <f t="shared" si="79"/>
        <v>20</v>
      </c>
      <c r="AD330" s="2" t="str">
        <f>IFERROR(INDEX(GLAPS정리!$D$2:$D$50,MATCH(I330,GLAPS정리!$A$2:$A$50,0)),IFERROR(INDEX(GLAPS정리!$D$2:$D$50,MATCH(I330,GLAPS정리!$B$2:$B$50,0)),""))</f>
        <v/>
      </c>
      <c r="AF330" s="2" t="str">
        <f t="shared" si="80"/>
        <v>KR10</v>
      </c>
      <c r="AI330" s="2" t="e">
        <f>VLOOKUP(F330,GLAPS정리!$G$3:$J$114,2,0)</f>
        <v>#N/A</v>
      </c>
      <c r="AJ330" s="2" t="e">
        <f>IF(Z330="울산정일","KRONS",IF(Z330="울산신항","KRUSN",IF(OR(Z330="선광종합물류(인천여객)",Z330="인천여객(인천여객)"),"KRINF",IF(OR(Z330="선광인천보세(인천신)",Z330="한진인천(인천신)",Z330="선광인천신항(인천신)",Z330="인천더로지스(인천신)"),"KRINN",IF(OR(Z330="인천진아(인천항)",Z330="인천E1(인천항)",Z330="인천SM경인터미널(인천항)",Z330="인천항(인천항)",Z330="인천우련(인천항)",Z330="인천항8부두(인천항)"),"KRINC",VLOOKUP(K330,GLAPS정리!$BB$2:$BC$33,2,0))))))</f>
        <v>#N/A</v>
      </c>
      <c r="AL330" s="2">
        <f t="shared" si="81"/>
        <v>5010001</v>
      </c>
      <c r="AN330" s="70" t="str">
        <f t="shared" si="82"/>
        <v>1900-01-00</v>
      </c>
      <c r="AO330" s="2" t="str">
        <f t="shared" si="83"/>
        <v/>
      </c>
      <c r="AP330" s="2" t="e">
        <f>VLOOKUP(C330,GLAPS정리!$AX$2:$AZ$17,3,0)</f>
        <v>#N/A</v>
      </c>
      <c r="AR330" s="2">
        <f t="shared" si="89"/>
        <v>0</v>
      </c>
      <c r="AX330" s="2" t="e">
        <f>VLOOKUP(L330,GLAPS정리!$V$3:$W$180,2,0)</f>
        <v>#N/A</v>
      </c>
      <c r="BM330" s="2" t="str">
        <f t="shared" si="84"/>
        <v xml:space="preserve"> </v>
      </c>
      <c r="BN330" s="2">
        <f t="shared" si="85"/>
        <v>1</v>
      </c>
      <c r="BR330" s="2" t="str">
        <f t="shared" si="86"/>
        <v/>
      </c>
      <c r="BS330" s="2" t="str">
        <f t="shared" si="87"/>
        <v/>
      </c>
      <c r="BV330" s="2" t="e">
        <f>VLOOKUP(O330,GLAPS정리!$BH$2:$BI$94,2,0)</f>
        <v>#N/A</v>
      </c>
      <c r="BW330" s="2" t="str">
        <f>IF(OR(Z330="동원",Z330="세방",Z330="한타"),"",IFERROR(INDEX(GLAPS정리!$BI$2:$BI$101,MATCH(Z330,GLAPS정리!$BH$2:$BH$101,0)),""))</f>
        <v/>
      </c>
      <c r="BX330" s="2" t="str">
        <f>IF(Z330="","",IFERROR(VLOOKUP(Z330,GLAPS정리!$AX$2:$AZ$17,3,0),""))</f>
        <v/>
      </c>
      <c r="BZ330" s="2" t="e">
        <f>VLOOKUP(H330,GLAPS정리!$L$3:$O$133,2,0)</f>
        <v>#N/A</v>
      </c>
      <c r="CA330" s="2" t="str">
        <f t="shared" si="88"/>
        <v/>
      </c>
      <c r="CL330" s="2" t="e">
        <f>VLOOKUP(AI330,GLAPS정리!$BT$3:$BV$26,3,0)</f>
        <v>#N/A</v>
      </c>
    </row>
    <row r="331" spans="2:90" ht="20.45" customHeight="1">
      <c r="B331" s="13"/>
      <c r="G331" s="3"/>
      <c r="J331" s="3"/>
      <c r="Q331" s="3" t="str">
        <f t="shared" si="76"/>
        <v/>
      </c>
      <c r="R331" s="3" t="str">
        <f t="shared" si="77"/>
        <v/>
      </c>
      <c r="S331" s="3" t="str">
        <f t="shared" si="78"/>
        <v/>
      </c>
      <c r="X331" s="13"/>
      <c r="Y331" s="13"/>
      <c r="Z331" s="91"/>
      <c r="AC331" s="2">
        <f t="shared" si="79"/>
        <v>20</v>
      </c>
      <c r="AD331" s="2" t="str">
        <f>IFERROR(INDEX(GLAPS정리!$D$2:$D$50,MATCH(I331,GLAPS정리!$A$2:$A$50,0)),IFERROR(INDEX(GLAPS정리!$D$2:$D$50,MATCH(I331,GLAPS정리!$B$2:$B$50,0)),""))</f>
        <v/>
      </c>
      <c r="AF331" s="2" t="str">
        <f t="shared" si="80"/>
        <v>KR10</v>
      </c>
      <c r="AI331" s="2" t="e">
        <f>VLOOKUP(F331,GLAPS정리!$G$3:$J$114,2,0)</f>
        <v>#N/A</v>
      </c>
      <c r="AJ331" s="2" t="e">
        <f>IF(Z331="울산정일","KRONS",IF(Z331="울산신항","KRUSN",IF(OR(Z331="선광종합물류(인천여객)",Z331="인천여객(인천여객)"),"KRINF",IF(OR(Z331="선광인천보세(인천신)",Z331="한진인천(인천신)",Z331="선광인천신항(인천신)",Z331="인천더로지스(인천신)"),"KRINN",IF(OR(Z331="인천진아(인천항)",Z331="인천E1(인천항)",Z331="인천SM경인터미널(인천항)",Z331="인천항(인천항)",Z331="인천우련(인천항)",Z331="인천항8부두(인천항)"),"KRINC",VLOOKUP(K331,GLAPS정리!$BB$2:$BC$33,2,0))))))</f>
        <v>#N/A</v>
      </c>
      <c r="AL331" s="2">
        <f t="shared" si="81"/>
        <v>5010001</v>
      </c>
      <c r="AN331" s="70" t="str">
        <f t="shared" si="82"/>
        <v>1900-01-00</v>
      </c>
      <c r="AO331" s="2" t="str">
        <f t="shared" si="83"/>
        <v/>
      </c>
      <c r="AP331" s="2" t="e">
        <f>VLOOKUP(C331,GLAPS정리!$AX$2:$AZ$17,3,0)</f>
        <v>#N/A</v>
      </c>
      <c r="AR331" s="2">
        <f t="shared" si="89"/>
        <v>0</v>
      </c>
      <c r="AX331" s="2" t="e">
        <f>VLOOKUP(L331,GLAPS정리!$V$3:$W$180,2,0)</f>
        <v>#N/A</v>
      </c>
      <c r="BM331" s="2" t="str">
        <f t="shared" si="84"/>
        <v xml:space="preserve"> </v>
      </c>
      <c r="BN331" s="2">
        <f t="shared" si="85"/>
        <v>1</v>
      </c>
      <c r="BR331" s="2" t="str">
        <f t="shared" si="86"/>
        <v/>
      </c>
      <c r="BS331" s="2" t="str">
        <f t="shared" si="87"/>
        <v/>
      </c>
      <c r="BV331" s="2" t="e">
        <f>VLOOKUP(O331,GLAPS정리!$BH$2:$BI$94,2,0)</f>
        <v>#N/A</v>
      </c>
      <c r="BW331" s="2" t="str">
        <f>IF(OR(Z331="동원",Z331="세방",Z331="한타"),"",IFERROR(INDEX(GLAPS정리!$BI$2:$BI$101,MATCH(Z331,GLAPS정리!$BH$2:$BH$101,0)),""))</f>
        <v/>
      </c>
      <c r="BX331" s="2" t="str">
        <f>IF(Z331="","",IFERROR(VLOOKUP(Z331,GLAPS정리!$AX$2:$AZ$17,3,0),""))</f>
        <v/>
      </c>
      <c r="BZ331" s="2" t="e">
        <f>VLOOKUP(H331,GLAPS정리!$L$3:$O$133,2,0)</f>
        <v>#N/A</v>
      </c>
      <c r="CA331" s="2" t="str">
        <f t="shared" si="88"/>
        <v/>
      </c>
      <c r="CL331" s="2" t="e">
        <f>VLOOKUP(AI331,GLAPS정리!$BT$3:$BV$26,3,0)</f>
        <v>#N/A</v>
      </c>
    </row>
    <row r="332" spans="2:90" ht="20.45" customHeight="1">
      <c r="B332" s="13"/>
      <c r="G332" s="3"/>
      <c r="J332" s="3"/>
      <c r="Q332" s="3" t="str">
        <f t="shared" si="76"/>
        <v/>
      </c>
      <c r="R332" s="3" t="str">
        <f t="shared" si="77"/>
        <v/>
      </c>
      <c r="S332" s="3" t="str">
        <f t="shared" si="78"/>
        <v/>
      </c>
      <c r="X332" s="13"/>
      <c r="Y332" s="13"/>
      <c r="Z332" s="91"/>
      <c r="AC332" s="2">
        <f t="shared" si="79"/>
        <v>20</v>
      </c>
      <c r="AD332" s="2" t="str">
        <f>IFERROR(INDEX(GLAPS정리!$D$2:$D$50,MATCH(I332,GLAPS정리!$A$2:$A$50,0)),IFERROR(INDEX(GLAPS정리!$D$2:$D$50,MATCH(I332,GLAPS정리!$B$2:$B$50,0)),""))</f>
        <v/>
      </c>
      <c r="AF332" s="2" t="str">
        <f t="shared" si="80"/>
        <v>KR10</v>
      </c>
      <c r="AI332" s="2" t="e">
        <f>VLOOKUP(F332,GLAPS정리!$G$3:$J$114,2,0)</f>
        <v>#N/A</v>
      </c>
      <c r="AJ332" s="2" t="e">
        <f>IF(Z332="울산정일","KRONS",IF(Z332="울산신항","KRUSN",IF(OR(Z332="선광종합물류(인천여객)",Z332="인천여객(인천여객)"),"KRINF",IF(OR(Z332="선광인천보세(인천신)",Z332="한진인천(인천신)",Z332="선광인천신항(인천신)",Z332="인천더로지스(인천신)"),"KRINN",IF(OR(Z332="인천진아(인천항)",Z332="인천E1(인천항)",Z332="인천SM경인터미널(인천항)",Z332="인천항(인천항)",Z332="인천우련(인천항)",Z332="인천항8부두(인천항)"),"KRINC",VLOOKUP(K332,GLAPS정리!$BB$2:$BC$33,2,0))))))</f>
        <v>#N/A</v>
      </c>
      <c r="AL332" s="2">
        <f t="shared" si="81"/>
        <v>5010001</v>
      </c>
      <c r="AN332" s="70" t="str">
        <f t="shared" si="82"/>
        <v>1900-01-00</v>
      </c>
      <c r="AO332" s="2" t="str">
        <f t="shared" si="83"/>
        <v/>
      </c>
      <c r="AP332" s="2" t="e">
        <f>VLOOKUP(C332,GLAPS정리!$AX$2:$AZ$17,3,0)</f>
        <v>#N/A</v>
      </c>
      <c r="AR332" s="2">
        <f t="shared" si="89"/>
        <v>0</v>
      </c>
      <c r="AX332" s="2" t="e">
        <f>VLOOKUP(L332,GLAPS정리!$V$3:$W$180,2,0)</f>
        <v>#N/A</v>
      </c>
      <c r="BM332" s="2" t="str">
        <f t="shared" si="84"/>
        <v xml:space="preserve"> </v>
      </c>
      <c r="BN332" s="2">
        <f t="shared" si="85"/>
        <v>1</v>
      </c>
      <c r="BR332" s="2" t="str">
        <f t="shared" si="86"/>
        <v/>
      </c>
      <c r="BS332" s="2" t="str">
        <f t="shared" si="87"/>
        <v/>
      </c>
      <c r="BV332" s="2" t="e">
        <f>VLOOKUP(O332,GLAPS정리!$BH$2:$BI$94,2,0)</f>
        <v>#N/A</v>
      </c>
      <c r="BW332" s="2" t="str">
        <f>IF(OR(Z332="동원",Z332="세방",Z332="한타"),"",IFERROR(INDEX(GLAPS정리!$BI$2:$BI$101,MATCH(Z332,GLAPS정리!$BH$2:$BH$101,0)),""))</f>
        <v/>
      </c>
      <c r="BX332" s="2" t="str">
        <f>IF(Z332="","",IFERROR(VLOOKUP(Z332,GLAPS정리!$AX$2:$AZ$17,3,0),""))</f>
        <v/>
      </c>
      <c r="BZ332" s="2" t="e">
        <f>VLOOKUP(H332,GLAPS정리!$L$3:$O$133,2,0)</f>
        <v>#N/A</v>
      </c>
      <c r="CA332" s="2" t="str">
        <f t="shared" si="88"/>
        <v/>
      </c>
      <c r="CL332" s="2" t="e">
        <f>VLOOKUP(AI332,GLAPS정리!$BT$3:$BV$26,3,0)</f>
        <v>#N/A</v>
      </c>
    </row>
    <row r="333" spans="2:90" ht="20.45" customHeight="1">
      <c r="B333" s="13"/>
      <c r="G333" s="3"/>
      <c r="J333" s="3"/>
      <c r="Q333" s="3" t="str">
        <f t="shared" si="76"/>
        <v/>
      </c>
      <c r="R333" s="3" t="str">
        <f t="shared" si="77"/>
        <v/>
      </c>
      <c r="S333" s="3" t="str">
        <f t="shared" si="78"/>
        <v/>
      </c>
      <c r="X333" s="13"/>
      <c r="Y333" s="13"/>
      <c r="Z333" s="91"/>
      <c r="AC333" s="2">
        <f t="shared" si="79"/>
        <v>20</v>
      </c>
      <c r="AD333" s="2" t="str">
        <f>IFERROR(INDEX(GLAPS정리!$D$2:$D$50,MATCH(I333,GLAPS정리!$A$2:$A$50,0)),IFERROR(INDEX(GLAPS정리!$D$2:$D$50,MATCH(I333,GLAPS정리!$B$2:$B$50,0)),""))</f>
        <v/>
      </c>
      <c r="AF333" s="2" t="str">
        <f t="shared" si="80"/>
        <v>KR10</v>
      </c>
      <c r="AI333" s="2" t="e">
        <f>VLOOKUP(F333,GLAPS정리!$G$3:$J$114,2,0)</f>
        <v>#N/A</v>
      </c>
      <c r="AJ333" s="2" t="e">
        <f>IF(Z333="울산정일","KRONS",IF(Z333="울산신항","KRUSN",IF(OR(Z333="선광종합물류(인천여객)",Z333="인천여객(인천여객)"),"KRINF",IF(OR(Z333="선광인천보세(인천신)",Z333="한진인천(인천신)",Z333="선광인천신항(인천신)",Z333="인천더로지스(인천신)"),"KRINN",IF(OR(Z333="인천진아(인천항)",Z333="인천E1(인천항)",Z333="인천SM경인터미널(인천항)",Z333="인천항(인천항)",Z333="인천우련(인천항)",Z333="인천항8부두(인천항)"),"KRINC",VLOOKUP(K333,GLAPS정리!$BB$2:$BC$33,2,0))))))</f>
        <v>#N/A</v>
      </c>
      <c r="AL333" s="2">
        <f t="shared" si="81"/>
        <v>5010001</v>
      </c>
      <c r="AN333" s="70" t="str">
        <f t="shared" si="82"/>
        <v>1900-01-00</v>
      </c>
      <c r="AO333" s="2" t="str">
        <f t="shared" si="83"/>
        <v/>
      </c>
      <c r="AP333" s="2" t="e">
        <f>VLOOKUP(C333,GLAPS정리!$AX$2:$AZ$17,3,0)</f>
        <v>#N/A</v>
      </c>
      <c r="AR333" s="2">
        <f t="shared" si="89"/>
        <v>0</v>
      </c>
      <c r="AX333" s="2" t="e">
        <f>VLOOKUP(L333,GLAPS정리!$V$3:$W$180,2,0)</f>
        <v>#N/A</v>
      </c>
      <c r="BM333" s="2" t="str">
        <f t="shared" si="84"/>
        <v xml:space="preserve"> </v>
      </c>
      <c r="BN333" s="2">
        <f t="shared" si="85"/>
        <v>1</v>
      </c>
      <c r="BR333" s="2" t="str">
        <f t="shared" si="86"/>
        <v/>
      </c>
      <c r="BS333" s="2" t="str">
        <f t="shared" si="87"/>
        <v/>
      </c>
      <c r="BV333" s="2" t="e">
        <f>VLOOKUP(O333,GLAPS정리!$BH$2:$BI$94,2,0)</f>
        <v>#N/A</v>
      </c>
      <c r="BW333" s="2" t="str">
        <f>IF(OR(Z333="동원",Z333="세방",Z333="한타"),"",IFERROR(INDEX(GLAPS정리!$BI$2:$BI$101,MATCH(Z333,GLAPS정리!$BH$2:$BH$101,0)),""))</f>
        <v/>
      </c>
      <c r="BX333" s="2" t="str">
        <f>IF(Z333="","",IFERROR(VLOOKUP(Z333,GLAPS정리!$AX$2:$AZ$17,3,0),""))</f>
        <v/>
      </c>
      <c r="BZ333" s="2" t="e">
        <f>VLOOKUP(H333,GLAPS정리!$L$3:$O$133,2,0)</f>
        <v>#N/A</v>
      </c>
      <c r="CA333" s="2" t="str">
        <f t="shared" si="88"/>
        <v/>
      </c>
      <c r="CL333" s="2" t="e">
        <f>VLOOKUP(AI333,GLAPS정리!$BT$3:$BV$26,3,0)</f>
        <v>#N/A</v>
      </c>
    </row>
    <row r="334" spans="2:90" ht="20.45" customHeight="1">
      <c r="B334" s="13"/>
      <c r="G334" s="3"/>
      <c r="J334" s="3"/>
      <c r="Q334" s="3" t="str">
        <f t="shared" si="76"/>
        <v/>
      </c>
      <c r="R334" s="3" t="str">
        <f t="shared" si="77"/>
        <v/>
      </c>
      <c r="S334" s="3" t="str">
        <f t="shared" si="78"/>
        <v/>
      </c>
      <c r="X334" s="13"/>
      <c r="Y334" s="13"/>
      <c r="Z334" s="91"/>
      <c r="AC334" s="2">
        <f t="shared" si="79"/>
        <v>20</v>
      </c>
      <c r="AD334" s="2" t="str">
        <f>IFERROR(INDEX(GLAPS정리!$D$2:$D$50,MATCH(I334,GLAPS정리!$A$2:$A$50,0)),IFERROR(INDEX(GLAPS정리!$D$2:$D$50,MATCH(I334,GLAPS정리!$B$2:$B$50,0)),""))</f>
        <v/>
      </c>
      <c r="AF334" s="2" t="str">
        <f t="shared" si="80"/>
        <v>KR10</v>
      </c>
      <c r="AI334" s="2" t="e">
        <f>VLOOKUP(F334,GLAPS정리!$G$3:$J$114,2,0)</f>
        <v>#N/A</v>
      </c>
      <c r="AJ334" s="2" t="e">
        <f>IF(Z334="울산정일","KRONS",IF(Z334="울산신항","KRUSN",IF(OR(Z334="선광종합물류(인천여객)",Z334="인천여객(인천여객)"),"KRINF",IF(OR(Z334="선광인천보세(인천신)",Z334="한진인천(인천신)",Z334="선광인천신항(인천신)",Z334="인천더로지스(인천신)"),"KRINN",IF(OR(Z334="인천진아(인천항)",Z334="인천E1(인천항)",Z334="인천SM경인터미널(인천항)",Z334="인천항(인천항)",Z334="인천우련(인천항)",Z334="인천항8부두(인천항)"),"KRINC",VLOOKUP(K334,GLAPS정리!$BB$2:$BC$33,2,0))))))</f>
        <v>#N/A</v>
      </c>
      <c r="AL334" s="2">
        <f t="shared" si="81"/>
        <v>5010001</v>
      </c>
      <c r="AN334" s="70" t="str">
        <f t="shared" si="82"/>
        <v>1900-01-00</v>
      </c>
      <c r="AO334" s="2" t="str">
        <f t="shared" si="83"/>
        <v/>
      </c>
      <c r="AP334" s="2" t="e">
        <f>VLOOKUP(C334,GLAPS정리!$AX$2:$AZ$17,3,0)</f>
        <v>#N/A</v>
      </c>
      <c r="AR334" s="2">
        <f t="shared" si="89"/>
        <v>0</v>
      </c>
      <c r="AX334" s="2" t="e">
        <f>VLOOKUP(L334,GLAPS정리!$V$3:$W$180,2,0)</f>
        <v>#N/A</v>
      </c>
      <c r="BM334" s="2" t="str">
        <f t="shared" si="84"/>
        <v xml:space="preserve"> </v>
      </c>
      <c r="BN334" s="2">
        <f t="shared" si="85"/>
        <v>1</v>
      </c>
      <c r="BR334" s="2" t="str">
        <f t="shared" si="86"/>
        <v/>
      </c>
      <c r="BS334" s="2" t="str">
        <f t="shared" si="87"/>
        <v/>
      </c>
      <c r="BV334" s="2" t="e">
        <f>VLOOKUP(O334,GLAPS정리!$BH$2:$BI$94,2,0)</f>
        <v>#N/A</v>
      </c>
      <c r="BW334" s="2" t="str">
        <f>IF(OR(Z334="동원",Z334="세방",Z334="한타"),"",IFERROR(INDEX(GLAPS정리!$BI$2:$BI$101,MATCH(Z334,GLAPS정리!$BH$2:$BH$101,0)),""))</f>
        <v/>
      </c>
      <c r="BX334" s="2" t="str">
        <f>IF(Z334="","",IFERROR(VLOOKUP(Z334,GLAPS정리!$AX$2:$AZ$17,3,0),""))</f>
        <v/>
      </c>
      <c r="BZ334" s="2" t="e">
        <f>VLOOKUP(H334,GLAPS정리!$L$3:$O$133,2,0)</f>
        <v>#N/A</v>
      </c>
      <c r="CA334" s="2" t="str">
        <f t="shared" si="88"/>
        <v/>
      </c>
      <c r="CL334" s="2" t="e">
        <f>VLOOKUP(AI334,GLAPS정리!$BT$3:$BV$26,3,0)</f>
        <v>#N/A</v>
      </c>
    </row>
    <row r="335" spans="2:90" ht="20.45" customHeight="1">
      <c r="B335" s="13"/>
      <c r="G335" s="3"/>
      <c r="J335" s="3"/>
      <c r="Q335" s="3" t="str">
        <f t="shared" si="76"/>
        <v/>
      </c>
      <c r="R335" s="3" t="str">
        <f t="shared" si="77"/>
        <v/>
      </c>
      <c r="S335" s="3" t="str">
        <f t="shared" si="78"/>
        <v/>
      </c>
      <c r="X335" s="13"/>
      <c r="Y335" s="13"/>
      <c r="Z335" s="91"/>
      <c r="AC335" s="2">
        <f t="shared" si="79"/>
        <v>20</v>
      </c>
      <c r="AD335" s="2" t="str">
        <f>IFERROR(INDEX(GLAPS정리!$D$2:$D$50,MATCH(I335,GLAPS정리!$A$2:$A$50,0)),IFERROR(INDEX(GLAPS정리!$D$2:$D$50,MATCH(I335,GLAPS정리!$B$2:$B$50,0)),""))</f>
        <v/>
      </c>
      <c r="AF335" s="2" t="str">
        <f t="shared" si="80"/>
        <v>KR10</v>
      </c>
      <c r="AI335" s="2" t="e">
        <f>VLOOKUP(F335,GLAPS정리!$G$3:$J$114,2,0)</f>
        <v>#N/A</v>
      </c>
      <c r="AJ335" s="2" t="e">
        <f>IF(Z335="울산정일","KRONS",IF(Z335="울산신항","KRUSN",IF(OR(Z335="선광종합물류(인천여객)",Z335="인천여객(인천여객)"),"KRINF",IF(OR(Z335="선광인천보세(인천신)",Z335="한진인천(인천신)",Z335="선광인천신항(인천신)",Z335="인천더로지스(인천신)"),"KRINN",IF(OR(Z335="인천진아(인천항)",Z335="인천E1(인천항)",Z335="인천SM경인터미널(인천항)",Z335="인천항(인천항)",Z335="인천우련(인천항)",Z335="인천항8부두(인천항)"),"KRINC",VLOOKUP(K335,GLAPS정리!$BB$2:$BC$33,2,0))))))</f>
        <v>#N/A</v>
      </c>
      <c r="AL335" s="2">
        <f t="shared" si="81"/>
        <v>5010001</v>
      </c>
      <c r="AN335" s="70" t="str">
        <f t="shared" si="82"/>
        <v>1900-01-00</v>
      </c>
      <c r="AO335" s="2" t="str">
        <f t="shared" si="83"/>
        <v/>
      </c>
      <c r="AP335" s="2" t="e">
        <f>VLOOKUP(C335,GLAPS정리!$AX$2:$AZ$17,3,0)</f>
        <v>#N/A</v>
      </c>
      <c r="AR335" s="2">
        <f t="shared" si="89"/>
        <v>0</v>
      </c>
      <c r="AX335" s="2" t="e">
        <f>VLOOKUP(L335,GLAPS정리!$V$3:$W$180,2,0)</f>
        <v>#N/A</v>
      </c>
      <c r="BM335" s="2" t="str">
        <f t="shared" si="84"/>
        <v xml:space="preserve"> </v>
      </c>
      <c r="BN335" s="2">
        <f t="shared" si="85"/>
        <v>1</v>
      </c>
      <c r="BR335" s="2" t="str">
        <f t="shared" si="86"/>
        <v/>
      </c>
      <c r="BS335" s="2" t="str">
        <f t="shared" si="87"/>
        <v/>
      </c>
      <c r="BV335" s="2" t="e">
        <f>VLOOKUP(O335,GLAPS정리!$BH$2:$BI$94,2,0)</f>
        <v>#N/A</v>
      </c>
      <c r="BW335" s="2" t="str">
        <f>IF(OR(Z335="동원",Z335="세방",Z335="한타"),"",IFERROR(INDEX(GLAPS정리!$BI$2:$BI$101,MATCH(Z335,GLAPS정리!$BH$2:$BH$101,0)),""))</f>
        <v/>
      </c>
      <c r="BX335" s="2" t="str">
        <f>IF(Z335="","",IFERROR(VLOOKUP(Z335,GLAPS정리!$AX$2:$AZ$17,3,0),""))</f>
        <v/>
      </c>
      <c r="BZ335" s="2" t="e">
        <f>VLOOKUP(H335,GLAPS정리!$L$3:$O$133,2,0)</f>
        <v>#N/A</v>
      </c>
      <c r="CA335" s="2" t="str">
        <f t="shared" si="88"/>
        <v/>
      </c>
      <c r="CL335" s="2" t="e">
        <f>VLOOKUP(AI335,GLAPS정리!$BT$3:$BV$26,3,0)</f>
        <v>#N/A</v>
      </c>
    </row>
    <row r="336" spans="2:90" ht="20.45" customHeight="1">
      <c r="B336" s="13"/>
      <c r="G336" s="3"/>
      <c r="J336" s="3"/>
      <c r="Q336" s="3" t="str">
        <f t="shared" si="76"/>
        <v/>
      </c>
      <c r="R336" s="3" t="str">
        <f t="shared" si="77"/>
        <v/>
      </c>
      <c r="S336" s="3" t="str">
        <f t="shared" si="78"/>
        <v/>
      </c>
      <c r="X336" s="13"/>
      <c r="Y336" s="13"/>
      <c r="Z336" s="91"/>
      <c r="AC336" s="2">
        <f t="shared" si="79"/>
        <v>20</v>
      </c>
      <c r="AD336" s="2" t="str">
        <f>IFERROR(INDEX(GLAPS정리!$D$2:$D$50,MATCH(I336,GLAPS정리!$A$2:$A$50,0)),IFERROR(INDEX(GLAPS정리!$D$2:$D$50,MATCH(I336,GLAPS정리!$B$2:$B$50,0)),""))</f>
        <v/>
      </c>
      <c r="AF336" s="2" t="str">
        <f t="shared" si="80"/>
        <v>KR10</v>
      </c>
      <c r="AI336" s="2" t="e">
        <f>VLOOKUP(F336,GLAPS정리!$G$3:$J$114,2,0)</f>
        <v>#N/A</v>
      </c>
      <c r="AJ336" s="2" t="e">
        <f>IF(Z336="울산정일","KRONS",IF(Z336="울산신항","KRUSN",IF(OR(Z336="선광종합물류(인천여객)",Z336="인천여객(인천여객)"),"KRINF",IF(OR(Z336="선광인천보세(인천신)",Z336="한진인천(인천신)",Z336="선광인천신항(인천신)",Z336="인천더로지스(인천신)"),"KRINN",IF(OR(Z336="인천진아(인천항)",Z336="인천E1(인천항)",Z336="인천SM경인터미널(인천항)",Z336="인천항(인천항)",Z336="인천우련(인천항)",Z336="인천항8부두(인천항)"),"KRINC",VLOOKUP(K336,GLAPS정리!$BB$2:$BC$33,2,0))))))</f>
        <v>#N/A</v>
      </c>
      <c r="AL336" s="2">
        <f t="shared" si="81"/>
        <v>5010001</v>
      </c>
      <c r="AN336" s="70" t="str">
        <f t="shared" si="82"/>
        <v>1900-01-00</v>
      </c>
      <c r="AO336" s="2" t="str">
        <f t="shared" si="83"/>
        <v/>
      </c>
      <c r="AP336" s="2" t="e">
        <f>VLOOKUP(C336,GLAPS정리!$AX$2:$AZ$17,3,0)</f>
        <v>#N/A</v>
      </c>
      <c r="AR336" s="2">
        <f t="shared" si="89"/>
        <v>0</v>
      </c>
      <c r="AX336" s="2" t="e">
        <f>VLOOKUP(L336,GLAPS정리!$V$3:$W$180,2,0)</f>
        <v>#N/A</v>
      </c>
      <c r="BM336" s="2" t="str">
        <f t="shared" si="84"/>
        <v xml:space="preserve"> </v>
      </c>
      <c r="BN336" s="2">
        <f t="shared" si="85"/>
        <v>1</v>
      </c>
      <c r="BR336" s="2" t="str">
        <f t="shared" si="86"/>
        <v/>
      </c>
      <c r="BS336" s="2" t="str">
        <f t="shared" si="87"/>
        <v/>
      </c>
      <c r="BV336" s="2" t="e">
        <f>VLOOKUP(O336,GLAPS정리!$BH$2:$BI$94,2,0)</f>
        <v>#N/A</v>
      </c>
      <c r="BW336" s="2" t="str">
        <f>IF(OR(Z336="동원",Z336="세방",Z336="한타"),"",IFERROR(INDEX(GLAPS정리!$BI$2:$BI$101,MATCH(Z336,GLAPS정리!$BH$2:$BH$101,0)),""))</f>
        <v/>
      </c>
      <c r="BX336" s="2" t="str">
        <f>IF(Z336="","",IFERROR(VLOOKUP(Z336,GLAPS정리!$AX$2:$AZ$17,3,0),""))</f>
        <v/>
      </c>
      <c r="BZ336" s="2" t="e">
        <f>VLOOKUP(H336,GLAPS정리!$L$3:$O$133,2,0)</f>
        <v>#N/A</v>
      </c>
      <c r="CA336" s="2" t="str">
        <f t="shared" si="88"/>
        <v/>
      </c>
      <c r="CL336" s="2" t="e">
        <f>VLOOKUP(AI336,GLAPS정리!$BT$3:$BV$26,3,0)</f>
        <v>#N/A</v>
      </c>
    </row>
    <row r="337" spans="2:90" ht="20.45" customHeight="1">
      <c r="B337" s="13"/>
      <c r="G337" s="3"/>
      <c r="J337" s="3"/>
      <c r="Q337" s="3" t="str">
        <f t="shared" si="76"/>
        <v/>
      </c>
      <c r="R337" s="3" t="str">
        <f t="shared" si="77"/>
        <v/>
      </c>
      <c r="S337" s="3" t="str">
        <f t="shared" si="78"/>
        <v/>
      </c>
      <c r="X337" s="13"/>
      <c r="Y337" s="13"/>
      <c r="Z337" s="91"/>
      <c r="AC337" s="2">
        <f t="shared" si="79"/>
        <v>20</v>
      </c>
      <c r="AD337" s="2" t="str">
        <f>IFERROR(INDEX(GLAPS정리!$D$2:$D$50,MATCH(I337,GLAPS정리!$A$2:$A$50,0)),IFERROR(INDEX(GLAPS정리!$D$2:$D$50,MATCH(I337,GLAPS정리!$B$2:$B$50,0)),""))</f>
        <v/>
      </c>
      <c r="AF337" s="2" t="str">
        <f t="shared" si="80"/>
        <v>KR10</v>
      </c>
      <c r="AI337" s="2" t="e">
        <f>VLOOKUP(F337,GLAPS정리!$G$3:$J$114,2,0)</f>
        <v>#N/A</v>
      </c>
      <c r="AJ337" s="2" t="e">
        <f>IF(Z337="울산정일","KRONS",IF(Z337="울산신항","KRUSN",IF(OR(Z337="선광종합물류(인천여객)",Z337="인천여객(인천여객)"),"KRINF",IF(OR(Z337="선광인천보세(인천신)",Z337="한진인천(인천신)",Z337="선광인천신항(인천신)",Z337="인천더로지스(인천신)"),"KRINN",IF(OR(Z337="인천진아(인천항)",Z337="인천E1(인천항)",Z337="인천SM경인터미널(인천항)",Z337="인천항(인천항)",Z337="인천우련(인천항)",Z337="인천항8부두(인천항)"),"KRINC",VLOOKUP(K337,GLAPS정리!$BB$2:$BC$33,2,0))))))</f>
        <v>#N/A</v>
      </c>
      <c r="AL337" s="2">
        <f t="shared" si="81"/>
        <v>5010001</v>
      </c>
      <c r="AN337" s="70" t="str">
        <f t="shared" si="82"/>
        <v>1900-01-00</v>
      </c>
      <c r="AO337" s="2" t="str">
        <f t="shared" si="83"/>
        <v/>
      </c>
      <c r="AP337" s="2" t="e">
        <f>VLOOKUP(C337,GLAPS정리!$AX$2:$AZ$17,3,0)</f>
        <v>#N/A</v>
      </c>
      <c r="AR337" s="2">
        <f t="shared" si="89"/>
        <v>0</v>
      </c>
      <c r="AX337" s="2" t="e">
        <f>VLOOKUP(L337,GLAPS정리!$V$3:$W$180,2,0)</f>
        <v>#N/A</v>
      </c>
      <c r="BM337" s="2" t="str">
        <f t="shared" si="84"/>
        <v xml:space="preserve"> </v>
      </c>
      <c r="BN337" s="2">
        <f t="shared" si="85"/>
        <v>1</v>
      </c>
      <c r="BR337" s="2" t="str">
        <f t="shared" si="86"/>
        <v/>
      </c>
      <c r="BS337" s="2" t="str">
        <f t="shared" si="87"/>
        <v/>
      </c>
      <c r="BV337" s="2" t="e">
        <f>VLOOKUP(O337,GLAPS정리!$BH$2:$BI$94,2,0)</f>
        <v>#N/A</v>
      </c>
      <c r="BW337" s="2" t="str">
        <f>IF(OR(Z337="동원",Z337="세방",Z337="한타"),"",IFERROR(INDEX(GLAPS정리!$BI$2:$BI$101,MATCH(Z337,GLAPS정리!$BH$2:$BH$101,0)),""))</f>
        <v/>
      </c>
      <c r="BX337" s="2" t="str">
        <f>IF(Z337="","",IFERROR(VLOOKUP(Z337,GLAPS정리!$AX$2:$AZ$17,3,0),""))</f>
        <v/>
      </c>
      <c r="BZ337" s="2" t="e">
        <f>VLOOKUP(H337,GLAPS정리!$L$3:$O$133,2,0)</f>
        <v>#N/A</v>
      </c>
      <c r="CA337" s="2" t="str">
        <f t="shared" si="88"/>
        <v/>
      </c>
      <c r="CL337" s="2" t="e">
        <f>VLOOKUP(AI337,GLAPS정리!$BT$3:$BV$26,3,0)</f>
        <v>#N/A</v>
      </c>
    </row>
    <row r="338" spans="2:90" ht="20.45" customHeight="1">
      <c r="B338" s="13"/>
      <c r="G338" s="3"/>
      <c r="J338" s="3"/>
      <c r="Q338" s="3" t="str">
        <f t="shared" si="76"/>
        <v/>
      </c>
      <c r="R338" s="3" t="str">
        <f t="shared" si="77"/>
        <v/>
      </c>
      <c r="S338" s="3" t="str">
        <f t="shared" si="78"/>
        <v/>
      </c>
      <c r="X338" s="13"/>
      <c r="Y338" s="13"/>
      <c r="Z338" s="91"/>
      <c r="AC338" s="2">
        <f t="shared" si="79"/>
        <v>20</v>
      </c>
      <c r="AD338" s="2" t="str">
        <f>IFERROR(INDEX(GLAPS정리!$D$2:$D$50,MATCH(I338,GLAPS정리!$A$2:$A$50,0)),IFERROR(INDEX(GLAPS정리!$D$2:$D$50,MATCH(I338,GLAPS정리!$B$2:$B$50,0)),""))</f>
        <v/>
      </c>
      <c r="AF338" s="2" t="str">
        <f t="shared" si="80"/>
        <v>KR10</v>
      </c>
      <c r="AI338" s="2" t="e">
        <f>VLOOKUP(F338,GLAPS정리!$G$3:$J$114,2,0)</f>
        <v>#N/A</v>
      </c>
      <c r="AJ338" s="2" t="e">
        <f>IF(Z338="울산정일","KRONS",IF(Z338="울산신항","KRUSN",IF(OR(Z338="선광종합물류(인천여객)",Z338="인천여객(인천여객)"),"KRINF",IF(OR(Z338="선광인천보세(인천신)",Z338="한진인천(인천신)",Z338="선광인천신항(인천신)",Z338="인천더로지스(인천신)"),"KRINN",IF(OR(Z338="인천진아(인천항)",Z338="인천E1(인천항)",Z338="인천SM경인터미널(인천항)",Z338="인천항(인천항)",Z338="인천우련(인천항)",Z338="인천항8부두(인천항)"),"KRINC",VLOOKUP(K338,GLAPS정리!$BB$2:$BC$33,2,0))))))</f>
        <v>#N/A</v>
      </c>
      <c r="AL338" s="2">
        <f t="shared" si="81"/>
        <v>5010001</v>
      </c>
      <c r="AN338" s="70" t="str">
        <f t="shared" si="82"/>
        <v>1900-01-00</v>
      </c>
      <c r="AO338" s="2" t="str">
        <f t="shared" si="83"/>
        <v/>
      </c>
      <c r="AP338" s="2" t="e">
        <f>VLOOKUP(C338,GLAPS정리!$AX$2:$AZ$17,3,0)</f>
        <v>#N/A</v>
      </c>
      <c r="AR338" s="2">
        <f t="shared" si="89"/>
        <v>0</v>
      </c>
      <c r="AX338" s="2" t="e">
        <f>VLOOKUP(L338,GLAPS정리!$V$3:$W$180,2,0)</f>
        <v>#N/A</v>
      </c>
      <c r="BM338" s="2" t="str">
        <f t="shared" si="84"/>
        <v xml:space="preserve"> </v>
      </c>
      <c r="BN338" s="2">
        <f t="shared" si="85"/>
        <v>1</v>
      </c>
      <c r="BR338" s="2" t="str">
        <f t="shared" si="86"/>
        <v/>
      </c>
      <c r="BS338" s="2" t="str">
        <f t="shared" si="87"/>
        <v/>
      </c>
      <c r="BV338" s="2" t="e">
        <f>VLOOKUP(O338,GLAPS정리!$BH$2:$BI$94,2,0)</f>
        <v>#N/A</v>
      </c>
      <c r="BW338" s="2" t="str">
        <f>IF(OR(Z338="동원",Z338="세방",Z338="한타"),"",IFERROR(INDEX(GLAPS정리!$BI$2:$BI$101,MATCH(Z338,GLAPS정리!$BH$2:$BH$101,0)),""))</f>
        <v/>
      </c>
      <c r="BX338" s="2" t="str">
        <f>IF(Z338="","",IFERROR(VLOOKUP(Z338,GLAPS정리!$AX$2:$AZ$17,3,0),""))</f>
        <v/>
      </c>
      <c r="BZ338" s="2" t="e">
        <f>VLOOKUP(H338,GLAPS정리!$L$3:$O$133,2,0)</f>
        <v>#N/A</v>
      </c>
      <c r="CA338" s="2" t="str">
        <f t="shared" si="88"/>
        <v/>
      </c>
      <c r="CL338" s="2" t="e">
        <f>VLOOKUP(AI338,GLAPS정리!$BT$3:$BV$26,3,0)</f>
        <v>#N/A</v>
      </c>
    </row>
    <row r="339" spans="2:90" ht="20.45" customHeight="1">
      <c r="B339" s="13"/>
      <c r="G339" s="3"/>
      <c r="J339" s="3"/>
      <c r="Q339" s="3" t="str">
        <f t="shared" si="76"/>
        <v/>
      </c>
      <c r="R339" s="3" t="str">
        <f t="shared" si="77"/>
        <v/>
      </c>
      <c r="S339" s="3" t="str">
        <f t="shared" si="78"/>
        <v/>
      </c>
      <c r="X339" s="13"/>
      <c r="Y339" s="13"/>
      <c r="Z339" s="91"/>
      <c r="AC339" s="2">
        <f t="shared" si="79"/>
        <v>20</v>
      </c>
      <c r="AD339" s="2" t="str">
        <f>IFERROR(INDEX(GLAPS정리!$D$2:$D$50,MATCH(I339,GLAPS정리!$A$2:$A$50,0)),IFERROR(INDEX(GLAPS정리!$D$2:$D$50,MATCH(I339,GLAPS정리!$B$2:$B$50,0)),""))</f>
        <v/>
      </c>
      <c r="AF339" s="2" t="str">
        <f t="shared" si="80"/>
        <v>KR10</v>
      </c>
      <c r="AI339" s="2" t="e">
        <f>VLOOKUP(F339,GLAPS정리!$G$3:$J$114,2,0)</f>
        <v>#N/A</v>
      </c>
      <c r="AJ339" s="2" t="e">
        <f>IF(Z339="울산정일","KRONS",IF(Z339="울산신항","KRUSN",IF(OR(Z339="선광종합물류(인천여객)",Z339="인천여객(인천여객)"),"KRINF",IF(OR(Z339="선광인천보세(인천신)",Z339="한진인천(인천신)",Z339="선광인천신항(인천신)",Z339="인천더로지스(인천신)"),"KRINN",IF(OR(Z339="인천진아(인천항)",Z339="인천E1(인천항)",Z339="인천SM경인터미널(인천항)",Z339="인천항(인천항)",Z339="인천우련(인천항)",Z339="인천항8부두(인천항)"),"KRINC",VLOOKUP(K339,GLAPS정리!$BB$2:$BC$33,2,0))))))</f>
        <v>#N/A</v>
      </c>
      <c r="AL339" s="2">
        <f t="shared" si="81"/>
        <v>5010001</v>
      </c>
      <c r="AN339" s="70" t="str">
        <f t="shared" si="82"/>
        <v>1900-01-00</v>
      </c>
      <c r="AO339" s="2" t="str">
        <f t="shared" si="83"/>
        <v/>
      </c>
      <c r="AP339" s="2" t="e">
        <f>VLOOKUP(C339,GLAPS정리!$AX$2:$AZ$17,3,0)</f>
        <v>#N/A</v>
      </c>
      <c r="AR339" s="2">
        <f t="shared" si="89"/>
        <v>0</v>
      </c>
      <c r="AX339" s="2" t="e">
        <f>VLOOKUP(L339,GLAPS정리!$V$3:$W$180,2,0)</f>
        <v>#N/A</v>
      </c>
      <c r="BM339" s="2" t="str">
        <f t="shared" si="84"/>
        <v xml:space="preserve"> </v>
      </c>
      <c r="BN339" s="2">
        <f t="shared" si="85"/>
        <v>1</v>
      </c>
      <c r="BR339" s="2" t="str">
        <f t="shared" si="86"/>
        <v/>
      </c>
      <c r="BS339" s="2" t="str">
        <f t="shared" si="87"/>
        <v/>
      </c>
      <c r="BV339" s="2" t="e">
        <f>VLOOKUP(O339,GLAPS정리!$BH$2:$BI$94,2,0)</f>
        <v>#N/A</v>
      </c>
      <c r="BW339" s="2" t="str">
        <f>IF(OR(Z339="동원",Z339="세방",Z339="한타"),"",IFERROR(INDEX(GLAPS정리!$BI$2:$BI$101,MATCH(Z339,GLAPS정리!$BH$2:$BH$101,0)),""))</f>
        <v/>
      </c>
      <c r="BX339" s="2" t="str">
        <f>IF(Z339="","",IFERROR(VLOOKUP(Z339,GLAPS정리!$AX$2:$AZ$17,3,0),""))</f>
        <v/>
      </c>
      <c r="BZ339" s="2" t="e">
        <f>VLOOKUP(H339,GLAPS정리!$L$3:$O$133,2,0)</f>
        <v>#N/A</v>
      </c>
      <c r="CA339" s="2" t="str">
        <f t="shared" si="88"/>
        <v/>
      </c>
      <c r="CL339" s="2" t="e">
        <f>VLOOKUP(AI339,GLAPS정리!$BT$3:$BV$26,3,0)</f>
        <v>#N/A</v>
      </c>
    </row>
    <row r="340" spans="2:90" ht="20.45" customHeight="1">
      <c r="B340" s="13"/>
      <c r="G340" s="3"/>
      <c r="J340" s="3"/>
      <c r="Q340" s="3" t="str">
        <f t="shared" si="76"/>
        <v/>
      </c>
      <c r="R340" s="3" t="str">
        <f t="shared" si="77"/>
        <v/>
      </c>
      <c r="S340" s="3" t="str">
        <f t="shared" si="78"/>
        <v/>
      </c>
      <c r="X340" s="13"/>
      <c r="Y340" s="13"/>
      <c r="Z340" s="91"/>
      <c r="AC340" s="2">
        <f t="shared" si="79"/>
        <v>20</v>
      </c>
      <c r="AD340" s="2" t="str">
        <f>IFERROR(INDEX(GLAPS정리!$D$2:$D$50,MATCH(I340,GLAPS정리!$A$2:$A$50,0)),IFERROR(INDEX(GLAPS정리!$D$2:$D$50,MATCH(I340,GLAPS정리!$B$2:$B$50,0)),""))</f>
        <v/>
      </c>
      <c r="AF340" s="2" t="str">
        <f t="shared" si="80"/>
        <v>KR10</v>
      </c>
      <c r="AI340" s="2" t="e">
        <f>VLOOKUP(F340,GLAPS정리!$G$3:$J$114,2,0)</f>
        <v>#N/A</v>
      </c>
      <c r="AJ340" s="2" t="e">
        <f>IF(Z340="울산정일","KRONS",IF(Z340="울산신항","KRUSN",IF(OR(Z340="선광종합물류(인천여객)",Z340="인천여객(인천여객)"),"KRINF",IF(OR(Z340="선광인천보세(인천신)",Z340="한진인천(인천신)",Z340="선광인천신항(인천신)",Z340="인천더로지스(인천신)"),"KRINN",IF(OR(Z340="인천진아(인천항)",Z340="인천E1(인천항)",Z340="인천SM경인터미널(인천항)",Z340="인천항(인천항)",Z340="인천우련(인천항)",Z340="인천항8부두(인천항)"),"KRINC",VLOOKUP(K340,GLAPS정리!$BB$2:$BC$33,2,0))))))</f>
        <v>#N/A</v>
      </c>
      <c r="AL340" s="2">
        <f t="shared" si="81"/>
        <v>5010001</v>
      </c>
      <c r="AN340" s="70" t="str">
        <f t="shared" si="82"/>
        <v>1900-01-00</v>
      </c>
      <c r="AO340" s="2" t="str">
        <f t="shared" si="83"/>
        <v/>
      </c>
      <c r="AP340" s="2" t="e">
        <f>VLOOKUP(C340,GLAPS정리!$AX$2:$AZ$17,3,0)</f>
        <v>#N/A</v>
      </c>
      <c r="AR340" s="2">
        <f t="shared" si="89"/>
        <v>0</v>
      </c>
      <c r="AX340" s="2" t="e">
        <f>VLOOKUP(L340,GLAPS정리!$V$3:$W$180,2,0)</f>
        <v>#N/A</v>
      </c>
      <c r="BM340" s="2" t="str">
        <f t="shared" si="84"/>
        <v xml:space="preserve"> </v>
      </c>
      <c r="BN340" s="2">
        <f t="shared" si="85"/>
        <v>1</v>
      </c>
      <c r="BR340" s="2" t="str">
        <f t="shared" si="86"/>
        <v/>
      </c>
      <c r="BS340" s="2" t="str">
        <f t="shared" si="87"/>
        <v/>
      </c>
      <c r="BV340" s="2" t="e">
        <f>VLOOKUP(O340,GLAPS정리!$BH$2:$BI$94,2,0)</f>
        <v>#N/A</v>
      </c>
      <c r="BW340" s="2" t="str">
        <f>IF(OR(Z340="동원",Z340="세방",Z340="한타"),"",IFERROR(INDEX(GLAPS정리!$BI$2:$BI$101,MATCH(Z340,GLAPS정리!$BH$2:$BH$101,0)),""))</f>
        <v/>
      </c>
      <c r="BX340" s="2" t="str">
        <f>IF(Z340="","",IFERROR(VLOOKUP(Z340,GLAPS정리!$AX$2:$AZ$17,3,0),""))</f>
        <v/>
      </c>
      <c r="BZ340" s="2" t="e">
        <f>VLOOKUP(H340,GLAPS정리!$L$3:$O$133,2,0)</f>
        <v>#N/A</v>
      </c>
      <c r="CA340" s="2" t="str">
        <f t="shared" si="88"/>
        <v/>
      </c>
      <c r="CL340" s="2" t="e">
        <f>VLOOKUP(AI340,GLAPS정리!$BT$3:$BV$26,3,0)</f>
        <v>#N/A</v>
      </c>
    </row>
    <row r="341" spans="2:90" ht="20.45" customHeight="1">
      <c r="B341" s="13"/>
      <c r="G341" s="3"/>
      <c r="J341" s="3"/>
      <c r="Q341" s="3" t="str">
        <f t="shared" si="76"/>
        <v/>
      </c>
      <c r="R341" s="3" t="str">
        <f t="shared" si="77"/>
        <v/>
      </c>
      <c r="S341" s="3" t="str">
        <f t="shared" si="78"/>
        <v/>
      </c>
      <c r="X341" s="13"/>
      <c r="Y341" s="13"/>
      <c r="Z341" s="91"/>
      <c r="AC341" s="2">
        <f t="shared" si="79"/>
        <v>20</v>
      </c>
      <c r="AD341" s="2" t="str">
        <f>IFERROR(INDEX(GLAPS정리!$D$2:$D$50,MATCH(I341,GLAPS정리!$A$2:$A$50,0)),IFERROR(INDEX(GLAPS정리!$D$2:$D$50,MATCH(I341,GLAPS정리!$B$2:$B$50,0)),""))</f>
        <v/>
      </c>
      <c r="AF341" s="2" t="str">
        <f t="shared" si="80"/>
        <v>KR10</v>
      </c>
      <c r="AI341" s="2" t="e">
        <f>VLOOKUP(F341,GLAPS정리!$G$3:$J$114,2,0)</f>
        <v>#N/A</v>
      </c>
      <c r="AJ341" s="2" t="e">
        <f>IF(Z341="울산정일","KRONS",IF(Z341="울산신항","KRUSN",IF(OR(Z341="선광종합물류(인천여객)",Z341="인천여객(인천여객)"),"KRINF",IF(OR(Z341="선광인천보세(인천신)",Z341="한진인천(인천신)",Z341="선광인천신항(인천신)",Z341="인천더로지스(인천신)"),"KRINN",IF(OR(Z341="인천진아(인천항)",Z341="인천E1(인천항)",Z341="인천SM경인터미널(인천항)",Z341="인천항(인천항)",Z341="인천우련(인천항)",Z341="인천항8부두(인천항)"),"KRINC",VLOOKUP(K341,GLAPS정리!$BB$2:$BC$33,2,0))))))</f>
        <v>#N/A</v>
      </c>
      <c r="AL341" s="2">
        <f t="shared" si="81"/>
        <v>5010001</v>
      </c>
      <c r="AN341" s="70" t="str">
        <f t="shared" si="82"/>
        <v>1900-01-00</v>
      </c>
      <c r="AO341" s="2" t="str">
        <f t="shared" si="83"/>
        <v/>
      </c>
      <c r="AP341" s="2" t="e">
        <f>VLOOKUP(C341,GLAPS정리!$AX$2:$AZ$17,3,0)</f>
        <v>#N/A</v>
      </c>
      <c r="AR341" s="2">
        <f t="shared" si="89"/>
        <v>0</v>
      </c>
      <c r="AX341" s="2" t="e">
        <f>VLOOKUP(L341,GLAPS정리!$V$3:$W$180,2,0)</f>
        <v>#N/A</v>
      </c>
      <c r="BM341" s="2" t="str">
        <f t="shared" si="84"/>
        <v xml:space="preserve"> </v>
      </c>
      <c r="BN341" s="2">
        <f t="shared" si="85"/>
        <v>1</v>
      </c>
      <c r="BR341" s="2" t="str">
        <f t="shared" si="86"/>
        <v/>
      </c>
      <c r="BS341" s="2" t="str">
        <f t="shared" si="87"/>
        <v/>
      </c>
      <c r="BV341" s="2" t="e">
        <f>VLOOKUP(O341,GLAPS정리!$BH$2:$BI$94,2,0)</f>
        <v>#N/A</v>
      </c>
      <c r="BW341" s="2" t="str">
        <f>IF(OR(Z341="동원",Z341="세방",Z341="한타"),"",IFERROR(INDEX(GLAPS정리!$BI$2:$BI$101,MATCH(Z341,GLAPS정리!$BH$2:$BH$101,0)),""))</f>
        <v/>
      </c>
      <c r="BX341" s="2" t="str">
        <f>IF(Z341="","",IFERROR(VLOOKUP(Z341,GLAPS정리!$AX$2:$AZ$17,3,0),""))</f>
        <v/>
      </c>
      <c r="BZ341" s="2" t="e">
        <f>VLOOKUP(H341,GLAPS정리!$L$3:$O$133,2,0)</f>
        <v>#N/A</v>
      </c>
      <c r="CA341" s="2" t="str">
        <f t="shared" si="88"/>
        <v/>
      </c>
      <c r="CL341" s="2" t="e">
        <f>VLOOKUP(AI341,GLAPS정리!$BT$3:$BV$26,3,0)</f>
        <v>#N/A</v>
      </c>
    </row>
    <row r="342" spans="2:90" ht="20.45" customHeight="1">
      <c r="B342" s="13"/>
      <c r="G342" s="3"/>
      <c r="J342" s="3"/>
      <c r="Q342" s="3" t="str">
        <f t="shared" si="76"/>
        <v/>
      </c>
      <c r="R342" s="3" t="str">
        <f t="shared" si="77"/>
        <v/>
      </c>
      <c r="S342" s="3" t="str">
        <f t="shared" si="78"/>
        <v/>
      </c>
      <c r="X342" s="13"/>
      <c r="Y342" s="13"/>
      <c r="Z342" s="91"/>
      <c r="AC342" s="2">
        <f t="shared" si="79"/>
        <v>20</v>
      </c>
      <c r="AD342" s="2" t="str">
        <f>IFERROR(INDEX(GLAPS정리!$D$2:$D$50,MATCH(I342,GLAPS정리!$A$2:$A$50,0)),IFERROR(INDEX(GLAPS정리!$D$2:$D$50,MATCH(I342,GLAPS정리!$B$2:$B$50,0)),""))</f>
        <v/>
      </c>
      <c r="AF342" s="2" t="str">
        <f t="shared" si="80"/>
        <v>KR10</v>
      </c>
      <c r="AI342" s="2" t="e">
        <f>VLOOKUP(F342,GLAPS정리!$G$3:$J$114,2,0)</f>
        <v>#N/A</v>
      </c>
      <c r="AJ342" s="2" t="e">
        <f>IF(Z342="울산정일","KRONS",IF(Z342="울산신항","KRUSN",IF(OR(Z342="선광종합물류(인천여객)",Z342="인천여객(인천여객)"),"KRINF",IF(OR(Z342="선광인천보세(인천신)",Z342="한진인천(인천신)",Z342="선광인천신항(인천신)",Z342="인천더로지스(인천신)"),"KRINN",IF(OR(Z342="인천진아(인천항)",Z342="인천E1(인천항)",Z342="인천SM경인터미널(인천항)",Z342="인천항(인천항)",Z342="인천우련(인천항)",Z342="인천항8부두(인천항)"),"KRINC",VLOOKUP(K342,GLAPS정리!$BB$2:$BC$33,2,0))))))</f>
        <v>#N/A</v>
      </c>
      <c r="AL342" s="2">
        <f t="shared" si="81"/>
        <v>5010001</v>
      </c>
      <c r="AN342" s="70" t="str">
        <f t="shared" si="82"/>
        <v>1900-01-00</v>
      </c>
      <c r="AO342" s="2" t="str">
        <f t="shared" si="83"/>
        <v/>
      </c>
      <c r="AP342" s="2" t="e">
        <f>VLOOKUP(C342,GLAPS정리!$AX$2:$AZ$17,3,0)</f>
        <v>#N/A</v>
      </c>
      <c r="AR342" s="2">
        <f t="shared" si="89"/>
        <v>0</v>
      </c>
      <c r="AX342" s="2" t="e">
        <f>VLOOKUP(L342,GLAPS정리!$V$3:$W$180,2,0)</f>
        <v>#N/A</v>
      </c>
      <c r="BM342" s="2" t="str">
        <f t="shared" si="84"/>
        <v xml:space="preserve"> </v>
      </c>
      <c r="BN342" s="2">
        <f t="shared" si="85"/>
        <v>1</v>
      </c>
      <c r="BR342" s="2" t="str">
        <f t="shared" si="86"/>
        <v/>
      </c>
      <c r="BS342" s="2" t="str">
        <f t="shared" si="87"/>
        <v/>
      </c>
      <c r="BV342" s="2" t="e">
        <f>VLOOKUP(O342,GLAPS정리!$BH$2:$BI$94,2,0)</f>
        <v>#N/A</v>
      </c>
      <c r="BW342" s="2" t="str">
        <f>IF(OR(Z342="동원",Z342="세방",Z342="한타"),"",IFERROR(INDEX(GLAPS정리!$BI$2:$BI$101,MATCH(Z342,GLAPS정리!$BH$2:$BH$101,0)),""))</f>
        <v/>
      </c>
      <c r="BX342" s="2" t="str">
        <f>IF(Z342="","",IFERROR(VLOOKUP(Z342,GLAPS정리!$AX$2:$AZ$17,3,0),""))</f>
        <v/>
      </c>
      <c r="BZ342" s="2" t="e">
        <f>VLOOKUP(H342,GLAPS정리!$L$3:$O$133,2,0)</f>
        <v>#N/A</v>
      </c>
      <c r="CA342" s="2" t="str">
        <f t="shared" si="88"/>
        <v/>
      </c>
      <c r="CL342" s="2" t="e">
        <f>VLOOKUP(AI342,GLAPS정리!$BT$3:$BV$26,3,0)</f>
        <v>#N/A</v>
      </c>
    </row>
    <row r="343" spans="2:90" ht="20.45" customHeight="1">
      <c r="B343" s="13"/>
      <c r="G343" s="3"/>
      <c r="J343" s="3"/>
      <c r="Q343" s="3" t="str">
        <f t="shared" si="76"/>
        <v/>
      </c>
      <c r="R343" s="3" t="str">
        <f t="shared" si="77"/>
        <v/>
      </c>
      <c r="S343" s="3" t="str">
        <f t="shared" si="78"/>
        <v/>
      </c>
      <c r="X343" s="13"/>
      <c r="Y343" s="13"/>
      <c r="Z343" s="91"/>
      <c r="AC343" s="2">
        <f t="shared" si="79"/>
        <v>20</v>
      </c>
      <c r="AD343" s="2" t="str">
        <f>IFERROR(INDEX(GLAPS정리!$D$2:$D$50,MATCH(I343,GLAPS정리!$A$2:$A$50,0)),IFERROR(INDEX(GLAPS정리!$D$2:$D$50,MATCH(I343,GLAPS정리!$B$2:$B$50,0)),""))</f>
        <v/>
      </c>
      <c r="AF343" s="2" t="str">
        <f t="shared" si="80"/>
        <v>KR10</v>
      </c>
      <c r="AI343" s="2" t="e">
        <f>VLOOKUP(F343,GLAPS정리!$G$3:$J$114,2,0)</f>
        <v>#N/A</v>
      </c>
      <c r="AJ343" s="2" t="e">
        <f>IF(Z343="울산정일","KRONS",IF(Z343="울산신항","KRUSN",IF(OR(Z343="선광종합물류(인천여객)",Z343="인천여객(인천여객)"),"KRINF",IF(OR(Z343="선광인천보세(인천신)",Z343="한진인천(인천신)",Z343="선광인천신항(인천신)",Z343="인천더로지스(인천신)"),"KRINN",IF(OR(Z343="인천진아(인천항)",Z343="인천E1(인천항)",Z343="인천SM경인터미널(인천항)",Z343="인천항(인천항)",Z343="인천우련(인천항)",Z343="인천항8부두(인천항)"),"KRINC",VLOOKUP(K343,GLAPS정리!$BB$2:$BC$33,2,0))))))</f>
        <v>#N/A</v>
      </c>
      <c r="AL343" s="2">
        <f t="shared" si="81"/>
        <v>5010001</v>
      </c>
      <c r="AN343" s="70" t="str">
        <f t="shared" si="82"/>
        <v>1900-01-00</v>
      </c>
      <c r="AO343" s="2" t="str">
        <f t="shared" si="83"/>
        <v/>
      </c>
      <c r="AP343" s="2" t="e">
        <f>VLOOKUP(C343,GLAPS정리!$AX$2:$AZ$17,3,0)</f>
        <v>#N/A</v>
      </c>
      <c r="AR343" s="2">
        <f t="shared" si="89"/>
        <v>0</v>
      </c>
      <c r="AX343" s="2" t="e">
        <f>VLOOKUP(L343,GLAPS정리!$V$3:$W$180,2,0)</f>
        <v>#N/A</v>
      </c>
      <c r="BM343" s="2" t="str">
        <f t="shared" si="84"/>
        <v xml:space="preserve"> </v>
      </c>
      <c r="BN343" s="2">
        <f t="shared" si="85"/>
        <v>1</v>
      </c>
      <c r="BR343" s="2" t="str">
        <f t="shared" si="86"/>
        <v/>
      </c>
      <c r="BS343" s="2" t="str">
        <f t="shared" si="87"/>
        <v/>
      </c>
      <c r="BV343" s="2" t="e">
        <f>VLOOKUP(O343,GLAPS정리!$BH$2:$BI$94,2,0)</f>
        <v>#N/A</v>
      </c>
      <c r="BW343" s="2" t="str">
        <f>IF(OR(Z343="동원",Z343="세방",Z343="한타"),"",IFERROR(INDEX(GLAPS정리!$BI$2:$BI$101,MATCH(Z343,GLAPS정리!$BH$2:$BH$101,0)),""))</f>
        <v/>
      </c>
      <c r="BX343" s="2" t="str">
        <f>IF(Z343="","",IFERROR(VLOOKUP(Z343,GLAPS정리!$AX$2:$AZ$17,3,0),""))</f>
        <v/>
      </c>
      <c r="BZ343" s="2" t="e">
        <f>VLOOKUP(H343,GLAPS정리!$L$3:$O$133,2,0)</f>
        <v>#N/A</v>
      </c>
      <c r="CA343" s="2" t="str">
        <f t="shared" si="88"/>
        <v/>
      </c>
      <c r="CL343" s="2" t="e">
        <f>VLOOKUP(AI343,GLAPS정리!$BT$3:$BV$26,3,0)</f>
        <v>#N/A</v>
      </c>
    </row>
    <row r="344" spans="2:90" ht="20.45" customHeight="1">
      <c r="B344" s="13"/>
      <c r="G344" s="3"/>
      <c r="J344" s="3"/>
      <c r="Q344" s="3" t="str">
        <f t="shared" si="76"/>
        <v/>
      </c>
      <c r="R344" s="3" t="str">
        <f t="shared" si="77"/>
        <v/>
      </c>
      <c r="S344" s="3" t="str">
        <f t="shared" si="78"/>
        <v/>
      </c>
      <c r="X344" s="13"/>
      <c r="Y344" s="13"/>
      <c r="Z344" s="91"/>
      <c r="AC344" s="2">
        <f t="shared" si="79"/>
        <v>20</v>
      </c>
      <c r="AD344" s="2" t="str">
        <f>IFERROR(INDEX(GLAPS정리!$D$2:$D$50,MATCH(I344,GLAPS정리!$A$2:$A$50,0)),IFERROR(INDEX(GLAPS정리!$D$2:$D$50,MATCH(I344,GLAPS정리!$B$2:$B$50,0)),""))</f>
        <v/>
      </c>
      <c r="AF344" s="2" t="str">
        <f t="shared" si="80"/>
        <v>KR10</v>
      </c>
      <c r="AI344" s="2" t="e">
        <f>VLOOKUP(F344,GLAPS정리!$G$3:$J$114,2,0)</f>
        <v>#N/A</v>
      </c>
      <c r="AJ344" s="2" t="e">
        <f>IF(Z344="울산정일","KRONS",IF(Z344="울산신항","KRUSN",IF(OR(Z344="선광종합물류(인천여객)",Z344="인천여객(인천여객)"),"KRINF",IF(OR(Z344="선광인천보세(인천신)",Z344="한진인천(인천신)",Z344="선광인천신항(인천신)",Z344="인천더로지스(인천신)"),"KRINN",IF(OR(Z344="인천진아(인천항)",Z344="인천E1(인천항)",Z344="인천SM경인터미널(인천항)",Z344="인천항(인천항)",Z344="인천우련(인천항)",Z344="인천항8부두(인천항)"),"KRINC",VLOOKUP(K344,GLAPS정리!$BB$2:$BC$33,2,0))))))</f>
        <v>#N/A</v>
      </c>
      <c r="AL344" s="2">
        <f t="shared" si="81"/>
        <v>5010001</v>
      </c>
      <c r="AN344" s="70" t="str">
        <f t="shared" si="82"/>
        <v>1900-01-00</v>
      </c>
      <c r="AO344" s="2" t="str">
        <f t="shared" si="83"/>
        <v/>
      </c>
      <c r="AP344" s="2" t="e">
        <f>VLOOKUP(C344,GLAPS정리!$AX$2:$AZ$17,3,0)</f>
        <v>#N/A</v>
      </c>
      <c r="AR344" s="2">
        <f t="shared" si="89"/>
        <v>0</v>
      </c>
      <c r="AX344" s="2" t="e">
        <f>VLOOKUP(L344,GLAPS정리!$V$3:$W$180,2,0)</f>
        <v>#N/A</v>
      </c>
      <c r="BM344" s="2" t="str">
        <f t="shared" si="84"/>
        <v xml:space="preserve"> </v>
      </c>
      <c r="BN344" s="2">
        <f t="shared" si="85"/>
        <v>1</v>
      </c>
      <c r="BR344" s="2" t="str">
        <f t="shared" si="86"/>
        <v/>
      </c>
      <c r="BS344" s="2" t="str">
        <f t="shared" si="87"/>
        <v/>
      </c>
      <c r="BV344" s="2" t="e">
        <f>VLOOKUP(O344,GLAPS정리!$BH$2:$BI$94,2,0)</f>
        <v>#N/A</v>
      </c>
      <c r="BW344" s="2" t="str">
        <f>IF(OR(Z344="동원",Z344="세방",Z344="한타"),"",IFERROR(INDEX(GLAPS정리!$BI$2:$BI$101,MATCH(Z344,GLAPS정리!$BH$2:$BH$101,0)),""))</f>
        <v/>
      </c>
      <c r="BX344" s="2" t="str">
        <f>IF(Z344="","",IFERROR(VLOOKUP(Z344,GLAPS정리!$AX$2:$AZ$17,3,0),""))</f>
        <v/>
      </c>
      <c r="BZ344" s="2" t="e">
        <f>VLOOKUP(H344,GLAPS정리!$L$3:$O$133,2,0)</f>
        <v>#N/A</v>
      </c>
      <c r="CA344" s="2" t="str">
        <f t="shared" si="88"/>
        <v/>
      </c>
      <c r="CL344" s="2" t="e">
        <f>VLOOKUP(AI344,GLAPS정리!$BT$3:$BV$26,3,0)</f>
        <v>#N/A</v>
      </c>
    </row>
    <row r="345" spans="2:90" ht="20.45" customHeight="1">
      <c r="B345" s="13"/>
      <c r="G345" s="3"/>
      <c r="J345" s="3"/>
      <c r="Q345" s="3" t="str">
        <f t="shared" si="76"/>
        <v/>
      </c>
      <c r="R345" s="3" t="str">
        <f t="shared" si="77"/>
        <v/>
      </c>
      <c r="S345" s="3" t="str">
        <f t="shared" si="78"/>
        <v/>
      </c>
      <c r="X345" s="13"/>
      <c r="Y345" s="13"/>
      <c r="Z345" s="91"/>
      <c r="AC345" s="2">
        <f t="shared" si="79"/>
        <v>20</v>
      </c>
      <c r="AD345" s="2" t="str">
        <f>IFERROR(INDEX(GLAPS정리!$D$2:$D$50,MATCH(I345,GLAPS정리!$A$2:$A$50,0)),IFERROR(INDEX(GLAPS정리!$D$2:$D$50,MATCH(I345,GLAPS정리!$B$2:$B$50,0)),""))</f>
        <v/>
      </c>
      <c r="AF345" s="2" t="str">
        <f t="shared" si="80"/>
        <v>KR10</v>
      </c>
      <c r="AI345" s="2" t="e">
        <f>VLOOKUP(F345,GLAPS정리!$G$3:$J$114,2,0)</f>
        <v>#N/A</v>
      </c>
      <c r="AJ345" s="2" t="e">
        <f>IF(Z345="울산정일","KRONS",IF(Z345="울산신항","KRUSN",IF(OR(Z345="선광종합물류(인천여객)",Z345="인천여객(인천여객)"),"KRINF",IF(OR(Z345="선광인천보세(인천신)",Z345="한진인천(인천신)",Z345="선광인천신항(인천신)",Z345="인천더로지스(인천신)"),"KRINN",IF(OR(Z345="인천진아(인천항)",Z345="인천E1(인천항)",Z345="인천SM경인터미널(인천항)",Z345="인천항(인천항)",Z345="인천우련(인천항)",Z345="인천항8부두(인천항)"),"KRINC",VLOOKUP(K345,GLAPS정리!$BB$2:$BC$33,2,0))))))</f>
        <v>#N/A</v>
      </c>
      <c r="AL345" s="2">
        <f t="shared" si="81"/>
        <v>5010001</v>
      </c>
      <c r="AN345" s="70" t="str">
        <f t="shared" si="82"/>
        <v>1900-01-00</v>
      </c>
      <c r="AO345" s="2" t="str">
        <f t="shared" si="83"/>
        <v/>
      </c>
      <c r="AP345" s="2" t="e">
        <f>VLOOKUP(C345,GLAPS정리!$AX$2:$AZ$17,3,0)</f>
        <v>#N/A</v>
      </c>
      <c r="AR345" s="2">
        <f t="shared" si="89"/>
        <v>0</v>
      </c>
      <c r="AX345" s="2" t="e">
        <f>VLOOKUP(L345,GLAPS정리!$V$3:$W$180,2,0)</f>
        <v>#N/A</v>
      </c>
      <c r="BM345" s="2" t="str">
        <f t="shared" si="84"/>
        <v xml:space="preserve"> </v>
      </c>
      <c r="BN345" s="2">
        <f t="shared" si="85"/>
        <v>1</v>
      </c>
      <c r="BR345" s="2" t="str">
        <f t="shared" si="86"/>
        <v/>
      </c>
      <c r="BS345" s="2" t="str">
        <f t="shared" si="87"/>
        <v/>
      </c>
      <c r="BV345" s="2" t="e">
        <f>VLOOKUP(O345,GLAPS정리!$BH$2:$BI$94,2,0)</f>
        <v>#N/A</v>
      </c>
      <c r="BW345" s="2" t="str">
        <f>IF(OR(Z345="동원",Z345="세방",Z345="한타"),"",IFERROR(INDEX(GLAPS정리!$BI$2:$BI$101,MATCH(Z345,GLAPS정리!$BH$2:$BH$101,0)),""))</f>
        <v/>
      </c>
      <c r="BX345" s="2" t="str">
        <f>IF(Z345="","",IFERROR(VLOOKUP(Z345,GLAPS정리!$AX$2:$AZ$17,3,0),""))</f>
        <v/>
      </c>
      <c r="BZ345" s="2" t="e">
        <f>VLOOKUP(H345,GLAPS정리!$L$3:$O$133,2,0)</f>
        <v>#N/A</v>
      </c>
      <c r="CA345" s="2" t="str">
        <f t="shared" si="88"/>
        <v/>
      </c>
      <c r="CL345" s="2" t="e">
        <f>VLOOKUP(AI345,GLAPS정리!$BT$3:$BV$26,3,0)</f>
        <v>#N/A</v>
      </c>
    </row>
    <row r="346" spans="2:90" ht="20.45" customHeight="1">
      <c r="B346" s="13"/>
      <c r="G346" s="3"/>
      <c r="J346" s="3"/>
      <c r="Q346" s="3" t="str">
        <f t="shared" si="76"/>
        <v/>
      </c>
      <c r="R346" s="3" t="str">
        <f t="shared" si="77"/>
        <v/>
      </c>
      <c r="S346" s="3" t="str">
        <f t="shared" si="78"/>
        <v/>
      </c>
      <c r="X346" s="13"/>
      <c r="Y346" s="13"/>
      <c r="Z346" s="91"/>
      <c r="AC346" s="2">
        <f t="shared" si="79"/>
        <v>20</v>
      </c>
      <c r="AD346" s="2" t="str">
        <f>IFERROR(INDEX(GLAPS정리!$D$2:$D$50,MATCH(I346,GLAPS정리!$A$2:$A$50,0)),IFERROR(INDEX(GLAPS정리!$D$2:$D$50,MATCH(I346,GLAPS정리!$B$2:$B$50,0)),""))</f>
        <v/>
      </c>
      <c r="AF346" s="2" t="str">
        <f t="shared" si="80"/>
        <v>KR10</v>
      </c>
      <c r="AI346" s="2" t="e">
        <f>VLOOKUP(F346,GLAPS정리!$G$3:$J$114,2,0)</f>
        <v>#N/A</v>
      </c>
      <c r="AJ346" s="2" t="e">
        <f>IF(Z346="울산정일","KRONS",IF(Z346="울산신항","KRUSN",IF(OR(Z346="선광종합물류(인천여객)",Z346="인천여객(인천여객)"),"KRINF",IF(OR(Z346="선광인천보세(인천신)",Z346="한진인천(인천신)",Z346="선광인천신항(인천신)",Z346="인천더로지스(인천신)"),"KRINN",IF(OR(Z346="인천진아(인천항)",Z346="인천E1(인천항)",Z346="인천SM경인터미널(인천항)",Z346="인천항(인천항)",Z346="인천우련(인천항)",Z346="인천항8부두(인천항)"),"KRINC",VLOOKUP(K346,GLAPS정리!$BB$2:$BC$33,2,0))))))</f>
        <v>#N/A</v>
      </c>
      <c r="AL346" s="2">
        <f t="shared" si="81"/>
        <v>5010001</v>
      </c>
      <c r="AN346" s="70" t="str">
        <f t="shared" si="82"/>
        <v>1900-01-00</v>
      </c>
      <c r="AO346" s="2" t="str">
        <f t="shared" si="83"/>
        <v/>
      </c>
      <c r="AP346" s="2" t="e">
        <f>VLOOKUP(C346,GLAPS정리!$AX$2:$AZ$17,3,0)</f>
        <v>#N/A</v>
      </c>
      <c r="AR346" s="2">
        <f t="shared" si="89"/>
        <v>0</v>
      </c>
      <c r="AX346" s="2" t="e">
        <f>VLOOKUP(L346,GLAPS정리!$V$3:$W$180,2,0)</f>
        <v>#N/A</v>
      </c>
      <c r="BM346" s="2" t="str">
        <f t="shared" si="84"/>
        <v xml:space="preserve"> </v>
      </c>
      <c r="BN346" s="2">
        <f t="shared" si="85"/>
        <v>1</v>
      </c>
      <c r="BR346" s="2" t="str">
        <f t="shared" si="86"/>
        <v/>
      </c>
      <c r="BS346" s="2" t="str">
        <f t="shared" si="87"/>
        <v/>
      </c>
      <c r="BV346" s="2" t="e">
        <f>VLOOKUP(O346,GLAPS정리!$BH$2:$BI$94,2,0)</f>
        <v>#N/A</v>
      </c>
      <c r="BW346" s="2" t="str">
        <f>IF(OR(Z346="동원",Z346="세방",Z346="한타"),"",IFERROR(INDEX(GLAPS정리!$BI$2:$BI$101,MATCH(Z346,GLAPS정리!$BH$2:$BH$101,0)),""))</f>
        <v/>
      </c>
      <c r="BX346" s="2" t="str">
        <f>IF(Z346="","",IFERROR(VLOOKUP(Z346,GLAPS정리!$AX$2:$AZ$17,3,0),""))</f>
        <v/>
      </c>
      <c r="BZ346" s="2" t="e">
        <f>VLOOKUP(H346,GLAPS정리!$L$3:$O$133,2,0)</f>
        <v>#N/A</v>
      </c>
      <c r="CA346" s="2" t="str">
        <f t="shared" si="88"/>
        <v/>
      </c>
      <c r="CL346" s="2" t="e">
        <f>VLOOKUP(AI346,GLAPS정리!$BT$3:$BV$26,3,0)</f>
        <v>#N/A</v>
      </c>
    </row>
    <row r="347" spans="2:90" ht="20.45" customHeight="1">
      <c r="B347" s="13"/>
      <c r="G347" s="3"/>
      <c r="J347" s="3"/>
      <c r="Q347" s="3" t="str">
        <f t="shared" si="76"/>
        <v/>
      </c>
      <c r="R347" s="3" t="str">
        <f t="shared" si="77"/>
        <v/>
      </c>
      <c r="S347" s="3" t="str">
        <f t="shared" si="78"/>
        <v/>
      </c>
      <c r="X347" s="13"/>
      <c r="Y347" s="13"/>
      <c r="Z347" s="91"/>
      <c r="AC347" s="2">
        <f t="shared" si="79"/>
        <v>20</v>
      </c>
      <c r="AD347" s="2" t="str">
        <f>IFERROR(INDEX(GLAPS정리!$D$2:$D$50,MATCH(I347,GLAPS정리!$A$2:$A$50,0)),IFERROR(INDEX(GLAPS정리!$D$2:$D$50,MATCH(I347,GLAPS정리!$B$2:$B$50,0)),""))</f>
        <v/>
      </c>
      <c r="AF347" s="2" t="str">
        <f t="shared" si="80"/>
        <v>KR10</v>
      </c>
      <c r="AI347" s="2" t="e">
        <f>VLOOKUP(F347,GLAPS정리!$G$3:$J$114,2,0)</f>
        <v>#N/A</v>
      </c>
      <c r="AJ347" s="2" t="e">
        <f>IF(Z347="울산정일","KRONS",IF(Z347="울산신항","KRUSN",IF(OR(Z347="선광종합물류(인천여객)",Z347="인천여객(인천여객)"),"KRINF",IF(OR(Z347="선광인천보세(인천신)",Z347="한진인천(인천신)",Z347="선광인천신항(인천신)",Z347="인천더로지스(인천신)"),"KRINN",IF(OR(Z347="인천진아(인천항)",Z347="인천E1(인천항)",Z347="인천SM경인터미널(인천항)",Z347="인천항(인천항)",Z347="인천우련(인천항)",Z347="인천항8부두(인천항)"),"KRINC",VLOOKUP(K347,GLAPS정리!$BB$2:$BC$33,2,0))))))</f>
        <v>#N/A</v>
      </c>
      <c r="AL347" s="2">
        <f t="shared" si="81"/>
        <v>5010001</v>
      </c>
      <c r="AN347" s="70" t="str">
        <f t="shared" si="82"/>
        <v>1900-01-00</v>
      </c>
      <c r="AO347" s="2" t="str">
        <f t="shared" si="83"/>
        <v/>
      </c>
      <c r="AP347" s="2" t="e">
        <f>VLOOKUP(C347,GLAPS정리!$AX$2:$AZ$17,3,0)</f>
        <v>#N/A</v>
      </c>
      <c r="AR347" s="2">
        <f t="shared" si="89"/>
        <v>0</v>
      </c>
      <c r="AX347" s="2" t="e">
        <f>VLOOKUP(L347,GLAPS정리!$V$3:$W$180,2,0)</f>
        <v>#N/A</v>
      </c>
      <c r="BM347" s="2" t="str">
        <f t="shared" si="84"/>
        <v xml:space="preserve"> </v>
      </c>
      <c r="BN347" s="2">
        <f t="shared" si="85"/>
        <v>1</v>
      </c>
      <c r="BR347" s="2" t="str">
        <f t="shared" si="86"/>
        <v/>
      </c>
      <c r="BS347" s="2" t="str">
        <f t="shared" si="87"/>
        <v/>
      </c>
      <c r="BV347" s="2" t="e">
        <f>VLOOKUP(O347,GLAPS정리!$BH$2:$BI$94,2,0)</f>
        <v>#N/A</v>
      </c>
      <c r="BW347" s="2" t="str">
        <f>IF(OR(Z347="동원",Z347="세방",Z347="한타"),"",IFERROR(INDEX(GLAPS정리!$BI$2:$BI$101,MATCH(Z347,GLAPS정리!$BH$2:$BH$101,0)),""))</f>
        <v/>
      </c>
      <c r="BX347" s="2" t="str">
        <f>IF(Z347="","",IFERROR(VLOOKUP(Z347,GLAPS정리!$AX$2:$AZ$17,3,0),""))</f>
        <v/>
      </c>
      <c r="BZ347" s="2" t="e">
        <f>VLOOKUP(H347,GLAPS정리!$L$3:$O$133,2,0)</f>
        <v>#N/A</v>
      </c>
      <c r="CA347" s="2" t="str">
        <f t="shared" si="88"/>
        <v/>
      </c>
      <c r="CL347" s="2" t="e">
        <f>VLOOKUP(AI347,GLAPS정리!$BT$3:$BV$26,3,0)</f>
        <v>#N/A</v>
      </c>
    </row>
    <row r="348" spans="2:90" ht="20.45" customHeight="1">
      <c r="B348" s="13"/>
      <c r="G348" s="3"/>
      <c r="J348" s="3"/>
      <c r="Q348" s="3" t="str">
        <f t="shared" si="76"/>
        <v/>
      </c>
      <c r="R348" s="3" t="str">
        <f t="shared" si="77"/>
        <v/>
      </c>
      <c r="S348" s="3" t="str">
        <f t="shared" si="78"/>
        <v/>
      </c>
      <c r="X348" s="13"/>
      <c r="Y348" s="13"/>
      <c r="Z348" s="91"/>
      <c r="AC348" s="2">
        <f t="shared" si="79"/>
        <v>20</v>
      </c>
      <c r="AD348" s="2" t="str">
        <f>IFERROR(INDEX(GLAPS정리!$D$2:$D$50,MATCH(I348,GLAPS정리!$A$2:$A$50,0)),IFERROR(INDEX(GLAPS정리!$D$2:$D$50,MATCH(I348,GLAPS정리!$B$2:$B$50,0)),""))</f>
        <v/>
      </c>
      <c r="AF348" s="2" t="str">
        <f t="shared" si="80"/>
        <v>KR10</v>
      </c>
      <c r="AI348" s="2" t="e">
        <f>VLOOKUP(F348,GLAPS정리!$G$3:$J$114,2,0)</f>
        <v>#N/A</v>
      </c>
      <c r="AJ348" s="2" t="e">
        <f>IF(Z348="울산정일","KRONS",IF(Z348="울산신항","KRUSN",IF(OR(Z348="선광종합물류(인천여객)",Z348="인천여객(인천여객)"),"KRINF",IF(OR(Z348="선광인천보세(인천신)",Z348="한진인천(인천신)",Z348="선광인천신항(인천신)",Z348="인천더로지스(인천신)"),"KRINN",IF(OR(Z348="인천진아(인천항)",Z348="인천E1(인천항)",Z348="인천SM경인터미널(인천항)",Z348="인천항(인천항)",Z348="인천우련(인천항)",Z348="인천항8부두(인천항)"),"KRINC",VLOOKUP(K348,GLAPS정리!$BB$2:$BC$33,2,0))))))</f>
        <v>#N/A</v>
      </c>
      <c r="AL348" s="2">
        <f t="shared" si="81"/>
        <v>5010001</v>
      </c>
      <c r="AN348" s="70" t="str">
        <f t="shared" si="82"/>
        <v>1900-01-00</v>
      </c>
      <c r="AO348" s="2" t="str">
        <f t="shared" si="83"/>
        <v/>
      </c>
      <c r="AP348" s="2" t="e">
        <f>VLOOKUP(C348,GLAPS정리!$AX$2:$AZ$17,3,0)</f>
        <v>#N/A</v>
      </c>
      <c r="AR348" s="2">
        <f t="shared" si="89"/>
        <v>0</v>
      </c>
      <c r="AX348" s="2" t="e">
        <f>VLOOKUP(L348,GLAPS정리!$V$3:$W$180,2,0)</f>
        <v>#N/A</v>
      </c>
      <c r="BM348" s="2" t="str">
        <f t="shared" si="84"/>
        <v xml:space="preserve"> </v>
      </c>
      <c r="BN348" s="2">
        <f t="shared" si="85"/>
        <v>1</v>
      </c>
      <c r="BR348" s="2" t="str">
        <f t="shared" si="86"/>
        <v/>
      </c>
      <c r="BS348" s="2" t="str">
        <f t="shared" si="87"/>
        <v/>
      </c>
      <c r="BV348" s="2" t="e">
        <f>VLOOKUP(O348,GLAPS정리!$BH$2:$BI$94,2,0)</f>
        <v>#N/A</v>
      </c>
      <c r="BW348" s="2" t="str">
        <f>IF(OR(Z348="동원",Z348="세방",Z348="한타"),"",IFERROR(INDEX(GLAPS정리!$BI$2:$BI$101,MATCH(Z348,GLAPS정리!$BH$2:$BH$101,0)),""))</f>
        <v/>
      </c>
      <c r="BX348" s="2" t="str">
        <f>IF(Z348="","",IFERROR(VLOOKUP(Z348,GLAPS정리!$AX$2:$AZ$17,3,0),""))</f>
        <v/>
      </c>
      <c r="BZ348" s="2" t="e">
        <f>VLOOKUP(H348,GLAPS정리!$L$3:$O$133,2,0)</f>
        <v>#N/A</v>
      </c>
      <c r="CA348" s="2" t="str">
        <f t="shared" si="88"/>
        <v/>
      </c>
      <c r="CL348" s="2" t="e">
        <f>VLOOKUP(AI348,GLAPS정리!$BT$3:$BV$26,3,0)</f>
        <v>#N/A</v>
      </c>
    </row>
    <row r="349" spans="2:90" ht="20.45" customHeight="1">
      <c r="B349" s="13"/>
      <c r="G349" s="3"/>
      <c r="J349" s="3"/>
      <c r="Q349" s="3" t="str">
        <f t="shared" si="76"/>
        <v/>
      </c>
      <c r="R349" s="3" t="str">
        <f t="shared" si="77"/>
        <v/>
      </c>
      <c r="S349" s="3" t="str">
        <f t="shared" si="78"/>
        <v/>
      </c>
      <c r="X349" s="13"/>
      <c r="Y349" s="13"/>
      <c r="Z349" s="91"/>
      <c r="AC349" s="2">
        <f t="shared" si="79"/>
        <v>20</v>
      </c>
      <c r="AD349" s="2" t="str">
        <f>IFERROR(INDEX(GLAPS정리!$D$2:$D$50,MATCH(I349,GLAPS정리!$A$2:$A$50,0)),IFERROR(INDEX(GLAPS정리!$D$2:$D$50,MATCH(I349,GLAPS정리!$B$2:$B$50,0)),""))</f>
        <v/>
      </c>
      <c r="AF349" s="2" t="str">
        <f t="shared" si="80"/>
        <v>KR10</v>
      </c>
      <c r="AI349" s="2" t="e">
        <f>VLOOKUP(F349,GLAPS정리!$G$3:$J$114,2,0)</f>
        <v>#N/A</v>
      </c>
      <c r="AJ349" s="2" t="e">
        <f>IF(Z349="울산정일","KRONS",IF(Z349="울산신항","KRUSN",IF(OR(Z349="선광종합물류(인천여객)",Z349="인천여객(인천여객)"),"KRINF",IF(OR(Z349="선광인천보세(인천신)",Z349="한진인천(인천신)",Z349="선광인천신항(인천신)",Z349="인천더로지스(인천신)"),"KRINN",IF(OR(Z349="인천진아(인천항)",Z349="인천E1(인천항)",Z349="인천SM경인터미널(인천항)",Z349="인천항(인천항)",Z349="인천우련(인천항)",Z349="인천항8부두(인천항)"),"KRINC",VLOOKUP(K349,GLAPS정리!$BB$2:$BC$33,2,0))))))</f>
        <v>#N/A</v>
      </c>
      <c r="AL349" s="2">
        <f t="shared" si="81"/>
        <v>5010001</v>
      </c>
      <c r="AN349" s="70" t="str">
        <f t="shared" si="82"/>
        <v>1900-01-00</v>
      </c>
      <c r="AO349" s="2" t="str">
        <f t="shared" si="83"/>
        <v/>
      </c>
      <c r="AP349" s="2" t="e">
        <f>VLOOKUP(C349,GLAPS정리!$AX$2:$AZ$17,3,0)</f>
        <v>#N/A</v>
      </c>
      <c r="AR349" s="2">
        <f t="shared" si="89"/>
        <v>0</v>
      </c>
      <c r="AX349" s="2" t="e">
        <f>VLOOKUP(L349,GLAPS정리!$V$3:$W$180,2,0)</f>
        <v>#N/A</v>
      </c>
      <c r="BM349" s="2" t="str">
        <f t="shared" si="84"/>
        <v xml:space="preserve"> </v>
      </c>
      <c r="BN349" s="2">
        <f t="shared" si="85"/>
        <v>1</v>
      </c>
      <c r="BR349" s="2" t="str">
        <f t="shared" si="86"/>
        <v/>
      </c>
      <c r="BS349" s="2" t="str">
        <f t="shared" si="87"/>
        <v/>
      </c>
      <c r="BV349" s="2" t="e">
        <f>VLOOKUP(O349,GLAPS정리!$BH$2:$BI$94,2,0)</f>
        <v>#N/A</v>
      </c>
      <c r="BW349" s="2" t="str">
        <f>IF(OR(Z349="동원",Z349="세방",Z349="한타"),"",IFERROR(INDEX(GLAPS정리!$BI$2:$BI$101,MATCH(Z349,GLAPS정리!$BH$2:$BH$101,0)),""))</f>
        <v/>
      </c>
      <c r="BX349" s="2" t="str">
        <f>IF(Z349="","",IFERROR(VLOOKUP(Z349,GLAPS정리!$AX$2:$AZ$17,3,0),""))</f>
        <v/>
      </c>
      <c r="BZ349" s="2" t="e">
        <f>VLOOKUP(H349,GLAPS정리!$L$3:$O$133,2,0)</f>
        <v>#N/A</v>
      </c>
      <c r="CA349" s="2" t="str">
        <f t="shared" si="88"/>
        <v/>
      </c>
      <c r="CL349" s="2" t="e">
        <f>VLOOKUP(AI349,GLAPS정리!$BT$3:$BV$26,3,0)</f>
        <v>#N/A</v>
      </c>
    </row>
    <row r="350" spans="2:90" ht="20.45" customHeight="1">
      <c r="B350" s="13"/>
      <c r="G350" s="3"/>
      <c r="J350" s="3"/>
      <c r="Q350" s="3" t="str">
        <f t="shared" si="76"/>
        <v/>
      </c>
      <c r="R350" s="3" t="str">
        <f t="shared" si="77"/>
        <v/>
      </c>
      <c r="S350" s="3" t="str">
        <f t="shared" si="78"/>
        <v/>
      </c>
      <c r="X350" s="13"/>
      <c r="Y350" s="13"/>
      <c r="Z350" s="91"/>
      <c r="AC350" s="2">
        <f t="shared" si="79"/>
        <v>20</v>
      </c>
      <c r="AD350" s="2" t="str">
        <f>IFERROR(INDEX(GLAPS정리!$D$2:$D$50,MATCH(I350,GLAPS정리!$A$2:$A$50,0)),IFERROR(INDEX(GLAPS정리!$D$2:$D$50,MATCH(I350,GLAPS정리!$B$2:$B$50,0)),""))</f>
        <v/>
      </c>
      <c r="AF350" s="2" t="str">
        <f t="shared" si="80"/>
        <v>KR10</v>
      </c>
      <c r="AI350" s="2" t="e">
        <f>VLOOKUP(F350,GLAPS정리!$G$3:$J$114,2,0)</f>
        <v>#N/A</v>
      </c>
      <c r="AJ350" s="2" t="e">
        <f>IF(Z350="울산정일","KRONS",IF(Z350="울산신항","KRUSN",IF(OR(Z350="선광종합물류(인천여객)",Z350="인천여객(인천여객)"),"KRINF",IF(OR(Z350="선광인천보세(인천신)",Z350="한진인천(인천신)",Z350="선광인천신항(인천신)",Z350="인천더로지스(인천신)"),"KRINN",IF(OR(Z350="인천진아(인천항)",Z350="인천E1(인천항)",Z350="인천SM경인터미널(인천항)",Z350="인천항(인천항)",Z350="인천우련(인천항)",Z350="인천항8부두(인천항)"),"KRINC",VLOOKUP(K350,GLAPS정리!$BB$2:$BC$33,2,0))))))</f>
        <v>#N/A</v>
      </c>
      <c r="AL350" s="2">
        <f t="shared" si="81"/>
        <v>5010001</v>
      </c>
      <c r="AN350" s="70" t="str">
        <f t="shared" si="82"/>
        <v>1900-01-00</v>
      </c>
      <c r="AO350" s="2" t="str">
        <f t="shared" si="83"/>
        <v/>
      </c>
      <c r="AP350" s="2" t="e">
        <f>VLOOKUP(C350,GLAPS정리!$AX$2:$AZ$17,3,0)</f>
        <v>#N/A</v>
      </c>
      <c r="AR350" s="2">
        <f t="shared" si="89"/>
        <v>0</v>
      </c>
      <c r="AX350" s="2" t="e">
        <f>VLOOKUP(L350,GLAPS정리!$V$3:$W$180,2,0)</f>
        <v>#N/A</v>
      </c>
      <c r="BM350" s="2" t="str">
        <f t="shared" si="84"/>
        <v xml:space="preserve"> </v>
      </c>
      <c r="BN350" s="2">
        <f t="shared" si="85"/>
        <v>1</v>
      </c>
      <c r="BR350" s="2" t="str">
        <f t="shared" si="86"/>
        <v/>
      </c>
      <c r="BS350" s="2" t="str">
        <f t="shared" si="87"/>
        <v/>
      </c>
      <c r="BV350" s="2" t="e">
        <f>VLOOKUP(O350,GLAPS정리!$BH$2:$BI$94,2,0)</f>
        <v>#N/A</v>
      </c>
      <c r="BW350" s="2" t="str">
        <f>IF(OR(Z350="동원",Z350="세방",Z350="한타"),"",IFERROR(INDEX(GLAPS정리!$BI$2:$BI$101,MATCH(Z350,GLAPS정리!$BH$2:$BH$101,0)),""))</f>
        <v/>
      </c>
      <c r="BX350" s="2" t="str">
        <f>IF(Z350="","",IFERROR(VLOOKUP(Z350,GLAPS정리!$AX$2:$AZ$17,3,0),""))</f>
        <v/>
      </c>
      <c r="BZ350" s="2" t="e">
        <f>VLOOKUP(H350,GLAPS정리!$L$3:$O$133,2,0)</f>
        <v>#N/A</v>
      </c>
      <c r="CA350" s="2" t="str">
        <f t="shared" si="88"/>
        <v/>
      </c>
      <c r="CL350" s="2" t="e">
        <f>VLOOKUP(AI350,GLAPS정리!$BT$3:$BV$26,3,0)</f>
        <v>#N/A</v>
      </c>
    </row>
    <row r="351" spans="2:90" ht="20.45" customHeight="1">
      <c r="B351" s="13"/>
      <c r="G351" s="3"/>
      <c r="J351" s="3"/>
      <c r="Q351" s="3" t="str">
        <f t="shared" si="76"/>
        <v/>
      </c>
      <c r="R351" s="3" t="str">
        <f t="shared" si="77"/>
        <v/>
      </c>
      <c r="S351" s="3" t="str">
        <f t="shared" si="78"/>
        <v/>
      </c>
      <c r="X351" s="13"/>
      <c r="Y351" s="13"/>
      <c r="Z351" s="91"/>
      <c r="AC351" s="2">
        <f t="shared" si="79"/>
        <v>20</v>
      </c>
      <c r="AD351" s="2" t="str">
        <f>IFERROR(INDEX(GLAPS정리!$D$2:$D$50,MATCH(I351,GLAPS정리!$A$2:$A$50,0)),IFERROR(INDEX(GLAPS정리!$D$2:$D$50,MATCH(I351,GLAPS정리!$B$2:$B$50,0)),""))</f>
        <v/>
      </c>
      <c r="AF351" s="2" t="str">
        <f t="shared" si="80"/>
        <v>KR10</v>
      </c>
      <c r="AI351" s="2" t="e">
        <f>VLOOKUP(F351,GLAPS정리!$G$3:$J$114,2,0)</f>
        <v>#N/A</v>
      </c>
      <c r="AJ351" s="2" t="e">
        <f>IF(Z351="울산정일","KRONS",IF(Z351="울산신항","KRUSN",IF(OR(Z351="선광종합물류(인천여객)",Z351="인천여객(인천여객)"),"KRINF",IF(OR(Z351="선광인천보세(인천신)",Z351="한진인천(인천신)",Z351="선광인천신항(인천신)",Z351="인천더로지스(인천신)"),"KRINN",IF(OR(Z351="인천진아(인천항)",Z351="인천E1(인천항)",Z351="인천SM경인터미널(인천항)",Z351="인천항(인천항)",Z351="인천우련(인천항)",Z351="인천항8부두(인천항)"),"KRINC",VLOOKUP(K351,GLAPS정리!$BB$2:$BC$33,2,0))))))</f>
        <v>#N/A</v>
      </c>
      <c r="AL351" s="2">
        <f t="shared" si="81"/>
        <v>5010001</v>
      </c>
      <c r="AN351" s="70" t="str">
        <f t="shared" si="82"/>
        <v>1900-01-00</v>
      </c>
      <c r="AO351" s="2" t="str">
        <f t="shared" si="83"/>
        <v/>
      </c>
      <c r="AP351" s="2" t="e">
        <f>VLOOKUP(C351,GLAPS정리!$AX$2:$AZ$17,3,0)</f>
        <v>#N/A</v>
      </c>
      <c r="AR351" s="2">
        <f t="shared" si="89"/>
        <v>0</v>
      </c>
      <c r="AX351" s="2" t="e">
        <f>VLOOKUP(L351,GLAPS정리!$V$3:$W$180,2,0)</f>
        <v>#N/A</v>
      </c>
      <c r="BM351" s="2" t="str">
        <f t="shared" si="84"/>
        <v xml:space="preserve"> </v>
      </c>
      <c r="BN351" s="2">
        <f t="shared" si="85"/>
        <v>1</v>
      </c>
      <c r="BR351" s="2" t="str">
        <f t="shared" si="86"/>
        <v/>
      </c>
      <c r="BS351" s="2" t="str">
        <f t="shared" si="87"/>
        <v/>
      </c>
      <c r="BV351" s="2" t="e">
        <f>VLOOKUP(O351,GLAPS정리!$BH$2:$BI$94,2,0)</f>
        <v>#N/A</v>
      </c>
      <c r="BW351" s="2" t="str">
        <f>IF(OR(Z351="동원",Z351="세방",Z351="한타"),"",IFERROR(INDEX(GLAPS정리!$BI$2:$BI$101,MATCH(Z351,GLAPS정리!$BH$2:$BH$101,0)),""))</f>
        <v/>
      </c>
      <c r="BX351" s="2" t="str">
        <f>IF(Z351="","",IFERROR(VLOOKUP(Z351,GLAPS정리!$AX$2:$AZ$17,3,0),""))</f>
        <v/>
      </c>
      <c r="BZ351" s="2" t="e">
        <f>VLOOKUP(H351,GLAPS정리!$L$3:$O$133,2,0)</f>
        <v>#N/A</v>
      </c>
      <c r="CA351" s="2" t="str">
        <f t="shared" si="88"/>
        <v/>
      </c>
      <c r="CL351" s="2" t="e">
        <f>VLOOKUP(AI351,GLAPS정리!$BT$3:$BV$26,3,0)</f>
        <v>#N/A</v>
      </c>
    </row>
    <row r="352" spans="2:90" ht="20.45" customHeight="1">
      <c r="B352" s="13"/>
      <c r="G352" s="3"/>
      <c r="J352" s="3"/>
      <c r="Q352" s="3" t="str">
        <f t="shared" si="76"/>
        <v/>
      </c>
      <c r="R352" s="3" t="str">
        <f t="shared" si="77"/>
        <v/>
      </c>
      <c r="S352" s="3" t="str">
        <f t="shared" si="78"/>
        <v/>
      </c>
      <c r="X352" s="13"/>
      <c r="Y352" s="13"/>
      <c r="Z352" s="91"/>
      <c r="AC352" s="2">
        <f t="shared" si="79"/>
        <v>20</v>
      </c>
      <c r="AD352" s="2" t="str">
        <f>IFERROR(INDEX(GLAPS정리!$D$2:$D$50,MATCH(I352,GLAPS정리!$A$2:$A$50,0)),IFERROR(INDEX(GLAPS정리!$D$2:$D$50,MATCH(I352,GLAPS정리!$B$2:$B$50,0)),""))</f>
        <v/>
      </c>
      <c r="AF352" s="2" t="str">
        <f t="shared" si="80"/>
        <v>KR10</v>
      </c>
      <c r="AI352" s="2" t="e">
        <f>VLOOKUP(F352,GLAPS정리!$G$3:$J$114,2,0)</f>
        <v>#N/A</v>
      </c>
      <c r="AJ352" s="2" t="e">
        <f>IF(Z352="울산정일","KRONS",IF(Z352="울산신항","KRUSN",IF(OR(Z352="선광종합물류(인천여객)",Z352="인천여객(인천여객)"),"KRINF",IF(OR(Z352="선광인천보세(인천신)",Z352="한진인천(인천신)",Z352="선광인천신항(인천신)",Z352="인천더로지스(인천신)"),"KRINN",IF(OR(Z352="인천진아(인천항)",Z352="인천E1(인천항)",Z352="인천SM경인터미널(인천항)",Z352="인천항(인천항)",Z352="인천우련(인천항)",Z352="인천항8부두(인천항)"),"KRINC",VLOOKUP(K352,GLAPS정리!$BB$2:$BC$33,2,0))))))</f>
        <v>#N/A</v>
      </c>
      <c r="AL352" s="2">
        <f t="shared" si="81"/>
        <v>5010001</v>
      </c>
      <c r="AN352" s="70" t="str">
        <f t="shared" si="82"/>
        <v>1900-01-00</v>
      </c>
      <c r="AO352" s="2" t="str">
        <f t="shared" si="83"/>
        <v/>
      </c>
      <c r="AP352" s="2" t="e">
        <f>VLOOKUP(C352,GLAPS정리!$AX$2:$AZ$17,3,0)</f>
        <v>#N/A</v>
      </c>
      <c r="AR352" s="2">
        <f t="shared" si="89"/>
        <v>0</v>
      </c>
      <c r="AX352" s="2" t="e">
        <f>VLOOKUP(L352,GLAPS정리!$V$3:$W$180,2,0)</f>
        <v>#N/A</v>
      </c>
      <c r="BM352" s="2" t="str">
        <f t="shared" si="84"/>
        <v xml:space="preserve"> </v>
      </c>
      <c r="BN352" s="2">
        <f t="shared" si="85"/>
        <v>1</v>
      </c>
      <c r="BR352" s="2" t="str">
        <f t="shared" si="86"/>
        <v/>
      </c>
      <c r="BS352" s="2" t="str">
        <f t="shared" si="87"/>
        <v/>
      </c>
      <c r="BV352" s="2" t="e">
        <f>VLOOKUP(O352,GLAPS정리!$BH$2:$BI$94,2,0)</f>
        <v>#N/A</v>
      </c>
      <c r="BW352" s="2" t="str">
        <f>IF(OR(Z352="동원",Z352="세방",Z352="한타"),"",IFERROR(INDEX(GLAPS정리!$BI$2:$BI$101,MATCH(Z352,GLAPS정리!$BH$2:$BH$101,0)),""))</f>
        <v/>
      </c>
      <c r="BX352" s="2" t="str">
        <f>IF(Z352="","",IFERROR(VLOOKUP(Z352,GLAPS정리!$AX$2:$AZ$17,3,0),""))</f>
        <v/>
      </c>
      <c r="BZ352" s="2" t="e">
        <f>VLOOKUP(H352,GLAPS정리!$L$3:$O$133,2,0)</f>
        <v>#N/A</v>
      </c>
      <c r="CA352" s="2" t="str">
        <f t="shared" si="88"/>
        <v/>
      </c>
      <c r="CL352" s="2" t="e">
        <f>VLOOKUP(AI352,GLAPS정리!$BT$3:$BV$26,3,0)</f>
        <v>#N/A</v>
      </c>
    </row>
    <row r="353" spans="2:90" ht="20.45" customHeight="1">
      <c r="B353" s="13"/>
      <c r="G353" s="3"/>
      <c r="J353" s="3"/>
      <c r="Q353" s="3" t="str">
        <f t="shared" si="76"/>
        <v/>
      </c>
      <c r="R353" s="3" t="str">
        <f t="shared" si="77"/>
        <v/>
      </c>
      <c r="S353" s="3" t="str">
        <f t="shared" si="78"/>
        <v/>
      </c>
      <c r="X353" s="13"/>
      <c r="Y353" s="13"/>
      <c r="Z353" s="91"/>
      <c r="AC353" s="2">
        <f t="shared" si="79"/>
        <v>20</v>
      </c>
      <c r="AD353" s="2" t="str">
        <f>IFERROR(INDEX(GLAPS정리!$D$2:$D$50,MATCH(I353,GLAPS정리!$A$2:$A$50,0)),IFERROR(INDEX(GLAPS정리!$D$2:$D$50,MATCH(I353,GLAPS정리!$B$2:$B$50,0)),""))</f>
        <v/>
      </c>
      <c r="AF353" s="2" t="str">
        <f t="shared" si="80"/>
        <v>KR10</v>
      </c>
      <c r="AI353" s="2" t="e">
        <f>VLOOKUP(F353,GLAPS정리!$G$3:$J$114,2,0)</f>
        <v>#N/A</v>
      </c>
      <c r="AJ353" s="2" t="e">
        <f>IF(Z353="울산정일","KRONS",IF(Z353="울산신항","KRUSN",IF(OR(Z353="선광종합물류(인천여객)",Z353="인천여객(인천여객)"),"KRINF",IF(OR(Z353="선광인천보세(인천신)",Z353="한진인천(인천신)",Z353="선광인천신항(인천신)",Z353="인천더로지스(인천신)"),"KRINN",IF(OR(Z353="인천진아(인천항)",Z353="인천E1(인천항)",Z353="인천SM경인터미널(인천항)",Z353="인천항(인천항)",Z353="인천우련(인천항)",Z353="인천항8부두(인천항)"),"KRINC",VLOOKUP(K353,GLAPS정리!$BB$2:$BC$33,2,0))))))</f>
        <v>#N/A</v>
      </c>
      <c r="AL353" s="2">
        <f t="shared" si="81"/>
        <v>5010001</v>
      </c>
      <c r="AN353" s="70" t="str">
        <f t="shared" si="82"/>
        <v>1900-01-00</v>
      </c>
      <c r="AO353" s="2" t="str">
        <f t="shared" si="83"/>
        <v/>
      </c>
      <c r="AP353" s="2" t="e">
        <f>VLOOKUP(C353,GLAPS정리!$AX$2:$AZ$17,3,0)</f>
        <v>#N/A</v>
      </c>
      <c r="AR353" s="2">
        <f t="shared" si="89"/>
        <v>0</v>
      </c>
      <c r="AX353" s="2" t="e">
        <f>VLOOKUP(L353,GLAPS정리!$V$3:$W$180,2,0)</f>
        <v>#N/A</v>
      </c>
      <c r="BM353" s="2" t="str">
        <f t="shared" si="84"/>
        <v xml:space="preserve"> </v>
      </c>
      <c r="BN353" s="2">
        <f t="shared" si="85"/>
        <v>1</v>
      </c>
      <c r="BR353" s="2" t="str">
        <f t="shared" si="86"/>
        <v/>
      </c>
      <c r="BS353" s="2" t="str">
        <f t="shared" si="87"/>
        <v/>
      </c>
      <c r="BV353" s="2" t="e">
        <f>VLOOKUP(O353,GLAPS정리!$BH$2:$BI$94,2,0)</f>
        <v>#N/A</v>
      </c>
      <c r="BW353" s="2" t="str">
        <f>IF(OR(Z353="동원",Z353="세방",Z353="한타"),"",IFERROR(INDEX(GLAPS정리!$BI$2:$BI$101,MATCH(Z353,GLAPS정리!$BH$2:$BH$101,0)),""))</f>
        <v/>
      </c>
      <c r="BX353" s="2" t="str">
        <f>IF(Z353="","",IFERROR(VLOOKUP(Z353,GLAPS정리!$AX$2:$AZ$17,3,0),""))</f>
        <v/>
      </c>
      <c r="BZ353" s="2" t="e">
        <f>VLOOKUP(H353,GLAPS정리!$L$3:$O$133,2,0)</f>
        <v>#N/A</v>
      </c>
      <c r="CA353" s="2" t="str">
        <f t="shared" si="88"/>
        <v/>
      </c>
      <c r="CL353" s="2" t="e">
        <f>VLOOKUP(AI353,GLAPS정리!$BT$3:$BV$26,3,0)</f>
        <v>#N/A</v>
      </c>
    </row>
    <row r="354" spans="2:90" ht="20.45" customHeight="1">
      <c r="B354" s="13"/>
      <c r="G354" s="3"/>
      <c r="J354" s="3"/>
      <c r="Q354" s="3" t="str">
        <f t="shared" si="76"/>
        <v/>
      </c>
      <c r="R354" s="3" t="str">
        <f t="shared" si="77"/>
        <v/>
      </c>
      <c r="S354" s="3" t="str">
        <f t="shared" si="78"/>
        <v/>
      </c>
      <c r="X354" s="13"/>
      <c r="Y354" s="13"/>
      <c r="Z354" s="91"/>
      <c r="AC354" s="2">
        <f t="shared" si="79"/>
        <v>20</v>
      </c>
      <c r="AD354" s="2" t="str">
        <f>IFERROR(INDEX(GLAPS정리!$D$2:$D$50,MATCH(I354,GLAPS정리!$A$2:$A$50,0)),IFERROR(INDEX(GLAPS정리!$D$2:$D$50,MATCH(I354,GLAPS정리!$B$2:$B$50,0)),""))</f>
        <v/>
      </c>
      <c r="AF354" s="2" t="str">
        <f t="shared" si="80"/>
        <v>KR10</v>
      </c>
      <c r="AI354" s="2" t="e">
        <f>VLOOKUP(F354,GLAPS정리!$G$3:$J$114,2,0)</f>
        <v>#N/A</v>
      </c>
      <c r="AJ354" s="2" t="e">
        <f>IF(Z354="울산정일","KRONS",IF(Z354="울산신항","KRUSN",IF(OR(Z354="선광종합물류(인천여객)",Z354="인천여객(인천여객)"),"KRINF",IF(OR(Z354="선광인천보세(인천신)",Z354="한진인천(인천신)",Z354="선광인천신항(인천신)",Z354="인천더로지스(인천신)"),"KRINN",IF(OR(Z354="인천진아(인천항)",Z354="인천E1(인천항)",Z354="인천SM경인터미널(인천항)",Z354="인천항(인천항)",Z354="인천우련(인천항)",Z354="인천항8부두(인천항)"),"KRINC",VLOOKUP(K354,GLAPS정리!$BB$2:$BC$33,2,0))))))</f>
        <v>#N/A</v>
      </c>
      <c r="AL354" s="2">
        <f t="shared" si="81"/>
        <v>5010001</v>
      </c>
      <c r="AN354" s="70" t="str">
        <f t="shared" si="82"/>
        <v>1900-01-00</v>
      </c>
      <c r="AO354" s="2" t="str">
        <f t="shared" si="83"/>
        <v/>
      </c>
      <c r="AP354" s="2" t="e">
        <f>VLOOKUP(C354,GLAPS정리!$AX$2:$AZ$17,3,0)</f>
        <v>#N/A</v>
      </c>
      <c r="AR354" s="2">
        <f t="shared" si="89"/>
        <v>0</v>
      </c>
      <c r="AX354" s="2" t="e">
        <f>VLOOKUP(L354,GLAPS정리!$V$3:$W$180,2,0)</f>
        <v>#N/A</v>
      </c>
      <c r="BM354" s="2" t="str">
        <f t="shared" si="84"/>
        <v xml:space="preserve"> </v>
      </c>
      <c r="BN354" s="2">
        <f t="shared" si="85"/>
        <v>1</v>
      </c>
      <c r="BR354" s="2" t="str">
        <f t="shared" si="86"/>
        <v/>
      </c>
      <c r="BS354" s="2" t="str">
        <f t="shared" si="87"/>
        <v/>
      </c>
      <c r="BV354" s="2" t="e">
        <f>VLOOKUP(O354,GLAPS정리!$BH$2:$BI$94,2,0)</f>
        <v>#N/A</v>
      </c>
      <c r="BW354" s="2" t="str">
        <f>IF(OR(Z354="동원",Z354="세방",Z354="한타"),"",IFERROR(INDEX(GLAPS정리!$BI$2:$BI$101,MATCH(Z354,GLAPS정리!$BH$2:$BH$101,0)),""))</f>
        <v/>
      </c>
      <c r="BX354" s="2" t="str">
        <f>IF(Z354="","",IFERROR(VLOOKUP(Z354,GLAPS정리!$AX$2:$AZ$17,3,0),""))</f>
        <v/>
      </c>
      <c r="BZ354" s="2" t="e">
        <f>VLOOKUP(H354,GLAPS정리!$L$3:$O$133,2,0)</f>
        <v>#N/A</v>
      </c>
      <c r="CA354" s="2" t="str">
        <f t="shared" si="88"/>
        <v/>
      </c>
      <c r="CL354" s="2" t="e">
        <f>VLOOKUP(AI354,GLAPS정리!$BT$3:$BV$26,3,0)</f>
        <v>#N/A</v>
      </c>
    </row>
    <row r="355" spans="2:90" ht="20.45" customHeight="1">
      <c r="B355" s="13"/>
      <c r="G355" s="3"/>
      <c r="J355" s="3"/>
      <c r="Q355" s="3" t="str">
        <f t="shared" si="76"/>
        <v/>
      </c>
      <c r="R355" s="3" t="str">
        <f t="shared" si="77"/>
        <v/>
      </c>
      <c r="S355" s="3" t="str">
        <f t="shared" si="78"/>
        <v/>
      </c>
      <c r="X355" s="13"/>
      <c r="Y355" s="13"/>
      <c r="Z355" s="91"/>
      <c r="AC355" s="2">
        <f t="shared" si="79"/>
        <v>20</v>
      </c>
      <c r="AD355" s="2" t="str">
        <f>IFERROR(INDEX(GLAPS정리!$D$2:$D$50,MATCH(I355,GLAPS정리!$A$2:$A$50,0)),IFERROR(INDEX(GLAPS정리!$D$2:$D$50,MATCH(I355,GLAPS정리!$B$2:$B$50,0)),""))</f>
        <v/>
      </c>
      <c r="AF355" s="2" t="str">
        <f t="shared" si="80"/>
        <v>KR10</v>
      </c>
      <c r="AI355" s="2" t="e">
        <f>VLOOKUP(F355,GLAPS정리!$G$3:$J$114,2,0)</f>
        <v>#N/A</v>
      </c>
      <c r="AJ355" s="2" t="e">
        <f>IF(Z355="울산정일","KRONS",IF(Z355="울산신항","KRUSN",IF(OR(Z355="선광종합물류(인천여객)",Z355="인천여객(인천여객)"),"KRINF",IF(OR(Z355="선광인천보세(인천신)",Z355="한진인천(인천신)",Z355="선광인천신항(인천신)",Z355="인천더로지스(인천신)"),"KRINN",IF(OR(Z355="인천진아(인천항)",Z355="인천E1(인천항)",Z355="인천SM경인터미널(인천항)",Z355="인천항(인천항)",Z355="인천우련(인천항)",Z355="인천항8부두(인천항)"),"KRINC",VLOOKUP(K355,GLAPS정리!$BB$2:$BC$33,2,0))))))</f>
        <v>#N/A</v>
      </c>
      <c r="AL355" s="2">
        <f t="shared" si="81"/>
        <v>5010001</v>
      </c>
      <c r="AN355" s="70" t="str">
        <f t="shared" si="82"/>
        <v>1900-01-00</v>
      </c>
      <c r="AO355" s="2" t="str">
        <f t="shared" si="83"/>
        <v/>
      </c>
      <c r="AP355" s="2" t="e">
        <f>VLOOKUP(C355,GLAPS정리!$AX$2:$AZ$17,3,0)</f>
        <v>#N/A</v>
      </c>
      <c r="AR355" s="2">
        <f t="shared" si="89"/>
        <v>0</v>
      </c>
      <c r="AX355" s="2" t="e">
        <f>VLOOKUP(L355,GLAPS정리!$V$3:$W$180,2,0)</f>
        <v>#N/A</v>
      </c>
      <c r="BM355" s="2" t="str">
        <f t="shared" si="84"/>
        <v xml:space="preserve"> </v>
      </c>
      <c r="BN355" s="2">
        <f t="shared" si="85"/>
        <v>1</v>
      </c>
      <c r="BR355" s="2" t="str">
        <f t="shared" si="86"/>
        <v/>
      </c>
      <c r="BS355" s="2" t="str">
        <f t="shared" si="87"/>
        <v/>
      </c>
      <c r="BV355" s="2" t="e">
        <f>VLOOKUP(O355,GLAPS정리!$BH$2:$BI$94,2,0)</f>
        <v>#N/A</v>
      </c>
      <c r="BW355" s="2" t="str">
        <f>IF(OR(Z355="동원",Z355="세방",Z355="한타"),"",IFERROR(INDEX(GLAPS정리!$BI$2:$BI$101,MATCH(Z355,GLAPS정리!$BH$2:$BH$101,0)),""))</f>
        <v/>
      </c>
      <c r="BX355" s="2" t="str">
        <f>IF(Z355="","",IFERROR(VLOOKUP(Z355,GLAPS정리!$AX$2:$AZ$17,3,0),""))</f>
        <v/>
      </c>
      <c r="BZ355" s="2" t="e">
        <f>VLOOKUP(H355,GLAPS정리!$L$3:$O$133,2,0)</f>
        <v>#N/A</v>
      </c>
      <c r="CA355" s="2" t="str">
        <f t="shared" si="88"/>
        <v/>
      </c>
      <c r="CL355" s="2" t="e">
        <f>VLOOKUP(AI355,GLAPS정리!$BT$3:$BV$26,3,0)</f>
        <v>#N/A</v>
      </c>
    </row>
    <row r="356" spans="2:90" ht="20.45" customHeight="1">
      <c r="B356" s="13"/>
      <c r="G356" s="3"/>
      <c r="J356" s="3"/>
      <c r="Q356" s="3" t="str">
        <f t="shared" si="76"/>
        <v/>
      </c>
      <c r="R356" s="3" t="str">
        <f t="shared" si="77"/>
        <v/>
      </c>
      <c r="S356" s="3" t="str">
        <f t="shared" si="78"/>
        <v/>
      </c>
      <c r="X356" s="13"/>
      <c r="Y356" s="13"/>
      <c r="Z356" s="91"/>
      <c r="AC356" s="2">
        <f t="shared" si="79"/>
        <v>20</v>
      </c>
      <c r="AD356" s="2" t="str">
        <f>IFERROR(INDEX(GLAPS정리!$D$2:$D$50,MATCH(I356,GLAPS정리!$A$2:$A$50,0)),IFERROR(INDEX(GLAPS정리!$D$2:$D$50,MATCH(I356,GLAPS정리!$B$2:$B$50,0)),""))</f>
        <v/>
      </c>
      <c r="AF356" s="2" t="str">
        <f t="shared" si="80"/>
        <v>KR10</v>
      </c>
      <c r="AI356" s="2" t="e">
        <f>VLOOKUP(F356,GLAPS정리!$G$3:$J$114,2,0)</f>
        <v>#N/A</v>
      </c>
      <c r="AJ356" s="2" t="e">
        <f>IF(Z356="울산정일","KRONS",IF(Z356="울산신항","KRUSN",IF(OR(Z356="선광종합물류(인천여객)",Z356="인천여객(인천여객)"),"KRINF",IF(OR(Z356="선광인천보세(인천신)",Z356="한진인천(인천신)",Z356="선광인천신항(인천신)",Z356="인천더로지스(인천신)"),"KRINN",IF(OR(Z356="인천진아(인천항)",Z356="인천E1(인천항)",Z356="인천SM경인터미널(인천항)",Z356="인천항(인천항)",Z356="인천우련(인천항)",Z356="인천항8부두(인천항)"),"KRINC",VLOOKUP(K356,GLAPS정리!$BB$2:$BC$33,2,0))))))</f>
        <v>#N/A</v>
      </c>
      <c r="AL356" s="2">
        <f t="shared" si="81"/>
        <v>5010001</v>
      </c>
      <c r="AN356" s="70" t="str">
        <f t="shared" si="82"/>
        <v>1900-01-00</v>
      </c>
      <c r="AO356" s="2" t="str">
        <f t="shared" si="83"/>
        <v/>
      </c>
      <c r="AP356" s="2" t="e">
        <f>VLOOKUP(C356,GLAPS정리!$AX$2:$AZ$17,3,0)</f>
        <v>#N/A</v>
      </c>
      <c r="AR356" s="2">
        <f t="shared" si="89"/>
        <v>0</v>
      </c>
      <c r="AX356" s="2" t="e">
        <f>VLOOKUP(L356,GLAPS정리!$V$3:$W$180,2,0)</f>
        <v>#N/A</v>
      </c>
      <c r="BM356" s="2" t="str">
        <f t="shared" si="84"/>
        <v xml:space="preserve"> </v>
      </c>
      <c r="BN356" s="2">
        <f t="shared" si="85"/>
        <v>1</v>
      </c>
      <c r="BR356" s="2" t="str">
        <f t="shared" si="86"/>
        <v/>
      </c>
      <c r="BS356" s="2" t="str">
        <f t="shared" si="87"/>
        <v/>
      </c>
      <c r="BV356" s="2" t="e">
        <f>VLOOKUP(O356,GLAPS정리!$BH$2:$BI$94,2,0)</f>
        <v>#N/A</v>
      </c>
      <c r="BW356" s="2" t="str">
        <f>IF(OR(Z356="동원",Z356="세방",Z356="한타"),"",IFERROR(INDEX(GLAPS정리!$BI$2:$BI$101,MATCH(Z356,GLAPS정리!$BH$2:$BH$101,0)),""))</f>
        <v/>
      </c>
      <c r="BX356" s="2" t="str">
        <f>IF(Z356="","",IFERROR(VLOOKUP(Z356,GLAPS정리!$AX$2:$AZ$17,3,0),""))</f>
        <v/>
      </c>
      <c r="BZ356" s="2" t="e">
        <f>VLOOKUP(H356,GLAPS정리!$L$3:$O$133,2,0)</f>
        <v>#N/A</v>
      </c>
      <c r="CA356" s="2" t="str">
        <f t="shared" si="88"/>
        <v/>
      </c>
      <c r="CL356" s="2" t="e">
        <f>VLOOKUP(AI356,GLAPS정리!$BT$3:$BV$26,3,0)</f>
        <v>#N/A</v>
      </c>
    </row>
    <row r="357" spans="2:90" ht="20.45" customHeight="1">
      <c r="B357" s="13"/>
      <c r="G357" s="3"/>
      <c r="J357" s="3"/>
      <c r="Q357" s="3" t="str">
        <f t="shared" si="76"/>
        <v/>
      </c>
      <c r="R357" s="3" t="str">
        <f t="shared" si="77"/>
        <v/>
      </c>
      <c r="S357" s="3" t="str">
        <f t="shared" si="78"/>
        <v/>
      </c>
      <c r="X357" s="13"/>
      <c r="Y357" s="13"/>
      <c r="Z357" s="91"/>
      <c r="AC357" s="2">
        <f t="shared" si="79"/>
        <v>20</v>
      </c>
      <c r="AD357" s="2" t="str">
        <f>IFERROR(INDEX(GLAPS정리!$D$2:$D$50,MATCH(I357,GLAPS정리!$A$2:$A$50,0)),IFERROR(INDEX(GLAPS정리!$D$2:$D$50,MATCH(I357,GLAPS정리!$B$2:$B$50,0)),""))</f>
        <v/>
      </c>
      <c r="AF357" s="2" t="str">
        <f t="shared" si="80"/>
        <v>KR10</v>
      </c>
      <c r="AI357" s="2" t="e">
        <f>VLOOKUP(F357,GLAPS정리!$G$3:$J$114,2,0)</f>
        <v>#N/A</v>
      </c>
      <c r="AJ357" s="2" t="e">
        <f>IF(Z357="울산정일","KRONS",IF(Z357="울산신항","KRUSN",IF(OR(Z357="선광종합물류(인천여객)",Z357="인천여객(인천여객)"),"KRINF",IF(OR(Z357="선광인천보세(인천신)",Z357="한진인천(인천신)",Z357="선광인천신항(인천신)",Z357="인천더로지스(인천신)"),"KRINN",IF(OR(Z357="인천진아(인천항)",Z357="인천E1(인천항)",Z357="인천SM경인터미널(인천항)",Z357="인천항(인천항)",Z357="인천우련(인천항)",Z357="인천항8부두(인천항)"),"KRINC",VLOOKUP(K357,GLAPS정리!$BB$2:$BC$33,2,0))))))</f>
        <v>#N/A</v>
      </c>
      <c r="AL357" s="2">
        <f t="shared" si="81"/>
        <v>5010001</v>
      </c>
      <c r="AN357" s="70" t="str">
        <f t="shared" si="82"/>
        <v>1900-01-00</v>
      </c>
      <c r="AO357" s="2" t="str">
        <f t="shared" si="83"/>
        <v/>
      </c>
      <c r="AP357" s="2" t="e">
        <f>VLOOKUP(C357,GLAPS정리!$AX$2:$AZ$17,3,0)</f>
        <v>#N/A</v>
      </c>
      <c r="AR357" s="2">
        <f t="shared" si="89"/>
        <v>0</v>
      </c>
      <c r="AX357" s="2" t="e">
        <f>VLOOKUP(L357,GLAPS정리!$V$3:$W$180,2,0)</f>
        <v>#N/A</v>
      </c>
      <c r="BM357" s="2" t="str">
        <f t="shared" si="84"/>
        <v xml:space="preserve"> </v>
      </c>
      <c r="BN357" s="2">
        <f t="shared" si="85"/>
        <v>1</v>
      </c>
      <c r="BR357" s="2" t="str">
        <f t="shared" si="86"/>
        <v/>
      </c>
      <c r="BS357" s="2" t="str">
        <f t="shared" si="87"/>
        <v/>
      </c>
      <c r="BV357" s="2" t="e">
        <f>VLOOKUP(O357,GLAPS정리!$BH$2:$BI$94,2,0)</f>
        <v>#N/A</v>
      </c>
      <c r="BW357" s="2" t="str">
        <f>IF(OR(Z357="동원",Z357="세방",Z357="한타"),"",IFERROR(INDEX(GLAPS정리!$BI$2:$BI$101,MATCH(Z357,GLAPS정리!$BH$2:$BH$101,0)),""))</f>
        <v/>
      </c>
      <c r="BX357" s="2" t="str">
        <f>IF(Z357="","",IFERROR(VLOOKUP(Z357,GLAPS정리!$AX$2:$AZ$17,3,0),""))</f>
        <v/>
      </c>
      <c r="BZ357" s="2" t="e">
        <f>VLOOKUP(H357,GLAPS정리!$L$3:$O$133,2,0)</f>
        <v>#N/A</v>
      </c>
      <c r="CA357" s="2" t="str">
        <f t="shared" si="88"/>
        <v/>
      </c>
      <c r="CL357" s="2" t="e">
        <f>VLOOKUP(AI357,GLAPS정리!$BT$3:$BV$26,3,0)</f>
        <v>#N/A</v>
      </c>
    </row>
    <row r="358" spans="2:90" ht="20.45" customHeight="1">
      <c r="B358" s="13"/>
      <c r="G358" s="3"/>
      <c r="J358" s="3"/>
      <c r="Q358" s="3" t="str">
        <f t="shared" si="76"/>
        <v/>
      </c>
      <c r="R358" s="3" t="str">
        <f t="shared" si="77"/>
        <v/>
      </c>
      <c r="S358" s="3" t="str">
        <f t="shared" si="78"/>
        <v/>
      </c>
      <c r="X358" s="13"/>
      <c r="Y358" s="13"/>
      <c r="Z358" s="91"/>
      <c r="AC358" s="2">
        <f t="shared" si="79"/>
        <v>20</v>
      </c>
      <c r="AD358" s="2" t="str">
        <f>IFERROR(INDEX(GLAPS정리!$D$2:$D$50,MATCH(I358,GLAPS정리!$A$2:$A$50,0)),IFERROR(INDEX(GLAPS정리!$D$2:$D$50,MATCH(I358,GLAPS정리!$B$2:$B$50,0)),""))</f>
        <v/>
      </c>
      <c r="AF358" s="2" t="str">
        <f t="shared" si="80"/>
        <v>KR10</v>
      </c>
      <c r="AI358" s="2" t="e">
        <f>VLOOKUP(F358,GLAPS정리!$G$3:$J$114,2,0)</f>
        <v>#N/A</v>
      </c>
      <c r="AJ358" s="2" t="e">
        <f>IF(Z358="울산정일","KRONS",IF(Z358="울산신항","KRUSN",IF(OR(Z358="선광종합물류(인천여객)",Z358="인천여객(인천여객)"),"KRINF",IF(OR(Z358="선광인천보세(인천신)",Z358="한진인천(인천신)",Z358="선광인천신항(인천신)",Z358="인천더로지스(인천신)"),"KRINN",IF(OR(Z358="인천진아(인천항)",Z358="인천E1(인천항)",Z358="인천SM경인터미널(인천항)",Z358="인천항(인천항)",Z358="인천우련(인천항)",Z358="인천항8부두(인천항)"),"KRINC",VLOOKUP(K358,GLAPS정리!$BB$2:$BC$33,2,0))))))</f>
        <v>#N/A</v>
      </c>
      <c r="AL358" s="2">
        <f t="shared" si="81"/>
        <v>5010001</v>
      </c>
      <c r="AN358" s="70" t="str">
        <f t="shared" si="82"/>
        <v>1900-01-00</v>
      </c>
      <c r="AO358" s="2" t="str">
        <f t="shared" si="83"/>
        <v/>
      </c>
      <c r="AP358" s="2" t="e">
        <f>VLOOKUP(C358,GLAPS정리!$AX$2:$AZ$17,3,0)</f>
        <v>#N/A</v>
      </c>
      <c r="AR358" s="2">
        <f t="shared" si="89"/>
        <v>0</v>
      </c>
      <c r="AX358" s="2" t="e">
        <f>VLOOKUP(L358,GLAPS정리!$V$3:$W$180,2,0)</f>
        <v>#N/A</v>
      </c>
      <c r="BM358" s="2" t="str">
        <f t="shared" si="84"/>
        <v xml:space="preserve"> </v>
      </c>
      <c r="BN358" s="2">
        <f t="shared" si="85"/>
        <v>1</v>
      </c>
      <c r="BR358" s="2" t="str">
        <f t="shared" si="86"/>
        <v/>
      </c>
      <c r="BS358" s="2" t="str">
        <f t="shared" si="87"/>
        <v/>
      </c>
      <c r="BV358" s="2" t="e">
        <f>VLOOKUP(O358,GLAPS정리!$BH$2:$BI$94,2,0)</f>
        <v>#N/A</v>
      </c>
      <c r="BW358" s="2" t="str">
        <f>IF(OR(Z358="동원",Z358="세방",Z358="한타"),"",IFERROR(INDEX(GLAPS정리!$BI$2:$BI$101,MATCH(Z358,GLAPS정리!$BH$2:$BH$101,0)),""))</f>
        <v/>
      </c>
      <c r="BX358" s="2" t="str">
        <f>IF(Z358="","",IFERROR(VLOOKUP(Z358,GLAPS정리!$AX$2:$AZ$17,3,0),""))</f>
        <v/>
      </c>
      <c r="BZ358" s="2" t="e">
        <f>VLOOKUP(H358,GLAPS정리!$L$3:$O$133,2,0)</f>
        <v>#N/A</v>
      </c>
      <c r="CA358" s="2" t="str">
        <f t="shared" si="88"/>
        <v/>
      </c>
      <c r="CL358" s="2" t="e">
        <f>VLOOKUP(AI358,GLAPS정리!$BT$3:$BV$26,3,0)</f>
        <v>#N/A</v>
      </c>
    </row>
    <row r="359" spans="2:90" ht="20.45" customHeight="1">
      <c r="B359" s="13"/>
      <c r="G359" s="3"/>
      <c r="J359" s="3"/>
      <c r="Q359" s="3" t="str">
        <f t="shared" si="76"/>
        <v/>
      </c>
      <c r="R359" s="3" t="str">
        <f t="shared" si="77"/>
        <v/>
      </c>
      <c r="S359" s="3" t="str">
        <f t="shared" si="78"/>
        <v/>
      </c>
      <c r="X359" s="13"/>
      <c r="Y359" s="13"/>
      <c r="Z359" s="91"/>
      <c r="AC359" s="2">
        <f t="shared" si="79"/>
        <v>20</v>
      </c>
      <c r="AD359" s="2" t="str">
        <f>IFERROR(INDEX(GLAPS정리!$D$2:$D$50,MATCH(I359,GLAPS정리!$A$2:$A$50,0)),IFERROR(INDEX(GLAPS정리!$D$2:$D$50,MATCH(I359,GLAPS정리!$B$2:$B$50,0)),""))</f>
        <v/>
      </c>
      <c r="AF359" s="2" t="str">
        <f t="shared" si="80"/>
        <v>KR10</v>
      </c>
      <c r="AI359" s="2" t="e">
        <f>VLOOKUP(F359,GLAPS정리!$G$3:$J$114,2,0)</f>
        <v>#N/A</v>
      </c>
      <c r="AJ359" s="2" t="e">
        <f>IF(Z359="울산정일","KRONS",IF(Z359="울산신항","KRUSN",IF(OR(Z359="선광종합물류(인천여객)",Z359="인천여객(인천여객)"),"KRINF",IF(OR(Z359="선광인천보세(인천신)",Z359="한진인천(인천신)",Z359="선광인천신항(인천신)",Z359="인천더로지스(인천신)"),"KRINN",IF(OR(Z359="인천진아(인천항)",Z359="인천E1(인천항)",Z359="인천SM경인터미널(인천항)",Z359="인천항(인천항)",Z359="인천우련(인천항)",Z359="인천항8부두(인천항)"),"KRINC",VLOOKUP(K359,GLAPS정리!$BB$2:$BC$33,2,0))))))</f>
        <v>#N/A</v>
      </c>
      <c r="AL359" s="2">
        <f t="shared" si="81"/>
        <v>5010001</v>
      </c>
      <c r="AN359" s="70" t="str">
        <f t="shared" si="82"/>
        <v>1900-01-00</v>
      </c>
      <c r="AO359" s="2" t="str">
        <f t="shared" si="83"/>
        <v/>
      </c>
      <c r="AP359" s="2" t="e">
        <f>VLOOKUP(C359,GLAPS정리!$AX$2:$AZ$17,3,0)</f>
        <v>#N/A</v>
      </c>
      <c r="AR359" s="2">
        <f t="shared" si="89"/>
        <v>0</v>
      </c>
      <c r="AX359" s="2" t="e">
        <f>VLOOKUP(L359,GLAPS정리!$V$3:$W$180,2,0)</f>
        <v>#N/A</v>
      </c>
      <c r="BM359" s="2" t="str">
        <f t="shared" si="84"/>
        <v xml:space="preserve"> </v>
      </c>
      <c r="BN359" s="2">
        <f t="shared" si="85"/>
        <v>1</v>
      </c>
      <c r="BR359" s="2" t="str">
        <f t="shared" si="86"/>
        <v/>
      </c>
      <c r="BS359" s="2" t="str">
        <f t="shared" si="87"/>
        <v/>
      </c>
      <c r="BV359" s="2" t="e">
        <f>VLOOKUP(O359,GLAPS정리!$BH$2:$BI$94,2,0)</f>
        <v>#N/A</v>
      </c>
      <c r="BW359" s="2" t="str">
        <f>IF(OR(Z359="동원",Z359="세방",Z359="한타"),"",IFERROR(INDEX(GLAPS정리!$BI$2:$BI$101,MATCH(Z359,GLAPS정리!$BH$2:$BH$101,0)),""))</f>
        <v/>
      </c>
      <c r="BX359" s="2" t="str">
        <f>IF(Z359="","",IFERROR(VLOOKUP(Z359,GLAPS정리!$AX$2:$AZ$17,3,0),""))</f>
        <v/>
      </c>
      <c r="BZ359" s="2" t="e">
        <f>VLOOKUP(H359,GLAPS정리!$L$3:$O$133,2,0)</f>
        <v>#N/A</v>
      </c>
      <c r="CA359" s="2" t="str">
        <f t="shared" si="88"/>
        <v/>
      </c>
      <c r="CL359" s="2" t="e">
        <f>VLOOKUP(AI359,GLAPS정리!$BT$3:$BV$26,3,0)</f>
        <v>#N/A</v>
      </c>
    </row>
    <row r="360" spans="2:90" ht="20.45" customHeight="1">
      <c r="B360" s="13"/>
      <c r="G360" s="3"/>
      <c r="J360" s="3"/>
      <c r="Q360" s="3" t="str">
        <f t="shared" si="76"/>
        <v/>
      </c>
      <c r="R360" s="3" t="str">
        <f t="shared" si="77"/>
        <v/>
      </c>
      <c r="S360" s="3" t="str">
        <f t="shared" si="78"/>
        <v/>
      </c>
      <c r="X360" s="13"/>
      <c r="Y360" s="13"/>
      <c r="Z360" s="91"/>
      <c r="AC360" s="2">
        <f t="shared" si="79"/>
        <v>20</v>
      </c>
      <c r="AD360" s="2" t="str">
        <f>IFERROR(INDEX(GLAPS정리!$D$2:$D$50,MATCH(I360,GLAPS정리!$A$2:$A$50,0)),IFERROR(INDEX(GLAPS정리!$D$2:$D$50,MATCH(I360,GLAPS정리!$B$2:$B$50,0)),""))</f>
        <v/>
      </c>
      <c r="AF360" s="2" t="str">
        <f t="shared" si="80"/>
        <v>KR10</v>
      </c>
      <c r="AI360" s="2" t="e">
        <f>VLOOKUP(F360,GLAPS정리!$G$3:$J$114,2,0)</f>
        <v>#N/A</v>
      </c>
      <c r="AJ360" s="2" t="e">
        <f>IF(Z360="울산정일","KRONS",IF(Z360="울산신항","KRUSN",IF(OR(Z360="선광종합물류(인천여객)",Z360="인천여객(인천여객)"),"KRINF",IF(OR(Z360="선광인천보세(인천신)",Z360="한진인천(인천신)",Z360="선광인천신항(인천신)",Z360="인천더로지스(인천신)"),"KRINN",IF(OR(Z360="인천진아(인천항)",Z360="인천E1(인천항)",Z360="인천SM경인터미널(인천항)",Z360="인천항(인천항)",Z360="인천우련(인천항)",Z360="인천항8부두(인천항)"),"KRINC",VLOOKUP(K360,GLAPS정리!$BB$2:$BC$33,2,0))))))</f>
        <v>#N/A</v>
      </c>
      <c r="AL360" s="2">
        <f t="shared" si="81"/>
        <v>5010001</v>
      </c>
      <c r="AN360" s="70" t="str">
        <f t="shared" si="82"/>
        <v>1900-01-00</v>
      </c>
      <c r="AO360" s="2" t="str">
        <f t="shared" si="83"/>
        <v/>
      </c>
      <c r="AP360" s="2" t="e">
        <f>VLOOKUP(C360,GLAPS정리!$AX$2:$AZ$17,3,0)</f>
        <v>#N/A</v>
      </c>
      <c r="AR360" s="2">
        <f t="shared" si="89"/>
        <v>0</v>
      </c>
      <c r="AX360" s="2" t="e">
        <f>VLOOKUP(L360,GLAPS정리!$V$3:$W$180,2,0)</f>
        <v>#N/A</v>
      </c>
      <c r="BM360" s="2" t="str">
        <f t="shared" si="84"/>
        <v xml:space="preserve"> </v>
      </c>
      <c r="BN360" s="2">
        <f t="shared" si="85"/>
        <v>1</v>
      </c>
      <c r="BR360" s="2" t="str">
        <f t="shared" si="86"/>
        <v/>
      </c>
      <c r="BS360" s="2" t="str">
        <f t="shared" si="87"/>
        <v/>
      </c>
      <c r="BV360" s="2" t="e">
        <f>VLOOKUP(O360,GLAPS정리!$BH$2:$BI$94,2,0)</f>
        <v>#N/A</v>
      </c>
      <c r="BW360" s="2" t="str">
        <f>IF(OR(Z360="동원",Z360="세방",Z360="한타"),"",IFERROR(INDEX(GLAPS정리!$BI$2:$BI$101,MATCH(Z360,GLAPS정리!$BH$2:$BH$101,0)),""))</f>
        <v/>
      </c>
      <c r="BX360" s="2" t="str">
        <f>IF(Z360="","",IFERROR(VLOOKUP(Z360,GLAPS정리!$AX$2:$AZ$17,3,0),""))</f>
        <v/>
      </c>
      <c r="BZ360" s="2" t="e">
        <f>VLOOKUP(H360,GLAPS정리!$L$3:$O$133,2,0)</f>
        <v>#N/A</v>
      </c>
      <c r="CA360" s="2" t="str">
        <f t="shared" si="88"/>
        <v/>
      </c>
      <c r="CL360" s="2" t="e">
        <f>VLOOKUP(AI360,GLAPS정리!$BT$3:$BV$26,3,0)</f>
        <v>#N/A</v>
      </c>
    </row>
    <row r="361" spans="2:90" ht="20.45" customHeight="1">
      <c r="B361" s="13"/>
      <c r="G361" s="3"/>
      <c r="J361" s="3"/>
      <c r="Q361" s="3" t="str">
        <f t="shared" si="76"/>
        <v/>
      </c>
      <c r="R361" s="3" t="str">
        <f t="shared" si="77"/>
        <v/>
      </c>
      <c r="S361" s="3" t="str">
        <f t="shared" si="78"/>
        <v/>
      </c>
      <c r="X361" s="13"/>
      <c r="Y361" s="13"/>
      <c r="Z361" s="91"/>
      <c r="AC361" s="2">
        <f t="shared" si="79"/>
        <v>20</v>
      </c>
      <c r="AD361" s="2" t="str">
        <f>IFERROR(INDEX(GLAPS정리!$D$2:$D$50,MATCH(I361,GLAPS정리!$A$2:$A$50,0)),IFERROR(INDEX(GLAPS정리!$D$2:$D$50,MATCH(I361,GLAPS정리!$B$2:$B$50,0)),""))</f>
        <v/>
      </c>
      <c r="AF361" s="2" t="str">
        <f t="shared" si="80"/>
        <v>KR10</v>
      </c>
      <c r="AI361" s="2" t="e">
        <f>VLOOKUP(F361,GLAPS정리!$G$3:$J$114,2,0)</f>
        <v>#N/A</v>
      </c>
      <c r="AJ361" s="2" t="e">
        <f>IF(Z361="울산정일","KRONS",IF(Z361="울산신항","KRUSN",IF(OR(Z361="선광종합물류(인천여객)",Z361="인천여객(인천여객)"),"KRINF",IF(OR(Z361="선광인천보세(인천신)",Z361="한진인천(인천신)",Z361="선광인천신항(인천신)",Z361="인천더로지스(인천신)"),"KRINN",IF(OR(Z361="인천진아(인천항)",Z361="인천E1(인천항)",Z361="인천SM경인터미널(인천항)",Z361="인천항(인천항)",Z361="인천우련(인천항)",Z361="인천항8부두(인천항)"),"KRINC",VLOOKUP(K361,GLAPS정리!$BB$2:$BC$33,2,0))))))</f>
        <v>#N/A</v>
      </c>
      <c r="AL361" s="2">
        <f t="shared" si="81"/>
        <v>5010001</v>
      </c>
      <c r="AN361" s="70" t="str">
        <f t="shared" si="82"/>
        <v>1900-01-00</v>
      </c>
      <c r="AO361" s="2" t="str">
        <f t="shared" si="83"/>
        <v/>
      </c>
      <c r="AP361" s="2" t="e">
        <f>VLOOKUP(C361,GLAPS정리!$AX$2:$AZ$17,3,0)</f>
        <v>#N/A</v>
      </c>
      <c r="AR361" s="2">
        <f t="shared" si="89"/>
        <v>0</v>
      </c>
      <c r="AX361" s="2" t="e">
        <f>VLOOKUP(L361,GLAPS정리!$V$3:$W$180,2,0)</f>
        <v>#N/A</v>
      </c>
      <c r="BM361" s="2" t="str">
        <f t="shared" si="84"/>
        <v xml:space="preserve"> </v>
      </c>
      <c r="BN361" s="2">
        <f t="shared" si="85"/>
        <v>1</v>
      </c>
      <c r="BR361" s="2" t="str">
        <f t="shared" si="86"/>
        <v/>
      </c>
      <c r="BS361" s="2" t="str">
        <f t="shared" si="87"/>
        <v/>
      </c>
      <c r="BV361" s="2" t="e">
        <f>VLOOKUP(O361,GLAPS정리!$BH$2:$BI$94,2,0)</f>
        <v>#N/A</v>
      </c>
      <c r="BW361" s="2" t="str">
        <f>IF(OR(Z361="동원",Z361="세방",Z361="한타"),"",IFERROR(INDEX(GLAPS정리!$BI$2:$BI$101,MATCH(Z361,GLAPS정리!$BH$2:$BH$101,0)),""))</f>
        <v/>
      </c>
      <c r="BX361" s="2" t="str">
        <f>IF(Z361="","",IFERROR(VLOOKUP(Z361,GLAPS정리!$AX$2:$AZ$17,3,0),""))</f>
        <v/>
      </c>
      <c r="BZ361" s="2" t="e">
        <f>VLOOKUP(H361,GLAPS정리!$L$3:$O$133,2,0)</f>
        <v>#N/A</v>
      </c>
      <c r="CA361" s="2" t="str">
        <f t="shared" si="88"/>
        <v/>
      </c>
      <c r="CL361" s="2" t="e">
        <f>VLOOKUP(AI361,GLAPS정리!$BT$3:$BV$26,3,0)</f>
        <v>#N/A</v>
      </c>
    </row>
    <row r="362" spans="2:90" ht="20.45" customHeight="1">
      <c r="B362" s="13"/>
      <c r="G362" s="3"/>
      <c r="J362" s="3"/>
      <c r="Q362" s="3" t="str">
        <f t="shared" si="76"/>
        <v/>
      </c>
      <c r="R362" s="3" t="str">
        <f t="shared" si="77"/>
        <v/>
      </c>
      <c r="S362" s="3" t="str">
        <f t="shared" si="78"/>
        <v/>
      </c>
      <c r="X362" s="13"/>
      <c r="Y362" s="13"/>
      <c r="Z362" s="91"/>
      <c r="AC362" s="2">
        <f t="shared" si="79"/>
        <v>20</v>
      </c>
      <c r="AD362" s="2" t="str">
        <f>IFERROR(INDEX(GLAPS정리!$D$2:$D$50,MATCH(I362,GLAPS정리!$A$2:$A$50,0)),IFERROR(INDEX(GLAPS정리!$D$2:$D$50,MATCH(I362,GLAPS정리!$B$2:$B$50,0)),""))</f>
        <v/>
      </c>
      <c r="AF362" s="2" t="str">
        <f t="shared" si="80"/>
        <v>KR10</v>
      </c>
      <c r="AI362" s="2" t="e">
        <f>VLOOKUP(F362,GLAPS정리!$G$3:$J$114,2,0)</f>
        <v>#N/A</v>
      </c>
      <c r="AJ362" s="2" t="e">
        <f>IF(Z362="울산정일","KRONS",IF(Z362="울산신항","KRUSN",IF(OR(Z362="선광종합물류(인천여객)",Z362="인천여객(인천여객)"),"KRINF",IF(OR(Z362="선광인천보세(인천신)",Z362="한진인천(인천신)",Z362="선광인천신항(인천신)",Z362="인천더로지스(인천신)"),"KRINN",IF(OR(Z362="인천진아(인천항)",Z362="인천E1(인천항)",Z362="인천SM경인터미널(인천항)",Z362="인천항(인천항)",Z362="인천우련(인천항)",Z362="인천항8부두(인천항)"),"KRINC",VLOOKUP(K362,GLAPS정리!$BB$2:$BC$33,2,0))))))</f>
        <v>#N/A</v>
      </c>
      <c r="AL362" s="2">
        <f t="shared" si="81"/>
        <v>5010001</v>
      </c>
      <c r="AN362" s="70" t="str">
        <f t="shared" si="82"/>
        <v>1900-01-00</v>
      </c>
      <c r="AO362" s="2" t="str">
        <f t="shared" si="83"/>
        <v/>
      </c>
      <c r="AP362" s="2" t="e">
        <f>VLOOKUP(C362,GLAPS정리!$AX$2:$AZ$17,3,0)</f>
        <v>#N/A</v>
      </c>
      <c r="AR362" s="2">
        <f t="shared" si="89"/>
        <v>0</v>
      </c>
      <c r="AX362" s="2" t="e">
        <f>VLOOKUP(L362,GLAPS정리!$V$3:$W$180,2,0)</f>
        <v>#N/A</v>
      </c>
      <c r="BM362" s="2" t="str">
        <f t="shared" si="84"/>
        <v xml:space="preserve"> </v>
      </c>
      <c r="BN362" s="2">
        <f t="shared" si="85"/>
        <v>1</v>
      </c>
      <c r="BR362" s="2" t="str">
        <f t="shared" si="86"/>
        <v/>
      </c>
      <c r="BS362" s="2" t="str">
        <f t="shared" si="87"/>
        <v/>
      </c>
      <c r="BV362" s="2" t="e">
        <f>VLOOKUP(O362,GLAPS정리!$BH$2:$BI$94,2,0)</f>
        <v>#N/A</v>
      </c>
      <c r="BW362" s="2" t="str">
        <f>IF(OR(Z362="동원",Z362="세방",Z362="한타"),"",IFERROR(INDEX(GLAPS정리!$BI$2:$BI$101,MATCH(Z362,GLAPS정리!$BH$2:$BH$101,0)),""))</f>
        <v/>
      </c>
      <c r="BX362" s="2" t="str">
        <f>IF(Z362="","",IFERROR(VLOOKUP(Z362,GLAPS정리!$AX$2:$AZ$17,3,0),""))</f>
        <v/>
      </c>
      <c r="BZ362" s="2" t="e">
        <f>VLOOKUP(H362,GLAPS정리!$L$3:$O$133,2,0)</f>
        <v>#N/A</v>
      </c>
      <c r="CA362" s="2" t="str">
        <f t="shared" si="88"/>
        <v/>
      </c>
      <c r="CL362" s="2" t="e">
        <f>VLOOKUP(AI362,GLAPS정리!$BT$3:$BV$26,3,0)</f>
        <v>#N/A</v>
      </c>
    </row>
    <row r="363" spans="2:90" ht="20.45" customHeight="1">
      <c r="B363" s="13"/>
      <c r="G363" s="3"/>
      <c r="J363" s="3"/>
      <c r="Q363" s="3" t="str">
        <f t="shared" si="76"/>
        <v/>
      </c>
      <c r="R363" s="3" t="str">
        <f t="shared" si="77"/>
        <v/>
      </c>
      <c r="S363" s="3" t="str">
        <f t="shared" si="78"/>
        <v/>
      </c>
      <c r="X363" s="13"/>
      <c r="Y363" s="13"/>
      <c r="Z363" s="91"/>
      <c r="AC363" s="2">
        <f t="shared" si="79"/>
        <v>20</v>
      </c>
      <c r="AD363" s="2" t="str">
        <f>IFERROR(INDEX(GLAPS정리!$D$2:$D$50,MATCH(I363,GLAPS정리!$A$2:$A$50,0)),IFERROR(INDEX(GLAPS정리!$D$2:$D$50,MATCH(I363,GLAPS정리!$B$2:$B$50,0)),""))</f>
        <v/>
      </c>
      <c r="AF363" s="2" t="str">
        <f t="shared" si="80"/>
        <v>KR10</v>
      </c>
      <c r="AI363" s="2" t="e">
        <f>VLOOKUP(F363,GLAPS정리!$G$3:$J$114,2,0)</f>
        <v>#N/A</v>
      </c>
      <c r="AJ363" s="2" t="e">
        <f>IF(Z363="울산정일","KRONS",IF(Z363="울산신항","KRUSN",IF(OR(Z363="선광종합물류(인천여객)",Z363="인천여객(인천여객)"),"KRINF",IF(OR(Z363="선광인천보세(인천신)",Z363="한진인천(인천신)",Z363="선광인천신항(인천신)",Z363="인천더로지스(인천신)"),"KRINN",IF(OR(Z363="인천진아(인천항)",Z363="인천E1(인천항)",Z363="인천SM경인터미널(인천항)",Z363="인천항(인천항)",Z363="인천우련(인천항)",Z363="인천항8부두(인천항)"),"KRINC",VLOOKUP(K363,GLAPS정리!$BB$2:$BC$33,2,0))))))</f>
        <v>#N/A</v>
      </c>
      <c r="AL363" s="2">
        <f t="shared" si="81"/>
        <v>5010001</v>
      </c>
      <c r="AN363" s="70" t="str">
        <f t="shared" si="82"/>
        <v>1900-01-00</v>
      </c>
      <c r="AO363" s="2" t="str">
        <f t="shared" si="83"/>
        <v/>
      </c>
      <c r="AP363" s="2" t="e">
        <f>VLOOKUP(C363,GLAPS정리!$AX$2:$AZ$17,3,0)</f>
        <v>#N/A</v>
      </c>
      <c r="AR363" s="2">
        <f t="shared" si="89"/>
        <v>0</v>
      </c>
      <c r="AX363" s="2" t="e">
        <f>VLOOKUP(L363,GLAPS정리!$V$3:$W$180,2,0)</f>
        <v>#N/A</v>
      </c>
      <c r="BM363" s="2" t="str">
        <f t="shared" si="84"/>
        <v xml:space="preserve"> </v>
      </c>
      <c r="BN363" s="2">
        <f t="shared" si="85"/>
        <v>1</v>
      </c>
      <c r="BR363" s="2" t="str">
        <f t="shared" si="86"/>
        <v/>
      </c>
      <c r="BS363" s="2" t="str">
        <f t="shared" si="87"/>
        <v/>
      </c>
      <c r="BV363" s="2" t="e">
        <f>VLOOKUP(O363,GLAPS정리!$BH$2:$BI$94,2,0)</f>
        <v>#N/A</v>
      </c>
      <c r="BW363" s="2" t="str">
        <f>IF(OR(Z363="동원",Z363="세방",Z363="한타"),"",IFERROR(INDEX(GLAPS정리!$BI$2:$BI$101,MATCH(Z363,GLAPS정리!$BH$2:$BH$101,0)),""))</f>
        <v/>
      </c>
      <c r="BX363" s="2" t="str">
        <f>IF(Z363="","",IFERROR(VLOOKUP(Z363,GLAPS정리!$AX$2:$AZ$17,3,0),""))</f>
        <v/>
      </c>
      <c r="BZ363" s="2" t="e">
        <f>VLOOKUP(H363,GLAPS정리!$L$3:$O$133,2,0)</f>
        <v>#N/A</v>
      </c>
      <c r="CA363" s="2" t="str">
        <f t="shared" si="88"/>
        <v/>
      </c>
      <c r="CL363" s="2" t="e">
        <f>VLOOKUP(AI363,GLAPS정리!$BT$3:$BV$26,3,0)</f>
        <v>#N/A</v>
      </c>
    </row>
    <row r="364" spans="2:90" ht="20.45" customHeight="1">
      <c r="B364" s="13"/>
      <c r="G364" s="3"/>
      <c r="J364" s="3"/>
      <c r="Q364" s="3" t="str">
        <f t="shared" si="76"/>
        <v/>
      </c>
      <c r="R364" s="3" t="str">
        <f t="shared" si="77"/>
        <v/>
      </c>
      <c r="S364" s="3" t="str">
        <f t="shared" si="78"/>
        <v/>
      </c>
      <c r="X364" s="13"/>
      <c r="Y364" s="13"/>
      <c r="Z364" s="91"/>
      <c r="AC364" s="2">
        <f t="shared" si="79"/>
        <v>20</v>
      </c>
      <c r="AD364" s="2" t="str">
        <f>IFERROR(INDEX(GLAPS정리!$D$2:$D$50,MATCH(I364,GLAPS정리!$A$2:$A$50,0)),IFERROR(INDEX(GLAPS정리!$D$2:$D$50,MATCH(I364,GLAPS정리!$B$2:$B$50,0)),""))</f>
        <v/>
      </c>
      <c r="AF364" s="2" t="str">
        <f t="shared" si="80"/>
        <v>KR10</v>
      </c>
      <c r="AI364" s="2" t="e">
        <f>VLOOKUP(F364,GLAPS정리!$G$3:$J$114,2,0)</f>
        <v>#N/A</v>
      </c>
      <c r="AJ364" s="2" t="e">
        <f>IF(Z364="울산정일","KRONS",IF(Z364="울산신항","KRUSN",IF(OR(Z364="선광종합물류(인천여객)",Z364="인천여객(인천여객)"),"KRINF",IF(OR(Z364="선광인천보세(인천신)",Z364="한진인천(인천신)",Z364="선광인천신항(인천신)",Z364="인천더로지스(인천신)"),"KRINN",IF(OR(Z364="인천진아(인천항)",Z364="인천E1(인천항)",Z364="인천SM경인터미널(인천항)",Z364="인천항(인천항)",Z364="인천우련(인천항)",Z364="인천항8부두(인천항)"),"KRINC",VLOOKUP(K364,GLAPS정리!$BB$2:$BC$33,2,0))))))</f>
        <v>#N/A</v>
      </c>
      <c r="AL364" s="2">
        <f t="shared" si="81"/>
        <v>5010001</v>
      </c>
      <c r="AN364" s="70" t="str">
        <f t="shared" si="82"/>
        <v>1900-01-00</v>
      </c>
      <c r="AO364" s="2" t="str">
        <f t="shared" si="83"/>
        <v/>
      </c>
      <c r="AP364" s="2" t="e">
        <f>VLOOKUP(C364,GLAPS정리!$AX$2:$AZ$17,3,0)</f>
        <v>#N/A</v>
      </c>
      <c r="AR364" s="2">
        <f t="shared" si="89"/>
        <v>0</v>
      </c>
      <c r="AX364" s="2" t="e">
        <f>VLOOKUP(L364,GLAPS정리!$V$3:$W$180,2,0)</f>
        <v>#N/A</v>
      </c>
      <c r="BM364" s="2" t="str">
        <f t="shared" si="84"/>
        <v xml:space="preserve"> </v>
      </c>
      <c r="BN364" s="2">
        <f t="shared" si="85"/>
        <v>1</v>
      </c>
      <c r="BR364" s="2" t="str">
        <f t="shared" si="86"/>
        <v/>
      </c>
      <c r="BS364" s="2" t="str">
        <f t="shared" si="87"/>
        <v/>
      </c>
      <c r="BV364" s="2" t="e">
        <f>VLOOKUP(O364,GLAPS정리!$BH$2:$BI$94,2,0)</f>
        <v>#N/A</v>
      </c>
      <c r="BW364" s="2" t="str">
        <f>IF(OR(Z364="동원",Z364="세방",Z364="한타"),"",IFERROR(INDEX(GLAPS정리!$BI$2:$BI$101,MATCH(Z364,GLAPS정리!$BH$2:$BH$101,0)),""))</f>
        <v/>
      </c>
      <c r="BX364" s="2" t="str">
        <f>IF(Z364="","",IFERROR(VLOOKUP(Z364,GLAPS정리!$AX$2:$AZ$17,3,0),""))</f>
        <v/>
      </c>
      <c r="BZ364" s="2" t="e">
        <f>VLOOKUP(H364,GLAPS정리!$L$3:$O$133,2,0)</f>
        <v>#N/A</v>
      </c>
      <c r="CA364" s="2" t="str">
        <f t="shared" si="88"/>
        <v/>
      </c>
      <c r="CL364" s="2" t="e">
        <f>VLOOKUP(AI364,GLAPS정리!$BT$3:$BV$26,3,0)</f>
        <v>#N/A</v>
      </c>
    </row>
    <row r="365" spans="2:90" ht="20.45" customHeight="1">
      <c r="B365" s="13"/>
      <c r="G365" s="3"/>
      <c r="J365" s="3"/>
      <c r="Q365" s="3" t="str">
        <f t="shared" si="76"/>
        <v/>
      </c>
      <c r="R365" s="3" t="str">
        <f t="shared" si="77"/>
        <v/>
      </c>
      <c r="S365" s="3" t="str">
        <f t="shared" si="78"/>
        <v/>
      </c>
      <c r="X365" s="13"/>
      <c r="Y365" s="13"/>
      <c r="Z365" s="91"/>
      <c r="AC365" s="2">
        <f t="shared" si="79"/>
        <v>20</v>
      </c>
      <c r="AD365" s="2" t="str">
        <f>IFERROR(INDEX(GLAPS정리!$D$2:$D$50,MATCH(I365,GLAPS정리!$A$2:$A$50,0)),IFERROR(INDEX(GLAPS정리!$D$2:$D$50,MATCH(I365,GLAPS정리!$B$2:$B$50,0)),""))</f>
        <v/>
      </c>
      <c r="AF365" s="2" t="str">
        <f t="shared" si="80"/>
        <v>KR10</v>
      </c>
      <c r="AI365" s="2" t="e">
        <f>VLOOKUP(F365,GLAPS정리!$G$3:$J$114,2,0)</f>
        <v>#N/A</v>
      </c>
      <c r="AJ365" s="2" t="e">
        <f>IF(Z365="울산정일","KRONS",IF(Z365="울산신항","KRUSN",IF(OR(Z365="선광종합물류(인천여객)",Z365="인천여객(인천여객)"),"KRINF",IF(OR(Z365="선광인천보세(인천신)",Z365="한진인천(인천신)",Z365="선광인천신항(인천신)",Z365="인천더로지스(인천신)"),"KRINN",IF(OR(Z365="인천진아(인천항)",Z365="인천E1(인천항)",Z365="인천SM경인터미널(인천항)",Z365="인천항(인천항)",Z365="인천우련(인천항)",Z365="인천항8부두(인천항)"),"KRINC",VLOOKUP(K365,GLAPS정리!$BB$2:$BC$33,2,0))))))</f>
        <v>#N/A</v>
      </c>
      <c r="AL365" s="2">
        <f t="shared" si="81"/>
        <v>5010001</v>
      </c>
      <c r="AN365" s="70" t="str">
        <f t="shared" si="82"/>
        <v>1900-01-00</v>
      </c>
      <c r="AO365" s="2" t="str">
        <f t="shared" si="83"/>
        <v/>
      </c>
      <c r="AP365" s="2" t="e">
        <f>VLOOKUP(C365,GLAPS정리!$AX$2:$AZ$17,3,0)</f>
        <v>#N/A</v>
      </c>
      <c r="AR365" s="2">
        <f t="shared" si="89"/>
        <v>0</v>
      </c>
      <c r="AX365" s="2" t="e">
        <f>VLOOKUP(L365,GLAPS정리!$V$3:$W$180,2,0)</f>
        <v>#N/A</v>
      </c>
      <c r="BM365" s="2" t="str">
        <f t="shared" si="84"/>
        <v xml:space="preserve"> </v>
      </c>
      <c r="BN365" s="2">
        <f t="shared" si="85"/>
        <v>1</v>
      </c>
      <c r="BR365" s="2" t="str">
        <f t="shared" si="86"/>
        <v/>
      </c>
      <c r="BS365" s="2" t="str">
        <f t="shared" si="87"/>
        <v/>
      </c>
      <c r="BV365" s="2" t="e">
        <f>VLOOKUP(O365,GLAPS정리!$BH$2:$BI$94,2,0)</f>
        <v>#N/A</v>
      </c>
      <c r="BW365" s="2" t="str">
        <f>IF(OR(Z365="동원",Z365="세방",Z365="한타"),"",IFERROR(INDEX(GLAPS정리!$BI$2:$BI$101,MATCH(Z365,GLAPS정리!$BH$2:$BH$101,0)),""))</f>
        <v/>
      </c>
      <c r="BX365" s="2" t="str">
        <f>IF(Z365="","",IFERROR(VLOOKUP(Z365,GLAPS정리!$AX$2:$AZ$17,3,0),""))</f>
        <v/>
      </c>
      <c r="BZ365" s="2" t="e">
        <f>VLOOKUP(H365,GLAPS정리!$L$3:$O$133,2,0)</f>
        <v>#N/A</v>
      </c>
      <c r="CA365" s="2" t="str">
        <f t="shared" si="88"/>
        <v/>
      </c>
      <c r="CL365" s="2" t="e">
        <f>VLOOKUP(AI365,GLAPS정리!$BT$3:$BV$26,3,0)</f>
        <v>#N/A</v>
      </c>
    </row>
    <row r="366" spans="2:90" ht="20.45" customHeight="1">
      <c r="B366" s="13"/>
      <c r="G366" s="3"/>
      <c r="J366" s="3"/>
      <c r="Q366" s="3" t="str">
        <f t="shared" si="76"/>
        <v/>
      </c>
      <c r="R366" s="3" t="str">
        <f t="shared" si="77"/>
        <v/>
      </c>
      <c r="S366" s="3" t="str">
        <f t="shared" si="78"/>
        <v/>
      </c>
      <c r="X366" s="13"/>
      <c r="Y366" s="13"/>
      <c r="Z366" s="91"/>
      <c r="AC366" s="2">
        <f t="shared" si="79"/>
        <v>20</v>
      </c>
      <c r="AD366" s="2" t="str">
        <f>IFERROR(INDEX(GLAPS정리!$D$2:$D$50,MATCH(I366,GLAPS정리!$A$2:$A$50,0)),IFERROR(INDEX(GLAPS정리!$D$2:$D$50,MATCH(I366,GLAPS정리!$B$2:$B$50,0)),""))</f>
        <v/>
      </c>
      <c r="AF366" s="2" t="str">
        <f t="shared" si="80"/>
        <v>KR10</v>
      </c>
      <c r="AI366" s="2" t="e">
        <f>VLOOKUP(F366,GLAPS정리!$G$3:$J$114,2,0)</f>
        <v>#N/A</v>
      </c>
      <c r="AJ366" s="2" t="e">
        <f>IF(Z366="울산정일","KRONS",IF(Z366="울산신항","KRUSN",IF(OR(Z366="선광종합물류(인천여객)",Z366="인천여객(인천여객)"),"KRINF",IF(OR(Z366="선광인천보세(인천신)",Z366="한진인천(인천신)",Z366="선광인천신항(인천신)",Z366="인천더로지스(인천신)"),"KRINN",IF(OR(Z366="인천진아(인천항)",Z366="인천E1(인천항)",Z366="인천SM경인터미널(인천항)",Z366="인천항(인천항)",Z366="인천우련(인천항)",Z366="인천항8부두(인천항)"),"KRINC",VLOOKUP(K366,GLAPS정리!$BB$2:$BC$33,2,0))))))</f>
        <v>#N/A</v>
      </c>
      <c r="AL366" s="2">
        <f t="shared" si="81"/>
        <v>5010001</v>
      </c>
      <c r="AN366" s="70" t="str">
        <f t="shared" si="82"/>
        <v>1900-01-00</v>
      </c>
      <c r="AO366" s="2" t="str">
        <f t="shared" si="83"/>
        <v/>
      </c>
      <c r="AP366" s="2" t="e">
        <f>VLOOKUP(C366,GLAPS정리!$AX$2:$AZ$17,3,0)</f>
        <v>#N/A</v>
      </c>
      <c r="AR366" s="2">
        <f t="shared" si="89"/>
        <v>0</v>
      </c>
      <c r="AX366" s="2" t="e">
        <f>VLOOKUP(L366,GLAPS정리!$V$3:$W$180,2,0)</f>
        <v>#N/A</v>
      </c>
      <c r="BM366" s="2" t="str">
        <f t="shared" si="84"/>
        <v xml:space="preserve"> </v>
      </c>
      <c r="BN366" s="2">
        <f t="shared" si="85"/>
        <v>1</v>
      </c>
      <c r="BR366" s="2" t="str">
        <f t="shared" si="86"/>
        <v/>
      </c>
      <c r="BS366" s="2" t="str">
        <f t="shared" si="87"/>
        <v/>
      </c>
      <c r="BV366" s="2" t="e">
        <f>VLOOKUP(O366,GLAPS정리!$BH$2:$BI$94,2,0)</f>
        <v>#N/A</v>
      </c>
      <c r="BW366" s="2" t="str">
        <f>IF(OR(Z366="동원",Z366="세방",Z366="한타"),"",IFERROR(INDEX(GLAPS정리!$BI$2:$BI$101,MATCH(Z366,GLAPS정리!$BH$2:$BH$101,0)),""))</f>
        <v/>
      </c>
      <c r="BX366" s="2" t="str">
        <f>IF(Z366="","",IFERROR(VLOOKUP(Z366,GLAPS정리!$AX$2:$AZ$17,3,0),""))</f>
        <v/>
      </c>
      <c r="BZ366" s="2" t="e">
        <f>VLOOKUP(H366,GLAPS정리!$L$3:$O$133,2,0)</f>
        <v>#N/A</v>
      </c>
      <c r="CA366" s="2" t="str">
        <f t="shared" si="88"/>
        <v/>
      </c>
      <c r="CL366" s="2" t="e">
        <f>VLOOKUP(AI366,GLAPS정리!$BT$3:$BV$26,3,0)</f>
        <v>#N/A</v>
      </c>
    </row>
    <row r="367" spans="2:90" ht="20.45" customHeight="1">
      <c r="B367" s="13"/>
      <c r="G367" s="3"/>
      <c r="J367" s="3"/>
      <c r="Q367" s="3" t="str">
        <f t="shared" si="76"/>
        <v/>
      </c>
      <c r="R367" s="3" t="str">
        <f t="shared" si="77"/>
        <v/>
      </c>
      <c r="S367" s="3" t="str">
        <f t="shared" si="78"/>
        <v/>
      </c>
      <c r="X367" s="13"/>
      <c r="Y367" s="13"/>
      <c r="Z367" s="91"/>
      <c r="AC367" s="2">
        <f t="shared" si="79"/>
        <v>20</v>
      </c>
      <c r="AD367" s="2" t="str">
        <f>IFERROR(INDEX(GLAPS정리!$D$2:$D$50,MATCH(I367,GLAPS정리!$A$2:$A$50,0)),IFERROR(INDEX(GLAPS정리!$D$2:$D$50,MATCH(I367,GLAPS정리!$B$2:$B$50,0)),""))</f>
        <v/>
      </c>
      <c r="AF367" s="2" t="str">
        <f t="shared" si="80"/>
        <v>KR10</v>
      </c>
      <c r="AI367" s="2" t="e">
        <f>VLOOKUP(F367,GLAPS정리!$G$3:$J$114,2,0)</f>
        <v>#N/A</v>
      </c>
      <c r="AJ367" s="2" t="e">
        <f>IF(Z367="울산정일","KRONS",IF(Z367="울산신항","KRUSN",IF(OR(Z367="선광종합물류(인천여객)",Z367="인천여객(인천여객)"),"KRINF",IF(OR(Z367="선광인천보세(인천신)",Z367="한진인천(인천신)",Z367="선광인천신항(인천신)",Z367="인천더로지스(인천신)"),"KRINN",IF(OR(Z367="인천진아(인천항)",Z367="인천E1(인천항)",Z367="인천SM경인터미널(인천항)",Z367="인천항(인천항)",Z367="인천우련(인천항)",Z367="인천항8부두(인천항)"),"KRINC",VLOOKUP(K367,GLAPS정리!$BB$2:$BC$33,2,0))))))</f>
        <v>#N/A</v>
      </c>
      <c r="AL367" s="2">
        <f t="shared" si="81"/>
        <v>5010001</v>
      </c>
      <c r="AN367" s="70" t="str">
        <f t="shared" si="82"/>
        <v>1900-01-00</v>
      </c>
      <c r="AO367" s="2" t="str">
        <f t="shared" si="83"/>
        <v/>
      </c>
      <c r="AP367" s="2" t="e">
        <f>VLOOKUP(C367,GLAPS정리!$AX$2:$AZ$17,3,0)</f>
        <v>#N/A</v>
      </c>
      <c r="AR367" s="2">
        <f t="shared" si="89"/>
        <v>0</v>
      </c>
      <c r="AX367" s="2" t="e">
        <f>VLOOKUP(L367,GLAPS정리!$V$3:$W$180,2,0)</f>
        <v>#N/A</v>
      </c>
      <c r="BM367" s="2" t="str">
        <f t="shared" si="84"/>
        <v xml:space="preserve"> </v>
      </c>
      <c r="BN367" s="2">
        <f t="shared" si="85"/>
        <v>1</v>
      </c>
      <c r="BR367" s="2" t="str">
        <f t="shared" si="86"/>
        <v/>
      </c>
      <c r="BS367" s="2" t="str">
        <f t="shared" si="87"/>
        <v/>
      </c>
      <c r="BV367" s="2" t="e">
        <f>VLOOKUP(O367,GLAPS정리!$BH$2:$BI$94,2,0)</f>
        <v>#N/A</v>
      </c>
      <c r="BW367" s="2" t="str">
        <f>IF(OR(Z367="동원",Z367="세방",Z367="한타"),"",IFERROR(INDEX(GLAPS정리!$BI$2:$BI$101,MATCH(Z367,GLAPS정리!$BH$2:$BH$101,0)),""))</f>
        <v/>
      </c>
      <c r="BX367" s="2" t="str">
        <f>IF(Z367="","",IFERROR(VLOOKUP(Z367,GLAPS정리!$AX$2:$AZ$17,3,0),""))</f>
        <v/>
      </c>
      <c r="BZ367" s="2" t="e">
        <f>VLOOKUP(H367,GLAPS정리!$L$3:$O$133,2,0)</f>
        <v>#N/A</v>
      </c>
      <c r="CA367" s="2" t="str">
        <f t="shared" si="88"/>
        <v/>
      </c>
      <c r="CL367" s="2" t="e">
        <f>VLOOKUP(AI367,GLAPS정리!$BT$3:$BV$26,3,0)</f>
        <v>#N/A</v>
      </c>
    </row>
    <row r="368" spans="2:90" ht="20.45" customHeight="1">
      <c r="B368" s="13"/>
      <c r="G368" s="3"/>
      <c r="J368" s="3"/>
      <c r="Q368" s="3" t="str">
        <f t="shared" si="76"/>
        <v/>
      </c>
      <c r="R368" s="3" t="str">
        <f t="shared" si="77"/>
        <v/>
      </c>
      <c r="S368" s="3" t="str">
        <f t="shared" si="78"/>
        <v/>
      </c>
      <c r="X368" s="13"/>
      <c r="Y368" s="13"/>
      <c r="Z368" s="91"/>
      <c r="AC368" s="2">
        <f t="shared" si="79"/>
        <v>20</v>
      </c>
      <c r="AD368" s="2" t="str">
        <f>IFERROR(INDEX(GLAPS정리!$D$2:$D$50,MATCH(I368,GLAPS정리!$A$2:$A$50,0)),IFERROR(INDEX(GLAPS정리!$D$2:$D$50,MATCH(I368,GLAPS정리!$B$2:$B$50,0)),""))</f>
        <v/>
      </c>
      <c r="AF368" s="2" t="str">
        <f t="shared" si="80"/>
        <v>KR10</v>
      </c>
      <c r="AI368" s="2" t="e">
        <f>VLOOKUP(F368,GLAPS정리!$G$3:$J$114,2,0)</f>
        <v>#N/A</v>
      </c>
      <c r="AJ368" s="2" t="e">
        <f>IF(Z368="울산정일","KRONS",IF(Z368="울산신항","KRUSN",IF(OR(Z368="선광종합물류(인천여객)",Z368="인천여객(인천여객)"),"KRINF",IF(OR(Z368="선광인천보세(인천신)",Z368="한진인천(인천신)",Z368="선광인천신항(인천신)",Z368="인천더로지스(인천신)"),"KRINN",IF(OR(Z368="인천진아(인천항)",Z368="인천E1(인천항)",Z368="인천SM경인터미널(인천항)",Z368="인천항(인천항)",Z368="인천우련(인천항)",Z368="인천항8부두(인천항)"),"KRINC",VLOOKUP(K368,GLAPS정리!$BB$2:$BC$33,2,0))))))</f>
        <v>#N/A</v>
      </c>
      <c r="AL368" s="2">
        <f t="shared" si="81"/>
        <v>5010001</v>
      </c>
      <c r="AN368" s="70" t="str">
        <f t="shared" si="82"/>
        <v>1900-01-00</v>
      </c>
      <c r="AO368" s="2" t="str">
        <f t="shared" si="83"/>
        <v/>
      </c>
      <c r="AP368" s="2" t="e">
        <f>VLOOKUP(C368,GLAPS정리!$AX$2:$AZ$17,3,0)</f>
        <v>#N/A</v>
      </c>
      <c r="AR368" s="2">
        <f t="shared" si="89"/>
        <v>0</v>
      </c>
      <c r="AX368" s="2" t="e">
        <f>VLOOKUP(L368,GLAPS정리!$V$3:$W$180,2,0)</f>
        <v>#N/A</v>
      </c>
      <c r="BM368" s="2" t="str">
        <f t="shared" si="84"/>
        <v xml:space="preserve"> </v>
      </c>
      <c r="BN368" s="2">
        <f t="shared" si="85"/>
        <v>1</v>
      </c>
      <c r="BR368" s="2" t="str">
        <f t="shared" si="86"/>
        <v/>
      </c>
      <c r="BS368" s="2" t="str">
        <f t="shared" si="87"/>
        <v/>
      </c>
      <c r="BV368" s="2" t="e">
        <f>VLOOKUP(O368,GLAPS정리!$BH$2:$BI$94,2,0)</f>
        <v>#N/A</v>
      </c>
      <c r="BW368" s="2" t="str">
        <f>IF(OR(Z368="동원",Z368="세방",Z368="한타"),"",IFERROR(INDEX(GLAPS정리!$BI$2:$BI$101,MATCH(Z368,GLAPS정리!$BH$2:$BH$101,0)),""))</f>
        <v/>
      </c>
      <c r="BX368" s="2" t="str">
        <f>IF(Z368="","",IFERROR(VLOOKUP(Z368,GLAPS정리!$AX$2:$AZ$17,3,0),""))</f>
        <v/>
      </c>
      <c r="BZ368" s="2" t="e">
        <f>VLOOKUP(H368,GLAPS정리!$L$3:$O$133,2,0)</f>
        <v>#N/A</v>
      </c>
      <c r="CA368" s="2" t="str">
        <f t="shared" si="88"/>
        <v/>
      </c>
      <c r="CL368" s="2" t="e">
        <f>VLOOKUP(AI368,GLAPS정리!$BT$3:$BV$26,3,0)</f>
        <v>#N/A</v>
      </c>
    </row>
    <row r="369" spans="2:90" ht="20.45" customHeight="1">
      <c r="B369" s="13"/>
      <c r="G369" s="3"/>
      <c r="J369" s="3"/>
      <c r="Q369" s="3" t="str">
        <f t="shared" si="76"/>
        <v/>
      </c>
      <c r="R369" s="3" t="str">
        <f t="shared" si="77"/>
        <v/>
      </c>
      <c r="S369" s="3" t="str">
        <f t="shared" si="78"/>
        <v/>
      </c>
      <c r="X369" s="13"/>
      <c r="Y369" s="13"/>
      <c r="Z369" s="91"/>
      <c r="AC369" s="2">
        <f t="shared" si="79"/>
        <v>20</v>
      </c>
      <c r="AD369" s="2" t="str">
        <f>IFERROR(INDEX(GLAPS정리!$D$2:$D$50,MATCH(I369,GLAPS정리!$A$2:$A$50,0)),IFERROR(INDEX(GLAPS정리!$D$2:$D$50,MATCH(I369,GLAPS정리!$B$2:$B$50,0)),""))</f>
        <v/>
      </c>
      <c r="AF369" s="2" t="str">
        <f t="shared" si="80"/>
        <v>KR10</v>
      </c>
      <c r="AI369" s="2" t="e">
        <f>VLOOKUP(F369,GLAPS정리!$G$3:$J$114,2,0)</f>
        <v>#N/A</v>
      </c>
      <c r="AJ369" s="2" t="e">
        <f>IF(Z369="울산정일","KRONS",IF(Z369="울산신항","KRUSN",IF(OR(Z369="선광종합물류(인천여객)",Z369="인천여객(인천여객)"),"KRINF",IF(OR(Z369="선광인천보세(인천신)",Z369="한진인천(인천신)",Z369="선광인천신항(인천신)",Z369="인천더로지스(인천신)"),"KRINN",IF(OR(Z369="인천진아(인천항)",Z369="인천E1(인천항)",Z369="인천SM경인터미널(인천항)",Z369="인천항(인천항)",Z369="인천우련(인천항)",Z369="인천항8부두(인천항)"),"KRINC",VLOOKUP(K369,GLAPS정리!$BB$2:$BC$33,2,0))))))</f>
        <v>#N/A</v>
      </c>
      <c r="AL369" s="2">
        <f t="shared" si="81"/>
        <v>5010001</v>
      </c>
      <c r="AN369" s="70" t="str">
        <f t="shared" si="82"/>
        <v>1900-01-00</v>
      </c>
      <c r="AO369" s="2" t="str">
        <f t="shared" si="83"/>
        <v/>
      </c>
      <c r="AP369" s="2" t="e">
        <f>VLOOKUP(C369,GLAPS정리!$AX$2:$AZ$17,3,0)</f>
        <v>#N/A</v>
      </c>
      <c r="AR369" s="2">
        <f t="shared" si="89"/>
        <v>0</v>
      </c>
      <c r="AX369" s="2" t="e">
        <f>VLOOKUP(L369,GLAPS정리!$V$3:$W$180,2,0)</f>
        <v>#N/A</v>
      </c>
      <c r="BM369" s="2" t="str">
        <f t="shared" si="84"/>
        <v xml:space="preserve"> </v>
      </c>
      <c r="BN369" s="2">
        <f t="shared" si="85"/>
        <v>1</v>
      </c>
      <c r="BR369" s="2" t="str">
        <f t="shared" si="86"/>
        <v/>
      </c>
      <c r="BS369" s="2" t="str">
        <f t="shared" si="87"/>
        <v/>
      </c>
      <c r="BV369" s="2" t="e">
        <f>VLOOKUP(O369,GLAPS정리!$BH$2:$BI$94,2,0)</f>
        <v>#N/A</v>
      </c>
      <c r="BW369" s="2" t="str">
        <f>IF(OR(Z369="동원",Z369="세방",Z369="한타"),"",IFERROR(INDEX(GLAPS정리!$BI$2:$BI$101,MATCH(Z369,GLAPS정리!$BH$2:$BH$101,0)),""))</f>
        <v/>
      </c>
      <c r="BX369" s="2" t="str">
        <f>IF(Z369="","",IFERROR(VLOOKUP(Z369,GLAPS정리!$AX$2:$AZ$17,3,0),""))</f>
        <v/>
      </c>
      <c r="BZ369" s="2" t="e">
        <f>VLOOKUP(H369,GLAPS정리!$L$3:$O$133,2,0)</f>
        <v>#N/A</v>
      </c>
      <c r="CA369" s="2" t="str">
        <f t="shared" si="88"/>
        <v/>
      </c>
      <c r="CL369" s="2" t="e">
        <f>VLOOKUP(AI369,GLAPS정리!$BT$3:$BV$26,3,0)</f>
        <v>#N/A</v>
      </c>
    </row>
    <row r="370" spans="2:90" ht="20.45" customHeight="1">
      <c r="B370" s="13"/>
      <c r="G370" s="3"/>
      <c r="J370" s="3"/>
      <c r="Q370" s="3" t="str">
        <f t="shared" si="76"/>
        <v/>
      </c>
      <c r="R370" s="3" t="str">
        <f t="shared" si="77"/>
        <v/>
      </c>
      <c r="S370" s="3" t="str">
        <f t="shared" si="78"/>
        <v/>
      </c>
      <c r="X370" s="13"/>
      <c r="Y370" s="13"/>
      <c r="Z370" s="91"/>
      <c r="AC370" s="2">
        <f t="shared" si="79"/>
        <v>20</v>
      </c>
      <c r="AD370" s="2" t="str">
        <f>IFERROR(INDEX(GLAPS정리!$D$2:$D$50,MATCH(I370,GLAPS정리!$A$2:$A$50,0)),IFERROR(INDEX(GLAPS정리!$D$2:$D$50,MATCH(I370,GLAPS정리!$B$2:$B$50,0)),""))</f>
        <v/>
      </c>
      <c r="AF370" s="2" t="str">
        <f t="shared" si="80"/>
        <v>KR10</v>
      </c>
      <c r="AI370" s="2" t="e">
        <f>VLOOKUP(F370,GLAPS정리!$G$3:$J$114,2,0)</f>
        <v>#N/A</v>
      </c>
      <c r="AJ370" s="2" t="e">
        <f>IF(Z370="울산정일","KRONS",IF(Z370="울산신항","KRUSN",IF(OR(Z370="선광종합물류(인천여객)",Z370="인천여객(인천여객)"),"KRINF",IF(OR(Z370="선광인천보세(인천신)",Z370="한진인천(인천신)",Z370="선광인천신항(인천신)",Z370="인천더로지스(인천신)"),"KRINN",IF(OR(Z370="인천진아(인천항)",Z370="인천E1(인천항)",Z370="인천SM경인터미널(인천항)",Z370="인천항(인천항)",Z370="인천우련(인천항)",Z370="인천항8부두(인천항)"),"KRINC",VLOOKUP(K370,GLAPS정리!$BB$2:$BC$33,2,0))))))</f>
        <v>#N/A</v>
      </c>
      <c r="AL370" s="2">
        <f t="shared" si="81"/>
        <v>5010001</v>
      </c>
      <c r="AN370" s="70" t="str">
        <f t="shared" si="82"/>
        <v>1900-01-00</v>
      </c>
      <c r="AO370" s="2" t="str">
        <f t="shared" si="83"/>
        <v/>
      </c>
      <c r="AP370" s="2" t="e">
        <f>VLOOKUP(C370,GLAPS정리!$AX$2:$AZ$17,3,0)</f>
        <v>#N/A</v>
      </c>
      <c r="AR370" s="2">
        <f t="shared" si="89"/>
        <v>0</v>
      </c>
      <c r="AX370" s="2" t="e">
        <f>VLOOKUP(L370,GLAPS정리!$V$3:$W$180,2,0)</f>
        <v>#N/A</v>
      </c>
      <c r="BM370" s="2" t="str">
        <f t="shared" si="84"/>
        <v xml:space="preserve"> </v>
      </c>
      <c r="BN370" s="2">
        <f t="shared" si="85"/>
        <v>1</v>
      </c>
      <c r="BR370" s="2" t="str">
        <f t="shared" si="86"/>
        <v/>
      </c>
      <c r="BS370" s="2" t="str">
        <f t="shared" si="87"/>
        <v/>
      </c>
      <c r="BV370" s="2" t="e">
        <f>VLOOKUP(O370,GLAPS정리!$BH$2:$BI$94,2,0)</f>
        <v>#N/A</v>
      </c>
      <c r="BW370" s="2" t="str">
        <f>IF(OR(Z370="동원",Z370="세방",Z370="한타"),"",IFERROR(INDEX(GLAPS정리!$BI$2:$BI$101,MATCH(Z370,GLAPS정리!$BH$2:$BH$101,0)),""))</f>
        <v/>
      </c>
      <c r="BX370" s="2" t="str">
        <f>IF(Z370="","",IFERROR(VLOOKUP(Z370,GLAPS정리!$AX$2:$AZ$17,3,0),""))</f>
        <v/>
      </c>
      <c r="BZ370" s="2" t="e">
        <f>VLOOKUP(H370,GLAPS정리!$L$3:$O$133,2,0)</f>
        <v>#N/A</v>
      </c>
      <c r="CA370" s="2" t="str">
        <f t="shared" si="88"/>
        <v/>
      </c>
      <c r="CL370" s="2" t="e">
        <f>VLOOKUP(AI370,GLAPS정리!$BT$3:$BV$26,3,0)</f>
        <v>#N/A</v>
      </c>
    </row>
    <row r="371" spans="2:90" ht="20.45" customHeight="1">
      <c r="B371" s="13"/>
      <c r="G371" s="3"/>
      <c r="J371" s="3"/>
      <c r="Q371" s="3" t="str">
        <f t="shared" si="76"/>
        <v/>
      </c>
      <c r="R371" s="3" t="str">
        <f t="shared" si="77"/>
        <v/>
      </c>
      <c r="S371" s="3" t="str">
        <f t="shared" si="78"/>
        <v/>
      </c>
      <c r="X371" s="13"/>
      <c r="Y371" s="13"/>
      <c r="Z371" s="91"/>
      <c r="AC371" s="2">
        <f t="shared" si="79"/>
        <v>20</v>
      </c>
      <c r="AD371" s="2" t="str">
        <f>IFERROR(INDEX(GLAPS정리!$D$2:$D$50,MATCH(I371,GLAPS정리!$A$2:$A$50,0)),IFERROR(INDEX(GLAPS정리!$D$2:$D$50,MATCH(I371,GLAPS정리!$B$2:$B$50,0)),""))</f>
        <v/>
      </c>
      <c r="AF371" s="2" t="str">
        <f t="shared" si="80"/>
        <v>KR10</v>
      </c>
      <c r="AI371" s="2" t="e">
        <f>VLOOKUP(F371,GLAPS정리!$G$3:$J$114,2,0)</f>
        <v>#N/A</v>
      </c>
      <c r="AJ371" s="2" t="e">
        <f>IF(Z371="울산정일","KRONS",IF(Z371="울산신항","KRUSN",IF(OR(Z371="선광종합물류(인천여객)",Z371="인천여객(인천여객)"),"KRINF",IF(OR(Z371="선광인천보세(인천신)",Z371="한진인천(인천신)",Z371="선광인천신항(인천신)",Z371="인천더로지스(인천신)"),"KRINN",IF(OR(Z371="인천진아(인천항)",Z371="인천E1(인천항)",Z371="인천SM경인터미널(인천항)",Z371="인천항(인천항)",Z371="인천우련(인천항)",Z371="인천항8부두(인천항)"),"KRINC",VLOOKUP(K371,GLAPS정리!$BB$2:$BC$33,2,0))))))</f>
        <v>#N/A</v>
      </c>
      <c r="AL371" s="2">
        <f t="shared" si="81"/>
        <v>5010001</v>
      </c>
      <c r="AN371" s="70" t="str">
        <f t="shared" si="82"/>
        <v>1900-01-00</v>
      </c>
      <c r="AO371" s="2" t="str">
        <f t="shared" si="83"/>
        <v/>
      </c>
      <c r="AP371" s="2" t="e">
        <f>VLOOKUP(C371,GLAPS정리!$AX$2:$AZ$17,3,0)</f>
        <v>#N/A</v>
      </c>
      <c r="AR371" s="2">
        <f t="shared" si="89"/>
        <v>0</v>
      </c>
      <c r="AX371" s="2" t="e">
        <f>VLOOKUP(L371,GLAPS정리!$V$3:$W$180,2,0)</f>
        <v>#N/A</v>
      </c>
      <c r="BM371" s="2" t="str">
        <f t="shared" si="84"/>
        <v xml:space="preserve"> </v>
      </c>
      <c r="BN371" s="2">
        <f t="shared" si="85"/>
        <v>1</v>
      </c>
      <c r="BR371" s="2" t="str">
        <f t="shared" si="86"/>
        <v/>
      </c>
      <c r="BS371" s="2" t="str">
        <f t="shared" si="87"/>
        <v/>
      </c>
      <c r="BV371" s="2" t="e">
        <f>VLOOKUP(O371,GLAPS정리!$BH$2:$BI$94,2,0)</f>
        <v>#N/A</v>
      </c>
      <c r="BW371" s="2" t="str">
        <f>IF(OR(Z371="동원",Z371="세방",Z371="한타"),"",IFERROR(INDEX(GLAPS정리!$BI$2:$BI$101,MATCH(Z371,GLAPS정리!$BH$2:$BH$101,0)),""))</f>
        <v/>
      </c>
      <c r="BX371" s="2" t="str">
        <f>IF(Z371="","",IFERROR(VLOOKUP(Z371,GLAPS정리!$AX$2:$AZ$17,3,0),""))</f>
        <v/>
      </c>
      <c r="BZ371" s="2" t="e">
        <f>VLOOKUP(H371,GLAPS정리!$L$3:$O$133,2,0)</f>
        <v>#N/A</v>
      </c>
      <c r="CA371" s="2" t="str">
        <f t="shared" si="88"/>
        <v/>
      </c>
      <c r="CL371" s="2" t="e">
        <f>VLOOKUP(AI371,GLAPS정리!$BT$3:$BV$26,3,0)</f>
        <v>#N/A</v>
      </c>
    </row>
    <row r="372" spans="2:90" ht="20.45" customHeight="1">
      <c r="B372" s="13"/>
      <c r="G372" s="3"/>
      <c r="J372" s="3"/>
      <c r="Q372" s="3" t="str">
        <f t="shared" si="76"/>
        <v/>
      </c>
      <c r="R372" s="3" t="str">
        <f t="shared" si="77"/>
        <v/>
      </c>
      <c r="S372" s="3" t="str">
        <f t="shared" si="78"/>
        <v/>
      </c>
      <c r="X372" s="13"/>
      <c r="Y372" s="13"/>
      <c r="Z372" s="91"/>
      <c r="AC372" s="2">
        <f t="shared" si="79"/>
        <v>20</v>
      </c>
      <c r="AD372" s="2" t="str">
        <f>IFERROR(INDEX(GLAPS정리!$D$2:$D$50,MATCH(I372,GLAPS정리!$A$2:$A$50,0)),IFERROR(INDEX(GLAPS정리!$D$2:$D$50,MATCH(I372,GLAPS정리!$B$2:$B$50,0)),""))</f>
        <v/>
      </c>
      <c r="AF372" s="2" t="str">
        <f t="shared" si="80"/>
        <v>KR10</v>
      </c>
      <c r="AI372" s="2" t="e">
        <f>VLOOKUP(F372,GLAPS정리!$G$3:$J$114,2,0)</f>
        <v>#N/A</v>
      </c>
      <c r="AJ372" s="2" t="e">
        <f>IF(Z372="울산정일","KRONS",IF(Z372="울산신항","KRUSN",IF(OR(Z372="선광종합물류(인천여객)",Z372="인천여객(인천여객)"),"KRINF",IF(OR(Z372="선광인천보세(인천신)",Z372="한진인천(인천신)",Z372="선광인천신항(인천신)",Z372="인천더로지스(인천신)"),"KRINN",IF(OR(Z372="인천진아(인천항)",Z372="인천E1(인천항)",Z372="인천SM경인터미널(인천항)",Z372="인천항(인천항)",Z372="인천우련(인천항)",Z372="인천항8부두(인천항)"),"KRINC",VLOOKUP(K372,GLAPS정리!$BB$2:$BC$33,2,0))))))</f>
        <v>#N/A</v>
      </c>
      <c r="AL372" s="2">
        <f t="shared" si="81"/>
        <v>5010001</v>
      </c>
      <c r="AN372" s="70" t="str">
        <f t="shared" si="82"/>
        <v>1900-01-00</v>
      </c>
      <c r="AO372" s="2" t="str">
        <f t="shared" si="83"/>
        <v/>
      </c>
      <c r="AP372" s="2" t="e">
        <f>VLOOKUP(C372,GLAPS정리!$AX$2:$AZ$17,3,0)</f>
        <v>#N/A</v>
      </c>
      <c r="AR372" s="2">
        <f t="shared" si="89"/>
        <v>0</v>
      </c>
      <c r="AX372" s="2" t="e">
        <f>VLOOKUP(L372,GLAPS정리!$V$3:$W$180,2,0)</f>
        <v>#N/A</v>
      </c>
      <c r="BM372" s="2" t="str">
        <f t="shared" si="84"/>
        <v xml:space="preserve"> </v>
      </c>
      <c r="BN372" s="2">
        <f t="shared" si="85"/>
        <v>1</v>
      </c>
      <c r="BR372" s="2" t="str">
        <f t="shared" si="86"/>
        <v/>
      </c>
      <c r="BS372" s="2" t="str">
        <f t="shared" si="87"/>
        <v/>
      </c>
      <c r="BV372" s="2" t="e">
        <f>VLOOKUP(O372,GLAPS정리!$BH$2:$BI$94,2,0)</f>
        <v>#N/A</v>
      </c>
      <c r="BW372" s="2" t="str">
        <f>IF(OR(Z372="동원",Z372="세방",Z372="한타"),"",IFERROR(INDEX(GLAPS정리!$BI$2:$BI$101,MATCH(Z372,GLAPS정리!$BH$2:$BH$101,0)),""))</f>
        <v/>
      </c>
      <c r="BX372" s="2" t="str">
        <f>IF(Z372="","",IFERROR(VLOOKUP(Z372,GLAPS정리!$AX$2:$AZ$17,3,0),""))</f>
        <v/>
      </c>
      <c r="BZ372" s="2" t="e">
        <f>VLOOKUP(H372,GLAPS정리!$L$3:$O$133,2,0)</f>
        <v>#N/A</v>
      </c>
      <c r="CA372" s="2" t="str">
        <f t="shared" si="88"/>
        <v/>
      </c>
      <c r="CL372" s="2" t="e">
        <f>VLOOKUP(AI372,GLAPS정리!$BT$3:$BV$26,3,0)</f>
        <v>#N/A</v>
      </c>
    </row>
    <row r="373" spans="2:90" ht="20.45" customHeight="1">
      <c r="B373" s="13"/>
      <c r="G373" s="3"/>
      <c r="J373" s="3"/>
      <c r="Q373" s="3" t="str">
        <f t="shared" si="76"/>
        <v/>
      </c>
      <c r="R373" s="3" t="str">
        <f t="shared" si="77"/>
        <v/>
      </c>
      <c r="S373" s="3" t="str">
        <f t="shared" si="78"/>
        <v/>
      </c>
      <c r="X373" s="13"/>
      <c r="Y373" s="13"/>
      <c r="Z373" s="91"/>
      <c r="AC373" s="2">
        <f t="shared" si="79"/>
        <v>20</v>
      </c>
      <c r="AD373" s="2" t="str">
        <f>IFERROR(INDEX(GLAPS정리!$D$2:$D$50,MATCH(I373,GLAPS정리!$A$2:$A$50,0)),IFERROR(INDEX(GLAPS정리!$D$2:$D$50,MATCH(I373,GLAPS정리!$B$2:$B$50,0)),""))</f>
        <v/>
      </c>
      <c r="AF373" s="2" t="str">
        <f t="shared" si="80"/>
        <v>KR10</v>
      </c>
      <c r="AI373" s="2" t="e">
        <f>VLOOKUP(F373,GLAPS정리!$G$3:$J$114,2,0)</f>
        <v>#N/A</v>
      </c>
      <c r="AJ373" s="2" t="e">
        <f>IF(Z373="울산정일","KRONS",IF(Z373="울산신항","KRUSN",IF(OR(Z373="선광종합물류(인천여객)",Z373="인천여객(인천여객)"),"KRINF",IF(OR(Z373="선광인천보세(인천신)",Z373="한진인천(인천신)",Z373="선광인천신항(인천신)",Z373="인천더로지스(인천신)"),"KRINN",IF(OR(Z373="인천진아(인천항)",Z373="인천E1(인천항)",Z373="인천SM경인터미널(인천항)",Z373="인천항(인천항)",Z373="인천우련(인천항)",Z373="인천항8부두(인천항)"),"KRINC",VLOOKUP(K373,GLAPS정리!$BB$2:$BC$33,2,0))))))</f>
        <v>#N/A</v>
      </c>
      <c r="AL373" s="2">
        <f t="shared" si="81"/>
        <v>5010001</v>
      </c>
      <c r="AN373" s="70" t="str">
        <f t="shared" si="82"/>
        <v>1900-01-00</v>
      </c>
      <c r="AO373" s="2" t="str">
        <f t="shared" si="83"/>
        <v/>
      </c>
      <c r="AP373" s="2" t="e">
        <f>VLOOKUP(C373,GLAPS정리!$AX$2:$AZ$17,3,0)</f>
        <v>#N/A</v>
      </c>
      <c r="AR373" s="2">
        <f t="shared" si="89"/>
        <v>0</v>
      </c>
      <c r="AX373" s="2" t="e">
        <f>VLOOKUP(L373,GLAPS정리!$V$3:$W$180,2,0)</f>
        <v>#N/A</v>
      </c>
      <c r="BM373" s="2" t="str">
        <f t="shared" si="84"/>
        <v xml:space="preserve"> </v>
      </c>
      <c r="BN373" s="2">
        <f t="shared" si="85"/>
        <v>1</v>
      </c>
      <c r="BR373" s="2" t="str">
        <f t="shared" si="86"/>
        <v/>
      </c>
      <c r="BS373" s="2" t="str">
        <f t="shared" si="87"/>
        <v/>
      </c>
      <c r="BV373" s="2" t="e">
        <f>VLOOKUP(O373,GLAPS정리!$BH$2:$BI$94,2,0)</f>
        <v>#N/A</v>
      </c>
      <c r="BW373" s="2" t="str">
        <f>IF(OR(Z373="동원",Z373="세방",Z373="한타"),"",IFERROR(INDEX(GLAPS정리!$BI$2:$BI$101,MATCH(Z373,GLAPS정리!$BH$2:$BH$101,0)),""))</f>
        <v/>
      </c>
      <c r="BX373" s="2" t="str">
        <f>IF(Z373="","",IFERROR(VLOOKUP(Z373,GLAPS정리!$AX$2:$AZ$17,3,0),""))</f>
        <v/>
      </c>
      <c r="BZ373" s="2" t="e">
        <f>VLOOKUP(H373,GLAPS정리!$L$3:$O$133,2,0)</f>
        <v>#N/A</v>
      </c>
      <c r="CA373" s="2" t="str">
        <f t="shared" si="88"/>
        <v/>
      </c>
      <c r="CL373" s="2" t="e">
        <f>VLOOKUP(AI373,GLAPS정리!$BT$3:$BV$26,3,0)</f>
        <v>#N/A</v>
      </c>
    </row>
    <row r="374" spans="2:90" ht="20.45" customHeight="1">
      <c r="B374" s="13"/>
      <c r="G374" s="3"/>
      <c r="J374" s="3"/>
      <c r="Q374" s="3" t="str">
        <f t="shared" si="76"/>
        <v/>
      </c>
      <c r="R374" s="3" t="str">
        <f t="shared" si="77"/>
        <v/>
      </c>
      <c r="S374" s="3" t="str">
        <f t="shared" si="78"/>
        <v/>
      </c>
      <c r="X374" s="13"/>
      <c r="Y374" s="13"/>
      <c r="Z374" s="91"/>
      <c r="AC374" s="2">
        <f t="shared" si="79"/>
        <v>20</v>
      </c>
      <c r="AD374" s="2" t="str">
        <f>IFERROR(INDEX(GLAPS정리!$D$2:$D$50,MATCH(I374,GLAPS정리!$A$2:$A$50,0)),IFERROR(INDEX(GLAPS정리!$D$2:$D$50,MATCH(I374,GLAPS정리!$B$2:$B$50,0)),""))</f>
        <v/>
      </c>
      <c r="AF374" s="2" t="str">
        <f t="shared" si="80"/>
        <v>KR10</v>
      </c>
      <c r="AI374" s="2" t="e">
        <f>VLOOKUP(F374,GLAPS정리!$G$3:$J$114,2,0)</f>
        <v>#N/A</v>
      </c>
      <c r="AJ374" s="2" t="e">
        <f>IF(Z374="울산정일","KRONS",IF(Z374="울산신항","KRUSN",IF(OR(Z374="선광종합물류(인천여객)",Z374="인천여객(인천여객)"),"KRINF",IF(OR(Z374="선광인천보세(인천신)",Z374="한진인천(인천신)",Z374="선광인천신항(인천신)",Z374="인천더로지스(인천신)"),"KRINN",IF(OR(Z374="인천진아(인천항)",Z374="인천E1(인천항)",Z374="인천SM경인터미널(인천항)",Z374="인천항(인천항)",Z374="인천우련(인천항)",Z374="인천항8부두(인천항)"),"KRINC",VLOOKUP(K374,GLAPS정리!$BB$2:$BC$33,2,0))))))</f>
        <v>#N/A</v>
      </c>
      <c r="AL374" s="2">
        <f t="shared" si="81"/>
        <v>5010001</v>
      </c>
      <c r="AN374" s="70" t="str">
        <f t="shared" si="82"/>
        <v>1900-01-00</v>
      </c>
      <c r="AO374" s="2" t="str">
        <f t="shared" si="83"/>
        <v/>
      </c>
      <c r="AP374" s="2" t="e">
        <f>VLOOKUP(C374,GLAPS정리!$AX$2:$AZ$17,3,0)</f>
        <v>#N/A</v>
      </c>
      <c r="AR374" s="2">
        <f t="shared" si="89"/>
        <v>0</v>
      </c>
      <c r="AX374" s="2" t="e">
        <f>VLOOKUP(L374,GLAPS정리!$V$3:$W$180,2,0)</f>
        <v>#N/A</v>
      </c>
      <c r="BM374" s="2" t="str">
        <f t="shared" si="84"/>
        <v xml:space="preserve"> </v>
      </c>
      <c r="BN374" s="2">
        <f t="shared" si="85"/>
        <v>1</v>
      </c>
      <c r="BR374" s="2" t="str">
        <f t="shared" si="86"/>
        <v/>
      </c>
      <c r="BS374" s="2" t="str">
        <f t="shared" si="87"/>
        <v/>
      </c>
      <c r="BV374" s="2" t="e">
        <f>VLOOKUP(O374,GLAPS정리!$BH$2:$BI$94,2,0)</f>
        <v>#N/A</v>
      </c>
      <c r="BW374" s="2" t="str">
        <f>IF(OR(Z374="동원",Z374="세방",Z374="한타"),"",IFERROR(INDEX(GLAPS정리!$BI$2:$BI$101,MATCH(Z374,GLAPS정리!$BH$2:$BH$101,0)),""))</f>
        <v/>
      </c>
      <c r="BX374" s="2" t="str">
        <f>IF(Z374="","",IFERROR(VLOOKUP(Z374,GLAPS정리!$AX$2:$AZ$17,3,0),""))</f>
        <v/>
      </c>
      <c r="BZ374" s="2" t="e">
        <f>VLOOKUP(H374,GLAPS정리!$L$3:$O$133,2,0)</f>
        <v>#N/A</v>
      </c>
      <c r="CA374" s="2" t="str">
        <f t="shared" si="88"/>
        <v/>
      </c>
      <c r="CL374" s="2" t="e">
        <f>VLOOKUP(AI374,GLAPS정리!$BT$3:$BV$26,3,0)</f>
        <v>#N/A</v>
      </c>
    </row>
    <row r="375" spans="2:90" ht="20.45" customHeight="1">
      <c r="B375" s="13"/>
      <c r="G375" s="3"/>
      <c r="J375" s="3"/>
      <c r="Q375" s="3" t="str">
        <f t="shared" si="76"/>
        <v/>
      </c>
      <c r="R375" s="3" t="str">
        <f t="shared" si="77"/>
        <v/>
      </c>
      <c r="S375" s="3" t="str">
        <f t="shared" si="78"/>
        <v/>
      </c>
      <c r="X375" s="13"/>
      <c r="Y375" s="13"/>
      <c r="Z375" s="91"/>
      <c r="AC375" s="2">
        <f t="shared" si="79"/>
        <v>20</v>
      </c>
      <c r="AD375" s="2" t="str">
        <f>IFERROR(INDEX(GLAPS정리!$D$2:$D$50,MATCH(I375,GLAPS정리!$A$2:$A$50,0)),IFERROR(INDEX(GLAPS정리!$D$2:$D$50,MATCH(I375,GLAPS정리!$B$2:$B$50,0)),""))</f>
        <v/>
      </c>
      <c r="AF375" s="2" t="str">
        <f t="shared" si="80"/>
        <v>KR10</v>
      </c>
      <c r="AI375" s="2" t="e">
        <f>VLOOKUP(F375,GLAPS정리!$G$3:$J$114,2,0)</f>
        <v>#N/A</v>
      </c>
      <c r="AJ375" s="2" t="e">
        <f>IF(Z375="울산정일","KRONS",IF(Z375="울산신항","KRUSN",IF(OR(Z375="선광종합물류(인천여객)",Z375="인천여객(인천여객)"),"KRINF",IF(OR(Z375="선광인천보세(인천신)",Z375="한진인천(인천신)",Z375="선광인천신항(인천신)",Z375="인천더로지스(인천신)"),"KRINN",IF(OR(Z375="인천진아(인천항)",Z375="인천E1(인천항)",Z375="인천SM경인터미널(인천항)",Z375="인천항(인천항)",Z375="인천우련(인천항)",Z375="인천항8부두(인천항)"),"KRINC",VLOOKUP(K375,GLAPS정리!$BB$2:$BC$33,2,0))))))</f>
        <v>#N/A</v>
      </c>
      <c r="AL375" s="2">
        <f t="shared" si="81"/>
        <v>5010001</v>
      </c>
      <c r="AN375" s="70" t="str">
        <f t="shared" si="82"/>
        <v>1900-01-00</v>
      </c>
      <c r="AO375" s="2" t="str">
        <f t="shared" si="83"/>
        <v/>
      </c>
      <c r="AP375" s="2" t="e">
        <f>VLOOKUP(C375,GLAPS정리!$AX$2:$AZ$17,3,0)</f>
        <v>#N/A</v>
      </c>
      <c r="AR375" s="2">
        <f t="shared" si="89"/>
        <v>0</v>
      </c>
      <c r="AX375" s="2" t="e">
        <f>VLOOKUP(L375,GLAPS정리!$V$3:$W$180,2,0)</f>
        <v>#N/A</v>
      </c>
      <c r="BM375" s="2" t="str">
        <f t="shared" si="84"/>
        <v xml:space="preserve"> </v>
      </c>
      <c r="BN375" s="2">
        <f t="shared" si="85"/>
        <v>1</v>
      </c>
      <c r="BR375" s="2" t="str">
        <f t="shared" si="86"/>
        <v/>
      </c>
      <c r="BS375" s="2" t="str">
        <f t="shared" si="87"/>
        <v/>
      </c>
      <c r="BV375" s="2" t="e">
        <f>VLOOKUP(O375,GLAPS정리!$BH$2:$BI$94,2,0)</f>
        <v>#N/A</v>
      </c>
      <c r="BW375" s="2" t="str">
        <f>IF(OR(Z375="동원",Z375="세방",Z375="한타"),"",IFERROR(INDEX(GLAPS정리!$BI$2:$BI$101,MATCH(Z375,GLAPS정리!$BH$2:$BH$101,0)),""))</f>
        <v/>
      </c>
      <c r="BX375" s="2" t="str">
        <f>IF(Z375="","",IFERROR(VLOOKUP(Z375,GLAPS정리!$AX$2:$AZ$17,3,0),""))</f>
        <v/>
      </c>
      <c r="BZ375" s="2" t="e">
        <f>VLOOKUP(H375,GLAPS정리!$L$3:$O$133,2,0)</f>
        <v>#N/A</v>
      </c>
      <c r="CA375" s="2" t="str">
        <f t="shared" si="88"/>
        <v/>
      </c>
      <c r="CL375" s="2" t="e">
        <f>VLOOKUP(AI375,GLAPS정리!$BT$3:$BV$26,3,0)</f>
        <v>#N/A</v>
      </c>
    </row>
    <row r="376" spans="2:90" ht="20.45" customHeight="1">
      <c r="B376" s="13"/>
      <c r="G376" s="3"/>
      <c r="J376" s="3"/>
      <c r="Q376" s="3" t="str">
        <f t="shared" si="76"/>
        <v/>
      </c>
      <c r="R376" s="3" t="str">
        <f t="shared" si="77"/>
        <v/>
      </c>
      <c r="S376" s="3" t="str">
        <f t="shared" si="78"/>
        <v/>
      </c>
      <c r="X376" s="13"/>
      <c r="Y376" s="13"/>
      <c r="Z376" s="91"/>
      <c r="AC376" s="2">
        <f t="shared" si="79"/>
        <v>20</v>
      </c>
      <c r="AD376" s="2" t="str">
        <f>IFERROR(INDEX(GLAPS정리!$D$2:$D$50,MATCH(I376,GLAPS정리!$A$2:$A$50,0)),IFERROR(INDEX(GLAPS정리!$D$2:$D$50,MATCH(I376,GLAPS정리!$B$2:$B$50,0)),""))</f>
        <v/>
      </c>
      <c r="AF376" s="2" t="str">
        <f t="shared" si="80"/>
        <v>KR10</v>
      </c>
      <c r="AI376" s="2" t="e">
        <f>VLOOKUP(F376,GLAPS정리!$G$3:$J$114,2,0)</f>
        <v>#N/A</v>
      </c>
      <c r="AJ376" s="2" t="e">
        <f>IF(Z376="울산정일","KRONS",IF(Z376="울산신항","KRUSN",IF(OR(Z376="선광종합물류(인천여객)",Z376="인천여객(인천여객)"),"KRINF",IF(OR(Z376="선광인천보세(인천신)",Z376="한진인천(인천신)",Z376="선광인천신항(인천신)",Z376="인천더로지스(인천신)"),"KRINN",IF(OR(Z376="인천진아(인천항)",Z376="인천E1(인천항)",Z376="인천SM경인터미널(인천항)",Z376="인천항(인천항)",Z376="인천우련(인천항)",Z376="인천항8부두(인천항)"),"KRINC",VLOOKUP(K376,GLAPS정리!$BB$2:$BC$33,2,0))))))</f>
        <v>#N/A</v>
      </c>
      <c r="AL376" s="2">
        <f t="shared" si="81"/>
        <v>5010001</v>
      </c>
      <c r="AN376" s="70" t="str">
        <f t="shared" si="82"/>
        <v>1900-01-00</v>
      </c>
      <c r="AO376" s="2" t="str">
        <f t="shared" si="83"/>
        <v/>
      </c>
      <c r="AP376" s="2" t="e">
        <f>VLOOKUP(C376,GLAPS정리!$AX$2:$AZ$17,3,0)</f>
        <v>#N/A</v>
      </c>
      <c r="AR376" s="2">
        <f t="shared" si="89"/>
        <v>0</v>
      </c>
      <c r="AX376" s="2" t="e">
        <f>VLOOKUP(L376,GLAPS정리!$V$3:$W$180,2,0)</f>
        <v>#N/A</v>
      </c>
      <c r="BM376" s="2" t="str">
        <f t="shared" si="84"/>
        <v xml:space="preserve"> </v>
      </c>
      <c r="BN376" s="2">
        <f t="shared" si="85"/>
        <v>1</v>
      </c>
      <c r="BR376" s="2" t="str">
        <f t="shared" si="86"/>
        <v/>
      </c>
      <c r="BS376" s="2" t="str">
        <f t="shared" si="87"/>
        <v/>
      </c>
      <c r="BV376" s="2" t="e">
        <f>VLOOKUP(O376,GLAPS정리!$BH$2:$BI$94,2,0)</f>
        <v>#N/A</v>
      </c>
      <c r="BW376" s="2" t="str">
        <f>IF(OR(Z376="동원",Z376="세방",Z376="한타"),"",IFERROR(INDEX(GLAPS정리!$BI$2:$BI$101,MATCH(Z376,GLAPS정리!$BH$2:$BH$101,0)),""))</f>
        <v/>
      </c>
      <c r="BX376" s="2" t="str">
        <f>IF(Z376="","",IFERROR(VLOOKUP(Z376,GLAPS정리!$AX$2:$AZ$17,3,0),""))</f>
        <v/>
      </c>
      <c r="BZ376" s="2" t="e">
        <f>VLOOKUP(H376,GLAPS정리!$L$3:$O$133,2,0)</f>
        <v>#N/A</v>
      </c>
      <c r="CA376" s="2" t="str">
        <f t="shared" si="88"/>
        <v/>
      </c>
      <c r="CL376" s="2" t="e">
        <f>VLOOKUP(AI376,GLAPS정리!$BT$3:$BV$26,3,0)</f>
        <v>#N/A</v>
      </c>
    </row>
    <row r="377" spans="2:90" ht="20.45" customHeight="1">
      <c r="B377" s="13"/>
      <c r="G377" s="3"/>
      <c r="J377" s="3"/>
      <c r="Q377" s="3" t="str">
        <f t="shared" si="76"/>
        <v/>
      </c>
      <c r="R377" s="3" t="str">
        <f t="shared" si="77"/>
        <v/>
      </c>
      <c r="S377" s="3" t="str">
        <f t="shared" si="78"/>
        <v/>
      </c>
      <c r="X377" s="13"/>
      <c r="Y377" s="13"/>
      <c r="Z377" s="91"/>
      <c r="AC377" s="2">
        <f t="shared" si="79"/>
        <v>20</v>
      </c>
      <c r="AD377" s="2" t="str">
        <f>IFERROR(INDEX(GLAPS정리!$D$2:$D$50,MATCH(I377,GLAPS정리!$A$2:$A$50,0)),IFERROR(INDEX(GLAPS정리!$D$2:$D$50,MATCH(I377,GLAPS정리!$B$2:$B$50,0)),""))</f>
        <v/>
      </c>
      <c r="AF377" s="2" t="str">
        <f t="shared" si="80"/>
        <v>KR10</v>
      </c>
      <c r="AI377" s="2" t="e">
        <f>VLOOKUP(F377,GLAPS정리!$G$3:$J$114,2,0)</f>
        <v>#N/A</v>
      </c>
      <c r="AJ377" s="2" t="e">
        <f>IF(Z377="울산정일","KRONS",IF(Z377="울산신항","KRUSN",IF(OR(Z377="선광종합물류(인천여객)",Z377="인천여객(인천여객)"),"KRINF",IF(OR(Z377="선광인천보세(인천신)",Z377="한진인천(인천신)",Z377="선광인천신항(인천신)",Z377="인천더로지스(인천신)"),"KRINN",IF(OR(Z377="인천진아(인천항)",Z377="인천E1(인천항)",Z377="인천SM경인터미널(인천항)",Z377="인천항(인천항)",Z377="인천우련(인천항)",Z377="인천항8부두(인천항)"),"KRINC",VLOOKUP(K377,GLAPS정리!$BB$2:$BC$33,2,0))))))</f>
        <v>#N/A</v>
      </c>
      <c r="AL377" s="2">
        <f t="shared" si="81"/>
        <v>5010001</v>
      </c>
      <c r="AN377" s="70" t="str">
        <f t="shared" si="82"/>
        <v>1900-01-00</v>
      </c>
      <c r="AO377" s="2" t="str">
        <f t="shared" si="83"/>
        <v/>
      </c>
      <c r="AP377" s="2" t="e">
        <f>VLOOKUP(C377,GLAPS정리!$AX$2:$AZ$17,3,0)</f>
        <v>#N/A</v>
      </c>
      <c r="AR377" s="2">
        <f t="shared" si="89"/>
        <v>0</v>
      </c>
      <c r="AX377" s="2" t="e">
        <f>VLOOKUP(L377,GLAPS정리!$V$3:$W$180,2,0)</f>
        <v>#N/A</v>
      </c>
      <c r="BM377" s="2" t="str">
        <f t="shared" si="84"/>
        <v xml:space="preserve"> </v>
      </c>
      <c r="BN377" s="2">
        <f t="shared" si="85"/>
        <v>1</v>
      </c>
      <c r="BR377" s="2" t="str">
        <f t="shared" si="86"/>
        <v/>
      </c>
      <c r="BS377" s="2" t="str">
        <f t="shared" si="87"/>
        <v/>
      </c>
      <c r="BV377" s="2" t="e">
        <f>VLOOKUP(O377,GLAPS정리!$BH$2:$BI$94,2,0)</f>
        <v>#N/A</v>
      </c>
      <c r="BW377" s="2" t="str">
        <f>IF(OR(Z377="동원",Z377="세방",Z377="한타"),"",IFERROR(INDEX(GLAPS정리!$BI$2:$BI$101,MATCH(Z377,GLAPS정리!$BH$2:$BH$101,0)),""))</f>
        <v/>
      </c>
      <c r="BX377" s="2" t="str">
        <f>IF(Z377="","",IFERROR(VLOOKUP(Z377,GLAPS정리!$AX$2:$AZ$17,3,0),""))</f>
        <v/>
      </c>
      <c r="BZ377" s="2" t="e">
        <f>VLOOKUP(H377,GLAPS정리!$L$3:$O$133,2,0)</f>
        <v>#N/A</v>
      </c>
      <c r="CA377" s="2" t="str">
        <f t="shared" si="88"/>
        <v/>
      </c>
      <c r="CL377" s="2" t="e">
        <f>VLOOKUP(AI377,GLAPS정리!$BT$3:$BV$26,3,0)</f>
        <v>#N/A</v>
      </c>
    </row>
    <row r="378" spans="2:90" ht="20.45" customHeight="1">
      <c r="B378" s="13"/>
      <c r="G378" s="3"/>
      <c r="J378" s="3"/>
      <c r="Q378" s="3" t="str">
        <f t="shared" si="76"/>
        <v/>
      </c>
      <c r="R378" s="3" t="str">
        <f t="shared" si="77"/>
        <v/>
      </c>
      <c r="S378" s="3" t="str">
        <f t="shared" si="78"/>
        <v/>
      </c>
      <c r="X378" s="13"/>
      <c r="Y378" s="13"/>
      <c r="Z378" s="91"/>
      <c r="AC378" s="2">
        <f t="shared" si="79"/>
        <v>20</v>
      </c>
      <c r="AD378" s="2" t="str">
        <f>IFERROR(INDEX(GLAPS정리!$D$2:$D$50,MATCH(I378,GLAPS정리!$A$2:$A$50,0)),IFERROR(INDEX(GLAPS정리!$D$2:$D$50,MATCH(I378,GLAPS정리!$B$2:$B$50,0)),""))</f>
        <v/>
      </c>
      <c r="AF378" s="2" t="str">
        <f t="shared" si="80"/>
        <v>KR10</v>
      </c>
      <c r="AI378" s="2" t="e">
        <f>VLOOKUP(F378,GLAPS정리!$G$3:$J$114,2,0)</f>
        <v>#N/A</v>
      </c>
      <c r="AJ378" s="2" t="e">
        <f>IF(Z378="울산정일","KRONS",IF(Z378="울산신항","KRUSN",IF(OR(Z378="선광종합물류(인천여객)",Z378="인천여객(인천여객)"),"KRINF",IF(OR(Z378="선광인천보세(인천신)",Z378="한진인천(인천신)",Z378="선광인천신항(인천신)",Z378="인천더로지스(인천신)"),"KRINN",IF(OR(Z378="인천진아(인천항)",Z378="인천E1(인천항)",Z378="인천SM경인터미널(인천항)",Z378="인천항(인천항)",Z378="인천우련(인천항)",Z378="인천항8부두(인천항)"),"KRINC",VLOOKUP(K378,GLAPS정리!$BB$2:$BC$33,2,0))))))</f>
        <v>#N/A</v>
      </c>
      <c r="AL378" s="2">
        <f t="shared" si="81"/>
        <v>5010001</v>
      </c>
      <c r="AN378" s="70" t="str">
        <f t="shared" si="82"/>
        <v>1900-01-00</v>
      </c>
      <c r="AO378" s="2" t="str">
        <f t="shared" si="83"/>
        <v/>
      </c>
      <c r="AP378" s="2" t="e">
        <f>VLOOKUP(C378,GLAPS정리!$AX$2:$AZ$17,3,0)</f>
        <v>#N/A</v>
      </c>
      <c r="AR378" s="2">
        <f t="shared" si="89"/>
        <v>0</v>
      </c>
      <c r="AX378" s="2" t="e">
        <f>VLOOKUP(L378,GLAPS정리!$V$3:$W$180,2,0)</f>
        <v>#N/A</v>
      </c>
      <c r="BM378" s="2" t="str">
        <f t="shared" si="84"/>
        <v xml:space="preserve"> </v>
      </c>
      <c r="BN378" s="2">
        <f t="shared" si="85"/>
        <v>1</v>
      </c>
      <c r="BR378" s="2" t="str">
        <f t="shared" si="86"/>
        <v/>
      </c>
      <c r="BS378" s="2" t="str">
        <f t="shared" si="87"/>
        <v/>
      </c>
      <c r="BV378" s="2" t="e">
        <f>VLOOKUP(O378,GLAPS정리!$BH$2:$BI$94,2,0)</f>
        <v>#N/A</v>
      </c>
      <c r="BW378" s="2" t="str">
        <f>IF(OR(Z378="동원",Z378="세방",Z378="한타"),"",IFERROR(INDEX(GLAPS정리!$BI$2:$BI$101,MATCH(Z378,GLAPS정리!$BH$2:$BH$101,0)),""))</f>
        <v/>
      </c>
      <c r="BX378" s="2" t="str">
        <f>IF(Z378="","",IFERROR(VLOOKUP(Z378,GLAPS정리!$AX$2:$AZ$17,3,0),""))</f>
        <v/>
      </c>
      <c r="BZ378" s="2" t="e">
        <f>VLOOKUP(H378,GLAPS정리!$L$3:$O$133,2,0)</f>
        <v>#N/A</v>
      </c>
      <c r="CA378" s="2" t="str">
        <f t="shared" si="88"/>
        <v/>
      </c>
      <c r="CL378" s="2" t="e">
        <f>VLOOKUP(AI378,GLAPS정리!$BT$3:$BV$26,3,0)</f>
        <v>#N/A</v>
      </c>
    </row>
    <row r="379" spans="2:90" ht="20.45" customHeight="1">
      <c r="B379" s="13"/>
      <c r="G379" s="3"/>
      <c r="J379" s="3"/>
      <c r="Q379" s="3" t="str">
        <f t="shared" si="76"/>
        <v/>
      </c>
      <c r="R379" s="3" t="str">
        <f t="shared" si="77"/>
        <v/>
      </c>
      <c r="S379" s="3" t="str">
        <f t="shared" si="78"/>
        <v/>
      </c>
      <c r="X379" s="13"/>
      <c r="Y379" s="13"/>
      <c r="Z379" s="91"/>
      <c r="AC379" s="2">
        <f t="shared" si="79"/>
        <v>20</v>
      </c>
      <c r="AD379" s="2" t="str">
        <f>IFERROR(INDEX(GLAPS정리!$D$2:$D$50,MATCH(I379,GLAPS정리!$A$2:$A$50,0)),IFERROR(INDEX(GLAPS정리!$D$2:$D$50,MATCH(I379,GLAPS정리!$B$2:$B$50,0)),""))</f>
        <v/>
      </c>
      <c r="AF379" s="2" t="str">
        <f t="shared" si="80"/>
        <v>KR10</v>
      </c>
      <c r="AI379" s="2" t="e">
        <f>VLOOKUP(F379,GLAPS정리!$G$3:$J$114,2,0)</f>
        <v>#N/A</v>
      </c>
      <c r="AJ379" s="2" t="e">
        <f>IF(Z379="울산정일","KRONS",IF(Z379="울산신항","KRUSN",IF(OR(Z379="선광종합물류(인천여객)",Z379="인천여객(인천여객)"),"KRINF",IF(OR(Z379="선광인천보세(인천신)",Z379="한진인천(인천신)",Z379="선광인천신항(인천신)",Z379="인천더로지스(인천신)"),"KRINN",IF(OR(Z379="인천진아(인천항)",Z379="인천E1(인천항)",Z379="인천SM경인터미널(인천항)",Z379="인천항(인천항)",Z379="인천우련(인천항)",Z379="인천항8부두(인천항)"),"KRINC",VLOOKUP(K379,GLAPS정리!$BB$2:$BC$33,2,0))))))</f>
        <v>#N/A</v>
      </c>
      <c r="AL379" s="2">
        <f t="shared" si="81"/>
        <v>5010001</v>
      </c>
      <c r="AN379" s="70" t="str">
        <f t="shared" si="82"/>
        <v>1900-01-00</v>
      </c>
      <c r="AO379" s="2" t="str">
        <f t="shared" si="83"/>
        <v/>
      </c>
      <c r="AP379" s="2" t="e">
        <f>VLOOKUP(C379,GLAPS정리!$AX$2:$AZ$17,3,0)</f>
        <v>#N/A</v>
      </c>
      <c r="AR379" s="2">
        <f t="shared" si="89"/>
        <v>0</v>
      </c>
      <c r="AX379" s="2" t="e">
        <f>VLOOKUP(L379,GLAPS정리!$V$3:$W$180,2,0)</f>
        <v>#N/A</v>
      </c>
      <c r="BM379" s="2" t="str">
        <f t="shared" si="84"/>
        <v xml:space="preserve"> </v>
      </c>
      <c r="BN379" s="2">
        <f t="shared" si="85"/>
        <v>1</v>
      </c>
      <c r="BR379" s="2" t="str">
        <f t="shared" si="86"/>
        <v/>
      </c>
      <c r="BS379" s="2" t="str">
        <f t="shared" si="87"/>
        <v/>
      </c>
      <c r="BV379" s="2" t="e">
        <f>VLOOKUP(O379,GLAPS정리!$BH$2:$BI$94,2,0)</f>
        <v>#N/A</v>
      </c>
      <c r="BW379" s="2" t="str">
        <f>IF(OR(Z379="동원",Z379="세방",Z379="한타"),"",IFERROR(INDEX(GLAPS정리!$BI$2:$BI$101,MATCH(Z379,GLAPS정리!$BH$2:$BH$101,0)),""))</f>
        <v/>
      </c>
      <c r="BX379" s="2" t="str">
        <f>IF(Z379="","",IFERROR(VLOOKUP(Z379,GLAPS정리!$AX$2:$AZ$17,3,0),""))</f>
        <v/>
      </c>
      <c r="BZ379" s="2" t="e">
        <f>VLOOKUP(H379,GLAPS정리!$L$3:$O$133,2,0)</f>
        <v>#N/A</v>
      </c>
      <c r="CA379" s="2" t="str">
        <f t="shared" si="88"/>
        <v/>
      </c>
      <c r="CL379" s="2" t="e">
        <f>VLOOKUP(AI379,GLAPS정리!$BT$3:$BV$26,3,0)</f>
        <v>#N/A</v>
      </c>
    </row>
    <row r="380" spans="2:90" ht="20.45" customHeight="1">
      <c r="B380" s="13"/>
      <c r="G380" s="3"/>
      <c r="J380" s="3"/>
      <c r="Q380" s="3" t="str">
        <f t="shared" ref="Q380:Q443" si="90">IF(J380="20 FeeT",1,"")</f>
        <v/>
      </c>
      <c r="R380" s="3" t="str">
        <f t="shared" ref="R380:R443" si="91">IF(J380="40 Feet N",1,"")</f>
        <v/>
      </c>
      <c r="S380" s="3" t="str">
        <f t="shared" ref="S380:S443" si="92">IF(J380="40 Feet H",1,"")</f>
        <v/>
      </c>
      <c r="X380" s="13"/>
      <c r="Y380" s="13"/>
      <c r="Z380" s="91"/>
      <c r="AC380" s="2">
        <f t="shared" ref="AC380:AC443" si="93">$AC$1</f>
        <v>20</v>
      </c>
      <c r="AD380" s="2" t="str">
        <f>IFERROR(INDEX(GLAPS정리!$D$2:$D$50,MATCH(I380,GLAPS정리!$A$2:$A$50,0)),IFERROR(INDEX(GLAPS정리!$D$2:$D$50,MATCH(I380,GLAPS정리!$B$2:$B$50,0)),""))</f>
        <v/>
      </c>
      <c r="AF380" s="2" t="str">
        <f t="shared" ref="AF380:AF443" si="94">$AF$1</f>
        <v>KR10</v>
      </c>
      <c r="AI380" s="2" t="e">
        <f>VLOOKUP(F380,GLAPS정리!$G$3:$J$114,2,0)</f>
        <v>#N/A</v>
      </c>
      <c r="AJ380" s="2" t="e">
        <f>IF(Z380="울산정일","KRONS",IF(Z380="울산신항","KRUSN",IF(OR(Z380="선광종합물류(인천여객)",Z380="인천여객(인천여객)"),"KRINF",IF(OR(Z380="선광인천보세(인천신)",Z380="한진인천(인천신)",Z380="선광인천신항(인천신)",Z380="인천더로지스(인천신)"),"KRINN",IF(OR(Z380="인천진아(인천항)",Z380="인천E1(인천항)",Z380="인천SM경인터미널(인천항)",Z380="인천항(인천항)",Z380="인천우련(인천항)",Z380="인천항8부두(인천항)"),"KRINC",VLOOKUP(K380,GLAPS정리!$BB$2:$BC$33,2,0))))))</f>
        <v>#N/A</v>
      </c>
      <c r="AL380" s="2">
        <f t="shared" ref="AL380:AL443" si="95">$AL$1</f>
        <v>5010001</v>
      </c>
      <c r="AN380" s="70" t="str">
        <f t="shared" ref="AN380:AN443" si="96">TEXT(B380,"YYYY-MM-DD")</f>
        <v>1900-01-00</v>
      </c>
      <c r="AO380" s="2" t="str">
        <f t="shared" ref="AO380:AO443" si="97">IF(E380="오전", "0800", IF(E380="오후", "1300", IF(E380="잔업", "1800", "")))</f>
        <v/>
      </c>
      <c r="AP380" s="2" t="e">
        <f>VLOOKUP(C380,GLAPS정리!$AX$2:$AZ$17,3,0)</f>
        <v>#N/A</v>
      </c>
      <c r="AR380" s="2">
        <f t="shared" si="89"/>
        <v>0</v>
      </c>
      <c r="AX380" s="2" t="e">
        <f>VLOOKUP(L380,GLAPS정리!$V$3:$W$180,2,0)</f>
        <v>#N/A</v>
      </c>
      <c r="BM380" s="2" t="str">
        <f t="shared" ref="BM380:BM443" si="98">IF(AND(Q380=1,OR(P380="",P380="위험물")), "2210", IF(AND(Q380=1,OR(P380="리퍼",P380="위험물리퍼")), "2230", IF(AND(S380=1,OR(P380="",P380="위험물")), "4510", IF(AND(S380=1,OR(P380="리퍼",P380="위험물리퍼")), "4530", IF(AND(R380=1,OR(P380="",P380="위험물")), "4210", IF(AND(R380=1,P380="리퍼"), "4230", " "))))))</f>
        <v xml:space="preserve"> </v>
      </c>
      <c r="BN380" s="2">
        <f t="shared" ref="BN380:BN443" si="99">$BN$1</f>
        <v>1</v>
      </c>
      <c r="BR380" s="2" t="str">
        <f t="shared" ref="BR380:BR443" si="100">IF(OR(P380="리퍼",P380="위험물리퍼"),"Y","")</f>
        <v/>
      </c>
      <c r="BS380" s="2" t="str">
        <f t="shared" ref="BS380:BS443" si="101">IF(OR(P380="위험물",P380="위험물리퍼"),"Y","")</f>
        <v/>
      </c>
      <c r="BV380" s="2" t="e">
        <f>VLOOKUP(O380,GLAPS정리!$BH$2:$BI$94,2,0)</f>
        <v>#N/A</v>
      </c>
      <c r="BW380" s="2" t="str">
        <f>IF(OR(Z380="동원",Z380="세방",Z380="한타"),"",IFERROR(INDEX(GLAPS정리!$BI$2:$BI$101,MATCH(Z380,GLAPS정리!$BH$2:$BH$101,0)),""))</f>
        <v/>
      </c>
      <c r="BX380" s="2" t="str">
        <f>IF(Z380="","",IFERROR(VLOOKUP(Z380,GLAPS정리!$AX$2:$AZ$17,3,0),""))</f>
        <v/>
      </c>
      <c r="BZ380" s="2" t="e">
        <f>VLOOKUP(H380,GLAPS정리!$L$3:$O$133,2,0)</f>
        <v>#N/A</v>
      </c>
      <c r="CA380" s="2" t="str">
        <f t="shared" ref="CA380:CA443" si="102">IF(V380="공휴일", 10, IF(V380="야간", 20, IF(V380="위험물", 30, IF(V380="중량", 40, ""))))</f>
        <v/>
      </c>
      <c r="CL380" s="2" t="e">
        <f>VLOOKUP(AI380,GLAPS정리!$BT$3:$BV$26,3,0)</f>
        <v>#N/A</v>
      </c>
    </row>
    <row r="381" spans="2:90" ht="20.45" customHeight="1">
      <c r="B381" s="13"/>
      <c r="G381" s="3"/>
      <c r="J381" s="3"/>
      <c r="Q381" s="3" t="str">
        <f t="shared" si="90"/>
        <v/>
      </c>
      <c r="R381" s="3" t="str">
        <f t="shared" si="91"/>
        <v/>
      </c>
      <c r="S381" s="3" t="str">
        <f t="shared" si="92"/>
        <v/>
      </c>
      <c r="X381" s="13"/>
      <c r="Y381" s="13"/>
      <c r="Z381" s="91"/>
      <c r="AC381" s="2">
        <f t="shared" si="93"/>
        <v>20</v>
      </c>
      <c r="AD381" s="2" t="str">
        <f>IFERROR(INDEX(GLAPS정리!$D$2:$D$50,MATCH(I381,GLAPS정리!$A$2:$A$50,0)),IFERROR(INDEX(GLAPS정리!$D$2:$D$50,MATCH(I381,GLAPS정리!$B$2:$B$50,0)),""))</f>
        <v/>
      </c>
      <c r="AF381" s="2" t="str">
        <f t="shared" si="94"/>
        <v>KR10</v>
      </c>
      <c r="AI381" s="2" t="e">
        <f>VLOOKUP(F381,GLAPS정리!$G$3:$J$114,2,0)</f>
        <v>#N/A</v>
      </c>
      <c r="AJ381" s="2" t="e">
        <f>IF(Z381="울산정일","KRONS",IF(Z381="울산신항","KRUSN",IF(OR(Z381="선광종합물류(인천여객)",Z381="인천여객(인천여객)"),"KRINF",IF(OR(Z381="선광인천보세(인천신)",Z381="한진인천(인천신)",Z381="선광인천신항(인천신)",Z381="인천더로지스(인천신)"),"KRINN",IF(OR(Z381="인천진아(인천항)",Z381="인천E1(인천항)",Z381="인천SM경인터미널(인천항)",Z381="인천항(인천항)",Z381="인천우련(인천항)",Z381="인천항8부두(인천항)"),"KRINC",VLOOKUP(K381,GLAPS정리!$BB$2:$BC$33,2,0))))))</f>
        <v>#N/A</v>
      </c>
      <c r="AL381" s="2">
        <f t="shared" si="95"/>
        <v>5010001</v>
      </c>
      <c r="AN381" s="70" t="str">
        <f t="shared" si="96"/>
        <v>1900-01-00</v>
      </c>
      <c r="AO381" s="2" t="str">
        <f t="shared" si="97"/>
        <v/>
      </c>
      <c r="AP381" s="2" t="e">
        <f>VLOOKUP(C381,GLAPS정리!$AX$2:$AZ$17,3,0)</f>
        <v>#N/A</v>
      </c>
      <c r="AR381" s="2">
        <f t="shared" si="89"/>
        <v>0</v>
      </c>
      <c r="AX381" s="2" t="e">
        <f>VLOOKUP(L381,GLAPS정리!$V$3:$W$180,2,0)</f>
        <v>#N/A</v>
      </c>
      <c r="BM381" s="2" t="str">
        <f t="shared" si="98"/>
        <v xml:space="preserve"> </v>
      </c>
      <c r="BN381" s="2">
        <f t="shared" si="99"/>
        <v>1</v>
      </c>
      <c r="BR381" s="2" t="str">
        <f t="shared" si="100"/>
        <v/>
      </c>
      <c r="BS381" s="2" t="str">
        <f t="shared" si="101"/>
        <v/>
      </c>
      <c r="BV381" s="2" t="e">
        <f>VLOOKUP(O381,GLAPS정리!$BH$2:$BI$94,2,0)</f>
        <v>#N/A</v>
      </c>
      <c r="BW381" s="2" t="str">
        <f>IF(OR(Z381="동원",Z381="세방",Z381="한타"),"",IFERROR(INDEX(GLAPS정리!$BI$2:$BI$101,MATCH(Z381,GLAPS정리!$BH$2:$BH$101,0)),""))</f>
        <v/>
      </c>
      <c r="BX381" s="2" t="str">
        <f>IF(Z381="","",IFERROR(VLOOKUP(Z381,GLAPS정리!$AX$2:$AZ$17,3,0),""))</f>
        <v/>
      </c>
      <c r="BZ381" s="2" t="e">
        <f>VLOOKUP(H381,GLAPS정리!$L$3:$O$133,2,0)</f>
        <v>#N/A</v>
      </c>
      <c r="CA381" s="2" t="str">
        <f t="shared" si="102"/>
        <v/>
      </c>
      <c r="CL381" s="2" t="e">
        <f>VLOOKUP(AI381,GLAPS정리!$BT$3:$BV$26,3,0)</f>
        <v>#N/A</v>
      </c>
    </row>
    <row r="382" spans="2:90" ht="20.45" customHeight="1">
      <c r="B382" s="13"/>
      <c r="G382" s="3"/>
      <c r="J382" s="3"/>
      <c r="Q382" s="3" t="str">
        <f t="shared" si="90"/>
        <v/>
      </c>
      <c r="R382" s="3" t="str">
        <f t="shared" si="91"/>
        <v/>
      </c>
      <c r="S382" s="3" t="str">
        <f t="shared" si="92"/>
        <v/>
      </c>
      <c r="X382" s="13"/>
      <c r="Y382" s="13"/>
      <c r="Z382" s="91"/>
      <c r="AC382" s="2">
        <f t="shared" si="93"/>
        <v>20</v>
      </c>
      <c r="AD382" s="2" t="str">
        <f>IFERROR(INDEX(GLAPS정리!$D$2:$D$50,MATCH(I382,GLAPS정리!$A$2:$A$50,0)),IFERROR(INDEX(GLAPS정리!$D$2:$D$50,MATCH(I382,GLAPS정리!$B$2:$B$50,0)),""))</f>
        <v/>
      </c>
      <c r="AF382" s="2" t="str">
        <f t="shared" si="94"/>
        <v>KR10</v>
      </c>
      <c r="AI382" s="2" t="e">
        <f>VLOOKUP(F382,GLAPS정리!$G$3:$J$114,2,0)</f>
        <v>#N/A</v>
      </c>
      <c r="AJ382" s="2" t="e">
        <f>IF(Z382="울산정일","KRONS",IF(Z382="울산신항","KRUSN",IF(OR(Z382="선광종합물류(인천여객)",Z382="인천여객(인천여객)"),"KRINF",IF(OR(Z382="선광인천보세(인천신)",Z382="한진인천(인천신)",Z382="선광인천신항(인천신)",Z382="인천더로지스(인천신)"),"KRINN",IF(OR(Z382="인천진아(인천항)",Z382="인천E1(인천항)",Z382="인천SM경인터미널(인천항)",Z382="인천항(인천항)",Z382="인천우련(인천항)",Z382="인천항8부두(인천항)"),"KRINC",VLOOKUP(K382,GLAPS정리!$BB$2:$BC$33,2,0))))))</f>
        <v>#N/A</v>
      </c>
      <c r="AL382" s="2">
        <f t="shared" si="95"/>
        <v>5010001</v>
      </c>
      <c r="AN382" s="70" t="str">
        <f t="shared" si="96"/>
        <v>1900-01-00</v>
      </c>
      <c r="AO382" s="2" t="str">
        <f t="shared" si="97"/>
        <v/>
      </c>
      <c r="AP382" s="2" t="e">
        <f>VLOOKUP(C382,GLAPS정리!$AX$2:$AZ$17,3,0)</f>
        <v>#N/A</v>
      </c>
      <c r="AR382" s="2">
        <f t="shared" si="89"/>
        <v>0</v>
      </c>
      <c r="AX382" s="2" t="e">
        <f>VLOOKUP(L382,GLAPS정리!$V$3:$W$180,2,0)</f>
        <v>#N/A</v>
      </c>
      <c r="BM382" s="2" t="str">
        <f t="shared" si="98"/>
        <v xml:space="preserve"> </v>
      </c>
      <c r="BN382" s="2">
        <f t="shared" si="99"/>
        <v>1</v>
      </c>
      <c r="BR382" s="2" t="str">
        <f t="shared" si="100"/>
        <v/>
      </c>
      <c r="BS382" s="2" t="str">
        <f t="shared" si="101"/>
        <v/>
      </c>
      <c r="BV382" s="2" t="e">
        <f>VLOOKUP(O382,GLAPS정리!$BH$2:$BI$94,2,0)</f>
        <v>#N/A</v>
      </c>
      <c r="BW382" s="2" t="str">
        <f>IF(OR(Z382="동원",Z382="세방",Z382="한타"),"",IFERROR(INDEX(GLAPS정리!$BI$2:$BI$101,MATCH(Z382,GLAPS정리!$BH$2:$BH$101,0)),""))</f>
        <v/>
      </c>
      <c r="BX382" s="2" t="str">
        <f>IF(Z382="","",IFERROR(VLOOKUP(Z382,GLAPS정리!$AX$2:$AZ$17,3,0),""))</f>
        <v/>
      </c>
      <c r="BZ382" s="2" t="e">
        <f>VLOOKUP(H382,GLAPS정리!$L$3:$O$133,2,0)</f>
        <v>#N/A</v>
      </c>
      <c r="CA382" s="2" t="str">
        <f t="shared" si="102"/>
        <v/>
      </c>
      <c r="CL382" s="2" t="e">
        <f>VLOOKUP(AI382,GLAPS정리!$BT$3:$BV$26,3,0)</f>
        <v>#N/A</v>
      </c>
    </row>
    <row r="383" spans="2:90" ht="20.45" customHeight="1">
      <c r="B383" s="13"/>
      <c r="G383" s="3"/>
      <c r="J383" s="3"/>
      <c r="Q383" s="3" t="str">
        <f t="shared" si="90"/>
        <v/>
      </c>
      <c r="R383" s="3" t="str">
        <f t="shared" si="91"/>
        <v/>
      </c>
      <c r="S383" s="3" t="str">
        <f t="shared" si="92"/>
        <v/>
      </c>
      <c r="X383" s="13"/>
      <c r="Y383" s="13"/>
      <c r="Z383" s="91"/>
      <c r="AC383" s="2">
        <f t="shared" si="93"/>
        <v>20</v>
      </c>
      <c r="AD383" s="2" t="str">
        <f>IFERROR(INDEX(GLAPS정리!$D$2:$D$50,MATCH(I383,GLAPS정리!$A$2:$A$50,0)),IFERROR(INDEX(GLAPS정리!$D$2:$D$50,MATCH(I383,GLAPS정리!$B$2:$B$50,0)),""))</f>
        <v/>
      </c>
      <c r="AF383" s="2" t="str">
        <f t="shared" si="94"/>
        <v>KR10</v>
      </c>
      <c r="AI383" s="2" t="e">
        <f>VLOOKUP(F383,GLAPS정리!$G$3:$J$114,2,0)</f>
        <v>#N/A</v>
      </c>
      <c r="AJ383" s="2" t="e">
        <f>IF(Z383="울산정일","KRONS",IF(Z383="울산신항","KRUSN",IF(OR(Z383="선광종합물류(인천여객)",Z383="인천여객(인천여객)"),"KRINF",IF(OR(Z383="선광인천보세(인천신)",Z383="한진인천(인천신)",Z383="선광인천신항(인천신)",Z383="인천더로지스(인천신)"),"KRINN",IF(OR(Z383="인천진아(인천항)",Z383="인천E1(인천항)",Z383="인천SM경인터미널(인천항)",Z383="인천항(인천항)",Z383="인천우련(인천항)",Z383="인천항8부두(인천항)"),"KRINC",VLOOKUP(K383,GLAPS정리!$BB$2:$BC$33,2,0))))))</f>
        <v>#N/A</v>
      </c>
      <c r="AL383" s="2">
        <f t="shared" si="95"/>
        <v>5010001</v>
      </c>
      <c r="AN383" s="70" t="str">
        <f t="shared" si="96"/>
        <v>1900-01-00</v>
      </c>
      <c r="AO383" s="2" t="str">
        <f t="shared" si="97"/>
        <v/>
      </c>
      <c r="AP383" s="2" t="e">
        <f>VLOOKUP(C383,GLAPS정리!$AX$2:$AZ$17,3,0)</f>
        <v>#N/A</v>
      </c>
      <c r="AR383" s="2">
        <f t="shared" si="89"/>
        <v>0</v>
      </c>
      <c r="AX383" s="2" t="e">
        <f>VLOOKUP(L383,GLAPS정리!$V$3:$W$180,2,0)</f>
        <v>#N/A</v>
      </c>
      <c r="BM383" s="2" t="str">
        <f t="shared" si="98"/>
        <v xml:space="preserve"> </v>
      </c>
      <c r="BN383" s="2">
        <f t="shared" si="99"/>
        <v>1</v>
      </c>
      <c r="BR383" s="2" t="str">
        <f t="shared" si="100"/>
        <v/>
      </c>
      <c r="BS383" s="2" t="str">
        <f t="shared" si="101"/>
        <v/>
      </c>
      <c r="BV383" s="2" t="e">
        <f>VLOOKUP(O383,GLAPS정리!$BH$2:$BI$94,2,0)</f>
        <v>#N/A</v>
      </c>
      <c r="BW383" s="2" t="str">
        <f>IF(OR(Z383="동원",Z383="세방",Z383="한타"),"",IFERROR(INDEX(GLAPS정리!$BI$2:$BI$101,MATCH(Z383,GLAPS정리!$BH$2:$BH$101,0)),""))</f>
        <v/>
      </c>
      <c r="BX383" s="2" t="str">
        <f>IF(Z383="","",IFERROR(VLOOKUP(Z383,GLAPS정리!$AX$2:$AZ$17,3,0),""))</f>
        <v/>
      </c>
      <c r="BZ383" s="2" t="e">
        <f>VLOOKUP(H383,GLAPS정리!$L$3:$O$133,2,0)</f>
        <v>#N/A</v>
      </c>
      <c r="CA383" s="2" t="str">
        <f t="shared" si="102"/>
        <v/>
      </c>
      <c r="CL383" s="2" t="e">
        <f>VLOOKUP(AI383,GLAPS정리!$BT$3:$BV$26,3,0)</f>
        <v>#N/A</v>
      </c>
    </row>
    <row r="384" spans="2:90" ht="20.45" customHeight="1">
      <c r="B384" s="13"/>
      <c r="G384" s="3"/>
      <c r="J384" s="3"/>
      <c r="Q384" s="3" t="str">
        <f t="shared" si="90"/>
        <v/>
      </c>
      <c r="R384" s="3" t="str">
        <f t="shared" si="91"/>
        <v/>
      </c>
      <c r="S384" s="3" t="str">
        <f t="shared" si="92"/>
        <v/>
      </c>
      <c r="X384" s="13"/>
      <c r="Y384" s="13"/>
      <c r="Z384" s="91"/>
      <c r="AC384" s="2">
        <f t="shared" si="93"/>
        <v>20</v>
      </c>
      <c r="AD384" s="2" t="str">
        <f>IFERROR(INDEX(GLAPS정리!$D$2:$D$50,MATCH(I384,GLAPS정리!$A$2:$A$50,0)),IFERROR(INDEX(GLAPS정리!$D$2:$D$50,MATCH(I384,GLAPS정리!$B$2:$B$50,0)),""))</f>
        <v/>
      </c>
      <c r="AF384" s="2" t="str">
        <f t="shared" si="94"/>
        <v>KR10</v>
      </c>
      <c r="AI384" s="2" t="e">
        <f>VLOOKUP(F384,GLAPS정리!$G$3:$J$114,2,0)</f>
        <v>#N/A</v>
      </c>
      <c r="AJ384" s="2" t="e">
        <f>IF(Z384="울산정일","KRONS",IF(Z384="울산신항","KRUSN",IF(OR(Z384="선광종합물류(인천여객)",Z384="인천여객(인천여객)"),"KRINF",IF(OR(Z384="선광인천보세(인천신)",Z384="한진인천(인천신)",Z384="선광인천신항(인천신)",Z384="인천더로지스(인천신)"),"KRINN",IF(OR(Z384="인천진아(인천항)",Z384="인천E1(인천항)",Z384="인천SM경인터미널(인천항)",Z384="인천항(인천항)",Z384="인천우련(인천항)",Z384="인천항8부두(인천항)"),"KRINC",VLOOKUP(K384,GLAPS정리!$BB$2:$BC$33,2,0))))))</f>
        <v>#N/A</v>
      </c>
      <c r="AL384" s="2">
        <f t="shared" si="95"/>
        <v>5010001</v>
      </c>
      <c r="AN384" s="70" t="str">
        <f t="shared" si="96"/>
        <v>1900-01-00</v>
      </c>
      <c r="AO384" s="2" t="str">
        <f t="shared" si="97"/>
        <v/>
      </c>
      <c r="AP384" s="2" t="e">
        <f>VLOOKUP(C384,GLAPS정리!$AX$2:$AZ$17,3,0)</f>
        <v>#N/A</v>
      </c>
      <c r="AR384" s="2">
        <f t="shared" si="89"/>
        <v>0</v>
      </c>
      <c r="AX384" s="2" t="e">
        <f>VLOOKUP(L384,GLAPS정리!$V$3:$W$180,2,0)</f>
        <v>#N/A</v>
      </c>
      <c r="BM384" s="2" t="str">
        <f t="shared" si="98"/>
        <v xml:space="preserve"> </v>
      </c>
      <c r="BN384" s="2">
        <f t="shared" si="99"/>
        <v>1</v>
      </c>
      <c r="BR384" s="2" t="str">
        <f t="shared" si="100"/>
        <v/>
      </c>
      <c r="BS384" s="2" t="str">
        <f t="shared" si="101"/>
        <v/>
      </c>
      <c r="BV384" s="2" t="e">
        <f>VLOOKUP(O384,GLAPS정리!$BH$2:$BI$94,2,0)</f>
        <v>#N/A</v>
      </c>
      <c r="BW384" s="2" t="str">
        <f>IF(OR(Z384="동원",Z384="세방",Z384="한타"),"",IFERROR(INDEX(GLAPS정리!$BI$2:$BI$101,MATCH(Z384,GLAPS정리!$BH$2:$BH$101,0)),""))</f>
        <v/>
      </c>
      <c r="BX384" s="2" t="str">
        <f>IF(Z384="","",IFERROR(VLOOKUP(Z384,GLAPS정리!$AX$2:$AZ$17,3,0),""))</f>
        <v/>
      </c>
      <c r="BZ384" s="2" t="e">
        <f>VLOOKUP(H384,GLAPS정리!$L$3:$O$133,2,0)</f>
        <v>#N/A</v>
      </c>
      <c r="CA384" s="2" t="str">
        <f t="shared" si="102"/>
        <v/>
      </c>
      <c r="CL384" s="2" t="e">
        <f>VLOOKUP(AI384,GLAPS정리!$BT$3:$BV$26,3,0)</f>
        <v>#N/A</v>
      </c>
    </row>
    <row r="385" spans="2:90" ht="20.45" customHeight="1">
      <c r="B385" s="13"/>
      <c r="G385" s="3"/>
      <c r="J385" s="3"/>
      <c r="Q385" s="3" t="str">
        <f t="shared" si="90"/>
        <v/>
      </c>
      <c r="R385" s="3" t="str">
        <f t="shared" si="91"/>
        <v/>
      </c>
      <c r="S385" s="3" t="str">
        <f t="shared" si="92"/>
        <v/>
      </c>
      <c r="X385" s="13"/>
      <c r="Y385" s="13"/>
      <c r="Z385" s="91"/>
      <c r="AC385" s="2">
        <f t="shared" si="93"/>
        <v>20</v>
      </c>
      <c r="AD385" s="2" t="str">
        <f>IFERROR(INDEX(GLAPS정리!$D$2:$D$50,MATCH(I385,GLAPS정리!$A$2:$A$50,0)),IFERROR(INDEX(GLAPS정리!$D$2:$D$50,MATCH(I385,GLAPS정리!$B$2:$B$50,0)),""))</f>
        <v/>
      </c>
      <c r="AF385" s="2" t="str">
        <f t="shared" si="94"/>
        <v>KR10</v>
      </c>
      <c r="AI385" s="2" t="e">
        <f>VLOOKUP(F385,GLAPS정리!$G$3:$J$114,2,0)</f>
        <v>#N/A</v>
      </c>
      <c r="AJ385" s="2" t="e">
        <f>IF(Z385="울산정일","KRONS",IF(Z385="울산신항","KRUSN",IF(OR(Z385="선광종합물류(인천여객)",Z385="인천여객(인천여객)"),"KRINF",IF(OR(Z385="선광인천보세(인천신)",Z385="한진인천(인천신)",Z385="선광인천신항(인천신)",Z385="인천더로지스(인천신)"),"KRINN",IF(OR(Z385="인천진아(인천항)",Z385="인천E1(인천항)",Z385="인천SM경인터미널(인천항)",Z385="인천항(인천항)",Z385="인천우련(인천항)",Z385="인천항8부두(인천항)"),"KRINC",VLOOKUP(K385,GLAPS정리!$BB$2:$BC$33,2,0))))))</f>
        <v>#N/A</v>
      </c>
      <c r="AL385" s="2">
        <f t="shared" si="95"/>
        <v>5010001</v>
      </c>
      <c r="AN385" s="70" t="str">
        <f t="shared" si="96"/>
        <v>1900-01-00</v>
      </c>
      <c r="AO385" s="2" t="str">
        <f t="shared" si="97"/>
        <v/>
      </c>
      <c r="AP385" s="2" t="e">
        <f>VLOOKUP(C385,GLAPS정리!$AX$2:$AZ$17,3,0)</f>
        <v>#N/A</v>
      </c>
      <c r="AR385" s="2">
        <f t="shared" si="89"/>
        <v>0</v>
      </c>
      <c r="AX385" s="2" t="e">
        <f>VLOOKUP(L385,GLAPS정리!$V$3:$W$180,2,0)</f>
        <v>#N/A</v>
      </c>
      <c r="BM385" s="2" t="str">
        <f t="shared" si="98"/>
        <v xml:space="preserve"> </v>
      </c>
      <c r="BN385" s="2">
        <f t="shared" si="99"/>
        <v>1</v>
      </c>
      <c r="BR385" s="2" t="str">
        <f t="shared" si="100"/>
        <v/>
      </c>
      <c r="BS385" s="2" t="str">
        <f t="shared" si="101"/>
        <v/>
      </c>
      <c r="BV385" s="2" t="e">
        <f>VLOOKUP(O385,GLAPS정리!$BH$2:$BI$94,2,0)</f>
        <v>#N/A</v>
      </c>
      <c r="BW385" s="2" t="str">
        <f>IF(OR(Z385="동원",Z385="세방",Z385="한타"),"",IFERROR(INDEX(GLAPS정리!$BI$2:$BI$101,MATCH(Z385,GLAPS정리!$BH$2:$BH$101,0)),""))</f>
        <v/>
      </c>
      <c r="BX385" s="2" t="str">
        <f>IF(Z385="","",IFERROR(VLOOKUP(Z385,GLAPS정리!$AX$2:$AZ$17,3,0),""))</f>
        <v/>
      </c>
      <c r="BZ385" s="2" t="e">
        <f>VLOOKUP(H385,GLAPS정리!$L$3:$O$133,2,0)</f>
        <v>#N/A</v>
      </c>
      <c r="CA385" s="2" t="str">
        <f t="shared" si="102"/>
        <v/>
      </c>
      <c r="CL385" s="2" t="e">
        <f>VLOOKUP(AI385,GLAPS정리!$BT$3:$BV$26,3,0)</f>
        <v>#N/A</v>
      </c>
    </row>
    <row r="386" spans="2:90" ht="20.45" customHeight="1">
      <c r="B386" s="13"/>
      <c r="G386" s="3"/>
      <c r="J386" s="3"/>
      <c r="Q386" s="3" t="str">
        <f t="shared" si="90"/>
        <v/>
      </c>
      <c r="R386" s="3" t="str">
        <f t="shared" si="91"/>
        <v/>
      </c>
      <c r="S386" s="3" t="str">
        <f t="shared" si="92"/>
        <v/>
      </c>
      <c r="X386" s="13"/>
      <c r="Y386" s="13"/>
      <c r="Z386" s="91"/>
      <c r="AC386" s="2">
        <f t="shared" si="93"/>
        <v>20</v>
      </c>
      <c r="AD386" s="2" t="str">
        <f>IFERROR(INDEX(GLAPS정리!$D$2:$D$50,MATCH(I386,GLAPS정리!$A$2:$A$50,0)),IFERROR(INDEX(GLAPS정리!$D$2:$D$50,MATCH(I386,GLAPS정리!$B$2:$B$50,0)),""))</f>
        <v/>
      </c>
      <c r="AF386" s="2" t="str">
        <f t="shared" si="94"/>
        <v>KR10</v>
      </c>
      <c r="AI386" s="2" t="e">
        <f>VLOOKUP(F386,GLAPS정리!$G$3:$J$114,2,0)</f>
        <v>#N/A</v>
      </c>
      <c r="AJ386" s="2" t="e">
        <f>IF(Z386="울산정일","KRONS",IF(Z386="울산신항","KRUSN",IF(OR(Z386="선광종합물류(인천여객)",Z386="인천여객(인천여객)"),"KRINF",IF(OR(Z386="선광인천보세(인천신)",Z386="한진인천(인천신)",Z386="선광인천신항(인천신)",Z386="인천더로지스(인천신)"),"KRINN",IF(OR(Z386="인천진아(인천항)",Z386="인천E1(인천항)",Z386="인천SM경인터미널(인천항)",Z386="인천항(인천항)",Z386="인천우련(인천항)",Z386="인천항8부두(인천항)"),"KRINC",VLOOKUP(K386,GLAPS정리!$BB$2:$BC$33,2,0))))))</f>
        <v>#N/A</v>
      </c>
      <c r="AL386" s="2">
        <f t="shared" si="95"/>
        <v>5010001</v>
      </c>
      <c r="AN386" s="70" t="str">
        <f t="shared" si="96"/>
        <v>1900-01-00</v>
      </c>
      <c r="AO386" s="2" t="str">
        <f t="shared" si="97"/>
        <v/>
      </c>
      <c r="AP386" s="2" t="e">
        <f>VLOOKUP(C386,GLAPS정리!$AX$2:$AZ$17,3,0)</f>
        <v>#N/A</v>
      </c>
      <c r="AR386" s="2">
        <f t="shared" si="89"/>
        <v>0</v>
      </c>
      <c r="AX386" s="2" t="e">
        <f>VLOOKUP(L386,GLAPS정리!$V$3:$W$180,2,0)</f>
        <v>#N/A</v>
      </c>
      <c r="BM386" s="2" t="str">
        <f t="shared" si="98"/>
        <v xml:space="preserve"> </v>
      </c>
      <c r="BN386" s="2">
        <f t="shared" si="99"/>
        <v>1</v>
      </c>
      <c r="BR386" s="2" t="str">
        <f t="shared" si="100"/>
        <v/>
      </c>
      <c r="BS386" s="2" t="str">
        <f t="shared" si="101"/>
        <v/>
      </c>
      <c r="BV386" s="2" t="e">
        <f>VLOOKUP(O386,GLAPS정리!$BH$2:$BI$94,2,0)</f>
        <v>#N/A</v>
      </c>
      <c r="BW386" s="2" t="str">
        <f>IF(OR(Z386="동원",Z386="세방",Z386="한타"),"",IFERROR(INDEX(GLAPS정리!$BI$2:$BI$101,MATCH(Z386,GLAPS정리!$BH$2:$BH$101,0)),""))</f>
        <v/>
      </c>
      <c r="BX386" s="2" t="str">
        <f>IF(Z386="","",IFERROR(VLOOKUP(Z386,GLAPS정리!$AX$2:$AZ$17,3,0),""))</f>
        <v/>
      </c>
      <c r="BZ386" s="2" t="e">
        <f>VLOOKUP(H386,GLAPS정리!$L$3:$O$133,2,0)</f>
        <v>#N/A</v>
      </c>
      <c r="CA386" s="2" t="str">
        <f t="shared" si="102"/>
        <v/>
      </c>
      <c r="CL386" s="2" t="e">
        <f>VLOOKUP(AI386,GLAPS정리!$BT$3:$BV$26,3,0)</f>
        <v>#N/A</v>
      </c>
    </row>
    <row r="387" spans="2:90" ht="20.45" customHeight="1">
      <c r="B387" s="13"/>
      <c r="G387" s="3"/>
      <c r="J387" s="3"/>
      <c r="Q387" s="3" t="str">
        <f t="shared" si="90"/>
        <v/>
      </c>
      <c r="R387" s="3" t="str">
        <f t="shared" si="91"/>
        <v/>
      </c>
      <c r="S387" s="3" t="str">
        <f t="shared" si="92"/>
        <v/>
      </c>
      <c r="X387" s="13"/>
      <c r="Y387" s="13"/>
      <c r="Z387" s="91"/>
      <c r="AC387" s="2">
        <f t="shared" si="93"/>
        <v>20</v>
      </c>
      <c r="AD387" s="2" t="str">
        <f>IFERROR(INDEX(GLAPS정리!$D$2:$D$50,MATCH(I387,GLAPS정리!$A$2:$A$50,0)),IFERROR(INDEX(GLAPS정리!$D$2:$D$50,MATCH(I387,GLAPS정리!$B$2:$B$50,0)),""))</f>
        <v/>
      </c>
      <c r="AF387" s="2" t="str">
        <f t="shared" si="94"/>
        <v>KR10</v>
      </c>
      <c r="AI387" s="2" t="e">
        <f>VLOOKUP(F387,GLAPS정리!$G$3:$J$114,2,0)</f>
        <v>#N/A</v>
      </c>
      <c r="AJ387" s="2" t="e">
        <f>IF(Z387="울산정일","KRONS",IF(Z387="울산신항","KRUSN",IF(OR(Z387="선광종합물류(인천여객)",Z387="인천여객(인천여객)"),"KRINF",IF(OR(Z387="선광인천보세(인천신)",Z387="한진인천(인천신)",Z387="선광인천신항(인천신)",Z387="인천더로지스(인천신)"),"KRINN",IF(OR(Z387="인천진아(인천항)",Z387="인천E1(인천항)",Z387="인천SM경인터미널(인천항)",Z387="인천항(인천항)",Z387="인천우련(인천항)",Z387="인천항8부두(인천항)"),"KRINC",VLOOKUP(K387,GLAPS정리!$BB$2:$BC$33,2,0))))))</f>
        <v>#N/A</v>
      </c>
      <c r="AL387" s="2">
        <f t="shared" si="95"/>
        <v>5010001</v>
      </c>
      <c r="AN387" s="70" t="str">
        <f t="shared" si="96"/>
        <v>1900-01-00</v>
      </c>
      <c r="AO387" s="2" t="str">
        <f t="shared" si="97"/>
        <v/>
      </c>
      <c r="AP387" s="2" t="e">
        <f>VLOOKUP(C387,GLAPS정리!$AX$2:$AZ$17,3,0)</f>
        <v>#N/A</v>
      </c>
      <c r="AR387" s="2">
        <f t="shared" ref="AR387:AR450" si="103">X387</f>
        <v>0</v>
      </c>
      <c r="AX387" s="2" t="e">
        <f>VLOOKUP(L387,GLAPS정리!$V$3:$W$180,2,0)</f>
        <v>#N/A</v>
      </c>
      <c r="BM387" s="2" t="str">
        <f t="shared" si="98"/>
        <v xml:space="preserve"> </v>
      </c>
      <c r="BN387" s="2">
        <f t="shared" si="99"/>
        <v>1</v>
      </c>
      <c r="BR387" s="2" t="str">
        <f t="shared" si="100"/>
        <v/>
      </c>
      <c r="BS387" s="2" t="str">
        <f t="shared" si="101"/>
        <v/>
      </c>
      <c r="BV387" s="2" t="e">
        <f>VLOOKUP(O387,GLAPS정리!$BH$2:$BI$94,2,0)</f>
        <v>#N/A</v>
      </c>
      <c r="BW387" s="2" t="str">
        <f>IF(OR(Z387="동원",Z387="세방",Z387="한타"),"",IFERROR(INDEX(GLAPS정리!$BI$2:$BI$101,MATCH(Z387,GLAPS정리!$BH$2:$BH$101,0)),""))</f>
        <v/>
      </c>
      <c r="BX387" s="2" t="str">
        <f>IF(Z387="","",IFERROR(VLOOKUP(Z387,GLAPS정리!$AX$2:$AZ$17,3,0),""))</f>
        <v/>
      </c>
      <c r="BZ387" s="2" t="e">
        <f>VLOOKUP(H387,GLAPS정리!$L$3:$O$133,2,0)</f>
        <v>#N/A</v>
      </c>
      <c r="CA387" s="2" t="str">
        <f t="shared" si="102"/>
        <v/>
      </c>
      <c r="CL387" s="2" t="e">
        <f>VLOOKUP(AI387,GLAPS정리!$BT$3:$BV$26,3,0)</f>
        <v>#N/A</v>
      </c>
    </row>
    <row r="388" spans="2:90" ht="20.45" customHeight="1">
      <c r="B388" s="13"/>
      <c r="G388" s="3"/>
      <c r="J388" s="3"/>
      <c r="Q388" s="3" t="str">
        <f t="shared" si="90"/>
        <v/>
      </c>
      <c r="R388" s="3" t="str">
        <f t="shared" si="91"/>
        <v/>
      </c>
      <c r="S388" s="3" t="str">
        <f t="shared" si="92"/>
        <v/>
      </c>
      <c r="X388" s="13"/>
      <c r="Y388" s="13"/>
      <c r="Z388" s="91"/>
      <c r="AC388" s="2">
        <f t="shared" si="93"/>
        <v>20</v>
      </c>
      <c r="AD388" s="2" t="str">
        <f>IFERROR(INDEX(GLAPS정리!$D$2:$D$50,MATCH(I388,GLAPS정리!$A$2:$A$50,0)),IFERROR(INDEX(GLAPS정리!$D$2:$D$50,MATCH(I388,GLAPS정리!$B$2:$B$50,0)),""))</f>
        <v/>
      </c>
      <c r="AF388" s="2" t="str">
        <f t="shared" si="94"/>
        <v>KR10</v>
      </c>
      <c r="AI388" s="2" t="e">
        <f>VLOOKUP(F388,GLAPS정리!$G$3:$J$114,2,0)</f>
        <v>#N/A</v>
      </c>
      <c r="AJ388" s="2" t="e">
        <f>IF(Z388="울산정일","KRONS",IF(Z388="울산신항","KRUSN",IF(OR(Z388="선광종합물류(인천여객)",Z388="인천여객(인천여객)"),"KRINF",IF(OR(Z388="선광인천보세(인천신)",Z388="한진인천(인천신)",Z388="선광인천신항(인천신)",Z388="인천더로지스(인천신)"),"KRINN",IF(OR(Z388="인천진아(인천항)",Z388="인천E1(인천항)",Z388="인천SM경인터미널(인천항)",Z388="인천항(인천항)",Z388="인천우련(인천항)",Z388="인천항8부두(인천항)"),"KRINC",VLOOKUP(K388,GLAPS정리!$BB$2:$BC$33,2,0))))))</f>
        <v>#N/A</v>
      </c>
      <c r="AL388" s="2">
        <f t="shared" si="95"/>
        <v>5010001</v>
      </c>
      <c r="AN388" s="70" t="str">
        <f t="shared" si="96"/>
        <v>1900-01-00</v>
      </c>
      <c r="AO388" s="2" t="str">
        <f t="shared" si="97"/>
        <v/>
      </c>
      <c r="AP388" s="2" t="e">
        <f>VLOOKUP(C388,GLAPS정리!$AX$2:$AZ$17,3,0)</f>
        <v>#N/A</v>
      </c>
      <c r="AR388" s="2">
        <f t="shared" si="103"/>
        <v>0</v>
      </c>
      <c r="AX388" s="2" t="e">
        <f>VLOOKUP(L388,GLAPS정리!$V$3:$W$180,2,0)</f>
        <v>#N/A</v>
      </c>
      <c r="BM388" s="2" t="str">
        <f t="shared" si="98"/>
        <v xml:space="preserve"> </v>
      </c>
      <c r="BN388" s="2">
        <f t="shared" si="99"/>
        <v>1</v>
      </c>
      <c r="BR388" s="2" t="str">
        <f t="shared" si="100"/>
        <v/>
      </c>
      <c r="BS388" s="2" t="str">
        <f t="shared" si="101"/>
        <v/>
      </c>
      <c r="BV388" s="2" t="e">
        <f>VLOOKUP(O388,GLAPS정리!$BH$2:$BI$94,2,0)</f>
        <v>#N/A</v>
      </c>
      <c r="BW388" s="2" t="str">
        <f>IF(OR(Z388="동원",Z388="세방",Z388="한타"),"",IFERROR(INDEX(GLAPS정리!$BI$2:$BI$101,MATCH(Z388,GLAPS정리!$BH$2:$BH$101,0)),""))</f>
        <v/>
      </c>
      <c r="BX388" s="2" t="str">
        <f>IF(Z388="","",IFERROR(VLOOKUP(Z388,GLAPS정리!$AX$2:$AZ$17,3,0),""))</f>
        <v/>
      </c>
      <c r="BZ388" s="2" t="e">
        <f>VLOOKUP(H388,GLAPS정리!$L$3:$O$133,2,0)</f>
        <v>#N/A</v>
      </c>
      <c r="CA388" s="2" t="str">
        <f t="shared" si="102"/>
        <v/>
      </c>
      <c r="CL388" s="2" t="e">
        <f>VLOOKUP(AI388,GLAPS정리!$BT$3:$BV$26,3,0)</f>
        <v>#N/A</v>
      </c>
    </row>
    <row r="389" spans="2:90" ht="20.45" customHeight="1">
      <c r="B389" s="13"/>
      <c r="G389" s="3"/>
      <c r="J389" s="3"/>
      <c r="Q389" s="3" t="str">
        <f t="shared" si="90"/>
        <v/>
      </c>
      <c r="R389" s="3" t="str">
        <f t="shared" si="91"/>
        <v/>
      </c>
      <c r="S389" s="3" t="str">
        <f t="shared" si="92"/>
        <v/>
      </c>
      <c r="X389" s="13"/>
      <c r="Y389" s="13"/>
      <c r="Z389" s="91"/>
      <c r="AC389" s="2">
        <f t="shared" si="93"/>
        <v>20</v>
      </c>
      <c r="AD389" s="2" t="str">
        <f>IFERROR(INDEX(GLAPS정리!$D$2:$D$50,MATCH(I389,GLAPS정리!$A$2:$A$50,0)),IFERROR(INDEX(GLAPS정리!$D$2:$D$50,MATCH(I389,GLAPS정리!$B$2:$B$50,0)),""))</f>
        <v/>
      </c>
      <c r="AF389" s="2" t="str">
        <f t="shared" si="94"/>
        <v>KR10</v>
      </c>
      <c r="AI389" s="2" t="e">
        <f>VLOOKUP(F389,GLAPS정리!$G$3:$J$114,2,0)</f>
        <v>#N/A</v>
      </c>
      <c r="AJ389" s="2" t="e">
        <f>IF(Z389="울산정일","KRONS",IF(Z389="울산신항","KRUSN",IF(OR(Z389="선광종합물류(인천여객)",Z389="인천여객(인천여객)"),"KRINF",IF(OR(Z389="선광인천보세(인천신)",Z389="한진인천(인천신)",Z389="선광인천신항(인천신)",Z389="인천더로지스(인천신)"),"KRINN",IF(OR(Z389="인천진아(인천항)",Z389="인천E1(인천항)",Z389="인천SM경인터미널(인천항)",Z389="인천항(인천항)",Z389="인천우련(인천항)",Z389="인천항8부두(인천항)"),"KRINC",VLOOKUP(K389,GLAPS정리!$BB$2:$BC$33,2,0))))))</f>
        <v>#N/A</v>
      </c>
      <c r="AL389" s="2">
        <f t="shared" si="95"/>
        <v>5010001</v>
      </c>
      <c r="AN389" s="70" t="str">
        <f t="shared" si="96"/>
        <v>1900-01-00</v>
      </c>
      <c r="AO389" s="2" t="str">
        <f t="shared" si="97"/>
        <v/>
      </c>
      <c r="AP389" s="2" t="e">
        <f>VLOOKUP(C389,GLAPS정리!$AX$2:$AZ$17,3,0)</f>
        <v>#N/A</v>
      </c>
      <c r="AR389" s="2">
        <f t="shared" si="103"/>
        <v>0</v>
      </c>
      <c r="AX389" s="2" t="e">
        <f>VLOOKUP(L389,GLAPS정리!$V$3:$W$180,2,0)</f>
        <v>#N/A</v>
      </c>
      <c r="BM389" s="2" t="str">
        <f t="shared" si="98"/>
        <v xml:space="preserve"> </v>
      </c>
      <c r="BN389" s="2">
        <f t="shared" si="99"/>
        <v>1</v>
      </c>
      <c r="BR389" s="2" t="str">
        <f t="shared" si="100"/>
        <v/>
      </c>
      <c r="BS389" s="2" t="str">
        <f t="shared" si="101"/>
        <v/>
      </c>
      <c r="BV389" s="2" t="e">
        <f>VLOOKUP(O389,GLAPS정리!$BH$2:$BI$94,2,0)</f>
        <v>#N/A</v>
      </c>
      <c r="BW389" s="2" t="str">
        <f>IF(OR(Z389="동원",Z389="세방",Z389="한타"),"",IFERROR(INDEX(GLAPS정리!$BI$2:$BI$101,MATCH(Z389,GLAPS정리!$BH$2:$BH$101,0)),""))</f>
        <v/>
      </c>
      <c r="BX389" s="2" t="str">
        <f>IF(Z389="","",IFERROR(VLOOKUP(Z389,GLAPS정리!$AX$2:$AZ$17,3,0),""))</f>
        <v/>
      </c>
      <c r="BZ389" s="2" t="e">
        <f>VLOOKUP(H389,GLAPS정리!$L$3:$O$133,2,0)</f>
        <v>#N/A</v>
      </c>
      <c r="CA389" s="2" t="str">
        <f t="shared" si="102"/>
        <v/>
      </c>
      <c r="CL389" s="2" t="e">
        <f>VLOOKUP(AI389,GLAPS정리!$BT$3:$BV$26,3,0)</f>
        <v>#N/A</v>
      </c>
    </row>
    <row r="390" spans="2:90" ht="20.45" customHeight="1">
      <c r="B390" s="13"/>
      <c r="G390" s="3"/>
      <c r="J390" s="3"/>
      <c r="Q390" s="3" t="str">
        <f t="shared" si="90"/>
        <v/>
      </c>
      <c r="R390" s="3" t="str">
        <f t="shared" si="91"/>
        <v/>
      </c>
      <c r="S390" s="3" t="str">
        <f t="shared" si="92"/>
        <v/>
      </c>
      <c r="X390" s="13"/>
      <c r="Y390" s="13"/>
      <c r="Z390" s="91"/>
      <c r="AC390" s="2">
        <f t="shared" si="93"/>
        <v>20</v>
      </c>
      <c r="AD390" s="2" t="str">
        <f>IFERROR(INDEX(GLAPS정리!$D$2:$D$50,MATCH(I390,GLAPS정리!$A$2:$A$50,0)),IFERROR(INDEX(GLAPS정리!$D$2:$D$50,MATCH(I390,GLAPS정리!$B$2:$B$50,0)),""))</f>
        <v/>
      </c>
      <c r="AF390" s="2" t="str">
        <f t="shared" si="94"/>
        <v>KR10</v>
      </c>
      <c r="AI390" s="2" t="e">
        <f>VLOOKUP(F390,GLAPS정리!$G$3:$J$114,2,0)</f>
        <v>#N/A</v>
      </c>
      <c r="AJ390" s="2" t="e">
        <f>IF(Z390="울산정일","KRONS",IF(Z390="울산신항","KRUSN",IF(OR(Z390="선광종합물류(인천여객)",Z390="인천여객(인천여객)"),"KRINF",IF(OR(Z390="선광인천보세(인천신)",Z390="한진인천(인천신)",Z390="선광인천신항(인천신)",Z390="인천더로지스(인천신)"),"KRINN",IF(OR(Z390="인천진아(인천항)",Z390="인천E1(인천항)",Z390="인천SM경인터미널(인천항)",Z390="인천항(인천항)",Z390="인천우련(인천항)",Z390="인천항8부두(인천항)"),"KRINC",VLOOKUP(K390,GLAPS정리!$BB$2:$BC$33,2,0))))))</f>
        <v>#N/A</v>
      </c>
      <c r="AL390" s="2">
        <f t="shared" si="95"/>
        <v>5010001</v>
      </c>
      <c r="AN390" s="70" t="str">
        <f t="shared" si="96"/>
        <v>1900-01-00</v>
      </c>
      <c r="AO390" s="2" t="str">
        <f t="shared" si="97"/>
        <v/>
      </c>
      <c r="AP390" s="2" t="e">
        <f>VLOOKUP(C390,GLAPS정리!$AX$2:$AZ$17,3,0)</f>
        <v>#N/A</v>
      </c>
      <c r="AR390" s="2">
        <f t="shared" si="103"/>
        <v>0</v>
      </c>
      <c r="AX390" s="2" t="e">
        <f>VLOOKUP(L390,GLAPS정리!$V$3:$W$180,2,0)</f>
        <v>#N/A</v>
      </c>
      <c r="BM390" s="2" t="str">
        <f t="shared" si="98"/>
        <v xml:space="preserve"> </v>
      </c>
      <c r="BN390" s="2">
        <f t="shared" si="99"/>
        <v>1</v>
      </c>
      <c r="BR390" s="2" t="str">
        <f t="shared" si="100"/>
        <v/>
      </c>
      <c r="BS390" s="2" t="str">
        <f t="shared" si="101"/>
        <v/>
      </c>
      <c r="BV390" s="2" t="e">
        <f>VLOOKUP(O390,GLAPS정리!$BH$2:$BI$94,2,0)</f>
        <v>#N/A</v>
      </c>
      <c r="BW390" s="2" t="str">
        <f>IF(OR(Z390="동원",Z390="세방",Z390="한타"),"",IFERROR(INDEX(GLAPS정리!$BI$2:$BI$101,MATCH(Z390,GLAPS정리!$BH$2:$BH$101,0)),""))</f>
        <v/>
      </c>
      <c r="BX390" s="2" t="str">
        <f>IF(Z390="","",IFERROR(VLOOKUP(Z390,GLAPS정리!$AX$2:$AZ$17,3,0),""))</f>
        <v/>
      </c>
      <c r="BZ390" s="2" t="e">
        <f>VLOOKUP(H390,GLAPS정리!$L$3:$O$133,2,0)</f>
        <v>#N/A</v>
      </c>
      <c r="CA390" s="2" t="str">
        <f t="shared" si="102"/>
        <v/>
      </c>
      <c r="CL390" s="2" t="e">
        <f>VLOOKUP(AI390,GLAPS정리!$BT$3:$BV$26,3,0)</f>
        <v>#N/A</v>
      </c>
    </row>
    <row r="391" spans="2:90" ht="20.45" customHeight="1">
      <c r="B391" s="13"/>
      <c r="G391" s="3"/>
      <c r="J391" s="3"/>
      <c r="Q391" s="3" t="str">
        <f t="shared" si="90"/>
        <v/>
      </c>
      <c r="R391" s="3" t="str">
        <f t="shared" si="91"/>
        <v/>
      </c>
      <c r="S391" s="3" t="str">
        <f t="shared" si="92"/>
        <v/>
      </c>
      <c r="X391" s="13"/>
      <c r="Y391" s="13"/>
      <c r="Z391" s="91"/>
      <c r="AC391" s="2">
        <f t="shared" si="93"/>
        <v>20</v>
      </c>
      <c r="AD391" s="2" t="str">
        <f>IFERROR(INDEX(GLAPS정리!$D$2:$D$50,MATCH(I391,GLAPS정리!$A$2:$A$50,0)),IFERROR(INDEX(GLAPS정리!$D$2:$D$50,MATCH(I391,GLAPS정리!$B$2:$B$50,0)),""))</f>
        <v/>
      </c>
      <c r="AF391" s="2" t="str">
        <f t="shared" si="94"/>
        <v>KR10</v>
      </c>
      <c r="AI391" s="2" t="e">
        <f>VLOOKUP(F391,GLAPS정리!$G$3:$J$114,2,0)</f>
        <v>#N/A</v>
      </c>
      <c r="AJ391" s="2" t="e">
        <f>IF(Z391="울산정일","KRONS",IF(Z391="울산신항","KRUSN",IF(OR(Z391="선광종합물류(인천여객)",Z391="인천여객(인천여객)"),"KRINF",IF(OR(Z391="선광인천보세(인천신)",Z391="한진인천(인천신)",Z391="선광인천신항(인천신)",Z391="인천더로지스(인천신)"),"KRINN",IF(OR(Z391="인천진아(인천항)",Z391="인천E1(인천항)",Z391="인천SM경인터미널(인천항)",Z391="인천항(인천항)",Z391="인천우련(인천항)",Z391="인천항8부두(인천항)"),"KRINC",VLOOKUP(K391,GLAPS정리!$BB$2:$BC$33,2,0))))))</f>
        <v>#N/A</v>
      </c>
      <c r="AL391" s="2">
        <f t="shared" si="95"/>
        <v>5010001</v>
      </c>
      <c r="AN391" s="70" t="str">
        <f t="shared" si="96"/>
        <v>1900-01-00</v>
      </c>
      <c r="AO391" s="2" t="str">
        <f t="shared" si="97"/>
        <v/>
      </c>
      <c r="AP391" s="2" t="e">
        <f>VLOOKUP(C391,GLAPS정리!$AX$2:$AZ$17,3,0)</f>
        <v>#N/A</v>
      </c>
      <c r="AR391" s="2">
        <f t="shared" si="103"/>
        <v>0</v>
      </c>
      <c r="AX391" s="2" t="e">
        <f>VLOOKUP(L391,GLAPS정리!$V$3:$W$180,2,0)</f>
        <v>#N/A</v>
      </c>
      <c r="BM391" s="2" t="str">
        <f t="shared" si="98"/>
        <v xml:space="preserve"> </v>
      </c>
      <c r="BN391" s="2">
        <f t="shared" si="99"/>
        <v>1</v>
      </c>
      <c r="BR391" s="2" t="str">
        <f t="shared" si="100"/>
        <v/>
      </c>
      <c r="BS391" s="2" t="str">
        <f t="shared" si="101"/>
        <v/>
      </c>
      <c r="BV391" s="2" t="e">
        <f>VLOOKUP(O391,GLAPS정리!$BH$2:$BI$94,2,0)</f>
        <v>#N/A</v>
      </c>
      <c r="BW391" s="2" t="str">
        <f>IF(OR(Z391="동원",Z391="세방",Z391="한타"),"",IFERROR(INDEX(GLAPS정리!$BI$2:$BI$101,MATCH(Z391,GLAPS정리!$BH$2:$BH$101,0)),""))</f>
        <v/>
      </c>
      <c r="BX391" s="2" t="str">
        <f>IF(Z391="","",IFERROR(VLOOKUP(Z391,GLAPS정리!$AX$2:$AZ$17,3,0),""))</f>
        <v/>
      </c>
      <c r="BZ391" s="2" t="e">
        <f>VLOOKUP(H391,GLAPS정리!$L$3:$O$133,2,0)</f>
        <v>#N/A</v>
      </c>
      <c r="CA391" s="2" t="str">
        <f t="shared" si="102"/>
        <v/>
      </c>
      <c r="CL391" s="2" t="e">
        <f>VLOOKUP(AI391,GLAPS정리!$BT$3:$BV$26,3,0)</f>
        <v>#N/A</v>
      </c>
    </row>
    <row r="392" spans="2:90" ht="20.45" customHeight="1">
      <c r="B392" s="13"/>
      <c r="G392" s="3"/>
      <c r="J392" s="3"/>
      <c r="Q392" s="3" t="str">
        <f t="shared" si="90"/>
        <v/>
      </c>
      <c r="R392" s="3" t="str">
        <f t="shared" si="91"/>
        <v/>
      </c>
      <c r="S392" s="3" t="str">
        <f t="shared" si="92"/>
        <v/>
      </c>
      <c r="X392" s="13"/>
      <c r="Y392" s="13"/>
      <c r="Z392" s="91"/>
      <c r="AC392" s="2">
        <f t="shared" si="93"/>
        <v>20</v>
      </c>
      <c r="AD392" s="2" t="str">
        <f>IFERROR(INDEX(GLAPS정리!$D$2:$D$50,MATCH(I392,GLAPS정리!$A$2:$A$50,0)),IFERROR(INDEX(GLAPS정리!$D$2:$D$50,MATCH(I392,GLAPS정리!$B$2:$B$50,0)),""))</f>
        <v/>
      </c>
      <c r="AF392" s="2" t="str">
        <f t="shared" si="94"/>
        <v>KR10</v>
      </c>
      <c r="AI392" s="2" t="e">
        <f>VLOOKUP(F392,GLAPS정리!$G$3:$J$114,2,0)</f>
        <v>#N/A</v>
      </c>
      <c r="AJ392" s="2" t="e">
        <f>IF(Z392="울산정일","KRONS",IF(Z392="울산신항","KRUSN",IF(OR(Z392="선광종합물류(인천여객)",Z392="인천여객(인천여객)"),"KRINF",IF(OR(Z392="선광인천보세(인천신)",Z392="한진인천(인천신)",Z392="선광인천신항(인천신)",Z392="인천더로지스(인천신)"),"KRINN",IF(OR(Z392="인천진아(인천항)",Z392="인천E1(인천항)",Z392="인천SM경인터미널(인천항)",Z392="인천항(인천항)",Z392="인천우련(인천항)",Z392="인천항8부두(인천항)"),"KRINC",VLOOKUP(K392,GLAPS정리!$BB$2:$BC$33,2,0))))))</f>
        <v>#N/A</v>
      </c>
      <c r="AL392" s="2">
        <f t="shared" si="95"/>
        <v>5010001</v>
      </c>
      <c r="AN392" s="70" t="str">
        <f t="shared" si="96"/>
        <v>1900-01-00</v>
      </c>
      <c r="AO392" s="2" t="str">
        <f t="shared" si="97"/>
        <v/>
      </c>
      <c r="AP392" s="2" t="e">
        <f>VLOOKUP(C392,GLAPS정리!$AX$2:$AZ$17,3,0)</f>
        <v>#N/A</v>
      </c>
      <c r="AR392" s="2">
        <f t="shared" si="103"/>
        <v>0</v>
      </c>
      <c r="AX392" s="2" t="e">
        <f>VLOOKUP(L392,GLAPS정리!$V$3:$W$180,2,0)</f>
        <v>#N/A</v>
      </c>
      <c r="BM392" s="2" t="str">
        <f t="shared" si="98"/>
        <v xml:space="preserve"> </v>
      </c>
      <c r="BN392" s="2">
        <f t="shared" si="99"/>
        <v>1</v>
      </c>
      <c r="BR392" s="2" t="str">
        <f t="shared" si="100"/>
        <v/>
      </c>
      <c r="BS392" s="2" t="str">
        <f t="shared" si="101"/>
        <v/>
      </c>
      <c r="BV392" s="2" t="e">
        <f>VLOOKUP(O392,GLAPS정리!$BH$2:$BI$94,2,0)</f>
        <v>#N/A</v>
      </c>
      <c r="BW392" s="2" t="str">
        <f>IF(OR(Z392="동원",Z392="세방",Z392="한타"),"",IFERROR(INDEX(GLAPS정리!$BI$2:$BI$101,MATCH(Z392,GLAPS정리!$BH$2:$BH$101,0)),""))</f>
        <v/>
      </c>
      <c r="BX392" s="2" t="str">
        <f>IF(Z392="","",IFERROR(VLOOKUP(Z392,GLAPS정리!$AX$2:$AZ$17,3,0),""))</f>
        <v/>
      </c>
      <c r="BZ392" s="2" t="e">
        <f>VLOOKUP(H392,GLAPS정리!$L$3:$O$133,2,0)</f>
        <v>#N/A</v>
      </c>
      <c r="CA392" s="2" t="str">
        <f t="shared" si="102"/>
        <v/>
      </c>
      <c r="CL392" s="2" t="e">
        <f>VLOOKUP(AI392,GLAPS정리!$BT$3:$BV$26,3,0)</f>
        <v>#N/A</v>
      </c>
    </row>
    <row r="393" spans="2:90" ht="20.45" customHeight="1">
      <c r="B393" s="13"/>
      <c r="G393" s="3"/>
      <c r="J393" s="3"/>
      <c r="Q393" s="3" t="str">
        <f t="shared" si="90"/>
        <v/>
      </c>
      <c r="R393" s="3" t="str">
        <f t="shared" si="91"/>
        <v/>
      </c>
      <c r="S393" s="3" t="str">
        <f t="shared" si="92"/>
        <v/>
      </c>
      <c r="X393" s="13"/>
      <c r="Y393" s="13"/>
      <c r="Z393" s="91"/>
      <c r="AC393" s="2">
        <f t="shared" si="93"/>
        <v>20</v>
      </c>
      <c r="AD393" s="2" t="str">
        <f>IFERROR(INDEX(GLAPS정리!$D$2:$D$50,MATCH(I393,GLAPS정리!$A$2:$A$50,0)),IFERROR(INDEX(GLAPS정리!$D$2:$D$50,MATCH(I393,GLAPS정리!$B$2:$B$50,0)),""))</f>
        <v/>
      </c>
      <c r="AF393" s="2" t="str">
        <f t="shared" si="94"/>
        <v>KR10</v>
      </c>
      <c r="AI393" s="2" t="e">
        <f>VLOOKUP(F393,GLAPS정리!$G$3:$J$114,2,0)</f>
        <v>#N/A</v>
      </c>
      <c r="AJ393" s="2" t="e">
        <f>IF(Z393="울산정일","KRONS",IF(Z393="울산신항","KRUSN",IF(OR(Z393="선광종합물류(인천여객)",Z393="인천여객(인천여객)"),"KRINF",IF(OR(Z393="선광인천보세(인천신)",Z393="한진인천(인천신)",Z393="선광인천신항(인천신)",Z393="인천더로지스(인천신)"),"KRINN",IF(OR(Z393="인천진아(인천항)",Z393="인천E1(인천항)",Z393="인천SM경인터미널(인천항)",Z393="인천항(인천항)",Z393="인천우련(인천항)",Z393="인천항8부두(인천항)"),"KRINC",VLOOKUP(K393,GLAPS정리!$BB$2:$BC$33,2,0))))))</f>
        <v>#N/A</v>
      </c>
      <c r="AL393" s="2">
        <f t="shared" si="95"/>
        <v>5010001</v>
      </c>
      <c r="AN393" s="70" t="str">
        <f t="shared" si="96"/>
        <v>1900-01-00</v>
      </c>
      <c r="AO393" s="2" t="str">
        <f t="shared" si="97"/>
        <v/>
      </c>
      <c r="AP393" s="2" t="e">
        <f>VLOOKUP(C393,GLAPS정리!$AX$2:$AZ$17,3,0)</f>
        <v>#N/A</v>
      </c>
      <c r="AR393" s="2">
        <f t="shared" si="103"/>
        <v>0</v>
      </c>
      <c r="AX393" s="2" t="e">
        <f>VLOOKUP(L393,GLAPS정리!$V$3:$W$180,2,0)</f>
        <v>#N/A</v>
      </c>
      <c r="BM393" s="2" t="str">
        <f t="shared" si="98"/>
        <v xml:space="preserve"> </v>
      </c>
      <c r="BN393" s="2">
        <f t="shared" si="99"/>
        <v>1</v>
      </c>
      <c r="BR393" s="2" t="str">
        <f t="shared" si="100"/>
        <v/>
      </c>
      <c r="BS393" s="2" t="str">
        <f t="shared" si="101"/>
        <v/>
      </c>
      <c r="BV393" s="2" t="e">
        <f>VLOOKUP(O393,GLAPS정리!$BH$2:$BI$94,2,0)</f>
        <v>#N/A</v>
      </c>
      <c r="BW393" s="2" t="str">
        <f>IF(OR(Z393="동원",Z393="세방",Z393="한타"),"",IFERROR(INDEX(GLAPS정리!$BI$2:$BI$101,MATCH(Z393,GLAPS정리!$BH$2:$BH$101,0)),""))</f>
        <v/>
      </c>
      <c r="BX393" s="2" t="str">
        <f>IF(Z393="","",IFERROR(VLOOKUP(Z393,GLAPS정리!$AX$2:$AZ$17,3,0),""))</f>
        <v/>
      </c>
      <c r="BZ393" s="2" t="e">
        <f>VLOOKUP(H393,GLAPS정리!$L$3:$O$133,2,0)</f>
        <v>#N/A</v>
      </c>
      <c r="CA393" s="2" t="str">
        <f t="shared" si="102"/>
        <v/>
      </c>
      <c r="CL393" s="2" t="e">
        <f>VLOOKUP(AI393,GLAPS정리!$BT$3:$BV$26,3,0)</f>
        <v>#N/A</v>
      </c>
    </row>
    <row r="394" spans="2:90" ht="20.45" customHeight="1">
      <c r="B394" s="13"/>
      <c r="G394" s="3"/>
      <c r="J394" s="3"/>
      <c r="Q394" s="3" t="str">
        <f t="shared" si="90"/>
        <v/>
      </c>
      <c r="R394" s="3" t="str">
        <f t="shared" si="91"/>
        <v/>
      </c>
      <c r="S394" s="3" t="str">
        <f t="shared" si="92"/>
        <v/>
      </c>
      <c r="X394" s="13"/>
      <c r="Y394" s="13"/>
      <c r="Z394" s="91"/>
      <c r="AC394" s="2">
        <f t="shared" si="93"/>
        <v>20</v>
      </c>
      <c r="AD394" s="2" t="str">
        <f>IFERROR(INDEX(GLAPS정리!$D$2:$D$50,MATCH(I394,GLAPS정리!$A$2:$A$50,0)),IFERROR(INDEX(GLAPS정리!$D$2:$D$50,MATCH(I394,GLAPS정리!$B$2:$B$50,0)),""))</f>
        <v/>
      </c>
      <c r="AF394" s="2" t="str">
        <f t="shared" si="94"/>
        <v>KR10</v>
      </c>
      <c r="AI394" s="2" t="e">
        <f>VLOOKUP(F394,GLAPS정리!$G$3:$J$114,2,0)</f>
        <v>#N/A</v>
      </c>
      <c r="AJ394" s="2" t="e">
        <f>IF(Z394="울산정일","KRONS",IF(Z394="울산신항","KRUSN",IF(OR(Z394="선광종합물류(인천여객)",Z394="인천여객(인천여객)"),"KRINF",IF(OR(Z394="선광인천보세(인천신)",Z394="한진인천(인천신)",Z394="선광인천신항(인천신)",Z394="인천더로지스(인천신)"),"KRINN",IF(OR(Z394="인천진아(인천항)",Z394="인천E1(인천항)",Z394="인천SM경인터미널(인천항)",Z394="인천항(인천항)",Z394="인천우련(인천항)",Z394="인천항8부두(인천항)"),"KRINC",VLOOKUP(K394,GLAPS정리!$BB$2:$BC$33,2,0))))))</f>
        <v>#N/A</v>
      </c>
      <c r="AL394" s="2">
        <f t="shared" si="95"/>
        <v>5010001</v>
      </c>
      <c r="AN394" s="70" t="str">
        <f t="shared" si="96"/>
        <v>1900-01-00</v>
      </c>
      <c r="AO394" s="2" t="str">
        <f t="shared" si="97"/>
        <v/>
      </c>
      <c r="AP394" s="2" t="e">
        <f>VLOOKUP(C394,GLAPS정리!$AX$2:$AZ$17,3,0)</f>
        <v>#N/A</v>
      </c>
      <c r="AR394" s="2">
        <f t="shared" si="103"/>
        <v>0</v>
      </c>
      <c r="AX394" s="2" t="e">
        <f>VLOOKUP(L394,GLAPS정리!$V$3:$W$180,2,0)</f>
        <v>#N/A</v>
      </c>
      <c r="BM394" s="2" t="str">
        <f t="shared" si="98"/>
        <v xml:space="preserve"> </v>
      </c>
      <c r="BN394" s="2">
        <f t="shared" si="99"/>
        <v>1</v>
      </c>
      <c r="BR394" s="2" t="str">
        <f t="shared" si="100"/>
        <v/>
      </c>
      <c r="BS394" s="2" t="str">
        <f t="shared" si="101"/>
        <v/>
      </c>
      <c r="BV394" s="2" t="e">
        <f>VLOOKUP(O394,GLAPS정리!$BH$2:$BI$94,2,0)</f>
        <v>#N/A</v>
      </c>
      <c r="BW394" s="2" t="str">
        <f>IF(OR(Z394="동원",Z394="세방",Z394="한타"),"",IFERROR(INDEX(GLAPS정리!$BI$2:$BI$101,MATCH(Z394,GLAPS정리!$BH$2:$BH$101,0)),""))</f>
        <v/>
      </c>
      <c r="BX394" s="2" t="str">
        <f>IF(Z394="","",IFERROR(VLOOKUP(Z394,GLAPS정리!$AX$2:$AZ$17,3,0),""))</f>
        <v/>
      </c>
      <c r="BZ394" s="2" t="e">
        <f>VLOOKUP(H394,GLAPS정리!$L$3:$O$133,2,0)</f>
        <v>#N/A</v>
      </c>
      <c r="CA394" s="2" t="str">
        <f t="shared" si="102"/>
        <v/>
      </c>
      <c r="CL394" s="2" t="e">
        <f>VLOOKUP(AI394,GLAPS정리!$BT$3:$BV$26,3,0)</f>
        <v>#N/A</v>
      </c>
    </row>
    <row r="395" spans="2:90" ht="20.45" customHeight="1">
      <c r="B395" s="13"/>
      <c r="G395" s="3"/>
      <c r="J395" s="3"/>
      <c r="Q395" s="3" t="str">
        <f t="shared" si="90"/>
        <v/>
      </c>
      <c r="R395" s="3" t="str">
        <f t="shared" si="91"/>
        <v/>
      </c>
      <c r="S395" s="3" t="str">
        <f t="shared" si="92"/>
        <v/>
      </c>
      <c r="X395" s="13"/>
      <c r="Y395" s="13"/>
      <c r="Z395" s="91"/>
      <c r="AC395" s="2">
        <f t="shared" si="93"/>
        <v>20</v>
      </c>
      <c r="AD395" s="2" t="str">
        <f>IFERROR(INDEX(GLAPS정리!$D$2:$D$50,MATCH(I395,GLAPS정리!$A$2:$A$50,0)),IFERROR(INDEX(GLAPS정리!$D$2:$D$50,MATCH(I395,GLAPS정리!$B$2:$B$50,0)),""))</f>
        <v/>
      </c>
      <c r="AF395" s="2" t="str">
        <f t="shared" si="94"/>
        <v>KR10</v>
      </c>
      <c r="AI395" s="2" t="e">
        <f>VLOOKUP(F395,GLAPS정리!$G$3:$J$114,2,0)</f>
        <v>#N/A</v>
      </c>
      <c r="AJ395" s="2" t="e">
        <f>IF(Z395="울산정일","KRONS",IF(Z395="울산신항","KRUSN",IF(OR(Z395="선광종합물류(인천여객)",Z395="인천여객(인천여객)"),"KRINF",IF(OR(Z395="선광인천보세(인천신)",Z395="한진인천(인천신)",Z395="선광인천신항(인천신)",Z395="인천더로지스(인천신)"),"KRINN",IF(OR(Z395="인천진아(인천항)",Z395="인천E1(인천항)",Z395="인천SM경인터미널(인천항)",Z395="인천항(인천항)",Z395="인천우련(인천항)",Z395="인천항8부두(인천항)"),"KRINC",VLOOKUP(K395,GLAPS정리!$BB$2:$BC$33,2,0))))))</f>
        <v>#N/A</v>
      </c>
      <c r="AL395" s="2">
        <f t="shared" si="95"/>
        <v>5010001</v>
      </c>
      <c r="AN395" s="70" t="str">
        <f t="shared" si="96"/>
        <v>1900-01-00</v>
      </c>
      <c r="AO395" s="2" t="str">
        <f t="shared" si="97"/>
        <v/>
      </c>
      <c r="AP395" s="2" t="e">
        <f>VLOOKUP(C395,GLAPS정리!$AX$2:$AZ$17,3,0)</f>
        <v>#N/A</v>
      </c>
      <c r="AR395" s="2">
        <f t="shared" si="103"/>
        <v>0</v>
      </c>
      <c r="AX395" s="2" t="e">
        <f>VLOOKUP(L395,GLAPS정리!$V$3:$W$180,2,0)</f>
        <v>#N/A</v>
      </c>
      <c r="BM395" s="2" t="str">
        <f t="shared" si="98"/>
        <v xml:space="preserve"> </v>
      </c>
      <c r="BN395" s="2">
        <f t="shared" si="99"/>
        <v>1</v>
      </c>
      <c r="BR395" s="2" t="str">
        <f t="shared" si="100"/>
        <v/>
      </c>
      <c r="BS395" s="2" t="str">
        <f t="shared" si="101"/>
        <v/>
      </c>
      <c r="BV395" s="2" t="e">
        <f>VLOOKUP(O395,GLAPS정리!$BH$2:$BI$94,2,0)</f>
        <v>#N/A</v>
      </c>
      <c r="BW395" s="2" t="str">
        <f>IF(OR(Z395="동원",Z395="세방",Z395="한타"),"",IFERROR(INDEX(GLAPS정리!$BI$2:$BI$101,MATCH(Z395,GLAPS정리!$BH$2:$BH$101,0)),""))</f>
        <v/>
      </c>
      <c r="BX395" s="2" t="str">
        <f>IF(Z395="","",IFERROR(VLOOKUP(Z395,GLAPS정리!$AX$2:$AZ$17,3,0),""))</f>
        <v/>
      </c>
      <c r="BZ395" s="2" t="e">
        <f>VLOOKUP(H395,GLAPS정리!$L$3:$O$133,2,0)</f>
        <v>#N/A</v>
      </c>
      <c r="CA395" s="2" t="str">
        <f t="shared" si="102"/>
        <v/>
      </c>
      <c r="CL395" s="2" t="e">
        <f>VLOOKUP(AI395,GLAPS정리!$BT$3:$BV$26,3,0)</f>
        <v>#N/A</v>
      </c>
    </row>
    <row r="396" spans="2:90" ht="20.45" customHeight="1">
      <c r="B396" s="13"/>
      <c r="G396" s="3"/>
      <c r="J396" s="3"/>
      <c r="Q396" s="3" t="str">
        <f t="shared" si="90"/>
        <v/>
      </c>
      <c r="R396" s="3" t="str">
        <f t="shared" si="91"/>
        <v/>
      </c>
      <c r="S396" s="3" t="str">
        <f t="shared" si="92"/>
        <v/>
      </c>
      <c r="X396" s="13"/>
      <c r="Y396" s="13"/>
      <c r="Z396" s="91"/>
      <c r="AC396" s="2">
        <f t="shared" si="93"/>
        <v>20</v>
      </c>
      <c r="AD396" s="2" t="str">
        <f>IFERROR(INDEX(GLAPS정리!$D$2:$D$50,MATCH(I396,GLAPS정리!$A$2:$A$50,0)),IFERROR(INDEX(GLAPS정리!$D$2:$D$50,MATCH(I396,GLAPS정리!$B$2:$B$50,0)),""))</f>
        <v/>
      </c>
      <c r="AF396" s="2" t="str">
        <f t="shared" si="94"/>
        <v>KR10</v>
      </c>
      <c r="AI396" s="2" t="e">
        <f>VLOOKUP(F396,GLAPS정리!$G$3:$J$114,2,0)</f>
        <v>#N/A</v>
      </c>
      <c r="AJ396" s="2" t="e">
        <f>IF(Z396="울산정일","KRONS",IF(Z396="울산신항","KRUSN",IF(OR(Z396="선광종합물류(인천여객)",Z396="인천여객(인천여객)"),"KRINF",IF(OR(Z396="선광인천보세(인천신)",Z396="한진인천(인천신)",Z396="선광인천신항(인천신)",Z396="인천더로지스(인천신)"),"KRINN",IF(OR(Z396="인천진아(인천항)",Z396="인천E1(인천항)",Z396="인천SM경인터미널(인천항)",Z396="인천항(인천항)",Z396="인천우련(인천항)",Z396="인천항8부두(인천항)"),"KRINC",VLOOKUP(K396,GLAPS정리!$BB$2:$BC$33,2,0))))))</f>
        <v>#N/A</v>
      </c>
      <c r="AL396" s="2">
        <f t="shared" si="95"/>
        <v>5010001</v>
      </c>
      <c r="AN396" s="70" t="str">
        <f t="shared" si="96"/>
        <v>1900-01-00</v>
      </c>
      <c r="AO396" s="2" t="str">
        <f t="shared" si="97"/>
        <v/>
      </c>
      <c r="AP396" s="2" t="e">
        <f>VLOOKUP(C396,GLAPS정리!$AX$2:$AZ$17,3,0)</f>
        <v>#N/A</v>
      </c>
      <c r="AR396" s="2">
        <f t="shared" si="103"/>
        <v>0</v>
      </c>
      <c r="AX396" s="2" t="e">
        <f>VLOOKUP(L396,GLAPS정리!$V$3:$W$180,2,0)</f>
        <v>#N/A</v>
      </c>
      <c r="BM396" s="2" t="str">
        <f t="shared" si="98"/>
        <v xml:space="preserve"> </v>
      </c>
      <c r="BN396" s="2">
        <f t="shared" si="99"/>
        <v>1</v>
      </c>
      <c r="BR396" s="2" t="str">
        <f t="shared" si="100"/>
        <v/>
      </c>
      <c r="BS396" s="2" t="str">
        <f t="shared" si="101"/>
        <v/>
      </c>
      <c r="BV396" s="2" t="e">
        <f>VLOOKUP(O396,GLAPS정리!$BH$2:$BI$94,2,0)</f>
        <v>#N/A</v>
      </c>
      <c r="BW396" s="2" t="str">
        <f>IF(OR(Z396="동원",Z396="세방",Z396="한타"),"",IFERROR(INDEX(GLAPS정리!$BI$2:$BI$101,MATCH(Z396,GLAPS정리!$BH$2:$BH$101,0)),""))</f>
        <v/>
      </c>
      <c r="BX396" s="2" t="str">
        <f>IF(Z396="","",IFERROR(VLOOKUP(Z396,GLAPS정리!$AX$2:$AZ$17,3,0),""))</f>
        <v/>
      </c>
      <c r="BZ396" s="2" t="e">
        <f>VLOOKUP(H396,GLAPS정리!$L$3:$O$133,2,0)</f>
        <v>#N/A</v>
      </c>
      <c r="CA396" s="2" t="str">
        <f t="shared" si="102"/>
        <v/>
      </c>
      <c r="CL396" s="2" t="e">
        <f>VLOOKUP(AI396,GLAPS정리!$BT$3:$BV$26,3,0)</f>
        <v>#N/A</v>
      </c>
    </row>
    <row r="397" spans="2:90" ht="20.45" customHeight="1">
      <c r="B397" s="13"/>
      <c r="G397" s="3"/>
      <c r="J397" s="3"/>
      <c r="Q397" s="3" t="str">
        <f t="shared" si="90"/>
        <v/>
      </c>
      <c r="R397" s="3" t="str">
        <f t="shared" si="91"/>
        <v/>
      </c>
      <c r="S397" s="3" t="str">
        <f t="shared" si="92"/>
        <v/>
      </c>
      <c r="X397" s="13"/>
      <c r="Y397" s="13"/>
      <c r="Z397" s="91"/>
      <c r="AC397" s="2">
        <f t="shared" si="93"/>
        <v>20</v>
      </c>
      <c r="AD397" s="2" t="str">
        <f>IFERROR(INDEX(GLAPS정리!$D$2:$D$50,MATCH(I397,GLAPS정리!$A$2:$A$50,0)),IFERROR(INDEX(GLAPS정리!$D$2:$D$50,MATCH(I397,GLAPS정리!$B$2:$B$50,0)),""))</f>
        <v/>
      </c>
      <c r="AF397" s="2" t="str">
        <f t="shared" si="94"/>
        <v>KR10</v>
      </c>
      <c r="AI397" s="2" t="e">
        <f>VLOOKUP(F397,GLAPS정리!$G$3:$J$114,2,0)</f>
        <v>#N/A</v>
      </c>
      <c r="AJ397" s="2" t="e">
        <f>IF(Z397="울산정일","KRONS",IF(Z397="울산신항","KRUSN",IF(OR(Z397="선광종합물류(인천여객)",Z397="인천여객(인천여객)"),"KRINF",IF(OR(Z397="선광인천보세(인천신)",Z397="한진인천(인천신)",Z397="선광인천신항(인천신)",Z397="인천더로지스(인천신)"),"KRINN",IF(OR(Z397="인천진아(인천항)",Z397="인천E1(인천항)",Z397="인천SM경인터미널(인천항)",Z397="인천항(인천항)",Z397="인천우련(인천항)",Z397="인천항8부두(인천항)"),"KRINC",VLOOKUP(K397,GLAPS정리!$BB$2:$BC$33,2,0))))))</f>
        <v>#N/A</v>
      </c>
      <c r="AL397" s="2">
        <f t="shared" si="95"/>
        <v>5010001</v>
      </c>
      <c r="AN397" s="70" t="str">
        <f t="shared" si="96"/>
        <v>1900-01-00</v>
      </c>
      <c r="AO397" s="2" t="str">
        <f t="shared" si="97"/>
        <v/>
      </c>
      <c r="AP397" s="2" t="e">
        <f>VLOOKUP(C397,GLAPS정리!$AX$2:$AZ$17,3,0)</f>
        <v>#N/A</v>
      </c>
      <c r="AR397" s="2">
        <f t="shared" si="103"/>
        <v>0</v>
      </c>
      <c r="AX397" s="2" t="e">
        <f>VLOOKUP(L397,GLAPS정리!$V$3:$W$180,2,0)</f>
        <v>#N/A</v>
      </c>
      <c r="BM397" s="2" t="str">
        <f t="shared" si="98"/>
        <v xml:space="preserve"> </v>
      </c>
      <c r="BN397" s="2">
        <f t="shared" si="99"/>
        <v>1</v>
      </c>
      <c r="BR397" s="2" t="str">
        <f t="shared" si="100"/>
        <v/>
      </c>
      <c r="BS397" s="2" t="str">
        <f t="shared" si="101"/>
        <v/>
      </c>
      <c r="BV397" s="2" t="e">
        <f>VLOOKUP(O397,GLAPS정리!$BH$2:$BI$94,2,0)</f>
        <v>#N/A</v>
      </c>
      <c r="BW397" s="2" t="str">
        <f>IF(OR(Z397="동원",Z397="세방",Z397="한타"),"",IFERROR(INDEX(GLAPS정리!$BI$2:$BI$101,MATCH(Z397,GLAPS정리!$BH$2:$BH$101,0)),""))</f>
        <v/>
      </c>
      <c r="BX397" s="2" t="str">
        <f>IF(Z397="","",IFERROR(VLOOKUP(Z397,GLAPS정리!$AX$2:$AZ$17,3,0),""))</f>
        <v/>
      </c>
      <c r="BZ397" s="2" t="e">
        <f>VLOOKUP(H397,GLAPS정리!$L$3:$O$133,2,0)</f>
        <v>#N/A</v>
      </c>
      <c r="CA397" s="2" t="str">
        <f t="shared" si="102"/>
        <v/>
      </c>
      <c r="CL397" s="2" t="e">
        <f>VLOOKUP(AI397,GLAPS정리!$BT$3:$BV$26,3,0)</f>
        <v>#N/A</v>
      </c>
    </row>
    <row r="398" spans="2:90" ht="20.45" customHeight="1">
      <c r="B398" s="13"/>
      <c r="G398" s="3"/>
      <c r="J398" s="3"/>
      <c r="Q398" s="3" t="str">
        <f t="shared" si="90"/>
        <v/>
      </c>
      <c r="R398" s="3" t="str">
        <f t="shared" si="91"/>
        <v/>
      </c>
      <c r="S398" s="3" t="str">
        <f t="shared" si="92"/>
        <v/>
      </c>
      <c r="X398" s="13"/>
      <c r="Y398" s="13"/>
      <c r="Z398" s="91"/>
      <c r="AC398" s="2">
        <f t="shared" si="93"/>
        <v>20</v>
      </c>
      <c r="AD398" s="2" t="str">
        <f>IFERROR(INDEX(GLAPS정리!$D$2:$D$50,MATCH(I398,GLAPS정리!$A$2:$A$50,0)),IFERROR(INDEX(GLAPS정리!$D$2:$D$50,MATCH(I398,GLAPS정리!$B$2:$B$50,0)),""))</f>
        <v/>
      </c>
      <c r="AF398" s="2" t="str">
        <f t="shared" si="94"/>
        <v>KR10</v>
      </c>
      <c r="AI398" s="2" t="e">
        <f>VLOOKUP(F398,GLAPS정리!$G$3:$J$114,2,0)</f>
        <v>#N/A</v>
      </c>
      <c r="AJ398" s="2" t="e">
        <f>IF(Z398="울산정일","KRONS",IF(Z398="울산신항","KRUSN",IF(OR(Z398="선광종합물류(인천여객)",Z398="인천여객(인천여객)"),"KRINF",IF(OR(Z398="선광인천보세(인천신)",Z398="한진인천(인천신)",Z398="선광인천신항(인천신)",Z398="인천더로지스(인천신)"),"KRINN",IF(OR(Z398="인천진아(인천항)",Z398="인천E1(인천항)",Z398="인천SM경인터미널(인천항)",Z398="인천항(인천항)",Z398="인천우련(인천항)",Z398="인천항8부두(인천항)"),"KRINC",VLOOKUP(K398,GLAPS정리!$BB$2:$BC$33,2,0))))))</f>
        <v>#N/A</v>
      </c>
      <c r="AL398" s="2">
        <f t="shared" si="95"/>
        <v>5010001</v>
      </c>
      <c r="AN398" s="70" t="str">
        <f t="shared" si="96"/>
        <v>1900-01-00</v>
      </c>
      <c r="AO398" s="2" t="str">
        <f t="shared" si="97"/>
        <v/>
      </c>
      <c r="AP398" s="2" t="e">
        <f>VLOOKUP(C398,GLAPS정리!$AX$2:$AZ$17,3,0)</f>
        <v>#N/A</v>
      </c>
      <c r="AR398" s="2">
        <f t="shared" si="103"/>
        <v>0</v>
      </c>
      <c r="AX398" s="2" t="e">
        <f>VLOOKUP(L398,GLAPS정리!$V$3:$W$180,2,0)</f>
        <v>#N/A</v>
      </c>
      <c r="BM398" s="2" t="str">
        <f t="shared" si="98"/>
        <v xml:space="preserve"> </v>
      </c>
      <c r="BN398" s="2">
        <f t="shared" si="99"/>
        <v>1</v>
      </c>
      <c r="BR398" s="2" t="str">
        <f t="shared" si="100"/>
        <v/>
      </c>
      <c r="BS398" s="2" t="str">
        <f t="shared" si="101"/>
        <v/>
      </c>
      <c r="BV398" s="2" t="e">
        <f>VLOOKUP(O398,GLAPS정리!$BH$2:$BI$94,2,0)</f>
        <v>#N/A</v>
      </c>
      <c r="BW398" s="2" t="str">
        <f>IF(OR(Z398="동원",Z398="세방",Z398="한타"),"",IFERROR(INDEX(GLAPS정리!$BI$2:$BI$101,MATCH(Z398,GLAPS정리!$BH$2:$BH$101,0)),""))</f>
        <v/>
      </c>
      <c r="BX398" s="2" t="str">
        <f>IF(Z398="","",IFERROR(VLOOKUP(Z398,GLAPS정리!$AX$2:$AZ$17,3,0),""))</f>
        <v/>
      </c>
      <c r="BZ398" s="2" t="e">
        <f>VLOOKUP(H398,GLAPS정리!$L$3:$O$133,2,0)</f>
        <v>#N/A</v>
      </c>
      <c r="CA398" s="2" t="str">
        <f t="shared" si="102"/>
        <v/>
      </c>
      <c r="CL398" s="2" t="e">
        <f>VLOOKUP(AI398,GLAPS정리!$BT$3:$BV$26,3,0)</f>
        <v>#N/A</v>
      </c>
    </row>
    <row r="399" spans="2:90" ht="20.45" customHeight="1">
      <c r="B399" s="13"/>
      <c r="G399" s="3"/>
      <c r="J399" s="3"/>
      <c r="Q399" s="3" t="str">
        <f t="shared" si="90"/>
        <v/>
      </c>
      <c r="R399" s="3" t="str">
        <f t="shared" si="91"/>
        <v/>
      </c>
      <c r="S399" s="3" t="str">
        <f t="shared" si="92"/>
        <v/>
      </c>
      <c r="X399" s="13"/>
      <c r="Y399" s="13"/>
      <c r="Z399" s="91"/>
      <c r="AC399" s="2">
        <f t="shared" si="93"/>
        <v>20</v>
      </c>
      <c r="AD399" s="2" t="str">
        <f>IFERROR(INDEX(GLAPS정리!$D$2:$D$50,MATCH(I399,GLAPS정리!$A$2:$A$50,0)),IFERROR(INDEX(GLAPS정리!$D$2:$D$50,MATCH(I399,GLAPS정리!$B$2:$B$50,0)),""))</f>
        <v/>
      </c>
      <c r="AF399" s="2" t="str">
        <f t="shared" si="94"/>
        <v>KR10</v>
      </c>
      <c r="AI399" s="2" t="e">
        <f>VLOOKUP(F399,GLAPS정리!$G$3:$J$114,2,0)</f>
        <v>#N/A</v>
      </c>
      <c r="AJ399" s="2" t="e">
        <f>IF(Z399="울산정일","KRONS",IF(Z399="울산신항","KRUSN",IF(OR(Z399="선광종합물류(인천여객)",Z399="인천여객(인천여객)"),"KRINF",IF(OR(Z399="선광인천보세(인천신)",Z399="한진인천(인천신)",Z399="선광인천신항(인천신)",Z399="인천더로지스(인천신)"),"KRINN",IF(OR(Z399="인천진아(인천항)",Z399="인천E1(인천항)",Z399="인천SM경인터미널(인천항)",Z399="인천항(인천항)",Z399="인천우련(인천항)",Z399="인천항8부두(인천항)"),"KRINC",VLOOKUP(K399,GLAPS정리!$BB$2:$BC$33,2,0))))))</f>
        <v>#N/A</v>
      </c>
      <c r="AL399" s="2">
        <f t="shared" si="95"/>
        <v>5010001</v>
      </c>
      <c r="AN399" s="70" t="str">
        <f t="shared" si="96"/>
        <v>1900-01-00</v>
      </c>
      <c r="AO399" s="2" t="str">
        <f t="shared" si="97"/>
        <v/>
      </c>
      <c r="AP399" s="2" t="e">
        <f>VLOOKUP(C399,GLAPS정리!$AX$2:$AZ$17,3,0)</f>
        <v>#N/A</v>
      </c>
      <c r="AR399" s="2">
        <f t="shared" si="103"/>
        <v>0</v>
      </c>
      <c r="AX399" s="2" t="e">
        <f>VLOOKUP(L399,GLAPS정리!$V$3:$W$180,2,0)</f>
        <v>#N/A</v>
      </c>
      <c r="BM399" s="2" t="str">
        <f t="shared" si="98"/>
        <v xml:space="preserve"> </v>
      </c>
      <c r="BN399" s="2">
        <f t="shared" si="99"/>
        <v>1</v>
      </c>
      <c r="BR399" s="2" t="str">
        <f t="shared" si="100"/>
        <v/>
      </c>
      <c r="BS399" s="2" t="str">
        <f t="shared" si="101"/>
        <v/>
      </c>
      <c r="BV399" s="2" t="e">
        <f>VLOOKUP(O399,GLAPS정리!$BH$2:$BI$94,2,0)</f>
        <v>#N/A</v>
      </c>
      <c r="BW399" s="2" t="str">
        <f>IF(OR(Z399="동원",Z399="세방",Z399="한타"),"",IFERROR(INDEX(GLAPS정리!$BI$2:$BI$101,MATCH(Z399,GLAPS정리!$BH$2:$BH$101,0)),""))</f>
        <v/>
      </c>
      <c r="BX399" s="2" t="str">
        <f>IF(Z399="","",IFERROR(VLOOKUP(Z399,GLAPS정리!$AX$2:$AZ$17,3,0),""))</f>
        <v/>
      </c>
      <c r="BZ399" s="2" t="e">
        <f>VLOOKUP(H399,GLAPS정리!$L$3:$O$133,2,0)</f>
        <v>#N/A</v>
      </c>
      <c r="CA399" s="2" t="str">
        <f t="shared" si="102"/>
        <v/>
      </c>
      <c r="CL399" s="2" t="e">
        <f>VLOOKUP(AI399,GLAPS정리!$BT$3:$BV$26,3,0)</f>
        <v>#N/A</v>
      </c>
    </row>
    <row r="400" spans="2:90" ht="20.45" customHeight="1">
      <c r="B400" s="13"/>
      <c r="G400" s="3"/>
      <c r="J400" s="3"/>
      <c r="Q400" s="3" t="str">
        <f t="shared" si="90"/>
        <v/>
      </c>
      <c r="R400" s="3" t="str">
        <f t="shared" si="91"/>
        <v/>
      </c>
      <c r="S400" s="3" t="str">
        <f t="shared" si="92"/>
        <v/>
      </c>
      <c r="X400" s="13"/>
      <c r="Y400" s="13"/>
      <c r="Z400" s="91"/>
      <c r="AC400" s="2">
        <f t="shared" si="93"/>
        <v>20</v>
      </c>
      <c r="AD400" s="2" t="str">
        <f>IFERROR(INDEX(GLAPS정리!$D$2:$D$50,MATCH(I400,GLAPS정리!$A$2:$A$50,0)),IFERROR(INDEX(GLAPS정리!$D$2:$D$50,MATCH(I400,GLAPS정리!$B$2:$B$50,0)),""))</f>
        <v/>
      </c>
      <c r="AF400" s="2" t="str">
        <f t="shared" si="94"/>
        <v>KR10</v>
      </c>
      <c r="AI400" s="2" t="e">
        <f>VLOOKUP(F400,GLAPS정리!$G$3:$J$114,2,0)</f>
        <v>#N/A</v>
      </c>
      <c r="AJ400" s="2" t="e">
        <f>IF(Z400="울산정일","KRONS",IF(Z400="울산신항","KRUSN",IF(OR(Z400="선광종합물류(인천여객)",Z400="인천여객(인천여객)"),"KRINF",IF(OR(Z400="선광인천보세(인천신)",Z400="한진인천(인천신)",Z400="선광인천신항(인천신)",Z400="인천더로지스(인천신)"),"KRINN",IF(OR(Z400="인천진아(인천항)",Z400="인천E1(인천항)",Z400="인천SM경인터미널(인천항)",Z400="인천항(인천항)",Z400="인천우련(인천항)",Z400="인천항8부두(인천항)"),"KRINC",VLOOKUP(K400,GLAPS정리!$BB$2:$BC$33,2,0))))))</f>
        <v>#N/A</v>
      </c>
      <c r="AL400" s="2">
        <f t="shared" si="95"/>
        <v>5010001</v>
      </c>
      <c r="AN400" s="70" t="str">
        <f t="shared" si="96"/>
        <v>1900-01-00</v>
      </c>
      <c r="AO400" s="2" t="str">
        <f t="shared" si="97"/>
        <v/>
      </c>
      <c r="AP400" s="2" t="e">
        <f>VLOOKUP(C400,GLAPS정리!$AX$2:$AZ$17,3,0)</f>
        <v>#N/A</v>
      </c>
      <c r="AR400" s="2">
        <f t="shared" si="103"/>
        <v>0</v>
      </c>
      <c r="AX400" s="2" t="e">
        <f>VLOOKUP(L400,GLAPS정리!$V$3:$W$180,2,0)</f>
        <v>#N/A</v>
      </c>
      <c r="BM400" s="2" t="str">
        <f t="shared" si="98"/>
        <v xml:space="preserve"> </v>
      </c>
      <c r="BN400" s="2">
        <f t="shared" si="99"/>
        <v>1</v>
      </c>
      <c r="BR400" s="2" t="str">
        <f t="shared" si="100"/>
        <v/>
      </c>
      <c r="BS400" s="2" t="str">
        <f t="shared" si="101"/>
        <v/>
      </c>
      <c r="BV400" s="2" t="e">
        <f>VLOOKUP(O400,GLAPS정리!$BH$2:$BI$94,2,0)</f>
        <v>#N/A</v>
      </c>
      <c r="BW400" s="2" t="str">
        <f>IF(OR(Z400="동원",Z400="세방",Z400="한타"),"",IFERROR(INDEX(GLAPS정리!$BI$2:$BI$101,MATCH(Z400,GLAPS정리!$BH$2:$BH$101,0)),""))</f>
        <v/>
      </c>
      <c r="BX400" s="2" t="str">
        <f>IF(Z400="","",IFERROR(VLOOKUP(Z400,GLAPS정리!$AX$2:$AZ$17,3,0),""))</f>
        <v/>
      </c>
      <c r="BZ400" s="2" t="e">
        <f>VLOOKUP(H400,GLAPS정리!$L$3:$O$133,2,0)</f>
        <v>#N/A</v>
      </c>
      <c r="CA400" s="2" t="str">
        <f t="shared" si="102"/>
        <v/>
      </c>
      <c r="CL400" s="2" t="e">
        <f>VLOOKUP(AI400,GLAPS정리!$BT$3:$BV$26,3,0)</f>
        <v>#N/A</v>
      </c>
    </row>
    <row r="401" spans="2:90" ht="20.45" customHeight="1">
      <c r="B401" s="13"/>
      <c r="G401" s="3"/>
      <c r="J401" s="3"/>
      <c r="Q401" s="3" t="str">
        <f t="shared" si="90"/>
        <v/>
      </c>
      <c r="R401" s="3" t="str">
        <f t="shared" si="91"/>
        <v/>
      </c>
      <c r="S401" s="3" t="str">
        <f t="shared" si="92"/>
        <v/>
      </c>
      <c r="X401" s="13"/>
      <c r="Y401" s="13"/>
      <c r="Z401" s="91"/>
      <c r="AC401" s="2">
        <f t="shared" si="93"/>
        <v>20</v>
      </c>
      <c r="AD401" s="2" t="str">
        <f>IFERROR(INDEX(GLAPS정리!$D$2:$D$50,MATCH(I401,GLAPS정리!$A$2:$A$50,0)),IFERROR(INDEX(GLAPS정리!$D$2:$D$50,MATCH(I401,GLAPS정리!$B$2:$B$50,0)),""))</f>
        <v/>
      </c>
      <c r="AF401" s="2" t="str">
        <f t="shared" si="94"/>
        <v>KR10</v>
      </c>
      <c r="AI401" s="2" t="e">
        <f>VLOOKUP(F401,GLAPS정리!$G$3:$J$114,2,0)</f>
        <v>#N/A</v>
      </c>
      <c r="AJ401" s="2" t="e">
        <f>IF(Z401="울산정일","KRONS",IF(Z401="울산신항","KRUSN",IF(OR(Z401="선광종합물류(인천여객)",Z401="인천여객(인천여객)"),"KRINF",IF(OR(Z401="선광인천보세(인천신)",Z401="한진인천(인천신)",Z401="선광인천신항(인천신)",Z401="인천더로지스(인천신)"),"KRINN",IF(OR(Z401="인천진아(인천항)",Z401="인천E1(인천항)",Z401="인천SM경인터미널(인천항)",Z401="인천항(인천항)",Z401="인천우련(인천항)",Z401="인천항8부두(인천항)"),"KRINC",VLOOKUP(K401,GLAPS정리!$BB$2:$BC$33,2,0))))))</f>
        <v>#N/A</v>
      </c>
      <c r="AL401" s="2">
        <f t="shared" si="95"/>
        <v>5010001</v>
      </c>
      <c r="AN401" s="70" t="str">
        <f t="shared" si="96"/>
        <v>1900-01-00</v>
      </c>
      <c r="AO401" s="2" t="str">
        <f t="shared" si="97"/>
        <v/>
      </c>
      <c r="AP401" s="2" t="e">
        <f>VLOOKUP(C401,GLAPS정리!$AX$2:$AZ$17,3,0)</f>
        <v>#N/A</v>
      </c>
      <c r="AR401" s="2">
        <f t="shared" si="103"/>
        <v>0</v>
      </c>
      <c r="AX401" s="2" t="e">
        <f>VLOOKUP(L401,GLAPS정리!$V$3:$W$180,2,0)</f>
        <v>#N/A</v>
      </c>
      <c r="BM401" s="2" t="str">
        <f t="shared" si="98"/>
        <v xml:space="preserve"> </v>
      </c>
      <c r="BN401" s="2">
        <f t="shared" si="99"/>
        <v>1</v>
      </c>
      <c r="BR401" s="2" t="str">
        <f t="shared" si="100"/>
        <v/>
      </c>
      <c r="BS401" s="2" t="str">
        <f t="shared" si="101"/>
        <v/>
      </c>
      <c r="BV401" s="2" t="e">
        <f>VLOOKUP(O401,GLAPS정리!$BH$2:$BI$94,2,0)</f>
        <v>#N/A</v>
      </c>
      <c r="BW401" s="2" t="str">
        <f>IF(OR(Z401="동원",Z401="세방",Z401="한타"),"",IFERROR(INDEX(GLAPS정리!$BI$2:$BI$101,MATCH(Z401,GLAPS정리!$BH$2:$BH$101,0)),""))</f>
        <v/>
      </c>
      <c r="BX401" s="2" t="str">
        <f>IF(Z401="","",IFERROR(VLOOKUP(Z401,GLAPS정리!$AX$2:$AZ$17,3,0),""))</f>
        <v/>
      </c>
      <c r="BZ401" s="2" t="e">
        <f>VLOOKUP(H401,GLAPS정리!$L$3:$O$133,2,0)</f>
        <v>#N/A</v>
      </c>
      <c r="CA401" s="2" t="str">
        <f t="shared" si="102"/>
        <v/>
      </c>
      <c r="CL401" s="2" t="e">
        <f>VLOOKUP(AI401,GLAPS정리!$BT$3:$BV$26,3,0)</f>
        <v>#N/A</v>
      </c>
    </row>
    <row r="402" spans="2:90" ht="20.45" customHeight="1">
      <c r="B402" s="13"/>
      <c r="G402" s="3"/>
      <c r="J402" s="3"/>
      <c r="Q402" s="3" t="str">
        <f t="shared" si="90"/>
        <v/>
      </c>
      <c r="R402" s="3" t="str">
        <f t="shared" si="91"/>
        <v/>
      </c>
      <c r="S402" s="3" t="str">
        <f t="shared" si="92"/>
        <v/>
      </c>
      <c r="X402" s="13"/>
      <c r="Y402" s="13"/>
      <c r="Z402" s="91"/>
      <c r="AC402" s="2">
        <f t="shared" si="93"/>
        <v>20</v>
      </c>
      <c r="AD402" s="2" t="str">
        <f>IFERROR(INDEX(GLAPS정리!$D$2:$D$50,MATCH(I402,GLAPS정리!$A$2:$A$50,0)),IFERROR(INDEX(GLAPS정리!$D$2:$D$50,MATCH(I402,GLAPS정리!$B$2:$B$50,0)),""))</f>
        <v/>
      </c>
      <c r="AF402" s="2" t="str">
        <f t="shared" si="94"/>
        <v>KR10</v>
      </c>
      <c r="AI402" s="2" t="e">
        <f>VLOOKUP(F402,GLAPS정리!$G$3:$J$114,2,0)</f>
        <v>#N/A</v>
      </c>
      <c r="AJ402" s="2" t="e">
        <f>IF(Z402="울산정일","KRONS",IF(Z402="울산신항","KRUSN",IF(OR(Z402="선광종합물류(인천여객)",Z402="인천여객(인천여객)"),"KRINF",IF(OR(Z402="선광인천보세(인천신)",Z402="한진인천(인천신)",Z402="선광인천신항(인천신)",Z402="인천더로지스(인천신)"),"KRINN",IF(OR(Z402="인천진아(인천항)",Z402="인천E1(인천항)",Z402="인천SM경인터미널(인천항)",Z402="인천항(인천항)",Z402="인천우련(인천항)",Z402="인천항8부두(인천항)"),"KRINC",VLOOKUP(K402,GLAPS정리!$BB$2:$BC$33,2,0))))))</f>
        <v>#N/A</v>
      </c>
      <c r="AL402" s="2">
        <f t="shared" si="95"/>
        <v>5010001</v>
      </c>
      <c r="AN402" s="70" t="str">
        <f t="shared" si="96"/>
        <v>1900-01-00</v>
      </c>
      <c r="AO402" s="2" t="str">
        <f t="shared" si="97"/>
        <v/>
      </c>
      <c r="AP402" s="2" t="e">
        <f>VLOOKUP(C402,GLAPS정리!$AX$2:$AZ$17,3,0)</f>
        <v>#N/A</v>
      </c>
      <c r="AR402" s="2">
        <f t="shared" si="103"/>
        <v>0</v>
      </c>
      <c r="AX402" s="2" t="e">
        <f>VLOOKUP(L402,GLAPS정리!$V$3:$W$180,2,0)</f>
        <v>#N/A</v>
      </c>
      <c r="BM402" s="2" t="str">
        <f t="shared" si="98"/>
        <v xml:space="preserve"> </v>
      </c>
      <c r="BN402" s="2">
        <f t="shared" si="99"/>
        <v>1</v>
      </c>
      <c r="BR402" s="2" t="str">
        <f t="shared" si="100"/>
        <v/>
      </c>
      <c r="BS402" s="2" t="str">
        <f t="shared" si="101"/>
        <v/>
      </c>
      <c r="BV402" s="2" t="e">
        <f>VLOOKUP(O402,GLAPS정리!$BH$2:$BI$94,2,0)</f>
        <v>#N/A</v>
      </c>
      <c r="BW402" s="2" t="str">
        <f>IF(OR(Z402="동원",Z402="세방",Z402="한타"),"",IFERROR(INDEX(GLAPS정리!$BI$2:$BI$101,MATCH(Z402,GLAPS정리!$BH$2:$BH$101,0)),""))</f>
        <v/>
      </c>
      <c r="BX402" s="2" t="str">
        <f>IF(Z402="","",IFERROR(VLOOKUP(Z402,GLAPS정리!$AX$2:$AZ$17,3,0),""))</f>
        <v/>
      </c>
      <c r="BZ402" s="2" t="e">
        <f>VLOOKUP(H402,GLAPS정리!$L$3:$O$133,2,0)</f>
        <v>#N/A</v>
      </c>
      <c r="CA402" s="2" t="str">
        <f t="shared" si="102"/>
        <v/>
      </c>
      <c r="CL402" s="2" t="e">
        <f>VLOOKUP(AI402,GLAPS정리!$BT$3:$BV$26,3,0)</f>
        <v>#N/A</v>
      </c>
    </row>
    <row r="403" spans="2:90" ht="20.45" customHeight="1">
      <c r="B403" s="13"/>
      <c r="G403" s="3"/>
      <c r="J403" s="3"/>
      <c r="Q403" s="3" t="str">
        <f t="shared" si="90"/>
        <v/>
      </c>
      <c r="R403" s="3" t="str">
        <f t="shared" si="91"/>
        <v/>
      </c>
      <c r="S403" s="3" t="str">
        <f t="shared" si="92"/>
        <v/>
      </c>
      <c r="X403" s="13"/>
      <c r="Y403" s="13"/>
      <c r="Z403" s="91"/>
      <c r="AC403" s="2">
        <f t="shared" si="93"/>
        <v>20</v>
      </c>
      <c r="AD403" s="2" t="str">
        <f>IFERROR(INDEX(GLAPS정리!$D$2:$D$50,MATCH(I403,GLAPS정리!$A$2:$A$50,0)),IFERROR(INDEX(GLAPS정리!$D$2:$D$50,MATCH(I403,GLAPS정리!$B$2:$B$50,0)),""))</f>
        <v/>
      </c>
      <c r="AF403" s="2" t="str">
        <f t="shared" si="94"/>
        <v>KR10</v>
      </c>
      <c r="AI403" s="2" t="e">
        <f>VLOOKUP(F403,GLAPS정리!$G$3:$J$114,2,0)</f>
        <v>#N/A</v>
      </c>
      <c r="AJ403" s="2" t="e">
        <f>IF(Z403="울산정일","KRONS",IF(Z403="울산신항","KRUSN",IF(OR(Z403="선광종합물류(인천여객)",Z403="인천여객(인천여객)"),"KRINF",IF(OR(Z403="선광인천보세(인천신)",Z403="한진인천(인천신)",Z403="선광인천신항(인천신)",Z403="인천더로지스(인천신)"),"KRINN",IF(OR(Z403="인천진아(인천항)",Z403="인천E1(인천항)",Z403="인천SM경인터미널(인천항)",Z403="인천항(인천항)",Z403="인천우련(인천항)",Z403="인천항8부두(인천항)"),"KRINC",VLOOKUP(K403,GLAPS정리!$BB$2:$BC$33,2,0))))))</f>
        <v>#N/A</v>
      </c>
      <c r="AL403" s="2">
        <f t="shared" si="95"/>
        <v>5010001</v>
      </c>
      <c r="AN403" s="70" t="str">
        <f t="shared" si="96"/>
        <v>1900-01-00</v>
      </c>
      <c r="AO403" s="2" t="str">
        <f t="shared" si="97"/>
        <v/>
      </c>
      <c r="AP403" s="2" t="e">
        <f>VLOOKUP(C403,GLAPS정리!$AX$2:$AZ$17,3,0)</f>
        <v>#N/A</v>
      </c>
      <c r="AR403" s="2">
        <f t="shared" si="103"/>
        <v>0</v>
      </c>
      <c r="AX403" s="2" t="e">
        <f>VLOOKUP(L403,GLAPS정리!$V$3:$W$180,2,0)</f>
        <v>#N/A</v>
      </c>
      <c r="BM403" s="2" t="str">
        <f t="shared" si="98"/>
        <v xml:space="preserve"> </v>
      </c>
      <c r="BN403" s="2">
        <f t="shared" si="99"/>
        <v>1</v>
      </c>
      <c r="BR403" s="2" t="str">
        <f t="shared" si="100"/>
        <v/>
      </c>
      <c r="BS403" s="2" t="str">
        <f t="shared" si="101"/>
        <v/>
      </c>
      <c r="BV403" s="2" t="e">
        <f>VLOOKUP(O403,GLAPS정리!$BH$2:$BI$94,2,0)</f>
        <v>#N/A</v>
      </c>
      <c r="BW403" s="2" t="str">
        <f>IF(OR(Z403="동원",Z403="세방",Z403="한타"),"",IFERROR(INDEX(GLAPS정리!$BI$2:$BI$101,MATCH(Z403,GLAPS정리!$BH$2:$BH$101,0)),""))</f>
        <v/>
      </c>
      <c r="BX403" s="2" t="str">
        <f>IF(Z403="","",IFERROR(VLOOKUP(Z403,GLAPS정리!$AX$2:$AZ$17,3,0),""))</f>
        <v/>
      </c>
      <c r="BZ403" s="2" t="e">
        <f>VLOOKUP(H403,GLAPS정리!$L$3:$O$133,2,0)</f>
        <v>#N/A</v>
      </c>
      <c r="CA403" s="2" t="str">
        <f t="shared" si="102"/>
        <v/>
      </c>
      <c r="CL403" s="2" t="e">
        <f>VLOOKUP(AI403,GLAPS정리!$BT$3:$BV$26,3,0)</f>
        <v>#N/A</v>
      </c>
    </row>
    <row r="404" spans="2:90" ht="20.45" customHeight="1">
      <c r="B404" s="13"/>
      <c r="G404" s="3"/>
      <c r="J404" s="3"/>
      <c r="Q404" s="3" t="str">
        <f t="shared" si="90"/>
        <v/>
      </c>
      <c r="R404" s="3" t="str">
        <f t="shared" si="91"/>
        <v/>
      </c>
      <c r="S404" s="3" t="str">
        <f t="shared" si="92"/>
        <v/>
      </c>
      <c r="X404" s="13"/>
      <c r="Y404" s="13"/>
      <c r="Z404" s="91"/>
      <c r="AC404" s="2">
        <f t="shared" si="93"/>
        <v>20</v>
      </c>
      <c r="AD404" s="2" t="str">
        <f>IFERROR(INDEX(GLAPS정리!$D$2:$D$50,MATCH(I404,GLAPS정리!$A$2:$A$50,0)),IFERROR(INDEX(GLAPS정리!$D$2:$D$50,MATCH(I404,GLAPS정리!$B$2:$B$50,0)),""))</f>
        <v/>
      </c>
      <c r="AF404" s="2" t="str">
        <f t="shared" si="94"/>
        <v>KR10</v>
      </c>
      <c r="AI404" s="2" t="e">
        <f>VLOOKUP(F404,GLAPS정리!$G$3:$J$114,2,0)</f>
        <v>#N/A</v>
      </c>
      <c r="AJ404" s="2" t="e">
        <f>IF(Z404="울산정일","KRONS",IF(Z404="울산신항","KRUSN",IF(OR(Z404="선광종합물류(인천여객)",Z404="인천여객(인천여객)"),"KRINF",IF(OR(Z404="선광인천보세(인천신)",Z404="한진인천(인천신)",Z404="선광인천신항(인천신)",Z404="인천더로지스(인천신)"),"KRINN",IF(OR(Z404="인천진아(인천항)",Z404="인천E1(인천항)",Z404="인천SM경인터미널(인천항)",Z404="인천항(인천항)",Z404="인천우련(인천항)",Z404="인천항8부두(인천항)"),"KRINC",VLOOKUP(K404,GLAPS정리!$BB$2:$BC$33,2,0))))))</f>
        <v>#N/A</v>
      </c>
      <c r="AL404" s="2">
        <f t="shared" si="95"/>
        <v>5010001</v>
      </c>
      <c r="AN404" s="70" t="str">
        <f t="shared" si="96"/>
        <v>1900-01-00</v>
      </c>
      <c r="AO404" s="2" t="str">
        <f t="shared" si="97"/>
        <v/>
      </c>
      <c r="AP404" s="2" t="e">
        <f>VLOOKUP(C404,GLAPS정리!$AX$2:$AZ$17,3,0)</f>
        <v>#N/A</v>
      </c>
      <c r="AR404" s="2">
        <f t="shared" si="103"/>
        <v>0</v>
      </c>
      <c r="AX404" s="2" t="e">
        <f>VLOOKUP(L404,GLAPS정리!$V$3:$W$180,2,0)</f>
        <v>#N/A</v>
      </c>
      <c r="BM404" s="2" t="str">
        <f t="shared" si="98"/>
        <v xml:space="preserve"> </v>
      </c>
      <c r="BN404" s="2">
        <f t="shared" si="99"/>
        <v>1</v>
      </c>
      <c r="BR404" s="2" t="str">
        <f t="shared" si="100"/>
        <v/>
      </c>
      <c r="BS404" s="2" t="str">
        <f t="shared" si="101"/>
        <v/>
      </c>
      <c r="BV404" s="2" t="e">
        <f>VLOOKUP(O404,GLAPS정리!$BH$2:$BI$94,2,0)</f>
        <v>#N/A</v>
      </c>
      <c r="BW404" s="2" t="str">
        <f>IF(OR(Z404="동원",Z404="세방",Z404="한타"),"",IFERROR(INDEX(GLAPS정리!$BI$2:$BI$101,MATCH(Z404,GLAPS정리!$BH$2:$BH$101,0)),""))</f>
        <v/>
      </c>
      <c r="BX404" s="2" t="str">
        <f>IF(Z404="","",IFERROR(VLOOKUP(Z404,GLAPS정리!$AX$2:$AZ$17,3,0),""))</f>
        <v/>
      </c>
      <c r="BZ404" s="2" t="e">
        <f>VLOOKUP(H404,GLAPS정리!$L$3:$O$133,2,0)</f>
        <v>#N/A</v>
      </c>
      <c r="CA404" s="2" t="str">
        <f t="shared" si="102"/>
        <v/>
      </c>
      <c r="CL404" s="2" t="e">
        <f>VLOOKUP(AI404,GLAPS정리!$BT$3:$BV$26,3,0)</f>
        <v>#N/A</v>
      </c>
    </row>
    <row r="405" spans="2:90" ht="20.45" customHeight="1">
      <c r="B405" s="13"/>
      <c r="G405" s="3"/>
      <c r="J405" s="3"/>
      <c r="Q405" s="3" t="str">
        <f t="shared" si="90"/>
        <v/>
      </c>
      <c r="R405" s="3" t="str">
        <f t="shared" si="91"/>
        <v/>
      </c>
      <c r="S405" s="3" t="str">
        <f t="shared" si="92"/>
        <v/>
      </c>
      <c r="X405" s="13"/>
      <c r="Y405" s="13"/>
      <c r="Z405" s="91"/>
      <c r="AC405" s="2">
        <f t="shared" si="93"/>
        <v>20</v>
      </c>
      <c r="AD405" s="2" t="str">
        <f>IFERROR(INDEX(GLAPS정리!$D$2:$D$50,MATCH(I405,GLAPS정리!$A$2:$A$50,0)),IFERROR(INDEX(GLAPS정리!$D$2:$D$50,MATCH(I405,GLAPS정리!$B$2:$B$50,0)),""))</f>
        <v/>
      </c>
      <c r="AF405" s="2" t="str">
        <f t="shared" si="94"/>
        <v>KR10</v>
      </c>
      <c r="AI405" s="2" t="e">
        <f>VLOOKUP(F405,GLAPS정리!$G$3:$J$114,2,0)</f>
        <v>#N/A</v>
      </c>
      <c r="AJ405" s="2" t="e">
        <f>IF(Z405="울산정일","KRONS",IF(Z405="울산신항","KRUSN",IF(OR(Z405="선광종합물류(인천여객)",Z405="인천여객(인천여객)"),"KRINF",IF(OR(Z405="선광인천보세(인천신)",Z405="한진인천(인천신)",Z405="선광인천신항(인천신)",Z405="인천더로지스(인천신)"),"KRINN",IF(OR(Z405="인천진아(인천항)",Z405="인천E1(인천항)",Z405="인천SM경인터미널(인천항)",Z405="인천항(인천항)",Z405="인천우련(인천항)",Z405="인천항8부두(인천항)"),"KRINC",VLOOKUP(K405,GLAPS정리!$BB$2:$BC$33,2,0))))))</f>
        <v>#N/A</v>
      </c>
      <c r="AL405" s="2">
        <f t="shared" si="95"/>
        <v>5010001</v>
      </c>
      <c r="AN405" s="70" t="str">
        <f t="shared" si="96"/>
        <v>1900-01-00</v>
      </c>
      <c r="AO405" s="2" t="str">
        <f t="shared" si="97"/>
        <v/>
      </c>
      <c r="AP405" s="2" t="e">
        <f>VLOOKUP(C405,GLAPS정리!$AX$2:$AZ$17,3,0)</f>
        <v>#N/A</v>
      </c>
      <c r="AR405" s="2">
        <f t="shared" si="103"/>
        <v>0</v>
      </c>
      <c r="AX405" s="2" t="e">
        <f>VLOOKUP(L405,GLAPS정리!$V$3:$W$180,2,0)</f>
        <v>#N/A</v>
      </c>
      <c r="BM405" s="2" t="str">
        <f t="shared" si="98"/>
        <v xml:space="preserve"> </v>
      </c>
      <c r="BN405" s="2">
        <f t="shared" si="99"/>
        <v>1</v>
      </c>
      <c r="BR405" s="2" t="str">
        <f t="shared" si="100"/>
        <v/>
      </c>
      <c r="BS405" s="2" t="str">
        <f t="shared" si="101"/>
        <v/>
      </c>
      <c r="BV405" s="2" t="e">
        <f>VLOOKUP(O405,GLAPS정리!$BH$2:$BI$94,2,0)</f>
        <v>#N/A</v>
      </c>
      <c r="BW405" s="2" t="str">
        <f>IF(OR(Z405="동원",Z405="세방",Z405="한타"),"",IFERROR(INDEX(GLAPS정리!$BI$2:$BI$101,MATCH(Z405,GLAPS정리!$BH$2:$BH$101,0)),""))</f>
        <v/>
      </c>
      <c r="BX405" s="2" t="str">
        <f>IF(Z405="","",IFERROR(VLOOKUP(Z405,GLAPS정리!$AX$2:$AZ$17,3,0),""))</f>
        <v/>
      </c>
      <c r="BZ405" s="2" t="e">
        <f>VLOOKUP(H405,GLAPS정리!$L$3:$O$133,2,0)</f>
        <v>#N/A</v>
      </c>
      <c r="CA405" s="2" t="str">
        <f t="shared" si="102"/>
        <v/>
      </c>
      <c r="CL405" s="2" t="e">
        <f>VLOOKUP(AI405,GLAPS정리!$BT$3:$BV$26,3,0)</f>
        <v>#N/A</v>
      </c>
    </row>
    <row r="406" spans="2:90" ht="20.45" customHeight="1">
      <c r="B406" s="13"/>
      <c r="G406" s="3"/>
      <c r="J406" s="3"/>
      <c r="Q406" s="3" t="str">
        <f t="shared" si="90"/>
        <v/>
      </c>
      <c r="R406" s="3" t="str">
        <f t="shared" si="91"/>
        <v/>
      </c>
      <c r="S406" s="3" t="str">
        <f t="shared" si="92"/>
        <v/>
      </c>
      <c r="X406" s="13"/>
      <c r="Y406" s="13"/>
      <c r="Z406" s="91"/>
      <c r="AC406" s="2">
        <f t="shared" si="93"/>
        <v>20</v>
      </c>
      <c r="AD406" s="2" t="str">
        <f>IFERROR(INDEX(GLAPS정리!$D$2:$D$50,MATCH(I406,GLAPS정리!$A$2:$A$50,0)),IFERROR(INDEX(GLAPS정리!$D$2:$D$50,MATCH(I406,GLAPS정리!$B$2:$B$50,0)),""))</f>
        <v/>
      </c>
      <c r="AF406" s="2" t="str">
        <f t="shared" si="94"/>
        <v>KR10</v>
      </c>
      <c r="AI406" s="2" t="e">
        <f>VLOOKUP(F406,GLAPS정리!$G$3:$J$114,2,0)</f>
        <v>#N/A</v>
      </c>
      <c r="AJ406" s="2" t="e">
        <f>IF(Z406="울산정일","KRONS",IF(Z406="울산신항","KRUSN",IF(OR(Z406="선광종합물류(인천여객)",Z406="인천여객(인천여객)"),"KRINF",IF(OR(Z406="선광인천보세(인천신)",Z406="한진인천(인천신)",Z406="선광인천신항(인천신)",Z406="인천더로지스(인천신)"),"KRINN",IF(OR(Z406="인천진아(인천항)",Z406="인천E1(인천항)",Z406="인천SM경인터미널(인천항)",Z406="인천항(인천항)",Z406="인천우련(인천항)",Z406="인천항8부두(인천항)"),"KRINC",VLOOKUP(K406,GLAPS정리!$BB$2:$BC$33,2,0))))))</f>
        <v>#N/A</v>
      </c>
      <c r="AL406" s="2">
        <f t="shared" si="95"/>
        <v>5010001</v>
      </c>
      <c r="AN406" s="70" t="str">
        <f t="shared" si="96"/>
        <v>1900-01-00</v>
      </c>
      <c r="AO406" s="2" t="str">
        <f t="shared" si="97"/>
        <v/>
      </c>
      <c r="AP406" s="2" t="e">
        <f>VLOOKUP(C406,GLAPS정리!$AX$2:$AZ$17,3,0)</f>
        <v>#N/A</v>
      </c>
      <c r="AR406" s="2">
        <f t="shared" si="103"/>
        <v>0</v>
      </c>
      <c r="AX406" s="2" t="e">
        <f>VLOOKUP(L406,GLAPS정리!$V$3:$W$180,2,0)</f>
        <v>#N/A</v>
      </c>
      <c r="BM406" s="2" t="str">
        <f t="shared" si="98"/>
        <v xml:space="preserve"> </v>
      </c>
      <c r="BN406" s="2">
        <f t="shared" si="99"/>
        <v>1</v>
      </c>
      <c r="BR406" s="2" t="str">
        <f t="shared" si="100"/>
        <v/>
      </c>
      <c r="BS406" s="2" t="str">
        <f t="shared" si="101"/>
        <v/>
      </c>
      <c r="BV406" s="2" t="e">
        <f>VLOOKUP(O406,GLAPS정리!$BH$2:$BI$94,2,0)</f>
        <v>#N/A</v>
      </c>
      <c r="BW406" s="2" t="str">
        <f>IF(OR(Z406="동원",Z406="세방",Z406="한타"),"",IFERROR(INDEX(GLAPS정리!$BI$2:$BI$101,MATCH(Z406,GLAPS정리!$BH$2:$BH$101,0)),""))</f>
        <v/>
      </c>
      <c r="BX406" s="2" t="str">
        <f>IF(Z406="","",IFERROR(VLOOKUP(Z406,GLAPS정리!$AX$2:$AZ$17,3,0),""))</f>
        <v/>
      </c>
      <c r="BZ406" s="2" t="e">
        <f>VLOOKUP(H406,GLAPS정리!$L$3:$O$133,2,0)</f>
        <v>#N/A</v>
      </c>
      <c r="CA406" s="2" t="str">
        <f t="shared" si="102"/>
        <v/>
      </c>
      <c r="CL406" s="2" t="e">
        <f>VLOOKUP(AI406,GLAPS정리!$BT$3:$BV$26,3,0)</f>
        <v>#N/A</v>
      </c>
    </row>
    <row r="407" spans="2:90" ht="20.45" customHeight="1">
      <c r="B407" s="13"/>
      <c r="G407" s="3"/>
      <c r="J407" s="3"/>
      <c r="Q407" s="3" t="str">
        <f t="shared" si="90"/>
        <v/>
      </c>
      <c r="R407" s="3" t="str">
        <f t="shared" si="91"/>
        <v/>
      </c>
      <c r="S407" s="3" t="str">
        <f t="shared" si="92"/>
        <v/>
      </c>
      <c r="X407" s="13"/>
      <c r="Y407" s="13"/>
      <c r="Z407" s="91"/>
      <c r="AC407" s="2">
        <f t="shared" si="93"/>
        <v>20</v>
      </c>
      <c r="AD407" s="2" t="str">
        <f>IFERROR(INDEX(GLAPS정리!$D$2:$D$50,MATCH(I407,GLAPS정리!$A$2:$A$50,0)),IFERROR(INDEX(GLAPS정리!$D$2:$D$50,MATCH(I407,GLAPS정리!$B$2:$B$50,0)),""))</f>
        <v/>
      </c>
      <c r="AF407" s="2" t="str">
        <f t="shared" si="94"/>
        <v>KR10</v>
      </c>
      <c r="AI407" s="2" t="e">
        <f>VLOOKUP(F407,GLAPS정리!$G$3:$J$114,2,0)</f>
        <v>#N/A</v>
      </c>
      <c r="AJ407" s="2" t="e">
        <f>IF(Z407="울산정일","KRONS",IF(Z407="울산신항","KRUSN",IF(OR(Z407="선광종합물류(인천여객)",Z407="인천여객(인천여객)"),"KRINF",IF(OR(Z407="선광인천보세(인천신)",Z407="한진인천(인천신)",Z407="선광인천신항(인천신)",Z407="인천더로지스(인천신)"),"KRINN",IF(OR(Z407="인천진아(인천항)",Z407="인천E1(인천항)",Z407="인천SM경인터미널(인천항)",Z407="인천항(인천항)",Z407="인천우련(인천항)",Z407="인천항8부두(인천항)"),"KRINC",VLOOKUP(K407,GLAPS정리!$BB$2:$BC$33,2,0))))))</f>
        <v>#N/A</v>
      </c>
      <c r="AL407" s="2">
        <f t="shared" si="95"/>
        <v>5010001</v>
      </c>
      <c r="AN407" s="70" t="str">
        <f t="shared" si="96"/>
        <v>1900-01-00</v>
      </c>
      <c r="AO407" s="2" t="str">
        <f t="shared" si="97"/>
        <v/>
      </c>
      <c r="AP407" s="2" t="e">
        <f>VLOOKUP(C407,GLAPS정리!$AX$2:$AZ$17,3,0)</f>
        <v>#N/A</v>
      </c>
      <c r="AR407" s="2">
        <f t="shared" si="103"/>
        <v>0</v>
      </c>
      <c r="AX407" s="2" t="e">
        <f>VLOOKUP(L407,GLAPS정리!$V$3:$W$180,2,0)</f>
        <v>#N/A</v>
      </c>
      <c r="BM407" s="2" t="str">
        <f t="shared" si="98"/>
        <v xml:space="preserve"> </v>
      </c>
      <c r="BN407" s="2">
        <f t="shared" si="99"/>
        <v>1</v>
      </c>
      <c r="BR407" s="2" t="str">
        <f t="shared" si="100"/>
        <v/>
      </c>
      <c r="BS407" s="2" t="str">
        <f t="shared" si="101"/>
        <v/>
      </c>
      <c r="BV407" s="2" t="e">
        <f>VLOOKUP(O407,GLAPS정리!$BH$2:$BI$94,2,0)</f>
        <v>#N/A</v>
      </c>
      <c r="BW407" s="2" t="str">
        <f>IF(OR(Z407="동원",Z407="세방",Z407="한타"),"",IFERROR(INDEX(GLAPS정리!$BI$2:$BI$101,MATCH(Z407,GLAPS정리!$BH$2:$BH$101,0)),""))</f>
        <v/>
      </c>
      <c r="BX407" s="2" t="str">
        <f>IF(Z407="","",IFERROR(VLOOKUP(Z407,GLAPS정리!$AX$2:$AZ$17,3,0),""))</f>
        <v/>
      </c>
      <c r="BZ407" s="2" t="e">
        <f>VLOOKUP(H407,GLAPS정리!$L$3:$O$133,2,0)</f>
        <v>#N/A</v>
      </c>
      <c r="CA407" s="2" t="str">
        <f t="shared" si="102"/>
        <v/>
      </c>
      <c r="CL407" s="2" t="e">
        <f>VLOOKUP(AI407,GLAPS정리!$BT$3:$BV$26,3,0)</f>
        <v>#N/A</v>
      </c>
    </row>
    <row r="408" spans="2:90" ht="20.45" customHeight="1">
      <c r="B408" s="13"/>
      <c r="G408" s="3"/>
      <c r="J408" s="3"/>
      <c r="Q408" s="3" t="str">
        <f t="shared" si="90"/>
        <v/>
      </c>
      <c r="R408" s="3" t="str">
        <f t="shared" si="91"/>
        <v/>
      </c>
      <c r="S408" s="3" t="str">
        <f t="shared" si="92"/>
        <v/>
      </c>
      <c r="X408" s="13"/>
      <c r="Y408" s="13"/>
      <c r="Z408" s="91"/>
      <c r="AC408" s="2">
        <f t="shared" si="93"/>
        <v>20</v>
      </c>
      <c r="AD408" s="2" t="str">
        <f>IFERROR(INDEX(GLAPS정리!$D$2:$D$50,MATCH(I408,GLAPS정리!$A$2:$A$50,0)),IFERROR(INDEX(GLAPS정리!$D$2:$D$50,MATCH(I408,GLAPS정리!$B$2:$B$50,0)),""))</f>
        <v/>
      </c>
      <c r="AF408" s="2" t="str">
        <f t="shared" si="94"/>
        <v>KR10</v>
      </c>
      <c r="AI408" s="2" t="e">
        <f>VLOOKUP(F408,GLAPS정리!$G$3:$J$114,2,0)</f>
        <v>#N/A</v>
      </c>
      <c r="AJ408" s="2" t="e">
        <f>IF(Z408="울산정일","KRONS",IF(Z408="울산신항","KRUSN",IF(OR(Z408="선광종합물류(인천여객)",Z408="인천여객(인천여객)"),"KRINF",IF(OR(Z408="선광인천보세(인천신)",Z408="한진인천(인천신)",Z408="선광인천신항(인천신)",Z408="인천더로지스(인천신)"),"KRINN",IF(OR(Z408="인천진아(인천항)",Z408="인천E1(인천항)",Z408="인천SM경인터미널(인천항)",Z408="인천항(인천항)",Z408="인천우련(인천항)",Z408="인천항8부두(인천항)"),"KRINC",VLOOKUP(K408,GLAPS정리!$BB$2:$BC$33,2,0))))))</f>
        <v>#N/A</v>
      </c>
      <c r="AL408" s="2">
        <f t="shared" si="95"/>
        <v>5010001</v>
      </c>
      <c r="AN408" s="70" t="str">
        <f t="shared" si="96"/>
        <v>1900-01-00</v>
      </c>
      <c r="AO408" s="2" t="str">
        <f t="shared" si="97"/>
        <v/>
      </c>
      <c r="AP408" s="2" t="e">
        <f>VLOOKUP(C408,GLAPS정리!$AX$2:$AZ$17,3,0)</f>
        <v>#N/A</v>
      </c>
      <c r="AR408" s="2">
        <f t="shared" si="103"/>
        <v>0</v>
      </c>
      <c r="AX408" s="2" t="e">
        <f>VLOOKUP(L408,GLAPS정리!$V$3:$W$180,2,0)</f>
        <v>#N/A</v>
      </c>
      <c r="BM408" s="2" t="str">
        <f t="shared" si="98"/>
        <v xml:space="preserve"> </v>
      </c>
      <c r="BN408" s="2">
        <f t="shared" si="99"/>
        <v>1</v>
      </c>
      <c r="BR408" s="2" t="str">
        <f t="shared" si="100"/>
        <v/>
      </c>
      <c r="BS408" s="2" t="str">
        <f t="shared" si="101"/>
        <v/>
      </c>
      <c r="BV408" s="2" t="e">
        <f>VLOOKUP(O408,GLAPS정리!$BH$2:$BI$94,2,0)</f>
        <v>#N/A</v>
      </c>
      <c r="BW408" s="2" t="str">
        <f>IF(OR(Z408="동원",Z408="세방",Z408="한타"),"",IFERROR(INDEX(GLAPS정리!$BI$2:$BI$101,MATCH(Z408,GLAPS정리!$BH$2:$BH$101,0)),""))</f>
        <v/>
      </c>
      <c r="BX408" s="2" t="str">
        <f>IF(Z408="","",IFERROR(VLOOKUP(Z408,GLAPS정리!$AX$2:$AZ$17,3,0),""))</f>
        <v/>
      </c>
      <c r="BZ408" s="2" t="e">
        <f>VLOOKUP(H408,GLAPS정리!$L$3:$O$133,2,0)</f>
        <v>#N/A</v>
      </c>
      <c r="CA408" s="2" t="str">
        <f t="shared" si="102"/>
        <v/>
      </c>
      <c r="CL408" s="2" t="e">
        <f>VLOOKUP(AI408,GLAPS정리!$BT$3:$BV$26,3,0)</f>
        <v>#N/A</v>
      </c>
    </row>
    <row r="409" spans="2:90" ht="20.45" customHeight="1">
      <c r="B409" s="13"/>
      <c r="G409" s="3"/>
      <c r="J409" s="3"/>
      <c r="Q409" s="3" t="str">
        <f t="shared" si="90"/>
        <v/>
      </c>
      <c r="R409" s="3" t="str">
        <f t="shared" si="91"/>
        <v/>
      </c>
      <c r="S409" s="3" t="str">
        <f t="shared" si="92"/>
        <v/>
      </c>
      <c r="X409" s="13"/>
      <c r="Y409" s="13"/>
      <c r="Z409" s="91"/>
      <c r="AC409" s="2">
        <f t="shared" si="93"/>
        <v>20</v>
      </c>
      <c r="AD409" s="2" t="str">
        <f>IFERROR(INDEX(GLAPS정리!$D$2:$D$50,MATCH(I409,GLAPS정리!$A$2:$A$50,0)),IFERROR(INDEX(GLAPS정리!$D$2:$D$50,MATCH(I409,GLAPS정리!$B$2:$B$50,0)),""))</f>
        <v/>
      </c>
      <c r="AF409" s="2" t="str">
        <f t="shared" si="94"/>
        <v>KR10</v>
      </c>
      <c r="AI409" s="2" t="e">
        <f>VLOOKUP(F409,GLAPS정리!$G$3:$J$114,2,0)</f>
        <v>#N/A</v>
      </c>
      <c r="AJ409" s="2" t="e">
        <f>IF(Z409="울산정일","KRONS",IF(Z409="울산신항","KRUSN",IF(OR(Z409="선광종합물류(인천여객)",Z409="인천여객(인천여객)"),"KRINF",IF(OR(Z409="선광인천보세(인천신)",Z409="한진인천(인천신)",Z409="선광인천신항(인천신)",Z409="인천더로지스(인천신)"),"KRINN",IF(OR(Z409="인천진아(인천항)",Z409="인천E1(인천항)",Z409="인천SM경인터미널(인천항)",Z409="인천항(인천항)",Z409="인천우련(인천항)",Z409="인천항8부두(인천항)"),"KRINC",VLOOKUP(K409,GLAPS정리!$BB$2:$BC$33,2,0))))))</f>
        <v>#N/A</v>
      </c>
      <c r="AL409" s="2">
        <f t="shared" si="95"/>
        <v>5010001</v>
      </c>
      <c r="AN409" s="70" t="str">
        <f t="shared" si="96"/>
        <v>1900-01-00</v>
      </c>
      <c r="AO409" s="2" t="str">
        <f t="shared" si="97"/>
        <v/>
      </c>
      <c r="AP409" s="2" t="e">
        <f>VLOOKUP(C409,GLAPS정리!$AX$2:$AZ$17,3,0)</f>
        <v>#N/A</v>
      </c>
      <c r="AR409" s="2">
        <f t="shared" si="103"/>
        <v>0</v>
      </c>
      <c r="AX409" s="2" t="e">
        <f>VLOOKUP(L409,GLAPS정리!$V$3:$W$180,2,0)</f>
        <v>#N/A</v>
      </c>
      <c r="BM409" s="2" t="str">
        <f t="shared" si="98"/>
        <v xml:space="preserve"> </v>
      </c>
      <c r="BN409" s="2">
        <f t="shared" si="99"/>
        <v>1</v>
      </c>
      <c r="BR409" s="2" t="str">
        <f t="shared" si="100"/>
        <v/>
      </c>
      <c r="BS409" s="2" t="str">
        <f t="shared" si="101"/>
        <v/>
      </c>
      <c r="BV409" s="2" t="e">
        <f>VLOOKUP(O409,GLAPS정리!$BH$2:$BI$94,2,0)</f>
        <v>#N/A</v>
      </c>
      <c r="BW409" s="2" t="str">
        <f>IF(OR(Z409="동원",Z409="세방",Z409="한타"),"",IFERROR(INDEX(GLAPS정리!$BI$2:$BI$101,MATCH(Z409,GLAPS정리!$BH$2:$BH$101,0)),""))</f>
        <v/>
      </c>
      <c r="BX409" s="2" t="str">
        <f>IF(Z409="","",IFERROR(VLOOKUP(Z409,GLAPS정리!$AX$2:$AZ$17,3,0),""))</f>
        <v/>
      </c>
      <c r="BZ409" s="2" t="e">
        <f>VLOOKUP(H409,GLAPS정리!$L$3:$O$133,2,0)</f>
        <v>#N/A</v>
      </c>
      <c r="CA409" s="2" t="str">
        <f t="shared" si="102"/>
        <v/>
      </c>
      <c r="CL409" s="2" t="e">
        <f>VLOOKUP(AI409,GLAPS정리!$BT$3:$BV$26,3,0)</f>
        <v>#N/A</v>
      </c>
    </row>
    <row r="410" spans="2:90" ht="20.45" customHeight="1">
      <c r="B410" s="13"/>
      <c r="G410" s="3"/>
      <c r="J410" s="3"/>
      <c r="Q410" s="3" t="str">
        <f t="shared" si="90"/>
        <v/>
      </c>
      <c r="R410" s="3" t="str">
        <f t="shared" si="91"/>
        <v/>
      </c>
      <c r="S410" s="3" t="str">
        <f t="shared" si="92"/>
        <v/>
      </c>
      <c r="X410" s="13"/>
      <c r="Y410" s="13"/>
      <c r="Z410" s="91"/>
      <c r="AC410" s="2">
        <f t="shared" si="93"/>
        <v>20</v>
      </c>
      <c r="AD410" s="2" t="str">
        <f>IFERROR(INDEX(GLAPS정리!$D$2:$D$50,MATCH(I410,GLAPS정리!$A$2:$A$50,0)),IFERROR(INDEX(GLAPS정리!$D$2:$D$50,MATCH(I410,GLAPS정리!$B$2:$B$50,0)),""))</f>
        <v/>
      </c>
      <c r="AF410" s="2" t="str">
        <f t="shared" si="94"/>
        <v>KR10</v>
      </c>
      <c r="AI410" s="2" t="e">
        <f>VLOOKUP(F410,GLAPS정리!$G$3:$J$114,2,0)</f>
        <v>#N/A</v>
      </c>
      <c r="AJ410" s="2" t="e">
        <f>IF(Z410="울산정일","KRONS",IF(Z410="울산신항","KRUSN",IF(OR(Z410="선광종합물류(인천여객)",Z410="인천여객(인천여객)"),"KRINF",IF(OR(Z410="선광인천보세(인천신)",Z410="한진인천(인천신)",Z410="선광인천신항(인천신)",Z410="인천더로지스(인천신)"),"KRINN",IF(OR(Z410="인천진아(인천항)",Z410="인천E1(인천항)",Z410="인천SM경인터미널(인천항)",Z410="인천항(인천항)",Z410="인천우련(인천항)",Z410="인천항8부두(인천항)"),"KRINC",VLOOKUP(K410,GLAPS정리!$BB$2:$BC$33,2,0))))))</f>
        <v>#N/A</v>
      </c>
      <c r="AL410" s="2">
        <f t="shared" si="95"/>
        <v>5010001</v>
      </c>
      <c r="AN410" s="70" t="str">
        <f t="shared" si="96"/>
        <v>1900-01-00</v>
      </c>
      <c r="AO410" s="2" t="str">
        <f t="shared" si="97"/>
        <v/>
      </c>
      <c r="AP410" s="2" t="e">
        <f>VLOOKUP(C410,GLAPS정리!$AX$2:$AZ$17,3,0)</f>
        <v>#N/A</v>
      </c>
      <c r="AR410" s="2">
        <f t="shared" si="103"/>
        <v>0</v>
      </c>
      <c r="AX410" s="2" t="e">
        <f>VLOOKUP(L410,GLAPS정리!$V$3:$W$180,2,0)</f>
        <v>#N/A</v>
      </c>
      <c r="BM410" s="2" t="str">
        <f t="shared" si="98"/>
        <v xml:space="preserve"> </v>
      </c>
      <c r="BN410" s="2">
        <f t="shared" si="99"/>
        <v>1</v>
      </c>
      <c r="BR410" s="2" t="str">
        <f t="shared" si="100"/>
        <v/>
      </c>
      <c r="BS410" s="2" t="str">
        <f t="shared" si="101"/>
        <v/>
      </c>
      <c r="BV410" s="2" t="e">
        <f>VLOOKUP(O410,GLAPS정리!$BH$2:$BI$94,2,0)</f>
        <v>#N/A</v>
      </c>
      <c r="BW410" s="2" t="str">
        <f>IF(OR(Z410="동원",Z410="세방",Z410="한타"),"",IFERROR(INDEX(GLAPS정리!$BI$2:$BI$101,MATCH(Z410,GLAPS정리!$BH$2:$BH$101,0)),""))</f>
        <v/>
      </c>
      <c r="BX410" s="2" t="str">
        <f>IF(Z410="","",IFERROR(VLOOKUP(Z410,GLAPS정리!$AX$2:$AZ$17,3,0),""))</f>
        <v/>
      </c>
      <c r="BZ410" s="2" t="e">
        <f>VLOOKUP(H410,GLAPS정리!$L$3:$O$133,2,0)</f>
        <v>#N/A</v>
      </c>
      <c r="CA410" s="2" t="str">
        <f t="shared" si="102"/>
        <v/>
      </c>
      <c r="CL410" s="2" t="e">
        <f>VLOOKUP(AI410,GLAPS정리!$BT$3:$BV$26,3,0)</f>
        <v>#N/A</v>
      </c>
    </row>
    <row r="411" spans="2:90" ht="20.45" customHeight="1">
      <c r="B411" s="13"/>
      <c r="G411" s="3"/>
      <c r="J411" s="3"/>
      <c r="Q411" s="3" t="str">
        <f t="shared" si="90"/>
        <v/>
      </c>
      <c r="R411" s="3" t="str">
        <f t="shared" si="91"/>
        <v/>
      </c>
      <c r="S411" s="3" t="str">
        <f t="shared" si="92"/>
        <v/>
      </c>
      <c r="X411" s="13"/>
      <c r="Y411" s="13"/>
      <c r="Z411" s="91"/>
      <c r="AC411" s="2">
        <f t="shared" si="93"/>
        <v>20</v>
      </c>
      <c r="AD411" s="2" t="str">
        <f>IFERROR(INDEX(GLAPS정리!$D$2:$D$50,MATCH(I411,GLAPS정리!$A$2:$A$50,0)),IFERROR(INDEX(GLAPS정리!$D$2:$D$50,MATCH(I411,GLAPS정리!$B$2:$B$50,0)),""))</f>
        <v/>
      </c>
      <c r="AF411" s="2" t="str">
        <f t="shared" si="94"/>
        <v>KR10</v>
      </c>
      <c r="AI411" s="2" t="e">
        <f>VLOOKUP(F411,GLAPS정리!$G$3:$J$114,2,0)</f>
        <v>#N/A</v>
      </c>
      <c r="AJ411" s="2" t="e">
        <f>IF(Z411="울산정일","KRONS",IF(Z411="울산신항","KRUSN",IF(OR(Z411="선광종합물류(인천여객)",Z411="인천여객(인천여객)"),"KRINF",IF(OR(Z411="선광인천보세(인천신)",Z411="한진인천(인천신)",Z411="선광인천신항(인천신)",Z411="인천더로지스(인천신)"),"KRINN",IF(OR(Z411="인천진아(인천항)",Z411="인천E1(인천항)",Z411="인천SM경인터미널(인천항)",Z411="인천항(인천항)",Z411="인천우련(인천항)",Z411="인천항8부두(인천항)"),"KRINC",VLOOKUP(K411,GLAPS정리!$BB$2:$BC$33,2,0))))))</f>
        <v>#N/A</v>
      </c>
      <c r="AL411" s="2">
        <f t="shared" si="95"/>
        <v>5010001</v>
      </c>
      <c r="AN411" s="70" t="str">
        <f t="shared" si="96"/>
        <v>1900-01-00</v>
      </c>
      <c r="AO411" s="2" t="str">
        <f t="shared" si="97"/>
        <v/>
      </c>
      <c r="AP411" s="2" t="e">
        <f>VLOOKUP(C411,GLAPS정리!$AX$2:$AZ$17,3,0)</f>
        <v>#N/A</v>
      </c>
      <c r="AR411" s="2">
        <f t="shared" si="103"/>
        <v>0</v>
      </c>
      <c r="AX411" s="2" t="e">
        <f>VLOOKUP(L411,GLAPS정리!$V$3:$W$180,2,0)</f>
        <v>#N/A</v>
      </c>
      <c r="BM411" s="2" t="str">
        <f t="shared" si="98"/>
        <v xml:space="preserve"> </v>
      </c>
      <c r="BN411" s="2">
        <f t="shared" si="99"/>
        <v>1</v>
      </c>
      <c r="BR411" s="2" t="str">
        <f t="shared" si="100"/>
        <v/>
      </c>
      <c r="BS411" s="2" t="str">
        <f t="shared" si="101"/>
        <v/>
      </c>
      <c r="BV411" s="2" t="e">
        <f>VLOOKUP(O411,GLAPS정리!$BH$2:$BI$94,2,0)</f>
        <v>#N/A</v>
      </c>
      <c r="BW411" s="2" t="str">
        <f>IF(OR(Z411="동원",Z411="세방",Z411="한타"),"",IFERROR(INDEX(GLAPS정리!$BI$2:$BI$101,MATCH(Z411,GLAPS정리!$BH$2:$BH$101,0)),""))</f>
        <v/>
      </c>
      <c r="BX411" s="2" t="str">
        <f>IF(Z411="","",IFERROR(VLOOKUP(Z411,GLAPS정리!$AX$2:$AZ$17,3,0),""))</f>
        <v/>
      </c>
      <c r="BZ411" s="2" t="e">
        <f>VLOOKUP(H411,GLAPS정리!$L$3:$O$133,2,0)</f>
        <v>#N/A</v>
      </c>
      <c r="CA411" s="2" t="str">
        <f t="shared" si="102"/>
        <v/>
      </c>
      <c r="CL411" s="2" t="e">
        <f>VLOOKUP(AI411,GLAPS정리!$BT$3:$BV$26,3,0)</f>
        <v>#N/A</v>
      </c>
    </row>
    <row r="412" spans="2:90" ht="20.45" customHeight="1">
      <c r="B412" s="13"/>
      <c r="G412" s="3"/>
      <c r="J412" s="3"/>
      <c r="Q412" s="3" t="str">
        <f t="shared" si="90"/>
        <v/>
      </c>
      <c r="R412" s="3" t="str">
        <f t="shared" si="91"/>
        <v/>
      </c>
      <c r="S412" s="3" t="str">
        <f t="shared" si="92"/>
        <v/>
      </c>
      <c r="X412" s="13"/>
      <c r="Y412" s="13"/>
      <c r="Z412" s="91"/>
      <c r="AC412" s="2">
        <f t="shared" si="93"/>
        <v>20</v>
      </c>
      <c r="AD412" s="2" t="str">
        <f>IFERROR(INDEX(GLAPS정리!$D$2:$D$50,MATCH(I412,GLAPS정리!$A$2:$A$50,0)),IFERROR(INDEX(GLAPS정리!$D$2:$D$50,MATCH(I412,GLAPS정리!$B$2:$B$50,0)),""))</f>
        <v/>
      </c>
      <c r="AF412" s="2" t="str">
        <f t="shared" si="94"/>
        <v>KR10</v>
      </c>
      <c r="AI412" s="2" t="e">
        <f>VLOOKUP(F412,GLAPS정리!$G$3:$J$114,2,0)</f>
        <v>#N/A</v>
      </c>
      <c r="AJ412" s="2" t="e">
        <f>IF(Z412="울산정일","KRONS",IF(Z412="울산신항","KRUSN",IF(OR(Z412="선광종합물류(인천여객)",Z412="인천여객(인천여객)"),"KRINF",IF(OR(Z412="선광인천보세(인천신)",Z412="한진인천(인천신)",Z412="선광인천신항(인천신)",Z412="인천더로지스(인천신)"),"KRINN",IF(OR(Z412="인천진아(인천항)",Z412="인천E1(인천항)",Z412="인천SM경인터미널(인천항)",Z412="인천항(인천항)",Z412="인천우련(인천항)",Z412="인천항8부두(인천항)"),"KRINC",VLOOKUP(K412,GLAPS정리!$BB$2:$BC$33,2,0))))))</f>
        <v>#N/A</v>
      </c>
      <c r="AL412" s="2">
        <f t="shared" si="95"/>
        <v>5010001</v>
      </c>
      <c r="AN412" s="70" t="str">
        <f t="shared" si="96"/>
        <v>1900-01-00</v>
      </c>
      <c r="AO412" s="2" t="str">
        <f t="shared" si="97"/>
        <v/>
      </c>
      <c r="AP412" s="2" t="e">
        <f>VLOOKUP(C412,GLAPS정리!$AX$2:$AZ$17,3,0)</f>
        <v>#N/A</v>
      </c>
      <c r="AR412" s="2">
        <f t="shared" si="103"/>
        <v>0</v>
      </c>
      <c r="AX412" s="2" t="e">
        <f>VLOOKUP(L412,GLAPS정리!$V$3:$W$180,2,0)</f>
        <v>#N/A</v>
      </c>
      <c r="BM412" s="2" t="str">
        <f t="shared" si="98"/>
        <v xml:space="preserve"> </v>
      </c>
      <c r="BN412" s="2">
        <f t="shared" si="99"/>
        <v>1</v>
      </c>
      <c r="BR412" s="2" t="str">
        <f t="shared" si="100"/>
        <v/>
      </c>
      <c r="BS412" s="2" t="str">
        <f t="shared" si="101"/>
        <v/>
      </c>
      <c r="BV412" s="2" t="e">
        <f>VLOOKUP(O412,GLAPS정리!$BH$2:$BI$94,2,0)</f>
        <v>#N/A</v>
      </c>
      <c r="BW412" s="2" t="str">
        <f>IF(OR(Z412="동원",Z412="세방",Z412="한타"),"",IFERROR(INDEX(GLAPS정리!$BI$2:$BI$101,MATCH(Z412,GLAPS정리!$BH$2:$BH$101,0)),""))</f>
        <v/>
      </c>
      <c r="BX412" s="2" t="str">
        <f>IF(Z412="","",IFERROR(VLOOKUP(Z412,GLAPS정리!$AX$2:$AZ$17,3,0),""))</f>
        <v/>
      </c>
      <c r="BZ412" s="2" t="e">
        <f>VLOOKUP(H412,GLAPS정리!$L$3:$O$133,2,0)</f>
        <v>#N/A</v>
      </c>
      <c r="CA412" s="2" t="str">
        <f t="shared" si="102"/>
        <v/>
      </c>
      <c r="CL412" s="2" t="e">
        <f>VLOOKUP(AI412,GLAPS정리!$BT$3:$BV$26,3,0)</f>
        <v>#N/A</v>
      </c>
    </row>
    <row r="413" spans="2:90" ht="20.45" customHeight="1">
      <c r="B413" s="13"/>
      <c r="G413" s="3"/>
      <c r="J413" s="3"/>
      <c r="Q413" s="3" t="str">
        <f t="shared" si="90"/>
        <v/>
      </c>
      <c r="R413" s="3" t="str">
        <f t="shared" si="91"/>
        <v/>
      </c>
      <c r="S413" s="3" t="str">
        <f t="shared" si="92"/>
        <v/>
      </c>
      <c r="X413" s="13"/>
      <c r="Y413" s="13"/>
      <c r="Z413" s="91"/>
      <c r="AC413" s="2">
        <f t="shared" si="93"/>
        <v>20</v>
      </c>
      <c r="AD413" s="2" t="str">
        <f>IFERROR(INDEX(GLAPS정리!$D$2:$D$50,MATCH(I413,GLAPS정리!$A$2:$A$50,0)),IFERROR(INDEX(GLAPS정리!$D$2:$D$50,MATCH(I413,GLAPS정리!$B$2:$B$50,0)),""))</f>
        <v/>
      </c>
      <c r="AF413" s="2" t="str">
        <f t="shared" si="94"/>
        <v>KR10</v>
      </c>
      <c r="AI413" s="2" t="e">
        <f>VLOOKUP(F413,GLAPS정리!$G$3:$J$114,2,0)</f>
        <v>#N/A</v>
      </c>
      <c r="AJ413" s="2" t="e">
        <f>IF(Z413="울산정일","KRONS",IF(Z413="울산신항","KRUSN",IF(OR(Z413="선광종합물류(인천여객)",Z413="인천여객(인천여객)"),"KRINF",IF(OR(Z413="선광인천보세(인천신)",Z413="한진인천(인천신)",Z413="선광인천신항(인천신)",Z413="인천더로지스(인천신)"),"KRINN",IF(OR(Z413="인천진아(인천항)",Z413="인천E1(인천항)",Z413="인천SM경인터미널(인천항)",Z413="인천항(인천항)",Z413="인천우련(인천항)",Z413="인천항8부두(인천항)"),"KRINC",VLOOKUP(K413,GLAPS정리!$BB$2:$BC$33,2,0))))))</f>
        <v>#N/A</v>
      </c>
      <c r="AL413" s="2">
        <f t="shared" si="95"/>
        <v>5010001</v>
      </c>
      <c r="AN413" s="70" t="str">
        <f t="shared" si="96"/>
        <v>1900-01-00</v>
      </c>
      <c r="AO413" s="2" t="str">
        <f t="shared" si="97"/>
        <v/>
      </c>
      <c r="AP413" s="2" t="e">
        <f>VLOOKUP(C413,GLAPS정리!$AX$2:$AZ$17,3,0)</f>
        <v>#N/A</v>
      </c>
      <c r="AR413" s="2">
        <f t="shared" si="103"/>
        <v>0</v>
      </c>
      <c r="AX413" s="2" t="e">
        <f>VLOOKUP(L413,GLAPS정리!$V$3:$W$180,2,0)</f>
        <v>#N/A</v>
      </c>
      <c r="BM413" s="2" t="str">
        <f t="shared" si="98"/>
        <v xml:space="preserve"> </v>
      </c>
      <c r="BN413" s="2">
        <f t="shared" si="99"/>
        <v>1</v>
      </c>
      <c r="BR413" s="2" t="str">
        <f t="shared" si="100"/>
        <v/>
      </c>
      <c r="BS413" s="2" t="str">
        <f t="shared" si="101"/>
        <v/>
      </c>
      <c r="BV413" s="2" t="e">
        <f>VLOOKUP(O413,GLAPS정리!$BH$2:$BI$94,2,0)</f>
        <v>#N/A</v>
      </c>
      <c r="BW413" s="2" t="str">
        <f>IF(OR(Z413="동원",Z413="세방",Z413="한타"),"",IFERROR(INDEX(GLAPS정리!$BI$2:$BI$101,MATCH(Z413,GLAPS정리!$BH$2:$BH$101,0)),""))</f>
        <v/>
      </c>
      <c r="BX413" s="2" t="str">
        <f>IF(Z413="","",IFERROR(VLOOKUP(Z413,GLAPS정리!$AX$2:$AZ$17,3,0),""))</f>
        <v/>
      </c>
      <c r="BZ413" s="2" t="e">
        <f>VLOOKUP(H413,GLAPS정리!$L$3:$O$133,2,0)</f>
        <v>#N/A</v>
      </c>
      <c r="CA413" s="2" t="str">
        <f t="shared" si="102"/>
        <v/>
      </c>
      <c r="CL413" s="2" t="e">
        <f>VLOOKUP(AI413,GLAPS정리!$BT$3:$BV$26,3,0)</f>
        <v>#N/A</v>
      </c>
    </row>
    <row r="414" spans="2:90" ht="20.45" customHeight="1">
      <c r="B414" s="13"/>
      <c r="G414" s="3"/>
      <c r="J414" s="3"/>
      <c r="Q414" s="3" t="str">
        <f t="shared" si="90"/>
        <v/>
      </c>
      <c r="R414" s="3" t="str">
        <f t="shared" si="91"/>
        <v/>
      </c>
      <c r="S414" s="3" t="str">
        <f t="shared" si="92"/>
        <v/>
      </c>
      <c r="X414" s="13"/>
      <c r="Y414" s="13"/>
      <c r="Z414" s="91"/>
      <c r="AC414" s="2">
        <f t="shared" si="93"/>
        <v>20</v>
      </c>
      <c r="AD414" s="2" t="str">
        <f>IFERROR(INDEX(GLAPS정리!$D$2:$D$50,MATCH(I414,GLAPS정리!$A$2:$A$50,0)),IFERROR(INDEX(GLAPS정리!$D$2:$D$50,MATCH(I414,GLAPS정리!$B$2:$B$50,0)),""))</f>
        <v/>
      </c>
      <c r="AF414" s="2" t="str">
        <f t="shared" si="94"/>
        <v>KR10</v>
      </c>
      <c r="AI414" s="2" t="e">
        <f>VLOOKUP(F414,GLAPS정리!$G$3:$J$114,2,0)</f>
        <v>#N/A</v>
      </c>
      <c r="AJ414" s="2" t="e">
        <f>IF(Z414="울산정일","KRONS",IF(Z414="울산신항","KRUSN",IF(OR(Z414="선광종합물류(인천여객)",Z414="인천여객(인천여객)"),"KRINF",IF(OR(Z414="선광인천보세(인천신)",Z414="한진인천(인천신)",Z414="선광인천신항(인천신)",Z414="인천더로지스(인천신)"),"KRINN",IF(OR(Z414="인천진아(인천항)",Z414="인천E1(인천항)",Z414="인천SM경인터미널(인천항)",Z414="인천항(인천항)",Z414="인천우련(인천항)",Z414="인천항8부두(인천항)"),"KRINC",VLOOKUP(K414,GLAPS정리!$BB$2:$BC$33,2,0))))))</f>
        <v>#N/A</v>
      </c>
      <c r="AL414" s="2">
        <f t="shared" si="95"/>
        <v>5010001</v>
      </c>
      <c r="AN414" s="70" t="str">
        <f t="shared" si="96"/>
        <v>1900-01-00</v>
      </c>
      <c r="AO414" s="2" t="str">
        <f t="shared" si="97"/>
        <v/>
      </c>
      <c r="AP414" s="2" t="e">
        <f>VLOOKUP(C414,GLAPS정리!$AX$2:$AZ$17,3,0)</f>
        <v>#N/A</v>
      </c>
      <c r="AR414" s="2">
        <f t="shared" si="103"/>
        <v>0</v>
      </c>
      <c r="AX414" s="2" t="e">
        <f>VLOOKUP(L414,GLAPS정리!$V$3:$W$180,2,0)</f>
        <v>#N/A</v>
      </c>
      <c r="BM414" s="2" t="str">
        <f t="shared" si="98"/>
        <v xml:space="preserve"> </v>
      </c>
      <c r="BN414" s="2">
        <f t="shared" si="99"/>
        <v>1</v>
      </c>
      <c r="BR414" s="2" t="str">
        <f t="shared" si="100"/>
        <v/>
      </c>
      <c r="BS414" s="2" t="str">
        <f t="shared" si="101"/>
        <v/>
      </c>
      <c r="BV414" s="2" t="e">
        <f>VLOOKUP(O414,GLAPS정리!$BH$2:$BI$94,2,0)</f>
        <v>#N/A</v>
      </c>
      <c r="BW414" s="2" t="str">
        <f>IF(OR(Z414="동원",Z414="세방",Z414="한타"),"",IFERROR(INDEX(GLAPS정리!$BI$2:$BI$101,MATCH(Z414,GLAPS정리!$BH$2:$BH$101,0)),""))</f>
        <v/>
      </c>
      <c r="BX414" s="2" t="str">
        <f>IF(Z414="","",IFERROR(VLOOKUP(Z414,GLAPS정리!$AX$2:$AZ$17,3,0),""))</f>
        <v/>
      </c>
      <c r="BZ414" s="2" t="e">
        <f>VLOOKUP(H414,GLAPS정리!$L$3:$O$133,2,0)</f>
        <v>#N/A</v>
      </c>
      <c r="CA414" s="2" t="str">
        <f t="shared" si="102"/>
        <v/>
      </c>
      <c r="CL414" s="2" t="e">
        <f>VLOOKUP(AI414,GLAPS정리!$BT$3:$BV$26,3,0)</f>
        <v>#N/A</v>
      </c>
    </row>
    <row r="415" spans="2:90" ht="20.45" customHeight="1">
      <c r="B415" s="13"/>
      <c r="G415" s="3"/>
      <c r="J415" s="3"/>
      <c r="Q415" s="3" t="str">
        <f t="shared" si="90"/>
        <v/>
      </c>
      <c r="R415" s="3" t="str">
        <f t="shared" si="91"/>
        <v/>
      </c>
      <c r="S415" s="3" t="str">
        <f t="shared" si="92"/>
        <v/>
      </c>
      <c r="X415" s="13"/>
      <c r="Y415" s="13"/>
      <c r="Z415" s="91"/>
      <c r="AC415" s="2">
        <f t="shared" si="93"/>
        <v>20</v>
      </c>
      <c r="AD415" s="2" t="str">
        <f>IFERROR(INDEX(GLAPS정리!$D$2:$D$50,MATCH(I415,GLAPS정리!$A$2:$A$50,0)),IFERROR(INDEX(GLAPS정리!$D$2:$D$50,MATCH(I415,GLAPS정리!$B$2:$B$50,0)),""))</f>
        <v/>
      </c>
      <c r="AF415" s="2" t="str">
        <f t="shared" si="94"/>
        <v>KR10</v>
      </c>
      <c r="AI415" s="2" t="e">
        <f>VLOOKUP(F415,GLAPS정리!$G$3:$J$114,2,0)</f>
        <v>#N/A</v>
      </c>
      <c r="AJ415" s="2" t="e">
        <f>IF(Z415="울산정일","KRONS",IF(Z415="울산신항","KRUSN",IF(OR(Z415="선광종합물류(인천여객)",Z415="인천여객(인천여객)"),"KRINF",IF(OR(Z415="선광인천보세(인천신)",Z415="한진인천(인천신)",Z415="선광인천신항(인천신)",Z415="인천더로지스(인천신)"),"KRINN",IF(OR(Z415="인천진아(인천항)",Z415="인천E1(인천항)",Z415="인천SM경인터미널(인천항)",Z415="인천항(인천항)",Z415="인천우련(인천항)",Z415="인천항8부두(인천항)"),"KRINC",VLOOKUP(K415,GLAPS정리!$BB$2:$BC$33,2,0))))))</f>
        <v>#N/A</v>
      </c>
      <c r="AL415" s="2">
        <f t="shared" si="95"/>
        <v>5010001</v>
      </c>
      <c r="AN415" s="70" t="str">
        <f t="shared" si="96"/>
        <v>1900-01-00</v>
      </c>
      <c r="AO415" s="2" t="str">
        <f t="shared" si="97"/>
        <v/>
      </c>
      <c r="AP415" s="2" t="e">
        <f>VLOOKUP(C415,GLAPS정리!$AX$2:$AZ$17,3,0)</f>
        <v>#N/A</v>
      </c>
      <c r="AR415" s="2">
        <f t="shared" si="103"/>
        <v>0</v>
      </c>
      <c r="AX415" s="2" t="e">
        <f>VLOOKUP(L415,GLAPS정리!$V$3:$W$180,2,0)</f>
        <v>#N/A</v>
      </c>
      <c r="BM415" s="2" t="str">
        <f t="shared" si="98"/>
        <v xml:space="preserve"> </v>
      </c>
      <c r="BN415" s="2">
        <f t="shared" si="99"/>
        <v>1</v>
      </c>
      <c r="BR415" s="2" t="str">
        <f t="shared" si="100"/>
        <v/>
      </c>
      <c r="BS415" s="2" t="str">
        <f t="shared" si="101"/>
        <v/>
      </c>
      <c r="BV415" s="2" t="e">
        <f>VLOOKUP(O415,GLAPS정리!$BH$2:$BI$94,2,0)</f>
        <v>#N/A</v>
      </c>
      <c r="BW415" s="2" t="str">
        <f>IF(OR(Z415="동원",Z415="세방",Z415="한타"),"",IFERROR(INDEX(GLAPS정리!$BI$2:$BI$101,MATCH(Z415,GLAPS정리!$BH$2:$BH$101,0)),""))</f>
        <v/>
      </c>
      <c r="BX415" s="2" t="str">
        <f>IF(Z415="","",IFERROR(VLOOKUP(Z415,GLAPS정리!$AX$2:$AZ$17,3,0),""))</f>
        <v/>
      </c>
      <c r="BZ415" s="2" t="e">
        <f>VLOOKUP(H415,GLAPS정리!$L$3:$O$133,2,0)</f>
        <v>#N/A</v>
      </c>
      <c r="CA415" s="2" t="str">
        <f t="shared" si="102"/>
        <v/>
      </c>
      <c r="CL415" s="2" t="e">
        <f>VLOOKUP(AI415,GLAPS정리!$BT$3:$BV$26,3,0)</f>
        <v>#N/A</v>
      </c>
    </row>
    <row r="416" spans="2:90" ht="20.45" customHeight="1">
      <c r="B416" s="13"/>
      <c r="G416" s="3"/>
      <c r="J416" s="3"/>
      <c r="Q416" s="3" t="str">
        <f t="shared" si="90"/>
        <v/>
      </c>
      <c r="R416" s="3" t="str">
        <f t="shared" si="91"/>
        <v/>
      </c>
      <c r="S416" s="3" t="str">
        <f t="shared" si="92"/>
        <v/>
      </c>
      <c r="X416" s="13"/>
      <c r="Y416" s="13"/>
      <c r="Z416" s="91"/>
      <c r="AC416" s="2">
        <f t="shared" si="93"/>
        <v>20</v>
      </c>
      <c r="AD416" s="2" t="str">
        <f>IFERROR(INDEX(GLAPS정리!$D$2:$D$50,MATCH(I416,GLAPS정리!$A$2:$A$50,0)),IFERROR(INDEX(GLAPS정리!$D$2:$D$50,MATCH(I416,GLAPS정리!$B$2:$B$50,0)),""))</f>
        <v/>
      </c>
      <c r="AF416" s="2" t="str">
        <f t="shared" si="94"/>
        <v>KR10</v>
      </c>
      <c r="AI416" s="2" t="e">
        <f>VLOOKUP(F416,GLAPS정리!$G$3:$J$114,2,0)</f>
        <v>#N/A</v>
      </c>
      <c r="AJ416" s="2" t="e">
        <f>IF(Z416="울산정일","KRONS",IF(Z416="울산신항","KRUSN",IF(OR(Z416="선광종합물류(인천여객)",Z416="인천여객(인천여객)"),"KRINF",IF(OR(Z416="선광인천보세(인천신)",Z416="한진인천(인천신)",Z416="선광인천신항(인천신)",Z416="인천더로지스(인천신)"),"KRINN",IF(OR(Z416="인천진아(인천항)",Z416="인천E1(인천항)",Z416="인천SM경인터미널(인천항)",Z416="인천항(인천항)",Z416="인천우련(인천항)",Z416="인천항8부두(인천항)"),"KRINC",VLOOKUP(K416,GLAPS정리!$BB$2:$BC$33,2,0))))))</f>
        <v>#N/A</v>
      </c>
      <c r="AL416" s="2">
        <f t="shared" si="95"/>
        <v>5010001</v>
      </c>
      <c r="AN416" s="70" t="str">
        <f t="shared" si="96"/>
        <v>1900-01-00</v>
      </c>
      <c r="AO416" s="2" t="str">
        <f t="shared" si="97"/>
        <v/>
      </c>
      <c r="AP416" s="2" t="e">
        <f>VLOOKUP(C416,GLAPS정리!$AX$2:$AZ$17,3,0)</f>
        <v>#N/A</v>
      </c>
      <c r="AR416" s="2">
        <f t="shared" si="103"/>
        <v>0</v>
      </c>
      <c r="AX416" s="2" t="e">
        <f>VLOOKUP(L416,GLAPS정리!$V$3:$W$180,2,0)</f>
        <v>#N/A</v>
      </c>
      <c r="BM416" s="2" t="str">
        <f t="shared" si="98"/>
        <v xml:space="preserve"> </v>
      </c>
      <c r="BN416" s="2">
        <f t="shared" si="99"/>
        <v>1</v>
      </c>
      <c r="BR416" s="2" t="str">
        <f t="shared" si="100"/>
        <v/>
      </c>
      <c r="BS416" s="2" t="str">
        <f t="shared" si="101"/>
        <v/>
      </c>
      <c r="BV416" s="2" t="e">
        <f>VLOOKUP(O416,GLAPS정리!$BH$2:$BI$94,2,0)</f>
        <v>#N/A</v>
      </c>
      <c r="BW416" s="2" t="str">
        <f>IF(OR(Z416="동원",Z416="세방",Z416="한타"),"",IFERROR(INDEX(GLAPS정리!$BI$2:$BI$101,MATCH(Z416,GLAPS정리!$BH$2:$BH$101,0)),""))</f>
        <v/>
      </c>
      <c r="BX416" s="2" t="str">
        <f>IF(Z416="","",IFERROR(VLOOKUP(Z416,GLAPS정리!$AX$2:$AZ$17,3,0),""))</f>
        <v/>
      </c>
      <c r="BZ416" s="2" t="e">
        <f>VLOOKUP(H416,GLAPS정리!$L$3:$O$133,2,0)</f>
        <v>#N/A</v>
      </c>
      <c r="CA416" s="2" t="str">
        <f t="shared" si="102"/>
        <v/>
      </c>
      <c r="CL416" s="2" t="e">
        <f>VLOOKUP(AI416,GLAPS정리!$BT$3:$BV$26,3,0)</f>
        <v>#N/A</v>
      </c>
    </row>
    <row r="417" spans="2:90" ht="20.45" customHeight="1">
      <c r="B417" s="13"/>
      <c r="G417" s="3"/>
      <c r="J417" s="3"/>
      <c r="Q417" s="3" t="str">
        <f t="shared" si="90"/>
        <v/>
      </c>
      <c r="R417" s="3" t="str">
        <f t="shared" si="91"/>
        <v/>
      </c>
      <c r="S417" s="3" t="str">
        <f t="shared" si="92"/>
        <v/>
      </c>
      <c r="X417" s="13"/>
      <c r="Y417" s="13"/>
      <c r="Z417" s="91"/>
      <c r="AC417" s="2">
        <f t="shared" si="93"/>
        <v>20</v>
      </c>
      <c r="AD417" s="2" t="str">
        <f>IFERROR(INDEX(GLAPS정리!$D$2:$D$50,MATCH(I417,GLAPS정리!$A$2:$A$50,0)),IFERROR(INDEX(GLAPS정리!$D$2:$D$50,MATCH(I417,GLAPS정리!$B$2:$B$50,0)),""))</f>
        <v/>
      </c>
      <c r="AF417" s="2" t="str">
        <f t="shared" si="94"/>
        <v>KR10</v>
      </c>
      <c r="AI417" s="2" t="e">
        <f>VLOOKUP(F417,GLAPS정리!$G$3:$J$114,2,0)</f>
        <v>#N/A</v>
      </c>
      <c r="AJ417" s="2" t="e">
        <f>IF(Z417="울산정일","KRONS",IF(Z417="울산신항","KRUSN",IF(OR(Z417="선광종합물류(인천여객)",Z417="인천여객(인천여객)"),"KRINF",IF(OR(Z417="선광인천보세(인천신)",Z417="한진인천(인천신)",Z417="선광인천신항(인천신)",Z417="인천더로지스(인천신)"),"KRINN",IF(OR(Z417="인천진아(인천항)",Z417="인천E1(인천항)",Z417="인천SM경인터미널(인천항)",Z417="인천항(인천항)",Z417="인천우련(인천항)",Z417="인천항8부두(인천항)"),"KRINC",VLOOKUP(K417,GLAPS정리!$BB$2:$BC$33,2,0))))))</f>
        <v>#N/A</v>
      </c>
      <c r="AL417" s="2">
        <f t="shared" si="95"/>
        <v>5010001</v>
      </c>
      <c r="AN417" s="70" t="str">
        <f t="shared" si="96"/>
        <v>1900-01-00</v>
      </c>
      <c r="AO417" s="2" t="str">
        <f t="shared" si="97"/>
        <v/>
      </c>
      <c r="AP417" s="2" t="e">
        <f>VLOOKUP(C417,GLAPS정리!$AX$2:$AZ$17,3,0)</f>
        <v>#N/A</v>
      </c>
      <c r="AR417" s="2">
        <f t="shared" si="103"/>
        <v>0</v>
      </c>
      <c r="AX417" s="2" t="e">
        <f>VLOOKUP(L417,GLAPS정리!$V$3:$W$180,2,0)</f>
        <v>#N/A</v>
      </c>
      <c r="BM417" s="2" t="str">
        <f t="shared" si="98"/>
        <v xml:space="preserve"> </v>
      </c>
      <c r="BN417" s="2">
        <f t="shared" si="99"/>
        <v>1</v>
      </c>
      <c r="BR417" s="2" t="str">
        <f t="shared" si="100"/>
        <v/>
      </c>
      <c r="BS417" s="2" t="str">
        <f t="shared" si="101"/>
        <v/>
      </c>
      <c r="BV417" s="2" t="e">
        <f>VLOOKUP(O417,GLAPS정리!$BH$2:$BI$94,2,0)</f>
        <v>#N/A</v>
      </c>
      <c r="BW417" s="2" t="str">
        <f>IF(OR(Z417="동원",Z417="세방",Z417="한타"),"",IFERROR(INDEX(GLAPS정리!$BI$2:$BI$101,MATCH(Z417,GLAPS정리!$BH$2:$BH$101,0)),""))</f>
        <v/>
      </c>
      <c r="BX417" s="2" t="str">
        <f>IF(Z417="","",IFERROR(VLOOKUP(Z417,GLAPS정리!$AX$2:$AZ$17,3,0),""))</f>
        <v/>
      </c>
      <c r="BZ417" s="2" t="e">
        <f>VLOOKUP(H417,GLAPS정리!$L$3:$O$133,2,0)</f>
        <v>#N/A</v>
      </c>
      <c r="CA417" s="2" t="str">
        <f t="shared" si="102"/>
        <v/>
      </c>
      <c r="CL417" s="2" t="e">
        <f>VLOOKUP(AI417,GLAPS정리!$BT$3:$BV$26,3,0)</f>
        <v>#N/A</v>
      </c>
    </row>
    <row r="418" spans="2:90" ht="20.45" customHeight="1">
      <c r="B418" s="13"/>
      <c r="G418" s="3"/>
      <c r="J418" s="3"/>
      <c r="Q418" s="3" t="str">
        <f t="shared" si="90"/>
        <v/>
      </c>
      <c r="R418" s="3" t="str">
        <f t="shared" si="91"/>
        <v/>
      </c>
      <c r="S418" s="3" t="str">
        <f t="shared" si="92"/>
        <v/>
      </c>
      <c r="X418" s="13"/>
      <c r="Y418" s="13"/>
      <c r="Z418" s="91"/>
      <c r="AC418" s="2">
        <f t="shared" si="93"/>
        <v>20</v>
      </c>
      <c r="AD418" s="2" t="str">
        <f>IFERROR(INDEX(GLAPS정리!$D$2:$D$50,MATCH(I418,GLAPS정리!$A$2:$A$50,0)),IFERROR(INDEX(GLAPS정리!$D$2:$D$50,MATCH(I418,GLAPS정리!$B$2:$B$50,0)),""))</f>
        <v/>
      </c>
      <c r="AF418" s="2" t="str">
        <f t="shared" si="94"/>
        <v>KR10</v>
      </c>
      <c r="AI418" s="2" t="e">
        <f>VLOOKUP(F418,GLAPS정리!$G$3:$J$114,2,0)</f>
        <v>#N/A</v>
      </c>
      <c r="AJ418" s="2" t="e">
        <f>IF(Z418="울산정일","KRONS",IF(Z418="울산신항","KRUSN",IF(OR(Z418="선광종합물류(인천여객)",Z418="인천여객(인천여객)"),"KRINF",IF(OR(Z418="선광인천보세(인천신)",Z418="한진인천(인천신)",Z418="선광인천신항(인천신)",Z418="인천더로지스(인천신)"),"KRINN",IF(OR(Z418="인천진아(인천항)",Z418="인천E1(인천항)",Z418="인천SM경인터미널(인천항)",Z418="인천항(인천항)",Z418="인천우련(인천항)",Z418="인천항8부두(인천항)"),"KRINC",VLOOKUP(K418,GLAPS정리!$BB$2:$BC$33,2,0))))))</f>
        <v>#N/A</v>
      </c>
      <c r="AL418" s="2">
        <f t="shared" si="95"/>
        <v>5010001</v>
      </c>
      <c r="AN418" s="70" t="str">
        <f t="shared" si="96"/>
        <v>1900-01-00</v>
      </c>
      <c r="AO418" s="2" t="str">
        <f t="shared" si="97"/>
        <v/>
      </c>
      <c r="AP418" s="2" t="e">
        <f>VLOOKUP(C418,GLAPS정리!$AX$2:$AZ$17,3,0)</f>
        <v>#N/A</v>
      </c>
      <c r="AR418" s="2">
        <f t="shared" si="103"/>
        <v>0</v>
      </c>
      <c r="AX418" s="2" t="e">
        <f>VLOOKUP(L418,GLAPS정리!$V$3:$W$180,2,0)</f>
        <v>#N/A</v>
      </c>
      <c r="BM418" s="2" t="str">
        <f t="shared" si="98"/>
        <v xml:space="preserve"> </v>
      </c>
      <c r="BN418" s="2">
        <f t="shared" si="99"/>
        <v>1</v>
      </c>
      <c r="BR418" s="2" t="str">
        <f t="shared" si="100"/>
        <v/>
      </c>
      <c r="BS418" s="2" t="str">
        <f t="shared" si="101"/>
        <v/>
      </c>
      <c r="BV418" s="2" t="e">
        <f>VLOOKUP(O418,GLAPS정리!$BH$2:$BI$94,2,0)</f>
        <v>#N/A</v>
      </c>
      <c r="BW418" s="2" t="str">
        <f>IF(OR(Z418="동원",Z418="세방",Z418="한타"),"",IFERROR(INDEX(GLAPS정리!$BI$2:$BI$101,MATCH(Z418,GLAPS정리!$BH$2:$BH$101,0)),""))</f>
        <v/>
      </c>
      <c r="BX418" s="2" t="str">
        <f>IF(Z418="","",IFERROR(VLOOKUP(Z418,GLAPS정리!$AX$2:$AZ$17,3,0),""))</f>
        <v/>
      </c>
      <c r="BZ418" s="2" t="e">
        <f>VLOOKUP(H418,GLAPS정리!$L$3:$O$133,2,0)</f>
        <v>#N/A</v>
      </c>
      <c r="CA418" s="2" t="str">
        <f t="shared" si="102"/>
        <v/>
      </c>
      <c r="CL418" s="2" t="e">
        <f>VLOOKUP(AI418,GLAPS정리!$BT$3:$BV$26,3,0)</f>
        <v>#N/A</v>
      </c>
    </row>
    <row r="419" spans="2:90" ht="20.45" customHeight="1">
      <c r="B419" s="13"/>
      <c r="G419" s="3"/>
      <c r="J419" s="3"/>
      <c r="Q419" s="3" t="str">
        <f t="shared" si="90"/>
        <v/>
      </c>
      <c r="R419" s="3" t="str">
        <f t="shared" si="91"/>
        <v/>
      </c>
      <c r="S419" s="3" t="str">
        <f t="shared" si="92"/>
        <v/>
      </c>
      <c r="X419" s="13"/>
      <c r="Y419" s="13"/>
      <c r="Z419" s="91"/>
      <c r="AC419" s="2">
        <f t="shared" si="93"/>
        <v>20</v>
      </c>
      <c r="AD419" s="2" t="str">
        <f>IFERROR(INDEX(GLAPS정리!$D$2:$D$50,MATCH(I419,GLAPS정리!$A$2:$A$50,0)),IFERROR(INDEX(GLAPS정리!$D$2:$D$50,MATCH(I419,GLAPS정리!$B$2:$B$50,0)),""))</f>
        <v/>
      </c>
      <c r="AF419" s="2" t="str">
        <f t="shared" si="94"/>
        <v>KR10</v>
      </c>
      <c r="AI419" s="2" t="e">
        <f>VLOOKUP(F419,GLAPS정리!$G$3:$J$114,2,0)</f>
        <v>#N/A</v>
      </c>
      <c r="AJ419" s="2" t="e">
        <f>IF(Z419="울산정일","KRONS",IF(Z419="울산신항","KRUSN",IF(OR(Z419="선광종합물류(인천여객)",Z419="인천여객(인천여객)"),"KRINF",IF(OR(Z419="선광인천보세(인천신)",Z419="한진인천(인천신)",Z419="선광인천신항(인천신)",Z419="인천더로지스(인천신)"),"KRINN",IF(OR(Z419="인천진아(인천항)",Z419="인천E1(인천항)",Z419="인천SM경인터미널(인천항)",Z419="인천항(인천항)",Z419="인천우련(인천항)",Z419="인천항8부두(인천항)"),"KRINC",VLOOKUP(K419,GLAPS정리!$BB$2:$BC$33,2,0))))))</f>
        <v>#N/A</v>
      </c>
      <c r="AL419" s="2">
        <f t="shared" si="95"/>
        <v>5010001</v>
      </c>
      <c r="AN419" s="70" t="str">
        <f t="shared" si="96"/>
        <v>1900-01-00</v>
      </c>
      <c r="AO419" s="2" t="str">
        <f t="shared" si="97"/>
        <v/>
      </c>
      <c r="AP419" s="2" t="e">
        <f>VLOOKUP(C419,GLAPS정리!$AX$2:$AZ$17,3,0)</f>
        <v>#N/A</v>
      </c>
      <c r="AR419" s="2">
        <f t="shared" si="103"/>
        <v>0</v>
      </c>
      <c r="AX419" s="2" t="e">
        <f>VLOOKUP(L419,GLAPS정리!$V$3:$W$180,2,0)</f>
        <v>#N/A</v>
      </c>
      <c r="BM419" s="2" t="str">
        <f t="shared" si="98"/>
        <v xml:space="preserve"> </v>
      </c>
      <c r="BN419" s="2">
        <f t="shared" si="99"/>
        <v>1</v>
      </c>
      <c r="BR419" s="2" t="str">
        <f t="shared" si="100"/>
        <v/>
      </c>
      <c r="BS419" s="2" t="str">
        <f t="shared" si="101"/>
        <v/>
      </c>
      <c r="BV419" s="2" t="e">
        <f>VLOOKUP(O419,GLAPS정리!$BH$2:$BI$94,2,0)</f>
        <v>#N/A</v>
      </c>
      <c r="BW419" s="2" t="str">
        <f>IF(OR(Z419="동원",Z419="세방",Z419="한타"),"",IFERROR(INDEX(GLAPS정리!$BI$2:$BI$101,MATCH(Z419,GLAPS정리!$BH$2:$BH$101,0)),""))</f>
        <v/>
      </c>
      <c r="BX419" s="2" t="str">
        <f>IF(Z419="","",IFERROR(VLOOKUP(Z419,GLAPS정리!$AX$2:$AZ$17,3,0),""))</f>
        <v/>
      </c>
      <c r="BZ419" s="2" t="e">
        <f>VLOOKUP(H419,GLAPS정리!$L$3:$O$133,2,0)</f>
        <v>#N/A</v>
      </c>
      <c r="CA419" s="2" t="str">
        <f t="shared" si="102"/>
        <v/>
      </c>
      <c r="CL419" s="2" t="e">
        <f>VLOOKUP(AI419,GLAPS정리!$BT$3:$BV$26,3,0)</f>
        <v>#N/A</v>
      </c>
    </row>
    <row r="420" spans="2:90" ht="20.45" customHeight="1">
      <c r="B420" s="13"/>
      <c r="G420" s="3"/>
      <c r="J420" s="3"/>
      <c r="Q420" s="3" t="str">
        <f t="shared" si="90"/>
        <v/>
      </c>
      <c r="R420" s="3" t="str">
        <f t="shared" si="91"/>
        <v/>
      </c>
      <c r="S420" s="3" t="str">
        <f t="shared" si="92"/>
        <v/>
      </c>
      <c r="X420" s="13"/>
      <c r="Y420" s="13"/>
      <c r="Z420" s="91"/>
      <c r="AC420" s="2">
        <f t="shared" si="93"/>
        <v>20</v>
      </c>
      <c r="AD420" s="2" t="str">
        <f>IFERROR(INDEX(GLAPS정리!$D$2:$D$50,MATCH(I420,GLAPS정리!$A$2:$A$50,0)),IFERROR(INDEX(GLAPS정리!$D$2:$D$50,MATCH(I420,GLAPS정리!$B$2:$B$50,0)),""))</f>
        <v/>
      </c>
      <c r="AF420" s="2" t="str">
        <f t="shared" si="94"/>
        <v>KR10</v>
      </c>
      <c r="AI420" s="2" t="e">
        <f>VLOOKUP(F420,GLAPS정리!$G$3:$J$114,2,0)</f>
        <v>#N/A</v>
      </c>
      <c r="AJ420" s="2" t="e">
        <f>IF(Z420="울산정일","KRONS",IF(Z420="울산신항","KRUSN",IF(OR(Z420="선광종합물류(인천여객)",Z420="인천여객(인천여객)"),"KRINF",IF(OR(Z420="선광인천보세(인천신)",Z420="한진인천(인천신)",Z420="선광인천신항(인천신)",Z420="인천더로지스(인천신)"),"KRINN",IF(OR(Z420="인천진아(인천항)",Z420="인천E1(인천항)",Z420="인천SM경인터미널(인천항)",Z420="인천항(인천항)",Z420="인천우련(인천항)",Z420="인천항8부두(인천항)"),"KRINC",VLOOKUP(K420,GLAPS정리!$BB$2:$BC$33,2,0))))))</f>
        <v>#N/A</v>
      </c>
      <c r="AL420" s="2">
        <f t="shared" si="95"/>
        <v>5010001</v>
      </c>
      <c r="AN420" s="70" t="str">
        <f t="shared" si="96"/>
        <v>1900-01-00</v>
      </c>
      <c r="AO420" s="2" t="str">
        <f t="shared" si="97"/>
        <v/>
      </c>
      <c r="AP420" s="2" t="e">
        <f>VLOOKUP(C420,GLAPS정리!$AX$2:$AZ$17,3,0)</f>
        <v>#N/A</v>
      </c>
      <c r="AR420" s="2">
        <f t="shared" si="103"/>
        <v>0</v>
      </c>
      <c r="AX420" s="2" t="e">
        <f>VLOOKUP(L420,GLAPS정리!$V$3:$W$180,2,0)</f>
        <v>#N/A</v>
      </c>
      <c r="BM420" s="2" t="str">
        <f t="shared" si="98"/>
        <v xml:space="preserve"> </v>
      </c>
      <c r="BN420" s="2">
        <f t="shared" si="99"/>
        <v>1</v>
      </c>
      <c r="BR420" s="2" t="str">
        <f t="shared" si="100"/>
        <v/>
      </c>
      <c r="BS420" s="2" t="str">
        <f t="shared" si="101"/>
        <v/>
      </c>
      <c r="BV420" s="2" t="e">
        <f>VLOOKUP(O420,GLAPS정리!$BH$2:$BI$94,2,0)</f>
        <v>#N/A</v>
      </c>
      <c r="BW420" s="2" t="str">
        <f>IF(OR(Z420="동원",Z420="세방",Z420="한타"),"",IFERROR(INDEX(GLAPS정리!$BI$2:$BI$101,MATCH(Z420,GLAPS정리!$BH$2:$BH$101,0)),""))</f>
        <v/>
      </c>
      <c r="BX420" s="2" t="str">
        <f>IF(Z420="","",IFERROR(VLOOKUP(Z420,GLAPS정리!$AX$2:$AZ$17,3,0),""))</f>
        <v/>
      </c>
      <c r="BZ420" s="2" t="e">
        <f>VLOOKUP(H420,GLAPS정리!$L$3:$O$133,2,0)</f>
        <v>#N/A</v>
      </c>
      <c r="CA420" s="2" t="str">
        <f t="shared" si="102"/>
        <v/>
      </c>
      <c r="CL420" s="2" t="e">
        <f>VLOOKUP(AI420,GLAPS정리!$BT$3:$BV$26,3,0)</f>
        <v>#N/A</v>
      </c>
    </row>
    <row r="421" spans="2:90" ht="20.45" customHeight="1">
      <c r="B421" s="13"/>
      <c r="G421" s="3"/>
      <c r="J421" s="3"/>
      <c r="Q421" s="3" t="str">
        <f t="shared" si="90"/>
        <v/>
      </c>
      <c r="R421" s="3" t="str">
        <f t="shared" si="91"/>
        <v/>
      </c>
      <c r="S421" s="3" t="str">
        <f t="shared" si="92"/>
        <v/>
      </c>
      <c r="X421" s="13"/>
      <c r="Y421" s="13"/>
      <c r="Z421" s="91"/>
      <c r="AC421" s="2">
        <f t="shared" si="93"/>
        <v>20</v>
      </c>
      <c r="AD421" s="2" t="str">
        <f>IFERROR(INDEX(GLAPS정리!$D$2:$D$50,MATCH(I421,GLAPS정리!$A$2:$A$50,0)),IFERROR(INDEX(GLAPS정리!$D$2:$D$50,MATCH(I421,GLAPS정리!$B$2:$B$50,0)),""))</f>
        <v/>
      </c>
      <c r="AF421" s="2" t="str">
        <f t="shared" si="94"/>
        <v>KR10</v>
      </c>
      <c r="AI421" s="2" t="e">
        <f>VLOOKUP(F421,GLAPS정리!$G$3:$J$114,2,0)</f>
        <v>#N/A</v>
      </c>
      <c r="AJ421" s="2" t="e">
        <f>IF(Z421="울산정일","KRONS",IF(Z421="울산신항","KRUSN",IF(OR(Z421="선광종합물류(인천여객)",Z421="인천여객(인천여객)"),"KRINF",IF(OR(Z421="선광인천보세(인천신)",Z421="한진인천(인천신)",Z421="선광인천신항(인천신)",Z421="인천더로지스(인천신)"),"KRINN",IF(OR(Z421="인천진아(인천항)",Z421="인천E1(인천항)",Z421="인천SM경인터미널(인천항)",Z421="인천항(인천항)",Z421="인천우련(인천항)",Z421="인천항8부두(인천항)"),"KRINC",VLOOKUP(K421,GLAPS정리!$BB$2:$BC$33,2,0))))))</f>
        <v>#N/A</v>
      </c>
      <c r="AL421" s="2">
        <f t="shared" si="95"/>
        <v>5010001</v>
      </c>
      <c r="AN421" s="70" t="str">
        <f t="shared" si="96"/>
        <v>1900-01-00</v>
      </c>
      <c r="AO421" s="2" t="str">
        <f t="shared" si="97"/>
        <v/>
      </c>
      <c r="AP421" s="2" t="e">
        <f>VLOOKUP(C421,GLAPS정리!$AX$2:$AZ$17,3,0)</f>
        <v>#N/A</v>
      </c>
      <c r="AR421" s="2">
        <f t="shared" si="103"/>
        <v>0</v>
      </c>
      <c r="AX421" s="2" t="e">
        <f>VLOOKUP(L421,GLAPS정리!$V$3:$W$180,2,0)</f>
        <v>#N/A</v>
      </c>
      <c r="BM421" s="2" t="str">
        <f t="shared" si="98"/>
        <v xml:space="preserve"> </v>
      </c>
      <c r="BN421" s="2">
        <f t="shared" si="99"/>
        <v>1</v>
      </c>
      <c r="BR421" s="2" t="str">
        <f t="shared" si="100"/>
        <v/>
      </c>
      <c r="BS421" s="2" t="str">
        <f t="shared" si="101"/>
        <v/>
      </c>
      <c r="BV421" s="2" t="e">
        <f>VLOOKUP(O421,GLAPS정리!$BH$2:$BI$94,2,0)</f>
        <v>#N/A</v>
      </c>
      <c r="BW421" s="2" t="str">
        <f>IF(OR(Z421="동원",Z421="세방",Z421="한타"),"",IFERROR(INDEX(GLAPS정리!$BI$2:$BI$101,MATCH(Z421,GLAPS정리!$BH$2:$BH$101,0)),""))</f>
        <v/>
      </c>
      <c r="BX421" s="2" t="str">
        <f>IF(Z421="","",IFERROR(VLOOKUP(Z421,GLAPS정리!$AX$2:$AZ$17,3,0),""))</f>
        <v/>
      </c>
      <c r="BZ421" s="2" t="e">
        <f>VLOOKUP(H421,GLAPS정리!$L$3:$O$133,2,0)</f>
        <v>#N/A</v>
      </c>
      <c r="CA421" s="2" t="str">
        <f t="shared" si="102"/>
        <v/>
      </c>
      <c r="CL421" s="2" t="e">
        <f>VLOOKUP(AI421,GLAPS정리!$BT$3:$BV$26,3,0)</f>
        <v>#N/A</v>
      </c>
    </row>
    <row r="422" spans="2:90" ht="20.45" customHeight="1">
      <c r="B422" s="13"/>
      <c r="G422" s="3"/>
      <c r="J422" s="3"/>
      <c r="Q422" s="3" t="str">
        <f t="shared" si="90"/>
        <v/>
      </c>
      <c r="R422" s="3" t="str">
        <f t="shared" si="91"/>
        <v/>
      </c>
      <c r="S422" s="3" t="str">
        <f t="shared" si="92"/>
        <v/>
      </c>
      <c r="X422" s="13"/>
      <c r="Y422" s="13"/>
      <c r="Z422" s="91"/>
      <c r="AC422" s="2">
        <f t="shared" si="93"/>
        <v>20</v>
      </c>
      <c r="AD422" s="2" t="str">
        <f>IFERROR(INDEX(GLAPS정리!$D$2:$D$50,MATCH(I422,GLAPS정리!$A$2:$A$50,0)),IFERROR(INDEX(GLAPS정리!$D$2:$D$50,MATCH(I422,GLAPS정리!$B$2:$B$50,0)),""))</f>
        <v/>
      </c>
      <c r="AF422" s="2" t="str">
        <f t="shared" si="94"/>
        <v>KR10</v>
      </c>
      <c r="AI422" s="2" t="e">
        <f>VLOOKUP(F422,GLAPS정리!$G$3:$J$114,2,0)</f>
        <v>#N/A</v>
      </c>
      <c r="AJ422" s="2" t="e">
        <f>IF(Z422="울산정일","KRONS",IF(Z422="울산신항","KRUSN",IF(OR(Z422="선광종합물류(인천여객)",Z422="인천여객(인천여객)"),"KRINF",IF(OR(Z422="선광인천보세(인천신)",Z422="한진인천(인천신)",Z422="선광인천신항(인천신)",Z422="인천더로지스(인천신)"),"KRINN",IF(OR(Z422="인천진아(인천항)",Z422="인천E1(인천항)",Z422="인천SM경인터미널(인천항)",Z422="인천항(인천항)",Z422="인천우련(인천항)",Z422="인천항8부두(인천항)"),"KRINC",VLOOKUP(K422,GLAPS정리!$BB$2:$BC$33,2,0))))))</f>
        <v>#N/A</v>
      </c>
      <c r="AL422" s="2">
        <f t="shared" si="95"/>
        <v>5010001</v>
      </c>
      <c r="AN422" s="70" t="str">
        <f t="shared" si="96"/>
        <v>1900-01-00</v>
      </c>
      <c r="AO422" s="2" t="str">
        <f t="shared" si="97"/>
        <v/>
      </c>
      <c r="AP422" s="2" t="e">
        <f>VLOOKUP(C422,GLAPS정리!$AX$2:$AZ$17,3,0)</f>
        <v>#N/A</v>
      </c>
      <c r="AR422" s="2">
        <f t="shared" si="103"/>
        <v>0</v>
      </c>
      <c r="AX422" s="2" t="e">
        <f>VLOOKUP(L422,GLAPS정리!$V$3:$W$180,2,0)</f>
        <v>#N/A</v>
      </c>
      <c r="BM422" s="2" t="str">
        <f t="shared" si="98"/>
        <v xml:space="preserve"> </v>
      </c>
      <c r="BN422" s="2">
        <f t="shared" si="99"/>
        <v>1</v>
      </c>
      <c r="BR422" s="2" t="str">
        <f t="shared" si="100"/>
        <v/>
      </c>
      <c r="BS422" s="2" t="str">
        <f t="shared" si="101"/>
        <v/>
      </c>
      <c r="BV422" s="2" t="e">
        <f>VLOOKUP(O422,GLAPS정리!$BH$2:$BI$94,2,0)</f>
        <v>#N/A</v>
      </c>
      <c r="BW422" s="2" t="str">
        <f>IF(OR(Z422="동원",Z422="세방",Z422="한타"),"",IFERROR(INDEX(GLAPS정리!$BI$2:$BI$101,MATCH(Z422,GLAPS정리!$BH$2:$BH$101,0)),""))</f>
        <v/>
      </c>
      <c r="BX422" s="2" t="str">
        <f>IF(Z422="","",IFERROR(VLOOKUP(Z422,GLAPS정리!$AX$2:$AZ$17,3,0),""))</f>
        <v/>
      </c>
      <c r="BZ422" s="2" t="e">
        <f>VLOOKUP(H422,GLAPS정리!$L$3:$O$133,2,0)</f>
        <v>#N/A</v>
      </c>
      <c r="CA422" s="2" t="str">
        <f t="shared" si="102"/>
        <v/>
      </c>
      <c r="CL422" s="2" t="e">
        <f>VLOOKUP(AI422,GLAPS정리!$BT$3:$BV$26,3,0)</f>
        <v>#N/A</v>
      </c>
    </row>
    <row r="423" spans="2:90" ht="20.45" customHeight="1">
      <c r="B423" s="13"/>
      <c r="G423" s="3"/>
      <c r="J423" s="3"/>
      <c r="Q423" s="3" t="str">
        <f t="shared" si="90"/>
        <v/>
      </c>
      <c r="R423" s="3" t="str">
        <f t="shared" si="91"/>
        <v/>
      </c>
      <c r="S423" s="3" t="str">
        <f t="shared" si="92"/>
        <v/>
      </c>
      <c r="X423" s="13"/>
      <c r="Y423" s="13"/>
      <c r="Z423" s="91"/>
      <c r="AC423" s="2">
        <f t="shared" si="93"/>
        <v>20</v>
      </c>
      <c r="AD423" s="2" t="str">
        <f>IFERROR(INDEX(GLAPS정리!$D$2:$D$50,MATCH(I423,GLAPS정리!$A$2:$A$50,0)),IFERROR(INDEX(GLAPS정리!$D$2:$D$50,MATCH(I423,GLAPS정리!$B$2:$B$50,0)),""))</f>
        <v/>
      </c>
      <c r="AF423" s="2" t="str">
        <f t="shared" si="94"/>
        <v>KR10</v>
      </c>
      <c r="AI423" s="2" t="e">
        <f>VLOOKUP(F423,GLAPS정리!$G$3:$J$114,2,0)</f>
        <v>#N/A</v>
      </c>
      <c r="AJ423" s="2" t="e">
        <f>IF(Z423="울산정일","KRONS",IF(Z423="울산신항","KRUSN",IF(OR(Z423="선광종합물류(인천여객)",Z423="인천여객(인천여객)"),"KRINF",IF(OR(Z423="선광인천보세(인천신)",Z423="한진인천(인천신)",Z423="선광인천신항(인천신)",Z423="인천더로지스(인천신)"),"KRINN",IF(OR(Z423="인천진아(인천항)",Z423="인천E1(인천항)",Z423="인천SM경인터미널(인천항)",Z423="인천항(인천항)",Z423="인천우련(인천항)",Z423="인천항8부두(인천항)"),"KRINC",VLOOKUP(K423,GLAPS정리!$BB$2:$BC$33,2,0))))))</f>
        <v>#N/A</v>
      </c>
      <c r="AL423" s="2">
        <f t="shared" si="95"/>
        <v>5010001</v>
      </c>
      <c r="AN423" s="70" t="str">
        <f t="shared" si="96"/>
        <v>1900-01-00</v>
      </c>
      <c r="AO423" s="2" t="str">
        <f t="shared" si="97"/>
        <v/>
      </c>
      <c r="AP423" s="2" t="e">
        <f>VLOOKUP(C423,GLAPS정리!$AX$2:$AZ$17,3,0)</f>
        <v>#N/A</v>
      </c>
      <c r="AR423" s="2">
        <f t="shared" si="103"/>
        <v>0</v>
      </c>
      <c r="AX423" s="2" t="e">
        <f>VLOOKUP(L423,GLAPS정리!$V$3:$W$180,2,0)</f>
        <v>#N/A</v>
      </c>
      <c r="BM423" s="2" t="str">
        <f t="shared" si="98"/>
        <v xml:space="preserve"> </v>
      </c>
      <c r="BN423" s="2">
        <f t="shared" si="99"/>
        <v>1</v>
      </c>
      <c r="BR423" s="2" t="str">
        <f t="shared" si="100"/>
        <v/>
      </c>
      <c r="BS423" s="2" t="str">
        <f t="shared" si="101"/>
        <v/>
      </c>
      <c r="BV423" s="2" t="e">
        <f>VLOOKUP(O423,GLAPS정리!$BH$2:$BI$94,2,0)</f>
        <v>#N/A</v>
      </c>
      <c r="BW423" s="2" t="str">
        <f>IF(OR(Z423="동원",Z423="세방",Z423="한타"),"",IFERROR(INDEX(GLAPS정리!$BI$2:$BI$101,MATCH(Z423,GLAPS정리!$BH$2:$BH$101,0)),""))</f>
        <v/>
      </c>
      <c r="BX423" s="2" t="str">
        <f>IF(Z423="","",IFERROR(VLOOKUP(Z423,GLAPS정리!$AX$2:$AZ$17,3,0),""))</f>
        <v/>
      </c>
      <c r="BZ423" s="2" t="e">
        <f>VLOOKUP(H423,GLAPS정리!$L$3:$O$133,2,0)</f>
        <v>#N/A</v>
      </c>
      <c r="CA423" s="2" t="str">
        <f t="shared" si="102"/>
        <v/>
      </c>
      <c r="CL423" s="2" t="e">
        <f>VLOOKUP(AI423,GLAPS정리!$BT$3:$BV$26,3,0)</f>
        <v>#N/A</v>
      </c>
    </row>
    <row r="424" spans="2:90" ht="20.45" customHeight="1">
      <c r="B424" s="13"/>
      <c r="G424" s="3"/>
      <c r="J424" s="3"/>
      <c r="Q424" s="3" t="str">
        <f t="shared" si="90"/>
        <v/>
      </c>
      <c r="R424" s="3" t="str">
        <f t="shared" si="91"/>
        <v/>
      </c>
      <c r="S424" s="3" t="str">
        <f t="shared" si="92"/>
        <v/>
      </c>
      <c r="X424" s="13"/>
      <c r="Y424" s="13"/>
      <c r="Z424" s="91"/>
      <c r="AC424" s="2">
        <f t="shared" si="93"/>
        <v>20</v>
      </c>
      <c r="AD424" s="2" t="str">
        <f>IFERROR(INDEX(GLAPS정리!$D$2:$D$50,MATCH(I424,GLAPS정리!$A$2:$A$50,0)),IFERROR(INDEX(GLAPS정리!$D$2:$D$50,MATCH(I424,GLAPS정리!$B$2:$B$50,0)),""))</f>
        <v/>
      </c>
      <c r="AF424" s="2" t="str">
        <f t="shared" si="94"/>
        <v>KR10</v>
      </c>
      <c r="AI424" s="2" t="e">
        <f>VLOOKUP(F424,GLAPS정리!$G$3:$J$114,2,0)</f>
        <v>#N/A</v>
      </c>
      <c r="AJ424" s="2" t="e">
        <f>IF(Z424="울산정일","KRONS",IF(Z424="울산신항","KRUSN",IF(OR(Z424="선광종합물류(인천여객)",Z424="인천여객(인천여객)"),"KRINF",IF(OR(Z424="선광인천보세(인천신)",Z424="한진인천(인천신)",Z424="선광인천신항(인천신)",Z424="인천더로지스(인천신)"),"KRINN",IF(OR(Z424="인천진아(인천항)",Z424="인천E1(인천항)",Z424="인천SM경인터미널(인천항)",Z424="인천항(인천항)",Z424="인천우련(인천항)",Z424="인천항8부두(인천항)"),"KRINC",VLOOKUP(K424,GLAPS정리!$BB$2:$BC$33,2,0))))))</f>
        <v>#N/A</v>
      </c>
      <c r="AL424" s="2">
        <f t="shared" si="95"/>
        <v>5010001</v>
      </c>
      <c r="AN424" s="70" t="str">
        <f t="shared" si="96"/>
        <v>1900-01-00</v>
      </c>
      <c r="AO424" s="2" t="str">
        <f t="shared" si="97"/>
        <v/>
      </c>
      <c r="AP424" s="2" t="e">
        <f>VLOOKUP(C424,GLAPS정리!$AX$2:$AZ$17,3,0)</f>
        <v>#N/A</v>
      </c>
      <c r="AR424" s="2">
        <f t="shared" si="103"/>
        <v>0</v>
      </c>
      <c r="AX424" s="2" t="e">
        <f>VLOOKUP(L424,GLAPS정리!$V$3:$W$180,2,0)</f>
        <v>#N/A</v>
      </c>
      <c r="BM424" s="2" t="str">
        <f t="shared" si="98"/>
        <v xml:space="preserve"> </v>
      </c>
      <c r="BN424" s="2">
        <f t="shared" si="99"/>
        <v>1</v>
      </c>
      <c r="BR424" s="2" t="str">
        <f t="shared" si="100"/>
        <v/>
      </c>
      <c r="BS424" s="2" t="str">
        <f t="shared" si="101"/>
        <v/>
      </c>
      <c r="BV424" s="2" t="e">
        <f>VLOOKUP(O424,GLAPS정리!$BH$2:$BI$94,2,0)</f>
        <v>#N/A</v>
      </c>
      <c r="BW424" s="2" t="str">
        <f>IF(OR(Z424="동원",Z424="세방",Z424="한타"),"",IFERROR(INDEX(GLAPS정리!$BI$2:$BI$101,MATCH(Z424,GLAPS정리!$BH$2:$BH$101,0)),""))</f>
        <v/>
      </c>
      <c r="BX424" s="2" t="str">
        <f>IF(Z424="","",IFERROR(VLOOKUP(Z424,GLAPS정리!$AX$2:$AZ$17,3,0),""))</f>
        <v/>
      </c>
      <c r="BZ424" s="2" t="e">
        <f>VLOOKUP(H424,GLAPS정리!$L$3:$O$133,2,0)</f>
        <v>#N/A</v>
      </c>
      <c r="CA424" s="2" t="str">
        <f t="shared" si="102"/>
        <v/>
      </c>
      <c r="CL424" s="2" t="e">
        <f>VLOOKUP(AI424,GLAPS정리!$BT$3:$BV$26,3,0)</f>
        <v>#N/A</v>
      </c>
    </row>
    <row r="425" spans="2:90" ht="20.45" customHeight="1">
      <c r="B425" s="13"/>
      <c r="G425" s="3"/>
      <c r="J425" s="3"/>
      <c r="Q425" s="3" t="str">
        <f t="shared" si="90"/>
        <v/>
      </c>
      <c r="R425" s="3" t="str">
        <f t="shared" si="91"/>
        <v/>
      </c>
      <c r="S425" s="3" t="str">
        <f t="shared" si="92"/>
        <v/>
      </c>
      <c r="X425" s="13"/>
      <c r="Y425" s="13"/>
      <c r="Z425" s="91"/>
      <c r="AC425" s="2">
        <f t="shared" si="93"/>
        <v>20</v>
      </c>
      <c r="AD425" s="2" t="str">
        <f>IFERROR(INDEX(GLAPS정리!$D$2:$D$50,MATCH(I425,GLAPS정리!$A$2:$A$50,0)),IFERROR(INDEX(GLAPS정리!$D$2:$D$50,MATCH(I425,GLAPS정리!$B$2:$B$50,0)),""))</f>
        <v/>
      </c>
      <c r="AF425" s="2" t="str">
        <f t="shared" si="94"/>
        <v>KR10</v>
      </c>
      <c r="AI425" s="2" t="e">
        <f>VLOOKUP(F425,GLAPS정리!$G$3:$J$114,2,0)</f>
        <v>#N/A</v>
      </c>
      <c r="AJ425" s="2" t="e">
        <f>IF(Z425="울산정일","KRONS",IF(Z425="울산신항","KRUSN",IF(OR(Z425="선광종합물류(인천여객)",Z425="인천여객(인천여객)"),"KRINF",IF(OR(Z425="선광인천보세(인천신)",Z425="한진인천(인천신)",Z425="선광인천신항(인천신)",Z425="인천더로지스(인천신)"),"KRINN",IF(OR(Z425="인천진아(인천항)",Z425="인천E1(인천항)",Z425="인천SM경인터미널(인천항)",Z425="인천항(인천항)",Z425="인천우련(인천항)",Z425="인천항8부두(인천항)"),"KRINC",VLOOKUP(K425,GLAPS정리!$BB$2:$BC$33,2,0))))))</f>
        <v>#N/A</v>
      </c>
      <c r="AL425" s="2">
        <f t="shared" si="95"/>
        <v>5010001</v>
      </c>
      <c r="AN425" s="70" t="str">
        <f t="shared" si="96"/>
        <v>1900-01-00</v>
      </c>
      <c r="AO425" s="2" t="str">
        <f t="shared" si="97"/>
        <v/>
      </c>
      <c r="AP425" s="2" t="e">
        <f>VLOOKUP(C425,GLAPS정리!$AX$2:$AZ$17,3,0)</f>
        <v>#N/A</v>
      </c>
      <c r="AR425" s="2">
        <f t="shared" si="103"/>
        <v>0</v>
      </c>
      <c r="AX425" s="2" t="e">
        <f>VLOOKUP(L425,GLAPS정리!$V$3:$W$180,2,0)</f>
        <v>#N/A</v>
      </c>
      <c r="BM425" s="2" t="str">
        <f t="shared" si="98"/>
        <v xml:space="preserve"> </v>
      </c>
      <c r="BN425" s="2">
        <f t="shared" si="99"/>
        <v>1</v>
      </c>
      <c r="BR425" s="2" t="str">
        <f t="shared" si="100"/>
        <v/>
      </c>
      <c r="BS425" s="2" t="str">
        <f t="shared" si="101"/>
        <v/>
      </c>
      <c r="BV425" s="2" t="e">
        <f>VLOOKUP(O425,GLAPS정리!$BH$2:$BI$94,2,0)</f>
        <v>#N/A</v>
      </c>
      <c r="BW425" s="2" t="str">
        <f>IF(OR(Z425="동원",Z425="세방",Z425="한타"),"",IFERROR(INDEX(GLAPS정리!$BI$2:$BI$101,MATCH(Z425,GLAPS정리!$BH$2:$BH$101,0)),""))</f>
        <v/>
      </c>
      <c r="BX425" s="2" t="str">
        <f>IF(Z425="","",IFERROR(VLOOKUP(Z425,GLAPS정리!$AX$2:$AZ$17,3,0),""))</f>
        <v/>
      </c>
      <c r="BZ425" s="2" t="e">
        <f>VLOOKUP(H425,GLAPS정리!$L$3:$O$133,2,0)</f>
        <v>#N/A</v>
      </c>
      <c r="CA425" s="2" t="str">
        <f t="shared" si="102"/>
        <v/>
      </c>
      <c r="CL425" s="2" t="e">
        <f>VLOOKUP(AI425,GLAPS정리!$BT$3:$BV$26,3,0)</f>
        <v>#N/A</v>
      </c>
    </row>
    <row r="426" spans="2:90" ht="20.45" customHeight="1">
      <c r="B426" s="13"/>
      <c r="G426" s="3"/>
      <c r="J426" s="3"/>
      <c r="Q426" s="3" t="str">
        <f t="shared" si="90"/>
        <v/>
      </c>
      <c r="R426" s="3" t="str">
        <f t="shared" si="91"/>
        <v/>
      </c>
      <c r="S426" s="3" t="str">
        <f t="shared" si="92"/>
        <v/>
      </c>
      <c r="X426" s="13"/>
      <c r="Y426" s="13"/>
      <c r="Z426" s="91"/>
      <c r="AC426" s="2">
        <f t="shared" si="93"/>
        <v>20</v>
      </c>
      <c r="AD426" s="2" t="str">
        <f>IFERROR(INDEX(GLAPS정리!$D$2:$D$50,MATCH(I426,GLAPS정리!$A$2:$A$50,0)),IFERROR(INDEX(GLAPS정리!$D$2:$D$50,MATCH(I426,GLAPS정리!$B$2:$B$50,0)),""))</f>
        <v/>
      </c>
      <c r="AF426" s="2" t="str">
        <f t="shared" si="94"/>
        <v>KR10</v>
      </c>
      <c r="AI426" s="2" t="e">
        <f>VLOOKUP(F426,GLAPS정리!$G$3:$J$114,2,0)</f>
        <v>#N/A</v>
      </c>
      <c r="AJ426" s="2" t="e">
        <f>IF(Z426="울산정일","KRONS",IF(Z426="울산신항","KRUSN",IF(OR(Z426="선광종합물류(인천여객)",Z426="인천여객(인천여객)"),"KRINF",IF(OR(Z426="선광인천보세(인천신)",Z426="한진인천(인천신)",Z426="선광인천신항(인천신)",Z426="인천더로지스(인천신)"),"KRINN",IF(OR(Z426="인천진아(인천항)",Z426="인천E1(인천항)",Z426="인천SM경인터미널(인천항)",Z426="인천항(인천항)",Z426="인천우련(인천항)",Z426="인천항8부두(인천항)"),"KRINC",VLOOKUP(K426,GLAPS정리!$BB$2:$BC$33,2,0))))))</f>
        <v>#N/A</v>
      </c>
      <c r="AL426" s="2">
        <f t="shared" si="95"/>
        <v>5010001</v>
      </c>
      <c r="AN426" s="70" t="str">
        <f t="shared" si="96"/>
        <v>1900-01-00</v>
      </c>
      <c r="AO426" s="2" t="str">
        <f t="shared" si="97"/>
        <v/>
      </c>
      <c r="AP426" s="2" t="e">
        <f>VLOOKUP(C426,GLAPS정리!$AX$2:$AZ$17,3,0)</f>
        <v>#N/A</v>
      </c>
      <c r="AR426" s="2">
        <f t="shared" si="103"/>
        <v>0</v>
      </c>
      <c r="AX426" s="2" t="e">
        <f>VLOOKUP(L426,GLAPS정리!$V$3:$W$180,2,0)</f>
        <v>#N/A</v>
      </c>
      <c r="BM426" s="2" t="str">
        <f t="shared" si="98"/>
        <v xml:space="preserve"> </v>
      </c>
      <c r="BN426" s="2">
        <f t="shared" si="99"/>
        <v>1</v>
      </c>
      <c r="BR426" s="2" t="str">
        <f t="shared" si="100"/>
        <v/>
      </c>
      <c r="BS426" s="2" t="str">
        <f t="shared" si="101"/>
        <v/>
      </c>
      <c r="BV426" s="2" t="e">
        <f>VLOOKUP(O426,GLAPS정리!$BH$2:$BI$94,2,0)</f>
        <v>#N/A</v>
      </c>
      <c r="BW426" s="2" t="str">
        <f>IF(OR(Z426="동원",Z426="세방",Z426="한타"),"",IFERROR(INDEX(GLAPS정리!$BI$2:$BI$101,MATCH(Z426,GLAPS정리!$BH$2:$BH$101,0)),""))</f>
        <v/>
      </c>
      <c r="BX426" s="2" t="str">
        <f>IF(Z426="","",IFERROR(VLOOKUP(Z426,GLAPS정리!$AX$2:$AZ$17,3,0),""))</f>
        <v/>
      </c>
      <c r="BZ426" s="2" t="e">
        <f>VLOOKUP(H426,GLAPS정리!$L$3:$O$133,2,0)</f>
        <v>#N/A</v>
      </c>
      <c r="CA426" s="2" t="str">
        <f t="shared" si="102"/>
        <v/>
      </c>
      <c r="CL426" s="2" t="e">
        <f>VLOOKUP(AI426,GLAPS정리!$BT$3:$BV$26,3,0)</f>
        <v>#N/A</v>
      </c>
    </row>
    <row r="427" spans="2:90" ht="20.45" customHeight="1">
      <c r="B427" s="13"/>
      <c r="G427" s="3"/>
      <c r="J427" s="3"/>
      <c r="Q427" s="3" t="str">
        <f t="shared" si="90"/>
        <v/>
      </c>
      <c r="R427" s="3" t="str">
        <f t="shared" si="91"/>
        <v/>
      </c>
      <c r="S427" s="3" t="str">
        <f t="shared" si="92"/>
        <v/>
      </c>
      <c r="X427" s="13"/>
      <c r="Y427" s="13"/>
      <c r="Z427" s="91"/>
      <c r="AC427" s="2">
        <f t="shared" si="93"/>
        <v>20</v>
      </c>
      <c r="AD427" s="2" t="str">
        <f>IFERROR(INDEX(GLAPS정리!$D$2:$D$50,MATCH(I427,GLAPS정리!$A$2:$A$50,0)),IFERROR(INDEX(GLAPS정리!$D$2:$D$50,MATCH(I427,GLAPS정리!$B$2:$B$50,0)),""))</f>
        <v/>
      </c>
      <c r="AF427" s="2" t="str">
        <f t="shared" si="94"/>
        <v>KR10</v>
      </c>
      <c r="AI427" s="2" t="e">
        <f>VLOOKUP(F427,GLAPS정리!$G$3:$J$114,2,0)</f>
        <v>#N/A</v>
      </c>
      <c r="AJ427" s="2" t="e">
        <f>IF(Z427="울산정일","KRONS",IF(Z427="울산신항","KRUSN",IF(OR(Z427="선광종합물류(인천여객)",Z427="인천여객(인천여객)"),"KRINF",IF(OR(Z427="선광인천보세(인천신)",Z427="한진인천(인천신)",Z427="선광인천신항(인천신)",Z427="인천더로지스(인천신)"),"KRINN",IF(OR(Z427="인천진아(인천항)",Z427="인천E1(인천항)",Z427="인천SM경인터미널(인천항)",Z427="인천항(인천항)",Z427="인천우련(인천항)",Z427="인천항8부두(인천항)"),"KRINC",VLOOKUP(K427,GLAPS정리!$BB$2:$BC$33,2,0))))))</f>
        <v>#N/A</v>
      </c>
      <c r="AL427" s="2">
        <f t="shared" si="95"/>
        <v>5010001</v>
      </c>
      <c r="AN427" s="70" t="str">
        <f t="shared" si="96"/>
        <v>1900-01-00</v>
      </c>
      <c r="AO427" s="2" t="str">
        <f t="shared" si="97"/>
        <v/>
      </c>
      <c r="AP427" s="2" t="e">
        <f>VLOOKUP(C427,GLAPS정리!$AX$2:$AZ$17,3,0)</f>
        <v>#N/A</v>
      </c>
      <c r="AR427" s="2">
        <f t="shared" si="103"/>
        <v>0</v>
      </c>
      <c r="AX427" s="2" t="e">
        <f>VLOOKUP(L427,GLAPS정리!$V$3:$W$180,2,0)</f>
        <v>#N/A</v>
      </c>
      <c r="BM427" s="2" t="str">
        <f t="shared" si="98"/>
        <v xml:space="preserve"> </v>
      </c>
      <c r="BN427" s="2">
        <f t="shared" si="99"/>
        <v>1</v>
      </c>
      <c r="BR427" s="2" t="str">
        <f t="shared" si="100"/>
        <v/>
      </c>
      <c r="BS427" s="2" t="str">
        <f t="shared" si="101"/>
        <v/>
      </c>
      <c r="BV427" s="2" t="e">
        <f>VLOOKUP(O427,GLAPS정리!$BH$2:$BI$94,2,0)</f>
        <v>#N/A</v>
      </c>
      <c r="BW427" s="2" t="str">
        <f>IF(OR(Z427="동원",Z427="세방",Z427="한타"),"",IFERROR(INDEX(GLAPS정리!$BI$2:$BI$101,MATCH(Z427,GLAPS정리!$BH$2:$BH$101,0)),""))</f>
        <v/>
      </c>
      <c r="BX427" s="2" t="str">
        <f>IF(Z427="","",IFERROR(VLOOKUP(Z427,GLAPS정리!$AX$2:$AZ$17,3,0),""))</f>
        <v/>
      </c>
      <c r="BZ427" s="2" t="e">
        <f>VLOOKUP(H427,GLAPS정리!$L$3:$O$133,2,0)</f>
        <v>#N/A</v>
      </c>
      <c r="CA427" s="2" t="str">
        <f t="shared" si="102"/>
        <v/>
      </c>
      <c r="CL427" s="2" t="e">
        <f>VLOOKUP(AI427,GLAPS정리!$BT$3:$BV$26,3,0)</f>
        <v>#N/A</v>
      </c>
    </row>
    <row r="428" spans="2:90" ht="20.45" customHeight="1">
      <c r="B428" s="13"/>
      <c r="G428" s="3"/>
      <c r="J428" s="3"/>
      <c r="Q428" s="3" t="str">
        <f t="shared" si="90"/>
        <v/>
      </c>
      <c r="R428" s="3" t="str">
        <f t="shared" si="91"/>
        <v/>
      </c>
      <c r="S428" s="3" t="str">
        <f t="shared" si="92"/>
        <v/>
      </c>
      <c r="X428" s="13"/>
      <c r="Y428" s="13"/>
      <c r="Z428" s="91"/>
      <c r="AC428" s="2">
        <f t="shared" si="93"/>
        <v>20</v>
      </c>
      <c r="AD428" s="2" t="str">
        <f>IFERROR(INDEX(GLAPS정리!$D$2:$D$50,MATCH(I428,GLAPS정리!$A$2:$A$50,0)),IFERROR(INDEX(GLAPS정리!$D$2:$D$50,MATCH(I428,GLAPS정리!$B$2:$B$50,0)),""))</f>
        <v/>
      </c>
      <c r="AF428" s="2" t="str">
        <f t="shared" si="94"/>
        <v>KR10</v>
      </c>
      <c r="AI428" s="2" t="e">
        <f>VLOOKUP(F428,GLAPS정리!$G$3:$J$114,2,0)</f>
        <v>#N/A</v>
      </c>
      <c r="AJ428" s="2" t="e">
        <f>IF(Z428="울산정일","KRONS",IF(Z428="울산신항","KRUSN",IF(OR(Z428="선광종합물류(인천여객)",Z428="인천여객(인천여객)"),"KRINF",IF(OR(Z428="선광인천보세(인천신)",Z428="한진인천(인천신)",Z428="선광인천신항(인천신)",Z428="인천더로지스(인천신)"),"KRINN",IF(OR(Z428="인천진아(인천항)",Z428="인천E1(인천항)",Z428="인천SM경인터미널(인천항)",Z428="인천항(인천항)",Z428="인천우련(인천항)",Z428="인천항8부두(인천항)"),"KRINC",VLOOKUP(K428,GLAPS정리!$BB$2:$BC$33,2,0))))))</f>
        <v>#N/A</v>
      </c>
      <c r="AL428" s="2">
        <f t="shared" si="95"/>
        <v>5010001</v>
      </c>
      <c r="AN428" s="70" t="str">
        <f t="shared" si="96"/>
        <v>1900-01-00</v>
      </c>
      <c r="AO428" s="2" t="str">
        <f t="shared" si="97"/>
        <v/>
      </c>
      <c r="AP428" s="2" t="e">
        <f>VLOOKUP(C428,GLAPS정리!$AX$2:$AZ$17,3,0)</f>
        <v>#N/A</v>
      </c>
      <c r="AR428" s="2">
        <f t="shared" si="103"/>
        <v>0</v>
      </c>
      <c r="AX428" s="2" t="e">
        <f>VLOOKUP(L428,GLAPS정리!$V$3:$W$180,2,0)</f>
        <v>#N/A</v>
      </c>
      <c r="BM428" s="2" t="str">
        <f t="shared" si="98"/>
        <v xml:space="preserve"> </v>
      </c>
      <c r="BN428" s="2">
        <f t="shared" si="99"/>
        <v>1</v>
      </c>
      <c r="BR428" s="2" t="str">
        <f t="shared" si="100"/>
        <v/>
      </c>
      <c r="BS428" s="2" t="str">
        <f t="shared" si="101"/>
        <v/>
      </c>
      <c r="BV428" s="2" t="e">
        <f>VLOOKUP(O428,GLAPS정리!$BH$2:$BI$94,2,0)</f>
        <v>#N/A</v>
      </c>
      <c r="BW428" s="2" t="str">
        <f>IF(OR(Z428="동원",Z428="세방",Z428="한타"),"",IFERROR(INDEX(GLAPS정리!$BI$2:$BI$101,MATCH(Z428,GLAPS정리!$BH$2:$BH$101,0)),""))</f>
        <v/>
      </c>
      <c r="BX428" s="2" t="str">
        <f>IF(Z428="","",IFERROR(VLOOKUP(Z428,GLAPS정리!$AX$2:$AZ$17,3,0),""))</f>
        <v/>
      </c>
      <c r="BZ428" s="2" t="e">
        <f>VLOOKUP(H428,GLAPS정리!$L$3:$O$133,2,0)</f>
        <v>#N/A</v>
      </c>
      <c r="CA428" s="2" t="str">
        <f t="shared" si="102"/>
        <v/>
      </c>
      <c r="CL428" s="2" t="e">
        <f>VLOOKUP(AI428,GLAPS정리!$BT$3:$BV$26,3,0)</f>
        <v>#N/A</v>
      </c>
    </row>
    <row r="429" spans="2:90" ht="20.45" customHeight="1">
      <c r="B429" s="13"/>
      <c r="G429" s="3"/>
      <c r="J429" s="3"/>
      <c r="Q429" s="3" t="str">
        <f t="shared" si="90"/>
        <v/>
      </c>
      <c r="R429" s="3" t="str">
        <f t="shared" si="91"/>
        <v/>
      </c>
      <c r="S429" s="3" t="str">
        <f t="shared" si="92"/>
        <v/>
      </c>
      <c r="X429" s="13"/>
      <c r="Y429" s="13"/>
      <c r="Z429" s="91"/>
      <c r="AC429" s="2">
        <f t="shared" si="93"/>
        <v>20</v>
      </c>
      <c r="AD429" s="2" t="str">
        <f>IFERROR(INDEX(GLAPS정리!$D$2:$D$50,MATCH(I429,GLAPS정리!$A$2:$A$50,0)),IFERROR(INDEX(GLAPS정리!$D$2:$D$50,MATCH(I429,GLAPS정리!$B$2:$B$50,0)),""))</f>
        <v/>
      </c>
      <c r="AF429" s="2" t="str">
        <f t="shared" si="94"/>
        <v>KR10</v>
      </c>
      <c r="AI429" s="2" t="e">
        <f>VLOOKUP(F429,GLAPS정리!$G$3:$J$114,2,0)</f>
        <v>#N/A</v>
      </c>
      <c r="AJ429" s="2" t="e">
        <f>IF(Z429="울산정일","KRONS",IF(Z429="울산신항","KRUSN",IF(OR(Z429="선광종합물류(인천여객)",Z429="인천여객(인천여객)"),"KRINF",IF(OR(Z429="선광인천보세(인천신)",Z429="한진인천(인천신)",Z429="선광인천신항(인천신)",Z429="인천더로지스(인천신)"),"KRINN",IF(OR(Z429="인천진아(인천항)",Z429="인천E1(인천항)",Z429="인천SM경인터미널(인천항)",Z429="인천항(인천항)",Z429="인천우련(인천항)",Z429="인천항8부두(인천항)"),"KRINC",VLOOKUP(K429,GLAPS정리!$BB$2:$BC$33,2,0))))))</f>
        <v>#N/A</v>
      </c>
      <c r="AL429" s="2">
        <f t="shared" si="95"/>
        <v>5010001</v>
      </c>
      <c r="AN429" s="70" t="str">
        <f t="shared" si="96"/>
        <v>1900-01-00</v>
      </c>
      <c r="AO429" s="2" t="str">
        <f t="shared" si="97"/>
        <v/>
      </c>
      <c r="AP429" s="2" t="e">
        <f>VLOOKUP(C429,GLAPS정리!$AX$2:$AZ$17,3,0)</f>
        <v>#N/A</v>
      </c>
      <c r="AR429" s="2">
        <f t="shared" si="103"/>
        <v>0</v>
      </c>
      <c r="AX429" s="2" t="e">
        <f>VLOOKUP(L429,GLAPS정리!$V$3:$W$180,2,0)</f>
        <v>#N/A</v>
      </c>
      <c r="BM429" s="2" t="str">
        <f t="shared" si="98"/>
        <v xml:space="preserve"> </v>
      </c>
      <c r="BN429" s="2">
        <f t="shared" si="99"/>
        <v>1</v>
      </c>
      <c r="BR429" s="2" t="str">
        <f t="shared" si="100"/>
        <v/>
      </c>
      <c r="BS429" s="2" t="str">
        <f t="shared" si="101"/>
        <v/>
      </c>
      <c r="BV429" s="2" t="e">
        <f>VLOOKUP(O429,GLAPS정리!$BH$2:$BI$94,2,0)</f>
        <v>#N/A</v>
      </c>
      <c r="BW429" s="2" t="str">
        <f>IF(OR(Z429="동원",Z429="세방",Z429="한타"),"",IFERROR(INDEX(GLAPS정리!$BI$2:$BI$101,MATCH(Z429,GLAPS정리!$BH$2:$BH$101,0)),""))</f>
        <v/>
      </c>
      <c r="BX429" s="2" t="str">
        <f>IF(Z429="","",IFERROR(VLOOKUP(Z429,GLAPS정리!$AX$2:$AZ$17,3,0),""))</f>
        <v/>
      </c>
      <c r="BZ429" s="2" t="e">
        <f>VLOOKUP(H429,GLAPS정리!$L$3:$O$133,2,0)</f>
        <v>#N/A</v>
      </c>
      <c r="CA429" s="2" t="str">
        <f t="shared" si="102"/>
        <v/>
      </c>
      <c r="CL429" s="2" t="e">
        <f>VLOOKUP(AI429,GLAPS정리!$BT$3:$BV$26,3,0)</f>
        <v>#N/A</v>
      </c>
    </row>
    <row r="430" spans="2:90" ht="20.45" customHeight="1">
      <c r="B430" s="13"/>
      <c r="G430" s="3"/>
      <c r="J430" s="3"/>
      <c r="Q430" s="3" t="str">
        <f t="shared" si="90"/>
        <v/>
      </c>
      <c r="R430" s="3" t="str">
        <f t="shared" si="91"/>
        <v/>
      </c>
      <c r="S430" s="3" t="str">
        <f t="shared" si="92"/>
        <v/>
      </c>
      <c r="X430" s="13"/>
      <c r="Y430" s="13"/>
      <c r="Z430" s="91"/>
      <c r="AC430" s="2">
        <f t="shared" si="93"/>
        <v>20</v>
      </c>
      <c r="AD430" s="2" t="str">
        <f>IFERROR(INDEX(GLAPS정리!$D$2:$D$50,MATCH(I430,GLAPS정리!$A$2:$A$50,0)),IFERROR(INDEX(GLAPS정리!$D$2:$D$50,MATCH(I430,GLAPS정리!$B$2:$B$50,0)),""))</f>
        <v/>
      </c>
      <c r="AF430" s="2" t="str">
        <f t="shared" si="94"/>
        <v>KR10</v>
      </c>
      <c r="AI430" s="2" t="e">
        <f>VLOOKUP(F430,GLAPS정리!$G$3:$J$114,2,0)</f>
        <v>#N/A</v>
      </c>
      <c r="AJ430" s="2" t="e">
        <f>IF(Z430="울산정일","KRONS",IF(Z430="울산신항","KRUSN",IF(OR(Z430="선광종합물류(인천여객)",Z430="인천여객(인천여객)"),"KRINF",IF(OR(Z430="선광인천보세(인천신)",Z430="한진인천(인천신)",Z430="선광인천신항(인천신)",Z430="인천더로지스(인천신)"),"KRINN",IF(OR(Z430="인천진아(인천항)",Z430="인천E1(인천항)",Z430="인천SM경인터미널(인천항)",Z430="인천항(인천항)",Z430="인천우련(인천항)",Z430="인천항8부두(인천항)"),"KRINC",VLOOKUP(K430,GLAPS정리!$BB$2:$BC$33,2,0))))))</f>
        <v>#N/A</v>
      </c>
      <c r="AL430" s="2">
        <f t="shared" si="95"/>
        <v>5010001</v>
      </c>
      <c r="AN430" s="70" t="str">
        <f t="shared" si="96"/>
        <v>1900-01-00</v>
      </c>
      <c r="AO430" s="2" t="str">
        <f t="shared" si="97"/>
        <v/>
      </c>
      <c r="AP430" s="2" t="e">
        <f>VLOOKUP(C430,GLAPS정리!$AX$2:$AZ$17,3,0)</f>
        <v>#N/A</v>
      </c>
      <c r="AR430" s="2">
        <f t="shared" si="103"/>
        <v>0</v>
      </c>
      <c r="AX430" s="2" t="e">
        <f>VLOOKUP(L430,GLAPS정리!$V$3:$W$180,2,0)</f>
        <v>#N/A</v>
      </c>
      <c r="BM430" s="2" t="str">
        <f t="shared" si="98"/>
        <v xml:space="preserve"> </v>
      </c>
      <c r="BN430" s="2">
        <f t="shared" si="99"/>
        <v>1</v>
      </c>
      <c r="BR430" s="2" t="str">
        <f t="shared" si="100"/>
        <v/>
      </c>
      <c r="BS430" s="2" t="str">
        <f t="shared" si="101"/>
        <v/>
      </c>
      <c r="BV430" s="2" t="e">
        <f>VLOOKUP(O430,GLAPS정리!$BH$2:$BI$94,2,0)</f>
        <v>#N/A</v>
      </c>
      <c r="BW430" s="2" t="str">
        <f>IF(OR(Z430="동원",Z430="세방",Z430="한타"),"",IFERROR(INDEX(GLAPS정리!$BI$2:$BI$101,MATCH(Z430,GLAPS정리!$BH$2:$BH$101,0)),""))</f>
        <v/>
      </c>
      <c r="BX430" s="2" t="str">
        <f>IF(Z430="","",IFERROR(VLOOKUP(Z430,GLAPS정리!$AX$2:$AZ$17,3,0),""))</f>
        <v/>
      </c>
      <c r="BZ430" s="2" t="e">
        <f>VLOOKUP(H430,GLAPS정리!$L$3:$O$133,2,0)</f>
        <v>#N/A</v>
      </c>
      <c r="CA430" s="2" t="str">
        <f t="shared" si="102"/>
        <v/>
      </c>
      <c r="CL430" s="2" t="e">
        <f>VLOOKUP(AI430,GLAPS정리!$BT$3:$BV$26,3,0)</f>
        <v>#N/A</v>
      </c>
    </row>
    <row r="431" spans="2:90" ht="20.45" customHeight="1">
      <c r="B431" s="13"/>
      <c r="G431" s="3"/>
      <c r="J431" s="3"/>
      <c r="Q431" s="3" t="str">
        <f t="shared" si="90"/>
        <v/>
      </c>
      <c r="R431" s="3" t="str">
        <f t="shared" si="91"/>
        <v/>
      </c>
      <c r="S431" s="3" t="str">
        <f t="shared" si="92"/>
        <v/>
      </c>
      <c r="X431" s="13"/>
      <c r="Y431" s="13"/>
      <c r="Z431" s="91"/>
      <c r="AC431" s="2">
        <f t="shared" si="93"/>
        <v>20</v>
      </c>
      <c r="AD431" s="2" t="str">
        <f>IFERROR(INDEX(GLAPS정리!$D$2:$D$50,MATCH(I431,GLAPS정리!$A$2:$A$50,0)),IFERROR(INDEX(GLAPS정리!$D$2:$D$50,MATCH(I431,GLAPS정리!$B$2:$B$50,0)),""))</f>
        <v/>
      </c>
      <c r="AF431" s="2" t="str">
        <f t="shared" si="94"/>
        <v>KR10</v>
      </c>
      <c r="AI431" s="2" t="e">
        <f>VLOOKUP(F431,GLAPS정리!$G$3:$J$114,2,0)</f>
        <v>#N/A</v>
      </c>
      <c r="AJ431" s="2" t="e">
        <f>IF(Z431="울산정일","KRONS",IF(Z431="울산신항","KRUSN",IF(OR(Z431="선광종합물류(인천여객)",Z431="인천여객(인천여객)"),"KRINF",IF(OR(Z431="선광인천보세(인천신)",Z431="한진인천(인천신)",Z431="선광인천신항(인천신)",Z431="인천더로지스(인천신)"),"KRINN",IF(OR(Z431="인천진아(인천항)",Z431="인천E1(인천항)",Z431="인천SM경인터미널(인천항)",Z431="인천항(인천항)",Z431="인천우련(인천항)",Z431="인천항8부두(인천항)"),"KRINC",VLOOKUP(K431,GLAPS정리!$BB$2:$BC$33,2,0))))))</f>
        <v>#N/A</v>
      </c>
      <c r="AL431" s="2">
        <f t="shared" si="95"/>
        <v>5010001</v>
      </c>
      <c r="AN431" s="70" t="str">
        <f t="shared" si="96"/>
        <v>1900-01-00</v>
      </c>
      <c r="AO431" s="2" t="str">
        <f t="shared" si="97"/>
        <v/>
      </c>
      <c r="AP431" s="2" t="e">
        <f>VLOOKUP(C431,GLAPS정리!$AX$2:$AZ$17,3,0)</f>
        <v>#N/A</v>
      </c>
      <c r="AR431" s="2">
        <f t="shared" si="103"/>
        <v>0</v>
      </c>
      <c r="AX431" s="2" t="e">
        <f>VLOOKUP(L431,GLAPS정리!$V$3:$W$180,2,0)</f>
        <v>#N/A</v>
      </c>
      <c r="BM431" s="2" t="str">
        <f t="shared" si="98"/>
        <v xml:space="preserve"> </v>
      </c>
      <c r="BN431" s="2">
        <f t="shared" si="99"/>
        <v>1</v>
      </c>
      <c r="BR431" s="2" t="str">
        <f t="shared" si="100"/>
        <v/>
      </c>
      <c r="BS431" s="2" t="str">
        <f t="shared" si="101"/>
        <v/>
      </c>
      <c r="BV431" s="2" t="e">
        <f>VLOOKUP(O431,GLAPS정리!$BH$2:$BI$94,2,0)</f>
        <v>#N/A</v>
      </c>
      <c r="BW431" s="2" t="str">
        <f>IF(OR(Z431="동원",Z431="세방",Z431="한타"),"",IFERROR(INDEX(GLAPS정리!$BI$2:$BI$101,MATCH(Z431,GLAPS정리!$BH$2:$BH$101,0)),""))</f>
        <v/>
      </c>
      <c r="BX431" s="2" t="str">
        <f>IF(Z431="","",IFERROR(VLOOKUP(Z431,GLAPS정리!$AX$2:$AZ$17,3,0),""))</f>
        <v/>
      </c>
      <c r="BZ431" s="2" t="e">
        <f>VLOOKUP(H431,GLAPS정리!$L$3:$O$133,2,0)</f>
        <v>#N/A</v>
      </c>
      <c r="CA431" s="2" t="str">
        <f t="shared" si="102"/>
        <v/>
      </c>
      <c r="CL431" s="2" t="e">
        <f>VLOOKUP(AI431,GLAPS정리!$BT$3:$BV$26,3,0)</f>
        <v>#N/A</v>
      </c>
    </row>
    <row r="432" spans="2:90" ht="20.45" customHeight="1">
      <c r="B432" s="13"/>
      <c r="G432" s="3"/>
      <c r="J432" s="3"/>
      <c r="Q432" s="3" t="str">
        <f t="shared" si="90"/>
        <v/>
      </c>
      <c r="R432" s="3" t="str">
        <f t="shared" si="91"/>
        <v/>
      </c>
      <c r="S432" s="3" t="str">
        <f t="shared" si="92"/>
        <v/>
      </c>
      <c r="X432" s="13"/>
      <c r="Y432" s="13"/>
      <c r="Z432" s="91"/>
      <c r="AC432" s="2">
        <f t="shared" si="93"/>
        <v>20</v>
      </c>
      <c r="AD432" s="2" t="str">
        <f>IFERROR(INDEX(GLAPS정리!$D$2:$D$50,MATCH(I432,GLAPS정리!$A$2:$A$50,0)),IFERROR(INDEX(GLAPS정리!$D$2:$D$50,MATCH(I432,GLAPS정리!$B$2:$B$50,0)),""))</f>
        <v/>
      </c>
      <c r="AF432" s="2" t="str">
        <f t="shared" si="94"/>
        <v>KR10</v>
      </c>
      <c r="AI432" s="2" t="e">
        <f>VLOOKUP(F432,GLAPS정리!$G$3:$J$114,2,0)</f>
        <v>#N/A</v>
      </c>
      <c r="AJ432" s="2" t="e">
        <f>IF(Z432="울산정일","KRONS",IF(Z432="울산신항","KRUSN",IF(OR(Z432="선광종합물류(인천여객)",Z432="인천여객(인천여객)"),"KRINF",IF(OR(Z432="선광인천보세(인천신)",Z432="한진인천(인천신)",Z432="선광인천신항(인천신)",Z432="인천더로지스(인천신)"),"KRINN",IF(OR(Z432="인천진아(인천항)",Z432="인천E1(인천항)",Z432="인천SM경인터미널(인천항)",Z432="인천항(인천항)",Z432="인천우련(인천항)",Z432="인천항8부두(인천항)"),"KRINC",VLOOKUP(K432,GLAPS정리!$BB$2:$BC$33,2,0))))))</f>
        <v>#N/A</v>
      </c>
      <c r="AL432" s="2">
        <f t="shared" si="95"/>
        <v>5010001</v>
      </c>
      <c r="AN432" s="70" t="str">
        <f t="shared" si="96"/>
        <v>1900-01-00</v>
      </c>
      <c r="AO432" s="2" t="str">
        <f t="shared" si="97"/>
        <v/>
      </c>
      <c r="AP432" s="2" t="e">
        <f>VLOOKUP(C432,GLAPS정리!$AX$2:$AZ$17,3,0)</f>
        <v>#N/A</v>
      </c>
      <c r="AR432" s="2">
        <f t="shared" si="103"/>
        <v>0</v>
      </c>
      <c r="AX432" s="2" t="e">
        <f>VLOOKUP(L432,GLAPS정리!$V$3:$W$180,2,0)</f>
        <v>#N/A</v>
      </c>
      <c r="BM432" s="2" t="str">
        <f t="shared" si="98"/>
        <v xml:space="preserve"> </v>
      </c>
      <c r="BN432" s="2">
        <f t="shared" si="99"/>
        <v>1</v>
      </c>
      <c r="BR432" s="2" t="str">
        <f t="shared" si="100"/>
        <v/>
      </c>
      <c r="BS432" s="2" t="str">
        <f t="shared" si="101"/>
        <v/>
      </c>
      <c r="BV432" s="2" t="e">
        <f>VLOOKUP(O432,GLAPS정리!$BH$2:$BI$94,2,0)</f>
        <v>#N/A</v>
      </c>
      <c r="BW432" s="2" t="str">
        <f>IF(OR(Z432="동원",Z432="세방",Z432="한타"),"",IFERROR(INDEX(GLAPS정리!$BI$2:$BI$101,MATCH(Z432,GLAPS정리!$BH$2:$BH$101,0)),""))</f>
        <v/>
      </c>
      <c r="BX432" s="2" t="str">
        <f>IF(Z432="","",IFERROR(VLOOKUP(Z432,GLAPS정리!$AX$2:$AZ$17,3,0),""))</f>
        <v/>
      </c>
      <c r="BZ432" s="2" t="e">
        <f>VLOOKUP(H432,GLAPS정리!$L$3:$O$133,2,0)</f>
        <v>#N/A</v>
      </c>
      <c r="CA432" s="2" t="str">
        <f t="shared" si="102"/>
        <v/>
      </c>
      <c r="CL432" s="2" t="e">
        <f>VLOOKUP(AI432,GLAPS정리!$BT$3:$BV$26,3,0)</f>
        <v>#N/A</v>
      </c>
    </row>
    <row r="433" spans="2:90" ht="20.45" customHeight="1">
      <c r="B433" s="13"/>
      <c r="G433" s="3"/>
      <c r="J433" s="3"/>
      <c r="Q433" s="3" t="str">
        <f t="shared" si="90"/>
        <v/>
      </c>
      <c r="R433" s="3" t="str">
        <f t="shared" si="91"/>
        <v/>
      </c>
      <c r="S433" s="3" t="str">
        <f t="shared" si="92"/>
        <v/>
      </c>
      <c r="X433" s="13"/>
      <c r="Y433" s="13"/>
      <c r="Z433" s="91"/>
      <c r="AC433" s="2">
        <f t="shared" si="93"/>
        <v>20</v>
      </c>
      <c r="AD433" s="2" t="str">
        <f>IFERROR(INDEX(GLAPS정리!$D$2:$D$50,MATCH(I433,GLAPS정리!$A$2:$A$50,0)),IFERROR(INDEX(GLAPS정리!$D$2:$D$50,MATCH(I433,GLAPS정리!$B$2:$B$50,0)),""))</f>
        <v/>
      </c>
      <c r="AF433" s="2" t="str">
        <f t="shared" si="94"/>
        <v>KR10</v>
      </c>
      <c r="AI433" s="2" t="e">
        <f>VLOOKUP(F433,GLAPS정리!$G$3:$J$114,2,0)</f>
        <v>#N/A</v>
      </c>
      <c r="AJ433" s="2" t="e">
        <f>IF(Z433="울산정일","KRONS",IF(Z433="울산신항","KRUSN",IF(OR(Z433="선광종합물류(인천여객)",Z433="인천여객(인천여객)"),"KRINF",IF(OR(Z433="선광인천보세(인천신)",Z433="한진인천(인천신)",Z433="선광인천신항(인천신)",Z433="인천더로지스(인천신)"),"KRINN",IF(OR(Z433="인천진아(인천항)",Z433="인천E1(인천항)",Z433="인천SM경인터미널(인천항)",Z433="인천항(인천항)",Z433="인천우련(인천항)",Z433="인천항8부두(인천항)"),"KRINC",VLOOKUP(K433,GLAPS정리!$BB$2:$BC$33,2,0))))))</f>
        <v>#N/A</v>
      </c>
      <c r="AL433" s="2">
        <f t="shared" si="95"/>
        <v>5010001</v>
      </c>
      <c r="AN433" s="70" t="str">
        <f t="shared" si="96"/>
        <v>1900-01-00</v>
      </c>
      <c r="AO433" s="2" t="str">
        <f t="shared" si="97"/>
        <v/>
      </c>
      <c r="AP433" s="2" t="e">
        <f>VLOOKUP(C433,GLAPS정리!$AX$2:$AZ$17,3,0)</f>
        <v>#N/A</v>
      </c>
      <c r="AR433" s="2">
        <f t="shared" si="103"/>
        <v>0</v>
      </c>
      <c r="AX433" s="2" t="e">
        <f>VLOOKUP(L433,GLAPS정리!$V$3:$W$180,2,0)</f>
        <v>#N/A</v>
      </c>
      <c r="BM433" s="2" t="str">
        <f t="shared" si="98"/>
        <v xml:space="preserve"> </v>
      </c>
      <c r="BN433" s="2">
        <f t="shared" si="99"/>
        <v>1</v>
      </c>
      <c r="BR433" s="2" t="str">
        <f t="shared" si="100"/>
        <v/>
      </c>
      <c r="BS433" s="2" t="str">
        <f t="shared" si="101"/>
        <v/>
      </c>
      <c r="BV433" s="2" t="e">
        <f>VLOOKUP(O433,GLAPS정리!$BH$2:$BI$94,2,0)</f>
        <v>#N/A</v>
      </c>
      <c r="BW433" s="2" t="str">
        <f>IF(OR(Z433="동원",Z433="세방",Z433="한타"),"",IFERROR(INDEX(GLAPS정리!$BI$2:$BI$101,MATCH(Z433,GLAPS정리!$BH$2:$BH$101,0)),""))</f>
        <v/>
      </c>
      <c r="BX433" s="2" t="str">
        <f>IF(Z433="","",IFERROR(VLOOKUP(Z433,GLAPS정리!$AX$2:$AZ$17,3,0),""))</f>
        <v/>
      </c>
      <c r="BZ433" s="2" t="e">
        <f>VLOOKUP(H433,GLAPS정리!$L$3:$O$133,2,0)</f>
        <v>#N/A</v>
      </c>
      <c r="CA433" s="2" t="str">
        <f t="shared" si="102"/>
        <v/>
      </c>
      <c r="CL433" s="2" t="e">
        <f>VLOOKUP(AI433,GLAPS정리!$BT$3:$BV$26,3,0)</f>
        <v>#N/A</v>
      </c>
    </row>
    <row r="434" spans="2:90" ht="20.45" customHeight="1">
      <c r="B434" s="13"/>
      <c r="G434" s="3"/>
      <c r="J434" s="3"/>
      <c r="Q434" s="3" t="str">
        <f t="shared" si="90"/>
        <v/>
      </c>
      <c r="R434" s="3" t="str">
        <f t="shared" si="91"/>
        <v/>
      </c>
      <c r="S434" s="3" t="str">
        <f t="shared" si="92"/>
        <v/>
      </c>
      <c r="X434" s="13"/>
      <c r="Y434" s="13"/>
      <c r="Z434" s="91"/>
      <c r="AC434" s="2">
        <f t="shared" si="93"/>
        <v>20</v>
      </c>
      <c r="AD434" s="2" t="str">
        <f>IFERROR(INDEX(GLAPS정리!$D$2:$D$50,MATCH(I434,GLAPS정리!$A$2:$A$50,0)),IFERROR(INDEX(GLAPS정리!$D$2:$D$50,MATCH(I434,GLAPS정리!$B$2:$B$50,0)),""))</f>
        <v/>
      </c>
      <c r="AF434" s="2" t="str">
        <f t="shared" si="94"/>
        <v>KR10</v>
      </c>
      <c r="AI434" s="2" t="e">
        <f>VLOOKUP(F434,GLAPS정리!$G$3:$J$114,2,0)</f>
        <v>#N/A</v>
      </c>
      <c r="AJ434" s="2" t="e">
        <f>IF(Z434="울산정일","KRONS",IF(Z434="울산신항","KRUSN",IF(OR(Z434="선광종합물류(인천여객)",Z434="인천여객(인천여객)"),"KRINF",IF(OR(Z434="선광인천보세(인천신)",Z434="한진인천(인천신)",Z434="선광인천신항(인천신)",Z434="인천더로지스(인천신)"),"KRINN",IF(OR(Z434="인천진아(인천항)",Z434="인천E1(인천항)",Z434="인천SM경인터미널(인천항)",Z434="인천항(인천항)",Z434="인천우련(인천항)",Z434="인천항8부두(인천항)"),"KRINC",VLOOKUP(K434,GLAPS정리!$BB$2:$BC$33,2,0))))))</f>
        <v>#N/A</v>
      </c>
      <c r="AL434" s="2">
        <f t="shared" si="95"/>
        <v>5010001</v>
      </c>
      <c r="AN434" s="70" t="str">
        <f t="shared" si="96"/>
        <v>1900-01-00</v>
      </c>
      <c r="AO434" s="2" t="str">
        <f t="shared" si="97"/>
        <v/>
      </c>
      <c r="AP434" s="2" t="e">
        <f>VLOOKUP(C434,GLAPS정리!$AX$2:$AZ$17,3,0)</f>
        <v>#N/A</v>
      </c>
      <c r="AR434" s="2">
        <f t="shared" si="103"/>
        <v>0</v>
      </c>
      <c r="AX434" s="2" t="e">
        <f>VLOOKUP(L434,GLAPS정리!$V$3:$W$180,2,0)</f>
        <v>#N/A</v>
      </c>
      <c r="BM434" s="2" t="str">
        <f t="shared" si="98"/>
        <v xml:space="preserve"> </v>
      </c>
      <c r="BN434" s="2">
        <f t="shared" si="99"/>
        <v>1</v>
      </c>
      <c r="BR434" s="2" t="str">
        <f t="shared" si="100"/>
        <v/>
      </c>
      <c r="BS434" s="2" t="str">
        <f t="shared" si="101"/>
        <v/>
      </c>
      <c r="BV434" s="2" t="e">
        <f>VLOOKUP(O434,GLAPS정리!$BH$2:$BI$94,2,0)</f>
        <v>#N/A</v>
      </c>
      <c r="BW434" s="2" t="str">
        <f>IF(OR(Z434="동원",Z434="세방",Z434="한타"),"",IFERROR(INDEX(GLAPS정리!$BI$2:$BI$101,MATCH(Z434,GLAPS정리!$BH$2:$BH$101,0)),""))</f>
        <v/>
      </c>
      <c r="BX434" s="2" t="str">
        <f>IF(Z434="","",IFERROR(VLOOKUP(Z434,GLAPS정리!$AX$2:$AZ$17,3,0),""))</f>
        <v/>
      </c>
      <c r="BZ434" s="2" t="e">
        <f>VLOOKUP(H434,GLAPS정리!$L$3:$O$133,2,0)</f>
        <v>#N/A</v>
      </c>
      <c r="CA434" s="2" t="str">
        <f t="shared" si="102"/>
        <v/>
      </c>
      <c r="CL434" s="2" t="e">
        <f>VLOOKUP(AI434,GLAPS정리!$BT$3:$BV$26,3,0)</f>
        <v>#N/A</v>
      </c>
    </row>
    <row r="435" spans="2:90" ht="20.45" customHeight="1">
      <c r="B435" s="13"/>
      <c r="G435" s="3"/>
      <c r="J435" s="3"/>
      <c r="Q435" s="3" t="str">
        <f t="shared" si="90"/>
        <v/>
      </c>
      <c r="R435" s="3" t="str">
        <f t="shared" si="91"/>
        <v/>
      </c>
      <c r="S435" s="3" t="str">
        <f t="shared" si="92"/>
        <v/>
      </c>
      <c r="X435" s="13"/>
      <c r="Y435" s="13"/>
      <c r="Z435" s="91"/>
      <c r="AC435" s="2">
        <f t="shared" si="93"/>
        <v>20</v>
      </c>
      <c r="AD435" s="2" t="str">
        <f>IFERROR(INDEX(GLAPS정리!$D$2:$D$50,MATCH(I435,GLAPS정리!$A$2:$A$50,0)),IFERROR(INDEX(GLAPS정리!$D$2:$D$50,MATCH(I435,GLAPS정리!$B$2:$B$50,0)),""))</f>
        <v/>
      </c>
      <c r="AF435" s="2" t="str">
        <f t="shared" si="94"/>
        <v>KR10</v>
      </c>
      <c r="AI435" s="2" t="e">
        <f>VLOOKUP(F435,GLAPS정리!$G$3:$J$114,2,0)</f>
        <v>#N/A</v>
      </c>
      <c r="AJ435" s="2" t="e">
        <f>IF(Z435="울산정일","KRONS",IF(Z435="울산신항","KRUSN",IF(OR(Z435="선광종합물류(인천여객)",Z435="인천여객(인천여객)"),"KRINF",IF(OR(Z435="선광인천보세(인천신)",Z435="한진인천(인천신)",Z435="선광인천신항(인천신)",Z435="인천더로지스(인천신)"),"KRINN",IF(OR(Z435="인천진아(인천항)",Z435="인천E1(인천항)",Z435="인천SM경인터미널(인천항)",Z435="인천항(인천항)",Z435="인천우련(인천항)",Z435="인천항8부두(인천항)"),"KRINC",VLOOKUP(K435,GLAPS정리!$BB$2:$BC$33,2,0))))))</f>
        <v>#N/A</v>
      </c>
      <c r="AL435" s="2">
        <f t="shared" si="95"/>
        <v>5010001</v>
      </c>
      <c r="AN435" s="70" t="str">
        <f t="shared" si="96"/>
        <v>1900-01-00</v>
      </c>
      <c r="AO435" s="2" t="str">
        <f t="shared" si="97"/>
        <v/>
      </c>
      <c r="AP435" s="2" t="e">
        <f>VLOOKUP(C435,GLAPS정리!$AX$2:$AZ$17,3,0)</f>
        <v>#N/A</v>
      </c>
      <c r="AR435" s="2">
        <f t="shared" si="103"/>
        <v>0</v>
      </c>
      <c r="AX435" s="2" t="e">
        <f>VLOOKUP(L435,GLAPS정리!$V$3:$W$180,2,0)</f>
        <v>#N/A</v>
      </c>
      <c r="BM435" s="2" t="str">
        <f t="shared" si="98"/>
        <v xml:space="preserve"> </v>
      </c>
      <c r="BN435" s="2">
        <f t="shared" si="99"/>
        <v>1</v>
      </c>
      <c r="BR435" s="2" t="str">
        <f t="shared" si="100"/>
        <v/>
      </c>
      <c r="BS435" s="2" t="str">
        <f t="shared" si="101"/>
        <v/>
      </c>
      <c r="BV435" s="2" t="e">
        <f>VLOOKUP(O435,GLAPS정리!$BH$2:$BI$94,2,0)</f>
        <v>#N/A</v>
      </c>
      <c r="BW435" s="2" t="str">
        <f>IF(OR(Z435="동원",Z435="세방",Z435="한타"),"",IFERROR(INDEX(GLAPS정리!$BI$2:$BI$101,MATCH(Z435,GLAPS정리!$BH$2:$BH$101,0)),""))</f>
        <v/>
      </c>
      <c r="BX435" s="2" t="str">
        <f>IF(Z435="","",IFERROR(VLOOKUP(Z435,GLAPS정리!$AX$2:$AZ$17,3,0),""))</f>
        <v/>
      </c>
      <c r="BZ435" s="2" t="e">
        <f>VLOOKUP(H435,GLAPS정리!$L$3:$O$133,2,0)</f>
        <v>#N/A</v>
      </c>
      <c r="CA435" s="2" t="str">
        <f t="shared" si="102"/>
        <v/>
      </c>
      <c r="CL435" s="2" t="e">
        <f>VLOOKUP(AI435,GLAPS정리!$BT$3:$BV$26,3,0)</f>
        <v>#N/A</v>
      </c>
    </row>
    <row r="436" spans="2:90" ht="20.45" customHeight="1">
      <c r="B436" s="13"/>
      <c r="G436" s="3"/>
      <c r="J436" s="3"/>
      <c r="Q436" s="3" t="str">
        <f t="shared" si="90"/>
        <v/>
      </c>
      <c r="R436" s="3" t="str">
        <f t="shared" si="91"/>
        <v/>
      </c>
      <c r="S436" s="3" t="str">
        <f t="shared" si="92"/>
        <v/>
      </c>
      <c r="X436" s="13"/>
      <c r="Y436" s="13"/>
      <c r="Z436" s="91"/>
      <c r="AC436" s="2">
        <f t="shared" si="93"/>
        <v>20</v>
      </c>
      <c r="AD436" s="2" t="str">
        <f>IFERROR(INDEX(GLAPS정리!$D$2:$D$50,MATCH(I436,GLAPS정리!$A$2:$A$50,0)),IFERROR(INDEX(GLAPS정리!$D$2:$D$50,MATCH(I436,GLAPS정리!$B$2:$B$50,0)),""))</f>
        <v/>
      </c>
      <c r="AF436" s="2" t="str">
        <f t="shared" si="94"/>
        <v>KR10</v>
      </c>
      <c r="AI436" s="2" t="e">
        <f>VLOOKUP(F436,GLAPS정리!$G$3:$J$114,2,0)</f>
        <v>#N/A</v>
      </c>
      <c r="AJ436" s="2" t="e">
        <f>IF(Z436="울산정일","KRONS",IF(Z436="울산신항","KRUSN",IF(OR(Z436="선광종합물류(인천여객)",Z436="인천여객(인천여객)"),"KRINF",IF(OR(Z436="선광인천보세(인천신)",Z436="한진인천(인천신)",Z436="선광인천신항(인천신)",Z436="인천더로지스(인천신)"),"KRINN",IF(OR(Z436="인천진아(인천항)",Z436="인천E1(인천항)",Z436="인천SM경인터미널(인천항)",Z436="인천항(인천항)",Z436="인천우련(인천항)",Z436="인천항8부두(인천항)"),"KRINC",VLOOKUP(K436,GLAPS정리!$BB$2:$BC$33,2,0))))))</f>
        <v>#N/A</v>
      </c>
      <c r="AL436" s="2">
        <f t="shared" si="95"/>
        <v>5010001</v>
      </c>
      <c r="AN436" s="70" t="str">
        <f t="shared" si="96"/>
        <v>1900-01-00</v>
      </c>
      <c r="AO436" s="2" t="str">
        <f t="shared" si="97"/>
        <v/>
      </c>
      <c r="AP436" s="2" t="e">
        <f>VLOOKUP(C436,GLAPS정리!$AX$2:$AZ$17,3,0)</f>
        <v>#N/A</v>
      </c>
      <c r="AR436" s="2">
        <f t="shared" si="103"/>
        <v>0</v>
      </c>
      <c r="AX436" s="2" t="e">
        <f>VLOOKUP(L436,GLAPS정리!$V$3:$W$180,2,0)</f>
        <v>#N/A</v>
      </c>
      <c r="BM436" s="2" t="str">
        <f t="shared" si="98"/>
        <v xml:space="preserve"> </v>
      </c>
      <c r="BN436" s="2">
        <f t="shared" si="99"/>
        <v>1</v>
      </c>
      <c r="BR436" s="2" t="str">
        <f t="shared" si="100"/>
        <v/>
      </c>
      <c r="BS436" s="2" t="str">
        <f t="shared" si="101"/>
        <v/>
      </c>
      <c r="BV436" s="2" t="e">
        <f>VLOOKUP(O436,GLAPS정리!$BH$2:$BI$94,2,0)</f>
        <v>#N/A</v>
      </c>
      <c r="BW436" s="2" t="str">
        <f>IF(OR(Z436="동원",Z436="세방",Z436="한타"),"",IFERROR(INDEX(GLAPS정리!$BI$2:$BI$101,MATCH(Z436,GLAPS정리!$BH$2:$BH$101,0)),""))</f>
        <v/>
      </c>
      <c r="BX436" s="2" t="str">
        <f>IF(Z436="","",IFERROR(VLOOKUP(Z436,GLAPS정리!$AX$2:$AZ$17,3,0),""))</f>
        <v/>
      </c>
      <c r="BZ436" s="2" t="e">
        <f>VLOOKUP(H436,GLAPS정리!$L$3:$O$133,2,0)</f>
        <v>#N/A</v>
      </c>
      <c r="CA436" s="2" t="str">
        <f t="shared" si="102"/>
        <v/>
      </c>
      <c r="CL436" s="2" t="e">
        <f>VLOOKUP(AI436,GLAPS정리!$BT$3:$BV$26,3,0)</f>
        <v>#N/A</v>
      </c>
    </row>
    <row r="437" spans="2:90" ht="20.45" customHeight="1">
      <c r="B437" s="13"/>
      <c r="G437" s="3"/>
      <c r="J437" s="3"/>
      <c r="Q437" s="3" t="str">
        <f t="shared" si="90"/>
        <v/>
      </c>
      <c r="R437" s="3" t="str">
        <f t="shared" si="91"/>
        <v/>
      </c>
      <c r="S437" s="3" t="str">
        <f t="shared" si="92"/>
        <v/>
      </c>
      <c r="X437" s="13"/>
      <c r="Y437" s="13"/>
      <c r="Z437" s="91"/>
      <c r="AC437" s="2">
        <f t="shared" si="93"/>
        <v>20</v>
      </c>
      <c r="AD437" s="2" t="str">
        <f>IFERROR(INDEX(GLAPS정리!$D$2:$D$50,MATCH(I437,GLAPS정리!$A$2:$A$50,0)),IFERROR(INDEX(GLAPS정리!$D$2:$D$50,MATCH(I437,GLAPS정리!$B$2:$B$50,0)),""))</f>
        <v/>
      </c>
      <c r="AF437" s="2" t="str">
        <f t="shared" si="94"/>
        <v>KR10</v>
      </c>
      <c r="AI437" s="2" t="e">
        <f>VLOOKUP(F437,GLAPS정리!$G$3:$J$114,2,0)</f>
        <v>#N/A</v>
      </c>
      <c r="AJ437" s="2" t="e">
        <f>IF(Z437="울산정일","KRONS",IF(Z437="울산신항","KRUSN",IF(OR(Z437="선광종합물류(인천여객)",Z437="인천여객(인천여객)"),"KRINF",IF(OR(Z437="선광인천보세(인천신)",Z437="한진인천(인천신)",Z437="선광인천신항(인천신)",Z437="인천더로지스(인천신)"),"KRINN",IF(OR(Z437="인천진아(인천항)",Z437="인천E1(인천항)",Z437="인천SM경인터미널(인천항)",Z437="인천항(인천항)",Z437="인천우련(인천항)",Z437="인천항8부두(인천항)"),"KRINC",VLOOKUP(K437,GLAPS정리!$BB$2:$BC$33,2,0))))))</f>
        <v>#N/A</v>
      </c>
      <c r="AL437" s="2">
        <f t="shared" si="95"/>
        <v>5010001</v>
      </c>
      <c r="AN437" s="70" t="str">
        <f t="shared" si="96"/>
        <v>1900-01-00</v>
      </c>
      <c r="AO437" s="2" t="str">
        <f t="shared" si="97"/>
        <v/>
      </c>
      <c r="AP437" s="2" t="e">
        <f>VLOOKUP(C437,GLAPS정리!$AX$2:$AZ$17,3,0)</f>
        <v>#N/A</v>
      </c>
      <c r="AR437" s="2">
        <f t="shared" si="103"/>
        <v>0</v>
      </c>
      <c r="AX437" s="2" t="e">
        <f>VLOOKUP(L437,GLAPS정리!$V$3:$W$180,2,0)</f>
        <v>#N/A</v>
      </c>
      <c r="BM437" s="2" t="str">
        <f t="shared" si="98"/>
        <v xml:space="preserve"> </v>
      </c>
      <c r="BN437" s="2">
        <f t="shared" si="99"/>
        <v>1</v>
      </c>
      <c r="BR437" s="2" t="str">
        <f t="shared" si="100"/>
        <v/>
      </c>
      <c r="BS437" s="2" t="str">
        <f t="shared" si="101"/>
        <v/>
      </c>
      <c r="BV437" s="2" t="e">
        <f>VLOOKUP(O437,GLAPS정리!$BH$2:$BI$94,2,0)</f>
        <v>#N/A</v>
      </c>
      <c r="BW437" s="2" t="str">
        <f>IF(OR(Z437="동원",Z437="세방",Z437="한타"),"",IFERROR(INDEX(GLAPS정리!$BI$2:$BI$101,MATCH(Z437,GLAPS정리!$BH$2:$BH$101,0)),""))</f>
        <v/>
      </c>
      <c r="BX437" s="2" t="str">
        <f>IF(Z437="","",IFERROR(VLOOKUP(Z437,GLAPS정리!$AX$2:$AZ$17,3,0),""))</f>
        <v/>
      </c>
      <c r="BZ437" s="2" t="e">
        <f>VLOOKUP(H437,GLAPS정리!$L$3:$O$133,2,0)</f>
        <v>#N/A</v>
      </c>
      <c r="CA437" s="2" t="str">
        <f t="shared" si="102"/>
        <v/>
      </c>
      <c r="CL437" s="2" t="e">
        <f>VLOOKUP(AI437,GLAPS정리!$BT$3:$BV$26,3,0)</f>
        <v>#N/A</v>
      </c>
    </row>
    <row r="438" spans="2:90" ht="20.45" customHeight="1">
      <c r="B438" s="13"/>
      <c r="G438" s="3"/>
      <c r="J438" s="3"/>
      <c r="Q438" s="3" t="str">
        <f t="shared" si="90"/>
        <v/>
      </c>
      <c r="R438" s="3" t="str">
        <f t="shared" si="91"/>
        <v/>
      </c>
      <c r="S438" s="3" t="str">
        <f t="shared" si="92"/>
        <v/>
      </c>
      <c r="X438" s="13"/>
      <c r="Y438" s="13"/>
      <c r="Z438" s="91"/>
      <c r="AC438" s="2">
        <f t="shared" si="93"/>
        <v>20</v>
      </c>
      <c r="AD438" s="2" t="str">
        <f>IFERROR(INDEX(GLAPS정리!$D$2:$D$50,MATCH(I438,GLAPS정리!$A$2:$A$50,0)),IFERROR(INDEX(GLAPS정리!$D$2:$D$50,MATCH(I438,GLAPS정리!$B$2:$B$50,0)),""))</f>
        <v/>
      </c>
      <c r="AF438" s="2" t="str">
        <f t="shared" si="94"/>
        <v>KR10</v>
      </c>
      <c r="AI438" s="2" t="e">
        <f>VLOOKUP(F438,GLAPS정리!$G$3:$J$114,2,0)</f>
        <v>#N/A</v>
      </c>
      <c r="AJ438" s="2" t="e">
        <f>IF(Z438="울산정일","KRONS",IF(Z438="울산신항","KRUSN",IF(OR(Z438="선광종합물류(인천여객)",Z438="인천여객(인천여객)"),"KRINF",IF(OR(Z438="선광인천보세(인천신)",Z438="한진인천(인천신)",Z438="선광인천신항(인천신)",Z438="인천더로지스(인천신)"),"KRINN",IF(OR(Z438="인천진아(인천항)",Z438="인천E1(인천항)",Z438="인천SM경인터미널(인천항)",Z438="인천항(인천항)",Z438="인천우련(인천항)",Z438="인천항8부두(인천항)"),"KRINC",VLOOKUP(K438,GLAPS정리!$BB$2:$BC$33,2,0))))))</f>
        <v>#N/A</v>
      </c>
      <c r="AL438" s="2">
        <f t="shared" si="95"/>
        <v>5010001</v>
      </c>
      <c r="AN438" s="70" t="str">
        <f t="shared" si="96"/>
        <v>1900-01-00</v>
      </c>
      <c r="AO438" s="2" t="str">
        <f t="shared" si="97"/>
        <v/>
      </c>
      <c r="AP438" s="2" t="e">
        <f>VLOOKUP(C438,GLAPS정리!$AX$2:$AZ$17,3,0)</f>
        <v>#N/A</v>
      </c>
      <c r="AR438" s="2">
        <f t="shared" si="103"/>
        <v>0</v>
      </c>
      <c r="AX438" s="2" t="e">
        <f>VLOOKUP(L438,GLAPS정리!$V$3:$W$180,2,0)</f>
        <v>#N/A</v>
      </c>
      <c r="BM438" s="2" t="str">
        <f t="shared" si="98"/>
        <v xml:space="preserve"> </v>
      </c>
      <c r="BN438" s="2">
        <f t="shared" si="99"/>
        <v>1</v>
      </c>
      <c r="BR438" s="2" t="str">
        <f t="shared" si="100"/>
        <v/>
      </c>
      <c r="BS438" s="2" t="str">
        <f t="shared" si="101"/>
        <v/>
      </c>
      <c r="BV438" s="2" t="e">
        <f>VLOOKUP(O438,GLAPS정리!$BH$2:$BI$94,2,0)</f>
        <v>#N/A</v>
      </c>
      <c r="BW438" s="2" t="str">
        <f>IF(OR(Z438="동원",Z438="세방",Z438="한타"),"",IFERROR(INDEX(GLAPS정리!$BI$2:$BI$101,MATCH(Z438,GLAPS정리!$BH$2:$BH$101,0)),""))</f>
        <v/>
      </c>
      <c r="BX438" s="2" t="str">
        <f>IF(Z438="","",IFERROR(VLOOKUP(Z438,GLAPS정리!$AX$2:$AZ$17,3,0),""))</f>
        <v/>
      </c>
      <c r="BZ438" s="2" t="e">
        <f>VLOOKUP(H438,GLAPS정리!$L$3:$O$133,2,0)</f>
        <v>#N/A</v>
      </c>
      <c r="CA438" s="2" t="str">
        <f t="shared" si="102"/>
        <v/>
      </c>
      <c r="CL438" s="2" t="e">
        <f>VLOOKUP(AI438,GLAPS정리!$BT$3:$BV$26,3,0)</f>
        <v>#N/A</v>
      </c>
    </row>
    <row r="439" spans="2:90" ht="20.45" customHeight="1">
      <c r="B439" s="13"/>
      <c r="G439" s="3"/>
      <c r="J439" s="3"/>
      <c r="Q439" s="3" t="str">
        <f t="shared" si="90"/>
        <v/>
      </c>
      <c r="R439" s="3" t="str">
        <f t="shared" si="91"/>
        <v/>
      </c>
      <c r="S439" s="3" t="str">
        <f t="shared" si="92"/>
        <v/>
      </c>
      <c r="X439" s="13"/>
      <c r="Y439" s="13"/>
      <c r="Z439" s="91"/>
      <c r="AC439" s="2">
        <f t="shared" si="93"/>
        <v>20</v>
      </c>
      <c r="AD439" s="2" t="str">
        <f>IFERROR(INDEX(GLAPS정리!$D$2:$D$50,MATCH(I439,GLAPS정리!$A$2:$A$50,0)),IFERROR(INDEX(GLAPS정리!$D$2:$D$50,MATCH(I439,GLAPS정리!$B$2:$B$50,0)),""))</f>
        <v/>
      </c>
      <c r="AF439" s="2" t="str">
        <f t="shared" si="94"/>
        <v>KR10</v>
      </c>
      <c r="AI439" s="2" t="e">
        <f>VLOOKUP(F439,GLAPS정리!$G$3:$J$114,2,0)</f>
        <v>#N/A</v>
      </c>
      <c r="AJ439" s="2" t="e">
        <f>IF(Z439="울산정일","KRONS",IF(Z439="울산신항","KRUSN",IF(OR(Z439="선광종합물류(인천여객)",Z439="인천여객(인천여객)"),"KRINF",IF(OR(Z439="선광인천보세(인천신)",Z439="한진인천(인천신)",Z439="선광인천신항(인천신)",Z439="인천더로지스(인천신)"),"KRINN",IF(OR(Z439="인천진아(인천항)",Z439="인천E1(인천항)",Z439="인천SM경인터미널(인천항)",Z439="인천항(인천항)",Z439="인천우련(인천항)",Z439="인천항8부두(인천항)"),"KRINC",VLOOKUP(K439,GLAPS정리!$BB$2:$BC$33,2,0))))))</f>
        <v>#N/A</v>
      </c>
      <c r="AL439" s="2">
        <f t="shared" si="95"/>
        <v>5010001</v>
      </c>
      <c r="AN439" s="70" t="str">
        <f t="shared" si="96"/>
        <v>1900-01-00</v>
      </c>
      <c r="AO439" s="2" t="str">
        <f t="shared" si="97"/>
        <v/>
      </c>
      <c r="AP439" s="2" t="e">
        <f>VLOOKUP(C439,GLAPS정리!$AX$2:$AZ$17,3,0)</f>
        <v>#N/A</v>
      </c>
      <c r="AR439" s="2">
        <f t="shared" si="103"/>
        <v>0</v>
      </c>
      <c r="AX439" s="2" t="e">
        <f>VLOOKUP(L439,GLAPS정리!$V$3:$W$180,2,0)</f>
        <v>#N/A</v>
      </c>
      <c r="BM439" s="2" t="str">
        <f t="shared" si="98"/>
        <v xml:space="preserve"> </v>
      </c>
      <c r="BN439" s="2">
        <f t="shared" si="99"/>
        <v>1</v>
      </c>
      <c r="BR439" s="2" t="str">
        <f t="shared" si="100"/>
        <v/>
      </c>
      <c r="BS439" s="2" t="str">
        <f t="shared" si="101"/>
        <v/>
      </c>
      <c r="BV439" s="2" t="e">
        <f>VLOOKUP(O439,GLAPS정리!$BH$2:$BI$94,2,0)</f>
        <v>#N/A</v>
      </c>
      <c r="BW439" s="2" t="str">
        <f>IF(OR(Z439="동원",Z439="세방",Z439="한타"),"",IFERROR(INDEX(GLAPS정리!$BI$2:$BI$101,MATCH(Z439,GLAPS정리!$BH$2:$BH$101,0)),""))</f>
        <v/>
      </c>
      <c r="BX439" s="2" t="str">
        <f>IF(Z439="","",IFERROR(VLOOKUP(Z439,GLAPS정리!$AX$2:$AZ$17,3,0),""))</f>
        <v/>
      </c>
      <c r="BZ439" s="2" t="e">
        <f>VLOOKUP(H439,GLAPS정리!$L$3:$O$133,2,0)</f>
        <v>#N/A</v>
      </c>
      <c r="CA439" s="2" t="str">
        <f t="shared" si="102"/>
        <v/>
      </c>
      <c r="CL439" s="2" t="e">
        <f>VLOOKUP(AI439,GLAPS정리!$BT$3:$BV$26,3,0)</f>
        <v>#N/A</v>
      </c>
    </row>
    <row r="440" spans="2:90" ht="20.45" customHeight="1">
      <c r="B440" s="13"/>
      <c r="G440" s="3"/>
      <c r="J440" s="3"/>
      <c r="Q440" s="3" t="str">
        <f t="shared" si="90"/>
        <v/>
      </c>
      <c r="R440" s="3" t="str">
        <f t="shared" si="91"/>
        <v/>
      </c>
      <c r="S440" s="3" t="str">
        <f t="shared" si="92"/>
        <v/>
      </c>
      <c r="X440" s="13"/>
      <c r="Y440" s="13"/>
      <c r="Z440" s="91"/>
      <c r="AC440" s="2">
        <f t="shared" si="93"/>
        <v>20</v>
      </c>
      <c r="AD440" s="2" t="str">
        <f>IFERROR(INDEX(GLAPS정리!$D$2:$D$50,MATCH(I440,GLAPS정리!$A$2:$A$50,0)),IFERROR(INDEX(GLAPS정리!$D$2:$D$50,MATCH(I440,GLAPS정리!$B$2:$B$50,0)),""))</f>
        <v/>
      </c>
      <c r="AF440" s="2" t="str">
        <f t="shared" si="94"/>
        <v>KR10</v>
      </c>
      <c r="AI440" s="2" t="e">
        <f>VLOOKUP(F440,GLAPS정리!$G$3:$J$114,2,0)</f>
        <v>#N/A</v>
      </c>
      <c r="AJ440" s="2" t="e">
        <f>IF(Z440="울산정일","KRONS",IF(Z440="울산신항","KRUSN",IF(OR(Z440="선광종합물류(인천여객)",Z440="인천여객(인천여객)"),"KRINF",IF(OR(Z440="선광인천보세(인천신)",Z440="한진인천(인천신)",Z440="선광인천신항(인천신)",Z440="인천더로지스(인천신)"),"KRINN",IF(OR(Z440="인천진아(인천항)",Z440="인천E1(인천항)",Z440="인천SM경인터미널(인천항)",Z440="인천항(인천항)",Z440="인천우련(인천항)",Z440="인천항8부두(인천항)"),"KRINC",VLOOKUP(K440,GLAPS정리!$BB$2:$BC$33,2,0))))))</f>
        <v>#N/A</v>
      </c>
      <c r="AL440" s="2">
        <f t="shared" si="95"/>
        <v>5010001</v>
      </c>
      <c r="AN440" s="70" t="str">
        <f t="shared" si="96"/>
        <v>1900-01-00</v>
      </c>
      <c r="AO440" s="2" t="str">
        <f t="shared" si="97"/>
        <v/>
      </c>
      <c r="AP440" s="2" t="e">
        <f>VLOOKUP(C440,GLAPS정리!$AX$2:$AZ$17,3,0)</f>
        <v>#N/A</v>
      </c>
      <c r="AR440" s="2">
        <f t="shared" si="103"/>
        <v>0</v>
      </c>
      <c r="AX440" s="2" t="e">
        <f>VLOOKUP(L440,GLAPS정리!$V$3:$W$180,2,0)</f>
        <v>#N/A</v>
      </c>
      <c r="BM440" s="2" t="str">
        <f t="shared" si="98"/>
        <v xml:space="preserve"> </v>
      </c>
      <c r="BN440" s="2">
        <f t="shared" si="99"/>
        <v>1</v>
      </c>
      <c r="BR440" s="2" t="str">
        <f t="shared" si="100"/>
        <v/>
      </c>
      <c r="BS440" s="2" t="str">
        <f t="shared" si="101"/>
        <v/>
      </c>
      <c r="BV440" s="2" t="e">
        <f>VLOOKUP(O440,GLAPS정리!$BH$2:$BI$94,2,0)</f>
        <v>#N/A</v>
      </c>
      <c r="BW440" s="2" t="str">
        <f>IF(OR(Z440="동원",Z440="세방",Z440="한타"),"",IFERROR(INDEX(GLAPS정리!$BI$2:$BI$101,MATCH(Z440,GLAPS정리!$BH$2:$BH$101,0)),""))</f>
        <v/>
      </c>
      <c r="BX440" s="2" t="str">
        <f>IF(Z440="","",IFERROR(VLOOKUP(Z440,GLAPS정리!$AX$2:$AZ$17,3,0),""))</f>
        <v/>
      </c>
      <c r="BZ440" s="2" t="e">
        <f>VLOOKUP(H440,GLAPS정리!$L$3:$O$133,2,0)</f>
        <v>#N/A</v>
      </c>
      <c r="CA440" s="2" t="str">
        <f t="shared" si="102"/>
        <v/>
      </c>
      <c r="CL440" s="2" t="e">
        <f>VLOOKUP(AI440,GLAPS정리!$BT$3:$BV$26,3,0)</f>
        <v>#N/A</v>
      </c>
    </row>
    <row r="441" spans="2:90" ht="20.45" customHeight="1">
      <c r="B441" s="13"/>
      <c r="G441" s="3"/>
      <c r="J441" s="3"/>
      <c r="Q441" s="3" t="str">
        <f t="shared" si="90"/>
        <v/>
      </c>
      <c r="R441" s="3" t="str">
        <f t="shared" si="91"/>
        <v/>
      </c>
      <c r="S441" s="3" t="str">
        <f t="shared" si="92"/>
        <v/>
      </c>
      <c r="X441" s="13"/>
      <c r="Y441" s="13"/>
      <c r="Z441" s="91"/>
      <c r="AC441" s="2">
        <f t="shared" si="93"/>
        <v>20</v>
      </c>
      <c r="AD441" s="2" t="str">
        <f>IFERROR(INDEX(GLAPS정리!$D$2:$D$50,MATCH(I441,GLAPS정리!$A$2:$A$50,0)),IFERROR(INDEX(GLAPS정리!$D$2:$D$50,MATCH(I441,GLAPS정리!$B$2:$B$50,0)),""))</f>
        <v/>
      </c>
      <c r="AF441" s="2" t="str">
        <f t="shared" si="94"/>
        <v>KR10</v>
      </c>
      <c r="AI441" s="2" t="e">
        <f>VLOOKUP(F441,GLAPS정리!$G$3:$J$114,2,0)</f>
        <v>#N/A</v>
      </c>
      <c r="AJ441" s="2" t="e">
        <f>IF(Z441="울산정일","KRONS",IF(Z441="울산신항","KRUSN",IF(OR(Z441="선광종합물류(인천여객)",Z441="인천여객(인천여객)"),"KRINF",IF(OR(Z441="선광인천보세(인천신)",Z441="한진인천(인천신)",Z441="선광인천신항(인천신)",Z441="인천더로지스(인천신)"),"KRINN",IF(OR(Z441="인천진아(인천항)",Z441="인천E1(인천항)",Z441="인천SM경인터미널(인천항)",Z441="인천항(인천항)",Z441="인천우련(인천항)",Z441="인천항8부두(인천항)"),"KRINC",VLOOKUP(K441,GLAPS정리!$BB$2:$BC$33,2,0))))))</f>
        <v>#N/A</v>
      </c>
      <c r="AL441" s="2">
        <f t="shared" si="95"/>
        <v>5010001</v>
      </c>
      <c r="AN441" s="70" t="str">
        <f t="shared" si="96"/>
        <v>1900-01-00</v>
      </c>
      <c r="AO441" s="2" t="str">
        <f t="shared" si="97"/>
        <v/>
      </c>
      <c r="AP441" s="2" t="e">
        <f>VLOOKUP(C441,GLAPS정리!$AX$2:$AZ$17,3,0)</f>
        <v>#N/A</v>
      </c>
      <c r="AR441" s="2">
        <f t="shared" si="103"/>
        <v>0</v>
      </c>
      <c r="AX441" s="2" t="e">
        <f>VLOOKUP(L441,GLAPS정리!$V$3:$W$180,2,0)</f>
        <v>#N/A</v>
      </c>
      <c r="BM441" s="2" t="str">
        <f t="shared" si="98"/>
        <v xml:space="preserve"> </v>
      </c>
      <c r="BN441" s="2">
        <f t="shared" si="99"/>
        <v>1</v>
      </c>
      <c r="BR441" s="2" t="str">
        <f t="shared" si="100"/>
        <v/>
      </c>
      <c r="BS441" s="2" t="str">
        <f t="shared" si="101"/>
        <v/>
      </c>
      <c r="BV441" s="2" t="e">
        <f>VLOOKUP(O441,GLAPS정리!$BH$2:$BI$94,2,0)</f>
        <v>#N/A</v>
      </c>
      <c r="BW441" s="2" t="str">
        <f>IF(OR(Z441="동원",Z441="세방",Z441="한타"),"",IFERROR(INDEX(GLAPS정리!$BI$2:$BI$101,MATCH(Z441,GLAPS정리!$BH$2:$BH$101,0)),""))</f>
        <v/>
      </c>
      <c r="BX441" s="2" t="str">
        <f>IF(Z441="","",IFERROR(VLOOKUP(Z441,GLAPS정리!$AX$2:$AZ$17,3,0),""))</f>
        <v/>
      </c>
      <c r="BZ441" s="2" t="e">
        <f>VLOOKUP(H441,GLAPS정리!$L$3:$O$133,2,0)</f>
        <v>#N/A</v>
      </c>
      <c r="CA441" s="2" t="str">
        <f t="shared" si="102"/>
        <v/>
      </c>
      <c r="CL441" s="2" t="e">
        <f>VLOOKUP(AI441,GLAPS정리!$BT$3:$BV$26,3,0)</f>
        <v>#N/A</v>
      </c>
    </row>
    <row r="442" spans="2:90" ht="20.45" customHeight="1">
      <c r="B442" s="13"/>
      <c r="G442" s="3"/>
      <c r="J442" s="3"/>
      <c r="Q442" s="3" t="str">
        <f t="shared" si="90"/>
        <v/>
      </c>
      <c r="R442" s="3" t="str">
        <f t="shared" si="91"/>
        <v/>
      </c>
      <c r="S442" s="3" t="str">
        <f t="shared" si="92"/>
        <v/>
      </c>
      <c r="X442" s="13"/>
      <c r="Y442" s="13"/>
      <c r="Z442" s="91"/>
      <c r="AC442" s="2">
        <f t="shared" si="93"/>
        <v>20</v>
      </c>
      <c r="AD442" s="2" t="str">
        <f>IFERROR(INDEX(GLAPS정리!$D$2:$D$50,MATCH(I442,GLAPS정리!$A$2:$A$50,0)),IFERROR(INDEX(GLAPS정리!$D$2:$D$50,MATCH(I442,GLAPS정리!$B$2:$B$50,0)),""))</f>
        <v/>
      </c>
      <c r="AF442" s="2" t="str">
        <f t="shared" si="94"/>
        <v>KR10</v>
      </c>
      <c r="AI442" s="2" t="e">
        <f>VLOOKUP(F442,GLAPS정리!$G$3:$J$114,2,0)</f>
        <v>#N/A</v>
      </c>
      <c r="AJ442" s="2" t="e">
        <f>IF(Z442="울산정일","KRONS",IF(Z442="울산신항","KRUSN",IF(OR(Z442="선광종합물류(인천여객)",Z442="인천여객(인천여객)"),"KRINF",IF(OR(Z442="선광인천보세(인천신)",Z442="한진인천(인천신)",Z442="선광인천신항(인천신)",Z442="인천더로지스(인천신)"),"KRINN",IF(OR(Z442="인천진아(인천항)",Z442="인천E1(인천항)",Z442="인천SM경인터미널(인천항)",Z442="인천항(인천항)",Z442="인천우련(인천항)",Z442="인천항8부두(인천항)"),"KRINC",VLOOKUP(K442,GLAPS정리!$BB$2:$BC$33,2,0))))))</f>
        <v>#N/A</v>
      </c>
      <c r="AL442" s="2">
        <f t="shared" si="95"/>
        <v>5010001</v>
      </c>
      <c r="AN442" s="70" t="str">
        <f t="shared" si="96"/>
        <v>1900-01-00</v>
      </c>
      <c r="AO442" s="2" t="str">
        <f t="shared" si="97"/>
        <v/>
      </c>
      <c r="AP442" s="2" t="e">
        <f>VLOOKUP(C442,GLAPS정리!$AX$2:$AZ$17,3,0)</f>
        <v>#N/A</v>
      </c>
      <c r="AR442" s="2">
        <f t="shared" si="103"/>
        <v>0</v>
      </c>
      <c r="AX442" s="2" t="e">
        <f>VLOOKUP(L442,GLAPS정리!$V$3:$W$180,2,0)</f>
        <v>#N/A</v>
      </c>
      <c r="BM442" s="2" t="str">
        <f t="shared" si="98"/>
        <v xml:space="preserve"> </v>
      </c>
      <c r="BN442" s="2">
        <f t="shared" si="99"/>
        <v>1</v>
      </c>
      <c r="BR442" s="2" t="str">
        <f t="shared" si="100"/>
        <v/>
      </c>
      <c r="BS442" s="2" t="str">
        <f t="shared" si="101"/>
        <v/>
      </c>
      <c r="BV442" s="2" t="e">
        <f>VLOOKUP(O442,GLAPS정리!$BH$2:$BI$94,2,0)</f>
        <v>#N/A</v>
      </c>
      <c r="BW442" s="2" t="str">
        <f>IF(OR(Z442="동원",Z442="세방",Z442="한타"),"",IFERROR(INDEX(GLAPS정리!$BI$2:$BI$101,MATCH(Z442,GLAPS정리!$BH$2:$BH$101,0)),""))</f>
        <v/>
      </c>
      <c r="BX442" s="2" t="str">
        <f>IF(Z442="","",IFERROR(VLOOKUP(Z442,GLAPS정리!$AX$2:$AZ$17,3,0),""))</f>
        <v/>
      </c>
      <c r="BZ442" s="2" t="e">
        <f>VLOOKUP(H442,GLAPS정리!$L$3:$O$133,2,0)</f>
        <v>#N/A</v>
      </c>
      <c r="CA442" s="2" t="str">
        <f t="shared" si="102"/>
        <v/>
      </c>
      <c r="CL442" s="2" t="e">
        <f>VLOOKUP(AI442,GLAPS정리!$BT$3:$BV$26,3,0)</f>
        <v>#N/A</v>
      </c>
    </row>
    <row r="443" spans="2:90" ht="20.45" customHeight="1">
      <c r="B443" s="13"/>
      <c r="G443" s="3"/>
      <c r="J443" s="3"/>
      <c r="Q443" s="3" t="str">
        <f t="shared" si="90"/>
        <v/>
      </c>
      <c r="R443" s="3" t="str">
        <f t="shared" si="91"/>
        <v/>
      </c>
      <c r="S443" s="3" t="str">
        <f t="shared" si="92"/>
        <v/>
      </c>
      <c r="X443" s="13"/>
      <c r="Y443" s="13"/>
      <c r="Z443" s="91"/>
      <c r="AC443" s="2">
        <f t="shared" si="93"/>
        <v>20</v>
      </c>
      <c r="AD443" s="2" t="str">
        <f>IFERROR(INDEX(GLAPS정리!$D$2:$D$50,MATCH(I443,GLAPS정리!$A$2:$A$50,0)),IFERROR(INDEX(GLAPS정리!$D$2:$D$50,MATCH(I443,GLAPS정리!$B$2:$B$50,0)),""))</f>
        <v/>
      </c>
      <c r="AF443" s="2" t="str">
        <f t="shared" si="94"/>
        <v>KR10</v>
      </c>
      <c r="AI443" s="2" t="e">
        <f>VLOOKUP(F443,GLAPS정리!$G$3:$J$114,2,0)</f>
        <v>#N/A</v>
      </c>
      <c r="AJ443" s="2" t="e">
        <f>IF(Z443="울산정일","KRONS",IF(Z443="울산신항","KRUSN",IF(OR(Z443="선광종합물류(인천여객)",Z443="인천여객(인천여객)"),"KRINF",IF(OR(Z443="선광인천보세(인천신)",Z443="한진인천(인천신)",Z443="선광인천신항(인천신)",Z443="인천더로지스(인천신)"),"KRINN",IF(OR(Z443="인천진아(인천항)",Z443="인천E1(인천항)",Z443="인천SM경인터미널(인천항)",Z443="인천항(인천항)",Z443="인천우련(인천항)",Z443="인천항8부두(인천항)"),"KRINC",VLOOKUP(K443,GLAPS정리!$BB$2:$BC$33,2,0))))))</f>
        <v>#N/A</v>
      </c>
      <c r="AL443" s="2">
        <f t="shared" si="95"/>
        <v>5010001</v>
      </c>
      <c r="AN443" s="70" t="str">
        <f t="shared" si="96"/>
        <v>1900-01-00</v>
      </c>
      <c r="AO443" s="2" t="str">
        <f t="shared" si="97"/>
        <v/>
      </c>
      <c r="AP443" s="2" t="e">
        <f>VLOOKUP(C443,GLAPS정리!$AX$2:$AZ$17,3,0)</f>
        <v>#N/A</v>
      </c>
      <c r="AR443" s="2">
        <f t="shared" si="103"/>
        <v>0</v>
      </c>
      <c r="AX443" s="2" t="e">
        <f>VLOOKUP(L443,GLAPS정리!$V$3:$W$180,2,0)</f>
        <v>#N/A</v>
      </c>
      <c r="BM443" s="2" t="str">
        <f t="shared" si="98"/>
        <v xml:space="preserve"> </v>
      </c>
      <c r="BN443" s="2">
        <f t="shared" si="99"/>
        <v>1</v>
      </c>
      <c r="BR443" s="2" t="str">
        <f t="shared" si="100"/>
        <v/>
      </c>
      <c r="BS443" s="2" t="str">
        <f t="shared" si="101"/>
        <v/>
      </c>
      <c r="BV443" s="2" t="e">
        <f>VLOOKUP(O443,GLAPS정리!$BH$2:$BI$94,2,0)</f>
        <v>#N/A</v>
      </c>
      <c r="BW443" s="2" t="str">
        <f>IF(OR(Z443="동원",Z443="세방",Z443="한타"),"",IFERROR(INDEX(GLAPS정리!$BI$2:$BI$101,MATCH(Z443,GLAPS정리!$BH$2:$BH$101,0)),""))</f>
        <v/>
      </c>
      <c r="BX443" s="2" t="str">
        <f>IF(Z443="","",IFERROR(VLOOKUP(Z443,GLAPS정리!$AX$2:$AZ$17,3,0),""))</f>
        <v/>
      </c>
      <c r="BZ443" s="2" t="e">
        <f>VLOOKUP(H443,GLAPS정리!$L$3:$O$133,2,0)</f>
        <v>#N/A</v>
      </c>
      <c r="CA443" s="2" t="str">
        <f t="shared" si="102"/>
        <v/>
      </c>
      <c r="CL443" s="2" t="e">
        <f>VLOOKUP(AI443,GLAPS정리!$BT$3:$BV$26,3,0)</f>
        <v>#N/A</v>
      </c>
    </row>
    <row r="444" spans="2:90" ht="20.45" customHeight="1">
      <c r="B444" s="13"/>
      <c r="G444" s="3"/>
      <c r="J444" s="3"/>
      <c r="Q444" s="3" t="str">
        <f t="shared" ref="Q444:Q507" si="104">IF(J444="20 FeeT",1,"")</f>
        <v/>
      </c>
      <c r="R444" s="3" t="str">
        <f t="shared" ref="R444:R507" si="105">IF(J444="40 Feet N",1,"")</f>
        <v/>
      </c>
      <c r="S444" s="3" t="str">
        <f t="shared" ref="S444:S507" si="106">IF(J444="40 Feet H",1,"")</f>
        <v/>
      </c>
      <c r="X444" s="13"/>
      <c r="Y444" s="13"/>
      <c r="Z444" s="91"/>
      <c r="AC444" s="2">
        <f t="shared" ref="AC444:AC507" si="107">$AC$1</f>
        <v>20</v>
      </c>
      <c r="AD444" s="2" t="str">
        <f>IFERROR(INDEX(GLAPS정리!$D$2:$D$50,MATCH(I444,GLAPS정리!$A$2:$A$50,0)),IFERROR(INDEX(GLAPS정리!$D$2:$D$50,MATCH(I444,GLAPS정리!$B$2:$B$50,0)),""))</f>
        <v/>
      </c>
      <c r="AF444" s="2" t="str">
        <f t="shared" ref="AF444:AF507" si="108">$AF$1</f>
        <v>KR10</v>
      </c>
      <c r="AI444" s="2" t="e">
        <f>VLOOKUP(F444,GLAPS정리!$G$3:$J$114,2,0)</f>
        <v>#N/A</v>
      </c>
      <c r="AJ444" s="2" t="e">
        <f>IF(Z444="울산정일","KRONS",IF(Z444="울산신항","KRUSN",IF(OR(Z444="선광종합물류(인천여객)",Z444="인천여객(인천여객)"),"KRINF",IF(OR(Z444="선광인천보세(인천신)",Z444="한진인천(인천신)",Z444="선광인천신항(인천신)",Z444="인천더로지스(인천신)"),"KRINN",IF(OR(Z444="인천진아(인천항)",Z444="인천E1(인천항)",Z444="인천SM경인터미널(인천항)",Z444="인천항(인천항)",Z444="인천우련(인천항)",Z444="인천항8부두(인천항)"),"KRINC",VLOOKUP(K444,GLAPS정리!$BB$2:$BC$33,2,0))))))</f>
        <v>#N/A</v>
      </c>
      <c r="AL444" s="2">
        <f t="shared" ref="AL444:AL507" si="109">$AL$1</f>
        <v>5010001</v>
      </c>
      <c r="AN444" s="70" t="str">
        <f t="shared" ref="AN444:AN507" si="110">TEXT(B444,"YYYY-MM-DD")</f>
        <v>1900-01-00</v>
      </c>
      <c r="AO444" s="2" t="str">
        <f t="shared" ref="AO444:AO507" si="111">IF(E444="오전", "0800", IF(E444="오후", "1300", IF(E444="잔업", "1800", "")))</f>
        <v/>
      </c>
      <c r="AP444" s="2" t="e">
        <f>VLOOKUP(C444,GLAPS정리!$AX$2:$AZ$17,3,0)</f>
        <v>#N/A</v>
      </c>
      <c r="AR444" s="2">
        <f t="shared" si="103"/>
        <v>0</v>
      </c>
      <c r="AX444" s="2" t="e">
        <f>VLOOKUP(L444,GLAPS정리!$V$3:$W$180,2,0)</f>
        <v>#N/A</v>
      </c>
      <c r="BM444" s="2" t="str">
        <f t="shared" ref="BM444:BM507" si="112">IF(AND(Q444=1,OR(P444="",P444="위험물")), "2210", IF(AND(Q444=1,OR(P444="리퍼",P444="위험물리퍼")), "2230", IF(AND(S444=1,OR(P444="",P444="위험물")), "4510", IF(AND(S444=1,OR(P444="리퍼",P444="위험물리퍼")), "4530", IF(AND(R444=1,OR(P444="",P444="위험물")), "4210", IF(AND(R444=1,P444="리퍼"), "4230", " "))))))</f>
        <v xml:space="preserve"> </v>
      </c>
      <c r="BN444" s="2">
        <f t="shared" ref="BN444:BN507" si="113">$BN$1</f>
        <v>1</v>
      </c>
      <c r="BR444" s="2" t="str">
        <f t="shared" ref="BR444:BR507" si="114">IF(OR(P444="리퍼",P444="위험물리퍼"),"Y","")</f>
        <v/>
      </c>
      <c r="BS444" s="2" t="str">
        <f t="shared" ref="BS444:BS507" si="115">IF(OR(P444="위험물",P444="위험물리퍼"),"Y","")</f>
        <v/>
      </c>
      <c r="BV444" s="2" t="e">
        <f>VLOOKUP(O444,GLAPS정리!$BH$2:$BI$94,2,0)</f>
        <v>#N/A</v>
      </c>
      <c r="BW444" s="2" t="str">
        <f>IF(OR(Z444="동원",Z444="세방",Z444="한타"),"",IFERROR(INDEX(GLAPS정리!$BI$2:$BI$101,MATCH(Z444,GLAPS정리!$BH$2:$BH$101,0)),""))</f>
        <v/>
      </c>
      <c r="BX444" s="2" t="str">
        <f>IF(Z444="","",IFERROR(VLOOKUP(Z444,GLAPS정리!$AX$2:$AZ$17,3,0),""))</f>
        <v/>
      </c>
      <c r="BZ444" s="2" t="e">
        <f>VLOOKUP(H444,GLAPS정리!$L$3:$O$133,2,0)</f>
        <v>#N/A</v>
      </c>
      <c r="CA444" s="2" t="str">
        <f t="shared" ref="CA444:CA507" si="116">IF(V444="공휴일", 10, IF(V444="야간", 20, IF(V444="위험물", 30, IF(V444="중량", 40, ""))))</f>
        <v/>
      </c>
      <c r="CL444" s="2" t="e">
        <f>VLOOKUP(AI444,GLAPS정리!$BT$3:$BV$26,3,0)</f>
        <v>#N/A</v>
      </c>
    </row>
    <row r="445" spans="2:90" ht="20.45" customHeight="1">
      <c r="B445" s="13"/>
      <c r="G445" s="3"/>
      <c r="J445" s="3"/>
      <c r="Q445" s="3" t="str">
        <f t="shared" si="104"/>
        <v/>
      </c>
      <c r="R445" s="3" t="str">
        <f t="shared" si="105"/>
        <v/>
      </c>
      <c r="S445" s="3" t="str">
        <f t="shared" si="106"/>
        <v/>
      </c>
      <c r="X445" s="13"/>
      <c r="Y445" s="13"/>
      <c r="Z445" s="91"/>
      <c r="AC445" s="2">
        <f t="shared" si="107"/>
        <v>20</v>
      </c>
      <c r="AD445" s="2" t="str">
        <f>IFERROR(INDEX(GLAPS정리!$D$2:$D$50,MATCH(I445,GLAPS정리!$A$2:$A$50,0)),IFERROR(INDEX(GLAPS정리!$D$2:$D$50,MATCH(I445,GLAPS정리!$B$2:$B$50,0)),""))</f>
        <v/>
      </c>
      <c r="AF445" s="2" t="str">
        <f t="shared" si="108"/>
        <v>KR10</v>
      </c>
      <c r="AI445" s="2" t="e">
        <f>VLOOKUP(F445,GLAPS정리!$G$3:$J$114,2,0)</f>
        <v>#N/A</v>
      </c>
      <c r="AJ445" s="2" t="e">
        <f>IF(Z445="울산정일","KRONS",IF(Z445="울산신항","KRUSN",IF(OR(Z445="선광종합물류(인천여객)",Z445="인천여객(인천여객)"),"KRINF",IF(OR(Z445="선광인천보세(인천신)",Z445="한진인천(인천신)",Z445="선광인천신항(인천신)",Z445="인천더로지스(인천신)"),"KRINN",IF(OR(Z445="인천진아(인천항)",Z445="인천E1(인천항)",Z445="인천SM경인터미널(인천항)",Z445="인천항(인천항)",Z445="인천우련(인천항)",Z445="인천항8부두(인천항)"),"KRINC",VLOOKUP(K445,GLAPS정리!$BB$2:$BC$33,2,0))))))</f>
        <v>#N/A</v>
      </c>
      <c r="AL445" s="2">
        <f t="shared" si="109"/>
        <v>5010001</v>
      </c>
      <c r="AN445" s="70" t="str">
        <f t="shared" si="110"/>
        <v>1900-01-00</v>
      </c>
      <c r="AO445" s="2" t="str">
        <f t="shared" si="111"/>
        <v/>
      </c>
      <c r="AP445" s="2" t="e">
        <f>VLOOKUP(C445,GLAPS정리!$AX$2:$AZ$17,3,0)</f>
        <v>#N/A</v>
      </c>
      <c r="AR445" s="2">
        <f t="shared" si="103"/>
        <v>0</v>
      </c>
      <c r="AX445" s="2" t="e">
        <f>VLOOKUP(L445,GLAPS정리!$V$3:$W$180,2,0)</f>
        <v>#N/A</v>
      </c>
      <c r="BM445" s="2" t="str">
        <f t="shared" si="112"/>
        <v xml:space="preserve"> </v>
      </c>
      <c r="BN445" s="2">
        <f t="shared" si="113"/>
        <v>1</v>
      </c>
      <c r="BR445" s="2" t="str">
        <f t="shared" si="114"/>
        <v/>
      </c>
      <c r="BS445" s="2" t="str">
        <f t="shared" si="115"/>
        <v/>
      </c>
      <c r="BV445" s="2" t="e">
        <f>VLOOKUP(O445,GLAPS정리!$BH$2:$BI$94,2,0)</f>
        <v>#N/A</v>
      </c>
      <c r="BW445" s="2" t="str">
        <f>IF(OR(Z445="동원",Z445="세방",Z445="한타"),"",IFERROR(INDEX(GLAPS정리!$BI$2:$BI$101,MATCH(Z445,GLAPS정리!$BH$2:$BH$101,0)),""))</f>
        <v/>
      </c>
      <c r="BX445" s="2" t="str">
        <f>IF(Z445="","",IFERROR(VLOOKUP(Z445,GLAPS정리!$AX$2:$AZ$17,3,0),""))</f>
        <v/>
      </c>
      <c r="BZ445" s="2" t="e">
        <f>VLOOKUP(H445,GLAPS정리!$L$3:$O$133,2,0)</f>
        <v>#N/A</v>
      </c>
      <c r="CA445" s="2" t="str">
        <f t="shared" si="116"/>
        <v/>
      </c>
      <c r="CL445" s="2" t="e">
        <f>VLOOKUP(AI445,GLAPS정리!$BT$3:$BV$26,3,0)</f>
        <v>#N/A</v>
      </c>
    </row>
    <row r="446" spans="2:90" ht="20.45" customHeight="1">
      <c r="B446" s="13"/>
      <c r="G446" s="3"/>
      <c r="J446" s="3"/>
      <c r="Q446" s="3" t="str">
        <f t="shared" si="104"/>
        <v/>
      </c>
      <c r="R446" s="3" t="str">
        <f t="shared" si="105"/>
        <v/>
      </c>
      <c r="S446" s="3" t="str">
        <f t="shared" si="106"/>
        <v/>
      </c>
      <c r="X446" s="13"/>
      <c r="Y446" s="13"/>
      <c r="Z446" s="91"/>
      <c r="AC446" s="2">
        <f t="shared" si="107"/>
        <v>20</v>
      </c>
      <c r="AD446" s="2" t="str">
        <f>IFERROR(INDEX(GLAPS정리!$D$2:$D$50,MATCH(I446,GLAPS정리!$A$2:$A$50,0)),IFERROR(INDEX(GLAPS정리!$D$2:$D$50,MATCH(I446,GLAPS정리!$B$2:$B$50,0)),""))</f>
        <v/>
      </c>
      <c r="AF446" s="2" t="str">
        <f t="shared" si="108"/>
        <v>KR10</v>
      </c>
      <c r="AI446" s="2" t="e">
        <f>VLOOKUP(F446,GLAPS정리!$G$3:$J$114,2,0)</f>
        <v>#N/A</v>
      </c>
      <c r="AJ446" s="2" t="e">
        <f>IF(Z446="울산정일","KRONS",IF(Z446="울산신항","KRUSN",IF(OR(Z446="선광종합물류(인천여객)",Z446="인천여객(인천여객)"),"KRINF",IF(OR(Z446="선광인천보세(인천신)",Z446="한진인천(인천신)",Z446="선광인천신항(인천신)",Z446="인천더로지스(인천신)"),"KRINN",IF(OR(Z446="인천진아(인천항)",Z446="인천E1(인천항)",Z446="인천SM경인터미널(인천항)",Z446="인천항(인천항)",Z446="인천우련(인천항)",Z446="인천항8부두(인천항)"),"KRINC",VLOOKUP(K446,GLAPS정리!$BB$2:$BC$33,2,0))))))</f>
        <v>#N/A</v>
      </c>
      <c r="AL446" s="2">
        <f t="shared" si="109"/>
        <v>5010001</v>
      </c>
      <c r="AN446" s="70" t="str">
        <f t="shared" si="110"/>
        <v>1900-01-00</v>
      </c>
      <c r="AO446" s="2" t="str">
        <f t="shared" si="111"/>
        <v/>
      </c>
      <c r="AP446" s="2" t="e">
        <f>VLOOKUP(C446,GLAPS정리!$AX$2:$AZ$17,3,0)</f>
        <v>#N/A</v>
      </c>
      <c r="AR446" s="2">
        <f t="shared" si="103"/>
        <v>0</v>
      </c>
      <c r="AX446" s="2" t="e">
        <f>VLOOKUP(L446,GLAPS정리!$V$3:$W$180,2,0)</f>
        <v>#N/A</v>
      </c>
      <c r="BM446" s="2" t="str">
        <f t="shared" si="112"/>
        <v xml:space="preserve"> </v>
      </c>
      <c r="BN446" s="2">
        <f t="shared" si="113"/>
        <v>1</v>
      </c>
      <c r="BR446" s="2" t="str">
        <f t="shared" si="114"/>
        <v/>
      </c>
      <c r="BS446" s="2" t="str">
        <f t="shared" si="115"/>
        <v/>
      </c>
      <c r="BV446" s="2" t="e">
        <f>VLOOKUP(O446,GLAPS정리!$BH$2:$BI$94,2,0)</f>
        <v>#N/A</v>
      </c>
      <c r="BW446" s="2" t="str">
        <f>IF(OR(Z446="동원",Z446="세방",Z446="한타"),"",IFERROR(INDEX(GLAPS정리!$BI$2:$BI$101,MATCH(Z446,GLAPS정리!$BH$2:$BH$101,0)),""))</f>
        <v/>
      </c>
      <c r="BX446" s="2" t="str">
        <f>IF(Z446="","",IFERROR(VLOOKUP(Z446,GLAPS정리!$AX$2:$AZ$17,3,0),""))</f>
        <v/>
      </c>
      <c r="BZ446" s="2" t="e">
        <f>VLOOKUP(H446,GLAPS정리!$L$3:$O$133,2,0)</f>
        <v>#N/A</v>
      </c>
      <c r="CA446" s="2" t="str">
        <f t="shared" si="116"/>
        <v/>
      </c>
      <c r="CL446" s="2" t="e">
        <f>VLOOKUP(AI446,GLAPS정리!$BT$3:$BV$26,3,0)</f>
        <v>#N/A</v>
      </c>
    </row>
    <row r="447" spans="2:90" ht="20.45" customHeight="1">
      <c r="B447" s="13"/>
      <c r="G447" s="3"/>
      <c r="J447" s="3"/>
      <c r="Q447" s="3" t="str">
        <f t="shared" si="104"/>
        <v/>
      </c>
      <c r="R447" s="3" t="str">
        <f t="shared" si="105"/>
        <v/>
      </c>
      <c r="S447" s="3" t="str">
        <f t="shared" si="106"/>
        <v/>
      </c>
      <c r="X447" s="13"/>
      <c r="Y447" s="13"/>
      <c r="Z447" s="91"/>
      <c r="AC447" s="2">
        <f t="shared" si="107"/>
        <v>20</v>
      </c>
      <c r="AD447" s="2" t="str">
        <f>IFERROR(INDEX(GLAPS정리!$D$2:$D$50,MATCH(I447,GLAPS정리!$A$2:$A$50,0)),IFERROR(INDEX(GLAPS정리!$D$2:$D$50,MATCH(I447,GLAPS정리!$B$2:$B$50,0)),""))</f>
        <v/>
      </c>
      <c r="AF447" s="2" t="str">
        <f t="shared" si="108"/>
        <v>KR10</v>
      </c>
      <c r="AI447" s="2" t="e">
        <f>VLOOKUP(F447,GLAPS정리!$G$3:$J$114,2,0)</f>
        <v>#N/A</v>
      </c>
      <c r="AJ447" s="2" t="e">
        <f>IF(Z447="울산정일","KRONS",IF(Z447="울산신항","KRUSN",IF(OR(Z447="선광종합물류(인천여객)",Z447="인천여객(인천여객)"),"KRINF",IF(OR(Z447="선광인천보세(인천신)",Z447="한진인천(인천신)",Z447="선광인천신항(인천신)",Z447="인천더로지스(인천신)"),"KRINN",IF(OR(Z447="인천진아(인천항)",Z447="인천E1(인천항)",Z447="인천SM경인터미널(인천항)",Z447="인천항(인천항)",Z447="인천우련(인천항)",Z447="인천항8부두(인천항)"),"KRINC",VLOOKUP(K447,GLAPS정리!$BB$2:$BC$33,2,0))))))</f>
        <v>#N/A</v>
      </c>
      <c r="AL447" s="2">
        <f t="shared" si="109"/>
        <v>5010001</v>
      </c>
      <c r="AN447" s="70" t="str">
        <f t="shared" si="110"/>
        <v>1900-01-00</v>
      </c>
      <c r="AO447" s="2" t="str">
        <f t="shared" si="111"/>
        <v/>
      </c>
      <c r="AP447" s="2" t="e">
        <f>VLOOKUP(C447,GLAPS정리!$AX$2:$AZ$17,3,0)</f>
        <v>#N/A</v>
      </c>
      <c r="AR447" s="2">
        <f t="shared" si="103"/>
        <v>0</v>
      </c>
      <c r="AX447" s="2" t="e">
        <f>VLOOKUP(L447,GLAPS정리!$V$3:$W$180,2,0)</f>
        <v>#N/A</v>
      </c>
      <c r="BM447" s="2" t="str">
        <f t="shared" si="112"/>
        <v xml:space="preserve"> </v>
      </c>
      <c r="BN447" s="2">
        <f t="shared" si="113"/>
        <v>1</v>
      </c>
      <c r="BR447" s="2" t="str">
        <f t="shared" si="114"/>
        <v/>
      </c>
      <c r="BS447" s="2" t="str">
        <f t="shared" si="115"/>
        <v/>
      </c>
      <c r="BV447" s="2" t="e">
        <f>VLOOKUP(O447,GLAPS정리!$BH$2:$BI$94,2,0)</f>
        <v>#N/A</v>
      </c>
      <c r="BW447" s="2" t="str">
        <f>IF(OR(Z447="동원",Z447="세방",Z447="한타"),"",IFERROR(INDEX(GLAPS정리!$BI$2:$BI$101,MATCH(Z447,GLAPS정리!$BH$2:$BH$101,0)),""))</f>
        <v/>
      </c>
      <c r="BX447" s="2" t="str">
        <f>IF(Z447="","",IFERROR(VLOOKUP(Z447,GLAPS정리!$AX$2:$AZ$17,3,0),""))</f>
        <v/>
      </c>
      <c r="BZ447" s="2" t="e">
        <f>VLOOKUP(H447,GLAPS정리!$L$3:$O$133,2,0)</f>
        <v>#N/A</v>
      </c>
      <c r="CA447" s="2" t="str">
        <f t="shared" si="116"/>
        <v/>
      </c>
      <c r="CL447" s="2" t="e">
        <f>VLOOKUP(AI447,GLAPS정리!$BT$3:$BV$26,3,0)</f>
        <v>#N/A</v>
      </c>
    </row>
    <row r="448" spans="2:90" ht="20.45" customHeight="1">
      <c r="B448" s="13"/>
      <c r="G448" s="3"/>
      <c r="J448" s="3"/>
      <c r="Q448" s="3" t="str">
        <f t="shared" si="104"/>
        <v/>
      </c>
      <c r="R448" s="3" t="str">
        <f t="shared" si="105"/>
        <v/>
      </c>
      <c r="S448" s="3" t="str">
        <f t="shared" si="106"/>
        <v/>
      </c>
      <c r="X448" s="13"/>
      <c r="Y448" s="13"/>
      <c r="Z448" s="91"/>
      <c r="AC448" s="2">
        <f t="shared" si="107"/>
        <v>20</v>
      </c>
      <c r="AD448" s="2" t="str">
        <f>IFERROR(INDEX(GLAPS정리!$D$2:$D$50,MATCH(I448,GLAPS정리!$A$2:$A$50,0)),IFERROR(INDEX(GLAPS정리!$D$2:$D$50,MATCH(I448,GLAPS정리!$B$2:$B$50,0)),""))</f>
        <v/>
      </c>
      <c r="AF448" s="2" t="str">
        <f t="shared" si="108"/>
        <v>KR10</v>
      </c>
      <c r="AI448" s="2" t="e">
        <f>VLOOKUP(F448,GLAPS정리!$G$3:$J$114,2,0)</f>
        <v>#N/A</v>
      </c>
      <c r="AJ448" s="2" t="e">
        <f>IF(Z448="울산정일","KRONS",IF(Z448="울산신항","KRUSN",IF(OR(Z448="선광종합물류(인천여객)",Z448="인천여객(인천여객)"),"KRINF",IF(OR(Z448="선광인천보세(인천신)",Z448="한진인천(인천신)",Z448="선광인천신항(인천신)",Z448="인천더로지스(인천신)"),"KRINN",IF(OR(Z448="인천진아(인천항)",Z448="인천E1(인천항)",Z448="인천SM경인터미널(인천항)",Z448="인천항(인천항)",Z448="인천우련(인천항)",Z448="인천항8부두(인천항)"),"KRINC",VLOOKUP(K448,GLAPS정리!$BB$2:$BC$33,2,0))))))</f>
        <v>#N/A</v>
      </c>
      <c r="AL448" s="2">
        <f t="shared" si="109"/>
        <v>5010001</v>
      </c>
      <c r="AN448" s="70" t="str">
        <f t="shared" si="110"/>
        <v>1900-01-00</v>
      </c>
      <c r="AO448" s="2" t="str">
        <f t="shared" si="111"/>
        <v/>
      </c>
      <c r="AP448" s="2" t="e">
        <f>VLOOKUP(C448,GLAPS정리!$AX$2:$AZ$17,3,0)</f>
        <v>#N/A</v>
      </c>
      <c r="AR448" s="2">
        <f t="shared" si="103"/>
        <v>0</v>
      </c>
      <c r="AX448" s="2" t="e">
        <f>VLOOKUP(L448,GLAPS정리!$V$3:$W$180,2,0)</f>
        <v>#N/A</v>
      </c>
      <c r="BM448" s="2" t="str">
        <f t="shared" si="112"/>
        <v xml:space="preserve"> </v>
      </c>
      <c r="BN448" s="2">
        <f t="shared" si="113"/>
        <v>1</v>
      </c>
      <c r="BR448" s="2" t="str">
        <f t="shared" si="114"/>
        <v/>
      </c>
      <c r="BS448" s="2" t="str">
        <f t="shared" si="115"/>
        <v/>
      </c>
      <c r="BV448" s="2" t="e">
        <f>VLOOKUP(O448,GLAPS정리!$BH$2:$BI$94,2,0)</f>
        <v>#N/A</v>
      </c>
      <c r="BW448" s="2" t="str">
        <f>IF(OR(Z448="동원",Z448="세방",Z448="한타"),"",IFERROR(INDEX(GLAPS정리!$BI$2:$BI$101,MATCH(Z448,GLAPS정리!$BH$2:$BH$101,0)),""))</f>
        <v/>
      </c>
      <c r="BX448" s="2" t="str">
        <f>IF(Z448="","",IFERROR(VLOOKUP(Z448,GLAPS정리!$AX$2:$AZ$17,3,0),""))</f>
        <v/>
      </c>
      <c r="BZ448" s="2" t="e">
        <f>VLOOKUP(H448,GLAPS정리!$L$3:$O$133,2,0)</f>
        <v>#N/A</v>
      </c>
      <c r="CA448" s="2" t="str">
        <f t="shared" si="116"/>
        <v/>
      </c>
      <c r="CL448" s="2" t="e">
        <f>VLOOKUP(AI448,GLAPS정리!$BT$3:$BV$26,3,0)</f>
        <v>#N/A</v>
      </c>
    </row>
    <row r="449" spans="2:90" ht="20.45" customHeight="1">
      <c r="B449" s="13"/>
      <c r="G449" s="3"/>
      <c r="J449" s="3"/>
      <c r="Q449" s="3" t="str">
        <f t="shared" si="104"/>
        <v/>
      </c>
      <c r="R449" s="3" t="str">
        <f t="shared" si="105"/>
        <v/>
      </c>
      <c r="S449" s="3" t="str">
        <f t="shared" si="106"/>
        <v/>
      </c>
      <c r="X449" s="13"/>
      <c r="Y449" s="13"/>
      <c r="Z449" s="91"/>
      <c r="AC449" s="2">
        <f t="shared" si="107"/>
        <v>20</v>
      </c>
      <c r="AD449" s="2" t="str">
        <f>IFERROR(INDEX(GLAPS정리!$D$2:$D$50,MATCH(I449,GLAPS정리!$A$2:$A$50,0)),IFERROR(INDEX(GLAPS정리!$D$2:$D$50,MATCH(I449,GLAPS정리!$B$2:$B$50,0)),""))</f>
        <v/>
      </c>
      <c r="AF449" s="2" t="str">
        <f t="shared" si="108"/>
        <v>KR10</v>
      </c>
      <c r="AI449" s="2" t="e">
        <f>VLOOKUP(F449,GLAPS정리!$G$3:$J$114,2,0)</f>
        <v>#N/A</v>
      </c>
      <c r="AJ449" s="2" t="e">
        <f>IF(Z449="울산정일","KRONS",IF(Z449="울산신항","KRUSN",IF(OR(Z449="선광종합물류(인천여객)",Z449="인천여객(인천여객)"),"KRINF",IF(OR(Z449="선광인천보세(인천신)",Z449="한진인천(인천신)",Z449="선광인천신항(인천신)",Z449="인천더로지스(인천신)"),"KRINN",IF(OR(Z449="인천진아(인천항)",Z449="인천E1(인천항)",Z449="인천SM경인터미널(인천항)",Z449="인천항(인천항)",Z449="인천우련(인천항)",Z449="인천항8부두(인천항)"),"KRINC",VLOOKUP(K449,GLAPS정리!$BB$2:$BC$33,2,0))))))</f>
        <v>#N/A</v>
      </c>
      <c r="AL449" s="2">
        <f t="shared" si="109"/>
        <v>5010001</v>
      </c>
      <c r="AN449" s="70" t="str">
        <f t="shared" si="110"/>
        <v>1900-01-00</v>
      </c>
      <c r="AO449" s="2" t="str">
        <f t="shared" si="111"/>
        <v/>
      </c>
      <c r="AP449" s="2" t="e">
        <f>VLOOKUP(C449,GLAPS정리!$AX$2:$AZ$17,3,0)</f>
        <v>#N/A</v>
      </c>
      <c r="AR449" s="2">
        <f t="shared" si="103"/>
        <v>0</v>
      </c>
      <c r="AX449" s="2" t="e">
        <f>VLOOKUP(L449,GLAPS정리!$V$3:$W$180,2,0)</f>
        <v>#N/A</v>
      </c>
      <c r="BM449" s="2" t="str">
        <f t="shared" si="112"/>
        <v xml:space="preserve"> </v>
      </c>
      <c r="BN449" s="2">
        <f t="shared" si="113"/>
        <v>1</v>
      </c>
      <c r="BR449" s="2" t="str">
        <f t="shared" si="114"/>
        <v/>
      </c>
      <c r="BS449" s="2" t="str">
        <f t="shared" si="115"/>
        <v/>
      </c>
      <c r="BV449" s="2" t="e">
        <f>VLOOKUP(O449,GLAPS정리!$BH$2:$BI$94,2,0)</f>
        <v>#N/A</v>
      </c>
      <c r="BW449" s="2" t="str">
        <f>IF(OR(Z449="동원",Z449="세방",Z449="한타"),"",IFERROR(INDEX(GLAPS정리!$BI$2:$BI$101,MATCH(Z449,GLAPS정리!$BH$2:$BH$101,0)),""))</f>
        <v/>
      </c>
      <c r="BX449" s="2" t="str">
        <f>IF(Z449="","",IFERROR(VLOOKUP(Z449,GLAPS정리!$AX$2:$AZ$17,3,0),""))</f>
        <v/>
      </c>
      <c r="BZ449" s="2" t="e">
        <f>VLOOKUP(H449,GLAPS정리!$L$3:$O$133,2,0)</f>
        <v>#N/A</v>
      </c>
      <c r="CA449" s="2" t="str">
        <f t="shared" si="116"/>
        <v/>
      </c>
      <c r="CL449" s="2" t="e">
        <f>VLOOKUP(AI449,GLAPS정리!$BT$3:$BV$26,3,0)</f>
        <v>#N/A</v>
      </c>
    </row>
    <row r="450" spans="2:90" ht="20.45" customHeight="1">
      <c r="B450" s="13"/>
      <c r="G450" s="3"/>
      <c r="J450" s="3"/>
      <c r="Q450" s="3" t="str">
        <f t="shared" si="104"/>
        <v/>
      </c>
      <c r="R450" s="3" t="str">
        <f t="shared" si="105"/>
        <v/>
      </c>
      <c r="S450" s="3" t="str">
        <f t="shared" si="106"/>
        <v/>
      </c>
      <c r="X450" s="13"/>
      <c r="Y450" s="13"/>
      <c r="Z450" s="91"/>
      <c r="AC450" s="2">
        <f t="shared" si="107"/>
        <v>20</v>
      </c>
      <c r="AD450" s="2" t="str">
        <f>IFERROR(INDEX(GLAPS정리!$D$2:$D$50,MATCH(I450,GLAPS정리!$A$2:$A$50,0)),IFERROR(INDEX(GLAPS정리!$D$2:$D$50,MATCH(I450,GLAPS정리!$B$2:$B$50,0)),""))</f>
        <v/>
      </c>
      <c r="AF450" s="2" t="str">
        <f t="shared" si="108"/>
        <v>KR10</v>
      </c>
      <c r="AI450" s="2" t="e">
        <f>VLOOKUP(F450,GLAPS정리!$G$3:$J$114,2,0)</f>
        <v>#N/A</v>
      </c>
      <c r="AJ450" s="2" t="e">
        <f>IF(Z450="울산정일","KRONS",IF(Z450="울산신항","KRUSN",IF(OR(Z450="선광종합물류(인천여객)",Z450="인천여객(인천여객)"),"KRINF",IF(OR(Z450="선광인천보세(인천신)",Z450="한진인천(인천신)",Z450="선광인천신항(인천신)",Z450="인천더로지스(인천신)"),"KRINN",IF(OR(Z450="인천진아(인천항)",Z450="인천E1(인천항)",Z450="인천SM경인터미널(인천항)",Z450="인천항(인천항)",Z450="인천우련(인천항)",Z450="인천항8부두(인천항)"),"KRINC",VLOOKUP(K450,GLAPS정리!$BB$2:$BC$33,2,0))))))</f>
        <v>#N/A</v>
      </c>
      <c r="AL450" s="2">
        <f t="shared" si="109"/>
        <v>5010001</v>
      </c>
      <c r="AN450" s="70" t="str">
        <f t="shared" si="110"/>
        <v>1900-01-00</v>
      </c>
      <c r="AO450" s="2" t="str">
        <f t="shared" si="111"/>
        <v/>
      </c>
      <c r="AP450" s="2" t="e">
        <f>VLOOKUP(C450,GLAPS정리!$AX$2:$AZ$17,3,0)</f>
        <v>#N/A</v>
      </c>
      <c r="AR450" s="2">
        <f t="shared" si="103"/>
        <v>0</v>
      </c>
      <c r="AX450" s="2" t="e">
        <f>VLOOKUP(L450,GLAPS정리!$V$3:$W$180,2,0)</f>
        <v>#N/A</v>
      </c>
      <c r="BM450" s="2" t="str">
        <f t="shared" si="112"/>
        <v xml:space="preserve"> </v>
      </c>
      <c r="BN450" s="2">
        <f t="shared" si="113"/>
        <v>1</v>
      </c>
      <c r="BR450" s="2" t="str">
        <f t="shared" si="114"/>
        <v/>
      </c>
      <c r="BS450" s="2" t="str">
        <f t="shared" si="115"/>
        <v/>
      </c>
      <c r="BV450" s="2" t="e">
        <f>VLOOKUP(O450,GLAPS정리!$BH$2:$BI$94,2,0)</f>
        <v>#N/A</v>
      </c>
      <c r="BW450" s="2" t="str">
        <f>IF(OR(Z450="동원",Z450="세방",Z450="한타"),"",IFERROR(INDEX(GLAPS정리!$BI$2:$BI$101,MATCH(Z450,GLAPS정리!$BH$2:$BH$101,0)),""))</f>
        <v/>
      </c>
      <c r="BX450" s="2" t="str">
        <f>IF(Z450="","",IFERROR(VLOOKUP(Z450,GLAPS정리!$AX$2:$AZ$17,3,0),""))</f>
        <v/>
      </c>
      <c r="BZ450" s="2" t="e">
        <f>VLOOKUP(H450,GLAPS정리!$L$3:$O$133,2,0)</f>
        <v>#N/A</v>
      </c>
      <c r="CA450" s="2" t="str">
        <f t="shared" si="116"/>
        <v/>
      </c>
      <c r="CL450" s="2" t="e">
        <f>VLOOKUP(AI450,GLAPS정리!$BT$3:$BV$26,3,0)</f>
        <v>#N/A</v>
      </c>
    </row>
    <row r="451" spans="2:90" ht="20.45" customHeight="1">
      <c r="B451" s="13"/>
      <c r="G451" s="3"/>
      <c r="J451" s="3"/>
      <c r="Q451" s="3" t="str">
        <f t="shared" si="104"/>
        <v/>
      </c>
      <c r="R451" s="3" t="str">
        <f t="shared" si="105"/>
        <v/>
      </c>
      <c r="S451" s="3" t="str">
        <f t="shared" si="106"/>
        <v/>
      </c>
      <c r="X451" s="13"/>
      <c r="Y451" s="13"/>
      <c r="Z451" s="91"/>
      <c r="AC451" s="2">
        <f t="shared" si="107"/>
        <v>20</v>
      </c>
      <c r="AD451" s="2" t="str">
        <f>IFERROR(INDEX(GLAPS정리!$D$2:$D$50,MATCH(I451,GLAPS정리!$A$2:$A$50,0)),IFERROR(INDEX(GLAPS정리!$D$2:$D$50,MATCH(I451,GLAPS정리!$B$2:$B$50,0)),""))</f>
        <v/>
      </c>
      <c r="AF451" s="2" t="str">
        <f t="shared" si="108"/>
        <v>KR10</v>
      </c>
      <c r="AI451" s="2" t="e">
        <f>VLOOKUP(F451,GLAPS정리!$G$3:$J$114,2,0)</f>
        <v>#N/A</v>
      </c>
      <c r="AJ451" s="2" t="e">
        <f>IF(Z451="울산정일","KRONS",IF(Z451="울산신항","KRUSN",IF(OR(Z451="선광종합물류(인천여객)",Z451="인천여객(인천여객)"),"KRINF",IF(OR(Z451="선광인천보세(인천신)",Z451="한진인천(인천신)",Z451="선광인천신항(인천신)",Z451="인천더로지스(인천신)"),"KRINN",IF(OR(Z451="인천진아(인천항)",Z451="인천E1(인천항)",Z451="인천SM경인터미널(인천항)",Z451="인천항(인천항)",Z451="인천우련(인천항)",Z451="인천항8부두(인천항)"),"KRINC",VLOOKUP(K451,GLAPS정리!$BB$2:$BC$33,2,0))))))</f>
        <v>#N/A</v>
      </c>
      <c r="AL451" s="2">
        <f t="shared" si="109"/>
        <v>5010001</v>
      </c>
      <c r="AN451" s="70" t="str">
        <f t="shared" si="110"/>
        <v>1900-01-00</v>
      </c>
      <c r="AO451" s="2" t="str">
        <f t="shared" si="111"/>
        <v/>
      </c>
      <c r="AP451" s="2" t="e">
        <f>VLOOKUP(C451,GLAPS정리!$AX$2:$AZ$17,3,0)</f>
        <v>#N/A</v>
      </c>
      <c r="AR451" s="2">
        <f t="shared" ref="AR451:AR514" si="117">X451</f>
        <v>0</v>
      </c>
      <c r="AX451" s="2" t="e">
        <f>VLOOKUP(L451,GLAPS정리!$V$3:$W$180,2,0)</f>
        <v>#N/A</v>
      </c>
      <c r="BM451" s="2" t="str">
        <f t="shared" si="112"/>
        <v xml:space="preserve"> </v>
      </c>
      <c r="BN451" s="2">
        <f t="shared" si="113"/>
        <v>1</v>
      </c>
      <c r="BR451" s="2" t="str">
        <f t="shared" si="114"/>
        <v/>
      </c>
      <c r="BS451" s="2" t="str">
        <f t="shared" si="115"/>
        <v/>
      </c>
      <c r="BV451" s="2" t="e">
        <f>VLOOKUP(O451,GLAPS정리!$BH$2:$BI$94,2,0)</f>
        <v>#N/A</v>
      </c>
      <c r="BW451" s="2" t="str">
        <f>IF(OR(Z451="동원",Z451="세방",Z451="한타"),"",IFERROR(INDEX(GLAPS정리!$BI$2:$BI$101,MATCH(Z451,GLAPS정리!$BH$2:$BH$101,0)),""))</f>
        <v/>
      </c>
      <c r="BX451" s="2" t="str">
        <f>IF(Z451="","",IFERROR(VLOOKUP(Z451,GLAPS정리!$AX$2:$AZ$17,3,0),""))</f>
        <v/>
      </c>
      <c r="BZ451" s="2" t="e">
        <f>VLOOKUP(H451,GLAPS정리!$L$3:$O$133,2,0)</f>
        <v>#N/A</v>
      </c>
      <c r="CA451" s="2" t="str">
        <f t="shared" si="116"/>
        <v/>
      </c>
      <c r="CL451" s="2" t="e">
        <f>VLOOKUP(AI451,GLAPS정리!$BT$3:$BV$26,3,0)</f>
        <v>#N/A</v>
      </c>
    </row>
    <row r="452" spans="2:90" ht="20.45" customHeight="1">
      <c r="B452" s="13"/>
      <c r="G452" s="3"/>
      <c r="J452" s="3"/>
      <c r="Q452" s="3" t="str">
        <f t="shared" si="104"/>
        <v/>
      </c>
      <c r="R452" s="3" t="str">
        <f t="shared" si="105"/>
        <v/>
      </c>
      <c r="S452" s="3" t="str">
        <f t="shared" si="106"/>
        <v/>
      </c>
      <c r="X452" s="13"/>
      <c r="Y452" s="13"/>
      <c r="Z452" s="91"/>
      <c r="AC452" s="2">
        <f t="shared" si="107"/>
        <v>20</v>
      </c>
      <c r="AD452" s="2" t="str">
        <f>IFERROR(INDEX(GLAPS정리!$D$2:$D$50,MATCH(I452,GLAPS정리!$A$2:$A$50,0)),IFERROR(INDEX(GLAPS정리!$D$2:$D$50,MATCH(I452,GLAPS정리!$B$2:$B$50,0)),""))</f>
        <v/>
      </c>
      <c r="AF452" s="2" t="str">
        <f t="shared" si="108"/>
        <v>KR10</v>
      </c>
      <c r="AI452" s="2" t="e">
        <f>VLOOKUP(F452,GLAPS정리!$G$3:$J$114,2,0)</f>
        <v>#N/A</v>
      </c>
      <c r="AJ452" s="2" t="e">
        <f>IF(Z452="울산정일","KRONS",IF(Z452="울산신항","KRUSN",IF(OR(Z452="선광종합물류(인천여객)",Z452="인천여객(인천여객)"),"KRINF",IF(OR(Z452="선광인천보세(인천신)",Z452="한진인천(인천신)",Z452="선광인천신항(인천신)",Z452="인천더로지스(인천신)"),"KRINN",IF(OR(Z452="인천진아(인천항)",Z452="인천E1(인천항)",Z452="인천SM경인터미널(인천항)",Z452="인천항(인천항)",Z452="인천우련(인천항)",Z452="인천항8부두(인천항)"),"KRINC",VLOOKUP(K452,GLAPS정리!$BB$2:$BC$33,2,0))))))</f>
        <v>#N/A</v>
      </c>
      <c r="AL452" s="2">
        <f t="shared" si="109"/>
        <v>5010001</v>
      </c>
      <c r="AN452" s="70" t="str">
        <f t="shared" si="110"/>
        <v>1900-01-00</v>
      </c>
      <c r="AO452" s="2" t="str">
        <f t="shared" si="111"/>
        <v/>
      </c>
      <c r="AP452" s="2" t="e">
        <f>VLOOKUP(C452,GLAPS정리!$AX$2:$AZ$17,3,0)</f>
        <v>#N/A</v>
      </c>
      <c r="AR452" s="2">
        <f t="shared" si="117"/>
        <v>0</v>
      </c>
      <c r="AX452" s="2" t="e">
        <f>VLOOKUP(L452,GLAPS정리!$V$3:$W$180,2,0)</f>
        <v>#N/A</v>
      </c>
      <c r="BM452" s="2" t="str">
        <f t="shared" si="112"/>
        <v xml:space="preserve"> </v>
      </c>
      <c r="BN452" s="2">
        <f t="shared" si="113"/>
        <v>1</v>
      </c>
      <c r="BR452" s="2" t="str">
        <f t="shared" si="114"/>
        <v/>
      </c>
      <c r="BS452" s="2" t="str">
        <f t="shared" si="115"/>
        <v/>
      </c>
      <c r="BV452" s="2" t="e">
        <f>VLOOKUP(O452,GLAPS정리!$BH$2:$BI$94,2,0)</f>
        <v>#N/A</v>
      </c>
      <c r="BW452" s="2" t="str">
        <f>IF(OR(Z452="동원",Z452="세방",Z452="한타"),"",IFERROR(INDEX(GLAPS정리!$BI$2:$BI$101,MATCH(Z452,GLAPS정리!$BH$2:$BH$101,0)),""))</f>
        <v/>
      </c>
      <c r="BX452" s="2" t="str">
        <f>IF(Z452="","",IFERROR(VLOOKUP(Z452,GLAPS정리!$AX$2:$AZ$17,3,0),""))</f>
        <v/>
      </c>
      <c r="BZ452" s="2" t="e">
        <f>VLOOKUP(H452,GLAPS정리!$L$3:$O$133,2,0)</f>
        <v>#N/A</v>
      </c>
      <c r="CA452" s="2" t="str">
        <f t="shared" si="116"/>
        <v/>
      </c>
      <c r="CL452" s="2" t="e">
        <f>VLOOKUP(AI452,GLAPS정리!$BT$3:$BV$26,3,0)</f>
        <v>#N/A</v>
      </c>
    </row>
    <row r="453" spans="2:90" ht="20.45" customHeight="1">
      <c r="B453" s="13"/>
      <c r="G453" s="3"/>
      <c r="J453" s="3"/>
      <c r="Q453" s="3" t="str">
        <f t="shared" si="104"/>
        <v/>
      </c>
      <c r="R453" s="3" t="str">
        <f t="shared" si="105"/>
        <v/>
      </c>
      <c r="S453" s="3" t="str">
        <f t="shared" si="106"/>
        <v/>
      </c>
      <c r="X453" s="13"/>
      <c r="Y453" s="13"/>
      <c r="Z453" s="91"/>
      <c r="AC453" s="2">
        <f t="shared" si="107"/>
        <v>20</v>
      </c>
      <c r="AD453" s="2" t="str">
        <f>IFERROR(INDEX(GLAPS정리!$D$2:$D$50,MATCH(I453,GLAPS정리!$A$2:$A$50,0)),IFERROR(INDEX(GLAPS정리!$D$2:$D$50,MATCH(I453,GLAPS정리!$B$2:$B$50,0)),""))</f>
        <v/>
      </c>
      <c r="AF453" s="2" t="str">
        <f t="shared" si="108"/>
        <v>KR10</v>
      </c>
      <c r="AI453" s="2" t="e">
        <f>VLOOKUP(F453,GLAPS정리!$G$3:$J$114,2,0)</f>
        <v>#N/A</v>
      </c>
      <c r="AJ453" s="2" t="e">
        <f>IF(Z453="울산정일","KRONS",IF(Z453="울산신항","KRUSN",IF(OR(Z453="선광종합물류(인천여객)",Z453="인천여객(인천여객)"),"KRINF",IF(OR(Z453="선광인천보세(인천신)",Z453="한진인천(인천신)",Z453="선광인천신항(인천신)",Z453="인천더로지스(인천신)"),"KRINN",IF(OR(Z453="인천진아(인천항)",Z453="인천E1(인천항)",Z453="인천SM경인터미널(인천항)",Z453="인천항(인천항)",Z453="인천우련(인천항)",Z453="인천항8부두(인천항)"),"KRINC",VLOOKUP(K453,GLAPS정리!$BB$2:$BC$33,2,0))))))</f>
        <v>#N/A</v>
      </c>
      <c r="AL453" s="2">
        <f t="shared" si="109"/>
        <v>5010001</v>
      </c>
      <c r="AN453" s="70" t="str">
        <f t="shared" si="110"/>
        <v>1900-01-00</v>
      </c>
      <c r="AO453" s="2" t="str">
        <f t="shared" si="111"/>
        <v/>
      </c>
      <c r="AP453" s="2" t="e">
        <f>VLOOKUP(C453,GLAPS정리!$AX$2:$AZ$17,3,0)</f>
        <v>#N/A</v>
      </c>
      <c r="AR453" s="2">
        <f t="shared" si="117"/>
        <v>0</v>
      </c>
      <c r="AX453" s="2" t="e">
        <f>VLOOKUP(L453,GLAPS정리!$V$3:$W$180,2,0)</f>
        <v>#N/A</v>
      </c>
      <c r="BM453" s="2" t="str">
        <f t="shared" si="112"/>
        <v xml:space="preserve"> </v>
      </c>
      <c r="BN453" s="2">
        <f t="shared" si="113"/>
        <v>1</v>
      </c>
      <c r="BR453" s="2" t="str">
        <f t="shared" si="114"/>
        <v/>
      </c>
      <c r="BS453" s="2" t="str">
        <f t="shared" si="115"/>
        <v/>
      </c>
      <c r="BV453" s="2" t="e">
        <f>VLOOKUP(O453,GLAPS정리!$BH$2:$BI$94,2,0)</f>
        <v>#N/A</v>
      </c>
      <c r="BW453" s="2" t="str">
        <f>IF(OR(Z453="동원",Z453="세방",Z453="한타"),"",IFERROR(INDEX(GLAPS정리!$BI$2:$BI$101,MATCH(Z453,GLAPS정리!$BH$2:$BH$101,0)),""))</f>
        <v/>
      </c>
      <c r="BX453" s="2" t="str">
        <f>IF(Z453="","",IFERROR(VLOOKUP(Z453,GLAPS정리!$AX$2:$AZ$17,3,0),""))</f>
        <v/>
      </c>
      <c r="BZ453" s="2" t="e">
        <f>VLOOKUP(H453,GLAPS정리!$L$3:$O$133,2,0)</f>
        <v>#N/A</v>
      </c>
      <c r="CA453" s="2" t="str">
        <f t="shared" si="116"/>
        <v/>
      </c>
      <c r="CL453" s="2" t="e">
        <f>VLOOKUP(AI453,GLAPS정리!$BT$3:$BV$26,3,0)</f>
        <v>#N/A</v>
      </c>
    </row>
    <row r="454" spans="2:90" ht="20.45" customHeight="1">
      <c r="B454" s="13"/>
      <c r="G454" s="3"/>
      <c r="J454" s="3"/>
      <c r="Q454" s="3" t="str">
        <f t="shared" si="104"/>
        <v/>
      </c>
      <c r="R454" s="3" t="str">
        <f t="shared" si="105"/>
        <v/>
      </c>
      <c r="S454" s="3" t="str">
        <f t="shared" si="106"/>
        <v/>
      </c>
      <c r="X454" s="13"/>
      <c r="Y454" s="13"/>
      <c r="Z454" s="91"/>
      <c r="AC454" s="2">
        <f t="shared" si="107"/>
        <v>20</v>
      </c>
      <c r="AD454" s="2" t="str">
        <f>IFERROR(INDEX(GLAPS정리!$D$2:$D$50,MATCH(I454,GLAPS정리!$A$2:$A$50,0)),IFERROR(INDEX(GLAPS정리!$D$2:$D$50,MATCH(I454,GLAPS정리!$B$2:$B$50,0)),""))</f>
        <v/>
      </c>
      <c r="AF454" s="2" t="str">
        <f t="shared" si="108"/>
        <v>KR10</v>
      </c>
      <c r="AI454" s="2" t="e">
        <f>VLOOKUP(F454,GLAPS정리!$G$3:$J$114,2,0)</f>
        <v>#N/A</v>
      </c>
      <c r="AJ454" s="2" t="e">
        <f>IF(Z454="울산정일","KRONS",IF(Z454="울산신항","KRUSN",IF(OR(Z454="선광종합물류(인천여객)",Z454="인천여객(인천여객)"),"KRINF",IF(OR(Z454="선광인천보세(인천신)",Z454="한진인천(인천신)",Z454="선광인천신항(인천신)",Z454="인천더로지스(인천신)"),"KRINN",IF(OR(Z454="인천진아(인천항)",Z454="인천E1(인천항)",Z454="인천SM경인터미널(인천항)",Z454="인천항(인천항)",Z454="인천우련(인천항)",Z454="인천항8부두(인천항)"),"KRINC",VLOOKUP(K454,GLAPS정리!$BB$2:$BC$33,2,0))))))</f>
        <v>#N/A</v>
      </c>
      <c r="AL454" s="2">
        <f t="shared" si="109"/>
        <v>5010001</v>
      </c>
      <c r="AN454" s="70" t="str">
        <f t="shared" si="110"/>
        <v>1900-01-00</v>
      </c>
      <c r="AO454" s="2" t="str">
        <f t="shared" si="111"/>
        <v/>
      </c>
      <c r="AP454" s="2" t="e">
        <f>VLOOKUP(C454,GLAPS정리!$AX$2:$AZ$17,3,0)</f>
        <v>#N/A</v>
      </c>
      <c r="AR454" s="2">
        <f t="shared" si="117"/>
        <v>0</v>
      </c>
      <c r="AX454" s="2" t="e">
        <f>VLOOKUP(L454,GLAPS정리!$V$3:$W$180,2,0)</f>
        <v>#N/A</v>
      </c>
      <c r="BM454" s="2" t="str">
        <f t="shared" si="112"/>
        <v xml:space="preserve"> </v>
      </c>
      <c r="BN454" s="2">
        <f t="shared" si="113"/>
        <v>1</v>
      </c>
      <c r="BR454" s="2" t="str">
        <f t="shared" si="114"/>
        <v/>
      </c>
      <c r="BS454" s="2" t="str">
        <f t="shared" si="115"/>
        <v/>
      </c>
      <c r="BV454" s="2" t="e">
        <f>VLOOKUP(O454,GLAPS정리!$BH$2:$BI$94,2,0)</f>
        <v>#N/A</v>
      </c>
      <c r="BW454" s="2" t="str">
        <f>IF(OR(Z454="동원",Z454="세방",Z454="한타"),"",IFERROR(INDEX(GLAPS정리!$BI$2:$BI$101,MATCH(Z454,GLAPS정리!$BH$2:$BH$101,0)),""))</f>
        <v/>
      </c>
      <c r="BX454" s="2" t="str">
        <f>IF(Z454="","",IFERROR(VLOOKUP(Z454,GLAPS정리!$AX$2:$AZ$17,3,0),""))</f>
        <v/>
      </c>
      <c r="BZ454" s="2" t="e">
        <f>VLOOKUP(H454,GLAPS정리!$L$3:$O$133,2,0)</f>
        <v>#N/A</v>
      </c>
      <c r="CA454" s="2" t="str">
        <f t="shared" si="116"/>
        <v/>
      </c>
      <c r="CL454" s="2" t="e">
        <f>VLOOKUP(AI454,GLAPS정리!$BT$3:$BV$26,3,0)</f>
        <v>#N/A</v>
      </c>
    </row>
    <row r="455" spans="2:90" ht="20.45" customHeight="1">
      <c r="B455" s="13"/>
      <c r="G455" s="3"/>
      <c r="J455" s="3"/>
      <c r="Q455" s="3" t="str">
        <f t="shared" si="104"/>
        <v/>
      </c>
      <c r="R455" s="3" t="str">
        <f t="shared" si="105"/>
        <v/>
      </c>
      <c r="S455" s="3" t="str">
        <f t="shared" si="106"/>
        <v/>
      </c>
      <c r="X455" s="13"/>
      <c r="Y455" s="13"/>
      <c r="Z455" s="91"/>
      <c r="AC455" s="2">
        <f t="shared" si="107"/>
        <v>20</v>
      </c>
      <c r="AD455" s="2" t="str">
        <f>IFERROR(INDEX(GLAPS정리!$D$2:$D$50,MATCH(I455,GLAPS정리!$A$2:$A$50,0)),IFERROR(INDEX(GLAPS정리!$D$2:$D$50,MATCH(I455,GLAPS정리!$B$2:$B$50,0)),""))</f>
        <v/>
      </c>
      <c r="AF455" s="2" t="str">
        <f t="shared" si="108"/>
        <v>KR10</v>
      </c>
      <c r="AI455" s="2" t="e">
        <f>VLOOKUP(F455,GLAPS정리!$G$3:$J$114,2,0)</f>
        <v>#N/A</v>
      </c>
      <c r="AJ455" s="2" t="e">
        <f>IF(Z455="울산정일","KRONS",IF(Z455="울산신항","KRUSN",IF(OR(Z455="선광종합물류(인천여객)",Z455="인천여객(인천여객)"),"KRINF",IF(OR(Z455="선광인천보세(인천신)",Z455="한진인천(인천신)",Z455="선광인천신항(인천신)",Z455="인천더로지스(인천신)"),"KRINN",IF(OR(Z455="인천진아(인천항)",Z455="인천E1(인천항)",Z455="인천SM경인터미널(인천항)",Z455="인천항(인천항)",Z455="인천우련(인천항)",Z455="인천항8부두(인천항)"),"KRINC",VLOOKUP(K455,GLAPS정리!$BB$2:$BC$33,2,0))))))</f>
        <v>#N/A</v>
      </c>
      <c r="AL455" s="2">
        <f t="shared" si="109"/>
        <v>5010001</v>
      </c>
      <c r="AN455" s="70" t="str">
        <f t="shared" si="110"/>
        <v>1900-01-00</v>
      </c>
      <c r="AO455" s="2" t="str">
        <f t="shared" si="111"/>
        <v/>
      </c>
      <c r="AP455" s="2" t="e">
        <f>VLOOKUP(C455,GLAPS정리!$AX$2:$AZ$17,3,0)</f>
        <v>#N/A</v>
      </c>
      <c r="AR455" s="2">
        <f t="shared" si="117"/>
        <v>0</v>
      </c>
      <c r="AX455" s="2" t="e">
        <f>VLOOKUP(L455,GLAPS정리!$V$3:$W$180,2,0)</f>
        <v>#N/A</v>
      </c>
      <c r="BM455" s="2" t="str">
        <f t="shared" si="112"/>
        <v xml:space="preserve"> </v>
      </c>
      <c r="BN455" s="2">
        <f t="shared" si="113"/>
        <v>1</v>
      </c>
      <c r="BR455" s="2" t="str">
        <f t="shared" si="114"/>
        <v/>
      </c>
      <c r="BS455" s="2" t="str">
        <f t="shared" si="115"/>
        <v/>
      </c>
      <c r="BV455" s="2" t="e">
        <f>VLOOKUP(O455,GLAPS정리!$BH$2:$BI$94,2,0)</f>
        <v>#N/A</v>
      </c>
      <c r="BW455" s="2" t="str">
        <f>IF(OR(Z455="동원",Z455="세방",Z455="한타"),"",IFERROR(INDEX(GLAPS정리!$BI$2:$BI$101,MATCH(Z455,GLAPS정리!$BH$2:$BH$101,0)),""))</f>
        <v/>
      </c>
      <c r="BX455" s="2" t="str">
        <f>IF(Z455="","",IFERROR(VLOOKUP(Z455,GLAPS정리!$AX$2:$AZ$17,3,0),""))</f>
        <v/>
      </c>
      <c r="BZ455" s="2" t="e">
        <f>VLOOKUP(H455,GLAPS정리!$L$3:$O$133,2,0)</f>
        <v>#N/A</v>
      </c>
      <c r="CA455" s="2" t="str">
        <f t="shared" si="116"/>
        <v/>
      </c>
      <c r="CL455" s="2" t="e">
        <f>VLOOKUP(AI455,GLAPS정리!$BT$3:$BV$26,3,0)</f>
        <v>#N/A</v>
      </c>
    </row>
    <row r="456" spans="2:90" ht="20.45" customHeight="1">
      <c r="B456" s="13"/>
      <c r="G456" s="3"/>
      <c r="J456" s="3"/>
      <c r="Q456" s="3" t="str">
        <f t="shared" si="104"/>
        <v/>
      </c>
      <c r="R456" s="3" t="str">
        <f t="shared" si="105"/>
        <v/>
      </c>
      <c r="S456" s="3" t="str">
        <f t="shared" si="106"/>
        <v/>
      </c>
      <c r="X456" s="13"/>
      <c r="Y456" s="13"/>
      <c r="Z456" s="91"/>
      <c r="AC456" s="2">
        <f t="shared" si="107"/>
        <v>20</v>
      </c>
      <c r="AD456" s="2" t="str">
        <f>IFERROR(INDEX(GLAPS정리!$D$2:$D$50,MATCH(I456,GLAPS정리!$A$2:$A$50,0)),IFERROR(INDEX(GLAPS정리!$D$2:$D$50,MATCH(I456,GLAPS정리!$B$2:$B$50,0)),""))</f>
        <v/>
      </c>
      <c r="AF456" s="2" t="str">
        <f t="shared" si="108"/>
        <v>KR10</v>
      </c>
      <c r="AI456" s="2" t="e">
        <f>VLOOKUP(F456,GLAPS정리!$G$3:$J$114,2,0)</f>
        <v>#N/A</v>
      </c>
      <c r="AJ456" s="2" t="e">
        <f>IF(Z456="울산정일","KRONS",IF(Z456="울산신항","KRUSN",IF(OR(Z456="선광종합물류(인천여객)",Z456="인천여객(인천여객)"),"KRINF",IF(OR(Z456="선광인천보세(인천신)",Z456="한진인천(인천신)",Z456="선광인천신항(인천신)",Z456="인천더로지스(인천신)"),"KRINN",IF(OR(Z456="인천진아(인천항)",Z456="인천E1(인천항)",Z456="인천SM경인터미널(인천항)",Z456="인천항(인천항)",Z456="인천우련(인천항)",Z456="인천항8부두(인천항)"),"KRINC",VLOOKUP(K456,GLAPS정리!$BB$2:$BC$33,2,0))))))</f>
        <v>#N/A</v>
      </c>
      <c r="AL456" s="2">
        <f t="shared" si="109"/>
        <v>5010001</v>
      </c>
      <c r="AN456" s="70" t="str">
        <f t="shared" si="110"/>
        <v>1900-01-00</v>
      </c>
      <c r="AO456" s="2" t="str">
        <f t="shared" si="111"/>
        <v/>
      </c>
      <c r="AP456" s="2" t="e">
        <f>VLOOKUP(C456,GLAPS정리!$AX$2:$AZ$17,3,0)</f>
        <v>#N/A</v>
      </c>
      <c r="AR456" s="2">
        <f t="shared" si="117"/>
        <v>0</v>
      </c>
      <c r="AX456" s="2" t="e">
        <f>VLOOKUP(L456,GLAPS정리!$V$3:$W$180,2,0)</f>
        <v>#N/A</v>
      </c>
      <c r="BM456" s="2" t="str">
        <f t="shared" si="112"/>
        <v xml:space="preserve"> </v>
      </c>
      <c r="BN456" s="2">
        <f t="shared" si="113"/>
        <v>1</v>
      </c>
      <c r="BR456" s="2" t="str">
        <f t="shared" si="114"/>
        <v/>
      </c>
      <c r="BS456" s="2" t="str">
        <f t="shared" si="115"/>
        <v/>
      </c>
      <c r="BV456" s="2" t="e">
        <f>VLOOKUP(O456,GLAPS정리!$BH$2:$BI$94,2,0)</f>
        <v>#N/A</v>
      </c>
      <c r="BW456" s="2" t="str">
        <f>IF(OR(Z456="동원",Z456="세방",Z456="한타"),"",IFERROR(INDEX(GLAPS정리!$BI$2:$BI$101,MATCH(Z456,GLAPS정리!$BH$2:$BH$101,0)),""))</f>
        <v/>
      </c>
      <c r="BX456" s="2" t="str">
        <f>IF(Z456="","",IFERROR(VLOOKUP(Z456,GLAPS정리!$AX$2:$AZ$17,3,0),""))</f>
        <v/>
      </c>
      <c r="BZ456" s="2" t="e">
        <f>VLOOKUP(H456,GLAPS정리!$L$3:$O$133,2,0)</f>
        <v>#N/A</v>
      </c>
      <c r="CA456" s="2" t="str">
        <f t="shared" si="116"/>
        <v/>
      </c>
      <c r="CL456" s="2" t="e">
        <f>VLOOKUP(AI456,GLAPS정리!$BT$3:$BV$26,3,0)</f>
        <v>#N/A</v>
      </c>
    </row>
    <row r="457" spans="2:90" ht="20.45" customHeight="1">
      <c r="B457" s="13"/>
      <c r="G457" s="3"/>
      <c r="J457" s="3"/>
      <c r="Q457" s="3" t="str">
        <f t="shared" si="104"/>
        <v/>
      </c>
      <c r="R457" s="3" t="str">
        <f t="shared" si="105"/>
        <v/>
      </c>
      <c r="S457" s="3" t="str">
        <f t="shared" si="106"/>
        <v/>
      </c>
      <c r="X457" s="13"/>
      <c r="Y457" s="13"/>
      <c r="Z457" s="91"/>
      <c r="AC457" s="2">
        <f t="shared" si="107"/>
        <v>20</v>
      </c>
      <c r="AD457" s="2" t="str">
        <f>IFERROR(INDEX(GLAPS정리!$D$2:$D$50,MATCH(I457,GLAPS정리!$A$2:$A$50,0)),IFERROR(INDEX(GLAPS정리!$D$2:$D$50,MATCH(I457,GLAPS정리!$B$2:$B$50,0)),""))</f>
        <v/>
      </c>
      <c r="AF457" s="2" t="str">
        <f t="shared" si="108"/>
        <v>KR10</v>
      </c>
      <c r="AI457" s="2" t="e">
        <f>VLOOKUP(F457,GLAPS정리!$G$3:$J$114,2,0)</f>
        <v>#N/A</v>
      </c>
      <c r="AJ457" s="2" t="e">
        <f>IF(Z457="울산정일","KRONS",IF(Z457="울산신항","KRUSN",IF(OR(Z457="선광종합물류(인천여객)",Z457="인천여객(인천여객)"),"KRINF",IF(OR(Z457="선광인천보세(인천신)",Z457="한진인천(인천신)",Z457="선광인천신항(인천신)",Z457="인천더로지스(인천신)"),"KRINN",IF(OR(Z457="인천진아(인천항)",Z457="인천E1(인천항)",Z457="인천SM경인터미널(인천항)",Z457="인천항(인천항)",Z457="인천우련(인천항)",Z457="인천항8부두(인천항)"),"KRINC",VLOOKUP(K457,GLAPS정리!$BB$2:$BC$33,2,0))))))</f>
        <v>#N/A</v>
      </c>
      <c r="AL457" s="2">
        <f t="shared" si="109"/>
        <v>5010001</v>
      </c>
      <c r="AN457" s="70" t="str">
        <f t="shared" si="110"/>
        <v>1900-01-00</v>
      </c>
      <c r="AO457" s="2" t="str">
        <f t="shared" si="111"/>
        <v/>
      </c>
      <c r="AP457" s="2" t="e">
        <f>VLOOKUP(C457,GLAPS정리!$AX$2:$AZ$17,3,0)</f>
        <v>#N/A</v>
      </c>
      <c r="AR457" s="2">
        <f t="shared" si="117"/>
        <v>0</v>
      </c>
      <c r="AX457" s="2" t="e">
        <f>VLOOKUP(L457,GLAPS정리!$V$3:$W$180,2,0)</f>
        <v>#N/A</v>
      </c>
      <c r="BM457" s="2" t="str">
        <f t="shared" si="112"/>
        <v xml:space="preserve"> </v>
      </c>
      <c r="BN457" s="2">
        <f t="shared" si="113"/>
        <v>1</v>
      </c>
      <c r="BR457" s="2" t="str">
        <f t="shared" si="114"/>
        <v/>
      </c>
      <c r="BS457" s="2" t="str">
        <f t="shared" si="115"/>
        <v/>
      </c>
      <c r="BV457" s="2" t="e">
        <f>VLOOKUP(O457,GLAPS정리!$BH$2:$BI$94,2,0)</f>
        <v>#N/A</v>
      </c>
      <c r="BW457" s="2" t="str">
        <f>IF(OR(Z457="동원",Z457="세방",Z457="한타"),"",IFERROR(INDEX(GLAPS정리!$BI$2:$BI$101,MATCH(Z457,GLAPS정리!$BH$2:$BH$101,0)),""))</f>
        <v/>
      </c>
      <c r="BX457" s="2" t="str">
        <f>IF(Z457="","",IFERROR(VLOOKUP(Z457,GLAPS정리!$AX$2:$AZ$17,3,0),""))</f>
        <v/>
      </c>
      <c r="BZ457" s="2" t="e">
        <f>VLOOKUP(H457,GLAPS정리!$L$3:$O$133,2,0)</f>
        <v>#N/A</v>
      </c>
      <c r="CA457" s="2" t="str">
        <f t="shared" si="116"/>
        <v/>
      </c>
      <c r="CL457" s="2" t="e">
        <f>VLOOKUP(AI457,GLAPS정리!$BT$3:$BV$26,3,0)</f>
        <v>#N/A</v>
      </c>
    </row>
    <row r="458" spans="2:90" ht="20.45" customHeight="1">
      <c r="B458" s="13"/>
      <c r="G458" s="3"/>
      <c r="J458" s="3"/>
      <c r="Q458" s="3" t="str">
        <f t="shared" si="104"/>
        <v/>
      </c>
      <c r="R458" s="3" t="str">
        <f t="shared" si="105"/>
        <v/>
      </c>
      <c r="S458" s="3" t="str">
        <f t="shared" si="106"/>
        <v/>
      </c>
      <c r="X458" s="13"/>
      <c r="Y458" s="13"/>
      <c r="Z458" s="91"/>
      <c r="AC458" s="2">
        <f t="shared" si="107"/>
        <v>20</v>
      </c>
      <c r="AD458" s="2" t="str">
        <f>IFERROR(INDEX(GLAPS정리!$D$2:$D$50,MATCH(I458,GLAPS정리!$A$2:$A$50,0)),IFERROR(INDEX(GLAPS정리!$D$2:$D$50,MATCH(I458,GLAPS정리!$B$2:$B$50,0)),""))</f>
        <v/>
      </c>
      <c r="AF458" s="2" t="str">
        <f t="shared" si="108"/>
        <v>KR10</v>
      </c>
      <c r="AI458" s="2" t="e">
        <f>VLOOKUP(F458,GLAPS정리!$G$3:$J$114,2,0)</f>
        <v>#N/A</v>
      </c>
      <c r="AJ458" s="2" t="e">
        <f>IF(Z458="울산정일","KRONS",IF(Z458="울산신항","KRUSN",IF(OR(Z458="선광종합물류(인천여객)",Z458="인천여객(인천여객)"),"KRINF",IF(OR(Z458="선광인천보세(인천신)",Z458="한진인천(인천신)",Z458="선광인천신항(인천신)",Z458="인천더로지스(인천신)"),"KRINN",IF(OR(Z458="인천진아(인천항)",Z458="인천E1(인천항)",Z458="인천SM경인터미널(인천항)",Z458="인천항(인천항)",Z458="인천우련(인천항)",Z458="인천항8부두(인천항)"),"KRINC",VLOOKUP(K458,GLAPS정리!$BB$2:$BC$33,2,0))))))</f>
        <v>#N/A</v>
      </c>
      <c r="AL458" s="2">
        <f t="shared" si="109"/>
        <v>5010001</v>
      </c>
      <c r="AN458" s="70" t="str">
        <f t="shared" si="110"/>
        <v>1900-01-00</v>
      </c>
      <c r="AO458" s="2" t="str">
        <f t="shared" si="111"/>
        <v/>
      </c>
      <c r="AP458" s="2" t="e">
        <f>VLOOKUP(C458,GLAPS정리!$AX$2:$AZ$17,3,0)</f>
        <v>#N/A</v>
      </c>
      <c r="AR458" s="2">
        <f t="shared" si="117"/>
        <v>0</v>
      </c>
      <c r="AX458" s="2" t="e">
        <f>VLOOKUP(L458,GLAPS정리!$V$3:$W$180,2,0)</f>
        <v>#N/A</v>
      </c>
      <c r="BM458" s="2" t="str">
        <f t="shared" si="112"/>
        <v xml:space="preserve"> </v>
      </c>
      <c r="BN458" s="2">
        <f t="shared" si="113"/>
        <v>1</v>
      </c>
      <c r="BR458" s="2" t="str">
        <f t="shared" si="114"/>
        <v/>
      </c>
      <c r="BS458" s="2" t="str">
        <f t="shared" si="115"/>
        <v/>
      </c>
      <c r="BV458" s="2" t="e">
        <f>VLOOKUP(O458,GLAPS정리!$BH$2:$BI$94,2,0)</f>
        <v>#N/A</v>
      </c>
      <c r="BW458" s="2" t="str">
        <f>IF(OR(Z458="동원",Z458="세방",Z458="한타"),"",IFERROR(INDEX(GLAPS정리!$BI$2:$BI$101,MATCH(Z458,GLAPS정리!$BH$2:$BH$101,0)),""))</f>
        <v/>
      </c>
      <c r="BX458" s="2" t="str">
        <f>IF(Z458="","",IFERROR(VLOOKUP(Z458,GLAPS정리!$AX$2:$AZ$17,3,0),""))</f>
        <v/>
      </c>
      <c r="BZ458" s="2" t="e">
        <f>VLOOKUP(H458,GLAPS정리!$L$3:$O$133,2,0)</f>
        <v>#N/A</v>
      </c>
      <c r="CA458" s="2" t="str">
        <f t="shared" si="116"/>
        <v/>
      </c>
      <c r="CL458" s="2" t="e">
        <f>VLOOKUP(AI458,GLAPS정리!$BT$3:$BV$26,3,0)</f>
        <v>#N/A</v>
      </c>
    </row>
    <row r="459" spans="2:90" ht="20.45" customHeight="1">
      <c r="B459" s="13"/>
      <c r="G459" s="3"/>
      <c r="J459" s="3"/>
      <c r="Q459" s="3" t="str">
        <f t="shared" si="104"/>
        <v/>
      </c>
      <c r="R459" s="3" t="str">
        <f t="shared" si="105"/>
        <v/>
      </c>
      <c r="S459" s="3" t="str">
        <f t="shared" si="106"/>
        <v/>
      </c>
      <c r="X459" s="13"/>
      <c r="Y459" s="13"/>
      <c r="Z459" s="91"/>
      <c r="AC459" s="2">
        <f t="shared" si="107"/>
        <v>20</v>
      </c>
      <c r="AD459" s="2" t="str">
        <f>IFERROR(INDEX(GLAPS정리!$D$2:$D$50,MATCH(I459,GLAPS정리!$A$2:$A$50,0)),IFERROR(INDEX(GLAPS정리!$D$2:$D$50,MATCH(I459,GLAPS정리!$B$2:$B$50,0)),""))</f>
        <v/>
      </c>
      <c r="AF459" s="2" t="str">
        <f t="shared" si="108"/>
        <v>KR10</v>
      </c>
      <c r="AI459" s="2" t="e">
        <f>VLOOKUP(F459,GLAPS정리!$G$3:$J$114,2,0)</f>
        <v>#N/A</v>
      </c>
      <c r="AJ459" s="2" t="e">
        <f>IF(Z459="울산정일","KRONS",IF(Z459="울산신항","KRUSN",IF(OR(Z459="선광종합물류(인천여객)",Z459="인천여객(인천여객)"),"KRINF",IF(OR(Z459="선광인천보세(인천신)",Z459="한진인천(인천신)",Z459="선광인천신항(인천신)",Z459="인천더로지스(인천신)"),"KRINN",IF(OR(Z459="인천진아(인천항)",Z459="인천E1(인천항)",Z459="인천SM경인터미널(인천항)",Z459="인천항(인천항)",Z459="인천우련(인천항)",Z459="인천항8부두(인천항)"),"KRINC",VLOOKUP(K459,GLAPS정리!$BB$2:$BC$33,2,0))))))</f>
        <v>#N/A</v>
      </c>
      <c r="AL459" s="2">
        <f t="shared" si="109"/>
        <v>5010001</v>
      </c>
      <c r="AN459" s="70" t="str">
        <f t="shared" si="110"/>
        <v>1900-01-00</v>
      </c>
      <c r="AO459" s="2" t="str">
        <f t="shared" si="111"/>
        <v/>
      </c>
      <c r="AP459" s="2" t="e">
        <f>VLOOKUP(C459,GLAPS정리!$AX$2:$AZ$17,3,0)</f>
        <v>#N/A</v>
      </c>
      <c r="AR459" s="2">
        <f t="shared" si="117"/>
        <v>0</v>
      </c>
      <c r="AX459" s="2" t="e">
        <f>VLOOKUP(L459,GLAPS정리!$V$3:$W$180,2,0)</f>
        <v>#N/A</v>
      </c>
      <c r="BM459" s="2" t="str">
        <f t="shared" si="112"/>
        <v xml:space="preserve"> </v>
      </c>
      <c r="BN459" s="2">
        <f t="shared" si="113"/>
        <v>1</v>
      </c>
      <c r="BR459" s="2" t="str">
        <f t="shared" si="114"/>
        <v/>
      </c>
      <c r="BS459" s="2" t="str">
        <f t="shared" si="115"/>
        <v/>
      </c>
      <c r="BV459" s="2" t="e">
        <f>VLOOKUP(O459,GLAPS정리!$BH$2:$BI$94,2,0)</f>
        <v>#N/A</v>
      </c>
      <c r="BW459" s="2" t="str">
        <f>IF(OR(Z459="동원",Z459="세방",Z459="한타"),"",IFERROR(INDEX(GLAPS정리!$BI$2:$BI$101,MATCH(Z459,GLAPS정리!$BH$2:$BH$101,0)),""))</f>
        <v/>
      </c>
      <c r="BX459" s="2" t="str">
        <f>IF(Z459="","",IFERROR(VLOOKUP(Z459,GLAPS정리!$AX$2:$AZ$17,3,0),""))</f>
        <v/>
      </c>
      <c r="BZ459" s="2" t="e">
        <f>VLOOKUP(H459,GLAPS정리!$L$3:$O$133,2,0)</f>
        <v>#N/A</v>
      </c>
      <c r="CA459" s="2" t="str">
        <f t="shared" si="116"/>
        <v/>
      </c>
      <c r="CL459" s="2" t="e">
        <f>VLOOKUP(AI459,GLAPS정리!$BT$3:$BV$26,3,0)</f>
        <v>#N/A</v>
      </c>
    </row>
    <row r="460" spans="2:90" ht="20.45" customHeight="1">
      <c r="B460" s="13"/>
      <c r="G460" s="3"/>
      <c r="J460" s="3"/>
      <c r="Q460" s="3" t="str">
        <f t="shared" si="104"/>
        <v/>
      </c>
      <c r="R460" s="3" t="str">
        <f t="shared" si="105"/>
        <v/>
      </c>
      <c r="S460" s="3" t="str">
        <f t="shared" si="106"/>
        <v/>
      </c>
      <c r="X460" s="13"/>
      <c r="Y460" s="13"/>
      <c r="Z460" s="91"/>
      <c r="AC460" s="2">
        <f t="shared" si="107"/>
        <v>20</v>
      </c>
      <c r="AD460" s="2" t="str">
        <f>IFERROR(INDEX(GLAPS정리!$D$2:$D$50,MATCH(I460,GLAPS정리!$A$2:$A$50,0)),IFERROR(INDEX(GLAPS정리!$D$2:$D$50,MATCH(I460,GLAPS정리!$B$2:$B$50,0)),""))</f>
        <v/>
      </c>
      <c r="AF460" s="2" t="str">
        <f t="shared" si="108"/>
        <v>KR10</v>
      </c>
      <c r="AI460" s="2" t="e">
        <f>VLOOKUP(F460,GLAPS정리!$G$3:$J$114,2,0)</f>
        <v>#N/A</v>
      </c>
      <c r="AJ460" s="2" t="e">
        <f>IF(Z460="울산정일","KRONS",IF(Z460="울산신항","KRUSN",IF(OR(Z460="선광종합물류(인천여객)",Z460="인천여객(인천여객)"),"KRINF",IF(OR(Z460="선광인천보세(인천신)",Z460="한진인천(인천신)",Z460="선광인천신항(인천신)",Z460="인천더로지스(인천신)"),"KRINN",IF(OR(Z460="인천진아(인천항)",Z460="인천E1(인천항)",Z460="인천SM경인터미널(인천항)",Z460="인천항(인천항)",Z460="인천우련(인천항)",Z460="인천항8부두(인천항)"),"KRINC",VLOOKUP(K460,GLAPS정리!$BB$2:$BC$33,2,0))))))</f>
        <v>#N/A</v>
      </c>
      <c r="AL460" s="2">
        <f t="shared" si="109"/>
        <v>5010001</v>
      </c>
      <c r="AN460" s="70" t="str">
        <f t="shared" si="110"/>
        <v>1900-01-00</v>
      </c>
      <c r="AO460" s="2" t="str">
        <f t="shared" si="111"/>
        <v/>
      </c>
      <c r="AP460" s="2" t="e">
        <f>VLOOKUP(C460,GLAPS정리!$AX$2:$AZ$17,3,0)</f>
        <v>#N/A</v>
      </c>
      <c r="AR460" s="2">
        <f t="shared" si="117"/>
        <v>0</v>
      </c>
      <c r="AX460" s="2" t="e">
        <f>VLOOKUP(L460,GLAPS정리!$V$3:$W$180,2,0)</f>
        <v>#N/A</v>
      </c>
      <c r="BM460" s="2" t="str">
        <f t="shared" si="112"/>
        <v xml:space="preserve"> </v>
      </c>
      <c r="BN460" s="2">
        <f t="shared" si="113"/>
        <v>1</v>
      </c>
      <c r="BR460" s="2" t="str">
        <f t="shared" si="114"/>
        <v/>
      </c>
      <c r="BS460" s="2" t="str">
        <f t="shared" si="115"/>
        <v/>
      </c>
      <c r="BV460" s="2" t="e">
        <f>VLOOKUP(O460,GLAPS정리!$BH$2:$BI$94,2,0)</f>
        <v>#N/A</v>
      </c>
      <c r="BW460" s="2" t="str">
        <f>IF(OR(Z460="동원",Z460="세방",Z460="한타"),"",IFERROR(INDEX(GLAPS정리!$BI$2:$BI$101,MATCH(Z460,GLAPS정리!$BH$2:$BH$101,0)),""))</f>
        <v/>
      </c>
      <c r="BX460" s="2" t="str">
        <f>IF(Z460="","",IFERROR(VLOOKUP(Z460,GLAPS정리!$AX$2:$AZ$17,3,0),""))</f>
        <v/>
      </c>
      <c r="BZ460" s="2" t="e">
        <f>VLOOKUP(H460,GLAPS정리!$L$3:$O$133,2,0)</f>
        <v>#N/A</v>
      </c>
      <c r="CA460" s="2" t="str">
        <f t="shared" si="116"/>
        <v/>
      </c>
      <c r="CL460" s="2" t="e">
        <f>VLOOKUP(AI460,GLAPS정리!$BT$3:$BV$26,3,0)</f>
        <v>#N/A</v>
      </c>
    </row>
    <row r="461" spans="2:90" ht="20.45" customHeight="1">
      <c r="B461" s="13"/>
      <c r="G461" s="3"/>
      <c r="J461" s="3"/>
      <c r="Q461" s="3" t="str">
        <f t="shared" si="104"/>
        <v/>
      </c>
      <c r="R461" s="3" t="str">
        <f t="shared" si="105"/>
        <v/>
      </c>
      <c r="S461" s="3" t="str">
        <f t="shared" si="106"/>
        <v/>
      </c>
      <c r="X461" s="13"/>
      <c r="Y461" s="13"/>
      <c r="Z461" s="91"/>
      <c r="AC461" s="2">
        <f t="shared" si="107"/>
        <v>20</v>
      </c>
      <c r="AD461" s="2" t="str">
        <f>IFERROR(INDEX(GLAPS정리!$D$2:$D$50,MATCH(I461,GLAPS정리!$A$2:$A$50,0)),IFERROR(INDEX(GLAPS정리!$D$2:$D$50,MATCH(I461,GLAPS정리!$B$2:$B$50,0)),""))</f>
        <v/>
      </c>
      <c r="AF461" s="2" t="str">
        <f t="shared" si="108"/>
        <v>KR10</v>
      </c>
      <c r="AI461" s="2" t="e">
        <f>VLOOKUP(F461,GLAPS정리!$G$3:$J$114,2,0)</f>
        <v>#N/A</v>
      </c>
      <c r="AJ461" s="2" t="e">
        <f>IF(Z461="울산정일","KRONS",IF(Z461="울산신항","KRUSN",IF(OR(Z461="선광종합물류(인천여객)",Z461="인천여객(인천여객)"),"KRINF",IF(OR(Z461="선광인천보세(인천신)",Z461="한진인천(인천신)",Z461="선광인천신항(인천신)",Z461="인천더로지스(인천신)"),"KRINN",IF(OR(Z461="인천진아(인천항)",Z461="인천E1(인천항)",Z461="인천SM경인터미널(인천항)",Z461="인천항(인천항)",Z461="인천우련(인천항)",Z461="인천항8부두(인천항)"),"KRINC",VLOOKUP(K461,GLAPS정리!$BB$2:$BC$33,2,0))))))</f>
        <v>#N/A</v>
      </c>
      <c r="AL461" s="2">
        <f t="shared" si="109"/>
        <v>5010001</v>
      </c>
      <c r="AN461" s="70" t="str">
        <f t="shared" si="110"/>
        <v>1900-01-00</v>
      </c>
      <c r="AO461" s="2" t="str">
        <f t="shared" si="111"/>
        <v/>
      </c>
      <c r="AP461" s="2" t="e">
        <f>VLOOKUP(C461,GLAPS정리!$AX$2:$AZ$17,3,0)</f>
        <v>#N/A</v>
      </c>
      <c r="AR461" s="2">
        <f t="shared" si="117"/>
        <v>0</v>
      </c>
      <c r="AX461" s="2" t="e">
        <f>VLOOKUP(L461,GLAPS정리!$V$3:$W$180,2,0)</f>
        <v>#N/A</v>
      </c>
      <c r="BM461" s="2" t="str">
        <f t="shared" si="112"/>
        <v xml:space="preserve"> </v>
      </c>
      <c r="BN461" s="2">
        <f t="shared" si="113"/>
        <v>1</v>
      </c>
      <c r="BR461" s="2" t="str">
        <f t="shared" si="114"/>
        <v/>
      </c>
      <c r="BS461" s="2" t="str">
        <f t="shared" si="115"/>
        <v/>
      </c>
      <c r="BV461" s="2" t="e">
        <f>VLOOKUP(O461,GLAPS정리!$BH$2:$BI$94,2,0)</f>
        <v>#N/A</v>
      </c>
      <c r="BW461" s="2" t="str">
        <f>IF(OR(Z461="동원",Z461="세방",Z461="한타"),"",IFERROR(INDEX(GLAPS정리!$BI$2:$BI$101,MATCH(Z461,GLAPS정리!$BH$2:$BH$101,0)),""))</f>
        <v/>
      </c>
      <c r="BX461" s="2" t="str">
        <f>IF(Z461="","",IFERROR(VLOOKUP(Z461,GLAPS정리!$AX$2:$AZ$17,3,0),""))</f>
        <v/>
      </c>
      <c r="BZ461" s="2" t="e">
        <f>VLOOKUP(H461,GLAPS정리!$L$3:$O$133,2,0)</f>
        <v>#N/A</v>
      </c>
      <c r="CA461" s="2" t="str">
        <f t="shared" si="116"/>
        <v/>
      </c>
      <c r="CL461" s="2" t="e">
        <f>VLOOKUP(AI461,GLAPS정리!$BT$3:$BV$26,3,0)</f>
        <v>#N/A</v>
      </c>
    </row>
    <row r="462" spans="2:90" ht="20.45" customHeight="1">
      <c r="B462" s="13"/>
      <c r="G462" s="3"/>
      <c r="J462" s="3"/>
      <c r="Q462" s="3" t="str">
        <f t="shared" si="104"/>
        <v/>
      </c>
      <c r="R462" s="3" t="str">
        <f t="shared" si="105"/>
        <v/>
      </c>
      <c r="S462" s="3" t="str">
        <f t="shared" si="106"/>
        <v/>
      </c>
      <c r="X462" s="13"/>
      <c r="Y462" s="13"/>
      <c r="Z462" s="91"/>
      <c r="AC462" s="2">
        <f t="shared" si="107"/>
        <v>20</v>
      </c>
      <c r="AD462" s="2" t="str">
        <f>IFERROR(INDEX(GLAPS정리!$D$2:$D$50,MATCH(I462,GLAPS정리!$A$2:$A$50,0)),IFERROR(INDEX(GLAPS정리!$D$2:$D$50,MATCH(I462,GLAPS정리!$B$2:$B$50,0)),""))</f>
        <v/>
      </c>
      <c r="AF462" s="2" t="str">
        <f t="shared" si="108"/>
        <v>KR10</v>
      </c>
      <c r="AI462" s="2" t="e">
        <f>VLOOKUP(F462,GLAPS정리!$G$3:$J$114,2,0)</f>
        <v>#N/A</v>
      </c>
      <c r="AJ462" s="2" t="e">
        <f>IF(Z462="울산정일","KRONS",IF(Z462="울산신항","KRUSN",IF(OR(Z462="선광종합물류(인천여객)",Z462="인천여객(인천여객)"),"KRINF",IF(OR(Z462="선광인천보세(인천신)",Z462="한진인천(인천신)",Z462="선광인천신항(인천신)",Z462="인천더로지스(인천신)"),"KRINN",IF(OR(Z462="인천진아(인천항)",Z462="인천E1(인천항)",Z462="인천SM경인터미널(인천항)",Z462="인천항(인천항)",Z462="인천우련(인천항)",Z462="인천항8부두(인천항)"),"KRINC",VLOOKUP(K462,GLAPS정리!$BB$2:$BC$33,2,0))))))</f>
        <v>#N/A</v>
      </c>
      <c r="AL462" s="2">
        <f t="shared" si="109"/>
        <v>5010001</v>
      </c>
      <c r="AN462" s="70" t="str">
        <f t="shared" si="110"/>
        <v>1900-01-00</v>
      </c>
      <c r="AO462" s="2" t="str">
        <f t="shared" si="111"/>
        <v/>
      </c>
      <c r="AP462" s="2" t="e">
        <f>VLOOKUP(C462,GLAPS정리!$AX$2:$AZ$17,3,0)</f>
        <v>#N/A</v>
      </c>
      <c r="AR462" s="2">
        <f t="shared" si="117"/>
        <v>0</v>
      </c>
      <c r="AX462" s="2" t="e">
        <f>VLOOKUP(L462,GLAPS정리!$V$3:$W$180,2,0)</f>
        <v>#N/A</v>
      </c>
      <c r="BM462" s="2" t="str">
        <f t="shared" si="112"/>
        <v xml:space="preserve"> </v>
      </c>
      <c r="BN462" s="2">
        <f t="shared" si="113"/>
        <v>1</v>
      </c>
      <c r="BR462" s="2" t="str">
        <f t="shared" si="114"/>
        <v/>
      </c>
      <c r="BS462" s="2" t="str">
        <f t="shared" si="115"/>
        <v/>
      </c>
      <c r="BV462" s="2" t="e">
        <f>VLOOKUP(O462,GLAPS정리!$BH$2:$BI$94,2,0)</f>
        <v>#N/A</v>
      </c>
      <c r="BW462" s="2" t="str">
        <f>IF(OR(Z462="동원",Z462="세방",Z462="한타"),"",IFERROR(INDEX(GLAPS정리!$BI$2:$BI$101,MATCH(Z462,GLAPS정리!$BH$2:$BH$101,0)),""))</f>
        <v/>
      </c>
      <c r="BX462" s="2" t="str">
        <f>IF(Z462="","",IFERROR(VLOOKUP(Z462,GLAPS정리!$AX$2:$AZ$17,3,0),""))</f>
        <v/>
      </c>
      <c r="BZ462" s="2" t="e">
        <f>VLOOKUP(H462,GLAPS정리!$L$3:$O$133,2,0)</f>
        <v>#N/A</v>
      </c>
      <c r="CA462" s="2" t="str">
        <f t="shared" si="116"/>
        <v/>
      </c>
      <c r="CL462" s="2" t="e">
        <f>VLOOKUP(AI462,GLAPS정리!$BT$3:$BV$26,3,0)</f>
        <v>#N/A</v>
      </c>
    </row>
    <row r="463" spans="2:90" ht="20.45" customHeight="1">
      <c r="B463" s="13"/>
      <c r="G463" s="3"/>
      <c r="J463" s="3"/>
      <c r="Q463" s="3" t="str">
        <f t="shared" si="104"/>
        <v/>
      </c>
      <c r="R463" s="3" t="str">
        <f t="shared" si="105"/>
        <v/>
      </c>
      <c r="S463" s="3" t="str">
        <f t="shared" si="106"/>
        <v/>
      </c>
      <c r="X463" s="13"/>
      <c r="Y463" s="13"/>
      <c r="Z463" s="91"/>
      <c r="AC463" s="2">
        <f t="shared" si="107"/>
        <v>20</v>
      </c>
      <c r="AD463" s="2" t="str">
        <f>IFERROR(INDEX(GLAPS정리!$D$2:$D$50,MATCH(I463,GLAPS정리!$A$2:$A$50,0)),IFERROR(INDEX(GLAPS정리!$D$2:$D$50,MATCH(I463,GLAPS정리!$B$2:$B$50,0)),""))</f>
        <v/>
      </c>
      <c r="AF463" s="2" t="str">
        <f t="shared" si="108"/>
        <v>KR10</v>
      </c>
      <c r="AI463" s="2" t="e">
        <f>VLOOKUP(F463,GLAPS정리!$G$3:$J$114,2,0)</f>
        <v>#N/A</v>
      </c>
      <c r="AJ463" s="2" t="e">
        <f>IF(Z463="울산정일","KRONS",IF(Z463="울산신항","KRUSN",IF(OR(Z463="선광종합물류(인천여객)",Z463="인천여객(인천여객)"),"KRINF",IF(OR(Z463="선광인천보세(인천신)",Z463="한진인천(인천신)",Z463="선광인천신항(인천신)",Z463="인천더로지스(인천신)"),"KRINN",IF(OR(Z463="인천진아(인천항)",Z463="인천E1(인천항)",Z463="인천SM경인터미널(인천항)",Z463="인천항(인천항)",Z463="인천우련(인천항)",Z463="인천항8부두(인천항)"),"KRINC",VLOOKUP(K463,GLAPS정리!$BB$2:$BC$33,2,0))))))</f>
        <v>#N/A</v>
      </c>
      <c r="AL463" s="2">
        <f t="shared" si="109"/>
        <v>5010001</v>
      </c>
      <c r="AN463" s="70" t="str">
        <f t="shared" si="110"/>
        <v>1900-01-00</v>
      </c>
      <c r="AO463" s="2" t="str">
        <f t="shared" si="111"/>
        <v/>
      </c>
      <c r="AP463" s="2" t="e">
        <f>VLOOKUP(C463,GLAPS정리!$AX$2:$AZ$17,3,0)</f>
        <v>#N/A</v>
      </c>
      <c r="AR463" s="2">
        <f t="shared" si="117"/>
        <v>0</v>
      </c>
      <c r="AX463" s="2" t="e">
        <f>VLOOKUP(L463,GLAPS정리!$V$3:$W$180,2,0)</f>
        <v>#N/A</v>
      </c>
      <c r="BM463" s="2" t="str">
        <f t="shared" si="112"/>
        <v xml:space="preserve"> </v>
      </c>
      <c r="BN463" s="2">
        <f t="shared" si="113"/>
        <v>1</v>
      </c>
      <c r="BR463" s="2" t="str">
        <f t="shared" si="114"/>
        <v/>
      </c>
      <c r="BS463" s="2" t="str">
        <f t="shared" si="115"/>
        <v/>
      </c>
      <c r="BV463" s="2" t="e">
        <f>VLOOKUP(O463,GLAPS정리!$BH$2:$BI$94,2,0)</f>
        <v>#N/A</v>
      </c>
      <c r="BW463" s="2" t="str">
        <f>IF(OR(Z463="동원",Z463="세방",Z463="한타"),"",IFERROR(INDEX(GLAPS정리!$BI$2:$BI$101,MATCH(Z463,GLAPS정리!$BH$2:$BH$101,0)),""))</f>
        <v/>
      </c>
      <c r="BX463" s="2" t="str">
        <f>IF(Z463="","",IFERROR(VLOOKUP(Z463,GLAPS정리!$AX$2:$AZ$17,3,0),""))</f>
        <v/>
      </c>
      <c r="BZ463" s="2" t="e">
        <f>VLOOKUP(H463,GLAPS정리!$L$3:$O$133,2,0)</f>
        <v>#N/A</v>
      </c>
      <c r="CA463" s="2" t="str">
        <f t="shared" si="116"/>
        <v/>
      </c>
      <c r="CL463" s="2" t="e">
        <f>VLOOKUP(AI463,GLAPS정리!$BT$3:$BV$26,3,0)</f>
        <v>#N/A</v>
      </c>
    </row>
    <row r="464" spans="2:90" ht="20.45" customHeight="1">
      <c r="B464" s="13"/>
      <c r="G464" s="3"/>
      <c r="J464" s="3"/>
      <c r="Q464" s="3" t="str">
        <f t="shared" si="104"/>
        <v/>
      </c>
      <c r="R464" s="3" t="str">
        <f t="shared" si="105"/>
        <v/>
      </c>
      <c r="S464" s="3" t="str">
        <f t="shared" si="106"/>
        <v/>
      </c>
      <c r="X464" s="13"/>
      <c r="Y464" s="13"/>
      <c r="Z464" s="91"/>
      <c r="AC464" s="2">
        <f t="shared" si="107"/>
        <v>20</v>
      </c>
      <c r="AD464" s="2" t="str">
        <f>IFERROR(INDEX(GLAPS정리!$D$2:$D$50,MATCH(I464,GLAPS정리!$A$2:$A$50,0)),IFERROR(INDEX(GLAPS정리!$D$2:$D$50,MATCH(I464,GLAPS정리!$B$2:$B$50,0)),""))</f>
        <v/>
      </c>
      <c r="AF464" s="2" t="str">
        <f t="shared" si="108"/>
        <v>KR10</v>
      </c>
      <c r="AI464" s="2" t="e">
        <f>VLOOKUP(F464,GLAPS정리!$G$3:$J$114,2,0)</f>
        <v>#N/A</v>
      </c>
      <c r="AJ464" s="2" t="e">
        <f>IF(Z464="울산정일","KRONS",IF(Z464="울산신항","KRUSN",IF(OR(Z464="선광종합물류(인천여객)",Z464="인천여객(인천여객)"),"KRINF",IF(OR(Z464="선광인천보세(인천신)",Z464="한진인천(인천신)",Z464="선광인천신항(인천신)",Z464="인천더로지스(인천신)"),"KRINN",IF(OR(Z464="인천진아(인천항)",Z464="인천E1(인천항)",Z464="인천SM경인터미널(인천항)",Z464="인천항(인천항)",Z464="인천우련(인천항)",Z464="인천항8부두(인천항)"),"KRINC",VLOOKUP(K464,GLAPS정리!$BB$2:$BC$33,2,0))))))</f>
        <v>#N/A</v>
      </c>
      <c r="AL464" s="2">
        <f t="shared" si="109"/>
        <v>5010001</v>
      </c>
      <c r="AN464" s="70" t="str">
        <f t="shared" si="110"/>
        <v>1900-01-00</v>
      </c>
      <c r="AO464" s="2" t="str">
        <f t="shared" si="111"/>
        <v/>
      </c>
      <c r="AP464" s="2" t="e">
        <f>VLOOKUP(C464,GLAPS정리!$AX$2:$AZ$17,3,0)</f>
        <v>#N/A</v>
      </c>
      <c r="AR464" s="2">
        <f t="shared" si="117"/>
        <v>0</v>
      </c>
      <c r="AX464" s="2" t="e">
        <f>VLOOKUP(L464,GLAPS정리!$V$3:$W$180,2,0)</f>
        <v>#N/A</v>
      </c>
      <c r="BM464" s="2" t="str">
        <f t="shared" si="112"/>
        <v xml:space="preserve"> </v>
      </c>
      <c r="BN464" s="2">
        <f t="shared" si="113"/>
        <v>1</v>
      </c>
      <c r="BR464" s="2" t="str">
        <f t="shared" si="114"/>
        <v/>
      </c>
      <c r="BS464" s="2" t="str">
        <f t="shared" si="115"/>
        <v/>
      </c>
      <c r="BV464" s="2" t="e">
        <f>VLOOKUP(O464,GLAPS정리!$BH$2:$BI$94,2,0)</f>
        <v>#N/A</v>
      </c>
      <c r="BW464" s="2" t="str">
        <f>IF(OR(Z464="동원",Z464="세방",Z464="한타"),"",IFERROR(INDEX(GLAPS정리!$BI$2:$BI$101,MATCH(Z464,GLAPS정리!$BH$2:$BH$101,0)),""))</f>
        <v/>
      </c>
      <c r="BX464" s="2" t="str">
        <f>IF(Z464="","",IFERROR(VLOOKUP(Z464,GLAPS정리!$AX$2:$AZ$17,3,0),""))</f>
        <v/>
      </c>
      <c r="BZ464" s="2" t="e">
        <f>VLOOKUP(H464,GLAPS정리!$L$3:$O$133,2,0)</f>
        <v>#N/A</v>
      </c>
      <c r="CA464" s="2" t="str">
        <f t="shared" si="116"/>
        <v/>
      </c>
      <c r="CL464" s="2" t="e">
        <f>VLOOKUP(AI464,GLAPS정리!$BT$3:$BV$26,3,0)</f>
        <v>#N/A</v>
      </c>
    </row>
    <row r="465" spans="2:90" ht="20.45" customHeight="1">
      <c r="B465" s="13"/>
      <c r="G465" s="3"/>
      <c r="J465" s="3"/>
      <c r="Q465" s="3" t="str">
        <f t="shared" si="104"/>
        <v/>
      </c>
      <c r="R465" s="3" t="str">
        <f t="shared" si="105"/>
        <v/>
      </c>
      <c r="S465" s="3" t="str">
        <f t="shared" si="106"/>
        <v/>
      </c>
      <c r="X465" s="13"/>
      <c r="Y465" s="13"/>
      <c r="Z465" s="91"/>
      <c r="AC465" s="2">
        <f t="shared" si="107"/>
        <v>20</v>
      </c>
      <c r="AD465" s="2" t="str">
        <f>IFERROR(INDEX(GLAPS정리!$D$2:$D$50,MATCH(I465,GLAPS정리!$A$2:$A$50,0)),IFERROR(INDEX(GLAPS정리!$D$2:$D$50,MATCH(I465,GLAPS정리!$B$2:$B$50,0)),""))</f>
        <v/>
      </c>
      <c r="AF465" s="2" t="str">
        <f t="shared" si="108"/>
        <v>KR10</v>
      </c>
      <c r="AI465" s="2" t="e">
        <f>VLOOKUP(F465,GLAPS정리!$G$3:$J$114,2,0)</f>
        <v>#N/A</v>
      </c>
      <c r="AJ465" s="2" t="e">
        <f>IF(Z465="울산정일","KRONS",IF(Z465="울산신항","KRUSN",IF(OR(Z465="선광종합물류(인천여객)",Z465="인천여객(인천여객)"),"KRINF",IF(OR(Z465="선광인천보세(인천신)",Z465="한진인천(인천신)",Z465="선광인천신항(인천신)",Z465="인천더로지스(인천신)"),"KRINN",IF(OR(Z465="인천진아(인천항)",Z465="인천E1(인천항)",Z465="인천SM경인터미널(인천항)",Z465="인천항(인천항)",Z465="인천우련(인천항)",Z465="인천항8부두(인천항)"),"KRINC",VLOOKUP(K465,GLAPS정리!$BB$2:$BC$33,2,0))))))</f>
        <v>#N/A</v>
      </c>
      <c r="AL465" s="2">
        <f t="shared" si="109"/>
        <v>5010001</v>
      </c>
      <c r="AN465" s="70" t="str">
        <f t="shared" si="110"/>
        <v>1900-01-00</v>
      </c>
      <c r="AO465" s="2" t="str">
        <f t="shared" si="111"/>
        <v/>
      </c>
      <c r="AP465" s="2" t="e">
        <f>VLOOKUP(C465,GLAPS정리!$AX$2:$AZ$17,3,0)</f>
        <v>#N/A</v>
      </c>
      <c r="AR465" s="2">
        <f t="shared" si="117"/>
        <v>0</v>
      </c>
      <c r="AX465" s="2" t="e">
        <f>VLOOKUP(L465,GLAPS정리!$V$3:$W$180,2,0)</f>
        <v>#N/A</v>
      </c>
      <c r="BM465" s="2" t="str">
        <f t="shared" si="112"/>
        <v xml:space="preserve"> </v>
      </c>
      <c r="BN465" s="2">
        <f t="shared" si="113"/>
        <v>1</v>
      </c>
      <c r="BR465" s="2" t="str">
        <f t="shared" si="114"/>
        <v/>
      </c>
      <c r="BS465" s="2" t="str">
        <f t="shared" si="115"/>
        <v/>
      </c>
      <c r="BV465" s="2" t="e">
        <f>VLOOKUP(O465,GLAPS정리!$BH$2:$BI$94,2,0)</f>
        <v>#N/A</v>
      </c>
      <c r="BW465" s="2" t="str">
        <f>IF(OR(Z465="동원",Z465="세방",Z465="한타"),"",IFERROR(INDEX(GLAPS정리!$BI$2:$BI$101,MATCH(Z465,GLAPS정리!$BH$2:$BH$101,0)),""))</f>
        <v/>
      </c>
      <c r="BX465" s="2" t="str">
        <f>IF(Z465="","",IFERROR(VLOOKUP(Z465,GLAPS정리!$AX$2:$AZ$17,3,0),""))</f>
        <v/>
      </c>
      <c r="BZ465" s="2" t="e">
        <f>VLOOKUP(H465,GLAPS정리!$L$3:$O$133,2,0)</f>
        <v>#N/A</v>
      </c>
      <c r="CA465" s="2" t="str">
        <f t="shared" si="116"/>
        <v/>
      </c>
      <c r="CL465" s="2" t="e">
        <f>VLOOKUP(AI465,GLAPS정리!$BT$3:$BV$26,3,0)</f>
        <v>#N/A</v>
      </c>
    </row>
    <row r="466" spans="2:90" ht="20.45" customHeight="1">
      <c r="B466" s="13"/>
      <c r="G466" s="3"/>
      <c r="J466" s="3"/>
      <c r="Q466" s="3" t="str">
        <f t="shared" si="104"/>
        <v/>
      </c>
      <c r="R466" s="3" t="str">
        <f t="shared" si="105"/>
        <v/>
      </c>
      <c r="S466" s="3" t="str">
        <f t="shared" si="106"/>
        <v/>
      </c>
      <c r="X466" s="13"/>
      <c r="Y466" s="13"/>
      <c r="Z466" s="91"/>
      <c r="AC466" s="2">
        <f t="shared" si="107"/>
        <v>20</v>
      </c>
      <c r="AD466" s="2" t="str">
        <f>IFERROR(INDEX(GLAPS정리!$D$2:$D$50,MATCH(I466,GLAPS정리!$A$2:$A$50,0)),IFERROR(INDEX(GLAPS정리!$D$2:$D$50,MATCH(I466,GLAPS정리!$B$2:$B$50,0)),""))</f>
        <v/>
      </c>
      <c r="AF466" s="2" t="str">
        <f t="shared" si="108"/>
        <v>KR10</v>
      </c>
      <c r="AI466" s="2" t="e">
        <f>VLOOKUP(F466,GLAPS정리!$G$3:$J$114,2,0)</f>
        <v>#N/A</v>
      </c>
      <c r="AJ466" s="2" t="e">
        <f>IF(Z466="울산정일","KRONS",IF(Z466="울산신항","KRUSN",IF(OR(Z466="선광종합물류(인천여객)",Z466="인천여객(인천여객)"),"KRINF",IF(OR(Z466="선광인천보세(인천신)",Z466="한진인천(인천신)",Z466="선광인천신항(인천신)",Z466="인천더로지스(인천신)"),"KRINN",IF(OR(Z466="인천진아(인천항)",Z466="인천E1(인천항)",Z466="인천SM경인터미널(인천항)",Z466="인천항(인천항)",Z466="인천우련(인천항)",Z466="인천항8부두(인천항)"),"KRINC",VLOOKUP(K466,GLAPS정리!$BB$2:$BC$33,2,0))))))</f>
        <v>#N/A</v>
      </c>
      <c r="AL466" s="2">
        <f t="shared" si="109"/>
        <v>5010001</v>
      </c>
      <c r="AN466" s="70" t="str">
        <f t="shared" si="110"/>
        <v>1900-01-00</v>
      </c>
      <c r="AO466" s="2" t="str">
        <f t="shared" si="111"/>
        <v/>
      </c>
      <c r="AP466" s="2" t="e">
        <f>VLOOKUP(C466,GLAPS정리!$AX$2:$AZ$17,3,0)</f>
        <v>#N/A</v>
      </c>
      <c r="AR466" s="2">
        <f t="shared" si="117"/>
        <v>0</v>
      </c>
      <c r="AX466" s="2" t="e">
        <f>VLOOKUP(L466,GLAPS정리!$V$3:$W$180,2,0)</f>
        <v>#N/A</v>
      </c>
      <c r="BM466" s="2" t="str">
        <f t="shared" si="112"/>
        <v xml:space="preserve"> </v>
      </c>
      <c r="BN466" s="2">
        <f t="shared" si="113"/>
        <v>1</v>
      </c>
      <c r="BR466" s="2" t="str">
        <f t="shared" si="114"/>
        <v/>
      </c>
      <c r="BS466" s="2" t="str">
        <f t="shared" si="115"/>
        <v/>
      </c>
      <c r="BV466" s="2" t="e">
        <f>VLOOKUP(O466,GLAPS정리!$BH$2:$BI$94,2,0)</f>
        <v>#N/A</v>
      </c>
      <c r="BW466" s="2" t="str">
        <f>IF(OR(Z466="동원",Z466="세방",Z466="한타"),"",IFERROR(INDEX(GLAPS정리!$BI$2:$BI$101,MATCH(Z466,GLAPS정리!$BH$2:$BH$101,0)),""))</f>
        <v/>
      </c>
      <c r="BX466" s="2" t="str">
        <f>IF(Z466="","",IFERROR(VLOOKUP(Z466,GLAPS정리!$AX$2:$AZ$17,3,0),""))</f>
        <v/>
      </c>
      <c r="BZ466" s="2" t="e">
        <f>VLOOKUP(H466,GLAPS정리!$L$3:$O$133,2,0)</f>
        <v>#N/A</v>
      </c>
      <c r="CA466" s="2" t="str">
        <f t="shared" si="116"/>
        <v/>
      </c>
      <c r="CL466" s="2" t="e">
        <f>VLOOKUP(AI466,GLAPS정리!$BT$3:$BV$26,3,0)</f>
        <v>#N/A</v>
      </c>
    </row>
    <row r="467" spans="2:90" ht="20.45" customHeight="1">
      <c r="B467" s="13"/>
      <c r="G467" s="3"/>
      <c r="J467" s="3"/>
      <c r="Q467" s="3" t="str">
        <f t="shared" si="104"/>
        <v/>
      </c>
      <c r="R467" s="3" t="str">
        <f t="shared" si="105"/>
        <v/>
      </c>
      <c r="S467" s="3" t="str">
        <f t="shared" si="106"/>
        <v/>
      </c>
      <c r="X467" s="13"/>
      <c r="Y467" s="13"/>
      <c r="Z467" s="91"/>
      <c r="AC467" s="2">
        <f t="shared" si="107"/>
        <v>20</v>
      </c>
      <c r="AD467" s="2" t="str">
        <f>IFERROR(INDEX(GLAPS정리!$D$2:$D$50,MATCH(I467,GLAPS정리!$A$2:$A$50,0)),IFERROR(INDEX(GLAPS정리!$D$2:$D$50,MATCH(I467,GLAPS정리!$B$2:$B$50,0)),""))</f>
        <v/>
      </c>
      <c r="AF467" s="2" t="str">
        <f t="shared" si="108"/>
        <v>KR10</v>
      </c>
      <c r="AI467" s="2" t="e">
        <f>VLOOKUP(F467,GLAPS정리!$G$3:$J$114,2,0)</f>
        <v>#N/A</v>
      </c>
      <c r="AJ467" s="2" t="e">
        <f>IF(Z467="울산정일","KRONS",IF(Z467="울산신항","KRUSN",IF(OR(Z467="선광종합물류(인천여객)",Z467="인천여객(인천여객)"),"KRINF",IF(OR(Z467="선광인천보세(인천신)",Z467="한진인천(인천신)",Z467="선광인천신항(인천신)",Z467="인천더로지스(인천신)"),"KRINN",IF(OR(Z467="인천진아(인천항)",Z467="인천E1(인천항)",Z467="인천SM경인터미널(인천항)",Z467="인천항(인천항)",Z467="인천우련(인천항)",Z467="인천항8부두(인천항)"),"KRINC",VLOOKUP(K467,GLAPS정리!$BB$2:$BC$33,2,0))))))</f>
        <v>#N/A</v>
      </c>
      <c r="AL467" s="2">
        <f t="shared" si="109"/>
        <v>5010001</v>
      </c>
      <c r="AN467" s="70" t="str">
        <f t="shared" si="110"/>
        <v>1900-01-00</v>
      </c>
      <c r="AO467" s="2" t="str">
        <f t="shared" si="111"/>
        <v/>
      </c>
      <c r="AP467" s="2" t="e">
        <f>VLOOKUP(C467,GLAPS정리!$AX$2:$AZ$17,3,0)</f>
        <v>#N/A</v>
      </c>
      <c r="AR467" s="2">
        <f t="shared" si="117"/>
        <v>0</v>
      </c>
      <c r="AX467" s="2" t="e">
        <f>VLOOKUP(L467,GLAPS정리!$V$3:$W$180,2,0)</f>
        <v>#N/A</v>
      </c>
      <c r="BM467" s="2" t="str">
        <f t="shared" si="112"/>
        <v xml:space="preserve"> </v>
      </c>
      <c r="BN467" s="2">
        <f t="shared" si="113"/>
        <v>1</v>
      </c>
      <c r="BR467" s="2" t="str">
        <f t="shared" si="114"/>
        <v/>
      </c>
      <c r="BS467" s="2" t="str">
        <f t="shared" si="115"/>
        <v/>
      </c>
      <c r="BV467" s="2" t="e">
        <f>VLOOKUP(O467,GLAPS정리!$BH$2:$BI$94,2,0)</f>
        <v>#N/A</v>
      </c>
      <c r="BW467" s="2" t="str">
        <f>IF(OR(Z467="동원",Z467="세방",Z467="한타"),"",IFERROR(INDEX(GLAPS정리!$BI$2:$BI$101,MATCH(Z467,GLAPS정리!$BH$2:$BH$101,0)),""))</f>
        <v/>
      </c>
      <c r="BX467" s="2" t="str">
        <f>IF(Z467="","",IFERROR(VLOOKUP(Z467,GLAPS정리!$AX$2:$AZ$17,3,0),""))</f>
        <v/>
      </c>
      <c r="BZ467" s="2" t="e">
        <f>VLOOKUP(H467,GLAPS정리!$L$3:$O$133,2,0)</f>
        <v>#N/A</v>
      </c>
      <c r="CA467" s="2" t="str">
        <f t="shared" si="116"/>
        <v/>
      </c>
      <c r="CL467" s="2" t="e">
        <f>VLOOKUP(AI467,GLAPS정리!$BT$3:$BV$26,3,0)</f>
        <v>#N/A</v>
      </c>
    </row>
    <row r="468" spans="2:90" ht="20.45" customHeight="1">
      <c r="B468" s="13"/>
      <c r="G468" s="3"/>
      <c r="J468" s="3"/>
      <c r="Q468" s="3" t="str">
        <f t="shared" si="104"/>
        <v/>
      </c>
      <c r="R468" s="3" t="str">
        <f t="shared" si="105"/>
        <v/>
      </c>
      <c r="S468" s="3" t="str">
        <f t="shared" si="106"/>
        <v/>
      </c>
      <c r="X468" s="13"/>
      <c r="Y468" s="13"/>
      <c r="Z468" s="91"/>
      <c r="AC468" s="2">
        <f t="shared" si="107"/>
        <v>20</v>
      </c>
      <c r="AD468" s="2" t="str">
        <f>IFERROR(INDEX(GLAPS정리!$D$2:$D$50,MATCH(I468,GLAPS정리!$A$2:$A$50,0)),IFERROR(INDEX(GLAPS정리!$D$2:$D$50,MATCH(I468,GLAPS정리!$B$2:$B$50,0)),""))</f>
        <v/>
      </c>
      <c r="AF468" s="2" t="str">
        <f t="shared" si="108"/>
        <v>KR10</v>
      </c>
      <c r="AI468" s="2" t="e">
        <f>VLOOKUP(F468,GLAPS정리!$G$3:$J$114,2,0)</f>
        <v>#N/A</v>
      </c>
      <c r="AJ468" s="2" t="e">
        <f>IF(Z468="울산정일","KRONS",IF(Z468="울산신항","KRUSN",IF(OR(Z468="선광종합물류(인천여객)",Z468="인천여객(인천여객)"),"KRINF",IF(OR(Z468="선광인천보세(인천신)",Z468="한진인천(인천신)",Z468="선광인천신항(인천신)",Z468="인천더로지스(인천신)"),"KRINN",IF(OR(Z468="인천진아(인천항)",Z468="인천E1(인천항)",Z468="인천SM경인터미널(인천항)",Z468="인천항(인천항)",Z468="인천우련(인천항)",Z468="인천항8부두(인천항)"),"KRINC",VLOOKUP(K468,GLAPS정리!$BB$2:$BC$33,2,0))))))</f>
        <v>#N/A</v>
      </c>
      <c r="AL468" s="2">
        <f t="shared" si="109"/>
        <v>5010001</v>
      </c>
      <c r="AN468" s="70" t="str">
        <f t="shared" si="110"/>
        <v>1900-01-00</v>
      </c>
      <c r="AO468" s="2" t="str">
        <f t="shared" si="111"/>
        <v/>
      </c>
      <c r="AP468" s="2" t="e">
        <f>VLOOKUP(C468,GLAPS정리!$AX$2:$AZ$17,3,0)</f>
        <v>#N/A</v>
      </c>
      <c r="AR468" s="2">
        <f t="shared" si="117"/>
        <v>0</v>
      </c>
      <c r="AX468" s="2" t="e">
        <f>VLOOKUP(L468,GLAPS정리!$V$3:$W$180,2,0)</f>
        <v>#N/A</v>
      </c>
      <c r="BM468" s="2" t="str">
        <f t="shared" si="112"/>
        <v xml:space="preserve"> </v>
      </c>
      <c r="BN468" s="2">
        <f t="shared" si="113"/>
        <v>1</v>
      </c>
      <c r="BR468" s="2" t="str">
        <f t="shared" si="114"/>
        <v/>
      </c>
      <c r="BS468" s="2" t="str">
        <f t="shared" si="115"/>
        <v/>
      </c>
      <c r="BV468" s="2" t="e">
        <f>VLOOKUP(O468,GLAPS정리!$BH$2:$BI$94,2,0)</f>
        <v>#N/A</v>
      </c>
      <c r="BW468" s="2" t="str">
        <f>IF(OR(Z468="동원",Z468="세방",Z468="한타"),"",IFERROR(INDEX(GLAPS정리!$BI$2:$BI$101,MATCH(Z468,GLAPS정리!$BH$2:$BH$101,0)),""))</f>
        <v/>
      </c>
      <c r="BX468" s="2" t="str">
        <f>IF(Z468="","",IFERROR(VLOOKUP(Z468,GLAPS정리!$AX$2:$AZ$17,3,0),""))</f>
        <v/>
      </c>
      <c r="BZ468" s="2" t="e">
        <f>VLOOKUP(H468,GLAPS정리!$L$3:$O$133,2,0)</f>
        <v>#N/A</v>
      </c>
      <c r="CA468" s="2" t="str">
        <f t="shared" si="116"/>
        <v/>
      </c>
      <c r="CL468" s="2" t="e">
        <f>VLOOKUP(AI468,GLAPS정리!$BT$3:$BV$26,3,0)</f>
        <v>#N/A</v>
      </c>
    </row>
    <row r="469" spans="2:90" ht="20.45" customHeight="1">
      <c r="B469" s="13"/>
      <c r="G469" s="3"/>
      <c r="J469" s="3"/>
      <c r="Q469" s="3" t="str">
        <f t="shared" si="104"/>
        <v/>
      </c>
      <c r="R469" s="3" t="str">
        <f t="shared" si="105"/>
        <v/>
      </c>
      <c r="S469" s="3" t="str">
        <f t="shared" si="106"/>
        <v/>
      </c>
      <c r="X469" s="13"/>
      <c r="Y469" s="13"/>
      <c r="Z469" s="91"/>
      <c r="AC469" s="2">
        <f t="shared" si="107"/>
        <v>20</v>
      </c>
      <c r="AD469" s="2" t="str">
        <f>IFERROR(INDEX(GLAPS정리!$D$2:$D$50,MATCH(I469,GLAPS정리!$A$2:$A$50,0)),IFERROR(INDEX(GLAPS정리!$D$2:$D$50,MATCH(I469,GLAPS정리!$B$2:$B$50,0)),""))</f>
        <v/>
      </c>
      <c r="AF469" s="2" t="str">
        <f t="shared" si="108"/>
        <v>KR10</v>
      </c>
      <c r="AI469" s="2" t="e">
        <f>VLOOKUP(F469,GLAPS정리!$G$3:$J$114,2,0)</f>
        <v>#N/A</v>
      </c>
      <c r="AJ469" s="2" t="e">
        <f>IF(Z469="울산정일","KRONS",IF(Z469="울산신항","KRUSN",IF(OR(Z469="선광종합물류(인천여객)",Z469="인천여객(인천여객)"),"KRINF",IF(OR(Z469="선광인천보세(인천신)",Z469="한진인천(인천신)",Z469="선광인천신항(인천신)",Z469="인천더로지스(인천신)"),"KRINN",IF(OR(Z469="인천진아(인천항)",Z469="인천E1(인천항)",Z469="인천SM경인터미널(인천항)",Z469="인천항(인천항)",Z469="인천우련(인천항)",Z469="인천항8부두(인천항)"),"KRINC",VLOOKUP(K469,GLAPS정리!$BB$2:$BC$33,2,0))))))</f>
        <v>#N/A</v>
      </c>
      <c r="AL469" s="2">
        <f t="shared" si="109"/>
        <v>5010001</v>
      </c>
      <c r="AN469" s="70" t="str">
        <f t="shared" si="110"/>
        <v>1900-01-00</v>
      </c>
      <c r="AO469" s="2" t="str">
        <f t="shared" si="111"/>
        <v/>
      </c>
      <c r="AP469" s="2" t="e">
        <f>VLOOKUP(C469,GLAPS정리!$AX$2:$AZ$17,3,0)</f>
        <v>#N/A</v>
      </c>
      <c r="AR469" s="2">
        <f t="shared" si="117"/>
        <v>0</v>
      </c>
      <c r="AX469" s="2" t="e">
        <f>VLOOKUP(L469,GLAPS정리!$V$3:$W$180,2,0)</f>
        <v>#N/A</v>
      </c>
      <c r="BM469" s="2" t="str">
        <f t="shared" si="112"/>
        <v xml:space="preserve"> </v>
      </c>
      <c r="BN469" s="2">
        <f t="shared" si="113"/>
        <v>1</v>
      </c>
      <c r="BR469" s="2" t="str">
        <f t="shared" si="114"/>
        <v/>
      </c>
      <c r="BS469" s="2" t="str">
        <f t="shared" si="115"/>
        <v/>
      </c>
      <c r="BV469" s="2" t="e">
        <f>VLOOKUP(O469,GLAPS정리!$BH$2:$BI$94,2,0)</f>
        <v>#N/A</v>
      </c>
      <c r="BW469" s="2" t="str">
        <f>IF(OR(Z469="동원",Z469="세방",Z469="한타"),"",IFERROR(INDEX(GLAPS정리!$BI$2:$BI$101,MATCH(Z469,GLAPS정리!$BH$2:$BH$101,0)),""))</f>
        <v/>
      </c>
      <c r="BX469" s="2" t="str">
        <f>IF(Z469="","",IFERROR(VLOOKUP(Z469,GLAPS정리!$AX$2:$AZ$17,3,0),""))</f>
        <v/>
      </c>
      <c r="BZ469" s="2" t="e">
        <f>VLOOKUP(H469,GLAPS정리!$L$3:$O$133,2,0)</f>
        <v>#N/A</v>
      </c>
      <c r="CA469" s="2" t="str">
        <f t="shared" si="116"/>
        <v/>
      </c>
      <c r="CL469" s="2" t="e">
        <f>VLOOKUP(AI469,GLAPS정리!$BT$3:$BV$26,3,0)</f>
        <v>#N/A</v>
      </c>
    </row>
    <row r="470" spans="2:90" ht="20.45" customHeight="1">
      <c r="B470" s="13"/>
      <c r="G470" s="3"/>
      <c r="J470" s="3"/>
      <c r="Q470" s="3" t="str">
        <f t="shared" si="104"/>
        <v/>
      </c>
      <c r="R470" s="3" t="str">
        <f t="shared" si="105"/>
        <v/>
      </c>
      <c r="S470" s="3" t="str">
        <f t="shared" si="106"/>
        <v/>
      </c>
      <c r="X470" s="13"/>
      <c r="Y470" s="13"/>
      <c r="Z470" s="91"/>
      <c r="AC470" s="2">
        <f t="shared" si="107"/>
        <v>20</v>
      </c>
      <c r="AD470" s="2" t="str">
        <f>IFERROR(INDEX(GLAPS정리!$D$2:$D$50,MATCH(I470,GLAPS정리!$A$2:$A$50,0)),IFERROR(INDEX(GLAPS정리!$D$2:$D$50,MATCH(I470,GLAPS정리!$B$2:$B$50,0)),""))</f>
        <v/>
      </c>
      <c r="AF470" s="2" t="str">
        <f t="shared" si="108"/>
        <v>KR10</v>
      </c>
      <c r="AI470" s="2" t="e">
        <f>VLOOKUP(F470,GLAPS정리!$G$3:$J$114,2,0)</f>
        <v>#N/A</v>
      </c>
      <c r="AJ470" s="2" t="e">
        <f>IF(Z470="울산정일","KRONS",IF(Z470="울산신항","KRUSN",IF(OR(Z470="선광종합물류(인천여객)",Z470="인천여객(인천여객)"),"KRINF",IF(OR(Z470="선광인천보세(인천신)",Z470="한진인천(인천신)",Z470="선광인천신항(인천신)",Z470="인천더로지스(인천신)"),"KRINN",IF(OR(Z470="인천진아(인천항)",Z470="인천E1(인천항)",Z470="인천SM경인터미널(인천항)",Z470="인천항(인천항)",Z470="인천우련(인천항)",Z470="인천항8부두(인천항)"),"KRINC",VLOOKUP(K470,GLAPS정리!$BB$2:$BC$33,2,0))))))</f>
        <v>#N/A</v>
      </c>
      <c r="AL470" s="2">
        <f t="shared" si="109"/>
        <v>5010001</v>
      </c>
      <c r="AN470" s="70" t="str">
        <f t="shared" si="110"/>
        <v>1900-01-00</v>
      </c>
      <c r="AO470" s="2" t="str">
        <f t="shared" si="111"/>
        <v/>
      </c>
      <c r="AP470" s="2" t="e">
        <f>VLOOKUP(C470,GLAPS정리!$AX$2:$AZ$17,3,0)</f>
        <v>#N/A</v>
      </c>
      <c r="AR470" s="2">
        <f t="shared" si="117"/>
        <v>0</v>
      </c>
      <c r="AX470" s="2" t="e">
        <f>VLOOKUP(L470,GLAPS정리!$V$3:$W$180,2,0)</f>
        <v>#N/A</v>
      </c>
      <c r="BM470" s="2" t="str">
        <f t="shared" si="112"/>
        <v xml:space="preserve"> </v>
      </c>
      <c r="BN470" s="2">
        <f t="shared" si="113"/>
        <v>1</v>
      </c>
      <c r="BR470" s="2" t="str">
        <f t="shared" si="114"/>
        <v/>
      </c>
      <c r="BS470" s="2" t="str">
        <f t="shared" si="115"/>
        <v/>
      </c>
      <c r="BV470" s="2" t="e">
        <f>VLOOKUP(O470,GLAPS정리!$BH$2:$BI$94,2,0)</f>
        <v>#N/A</v>
      </c>
      <c r="BW470" s="2" t="str">
        <f>IF(OR(Z470="동원",Z470="세방",Z470="한타"),"",IFERROR(INDEX(GLAPS정리!$BI$2:$BI$101,MATCH(Z470,GLAPS정리!$BH$2:$BH$101,0)),""))</f>
        <v/>
      </c>
      <c r="BX470" s="2" t="str">
        <f>IF(Z470="","",IFERROR(VLOOKUP(Z470,GLAPS정리!$AX$2:$AZ$17,3,0),""))</f>
        <v/>
      </c>
      <c r="BZ470" s="2" t="e">
        <f>VLOOKUP(H470,GLAPS정리!$L$3:$O$133,2,0)</f>
        <v>#N/A</v>
      </c>
      <c r="CA470" s="2" t="str">
        <f t="shared" si="116"/>
        <v/>
      </c>
      <c r="CL470" s="2" t="e">
        <f>VLOOKUP(AI470,GLAPS정리!$BT$3:$BV$26,3,0)</f>
        <v>#N/A</v>
      </c>
    </row>
    <row r="471" spans="2:90" ht="20.45" customHeight="1">
      <c r="B471" s="13"/>
      <c r="G471" s="3"/>
      <c r="J471" s="3"/>
      <c r="Q471" s="3" t="str">
        <f t="shared" si="104"/>
        <v/>
      </c>
      <c r="R471" s="3" t="str">
        <f t="shared" si="105"/>
        <v/>
      </c>
      <c r="S471" s="3" t="str">
        <f t="shared" si="106"/>
        <v/>
      </c>
      <c r="X471" s="13"/>
      <c r="Y471" s="13"/>
      <c r="Z471" s="91"/>
      <c r="AC471" s="2">
        <f t="shared" si="107"/>
        <v>20</v>
      </c>
      <c r="AD471" s="2" t="str">
        <f>IFERROR(INDEX(GLAPS정리!$D$2:$D$50,MATCH(I471,GLAPS정리!$A$2:$A$50,0)),IFERROR(INDEX(GLAPS정리!$D$2:$D$50,MATCH(I471,GLAPS정리!$B$2:$B$50,0)),""))</f>
        <v/>
      </c>
      <c r="AF471" s="2" t="str">
        <f t="shared" si="108"/>
        <v>KR10</v>
      </c>
      <c r="AI471" s="2" t="e">
        <f>VLOOKUP(F471,GLAPS정리!$G$3:$J$114,2,0)</f>
        <v>#N/A</v>
      </c>
      <c r="AJ471" s="2" t="e">
        <f>IF(Z471="울산정일","KRONS",IF(Z471="울산신항","KRUSN",IF(OR(Z471="선광종합물류(인천여객)",Z471="인천여객(인천여객)"),"KRINF",IF(OR(Z471="선광인천보세(인천신)",Z471="한진인천(인천신)",Z471="선광인천신항(인천신)",Z471="인천더로지스(인천신)"),"KRINN",IF(OR(Z471="인천진아(인천항)",Z471="인천E1(인천항)",Z471="인천SM경인터미널(인천항)",Z471="인천항(인천항)",Z471="인천우련(인천항)",Z471="인천항8부두(인천항)"),"KRINC",VLOOKUP(K471,GLAPS정리!$BB$2:$BC$33,2,0))))))</f>
        <v>#N/A</v>
      </c>
      <c r="AL471" s="2">
        <f t="shared" si="109"/>
        <v>5010001</v>
      </c>
      <c r="AN471" s="70" t="str">
        <f t="shared" si="110"/>
        <v>1900-01-00</v>
      </c>
      <c r="AO471" s="2" t="str">
        <f t="shared" si="111"/>
        <v/>
      </c>
      <c r="AP471" s="2" t="e">
        <f>VLOOKUP(C471,GLAPS정리!$AX$2:$AZ$17,3,0)</f>
        <v>#N/A</v>
      </c>
      <c r="AR471" s="2">
        <f t="shared" si="117"/>
        <v>0</v>
      </c>
      <c r="AX471" s="2" t="e">
        <f>VLOOKUP(L471,GLAPS정리!$V$3:$W$180,2,0)</f>
        <v>#N/A</v>
      </c>
      <c r="BM471" s="2" t="str">
        <f t="shared" si="112"/>
        <v xml:space="preserve"> </v>
      </c>
      <c r="BN471" s="2">
        <f t="shared" si="113"/>
        <v>1</v>
      </c>
      <c r="BR471" s="2" t="str">
        <f t="shared" si="114"/>
        <v/>
      </c>
      <c r="BS471" s="2" t="str">
        <f t="shared" si="115"/>
        <v/>
      </c>
      <c r="BV471" s="2" t="e">
        <f>VLOOKUP(O471,GLAPS정리!$BH$2:$BI$94,2,0)</f>
        <v>#N/A</v>
      </c>
      <c r="BW471" s="2" t="str">
        <f>IF(OR(Z471="동원",Z471="세방",Z471="한타"),"",IFERROR(INDEX(GLAPS정리!$BI$2:$BI$101,MATCH(Z471,GLAPS정리!$BH$2:$BH$101,0)),""))</f>
        <v/>
      </c>
      <c r="BX471" s="2" t="str">
        <f>IF(Z471="","",IFERROR(VLOOKUP(Z471,GLAPS정리!$AX$2:$AZ$17,3,0),""))</f>
        <v/>
      </c>
      <c r="BZ471" s="2" t="e">
        <f>VLOOKUP(H471,GLAPS정리!$L$3:$O$133,2,0)</f>
        <v>#N/A</v>
      </c>
      <c r="CA471" s="2" t="str">
        <f t="shared" si="116"/>
        <v/>
      </c>
      <c r="CL471" s="2" t="e">
        <f>VLOOKUP(AI471,GLAPS정리!$BT$3:$BV$26,3,0)</f>
        <v>#N/A</v>
      </c>
    </row>
    <row r="472" spans="2:90" ht="20.45" customHeight="1">
      <c r="B472" s="13"/>
      <c r="G472" s="3"/>
      <c r="J472" s="3"/>
      <c r="Q472" s="3" t="str">
        <f t="shared" si="104"/>
        <v/>
      </c>
      <c r="R472" s="3" t="str">
        <f t="shared" si="105"/>
        <v/>
      </c>
      <c r="S472" s="3" t="str">
        <f t="shared" si="106"/>
        <v/>
      </c>
      <c r="X472" s="13"/>
      <c r="Y472" s="13"/>
      <c r="Z472" s="91"/>
      <c r="AC472" s="2">
        <f t="shared" si="107"/>
        <v>20</v>
      </c>
      <c r="AD472" s="2" t="str">
        <f>IFERROR(INDEX(GLAPS정리!$D$2:$D$50,MATCH(I472,GLAPS정리!$A$2:$A$50,0)),IFERROR(INDEX(GLAPS정리!$D$2:$D$50,MATCH(I472,GLAPS정리!$B$2:$B$50,0)),""))</f>
        <v/>
      </c>
      <c r="AF472" s="2" t="str">
        <f t="shared" si="108"/>
        <v>KR10</v>
      </c>
      <c r="AI472" s="2" t="e">
        <f>VLOOKUP(F472,GLAPS정리!$G$3:$J$114,2,0)</f>
        <v>#N/A</v>
      </c>
      <c r="AJ472" s="2" t="e">
        <f>IF(Z472="울산정일","KRONS",IF(Z472="울산신항","KRUSN",IF(OR(Z472="선광종합물류(인천여객)",Z472="인천여객(인천여객)"),"KRINF",IF(OR(Z472="선광인천보세(인천신)",Z472="한진인천(인천신)",Z472="선광인천신항(인천신)",Z472="인천더로지스(인천신)"),"KRINN",IF(OR(Z472="인천진아(인천항)",Z472="인천E1(인천항)",Z472="인천SM경인터미널(인천항)",Z472="인천항(인천항)",Z472="인천우련(인천항)",Z472="인천항8부두(인천항)"),"KRINC",VLOOKUP(K472,GLAPS정리!$BB$2:$BC$33,2,0))))))</f>
        <v>#N/A</v>
      </c>
      <c r="AL472" s="2">
        <f t="shared" si="109"/>
        <v>5010001</v>
      </c>
      <c r="AN472" s="70" t="str">
        <f t="shared" si="110"/>
        <v>1900-01-00</v>
      </c>
      <c r="AO472" s="2" t="str">
        <f t="shared" si="111"/>
        <v/>
      </c>
      <c r="AP472" s="2" t="e">
        <f>VLOOKUP(C472,GLAPS정리!$AX$2:$AZ$17,3,0)</f>
        <v>#N/A</v>
      </c>
      <c r="AR472" s="2">
        <f t="shared" si="117"/>
        <v>0</v>
      </c>
      <c r="AX472" s="2" t="e">
        <f>VLOOKUP(L472,GLAPS정리!$V$3:$W$180,2,0)</f>
        <v>#N/A</v>
      </c>
      <c r="BM472" s="2" t="str">
        <f t="shared" si="112"/>
        <v xml:space="preserve"> </v>
      </c>
      <c r="BN472" s="2">
        <f t="shared" si="113"/>
        <v>1</v>
      </c>
      <c r="BR472" s="2" t="str">
        <f t="shared" si="114"/>
        <v/>
      </c>
      <c r="BS472" s="2" t="str">
        <f t="shared" si="115"/>
        <v/>
      </c>
      <c r="BV472" s="2" t="e">
        <f>VLOOKUP(O472,GLAPS정리!$BH$2:$BI$94,2,0)</f>
        <v>#N/A</v>
      </c>
      <c r="BW472" s="2" t="str">
        <f>IF(OR(Z472="동원",Z472="세방",Z472="한타"),"",IFERROR(INDEX(GLAPS정리!$BI$2:$BI$101,MATCH(Z472,GLAPS정리!$BH$2:$BH$101,0)),""))</f>
        <v/>
      </c>
      <c r="BX472" s="2" t="str">
        <f>IF(Z472="","",IFERROR(VLOOKUP(Z472,GLAPS정리!$AX$2:$AZ$17,3,0),""))</f>
        <v/>
      </c>
      <c r="BZ472" s="2" t="e">
        <f>VLOOKUP(H472,GLAPS정리!$L$3:$O$133,2,0)</f>
        <v>#N/A</v>
      </c>
      <c r="CA472" s="2" t="str">
        <f t="shared" si="116"/>
        <v/>
      </c>
      <c r="CL472" s="2" t="e">
        <f>VLOOKUP(AI472,GLAPS정리!$BT$3:$BV$26,3,0)</f>
        <v>#N/A</v>
      </c>
    </row>
    <row r="473" spans="2:90" ht="20.45" customHeight="1">
      <c r="B473" s="13"/>
      <c r="G473" s="3"/>
      <c r="J473" s="3"/>
      <c r="Q473" s="3" t="str">
        <f t="shared" si="104"/>
        <v/>
      </c>
      <c r="R473" s="3" t="str">
        <f t="shared" si="105"/>
        <v/>
      </c>
      <c r="S473" s="3" t="str">
        <f t="shared" si="106"/>
        <v/>
      </c>
      <c r="X473" s="13"/>
      <c r="Y473" s="13"/>
      <c r="Z473" s="91"/>
      <c r="AC473" s="2">
        <f t="shared" si="107"/>
        <v>20</v>
      </c>
      <c r="AD473" s="2" t="str">
        <f>IFERROR(INDEX(GLAPS정리!$D$2:$D$50,MATCH(I473,GLAPS정리!$A$2:$A$50,0)),IFERROR(INDEX(GLAPS정리!$D$2:$D$50,MATCH(I473,GLAPS정리!$B$2:$B$50,0)),""))</f>
        <v/>
      </c>
      <c r="AF473" s="2" t="str">
        <f t="shared" si="108"/>
        <v>KR10</v>
      </c>
      <c r="AI473" s="2" t="e">
        <f>VLOOKUP(F473,GLAPS정리!$G$3:$J$114,2,0)</f>
        <v>#N/A</v>
      </c>
      <c r="AJ473" s="2" t="e">
        <f>IF(Z473="울산정일","KRONS",IF(Z473="울산신항","KRUSN",IF(OR(Z473="선광종합물류(인천여객)",Z473="인천여객(인천여객)"),"KRINF",IF(OR(Z473="선광인천보세(인천신)",Z473="한진인천(인천신)",Z473="선광인천신항(인천신)",Z473="인천더로지스(인천신)"),"KRINN",IF(OR(Z473="인천진아(인천항)",Z473="인천E1(인천항)",Z473="인천SM경인터미널(인천항)",Z473="인천항(인천항)",Z473="인천우련(인천항)",Z473="인천항8부두(인천항)"),"KRINC",VLOOKUP(K473,GLAPS정리!$BB$2:$BC$33,2,0))))))</f>
        <v>#N/A</v>
      </c>
      <c r="AL473" s="2">
        <f t="shared" si="109"/>
        <v>5010001</v>
      </c>
      <c r="AN473" s="70" t="str">
        <f t="shared" si="110"/>
        <v>1900-01-00</v>
      </c>
      <c r="AO473" s="2" t="str">
        <f t="shared" si="111"/>
        <v/>
      </c>
      <c r="AP473" s="2" t="e">
        <f>VLOOKUP(C473,GLAPS정리!$AX$2:$AZ$17,3,0)</f>
        <v>#N/A</v>
      </c>
      <c r="AR473" s="2">
        <f t="shared" si="117"/>
        <v>0</v>
      </c>
      <c r="AX473" s="2" t="e">
        <f>VLOOKUP(L473,GLAPS정리!$V$3:$W$180,2,0)</f>
        <v>#N/A</v>
      </c>
      <c r="BM473" s="2" t="str">
        <f t="shared" si="112"/>
        <v xml:space="preserve"> </v>
      </c>
      <c r="BN473" s="2">
        <f t="shared" si="113"/>
        <v>1</v>
      </c>
      <c r="BR473" s="2" t="str">
        <f t="shared" si="114"/>
        <v/>
      </c>
      <c r="BS473" s="2" t="str">
        <f t="shared" si="115"/>
        <v/>
      </c>
      <c r="BV473" s="2" t="e">
        <f>VLOOKUP(O473,GLAPS정리!$BH$2:$BI$94,2,0)</f>
        <v>#N/A</v>
      </c>
      <c r="BW473" s="2" t="str">
        <f>IF(OR(Z473="동원",Z473="세방",Z473="한타"),"",IFERROR(INDEX(GLAPS정리!$BI$2:$BI$101,MATCH(Z473,GLAPS정리!$BH$2:$BH$101,0)),""))</f>
        <v/>
      </c>
      <c r="BX473" s="2" t="str">
        <f>IF(Z473="","",IFERROR(VLOOKUP(Z473,GLAPS정리!$AX$2:$AZ$17,3,0),""))</f>
        <v/>
      </c>
      <c r="BZ473" s="2" t="e">
        <f>VLOOKUP(H473,GLAPS정리!$L$3:$O$133,2,0)</f>
        <v>#N/A</v>
      </c>
      <c r="CA473" s="2" t="str">
        <f t="shared" si="116"/>
        <v/>
      </c>
      <c r="CL473" s="2" t="e">
        <f>VLOOKUP(AI473,GLAPS정리!$BT$3:$BV$26,3,0)</f>
        <v>#N/A</v>
      </c>
    </row>
    <row r="474" spans="2:90" ht="20.45" customHeight="1">
      <c r="B474" s="13"/>
      <c r="G474" s="3"/>
      <c r="J474" s="3"/>
      <c r="Q474" s="3" t="str">
        <f t="shared" si="104"/>
        <v/>
      </c>
      <c r="R474" s="3" t="str">
        <f t="shared" si="105"/>
        <v/>
      </c>
      <c r="S474" s="3" t="str">
        <f t="shared" si="106"/>
        <v/>
      </c>
      <c r="X474" s="13"/>
      <c r="Y474" s="13"/>
      <c r="Z474" s="91"/>
      <c r="AC474" s="2">
        <f t="shared" si="107"/>
        <v>20</v>
      </c>
      <c r="AD474" s="2" t="str">
        <f>IFERROR(INDEX(GLAPS정리!$D$2:$D$50,MATCH(I474,GLAPS정리!$A$2:$A$50,0)),IFERROR(INDEX(GLAPS정리!$D$2:$D$50,MATCH(I474,GLAPS정리!$B$2:$B$50,0)),""))</f>
        <v/>
      </c>
      <c r="AF474" s="2" t="str">
        <f t="shared" si="108"/>
        <v>KR10</v>
      </c>
      <c r="AI474" s="2" t="e">
        <f>VLOOKUP(F474,GLAPS정리!$G$3:$J$114,2,0)</f>
        <v>#N/A</v>
      </c>
      <c r="AJ474" s="2" t="e">
        <f>IF(Z474="울산정일","KRONS",IF(Z474="울산신항","KRUSN",IF(OR(Z474="선광종합물류(인천여객)",Z474="인천여객(인천여객)"),"KRINF",IF(OR(Z474="선광인천보세(인천신)",Z474="한진인천(인천신)",Z474="선광인천신항(인천신)",Z474="인천더로지스(인천신)"),"KRINN",IF(OR(Z474="인천진아(인천항)",Z474="인천E1(인천항)",Z474="인천SM경인터미널(인천항)",Z474="인천항(인천항)",Z474="인천우련(인천항)",Z474="인천항8부두(인천항)"),"KRINC",VLOOKUP(K474,GLAPS정리!$BB$2:$BC$33,2,0))))))</f>
        <v>#N/A</v>
      </c>
      <c r="AL474" s="2">
        <f t="shared" si="109"/>
        <v>5010001</v>
      </c>
      <c r="AN474" s="70" t="str">
        <f t="shared" si="110"/>
        <v>1900-01-00</v>
      </c>
      <c r="AO474" s="2" t="str">
        <f t="shared" si="111"/>
        <v/>
      </c>
      <c r="AP474" s="2" t="e">
        <f>VLOOKUP(C474,GLAPS정리!$AX$2:$AZ$17,3,0)</f>
        <v>#N/A</v>
      </c>
      <c r="AR474" s="2">
        <f t="shared" si="117"/>
        <v>0</v>
      </c>
      <c r="AX474" s="2" t="e">
        <f>VLOOKUP(L474,GLAPS정리!$V$3:$W$180,2,0)</f>
        <v>#N/A</v>
      </c>
      <c r="BM474" s="2" t="str">
        <f t="shared" si="112"/>
        <v xml:space="preserve"> </v>
      </c>
      <c r="BN474" s="2">
        <f t="shared" si="113"/>
        <v>1</v>
      </c>
      <c r="BR474" s="2" t="str">
        <f t="shared" si="114"/>
        <v/>
      </c>
      <c r="BS474" s="2" t="str">
        <f t="shared" si="115"/>
        <v/>
      </c>
      <c r="BV474" s="2" t="e">
        <f>VLOOKUP(O474,GLAPS정리!$BH$2:$BI$94,2,0)</f>
        <v>#N/A</v>
      </c>
      <c r="BW474" s="2" t="str">
        <f>IF(OR(Z474="동원",Z474="세방",Z474="한타"),"",IFERROR(INDEX(GLAPS정리!$BI$2:$BI$101,MATCH(Z474,GLAPS정리!$BH$2:$BH$101,0)),""))</f>
        <v/>
      </c>
      <c r="BX474" s="2" t="str">
        <f>IF(Z474="","",IFERROR(VLOOKUP(Z474,GLAPS정리!$AX$2:$AZ$17,3,0),""))</f>
        <v/>
      </c>
      <c r="BZ474" s="2" t="e">
        <f>VLOOKUP(H474,GLAPS정리!$L$3:$O$133,2,0)</f>
        <v>#N/A</v>
      </c>
      <c r="CA474" s="2" t="str">
        <f t="shared" si="116"/>
        <v/>
      </c>
      <c r="CL474" s="2" t="e">
        <f>VLOOKUP(AI474,GLAPS정리!$BT$3:$BV$26,3,0)</f>
        <v>#N/A</v>
      </c>
    </row>
    <row r="475" spans="2:90" ht="20.45" customHeight="1">
      <c r="B475" s="13"/>
      <c r="G475" s="3"/>
      <c r="J475" s="3"/>
      <c r="Q475" s="3" t="str">
        <f t="shared" si="104"/>
        <v/>
      </c>
      <c r="R475" s="3" t="str">
        <f t="shared" si="105"/>
        <v/>
      </c>
      <c r="S475" s="3" t="str">
        <f t="shared" si="106"/>
        <v/>
      </c>
      <c r="X475" s="13"/>
      <c r="Y475" s="13"/>
      <c r="Z475" s="91"/>
      <c r="AC475" s="2">
        <f t="shared" si="107"/>
        <v>20</v>
      </c>
      <c r="AD475" s="2" t="str">
        <f>IFERROR(INDEX(GLAPS정리!$D$2:$D$50,MATCH(I475,GLAPS정리!$A$2:$A$50,0)),IFERROR(INDEX(GLAPS정리!$D$2:$D$50,MATCH(I475,GLAPS정리!$B$2:$B$50,0)),""))</f>
        <v/>
      </c>
      <c r="AF475" s="2" t="str">
        <f t="shared" si="108"/>
        <v>KR10</v>
      </c>
      <c r="AI475" s="2" t="e">
        <f>VLOOKUP(F475,GLAPS정리!$G$3:$J$114,2,0)</f>
        <v>#N/A</v>
      </c>
      <c r="AJ475" s="2" t="e">
        <f>IF(Z475="울산정일","KRONS",IF(Z475="울산신항","KRUSN",IF(OR(Z475="선광종합물류(인천여객)",Z475="인천여객(인천여객)"),"KRINF",IF(OR(Z475="선광인천보세(인천신)",Z475="한진인천(인천신)",Z475="선광인천신항(인천신)",Z475="인천더로지스(인천신)"),"KRINN",IF(OR(Z475="인천진아(인천항)",Z475="인천E1(인천항)",Z475="인천SM경인터미널(인천항)",Z475="인천항(인천항)",Z475="인천우련(인천항)",Z475="인천항8부두(인천항)"),"KRINC",VLOOKUP(K475,GLAPS정리!$BB$2:$BC$33,2,0))))))</f>
        <v>#N/A</v>
      </c>
      <c r="AL475" s="2">
        <f t="shared" si="109"/>
        <v>5010001</v>
      </c>
      <c r="AN475" s="70" t="str">
        <f t="shared" si="110"/>
        <v>1900-01-00</v>
      </c>
      <c r="AO475" s="2" t="str">
        <f t="shared" si="111"/>
        <v/>
      </c>
      <c r="AP475" s="2" t="e">
        <f>VLOOKUP(C475,GLAPS정리!$AX$2:$AZ$17,3,0)</f>
        <v>#N/A</v>
      </c>
      <c r="AR475" s="2">
        <f t="shared" si="117"/>
        <v>0</v>
      </c>
      <c r="AX475" s="2" t="e">
        <f>VLOOKUP(L475,GLAPS정리!$V$3:$W$180,2,0)</f>
        <v>#N/A</v>
      </c>
      <c r="BM475" s="2" t="str">
        <f t="shared" si="112"/>
        <v xml:space="preserve"> </v>
      </c>
      <c r="BN475" s="2">
        <f t="shared" si="113"/>
        <v>1</v>
      </c>
      <c r="BR475" s="2" t="str">
        <f t="shared" si="114"/>
        <v/>
      </c>
      <c r="BS475" s="2" t="str">
        <f t="shared" si="115"/>
        <v/>
      </c>
      <c r="BV475" s="2" t="e">
        <f>VLOOKUP(O475,GLAPS정리!$BH$2:$BI$94,2,0)</f>
        <v>#N/A</v>
      </c>
      <c r="BW475" s="2" t="str">
        <f>IF(OR(Z475="동원",Z475="세방",Z475="한타"),"",IFERROR(INDEX(GLAPS정리!$BI$2:$BI$101,MATCH(Z475,GLAPS정리!$BH$2:$BH$101,0)),""))</f>
        <v/>
      </c>
      <c r="BX475" s="2" t="str">
        <f>IF(Z475="","",IFERROR(VLOOKUP(Z475,GLAPS정리!$AX$2:$AZ$17,3,0),""))</f>
        <v/>
      </c>
      <c r="BZ475" s="2" t="e">
        <f>VLOOKUP(H475,GLAPS정리!$L$3:$O$133,2,0)</f>
        <v>#N/A</v>
      </c>
      <c r="CA475" s="2" t="str">
        <f t="shared" si="116"/>
        <v/>
      </c>
      <c r="CL475" s="2" t="e">
        <f>VLOOKUP(AI475,GLAPS정리!$BT$3:$BV$26,3,0)</f>
        <v>#N/A</v>
      </c>
    </row>
    <row r="476" spans="2:90" ht="20.45" customHeight="1">
      <c r="B476" s="13"/>
      <c r="G476" s="3"/>
      <c r="J476" s="3"/>
      <c r="Q476" s="3" t="str">
        <f t="shared" si="104"/>
        <v/>
      </c>
      <c r="R476" s="3" t="str">
        <f t="shared" si="105"/>
        <v/>
      </c>
      <c r="S476" s="3" t="str">
        <f t="shared" si="106"/>
        <v/>
      </c>
      <c r="X476" s="13"/>
      <c r="Y476" s="13"/>
      <c r="Z476" s="91"/>
      <c r="AC476" s="2">
        <f t="shared" si="107"/>
        <v>20</v>
      </c>
      <c r="AD476" s="2" t="str">
        <f>IFERROR(INDEX(GLAPS정리!$D$2:$D$50,MATCH(I476,GLAPS정리!$A$2:$A$50,0)),IFERROR(INDEX(GLAPS정리!$D$2:$D$50,MATCH(I476,GLAPS정리!$B$2:$B$50,0)),""))</f>
        <v/>
      </c>
      <c r="AF476" s="2" t="str">
        <f t="shared" si="108"/>
        <v>KR10</v>
      </c>
      <c r="AI476" s="2" t="e">
        <f>VLOOKUP(F476,GLAPS정리!$G$3:$J$114,2,0)</f>
        <v>#N/A</v>
      </c>
      <c r="AJ476" s="2" t="e">
        <f>IF(Z476="울산정일","KRONS",IF(Z476="울산신항","KRUSN",IF(OR(Z476="선광종합물류(인천여객)",Z476="인천여객(인천여객)"),"KRINF",IF(OR(Z476="선광인천보세(인천신)",Z476="한진인천(인천신)",Z476="선광인천신항(인천신)",Z476="인천더로지스(인천신)"),"KRINN",IF(OR(Z476="인천진아(인천항)",Z476="인천E1(인천항)",Z476="인천SM경인터미널(인천항)",Z476="인천항(인천항)",Z476="인천우련(인천항)",Z476="인천항8부두(인천항)"),"KRINC",VLOOKUP(K476,GLAPS정리!$BB$2:$BC$33,2,0))))))</f>
        <v>#N/A</v>
      </c>
      <c r="AL476" s="2">
        <f t="shared" si="109"/>
        <v>5010001</v>
      </c>
      <c r="AN476" s="70" t="str">
        <f t="shared" si="110"/>
        <v>1900-01-00</v>
      </c>
      <c r="AO476" s="2" t="str">
        <f t="shared" si="111"/>
        <v/>
      </c>
      <c r="AP476" s="2" t="e">
        <f>VLOOKUP(C476,GLAPS정리!$AX$2:$AZ$17,3,0)</f>
        <v>#N/A</v>
      </c>
      <c r="AR476" s="2">
        <f t="shared" si="117"/>
        <v>0</v>
      </c>
      <c r="AX476" s="2" t="e">
        <f>VLOOKUP(L476,GLAPS정리!$V$3:$W$180,2,0)</f>
        <v>#N/A</v>
      </c>
      <c r="BM476" s="2" t="str">
        <f t="shared" si="112"/>
        <v xml:space="preserve"> </v>
      </c>
      <c r="BN476" s="2">
        <f t="shared" si="113"/>
        <v>1</v>
      </c>
      <c r="BR476" s="2" t="str">
        <f t="shared" si="114"/>
        <v/>
      </c>
      <c r="BS476" s="2" t="str">
        <f t="shared" si="115"/>
        <v/>
      </c>
      <c r="BV476" s="2" t="e">
        <f>VLOOKUP(O476,GLAPS정리!$BH$2:$BI$94,2,0)</f>
        <v>#N/A</v>
      </c>
      <c r="BW476" s="2" t="str">
        <f>IF(OR(Z476="동원",Z476="세방",Z476="한타"),"",IFERROR(INDEX(GLAPS정리!$BI$2:$BI$101,MATCH(Z476,GLAPS정리!$BH$2:$BH$101,0)),""))</f>
        <v/>
      </c>
      <c r="BX476" s="2" t="str">
        <f>IF(Z476="","",IFERROR(VLOOKUP(Z476,GLAPS정리!$AX$2:$AZ$17,3,0),""))</f>
        <v/>
      </c>
      <c r="BZ476" s="2" t="e">
        <f>VLOOKUP(H476,GLAPS정리!$L$3:$O$133,2,0)</f>
        <v>#N/A</v>
      </c>
      <c r="CA476" s="2" t="str">
        <f t="shared" si="116"/>
        <v/>
      </c>
      <c r="CL476" s="2" t="e">
        <f>VLOOKUP(AI476,GLAPS정리!$BT$3:$BV$26,3,0)</f>
        <v>#N/A</v>
      </c>
    </row>
    <row r="477" spans="2:90" ht="20.45" customHeight="1">
      <c r="B477" s="13"/>
      <c r="G477" s="3"/>
      <c r="J477" s="3"/>
      <c r="Q477" s="3" t="str">
        <f t="shared" si="104"/>
        <v/>
      </c>
      <c r="R477" s="3" t="str">
        <f t="shared" si="105"/>
        <v/>
      </c>
      <c r="S477" s="3" t="str">
        <f t="shared" si="106"/>
        <v/>
      </c>
      <c r="X477" s="13"/>
      <c r="Y477" s="13"/>
      <c r="Z477" s="91"/>
      <c r="AC477" s="2">
        <f t="shared" si="107"/>
        <v>20</v>
      </c>
      <c r="AD477" s="2" t="str">
        <f>IFERROR(INDEX(GLAPS정리!$D$2:$D$50,MATCH(I477,GLAPS정리!$A$2:$A$50,0)),IFERROR(INDEX(GLAPS정리!$D$2:$D$50,MATCH(I477,GLAPS정리!$B$2:$B$50,0)),""))</f>
        <v/>
      </c>
      <c r="AF477" s="2" t="str">
        <f t="shared" si="108"/>
        <v>KR10</v>
      </c>
      <c r="AI477" s="2" t="e">
        <f>VLOOKUP(F477,GLAPS정리!$G$3:$J$114,2,0)</f>
        <v>#N/A</v>
      </c>
      <c r="AJ477" s="2" t="e">
        <f>IF(Z477="울산정일","KRONS",IF(Z477="울산신항","KRUSN",IF(OR(Z477="선광종합물류(인천여객)",Z477="인천여객(인천여객)"),"KRINF",IF(OR(Z477="선광인천보세(인천신)",Z477="한진인천(인천신)",Z477="선광인천신항(인천신)",Z477="인천더로지스(인천신)"),"KRINN",IF(OR(Z477="인천진아(인천항)",Z477="인천E1(인천항)",Z477="인천SM경인터미널(인천항)",Z477="인천항(인천항)",Z477="인천우련(인천항)",Z477="인천항8부두(인천항)"),"KRINC",VLOOKUP(K477,GLAPS정리!$BB$2:$BC$33,2,0))))))</f>
        <v>#N/A</v>
      </c>
      <c r="AL477" s="2">
        <f t="shared" si="109"/>
        <v>5010001</v>
      </c>
      <c r="AN477" s="70" t="str">
        <f t="shared" si="110"/>
        <v>1900-01-00</v>
      </c>
      <c r="AO477" s="2" t="str">
        <f t="shared" si="111"/>
        <v/>
      </c>
      <c r="AP477" s="2" t="e">
        <f>VLOOKUP(C477,GLAPS정리!$AX$2:$AZ$17,3,0)</f>
        <v>#N/A</v>
      </c>
      <c r="AR477" s="2">
        <f t="shared" si="117"/>
        <v>0</v>
      </c>
      <c r="AX477" s="2" t="e">
        <f>VLOOKUP(L477,GLAPS정리!$V$3:$W$180,2,0)</f>
        <v>#N/A</v>
      </c>
      <c r="BM477" s="2" t="str">
        <f t="shared" si="112"/>
        <v xml:space="preserve"> </v>
      </c>
      <c r="BN477" s="2">
        <f t="shared" si="113"/>
        <v>1</v>
      </c>
      <c r="BR477" s="2" t="str">
        <f t="shared" si="114"/>
        <v/>
      </c>
      <c r="BS477" s="2" t="str">
        <f t="shared" si="115"/>
        <v/>
      </c>
      <c r="BV477" s="2" t="e">
        <f>VLOOKUP(O477,GLAPS정리!$BH$2:$BI$94,2,0)</f>
        <v>#N/A</v>
      </c>
      <c r="BW477" s="2" t="str">
        <f>IF(OR(Z477="동원",Z477="세방",Z477="한타"),"",IFERROR(INDEX(GLAPS정리!$BI$2:$BI$101,MATCH(Z477,GLAPS정리!$BH$2:$BH$101,0)),""))</f>
        <v/>
      </c>
      <c r="BX477" s="2" t="str">
        <f>IF(Z477="","",IFERROR(VLOOKUP(Z477,GLAPS정리!$AX$2:$AZ$17,3,0),""))</f>
        <v/>
      </c>
      <c r="BZ477" s="2" t="e">
        <f>VLOOKUP(H477,GLAPS정리!$L$3:$O$133,2,0)</f>
        <v>#N/A</v>
      </c>
      <c r="CA477" s="2" t="str">
        <f t="shared" si="116"/>
        <v/>
      </c>
      <c r="CL477" s="2" t="e">
        <f>VLOOKUP(AI477,GLAPS정리!$BT$3:$BV$26,3,0)</f>
        <v>#N/A</v>
      </c>
    </row>
    <row r="478" spans="2:90" ht="20.45" customHeight="1">
      <c r="B478" s="13"/>
      <c r="G478" s="3"/>
      <c r="J478" s="3"/>
      <c r="Q478" s="3" t="str">
        <f t="shared" si="104"/>
        <v/>
      </c>
      <c r="R478" s="3" t="str">
        <f t="shared" si="105"/>
        <v/>
      </c>
      <c r="S478" s="3" t="str">
        <f t="shared" si="106"/>
        <v/>
      </c>
      <c r="X478" s="13"/>
      <c r="Y478" s="13"/>
      <c r="Z478" s="91"/>
      <c r="AC478" s="2">
        <f t="shared" si="107"/>
        <v>20</v>
      </c>
      <c r="AD478" s="2" t="str">
        <f>IFERROR(INDEX(GLAPS정리!$D$2:$D$50,MATCH(I478,GLAPS정리!$A$2:$A$50,0)),IFERROR(INDEX(GLAPS정리!$D$2:$D$50,MATCH(I478,GLAPS정리!$B$2:$B$50,0)),""))</f>
        <v/>
      </c>
      <c r="AF478" s="2" t="str">
        <f t="shared" si="108"/>
        <v>KR10</v>
      </c>
      <c r="AI478" s="2" t="e">
        <f>VLOOKUP(F478,GLAPS정리!$G$3:$J$114,2,0)</f>
        <v>#N/A</v>
      </c>
      <c r="AJ478" s="2" t="e">
        <f>IF(Z478="울산정일","KRONS",IF(Z478="울산신항","KRUSN",IF(OR(Z478="선광종합물류(인천여객)",Z478="인천여객(인천여객)"),"KRINF",IF(OR(Z478="선광인천보세(인천신)",Z478="한진인천(인천신)",Z478="선광인천신항(인천신)",Z478="인천더로지스(인천신)"),"KRINN",IF(OR(Z478="인천진아(인천항)",Z478="인천E1(인천항)",Z478="인천SM경인터미널(인천항)",Z478="인천항(인천항)",Z478="인천우련(인천항)",Z478="인천항8부두(인천항)"),"KRINC",VLOOKUP(K478,GLAPS정리!$BB$2:$BC$33,2,0))))))</f>
        <v>#N/A</v>
      </c>
      <c r="AL478" s="2">
        <f t="shared" si="109"/>
        <v>5010001</v>
      </c>
      <c r="AN478" s="70" t="str">
        <f t="shared" si="110"/>
        <v>1900-01-00</v>
      </c>
      <c r="AO478" s="2" t="str">
        <f t="shared" si="111"/>
        <v/>
      </c>
      <c r="AP478" s="2" t="e">
        <f>VLOOKUP(C478,GLAPS정리!$AX$2:$AZ$17,3,0)</f>
        <v>#N/A</v>
      </c>
      <c r="AR478" s="2">
        <f t="shared" si="117"/>
        <v>0</v>
      </c>
      <c r="AX478" s="2" t="e">
        <f>VLOOKUP(L478,GLAPS정리!$V$3:$W$180,2,0)</f>
        <v>#N/A</v>
      </c>
      <c r="BM478" s="2" t="str">
        <f t="shared" si="112"/>
        <v xml:space="preserve"> </v>
      </c>
      <c r="BN478" s="2">
        <f t="shared" si="113"/>
        <v>1</v>
      </c>
      <c r="BR478" s="2" t="str">
        <f t="shared" si="114"/>
        <v/>
      </c>
      <c r="BS478" s="2" t="str">
        <f t="shared" si="115"/>
        <v/>
      </c>
      <c r="BV478" s="2" t="e">
        <f>VLOOKUP(O478,GLAPS정리!$BH$2:$BI$94,2,0)</f>
        <v>#N/A</v>
      </c>
      <c r="BW478" s="2" t="str">
        <f>IF(OR(Z478="동원",Z478="세방",Z478="한타"),"",IFERROR(INDEX(GLAPS정리!$BI$2:$BI$101,MATCH(Z478,GLAPS정리!$BH$2:$BH$101,0)),""))</f>
        <v/>
      </c>
      <c r="BX478" s="2" t="str">
        <f>IF(Z478="","",IFERROR(VLOOKUP(Z478,GLAPS정리!$AX$2:$AZ$17,3,0),""))</f>
        <v/>
      </c>
      <c r="BZ478" s="2" t="e">
        <f>VLOOKUP(H478,GLAPS정리!$L$3:$O$133,2,0)</f>
        <v>#N/A</v>
      </c>
      <c r="CA478" s="2" t="str">
        <f t="shared" si="116"/>
        <v/>
      </c>
      <c r="CL478" s="2" t="e">
        <f>VLOOKUP(AI478,GLAPS정리!$BT$3:$BV$26,3,0)</f>
        <v>#N/A</v>
      </c>
    </row>
    <row r="479" spans="2:90" ht="20.45" customHeight="1">
      <c r="B479" s="13"/>
      <c r="G479" s="3"/>
      <c r="J479" s="3"/>
      <c r="Q479" s="3" t="str">
        <f t="shared" si="104"/>
        <v/>
      </c>
      <c r="R479" s="3" t="str">
        <f t="shared" si="105"/>
        <v/>
      </c>
      <c r="S479" s="3" t="str">
        <f t="shared" si="106"/>
        <v/>
      </c>
      <c r="X479" s="13"/>
      <c r="Y479" s="13"/>
      <c r="Z479" s="91"/>
      <c r="AC479" s="2">
        <f t="shared" si="107"/>
        <v>20</v>
      </c>
      <c r="AD479" s="2" t="str">
        <f>IFERROR(INDEX(GLAPS정리!$D$2:$D$50,MATCH(I479,GLAPS정리!$A$2:$A$50,0)),IFERROR(INDEX(GLAPS정리!$D$2:$D$50,MATCH(I479,GLAPS정리!$B$2:$B$50,0)),""))</f>
        <v/>
      </c>
      <c r="AF479" s="2" t="str">
        <f t="shared" si="108"/>
        <v>KR10</v>
      </c>
      <c r="AI479" s="2" t="e">
        <f>VLOOKUP(F479,GLAPS정리!$G$3:$J$114,2,0)</f>
        <v>#N/A</v>
      </c>
      <c r="AJ479" s="2" t="e">
        <f>IF(Z479="울산정일","KRONS",IF(Z479="울산신항","KRUSN",IF(OR(Z479="선광종합물류(인천여객)",Z479="인천여객(인천여객)"),"KRINF",IF(OR(Z479="선광인천보세(인천신)",Z479="한진인천(인천신)",Z479="선광인천신항(인천신)",Z479="인천더로지스(인천신)"),"KRINN",IF(OR(Z479="인천진아(인천항)",Z479="인천E1(인천항)",Z479="인천SM경인터미널(인천항)",Z479="인천항(인천항)",Z479="인천우련(인천항)",Z479="인천항8부두(인천항)"),"KRINC",VLOOKUP(K479,GLAPS정리!$BB$2:$BC$33,2,0))))))</f>
        <v>#N/A</v>
      </c>
      <c r="AL479" s="2">
        <f t="shared" si="109"/>
        <v>5010001</v>
      </c>
      <c r="AN479" s="70" t="str">
        <f t="shared" si="110"/>
        <v>1900-01-00</v>
      </c>
      <c r="AO479" s="2" t="str">
        <f t="shared" si="111"/>
        <v/>
      </c>
      <c r="AP479" s="2" t="e">
        <f>VLOOKUP(C479,GLAPS정리!$AX$2:$AZ$17,3,0)</f>
        <v>#N/A</v>
      </c>
      <c r="AR479" s="2">
        <f t="shared" si="117"/>
        <v>0</v>
      </c>
      <c r="AX479" s="2" t="e">
        <f>VLOOKUP(L479,GLAPS정리!$V$3:$W$180,2,0)</f>
        <v>#N/A</v>
      </c>
      <c r="BM479" s="2" t="str">
        <f t="shared" si="112"/>
        <v xml:space="preserve"> </v>
      </c>
      <c r="BN479" s="2">
        <f t="shared" si="113"/>
        <v>1</v>
      </c>
      <c r="BR479" s="2" t="str">
        <f t="shared" si="114"/>
        <v/>
      </c>
      <c r="BS479" s="2" t="str">
        <f t="shared" si="115"/>
        <v/>
      </c>
      <c r="BV479" s="2" t="e">
        <f>VLOOKUP(O479,GLAPS정리!$BH$2:$BI$94,2,0)</f>
        <v>#N/A</v>
      </c>
      <c r="BW479" s="2" t="str">
        <f>IF(OR(Z479="동원",Z479="세방",Z479="한타"),"",IFERROR(INDEX(GLAPS정리!$BI$2:$BI$101,MATCH(Z479,GLAPS정리!$BH$2:$BH$101,0)),""))</f>
        <v/>
      </c>
      <c r="BX479" s="2" t="str">
        <f>IF(Z479="","",IFERROR(VLOOKUP(Z479,GLAPS정리!$AX$2:$AZ$17,3,0),""))</f>
        <v/>
      </c>
      <c r="BZ479" s="2" t="e">
        <f>VLOOKUP(H479,GLAPS정리!$L$3:$O$133,2,0)</f>
        <v>#N/A</v>
      </c>
      <c r="CA479" s="2" t="str">
        <f t="shared" si="116"/>
        <v/>
      </c>
      <c r="CL479" s="2" t="e">
        <f>VLOOKUP(AI479,GLAPS정리!$BT$3:$BV$26,3,0)</f>
        <v>#N/A</v>
      </c>
    </row>
    <row r="480" spans="2:90" ht="20.45" customHeight="1">
      <c r="B480" s="13"/>
      <c r="G480" s="3"/>
      <c r="J480" s="3"/>
      <c r="Q480" s="3" t="str">
        <f t="shared" si="104"/>
        <v/>
      </c>
      <c r="R480" s="3" t="str">
        <f t="shared" si="105"/>
        <v/>
      </c>
      <c r="S480" s="3" t="str">
        <f t="shared" si="106"/>
        <v/>
      </c>
      <c r="X480" s="13"/>
      <c r="Y480" s="13"/>
      <c r="Z480" s="91"/>
      <c r="AC480" s="2">
        <f t="shared" si="107"/>
        <v>20</v>
      </c>
      <c r="AD480" s="2" t="str">
        <f>IFERROR(INDEX(GLAPS정리!$D$2:$D$50,MATCH(I480,GLAPS정리!$A$2:$A$50,0)),IFERROR(INDEX(GLAPS정리!$D$2:$D$50,MATCH(I480,GLAPS정리!$B$2:$B$50,0)),""))</f>
        <v/>
      </c>
      <c r="AF480" s="2" t="str">
        <f t="shared" si="108"/>
        <v>KR10</v>
      </c>
      <c r="AI480" s="2" t="e">
        <f>VLOOKUP(F480,GLAPS정리!$G$3:$J$114,2,0)</f>
        <v>#N/A</v>
      </c>
      <c r="AJ480" s="2" t="e">
        <f>IF(Z480="울산정일","KRONS",IF(Z480="울산신항","KRUSN",IF(OR(Z480="선광종합물류(인천여객)",Z480="인천여객(인천여객)"),"KRINF",IF(OR(Z480="선광인천보세(인천신)",Z480="한진인천(인천신)",Z480="선광인천신항(인천신)",Z480="인천더로지스(인천신)"),"KRINN",IF(OR(Z480="인천진아(인천항)",Z480="인천E1(인천항)",Z480="인천SM경인터미널(인천항)",Z480="인천항(인천항)",Z480="인천우련(인천항)",Z480="인천항8부두(인천항)"),"KRINC",VLOOKUP(K480,GLAPS정리!$BB$2:$BC$33,2,0))))))</f>
        <v>#N/A</v>
      </c>
      <c r="AL480" s="2">
        <f t="shared" si="109"/>
        <v>5010001</v>
      </c>
      <c r="AN480" s="70" t="str">
        <f t="shared" si="110"/>
        <v>1900-01-00</v>
      </c>
      <c r="AO480" s="2" t="str">
        <f t="shared" si="111"/>
        <v/>
      </c>
      <c r="AP480" s="2" t="e">
        <f>VLOOKUP(C480,GLAPS정리!$AX$2:$AZ$17,3,0)</f>
        <v>#N/A</v>
      </c>
      <c r="AR480" s="2">
        <f t="shared" si="117"/>
        <v>0</v>
      </c>
      <c r="AX480" s="2" t="e">
        <f>VLOOKUP(L480,GLAPS정리!$V$3:$W$180,2,0)</f>
        <v>#N/A</v>
      </c>
      <c r="BM480" s="2" t="str">
        <f t="shared" si="112"/>
        <v xml:space="preserve"> </v>
      </c>
      <c r="BN480" s="2">
        <f t="shared" si="113"/>
        <v>1</v>
      </c>
      <c r="BR480" s="2" t="str">
        <f t="shared" si="114"/>
        <v/>
      </c>
      <c r="BS480" s="2" t="str">
        <f t="shared" si="115"/>
        <v/>
      </c>
      <c r="BV480" s="2" t="e">
        <f>VLOOKUP(O480,GLAPS정리!$BH$2:$BI$94,2,0)</f>
        <v>#N/A</v>
      </c>
      <c r="BW480" s="2" t="str">
        <f>IF(OR(Z480="동원",Z480="세방",Z480="한타"),"",IFERROR(INDEX(GLAPS정리!$BI$2:$BI$101,MATCH(Z480,GLAPS정리!$BH$2:$BH$101,0)),""))</f>
        <v/>
      </c>
      <c r="BX480" s="2" t="str">
        <f>IF(Z480="","",IFERROR(VLOOKUP(Z480,GLAPS정리!$AX$2:$AZ$17,3,0),""))</f>
        <v/>
      </c>
      <c r="BZ480" s="2" t="e">
        <f>VLOOKUP(H480,GLAPS정리!$L$3:$O$133,2,0)</f>
        <v>#N/A</v>
      </c>
      <c r="CA480" s="2" t="str">
        <f t="shared" si="116"/>
        <v/>
      </c>
      <c r="CL480" s="2" t="e">
        <f>VLOOKUP(AI480,GLAPS정리!$BT$3:$BV$26,3,0)</f>
        <v>#N/A</v>
      </c>
    </row>
    <row r="481" spans="2:90" ht="20.45" customHeight="1">
      <c r="B481" s="13"/>
      <c r="G481" s="3"/>
      <c r="J481" s="3"/>
      <c r="Q481" s="3" t="str">
        <f t="shared" si="104"/>
        <v/>
      </c>
      <c r="R481" s="3" t="str">
        <f t="shared" si="105"/>
        <v/>
      </c>
      <c r="S481" s="3" t="str">
        <f t="shared" si="106"/>
        <v/>
      </c>
      <c r="X481" s="13"/>
      <c r="Y481" s="13"/>
      <c r="Z481" s="91"/>
      <c r="AC481" s="2">
        <f t="shared" si="107"/>
        <v>20</v>
      </c>
      <c r="AD481" s="2" t="str">
        <f>IFERROR(INDEX(GLAPS정리!$D$2:$D$50,MATCH(I481,GLAPS정리!$A$2:$A$50,0)),IFERROR(INDEX(GLAPS정리!$D$2:$D$50,MATCH(I481,GLAPS정리!$B$2:$B$50,0)),""))</f>
        <v/>
      </c>
      <c r="AF481" s="2" t="str">
        <f t="shared" si="108"/>
        <v>KR10</v>
      </c>
      <c r="AI481" s="2" t="e">
        <f>VLOOKUP(F481,GLAPS정리!$G$3:$J$114,2,0)</f>
        <v>#N/A</v>
      </c>
      <c r="AJ481" s="2" t="e">
        <f>IF(Z481="울산정일","KRONS",IF(Z481="울산신항","KRUSN",IF(OR(Z481="선광종합물류(인천여객)",Z481="인천여객(인천여객)"),"KRINF",IF(OR(Z481="선광인천보세(인천신)",Z481="한진인천(인천신)",Z481="선광인천신항(인천신)",Z481="인천더로지스(인천신)"),"KRINN",IF(OR(Z481="인천진아(인천항)",Z481="인천E1(인천항)",Z481="인천SM경인터미널(인천항)",Z481="인천항(인천항)",Z481="인천우련(인천항)",Z481="인천항8부두(인천항)"),"KRINC",VLOOKUP(K481,GLAPS정리!$BB$2:$BC$33,2,0))))))</f>
        <v>#N/A</v>
      </c>
      <c r="AL481" s="2">
        <f t="shared" si="109"/>
        <v>5010001</v>
      </c>
      <c r="AN481" s="70" t="str">
        <f t="shared" si="110"/>
        <v>1900-01-00</v>
      </c>
      <c r="AO481" s="2" t="str">
        <f t="shared" si="111"/>
        <v/>
      </c>
      <c r="AP481" s="2" t="e">
        <f>VLOOKUP(C481,GLAPS정리!$AX$2:$AZ$17,3,0)</f>
        <v>#N/A</v>
      </c>
      <c r="AR481" s="2">
        <f t="shared" si="117"/>
        <v>0</v>
      </c>
      <c r="AX481" s="2" t="e">
        <f>VLOOKUP(L481,GLAPS정리!$V$3:$W$180,2,0)</f>
        <v>#N/A</v>
      </c>
      <c r="BM481" s="2" t="str">
        <f t="shared" si="112"/>
        <v xml:space="preserve"> </v>
      </c>
      <c r="BN481" s="2">
        <f t="shared" si="113"/>
        <v>1</v>
      </c>
      <c r="BR481" s="2" t="str">
        <f t="shared" si="114"/>
        <v/>
      </c>
      <c r="BS481" s="2" t="str">
        <f t="shared" si="115"/>
        <v/>
      </c>
      <c r="BV481" s="2" t="e">
        <f>VLOOKUP(O481,GLAPS정리!$BH$2:$BI$94,2,0)</f>
        <v>#N/A</v>
      </c>
      <c r="BW481" s="2" t="str">
        <f>IF(OR(Z481="동원",Z481="세방",Z481="한타"),"",IFERROR(INDEX(GLAPS정리!$BI$2:$BI$101,MATCH(Z481,GLAPS정리!$BH$2:$BH$101,0)),""))</f>
        <v/>
      </c>
      <c r="BX481" s="2" t="str">
        <f>IF(Z481="","",IFERROR(VLOOKUP(Z481,GLAPS정리!$AX$2:$AZ$17,3,0),""))</f>
        <v/>
      </c>
      <c r="BZ481" s="2" t="e">
        <f>VLOOKUP(H481,GLAPS정리!$L$3:$O$133,2,0)</f>
        <v>#N/A</v>
      </c>
      <c r="CA481" s="2" t="str">
        <f t="shared" si="116"/>
        <v/>
      </c>
      <c r="CL481" s="2" t="e">
        <f>VLOOKUP(AI481,GLAPS정리!$BT$3:$BV$26,3,0)</f>
        <v>#N/A</v>
      </c>
    </row>
    <row r="482" spans="2:90" ht="20.45" customHeight="1">
      <c r="B482" s="13"/>
      <c r="G482" s="3"/>
      <c r="J482" s="3"/>
      <c r="Q482" s="3" t="str">
        <f t="shared" si="104"/>
        <v/>
      </c>
      <c r="R482" s="3" t="str">
        <f t="shared" si="105"/>
        <v/>
      </c>
      <c r="S482" s="3" t="str">
        <f t="shared" si="106"/>
        <v/>
      </c>
      <c r="X482" s="13"/>
      <c r="Y482" s="13"/>
      <c r="Z482" s="91"/>
      <c r="AC482" s="2">
        <f t="shared" si="107"/>
        <v>20</v>
      </c>
      <c r="AD482" s="2" t="str">
        <f>IFERROR(INDEX(GLAPS정리!$D$2:$D$50,MATCH(I482,GLAPS정리!$A$2:$A$50,0)),IFERROR(INDEX(GLAPS정리!$D$2:$D$50,MATCH(I482,GLAPS정리!$B$2:$B$50,0)),""))</f>
        <v/>
      </c>
      <c r="AF482" s="2" t="str">
        <f t="shared" si="108"/>
        <v>KR10</v>
      </c>
      <c r="AI482" s="2" t="e">
        <f>VLOOKUP(F482,GLAPS정리!$G$3:$J$114,2,0)</f>
        <v>#N/A</v>
      </c>
      <c r="AJ482" s="2" t="e">
        <f>IF(Z482="울산정일","KRONS",IF(Z482="울산신항","KRUSN",IF(OR(Z482="선광종합물류(인천여객)",Z482="인천여객(인천여객)"),"KRINF",IF(OR(Z482="선광인천보세(인천신)",Z482="한진인천(인천신)",Z482="선광인천신항(인천신)",Z482="인천더로지스(인천신)"),"KRINN",IF(OR(Z482="인천진아(인천항)",Z482="인천E1(인천항)",Z482="인천SM경인터미널(인천항)",Z482="인천항(인천항)",Z482="인천우련(인천항)",Z482="인천항8부두(인천항)"),"KRINC",VLOOKUP(K482,GLAPS정리!$BB$2:$BC$33,2,0))))))</f>
        <v>#N/A</v>
      </c>
      <c r="AL482" s="2">
        <f t="shared" si="109"/>
        <v>5010001</v>
      </c>
      <c r="AN482" s="70" t="str">
        <f t="shared" si="110"/>
        <v>1900-01-00</v>
      </c>
      <c r="AO482" s="2" t="str">
        <f t="shared" si="111"/>
        <v/>
      </c>
      <c r="AP482" s="2" t="e">
        <f>VLOOKUP(C482,GLAPS정리!$AX$2:$AZ$17,3,0)</f>
        <v>#N/A</v>
      </c>
      <c r="AR482" s="2">
        <f t="shared" si="117"/>
        <v>0</v>
      </c>
      <c r="AX482" s="2" t="e">
        <f>VLOOKUP(L482,GLAPS정리!$V$3:$W$180,2,0)</f>
        <v>#N/A</v>
      </c>
      <c r="BM482" s="2" t="str">
        <f t="shared" si="112"/>
        <v xml:space="preserve"> </v>
      </c>
      <c r="BN482" s="2">
        <f t="shared" si="113"/>
        <v>1</v>
      </c>
      <c r="BR482" s="2" t="str">
        <f t="shared" si="114"/>
        <v/>
      </c>
      <c r="BS482" s="2" t="str">
        <f t="shared" si="115"/>
        <v/>
      </c>
      <c r="BV482" s="2" t="e">
        <f>VLOOKUP(O482,GLAPS정리!$BH$2:$BI$94,2,0)</f>
        <v>#N/A</v>
      </c>
      <c r="BW482" s="2" t="str">
        <f>IF(OR(Z482="동원",Z482="세방",Z482="한타"),"",IFERROR(INDEX(GLAPS정리!$BI$2:$BI$101,MATCH(Z482,GLAPS정리!$BH$2:$BH$101,0)),""))</f>
        <v/>
      </c>
      <c r="BX482" s="2" t="str">
        <f>IF(Z482="","",IFERROR(VLOOKUP(Z482,GLAPS정리!$AX$2:$AZ$17,3,0),""))</f>
        <v/>
      </c>
      <c r="BZ482" s="2" t="e">
        <f>VLOOKUP(H482,GLAPS정리!$L$3:$O$133,2,0)</f>
        <v>#N/A</v>
      </c>
      <c r="CA482" s="2" t="str">
        <f t="shared" si="116"/>
        <v/>
      </c>
      <c r="CL482" s="2" t="e">
        <f>VLOOKUP(AI482,GLAPS정리!$BT$3:$BV$26,3,0)</f>
        <v>#N/A</v>
      </c>
    </row>
    <row r="483" spans="2:90" ht="20.45" customHeight="1">
      <c r="B483" s="13"/>
      <c r="G483" s="3"/>
      <c r="J483" s="3"/>
      <c r="Q483" s="3" t="str">
        <f t="shared" si="104"/>
        <v/>
      </c>
      <c r="R483" s="3" t="str">
        <f t="shared" si="105"/>
        <v/>
      </c>
      <c r="S483" s="3" t="str">
        <f t="shared" si="106"/>
        <v/>
      </c>
      <c r="X483" s="13"/>
      <c r="Y483" s="13"/>
      <c r="Z483" s="91"/>
      <c r="AC483" s="2">
        <f t="shared" si="107"/>
        <v>20</v>
      </c>
      <c r="AD483" s="2" t="str">
        <f>IFERROR(INDEX(GLAPS정리!$D$2:$D$50,MATCH(I483,GLAPS정리!$A$2:$A$50,0)),IFERROR(INDEX(GLAPS정리!$D$2:$D$50,MATCH(I483,GLAPS정리!$B$2:$B$50,0)),""))</f>
        <v/>
      </c>
      <c r="AF483" s="2" t="str">
        <f t="shared" si="108"/>
        <v>KR10</v>
      </c>
      <c r="AI483" s="2" t="e">
        <f>VLOOKUP(F483,GLAPS정리!$G$3:$J$114,2,0)</f>
        <v>#N/A</v>
      </c>
      <c r="AJ483" s="2" t="e">
        <f>IF(Z483="울산정일","KRONS",IF(Z483="울산신항","KRUSN",IF(OR(Z483="선광종합물류(인천여객)",Z483="인천여객(인천여객)"),"KRINF",IF(OR(Z483="선광인천보세(인천신)",Z483="한진인천(인천신)",Z483="선광인천신항(인천신)",Z483="인천더로지스(인천신)"),"KRINN",IF(OR(Z483="인천진아(인천항)",Z483="인천E1(인천항)",Z483="인천SM경인터미널(인천항)",Z483="인천항(인천항)",Z483="인천우련(인천항)",Z483="인천항8부두(인천항)"),"KRINC",VLOOKUP(K483,GLAPS정리!$BB$2:$BC$33,2,0))))))</f>
        <v>#N/A</v>
      </c>
      <c r="AL483" s="2">
        <f t="shared" si="109"/>
        <v>5010001</v>
      </c>
      <c r="AN483" s="70" t="str">
        <f t="shared" si="110"/>
        <v>1900-01-00</v>
      </c>
      <c r="AO483" s="2" t="str">
        <f t="shared" si="111"/>
        <v/>
      </c>
      <c r="AP483" s="2" t="e">
        <f>VLOOKUP(C483,GLAPS정리!$AX$2:$AZ$17,3,0)</f>
        <v>#N/A</v>
      </c>
      <c r="AR483" s="2">
        <f t="shared" si="117"/>
        <v>0</v>
      </c>
      <c r="AX483" s="2" t="e">
        <f>VLOOKUP(L483,GLAPS정리!$V$3:$W$180,2,0)</f>
        <v>#N/A</v>
      </c>
      <c r="BM483" s="2" t="str">
        <f t="shared" si="112"/>
        <v xml:space="preserve"> </v>
      </c>
      <c r="BN483" s="2">
        <f t="shared" si="113"/>
        <v>1</v>
      </c>
      <c r="BR483" s="2" t="str">
        <f t="shared" si="114"/>
        <v/>
      </c>
      <c r="BS483" s="2" t="str">
        <f t="shared" si="115"/>
        <v/>
      </c>
      <c r="BV483" s="2" t="e">
        <f>VLOOKUP(O483,GLAPS정리!$BH$2:$BI$94,2,0)</f>
        <v>#N/A</v>
      </c>
      <c r="BW483" s="2" t="str">
        <f>IF(OR(Z483="동원",Z483="세방",Z483="한타"),"",IFERROR(INDEX(GLAPS정리!$BI$2:$BI$101,MATCH(Z483,GLAPS정리!$BH$2:$BH$101,0)),""))</f>
        <v/>
      </c>
      <c r="BX483" s="2" t="str">
        <f>IF(Z483="","",IFERROR(VLOOKUP(Z483,GLAPS정리!$AX$2:$AZ$17,3,0),""))</f>
        <v/>
      </c>
      <c r="BZ483" s="2" t="e">
        <f>VLOOKUP(H483,GLAPS정리!$L$3:$O$133,2,0)</f>
        <v>#N/A</v>
      </c>
      <c r="CA483" s="2" t="str">
        <f t="shared" si="116"/>
        <v/>
      </c>
      <c r="CL483" s="2" t="e">
        <f>VLOOKUP(AI483,GLAPS정리!$BT$3:$BV$26,3,0)</f>
        <v>#N/A</v>
      </c>
    </row>
    <row r="484" spans="2:90" ht="20.45" customHeight="1">
      <c r="B484" s="13"/>
      <c r="G484" s="3"/>
      <c r="J484" s="3"/>
      <c r="Q484" s="3" t="str">
        <f t="shared" si="104"/>
        <v/>
      </c>
      <c r="R484" s="3" t="str">
        <f t="shared" si="105"/>
        <v/>
      </c>
      <c r="S484" s="3" t="str">
        <f t="shared" si="106"/>
        <v/>
      </c>
      <c r="X484" s="13"/>
      <c r="Y484" s="13"/>
      <c r="Z484" s="91"/>
      <c r="AC484" s="2">
        <f t="shared" si="107"/>
        <v>20</v>
      </c>
      <c r="AD484" s="2" t="str">
        <f>IFERROR(INDEX(GLAPS정리!$D$2:$D$50,MATCH(I484,GLAPS정리!$A$2:$A$50,0)),IFERROR(INDEX(GLAPS정리!$D$2:$D$50,MATCH(I484,GLAPS정리!$B$2:$B$50,0)),""))</f>
        <v/>
      </c>
      <c r="AF484" s="2" t="str">
        <f t="shared" si="108"/>
        <v>KR10</v>
      </c>
      <c r="AI484" s="2" t="e">
        <f>VLOOKUP(F484,GLAPS정리!$G$3:$J$114,2,0)</f>
        <v>#N/A</v>
      </c>
      <c r="AJ484" s="2" t="e">
        <f>IF(Z484="울산정일","KRONS",IF(Z484="울산신항","KRUSN",IF(OR(Z484="선광종합물류(인천여객)",Z484="인천여객(인천여객)"),"KRINF",IF(OR(Z484="선광인천보세(인천신)",Z484="한진인천(인천신)",Z484="선광인천신항(인천신)",Z484="인천더로지스(인천신)"),"KRINN",IF(OR(Z484="인천진아(인천항)",Z484="인천E1(인천항)",Z484="인천SM경인터미널(인천항)",Z484="인천항(인천항)",Z484="인천우련(인천항)",Z484="인천항8부두(인천항)"),"KRINC",VLOOKUP(K484,GLAPS정리!$BB$2:$BC$33,2,0))))))</f>
        <v>#N/A</v>
      </c>
      <c r="AL484" s="2">
        <f t="shared" si="109"/>
        <v>5010001</v>
      </c>
      <c r="AN484" s="70" t="str">
        <f t="shared" si="110"/>
        <v>1900-01-00</v>
      </c>
      <c r="AO484" s="2" t="str">
        <f t="shared" si="111"/>
        <v/>
      </c>
      <c r="AP484" s="2" t="e">
        <f>VLOOKUP(C484,GLAPS정리!$AX$2:$AZ$17,3,0)</f>
        <v>#N/A</v>
      </c>
      <c r="AR484" s="2">
        <f t="shared" si="117"/>
        <v>0</v>
      </c>
      <c r="AX484" s="2" t="e">
        <f>VLOOKUP(L484,GLAPS정리!$V$3:$W$180,2,0)</f>
        <v>#N/A</v>
      </c>
      <c r="BM484" s="2" t="str">
        <f t="shared" si="112"/>
        <v xml:space="preserve"> </v>
      </c>
      <c r="BN484" s="2">
        <f t="shared" si="113"/>
        <v>1</v>
      </c>
      <c r="BR484" s="2" t="str">
        <f t="shared" si="114"/>
        <v/>
      </c>
      <c r="BS484" s="2" t="str">
        <f t="shared" si="115"/>
        <v/>
      </c>
      <c r="BV484" s="2" t="e">
        <f>VLOOKUP(O484,GLAPS정리!$BH$2:$BI$94,2,0)</f>
        <v>#N/A</v>
      </c>
      <c r="BW484" s="2" t="str">
        <f>IF(OR(Z484="동원",Z484="세방",Z484="한타"),"",IFERROR(INDEX(GLAPS정리!$BI$2:$BI$101,MATCH(Z484,GLAPS정리!$BH$2:$BH$101,0)),""))</f>
        <v/>
      </c>
      <c r="BX484" s="2" t="str">
        <f>IF(Z484="","",IFERROR(VLOOKUP(Z484,GLAPS정리!$AX$2:$AZ$17,3,0),""))</f>
        <v/>
      </c>
      <c r="BZ484" s="2" t="e">
        <f>VLOOKUP(H484,GLAPS정리!$L$3:$O$133,2,0)</f>
        <v>#N/A</v>
      </c>
      <c r="CA484" s="2" t="str">
        <f t="shared" si="116"/>
        <v/>
      </c>
      <c r="CL484" s="2" t="e">
        <f>VLOOKUP(AI484,GLAPS정리!$BT$3:$BV$26,3,0)</f>
        <v>#N/A</v>
      </c>
    </row>
    <row r="485" spans="2:90" ht="20.45" customHeight="1">
      <c r="B485" s="13"/>
      <c r="G485" s="3"/>
      <c r="J485" s="3"/>
      <c r="Q485" s="3" t="str">
        <f t="shared" si="104"/>
        <v/>
      </c>
      <c r="R485" s="3" t="str">
        <f t="shared" si="105"/>
        <v/>
      </c>
      <c r="S485" s="3" t="str">
        <f t="shared" si="106"/>
        <v/>
      </c>
      <c r="X485" s="13"/>
      <c r="Y485" s="13"/>
      <c r="Z485" s="91"/>
      <c r="AC485" s="2">
        <f t="shared" si="107"/>
        <v>20</v>
      </c>
      <c r="AD485" s="2" t="str">
        <f>IFERROR(INDEX(GLAPS정리!$D$2:$D$50,MATCH(I485,GLAPS정리!$A$2:$A$50,0)),IFERROR(INDEX(GLAPS정리!$D$2:$D$50,MATCH(I485,GLAPS정리!$B$2:$B$50,0)),""))</f>
        <v/>
      </c>
      <c r="AF485" s="2" t="str">
        <f t="shared" si="108"/>
        <v>KR10</v>
      </c>
      <c r="AI485" s="2" t="e">
        <f>VLOOKUP(F485,GLAPS정리!$G$3:$J$114,2,0)</f>
        <v>#N/A</v>
      </c>
      <c r="AJ485" s="2" t="e">
        <f>IF(Z485="울산정일","KRONS",IF(Z485="울산신항","KRUSN",IF(OR(Z485="선광종합물류(인천여객)",Z485="인천여객(인천여객)"),"KRINF",IF(OR(Z485="선광인천보세(인천신)",Z485="한진인천(인천신)",Z485="선광인천신항(인천신)",Z485="인천더로지스(인천신)"),"KRINN",IF(OR(Z485="인천진아(인천항)",Z485="인천E1(인천항)",Z485="인천SM경인터미널(인천항)",Z485="인천항(인천항)",Z485="인천우련(인천항)",Z485="인천항8부두(인천항)"),"KRINC",VLOOKUP(K485,GLAPS정리!$BB$2:$BC$33,2,0))))))</f>
        <v>#N/A</v>
      </c>
      <c r="AL485" s="2">
        <f t="shared" si="109"/>
        <v>5010001</v>
      </c>
      <c r="AN485" s="70" t="str">
        <f t="shared" si="110"/>
        <v>1900-01-00</v>
      </c>
      <c r="AO485" s="2" t="str">
        <f t="shared" si="111"/>
        <v/>
      </c>
      <c r="AP485" s="2" t="e">
        <f>VLOOKUP(C485,GLAPS정리!$AX$2:$AZ$17,3,0)</f>
        <v>#N/A</v>
      </c>
      <c r="AR485" s="2">
        <f t="shared" si="117"/>
        <v>0</v>
      </c>
      <c r="AX485" s="2" t="e">
        <f>VLOOKUP(L485,GLAPS정리!$V$3:$W$180,2,0)</f>
        <v>#N/A</v>
      </c>
      <c r="BM485" s="2" t="str">
        <f t="shared" si="112"/>
        <v xml:space="preserve"> </v>
      </c>
      <c r="BN485" s="2">
        <f t="shared" si="113"/>
        <v>1</v>
      </c>
      <c r="BR485" s="2" t="str">
        <f t="shared" si="114"/>
        <v/>
      </c>
      <c r="BS485" s="2" t="str">
        <f t="shared" si="115"/>
        <v/>
      </c>
      <c r="BV485" s="2" t="e">
        <f>VLOOKUP(O485,GLAPS정리!$BH$2:$BI$94,2,0)</f>
        <v>#N/A</v>
      </c>
      <c r="BW485" s="2" t="str">
        <f>IF(OR(Z485="동원",Z485="세방",Z485="한타"),"",IFERROR(INDEX(GLAPS정리!$BI$2:$BI$101,MATCH(Z485,GLAPS정리!$BH$2:$BH$101,0)),""))</f>
        <v/>
      </c>
      <c r="BX485" s="2" t="str">
        <f>IF(Z485="","",IFERROR(VLOOKUP(Z485,GLAPS정리!$AX$2:$AZ$17,3,0),""))</f>
        <v/>
      </c>
      <c r="BZ485" s="2" t="e">
        <f>VLOOKUP(H485,GLAPS정리!$L$3:$O$133,2,0)</f>
        <v>#N/A</v>
      </c>
      <c r="CA485" s="2" t="str">
        <f t="shared" si="116"/>
        <v/>
      </c>
      <c r="CL485" s="2" t="e">
        <f>VLOOKUP(AI485,GLAPS정리!$BT$3:$BV$26,3,0)</f>
        <v>#N/A</v>
      </c>
    </row>
    <row r="486" spans="2:90" ht="20.45" customHeight="1">
      <c r="B486" s="13"/>
      <c r="G486" s="3"/>
      <c r="J486" s="3"/>
      <c r="Q486" s="3" t="str">
        <f t="shared" si="104"/>
        <v/>
      </c>
      <c r="R486" s="3" t="str">
        <f t="shared" si="105"/>
        <v/>
      </c>
      <c r="S486" s="3" t="str">
        <f t="shared" si="106"/>
        <v/>
      </c>
      <c r="X486" s="13"/>
      <c r="Y486" s="13"/>
      <c r="Z486" s="91"/>
      <c r="AC486" s="2">
        <f t="shared" si="107"/>
        <v>20</v>
      </c>
      <c r="AD486" s="2" t="str">
        <f>IFERROR(INDEX(GLAPS정리!$D$2:$D$50,MATCH(I486,GLAPS정리!$A$2:$A$50,0)),IFERROR(INDEX(GLAPS정리!$D$2:$D$50,MATCH(I486,GLAPS정리!$B$2:$B$50,0)),""))</f>
        <v/>
      </c>
      <c r="AF486" s="2" t="str">
        <f t="shared" si="108"/>
        <v>KR10</v>
      </c>
      <c r="AI486" s="2" t="e">
        <f>VLOOKUP(F486,GLAPS정리!$G$3:$J$114,2,0)</f>
        <v>#N/A</v>
      </c>
      <c r="AJ486" s="2" t="e">
        <f>IF(Z486="울산정일","KRONS",IF(Z486="울산신항","KRUSN",IF(OR(Z486="선광종합물류(인천여객)",Z486="인천여객(인천여객)"),"KRINF",IF(OR(Z486="선광인천보세(인천신)",Z486="한진인천(인천신)",Z486="선광인천신항(인천신)",Z486="인천더로지스(인천신)"),"KRINN",IF(OR(Z486="인천진아(인천항)",Z486="인천E1(인천항)",Z486="인천SM경인터미널(인천항)",Z486="인천항(인천항)",Z486="인천우련(인천항)",Z486="인천항8부두(인천항)"),"KRINC",VLOOKUP(K486,GLAPS정리!$BB$2:$BC$33,2,0))))))</f>
        <v>#N/A</v>
      </c>
      <c r="AL486" s="2">
        <f t="shared" si="109"/>
        <v>5010001</v>
      </c>
      <c r="AN486" s="70" t="str">
        <f t="shared" si="110"/>
        <v>1900-01-00</v>
      </c>
      <c r="AO486" s="2" t="str">
        <f t="shared" si="111"/>
        <v/>
      </c>
      <c r="AP486" s="2" t="e">
        <f>VLOOKUP(C486,GLAPS정리!$AX$2:$AZ$17,3,0)</f>
        <v>#N/A</v>
      </c>
      <c r="AR486" s="2">
        <f t="shared" si="117"/>
        <v>0</v>
      </c>
      <c r="AX486" s="2" t="e">
        <f>VLOOKUP(L486,GLAPS정리!$V$3:$W$180,2,0)</f>
        <v>#N/A</v>
      </c>
      <c r="BM486" s="2" t="str">
        <f t="shared" si="112"/>
        <v xml:space="preserve"> </v>
      </c>
      <c r="BN486" s="2">
        <f t="shared" si="113"/>
        <v>1</v>
      </c>
      <c r="BR486" s="2" t="str">
        <f t="shared" si="114"/>
        <v/>
      </c>
      <c r="BS486" s="2" t="str">
        <f t="shared" si="115"/>
        <v/>
      </c>
      <c r="BV486" s="2" t="e">
        <f>VLOOKUP(O486,GLAPS정리!$BH$2:$BI$94,2,0)</f>
        <v>#N/A</v>
      </c>
      <c r="BW486" s="2" t="str">
        <f>IF(OR(Z486="동원",Z486="세방",Z486="한타"),"",IFERROR(INDEX(GLAPS정리!$BI$2:$BI$101,MATCH(Z486,GLAPS정리!$BH$2:$BH$101,0)),""))</f>
        <v/>
      </c>
      <c r="BX486" s="2" t="str">
        <f>IF(Z486="","",IFERROR(VLOOKUP(Z486,GLAPS정리!$AX$2:$AZ$17,3,0),""))</f>
        <v/>
      </c>
      <c r="BZ486" s="2" t="e">
        <f>VLOOKUP(H486,GLAPS정리!$L$3:$O$133,2,0)</f>
        <v>#N/A</v>
      </c>
      <c r="CA486" s="2" t="str">
        <f t="shared" si="116"/>
        <v/>
      </c>
      <c r="CL486" s="2" t="e">
        <f>VLOOKUP(AI486,GLAPS정리!$BT$3:$BV$26,3,0)</f>
        <v>#N/A</v>
      </c>
    </row>
    <row r="487" spans="2:90" ht="20.45" customHeight="1">
      <c r="B487" s="13"/>
      <c r="G487" s="3"/>
      <c r="J487" s="3"/>
      <c r="Q487" s="3" t="str">
        <f t="shared" si="104"/>
        <v/>
      </c>
      <c r="R487" s="3" t="str">
        <f t="shared" si="105"/>
        <v/>
      </c>
      <c r="S487" s="3" t="str">
        <f t="shared" si="106"/>
        <v/>
      </c>
      <c r="X487" s="13"/>
      <c r="Y487" s="13"/>
      <c r="Z487" s="91"/>
      <c r="AC487" s="2">
        <f t="shared" si="107"/>
        <v>20</v>
      </c>
      <c r="AD487" s="2" t="str">
        <f>IFERROR(INDEX(GLAPS정리!$D$2:$D$50,MATCH(I487,GLAPS정리!$A$2:$A$50,0)),IFERROR(INDEX(GLAPS정리!$D$2:$D$50,MATCH(I487,GLAPS정리!$B$2:$B$50,0)),""))</f>
        <v/>
      </c>
      <c r="AF487" s="2" t="str">
        <f t="shared" si="108"/>
        <v>KR10</v>
      </c>
      <c r="AI487" s="2" t="e">
        <f>VLOOKUP(F487,GLAPS정리!$G$3:$J$114,2,0)</f>
        <v>#N/A</v>
      </c>
      <c r="AJ487" s="2" t="e">
        <f>IF(Z487="울산정일","KRONS",IF(Z487="울산신항","KRUSN",IF(OR(Z487="선광종합물류(인천여객)",Z487="인천여객(인천여객)"),"KRINF",IF(OR(Z487="선광인천보세(인천신)",Z487="한진인천(인천신)",Z487="선광인천신항(인천신)",Z487="인천더로지스(인천신)"),"KRINN",IF(OR(Z487="인천진아(인천항)",Z487="인천E1(인천항)",Z487="인천SM경인터미널(인천항)",Z487="인천항(인천항)",Z487="인천우련(인천항)",Z487="인천항8부두(인천항)"),"KRINC",VLOOKUP(K487,GLAPS정리!$BB$2:$BC$33,2,0))))))</f>
        <v>#N/A</v>
      </c>
      <c r="AL487" s="2">
        <f t="shared" si="109"/>
        <v>5010001</v>
      </c>
      <c r="AN487" s="70" t="str">
        <f t="shared" si="110"/>
        <v>1900-01-00</v>
      </c>
      <c r="AO487" s="2" t="str">
        <f t="shared" si="111"/>
        <v/>
      </c>
      <c r="AP487" s="2" t="e">
        <f>VLOOKUP(C487,GLAPS정리!$AX$2:$AZ$17,3,0)</f>
        <v>#N/A</v>
      </c>
      <c r="AR487" s="2">
        <f t="shared" si="117"/>
        <v>0</v>
      </c>
      <c r="AX487" s="2" t="e">
        <f>VLOOKUP(L487,GLAPS정리!$V$3:$W$180,2,0)</f>
        <v>#N/A</v>
      </c>
      <c r="BM487" s="2" t="str">
        <f t="shared" si="112"/>
        <v xml:space="preserve"> </v>
      </c>
      <c r="BN487" s="2">
        <f t="shared" si="113"/>
        <v>1</v>
      </c>
      <c r="BR487" s="2" t="str">
        <f t="shared" si="114"/>
        <v/>
      </c>
      <c r="BS487" s="2" t="str">
        <f t="shared" si="115"/>
        <v/>
      </c>
      <c r="BV487" s="2" t="e">
        <f>VLOOKUP(O487,GLAPS정리!$BH$2:$BI$94,2,0)</f>
        <v>#N/A</v>
      </c>
      <c r="BW487" s="2" t="str">
        <f>IF(OR(Z487="동원",Z487="세방",Z487="한타"),"",IFERROR(INDEX(GLAPS정리!$BI$2:$BI$101,MATCH(Z487,GLAPS정리!$BH$2:$BH$101,0)),""))</f>
        <v/>
      </c>
      <c r="BX487" s="2" t="str">
        <f>IF(Z487="","",IFERROR(VLOOKUP(Z487,GLAPS정리!$AX$2:$AZ$17,3,0),""))</f>
        <v/>
      </c>
      <c r="BZ487" s="2" t="e">
        <f>VLOOKUP(H487,GLAPS정리!$L$3:$O$133,2,0)</f>
        <v>#N/A</v>
      </c>
      <c r="CA487" s="2" t="str">
        <f t="shared" si="116"/>
        <v/>
      </c>
      <c r="CL487" s="2" t="e">
        <f>VLOOKUP(AI487,GLAPS정리!$BT$3:$BV$26,3,0)</f>
        <v>#N/A</v>
      </c>
    </row>
    <row r="488" spans="2:90" ht="20.45" customHeight="1">
      <c r="B488" s="13"/>
      <c r="G488" s="3"/>
      <c r="J488" s="3"/>
      <c r="Q488" s="3" t="str">
        <f t="shared" si="104"/>
        <v/>
      </c>
      <c r="R488" s="3" t="str">
        <f t="shared" si="105"/>
        <v/>
      </c>
      <c r="S488" s="3" t="str">
        <f t="shared" si="106"/>
        <v/>
      </c>
      <c r="X488" s="13"/>
      <c r="Y488" s="13"/>
      <c r="Z488" s="91"/>
      <c r="AC488" s="2">
        <f t="shared" si="107"/>
        <v>20</v>
      </c>
      <c r="AD488" s="2" t="str">
        <f>IFERROR(INDEX(GLAPS정리!$D$2:$D$50,MATCH(I488,GLAPS정리!$A$2:$A$50,0)),IFERROR(INDEX(GLAPS정리!$D$2:$D$50,MATCH(I488,GLAPS정리!$B$2:$B$50,0)),""))</f>
        <v/>
      </c>
      <c r="AF488" s="2" t="str">
        <f t="shared" si="108"/>
        <v>KR10</v>
      </c>
      <c r="AI488" s="2" t="e">
        <f>VLOOKUP(F488,GLAPS정리!$G$3:$J$114,2,0)</f>
        <v>#N/A</v>
      </c>
      <c r="AJ488" s="2" t="e">
        <f>IF(Z488="울산정일","KRONS",IF(Z488="울산신항","KRUSN",IF(OR(Z488="선광종합물류(인천여객)",Z488="인천여객(인천여객)"),"KRINF",IF(OR(Z488="선광인천보세(인천신)",Z488="한진인천(인천신)",Z488="선광인천신항(인천신)",Z488="인천더로지스(인천신)"),"KRINN",IF(OR(Z488="인천진아(인천항)",Z488="인천E1(인천항)",Z488="인천SM경인터미널(인천항)",Z488="인천항(인천항)",Z488="인천우련(인천항)",Z488="인천항8부두(인천항)"),"KRINC",VLOOKUP(K488,GLAPS정리!$BB$2:$BC$33,2,0))))))</f>
        <v>#N/A</v>
      </c>
      <c r="AL488" s="2">
        <f t="shared" si="109"/>
        <v>5010001</v>
      </c>
      <c r="AN488" s="70" t="str">
        <f t="shared" si="110"/>
        <v>1900-01-00</v>
      </c>
      <c r="AO488" s="2" t="str">
        <f t="shared" si="111"/>
        <v/>
      </c>
      <c r="AP488" s="2" t="e">
        <f>VLOOKUP(C488,GLAPS정리!$AX$2:$AZ$17,3,0)</f>
        <v>#N/A</v>
      </c>
      <c r="AR488" s="2">
        <f t="shared" si="117"/>
        <v>0</v>
      </c>
      <c r="AX488" s="2" t="e">
        <f>VLOOKUP(L488,GLAPS정리!$V$3:$W$180,2,0)</f>
        <v>#N/A</v>
      </c>
      <c r="BM488" s="2" t="str">
        <f t="shared" si="112"/>
        <v xml:space="preserve"> </v>
      </c>
      <c r="BN488" s="2">
        <f t="shared" si="113"/>
        <v>1</v>
      </c>
      <c r="BR488" s="2" t="str">
        <f t="shared" si="114"/>
        <v/>
      </c>
      <c r="BS488" s="2" t="str">
        <f t="shared" si="115"/>
        <v/>
      </c>
      <c r="BV488" s="2" t="e">
        <f>VLOOKUP(O488,GLAPS정리!$BH$2:$BI$94,2,0)</f>
        <v>#N/A</v>
      </c>
      <c r="BW488" s="2" t="str">
        <f>IF(OR(Z488="동원",Z488="세방",Z488="한타"),"",IFERROR(INDEX(GLAPS정리!$BI$2:$BI$101,MATCH(Z488,GLAPS정리!$BH$2:$BH$101,0)),""))</f>
        <v/>
      </c>
      <c r="BX488" s="2" t="str">
        <f>IF(Z488="","",IFERROR(VLOOKUP(Z488,GLAPS정리!$AX$2:$AZ$17,3,0),""))</f>
        <v/>
      </c>
      <c r="BZ488" s="2" t="e">
        <f>VLOOKUP(H488,GLAPS정리!$L$3:$O$133,2,0)</f>
        <v>#N/A</v>
      </c>
      <c r="CA488" s="2" t="str">
        <f t="shared" si="116"/>
        <v/>
      </c>
      <c r="CL488" s="2" t="e">
        <f>VLOOKUP(AI488,GLAPS정리!$BT$3:$BV$26,3,0)</f>
        <v>#N/A</v>
      </c>
    </row>
    <row r="489" spans="2:90" ht="20.45" customHeight="1">
      <c r="B489" s="13"/>
      <c r="G489" s="3"/>
      <c r="J489" s="3"/>
      <c r="Q489" s="3" t="str">
        <f t="shared" si="104"/>
        <v/>
      </c>
      <c r="R489" s="3" t="str">
        <f t="shared" si="105"/>
        <v/>
      </c>
      <c r="S489" s="3" t="str">
        <f t="shared" si="106"/>
        <v/>
      </c>
      <c r="X489" s="13"/>
      <c r="Y489" s="13"/>
      <c r="Z489" s="91"/>
      <c r="AC489" s="2">
        <f t="shared" si="107"/>
        <v>20</v>
      </c>
      <c r="AD489" s="2" t="str">
        <f>IFERROR(INDEX(GLAPS정리!$D$2:$D$50,MATCH(I489,GLAPS정리!$A$2:$A$50,0)),IFERROR(INDEX(GLAPS정리!$D$2:$D$50,MATCH(I489,GLAPS정리!$B$2:$B$50,0)),""))</f>
        <v/>
      </c>
      <c r="AF489" s="2" t="str">
        <f t="shared" si="108"/>
        <v>KR10</v>
      </c>
      <c r="AI489" s="2" t="e">
        <f>VLOOKUP(F489,GLAPS정리!$G$3:$J$114,2,0)</f>
        <v>#N/A</v>
      </c>
      <c r="AJ489" s="2" t="e">
        <f>IF(Z489="울산정일","KRONS",IF(Z489="울산신항","KRUSN",IF(OR(Z489="선광종합물류(인천여객)",Z489="인천여객(인천여객)"),"KRINF",IF(OR(Z489="선광인천보세(인천신)",Z489="한진인천(인천신)",Z489="선광인천신항(인천신)",Z489="인천더로지스(인천신)"),"KRINN",IF(OR(Z489="인천진아(인천항)",Z489="인천E1(인천항)",Z489="인천SM경인터미널(인천항)",Z489="인천항(인천항)",Z489="인천우련(인천항)",Z489="인천항8부두(인천항)"),"KRINC",VLOOKUP(K489,GLAPS정리!$BB$2:$BC$33,2,0))))))</f>
        <v>#N/A</v>
      </c>
      <c r="AL489" s="2">
        <f t="shared" si="109"/>
        <v>5010001</v>
      </c>
      <c r="AN489" s="70" t="str">
        <f t="shared" si="110"/>
        <v>1900-01-00</v>
      </c>
      <c r="AO489" s="2" t="str">
        <f t="shared" si="111"/>
        <v/>
      </c>
      <c r="AP489" s="2" t="e">
        <f>VLOOKUP(C489,GLAPS정리!$AX$2:$AZ$17,3,0)</f>
        <v>#N/A</v>
      </c>
      <c r="AR489" s="2">
        <f t="shared" si="117"/>
        <v>0</v>
      </c>
      <c r="AX489" s="2" t="e">
        <f>VLOOKUP(L489,GLAPS정리!$V$3:$W$180,2,0)</f>
        <v>#N/A</v>
      </c>
      <c r="BM489" s="2" t="str">
        <f t="shared" si="112"/>
        <v xml:space="preserve"> </v>
      </c>
      <c r="BN489" s="2">
        <f t="shared" si="113"/>
        <v>1</v>
      </c>
      <c r="BR489" s="2" t="str">
        <f t="shared" si="114"/>
        <v/>
      </c>
      <c r="BS489" s="2" t="str">
        <f t="shared" si="115"/>
        <v/>
      </c>
      <c r="BV489" s="2" t="e">
        <f>VLOOKUP(O489,GLAPS정리!$BH$2:$BI$94,2,0)</f>
        <v>#N/A</v>
      </c>
      <c r="BW489" s="2" t="str">
        <f>IF(OR(Z489="동원",Z489="세방",Z489="한타"),"",IFERROR(INDEX(GLAPS정리!$BI$2:$BI$101,MATCH(Z489,GLAPS정리!$BH$2:$BH$101,0)),""))</f>
        <v/>
      </c>
      <c r="BX489" s="2" t="str">
        <f>IF(Z489="","",IFERROR(VLOOKUP(Z489,GLAPS정리!$AX$2:$AZ$17,3,0),""))</f>
        <v/>
      </c>
      <c r="BZ489" s="2" t="e">
        <f>VLOOKUP(H489,GLAPS정리!$L$3:$O$133,2,0)</f>
        <v>#N/A</v>
      </c>
      <c r="CA489" s="2" t="str">
        <f t="shared" si="116"/>
        <v/>
      </c>
      <c r="CL489" s="2" t="e">
        <f>VLOOKUP(AI489,GLAPS정리!$BT$3:$BV$26,3,0)</f>
        <v>#N/A</v>
      </c>
    </row>
    <row r="490" spans="2:90" ht="20.45" customHeight="1">
      <c r="B490" s="13"/>
      <c r="G490" s="3"/>
      <c r="J490" s="3"/>
      <c r="Q490" s="3" t="str">
        <f t="shared" si="104"/>
        <v/>
      </c>
      <c r="R490" s="3" t="str">
        <f t="shared" si="105"/>
        <v/>
      </c>
      <c r="S490" s="3" t="str">
        <f t="shared" si="106"/>
        <v/>
      </c>
      <c r="X490" s="13"/>
      <c r="Y490" s="13"/>
      <c r="Z490" s="91"/>
      <c r="AC490" s="2">
        <f t="shared" si="107"/>
        <v>20</v>
      </c>
      <c r="AD490" s="2" t="str">
        <f>IFERROR(INDEX(GLAPS정리!$D$2:$D$50,MATCH(I490,GLAPS정리!$A$2:$A$50,0)),IFERROR(INDEX(GLAPS정리!$D$2:$D$50,MATCH(I490,GLAPS정리!$B$2:$B$50,0)),""))</f>
        <v/>
      </c>
      <c r="AF490" s="2" t="str">
        <f t="shared" si="108"/>
        <v>KR10</v>
      </c>
      <c r="AI490" s="2" t="e">
        <f>VLOOKUP(F490,GLAPS정리!$G$3:$J$114,2,0)</f>
        <v>#N/A</v>
      </c>
      <c r="AJ490" s="2" t="e">
        <f>IF(Z490="울산정일","KRONS",IF(Z490="울산신항","KRUSN",IF(OR(Z490="선광종합물류(인천여객)",Z490="인천여객(인천여객)"),"KRINF",IF(OR(Z490="선광인천보세(인천신)",Z490="한진인천(인천신)",Z490="선광인천신항(인천신)",Z490="인천더로지스(인천신)"),"KRINN",IF(OR(Z490="인천진아(인천항)",Z490="인천E1(인천항)",Z490="인천SM경인터미널(인천항)",Z490="인천항(인천항)",Z490="인천우련(인천항)",Z490="인천항8부두(인천항)"),"KRINC",VLOOKUP(K490,GLAPS정리!$BB$2:$BC$33,2,0))))))</f>
        <v>#N/A</v>
      </c>
      <c r="AL490" s="2">
        <f t="shared" si="109"/>
        <v>5010001</v>
      </c>
      <c r="AN490" s="70" t="str">
        <f t="shared" si="110"/>
        <v>1900-01-00</v>
      </c>
      <c r="AO490" s="2" t="str">
        <f t="shared" si="111"/>
        <v/>
      </c>
      <c r="AP490" s="2" t="e">
        <f>VLOOKUP(C490,GLAPS정리!$AX$2:$AZ$17,3,0)</f>
        <v>#N/A</v>
      </c>
      <c r="AR490" s="2">
        <f t="shared" si="117"/>
        <v>0</v>
      </c>
      <c r="AX490" s="2" t="e">
        <f>VLOOKUP(L490,GLAPS정리!$V$3:$W$180,2,0)</f>
        <v>#N/A</v>
      </c>
      <c r="BM490" s="2" t="str">
        <f t="shared" si="112"/>
        <v xml:space="preserve"> </v>
      </c>
      <c r="BN490" s="2">
        <f t="shared" si="113"/>
        <v>1</v>
      </c>
      <c r="BR490" s="2" t="str">
        <f t="shared" si="114"/>
        <v/>
      </c>
      <c r="BS490" s="2" t="str">
        <f t="shared" si="115"/>
        <v/>
      </c>
      <c r="BV490" s="2" t="e">
        <f>VLOOKUP(O490,GLAPS정리!$BH$2:$BI$94,2,0)</f>
        <v>#N/A</v>
      </c>
      <c r="BW490" s="2" t="str">
        <f>IF(OR(Z490="동원",Z490="세방",Z490="한타"),"",IFERROR(INDEX(GLAPS정리!$BI$2:$BI$101,MATCH(Z490,GLAPS정리!$BH$2:$BH$101,0)),""))</f>
        <v/>
      </c>
      <c r="BX490" s="2" t="str">
        <f>IF(Z490="","",IFERROR(VLOOKUP(Z490,GLAPS정리!$AX$2:$AZ$17,3,0),""))</f>
        <v/>
      </c>
      <c r="BZ490" s="2" t="e">
        <f>VLOOKUP(H490,GLAPS정리!$L$3:$O$133,2,0)</f>
        <v>#N/A</v>
      </c>
      <c r="CA490" s="2" t="str">
        <f t="shared" si="116"/>
        <v/>
      </c>
      <c r="CL490" s="2" t="e">
        <f>VLOOKUP(AI490,GLAPS정리!$BT$3:$BV$26,3,0)</f>
        <v>#N/A</v>
      </c>
    </row>
    <row r="491" spans="2:90" ht="20.45" customHeight="1">
      <c r="B491" s="13"/>
      <c r="G491" s="3"/>
      <c r="J491" s="3"/>
      <c r="Q491" s="3" t="str">
        <f t="shared" si="104"/>
        <v/>
      </c>
      <c r="R491" s="3" t="str">
        <f t="shared" si="105"/>
        <v/>
      </c>
      <c r="S491" s="3" t="str">
        <f t="shared" si="106"/>
        <v/>
      </c>
      <c r="X491" s="13"/>
      <c r="Y491" s="13"/>
      <c r="Z491" s="91"/>
      <c r="AC491" s="2">
        <f t="shared" si="107"/>
        <v>20</v>
      </c>
      <c r="AD491" s="2" t="str">
        <f>IFERROR(INDEX(GLAPS정리!$D$2:$D$50,MATCH(I491,GLAPS정리!$A$2:$A$50,0)),IFERROR(INDEX(GLAPS정리!$D$2:$D$50,MATCH(I491,GLAPS정리!$B$2:$B$50,0)),""))</f>
        <v/>
      </c>
      <c r="AF491" s="2" t="str">
        <f t="shared" si="108"/>
        <v>KR10</v>
      </c>
      <c r="AI491" s="2" t="e">
        <f>VLOOKUP(F491,GLAPS정리!$G$3:$J$114,2,0)</f>
        <v>#N/A</v>
      </c>
      <c r="AJ491" s="2" t="e">
        <f>IF(Z491="울산정일","KRONS",IF(Z491="울산신항","KRUSN",IF(OR(Z491="선광종합물류(인천여객)",Z491="인천여객(인천여객)"),"KRINF",IF(OR(Z491="선광인천보세(인천신)",Z491="한진인천(인천신)",Z491="선광인천신항(인천신)",Z491="인천더로지스(인천신)"),"KRINN",IF(OR(Z491="인천진아(인천항)",Z491="인천E1(인천항)",Z491="인천SM경인터미널(인천항)",Z491="인천항(인천항)",Z491="인천우련(인천항)",Z491="인천항8부두(인천항)"),"KRINC",VLOOKUP(K491,GLAPS정리!$BB$2:$BC$33,2,0))))))</f>
        <v>#N/A</v>
      </c>
      <c r="AL491" s="2">
        <f t="shared" si="109"/>
        <v>5010001</v>
      </c>
      <c r="AN491" s="70" t="str">
        <f t="shared" si="110"/>
        <v>1900-01-00</v>
      </c>
      <c r="AO491" s="2" t="str">
        <f t="shared" si="111"/>
        <v/>
      </c>
      <c r="AP491" s="2" t="e">
        <f>VLOOKUP(C491,GLAPS정리!$AX$2:$AZ$17,3,0)</f>
        <v>#N/A</v>
      </c>
      <c r="AR491" s="2">
        <f t="shared" si="117"/>
        <v>0</v>
      </c>
      <c r="AX491" s="2" t="e">
        <f>VLOOKUP(L491,GLAPS정리!$V$3:$W$180,2,0)</f>
        <v>#N/A</v>
      </c>
      <c r="BM491" s="2" t="str">
        <f t="shared" si="112"/>
        <v xml:space="preserve"> </v>
      </c>
      <c r="BN491" s="2">
        <f t="shared" si="113"/>
        <v>1</v>
      </c>
      <c r="BR491" s="2" t="str">
        <f t="shared" si="114"/>
        <v/>
      </c>
      <c r="BS491" s="2" t="str">
        <f t="shared" si="115"/>
        <v/>
      </c>
      <c r="BV491" s="2" t="e">
        <f>VLOOKUP(O491,GLAPS정리!$BH$2:$BI$94,2,0)</f>
        <v>#N/A</v>
      </c>
      <c r="BW491" s="2" t="str">
        <f>IF(OR(Z491="동원",Z491="세방",Z491="한타"),"",IFERROR(INDEX(GLAPS정리!$BI$2:$BI$101,MATCH(Z491,GLAPS정리!$BH$2:$BH$101,0)),""))</f>
        <v/>
      </c>
      <c r="BX491" s="2" t="str">
        <f>IF(Z491="","",IFERROR(VLOOKUP(Z491,GLAPS정리!$AX$2:$AZ$17,3,0),""))</f>
        <v/>
      </c>
      <c r="BZ491" s="2" t="e">
        <f>VLOOKUP(H491,GLAPS정리!$L$3:$O$133,2,0)</f>
        <v>#N/A</v>
      </c>
      <c r="CA491" s="2" t="str">
        <f t="shared" si="116"/>
        <v/>
      </c>
      <c r="CL491" s="2" t="e">
        <f>VLOOKUP(AI491,GLAPS정리!$BT$3:$BV$26,3,0)</f>
        <v>#N/A</v>
      </c>
    </row>
    <row r="492" spans="2:90" ht="20.45" customHeight="1">
      <c r="B492" s="13"/>
      <c r="G492" s="3"/>
      <c r="J492" s="3"/>
      <c r="Q492" s="3" t="str">
        <f t="shared" si="104"/>
        <v/>
      </c>
      <c r="R492" s="3" t="str">
        <f t="shared" si="105"/>
        <v/>
      </c>
      <c r="S492" s="3" t="str">
        <f t="shared" si="106"/>
        <v/>
      </c>
      <c r="X492" s="13"/>
      <c r="Y492" s="13"/>
      <c r="Z492" s="91"/>
      <c r="AC492" s="2">
        <f t="shared" si="107"/>
        <v>20</v>
      </c>
      <c r="AD492" s="2" t="str">
        <f>IFERROR(INDEX(GLAPS정리!$D$2:$D$50,MATCH(I492,GLAPS정리!$A$2:$A$50,0)),IFERROR(INDEX(GLAPS정리!$D$2:$D$50,MATCH(I492,GLAPS정리!$B$2:$B$50,0)),""))</f>
        <v/>
      </c>
      <c r="AF492" s="2" t="str">
        <f t="shared" si="108"/>
        <v>KR10</v>
      </c>
      <c r="AI492" s="2" t="e">
        <f>VLOOKUP(F492,GLAPS정리!$G$3:$J$114,2,0)</f>
        <v>#N/A</v>
      </c>
      <c r="AJ492" s="2" t="e">
        <f>IF(Z492="울산정일","KRONS",IF(Z492="울산신항","KRUSN",IF(OR(Z492="선광종합물류(인천여객)",Z492="인천여객(인천여객)"),"KRINF",IF(OR(Z492="선광인천보세(인천신)",Z492="한진인천(인천신)",Z492="선광인천신항(인천신)",Z492="인천더로지스(인천신)"),"KRINN",IF(OR(Z492="인천진아(인천항)",Z492="인천E1(인천항)",Z492="인천SM경인터미널(인천항)",Z492="인천항(인천항)",Z492="인천우련(인천항)",Z492="인천항8부두(인천항)"),"KRINC",VLOOKUP(K492,GLAPS정리!$BB$2:$BC$33,2,0))))))</f>
        <v>#N/A</v>
      </c>
      <c r="AL492" s="2">
        <f t="shared" si="109"/>
        <v>5010001</v>
      </c>
      <c r="AN492" s="70" t="str">
        <f t="shared" si="110"/>
        <v>1900-01-00</v>
      </c>
      <c r="AO492" s="2" t="str">
        <f t="shared" si="111"/>
        <v/>
      </c>
      <c r="AP492" s="2" t="e">
        <f>VLOOKUP(C492,GLAPS정리!$AX$2:$AZ$17,3,0)</f>
        <v>#N/A</v>
      </c>
      <c r="AR492" s="2">
        <f t="shared" si="117"/>
        <v>0</v>
      </c>
      <c r="AX492" s="2" t="e">
        <f>VLOOKUP(L492,GLAPS정리!$V$3:$W$180,2,0)</f>
        <v>#N/A</v>
      </c>
      <c r="BM492" s="2" t="str">
        <f t="shared" si="112"/>
        <v xml:space="preserve"> </v>
      </c>
      <c r="BN492" s="2">
        <f t="shared" si="113"/>
        <v>1</v>
      </c>
      <c r="BR492" s="2" t="str">
        <f t="shared" si="114"/>
        <v/>
      </c>
      <c r="BS492" s="2" t="str">
        <f t="shared" si="115"/>
        <v/>
      </c>
      <c r="BV492" s="2" t="e">
        <f>VLOOKUP(O492,GLAPS정리!$BH$2:$BI$94,2,0)</f>
        <v>#N/A</v>
      </c>
      <c r="BW492" s="2" t="str">
        <f>IF(OR(Z492="동원",Z492="세방",Z492="한타"),"",IFERROR(INDEX(GLAPS정리!$BI$2:$BI$101,MATCH(Z492,GLAPS정리!$BH$2:$BH$101,0)),""))</f>
        <v/>
      </c>
      <c r="BX492" s="2" t="str">
        <f>IF(Z492="","",IFERROR(VLOOKUP(Z492,GLAPS정리!$AX$2:$AZ$17,3,0),""))</f>
        <v/>
      </c>
      <c r="BZ492" s="2" t="e">
        <f>VLOOKUP(H492,GLAPS정리!$L$3:$O$133,2,0)</f>
        <v>#N/A</v>
      </c>
      <c r="CA492" s="2" t="str">
        <f t="shared" si="116"/>
        <v/>
      </c>
      <c r="CL492" s="2" t="e">
        <f>VLOOKUP(AI492,GLAPS정리!$BT$3:$BV$26,3,0)</f>
        <v>#N/A</v>
      </c>
    </row>
    <row r="493" spans="2:90" ht="20.45" customHeight="1">
      <c r="B493" s="13"/>
      <c r="G493" s="3"/>
      <c r="J493" s="3"/>
      <c r="Q493" s="3" t="str">
        <f t="shared" si="104"/>
        <v/>
      </c>
      <c r="R493" s="3" t="str">
        <f t="shared" si="105"/>
        <v/>
      </c>
      <c r="S493" s="3" t="str">
        <f t="shared" si="106"/>
        <v/>
      </c>
      <c r="X493" s="13"/>
      <c r="Y493" s="13"/>
      <c r="Z493" s="91"/>
      <c r="AC493" s="2">
        <f t="shared" si="107"/>
        <v>20</v>
      </c>
      <c r="AD493" s="2" t="str">
        <f>IFERROR(INDEX(GLAPS정리!$D$2:$D$50,MATCH(I493,GLAPS정리!$A$2:$A$50,0)),IFERROR(INDEX(GLAPS정리!$D$2:$D$50,MATCH(I493,GLAPS정리!$B$2:$B$50,0)),""))</f>
        <v/>
      </c>
      <c r="AF493" s="2" t="str">
        <f t="shared" si="108"/>
        <v>KR10</v>
      </c>
      <c r="AI493" s="2" t="e">
        <f>VLOOKUP(F493,GLAPS정리!$G$3:$J$114,2,0)</f>
        <v>#N/A</v>
      </c>
      <c r="AJ493" s="2" t="e">
        <f>IF(Z493="울산정일","KRONS",IF(Z493="울산신항","KRUSN",IF(OR(Z493="선광종합물류(인천여객)",Z493="인천여객(인천여객)"),"KRINF",IF(OR(Z493="선광인천보세(인천신)",Z493="한진인천(인천신)",Z493="선광인천신항(인천신)",Z493="인천더로지스(인천신)"),"KRINN",IF(OR(Z493="인천진아(인천항)",Z493="인천E1(인천항)",Z493="인천SM경인터미널(인천항)",Z493="인천항(인천항)",Z493="인천우련(인천항)",Z493="인천항8부두(인천항)"),"KRINC",VLOOKUP(K493,GLAPS정리!$BB$2:$BC$33,2,0))))))</f>
        <v>#N/A</v>
      </c>
      <c r="AL493" s="2">
        <f t="shared" si="109"/>
        <v>5010001</v>
      </c>
      <c r="AN493" s="70" t="str">
        <f t="shared" si="110"/>
        <v>1900-01-00</v>
      </c>
      <c r="AO493" s="2" t="str">
        <f t="shared" si="111"/>
        <v/>
      </c>
      <c r="AP493" s="2" t="e">
        <f>VLOOKUP(C493,GLAPS정리!$AX$2:$AZ$17,3,0)</f>
        <v>#N/A</v>
      </c>
      <c r="AR493" s="2">
        <f t="shared" si="117"/>
        <v>0</v>
      </c>
      <c r="AX493" s="2" t="e">
        <f>VLOOKUP(L493,GLAPS정리!$V$3:$W$180,2,0)</f>
        <v>#N/A</v>
      </c>
      <c r="BM493" s="2" t="str">
        <f t="shared" si="112"/>
        <v xml:space="preserve"> </v>
      </c>
      <c r="BN493" s="2">
        <f t="shared" si="113"/>
        <v>1</v>
      </c>
      <c r="BR493" s="2" t="str">
        <f t="shared" si="114"/>
        <v/>
      </c>
      <c r="BS493" s="2" t="str">
        <f t="shared" si="115"/>
        <v/>
      </c>
      <c r="BV493" s="2" t="e">
        <f>VLOOKUP(O493,GLAPS정리!$BH$2:$BI$94,2,0)</f>
        <v>#N/A</v>
      </c>
      <c r="BW493" s="2" t="str">
        <f>IF(OR(Z493="동원",Z493="세방",Z493="한타"),"",IFERROR(INDEX(GLAPS정리!$BI$2:$BI$101,MATCH(Z493,GLAPS정리!$BH$2:$BH$101,0)),""))</f>
        <v/>
      </c>
      <c r="BX493" s="2" t="str">
        <f>IF(Z493="","",IFERROR(VLOOKUP(Z493,GLAPS정리!$AX$2:$AZ$17,3,0),""))</f>
        <v/>
      </c>
      <c r="BZ493" s="2" t="e">
        <f>VLOOKUP(H493,GLAPS정리!$L$3:$O$133,2,0)</f>
        <v>#N/A</v>
      </c>
      <c r="CA493" s="2" t="str">
        <f t="shared" si="116"/>
        <v/>
      </c>
      <c r="CL493" s="2" t="e">
        <f>VLOOKUP(AI493,GLAPS정리!$BT$3:$BV$26,3,0)</f>
        <v>#N/A</v>
      </c>
    </row>
    <row r="494" spans="2:90" ht="20.45" customHeight="1">
      <c r="B494" s="13"/>
      <c r="G494" s="3"/>
      <c r="J494" s="3"/>
      <c r="Q494" s="3" t="str">
        <f t="shared" si="104"/>
        <v/>
      </c>
      <c r="R494" s="3" t="str">
        <f t="shared" si="105"/>
        <v/>
      </c>
      <c r="S494" s="3" t="str">
        <f t="shared" si="106"/>
        <v/>
      </c>
      <c r="X494" s="13"/>
      <c r="Y494" s="13"/>
      <c r="Z494" s="91"/>
      <c r="AC494" s="2">
        <f t="shared" si="107"/>
        <v>20</v>
      </c>
      <c r="AD494" s="2" t="str">
        <f>IFERROR(INDEX(GLAPS정리!$D$2:$D$50,MATCH(I494,GLAPS정리!$A$2:$A$50,0)),IFERROR(INDEX(GLAPS정리!$D$2:$D$50,MATCH(I494,GLAPS정리!$B$2:$B$50,0)),""))</f>
        <v/>
      </c>
      <c r="AF494" s="2" t="str">
        <f t="shared" si="108"/>
        <v>KR10</v>
      </c>
      <c r="AI494" s="2" t="e">
        <f>VLOOKUP(F494,GLAPS정리!$G$3:$J$114,2,0)</f>
        <v>#N/A</v>
      </c>
      <c r="AJ494" s="2" t="e">
        <f>IF(Z494="울산정일","KRONS",IF(Z494="울산신항","KRUSN",IF(OR(Z494="선광종합물류(인천여객)",Z494="인천여객(인천여객)"),"KRINF",IF(OR(Z494="선광인천보세(인천신)",Z494="한진인천(인천신)",Z494="선광인천신항(인천신)",Z494="인천더로지스(인천신)"),"KRINN",IF(OR(Z494="인천진아(인천항)",Z494="인천E1(인천항)",Z494="인천SM경인터미널(인천항)",Z494="인천항(인천항)",Z494="인천우련(인천항)",Z494="인천항8부두(인천항)"),"KRINC",VLOOKUP(K494,GLAPS정리!$BB$2:$BC$33,2,0))))))</f>
        <v>#N/A</v>
      </c>
      <c r="AL494" s="2">
        <f t="shared" si="109"/>
        <v>5010001</v>
      </c>
      <c r="AN494" s="70" t="str">
        <f t="shared" si="110"/>
        <v>1900-01-00</v>
      </c>
      <c r="AO494" s="2" t="str">
        <f t="shared" si="111"/>
        <v/>
      </c>
      <c r="AP494" s="2" t="e">
        <f>VLOOKUP(C494,GLAPS정리!$AX$2:$AZ$17,3,0)</f>
        <v>#N/A</v>
      </c>
      <c r="AR494" s="2">
        <f t="shared" si="117"/>
        <v>0</v>
      </c>
      <c r="AX494" s="2" t="e">
        <f>VLOOKUP(L494,GLAPS정리!$V$3:$W$180,2,0)</f>
        <v>#N/A</v>
      </c>
      <c r="BM494" s="2" t="str">
        <f t="shared" si="112"/>
        <v xml:space="preserve"> </v>
      </c>
      <c r="BN494" s="2">
        <f t="shared" si="113"/>
        <v>1</v>
      </c>
      <c r="BR494" s="2" t="str">
        <f t="shared" si="114"/>
        <v/>
      </c>
      <c r="BS494" s="2" t="str">
        <f t="shared" si="115"/>
        <v/>
      </c>
      <c r="BV494" s="2" t="e">
        <f>VLOOKUP(O494,GLAPS정리!$BH$2:$BI$94,2,0)</f>
        <v>#N/A</v>
      </c>
      <c r="BW494" s="2" t="str">
        <f>IF(OR(Z494="동원",Z494="세방",Z494="한타"),"",IFERROR(INDEX(GLAPS정리!$BI$2:$BI$101,MATCH(Z494,GLAPS정리!$BH$2:$BH$101,0)),""))</f>
        <v/>
      </c>
      <c r="BX494" s="2" t="str">
        <f>IF(Z494="","",IFERROR(VLOOKUP(Z494,GLAPS정리!$AX$2:$AZ$17,3,0),""))</f>
        <v/>
      </c>
      <c r="BZ494" s="2" t="e">
        <f>VLOOKUP(H494,GLAPS정리!$L$3:$O$133,2,0)</f>
        <v>#N/A</v>
      </c>
      <c r="CA494" s="2" t="str">
        <f t="shared" si="116"/>
        <v/>
      </c>
      <c r="CL494" s="2" t="e">
        <f>VLOOKUP(AI494,GLAPS정리!$BT$3:$BV$26,3,0)</f>
        <v>#N/A</v>
      </c>
    </row>
    <row r="495" spans="2:90" ht="20.45" customHeight="1">
      <c r="B495" s="13"/>
      <c r="G495" s="3"/>
      <c r="J495" s="3"/>
      <c r="Q495" s="3" t="str">
        <f t="shared" si="104"/>
        <v/>
      </c>
      <c r="R495" s="3" t="str">
        <f t="shared" si="105"/>
        <v/>
      </c>
      <c r="S495" s="3" t="str">
        <f t="shared" si="106"/>
        <v/>
      </c>
      <c r="X495" s="13"/>
      <c r="Y495" s="13"/>
      <c r="Z495" s="91"/>
      <c r="AC495" s="2">
        <f t="shared" si="107"/>
        <v>20</v>
      </c>
      <c r="AD495" s="2" t="str">
        <f>IFERROR(INDEX(GLAPS정리!$D$2:$D$50,MATCH(I495,GLAPS정리!$A$2:$A$50,0)),IFERROR(INDEX(GLAPS정리!$D$2:$D$50,MATCH(I495,GLAPS정리!$B$2:$B$50,0)),""))</f>
        <v/>
      </c>
      <c r="AF495" s="2" t="str">
        <f t="shared" si="108"/>
        <v>KR10</v>
      </c>
      <c r="AI495" s="2" t="e">
        <f>VLOOKUP(F495,GLAPS정리!$G$3:$J$114,2,0)</f>
        <v>#N/A</v>
      </c>
      <c r="AJ495" s="2" t="e">
        <f>IF(Z495="울산정일","KRONS",IF(Z495="울산신항","KRUSN",IF(OR(Z495="선광종합물류(인천여객)",Z495="인천여객(인천여객)"),"KRINF",IF(OR(Z495="선광인천보세(인천신)",Z495="한진인천(인천신)",Z495="선광인천신항(인천신)",Z495="인천더로지스(인천신)"),"KRINN",IF(OR(Z495="인천진아(인천항)",Z495="인천E1(인천항)",Z495="인천SM경인터미널(인천항)",Z495="인천항(인천항)",Z495="인천우련(인천항)",Z495="인천항8부두(인천항)"),"KRINC",VLOOKUP(K495,GLAPS정리!$BB$2:$BC$33,2,0))))))</f>
        <v>#N/A</v>
      </c>
      <c r="AL495" s="2">
        <f t="shared" si="109"/>
        <v>5010001</v>
      </c>
      <c r="AN495" s="70" t="str">
        <f t="shared" si="110"/>
        <v>1900-01-00</v>
      </c>
      <c r="AO495" s="2" t="str">
        <f t="shared" si="111"/>
        <v/>
      </c>
      <c r="AP495" s="2" t="e">
        <f>VLOOKUP(C495,GLAPS정리!$AX$2:$AZ$17,3,0)</f>
        <v>#N/A</v>
      </c>
      <c r="AR495" s="2">
        <f t="shared" si="117"/>
        <v>0</v>
      </c>
      <c r="AX495" s="2" t="e">
        <f>VLOOKUP(L495,GLAPS정리!$V$3:$W$180,2,0)</f>
        <v>#N/A</v>
      </c>
      <c r="BM495" s="2" t="str">
        <f t="shared" si="112"/>
        <v xml:space="preserve"> </v>
      </c>
      <c r="BN495" s="2">
        <f t="shared" si="113"/>
        <v>1</v>
      </c>
      <c r="BR495" s="2" t="str">
        <f t="shared" si="114"/>
        <v/>
      </c>
      <c r="BS495" s="2" t="str">
        <f t="shared" si="115"/>
        <v/>
      </c>
      <c r="BV495" s="2" t="e">
        <f>VLOOKUP(O495,GLAPS정리!$BH$2:$BI$94,2,0)</f>
        <v>#N/A</v>
      </c>
      <c r="BW495" s="2" t="str">
        <f>IF(OR(Z495="동원",Z495="세방",Z495="한타"),"",IFERROR(INDEX(GLAPS정리!$BI$2:$BI$101,MATCH(Z495,GLAPS정리!$BH$2:$BH$101,0)),""))</f>
        <v/>
      </c>
      <c r="BX495" s="2" t="str">
        <f>IF(Z495="","",IFERROR(VLOOKUP(Z495,GLAPS정리!$AX$2:$AZ$17,3,0),""))</f>
        <v/>
      </c>
      <c r="BZ495" s="2" t="e">
        <f>VLOOKUP(H495,GLAPS정리!$L$3:$O$133,2,0)</f>
        <v>#N/A</v>
      </c>
      <c r="CA495" s="2" t="str">
        <f t="shared" si="116"/>
        <v/>
      </c>
      <c r="CL495" s="2" t="e">
        <f>VLOOKUP(AI495,GLAPS정리!$BT$3:$BV$26,3,0)</f>
        <v>#N/A</v>
      </c>
    </row>
    <row r="496" spans="2:90" ht="20.45" customHeight="1">
      <c r="B496" s="13"/>
      <c r="G496" s="3"/>
      <c r="J496" s="3"/>
      <c r="Q496" s="3" t="str">
        <f t="shared" si="104"/>
        <v/>
      </c>
      <c r="R496" s="3" t="str">
        <f t="shared" si="105"/>
        <v/>
      </c>
      <c r="S496" s="3" t="str">
        <f t="shared" si="106"/>
        <v/>
      </c>
      <c r="X496" s="13"/>
      <c r="Y496" s="13"/>
      <c r="Z496" s="91"/>
      <c r="AC496" s="2">
        <f t="shared" si="107"/>
        <v>20</v>
      </c>
      <c r="AD496" s="2" t="str">
        <f>IFERROR(INDEX(GLAPS정리!$D$2:$D$50,MATCH(I496,GLAPS정리!$A$2:$A$50,0)),IFERROR(INDEX(GLAPS정리!$D$2:$D$50,MATCH(I496,GLAPS정리!$B$2:$B$50,0)),""))</f>
        <v/>
      </c>
      <c r="AF496" s="2" t="str">
        <f t="shared" si="108"/>
        <v>KR10</v>
      </c>
      <c r="AI496" s="2" t="e">
        <f>VLOOKUP(F496,GLAPS정리!$G$3:$J$114,2,0)</f>
        <v>#N/A</v>
      </c>
      <c r="AJ496" s="2" t="e">
        <f>IF(Z496="울산정일","KRONS",IF(Z496="울산신항","KRUSN",IF(OR(Z496="선광종합물류(인천여객)",Z496="인천여객(인천여객)"),"KRINF",IF(OR(Z496="선광인천보세(인천신)",Z496="한진인천(인천신)",Z496="선광인천신항(인천신)",Z496="인천더로지스(인천신)"),"KRINN",IF(OR(Z496="인천진아(인천항)",Z496="인천E1(인천항)",Z496="인천SM경인터미널(인천항)",Z496="인천항(인천항)",Z496="인천우련(인천항)",Z496="인천항8부두(인천항)"),"KRINC",VLOOKUP(K496,GLAPS정리!$BB$2:$BC$33,2,0))))))</f>
        <v>#N/A</v>
      </c>
      <c r="AL496" s="2">
        <f t="shared" si="109"/>
        <v>5010001</v>
      </c>
      <c r="AN496" s="70" t="str">
        <f t="shared" si="110"/>
        <v>1900-01-00</v>
      </c>
      <c r="AO496" s="2" t="str">
        <f t="shared" si="111"/>
        <v/>
      </c>
      <c r="AP496" s="2" t="e">
        <f>VLOOKUP(C496,GLAPS정리!$AX$2:$AZ$17,3,0)</f>
        <v>#N/A</v>
      </c>
      <c r="AR496" s="2">
        <f t="shared" si="117"/>
        <v>0</v>
      </c>
      <c r="AX496" s="2" t="e">
        <f>VLOOKUP(L496,GLAPS정리!$V$3:$W$180,2,0)</f>
        <v>#N/A</v>
      </c>
      <c r="BM496" s="2" t="str">
        <f t="shared" si="112"/>
        <v xml:space="preserve"> </v>
      </c>
      <c r="BN496" s="2">
        <f t="shared" si="113"/>
        <v>1</v>
      </c>
      <c r="BR496" s="2" t="str">
        <f t="shared" si="114"/>
        <v/>
      </c>
      <c r="BS496" s="2" t="str">
        <f t="shared" si="115"/>
        <v/>
      </c>
      <c r="BV496" s="2" t="e">
        <f>VLOOKUP(O496,GLAPS정리!$BH$2:$BI$94,2,0)</f>
        <v>#N/A</v>
      </c>
      <c r="BW496" s="2" t="str">
        <f>IF(OR(Z496="동원",Z496="세방",Z496="한타"),"",IFERROR(INDEX(GLAPS정리!$BI$2:$BI$101,MATCH(Z496,GLAPS정리!$BH$2:$BH$101,0)),""))</f>
        <v/>
      </c>
      <c r="BX496" s="2" t="str">
        <f>IF(Z496="","",IFERROR(VLOOKUP(Z496,GLAPS정리!$AX$2:$AZ$17,3,0),""))</f>
        <v/>
      </c>
      <c r="BZ496" s="2" t="e">
        <f>VLOOKUP(H496,GLAPS정리!$L$3:$O$133,2,0)</f>
        <v>#N/A</v>
      </c>
      <c r="CA496" s="2" t="str">
        <f t="shared" si="116"/>
        <v/>
      </c>
      <c r="CL496" s="2" t="e">
        <f>VLOOKUP(AI496,GLAPS정리!$BT$3:$BV$26,3,0)</f>
        <v>#N/A</v>
      </c>
    </row>
    <row r="497" spans="2:90" ht="20.45" customHeight="1">
      <c r="B497" s="13"/>
      <c r="G497" s="3"/>
      <c r="J497" s="3"/>
      <c r="Q497" s="3" t="str">
        <f t="shared" si="104"/>
        <v/>
      </c>
      <c r="R497" s="3" t="str">
        <f t="shared" si="105"/>
        <v/>
      </c>
      <c r="S497" s="3" t="str">
        <f t="shared" si="106"/>
        <v/>
      </c>
      <c r="X497" s="13"/>
      <c r="Y497" s="13"/>
      <c r="Z497" s="91"/>
      <c r="AC497" s="2">
        <f t="shared" si="107"/>
        <v>20</v>
      </c>
      <c r="AD497" s="2" t="str">
        <f>IFERROR(INDEX(GLAPS정리!$D$2:$D$50,MATCH(I497,GLAPS정리!$A$2:$A$50,0)),IFERROR(INDEX(GLAPS정리!$D$2:$D$50,MATCH(I497,GLAPS정리!$B$2:$B$50,0)),""))</f>
        <v/>
      </c>
      <c r="AF497" s="2" t="str">
        <f t="shared" si="108"/>
        <v>KR10</v>
      </c>
      <c r="AI497" s="2" t="e">
        <f>VLOOKUP(F497,GLAPS정리!$G$3:$J$114,2,0)</f>
        <v>#N/A</v>
      </c>
      <c r="AJ497" s="2" t="e">
        <f>IF(Z497="울산정일","KRONS",IF(Z497="울산신항","KRUSN",IF(OR(Z497="선광종합물류(인천여객)",Z497="인천여객(인천여객)"),"KRINF",IF(OR(Z497="선광인천보세(인천신)",Z497="한진인천(인천신)",Z497="선광인천신항(인천신)",Z497="인천더로지스(인천신)"),"KRINN",IF(OR(Z497="인천진아(인천항)",Z497="인천E1(인천항)",Z497="인천SM경인터미널(인천항)",Z497="인천항(인천항)",Z497="인천우련(인천항)",Z497="인천항8부두(인천항)"),"KRINC",VLOOKUP(K497,GLAPS정리!$BB$2:$BC$33,2,0))))))</f>
        <v>#N/A</v>
      </c>
      <c r="AL497" s="2">
        <f t="shared" si="109"/>
        <v>5010001</v>
      </c>
      <c r="AN497" s="70" t="str">
        <f t="shared" si="110"/>
        <v>1900-01-00</v>
      </c>
      <c r="AO497" s="2" t="str">
        <f t="shared" si="111"/>
        <v/>
      </c>
      <c r="AP497" s="2" t="e">
        <f>VLOOKUP(C497,GLAPS정리!$AX$2:$AZ$17,3,0)</f>
        <v>#N/A</v>
      </c>
      <c r="AR497" s="2">
        <f t="shared" si="117"/>
        <v>0</v>
      </c>
      <c r="AX497" s="2" t="e">
        <f>VLOOKUP(L497,GLAPS정리!$V$3:$W$180,2,0)</f>
        <v>#N/A</v>
      </c>
      <c r="BM497" s="2" t="str">
        <f t="shared" si="112"/>
        <v xml:space="preserve"> </v>
      </c>
      <c r="BN497" s="2">
        <f t="shared" si="113"/>
        <v>1</v>
      </c>
      <c r="BR497" s="2" t="str">
        <f t="shared" si="114"/>
        <v/>
      </c>
      <c r="BS497" s="2" t="str">
        <f t="shared" si="115"/>
        <v/>
      </c>
      <c r="BV497" s="2" t="e">
        <f>VLOOKUP(O497,GLAPS정리!$BH$2:$BI$94,2,0)</f>
        <v>#N/A</v>
      </c>
      <c r="BW497" s="2" t="str">
        <f>IF(OR(Z497="동원",Z497="세방",Z497="한타"),"",IFERROR(INDEX(GLAPS정리!$BI$2:$BI$101,MATCH(Z497,GLAPS정리!$BH$2:$BH$101,0)),""))</f>
        <v/>
      </c>
      <c r="BX497" s="2" t="str">
        <f>IF(Z497="","",IFERROR(VLOOKUP(Z497,GLAPS정리!$AX$2:$AZ$17,3,0),""))</f>
        <v/>
      </c>
      <c r="BZ497" s="2" t="e">
        <f>VLOOKUP(H497,GLAPS정리!$L$3:$O$133,2,0)</f>
        <v>#N/A</v>
      </c>
      <c r="CA497" s="2" t="str">
        <f t="shared" si="116"/>
        <v/>
      </c>
      <c r="CL497" s="2" t="e">
        <f>VLOOKUP(AI497,GLAPS정리!$BT$3:$BV$26,3,0)</f>
        <v>#N/A</v>
      </c>
    </row>
    <row r="498" spans="2:90" ht="20.45" customHeight="1">
      <c r="B498" s="13"/>
      <c r="G498" s="3"/>
      <c r="J498" s="3"/>
      <c r="Q498" s="3" t="str">
        <f t="shared" si="104"/>
        <v/>
      </c>
      <c r="R498" s="3" t="str">
        <f t="shared" si="105"/>
        <v/>
      </c>
      <c r="S498" s="3" t="str">
        <f t="shared" si="106"/>
        <v/>
      </c>
      <c r="X498" s="13"/>
      <c r="Y498" s="13"/>
      <c r="Z498" s="91"/>
      <c r="AC498" s="2">
        <f t="shared" si="107"/>
        <v>20</v>
      </c>
      <c r="AD498" s="2" t="str">
        <f>IFERROR(INDEX(GLAPS정리!$D$2:$D$50,MATCH(I498,GLAPS정리!$A$2:$A$50,0)),IFERROR(INDEX(GLAPS정리!$D$2:$D$50,MATCH(I498,GLAPS정리!$B$2:$B$50,0)),""))</f>
        <v/>
      </c>
      <c r="AF498" s="2" t="str">
        <f t="shared" si="108"/>
        <v>KR10</v>
      </c>
      <c r="AI498" s="2" t="e">
        <f>VLOOKUP(F498,GLAPS정리!$G$3:$J$114,2,0)</f>
        <v>#N/A</v>
      </c>
      <c r="AJ498" s="2" t="e">
        <f>IF(Z498="울산정일","KRONS",IF(Z498="울산신항","KRUSN",IF(OR(Z498="선광종합물류(인천여객)",Z498="인천여객(인천여객)"),"KRINF",IF(OR(Z498="선광인천보세(인천신)",Z498="한진인천(인천신)",Z498="선광인천신항(인천신)",Z498="인천더로지스(인천신)"),"KRINN",IF(OR(Z498="인천진아(인천항)",Z498="인천E1(인천항)",Z498="인천SM경인터미널(인천항)",Z498="인천항(인천항)",Z498="인천우련(인천항)",Z498="인천항8부두(인천항)"),"KRINC",VLOOKUP(K498,GLAPS정리!$BB$2:$BC$33,2,0))))))</f>
        <v>#N/A</v>
      </c>
      <c r="AL498" s="2">
        <f t="shared" si="109"/>
        <v>5010001</v>
      </c>
      <c r="AN498" s="70" t="str">
        <f t="shared" si="110"/>
        <v>1900-01-00</v>
      </c>
      <c r="AO498" s="2" t="str">
        <f t="shared" si="111"/>
        <v/>
      </c>
      <c r="AP498" s="2" t="e">
        <f>VLOOKUP(C498,GLAPS정리!$AX$2:$AZ$17,3,0)</f>
        <v>#N/A</v>
      </c>
      <c r="AR498" s="2">
        <f t="shared" si="117"/>
        <v>0</v>
      </c>
      <c r="AX498" s="2" t="e">
        <f>VLOOKUP(L498,GLAPS정리!$V$3:$W$180,2,0)</f>
        <v>#N/A</v>
      </c>
      <c r="BM498" s="2" t="str">
        <f t="shared" si="112"/>
        <v xml:space="preserve"> </v>
      </c>
      <c r="BN498" s="2">
        <f t="shared" si="113"/>
        <v>1</v>
      </c>
      <c r="BR498" s="2" t="str">
        <f t="shared" si="114"/>
        <v/>
      </c>
      <c r="BS498" s="2" t="str">
        <f t="shared" si="115"/>
        <v/>
      </c>
      <c r="BV498" s="2" t="e">
        <f>VLOOKUP(O498,GLAPS정리!$BH$2:$BI$94,2,0)</f>
        <v>#N/A</v>
      </c>
      <c r="BW498" s="2" t="str">
        <f>IF(OR(Z498="동원",Z498="세방",Z498="한타"),"",IFERROR(INDEX(GLAPS정리!$BI$2:$BI$101,MATCH(Z498,GLAPS정리!$BH$2:$BH$101,0)),""))</f>
        <v/>
      </c>
      <c r="BX498" s="2" t="str">
        <f>IF(Z498="","",IFERROR(VLOOKUP(Z498,GLAPS정리!$AX$2:$AZ$17,3,0),""))</f>
        <v/>
      </c>
      <c r="BZ498" s="2" t="e">
        <f>VLOOKUP(H498,GLAPS정리!$L$3:$O$133,2,0)</f>
        <v>#N/A</v>
      </c>
      <c r="CA498" s="2" t="str">
        <f t="shared" si="116"/>
        <v/>
      </c>
      <c r="CL498" s="2" t="e">
        <f>VLOOKUP(AI498,GLAPS정리!$BT$3:$BV$26,3,0)</f>
        <v>#N/A</v>
      </c>
    </row>
    <row r="499" spans="2:90" ht="20.45" customHeight="1">
      <c r="B499" s="13"/>
      <c r="G499" s="3"/>
      <c r="J499" s="3"/>
      <c r="Q499" s="3" t="str">
        <f t="shared" si="104"/>
        <v/>
      </c>
      <c r="R499" s="3" t="str">
        <f t="shared" si="105"/>
        <v/>
      </c>
      <c r="S499" s="3" t="str">
        <f t="shared" si="106"/>
        <v/>
      </c>
      <c r="X499" s="13"/>
      <c r="Y499" s="13"/>
      <c r="Z499" s="91"/>
      <c r="AC499" s="2">
        <f t="shared" si="107"/>
        <v>20</v>
      </c>
      <c r="AD499" s="2" t="str">
        <f>IFERROR(INDEX(GLAPS정리!$D$2:$D$50,MATCH(I499,GLAPS정리!$A$2:$A$50,0)),IFERROR(INDEX(GLAPS정리!$D$2:$D$50,MATCH(I499,GLAPS정리!$B$2:$B$50,0)),""))</f>
        <v/>
      </c>
      <c r="AF499" s="2" t="str">
        <f t="shared" si="108"/>
        <v>KR10</v>
      </c>
      <c r="AI499" s="2" t="e">
        <f>VLOOKUP(F499,GLAPS정리!$G$3:$J$114,2,0)</f>
        <v>#N/A</v>
      </c>
      <c r="AJ499" s="2" t="e">
        <f>IF(Z499="울산정일","KRONS",IF(Z499="울산신항","KRUSN",IF(OR(Z499="선광종합물류(인천여객)",Z499="인천여객(인천여객)"),"KRINF",IF(OR(Z499="선광인천보세(인천신)",Z499="한진인천(인천신)",Z499="선광인천신항(인천신)",Z499="인천더로지스(인천신)"),"KRINN",IF(OR(Z499="인천진아(인천항)",Z499="인천E1(인천항)",Z499="인천SM경인터미널(인천항)",Z499="인천항(인천항)",Z499="인천우련(인천항)",Z499="인천항8부두(인천항)"),"KRINC",VLOOKUP(K499,GLAPS정리!$BB$2:$BC$33,2,0))))))</f>
        <v>#N/A</v>
      </c>
      <c r="AL499" s="2">
        <f t="shared" si="109"/>
        <v>5010001</v>
      </c>
      <c r="AN499" s="70" t="str">
        <f t="shared" si="110"/>
        <v>1900-01-00</v>
      </c>
      <c r="AO499" s="2" t="str">
        <f t="shared" si="111"/>
        <v/>
      </c>
      <c r="AP499" s="2" t="e">
        <f>VLOOKUP(C499,GLAPS정리!$AX$2:$AZ$17,3,0)</f>
        <v>#N/A</v>
      </c>
      <c r="AR499" s="2">
        <f t="shared" si="117"/>
        <v>0</v>
      </c>
      <c r="AX499" s="2" t="e">
        <f>VLOOKUP(L499,GLAPS정리!$V$3:$W$180,2,0)</f>
        <v>#N/A</v>
      </c>
      <c r="BM499" s="2" t="str">
        <f t="shared" si="112"/>
        <v xml:space="preserve"> </v>
      </c>
      <c r="BN499" s="2">
        <f t="shared" si="113"/>
        <v>1</v>
      </c>
      <c r="BR499" s="2" t="str">
        <f t="shared" si="114"/>
        <v/>
      </c>
      <c r="BS499" s="2" t="str">
        <f t="shared" si="115"/>
        <v/>
      </c>
      <c r="BV499" s="2" t="e">
        <f>VLOOKUP(O499,GLAPS정리!$BH$2:$BI$94,2,0)</f>
        <v>#N/A</v>
      </c>
      <c r="BW499" s="2" t="str">
        <f>IF(OR(Z499="동원",Z499="세방",Z499="한타"),"",IFERROR(INDEX(GLAPS정리!$BI$2:$BI$101,MATCH(Z499,GLAPS정리!$BH$2:$BH$101,0)),""))</f>
        <v/>
      </c>
      <c r="BX499" s="2" t="str">
        <f>IF(Z499="","",IFERROR(VLOOKUP(Z499,GLAPS정리!$AX$2:$AZ$17,3,0),""))</f>
        <v/>
      </c>
      <c r="BZ499" s="2" t="e">
        <f>VLOOKUP(H499,GLAPS정리!$L$3:$O$133,2,0)</f>
        <v>#N/A</v>
      </c>
      <c r="CA499" s="2" t="str">
        <f t="shared" si="116"/>
        <v/>
      </c>
      <c r="CL499" s="2" t="e">
        <f>VLOOKUP(AI499,GLAPS정리!$BT$3:$BV$26,3,0)</f>
        <v>#N/A</v>
      </c>
    </row>
    <row r="500" spans="2:90" ht="20.45" customHeight="1">
      <c r="B500" s="13"/>
      <c r="G500" s="3"/>
      <c r="J500" s="3"/>
      <c r="Q500" s="3" t="str">
        <f t="shared" si="104"/>
        <v/>
      </c>
      <c r="R500" s="3" t="str">
        <f t="shared" si="105"/>
        <v/>
      </c>
      <c r="S500" s="3" t="str">
        <f t="shared" si="106"/>
        <v/>
      </c>
      <c r="X500" s="13"/>
      <c r="Y500" s="13"/>
      <c r="Z500" s="91"/>
      <c r="AC500" s="2">
        <f t="shared" si="107"/>
        <v>20</v>
      </c>
      <c r="AD500" s="2" t="str">
        <f>IFERROR(INDEX(GLAPS정리!$D$2:$D$50,MATCH(I500,GLAPS정리!$A$2:$A$50,0)),IFERROR(INDEX(GLAPS정리!$D$2:$D$50,MATCH(I500,GLAPS정리!$B$2:$B$50,0)),""))</f>
        <v/>
      </c>
      <c r="AF500" s="2" t="str">
        <f t="shared" si="108"/>
        <v>KR10</v>
      </c>
      <c r="AI500" s="2" t="e">
        <f>VLOOKUP(F500,GLAPS정리!$G$3:$J$114,2,0)</f>
        <v>#N/A</v>
      </c>
      <c r="AJ500" s="2" t="e">
        <f>IF(Z500="울산정일","KRONS",IF(Z500="울산신항","KRUSN",IF(OR(Z500="선광종합물류(인천여객)",Z500="인천여객(인천여객)"),"KRINF",IF(OR(Z500="선광인천보세(인천신)",Z500="한진인천(인천신)",Z500="선광인천신항(인천신)",Z500="인천더로지스(인천신)"),"KRINN",IF(OR(Z500="인천진아(인천항)",Z500="인천E1(인천항)",Z500="인천SM경인터미널(인천항)",Z500="인천항(인천항)",Z500="인천우련(인천항)",Z500="인천항8부두(인천항)"),"KRINC",VLOOKUP(K500,GLAPS정리!$BB$2:$BC$33,2,0))))))</f>
        <v>#N/A</v>
      </c>
      <c r="AL500" s="2">
        <f t="shared" si="109"/>
        <v>5010001</v>
      </c>
      <c r="AN500" s="70" t="str">
        <f t="shared" si="110"/>
        <v>1900-01-00</v>
      </c>
      <c r="AO500" s="2" t="str">
        <f t="shared" si="111"/>
        <v/>
      </c>
      <c r="AP500" s="2" t="e">
        <f>VLOOKUP(C500,GLAPS정리!$AX$2:$AZ$17,3,0)</f>
        <v>#N/A</v>
      </c>
      <c r="AR500" s="2">
        <f t="shared" si="117"/>
        <v>0</v>
      </c>
      <c r="AX500" s="2" t="e">
        <f>VLOOKUP(L500,GLAPS정리!$V$3:$W$180,2,0)</f>
        <v>#N/A</v>
      </c>
      <c r="BM500" s="2" t="str">
        <f t="shared" si="112"/>
        <v xml:space="preserve"> </v>
      </c>
      <c r="BN500" s="2">
        <f t="shared" si="113"/>
        <v>1</v>
      </c>
      <c r="BR500" s="2" t="str">
        <f t="shared" si="114"/>
        <v/>
      </c>
      <c r="BS500" s="2" t="str">
        <f t="shared" si="115"/>
        <v/>
      </c>
      <c r="BV500" s="2" t="e">
        <f>VLOOKUP(O500,GLAPS정리!$BH$2:$BI$94,2,0)</f>
        <v>#N/A</v>
      </c>
      <c r="BW500" s="2" t="str">
        <f>IF(OR(Z500="동원",Z500="세방",Z500="한타"),"",IFERROR(INDEX(GLAPS정리!$BI$2:$BI$101,MATCH(Z500,GLAPS정리!$BH$2:$BH$101,0)),""))</f>
        <v/>
      </c>
      <c r="BX500" s="2" t="str">
        <f>IF(Z500="","",IFERROR(VLOOKUP(Z500,GLAPS정리!$AX$2:$AZ$17,3,0),""))</f>
        <v/>
      </c>
      <c r="BZ500" s="2" t="e">
        <f>VLOOKUP(H500,GLAPS정리!$L$3:$O$133,2,0)</f>
        <v>#N/A</v>
      </c>
      <c r="CA500" s="2" t="str">
        <f t="shared" si="116"/>
        <v/>
      </c>
      <c r="CL500" s="2" t="e">
        <f>VLOOKUP(AI500,GLAPS정리!$BT$3:$BV$26,3,0)</f>
        <v>#N/A</v>
      </c>
    </row>
    <row r="501" spans="2:90" ht="20.45" customHeight="1">
      <c r="B501" s="13"/>
      <c r="G501" s="3"/>
      <c r="J501" s="3"/>
      <c r="Q501" s="3" t="str">
        <f t="shared" si="104"/>
        <v/>
      </c>
      <c r="R501" s="3" t="str">
        <f t="shared" si="105"/>
        <v/>
      </c>
      <c r="S501" s="3" t="str">
        <f t="shared" si="106"/>
        <v/>
      </c>
      <c r="X501" s="13"/>
      <c r="Y501" s="13"/>
      <c r="Z501" s="91"/>
      <c r="AC501" s="2">
        <f t="shared" si="107"/>
        <v>20</v>
      </c>
      <c r="AD501" s="2" t="str">
        <f>IFERROR(INDEX(GLAPS정리!$D$2:$D$50,MATCH(I501,GLAPS정리!$A$2:$A$50,0)),IFERROR(INDEX(GLAPS정리!$D$2:$D$50,MATCH(I501,GLAPS정리!$B$2:$B$50,0)),""))</f>
        <v/>
      </c>
      <c r="AF501" s="2" t="str">
        <f t="shared" si="108"/>
        <v>KR10</v>
      </c>
      <c r="AI501" s="2" t="e">
        <f>VLOOKUP(F501,GLAPS정리!$G$3:$J$114,2,0)</f>
        <v>#N/A</v>
      </c>
      <c r="AJ501" s="2" t="e">
        <f>IF(Z501="울산정일","KRONS",IF(Z501="울산신항","KRUSN",IF(OR(Z501="선광종합물류(인천여객)",Z501="인천여객(인천여객)"),"KRINF",IF(OR(Z501="선광인천보세(인천신)",Z501="한진인천(인천신)",Z501="선광인천신항(인천신)",Z501="인천더로지스(인천신)"),"KRINN",IF(OR(Z501="인천진아(인천항)",Z501="인천E1(인천항)",Z501="인천SM경인터미널(인천항)",Z501="인천항(인천항)",Z501="인천우련(인천항)",Z501="인천항8부두(인천항)"),"KRINC",VLOOKUP(K501,GLAPS정리!$BB$2:$BC$33,2,0))))))</f>
        <v>#N/A</v>
      </c>
      <c r="AL501" s="2">
        <f t="shared" si="109"/>
        <v>5010001</v>
      </c>
      <c r="AN501" s="70" t="str">
        <f t="shared" si="110"/>
        <v>1900-01-00</v>
      </c>
      <c r="AO501" s="2" t="str">
        <f t="shared" si="111"/>
        <v/>
      </c>
      <c r="AP501" s="2" t="e">
        <f>VLOOKUP(C501,GLAPS정리!$AX$2:$AZ$17,3,0)</f>
        <v>#N/A</v>
      </c>
      <c r="AR501" s="2">
        <f t="shared" si="117"/>
        <v>0</v>
      </c>
      <c r="AX501" s="2" t="e">
        <f>VLOOKUP(L501,GLAPS정리!$V$3:$W$180,2,0)</f>
        <v>#N/A</v>
      </c>
      <c r="BM501" s="2" t="str">
        <f t="shared" si="112"/>
        <v xml:space="preserve"> </v>
      </c>
      <c r="BN501" s="2">
        <f t="shared" si="113"/>
        <v>1</v>
      </c>
      <c r="BR501" s="2" t="str">
        <f t="shared" si="114"/>
        <v/>
      </c>
      <c r="BS501" s="2" t="str">
        <f t="shared" si="115"/>
        <v/>
      </c>
      <c r="BV501" s="2" t="e">
        <f>VLOOKUP(O501,GLAPS정리!$BH$2:$BI$94,2,0)</f>
        <v>#N/A</v>
      </c>
      <c r="BW501" s="2" t="str">
        <f>IF(OR(Z501="동원",Z501="세방",Z501="한타"),"",IFERROR(INDEX(GLAPS정리!$BI$2:$BI$101,MATCH(Z501,GLAPS정리!$BH$2:$BH$101,0)),""))</f>
        <v/>
      </c>
      <c r="BX501" s="2" t="str">
        <f>IF(Z501="","",IFERROR(VLOOKUP(Z501,GLAPS정리!$AX$2:$AZ$17,3,0),""))</f>
        <v/>
      </c>
      <c r="BZ501" s="2" t="e">
        <f>VLOOKUP(H501,GLAPS정리!$L$3:$O$133,2,0)</f>
        <v>#N/A</v>
      </c>
      <c r="CA501" s="2" t="str">
        <f t="shared" si="116"/>
        <v/>
      </c>
      <c r="CL501" s="2" t="e">
        <f>VLOOKUP(AI501,GLAPS정리!$BT$3:$BV$26,3,0)</f>
        <v>#N/A</v>
      </c>
    </row>
    <row r="502" spans="2:90" ht="20.45" customHeight="1">
      <c r="B502" s="13"/>
      <c r="G502" s="3"/>
      <c r="J502" s="3"/>
      <c r="Q502" s="3" t="str">
        <f t="shared" si="104"/>
        <v/>
      </c>
      <c r="R502" s="3" t="str">
        <f t="shared" si="105"/>
        <v/>
      </c>
      <c r="S502" s="3" t="str">
        <f t="shared" si="106"/>
        <v/>
      </c>
      <c r="X502" s="13"/>
      <c r="Y502" s="13"/>
      <c r="Z502" s="91"/>
      <c r="AC502" s="2">
        <f t="shared" si="107"/>
        <v>20</v>
      </c>
      <c r="AD502" s="2" t="str">
        <f>IFERROR(INDEX(GLAPS정리!$D$2:$D$50,MATCH(I502,GLAPS정리!$A$2:$A$50,0)),IFERROR(INDEX(GLAPS정리!$D$2:$D$50,MATCH(I502,GLAPS정리!$B$2:$B$50,0)),""))</f>
        <v/>
      </c>
      <c r="AF502" s="2" t="str">
        <f t="shared" si="108"/>
        <v>KR10</v>
      </c>
      <c r="AI502" s="2" t="e">
        <f>VLOOKUP(F502,GLAPS정리!$G$3:$J$114,2,0)</f>
        <v>#N/A</v>
      </c>
      <c r="AJ502" s="2" t="e">
        <f>IF(Z502="울산정일","KRONS",IF(Z502="울산신항","KRUSN",IF(OR(Z502="선광종합물류(인천여객)",Z502="인천여객(인천여객)"),"KRINF",IF(OR(Z502="선광인천보세(인천신)",Z502="한진인천(인천신)",Z502="선광인천신항(인천신)",Z502="인천더로지스(인천신)"),"KRINN",IF(OR(Z502="인천진아(인천항)",Z502="인천E1(인천항)",Z502="인천SM경인터미널(인천항)",Z502="인천항(인천항)",Z502="인천우련(인천항)",Z502="인천항8부두(인천항)"),"KRINC",VLOOKUP(K502,GLAPS정리!$BB$2:$BC$33,2,0))))))</f>
        <v>#N/A</v>
      </c>
      <c r="AL502" s="2">
        <f t="shared" si="109"/>
        <v>5010001</v>
      </c>
      <c r="AN502" s="70" t="str">
        <f t="shared" si="110"/>
        <v>1900-01-00</v>
      </c>
      <c r="AO502" s="2" t="str">
        <f t="shared" si="111"/>
        <v/>
      </c>
      <c r="AP502" s="2" t="e">
        <f>VLOOKUP(C502,GLAPS정리!$AX$2:$AZ$17,3,0)</f>
        <v>#N/A</v>
      </c>
      <c r="AR502" s="2">
        <f t="shared" si="117"/>
        <v>0</v>
      </c>
      <c r="AX502" s="2" t="e">
        <f>VLOOKUP(L502,GLAPS정리!$V$3:$W$180,2,0)</f>
        <v>#N/A</v>
      </c>
      <c r="BM502" s="2" t="str">
        <f t="shared" si="112"/>
        <v xml:space="preserve"> </v>
      </c>
      <c r="BN502" s="2">
        <f t="shared" si="113"/>
        <v>1</v>
      </c>
      <c r="BR502" s="2" t="str">
        <f t="shared" si="114"/>
        <v/>
      </c>
      <c r="BS502" s="2" t="str">
        <f t="shared" si="115"/>
        <v/>
      </c>
      <c r="BV502" s="2" t="e">
        <f>VLOOKUP(O502,GLAPS정리!$BH$2:$BI$94,2,0)</f>
        <v>#N/A</v>
      </c>
      <c r="BW502" s="2" t="str">
        <f>IF(OR(Z502="동원",Z502="세방",Z502="한타"),"",IFERROR(INDEX(GLAPS정리!$BI$2:$BI$101,MATCH(Z502,GLAPS정리!$BH$2:$BH$101,0)),""))</f>
        <v/>
      </c>
      <c r="BX502" s="2" t="str">
        <f>IF(Z502="","",IFERROR(VLOOKUP(Z502,GLAPS정리!$AX$2:$AZ$17,3,0),""))</f>
        <v/>
      </c>
      <c r="BZ502" s="2" t="e">
        <f>VLOOKUP(H502,GLAPS정리!$L$3:$O$133,2,0)</f>
        <v>#N/A</v>
      </c>
      <c r="CA502" s="2" t="str">
        <f t="shared" si="116"/>
        <v/>
      </c>
      <c r="CL502" s="2" t="e">
        <f>VLOOKUP(AI502,GLAPS정리!$BT$3:$BV$26,3,0)</f>
        <v>#N/A</v>
      </c>
    </row>
    <row r="503" spans="2:90" ht="20.45" customHeight="1">
      <c r="B503" s="13"/>
      <c r="G503" s="3"/>
      <c r="J503" s="3"/>
      <c r="Q503" s="3" t="str">
        <f t="shared" si="104"/>
        <v/>
      </c>
      <c r="R503" s="3" t="str">
        <f t="shared" si="105"/>
        <v/>
      </c>
      <c r="S503" s="3" t="str">
        <f t="shared" si="106"/>
        <v/>
      </c>
      <c r="X503" s="13"/>
      <c r="Y503" s="13"/>
      <c r="Z503" s="91"/>
      <c r="AC503" s="2">
        <f t="shared" si="107"/>
        <v>20</v>
      </c>
      <c r="AD503" s="2" t="str">
        <f>IFERROR(INDEX(GLAPS정리!$D$2:$D$50,MATCH(I503,GLAPS정리!$A$2:$A$50,0)),IFERROR(INDEX(GLAPS정리!$D$2:$D$50,MATCH(I503,GLAPS정리!$B$2:$B$50,0)),""))</f>
        <v/>
      </c>
      <c r="AF503" s="2" t="str">
        <f t="shared" si="108"/>
        <v>KR10</v>
      </c>
      <c r="AI503" s="2" t="e">
        <f>VLOOKUP(F503,GLAPS정리!$G$3:$J$114,2,0)</f>
        <v>#N/A</v>
      </c>
      <c r="AJ503" s="2" t="e">
        <f>IF(Z503="울산정일","KRONS",IF(Z503="울산신항","KRUSN",IF(OR(Z503="선광종합물류(인천여객)",Z503="인천여객(인천여객)"),"KRINF",IF(OR(Z503="선광인천보세(인천신)",Z503="한진인천(인천신)",Z503="선광인천신항(인천신)",Z503="인천더로지스(인천신)"),"KRINN",IF(OR(Z503="인천진아(인천항)",Z503="인천E1(인천항)",Z503="인천SM경인터미널(인천항)",Z503="인천항(인천항)",Z503="인천우련(인천항)",Z503="인천항8부두(인천항)"),"KRINC",VLOOKUP(K503,GLAPS정리!$BB$2:$BC$33,2,0))))))</f>
        <v>#N/A</v>
      </c>
      <c r="AL503" s="2">
        <f t="shared" si="109"/>
        <v>5010001</v>
      </c>
      <c r="AN503" s="70" t="str">
        <f t="shared" si="110"/>
        <v>1900-01-00</v>
      </c>
      <c r="AO503" s="2" t="str">
        <f t="shared" si="111"/>
        <v/>
      </c>
      <c r="AP503" s="2" t="e">
        <f>VLOOKUP(C503,GLAPS정리!$AX$2:$AZ$17,3,0)</f>
        <v>#N/A</v>
      </c>
      <c r="AR503" s="2">
        <f t="shared" si="117"/>
        <v>0</v>
      </c>
      <c r="AX503" s="2" t="e">
        <f>VLOOKUP(L503,GLAPS정리!$V$3:$W$180,2,0)</f>
        <v>#N/A</v>
      </c>
      <c r="BM503" s="2" t="str">
        <f t="shared" si="112"/>
        <v xml:space="preserve"> </v>
      </c>
      <c r="BN503" s="2">
        <f t="shared" si="113"/>
        <v>1</v>
      </c>
      <c r="BR503" s="2" t="str">
        <f t="shared" si="114"/>
        <v/>
      </c>
      <c r="BS503" s="2" t="str">
        <f t="shared" si="115"/>
        <v/>
      </c>
      <c r="BV503" s="2" t="e">
        <f>VLOOKUP(O503,GLAPS정리!$BH$2:$BI$94,2,0)</f>
        <v>#N/A</v>
      </c>
      <c r="BW503" s="2" t="str">
        <f>IF(OR(Z503="동원",Z503="세방",Z503="한타"),"",IFERROR(INDEX(GLAPS정리!$BI$2:$BI$101,MATCH(Z503,GLAPS정리!$BH$2:$BH$101,0)),""))</f>
        <v/>
      </c>
      <c r="BX503" s="2" t="str">
        <f>IF(Z503="","",IFERROR(VLOOKUP(Z503,GLAPS정리!$AX$2:$AZ$17,3,0),""))</f>
        <v/>
      </c>
      <c r="BZ503" s="2" t="e">
        <f>VLOOKUP(H503,GLAPS정리!$L$3:$O$133,2,0)</f>
        <v>#N/A</v>
      </c>
      <c r="CA503" s="2" t="str">
        <f t="shared" si="116"/>
        <v/>
      </c>
      <c r="CL503" s="2" t="e">
        <f>VLOOKUP(AI503,GLAPS정리!$BT$3:$BV$26,3,0)</f>
        <v>#N/A</v>
      </c>
    </row>
    <row r="504" spans="2:90" ht="20.45" customHeight="1">
      <c r="B504" s="13"/>
      <c r="G504" s="3"/>
      <c r="J504" s="3"/>
      <c r="Q504" s="3" t="str">
        <f t="shared" si="104"/>
        <v/>
      </c>
      <c r="R504" s="3" t="str">
        <f t="shared" si="105"/>
        <v/>
      </c>
      <c r="S504" s="3" t="str">
        <f t="shared" si="106"/>
        <v/>
      </c>
      <c r="X504" s="13"/>
      <c r="Y504" s="13"/>
      <c r="Z504" s="91"/>
      <c r="AC504" s="2">
        <f t="shared" si="107"/>
        <v>20</v>
      </c>
      <c r="AD504" s="2" t="str">
        <f>IFERROR(INDEX(GLAPS정리!$D$2:$D$50,MATCH(I504,GLAPS정리!$A$2:$A$50,0)),IFERROR(INDEX(GLAPS정리!$D$2:$D$50,MATCH(I504,GLAPS정리!$B$2:$B$50,0)),""))</f>
        <v/>
      </c>
      <c r="AF504" s="2" t="str">
        <f t="shared" si="108"/>
        <v>KR10</v>
      </c>
      <c r="AI504" s="2" t="e">
        <f>VLOOKUP(F504,GLAPS정리!$G$3:$J$114,2,0)</f>
        <v>#N/A</v>
      </c>
      <c r="AJ504" s="2" t="e">
        <f>IF(Z504="울산정일","KRONS",IF(Z504="울산신항","KRUSN",IF(OR(Z504="선광종합물류(인천여객)",Z504="인천여객(인천여객)"),"KRINF",IF(OR(Z504="선광인천보세(인천신)",Z504="한진인천(인천신)",Z504="선광인천신항(인천신)",Z504="인천더로지스(인천신)"),"KRINN",IF(OR(Z504="인천진아(인천항)",Z504="인천E1(인천항)",Z504="인천SM경인터미널(인천항)",Z504="인천항(인천항)",Z504="인천우련(인천항)",Z504="인천항8부두(인천항)"),"KRINC",VLOOKUP(K504,GLAPS정리!$BB$2:$BC$33,2,0))))))</f>
        <v>#N/A</v>
      </c>
      <c r="AL504" s="2">
        <f t="shared" si="109"/>
        <v>5010001</v>
      </c>
      <c r="AN504" s="70" t="str">
        <f t="shared" si="110"/>
        <v>1900-01-00</v>
      </c>
      <c r="AO504" s="2" t="str">
        <f t="shared" si="111"/>
        <v/>
      </c>
      <c r="AP504" s="2" t="e">
        <f>VLOOKUP(C504,GLAPS정리!$AX$2:$AZ$17,3,0)</f>
        <v>#N/A</v>
      </c>
      <c r="AR504" s="2">
        <f t="shared" si="117"/>
        <v>0</v>
      </c>
      <c r="AX504" s="2" t="e">
        <f>VLOOKUP(L504,GLAPS정리!$V$3:$W$180,2,0)</f>
        <v>#N/A</v>
      </c>
      <c r="BM504" s="2" t="str">
        <f t="shared" si="112"/>
        <v xml:space="preserve"> </v>
      </c>
      <c r="BN504" s="2">
        <f t="shared" si="113"/>
        <v>1</v>
      </c>
      <c r="BR504" s="2" t="str">
        <f t="shared" si="114"/>
        <v/>
      </c>
      <c r="BS504" s="2" t="str">
        <f t="shared" si="115"/>
        <v/>
      </c>
      <c r="BV504" s="2" t="e">
        <f>VLOOKUP(O504,GLAPS정리!$BH$2:$BI$94,2,0)</f>
        <v>#N/A</v>
      </c>
      <c r="BW504" s="2" t="str">
        <f>IF(OR(Z504="동원",Z504="세방",Z504="한타"),"",IFERROR(INDEX(GLAPS정리!$BI$2:$BI$101,MATCH(Z504,GLAPS정리!$BH$2:$BH$101,0)),""))</f>
        <v/>
      </c>
      <c r="BX504" s="2" t="str">
        <f>IF(Z504="","",IFERROR(VLOOKUP(Z504,GLAPS정리!$AX$2:$AZ$17,3,0),""))</f>
        <v/>
      </c>
      <c r="BZ504" s="2" t="e">
        <f>VLOOKUP(H504,GLAPS정리!$L$3:$O$133,2,0)</f>
        <v>#N/A</v>
      </c>
      <c r="CA504" s="2" t="str">
        <f t="shared" si="116"/>
        <v/>
      </c>
      <c r="CL504" s="2" t="e">
        <f>VLOOKUP(AI504,GLAPS정리!$BT$3:$BV$26,3,0)</f>
        <v>#N/A</v>
      </c>
    </row>
    <row r="505" spans="2:90" ht="20.45" customHeight="1">
      <c r="B505" s="13"/>
      <c r="G505" s="3"/>
      <c r="J505" s="3"/>
      <c r="Q505" s="3" t="str">
        <f t="shared" si="104"/>
        <v/>
      </c>
      <c r="R505" s="3" t="str">
        <f t="shared" si="105"/>
        <v/>
      </c>
      <c r="S505" s="3" t="str">
        <f t="shared" si="106"/>
        <v/>
      </c>
      <c r="X505" s="13"/>
      <c r="Y505" s="13"/>
      <c r="Z505" s="91"/>
      <c r="AC505" s="2">
        <f t="shared" si="107"/>
        <v>20</v>
      </c>
      <c r="AD505" s="2" t="str">
        <f>IFERROR(INDEX(GLAPS정리!$D$2:$D$50,MATCH(I505,GLAPS정리!$A$2:$A$50,0)),IFERROR(INDEX(GLAPS정리!$D$2:$D$50,MATCH(I505,GLAPS정리!$B$2:$B$50,0)),""))</f>
        <v/>
      </c>
      <c r="AF505" s="2" t="str">
        <f t="shared" si="108"/>
        <v>KR10</v>
      </c>
      <c r="AI505" s="2" t="e">
        <f>VLOOKUP(F505,GLAPS정리!$G$3:$J$114,2,0)</f>
        <v>#N/A</v>
      </c>
      <c r="AJ505" s="2" t="e">
        <f>IF(Z505="울산정일","KRONS",IF(Z505="울산신항","KRUSN",IF(OR(Z505="선광종합물류(인천여객)",Z505="인천여객(인천여객)"),"KRINF",IF(OR(Z505="선광인천보세(인천신)",Z505="한진인천(인천신)",Z505="선광인천신항(인천신)",Z505="인천더로지스(인천신)"),"KRINN",IF(OR(Z505="인천진아(인천항)",Z505="인천E1(인천항)",Z505="인천SM경인터미널(인천항)",Z505="인천항(인천항)",Z505="인천우련(인천항)",Z505="인천항8부두(인천항)"),"KRINC",VLOOKUP(K505,GLAPS정리!$BB$2:$BC$33,2,0))))))</f>
        <v>#N/A</v>
      </c>
      <c r="AL505" s="2">
        <f t="shared" si="109"/>
        <v>5010001</v>
      </c>
      <c r="AN505" s="70" t="str">
        <f t="shared" si="110"/>
        <v>1900-01-00</v>
      </c>
      <c r="AO505" s="2" t="str">
        <f t="shared" si="111"/>
        <v/>
      </c>
      <c r="AP505" s="2" t="e">
        <f>VLOOKUP(C505,GLAPS정리!$AX$2:$AZ$17,3,0)</f>
        <v>#N/A</v>
      </c>
      <c r="AR505" s="2">
        <f t="shared" si="117"/>
        <v>0</v>
      </c>
      <c r="AX505" s="2" t="e">
        <f>VLOOKUP(L505,GLAPS정리!$V$3:$W$180,2,0)</f>
        <v>#N/A</v>
      </c>
      <c r="BM505" s="2" t="str">
        <f t="shared" si="112"/>
        <v xml:space="preserve"> </v>
      </c>
      <c r="BN505" s="2">
        <f t="shared" si="113"/>
        <v>1</v>
      </c>
      <c r="BR505" s="2" t="str">
        <f t="shared" si="114"/>
        <v/>
      </c>
      <c r="BS505" s="2" t="str">
        <f t="shared" si="115"/>
        <v/>
      </c>
      <c r="BV505" s="2" t="e">
        <f>VLOOKUP(O505,GLAPS정리!$BH$2:$BI$94,2,0)</f>
        <v>#N/A</v>
      </c>
      <c r="BW505" s="2" t="str">
        <f>IF(OR(Z505="동원",Z505="세방",Z505="한타"),"",IFERROR(INDEX(GLAPS정리!$BI$2:$BI$101,MATCH(Z505,GLAPS정리!$BH$2:$BH$101,0)),""))</f>
        <v/>
      </c>
      <c r="BX505" s="2" t="str">
        <f>IF(Z505="","",IFERROR(VLOOKUP(Z505,GLAPS정리!$AX$2:$AZ$17,3,0),""))</f>
        <v/>
      </c>
      <c r="BZ505" s="2" t="e">
        <f>VLOOKUP(H505,GLAPS정리!$L$3:$O$133,2,0)</f>
        <v>#N/A</v>
      </c>
      <c r="CA505" s="2" t="str">
        <f t="shared" si="116"/>
        <v/>
      </c>
      <c r="CL505" s="2" t="e">
        <f>VLOOKUP(AI505,GLAPS정리!$BT$3:$BV$26,3,0)</f>
        <v>#N/A</v>
      </c>
    </row>
    <row r="506" spans="2:90" ht="20.45" customHeight="1">
      <c r="B506" s="13"/>
      <c r="G506" s="3"/>
      <c r="J506" s="3"/>
      <c r="Q506" s="3" t="str">
        <f t="shared" si="104"/>
        <v/>
      </c>
      <c r="R506" s="3" t="str">
        <f t="shared" si="105"/>
        <v/>
      </c>
      <c r="S506" s="3" t="str">
        <f t="shared" si="106"/>
        <v/>
      </c>
      <c r="X506" s="13"/>
      <c r="Y506" s="13"/>
      <c r="Z506" s="91"/>
      <c r="AC506" s="2">
        <f t="shared" si="107"/>
        <v>20</v>
      </c>
      <c r="AD506" s="2" t="str">
        <f>IFERROR(INDEX(GLAPS정리!$D$2:$D$50,MATCH(I506,GLAPS정리!$A$2:$A$50,0)),IFERROR(INDEX(GLAPS정리!$D$2:$D$50,MATCH(I506,GLAPS정리!$B$2:$B$50,0)),""))</f>
        <v/>
      </c>
      <c r="AF506" s="2" t="str">
        <f t="shared" si="108"/>
        <v>KR10</v>
      </c>
      <c r="AI506" s="2" t="e">
        <f>VLOOKUP(F506,GLAPS정리!$G$3:$J$114,2,0)</f>
        <v>#N/A</v>
      </c>
      <c r="AJ506" s="2" t="e">
        <f>IF(Z506="울산정일","KRONS",IF(Z506="울산신항","KRUSN",IF(OR(Z506="선광종합물류(인천여객)",Z506="인천여객(인천여객)"),"KRINF",IF(OR(Z506="선광인천보세(인천신)",Z506="한진인천(인천신)",Z506="선광인천신항(인천신)",Z506="인천더로지스(인천신)"),"KRINN",IF(OR(Z506="인천진아(인천항)",Z506="인천E1(인천항)",Z506="인천SM경인터미널(인천항)",Z506="인천항(인천항)",Z506="인천우련(인천항)",Z506="인천항8부두(인천항)"),"KRINC",VLOOKUP(K506,GLAPS정리!$BB$2:$BC$33,2,0))))))</f>
        <v>#N/A</v>
      </c>
      <c r="AL506" s="2">
        <f t="shared" si="109"/>
        <v>5010001</v>
      </c>
      <c r="AN506" s="70" t="str">
        <f t="shared" si="110"/>
        <v>1900-01-00</v>
      </c>
      <c r="AO506" s="2" t="str">
        <f t="shared" si="111"/>
        <v/>
      </c>
      <c r="AP506" s="2" t="e">
        <f>VLOOKUP(C506,GLAPS정리!$AX$2:$AZ$17,3,0)</f>
        <v>#N/A</v>
      </c>
      <c r="AR506" s="2">
        <f t="shared" si="117"/>
        <v>0</v>
      </c>
      <c r="AX506" s="2" t="e">
        <f>VLOOKUP(L506,GLAPS정리!$V$3:$W$180,2,0)</f>
        <v>#N/A</v>
      </c>
      <c r="BM506" s="2" t="str">
        <f t="shared" si="112"/>
        <v xml:space="preserve"> </v>
      </c>
      <c r="BN506" s="2">
        <f t="shared" si="113"/>
        <v>1</v>
      </c>
      <c r="BR506" s="2" t="str">
        <f t="shared" si="114"/>
        <v/>
      </c>
      <c r="BS506" s="2" t="str">
        <f t="shared" si="115"/>
        <v/>
      </c>
      <c r="BV506" s="2" t="e">
        <f>VLOOKUP(O506,GLAPS정리!$BH$2:$BI$94,2,0)</f>
        <v>#N/A</v>
      </c>
      <c r="BW506" s="2" t="str">
        <f>IF(OR(Z506="동원",Z506="세방",Z506="한타"),"",IFERROR(INDEX(GLAPS정리!$BI$2:$BI$101,MATCH(Z506,GLAPS정리!$BH$2:$BH$101,0)),""))</f>
        <v/>
      </c>
      <c r="BX506" s="2" t="str">
        <f>IF(Z506="","",IFERROR(VLOOKUP(Z506,GLAPS정리!$AX$2:$AZ$17,3,0),""))</f>
        <v/>
      </c>
      <c r="BZ506" s="2" t="e">
        <f>VLOOKUP(H506,GLAPS정리!$L$3:$O$133,2,0)</f>
        <v>#N/A</v>
      </c>
      <c r="CA506" s="2" t="str">
        <f t="shared" si="116"/>
        <v/>
      </c>
      <c r="CL506" s="2" t="e">
        <f>VLOOKUP(AI506,GLAPS정리!$BT$3:$BV$26,3,0)</f>
        <v>#N/A</v>
      </c>
    </row>
    <row r="507" spans="2:90" ht="20.45" customHeight="1">
      <c r="B507" s="13"/>
      <c r="G507" s="3"/>
      <c r="J507" s="3"/>
      <c r="Q507" s="3" t="str">
        <f t="shared" si="104"/>
        <v/>
      </c>
      <c r="R507" s="3" t="str">
        <f t="shared" si="105"/>
        <v/>
      </c>
      <c r="S507" s="3" t="str">
        <f t="shared" si="106"/>
        <v/>
      </c>
      <c r="X507" s="13"/>
      <c r="Y507" s="13"/>
      <c r="Z507" s="91"/>
      <c r="AC507" s="2">
        <f t="shared" si="107"/>
        <v>20</v>
      </c>
      <c r="AD507" s="2" t="str">
        <f>IFERROR(INDEX(GLAPS정리!$D$2:$D$50,MATCH(I507,GLAPS정리!$A$2:$A$50,0)),IFERROR(INDEX(GLAPS정리!$D$2:$D$50,MATCH(I507,GLAPS정리!$B$2:$B$50,0)),""))</f>
        <v/>
      </c>
      <c r="AF507" s="2" t="str">
        <f t="shared" si="108"/>
        <v>KR10</v>
      </c>
      <c r="AI507" s="2" t="e">
        <f>VLOOKUP(F507,GLAPS정리!$G$3:$J$114,2,0)</f>
        <v>#N/A</v>
      </c>
      <c r="AJ507" s="2" t="e">
        <f>IF(Z507="울산정일","KRONS",IF(Z507="울산신항","KRUSN",IF(OR(Z507="선광종합물류(인천여객)",Z507="인천여객(인천여객)"),"KRINF",IF(OR(Z507="선광인천보세(인천신)",Z507="한진인천(인천신)",Z507="선광인천신항(인천신)",Z507="인천더로지스(인천신)"),"KRINN",IF(OR(Z507="인천진아(인천항)",Z507="인천E1(인천항)",Z507="인천SM경인터미널(인천항)",Z507="인천항(인천항)",Z507="인천우련(인천항)",Z507="인천항8부두(인천항)"),"KRINC",VLOOKUP(K507,GLAPS정리!$BB$2:$BC$33,2,0))))))</f>
        <v>#N/A</v>
      </c>
      <c r="AL507" s="2">
        <f t="shared" si="109"/>
        <v>5010001</v>
      </c>
      <c r="AN507" s="70" t="str">
        <f t="shared" si="110"/>
        <v>1900-01-00</v>
      </c>
      <c r="AO507" s="2" t="str">
        <f t="shared" si="111"/>
        <v/>
      </c>
      <c r="AP507" s="2" t="e">
        <f>VLOOKUP(C507,GLAPS정리!$AX$2:$AZ$17,3,0)</f>
        <v>#N/A</v>
      </c>
      <c r="AR507" s="2">
        <f t="shared" si="117"/>
        <v>0</v>
      </c>
      <c r="AX507" s="2" t="e">
        <f>VLOOKUP(L507,GLAPS정리!$V$3:$W$180,2,0)</f>
        <v>#N/A</v>
      </c>
      <c r="BM507" s="2" t="str">
        <f t="shared" si="112"/>
        <v xml:space="preserve"> </v>
      </c>
      <c r="BN507" s="2">
        <f t="shared" si="113"/>
        <v>1</v>
      </c>
      <c r="BR507" s="2" t="str">
        <f t="shared" si="114"/>
        <v/>
      </c>
      <c r="BS507" s="2" t="str">
        <f t="shared" si="115"/>
        <v/>
      </c>
      <c r="BV507" s="2" t="e">
        <f>VLOOKUP(O507,GLAPS정리!$BH$2:$BI$94,2,0)</f>
        <v>#N/A</v>
      </c>
      <c r="BW507" s="2" t="str">
        <f>IF(OR(Z507="동원",Z507="세방",Z507="한타"),"",IFERROR(INDEX(GLAPS정리!$BI$2:$BI$101,MATCH(Z507,GLAPS정리!$BH$2:$BH$101,0)),""))</f>
        <v/>
      </c>
      <c r="BX507" s="2" t="str">
        <f>IF(Z507="","",IFERROR(VLOOKUP(Z507,GLAPS정리!$AX$2:$AZ$17,3,0),""))</f>
        <v/>
      </c>
      <c r="BZ507" s="2" t="e">
        <f>VLOOKUP(H507,GLAPS정리!$L$3:$O$133,2,0)</f>
        <v>#N/A</v>
      </c>
      <c r="CA507" s="2" t="str">
        <f t="shared" si="116"/>
        <v/>
      </c>
      <c r="CL507" s="2" t="e">
        <f>VLOOKUP(AI507,GLAPS정리!$BT$3:$BV$26,3,0)</f>
        <v>#N/A</v>
      </c>
    </row>
    <row r="508" spans="2:90" ht="20.45" customHeight="1">
      <c r="B508" s="13"/>
      <c r="G508" s="3"/>
      <c r="J508" s="3"/>
      <c r="Q508" s="3" t="str">
        <f t="shared" ref="Q508:Q571" si="118">IF(J508="20 FeeT",1,"")</f>
        <v/>
      </c>
      <c r="R508" s="3" t="str">
        <f t="shared" ref="R508:R571" si="119">IF(J508="40 Feet N",1,"")</f>
        <v/>
      </c>
      <c r="S508" s="3" t="str">
        <f t="shared" ref="S508:S571" si="120">IF(J508="40 Feet H",1,"")</f>
        <v/>
      </c>
      <c r="X508" s="13"/>
      <c r="Y508" s="13"/>
      <c r="Z508" s="91"/>
      <c r="AC508" s="2">
        <f t="shared" ref="AC508:AC571" si="121">$AC$1</f>
        <v>20</v>
      </c>
      <c r="AD508" s="2" t="str">
        <f>IFERROR(INDEX(GLAPS정리!$D$2:$D$50,MATCH(I508,GLAPS정리!$A$2:$A$50,0)),IFERROR(INDEX(GLAPS정리!$D$2:$D$50,MATCH(I508,GLAPS정리!$B$2:$B$50,0)),""))</f>
        <v/>
      </c>
      <c r="AF508" s="2" t="str">
        <f t="shared" ref="AF508:AF571" si="122">$AF$1</f>
        <v>KR10</v>
      </c>
      <c r="AI508" s="2" t="e">
        <f>VLOOKUP(F508,GLAPS정리!$G$3:$J$114,2,0)</f>
        <v>#N/A</v>
      </c>
      <c r="AJ508" s="2" t="e">
        <f>IF(Z508="울산정일","KRONS",IF(Z508="울산신항","KRUSN",IF(OR(Z508="선광종합물류(인천여객)",Z508="인천여객(인천여객)"),"KRINF",IF(OR(Z508="선광인천보세(인천신)",Z508="한진인천(인천신)",Z508="선광인천신항(인천신)",Z508="인천더로지스(인천신)"),"KRINN",IF(OR(Z508="인천진아(인천항)",Z508="인천E1(인천항)",Z508="인천SM경인터미널(인천항)",Z508="인천항(인천항)",Z508="인천우련(인천항)",Z508="인천항8부두(인천항)"),"KRINC",VLOOKUP(K508,GLAPS정리!$BB$2:$BC$33,2,0))))))</f>
        <v>#N/A</v>
      </c>
      <c r="AL508" s="2">
        <f t="shared" ref="AL508:AL571" si="123">$AL$1</f>
        <v>5010001</v>
      </c>
      <c r="AN508" s="70" t="str">
        <f t="shared" ref="AN508:AN571" si="124">TEXT(B508,"YYYY-MM-DD")</f>
        <v>1900-01-00</v>
      </c>
      <c r="AO508" s="2" t="str">
        <f t="shared" ref="AO508:AO571" si="125">IF(E508="오전", "0800", IF(E508="오후", "1300", IF(E508="잔업", "1800", "")))</f>
        <v/>
      </c>
      <c r="AP508" s="2" t="e">
        <f>VLOOKUP(C508,GLAPS정리!$AX$2:$AZ$17,3,0)</f>
        <v>#N/A</v>
      </c>
      <c r="AR508" s="2">
        <f t="shared" si="117"/>
        <v>0</v>
      </c>
      <c r="AX508" s="2" t="e">
        <f>VLOOKUP(L508,GLAPS정리!$V$3:$W$180,2,0)</f>
        <v>#N/A</v>
      </c>
      <c r="BM508" s="2" t="str">
        <f t="shared" ref="BM508:BM571" si="126">IF(AND(Q508=1,OR(P508="",P508="위험물")), "2210", IF(AND(Q508=1,OR(P508="리퍼",P508="위험물리퍼")), "2230", IF(AND(S508=1,OR(P508="",P508="위험물")), "4510", IF(AND(S508=1,OR(P508="리퍼",P508="위험물리퍼")), "4530", IF(AND(R508=1,OR(P508="",P508="위험물")), "4210", IF(AND(R508=1,P508="리퍼"), "4230", " "))))))</f>
        <v xml:space="preserve"> </v>
      </c>
      <c r="BN508" s="2">
        <f t="shared" ref="BN508:BN571" si="127">$BN$1</f>
        <v>1</v>
      </c>
      <c r="BR508" s="2" t="str">
        <f t="shared" ref="BR508:BR571" si="128">IF(OR(P508="리퍼",P508="위험물리퍼"),"Y","")</f>
        <v/>
      </c>
      <c r="BS508" s="2" t="str">
        <f t="shared" ref="BS508:BS571" si="129">IF(OR(P508="위험물",P508="위험물리퍼"),"Y","")</f>
        <v/>
      </c>
      <c r="BV508" s="2" t="e">
        <f>VLOOKUP(O508,GLAPS정리!$BH$2:$BI$94,2,0)</f>
        <v>#N/A</v>
      </c>
      <c r="BW508" s="2" t="str">
        <f>IF(OR(Z508="동원",Z508="세방",Z508="한타"),"",IFERROR(INDEX(GLAPS정리!$BI$2:$BI$101,MATCH(Z508,GLAPS정리!$BH$2:$BH$101,0)),""))</f>
        <v/>
      </c>
      <c r="BX508" s="2" t="str">
        <f>IF(Z508="","",IFERROR(VLOOKUP(Z508,GLAPS정리!$AX$2:$AZ$17,3,0),""))</f>
        <v/>
      </c>
      <c r="BZ508" s="2" t="e">
        <f>VLOOKUP(H508,GLAPS정리!$L$3:$O$133,2,0)</f>
        <v>#N/A</v>
      </c>
      <c r="CA508" s="2" t="str">
        <f t="shared" ref="CA508:CA571" si="130">IF(V508="공휴일", 10, IF(V508="야간", 20, IF(V508="위험물", 30, IF(V508="중량", 40, ""))))</f>
        <v/>
      </c>
      <c r="CL508" s="2" t="e">
        <f>VLOOKUP(AI508,GLAPS정리!$BT$3:$BV$26,3,0)</f>
        <v>#N/A</v>
      </c>
    </row>
    <row r="509" spans="2:90" ht="20.45" customHeight="1">
      <c r="B509" s="13"/>
      <c r="G509" s="3"/>
      <c r="J509" s="3"/>
      <c r="Q509" s="3" t="str">
        <f t="shared" si="118"/>
        <v/>
      </c>
      <c r="R509" s="3" t="str">
        <f t="shared" si="119"/>
        <v/>
      </c>
      <c r="S509" s="3" t="str">
        <f t="shared" si="120"/>
        <v/>
      </c>
      <c r="X509" s="13"/>
      <c r="Y509" s="13"/>
      <c r="Z509" s="91"/>
      <c r="AC509" s="2">
        <f t="shared" si="121"/>
        <v>20</v>
      </c>
      <c r="AD509" s="2" t="str">
        <f>IFERROR(INDEX(GLAPS정리!$D$2:$D$50,MATCH(I509,GLAPS정리!$A$2:$A$50,0)),IFERROR(INDEX(GLAPS정리!$D$2:$D$50,MATCH(I509,GLAPS정리!$B$2:$B$50,0)),""))</f>
        <v/>
      </c>
      <c r="AF509" s="2" t="str">
        <f t="shared" si="122"/>
        <v>KR10</v>
      </c>
      <c r="AI509" s="2" t="e">
        <f>VLOOKUP(F509,GLAPS정리!$G$3:$J$114,2,0)</f>
        <v>#N/A</v>
      </c>
      <c r="AJ509" s="2" t="e">
        <f>IF(Z509="울산정일","KRONS",IF(Z509="울산신항","KRUSN",IF(OR(Z509="선광종합물류(인천여객)",Z509="인천여객(인천여객)"),"KRINF",IF(OR(Z509="선광인천보세(인천신)",Z509="한진인천(인천신)",Z509="선광인천신항(인천신)",Z509="인천더로지스(인천신)"),"KRINN",IF(OR(Z509="인천진아(인천항)",Z509="인천E1(인천항)",Z509="인천SM경인터미널(인천항)",Z509="인천항(인천항)",Z509="인천우련(인천항)",Z509="인천항8부두(인천항)"),"KRINC",VLOOKUP(K509,GLAPS정리!$BB$2:$BC$33,2,0))))))</f>
        <v>#N/A</v>
      </c>
      <c r="AL509" s="2">
        <f t="shared" si="123"/>
        <v>5010001</v>
      </c>
      <c r="AN509" s="70" t="str">
        <f t="shared" si="124"/>
        <v>1900-01-00</v>
      </c>
      <c r="AO509" s="2" t="str">
        <f t="shared" si="125"/>
        <v/>
      </c>
      <c r="AP509" s="2" t="e">
        <f>VLOOKUP(C509,GLAPS정리!$AX$2:$AZ$17,3,0)</f>
        <v>#N/A</v>
      </c>
      <c r="AR509" s="2">
        <f t="shared" si="117"/>
        <v>0</v>
      </c>
      <c r="AX509" s="2" t="e">
        <f>VLOOKUP(L509,GLAPS정리!$V$3:$W$180,2,0)</f>
        <v>#N/A</v>
      </c>
      <c r="BM509" s="2" t="str">
        <f t="shared" si="126"/>
        <v xml:space="preserve"> </v>
      </c>
      <c r="BN509" s="2">
        <f t="shared" si="127"/>
        <v>1</v>
      </c>
      <c r="BR509" s="2" t="str">
        <f t="shared" si="128"/>
        <v/>
      </c>
      <c r="BS509" s="2" t="str">
        <f t="shared" si="129"/>
        <v/>
      </c>
      <c r="BV509" s="2" t="e">
        <f>VLOOKUP(O509,GLAPS정리!$BH$2:$BI$94,2,0)</f>
        <v>#N/A</v>
      </c>
      <c r="BW509" s="2" t="str">
        <f>IF(OR(Z509="동원",Z509="세방",Z509="한타"),"",IFERROR(INDEX(GLAPS정리!$BI$2:$BI$101,MATCH(Z509,GLAPS정리!$BH$2:$BH$101,0)),""))</f>
        <v/>
      </c>
      <c r="BX509" s="2" t="str">
        <f>IF(Z509="","",IFERROR(VLOOKUP(Z509,GLAPS정리!$AX$2:$AZ$17,3,0),""))</f>
        <v/>
      </c>
      <c r="BZ509" s="2" t="e">
        <f>VLOOKUP(H509,GLAPS정리!$L$3:$O$133,2,0)</f>
        <v>#N/A</v>
      </c>
      <c r="CA509" s="2" t="str">
        <f t="shared" si="130"/>
        <v/>
      </c>
      <c r="CL509" s="2" t="e">
        <f>VLOOKUP(AI509,GLAPS정리!$BT$3:$BV$26,3,0)</f>
        <v>#N/A</v>
      </c>
    </row>
    <row r="510" spans="2:90" ht="20.45" customHeight="1">
      <c r="B510" s="13"/>
      <c r="G510" s="3"/>
      <c r="J510" s="3"/>
      <c r="Q510" s="3" t="str">
        <f t="shared" si="118"/>
        <v/>
      </c>
      <c r="R510" s="3" t="str">
        <f t="shared" si="119"/>
        <v/>
      </c>
      <c r="S510" s="3" t="str">
        <f t="shared" si="120"/>
        <v/>
      </c>
      <c r="X510" s="13"/>
      <c r="Y510" s="13"/>
      <c r="Z510" s="91"/>
      <c r="AC510" s="2">
        <f t="shared" si="121"/>
        <v>20</v>
      </c>
      <c r="AD510" s="2" t="str">
        <f>IFERROR(INDEX(GLAPS정리!$D$2:$D$50,MATCH(I510,GLAPS정리!$A$2:$A$50,0)),IFERROR(INDEX(GLAPS정리!$D$2:$D$50,MATCH(I510,GLAPS정리!$B$2:$B$50,0)),""))</f>
        <v/>
      </c>
      <c r="AF510" s="2" t="str">
        <f t="shared" si="122"/>
        <v>KR10</v>
      </c>
      <c r="AI510" s="2" t="e">
        <f>VLOOKUP(F510,GLAPS정리!$G$3:$J$114,2,0)</f>
        <v>#N/A</v>
      </c>
      <c r="AJ510" s="2" t="e">
        <f>IF(Z510="울산정일","KRONS",IF(Z510="울산신항","KRUSN",IF(OR(Z510="선광종합물류(인천여객)",Z510="인천여객(인천여객)"),"KRINF",IF(OR(Z510="선광인천보세(인천신)",Z510="한진인천(인천신)",Z510="선광인천신항(인천신)",Z510="인천더로지스(인천신)"),"KRINN",IF(OR(Z510="인천진아(인천항)",Z510="인천E1(인천항)",Z510="인천SM경인터미널(인천항)",Z510="인천항(인천항)",Z510="인천우련(인천항)",Z510="인천항8부두(인천항)"),"KRINC",VLOOKUP(K510,GLAPS정리!$BB$2:$BC$33,2,0))))))</f>
        <v>#N/A</v>
      </c>
      <c r="AL510" s="2">
        <f t="shared" si="123"/>
        <v>5010001</v>
      </c>
      <c r="AN510" s="70" t="str">
        <f t="shared" si="124"/>
        <v>1900-01-00</v>
      </c>
      <c r="AO510" s="2" t="str">
        <f t="shared" si="125"/>
        <v/>
      </c>
      <c r="AP510" s="2" t="e">
        <f>VLOOKUP(C510,GLAPS정리!$AX$2:$AZ$17,3,0)</f>
        <v>#N/A</v>
      </c>
      <c r="AR510" s="2">
        <f t="shared" si="117"/>
        <v>0</v>
      </c>
      <c r="AX510" s="2" t="e">
        <f>VLOOKUP(L510,GLAPS정리!$V$3:$W$180,2,0)</f>
        <v>#N/A</v>
      </c>
      <c r="BM510" s="2" t="str">
        <f t="shared" si="126"/>
        <v xml:space="preserve"> </v>
      </c>
      <c r="BN510" s="2">
        <f t="shared" si="127"/>
        <v>1</v>
      </c>
      <c r="BR510" s="2" t="str">
        <f t="shared" si="128"/>
        <v/>
      </c>
      <c r="BS510" s="2" t="str">
        <f t="shared" si="129"/>
        <v/>
      </c>
      <c r="BV510" s="2" t="e">
        <f>VLOOKUP(O510,GLAPS정리!$BH$2:$BI$94,2,0)</f>
        <v>#N/A</v>
      </c>
      <c r="BW510" s="2" t="str">
        <f>IF(OR(Z510="동원",Z510="세방",Z510="한타"),"",IFERROR(INDEX(GLAPS정리!$BI$2:$BI$101,MATCH(Z510,GLAPS정리!$BH$2:$BH$101,0)),""))</f>
        <v/>
      </c>
      <c r="BX510" s="2" t="str">
        <f>IF(Z510="","",IFERROR(VLOOKUP(Z510,GLAPS정리!$AX$2:$AZ$17,3,0),""))</f>
        <v/>
      </c>
      <c r="BZ510" s="2" t="e">
        <f>VLOOKUP(H510,GLAPS정리!$L$3:$O$133,2,0)</f>
        <v>#N/A</v>
      </c>
      <c r="CA510" s="2" t="str">
        <f t="shared" si="130"/>
        <v/>
      </c>
      <c r="CL510" s="2" t="e">
        <f>VLOOKUP(AI510,GLAPS정리!$BT$3:$BV$26,3,0)</f>
        <v>#N/A</v>
      </c>
    </row>
    <row r="511" spans="2:90" ht="20.45" customHeight="1">
      <c r="B511" s="13"/>
      <c r="G511" s="3"/>
      <c r="J511" s="3"/>
      <c r="Q511" s="3" t="str">
        <f t="shared" si="118"/>
        <v/>
      </c>
      <c r="R511" s="3" t="str">
        <f t="shared" si="119"/>
        <v/>
      </c>
      <c r="S511" s="3" t="str">
        <f t="shared" si="120"/>
        <v/>
      </c>
      <c r="X511" s="13"/>
      <c r="Y511" s="13"/>
      <c r="Z511" s="91"/>
      <c r="AC511" s="2">
        <f t="shared" si="121"/>
        <v>20</v>
      </c>
      <c r="AD511" s="2" t="str">
        <f>IFERROR(INDEX(GLAPS정리!$D$2:$D$50,MATCH(I511,GLAPS정리!$A$2:$A$50,0)),IFERROR(INDEX(GLAPS정리!$D$2:$D$50,MATCH(I511,GLAPS정리!$B$2:$B$50,0)),""))</f>
        <v/>
      </c>
      <c r="AF511" s="2" t="str">
        <f t="shared" si="122"/>
        <v>KR10</v>
      </c>
      <c r="AI511" s="2" t="e">
        <f>VLOOKUP(F511,GLAPS정리!$G$3:$J$114,2,0)</f>
        <v>#N/A</v>
      </c>
      <c r="AJ511" s="2" t="e">
        <f>IF(Z511="울산정일","KRONS",IF(Z511="울산신항","KRUSN",IF(OR(Z511="선광종합물류(인천여객)",Z511="인천여객(인천여객)"),"KRINF",IF(OR(Z511="선광인천보세(인천신)",Z511="한진인천(인천신)",Z511="선광인천신항(인천신)",Z511="인천더로지스(인천신)"),"KRINN",IF(OR(Z511="인천진아(인천항)",Z511="인천E1(인천항)",Z511="인천SM경인터미널(인천항)",Z511="인천항(인천항)",Z511="인천우련(인천항)",Z511="인천항8부두(인천항)"),"KRINC",VLOOKUP(K511,GLAPS정리!$BB$2:$BC$33,2,0))))))</f>
        <v>#N/A</v>
      </c>
      <c r="AL511" s="2">
        <f t="shared" si="123"/>
        <v>5010001</v>
      </c>
      <c r="AN511" s="70" t="str">
        <f t="shared" si="124"/>
        <v>1900-01-00</v>
      </c>
      <c r="AO511" s="2" t="str">
        <f t="shared" si="125"/>
        <v/>
      </c>
      <c r="AP511" s="2" t="e">
        <f>VLOOKUP(C511,GLAPS정리!$AX$2:$AZ$17,3,0)</f>
        <v>#N/A</v>
      </c>
      <c r="AR511" s="2">
        <f t="shared" si="117"/>
        <v>0</v>
      </c>
      <c r="AX511" s="2" t="e">
        <f>VLOOKUP(L511,GLAPS정리!$V$3:$W$180,2,0)</f>
        <v>#N/A</v>
      </c>
      <c r="BM511" s="2" t="str">
        <f t="shared" si="126"/>
        <v xml:space="preserve"> </v>
      </c>
      <c r="BN511" s="2">
        <f t="shared" si="127"/>
        <v>1</v>
      </c>
      <c r="BR511" s="2" t="str">
        <f t="shared" si="128"/>
        <v/>
      </c>
      <c r="BS511" s="2" t="str">
        <f t="shared" si="129"/>
        <v/>
      </c>
      <c r="BV511" s="2" t="e">
        <f>VLOOKUP(O511,GLAPS정리!$BH$2:$BI$94,2,0)</f>
        <v>#N/A</v>
      </c>
      <c r="BW511" s="2" t="str">
        <f>IF(OR(Z511="동원",Z511="세방",Z511="한타"),"",IFERROR(INDEX(GLAPS정리!$BI$2:$BI$101,MATCH(Z511,GLAPS정리!$BH$2:$BH$101,0)),""))</f>
        <v/>
      </c>
      <c r="BX511" s="2" t="str">
        <f>IF(Z511="","",IFERROR(VLOOKUP(Z511,GLAPS정리!$AX$2:$AZ$17,3,0),""))</f>
        <v/>
      </c>
      <c r="BZ511" s="2" t="e">
        <f>VLOOKUP(H511,GLAPS정리!$L$3:$O$133,2,0)</f>
        <v>#N/A</v>
      </c>
      <c r="CA511" s="2" t="str">
        <f t="shared" si="130"/>
        <v/>
      </c>
      <c r="CL511" s="2" t="e">
        <f>VLOOKUP(AI511,GLAPS정리!$BT$3:$BV$26,3,0)</f>
        <v>#N/A</v>
      </c>
    </row>
    <row r="512" spans="2:90" ht="20.45" customHeight="1">
      <c r="B512" s="13"/>
      <c r="G512" s="3"/>
      <c r="J512" s="3"/>
      <c r="Q512" s="3" t="str">
        <f t="shared" si="118"/>
        <v/>
      </c>
      <c r="R512" s="3" t="str">
        <f t="shared" si="119"/>
        <v/>
      </c>
      <c r="S512" s="3" t="str">
        <f t="shared" si="120"/>
        <v/>
      </c>
      <c r="X512" s="13"/>
      <c r="Y512" s="13"/>
      <c r="Z512" s="91"/>
      <c r="AC512" s="2">
        <f t="shared" si="121"/>
        <v>20</v>
      </c>
      <c r="AD512" s="2" t="str">
        <f>IFERROR(INDEX(GLAPS정리!$D$2:$D$50,MATCH(I512,GLAPS정리!$A$2:$A$50,0)),IFERROR(INDEX(GLAPS정리!$D$2:$D$50,MATCH(I512,GLAPS정리!$B$2:$B$50,0)),""))</f>
        <v/>
      </c>
      <c r="AF512" s="2" t="str">
        <f t="shared" si="122"/>
        <v>KR10</v>
      </c>
      <c r="AI512" s="2" t="e">
        <f>VLOOKUP(F512,GLAPS정리!$G$3:$J$114,2,0)</f>
        <v>#N/A</v>
      </c>
      <c r="AJ512" s="2" t="e">
        <f>IF(Z512="울산정일","KRONS",IF(Z512="울산신항","KRUSN",IF(OR(Z512="선광종합물류(인천여객)",Z512="인천여객(인천여객)"),"KRINF",IF(OR(Z512="선광인천보세(인천신)",Z512="한진인천(인천신)",Z512="선광인천신항(인천신)",Z512="인천더로지스(인천신)"),"KRINN",IF(OR(Z512="인천진아(인천항)",Z512="인천E1(인천항)",Z512="인천SM경인터미널(인천항)",Z512="인천항(인천항)",Z512="인천우련(인천항)",Z512="인천항8부두(인천항)"),"KRINC",VLOOKUP(K512,GLAPS정리!$BB$2:$BC$33,2,0))))))</f>
        <v>#N/A</v>
      </c>
      <c r="AL512" s="2">
        <f t="shared" si="123"/>
        <v>5010001</v>
      </c>
      <c r="AN512" s="70" t="str">
        <f t="shared" si="124"/>
        <v>1900-01-00</v>
      </c>
      <c r="AO512" s="2" t="str">
        <f t="shared" si="125"/>
        <v/>
      </c>
      <c r="AP512" s="2" t="e">
        <f>VLOOKUP(C512,GLAPS정리!$AX$2:$AZ$17,3,0)</f>
        <v>#N/A</v>
      </c>
      <c r="AR512" s="2">
        <f t="shared" si="117"/>
        <v>0</v>
      </c>
      <c r="AX512" s="2" t="e">
        <f>VLOOKUP(L512,GLAPS정리!$V$3:$W$180,2,0)</f>
        <v>#N/A</v>
      </c>
      <c r="BM512" s="2" t="str">
        <f t="shared" si="126"/>
        <v xml:space="preserve"> </v>
      </c>
      <c r="BN512" s="2">
        <f t="shared" si="127"/>
        <v>1</v>
      </c>
      <c r="BR512" s="2" t="str">
        <f t="shared" si="128"/>
        <v/>
      </c>
      <c r="BS512" s="2" t="str">
        <f t="shared" si="129"/>
        <v/>
      </c>
      <c r="BV512" s="2" t="e">
        <f>VLOOKUP(O512,GLAPS정리!$BH$2:$BI$94,2,0)</f>
        <v>#N/A</v>
      </c>
      <c r="BW512" s="2" t="str">
        <f>IF(OR(Z512="동원",Z512="세방",Z512="한타"),"",IFERROR(INDEX(GLAPS정리!$BI$2:$BI$101,MATCH(Z512,GLAPS정리!$BH$2:$BH$101,0)),""))</f>
        <v/>
      </c>
      <c r="BX512" s="2" t="str">
        <f>IF(Z512="","",IFERROR(VLOOKUP(Z512,GLAPS정리!$AX$2:$AZ$17,3,0),""))</f>
        <v/>
      </c>
      <c r="BZ512" s="2" t="e">
        <f>VLOOKUP(H512,GLAPS정리!$L$3:$O$133,2,0)</f>
        <v>#N/A</v>
      </c>
      <c r="CA512" s="2" t="str">
        <f t="shared" si="130"/>
        <v/>
      </c>
      <c r="CL512" s="2" t="e">
        <f>VLOOKUP(AI512,GLAPS정리!$BT$3:$BV$26,3,0)</f>
        <v>#N/A</v>
      </c>
    </row>
    <row r="513" spans="2:90" ht="20.45" customHeight="1">
      <c r="B513" s="13"/>
      <c r="G513" s="3"/>
      <c r="J513" s="3"/>
      <c r="Q513" s="3" t="str">
        <f t="shared" si="118"/>
        <v/>
      </c>
      <c r="R513" s="3" t="str">
        <f t="shared" si="119"/>
        <v/>
      </c>
      <c r="S513" s="3" t="str">
        <f t="shared" si="120"/>
        <v/>
      </c>
      <c r="X513" s="13"/>
      <c r="Y513" s="13"/>
      <c r="Z513" s="91"/>
      <c r="AC513" s="2">
        <f t="shared" si="121"/>
        <v>20</v>
      </c>
      <c r="AD513" s="2" t="str">
        <f>IFERROR(INDEX(GLAPS정리!$D$2:$D$50,MATCH(I513,GLAPS정리!$A$2:$A$50,0)),IFERROR(INDEX(GLAPS정리!$D$2:$D$50,MATCH(I513,GLAPS정리!$B$2:$B$50,0)),""))</f>
        <v/>
      </c>
      <c r="AF513" s="2" t="str">
        <f t="shared" si="122"/>
        <v>KR10</v>
      </c>
      <c r="AI513" s="2" t="e">
        <f>VLOOKUP(F513,GLAPS정리!$G$3:$J$114,2,0)</f>
        <v>#N/A</v>
      </c>
      <c r="AJ513" s="2" t="e">
        <f>IF(Z513="울산정일","KRONS",IF(Z513="울산신항","KRUSN",IF(OR(Z513="선광종합물류(인천여객)",Z513="인천여객(인천여객)"),"KRINF",IF(OR(Z513="선광인천보세(인천신)",Z513="한진인천(인천신)",Z513="선광인천신항(인천신)",Z513="인천더로지스(인천신)"),"KRINN",IF(OR(Z513="인천진아(인천항)",Z513="인천E1(인천항)",Z513="인천SM경인터미널(인천항)",Z513="인천항(인천항)",Z513="인천우련(인천항)",Z513="인천항8부두(인천항)"),"KRINC",VLOOKUP(K513,GLAPS정리!$BB$2:$BC$33,2,0))))))</f>
        <v>#N/A</v>
      </c>
      <c r="AL513" s="2">
        <f t="shared" si="123"/>
        <v>5010001</v>
      </c>
      <c r="AN513" s="70" t="str">
        <f t="shared" si="124"/>
        <v>1900-01-00</v>
      </c>
      <c r="AO513" s="2" t="str">
        <f t="shared" si="125"/>
        <v/>
      </c>
      <c r="AP513" s="2" t="e">
        <f>VLOOKUP(C513,GLAPS정리!$AX$2:$AZ$17,3,0)</f>
        <v>#N/A</v>
      </c>
      <c r="AR513" s="2">
        <f t="shared" si="117"/>
        <v>0</v>
      </c>
      <c r="AX513" s="2" t="e">
        <f>VLOOKUP(L513,GLAPS정리!$V$3:$W$180,2,0)</f>
        <v>#N/A</v>
      </c>
      <c r="BM513" s="2" t="str">
        <f t="shared" si="126"/>
        <v xml:space="preserve"> </v>
      </c>
      <c r="BN513" s="2">
        <f t="shared" si="127"/>
        <v>1</v>
      </c>
      <c r="BR513" s="2" t="str">
        <f t="shared" si="128"/>
        <v/>
      </c>
      <c r="BS513" s="2" t="str">
        <f t="shared" si="129"/>
        <v/>
      </c>
      <c r="BV513" s="2" t="e">
        <f>VLOOKUP(O513,GLAPS정리!$BH$2:$BI$94,2,0)</f>
        <v>#N/A</v>
      </c>
      <c r="BW513" s="2" t="str">
        <f>IF(OR(Z513="동원",Z513="세방",Z513="한타"),"",IFERROR(INDEX(GLAPS정리!$BI$2:$BI$101,MATCH(Z513,GLAPS정리!$BH$2:$BH$101,0)),""))</f>
        <v/>
      </c>
      <c r="BX513" s="2" t="str">
        <f>IF(Z513="","",IFERROR(VLOOKUP(Z513,GLAPS정리!$AX$2:$AZ$17,3,0),""))</f>
        <v/>
      </c>
      <c r="BZ513" s="2" t="e">
        <f>VLOOKUP(H513,GLAPS정리!$L$3:$O$133,2,0)</f>
        <v>#N/A</v>
      </c>
      <c r="CA513" s="2" t="str">
        <f t="shared" si="130"/>
        <v/>
      </c>
      <c r="CL513" s="2" t="e">
        <f>VLOOKUP(AI513,GLAPS정리!$BT$3:$BV$26,3,0)</f>
        <v>#N/A</v>
      </c>
    </row>
    <row r="514" spans="2:90" ht="20.45" customHeight="1">
      <c r="B514" s="13"/>
      <c r="G514" s="3"/>
      <c r="J514" s="3"/>
      <c r="Q514" s="3" t="str">
        <f t="shared" si="118"/>
        <v/>
      </c>
      <c r="R514" s="3" t="str">
        <f t="shared" si="119"/>
        <v/>
      </c>
      <c r="S514" s="3" t="str">
        <f t="shared" si="120"/>
        <v/>
      </c>
      <c r="X514" s="13"/>
      <c r="Y514" s="13"/>
      <c r="Z514" s="91"/>
      <c r="AC514" s="2">
        <f t="shared" si="121"/>
        <v>20</v>
      </c>
      <c r="AD514" s="2" t="str">
        <f>IFERROR(INDEX(GLAPS정리!$D$2:$D$50,MATCH(I514,GLAPS정리!$A$2:$A$50,0)),IFERROR(INDEX(GLAPS정리!$D$2:$D$50,MATCH(I514,GLAPS정리!$B$2:$B$50,0)),""))</f>
        <v/>
      </c>
      <c r="AF514" s="2" t="str">
        <f t="shared" si="122"/>
        <v>KR10</v>
      </c>
      <c r="AI514" s="2" t="e">
        <f>VLOOKUP(F514,GLAPS정리!$G$3:$J$114,2,0)</f>
        <v>#N/A</v>
      </c>
      <c r="AJ514" s="2" t="e">
        <f>IF(Z514="울산정일","KRONS",IF(Z514="울산신항","KRUSN",IF(OR(Z514="선광종합물류(인천여객)",Z514="인천여객(인천여객)"),"KRINF",IF(OR(Z514="선광인천보세(인천신)",Z514="한진인천(인천신)",Z514="선광인천신항(인천신)",Z514="인천더로지스(인천신)"),"KRINN",IF(OR(Z514="인천진아(인천항)",Z514="인천E1(인천항)",Z514="인천SM경인터미널(인천항)",Z514="인천항(인천항)",Z514="인천우련(인천항)",Z514="인천항8부두(인천항)"),"KRINC",VLOOKUP(K514,GLAPS정리!$BB$2:$BC$33,2,0))))))</f>
        <v>#N/A</v>
      </c>
      <c r="AL514" s="2">
        <f t="shared" si="123"/>
        <v>5010001</v>
      </c>
      <c r="AN514" s="70" t="str">
        <f t="shared" si="124"/>
        <v>1900-01-00</v>
      </c>
      <c r="AO514" s="2" t="str">
        <f t="shared" si="125"/>
        <v/>
      </c>
      <c r="AP514" s="2" t="e">
        <f>VLOOKUP(C514,GLAPS정리!$AX$2:$AZ$17,3,0)</f>
        <v>#N/A</v>
      </c>
      <c r="AR514" s="2">
        <f t="shared" si="117"/>
        <v>0</v>
      </c>
      <c r="AX514" s="2" t="e">
        <f>VLOOKUP(L514,GLAPS정리!$V$3:$W$180,2,0)</f>
        <v>#N/A</v>
      </c>
      <c r="BM514" s="2" t="str">
        <f t="shared" si="126"/>
        <v xml:space="preserve"> </v>
      </c>
      <c r="BN514" s="2">
        <f t="shared" si="127"/>
        <v>1</v>
      </c>
      <c r="BR514" s="2" t="str">
        <f t="shared" si="128"/>
        <v/>
      </c>
      <c r="BS514" s="2" t="str">
        <f t="shared" si="129"/>
        <v/>
      </c>
      <c r="BV514" s="2" t="e">
        <f>VLOOKUP(O514,GLAPS정리!$BH$2:$BI$94,2,0)</f>
        <v>#N/A</v>
      </c>
      <c r="BW514" s="2" t="str">
        <f>IF(OR(Z514="동원",Z514="세방",Z514="한타"),"",IFERROR(INDEX(GLAPS정리!$BI$2:$BI$101,MATCH(Z514,GLAPS정리!$BH$2:$BH$101,0)),""))</f>
        <v/>
      </c>
      <c r="BX514" s="2" t="str">
        <f>IF(Z514="","",IFERROR(VLOOKUP(Z514,GLAPS정리!$AX$2:$AZ$17,3,0),""))</f>
        <v/>
      </c>
      <c r="BZ514" s="2" t="e">
        <f>VLOOKUP(H514,GLAPS정리!$L$3:$O$133,2,0)</f>
        <v>#N/A</v>
      </c>
      <c r="CA514" s="2" t="str">
        <f t="shared" si="130"/>
        <v/>
      </c>
      <c r="CL514" s="2" t="e">
        <f>VLOOKUP(AI514,GLAPS정리!$BT$3:$BV$26,3,0)</f>
        <v>#N/A</v>
      </c>
    </row>
    <row r="515" spans="2:90" ht="20.45" customHeight="1">
      <c r="B515" s="13"/>
      <c r="G515" s="3"/>
      <c r="J515" s="3"/>
      <c r="Q515" s="3" t="str">
        <f t="shared" si="118"/>
        <v/>
      </c>
      <c r="R515" s="3" t="str">
        <f t="shared" si="119"/>
        <v/>
      </c>
      <c r="S515" s="3" t="str">
        <f t="shared" si="120"/>
        <v/>
      </c>
      <c r="X515" s="13"/>
      <c r="Y515" s="13"/>
      <c r="Z515" s="91"/>
      <c r="AC515" s="2">
        <f t="shared" si="121"/>
        <v>20</v>
      </c>
      <c r="AD515" s="2" t="str">
        <f>IFERROR(INDEX(GLAPS정리!$D$2:$D$50,MATCH(I515,GLAPS정리!$A$2:$A$50,0)),IFERROR(INDEX(GLAPS정리!$D$2:$D$50,MATCH(I515,GLAPS정리!$B$2:$B$50,0)),""))</f>
        <v/>
      </c>
      <c r="AF515" s="2" t="str">
        <f t="shared" si="122"/>
        <v>KR10</v>
      </c>
      <c r="AI515" s="2" t="e">
        <f>VLOOKUP(F515,GLAPS정리!$G$3:$J$114,2,0)</f>
        <v>#N/A</v>
      </c>
      <c r="AJ515" s="2" t="e">
        <f>IF(Z515="울산정일","KRONS",IF(Z515="울산신항","KRUSN",IF(OR(Z515="선광종합물류(인천여객)",Z515="인천여객(인천여객)"),"KRINF",IF(OR(Z515="선광인천보세(인천신)",Z515="한진인천(인천신)",Z515="선광인천신항(인천신)",Z515="인천더로지스(인천신)"),"KRINN",IF(OR(Z515="인천진아(인천항)",Z515="인천E1(인천항)",Z515="인천SM경인터미널(인천항)",Z515="인천항(인천항)",Z515="인천우련(인천항)",Z515="인천항8부두(인천항)"),"KRINC",VLOOKUP(K515,GLAPS정리!$BB$2:$BC$33,2,0))))))</f>
        <v>#N/A</v>
      </c>
      <c r="AL515" s="2">
        <f t="shared" si="123"/>
        <v>5010001</v>
      </c>
      <c r="AN515" s="70" t="str">
        <f t="shared" si="124"/>
        <v>1900-01-00</v>
      </c>
      <c r="AO515" s="2" t="str">
        <f t="shared" si="125"/>
        <v/>
      </c>
      <c r="AP515" s="2" t="e">
        <f>VLOOKUP(C515,GLAPS정리!$AX$2:$AZ$17,3,0)</f>
        <v>#N/A</v>
      </c>
      <c r="AR515" s="2">
        <f t="shared" ref="AR515:AR578" si="131">X515</f>
        <v>0</v>
      </c>
      <c r="AX515" s="2" t="e">
        <f>VLOOKUP(L515,GLAPS정리!$V$3:$W$180,2,0)</f>
        <v>#N/A</v>
      </c>
      <c r="BM515" s="2" t="str">
        <f t="shared" si="126"/>
        <v xml:space="preserve"> </v>
      </c>
      <c r="BN515" s="2">
        <f t="shared" si="127"/>
        <v>1</v>
      </c>
      <c r="BR515" s="2" t="str">
        <f t="shared" si="128"/>
        <v/>
      </c>
      <c r="BS515" s="2" t="str">
        <f t="shared" si="129"/>
        <v/>
      </c>
      <c r="BV515" s="2" t="e">
        <f>VLOOKUP(O515,GLAPS정리!$BH$2:$BI$94,2,0)</f>
        <v>#N/A</v>
      </c>
      <c r="BW515" s="2" t="str">
        <f>IF(OR(Z515="동원",Z515="세방",Z515="한타"),"",IFERROR(INDEX(GLAPS정리!$BI$2:$BI$101,MATCH(Z515,GLAPS정리!$BH$2:$BH$101,0)),""))</f>
        <v/>
      </c>
      <c r="BX515" s="2" t="str">
        <f>IF(Z515="","",IFERROR(VLOOKUP(Z515,GLAPS정리!$AX$2:$AZ$17,3,0),""))</f>
        <v/>
      </c>
      <c r="BZ515" s="2" t="e">
        <f>VLOOKUP(H515,GLAPS정리!$L$3:$O$133,2,0)</f>
        <v>#N/A</v>
      </c>
      <c r="CA515" s="2" t="str">
        <f t="shared" si="130"/>
        <v/>
      </c>
      <c r="CL515" s="2" t="e">
        <f>VLOOKUP(AI515,GLAPS정리!$BT$3:$BV$26,3,0)</f>
        <v>#N/A</v>
      </c>
    </row>
    <row r="516" spans="2:90" ht="20.45" customHeight="1">
      <c r="B516" s="13"/>
      <c r="G516" s="3"/>
      <c r="J516" s="3"/>
      <c r="Q516" s="3" t="str">
        <f t="shared" si="118"/>
        <v/>
      </c>
      <c r="R516" s="3" t="str">
        <f t="shared" si="119"/>
        <v/>
      </c>
      <c r="S516" s="3" t="str">
        <f t="shared" si="120"/>
        <v/>
      </c>
      <c r="X516" s="13"/>
      <c r="Y516" s="13"/>
      <c r="Z516" s="91"/>
      <c r="AC516" s="2">
        <f t="shared" si="121"/>
        <v>20</v>
      </c>
      <c r="AD516" s="2" t="str">
        <f>IFERROR(INDEX(GLAPS정리!$D$2:$D$50,MATCH(I516,GLAPS정리!$A$2:$A$50,0)),IFERROR(INDEX(GLAPS정리!$D$2:$D$50,MATCH(I516,GLAPS정리!$B$2:$B$50,0)),""))</f>
        <v/>
      </c>
      <c r="AF516" s="2" t="str">
        <f t="shared" si="122"/>
        <v>KR10</v>
      </c>
      <c r="AI516" s="2" t="e">
        <f>VLOOKUP(F516,GLAPS정리!$G$3:$J$114,2,0)</f>
        <v>#N/A</v>
      </c>
      <c r="AJ516" s="2" t="e">
        <f>IF(Z516="울산정일","KRONS",IF(Z516="울산신항","KRUSN",IF(OR(Z516="선광종합물류(인천여객)",Z516="인천여객(인천여객)"),"KRINF",IF(OR(Z516="선광인천보세(인천신)",Z516="한진인천(인천신)",Z516="선광인천신항(인천신)",Z516="인천더로지스(인천신)"),"KRINN",IF(OR(Z516="인천진아(인천항)",Z516="인천E1(인천항)",Z516="인천SM경인터미널(인천항)",Z516="인천항(인천항)",Z516="인천우련(인천항)",Z516="인천항8부두(인천항)"),"KRINC",VLOOKUP(K516,GLAPS정리!$BB$2:$BC$33,2,0))))))</f>
        <v>#N/A</v>
      </c>
      <c r="AL516" s="2">
        <f t="shared" si="123"/>
        <v>5010001</v>
      </c>
      <c r="AN516" s="70" t="str">
        <f t="shared" si="124"/>
        <v>1900-01-00</v>
      </c>
      <c r="AO516" s="2" t="str">
        <f t="shared" si="125"/>
        <v/>
      </c>
      <c r="AP516" s="2" t="e">
        <f>VLOOKUP(C516,GLAPS정리!$AX$2:$AZ$17,3,0)</f>
        <v>#N/A</v>
      </c>
      <c r="AR516" s="2">
        <f t="shared" si="131"/>
        <v>0</v>
      </c>
      <c r="AX516" s="2" t="e">
        <f>VLOOKUP(L516,GLAPS정리!$V$3:$W$180,2,0)</f>
        <v>#N/A</v>
      </c>
      <c r="BM516" s="2" t="str">
        <f t="shared" si="126"/>
        <v xml:space="preserve"> </v>
      </c>
      <c r="BN516" s="2">
        <f t="shared" si="127"/>
        <v>1</v>
      </c>
      <c r="BR516" s="2" t="str">
        <f t="shared" si="128"/>
        <v/>
      </c>
      <c r="BS516" s="2" t="str">
        <f t="shared" si="129"/>
        <v/>
      </c>
      <c r="BV516" s="2" t="e">
        <f>VLOOKUP(O516,GLAPS정리!$BH$2:$BI$94,2,0)</f>
        <v>#N/A</v>
      </c>
      <c r="BW516" s="2" t="str">
        <f>IF(OR(Z516="동원",Z516="세방",Z516="한타"),"",IFERROR(INDEX(GLAPS정리!$BI$2:$BI$101,MATCH(Z516,GLAPS정리!$BH$2:$BH$101,0)),""))</f>
        <v/>
      </c>
      <c r="BX516" s="2" t="str">
        <f>IF(Z516="","",IFERROR(VLOOKUP(Z516,GLAPS정리!$AX$2:$AZ$17,3,0),""))</f>
        <v/>
      </c>
      <c r="BZ516" s="2" t="e">
        <f>VLOOKUP(H516,GLAPS정리!$L$3:$O$133,2,0)</f>
        <v>#N/A</v>
      </c>
      <c r="CA516" s="2" t="str">
        <f t="shared" si="130"/>
        <v/>
      </c>
      <c r="CL516" s="2" t="e">
        <f>VLOOKUP(AI516,GLAPS정리!$BT$3:$BV$26,3,0)</f>
        <v>#N/A</v>
      </c>
    </row>
    <row r="517" spans="2:90" ht="20.45" customHeight="1">
      <c r="B517" s="13"/>
      <c r="G517" s="3"/>
      <c r="J517" s="3"/>
      <c r="Q517" s="3" t="str">
        <f t="shared" si="118"/>
        <v/>
      </c>
      <c r="R517" s="3" t="str">
        <f t="shared" si="119"/>
        <v/>
      </c>
      <c r="S517" s="3" t="str">
        <f t="shared" si="120"/>
        <v/>
      </c>
      <c r="X517" s="13"/>
      <c r="Y517" s="13"/>
      <c r="Z517" s="91"/>
      <c r="AC517" s="2">
        <f t="shared" si="121"/>
        <v>20</v>
      </c>
      <c r="AD517" s="2" t="str">
        <f>IFERROR(INDEX(GLAPS정리!$D$2:$D$50,MATCH(I517,GLAPS정리!$A$2:$A$50,0)),IFERROR(INDEX(GLAPS정리!$D$2:$D$50,MATCH(I517,GLAPS정리!$B$2:$B$50,0)),""))</f>
        <v/>
      </c>
      <c r="AF517" s="2" t="str">
        <f t="shared" si="122"/>
        <v>KR10</v>
      </c>
      <c r="AI517" s="2" t="e">
        <f>VLOOKUP(F517,GLAPS정리!$G$3:$J$114,2,0)</f>
        <v>#N/A</v>
      </c>
      <c r="AJ517" s="2" t="e">
        <f>IF(Z517="울산정일","KRONS",IF(Z517="울산신항","KRUSN",IF(OR(Z517="선광종합물류(인천여객)",Z517="인천여객(인천여객)"),"KRINF",IF(OR(Z517="선광인천보세(인천신)",Z517="한진인천(인천신)",Z517="선광인천신항(인천신)",Z517="인천더로지스(인천신)"),"KRINN",IF(OR(Z517="인천진아(인천항)",Z517="인천E1(인천항)",Z517="인천SM경인터미널(인천항)",Z517="인천항(인천항)",Z517="인천우련(인천항)",Z517="인천항8부두(인천항)"),"KRINC",VLOOKUP(K517,GLAPS정리!$BB$2:$BC$33,2,0))))))</f>
        <v>#N/A</v>
      </c>
      <c r="AL517" s="2">
        <f t="shared" si="123"/>
        <v>5010001</v>
      </c>
      <c r="AN517" s="70" t="str">
        <f t="shared" si="124"/>
        <v>1900-01-00</v>
      </c>
      <c r="AO517" s="2" t="str">
        <f t="shared" si="125"/>
        <v/>
      </c>
      <c r="AP517" s="2" t="e">
        <f>VLOOKUP(C517,GLAPS정리!$AX$2:$AZ$17,3,0)</f>
        <v>#N/A</v>
      </c>
      <c r="AR517" s="2">
        <f t="shared" si="131"/>
        <v>0</v>
      </c>
      <c r="AX517" s="2" t="e">
        <f>VLOOKUP(L517,GLAPS정리!$V$3:$W$180,2,0)</f>
        <v>#N/A</v>
      </c>
      <c r="BM517" s="2" t="str">
        <f t="shared" si="126"/>
        <v xml:space="preserve"> </v>
      </c>
      <c r="BN517" s="2">
        <f t="shared" si="127"/>
        <v>1</v>
      </c>
      <c r="BR517" s="2" t="str">
        <f t="shared" si="128"/>
        <v/>
      </c>
      <c r="BS517" s="2" t="str">
        <f t="shared" si="129"/>
        <v/>
      </c>
      <c r="BV517" s="2" t="e">
        <f>VLOOKUP(O517,GLAPS정리!$BH$2:$BI$94,2,0)</f>
        <v>#N/A</v>
      </c>
      <c r="BW517" s="2" t="str">
        <f>IF(OR(Z517="동원",Z517="세방",Z517="한타"),"",IFERROR(INDEX(GLAPS정리!$BI$2:$BI$101,MATCH(Z517,GLAPS정리!$BH$2:$BH$101,0)),""))</f>
        <v/>
      </c>
      <c r="BX517" s="2" t="str">
        <f>IF(Z517="","",IFERROR(VLOOKUP(Z517,GLAPS정리!$AX$2:$AZ$17,3,0),""))</f>
        <v/>
      </c>
      <c r="BZ517" s="2" t="e">
        <f>VLOOKUP(H517,GLAPS정리!$L$3:$O$133,2,0)</f>
        <v>#N/A</v>
      </c>
      <c r="CA517" s="2" t="str">
        <f t="shared" si="130"/>
        <v/>
      </c>
      <c r="CL517" s="2" t="e">
        <f>VLOOKUP(AI517,GLAPS정리!$BT$3:$BV$26,3,0)</f>
        <v>#N/A</v>
      </c>
    </row>
    <row r="518" spans="2:90" ht="20.45" customHeight="1">
      <c r="B518" s="13"/>
      <c r="G518" s="3"/>
      <c r="J518" s="3"/>
      <c r="Q518" s="3" t="str">
        <f t="shared" si="118"/>
        <v/>
      </c>
      <c r="R518" s="3" t="str">
        <f t="shared" si="119"/>
        <v/>
      </c>
      <c r="S518" s="3" t="str">
        <f t="shared" si="120"/>
        <v/>
      </c>
      <c r="X518" s="13"/>
      <c r="Y518" s="13"/>
      <c r="Z518" s="91"/>
      <c r="AC518" s="2">
        <f t="shared" si="121"/>
        <v>20</v>
      </c>
      <c r="AD518" s="2" t="str">
        <f>IFERROR(INDEX(GLAPS정리!$D$2:$D$50,MATCH(I518,GLAPS정리!$A$2:$A$50,0)),IFERROR(INDEX(GLAPS정리!$D$2:$D$50,MATCH(I518,GLAPS정리!$B$2:$B$50,0)),""))</f>
        <v/>
      </c>
      <c r="AF518" s="2" t="str">
        <f t="shared" si="122"/>
        <v>KR10</v>
      </c>
      <c r="AI518" s="2" t="e">
        <f>VLOOKUP(F518,GLAPS정리!$G$3:$J$114,2,0)</f>
        <v>#N/A</v>
      </c>
      <c r="AJ518" s="2" t="e">
        <f>IF(Z518="울산정일","KRONS",IF(Z518="울산신항","KRUSN",IF(OR(Z518="선광종합물류(인천여객)",Z518="인천여객(인천여객)"),"KRINF",IF(OR(Z518="선광인천보세(인천신)",Z518="한진인천(인천신)",Z518="선광인천신항(인천신)",Z518="인천더로지스(인천신)"),"KRINN",IF(OR(Z518="인천진아(인천항)",Z518="인천E1(인천항)",Z518="인천SM경인터미널(인천항)",Z518="인천항(인천항)",Z518="인천우련(인천항)",Z518="인천항8부두(인천항)"),"KRINC",VLOOKUP(K518,GLAPS정리!$BB$2:$BC$33,2,0))))))</f>
        <v>#N/A</v>
      </c>
      <c r="AL518" s="2">
        <f t="shared" si="123"/>
        <v>5010001</v>
      </c>
      <c r="AN518" s="70" t="str">
        <f t="shared" si="124"/>
        <v>1900-01-00</v>
      </c>
      <c r="AO518" s="2" t="str">
        <f t="shared" si="125"/>
        <v/>
      </c>
      <c r="AP518" s="2" t="e">
        <f>VLOOKUP(C518,GLAPS정리!$AX$2:$AZ$17,3,0)</f>
        <v>#N/A</v>
      </c>
      <c r="AR518" s="2">
        <f t="shared" si="131"/>
        <v>0</v>
      </c>
      <c r="AX518" s="2" t="e">
        <f>VLOOKUP(L518,GLAPS정리!$V$3:$W$180,2,0)</f>
        <v>#N/A</v>
      </c>
      <c r="BM518" s="2" t="str">
        <f t="shared" si="126"/>
        <v xml:space="preserve"> </v>
      </c>
      <c r="BN518" s="2">
        <f t="shared" si="127"/>
        <v>1</v>
      </c>
      <c r="BR518" s="2" t="str">
        <f t="shared" si="128"/>
        <v/>
      </c>
      <c r="BS518" s="2" t="str">
        <f t="shared" si="129"/>
        <v/>
      </c>
      <c r="BV518" s="2" t="e">
        <f>VLOOKUP(O518,GLAPS정리!$BH$2:$BI$94,2,0)</f>
        <v>#N/A</v>
      </c>
      <c r="BW518" s="2" t="str">
        <f>IF(OR(Z518="동원",Z518="세방",Z518="한타"),"",IFERROR(INDEX(GLAPS정리!$BI$2:$BI$101,MATCH(Z518,GLAPS정리!$BH$2:$BH$101,0)),""))</f>
        <v/>
      </c>
      <c r="BX518" s="2" t="str">
        <f>IF(Z518="","",IFERROR(VLOOKUP(Z518,GLAPS정리!$AX$2:$AZ$17,3,0),""))</f>
        <v/>
      </c>
      <c r="BZ518" s="2" t="e">
        <f>VLOOKUP(H518,GLAPS정리!$L$3:$O$133,2,0)</f>
        <v>#N/A</v>
      </c>
      <c r="CA518" s="2" t="str">
        <f t="shared" si="130"/>
        <v/>
      </c>
      <c r="CL518" s="2" t="e">
        <f>VLOOKUP(AI518,GLAPS정리!$BT$3:$BV$26,3,0)</f>
        <v>#N/A</v>
      </c>
    </row>
    <row r="519" spans="2:90" ht="20.45" customHeight="1">
      <c r="B519" s="13"/>
      <c r="G519" s="3"/>
      <c r="J519" s="3"/>
      <c r="Q519" s="3" t="str">
        <f t="shared" si="118"/>
        <v/>
      </c>
      <c r="R519" s="3" t="str">
        <f t="shared" si="119"/>
        <v/>
      </c>
      <c r="S519" s="3" t="str">
        <f t="shared" si="120"/>
        <v/>
      </c>
      <c r="X519" s="13"/>
      <c r="Y519" s="13"/>
      <c r="Z519" s="91"/>
      <c r="AC519" s="2">
        <f t="shared" si="121"/>
        <v>20</v>
      </c>
      <c r="AD519" s="2" t="str">
        <f>IFERROR(INDEX(GLAPS정리!$D$2:$D$50,MATCH(I519,GLAPS정리!$A$2:$A$50,0)),IFERROR(INDEX(GLAPS정리!$D$2:$D$50,MATCH(I519,GLAPS정리!$B$2:$B$50,0)),""))</f>
        <v/>
      </c>
      <c r="AF519" s="2" t="str">
        <f t="shared" si="122"/>
        <v>KR10</v>
      </c>
      <c r="AI519" s="2" t="e">
        <f>VLOOKUP(F519,GLAPS정리!$G$3:$J$114,2,0)</f>
        <v>#N/A</v>
      </c>
      <c r="AJ519" s="2" t="e">
        <f>IF(Z519="울산정일","KRONS",IF(Z519="울산신항","KRUSN",IF(OR(Z519="선광종합물류(인천여객)",Z519="인천여객(인천여객)"),"KRINF",IF(OR(Z519="선광인천보세(인천신)",Z519="한진인천(인천신)",Z519="선광인천신항(인천신)",Z519="인천더로지스(인천신)"),"KRINN",IF(OR(Z519="인천진아(인천항)",Z519="인천E1(인천항)",Z519="인천SM경인터미널(인천항)",Z519="인천항(인천항)",Z519="인천우련(인천항)",Z519="인천항8부두(인천항)"),"KRINC",VLOOKUP(K519,GLAPS정리!$BB$2:$BC$33,2,0))))))</f>
        <v>#N/A</v>
      </c>
      <c r="AL519" s="2">
        <f t="shared" si="123"/>
        <v>5010001</v>
      </c>
      <c r="AN519" s="70" t="str">
        <f t="shared" si="124"/>
        <v>1900-01-00</v>
      </c>
      <c r="AO519" s="2" t="str">
        <f t="shared" si="125"/>
        <v/>
      </c>
      <c r="AP519" s="2" t="e">
        <f>VLOOKUP(C519,GLAPS정리!$AX$2:$AZ$17,3,0)</f>
        <v>#N/A</v>
      </c>
      <c r="AR519" s="2">
        <f t="shared" si="131"/>
        <v>0</v>
      </c>
      <c r="AX519" s="2" t="e">
        <f>VLOOKUP(L519,GLAPS정리!$V$3:$W$180,2,0)</f>
        <v>#N/A</v>
      </c>
      <c r="BM519" s="2" t="str">
        <f t="shared" si="126"/>
        <v xml:space="preserve"> </v>
      </c>
      <c r="BN519" s="2">
        <f t="shared" si="127"/>
        <v>1</v>
      </c>
      <c r="BR519" s="2" t="str">
        <f t="shared" si="128"/>
        <v/>
      </c>
      <c r="BS519" s="2" t="str">
        <f t="shared" si="129"/>
        <v/>
      </c>
      <c r="BV519" s="2" t="e">
        <f>VLOOKUP(O519,GLAPS정리!$BH$2:$BI$94,2,0)</f>
        <v>#N/A</v>
      </c>
      <c r="BW519" s="2" t="str">
        <f>IF(OR(Z519="동원",Z519="세방",Z519="한타"),"",IFERROR(INDEX(GLAPS정리!$BI$2:$BI$101,MATCH(Z519,GLAPS정리!$BH$2:$BH$101,0)),""))</f>
        <v/>
      </c>
      <c r="BX519" s="2" t="str">
        <f>IF(Z519="","",IFERROR(VLOOKUP(Z519,GLAPS정리!$AX$2:$AZ$17,3,0),""))</f>
        <v/>
      </c>
      <c r="BZ519" s="2" t="e">
        <f>VLOOKUP(H519,GLAPS정리!$L$3:$O$133,2,0)</f>
        <v>#N/A</v>
      </c>
      <c r="CA519" s="2" t="str">
        <f t="shared" si="130"/>
        <v/>
      </c>
      <c r="CL519" s="2" t="e">
        <f>VLOOKUP(AI519,GLAPS정리!$BT$3:$BV$26,3,0)</f>
        <v>#N/A</v>
      </c>
    </row>
    <row r="520" spans="2:90" ht="20.45" customHeight="1">
      <c r="B520" s="13"/>
      <c r="G520" s="3"/>
      <c r="J520" s="3"/>
      <c r="Q520" s="3" t="str">
        <f t="shared" si="118"/>
        <v/>
      </c>
      <c r="R520" s="3" t="str">
        <f t="shared" si="119"/>
        <v/>
      </c>
      <c r="S520" s="3" t="str">
        <f t="shared" si="120"/>
        <v/>
      </c>
      <c r="X520" s="13"/>
      <c r="Y520" s="13"/>
      <c r="Z520" s="91"/>
      <c r="AC520" s="2">
        <f t="shared" si="121"/>
        <v>20</v>
      </c>
      <c r="AD520" s="2" t="str">
        <f>IFERROR(INDEX(GLAPS정리!$D$2:$D$50,MATCH(I520,GLAPS정리!$A$2:$A$50,0)),IFERROR(INDEX(GLAPS정리!$D$2:$D$50,MATCH(I520,GLAPS정리!$B$2:$B$50,0)),""))</f>
        <v/>
      </c>
      <c r="AF520" s="2" t="str">
        <f t="shared" si="122"/>
        <v>KR10</v>
      </c>
      <c r="AI520" s="2" t="e">
        <f>VLOOKUP(F520,GLAPS정리!$G$3:$J$114,2,0)</f>
        <v>#N/A</v>
      </c>
      <c r="AJ520" s="2" t="e">
        <f>IF(Z520="울산정일","KRONS",IF(Z520="울산신항","KRUSN",IF(OR(Z520="선광종합물류(인천여객)",Z520="인천여객(인천여객)"),"KRINF",IF(OR(Z520="선광인천보세(인천신)",Z520="한진인천(인천신)",Z520="선광인천신항(인천신)",Z520="인천더로지스(인천신)"),"KRINN",IF(OR(Z520="인천진아(인천항)",Z520="인천E1(인천항)",Z520="인천SM경인터미널(인천항)",Z520="인천항(인천항)",Z520="인천우련(인천항)",Z520="인천항8부두(인천항)"),"KRINC",VLOOKUP(K520,GLAPS정리!$BB$2:$BC$33,2,0))))))</f>
        <v>#N/A</v>
      </c>
      <c r="AL520" s="2">
        <f t="shared" si="123"/>
        <v>5010001</v>
      </c>
      <c r="AN520" s="70" t="str">
        <f t="shared" si="124"/>
        <v>1900-01-00</v>
      </c>
      <c r="AO520" s="2" t="str">
        <f t="shared" si="125"/>
        <v/>
      </c>
      <c r="AP520" s="2" t="e">
        <f>VLOOKUP(C520,GLAPS정리!$AX$2:$AZ$17,3,0)</f>
        <v>#N/A</v>
      </c>
      <c r="AR520" s="2">
        <f t="shared" si="131"/>
        <v>0</v>
      </c>
      <c r="AX520" s="2" t="e">
        <f>VLOOKUP(L520,GLAPS정리!$V$3:$W$180,2,0)</f>
        <v>#N/A</v>
      </c>
      <c r="BM520" s="2" t="str">
        <f t="shared" si="126"/>
        <v xml:space="preserve"> </v>
      </c>
      <c r="BN520" s="2">
        <f t="shared" si="127"/>
        <v>1</v>
      </c>
      <c r="BR520" s="2" t="str">
        <f t="shared" si="128"/>
        <v/>
      </c>
      <c r="BS520" s="2" t="str">
        <f t="shared" si="129"/>
        <v/>
      </c>
      <c r="BV520" s="2" t="e">
        <f>VLOOKUP(O520,GLAPS정리!$BH$2:$BI$94,2,0)</f>
        <v>#N/A</v>
      </c>
      <c r="BW520" s="2" t="str">
        <f>IF(OR(Z520="동원",Z520="세방",Z520="한타"),"",IFERROR(INDEX(GLAPS정리!$BI$2:$BI$101,MATCH(Z520,GLAPS정리!$BH$2:$BH$101,0)),""))</f>
        <v/>
      </c>
      <c r="BX520" s="2" t="str">
        <f>IF(Z520="","",IFERROR(VLOOKUP(Z520,GLAPS정리!$AX$2:$AZ$17,3,0),""))</f>
        <v/>
      </c>
      <c r="BZ520" s="2" t="e">
        <f>VLOOKUP(H520,GLAPS정리!$L$3:$O$133,2,0)</f>
        <v>#N/A</v>
      </c>
      <c r="CA520" s="2" t="str">
        <f t="shared" si="130"/>
        <v/>
      </c>
      <c r="CL520" s="2" t="e">
        <f>VLOOKUP(AI520,GLAPS정리!$BT$3:$BV$26,3,0)</f>
        <v>#N/A</v>
      </c>
    </row>
    <row r="521" spans="2:90" ht="20.45" customHeight="1">
      <c r="B521" s="13"/>
      <c r="G521" s="3"/>
      <c r="J521" s="3"/>
      <c r="Q521" s="3" t="str">
        <f t="shared" si="118"/>
        <v/>
      </c>
      <c r="R521" s="3" t="str">
        <f t="shared" si="119"/>
        <v/>
      </c>
      <c r="S521" s="3" t="str">
        <f t="shared" si="120"/>
        <v/>
      </c>
      <c r="X521" s="13"/>
      <c r="Y521" s="13"/>
      <c r="Z521" s="91"/>
      <c r="AC521" s="2">
        <f t="shared" si="121"/>
        <v>20</v>
      </c>
      <c r="AD521" s="2" t="str">
        <f>IFERROR(INDEX(GLAPS정리!$D$2:$D$50,MATCH(I521,GLAPS정리!$A$2:$A$50,0)),IFERROR(INDEX(GLAPS정리!$D$2:$D$50,MATCH(I521,GLAPS정리!$B$2:$B$50,0)),""))</f>
        <v/>
      </c>
      <c r="AF521" s="2" t="str">
        <f t="shared" si="122"/>
        <v>KR10</v>
      </c>
      <c r="AI521" s="2" t="e">
        <f>VLOOKUP(F521,GLAPS정리!$G$3:$J$114,2,0)</f>
        <v>#N/A</v>
      </c>
      <c r="AJ521" s="2" t="e">
        <f>IF(Z521="울산정일","KRONS",IF(Z521="울산신항","KRUSN",IF(OR(Z521="선광종합물류(인천여객)",Z521="인천여객(인천여객)"),"KRINF",IF(OR(Z521="선광인천보세(인천신)",Z521="한진인천(인천신)",Z521="선광인천신항(인천신)",Z521="인천더로지스(인천신)"),"KRINN",IF(OR(Z521="인천진아(인천항)",Z521="인천E1(인천항)",Z521="인천SM경인터미널(인천항)",Z521="인천항(인천항)",Z521="인천우련(인천항)",Z521="인천항8부두(인천항)"),"KRINC",VLOOKUP(K521,GLAPS정리!$BB$2:$BC$33,2,0))))))</f>
        <v>#N/A</v>
      </c>
      <c r="AL521" s="2">
        <f t="shared" si="123"/>
        <v>5010001</v>
      </c>
      <c r="AN521" s="70" t="str">
        <f t="shared" si="124"/>
        <v>1900-01-00</v>
      </c>
      <c r="AO521" s="2" t="str">
        <f t="shared" si="125"/>
        <v/>
      </c>
      <c r="AP521" s="2" t="e">
        <f>VLOOKUP(C521,GLAPS정리!$AX$2:$AZ$17,3,0)</f>
        <v>#N/A</v>
      </c>
      <c r="AR521" s="2">
        <f t="shared" si="131"/>
        <v>0</v>
      </c>
      <c r="AX521" s="2" t="e">
        <f>VLOOKUP(L521,GLAPS정리!$V$3:$W$180,2,0)</f>
        <v>#N/A</v>
      </c>
      <c r="BM521" s="2" t="str">
        <f t="shared" si="126"/>
        <v xml:space="preserve"> </v>
      </c>
      <c r="BN521" s="2">
        <f t="shared" si="127"/>
        <v>1</v>
      </c>
      <c r="BR521" s="2" t="str">
        <f t="shared" si="128"/>
        <v/>
      </c>
      <c r="BS521" s="2" t="str">
        <f t="shared" si="129"/>
        <v/>
      </c>
      <c r="BV521" s="2" t="e">
        <f>VLOOKUP(O521,GLAPS정리!$BH$2:$BI$94,2,0)</f>
        <v>#N/A</v>
      </c>
      <c r="BW521" s="2" t="str">
        <f>IF(OR(Z521="동원",Z521="세방",Z521="한타"),"",IFERROR(INDEX(GLAPS정리!$BI$2:$BI$101,MATCH(Z521,GLAPS정리!$BH$2:$BH$101,0)),""))</f>
        <v/>
      </c>
      <c r="BX521" s="2" t="str">
        <f>IF(Z521="","",IFERROR(VLOOKUP(Z521,GLAPS정리!$AX$2:$AZ$17,3,0),""))</f>
        <v/>
      </c>
      <c r="BZ521" s="2" t="e">
        <f>VLOOKUP(H521,GLAPS정리!$L$3:$O$133,2,0)</f>
        <v>#N/A</v>
      </c>
      <c r="CA521" s="2" t="str">
        <f t="shared" si="130"/>
        <v/>
      </c>
      <c r="CL521" s="2" t="e">
        <f>VLOOKUP(AI521,GLAPS정리!$BT$3:$BV$26,3,0)</f>
        <v>#N/A</v>
      </c>
    </row>
    <row r="522" spans="2:90" ht="20.45" customHeight="1">
      <c r="B522" s="13"/>
      <c r="G522" s="3"/>
      <c r="J522" s="3"/>
      <c r="Q522" s="3" t="str">
        <f t="shared" si="118"/>
        <v/>
      </c>
      <c r="R522" s="3" t="str">
        <f t="shared" si="119"/>
        <v/>
      </c>
      <c r="S522" s="3" t="str">
        <f t="shared" si="120"/>
        <v/>
      </c>
      <c r="X522" s="13"/>
      <c r="Y522" s="13"/>
      <c r="Z522" s="91"/>
      <c r="AC522" s="2">
        <f t="shared" si="121"/>
        <v>20</v>
      </c>
      <c r="AD522" s="2" t="str">
        <f>IFERROR(INDEX(GLAPS정리!$D$2:$D$50,MATCH(I522,GLAPS정리!$A$2:$A$50,0)),IFERROR(INDEX(GLAPS정리!$D$2:$D$50,MATCH(I522,GLAPS정리!$B$2:$B$50,0)),""))</f>
        <v/>
      </c>
      <c r="AF522" s="2" t="str">
        <f t="shared" si="122"/>
        <v>KR10</v>
      </c>
      <c r="AI522" s="2" t="e">
        <f>VLOOKUP(F522,GLAPS정리!$G$3:$J$114,2,0)</f>
        <v>#N/A</v>
      </c>
      <c r="AJ522" s="2" t="e">
        <f>IF(Z522="울산정일","KRONS",IF(Z522="울산신항","KRUSN",IF(OR(Z522="선광종합물류(인천여객)",Z522="인천여객(인천여객)"),"KRINF",IF(OR(Z522="선광인천보세(인천신)",Z522="한진인천(인천신)",Z522="선광인천신항(인천신)",Z522="인천더로지스(인천신)"),"KRINN",IF(OR(Z522="인천진아(인천항)",Z522="인천E1(인천항)",Z522="인천SM경인터미널(인천항)",Z522="인천항(인천항)",Z522="인천우련(인천항)",Z522="인천항8부두(인천항)"),"KRINC",VLOOKUP(K522,GLAPS정리!$BB$2:$BC$33,2,0))))))</f>
        <v>#N/A</v>
      </c>
      <c r="AL522" s="2">
        <f t="shared" si="123"/>
        <v>5010001</v>
      </c>
      <c r="AN522" s="70" t="str">
        <f t="shared" si="124"/>
        <v>1900-01-00</v>
      </c>
      <c r="AO522" s="2" t="str">
        <f t="shared" si="125"/>
        <v/>
      </c>
      <c r="AP522" s="2" t="e">
        <f>VLOOKUP(C522,GLAPS정리!$AX$2:$AZ$17,3,0)</f>
        <v>#N/A</v>
      </c>
      <c r="AR522" s="2">
        <f t="shared" si="131"/>
        <v>0</v>
      </c>
      <c r="AX522" s="2" t="e">
        <f>VLOOKUP(L522,GLAPS정리!$V$3:$W$180,2,0)</f>
        <v>#N/A</v>
      </c>
      <c r="BM522" s="2" t="str">
        <f t="shared" si="126"/>
        <v xml:space="preserve"> </v>
      </c>
      <c r="BN522" s="2">
        <f t="shared" si="127"/>
        <v>1</v>
      </c>
      <c r="BR522" s="2" t="str">
        <f t="shared" si="128"/>
        <v/>
      </c>
      <c r="BS522" s="2" t="str">
        <f t="shared" si="129"/>
        <v/>
      </c>
      <c r="BV522" s="2" t="e">
        <f>VLOOKUP(O522,GLAPS정리!$BH$2:$BI$94,2,0)</f>
        <v>#N/A</v>
      </c>
      <c r="BW522" s="2" t="str">
        <f>IF(OR(Z522="동원",Z522="세방",Z522="한타"),"",IFERROR(INDEX(GLAPS정리!$BI$2:$BI$101,MATCH(Z522,GLAPS정리!$BH$2:$BH$101,0)),""))</f>
        <v/>
      </c>
      <c r="BX522" s="2" t="str">
        <f>IF(Z522="","",IFERROR(VLOOKUP(Z522,GLAPS정리!$AX$2:$AZ$17,3,0),""))</f>
        <v/>
      </c>
      <c r="BZ522" s="2" t="e">
        <f>VLOOKUP(H522,GLAPS정리!$L$3:$O$133,2,0)</f>
        <v>#N/A</v>
      </c>
      <c r="CA522" s="2" t="str">
        <f t="shared" si="130"/>
        <v/>
      </c>
      <c r="CL522" s="2" t="e">
        <f>VLOOKUP(AI522,GLAPS정리!$BT$3:$BV$26,3,0)</f>
        <v>#N/A</v>
      </c>
    </row>
    <row r="523" spans="2:90" ht="20.45" customHeight="1">
      <c r="B523" s="13"/>
      <c r="G523" s="3"/>
      <c r="J523" s="3"/>
      <c r="Q523" s="3" t="str">
        <f t="shared" si="118"/>
        <v/>
      </c>
      <c r="R523" s="3" t="str">
        <f t="shared" si="119"/>
        <v/>
      </c>
      <c r="S523" s="3" t="str">
        <f t="shared" si="120"/>
        <v/>
      </c>
      <c r="X523" s="13"/>
      <c r="Y523" s="13"/>
      <c r="Z523" s="91"/>
      <c r="AC523" s="2">
        <f t="shared" si="121"/>
        <v>20</v>
      </c>
      <c r="AD523" s="2" t="str">
        <f>IFERROR(INDEX(GLAPS정리!$D$2:$D$50,MATCH(I523,GLAPS정리!$A$2:$A$50,0)),IFERROR(INDEX(GLAPS정리!$D$2:$D$50,MATCH(I523,GLAPS정리!$B$2:$B$50,0)),""))</f>
        <v/>
      </c>
      <c r="AF523" s="2" t="str">
        <f t="shared" si="122"/>
        <v>KR10</v>
      </c>
      <c r="AI523" s="2" t="e">
        <f>VLOOKUP(F523,GLAPS정리!$G$3:$J$114,2,0)</f>
        <v>#N/A</v>
      </c>
      <c r="AJ523" s="2" t="e">
        <f>IF(Z523="울산정일","KRONS",IF(Z523="울산신항","KRUSN",IF(OR(Z523="선광종합물류(인천여객)",Z523="인천여객(인천여객)"),"KRINF",IF(OR(Z523="선광인천보세(인천신)",Z523="한진인천(인천신)",Z523="선광인천신항(인천신)",Z523="인천더로지스(인천신)"),"KRINN",IF(OR(Z523="인천진아(인천항)",Z523="인천E1(인천항)",Z523="인천SM경인터미널(인천항)",Z523="인천항(인천항)",Z523="인천우련(인천항)",Z523="인천항8부두(인천항)"),"KRINC",VLOOKUP(K523,GLAPS정리!$BB$2:$BC$33,2,0))))))</f>
        <v>#N/A</v>
      </c>
      <c r="AL523" s="2">
        <f t="shared" si="123"/>
        <v>5010001</v>
      </c>
      <c r="AN523" s="70" t="str">
        <f t="shared" si="124"/>
        <v>1900-01-00</v>
      </c>
      <c r="AO523" s="2" t="str">
        <f t="shared" si="125"/>
        <v/>
      </c>
      <c r="AP523" s="2" t="e">
        <f>VLOOKUP(C523,GLAPS정리!$AX$2:$AZ$17,3,0)</f>
        <v>#N/A</v>
      </c>
      <c r="AR523" s="2">
        <f t="shared" si="131"/>
        <v>0</v>
      </c>
      <c r="AX523" s="2" t="e">
        <f>VLOOKUP(L523,GLAPS정리!$V$3:$W$180,2,0)</f>
        <v>#N/A</v>
      </c>
      <c r="BM523" s="2" t="str">
        <f t="shared" si="126"/>
        <v xml:space="preserve"> </v>
      </c>
      <c r="BN523" s="2">
        <f t="shared" si="127"/>
        <v>1</v>
      </c>
      <c r="BR523" s="2" t="str">
        <f t="shared" si="128"/>
        <v/>
      </c>
      <c r="BS523" s="2" t="str">
        <f t="shared" si="129"/>
        <v/>
      </c>
      <c r="BV523" s="2" t="e">
        <f>VLOOKUP(O523,GLAPS정리!$BH$2:$BI$94,2,0)</f>
        <v>#N/A</v>
      </c>
      <c r="BW523" s="2" t="str">
        <f>IF(OR(Z523="동원",Z523="세방",Z523="한타"),"",IFERROR(INDEX(GLAPS정리!$BI$2:$BI$101,MATCH(Z523,GLAPS정리!$BH$2:$BH$101,0)),""))</f>
        <v/>
      </c>
      <c r="BX523" s="2" t="str">
        <f>IF(Z523="","",IFERROR(VLOOKUP(Z523,GLAPS정리!$AX$2:$AZ$17,3,0),""))</f>
        <v/>
      </c>
      <c r="BZ523" s="2" t="e">
        <f>VLOOKUP(H523,GLAPS정리!$L$3:$O$133,2,0)</f>
        <v>#N/A</v>
      </c>
      <c r="CA523" s="2" t="str">
        <f t="shared" si="130"/>
        <v/>
      </c>
      <c r="CL523" s="2" t="e">
        <f>VLOOKUP(AI523,GLAPS정리!$BT$3:$BV$26,3,0)</f>
        <v>#N/A</v>
      </c>
    </row>
    <row r="524" spans="2:90" ht="20.45" customHeight="1">
      <c r="B524" s="13"/>
      <c r="G524" s="3"/>
      <c r="J524" s="3"/>
      <c r="Q524" s="3" t="str">
        <f t="shared" si="118"/>
        <v/>
      </c>
      <c r="R524" s="3" t="str">
        <f t="shared" si="119"/>
        <v/>
      </c>
      <c r="S524" s="3" t="str">
        <f t="shared" si="120"/>
        <v/>
      </c>
      <c r="X524" s="13"/>
      <c r="Y524" s="13"/>
      <c r="Z524" s="91"/>
      <c r="AC524" s="2">
        <f t="shared" si="121"/>
        <v>20</v>
      </c>
      <c r="AD524" s="2" t="str">
        <f>IFERROR(INDEX(GLAPS정리!$D$2:$D$50,MATCH(I524,GLAPS정리!$A$2:$A$50,0)),IFERROR(INDEX(GLAPS정리!$D$2:$D$50,MATCH(I524,GLAPS정리!$B$2:$B$50,0)),""))</f>
        <v/>
      </c>
      <c r="AF524" s="2" t="str">
        <f t="shared" si="122"/>
        <v>KR10</v>
      </c>
      <c r="AI524" s="2" t="e">
        <f>VLOOKUP(F524,GLAPS정리!$G$3:$J$114,2,0)</f>
        <v>#N/A</v>
      </c>
      <c r="AJ524" s="2" t="e">
        <f>IF(Z524="울산정일","KRONS",IF(Z524="울산신항","KRUSN",IF(OR(Z524="선광종합물류(인천여객)",Z524="인천여객(인천여객)"),"KRINF",IF(OR(Z524="선광인천보세(인천신)",Z524="한진인천(인천신)",Z524="선광인천신항(인천신)",Z524="인천더로지스(인천신)"),"KRINN",IF(OR(Z524="인천진아(인천항)",Z524="인천E1(인천항)",Z524="인천SM경인터미널(인천항)",Z524="인천항(인천항)",Z524="인천우련(인천항)",Z524="인천항8부두(인천항)"),"KRINC",VLOOKUP(K524,GLAPS정리!$BB$2:$BC$33,2,0))))))</f>
        <v>#N/A</v>
      </c>
      <c r="AL524" s="2">
        <f t="shared" si="123"/>
        <v>5010001</v>
      </c>
      <c r="AN524" s="70" t="str">
        <f t="shared" si="124"/>
        <v>1900-01-00</v>
      </c>
      <c r="AO524" s="2" t="str">
        <f t="shared" si="125"/>
        <v/>
      </c>
      <c r="AP524" s="2" t="e">
        <f>VLOOKUP(C524,GLAPS정리!$AX$2:$AZ$17,3,0)</f>
        <v>#N/A</v>
      </c>
      <c r="AR524" s="2">
        <f t="shared" si="131"/>
        <v>0</v>
      </c>
      <c r="AX524" s="2" t="e">
        <f>VLOOKUP(L524,GLAPS정리!$V$3:$W$180,2,0)</f>
        <v>#N/A</v>
      </c>
      <c r="BM524" s="2" t="str">
        <f t="shared" si="126"/>
        <v xml:space="preserve"> </v>
      </c>
      <c r="BN524" s="2">
        <f t="shared" si="127"/>
        <v>1</v>
      </c>
      <c r="BR524" s="2" t="str">
        <f t="shared" si="128"/>
        <v/>
      </c>
      <c r="BS524" s="2" t="str">
        <f t="shared" si="129"/>
        <v/>
      </c>
      <c r="BV524" s="2" t="e">
        <f>VLOOKUP(O524,GLAPS정리!$BH$2:$BI$94,2,0)</f>
        <v>#N/A</v>
      </c>
      <c r="BW524" s="2" t="str">
        <f>IF(OR(Z524="동원",Z524="세방",Z524="한타"),"",IFERROR(INDEX(GLAPS정리!$BI$2:$BI$101,MATCH(Z524,GLAPS정리!$BH$2:$BH$101,0)),""))</f>
        <v/>
      </c>
      <c r="BX524" s="2" t="str">
        <f>IF(Z524="","",IFERROR(VLOOKUP(Z524,GLAPS정리!$AX$2:$AZ$17,3,0),""))</f>
        <v/>
      </c>
      <c r="BZ524" s="2" t="e">
        <f>VLOOKUP(H524,GLAPS정리!$L$3:$O$133,2,0)</f>
        <v>#N/A</v>
      </c>
      <c r="CA524" s="2" t="str">
        <f t="shared" si="130"/>
        <v/>
      </c>
      <c r="CL524" s="2" t="e">
        <f>VLOOKUP(AI524,GLAPS정리!$BT$3:$BV$26,3,0)</f>
        <v>#N/A</v>
      </c>
    </row>
    <row r="525" spans="2:90" ht="20.45" customHeight="1">
      <c r="B525" s="13"/>
      <c r="G525" s="3"/>
      <c r="J525" s="3"/>
      <c r="Q525" s="3" t="str">
        <f t="shared" si="118"/>
        <v/>
      </c>
      <c r="R525" s="3" t="str">
        <f t="shared" si="119"/>
        <v/>
      </c>
      <c r="S525" s="3" t="str">
        <f t="shared" si="120"/>
        <v/>
      </c>
      <c r="X525" s="13"/>
      <c r="Y525" s="13"/>
      <c r="Z525" s="91"/>
      <c r="AC525" s="2">
        <f t="shared" si="121"/>
        <v>20</v>
      </c>
      <c r="AD525" s="2" t="str">
        <f>IFERROR(INDEX(GLAPS정리!$D$2:$D$50,MATCH(I525,GLAPS정리!$A$2:$A$50,0)),IFERROR(INDEX(GLAPS정리!$D$2:$D$50,MATCH(I525,GLAPS정리!$B$2:$B$50,0)),""))</f>
        <v/>
      </c>
      <c r="AF525" s="2" t="str">
        <f t="shared" si="122"/>
        <v>KR10</v>
      </c>
      <c r="AI525" s="2" t="e">
        <f>VLOOKUP(F525,GLAPS정리!$G$3:$J$114,2,0)</f>
        <v>#N/A</v>
      </c>
      <c r="AJ525" s="2" t="e">
        <f>IF(Z525="울산정일","KRONS",IF(Z525="울산신항","KRUSN",IF(OR(Z525="선광종합물류(인천여객)",Z525="인천여객(인천여객)"),"KRINF",IF(OR(Z525="선광인천보세(인천신)",Z525="한진인천(인천신)",Z525="선광인천신항(인천신)",Z525="인천더로지스(인천신)"),"KRINN",IF(OR(Z525="인천진아(인천항)",Z525="인천E1(인천항)",Z525="인천SM경인터미널(인천항)",Z525="인천항(인천항)",Z525="인천우련(인천항)",Z525="인천항8부두(인천항)"),"KRINC",VLOOKUP(K525,GLAPS정리!$BB$2:$BC$33,2,0))))))</f>
        <v>#N/A</v>
      </c>
      <c r="AL525" s="2">
        <f t="shared" si="123"/>
        <v>5010001</v>
      </c>
      <c r="AN525" s="70" t="str">
        <f t="shared" si="124"/>
        <v>1900-01-00</v>
      </c>
      <c r="AO525" s="2" t="str">
        <f t="shared" si="125"/>
        <v/>
      </c>
      <c r="AP525" s="2" t="e">
        <f>VLOOKUP(C525,GLAPS정리!$AX$2:$AZ$17,3,0)</f>
        <v>#N/A</v>
      </c>
      <c r="AR525" s="2">
        <f t="shared" si="131"/>
        <v>0</v>
      </c>
      <c r="AX525" s="2" t="e">
        <f>VLOOKUP(L525,GLAPS정리!$V$3:$W$180,2,0)</f>
        <v>#N/A</v>
      </c>
      <c r="BM525" s="2" t="str">
        <f t="shared" si="126"/>
        <v xml:space="preserve"> </v>
      </c>
      <c r="BN525" s="2">
        <f t="shared" si="127"/>
        <v>1</v>
      </c>
      <c r="BR525" s="2" t="str">
        <f t="shared" si="128"/>
        <v/>
      </c>
      <c r="BS525" s="2" t="str">
        <f t="shared" si="129"/>
        <v/>
      </c>
      <c r="BV525" s="2" t="e">
        <f>VLOOKUP(O525,GLAPS정리!$BH$2:$BI$94,2,0)</f>
        <v>#N/A</v>
      </c>
      <c r="BW525" s="2" t="str">
        <f>IF(OR(Z525="동원",Z525="세방",Z525="한타"),"",IFERROR(INDEX(GLAPS정리!$BI$2:$BI$101,MATCH(Z525,GLAPS정리!$BH$2:$BH$101,0)),""))</f>
        <v/>
      </c>
      <c r="BX525" s="2" t="str">
        <f>IF(Z525="","",IFERROR(VLOOKUP(Z525,GLAPS정리!$AX$2:$AZ$17,3,0),""))</f>
        <v/>
      </c>
      <c r="BZ525" s="2" t="e">
        <f>VLOOKUP(H525,GLAPS정리!$L$3:$O$133,2,0)</f>
        <v>#N/A</v>
      </c>
      <c r="CA525" s="2" t="str">
        <f t="shared" si="130"/>
        <v/>
      </c>
      <c r="CL525" s="2" t="e">
        <f>VLOOKUP(AI525,GLAPS정리!$BT$3:$BV$26,3,0)</f>
        <v>#N/A</v>
      </c>
    </row>
    <row r="526" spans="2:90" ht="20.45" customHeight="1">
      <c r="B526" s="13"/>
      <c r="G526" s="3"/>
      <c r="J526" s="3"/>
      <c r="Q526" s="3" t="str">
        <f t="shared" si="118"/>
        <v/>
      </c>
      <c r="R526" s="3" t="str">
        <f t="shared" si="119"/>
        <v/>
      </c>
      <c r="S526" s="3" t="str">
        <f t="shared" si="120"/>
        <v/>
      </c>
      <c r="X526" s="13"/>
      <c r="Y526" s="13"/>
      <c r="Z526" s="91"/>
      <c r="AC526" s="2">
        <f t="shared" si="121"/>
        <v>20</v>
      </c>
      <c r="AD526" s="2" t="str">
        <f>IFERROR(INDEX(GLAPS정리!$D$2:$D$50,MATCH(I526,GLAPS정리!$A$2:$A$50,0)),IFERROR(INDEX(GLAPS정리!$D$2:$D$50,MATCH(I526,GLAPS정리!$B$2:$B$50,0)),""))</f>
        <v/>
      </c>
      <c r="AF526" s="2" t="str">
        <f t="shared" si="122"/>
        <v>KR10</v>
      </c>
      <c r="AI526" s="2" t="e">
        <f>VLOOKUP(F526,GLAPS정리!$G$3:$J$114,2,0)</f>
        <v>#N/A</v>
      </c>
      <c r="AJ526" s="2" t="e">
        <f>IF(Z526="울산정일","KRONS",IF(Z526="울산신항","KRUSN",IF(OR(Z526="선광종합물류(인천여객)",Z526="인천여객(인천여객)"),"KRINF",IF(OR(Z526="선광인천보세(인천신)",Z526="한진인천(인천신)",Z526="선광인천신항(인천신)",Z526="인천더로지스(인천신)"),"KRINN",IF(OR(Z526="인천진아(인천항)",Z526="인천E1(인천항)",Z526="인천SM경인터미널(인천항)",Z526="인천항(인천항)",Z526="인천우련(인천항)",Z526="인천항8부두(인천항)"),"KRINC",VLOOKUP(K526,GLAPS정리!$BB$2:$BC$33,2,0))))))</f>
        <v>#N/A</v>
      </c>
      <c r="AL526" s="2">
        <f t="shared" si="123"/>
        <v>5010001</v>
      </c>
      <c r="AN526" s="70" t="str">
        <f t="shared" si="124"/>
        <v>1900-01-00</v>
      </c>
      <c r="AO526" s="2" t="str">
        <f t="shared" si="125"/>
        <v/>
      </c>
      <c r="AP526" s="2" t="e">
        <f>VLOOKUP(C526,GLAPS정리!$AX$2:$AZ$17,3,0)</f>
        <v>#N/A</v>
      </c>
      <c r="AR526" s="2">
        <f t="shared" si="131"/>
        <v>0</v>
      </c>
      <c r="AX526" s="2" t="e">
        <f>VLOOKUP(L526,GLAPS정리!$V$3:$W$180,2,0)</f>
        <v>#N/A</v>
      </c>
      <c r="BM526" s="2" t="str">
        <f t="shared" si="126"/>
        <v xml:space="preserve"> </v>
      </c>
      <c r="BN526" s="2">
        <f t="shared" si="127"/>
        <v>1</v>
      </c>
      <c r="BR526" s="2" t="str">
        <f t="shared" si="128"/>
        <v/>
      </c>
      <c r="BS526" s="2" t="str">
        <f t="shared" si="129"/>
        <v/>
      </c>
      <c r="BV526" s="2" t="e">
        <f>VLOOKUP(O526,GLAPS정리!$BH$2:$BI$94,2,0)</f>
        <v>#N/A</v>
      </c>
      <c r="BW526" s="2" t="str">
        <f>IF(OR(Z526="동원",Z526="세방",Z526="한타"),"",IFERROR(INDEX(GLAPS정리!$BI$2:$BI$101,MATCH(Z526,GLAPS정리!$BH$2:$BH$101,0)),""))</f>
        <v/>
      </c>
      <c r="BX526" s="2" t="str">
        <f>IF(Z526="","",IFERROR(VLOOKUP(Z526,GLAPS정리!$AX$2:$AZ$17,3,0),""))</f>
        <v/>
      </c>
      <c r="BZ526" s="2" t="e">
        <f>VLOOKUP(H526,GLAPS정리!$L$3:$O$133,2,0)</f>
        <v>#N/A</v>
      </c>
      <c r="CA526" s="2" t="str">
        <f t="shared" si="130"/>
        <v/>
      </c>
      <c r="CL526" s="2" t="e">
        <f>VLOOKUP(AI526,GLAPS정리!$BT$3:$BV$26,3,0)</f>
        <v>#N/A</v>
      </c>
    </row>
    <row r="527" spans="2:90" ht="20.45" customHeight="1">
      <c r="B527" s="13"/>
      <c r="G527" s="3"/>
      <c r="J527" s="3"/>
      <c r="Q527" s="3" t="str">
        <f t="shared" si="118"/>
        <v/>
      </c>
      <c r="R527" s="3" t="str">
        <f t="shared" si="119"/>
        <v/>
      </c>
      <c r="S527" s="3" t="str">
        <f t="shared" si="120"/>
        <v/>
      </c>
      <c r="X527" s="13"/>
      <c r="Y527" s="13"/>
      <c r="Z527" s="91"/>
      <c r="AC527" s="2">
        <f t="shared" si="121"/>
        <v>20</v>
      </c>
      <c r="AD527" s="2" t="str">
        <f>IFERROR(INDEX(GLAPS정리!$D$2:$D$50,MATCH(I527,GLAPS정리!$A$2:$A$50,0)),IFERROR(INDEX(GLAPS정리!$D$2:$D$50,MATCH(I527,GLAPS정리!$B$2:$B$50,0)),""))</f>
        <v/>
      </c>
      <c r="AF527" s="2" t="str">
        <f t="shared" si="122"/>
        <v>KR10</v>
      </c>
      <c r="AI527" s="2" t="e">
        <f>VLOOKUP(F527,GLAPS정리!$G$3:$J$114,2,0)</f>
        <v>#N/A</v>
      </c>
      <c r="AJ527" s="2" t="e">
        <f>IF(Z527="울산정일","KRONS",IF(Z527="울산신항","KRUSN",IF(OR(Z527="선광종합물류(인천여객)",Z527="인천여객(인천여객)"),"KRINF",IF(OR(Z527="선광인천보세(인천신)",Z527="한진인천(인천신)",Z527="선광인천신항(인천신)",Z527="인천더로지스(인천신)"),"KRINN",IF(OR(Z527="인천진아(인천항)",Z527="인천E1(인천항)",Z527="인천SM경인터미널(인천항)",Z527="인천항(인천항)",Z527="인천우련(인천항)",Z527="인천항8부두(인천항)"),"KRINC",VLOOKUP(K527,GLAPS정리!$BB$2:$BC$33,2,0))))))</f>
        <v>#N/A</v>
      </c>
      <c r="AL527" s="2">
        <f t="shared" si="123"/>
        <v>5010001</v>
      </c>
      <c r="AN527" s="70" t="str">
        <f t="shared" si="124"/>
        <v>1900-01-00</v>
      </c>
      <c r="AO527" s="2" t="str">
        <f t="shared" si="125"/>
        <v/>
      </c>
      <c r="AP527" s="2" t="e">
        <f>VLOOKUP(C527,GLAPS정리!$AX$2:$AZ$17,3,0)</f>
        <v>#N/A</v>
      </c>
      <c r="AR527" s="2">
        <f t="shared" si="131"/>
        <v>0</v>
      </c>
      <c r="AX527" s="2" t="e">
        <f>VLOOKUP(L527,GLAPS정리!$V$3:$W$180,2,0)</f>
        <v>#N/A</v>
      </c>
      <c r="BM527" s="2" t="str">
        <f t="shared" si="126"/>
        <v xml:space="preserve"> </v>
      </c>
      <c r="BN527" s="2">
        <f t="shared" si="127"/>
        <v>1</v>
      </c>
      <c r="BR527" s="2" t="str">
        <f t="shared" si="128"/>
        <v/>
      </c>
      <c r="BS527" s="2" t="str">
        <f t="shared" si="129"/>
        <v/>
      </c>
      <c r="BV527" s="2" t="e">
        <f>VLOOKUP(O527,GLAPS정리!$BH$2:$BI$94,2,0)</f>
        <v>#N/A</v>
      </c>
      <c r="BW527" s="2" t="str">
        <f>IF(OR(Z527="동원",Z527="세방",Z527="한타"),"",IFERROR(INDEX(GLAPS정리!$BI$2:$BI$101,MATCH(Z527,GLAPS정리!$BH$2:$BH$101,0)),""))</f>
        <v/>
      </c>
      <c r="BX527" s="2" t="str">
        <f>IF(Z527="","",IFERROR(VLOOKUP(Z527,GLAPS정리!$AX$2:$AZ$17,3,0),""))</f>
        <v/>
      </c>
      <c r="BZ527" s="2" t="e">
        <f>VLOOKUP(H527,GLAPS정리!$L$3:$O$133,2,0)</f>
        <v>#N/A</v>
      </c>
      <c r="CA527" s="2" t="str">
        <f t="shared" si="130"/>
        <v/>
      </c>
      <c r="CL527" s="2" t="e">
        <f>VLOOKUP(AI527,GLAPS정리!$BT$3:$BV$26,3,0)</f>
        <v>#N/A</v>
      </c>
    </row>
    <row r="528" spans="2:90" ht="20.45" customHeight="1">
      <c r="B528" s="13"/>
      <c r="G528" s="3"/>
      <c r="J528" s="3"/>
      <c r="Q528" s="3" t="str">
        <f t="shared" si="118"/>
        <v/>
      </c>
      <c r="R528" s="3" t="str">
        <f t="shared" si="119"/>
        <v/>
      </c>
      <c r="S528" s="3" t="str">
        <f t="shared" si="120"/>
        <v/>
      </c>
      <c r="X528" s="13"/>
      <c r="Y528" s="13"/>
      <c r="Z528" s="91"/>
      <c r="AC528" s="2">
        <f t="shared" si="121"/>
        <v>20</v>
      </c>
      <c r="AD528" s="2" t="str">
        <f>IFERROR(INDEX(GLAPS정리!$D$2:$D$50,MATCH(I528,GLAPS정리!$A$2:$A$50,0)),IFERROR(INDEX(GLAPS정리!$D$2:$D$50,MATCH(I528,GLAPS정리!$B$2:$B$50,0)),""))</f>
        <v/>
      </c>
      <c r="AF528" s="2" t="str">
        <f t="shared" si="122"/>
        <v>KR10</v>
      </c>
      <c r="AI528" s="2" t="e">
        <f>VLOOKUP(F528,GLAPS정리!$G$3:$J$114,2,0)</f>
        <v>#N/A</v>
      </c>
      <c r="AJ528" s="2" t="e">
        <f>IF(Z528="울산정일","KRONS",IF(Z528="울산신항","KRUSN",IF(OR(Z528="선광종합물류(인천여객)",Z528="인천여객(인천여객)"),"KRINF",IF(OR(Z528="선광인천보세(인천신)",Z528="한진인천(인천신)",Z528="선광인천신항(인천신)",Z528="인천더로지스(인천신)"),"KRINN",IF(OR(Z528="인천진아(인천항)",Z528="인천E1(인천항)",Z528="인천SM경인터미널(인천항)",Z528="인천항(인천항)",Z528="인천우련(인천항)",Z528="인천항8부두(인천항)"),"KRINC",VLOOKUP(K528,GLAPS정리!$BB$2:$BC$33,2,0))))))</f>
        <v>#N/A</v>
      </c>
      <c r="AL528" s="2">
        <f t="shared" si="123"/>
        <v>5010001</v>
      </c>
      <c r="AN528" s="70" t="str">
        <f t="shared" si="124"/>
        <v>1900-01-00</v>
      </c>
      <c r="AO528" s="2" t="str">
        <f t="shared" si="125"/>
        <v/>
      </c>
      <c r="AP528" s="2" t="e">
        <f>VLOOKUP(C528,GLAPS정리!$AX$2:$AZ$17,3,0)</f>
        <v>#N/A</v>
      </c>
      <c r="AR528" s="2">
        <f t="shared" si="131"/>
        <v>0</v>
      </c>
      <c r="AX528" s="2" t="e">
        <f>VLOOKUP(L528,GLAPS정리!$V$3:$W$180,2,0)</f>
        <v>#N/A</v>
      </c>
      <c r="BM528" s="2" t="str">
        <f t="shared" si="126"/>
        <v xml:space="preserve"> </v>
      </c>
      <c r="BN528" s="2">
        <f t="shared" si="127"/>
        <v>1</v>
      </c>
      <c r="BR528" s="2" t="str">
        <f t="shared" si="128"/>
        <v/>
      </c>
      <c r="BS528" s="2" t="str">
        <f t="shared" si="129"/>
        <v/>
      </c>
      <c r="BV528" s="2" t="e">
        <f>VLOOKUP(O528,GLAPS정리!$BH$2:$BI$94,2,0)</f>
        <v>#N/A</v>
      </c>
      <c r="BW528" s="2" t="str">
        <f>IF(OR(Z528="동원",Z528="세방",Z528="한타"),"",IFERROR(INDEX(GLAPS정리!$BI$2:$BI$101,MATCH(Z528,GLAPS정리!$BH$2:$BH$101,0)),""))</f>
        <v/>
      </c>
      <c r="BX528" s="2" t="str">
        <f>IF(Z528="","",IFERROR(VLOOKUP(Z528,GLAPS정리!$AX$2:$AZ$17,3,0),""))</f>
        <v/>
      </c>
      <c r="BZ528" s="2" t="e">
        <f>VLOOKUP(H528,GLAPS정리!$L$3:$O$133,2,0)</f>
        <v>#N/A</v>
      </c>
      <c r="CA528" s="2" t="str">
        <f t="shared" si="130"/>
        <v/>
      </c>
      <c r="CL528" s="2" t="e">
        <f>VLOOKUP(AI528,GLAPS정리!$BT$3:$BV$26,3,0)</f>
        <v>#N/A</v>
      </c>
    </row>
    <row r="529" spans="2:90" ht="20.45" customHeight="1">
      <c r="B529" s="13"/>
      <c r="G529" s="3"/>
      <c r="J529" s="3"/>
      <c r="Q529" s="3" t="str">
        <f t="shared" si="118"/>
        <v/>
      </c>
      <c r="R529" s="3" t="str">
        <f t="shared" si="119"/>
        <v/>
      </c>
      <c r="S529" s="3" t="str">
        <f t="shared" si="120"/>
        <v/>
      </c>
      <c r="X529" s="13"/>
      <c r="Y529" s="13"/>
      <c r="Z529" s="91"/>
      <c r="AC529" s="2">
        <f t="shared" si="121"/>
        <v>20</v>
      </c>
      <c r="AD529" s="2" t="str">
        <f>IFERROR(INDEX(GLAPS정리!$D$2:$D$50,MATCH(I529,GLAPS정리!$A$2:$A$50,0)),IFERROR(INDEX(GLAPS정리!$D$2:$D$50,MATCH(I529,GLAPS정리!$B$2:$B$50,0)),""))</f>
        <v/>
      </c>
      <c r="AF529" s="2" t="str">
        <f t="shared" si="122"/>
        <v>KR10</v>
      </c>
      <c r="AI529" s="2" t="e">
        <f>VLOOKUP(F529,GLAPS정리!$G$3:$J$114,2,0)</f>
        <v>#N/A</v>
      </c>
      <c r="AJ529" s="2" t="e">
        <f>IF(Z529="울산정일","KRONS",IF(Z529="울산신항","KRUSN",IF(OR(Z529="선광종합물류(인천여객)",Z529="인천여객(인천여객)"),"KRINF",IF(OR(Z529="선광인천보세(인천신)",Z529="한진인천(인천신)",Z529="선광인천신항(인천신)",Z529="인천더로지스(인천신)"),"KRINN",IF(OR(Z529="인천진아(인천항)",Z529="인천E1(인천항)",Z529="인천SM경인터미널(인천항)",Z529="인천항(인천항)",Z529="인천우련(인천항)",Z529="인천항8부두(인천항)"),"KRINC",VLOOKUP(K529,GLAPS정리!$BB$2:$BC$33,2,0))))))</f>
        <v>#N/A</v>
      </c>
      <c r="AL529" s="2">
        <f t="shared" si="123"/>
        <v>5010001</v>
      </c>
      <c r="AN529" s="70" t="str">
        <f t="shared" si="124"/>
        <v>1900-01-00</v>
      </c>
      <c r="AO529" s="2" t="str">
        <f t="shared" si="125"/>
        <v/>
      </c>
      <c r="AP529" s="2" t="e">
        <f>VLOOKUP(C529,GLAPS정리!$AX$2:$AZ$17,3,0)</f>
        <v>#N/A</v>
      </c>
      <c r="AR529" s="2">
        <f t="shared" si="131"/>
        <v>0</v>
      </c>
      <c r="AX529" s="2" t="e">
        <f>VLOOKUP(L529,GLAPS정리!$V$3:$W$180,2,0)</f>
        <v>#N/A</v>
      </c>
      <c r="BM529" s="2" t="str">
        <f t="shared" si="126"/>
        <v xml:space="preserve"> </v>
      </c>
      <c r="BN529" s="2">
        <f t="shared" si="127"/>
        <v>1</v>
      </c>
      <c r="BR529" s="2" t="str">
        <f t="shared" si="128"/>
        <v/>
      </c>
      <c r="BS529" s="2" t="str">
        <f t="shared" si="129"/>
        <v/>
      </c>
      <c r="BV529" s="2" t="e">
        <f>VLOOKUP(O529,GLAPS정리!$BH$2:$BI$94,2,0)</f>
        <v>#N/A</v>
      </c>
      <c r="BW529" s="2" t="str">
        <f>IF(OR(Z529="동원",Z529="세방",Z529="한타"),"",IFERROR(INDEX(GLAPS정리!$BI$2:$BI$101,MATCH(Z529,GLAPS정리!$BH$2:$BH$101,0)),""))</f>
        <v/>
      </c>
      <c r="BX529" s="2" t="str">
        <f>IF(Z529="","",IFERROR(VLOOKUP(Z529,GLAPS정리!$AX$2:$AZ$17,3,0),""))</f>
        <v/>
      </c>
      <c r="BZ529" s="2" t="e">
        <f>VLOOKUP(H529,GLAPS정리!$L$3:$O$133,2,0)</f>
        <v>#N/A</v>
      </c>
      <c r="CA529" s="2" t="str">
        <f t="shared" si="130"/>
        <v/>
      </c>
      <c r="CL529" s="2" t="e">
        <f>VLOOKUP(AI529,GLAPS정리!$BT$3:$BV$26,3,0)</f>
        <v>#N/A</v>
      </c>
    </row>
    <row r="530" spans="2:90" ht="20.45" customHeight="1">
      <c r="B530" s="13"/>
      <c r="G530" s="3"/>
      <c r="J530" s="3"/>
      <c r="Q530" s="3" t="str">
        <f t="shared" si="118"/>
        <v/>
      </c>
      <c r="R530" s="3" t="str">
        <f t="shared" si="119"/>
        <v/>
      </c>
      <c r="S530" s="3" t="str">
        <f t="shared" si="120"/>
        <v/>
      </c>
      <c r="X530" s="13"/>
      <c r="Y530" s="13"/>
      <c r="Z530" s="91"/>
      <c r="AC530" s="2">
        <f t="shared" si="121"/>
        <v>20</v>
      </c>
      <c r="AD530" s="2" t="str">
        <f>IFERROR(INDEX(GLAPS정리!$D$2:$D$50,MATCH(I530,GLAPS정리!$A$2:$A$50,0)),IFERROR(INDEX(GLAPS정리!$D$2:$D$50,MATCH(I530,GLAPS정리!$B$2:$B$50,0)),""))</f>
        <v/>
      </c>
      <c r="AF530" s="2" t="str">
        <f t="shared" si="122"/>
        <v>KR10</v>
      </c>
      <c r="AI530" s="2" t="e">
        <f>VLOOKUP(F530,GLAPS정리!$G$3:$J$114,2,0)</f>
        <v>#N/A</v>
      </c>
      <c r="AJ530" s="2" t="e">
        <f>IF(Z530="울산정일","KRONS",IF(Z530="울산신항","KRUSN",IF(OR(Z530="선광종합물류(인천여객)",Z530="인천여객(인천여객)"),"KRINF",IF(OR(Z530="선광인천보세(인천신)",Z530="한진인천(인천신)",Z530="선광인천신항(인천신)",Z530="인천더로지스(인천신)"),"KRINN",IF(OR(Z530="인천진아(인천항)",Z530="인천E1(인천항)",Z530="인천SM경인터미널(인천항)",Z530="인천항(인천항)",Z530="인천우련(인천항)",Z530="인천항8부두(인천항)"),"KRINC",VLOOKUP(K530,GLAPS정리!$BB$2:$BC$33,2,0))))))</f>
        <v>#N/A</v>
      </c>
      <c r="AL530" s="2">
        <f t="shared" si="123"/>
        <v>5010001</v>
      </c>
      <c r="AN530" s="70" t="str">
        <f t="shared" si="124"/>
        <v>1900-01-00</v>
      </c>
      <c r="AO530" s="2" t="str">
        <f t="shared" si="125"/>
        <v/>
      </c>
      <c r="AP530" s="2" t="e">
        <f>VLOOKUP(C530,GLAPS정리!$AX$2:$AZ$17,3,0)</f>
        <v>#N/A</v>
      </c>
      <c r="AR530" s="2">
        <f t="shared" si="131"/>
        <v>0</v>
      </c>
      <c r="AX530" s="2" t="e">
        <f>VLOOKUP(L530,GLAPS정리!$V$3:$W$180,2,0)</f>
        <v>#N/A</v>
      </c>
      <c r="BM530" s="2" t="str">
        <f t="shared" si="126"/>
        <v xml:space="preserve"> </v>
      </c>
      <c r="BN530" s="2">
        <f t="shared" si="127"/>
        <v>1</v>
      </c>
      <c r="BR530" s="2" t="str">
        <f t="shared" si="128"/>
        <v/>
      </c>
      <c r="BS530" s="2" t="str">
        <f t="shared" si="129"/>
        <v/>
      </c>
      <c r="BV530" s="2" t="e">
        <f>VLOOKUP(O530,GLAPS정리!$BH$2:$BI$94,2,0)</f>
        <v>#N/A</v>
      </c>
      <c r="BW530" s="2" t="str">
        <f>IF(OR(Z530="동원",Z530="세방",Z530="한타"),"",IFERROR(INDEX(GLAPS정리!$BI$2:$BI$101,MATCH(Z530,GLAPS정리!$BH$2:$BH$101,0)),""))</f>
        <v/>
      </c>
      <c r="BX530" s="2" t="str">
        <f>IF(Z530="","",IFERROR(VLOOKUP(Z530,GLAPS정리!$AX$2:$AZ$17,3,0),""))</f>
        <v/>
      </c>
      <c r="BZ530" s="2" t="e">
        <f>VLOOKUP(H530,GLAPS정리!$L$3:$O$133,2,0)</f>
        <v>#N/A</v>
      </c>
      <c r="CA530" s="2" t="str">
        <f t="shared" si="130"/>
        <v/>
      </c>
      <c r="CL530" s="2" t="e">
        <f>VLOOKUP(AI530,GLAPS정리!$BT$3:$BV$26,3,0)</f>
        <v>#N/A</v>
      </c>
    </row>
    <row r="531" spans="2:90" ht="20.45" customHeight="1">
      <c r="B531" s="13"/>
      <c r="G531" s="3"/>
      <c r="J531" s="3"/>
      <c r="Q531" s="3" t="str">
        <f t="shared" si="118"/>
        <v/>
      </c>
      <c r="R531" s="3" t="str">
        <f t="shared" si="119"/>
        <v/>
      </c>
      <c r="S531" s="3" t="str">
        <f t="shared" si="120"/>
        <v/>
      </c>
      <c r="X531" s="13"/>
      <c r="Y531" s="13"/>
      <c r="Z531" s="91"/>
      <c r="AC531" s="2">
        <f t="shared" si="121"/>
        <v>20</v>
      </c>
      <c r="AD531" s="2" t="str">
        <f>IFERROR(INDEX(GLAPS정리!$D$2:$D$50,MATCH(I531,GLAPS정리!$A$2:$A$50,0)),IFERROR(INDEX(GLAPS정리!$D$2:$D$50,MATCH(I531,GLAPS정리!$B$2:$B$50,0)),""))</f>
        <v/>
      </c>
      <c r="AF531" s="2" t="str">
        <f t="shared" si="122"/>
        <v>KR10</v>
      </c>
      <c r="AI531" s="2" t="e">
        <f>VLOOKUP(F531,GLAPS정리!$G$3:$J$114,2,0)</f>
        <v>#N/A</v>
      </c>
      <c r="AJ531" s="2" t="e">
        <f>IF(Z531="울산정일","KRONS",IF(Z531="울산신항","KRUSN",IF(OR(Z531="선광종합물류(인천여객)",Z531="인천여객(인천여객)"),"KRINF",IF(OR(Z531="선광인천보세(인천신)",Z531="한진인천(인천신)",Z531="선광인천신항(인천신)",Z531="인천더로지스(인천신)"),"KRINN",IF(OR(Z531="인천진아(인천항)",Z531="인천E1(인천항)",Z531="인천SM경인터미널(인천항)",Z531="인천항(인천항)",Z531="인천우련(인천항)",Z531="인천항8부두(인천항)"),"KRINC",VLOOKUP(K531,GLAPS정리!$BB$2:$BC$33,2,0))))))</f>
        <v>#N/A</v>
      </c>
      <c r="AL531" s="2">
        <f t="shared" si="123"/>
        <v>5010001</v>
      </c>
      <c r="AN531" s="70" t="str">
        <f t="shared" si="124"/>
        <v>1900-01-00</v>
      </c>
      <c r="AO531" s="2" t="str">
        <f t="shared" si="125"/>
        <v/>
      </c>
      <c r="AP531" s="2" t="e">
        <f>VLOOKUP(C531,GLAPS정리!$AX$2:$AZ$17,3,0)</f>
        <v>#N/A</v>
      </c>
      <c r="AR531" s="2">
        <f t="shared" si="131"/>
        <v>0</v>
      </c>
      <c r="AX531" s="2" t="e">
        <f>VLOOKUP(L531,GLAPS정리!$V$3:$W$180,2,0)</f>
        <v>#N/A</v>
      </c>
      <c r="BM531" s="2" t="str">
        <f t="shared" si="126"/>
        <v xml:space="preserve"> </v>
      </c>
      <c r="BN531" s="2">
        <f t="shared" si="127"/>
        <v>1</v>
      </c>
      <c r="BR531" s="2" t="str">
        <f t="shared" si="128"/>
        <v/>
      </c>
      <c r="BS531" s="2" t="str">
        <f t="shared" si="129"/>
        <v/>
      </c>
      <c r="BV531" s="2" t="e">
        <f>VLOOKUP(O531,GLAPS정리!$BH$2:$BI$94,2,0)</f>
        <v>#N/A</v>
      </c>
      <c r="BW531" s="2" t="str">
        <f>IF(OR(Z531="동원",Z531="세방",Z531="한타"),"",IFERROR(INDEX(GLAPS정리!$BI$2:$BI$101,MATCH(Z531,GLAPS정리!$BH$2:$BH$101,0)),""))</f>
        <v/>
      </c>
      <c r="BX531" s="2" t="str">
        <f>IF(Z531="","",IFERROR(VLOOKUP(Z531,GLAPS정리!$AX$2:$AZ$17,3,0),""))</f>
        <v/>
      </c>
      <c r="BZ531" s="2" t="e">
        <f>VLOOKUP(H531,GLAPS정리!$L$3:$O$133,2,0)</f>
        <v>#N/A</v>
      </c>
      <c r="CA531" s="2" t="str">
        <f t="shared" si="130"/>
        <v/>
      </c>
      <c r="CL531" s="2" t="e">
        <f>VLOOKUP(AI531,GLAPS정리!$BT$3:$BV$26,3,0)</f>
        <v>#N/A</v>
      </c>
    </row>
    <row r="532" spans="2:90" ht="20.45" customHeight="1">
      <c r="B532" s="13"/>
      <c r="G532" s="3"/>
      <c r="J532" s="3"/>
      <c r="Q532" s="3" t="str">
        <f t="shared" si="118"/>
        <v/>
      </c>
      <c r="R532" s="3" t="str">
        <f t="shared" si="119"/>
        <v/>
      </c>
      <c r="S532" s="3" t="str">
        <f t="shared" si="120"/>
        <v/>
      </c>
      <c r="X532" s="13"/>
      <c r="Y532" s="13"/>
      <c r="Z532" s="91"/>
      <c r="AC532" s="2">
        <f t="shared" si="121"/>
        <v>20</v>
      </c>
      <c r="AD532" s="2" t="str">
        <f>IFERROR(INDEX(GLAPS정리!$D$2:$D$50,MATCH(I532,GLAPS정리!$A$2:$A$50,0)),IFERROR(INDEX(GLAPS정리!$D$2:$D$50,MATCH(I532,GLAPS정리!$B$2:$B$50,0)),""))</f>
        <v/>
      </c>
      <c r="AF532" s="2" t="str">
        <f t="shared" si="122"/>
        <v>KR10</v>
      </c>
      <c r="AI532" s="2" t="e">
        <f>VLOOKUP(F532,GLAPS정리!$G$3:$J$114,2,0)</f>
        <v>#N/A</v>
      </c>
      <c r="AJ532" s="2" t="e">
        <f>IF(Z532="울산정일","KRONS",IF(Z532="울산신항","KRUSN",IF(OR(Z532="선광종합물류(인천여객)",Z532="인천여객(인천여객)"),"KRINF",IF(OR(Z532="선광인천보세(인천신)",Z532="한진인천(인천신)",Z532="선광인천신항(인천신)",Z532="인천더로지스(인천신)"),"KRINN",IF(OR(Z532="인천진아(인천항)",Z532="인천E1(인천항)",Z532="인천SM경인터미널(인천항)",Z532="인천항(인천항)",Z532="인천우련(인천항)",Z532="인천항8부두(인천항)"),"KRINC",VLOOKUP(K532,GLAPS정리!$BB$2:$BC$33,2,0))))))</f>
        <v>#N/A</v>
      </c>
      <c r="AL532" s="2">
        <f t="shared" si="123"/>
        <v>5010001</v>
      </c>
      <c r="AN532" s="70" t="str">
        <f t="shared" si="124"/>
        <v>1900-01-00</v>
      </c>
      <c r="AO532" s="2" t="str">
        <f t="shared" si="125"/>
        <v/>
      </c>
      <c r="AP532" s="2" t="e">
        <f>VLOOKUP(C532,GLAPS정리!$AX$2:$AZ$17,3,0)</f>
        <v>#N/A</v>
      </c>
      <c r="AR532" s="2">
        <f t="shared" si="131"/>
        <v>0</v>
      </c>
      <c r="AX532" s="2" t="e">
        <f>VLOOKUP(L532,GLAPS정리!$V$3:$W$180,2,0)</f>
        <v>#N/A</v>
      </c>
      <c r="BM532" s="2" t="str">
        <f t="shared" si="126"/>
        <v xml:space="preserve"> </v>
      </c>
      <c r="BN532" s="2">
        <f t="shared" si="127"/>
        <v>1</v>
      </c>
      <c r="BR532" s="2" t="str">
        <f t="shared" si="128"/>
        <v/>
      </c>
      <c r="BS532" s="2" t="str">
        <f t="shared" si="129"/>
        <v/>
      </c>
      <c r="BV532" s="2" t="e">
        <f>VLOOKUP(O532,GLAPS정리!$BH$2:$BI$94,2,0)</f>
        <v>#N/A</v>
      </c>
      <c r="BW532" s="2" t="str">
        <f>IF(OR(Z532="동원",Z532="세방",Z532="한타"),"",IFERROR(INDEX(GLAPS정리!$BI$2:$BI$101,MATCH(Z532,GLAPS정리!$BH$2:$BH$101,0)),""))</f>
        <v/>
      </c>
      <c r="BX532" s="2" t="str">
        <f>IF(Z532="","",IFERROR(VLOOKUP(Z532,GLAPS정리!$AX$2:$AZ$17,3,0),""))</f>
        <v/>
      </c>
      <c r="BZ532" s="2" t="e">
        <f>VLOOKUP(H532,GLAPS정리!$L$3:$O$133,2,0)</f>
        <v>#N/A</v>
      </c>
      <c r="CA532" s="2" t="str">
        <f t="shared" si="130"/>
        <v/>
      </c>
      <c r="CL532" s="2" t="e">
        <f>VLOOKUP(AI532,GLAPS정리!$BT$3:$BV$26,3,0)</f>
        <v>#N/A</v>
      </c>
    </row>
    <row r="533" spans="2:90" ht="20.45" customHeight="1">
      <c r="B533" s="13"/>
      <c r="G533" s="3"/>
      <c r="J533" s="3"/>
      <c r="Q533" s="3" t="str">
        <f t="shared" si="118"/>
        <v/>
      </c>
      <c r="R533" s="3" t="str">
        <f t="shared" si="119"/>
        <v/>
      </c>
      <c r="S533" s="3" t="str">
        <f t="shared" si="120"/>
        <v/>
      </c>
      <c r="X533" s="13"/>
      <c r="Y533" s="13"/>
      <c r="Z533" s="91"/>
      <c r="AC533" s="2">
        <f t="shared" si="121"/>
        <v>20</v>
      </c>
      <c r="AD533" s="2" t="str">
        <f>IFERROR(INDEX(GLAPS정리!$D$2:$D$50,MATCH(I533,GLAPS정리!$A$2:$A$50,0)),IFERROR(INDEX(GLAPS정리!$D$2:$D$50,MATCH(I533,GLAPS정리!$B$2:$B$50,0)),""))</f>
        <v/>
      </c>
      <c r="AF533" s="2" t="str">
        <f t="shared" si="122"/>
        <v>KR10</v>
      </c>
      <c r="AI533" s="2" t="e">
        <f>VLOOKUP(F533,GLAPS정리!$G$3:$J$114,2,0)</f>
        <v>#N/A</v>
      </c>
      <c r="AJ533" s="2" t="e">
        <f>IF(Z533="울산정일","KRONS",IF(Z533="울산신항","KRUSN",IF(OR(Z533="선광종합물류(인천여객)",Z533="인천여객(인천여객)"),"KRINF",IF(OR(Z533="선광인천보세(인천신)",Z533="한진인천(인천신)",Z533="선광인천신항(인천신)",Z533="인천더로지스(인천신)"),"KRINN",IF(OR(Z533="인천진아(인천항)",Z533="인천E1(인천항)",Z533="인천SM경인터미널(인천항)",Z533="인천항(인천항)",Z533="인천우련(인천항)",Z533="인천항8부두(인천항)"),"KRINC",VLOOKUP(K533,GLAPS정리!$BB$2:$BC$33,2,0))))))</f>
        <v>#N/A</v>
      </c>
      <c r="AL533" s="2">
        <f t="shared" si="123"/>
        <v>5010001</v>
      </c>
      <c r="AN533" s="70" t="str">
        <f t="shared" si="124"/>
        <v>1900-01-00</v>
      </c>
      <c r="AO533" s="2" t="str">
        <f t="shared" si="125"/>
        <v/>
      </c>
      <c r="AP533" s="2" t="e">
        <f>VLOOKUP(C533,GLAPS정리!$AX$2:$AZ$17,3,0)</f>
        <v>#N/A</v>
      </c>
      <c r="AR533" s="2">
        <f t="shared" si="131"/>
        <v>0</v>
      </c>
      <c r="AX533" s="2" t="e">
        <f>VLOOKUP(L533,GLAPS정리!$V$3:$W$180,2,0)</f>
        <v>#N/A</v>
      </c>
      <c r="BM533" s="2" t="str">
        <f t="shared" si="126"/>
        <v xml:space="preserve"> </v>
      </c>
      <c r="BN533" s="2">
        <f t="shared" si="127"/>
        <v>1</v>
      </c>
      <c r="BR533" s="2" t="str">
        <f t="shared" si="128"/>
        <v/>
      </c>
      <c r="BS533" s="2" t="str">
        <f t="shared" si="129"/>
        <v/>
      </c>
      <c r="BV533" s="2" t="e">
        <f>VLOOKUP(O533,GLAPS정리!$BH$2:$BI$94,2,0)</f>
        <v>#N/A</v>
      </c>
      <c r="BW533" s="2" t="str">
        <f>IF(OR(Z533="동원",Z533="세방",Z533="한타"),"",IFERROR(INDEX(GLAPS정리!$BI$2:$BI$101,MATCH(Z533,GLAPS정리!$BH$2:$BH$101,0)),""))</f>
        <v/>
      </c>
      <c r="BX533" s="2" t="str">
        <f>IF(Z533="","",IFERROR(VLOOKUP(Z533,GLAPS정리!$AX$2:$AZ$17,3,0),""))</f>
        <v/>
      </c>
      <c r="BZ533" s="2" t="e">
        <f>VLOOKUP(H533,GLAPS정리!$L$3:$O$133,2,0)</f>
        <v>#N/A</v>
      </c>
      <c r="CA533" s="2" t="str">
        <f t="shared" si="130"/>
        <v/>
      </c>
      <c r="CL533" s="2" t="e">
        <f>VLOOKUP(AI533,GLAPS정리!$BT$3:$BV$26,3,0)</f>
        <v>#N/A</v>
      </c>
    </row>
    <row r="534" spans="2:90" ht="20.45" customHeight="1">
      <c r="B534" s="13"/>
      <c r="G534" s="3"/>
      <c r="J534" s="3"/>
      <c r="Q534" s="3" t="str">
        <f t="shared" si="118"/>
        <v/>
      </c>
      <c r="R534" s="3" t="str">
        <f t="shared" si="119"/>
        <v/>
      </c>
      <c r="S534" s="3" t="str">
        <f t="shared" si="120"/>
        <v/>
      </c>
      <c r="X534" s="13"/>
      <c r="Y534" s="13"/>
      <c r="Z534" s="91"/>
      <c r="AC534" s="2">
        <f t="shared" si="121"/>
        <v>20</v>
      </c>
      <c r="AD534" s="2" t="str">
        <f>IFERROR(INDEX(GLAPS정리!$D$2:$D$50,MATCH(I534,GLAPS정리!$A$2:$A$50,0)),IFERROR(INDEX(GLAPS정리!$D$2:$D$50,MATCH(I534,GLAPS정리!$B$2:$B$50,0)),""))</f>
        <v/>
      </c>
      <c r="AF534" s="2" t="str">
        <f t="shared" si="122"/>
        <v>KR10</v>
      </c>
      <c r="AI534" s="2" t="e">
        <f>VLOOKUP(F534,GLAPS정리!$G$3:$J$114,2,0)</f>
        <v>#N/A</v>
      </c>
      <c r="AJ534" s="2" t="e">
        <f>IF(Z534="울산정일","KRONS",IF(Z534="울산신항","KRUSN",IF(OR(Z534="선광종합물류(인천여객)",Z534="인천여객(인천여객)"),"KRINF",IF(OR(Z534="선광인천보세(인천신)",Z534="한진인천(인천신)",Z534="선광인천신항(인천신)",Z534="인천더로지스(인천신)"),"KRINN",IF(OR(Z534="인천진아(인천항)",Z534="인천E1(인천항)",Z534="인천SM경인터미널(인천항)",Z534="인천항(인천항)",Z534="인천우련(인천항)",Z534="인천항8부두(인천항)"),"KRINC",VLOOKUP(K534,GLAPS정리!$BB$2:$BC$33,2,0))))))</f>
        <v>#N/A</v>
      </c>
      <c r="AL534" s="2">
        <f t="shared" si="123"/>
        <v>5010001</v>
      </c>
      <c r="AN534" s="70" t="str">
        <f t="shared" si="124"/>
        <v>1900-01-00</v>
      </c>
      <c r="AO534" s="2" t="str">
        <f t="shared" si="125"/>
        <v/>
      </c>
      <c r="AP534" s="2" t="e">
        <f>VLOOKUP(C534,GLAPS정리!$AX$2:$AZ$17,3,0)</f>
        <v>#N/A</v>
      </c>
      <c r="AR534" s="2">
        <f t="shared" si="131"/>
        <v>0</v>
      </c>
      <c r="AX534" s="2" t="e">
        <f>VLOOKUP(L534,GLAPS정리!$V$3:$W$180,2,0)</f>
        <v>#N/A</v>
      </c>
      <c r="BM534" s="2" t="str">
        <f t="shared" si="126"/>
        <v xml:space="preserve"> </v>
      </c>
      <c r="BN534" s="2">
        <f t="shared" si="127"/>
        <v>1</v>
      </c>
      <c r="BR534" s="2" t="str">
        <f t="shared" si="128"/>
        <v/>
      </c>
      <c r="BS534" s="2" t="str">
        <f t="shared" si="129"/>
        <v/>
      </c>
      <c r="BV534" s="2" t="e">
        <f>VLOOKUP(O534,GLAPS정리!$BH$2:$BI$94,2,0)</f>
        <v>#N/A</v>
      </c>
      <c r="BW534" s="2" t="str">
        <f>IF(OR(Z534="동원",Z534="세방",Z534="한타"),"",IFERROR(INDEX(GLAPS정리!$BI$2:$BI$101,MATCH(Z534,GLAPS정리!$BH$2:$BH$101,0)),""))</f>
        <v/>
      </c>
      <c r="BX534" s="2" t="str">
        <f>IF(Z534="","",IFERROR(VLOOKUP(Z534,GLAPS정리!$AX$2:$AZ$17,3,0),""))</f>
        <v/>
      </c>
      <c r="BZ534" s="2" t="e">
        <f>VLOOKUP(H534,GLAPS정리!$L$3:$O$133,2,0)</f>
        <v>#N/A</v>
      </c>
      <c r="CA534" s="2" t="str">
        <f t="shared" si="130"/>
        <v/>
      </c>
      <c r="CL534" s="2" t="e">
        <f>VLOOKUP(AI534,GLAPS정리!$BT$3:$BV$26,3,0)</f>
        <v>#N/A</v>
      </c>
    </row>
    <row r="535" spans="2:90" ht="20.45" customHeight="1">
      <c r="B535" s="13"/>
      <c r="G535" s="3"/>
      <c r="J535" s="3"/>
      <c r="Q535" s="3" t="str">
        <f t="shared" si="118"/>
        <v/>
      </c>
      <c r="R535" s="3" t="str">
        <f t="shared" si="119"/>
        <v/>
      </c>
      <c r="S535" s="3" t="str">
        <f t="shared" si="120"/>
        <v/>
      </c>
      <c r="X535" s="13"/>
      <c r="Y535" s="13"/>
      <c r="Z535" s="91"/>
      <c r="AC535" s="2">
        <f t="shared" si="121"/>
        <v>20</v>
      </c>
      <c r="AD535" s="2" t="str">
        <f>IFERROR(INDEX(GLAPS정리!$D$2:$D$50,MATCH(I535,GLAPS정리!$A$2:$A$50,0)),IFERROR(INDEX(GLAPS정리!$D$2:$D$50,MATCH(I535,GLAPS정리!$B$2:$B$50,0)),""))</f>
        <v/>
      </c>
      <c r="AF535" s="2" t="str">
        <f t="shared" si="122"/>
        <v>KR10</v>
      </c>
      <c r="AI535" s="2" t="e">
        <f>VLOOKUP(F535,GLAPS정리!$G$3:$J$114,2,0)</f>
        <v>#N/A</v>
      </c>
      <c r="AJ535" s="2" t="e">
        <f>IF(Z535="울산정일","KRONS",IF(Z535="울산신항","KRUSN",IF(OR(Z535="선광종합물류(인천여객)",Z535="인천여객(인천여객)"),"KRINF",IF(OR(Z535="선광인천보세(인천신)",Z535="한진인천(인천신)",Z535="선광인천신항(인천신)",Z535="인천더로지스(인천신)"),"KRINN",IF(OR(Z535="인천진아(인천항)",Z535="인천E1(인천항)",Z535="인천SM경인터미널(인천항)",Z535="인천항(인천항)",Z535="인천우련(인천항)",Z535="인천항8부두(인천항)"),"KRINC",VLOOKUP(K535,GLAPS정리!$BB$2:$BC$33,2,0))))))</f>
        <v>#N/A</v>
      </c>
      <c r="AL535" s="2">
        <f t="shared" si="123"/>
        <v>5010001</v>
      </c>
      <c r="AN535" s="70" t="str">
        <f t="shared" si="124"/>
        <v>1900-01-00</v>
      </c>
      <c r="AO535" s="2" t="str">
        <f t="shared" si="125"/>
        <v/>
      </c>
      <c r="AP535" s="2" t="e">
        <f>VLOOKUP(C535,GLAPS정리!$AX$2:$AZ$17,3,0)</f>
        <v>#N/A</v>
      </c>
      <c r="AR535" s="2">
        <f t="shared" si="131"/>
        <v>0</v>
      </c>
      <c r="AX535" s="2" t="e">
        <f>VLOOKUP(L535,GLAPS정리!$V$3:$W$180,2,0)</f>
        <v>#N/A</v>
      </c>
      <c r="BM535" s="2" t="str">
        <f t="shared" si="126"/>
        <v xml:space="preserve"> </v>
      </c>
      <c r="BN535" s="2">
        <f t="shared" si="127"/>
        <v>1</v>
      </c>
      <c r="BR535" s="2" t="str">
        <f t="shared" si="128"/>
        <v/>
      </c>
      <c r="BS535" s="2" t="str">
        <f t="shared" si="129"/>
        <v/>
      </c>
      <c r="BV535" s="2" t="e">
        <f>VLOOKUP(O535,GLAPS정리!$BH$2:$BI$94,2,0)</f>
        <v>#N/A</v>
      </c>
      <c r="BW535" s="2" t="str">
        <f>IF(OR(Z535="동원",Z535="세방",Z535="한타"),"",IFERROR(INDEX(GLAPS정리!$BI$2:$BI$101,MATCH(Z535,GLAPS정리!$BH$2:$BH$101,0)),""))</f>
        <v/>
      </c>
      <c r="BX535" s="2" t="str">
        <f>IF(Z535="","",IFERROR(VLOOKUP(Z535,GLAPS정리!$AX$2:$AZ$17,3,0),""))</f>
        <v/>
      </c>
      <c r="BZ535" s="2" t="e">
        <f>VLOOKUP(H535,GLAPS정리!$L$3:$O$133,2,0)</f>
        <v>#N/A</v>
      </c>
      <c r="CA535" s="2" t="str">
        <f t="shared" si="130"/>
        <v/>
      </c>
      <c r="CL535" s="2" t="e">
        <f>VLOOKUP(AI535,GLAPS정리!$BT$3:$BV$26,3,0)</f>
        <v>#N/A</v>
      </c>
    </row>
    <row r="536" spans="2:90" ht="20.45" customHeight="1">
      <c r="B536" s="13"/>
      <c r="G536" s="3"/>
      <c r="J536" s="3"/>
      <c r="Q536" s="3" t="str">
        <f t="shared" si="118"/>
        <v/>
      </c>
      <c r="R536" s="3" t="str">
        <f t="shared" si="119"/>
        <v/>
      </c>
      <c r="S536" s="3" t="str">
        <f t="shared" si="120"/>
        <v/>
      </c>
      <c r="X536" s="13"/>
      <c r="Y536" s="13"/>
      <c r="Z536" s="91"/>
      <c r="AC536" s="2">
        <f t="shared" si="121"/>
        <v>20</v>
      </c>
      <c r="AD536" s="2" t="str">
        <f>IFERROR(INDEX(GLAPS정리!$D$2:$D$50,MATCH(I536,GLAPS정리!$A$2:$A$50,0)),IFERROR(INDEX(GLAPS정리!$D$2:$D$50,MATCH(I536,GLAPS정리!$B$2:$B$50,0)),""))</f>
        <v/>
      </c>
      <c r="AF536" s="2" t="str">
        <f t="shared" si="122"/>
        <v>KR10</v>
      </c>
      <c r="AI536" s="2" t="e">
        <f>VLOOKUP(F536,GLAPS정리!$G$3:$J$114,2,0)</f>
        <v>#N/A</v>
      </c>
      <c r="AJ536" s="2" t="e">
        <f>IF(Z536="울산정일","KRONS",IF(Z536="울산신항","KRUSN",IF(OR(Z536="선광종합물류(인천여객)",Z536="인천여객(인천여객)"),"KRINF",IF(OR(Z536="선광인천보세(인천신)",Z536="한진인천(인천신)",Z536="선광인천신항(인천신)",Z536="인천더로지스(인천신)"),"KRINN",IF(OR(Z536="인천진아(인천항)",Z536="인천E1(인천항)",Z536="인천SM경인터미널(인천항)",Z536="인천항(인천항)",Z536="인천우련(인천항)",Z536="인천항8부두(인천항)"),"KRINC",VLOOKUP(K536,GLAPS정리!$BB$2:$BC$33,2,0))))))</f>
        <v>#N/A</v>
      </c>
      <c r="AL536" s="2">
        <f t="shared" si="123"/>
        <v>5010001</v>
      </c>
      <c r="AN536" s="70" t="str">
        <f t="shared" si="124"/>
        <v>1900-01-00</v>
      </c>
      <c r="AO536" s="2" t="str">
        <f t="shared" si="125"/>
        <v/>
      </c>
      <c r="AP536" s="2" t="e">
        <f>VLOOKUP(C536,GLAPS정리!$AX$2:$AZ$17,3,0)</f>
        <v>#N/A</v>
      </c>
      <c r="AR536" s="2">
        <f t="shared" si="131"/>
        <v>0</v>
      </c>
      <c r="AX536" s="2" t="e">
        <f>VLOOKUP(L536,GLAPS정리!$V$3:$W$180,2,0)</f>
        <v>#N/A</v>
      </c>
      <c r="BM536" s="2" t="str">
        <f t="shared" si="126"/>
        <v xml:space="preserve"> </v>
      </c>
      <c r="BN536" s="2">
        <f t="shared" si="127"/>
        <v>1</v>
      </c>
      <c r="BR536" s="2" t="str">
        <f t="shared" si="128"/>
        <v/>
      </c>
      <c r="BS536" s="2" t="str">
        <f t="shared" si="129"/>
        <v/>
      </c>
      <c r="BV536" s="2" t="e">
        <f>VLOOKUP(O536,GLAPS정리!$BH$2:$BI$94,2,0)</f>
        <v>#N/A</v>
      </c>
      <c r="BW536" s="2" t="str">
        <f>IF(OR(Z536="동원",Z536="세방",Z536="한타"),"",IFERROR(INDEX(GLAPS정리!$BI$2:$BI$101,MATCH(Z536,GLAPS정리!$BH$2:$BH$101,0)),""))</f>
        <v/>
      </c>
      <c r="BX536" s="2" t="str">
        <f>IF(Z536="","",IFERROR(VLOOKUP(Z536,GLAPS정리!$AX$2:$AZ$17,3,0),""))</f>
        <v/>
      </c>
      <c r="BZ536" s="2" t="e">
        <f>VLOOKUP(H536,GLAPS정리!$L$3:$O$133,2,0)</f>
        <v>#N/A</v>
      </c>
      <c r="CA536" s="2" t="str">
        <f t="shared" si="130"/>
        <v/>
      </c>
      <c r="CL536" s="2" t="e">
        <f>VLOOKUP(AI536,GLAPS정리!$BT$3:$BV$26,3,0)</f>
        <v>#N/A</v>
      </c>
    </row>
    <row r="537" spans="2:90" ht="20.45" customHeight="1">
      <c r="B537" s="13"/>
      <c r="G537" s="3"/>
      <c r="J537" s="3"/>
      <c r="Q537" s="3" t="str">
        <f t="shared" si="118"/>
        <v/>
      </c>
      <c r="R537" s="3" t="str">
        <f t="shared" si="119"/>
        <v/>
      </c>
      <c r="S537" s="3" t="str">
        <f t="shared" si="120"/>
        <v/>
      </c>
      <c r="X537" s="13"/>
      <c r="Y537" s="13"/>
      <c r="Z537" s="91"/>
      <c r="AC537" s="2">
        <f t="shared" si="121"/>
        <v>20</v>
      </c>
      <c r="AD537" s="2" t="str">
        <f>IFERROR(INDEX(GLAPS정리!$D$2:$D$50,MATCH(I537,GLAPS정리!$A$2:$A$50,0)),IFERROR(INDEX(GLAPS정리!$D$2:$D$50,MATCH(I537,GLAPS정리!$B$2:$B$50,0)),""))</f>
        <v/>
      </c>
      <c r="AF537" s="2" t="str">
        <f t="shared" si="122"/>
        <v>KR10</v>
      </c>
      <c r="AI537" s="2" t="e">
        <f>VLOOKUP(F537,GLAPS정리!$G$3:$J$114,2,0)</f>
        <v>#N/A</v>
      </c>
      <c r="AJ537" s="2" t="e">
        <f>IF(Z537="울산정일","KRONS",IF(Z537="울산신항","KRUSN",IF(OR(Z537="선광종합물류(인천여객)",Z537="인천여객(인천여객)"),"KRINF",IF(OR(Z537="선광인천보세(인천신)",Z537="한진인천(인천신)",Z537="선광인천신항(인천신)",Z537="인천더로지스(인천신)"),"KRINN",IF(OR(Z537="인천진아(인천항)",Z537="인천E1(인천항)",Z537="인천SM경인터미널(인천항)",Z537="인천항(인천항)",Z537="인천우련(인천항)",Z537="인천항8부두(인천항)"),"KRINC",VLOOKUP(K537,GLAPS정리!$BB$2:$BC$33,2,0))))))</f>
        <v>#N/A</v>
      </c>
      <c r="AL537" s="2">
        <f t="shared" si="123"/>
        <v>5010001</v>
      </c>
      <c r="AN537" s="70" t="str">
        <f t="shared" si="124"/>
        <v>1900-01-00</v>
      </c>
      <c r="AO537" s="2" t="str">
        <f t="shared" si="125"/>
        <v/>
      </c>
      <c r="AP537" s="2" t="e">
        <f>VLOOKUP(C537,GLAPS정리!$AX$2:$AZ$17,3,0)</f>
        <v>#N/A</v>
      </c>
      <c r="AR537" s="2">
        <f t="shared" si="131"/>
        <v>0</v>
      </c>
      <c r="AX537" s="2" t="e">
        <f>VLOOKUP(L537,GLAPS정리!$V$3:$W$180,2,0)</f>
        <v>#N/A</v>
      </c>
      <c r="BM537" s="2" t="str">
        <f t="shared" si="126"/>
        <v xml:space="preserve"> </v>
      </c>
      <c r="BN537" s="2">
        <f t="shared" si="127"/>
        <v>1</v>
      </c>
      <c r="BR537" s="2" t="str">
        <f t="shared" si="128"/>
        <v/>
      </c>
      <c r="BS537" s="2" t="str">
        <f t="shared" si="129"/>
        <v/>
      </c>
      <c r="BV537" s="2" t="e">
        <f>VLOOKUP(O537,GLAPS정리!$BH$2:$BI$94,2,0)</f>
        <v>#N/A</v>
      </c>
      <c r="BW537" s="2" t="str">
        <f>IF(OR(Z537="동원",Z537="세방",Z537="한타"),"",IFERROR(INDEX(GLAPS정리!$BI$2:$BI$101,MATCH(Z537,GLAPS정리!$BH$2:$BH$101,0)),""))</f>
        <v/>
      </c>
      <c r="BX537" s="2" t="str">
        <f>IF(Z537="","",IFERROR(VLOOKUP(Z537,GLAPS정리!$AX$2:$AZ$17,3,0),""))</f>
        <v/>
      </c>
      <c r="BZ537" s="2" t="e">
        <f>VLOOKUP(H537,GLAPS정리!$L$3:$O$133,2,0)</f>
        <v>#N/A</v>
      </c>
      <c r="CA537" s="2" t="str">
        <f t="shared" si="130"/>
        <v/>
      </c>
      <c r="CL537" s="2" t="e">
        <f>VLOOKUP(AI537,GLAPS정리!$BT$3:$BV$26,3,0)</f>
        <v>#N/A</v>
      </c>
    </row>
    <row r="538" spans="2:90" ht="20.45" customHeight="1">
      <c r="B538" s="13"/>
      <c r="G538" s="3"/>
      <c r="J538" s="3"/>
      <c r="Q538" s="3" t="str">
        <f t="shared" si="118"/>
        <v/>
      </c>
      <c r="R538" s="3" t="str">
        <f t="shared" si="119"/>
        <v/>
      </c>
      <c r="S538" s="3" t="str">
        <f t="shared" si="120"/>
        <v/>
      </c>
      <c r="X538" s="13"/>
      <c r="Y538" s="13"/>
      <c r="Z538" s="91"/>
      <c r="AC538" s="2">
        <f t="shared" si="121"/>
        <v>20</v>
      </c>
      <c r="AD538" s="2" t="str">
        <f>IFERROR(INDEX(GLAPS정리!$D$2:$D$50,MATCH(I538,GLAPS정리!$A$2:$A$50,0)),IFERROR(INDEX(GLAPS정리!$D$2:$D$50,MATCH(I538,GLAPS정리!$B$2:$B$50,0)),""))</f>
        <v/>
      </c>
      <c r="AF538" s="2" t="str">
        <f t="shared" si="122"/>
        <v>KR10</v>
      </c>
      <c r="AI538" s="2" t="e">
        <f>VLOOKUP(F538,GLAPS정리!$G$3:$J$114,2,0)</f>
        <v>#N/A</v>
      </c>
      <c r="AJ538" s="2" t="e">
        <f>IF(Z538="울산정일","KRONS",IF(Z538="울산신항","KRUSN",IF(OR(Z538="선광종합물류(인천여객)",Z538="인천여객(인천여객)"),"KRINF",IF(OR(Z538="선광인천보세(인천신)",Z538="한진인천(인천신)",Z538="선광인천신항(인천신)",Z538="인천더로지스(인천신)"),"KRINN",IF(OR(Z538="인천진아(인천항)",Z538="인천E1(인천항)",Z538="인천SM경인터미널(인천항)",Z538="인천항(인천항)",Z538="인천우련(인천항)",Z538="인천항8부두(인천항)"),"KRINC",VLOOKUP(K538,GLAPS정리!$BB$2:$BC$33,2,0))))))</f>
        <v>#N/A</v>
      </c>
      <c r="AL538" s="2">
        <f t="shared" si="123"/>
        <v>5010001</v>
      </c>
      <c r="AN538" s="70" t="str">
        <f t="shared" si="124"/>
        <v>1900-01-00</v>
      </c>
      <c r="AO538" s="2" t="str">
        <f t="shared" si="125"/>
        <v/>
      </c>
      <c r="AP538" s="2" t="e">
        <f>VLOOKUP(C538,GLAPS정리!$AX$2:$AZ$17,3,0)</f>
        <v>#N/A</v>
      </c>
      <c r="AR538" s="2">
        <f t="shared" si="131"/>
        <v>0</v>
      </c>
      <c r="AX538" s="2" t="e">
        <f>VLOOKUP(L538,GLAPS정리!$V$3:$W$180,2,0)</f>
        <v>#N/A</v>
      </c>
      <c r="BM538" s="2" t="str">
        <f t="shared" si="126"/>
        <v xml:space="preserve"> </v>
      </c>
      <c r="BN538" s="2">
        <f t="shared" si="127"/>
        <v>1</v>
      </c>
      <c r="BR538" s="2" t="str">
        <f t="shared" si="128"/>
        <v/>
      </c>
      <c r="BS538" s="2" t="str">
        <f t="shared" si="129"/>
        <v/>
      </c>
      <c r="BV538" s="2" t="e">
        <f>VLOOKUP(O538,GLAPS정리!$BH$2:$BI$94,2,0)</f>
        <v>#N/A</v>
      </c>
      <c r="BW538" s="2" t="str">
        <f>IF(OR(Z538="동원",Z538="세방",Z538="한타"),"",IFERROR(INDEX(GLAPS정리!$BI$2:$BI$101,MATCH(Z538,GLAPS정리!$BH$2:$BH$101,0)),""))</f>
        <v/>
      </c>
      <c r="BX538" s="2" t="str">
        <f>IF(Z538="","",IFERROR(VLOOKUP(Z538,GLAPS정리!$AX$2:$AZ$17,3,0),""))</f>
        <v/>
      </c>
      <c r="BZ538" s="2" t="e">
        <f>VLOOKUP(H538,GLAPS정리!$L$3:$O$133,2,0)</f>
        <v>#N/A</v>
      </c>
      <c r="CA538" s="2" t="str">
        <f t="shared" si="130"/>
        <v/>
      </c>
      <c r="CL538" s="2" t="e">
        <f>VLOOKUP(AI538,GLAPS정리!$BT$3:$BV$26,3,0)</f>
        <v>#N/A</v>
      </c>
    </row>
    <row r="539" spans="2:90" ht="20.45" customHeight="1">
      <c r="B539" s="13"/>
      <c r="G539" s="3"/>
      <c r="J539" s="3"/>
      <c r="Q539" s="3" t="str">
        <f t="shared" si="118"/>
        <v/>
      </c>
      <c r="R539" s="3" t="str">
        <f t="shared" si="119"/>
        <v/>
      </c>
      <c r="S539" s="3" t="str">
        <f t="shared" si="120"/>
        <v/>
      </c>
      <c r="X539" s="13"/>
      <c r="Y539" s="13"/>
      <c r="Z539" s="91"/>
      <c r="AC539" s="2">
        <f t="shared" si="121"/>
        <v>20</v>
      </c>
      <c r="AD539" s="2" t="str">
        <f>IFERROR(INDEX(GLAPS정리!$D$2:$D$50,MATCH(I539,GLAPS정리!$A$2:$A$50,0)),IFERROR(INDEX(GLAPS정리!$D$2:$D$50,MATCH(I539,GLAPS정리!$B$2:$B$50,0)),""))</f>
        <v/>
      </c>
      <c r="AF539" s="2" t="str">
        <f t="shared" si="122"/>
        <v>KR10</v>
      </c>
      <c r="AI539" s="2" t="e">
        <f>VLOOKUP(F539,GLAPS정리!$G$3:$J$114,2,0)</f>
        <v>#N/A</v>
      </c>
      <c r="AJ539" s="2" t="e">
        <f>IF(Z539="울산정일","KRONS",IF(Z539="울산신항","KRUSN",IF(OR(Z539="선광종합물류(인천여객)",Z539="인천여객(인천여객)"),"KRINF",IF(OR(Z539="선광인천보세(인천신)",Z539="한진인천(인천신)",Z539="선광인천신항(인천신)",Z539="인천더로지스(인천신)"),"KRINN",IF(OR(Z539="인천진아(인천항)",Z539="인천E1(인천항)",Z539="인천SM경인터미널(인천항)",Z539="인천항(인천항)",Z539="인천우련(인천항)",Z539="인천항8부두(인천항)"),"KRINC",VLOOKUP(K539,GLAPS정리!$BB$2:$BC$33,2,0))))))</f>
        <v>#N/A</v>
      </c>
      <c r="AL539" s="2">
        <f t="shared" si="123"/>
        <v>5010001</v>
      </c>
      <c r="AN539" s="70" t="str">
        <f t="shared" si="124"/>
        <v>1900-01-00</v>
      </c>
      <c r="AO539" s="2" t="str">
        <f t="shared" si="125"/>
        <v/>
      </c>
      <c r="AP539" s="2" t="e">
        <f>VLOOKUP(C539,GLAPS정리!$AX$2:$AZ$17,3,0)</f>
        <v>#N/A</v>
      </c>
      <c r="AR539" s="2">
        <f t="shared" si="131"/>
        <v>0</v>
      </c>
      <c r="AX539" s="2" t="e">
        <f>VLOOKUP(L539,GLAPS정리!$V$3:$W$180,2,0)</f>
        <v>#N/A</v>
      </c>
      <c r="BM539" s="2" t="str">
        <f t="shared" si="126"/>
        <v xml:space="preserve"> </v>
      </c>
      <c r="BN539" s="2">
        <f t="shared" si="127"/>
        <v>1</v>
      </c>
      <c r="BR539" s="2" t="str">
        <f t="shared" si="128"/>
        <v/>
      </c>
      <c r="BS539" s="2" t="str">
        <f t="shared" si="129"/>
        <v/>
      </c>
      <c r="BV539" s="2" t="e">
        <f>VLOOKUP(O539,GLAPS정리!$BH$2:$BI$94,2,0)</f>
        <v>#N/A</v>
      </c>
      <c r="BW539" s="2" t="str">
        <f>IF(OR(Z539="동원",Z539="세방",Z539="한타"),"",IFERROR(INDEX(GLAPS정리!$BI$2:$BI$101,MATCH(Z539,GLAPS정리!$BH$2:$BH$101,0)),""))</f>
        <v/>
      </c>
      <c r="BX539" s="2" t="str">
        <f>IF(Z539="","",IFERROR(VLOOKUP(Z539,GLAPS정리!$AX$2:$AZ$17,3,0),""))</f>
        <v/>
      </c>
      <c r="BZ539" s="2" t="e">
        <f>VLOOKUP(H539,GLAPS정리!$L$3:$O$133,2,0)</f>
        <v>#N/A</v>
      </c>
      <c r="CA539" s="2" t="str">
        <f t="shared" si="130"/>
        <v/>
      </c>
      <c r="CL539" s="2" t="e">
        <f>VLOOKUP(AI539,GLAPS정리!$BT$3:$BV$26,3,0)</f>
        <v>#N/A</v>
      </c>
    </row>
    <row r="540" spans="2:90" ht="20.45" customHeight="1">
      <c r="B540" s="13"/>
      <c r="G540" s="3"/>
      <c r="J540" s="3"/>
      <c r="Q540" s="3" t="str">
        <f t="shared" si="118"/>
        <v/>
      </c>
      <c r="R540" s="3" t="str">
        <f t="shared" si="119"/>
        <v/>
      </c>
      <c r="S540" s="3" t="str">
        <f t="shared" si="120"/>
        <v/>
      </c>
      <c r="X540" s="13"/>
      <c r="Y540" s="13"/>
      <c r="Z540" s="91"/>
      <c r="AC540" s="2">
        <f t="shared" si="121"/>
        <v>20</v>
      </c>
      <c r="AD540" s="2" t="str">
        <f>IFERROR(INDEX(GLAPS정리!$D$2:$D$50,MATCH(I540,GLAPS정리!$A$2:$A$50,0)),IFERROR(INDEX(GLAPS정리!$D$2:$D$50,MATCH(I540,GLAPS정리!$B$2:$B$50,0)),""))</f>
        <v/>
      </c>
      <c r="AF540" s="2" t="str">
        <f t="shared" si="122"/>
        <v>KR10</v>
      </c>
      <c r="AI540" s="2" t="e">
        <f>VLOOKUP(F540,GLAPS정리!$G$3:$J$114,2,0)</f>
        <v>#N/A</v>
      </c>
      <c r="AJ540" s="2" t="e">
        <f>IF(Z540="울산정일","KRONS",IF(Z540="울산신항","KRUSN",IF(OR(Z540="선광종합물류(인천여객)",Z540="인천여객(인천여객)"),"KRINF",IF(OR(Z540="선광인천보세(인천신)",Z540="한진인천(인천신)",Z540="선광인천신항(인천신)",Z540="인천더로지스(인천신)"),"KRINN",IF(OR(Z540="인천진아(인천항)",Z540="인천E1(인천항)",Z540="인천SM경인터미널(인천항)",Z540="인천항(인천항)",Z540="인천우련(인천항)",Z540="인천항8부두(인천항)"),"KRINC",VLOOKUP(K540,GLAPS정리!$BB$2:$BC$33,2,0))))))</f>
        <v>#N/A</v>
      </c>
      <c r="AL540" s="2">
        <f t="shared" si="123"/>
        <v>5010001</v>
      </c>
      <c r="AN540" s="70" t="str">
        <f t="shared" si="124"/>
        <v>1900-01-00</v>
      </c>
      <c r="AO540" s="2" t="str">
        <f t="shared" si="125"/>
        <v/>
      </c>
      <c r="AP540" s="2" t="e">
        <f>VLOOKUP(C540,GLAPS정리!$AX$2:$AZ$17,3,0)</f>
        <v>#N/A</v>
      </c>
      <c r="AR540" s="2">
        <f t="shared" si="131"/>
        <v>0</v>
      </c>
      <c r="AX540" s="2" t="e">
        <f>VLOOKUP(L540,GLAPS정리!$V$3:$W$180,2,0)</f>
        <v>#N/A</v>
      </c>
      <c r="BM540" s="2" t="str">
        <f t="shared" si="126"/>
        <v xml:space="preserve"> </v>
      </c>
      <c r="BN540" s="2">
        <f t="shared" si="127"/>
        <v>1</v>
      </c>
      <c r="BR540" s="2" t="str">
        <f t="shared" si="128"/>
        <v/>
      </c>
      <c r="BS540" s="2" t="str">
        <f t="shared" si="129"/>
        <v/>
      </c>
      <c r="BV540" s="2" t="e">
        <f>VLOOKUP(O540,GLAPS정리!$BH$2:$BI$94,2,0)</f>
        <v>#N/A</v>
      </c>
      <c r="BW540" s="2" t="str">
        <f>IF(OR(Z540="동원",Z540="세방",Z540="한타"),"",IFERROR(INDEX(GLAPS정리!$BI$2:$BI$101,MATCH(Z540,GLAPS정리!$BH$2:$BH$101,0)),""))</f>
        <v/>
      </c>
      <c r="BX540" s="2" t="str">
        <f>IF(Z540="","",IFERROR(VLOOKUP(Z540,GLAPS정리!$AX$2:$AZ$17,3,0),""))</f>
        <v/>
      </c>
      <c r="BZ540" s="2" t="e">
        <f>VLOOKUP(H540,GLAPS정리!$L$3:$O$133,2,0)</f>
        <v>#N/A</v>
      </c>
      <c r="CA540" s="2" t="str">
        <f t="shared" si="130"/>
        <v/>
      </c>
      <c r="CL540" s="2" t="e">
        <f>VLOOKUP(AI540,GLAPS정리!$BT$3:$BV$26,3,0)</f>
        <v>#N/A</v>
      </c>
    </row>
    <row r="541" spans="2:90" ht="20.45" customHeight="1">
      <c r="B541" s="13"/>
      <c r="G541" s="3"/>
      <c r="J541" s="3"/>
      <c r="Q541" s="3" t="str">
        <f t="shared" si="118"/>
        <v/>
      </c>
      <c r="R541" s="3" t="str">
        <f t="shared" si="119"/>
        <v/>
      </c>
      <c r="S541" s="3" t="str">
        <f t="shared" si="120"/>
        <v/>
      </c>
      <c r="X541" s="13"/>
      <c r="Y541" s="13"/>
      <c r="Z541" s="91"/>
      <c r="AC541" s="2">
        <f t="shared" si="121"/>
        <v>20</v>
      </c>
      <c r="AD541" s="2" t="str">
        <f>IFERROR(INDEX(GLAPS정리!$D$2:$D$50,MATCH(I541,GLAPS정리!$A$2:$A$50,0)),IFERROR(INDEX(GLAPS정리!$D$2:$D$50,MATCH(I541,GLAPS정리!$B$2:$B$50,0)),""))</f>
        <v/>
      </c>
      <c r="AF541" s="2" t="str">
        <f t="shared" si="122"/>
        <v>KR10</v>
      </c>
      <c r="AI541" s="2" t="e">
        <f>VLOOKUP(F541,GLAPS정리!$G$3:$J$114,2,0)</f>
        <v>#N/A</v>
      </c>
      <c r="AJ541" s="2" t="e">
        <f>IF(Z541="울산정일","KRONS",IF(Z541="울산신항","KRUSN",IF(OR(Z541="선광종합물류(인천여객)",Z541="인천여객(인천여객)"),"KRINF",IF(OR(Z541="선광인천보세(인천신)",Z541="한진인천(인천신)",Z541="선광인천신항(인천신)",Z541="인천더로지스(인천신)"),"KRINN",IF(OR(Z541="인천진아(인천항)",Z541="인천E1(인천항)",Z541="인천SM경인터미널(인천항)",Z541="인천항(인천항)",Z541="인천우련(인천항)",Z541="인천항8부두(인천항)"),"KRINC",VLOOKUP(K541,GLAPS정리!$BB$2:$BC$33,2,0))))))</f>
        <v>#N/A</v>
      </c>
      <c r="AL541" s="2">
        <f t="shared" si="123"/>
        <v>5010001</v>
      </c>
      <c r="AN541" s="70" t="str">
        <f t="shared" si="124"/>
        <v>1900-01-00</v>
      </c>
      <c r="AO541" s="2" t="str">
        <f t="shared" si="125"/>
        <v/>
      </c>
      <c r="AP541" s="2" t="e">
        <f>VLOOKUP(C541,GLAPS정리!$AX$2:$AZ$17,3,0)</f>
        <v>#N/A</v>
      </c>
      <c r="AR541" s="2">
        <f t="shared" si="131"/>
        <v>0</v>
      </c>
      <c r="AX541" s="2" t="e">
        <f>VLOOKUP(L541,GLAPS정리!$V$3:$W$180,2,0)</f>
        <v>#N/A</v>
      </c>
      <c r="BM541" s="2" t="str">
        <f t="shared" si="126"/>
        <v xml:space="preserve"> </v>
      </c>
      <c r="BN541" s="2">
        <f t="shared" si="127"/>
        <v>1</v>
      </c>
      <c r="BR541" s="2" t="str">
        <f t="shared" si="128"/>
        <v/>
      </c>
      <c r="BS541" s="2" t="str">
        <f t="shared" si="129"/>
        <v/>
      </c>
      <c r="BV541" s="2" t="e">
        <f>VLOOKUP(O541,GLAPS정리!$BH$2:$BI$94,2,0)</f>
        <v>#N/A</v>
      </c>
      <c r="BW541" s="2" t="str">
        <f>IF(OR(Z541="동원",Z541="세방",Z541="한타"),"",IFERROR(INDEX(GLAPS정리!$BI$2:$BI$101,MATCH(Z541,GLAPS정리!$BH$2:$BH$101,0)),""))</f>
        <v/>
      </c>
      <c r="BX541" s="2" t="str">
        <f>IF(Z541="","",IFERROR(VLOOKUP(Z541,GLAPS정리!$AX$2:$AZ$17,3,0),""))</f>
        <v/>
      </c>
      <c r="BZ541" s="2" t="e">
        <f>VLOOKUP(H541,GLAPS정리!$L$3:$O$133,2,0)</f>
        <v>#N/A</v>
      </c>
      <c r="CA541" s="2" t="str">
        <f t="shared" si="130"/>
        <v/>
      </c>
      <c r="CL541" s="2" t="e">
        <f>VLOOKUP(AI541,GLAPS정리!$BT$3:$BV$26,3,0)</f>
        <v>#N/A</v>
      </c>
    </row>
    <row r="542" spans="2:90" ht="20.45" customHeight="1">
      <c r="B542" s="13"/>
      <c r="G542" s="3"/>
      <c r="J542" s="3"/>
      <c r="Q542" s="3" t="str">
        <f t="shared" si="118"/>
        <v/>
      </c>
      <c r="R542" s="3" t="str">
        <f t="shared" si="119"/>
        <v/>
      </c>
      <c r="S542" s="3" t="str">
        <f t="shared" si="120"/>
        <v/>
      </c>
      <c r="X542" s="13"/>
      <c r="Y542" s="13"/>
      <c r="Z542" s="91"/>
      <c r="AC542" s="2">
        <f t="shared" si="121"/>
        <v>20</v>
      </c>
      <c r="AD542" s="2" t="str">
        <f>IFERROR(INDEX(GLAPS정리!$D$2:$D$50,MATCH(I542,GLAPS정리!$A$2:$A$50,0)),IFERROR(INDEX(GLAPS정리!$D$2:$D$50,MATCH(I542,GLAPS정리!$B$2:$B$50,0)),""))</f>
        <v/>
      </c>
      <c r="AF542" s="2" t="str">
        <f t="shared" si="122"/>
        <v>KR10</v>
      </c>
      <c r="AI542" s="2" t="e">
        <f>VLOOKUP(F542,GLAPS정리!$G$3:$J$114,2,0)</f>
        <v>#N/A</v>
      </c>
      <c r="AJ542" s="2" t="e">
        <f>IF(Z542="울산정일","KRONS",IF(Z542="울산신항","KRUSN",IF(OR(Z542="선광종합물류(인천여객)",Z542="인천여객(인천여객)"),"KRINF",IF(OR(Z542="선광인천보세(인천신)",Z542="한진인천(인천신)",Z542="선광인천신항(인천신)",Z542="인천더로지스(인천신)"),"KRINN",IF(OR(Z542="인천진아(인천항)",Z542="인천E1(인천항)",Z542="인천SM경인터미널(인천항)",Z542="인천항(인천항)",Z542="인천우련(인천항)",Z542="인천항8부두(인천항)"),"KRINC",VLOOKUP(K542,GLAPS정리!$BB$2:$BC$33,2,0))))))</f>
        <v>#N/A</v>
      </c>
      <c r="AL542" s="2">
        <f t="shared" si="123"/>
        <v>5010001</v>
      </c>
      <c r="AN542" s="70" t="str">
        <f t="shared" si="124"/>
        <v>1900-01-00</v>
      </c>
      <c r="AO542" s="2" t="str">
        <f t="shared" si="125"/>
        <v/>
      </c>
      <c r="AP542" s="2" t="e">
        <f>VLOOKUP(C542,GLAPS정리!$AX$2:$AZ$17,3,0)</f>
        <v>#N/A</v>
      </c>
      <c r="AR542" s="2">
        <f t="shared" si="131"/>
        <v>0</v>
      </c>
      <c r="AX542" s="2" t="e">
        <f>VLOOKUP(L542,GLAPS정리!$V$3:$W$180,2,0)</f>
        <v>#N/A</v>
      </c>
      <c r="BM542" s="2" t="str">
        <f t="shared" si="126"/>
        <v xml:space="preserve"> </v>
      </c>
      <c r="BN542" s="2">
        <f t="shared" si="127"/>
        <v>1</v>
      </c>
      <c r="BR542" s="2" t="str">
        <f t="shared" si="128"/>
        <v/>
      </c>
      <c r="BS542" s="2" t="str">
        <f t="shared" si="129"/>
        <v/>
      </c>
      <c r="BV542" s="2" t="e">
        <f>VLOOKUP(O542,GLAPS정리!$BH$2:$BI$94,2,0)</f>
        <v>#N/A</v>
      </c>
      <c r="BW542" s="2" t="str">
        <f>IF(OR(Z542="동원",Z542="세방",Z542="한타"),"",IFERROR(INDEX(GLAPS정리!$BI$2:$BI$101,MATCH(Z542,GLAPS정리!$BH$2:$BH$101,0)),""))</f>
        <v/>
      </c>
      <c r="BX542" s="2" t="str">
        <f>IF(Z542="","",IFERROR(VLOOKUP(Z542,GLAPS정리!$AX$2:$AZ$17,3,0),""))</f>
        <v/>
      </c>
      <c r="BZ542" s="2" t="e">
        <f>VLOOKUP(H542,GLAPS정리!$L$3:$O$133,2,0)</f>
        <v>#N/A</v>
      </c>
      <c r="CA542" s="2" t="str">
        <f t="shared" si="130"/>
        <v/>
      </c>
      <c r="CL542" s="2" t="e">
        <f>VLOOKUP(AI542,GLAPS정리!$BT$3:$BV$26,3,0)</f>
        <v>#N/A</v>
      </c>
    </row>
    <row r="543" spans="2:90" ht="20.45" customHeight="1">
      <c r="B543" s="13"/>
      <c r="G543" s="3"/>
      <c r="J543" s="3"/>
      <c r="Q543" s="3" t="str">
        <f t="shared" si="118"/>
        <v/>
      </c>
      <c r="R543" s="3" t="str">
        <f t="shared" si="119"/>
        <v/>
      </c>
      <c r="S543" s="3" t="str">
        <f t="shared" si="120"/>
        <v/>
      </c>
      <c r="X543" s="13"/>
      <c r="Y543" s="13"/>
      <c r="Z543" s="91"/>
      <c r="AC543" s="2">
        <f t="shared" si="121"/>
        <v>20</v>
      </c>
      <c r="AD543" s="2" t="str">
        <f>IFERROR(INDEX(GLAPS정리!$D$2:$D$50,MATCH(I543,GLAPS정리!$A$2:$A$50,0)),IFERROR(INDEX(GLAPS정리!$D$2:$D$50,MATCH(I543,GLAPS정리!$B$2:$B$50,0)),""))</f>
        <v/>
      </c>
      <c r="AF543" s="2" t="str">
        <f t="shared" si="122"/>
        <v>KR10</v>
      </c>
      <c r="AI543" s="2" t="e">
        <f>VLOOKUP(F543,GLAPS정리!$G$3:$J$114,2,0)</f>
        <v>#N/A</v>
      </c>
      <c r="AJ543" s="2" t="e">
        <f>IF(Z543="울산정일","KRONS",IF(Z543="울산신항","KRUSN",IF(OR(Z543="선광종합물류(인천여객)",Z543="인천여객(인천여객)"),"KRINF",IF(OR(Z543="선광인천보세(인천신)",Z543="한진인천(인천신)",Z543="선광인천신항(인천신)",Z543="인천더로지스(인천신)"),"KRINN",IF(OR(Z543="인천진아(인천항)",Z543="인천E1(인천항)",Z543="인천SM경인터미널(인천항)",Z543="인천항(인천항)",Z543="인천우련(인천항)",Z543="인천항8부두(인천항)"),"KRINC",VLOOKUP(K543,GLAPS정리!$BB$2:$BC$33,2,0))))))</f>
        <v>#N/A</v>
      </c>
      <c r="AL543" s="2">
        <f t="shared" si="123"/>
        <v>5010001</v>
      </c>
      <c r="AN543" s="70" t="str">
        <f t="shared" si="124"/>
        <v>1900-01-00</v>
      </c>
      <c r="AO543" s="2" t="str">
        <f t="shared" si="125"/>
        <v/>
      </c>
      <c r="AP543" s="2" t="e">
        <f>VLOOKUP(C543,GLAPS정리!$AX$2:$AZ$17,3,0)</f>
        <v>#N/A</v>
      </c>
      <c r="AR543" s="2">
        <f t="shared" si="131"/>
        <v>0</v>
      </c>
      <c r="AX543" s="2" t="e">
        <f>VLOOKUP(L543,GLAPS정리!$V$3:$W$180,2,0)</f>
        <v>#N/A</v>
      </c>
      <c r="BM543" s="2" t="str">
        <f t="shared" si="126"/>
        <v xml:space="preserve"> </v>
      </c>
      <c r="BN543" s="2">
        <f t="shared" si="127"/>
        <v>1</v>
      </c>
      <c r="BR543" s="2" t="str">
        <f t="shared" si="128"/>
        <v/>
      </c>
      <c r="BS543" s="2" t="str">
        <f t="shared" si="129"/>
        <v/>
      </c>
      <c r="BV543" s="2" t="e">
        <f>VLOOKUP(O543,GLAPS정리!$BH$2:$BI$94,2,0)</f>
        <v>#N/A</v>
      </c>
      <c r="BW543" s="2" t="str">
        <f>IF(OR(Z543="동원",Z543="세방",Z543="한타"),"",IFERROR(INDEX(GLAPS정리!$BI$2:$BI$101,MATCH(Z543,GLAPS정리!$BH$2:$BH$101,0)),""))</f>
        <v/>
      </c>
      <c r="BX543" s="2" t="str">
        <f>IF(Z543="","",IFERROR(VLOOKUP(Z543,GLAPS정리!$AX$2:$AZ$17,3,0),""))</f>
        <v/>
      </c>
      <c r="BZ543" s="2" t="e">
        <f>VLOOKUP(H543,GLAPS정리!$L$3:$O$133,2,0)</f>
        <v>#N/A</v>
      </c>
      <c r="CA543" s="2" t="str">
        <f t="shared" si="130"/>
        <v/>
      </c>
      <c r="CL543" s="2" t="e">
        <f>VLOOKUP(AI543,GLAPS정리!$BT$3:$BV$26,3,0)</f>
        <v>#N/A</v>
      </c>
    </row>
    <row r="544" spans="2:90" ht="20.45" customHeight="1">
      <c r="B544" s="13"/>
      <c r="G544" s="3"/>
      <c r="J544" s="3"/>
      <c r="Q544" s="3" t="str">
        <f t="shared" si="118"/>
        <v/>
      </c>
      <c r="R544" s="3" t="str">
        <f t="shared" si="119"/>
        <v/>
      </c>
      <c r="S544" s="3" t="str">
        <f t="shared" si="120"/>
        <v/>
      </c>
      <c r="X544" s="13"/>
      <c r="Y544" s="13"/>
      <c r="Z544" s="91"/>
      <c r="AC544" s="2">
        <f t="shared" si="121"/>
        <v>20</v>
      </c>
      <c r="AD544" s="2" t="str">
        <f>IFERROR(INDEX(GLAPS정리!$D$2:$D$50,MATCH(I544,GLAPS정리!$A$2:$A$50,0)),IFERROR(INDEX(GLAPS정리!$D$2:$D$50,MATCH(I544,GLAPS정리!$B$2:$B$50,0)),""))</f>
        <v/>
      </c>
      <c r="AF544" s="2" t="str">
        <f t="shared" si="122"/>
        <v>KR10</v>
      </c>
      <c r="AI544" s="2" t="e">
        <f>VLOOKUP(F544,GLAPS정리!$G$3:$J$114,2,0)</f>
        <v>#N/A</v>
      </c>
      <c r="AJ544" s="2" t="e">
        <f>IF(Z544="울산정일","KRONS",IF(Z544="울산신항","KRUSN",IF(OR(Z544="선광종합물류(인천여객)",Z544="인천여객(인천여객)"),"KRINF",IF(OR(Z544="선광인천보세(인천신)",Z544="한진인천(인천신)",Z544="선광인천신항(인천신)",Z544="인천더로지스(인천신)"),"KRINN",IF(OR(Z544="인천진아(인천항)",Z544="인천E1(인천항)",Z544="인천SM경인터미널(인천항)",Z544="인천항(인천항)",Z544="인천우련(인천항)",Z544="인천항8부두(인천항)"),"KRINC",VLOOKUP(K544,GLAPS정리!$BB$2:$BC$33,2,0))))))</f>
        <v>#N/A</v>
      </c>
      <c r="AL544" s="2">
        <f t="shared" si="123"/>
        <v>5010001</v>
      </c>
      <c r="AN544" s="70" t="str">
        <f t="shared" si="124"/>
        <v>1900-01-00</v>
      </c>
      <c r="AO544" s="2" t="str">
        <f t="shared" si="125"/>
        <v/>
      </c>
      <c r="AP544" s="2" t="e">
        <f>VLOOKUP(C544,GLAPS정리!$AX$2:$AZ$17,3,0)</f>
        <v>#N/A</v>
      </c>
      <c r="AR544" s="2">
        <f t="shared" si="131"/>
        <v>0</v>
      </c>
      <c r="AX544" s="2" t="e">
        <f>VLOOKUP(L544,GLAPS정리!$V$3:$W$180,2,0)</f>
        <v>#N/A</v>
      </c>
      <c r="BM544" s="2" t="str">
        <f t="shared" si="126"/>
        <v xml:space="preserve"> </v>
      </c>
      <c r="BN544" s="2">
        <f t="shared" si="127"/>
        <v>1</v>
      </c>
      <c r="BR544" s="2" t="str">
        <f t="shared" si="128"/>
        <v/>
      </c>
      <c r="BS544" s="2" t="str">
        <f t="shared" si="129"/>
        <v/>
      </c>
      <c r="BV544" s="2" t="e">
        <f>VLOOKUP(O544,GLAPS정리!$BH$2:$BI$94,2,0)</f>
        <v>#N/A</v>
      </c>
      <c r="BW544" s="2" t="str">
        <f>IF(OR(Z544="동원",Z544="세방",Z544="한타"),"",IFERROR(INDEX(GLAPS정리!$BI$2:$BI$101,MATCH(Z544,GLAPS정리!$BH$2:$BH$101,0)),""))</f>
        <v/>
      </c>
      <c r="BX544" s="2" t="str">
        <f>IF(Z544="","",IFERROR(VLOOKUP(Z544,GLAPS정리!$AX$2:$AZ$17,3,0),""))</f>
        <v/>
      </c>
      <c r="BZ544" s="2" t="e">
        <f>VLOOKUP(H544,GLAPS정리!$L$3:$O$133,2,0)</f>
        <v>#N/A</v>
      </c>
      <c r="CA544" s="2" t="str">
        <f t="shared" si="130"/>
        <v/>
      </c>
      <c r="CL544" s="2" t="e">
        <f>VLOOKUP(AI544,GLAPS정리!$BT$3:$BV$26,3,0)</f>
        <v>#N/A</v>
      </c>
    </row>
    <row r="545" spans="2:90" ht="20.45" customHeight="1">
      <c r="B545" s="13"/>
      <c r="G545" s="3"/>
      <c r="J545" s="3"/>
      <c r="Q545" s="3" t="str">
        <f t="shared" si="118"/>
        <v/>
      </c>
      <c r="R545" s="3" t="str">
        <f t="shared" si="119"/>
        <v/>
      </c>
      <c r="S545" s="3" t="str">
        <f t="shared" si="120"/>
        <v/>
      </c>
      <c r="X545" s="13"/>
      <c r="Y545" s="13"/>
      <c r="Z545" s="91"/>
      <c r="AC545" s="2">
        <f t="shared" si="121"/>
        <v>20</v>
      </c>
      <c r="AD545" s="2" t="str">
        <f>IFERROR(INDEX(GLAPS정리!$D$2:$D$50,MATCH(I545,GLAPS정리!$A$2:$A$50,0)),IFERROR(INDEX(GLAPS정리!$D$2:$D$50,MATCH(I545,GLAPS정리!$B$2:$B$50,0)),""))</f>
        <v/>
      </c>
      <c r="AF545" s="2" t="str">
        <f t="shared" si="122"/>
        <v>KR10</v>
      </c>
      <c r="AI545" s="2" t="e">
        <f>VLOOKUP(F545,GLAPS정리!$G$3:$J$114,2,0)</f>
        <v>#N/A</v>
      </c>
      <c r="AJ545" s="2" t="e">
        <f>IF(Z545="울산정일","KRONS",IF(Z545="울산신항","KRUSN",IF(OR(Z545="선광종합물류(인천여객)",Z545="인천여객(인천여객)"),"KRINF",IF(OR(Z545="선광인천보세(인천신)",Z545="한진인천(인천신)",Z545="선광인천신항(인천신)",Z545="인천더로지스(인천신)"),"KRINN",IF(OR(Z545="인천진아(인천항)",Z545="인천E1(인천항)",Z545="인천SM경인터미널(인천항)",Z545="인천항(인천항)",Z545="인천우련(인천항)",Z545="인천항8부두(인천항)"),"KRINC",VLOOKUP(K545,GLAPS정리!$BB$2:$BC$33,2,0))))))</f>
        <v>#N/A</v>
      </c>
      <c r="AL545" s="2">
        <f t="shared" si="123"/>
        <v>5010001</v>
      </c>
      <c r="AN545" s="70" t="str">
        <f t="shared" si="124"/>
        <v>1900-01-00</v>
      </c>
      <c r="AO545" s="2" t="str">
        <f t="shared" si="125"/>
        <v/>
      </c>
      <c r="AP545" s="2" t="e">
        <f>VLOOKUP(C545,GLAPS정리!$AX$2:$AZ$17,3,0)</f>
        <v>#N/A</v>
      </c>
      <c r="AR545" s="2">
        <f t="shared" si="131"/>
        <v>0</v>
      </c>
      <c r="AX545" s="2" t="e">
        <f>VLOOKUP(L545,GLAPS정리!$V$3:$W$180,2,0)</f>
        <v>#N/A</v>
      </c>
      <c r="BM545" s="2" t="str">
        <f t="shared" si="126"/>
        <v xml:space="preserve"> </v>
      </c>
      <c r="BN545" s="2">
        <f t="shared" si="127"/>
        <v>1</v>
      </c>
      <c r="BR545" s="2" t="str">
        <f t="shared" si="128"/>
        <v/>
      </c>
      <c r="BS545" s="2" t="str">
        <f t="shared" si="129"/>
        <v/>
      </c>
      <c r="BV545" s="2" t="e">
        <f>VLOOKUP(O545,GLAPS정리!$BH$2:$BI$94,2,0)</f>
        <v>#N/A</v>
      </c>
      <c r="BW545" s="2" t="str">
        <f>IF(OR(Z545="동원",Z545="세방",Z545="한타"),"",IFERROR(INDEX(GLAPS정리!$BI$2:$BI$101,MATCH(Z545,GLAPS정리!$BH$2:$BH$101,0)),""))</f>
        <v/>
      </c>
      <c r="BX545" s="2" t="str">
        <f>IF(Z545="","",IFERROR(VLOOKUP(Z545,GLAPS정리!$AX$2:$AZ$17,3,0),""))</f>
        <v/>
      </c>
      <c r="BZ545" s="2" t="e">
        <f>VLOOKUP(H545,GLAPS정리!$L$3:$O$133,2,0)</f>
        <v>#N/A</v>
      </c>
      <c r="CA545" s="2" t="str">
        <f t="shared" si="130"/>
        <v/>
      </c>
      <c r="CL545" s="2" t="e">
        <f>VLOOKUP(AI545,GLAPS정리!$BT$3:$BV$26,3,0)</f>
        <v>#N/A</v>
      </c>
    </row>
    <row r="546" spans="2:90" ht="20.45" customHeight="1">
      <c r="B546" s="13"/>
      <c r="G546" s="3"/>
      <c r="J546" s="3"/>
      <c r="Q546" s="3" t="str">
        <f t="shared" si="118"/>
        <v/>
      </c>
      <c r="R546" s="3" t="str">
        <f t="shared" si="119"/>
        <v/>
      </c>
      <c r="S546" s="3" t="str">
        <f t="shared" si="120"/>
        <v/>
      </c>
      <c r="X546" s="13"/>
      <c r="Y546" s="13"/>
      <c r="Z546" s="91"/>
      <c r="AC546" s="2">
        <f t="shared" si="121"/>
        <v>20</v>
      </c>
      <c r="AD546" s="2" t="str">
        <f>IFERROR(INDEX(GLAPS정리!$D$2:$D$50,MATCH(I546,GLAPS정리!$A$2:$A$50,0)),IFERROR(INDEX(GLAPS정리!$D$2:$D$50,MATCH(I546,GLAPS정리!$B$2:$B$50,0)),""))</f>
        <v/>
      </c>
      <c r="AF546" s="2" t="str">
        <f t="shared" si="122"/>
        <v>KR10</v>
      </c>
      <c r="AI546" s="2" t="e">
        <f>VLOOKUP(F546,GLAPS정리!$G$3:$J$114,2,0)</f>
        <v>#N/A</v>
      </c>
      <c r="AJ546" s="2" t="e">
        <f>IF(Z546="울산정일","KRONS",IF(Z546="울산신항","KRUSN",IF(OR(Z546="선광종합물류(인천여객)",Z546="인천여객(인천여객)"),"KRINF",IF(OR(Z546="선광인천보세(인천신)",Z546="한진인천(인천신)",Z546="선광인천신항(인천신)",Z546="인천더로지스(인천신)"),"KRINN",IF(OR(Z546="인천진아(인천항)",Z546="인천E1(인천항)",Z546="인천SM경인터미널(인천항)",Z546="인천항(인천항)",Z546="인천우련(인천항)",Z546="인천항8부두(인천항)"),"KRINC",VLOOKUP(K546,GLAPS정리!$BB$2:$BC$33,2,0))))))</f>
        <v>#N/A</v>
      </c>
      <c r="AL546" s="2">
        <f t="shared" si="123"/>
        <v>5010001</v>
      </c>
      <c r="AN546" s="70" t="str">
        <f t="shared" si="124"/>
        <v>1900-01-00</v>
      </c>
      <c r="AO546" s="2" t="str">
        <f t="shared" si="125"/>
        <v/>
      </c>
      <c r="AP546" s="2" t="e">
        <f>VLOOKUP(C546,GLAPS정리!$AX$2:$AZ$17,3,0)</f>
        <v>#N/A</v>
      </c>
      <c r="AR546" s="2">
        <f t="shared" si="131"/>
        <v>0</v>
      </c>
      <c r="AX546" s="2" t="e">
        <f>VLOOKUP(L546,GLAPS정리!$V$3:$W$180,2,0)</f>
        <v>#N/A</v>
      </c>
      <c r="BM546" s="2" t="str">
        <f t="shared" si="126"/>
        <v xml:space="preserve"> </v>
      </c>
      <c r="BN546" s="2">
        <f t="shared" si="127"/>
        <v>1</v>
      </c>
      <c r="BR546" s="2" t="str">
        <f t="shared" si="128"/>
        <v/>
      </c>
      <c r="BS546" s="2" t="str">
        <f t="shared" si="129"/>
        <v/>
      </c>
      <c r="BV546" s="2" t="e">
        <f>VLOOKUP(O546,GLAPS정리!$BH$2:$BI$94,2,0)</f>
        <v>#N/A</v>
      </c>
      <c r="BW546" s="2" t="str">
        <f>IF(OR(Z546="동원",Z546="세방",Z546="한타"),"",IFERROR(INDEX(GLAPS정리!$BI$2:$BI$101,MATCH(Z546,GLAPS정리!$BH$2:$BH$101,0)),""))</f>
        <v/>
      </c>
      <c r="BX546" s="2" t="str">
        <f>IF(Z546="","",IFERROR(VLOOKUP(Z546,GLAPS정리!$AX$2:$AZ$17,3,0),""))</f>
        <v/>
      </c>
      <c r="BZ546" s="2" t="e">
        <f>VLOOKUP(H546,GLAPS정리!$L$3:$O$133,2,0)</f>
        <v>#N/A</v>
      </c>
      <c r="CA546" s="2" t="str">
        <f t="shared" si="130"/>
        <v/>
      </c>
      <c r="CL546" s="2" t="e">
        <f>VLOOKUP(AI546,GLAPS정리!$BT$3:$BV$26,3,0)</f>
        <v>#N/A</v>
      </c>
    </row>
    <row r="547" spans="2:90" ht="20.45" customHeight="1">
      <c r="B547" s="13"/>
      <c r="G547" s="3"/>
      <c r="J547" s="3"/>
      <c r="Q547" s="3" t="str">
        <f t="shared" si="118"/>
        <v/>
      </c>
      <c r="R547" s="3" t="str">
        <f t="shared" si="119"/>
        <v/>
      </c>
      <c r="S547" s="3" t="str">
        <f t="shared" si="120"/>
        <v/>
      </c>
      <c r="X547" s="13"/>
      <c r="Y547" s="13"/>
      <c r="Z547" s="91"/>
      <c r="AC547" s="2">
        <f t="shared" si="121"/>
        <v>20</v>
      </c>
      <c r="AD547" s="2" t="str">
        <f>IFERROR(INDEX(GLAPS정리!$D$2:$D$50,MATCH(I547,GLAPS정리!$A$2:$A$50,0)),IFERROR(INDEX(GLAPS정리!$D$2:$D$50,MATCH(I547,GLAPS정리!$B$2:$B$50,0)),""))</f>
        <v/>
      </c>
      <c r="AF547" s="2" t="str">
        <f t="shared" si="122"/>
        <v>KR10</v>
      </c>
      <c r="AI547" s="2" t="e">
        <f>VLOOKUP(F547,GLAPS정리!$G$3:$J$114,2,0)</f>
        <v>#N/A</v>
      </c>
      <c r="AJ547" s="2" t="e">
        <f>IF(Z547="울산정일","KRONS",IF(Z547="울산신항","KRUSN",IF(OR(Z547="선광종합물류(인천여객)",Z547="인천여객(인천여객)"),"KRINF",IF(OR(Z547="선광인천보세(인천신)",Z547="한진인천(인천신)",Z547="선광인천신항(인천신)",Z547="인천더로지스(인천신)"),"KRINN",IF(OR(Z547="인천진아(인천항)",Z547="인천E1(인천항)",Z547="인천SM경인터미널(인천항)",Z547="인천항(인천항)",Z547="인천우련(인천항)",Z547="인천항8부두(인천항)"),"KRINC",VLOOKUP(K547,GLAPS정리!$BB$2:$BC$33,2,0))))))</f>
        <v>#N/A</v>
      </c>
      <c r="AL547" s="2">
        <f t="shared" si="123"/>
        <v>5010001</v>
      </c>
      <c r="AN547" s="70" t="str">
        <f t="shared" si="124"/>
        <v>1900-01-00</v>
      </c>
      <c r="AO547" s="2" t="str">
        <f t="shared" si="125"/>
        <v/>
      </c>
      <c r="AP547" s="2" t="e">
        <f>VLOOKUP(C547,GLAPS정리!$AX$2:$AZ$17,3,0)</f>
        <v>#N/A</v>
      </c>
      <c r="AR547" s="2">
        <f t="shared" si="131"/>
        <v>0</v>
      </c>
      <c r="AX547" s="2" t="e">
        <f>VLOOKUP(L547,GLAPS정리!$V$3:$W$180,2,0)</f>
        <v>#N/A</v>
      </c>
      <c r="BM547" s="2" t="str">
        <f t="shared" si="126"/>
        <v xml:space="preserve"> </v>
      </c>
      <c r="BN547" s="2">
        <f t="shared" si="127"/>
        <v>1</v>
      </c>
      <c r="BR547" s="2" t="str">
        <f t="shared" si="128"/>
        <v/>
      </c>
      <c r="BS547" s="2" t="str">
        <f t="shared" si="129"/>
        <v/>
      </c>
      <c r="BV547" s="2" t="e">
        <f>VLOOKUP(O547,GLAPS정리!$BH$2:$BI$94,2,0)</f>
        <v>#N/A</v>
      </c>
      <c r="BW547" s="2" t="str">
        <f>IF(OR(Z547="동원",Z547="세방",Z547="한타"),"",IFERROR(INDEX(GLAPS정리!$BI$2:$BI$101,MATCH(Z547,GLAPS정리!$BH$2:$BH$101,0)),""))</f>
        <v/>
      </c>
      <c r="BX547" s="2" t="str">
        <f>IF(Z547="","",IFERROR(VLOOKUP(Z547,GLAPS정리!$AX$2:$AZ$17,3,0),""))</f>
        <v/>
      </c>
      <c r="BZ547" s="2" t="e">
        <f>VLOOKUP(H547,GLAPS정리!$L$3:$O$133,2,0)</f>
        <v>#N/A</v>
      </c>
      <c r="CA547" s="2" t="str">
        <f t="shared" si="130"/>
        <v/>
      </c>
      <c r="CL547" s="2" t="e">
        <f>VLOOKUP(AI547,GLAPS정리!$BT$3:$BV$26,3,0)</f>
        <v>#N/A</v>
      </c>
    </row>
    <row r="548" spans="2:90" ht="20.45" customHeight="1">
      <c r="B548" s="13"/>
      <c r="G548" s="3"/>
      <c r="J548" s="3"/>
      <c r="Q548" s="3" t="str">
        <f t="shared" si="118"/>
        <v/>
      </c>
      <c r="R548" s="3" t="str">
        <f t="shared" si="119"/>
        <v/>
      </c>
      <c r="S548" s="3" t="str">
        <f t="shared" si="120"/>
        <v/>
      </c>
      <c r="X548" s="13"/>
      <c r="Y548" s="13"/>
      <c r="Z548" s="91"/>
      <c r="AC548" s="2">
        <f t="shared" si="121"/>
        <v>20</v>
      </c>
      <c r="AD548" s="2" t="str">
        <f>IFERROR(INDEX(GLAPS정리!$D$2:$D$50,MATCH(I548,GLAPS정리!$A$2:$A$50,0)),IFERROR(INDEX(GLAPS정리!$D$2:$D$50,MATCH(I548,GLAPS정리!$B$2:$B$50,0)),""))</f>
        <v/>
      </c>
      <c r="AF548" s="2" t="str">
        <f t="shared" si="122"/>
        <v>KR10</v>
      </c>
      <c r="AI548" s="2" t="e">
        <f>VLOOKUP(F548,GLAPS정리!$G$3:$J$114,2,0)</f>
        <v>#N/A</v>
      </c>
      <c r="AJ548" s="2" t="e">
        <f>IF(Z548="울산정일","KRONS",IF(Z548="울산신항","KRUSN",IF(OR(Z548="선광종합물류(인천여객)",Z548="인천여객(인천여객)"),"KRINF",IF(OR(Z548="선광인천보세(인천신)",Z548="한진인천(인천신)",Z548="선광인천신항(인천신)",Z548="인천더로지스(인천신)"),"KRINN",IF(OR(Z548="인천진아(인천항)",Z548="인천E1(인천항)",Z548="인천SM경인터미널(인천항)",Z548="인천항(인천항)",Z548="인천우련(인천항)",Z548="인천항8부두(인천항)"),"KRINC",VLOOKUP(K548,GLAPS정리!$BB$2:$BC$33,2,0))))))</f>
        <v>#N/A</v>
      </c>
      <c r="AL548" s="2">
        <f t="shared" si="123"/>
        <v>5010001</v>
      </c>
      <c r="AN548" s="70" t="str">
        <f t="shared" si="124"/>
        <v>1900-01-00</v>
      </c>
      <c r="AO548" s="2" t="str">
        <f t="shared" si="125"/>
        <v/>
      </c>
      <c r="AP548" s="2" t="e">
        <f>VLOOKUP(C548,GLAPS정리!$AX$2:$AZ$17,3,0)</f>
        <v>#N/A</v>
      </c>
      <c r="AR548" s="2">
        <f t="shared" si="131"/>
        <v>0</v>
      </c>
      <c r="AX548" s="2" t="e">
        <f>VLOOKUP(L548,GLAPS정리!$V$3:$W$180,2,0)</f>
        <v>#N/A</v>
      </c>
      <c r="BM548" s="2" t="str">
        <f t="shared" si="126"/>
        <v xml:space="preserve"> </v>
      </c>
      <c r="BN548" s="2">
        <f t="shared" si="127"/>
        <v>1</v>
      </c>
      <c r="BR548" s="2" t="str">
        <f t="shared" si="128"/>
        <v/>
      </c>
      <c r="BS548" s="2" t="str">
        <f t="shared" si="129"/>
        <v/>
      </c>
      <c r="BV548" s="2" t="e">
        <f>VLOOKUP(O548,GLAPS정리!$BH$2:$BI$94,2,0)</f>
        <v>#N/A</v>
      </c>
      <c r="BW548" s="2" t="str">
        <f>IF(OR(Z548="동원",Z548="세방",Z548="한타"),"",IFERROR(INDEX(GLAPS정리!$BI$2:$BI$101,MATCH(Z548,GLAPS정리!$BH$2:$BH$101,0)),""))</f>
        <v/>
      </c>
      <c r="BX548" s="2" t="str">
        <f>IF(Z548="","",IFERROR(VLOOKUP(Z548,GLAPS정리!$AX$2:$AZ$17,3,0),""))</f>
        <v/>
      </c>
      <c r="BZ548" s="2" t="e">
        <f>VLOOKUP(H548,GLAPS정리!$L$3:$O$133,2,0)</f>
        <v>#N/A</v>
      </c>
      <c r="CA548" s="2" t="str">
        <f t="shared" si="130"/>
        <v/>
      </c>
      <c r="CL548" s="2" t="e">
        <f>VLOOKUP(AI548,GLAPS정리!$BT$3:$BV$26,3,0)</f>
        <v>#N/A</v>
      </c>
    </row>
    <row r="549" spans="2:90" ht="20.45" customHeight="1">
      <c r="B549" s="13"/>
      <c r="G549" s="3"/>
      <c r="J549" s="3"/>
      <c r="Q549" s="3" t="str">
        <f t="shared" si="118"/>
        <v/>
      </c>
      <c r="R549" s="3" t="str">
        <f t="shared" si="119"/>
        <v/>
      </c>
      <c r="S549" s="3" t="str">
        <f t="shared" si="120"/>
        <v/>
      </c>
      <c r="X549" s="13"/>
      <c r="Y549" s="13"/>
      <c r="Z549" s="91"/>
      <c r="AC549" s="2">
        <f t="shared" si="121"/>
        <v>20</v>
      </c>
      <c r="AD549" s="2" t="str">
        <f>IFERROR(INDEX(GLAPS정리!$D$2:$D$50,MATCH(I549,GLAPS정리!$A$2:$A$50,0)),IFERROR(INDEX(GLAPS정리!$D$2:$D$50,MATCH(I549,GLAPS정리!$B$2:$B$50,0)),""))</f>
        <v/>
      </c>
      <c r="AF549" s="2" t="str">
        <f t="shared" si="122"/>
        <v>KR10</v>
      </c>
      <c r="AI549" s="2" t="e">
        <f>VLOOKUP(F549,GLAPS정리!$G$3:$J$114,2,0)</f>
        <v>#N/A</v>
      </c>
      <c r="AJ549" s="2" t="e">
        <f>IF(Z549="울산정일","KRONS",IF(Z549="울산신항","KRUSN",IF(OR(Z549="선광종합물류(인천여객)",Z549="인천여객(인천여객)"),"KRINF",IF(OR(Z549="선광인천보세(인천신)",Z549="한진인천(인천신)",Z549="선광인천신항(인천신)",Z549="인천더로지스(인천신)"),"KRINN",IF(OR(Z549="인천진아(인천항)",Z549="인천E1(인천항)",Z549="인천SM경인터미널(인천항)",Z549="인천항(인천항)",Z549="인천우련(인천항)",Z549="인천항8부두(인천항)"),"KRINC",VLOOKUP(K549,GLAPS정리!$BB$2:$BC$33,2,0))))))</f>
        <v>#N/A</v>
      </c>
      <c r="AL549" s="2">
        <f t="shared" si="123"/>
        <v>5010001</v>
      </c>
      <c r="AN549" s="70" t="str">
        <f t="shared" si="124"/>
        <v>1900-01-00</v>
      </c>
      <c r="AO549" s="2" t="str">
        <f t="shared" si="125"/>
        <v/>
      </c>
      <c r="AP549" s="2" t="e">
        <f>VLOOKUP(C549,GLAPS정리!$AX$2:$AZ$17,3,0)</f>
        <v>#N/A</v>
      </c>
      <c r="AR549" s="2">
        <f t="shared" si="131"/>
        <v>0</v>
      </c>
      <c r="AX549" s="2" t="e">
        <f>VLOOKUP(L549,GLAPS정리!$V$3:$W$180,2,0)</f>
        <v>#N/A</v>
      </c>
      <c r="BM549" s="2" t="str">
        <f t="shared" si="126"/>
        <v xml:space="preserve"> </v>
      </c>
      <c r="BN549" s="2">
        <f t="shared" si="127"/>
        <v>1</v>
      </c>
      <c r="BR549" s="2" t="str">
        <f t="shared" si="128"/>
        <v/>
      </c>
      <c r="BS549" s="2" t="str">
        <f t="shared" si="129"/>
        <v/>
      </c>
      <c r="BV549" s="2" t="e">
        <f>VLOOKUP(O549,GLAPS정리!$BH$2:$BI$94,2,0)</f>
        <v>#N/A</v>
      </c>
      <c r="BW549" s="2" t="str">
        <f>IF(OR(Z549="동원",Z549="세방",Z549="한타"),"",IFERROR(INDEX(GLAPS정리!$BI$2:$BI$101,MATCH(Z549,GLAPS정리!$BH$2:$BH$101,0)),""))</f>
        <v/>
      </c>
      <c r="BX549" s="2" t="str">
        <f>IF(Z549="","",IFERROR(VLOOKUP(Z549,GLAPS정리!$AX$2:$AZ$17,3,0),""))</f>
        <v/>
      </c>
      <c r="BZ549" s="2" t="e">
        <f>VLOOKUP(H549,GLAPS정리!$L$3:$O$133,2,0)</f>
        <v>#N/A</v>
      </c>
      <c r="CA549" s="2" t="str">
        <f t="shared" si="130"/>
        <v/>
      </c>
      <c r="CL549" s="2" t="e">
        <f>VLOOKUP(AI549,GLAPS정리!$BT$3:$BV$26,3,0)</f>
        <v>#N/A</v>
      </c>
    </row>
    <row r="550" spans="2:90" ht="20.45" customHeight="1">
      <c r="B550" s="13"/>
      <c r="G550" s="3"/>
      <c r="J550" s="3"/>
      <c r="Q550" s="3" t="str">
        <f t="shared" si="118"/>
        <v/>
      </c>
      <c r="R550" s="3" t="str">
        <f t="shared" si="119"/>
        <v/>
      </c>
      <c r="S550" s="3" t="str">
        <f t="shared" si="120"/>
        <v/>
      </c>
      <c r="X550" s="13"/>
      <c r="Y550" s="13"/>
      <c r="Z550" s="91"/>
      <c r="AC550" s="2">
        <f t="shared" si="121"/>
        <v>20</v>
      </c>
      <c r="AD550" s="2" t="str">
        <f>IFERROR(INDEX(GLAPS정리!$D$2:$D$50,MATCH(I550,GLAPS정리!$A$2:$A$50,0)),IFERROR(INDEX(GLAPS정리!$D$2:$D$50,MATCH(I550,GLAPS정리!$B$2:$B$50,0)),""))</f>
        <v/>
      </c>
      <c r="AF550" s="2" t="str">
        <f t="shared" si="122"/>
        <v>KR10</v>
      </c>
      <c r="AI550" s="2" t="e">
        <f>VLOOKUP(F550,GLAPS정리!$G$3:$J$114,2,0)</f>
        <v>#N/A</v>
      </c>
      <c r="AJ550" s="2" t="e">
        <f>IF(Z550="울산정일","KRONS",IF(Z550="울산신항","KRUSN",IF(OR(Z550="선광종합물류(인천여객)",Z550="인천여객(인천여객)"),"KRINF",IF(OR(Z550="선광인천보세(인천신)",Z550="한진인천(인천신)",Z550="선광인천신항(인천신)",Z550="인천더로지스(인천신)"),"KRINN",IF(OR(Z550="인천진아(인천항)",Z550="인천E1(인천항)",Z550="인천SM경인터미널(인천항)",Z550="인천항(인천항)",Z550="인천우련(인천항)",Z550="인천항8부두(인천항)"),"KRINC",VLOOKUP(K550,GLAPS정리!$BB$2:$BC$33,2,0))))))</f>
        <v>#N/A</v>
      </c>
      <c r="AL550" s="2">
        <f t="shared" si="123"/>
        <v>5010001</v>
      </c>
      <c r="AN550" s="70" t="str">
        <f t="shared" si="124"/>
        <v>1900-01-00</v>
      </c>
      <c r="AO550" s="2" t="str">
        <f t="shared" si="125"/>
        <v/>
      </c>
      <c r="AP550" s="2" t="e">
        <f>VLOOKUP(C550,GLAPS정리!$AX$2:$AZ$17,3,0)</f>
        <v>#N/A</v>
      </c>
      <c r="AR550" s="2">
        <f t="shared" si="131"/>
        <v>0</v>
      </c>
      <c r="AX550" s="2" t="e">
        <f>VLOOKUP(L550,GLAPS정리!$V$3:$W$180,2,0)</f>
        <v>#N/A</v>
      </c>
      <c r="BM550" s="2" t="str">
        <f t="shared" si="126"/>
        <v xml:space="preserve"> </v>
      </c>
      <c r="BN550" s="2">
        <f t="shared" si="127"/>
        <v>1</v>
      </c>
      <c r="BR550" s="2" t="str">
        <f t="shared" si="128"/>
        <v/>
      </c>
      <c r="BS550" s="2" t="str">
        <f t="shared" si="129"/>
        <v/>
      </c>
      <c r="BV550" s="2" t="e">
        <f>VLOOKUP(O550,GLAPS정리!$BH$2:$BI$94,2,0)</f>
        <v>#N/A</v>
      </c>
      <c r="BW550" s="2" t="str">
        <f>IF(OR(Z550="동원",Z550="세방",Z550="한타"),"",IFERROR(INDEX(GLAPS정리!$BI$2:$BI$101,MATCH(Z550,GLAPS정리!$BH$2:$BH$101,0)),""))</f>
        <v/>
      </c>
      <c r="BX550" s="2" t="str">
        <f>IF(Z550="","",IFERROR(VLOOKUP(Z550,GLAPS정리!$AX$2:$AZ$17,3,0),""))</f>
        <v/>
      </c>
      <c r="BZ550" s="2" t="e">
        <f>VLOOKUP(H550,GLAPS정리!$L$3:$O$133,2,0)</f>
        <v>#N/A</v>
      </c>
      <c r="CA550" s="2" t="str">
        <f t="shared" si="130"/>
        <v/>
      </c>
      <c r="CL550" s="2" t="e">
        <f>VLOOKUP(AI550,GLAPS정리!$BT$3:$BV$26,3,0)</f>
        <v>#N/A</v>
      </c>
    </row>
    <row r="551" spans="2:90" ht="20.45" customHeight="1">
      <c r="B551" s="13"/>
      <c r="G551" s="3"/>
      <c r="J551" s="3"/>
      <c r="Q551" s="3" t="str">
        <f t="shared" si="118"/>
        <v/>
      </c>
      <c r="R551" s="3" t="str">
        <f t="shared" si="119"/>
        <v/>
      </c>
      <c r="S551" s="3" t="str">
        <f t="shared" si="120"/>
        <v/>
      </c>
      <c r="X551" s="13"/>
      <c r="Y551" s="13"/>
      <c r="Z551" s="91"/>
      <c r="AC551" s="2">
        <f t="shared" si="121"/>
        <v>20</v>
      </c>
      <c r="AD551" s="2" t="str">
        <f>IFERROR(INDEX(GLAPS정리!$D$2:$D$50,MATCH(I551,GLAPS정리!$A$2:$A$50,0)),IFERROR(INDEX(GLAPS정리!$D$2:$D$50,MATCH(I551,GLAPS정리!$B$2:$B$50,0)),""))</f>
        <v/>
      </c>
      <c r="AF551" s="2" t="str">
        <f t="shared" si="122"/>
        <v>KR10</v>
      </c>
      <c r="AI551" s="2" t="e">
        <f>VLOOKUP(F551,GLAPS정리!$G$3:$J$114,2,0)</f>
        <v>#N/A</v>
      </c>
      <c r="AJ551" s="2" t="e">
        <f>IF(Z551="울산정일","KRONS",IF(Z551="울산신항","KRUSN",IF(OR(Z551="선광종합물류(인천여객)",Z551="인천여객(인천여객)"),"KRINF",IF(OR(Z551="선광인천보세(인천신)",Z551="한진인천(인천신)",Z551="선광인천신항(인천신)",Z551="인천더로지스(인천신)"),"KRINN",IF(OR(Z551="인천진아(인천항)",Z551="인천E1(인천항)",Z551="인천SM경인터미널(인천항)",Z551="인천항(인천항)",Z551="인천우련(인천항)",Z551="인천항8부두(인천항)"),"KRINC",VLOOKUP(K551,GLAPS정리!$BB$2:$BC$33,2,0))))))</f>
        <v>#N/A</v>
      </c>
      <c r="AL551" s="2">
        <f t="shared" si="123"/>
        <v>5010001</v>
      </c>
      <c r="AN551" s="70" t="str">
        <f t="shared" si="124"/>
        <v>1900-01-00</v>
      </c>
      <c r="AO551" s="2" t="str">
        <f t="shared" si="125"/>
        <v/>
      </c>
      <c r="AP551" s="2" t="e">
        <f>VLOOKUP(C551,GLAPS정리!$AX$2:$AZ$17,3,0)</f>
        <v>#N/A</v>
      </c>
      <c r="AR551" s="2">
        <f t="shared" si="131"/>
        <v>0</v>
      </c>
      <c r="AX551" s="2" t="e">
        <f>VLOOKUP(L551,GLAPS정리!$V$3:$W$180,2,0)</f>
        <v>#N/A</v>
      </c>
      <c r="BM551" s="2" t="str">
        <f t="shared" si="126"/>
        <v xml:space="preserve"> </v>
      </c>
      <c r="BN551" s="2">
        <f t="shared" si="127"/>
        <v>1</v>
      </c>
      <c r="BR551" s="2" t="str">
        <f t="shared" si="128"/>
        <v/>
      </c>
      <c r="BS551" s="2" t="str">
        <f t="shared" si="129"/>
        <v/>
      </c>
      <c r="BV551" s="2" t="e">
        <f>VLOOKUP(O551,GLAPS정리!$BH$2:$BI$94,2,0)</f>
        <v>#N/A</v>
      </c>
      <c r="BW551" s="2" t="str">
        <f>IF(OR(Z551="동원",Z551="세방",Z551="한타"),"",IFERROR(INDEX(GLAPS정리!$BI$2:$BI$101,MATCH(Z551,GLAPS정리!$BH$2:$BH$101,0)),""))</f>
        <v/>
      </c>
      <c r="BX551" s="2" t="str">
        <f>IF(Z551="","",IFERROR(VLOOKUP(Z551,GLAPS정리!$AX$2:$AZ$17,3,0),""))</f>
        <v/>
      </c>
      <c r="BZ551" s="2" t="e">
        <f>VLOOKUP(H551,GLAPS정리!$L$3:$O$133,2,0)</f>
        <v>#N/A</v>
      </c>
      <c r="CA551" s="2" t="str">
        <f t="shared" si="130"/>
        <v/>
      </c>
      <c r="CL551" s="2" t="e">
        <f>VLOOKUP(AI551,GLAPS정리!$BT$3:$BV$26,3,0)</f>
        <v>#N/A</v>
      </c>
    </row>
    <row r="552" spans="2:90" ht="20.45" customHeight="1">
      <c r="B552" s="13"/>
      <c r="G552" s="3"/>
      <c r="J552" s="3"/>
      <c r="Q552" s="3" t="str">
        <f t="shared" si="118"/>
        <v/>
      </c>
      <c r="R552" s="3" t="str">
        <f t="shared" si="119"/>
        <v/>
      </c>
      <c r="S552" s="3" t="str">
        <f t="shared" si="120"/>
        <v/>
      </c>
      <c r="X552" s="13"/>
      <c r="Y552" s="13"/>
      <c r="Z552" s="91"/>
      <c r="AC552" s="2">
        <f t="shared" si="121"/>
        <v>20</v>
      </c>
      <c r="AD552" s="2" t="str">
        <f>IFERROR(INDEX(GLAPS정리!$D$2:$D$50,MATCH(I552,GLAPS정리!$A$2:$A$50,0)),IFERROR(INDEX(GLAPS정리!$D$2:$D$50,MATCH(I552,GLAPS정리!$B$2:$B$50,0)),""))</f>
        <v/>
      </c>
      <c r="AF552" s="2" t="str">
        <f t="shared" si="122"/>
        <v>KR10</v>
      </c>
      <c r="AI552" s="2" t="e">
        <f>VLOOKUP(F552,GLAPS정리!$G$3:$J$114,2,0)</f>
        <v>#N/A</v>
      </c>
      <c r="AJ552" s="2" t="e">
        <f>IF(Z552="울산정일","KRONS",IF(Z552="울산신항","KRUSN",IF(OR(Z552="선광종합물류(인천여객)",Z552="인천여객(인천여객)"),"KRINF",IF(OR(Z552="선광인천보세(인천신)",Z552="한진인천(인천신)",Z552="선광인천신항(인천신)",Z552="인천더로지스(인천신)"),"KRINN",IF(OR(Z552="인천진아(인천항)",Z552="인천E1(인천항)",Z552="인천SM경인터미널(인천항)",Z552="인천항(인천항)",Z552="인천우련(인천항)",Z552="인천항8부두(인천항)"),"KRINC",VLOOKUP(K552,GLAPS정리!$BB$2:$BC$33,2,0))))))</f>
        <v>#N/A</v>
      </c>
      <c r="AL552" s="2">
        <f t="shared" si="123"/>
        <v>5010001</v>
      </c>
      <c r="AN552" s="70" t="str">
        <f t="shared" si="124"/>
        <v>1900-01-00</v>
      </c>
      <c r="AO552" s="2" t="str">
        <f t="shared" si="125"/>
        <v/>
      </c>
      <c r="AP552" s="2" t="e">
        <f>VLOOKUP(C552,GLAPS정리!$AX$2:$AZ$17,3,0)</f>
        <v>#N/A</v>
      </c>
      <c r="AR552" s="2">
        <f t="shared" si="131"/>
        <v>0</v>
      </c>
      <c r="AX552" s="2" t="e">
        <f>VLOOKUP(L552,GLAPS정리!$V$3:$W$180,2,0)</f>
        <v>#N/A</v>
      </c>
      <c r="BM552" s="2" t="str">
        <f t="shared" si="126"/>
        <v xml:space="preserve"> </v>
      </c>
      <c r="BN552" s="2">
        <f t="shared" si="127"/>
        <v>1</v>
      </c>
      <c r="BR552" s="2" t="str">
        <f t="shared" si="128"/>
        <v/>
      </c>
      <c r="BS552" s="2" t="str">
        <f t="shared" si="129"/>
        <v/>
      </c>
      <c r="BV552" s="2" t="e">
        <f>VLOOKUP(O552,GLAPS정리!$BH$2:$BI$94,2,0)</f>
        <v>#N/A</v>
      </c>
      <c r="BW552" s="2" t="str">
        <f>IF(OR(Z552="동원",Z552="세방",Z552="한타"),"",IFERROR(INDEX(GLAPS정리!$BI$2:$BI$101,MATCH(Z552,GLAPS정리!$BH$2:$BH$101,0)),""))</f>
        <v/>
      </c>
      <c r="BX552" s="2" t="str">
        <f>IF(Z552="","",IFERROR(VLOOKUP(Z552,GLAPS정리!$AX$2:$AZ$17,3,0),""))</f>
        <v/>
      </c>
      <c r="BZ552" s="2" t="e">
        <f>VLOOKUP(H552,GLAPS정리!$L$3:$O$133,2,0)</f>
        <v>#N/A</v>
      </c>
      <c r="CA552" s="2" t="str">
        <f t="shared" si="130"/>
        <v/>
      </c>
      <c r="CL552" s="2" t="e">
        <f>VLOOKUP(AI552,GLAPS정리!$BT$3:$BV$26,3,0)</f>
        <v>#N/A</v>
      </c>
    </row>
    <row r="553" spans="2:90" ht="20.45" customHeight="1">
      <c r="B553" s="13"/>
      <c r="G553" s="3"/>
      <c r="J553" s="3"/>
      <c r="Q553" s="3" t="str">
        <f t="shared" si="118"/>
        <v/>
      </c>
      <c r="R553" s="3" t="str">
        <f t="shared" si="119"/>
        <v/>
      </c>
      <c r="S553" s="3" t="str">
        <f t="shared" si="120"/>
        <v/>
      </c>
      <c r="X553" s="13"/>
      <c r="Y553" s="13"/>
      <c r="Z553" s="91"/>
      <c r="AC553" s="2">
        <f t="shared" si="121"/>
        <v>20</v>
      </c>
      <c r="AD553" s="2" t="str">
        <f>IFERROR(INDEX(GLAPS정리!$D$2:$D$50,MATCH(I553,GLAPS정리!$A$2:$A$50,0)),IFERROR(INDEX(GLAPS정리!$D$2:$D$50,MATCH(I553,GLAPS정리!$B$2:$B$50,0)),""))</f>
        <v/>
      </c>
      <c r="AF553" s="2" t="str">
        <f t="shared" si="122"/>
        <v>KR10</v>
      </c>
      <c r="AI553" s="2" t="e">
        <f>VLOOKUP(F553,GLAPS정리!$G$3:$J$114,2,0)</f>
        <v>#N/A</v>
      </c>
      <c r="AJ553" s="2" t="e">
        <f>IF(Z553="울산정일","KRONS",IF(Z553="울산신항","KRUSN",IF(OR(Z553="선광종합물류(인천여객)",Z553="인천여객(인천여객)"),"KRINF",IF(OR(Z553="선광인천보세(인천신)",Z553="한진인천(인천신)",Z553="선광인천신항(인천신)",Z553="인천더로지스(인천신)"),"KRINN",IF(OR(Z553="인천진아(인천항)",Z553="인천E1(인천항)",Z553="인천SM경인터미널(인천항)",Z553="인천항(인천항)",Z553="인천우련(인천항)",Z553="인천항8부두(인천항)"),"KRINC",VLOOKUP(K553,GLAPS정리!$BB$2:$BC$33,2,0))))))</f>
        <v>#N/A</v>
      </c>
      <c r="AL553" s="2">
        <f t="shared" si="123"/>
        <v>5010001</v>
      </c>
      <c r="AN553" s="70" t="str">
        <f t="shared" si="124"/>
        <v>1900-01-00</v>
      </c>
      <c r="AO553" s="2" t="str">
        <f t="shared" si="125"/>
        <v/>
      </c>
      <c r="AP553" s="2" t="e">
        <f>VLOOKUP(C553,GLAPS정리!$AX$2:$AZ$17,3,0)</f>
        <v>#N/A</v>
      </c>
      <c r="AR553" s="2">
        <f t="shared" si="131"/>
        <v>0</v>
      </c>
      <c r="AX553" s="2" t="e">
        <f>VLOOKUP(L553,GLAPS정리!$V$3:$W$180,2,0)</f>
        <v>#N/A</v>
      </c>
      <c r="BM553" s="2" t="str">
        <f t="shared" si="126"/>
        <v xml:space="preserve"> </v>
      </c>
      <c r="BN553" s="2">
        <f t="shared" si="127"/>
        <v>1</v>
      </c>
      <c r="BR553" s="2" t="str">
        <f t="shared" si="128"/>
        <v/>
      </c>
      <c r="BS553" s="2" t="str">
        <f t="shared" si="129"/>
        <v/>
      </c>
      <c r="BV553" s="2" t="e">
        <f>VLOOKUP(O553,GLAPS정리!$BH$2:$BI$94,2,0)</f>
        <v>#N/A</v>
      </c>
      <c r="BW553" s="2" t="str">
        <f>IF(OR(Z553="동원",Z553="세방",Z553="한타"),"",IFERROR(INDEX(GLAPS정리!$BI$2:$BI$101,MATCH(Z553,GLAPS정리!$BH$2:$BH$101,0)),""))</f>
        <v/>
      </c>
      <c r="BX553" s="2" t="str">
        <f>IF(Z553="","",IFERROR(VLOOKUP(Z553,GLAPS정리!$AX$2:$AZ$17,3,0),""))</f>
        <v/>
      </c>
      <c r="BZ553" s="2" t="e">
        <f>VLOOKUP(H553,GLAPS정리!$L$3:$O$133,2,0)</f>
        <v>#N/A</v>
      </c>
      <c r="CA553" s="2" t="str">
        <f t="shared" si="130"/>
        <v/>
      </c>
      <c r="CL553" s="2" t="e">
        <f>VLOOKUP(AI553,GLAPS정리!$BT$3:$BV$26,3,0)</f>
        <v>#N/A</v>
      </c>
    </row>
    <row r="554" spans="2:90" ht="20.45" customHeight="1">
      <c r="B554" s="13"/>
      <c r="G554" s="3"/>
      <c r="J554" s="3"/>
      <c r="Q554" s="3" t="str">
        <f t="shared" si="118"/>
        <v/>
      </c>
      <c r="R554" s="3" t="str">
        <f t="shared" si="119"/>
        <v/>
      </c>
      <c r="S554" s="3" t="str">
        <f t="shared" si="120"/>
        <v/>
      </c>
      <c r="X554" s="13"/>
      <c r="Y554" s="13"/>
      <c r="Z554" s="91"/>
      <c r="AC554" s="2">
        <f t="shared" si="121"/>
        <v>20</v>
      </c>
      <c r="AD554" s="2" t="str">
        <f>IFERROR(INDEX(GLAPS정리!$D$2:$D$50,MATCH(I554,GLAPS정리!$A$2:$A$50,0)),IFERROR(INDEX(GLAPS정리!$D$2:$D$50,MATCH(I554,GLAPS정리!$B$2:$B$50,0)),""))</f>
        <v/>
      </c>
      <c r="AF554" s="2" t="str">
        <f t="shared" si="122"/>
        <v>KR10</v>
      </c>
      <c r="AI554" s="2" t="e">
        <f>VLOOKUP(F554,GLAPS정리!$G$3:$J$114,2,0)</f>
        <v>#N/A</v>
      </c>
      <c r="AJ554" s="2" t="e">
        <f>IF(Z554="울산정일","KRONS",IF(Z554="울산신항","KRUSN",IF(OR(Z554="선광종합물류(인천여객)",Z554="인천여객(인천여객)"),"KRINF",IF(OR(Z554="선광인천보세(인천신)",Z554="한진인천(인천신)",Z554="선광인천신항(인천신)",Z554="인천더로지스(인천신)"),"KRINN",IF(OR(Z554="인천진아(인천항)",Z554="인천E1(인천항)",Z554="인천SM경인터미널(인천항)",Z554="인천항(인천항)",Z554="인천우련(인천항)",Z554="인천항8부두(인천항)"),"KRINC",VLOOKUP(K554,GLAPS정리!$BB$2:$BC$33,2,0))))))</f>
        <v>#N/A</v>
      </c>
      <c r="AL554" s="2">
        <f t="shared" si="123"/>
        <v>5010001</v>
      </c>
      <c r="AN554" s="70" t="str">
        <f t="shared" si="124"/>
        <v>1900-01-00</v>
      </c>
      <c r="AO554" s="2" t="str">
        <f t="shared" si="125"/>
        <v/>
      </c>
      <c r="AP554" s="2" t="e">
        <f>VLOOKUP(C554,GLAPS정리!$AX$2:$AZ$17,3,0)</f>
        <v>#N/A</v>
      </c>
      <c r="AR554" s="2">
        <f t="shared" si="131"/>
        <v>0</v>
      </c>
      <c r="AX554" s="2" t="e">
        <f>VLOOKUP(L554,GLAPS정리!$V$3:$W$180,2,0)</f>
        <v>#N/A</v>
      </c>
      <c r="BM554" s="2" t="str">
        <f t="shared" si="126"/>
        <v xml:space="preserve"> </v>
      </c>
      <c r="BN554" s="2">
        <f t="shared" si="127"/>
        <v>1</v>
      </c>
      <c r="BR554" s="2" t="str">
        <f t="shared" si="128"/>
        <v/>
      </c>
      <c r="BS554" s="2" t="str">
        <f t="shared" si="129"/>
        <v/>
      </c>
      <c r="BV554" s="2" t="e">
        <f>VLOOKUP(O554,GLAPS정리!$BH$2:$BI$94,2,0)</f>
        <v>#N/A</v>
      </c>
      <c r="BW554" s="2" t="str">
        <f>IF(OR(Z554="동원",Z554="세방",Z554="한타"),"",IFERROR(INDEX(GLAPS정리!$BI$2:$BI$101,MATCH(Z554,GLAPS정리!$BH$2:$BH$101,0)),""))</f>
        <v/>
      </c>
      <c r="BX554" s="2" t="str">
        <f>IF(Z554="","",IFERROR(VLOOKUP(Z554,GLAPS정리!$AX$2:$AZ$17,3,0),""))</f>
        <v/>
      </c>
      <c r="BZ554" s="2" t="e">
        <f>VLOOKUP(H554,GLAPS정리!$L$3:$O$133,2,0)</f>
        <v>#N/A</v>
      </c>
      <c r="CA554" s="2" t="str">
        <f t="shared" si="130"/>
        <v/>
      </c>
      <c r="CL554" s="2" t="e">
        <f>VLOOKUP(AI554,GLAPS정리!$BT$3:$BV$26,3,0)</f>
        <v>#N/A</v>
      </c>
    </row>
    <row r="555" spans="2:90" ht="20.45" customHeight="1">
      <c r="B555" s="13"/>
      <c r="G555" s="3"/>
      <c r="J555" s="3"/>
      <c r="Q555" s="3" t="str">
        <f t="shared" si="118"/>
        <v/>
      </c>
      <c r="R555" s="3" t="str">
        <f t="shared" si="119"/>
        <v/>
      </c>
      <c r="S555" s="3" t="str">
        <f t="shared" si="120"/>
        <v/>
      </c>
      <c r="X555" s="13"/>
      <c r="Y555" s="13"/>
      <c r="Z555" s="91"/>
      <c r="AC555" s="2">
        <f t="shared" si="121"/>
        <v>20</v>
      </c>
      <c r="AD555" s="2" t="str">
        <f>IFERROR(INDEX(GLAPS정리!$D$2:$D$50,MATCH(I555,GLAPS정리!$A$2:$A$50,0)),IFERROR(INDEX(GLAPS정리!$D$2:$D$50,MATCH(I555,GLAPS정리!$B$2:$B$50,0)),""))</f>
        <v/>
      </c>
      <c r="AF555" s="2" t="str">
        <f t="shared" si="122"/>
        <v>KR10</v>
      </c>
      <c r="AI555" s="2" t="e">
        <f>VLOOKUP(F555,GLAPS정리!$G$3:$J$114,2,0)</f>
        <v>#N/A</v>
      </c>
      <c r="AJ555" s="2" t="e">
        <f>IF(Z555="울산정일","KRONS",IF(Z555="울산신항","KRUSN",IF(OR(Z555="선광종합물류(인천여객)",Z555="인천여객(인천여객)"),"KRINF",IF(OR(Z555="선광인천보세(인천신)",Z555="한진인천(인천신)",Z555="선광인천신항(인천신)",Z555="인천더로지스(인천신)"),"KRINN",IF(OR(Z555="인천진아(인천항)",Z555="인천E1(인천항)",Z555="인천SM경인터미널(인천항)",Z555="인천항(인천항)",Z555="인천우련(인천항)",Z555="인천항8부두(인천항)"),"KRINC",VLOOKUP(K555,GLAPS정리!$BB$2:$BC$33,2,0))))))</f>
        <v>#N/A</v>
      </c>
      <c r="AL555" s="2">
        <f t="shared" si="123"/>
        <v>5010001</v>
      </c>
      <c r="AN555" s="70" t="str">
        <f t="shared" si="124"/>
        <v>1900-01-00</v>
      </c>
      <c r="AO555" s="2" t="str">
        <f t="shared" si="125"/>
        <v/>
      </c>
      <c r="AP555" s="2" t="e">
        <f>VLOOKUP(C555,GLAPS정리!$AX$2:$AZ$17,3,0)</f>
        <v>#N/A</v>
      </c>
      <c r="AR555" s="2">
        <f t="shared" si="131"/>
        <v>0</v>
      </c>
      <c r="AX555" s="2" t="e">
        <f>VLOOKUP(L555,GLAPS정리!$V$3:$W$180,2,0)</f>
        <v>#N/A</v>
      </c>
      <c r="BM555" s="2" t="str">
        <f t="shared" si="126"/>
        <v xml:space="preserve"> </v>
      </c>
      <c r="BN555" s="2">
        <f t="shared" si="127"/>
        <v>1</v>
      </c>
      <c r="BR555" s="2" t="str">
        <f t="shared" si="128"/>
        <v/>
      </c>
      <c r="BS555" s="2" t="str">
        <f t="shared" si="129"/>
        <v/>
      </c>
      <c r="BV555" s="2" t="e">
        <f>VLOOKUP(O555,GLAPS정리!$BH$2:$BI$94,2,0)</f>
        <v>#N/A</v>
      </c>
      <c r="BW555" s="2" t="str">
        <f>IF(OR(Z555="동원",Z555="세방",Z555="한타"),"",IFERROR(INDEX(GLAPS정리!$BI$2:$BI$101,MATCH(Z555,GLAPS정리!$BH$2:$BH$101,0)),""))</f>
        <v/>
      </c>
      <c r="BX555" s="2" t="str">
        <f>IF(Z555="","",IFERROR(VLOOKUP(Z555,GLAPS정리!$AX$2:$AZ$17,3,0),""))</f>
        <v/>
      </c>
      <c r="BZ555" s="2" t="e">
        <f>VLOOKUP(H555,GLAPS정리!$L$3:$O$133,2,0)</f>
        <v>#N/A</v>
      </c>
      <c r="CA555" s="2" t="str">
        <f t="shared" si="130"/>
        <v/>
      </c>
      <c r="CL555" s="2" t="e">
        <f>VLOOKUP(AI555,GLAPS정리!$BT$3:$BV$26,3,0)</f>
        <v>#N/A</v>
      </c>
    </row>
    <row r="556" spans="2:90" ht="20.45" customHeight="1">
      <c r="B556" s="13"/>
      <c r="G556" s="3"/>
      <c r="J556" s="3"/>
      <c r="Q556" s="3" t="str">
        <f t="shared" si="118"/>
        <v/>
      </c>
      <c r="R556" s="3" t="str">
        <f t="shared" si="119"/>
        <v/>
      </c>
      <c r="S556" s="3" t="str">
        <f t="shared" si="120"/>
        <v/>
      </c>
      <c r="X556" s="13"/>
      <c r="Y556" s="13"/>
      <c r="Z556" s="91"/>
      <c r="AC556" s="2">
        <f t="shared" si="121"/>
        <v>20</v>
      </c>
      <c r="AD556" s="2" t="str">
        <f>IFERROR(INDEX(GLAPS정리!$D$2:$D$50,MATCH(I556,GLAPS정리!$A$2:$A$50,0)),IFERROR(INDEX(GLAPS정리!$D$2:$D$50,MATCH(I556,GLAPS정리!$B$2:$B$50,0)),""))</f>
        <v/>
      </c>
      <c r="AF556" s="2" t="str">
        <f t="shared" si="122"/>
        <v>KR10</v>
      </c>
      <c r="AI556" s="2" t="e">
        <f>VLOOKUP(F556,GLAPS정리!$G$3:$J$114,2,0)</f>
        <v>#N/A</v>
      </c>
      <c r="AJ556" s="2" t="e">
        <f>IF(Z556="울산정일","KRONS",IF(Z556="울산신항","KRUSN",IF(OR(Z556="선광종합물류(인천여객)",Z556="인천여객(인천여객)"),"KRINF",IF(OR(Z556="선광인천보세(인천신)",Z556="한진인천(인천신)",Z556="선광인천신항(인천신)",Z556="인천더로지스(인천신)"),"KRINN",IF(OR(Z556="인천진아(인천항)",Z556="인천E1(인천항)",Z556="인천SM경인터미널(인천항)",Z556="인천항(인천항)",Z556="인천우련(인천항)",Z556="인천항8부두(인천항)"),"KRINC",VLOOKUP(K556,GLAPS정리!$BB$2:$BC$33,2,0))))))</f>
        <v>#N/A</v>
      </c>
      <c r="AL556" s="2">
        <f t="shared" si="123"/>
        <v>5010001</v>
      </c>
      <c r="AN556" s="70" t="str">
        <f t="shared" si="124"/>
        <v>1900-01-00</v>
      </c>
      <c r="AO556" s="2" t="str">
        <f t="shared" si="125"/>
        <v/>
      </c>
      <c r="AP556" s="2" t="e">
        <f>VLOOKUP(C556,GLAPS정리!$AX$2:$AZ$17,3,0)</f>
        <v>#N/A</v>
      </c>
      <c r="AR556" s="2">
        <f t="shared" si="131"/>
        <v>0</v>
      </c>
      <c r="AX556" s="2" t="e">
        <f>VLOOKUP(L556,GLAPS정리!$V$3:$W$180,2,0)</f>
        <v>#N/A</v>
      </c>
      <c r="BM556" s="2" t="str">
        <f t="shared" si="126"/>
        <v xml:space="preserve"> </v>
      </c>
      <c r="BN556" s="2">
        <f t="shared" si="127"/>
        <v>1</v>
      </c>
      <c r="BR556" s="2" t="str">
        <f t="shared" si="128"/>
        <v/>
      </c>
      <c r="BS556" s="2" t="str">
        <f t="shared" si="129"/>
        <v/>
      </c>
      <c r="BV556" s="2" t="e">
        <f>VLOOKUP(O556,GLAPS정리!$BH$2:$BI$94,2,0)</f>
        <v>#N/A</v>
      </c>
      <c r="BW556" s="2" t="str">
        <f>IF(OR(Z556="동원",Z556="세방",Z556="한타"),"",IFERROR(INDEX(GLAPS정리!$BI$2:$BI$101,MATCH(Z556,GLAPS정리!$BH$2:$BH$101,0)),""))</f>
        <v/>
      </c>
      <c r="BX556" s="2" t="str">
        <f>IF(Z556="","",IFERROR(VLOOKUP(Z556,GLAPS정리!$AX$2:$AZ$17,3,0),""))</f>
        <v/>
      </c>
      <c r="BZ556" s="2" t="e">
        <f>VLOOKUP(H556,GLAPS정리!$L$3:$O$133,2,0)</f>
        <v>#N/A</v>
      </c>
      <c r="CA556" s="2" t="str">
        <f t="shared" si="130"/>
        <v/>
      </c>
      <c r="CL556" s="2" t="e">
        <f>VLOOKUP(AI556,GLAPS정리!$BT$3:$BV$26,3,0)</f>
        <v>#N/A</v>
      </c>
    </row>
    <row r="557" spans="2:90" ht="20.45" customHeight="1">
      <c r="B557" s="13"/>
      <c r="G557" s="3"/>
      <c r="J557" s="3"/>
      <c r="Q557" s="3" t="str">
        <f t="shared" si="118"/>
        <v/>
      </c>
      <c r="R557" s="3" t="str">
        <f t="shared" si="119"/>
        <v/>
      </c>
      <c r="S557" s="3" t="str">
        <f t="shared" si="120"/>
        <v/>
      </c>
      <c r="X557" s="13"/>
      <c r="Y557" s="13"/>
      <c r="Z557" s="91"/>
      <c r="AC557" s="2">
        <f t="shared" si="121"/>
        <v>20</v>
      </c>
      <c r="AD557" s="2" t="str">
        <f>IFERROR(INDEX(GLAPS정리!$D$2:$D$50,MATCH(I557,GLAPS정리!$A$2:$A$50,0)),IFERROR(INDEX(GLAPS정리!$D$2:$D$50,MATCH(I557,GLAPS정리!$B$2:$B$50,0)),""))</f>
        <v/>
      </c>
      <c r="AF557" s="2" t="str">
        <f t="shared" si="122"/>
        <v>KR10</v>
      </c>
      <c r="AI557" s="2" t="e">
        <f>VLOOKUP(F557,GLAPS정리!$G$3:$J$114,2,0)</f>
        <v>#N/A</v>
      </c>
      <c r="AJ557" s="2" t="e">
        <f>IF(Z557="울산정일","KRONS",IF(Z557="울산신항","KRUSN",IF(OR(Z557="선광종합물류(인천여객)",Z557="인천여객(인천여객)"),"KRINF",IF(OR(Z557="선광인천보세(인천신)",Z557="한진인천(인천신)",Z557="선광인천신항(인천신)",Z557="인천더로지스(인천신)"),"KRINN",IF(OR(Z557="인천진아(인천항)",Z557="인천E1(인천항)",Z557="인천SM경인터미널(인천항)",Z557="인천항(인천항)",Z557="인천우련(인천항)",Z557="인천항8부두(인천항)"),"KRINC",VLOOKUP(K557,GLAPS정리!$BB$2:$BC$33,2,0))))))</f>
        <v>#N/A</v>
      </c>
      <c r="AL557" s="2">
        <f t="shared" si="123"/>
        <v>5010001</v>
      </c>
      <c r="AN557" s="70" t="str">
        <f t="shared" si="124"/>
        <v>1900-01-00</v>
      </c>
      <c r="AO557" s="2" t="str">
        <f t="shared" si="125"/>
        <v/>
      </c>
      <c r="AP557" s="2" t="e">
        <f>VLOOKUP(C557,GLAPS정리!$AX$2:$AZ$17,3,0)</f>
        <v>#N/A</v>
      </c>
      <c r="AR557" s="2">
        <f t="shared" si="131"/>
        <v>0</v>
      </c>
      <c r="AX557" s="2" t="e">
        <f>VLOOKUP(L557,GLAPS정리!$V$3:$W$180,2,0)</f>
        <v>#N/A</v>
      </c>
      <c r="BM557" s="2" t="str">
        <f t="shared" si="126"/>
        <v xml:space="preserve"> </v>
      </c>
      <c r="BN557" s="2">
        <f t="shared" si="127"/>
        <v>1</v>
      </c>
      <c r="BR557" s="2" t="str">
        <f t="shared" si="128"/>
        <v/>
      </c>
      <c r="BS557" s="2" t="str">
        <f t="shared" si="129"/>
        <v/>
      </c>
      <c r="BV557" s="2" t="e">
        <f>VLOOKUP(O557,GLAPS정리!$BH$2:$BI$94,2,0)</f>
        <v>#N/A</v>
      </c>
      <c r="BW557" s="2" t="str">
        <f>IF(OR(Z557="동원",Z557="세방",Z557="한타"),"",IFERROR(INDEX(GLAPS정리!$BI$2:$BI$101,MATCH(Z557,GLAPS정리!$BH$2:$BH$101,0)),""))</f>
        <v/>
      </c>
      <c r="BX557" s="2" t="str">
        <f>IF(Z557="","",IFERROR(VLOOKUP(Z557,GLAPS정리!$AX$2:$AZ$17,3,0),""))</f>
        <v/>
      </c>
      <c r="BZ557" s="2" t="e">
        <f>VLOOKUP(H557,GLAPS정리!$L$3:$O$133,2,0)</f>
        <v>#N/A</v>
      </c>
      <c r="CA557" s="2" t="str">
        <f t="shared" si="130"/>
        <v/>
      </c>
      <c r="CL557" s="2" t="e">
        <f>VLOOKUP(AI557,GLAPS정리!$BT$3:$BV$26,3,0)</f>
        <v>#N/A</v>
      </c>
    </row>
    <row r="558" spans="2:90" ht="20.45" customHeight="1">
      <c r="B558" s="13"/>
      <c r="G558" s="3"/>
      <c r="J558" s="3"/>
      <c r="Q558" s="3" t="str">
        <f t="shared" si="118"/>
        <v/>
      </c>
      <c r="R558" s="3" t="str">
        <f t="shared" si="119"/>
        <v/>
      </c>
      <c r="S558" s="3" t="str">
        <f t="shared" si="120"/>
        <v/>
      </c>
      <c r="X558" s="13"/>
      <c r="Y558" s="13"/>
      <c r="Z558" s="91"/>
      <c r="AC558" s="2">
        <f t="shared" si="121"/>
        <v>20</v>
      </c>
      <c r="AD558" s="2" t="str">
        <f>IFERROR(INDEX(GLAPS정리!$D$2:$D$50,MATCH(I558,GLAPS정리!$A$2:$A$50,0)),IFERROR(INDEX(GLAPS정리!$D$2:$D$50,MATCH(I558,GLAPS정리!$B$2:$B$50,0)),""))</f>
        <v/>
      </c>
      <c r="AF558" s="2" t="str">
        <f t="shared" si="122"/>
        <v>KR10</v>
      </c>
      <c r="AI558" s="2" t="e">
        <f>VLOOKUP(F558,GLAPS정리!$G$3:$J$114,2,0)</f>
        <v>#N/A</v>
      </c>
      <c r="AJ558" s="2" t="e">
        <f>IF(Z558="울산정일","KRONS",IF(Z558="울산신항","KRUSN",IF(OR(Z558="선광종합물류(인천여객)",Z558="인천여객(인천여객)"),"KRINF",IF(OR(Z558="선광인천보세(인천신)",Z558="한진인천(인천신)",Z558="선광인천신항(인천신)",Z558="인천더로지스(인천신)"),"KRINN",IF(OR(Z558="인천진아(인천항)",Z558="인천E1(인천항)",Z558="인천SM경인터미널(인천항)",Z558="인천항(인천항)",Z558="인천우련(인천항)",Z558="인천항8부두(인천항)"),"KRINC",VLOOKUP(K558,GLAPS정리!$BB$2:$BC$33,2,0))))))</f>
        <v>#N/A</v>
      </c>
      <c r="AL558" s="2">
        <f t="shared" si="123"/>
        <v>5010001</v>
      </c>
      <c r="AN558" s="70" t="str">
        <f t="shared" si="124"/>
        <v>1900-01-00</v>
      </c>
      <c r="AO558" s="2" t="str">
        <f t="shared" si="125"/>
        <v/>
      </c>
      <c r="AP558" s="2" t="e">
        <f>VLOOKUP(C558,GLAPS정리!$AX$2:$AZ$17,3,0)</f>
        <v>#N/A</v>
      </c>
      <c r="AR558" s="2">
        <f t="shared" si="131"/>
        <v>0</v>
      </c>
      <c r="AX558" s="2" t="e">
        <f>VLOOKUP(L558,GLAPS정리!$V$3:$W$180,2,0)</f>
        <v>#N/A</v>
      </c>
      <c r="BM558" s="2" t="str">
        <f t="shared" si="126"/>
        <v xml:space="preserve"> </v>
      </c>
      <c r="BN558" s="2">
        <f t="shared" si="127"/>
        <v>1</v>
      </c>
      <c r="BR558" s="2" t="str">
        <f t="shared" si="128"/>
        <v/>
      </c>
      <c r="BS558" s="2" t="str">
        <f t="shared" si="129"/>
        <v/>
      </c>
      <c r="BV558" s="2" t="e">
        <f>VLOOKUP(O558,GLAPS정리!$BH$2:$BI$94,2,0)</f>
        <v>#N/A</v>
      </c>
      <c r="BW558" s="2" t="str">
        <f>IF(OR(Z558="동원",Z558="세방",Z558="한타"),"",IFERROR(INDEX(GLAPS정리!$BI$2:$BI$101,MATCH(Z558,GLAPS정리!$BH$2:$BH$101,0)),""))</f>
        <v/>
      </c>
      <c r="BX558" s="2" t="str">
        <f>IF(Z558="","",IFERROR(VLOOKUP(Z558,GLAPS정리!$AX$2:$AZ$17,3,0),""))</f>
        <v/>
      </c>
      <c r="BZ558" s="2" t="e">
        <f>VLOOKUP(H558,GLAPS정리!$L$3:$O$133,2,0)</f>
        <v>#N/A</v>
      </c>
      <c r="CA558" s="2" t="str">
        <f t="shared" si="130"/>
        <v/>
      </c>
      <c r="CL558" s="2" t="e">
        <f>VLOOKUP(AI558,GLAPS정리!$BT$3:$BV$26,3,0)</f>
        <v>#N/A</v>
      </c>
    </row>
    <row r="559" spans="2:90" ht="20.45" customHeight="1">
      <c r="B559" s="13"/>
      <c r="G559" s="3"/>
      <c r="J559" s="3"/>
      <c r="Q559" s="3" t="str">
        <f t="shared" si="118"/>
        <v/>
      </c>
      <c r="R559" s="3" t="str">
        <f t="shared" si="119"/>
        <v/>
      </c>
      <c r="S559" s="3" t="str">
        <f t="shared" si="120"/>
        <v/>
      </c>
      <c r="X559" s="13"/>
      <c r="Y559" s="13"/>
      <c r="Z559" s="91"/>
      <c r="AC559" s="2">
        <f t="shared" si="121"/>
        <v>20</v>
      </c>
      <c r="AD559" s="2" t="str">
        <f>IFERROR(INDEX(GLAPS정리!$D$2:$D$50,MATCH(I559,GLAPS정리!$A$2:$A$50,0)),IFERROR(INDEX(GLAPS정리!$D$2:$D$50,MATCH(I559,GLAPS정리!$B$2:$B$50,0)),""))</f>
        <v/>
      </c>
      <c r="AF559" s="2" t="str">
        <f t="shared" si="122"/>
        <v>KR10</v>
      </c>
      <c r="AI559" s="2" t="e">
        <f>VLOOKUP(F559,GLAPS정리!$G$3:$J$114,2,0)</f>
        <v>#N/A</v>
      </c>
      <c r="AJ559" s="2" t="e">
        <f>IF(Z559="울산정일","KRONS",IF(Z559="울산신항","KRUSN",IF(OR(Z559="선광종합물류(인천여객)",Z559="인천여객(인천여객)"),"KRINF",IF(OR(Z559="선광인천보세(인천신)",Z559="한진인천(인천신)",Z559="선광인천신항(인천신)",Z559="인천더로지스(인천신)"),"KRINN",IF(OR(Z559="인천진아(인천항)",Z559="인천E1(인천항)",Z559="인천SM경인터미널(인천항)",Z559="인천항(인천항)",Z559="인천우련(인천항)",Z559="인천항8부두(인천항)"),"KRINC",VLOOKUP(K559,GLAPS정리!$BB$2:$BC$33,2,0))))))</f>
        <v>#N/A</v>
      </c>
      <c r="AL559" s="2">
        <f t="shared" si="123"/>
        <v>5010001</v>
      </c>
      <c r="AN559" s="70" t="str">
        <f t="shared" si="124"/>
        <v>1900-01-00</v>
      </c>
      <c r="AO559" s="2" t="str">
        <f t="shared" si="125"/>
        <v/>
      </c>
      <c r="AP559" s="2" t="e">
        <f>VLOOKUP(C559,GLAPS정리!$AX$2:$AZ$17,3,0)</f>
        <v>#N/A</v>
      </c>
      <c r="AR559" s="2">
        <f t="shared" si="131"/>
        <v>0</v>
      </c>
      <c r="AX559" s="2" t="e">
        <f>VLOOKUP(L559,GLAPS정리!$V$3:$W$180,2,0)</f>
        <v>#N/A</v>
      </c>
      <c r="BM559" s="2" t="str">
        <f t="shared" si="126"/>
        <v xml:space="preserve"> </v>
      </c>
      <c r="BN559" s="2">
        <f t="shared" si="127"/>
        <v>1</v>
      </c>
      <c r="BR559" s="2" t="str">
        <f t="shared" si="128"/>
        <v/>
      </c>
      <c r="BS559" s="2" t="str">
        <f t="shared" si="129"/>
        <v/>
      </c>
      <c r="BV559" s="2" t="e">
        <f>VLOOKUP(O559,GLAPS정리!$BH$2:$BI$94,2,0)</f>
        <v>#N/A</v>
      </c>
      <c r="BW559" s="2" t="str">
        <f>IF(OR(Z559="동원",Z559="세방",Z559="한타"),"",IFERROR(INDEX(GLAPS정리!$BI$2:$BI$101,MATCH(Z559,GLAPS정리!$BH$2:$BH$101,0)),""))</f>
        <v/>
      </c>
      <c r="BX559" s="2" t="str">
        <f>IF(Z559="","",IFERROR(VLOOKUP(Z559,GLAPS정리!$AX$2:$AZ$17,3,0),""))</f>
        <v/>
      </c>
      <c r="BZ559" s="2" t="e">
        <f>VLOOKUP(H559,GLAPS정리!$L$3:$O$133,2,0)</f>
        <v>#N/A</v>
      </c>
      <c r="CA559" s="2" t="str">
        <f t="shared" si="130"/>
        <v/>
      </c>
      <c r="CL559" s="2" t="e">
        <f>VLOOKUP(AI559,GLAPS정리!$BT$3:$BV$26,3,0)</f>
        <v>#N/A</v>
      </c>
    </row>
    <row r="560" spans="2:90" ht="20.45" customHeight="1">
      <c r="B560" s="13"/>
      <c r="G560" s="3"/>
      <c r="J560" s="3"/>
      <c r="Q560" s="3" t="str">
        <f t="shared" si="118"/>
        <v/>
      </c>
      <c r="R560" s="3" t="str">
        <f t="shared" si="119"/>
        <v/>
      </c>
      <c r="S560" s="3" t="str">
        <f t="shared" si="120"/>
        <v/>
      </c>
      <c r="X560" s="13"/>
      <c r="Y560" s="13"/>
      <c r="Z560" s="91"/>
      <c r="AC560" s="2">
        <f t="shared" si="121"/>
        <v>20</v>
      </c>
      <c r="AD560" s="2" t="str">
        <f>IFERROR(INDEX(GLAPS정리!$D$2:$D$50,MATCH(I560,GLAPS정리!$A$2:$A$50,0)),IFERROR(INDEX(GLAPS정리!$D$2:$D$50,MATCH(I560,GLAPS정리!$B$2:$B$50,0)),""))</f>
        <v/>
      </c>
      <c r="AF560" s="2" t="str">
        <f t="shared" si="122"/>
        <v>KR10</v>
      </c>
      <c r="AI560" s="2" t="e">
        <f>VLOOKUP(F560,GLAPS정리!$G$3:$J$114,2,0)</f>
        <v>#N/A</v>
      </c>
      <c r="AJ560" s="2" t="e">
        <f>IF(Z560="울산정일","KRONS",IF(Z560="울산신항","KRUSN",IF(OR(Z560="선광종합물류(인천여객)",Z560="인천여객(인천여객)"),"KRINF",IF(OR(Z560="선광인천보세(인천신)",Z560="한진인천(인천신)",Z560="선광인천신항(인천신)",Z560="인천더로지스(인천신)"),"KRINN",IF(OR(Z560="인천진아(인천항)",Z560="인천E1(인천항)",Z560="인천SM경인터미널(인천항)",Z560="인천항(인천항)",Z560="인천우련(인천항)",Z560="인천항8부두(인천항)"),"KRINC",VLOOKUP(K560,GLAPS정리!$BB$2:$BC$33,2,0))))))</f>
        <v>#N/A</v>
      </c>
      <c r="AL560" s="2">
        <f t="shared" si="123"/>
        <v>5010001</v>
      </c>
      <c r="AN560" s="70" t="str">
        <f t="shared" si="124"/>
        <v>1900-01-00</v>
      </c>
      <c r="AO560" s="2" t="str">
        <f t="shared" si="125"/>
        <v/>
      </c>
      <c r="AP560" s="2" t="e">
        <f>VLOOKUP(C560,GLAPS정리!$AX$2:$AZ$17,3,0)</f>
        <v>#N/A</v>
      </c>
      <c r="AR560" s="2">
        <f t="shared" si="131"/>
        <v>0</v>
      </c>
      <c r="AX560" s="2" t="e">
        <f>VLOOKUP(L560,GLAPS정리!$V$3:$W$180,2,0)</f>
        <v>#N/A</v>
      </c>
      <c r="BM560" s="2" t="str">
        <f t="shared" si="126"/>
        <v xml:space="preserve"> </v>
      </c>
      <c r="BN560" s="2">
        <f t="shared" si="127"/>
        <v>1</v>
      </c>
      <c r="BR560" s="2" t="str">
        <f t="shared" si="128"/>
        <v/>
      </c>
      <c r="BS560" s="2" t="str">
        <f t="shared" si="129"/>
        <v/>
      </c>
      <c r="BV560" s="2" t="e">
        <f>VLOOKUP(O560,GLAPS정리!$BH$2:$BI$94,2,0)</f>
        <v>#N/A</v>
      </c>
      <c r="BW560" s="2" t="str">
        <f>IF(OR(Z560="동원",Z560="세방",Z560="한타"),"",IFERROR(INDEX(GLAPS정리!$BI$2:$BI$101,MATCH(Z560,GLAPS정리!$BH$2:$BH$101,0)),""))</f>
        <v/>
      </c>
      <c r="BX560" s="2" t="str">
        <f>IF(Z560="","",IFERROR(VLOOKUP(Z560,GLAPS정리!$AX$2:$AZ$17,3,0),""))</f>
        <v/>
      </c>
      <c r="BZ560" s="2" t="e">
        <f>VLOOKUP(H560,GLAPS정리!$L$3:$O$133,2,0)</f>
        <v>#N/A</v>
      </c>
      <c r="CA560" s="2" t="str">
        <f t="shared" si="130"/>
        <v/>
      </c>
      <c r="CL560" s="2" t="e">
        <f>VLOOKUP(AI560,GLAPS정리!$BT$3:$BV$26,3,0)</f>
        <v>#N/A</v>
      </c>
    </row>
    <row r="561" spans="2:90" ht="20.45" customHeight="1">
      <c r="B561" s="13"/>
      <c r="G561" s="3"/>
      <c r="J561" s="3"/>
      <c r="Q561" s="3" t="str">
        <f t="shared" si="118"/>
        <v/>
      </c>
      <c r="R561" s="3" t="str">
        <f t="shared" si="119"/>
        <v/>
      </c>
      <c r="S561" s="3" t="str">
        <f t="shared" si="120"/>
        <v/>
      </c>
      <c r="X561" s="13"/>
      <c r="Y561" s="13"/>
      <c r="Z561" s="91"/>
      <c r="AC561" s="2">
        <f t="shared" si="121"/>
        <v>20</v>
      </c>
      <c r="AD561" s="2" t="str">
        <f>IFERROR(INDEX(GLAPS정리!$D$2:$D$50,MATCH(I561,GLAPS정리!$A$2:$A$50,0)),IFERROR(INDEX(GLAPS정리!$D$2:$D$50,MATCH(I561,GLAPS정리!$B$2:$B$50,0)),""))</f>
        <v/>
      </c>
      <c r="AF561" s="2" t="str">
        <f t="shared" si="122"/>
        <v>KR10</v>
      </c>
      <c r="AI561" s="2" t="e">
        <f>VLOOKUP(F561,GLAPS정리!$G$3:$J$114,2,0)</f>
        <v>#N/A</v>
      </c>
      <c r="AJ561" s="2" t="e">
        <f>IF(Z561="울산정일","KRONS",IF(Z561="울산신항","KRUSN",IF(OR(Z561="선광종합물류(인천여객)",Z561="인천여객(인천여객)"),"KRINF",IF(OR(Z561="선광인천보세(인천신)",Z561="한진인천(인천신)",Z561="선광인천신항(인천신)",Z561="인천더로지스(인천신)"),"KRINN",IF(OR(Z561="인천진아(인천항)",Z561="인천E1(인천항)",Z561="인천SM경인터미널(인천항)",Z561="인천항(인천항)",Z561="인천우련(인천항)",Z561="인천항8부두(인천항)"),"KRINC",VLOOKUP(K561,GLAPS정리!$BB$2:$BC$33,2,0))))))</f>
        <v>#N/A</v>
      </c>
      <c r="AL561" s="2">
        <f t="shared" si="123"/>
        <v>5010001</v>
      </c>
      <c r="AN561" s="70" t="str">
        <f t="shared" si="124"/>
        <v>1900-01-00</v>
      </c>
      <c r="AO561" s="2" t="str">
        <f t="shared" si="125"/>
        <v/>
      </c>
      <c r="AP561" s="2" t="e">
        <f>VLOOKUP(C561,GLAPS정리!$AX$2:$AZ$17,3,0)</f>
        <v>#N/A</v>
      </c>
      <c r="AR561" s="2">
        <f t="shared" si="131"/>
        <v>0</v>
      </c>
      <c r="AX561" s="2" t="e">
        <f>VLOOKUP(L561,GLAPS정리!$V$3:$W$180,2,0)</f>
        <v>#N/A</v>
      </c>
      <c r="BM561" s="2" t="str">
        <f t="shared" si="126"/>
        <v xml:space="preserve"> </v>
      </c>
      <c r="BN561" s="2">
        <f t="shared" si="127"/>
        <v>1</v>
      </c>
      <c r="BR561" s="2" t="str">
        <f t="shared" si="128"/>
        <v/>
      </c>
      <c r="BS561" s="2" t="str">
        <f t="shared" si="129"/>
        <v/>
      </c>
      <c r="BV561" s="2" t="e">
        <f>VLOOKUP(O561,GLAPS정리!$BH$2:$BI$94,2,0)</f>
        <v>#N/A</v>
      </c>
      <c r="BW561" s="2" t="str">
        <f>IF(OR(Z561="동원",Z561="세방",Z561="한타"),"",IFERROR(INDEX(GLAPS정리!$BI$2:$BI$101,MATCH(Z561,GLAPS정리!$BH$2:$BH$101,0)),""))</f>
        <v/>
      </c>
      <c r="BX561" s="2" t="str">
        <f>IF(Z561="","",IFERROR(VLOOKUP(Z561,GLAPS정리!$AX$2:$AZ$17,3,0),""))</f>
        <v/>
      </c>
      <c r="BZ561" s="2" t="e">
        <f>VLOOKUP(H561,GLAPS정리!$L$3:$O$133,2,0)</f>
        <v>#N/A</v>
      </c>
      <c r="CA561" s="2" t="str">
        <f t="shared" si="130"/>
        <v/>
      </c>
      <c r="CL561" s="2" t="e">
        <f>VLOOKUP(AI561,GLAPS정리!$BT$3:$BV$26,3,0)</f>
        <v>#N/A</v>
      </c>
    </row>
    <row r="562" spans="2:90" ht="20.45" customHeight="1">
      <c r="B562" s="13"/>
      <c r="G562" s="3"/>
      <c r="J562" s="3"/>
      <c r="Q562" s="3" t="str">
        <f t="shared" si="118"/>
        <v/>
      </c>
      <c r="R562" s="3" t="str">
        <f t="shared" si="119"/>
        <v/>
      </c>
      <c r="S562" s="3" t="str">
        <f t="shared" si="120"/>
        <v/>
      </c>
      <c r="X562" s="13"/>
      <c r="Y562" s="13"/>
      <c r="Z562" s="91"/>
      <c r="AC562" s="2">
        <f t="shared" si="121"/>
        <v>20</v>
      </c>
      <c r="AD562" s="2" t="str">
        <f>IFERROR(INDEX(GLAPS정리!$D$2:$D$50,MATCH(I562,GLAPS정리!$A$2:$A$50,0)),IFERROR(INDEX(GLAPS정리!$D$2:$D$50,MATCH(I562,GLAPS정리!$B$2:$B$50,0)),""))</f>
        <v/>
      </c>
      <c r="AF562" s="2" t="str">
        <f t="shared" si="122"/>
        <v>KR10</v>
      </c>
      <c r="AI562" s="2" t="e">
        <f>VLOOKUP(F562,GLAPS정리!$G$3:$J$114,2,0)</f>
        <v>#N/A</v>
      </c>
      <c r="AJ562" s="2" t="e">
        <f>IF(Z562="울산정일","KRONS",IF(Z562="울산신항","KRUSN",IF(OR(Z562="선광종합물류(인천여객)",Z562="인천여객(인천여객)"),"KRINF",IF(OR(Z562="선광인천보세(인천신)",Z562="한진인천(인천신)",Z562="선광인천신항(인천신)",Z562="인천더로지스(인천신)"),"KRINN",IF(OR(Z562="인천진아(인천항)",Z562="인천E1(인천항)",Z562="인천SM경인터미널(인천항)",Z562="인천항(인천항)",Z562="인천우련(인천항)",Z562="인천항8부두(인천항)"),"KRINC",VLOOKUP(K562,GLAPS정리!$BB$2:$BC$33,2,0))))))</f>
        <v>#N/A</v>
      </c>
      <c r="AL562" s="2">
        <f t="shared" si="123"/>
        <v>5010001</v>
      </c>
      <c r="AN562" s="70" t="str">
        <f t="shared" si="124"/>
        <v>1900-01-00</v>
      </c>
      <c r="AO562" s="2" t="str">
        <f t="shared" si="125"/>
        <v/>
      </c>
      <c r="AP562" s="2" t="e">
        <f>VLOOKUP(C562,GLAPS정리!$AX$2:$AZ$17,3,0)</f>
        <v>#N/A</v>
      </c>
      <c r="AR562" s="2">
        <f t="shared" si="131"/>
        <v>0</v>
      </c>
      <c r="AX562" s="2" t="e">
        <f>VLOOKUP(L562,GLAPS정리!$V$3:$W$180,2,0)</f>
        <v>#N/A</v>
      </c>
      <c r="BM562" s="2" t="str">
        <f t="shared" si="126"/>
        <v xml:space="preserve"> </v>
      </c>
      <c r="BN562" s="2">
        <f t="shared" si="127"/>
        <v>1</v>
      </c>
      <c r="BR562" s="2" t="str">
        <f t="shared" si="128"/>
        <v/>
      </c>
      <c r="BS562" s="2" t="str">
        <f t="shared" si="129"/>
        <v/>
      </c>
      <c r="BV562" s="2" t="e">
        <f>VLOOKUP(O562,GLAPS정리!$BH$2:$BI$94,2,0)</f>
        <v>#N/A</v>
      </c>
      <c r="BW562" s="2" t="str">
        <f>IF(OR(Z562="동원",Z562="세방",Z562="한타"),"",IFERROR(INDEX(GLAPS정리!$BI$2:$BI$101,MATCH(Z562,GLAPS정리!$BH$2:$BH$101,0)),""))</f>
        <v/>
      </c>
      <c r="BX562" s="2" t="str">
        <f>IF(Z562="","",IFERROR(VLOOKUP(Z562,GLAPS정리!$AX$2:$AZ$17,3,0),""))</f>
        <v/>
      </c>
      <c r="BZ562" s="2" t="e">
        <f>VLOOKUP(H562,GLAPS정리!$L$3:$O$133,2,0)</f>
        <v>#N/A</v>
      </c>
      <c r="CA562" s="2" t="str">
        <f t="shared" si="130"/>
        <v/>
      </c>
      <c r="CL562" s="2" t="e">
        <f>VLOOKUP(AI562,GLAPS정리!$BT$3:$BV$26,3,0)</f>
        <v>#N/A</v>
      </c>
    </row>
    <row r="563" spans="2:90" ht="20.45" customHeight="1">
      <c r="B563" s="13"/>
      <c r="G563" s="3"/>
      <c r="J563" s="3"/>
      <c r="Q563" s="3" t="str">
        <f t="shared" si="118"/>
        <v/>
      </c>
      <c r="R563" s="3" t="str">
        <f t="shared" si="119"/>
        <v/>
      </c>
      <c r="S563" s="3" t="str">
        <f t="shared" si="120"/>
        <v/>
      </c>
      <c r="X563" s="13"/>
      <c r="Y563" s="13"/>
      <c r="Z563" s="91"/>
      <c r="AC563" s="2">
        <f t="shared" si="121"/>
        <v>20</v>
      </c>
      <c r="AD563" s="2" t="str">
        <f>IFERROR(INDEX(GLAPS정리!$D$2:$D$50,MATCH(I563,GLAPS정리!$A$2:$A$50,0)),IFERROR(INDEX(GLAPS정리!$D$2:$D$50,MATCH(I563,GLAPS정리!$B$2:$B$50,0)),""))</f>
        <v/>
      </c>
      <c r="AF563" s="2" t="str">
        <f t="shared" si="122"/>
        <v>KR10</v>
      </c>
      <c r="AI563" s="2" t="e">
        <f>VLOOKUP(F563,GLAPS정리!$G$3:$J$114,2,0)</f>
        <v>#N/A</v>
      </c>
      <c r="AJ563" s="2" t="e">
        <f>IF(Z563="울산정일","KRONS",IF(Z563="울산신항","KRUSN",IF(OR(Z563="선광종합물류(인천여객)",Z563="인천여객(인천여객)"),"KRINF",IF(OR(Z563="선광인천보세(인천신)",Z563="한진인천(인천신)",Z563="선광인천신항(인천신)",Z563="인천더로지스(인천신)"),"KRINN",IF(OR(Z563="인천진아(인천항)",Z563="인천E1(인천항)",Z563="인천SM경인터미널(인천항)",Z563="인천항(인천항)",Z563="인천우련(인천항)",Z563="인천항8부두(인천항)"),"KRINC",VLOOKUP(K563,GLAPS정리!$BB$2:$BC$33,2,0))))))</f>
        <v>#N/A</v>
      </c>
      <c r="AL563" s="2">
        <f t="shared" si="123"/>
        <v>5010001</v>
      </c>
      <c r="AN563" s="70" t="str">
        <f t="shared" si="124"/>
        <v>1900-01-00</v>
      </c>
      <c r="AO563" s="2" t="str">
        <f t="shared" si="125"/>
        <v/>
      </c>
      <c r="AP563" s="2" t="e">
        <f>VLOOKUP(C563,GLAPS정리!$AX$2:$AZ$17,3,0)</f>
        <v>#N/A</v>
      </c>
      <c r="AR563" s="2">
        <f t="shared" si="131"/>
        <v>0</v>
      </c>
      <c r="AX563" s="2" t="e">
        <f>VLOOKUP(L563,GLAPS정리!$V$3:$W$180,2,0)</f>
        <v>#N/A</v>
      </c>
      <c r="BM563" s="2" t="str">
        <f t="shared" si="126"/>
        <v xml:space="preserve"> </v>
      </c>
      <c r="BN563" s="2">
        <f t="shared" si="127"/>
        <v>1</v>
      </c>
      <c r="BR563" s="2" t="str">
        <f t="shared" si="128"/>
        <v/>
      </c>
      <c r="BS563" s="2" t="str">
        <f t="shared" si="129"/>
        <v/>
      </c>
      <c r="BV563" s="2" t="e">
        <f>VLOOKUP(O563,GLAPS정리!$BH$2:$BI$94,2,0)</f>
        <v>#N/A</v>
      </c>
      <c r="BW563" s="2" t="str">
        <f>IF(OR(Z563="동원",Z563="세방",Z563="한타"),"",IFERROR(INDEX(GLAPS정리!$BI$2:$BI$101,MATCH(Z563,GLAPS정리!$BH$2:$BH$101,0)),""))</f>
        <v/>
      </c>
      <c r="BX563" s="2" t="str">
        <f>IF(Z563="","",IFERROR(VLOOKUP(Z563,GLAPS정리!$AX$2:$AZ$17,3,0),""))</f>
        <v/>
      </c>
      <c r="BZ563" s="2" t="e">
        <f>VLOOKUP(H563,GLAPS정리!$L$3:$O$133,2,0)</f>
        <v>#N/A</v>
      </c>
      <c r="CA563" s="2" t="str">
        <f t="shared" si="130"/>
        <v/>
      </c>
      <c r="CL563" s="2" t="e">
        <f>VLOOKUP(AI563,GLAPS정리!$BT$3:$BV$26,3,0)</f>
        <v>#N/A</v>
      </c>
    </row>
    <row r="564" spans="2:90" ht="20.45" customHeight="1">
      <c r="B564" s="13"/>
      <c r="G564" s="3"/>
      <c r="J564" s="3"/>
      <c r="Q564" s="3" t="str">
        <f t="shared" si="118"/>
        <v/>
      </c>
      <c r="R564" s="3" t="str">
        <f t="shared" si="119"/>
        <v/>
      </c>
      <c r="S564" s="3" t="str">
        <f t="shared" si="120"/>
        <v/>
      </c>
      <c r="X564" s="13"/>
      <c r="Y564" s="13"/>
      <c r="Z564" s="91"/>
      <c r="AC564" s="2">
        <f t="shared" si="121"/>
        <v>20</v>
      </c>
      <c r="AD564" s="2" t="str">
        <f>IFERROR(INDEX(GLAPS정리!$D$2:$D$50,MATCH(I564,GLAPS정리!$A$2:$A$50,0)),IFERROR(INDEX(GLAPS정리!$D$2:$D$50,MATCH(I564,GLAPS정리!$B$2:$B$50,0)),""))</f>
        <v/>
      </c>
      <c r="AF564" s="2" t="str">
        <f t="shared" si="122"/>
        <v>KR10</v>
      </c>
      <c r="AI564" s="2" t="e">
        <f>VLOOKUP(F564,GLAPS정리!$G$3:$J$114,2,0)</f>
        <v>#N/A</v>
      </c>
      <c r="AJ564" s="2" t="e">
        <f>IF(Z564="울산정일","KRONS",IF(Z564="울산신항","KRUSN",IF(OR(Z564="선광종합물류(인천여객)",Z564="인천여객(인천여객)"),"KRINF",IF(OR(Z564="선광인천보세(인천신)",Z564="한진인천(인천신)",Z564="선광인천신항(인천신)",Z564="인천더로지스(인천신)"),"KRINN",IF(OR(Z564="인천진아(인천항)",Z564="인천E1(인천항)",Z564="인천SM경인터미널(인천항)",Z564="인천항(인천항)",Z564="인천우련(인천항)",Z564="인천항8부두(인천항)"),"KRINC",VLOOKUP(K564,GLAPS정리!$BB$2:$BC$33,2,0))))))</f>
        <v>#N/A</v>
      </c>
      <c r="AL564" s="2">
        <f t="shared" si="123"/>
        <v>5010001</v>
      </c>
      <c r="AN564" s="70" t="str">
        <f t="shared" si="124"/>
        <v>1900-01-00</v>
      </c>
      <c r="AO564" s="2" t="str">
        <f t="shared" si="125"/>
        <v/>
      </c>
      <c r="AP564" s="2" t="e">
        <f>VLOOKUP(C564,GLAPS정리!$AX$2:$AZ$17,3,0)</f>
        <v>#N/A</v>
      </c>
      <c r="AR564" s="2">
        <f t="shared" si="131"/>
        <v>0</v>
      </c>
      <c r="AX564" s="2" t="e">
        <f>VLOOKUP(L564,GLAPS정리!$V$3:$W$180,2,0)</f>
        <v>#N/A</v>
      </c>
      <c r="BM564" s="2" t="str">
        <f t="shared" si="126"/>
        <v xml:space="preserve"> </v>
      </c>
      <c r="BN564" s="2">
        <f t="shared" si="127"/>
        <v>1</v>
      </c>
      <c r="BR564" s="2" t="str">
        <f t="shared" si="128"/>
        <v/>
      </c>
      <c r="BS564" s="2" t="str">
        <f t="shared" si="129"/>
        <v/>
      </c>
      <c r="BV564" s="2" t="e">
        <f>VLOOKUP(O564,GLAPS정리!$BH$2:$BI$94,2,0)</f>
        <v>#N/A</v>
      </c>
      <c r="BW564" s="2" t="str">
        <f>IF(OR(Z564="동원",Z564="세방",Z564="한타"),"",IFERROR(INDEX(GLAPS정리!$BI$2:$BI$101,MATCH(Z564,GLAPS정리!$BH$2:$BH$101,0)),""))</f>
        <v/>
      </c>
      <c r="BX564" s="2" t="str">
        <f>IF(Z564="","",IFERROR(VLOOKUP(Z564,GLAPS정리!$AX$2:$AZ$17,3,0),""))</f>
        <v/>
      </c>
      <c r="BZ564" s="2" t="e">
        <f>VLOOKUP(H564,GLAPS정리!$L$3:$O$133,2,0)</f>
        <v>#N/A</v>
      </c>
      <c r="CA564" s="2" t="str">
        <f t="shared" si="130"/>
        <v/>
      </c>
      <c r="CL564" s="2" t="e">
        <f>VLOOKUP(AI564,GLAPS정리!$BT$3:$BV$26,3,0)</f>
        <v>#N/A</v>
      </c>
    </row>
    <row r="565" spans="2:90" ht="20.45" customHeight="1">
      <c r="B565" s="13"/>
      <c r="G565" s="3"/>
      <c r="J565" s="3"/>
      <c r="Q565" s="3" t="str">
        <f t="shared" si="118"/>
        <v/>
      </c>
      <c r="R565" s="3" t="str">
        <f t="shared" si="119"/>
        <v/>
      </c>
      <c r="S565" s="3" t="str">
        <f t="shared" si="120"/>
        <v/>
      </c>
      <c r="X565" s="13"/>
      <c r="Y565" s="13"/>
      <c r="Z565" s="91"/>
      <c r="AC565" s="2">
        <f t="shared" si="121"/>
        <v>20</v>
      </c>
      <c r="AD565" s="2" t="str">
        <f>IFERROR(INDEX(GLAPS정리!$D$2:$D$50,MATCH(I565,GLAPS정리!$A$2:$A$50,0)),IFERROR(INDEX(GLAPS정리!$D$2:$D$50,MATCH(I565,GLAPS정리!$B$2:$B$50,0)),""))</f>
        <v/>
      </c>
      <c r="AF565" s="2" t="str">
        <f t="shared" si="122"/>
        <v>KR10</v>
      </c>
      <c r="AI565" s="2" t="e">
        <f>VLOOKUP(F565,GLAPS정리!$G$3:$J$114,2,0)</f>
        <v>#N/A</v>
      </c>
      <c r="AJ565" s="2" t="e">
        <f>IF(Z565="울산정일","KRONS",IF(Z565="울산신항","KRUSN",IF(OR(Z565="선광종합물류(인천여객)",Z565="인천여객(인천여객)"),"KRINF",IF(OR(Z565="선광인천보세(인천신)",Z565="한진인천(인천신)",Z565="선광인천신항(인천신)",Z565="인천더로지스(인천신)"),"KRINN",IF(OR(Z565="인천진아(인천항)",Z565="인천E1(인천항)",Z565="인천SM경인터미널(인천항)",Z565="인천항(인천항)",Z565="인천우련(인천항)",Z565="인천항8부두(인천항)"),"KRINC",VLOOKUP(K565,GLAPS정리!$BB$2:$BC$33,2,0))))))</f>
        <v>#N/A</v>
      </c>
      <c r="AL565" s="2">
        <f t="shared" si="123"/>
        <v>5010001</v>
      </c>
      <c r="AN565" s="70" t="str">
        <f t="shared" si="124"/>
        <v>1900-01-00</v>
      </c>
      <c r="AO565" s="2" t="str">
        <f t="shared" si="125"/>
        <v/>
      </c>
      <c r="AP565" s="2" t="e">
        <f>VLOOKUP(C565,GLAPS정리!$AX$2:$AZ$17,3,0)</f>
        <v>#N/A</v>
      </c>
      <c r="AR565" s="2">
        <f t="shared" si="131"/>
        <v>0</v>
      </c>
      <c r="AX565" s="2" t="e">
        <f>VLOOKUP(L565,GLAPS정리!$V$3:$W$180,2,0)</f>
        <v>#N/A</v>
      </c>
      <c r="BM565" s="2" t="str">
        <f t="shared" si="126"/>
        <v xml:space="preserve"> </v>
      </c>
      <c r="BN565" s="2">
        <f t="shared" si="127"/>
        <v>1</v>
      </c>
      <c r="BR565" s="2" t="str">
        <f t="shared" si="128"/>
        <v/>
      </c>
      <c r="BS565" s="2" t="str">
        <f t="shared" si="129"/>
        <v/>
      </c>
      <c r="BV565" s="2" t="e">
        <f>VLOOKUP(O565,GLAPS정리!$BH$2:$BI$94,2,0)</f>
        <v>#N/A</v>
      </c>
      <c r="BW565" s="2" t="str">
        <f>IF(OR(Z565="동원",Z565="세방",Z565="한타"),"",IFERROR(INDEX(GLAPS정리!$BI$2:$BI$101,MATCH(Z565,GLAPS정리!$BH$2:$BH$101,0)),""))</f>
        <v/>
      </c>
      <c r="BX565" s="2" t="str">
        <f>IF(Z565="","",IFERROR(VLOOKUP(Z565,GLAPS정리!$AX$2:$AZ$17,3,0),""))</f>
        <v/>
      </c>
      <c r="BZ565" s="2" t="e">
        <f>VLOOKUP(H565,GLAPS정리!$L$3:$O$133,2,0)</f>
        <v>#N/A</v>
      </c>
      <c r="CA565" s="2" t="str">
        <f t="shared" si="130"/>
        <v/>
      </c>
      <c r="CL565" s="2" t="e">
        <f>VLOOKUP(AI565,GLAPS정리!$BT$3:$BV$26,3,0)</f>
        <v>#N/A</v>
      </c>
    </row>
    <row r="566" spans="2:90" ht="20.45" customHeight="1">
      <c r="B566" s="13"/>
      <c r="G566" s="3"/>
      <c r="J566" s="3"/>
      <c r="Q566" s="3" t="str">
        <f t="shared" si="118"/>
        <v/>
      </c>
      <c r="R566" s="3" t="str">
        <f t="shared" si="119"/>
        <v/>
      </c>
      <c r="S566" s="3" t="str">
        <f t="shared" si="120"/>
        <v/>
      </c>
      <c r="X566" s="13"/>
      <c r="Y566" s="13"/>
      <c r="Z566" s="91"/>
      <c r="AC566" s="2">
        <f t="shared" si="121"/>
        <v>20</v>
      </c>
      <c r="AD566" s="2" t="str">
        <f>IFERROR(INDEX(GLAPS정리!$D$2:$D$50,MATCH(I566,GLAPS정리!$A$2:$A$50,0)),IFERROR(INDEX(GLAPS정리!$D$2:$D$50,MATCH(I566,GLAPS정리!$B$2:$B$50,0)),""))</f>
        <v/>
      </c>
      <c r="AF566" s="2" t="str">
        <f t="shared" si="122"/>
        <v>KR10</v>
      </c>
      <c r="AI566" s="2" t="e">
        <f>VLOOKUP(F566,GLAPS정리!$G$3:$J$114,2,0)</f>
        <v>#N/A</v>
      </c>
      <c r="AJ566" s="2" t="e">
        <f>IF(Z566="울산정일","KRONS",IF(Z566="울산신항","KRUSN",IF(OR(Z566="선광종합물류(인천여객)",Z566="인천여객(인천여객)"),"KRINF",IF(OR(Z566="선광인천보세(인천신)",Z566="한진인천(인천신)",Z566="선광인천신항(인천신)",Z566="인천더로지스(인천신)"),"KRINN",IF(OR(Z566="인천진아(인천항)",Z566="인천E1(인천항)",Z566="인천SM경인터미널(인천항)",Z566="인천항(인천항)",Z566="인천우련(인천항)",Z566="인천항8부두(인천항)"),"KRINC",VLOOKUP(K566,GLAPS정리!$BB$2:$BC$33,2,0))))))</f>
        <v>#N/A</v>
      </c>
      <c r="AL566" s="2">
        <f t="shared" si="123"/>
        <v>5010001</v>
      </c>
      <c r="AN566" s="70" t="str">
        <f t="shared" si="124"/>
        <v>1900-01-00</v>
      </c>
      <c r="AO566" s="2" t="str">
        <f t="shared" si="125"/>
        <v/>
      </c>
      <c r="AP566" s="2" t="e">
        <f>VLOOKUP(C566,GLAPS정리!$AX$2:$AZ$17,3,0)</f>
        <v>#N/A</v>
      </c>
      <c r="AR566" s="2">
        <f t="shared" si="131"/>
        <v>0</v>
      </c>
      <c r="AX566" s="2" t="e">
        <f>VLOOKUP(L566,GLAPS정리!$V$3:$W$180,2,0)</f>
        <v>#N/A</v>
      </c>
      <c r="BM566" s="2" t="str">
        <f t="shared" si="126"/>
        <v xml:space="preserve"> </v>
      </c>
      <c r="BN566" s="2">
        <f t="shared" si="127"/>
        <v>1</v>
      </c>
      <c r="BR566" s="2" t="str">
        <f t="shared" si="128"/>
        <v/>
      </c>
      <c r="BS566" s="2" t="str">
        <f t="shared" si="129"/>
        <v/>
      </c>
      <c r="BV566" s="2" t="e">
        <f>VLOOKUP(O566,GLAPS정리!$BH$2:$BI$94,2,0)</f>
        <v>#N/A</v>
      </c>
      <c r="BW566" s="2" t="str">
        <f>IF(OR(Z566="동원",Z566="세방",Z566="한타"),"",IFERROR(INDEX(GLAPS정리!$BI$2:$BI$101,MATCH(Z566,GLAPS정리!$BH$2:$BH$101,0)),""))</f>
        <v/>
      </c>
      <c r="BX566" s="2" t="str">
        <f>IF(Z566="","",IFERROR(VLOOKUP(Z566,GLAPS정리!$AX$2:$AZ$17,3,0),""))</f>
        <v/>
      </c>
      <c r="BZ566" s="2" t="e">
        <f>VLOOKUP(H566,GLAPS정리!$L$3:$O$133,2,0)</f>
        <v>#N/A</v>
      </c>
      <c r="CA566" s="2" t="str">
        <f t="shared" si="130"/>
        <v/>
      </c>
      <c r="CL566" s="2" t="e">
        <f>VLOOKUP(AI566,GLAPS정리!$BT$3:$BV$26,3,0)</f>
        <v>#N/A</v>
      </c>
    </row>
    <row r="567" spans="2:90" ht="20.45" customHeight="1">
      <c r="B567" s="13"/>
      <c r="G567" s="3"/>
      <c r="J567" s="3"/>
      <c r="Q567" s="3" t="str">
        <f t="shared" si="118"/>
        <v/>
      </c>
      <c r="R567" s="3" t="str">
        <f t="shared" si="119"/>
        <v/>
      </c>
      <c r="S567" s="3" t="str">
        <f t="shared" si="120"/>
        <v/>
      </c>
      <c r="X567" s="13"/>
      <c r="Y567" s="13"/>
      <c r="Z567" s="91"/>
      <c r="AC567" s="2">
        <f t="shared" si="121"/>
        <v>20</v>
      </c>
      <c r="AD567" s="2" t="str">
        <f>IFERROR(INDEX(GLAPS정리!$D$2:$D$50,MATCH(I567,GLAPS정리!$A$2:$A$50,0)),IFERROR(INDEX(GLAPS정리!$D$2:$D$50,MATCH(I567,GLAPS정리!$B$2:$B$50,0)),""))</f>
        <v/>
      </c>
      <c r="AF567" s="2" t="str">
        <f t="shared" si="122"/>
        <v>KR10</v>
      </c>
      <c r="AI567" s="2" t="e">
        <f>VLOOKUP(F567,GLAPS정리!$G$3:$J$114,2,0)</f>
        <v>#N/A</v>
      </c>
      <c r="AJ567" s="2" t="e">
        <f>IF(Z567="울산정일","KRONS",IF(Z567="울산신항","KRUSN",IF(OR(Z567="선광종합물류(인천여객)",Z567="인천여객(인천여객)"),"KRINF",IF(OR(Z567="선광인천보세(인천신)",Z567="한진인천(인천신)",Z567="선광인천신항(인천신)",Z567="인천더로지스(인천신)"),"KRINN",IF(OR(Z567="인천진아(인천항)",Z567="인천E1(인천항)",Z567="인천SM경인터미널(인천항)",Z567="인천항(인천항)",Z567="인천우련(인천항)",Z567="인천항8부두(인천항)"),"KRINC",VLOOKUP(K567,GLAPS정리!$BB$2:$BC$33,2,0))))))</f>
        <v>#N/A</v>
      </c>
      <c r="AL567" s="2">
        <f t="shared" si="123"/>
        <v>5010001</v>
      </c>
      <c r="AN567" s="70" t="str">
        <f t="shared" si="124"/>
        <v>1900-01-00</v>
      </c>
      <c r="AO567" s="2" t="str">
        <f t="shared" si="125"/>
        <v/>
      </c>
      <c r="AP567" s="2" t="e">
        <f>VLOOKUP(C567,GLAPS정리!$AX$2:$AZ$17,3,0)</f>
        <v>#N/A</v>
      </c>
      <c r="AR567" s="2">
        <f t="shared" si="131"/>
        <v>0</v>
      </c>
      <c r="AX567" s="2" t="e">
        <f>VLOOKUP(L567,GLAPS정리!$V$3:$W$180,2,0)</f>
        <v>#N/A</v>
      </c>
      <c r="BM567" s="2" t="str">
        <f t="shared" si="126"/>
        <v xml:space="preserve"> </v>
      </c>
      <c r="BN567" s="2">
        <f t="shared" si="127"/>
        <v>1</v>
      </c>
      <c r="BR567" s="2" t="str">
        <f t="shared" si="128"/>
        <v/>
      </c>
      <c r="BS567" s="2" t="str">
        <f t="shared" si="129"/>
        <v/>
      </c>
      <c r="BV567" s="2" t="e">
        <f>VLOOKUP(O567,GLAPS정리!$BH$2:$BI$94,2,0)</f>
        <v>#N/A</v>
      </c>
      <c r="BW567" s="2" t="str">
        <f>IF(OR(Z567="동원",Z567="세방",Z567="한타"),"",IFERROR(INDEX(GLAPS정리!$BI$2:$BI$101,MATCH(Z567,GLAPS정리!$BH$2:$BH$101,0)),""))</f>
        <v/>
      </c>
      <c r="BX567" s="2" t="str">
        <f>IF(Z567="","",IFERROR(VLOOKUP(Z567,GLAPS정리!$AX$2:$AZ$17,3,0),""))</f>
        <v/>
      </c>
      <c r="BZ567" s="2" t="e">
        <f>VLOOKUP(H567,GLAPS정리!$L$3:$O$133,2,0)</f>
        <v>#N/A</v>
      </c>
      <c r="CA567" s="2" t="str">
        <f t="shared" si="130"/>
        <v/>
      </c>
      <c r="CL567" s="2" t="e">
        <f>VLOOKUP(AI567,GLAPS정리!$BT$3:$BV$26,3,0)</f>
        <v>#N/A</v>
      </c>
    </row>
    <row r="568" spans="2:90" ht="20.45" customHeight="1">
      <c r="B568" s="13"/>
      <c r="G568" s="3"/>
      <c r="J568" s="3"/>
      <c r="Q568" s="3" t="str">
        <f t="shared" si="118"/>
        <v/>
      </c>
      <c r="R568" s="3" t="str">
        <f t="shared" si="119"/>
        <v/>
      </c>
      <c r="S568" s="3" t="str">
        <f t="shared" si="120"/>
        <v/>
      </c>
      <c r="X568" s="13"/>
      <c r="Y568" s="13"/>
      <c r="Z568" s="91"/>
      <c r="AC568" s="2">
        <f t="shared" si="121"/>
        <v>20</v>
      </c>
      <c r="AD568" s="2" t="str">
        <f>IFERROR(INDEX(GLAPS정리!$D$2:$D$50,MATCH(I568,GLAPS정리!$A$2:$A$50,0)),IFERROR(INDEX(GLAPS정리!$D$2:$D$50,MATCH(I568,GLAPS정리!$B$2:$B$50,0)),""))</f>
        <v/>
      </c>
      <c r="AF568" s="2" t="str">
        <f t="shared" si="122"/>
        <v>KR10</v>
      </c>
      <c r="AI568" s="2" t="e">
        <f>VLOOKUP(F568,GLAPS정리!$G$3:$J$114,2,0)</f>
        <v>#N/A</v>
      </c>
      <c r="AJ568" s="2" t="e">
        <f>IF(Z568="울산정일","KRONS",IF(Z568="울산신항","KRUSN",IF(OR(Z568="선광종합물류(인천여객)",Z568="인천여객(인천여객)"),"KRINF",IF(OR(Z568="선광인천보세(인천신)",Z568="한진인천(인천신)",Z568="선광인천신항(인천신)",Z568="인천더로지스(인천신)"),"KRINN",IF(OR(Z568="인천진아(인천항)",Z568="인천E1(인천항)",Z568="인천SM경인터미널(인천항)",Z568="인천항(인천항)",Z568="인천우련(인천항)",Z568="인천항8부두(인천항)"),"KRINC",VLOOKUP(K568,GLAPS정리!$BB$2:$BC$33,2,0))))))</f>
        <v>#N/A</v>
      </c>
      <c r="AL568" s="2">
        <f t="shared" si="123"/>
        <v>5010001</v>
      </c>
      <c r="AN568" s="70" t="str">
        <f t="shared" si="124"/>
        <v>1900-01-00</v>
      </c>
      <c r="AO568" s="2" t="str">
        <f t="shared" si="125"/>
        <v/>
      </c>
      <c r="AP568" s="2" t="e">
        <f>VLOOKUP(C568,GLAPS정리!$AX$2:$AZ$17,3,0)</f>
        <v>#N/A</v>
      </c>
      <c r="AR568" s="2">
        <f t="shared" si="131"/>
        <v>0</v>
      </c>
      <c r="AX568" s="2" t="e">
        <f>VLOOKUP(L568,GLAPS정리!$V$3:$W$180,2,0)</f>
        <v>#N/A</v>
      </c>
      <c r="BM568" s="2" t="str">
        <f t="shared" si="126"/>
        <v xml:space="preserve"> </v>
      </c>
      <c r="BN568" s="2">
        <f t="shared" si="127"/>
        <v>1</v>
      </c>
      <c r="BR568" s="2" t="str">
        <f t="shared" si="128"/>
        <v/>
      </c>
      <c r="BS568" s="2" t="str">
        <f t="shared" si="129"/>
        <v/>
      </c>
      <c r="BV568" s="2" t="e">
        <f>VLOOKUP(O568,GLAPS정리!$BH$2:$BI$94,2,0)</f>
        <v>#N/A</v>
      </c>
      <c r="BW568" s="2" t="str">
        <f>IF(OR(Z568="동원",Z568="세방",Z568="한타"),"",IFERROR(INDEX(GLAPS정리!$BI$2:$BI$101,MATCH(Z568,GLAPS정리!$BH$2:$BH$101,0)),""))</f>
        <v/>
      </c>
      <c r="BX568" s="2" t="str">
        <f>IF(Z568="","",IFERROR(VLOOKUP(Z568,GLAPS정리!$AX$2:$AZ$17,3,0),""))</f>
        <v/>
      </c>
      <c r="BZ568" s="2" t="e">
        <f>VLOOKUP(H568,GLAPS정리!$L$3:$O$133,2,0)</f>
        <v>#N/A</v>
      </c>
      <c r="CA568" s="2" t="str">
        <f t="shared" si="130"/>
        <v/>
      </c>
      <c r="CL568" s="2" t="e">
        <f>VLOOKUP(AI568,GLAPS정리!$BT$3:$BV$26,3,0)</f>
        <v>#N/A</v>
      </c>
    </row>
    <row r="569" spans="2:90" ht="20.45" customHeight="1">
      <c r="B569" s="13"/>
      <c r="G569" s="3"/>
      <c r="J569" s="3"/>
      <c r="Q569" s="3" t="str">
        <f t="shared" si="118"/>
        <v/>
      </c>
      <c r="R569" s="3" t="str">
        <f t="shared" si="119"/>
        <v/>
      </c>
      <c r="S569" s="3" t="str">
        <f t="shared" si="120"/>
        <v/>
      </c>
      <c r="X569" s="13"/>
      <c r="Y569" s="13"/>
      <c r="Z569" s="91"/>
      <c r="AC569" s="2">
        <f t="shared" si="121"/>
        <v>20</v>
      </c>
      <c r="AD569" s="2" t="str">
        <f>IFERROR(INDEX(GLAPS정리!$D$2:$D$50,MATCH(I569,GLAPS정리!$A$2:$A$50,0)),IFERROR(INDEX(GLAPS정리!$D$2:$D$50,MATCH(I569,GLAPS정리!$B$2:$B$50,0)),""))</f>
        <v/>
      </c>
      <c r="AF569" s="2" t="str">
        <f t="shared" si="122"/>
        <v>KR10</v>
      </c>
      <c r="AI569" s="2" t="e">
        <f>VLOOKUP(F569,GLAPS정리!$G$3:$J$114,2,0)</f>
        <v>#N/A</v>
      </c>
      <c r="AJ569" s="2" t="e">
        <f>IF(Z569="울산정일","KRONS",IF(Z569="울산신항","KRUSN",IF(OR(Z569="선광종합물류(인천여객)",Z569="인천여객(인천여객)"),"KRINF",IF(OR(Z569="선광인천보세(인천신)",Z569="한진인천(인천신)",Z569="선광인천신항(인천신)",Z569="인천더로지스(인천신)"),"KRINN",IF(OR(Z569="인천진아(인천항)",Z569="인천E1(인천항)",Z569="인천SM경인터미널(인천항)",Z569="인천항(인천항)",Z569="인천우련(인천항)",Z569="인천항8부두(인천항)"),"KRINC",VLOOKUP(K569,GLAPS정리!$BB$2:$BC$33,2,0))))))</f>
        <v>#N/A</v>
      </c>
      <c r="AL569" s="2">
        <f t="shared" si="123"/>
        <v>5010001</v>
      </c>
      <c r="AN569" s="70" t="str">
        <f t="shared" si="124"/>
        <v>1900-01-00</v>
      </c>
      <c r="AO569" s="2" t="str">
        <f t="shared" si="125"/>
        <v/>
      </c>
      <c r="AP569" s="2" t="e">
        <f>VLOOKUP(C569,GLAPS정리!$AX$2:$AZ$17,3,0)</f>
        <v>#N/A</v>
      </c>
      <c r="AR569" s="2">
        <f t="shared" si="131"/>
        <v>0</v>
      </c>
      <c r="AX569" s="2" t="e">
        <f>VLOOKUP(L569,GLAPS정리!$V$3:$W$180,2,0)</f>
        <v>#N/A</v>
      </c>
      <c r="BM569" s="2" t="str">
        <f t="shared" si="126"/>
        <v xml:space="preserve"> </v>
      </c>
      <c r="BN569" s="2">
        <f t="shared" si="127"/>
        <v>1</v>
      </c>
      <c r="BR569" s="2" t="str">
        <f t="shared" si="128"/>
        <v/>
      </c>
      <c r="BS569" s="2" t="str">
        <f t="shared" si="129"/>
        <v/>
      </c>
      <c r="BV569" s="2" t="e">
        <f>VLOOKUP(O569,GLAPS정리!$BH$2:$BI$94,2,0)</f>
        <v>#N/A</v>
      </c>
      <c r="BW569" s="2" t="str">
        <f>IF(OR(Z569="동원",Z569="세방",Z569="한타"),"",IFERROR(INDEX(GLAPS정리!$BI$2:$BI$101,MATCH(Z569,GLAPS정리!$BH$2:$BH$101,0)),""))</f>
        <v/>
      </c>
      <c r="BX569" s="2" t="str">
        <f>IF(Z569="","",IFERROR(VLOOKUP(Z569,GLAPS정리!$AX$2:$AZ$17,3,0),""))</f>
        <v/>
      </c>
      <c r="BZ569" s="2" t="e">
        <f>VLOOKUP(H569,GLAPS정리!$L$3:$O$133,2,0)</f>
        <v>#N/A</v>
      </c>
      <c r="CA569" s="2" t="str">
        <f t="shared" si="130"/>
        <v/>
      </c>
      <c r="CL569" s="2" t="e">
        <f>VLOOKUP(AI569,GLAPS정리!$BT$3:$BV$26,3,0)</f>
        <v>#N/A</v>
      </c>
    </row>
    <row r="570" spans="2:90" ht="20.45" customHeight="1">
      <c r="B570" s="13"/>
      <c r="G570" s="3"/>
      <c r="J570" s="3"/>
      <c r="Q570" s="3" t="str">
        <f t="shared" si="118"/>
        <v/>
      </c>
      <c r="R570" s="3" t="str">
        <f t="shared" si="119"/>
        <v/>
      </c>
      <c r="S570" s="3" t="str">
        <f t="shared" si="120"/>
        <v/>
      </c>
      <c r="X570" s="13"/>
      <c r="Y570" s="13"/>
      <c r="Z570" s="91"/>
      <c r="AC570" s="2">
        <f t="shared" si="121"/>
        <v>20</v>
      </c>
      <c r="AD570" s="2" t="str">
        <f>IFERROR(INDEX(GLAPS정리!$D$2:$D$50,MATCH(I570,GLAPS정리!$A$2:$A$50,0)),IFERROR(INDEX(GLAPS정리!$D$2:$D$50,MATCH(I570,GLAPS정리!$B$2:$B$50,0)),""))</f>
        <v/>
      </c>
      <c r="AF570" s="2" t="str">
        <f t="shared" si="122"/>
        <v>KR10</v>
      </c>
      <c r="AI570" s="2" t="e">
        <f>VLOOKUP(F570,GLAPS정리!$G$3:$J$114,2,0)</f>
        <v>#N/A</v>
      </c>
      <c r="AJ570" s="2" t="e">
        <f>IF(Z570="울산정일","KRONS",IF(Z570="울산신항","KRUSN",IF(OR(Z570="선광종합물류(인천여객)",Z570="인천여객(인천여객)"),"KRINF",IF(OR(Z570="선광인천보세(인천신)",Z570="한진인천(인천신)",Z570="선광인천신항(인천신)",Z570="인천더로지스(인천신)"),"KRINN",IF(OR(Z570="인천진아(인천항)",Z570="인천E1(인천항)",Z570="인천SM경인터미널(인천항)",Z570="인천항(인천항)",Z570="인천우련(인천항)",Z570="인천항8부두(인천항)"),"KRINC",VLOOKUP(K570,GLAPS정리!$BB$2:$BC$33,2,0))))))</f>
        <v>#N/A</v>
      </c>
      <c r="AL570" s="2">
        <f t="shared" si="123"/>
        <v>5010001</v>
      </c>
      <c r="AN570" s="70" t="str">
        <f t="shared" si="124"/>
        <v>1900-01-00</v>
      </c>
      <c r="AO570" s="2" t="str">
        <f t="shared" si="125"/>
        <v/>
      </c>
      <c r="AP570" s="2" t="e">
        <f>VLOOKUP(C570,GLAPS정리!$AX$2:$AZ$17,3,0)</f>
        <v>#N/A</v>
      </c>
      <c r="AR570" s="2">
        <f t="shared" si="131"/>
        <v>0</v>
      </c>
      <c r="AX570" s="2" t="e">
        <f>VLOOKUP(L570,GLAPS정리!$V$3:$W$180,2,0)</f>
        <v>#N/A</v>
      </c>
      <c r="BM570" s="2" t="str">
        <f t="shared" si="126"/>
        <v xml:space="preserve"> </v>
      </c>
      <c r="BN570" s="2">
        <f t="shared" si="127"/>
        <v>1</v>
      </c>
      <c r="BR570" s="2" t="str">
        <f t="shared" si="128"/>
        <v/>
      </c>
      <c r="BS570" s="2" t="str">
        <f t="shared" si="129"/>
        <v/>
      </c>
      <c r="BV570" s="2" t="e">
        <f>VLOOKUP(O570,GLAPS정리!$BH$2:$BI$94,2,0)</f>
        <v>#N/A</v>
      </c>
      <c r="BW570" s="2" t="str">
        <f>IF(OR(Z570="동원",Z570="세방",Z570="한타"),"",IFERROR(INDEX(GLAPS정리!$BI$2:$BI$101,MATCH(Z570,GLAPS정리!$BH$2:$BH$101,0)),""))</f>
        <v/>
      </c>
      <c r="BX570" s="2" t="str">
        <f>IF(Z570="","",IFERROR(VLOOKUP(Z570,GLAPS정리!$AX$2:$AZ$17,3,0),""))</f>
        <v/>
      </c>
      <c r="BZ570" s="2" t="e">
        <f>VLOOKUP(H570,GLAPS정리!$L$3:$O$133,2,0)</f>
        <v>#N/A</v>
      </c>
      <c r="CA570" s="2" t="str">
        <f t="shared" si="130"/>
        <v/>
      </c>
      <c r="CL570" s="2" t="e">
        <f>VLOOKUP(AI570,GLAPS정리!$BT$3:$BV$26,3,0)</f>
        <v>#N/A</v>
      </c>
    </row>
    <row r="571" spans="2:90" ht="20.45" customHeight="1">
      <c r="B571" s="13"/>
      <c r="G571" s="3"/>
      <c r="J571" s="3"/>
      <c r="Q571" s="3" t="str">
        <f t="shared" si="118"/>
        <v/>
      </c>
      <c r="R571" s="3" t="str">
        <f t="shared" si="119"/>
        <v/>
      </c>
      <c r="S571" s="3" t="str">
        <f t="shared" si="120"/>
        <v/>
      </c>
      <c r="X571" s="13"/>
      <c r="Y571" s="13"/>
      <c r="Z571" s="91"/>
      <c r="AC571" s="2">
        <f t="shared" si="121"/>
        <v>20</v>
      </c>
      <c r="AD571" s="2" t="str">
        <f>IFERROR(INDEX(GLAPS정리!$D$2:$D$50,MATCH(I571,GLAPS정리!$A$2:$A$50,0)),IFERROR(INDEX(GLAPS정리!$D$2:$D$50,MATCH(I571,GLAPS정리!$B$2:$B$50,0)),""))</f>
        <v/>
      </c>
      <c r="AF571" s="2" t="str">
        <f t="shared" si="122"/>
        <v>KR10</v>
      </c>
      <c r="AI571" s="2" t="e">
        <f>VLOOKUP(F571,GLAPS정리!$G$3:$J$114,2,0)</f>
        <v>#N/A</v>
      </c>
      <c r="AJ571" s="2" t="e">
        <f>IF(Z571="울산정일","KRONS",IF(Z571="울산신항","KRUSN",IF(OR(Z571="선광종합물류(인천여객)",Z571="인천여객(인천여객)"),"KRINF",IF(OR(Z571="선광인천보세(인천신)",Z571="한진인천(인천신)",Z571="선광인천신항(인천신)",Z571="인천더로지스(인천신)"),"KRINN",IF(OR(Z571="인천진아(인천항)",Z571="인천E1(인천항)",Z571="인천SM경인터미널(인천항)",Z571="인천항(인천항)",Z571="인천우련(인천항)",Z571="인천항8부두(인천항)"),"KRINC",VLOOKUP(K571,GLAPS정리!$BB$2:$BC$33,2,0))))))</f>
        <v>#N/A</v>
      </c>
      <c r="AL571" s="2">
        <f t="shared" si="123"/>
        <v>5010001</v>
      </c>
      <c r="AN571" s="70" t="str">
        <f t="shared" si="124"/>
        <v>1900-01-00</v>
      </c>
      <c r="AO571" s="2" t="str">
        <f t="shared" si="125"/>
        <v/>
      </c>
      <c r="AP571" s="2" t="e">
        <f>VLOOKUP(C571,GLAPS정리!$AX$2:$AZ$17,3,0)</f>
        <v>#N/A</v>
      </c>
      <c r="AR571" s="2">
        <f t="shared" si="131"/>
        <v>0</v>
      </c>
      <c r="AX571" s="2" t="e">
        <f>VLOOKUP(L571,GLAPS정리!$V$3:$W$180,2,0)</f>
        <v>#N/A</v>
      </c>
      <c r="BM571" s="2" t="str">
        <f t="shared" si="126"/>
        <v xml:space="preserve"> </v>
      </c>
      <c r="BN571" s="2">
        <f t="shared" si="127"/>
        <v>1</v>
      </c>
      <c r="BR571" s="2" t="str">
        <f t="shared" si="128"/>
        <v/>
      </c>
      <c r="BS571" s="2" t="str">
        <f t="shared" si="129"/>
        <v/>
      </c>
      <c r="BV571" s="2" t="e">
        <f>VLOOKUP(O571,GLAPS정리!$BH$2:$BI$94,2,0)</f>
        <v>#N/A</v>
      </c>
      <c r="BW571" s="2" t="str">
        <f>IF(OR(Z571="동원",Z571="세방",Z571="한타"),"",IFERROR(INDEX(GLAPS정리!$BI$2:$BI$101,MATCH(Z571,GLAPS정리!$BH$2:$BH$101,0)),""))</f>
        <v/>
      </c>
      <c r="BX571" s="2" t="str">
        <f>IF(Z571="","",IFERROR(VLOOKUP(Z571,GLAPS정리!$AX$2:$AZ$17,3,0),""))</f>
        <v/>
      </c>
      <c r="BZ571" s="2" t="e">
        <f>VLOOKUP(H571,GLAPS정리!$L$3:$O$133,2,0)</f>
        <v>#N/A</v>
      </c>
      <c r="CA571" s="2" t="str">
        <f t="shared" si="130"/>
        <v/>
      </c>
      <c r="CL571" s="2" t="e">
        <f>VLOOKUP(AI571,GLAPS정리!$BT$3:$BV$26,3,0)</f>
        <v>#N/A</v>
      </c>
    </row>
    <row r="572" spans="2:90" ht="20.45" customHeight="1">
      <c r="B572" s="13"/>
      <c r="G572" s="3"/>
      <c r="J572" s="3"/>
      <c r="Q572" s="3" t="str">
        <f t="shared" ref="Q572:Q635" si="132">IF(J572="20 FeeT",1,"")</f>
        <v/>
      </c>
      <c r="R572" s="3" t="str">
        <f t="shared" ref="R572:R635" si="133">IF(J572="40 Feet N",1,"")</f>
        <v/>
      </c>
      <c r="S572" s="3" t="str">
        <f t="shared" ref="S572:S635" si="134">IF(J572="40 Feet H",1,"")</f>
        <v/>
      </c>
      <c r="X572" s="13"/>
      <c r="Y572" s="13"/>
      <c r="Z572" s="91"/>
      <c r="AC572" s="2">
        <f t="shared" ref="AC572:AC635" si="135">$AC$1</f>
        <v>20</v>
      </c>
      <c r="AD572" s="2" t="str">
        <f>IFERROR(INDEX(GLAPS정리!$D$2:$D$50,MATCH(I572,GLAPS정리!$A$2:$A$50,0)),IFERROR(INDEX(GLAPS정리!$D$2:$D$50,MATCH(I572,GLAPS정리!$B$2:$B$50,0)),""))</f>
        <v/>
      </c>
      <c r="AF572" s="2" t="str">
        <f t="shared" ref="AF572:AF635" si="136">$AF$1</f>
        <v>KR10</v>
      </c>
      <c r="AI572" s="2" t="e">
        <f>VLOOKUP(F572,GLAPS정리!$G$3:$J$114,2,0)</f>
        <v>#N/A</v>
      </c>
      <c r="AJ572" s="2" t="e">
        <f>IF(Z572="울산정일","KRONS",IF(Z572="울산신항","KRUSN",IF(OR(Z572="선광종합물류(인천여객)",Z572="인천여객(인천여객)"),"KRINF",IF(OR(Z572="선광인천보세(인천신)",Z572="한진인천(인천신)",Z572="선광인천신항(인천신)",Z572="인천더로지스(인천신)"),"KRINN",IF(OR(Z572="인천진아(인천항)",Z572="인천E1(인천항)",Z572="인천SM경인터미널(인천항)",Z572="인천항(인천항)",Z572="인천우련(인천항)",Z572="인천항8부두(인천항)"),"KRINC",VLOOKUP(K572,GLAPS정리!$BB$2:$BC$33,2,0))))))</f>
        <v>#N/A</v>
      </c>
      <c r="AL572" s="2">
        <f t="shared" ref="AL572:AL635" si="137">$AL$1</f>
        <v>5010001</v>
      </c>
      <c r="AN572" s="70" t="str">
        <f t="shared" ref="AN572:AN635" si="138">TEXT(B572,"YYYY-MM-DD")</f>
        <v>1900-01-00</v>
      </c>
      <c r="AO572" s="2" t="str">
        <f t="shared" ref="AO572:AO635" si="139">IF(E572="오전", "0800", IF(E572="오후", "1300", IF(E572="잔업", "1800", "")))</f>
        <v/>
      </c>
      <c r="AP572" s="2" t="e">
        <f>VLOOKUP(C572,GLAPS정리!$AX$2:$AZ$17,3,0)</f>
        <v>#N/A</v>
      </c>
      <c r="AR572" s="2">
        <f t="shared" si="131"/>
        <v>0</v>
      </c>
      <c r="AX572" s="2" t="e">
        <f>VLOOKUP(L572,GLAPS정리!$V$3:$W$180,2,0)</f>
        <v>#N/A</v>
      </c>
      <c r="BM572" s="2" t="str">
        <f t="shared" ref="BM572:BM635" si="140">IF(AND(Q572=1,OR(P572="",P572="위험물")), "2210", IF(AND(Q572=1,OR(P572="리퍼",P572="위험물리퍼")), "2230", IF(AND(S572=1,OR(P572="",P572="위험물")), "4510", IF(AND(S572=1,OR(P572="리퍼",P572="위험물리퍼")), "4530", IF(AND(R572=1,OR(P572="",P572="위험물")), "4210", IF(AND(R572=1,P572="리퍼"), "4230", " "))))))</f>
        <v xml:space="preserve"> </v>
      </c>
      <c r="BN572" s="2">
        <f t="shared" ref="BN572:BN635" si="141">$BN$1</f>
        <v>1</v>
      </c>
      <c r="BR572" s="2" t="str">
        <f t="shared" ref="BR572:BR635" si="142">IF(OR(P572="리퍼",P572="위험물리퍼"),"Y","")</f>
        <v/>
      </c>
      <c r="BS572" s="2" t="str">
        <f t="shared" ref="BS572:BS635" si="143">IF(OR(P572="위험물",P572="위험물리퍼"),"Y","")</f>
        <v/>
      </c>
      <c r="BV572" s="2" t="e">
        <f>VLOOKUP(O572,GLAPS정리!$BH$2:$BI$94,2,0)</f>
        <v>#N/A</v>
      </c>
      <c r="BW572" s="2" t="str">
        <f>IF(OR(Z572="동원",Z572="세방",Z572="한타"),"",IFERROR(INDEX(GLAPS정리!$BI$2:$BI$101,MATCH(Z572,GLAPS정리!$BH$2:$BH$101,0)),""))</f>
        <v/>
      </c>
      <c r="BX572" s="2" t="str">
        <f>IF(Z572="","",IFERROR(VLOOKUP(Z572,GLAPS정리!$AX$2:$AZ$17,3,0),""))</f>
        <v/>
      </c>
      <c r="BZ572" s="2" t="e">
        <f>VLOOKUP(H572,GLAPS정리!$L$3:$O$133,2,0)</f>
        <v>#N/A</v>
      </c>
      <c r="CA572" s="2" t="str">
        <f t="shared" ref="CA572:CA635" si="144">IF(V572="공휴일", 10, IF(V572="야간", 20, IF(V572="위험물", 30, IF(V572="중량", 40, ""))))</f>
        <v/>
      </c>
      <c r="CL572" s="2" t="e">
        <f>VLOOKUP(AI572,GLAPS정리!$BT$3:$BV$26,3,0)</f>
        <v>#N/A</v>
      </c>
    </row>
    <row r="573" spans="2:90" ht="20.45" customHeight="1">
      <c r="B573" s="13"/>
      <c r="G573" s="3"/>
      <c r="J573" s="3"/>
      <c r="Q573" s="3" t="str">
        <f t="shared" si="132"/>
        <v/>
      </c>
      <c r="R573" s="3" t="str">
        <f t="shared" si="133"/>
        <v/>
      </c>
      <c r="S573" s="3" t="str">
        <f t="shared" si="134"/>
        <v/>
      </c>
      <c r="X573" s="13"/>
      <c r="Y573" s="13"/>
      <c r="Z573" s="91"/>
      <c r="AC573" s="2">
        <f t="shared" si="135"/>
        <v>20</v>
      </c>
      <c r="AD573" s="2" t="str">
        <f>IFERROR(INDEX(GLAPS정리!$D$2:$D$50,MATCH(I573,GLAPS정리!$A$2:$A$50,0)),IFERROR(INDEX(GLAPS정리!$D$2:$D$50,MATCH(I573,GLAPS정리!$B$2:$B$50,0)),""))</f>
        <v/>
      </c>
      <c r="AF573" s="2" t="str">
        <f t="shared" si="136"/>
        <v>KR10</v>
      </c>
      <c r="AI573" s="2" t="e">
        <f>VLOOKUP(F573,GLAPS정리!$G$3:$J$114,2,0)</f>
        <v>#N/A</v>
      </c>
      <c r="AJ573" s="2" t="e">
        <f>IF(Z573="울산정일","KRONS",IF(Z573="울산신항","KRUSN",IF(OR(Z573="선광종합물류(인천여객)",Z573="인천여객(인천여객)"),"KRINF",IF(OR(Z573="선광인천보세(인천신)",Z573="한진인천(인천신)",Z573="선광인천신항(인천신)",Z573="인천더로지스(인천신)"),"KRINN",IF(OR(Z573="인천진아(인천항)",Z573="인천E1(인천항)",Z573="인천SM경인터미널(인천항)",Z573="인천항(인천항)",Z573="인천우련(인천항)",Z573="인천항8부두(인천항)"),"KRINC",VLOOKUP(K573,GLAPS정리!$BB$2:$BC$33,2,0))))))</f>
        <v>#N/A</v>
      </c>
      <c r="AL573" s="2">
        <f t="shared" si="137"/>
        <v>5010001</v>
      </c>
      <c r="AN573" s="70" t="str">
        <f t="shared" si="138"/>
        <v>1900-01-00</v>
      </c>
      <c r="AO573" s="2" t="str">
        <f t="shared" si="139"/>
        <v/>
      </c>
      <c r="AP573" s="2" t="e">
        <f>VLOOKUP(C573,GLAPS정리!$AX$2:$AZ$17,3,0)</f>
        <v>#N/A</v>
      </c>
      <c r="AR573" s="2">
        <f t="shared" si="131"/>
        <v>0</v>
      </c>
      <c r="AX573" s="2" t="e">
        <f>VLOOKUP(L573,GLAPS정리!$V$3:$W$180,2,0)</f>
        <v>#N/A</v>
      </c>
      <c r="BM573" s="2" t="str">
        <f t="shared" si="140"/>
        <v xml:space="preserve"> </v>
      </c>
      <c r="BN573" s="2">
        <f t="shared" si="141"/>
        <v>1</v>
      </c>
      <c r="BR573" s="2" t="str">
        <f t="shared" si="142"/>
        <v/>
      </c>
      <c r="BS573" s="2" t="str">
        <f t="shared" si="143"/>
        <v/>
      </c>
      <c r="BV573" s="2" t="e">
        <f>VLOOKUP(O573,GLAPS정리!$BH$2:$BI$94,2,0)</f>
        <v>#N/A</v>
      </c>
      <c r="BW573" s="2" t="str">
        <f>IF(OR(Z573="동원",Z573="세방",Z573="한타"),"",IFERROR(INDEX(GLAPS정리!$BI$2:$BI$101,MATCH(Z573,GLAPS정리!$BH$2:$BH$101,0)),""))</f>
        <v/>
      </c>
      <c r="BX573" s="2" t="str">
        <f>IF(Z573="","",IFERROR(VLOOKUP(Z573,GLAPS정리!$AX$2:$AZ$17,3,0),""))</f>
        <v/>
      </c>
      <c r="BZ573" s="2" t="e">
        <f>VLOOKUP(H573,GLAPS정리!$L$3:$O$133,2,0)</f>
        <v>#N/A</v>
      </c>
      <c r="CA573" s="2" t="str">
        <f t="shared" si="144"/>
        <v/>
      </c>
      <c r="CL573" s="2" t="e">
        <f>VLOOKUP(AI573,GLAPS정리!$BT$3:$BV$26,3,0)</f>
        <v>#N/A</v>
      </c>
    </row>
    <row r="574" spans="2:90" ht="20.45" customHeight="1">
      <c r="B574" s="13"/>
      <c r="G574" s="3"/>
      <c r="J574" s="3"/>
      <c r="Q574" s="3" t="str">
        <f t="shared" si="132"/>
        <v/>
      </c>
      <c r="R574" s="3" t="str">
        <f t="shared" si="133"/>
        <v/>
      </c>
      <c r="S574" s="3" t="str">
        <f t="shared" si="134"/>
        <v/>
      </c>
      <c r="X574" s="13"/>
      <c r="Y574" s="13"/>
      <c r="Z574" s="91"/>
      <c r="AC574" s="2">
        <f t="shared" si="135"/>
        <v>20</v>
      </c>
      <c r="AD574" s="2" t="str">
        <f>IFERROR(INDEX(GLAPS정리!$D$2:$D$50,MATCH(I574,GLAPS정리!$A$2:$A$50,0)),IFERROR(INDEX(GLAPS정리!$D$2:$D$50,MATCH(I574,GLAPS정리!$B$2:$B$50,0)),""))</f>
        <v/>
      </c>
      <c r="AF574" s="2" t="str">
        <f t="shared" si="136"/>
        <v>KR10</v>
      </c>
      <c r="AI574" s="2" t="e">
        <f>VLOOKUP(F574,GLAPS정리!$G$3:$J$114,2,0)</f>
        <v>#N/A</v>
      </c>
      <c r="AJ574" s="2" t="e">
        <f>IF(Z574="울산정일","KRONS",IF(Z574="울산신항","KRUSN",IF(OR(Z574="선광종합물류(인천여객)",Z574="인천여객(인천여객)"),"KRINF",IF(OR(Z574="선광인천보세(인천신)",Z574="한진인천(인천신)",Z574="선광인천신항(인천신)",Z574="인천더로지스(인천신)"),"KRINN",IF(OR(Z574="인천진아(인천항)",Z574="인천E1(인천항)",Z574="인천SM경인터미널(인천항)",Z574="인천항(인천항)",Z574="인천우련(인천항)",Z574="인천항8부두(인천항)"),"KRINC",VLOOKUP(K574,GLAPS정리!$BB$2:$BC$33,2,0))))))</f>
        <v>#N/A</v>
      </c>
      <c r="AL574" s="2">
        <f t="shared" si="137"/>
        <v>5010001</v>
      </c>
      <c r="AN574" s="70" t="str">
        <f t="shared" si="138"/>
        <v>1900-01-00</v>
      </c>
      <c r="AO574" s="2" t="str">
        <f t="shared" si="139"/>
        <v/>
      </c>
      <c r="AP574" s="2" t="e">
        <f>VLOOKUP(C574,GLAPS정리!$AX$2:$AZ$17,3,0)</f>
        <v>#N/A</v>
      </c>
      <c r="AR574" s="2">
        <f t="shared" si="131"/>
        <v>0</v>
      </c>
      <c r="AX574" s="2" t="e">
        <f>VLOOKUP(L574,GLAPS정리!$V$3:$W$180,2,0)</f>
        <v>#N/A</v>
      </c>
      <c r="BM574" s="2" t="str">
        <f t="shared" si="140"/>
        <v xml:space="preserve"> </v>
      </c>
      <c r="BN574" s="2">
        <f t="shared" si="141"/>
        <v>1</v>
      </c>
      <c r="BR574" s="2" t="str">
        <f t="shared" si="142"/>
        <v/>
      </c>
      <c r="BS574" s="2" t="str">
        <f t="shared" si="143"/>
        <v/>
      </c>
      <c r="BV574" s="2" t="e">
        <f>VLOOKUP(O574,GLAPS정리!$BH$2:$BI$94,2,0)</f>
        <v>#N/A</v>
      </c>
      <c r="BW574" s="2" t="str">
        <f>IF(OR(Z574="동원",Z574="세방",Z574="한타"),"",IFERROR(INDEX(GLAPS정리!$BI$2:$BI$101,MATCH(Z574,GLAPS정리!$BH$2:$BH$101,0)),""))</f>
        <v/>
      </c>
      <c r="BX574" s="2" t="str">
        <f>IF(Z574="","",IFERROR(VLOOKUP(Z574,GLAPS정리!$AX$2:$AZ$17,3,0),""))</f>
        <v/>
      </c>
      <c r="BZ574" s="2" t="e">
        <f>VLOOKUP(H574,GLAPS정리!$L$3:$O$133,2,0)</f>
        <v>#N/A</v>
      </c>
      <c r="CA574" s="2" t="str">
        <f t="shared" si="144"/>
        <v/>
      </c>
      <c r="CL574" s="2" t="e">
        <f>VLOOKUP(AI574,GLAPS정리!$BT$3:$BV$26,3,0)</f>
        <v>#N/A</v>
      </c>
    </row>
    <row r="575" spans="2:90" ht="20.45" customHeight="1">
      <c r="B575" s="13"/>
      <c r="G575" s="3"/>
      <c r="J575" s="3"/>
      <c r="Q575" s="3" t="str">
        <f t="shared" si="132"/>
        <v/>
      </c>
      <c r="R575" s="3" t="str">
        <f t="shared" si="133"/>
        <v/>
      </c>
      <c r="S575" s="3" t="str">
        <f t="shared" si="134"/>
        <v/>
      </c>
      <c r="X575" s="13"/>
      <c r="Y575" s="13"/>
      <c r="Z575" s="91"/>
      <c r="AC575" s="2">
        <f t="shared" si="135"/>
        <v>20</v>
      </c>
      <c r="AD575" s="2" t="str">
        <f>IFERROR(INDEX(GLAPS정리!$D$2:$D$50,MATCH(I575,GLAPS정리!$A$2:$A$50,0)),IFERROR(INDEX(GLAPS정리!$D$2:$D$50,MATCH(I575,GLAPS정리!$B$2:$B$50,0)),""))</f>
        <v/>
      </c>
      <c r="AF575" s="2" t="str">
        <f t="shared" si="136"/>
        <v>KR10</v>
      </c>
      <c r="AI575" s="2" t="e">
        <f>VLOOKUP(F575,GLAPS정리!$G$3:$J$114,2,0)</f>
        <v>#N/A</v>
      </c>
      <c r="AJ575" s="2" t="e">
        <f>IF(Z575="울산정일","KRONS",IF(Z575="울산신항","KRUSN",IF(OR(Z575="선광종합물류(인천여객)",Z575="인천여객(인천여객)"),"KRINF",IF(OR(Z575="선광인천보세(인천신)",Z575="한진인천(인천신)",Z575="선광인천신항(인천신)",Z575="인천더로지스(인천신)"),"KRINN",IF(OR(Z575="인천진아(인천항)",Z575="인천E1(인천항)",Z575="인천SM경인터미널(인천항)",Z575="인천항(인천항)",Z575="인천우련(인천항)",Z575="인천항8부두(인천항)"),"KRINC",VLOOKUP(K575,GLAPS정리!$BB$2:$BC$33,2,0))))))</f>
        <v>#N/A</v>
      </c>
      <c r="AL575" s="2">
        <f t="shared" si="137"/>
        <v>5010001</v>
      </c>
      <c r="AN575" s="70" t="str">
        <f t="shared" si="138"/>
        <v>1900-01-00</v>
      </c>
      <c r="AO575" s="2" t="str">
        <f t="shared" si="139"/>
        <v/>
      </c>
      <c r="AP575" s="2" t="e">
        <f>VLOOKUP(C575,GLAPS정리!$AX$2:$AZ$17,3,0)</f>
        <v>#N/A</v>
      </c>
      <c r="AR575" s="2">
        <f t="shared" si="131"/>
        <v>0</v>
      </c>
      <c r="AX575" s="2" t="e">
        <f>VLOOKUP(L575,GLAPS정리!$V$3:$W$180,2,0)</f>
        <v>#N/A</v>
      </c>
      <c r="BM575" s="2" t="str">
        <f t="shared" si="140"/>
        <v xml:space="preserve"> </v>
      </c>
      <c r="BN575" s="2">
        <f t="shared" si="141"/>
        <v>1</v>
      </c>
      <c r="BR575" s="2" t="str">
        <f t="shared" si="142"/>
        <v/>
      </c>
      <c r="BS575" s="2" t="str">
        <f t="shared" si="143"/>
        <v/>
      </c>
      <c r="BV575" s="2" t="e">
        <f>VLOOKUP(O575,GLAPS정리!$BH$2:$BI$94,2,0)</f>
        <v>#N/A</v>
      </c>
      <c r="BW575" s="2" t="str">
        <f>IF(OR(Z575="동원",Z575="세방",Z575="한타"),"",IFERROR(INDEX(GLAPS정리!$BI$2:$BI$101,MATCH(Z575,GLAPS정리!$BH$2:$BH$101,0)),""))</f>
        <v/>
      </c>
      <c r="BX575" s="2" t="str">
        <f>IF(Z575="","",IFERROR(VLOOKUP(Z575,GLAPS정리!$AX$2:$AZ$17,3,0),""))</f>
        <v/>
      </c>
      <c r="BZ575" s="2" t="e">
        <f>VLOOKUP(H575,GLAPS정리!$L$3:$O$133,2,0)</f>
        <v>#N/A</v>
      </c>
      <c r="CA575" s="2" t="str">
        <f t="shared" si="144"/>
        <v/>
      </c>
      <c r="CL575" s="2" t="e">
        <f>VLOOKUP(AI575,GLAPS정리!$BT$3:$BV$26,3,0)</f>
        <v>#N/A</v>
      </c>
    </row>
    <row r="576" spans="2:90" ht="20.45" customHeight="1">
      <c r="B576" s="13"/>
      <c r="G576" s="3"/>
      <c r="J576" s="3"/>
      <c r="Q576" s="3" t="str">
        <f t="shared" si="132"/>
        <v/>
      </c>
      <c r="R576" s="3" t="str">
        <f t="shared" si="133"/>
        <v/>
      </c>
      <c r="S576" s="3" t="str">
        <f t="shared" si="134"/>
        <v/>
      </c>
      <c r="X576" s="13"/>
      <c r="Y576" s="13"/>
      <c r="Z576" s="91"/>
      <c r="AC576" s="2">
        <f t="shared" si="135"/>
        <v>20</v>
      </c>
      <c r="AD576" s="2" t="str">
        <f>IFERROR(INDEX(GLAPS정리!$D$2:$D$50,MATCH(I576,GLAPS정리!$A$2:$A$50,0)),IFERROR(INDEX(GLAPS정리!$D$2:$D$50,MATCH(I576,GLAPS정리!$B$2:$B$50,0)),""))</f>
        <v/>
      </c>
      <c r="AF576" s="2" t="str">
        <f t="shared" si="136"/>
        <v>KR10</v>
      </c>
      <c r="AI576" s="2" t="e">
        <f>VLOOKUP(F576,GLAPS정리!$G$3:$J$114,2,0)</f>
        <v>#N/A</v>
      </c>
      <c r="AJ576" s="2" t="e">
        <f>IF(Z576="울산정일","KRONS",IF(Z576="울산신항","KRUSN",IF(OR(Z576="선광종합물류(인천여객)",Z576="인천여객(인천여객)"),"KRINF",IF(OR(Z576="선광인천보세(인천신)",Z576="한진인천(인천신)",Z576="선광인천신항(인천신)",Z576="인천더로지스(인천신)"),"KRINN",IF(OR(Z576="인천진아(인천항)",Z576="인천E1(인천항)",Z576="인천SM경인터미널(인천항)",Z576="인천항(인천항)",Z576="인천우련(인천항)",Z576="인천항8부두(인천항)"),"KRINC",VLOOKUP(K576,GLAPS정리!$BB$2:$BC$33,2,0))))))</f>
        <v>#N/A</v>
      </c>
      <c r="AL576" s="2">
        <f t="shared" si="137"/>
        <v>5010001</v>
      </c>
      <c r="AN576" s="70" t="str">
        <f t="shared" si="138"/>
        <v>1900-01-00</v>
      </c>
      <c r="AO576" s="2" t="str">
        <f t="shared" si="139"/>
        <v/>
      </c>
      <c r="AP576" s="2" t="e">
        <f>VLOOKUP(C576,GLAPS정리!$AX$2:$AZ$17,3,0)</f>
        <v>#N/A</v>
      </c>
      <c r="AR576" s="2">
        <f t="shared" si="131"/>
        <v>0</v>
      </c>
      <c r="AX576" s="2" t="e">
        <f>VLOOKUP(L576,GLAPS정리!$V$3:$W$180,2,0)</f>
        <v>#N/A</v>
      </c>
      <c r="BM576" s="2" t="str">
        <f t="shared" si="140"/>
        <v xml:space="preserve"> </v>
      </c>
      <c r="BN576" s="2">
        <f t="shared" si="141"/>
        <v>1</v>
      </c>
      <c r="BR576" s="2" t="str">
        <f t="shared" si="142"/>
        <v/>
      </c>
      <c r="BS576" s="2" t="str">
        <f t="shared" si="143"/>
        <v/>
      </c>
      <c r="BV576" s="2" t="e">
        <f>VLOOKUP(O576,GLAPS정리!$BH$2:$BI$94,2,0)</f>
        <v>#N/A</v>
      </c>
      <c r="BW576" s="2" t="str">
        <f>IF(OR(Z576="동원",Z576="세방",Z576="한타"),"",IFERROR(INDEX(GLAPS정리!$BI$2:$BI$101,MATCH(Z576,GLAPS정리!$BH$2:$BH$101,0)),""))</f>
        <v/>
      </c>
      <c r="BX576" s="2" t="str">
        <f>IF(Z576="","",IFERROR(VLOOKUP(Z576,GLAPS정리!$AX$2:$AZ$17,3,0),""))</f>
        <v/>
      </c>
      <c r="BZ576" s="2" t="e">
        <f>VLOOKUP(H576,GLAPS정리!$L$3:$O$133,2,0)</f>
        <v>#N/A</v>
      </c>
      <c r="CA576" s="2" t="str">
        <f t="shared" si="144"/>
        <v/>
      </c>
      <c r="CL576" s="2" t="e">
        <f>VLOOKUP(AI576,GLAPS정리!$BT$3:$BV$26,3,0)</f>
        <v>#N/A</v>
      </c>
    </row>
    <row r="577" spans="2:90" ht="20.45" customHeight="1">
      <c r="B577" s="13"/>
      <c r="G577" s="3"/>
      <c r="J577" s="3"/>
      <c r="Q577" s="3" t="str">
        <f t="shared" si="132"/>
        <v/>
      </c>
      <c r="R577" s="3" t="str">
        <f t="shared" si="133"/>
        <v/>
      </c>
      <c r="S577" s="3" t="str">
        <f t="shared" si="134"/>
        <v/>
      </c>
      <c r="X577" s="13"/>
      <c r="Y577" s="13"/>
      <c r="Z577" s="91"/>
      <c r="AC577" s="2">
        <f t="shared" si="135"/>
        <v>20</v>
      </c>
      <c r="AD577" s="2" t="str">
        <f>IFERROR(INDEX(GLAPS정리!$D$2:$D$50,MATCH(I577,GLAPS정리!$A$2:$A$50,0)),IFERROR(INDEX(GLAPS정리!$D$2:$D$50,MATCH(I577,GLAPS정리!$B$2:$B$50,0)),""))</f>
        <v/>
      </c>
      <c r="AF577" s="2" t="str">
        <f t="shared" si="136"/>
        <v>KR10</v>
      </c>
      <c r="AI577" s="2" t="e">
        <f>VLOOKUP(F577,GLAPS정리!$G$3:$J$114,2,0)</f>
        <v>#N/A</v>
      </c>
      <c r="AJ577" s="2" t="e">
        <f>IF(Z577="울산정일","KRONS",IF(Z577="울산신항","KRUSN",IF(OR(Z577="선광종합물류(인천여객)",Z577="인천여객(인천여객)"),"KRINF",IF(OR(Z577="선광인천보세(인천신)",Z577="한진인천(인천신)",Z577="선광인천신항(인천신)",Z577="인천더로지스(인천신)"),"KRINN",IF(OR(Z577="인천진아(인천항)",Z577="인천E1(인천항)",Z577="인천SM경인터미널(인천항)",Z577="인천항(인천항)",Z577="인천우련(인천항)",Z577="인천항8부두(인천항)"),"KRINC",VLOOKUP(K577,GLAPS정리!$BB$2:$BC$33,2,0))))))</f>
        <v>#N/A</v>
      </c>
      <c r="AL577" s="2">
        <f t="shared" si="137"/>
        <v>5010001</v>
      </c>
      <c r="AN577" s="70" t="str">
        <f t="shared" si="138"/>
        <v>1900-01-00</v>
      </c>
      <c r="AO577" s="2" t="str">
        <f t="shared" si="139"/>
        <v/>
      </c>
      <c r="AP577" s="2" t="e">
        <f>VLOOKUP(C577,GLAPS정리!$AX$2:$AZ$17,3,0)</f>
        <v>#N/A</v>
      </c>
      <c r="AR577" s="2">
        <f t="shared" si="131"/>
        <v>0</v>
      </c>
      <c r="AX577" s="2" t="e">
        <f>VLOOKUP(L577,GLAPS정리!$V$3:$W$180,2,0)</f>
        <v>#N/A</v>
      </c>
      <c r="BM577" s="2" t="str">
        <f t="shared" si="140"/>
        <v xml:space="preserve"> </v>
      </c>
      <c r="BN577" s="2">
        <f t="shared" si="141"/>
        <v>1</v>
      </c>
      <c r="BR577" s="2" t="str">
        <f t="shared" si="142"/>
        <v/>
      </c>
      <c r="BS577" s="2" t="str">
        <f t="shared" si="143"/>
        <v/>
      </c>
      <c r="BV577" s="2" t="e">
        <f>VLOOKUP(O577,GLAPS정리!$BH$2:$BI$94,2,0)</f>
        <v>#N/A</v>
      </c>
      <c r="BW577" s="2" t="str">
        <f>IF(OR(Z577="동원",Z577="세방",Z577="한타"),"",IFERROR(INDEX(GLAPS정리!$BI$2:$BI$101,MATCH(Z577,GLAPS정리!$BH$2:$BH$101,0)),""))</f>
        <v/>
      </c>
      <c r="BX577" s="2" t="str">
        <f>IF(Z577="","",IFERROR(VLOOKUP(Z577,GLAPS정리!$AX$2:$AZ$17,3,0),""))</f>
        <v/>
      </c>
      <c r="BZ577" s="2" t="e">
        <f>VLOOKUP(H577,GLAPS정리!$L$3:$O$133,2,0)</f>
        <v>#N/A</v>
      </c>
      <c r="CA577" s="2" t="str">
        <f t="shared" si="144"/>
        <v/>
      </c>
      <c r="CL577" s="2" t="e">
        <f>VLOOKUP(AI577,GLAPS정리!$BT$3:$BV$26,3,0)</f>
        <v>#N/A</v>
      </c>
    </row>
    <row r="578" spans="2:90" ht="20.45" customHeight="1">
      <c r="B578" s="13"/>
      <c r="G578" s="3"/>
      <c r="J578" s="3"/>
      <c r="Q578" s="3" t="str">
        <f t="shared" si="132"/>
        <v/>
      </c>
      <c r="R578" s="3" t="str">
        <f t="shared" si="133"/>
        <v/>
      </c>
      <c r="S578" s="3" t="str">
        <f t="shared" si="134"/>
        <v/>
      </c>
      <c r="X578" s="13"/>
      <c r="Y578" s="13"/>
      <c r="Z578" s="91"/>
      <c r="AC578" s="2">
        <f t="shared" si="135"/>
        <v>20</v>
      </c>
      <c r="AD578" s="2" t="str">
        <f>IFERROR(INDEX(GLAPS정리!$D$2:$D$50,MATCH(I578,GLAPS정리!$A$2:$A$50,0)),IFERROR(INDEX(GLAPS정리!$D$2:$D$50,MATCH(I578,GLAPS정리!$B$2:$B$50,0)),""))</f>
        <v/>
      </c>
      <c r="AF578" s="2" t="str">
        <f t="shared" si="136"/>
        <v>KR10</v>
      </c>
      <c r="AI578" s="2" t="e">
        <f>VLOOKUP(F578,GLAPS정리!$G$3:$J$114,2,0)</f>
        <v>#N/A</v>
      </c>
      <c r="AJ578" s="2" t="e">
        <f>IF(Z578="울산정일","KRONS",IF(Z578="울산신항","KRUSN",IF(OR(Z578="선광종합물류(인천여객)",Z578="인천여객(인천여객)"),"KRINF",IF(OR(Z578="선광인천보세(인천신)",Z578="한진인천(인천신)",Z578="선광인천신항(인천신)",Z578="인천더로지스(인천신)"),"KRINN",IF(OR(Z578="인천진아(인천항)",Z578="인천E1(인천항)",Z578="인천SM경인터미널(인천항)",Z578="인천항(인천항)",Z578="인천우련(인천항)",Z578="인천항8부두(인천항)"),"KRINC",VLOOKUP(K578,GLAPS정리!$BB$2:$BC$33,2,0))))))</f>
        <v>#N/A</v>
      </c>
      <c r="AL578" s="2">
        <f t="shared" si="137"/>
        <v>5010001</v>
      </c>
      <c r="AN578" s="70" t="str">
        <f t="shared" si="138"/>
        <v>1900-01-00</v>
      </c>
      <c r="AO578" s="2" t="str">
        <f t="shared" si="139"/>
        <v/>
      </c>
      <c r="AP578" s="2" t="e">
        <f>VLOOKUP(C578,GLAPS정리!$AX$2:$AZ$17,3,0)</f>
        <v>#N/A</v>
      </c>
      <c r="AR578" s="2">
        <f t="shared" si="131"/>
        <v>0</v>
      </c>
      <c r="AX578" s="2" t="e">
        <f>VLOOKUP(L578,GLAPS정리!$V$3:$W$180,2,0)</f>
        <v>#N/A</v>
      </c>
      <c r="BM578" s="2" t="str">
        <f t="shared" si="140"/>
        <v xml:space="preserve"> </v>
      </c>
      <c r="BN578" s="2">
        <f t="shared" si="141"/>
        <v>1</v>
      </c>
      <c r="BR578" s="2" t="str">
        <f t="shared" si="142"/>
        <v/>
      </c>
      <c r="BS578" s="2" t="str">
        <f t="shared" si="143"/>
        <v/>
      </c>
      <c r="BV578" s="2" t="e">
        <f>VLOOKUP(O578,GLAPS정리!$BH$2:$BI$94,2,0)</f>
        <v>#N/A</v>
      </c>
      <c r="BW578" s="2" t="str">
        <f>IF(OR(Z578="동원",Z578="세방",Z578="한타"),"",IFERROR(INDEX(GLAPS정리!$BI$2:$BI$101,MATCH(Z578,GLAPS정리!$BH$2:$BH$101,0)),""))</f>
        <v/>
      </c>
      <c r="BX578" s="2" t="str">
        <f>IF(Z578="","",IFERROR(VLOOKUP(Z578,GLAPS정리!$AX$2:$AZ$17,3,0),""))</f>
        <v/>
      </c>
      <c r="BZ578" s="2" t="e">
        <f>VLOOKUP(H578,GLAPS정리!$L$3:$O$133,2,0)</f>
        <v>#N/A</v>
      </c>
      <c r="CA578" s="2" t="str">
        <f t="shared" si="144"/>
        <v/>
      </c>
      <c r="CL578" s="2" t="e">
        <f>VLOOKUP(AI578,GLAPS정리!$BT$3:$BV$26,3,0)</f>
        <v>#N/A</v>
      </c>
    </row>
    <row r="579" spans="2:90" ht="20.45" customHeight="1">
      <c r="B579" s="13"/>
      <c r="G579" s="3"/>
      <c r="J579" s="3"/>
      <c r="Q579" s="3" t="str">
        <f t="shared" si="132"/>
        <v/>
      </c>
      <c r="R579" s="3" t="str">
        <f t="shared" si="133"/>
        <v/>
      </c>
      <c r="S579" s="3" t="str">
        <f t="shared" si="134"/>
        <v/>
      </c>
      <c r="X579" s="13"/>
      <c r="Y579" s="13"/>
      <c r="Z579" s="91"/>
      <c r="AC579" s="2">
        <f t="shared" si="135"/>
        <v>20</v>
      </c>
      <c r="AD579" s="2" t="str">
        <f>IFERROR(INDEX(GLAPS정리!$D$2:$D$50,MATCH(I579,GLAPS정리!$A$2:$A$50,0)),IFERROR(INDEX(GLAPS정리!$D$2:$D$50,MATCH(I579,GLAPS정리!$B$2:$B$50,0)),""))</f>
        <v/>
      </c>
      <c r="AF579" s="2" t="str">
        <f t="shared" si="136"/>
        <v>KR10</v>
      </c>
      <c r="AI579" s="2" t="e">
        <f>VLOOKUP(F579,GLAPS정리!$G$3:$J$114,2,0)</f>
        <v>#N/A</v>
      </c>
      <c r="AJ579" s="2" t="e">
        <f>IF(Z579="울산정일","KRONS",IF(Z579="울산신항","KRUSN",IF(OR(Z579="선광종합물류(인천여객)",Z579="인천여객(인천여객)"),"KRINF",IF(OR(Z579="선광인천보세(인천신)",Z579="한진인천(인천신)",Z579="선광인천신항(인천신)",Z579="인천더로지스(인천신)"),"KRINN",IF(OR(Z579="인천진아(인천항)",Z579="인천E1(인천항)",Z579="인천SM경인터미널(인천항)",Z579="인천항(인천항)",Z579="인천우련(인천항)",Z579="인천항8부두(인천항)"),"KRINC",VLOOKUP(K579,GLAPS정리!$BB$2:$BC$33,2,0))))))</f>
        <v>#N/A</v>
      </c>
      <c r="AL579" s="2">
        <f t="shared" si="137"/>
        <v>5010001</v>
      </c>
      <c r="AN579" s="70" t="str">
        <f t="shared" si="138"/>
        <v>1900-01-00</v>
      </c>
      <c r="AO579" s="2" t="str">
        <f t="shared" si="139"/>
        <v/>
      </c>
      <c r="AP579" s="2" t="e">
        <f>VLOOKUP(C579,GLAPS정리!$AX$2:$AZ$17,3,0)</f>
        <v>#N/A</v>
      </c>
      <c r="AR579" s="2">
        <f t="shared" ref="AR579:AR642" si="145">X579</f>
        <v>0</v>
      </c>
      <c r="AX579" s="2" t="e">
        <f>VLOOKUP(L579,GLAPS정리!$V$3:$W$180,2,0)</f>
        <v>#N/A</v>
      </c>
      <c r="BM579" s="2" t="str">
        <f t="shared" si="140"/>
        <v xml:space="preserve"> </v>
      </c>
      <c r="BN579" s="2">
        <f t="shared" si="141"/>
        <v>1</v>
      </c>
      <c r="BR579" s="2" t="str">
        <f t="shared" si="142"/>
        <v/>
      </c>
      <c r="BS579" s="2" t="str">
        <f t="shared" si="143"/>
        <v/>
      </c>
      <c r="BV579" s="2" t="e">
        <f>VLOOKUP(O579,GLAPS정리!$BH$2:$BI$94,2,0)</f>
        <v>#N/A</v>
      </c>
      <c r="BW579" s="2" t="str">
        <f>IF(OR(Z579="동원",Z579="세방",Z579="한타"),"",IFERROR(INDEX(GLAPS정리!$BI$2:$BI$101,MATCH(Z579,GLAPS정리!$BH$2:$BH$101,0)),""))</f>
        <v/>
      </c>
      <c r="BX579" s="2" t="str">
        <f>IF(Z579="","",IFERROR(VLOOKUP(Z579,GLAPS정리!$AX$2:$AZ$17,3,0),""))</f>
        <v/>
      </c>
      <c r="BZ579" s="2" t="e">
        <f>VLOOKUP(H579,GLAPS정리!$L$3:$O$133,2,0)</f>
        <v>#N/A</v>
      </c>
      <c r="CA579" s="2" t="str">
        <f t="shared" si="144"/>
        <v/>
      </c>
      <c r="CL579" s="2" t="e">
        <f>VLOOKUP(AI579,GLAPS정리!$BT$3:$BV$26,3,0)</f>
        <v>#N/A</v>
      </c>
    </row>
    <row r="580" spans="2:90" ht="20.45" customHeight="1">
      <c r="B580" s="13"/>
      <c r="G580" s="3"/>
      <c r="J580" s="3"/>
      <c r="Q580" s="3" t="str">
        <f t="shared" si="132"/>
        <v/>
      </c>
      <c r="R580" s="3" t="str">
        <f t="shared" si="133"/>
        <v/>
      </c>
      <c r="S580" s="3" t="str">
        <f t="shared" si="134"/>
        <v/>
      </c>
      <c r="X580" s="13"/>
      <c r="Y580" s="13"/>
      <c r="Z580" s="91"/>
      <c r="AC580" s="2">
        <f t="shared" si="135"/>
        <v>20</v>
      </c>
      <c r="AD580" s="2" t="str">
        <f>IFERROR(INDEX(GLAPS정리!$D$2:$D$50,MATCH(I580,GLAPS정리!$A$2:$A$50,0)),IFERROR(INDEX(GLAPS정리!$D$2:$D$50,MATCH(I580,GLAPS정리!$B$2:$B$50,0)),""))</f>
        <v/>
      </c>
      <c r="AF580" s="2" t="str">
        <f t="shared" si="136"/>
        <v>KR10</v>
      </c>
      <c r="AI580" s="2" t="e">
        <f>VLOOKUP(F580,GLAPS정리!$G$3:$J$114,2,0)</f>
        <v>#N/A</v>
      </c>
      <c r="AJ580" s="2" t="e">
        <f>IF(Z580="울산정일","KRONS",IF(Z580="울산신항","KRUSN",IF(OR(Z580="선광종합물류(인천여객)",Z580="인천여객(인천여객)"),"KRINF",IF(OR(Z580="선광인천보세(인천신)",Z580="한진인천(인천신)",Z580="선광인천신항(인천신)",Z580="인천더로지스(인천신)"),"KRINN",IF(OR(Z580="인천진아(인천항)",Z580="인천E1(인천항)",Z580="인천SM경인터미널(인천항)",Z580="인천항(인천항)",Z580="인천우련(인천항)",Z580="인천항8부두(인천항)"),"KRINC",VLOOKUP(K580,GLAPS정리!$BB$2:$BC$33,2,0))))))</f>
        <v>#N/A</v>
      </c>
      <c r="AL580" s="2">
        <f t="shared" si="137"/>
        <v>5010001</v>
      </c>
      <c r="AN580" s="70" t="str">
        <f t="shared" si="138"/>
        <v>1900-01-00</v>
      </c>
      <c r="AO580" s="2" t="str">
        <f t="shared" si="139"/>
        <v/>
      </c>
      <c r="AP580" s="2" t="e">
        <f>VLOOKUP(C580,GLAPS정리!$AX$2:$AZ$17,3,0)</f>
        <v>#N/A</v>
      </c>
      <c r="AR580" s="2">
        <f t="shared" si="145"/>
        <v>0</v>
      </c>
      <c r="AX580" s="2" t="e">
        <f>VLOOKUP(L580,GLAPS정리!$V$3:$W$180,2,0)</f>
        <v>#N/A</v>
      </c>
      <c r="BM580" s="2" t="str">
        <f t="shared" si="140"/>
        <v xml:space="preserve"> </v>
      </c>
      <c r="BN580" s="2">
        <f t="shared" si="141"/>
        <v>1</v>
      </c>
      <c r="BR580" s="2" t="str">
        <f t="shared" si="142"/>
        <v/>
      </c>
      <c r="BS580" s="2" t="str">
        <f t="shared" si="143"/>
        <v/>
      </c>
      <c r="BV580" s="2" t="e">
        <f>VLOOKUP(O580,GLAPS정리!$BH$2:$BI$94,2,0)</f>
        <v>#N/A</v>
      </c>
      <c r="BW580" s="2" t="str">
        <f>IF(OR(Z580="동원",Z580="세방",Z580="한타"),"",IFERROR(INDEX(GLAPS정리!$BI$2:$BI$101,MATCH(Z580,GLAPS정리!$BH$2:$BH$101,0)),""))</f>
        <v/>
      </c>
      <c r="BX580" s="2" t="str">
        <f>IF(Z580="","",IFERROR(VLOOKUP(Z580,GLAPS정리!$AX$2:$AZ$17,3,0),""))</f>
        <v/>
      </c>
      <c r="BZ580" s="2" t="e">
        <f>VLOOKUP(H580,GLAPS정리!$L$3:$O$133,2,0)</f>
        <v>#N/A</v>
      </c>
      <c r="CA580" s="2" t="str">
        <f t="shared" si="144"/>
        <v/>
      </c>
      <c r="CL580" s="2" t="e">
        <f>VLOOKUP(AI580,GLAPS정리!$BT$3:$BV$26,3,0)</f>
        <v>#N/A</v>
      </c>
    </row>
    <row r="581" spans="2:90" ht="20.45" customHeight="1">
      <c r="B581" s="13"/>
      <c r="G581" s="3"/>
      <c r="J581" s="3"/>
      <c r="Q581" s="3" t="str">
        <f t="shared" si="132"/>
        <v/>
      </c>
      <c r="R581" s="3" t="str">
        <f t="shared" si="133"/>
        <v/>
      </c>
      <c r="S581" s="3" t="str">
        <f t="shared" si="134"/>
        <v/>
      </c>
      <c r="X581" s="13"/>
      <c r="Y581" s="13"/>
      <c r="Z581" s="91"/>
      <c r="AC581" s="2">
        <f t="shared" si="135"/>
        <v>20</v>
      </c>
      <c r="AD581" s="2" t="str">
        <f>IFERROR(INDEX(GLAPS정리!$D$2:$D$50,MATCH(I581,GLAPS정리!$A$2:$A$50,0)),IFERROR(INDEX(GLAPS정리!$D$2:$D$50,MATCH(I581,GLAPS정리!$B$2:$B$50,0)),""))</f>
        <v/>
      </c>
      <c r="AF581" s="2" t="str">
        <f t="shared" si="136"/>
        <v>KR10</v>
      </c>
      <c r="AI581" s="2" t="e">
        <f>VLOOKUP(F581,GLAPS정리!$G$3:$J$114,2,0)</f>
        <v>#N/A</v>
      </c>
      <c r="AJ581" s="2" t="e">
        <f>IF(Z581="울산정일","KRONS",IF(Z581="울산신항","KRUSN",IF(OR(Z581="선광종합물류(인천여객)",Z581="인천여객(인천여객)"),"KRINF",IF(OR(Z581="선광인천보세(인천신)",Z581="한진인천(인천신)",Z581="선광인천신항(인천신)",Z581="인천더로지스(인천신)"),"KRINN",IF(OR(Z581="인천진아(인천항)",Z581="인천E1(인천항)",Z581="인천SM경인터미널(인천항)",Z581="인천항(인천항)",Z581="인천우련(인천항)",Z581="인천항8부두(인천항)"),"KRINC",VLOOKUP(K581,GLAPS정리!$BB$2:$BC$33,2,0))))))</f>
        <v>#N/A</v>
      </c>
      <c r="AL581" s="2">
        <f t="shared" si="137"/>
        <v>5010001</v>
      </c>
      <c r="AN581" s="70" t="str">
        <f t="shared" si="138"/>
        <v>1900-01-00</v>
      </c>
      <c r="AO581" s="2" t="str">
        <f t="shared" si="139"/>
        <v/>
      </c>
      <c r="AP581" s="2" t="e">
        <f>VLOOKUP(C581,GLAPS정리!$AX$2:$AZ$17,3,0)</f>
        <v>#N/A</v>
      </c>
      <c r="AR581" s="2">
        <f t="shared" si="145"/>
        <v>0</v>
      </c>
      <c r="AX581" s="2" t="e">
        <f>VLOOKUP(L581,GLAPS정리!$V$3:$W$180,2,0)</f>
        <v>#N/A</v>
      </c>
      <c r="BM581" s="2" t="str">
        <f t="shared" si="140"/>
        <v xml:space="preserve"> </v>
      </c>
      <c r="BN581" s="2">
        <f t="shared" si="141"/>
        <v>1</v>
      </c>
      <c r="BR581" s="2" t="str">
        <f t="shared" si="142"/>
        <v/>
      </c>
      <c r="BS581" s="2" t="str">
        <f t="shared" si="143"/>
        <v/>
      </c>
      <c r="BV581" s="2" t="e">
        <f>VLOOKUP(O581,GLAPS정리!$BH$2:$BI$94,2,0)</f>
        <v>#N/A</v>
      </c>
      <c r="BW581" s="2" t="str">
        <f>IF(OR(Z581="동원",Z581="세방",Z581="한타"),"",IFERROR(INDEX(GLAPS정리!$BI$2:$BI$101,MATCH(Z581,GLAPS정리!$BH$2:$BH$101,0)),""))</f>
        <v/>
      </c>
      <c r="BX581" s="2" t="str">
        <f>IF(Z581="","",IFERROR(VLOOKUP(Z581,GLAPS정리!$AX$2:$AZ$17,3,0),""))</f>
        <v/>
      </c>
      <c r="BZ581" s="2" t="e">
        <f>VLOOKUP(H581,GLAPS정리!$L$3:$O$133,2,0)</f>
        <v>#N/A</v>
      </c>
      <c r="CA581" s="2" t="str">
        <f t="shared" si="144"/>
        <v/>
      </c>
      <c r="CL581" s="2" t="e">
        <f>VLOOKUP(AI581,GLAPS정리!$BT$3:$BV$26,3,0)</f>
        <v>#N/A</v>
      </c>
    </row>
    <row r="582" spans="2:90" ht="20.45" customHeight="1">
      <c r="B582" s="13"/>
      <c r="G582" s="3"/>
      <c r="J582" s="3"/>
      <c r="Q582" s="3" t="str">
        <f t="shared" si="132"/>
        <v/>
      </c>
      <c r="R582" s="3" t="str">
        <f t="shared" si="133"/>
        <v/>
      </c>
      <c r="S582" s="3" t="str">
        <f t="shared" si="134"/>
        <v/>
      </c>
      <c r="X582" s="13"/>
      <c r="Y582" s="13"/>
      <c r="Z582" s="91"/>
      <c r="AC582" s="2">
        <f t="shared" si="135"/>
        <v>20</v>
      </c>
      <c r="AD582" s="2" t="str">
        <f>IFERROR(INDEX(GLAPS정리!$D$2:$D$50,MATCH(I582,GLAPS정리!$A$2:$A$50,0)),IFERROR(INDEX(GLAPS정리!$D$2:$D$50,MATCH(I582,GLAPS정리!$B$2:$B$50,0)),""))</f>
        <v/>
      </c>
      <c r="AF582" s="2" t="str">
        <f t="shared" si="136"/>
        <v>KR10</v>
      </c>
      <c r="AI582" s="2" t="e">
        <f>VLOOKUP(F582,GLAPS정리!$G$3:$J$114,2,0)</f>
        <v>#N/A</v>
      </c>
      <c r="AJ582" s="2" t="e">
        <f>IF(Z582="울산정일","KRONS",IF(Z582="울산신항","KRUSN",IF(OR(Z582="선광종합물류(인천여객)",Z582="인천여객(인천여객)"),"KRINF",IF(OR(Z582="선광인천보세(인천신)",Z582="한진인천(인천신)",Z582="선광인천신항(인천신)",Z582="인천더로지스(인천신)"),"KRINN",IF(OR(Z582="인천진아(인천항)",Z582="인천E1(인천항)",Z582="인천SM경인터미널(인천항)",Z582="인천항(인천항)",Z582="인천우련(인천항)",Z582="인천항8부두(인천항)"),"KRINC",VLOOKUP(K582,GLAPS정리!$BB$2:$BC$33,2,0))))))</f>
        <v>#N/A</v>
      </c>
      <c r="AL582" s="2">
        <f t="shared" si="137"/>
        <v>5010001</v>
      </c>
      <c r="AN582" s="70" t="str">
        <f t="shared" si="138"/>
        <v>1900-01-00</v>
      </c>
      <c r="AO582" s="2" t="str">
        <f t="shared" si="139"/>
        <v/>
      </c>
      <c r="AP582" s="2" t="e">
        <f>VLOOKUP(C582,GLAPS정리!$AX$2:$AZ$17,3,0)</f>
        <v>#N/A</v>
      </c>
      <c r="AR582" s="2">
        <f t="shared" si="145"/>
        <v>0</v>
      </c>
      <c r="AX582" s="2" t="e">
        <f>VLOOKUP(L582,GLAPS정리!$V$3:$W$180,2,0)</f>
        <v>#N/A</v>
      </c>
      <c r="BM582" s="2" t="str">
        <f t="shared" si="140"/>
        <v xml:space="preserve"> </v>
      </c>
      <c r="BN582" s="2">
        <f t="shared" si="141"/>
        <v>1</v>
      </c>
      <c r="BR582" s="2" t="str">
        <f t="shared" si="142"/>
        <v/>
      </c>
      <c r="BS582" s="2" t="str">
        <f t="shared" si="143"/>
        <v/>
      </c>
      <c r="BV582" s="2" t="e">
        <f>VLOOKUP(O582,GLAPS정리!$BH$2:$BI$94,2,0)</f>
        <v>#N/A</v>
      </c>
      <c r="BW582" s="2" t="str">
        <f>IF(OR(Z582="동원",Z582="세방",Z582="한타"),"",IFERROR(INDEX(GLAPS정리!$BI$2:$BI$101,MATCH(Z582,GLAPS정리!$BH$2:$BH$101,0)),""))</f>
        <v/>
      </c>
      <c r="BX582" s="2" t="str">
        <f>IF(Z582="","",IFERROR(VLOOKUP(Z582,GLAPS정리!$AX$2:$AZ$17,3,0),""))</f>
        <v/>
      </c>
      <c r="BZ582" s="2" t="e">
        <f>VLOOKUP(H582,GLAPS정리!$L$3:$O$133,2,0)</f>
        <v>#N/A</v>
      </c>
      <c r="CA582" s="2" t="str">
        <f t="shared" si="144"/>
        <v/>
      </c>
      <c r="CL582" s="2" t="e">
        <f>VLOOKUP(AI582,GLAPS정리!$BT$3:$BV$26,3,0)</f>
        <v>#N/A</v>
      </c>
    </row>
    <row r="583" spans="2:90" ht="20.45" customHeight="1">
      <c r="B583" s="13"/>
      <c r="G583" s="3"/>
      <c r="J583" s="3"/>
      <c r="Q583" s="3" t="str">
        <f t="shared" si="132"/>
        <v/>
      </c>
      <c r="R583" s="3" t="str">
        <f t="shared" si="133"/>
        <v/>
      </c>
      <c r="S583" s="3" t="str">
        <f t="shared" si="134"/>
        <v/>
      </c>
      <c r="X583" s="13"/>
      <c r="Y583" s="13"/>
      <c r="Z583" s="91"/>
      <c r="AC583" s="2">
        <f t="shared" si="135"/>
        <v>20</v>
      </c>
      <c r="AD583" s="2" t="str">
        <f>IFERROR(INDEX(GLAPS정리!$D$2:$D$50,MATCH(I583,GLAPS정리!$A$2:$A$50,0)),IFERROR(INDEX(GLAPS정리!$D$2:$D$50,MATCH(I583,GLAPS정리!$B$2:$B$50,0)),""))</f>
        <v/>
      </c>
      <c r="AF583" s="2" t="str">
        <f t="shared" si="136"/>
        <v>KR10</v>
      </c>
      <c r="AI583" s="2" t="e">
        <f>VLOOKUP(F583,GLAPS정리!$G$3:$J$114,2,0)</f>
        <v>#N/A</v>
      </c>
      <c r="AJ583" s="2" t="e">
        <f>IF(Z583="울산정일","KRONS",IF(Z583="울산신항","KRUSN",IF(OR(Z583="선광종합물류(인천여객)",Z583="인천여객(인천여객)"),"KRINF",IF(OR(Z583="선광인천보세(인천신)",Z583="한진인천(인천신)",Z583="선광인천신항(인천신)",Z583="인천더로지스(인천신)"),"KRINN",IF(OR(Z583="인천진아(인천항)",Z583="인천E1(인천항)",Z583="인천SM경인터미널(인천항)",Z583="인천항(인천항)",Z583="인천우련(인천항)",Z583="인천항8부두(인천항)"),"KRINC",VLOOKUP(K583,GLAPS정리!$BB$2:$BC$33,2,0))))))</f>
        <v>#N/A</v>
      </c>
      <c r="AL583" s="2">
        <f t="shared" si="137"/>
        <v>5010001</v>
      </c>
      <c r="AN583" s="70" t="str">
        <f t="shared" si="138"/>
        <v>1900-01-00</v>
      </c>
      <c r="AO583" s="2" t="str">
        <f t="shared" si="139"/>
        <v/>
      </c>
      <c r="AP583" s="2" t="e">
        <f>VLOOKUP(C583,GLAPS정리!$AX$2:$AZ$17,3,0)</f>
        <v>#N/A</v>
      </c>
      <c r="AR583" s="2">
        <f t="shared" si="145"/>
        <v>0</v>
      </c>
      <c r="AX583" s="2" t="e">
        <f>VLOOKUP(L583,GLAPS정리!$V$3:$W$180,2,0)</f>
        <v>#N/A</v>
      </c>
      <c r="BM583" s="2" t="str">
        <f t="shared" si="140"/>
        <v xml:space="preserve"> </v>
      </c>
      <c r="BN583" s="2">
        <f t="shared" si="141"/>
        <v>1</v>
      </c>
      <c r="BR583" s="2" t="str">
        <f t="shared" si="142"/>
        <v/>
      </c>
      <c r="BS583" s="2" t="str">
        <f t="shared" si="143"/>
        <v/>
      </c>
      <c r="BV583" s="2" t="e">
        <f>VLOOKUP(O583,GLAPS정리!$BH$2:$BI$94,2,0)</f>
        <v>#N/A</v>
      </c>
      <c r="BW583" s="2" t="str">
        <f>IF(OR(Z583="동원",Z583="세방",Z583="한타"),"",IFERROR(INDEX(GLAPS정리!$BI$2:$BI$101,MATCH(Z583,GLAPS정리!$BH$2:$BH$101,0)),""))</f>
        <v/>
      </c>
      <c r="BX583" s="2" t="str">
        <f>IF(Z583="","",IFERROR(VLOOKUP(Z583,GLAPS정리!$AX$2:$AZ$17,3,0),""))</f>
        <v/>
      </c>
      <c r="BZ583" s="2" t="e">
        <f>VLOOKUP(H583,GLAPS정리!$L$3:$O$133,2,0)</f>
        <v>#N/A</v>
      </c>
      <c r="CA583" s="2" t="str">
        <f t="shared" si="144"/>
        <v/>
      </c>
      <c r="CL583" s="2" t="e">
        <f>VLOOKUP(AI583,GLAPS정리!$BT$3:$BV$26,3,0)</f>
        <v>#N/A</v>
      </c>
    </row>
    <row r="584" spans="2:90" ht="20.45" customHeight="1">
      <c r="B584" s="13"/>
      <c r="G584" s="3"/>
      <c r="J584" s="3"/>
      <c r="Q584" s="3" t="str">
        <f t="shared" si="132"/>
        <v/>
      </c>
      <c r="R584" s="3" t="str">
        <f t="shared" si="133"/>
        <v/>
      </c>
      <c r="S584" s="3" t="str">
        <f t="shared" si="134"/>
        <v/>
      </c>
      <c r="X584" s="13"/>
      <c r="Y584" s="13"/>
      <c r="Z584" s="91"/>
      <c r="AC584" s="2">
        <f t="shared" si="135"/>
        <v>20</v>
      </c>
      <c r="AD584" s="2" t="str">
        <f>IFERROR(INDEX(GLAPS정리!$D$2:$D$50,MATCH(I584,GLAPS정리!$A$2:$A$50,0)),IFERROR(INDEX(GLAPS정리!$D$2:$D$50,MATCH(I584,GLAPS정리!$B$2:$B$50,0)),""))</f>
        <v/>
      </c>
      <c r="AF584" s="2" t="str">
        <f t="shared" si="136"/>
        <v>KR10</v>
      </c>
      <c r="AI584" s="2" t="e">
        <f>VLOOKUP(F584,GLAPS정리!$G$3:$J$114,2,0)</f>
        <v>#N/A</v>
      </c>
      <c r="AJ584" s="2" t="e">
        <f>IF(Z584="울산정일","KRONS",IF(Z584="울산신항","KRUSN",IF(OR(Z584="선광종합물류(인천여객)",Z584="인천여객(인천여객)"),"KRINF",IF(OR(Z584="선광인천보세(인천신)",Z584="한진인천(인천신)",Z584="선광인천신항(인천신)",Z584="인천더로지스(인천신)"),"KRINN",IF(OR(Z584="인천진아(인천항)",Z584="인천E1(인천항)",Z584="인천SM경인터미널(인천항)",Z584="인천항(인천항)",Z584="인천우련(인천항)",Z584="인천항8부두(인천항)"),"KRINC",VLOOKUP(K584,GLAPS정리!$BB$2:$BC$33,2,0))))))</f>
        <v>#N/A</v>
      </c>
      <c r="AL584" s="2">
        <f t="shared" si="137"/>
        <v>5010001</v>
      </c>
      <c r="AN584" s="70" t="str">
        <f t="shared" si="138"/>
        <v>1900-01-00</v>
      </c>
      <c r="AO584" s="2" t="str">
        <f t="shared" si="139"/>
        <v/>
      </c>
      <c r="AP584" s="2" t="e">
        <f>VLOOKUP(C584,GLAPS정리!$AX$2:$AZ$17,3,0)</f>
        <v>#N/A</v>
      </c>
      <c r="AR584" s="2">
        <f t="shared" si="145"/>
        <v>0</v>
      </c>
      <c r="AX584" s="2" t="e">
        <f>VLOOKUP(L584,GLAPS정리!$V$3:$W$180,2,0)</f>
        <v>#N/A</v>
      </c>
      <c r="BM584" s="2" t="str">
        <f t="shared" si="140"/>
        <v xml:space="preserve"> </v>
      </c>
      <c r="BN584" s="2">
        <f t="shared" si="141"/>
        <v>1</v>
      </c>
      <c r="BR584" s="2" t="str">
        <f t="shared" si="142"/>
        <v/>
      </c>
      <c r="BS584" s="2" t="str">
        <f t="shared" si="143"/>
        <v/>
      </c>
      <c r="BV584" s="2" t="e">
        <f>VLOOKUP(O584,GLAPS정리!$BH$2:$BI$94,2,0)</f>
        <v>#N/A</v>
      </c>
      <c r="BW584" s="2" t="str">
        <f>IF(OR(Z584="동원",Z584="세방",Z584="한타"),"",IFERROR(INDEX(GLAPS정리!$BI$2:$BI$101,MATCH(Z584,GLAPS정리!$BH$2:$BH$101,0)),""))</f>
        <v/>
      </c>
      <c r="BX584" s="2" t="str">
        <f>IF(Z584="","",IFERROR(VLOOKUP(Z584,GLAPS정리!$AX$2:$AZ$17,3,0),""))</f>
        <v/>
      </c>
      <c r="BZ584" s="2" t="e">
        <f>VLOOKUP(H584,GLAPS정리!$L$3:$O$133,2,0)</f>
        <v>#N/A</v>
      </c>
      <c r="CA584" s="2" t="str">
        <f t="shared" si="144"/>
        <v/>
      </c>
      <c r="CL584" s="2" t="e">
        <f>VLOOKUP(AI584,GLAPS정리!$BT$3:$BV$26,3,0)</f>
        <v>#N/A</v>
      </c>
    </row>
    <row r="585" spans="2:90" ht="20.45" customHeight="1">
      <c r="B585" s="13"/>
      <c r="G585" s="3"/>
      <c r="J585" s="3"/>
      <c r="Q585" s="3" t="str">
        <f t="shared" si="132"/>
        <v/>
      </c>
      <c r="R585" s="3" t="str">
        <f t="shared" si="133"/>
        <v/>
      </c>
      <c r="S585" s="3" t="str">
        <f t="shared" si="134"/>
        <v/>
      </c>
      <c r="X585" s="13"/>
      <c r="Y585" s="13"/>
      <c r="Z585" s="91"/>
      <c r="AC585" s="2">
        <f t="shared" si="135"/>
        <v>20</v>
      </c>
      <c r="AD585" s="2" t="str">
        <f>IFERROR(INDEX(GLAPS정리!$D$2:$D$50,MATCH(I585,GLAPS정리!$A$2:$A$50,0)),IFERROR(INDEX(GLAPS정리!$D$2:$D$50,MATCH(I585,GLAPS정리!$B$2:$B$50,0)),""))</f>
        <v/>
      </c>
      <c r="AF585" s="2" t="str">
        <f t="shared" si="136"/>
        <v>KR10</v>
      </c>
      <c r="AI585" s="2" t="e">
        <f>VLOOKUP(F585,GLAPS정리!$G$3:$J$114,2,0)</f>
        <v>#N/A</v>
      </c>
      <c r="AJ585" s="2" t="e">
        <f>IF(Z585="울산정일","KRONS",IF(Z585="울산신항","KRUSN",IF(OR(Z585="선광종합물류(인천여객)",Z585="인천여객(인천여객)"),"KRINF",IF(OR(Z585="선광인천보세(인천신)",Z585="한진인천(인천신)",Z585="선광인천신항(인천신)",Z585="인천더로지스(인천신)"),"KRINN",IF(OR(Z585="인천진아(인천항)",Z585="인천E1(인천항)",Z585="인천SM경인터미널(인천항)",Z585="인천항(인천항)",Z585="인천우련(인천항)",Z585="인천항8부두(인천항)"),"KRINC",VLOOKUP(K585,GLAPS정리!$BB$2:$BC$33,2,0))))))</f>
        <v>#N/A</v>
      </c>
      <c r="AL585" s="2">
        <f t="shared" si="137"/>
        <v>5010001</v>
      </c>
      <c r="AN585" s="70" t="str">
        <f t="shared" si="138"/>
        <v>1900-01-00</v>
      </c>
      <c r="AO585" s="2" t="str">
        <f t="shared" si="139"/>
        <v/>
      </c>
      <c r="AP585" s="2" t="e">
        <f>VLOOKUP(C585,GLAPS정리!$AX$2:$AZ$17,3,0)</f>
        <v>#N/A</v>
      </c>
      <c r="AR585" s="2">
        <f t="shared" si="145"/>
        <v>0</v>
      </c>
      <c r="AX585" s="2" t="e">
        <f>VLOOKUP(L585,GLAPS정리!$V$3:$W$180,2,0)</f>
        <v>#N/A</v>
      </c>
      <c r="BM585" s="2" t="str">
        <f t="shared" si="140"/>
        <v xml:space="preserve"> </v>
      </c>
      <c r="BN585" s="2">
        <f t="shared" si="141"/>
        <v>1</v>
      </c>
      <c r="BR585" s="2" t="str">
        <f t="shared" si="142"/>
        <v/>
      </c>
      <c r="BS585" s="2" t="str">
        <f t="shared" si="143"/>
        <v/>
      </c>
      <c r="BV585" s="2" t="e">
        <f>VLOOKUP(O585,GLAPS정리!$BH$2:$BI$94,2,0)</f>
        <v>#N/A</v>
      </c>
      <c r="BW585" s="2" t="str">
        <f>IF(OR(Z585="동원",Z585="세방",Z585="한타"),"",IFERROR(INDEX(GLAPS정리!$BI$2:$BI$101,MATCH(Z585,GLAPS정리!$BH$2:$BH$101,0)),""))</f>
        <v/>
      </c>
      <c r="BX585" s="2" t="str">
        <f>IF(Z585="","",IFERROR(VLOOKUP(Z585,GLAPS정리!$AX$2:$AZ$17,3,0),""))</f>
        <v/>
      </c>
      <c r="BZ585" s="2" t="e">
        <f>VLOOKUP(H585,GLAPS정리!$L$3:$O$133,2,0)</f>
        <v>#N/A</v>
      </c>
      <c r="CA585" s="2" t="str">
        <f t="shared" si="144"/>
        <v/>
      </c>
      <c r="CL585" s="2" t="e">
        <f>VLOOKUP(AI585,GLAPS정리!$BT$3:$BV$26,3,0)</f>
        <v>#N/A</v>
      </c>
    </row>
    <row r="586" spans="2:90" ht="20.45" customHeight="1">
      <c r="B586" s="13"/>
      <c r="G586" s="3"/>
      <c r="J586" s="3"/>
      <c r="Q586" s="3" t="str">
        <f t="shared" si="132"/>
        <v/>
      </c>
      <c r="R586" s="3" t="str">
        <f t="shared" si="133"/>
        <v/>
      </c>
      <c r="S586" s="3" t="str">
        <f t="shared" si="134"/>
        <v/>
      </c>
      <c r="X586" s="13"/>
      <c r="Y586" s="13"/>
      <c r="Z586" s="91"/>
      <c r="AC586" s="2">
        <f t="shared" si="135"/>
        <v>20</v>
      </c>
      <c r="AD586" s="2" t="str">
        <f>IFERROR(INDEX(GLAPS정리!$D$2:$D$50,MATCH(I586,GLAPS정리!$A$2:$A$50,0)),IFERROR(INDEX(GLAPS정리!$D$2:$D$50,MATCH(I586,GLAPS정리!$B$2:$B$50,0)),""))</f>
        <v/>
      </c>
      <c r="AF586" s="2" t="str">
        <f t="shared" si="136"/>
        <v>KR10</v>
      </c>
      <c r="AI586" s="2" t="e">
        <f>VLOOKUP(F586,GLAPS정리!$G$3:$J$114,2,0)</f>
        <v>#N/A</v>
      </c>
      <c r="AJ586" s="2" t="e">
        <f>IF(Z586="울산정일","KRONS",IF(Z586="울산신항","KRUSN",IF(OR(Z586="선광종합물류(인천여객)",Z586="인천여객(인천여객)"),"KRINF",IF(OR(Z586="선광인천보세(인천신)",Z586="한진인천(인천신)",Z586="선광인천신항(인천신)",Z586="인천더로지스(인천신)"),"KRINN",IF(OR(Z586="인천진아(인천항)",Z586="인천E1(인천항)",Z586="인천SM경인터미널(인천항)",Z586="인천항(인천항)",Z586="인천우련(인천항)",Z586="인천항8부두(인천항)"),"KRINC",VLOOKUP(K586,GLAPS정리!$BB$2:$BC$33,2,0))))))</f>
        <v>#N/A</v>
      </c>
      <c r="AL586" s="2">
        <f t="shared" si="137"/>
        <v>5010001</v>
      </c>
      <c r="AN586" s="70" t="str">
        <f t="shared" si="138"/>
        <v>1900-01-00</v>
      </c>
      <c r="AO586" s="2" t="str">
        <f t="shared" si="139"/>
        <v/>
      </c>
      <c r="AP586" s="2" t="e">
        <f>VLOOKUP(C586,GLAPS정리!$AX$2:$AZ$17,3,0)</f>
        <v>#N/A</v>
      </c>
      <c r="AR586" s="2">
        <f t="shared" si="145"/>
        <v>0</v>
      </c>
      <c r="AX586" s="2" t="e">
        <f>VLOOKUP(L586,GLAPS정리!$V$3:$W$180,2,0)</f>
        <v>#N/A</v>
      </c>
      <c r="BM586" s="2" t="str">
        <f t="shared" si="140"/>
        <v xml:space="preserve"> </v>
      </c>
      <c r="BN586" s="2">
        <f t="shared" si="141"/>
        <v>1</v>
      </c>
      <c r="BR586" s="2" t="str">
        <f t="shared" si="142"/>
        <v/>
      </c>
      <c r="BS586" s="2" t="str">
        <f t="shared" si="143"/>
        <v/>
      </c>
      <c r="BV586" s="2" t="e">
        <f>VLOOKUP(O586,GLAPS정리!$BH$2:$BI$94,2,0)</f>
        <v>#N/A</v>
      </c>
      <c r="BW586" s="2" t="str">
        <f>IF(OR(Z586="동원",Z586="세방",Z586="한타"),"",IFERROR(INDEX(GLAPS정리!$BI$2:$BI$101,MATCH(Z586,GLAPS정리!$BH$2:$BH$101,0)),""))</f>
        <v/>
      </c>
      <c r="BX586" s="2" t="str">
        <f>IF(Z586="","",IFERROR(VLOOKUP(Z586,GLAPS정리!$AX$2:$AZ$17,3,0),""))</f>
        <v/>
      </c>
      <c r="BZ586" s="2" t="e">
        <f>VLOOKUP(H586,GLAPS정리!$L$3:$O$133,2,0)</f>
        <v>#N/A</v>
      </c>
      <c r="CA586" s="2" t="str">
        <f t="shared" si="144"/>
        <v/>
      </c>
      <c r="CL586" s="2" t="e">
        <f>VLOOKUP(AI586,GLAPS정리!$BT$3:$BV$26,3,0)</f>
        <v>#N/A</v>
      </c>
    </row>
    <row r="587" spans="2:90" ht="20.45" customHeight="1">
      <c r="B587" s="13"/>
      <c r="G587" s="3"/>
      <c r="J587" s="3"/>
      <c r="Q587" s="3" t="str">
        <f t="shared" si="132"/>
        <v/>
      </c>
      <c r="R587" s="3" t="str">
        <f t="shared" si="133"/>
        <v/>
      </c>
      <c r="S587" s="3" t="str">
        <f t="shared" si="134"/>
        <v/>
      </c>
      <c r="X587" s="13"/>
      <c r="Y587" s="13"/>
      <c r="Z587" s="91"/>
      <c r="AC587" s="2">
        <f t="shared" si="135"/>
        <v>20</v>
      </c>
      <c r="AD587" s="2" t="str">
        <f>IFERROR(INDEX(GLAPS정리!$D$2:$D$50,MATCH(I587,GLAPS정리!$A$2:$A$50,0)),IFERROR(INDEX(GLAPS정리!$D$2:$D$50,MATCH(I587,GLAPS정리!$B$2:$B$50,0)),""))</f>
        <v/>
      </c>
      <c r="AF587" s="2" t="str">
        <f t="shared" si="136"/>
        <v>KR10</v>
      </c>
      <c r="AI587" s="2" t="e">
        <f>VLOOKUP(F587,GLAPS정리!$G$3:$J$114,2,0)</f>
        <v>#N/A</v>
      </c>
      <c r="AJ587" s="2" t="e">
        <f>IF(Z587="울산정일","KRONS",IF(Z587="울산신항","KRUSN",IF(OR(Z587="선광종합물류(인천여객)",Z587="인천여객(인천여객)"),"KRINF",IF(OR(Z587="선광인천보세(인천신)",Z587="한진인천(인천신)",Z587="선광인천신항(인천신)",Z587="인천더로지스(인천신)"),"KRINN",IF(OR(Z587="인천진아(인천항)",Z587="인천E1(인천항)",Z587="인천SM경인터미널(인천항)",Z587="인천항(인천항)",Z587="인천우련(인천항)",Z587="인천항8부두(인천항)"),"KRINC",VLOOKUP(K587,GLAPS정리!$BB$2:$BC$33,2,0))))))</f>
        <v>#N/A</v>
      </c>
      <c r="AL587" s="2">
        <f t="shared" si="137"/>
        <v>5010001</v>
      </c>
      <c r="AN587" s="70" t="str">
        <f t="shared" si="138"/>
        <v>1900-01-00</v>
      </c>
      <c r="AO587" s="2" t="str">
        <f t="shared" si="139"/>
        <v/>
      </c>
      <c r="AP587" s="2" t="e">
        <f>VLOOKUP(C587,GLAPS정리!$AX$2:$AZ$17,3,0)</f>
        <v>#N/A</v>
      </c>
      <c r="AR587" s="2">
        <f t="shared" si="145"/>
        <v>0</v>
      </c>
      <c r="AX587" s="2" t="e">
        <f>VLOOKUP(L587,GLAPS정리!$V$3:$W$180,2,0)</f>
        <v>#N/A</v>
      </c>
      <c r="BM587" s="2" t="str">
        <f t="shared" si="140"/>
        <v xml:space="preserve"> </v>
      </c>
      <c r="BN587" s="2">
        <f t="shared" si="141"/>
        <v>1</v>
      </c>
      <c r="BR587" s="2" t="str">
        <f t="shared" si="142"/>
        <v/>
      </c>
      <c r="BS587" s="2" t="str">
        <f t="shared" si="143"/>
        <v/>
      </c>
      <c r="BV587" s="2" t="e">
        <f>VLOOKUP(O587,GLAPS정리!$BH$2:$BI$94,2,0)</f>
        <v>#N/A</v>
      </c>
      <c r="BW587" s="2" t="str">
        <f>IF(OR(Z587="동원",Z587="세방",Z587="한타"),"",IFERROR(INDEX(GLAPS정리!$BI$2:$BI$101,MATCH(Z587,GLAPS정리!$BH$2:$BH$101,0)),""))</f>
        <v/>
      </c>
      <c r="BX587" s="2" t="str">
        <f>IF(Z587="","",IFERROR(VLOOKUP(Z587,GLAPS정리!$AX$2:$AZ$17,3,0),""))</f>
        <v/>
      </c>
      <c r="BZ587" s="2" t="e">
        <f>VLOOKUP(H587,GLAPS정리!$L$3:$O$133,2,0)</f>
        <v>#N/A</v>
      </c>
      <c r="CA587" s="2" t="str">
        <f t="shared" si="144"/>
        <v/>
      </c>
      <c r="CL587" s="2" t="e">
        <f>VLOOKUP(AI587,GLAPS정리!$BT$3:$BV$26,3,0)</f>
        <v>#N/A</v>
      </c>
    </row>
    <row r="588" spans="2:90" ht="20.45" customHeight="1">
      <c r="B588" s="13"/>
      <c r="G588" s="3"/>
      <c r="J588" s="3"/>
      <c r="Q588" s="3" t="str">
        <f t="shared" si="132"/>
        <v/>
      </c>
      <c r="R588" s="3" t="str">
        <f t="shared" si="133"/>
        <v/>
      </c>
      <c r="S588" s="3" t="str">
        <f t="shared" si="134"/>
        <v/>
      </c>
      <c r="X588" s="13"/>
      <c r="Y588" s="13"/>
      <c r="Z588" s="91"/>
      <c r="AC588" s="2">
        <f t="shared" si="135"/>
        <v>20</v>
      </c>
      <c r="AD588" s="2" t="str">
        <f>IFERROR(INDEX(GLAPS정리!$D$2:$D$50,MATCH(I588,GLAPS정리!$A$2:$A$50,0)),IFERROR(INDEX(GLAPS정리!$D$2:$D$50,MATCH(I588,GLAPS정리!$B$2:$B$50,0)),""))</f>
        <v/>
      </c>
      <c r="AF588" s="2" t="str">
        <f t="shared" si="136"/>
        <v>KR10</v>
      </c>
      <c r="AI588" s="2" t="e">
        <f>VLOOKUP(F588,GLAPS정리!$G$3:$J$114,2,0)</f>
        <v>#N/A</v>
      </c>
      <c r="AJ588" s="2" t="e">
        <f>IF(Z588="울산정일","KRONS",IF(Z588="울산신항","KRUSN",IF(OR(Z588="선광종합물류(인천여객)",Z588="인천여객(인천여객)"),"KRINF",IF(OR(Z588="선광인천보세(인천신)",Z588="한진인천(인천신)",Z588="선광인천신항(인천신)",Z588="인천더로지스(인천신)"),"KRINN",IF(OR(Z588="인천진아(인천항)",Z588="인천E1(인천항)",Z588="인천SM경인터미널(인천항)",Z588="인천항(인천항)",Z588="인천우련(인천항)",Z588="인천항8부두(인천항)"),"KRINC",VLOOKUP(K588,GLAPS정리!$BB$2:$BC$33,2,0))))))</f>
        <v>#N/A</v>
      </c>
      <c r="AL588" s="2">
        <f t="shared" si="137"/>
        <v>5010001</v>
      </c>
      <c r="AN588" s="70" t="str">
        <f t="shared" si="138"/>
        <v>1900-01-00</v>
      </c>
      <c r="AO588" s="2" t="str">
        <f t="shared" si="139"/>
        <v/>
      </c>
      <c r="AP588" s="2" t="e">
        <f>VLOOKUP(C588,GLAPS정리!$AX$2:$AZ$17,3,0)</f>
        <v>#N/A</v>
      </c>
      <c r="AR588" s="2">
        <f t="shared" si="145"/>
        <v>0</v>
      </c>
      <c r="AX588" s="2" t="e">
        <f>VLOOKUP(L588,GLAPS정리!$V$3:$W$180,2,0)</f>
        <v>#N/A</v>
      </c>
      <c r="BM588" s="2" t="str">
        <f t="shared" si="140"/>
        <v xml:space="preserve"> </v>
      </c>
      <c r="BN588" s="2">
        <f t="shared" si="141"/>
        <v>1</v>
      </c>
      <c r="BR588" s="2" t="str">
        <f t="shared" si="142"/>
        <v/>
      </c>
      <c r="BS588" s="2" t="str">
        <f t="shared" si="143"/>
        <v/>
      </c>
      <c r="BV588" s="2" t="e">
        <f>VLOOKUP(O588,GLAPS정리!$BH$2:$BI$94,2,0)</f>
        <v>#N/A</v>
      </c>
      <c r="BW588" s="2" t="str">
        <f>IF(OR(Z588="동원",Z588="세방",Z588="한타"),"",IFERROR(INDEX(GLAPS정리!$BI$2:$BI$101,MATCH(Z588,GLAPS정리!$BH$2:$BH$101,0)),""))</f>
        <v/>
      </c>
      <c r="BX588" s="2" t="str">
        <f>IF(Z588="","",IFERROR(VLOOKUP(Z588,GLAPS정리!$AX$2:$AZ$17,3,0),""))</f>
        <v/>
      </c>
      <c r="BZ588" s="2" t="e">
        <f>VLOOKUP(H588,GLAPS정리!$L$3:$O$133,2,0)</f>
        <v>#N/A</v>
      </c>
      <c r="CA588" s="2" t="str">
        <f t="shared" si="144"/>
        <v/>
      </c>
      <c r="CL588" s="2" t="e">
        <f>VLOOKUP(AI588,GLAPS정리!$BT$3:$BV$26,3,0)</f>
        <v>#N/A</v>
      </c>
    </row>
    <row r="589" spans="2:90" ht="20.45" customHeight="1">
      <c r="B589" s="13"/>
      <c r="G589" s="3"/>
      <c r="J589" s="3"/>
      <c r="Q589" s="3" t="str">
        <f t="shared" si="132"/>
        <v/>
      </c>
      <c r="R589" s="3" t="str">
        <f t="shared" si="133"/>
        <v/>
      </c>
      <c r="S589" s="3" t="str">
        <f t="shared" si="134"/>
        <v/>
      </c>
      <c r="X589" s="13"/>
      <c r="Y589" s="13"/>
      <c r="Z589" s="91"/>
      <c r="AC589" s="2">
        <f t="shared" si="135"/>
        <v>20</v>
      </c>
      <c r="AD589" s="2" t="str">
        <f>IFERROR(INDEX(GLAPS정리!$D$2:$D$50,MATCH(I589,GLAPS정리!$A$2:$A$50,0)),IFERROR(INDEX(GLAPS정리!$D$2:$D$50,MATCH(I589,GLAPS정리!$B$2:$B$50,0)),""))</f>
        <v/>
      </c>
      <c r="AF589" s="2" t="str">
        <f t="shared" si="136"/>
        <v>KR10</v>
      </c>
      <c r="AI589" s="2" t="e">
        <f>VLOOKUP(F589,GLAPS정리!$G$3:$J$114,2,0)</f>
        <v>#N/A</v>
      </c>
      <c r="AJ589" s="2" t="e">
        <f>IF(Z589="울산정일","KRONS",IF(Z589="울산신항","KRUSN",IF(OR(Z589="선광종합물류(인천여객)",Z589="인천여객(인천여객)"),"KRINF",IF(OR(Z589="선광인천보세(인천신)",Z589="한진인천(인천신)",Z589="선광인천신항(인천신)",Z589="인천더로지스(인천신)"),"KRINN",IF(OR(Z589="인천진아(인천항)",Z589="인천E1(인천항)",Z589="인천SM경인터미널(인천항)",Z589="인천항(인천항)",Z589="인천우련(인천항)",Z589="인천항8부두(인천항)"),"KRINC",VLOOKUP(K589,GLAPS정리!$BB$2:$BC$33,2,0))))))</f>
        <v>#N/A</v>
      </c>
      <c r="AL589" s="2">
        <f t="shared" si="137"/>
        <v>5010001</v>
      </c>
      <c r="AN589" s="70" t="str">
        <f t="shared" si="138"/>
        <v>1900-01-00</v>
      </c>
      <c r="AO589" s="2" t="str">
        <f t="shared" si="139"/>
        <v/>
      </c>
      <c r="AP589" s="2" t="e">
        <f>VLOOKUP(C589,GLAPS정리!$AX$2:$AZ$17,3,0)</f>
        <v>#N/A</v>
      </c>
      <c r="AR589" s="2">
        <f t="shared" si="145"/>
        <v>0</v>
      </c>
      <c r="AX589" s="2" t="e">
        <f>VLOOKUP(L589,GLAPS정리!$V$3:$W$180,2,0)</f>
        <v>#N/A</v>
      </c>
      <c r="BM589" s="2" t="str">
        <f t="shared" si="140"/>
        <v xml:space="preserve"> </v>
      </c>
      <c r="BN589" s="2">
        <f t="shared" si="141"/>
        <v>1</v>
      </c>
      <c r="BR589" s="2" t="str">
        <f t="shared" si="142"/>
        <v/>
      </c>
      <c r="BS589" s="2" t="str">
        <f t="shared" si="143"/>
        <v/>
      </c>
      <c r="BV589" s="2" t="e">
        <f>VLOOKUP(O589,GLAPS정리!$BH$2:$BI$94,2,0)</f>
        <v>#N/A</v>
      </c>
      <c r="BW589" s="2" t="str">
        <f>IF(OR(Z589="동원",Z589="세방",Z589="한타"),"",IFERROR(INDEX(GLAPS정리!$BI$2:$BI$101,MATCH(Z589,GLAPS정리!$BH$2:$BH$101,0)),""))</f>
        <v/>
      </c>
      <c r="BX589" s="2" t="str">
        <f>IF(Z589="","",IFERROR(VLOOKUP(Z589,GLAPS정리!$AX$2:$AZ$17,3,0),""))</f>
        <v/>
      </c>
      <c r="BZ589" s="2" t="e">
        <f>VLOOKUP(H589,GLAPS정리!$L$3:$O$133,2,0)</f>
        <v>#N/A</v>
      </c>
      <c r="CA589" s="2" t="str">
        <f t="shared" si="144"/>
        <v/>
      </c>
      <c r="CL589" s="2" t="e">
        <f>VLOOKUP(AI589,GLAPS정리!$BT$3:$BV$26,3,0)</f>
        <v>#N/A</v>
      </c>
    </row>
    <row r="590" spans="2:90" ht="20.45" customHeight="1">
      <c r="B590" s="13"/>
      <c r="G590" s="3"/>
      <c r="J590" s="3"/>
      <c r="Q590" s="3" t="str">
        <f t="shared" si="132"/>
        <v/>
      </c>
      <c r="R590" s="3" t="str">
        <f t="shared" si="133"/>
        <v/>
      </c>
      <c r="S590" s="3" t="str">
        <f t="shared" si="134"/>
        <v/>
      </c>
      <c r="X590" s="13"/>
      <c r="Y590" s="13"/>
      <c r="Z590" s="91"/>
      <c r="AC590" s="2">
        <f t="shared" si="135"/>
        <v>20</v>
      </c>
      <c r="AD590" s="2" t="str">
        <f>IFERROR(INDEX(GLAPS정리!$D$2:$D$50,MATCH(I590,GLAPS정리!$A$2:$A$50,0)),IFERROR(INDEX(GLAPS정리!$D$2:$D$50,MATCH(I590,GLAPS정리!$B$2:$B$50,0)),""))</f>
        <v/>
      </c>
      <c r="AF590" s="2" t="str">
        <f t="shared" si="136"/>
        <v>KR10</v>
      </c>
      <c r="AI590" s="2" t="e">
        <f>VLOOKUP(F590,GLAPS정리!$G$3:$J$114,2,0)</f>
        <v>#N/A</v>
      </c>
      <c r="AJ590" s="2" t="e">
        <f>IF(Z590="울산정일","KRONS",IF(Z590="울산신항","KRUSN",IF(OR(Z590="선광종합물류(인천여객)",Z590="인천여객(인천여객)"),"KRINF",IF(OR(Z590="선광인천보세(인천신)",Z590="한진인천(인천신)",Z590="선광인천신항(인천신)",Z590="인천더로지스(인천신)"),"KRINN",IF(OR(Z590="인천진아(인천항)",Z590="인천E1(인천항)",Z590="인천SM경인터미널(인천항)",Z590="인천항(인천항)",Z590="인천우련(인천항)",Z590="인천항8부두(인천항)"),"KRINC",VLOOKUP(K590,GLAPS정리!$BB$2:$BC$33,2,0))))))</f>
        <v>#N/A</v>
      </c>
      <c r="AL590" s="2">
        <f t="shared" si="137"/>
        <v>5010001</v>
      </c>
      <c r="AN590" s="70" t="str">
        <f t="shared" si="138"/>
        <v>1900-01-00</v>
      </c>
      <c r="AO590" s="2" t="str">
        <f t="shared" si="139"/>
        <v/>
      </c>
      <c r="AP590" s="2" t="e">
        <f>VLOOKUP(C590,GLAPS정리!$AX$2:$AZ$17,3,0)</f>
        <v>#N/A</v>
      </c>
      <c r="AR590" s="2">
        <f t="shared" si="145"/>
        <v>0</v>
      </c>
      <c r="AX590" s="2" t="e">
        <f>VLOOKUP(L590,GLAPS정리!$V$3:$W$180,2,0)</f>
        <v>#N/A</v>
      </c>
      <c r="BM590" s="2" t="str">
        <f t="shared" si="140"/>
        <v xml:space="preserve"> </v>
      </c>
      <c r="BN590" s="2">
        <f t="shared" si="141"/>
        <v>1</v>
      </c>
      <c r="BR590" s="2" t="str">
        <f t="shared" si="142"/>
        <v/>
      </c>
      <c r="BS590" s="2" t="str">
        <f t="shared" si="143"/>
        <v/>
      </c>
      <c r="BV590" s="2" t="e">
        <f>VLOOKUP(O590,GLAPS정리!$BH$2:$BI$94,2,0)</f>
        <v>#N/A</v>
      </c>
      <c r="BW590" s="2" t="str">
        <f>IF(OR(Z590="동원",Z590="세방",Z590="한타"),"",IFERROR(INDEX(GLAPS정리!$BI$2:$BI$101,MATCH(Z590,GLAPS정리!$BH$2:$BH$101,0)),""))</f>
        <v/>
      </c>
      <c r="BX590" s="2" t="str">
        <f>IF(Z590="","",IFERROR(VLOOKUP(Z590,GLAPS정리!$AX$2:$AZ$17,3,0),""))</f>
        <v/>
      </c>
      <c r="BZ590" s="2" t="e">
        <f>VLOOKUP(H590,GLAPS정리!$L$3:$O$133,2,0)</f>
        <v>#N/A</v>
      </c>
      <c r="CA590" s="2" t="str">
        <f t="shared" si="144"/>
        <v/>
      </c>
      <c r="CL590" s="2" t="e">
        <f>VLOOKUP(AI590,GLAPS정리!$BT$3:$BV$26,3,0)</f>
        <v>#N/A</v>
      </c>
    </row>
    <row r="591" spans="2:90" ht="20.45" customHeight="1">
      <c r="B591" s="13"/>
      <c r="G591" s="3"/>
      <c r="J591" s="3"/>
      <c r="Q591" s="3" t="str">
        <f t="shared" si="132"/>
        <v/>
      </c>
      <c r="R591" s="3" t="str">
        <f t="shared" si="133"/>
        <v/>
      </c>
      <c r="S591" s="3" t="str">
        <f t="shared" si="134"/>
        <v/>
      </c>
      <c r="X591" s="13"/>
      <c r="Y591" s="13"/>
      <c r="Z591" s="91"/>
      <c r="AC591" s="2">
        <f t="shared" si="135"/>
        <v>20</v>
      </c>
      <c r="AD591" s="2" t="str">
        <f>IFERROR(INDEX(GLAPS정리!$D$2:$D$50,MATCH(I591,GLAPS정리!$A$2:$A$50,0)),IFERROR(INDEX(GLAPS정리!$D$2:$D$50,MATCH(I591,GLAPS정리!$B$2:$B$50,0)),""))</f>
        <v/>
      </c>
      <c r="AF591" s="2" t="str">
        <f t="shared" si="136"/>
        <v>KR10</v>
      </c>
      <c r="AI591" s="2" t="e">
        <f>VLOOKUP(F591,GLAPS정리!$G$3:$J$114,2,0)</f>
        <v>#N/A</v>
      </c>
      <c r="AJ591" s="2" t="e">
        <f>IF(Z591="울산정일","KRONS",IF(Z591="울산신항","KRUSN",IF(OR(Z591="선광종합물류(인천여객)",Z591="인천여객(인천여객)"),"KRINF",IF(OR(Z591="선광인천보세(인천신)",Z591="한진인천(인천신)",Z591="선광인천신항(인천신)",Z591="인천더로지스(인천신)"),"KRINN",IF(OR(Z591="인천진아(인천항)",Z591="인천E1(인천항)",Z591="인천SM경인터미널(인천항)",Z591="인천항(인천항)",Z591="인천우련(인천항)",Z591="인천항8부두(인천항)"),"KRINC",VLOOKUP(K591,GLAPS정리!$BB$2:$BC$33,2,0))))))</f>
        <v>#N/A</v>
      </c>
      <c r="AL591" s="2">
        <f t="shared" si="137"/>
        <v>5010001</v>
      </c>
      <c r="AN591" s="70" t="str">
        <f t="shared" si="138"/>
        <v>1900-01-00</v>
      </c>
      <c r="AO591" s="2" t="str">
        <f t="shared" si="139"/>
        <v/>
      </c>
      <c r="AP591" s="2" t="e">
        <f>VLOOKUP(C591,GLAPS정리!$AX$2:$AZ$17,3,0)</f>
        <v>#N/A</v>
      </c>
      <c r="AR591" s="2">
        <f t="shared" si="145"/>
        <v>0</v>
      </c>
      <c r="AX591" s="2" t="e">
        <f>VLOOKUP(L591,GLAPS정리!$V$3:$W$180,2,0)</f>
        <v>#N/A</v>
      </c>
      <c r="BM591" s="2" t="str">
        <f t="shared" si="140"/>
        <v xml:space="preserve"> </v>
      </c>
      <c r="BN591" s="2">
        <f t="shared" si="141"/>
        <v>1</v>
      </c>
      <c r="BR591" s="2" t="str">
        <f t="shared" si="142"/>
        <v/>
      </c>
      <c r="BS591" s="2" t="str">
        <f t="shared" si="143"/>
        <v/>
      </c>
      <c r="BV591" s="2" t="e">
        <f>VLOOKUP(O591,GLAPS정리!$BH$2:$BI$94,2,0)</f>
        <v>#N/A</v>
      </c>
      <c r="BW591" s="2" t="str">
        <f>IF(OR(Z591="동원",Z591="세방",Z591="한타"),"",IFERROR(INDEX(GLAPS정리!$BI$2:$BI$101,MATCH(Z591,GLAPS정리!$BH$2:$BH$101,0)),""))</f>
        <v/>
      </c>
      <c r="BX591" s="2" t="str">
        <f>IF(Z591="","",IFERROR(VLOOKUP(Z591,GLAPS정리!$AX$2:$AZ$17,3,0),""))</f>
        <v/>
      </c>
      <c r="BZ591" s="2" t="e">
        <f>VLOOKUP(H591,GLAPS정리!$L$3:$O$133,2,0)</f>
        <v>#N/A</v>
      </c>
      <c r="CA591" s="2" t="str">
        <f t="shared" si="144"/>
        <v/>
      </c>
      <c r="CL591" s="2" t="e">
        <f>VLOOKUP(AI591,GLAPS정리!$BT$3:$BV$26,3,0)</f>
        <v>#N/A</v>
      </c>
    </row>
    <row r="592" spans="2:90" ht="20.45" customHeight="1">
      <c r="B592" s="13"/>
      <c r="G592" s="3"/>
      <c r="J592" s="3"/>
      <c r="Q592" s="3" t="str">
        <f t="shared" si="132"/>
        <v/>
      </c>
      <c r="R592" s="3" t="str">
        <f t="shared" si="133"/>
        <v/>
      </c>
      <c r="S592" s="3" t="str">
        <f t="shared" si="134"/>
        <v/>
      </c>
      <c r="X592" s="13"/>
      <c r="Y592" s="13"/>
      <c r="Z592" s="91"/>
      <c r="AC592" s="2">
        <f t="shared" si="135"/>
        <v>20</v>
      </c>
      <c r="AD592" s="2" t="str">
        <f>IFERROR(INDEX(GLAPS정리!$D$2:$D$50,MATCH(I592,GLAPS정리!$A$2:$A$50,0)),IFERROR(INDEX(GLAPS정리!$D$2:$D$50,MATCH(I592,GLAPS정리!$B$2:$B$50,0)),""))</f>
        <v/>
      </c>
      <c r="AF592" s="2" t="str">
        <f t="shared" si="136"/>
        <v>KR10</v>
      </c>
      <c r="AI592" s="2" t="e">
        <f>VLOOKUP(F592,GLAPS정리!$G$3:$J$114,2,0)</f>
        <v>#N/A</v>
      </c>
      <c r="AJ592" s="2" t="e">
        <f>IF(Z592="울산정일","KRONS",IF(Z592="울산신항","KRUSN",IF(OR(Z592="선광종합물류(인천여객)",Z592="인천여객(인천여객)"),"KRINF",IF(OR(Z592="선광인천보세(인천신)",Z592="한진인천(인천신)",Z592="선광인천신항(인천신)",Z592="인천더로지스(인천신)"),"KRINN",IF(OR(Z592="인천진아(인천항)",Z592="인천E1(인천항)",Z592="인천SM경인터미널(인천항)",Z592="인천항(인천항)",Z592="인천우련(인천항)",Z592="인천항8부두(인천항)"),"KRINC",VLOOKUP(K592,GLAPS정리!$BB$2:$BC$33,2,0))))))</f>
        <v>#N/A</v>
      </c>
      <c r="AL592" s="2">
        <f t="shared" si="137"/>
        <v>5010001</v>
      </c>
      <c r="AN592" s="70" t="str">
        <f t="shared" si="138"/>
        <v>1900-01-00</v>
      </c>
      <c r="AO592" s="2" t="str">
        <f t="shared" si="139"/>
        <v/>
      </c>
      <c r="AP592" s="2" t="e">
        <f>VLOOKUP(C592,GLAPS정리!$AX$2:$AZ$17,3,0)</f>
        <v>#N/A</v>
      </c>
      <c r="AR592" s="2">
        <f t="shared" si="145"/>
        <v>0</v>
      </c>
      <c r="AX592" s="2" t="e">
        <f>VLOOKUP(L592,GLAPS정리!$V$3:$W$180,2,0)</f>
        <v>#N/A</v>
      </c>
      <c r="BM592" s="2" t="str">
        <f t="shared" si="140"/>
        <v xml:space="preserve"> </v>
      </c>
      <c r="BN592" s="2">
        <f t="shared" si="141"/>
        <v>1</v>
      </c>
      <c r="BR592" s="2" t="str">
        <f t="shared" si="142"/>
        <v/>
      </c>
      <c r="BS592" s="2" t="str">
        <f t="shared" si="143"/>
        <v/>
      </c>
      <c r="BV592" s="2" t="e">
        <f>VLOOKUP(O592,GLAPS정리!$BH$2:$BI$94,2,0)</f>
        <v>#N/A</v>
      </c>
      <c r="BW592" s="2" t="str">
        <f>IF(OR(Z592="동원",Z592="세방",Z592="한타"),"",IFERROR(INDEX(GLAPS정리!$BI$2:$BI$101,MATCH(Z592,GLAPS정리!$BH$2:$BH$101,0)),""))</f>
        <v/>
      </c>
      <c r="BX592" s="2" t="str">
        <f>IF(Z592="","",IFERROR(VLOOKUP(Z592,GLAPS정리!$AX$2:$AZ$17,3,0),""))</f>
        <v/>
      </c>
      <c r="BZ592" s="2" t="e">
        <f>VLOOKUP(H592,GLAPS정리!$L$3:$O$133,2,0)</f>
        <v>#N/A</v>
      </c>
      <c r="CA592" s="2" t="str">
        <f t="shared" si="144"/>
        <v/>
      </c>
      <c r="CL592" s="2" t="e">
        <f>VLOOKUP(AI592,GLAPS정리!$BT$3:$BV$26,3,0)</f>
        <v>#N/A</v>
      </c>
    </row>
    <row r="593" spans="2:90" ht="20.45" customHeight="1">
      <c r="B593" s="13"/>
      <c r="G593" s="3"/>
      <c r="J593" s="3"/>
      <c r="Q593" s="3" t="str">
        <f t="shared" si="132"/>
        <v/>
      </c>
      <c r="R593" s="3" t="str">
        <f t="shared" si="133"/>
        <v/>
      </c>
      <c r="S593" s="3" t="str">
        <f t="shared" si="134"/>
        <v/>
      </c>
      <c r="X593" s="13"/>
      <c r="Y593" s="13"/>
      <c r="Z593" s="91"/>
      <c r="AC593" s="2">
        <f t="shared" si="135"/>
        <v>20</v>
      </c>
      <c r="AD593" s="2" t="str">
        <f>IFERROR(INDEX(GLAPS정리!$D$2:$D$50,MATCH(I593,GLAPS정리!$A$2:$A$50,0)),IFERROR(INDEX(GLAPS정리!$D$2:$D$50,MATCH(I593,GLAPS정리!$B$2:$B$50,0)),""))</f>
        <v/>
      </c>
      <c r="AF593" s="2" t="str">
        <f t="shared" si="136"/>
        <v>KR10</v>
      </c>
      <c r="AI593" s="2" t="e">
        <f>VLOOKUP(F593,GLAPS정리!$G$3:$J$114,2,0)</f>
        <v>#N/A</v>
      </c>
      <c r="AJ593" s="2" t="e">
        <f>IF(Z593="울산정일","KRONS",IF(Z593="울산신항","KRUSN",IF(OR(Z593="선광종합물류(인천여객)",Z593="인천여객(인천여객)"),"KRINF",IF(OR(Z593="선광인천보세(인천신)",Z593="한진인천(인천신)",Z593="선광인천신항(인천신)",Z593="인천더로지스(인천신)"),"KRINN",IF(OR(Z593="인천진아(인천항)",Z593="인천E1(인천항)",Z593="인천SM경인터미널(인천항)",Z593="인천항(인천항)",Z593="인천우련(인천항)",Z593="인천항8부두(인천항)"),"KRINC",VLOOKUP(K593,GLAPS정리!$BB$2:$BC$33,2,0))))))</f>
        <v>#N/A</v>
      </c>
      <c r="AL593" s="2">
        <f t="shared" si="137"/>
        <v>5010001</v>
      </c>
      <c r="AN593" s="70" t="str">
        <f t="shared" si="138"/>
        <v>1900-01-00</v>
      </c>
      <c r="AO593" s="2" t="str">
        <f t="shared" si="139"/>
        <v/>
      </c>
      <c r="AP593" s="2" t="e">
        <f>VLOOKUP(C593,GLAPS정리!$AX$2:$AZ$17,3,0)</f>
        <v>#N/A</v>
      </c>
      <c r="AR593" s="2">
        <f t="shared" si="145"/>
        <v>0</v>
      </c>
      <c r="AX593" s="2" t="e">
        <f>VLOOKUP(L593,GLAPS정리!$V$3:$W$180,2,0)</f>
        <v>#N/A</v>
      </c>
      <c r="BM593" s="2" t="str">
        <f t="shared" si="140"/>
        <v xml:space="preserve"> </v>
      </c>
      <c r="BN593" s="2">
        <f t="shared" si="141"/>
        <v>1</v>
      </c>
      <c r="BR593" s="2" t="str">
        <f t="shared" si="142"/>
        <v/>
      </c>
      <c r="BS593" s="2" t="str">
        <f t="shared" si="143"/>
        <v/>
      </c>
      <c r="BV593" s="2" t="e">
        <f>VLOOKUP(O593,GLAPS정리!$BH$2:$BI$94,2,0)</f>
        <v>#N/A</v>
      </c>
      <c r="BW593" s="2" t="str">
        <f>IF(OR(Z593="동원",Z593="세방",Z593="한타"),"",IFERROR(INDEX(GLAPS정리!$BI$2:$BI$101,MATCH(Z593,GLAPS정리!$BH$2:$BH$101,0)),""))</f>
        <v/>
      </c>
      <c r="BX593" s="2" t="str">
        <f>IF(Z593="","",IFERROR(VLOOKUP(Z593,GLAPS정리!$AX$2:$AZ$17,3,0),""))</f>
        <v/>
      </c>
      <c r="BZ593" s="2" t="e">
        <f>VLOOKUP(H593,GLAPS정리!$L$3:$O$133,2,0)</f>
        <v>#N/A</v>
      </c>
      <c r="CA593" s="2" t="str">
        <f t="shared" si="144"/>
        <v/>
      </c>
      <c r="CL593" s="2" t="e">
        <f>VLOOKUP(AI593,GLAPS정리!$BT$3:$BV$26,3,0)</f>
        <v>#N/A</v>
      </c>
    </row>
    <row r="594" spans="2:90" ht="20.45" customHeight="1">
      <c r="B594" s="13"/>
      <c r="G594" s="3"/>
      <c r="J594" s="3"/>
      <c r="Q594" s="3" t="str">
        <f t="shared" si="132"/>
        <v/>
      </c>
      <c r="R594" s="3" t="str">
        <f t="shared" si="133"/>
        <v/>
      </c>
      <c r="S594" s="3" t="str">
        <f t="shared" si="134"/>
        <v/>
      </c>
      <c r="X594" s="13"/>
      <c r="Y594" s="13"/>
      <c r="Z594" s="91"/>
      <c r="AC594" s="2">
        <f t="shared" si="135"/>
        <v>20</v>
      </c>
      <c r="AD594" s="2" t="str">
        <f>IFERROR(INDEX(GLAPS정리!$D$2:$D$50,MATCH(I594,GLAPS정리!$A$2:$A$50,0)),IFERROR(INDEX(GLAPS정리!$D$2:$D$50,MATCH(I594,GLAPS정리!$B$2:$B$50,0)),""))</f>
        <v/>
      </c>
      <c r="AF594" s="2" t="str">
        <f t="shared" si="136"/>
        <v>KR10</v>
      </c>
      <c r="AI594" s="2" t="e">
        <f>VLOOKUP(F594,GLAPS정리!$G$3:$J$114,2,0)</f>
        <v>#N/A</v>
      </c>
      <c r="AJ594" s="2" t="e">
        <f>IF(Z594="울산정일","KRONS",IF(Z594="울산신항","KRUSN",IF(OR(Z594="선광종합물류(인천여객)",Z594="인천여객(인천여객)"),"KRINF",IF(OR(Z594="선광인천보세(인천신)",Z594="한진인천(인천신)",Z594="선광인천신항(인천신)",Z594="인천더로지스(인천신)"),"KRINN",IF(OR(Z594="인천진아(인천항)",Z594="인천E1(인천항)",Z594="인천SM경인터미널(인천항)",Z594="인천항(인천항)",Z594="인천우련(인천항)",Z594="인천항8부두(인천항)"),"KRINC",VLOOKUP(K594,GLAPS정리!$BB$2:$BC$33,2,0))))))</f>
        <v>#N/A</v>
      </c>
      <c r="AL594" s="2">
        <f t="shared" si="137"/>
        <v>5010001</v>
      </c>
      <c r="AN594" s="70" t="str">
        <f t="shared" si="138"/>
        <v>1900-01-00</v>
      </c>
      <c r="AO594" s="2" t="str">
        <f t="shared" si="139"/>
        <v/>
      </c>
      <c r="AP594" s="2" t="e">
        <f>VLOOKUP(C594,GLAPS정리!$AX$2:$AZ$17,3,0)</f>
        <v>#N/A</v>
      </c>
      <c r="AR594" s="2">
        <f t="shared" si="145"/>
        <v>0</v>
      </c>
      <c r="AX594" s="2" t="e">
        <f>VLOOKUP(L594,GLAPS정리!$V$3:$W$180,2,0)</f>
        <v>#N/A</v>
      </c>
      <c r="BM594" s="2" t="str">
        <f t="shared" si="140"/>
        <v xml:space="preserve"> </v>
      </c>
      <c r="BN594" s="2">
        <f t="shared" si="141"/>
        <v>1</v>
      </c>
      <c r="BR594" s="2" t="str">
        <f t="shared" si="142"/>
        <v/>
      </c>
      <c r="BS594" s="2" t="str">
        <f t="shared" si="143"/>
        <v/>
      </c>
      <c r="BV594" s="2" t="e">
        <f>VLOOKUP(O594,GLAPS정리!$BH$2:$BI$94,2,0)</f>
        <v>#N/A</v>
      </c>
      <c r="BW594" s="2" t="str">
        <f>IF(OR(Z594="동원",Z594="세방",Z594="한타"),"",IFERROR(INDEX(GLAPS정리!$BI$2:$BI$101,MATCH(Z594,GLAPS정리!$BH$2:$BH$101,0)),""))</f>
        <v/>
      </c>
      <c r="BX594" s="2" t="str">
        <f>IF(Z594="","",IFERROR(VLOOKUP(Z594,GLAPS정리!$AX$2:$AZ$17,3,0),""))</f>
        <v/>
      </c>
      <c r="BZ594" s="2" t="e">
        <f>VLOOKUP(H594,GLAPS정리!$L$3:$O$133,2,0)</f>
        <v>#N/A</v>
      </c>
      <c r="CA594" s="2" t="str">
        <f t="shared" si="144"/>
        <v/>
      </c>
      <c r="CL594" s="2" t="e">
        <f>VLOOKUP(AI594,GLAPS정리!$BT$3:$BV$26,3,0)</f>
        <v>#N/A</v>
      </c>
    </row>
    <row r="595" spans="2:90" ht="20.45" customHeight="1">
      <c r="B595" s="13"/>
      <c r="G595" s="3"/>
      <c r="J595" s="3"/>
      <c r="Q595" s="3" t="str">
        <f t="shared" si="132"/>
        <v/>
      </c>
      <c r="R595" s="3" t="str">
        <f t="shared" si="133"/>
        <v/>
      </c>
      <c r="S595" s="3" t="str">
        <f t="shared" si="134"/>
        <v/>
      </c>
      <c r="X595" s="13"/>
      <c r="Y595" s="13"/>
      <c r="Z595" s="91"/>
      <c r="AC595" s="2">
        <f t="shared" si="135"/>
        <v>20</v>
      </c>
      <c r="AD595" s="2" t="str">
        <f>IFERROR(INDEX(GLAPS정리!$D$2:$D$50,MATCH(I595,GLAPS정리!$A$2:$A$50,0)),IFERROR(INDEX(GLAPS정리!$D$2:$D$50,MATCH(I595,GLAPS정리!$B$2:$B$50,0)),""))</f>
        <v/>
      </c>
      <c r="AF595" s="2" t="str">
        <f t="shared" si="136"/>
        <v>KR10</v>
      </c>
      <c r="AI595" s="2" t="e">
        <f>VLOOKUP(F595,GLAPS정리!$G$3:$J$114,2,0)</f>
        <v>#N/A</v>
      </c>
      <c r="AJ595" s="2" t="e">
        <f>IF(Z595="울산정일","KRONS",IF(Z595="울산신항","KRUSN",IF(OR(Z595="선광종합물류(인천여객)",Z595="인천여객(인천여객)"),"KRINF",IF(OR(Z595="선광인천보세(인천신)",Z595="한진인천(인천신)",Z595="선광인천신항(인천신)",Z595="인천더로지스(인천신)"),"KRINN",IF(OR(Z595="인천진아(인천항)",Z595="인천E1(인천항)",Z595="인천SM경인터미널(인천항)",Z595="인천항(인천항)",Z595="인천우련(인천항)",Z595="인천항8부두(인천항)"),"KRINC",VLOOKUP(K595,GLAPS정리!$BB$2:$BC$33,2,0))))))</f>
        <v>#N/A</v>
      </c>
      <c r="AL595" s="2">
        <f t="shared" si="137"/>
        <v>5010001</v>
      </c>
      <c r="AN595" s="70" t="str">
        <f t="shared" si="138"/>
        <v>1900-01-00</v>
      </c>
      <c r="AO595" s="2" t="str">
        <f t="shared" si="139"/>
        <v/>
      </c>
      <c r="AP595" s="2" t="e">
        <f>VLOOKUP(C595,GLAPS정리!$AX$2:$AZ$17,3,0)</f>
        <v>#N/A</v>
      </c>
      <c r="AR595" s="2">
        <f t="shared" si="145"/>
        <v>0</v>
      </c>
      <c r="AX595" s="2" t="e">
        <f>VLOOKUP(L595,GLAPS정리!$V$3:$W$180,2,0)</f>
        <v>#N/A</v>
      </c>
      <c r="BM595" s="2" t="str">
        <f t="shared" si="140"/>
        <v xml:space="preserve"> </v>
      </c>
      <c r="BN595" s="2">
        <f t="shared" si="141"/>
        <v>1</v>
      </c>
      <c r="BR595" s="2" t="str">
        <f t="shared" si="142"/>
        <v/>
      </c>
      <c r="BS595" s="2" t="str">
        <f t="shared" si="143"/>
        <v/>
      </c>
      <c r="BV595" s="2" t="e">
        <f>VLOOKUP(O595,GLAPS정리!$BH$2:$BI$94,2,0)</f>
        <v>#N/A</v>
      </c>
      <c r="BW595" s="2" t="str">
        <f>IF(OR(Z595="동원",Z595="세방",Z595="한타"),"",IFERROR(INDEX(GLAPS정리!$BI$2:$BI$101,MATCH(Z595,GLAPS정리!$BH$2:$BH$101,0)),""))</f>
        <v/>
      </c>
      <c r="BX595" s="2" t="str">
        <f>IF(Z595="","",IFERROR(VLOOKUP(Z595,GLAPS정리!$AX$2:$AZ$17,3,0),""))</f>
        <v/>
      </c>
      <c r="BZ595" s="2" t="e">
        <f>VLOOKUP(H595,GLAPS정리!$L$3:$O$133,2,0)</f>
        <v>#N/A</v>
      </c>
      <c r="CA595" s="2" t="str">
        <f t="shared" si="144"/>
        <v/>
      </c>
      <c r="CL595" s="2" t="e">
        <f>VLOOKUP(AI595,GLAPS정리!$BT$3:$BV$26,3,0)</f>
        <v>#N/A</v>
      </c>
    </row>
    <row r="596" spans="2:90" ht="20.45" customHeight="1">
      <c r="B596" s="13"/>
      <c r="G596" s="3"/>
      <c r="J596" s="3"/>
      <c r="Q596" s="3" t="str">
        <f t="shared" si="132"/>
        <v/>
      </c>
      <c r="R596" s="3" t="str">
        <f t="shared" si="133"/>
        <v/>
      </c>
      <c r="S596" s="3" t="str">
        <f t="shared" si="134"/>
        <v/>
      </c>
      <c r="X596" s="13"/>
      <c r="Y596" s="13"/>
      <c r="Z596" s="91"/>
      <c r="AC596" s="2">
        <f t="shared" si="135"/>
        <v>20</v>
      </c>
      <c r="AD596" s="2" t="str">
        <f>IFERROR(INDEX(GLAPS정리!$D$2:$D$50,MATCH(I596,GLAPS정리!$A$2:$A$50,0)),IFERROR(INDEX(GLAPS정리!$D$2:$D$50,MATCH(I596,GLAPS정리!$B$2:$B$50,0)),""))</f>
        <v/>
      </c>
      <c r="AF596" s="2" t="str">
        <f t="shared" si="136"/>
        <v>KR10</v>
      </c>
      <c r="AI596" s="2" t="e">
        <f>VLOOKUP(F596,GLAPS정리!$G$3:$J$114,2,0)</f>
        <v>#N/A</v>
      </c>
      <c r="AJ596" s="2" t="e">
        <f>IF(Z596="울산정일","KRONS",IF(Z596="울산신항","KRUSN",IF(OR(Z596="선광종합물류(인천여객)",Z596="인천여객(인천여객)"),"KRINF",IF(OR(Z596="선광인천보세(인천신)",Z596="한진인천(인천신)",Z596="선광인천신항(인천신)",Z596="인천더로지스(인천신)"),"KRINN",IF(OR(Z596="인천진아(인천항)",Z596="인천E1(인천항)",Z596="인천SM경인터미널(인천항)",Z596="인천항(인천항)",Z596="인천우련(인천항)",Z596="인천항8부두(인천항)"),"KRINC",VLOOKUP(K596,GLAPS정리!$BB$2:$BC$33,2,0))))))</f>
        <v>#N/A</v>
      </c>
      <c r="AL596" s="2">
        <f t="shared" si="137"/>
        <v>5010001</v>
      </c>
      <c r="AN596" s="70" t="str">
        <f t="shared" si="138"/>
        <v>1900-01-00</v>
      </c>
      <c r="AO596" s="2" t="str">
        <f t="shared" si="139"/>
        <v/>
      </c>
      <c r="AP596" s="2" t="e">
        <f>VLOOKUP(C596,GLAPS정리!$AX$2:$AZ$17,3,0)</f>
        <v>#N/A</v>
      </c>
      <c r="AR596" s="2">
        <f t="shared" si="145"/>
        <v>0</v>
      </c>
      <c r="AX596" s="2" t="e">
        <f>VLOOKUP(L596,GLAPS정리!$V$3:$W$180,2,0)</f>
        <v>#N/A</v>
      </c>
      <c r="BM596" s="2" t="str">
        <f t="shared" si="140"/>
        <v xml:space="preserve"> </v>
      </c>
      <c r="BN596" s="2">
        <f t="shared" si="141"/>
        <v>1</v>
      </c>
      <c r="BR596" s="2" t="str">
        <f t="shared" si="142"/>
        <v/>
      </c>
      <c r="BS596" s="2" t="str">
        <f t="shared" si="143"/>
        <v/>
      </c>
      <c r="BV596" s="2" t="e">
        <f>VLOOKUP(O596,GLAPS정리!$BH$2:$BI$94,2,0)</f>
        <v>#N/A</v>
      </c>
      <c r="BW596" s="2" t="str">
        <f>IF(OR(Z596="동원",Z596="세방",Z596="한타"),"",IFERROR(INDEX(GLAPS정리!$BI$2:$BI$101,MATCH(Z596,GLAPS정리!$BH$2:$BH$101,0)),""))</f>
        <v/>
      </c>
      <c r="BX596" s="2" t="str">
        <f>IF(Z596="","",IFERROR(VLOOKUP(Z596,GLAPS정리!$AX$2:$AZ$17,3,0),""))</f>
        <v/>
      </c>
      <c r="BZ596" s="2" t="e">
        <f>VLOOKUP(H596,GLAPS정리!$L$3:$O$133,2,0)</f>
        <v>#N/A</v>
      </c>
      <c r="CA596" s="2" t="str">
        <f t="shared" si="144"/>
        <v/>
      </c>
      <c r="CL596" s="2" t="e">
        <f>VLOOKUP(AI596,GLAPS정리!$BT$3:$BV$26,3,0)</f>
        <v>#N/A</v>
      </c>
    </row>
    <row r="597" spans="2:90" ht="20.45" customHeight="1">
      <c r="B597" s="13"/>
      <c r="G597" s="3"/>
      <c r="J597" s="3"/>
      <c r="Q597" s="3" t="str">
        <f t="shared" si="132"/>
        <v/>
      </c>
      <c r="R597" s="3" t="str">
        <f t="shared" si="133"/>
        <v/>
      </c>
      <c r="S597" s="3" t="str">
        <f t="shared" si="134"/>
        <v/>
      </c>
      <c r="X597" s="13"/>
      <c r="Y597" s="13"/>
      <c r="Z597" s="91"/>
      <c r="AC597" s="2">
        <f t="shared" si="135"/>
        <v>20</v>
      </c>
      <c r="AD597" s="2" t="str">
        <f>IFERROR(INDEX(GLAPS정리!$D$2:$D$50,MATCH(I597,GLAPS정리!$A$2:$A$50,0)),IFERROR(INDEX(GLAPS정리!$D$2:$D$50,MATCH(I597,GLAPS정리!$B$2:$B$50,0)),""))</f>
        <v/>
      </c>
      <c r="AF597" s="2" t="str">
        <f t="shared" si="136"/>
        <v>KR10</v>
      </c>
      <c r="AI597" s="2" t="e">
        <f>VLOOKUP(F597,GLAPS정리!$G$3:$J$114,2,0)</f>
        <v>#N/A</v>
      </c>
      <c r="AJ597" s="2" t="e">
        <f>IF(Z597="울산정일","KRONS",IF(Z597="울산신항","KRUSN",IF(OR(Z597="선광종합물류(인천여객)",Z597="인천여객(인천여객)"),"KRINF",IF(OR(Z597="선광인천보세(인천신)",Z597="한진인천(인천신)",Z597="선광인천신항(인천신)",Z597="인천더로지스(인천신)"),"KRINN",IF(OR(Z597="인천진아(인천항)",Z597="인천E1(인천항)",Z597="인천SM경인터미널(인천항)",Z597="인천항(인천항)",Z597="인천우련(인천항)",Z597="인천항8부두(인천항)"),"KRINC",VLOOKUP(K597,GLAPS정리!$BB$2:$BC$33,2,0))))))</f>
        <v>#N/A</v>
      </c>
      <c r="AL597" s="2">
        <f t="shared" si="137"/>
        <v>5010001</v>
      </c>
      <c r="AN597" s="70" t="str">
        <f t="shared" si="138"/>
        <v>1900-01-00</v>
      </c>
      <c r="AO597" s="2" t="str">
        <f t="shared" si="139"/>
        <v/>
      </c>
      <c r="AP597" s="2" t="e">
        <f>VLOOKUP(C597,GLAPS정리!$AX$2:$AZ$17,3,0)</f>
        <v>#N/A</v>
      </c>
      <c r="AR597" s="2">
        <f t="shared" si="145"/>
        <v>0</v>
      </c>
      <c r="AX597" s="2" t="e">
        <f>VLOOKUP(L597,GLAPS정리!$V$3:$W$180,2,0)</f>
        <v>#N/A</v>
      </c>
      <c r="BM597" s="2" t="str">
        <f t="shared" si="140"/>
        <v xml:space="preserve"> </v>
      </c>
      <c r="BN597" s="2">
        <f t="shared" si="141"/>
        <v>1</v>
      </c>
      <c r="BR597" s="2" t="str">
        <f t="shared" si="142"/>
        <v/>
      </c>
      <c r="BS597" s="2" t="str">
        <f t="shared" si="143"/>
        <v/>
      </c>
      <c r="BV597" s="2" t="e">
        <f>VLOOKUP(O597,GLAPS정리!$BH$2:$BI$94,2,0)</f>
        <v>#N/A</v>
      </c>
      <c r="BW597" s="2" t="str">
        <f>IF(OR(Z597="동원",Z597="세방",Z597="한타"),"",IFERROR(INDEX(GLAPS정리!$BI$2:$BI$101,MATCH(Z597,GLAPS정리!$BH$2:$BH$101,0)),""))</f>
        <v/>
      </c>
      <c r="BX597" s="2" t="str">
        <f>IF(Z597="","",IFERROR(VLOOKUP(Z597,GLAPS정리!$AX$2:$AZ$17,3,0),""))</f>
        <v/>
      </c>
      <c r="BZ597" s="2" t="e">
        <f>VLOOKUP(H597,GLAPS정리!$L$3:$O$133,2,0)</f>
        <v>#N/A</v>
      </c>
      <c r="CA597" s="2" t="str">
        <f t="shared" si="144"/>
        <v/>
      </c>
      <c r="CL597" s="2" t="e">
        <f>VLOOKUP(AI597,GLAPS정리!$BT$3:$BV$26,3,0)</f>
        <v>#N/A</v>
      </c>
    </row>
    <row r="598" spans="2:90" ht="20.45" customHeight="1">
      <c r="B598" s="13"/>
      <c r="G598" s="3"/>
      <c r="J598" s="3"/>
      <c r="Q598" s="3" t="str">
        <f t="shared" si="132"/>
        <v/>
      </c>
      <c r="R598" s="3" t="str">
        <f t="shared" si="133"/>
        <v/>
      </c>
      <c r="S598" s="3" t="str">
        <f t="shared" si="134"/>
        <v/>
      </c>
      <c r="X598" s="13"/>
      <c r="Y598" s="13"/>
      <c r="Z598" s="91"/>
      <c r="AC598" s="2">
        <f t="shared" si="135"/>
        <v>20</v>
      </c>
      <c r="AD598" s="2" t="str">
        <f>IFERROR(INDEX(GLAPS정리!$D$2:$D$50,MATCH(I598,GLAPS정리!$A$2:$A$50,0)),IFERROR(INDEX(GLAPS정리!$D$2:$D$50,MATCH(I598,GLAPS정리!$B$2:$B$50,0)),""))</f>
        <v/>
      </c>
      <c r="AF598" s="2" t="str">
        <f t="shared" si="136"/>
        <v>KR10</v>
      </c>
      <c r="AI598" s="2" t="e">
        <f>VLOOKUP(F598,GLAPS정리!$G$3:$J$114,2,0)</f>
        <v>#N/A</v>
      </c>
      <c r="AJ598" s="2" t="e">
        <f>IF(Z598="울산정일","KRONS",IF(Z598="울산신항","KRUSN",IF(OR(Z598="선광종합물류(인천여객)",Z598="인천여객(인천여객)"),"KRINF",IF(OR(Z598="선광인천보세(인천신)",Z598="한진인천(인천신)",Z598="선광인천신항(인천신)",Z598="인천더로지스(인천신)"),"KRINN",IF(OR(Z598="인천진아(인천항)",Z598="인천E1(인천항)",Z598="인천SM경인터미널(인천항)",Z598="인천항(인천항)",Z598="인천우련(인천항)",Z598="인천항8부두(인천항)"),"KRINC",VLOOKUP(K598,GLAPS정리!$BB$2:$BC$33,2,0))))))</f>
        <v>#N/A</v>
      </c>
      <c r="AL598" s="2">
        <f t="shared" si="137"/>
        <v>5010001</v>
      </c>
      <c r="AN598" s="70" t="str">
        <f t="shared" si="138"/>
        <v>1900-01-00</v>
      </c>
      <c r="AO598" s="2" t="str">
        <f t="shared" si="139"/>
        <v/>
      </c>
      <c r="AP598" s="2" t="e">
        <f>VLOOKUP(C598,GLAPS정리!$AX$2:$AZ$17,3,0)</f>
        <v>#N/A</v>
      </c>
      <c r="AR598" s="2">
        <f t="shared" si="145"/>
        <v>0</v>
      </c>
      <c r="AX598" s="2" t="e">
        <f>VLOOKUP(L598,GLAPS정리!$V$3:$W$180,2,0)</f>
        <v>#N/A</v>
      </c>
      <c r="BM598" s="2" t="str">
        <f t="shared" si="140"/>
        <v xml:space="preserve"> </v>
      </c>
      <c r="BN598" s="2">
        <f t="shared" si="141"/>
        <v>1</v>
      </c>
      <c r="BR598" s="2" t="str">
        <f t="shared" si="142"/>
        <v/>
      </c>
      <c r="BS598" s="2" t="str">
        <f t="shared" si="143"/>
        <v/>
      </c>
      <c r="BV598" s="2" t="e">
        <f>VLOOKUP(O598,GLAPS정리!$BH$2:$BI$94,2,0)</f>
        <v>#N/A</v>
      </c>
      <c r="BW598" s="2" t="str">
        <f>IF(OR(Z598="동원",Z598="세방",Z598="한타"),"",IFERROR(INDEX(GLAPS정리!$BI$2:$BI$101,MATCH(Z598,GLAPS정리!$BH$2:$BH$101,0)),""))</f>
        <v/>
      </c>
      <c r="BX598" s="2" t="str">
        <f>IF(Z598="","",IFERROR(VLOOKUP(Z598,GLAPS정리!$AX$2:$AZ$17,3,0),""))</f>
        <v/>
      </c>
      <c r="BZ598" s="2" t="e">
        <f>VLOOKUP(H598,GLAPS정리!$L$3:$O$133,2,0)</f>
        <v>#N/A</v>
      </c>
      <c r="CA598" s="2" t="str">
        <f t="shared" si="144"/>
        <v/>
      </c>
      <c r="CL598" s="2" t="e">
        <f>VLOOKUP(AI598,GLAPS정리!$BT$3:$BV$26,3,0)</f>
        <v>#N/A</v>
      </c>
    </row>
    <row r="599" spans="2:90" ht="20.45" customHeight="1">
      <c r="B599" s="13"/>
      <c r="G599" s="3"/>
      <c r="J599" s="3"/>
      <c r="Q599" s="3" t="str">
        <f t="shared" si="132"/>
        <v/>
      </c>
      <c r="R599" s="3" t="str">
        <f t="shared" si="133"/>
        <v/>
      </c>
      <c r="S599" s="3" t="str">
        <f t="shared" si="134"/>
        <v/>
      </c>
      <c r="X599" s="13"/>
      <c r="Y599" s="13"/>
      <c r="Z599" s="91"/>
      <c r="AC599" s="2">
        <f t="shared" si="135"/>
        <v>20</v>
      </c>
      <c r="AD599" s="2" t="str">
        <f>IFERROR(INDEX(GLAPS정리!$D$2:$D$50,MATCH(I599,GLAPS정리!$A$2:$A$50,0)),IFERROR(INDEX(GLAPS정리!$D$2:$D$50,MATCH(I599,GLAPS정리!$B$2:$B$50,0)),""))</f>
        <v/>
      </c>
      <c r="AF599" s="2" t="str">
        <f t="shared" si="136"/>
        <v>KR10</v>
      </c>
      <c r="AI599" s="2" t="e">
        <f>VLOOKUP(F599,GLAPS정리!$G$3:$J$114,2,0)</f>
        <v>#N/A</v>
      </c>
      <c r="AJ599" s="2" t="e">
        <f>IF(Z599="울산정일","KRONS",IF(Z599="울산신항","KRUSN",IF(OR(Z599="선광종합물류(인천여객)",Z599="인천여객(인천여객)"),"KRINF",IF(OR(Z599="선광인천보세(인천신)",Z599="한진인천(인천신)",Z599="선광인천신항(인천신)",Z599="인천더로지스(인천신)"),"KRINN",IF(OR(Z599="인천진아(인천항)",Z599="인천E1(인천항)",Z599="인천SM경인터미널(인천항)",Z599="인천항(인천항)",Z599="인천우련(인천항)",Z599="인천항8부두(인천항)"),"KRINC",VLOOKUP(K599,GLAPS정리!$BB$2:$BC$33,2,0))))))</f>
        <v>#N/A</v>
      </c>
      <c r="AL599" s="2">
        <f t="shared" si="137"/>
        <v>5010001</v>
      </c>
      <c r="AN599" s="70" t="str">
        <f t="shared" si="138"/>
        <v>1900-01-00</v>
      </c>
      <c r="AO599" s="2" t="str">
        <f t="shared" si="139"/>
        <v/>
      </c>
      <c r="AP599" s="2" t="e">
        <f>VLOOKUP(C599,GLAPS정리!$AX$2:$AZ$17,3,0)</f>
        <v>#N/A</v>
      </c>
      <c r="AR599" s="2">
        <f t="shared" si="145"/>
        <v>0</v>
      </c>
      <c r="AX599" s="2" t="e">
        <f>VLOOKUP(L599,GLAPS정리!$V$3:$W$180,2,0)</f>
        <v>#N/A</v>
      </c>
      <c r="BM599" s="2" t="str">
        <f t="shared" si="140"/>
        <v xml:space="preserve"> </v>
      </c>
      <c r="BN599" s="2">
        <f t="shared" si="141"/>
        <v>1</v>
      </c>
      <c r="BR599" s="2" t="str">
        <f t="shared" si="142"/>
        <v/>
      </c>
      <c r="BS599" s="2" t="str">
        <f t="shared" si="143"/>
        <v/>
      </c>
      <c r="BV599" s="2" t="e">
        <f>VLOOKUP(O599,GLAPS정리!$BH$2:$BI$94,2,0)</f>
        <v>#N/A</v>
      </c>
      <c r="BW599" s="2" t="str">
        <f>IF(OR(Z599="동원",Z599="세방",Z599="한타"),"",IFERROR(INDEX(GLAPS정리!$BI$2:$BI$101,MATCH(Z599,GLAPS정리!$BH$2:$BH$101,0)),""))</f>
        <v/>
      </c>
      <c r="BX599" s="2" t="str">
        <f>IF(Z599="","",IFERROR(VLOOKUP(Z599,GLAPS정리!$AX$2:$AZ$17,3,0),""))</f>
        <v/>
      </c>
      <c r="BZ599" s="2" t="e">
        <f>VLOOKUP(H599,GLAPS정리!$L$3:$O$133,2,0)</f>
        <v>#N/A</v>
      </c>
      <c r="CA599" s="2" t="str">
        <f t="shared" si="144"/>
        <v/>
      </c>
      <c r="CL599" s="2" t="e">
        <f>VLOOKUP(AI599,GLAPS정리!$BT$3:$BV$26,3,0)</f>
        <v>#N/A</v>
      </c>
    </row>
    <row r="600" spans="2:90" ht="20.45" customHeight="1">
      <c r="B600" s="13"/>
      <c r="G600" s="3"/>
      <c r="J600" s="3"/>
      <c r="Q600" s="3" t="str">
        <f t="shared" si="132"/>
        <v/>
      </c>
      <c r="R600" s="3" t="str">
        <f t="shared" si="133"/>
        <v/>
      </c>
      <c r="S600" s="3" t="str">
        <f t="shared" si="134"/>
        <v/>
      </c>
      <c r="X600" s="13"/>
      <c r="Y600" s="13"/>
      <c r="Z600" s="91"/>
      <c r="AC600" s="2">
        <f t="shared" si="135"/>
        <v>20</v>
      </c>
      <c r="AD600" s="2" t="str">
        <f>IFERROR(INDEX(GLAPS정리!$D$2:$D$50,MATCH(I600,GLAPS정리!$A$2:$A$50,0)),IFERROR(INDEX(GLAPS정리!$D$2:$D$50,MATCH(I600,GLAPS정리!$B$2:$B$50,0)),""))</f>
        <v/>
      </c>
      <c r="AF600" s="2" t="str">
        <f t="shared" si="136"/>
        <v>KR10</v>
      </c>
      <c r="AI600" s="2" t="e">
        <f>VLOOKUP(F600,GLAPS정리!$G$3:$J$114,2,0)</f>
        <v>#N/A</v>
      </c>
      <c r="AJ600" s="2" t="e">
        <f>IF(Z600="울산정일","KRONS",IF(Z600="울산신항","KRUSN",IF(OR(Z600="선광종합물류(인천여객)",Z600="인천여객(인천여객)"),"KRINF",IF(OR(Z600="선광인천보세(인천신)",Z600="한진인천(인천신)",Z600="선광인천신항(인천신)",Z600="인천더로지스(인천신)"),"KRINN",IF(OR(Z600="인천진아(인천항)",Z600="인천E1(인천항)",Z600="인천SM경인터미널(인천항)",Z600="인천항(인천항)",Z600="인천우련(인천항)",Z600="인천항8부두(인천항)"),"KRINC",VLOOKUP(K600,GLAPS정리!$BB$2:$BC$33,2,0))))))</f>
        <v>#N/A</v>
      </c>
      <c r="AL600" s="2">
        <f t="shared" si="137"/>
        <v>5010001</v>
      </c>
      <c r="AN600" s="70" t="str">
        <f t="shared" si="138"/>
        <v>1900-01-00</v>
      </c>
      <c r="AO600" s="2" t="str">
        <f t="shared" si="139"/>
        <v/>
      </c>
      <c r="AP600" s="2" t="e">
        <f>VLOOKUP(C600,GLAPS정리!$AX$2:$AZ$17,3,0)</f>
        <v>#N/A</v>
      </c>
      <c r="AR600" s="2">
        <f t="shared" si="145"/>
        <v>0</v>
      </c>
      <c r="AX600" s="2" t="e">
        <f>VLOOKUP(L600,GLAPS정리!$V$3:$W$180,2,0)</f>
        <v>#N/A</v>
      </c>
      <c r="BM600" s="2" t="str">
        <f t="shared" si="140"/>
        <v xml:space="preserve"> </v>
      </c>
      <c r="BN600" s="2">
        <f t="shared" si="141"/>
        <v>1</v>
      </c>
      <c r="BR600" s="2" t="str">
        <f t="shared" si="142"/>
        <v/>
      </c>
      <c r="BS600" s="2" t="str">
        <f t="shared" si="143"/>
        <v/>
      </c>
      <c r="BV600" s="2" t="e">
        <f>VLOOKUP(O600,GLAPS정리!$BH$2:$BI$94,2,0)</f>
        <v>#N/A</v>
      </c>
      <c r="BW600" s="2" t="str">
        <f>IF(OR(Z600="동원",Z600="세방",Z600="한타"),"",IFERROR(INDEX(GLAPS정리!$BI$2:$BI$101,MATCH(Z600,GLAPS정리!$BH$2:$BH$101,0)),""))</f>
        <v/>
      </c>
      <c r="BX600" s="2" t="str">
        <f>IF(Z600="","",IFERROR(VLOOKUP(Z600,GLAPS정리!$AX$2:$AZ$17,3,0),""))</f>
        <v/>
      </c>
      <c r="BZ600" s="2" t="e">
        <f>VLOOKUP(H600,GLAPS정리!$L$3:$O$133,2,0)</f>
        <v>#N/A</v>
      </c>
      <c r="CA600" s="2" t="str">
        <f t="shared" si="144"/>
        <v/>
      </c>
      <c r="CL600" s="2" t="e">
        <f>VLOOKUP(AI600,GLAPS정리!$BT$3:$BV$26,3,0)</f>
        <v>#N/A</v>
      </c>
    </row>
    <row r="601" spans="2:90" ht="20.45" customHeight="1">
      <c r="B601" s="13"/>
      <c r="G601" s="3"/>
      <c r="J601" s="3"/>
      <c r="Q601" s="3" t="str">
        <f t="shared" si="132"/>
        <v/>
      </c>
      <c r="R601" s="3" t="str">
        <f t="shared" si="133"/>
        <v/>
      </c>
      <c r="S601" s="3" t="str">
        <f t="shared" si="134"/>
        <v/>
      </c>
      <c r="X601" s="13"/>
      <c r="Y601" s="13"/>
      <c r="Z601" s="91"/>
      <c r="AC601" s="2">
        <f t="shared" si="135"/>
        <v>20</v>
      </c>
      <c r="AD601" s="2" t="str">
        <f>IFERROR(INDEX(GLAPS정리!$D$2:$D$50,MATCH(I601,GLAPS정리!$A$2:$A$50,0)),IFERROR(INDEX(GLAPS정리!$D$2:$D$50,MATCH(I601,GLAPS정리!$B$2:$B$50,0)),""))</f>
        <v/>
      </c>
      <c r="AF601" s="2" t="str">
        <f t="shared" si="136"/>
        <v>KR10</v>
      </c>
      <c r="AI601" s="2" t="e">
        <f>VLOOKUP(F601,GLAPS정리!$G$3:$J$114,2,0)</f>
        <v>#N/A</v>
      </c>
      <c r="AJ601" s="2" t="e">
        <f>IF(Z601="울산정일","KRONS",IF(Z601="울산신항","KRUSN",IF(OR(Z601="선광종합물류(인천여객)",Z601="인천여객(인천여객)"),"KRINF",IF(OR(Z601="선광인천보세(인천신)",Z601="한진인천(인천신)",Z601="선광인천신항(인천신)",Z601="인천더로지스(인천신)"),"KRINN",IF(OR(Z601="인천진아(인천항)",Z601="인천E1(인천항)",Z601="인천SM경인터미널(인천항)",Z601="인천항(인천항)",Z601="인천우련(인천항)",Z601="인천항8부두(인천항)"),"KRINC",VLOOKUP(K601,GLAPS정리!$BB$2:$BC$33,2,0))))))</f>
        <v>#N/A</v>
      </c>
      <c r="AL601" s="2">
        <f t="shared" si="137"/>
        <v>5010001</v>
      </c>
      <c r="AN601" s="70" t="str">
        <f t="shared" si="138"/>
        <v>1900-01-00</v>
      </c>
      <c r="AO601" s="2" t="str">
        <f t="shared" si="139"/>
        <v/>
      </c>
      <c r="AP601" s="2" t="e">
        <f>VLOOKUP(C601,GLAPS정리!$AX$2:$AZ$17,3,0)</f>
        <v>#N/A</v>
      </c>
      <c r="AR601" s="2">
        <f t="shared" si="145"/>
        <v>0</v>
      </c>
      <c r="AX601" s="2" t="e">
        <f>VLOOKUP(L601,GLAPS정리!$V$3:$W$180,2,0)</f>
        <v>#N/A</v>
      </c>
      <c r="BM601" s="2" t="str">
        <f t="shared" si="140"/>
        <v xml:space="preserve"> </v>
      </c>
      <c r="BN601" s="2">
        <f t="shared" si="141"/>
        <v>1</v>
      </c>
      <c r="BR601" s="2" t="str">
        <f t="shared" si="142"/>
        <v/>
      </c>
      <c r="BS601" s="2" t="str">
        <f t="shared" si="143"/>
        <v/>
      </c>
      <c r="BV601" s="2" t="e">
        <f>VLOOKUP(O601,GLAPS정리!$BH$2:$BI$94,2,0)</f>
        <v>#N/A</v>
      </c>
      <c r="BW601" s="2" t="str">
        <f>IF(OR(Z601="동원",Z601="세방",Z601="한타"),"",IFERROR(INDEX(GLAPS정리!$BI$2:$BI$101,MATCH(Z601,GLAPS정리!$BH$2:$BH$101,0)),""))</f>
        <v/>
      </c>
      <c r="BX601" s="2" t="str">
        <f>IF(Z601="","",IFERROR(VLOOKUP(Z601,GLAPS정리!$AX$2:$AZ$17,3,0),""))</f>
        <v/>
      </c>
      <c r="BZ601" s="2" t="e">
        <f>VLOOKUP(H601,GLAPS정리!$L$3:$O$133,2,0)</f>
        <v>#N/A</v>
      </c>
      <c r="CA601" s="2" t="str">
        <f t="shared" si="144"/>
        <v/>
      </c>
      <c r="CL601" s="2" t="e">
        <f>VLOOKUP(AI601,GLAPS정리!$BT$3:$BV$26,3,0)</f>
        <v>#N/A</v>
      </c>
    </row>
    <row r="602" spans="2:90" ht="20.45" customHeight="1">
      <c r="B602" s="13"/>
      <c r="G602" s="3"/>
      <c r="J602" s="3"/>
      <c r="Q602" s="3" t="str">
        <f t="shared" si="132"/>
        <v/>
      </c>
      <c r="R602" s="3" t="str">
        <f t="shared" si="133"/>
        <v/>
      </c>
      <c r="S602" s="3" t="str">
        <f t="shared" si="134"/>
        <v/>
      </c>
      <c r="X602" s="13"/>
      <c r="Y602" s="13"/>
      <c r="Z602" s="91"/>
      <c r="AC602" s="2">
        <f t="shared" si="135"/>
        <v>20</v>
      </c>
      <c r="AD602" s="2" t="str">
        <f>IFERROR(INDEX(GLAPS정리!$D$2:$D$50,MATCH(I602,GLAPS정리!$A$2:$A$50,0)),IFERROR(INDEX(GLAPS정리!$D$2:$D$50,MATCH(I602,GLAPS정리!$B$2:$B$50,0)),""))</f>
        <v/>
      </c>
      <c r="AF602" s="2" t="str">
        <f t="shared" si="136"/>
        <v>KR10</v>
      </c>
      <c r="AI602" s="2" t="e">
        <f>VLOOKUP(F602,GLAPS정리!$G$3:$J$114,2,0)</f>
        <v>#N/A</v>
      </c>
      <c r="AJ602" s="2" t="e">
        <f>IF(Z602="울산정일","KRONS",IF(Z602="울산신항","KRUSN",IF(OR(Z602="선광종합물류(인천여객)",Z602="인천여객(인천여객)"),"KRINF",IF(OR(Z602="선광인천보세(인천신)",Z602="한진인천(인천신)",Z602="선광인천신항(인천신)",Z602="인천더로지스(인천신)"),"KRINN",IF(OR(Z602="인천진아(인천항)",Z602="인천E1(인천항)",Z602="인천SM경인터미널(인천항)",Z602="인천항(인천항)",Z602="인천우련(인천항)",Z602="인천항8부두(인천항)"),"KRINC",VLOOKUP(K602,GLAPS정리!$BB$2:$BC$33,2,0))))))</f>
        <v>#N/A</v>
      </c>
      <c r="AL602" s="2">
        <f t="shared" si="137"/>
        <v>5010001</v>
      </c>
      <c r="AN602" s="70" t="str">
        <f t="shared" si="138"/>
        <v>1900-01-00</v>
      </c>
      <c r="AO602" s="2" t="str">
        <f t="shared" si="139"/>
        <v/>
      </c>
      <c r="AP602" s="2" t="e">
        <f>VLOOKUP(C602,GLAPS정리!$AX$2:$AZ$17,3,0)</f>
        <v>#N/A</v>
      </c>
      <c r="AR602" s="2">
        <f t="shared" si="145"/>
        <v>0</v>
      </c>
      <c r="AX602" s="2" t="e">
        <f>VLOOKUP(L602,GLAPS정리!$V$3:$W$180,2,0)</f>
        <v>#N/A</v>
      </c>
      <c r="BM602" s="2" t="str">
        <f t="shared" si="140"/>
        <v xml:space="preserve"> </v>
      </c>
      <c r="BN602" s="2">
        <f t="shared" si="141"/>
        <v>1</v>
      </c>
      <c r="BR602" s="2" t="str">
        <f t="shared" si="142"/>
        <v/>
      </c>
      <c r="BS602" s="2" t="str">
        <f t="shared" si="143"/>
        <v/>
      </c>
      <c r="BV602" s="2" t="e">
        <f>VLOOKUP(O602,GLAPS정리!$BH$2:$BI$94,2,0)</f>
        <v>#N/A</v>
      </c>
      <c r="BW602" s="2" t="str">
        <f>IF(OR(Z602="동원",Z602="세방",Z602="한타"),"",IFERROR(INDEX(GLAPS정리!$BI$2:$BI$101,MATCH(Z602,GLAPS정리!$BH$2:$BH$101,0)),""))</f>
        <v/>
      </c>
      <c r="BX602" s="2" t="str">
        <f>IF(Z602="","",IFERROR(VLOOKUP(Z602,GLAPS정리!$AX$2:$AZ$17,3,0),""))</f>
        <v/>
      </c>
      <c r="BZ602" s="2" t="e">
        <f>VLOOKUP(H602,GLAPS정리!$L$3:$O$133,2,0)</f>
        <v>#N/A</v>
      </c>
      <c r="CA602" s="2" t="str">
        <f t="shared" si="144"/>
        <v/>
      </c>
      <c r="CL602" s="2" t="e">
        <f>VLOOKUP(AI602,GLAPS정리!$BT$3:$BV$26,3,0)</f>
        <v>#N/A</v>
      </c>
    </row>
    <row r="603" spans="2:90" ht="20.45" customHeight="1">
      <c r="B603" s="13"/>
      <c r="G603" s="3"/>
      <c r="J603" s="3"/>
      <c r="Q603" s="3" t="str">
        <f t="shared" si="132"/>
        <v/>
      </c>
      <c r="R603" s="3" t="str">
        <f t="shared" si="133"/>
        <v/>
      </c>
      <c r="S603" s="3" t="str">
        <f t="shared" si="134"/>
        <v/>
      </c>
      <c r="X603" s="13"/>
      <c r="Y603" s="13"/>
      <c r="Z603" s="91"/>
      <c r="AC603" s="2">
        <f t="shared" si="135"/>
        <v>20</v>
      </c>
      <c r="AD603" s="2" t="str">
        <f>IFERROR(INDEX(GLAPS정리!$D$2:$D$50,MATCH(I603,GLAPS정리!$A$2:$A$50,0)),IFERROR(INDEX(GLAPS정리!$D$2:$D$50,MATCH(I603,GLAPS정리!$B$2:$B$50,0)),""))</f>
        <v/>
      </c>
      <c r="AF603" s="2" t="str">
        <f t="shared" si="136"/>
        <v>KR10</v>
      </c>
      <c r="AI603" s="2" t="e">
        <f>VLOOKUP(F603,GLAPS정리!$G$3:$J$114,2,0)</f>
        <v>#N/A</v>
      </c>
      <c r="AJ603" s="2" t="e">
        <f>IF(Z603="울산정일","KRONS",IF(Z603="울산신항","KRUSN",IF(OR(Z603="선광종합물류(인천여객)",Z603="인천여객(인천여객)"),"KRINF",IF(OR(Z603="선광인천보세(인천신)",Z603="한진인천(인천신)",Z603="선광인천신항(인천신)",Z603="인천더로지스(인천신)"),"KRINN",IF(OR(Z603="인천진아(인천항)",Z603="인천E1(인천항)",Z603="인천SM경인터미널(인천항)",Z603="인천항(인천항)",Z603="인천우련(인천항)",Z603="인천항8부두(인천항)"),"KRINC",VLOOKUP(K603,GLAPS정리!$BB$2:$BC$33,2,0))))))</f>
        <v>#N/A</v>
      </c>
      <c r="AL603" s="2">
        <f t="shared" si="137"/>
        <v>5010001</v>
      </c>
      <c r="AN603" s="70" t="str">
        <f t="shared" si="138"/>
        <v>1900-01-00</v>
      </c>
      <c r="AO603" s="2" t="str">
        <f t="shared" si="139"/>
        <v/>
      </c>
      <c r="AP603" s="2" t="e">
        <f>VLOOKUP(C603,GLAPS정리!$AX$2:$AZ$17,3,0)</f>
        <v>#N/A</v>
      </c>
      <c r="AR603" s="2">
        <f t="shared" si="145"/>
        <v>0</v>
      </c>
      <c r="AX603" s="2" t="e">
        <f>VLOOKUP(L603,GLAPS정리!$V$3:$W$180,2,0)</f>
        <v>#N/A</v>
      </c>
      <c r="BM603" s="2" t="str">
        <f t="shared" si="140"/>
        <v xml:space="preserve"> </v>
      </c>
      <c r="BN603" s="2">
        <f t="shared" si="141"/>
        <v>1</v>
      </c>
      <c r="BR603" s="2" t="str">
        <f t="shared" si="142"/>
        <v/>
      </c>
      <c r="BS603" s="2" t="str">
        <f t="shared" si="143"/>
        <v/>
      </c>
      <c r="BV603" s="2" t="e">
        <f>VLOOKUP(O603,GLAPS정리!$BH$2:$BI$94,2,0)</f>
        <v>#N/A</v>
      </c>
      <c r="BW603" s="2" t="str">
        <f>IF(OR(Z603="동원",Z603="세방",Z603="한타"),"",IFERROR(INDEX(GLAPS정리!$BI$2:$BI$101,MATCH(Z603,GLAPS정리!$BH$2:$BH$101,0)),""))</f>
        <v/>
      </c>
      <c r="BX603" s="2" t="str">
        <f>IF(Z603="","",IFERROR(VLOOKUP(Z603,GLAPS정리!$AX$2:$AZ$17,3,0),""))</f>
        <v/>
      </c>
      <c r="BZ603" s="2" t="e">
        <f>VLOOKUP(H603,GLAPS정리!$L$3:$O$133,2,0)</f>
        <v>#N/A</v>
      </c>
      <c r="CA603" s="2" t="str">
        <f t="shared" si="144"/>
        <v/>
      </c>
      <c r="CL603" s="2" t="e">
        <f>VLOOKUP(AI603,GLAPS정리!$BT$3:$BV$26,3,0)</f>
        <v>#N/A</v>
      </c>
    </row>
    <row r="604" spans="2:90" ht="20.45" customHeight="1">
      <c r="B604" s="13"/>
      <c r="G604" s="3"/>
      <c r="J604" s="3"/>
      <c r="Q604" s="3" t="str">
        <f t="shared" si="132"/>
        <v/>
      </c>
      <c r="R604" s="3" t="str">
        <f t="shared" si="133"/>
        <v/>
      </c>
      <c r="S604" s="3" t="str">
        <f t="shared" si="134"/>
        <v/>
      </c>
      <c r="X604" s="13"/>
      <c r="Y604" s="13"/>
      <c r="Z604" s="91"/>
      <c r="AC604" s="2">
        <f t="shared" si="135"/>
        <v>20</v>
      </c>
      <c r="AD604" s="2" t="str">
        <f>IFERROR(INDEX(GLAPS정리!$D$2:$D$50,MATCH(I604,GLAPS정리!$A$2:$A$50,0)),IFERROR(INDEX(GLAPS정리!$D$2:$D$50,MATCH(I604,GLAPS정리!$B$2:$B$50,0)),""))</f>
        <v/>
      </c>
      <c r="AF604" s="2" t="str">
        <f t="shared" si="136"/>
        <v>KR10</v>
      </c>
      <c r="AI604" s="2" t="e">
        <f>VLOOKUP(F604,GLAPS정리!$G$3:$J$114,2,0)</f>
        <v>#N/A</v>
      </c>
      <c r="AJ604" s="2" t="e">
        <f>IF(Z604="울산정일","KRONS",IF(Z604="울산신항","KRUSN",IF(OR(Z604="선광종합물류(인천여객)",Z604="인천여객(인천여객)"),"KRINF",IF(OR(Z604="선광인천보세(인천신)",Z604="한진인천(인천신)",Z604="선광인천신항(인천신)",Z604="인천더로지스(인천신)"),"KRINN",IF(OR(Z604="인천진아(인천항)",Z604="인천E1(인천항)",Z604="인천SM경인터미널(인천항)",Z604="인천항(인천항)",Z604="인천우련(인천항)",Z604="인천항8부두(인천항)"),"KRINC",VLOOKUP(K604,GLAPS정리!$BB$2:$BC$33,2,0))))))</f>
        <v>#N/A</v>
      </c>
      <c r="AL604" s="2">
        <f t="shared" si="137"/>
        <v>5010001</v>
      </c>
      <c r="AN604" s="70" t="str">
        <f t="shared" si="138"/>
        <v>1900-01-00</v>
      </c>
      <c r="AO604" s="2" t="str">
        <f t="shared" si="139"/>
        <v/>
      </c>
      <c r="AP604" s="2" t="e">
        <f>VLOOKUP(C604,GLAPS정리!$AX$2:$AZ$17,3,0)</f>
        <v>#N/A</v>
      </c>
      <c r="AR604" s="2">
        <f t="shared" si="145"/>
        <v>0</v>
      </c>
      <c r="AX604" s="2" t="e">
        <f>VLOOKUP(L604,GLAPS정리!$V$3:$W$180,2,0)</f>
        <v>#N/A</v>
      </c>
      <c r="BM604" s="2" t="str">
        <f t="shared" si="140"/>
        <v xml:space="preserve"> </v>
      </c>
      <c r="BN604" s="2">
        <f t="shared" si="141"/>
        <v>1</v>
      </c>
      <c r="BR604" s="2" t="str">
        <f t="shared" si="142"/>
        <v/>
      </c>
      <c r="BS604" s="2" t="str">
        <f t="shared" si="143"/>
        <v/>
      </c>
      <c r="BV604" s="2" t="e">
        <f>VLOOKUP(O604,GLAPS정리!$BH$2:$BI$94,2,0)</f>
        <v>#N/A</v>
      </c>
      <c r="BW604" s="2" t="str">
        <f>IF(OR(Z604="동원",Z604="세방",Z604="한타"),"",IFERROR(INDEX(GLAPS정리!$BI$2:$BI$101,MATCH(Z604,GLAPS정리!$BH$2:$BH$101,0)),""))</f>
        <v/>
      </c>
      <c r="BX604" s="2" t="str">
        <f>IF(Z604="","",IFERROR(VLOOKUP(Z604,GLAPS정리!$AX$2:$AZ$17,3,0),""))</f>
        <v/>
      </c>
      <c r="BZ604" s="2" t="e">
        <f>VLOOKUP(H604,GLAPS정리!$L$3:$O$133,2,0)</f>
        <v>#N/A</v>
      </c>
      <c r="CA604" s="2" t="str">
        <f t="shared" si="144"/>
        <v/>
      </c>
      <c r="CL604" s="2" t="e">
        <f>VLOOKUP(AI604,GLAPS정리!$BT$3:$BV$26,3,0)</f>
        <v>#N/A</v>
      </c>
    </row>
    <row r="605" spans="2:90" ht="20.45" customHeight="1">
      <c r="B605" s="13"/>
      <c r="G605" s="3"/>
      <c r="J605" s="3"/>
      <c r="Q605" s="3" t="str">
        <f t="shared" si="132"/>
        <v/>
      </c>
      <c r="R605" s="3" t="str">
        <f t="shared" si="133"/>
        <v/>
      </c>
      <c r="S605" s="3" t="str">
        <f t="shared" si="134"/>
        <v/>
      </c>
      <c r="X605" s="13"/>
      <c r="Y605" s="13"/>
      <c r="Z605" s="91"/>
      <c r="AC605" s="2">
        <f t="shared" si="135"/>
        <v>20</v>
      </c>
      <c r="AD605" s="2" t="str">
        <f>IFERROR(INDEX(GLAPS정리!$D$2:$D$50,MATCH(I605,GLAPS정리!$A$2:$A$50,0)),IFERROR(INDEX(GLAPS정리!$D$2:$D$50,MATCH(I605,GLAPS정리!$B$2:$B$50,0)),""))</f>
        <v/>
      </c>
      <c r="AF605" s="2" t="str">
        <f t="shared" si="136"/>
        <v>KR10</v>
      </c>
      <c r="AI605" s="2" t="e">
        <f>VLOOKUP(F605,GLAPS정리!$G$3:$J$114,2,0)</f>
        <v>#N/A</v>
      </c>
      <c r="AJ605" s="2" t="e">
        <f>IF(Z605="울산정일","KRONS",IF(Z605="울산신항","KRUSN",IF(OR(Z605="선광종합물류(인천여객)",Z605="인천여객(인천여객)"),"KRINF",IF(OR(Z605="선광인천보세(인천신)",Z605="한진인천(인천신)",Z605="선광인천신항(인천신)",Z605="인천더로지스(인천신)"),"KRINN",IF(OR(Z605="인천진아(인천항)",Z605="인천E1(인천항)",Z605="인천SM경인터미널(인천항)",Z605="인천항(인천항)",Z605="인천우련(인천항)",Z605="인천항8부두(인천항)"),"KRINC",VLOOKUP(K605,GLAPS정리!$BB$2:$BC$33,2,0))))))</f>
        <v>#N/A</v>
      </c>
      <c r="AL605" s="2">
        <f t="shared" si="137"/>
        <v>5010001</v>
      </c>
      <c r="AN605" s="70" t="str">
        <f t="shared" si="138"/>
        <v>1900-01-00</v>
      </c>
      <c r="AO605" s="2" t="str">
        <f t="shared" si="139"/>
        <v/>
      </c>
      <c r="AP605" s="2" t="e">
        <f>VLOOKUP(C605,GLAPS정리!$AX$2:$AZ$17,3,0)</f>
        <v>#N/A</v>
      </c>
      <c r="AR605" s="2">
        <f t="shared" si="145"/>
        <v>0</v>
      </c>
      <c r="AX605" s="2" t="e">
        <f>VLOOKUP(L605,GLAPS정리!$V$3:$W$180,2,0)</f>
        <v>#N/A</v>
      </c>
      <c r="BM605" s="2" t="str">
        <f t="shared" si="140"/>
        <v xml:space="preserve"> </v>
      </c>
      <c r="BN605" s="2">
        <f t="shared" si="141"/>
        <v>1</v>
      </c>
      <c r="BR605" s="2" t="str">
        <f t="shared" si="142"/>
        <v/>
      </c>
      <c r="BS605" s="2" t="str">
        <f t="shared" si="143"/>
        <v/>
      </c>
      <c r="BV605" s="2" t="e">
        <f>VLOOKUP(O605,GLAPS정리!$BH$2:$BI$94,2,0)</f>
        <v>#N/A</v>
      </c>
      <c r="BW605" s="2" t="str">
        <f>IF(OR(Z605="동원",Z605="세방",Z605="한타"),"",IFERROR(INDEX(GLAPS정리!$BI$2:$BI$101,MATCH(Z605,GLAPS정리!$BH$2:$BH$101,0)),""))</f>
        <v/>
      </c>
      <c r="BX605" s="2" t="str">
        <f>IF(Z605="","",IFERROR(VLOOKUP(Z605,GLAPS정리!$AX$2:$AZ$17,3,0),""))</f>
        <v/>
      </c>
      <c r="BZ605" s="2" t="e">
        <f>VLOOKUP(H605,GLAPS정리!$L$3:$O$133,2,0)</f>
        <v>#N/A</v>
      </c>
      <c r="CA605" s="2" t="str">
        <f t="shared" si="144"/>
        <v/>
      </c>
      <c r="CL605" s="2" t="e">
        <f>VLOOKUP(AI605,GLAPS정리!$BT$3:$BV$26,3,0)</f>
        <v>#N/A</v>
      </c>
    </row>
    <row r="606" spans="2:90" ht="20.45" customHeight="1">
      <c r="B606" s="13"/>
      <c r="G606" s="3"/>
      <c r="J606" s="3"/>
      <c r="Q606" s="3" t="str">
        <f t="shared" si="132"/>
        <v/>
      </c>
      <c r="R606" s="3" t="str">
        <f t="shared" si="133"/>
        <v/>
      </c>
      <c r="S606" s="3" t="str">
        <f t="shared" si="134"/>
        <v/>
      </c>
      <c r="X606" s="13"/>
      <c r="Y606" s="13"/>
      <c r="Z606" s="91"/>
      <c r="AC606" s="2">
        <f t="shared" si="135"/>
        <v>20</v>
      </c>
      <c r="AD606" s="2" t="str">
        <f>IFERROR(INDEX(GLAPS정리!$D$2:$D$50,MATCH(I606,GLAPS정리!$A$2:$A$50,0)),IFERROR(INDEX(GLAPS정리!$D$2:$D$50,MATCH(I606,GLAPS정리!$B$2:$B$50,0)),""))</f>
        <v/>
      </c>
      <c r="AF606" s="2" t="str">
        <f t="shared" si="136"/>
        <v>KR10</v>
      </c>
      <c r="AI606" s="2" t="e">
        <f>VLOOKUP(F606,GLAPS정리!$G$3:$J$114,2,0)</f>
        <v>#N/A</v>
      </c>
      <c r="AJ606" s="2" t="e">
        <f>IF(Z606="울산정일","KRONS",IF(Z606="울산신항","KRUSN",IF(OR(Z606="선광종합물류(인천여객)",Z606="인천여객(인천여객)"),"KRINF",IF(OR(Z606="선광인천보세(인천신)",Z606="한진인천(인천신)",Z606="선광인천신항(인천신)",Z606="인천더로지스(인천신)"),"KRINN",IF(OR(Z606="인천진아(인천항)",Z606="인천E1(인천항)",Z606="인천SM경인터미널(인천항)",Z606="인천항(인천항)",Z606="인천우련(인천항)",Z606="인천항8부두(인천항)"),"KRINC",VLOOKUP(K606,GLAPS정리!$BB$2:$BC$33,2,0))))))</f>
        <v>#N/A</v>
      </c>
      <c r="AL606" s="2">
        <f t="shared" si="137"/>
        <v>5010001</v>
      </c>
      <c r="AN606" s="70" t="str">
        <f t="shared" si="138"/>
        <v>1900-01-00</v>
      </c>
      <c r="AO606" s="2" t="str">
        <f t="shared" si="139"/>
        <v/>
      </c>
      <c r="AP606" s="2" t="e">
        <f>VLOOKUP(C606,GLAPS정리!$AX$2:$AZ$17,3,0)</f>
        <v>#N/A</v>
      </c>
      <c r="AR606" s="2">
        <f t="shared" si="145"/>
        <v>0</v>
      </c>
      <c r="AX606" s="2" t="e">
        <f>VLOOKUP(L606,GLAPS정리!$V$3:$W$180,2,0)</f>
        <v>#N/A</v>
      </c>
      <c r="BM606" s="2" t="str">
        <f t="shared" si="140"/>
        <v xml:space="preserve"> </v>
      </c>
      <c r="BN606" s="2">
        <f t="shared" si="141"/>
        <v>1</v>
      </c>
      <c r="BR606" s="2" t="str">
        <f t="shared" si="142"/>
        <v/>
      </c>
      <c r="BS606" s="2" t="str">
        <f t="shared" si="143"/>
        <v/>
      </c>
      <c r="BV606" s="2" t="e">
        <f>VLOOKUP(O606,GLAPS정리!$BH$2:$BI$94,2,0)</f>
        <v>#N/A</v>
      </c>
      <c r="BW606" s="2" t="str">
        <f>IF(OR(Z606="동원",Z606="세방",Z606="한타"),"",IFERROR(INDEX(GLAPS정리!$BI$2:$BI$101,MATCH(Z606,GLAPS정리!$BH$2:$BH$101,0)),""))</f>
        <v/>
      </c>
      <c r="BX606" s="2" t="str">
        <f>IF(Z606="","",IFERROR(VLOOKUP(Z606,GLAPS정리!$AX$2:$AZ$17,3,0),""))</f>
        <v/>
      </c>
      <c r="BZ606" s="2" t="e">
        <f>VLOOKUP(H606,GLAPS정리!$L$3:$O$133,2,0)</f>
        <v>#N/A</v>
      </c>
      <c r="CA606" s="2" t="str">
        <f t="shared" si="144"/>
        <v/>
      </c>
      <c r="CL606" s="2" t="e">
        <f>VLOOKUP(AI606,GLAPS정리!$BT$3:$BV$26,3,0)</f>
        <v>#N/A</v>
      </c>
    </row>
    <row r="607" spans="2:90" ht="20.45" customHeight="1">
      <c r="B607" s="13"/>
      <c r="G607" s="3"/>
      <c r="J607" s="3"/>
      <c r="Q607" s="3" t="str">
        <f t="shared" si="132"/>
        <v/>
      </c>
      <c r="R607" s="3" t="str">
        <f t="shared" si="133"/>
        <v/>
      </c>
      <c r="S607" s="3" t="str">
        <f t="shared" si="134"/>
        <v/>
      </c>
      <c r="X607" s="13"/>
      <c r="Y607" s="13"/>
      <c r="Z607" s="91"/>
      <c r="AC607" s="2">
        <f t="shared" si="135"/>
        <v>20</v>
      </c>
      <c r="AD607" s="2" t="str">
        <f>IFERROR(INDEX(GLAPS정리!$D$2:$D$50,MATCH(I607,GLAPS정리!$A$2:$A$50,0)),IFERROR(INDEX(GLAPS정리!$D$2:$D$50,MATCH(I607,GLAPS정리!$B$2:$B$50,0)),""))</f>
        <v/>
      </c>
      <c r="AF607" s="2" t="str">
        <f t="shared" si="136"/>
        <v>KR10</v>
      </c>
      <c r="AI607" s="2" t="e">
        <f>VLOOKUP(F607,GLAPS정리!$G$3:$J$114,2,0)</f>
        <v>#N/A</v>
      </c>
      <c r="AJ607" s="2" t="e">
        <f>IF(Z607="울산정일","KRONS",IF(Z607="울산신항","KRUSN",IF(OR(Z607="선광종합물류(인천여객)",Z607="인천여객(인천여객)"),"KRINF",IF(OR(Z607="선광인천보세(인천신)",Z607="한진인천(인천신)",Z607="선광인천신항(인천신)",Z607="인천더로지스(인천신)"),"KRINN",IF(OR(Z607="인천진아(인천항)",Z607="인천E1(인천항)",Z607="인천SM경인터미널(인천항)",Z607="인천항(인천항)",Z607="인천우련(인천항)",Z607="인천항8부두(인천항)"),"KRINC",VLOOKUP(K607,GLAPS정리!$BB$2:$BC$33,2,0))))))</f>
        <v>#N/A</v>
      </c>
      <c r="AL607" s="2">
        <f t="shared" si="137"/>
        <v>5010001</v>
      </c>
      <c r="AN607" s="70" t="str">
        <f t="shared" si="138"/>
        <v>1900-01-00</v>
      </c>
      <c r="AO607" s="2" t="str">
        <f t="shared" si="139"/>
        <v/>
      </c>
      <c r="AP607" s="2" t="e">
        <f>VLOOKUP(C607,GLAPS정리!$AX$2:$AZ$17,3,0)</f>
        <v>#N/A</v>
      </c>
      <c r="AR607" s="2">
        <f t="shared" si="145"/>
        <v>0</v>
      </c>
      <c r="AX607" s="2" t="e">
        <f>VLOOKUP(L607,GLAPS정리!$V$3:$W$180,2,0)</f>
        <v>#N/A</v>
      </c>
      <c r="BM607" s="2" t="str">
        <f t="shared" si="140"/>
        <v xml:space="preserve"> </v>
      </c>
      <c r="BN607" s="2">
        <f t="shared" si="141"/>
        <v>1</v>
      </c>
      <c r="BR607" s="2" t="str">
        <f t="shared" si="142"/>
        <v/>
      </c>
      <c r="BS607" s="2" t="str">
        <f t="shared" si="143"/>
        <v/>
      </c>
      <c r="BV607" s="2" t="e">
        <f>VLOOKUP(O607,GLAPS정리!$BH$2:$BI$94,2,0)</f>
        <v>#N/A</v>
      </c>
      <c r="BW607" s="2" t="str">
        <f>IF(OR(Z607="동원",Z607="세방",Z607="한타"),"",IFERROR(INDEX(GLAPS정리!$BI$2:$BI$101,MATCH(Z607,GLAPS정리!$BH$2:$BH$101,0)),""))</f>
        <v/>
      </c>
      <c r="BX607" s="2" t="str">
        <f>IF(Z607="","",IFERROR(VLOOKUP(Z607,GLAPS정리!$AX$2:$AZ$17,3,0),""))</f>
        <v/>
      </c>
      <c r="BZ607" s="2" t="e">
        <f>VLOOKUP(H607,GLAPS정리!$L$3:$O$133,2,0)</f>
        <v>#N/A</v>
      </c>
      <c r="CA607" s="2" t="str">
        <f t="shared" si="144"/>
        <v/>
      </c>
      <c r="CL607" s="2" t="e">
        <f>VLOOKUP(AI607,GLAPS정리!$BT$3:$BV$26,3,0)</f>
        <v>#N/A</v>
      </c>
    </row>
    <row r="608" spans="2:90" ht="20.45" customHeight="1">
      <c r="B608" s="13"/>
      <c r="G608" s="3"/>
      <c r="J608" s="3"/>
      <c r="Q608" s="3" t="str">
        <f t="shared" si="132"/>
        <v/>
      </c>
      <c r="R608" s="3" t="str">
        <f t="shared" si="133"/>
        <v/>
      </c>
      <c r="S608" s="3" t="str">
        <f t="shared" si="134"/>
        <v/>
      </c>
      <c r="X608" s="13"/>
      <c r="Y608" s="13"/>
      <c r="Z608" s="91"/>
      <c r="AC608" s="2">
        <f t="shared" si="135"/>
        <v>20</v>
      </c>
      <c r="AD608" s="2" t="str">
        <f>IFERROR(INDEX(GLAPS정리!$D$2:$D$50,MATCH(I608,GLAPS정리!$A$2:$A$50,0)),IFERROR(INDEX(GLAPS정리!$D$2:$D$50,MATCH(I608,GLAPS정리!$B$2:$B$50,0)),""))</f>
        <v/>
      </c>
      <c r="AF608" s="2" t="str">
        <f t="shared" si="136"/>
        <v>KR10</v>
      </c>
      <c r="AI608" s="2" t="e">
        <f>VLOOKUP(F608,GLAPS정리!$G$3:$J$114,2,0)</f>
        <v>#N/A</v>
      </c>
      <c r="AJ608" s="2" t="e">
        <f>IF(Z608="울산정일","KRONS",IF(Z608="울산신항","KRUSN",IF(OR(Z608="선광종합물류(인천여객)",Z608="인천여객(인천여객)"),"KRINF",IF(OR(Z608="선광인천보세(인천신)",Z608="한진인천(인천신)",Z608="선광인천신항(인천신)",Z608="인천더로지스(인천신)"),"KRINN",IF(OR(Z608="인천진아(인천항)",Z608="인천E1(인천항)",Z608="인천SM경인터미널(인천항)",Z608="인천항(인천항)",Z608="인천우련(인천항)",Z608="인천항8부두(인천항)"),"KRINC",VLOOKUP(K608,GLAPS정리!$BB$2:$BC$33,2,0))))))</f>
        <v>#N/A</v>
      </c>
      <c r="AL608" s="2">
        <f t="shared" si="137"/>
        <v>5010001</v>
      </c>
      <c r="AN608" s="70" t="str">
        <f t="shared" si="138"/>
        <v>1900-01-00</v>
      </c>
      <c r="AO608" s="2" t="str">
        <f t="shared" si="139"/>
        <v/>
      </c>
      <c r="AP608" s="2" t="e">
        <f>VLOOKUP(C608,GLAPS정리!$AX$2:$AZ$17,3,0)</f>
        <v>#N/A</v>
      </c>
      <c r="AR608" s="2">
        <f t="shared" si="145"/>
        <v>0</v>
      </c>
      <c r="AX608" s="2" t="e">
        <f>VLOOKUP(L608,GLAPS정리!$V$3:$W$180,2,0)</f>
        <v>#N/A</v>
      </c>
      <c r="BM608" s="2" t="str">
        <f t="shared" si="140"/>
        <v xml:space="preserve"> </v>
      </c>
      <c r="BN608" s="2">
        <f t="shared" si="141"/>
        <v>1</v>
      </c>
      <c r="BR608" s="2" t="str">
        <f t="shared" si="142"/>
        <v/>
      </c>
      <c r="BS608" s="2" t="str">
        <f t="shared" si="143"/>
        <v/>
      </c>
      <c r="BV608" s="2" t="e">
        <f>VLOOKUP(O608,GLAPS정리!$BH$2:$BI$94,2,0)</f>
        <v>#N/A</v>
      </c>
      <c r="BW608" s="2" t="str">
        <f>IF(OR(Z608="동원",Z608="세방",Z608="한타"),"",IFERROR(INDEX(GLAPS정리!$BI$2:$BI$101,MATCH(Z608,GLAPS정리!$BH$2:$BH$101,0)),""))</f>
        <v/>
      </c>
      <c r="BX608" s="2" t="str">
        <f>IF(Z608="","",IFERROR(VLOOKUP(Z608,GLAPS정리!$AX$2:$AZ$17,3,0),""))</f>
        <v/>
      </c>
      <c r="BZ608" s="2" t="e">
        <f>VLOOKUP(H608,GLAPS정리!$L$3:$O$133,2,0)</f>
        <v>#N/A</v>
      </c>
      <c r="CA608" s="2" t="str">
        <f t="shared" si="144"/>
        <v/>
      </c>
      <c r="CL608" s="2" t="e">
        <f>VLOOKUP(AI608,GLAPS정리!$BT$3:$BV$26,3,0)</f>
        <v>#N/A</v>
      </c>
    </row>
    <row r="609" spans="2:90" ht="20.45" customHeight="1">
      <c r="B609" s="13"/>
      <c r="G609" s="3"/>
      <c r="J609" s="3"/>
      <c r="Q609" s="3" t="str">
        <f t="shared" si="132"/>
        <v/>
      </c>
      <c r="R609" s="3" t="str">
        <f t="shared" si="133"/>
        <v/>
      </c>
      <c r="S609" s="3" t="str">
        <f t="shared" si="134"/>
        <v/>
      </c>
      <c r="X609" s="13"/>
      <c r="Y609" s="13"/>
      <c r="Z609" s="91"/>
      <c r="AC609" s="2">
        <f t="shared" si="135"/>
        <v>20</v>
      </c>
      <c r="AD609" s="2" t="str">
        <f>IFERROR(INDEX(GLAPS정리!$D$2:$D$50,MATCH(I609,GLAPS정리!$A$2:$A$50,0)),IFERROR(INDEX(GLAPS정리!$D$2:$D$50,MATCH(I609,GLAPS정리!$B$2:$B$50,0)),""))</f>
        <v/>
      </c>
      <c r="AF609" s="2" t="str">
        <f t="shared" si="136"/>
        <v>KR10</v>
      </c>
      <c r="AI609" s="2" t="e">
        <f>VLOOKUP(F609,GLAPS정리!$G$3:$J$114,2,0)</f>
        <v>#N/A</v>
      </c>
      <c r="AJ609" s="2" t="e">
        <f>IF(Z609="울산정일","KRONS",IF(Z609="울산신항","KRUSN",IF(OR(Z609="선광종합물류(인천여객)",Z609="인천여객(인천여객)"),"KRINF",IF(OR(Z609="선광인천보세(인천신)",Z609="한진인천(인천신)",Z609="선광인천신항(인천신)",Z609="인천더로지스(인천신)"),"KRINN",IF(OR(Z609="인천진아(인천항)",Z609="인천E1(인천항)",Z609="인천SM경인터미널(인천항)",Z609="인천항(인천항)",Z609="인천우련(인천항)",Z609="인천항8부두(인천항)"),"KRINC",VLOOKUP(K609,GLAPS정리!$BB$2:$BC$33,2,0))))))</f>
        <v>#N/A</v>
      </c>
      <c r="AL609" s="2">
        <f t="shared" si="137"/>
        <v>5010001</v>
      </c>
      <c r="AN609" s="70" t="str">
        <f t="shared" si="138"/>
        <v>1900-01-00</v>
      </c>
      <c r="AO609" s="2" t="str">
        <f t="shared" si="139"/>
        <v/>
      </c>
      <c r="AP609" s="2" t="e">
        <f>VLOOKUP(C609,GLAPS정리!$AX$2:$AZ$17,3,0)</f>
        <v>#N/A</v>
      </c>
      <c r="AR609" s="2">
        <f t="shared" si="145"/>
        <v>0</v>
      </c>
      <c r="AX609" s="2" t="e">
        <f>VLOOKUP(L609,GLAPS정리!$V$3:$W$180,2,0)</f>
        <v>#N/A</v>
      </c>
      <c r="BM609" s="2" t="str">
        <f t="shared" si="140"/>
        <v xml:space="preserve"> </v>
      </c>
      <c r="BN609" s="2">
        <f t="shared" si="141"/>
        <v>1</v>
      </c>
      <c r="BR609" s="2" t="str">
        <f t="shared" si="142"/>
        <v/>
      </c>
      <c r="BS609" s="2" t="str">
        <f t="shared" si="143"/>
        <v/>
      </c>
      <c r="BV609" s="2" t="e">
        <f>VLOOKUP(O609,GLAPS정리!$BH$2:$BI$94,2,0)</f>
        <v>#N/A</v>
      </c>
      <c r="BW609" s="2" t="str">
        <f>IF(OR(Z609="동원",Z609="세방",Z609="한타"),"",IFERROR(INDEX(GLAPS정리!$BI$2:$BI$101,MATCH(Z609,GLAPS정리!$BH$2:$BH$101,0)),""))</f>
        <v/>
      </c>
      <c r="BX609" s="2" t="str">
        <f>IF(Z609="","",IFERROR(VLOOKUP(Z609,GLAPS정리!$AX$2:$AZ$17,3,0),""))</f>
        <v/>
      </c>
      <c r="BZ609" s="2" t="e">
        <f>VLOOKUP(H609,GLAPS정리!$L$3:$O$133,2,0)</f>
        <v>#N/A</v>
      </c>
      <c r="CA609" s="2" t="str">
        <f t="shared" si="144"/>
        <v/>
      </c>
      <c r="CL609" s="2" t="e">
        <f>VLOOKUP(AI609,GLAPS정리!$BT$3:$BV$26,3,0)</f>
        <v>#N/A</v>
      </c>
    </row>
    <row r="610" spans="2:90" ht="20.45" customHeight="1">
      <c r="B610" s="13"/>
      <c r="G610" s="3"/>
      <c r="J610" s="3"/>
      <c r="Q610" s="3" t="str">
        <f t="shared" si="132"/>
        <v/>
      </c>
      <c r="R610" s="3" t="str">
        <f t="shared" si="133"/>
        <v/>
      </c>
      <c r="S610" s="3" t="str">
        <f t="shared" si="134"/>
        <v/>
      </c>
      <c r="X610" s="13"/>
      <c r="Y610" s="13"/>
      <c r="Z610" s="91"/>
      <c r="AC610" s="2">
        <f t="shared" si="135"/>
        <v>20</v>
      </c>
      <c r="AD610" s="2" t="str">
        <f>IFERROR(INDEX(GLAPS정리!$D$2:$D$50,MATCH(I610,GLAPS정리!$A$2:$A$50,0)),IFERROR(INDEX(GLAPS정리!$D$2:$D$50,MATCH(I610,GLAPS정리!$B$2:$B$50,0)),""))</f>
        <v/>
      </c>
      <c r="AF610" s="2" t="str">
        <f t="shared" si="136"/>
        <v>KR10</v>
      </c>
      <c r="AI610" s="2" t="e">
        <f>VLOOKUP(F610,GLAPS정리!$G$3:$J$114,2,0)</f>
        <v>#N/A</v>
      </c>
      <c r="AJ610" s="2" t="e">
        <f>IF(Z610="울산정일","KRONS",IF(Z610="울산신항","KRUSN",IF(OR(Z610="선광종합물류(인천여객)",Z610="인천여객(인천여객)"),"KRINF",IF(OR(Z610="선광인천보세(인천신)",Z610="한진인천(인천신)",Z610="선광인천신항(인천신)",Z610="인천더로지스(인천신)"),"KRINN",IF(OR(Z610="인천진아(인천항)",Z610="인천E1(인천항)",Z610="인천SM경인터미널(인천항)",Z610="인천항(인천항)",Z610="인천우련(인천항)",Z610="인천항8부두(인천항)"),"KRINC",VLOOKUP(K610,GLAPS정리!$BB$2:$BC$33,2,0))))))</f>
        <v>#N/A</v>
      </c>
      <c r="AL610" s="2">
        <f t="shared" si="137"/>
        <v>5010001</v>
      </c>
      <c r="AN610" s="70" t="str">
        <f t="shared" si="138"/>
        <v>1900-01-00</v>
      </c>
      <c r="AO610" s="2" t="str">
        <f t="shared" si="139"/>
        <v/>
      </c>
      <c r="AP610" s="2" t="e">
        <f>VLOOKUP(C610,GLAPS정리!$AX$2:$AZ$17,3,0)</f>
        <v>#N/A</v>
      </c>
      <c r="AR610" s="2">
        <f t="shared" si="145"/>
        <v>0</v>
      </c>
      <c r="AX610" s="2" t="e">
        <f>VLOOKUP(L610,GLAPS정리!$V$3:$W$180,2,0)</f>
        <v>#N/A</v>
      </c>
      <c r="BM610" s="2" t="str">
        <f t="shared" si="140"/>
        <v xml:space="preserve"> </v>
      </c>
      <c r="BN610" s="2">
        <f t="shared" si="141"/>
        <v>1</v>
      </c>
      <c r="BR610" s="2" t="str">
        <f t="shared" si="142"/>
        <v/>
      </c>
      <c r="BS610" s="2" t="str">
        <f t="shared" si="143"/>
        <v/>
      </c>
      <c r="BV610" s="2" t="e">
        <f>VLOOKUP(O610,GLAPS정리!$BH$2:$BI$94,2,0)</f>
        <v>#N/A</v>
      </c>
      <c r="BW610" s="2" t="str">
        <f>IF(OR(Z610="동원",Z610="세방",Z610="한타"),"",IFERROR(INDEX(GLAPS정리!$BI$2:$BI$101,MATCH(Z610,GLAPS정리!$BH$2:$BH$101,0)),""))</f>
        <v/>
      </c>
      <c r="BX610" s="2" t="str">
        <f>IF(Z610="","",IFERROR(VLOOKUP(Z610,GLAPS정리!$AX$2:$AZ$17,3,0),""))</f>
        <v/>
      </c>
      <c r="BZ610" s="2" t="e">
        <f>VLOOKUP(H610,GLAPS정리!$L$3:$O$133,2,0)</f>
        <v>#N/A</v>
      </c>
      <c r="CA610" s="2" t="str">
        <f t="shared" si="144"/>
        <v/>
      </c>
      <c r="CL610" s="2" t="e">
        <f>VLOOKUP(AI610,GLAPS정리!$BT$3:$BV$26,3,0)</f>
        <v>#N/A</v>
      </c>
    </row>
    <row r="611" spans="2:90" ht="20.45" customHeight="1">
      <c r="B611" s="13"/>
      <c r="G611" s="3"/>
      <c r="J611" s="3"/>
      <c r="Q611" s="3" t="str">
        <f t="shared" si="132"/>
        <v/>
      </c>
      <c r="R611" s="3" t="str">
        <f t="shared" si="133"/>
        <v/>
      </c>
      <c r="S611" s="3" t="str">
        <f t="shared" si="134"/>
        <v/>
      </c>
      <c r="X611" s="13"/>
      <c r="Y611" s="13"/>
      <c r="Z611" s="91"/>
      <c r="AC611" s="2">
        <f t="shared" si="135"/>
        <v>20</v>
      </c>
      <c r="AD611" s="2" t="str">
        <f>IFERROR(INDEX(GLAPS정리!$D$2:$D$50,MATCH(I611,GLAPS정리!$A$2:$A$50,0)),IFERROR(INDEX(GLAPS정리!$D$2:$D$50,MATCH(I611,GLAPS정리!$B$2:$B$50,0)),""))</f>
        <v/>
      </c>
      <c r="AF611" s="2" t="str">
        <f t="shared" si="136"/>
        <v>KR10</v>
      </c>
      <c r="AI611" s="2" t="e">
        <f>VLOOKUP(F611,GLAPS정리!$G$3:$J$114,2,0)</f>
        <v>#N/A</v>
      </c>
      <c r="AJ611" s="2" t="e">
        <f>IF(Z611="울산정일","KRONS",IF(Z611="울산신항","KRUSN",IF(OR(Z611="선광종합물류(인천여객)",Z611="인천여객(인천여객)"),"KRINF",IF(OR(Z611="선광인천보세(인천신)",Z611="한진인천(인천신)",Z611="선광인천신항(인천신)",Z611="인천더로지스(인천신)"),"KRINN",IF(OR(Z611="인천진아(인천항)",Z611="인천E1(인천항)",Z611="인천SM경인터미널(인천항)",Z611="인천항(인천항)",Z611="인천우련(인천항)",Z611="인천항8부두(인천항)"),"KRINC",VLOOKUP(K611,GLAPS정리!$BB$2:$BC$33,2,0))))))</f>
        <v>#N/A</v>
      </c>
      <c r="AL611" s="2">
        <f t="shared" si="137"/>
        <v>5010001</v>
      </c>
      <c r="AN611" s="70" t="str">
        <f t="shared" si="138"/>
        <v>1900-01-00</v>
      </c>
      <c r="AO611" s="2" t="str">
        <f t="shared" si="139"/>
        <v/>
      </c>
      <c r="AP611" s="2" t="e">
        <f>VLOOKUP(C611,GLAPS정리!$AX$2:$AZ$17,3,0)</f>
        <v>#N/A</v>
      </c>
      <c r="AR611" s="2">
        <f t="shared" si="145"/>
        <v>0</v>
      </c>
      <c r="AX611" s="2" t="e">
        <f>VLOOKUP(L611,GLAPS정리!$V$3:$W$180,2,0)</f>
        <v>#N/A</v>
      </c>
      <c r="BM611" s="2" t="str">
        <f t="shared" si="140"/>
        <v xml:space="preserve"> </v>
      </c>
      <c r="BN611" s="2">
        <f t="shared" si="141"/>
        <v>1</v>
      </c>
      <c r="BR611" s="2" t="str">
        <f t="shared" si="142"/>
        <v/>
      </c>
      <c r="BS611" s="2" t="str">
        <f t="shared" si="143"/>
        <v/>
      </c>
      <c r="BV611" s="2" t="e">
        <f>VLOOKUP(O611,GLAPS정리!$BH$2:$BI$94,2,0)</f>
        <v>#N/A</v>
      </c>
      <c r="BW611" s="2" t="str">
        <f>IF(OR(Z611="동원",Z611="세방",Z611="한타"),"",IFERROR(INDEX(GLAPS정리!$BI$2:$BI$101,MATCH(Z611,GLAPS정리!$BH$2:$BH$101,0)),""))</f>
        <v/>
      </c>
      <c r="BX611" s="2" t="str">
        <f>IF(Z611="","",IFERROR(VLOOKUP(Z611,GLAPS정리!$AX$2:$AZ$17,3,0),""))</f>
        <v/>
      </c>
      <c r="BZ611" s="2" t="e">
        <f>VLOOKUP(H611,GLAPS정리!$L$3:$O$133,2,0)</f>
        <v>#N/A</v>
      </c>
      <c r="CA611" s="2" t="str">
        <f t="shared" si="144"/>
        <v/>
      </c>
      <c r="CL611" s="2" t="e">
        <f>VLOOKUP(AI611,GLAPS정리!$BT$3:$BV$26,3,0)</f>
        <v>#N/A</v>
      </c>
    </row>
    <row r="612" spans="2:90" ht="20.45" customHeight="1">
      <c r="B612" s="13"/>
      <c r="G612" s="3"/>
      <c r="J612" s="3"/>
      <c r="Q612" s="3" t="str">
        <f t="shared" si="132"/>
        <v/>
      </c>
      <c r="R612" s="3" t="str">
        <f t="shared" si="133"/>
        <v/>
      </c>
      <c r="S612" s="3" t="str">
        <f t="shared" si="134"/>
        <v/>
      </c>
      <c r="X612" s="13"/>
      <c r="Y612" s="13"/>
      <c r="Z612" s="91"/>
      <c r="AC612" s="2">
        <f t="shared" si="135"/>
        <v>20</v>
      </c>
      <c r="AD612" s="2" t="str">
        <f>IFERROR(INDEX(GLAPS정리!$D$2:$D$50,MATCH(I612,GLAPS정리!$A$2:$A$50,0)),IFERROR(INDEX(GLAPS정리!$D$2:$D$50,MATCH(I612,GLAPS정리!$B$2:$B$50,0)),""))</f>
        <v/>
      </c>
      <c r="AF612" s="2" t="str">
        <f t="shared" si="136"/>
        <v>KR10</v>
      </c>
      <c r="AI612" s="2" t="e">
        <f>VLOOKUP(F612,GLAPS정리!$G$3:$J$114,2,0)</f>
        <v>#N/A</v>
      </c>
      <c r="AJ612" s="2" t="e">
        <f>IF(Z612="울산정일","KRONS",IF(Z612="울산신항","KRUSN",IF(OR(Z612="선광종합물류(인천여객)",Z612="인천여객(인천여객)"),"KRINF",IF(OR(Z612="선광인천보세(인천신)",Z612="한진인천(인천신)",Z612="선광인천신항(인천신)",Z612="인천더로지스(인천신)"),"KRINN",IF(OR(Z612="인천진아(인천항)",Z612="인천E1(인천항)",Z612="인천SM경인터미널(인천항)",Z612="인천항(인천항)",Z612="인천우련(인천항)",Z612="인천항8부두(인천항)"),"KRINC",VLOOKUP(K612,GLAPS정리!$BB$2:$BC$33,2,0))))))</f>
        <v>#N/A</v>
      </c>
      <c r="AL612" s="2">
        <f t="shared" si="137"/>
        <v>5010001</v>
      </c>
      <c r="AN612" s="70" t="str">
        <f t="shared" si="138"/>
        <v>1900-01-00</v>
      </c>
      <c r="AO612" s="2" t="str">
        <f t="shared" si="139"/>
        <v/>
      </c>
      <c r="AP612" s="2" t="e">
        <f>VLOOKUP(C612,GLAPS정리!$AX$2:$AZ$17,3,0)</f>
        <v>#N/A</v>
      </c>
      <c r="AR612" s="2">
        <f t="shared" si="145"/>
        <v>0</v>
      </c>
      <c r="AX612" s="2" t="e">
        <f>VLOOKUP(L612,GLAPS정리!$V$3:$W$180,2,0)</f>
        <v>#N/A</v>
      </c>
      <c r="BM612" s="2" t="str">
        <f t="shared" si="140"/>
        <v xml:space="preserve"> </v>
      </c>
      <c r="BN612" s="2">
        <f t="shared" si="141"/>
        <v>1</v>
      </c>
      <c r="BR612" s="2" t="str">
        <f t="shared" si="142"/>
        <v/>
      </c>
      <c r="BS612" s="2" t="str">
        <f t="shared" si="143"/>
        <v/>
      </c>
      <c r="BV612" s="2" t="e">
        <f>VLOOKUP(O612,GLAPS정리!$BH$2:$BI$94,2,0)</f>
        <v>#N/A</v>
      </c>
      <c r="BW612" s="2" t="str">
        <f>IF(OR(Z612="동원",Z612="세방",Z612="한타"),"",IFERROR(INDEX(GLAPS정리!$BI$2:$BI$101,MATCH(Z612,GLAPS정리!$BH$2:$BH$101,0)),""))</f>
        <v/>
      </c>
      <c r="BX612" s="2" t="str">
        <f>IF(Z612="","",IFERROR(VLOOKUP(Z612,GLAPS정리!$AX$2:$AZ$17,3,0),""))</f>
        <v/>
      </c>
      <c r="BZ612" s="2" t="e">
        <f>VLOOKUP(H612,GLAPS정리!$L$3:$O$133,2,0)</f>
        <v>#N/A</v>
      </c>
      <c r="CA612" s="2" t="str">
        <f t="shared" si="144"/>
        <v/>
      </c>
      <c r="CL612" s="2" t="e">
        <f>VLOOKUP(AI612,GLAPS정리!$BT$3:$BV$26,3,0)</f>
        <v>#N/A</v>
      </c>
    </row>
    <row r="613" spans="2:90" ht="20.45" customHeight="1">
      <c r="B613" s="13"/>
      <c r="G613" s="3"/>
      <c r="J613" s="3"/>
      <c r="Q613" s="3" t="str">
        <f t="shared" si="132"/>
        <v/>
      </c>
      <c r="R613" s="3" t="str">
        <f t="shared" si="133"/>
        <v/>
      </c>
      <c r="S613" s="3" t="str">
        <f t="shared" si="134"/>
        <v/>
      </c>
      <c r="X613" s="13"/>
      <c r="Y613" s="13"/>
      <c r="Z613" s="91"/>
      <c r="AC613" s="2">
        <f t="shared" si="135"/>
        <v>20</v>
      </c>
      <c r="AD613" s="2" t="str">
        <f>IFERROR(INDEX(GLAPS정리!$D$2:$D$50,MATCH(I613,GLAPS정리!$A$2:$A$50,0)),IFERROR(INDEX(GLAPS정리!$D$2:$D$50,MATCH(I613,GLAPS정리!$B$2:$B$50,0)),""))</f>
        <v/>
      </c>
      <c r="AF613" s="2" t="str">
        <f t="shared" si="136"/>
        <v>KR10</v>
      </c>
      <c r="AI613" s="2" t="e">
        <f>VLOOKUP(F613,GLAPS정리!$G$3:$J$114,2,0)</f>
        <v>#N/A</v>
      </c>
      <c r="AJ613" s="2" t="e">
        <f>IF(Z613="울산정일","KRONS",IF(Z613="울산신항","KRUSN",IF(OR(Z613="선광종합물류(인천여객)",Z613="인천여객(인천여객)"),"KRINF",IF(OR(Z613="선광인천보세(인천신)",Z613="한진인천(인천신)",Z613="선광인천신항(인천신)",Z613="인천더로지스(인천신)"),"KRINN",IF(OR(Z613="인천진아(인천항)",Z613="인천E1(인천항)",Z613="인천SM경인터미널(인천항)",Z613="인천항(인천항)",Z613="인천우련(인천항)",Z613="인천항8부두(인천항)"),"KRINC",VLOOKUP(K613,GLAPS정리!$BB$2:$BC$33,2,0))))))</f>
        <v>#N/A</v>
      </c>
      <c r="AL613" s="2">
        <f t="shared" si="137"/>
        <v>5010001</v>
      </c>
      <c r="AN613" s="70" t="str">
        <f t="shared" si="138"/>
        <v>1900-01-00</v>
      </c>
      <c r="AO613" s="2" t="str">
        <f t="shared" si="139"/>
        <v/>
      </c>
      <c r="AP613" s="2" t="e">
        <f>VLOOKUP(C613,GLAPS정리!$AX$2:$AZ$17,3,0)</f>
        <v>#N/A</v>
      </c>
      <c r="AR613" s="2">
        <f t="shared" si="145"/>
        <v>0</v>
      </c>
      <c r="AX613" s="2" t="e">
        <f>VLOOKUP(L613,GLAPS정리!$V$3:$W$180,2,0)</f>
        <v>#N/A</v>
      </c>
      <c r="BM613" s="2" t="str">
        <f t="shared" si="140"/>
        <v xml:space="preserve"> </v>
      </c>
      <c r="BN613" s="2">
        <f t="shared" si="141"/>
        <v>1</v>
      </c>
      <c r="BR613" s="2" t="str">
        <f t="shared" si="142"/>
        <v/>
      </c>
      <c r="BS613" s="2" t="str">
        <f t="shared" si="143"/>
        <v/>
      </c>
      <c r="BV613" s="2" t="e">
        <f>VLOOKUP(O613,GLAPS정리!$BH$2:$BI$94,2,0)</f>
        <v>#N/A</v>
      </c>
      <c r="BW613" s="2" t="str">
        <f>IF(OR(Z613="동원",Z613="세방",Z613="한타"),"",IFERROR(INDEX(GLAPS정리!$BI$2:$BI$101,MATCH(Z613,GLAPS정리!$BH$2:$BH$101,0)),""))</f>
        <v/>
      </c>
      <c r="BX613" s="2" t="str">
        <f>IF(Z613="","",IFERROR(VLOOKUP(Z613,GLAPS정리!$AX$2:$AZ$17,3,0),""))</f>
        <v/>
      </c>
      <c r="BZ613" s="2" t="e">
        <f>VLOOKUP(H613,GLAPS정리!$L$3:$O$133,2,0)</f>
        <v>#N/A</v>
      </c>
      <c r="CA613" s="2" t="str">
        <f t="shared" si="144"/>
        <v/>
      </c>
      <c r="CL613" s="2" t="e">
        <f>VLOOKUP(AI613,GLAPS정리!$BT$3:$BV$26,3,0)</f>
        <v>#N/A</v>
      </c>
    </row>
    <row r="614" spans="2:90" ht="20.45" customHeight="1">
      <c r="B614" s="13"/>
      <c r="G614" s="3"/>
      <c r="J614" s="3"/>
      <c r="Q614" s="3" t="str">
        <f t="shared" si="132"/>
        <v/>
      </c>
      <c r="R614" s="3" t="str">
        <f t="shared" si="133"/>
        <v/>
      </c>
      <c r="S614" s="3" t="str">
        <f t="shared" si="134"/>
        <v/>
      </c>
      <c r="X614" s="13"/>
      <c r="Y614" s="13"/>
      <c r="Z614" s="91"/>
      <c r="AC614" s="2">
        <f t="shared" si="135"/>
        <v>20</v>
      </c>
      <c r="AD614" s="2" t="str">
        <f>IFERROR(INDEX(GLAPS정리!$D$2:$D$50,MATCH(I614,GLAPS정리!$A$2:$A$50,0)),IFERROR(INDEX(GLAPS정리!$D$2:$D$50,MATCH(I614,GLAPS정리!$B$2:$B$50,0)),""))</f>
        <v/>
      </c>
      <c r="AF614" s="2" t="str">
        <f t="shared" si="136"/>
        <v>KR10</v>
      </c>
      <c r="AI614" s="2" t="e">
        <f>VLOOKUP(F614,GLAPS정리!$G$3:$J$114,2,0)</f>
        <v>#N/A</v>
      </c>
      <c r="AJ614" s="2" t="e">
        <f>IF(Z614="울산정일","KRONS",IF(Z614="울산신항","KRUSN",IF(OR(Z614="선광종합물류(인천여객)",Z614="인천여객(인천여객)"),"KRINF",IF(OR(Z614="선광인천보세(인천신)",Z614="한진인천(인천신)",Z614="선광인천신항(인천신)",Z614="인천더로지스(인천신)"),"KRINN",IF(OR(Z614="인천진아(인천항)",Z614="인천E1(인천항)",Z614="인천SM경인터미널(인천항)",Z614="인천항(인천항)",Z614="인천우련(인천항)",Z614="인천항8부두(인천항)"),"KRINC",VLOOKUP(K614,GLAPS정리!$BB$2:$BC$33,2,0))))))</f>
        <v>#N/A</v>
      </c>
      <c r="AL614" s="2">
        <f t="shared" si="137"/>
        <v>5010001</v>
      </c>
      <c r="AN614" s="70" t="str">
        <f t="shared" si="138"/>
        <v>1900-01-00</v>
      </c>
      <c r="AO614" s="2" t="str">
        <f t="shared" si="139"/>
        <v/>
      </c>
      <c r="AP614" s="2" t="e">
        <f>VLOOKUP(C614,GLAPS정리!$AX$2:$AZ$17,3,0)</f>
        <v>#N/A</v>
      </c>
      <c r="AR614" s="2">
        <f t="shared" si="145"/>
        <v>0</v>
      </c>
      <c r="AX614" s="2" t="e">
        <f>VLOOKUP(L614,GLAPS정리!$V$3:$W$180,2,0)</f>
        <v>#N/A</v>
      </c>
      <c r="BM614" s="2" t="str">
        <f t="shared" si="140"/>
        <v xml:space="preserve"> </v>
      </c>
      <c r="BN614" s="2">
        <f t="shared" si="141"/>
        <v>1</v>
      </c>
      <c r="BR614" s="2" t="str">
        <f t="shared" si="142"/>
        <v/>
      </c>
      <c r="BS614" s="2" t="str">
        <f t="shared" si="143"/>
        <v/>
      </c>
      <c r="BV614" s="2" t="e">
        <f>VLOOKUP(O614,GLAPS정리!$BH$2:$BI$94,2,0)</f>
        <v>#N/A</v>
      </c>
      <c r="BW614" s="2" t="str">
        <f>IF(OR(Z614="동원",Z614="세방",Z614="한타"),"",IFERROR(INDEX(GLAPS정리!$BI$2:$BI$101,MATCH(Z614,GLAPS정리!$BH$2:$BH$101,0)),""))</f>
        <v/>
      </c>
      <c r="BX614" s="2" t="str">
        <f>IF(Z614="","",IFERROR(VLOOKUP(Z614,GLAPS정리!$AX$2:$AZ$17,3,0),""))</f>
        <v/>
      </c>
      <c r="BZ614" s="2" t="e">
        <f>VLOOKUP(H614,GLAPS정리!$L$3:$O$133,2,0)</f>
        <v>#N/A</v>
      </c>
      <c r="CA614" s="2" t="str">
        <f t="shared" si="144"/>
        <v/>
      </c>
      <c r="CL614" s="2" t="e">
        <f>VLOOKUP(AI614,GLAPS정리!$BT$3:$BV$26,3,0)</f>
        <v>#N/A</v>
      </c>
    </row>
    <row r="615" spans="2:90" ht="20.45" customHeight="1">
      <c r="B615" s="13"/>
      <c r="G615" s="3"/>
      <c r="J615" s="3"/>
      <c r="Q615" s="3" t="str">
        <f t="shared" si="132"/>
        <v/>
      </c>
      <c r="R615" s="3" t="str">
        <f t="shared" si="133"/>
        <v/>
      </c>
      <c r="S615" s="3" t="str">
        <f t="shared" si="134"/>
        <v/>
      </c>
      <c r="X615" s="13"/>
      <c r="Y615" s="13"/>
      <c r="Z615" s="91"/>
      <c r="AC615" s="2">
        <f t="shared" si="135"/>
        <v>20</v>
      </c>
      <c r="AD615" s="2" t="str">
        <f>IFERROR(INDEX(GLAPS정리!$D$2:$D$50,MATCH(I615,GLAPS정리!$A$2:$A$50,0)),IFERROR(INDEX(GLAPS정리!$D$2:$D$50,MATCH(I615,GLAPS정리!$B$2:$B$50,0)),""))</f>
        <v/>
      </c>
      <c r="AF615" s="2" t="str">
        <f t="shared" si="136"/>
        <v>KR10</v>
      </c>
      <c r="AI615" s="2" t="e">
        <f>VLOOKUP(F615,GLAPS정리!$G$3:$J$114,2,0)</f>
        <v>#N/A</v>
      </c>
      <c r="AJ615" s="2" t="e">
        <f>IF(Z615="울산정일","KRONS",IF(Z615="울산신항","KRUSN",IF(OR(Z615="선광종합물류(인천여객)",Z615="인천여객(인천여객)"),"KRINF",IF(OR(Z615="선광인천보세(인천신)",Z615="한진인천(인천신)",Z615="선광인천신항(인천신)",Z615="인천더로지스(인천신)"),"KRINN",IF(OR(Z615="인천진아(인천항)",Z615="인천E1(인천항)",Z615="인천SM경인터미널(인천항)",Z615="인천항(인천항)",Z615="인천우련(인천항)",Z615="인천항8부두(인천항)"),"KRINC",VLOOKUP(K615,GLAPS정리!$BB$2:$BC$33,2,0))))))</f>
        <v>#N/A</v>
      </c>
      <c r="AL615" s="2">
        <f t="shared" si="137"/>
        <v>5010001</v>
      </c>
      <c r="AN615" s="70" t="str">
        <f t="shared" si="138"/>
        <v>1900-01-00</v>
      </c>
      <c r="AO615" s="2" t="str">
        <f t="shared" si="139"/>
        <v/>
      </c>
      <c r="AP615" s="2" t="e">
        <f>VLOOKUP(C615,GLAPS정리!$AX$2:$AZ$17,3,0)</f>
        <v>#N/A</v>
      </c>
      <c r="AR615" s="2">
        <f t="shared" si="145"/>
        <v>0</v>
      </c>
      <c r="AX615" s="2" t="e">
        <f>VLOOKUP(L615,GLAPS정리!$V$3:$W$180,2,0)</f>
        <v>#N/A</v>
      </c>
      <c r="BM615" s="2" t="str">
        <f t="shared" si="140"/>
        <v xml:space="preserve"> </v>
      </c>
      <c r="BN615" s="2">
        <f t="shared" si="141"/>
        <v>1</v>
      </c>
      <c r="BR615" s="2" t="str">
        <f t="shared" si="142"/>
        <v/>
      </c>
      <c r="BS615" s="2" t="str">
        <f t="shared" si="143"/>
        <v/>
      </c>
      <c r="BV615" s="2" t="e">
        <f>VLOOKUP(O615,GLAPS정리!$BH$2:$BI$94,2,0)</f>
        <v>#N/A</v>
      </c>
      <c r="BW615" s="2" t="str">
        <f>IF(OR(Z615="동원",Z615="세방",Z615="한타"),"",IFERROR(INDEX(GLAPS정리!$BI$2:$BI$101,MATCH(Z615,GLAPS정리!$BH$2:$BH$101,0)),""))</f>
        <v/>
      </c>
      <c r="BX615" s="2" t="str">
        <f>IF(Z615="","",IFERROR(VLOOKUP(Z615,GLAPS정리!$AX$2:$AZ$17,3,0),""))</f>
        <v/>
      </c>
      <c r="BZ615" s="2" t="e">
        <f>VLOOKUP(H615,GLAPS정리!$L$3:$O$133,2,0)</f>
        <v>#N/A</v>
      </c>
      <c r="CA615" s="2" t="str">
        <f t="shared" si="144"/>
        <v/>
      </c>
      <c r="CL615" s="2" t="e">
        <f>VLOOKUP(AI615,GLAPS정리!$BT$3:$BV$26,3,0)</f>
        <v>#N/A</v>
      </c>
    </row>
    <row r="616" spans="2:90" ht="20.45" customHeight="1">
      <c r="B616" s="13"/>
      <c r="G616" s="3"/>
      <c r="J616" s="3"/>
      <c r="Q616" s="3" t="str">
        <f t="shared" si="132"/>
        <v/>
      </c>
      <c r="R616" s="3" t="str">
        <f t="shared" si="133"/>
        <v/>
      </c>
      <c r="S616" s="3" t="str">
        <f t="shared" si="134"/>
        <v/>
      </c>
      <c r="X616" s="13"/>
      <c r="Y616" s="13"/>
      <c r="Z616" s="91"/>
      <c r="AC616" s="2">
        <f t="shared" si="135"/>
        <v>20</v>
      </c>
      <c r="AD616" s="2" t="str">
        <f>IFERROR(INDEX(GLAPS정리!$D$2:$D$50,MATCH(I616,GLAPS정리!$A$2:$A$50,0)),IFERROR(INDEX(GLAPS정리!$D$2:$D$50,MATCH(I616,GLAPS정리!$B$2:$B$50,0)),""))</f>
        <v/>
      </c>
      <c r="AF616" s="2" t="str">
        <f t="shared" si="136"/>
        <v>KR10</v>
      </c>
      <c r="AI616" s="2" t="e">
        <f>VLOOKUP(F616,GLAPS정리!$G$3:$J$114,2,0)</f>
        <v>#N/A</v>
      </c>
      <c r="AJ616" s="2" t="e">
        <f>IF(Z616="울산정일","KRONS",IF(Z616="울산신항","KRUSN",IF(OR(Z616="선광종합물류(인천여객)",Z616="인천여객(인천여객)"),"KRINF",IF(OR(Z616="선광인천보세(인천신)",Z616="한진인천(인천신)",Z616="선광인천신항(인천신)",Z616="인천더로지스(인천신)"),"KRINN",IF(OR(Z616="인천진아(인천항)",Z616="인천E1(인천항)",Z616="인천SM경인터미널(인천항)",Z616="인천항(인천항)",Z616="인천우련(인천항)",Z616="인천항8부두(인천항)"),"KRINC",VLOOKUP(K616,GLAPS정리!$BB$2:$BC$33,2,0))))))</f>
        <v>#N/A</v>
      </c>
      <c r="AL616" s="2">
        <f t="shared" si="137"/>
        <v>5010001</v>
      </c>
      <c r="AN616" s="70" t="str">
        <f t="shared" si="138"/>
        <v>1900-01-00</v>
      </c>
      <c r="AO616" s="2" t="str">
        <f t="shared" si="139"/>
        <v/>
      </c>
      <c r="AP616" s="2" t="e">
        <f>VLOOKUP(C616,GLAPS정리!$AX$2:$AZ$17,3,0)</f>
        <v>#N/A</v>
      </c>
      <c r="AR616" s="2">
        <f t="shared" si="145"/>
        <v>0</v>
      </c>
      <c r="AX616" s="2" t="e">
        <f>VLOOKUP(L616,GLAPS정리!$V$3:$W$180,2,0)</f>
        <v>#N/A</v>
      </c>
      <c r="BM616" s="2" t="str">
        <f t="shared" si="140"/>
        <v xml:space="preserve"> </v>
      </c>
      <c r="BN616" s="2">
        <f t="shared" si="141"/>
        <v>1</v>
      </c>
      <c r="BR616" s="2" t="str">
        <f t="shared" si="142"/>
        <v/>
      </c>
      <c r="BS616" s="2" t="str">
        <f t="shared" si="143"/>
        <v/>
      </c>
      <c r="BV616" s="2" t="e">
        <f>VLOOKUP(O616,GLAPS정리!$BH$2:$BI$94,2,0)</f>
        <v>#N/A</v>
      </c>
      <c r="BW616" s="2" t="str">
        <f>IF(OR(Z616="동원",Z616="세방",Z616="한타"),"",IFERROR(INDEX(GLAPS정리!$BI$2:$BI$101,MATCH(Z616,GLAPS정리!$BH$2:$BH$101,0)),""))</f>
        <v/>
      </c>
      <c r="BX616" s="2" t="str">
        <f>IF(Z616="","",IFERROR(VLOOKUP(Z616,GLAPS정리!$AX$2:$AZ$17,3,0),""))</f>
        <v/>
      </c>
      <c r="BZ616" s="2" t="e">
        <f>VLOOKUP(H616,GLAPS정리!$L$3:$O$133,2,0)</f>
        <v>#N/A</v>
      </c>
      <c r="CA616" s="2" t="str">
        <f t="shared" si="144"/>
        <v/>
      </c>
      <c r="CL616" s="2" t="e">
        <f>VLOOKUP(AI616,GLAPS정리!$BT$3:$BV$26,3,0)</f>
        <v>#N/A</v>
      </c>
    </row>
    <row r="617" spans="2:90" ht="20.45" customHeight="1">
      <c r="B617" s="13"/>
      <c r="G617" s="3"/>
      <c r="J617" s="3"/>
      <c r="Q617" s="3" t="str">
        <f t="shared" si="132"/>
        <v/>
      </c>
      <c r="R617" s="3" t="str">
        <f t="shared" si="133"/>
        <v/>
      </c>
      <c r="S617" s="3" t="str">
        <f t="shared" si="134"/>
        <v/>
      </c>
      <c r="X617" s="13"/>
      <c r="Y617" s="13"/>
      <c r="Z617" s="91"/>
      <c r="AC617" s="2">
        <f t="shared" si="135"/>
        <v>20</v>
      </c>
      <c r="AD617" s="2" t="str">
        <f>IFERROR(INDEX(GLAPS정리!$D$2:$D$50,MATCH(I617,GLAPS정리!$A$2:$A$50,0)),IFERROR(INDEX(GLAPS정리!$D$2:$D$50,MATCH(I617,GLAPS정리!$B$2:$B$50,0)),""))</f>
        <v/>
      </c>
      <c r="AF617" s="2" t="str">
        <f t="shared" si="136"/>
        <v>KR10</v>
      </c>
      <c r="AI617" s="2" t="e">
        <f>VLOOKUP(F617,GLAPS정리!$G$3:$J$114,2,0)</f>
        <v>#N/A</v>
      </c>
      <c r="AJ617" s="2" t="e">
        <f>IF(Z617="울산정일","KRONS",IF(Z617="울산신항","KRUSN",IF(OR(Z617="선광종합물류(인천여객)",Z617="인천여객(인천여객)"),"KRINF",IF(OR(Z617="선광인천보세(인천신)",Z617="한진인천(인천신)",Z617="선광인천신항(인천신)",Z617="인천더로지스(인천신)"),"KRINN",IF(OR(Z617="인천진아(인천항)",Z617="인천E1(인천항)",Z617="인천SM경인터미널(인천항)",Z617="인천항(인천항)",Z617="인천우련(인천항)",Z617="인천항8부두(인천항)"),"KRINC",VLOOKUP(K617,GLAPS정리!$BB$2:$BC$33,2,0))))))</f>
        <v>#N/A</v>
      </c>
      <c r="AL617" s="2">
        <f t="shared" si="137"/>
        <v>5010001</v>
      </c>
      <c r="AN617" s="70" t="str">
        <f t="shared" si="138"/>
        <v>1900-01-00</v>
      </c>
      <c r="AO617" s="2" t="str">
        <f t="shared" si="139"/>
        <v/>
      </c>
      <c r="AP617" s="2" t="e">
        <f>VLOOKUP(C617,GLAPS정리!$AX$2:$AZ$17,3,0)</f>
        <v>#N/A</v>
      </c>
      <c r="AR617" s="2">
        <f t="shared" si="145"/>
        <v>0</v>
      </c>
      <c r="AX617" s="2" t="e">
        <f>VLOOKUP(L617,GLAPS정리!$V$3:$W$180,2,0)</f>
        <v>#N/A</v>
      </c>
      <c r="BM617" s="2" t="str">
        <f t="shared" si="140"/>
        <v xml:space="preserve"> </v>
      </c>
      <c r="BN617" s="2">
        <f t="shared" si="141"/>
        <v>1</v>
      </c>
      <c r="BR617" s="2" t="str">
        <f t="shared" si="142"/>
        <v/>
      </c>
      <c r="BS617" s="2" t="str">
        <f t="shared" si="143"/>
        <v/>
      </c>
      <c r="BV617" s="2" t="e">
        <f>VLOOKUP(O617,GLAPS정리!$BH$2:$BI$94,2,0)</f>
        <v>#N/A</v>
      </c>
      <c r="BW617" s="2" t="str">
        <f>IF(OR(Z617="동원",Z617="세방",Z617="한타"),"",IFERROR(INDEX(GLAPS정리!$BI$2:$BI$101,MATCH(Z617,GLAPS정리!$BH$2:$BH$101,0)),""))</f>
        <v/>
      </c>
      <c r="BX617" s="2" t="str">
        <f>IF(Z617="","",IFERROR(VLOOKUP(Z617,GLAPS정리!$AX$2:$AZ$17,3,0),""))</f>
        <v/>
      </c>
      <c r="BZ617" s="2" t="e">
        <f>VLOOKUP(H617,GLAPS정리!$L$3:$O$133,2,0)</f>
        <v>#N/A</v>
      </c>
      <c r="CA617" s="2" t="str">
        <f t="shared" si="144"/>
        <v/>
      </c>
      <c r="CL617" s="2" t="e">
        <f>VLOOKUP(AI617,GLAPS정리!$BT$3:$BV$26,3,0)</f>
        <v>#N/A</v>
      </c>
    </row>
    <row r="618" spans="2:90" ht="20.45" customHeight="1">
      <c r="B618" s="13"/>
      <c r="G618" s="3"/>
      <c r="J618" s="3"/>
      <c r="Q618" s="3" t="str">
        <f t="shared" si="132"/>
        <v/>
      </c>
      <c r="R618" s="3" t="str">
        <f t="shared" si="133"/>
        <v/>
      </c>
      <c r="S618" s="3" t="str">
        <f t="shared" si="134"/>
        <v/>
      </c>
      <c r="X618" s="13"/>
      <c r="Y618" s="13"/>
      <c r="Z618" s="91"/>
      <c r="AC618" s="2">
        <f t="shared" si="135"/>
        <v>20</v>
      </c>
      <c r="AD618" s="2" t="str">
        <f>IFERROR(INDEX(GLAPS정리!$D$2:$D$50,MATCH(I618,GLAPS정리!$A$2:$A$50,0)),IFERROR(INDEX(GLAPS정리!$D$2:$D$50,MATCH(I618,GLAPS정리!$B$2:$B$50,0)),""))</f>
        <v/>
      </c>
      <c r="AF618" s="2" t="str">
        <f t="shared" si="136"/>
        <v>KR10</v>
      </c>
      <c r="AI618" s="2" t="e">
        <f>VLOOKUP(F618,GLAPS정리!$G$3:$J$114,2,0)</f>
        <v>#N/A</v>
      </c>
      <c r="AJ618" s="2" t="e">
        <f>IF(Z618="울산정일","KRONS",IF(Z618="울산신항","KRUSN",IF(OR(Z618="선광종합물류(인천여객)",Z618="인천여객(인천여객)"),"KRINF",IF(OR(Z618="선광인천보세(인천신)",Z618="한진인천(인천신)",Z618="선광인천신항(인천신)",Z618="인천더로지스(인천신)"),"KRINN",IF(OR(Z618="인천진아(인천항)",Z618="인천E1(인천항)",Z618="인천SM경인터미널(인천항)",Z618="인천항(인천항)",Z618="인천우련(인천항)",Z618="인천항8부두(인천항)"),"KRINC",VLOOKUP(K618,GLAPS정리!$BB$2:$BC$33,2,0))))))</f>
        <v>#N/A</v>
      </c>
      <c r="AL618" s="2">
        <f t="shared" si="137"/>
        <v>5010001</v>
      </c>
      <c r="AN618" s="70" t="str">
        <f t="shared" si="138"/>
        <v>1900-01-00</v>
      </c>
      <c r="AO618" s="2" t="str">
        <f t="shared" si="139"/>
        <v/>
      </c>
      <c r="AP618" s="2" t="e">
        <f>VLOOKUP(C618,GLAPS정리!$AX$2:$AZ$17,3,0)</f>
        <v>#N/A</v>
      </c>
      <c r="AR618" s="2">
        <f t="shared" si="145"/>
        <v>0</v>
      </c>
      <c r="AX618" s="2" t="e">
        <f>VLOOKUP(L618,GLAPS정리!$V$3:$W$180,2,0)</f>
        <v>#N/A</v>
      </c>
      <c r="BM618" s="2" t="str">
        <f t="shared" si="140"/>
        <v xml:space="preserve"> </v>
      </c>
      <c r="BN618" s="2">
        <f t="shared" si="141"/>
        <v>1</v>
      </c>
      <c r="BR618" s="2" t="str">
        <f t="shared" si="142"/>
        <v/>
      </c>
      <c r="BS618" s="2" t="str">
        <f t="shared" si="143"/>
        <v/>
      </c>
      <c r="BV618" s="2" t="e">
        <f>VLOOKUP(O618,GLAPS정리!$BH$2:$BI$94,2,0)</f>
        <v>#N/A</v>
      </c>
      <c r="BW618" s="2" t="str">
        <f>IF(OR(Z618="동원",Z618="세방",Z618="한타"),"",IFERROR(INDEX(GLAPS정리!$BI$2:$BI$101,MATCH(Z618,GLAPS정리!$BH$2:$BH$101,0)),""))</f>
        <v/>
      </c>
      <c r="BX618" s="2" t="str">
        <f>IF(Z618="","",IFERROR(VLOOKUP(Z618,GLAPS정리!$AX$2:$AZ$17,3,0),""))</f>
        <v/>
      </c>
      <c r="BZ618" s="2" t="e">
        <f>VLOOKUP(H618,GLAPS정리!$L$3:$O$133,2,0)</f>
        <v>#N/A</v>
      </c>
      <c r="CA618" s="2" t="str">
        <f t="shared" si="144"/>
        <v/>
      </c>
      <c r="CL618" s="2" t="e">
        <f>VLOOKUP(AI618,GLAPS정리!$BT$3:$BV$26,3,0)</f>
        <v>#N/A</v>
      </c>
    </row>
    <row r="619" spans="2:90" ht="20.45" customHeight="1">
      <c r="B619" s="13"/>
      <c r="G619" s="3"/>
      <c r="J619" s="3"/>
      <c r="Q619" s="3" t="str">
        <f t="shared" si="132"/>
        <v/>
      </c>
      <c r="R619" s="3" t="str">
        <f t="shared" si="133"/>
        <v/>
      </c>
      <c r="S619" s="3" t="str">
        <f t="shared" si="134"/>
        <v/>
      </c>
      <c r="X619" s="13"/>
      <c r="Y619" s="13"/>
      <c r="Z619" s="91"/>
      <c r="AC619" s="2">
        <f t="shared" si="135"/>
        <v>20</v>
      </c>
      <c r="AD619" s="2" t="str">
        <f>IFERROR(INDEX(GLAPS정리!$D$2:$D$50,MATCH(I619,GLAPS정리!$A$2:$A$50,0)),IFERROR(INDEX(GLAPS정리!$D$2:$D$50,MATCH(I619,GLAPS정리!$B$2:$B$50,0)),""))</f>
        <v/>
      </c>
      <c r="AF619" s="2" t="str">
        <f t="shared" si="136"/>
        <v>KR10</v>
      </c>
      <c r="AI619" s="2" t="e">
        <f>VLOOKUP(F619,GLAPS정리!$G$3:$J$114,2,0)</f>
        <v>#N/A</v>
      </c>
      <c r="AJ619" s="2" t="e">
        <f>IF(Z619="울산정일","KRONS",IF(Z619="울산신항","KRUSN",IF(OR(Z619="선광종합물류(인천여객)",Z619="인천여객(인천여객)"),"KRINF",IF(OR(Z619="선광인천보세(인천신)",Z619="한진인천(인천신)",Z619="선광인천신항(인천신)",Z619="인천더로지스(인천신)"),"KRINN",IF(OR(Z619="인천진아(인천항)",Z619="인천E1(인천항)",Z619="인천SM경인터미널(인천항)",Z619="인천항(인천항)",Z619="인천우련(인천항)",Z619="인천항8부두(인천항)"),"KRINC",VLOOKUP(K619,GLAPS정리!$BB$2:$BC$33,2,0))))))</f>
        <v>#N/A</v>
      </c>
      <c r="AL619" s="2">
        <f t="shared" si="137"/>
        <v>5010001</v>
      </c>
      <c r="AN619" s="70" t="str">
        <f t="shared" si="138"/>
        <v>1900-01-00</v>
      </c>
      <c r="AO619" s="2" t="str">
        <f t="shared" si="139"/>
        <v/>
      </c>
      <c r="AP619" s="2" t="e">
        <f>VLOOKUP(C619,GLAPS정리!$AX$2:$AZ$17,3,0)</f>
        <v>#N/A</v>
      </c>
      <c r="AR619" s="2">
        <f t="shared" si="145"/>
        <v>0</v>
      </c>
      <c r="AX619" s="2" t="e">
        <f>VLOOKUP(L619,GLAPS정리!$V$3:$W$180,2,0)</f>
        <v>#N/A</v>
      </c>
      <c r="BM619" s="2" t="str">
        <f t="shared" si="140"/>
        <v xml:space="preserve"> </v>
      </c>
      <c r="BN619" s="2">
        <f t="shared" si="141"/>
        <v>1</v>
      </c>
      <c r="BR619" s="2" t="str">
        <f t="shared" si="142"/>
        <v/>
      </c>
      <c r="BS619" s="2" t="str">
        <f t="shared" si="143"/>
        <v/>
      </c>
      <c r="BV619" s="2" t="e">
        <f>VLOOKUP(O619,GLAPS정리!$BH$2:$BI$94,2,0)</f>
        <v>#N/A</v>
      </c>
      <c r="BW619" s="2" t="str">
        <f>IF(OR(Z619="동원",Z619="세방",Z619="한타"),"",IFERROR(INDEX(GLAPS정리!$BI$2:$BI$101,MATCH(Z619,GLAPS정리!$BH$2:$BH$101,0)),""))</f>
        <v/>
      </c>
      <c r="BX619" s="2" t="str">
        <f>IF(Z619="","",IFERROR(VLOOKUP(Z619,GLAPS정리!$AX$2:$AZ$17,3,0),""))</f>
        <v/>
      </c>
      <c r="BZ619" s="2" t="e">
        <f>VLOOKUP(H619,GLAPS정리!$L$3:$O$133,2,0)</f>
        <v>#N/A</v>
      </c>
      <c r="CA619" s="2" t="str">
        <f t="shared" si="144"/>
        <v/>
      </c>
      <c r="CL619" s="2" t="e">
        <f>VLOOKUP(AI619,GLAPS정리!$BT$3:$BV$26,3,0)</f>
        <v>#N/A</v>
      </c>
    </row>
    <row r="620" spans="2:90" ht="20.45" customHeight="1">
      <c r="B620" s="13"/>
      <c r="G620" s="3"/>
      <c r="J620" s="3"/>
      <c r="Q620" s="3" t="str">
        <f t="shared" si="132"/>
        <v/>
      </c>
      <c r="R620" s="3" t="str">
        <f t="shared" si="133"/>
        <v/>
      </c>
      <c r="S620" s="3" t="str">
        <f t="shared" si="134"/>
        <v/>
      </c>
      <c r="X620" s="13"/>
      <c r="Y620" s="13"/>
      <c r="Z620" s="91"/>
      <c r="AC620" s="2">
        <f t="shared" si="135"/>
        <v>20</v>
      </c>
      <c r="AD620" s="2" t="str">
        <f>IFERROR(INDEX(GLAPS정리!$D$2:$D$50,MATCH(I620,GLAPS정리!$A$2:$A$50,0)),IFERROR(INDEX(GLAPS정리!$D$2:$D$50,MATCH(I620,GLAPS정리!$B$2:$B$50,0)),""))</f>
        <v/>
      </c>
      <c r="AF620" s="2" t="str">
        <f t="shared" si="136"/>
        <v>KR10</v>
      </c>
      <c r="AI620" s="2" t="e">
        <f>VLOOKUP(F620,GLAPS정리!$G$3:$J$114,2,0)</f>
        <v>#N/A</v>
      </c>
      <c r="AJ620" s="2" t="e">
        <f>IF(Z620="울산정일","KRONS",IF(Z620="울산신항","KRUSN",IF(OR(Z620="선광종합물류(인천여객)",Z620="인천여객(인천여객)"),"KRINF",IF(OR(Z620="선광인천보세(인천신)",Z620="한진인천(인천신)",Z620="선광인천신항(인천신)",Z620="인천더로지스(인천신)"),"KRINN",IF(OR(Z620="인천진아(인천항)",Z620="인천E1(인천항)",Z620="인천SM경인터미널(인천항)",Z620="인천항(인천항)",Z620="인천우련(인천항)",Z620="인천항8부두(인천항)"),"KRINC",VLOOKUP(K620,GLAPS정리!$BB$2:$BC$33,2,0))))))</f>
        <v>#N/A</v>
      </c>
      <c r="AL620" s="2">
        <f t="shared" si="137"/>
        <v>5010001</v>
      </c>
      <c r="AN620" s="70" t="str">
        <f t="shared" si="138"/>
        <v>1900-01-00</v>
      </c>
      <c r="AO620" s="2" t="str">
        <f t="shared" si="139"/>
        <v/>
      </c>
      <c r="AP620" s="2" t="e">
        <f>VLOOKUP(C620,GLAPS정리!$AX$2:$AZ$17,3,0)</f>
        <v>#N/A</v>
      </c>
      <c r="AR620" s="2">
        <f t="shared" si="145"/>
        <v>0</v>
      </c>
      <c r="AX620" s="2" t="e">
        <f>VLOOKUP(L620,GLAPS정리!$V$3:$W$180,2,0)</f>
        <v>#N/A</v>
      </c>
      <c r="BM620" s="2" t="str">
        <f t="shared" si="140"/>
        <v xml:space="preserve"> </v>
      </c>
      <c r="BN620" s="2">
        <f t="shared" si="141"/>
        <v>1</v>
      </c>
      <c r="BR620" s="2" t="str">
        <f t="shared" si="142"/>
        <v/>
      </c>
      <c r="BS620" s="2" t="str">
        <f t="shared" si="143"/>
        <v/>
      </c>
      <c r="BV620" s="2" t="e">
        <f>VLOOKUP(O620,GLAPS정리!$BH$2:$BI$94,2,0)</f>
        <v>#N/A</v>
      </c>
      <c r="BW620" s="2" t="str">
        <f>IF(OR(Z620="동원",Z620="세방",Z620="한타"),"",IFERROR(INDEX(GLAPS정리!$BI$2:$BI$101,MATCH(Z620,GLAPS정리!$BH$2:$BH$101,0)),""))</f>
        <v/>
      </c>
      <c r="BX620" s="2" t="str">
        <f>IF(Z620="","",IFERROR(VLOOKUP(Z620,GLAPS정리!$AX$2:$AZ$17,3,0),""))</f>
        <v/>
      </c>
      <c r="BZ620" s="2" t="e">
        <f>VLOOKUP(H620,GLAPS정리!$L$3:$O$133,2,0)</f>
        <v>#N/A</v>
      </c>
      <c r="CA620" s="2" t="str">
        <f t="shared" si="144"/>
        <v/>
      </c>
      <c r="CL620" s="2" t="e">
        <f>VLOOKUP(AI620,GLAPS정리!$BT$3:$BV$26,3,0)</f>
        <v>#N/A</v>
      </c>
    </row>
    <row r="621" spans="2:90" ht="20.45" customHeight="1">
      <c r="B621" s="13"/>
      <c r="G621" s="3"/>
      <c r="J621" s="3"/>
      <c r="Q621" s="3" t="str">
        <f t="shared" si="132"/>
        <v/>
      </c>
      <c r="R621" s="3" t="str">
        <f t="shared" si="133"/>
        <v/>
      </c>
      <c r="S621" s="3" t="str">
        <f t="shared" si="134"/>
        <v/>
      </c>
      <c r="X621" s="13"/>
      <c r="Y621" s="13"/>
      <c r="Z621" s="91"/>
      <c r="AC621" s="2">
        <f t="shared" si="135"/>
        <v>20</v>
      </c>
      <c r="AD621" s="2" t="str">
        <f>IFERROR(INDEX(GLAPS정리!$D$2:$D$50,MATCH(I621,GLAPS정리!$A$2:$A$50,0)),IFERROR(INDEX(GLAPS정리!$D$2:$D$50,MATCH(I621,GLAPS정리!$B$2:$B$50,0)),""))</f>
        <v/>
      </c>
      <c r="AF621" s="2" t="str">
        <f t="shared" si="136"/>
        <v>KR10</v>
      </c>
      <c r="AI621" s="2" t="e">
        <f>VLOOKUP(F621,GLAPS정리!$G$3:$J$114,2,0)</f>
        <v>#N/A</v>
      </c>
      <c r="AJ621" s="2" t="e">
        <f>IF(Z621="울산정일","KRONS",IF(Z621="울산신항","KRUSN",IF(OR(Z621="선광종합물류(인천여객)",Z621="인천여객(인천여객)"),"KRINF",IF(OR(Z621="선광인천보세(인천신)",Z621="한진인천(인천신)",Z621="선광인천신항(인천신)",Z621="인천더로지스(인천신)"),"KRINN",IF(OR(Z621="인천진아(인천항)",Z621="인천E1(인천항)",Z621="인천SM경인터미널(인천항)",Z621="인천항(인천항)",Z621="인천우련(인천항)",Z621="인천항8부두(인천항)"),"KRINC",VLOOKUP(K621,GLAPS정리!$BB$2:$BC$33,2,0))))))</f>
        <v>#N/A</v>
      </c>
      <c r="AL621" s="2">
        <f t="shared" si="137"/>
        <v>5010001</v>
      </c>
      <c r="AN621" s="70" t="str">
        <f t="shared" si="138"/>
        <v>1900-01-00</v>
      </c>
      <c r="AO621" s="2" t="str">
        <f t="shared" si="139"/>
        <v/>
      </c>
      <c r="AP621" s="2" t="e">
        <f>VLOOKUP(C621,GLAPS정리!$AX$2:$AZ$17,3,0)</f>
        <v>#N/A</v>
      </c>
      <c r="AR621" s="2">
        <f t="shared" si="145"/>
        <v>0</v>
      </c>
      <c r="AX621" s="2" t="e">
        <f>VLOOKUP(L621,GLAPS정리!$V$3:$W$180,2,0)</f>
        <v>#N/A</v>
      </c>
      <c r="BM621" s="2" t="str">
        <f t="shared" si="140"/>
        <v xml:space="preserve"> </v>
      </c>
      <c r="BN621" s="2">
        <f t="shared" si="141"/>
        <v>1</v>
      </c>
      <c r="BR621" s="2" t="str">
        <f t="shared" si="142"/>
        <v/>
      </c>
      <c r="BS621" s="2" t="str">
        <f t="shared" si="143"/>
        <v/>
      </c>
      <c r="BV621" s="2" t="e">
        <f>VLOOKUP(O621,GLAPS정리!$BH$2:$BI$94,2,0)</f>
        <v>#N/A</v>
      </c>
      <c r="BW621" s="2" t="str">
        <f>IF(OR(Z621="동원",Z621="세방",Z621="한타"),"",IFERROR(INDEX(GLAPS정리!$BI$2:$BI$101,MATCH(Z621,GLAPS정리!$BH$2:$BH$101,0)),""))</f>
        <v/>
      </c>
      <c r="BX621" s="2" t="str">
        <f>IF(Z621="","",IFERROR(VLOOKUP(Z621,GLAPS정리!$AX$2:$AZ$17,3,0),""))</f>
        <v/>
      </c>
      <c r="BZ621" s="2" t="e">
        <f>VLOOKUP(H621,GLAPS정리!$L$3:$O$133,2,0)</f>
        <v>#N/A</v>
      </c>
      <c r="CA621" s="2" t="str">
        <f t="shared" si="144"/>
        <v/>
      </c>
      <c r="CL621" s="2" t="e">
        <f>VLOOKUP(AI621,GLAPS정리!$BT$3:$BV$26,3,0)</f>
        <v>#N/A</v>
      </c>
    </row>
    <row r="622" spans="2:90" ht="20.45" customHeight="1">
      <c r="B622" s="13"/>
      <c r="G622" s="3"/>
      <c r="J622" s="3"/>
      <c r="Q622" s="3" t="str">
        <f t="shared" si="132"/>
        <v/>
      </c>
      <c r="R622" s="3" t="str">
        <f t="shared" si="133"/>
        <v/>
      </c>
      <c r="S622" s="3" t="str">
        <f t="shared" si="134"/>
        <v/>
      </c>
      <c r="X622" s="13"/>
      <c r="Y622" s="13"/>
      <c r="Z622" s="91"/>
      <c r="AC622" s="2">
        <f t="shared" si="135"/>
        <v>20</v>
      </c>
      <c r="AD622" s="2" t="str">
        <f>IFERROR(INDEX(GLAPS정리!$D$2:$D$50,MATCH(I622,GLAPS정리!$A$2:$A$50,0)),IFERROR(INDEX(GLAPS정리!$D$2:$D$50,MATCH(I622,GLAPS정리!$B$2:$B$50,0)),""))</f>
        <v/>
      </c>
      <c r="AF622" s="2" t="str">
        <f t="shared" si="136"/>
        <v>KR10</v>
      </c>
      <c r="AI622" s="2" t="e">
        <f>VLOOKUP(F622,GLAPS정리!$G$3:$J$114,2,0)</f>
        <v>#N/A</v>
      </c>
      <c r="AJ622" s="2" t="e">
        <f>IF(Z622="울산정일","KRONS",IF(Z622="울산신항","KRUSN",IF(OR(Z622="선광종합물류(인천여객)",Z622="인천여객(인천여객)"),"KRINF",IF(OR(Z622="선광인천보세(인천신)",Z622="한진인천(인천신)",Z622="선광인천신항(인천신)",Z622="인천더로지스(인천신)"),"KRINN",IF(OR(Z622="인천진아(인천항)",Z622="인천E1(인천항)",Z622="인천SM경인터미널(인천항)",Z622="인천항(인천항)",Z622="인천우련(인천항)",Z622="인천항8부두(인천항)"),"KRINC",VLOOKUP(K622,GLAPS정리!$BB$2:$BC$33,2,0))))))</f>
        <v>#N/A</v>
      </c>
      <c r="AL622" s="2">
        <f t="shared" si="137"/>
        <v>5010001</v>
      </c>
      <c r="AN622" s="70" t="str">
        <f t="shared" si="138"/>
        <v>1900-01-00</v>
      </c>
      <c r="AO622" s="2" t="str">
        <f t="shared" si="139"/>
        <v/>
      </c>
      <c r="AP622" s="2" t="e">
        <f>VLOOKUP(C622,GLAPS정리!$AX$2:$AZ$17,3,0)</f>
        <v>#N/A</v>
      </c>
      <c r="AR622" s="2">
        <f t="shared" si="145"/>
        <v>0</v>
      </c>
      <c r="AX622" s="2" t="e">
        <f>VLOOKUP(L622,GLAPS정리!$V$3:$W$180,2,0)</f>
        <v>#N/A</v>
      </c>
      <c r="BM622" s="2" t="str">
        <f t="shared" si="140"/>
        <v xml:space="preserve"> </v>
      </c>
      <c r="BN622" s="2">
        <f t="shared" si="141"/>
        <v>1</v>
      </c>
      <c r="BR622" s="2" t="str">
        <f t="shared" si="142"/>
        <v/>
      </c>
      <c r="BS622" s="2" t="str">
        <f t="shared" si="143"/>
        <v/>
      </c>
      <c r="BV622" s="2" t="e">
        <f>VLOOKUP(O622,GLAPS정리!$BH$2:$BI$94,2,0)</f>
        <v>#N/A</v>
      </c>
      <c r="BW622" s="2" t="str">
        <f>IF(OR(Z622="동원",Z622="세방",Z622="한타"),"",IFERROR(INDEX(GLAPS정리!$BI$2:$BI$101,MATCH(Z622,GLAPS정리!$BH$2:$BH$101,0)),""))</f>
        <v/>
      </c>
      <c r="BX622" s="2" t="str">
        <f>IF(Z622="","",IFERROR(VLOOKUP(Z622,GLAPS정리!$AX$2:$AZ$17,3,0),""))</f>
        <v/>
      </c>
      <c r="BZ622" s="2" t="e">
        <f>VLOOKUP(H622,GLAPS정리!$L$3:$O$133,2,0)</f>
        <v>#N/A</v>
      </c>
      <c r="CA622" s="2" t="str">
        <f t="shared" si="144"/>
        <v/>
      </c>
      <c r="CL622" s="2" t="e">
        <f>VLOOKUP(AI622,GLAPS정리!$BT$3:$BV$26,3,0)</f>
        <v>#N/A</v>
      </c>
    </row>
    <row r="623" spans="2:90" ht="20.45" customHeight="1">
      <c r="B623" s="13"/>
      <c r="G623" s="3"/>
      <c r="J623" s="3"/>
      <c r="Q623" s="3" t="str">
        <f t="shared" si="132"/>
        <v/>
      </c>
      <c r="R623" s="3" t="str">
        <f t="shared" si="133"/>
        <v/>
      </c>
      <c r="S623" s="3" t="str">
        <f t="shared" si="134"/>
        <v/>
      </c>
      <c r="X623" s="13"/>
      <c r="Y623" s="13"/>
      <c r="Z623" s="91"/>
      <c r="AC623" s="2">
        <f t="shared" si="135"/>
        <v>20</v>
      </c>
      <c r="AD623" s="2" t="str">
        <f>IFERROR(INDEX(GLAPS정리!$D$2:$D$50,MATCH(I623,GLAPS정리!$A$2:$A$50,0)),IFERROR(INDEX(GLAPS정리!$D$2:$D$50,MATCH(I623,GLAPS정리!$B$2:$B$50,0)),""))</f>
        <v/>
      </c>
      <c r="AF623" s="2" t="str">
        <f t="shared" si="136"/>
        <v>KR10</v>
      </c>
      <c r="AI623" s="2" t="e">
        <f>VLOOKUP(F623,GLAPS정리!$G$3:$J$114,2,0)</f>
        <v>#N/A</v>
      </c>
      <c r="AJ623" s="2" t="e">
        <f>IF(Z623="울산정일","KRONS",IF(Z623="울산신항","KRUSN",IF(OR(Z623="선광종합물류(인천여객)",Z623="인천여객(인천여객)"),"KRINF",IF(OR(Z623="선광인천보세(인천신)",Z623="한진인천(인천신)",Z623="선광인천신항(인천신)",Z623="인천더로지스(인천신)"),"KRINN",IF(OR(Z623="인천진아(인천항)",Z623="인천E1(인천항)",Z623="인천SM경인터미널(인천항)",Z623="인천항(인천항)",Z623="인천우련(인천항)",Z623="인천항8부두(인천항)"),"KRINC",VLOOKUP(K623,GLAPS정리!$BB$2:$BC$33,2,0))))))</f>
        <v>#N/A</v>
      </c>
      <c r="AL623" s="2">
        <f t="shared" si="137"/>
        <v>5010001</v>
      </c>
      <c r="AN623" s="70" t="str">
        <f t="shared" si="138"/>
        <v>1900-01-00</v>
      </c>
      <c r="AO623" s="2" t="str">
        <f t="shared" si="139"/>
        <v/>
      </c>
      <c r="AP623" s="2" t="e">
        <f>VLOOKUP(C623,GLAPS정리!$AX$2:$AZ$17,3,0)</f>
        <v>#N/A</v>
      </c>
      <c r="AR623" s="2">
        <f t="shared" si="145"/>
        <v>0</v>
      </c>
      <c r="AX623" s="2" t="e">
        <f>VLOOKUP(L623,GLAPS정리!$V$3:$W$180,2,0)</f>
        <v>#N/A</v>
      </c>
      <c r="BM623" s="2" t="str">
        <f t="shared" si="140"/>
        <v xml:space="preserve"> </v>
      </c>
      <c r="BN623" s="2">
        <f t="shared" si="141"/>
        <v>1</v>
      </c>
      <c r="BR623" s="2" t="str">
        <f t="shared" si="142"/>
        <v/>
      </c>
      <c r="BS623" s="2" t="str">
        <f t="shared" si="143"/>
        <v/>
      </c>
      <c r="BV623" s="2" t="e">
        <f>VLOOKUP(O623,GLAPS정리!$BH$2:$BI$94,2,0)</f>
        <v>#N/A</v>
      </c>
      <c r="BW623" s="2" t="str">
        <f>IF(OR(Z623="동원",Z623="세방",Z623="한타"),"",IFERROR(INDEX(GLAPS정리!$BI$2:$BI$101,MATCH(Z623,GLAPS정리!$BH$2:$BH$101,0)),""))</f>
        <v/>
      </c>
      <c r="BX623" s="2" t="str">
        <f>IF(Z623="","",IFERROR(VLOOKUP(Z623,GLAPS정리!$AX$2:$AZ$17,3,0),""))</f>
        <v/>
      </c>
      <c r="BZ623" s="2" t="e">
        <f>VLOOKUP(H623,GLAPS정리!$L$3:$O$133,2,0)</f>
        <v>#N/A</v>
      </c>
      <c r="CA623" s="2" t="str">
        <f t="shared" si="144"/>
        <v/>
      </c>
      <c r="CL623" s="2" t="e">
        <f>VLOOKUP(AI623,GLAPS정리!$BT$3:$BV$26,3,0)</f>
        <v>#N/A</v>
      </c>
    </row>
    <row r="624" spans="2:90" ht="20.45" customHeight="1">
      <c r="B624" s="13"/>
      <c r="G624" s="3"/>
      <c r="J624" s="3"/>
      <c r="Q624" s="3" t="str">
        <f t="shared" si="132"/>
        <v/>
      </c>
      <c r="R624" s="3" t="str">
        <f t="shared" si="133"/>
        <v/>
      </c>
      <c r="S624" s="3" t="str">
        <f t="shared" si="134"/>
        <v/>
      </c>
      <c r="X624" s="13"/>
      <c r="Y624" s="13"/>
      <c r="Z624" s="91"/>
      <c r="AC624" s="2">
        <f t="shared" si="135"/>
        <v>20</v>
      </c>
      <c r="AD624" s="2" t="str">
        <f>IFERROR(INDEX(GLAPS정리!$D$2:$D$50,MATCH(I624,GLAPS정리!$A$2:$A$50,0)),IFERROR(INDEX(GLAPS정리!$D$2:$D$50,MATCH(I624,GLAPS정리!$B$2:$B$50,0)),""))</f>
        <v/>
      </c>
      <c r="AF624" s="2" t="str">
        <f t="shared" si="136"/>
        <v>KR10</v>
      </c>
      <c r="AI624" s="2" t="e">
        <f>VLOOKUP(F624,GLAPS정리!$G$3:$J$114,2,0)</f>
        <v>#N/A</v>
      </c>
      <c r="AJ624" s="2" t="e">
        <f>IF(Z624="울산정일","KRONS",IF(Z624="울산신항","KRUSN",IF(OR(Z624="선광종합물류(인천여객)",Z624="인천여객(인천여객)"),"KRINF",IF(OR(Z624="선광인천보세(인천신)",Z624="한진인천(인천신)",Z624="선광인천신항(인천신)",Z624="인천더로지스(인천신)"),"KRINN",IF(OR(Z624="인천진아(인천항)",Z624="인천E1(인천항)",Z624="인천SM경인터미널(인천항)",Z624="인천항(인천항)",Z624="인천우련(인천항)",Z624="인천항8부두(인천항)"),"KRINC",VLOOKUP(K624,GLAPS정리!$BB$2:$BC$33,2,0))))))</f>
        <v>#N/A</v>
      </c>
      <c r="AL624" s="2">
        <f t="shared" si="137"/>
        <v>5010001</v>
      </c>
      <c r="AN624" s="70" t="str">
        <f t="shared" si="138"/>
        <v>1900-01-00</v>
      </c>
      <c r="AO624" s="2" t="str">
        <f t="shared" si="139"/>
        <v/>
      </c>
      <c r="AP624" s="2" t="e">
        <f>VLOOKUP(C624,GLAPS정리!$AX$2:$AZ$17,3,0)</f>
        <v>#N/A</v>
      </c>
      <c r="AR624" s="2">
        <f t="shared" si="145"/>
        <v>0</v>
      </c>
      <c r="AX624" s="2" t="e">
        <f>VLOOKUP(L624,GLAPS정리!$V$3:$W$180,2,0)</f>
        <v>#N/A</v>
      </c>
      <c r="BM624" s="2" t="str">
        <f t="shared" si="140"/>
        <v xml:space="preserve"> </v>
      </c>
      <c r="BN624" s="2">
        <f t="shared" si="141"/>
        <v>1</v>
      </c>
      <c r="BR624" s="2" t="str">
        <f t="shared" si="142"/>
        <v/>
      </c>
      <c r="BS624" s="2" t="str">
        <f t="shared" si="143"/>
        <v/>
      </c>
      <c r="BV624" s="2" t="e">
        <f>VLOOKUP(O624,GLAPS정리!$BH$2:$BI$94,2,0)</f>
        <v>#N/A</v>
      </c>
      <c r="BW624" s="2" t="str">
        <f>IF(OR(Z624="동원",Z624="세방",Z624="한타"),"",IFERROR(INDEX(GLAPS정리!$BI$2:$BI$101,MATCH(Z624,GLAPS정리!$BH$2:$BH$101,0)),""))</f>
        <v/>
      </c>
      <c r="BX624" s="2" t="str">
        <f>IF(Z624="","",IFERROR(VLOOKUP(Z624,GLAPS정리!$AX$2:$AZ$17,3,0),""))</f>
        <v/>
      </c>
      <c r="BZ624" s="2" t="e">
        <f>VLOOKUP(H624,GLAPS정리!$L$3:$O$133,2,0)</f>
        <v>#N/A</v>
      </c>
      <c r="CA624" s="2" t="str">
        <f t="shared" si="144"/>
        <v/>
      </c>
      <c r="CL624" s="2" t="e">
        <f>VLOOKUP(AI624,GLAPS정리!$BT$3:$BV$26,3,0)</f>
        <v>#N/A</v>
      </c>
    </row>
    <row r="625" spans="2:90" ht="20.45" customHeight="1">
      <c r="B625" s="13"/>
      <c r="G625" s="3"/>
      <c r="J625" s="3"/>
      <c r="Q625" s="3" t="str">
        <f t="shared" si="132"/>
        <v/>
      </c>
      <c r="R625" s="3" t="str">
        <f t="shared" si="133"/>
        <v/>
      </c>
      <c r="S625" s="3" t="str">
        <f t="shared" si="134"/>
        <v/>
      </c>
      <c r="X625" s="13"/>
      <c r="Y625" s="13"/>
      <c r="Z625" s="91"/>
      <c r="AC625" s="2">
        <f t="shared" si="135"/>
        <v>20</v>
      </c>
      <c r="AD625" s="2" t="str">
        <f>IFERROR(INDEX(GLAPS정리!$D$2:$D$50,MATCH(I625,GLAPS정리!$A$2:$A$50,0)),IFERROR(INDEX(GLAPS정리!$D$2:$D$50,MATCH(I625,GLAPS정리!$B$2:$B$50,0)),""))</f>
        <v/>
      </c>
      <c r="AF625" s="2" t="str">
        <f t="shared" si="136"/>
        <v>KR10</v>
      </c>
      <c r="AI625" s="2" t="e">
        <f>VLOOKUP(F625,GLAPS정리!$G$3:$J$114,2,0)</f>
        <v>#N/A</v>
      </c>
      <c r="AJ625" s="2" t="e">
        <f>IF(Z625="울산정일","KRONS",IF(Z625="울산신항","KRUSN",IF(OR(Z625="선광종합물류(인천여객)",Z625="인천여객(인천여객)"),"KRINF",IF(OR(Z625="선광인천보세(인천신)",Z625="한진인천(인천신)",Z625="선광인천신항(인천신)",Z625="인천더로지스(인천신)"),"KRINN",IF(OR(Z625="인천진아(인천항)",Z625="인천E1(인천항)",Z625="인천SM경인터미널(인천항)",Z625="인천항(인천항)",Z625="인천우련(인천항)",Z625="인천항8부두(인천항)"),"KRINC",VLOOKUP(K625,GLAPS정리!$BB$2:$BC$33,2,0))))))</f>
        <v>#N/A</v>
      </c>
      <c r="AL625" s="2">
        <f t="shared" si="137"/>
        <v>5010001</v>
      </c>
      <c r="AN625" s="70" t="str">
        <f t="shared" si="138"/>
        <v>1900-01-00</v>
      </c>
      <c r="AO625" s="2" t="str">
        <f t="shared" si="139"/>
        <v/>
      </c>
      <c r="AP625" s="2" t="e">
        <f>VLOOKUP(C625,GLAPS정리!$AX$2:$AZ$17,3,0)</f>
        <v>#N/A</v>
      </c>
      <c r="AR625" s="2">
        <f t="shared" si="145"/>
        <v>0</v>
      </c>
      <c r="AX625" s="2" t="e">
        <f>VLOOKUP(L625,GLAPS정리!$V$3:$W$180,2,0)</f>
        <v>#N/A</v>
      </c>
      <c r="BM625" s="2" t="str">
        <f t="shared" si="140"/>
        <v xml:space="preserve"> </v>
      </c>
      <c r="BN625" s="2">
        <f t="shared" si="141"/>
        <v>1</v>
      </c>
      <c r="BR625" s="2" t="str">
        <f t="shared" si="142"/>
        <v/>
      </c>
      <c r="BS625" s="2" t="str">
        <f t="shared" si="143"/>
        <v/>
      </c>
      <c r="BV625" s="2" t="e">
        <f>VLOOKUP(O625,GLAPS정리!$BH$2:$BI$94,2,0)</f>
        <v>#N/A</v>
      </c>
      <c r="BW625" s="2" t="str">
        <f>IF(OR(Z625="동원",Z625="세방",Z625="한타"),"",IFERROR(INDEX(GLAPS정리!$BI$2:$BI$101,MATCH(Z625,GLAPS정리!$BH$2:$BH$101,0)),""))</f>
        <v/>
      </c>
      <c r="BX625" s="2" t="str">
        <f>IF(Z625="","",IFERROR(VLOOKUP(Z625,GLAPS정리!$AX$2:$AZ$17,3,0),""))</f>
        <v/>
      </c>
      <c r="BZ625" s="2" t="e">
        <f>VLOOKUP(H625,GLAPS정리!$L$3:$O$133,2,0)</f>
        <v>#N/A</v>
      </c>
      <c r="CA625" s="2" t="str">
        <f t="shared" si="144"/>
        <v/>
      </c>
      <c r="CL625" s="2" t="e">
        <f>VLOOKUP(AI625,GLAPS정리!$BT$3:$BV$26,3,0)</f>
        <v>#N/A</v>
      </c>
    </row>
    <row r="626" spans="2:90" ht="20.45" customHeight="1">
      <c r="B626" s="13"/>
      <c r="G626" s="3"/>
      <c r="J626" s="3"/>
      <c r="Q626" s="3" t="str">
        <f t="shared" si="132"/>
        <v/>
      </c>
      <c r="R626" s="3" t="str">
        <f t="shared" si="133"/>
        <v/>
      </c>
      <c r="S626" s="3" t="str">
        <f t="shared" si="134"/>
        <v/>
      </c>
      <c r="X626" s="13"/>
      <c r="Y626" s="13"/>
      <c r="Z626" s="91"/>
      <c r="AC626" s="2">
        <f t="shared" si="135"/>
        <v>20</v>
      </c>
      <c r="AD626" s="2" t="str">
        <f>IFERROR(INDEX(GLAPS정리!$D$2:$D$50,MATCH(I626,GLAPS정리!$A$2:$A$50,0)),IFERROR(INDEX(GLAPS정리!$D$2:$D$50,MATCH(I626,GLAPS정리!$B$2:$B$50,0)),""))</f>
        <v/>
      </c>
      <c r="AF626" s="2" t="str">
        <f t="shared" si="136"/>
        <v>KR10</v>
      </c>
      <c r="AI626" s="2" t="e">
        <f>VLOOKUP(F626,GLAPS정리!$G$3:$J$114,2,0)</f>
        <v>#N/A</v>
      </c>
      <c r="AJ626" s="2" t="e">
        <f>IF(Z626="울산정일","KRONS",IF(Z626="울산신항","KRUSN",IF(OR(Z626="선광종합물류(인천여객)",Z626="인천여객(인천여객)"),"KRINF",IF(OR(Z626="선광인천보세(인천신)",Z626="한진인천(인천신)",Z626="선광인천신항(인천신)",Z626="인천더로지스(인천신)"),"KRINN",IF(OR(Z626="인천진아(인천항)",Z626="인천E1(인천항)",Z626="인천SM경인터미널(인천항)",Z626="인천항(인천항)",Z626="인천우련(인천항)",Z626="인천항8부두(인천항)"),"KRINC",VLOOKUP(K626,GLAPS정리!$BB$2:$BC$33,2,0))))))</f>
        <v>#N/A</v>
      </c>
      <c r="AL626" s="2">
        <f t="shared" si="137"/>
        <v>5010001</v>
      </c>
      <c r="AN626" s="70" t="str">
        <f t="shared" si="138"/>
        <v>1900-01-00</v>
      </c>
      <c r="AO626" s="2" t="str">
        <f t="shared" si="139"/>
        <v/>
      </c>
      <c r="AP626" s="2" t="e">
        <f>VLOOKUP(C626,GLAPS정리!$AX$2:$AZ$17,3,0)</f>
        <v>#N/A</v>
      </c>
      <c r="AR626" s="2">
        <f t="shared" si="145"/>
        <v>0</v>
      </c>
      <c r="AX626" s="2" t="e">
        <f>VLOOKUP(L626,GLAPS정리!$V$3:$W$180,2,0)</f>
        <v>#N/A</v>
      </c>
      <c r="BM626" s="2" t="str">
        <f t="shared" si="140"/>
        <v xml:space="preserve"> </v>
      </c>
      <c r="BN626" s="2">
        <f t="shared" si="141"/>
        <v>1</v>
      </c>
      <c r="BR626" s="2" t="str">
        <f t="shared" si="142"/>
        <v/>
      </c>
      <c r="BS626" s="2" t="str">
        <f t="shared" si="143"/>
        <v/>
      </c>
      <c r="BV626" s="2" t="e">
        <f>VLOOKUP(O626,GLAPS정리!$BH$2:$BI$94,2,0)</f>
        <v>#N/A</v>
      </c>
      <c r="BW626" s="2" t="str">
        <f>IF(OR(Z626="동원",Z626="세방",Z626="한타"),"",IFERROR(INDEX(GLAPS정리!$BI$2:$BI$101,MATCH(Z626,GLAPS정리!$BH$2:$BH$101,0)),""))</f>
        <v/>
      </c>
      <c r="BX626" s="2" t="str">
        <f>IF(Z626="","",IFERROR(VLOOKUP(Z626,GLAPS정리!$AX$2:$AZ$17,3,0),""))</f>
        <v/>
      </c>
      <c r="BZ626" s="2" t="e">
        <f>VLOOKUP(H626,GLAPS정리!$L$3:$O$133,2,0)</f>
        <v>#N/A</v>
      </c>
      <c r="CA626" s="2" t="str">
        <f t="shared" si="144"/>
        <v/>
      </c>
      <c r="CL626" s="2" t="e">
        <f>VLOOKUP(AI626,GLAPS정리!$BT$3:$BV$26,3,0)</f>
        <v>#N/A</v>
      </c>
    </row>
    <row r="627" spans="2:90" ht="20.45" customHeight="1">
      <c r="B627" s="13"/>
      <c r="G627" s="3"/>
      <c r="J627" s="3"/>
      <c r="Q627" s="3" t="str">
        <f t="shared" si="132"/>
        <v/>
      </c>
      <c r="R627" s="3" t="str">
        <f t="shared" si="133"/>
        <v/>
      </c>
      <c r="S627" s="3" t="str">
        <f t="shared" si="134"/>
        <v/>
      </c>
      <c r="X627" s="13"/>
      <c r="Y627" s="13"/>
      <c r="Z627" s="91"/>
      <c r="AC627" s="2">
        <f t="shared" si="135"/>
        <v>20</v>
      </c>
      <c r="AD627" s="2" t="str">
        <f>IFERROR(INDEX(GLAPS정리!$D$2:$D$50,MATCH(I627,GLAPS정리!$A$2:$A$50,0)),IFERROR(INDEX(GLAPS정리!$D$2:$D$50,MATCH(I627,GLAPS정리!$B$2:$B$50,0)),""))</f>
        <v/>
      </c>
      <c r="AF627" s="2" t="str">
        <f t="shared" si="136"/>
        <v>KR10</v>
      </c>
      <c r="AI627" s="2" t="e">
        <f>VLOOKUP(F627,GLAPS정리!$G$3:$J$114,2,0)</f>
        <v>#N/A</v>
      </c>
      <c r="AJ627" s="2" t="e">
        <f>IF(Z627="울산정일","KRONS",IF(Z627="울산신항","KRUSN",IF(OR(Z627="선광종합물류(인천여객)",Z627="인천여객(인천여객)"),"KRINF",IF(OR(Z627="선광인천보세(인천신)",Z627="한진인천(인천신)",Z627="선광인천신항(인천신)",Z627="인천더로지스(인천신)"),"KRINN",IF(OR(Z627="인천진아(인천항)",Z627="인천E1(인천항)",Z627="인천SM경인터미널(인천항)",Z627="인천항(인천항)",Z627="인천우련(인천항)",Z627="인천항8부두(인천항)"),"KRINC",VLOOKUP(K627,GLAPS정리!$BB$2:$BC$33,2,0))))))</f>
        <v>#N/A</v>
      </c>
      <c r="AL627" s="2">
        <f t="shared" si="137"/>
        <v>5010001</v>
      </c>
      <c r="AN627" s="70" t="str">
        <f t="shared" si="138"/>
        <v>1900-01-00</v>
      </c>
      <c r="AO627" s="2" t="str">
        <f t="shared" si="139"/>
        <v/>
      </c>
      <c r="AP627" s="2" t="e">
        <f>VLOOKUP(C627,GLAPS정리!$AX$2:$AZ$17,3,0)</f>
        <v>#N/A</v>
      </c>
      <c r="AR627" s="2">
        <f t="shared" si="145"/>
        <v>0</v>
      </c>
      <c r="AX627" s="2" t="e">
        <f>VLOOKUP(L627,GLAPS정리!$V$3:$W$180,2,0)</f>
        <v>#N/A</v>
      </c>
      <c r="BM627" s="2" t="str">
        <f t="shared" si="140"/>
        <v xml:space="preserve"> </v>
      </c>
      <c r="BN627" s="2">
        <f t="shared" si="141"/>
        <v>1</v>
      </c>
      <c r="BR627" s="2" t="str">
        <f t="shared" si="142"/>
        <v/>
      </c>
      <c r="BS627" s="2" t="str">
        <f t="shared" si="143"/>
        <v/>
      </c>
      <c r="BV627" s="2" t="e">
        <f>VLOOKUP(O627,GLAPS정리!$BH$2:$BI$94,2,0)</f>
        <v>#N/A</v>
      </c>
      <c r="BW627" s="2" t="str">
        <f>IF(OR(Z627="동원",Z627="세방",Z627="한타"),"",IFERROR(INDEX(GLAPS정리!$BI$2:$BI$101,MATCH(Z627,GLAPS정리!$BH$2:$BH$101,0)),""))</f>
        <v/>
      </c>
      <c r="BX627" s="2" t="str">
        <f>IF(Z627="","",IFERROR(VLOOKUP(Z627,GLAPS정리!$AX$2:$AZ$17,3,0),""))</f>
        <v/>
      </c>
      <c r="BZ627" s="2" t="e">
        <f>VLOOKUP(H627,GLAPS정리!$L$3:$O$133,2,0)</f>
        <v>#N/A</v>
      </c>
      <c r="CA627" s="2" t="str">
        <f t="shared" si="144"/>
        <v/>
      </c>
      <c r="CL627" s="2" t="e">
        <f>VLOOKUP(AI627,GLAPS정리!$BT$3:$BV$26,3,0)</f>
        <v>#N/A</v>
      </c>
    </row>
    <row r="628" spans="2:90" ht="20.45" customHeight="1">
      <c r="B628" s="13"/>
      <c r="G628" s="3"/>
      <c r="J628" s="3"/>
      <c r="Q628" s="3" t="str">
        <f t="shared" si="132"/>
        <v/>
      </c>
      <c r="R628" s="3" t="str">
        <f t="shared" si="133"/>
        <v/>
      </c>
      <c r="S628" s="3" t="str">
        <f t="shared" si="134"/>
        <v/>
      </c>
      <c r="X628" s="13"/>
      <c r="Y628" s="13"/>
      <c r="Z628" s="91"/>
      <c r="AC628" s="2">
        <f t="shared" si="135"/>
        <v>20</v>
      </c>
      <c r="AD628" s="2" t="str">
        <f>IFERROR(INDEX(GLAPS정리!$D$2:$D$50,MATCH(I628,GLAPS정리!$A$2:$A$50,0)),IFERROR(INDEX(GLAPS정리!$D$2:$D$50,MATCH(I628,GLAPS정리!$B$2:$B$50,0)),""))</f>
        <v/>
      </c>
      <c r="AF628" s="2" t="str">
        <f t="shared" si="136"/>
        <v>KR10</v>
      </c>
      <c r="AI628" s="2" t="e">
        <f>VLOOKUP(F628,GLAPS정리!$G$3:$J$114,2,0)</f>
        <v>#N/A</v>
      </c>
      <c r="AJ628" s="2" t="e">
        <f>IF(Z628="울산정일","KRONS",IF(Z628="울산신항","KRUSN",IF(OR(Z628="선광종합물류(인천여객)",Z628="인천여객(인천여객)"),"KRINF",IF(OR(Z628="선광인천보세(인천신)",Z628="한진인천(인천신)",Z628="선광인천신항(인천신)",Z628="인천더로지스(인천신)"),"KRINN",IF(OR(Z628="인천진아(인천항)",Z628="인천E1(인천항)",Z628="인천SM경인터미널(인천항)",Z628="인천항(인천항)",Z628="인천우련(인천항)",Z628="인천항8부두(인천항)"),"KRINC",VLOOKUP(K628,GLAPS정리!$BB$2:$BC$33,2,0))))))</f>
        <v>#N/A</v>
      </c>
      <c r="AL628" s="2">
        <f t="shared" si="137"/>
        <v>5010001</v>
      </c>
      <c r="AN628" s="70" t="str">
        <f t="shared" si="138"/>
        <v>1900-01-00</v>
      </c>
      <c r="AO628" s="2" t="str">
        <f t="shared" si="139"/>
        <v/>
      </c>
      <c r="AP628" s="2" t="e">
        <f>VLOOKUP(C628,GLAPS정리!$AX$2:$AZ$17,3,0)</f>
        <v>#N/A</v>
      </c>
      <c r="AR628" s="2">
        <f t="shared" si="145"/>
        <v>0</v>
      </c>
      <c r="AX628" s="2" t="e">
        <f>VLOOKUP(L628,GLAPS정리!$V$3:$W$180,2,0)</f>
        <v>#N/A</v>
      </c>
      <c r="BM628" s="2" t="str">
        <f t="shared" si="140"/>
        <v xml:space="preserve"> </v>
      </c>
      <c r="BN628" s="2">
        <f t="shared" si="141"/>
        <v>1</v>
      </c>
      <c r="BR628" s="2" t="str">
        <f t="shared" si="142"/>
        <v/>
      </c>
      <c r="BS628" s="2" t="str">
        <f t="shared" si="143"/>
        <v/>
      </c>
      <c r="BV628" s="2" t="e">
        <f>VLOOKUP(O628,GLAPS정리!$BH$2:$BI$94,2,0)</f>
        <v>#N/A</v>
      </c>
      <c r="BW628" s="2" t="str">
        <f>IF(OR(Z628="동원",Z628="세방",Z628="한타"),"",IFERROR(INDEX(GLAPS정리!$BI$2:$BI$101,MATCH(Z628,GLAPS정리!$BH$2:$BH$101,0)),""))</f>
        <v/>
      </c>
      <c r="BX628" s="2" t="str">
        <f>IF(Z628="","",IFERROR(VLOOKUP(Z628,GLAPS정리!$AX$2:$AZ$17,3,0),""))</f>
        <v/>
      </c>
      <c r="BZ628" s="2" t="e">
        <f>VLOOKUP(H628,GLAPS정리!$L$3:$O$133,2,0)</f>
        <v>#N/A</v>
      </c>
      <c r="CA628" s="2" t="str">
        <f t="shared" si="144"/>
        <v/>
      </c>
      <c r="CL628" s="2" t="e">
        <f>VLOOKUP(AI628,GLAPS정리!$BT$3:$BV$26,3,0)</f>
        <v>#N/A</v>
      </c>
    </row>
    <row r="629" spans="2:90" ht="20.45" customHeight="1">
      <c r="B629" s="13"/>
      <c r="G629" s="3"/>
      <c r="J629" s="3"/>
      <c r="Q629" s="3" t="str">
        <f t="shared" si="132"/>
        <v/>
      </c>
      <c r="R629" s="3" t="str">
        <f t="shared" si="133"/>
        <v/>
      </c>
      <c r="S629" s="3" t="str">
        <f t="shared" si="134"/>
        <v/>
      </c>
      <c r="X629" s="13"/>
      <c r="Y629" s="13"/>
      <c r="Z629" s="91"/>
      <c r="AC629" s="2">
        <f t="shared" si="135"/>
        <v>20</v>
      </c>
      <c r="AD629" s="2" t="str">
        <f>IFERROR(INDEX(GLAPS정리!$D$2:$D$50,MATCH(I629,GLAPS정리!$A$2:$A$50,0)),IFERROR(INDEX(GLAPS정리!$D$2:$D$50,MATCH(I629,GLAPS정리!$B$2:$B$50,0)),""))</f>
        <v/>
      </c>
      <c r="AF629" s="2" t="str">
        <f t="shared" si="136"/>
        <v>KR10</v>
      </c>
      <c r="AI629" s="2" t="e">
        <f>VLOOKUP(F629,GLAPS정리!$G$3:$J$114,2,0)</f>
        <v>#N/A</v>
      </c>
      <c r="AJ629" s="2" t="e">
        <f>IF(Z629="울산정일","KRONS",IF(Z629="울산신항","KRUSN",IF(OR(Z629="선광종합물류(인천여객)",Z629="인천여객(인천여객)"),"KRINF",IF(OR(Z629="선광인천보세(인천신)",Z629="한진인천(인천신)",Z629="선광인천신항(인천신)",Z629="인천더로지스(인천신)"),"KRINN",IF(OR(Z629="인천진아(인천항)",Z629="인천E1(인천항)",Z629="인천SM경인터미널(인천항)",Z629="인천항(인천항)",Z629="인천우련(인천항)",Z629="인천항8부두(인천항)"),"KRINC",VLOOKUP(K629,GLAPS정리!$BB$2:$BC$33,2,0))))))</f>
        <v>#N/A</v>
      </c>
      <c r="AL629" s="2">
        <f t="shared" si="137"/>
        <v>5010001</v>
      </c>
      <c r="AN629" s="70" t="str">
        <f t="shared" si="138"/>
        <v>1900-01-00</v>
      </c>
      <c r="AO629" s="2" t="str">
        <f t="shared" si="139"/>
        <v/>
      </c>
      <c r="AP629" s="2" t="e">
        <f>VLOOKUP(C629,GLAPS정리!$AX$2:$AZ$17,3,0)</f>
        <v>#N/A</v>
      </c>
      <c r="AR629" s="2">
        <f t="shared" si="145"/>
        <v>0</v>
      </c>
      <c r="AX629" s="2" t="e">
        <f>VLOOKUP(L629,GLAPS정리!$V$3:$W$180,2,0)</f>
        <v>#N/A</v>
      </c>
      <c r="BM629" s="2" t="str">
        <f t="shared" si="140"/>
        <v xml:space="preserve"> </v>
      </c>
      <c r="BN629" s="2">
        <f t="shared" si="141"/>
        <v>1</v>
      </c>
      <c r="BR629" s="2" t="str">
        <f t="shared" si="142"/>
        <v/>
      </c>
      <c r="BS629" s="2" t="str">
        <f t="shared" si="143"/>
        <v/>
      </c>
      <c r="BV629" s="2" t="e">
        <f>VLOOKUP(O629,GLAPS정리!$BH$2:$BI$94,2,0)</f>
        <v>#N/A</v>
      </c>
      <c r="BW629" s="2" t="str">
        <f>IF(OR(Z629="동원",Z629="세방",Z629="한타"),"",IFERROR(INDEX(GLAPS정리!$BI$2:$BI$101,MATCH(Z629,GLAPS정리!$BH$2:$BH$101,0)),""))</f>
        <v/>
      </c>
      <c r="BX629" s="2" t="str">
        <f>IF(Z629="","",IFERROR(VLOOKUP(Z629,GLAPS정리!$AX$2:$AZ$17,3,0),""))</f>
        <v/>
      </c>
      <c r="BZ629" s="2" t="e">
        <f>VLOOKUP(H629,GLAPS정리!$L$3:$O$133,2,0)</f>
        <v>#N/A</v>
      </c>
      <c r="CA629" s="2" t="str">
        <f t="shared" si="144"/>
        <v/>
      </c>
      <c r="CL629" s="2" t="e">
        <f>VLOOKUP(AI629,GLAPS정리!$BT$3:$BV$26,3,0)</f>
        <v>#N/A</v>
      </c>
    </row>
    <row r="630" spans="2:90" ht="20.45" customHeight="1">
      <c r="B630" s="13"/>
      <c r="G630" s="3"/>
      <c r="J630" s="3"/>
      <c r="Q630" s="3" t="str">
        <f t="shared" si="132"/>
        <v/>
      </c>
      <c r="R630" s="3" t="str">
        <f t="shared" si="133"/>
        <v/>
      </c>
      <c r="S630" s="3" t="str">
        <f t="shared" si="134"/>
        <v/>
      </c>
      <c r="X630" s="13"/>
      <c r="Y630" s="13"/>
      <c r="Z630" s="91"/>
      <c r="AC630" s="2">
        <f t="shared" si="135"/>
        <v>20</v>
      </c>
      <c r="AD630" s="2" t="str">
        <f>IFERROR(INDEX(GLAPS정리!$D$2:$D$50,MATCH(I630,GLAPS정리!$A$2:$A$50,0)),IFERROR(INDEX(GLAPS정리!$D$2:$D$50,MATCH(I630,GLAPS정리!$B$2:$B$50,0)),""))</f>
        <v/>
      </c>
      <c r="AF630" s="2" t="str">
        <f t="shared" si="136"/>
        <v>KR10</v>
      </c>
      <c r="AI630" s="2" t="e">
        <f>VLOOKUP(F630,GLAPS정리!$G$3:$J$114,2,0)</f>
        <v>#N/A</v>
      </c>
      <c r="AJ630" s="2" t="e">
        <f>IF(Z630="울산정일","KRONS",IF(Z630="울산신항","KRUSN",IF(OR(Z630="선광종합물류(인천여객)",Z630="인천여객(인천여객)"),"KRINF",IF(OR(Z630="선광인천보세(인천신)",Z630="한진인천(인천신)",Z630="선광인천신항(인천신)",Z630="인천더로지스(인천신)"),"KRINN",IF(OR(Z630="인천진아(인천항)",Z630="인천E1(인천항)",Z630="인천SM경인터미널(인천항)",Z630="인천항(인천항)",Z630="인천우련(인천항)",Z630="인천항8부두(인천항)"),"KRINC",VLOOKUP(K630,GLAPS정리!$BB$2:$BC$33,2,0))))))</f>
        <v>#N/A</v>
      </c>
      <c r="AL630" s="2">
        <f t="shared" si="137"/>
        <v>5010001</v>
      </c>
      <c r="AN630" s="70" t="str">
        <f t="shared" si="138"/>
        <v>1900-01-00</v>
      </c>
      <c r="AO630" s="2" t="str">
        <f t="shared" si="139"/>
        <v/>
      </c>
      <c r="AP630" s="2" t="e">
        <f>VLOOKUP(C630,GLAPS정리!$AX$2:$AZ$17,3,0)</f>
        <v>#N/A</v>
      </c>
      <c r="AR630" s="2">
        <f t="shared" si="145"/>
        <v>0</v>
      </c>
      <c r="AX630" s="2" t="e">
        <f>VLOOKUP(L630,GLAPS정리!$V$3:$W$180,2,0)</f>
        <v>#N/A</v>
      </c>
      <c r="BM630" s="2" t="str">
        <f t="shared" si="140"/>
        <v xml:space="preserve"> </v>
      </c>
      <c r="BN630" s="2">
        <f t="shared" si="141"/>
        <v>1</v>
      </c>
      <c r="BR630" s="2" t="str">
        <f t="shared" si="142"/>
        <v/>
      </c>
      <c r="BS630" s="2" t="str">
        <f t="shared" si="143"/>
        <v/>
      </c>
      <c r="BV630" s="2" t="e">
        <f>VLOOKUP(O630,GLAPS정리!$BH$2:$BI$94,2,0)</f>
        <v>#N/A</v>
      </c>
      <c r="BW630" s="2" t="str">
        <f>IF(OR(Z630="동원",Z630="세방",Z630="한타"),"",IFERROR(INDEX(GLAPS정리!$BI$2:$BI$101,MATCH(Z630,GLAPS정리!$BH$2:$BH$101,0)),""))</f>
        <v/>
      </c>
      <c r="BX630" s="2" t="str">
        <f>IF(Z630="","",IFERROR(VLOOKUP(Z630,GLAPS정리!$AX$2:$AZ$17,3,0),""))</f>
        <v/>
      </c>
      <c r="BZ630" s="2" t="e">
        <f>VLOOKUP(H630,GLAPS정리!$L$3:$O$133,2,0)</f>
        <v>#N/A</v>
      </c>
      <c r="CA630" s="2" t="str">
        <f t="shared" si="144"/>
        <v/>
      </c>
      <c r="CL630" s="2" t="e">
        <f>VLOOKUP(AI630,GLAPS정리!$BT$3:$BV$26,3,0)</f>
        <v>#N/A</v>
      </c>
    </row>
    <row r="631" spans="2:90" ht="20.45" customHeight="1">
      <c r="B631" s="13"/>
      <c r="G631" s="3"/>
      <c r="J631" s="3"/>
      <c r="Q631" s="3" t="str">
        <f t="shared" si="132"/>
        <v/>
      </c>
      <c r="R631" s="3" t="str">
        <f t="shared" si="133"/>
        <v/>
      </c>
      <c r="S631" s="3" t="str">
        <f t="shared" si="134"/>
        <v/>
      </c>
      <c r="X631" s="13"/>
      <c r="Y631" s="13"/>
      <c r="Z631" s="91"/>
      <c r="AC631" s="2">
        <f t="shared" si="135"/>
        <v>20</v>
      </c>
      <c r="AD631" s="2" t="str">
        <f>IFERROR(INDEX(GLAPS정리!$D$2:$D$50,MATCH(I631,GLAPS정리!$A$2:$A$50,0)),IFERROR(INDEX(GLAPS정리!$D$2:$D$50,MATCH(I631,GLAPS정리!$B$2:$B$50,0)),""))</f>
        <v/>
      </c>
      <c r="AF631" s="2" t="str">
        <f t="shared" si="136"/>
        <v>KR10</v>
      </c>
      <c r="AI631" s="2" t="e">
        <f>VLOOKUP(F631,GLAPS정리!$G$3:$J$114,2,0)</f>
        <v>#N/A</v>
      </c>
      <c r="AJ631" s="2" t="e">
        <f>IF(Z631="울산정일","KRONS",IF(Z631="울산신항","KRUSN",IF(OR(Z631="선광종합물류(인천여객)",Z631="인천여객(인천여객)"),"KRINF",IF(OR(Z631="선광인천보세(인천신)",Z631="한진인천(인천신)",Z631="선광인천신항(인천신)",Z631="인천더로지스(인천신)"),"KRINN",IF(OR(Z631="인천진아(인천항)",Z631="인천E1(인천항)",Z631="인천SM경인터미널(인천항)",Z631="인천항(인천항)",Z631="인천우련(인천항)",Z631="인천항8부두(인천항)"),"KRINC",VLOOKUP(K631,GLAPS정리!$BB$2:$BC$33,2,0))))))</f>
        <v>#N/A</v>
      </c>
      <c r="AL631" s="2">
        <f t="shared" si="137"/>
        <v>5010001</v>
      </c>
      <c r="AN631" s="70" t="str">
        <f t="shared" si="138"/>
        <v>1900-01-00</v>
      </c>
      <c r="AO631" s="2" t="str">
        <f t="shared" si="139"/>
        <v/>
      </c>
      <c r="AP631" s="2" t="e">
        <f>VLOOKUP(C631,GLAPS정리!$AX$2:$AZ$17,3,0)</f>
        <v>#N/A</v>
      </c>
      <c r="AR631" s="2">
        <f t="shared" si="145"/>
        <v>0</v>
      </c>
      <c r="AX631" s="2" t="e">
        <f>VLOOKUP(L631,GLAPS정리!$V$3:$W$180,2,0)</f>
        <v>#N/A</v>
      </c>
      <c r="BM631" s="2" t="str">
        <f t="shared" si="140"/>
        <v xml:space="preserve"> </v>
      </c>
      <c r="BN631" s="2">
        <f t="shared" si="141"/>
        <v>1</v>
      </c>
      <c r="BR631" s="2" t="str">
        <f t="shared" si="142"/>
        <v/>
      </c>
      <c r="BS631" s="2" t="str">
        <f t="shared" si="143"/>
        <v/>
      </c>
      <c r="BV631" s="2" t="e">
        <f>VLOOKUP(O631,GLAPS정리!$BH$2:$BI$94,2,0)</f>
        <v>#N/A</v>
      </c>
      <c r="BW631" s="2" t="str">
        <f>IF(OR(Z631="동원",Z631="세방",Z631="한타"),"",IFERROR(INDEX(GLAPS정리!$BI$2:$BI$101,MATCH(Z631,GLAPS정리!$BH$2:$BH$101,0)),""))</f>
        <v/>
      </c>
      <c r="BX631" s="2" t="str">
        <f>IF(Z631="","",IFERROR(VLOOKUP(Z631,GLAPS정리!$AX$2:$AZ$17,3,0),""))</f>
        <v/>
      </c>
      <c r="BZ631" s="2" t="e">
        <f>VLOOKUP(H631,GLAPS정리!$L$3:$O$133,2,0)</f>
        <v>#N/A</v>
      </c>
      <c r="CA631" s="2" t="str">
        <f t="shared" si="144"/>
        <v/>
      </c>
      <c r="CL631" s="2" t="e">
        <f>VLOOKUP(AI631,GLAPS정리!$BT$3:$BV$26,3,0)</f>
        <v>#N/A</v>
      </c>
    </row>
    <row r="632" spans="2:90" ht="20.45" customHeight="1">
      <c r="B632" s="13"/>
      <c r="G632" s="3"/>
      <c r="J632" s="3"/>
      <c r="Q632" s="3" t="str">
        <f t="shared" si="132"/>
        <v/>
      </c>
      <c r="R632" s="3" t="str">
        <f t="shared" si="133"/>
        <v/>
      </c>
      <c r="S632" s="3" t="str">
        <f t="shared" si="134"/>
        <v/>
      </c>
      <c r="X632" s="13"/>
      <c r="Y632" s="13"/>
      <c r="Z632" s="91"/>
      <c r="AC632" s="2">
        <f t="shared" si="135"/>
        <v>20</v>
      </c>
      <c r="AD632" s="2" t="str">
        <f>IFERROR(INDEX(GLAPS정리!$D$2:$D$50,MATCH(I632,GLAPS정리!$A$2:$A$50,0)),IFERROR(INDEX(GLAPS정리!$D$2:$D$50,MATCH(I632,GLAPS정리!$B$2:$B$50,0)),""))</f>
        <v/>
      </c>
      <c r="AF632" s="2" t="str">
        <f t="shared" si="136"/>
        <v>KR10</v>
      </c>
      <c r="AI632" s="2" t="e">
        <f>VLOOKUP(F632,GLAPS정리!$G$3:$J$114,2,0)</f>
        <v>#N/A</v>
      </c>
      <c r="AJ632" s="2" t="e">
        <f>IF(Z632="울산정일","KRONS",IF(Z632="울산신항","KRUSN",IF(OR(Z632="선광종합물류(인천여객)",Z632="인천여객(인천여객)"),"KRINF",IF(OR(Z632="선광인천보세(인천신)",Z632="한진인천(인천신)",Z632="선광인천신항(인천신)",Z632="인천더로지스(인천신)"),"KRINN",IF(OR(Z632="인천진아(인천항)",Z632="인천E1(인천항)",Z632="인천SM경인터미널(인천항)",Z632="인천항(인천항)",Z632="인천우련(인천항)",Z632="인천항8부두(인천항)"),"KRINC",VLOOKUP(K632,GLAPS정리!$BB$2:$BC$33,2,0))))))</f>
        <v>#N/A</v>
      </c>
      <c r="AL632" s="2">
        <f t="shared" si="137"/>
        <v>5010001</v>
      </c>
      <c r="AN632" s="70" t="str">
        <f t="shared" si="138"/>
        <v>1900-01-00</v>
      </c>
      <c r="AO632" s="2" t="str">
        <f t="shared" si="139"/>
        <v/>
      </c>
      <c r="AP632" s="2" t="e">
        <f>VLOOKUP(C632,GLAPS정리!$AX$2:$AZ$17,3,0)</f>
        <v>#N/A</v>
      </c>
      <c r="AR632" s="2">
        <f t="shared" si="145"/>
        <v>0</v>
      </c>
      <c r="AX632" s="2" t="e">
        <f>VLOOKUP(L632,GLAPS정리!$V$3:$W$180,2,0)</f>
        <v>#N/A</v>
      </c>
      <c r="BM632" s="2" t="str">
        <f t="shared" si="140"/>
        <v xml:space="preserve"> </v>
      </c>
      <c r="BN632" s="2">
        <f t="shared" si="141"/>
        <v>1</v>
      </c>
      <c r="BR632" s="2" t="str">
        <f t="shared" si="142"/>
        <v/>
      </c>
      <c r="BS632" s="2" t="str">
        <f t="shared" si="143"/>
        <v/>
      </c>
      <c r="BV632" s="2" t="e">
        <f>VLOOKUP(O632,GLAPS정리!$BH$2:$BI$94,2,0)</f>
        <v>#N/A</v>
      </c>
      <c r="BW632" s="2" t="str">
        <f>IF(OR(Z632="동원",Z632="세방",Z632="한타"),"",IFERROR(INDEX(GLAPS정리!$BI$2:$BI$101,MATCH(Z632,GLAPS정리!$BH$2:$BH$101,0)),""))</f>
        <v/>
      </c>
      <c r="BX632" s="2" t="str">
        <f>IF(Z632="","",IFERROR(VLOOKUP(Z632,GLAPS정리!$AX$2:$AZ$17,3,0),""))</f>
        <v/>
      </c>
      <c r="BZ632" s="2" t="e">
        <f>VLOOKUP(H632,GLAPS정리!$L$3:$O$133,2,0)</f>
        <v>#N/A</v>
      </c>
      <c r="CA632" s="2" t="str">
        <f t="shared" si="144"/>
        <v/>
      </c>
      <c r="CL632" s="2" t="e">
        <f>VLOOKUP(AI632,GLAPS정리!$BT$3:$BV$26,3,0)</f>
        <v>#N/A</v>
      </c>
    </row>
    <row r="633" spans="2:90" ht="20.45" customHeight="1">
      <c r="B633" s="13"/>
      <c r="G633" s="3"/>
      <c r="J633" s="3"/>
      <c r="Q633" s="3" t="str">
        <f t="shared" si="132"/>
        <v/>
      </c>
      <c r="R633" s="3" t="str">
        <f t="shared" si="133"/>
        <v/>
      </c>
      <c r="S633" s="3" t="str">
        <f t="shared" si="134"/>
        <v/>
      </c>
      <c r="X633" s="13"/>
      <c r="Y633" s="13"/>
      <c r="Z633" s="91"/>
      <c r="AC633" s="2">
        <f t="shared" si="135"/>
        <v>20</v>
      </c>
      <c r="AD633" s="2" t="str">
        <f>IFERROR(INDEX(GLAPS정리!$D$2:$D$50,MATCH(I633,GLAPS정리!$A$2:$A$50,0)),IFERROR(INDEX(GLAPS정리!$D$2:$D$50,MATCH(I633,GLAPS정리!$B$2:$B$50,0)),""))</f>
        <v/>
      </c>
      <c r="AF633" s="2" t="str">
        <f t="shared" si="136"/>
        <v>KR10</v>
      </c>
      <c r="AI633" s="2" t="e">
        <f>VLOOKUP(F633,GLAPS정리!$G$3:$J$114,2,0)</f>
        <v>#N/A</v>
      </c>
      <c r="AJ633" s="2" t="e">
        <f>IF(Z633="울산정일","KRONS",IF(Z633="울산신항","KRUSN",IF(OR(Z633="선광종합물류(인천여객)",Z633="인천여객(인천여객)"),"KRINF",IF(OR(Z633="선광인천보세(인천신)",Z633="한진인천(인천신)",Z633="선광인천신항(인천신)",Z633="인천더로지스(인천신)"),"KRINN",IF(OR(Z633="인천진아(인천항)",Z633="인천E1(인천항)",Z633="인천SM경인터미널(인천항)",Z633="인천항(인천항)",Z633="인천우련(인천항)",Z633="인천항8부두(인천항)"),"KRINC",VLOOKUP(K633,GLAPS정리!$BB$2:$BC$33,2,0))))))</f>
        <v>#N/A</v>
      </c>
      <c r="AL633" s="2">
        <f t="shared" si="137"/>
        <v>5010001</v>
      </c>
      <c r="AN633" s="70" t="str">
        <f t="shared" si="138"/>
        <v>1900-01-00</v>
      </c>
      <c r="AO633" s="2" t="str">
        <f t="shared" si="139"/>
        <v/>
      </c>
      <c r="AP633" s="2" t="e">
        <f>VLOOKUP(C633,GLAPS정리!$AX$2:$AZ$17,3,0)</f>
        <v>#N/A</v>
      </c>
      <c r="AR633" s="2">
        <f t="shared" si="145"/>
        <v>0</v>
      </c>
      <c r="AX633" s="2" t="e">
        <f>VLOOKUP(L633,GLAPS정리!$V$3:$W$180,2,0)</f>
        <v>#N/A</v>
      </c>
      <c r="BM633" s="2" t="str">
        <f t="shared" si="140"/>
        <v xml:space="preserve"> </v>
      </c>
      <c r="BN633" s="2">
        <f t="shared" si="141"/>
        <v>1</v>
      </c>
      <c r="BR633" s="2" t="str">
        <f t="shared" si="142"/>
        <v/>
      </c>
      <c r="BS633" s="2" t="str">
        <f t="shared" si="143"/>
        <v/>
      </c>
      <c r="BV633" s="2" t="e">
        <f>VLOOKUP(O633,GLAPS정리!$BH$2:$BI$94,2,0)</f>
        <v>#N/A</v>
      </c>
      <c r="BW633" s="2" t="str">
        <f>IF(OR(Z633="동원",Z633="세방",Z633="한타"),"",IFERROR(INDEX(GLAPS정리!$BI$2:$BI$101,MATCH(Z633,GLAPS정리!$BH$2:$BH$101,0)),""))</f>
        <v/>
      </c>
      <c r="BX633" s="2" t="str">
        <f>IF(Z633="","",IFERROR(VLOOKUP(Z633,GLAPS정리!$AX$2:$AZ$17,3,0),""))</f>
        <v/>
      </c>
      <c r="BZ633" s="2" t="e">
        <f>VLOOKUP(H633,GLAPS정리!$L$3:$O$133,2,0)</f>
        <v>#N/A</v>
      </c>
      <c r="CA633" s="2" t="str">
        <f t="shared" si="144"/>
        <v/>
      </c>
      <c r="CL633" s="2" t="e">
        <f>VLOOKUP(AI633,GLAPS정리!$BT$3:$BV$26,3,0)</f>
        <v>#N/A</v>
      </c>
    </row>
    <row r="634" spans="2:90" ht="20.45" customHeight="1">
      <c r="B634" s="13"/>
      <c r="G634" s="3"/>
      <c r="J634" s="3"/>
      <c r="Q634" s="3" t="str">
        <f t="shared" si="132"/>
        <v/>
      </c>
      <c r="R634" s="3" t="str">
        <f t="shared" si="133"/>
        <v/>
      </c>
      <c r="S634" s="3" t="str">
        <f t="shared" si="134"/>
        <v/>
      </c>
      <c r="X634" s="13"/>
      <c r="Y634" s="13"/>
      <c r="Z634" s="91"/>
      <c r="AC634" s="2">
        <f t="shared" si="135"/>
        <v>20</v>
      </c>
      <c r="AD634" s="2" t="str">
        <f>IFERROR(INDEX(GLAPS정리!$D$2:$D$50,MATCH(I634,GLAPS정리!$A$2:$A$50,0)),IFERROR(INDEX(GLAPS정리!$D$2:$D$50,MATCH(I634,GLAPS정리!$B$2:$B$50,0)),""))</f>
        <v/>
      </c>
      <c r="AF634" s="2" t="str">
        <f t="shared" si="136"/>
        <v>KR10</v>
      </c>
      <c r="AI634" s="2" t="e">
        <f>VLOOKUP(F634,GLAPS정리!$G$3:$J$114,2,0)</f>
        <v>#N/A</v>
      </c>
      <c r="AJ634" s="2" t="e">
        <f>IF(Z634="울산정일","KRONS",IF(Z634="울산신항","KRUSN",IF(OR(Z634="선광종합물류(인천여객)",Z634="인천여객(인천여객)"),"KRINF",IF(OR(Z634="선광인천보세(인천신)",Z634="한진인천(인천신)",Z634="선광인천신항(인천신)",Z634="인천더로지스(인천신)"),"KRINN",IF(OR(Z634="인천진아(인천항)",Z634="인천E1(인천항)",Z634="인천SM경인터미널(인천항)",Z634="인천항(인천항)",Z634="인천우련(인천항)",Z634="인천항8부두(인천항)"),"KRINC",VLOOKUP(K634,GLAPS정리!$BB$2:$BC$33,2,0))))))</f>
        <v>#N/A</v>
      </c>
      <c r="AL634" s="2">
        <f t="shared" si="137"/>
        <v>5010001</v>
      </c>
      <c r="AN634" s="70" t="str">
        <f t="shared" si="138"/>
        <v>1900-01-00</v>
      </c>
      <c r="AO634" s="2" t="str">
        <f t="shared" si="139"/>
        <v/>
      </c>
      <c r="AP634" s="2" t="e">
        <f>VLOOKUP(C634,GLAPS정리!$AX$2:$AZ$17,3,0)</f>
        <v>#N/A</v>
      </c>
      <c r="AR634" s="2">
        <f t="shared" si="145"/>
        <v>0</v>
      </c>
      <c r="AX634" s="2" t="e">
        <f>VLOOKUP(L634,GLAPS정리!$V$3:$W$180,2,0)</f>
        <v>#N/A</v>
      </c>
      <c r="BM634" s="2" t="str">
        <f t="shared" si="140"/>
        <v xml:space="preserve"> </v>
      </c>
      <c r="BN634" s="2">
        <f t="shared" si="141"/>
        <v>1</v>
      </c>
      <c r="BR634" s="2" t="str">
        <f t="shared" si="142"/>
        <v/>
      </c>
      <c r="BS634" s="2" t="str">
        <f t="shared" si="143"/>
        <v/>
      </c>
      <c r="BV634" s="2" t="e">
        <f>VLOOKUP(O634,GLAPS정리!$BH$2:$BI$94,2,0)</f>
        <v>#N/A</v>
      </c>
      <c r="BW634" s="2" t="str">
        <f>IF(OR(Z634="동원",Z634="세방",Z634="한타"),"",IFERROR(INDEX(GLAPS정리!$BI$2:$BI$101,MATCH(Z634,GLAPS정리!$BH$2:$BH$101,0)),""))</f>
        <v/>
      </c>
      <c r="BX634" s="2" t="str">
        <f>IF(Z634="","",IFERROR(VLOOKUP(Z634,GLAPS정리!$AX$2:$AZ$17,3,0),""))</f>
        <v/>
      </c>
      <c r="BZ634" s="2" t="e">
        <f>VLOOKUP(H634,GLAPS정리!$L$3:$O$133,2,0)</f>
        <v>#N/A</v>
      </c>
      <c r="CA634" s="2" t="str">
        <f t="shared" si="144"/>
        <v/>
      </c>
      <c r="CL634" s="2" t="e">
        <f>VLOOKUP(AI634,GLAPS정리!$BT$3:$BV$26,3,0)</f>
        <v>#N/A</v>
      </c>
    </row>
    <row r="635" spans="2:90" ht="20.45" customHeight="1">
      <c r="B635" s="13"/>
      <c r="G635" s="3"/>
      <c r="J635" s="3"/>
      <c r="Q635" s="3" t="str">
        <f t="shared" si="132"/>
        <v/>
      </c>
      <c r="R635" s="3" t="str">
        <f t="shared" si="133"/>
        <v/>
      </c>
      <c r="S635" s="3" t="str">
        <f t="shared" si="134"/>
        <v/>
      </c>
      <c r="X635" s="13"/>
      <c r="Y635" s="13"/>
      <c r="Z635" s="91"/>
      <c r="AC635" s="2">
        <f t="shared" si="135"/>
        <v>20</v>
      </c>
      <c r="AD635" s="2" t="str">
        <f>IFERROR(INDEX(GLAPS정리!$D$2:$D$50,MATCH(I635,GLAPS정리!$A$2:$A$50,0)),IFERROR(INDEX(GLAPS정리!$D$2:$D$50,MATCH(I635,GLAPS정리!$B$2:$B$50,0)),""))</f>
        <v/>
      </c>
      <c r="AF635" s="2" t="str">
        <f t="shared" si="136"/>
        <v>KR10</v>
      </c>
      <c r="AI635" s="2" t="e">
        <f>VLOOKUP(F635,GLAPS정리!$G$3:$J$114,2,0)</f>
        <v>#N/A</v>
      </c>
      <c r="AJ635" s="2" t="e">
        <f>IF(Z635="울산정일","KRONS",IF(Z635="울산신항","KRUSN",IF(OR(Z635="선광종합물류(인천여객)",Z635="인천여객(인천여객)"),"KRINF",IF(OR(Z635="선광인천보세(인천신)",Z635="한진인천(인천신)",Z635="선광인천신항(인천신)",Z635="인천더로지스(인천신)"),"KRINN",IF(OR(Z635="인천진아(인천항)",Z635="인천E1(인천항)",Z635="인천SM경인터미널(인천항)",Z635="인천항(인천항)",Z635="인천우련(인천항)",Z635="인천항8부두(인천항)"),"KRINC",VLOOKUP(K635,GLAPS정리!$BB$2:$BC$33,2,0))))))</f>
        <v>#N/A</v>
      </c>
      <c r="AL635" s="2">
        <f t="shared" si="137"/>
        <v>5010001</v>
      </c>
      <c r="AN635" s="70" t="str">
        <f t="shared" si="138"/>
        <v>1900-01-00</v>
      </c>
      <c r="AO635" s="2" t="str">
        <f t="shared" si="139"/>
        <v/>
      </c>
      <c r="AP635" s="2" t="e">
        <f>VLOOKUP(C635,GLAPS정리!$AX$2:$AZ$17,3,0)</f>
        <v>#N/A</v>
      </c>
      <c r="AR635" s="2">
        <f t="shared" si="145"/>
        <v>0</v>
      </c>
      <c r="AX635" s="2" t="e">
        <f>VLOOKUP(L635,GLAPS정리!$V$3:$W$180,2,0)</f>
        <v>#N/A</v>
      </c>
      <c r="BM635" s="2" t="str">
        <f t="shared" si="140"/>
        <v xml:space="preserve"> </v>
      </c>
      <c r="BN635" s="2">
        <f t="shared" si="141"/>
        <v>1</v>
      </c>
      <c r="BR635" s="2" t="str">
        <f t="shared" si="142"/>
        <v/>
      </c>
      <c r="BS635" s="2" t="str">
        <f t="shared" si="143"/>
        <v/>
      </c>
      <c r="BV635" s="2" t="e">
        <f>VLOOKUP(O635,GLAPS정리!$BH$2:$BI$94,2,0)</f>
        <v>#N/A</v>
      </c>
      <c r="BW635" s="2" t="str">
        <f>IF(OR(Z635="동원",Z635="세방",Z635="한타"),"",IFERROR(INDEX(GLAPS정리!$BI$2:$BI$101,MATCH(Z635,GLAPS정리!$BH$2:$BH$101,0)),""))</f>
        <v/>
      </c>
      <c r="BX635" s="2" t="str">
        <f>IF(Z635="","",IFERROR(VLOOKUP(Z635,GLAPS정리!$AX$2:$AZ$17,3,0),""))</f>
        <v/>
      </c>
      <c r="BZ635" s="2" t="e">
        <f>VLOOKUP(H635,GLAPS정리!$L$3:$O$133,2,0)</f>
        <v>#N/A</v>
      </c>
      <c r="CA635" s="2" t="str">
        <f t="shared" si="144"/>
        <v/>
      </c>
      <c r="CL635" s="2" t="e">
        <f>VLOOKUP(AI635,GLAPS정리!$BT$3:$BV$26,3,0)</f>
        <v>#N/A</v>
      </c>
    </row>
    <row r="636" spans="2:90" ht="20.45" customHeight="1">
      <c r="B636" s="13"/>
      <c r="G636" s="3"/>
      <c r="J636" s="3"/>
      <c r="Q636" s="3" t="str">
        <f t="shared" ref="Q636:Q699" si="146">IF(J636="20 FeeT",1,"")</f>
        <v/>
      </c>
      <c r="R636" s="3" t="str">
        <f t="shared" ref="R636:R699" si="147">IF(J636="40 Feet N",1,"")</f>
        <v/>
      </c>
      <c r="S636" s="3" t="str">
        <f t="shared" ref="S636:S699" si="148">IF(J636="40 Feet H",1,"")</f>
        <v/>
      </c>
      <c r="X636" s="13"/>
      <c r="Y636" s="13"/>
      <c r="Z636" s="91"/>
      <c r="AC636" s="2">
        <f t="shared" ref="AC636:AC699" si="149">$AC$1</f>
        <v>20</v>
      </c>
      <c r="AD636" s="2" t="str">
        <f>IFERROR(INDEX(GLAPS정리!$D$2:$D$50,MATCH(I636,GLAPS정리!$A$2:$A$50,0)),IFERROR(INDEX(GLAPS정리!$D$2:$D$50,MATCH(I636,GLAPS정리!$B$2:$B$50,0)),""))</f>
        <v/>
      </c>
      <c r="AF636" s="2" t="str">
        <f t="shared" ref="AF636:AF699" si="150">$AF$1</f>
        <v>KR10</v>
      </c>
      <c r="AI636" s="2" t="e">
        <f>VLOOKUP(F636,GLAPS정리!$G$3:$J$114,2,0)</f>
        <v>#N/A</v>
      </c>
      <c r="AJ636" s="2" t="e">
        <f>IF(Z636="울산정일","KRONS",IF(Z636="울산신항","KRUSN",IF(OR(Z636="선광종합물류(인천여객)",Z636="인천여객(인천여객)"),"KRINF",IF(OR(Z636="선광인천보세(인천신)",Z636="한진인천(인천신)",Z636="선광인천신항(인천신)",Z636="인천더로지스(인천신)"),"KRINN",IF(OR(Z636="인천진아(인천항)",Z636="인천E1(인천항)",Z636="인천SM경인터미널(인천항)",Z636="인천항(인천항)",Z636="인천우련(인천항)",Z636="인천항8부두(인천항)"),"KRINC",VLOOKUP(K636,GLAPS정리!$BB$2:$BC$33,2,0))))))</f>
        <v>#N/A</v>
      </c>
      <c r="AL636" s="2">
        <f t="shared" ref="AL636:AL699" si="151">$AL$1</f>
        <v>5010001</v>
      </c>
      <c r="AN636" s="70" t="str">
        <f t="shared" ref="AN636:AN699" si="152">TEXT(B636,"YYYY-MM-DD")</f>
        <v>1900-01-00</v>
      </c>
      <c r="AO636" s="2" t="str">
        <f t="shared" ref="AO636:AO699" si="153">IF(E636="오전", "0800", IF(E636="오후", "1300", IF(E636="잔업", "1800", "")))</f>
        <v/>
      </c>
      <c r="AP636" s="2" t="e">
        <f>VLOOKUP(C636,GLAPS정리!$AX$2:$AZ$17,3,0)</f>
        <v>#N/A</v>
      </c>
      <c r="AR636" s="2">
        <f t="shared" si="145"/>
        <v>0</v>
      </c>
      <c r="AX636" s="2" t="e">
        <f>VLOOKUP(L636,GLAPS정리!$V$3:$W$180,2,0)</f>
        <v>#N/A</v>
      </c>
      <c r="BM636" s="2" t="str">
        <f t="shared" ref="BM636:BM699" si="154">IF(AND(Q636=1,OR(P636="",P636="위험물")), "2210", IF(AND(Q636=1,OR(P636="리퍼",P636="위험물리퍼")), "2230", IF(AND(S636=1,OR(P636="",P636="위험물")), "4510", IF(AND(S636=1,OR(P636="리퍼",P636="위험물리퍼")), "4530", IF(AND(R636=1,OR(P636="",P636="위험물")), "4210", IF(AND(R636=1,P636="리퍼"), "4230", " "))))))</f>
        <v xml:space="preserve"> </v>
      </c>
      <c r="BN636" s="2">
        <f t="shared" ref="BN636:BN699" si="155">$BN$1</f>
        <v>1</v>
      </c>
      <c r="BR636" s="2" t="str">
        <f t="shared" ref="BR636:BR699" si="156">IF(OR(P636="리퍼",P636="위험물리퍼"),"Y","")</f>
        <v/>
      </c>
      <c r="BS636" s="2" t="str">
        <f t="shared" ref="BS636:BS699" si="157">IF(OR(P636="위험물",P636="위험물리퍼"),"Y","")</f>
        <v/>
      </c>
      <c r="BV636" s="2" t="e">
        <f>VLOOKUP(O636,GLAPS정리!$BH$2:$BI$94,2,0)</f>
        <v>#N/A</v>
      </c>
      <c r="BW636" s="2" t="str">
        <f>IF(OR(Z636="동원",Z636="세방",Z636="한타"),"",IFERROR(INDEX(GLAPS정리!$BI$2:$BI$101,MATCH(Z636,GLAPS정리!$BH$2:$BH$101,0)),""))</f>
        <v/>
      </c>
      <c r="BX636" s="2" t="str">
        <f>IF(Z636="","",IFERROR(VLOOKUP(Z636,GLAPS정리!$AX$2:$AZ$17,3,0),""))</f>
        <v/>
      </c>
      <c r="BZ636" s="2" t="e">
        <f>VLOOKUP(H636,GLAPS정리!$L$3:$O$133,2,0)</f>
        <v>#N/A</v>
      </c>
      <c r="CA636" s="2" t="str">
        <f t="shared" ref="CA636:CA699" si="158">IF(V636="공휴일", 10, IF(V636="야간", 20, IF(V636="위험물", 30, IF(V636="중량", 40, ""))))</f>
        <v/>
      </c>
      <c r="CL636" s="2" t="e">
        <f>VLOOKUP(AI636,GLAPS정리!$BT$3:$BV$26,3,0)</f>
        <v>#N/A</v>
      </c>
    </row>
    <row r="637" spans="2:90" ht="20.45" customHeight="1">
      <c r="B637" s="13"/>
      <c r="G637" s="3"/>
      <c r="J637" s="3"/>
      <c r="Q637" s="3" t="str">
        <f t="shared" si="146"/>
        <v/>
      </c>
      <c r="R637" s="3" t="str">
        <f t="shared" si="147"/>
        <v/>
      </c>
      <c r="S637" s="3" t="str">
        <f t="shared" si="148"/>
        <v/>
      </c>
      <c r="X637" s="13"/>
      <c r="Y637" s="13"/>
      <c r="Z637" s="91"/>
      <c r="AC637" s="2">
        <f t="shared" si="149"/>
        <v>20</v>
      </c>
      <c r="AD637" s="2" t="str">
        <f>IFERROR(INDEX(GLAPS정리!$D$2:$D$50,MATCH(I637,GLAPS정리!$A$2:$A$50,0)),IFERROR(INDEX(GLAPS정리!$D$2:$D$50,MATCH(I637,GLAPS정리!$B$2:$B$50,0)),""))</f>
        <v/>
      </c>
      <c r="AF637" s="2" t="str">
        <f t="shared" si="150"/>
        <v>KR10</v>
      </c>
      <c r="AI637" s="2" t="e">
        <f>VLOOKUP(F637,GLAPS정리!$G$3:$J$114,2,0)</f>
        <v>#N/A</v>
      </c>
      <c r="AJ637" s="2" t="e">
        <f>IF(Z637="울산정일","KRONS",IF(Z637="울산신항","KRUSN",IF(OR(Z637="선광종합물류(인천여객)",Z637="인천여객(인천여객)"),"KRINF",IF(OR(Z637="선광인천보세(인천신)",Z637="한진인천(인천신)",Z637="선광인천신항(인천신)",Z637="인천더로지스(인천신)"),"KRINN",IF(OR(Z637="인천진아(인천항)",Z637="인천E1(인천항)",Z637="인천SM경인터미널(인천항)",Z637="인천항(인천항)",Z637="인천우련(인천항)",Z637="인천항8부두(인천항)"),"KRINC",VLOOKUP(K637,GLAPS정리!$BB$2:$BC$33,2,0))))))</f>
        <v>#N/A</v>
      </c>
      <c r="AL637" s="2">
        <f t="shared" si="151"/>
        <v>5010001</v>
      </c>
      <c r="AN637" s="70" t="str">
        <f t="shared" si="152"/>
        <v>1900-01-00</v>
      </c>
      <c r="AO637" s="2" t="str">
        <f t="shared" si="153"/>
        <v/>
      </c>
      <c r="AP637" s="2" t="e">
        <f>VLOOKUP(C637,GLAPS정리!$AX$2:$AZ$17,3,0)</f>
        <v>#N/A</v>
      </c>
      <c r="AR637" s="2">
        <f t="shared" si="145"/>
        <v>0</v>
      </c>
      <c r="AX637" s="2" t="e">
        <f>VLOOKUP(L637,GLAPS정리!$V$3:$W$180,2,0)</f>
        <v>#N/A</v>
      </c>
      <c r="BM637" s="2" t="str">
        <f t="shared" si="154"/>
        <v xml:space="preserve"> </v>
      </c>
      <c r="BN637" s="2">
        <f t="shared" si="155"/>
        <v>1</v>
      </c>
      <c r="BR637" s="2" t="str">
        <f t="shared" si="156"/>
        <v/>
      </c>
      <c r="BS637" s="2" t="str">
        <f t="shared" si="157"/>
        <v/>
      </c>
      <c r="BV637" s="2" t="e">
        <f>VLOOKUP(O637,GLAPS정리!$BH$2:$BI$94,2,0)</f>
        <v>#N/A</v>
      </c>
      <c r="BW637" s="2" t="str">
        <f>IF(OR(Z637="동원",Z637="세방",Z637="한타"),"",IFERROR(INDEX(GLAPS정리!$BI$2:$BI$101,MATCH(Z637,GLAPS정리!$BH$2:$BH$101,0)),""))</f>
        <v/>
      </c>
      <c r="BX637" s="2" t="str">
        <f>IF(Z637="","",IFERROR(VLOOKUP(Z637,GLAPS정리!$AX$2:$AZ$17,3,0),""))</f>
        <v/>
      </c>
      <c r="BZ637" s="2" t="e">
        <f>VLOOKUP(H637,GLAPS정리!$L$3:$O$133,2,0)</f>
        <v>#N/A</v>
      </c>
      <c r="CA637" s="2" t="str">
        <f t="shared" si="158"/>
        <v/>
      </c>
      <c r="CL637" s="2" t="e">
        <f>VLOOKUP(AI637,GLAPS정리!$BT$3:$BV$26,3,0)</f>
        <v>#N/A</v>
      </c>
    </row>
    <row r="638" spans="2:90" ht="20.45" customHeight="1">
      <c r="B638" s="13"/>
      <c r="G638" s="3"/>
      <c r="J638" s="3"/>
      <c r="Q638" s="3" t="str">
        <f t="shared" si="146"/>
        <v/>
      </c>
      <c r="R638" s="3" t="str">
        <f t="shared" si="147"/>
        <v/>
      </c>
      <c r="S638" s="3" t="str">
        <f t="shared" si="148"/>
        <v/>
      </c>
      <c r="X638" s="13"/>
      <c r="Y638" s="13"/>
      <c r="Z638" s="91"/>
      <c r="AC638" s="2">
        <f t="shared" si="149"/>
        <v>20</v>
      </c>
      <c r="AD638" s="2" t="str">
        <f>IFERROR(INDEX(GLAPS정리!$D$2:$D$50,MATCH(I638,GLAPS정리!$A$2:$A$50,0)),IFERROR(INDEX(GLAPS정리!$D$2:$D$50,MATCH(I638,GLAPS정리!$B$2:$B$50,0)),""))</f>
        <v/>
      </c>
      <c r="AF638" s="2" t="str">
        <f t="shared" si="150"/>
        <v>KR10</v>
      </c>
      <c r="AI638" s="2" t="e">
        <f>VLOOKUP(F638,GLAPS정리!$G$3:$J$114,2,0)</f>
        <v>#N/A</v>
      </c>
      <c r="AJ638" s="2" t="e">
        <f>IF(Z638="울산정일","KRONS",IF(Z638="울산신항","KRUSN",IF(OR(Z638="선광종합물류(인천여객)",Z638="인천여객(인천여객)"),"KRINF",IF(OR(Z638="선광인천보세(인천신)",Z638="한진인천(인천신)",Z638="선광인천신항(인천신)",Z638="인천더로지스(인천신)"),"KRINN",IF(OR(Z638="인천진아(인천항)",Z638="인천E1(인천항)",Z638="인천SM경인터미널(인천항)",Z638="인천항(인천항)",Z638="인천우련(인천항)",Z638="인천항8부두(인천항)"),"KRINC",VLOOKUP(K638,GLAPS정리!$BB$2:$BC$33,2,0))))))</f>
        <v>#N/A</v>
      </c>
      <c r="AL638" s="2">
        <f t="shared" si="151"/>
        <v>5010001</v>
      </c>
      <c r="AN638" s="70" t="str">
        <f t="shared" si="152"/>
        <v>1900-01-00</v>
      </c>
      <c r="AO638" s="2" t="str">
        <f t="shared" si="153"/>
        <v/>
      </c>
      <c r="AP638" s="2" t="e">
        <f>VLOOKUP(C638,GLAPS정리!$AX$2:$AZ$17,3,0)</f>
        <v>#N/A</v>
      </c>
      <c r="AR638" s="2">
        <f t="shared" si="145"/>
        <v>0</v>
      </c>
      <c r="AX638" s="2" t="e">
        <f>VLOOKUP(L638,GLAPS정리!$V$3:$W$180,2,0)</f>
        <v>#N/A</v>
      </c>
      <c r="BM638" s="2" t="str">
        <f t="shared" si="154"/>
        <v xml:space="preserve"> </v>
      </c>
      <c r="BN638" s="2">
        <f t="shared" si="155"/>
        <v>1</v>
      </c>
      <c r="BR638" s="2" t="str">
        <f t="shared" si="156"/>
        <v/>
      </c>
      <c r="BS638" s="2" t="str">
        <f t="shared" si="157"/>
        <v/>
      </c>
      <c r="BV638" s="2" t="e">
        <f>VLOOKUP(O638,GLAPS정리!$BH$2:$BI$94,2,0)</f>
        <v>#N/A</v>
      </c>
      <c r="BW638" s="2" t="str">
        <f>IF(OR(Z638="동원",Z638="세방",Z638="한타"),"",IFERROR(INDEX(GLAPS정리!$BI$2:$BI$101,MATCH(Z638,GLAPS정리!$BH$2:$BH$101,0)),""))</f>
        <v/>
      </c>
      <c r="BX638" s="2" t="str">
        <f>IF(Z638="","",IFERROR(VLOOKUP(Z638,GLAPS정리!$AX$2:$AZ$17,3,0),""))</f>
        <v/>
      </c>
      <c r="BZ638" s="2" t="e">
        <f>VLOOKUP(H638,GLAPS정리!$L$3:$O$133,2,0)</f>
        <v>#N/A</v>
      </c>
      <c r="CA638" s="2" t="str">
        <f t="shared" si="158"/>
        <v/>
      </c>
      <c r="CL638" s="2" t="e">
        <f>VLOOKUP(AI638,GLAPS정리!$BT$3:$BV$26,3,0)</f>
        <v>#N/A</v>
      </c>
    </row>
    <row r="639" spans="2:90" ht="20.45" customHeight="1">
      <c r="B639" s="13"/>
      <c r="G639" s="3"/>
      <c r="J639" s="3"/>
      <c r="Q639" s="3" t="str">
        <f t="shared" si="146"/>
        <v/>
      </c>
      <c r="R639" s="3" t="str">
        <f t="shared" si="147"/>
        <v/>
      </c>
      <c r="S639" s="3" t="str">
        <f t="shared" si="148"/>
        <v/>
      </c>
      <c r="X639" s="13"/>
      <c r="Y639" s="13"/>
      <c r="Z639" s="91"/>
      <c r="AC639" s="2">
        <f t="shared" si="149"/>
        <v>20</v>
      </c>
      <c r="AD639" s="2" t="str">
        <f>IFERROR(INDEX(GLAPS정리!$D$2:$D$50,MATCH(I639,GLAPS정리!$A$2:$A$50,0)),IFERROR(INDEX(GLAPS정리!$D$2:$D$50,MATCH(I639,GLAPS정리!$B$2:$B$50,0)),""))</f>
        <v/>
      </c>
      <c r="AF639" s="2" t="str">
        <f t="shared" si="150"/>
        <v>KR10</v>
      </c>
      <c r="AI639" s="2" t="e">
        <f>VLOOKUP(F639,GLAPS정리!$G$3:$J$114,2,0)</f>
        <v>#N/A</v>
      </c>
      <c r="AJ639" s="2" t="e">
        <f>IF(Z639="울산정일","KRONS",IF(Z639="울산신항","KRUSN",IF(OR(Z639="선광종합물류(인천여객)",Z639="인천여객(인천여객)"),"KRINF",IF(OR(Z639="선광인천보세(인천신)",Z639="한진인천(인천신)",Z639="선광인천신항(인천신)",Z639="인천더로지스(인천신)"),"KRINN",IF(OR(Z639="인천진아(인천항)",Z639="인천E1(인천항)",Z639="인천SM경인터미널(인천항)",Z639="인천항(인천항)",Z639="인천우련(인천항)",Z639="인천항8부두(인천항)"),"KRINC",VLOOKUP(K639,GLAPS정리!$BB$2:$BC$33,2,0))))))</f>
        <v>#N/A</v>
      </c>
      <c r="AL639" s="2">
        <f t="shared" si="151"/>
        <v>5010001</v>
      </c>
      <c r="AN639" s="70" t="str">
        <f t="shared" si="152"/>
        <v>1900-01-00</v>
      </c>
      <c r="AO639" s="2" t="str">
        <f t="shared" si="153"/>
        <v/>
      </c>
      <c r="AP639" s="2" t="e">
        <f>VLOOKUP(C639,GLAPS정리!$AX$2:$AZ$17,3,0)</f>
        <v>#N/A</v>
      </c>
      <c r="AR639" s="2">
        <f t="shared" si="145"/>
        <v>0</v>
      </c>
      <c r="AX639" s="2" t="e">
        <f>VLOOKUP(L639,GLAPS정리!$V$3:$W$180,2,0)</f>
        <v>#N/A</v>
      </c>
      <c r="BM639" s="2" t="str">
        <f t="shared" si="154"/>
        <v xml:space="preserve"> </v>
      </c>
      <c r="BN639" s="2">
        <f t="shared" si="155"/>
        <v>1</v>
      </c>
      <c r="BR639" s="2" t="str">
        <f t="shared" si="156"/>
        <v/>
      </c>
      <c r="BS639" s="2" t="str">
        <f t="shared" si="157"/>
        <v/>
      </c>
      <c r="BV639" s="2" t="e">
        <f>VLOOKUP(O639,GLAPS정리!$BH$2:$BI$94,2,0)</f>
        <v>#N/A</v>
      </c>
      <c r="BW639" s="2" t="str">
        <f>IF(OR(Z639="동원",Z639="세방",Z639="한타"),"",IFERROR(INDEX(GLAPS정리!$BI$2:$BI$101,MATCH(Z639,GLAPS정리!$BH$2:$BH$101,0)),""))</f>
        <v/>
      </c>
      <c r="BX639" s="2" t="str">
        <f>IF(Z639="","",IFERROR(VLOOKUP(Z639,GLAPS정리!$AX$2:$AZ$17,3,0),""))</f>
        <v/>
      </c>
      <c r="BZ639" s="2" t="e">
        <f>VLOOKUP(H639,GLAPS정리!$L$3:$O$133,2,0)</f>
        <v>#N/A</v>
      </c>
      <c r="CA639" s="2" t="str">
        <f t="shared" si="158"/>
        <v/>
      </c>
      <c r="CL639" s="2" t="e">
        <f>VLOOKUP(AI639,GLAPS정리!$BT$3:$BV$26,3,0)</f>
        <v>#N/A</v>
      </c>
    </row>
    <row r="640" spans="2:90" ht="20.45" customHeight="1">
      <c r="B640" s="13"/>
      <c r="G640" s="3"/>
      <c r="J640" s="3"/>
      <c r="Q640" s="3" t="str">
        <f t="shared" si="146"/>
        <v/>
      </c>
      <c r="R640" s="3" t="str">
        <f t="shared" si="147"/>
        <v/>
      </c>
      <c r="S640" s="3" t="str">
        <f t="shared" si="148"/>
        <v/>
      </c>
      <c r="X640" s="13"/>
      <c r="Y640" s="13"/>
      <c r="Z640" s="91"/>
      <c r="AC640" s="2">
        <f t="shared" si="149"/>
        <v>20</v>
      </c>
      <c r="AD640" s="2" t="str">
        <f>IFERROR(INDEX(GLAPS정리!$D$2:$D$50,MATCH(I640,GLAPS정리!$A$2:$A$50,0)),IFERROR(INDEX(GLAPS정리!$D$2:$D$50,MATCH(I640,GLAPS정리!$B$2:$B$50,0)),""))</f>
        <v/>
      </c>
      <c r="AF640" s="2" t="str">
        <f t="shared" si="150"/>
        <v>KR10</v>
      </c>
      <c r="AI640" s="2" t="e">
        <f>VLOOKUP(F640,GLAPS정리!$G$3:$J$114,2,0)</f>
        <v>#N/A</v>
      </c>
      <c r="AJ640" s="2" t="e">
        <f>IF(Z640="울산정일","KRONS",IF(Z640="울산신항","KRUSN",IF(OR(Z640="선광종합물류(인천여객)",Z640="인천여객(인천여객)"),"KRINF",IF(OR(Z640="선광인천보세(인천신)",Z640="한진인천(인천신)",Z640="선광인천신항(인천신)",Z640="인천더로지스(인천신)"),"KRINN",IF(OR(Z640="인천진아(인천항)",Z640="인천E1(인천항)",Z640="인천SM경인터미널(인천항)",Z640="인천항(인천항)",Z640="인천우련(인천항)",Z640="인천항8부두(인천항)"),"KRINC",VLOOKUP(K640,GLAPS정리!$BB$2:$BC$33,2,0))))))</f>
        <v>#N/A</v>
      </c>
      <c r="AL640" s="2">
        <f t="shared" si="151"/>
        <v>5010001</v>
      </c>
      <c r="AN640" s="70" t="str">
        <f t="shared" si="152"/>
        <v>1900-01-00</v>
      </c>
      <c r="AO640" s="2" t="str">
        <f t="shared" si="153"/>
        <v/>
      </c>
      <c r="AP640" s="2" t="e">
        <f>VLOOKUP(C640,GLAPS정리!$AX$2:$AZ$17,3,0)</f>
        <v>#N/A</v>
      </c>
      <c r="AR640" s="2">
        <f t="shared" si="145"/>
        <v>0</v>
      </c>
      <c r="AX640" s="2" t="e">
        <f>VLOOKUP(L640,GLAPS정리!$V$3:$W$180,2,0)</f>
        <v>#N/A</v>
      </c>
      <c r="BM640" s="2" t="str">
        <f t="shared" si="154"/>
        <v xml:space="preserve"> </v>
      </c>
      <c r="BN640" s="2">
        <f t="shared" si="155"/>
        <v>1</v>
      </c>
      <c r="BR640" s="2" t="str">
        <f t="shared" si="156"/>
        <v/>
      </c>
      <c r="BS640" s="2" t="str">
        <f t="shared" si="157"/>
        <v/>
      </c>
      <c r="BV640" s="2" t="e">
        <f>VLOOKUP(O640,GLAPS정리!$BH$2:$BI$94,2,0)</f>
        <v>#N/A</v>
      </c>
      <c r="BW640" s="2" t="str">
        <f>IF(OR(Z640="동원",Z640="세방",Z640="한타"),"",IFERROR(INDEX(GLAPS정리!$BI$2:$BI$101,MATCH(Z640,GLAPS정리!$BH$2:$BH$101,0)),""))</f>
        <v/>
      </c>
      <c r="BX640" s="2" t="str">
        <f>IF(Z640="","",IFERROR(VLOOKUP(Z640,GLAPS정리!$AX$2:$AZ$17,3,0),""))</f>
        <v/>
      </c>
      <c r="BZ640" s="2" t="e">
        <f>VLOOKUP(H640,GLAPS정리!$L$3:$O$133,2,0)</f>
        <v>#N/A</v>
      </c>
      <c r="CA640" s="2" t="str">
        <f t="shared" si="158"/>
        <v/>
      </c>
      <c r="CL640" s="2" t="e">
        <f>VLOOKUP(AI640,GLAPS정리!$BT$3:$BV$26,3,0)</f>
        <v>#N/A</v>
      </c>
    </row>
    <row r="641" spans="2:90" ht="20.45" customHeight="1">
      <c r="B641" s="13"/>
      <c r="G641" s="3"/>
      <c r="J641" s="3"/>
      <c r="Q641" s="3" t="str">
        <f t="shared" si="146"/>
        <v/>
      </c>
      <c r="R641" s="3" t="str">
        <f t="shared" si="147"/>
        <v/>
      </c>
      <c r="S641" s="3" t="str">
        <f t="shared" si="148"/>
        <v/>
      </c>
      <c r="X641" s="13"/>
      <c r="Y641" s="13"/>
      <c r="Z641" s="91"/>
      <c r="AC641" s="2">
        <f t="shared" si="149"/>
        <v>20</v>
      </c>
      <c r="AD641" s="2" t="str">
        <f>IFERROR(INDEX(GLAPS정리!$D$2:$D$50,MATCH(I641,GLAPS정리!$A$2:$A$50,0)),IFERROR(INDEX(GLAPS정리!$D$2:$D$50,MATCH(I641,GLAPS정리!$B$2:$B$50,0)),""))</f>
        <v/>
      </c>
      <c r="AF641" s="2" t="str">
        <f t="shared" si="150"/>
        <v>KR10</v>
      </c>
      <c r="AI641" s="2" t="e">
        <f>VLOOKUP(F641,GLAPS정리!$G$3:$J$114,2,0)</f>
        <v>#N/A</v>
      </c>
      <c r="AJ641" s="2" t="e">
        <f>IF(Z641="울산정일","KRONS",IF(Z641="울산신항","KRUSN",IF(OR(Z641="선광종합물류(인천여객)",Z641="인천여객(인천여객)"),"KRINF",IF(OR(Z641="선광인천보세(인천신)",Z641="한진인천(인천신)",Z641="선광인천신항(인천신)",Z641="인천더로지스(인천신)"),"KRINN",IF(OR(Z641="인천진아(인천항)",Z641="인천E1(인천항)",Z641="인천SM경인터미널(인천항)",Z641="인천항(인천항)",Z641="인천우련(인천항)",Z641="인천항8부두(인천항)"),"KRINC",VLOOKUP(K641,GLAPS정리!$BB$2:$BC$33,2,0))))))</f>
        <v>#N/A</v>
      </c>
      <c r="AL641" s="2">
        <f t="shared" si="151"/>
        <v>5010001</v>
      </c>
      <c r="AN641" s="70" t="str">
        <f t="shared" si="152"/>
        <v>1900-01-00</v>
      </c>
      <c r="AO641" s="2" t="str">
        <f t="shared" si="153"/>
        <v/>
      </c>
      <c r="AP641" s="2" t="e">
        <f>VLOOKUP(C641,GLAPS정리!$AX$2:$AZ$17,3,0)</f>
        <v>#N/A</v>
      </c>
      <c r="AR641" s="2">
        <f t="shared" si="145"/>
        <v>0</v>
      </c>
      <c r="AX641" s="2" t="e">
        <f>VLOOKUP(L641,GLAPS정리!$V$3:$W$180,2,0)</f>
        <v>#N/A</v>
      </c>
      <c r="BM641" s="2" t="str">
        <f t="shared" si="154"/>
        <v xml:space="preserve"> </v>
      </c>
      <c r="BN641" s="2">
        <f t="shared" si="155"/>
        <v>1</v>
      </c>
      <c r="BR641" s="2" t="str">
        <f t="shared" si="156"/>
        <v/>
      </c>
      <c r="BS641" s="2" t="str">
        <f t="shared" si="157"/>
        <v/>
      </c>
      <c r="BV641" s="2" t="e">
        <f>VLOOKUP(O641,GLAPS정리!$BH$2:$BI$94,2,0)</f>
        <v>#N/A</v>
      </c>
      <c r="BW641" s="2" t="str">
        <f>IF(OR(Z641="동원",Z641="세방",Z641="한타"),"",IFERROR(INDEX(GLAPS정리!$BI$2:$BI$101,MATCH(Z641,GLAPS정리!$BH$2:$BH$101,0)),""))</f>
        <v/>
      </c>
      <c r="BX641" s="2" t="str">
        <f>IF(Z641="","",IFERROR(VLOOKUP(Z641,GLAPS정리!$AX$2:$AZ$17,3,0),""))</f>
        <v/>
      </c>
      <c r="BZ641" s="2" t="e">
        <f>VLOOKUP(H641,GLAPS정리!$L$3:$O$133,2,0)</f>
        <v>#N/A</v>
      </c>
      <c r="CA641" s="2" t="str">
        <f t="shared" si="158"/>
        <v/>
      </c>
      <c r="CL641" s="2" t="e">
        <f>VLOOKUP(AI641,GLAPS정리!$BT$3:$BV$26,3,0)</f>
        <v>#N/A</v>
      </c>
    </row>
    <row r="642" spans="2:90" ht="20.45" customHeight="1">
      <c r="B642" s="13"/>
      <c r="G642" s="3"/>
      <c r="J642" s="3"/>
      <c r="Q642" s="3" t="str">
        <f t="shared" si="146"/>
        <v/>
      </c>
      <c r="R642" s="3" t="str">
        <f t="shared" si="147"/>
        <v/>
      </c>
      <c r="S642" s="3" t="str">
        <f t="shared" si="148"/>
        <v/>
      </c>
      <c r="X642" s="13"/>
      <c r="Y642" s="13"/>
      <c r="Z642" s="91"/>
      <c r="AC642" s="2">
        <f t="shared" si="149"/>
        <v>20</v>
      </c>
      <c r="AD642" s="2" t="str">
        <f>IFERROR(INDEX(GLAPS정리!$D$2:$D$50,MATCH(I642,GLAPS정리!$A$2:$A$50,0)),IFERROR(INDEX(GLAPS정리!$D$2:$D$50,MATCH(I642,GLAPS정리!$B$2:$B$50,0)),""))</f>
        <v/>
      </c>
      <c r="AF642" s="2" t="str">
        <f t="shared" si="150"/>
        <v>KR10</v>
      </c>
      <c r="AI642" s="2" t="e">
        <f>VLOOKUP(F642,GLAPS정리!$G$3:$J$114,2,0)</f>
        <v>#N/A</v>
      </c>
      <c r="AJ642" s="2" t="e">
        <f>IF(Z642="울산정일","KRONS",IF(Z642="울산신항","KRUSN",IF(OR(Z642="선광종합물류(인천여객)",Z642="인천여객(인천여객)"),"KRINF",IF(OR(Z642="선광인천보세(인천신)",Z642="한진인천(인천신)",Z642="선광인천신항(인천신)",Z642="인천더로지스(인천신)"),"KRINN",IF(OR(Z642="인천진아(인천항)",Z642="인천E1(인천항)",Z642="인천SM경인터미널(인천항)",Z642="인천항(인천항)",Z642="인천우련(인천항)",Z642="인천항8부두(인천항)"),"KRINC",VLOOKUP(K642,GLAPS정리!$BB$2:$BC$33,2,0))))))</f>
        <v>#N/A</v>
      </c>
      <c r="AL642" s="2">
        <f t="shared" si="151"/>
        <v>5010001</v>
      </c>
      <c r="AN642" s="70" t="str">
        <f t="shared" si="152"/>
        <v>1900-01-00</v>
      </c>
      <c r="AO642" s="2" t="str">
        <f t="shared" si="153"/>
        <v/>
      </c>
      <c r="AP642" s="2" t="e">
        <f>VLOOKUP(C642,GLAPS정리!$AX$2:$AZ$17,3,0)</f>
        <v>#N/A</v>
      </c>
      <c r="AR642" s="2">
        <f t="shared" si="145"/>
        <v>0</v>
      </c>
      <c r="AX642" s="2" t="e">
        <f>VLOOKUP(L642,GLAPS정리!$V$3:$W$180,2,0)</f>
        <v>#N/A</v>
      </c>
      <c r="BM642" s="2" t="str">
        <f t="shared" si="154"/>
        <v xml:space="preserve"> </v>
      </c>
      <c r="BN642" s="2">
        <f t="shared" si="155"/>
        <v>1</v>
      </c>
      <c r="BR642" s="2" t="str">
        <f t="shared" si="156"/>
        <v/>
      </c>
      <c r="BS642" s="2" t="str">
        <f t="shared" si="157"/>
        <v/>
      </c>
      <c r="BV642" s="2" t="e">
        <f>VLOOKUP(O642,GLAPS정리!$BH$2:$BI$94,2,0)</f>
        <v>#N/A</v>
      </c>
      <c r="BW642" s="2" t="str">
        <f>IF(OR(Z642="동원",Z642="세방",Z642="한타"),"",IFERROR(INDEX(GLAPS정리!$BI$2:$BI$101,MATCH(Z642,GLAPS정리!$BH$2:$BH$101,0)),""))</f>
        <v/>
      </c>
      <c r="BX642" s="2" t="str">
        <f>IF(Z642="","",IFERROR(VLOOKUP(Z642,GLAPS정리!$AX$2:$AZ$17,3,0),""))</f>
        <v/>
      </c>
      <c r="BZ642" s="2" t="e">
        <f>VLOOKUP(H642,GLAPS정리!$L$3:$O$133,2,0)</f>
        <v>#N/A</v>
      </c>
      <c r="CA642" s="2" t="str">
        <f t="shared" si="158"/>
        <v/>
      </c>
      <c r="CL642" s="2" t="e">
        <f>VLOOKUP(AI642,GLAPS정리!$BT$3:$BV$26,3,0)</f>
        <v>#N/A</v>
      </c>
    </row>
    <row r="643" spans="2:90" ht="20.45" customHeight="1">
      <c r="B643" s="13"/>
      <c r="G643" s="3"/>
      <c r="J643" s="3"/>
      <c r="Q643" s="3" t="str">
        <f t="shared" si="146"/>
        <v/>
      </c>
      <c r="R643" s="3" t="str">
        <f t="shared" si="147"/>
        <v/>
      </c>
      <c r="S643" s="3" t="str">
        <f t="shared" si="148"/>
        <v/>
      </c>
      <c r="X643" s="13"/>
      <c r="Y643" s="13"/>
      <c r="Z643" s="91"/>
      <c r="AC643" s="2">
        <f t="shared" si="149"/>
        <v>20</v>
      </c>
      <c r="AD643" s="2" t="str">
        <f>IFERROR(INDEX(GLAPS정리!$D$2:$D$50,MATCH(I643,GLAPS정리!$A$2:$A$50,0)),IFERROR(INDEX(GLAPS정리!$D$2:$D$50,MATCH(I643,GLAPS정리!$B$2:$B$50,0)),""))</f>
        <v/>
      </c>
      <c r="AF643" s="2" t="str">
        <f t="shared" si="150"/>
        <v>KR10</v>
      </c>
      <c r="AI643" s="2" t="e">
        <f>VLOOKUP(F643,GLAPS정리!$G$3:$J$114,2,0)</f>
        <v>#N/A</v>
      </c>
      <c r="AJ643" s="2" t="e">
        <f>IF(Z643="울산정일","KRONS",IF(Z643="울산신항","KRUSN",IF(OR(Z643="선광종합물류(인천여객)",Z643="인천여객(인천여객)"),"KRINF",IF(OR(Z643="선광인천보세(인천신)",Z643="한진인천(인천신)",Z643="선광인천신항(인천신)",Z643="인천더로지스(인천신)"),"KRINN",IF(OR(Z643="인천진아(인천항)",Z643="인천E1(인천항)",Z643="인천SM경인터미널(인천항)",Z643="인천항(인천항)",Z643="인천우련(인천항)",Z643="인천항8부두(인천항)"),"KRINC",VLOOKUP(K643,GLAPS정리!$BB$2:$BC$33,2,0))))))</f>
        <v>#N/A</v>
      </c>
      <c r="AL643" s="2">
        <f t="shared" si="151"/>
        <v>5010001</v>
      </c>
      <c r="AN643" s="70" t="str">
        <f t="shared" si="152"/>
        <v>1900-01-00</v>
      </c>
      <c r="AO643" s="2" t="str">
        <f t="shared" si="153"/>
        <v/>
      </c>
      <c r="AP643" s="2" t="e">
        <f>VLOOKUP(C643,GLAPS정리!$AX$2:$AZ$17,3,0)</f>
        <v>#N/A</v>
      </c>
      <c r="AR643" s="2">
        <f t="shared" ref="AR643:AR706" si="159">X643</f>
        <v>0</v>
      </c>
      <c r="AX643" s="2" t="e">
        <f>VLOOKUP(L643,GLAPS정리!$V$3:$W$180,2,0)</f>
        <v>#N/A</v>
      </c>
      <c r="BM643" s="2" t="str">
        <f t="shared" si="154"/>
        <v xml:space="preserve"> </v>
      </c>
      <c r="BN643" s="2">
        <f t="shared" si="155"/>
        <v>1</v>
      </c>
      <c r="BR643" s="2" t="str">
        <f t="shared" si="156"/>
        <v/>
      </c>
      <c r="BS643" s="2" t="str">
        <f t="shared" si="157"/>
        <v/>
      </c>
      <c r="BV643" s="2" t="e">
        <f>VLOOKUP(O643,GLAPS정리!$BH$2:$BI$94,2,0)</f>
        <v>#N/A</v>
      </c>
      <c r="BW643" s="2" t="str">
        <f>IF(OR(Z643="동원",Z643="세방",Z643="한타"),"",IFERROR(INDEX(GLAPS정리!$BI$2:$BI$101,MATCH(Z643,GLAPS정리!$BH$2:$BH$101,0)),""))</f>
        <v/>
      </c>
      <c r="BX643" s="2" t="str">
        <f>IF(Z643="","",IFERROR(VLOOKUP(Z643,GLAPS정리!$AX$2:$AZ$17,3,0),""))</f>
        <v/>
      </c>
      <c r="BZ643" s="2" t="e">
        <f>VLOOKUP(H643,GLAPS정리!$L$3:$O$133,2,0)</f>
        <v>#N/A</v>
      </c>
      <c r="CA643" s="2" t="str">
        <f t="shared" si="158"/>
        <v/>
      </c>
      <c r="CL643" s="2" t="e">
        <f>VLOOKUP(AI643,GLAPS정리!$BT$3:$BV$26,3,0)</f>
        <v>#N/A</v>
      </c>
    </row>
    <row r="644" spans="2:90" ht="20.45" customHeight="1">
      <c r="B644" s="13"/>
      <c r="G644" s="3"/>
      <c r="J644" s="3"/>
      <c r="Q644" s="3" t="str">
        <f t="shared" si="146"/>
        <v/>
      </c>
      <c r="R644" s="3" t="str">
        <f t="shared" si="147"/>
        <v/>
      </c>
      <c r="S644" s="3" t="str">
        <f t="shared" si="148"/>
        <v/>
      </c>
      <c r="X644" s="13"/>
      <c r="Y644" s="13"/>
      <c r="Z644" s="91"/>
      <c r="AC644" s="2">
        <f t="shared" si="149"/>
        <v>20</v>
      </c>
      <c r="AD644" s="2" t="str">
        <f>IFERROR(INDEX(GLAPS정리!$D$2:$D$50,MATCH(I644,GLAPS정리!$A$2:$A$50,0)),IFERROR(INDEX(GLAPS정리!$D$2:$D$50,MATCH(I644,GLAPS정리!$B$2:$B$50,0)),""))</f>
        <v/>
      </c>
      <c r="AF644" s="2" t="str">
        <f t="shared" si="150"/>
        <v>KR10</v>
      </c>
      <c r="AI644" s="2" t="e">
        <f>VLOOKUP(F644,GLAPS정리!$G$3:$J$114,2,0)</f>
        <v>#N/A</v>
      </c>
      <c r="AJ644" s="2" t="e">
        <f>IF(Z644="울산정일","KRONS",IF(Z644="울산신항","KRUSN",IF(OR(Z644="선광종합물류(인천여객)",Z644="인천여객(인천여객)"),"KRINF",IF(OR(Z644="선광인천보세(인천신)",Z644="한진인천(인천신)",Z644="선광인천신항(인천신)",Z644="인천더로지스(인천신)"),"KRINN",IF(OR(Z644="인천진아(인천항)",Z644="인천E1(인천항)",Z644="인천SM경인터미널(인천항)",Z644="인천항(인천항)",Z644="인천우련(인천항)",Z644="인천항8부두(인천항)"),"KRINC",VLOOKUP(K644,GLAPS정리!$BB$2:$BC$33,2,0))))))</f>
        <v>#N/A</v>
      </c>
      <c r="AL644" s="2">
        <f t="shared" si="151"/>
        <v>5010001</v>
      </c>
      <c r="AN644" s="70" t="str">
        <f t="shared" si="152"/>
        <v>1900-01-00</v>
      </c>
      <c r="AO644" s="2" t="str">
        <f t="shared" si="153"/>
        <v/>
      </c>
      <c r="AP644" s="2" t="e">
        <f>VLOOKUP(C644,GLAPS정리!$AX$2:$AZ$17,3,0)</f>
        <v>#N/A</v>
      </c>
      <c r="AR644" s="2">
        <f t="shared" si="159"/>
        <v>0</v>
      </c>
      <c r="AX644" s="2" t="e">
        <f>VLOOKUP(L644,GLAPS정리!$V$3:$W$180,2,0)</f>
        <v>#N/A</v>
      </c>
      <c r="BM644" s="2" t="str">
        <f t="shared" si="154"/>
        <v xml:space="preserve"> </v>
      </c>
      <c r="BN644" s="2">
        <f t="shared" si="155"/>
        <v>1</v>
      </c>
      <c r="BR644" s="2" t="str">
        <f t="shared" si="156"/>
        <v/>
      </c>
      <c r="BS644" s="2" t="str">
        <f t="shared" si="157"/>
        <v/>
      </c>
      <c r="BV644" s="2" t="e">
        <f>VLOOKUP(O644,GLAPS정리!$BH$2:$BI$94,2,0)</f>
        <v>#N/A</v>
      </c>
      <c r="BW644" s="2" t="str">
        <f>IF(OR(Z644="동원",Z644="세방",Z644="한타"),"",IFERROR(INDEX(GLAPS정리!$BI$2:$BI$101,MATCH(Z644,GLAPS정리!$BH$2:$BH$101,0)),""))</f>
        <v/>
      </c>
      <c r="BX644" s="2" t="str">
        <f>IF(Z644="","",IFERROR(VLOOKUP(Z644,GLAPS정리!$AX$2:$AZ$17,3,0),""))</f>
        <v/>
      </c>
      <c r="BZ644" s="2" t="e">
        <f>VLOOKUP(H644,GLAPS정리!$L$3:$O$133,2,0)</f>
        <v>#N/A</v>
      </c>
      <c r="CA644" s="2" t="str">
        <f t="shared" si="158"/>
        <v/>
      </c>
      <c r="CL644" s="2" t="e">
        <f>VLOOKUP(AI644,GLAPS정리!$BT$3:$BV$26,3,0)</f>
        <v>#N/A</v>
      </c>
    </row>
    <row r="645" spans="2:90" ht="20.45" customHeight="1">
      <c r="B645" s="13"/>
      <c r="G645" s="3"/>
      <c r="J645" s="3"/>
      <c r="Q645" s="3" t="str">
        <f t="shared" si="146"/>
        <v/>
      </c>
      <c r="R645" s="3" t="str">
        <f t="shared" si="147"/>
        <v/>
      </c>
      <c r="S645" s="3" t="str">
        <f t="shared" si="148"/>
        <v/>
      </c>
      <c r="X645" s="13"/>
      <c r="Y645" s="13"/>
      <c r="Z645" s="91"/>
      <c r="AC645" s="2">
        <f t="shared" si="149"/>
        <v>20</v>
      </c>
      <c r="AD645" s="2" t="str">
        <f>IFERROR(INDEX(GLAPS정리!$D$2:$D$50,MATCH(I645,GLAPS정리!$A$2:$A$50,0)),IFERROR(INDEX(GLAPS정리!$D$2:$D$50,MATCH(I645,GLAPS정리!$B$2:$B$50,0)),""))</f>
        <v/>
      </c>
      <c r="AF645" s="2" t="str">
        <f t="shared" si="150"/>
        <v>KR10</v>
      </c>
      <c r="AI645" s="2" t="e">
        <f>VLOOKUP(F645,GLAPS정리!$G$3:$J$114,2,0)</f>
        <v>#N/A</v>
      </c>
      <c r="AJ645" s="2" t="e">
        <f>IF(Z645="울산정일","KRONS",IF(Z645="울산신항","KRUSN",IF(OR(Z645="선광종합물류(인천여객)",Z645="인천여객(인천여객)"),"KRINF",IF(OR(Z645="선광인천보세(인천신)",Z645="한진인천(인천신)",Z645="선광인천신항(인천신)",Z645="인천더로지스(인천신)"),"KRINN",IF(OR(Z645="인천진아(인천항)",Z645="인천E1(인천항)",Z645="인천SM경인터미널(인천항)",Z645="인천항(인천항)",Z645="인천우련(인천항)",Z645="인천항8부두(인천항)"),"KRINC",VLOOKUP(K645,GLAPS정리!$BB$2:$BC$33,2,0))))))</f>
        <v>#N/A</v>
      </c>
      <c r="AL645" s="2">
        <f t="shared" si="151"/>
        <v>5010001</v>
      </c>
      <c r="AN645" s="70" t="str">
        <f t="shared" si="152"/>
        <v>1900-01-00</v>
      </c>
      <c r="AO645" s="2" t="str">
        <f t="shared" si="153"/>
        <v/>
      </c>
      <c r="AP645" s="2" t="e">
        <f>VLOOKUP(C645,GLAPS정리!$AX$2:$AZ$17,3,0)</f>
        <v>#N/A</v>
      </c>
      <c r="AR645" s="2">
        <f t="shared" si="159"/>
        <v>0</v>
      </c>
      <c r="AX645" s="2" t="e">
        <f>VLOOKUP(L645,GLAPS정리!$V$3:$W$180,2,0)</f>
        <v>#N/A</v>
      </c>
      <c r="BM645" s="2" t="str">
        <f t="shared" si="154"/>
        <v xml:space="preserve"> </v>
      </c>
      <c r="BN645" s="2">
        <f t="shared" si="155"/>
        <v>1</v>
      </c>
      <c r="BR645" s="2" t="str">
        <f t="shared" si="156"/>
        <v/>
      </c>
      <c r="BS645" s="2" t="str">
        <f t="shared" si="157"/>
        <v/>
      </c>
      <c r="BV645" s="2" t="e">
        <f>VLOOKUP(O645,GLAPS정리!$BH$2:$BI$94,2,0)</f>
        <v>#N/A</v>
      </c>
      <c r="BW645" s="2" t="str">
        <f>IF(OR(Z645="동원",Z645="세방",Z645="한타"),"",IFERROR(INDEX(GLAPS정리!$BI$2:$BI$101,MATCH(Z645,GLAPS정리!$BH$2:$BH$101,0)),""))</f>
        <v/>
      </c>
      <c r="BX645" s="2" t="str">
        <f>IF(Z645="","",IFERROR(VLOOKUP(Z645,GLAPS정리!$AX$2:$AZ$17,3,0),""))</f>
        <v/>
      </c>
      <c r="BZ645" s="2" t="e">
        <f>VLOOKUP(H645,GLAPS정리!$L$3:$O$133,2,0)</f>
        <v>#N/A</v>
      </c>
      <c r="CA645" s="2" t="str">
        <f t="shared" si="158"/>
        <v/>
      </c>
      <c r="CL645" s="2" t="e">
        <f>VLOOKUP(AI645,GLAPS정리!$BT$3:$BV$26,3,0)</f>
        <v>#N/A</v>
      </c>
    </row>
    <row r="646" spans="2:90" ht="20.45" customHeight="1">
      <c r="B646" s="13"/>
      <c r="G646" s="3"/>
      <c r="J646" s="3"/>
      <c r="Q646" s="3" t="str">
        <f t="shared" si="146"/>
        <v/>
      </c>
      <c r="R646" s="3" t="str">
        <f t="shared" si="147"/>
        <v/>
      </c>
      <c r="S646" s="3" t="str">
        <f t="shared" si="148"/>
        <v/>
      </c>
      <c r="X646" s="13"/>
      <c r="Y646" s="13"/>
      <c r="Z646" s="91"/>
      <c r="AC646" s="2">
        <f t="shared" si="149"/>
        <v>20</v>
      </c>
      <c r="AD646" s="2" t="str">
        <f>IFERROR(INDEX(GLAPS정리!$D$2:$D$50,MATCH(I646,GLAPS정리!$A$2:$A$50,0)),IFERROR(INDEX(GLAPS정리!$D$2:$D$50,MATCH(I646,GLAPS정리!$B$2:$B$50,0)),""))</f>
        <v/>
      </c>
      <c r="AF646" s="2" t="str">
        <f t="shared" si="150"/>
        <v>KR10</v>
      </c>
      <c r="AI646" s="2" t="e">
        <f>VLOOKUP(F646,GLAPS정리!$G$3:$J$114,2,0)</f>
        <v>#N/A</v>
      </c>
      <c r="AJ646" s="2" t="e">
        <f>IF(Z646="울산정일","KRONS",IF(Z646="울산신항","KRUSN",IF(OR(Z646="선광종합물류(인천여객)",Z646="인천여객(인천여객)"),"KRINF",IF(OR(Z646="선광인천보세(인천신)",Z646="한진인천(인천신)",Z646="선광인천신항(인천신)",Z646="인천더로지스(인천신)"),"KRINN",IF(OR(Z646="인천진아(인천항)",Z646="인천E1(인천항)",Z646="인천SM경인터미널(인천항)",Z646="인천항(인천항)",Z646="인천우련(인천항)",Z646="인천항8부두(인천항)"),"KRINC",VLOOKUP(K646,GLAPS정리!$BB$2:$BC$33,2,0))))))</f>
        <v>#N/A</v>
      </c>
      <c r="AL646" s="2">
        <f t="shared" si="151"/>
        <v>5010001</v>
      </c>
      <c r="AN646" s="70" t="str">
        <f t="shared" si="152"/>
        <v>1900-01-00</v>
      </c>
      <c r="AO646" s="2" t="str">
        <f t="shared" si="153"/>
        <v/>
      </c>
      <c r="AP646" s="2" t="e">
        <f>VLOOKUP(C646,GLAPS정리!$AX$2:$AZ$17,3,0)</f>
        <v>#N/A</v>
      </c>
      <c r="AR646" s="2">
        <f t="shared" si="159"/>
        <v>0</v>
      </c>
      <c r="AX646" s="2" t="e">
        <f>VLOOKUP(L646,GLAPS정리!$V$3:$W$180,2,0)</f>
        <v>#N/A</v>
      </c>
      <c r="BM646" s="2" t="str">
        <f t="shared" si="154"/>
        <v xml:space="preserve"> </v>
      </c>
      <c r="BN646" s="2">
        <f t="shared" si="155"/>
        <v>1</v>
      </c>
      <c r="BR646" s="2" t="str">
        <f t="shared" si="156"/>
        <v/>
      </c>
      <c r="BS646" s="2" t="str">
        <f t="shared" si="157"/>
        <v/>
      </c>
      <c r="BV646" s="2" t="e">
        <f>VLOOKUP(O646,GLAPS정리!$BH$2:$BI$94,2,0)</f>
        <v>#N/A</v>
      </c>
      <c r="BW646" s="2" t="str">
        <f>IF(OR(Z646="동원",Z646="세방",Z646="한타"),"",IFERROR(INDEX(GLAPS정리!$BI$2:$BI$101,MATCH(Z646,GLAPS정리!$BH$2:$BH$101,0)),""))</f>
        <v/>
      </c>
      <c r="BX646" s="2" t="str">
        <f>IF(Z646="","",IFERROR(VLOOKUP(Z646,GLAPS정리!$AX$2:$AZ$17,3,0),""))</f>
        <v/>
      </c>
      <c r="BZ646" s="2" t="e">
        <f>VLOOKUP(H646,GLAPS정리!$L$3:$O$133,2,0)</f>
        <v>#N/A</v>
      </c>
      <c r="CA646" s="2" t="str">
        <f t="shared" si="158"/>
        <v/>
      </c>
      <c r="CL646" s="2" t="e">
        <f>VLOOKUP(AI646,GLAPS정리!$BT$3:$BV$26,3,0)</f>
        <v>#N/A</v>
      </c>
    </row>
    <row r="647" spans="2:90" ht="20.45" customHeight="1">
      <c r="B647" s="13"/>
      <c r="G647" s="3"/>
      <c r="J647" s="3"/>
      <c r="Q647" s="3" t="str">
        <f t="shared" si="146"/>
        <v/>
      </c>
      <c r="R647" s="3" t="str">
        <f t="shared" si="147"/>
        <v/>
      </c>
      <c r="S647" s="3" t="str">
        <f t="shared" si="148"/>
        <v/>
      </c>
      <c r="X647" s="13"/>
      <c r="Y647" s="13"/>
      <c r="Z647" s="91"/>
      <c r="AC647" s="2">
        <f t="shared" si="149"/>
        <v>20</v>
      </c>
      <c r="AD647" s="2" t="str">
        <f>IFERROR(INDEX(GLAPS정리!$D$2:$D$50,MATCH(I647,GLAPS정리!$A$2:$A$50,0)),IFERROR(INDEX(GLAPS정리!$D$2:$D$50,MATCH(I647,GLAPS정리!$B$2:$B$50,0)),""))</f>
        <v/>
      </c>
      <c r="AF647" s="2" t="str">
        <f t="shared" si="150"/>
        <v>KR10</v>
      </c>
      <c r="AI647" s="2" t="e">
        <f>VLOOKUP(F647,GLAPS정리!$G$3:$J$114,2,0)</f>
        <v>#N/A</v>
      </c>
      <c r="AJ647" s="2" t="e">
        <f>IF(Z647="울산정일","KRONS",IF(Z647="울산신항","KRUSN",IF(OR(Z647="선광종합물류(인천여객)",Z647="인천여객(인천여객)"),"KRINF",IF(OR(Z647="선광인천보세(인천신)",Z647="한진인천(인천신)",Z647="선광인천신항(인천신)",Z647="인천더로지스(인천신)"),"KRINN",IF(OR(Z647="인천진아(인천항)",Z647="인천E1(인천항)",Z647="인천SM경인터미널(인천항)",Z647="인천항(인천항)",Z647="인천우련(인천항)",Z647="인천항8부두(인천항)"),"KRINC",VLOOKUP(K647,GLAPS정리!$BB$2:$BC$33,2,0))))))</f>
        <v>#N/A</v>
      </c>
      <c r="AL647" s="2">
        <f t="shared" si="151"/>
        <v>5010001</v>
      </c>
      <c r="AN647" s="70" t="str">
        <f t="shared" si="152"/>
        <v>1900-01-00</v>
      </c>
      <c r="AO647" s="2" t="str">
        <f t="shared" si="153"/>
        <v/>
      </c>
      <c r="AP647" s="2" t="e">
        <f>VLOOKUP(C647,GLAPS정리!$AX$2:$AZ$17,3,0)</f>
        <v>#N/A</v>
      </c>
      <c r="AR647" s="2">
        <f t="shared" si="159"/>
        <v>0</v>
      </c>
      <c r="AX647" s="2" t="e">
        <f>VLOOKUP(L647,GLAPS정리!$V$3:$W$180,2,0)</f>
        <v>#N/A</v>
      </c>
      <c r="BM647" s="2" t="str">
        <f t="shared" si="154"/>
        <v xml:space="preserve"> </v>
      </c>
      <c r="BN647" s="2">
        <f t="shared" si="155"/>
        <v>1</v>
      </c>
      <c r="BR647" s="2" t="str">
        <f t="shared" si="156"/>
        <v/>
      </c>
      <c r="BS647" s="2" t="str">
        <f t="shared" si="157"/>
        <v/>
      </c>
      <c r="BV647" s="2" t="e">
        <f>VLOOKUP(O647,GLAPS정리!$BH$2:$BI$94,2,0)</f>
        <v>#N/A</v>
      </c>
      <c r="BW647" s="2" t="str">
        <f>IF(OR(Z647="동원",Z647="세방",Z647="한타"),"",IFERROR(INDEX(GLAPS정리!$BI$2:$BI$101,MATCH(Z647,GLAPS정리!$BH$2:$BH$101,0)),""))</f>
        <v/>
      </c>
      <c r="BX647" s="2" t="str">
        <f>IF(Z647="","",IFERROR(VLOOKUP(Z647,GLAPS정리!$AX$2:$AZ$17,3,0),""))</f>
        <v/>
      </c>
      <c r="BZ647" s="2" t="e">
        <f>VLOOKUP(H647,GLAPS정리!$L$3:$O$133,2,0)</f>
        <v>#N/A</v>
      </c>
      <c r="CA647" s="2" t="str">
        <f t="shared" si="158"/>
        <v/>
      </c>
      <c r="CL647" s="2" t="e">
        <f>VLOOKUP(AI647,GLAPS정리!$BT$3:$BV$26,3,0)</f>
        <v>#N/A</v>
      </c>
    </row>
    <row r="648" spans="2:90" ht="20.45" customHeight="1">
      <c r="B648" s="13"/>
      <c r="G648" s="3"/>
      <c r="J648" s="3"/>
      <c r="Q648" s="3" t="str">
        <f t="shared" si="146"/>
        <v/>
      </c>
      <c r="R648" s="3" t="str">
        <f t="shared" si="147"/>
        <v/>
      </c>
      <c r="S648" s="3" t="str">
        <f t="shared" si="148"/>
        <v/>
      </c>
      <c r="X648" s="13"/>
      <c r="Y648" s="13"/>
      <c r="Z648" s="91"/>
      <c r="AC648" s="2">
        <f t="shared" si="149"/>
        <v>20</v>
      </c>
      <c r="AD648" s="2" t="str">
        <f>IFERROR(INDEX(GLAPS정리!$D$2:$D$50,MATCH(I648,GLAPS정리!$A$2:$A$50,0)),IFERROR(INDEX(GLAPS정리!$D$2:$D$50,MATCH(I648,GLAPS정리!$B$2:$B$50,0)),""))</f>
        <v/>
      </c>
      <c r="AF648" s="2" t="str">
        <f t="shared" si="150"/>
        <v>KR10</v>
      </c>
      <c r="AI648" s="2" t="e">
        <f>VLOOKUP(F648,GLAPS정리!$G$3:$J$114,2,0)</f>
        <v>#N/A</v>
      </c>
      <c r="AJ648" s="2" t="e">
        <f>IF(Z648="울산정일","KRONS",IF(Z648="울산신항","KRUSN",IF(OR(Z648="선광종합물류(인천여객)",Z648="인천여객(인천여객)"),"KRINF",IF(OR(Z648="선광인천보세(인천신)",Z648="한진인천(인천신)",Z648="선광인천신항(인천신)",Z648="인천더로지스(인천신)"),"KRINN",IF(OR(Z648="인천진아(인천항)",Z648="인천E1(인천항)",Z648="인천SM경인터미널(인천항)",Z648="인천항(인천항)",Z648="인천우련(인천항)",Z648="인천항8부두(인천항)"),"KRINC",VLOOKUP(K648,GLAPS정리!$BB$2:$BC$33,2,0))))))</f>
        <v>#N/A</v>
      </c>
      <c r="AL648" s="2">
        <f t="shared" si="151"/>
        <v>5010001</v>
      </c>
      <c r="AN648" s="70" t="str">
        <f t="shared" si="152"/>
        <v>1900-01-00</v>
      </c>
      <c r="AO648" s="2" t="str">
        <f t="shared" si="153"/>
        <v/>
      </c>
      <c r="AP648" s="2" t="e">
        <f>VLOOKUP(C648,GLAPS정리!$AX$2:$AZ$17,3,0)</f>
        <v>#N/A</v>
      </c>
      <c r="AR648" s="2">
        <f t="shared" si="159"/>
        <v>0</v>
      </c>
      <c r="AX648" s="2" t="e">
        <f>VLOOKUP(L648,GLAPS정리!$V$3:$W$180,2,0)</f>
        <v>#N/A</v>
      </c>
      <c r="BM648" s="2" t="str">
        <f t="shared" si="154"/>
        <v xml:space="preserve"> </v>
      </c>
      <c r="BN648" s="2">
        <f t="shared" si="155"/>
        <v>1</v>
      </c>
      <c r="BR648" s="2" t="str">
        <f t="shared" si="156"/>
        <v/>
      </c>
      <c r="BS648" s="2" t="str">
        <f t="shared" si="157"/>
        <v/>
      </c>
      <c r="BV648" s="2" t="e">
        <f>VLOOKUP(O648,GLAPS정리!$BH$2:$BI$94,2,0)</f>
        <v>#N/A</v>
      </c>
      <c r="BW648" s="2" t="str">
        <f>IF(OR(Z648="동원",Z648="세방",Z648="한타"),"",IFERROR(INDEX(GLAPS정리!$BI$2:$BI$101,MATCH(Z648,GLAPS정리!$BH$2:$BH$101,0)),""))</f>
        <v/>
      </c>
      <c r="BX648" s="2" t="str">
        <f>IF(Z648="","",IFERROR(VLOOKUP(Z648,GLAPS정리!$AX$2:$AZ$17,3,0),""))</f>
        <v/>
      </c>
      <c r="BZ648" s="2" t="e">
        <f>VLOOKUP(H648,GLAPS정리!$L$3:$O$133,2,0)</f>
        <v>#N/A</v>
      </c>
      <c r="CA648" s="2" t="str">
        <f t="shared" si="158"/>
        <v/>
      </c>
      <c r="CL648" s="2" t="e">
        <f>VLOOKUP(AI648,GLAPS정리!$BT$3:$BV$26,3,0)</f>
        <v>#N/A</v>
      </c>
    </row>
    <row r="649" spans="2:90" ht="20.45" customHeight="1">
      <c r="B649" s="13"/>
      <c r="G649" s="3"/>
      <c r="J649" s="3"/>
      <c r="Q649" s="3" t="str">
        <f t="shared" si="146"/>
        <v/>
      </c>
      <c r="R649" s="3" t="str">
        <f t="shared" si="147"/>
        <v/>
      </c>
      <c r="S649" s="3" t="str">
        <f t="shared" si="148"/>
        <v/>
      </c>
      <c r="X649" s="13"/>
      <c r="Y649" s="13"/>
      <c r="Z649" s="91"/>
      <c r="AC649" s="2">
        <f t="shared" si="149"/>
        <v>20</v>
      </c>
      <c r="AD649" s="2" t="str">
        <f>IFERROR(INDEX(GLAPS정리!$D$2:$D$50,MATCH(I649,GLAPS정리!$A$2:$A$50,0)),IFERROR(INDEX(GLAPS정리!$D$2:$D$50,MATCH(I649,GLAPS정리!$B$2:$B$50,0)),""))</f>
        <v/>
      </c>
      <c r="AF649" s="2" t="str">
        <f t="shared" si="150"/>
        <v>KR10</v>
      </c>
      <c r="AI649" s="2" t="e">
        <f>VLOOKUP(F649,GLAPS정리!$G$3:$J$114,2,0)</f>
        <v>#N/A</v>
      </c>
      <c r="AJ649" s="2" t="e">
        <f>IF(Z649="울산정일","KRONS",IF(Z649="울산신항","KRUSN",IF(OR(Z649="선광종합물류(인천여객)",Z649="인천여객(인천여객)"),"KRINF",IF(OR(Z649="선광인천보세(인천신)",Z649="한진인천(인천신)",Z649="선광인천신항(인천신)",Z649="인천더로지스(인천신)"),"KRINN",IF(OR(Z649="인천진아(인천항)",Z649="인천E1(인천항)",Z649="인천SM경인터미널(인천항)",Z649="인천항(인천항)",Z649="인천우련(인천항)",Z649="인천항8부두(인천항)"),"KRINC",VLOOKUP(K649,GLAPS정리!$BB$2:$BC$33,2,0))))))</f>
        <v>#N/A</v>
      </c>
      <c r="AL649" s="2">
        <f t="shared" si="151"/>
        <v>5010001</v>
      </c>
      <c r="AN649" s="70" t="str">
        <f t="shared" si="152"/>
        <v>1900-01-00</v>
      </c>
      <c r="AO649" s="2" t="str">
        <f t="shared" si="153"/>
        <v/>
      </c>
      <c r="AP649" s="2" t="e">
        <f>VLOOKUP(C649,GLAPS정리!$AX$2:$AZ$17,3,0)</f>
        <v>#N/A</v>
      </c>
      <c r="AR649" s="2">
        <f t="shared" si="159"/>
        <v>0</v>
      </c>
      <c r="AX649" s="2" t="e">
        <f>VLOOKUP(L649,GLAPS정리!$V$3:$W$180,2,0)</f>
        <v>#N/A</v>
      </c>
      <c r="BM649" s="2" t="str">
        <f t="shared" si="154"/>
        <v xml:space="preserve"> </v>
      </c>
      <c r="BN649" s="2">
        <f t="shared" si="155"/>
        <v>1</v>
      </c>
      <c r="BR649" s="2" t="str">
        <f t="shared" si="156"/>
        <v/>
      </c>
      <c r="BS649" s="2" t="str">
        <f t="shared" si="157"/>
        <v/>
      </c>
      <c r="BV649" s="2" t="e">
        <f>VLOOKUP(O649,GLAPS정리!$BH$2:$BI$94,2,0)</f>
        <v>#N/A</v>
      </c>
      <c r="BW649" s="2" t="str">
        <f>IF(OR(Z649="동원",Z649="세방",Z649="한타"),"",IFERROR(INDEX(GLAPS정리!$BI$2:$BI$101,MATCH(Z649,GLAPS정리!$BH$2:$BH$101,0)),""))</f>
        <v/>
      </c>
      <c r="BX649" s="2" t="str">
        <f>IF(Z649="","",IFERROR(VLOOKUP(Z649,GLAPS정리!$AX$2:$AZ$17,3,0),""))</f>
        <v/>
      </c>
      <c r="BZ649" s="2" t="e">
        <f>VLOOKUP(H649,GLAPS정리!$L$3:$O$133,2,0)</f>
        <v>#N/A</v>
      </c>
      <c r="CA649" s="2" t="str">
        <f t="shared" si="158"/>
        <v/>
      </c>
      <c r="CL649" s="2" t="e">
        <f>VLOOKUP(AI649,GLAPS정리!$BT$3:$BV$26,3,0)</f>
        <v>#N/A</v>
      </c>
    </row>
    <row r="650" spans="2:90" ht="20.45" customHeight="1">
      <c r="B650" s="13"/>
      <c r="G650" s="3"/>
      <c r="J650" s="3"/>
      <c r="Q650" s="3" t="str">
        <f t="shared" si="146"/>
        <v/>
      </c>
      <c r="R650" s="3" t="str">
        <f t="shared" si="147"/>
        <v/>
      </c>
      <c r="S650" s="3" t="str">
        <f t="shared" si="148"/>
        <v/>
      </c>
      <c r="X650" s="13"/>
      <c r="Y650" s="13"/>
      <c r="Z650" s="91"/>
      <c r="AC650" s="2">
        <f t="shared" si="149"/>
        <v>20</v>
      </c>
      <c r="AD650" s="2" t="str">
        <f>IFERROR(INDEX(GLAPS정리!$D$2:$D$50,MATCH(I650,GLAPS정리!$A$2:$A$50,0)),IFERROR(INDEX(GLAPS정리!$D$2:$D$50,MATCH(I650,GLAPS정리!$B$2:$B$50,0)),""))</f>
        <v/>
      </c>
      <c r="AF650" s="2" t="str">
        <f t="shared" si="150"/>
        <v>KR10</v>
      </c>
      <c r="AI650" s="2" t="e">
        <f>VLOOKUP(F650,GLAPS정리!$G$3:$J$114,2,0)</f>
        <v>#N/A</v>
      </c>
      <c r="AJ650" s="2" t="e">
        <f>IF(Z650="울산정일","KRONS",IF(Z650="울산신항","KRUSN",IF(OR(Z650="선광종합물류(인천여객)",Z650="인천여객(인천여객)"),"KRINF",IF(OR(Z650="선광인천보세(인천신)",Z650="한진인천(인천신)",Z650="선광인천신항(인천신)",Z650="인천더로지스(인천신)"),"KRINN",IF(OR(Z650="인천진아(인천항)",Z650="인천E1(인천항)",Z650="인천SM경인터미널(인천항)",Z650="인천항(인천항)",Z650="인천우련(인천항)",Z650="인천항8부두(인천항)"),"KRINC",VLOOKUP(K650,GLAPS정리!$BB$2:$BC$33,2,0))))))</f>
        <v>#N/A</v>
      </c>
      <c r="AL650" s="2">
        <f t="shared" si="151"/>
        <v>5010001</v>
      </c>
      <c r="AN650" s="70" t="str">
        <f t="shared" si="152"/>
        <v>1900-01-00</v>
      </c>
      <c r="AO650" s="2" t="str">
        <f t="shared" si="153"/>
        <v/>
      </c>
      <c r="AP650" s="2" t="e">
        <f>VLOOKUP(C650,GLAPS정리!$AX$2:$AZ$17,3,0)</f>
        <v>#N/A</v>
      </c>
      <c r="AR650" s="2">
        <f t="shared" si="159"/>
        <v>0</v>
      </c>
      <c r="AX650" s="2" t="e">
        <f>VLOOKUP(L650,GLAPS정리!$V$3:$W$180,2,0)</f>
        <v>#N/A</v>
      </c>
      <c r="BM650" s="2" t="str">
        <f t="shared" si="154"/>
        <v xml:space="preserve"> </v>
      </c>
      <c r="BN650" s="2">
        <f t="shared" si="155"/>
        <v>1</v>
      </c>
      <c r="BR650" s="2" t="str">
        <f t="shared" si="156"/>
        <v/>
      </c>
      <c r="BS650" s="2" t="str">
        <f t="shared" si="157"/>
        <v/>
      </c>
      <c r="BV650" s="2" t="e">
        <f>VLOOKUP(O650,GLAPS정리!$BH$2:$BI$94,2,0)</f>
        <v>#N/A</v>
      </c>
      <c r="BW650" s="2" t="str">
        <f>IF(OR(Z650="동원",Z650="세방",Z650="한타"),"",IFERROR(INDEX(GLAPS정리!$BI$2:$BI$101,MATCH(Z650,GLAPS정리!$BH$2:$BH$101,0)),""))</f>
        <v/>
      </c>
      <c r="BX650" s="2" t="str">
        <f>IF(Z650="","",IFERROR(VLOOKUP(Z650,GLAPS정리!$AX$2:$AZ$17,3,0),""))</f>
        <v/>
      </c>
      <c r="BZ650" s="2" t="e">
        <f>VLOOKUP(H650,GLAPS정리!$L$3:$O$133,2,0)</f>
        <v>#N/A</v>
      </c>
      <c r="CA650" s="2" t="str">
        <f t="shared" si="158"/>
        <v/>
      </c>
      <c r="CL650" s="2" t="e">
        <f>VLOOKUP(AI650,GLAPS정리!$BT$3:$BV$26,3,0)</f>
        <v>#N/A</v>
      </c>
    </row>
    <row r="651" spans="2:90" ht="20.45" customHeight="1">
      <c r="B651" s="13"/>
      <c r="G651" s="3"/>
      <c r="J651" s="3"/>
      <c r="Q651" s="3" t="str">
        <f t="shared" si="146"/>
        <v/>
      </c>
      <c r="R651" s="3" t="str">
        <f t="shared" si="147"/>
        <v/>
      </c>
      <c r="S651" s="3" t="str">
        <f t="shared" si="148"/>
        <v/>
      </c>
      <c r="X651" s="13"/>
      <c r="Y651" s="13"/>
      <c r="Z651" s="91"/>
      <c r="AC651" s="2">
        <f t="shared" si="149"/>
        <v>20</v>
      </c>
      <c r="AD651" s="2" t="str">
        <f>IFERROR(INDEX(GLAPS정리!$D$2:$D$50,MATCH(I651,GLAPS정리!$A$2:$A$50,0)),IFERROR(INDEX(GLAPS정리!$D$2:$D$50,MATCH(I651,GLAPS정리!$B$2:$B$50,0)),""))</f>
        <v/>
      </c>
      <c r="AF651" s="2" t="str">
        <f t="shared" si="150"/>
        <v>KR10</v>
      </c>
      <c r="AI651" s="2" t="e">
        <f>VLOOKUP(F651,GLAPS정리!$G$3:$J$114,2,0)</f>
        <v>#N/A</v>
      </c>
      <c r="AJ651" s="2" t="e">
        <f>IF(Z651="울산정일","KRONS",IF(Z651="울산신항","KRUSN",IF(OR(Z651="선광종합물류(인천여객)",Z651="인천여객(인천여객)"),"KRINF",IF(OR(Z651="선광인천보세(인천신)",Z651="한진인천(인천신)",Z651="선광인천신항(인천신)",Z651="인천더로지스(인천신)"),"KRINN",IF(OR(Z651="인천진아(인천항)",Z651="인천E1(인천항)",Z651="인천SM경인터미널(인천항)",Z651="인천항(인천항)",Z651="인천우련(인천항)",Z651="인천항8부두(인천항)"),"KRINC",VLOOKUP(K651,GLAPS정리!$BB$2:$BC$33,2,0))))))</f>
        <v>#N/A</v>
      </c>
      <c r="AL651" s="2">
        <f t="shared" si="151"/>
        <v>5010001</v>
      </c>
      <c r="AN651" s="70" t="str">
        <f t="shared" si="152"/>
        <v>1900-01-00</v>
      </c>
      <c r="AO651" s="2" t="str">
        <f t="shared" si="153"/>
        <v/>
      </c>
      <c r="AP651" s="2" t="e">
        <f>VLOOKUP(C651,GLAPS정리!$AX$2:$AZ$17,3,0)</f>
        <v>#N/A</v>
      </c>
      <c r="AR651" s="2">
        <f t="shared" si="159"/>
        <v>0</v>
      </c>
      <c r="AX651" s="2" t="e">
        <f>VLOOKUP(L651,GLAPS정리!$V$3:$W$180,2,0)</f>
        <v>#N/A</v>
      </c>
      <c r="BM651" s="2" t="str">
        <f t="shared" si="154"/>
        <v xml:space="preserve"> </v>
      </c>
      <c r="BN651" s="2">
        <f t="shared" si="155"/>
        <v>1</v>
      </c>
      <c r="BR651" s="2" t="str">
        <f t="shared" si="156"/>
        <v/>
      </c>
      <c r="BS651" s="2" t="str">
        <f t="shared" si="157"/>
        <v/>
      </c>
      <c r="BV651" s="2" t="e">
        <f>VLOOKUP(O651,GLAPS정리!$BH$2:$BI$94,2,0)</f>
        <v>#N/A</v>
      </c>
      <c r="BW651" s="2" t="str">
        <f>IF(OR(Z651="동원",Z651="세방",Z651="한타"),"",IFERROR(INDEX(GLAPS정리!$BI$2:$BI$101,MATCH(Z651,GLAPS정리!$BH$2:$BH$101,0)),""))</f>
        <v/>
      </c>
      <c r="BX651" s="2" t="str">
        <f>IF(Z651="","",IFERROR(VLOOKUP(Z651,GLAPS정리!$AX$2:$AZ$17,3,0),""))</f>
        <v/>
      </c>
      <c r="BZ651" s="2" t="e">
        <f>VLOOKUP(H651,GLAPS정리!$L$3:$O$133,2,0)</f>
        <v>#N/A</v>
      </c>
      <c r="CA651" s="2" t="str">
        <f t="shared" si="158"/>
        <v/>
      </c>
      <c r="CL651" s="2" t="e">
        <f>VLOOKUP(AI651,GLAPS정리!$BT$3:$BV$26,3,0)</f>
        <v>#N/A</v>
      </c>
    </row>
    <row r="652" spans="2:90" ht="20.45" customHeight="1">
      <c r="B652" s="13"/>
      <c r="G652" s="3"/>
      <c r="J652" s="3"/>
      <c r="Q652" s="3" t="str">
        <f t="shared" si="146"/>
        <v/>
      </c>
      <c r="R652" s="3" t="str">
        <f t="shared" si="147"/>
        <v/>
      </c>
      <c r="S652" s="3" t="str">
        <f t="shared" si="148"/>
        <v/>
      </c>
      <c r="X652" s="13"/>
      <c r="Y652" s="13"/>
      <c r="Z652" s="91"/>
      <c r="AC652" s="2">
        <f t="shared" si="149"/>
        <v>20</v>
      </c>
      <c r="AD652" s="2" t="str">
        <f>IFERROR(INDEX(GLAPS정리!$D$2:$D$50,MATCH(I652,GLAPS정리!$A$2:$A$50,0)),IFERROR(INDEX(GLAPS정리!$D$2:$D$50,MATCH(I652,GLAPS정리!$B$2:$B$50,0)),""))</f>
        <v/>
      </c>
      <c r="AF652" s="2" t="str">
        <f t="shared" si="150"/>
        <v>KR10</v>
      </c>
      <c r="AI652" s="2" t="e">
        <f>VLOOKUP(F652,GLAPS정리!$G$3:$J$114,2,0)</f>
        <v>#N/A</v>
      </c>
      <c r="AJ652" s="2" t="e">
        <f>IF(Z652="울산정일","KRONS",IF(Z652="울산신항","KRUSN",IF(OR(Z652="선광종합물류(인천여객)",Z652="인천여객(인천여객)"),"KRINF",IF(OR(Z652="선광인천보세(인천신)",Z652="한진인천(인천신)",Z652="선광인천신항(인천신)",Z652="인천더로지스(인천신)"),"KRINN",IF(OR(Z652="인천진아(인천항)",Z652="인천E1(인천항)",Z652="인천SM경인터미널(인천항)",Z652="인천항(인천항)",Z652="인천우련(인천항)",Z652="인천항8부두(인천항)"),"KRINC",VLOOKUP(K652,GLAPS정리!$BB$2:$BC$33,2,0))))))</f>
        <v>#N/A</v>
      </c>
      <c r="AL652" s="2">
        <f t="shared" si="151"/>
        <v>5010001</v>
      </c>
      <c r="AN652" s="70" t="str">
        <f t="shared" si="152"/>
        <v>1900-01-00</v>
      </c>
      <c r="AO652" s="2" t="str">
        <f t="shared" si="153"/>
        <v/>
      </c>
      <c r="AP652" s="2" t="e">
        <f>VLOOKUP(C652,GLAPS정리!$AX$2:$AZ$17,3,0)</f>
        <v>#N/A</v>
      </c>
      <c r="AR652" s="2">
        <f t="shared" si="159"/>
        <v>0</v>
      </c>
      <c r="AX652" s="2" t="e">
        <f>VLOOKUP(L652,GLAPS정리!$V$3:$W$180,2,0)</f>
        <v>#N/A</v>
      </c>
      <c r="BM652" s="2" t="str">
        <f t="shared" si="154"/>
        <v xml:space="preserve"> </v>
      </c>
      <c r="BN652" s="2">
        <f t="shared" si="155"/>
        <v>1</v>
      </c>
      <c r="BR652" s="2" t="str">
        <f t="shared" si="156"/>
        <v/>
      </c>
      <c r="BS652" s="2" t="str">
        <f t="shared" si="157"/>
        <v/>
      </c>
      <c r="BV652" s="2" t="e">
        <f>VLOOKUP(O652,GLAPS정리!$BH$2:$BI$94,2,0)</f>
        <v>#N/A</v>
      </c>
      <c r="BW652" s="2" t="str">
        <f>IF(OR(Z652="동원",Z652="세방",Z652="한타"),"",IFERROR(INDEX(GLAPS정리!$BI$2:$BI$101,MATCH(Z652,GLAPS정리!$BH$2:$BH$101,0)),""))</f>
        <v/>
      </c>
      <c r="BX652" s="2" t="str">
        <f>IF(Z652="","",IFERROR(VLOOKUP(Z652,GLAPS정리!$AX$2:$AZ$17,3,0),""))</f>
        <v/>
      </c>
      <c r="BZ652" s="2" t="e">
        <f>VLOOKUP(H652,GLAPS정리!$L$3:$O$133,2,0)</f>
        <v>#N/A</v>
      </c>
      <c r="CA652" s="2" t="str">
        <f t="shared" si="158"/>
        <v/>
      </c>
      <c r="CL652" s="2" t="e">
        <f>VLOOKUP(AI652,GLAPS정리!$BT$3:$BV$26,3,0)</f>
        <v>#N/A</v>
      </c>
    </row>
    <row r="653" spans="2:90" ht="20.45" customHeight="1">
      <c r="B653" s="13"/>
      <c r="G653" s="3"/>
      <c r="J653" s="3"/>
      <c r="Q653" s="3" t="str">
        <f t="shared" si="146"/>
        <v/>
      </c>
      <c r="R653" s="3" t="str">
        <f t="shared" si="147"/>
        <v/>
      </c>
      <c r="S653" s="3" t="str">
        <f t="shared" si="148"/>
        <v/>
      </c>
      <c r="X653" s="13"/>
      <c r="Y653" s="13"/>
      <c r="Z653" s="91"/>
      <c r="AC653" s="2">
        <f t="shared" si="149"/>
        <v>20</v>
      </c>
      <c r="AD653" s="2" t="str">
        <f>IFERROR(INDEX(GLAPS정리!$D$2:$D$50,MATCH(I653,GLAPS정리!$A$2:$A$50,0)),IFERROR(INDEX(GLAPS정리!$D$2:$D$50,MATCH(I653,GLAPS정리!$B$2:$B$50,0)),""))</f>
        <v/>
      </c>
      <c r="AF653" s="2" t="str">
        <f t="shared" si="150"/>
        <v>KR10</v>
      </c>
      <c r="AI653" s="2" t="e">
        <f>VLOOKUP(F653,GLAPS정리!$G$3:$J$114,2,0)</f>
        <v>#N/A</v>
      </c>
      <c r="AJ653" s="2" t="e">
        <f>IF(Z653="울산정일","KRONS",IF(Z653="울산신항","KRUSN",IF(OR(Z653="선광종합물류(인천여객)",Z653="인천여객(인천여객)"),"KRINF",IF(OR(Z653="선광인천보세(인천신)",Z653="한진인천(인천신)",Z653="선광인천신항(인천신)",Z653="인천더로지스(인천신)"),"KRINN",IF(OR(Z653="인천진아(인천항)",Z653="인천E1(인천항)",Z653="인천SM경인터미널(인천항)",Z653="인천항(인천항)",Z653="인천우련(인천항)",Z653="인천항8부두(인천항)"),"KRINC",VLOOKUP(K653,GLAPS정리!$BB$2:$BC$33,2,0))))))</f>
        <v>#N/A</v>
      </c>
      <c r="AL653" s="2">
        <f t="shared" si="151"/>
        <v>5010001</v>
      </c>
      <c r="AN653" s="70" t="str">
        <f t="shared" si="152"/>
        <v>1900-01-00</v>
      </c>
      <c r="AO653" s="2" t="str">
        <f t="shared" si="153"/>
        <v/>
      </c>
      <c r="AP653" s="2" t="e">
        <f>VLOOKUP(C653,GLAPS정리!$AX$2:$AZ$17,3,0)</f>
        <v>#N/A</v>
      </c>
      <c r="AR653" s="2">
        <f t="shared" si="159"/>
        <v>0</v>
      </c>
      <c r="AX653" s="2" t="e">
        <f>VLOOKUP(L653,GLAPS정리!$V$3:$W$180,2,0)</f>
        <v>#N/A</v>
      </c>
      <c r="BM653" s="2" t="str">
        <f t="shared" si="154"/>
        <v xml:space="preserve"> </v>
      </c>
      <c r="BN653" s="2">
        <f t="shared" si="155"/>
        <v>1</v>
      </c>
      <c r="BR653" s="2" t="str">
        <f t="shared" si="156"/>
        <v/>
      </c>
      <c r="BS653" s="2" t="str">
        <f t="shared" si="157"/>
        <v/>
      </c>
      <c r="BV653" s="2" t="e">
        <f>VLOOKUP(O653,GLAPS정리!$BH$2:$BI$94,2,0)</f>
        <v>#N/A</v>
      </c>
      <c r="BW653" s="2" t="str">
        <f>IF(OR(Z653="동원",Z653="세방",Z653="한타"),"",IFERROR(INDEX(GLAPS정리!$BI$2:$BI$101,MATCH(Z653,GLAPS정리!$BH$2:$BH$101,0)),""))</f>
        <v/>
      </c>
      <c r="BX653" s="2" t="str">
        <f>IF(Z653="","",IFERROR(VLOOKUP(Z653,GLAPS정리!$AX$2:$AZ$17,3,0),""))</f>
        <v/>
      </c>
      <c r="BZ653" s="2" t="e">
        <f>VLOOKUP(H653,GLAPS정리!$L$3:$O$133,2,0)</f>
        <v>#N/A</v>
      </c>
      <c r="CA653" s="2" t="str">
        <f t="shared" si="158"/>
        <v/>
      </c>
      <c r="CL653" s="2" t="e">
        <f>VLOOKUP(AI653,GLAPS정리!$BT$3:$BV$26,3,0)</f>
        <v>#N/A</v>
      </c>
    </row>
    <row r="654" spans="2:90" ht="20.45" customHeight="1">
      <c r="B654" s="13"/>
      <c r="G654" s="3"/>
      <c r="J654" s="3"/>
      <c r="Q654" s="3" t="str">
        <f t="shared" si="146"/>
        <v/>
      </c>
      <c r="R654" s="3" t="str">
        <f t="shared" si="147"/>
        <v/>
      </c>
      <c r="S654" s="3" t="str">
        <f t="shared" si="148"/>
        <v/>
      </c>
      <c r="X654" s="13"/>
      <c r="Y654" s="13"/>
      <c r="Z654" s="91"/>
      <c r="AC654" s="2">
        <f t="shared" si="149"/>
        <v>20</v>
      </c>
      <c r="AD654" s="2" t="str">
        <f>IFERROR(INDEX(GLAPS정리!$D$2:$D$50,MATCH(I654,GLAPS정리!$A$2:$A$50,0)),IFERROR(INDEX(GLAPS정리!$D$2:$D$50,MATCH(I654,GLAPS정리!$B$2:$B$50,0)),""))</f>
        <v/>
      </c>
      <c r="AF654" s="2" t="str">
        <f t="shared" si="150"/>
        <v>KR10</v>
      </c>
      <c r="AI654" s="2" t="e">
        <f>VLOOKUP(F654,GLAPS정리!$G$3:$J$114,2,0)</f>
        <v>#N/A</v>
      </c>
      <c r="AJ654" s="2" t="e">
        <f>IF(Z654="울산정일","KRONS",IF(Z654="울산신항","KRUSN",IF(OR(Z654="선광종합물류(인천여객)",Z654="인천여객(인천여객)"),"KRINF",IF(OR(Z654="선광인천보세(인천신)",Z654="한진인천(인천신)",Z654="선광인천신항(인천신)",Z654="인천더로지스(인천신)"),"KRINN",IF(OR(Z654="인천진아(인천항)",Z654="인천E1(인천항)",Z654="인천SM경인터미널(인천항)",Z654="인천항(인천항)",Z654="인천우련(인천항)",Z654="인천항8부두(인천항)"),"KRINC",VLOOKUP(K654,GLAPS정리!$BB$2:$BC$33,2,0))))))</f>
        <v>#N/A</v>
      </c>
      <c r="AL654" s="2">
        <f t="shared" si="151"/>
        <v>5010001</v>
      </c>
      <c r="AN654" s="70" t="str">
        <f t="shared" si="152"/>
        <v>1900-01-00</v>
      </c>
      <c r="AO654" s="2" t="str">
        <f t="shared" si="153"/>
        <v/>
      </c>
      <c r="AP654" s="2" t="e">
        <f>VLOOKUP(C654,GLAPS정리!$AX$2:$AZ$17,3,0)</f>
        <v>#N/A</v>
      </c>
      <c r="AR654" s="2">
        <f t="shared" si="159"/>
        <v>0</v>
      </c>
      <c r="AX654" s="2" t="e">
        <f>VLOOKUP(L654,GLAPS정리!$V$3:$W$180,2,0)</f>
        <v>#N/A</v>
      </c>
      <c r="BM654" s="2" t="str">
        <f t="shared" si="154"/>
        <v xml:space="preserve"> </v>
      </c>
      <c r="BN654" s="2">
        <f t="shared" si="155"/>
        <v>1</v>
      </c>
      <c r="BR654" s="2" t="str">
        <f t="shared" si="156"/>
        <v/>
      </c>
      <c r="BS654" s="2" t="str">
        <f t="shared" si="157"/>
        <v/>
      </c>
      <c r="BV654" s="2" t="e">
        <f>VLOOKUP(O654,GLAPS정리!$BH$2:$BI$94,2,0)</f>
        <v>#N/A</v>
      </c>
      <c r="BW654" s="2" t="str">
        <f>IF(OR(Z654="동원",Z654="세방",Z654="한타"),"",IFERROR(INDEX(GLAPS정리!$BI$2:$BI$101,MATCH(Z654,GLAPS정리!$BH$2:$BH$101,0)),""))</f>
        <v/>
      </c>
      <c r="BX654" s="2" t="str">
        <f>IF(Z654="","",IFERROR(VLOOKUP(Z654,GLAPS정리!$AX$2:$AZ$17,3,0),""))</f>
        <v/>
      </c>
      <c r="BZ654" s="2" t="e">
        <f>VLOOKUP(H654,GLAPS정리!$L$3:$O$133,2,0)</f>
        <v>#N/A</v>
      </c>
      <c r="CA654" s="2" t="str">
        <f t="shared" si="158"/>
        <v/>
      </c>
      <c r="CL654" s="2" t="e">
        <f>VLOOKUP(AI654,GLAPS정리!$BT$3:$BV$26,3,0)</f>
        <v>#N/A</v>
      </c>
    </row>
    <row r="655" spans="2:90" ht="20.45" customHeight="1">
      <c r="B655" s="13"/>
      <c r="G655" s="3"/>
      <c r="J655" s="3"/>
      <c r="Q655" s="3" t="str">
        <f t="shared" si="146"/>
        <v/>
      </c>
      <c r="R655" s="3" t="str">
        <f t="shared" si="147"/>
        <v/>
      </c>
      <c r="S655" s="3" t="str">
        <f t="shared" si="148"/>
        <v/>
      </c>
      <c r="X655" s="13"/>
      <c r="Y655" s="13"/>
      <c r="Z655" s="91"/>
      <c r="AC655" s="2">
        <f t="shared" si="149"/>
        <v>20</v>
      </c>
      <c r="AD655" s="2" t="str">
        <f>IFERROR(INDEX(GLAPS정리!$D$2:$D$50,MATCH(I655,GLAPS정리!$A$2:$A$50,0)),IFERROR(INDEX(GLAPS정리!$D$2:$D$50,MATCH(I655,GLAPS정리!$B$2:$B$50,0)),""))</f>
        <v/>
      </c>
      <c r="AF655" s="2" t="str">
        <f t="shared" si="150"/>
        <v>KR10</v>
      </c>
      <c r="AI655" s="2" t="e">
        <f>VLOOKUP(F655,GLAPS정리!$G$3:$J$114,2,0)</f>
        <v>#N/A</v>
      </c>
      <c r="AJ655" s="2" t="e">
        <f>IF(Z655="울산정일","KRONS",IF(Z655="울산신항","KRUSN",IF(OR(Z655="선광종합물류(인천여객)",Z655="인천여객(인천여객)"),"KRINF",IF(OR(Z655="선광인천보세(인천신)",Z655="한진인천(인천신)",Z655="선광인천신항(인천신)",Z655="인천더로지스(인천신)"),"KRINN",IF(OR(Z655="인천진아(인천항)",Z655="인천E1(인천항)",Z655="인천SM경인터미널(인천항)",Z655="인천항(인천항)",Z655="인천우련(인천항)",Z655="인천항8부두(인천항)"),"KRINC",VLOOKUP(K655,GLAPS정리!$BB$2:$BC$33,2,0))))))</f>
        <v>#N/A</v>
      </c>
      <c r="AL655" s="2">
        <f t="shared" si="151"/>
        <v>5010001</v>
      </c>
      <c r="AN655" s="70" t="str">
        <f t="shared" si="152"/>
        <v>1900-01-00</v>
      </c>
      <c r="AO655" s="2" t="str">
        <f t="shared" si="153"/>
        <v/>
      </c>
      <c r="AP655" s="2" t="e">
        <f>VLOOKUP(C655,GLAPS정리!$AX$2:$AZ$17,3,0)</f>
        <v>#N/A</v>
      </c>
      <c r="AR655" s="2">
        <f t="shared" si="159"/>
        <v>0</v>
      </c>
      <c r="AX655" s="2" t="e">
        <f>VLOOKUP(L655,GLAPS정리!$V$3:$W$180,2,0)</f>
        <v>#N/A</v>
      </c>
      <c r="BM655" s="2" t="str">
        <f t="shared" si="154"/>
        <v xml:space="preserve"> </v>
      </c>
      <c r="BN655" s="2">
        <f t="shared" si="155"/>
        <v>1</v>
      </c>
      <c r="BR655" s="2" t="str">
        <f t="shared" si="156"/>
        <v/>
      </c>
      <c r="BS655" s="2" t="str">
        <f t="shared" si="157"/>
        <v/>
      </c>
      <c r="BV655" s="2" t="e">
        <f>VLOOKUP(O655,GLAPS정리!$BH$2:$BI$94,2,0)</f>
        <v>#N/A</v>
      </c>
      <c r="BW655" s="2" t="str">
        <f>IF(OR(Z655="동원",Z655="세방",Z655="한타"),"",IFERROR(INDEX(GLAPS정리!$BI$2:$BI$101,MATCH(Z655,GLAPS정리!$BH$2:$BH$101,0)),""))</f>
        <v/>
      </c>
      <c r="BX655" s="2" t="str">
        <f>IF(Z655="","",IFERROR(VLOOKUP(Z655,GLAPS정리!$AX$2:$AZ$17,3,0),""))</f>
        <v/>
      </c>
      <c r="BZ655" s="2" t="e">
        <f>VLOOKUP(H655,GLAPS정리!$L$3:$O$133,2,0)</f>
        <v>#N/A</v>
      </c>
      <c r="CA655" s="2" t="str">
        <f t="shared" si="158"/>
        <v/>
      </c>
      <c r="CL655" s="2" t="e">
        <f>VLOOKUP(AI655,GLAPS정리!$BT$3:$BV$26,3,0)</f>
        <v>#N/A</v>
      </c>
    </row>
    <row r="656" spans="2:90" ht="20.45" customHeight="1">
      <c r="B656" s="13"/>
      <c r="G656" s="3"/>
      <c r="J656" s="3"/>
      <c r="Q656" s="3" t="str">
        <f t="shared" si="146"/>
        <v/>
      </c>
      <c r="R656" s="3" t="str">
        <f t="shared" si="147"/>
        <v/>
      </c>
      <c r="S656" s="3" t="str">
        <f t="shared" si="148"/>
        <v/>
      </c>
      <c r="X656" s="13"/>
      <c r="Y656" s="13"/>
      <c r="Z656" s="91"/>
      <c r="AC656" s="2">
        <f t="shared" si="149"/>
        <v>20</v>
      </c>
      <c r="AD656" s="2" t="str">
        <f>IFERROR(INDEX(GLAPS정리!$D$2:$D$50,MATCH(I656,GLAPS정리!$A$2:$A$50,0)),IFERROR(INDEX(GLAPS정리!$D$2:$D$50,MATCH(I656,GLAPS정리!$B$2:$B$50,0)),""))</f>
        <v/>
      </c>
      <c r="AF656" s="2" t="str">
        <f t="shared" si="150"/>
        <v>KR10</v>
      </c>
      <c r="AI656" s="2" t="e">
        <f>VLOOKUP(F656,GLAPS정리!$G$3:$J$114,2,0)</f>
        <v>#N/A</v>
      </c>
      <c r="AJ656" s="2" t="e">
        <f>IF(Z656="울산정일","KRONS",IF(Z656="울산신항","KRUSN",IF(OR(Z656="선광종합물류(인천여객)",Z656="인천여객(인천여객)"),"KRINF",IF(OR(Z656="선광인천보세(인천신)",Z656="한진인천(인천신)",Z656="선광인천신항(인천신)",Z656="인천더로지스(인천신)"),"KRINN",IF(OR(Z656="인천진아(인천항)",Z656="인천E1(인천항)",Z656="인천SM경인터미널(인천항)",Z656="인천항(인천항)",Z656="인천우련(인천항)",Z656="인천항8부두(인천항)"),"KRINC",VLOOKUP(K656,GLAPS정리!$BB$2:$BC$33,2,0))))))</f>
        <v>#N/A</v>
      </c>
      <c r="AL656" s="2">
        <f t="shared" si="151"/>
        <v>5010001</v>
      </c>
      <c r="AN656" s="70" t="str">
        <f t="shared" si="152"/>
        <v>1900-01-00</v>
      </c>
      <c r="AO656" s="2" t="str">
        <f t="shared" si="153"/>
        <v/>
      </c>
      <c r="AP656" s="2" t="e">
        <f>VLOOKUP(C656,GLAPS정리!$AX$2:$AZ$17,3,0)</f>
        <v>#N/A</v>
      </c>
      <c r="AR656" s="2">
        <f t="shared" si="159"/>
        <v>0</v>
      </c>
      <c r="AX656" s="2" t="e">
        <f>VLOOKUP(L656,GLAPS정리!$V$3:$W$180,2,0)</f>
        <v>#N/A</v>
      </c>
      <c r="BM656" s="2" t="str">
        <f t="shared" si="154"/>
        <v xml:space="preserve"> </v>
      </c>
      <c r="BN656" s="2">
        <f t="shared" si="155"/>
        <v>1</v>
      </c>
      <c r="BR656" s="2" t="str">
        <f t="shared" si="156"/>
        <v/>
      </c>
      <c r="BS656" s="2" t="str">
        <f t="shared" si="157"/>
        <v/>
      </c>
      <c r="BV656" s="2" t="e">
        <f>VLOOKUP(O656,GLAPS정리!$BH$2:$BI$94,2,0)</f>
        <v>#N/A</v>
      </c>
      <c r="BW656" s="2" t="str">
        <f>IF(OR(Z656="동원",Z656="세방",Z656="한타"),"",IFERROR(INDEX(GLAPS정리!$BI$2:$BI$101,MATCH(Z656,GLAPS정리!$BH$2:$BH$101,0)),""))</f>
        <v/>
      </c>
      <c r="BX656" s="2" t="str">
        <f>IF(Z656="","",IFERROR(VLOOKUP(Z656,GLAPS정리!$AX$2:$AZ$17,3,0),""))</f>
        <v/>
      </c>
      <c r="BZ656" s="2" t="e">
        <f>VLOOKUP(H656,GLAPS정리!$L$3:$O$133,2,0)</f>
        <v>#N/A</v>
      </c>
      <c r="CA656" s="2" t="str">
        <f t="shared" si="158"/>
        <v/>
      </c>
      <c r="CL656" s="2" t="e">
        <f>VLOOKUP(AI656,GLAPS정리!$BT$3:$BV$26,3,0)</f>
        <v>#N/A</v>
      </c>
    </row>
    <row r="657" spans="2:90" ht="20.45" customHeight="1">
      <c r="B657" s="13"/>
      <c r="G657" s="3"/>
      <c r="J657" s="3"/>
      <c r="Q657" s="3" t="str">
        <f t="shared" si="146"/>
        <v/>
      </c>
      <c r="R657" s="3" t="str">
        <f t="shared" si="147"/>
        <v/>
      </c>
      <c r="S657" s="3" t="str">
        <f t="shared" si="148"/>
        <v/>
      </c>
      <c r="X657" s="13"/>
      <c r="Y657" s="13"/>
      <c r="Z657" s="91"/>
      <c r="AC657" s="2">
        <f t="shared" si="149"/>
        <v>20</v>
      </c>
      <c r="AD657" s="2" t="str">
        <f>IFERROR(INDEX(GLAPS정리!$D$2:$D$50,MATCH(I657,GLAPS정리!$A$2:$A$50,0)),IFERROR(INDEX(GLAPS정리!$D$2:$D$50,MATCH(I657,GLAPS정리!$B$2:$B$50,0)),""))</f>
        <v/>
      </c>
      <c r="AF657" s="2" t="str">
        <f t="shared" si="150"/>
        <v>KR10</v>
      </c>
      <c r="AI657" s="2" t="e">
        <f>VLOOKUP(F657,GLAPS정리!$G$3:$J$114,2,0)</f>
        <v>#N/A</v>
      </c>
      <c r="AJ657" s="2" t="e">
        <f>IF(Z657="울산정일","KRONS",IF(Z657="울산신항","KRUSN",IF(OR(Z657="선광종합물류(인천여객)",Z657="인천여객(인천여객)"),"KRINF",IF(OR(Z657="선광인천보세(인천신)",Z657="한진인천(인천신)",Z657="선광인천신항(인천신)",Z657="인천더로지스(인천신)"),"KRINN",IF(OR(Z657="인천진아(인천항)",Z657="인천E1(인천항)",Z657="인천SM경인터미널(인천항)",Z657="인천항(인천항)",Z657="인천우련(인천항)",Z657="인천항8부두(인천항)"),"KRINC",VLOOKUP(K657,GLAPS정리!$BB$2:$BC$33,2,0))))))</f>
        <v>#N/A</v>
      </c>
      <c r="AL657" s="2">
        <f t="shared" si="151"/>
        <v>5010001</v>
      </c>
      <c r="AN657" s="70" t="str">
        <f t="shared" si="152"/>
        <v>1900-01-00</v>
      </c>
      <c r="AO657" s="2" t="str">
        <f t="shared" si="153"/>
        <v/>
      </c>
      <c r="AP657" s="2" t="e">
        <f>VLOOKUP(C657,GLAPS정리!$AX$2:$AZ$17,3,0)</f>
        <v>#N/A</v>
      </c>
      <c r="AR657" s="2">
        <f t="shared" si="159"/>
        <v>0</v>
      </c>
      <c r="AX657" s="2" t="e">
        <f>VLOOKUP(L657,GLAPS정리!$V$3:$W$180,2,0)</f>
        <v>#N/A</v>
      </c>
      <c r="BM657" s="2" t="str">
        <f t="shared" si="154"/>
        <v xml:space="preserve"> </v>
      </c>
      <c r="BN657" s="2">
        <f t="shared" si="155"/>
        <v>1</v>
      </c>
      <c r="BR657" s="2" t="str">
        <f t="shared" si="156"/>
        <v/>
      </c>
      <c r="BS657" s="2" t="str">
        <f t="shared" si="157"/>
        <v/>
      </c>
      <c r="BV657" s="2" t="e">
        <f>VLOOKUP(O657,GLAPS정리!$BH$2:$BI$94,2,0)</f>
        <v>#N/A</v>
      </c>
      <c r="BW657" s="2" t="str">
        <f>IF(OR(Z657="동원",Z657="세방",Z657="한타"),"",IFERROR(INDEX(GLAPS정리!$BI$2:$BI$101,MATCH(Z657,GLAPS정리!$BH$2:$BH$101,0)),""))</f>
        <v/>
      </c>
      <c r="BX657" s="2" t="str">
        <f>IF(Z657="","",IFERROR(VLOOKUP(Z657,GLAPS정리!$AX$2:$AZ$17,3,0),""))</f>
        <v/>
      </c>
      <c r="BZ657" s="2" t="e">
        <f>VLOOKUP(H657,GLAPS정리!$L$3:$O$133,2,0)</f>
        <v>#N/A</v>
      </c>
      <c r="CA657" s="2" t="str">
        <f t="shared" si="158"/>
        <v/>
      </c>
      <c r="CL657" s="2" t="e">
        <f>VLOOKUP(AI657,GLAPS정리!$BT$3:$BV$26,3,0)</f>
        <v>#N/A</v>
      </c>
    </row>
    <row r="658" spans="2:90" ht="20.45" customHeight="1">
      <c r="B658" s="13"/>
      <c r="G658" s="3"/>
      <c r="J658" s="3"/>
      <c r="Q658" s="3" t="str">
        <f t="shared" si="146"/>
        <v/>
      </c>
      <c r="R658" s="3" t="str">
        <f t="shared" si="147"/>
        <v/>
      </c>
      <c r="S658" s="3" t="str">
        <f t="shared" si="148"/>
        <v/>
      </c>
      <c r="X658" s="13"/>
      <c r="Y658" s="13"/>
      <c r="Z658" s="91"/>
      <c r="AC658" s="2">
        <f t="shared" si="149"/>
        <v>20</v>
      </c>
      <c r="AD658" s="2" t="str">
        <f>IFERROR(INDEX(GLAPS정리!$D$2:$D$50,MATCH(I658,GLAPS정리!$A$2:$A$50,0)),IFERROR(INDEX(GLAPS정리!$D$2:$D$50,MATCH(I658,GLAPS정리!$B$2:$B$50,0)),""))</f>
        <v/>
      </c>
      <c r="AF658" s="2" t="str">
        <f t="shared" si="150"/>
        <v>KR10</v>
      </c>
      <c r="AI658" s="2" t="e">
        <f>VLOOKUP(F658,GLAPS정리!$G$3:$J$114,2,0)</f>
        <v>#N/A</v>
      </c>
      <c r="AJ658" s="2" t="e">
        <f>IF(Z658="울산정일","KRONS",IF(Z658="울산신항","KRUSN",IF(OR(Z658="선광종합물류(인천여객)",Z658="인천여객(인천여객)"),"KRINF",IF(OR(Z658="선광인천보세(인천신)",Z658="한진인천(인천신)",Z658="선광인천신항(인천신)",Z658="인천더로지스(인천신)"),"KRINN",IF(OR(Z658="인천진아(인천항)",Z658="인천E1(인천항)",Z658="인천SM경인터미널(인천항)",Z658="인천항(인천항)",Z658="인천우련(인천항)",Z658="인천항8부두(인천항)"),"KRINC",VLOOKUP(K658,GLAPS정리!$BB$2:$BC$33,2,0))))))</f>
        <v>#N/A</v>
      </c>
      <c r="AL658" s="2">
        <f t="shared" si="151"/>
        <v>5010001</v>
      </c>
      <c r="AN658" s="70" t="str">
        <f t="shared" si="152"/>
        <v>1900-01-00</v>
      </c>
      <c r="AO658" s="2" t="str">
        <f t="shared" si="153"/>
        <v/>
      </c>
      <c r="AP658" s="2" t="e">
        <f>VLOOKUP(C658,GLAPS정리!$AX$2:$AZ$17,3,0)</f>
        <v>#N/A</v>
      </c>
      <c r="AR658" s="2">
        <f t="shared" si="159"/>
        <v>0</v>
      </c>
      <c r="AX658" s="2" t="e">
        <f>VLOOKUP(L658,GLAPS정리!$V$3:$W$180,2,0)</f>
        <v>#N/A</v>
      </c>
      <c r="BM658" s="2" t="str">
        <f t="shared" si="154"/>
        <v xml:space="preserve"> </v>
      </c>
      <c r="BN658" s="2">
        <f t="shared" si="155"/>
        <v>1</v>
      </c>
      <c r="BR658" s="2" t="str">
        <f t="shared" si="156"/>
        <v/>
      </c>
      <c r="BS658" s="2" t="str">
        <f t="shared" si="157"/>
        <v/>
      </c>
      <c r="BV658" s="2" t="e">
        <f>VLOOKUP(O658,GLAPS정리!$BH$2:$BI$94,2,0)</f>
        <v>#N/A</v>
      </c>
      <c r="BW658" s="2" t="str">
        <f>IF(OR(Z658="동원",Z658="세방",Z658="한타"),"",IFERROR(INDEX(GLAPS정리!$BI$2:$BI$101,MATCH(Z658,GLAPS정리!$BH$2:$BH$101,0)),""))</f>
        <v/>
      </c>
      <c r="BX658" s="2" t="str">
        <f>IF(Z658="","",IFERROR(VLOOKUP(Z658,GLAPS정리!$AX$2:$AZ$17,3,0),""))</f>
        <v/>
      </c>
      <c r="BZ658" s="2" t="e">
        <f>VLOOKUP(H658,GLAPS정리!$L$3:$O$133,2,0)</f>
        <v>#N/A</v>
      </c>
      <c r="CA658" s="2" t="str">
        <f t="shared" si="158"/>
        <v/>
      </c>
      <c r="CL658" s="2" t="e">
        <f>VLOOKUP(AI658,GLAPS정리!$BT$3:$BV$26,3,0)</f>
        <v>#N/A</v>
      </c>
    </row>
    <row r="659" spans="2:90" ht="20.45" customHeight="1">
      <c r="B659" s="13"/>
      <c r="G659" s="3"/>
      <c r="J659" s="3"/>
      <c r="Q659" s="3" t="str">
        <f t="shared" si="146"/>
        <v/>
      </c>
      <c r="R659" s="3" t="str">
        <f t="shared" si="147"/>
        <v/>
      </c>
      <c r="S659" s="3" t="str">
        <f t="shared" si="148"/>
        <v/>
      </c>
      <c r="X659" s="13"/>
      <c r="Y659" s="13"/>
      <c r="Z659" s="91"/>
      <c r="AC659" s="2">
        <f t="shared" si="149"/>
        <v>20</v>
      </c>
      <c r="AD659" s="2" t="str">
        <f>IFERROR(INDEX(GLAPS정리!$D$2:$D$50,MATCH(I659,GLAPS정리!$A$2:$A$50,0)),IFERROR(INDEX(GLAPS정리!$D$2:$D$50,MATCH(I659,GLAPS정리!$B$2:$B$50,0)),""))</f>
        <v/>
      </c>
      <c r="AF659" s="2" t="str">
        <f t="shared" si="150"/>
        <v>KR10</v>
      </c>
      <c r="AI659" s="2" t="e">
        <f>VLOOKUP(F659,GLAPS정리!$G$3:$J$114,2,0)</f>
        <v>#N/A</v>
      </c>
      <c r="AJ659" s="2" t="e">
        <f>IF(Z659="울산정일","KRONS",IF(Z659="울산신항","KRUSN",IF(OR(Z659="선광종합물류(인천여객)",Z659="인천여객(인천여객)"),"KRINF",IF(OR(Z659="선광인천보세(인천신)",Z659="한진인천(인천신)",Z659="선광인천신항(인천신)",Z659="인천더로지스(인천신)"),"KRINN",IF(OR(Z659="인천진아(인천항)",Z659="인천E1(인천항)",Z659="인천SM경인터미널(인천항)",Z659="인천항(인천항)",Z659="인천우련(인천항)",Z659="인천항8부두(인천항)"),"KRINC",VLOOKUP(K659,GLAPS정리!$BB$2:$BC$33,2,0))))))</f>
        <v>#N/A</v>
      </c>
      <c r="AL659" s="2">
        <f t="shared" si="151"/>
        <v>5010001</v>
      </c>
      <c r="AN659" s="70" t="str">
        <f t="shared" si="152"/>
        <v>1900-01-00</v>
      </c>
      <c r="AO659" s="2" t="str">
        <f t="shared" si="153"/>
        <v/>
      </c>
      <c r="AP659" s="2" t="e">
        <f>VLOOKUP(C659,GLAPS정리!$AX$2:$AZ$17,3,0)</f>
        <v>#N/A</v>
      </c>
      <c r="AR659" s="2">
        <f t="shared" si="159"/>
        <v>0</v>
      </c>
      <c r="AX659" s="2" t="e">
        <f>VLOOKUP(L659,GLAPS정리!$V$3:$W$180,2,0)</f>
        <v>#N/A</v>
      </c>
      <c r="BM659" s="2" t="str">
        <f t="shared" si="154"/>
        <v xml:space="preserve"> </v>
      </c>
      <c r="BN659" s="2">
        <f t="shared" si="155"/>
        <v>1</v>
      </c>
      <c r="BR659" s="2" t="str">
        <f t="shared" si="156"/>
        <v/>
      </c>
      <c r="BS659" s="2" t="str">
        <f t="shared" si="157"/>
        <v/>
      </c>
      <c r="BV659" s="2" t="e">
        <f>VLOOKUP(O659,GLAPS정리!$BH$2:$BI$94,2,0)</f>
        <v>#N/A</v>
      </c>
      <c r="BW659" s="2" t="str">
        <f>IF(OR(Z659="동원",Z659="세방",Z659="한타"),"",IFERROR(INDEX(GLAPS정리!$BI$2:$BI$101,MATCH(Z659,GLAPS정리!$BH$2:$BH$101,0)),""))</f>
        <v/>
      </c>
      <c r="BX659" s="2" t="str">
        <f>IF(Z659="","",IFERROR(VLOOKUP(Z659,GLAPS정리!$AX$2:$AZ$17,3,0),""))</f>
        <v/>
      </c>
      <c r="BZ659" s="2" t="e">
        <f>VLOOKUP(H659,GLAPS정리!$L$3:$O$133,2,0)</f>
        <v>#N/A</v>
      </c>
      <c r="CA659" s="2" t="str">
        <f t="shared" si="158"/>
        <v/>
      </c>
      <c r="CL659" s="2" t="e">
        <f>VLOOKUP(AI659,GLAPS정리!$BT$3:$BV$26,3,0)</f>
        <v>#N/A</v>
      </c>
    </row>
    <row r="660" spans="2:90" ht="20.45" customHeight="1">
      <c r="B660" s="13"/>
      <c r="G660" s="3"/>
      <c r="J660" s="3"/>
      <c r="Q660" s="3" t="str">
        <f t="shared" si="146"/>
        <v/>
      </c>
      <c r="R660" s="3" t="str">
        <f t="shared" si="147"/>
        <v/>
      </c>
      <c r="S660" s="3" t="str">
        <f t="shared" si="148"/>
        <v/>
      </c>
      <c r="X660" s="13"/>
      <c r="Y660" s="13"/>
      <c r="Z660" s="91"/>
      <c r="AC660" s="2">
        <f t="shared" si="149"/>
        <v>20</v>
      </c>
      <c r="AD660" s="2" t="str">
        <f>IFERROR(INDEX(GLAPS정리!$D$2:$D$50,MATCH(I660,GLAPS정리!$A$2:$A$50,0)),IFERROR(INDEX(GLAPS정리!$D$2:$D$50,MATCH(I660,GLAPS정리!$B$2:$B$50,0)),""))</f>
        <v/>
      </c>
      <c r="AF660" s="2" t="str">
        <f t="shared" si="150"/>
        <v>KR10</v>
      </c>
      <c r="AI660" s="2" t="e">
        <f>VLOOKUP(F660,GLAPS정리!$G$3:$J$114,2,0)</f>
        <v>#N/A</v>
      </c>
      <c r="AJ660" s="2" t="e">
        <f>IF(Z660="울산정일","KRONS",IF(Z660="울산신항","KRUSN",IF(OR(Z660="선광종합물류(인천여객)",Z660="인천여객(인천여객)"),"KRINF",IF(OR(Z660="선광인천보세(인천신)",Z660="한진인천(인천신)",Z660="선광인천신항(인천신)",Z660="인천더로지스(인천신)"),"KRINN",IF(OR(Z660="인천진아(인천항)",Z660="인천E1(인천항)",Z660="인천SM경인터미널(인천항)",Z660="인천항(인천항)",Z660="인천우련(인천항)",Z660="인천항8부두(인천항)"),"KRINC",VLOOKUP(K660,GLAPS정리!$BB$2:$BC$33,2,0))))))</f>
        <v>#N/A</v>
      </c>
      <c r="AL660" s="2">
        <f t="shared" si="151"/>
        <v>5010001</v>
      </c>
      <c r="AN660" s="70" t="str">
        <f t="shared" si="152"/>
        <v>1900-01-00</v>
      </c>
      <c r="AO660" s="2" t="str">
        <f t="shared" si="153"/>
        <v/>
      </c>
      <c r="AP660" s="2" t="e">
        <f>VLOOKUP(C660,GLAPS정리!$AX$2:$AZ$17,3,0)</f>
        <v>#N/A</v>
      </c>
      <c r="AR660" s="2">
        <f t="shared" si="159"/>
        <v>0</v>
      </c>
      <c r="AX660" s="2" t="e">
        <f>VLOOKUP(L660,GLAPS정리!$V$3:$W$180,2,0)</f>
        <v>#N/A</v>
      </c>
      <c r="BM660" s="2" t="str">
        <f t="shared" si="154"/>
        <v xml:space="preserve"> </v>
      </c>
      <c r="BN660" s="2">
        <f t="shared" si="155"/>
        <v>1</v>
      </c>
      <c r="BR660" s="2" t="str">
        <f t="shared" si="156"/>
        <v/>
      </c>
      <c r="BS660" s="2" t="str">
        <f t="shared" si="157"/>
        <v/>
      </c>
      <c r="BV660" s="2" t="e">
        <f>VLOOKUP(O660,GLAPS정리!$BH$2:$BI$94,2,0)</f>
        <v>#N/A</v>
      </c>
      <c r="BW660" s="2" t="str">
        <f>IF(OR(Z660="동원",Z660="세방",Z660="한타"),"",IFERROR(INDEX(GLAPS정리!$BI$2:$BI$101,MATCH(Z660,GLAPS정리!$BH$2:$BH$101,0)),""))</f>
        <v/>
      </c>
      <c r="BX660" s="2" t="str">
        <f>IF(Z660="","",IFERROR(VLOOKUP(Z660,GLAPS정리!$AX$2:$AZ$17,3,0),""))</f>
        <v/>
      </c>
      <c r="BZ660" s="2" t="e">
        <f>VLOOKUP(H660,GLAPS정리!$L$3:$O$133,2,0)</f>
        <v>#N/A</v>
      </c>
      <c r="CA660" s="2" t="str">
        <f t="shared" si="158"/>
        <v/>
      </c>
      <c r="CL660" s="2" t="e">
        <f>VLOOKUP(AI660,GLAPS정리!$BT$3:$BV$26,3,0)</f>
        <v>#N/A</v>
      </c>
    </row>
    <row r="661" spans="2:90" ht="20.45" customHeight="1">
      <c r="B661" s="13"/>
      <c r="G661" s="3"/>
      <c r="J661" s="3"/>
      <c r="Q661" s="3" t="str">
        <f t="shared" si="146"/>
        <v/>
      </c>
      <c r="R661" s="3" t="str">
        <f t="shared" si="147"/>
        <v/>
      </c>
      <c r="S661" s="3" t="str">
        <f t="shared" si="148"/>
        <v/>
      </c>
      <c r="X661" s="13"/>
      <c r="Y661" s="13"/>
      <c r="Z661" s="91"/>
      <c r="AC661" s="2">
        <f t="shared" si="149"/>
        <v>20</v>
      </c>
      <c r="AD661" s="2" t="str">
        <f>IFERROR(INDEX(GLAPS정리!$D$2:$D$50,MATCH(I661,GLAPS정리!$A$2:$A$50,0)),IFERROR(INDEX(GLAPS정리!$D$2:$D$50,MATCH(I661,GLAPS정리!$B$2:$B$50,0)),""))</f>
        <v/>
      </c>
      <c r="AF661" s="2" t="str">
        <f t="shared" si="150"/>
        <v>KR10</v>
      </c>
      <c r="AI661" s="2" t="e">
        <f>VLOOKUP(F661,GLAPS정리!$G$3:$J$114,2,0)</f>
        <v>#N/A</v>
      </c>
      <c r="AJ661" s="2" t="e">
        <f>IF(Z661="울산정일","KRONS",IF(Z661="울산신항","KRUSN",IF(OR(Z661="선광종합물류(인천여객)",Z661="인천여객(인천여객)"),"KRINF",IF(OR(Z661="선광인천보세(인천신)",Z661="한진인천(인천신)",Z661="선광인천신항(인천신)",Z661="인천더로지스(인천신)"),"KRINN",IF(OR(Z661="인천진아(인천항)",Z661="인천E1(인천항)",Z661="인천SM경인터미널(인천항)",Z661="인천항(인천항)",Z661="인천우련(인천항)",Z661="인천항8부두(인천항)"),"KRINC",VLOOKUP(K661,GLAPS정리!$BB$2:$BC$33,2,0))))))</f>
        <v>#N/A</v>
      </c>
      <c r="AL661" s="2">
        <f t="shared" si="151"/>
        <v>5010001</v>
      </c>
      <c r="AN661" s="70" t="str">
        <f t="shared" si="152"/>
        <v>1900-01-00</v>
      </c>
      <c r="AO661" s="2" t="str">
        <f t="shared" si="153"/>
        <v/>
      </c>
      <c r="AP661" s="2" t="e">
        <f>VLOOKUP(C661,GLAPS정리!$AX$2:$AZ$17,3,0)</f>
        <v>#N/A</v>
      </c>
      <c r="AR661" s="2">
        <f t="shared" si="159"/>
        <v>0</v>
      </c>
      <c r="AX661" s="2" t="e">
        <f>VLOOKUP(L661,GLAPS정리!$V$3:$W$180,2,0)</f>
        <v>#N/A</v>
      </c>
      <c r="BM661" s="2" t="str">
        <f t="shared" si="154"/>
        <v xml:space="preserve"> </v>
      </c>
      <c r="BN661" s="2">
        <f t="shared" si="155"/>
        <v>1</v>
      </c>
      <c r="BR661" s="2" t="str">
        <f t="shared" si="156"/>
        <v/>
      </c>
      <c r="BS661" s="2" t="str">
        <f t="shared" si="157"/>
        <v/>
      </c>
      <c r="BV661" s="2" t="e">
        <f>VLOOKUP(O661,GLAPS정리!$BH$2:$BI$94,2,0)</f>
        <v>#N/A</v>
      </c>
      <c r="BW661" s="2" t="str">
        <f>IF(OR(Z661="동원",Z661="세방",Z661="한타"),"",IFERROR(INDEX(GLAPS정리!$BI$2:$BI$101,MATCH(Z661,GLAPS정리!$BH$2:$BH$101,0)),""))</f>
        <v/>
      </c>
      <c r="BX661" s="2" t="str">
        <f>IF(Z661="","",IFERROR(VLOOKUP(Z661,GLAPS정리!$AX$2:$AZ$17,3,0),""))</f>
        <v/>
      </c>
      <c r="BZ661" s="2" t="e">
        <f>VLOOKUP(H661,GLAPS정리!$L$3:$O$133,2,0)</f>
        <v>#N/A</v>
      </c>
      <c r="CA661" s="2" t="str">
        <f t="shared" si="158"/>
        <v/>
      </c>
      <c r="CL661" s="2" t="e">
        <f>VLOOKUP(AI661,GLAPS정리!$BT$3:$BV$26,3,0)</f>
        <v>#N/A</v>
      </c>
    </row>
    <row r="662" spans="2:90" ht="20.45" customHeight="1">
      <c r="B662" s="13"/>
      <c r="G662" s="3"/>
      <c r="J662" s="3"/>
      <c r="Q662" s="3" t="str">
        <f t="shared" si="146"/>
        <v/>
      </c>
      <c r="R662" s="3" t="str">
        <f t="shared" si="147"/>
        <v/>
      </c>
      <c r="S662" s="3" t="str">
        <f t="shared" si="148"/>
        <v/>
      </c>
      <c r="X662" s="13"/>
      <c r="Y662" s="13"/>
      <c r="Z662" s="91"/>
      <c r="AC662" s="2">
        <f t="shared" si="149"/>
        <v>20</v>
      </c>
      <c r="AD662" s="2" t="str">
        <f>IFERROR(INDEX(GLAPS정리!$D$2:$D$50,MATCH(I662,GLAPS정리!$A$2:$A$50,0)),IFERROR(INDEX(GLAPS정리!$D$2:$D$50,MATCH(I662,GLAPS정리!$B$2:$B$50,0)),""))</f>
        <v/>
      </c>
      <c r="AF662" s="2" t="str">
        <f t="shared" si="150"/>
        <v>KR10</v>
      </c>
      <c r="AI662" s="2" t="e">
        <f>VLOOKUP(F662,GLAPS정리!$G$3:$J$114,2,0)</f>
        <v>#N/A</v>
      </c>
      <c r="AJ662" s="2" t="e">
        <f>IF(Z662="울산정일","KRONS",IF(Z662="울산신항","KRUSN",IF(OR(Z662="선광종합물류(인천여객)",Z662="인천여객(인천여객)"),"KRINF",IF(OR(Z662="선광인천보세(인천신)",Z662="한진인천(인천신)",Z662="선광인천신항(인천신)",Z662="인천더로지스(인천신)"),"KRINN",IF(OR(Z662="인천진아(인천항)",Z662="인천E1(인천항)",Z662="인천SM경인터미널(인천항)",Z662="인천항(인천항)",Z662="인천우련(인천항)",Z662="인천항8부두(인천항)"),"KRINC",VLOOKUP(K662,GLAPS정리!$BB$2:$BC$33,2,0))))))</f>
        <v>#N/A</v>
      </c>
      <c r="AL662" s="2">
        <f t="shared" si="151"/>
        <v>5010001</v>
      </c>
      <c r="AN662" s="70" t="str">
        <f t="shared" si="152"/>
        <v>1900-01-00</v>
      </c>
      <c r="AO662" s="2" t="str">
        <f t="shared" si="153"/>
        <v/>
      </c>
      <c r="AP662" s="2" t="e">
        <f>VLOOKUP(C662,GLAPS정리!$AX$2:$AZ$17,3,0)</f>
        <v>#N/A</v>
      </c>
      <c r="AR662" s="2">
        <f t="shared" si="159"/>
        <v>0</v>
      </c>
      <c r="AX662" s="2" t="e">
        <f>VLOOKUP(L662,GLAPS정리!$V$3:$W$180,2,0)</f>
        <v>#N/A</v>
      </c>
      <c r="BM662" s="2" t="str">
        <f t="shared" si="154"/>
        <v xml:space="preserve"> </v>
      </c>
      <c r="BN662" s="2">
        <f t="shared" si="155"/>
        <v>1</v>
      </c>
      <c r="BR662" s="2" t="str">
        <f t="shared" si="156"/>
        <v/>
      </c>
      <c r="BS662" s="2" t="str">
        <f t="shared" si="157"/>
        <v/>
      </c>
      <c r="BV662" s="2" t="e">
        <f>VLOOKUP(O662,GLAPS정리!$BH$2:$BI$94,2,0)</f>
        <v>#N/A</v>
      </c>
      <c r="BW662" s="2" t="str">
        <f>IF(OR(Z662="동원",Z662="세방",Z662="한타"),"",IFERROR(INDEX(GLAPS정리!$BI$2:$BI$101,MATCH(Z662,GLAPS정리!$BH$2:$BH$101,0)),""))</f>
        <v/>
      </c>
      <c r="BX662" s="2" t="str">
        <f>IF(Z662="","",IFERROR(VLOOKUP(Z662,GLAPS정리!$AX$2:$AZ$17,3,0),""))</f>
        <v/>
      </c>
      <c r="BZ662" s="2" t="e">
        <f>VLOOKUP(H662,GLAPS정리!$L$3:$O$133,2,0)</f>
        <v>#N/A</v>
      </c>
      <c r="CA662" s="2" t="str">
        <f t="shared" si="158"/>
        <v/>
      </c>
      <c r="CL662" s="2" t="e">
        <f>VLOOKUP(AI662,GLAPS정리!$BT$3:$BV$26,3,0)</f>
        <v>#N/A</v>
      </c>
    </row>
    <row r="663" spans="2:90" ht="20.45" customHeight="1">
      <c r="B663" s="13"/>
      <c r="G663" s="3"/>
      <c r="J663" s="3"/>
      <c r="Q663" s="3" t="str">
        <f t="shared" si="146"/>
        <v/>
      </c>
      <c r="R663" s="3" t="str">
        <f t="shared" si="147"/>
        <v/>
      </c>
      <c r="S663" s="3" t="str">
        <f t="shared" si="148"/>
        <v/>
      </c>
      <c r="X663" s="13"/>
      <c r="Y663" s="13"/>
      <c r="Z663" s="91"/>
      <c r="AC663" s="2">
        <f t="shared" si="149"/>
        <v>20</v>
      </c>
      <c r="AD663" s="2" t="str">
        <f>IFERROR(INDEX(GLAPS정리!$D$2:$D$50,MATCH(I663,GLAPS정리!$A$2:$A$50,0)),IFERROR(INDEX(GLAPS정리!$D$2:$D$50,MATCH(I663,GLAPS정리!$B$2:$B$50,0)),""))</f>
        <v/>
      </c>
      <c r="AF663" s="2" t="str">
        <f t="shared" si="150"/>
        <v>KR10</v>
      </c>
      <c r="AI663" s="2" t="e">
        <f>VLOOKUP(F663,GLAPS정리!$G$3:$J$114,2,0)</f>
        <v>#N/A</v>
      </c>
      <c r="AJ663" s="2" t="e">
        <f>IF(Z663="울산정일","KRONS",IF(Z663="울산신항","KRUSN",IF(OR(Z663="선광종합물류(인천여객)",Z663="인천여객(인천여객)"),"KRINF",IF(OR(Z663="선광인천보세(인천신)",Z663="한진인천(인천신)",Z663="선광인천신항(인천신)",Z663="인천더로지스(인천신)"),"KRINN",IF(OR(Z663="인천진아(인천항)",Z663="인천E1(인천항)",Z663="인천SM경인터미널(인천항)",Z663="인천항(인천항)",Z663="인천우련(인천항)",Z663="인천항8부두(인천항)"),"KRINC",VLOOKUP(K663,GLAPS정리!$BB$2:$BC$33,2,0))))))</f>
        <v>#N/A</v>
      </c>
      <c r="AL663" s="2">
        <f t="shared" si="151"/>
        <v>5010001</v>
      </c>
      <c r="AN663" s="70" t="str">
        <f t="shared" si="152"/>
        <v>1900-01-00</v>
      </c>
      <c r="AO663" s="2" t="str">
        <f t="shared" si="153"/>
        <v/>
      </c>
      <c r="AP663" s="2" t="e">
        <f>VLOOKUP(C663,GLAPS정리!$AX$2:$AZ$17,3,0)</f>
        <v>#N/A</v>
      </c>
      <c r="AR663" s="2">
        <f t="shared" si="159"/>
        <v>0</v>
      </c>
      <c r="AX663" s="2" t="e">
        <f>VLOOKUP(L663,GLAPS정리!$V$3:$W$180,2,0)</f>
        <v>#N/A</v>
      </c>
      <c r="BM663" s="2" t="str">
        <f t="shared" si="154"/>
        <v xml:space="preserve"> </v>
      </c>
      <c r="BN663" s="2">
        <f t="shared" si="155"/>
        <v>1</v>
      </c>
      <c r="BR663" s="2" t="str">
        <f t="shared" si="156"/>
        <v/>
      </c>
      <c r="BS663" s="2" t="str">
        <f t="shared" si="157"/>
        <v/>
      </c>
      <c r="BV663" s="2" t="e">
        <f>VLOOKUP(O663,GLAPS정리!$BH$2:$BI$94,2,0)</f>
        <v>#N/A</v>
      </c>
      <c r="BW663" s="2" t="str">
        <f>IF(OR(Z663="동원",Z663="세방",Z663="한타"),"",IFERROR(INDEX(GLAPS정리!$BI$2:$BI$101,MATCH(Z663,GLAPS정리!$BH$2:$BH$101,0)),""))</f>
        <v/>
      </c>
      <c r="BX663" s="2" t="str">
        <f>IF(Z663="","",IFERROR(VLOOKUP(Z663,GLAPS정리!$AX$2:$AZ$17,3,0),""))</f>
        <v/>
      </c>
      <c r="BZ663" s="2" t="e">
        <f>VLOOKUP(H663,GLAPS정리!$L$3:$O$133,2,0)</f>
        <v>#N/A</v>
      </c>
      <c r="CA663" s="2" t="str">
        <f t="shared" si="158"/>
        <v/>
      </c>
      <c r="CL663" s="2" t="e">
        <f>VLOOKUP(AI663,GLAPS정리!$BT$3:$BV$26,3,0)</f>
        <v>#N/A</v>
      </c>
    </row>
    <row r="664" spans="2:90" ht="20.45" customHeight="1">
      <c r="B664" s="13"/>
      <c r="G664" s="3"/>
      <c r="J664" s="3"/>
      <c r="Q664" s="3" t="str">
        <f t="shared" si="146"/>
        <v/>
      </c>
      <c r="R664" s="3" t="str">
        <f t="shared" si="147"/>
        <v/>
      </c>
      <c r="S664" s="3" t="str">
        <f t="shared" si="148"/>
        <v/>
      </c>
      <c r="X664" s="13"/>
      <c r="Y664" s="13"/>
      <c r="Z664" s="91"/>
      <c r="AC664" s="2">
        <f t="shared" si="149"/>
        <v>20</v>
      </c>
      <c r="AD664" s="2" t="str">
        <f>IFERROR(INDEX(GLAPS정리!$D$2:$D$50,MATCH(I664,GLAPS정리!$A$2:$A$50,0)),IFERROR(INDEX(GLAPS정리!$D$2:$D$50,MATCH(I664,GLAPS정리!$B$2:$B$50,0)),""))</f>
        <v/>
      </c>
      <c r="AF664" s="2" t="str">
        <f t="shared" si="150"/>
        <v>KR10</v>
      </c>
      <c r="AI664" s="2" t="e">
        <f>VLOOKUP(F664,GLAPS정리!$G$3:$J$114,2,0)</f>
        <v>#N/A</v>
      </c>
      <c r="AJ664" s="2" t="e">
        <f>IF(Z664="울산정일","KRONS",IF(Z664="울산신항","KRUSN",IF(OR(Z664="선광종합물류(인천여객)",Z664="인천여객(인천여객)"),"KRINF",IF(OR(Z664="선광인천보세(인천신)",Z664="한진인천(인천신)",Z664="선광인천신항(인천신)",Z664="인천더로지스(인천신)"),"KRINN",IF(OR(Z664="인천진아(인천항)",Z664="인천E1(인천항)",Z664="인천SM경인터미널(인천항)",Z664="인천항(인천항)",Z664="인천우련(인천항)",Z664="인천항8부두(인천항)"),"KRINC",VLOOKUP(K664,GLAPS정리!$BB$2:$BC$33,2,0))))))</f>
        <v>#N/A</v>
      </c>
      <c r="AL664" s="2">
        <f t="shared" si="151"/>
        <v>5010001</v>
      </c>
      <c r="AN664" s="70" t="str">
        <f t="shared" si="152"/>
        <v>1900-01-00</v>
      </c>
      <c r="AO664" s="2" t="str">
        <f t="shared" si="153"/>
        <v/>
      </c>
      <c r="AP664" s="2" t="e">
        <f>VLOOKUP(C664,GLAPS정리!$AX$2:$AZ$17,3,0)</f>
        <v>#N/A</v>
      </c>
      <c r="AR664" s="2">
        <f t="shared" si="159"/>
        <v>0</v>
      </c>
      <c r="AX664" s="2" t="e">
        <f>VLOOKUP(L664,GLAPS정리!$V$3:$W$180,2,0)</f>
        <v>#N/A</v>
      </c>
      <c r="BM664" s="2" t="str">
        <f t="shared" si="154"/>
        <v xml:space="preserve"> </v>
      </c>
      <c r="BN664" s="2">
        <f t="shared" si="155"/>
        <v>1</v>
      </c>
      <c r="BR664" s="2" t="str">
        <f t="shared" si="156"/>
        <v/>
      </c>
      <c r="BS664" s="2" t="str">
        <f t="shared" si="157"/>
        <v/>
      </c>
      <c r="BV664" s="2" t="e">
        <f>VLOOKUP(O664,GLAPS정리!$BH$2:$BI$94,2,0)</f>
        <v>#N/A</v>
      </c>
      <c r="BW664" s="2" t="str">
        <f>IF(OR(Z664="동원",Z664="세방",Z664="한타"),"",IFERROR(INDEX(GLAPS정리!$BI$2:$BI$101,MATCH(Z664,GLAPS정리!$BH$2:$BH$101,0)),""))</f>
        <v/>
      </c>
      <c r="BX664" s="2" t="str">
        <f>IF(Z664="","",IFERROR(VLOOKUP(Z664,GLAPS정리!$AX$2:$AZ$17,3,0),""))</f>
        <v/>
      </c>
      <c r="BZ664" s="2" t="e">
        <f>VLOOKUP(H664,GLAPS정리!$L$3:$O$133,2,0)</f>
        <v>#N/A</v>
      </c>
      <c r="CA664" s="2" t="str">
        <f t="shared" si="158"/>
        <v/>
      </c>
      <c r="CL664" s="2" t="e">
        <f>VLOOKUP(AI664,GLAPS정리!$BT$3:$BV$26,3,0)</f>
        <v>#N/A</v>
      </c>
    </row>
    <row r="665" spans="2:90" ht="20.45" customHeight="1">
      <c r="B665" s="13"/>
      <c r="G665" s="3"/>
      <c r="J665" s="3"/>
      <c r="Q665" s="3" t="str">
        <f t="shared" si="146"/>
        <v/>
      </c>
      <c r="R665" s="3" t="str">
        <f t="shared" si="147"/>
        <v/>
      </c>
      <c r="S665" s="3" t="str">
        <f t="shared" si="148"/>
        <v/>
      </c>
      <c r="X665" s="13"/>
      <c r="Y665" s="13"/>
      <c r="Z665" s="91"/>
      <c r="AC665" s="2">
        <f t="shared" si="149"/>
        <v>20</v>
      </c>
      <c r="AD665" s="2" t="str">
        <f>IFERROR(INDEX(GLAPS정리!$D$2:$D$50,MATCH(I665,GLAPS정리!$A$2:$A$50,0)),IFERROR(INDEX(GLAPS정리!$D$2:$D$50,MATCH(I665,GLAPS정리!$B$2:$B$50,0)),""))</f>
        <v/>
      </c>
      <c r="AF665" s="2" t="str">
        <f t="shared" si="150"/>
        <v>KR10</v>
      </c>
      <c r="AI665" s="2" t="e">
        <f>VLOOKUP(F665,GLAPS정리!$G$3:$J$114,2,0)</f>
        <v>#N/A</v>
      </c>
      <c r="AJ665" s="2" t="e">
        <f>IF(Z665="울산정일","KRONS",IF(Z665="울산신항","KRUSN",IF(OR(Z665="선광종합물류(인천여객)",Z665="인천여객(인천여객)"),"KRINF",IF(OR(Z665="선광인천보세(인천신)",Z665="한진인천(인천신)",Z665="선광인천신항(인천신)",Z665="인천더로지스(인천신)"),"KRINN",IF(OR(Z665="인천진아(인천항)",Z665="인천E1(인천항)",Z665="인천SM경인터미널(인천항)",Z665="인천항(인천항)",Z665="인천우련(인천항)",Z665="인천항8부두(인천항)"),"KRINC",VLOOKUP(K665,GLAPS정리!$BB$2:$BC$33,2,0))))))</f>
        <v>#N/A</v>
      </c>
      <c r="AL665" s="2">
        <f t="shared" si="151"/>
        <v>5010001</v>
      </c>
      <c r="AN665" s="70" t="str">
        <f t="shared" si="152"/>
        <v>1900-01-00</v>
      </c>
      <c r="AO665" s="2" t="str">
        <f t="shared" si="153"/>
        <v/>
      </c>
      <c r="AP665" s="2" t="e">
        <f>VLOOKUP(C665,GLAPS정리!$AX$2:$AZ$17,3,0)</f>
        <v>#N/A</v>
      </c>
      <c r="AR665" s="2">
        <f t="shared" si="159"/>
        <v>0</v>
      </c>
      <c r="AX665" s="2" t="e">
        <f>VLOOKUP(L665,GLAPS정리!$V$3:$W$180,2,0)</f>
        <v>#N/A</v>
      </c>
      <c r="BM665" s="2" t="str">
        <f t="shared" si="154"/>
        <v xml:space="preserve"> </v>
      </c>
      <c r="BN665" s="2">
        <f t="shared" si="155"/>
        <v>1</v>
      </c>
      <c r="BR665" s="2" t="str">
        <f t="shared" si="156"/>
        <v/>
      </c>
      <c r="BS665" s="2" t="str">
        <f t="shared" si="157"/>
        <v/>
      </c>
      <c r="BV665" s="2" t="e">
        <f>VLOOKUP(O665,GLAPS정리!$BH$2:$BI$94,2,0)</f>
        <v>#N/A</v>
      </c>
      <c r="BW665" s="2" t="str">
        <f>IF(OR(Z665="동원",Z665="세방",Z665="한타"),"",IFERROR(INDEX(GLAPS정리!$BI$2:$BI$101,MATCH(Z665,GLAPS정리!$BH$2:$BH$101,0)),""))</f>
        <v/>
      </c>
      <c r="BX665" s="2" t="str">
        <f>IF(Z665="","",IFERROR(VLOOKUP(Z665,GLAPS정리!$AX$2:$AZ$17,3,0),""))</f>
        <v/>
      </c>
      <c r="BZ665" s="2" t="e">
        <f>VLOOKUP(H665,GLAPS정리!$L$3:$O$133,2,0)</f>
        <v>#N/A</v>
      </c>
      <c r="CA665" s="2" t="str">
        <f t="shared" si="158"/>
        <v/>
      </c>
      <c r="CL665" s="2" t="e">
        <f>VLOOKUP(AI665,GLAPS정리!$BT$3:$BV$26,3,0)</f>
        <v>#N/A</v>
      </c>
    </row>
    <row r="666" spans="2:90" ht="20.45" customHeight="1">
      <c r="B666" s="13"/>
      <c r="G666" s="3"/>
      <c r="J666" s="3"/>
      <c r="Q666" s="3" t="str">
        <f t="shared" si="146"/>
        <v/>
      </c>
      <c r="R666" s="3" t="str">
        <f t="shared" si="147"/>
        <v/>
      </c>
      <c r="S666" s="3" t="str">
        <f t="shared" si="148"/>
        <v/>
      </c>
      <c r="X666" s="13"/>
      <c r="Y666" s="13"/>
      <c r="Z666" s="91"/>
      <c r="AC666" s="2">
        <f t="shared" si="149"/>
        <v>20</v>
      </c>
      <c r="AD666" s="2" t="str">
        <f>IFERROR(INDEX(GLAPS정리!$D$2:$D$50,MATCH(I666,GLAPS정리!$A$2:$A$50,0)),IFERROR(INDEX(GLAPS정리!$D$2:$D$50,MATCH(I666,GLAPS정리!$B$2:$B$50,0)),""))</f>
        <v/>
      </c>
      <c r="AF666" s="2" t="str">
        <f t="shared" si="150"/>
        <v>KR10</v>
      </c>
      <c r="AI666" s="2" t="e">
        <f>VLOOKUP(F666,GLAPS정리!$G$3:$J$114,2,0)</f>
        <v>#N/A</v>
      </c>
      <c r="AJ666" s="2" t="e">
        <f>IF(Z666="울산정일","KRONS",IF(Z666="울산신항","KRUSN",IF(OR(Z666="선광종합물류(인천여객)",Z666="인천여객(인천여객)"),"KRINF",IF(OR(Z666="선광인천보세(인천신)",Z666="한진인천(인천신)",Z666="선광인천신항(인천신)",Z666="인천더로지스(인천신)"),"KRINN",IF(OR(Z666="인천진아(인천항)",Z666="인천E1(인천항)",Z666="인천SM경인터미널(인천항)",Z666="인천항(인천항)",Z666="인천우련(인천항)",Z666="인천항8부두(인천항)"),"KRINC",VLOOKUP(K666,GLAPS정리!$BB$2:$BC$33,2,0))))))</f>
        <v>#N/A</v>
      </c>
      <c r="AL666" s="2">
        <f t="shared" si="151"/>
        <v>5010001</v>
      </c>
      <c r="AN666" s="70" t="str">
        <f t="shared" si="152"/>
        <v>1900-01-00</v>
      </c>
      <c r="AO666" s="2" t="str">
        <f t="shared" si="153"/>
        <v/>
      </c>
      <c r="AP666" s="2" t="e">
        <f>VLOOKUP(C666,GLAPS정리!$AX$2:$AZ$17,3,0)</f>
        <v>#N/A</v>
      </c>
      <c r="AR666" s="2">
        <f t="shared" si="159"/>
        <v>0</v>
      </c>
      <c r="AX666" s="2" t="e">
        <f>VLOOKUP(L666,GLAPS정리!$V$3:$W$180,2,0)</f>
        <v>#N/A</v>
      </c>
      <c r="BM666" s="2" t="str">
        <f t="shared" si="154"/>
        <v xml:space="preserve"> </v>
      </c>
      <c r="BN666" s="2">
        <f t="shared" si="155"/>
        <v>1</v>
      </c>
      <c r="BR666" s="2" t="str">
        <f t="shared" si="156"/>
        <v/>
      </c>
      <c r="BS666" s="2" t="str">
        <f t="shared" si="157"/>
        <v/>
      </c>
      <c r="BV666" s="2" t="e">
        <f>VLOOKUP(O666,GLAPS정리!$BH$2:$BI$94,2,0)</f>
        <v>#N/A</v>
      </c>
      <c r="BW666" s="2" t="str">
        <f>IF(OR(Z666="동원",Z666="세방",Z666="한타"),"",IFERROR(INDEX(GLAPS정리!$BI$2:$BI$101,MATCH(Z666,GLAPS정리!$BH$2:$BH$101,0)),""))</f>
        <v/>
      </c>
      <c r="BX666" s="2" t="str">
        <f>IF(Z666="","",IFERROR(VLOOKUP(Z666,GLAPS정리!$AX$2:$AZ$17,3,0),""))</f>
        <v/>
      </c>
      <c r="BZ666" s="2" t="e">
        <f>VLOOKUP(H666,GLAPS정리!$L$3:$O$133,2,0)</f>
        <v>#N/A</v>
      </c>
      <c r="CA666" s="2" t="str">
        <f t="shared" si="158"/>
        <v/>
      </c>
      <c r="CL666" s="2" t="e">
        <f>VLOOKUP(AI666,GLAPS정리!$BT$3:$BV$26,3,0)</f>
        <v>#N/A</v>
      </c>
    </row>
    <row r="667" spans="2:90" ht="20.45" customHeight="1">
      <c r="B667" s="13"/>
      <c r="G667" s="3"/>
      <c r="J667" s="3"/>
      <c r="Q667" s="3" t="str">
        <f t="shared" si="146"/>
        <v/>
      </c>
      <c r="R667" s="3" t="str">
        <f t="shared" si="147"/>
        <v/>
      </c>
      <c r="S667" s="3" t="str">
        <f t="shared" si="148"/>
        <v/>
      </c>
      <c r="X667" s="13"/>
      <c r="Y667" s="13"/>
      <c r="Z667" s="91"/>
      <c r="AC667" s="2">
        <f t="shared" si="149"/>
        <v>20</v>
      </c>
      <c r="AD667" s="2" t="str">
        <f>IFERROR(INDEX(GLAPS정리!$D$2:$D$50,MATCH(I667,GLAPS정리!$A$2:$A$50,0)),IFERROR(INDEX(GLAPS정리!$D$2:$D$50,MATCH(I667,GLAPS정리!$B$2:$B$50,0)),""))</f>
        <v/>
      </c>
      <c r="AF667" s="2" t="str">
        <f t="shared" si="150"/>
        <v>KR10</v>
      </c>
      <c r="AI667" s="2" t="e">
        <f>VLOOKUP(F667,GLAPS정리!$G$3:$J$114,2,0)</f>
        <v>#N/A</v>
      </c>
      <c r="AJ667" s="2" t="e">
        <f>IF(Z667="울산정일","KRONS",IF(Z667="울산신항","KRUSN",IF(OR(Z667="선광종합물류(인천여객)",Z667="인천여객(인천여객)"),"KRINF",IF(OR(Z667="선광인천보세(인천신)",Z667="한진인천(인천신)",Z667="선광인천신항(인천신)",Z667="인천더로지스(인천신)"),"KRINN",IF(OR(Z667="인천진아(인천항)",Z667="인천E1(인천항)",Z667="인천SM경인터미널(인천항)",Z667="인천항(인천항)",Z667="인천우련(인천항)",Z667="인천항8부두(인천항)"),"KRINC",VLOOKUP(K667,GLAPS정리!$BB$2:$BC$33,2,0))))))</f>
        <v>#N/A</v>
      </c>
      <c r="AL667" s="2">
        <f t="shared" si="151"/>
        <v>5010001</v>
      </c>
      <c r="AN667" s="70" t="str">
        <f t="shared" si="152"/>
        <v>1900-01-00</v>
      </c>
      <c r="AO667" s="2" t="str">
        <f t="shared" si="153"/>
        <v/>
      </c>
      <c r="AP667" s="2" t="e">
        <f>VLOOKUP(C667,GLAPS정리!$AX$2:$AZ$17,3,0)</f>
        <v>#N/A</v>
      </c>
      <c r="AR667" s="2">
        <f t="shared" si="159"/>
        <v>0</v>
      </c>
      <c r="AX667" s="2" t="e">
        <f>VLOOKUP(L667,GLAPS정리!$V$3:$W$180,2,0)</f>
        <v>#N/A</v>
      </c>
      <c r="BM667" s="2" t="str">
        <f t="shared" si="154"/>
        <v xml:space="preserve"> </v>
      </c>
      <c r="BN667" s="2">
        <f t="shared" si="155"/>
        <v>1</v>
      </c>
      <c r="BR667" s="2" t="str">
        <f t="shared" si="156"/>
        <v/>
      </c>
      <c r="BS667" s="2" t="str">
        <f t="shared" si="157"/>
        <v/>
      </c>
      <c r="BV667" s="2" t="e">
        <f>VLOOKUP(O667,GLAPS정리!$BH$2:$BI$94,2,0)</f>
        <v>#N/A</v>
      </c>
      <c r="BW667" s="2" t="str">
        <f>IF(OR(Z667="동원",Z667="세방",Z667="한타"),"",IFERROR(INDEX(GLAPS정리!$BI$2:$BI$101,MATCH(Z667,GLAPS정리!$BH$2:$BH$101,0)),""))</f>
        <v/>
      </c>
      <c r="BX667" s="2" t="str">
        <f>IF(Z667="","",IFERROR(VLOOKUP(Z667,GLAPS정리!$AX$2:$AZ$17,3,0),""))</f>
        <v/>
      </c>
      <c r="BZ667" s="2" t="e">
        <f>VLOOKUP(H667,GLAPS정리!$L$3:$O$133,2,0)</f>
        <v>#N/A</v>
      </c>
      <c r="CA667" s="2" t="str">
        <f t="shared" si="158"/>
        <v/>
      </c>
      <c r="CL667" s="2" t="e">
        <f>VLOOKUP(AI667,GLAPS정리!$BT$3:$BV$26,3,0)</f>
        <v>#N/A</v>
      </c>
    </row>
    <row r="668" spans="2:90" ht="20.45" customHeight="1">
      <c r="B668" s="13"/>
      <c r="G668" s="3"/>
      <c r="J668" s="3"/>
      <c r="Q668" s="3" t="str">
        <f t="shared" si="146"/>
        <v/>
      </c>
      <c r="R668" s="3" t="str">
        <f t="shared" si="147"/>
        <v/>
      </c>
      <c r="S668" s="3" t="str">
        <f t="shared" si="148"/>
        <v/>
      </c>
      <c r="X668" s="13"/>
      <c r="Y668" s="13"/>
      <c r="Z668" s="91"/>
      <c r="AC668" s="2">
        <f t="shared" si="149"/>
        <v>20</v>
      </c>
      <c r="AD668" s="2" t="str">
        <f>IFERROR(INDEX(GLAPS정리!$D$2:$D$50,MATCH(I668,GLAPS정리!$A$2:$A$50,0)),IFERROR(INDEX(GLAPS정리!$D$2:$D$50,MATCH(I668,GLAPS정리!$B$2:$B$50,0)),""))</f>
        <v/>
      </c>
      <c r="AF668" s="2" t="str">
        <f t="shared" si="150"/>
        <v>KR10</v>
      </c>
      <c r="AI668" s="2" t="e">
        <f>VLOOKUP(F668,GLAPS정리!$G$3:$J$114,2,0)</f>
        <v>#N/A</v>
      </c>
      <c r="AJ668" s="2" t="e">
        <f>IF(Z668="울산정일","KRONS",IF(Z668="울산신항","KRUSN",IF(OR(Z668="선광종합물류(인천여객)",Z668="인천여객(인천여객)"),"KRINF",IF(OR(Z668="선광인천보세(인천신)",Z668="한진인천(인천신)",Z668="선광인천신항(인천신)",Z668="인천더로지스(인천신)"),"KRINN",IF(OR(Z668="인천진아(인천항)",Z668="인천E1(인천항)",Z668="인천SM경인터미널(인천항)",Z668="인천항(인천항)",Z668="인천우련(인천항)",Z668="인천항8부두(인천항)"),"KRINC",VLOOKUP(K668,GLAPS정리!$BB$2:$BC$33,2,0))))))</f>
        <v>#N/A</v>
      </c>
      <c r="AL668" s="2">
        <f t="shared" si="151"/>
        <v>5010001</v>
      </c>
      <c r="AN668" s="70" t="str">
        <f t="shared" si="152"/>
        <v>1900-01-00</v>
      </c>
      <c r="AO668" s="2" t="str">
        <f t="shared" si="153"/>
        <v/>
      </c>
      <c r="AP668" s="2" t="e">
        <f>VLOOKUP(C668,GLAPS정리!$AX$2:$AZ$17,3,0)</f>
        <v>#N/A</v>
      </c>
      <c r="AR668" s="2">
        <f t="shared" si="159"/>
        <v>0</v>
      </c>
      <c r="AX668" s="2" t="e">
        <f>VLOOKUP(L668,GLAPS정리!$V$3:$W$180,2,0)</f>
        <v>#N/A</v>
      </c>
      <c r="BM668" s="2" t="str">
        <f t="shared" si="154"/>
        <v xml:space="preserve"> </v>
      </c>
      <c r="BN668" s="2">
        <f t="shared" si="155"/>
        <v>1</v>
      </c>
      <c r="BR668" s="2" t="str">
        <f t="shared" si="156"/>
        <v/>
      </c>
      <c r="BS668" s="2" t="str">
        <f t="shared" si="157"/>
        <v/>
      </c>
      <c r="BV668" s="2" t="e">
        <f>VLOOKUP(O668,GLAPS정리!$BH$2:$BI$94,2,0)</f>
        <v>#N/A</v>
      </c>
      <c r="BW668" s="2" t="str">
        <f>IF(OR(Z668="동원",Z668="세방",Z668="한타"),"",IFERROR(INDEX(GLAPS정리!$BI$2:$BI$101,MATCH(Z668,GLAPS정리!$BH$2:$BH$101,0)),""))</f>
        <v/>
      </c>
      <c r="BX668" s="2" t="str">
        <f>IF(Z668="","",IFERROR(VLOOKUP(Z668,GLAPS정리!$AX$2:$AZ$17,3,0),""))</f>
        <v/>
      </c>
      <c r="BZ668" s="2" t="e">
        <f>VLOOKUP(H668,GLAPS정리!$L$3:$O$133,2,0)</f>
        <v>#N/A</v>
      </c>
      <c r="CA668" s="2" t="str">
        <f t="shared" si="158"/>
        <v/>
      </c>
      <c r="CL668" s="2" t="e">
        <f>VLOOKUP(AI668,GLAPS정리!$BT$3:$BV$26,3,0)</f>
        <v>#N/A</v>
      </c>
    </row>
    <row r="669" spans="2:90" ht="20.45" customHeight="1">
      <c r="B669" s="13"/>
      <c r="G669" s="3"/>
      <c r="J669" s="3"/>
      <c r="Q669" s="3" t="str">
        <f t="shared" si="146"/>
        <v/>
      </c>
      <c r="R669" s="3" t="str">
        <f t="shared" si="147"/>
        <v/>
      </c>
      <c r="S669" s="3" t="str">
        <f t="shared" si="148"/>
        <v/>
      </c>
      <c r="X669" s="13"/>
      <c r="Y669" s="13"/>
      <c r="Z669" s="91"/>
      <c r="AC669" s="2">
        <f t="shared" si="149"/>
        <v>20</v>
      </c>
      <c r="AD669" s="2" t="str">
        <f>IFERROR(INDEX(GLAPS정리!$D$2:$D$50,MATCH(I669,GLAPS정리!$A$2:$A$50,0)),IFERROR(INDEX(GLAPS정리!$D$2:$D$50,MATCH(I669,GLAPS정리!$B$2:$B$50,0)),""))</f>
        <v/>
      </c>
      <c r="AF669" s="2" t="str">
        <f t="shared" si="150"/>
        <v>KR10</v>
      </c>
      <c r="AI669" s="2" t="e">
        <f>VLOOKUP(F669,GLAPS정리!$G$3:$J$114,2,0)</f>
        <v>#N/A</v>
      </c>
      <c r="AJ669" s="2" t="e">
        <f>IF(Z669="울산정일","KRONS",IF(Z669="울산신항","KRUSN",IF(OR(Z669="선광종합물류(인천여객)",Z669="인천여객(인천여객)"),"KRINF",IF(OR(Z669="선광인천보세(인천신)",Z669="한진인천(인천신)",Z669="선광인천신항(인천신)",Z669="인천더로지스(인천신)"),"KRINN",IF(OR(Z669="인천진아(인천항)",Z669="인천E1(인천항)",Z669="인천SM경인터미널(인천항)",Z669="인천항(인천항)",Z669="인천우련(인천항)",Z669="인천항8부두(인천항)"),"KRINC",VLOOKUP(K669,GLAPS정리!$BB$2:$BC$33,2,0))))))</f>
        <v>#N/A</v>
      </c>
      <c r="AL669" s="2">
        <f t="shared" si="151"/>
        <v>5010001</v>
      </c>
      <c r="AN669" s="70" t="str">
        <f t="shared" si="152"/>
        <v>1900-01-00</v>
      </c>
      <c r="AO669" s="2" t="str">
        <f t="shared" si="153"/>
        <v/>
      </c>
      <c r="AP669" s="2" t="e">
        <f>VLOOKUP(C669,GLAPS정리!$AX$2:$AZ$17,3,0)</f>
        <v>#N/A</v>
      </c>
      <c r="AR669" s="2">
        <f t="shared" si="159"/>
        <v>0</v>
      </c>
      <c r="AX669" s="2" t="e">
        <f>VLOOKUP(L669,GLAPS정리!$V$3:$W$180,2,0)</f>
        <v>#N/A</v>
      </c>
      <c r="BM669" s="2" t="str">
        <f t="shared" si="154"/>
        <v xml:space="preserve"> </v>
      </c>
      <c r="BN669" s="2">
        <f t="shared" si="155"/>
        <v>1</v>
      </c>
      <c r="BR669" s="2" t="str">
        <f t="shared" si="156"/>
        <v/>
      </c>
      <c r="BS669" s="2" t="str">
        <f t="shared" si="157"/>
        <v/>
      </c>
      <c r="BV669" s="2" t="e">
        <f>VLOOKUP(O669,GLAPS정리!$BH$2:$BI$94,2,0)</f>
        <v>#N/A</v>
      </c>
      <c r="BW669" s="2" t="str">
        <f>IF(OR(Z669="동원",Z669="세방",Z669="한타"),"",IFERROR(INDEX(GLAPS정리!$BI$2:$BI$101,MATCH(Z669,GLAPS정리!$BH$2:$BH$101,0)),""))</f>
        <v/>
      </c>
      <c r="BX669" s="2" t="str">
        <f>IF(Z669="","",IFERROR(VLOOKUP(Z669,GLAPS정리!$AX$2:$AZ$17,3,0),""))</f>
        <v/>
      </c>
      <c r="BZ669" s="2" t="e">
        <f>VLOOKUP(H669,GLAPS정리!$L$3:$O$133,2,0)</f>
        <v>#N/A</v>
      </c>
      <c r="CA669" s="2" t="str">
        <f t="shared" si="158"/>
        <v/>
      </c>
      <c r="CL669" s="2" t="e">
        <f>VLOOKUP(AI669,GLAPS정리!$BT$3:$BV$26,3,0)</f>
        <v>#N/A</v>
      </c>
    </row>
    <row r="670" spans="2:90" ht="20.45" customHeight="1">
      <c r="B670" s="13"/>
      <c r="G670" s="3"/>
      <c r="J670" s="3"/>
      <c r="Q670" s="3" t="str">
        <f t="shared" si="146"/>
        <v/>
      </c>
      <c r="R670" s="3" t="str">
        <f t="shared" si="147"/>
        <v/>
      </c>
      <c r="S670" s="3" t="str">
        <f t="shared" si="148"/>
        <v/>
      </c>
      <c r="X670" s="13"/>
      <c r="Y670" s="13"/>
      <c r="Z670" s="91"/>
      <c r="AC670" s="2">
        <f t="shared" si="149"/>
        <v>20</v>
      </c>
      <c r="AD670" s="2" t="str">
        <f>IFERROR(INDEX(GLAPS정리!$D$2:$D$50,MATCH(I670,GLAPS정리!$A$2:$A$50,0)),IFERROR(INDEX(GLAPS정리!$D$2:$D$50,MATCH(I670,GLAPS정리!$B$2:$B$50,0)),""))</f>
        <v/>
      </c>
      <c r="AF670" s="2" t="str">
        <f t="shared" si="150"/>
        <v>KR10</v>
      </c>
      <c r="AI670" s="2" t="e">
        <f>VLOOKUP(F670,GLAPS정리!$G$3:$J$114,2,0)</f>
        <v>#N/A</v>
      </c>
      <c r="AJ670" s="2" t="e">
        <f>IF(Z670="울산정일","KRONS",IF(Z670="울산신항","KRUSN",IF(OR(Z670="선광종합물류(인천여객)",Z670="인천여객(인천여객)"),"KRINF",IF(OR(Z670="선광인천보세(인천신)",Z670="한진인천(인천신)",Z670="선광인천신항(인천신)",Z670="인천더로지스(인천신)"),"KRINN",IF(OR(Z670="인천진아(인천항)",Z670="인천E1(인천항)",Z670="인천SM경인터미널(인천항)",Z670="인천항(인천항)",Z670="인천우련(인천항)",Z670="인천항8부두(인천항)"),"KRINC",VLOOKUP(K670,GLAPS정리!$BB$2:$BC$33,2,0))))))</f>
        <v>#N/A</v>
      </c>
      <c r="AL670" s="2">
        <f t="shared" si="151"/>
        <v>5010001</v>
      </c>
      <c r="AN670" s="70" t="str">
        <f t="shared" si="152"/>
        <v>1900-01-00</v>
      </c>
      <c r="AO670" s="2" t="str">
        <f t="shared" si="153"/>
        <v/>
      </c>
      <c r="AP670" s="2" t="e">
        <f>VLOOKUP(C670,GLAPS정리!$AX$2:$AZ$17,3,0)</f>
        <v>#N/A</v>
      </c>
      <c r="AR670" s="2">
        <f t="shared" si="159"/>
        <v>0</v>
      </c>
      <c r="AX670" s="2" t="e">
        <f>VLOOKUP(L670,GLAPS정리!$V$3:$W$180,2,0)</f>
        <v>#N/A</v>
      </c>
      <c r="BM670" s="2" t="str">
        <f t="shared" si="154"/>
        <v xml:space="preserve"> </v>
      </c>
      <c r="BN670" s="2">
        <f t="shared" si="155"/>
        <v>1</v>
      </c>
      <c r="BR670" s="2" t="str">
        <f t="shared" si="156"/>
        <v/>
      </c>
      <c r="BS670" s="2" t="str">
        <f t="shared" si="157"/>
        <v/>
      </c>
      <c r="BV670" s="2" t="e">
        <f>VLOOKUP(O670,GLAPS정리!$BH$2:$BI$94,2,0)</f>
        <v>#N/A</v>
      </c>
      <c r="BW670" s="2" t="str">
        <f>IF(OR(Z670="동원",Z670="세방",Z670="한타"),"",IFERROR(INDEX(GLAPS정리!$BI$2:$BI$101,MATCH(Z670,GLAPS정리!$BH$2:$BH$101,0)),""))</f>
        <v/>
      </c>
      <c r="BX670" s="2" t="str">
        <f>IF(Z670="","",IFERROR(VLOOKUP(Z670,GLAPS정리!$AX$2:$AZ$17,3,0),""))</f>
        <v/>
      </c>
      <c r="BZ670" s="2" t="e">
        <f>VLOOKUP(H670,GLAPS정리!$L$3:$O$133,2,0)</f>
        <v>#N/A</v>
      </c>
      <c r="CA670" s="2" t="str">
        <f t="shared" si="158"/>
        <v/>
      </c>
      <c r="CL670" s="2" t="e">
        <f>VLOOKUP(AI670,GLAPS정리!$BT$3:$BV$26,3,0)</f>
        <v>#N/A</v>
      </c>
    </row>
    <row r="671" spans="2:90" ht="20.45" customHeight="1">
      <c r="B671" s="13"/>
      <c r="G671" s="3"/>
      <c r="J671" s="3"/>
      <c r="Q671" s="3" t="str">
        <f t="shared" si="146"/>
        <v/>
      </c>
      <c r="R671" s="3" t="str">
        <f t="shared" si="147"/>
        <v/>
      </c>
      <c r="S671" s="3" t="str">
        <f t="shared" si="148"/>
        <v/>
      </c>
      <c r="X671" s="13"/>
      <c r="Y671" s="13"/>
      <c r="Z671" s="91"/>
      <c r="AC671" s="2">
        <f t="shared" si="149"/>
        <v>20</v>
      </c>
      <c r="AD671" s="2" t="str">
        <f>IFERROR(INDEX(GLAPS정리!$D$2:$D$50,MATCH(I671,GLAPS정리!$A$2:$A$50,0)),IFERROR(INDEX(GLAPS정리!$D$2:$D$50,MATCH(I671,GLAPS정리!$B$2:$B$50,0)),""))</f>
        <v/>
      </c>
      <c r="AF671" s="2" t="str">
        <f t="shared" si="150"/>
        <v>KR10</v>
      </c>
      <c r="AI671" s="2" t="e">
        <f>VLOOKUP(F671,GLAPS정리!$G$3:$J$114,2,0)</f>
        <v>#N/A</v>
      </c>
      <c r="AJ671" s="2" t="e">
        <f>IF(Z671="울산정일","KRONS",IF(Z671="울산신항","KRUSN",IF(OR(Z671="선광종합물류(인천여객)",Z671="인천여객(인천여객)"),"KRINF",IF(OR(Z671="선광인천보세(인천신)",Z671="한진인천(인천신)",Z671="선광인천신항(인천신)",Z671="인천더로지스(인천신)"),"KRINN",IF(OR(Z671="인천진아(인천항)",Z671="인천E1(인천항)",Z671="인천SM경인터미널(인천항)",Z671="인천항(인천항)",Z671="인천우련(인천항)",Z671="인천항8부두(인천항)"),"KRINC",VLOOKUP(K671,GLAPS정리!$BB$2:$BC$33,2,0))))))</f>
        <v>#N/A</v>
      </c>
      <c r="AL671" s="2">
        <f t="shared" si="151"/>
        <v>5010001</v>
      </c>
      <c r="AN671" s="70" t="str">
        <f t="shared" si="152"/>
        <v>1900-01-00</v>
      </c>
      <c r="AO671" s="2" t="str">
        <f t="shared" si="153"/>
        <v/>
      </c>
      <c r="AP671" s="2" t="e">
        <f>VLOOKUP(C671,GLAPS정리!$AX$2:$AZ$17,3,0)</f>
        <v>#N/A</v>
      </c>
      <c r="AR671" s="2">
        <f t="shared" si="159"/>
        <v>0</v>
      </c>
      <c r="AX671" s="2" t="e">
        <f>VLOOKUP(L671,GLAPS정리!$V$3:$W$180,2,0)</f>
        <v>#N/A</v>
      </c>
      <c r="BM671" s="2" t="str">
        <f t="shared" si="154"/>
        <v xml:space="preserve"> </v>
      </c>
      <c r="BN671" s="2">
        <f t="shared" si="155"/>
        <v>1</v>
      </c>
      <c r="BR671" s="2" t="str">
        <f t="shared" si="156"/>
        <v/>
      </c>
      <c r="BS671" s="2" t="str">
        <f t="shared" si="157"/>
        <v/>
      </c>
      <c r="BV671" s="2" t="e">
        <f>VLOOKUP(O671,GLAPS정리!$BH$2:$BI$94,2,0)</f>
        <v>#N/A</v>
      </c>
      <c r="BW671" s="2" t="str">
        <f>IF(OR(Z671="동원",Z671="세방",Z671="한타"),"",IFERROR(INDEX(GLAPS정리!$BI$2:$BI$101,MATCH(Z671,GLAPS정리!$BH$2:$BH$101,0)),""))</f>
        <v/>
      </c>
      <c r="BX671" s="2" t="str">
        <f>IF(Z671="","",IFERROR(VLOOKUP(Z671,GLAPS정리!$AX$2:$AZ$17,3,0),""))</f>
        <v/>
      </c>
      <c r="BZ671" s="2" t="e">
        <f>VLOOKUP(H671,GLAPS정리!$L$3:$O$133,2,0)</f>
        <v>#N/A</v>
      </c>
      <c r="CA671" s="2" t="str">
        <f t="shared" si="158"/>
        <v/>
      </c>
      <c r="CL671" s="2" t="e">
        <f>VLOOKUP(AI671,GLAPS정리!$BT$3:$BV$26,3,0)</f>
        <v>#N/A</v>
      </c>
    </row>
    <row r="672" spans="2:90" ht="20.45" customHeight="1">
      <c r="B672" s="13"/>
      <c r="G672" s="3"/>
      <c r="J672" s="3"/>
      <c r="Q672" s="3" t="str">
        <f t="shared" si="146"/>
        <v/>
      </c>
      <c r="R672" s="3" t="str">
        <f t="shared" si="147"/>
        <v/>
      </c>
      <c r="S672" s="3" t="str">
        <f t="shared" si="148"/>
        <v/>
      </c>
      <c r="X672" s="13"/>
      <c r="Y672" s="13"/>
      <c r="Z672" s="91"/>
      <c r="AC672" s="2">
        <f t="shared" si="149"/>
        <v>20</v>
      </c>
      <c r="AD672" s="2" t="str">
        <f>IFERROR(INDEX(GLAPS정리!$D$2:$D$50,MATCH(I672,GLAPS정리!$A$2:$A$50,0)),IFERROR(INDEX(GLAPS정리!$D$2:$D$50,MATCH(I672,GLAPS정리!$B$2:$B$50,0)),""))</f>
        <v/>
      </c>
      <c r="AF672" s="2" t="str">
        <f t="shared" si="150"/>
        <v>KR10</v>
      </c>
      <c r="AI672" s="2" t="e">
        <f>VLOOKUP(F672,GLAPS정리!$G$3:$J$114,2,0)</f>
        <v>#N/A</v>
      </c>
      <c r="AJ672" s="2" t="e">
        <f>IF(Z672="울산정일","KRONS",IF(Z672="울산신항","KRUSN",IF(OR(Z672="선광종합물류(인천여객)",Z672="인천여객(인천여객)"),"KRINF",IF(OR(Z672="선광인천보세(인천신)",Z672="한진인천(인천신)",Z672="선광인천신항(인천신)",Z672="인천더로지스(인천신)"),"KRINN",IF(OR(Z672="인천진아(인천항)",Z672="인천E1(인천항)",Z672="인천SM경인터미널(인천항)",Z672="인천항(인천항)",Z672="인천우련(인천항)",Z672="인천항8부두(인천항)"),"KRINC",VLOOKUP(K672,GLAPS정리!$BB$2:$BC$33,2,0))))))</f>
        <v>#N/A</v>
      </c>
      <c r="AL672" s="2">
        <f t="shared" si="151"/>
        <v>5010001</v>
      </c>
      <c r="AN672" s="70" t="str">
        <f t="shared" si="152"/>
        <v>1900-01-00</v>
      </c>
      <c r="AO672" s="2" t="str">
        <f t="shared" si="153"/>
        <v/>
      </c>
      <c r="AP672" s="2" t="e">
        <f>VLOOKUP(C672,GLAPS정리!$AX$2:$AZ$17,3,0)</f>
        <v>#N/A</v>
      </c>
      <c r="AR672" s="2">
        <f t="shared" si="159"/>
        <v>0</v>
      </c>
      <c r="AX672" s="2" t="e">
        <f>VLOOKUP(L672,GLAPS정리!$V$3:$W$180,2,0)</f>
        <v>#N/A</v>
      </c>
      <c r="BM672" s="2" t="str">
        <f t="shared" si="154"/>
        <v xml:space="preserve"> </v>
      </c>
      <c r="BN672" s="2">
        <f t="shared" si="155"/>
        <v>1</v>
      </c>
      <c r="BR672" s="2" t="str">
        <f t="shared" si="156"/>
        <v/>
      </c>
      <c r="BS672" s="2" t="str">
        <f t="shared" si="157"/>
        <v/>
      </c>
      <c r="BV672" s="2" t="e">
        <f>VLOOKUP(O672,GLAPS정리!$BH$2:$BI$94,2,0)</f>
        <v>#N/A</v>
      </c>
      <c r="BW672" s="2" t="str">
        <f>IF(OR(Z672="동원",Z672="세방",Z672="한타"),"",IFERROR(INDEX(GLAPS정리!$BI$2:$BI$101,MATCH(Z672,GLAPS정리!$BH$2:$BH$101,0)),""))</f>
        <v/>
      </c>
      <c r="BX672" s="2" t="str">
        <f>IF(Z672="","",IFERROR(VLOOKUP(Z672,GLAPS정리!$AX$2:$AZ$17,3,0),""))</f>
        <v/>
      </c>
      <c r="BZ672" s="2" t="e">
        <f>VLOOKUP(H672,GLAPS정리!$L$3:$O$133,2,0)</f>
        <v>#N/A</v>
      </c>
      <c r="CA672" s="2" t="str">
        <f t="shared" si="158"/>
        <v/>
      </c>
      <c r="CL672" s="2" t="e">
        <f>VLOOKUP(AI672,GLAPS정리!$BT$3:$BV$26,3,0)</f>
        <v>#N/A</v>
      </c>
    </row>
    <row r="673" spans="2:90" ht="20.45" customHeight="1">
      <c r="B673" s="13"/>
      <c r="G673" s="3"/>
      <c r="J673" s="3"/>
      <c r="Q673" s="3" t="str">
        <f t="shared" si="146"/>
        <v/>
      </c>
      <c r="R673" s="3" t="str">
        <f t="shared" si="147"/>
        <v/>
      </c>
      <c r="S673" s="3" t="str">
        <f t="shared" si="148"/>
        <v/>
      </c>
      <c r="X673" s="13"/>
      <c r="Y673" s="13"/>
      <c r="Z673" s="91"/>
      <c r="AC673" s="2">
        <f t="shared" si="149"/>
        <v>20</v>
      </c>
      <c r="AD673" s="2" t="str">
        <f>IFERROR(INDEX(GLAPS정리!$D$2:$D$50,MATCH(I673,GLAPS정리!$A$2:$A$50,0)),IFERROR(INDEX(GLAPS정리!$D$2:$D$50,MATCH(I673,GLAPS정리!$B$2:$B$50,0)),""))</f>
        <v/>
      </c>
      <c r="AF673" s="2" t="str">
        <f t="shared" si="150"/>
        <v>KR10</v>
      </c>
      <c r="AI673" s="2" t="e">
        <f>VLOOKUP(F673,GLAPS정리!$G$3:$J$114,2,0)</f>
        <v>#N/A</v>
      </c>
      <c r="AJ673" s="2" t="e">
        <f>IF(Z673="울산정일","KRONS",IF(Z673="울산신항","KRUSN",IF(OR(Z673="선광종합물류(인천여객)",Z673="인천여객(인천여객)"),"KRINF",IF(OR(Z673="선광인천보세(인천신)",Z673="한진인천(인천신)",Z673="선광인천신항(인천신)",Z673="인천더로지스(인천신)"),"KRINN",IF(OR(Z673="인천진아(인천항)",Z673="인천E1(인천항)",Z673="인천SM경인터미널(인천항)",Z673="인천항(인천항)",Z673="인천우련(인천항)",Z673="인천항8부두(인천항)"),"KRINC",VLOOKUP(K673,GLAPS정리!$BB$2:$BC$33,2,0))))))</f>
        <v>#N/A</v>
      </c>
      <c r="AL673" s="2">
        <f t="shared" si="151"/>
        <v>5010001</v>
      </c>
      <c r="AN673" s="70" t="str">
        <f t="shared" si="152"/>
        <v>1900-01-00</v>
      </c>
      <c r="AO673" s="2" t="str">
        <f t="shared" si="153"/>
        <v/>
      </c>
      <c r="AP673" s="2" t="e">
        <f>VLOOKUP(C673,GLAPS정리!$AX$2:$AZ$17,3,0)</f>
        <v>#N/A</v>
      </c>
      <c r="AR673" s="2">
        <f t="shared" si="159"/>
        <v>0</v>
      </c>
      <c r="AX673" s="2" t="e">
        <f>VLOOKUP(L673,GLAPS정리!$V$3:$W$180,2,0)</f>
        <v>#N/A</v>
      </c>
      <c r="BM673" s="2" t="str">
        <f t="shared" si="154"/>
        <v xml:space="preserve"> </v>
      </c>
      <c r="BN673" s="2">
        <f t="shared" si="155"/>
        <v>1</v>
      </c>
      <c r="BR673" s="2" t="str">
        <f t="shared" si="156"/>
        <v/>
      </c>
      <c r="BS673" s="2" t="str">
        <f t="shared" si="157"/>
        <v/>
      </c>
      <c r="BV673" s="2" t="e">
        <f>VLOOKUP(O673,GLAPS정리!$BH$2:$BI$94,2,0)</f>
        <v>#N/A</v>
      </c>
      <c r="BW673" s="2" t="str">
        <f>IF(OR(Z673="동원",Z673="세방",Z673="한타"),"",IFERROR(INDEX(GLAPS정리!$BI$2:$BI$101,MATCH(Z673,GLAPS정리!$BH$2:$BH$101,0)),""))</f>
        <v/>
      </c>
      <c r="BX673" s="2" t="str">
        <f>IF(Z673="","",IFERROR(VLOOKUP(Z673,GLAPS정리!$AX$2:$AZ$17,3,0),""))</f>
        <v/>
      </c>
      <c r="BZ673" s="2" t="e">
        <f>VLOOKUP(H673,GLAPS정리!$L$3:$O$133,2,0)</f>
        <v>#N/A</v>
      </c>
      <c r="CA673" s="2" t="str">
        <f t="shared" si="158"/>
        <v/>
      </c>
      <c r="CL673" s="2" t="e">
        <f>VLOOKUP(AI673,GLAPS정리!$BT$3:$BV$26,3,0)</f>
        <v>#N/A</v>
      </c>
    </row>
    <row r="674" spans="2:90" ht="20.45" customHeight="1">
      <c r="B674" s="13"/>
      <c r="G674" s="3"/>
      <c r="J674" s="3"/>
      <c r="Q674" s="3" t="str">
        <f t="shared" si="146"/>
        <v/>
      </c>
      <c r="R674" s="3" t="str">
        <f t="shared" si="147"/>
        <v/>
      </c>
      <c r="S674" s="3" t="str">
        <f t="shared" si="148"/>
        <v/>
      </c>
      <c r="X674" s="13"/>
      <c r="Y674" s="13"/>
      <c r="Z674" s="91"/>
      <c r="AC674" s="2">
        <f t="shared" si="149"/>
        <v>20</v>
      </c>
      <c r="AD674" s="2" t="str">
        <f>IFERROR(INDEX(GLAPS정리!$D$2:$D$50,MATCH(I674,GLAPS정리!$A$2:$A$50,0)),IFERROR(INDEX(GLAPS정리!$D$2:$D$50,MATCH(I674,GLAPS정리!$B$2:$B$50,0)),""))</f>
        <v/>
      </c>
      <c r="AF674" s="2" t="str">
        <f t="shared" si="150"/>
        <v>KR10</v>
      </c>
      <c r="AI674" s="2" t="e">
        <f>VLOOKUP(F674,GLAPS정리!$G$3:$J$114,2,0)</f>
        <v>#N/A</v>
      </c>
      <c r="AJ674" s="2" t="e">
        <f>IF(Z674="울산정일","KRONS",IF(Z674="울산신항","KRUSN",IF(OR(Z674="선광종합물류(인천여객)",Z674="인천여객(인천여객)"),"KRINF",IF(OR(Z674="선광인천보세(인천신)",Z674="한진인천(인천신)",Z674="선광인천신항(인천신)",Z674="인천더로지스(인천신)"),"KRINN",IF(OR(Z674="인천진아(인천항)",Z674="인천E1(인천항)",Z674="인천SM경인터미널(인천항)",Z674="인천항(인천항)",Z674="인천우련(인천항)",Z674="인천항8부두(인천항)"),"KRINC",VLOOKUP(K674,GLAPS정리!$BB$2:$BC$33,2,0))))))</f>
        <v>#N/A</v>
      </c>
      <c r="AL674" s="2">
        <f t="shared" si="151"/>
        <v>5010001</v>
      </c>
      <c r="AN674" s="70" t="str">
        <f t="shared" si="152"/>
        <v>1900-01-00</v>
      </c>
      <c r="AO674" s="2" t="str">
        <f t="shared" si="153"/>
        <v/>
      </c>
      <c r="AP674" s="2" t="e">
        <f>VLOOKUP(C674,GLAPS정리!$AX$2:$AZ$17,3,0)</f>
        <v>#N/A</v>
      </c>
      <c r="AR674" s="2">
        <f t="shared" si="159"/>
        <v>0</v>
      </c>
      <c r="AX674" s="2" t="e">
        <f>VLOOKUP(L674,GLAPS정리!$V$3:$W$180,2,0)</f>
        <v>#N/A</v>
      </c>
      <c r="BM674" s="2" t="str">
        <f t="shared" si="154"/>
        <v xml:space="preserve"> </v>
      </c>
      <c r="BN674" s="2">
        <f t="shared" si="155"/>
        <v>1</v>
      </c>
      <c r="BR674" s="2" t="str">
        <f t="shared" si="156"/>
        <v/>
      </c>
      <c r="BS674" s="2" t="str">
        <f t="shared" si="157"/>
        <v/>
      </c>
      <c r="BV674" s="2" t="e">
        <f>VLOOKUP(O674,GLAPS정리!$BH$2:$BI$94,2,0)</f>
        <v>#N/A</v>
      </c>
      <c r="BW674" s="2" t="str">
        <f>IF(OR(Z674="동원",Z674="세방",Z674="한타"),"",IFERROR(INDEX(GLAPS정리!$BI$2:$BI$101,MATCH(Z674,GLAPS정리!$BH$2:$BH$101,0)),""))</f>
        <v/>
      </c>
      <c r="BX674" s="2" t="str">
        <f>IF(Z674="","",IFERROR(VLOOKUP(Z674,GLAPS정리!$AX$2:$AZ$17,3,0),""))</f>
        <v/>
      </c>
      <c r="BZ674" s="2" t="e">
        <f>VLOOKUP(H674,GLAPS정리!$L$3:$O$133,2,0)</f>
        <v>#N/A</v>
      </c>
      <c r="CA674" s="2" t="str">
        <f t="shared" si="158"/>
        <v/>
      </c>
      <c r="CL674" s="2" t="e">
        <f>VLOOKUP(AI674,GLAPS정리!$BT$3:$BV$26,3,0)</f>
        <v>#N/A</v>
      </c>
    </row>
    <row r="675" spans="2:90" ht="20.45" customHeight="1">
      <c r="B675" s="13"/>
      <c r="G675" s="3"/>
      <c r="J675" s="3"/>
      <c r="Q675" s="3" t="str">
        <f t="shared" si="146"/>
        <v/>
      </c>
      <c r="R675" s="3" t="str">
        <f t="shared" si="147"/>
        <v/>
      </c>
      <c r="S675" s="3" t="str">
        <f t="shared" si="148"/>
        <v/>
      </c>
      <c r="X675" s="13"/>
      <c r="Y675" s="13"/>
      <c r="Z675" s="91"/>
      <c r="AC675" s="2">
        <f t="shared" si="149"/>
        <v>20</v>
      </c>
      <c r="AD675" s="2" t="str">
        <f>IFERROR(INDEX(GLAPS정리!$D$2:$D$50,MATCH(I675,GLAPS정리!$A$2:$A$50,0)),IFERROR(INDEX(GLAPS정리!$D$2:$D$50,MATCH(I675,GLAPS정리!$B$2:$B$50,0)),""))</f>
        <v/>
      </c>
      <c r="AF675" s="2" t="str">
        <f t="shared" si="150"/>
        <v>KR10</v>
      </c>
      <c r="AI675" s="2" t="e">
        <f>VLOOKUP(F675,GLAPS정리!$G$3:$J$114,2,0)</f>
        <v>#N/A</v>
      </c>
      <c r="AJ675" s="2" t="e">
        <f>IF(Z675="울산정일","KRONS",IF(Z675="울산신항","KRUSN",IF(OR(Z675="선광종합물류(인천여객)",Z675="인천여객(인천여객)"),"KRINF",IF(OR(Z675="선광인천보세(인천신)",Z675="한진인천(인천신)",Z675="선광인천신항(인천신)",Z675="인천더로지스(인천신)"),"KRINN",IF(OR(Z675="인천진아(인천항)",Z675="인천E1(인천항)",Z675="인천SM경인터미널(인천항)",Z675="인천항(인천항)",Z675="인천우련(인천항)",Z675="인천항8부두(인천항)"),"KRINC",VLOOKUP(K675,GLAPS정리!$BB$2:$BC$33,2,0))))))</f>
        <v>#N/A</v>
      </c>
      <c r="AL675" s="2">
        <f t="shared" si="151"/>
        <v>5010001</v>
      </c>
      <c r="AN675" s="70" t="str">
        <f t="shared" si="152"/>
        <v>1900-01-00</v>
      </c>
      <c r="AO675" s="2" t="str">
        <f t="shared" si="153"/>
        <v/>
      </c>
      <c r="AP675" s="2" t="e">
        <f>VLOOKUP(C675,GLAPS정리!$AX$2:$AZ$17,3,0)</f>
        <v>#N/A</v>
      </c>
      <c r="AR675" s="2">
        <f t="shared" si="159"/>
        <v>0</v>
      </c>
      <c r="AX675" s="2" t="e">
        <f>VLOOKUP(L675,GLAPS정리!$V$3:$W$180,2,0)</f>
        <v>#N/A</v>
      </c>
      <c r="BM675" s="2" t="str">
        <f t="shared" si="154"/>
        <v xml:space="preserve"> </v>
      </c>
      <c r="BN675" s="2">
        <f t="shared" si="155"/>
        <v>1</v>
      </c>
      <c r="BR675" s="2" t="str">
        <f t="shared" si="156"/>
        <v/>
      </c>
      <c r="BS675" s="2" t="str">
        <f t="shared" si="157"/>
        <v/>
      </c>
      <c r="BV675" s="2" t="e">
        <f>VLOOKUP(O675,GLAPS정리!$BH$2:$BI$94,2,0)</f>
        <v>#N/A</v>
      </c>
      <c r="BW675" s="2" t="str">
        <f>IF(OR(Z675="동원",Z675="세방",Z675="한타"),"",IFERROR(INDEX(GLAPS정리!$BI$2:$BI$101,MATCH(Z675,GLAPS정리!$BH$2:$BH$101,0)),""))</f>
        <v/>
      </c>
      <c r="BX675" s="2" t="str">
        <f>IF(Z675="","",IFERROR(VLOOKUP(Z675,GLAPS정리!$AX$2:$AZ$17,3,0),""))</f>
        <v/>
      </c>
      <c r="BZ675" s="2" t="e">
        <f>VLOOKUP(H675,GLAPS정리!$L$3:$O$133,2,0)</f>
        <v>#N/A</v>
      </c>
      <c r="CA675" s="2" t="str">
        <f t="shared" si="158"/>
        <v/>
      </c>
      <c r="CL675" s="2" t="e">
        <f>VLOOKUP(AI675,GLAPS정리!$BT$3:$BV$26,3,0)</f>
        <v>#N/A</v>
      </c>
    </row>
    <row r="676" spans="2:90" ht="20.45" customHeight="1">
      <c r="B676" s="13"/>
      <c r="G676" s="3"/>
      <c r="J676" s="3"/>
      <c r="Q676" s="3" t="str">
        <f t="shared" si="146"/>
        <v/>
      </c>
      <c r="R676" s="3" t="str">
        <f t="shared" si="147"/>
        <v/>
      </c>
      <c r="S676" s="3" t="str">
        <f t="shared" si="148"/>
        <v/>
      </c>
      <c r="X676" s="13"/>
      <c r="Y676" s="13"/>
      <c r="Z676" s="91"/>
      <c r="AC676" s="2">
        <f t="shared" si="149"/>
        <v>20</v>
      </c>
      <c r="AD676" s="2" t="str">
        <f>IFERROR(INDEX(GLAPS정리!$D$2:$D$50,MATCH(I676,GLAPS정리!$A$2:$A$50,0)),IFERROR(INDEX(GLAPS정리!$D$2:$D$50,MATCH(I676,GLAPS정리!$B$2:$B$50,0)),""))</f>
        <v/>
      </c>
      <c r="AF676" s="2" t="str">
        <f t="shared" si="150"/>
        <v>KR10</v>
      </c>
      <c r="AI676" s="2" t="e">
        <f>VLOOKUP(F676,GLAPS정리!$G$3:$J$114,2,0)</f>
        <v>#N/A</v>
      </c>
      <c r="AJ676" s="2" t="e">
        <f>IF(Z676="울산정일","KRONS",IF(Z676="울산신항","KRUSN",IF(OR(Z676="선광종합물류(인천여객)",Z676="인천여객(인천여객)"),"KRINF",IF(OR(Z676="선광인천보세(인천신)",Z676="한진인천(인천신)",Z676="선광인천신항(인천신)",Z676="인천더로지스(인천신)"),"KRINN",IF(OR(Z676="인천진아(인천항)",Z676="인천E1(인천항)",Z676="인천SM경인터미널(인천항)",Z676="인천항(인천항)",Z676="인천우련(인천항)",Z676="인천항8부두(인천항)"),"KRINC",VLOOKUP(K676,GLAPS정리!$BB$2:$BC$33,2,0))))))</f>
        <v>#N/A</v>
      </c>
      <c r="AL676" s="2">
        <f t="shared" si="151"/>
        <v>5010001</v>
      </c>
      <c r="AN676" s="70" t="str">
        <f t="shared" si="152"/>
        <v>1900-01-00</v>
      </c>
      <c r="AO676" s="2" t="str">
        <f t="shared" si="153"/>
        <v/>
      </c>
      <c r="AP676" s="2" t="e">
        <f>VLOOKUP(C676,GLAPS정리!$AX$2:$AZ$17,3,0)</f>
        <v>#N/A</v>
      </c>
      <c r="AR676" s="2">
        <f t="shared" si="159"/>
        <v>0</v>
      </c>
      <c r="AX676" s="2" t="e">
        <f>VLOOKUP(L676,GLAPS정리!$V$3:$W$180,2,0)</f>
        <v>#N/A</v>
      </c>
      <c r="BM676" s="2" t="str">
        <f t="shared" si="154"/>
        <v xml:space="preserve"> </v>
      </c>
      <c r="BN676" s="2">
        <f t="shared" si="155"/>
        <v>1</v>
      </c>
      <c r="BR676" s="2" t="str">
        <f t="shared" si="156"/>
        <v/>
      </c>
      <c r="BS676" s="2" t="str">
        <f t="shared" si="157"/>
        <v/>
      </c>
      <c r="BV676" s="2" t="e">
        <f>VLOOKUP(O676,GLAPS정리!$BH$2:$BI$94,2,0)</f>
        <v>#N/A</v>
      </c>
      <c r="BW676" s="2" t="str">
        <f>IF(OR(Z676="동원",Z676="세방",Z676="한타"),"",IFERROR(INDEX(GLAPS정리!$BI$2:$BI$101,MATCH(Z676,GLAPS정리!$BH$2:$BH$101,0)),""))</f>
        <v/>
      </c>
      <c r="BX676" s="2" t="str">
        <f>IF(Z676="","",IFERROR(VLOOKUP(Z676,GLAPS정리!$AX$2:$AZ$17,3,0),""))</f>
        <v/>
      </c>
      <c r="BZ676" s="2" t="e">
        <f>VLOOKUP(H676,GLAPS정리!$L$3:$O$133,2,0)</f>
        <v>#N/A</v>
      </c>
      <c r="CA676" s="2" t="str">
        <f t="shared" si="158"/>
        <v/>
      </c>
      <c r="CL676" s="2" t="e">
        <f>VLOOKUP(AI676,GLAPS정리!$BT$3:$BV$26,3,0)</f>
        <v>#N/A</v>
      </c>
    </row>
    <row r="677" spans="2:90" ht="20.45" customHeight="1">
      <c r="B677" s="13"/>
      <c r="G677" s="3"/>
      <c r="J677" s="3"/>
      <c r="Q677" s="3" t="str">
        <f t="shared" si="146"/>
        <v/>
      </c>
      <c r="R677" s="3" t="str">
        <f t="shared" si="147"/>
        <v/>
      </c>
      <c r="S677" s="3" t="str">
        <f t="shared" si="148"/>
        <v/>
      </c>
      <c r="X677" s="13"/>
      <c r="Y677" s="13"/>
      <c r="Z677" s="91"/>
      <c r="AC677" s="2">
        <f t="shared" si="149"/>
        <v>20</v>
      </c>
      <c r="AD677" s="2" t="str">
        <f>IFERROR(INDEX(GLAPS정리!$D$2:$D$50,MATCH(I677,GLAPS정리!$A$2:$A$50,0)),IFERROR(INDEX(GLAPS정리!$D$2:$D$50,MATCH(I677,GLAPS정리!$B$2:$B$50,0)),""))</f>
        <v/>
      </c>
      <c r="AF677" s="2" t="str">
        <f t="shared" si="150"/>
        <v>KR10</v>
      </c>
      <c r="AI677" s="2" t="e">
        <f>VLOOKUP(F677,GLAPS정리!$G$3:$J$114,2,0)</f>
        <v>#N/A</v>
      </c>
      <c r="AJ677" s="2" t="e">
        <f>IF(Z677="울산정일","KRONS",IF(Z677="울산신항","KRUSN",IF(OR(Z677="선광종합물류(인천여객)",Z677="인천여객(인천여객)"),"KRINF",IF(OR(Z677="선광인천보세(인천신)",Z677="한진인천(인천신)",Z677="선광인천신항(인천신)",Z677="인천더로지스(인천신)"),"KRINN",IF(OR(Z677="인천진아(인천항)",Z677="인천E1(인천항)",Z677="인천SM경인터미널(인천항)",Z677="인천항(인천항)",Z677="인천우련(인천항)",Z677="인천항8부두(인천항)"),"KRINC",VLOOKUP(K677,GLAPS정리!$BB$2:$BC$33,2,0))))))</f>
        <v>#N/A</v>
      </c>
      <c r="AL677" s="2">
        <f t="shared" si="151"/>
        <v>5010001</v>
      </c>
      <c r="AN677" s="70" t="str">
        <f t="shared" si="152"/>
        <v>1900-01-00</v>
      </c>
      <c r="AO677" s="2" t="str">
        <f t="shared" si="153"/>
        <v/>
      </c>
      <c r="AP677" s="2" t="e">
        <f>VLOOKUP(C677,GLAPS정리!$AX$2:$AZ$17,3,0)</f>
        <v>#N/A</v>
      </c>
      <c r="AR677" s="2">
        <f t="shared" si="159"/>
        <v>0</v>
      </c>
      <c r="AX677" s="2" t="e">
        <f>VLOOKUP(L677,GLAPS정리!$V$3:$W$180,2,0)</f>
        <v>#N/A</v>
      </c>
      <c r="BM677" s="2" t="str">
        <f t="shared" si="154"/>
        <v xml:space="preserve"> </v>
      </c>
      <c r="BN677" s="2">
        <f t="shared" si="155"/>
        <v>1</v>
      </c>
      <c r="BR677" s="2" t="str">
        <f t="shared" si="156"/>
        <v/>
      </c>
      <c r="BS677" s="2" t="str">
        <f t="shared" si="157"/>
        <v/>
      </c>
      <c r="BV677" s="2" t="e">
        <f>VLOOKUP(O677,GLAPS정리!$BH$2:$BI$94,2,0)</f>
        <v>#N/A</v>
      </c>
      <c r="BW677" s="2" t="str">
        <f>IF(OR(Z677="동원",Z677="세방",Z677="한타"),"",IFERROR(INDEX(GLAPS정리!$BI$2:$BI$101,MATCH(Z677,GLAPS정리!$BH$2:$BH$101,0)),""))</f>
        <v/>
      </c>
      <c r="BX677" s="2" t="str">
        <f>IF(Z677="","",IFERROR(VLOOKUP(Z677,GLAPS정리!$AX$2:$AZ$17,3,0),""))</f>
        <v/>
      </c>
      <c r="BZ677" s="2" t="e">
        <f>VLOOKUP(H677,GLAPS정리!$L$3:$O$133,2,0)</f>
        <v>#N/A</v>
      </c>
      <c r="CA677" s="2" t="str">
        <f t="shared" si="158"/>
        <v/>
      </c>
      <c r="CL677" s="2" t="e">
        <f>VLOOKUP(AI677,GLAPS정리!$BT$3:$BV$26,3,0)</f>
        <v>#N/A</v>
      </c>
    </row>
    <row r="678" spans="2:90" ht="20.45" customHeight="1">
      <c r="B678" s="13"/>
      <c r="G678" s="3"/>
      <c r="J678" s="3"/>
      <c r="Q678" s="3" t="str">
        <f t="shared" si="146"/>
        <v/>
      </c>
      <c r="R678" s="3" t="str">
        <f t="shared" si="147"/>
        <v/>
      </c>
      <c r="S678" s="3" t="str">
        <f t="shared" si="148"/>
        <v/>
      </c>
      <c r="X678" s="13"/>
      <c r="Y678" s="13"/>
      <c r="Z678" s="91"/>
      <c r="AC678" s="2">
        <f t="shared" si="149"/>
        <v>20</v>
      </c>
      <c r="AD678" s="2" t="str">
        <f>IFERROR(INDEX(GLAPS정리!$D$2:$D$50,MATCH(I678,GLAPS정리!$A$2:$A$50,0)),IFERROR(INDEX(GLAPS정리!$D$2:$D$50,MATCH(I678,GLAPS정리!$B$2:$B$50,0)),""))</f>
        <v/>
      </c>
      <c r="AF678" s="2" t="str">
        <f t="shared" si="150"/>
        <v>KR10</v>
      </c>
      <c r="AI678" s="2" t="e">
        <f>VLOOKUP(F678,GLAPS정리!$G$3:$J$114,2,0)</f>
        <v>#N/A</v>
      </c>
      <c r="AJ678" s="2" t="e">
        <f>IF(Z678="울산정일","KRONS",IF(Z678="울산신항","KRUSN",IF(OR(Z678="선광종합물류(인천여객)",Z678="인천여객(인천여객)"),"KRINF",IF(OR(Z678="선광인천보세(인천신)",Z678="한진인천(인천신)",Z678="선광인천신항(인천신)",Z678="인천더로지스(인천신)"),"KRINN",IF(OR(Z678="인천진아(인천항)",Z678="인천E1(인천항)",Z678="인천SM경인터미널(인천항)",Z678="인천항(인천항)",Z678="인천우련(인천항)",Z678="인천항8부두(인천항)"),"KRINC",VLOOKUP(K678,GLAPS정리!$BB$2:$BC$33,2,0))))))</f>
        <v>#N/A</v>
      </c>
      <c r="AL678" s="2">
        <f t="shared" si="151"/>
        <v>5010001</v>
      </c>
      <c r="AN678" s="70" t="str">
        <f t="shared" si="152"/>
        <v>1900-01-00</v>
      </c>
      <c r="AO678" s="2" t="str">
        <f t="shared" si="153"/>
        <v/>
      </c>
      <c r="AP678" s="2" t="e">
        <f>VLOOKUP(C678,GLAPS정리!$AX$2:$AZ$17,3,0)</f>
        <v>#N/A</v>
      </c>
      <c r="AR678" s="2">
        <f t="shared" si="159"/>
        <v>0</v>
      </c>
      <c r="AX678" s="2" t="e">
        <f>VLOOKUP(L678,GLAPS정리!$V$3:$W$180,2,0)</f>
        <v>#N/A</v>
      </c>
      <c r="BM678" s="2" t="str">
        <f t="shared" si="154"/>
        <v xml:space="preserve"> </v>
      </c>
      <c r="BN678" s="2">
        <f t="shared" si="155"/>
        <v>1</v>
      </c>
      <c r="BR678" s="2" t="str">
        <f t="shared" si="156"/>
        <v/>
      </c>
      <c r="BS678" s="2" t="str">
        <f t="shared" si="157"/>
        <v/>
      </c>
      <c r="BV678" s="2" t="e">
        <f>VLOOKUP(O678,GLAPS정리!$BH$2:$BI$94,2,0)</f>
        <v>#N/A</v>
      </c>
      <c r="BW678" s="2" t="str">
        <f>IF(OR(Z678="동원",Z678="세방",Z678="한타"),"",IFERROR(INDEX(GLAPS정리!$BI$2:$BI$101,MATCH(Z678,GLAPS정리!$BH$2:$BH$101,0)),""))</f>
        <v/>
      </c>
      <c r="BX678" s="2" t="str">
        <f>IF(Z678="","",IFERROR(VLOOKUP(Z678,GLAPS정리!$AX$2:$AZ$17,3,0),""))</f>
        <v/>
      </c>
      <c r="BZ678" s="2" t="e">
        <f>VLOOKUP(H678,GLAPS정리!$L$3:$O$133,2,0)</f>
        <v>#N/A</v>
      </c>
      <c r="CA678" s="2" t="str">
        <f t="shared" si="158"/>
        <v/>
      </c>
      <c r="CL678" s="2" t="e">
        <f>VLOOKUP(AI678,GLAPS정리!$BT$3:$BV$26,3,0)</f>
        <v>#N/A</v>
      </c>
    </row>
    <row r="679" spans="2:90" ht="20.45" customHeight="1">
      <c r="B679" s="13"/>
      <c r="G679" s="3"/>
      <c r="J679" s="3"/>
      <c r="Q679" s="3" t="str">
        <f t="shared" si="146"/>
        <v/>
      </c>
      <c r="R679" s="3" t="str">
        <f t="shared" si="147"/>
        <v/>
      </c>
      <c r="S679" s="3" t="str">
        <f t="shared" si="148"/>
        <v/>
      </c>
      <c r="X679" s="13"/>
      <c r="Y679" s="13"/>
      <c r="Z679" s="91"/>
      <c r="AC679" s="2">
        <f t="shared" si="149"/>
        <v>20</v>
      </c>
      <c r="AD679" s="2" t="str">
        <f>IFERROR(INDEX(GLAPS정리!$D$2:$D$50,MATCH(I679,GLAPS정리!$A$2:$A$50,0)),IFERROR(INDEX(GLAPS정리!$D$2:$D$50,MATCH(I679,GLAPS정리!$B$2:$B$50,0)),""))</f>
        <v/>
      </c>
      <c r="AF679" s="2" t="str">
        <f t="shared" si="150"/>
        <v>KR10</v>
      </c>
      <c r="AI679" s="2" t="e">
        <f>VLOOKUP(F679,GLAPS정리!$G$3:$J$114,2,0)</f>
        <v>#N/A</v>
      </c>
      <c r="AJ679" s="2" t="e">
        <f>IF(Z679="울산정일","KRONS",IF(Z679="울산신항","KRUSN",IF(OR(Z679="선광종합물류(인천여객)",Z679="인천여객(인천여객)"),"KRINF",IF(OR(Z679="선광인천보세(인천신)",Z679="한진인천(인천신)",Z679="선광인천신항(인천신)",Z679="인천더로지스(인천신)"),"KRINN",IF(OR(Z679="인천진아(인천항)",Z679="인천E1(인천항)",Z679="인천SM경인터미널(인천항)",Z679="인천항(인천항)",Z679="인천우련(인천항)",Z679="인천항8부두(인천항)"),"KRINC",VLOOKUP(K679,GLAPS정리!$BB$2:$BC$33,2,0))))))</f>
        <v>#N/A</v>
      </c>
      <c r="AL679" s="2">
        <f t="shared" si="151"/>
        <v>5010001</v>
      </c>
      <c r="AN679" s="70" t="str">
        <f t="shared" si="152"/>
        <v>1900-01-00</v>
      </c>
      <c r="AO679" s="2" t="str">
        <f t="shared" si="153"/>
        <v/>
      </c>
      <c r="AP679" s="2" t="e">
        <f>VLOOKUP(C679,GLAPS정리!$AX$2:$AZ$17,3,0)</f>
        <v>#N/A</v>
      </c>
      <c r="AR679" s="2">
        <f t="shared" si="159"/>
        <v>0</v>
      </c>
      <c r="AX679" s="2" t="e">
        <f>VLOOKUP(L679,GLAPS정리!$V$3:$W$180,2,0)</f>
        <v>#N/A</v>
      </c>
      <c r="BM679" s="2" t="str">
        <f t="shared" si="154"/>
        <v xml:space="preserve"> </v>
      </c>
      <c r="BN679" s="2">
        <f t="shared" si="155"/>
        <v>1</v>
      </c>
      <c r="BR679" s="2" t="str">
        <f t="shared" si="156"/>
        <v/>
      </c>
      <c r="BS679" s="2" t="str">
        <f t="shared" si="157"/>
        <v/>
      </c>
      <c r="BV679" s="2" t="e">
        <f>VLOOKUP(O679,GLAPS정리!$BH$2:$BI$94,2,0)</f>
        <v>#N/A</v>
      </c>
      <c r="BW679" s="2" t="str">
        <f>IF(OR(Z679="동원",Z679="세방",Z679="한타"),"",IFERROR(INDEX(GLAPS정리!$BI$2:$BI$101,MATCH(Z679,GLAPS정리!$BH$2:$BH$101,0)),""))</f>
        <v/>
      </c>
      <c r="BX679" s="2" t="str">
        <f>IF(Z679="","",IFERROR(VLOOKUP(Z679,GLAPS정리!$AX$2:$AZ$17,3,0),""))</f>
        <v/>
      </c>
      <c r="BZ679" s="2" t="e">
        <f>VLOOKUP(H679,GLAPS정리!$L$3:$O$133,2,0)</f>
        <v>#N/A</v>
      </c>
      <c r="CA679" s="2" t="str">
        <f t="shared" si="158"/>
        <v/>
      </c>
      <c r="CL679" s="2" t="e">
        <f>VLOOKUP(AI679,GLAPS정리!$BT$3:$BV$26,3,0)</f>
        <v>#N/A</v>
      </c>
    </row>
    <row r="680" spans="2:90" ht="20.45" customHeight="1">
      <c r="B680" s="13"/>
      <c r="G680" s="3"/>
      <c r="J680" s="3"/>
      <c r="Q680" s="3" t="str">
        <f t="shared" si="146"/>
        <v/>
      </c>
      <c r="R680" s="3" t="str">
        <f t="shared" si="147"/>
        <v/>
      </c>
      <c r="S680" s="3" t="str">
        <f t="shared" si="148"/>
        <v/>
      </c>
      <c r="X680" s="13"/>
      <c r="Y680" s="13"/>
      <c r="Z680" s="91"/>
      <c r="AC680" s="2">
        <f t="shared" si="149"/>
        <v>20</v>
      </c>
      <c r="AD680" s="2" t="str">
        <f>IFERROR(INDEX(GLAPS정리!$D$2:$D$50,MATCH(I680,GLAPS정리!$A$2:$A$50,0)),IFERROR(INDEX(GLAPS정리!$D$2:$D$50,MATCH(I680,GLAPS정리!$B$2:$B$50,0)),""))</f>
        <v/>
      </c>
      <c r="AF680" s="2" t="str">
        <f t="shared" si="150"/>
        <v>KR10</v>
      </c>
      <c r="AI680" s="2" t="e">
        <f>VLOOKUP(F680,GLAPS정리!$G$3:$J$114,2,0)</f>
        <v>#N/A</v>
      </c>
      <c r="AJ680" s="2" t="e">
        <f>IF(Z680="울산정일","KRONS",IF(Z680="울산신항","KRUSN",IF(OR(Z680="선광종합물류(인천여객)",Z680="인천여객(인천여객)"),"KRINF",IF(OR(Z680="선광인천보세(인천신)",Z680="한진인천(인천신)",Z680="선광인천신항(인천신)",Z680="인천더로지스(인천신)"),"KRINN",IF(OR(Z680="인천진아(인천항)",Z680="인천E1(인천항)",Z680="인천SM경인터미널(인천항)",Z680="인천항(인천항)",Z680="인천우련(인천항)",Z680="인천항8부두(인천항)"),"KRINC",VLOOKUP(K680,GLAPS정리!$BB$2:$BC$33,2,0))))))</f>
        <v>#N/A</v>
      </c>
      <c r="AL680" s="2">
        <f t="shared" si="151"/>
        <v>5010001</v>
      </c>
      <c r="AN680" s="70" t="str">
        <f t="shared" si="152"/>
        <v>1900-01-00</v>
      </c>
      <c r="AO680" s="2" t="str">
        <f t="shared" si="153"/>
        <v/>
      </c>
      <c r="AP680" s="2" t="e">
        <f>VLOOKUP(C680,GLAPS정리!$AX$2:$AZ$17,3,0)</f>
        <v>#N/A</v>
      </c>
      <c r="AR680" s="2">
        <f t="shared" si="159"/>
        <v>0</v>
      </c>
      <c r="AX680" s="2" t="e">
        <f>VLOOKUP(L680,GLAPS정리!$V$3:$W$180,2,0)</f>
        <v>#N/A</v>
      </c>
      <c r="BM680" s="2" t="str">
        <f t="shared" si="154"/>
        <v xml:space="preserve"> </v>
      </c>
      <c r="BN680" s="2">
        <f t="shared" si="155"/>
        <v>1</v>
      </c>
      <c r="BR680" s="2" t="str">
        <f t="shared" si="156"/>
        <v/>
      </c>
      <c r="BS680" s="2" t="str">
        <f t="shared" si="157"/>
        <v/>
      </c>
      <c r="BV680" s="2" t="e">
        <f>VLOOKUP(O680,GLAPS정리!$BH$2:$BI$94,2,0)</f>
        <v>#N/A</v>
      </c>
      <c r="BW680" s="2" t="str">
        <f>IF(OR(Z680="동원",Z680="세방",Z680="한타"),"",IFERROR(INDEX(GLAPS정리!$BI$2:$BI$101,MATCH(Z680,GLAPS정리!$BH$2:$BH$101,0)),""))</f>
        <v/>
      </c>
      <c r="BX680" s="2" t="str">
        <f>IF(Z680="","",IFERROR(VLOOKUP(Z680,GLAPS정리!$AX$2:$AZ$17,3,0),""))</f>
        <v/>
      </c>
      <c r="BZ680" s="2" t="e">
        <f>VLOOKUP(H680,GLAPS정리!$L$3:$O$133,2,0)</f>
        <v>#N/A</v>
      </c>
      <c r="CA680" s="2" t="str">
        <f t="shared" si="158"/>
        <v/>
      </c>
      <c r="CL680" s="2" t="e">
        <f>VLOOKUP(AI680,GLAPS정리!$BT$3:$BV$26,3,0)</f>
        <v>#N/A</v>
      </c>
    </row>
    <row r="681" spans="2:90" ht="20.45" customHeight="1">
      <c r="B681" s="13"/>
      <c r="G681" s="3"/>
      <c r="J681" s="3"/>
      <c r="Q681" s="3" t="str">
        <f t="shared" si="146"/>
        <v/>
      </c>
      <c r="R681" s="3" t="str">
        <f t="shared" si="147"/>
        <v/>
      </c>
      <c r="S681" s="3" t="str">
        <f t="shared" si="148"/>
        <v/>
      </c>
      <c r="X681" s="13"/>
      <c r="Y681" s="13"/>
      <c r="Z681" s="91"/>
      <c r="AC681" s="2">
        <f t="shared" si="149"/>
        <v>20</v>
      </c>
      <c r="AD681" s="2" t="str">
        <f>IFERROR(INDEX(GLAPS정리!$D$2:$D$50,MATCH(I681,GLAPS정리!$A$2:$A$50,0)),IFERROR(INDEX(GLAPS정리!$D$2:$D$50,MATCH(I681,GLAPS정리!$B$2:$B$50,0)),""))</f>
        <v/>
      </c>
      <c r="AF681" s="2" t="str">
        <f t="shared" si="150"/>
        <v>KR10</v>
      </c>
      <c r="AI681" s="2" t="e">
        <f>VLOOKUP(F681,GLAPS정리!$G$3:$J$114,2,0)</f>
        <v>#N/A</v>
      </c>
      <c r="AJ681" s="2" t="e">
        <f>IF(Z681="울산정일","KRONS",IF(Z681="울산신항","KRUSN",IF(OR(Z681="선광종합물류(인천여객)",Z681="인천여객(인천여객)"),"KRINF",IF(OR(Z681="선광인천보세(인천신)",Z681="한진인천(인천신)",Z681="선광인천신항(인천신)",Z681="인천더로지스(인천신)"),"KRINN",IF(OR(Z681="인천진아(인천항)",Z681="인천E1(인천항)",Z681="인천SM경인터미널(인천항)",Z681="인천항(인천항)",Z681="인천우련(인천항)",Z681="인천항8부두(인천항)"),"KRINC",VLOOKUP(K681,GLAPS정리!$BB$2:$BC$33,2,0))))))</f>
        <v>#N/A</v>
      </c>
      <c r="AL681" s="2">
        <f t="shared" si="151"/>
        <v>5010001</v>
      </c>
      <c r="AN681" s="70" t="str">
        <f t="shared" si="152"/>
        <v>1900-01-00</v>
      </c>
      <c r="AO681" s="2" t="str">
        <f t="shared" si="153"/>
        <v/>
      </c>
      <c r="AP681" s="2" t="e">
        <f>VLOOKUP(C681,GLAPS정리!$AX$2:$AZ$17,3,0)</f>
        <v>#N/A</v>
      </c>
      <c r="AR681" s="2">
        <f t="shared" si="159"/>
        <v>0</v>
      </c>
      <c r="AX681" s="2" t="e">
        <f>VLOOKUP(L681,GLAPS정리!$V$3:$W$180,2,0)</f>
        <v>#N/A</v>
      </c>
      <c r="BM681" s="2" t="str">
        <f t="shared" si="154"/>
        <v xml:space="preserve"> </v>
      </c>
      <c r="BN681" s="2">
        <f t="shared" si="155"/>
        <v>1</v>
      </c>
      <c r="BR681" s="2" t="str">
        <f t="shared" si="156"/>
        <v/>
      </c>
      <c r="BS681" s="2" t="str">
        <f t="shared" si="157"/>
        <v/>
      </c>
      <c r="BV681" s="2" t="e">
        <f>VLOOKUP(O681,GLAPS정리!$BH$2:$BI$94,2,0)</f>
        <v>#N/A</v>
      </c>
      <c r="BW681" s="2" t="str">
        <f>IF(OR(Z681="동원",Z681="세방",Z681="한타"),"",IFERROR(INDEX(GLAPS정리!$BI$2:$BI$101,MATCH(Z681,GLAPS정리!$BH$2:$BH$101,0)),""))</f>
        <v/>
      </c>
      <c r="BX681" s="2" t="str">
        <f>IF(Z681="","",IFERROR(VLOOKUP(Z681,GLAPS정리!$AX$2:$AZ$17,3,0),""))</f>
        <v/>
      </c>
      <c r="BZ681" s="2" t="e">
        <f>VLOOKUP(H681,GLAPS정리!$L$3:$O$133,2,0)</f>
        <v>#N/A</v>
      </c>
      <c r="CA681" s="2" t="str">
        <f t="shared" si="158"/>
        <v/>
      </c>
      <c r="CL681" s="2" t="e">
        <f>VLOOKUP(AI681,GLAPS정리!$BT$3:$BV$26,3,0)</f>
        <v>#N/A</v>
      </c>
    </row>
    <row r="682" spans="2:90" ht="20.45" customHeight="1">
      <c r="B682" s="13"/>
      <c r="G682" s="3"/>
      <c r="J682" s="3"/>
      <c r="Q682" s="3" t="str">
        <f t="shared" si="146"/>
        <v/>
      </c>
      <c r="R682" s="3" t="str">
        <f t="shared" si="147"/>
        <v/>
      </c>
      <c r="S682" s="3" t="str">
        <f t="shared" si="148"/>
        <v/>
      </c>
      <c r="X682" s="13"/>
      <c r="Y682" s="13"/>
      <c r="Z682" s="91"/>
      <c r="AC682" s="2">
        <f t="shared" si="149"/>
        <v>20</v>
      </c>
      <c r="AD682" s="2" t="str">
        <f>IFERROR(INDEX(GLAPS정리!$D$2:$D$50,MATCH(I682,GLAPS정리!$A$2:$A$50,0)),IFERROR(INDEX(GLAPS정리!$D$2:$D$50,MATCH(I682,GLAPS정리!$B$2:$B$50,0)),""))</f>
        <v/>
      </c>
      <c r="AF682" s="2" t="str">
        <f t="shared" si="150"/>
        <v>KR10</v>
      </c>
      <c r="AI682" s="2" t="e">
        <f>VLOOKUP(F682,GLAPS정리!$G$3:$J$114,2,0)</f>
        <v>#N/A</v>
      </c>
      <c r="AJ682" s="2" t="e">
        <f>IF(Z682="울산정일","KRONS",IF(Z682="울산신항","KRUSN",IF(OR(Z682="선광종합물류(인천여객)",Z682="인천여객(인천여객)"),"KRINF",IF(OR(Z682="선광인천보세(인천신)",Z682="한진인천(인천신)",Z682="선광인천신항(인천신)",Z682="인천더로지스(인천신)"),"KRINN",IF(OR(Z682="인천진아(인천항)",Z682="인천E1(인천항)",Z682="인천SM경인터미널(인천항)",Z682="인천항(인천항)",Z682="인천우련(인천항)",Z682="인천항8부두(인천항)"),"KRINC",VLOOKUP(K682,GLAPS정리!$BB$2:$BC$33,2,0))))))</f>
        <v>#N/A</v>
      </c>
      <c r="AL682" s="2">
        <f t="shared" si="151"/>
        <v>5010001</v>
      </c>
      <c r="AN682" s="70" t="str">
        <f t="shared" si="152"/>
        <v>1900-01-00</v>
      </c>
      <c r="AO682" s="2" t="str">
        <f t="shared" si="153"/>
        <v/>
      </c>
      <c r="AP682" s="2" t="e">
        <f>VLOOKUP(C682,GLAPS정리!$AX$2:$AZ$17,3,0)</f>
        <v>#N/A</v>
      </c>
      <c r="AR682" s="2">
        <f t="shared" si="159"/>
        <v>0</v>
      </c>
      <c r="AX682" s="2" t="e">
        <f>VLOOKUP(L682,GLAPS정리!$V$3:$W$180,2,0)</f>
        <v>#N/A</v>
      </c>
      <c r="BM682" s="2" t="str">
        <f t="shared" si="154"/>
        <v xml:space="preserve"> </v>
      </c>
      <c r="BN682" s="2">
        <f t="shared" si="155"/>
        <v>1</v>
      </c>
      <c r="BR682" s="2" t="str">
        <f t="shared" si="156"/>
        <v/>
      </c>
      <c r="BS682" s="2" t="str">
        <f t="shared" si="157"/>
        <v/>
      </c>
      <c r="BV682" s="2" t="e">
        <f>VLOOKUP(O682,GLAPS정리!$BH$2:$BI$94,2,0)</f>
        <v>#N/A</v>
      </c>
      <c r="BW682" s="2" t="str">
        <f>IF(OR(Z682="동원",Z682="세방",Z682="한타"),"",IFERROR(INDEX(GLAPS정리!$BI$2:$BI$101,MATCH(Z682,GLAPS정리!$BH$2:$BH$101,0)),""))</f>
        <v/>
      </c>
      <c r="BX682" s="2" t="str">
        <f>IF(Z682="","",IFERROR(VLOOKUP(Z682,GLAPS정리!$AX$2:$AZ$17,3,0),""))</f>
        <v/>
      </c>
      <c r="BZ682" s="2" t="e">
        <f>VLOOKUP(H682,GLAPS정리!$L$3:$O$133,2,0)</f>
        <v>#N/A</v>
      </c>
      <c r="CA682" s="2" t="str">
        <f t="shared" si="158"/>
        <v/>
      </c>
      <c r="CL682" s="2" t="e">
        <f>VLOOKUP(AI682,GLAPS정리!$BT$3:$BV$26,3,0)</f>
        <v>#N/A</v>
      </c>
    </row>
    <row r="683" spans="2:90" ht="20.45" customHeight="1">
      <c r="B683" s="13"/>
      <c r="G683" s="3"/>
      <c r="J683" s="3"/>
      <c r="Q683" s="3" t="str">
        <f t="shared" si="146"/>
        <v/>
      </c>
      <c r="R683" s="3" t="str">
        <f t="shared" si="147"/>
        <v/>
      </c>
      <c r="S683" s="3" t="str">
        <f t="shared" si="148"/>
        <v/>
      </c>
      <c r="X683" s="13"/>
      <c r="Y683" s="13"/>
      <c r="Z683" s="91"/>
      <c r="AC683" s="2">
        <f t="shared" si="149"/>
        <v>20</v>
      </c>
      <c r="AD683" s="2" t="str">
        <f>IFERROR(INDEX(GLAPS정리!$D$2:$D$50,MATCH(I683,GLAPS정리!$A$2:$A$50,0)),IFERROR(INDEX(GLAPS정리!$D$2:$D$50,MATCH(I683,GLAPS정리!$B$2:$B$50,0)),""))</f>
        <v/>
      </c>
      <c r="AF683" s="2" t="str">
        <f t="shared" si="150"/>
        <v>KR10</v>
      </c>
      <c r="AI683" s="2" t="e">
        <f>VLOOKUP(F683,GLAPS정리!$G$3:$J$114,2,0)</f>
        <v>#N/A</v>
      </c>
      <c r="AJ683" s="2" t="e">
        <f>IF(Z683="울산정일","KRONS",IF(Z683="울산신항","KRUSN",IF(OR(Z683="선광종합물류(인천여객)",Z683="인천여객(인천여객)"),"KRINF",IF(OR(Z683="선광인천보세(인천신)",Z683="한진인천(인천신)",Z683="선광인천신항(인천신)",Z683="인천더로지스(인천신)"),"KRINN",IF(OR(Z683="인천진아(인천항)",Z683="인천E1(인천항)",Z683="인천SM경인터미널(인천항)",Z683="인천항(인천항)",Z683="인천우련(인천항)",Z683="인천항8부두(인천항)"),"KRINC",VLOOKUP(K683,GLAPS정리!$BB$2:$BC$33,2,0))))))</f>
        <v>#N/A</v>
      </c>
      <c r="AL683" s="2">
        <f t="shared" si="151"/>
        <v>5010001</v>
      </c>
      <c r="AN683" s="70" t="str">
        <f t="shared" si="152"/>
        <v>1900-01-00</v>
      </c>
      <c r="AO683" s="2" t="str">
        <f t="shared" si="153"/>
        <v/>
      </c>
      <c r="AP683" s="2" t="e">
        <f>VLOOKUP(C683,GLAPS정리!$AX$2:$AZ$17,3,0)</f>
        <v>#N/A</v>
      </c>
      <c r="AR683" s="2">
        <f t="shared" si="159"/>
        <v>0</v>
      </c>
      <c r="AX683" s="2" t="e">
        <f>VLOOKUP(L683,GLAPS정리!$V$3:$W$180,2,0)</f>
        <v>#N/A</v>
      </c>
      <c r="BM683" s="2" t="str">
        <f t="shared" si="154"/>
        <v xml:space="preserve"> </v>
      </c>
      <c r="BN683" s="2">
        <f t="shared" si="155"/>
        <v>1</v>
      </c>
      <c r="BR683" s="2" t="str">
        <f t="shared" si="156"/>
        <v/>
      </c>
      <c r="BS683" s="2" t="str">
        <f t="shared" si="157"/>
        <v/>
      </c>
      <c r="BV683" s="2" t="e">
        <f>VLOOKUP(O683,GLAPS정리!$BH$2:$BI$94,2,0)</f>
        <v>#N/A</v>
      </c>
      <c r="BW683" s="2" t="str">
        <f>IF(OR(Z683="동원",Z683="세방",Z683="한타"),"",IFERROR(INDEX(GLAPS정리!$BI$2:$BI$101,MATCH(Z683,GLAPS정리!$BH$2:$BH$101,0)),""))</f>
        <v/>
      </c>
      <c r="BX683" s="2" t="str">
        <f>IF(Z683="","",IFERROR(VLOOKUP(Z683,GLAPS정리!$AX$2:$AZ$17,3,0),""))</f>
        <v/>
      </c>
      <c r="BZ683" s="2" t="e">
        <f>VLOOKUP(H683,GLAPS정리!$L$3:$O$133,2,0)</f>
        <v>#N/A</v>
      </c>
      <c r="CA683" s="2" t="str">
        <f t="shared" si="158"/>
        <v/>
      </c>
      <c r="CL683" s="2" t="e">
        <f>VLOOKUP(AI683,GLAPS정리!$BT$3:$BV$26,3,0)</f>
        <v>#N/A</v>
      </c>
    </row>
    <row r="684" spans="2:90" ht="20.45" customHeight="1">
      <c r="B684" s="13"/>
      <c r="G684" s="3"/>
      <c r="J684" s="3"/>
      <c r="Q684" s="3" t="str">
        <f t="shared" si="146"/>
        <v/>
      </c>
      <c r="R684" s="3" t="str">
        <f t="shared" si="147"/>
        <v/>
      </c>
      <c r="S684" s="3" t="str">
        <f t="shared" si="148"/>
        <v/>
      </c>
      <c r="X684" s="13"/>
      <c r="Y684" s="13"/>
      <c r="Z684" s="91"/>
      <c r="AC684" s="2">
        <f t="shared" si="149"/>
        <v>20</v>
      </c>
      <c r="AD684" s="2" t="str">
        <f>IFERROR(INDEX(GLAPS정리!$D$2:$D$50,MATCH(I684,GLAPS정리!$A$2:$A$50,0)),IFERROR(INDEX(GLAPS정리!$D$2:$D$50,MATCH(I684,GLAPS정리!$B$2:$B$50,0)),""))</f>
        <v/>
      </c>
      <c r="AF684" s="2" t="str">
        <f t="shared" si="150"/>
        <v>KR10</v>
      </c>
      <c r="AI684" s="2" t="e">
        <f>VLOOKUP(F684,GLAPS정리!$G$3:$J$114,2,0)</f>
        <v>#N/A</v>
      </c>
      <c r="AJ684" s="2" t="e">
        <f>IF(Z684="울산정일","KRONS",IF(Z684="울산신항","KRUSN",IF(OR(Z684="선광종합물류(인천여객)",Z684="인천여객(인천여객)"),"KRINF",IF(OR(Z684="선광인천보세(인천신)",Z684="한진인천(인천신)",Z684="선광인천신항(인천신)",Z684="인천더로지스(인천신)"),"KRINN",IF(OR(Z684="인천진아(인천항)",Z684="인천E1(인천항)",Z684="인천SM경인터미널(인천항)",Z684="인천항(인천항)",Z684="인천우련(인천항)",Z684="인천항8부두(인천항)"),"KRINC",VLOOKUP(K684,GLAPS정리!$BB$2:$BC$33,2,0))))))</f>
        <v>#N/A</v>
      </c>
      <c r="AL684" s="2">
        <f t="shared" si="151"/>
        <v>5010001</v>
      </c>
      <c r="AN684" s="70" t="str">
        <f t="shared" si="152"/>
        <v>1900-01-00</v>
      </c>
      <c r="AO684" s="2" t="str">
        <f t="shared" si="153"/>
        <v/>
      </c>
      <c r="AP684" s="2" t="e">
        <f>VLOOKUP(C684,GLAPS정리!$AX$2:$AZ$17,3,0)</f>
        <v>#N/A</v>
      </c>
      <c r="AR684" s="2">
        <f t="shared" si="159"/>
        <v>0</v>
      </c>
      <c r="AX684" s="2" t="e">
        <f>VLOOKUP(L684,GLAPS정리!$V$3:$W$180,2,0)</f>
        <v>#N/A</v>
      </c>
      <c r="BM684" s="2" t="str">
        <f t="shared" si="154"/>
        <v xml:space="preserve"> </v>
      </c>
      <c r="BN684" s="2">
        <f t="shared" si="155"/>
        <v>1</v>
      </c>
      <c r="BR684" s="2" t="str">
        <f t="shared" si="156"/>
        <v/>
      </c>
      <c r="BS684" s="2" t="str">
        <f t="shared" si="157"/>
        <v/>
      </c>
      <c r="BV684" s="2" t="e">
        <f>VLOOKUP(O684,GLAPS정리!$BH$2:$BI$94,2,0)</f>
        <v>#N/A</v>
      </c>
      <c r="BW684" s="2" t="str">
        <f>IF(OR(Z684="동원",Z684="세방",Z684="한타"),"",IFERROR(INDEX(GLAPS정리!$BI$2:$BI$101,MATCH(Z684,GLAPS정리!$BH$2:$BH$101,0)),""))</f>
        <v/>
      </c>
      <c r="BX684" s="2" t="str">
        <f>IF(Z684="","",IFERROR(VLOOKUP(Z684,GLAPS정리!$AX$2:$AZ$17,3,0),""))</f>
        <v/>
      </c>
      <c r="BZ684" s="2" t="e">
        <f>VLOOKUP(H684,GLAPS정리!$L$3:$O$133,2,0)</f>
        <v>#N/A</v>
      </c>
      <c r="CA684" s="2" t="str">
        <f t="shared" si="158"/>
        <v/>
      </c>
      <c r="CL684" s="2" t="e">
        <f>VLOOKUP(AI684,GLAPS정리!$BT$3:$BV$26,3,0)</f>
        <v>#N/A</v>
      </c>
    </row>
    <row r="685" spans="2:90" ht="20.45" customHeight="1">
      <c r="B685" s="13"/>
      <c r="G685" s="3"/>
      <c r="J685" s="3"/>
      <c r="Q685" s="3" t="str">
        <f t="shared" si="146"/>
        <v/>
      </c>
      <c r="R685" s="3" t="str">
        <f t="shared" si="147"/>
        <v/>
      </c>
      <c r="S685" s="3" t="str">
        <f t="shared" si="148"/>
        <v/>
      </c>
      <c r="X685" s="13"/>
      <c r="Y685" s="13"/>
      <c r="Z685" s="91"/>
      <c r="AC685" s="2">
        <f t="shared" si="149"/>
        <v>20</v>
      </c>
      <c r="AD685" s="2" t="str">
        <f>IFERROR(INDEX(GLAPS정리!$D$2:$D$50,MATCH(I685,GLAPS정리!$A$2:$A$50,0)),IFERROR(INDEX(GLAPS정리!$D$2:$D$50,MATCH(I685,GLAPS정리!$B$2:$B$50,0)),""))</f>
        <v/>
      </c>
      <c r="AF685" s="2" t="str">
        <f t="shared" si="150"/>
        <v>KR10</v>
      </c>
      <c r="AI685" s="2" t="e">
        <f>VLOOKUP(F685,GLAPS정리!$G$3:$J$114,2,0)</f>
        <v>#N/A</v>
      </c>
      <c r="AJ685" s="2" t="e">
        <f>IF(Z685="울산정일","KRONS",IF(Z685="울산신항","KRUSN",IF(OR(Z685="선광종합물류(인천여객)",Z685="인천여객(인천여객)"),"KRINF",IF(OR(Z685="선광인천보세(인천신)",Z685="한진인천(인천신)",Z685="선광인천신항(인천신)",Z685="인천더로지스(인천신)"),"KRINN",IF(OR(Z685="인천진아(인천항)",Z685="인천E1(인천항)",Z685="인천SM경인터미널(인천항)",Z685="인천항(인천항)",Z685="인천우련(인천항)",Z685="인천항8부두(인천항)"),"KRINC",VLOOKUP(K685,GLAPS정리!$BB$2:$BC$33,2,0))))))</f>
        <v>#N/A</v>
      </c>
      <c r="AL685" s="2">
        <f t="shared" si="151"/>
        <v>5010001</v>
      </c>
      <c r="AN685" s="70" t="str">
        <f t="shared" si="152"/>
        <v>1900-01-00</v>
      </c>
      <c r="AO685" s="2" t="str">
        <f t="shared" si="153"/>
        <v/>
      </c>
      <c r="AP685" s="2" t="e">
        <f>VLOOKUP(C685,GLAPS정리!$AX$2:$AZ$17,3,0)</f>
        <v>#N/A</v>
      </c>
      <c r="AR685" s="2">
        <f t="shared" si="159"/>
        <v>0</v>
      </c>
      <c r="AX685" s="2" t="e">
        <f>VLOOKUP(L685,GLAPS정리!$V$3:$W$180,2,0)</f>
        <v>#N/A</v>
      </c>
      <c r="BM685" s="2" t="str">
        <f t="shared" si="154"/>
        <v xml:space="preserve"> </v>
      </c>
      <c r="BN685" s="2">
        <f t="shared" si="155"/>
        <v>1</v>
      </c>
      <c r="BR685" s="2" t="str">
        <f t="shared" si="156"/>
        <v/>
      </c>
      <c r="BS685" s="2" t="str">
        <f t="shared" si="157"/>
        <v/>
      </c>
      <c r="BV685" s="2" t="e">
        <f>VLOOKUP(O685,GLAPS정리!$BH$2:$BI$94,2,0)</f>
        <v>#N/A</v>
      </c>
      <c r="BW685" s="2" t="str">
        <f>IF(OR(Z685="동원",Z685="세방",Z685="한타"),"",IFERROR(INDEX(GLAPS정리!$BI$2:$BI$101,MATCH(Z685,GLAPS정리!$BH$2:$BH$101,0)),""))</f>
        <v/>
      </c>
      <c r="BX685" s="2" t="str">
        <f>IF(Z685="","",IFERROR(VLOOKUP(Z685,GLAPS정리!$AX$2:$AZ$17,3,0),""))</f>
        <v/>
      </c>
      <c r="BZ685" s="2" t="e">
        <f>VLOOKUP(H685,GLAPS정리!$L$3:$O$133,2,0)</f>
        <v>#N/A</v>
      </c>
      <c r="CA685" s="2" t="str">
        <f t="shared" si="158"/>
        <v/>
      </c>
      <c r="CL685" s="2" t="e">
        <f>VLOOKUP(AI685,GLAPS정리!$BT$3:$BV$26,3,0)</f>
        <v>#N/A</v>
      </c>
    </row>
    <row r="686" spans="2:90" ht="20.45" customHeight="1">
      <c r="B686" s="13"/>
      <c r="G686" s="3"/>
      <c r="J686" s="3"/>
      <c r="Q686" s="3" t="str">
        <f t="shared" si="146"/>
        <v/>
      </c>
      <c r="R686" s="3" t="str">
        <f t="shared" si="147"/>
        <v/>
      </c>
      <c r="S686" s="3" t="str">
        <f t="shared" si="148"/>
        <v/>
      </c>
      <c r="X686" s="13"/>
      <c r="Y686" s="13"/>
      <c r="Z686" s="91"/>
      <c r="AC686" s="2">
        <f t="shared" si="149"/>
        <v>20</v>
      </c>
      <c r="AD686" s="2" t="str">
        <f>IFERROR(INDEX(GLAPS정리!$D$2:$D$50,MATCH(I686,GLAPS정리!$A$2:$A$50,0)),IFERROR(INDEX(GLAPS정리!$D$2:$D$50,MATCH(I686,GLAPS정리!$B$2:$B$50,0)),""))</f>
        <v/>
      </c>
      <c r="AF686" s="2" t="str">
        <f t="shared" si="150"/>
        <v>KR10</v>
      </c>
      <c r="AI686" s="2" t="e">
        <f>VLOOKUP(F686,GLAPS정리!$G$3:$J$114,2,0)</f>
        <v>#N/A</v>
      </c>
      <c r="AJ686" s="2" t="e">
        <f>IF(Z686="울산정일","KRONS",IF(Z686="울산신항","KRUSN",IF(OR(Z686="선광종합물류(인천여객)",Z686="인천여객(인천여객)"),"KRINF",IF(OR(Z686="선광인천보세(인천신)",Z686="한진인천(인천신)",Z686="선광인천신항(인천신)",Z686="인천더로지스(인천신)"),"KRINN",IF(OR(Z686="인천진아(인천항)",Z686="인천E1(인천항)",Z686="인천SM경인터미널(인천항)",Z686="인천항(인천항)",Z686="인천우련(인천항)",Z686="인천항8부두(인천항)"),"KRINC",VLOOKUP(K686,GLAPS정리!$BB$2:$BC$33,2,0))))))</f>
        <v>#N/A</v>
      </c>
      <c r="AL686" s="2">
        <f t="shared" si="151"/>
        <v>5010001</v>
      </c>
      <c r="AN686" s="70" t="str">
        <f t="shared" si="152"/>
        <v>1900-01-00</v>
      </c>
      <c r="AO686" s="2" t="str">
        <f t="shared" si="153"/>
        <v/>
      </c>
      <c r="AP686" s="2" t="e">
        <f>VLOOKUP(C686,GLAPS정리!$AX$2:$AZ$17,3,0)</f>
        <v>#N/A</v>
      </c>
      <c r="AR686" s="2">
        <f t="shared" si="159"/>
        <v>0</v>
      </c>
      <c r="AX686" s="2" t="e">
        <f>VLOOKUP(L686,GLAPS정리!$V$3:$W$180,2,0)</f>
        <v>#N/A</v>
      </c>
      <c r="BM686" s="2" t="str">
        <f t="shared" si="154"/>
        <v xml:space="preserve"> </v>
      </c>
      <c r="BN686" s="2">
        <f t="shared" si="155"/>
        <v>1</v>
      </c>
      <c r="BR686" s="2" t="str">
        <f t="shared" si="156"/>
        <v/>
      </c>
      <c r="BS686" s="2" t="str">
        <f t="shared" si="157"/>
        <v/>
      </c>
      <c r="BV686" s="2" t="e">
        <f>VLOOKUP(O686,GLAPS정리!$BH$2:$BI$94,2,0)</f>
        <v>#N/A</v>
      </c>
      <c r="BW686" s="2" t="str">
        <f>IF(OR(Z686="동원",Z686="세방",Z686="한타"),"",IFERROR(INDEX(GLAPS정리!$BI$2:$BI$101,MATCH(Z686,GLAPS정리!$BH$2:$BH$101,0)),""))</f>
        <v/>
      </c>
      <c r="BX686" s="2" t="str">
        <f>IF(Z686="","",IFERROR(VLOOKUP(Z686,GLAPS정리!$AX$2:$AZ$17,3,0),""))</f>
        <v/>
      </c>
      <c r="BZ686" s="2" t="e">
        <f>VLOOKUP(H686,GLAPS정리!$L$3:$O$133,2,0)</f>
        <v>#N/A</v>
      </c>
      <c r="CA686" s="2" t="str">
        <f t="shared" si="158"/>
        <v/>
      </c>
      <c r="CL686" s="2" t="e">
        <f>VLOOKUP(AI686,GLAPS정리!$BT$3:$BV$26,3,0)</f>
        <v>#N/A</v>
      </c>
    </row>
    <row r="687" spans="2:90" ht="20.45" customHeight="1">
      <c r="B687" s="13"/>
      <c r="G687" s="3"/>
      <c r="J687" s="3"/>
      <c r="Q687" s="3" t="str">
        <f t="shared" si="146"/>
        <v/>
      </c>
      <c r="R687" s="3" t="str">
        <f t="shared" si="147"/>
        <v/>
      </c>
      <c r="S687" s="3" t="str">
        <f t="shared" si="148"/>
        <v/>
      </c>
      <c r="X687" s="13"/>
      <c r="Y687" s="13"/>
      <c r="Z687" s="91"/>
      <c r="AC687" s="2">
        <f t="shared" si="149"/>
        <v>20</v>
      </c>
      <c r="AD687" s="2" t="str">
        <f>IFERROR(INDEX(GLAPS정리!$D$2:$D$50,MATCH(I687,GLAPS정리!$A$2:$A$50,0)),IFERROR(INDEX(GLAPS정리!$D$2:$D$50,MATCH(I687,GLAPS정리!$B$2:$B$50,0)),""))</f>
        <v/>
      </c>
      <c r="AF687" s="2" t="str">
        <f t="shared" si="150"/>
        <v>KR10</v>
      </c>
      <c r="AI687" s="2" t="e">
        <f>VLOOKUP(F687,GLAPS정리!$G$3:$J$114,2,0)</f>
        <v>#N/A</v>
      </c>
      <c r="AJ687" s="2" t="e">
        <f>IF(Z687="울산정일","KRONS",IF(Z687="울산신항","KRUSN",IF(OR(Z687="선광종합물류(인천여객)",Z687="인천여객(인천여객)"),"KRINF",IF(OR(Z687="선광인천보세(인천신)",Z687="한진인천(인천신)",Z687="선광인천신항(인천신)",Z687="인천더로지스(인천신)"),"KRINN",IF(OR(Z687="인천진아(인천항)",Z687="인천E1(인천항)",Z687="인천SM경인터미널(인천항)",Z687="인천항(인천항)",Z687="인천우련(인천항)",Z687="인천항8부두(인천항)"),"KRINC",VLOOKUP(K687,GLAPS정리!$BB$2:$BC$33,2,0))))))</f>
        <v>#N/A</v>
      </c>
      <c r="AL687" s="2">
        <f t="shared" si="151"/>
        <v>5010001</v>
      </c>
      <c r="AN687" s="70" t="str">
        <f t="shared" si="152"/>
        <v>1900-01-00</v>
      </c>
      <c r="AO687" s="2" t="str">
        <f t="shared" si="153"/>
        <v/>
      </c>
      <c r="AP687" s="2" t="e">
        <f>VLOOKUP(C687,GLAPS정리!$AX$2:$AZ$17,3,0)</f>
        <v>#N/A</v>
      </c>
      <c r="AR687" s="2">
        <f t="shared" si="159"/>
        <v>0</v>
      </c>
      <c r="AX687" s="2" t="e">
        <f>VLOOKUP(L687,GLAPS정리!$V$3:$W$180,2,0)</f>
        <v>#N/A</v>
      </c>
      <c r="BM687" s="2" t="str">
        <f t="shared" si="154"/>
        <v xml:space="preserve"> </v>
      </c>
      <c r="BN687" s="2">
        <f t="shared" si="155"/>
        <v>1</v>
      </c>
      <c r="BR687" s="2" t="str">
        <f t="shared" si="156"/>
        <v/>
      </c>
      <c r="BS687" s="2" t="str">
        <f t="shared" si="157"/>
        <v/>
      </c>
      <c r="BV687" s="2" t="e">
        <f>VLOOKUP(O687,GLAPS정리!$BH$2:$BI$94,2,0)</f>
        <v>#N/A</v>
      </c>
      <c r="BW687" s="2" t="str">
        <f>IF(OR(Z687="동원",Z687="세방",Z687="한타"),"",IFERROR(INDEX(GLAPS정리!$BI$2:$BI$101,MATCH(Z687,GLAPS정리!$BH$2:$BH$101,0)),""))</f>
        <v/>
      </c>
      <c r="BX687" s="2" t="str">
        <f>IF(Z687="","",IFERROR(VLOOKUP(Z687,GLAPS정리!$AX$2:$AZ$17,3,0),""))</f>
        <v/>
      </c>
      <c r="BZ687" s="2" t="e">
        <f>VLOOKUP(H687,GLAPS정리!$L$3:$O$133,2,0)</f>
        <v>#N/A</v>
      </c>
      <c r="CA687" s="2" t="str">
        <f t="shared" si="158"/>
        <v/>
      </c>
      <c r="CL687" s="2" t="e">
        <f>VLOOKUP(AI687,GLAPS정리!$BT$3:$BV$26,3,0)</f>
        <v>#N/A</v>
      </c>
    </row>
    <row r="688" spans="2:90" ht="20.45" customHeight="1">
      <c r="B688" s="13"/>
      <c r="G688" s="3"/>
      <c r="J688" s="3"/>
      <c r="Q688" s="3" t="str">
        <f t="shared" si="146"/>
        <v/>
      </c>
      <c r="R688" s="3" t="str">
        <f t="shared" si="147"/>
        <v/>
      </c>
      <c r="S688" s="3" t="str">
        <f t="shared" si="148"/>
        <v/>
      </c>
      <c r="X688" s="13"/>
      <c r="Y688" s="13"/>
      <c r="Z688" s="91"/>
      <c r="AC688" s="2">
        <f t="shared" si="149"/>
        <v>20</v>
      </c>
      <c r="AD688" s="2" t="str">
        <f>IFERROR(INDEX(GLAPS정리!$D$2:$D$50,MATCH(I688,GLAPS정리!$A$2:$A$50,0)),IFERROR(INDEX(GLAPS정리!$D$2:$D$50,MATCH(I688,GLAPS정리!$B$2:$B$50,0)),""))</f>
        <v/>
      </c>
      <c r="AF688" s="2" t="str">
        <f t="shared" si="150"/>
        <v>KR10</v>
      </c>
      <c r="AI688" s="2" t="e">
        <f>VLOOKUP(F688,GLAPS정리!$G$3:$J$114,2,0)</f>
        <v>#N/A</v>
      </c>
      <c r="AJ688" s="2" t="e">
        <f>IF(Z688="울산정일","KRONS",IF(Z688="울산신항","KRUSN",IF(OR(Z688="선광종합물류(인천여객)",Z688="인천여객(인천여객)"),"KRINF",IF(OR(Z688="선광인천보세(인천신)",Z688="한진인천(인천신)",Z688="선광인천신항(인천신)",Z688="인천더로지스(인천신)"),"KRINN",IF(OR(Z688="인천진아(인천항)",Z688="인천E1(인천항)",Z688="인천SM경인터미널(인천항)",Z688="인천항(인천항)",Z688="인천우련(인천항)",Z688="인천항8부두(인천항)"),"KRINC",VLOOKUP(K688,GLAPS정리!$BB$2:$BC$33,2,0))))))</f>
        <v>#N/A</v>
      </c>
      <c r="AL688" s="2">
        <f t="shared" si="151"/>
        <v>5010001</v>
      </c>
      <c r="AN688" s="70" t="str">
        <f t="shared" si="152"/>
        <v>1900-01-00</v>
      </c>
      <c r="AO688" s="2" t="str">
        <f t="shared" si="153"/>
        <v/>
      </c>
      <c r="AP688" s="2" t="e">
        <f>VLOOKUP(C688,GLAPS정리!$AX$2:$AZ$17,3,0)</f>
        <v>#N/A</v>
      </c>
      <c r="AR688" s="2">
        <f t="shared" si="159"/>
        <v>0</v>
      </c>
      <c r="AX688" s="2" t="e">
        <f>VLOOKUP(L688,GLAPS정리!$V$3:$W$180,2,0)</f>
        <v>#N/A</v>
      </c>
      <c r="BM688" s="2" t="str">
        <f t="shared" si="154"/>
        <v xml:space="preserve"> </v>
      </c>
      <c r="BN688" s="2">
        <f t="shared" si="155"/>
        <v>1</v>
      </c>
      <c r="BR688" s="2" t="str">
        <f t="shared" si="156"/>
        <v/>
      </c>
      <c r="BS688" s="2" t="str">
        <f t="shared" si="157"/>
        <v/>
      </c>
      <c r="BV688" s="2" t="e">
        <f>VLOOKUP(O688,GLAPS정리!$BH$2:$BI$94,2,0)</f>
        <v>#N/A</v>
      </c>
      <c r="BW688" s="2" t="str">
        <f>IF(OR(Z688="동원",Z688="세방",Z688="한타"),"",IFERROR(INDEX(GLAPS정리!$BI$2:$BI$101,MATCH(Z688,GLAPS정리!$BH$2:$BH$101,0)),""))</f>
        <v/>
      </c>
      <c r="BX688" s="2" t="str">
        <f>IF(Z688="","",IFERROR(VLOOKUP(Z688,GLAPS정리!$AX$2:$AZ$17,3,0),""))</f>
        <v/>
      </c>
      <c r="BZ688" s="2" t="e">
        <f>VLOOKUP(H688,GLAPS정리!$L$3:$O$133,2,0)</f>
        <v>#N/A</v>
      </c>
      <c r="CA688" s="2" t="str">
        <f t="shared" si="158"/>
        <v/>
      </c>
      <c r="CL688" s="2" t="e">
        <f>VLOOKUP(AI688,GLAPS정리!$BT$3:$BV$26,3,0)</f>
        <v>#N/A</v>
      </c>
    </row>
    <row r="689" spans="2:90" ht="20.45" customHeight="1">
      <c r="B689" s="13"/>
      <c r="G689" s="3"/>
      <c r="J689" s="3"/>
      <c r="Q689" s="3" t="str">
        <f t="shared" si="146"/>
        <v/>
      </c>
      <c r="R689" s="3" t="str">
        <f t="shared" si="147"/>
        <v/>
      </c>
      <c r="S689" s="3" t="str">
        <f t="shared" si="148"/>
        <v/>
      </c>
      <c r="X689" s="13"/>
      <c r="Y689" s="13"/>
      <c r="Z689" s="91"/>
      <c r="AC689" s="2">
        <f t="shared" si="149"/>
        <v>20</v>
      </c>
      <c r="AD689" s="2" t="str">
        <f>IFERROR(INDEX(GLAPS정리!$D$2:$D$50,MATCH(I689,GLAPS정리!$A$2:$A$50,0)),IFERROR(INDEX(GLAPS정리!$D$2:$D$50,MATCH(I689,GLAPS정리!$B$2:$B$50,0)),""))</f>
        <v/>
      </c>
      <c r="AF689" s="2" t="str">
        <f t="shared" si="150"/>
        <v>KR10</v>
      </c>
      <c r="AI689" s="2" t="e">
        <f>VLOOKUP(F689,GLAPS정리!$G$3:$J$114,2,0)</f>
        <v>#N/A</v>
      </c>
      <c r="AJ689" s="2" t="e">
        <f>IF(Z689="울산정일","KRONS",IF(Z689="울산신항","KRUSN",IF(OR(Z689="선광종합물류(인천여객)",Z689="인천여객(인천여객)"),"KRINF",IF(OR(Z689="선광인천보세(인천신)",Z689="한진인천(인천신)",Z689="선광인천신항(인천신)",Z689="인천더로지스(인천신)"),"KRINN",IF(OR(Z689="인천진아(인천항)",Z689="인천E1(인천항)",Z689="인천SM경인터미널(인천항)",Z689="인천항(인천항)",Z689="인천우련(인천항)",Z689="인천항8부두(인천항)"),"KRINC",VLOOKUP(K689,GLAPS정리!$BB$2:$BC$33,2,0))))))</f>
        <v>#N/A</v>
      </c>
      <c r="AL689" s="2">
        <f t="shared" si="151"/>
        <v>5010001</v>
      </c>
      <c r="AN689" s="70" t="str">
        <f t="shared" si="152"/>
        <v>1900-01-00</v>
      </c>
      <c r="AO689" s="2" t="str">
        <f t="shared" si="153"/>
        <v/>
      </c>
      <c r="AP689" s="2" t="e">
        <f>VLOOKUP(C689,GLAPS정리!$AX$2:$AZ$17,3,0)</f>
        <v>#N/A</v>
      </c>
      <c r="AR689" s="2">
        <f t="shared" si="159"/>
        <v>0</v>
      </c>
      <c r="AX689" s="2" t="e">
        <f>VLOOKUP(L689,GLAPS정리!$V$3:$W$180,2,0)</f>
        <v>#N/A</v>
      </c>
      <c r="BM689" s="2" t="str">
        <f t="shared" si="154"/>
        <v xml:space="preserve"> </v>
      </c>
      <c r="BN689" s="2">
        <f t="shared" si="155"/>
        <v>1</v>
      </c>
      <c r="BR689" s="2" t="str">
        <f t="shared" si="156"/>
        <v/>
      </c>
      <c r="BS689" s="2" t="str">
        <f t="shared" si="157"/>
        <v/>
      </c>
      <c r="BV689" s="2" t="e">
        <f>VLOOKUP(O689,GLAPS정리!$BH$2:$BI$94,2,0)</f>
        <v>#N/A</v>
      </c>
      <c r="BW689" s="2" t="str">
        <f>IF(OR(Z689="동원",Z689="세방",Z689="한타"),"",IFERROR(INDEX(GLAPS정리!$BI$2:$BI$101,MATCH(Z689,GLAPS정리!$BH$2:$BH$101,0)),""))</f>
        <v/>
      </c>
      <c r="BX689" s="2" t="str">
        <f>IF(Z689="","",IFERROR(VLOOKUP(Z689,GLAPS정리!$AX$2:$AZ$17,3,0),""))</f>
        <v/>
      </c>
      <c r="BZ689" s="2" t="e">
        <f>VLOOKUP(H689,GLAPS정리!$L$3:$O$133,2,0)</f>
        <v>#N/A</v>
      </c>
      <c r="CA689" s="2" t="str">
        <f t="shared" si="158"/>
        <v/>
      </c>
      <c r="CL689" s="2" t="e">
        <f>VLOOKUP(AI689,GLAPS정리!$BT$3:$BV$26,3,0)</f>
        <v>#N/A</v>
      </c>
    </row>
    <row r="690" spans="2:90" ht="20.45" customHeight="1">
      <c r="B690" s="13"/>
      <c r="G690" s="3"/>
      <c r="J690" s="3"/>
      <c r="Q690" s="3" t="str">
        <f t="shared" si="146"/>
        <v/>
      </c>
      <c r="R690" s="3" t="str">
        <f t="shared" si="147"/>
        <v/>
      </c>
      <c r="S690" s="3" t="str">
        <f t="shared" si="148"/>
        <v/>
      </c>
      <c r="X690" s="13"/>
      <c r="Y690" s="13"/>
      <c r="Z690" s="91"/>
      <c r="AC690" s="2">
        <f t="shared" si="149"/>
        <v>20</v>
      </c>
      <c r="AD690" s="2" t="str">
        <f>IFERROR(INDEX(GLAPS정리!$D$2:$D$50,MATCH(I690,GLAPS정리!$A$2:$A$50,0)),IFERROR(INDEX(GLAPS정리!$D$2:$D$50,MATCH(I690,GLAPS정리!$B$2:$B$50,0)),""))</f>
        <v/>
      </c>
      <c r="AF690" s="2" t="str">
        <f t="shared" si="150"/>
        <v>KR10</v>
      </c>
      <c r="AI690" s="2" t="e">
        <f>VLOOKUP(F690,GLAPS정리!$G$3:$J$114,2,0)</f>
        <v>#N/A</v>
      </c>
      <c r="AJ690" s="2" t="e">
        <f>IF(Z690="울산정일","KRONS",IF(Z690="울산신항","KRUSN",IF(OR(Z690="선광종합물류(인천여객)",Z690="인천여객(인천여객)"),"KRINF",IF(OR(Z690="선광인천보세(인천신)",Z690="한진인천(인천신)",Z690="선광인천신항(인천신)",Z690="인천더로지스(인천신)"),"KRINN",IF(OR(Z690="인천진아(인천항)",Z690="인천E1(인천항)",Z690="인천SM경인터미널(인천항)",Z690="인천항(인천항)",Z690="인천우련(인천항)",Z690="인천항8부두(인천항)"),"KRINC",VLOOKUP(K690,GLAPS정리!$BB$2:$BC$33,2,0))))))</f>
        <v>#N/A</v>
      </c>
      <c r="AL690" s="2">
        <f t="shared" si="151"/>
        <v>5010001</v>
      </c>
      <c r="AN690" s="70" t="str">
        <f t="shared" si="152"/>
        <v>1900-01-00</v>
      </c>
      <c r="AO690" s="2" t="str">
        <f t="shared" si="153"/>
        <v/>
      </c>
      <c r="AP690" s="2" t="e">
        <f>VLOOKUP(C690,GLAPS정리!$AX$2:$AZ$17,3,0)</f>
        <v>#N/A</v>
      </c>
      <c r="AR690" s="2">
        <f t="shared" si="159"/>
        <v>0</v>
      </c>
      <c r="AX690" s="2" t="e">
        <f>VLOOKUP(L690,GLAPS정리!$V$3:$W$180,2,0)</f>
        <v>#N/A</v>
      </c>
      <c r="BM690" s="2" t="str">
        <f t="shared" si="154"/>
        <v xml:space="preserve"> </v>
      </c>
      <c r="BN690" s="2">
        <f t="shared" si="155"/>
        <v>1</v>
      </c>
      <c r="BR690" s="2" t="str">
        <f t="shared" si="156"/>
        <v/>
      </c>
      <c r="BS690" s="2" t="str">
        <f t="shared" si="157"/>
        <v/>
      </c>
      <c r="BV690" s="2" t="e">
        <f>VLOOKUP(O690,GLAPS정리!$BH$2:$BI$94,2,0)</f>
        <v>#N/A</v>
      </c>
      <c r="BW690" s="2" t="str">
        <f>IF(OR(Z690="동원",Z690="세방",Z690="한타"),"",IFERROR(INDEX(GLAPS정리!$BI$2:$BI$101,MATCH(Z690,GLAPS정리!$BH$2:$BH$101,0)),""))</f>
        <v/>
      </c>
      <c r="BX690" s="2" t="str">
        <f>IF(Z690="","",IFERROR(VLOOKUP(Z690,GLAPS정리!$AX$2:$AZ$17,3,0),""))</f>
        <v/>
      </c>
      <c r="BZ690" s="2" t="e">
        <f>VLOOKUP(H690,GLAPS정리!$L$3:$O$133,2,0)</f>
        <v>#N/A</v>
      </c>
      <c r="CA690" s="2" t="str">
        <f t="shared" si="158"/>
        <v/>
      </c>
      <c r="CL690" s="2" t="e">
        <f>VLOOKUP(AI690,GLAPS정리!$BT$3:$BV$26,3,0)</f>
        <v>#N/A</v>
      </c>
    </row>
    <row r="691" spans="2:90" ht="20.45" customHeight="1">
      <c r="B691" s="13"/>
      <c r="G691" s="3"/>
      <c r="J691" s="3"/>
      <c r="Q691" s="3" t="str">
        <f t="shared" si="146"/>
        <v/>
      </c>
      <c r="R691" s="3" t="str">
        <f t="shared" si="147"/>
        <v/>
      </c>
      <c r="S691" s="3" t="str">
        <f t="shared" si="148"/>
        <v/>
      </c>
      <c r="X691" s="13"/>
      <c r="Y691" s="13"/>
      <c r="Z691" s="91"/>
      <c r="AC691" s="2">
        <f t="shared" si="149"/>
        <v>20</v>
      </c>
      <c r="AD691" s="2" t="str">
        <f>IFERROR(INDEX(GLAPS정리!$D$2:$D$50,MATCH(I691,GLAPS정리!$A$2:$A$50,0)),IFERROR(INDEX(GLAPS정리!$D$2:$D$50,MATCH(I691,GLAPS정리!$B$2:$B$50,0)),""))</f>
        <v/>
      </c>
      <c r="AF691" s="2" t="str">
        <f t="shared" si="150"/>
        <v>KR10</v>
      </c>
      <c r="AI691" s="2" t="e">
        <f>VLOOKUP(F691,GLAPS정리!$G$3:$J$114,2,0)</f>
        <v>#N/A</v>
      </c>
      <c r="AJ691" s="2" t="e">
        <f>IF(Z691="울산정일","KRONS",IF(Z691="울산신항","KRUSN",IF(OR(Z691="선광종합물류(인천여객)",Z691="인천여객(인천여객)"),"KRINF",IF(OR(Z691="선광인천보세(인천신)",Z691="한진인천(인천신)",Z691="선광인천신항(인천신)",Z691="인천더로지스(인천신)"),"KRINN",IF(OR(Z691="인천진아(인천항)",Z691="인천E1(인천항)",Z691="인천SM경인터미널(인천항)",Z691="인천항(인천항)",Z691="인천우련(인천항)",Z691="인천항8부두(인천항)"),"KRINC",VLOOKUP(K691,GLAPS정리!$BB$2:$BC$33,2,0))))))</f>
        <v>#N/A</v>
      </c>
      <c r="AL691" s="2">
        <f t="shared" si="151"/>
        <v>5010001</v>
      </c>
      <c r="AN691" s="70" t="str">
        <f t="shared" si="152"/>
        <v>1900-01-00</v>
      </c>
      <c r="AO691" s="2" t="str">
        <f t="shared" si="153"/>
        <v/>
      </c>
      <c r="AP691" s="2" t="e">
        <f>VLOOKUP(C691,GLAPS정리!$AX$2:$AZ$17,3,0)</f>
        <v>#N/A</v>
      </c>
      <c r="AR691" s="2">
        <f t="shared" si="159"/>
        <v>0</v>
      </c>
      <c r="AX691" s="2" t="e">
        <f>VLOOKUP(L691,GLAPS정리!$V$3:$W$180,2,0)</f>
        <v>#N/A</v>
      </c>
      <c r="BM691" s="2" t="str">
        <f t="shared" si="154"/>
        <v xml:space="preserve"> </v>
      </c>
      <c r="BN691" s="2">
        <f t="shared" si="155"/>
        <v>1</v>
      </c>
      <c r="BR691" s="2" t="str">
        <f t="shared" si="156"/>
        <v/>
      </c>
      <c r="BS691" s="2" t="str">
        <f t="shared" si="157"/>
        <v/>
      </c>
      <c r="BV691" s="2" t="e">
        <f>VLOOKUP(O691,GLAPS정리!$BH$2:$BI$94,2,0)</f>
        <v>#N/A</v>
      </c>
      <c r="BW691" s="2" t="str">
        <f>IF(OR(Z691="동원",Z691="세방",Z691="한타"),"",IFERROR(INDEX(GLAPS정리!$BI$2:$BI$101,MATCH(Z691,GLAPS정리!$BH$2:$BH$101,0)),""))</f>
        <v/>
      </c>
      <c r="BX691" s="2" t="str">
        <f>IF(Z691="","",IFERROR(VLOOKUP(Z691,GLAPS정리!$AX$2:$AZ$17,3,0),""))</f>
        <v/>
      </c>
      <c r="BZ691" s="2" t="e">
        <f>VLOOKUP(H691,GLAPS정리!$L$3:$O$133,2,0)</f>
        <v>#N/A</v>
      </c>
      <c r="CA691" s="2" t="str">
        <f t="shared" si="158"/>
        <v/>
      </c>
      <c r="CL691" s="2" t="e">
        <f>VLOOKUP(AI691,GLAPS정리!$BT$3:$BV$26,3,0)</f>
        <v>#N/A</v>
      </c>
    </row>
    <row r="692" spans="2:90" ht="20.45" customHeight="1">
      <c r="B692" s="13"/>
      <c r="G692" s="3"/>
      <c r="J692" s="3"/>
      <c r="Q692" s="3" t="str">
        <f t="shared" si="146"/>
        <v/>
      </c>
      <c r="R692" s="3" t="str">
        <f t="shared" si="147"/>
        <v/>
      </c>
      <c r="S692" s="3" t="str">
        <f t="shared" si="148"/>
        <v/>
      </c>
      <c r="X692" s="13"/>
      <c r="Y692" s="13"/>
      <c r="Z692" s="91"/>
      <c r="AC692" s="2">
        <f t="shared" si="149"/>
        <v>20</v>
      </c>
      <c r="AD692" s="2" t="str">
        <f>IFERROR(INDEX(GLAPS정리!$D$2:$D$50,MATCH(I692,GLAPS정리!$A$2:$A$50,0)),IFERROR(INDEX(GLAPS정리!$D$2:$D$50,MATCH(I692,GLAPS정리!$B$2:$B$50,0)),""))</f>
        <v/>
      </c>
      <c r="AF692" s="2" t="str">
        <f t="shared" si="150"/>
        <v>KR10</v>
      </c>
      <c r="AI692" s="2" t="e">
        <f>VLOOKUP(F692,GLAPS정리!$G$3:$J$114,2,0)</f>
        <v>#N/A</v>
      </c>
      <c r="AJ692" s="2" t="e">
        <f>IF(Z692="울산정일","KRONS",IF(Z692="울산신항","KRUSN",IF(OR(Z692="선광종합물류(인천여객)",Z692="인천여객(인천여객)"),"KRINF",IF(OR(Z692="선광인천보세(인천신)",Z692="한진인천(인천신)",Z692="선광인천신항(인천신)",Z692="인천더로지스(인천신)"),"KRINN",IF(OR(Z692="인천진아(인천항)",Z692="인천E1(인천항)",Z692="인천SM경인터미널(인천항)",Z692="인천항(인천항)",Z692="인천우련(인천항)",Z692="인천항8부두(인천항)"),"KRINC",VLOOKUP(K692,GLAPS정리!$BB$2:$BC$33,2,0))))))</f>
        <v>#N/A</v>
      </c>
      <c r="AL692" s="2">
        <f t="shared" si="151"/>
        <v>5010001</v>
      </c>
      <c r="AN692" s="70" t="str">
        <f t="shared" si="152"/>
        <v>1900-01-00</v>
      </c>
      <c r="AO692" s="2" t="str">
        <f t="shared" si="153"/>
        <v/>
      </c>
      <c r="AP692" s="2" t="e">
        <f>VLOOKUP(C692,GLAPS정리!$AX$2:$AZ$17,3,0)</f>
        <v>#N/A</v>
      </c>
      <c r="AR692" s="2">
        <f t="shared" si="159"/>
        <v>0</v>
      </c>
      <c r="AX692" s="2" t="e">
        <f>VLOOKUP(L692,GLAPS정리!$V$3:$W$180,2,0)</f>
        <v>#N/A</v>
      </c>
      <c r="BM692" s="2" t="str">
        <f t="shared" si="154"/>
        <v xml:space="preserve"> </v>
      </c>
      <c r="BN692" s="2">
        <f t="shared" si="155"/>
        <v>1</v>
      </c>
      <c r="BR692" s="2" t="str">
        <f t="shared" si="156"/>
        <v/>
      </c>
      <c r="BS692" s="2" t="str">
        <f t="shared" si="157"/>
        <v/>
      </c>
      <c r="BV692" s="2" t="e">
        <f>VLOOKUP(O692,GLAPS정리!$BH$2:$BI$94,2,0)</f>
        <v>#N/A</v>
      </c>
      <c r="BW692" s="2" t="str">
        <f>IF(OR(Z692="동원",Z692="세방",Z692="한타"),"",IFERROR(INDEX(GLAPS정리!$BI$2:$BI$101,MATCH(Z692,GLAPS정리!$BH$2:$BH$101,0)),""))</f>
        <v/>
      </c>
      <c r="BX692" s="2" t="str">
        <f>IF(Z692="","",IFERROR(VLOOKUP(Z692,GLAPS정리!$AX$2:$AZ$17,3,0),""))</f>
        <v/>
      </c>
      <c r="BZ692" s="2" t="e">
        <f>VLOOKUP(H692,GLAPS정리!$L$3:$O$133,2,0)</f>
        <v>#N/A</v>
      </c>
      <c r="CA692" s="2" t="str">
        <f t="shared" si="158"/>
        <v/>
      </c>
      <c r="CL692" s="2" t="e">
        <f>VLOOKUP(AI692,GLAPS정리!$BT$3:$BV$26,3,0)</f>
        <v>#N/A</v>
      </c>
    </row>
    <row r="693" spans="2:90" ht="20.45" customHeight="1">
      <c r="B693" s="13"/>
      <c r="G693" s="3"/>
      <c r="J693" s="3"/>
      <c r="Q693" s="3" t="str">
        <f t="shared" si="146"/>
        <v/>
      </c>
      <c r="R693" s="3" t="str">
        <f t="shared" si="147"/>
        <v/>
      </c>
      <c r="S693" s="3" t="str">
        <f t="shared" si="148"/>
        <v/>
      </c>
      <c r="X693" s="13"/>
      <c r="Y693" s="13"/>
      <c r="Z693" s="91"/>
      <c r="AC693" s="2">
        <f t="shared" si="149"/>
        <v>20</v>
      </c>
      <c r="AD693" s="2" t="str">
        <f>IFERROR(INDEX(GLAPS정리!$D$2:$D$50,MATCH(I693,GLAPS정리!$A$2:$A$50,0)),IFERROR(INDEX(GLAPS정리!$D$2:$D$50,MATCH(I693,GLAPS정리!$B$2:$B$50,0)),""))</f>
        <v/>
      </c>
      <c r="AF693" s="2" t="str">
        <f t="shared" si="150"/>
        <v>KR10</v>
      </c>
      <c r="AI693" s="2" t="e">
        <f>VLOOKUP(F693,GLAPS정리!$G$3:$J$114,2,0)</f>
        <v>#N/A</v>
      </c>
      <c r="AJ693" s="2" t="e">
        <f>IF(Z693="울산정일","KRONS",IF(Z693="울산신항","KRUSN",IF(OR(Z693="선광종합물류(인천여객)",Z693="인천여객(인천여객)"),"KRINF",IF(OR(Z693="선광인천보세(인천신)",Z693="한진인천(인천신)",Z693="선광인천신항(인천신)",Z693="인천더로지스(인천신)"),"KRINN",IF(OR(Z693="인천진아(인천항)",Z693="인천E1(인천항)",Z693="인천SM경인터미널(인천항)",Z693="인천항(인천항)",Z693="인천우련(인천항)",Z693="인천항8부두(인천항)"),"KRINC",VLOOKUP(K693,GLAPS정리!$BB$2:$BC$33,2,0))))))</f>
        <v>#N/A</v>
      </c>
      <c r="AL693" s="2">
        <f t="shared" si="151"/>
        <v>5010001</v>
      </c>
      <c r="AN693" s="70" t="str">
        <f t="shared" si="152"/>
        <v>1900-01-00</v>
      </c>
      <c r="AO693" s="2" t="str">
        <f t="shared" si="153"/>
        <v/>
      </c>
      <c r="AP693" s="2" t="e">
        <f>VLOOKUP(C693,GLAPS정리!$AX$2:$AZ$17,3,0)</f>
        <v>#N/A</v>
      </c>
      <c r="AR693" s="2">
        <f t="shared" si="159"/>
        <v>0</v>
      </c>
      <c r="AX693" s="2" t="e">
        <f>VLOOKUP(L693,GLAPS정리!$V$3:$W$180,2,0)</f>
        <v>#N/A</v>
      </c>
      <c r="BM693" s="2" t="str">
        <f t="shared" si="154"/>
        <v xml:space="preserve"> </v>
      </c>
      <c r="BN693" s="2">
        <f t="shared" si="155"/>
        <v>1</v>
      </c>
      <c r="BR693" s="2" t="str">
        <f t="shared" si="156"/>
        <v/>
      </c>
      <c r="BS693" s="2" t="str">
        <f t="shared" si="157"/>
        <v/>
      </c>
      <c r="BV693" s="2" t="e">
        <f>VLOOKUP(O693,GLAPS정리!$BH$2:$BI$94,2,0)</f>
        <v>#N/A</v>
      </c>
      <c r="BW693" s="2" t="str">
        <f>IF(OR(Z693="동원",Z693="세방",Z693="한타"),"",IFERROR(INDEX(GLAPS정리!$BI$2:$BI$101,MATCH(Z693,GLAPS정리!$BH$2:$BH$101,0)),""))</f>
        <v/>
      </c>
      <c r="BX693" s="2" t="str">
        <f>IF(Z693="","",IFERROR(VLOOKUP(Z693,GLAPS정리!$AX$2:$AZ$17,3,0),""))</f>
        <v/>
      </c>
      <c r="BZ693" s="2" t="e">
        <f>VLOOKUP(H693,GLAPS정리!$L$3:$O$133,2,0)</f>
        <v>#N/A</v>
      </c>
      <c r="CA693" s="2" t="str">
        <f t="shared" si="158"/>
        <v/>
      </c>
      <c r="CL693" s="2" t="e">
        <f>VLOOKUP(AI693,GLAPS정리!$BT$3:$BV$26,3,0)</f>
        <v>#N/A</v>
      </c>
    </row>
    <row r="694" spans="2:90" ht="20.45" customHeight="1">
      <c r="B694" s="13"/>
      <c r="G694" s="3"/>
      <c r="J694" s="3"/>
      <c r="Q694" s="3" t="str">
        <f t="shared" si="146"/>
        <v/>
      </c>
      <c r="R694" s="3" t="str">
        <f t="shared" si="147"/>
        <v/>
      </c>
      <c r="S694" s="3" t="str">
        <f t="shared" si="148"/>
        <v/>
      </c>
      <c r="X694" s="13"/>
      <c r="Y694" s="13"/>
      <c r="Z694" s="91"/>
      <c r="AC694" s="2">
        <f t="shared" si="149"/>
        <v>20</v>
      </c>
      <c r="AD694" s="2" t="str">
        <f>IFERROR(INDEX(GLAPS정리!$D$2:$D$50,MATCH(I694,GLAPS정리!$A$2:$A$50,0)),IFERROR(INDEX(GLAPS정리!$D$2:$D$50,MATCH(I694,GLAPS정리!$B$2:$B$50,0)),""))</f>
        <v/>
      </c>
      <c r="AF694" s="2" t="str">
        <f t="shared" si="150"/>
        <v>KR10</v>
      </c>
      <c r="AI694" s="2" t="e">
        <f>VLOOKUP(F694,GLAPS정리!$G$3:$J$114,2,0)</f>
        <v>#N/A</v>
      </c>
      <c r="AJ694" s="2" t="e">
        <f>IF(Z694="울산정일","KRONS",IF(Z694="울산신항","KRUSN",IF(OR(Z694="선광종합물류(인천여객)",Z694="인천여객(인천여객)"),"KRINF",IF(OR(Z694="선광인천보세(인천신)",Z694="한진인천(인천신)",Z694="선광인천신항(인천신)",Z694="인천더로지스(인천신)"),"KRINN",IF(OR(Z694="인천진아(인천항)",Z694="인천E1(인천항)",Z694="인천SM경인터미널(인천항)",Z694="인천항(인천항)",Z694="인천우련(인천항)",Z694="인천항8부두(인천항)"),"KRINC",VLOOKUP(K694,GLAPS정리!$BB$2:$BC$33,2,0))))))</f>
        <v>#N/A</v>
      </c>
      <c r="AL694" s="2">
        <f t="shared" si="151"/>
        <v>5010001</v>
      </c>
      <c r="AN694" s="70" t="str">
        <f t="shared" si="152"/>
        <v>1900-01-00</v>
      </c>
      <c r="AO694" s="2" t="str">
        <f t="shared" si="153"/>
        <v/>
      </c>
      <c r="AP694" s="2" t="e">
        <f>VLOOKUP(C694,GLAPS정리!$AX$2:$AZ$17,3,0)</f>
        <v>#N/A</v>
      </c>
      <c r="AR694" s="2">
        <f t="shared" si="159"/>
        <v>0</v>
      </c>
      <c r="AX694" s="2" t="e">
        <f>VLOOKUP(L694,GLAPS정리!$V$3:$W$180,2,0)</f>
        <v>#N/A</v>
      </c>
      <c r="BM694" s="2" t="str">
        <f t="shared" si="154"/>
        <v xml:space="preserve"> </v>
      </c>
      <c r="BN694" s="2">
        <f t="shared" si="155"/>
        <v>1</v>
      </c>
      <c r="BR694" s="2" t="str">
        <f t="shared" si="156"/>
        <v/>
      </c>
      <c r="BS694" s="2" t="str">
        <f t="shared" si="157"/>
        <v/>
      </c>
      <c r="BV694" s="2" t="e">
        <f>VLOOKUP(O694,GLAPS정리!$BH$2:$BI$94,2,0)</f>
        <v>#N/A</v>
      </c>
      <c r="BW694" s="2" t="str">
        <f>IF(OR(Z694="동원",Z694="세방",Z694="한타"),"",IFERROR(INDEX(GLAPS정리!$BI$2:$BI$101,MATCH(Z694,GLAPS정리!$BH$2:$BH$101,0)),""))</f>
        <v/>
      </c>
      <c r="BX694" s="2" t="str">
        <f>IF(Z694="","",IFERROR(VLOOKUP(Z694,GLAPS정리!$AX$2:$AZ$17,3,0),""))</f>
        <v/>
      </c>
      <c r="BZ694" s="2" t="e">
        <f>VLOOKUP(H694,GLAPS정리!$L$3:$O$133,2,0)</f>
        <v>#N/A</v>
      </c>
      <c r="CA694" s="2" t="str">
        <f t="shared" si="158"/>
        <v/>
      </c>
      <c r="CL694" s="2" t="e">
        <f>VLOOKUP(AI694,GLAPS정리!$BT$3:$BV$26,3,0)</f>
        <v>#N/A</v>
      </c>
    </row>
    <row r="695" spans="2:90" ht="20.45" customHeight="1">
      <c r="B695" s="13"/>
      <c r="G695" s="3"/>
      <c r="J695" s="3"/>
      <c r="Q695" s="3" t="str">
        <f t="shared" si="146"/>
        <v/>
      </c>
      <c r="R695" s="3" t="str">
        <f t="shared" si="147"/>
        <v/>
      </c>
      <c r="S695" s="3" t="str">
        <f t="shared" si="148"/>
        <v/>
      </c>
      <c r="X695" s="13"/>
      <c r="Y695" s="13"/>
      <c r="Z695" s="91"/>
      <c r="AC695" s="2">
        <f t="shared" si="149"/>
        <v>20</v>
      </c>
      <c r="AD695" s="2" t="str">
        <f>IFERROR(INDEX(GLAPS정리!$D$2:$D$50,MATCH(I695,GLAPS정리!$A$2:$A$50,0)),IFERROR(INDEX(GLAPS정리!$D$2:$D$50,MATCH(I695,GLAPS정리!$B$2:$B$50,0)),""))</f>
        <v/>
      </c>
      <c r="AF695" s="2" t="str">
        <f t="shared" si="150"/>
        <v>KR10</v>
      </c>
      <c r="AI695" s="2" t="e">
        <f>VLOOKUP(F695,GLAPS정리!$G$3:$J$114,2,0)</f>
        <v>#N/A</v>
      </c>
      <c r="AJ695" s="2" t="e">
        <f>IF(Z695="울산정일","KRONS",IF(Z695="울산신항","KRUSN",IF(OR(Z695="선광종합물류(인천여객)",Z695="인천여객(인천여객)"),"KRINF",IF(OR(Z695="선광인천보세(인천신)",Z695="한진인천(인천신)",Z695="선광인천신항(인천신)",Z695="인천더로지스(인천신)"),"KRINN",IF(OR(Z695="인천진아(인천항)",Z695="인천E1(인천항)",Z695="인천SM경인터미널(인천항)",Z695="인천항(인천항)",Z695="인천우련(인천항)",Z695="인천항8부두(인천항)"),"KRINC",VLOOKUP(K695,GLAPS정리!$BB$2:$BC$33,2,0))))))</f>
        <v>#N/A</v>
      </c>
      <c r="AL695" s="2">
        <f t="shared" si="151"/>
        <v>5010001</v>
      </c>
      <c r="AN695" s="70" t="str">
        <f t="shared" si="152"/>
        <v>1900-01-00</v>
      </c>
      <c r="AO695" s="2" t="str">
        <f t="shared" si="153"/>
        <v/>
      </c>
      <c r="AP695" s="2" t="e">
        <f>VLOOKUP(C695,GLAPS정리!$AX$2:$AZ$17,3,0)</f>
        <v>#N/A</v>
      </c>
      <c r="AR695" s="2">
        <f t="shared" si="159"/>
        <v>0</v>
      </c>
      <c r="AX695" s="2" t="e">
        <f>VLOOKUP(L695,GLAPS정리!$V$3:$W$180,2,0)</f>
        <v>#N/A</v>
      </c>
      <c r="BM695" s="2" t="str">
        <f t="shared" si="154"/>
        <v xml:space="preserve"> </v>
      </c>
      <c r="BN695" s="2">
        <f t="shared" si="155"/>
        <v>1</v>
      </c>
      <c r="BR695" s="2" t="str">
        <f t="shared" si="156"/>
        <v/>
      </c>
      <c r="BS695" s="2" t="str">
        <f t="shared" si="157"/>
        <v/>
      </c>
      <c r="BV695" s="2" t="e">
        <f>VLOOKUP(O695,GLAPS정리!$BH$2:$BI$94,2,0)</f>
        <v>#N/A</v>
      </c>
      <c r="BW695" s="2" t="str">
        <f>IF(OR(Z695="동원",Z695="세방",Z695="한타"),"",IFERROR(INDEX(GLAPS정리!$BI$2:$BI$101,MATCH(Z695,GLAPS정리!$BH$2:$BH$101,0)),""))</f>
        <v/>
      </c>
      <c r="BX695" s="2" t="str">
        <f>IF(Z695="","",IFERROR(VLOOKUP(Z695,GLAPS정리!$AX$2:$AZ$17,3,0),""))</f>
        <v/>
      </c>
      <c r="BZ695" s="2" t="e">
        <f>VLOOKUP(H695,GLAPS정리!$L$3:$O$133,2,0)</f>
        <v>#N/A</v>
      </c>
      <c r="CA695" s="2" t="str">
        <f t="shared" si="158"/>
        <v/>
      </c>
      <c r="CL695" s="2" t="e">
        <f>VLOOKUP(AI695,GLAPS정리!$BT$3:$BV$26,3,0)</f>
        <v>#N/A</v>
      </c>
    </row>
    <row r="696" spans="2:90" ht="20.45" customHeight="1">
      <c r="B696" s="13"/>
      <c r="G696" s="3"/>
      <c r="J696" s="3"/>
      <c r="Q696" s="3" t="str">
        <f t="shared" si="146"/>
        <v/>
      </c>
      <c r="R696" s="3" t="str">
        <f t="shared" si="147"/>
        <v/>
      </c>
      <c r="S696" s="3" t="str">
        <f t="shared" si="148"/>
        <v/>
      </c>
      <c r="X696" s="13"/>
      <c r="Y696" s="13"/>
      <c r="Z696" s="91"/>
      <c r="AC696" s="2">
        <f t="shared" si="149"/>
        <v>20</v>
      </c>
      <c r="AD696" s="2" t="str">
        <f>IFERROR(INDEX(GLAPS정리!$D$2:$D$50,MATCH(I696,GLAPS정리!$A$2:$A$50,0)),IFERROR(INDEX(GLAPS정리!$D$2:$D$50,MATCH(I696,GLAPS정리!$B$2:$B$50,0)),""))</f>
        <v/>
      </c>
      <c r="AF696" s="2" t="str">
        <f t="shared" si="150"/>
        <v>KR10</v>
      </c>
      <c r="AI696" s="2" t="e">
        <f>VLOOKUP(F696,GLAPS정리!$G$3:$J$114,2,0)</f>
        <v>#N/A</v>
      </c>
      <c r="AJ696" s="2" t="e">
        <f>IF(Z696="울산정일","KRONS",IF(Z696="울산신항","KRUSN",IF(OR(Z696="선광종합물류(인천여객)",Z696="인천여객(인천여객)"),"KRINF",IF(OR(Z696="선광인천보세(인천신)",Z696="한진인천(인천신)",Z696="선광인천신항(인천신)",Z696="인천더로지스(인천신)"),"KRINN",IF(OR(Z696="인천진아(인천항)",Z696="인천E1(인천항)",Z696="인천SM경인터미널(인천항)",Z696="인천항(인천항)",Z696="인천우련(인천항)",Z696="인천항8부두(인천항)"),"KRINC",VLOOKUP(K696,GLAPS정리!$BB$2:$BC$33,2,0))))))</f>
        <v>#N/A</v>
      </c>
      <c r="AL696" s="2">
        <f t="shared" si="151"/>
        <v>5010001</v>
      </c>
      <c r="AN696" s="70" t="str">
        <f t="shared" si="152"/>
        <v>1900-01-00</v>
      </c>
      <c r="AO696" s="2" t="str">
        <f t="shared" si="153"/>
        <v/>
      </c>
      <c r="AP696" s="2" t="e">
        <f>VLOOKUP(C696,GLAPS정리!$AX$2:$AZ$17,3,0)</f>
        <v>#N/A</v>
      </c>
      <c r="AR696" s="2">
        <f t="shared" si="159"/>
        <v>0</v>
      </c>
      <c r="AX696" s="2" t="e">
        <f>VLOOKUP(L696,GLAPS정리!$V$3:$W$180,2,0)</f>
        <v>#N/A</v>
      </c>
      <c r="BM696" s="2" t="str">
        <f t="shared" si="154"/>
        <v xml:space="preserve"> </v>
      </c>
      <c r="BN696" s="2">
        <f t="shared" si="155"/>
        <v>1</v>
      </c>
      <c r="BR696" s="2" t="str">
        <f t="shared" si="156"/>
        <v/>
      </c>
      <c r="BS696" s="2" t="str">
        <f t="shared" si="157"/>
        <v/>
      </c>
      <c r="BV696" s="2" t="e">
        <f>VLOOKUP(O696,GLAPS정리!$BH$2:$BI$94,2,0)</f>
        <v>#N/A</v>
      </c>
      <c r="BW696" s="2" t="str">
        <f>IF(OR(Z696="동원",Z696="세방",Z696="한타"),"",IFERROR(INDEX(GLAPS정리!$BI$2:$BI$101,MATCH(Z696,GLAPS정리!$BH$2:$BH$101,0)),""))</f>
        <v/>
      </c>
      <c r="BX696" s="2" t="str">
        <f>IF(Z696="","",IFERROR(VLOOKUP(Z696,GLAPS정리!$AX$2:$AZ$17,3,0),""))</f>
        <v/>
      </c>
      <c r="BZ696" s="2" t="e">
        <f>VLOOKUP(H696,GLAPS정리!$L$3:$O$133,2,0)</f>
        <v>#N/A</v>
      </c>
      <c r="CA696" s="2" t="str">
        <f t="shared" si="158"/>
        <v/>
      </c>
      <c r="CL696" s="2" t="e">
        <f>VLOOKUP(AI696,GLAPS정리!$BT$3:$BV$26,3,0)</f>
        <v>#N/A</v>
      </c>
    </row>
    <row r="697" spans="2:90" ht="20.45" customHeight="1">
      <c r="B697" s="13"/>
      <c r="G697" s="3"/>
      <c r="J697" s="3"/>
      <c r="Q697" s="3" t="str">
        <f t="shared" si="146"/>
        <v/>
      </c>
      <c r="R697" s="3" t="str">
        <f t="shared" si="147"/>
        <v/>
      </c>
      <c r="S697" s="3" t="str">
        <f t="shared" si="148"/>
        <v/>
      </c>
      <c r="X697" s="13"/>
      <c r="Y697" s="13"/>
      <c r="Z697" s="91"/>
      <c r="AC697" s="2">
        <f t="shared" si="149"/>
        <v>20</v>
      </c>
      <c r="AD697" s="2" t="str">
        <f>IFERROR(INDEX(GLAPS정리!$D$2:$D$50,MATCH(I697,GLAPS정리!$A$2:$A$50,0)),IFERROR(INDEX(GLAPS정리!$D$2:$D$50,MATCH(I697,GLAPS정리!$B$2:$B$50,0)),""))</f>
        <v/>
      </c>
      <c r="AF697" s="2" t="str">
        <f t="shared" si="150"/>
        <v>KR10</v>
      </c>
      <c r="AI697" s="2" t="e">
        <f>VLOOKUP(F697,GLAPS정리!$G$3:$J$114,2,0)</f>
        <v>#N/A</v>
      </c>
      <c r="AJ697" s="2" t="e">
        <f>IF(Z697="울산정일","KRONS",IF(Z697="울산신항","KRUSN",IF(OR(Z697="선광종합물류(인천여객)",Z697="인천여객(인천여객)"),"KRINF",IF(OR(Z697="선광인천보세(인천신)",Z697="한진인천(인천신)",Z697="선광인천신항(인천신)",Z697="인천더로지스(인천신)"),"KRINN",IF(OR(Z697="인천진아(인천항)",Z697="인천E1(인천항)",Z697="인천SM경인터미널(인천항)",Z697="인천항(인천항)",Z697="인천우련(인천항)",Z697="인천항8부두(인천항)"),"KRINC",VLOOKUP(K697,GLAPS정리!$BB$2:$BC$33,2,0))))))</f>
        <v>#N/A</v>
      </c>
      <c r="AL697" s="2">
        <f t="shared" si="151"/>
        <v>5010001</v>
      </c>
      <c r="AN697" s="70" t="str">
        <f t="shared" si="152"/>
        <v>1900-01-00</v>
      </c>
      <c r="AO697" s="2" t="str">
        <f t="shared" si="153"/>
        <v/>
      </c>
      <c r="AP697" s="2" t="e">
        <f>VLOOKUP(C697,GLAPS정리!$AX$2:$AZ$17,3,0)</f>
        <v>#N/A</v>
      </c>
      <c r="AR697" s="2">
        <f t="shared" si="159"/>
        <v>0</v>
      </c>
      <c r="AX697" s="2" t="e">
        <f>VLOOKUP(L697,GLAPS정리!$V$3:$W$180,2,0)</f>
        <v>#N/A</v>
      </c>
      <c r="BM697" s="2" t="str">
        <f t="shared" si="154"/>
        <v xml:space="preserve"> </v>
      </c>
      <c r="BN697" s="2">
        <f t="shared" si="155"/>
        <v>1</v>
      </c>
      <c r="BR697" s="2" t="str">
        <f t="shared" si="156"/>
        <v/>
      </c>
      <c r="BS697" s="2" t="str">
        <f t="shared" si="157"/>
        <v/>
      </c>
      <c r="BV697" s="2" t="e">
        <f>VLOOKUP(O697,GLAPS정리!$BH$2:$BI$94,2,0)</f>
        <v>#N/A</v>
      </c>
      <c r="BW697" s="2" t="str">
        <f>IF(OR(Z697="동원",Z697="세방",Z697="한타"),"",IFERROR(INDEX(GLAPS정리!$BI$2:$BI$101,MATCH(Z697,GLAPS정리!$BH$2:$BH$101,0)),""))</f>
        <v/>
      </c>
      <c r="BX697" s="2" t="str">
        <f>IF(Z697="","",IFERROR(VLOOKUP(Z697,GLAPS정리!$AX$2:$AZ$17,3,0),""))</f>
        <v/>
      </c>
      <c r="BZ697" s="2" t="e">
        <f>VLOOKUP(H697,GLAPS정리!$L$3:$O$133,2,0)</f>
        <v>#N/A</v>
      </c>
      <c r="CA697" s="2" t="str">
        <f t="shared" si="158"/>
        <v/>
      </c>
      <c r="CL697" s="2" t="e">
        <f>VLOOKUP(AI697,GLAPS정리!$BT$3:$BV$26,3,0)</f>
        <v>#N/A</v>
      </c>
    </row>
    <row r="698" spans="2:90" ht="20.45" customHeight="1">
      <c r="B698" s="13"/>
      <c r="G698" s="3"/>
      <c r="J698" s="3"/>
      <c r="Q698" s="3" t="str">
        <f t="shared" si="146"/>
        <v/>
      </c>
      <c r="R698" s="3" t="str">
        <f t="shared" si="147"/>
        <v/>
      </c>
      <c r="S698" s="3" t="str">
        <f t="shared" si="148"/>
        <v/>
      </c>
      <c r="X698" s="13"/>
      <c r="Y698" s="13"/>
      <c r="Z698" s="91"/>
      <c r="AC698" s="2">
        <f t="shared" si="149"/>
        <v>20</v>
      </c>
      <c r="AD698" s="2" t="str">
        <f>IFERROR(INDEX(GLAPS정리!$D$2:$D$50,MATCH(I698,GLAPS정리!$A$2:$A$50,0)),IFERROR(INDEX(GLAPS정리!$D$2:$D$50,MATCH(I698,GLAPS정리!$B$2:$B$50,0)),""))</f>
        <v/>
      </c>
      <c r="AF698" s="2" t="str">
        <f t="shared" si="150"/>
        <v>KR10</v>
      </c>
      <c r="AI698" s="2" t="e">
        <f>VLOOKUP(F698,GLAPS정리!$G$3:$J$114,2,0)</f>
        <v>#N/A</v>
      </c>
      <c r="AJ698" s="2" t="e">
        <f>IF(Z698="울산정일","KRONS",IF(Z698="울산신항","KRUSN",IF(OR(Z698="선광종합물류(인천여객)",Z698="인천여객(인천여객)"),"KRINF",IF(OR(Z698="선광인천보세(인천신)",Z698="한진인천(인천신)",Z698="선광인천신항(인천신)",Z698="인천더로지스(인천신)"),"KRINN",IF(OR(Z698="인천진아(인천항)",Z698="인천E1(인천항)",Z698="인천SM경인터미널(인천항)",Z698="인천항(인천항)",Z698="인천우련(인천항)",Z698="인천항8부두(인천항)"),"KRINC",VLOOKUP(K698,GLAPS정리!$BB$2:$BC$33,2,0))))))</f>
        <v>#N/A</v>
      </c>
      <c r="AL698" s="2">
        <f t="shared" si="151"/>
        <v>5010001</v>
      </c>
      <c r="AN698" s="70" t="str">
        <f t="shared" si="152"/>
        <v>1900-01-00</v>
      </c>
      <c r="AO698" s="2" t="str">
        <f t="shared" si="153"/>
        <v/>
      </c>
      <c r="AP698" s="2" t="e">
        <f>VLOOKUP(C698,GLAPS정리!$AX$2:$AZ$17,3,0)</f>
        <v>#N/A</v>
      </c>
      <c r="AR698" s="2">
        <f t="shared" si="159"/>
        <v>0</v>
      </c>
      <c r="AX698" s="2" t="e">
        <f>VLOOKUP(L698,GLAPS정리!$V$3:$W$180,2,0)</f>
        <v>#N/A</v>
      </c>
      <c r="BM698" s="2" t="str">
        <f t="shared" si="154"/>
        <v xml:space="preserve"> </v>
      </c>
      <c r="BN698" s="2">
        <f t="shared" si="155"/>
        <v>1</v>
      </c>
      <c r="BR698" s="2" t="str">
        <f t="shared" si="156"/>
        <v/>
      </c>
      <c r="BS698" s="2" t="str">
        <f t="shared" si="157"/>
        <v/>
      </c>
      <c r="BV698" s="2" t="e">
        <f>VLOOKUP(O698,GLAPS정리!$BH$2:$BI$94,2,0)</f>
        <v>#N/A</v>
      </c>
      <c r="BW698" s="2" t="str">
        <f>IF(OR(Z698="동원",Z698="세방",Z698="한타"),"",IFERROR(INDEX(GLAPS정리!$BI$2:$BI$101,MATCH(Z698,GLAPS정리!$BH$2:$BH$101,0)),""))</f>
        <v/>
      </c>
      <c r="BX698" s="2" t="str">
        <f>IF(Z698="","",IFERROR(VLOOKUP(Z698,GLAPS정리!$AX$2:$AZ$17,3,0),""))</f>
        <v/>
      </c>
      <c r="BZ698" s="2" t="e">
        <f>VLOOKUP(H698,GLAPS정리!$L$3:$O$133,2,0)</f>
        <v>#N/A</v>
      </c>
      <c r="CA698" s="2" t="str">
        <f t="shared" si="158"/>
        <v/>
      </c>
      <c r="CL698" s="2" t="e">
        <f>VLOOKUP(AI698,GLAPS정리!$BT$3:$BV$26,3,0)</f>
        <v>#N/A</v>
      </c>
    </row>
    <row r="699" spans="2:90" ht="20.45" customHeight="1">
      <c r="B699" s="13"/>
      <c r="G699" s="3"/>
      <c r="J699" s="3"/>
      <c r="Q699" s="3" t="str">
        <f t="shared" si="146"/>
        <v/>
      </c>
      <c r="R699" s="3" t="str">
        <f t="shared" si="147"/>
        <v/>
      </c>
      <c r="S699" s="3" t="str">
        <f t="shared" si="148"/>
        <v/>
      </c>
      <c r="X699" s="13"/>
      <c r="Y699" s="13"/>
      <c r="Z699" s="91"/>
      <c r="AC699" s="2">
        <f t="shared" si="149"/>
        <v>20</v>
      </c>
      <c r="AD699" s="2" t="str">
        <f>IFERROR(INDEX(GLAPS정리!$D$2:$D$50,MATCH(I699,GLAPS정리!$A$2:$A$50,0)),IFERROR(INDEX(GLAPS정리!$D$2:$D$50,MATCH(I699,GLAPS정리!$B$2:$B$50,0)),""))</f>
        <v/>
      </c>
      <c r="AF699" s="2" t="str">
        <f t="shared" si="150"/>
        <v>KR10</v>
      </c>
      <c r="AI699" s="2" t="e">
        <f>VLOOKUP(F699,GLAPS정리!$G$3:$J$114,2,0)</f>
        <v>#N/A</v>
      </c>
      <c r="AJ699" s="2" t="e">
        <f>IF(Z699="울산정일","KRONS",IF(Z699="울산신항","KRUSN",IF(OR(Z699="선광종합물류(인천여객)",Z699="인천여객(인천여객)"),"KRINF",IF(OR(Z699="선광인천보세(인천신)",Z699="한진인천(인천신)",Z699="선광인천신항(인천신)",Z699="인천더로지스(인천신)"),"KRINN",IF(OR(Z699="인천진아(인천항)",Z699="인천E1(인천항)",Z699="인천SM경인터미널(인천항)",Z699="인천항(인천항)",Z699="인천우련(인천항)",Z699="인천항8부두(인천항)"),"KRINC",VLOOKUP(K699,GLAPS정리!$BB$2:$BC$33,2,0))))))</f>
        <v>#N/A</v>
      </c>
      <c r="AL699" s="2">
        <f t="shared" si="151"/>
        <v>5010001</v>
      </c>
      <c r="AN699" s="70" t="str">
        <f t="shared" si="152"/>
        <v>1900-01-00</v>
      </c>
      <c r="AO699" s="2" t="str">
        <f t="shared" si="153"/>
        <v/>
      </c>
      <c r="AP699" s="2" t="e">
        <f>VLOOKUP(C699,GLAPS정리!$AX$2:$AZ$17,3,0)</f>
        <v>#N/A</v>
      </c>
      <c r="AR699" s="2">
        <f t="shared" si="159"/>
        <v>0</v>
      </c>
      <c r="AX699" s="2" t="e">
        <f>VLOOKUP(L699,GLAPS정리!$V$3:$W$180,2,0)</f>
        <v>#N/A</v>
      </c>
      <c r="BM699" s="2" t="str">
        <f t="shared" si="154"/>
        <v xml:space="preserve"> </v>
      </c>
      <c r="BN699" s="2">
        <f t="shared" si="155"/>
        <v>1</v>
      </c>
      <c r="BR699" s="2" t="str">
        <f t="shared" si="156"/>
        <v/>
      </c>
      <c r="BS699" s="2" t="str">
        <f t="shared" si="157"/>
        <v/>
      </c>
      <c r="BV699" s="2" t="e">
        <f>VLOOKUP(O699,GLAPS정리!$BH$2:$BI$94,2,0)</f>
        <v>#N/A</v>
      </c>
      <c r="BW699" s="2" t="str">
        <f>IF(OR(Z699="동원",Z699="세방",Z699="한타"),"",IFERROR(INDEX(GLAPS정리!$BI$2:$BI$101,MATCH(Z699,GLAPS정리!$BH$2:$BH$101,0)),""))</f>
        <v/>
      </c>
      <c r="BX699" s="2" t="str">
        <f>IF(Z699="","",IFERROR(VLOOKUP(Z699,GLAPS정리!$AX$2:$AZ$17,3,0),""))</f>
        <v/>
      </c>
      <c r="BZ699" s="2" t="e">
        <f>VLOOKUP(H699,GLAPS정리!$L$3:$O$133,2,0)</f>
        <v>#N/A</v>
      </c>
      <c r="CA699" s="2" t="str">
        <f t="shared" si="158"/>
        <v/>
      </c>
      <c r="CL699" s="2" t="e">
        <f>VLOOKUP(AI699,GLAPS정리!$BT$3:$BV$26,3,0)</f>
        <v>#N/A</v>
      </c>
    </row>
    <row r="700" spans="2:90" ht="20.45" customHeight="1">
      <c r="B700" s="13"/>
      <c r="G700" s="3"/>
      <c r="J700" s="3"/>
      <c r="Q700" s="3" t="str">
        <f t="shared" ref="Q700:Q763" si="160">IF(J700="20 FeeT",1,"")</f>
        <v/>
      </c>
      <c r="R700" s="3" t="str">
        <f t="shared" ref="R700:R763" si="161">IF(J700="40 Feet N",1,"")</f>
        <v/>
      </c>
      <c r="S700" s="3" t="str">
        <f t="shared" ref="S700:S763" si="162">IF(J700="40 Feet H",1,"")</f>
        <v/>
      </c>
      <c r="X700" s="13"/>
      <c r="Y700" s="13"/>
      <c r="Z700" s="91"/>
      <c r="AC700" s="2">
        <f t="shared" ref="AC700:AC763" si="163">$AC$1</f>
        <v>20</v>
      </c>
      <c r="AD700" s="2" t="str">
        <f>IFERROR(INDEX(GLAPS정리!$D$2:$D$50,MATCH(I700,GLAPS정리!$A$2:$A$50,0)),IFERROR(INDEX(GLAPS정리!$D$2:$D$50,MATCH(I700,GLAPS정리!$B$2:$B$50,0)),""))</f>
        <v/>
      </c>
      <c r="AF700" s="2" t="str">
        <f t="shared" ref="AF700:AF763" si="164">$AF$1</f>
        <v>KR10</v>
      </c>
      <c r="AI700" s="2" t="e">
        <f>VLOOKUP(F700,GLAPS정리!$G$3:$J$114,2,0)</f>
        <v>#N/A</v>
      </c>
      <c r="AJ700" s="2" t="e">
        <f>IF(Z700="울산정일","KRONS",IF(Z700="울산신항","KRUSN",IF(OR(Z700="선광종합물류(인천여객)",Z700="인천여객(인천여객)"),"KRINF",IF(OR(Z700="선광인천보세(인천신)",Z700="한진인천(인천신)",Z700="선광인천신항(인천신)",Z700="인천더로지스(인천신)"),"KRINN",IF(OR(Z700="인천진아(인천항)",Z700="인천E1(인천항)",Z700="인천SM경인터미널(인천항)",Z700="인천항(인천항)",Z700="인천우련(인천항)",Z700="인천항8부두(인천항)"),"KRINC",VLOOKUP(K700,GLAPS정리!$BB$2:$BC$33,2,0))))))</f>
        <v>#N/A</v>
      </c>
      <c r="AL700" s="2">
        <f t="shared" ref="AL700:AL763" si="165">$AL$1</f>
        <v>5010001</v>
      </c>
      <c r="AN700" s="70" t="str">
        <f t="shared" ref="AN700:AN763" si="166">TEXT(B700,"YYYY-MM-DD")</f>
        <v>1900-01-00</v>
      </c>
      <c r="AO700" s="2" t="str">
        <f t="shared" ref="AO700:AO763" si="167">IF(E700="오전", "0800", IF(E700="오후", "1300", IF(E700="잔업", "1800", "")))</f>
        <v/>
      </c>
      <c r="AP700" s="2" t="e">
        <f>VLOOKUP(C700,GLAPS정리!$AX$2:$AZ$17,3,0)</f>
        <v>#N/A</v>
      </c>
      <c r="AR700" s="2">
        <f t="shared" si="159"/>
        <v>0</v>
      </c>
      <c r="AX700" s="2" t="e">
        <f>VLOOKUP(L700,GLAPS정리!$V$3:$W$180,2,0)</f>
        <v>#N/A</v>
      </c>
      <c r="BM700" s="2" t="str">
        <f t="shared" ref="BM700:BM763" si="168">IF(AND(Q700=1,OR(P700="",P700="위험물")), "2210", IF(AND(Q700=1,OR(P700="리퍼",P700="위험물리퍼")), "2230", IF(AND(S700=1,OR(P700="",P700="위험물")), "4510", IF(AND(S700=1,OR(P700="리퍼",P700="위험물리퍼")), "4530", IF(AND(R700=1,OR(P700="",P700="위험물")), "4210", IF(AND(R700=1,P700="리퍼"), "4230", " "))))))</f>
        <v xml:space="preserve"> </v>
      </c>
      <c r="BN700" s="2">
        <f t="shared" ref="BN700:BN763" si="169">$BN$1</f>
        <v>1</v>
      </c>
      <c r="BR700" s="2" t="str">
        <f t="shared" ref="BR700:BR763" si="170">IF(OR(P700="리퍼",P700="위험물리퍼"),"Y","")</f>
        <v/>
      </c>
      <c r="BS700" s="2" t="str">
        <f t="shared" ref="BS700:BS763" si="171">IF(OR(P700="위험물",P700="위험물리퍼"),"Y","")</f>
        <v/>
      </c>
      <c r="BV700" s="2" t="e">
        <f>VLOOKUP(O700,GLAPS정리!$BH$2:$BI$94,2,0)</f>
        <v>#N/A</v>
      </c>
      <c r="BW700" s="2" t="str">
        <f>IF(OR(Z700="동원",Z700="세방",Z700="한타"),"",IFERROR(INDEX(GLAPS정리!$BI$2:$BI$101,MATCH(Z700,GLAPS정리!$BH$2:$BH$101,0)),""))</f>
        <v/>
      </c>
      <c r="BX700" s="2" t="str">
        <f>IF(Z700="","",IFERROR(VLOOKUP(Z700,GLAPS정리!$AX$2:$AZ$17,3,0),""))</f>
        <v/>
      </c>
      <c r="BZ700" s="2" t="e">
        <f>VLOOKUP(H700,GLAPS정리!$L$3:$O$133,2,0)</f>
        <v>#N/A</v>
      </c>
      <c r="CA700" s="2" t="str">
        <f t="shared" ref="CA700:CA763" si="172">IF(V700="공휴일", 10, IF(V700="야간", 20, IF(V700="위험물", 30, IF(V700="중량", 40, ""))))</f>
        <v/>
      </c>
      <c r="CL700" s="2" t="e">
        <f>VLOOKUP(AI700,GLAPS정리!$BT$3:$BV$26,3,0)</f>
        <v>#N/A</v>
      </c>
    </row>
    <row r="701" spans="2:90" ht="20.45" customHeight="1">
      <c r="B701" s="13"/>
      <c r="G701" s="3"/>
      <c r="J701" s="3"/>
      <c r="Q701" s="3" t="str">
        <f t="shared" si="160"/>
        <v/>
      </c>
      <c r="R701" s="3" t="str">
        <f t="shared" si="161"/>
        <v/>
      </c>
      <c r="S701" s="3" t="str">
        <f t="shared" si="162"/>
        <v/>
      </c>
      <c r="X701" s="13"/>
      <c r="Y701" s="13"/>
      <c r="Z701" s="91"/>
      <c r="AC701" s="2">
        <f t="shared" si="163"/>
        <v>20</v>
      </c>
      <c r="AD701" s="2" t="str">
        <f>IFERROR(INDEX(GLAPS정리!$D$2:$D$50,MATCH(I701,GLAPS정리!$A$2:$A$50,0)),IFERROR(INDEX(GLAPS정리!$D$2:$D$50,MATCH(I701,GLAPS정리!$B$2:$B$50,0)),""))</f>
        <v/>
      </c>
      <c r="AF701" s="2" t="str">
        <f t="shared" si="164"/>
        <v>KR10</v>
      </c>
      <c r="AI701" s="2" t="e">
        <f>VLOOKUP(F701,GLAPS정리!$G$3:$J$114,2,0)</f>
        <v>#N/A</v>
      </c>
      <c r="AJ701" s="2" t="e">
        <f>IF(Z701="울산정일","KRONS",IF(Z701="울산신항","KRUSN",IF(OR(Z701="선광종합물류(인천여객)",Z701="인천여객(인천여객)"),"KRINF",IF(OR(Z701="선광인천보세(인천신)",Z701="한진인천(인천신)",Z701="선광인천신항(인천신)",Z701="인천더로지스(인천신)"),"KRINN",IF(OR(Z701="인천진아(인천항)",Z701="인천E1(인천항)",Z701="인천SM경인터미널(인천항)",Z701="인천항(인천항)",Z701="인천우련(인천항)",Z701="인천항8부두(인천항)"),"KRINC",VLOOKUP(K701,GLAPS정리!$BB$2:$BC$33,2,0))))))</f>
        <v>#N/A</v>
      </c>
      <c r="AL701" s="2">
        <f t="shared" si="165"/>
        <v>5010001</v>
      </c>
      <c r="AN701" s="70" t="str">
        <f t="shared" si="166"/>
        <v>1900-01-00</v>
      </c>
      <c r="AO701" s="2" t="str">
        <f t="shared" si="167"/>
        <v/>
      </c>
      <c r="AP701" s="2" t="e">
        <f>VLOOKUP(C701,GLAPS정리!$AX$2:$AZ$17,3,0)</f>
        <v>#N/A</v>
      </c>
      <c r="AR701" s="2">
        <f t="shared" si="159"/>
        <v>0</v>
      </c>
      <c r="AX701" s="2" t="e">
        <f>VLOOKUP(L701,GLAPS정리!$V$3:$W$180,2,0)</f>
        <v>#N/A</v>
      </c>
      <c r="BM701" s="2" t="str">
        <f t="shared" si="168"/>
        <v xml:space="preserve"> </v>
      </c>
      <c r="BN701" s="2">
        <f t="shared" si="169"/>
        <v>1</v>
      </c>
      <c r="BR701" s="2" t="str">
        <f t="shared" si="170"/>
        <v/>
      </c>
      <c r="BS701" s="2" t="str">
        <f t="shared" si="171"/>
        <v/>
      </c>
      <c r="BV701" s="2" t="e">
        <f>VLOOKUP(O701,GLAPS정리!$BH$2:$BI$94,2,0)</f>
        <v>#N/A</v>
      </c>
      <c r="BW701" s="2" t="str">
        <f>IF(OR(Z701="동원",Z701="세방",Z701="한타"),"",IFERROR(INDEX(GLAPS정리!$BI$2:$BI$101,MATCH(Z701,GLAPS정리!$BH$2:$BH$101,0)),""))</f>
        <v/>
      </c>
      <c r="BX701" s="2" t="str">
        <f>IF(Z701="","",IFERROR(VLOOKUP(Z701,GLAPS정리!$AX$2:$AZ$17,3,0),""))</f>
        <v/>
      </c>
      <c r="BZ701" s="2" t="e">
        <f>VLOOKUP(H701,GLAPS정리!$L$3:$O$133,2,0)</f>
        <v>#N/A</v>
      </c>
      <c r="CA701" s="2" t="str">
        <f t="shared" si="172"/>
        <v/>
      </c>
      <c r="CL701" s="2" t="e">
        <f>VLOOKUP(AI701,GLAPS정리!$BT$3:$BV$26,3,0)</f>
        <v>#N/A</v>
      </c>
    </row>
    <row r="702" spans="2:90" ht="20.45" customHeight="1">
      <c r="B702" s="13"/>
      <c r="G702" s="3"/>
      <c r="J702" s="3"/>
      <c r="Q702" s="3" t="str">
        <f t="shared" si="160"/>
        <v/>
      </c>
      <c r="R702" s="3" t="str">
        <f t="shared" si="161"/>
        <v/>
      </c>
      <c r="S702" s="3" t="str">
        <f t="shared" si="162"/>
        <v/>
      </c>
      <c r="X702" s="13"/>
      <c r="Y702" s="13"/>
      <c r="Z702" s="91"/>
      <c r="AC702" s="2">
        <f t="shared" si="163"/>
        <v>20</v>
      </c>
      <c r="AD702" s="2" t="str">
        <f>IFERROR(INDEX(GLAPS정리!$D$2:$D$50,MATCH(I702,GLAPS정리!$A$2:$A$50,0)),IFERROR(INDEX(GLAPS정리!$D$2:$D$50,MATCH(I702,GLAPS정리!$B$2:$B$50,0)),""))</f>
        <v/>
      </c>
      <c r="AF702" s="2" t="str">
        <f t="shared" si="164"/>
        <v>KR10</v>
      </c>
      <c r="AI702" s="2" t="e">
        <f>VLOOKUP(F702,GLAPS정리!$G$3:$J$114,2,0)</f>
        <v>#N/A</v>
      </c>
      <c r="AJ702" s="2" t="e">
        <f>IF(Z702="울산정일","KRONS",IF(Z702="울산신항","KRUSN",IF(OR(Z702="선광종합물류(인천여객)",Z702="인천여객(인천여객)"),"KRINF",IF(OR(Z702="선광인천보세(인천신)",Z702="한진인천(인천신)",Z702="선광인천신항(인천신)",Z702="인천더로지스(인천신)"),"KRINN",IF(OR(Z702="인천진아(인천항)",Z702="인천E1(인천항)",Z702="인천SM경인터미널(인천항)",Z702="인천항(인천항)",Z702="인천우련(인천항)",Z702="인천항8부두(인천항)"),"KRINC",VLOOKUP(K702,GLAPS정리!$BB$2:$BC$33,2,0))))))</f>
        <v>#N/A</v>
      </c>
      <c r="AL702" s="2">
        <f t="shared" si="165"/>
        <v>5010001</v>
      </c>
      <c r="AN702" s="70" t="str">
        <f t="shared" si="166"/>
        <v>1900-01-00</v>
      </c>
      <c r="AO702" s="2" t="str">
        <f t="shared" si="167"/>
        <v/>
      </c>
      <c r="AP702" s="2" t="e">
        <f>VLOOKUP(C702,GLAPS정리!$AX$2:$AZ$17,3,0)</f>
        <v>#N/A</v>
      </c>
      <c r="AR702" s="2">
        <f t="shared" si="159"/>
        <v>0</v>
      </c>
      <c r="AX702" s="2" t="e">
        <f>VLOOKUP(L702,GLAPS정리!$V$3:$W$180,2,0)</f>
        <v>#N/A</v>
      </c>
      <c r="BM702" s="2" t="str">
        <f t="shared" si="168"/>
        <v xml:space="preserve"> </v>
      </c>
      <c r="BN702" s="2">
        <f t="shared" si="169"/>
        <v>1</v>
      </c>
      <c r="BR702" s="2" t="str">
        <f t="shared" si="170"/>
        <v/>
      </c>
      <c r="BS702" s="2" t="str">
        <f t="shared" si="171"/>
        <v/>
      </c>
      <c r="BV702" s="2" t="e">
        <f>VLOOKUP(O702,GLAPS정리!$BH$2:$BI$94,2,0)</f>
        <v>#N/A</v>
      </c>
      <c r="BW702" s="2" t="str">
        <f>IF(OR(Z702="동원",Z702="세방",Z702="한타"),"",IFERROR(INDEX(GLAPS정리!$BI$2:$BI$101,MATCH(Z702,GLAPS정리!$BH$2:$BH$101,0)),""))</f>
        <v/>
      </c>
      <c r="BX702" s="2" t="str">
        <f>IF(Z702="","",IFERROR(VLOOKUP(Z702,GLAPS정리!$AX$2:$AZ$17,3,0),""))</f>
        <v/>
      </c>
      <c r="BZ702" s="2" t="e">
        <f>VLOOKUP(H702,GLAPS정리!$L$3:$O$133,2,0)</f>
        <v>#N/A</v>
      </c>
      <c r="CA702" s="2" t="str">
        <f t="shared" si="172"/>
        <v/>
      </c>
      <c r="CL702" s="2" t="e">
        <f>VLOOKUP(AI702,GLAPS정리!$BT$3:$BV$26,3,0)</f>
        <v>#N/A</v>
      </c>
    </row>
    <row r="703" spans="2:90" ht="20.45" customHeight="1">
      <c r="B703" s="13"/>
      <c r="G703" s="3"/>
      <c r="J703" s="3"/>
      <c r="Q703" s="3" t="str">
        <f t="shared" si="160"/>
        <v/>
      </c>
      <c r="R703" s="3" t="str">
        <f t="shared" si="161"/>
        <v/>
      </c>
      <c r="S703" s="3" t="str">
        <f t="shared" si="162"/>
        <v/>
      </c>
      <c r="X703" s="13"/>
      <c r="Y703" s="13"/>
      <c r="Z703" s="91"/>
      <c r="AC703" s="2">
        <f t="shared" si="163"/>
        <v>20</v>
      </c>
      <c r="AD703" s="2" t="str">
        <f>IFERROR(INDEX(GLAPS정리!$D$2:$D$50,MATCH(I703,GLAPS정리!$A$2:$A$50,0)),IFERROR(INDEX(GLAPS정리!$D$2:$D$50,MATCH(I703,GLAPS정리!$B$2:$B$50,0)),""))</f>
        <v/>
      </c>
      <c r="AF703" s="2" t="str">
        <f t="shared" si="164"/>
        <v>KR10</v>
      </c>
      <c r="AI703" s="2" t="e">
        <f>VLOOKUP(F703,GLAPS정리!$G$3:$J$114,2,0)</f>
        <v>#N/A</v>
      </c>
      <c r="AJ703" s="2" t="e">
        <f>IF(Z703="울산정일","KRONS",IF(Z703="울산신항","KRUSN",IF(OR(Z703="선광종합물류(인천여객)",Z703="인천여객(인천여객)"),"KRINF",IF(OR(Z703="선광인천보세(인천신)",Z703="한진인천(인천신)",Z703="선광인천신항(인천신)",Z703="인천더로지스(인천신)"),"KRINN",IF(OR(Z703="인천진아(인천항)",Z703="인천E1(인천항)",Z703="인천SM경인터미널(인천항)",Z703="인천항(인천항)",Z703="인천우련(인천항)",Z703="인천항8부두(인천항)"),"KRINC",VLOOKUP(K703,GLAPS정리!$BB$2:$BC$33,2,0))))))</f>
        <v>#N/A</v>
      </c>
      <c r="AL703" s="2">
        <f t="shared" si="165"/>
        <v>5010001</v>
      </c>
      <c r="AN703" s="70" t="str">
        <f t="shared" si="166"/>
        <v>1900-01-00</v>
      </c>
      <c r="AO703" s="2" t="str">
        <f t="shared" si="167"/>
        <v/>
      </c>
      <c r="AP703" s="2" t="e">
        <f>VLOOKUP(C703,GLAPS정리!$AX$2:$AZ$17,3,0)</f>
        <v>#N/A</v>
      </c>
      <c r="AR703" s="2">
        <f t="shared" si="159"/>
        <v>0</v>
      </c>
      <c r="AX703" s="2" t="e">
        <f>VLOOKUP(L703,GLAPS정리!$V$3:$W$180,2,0)</f>
        <v>#N/A</v>
      </c>
      <c r="BM703" s="2" t="str">
        <f t="shared" si="168"/>
        <v xml:space="preserve"> </v>
      </c>
      <c r="BN703" s="2">
        <f t="shared" si="169"/>
        <v>1</v>
      </c>
      <c r="BR703" s="2" t="str">
        <f t="shared" si="170"/>
        <v/>
      </c>
      <c r="BS703" s="2" t="str">
        <f t="shared" si="171"/>
        <v/>
      </c>
      <c r="BV703" s="2" t="e">
        <f>VLOOKUP(O703,GLAPS정리!$BH$2:$BI$94,2,0)</f>
        <v>#N/A</v>
      </c>
      <c r="BW703" s="2" t="str">
        <f>IF(OR(Z703="동원",Z703="세방",Z703="한타"),"",IFERROR(INDEX(GLAPS정리!$BI$2:$BI$101,MATCH(Z703,GLAPS정리!$BH$2:$BH$101,0)),""))</f>
        <v/>
      </c>
      <c r="BX703" s="2" t="str">
        <f>IF(Z703="","",IFERROR(VLOOKUP(Z703,GLAPS정리!$AX$2:$AZ$17,3,0),""))</f>
        <v/>
      </c>
      <c r="BZ703" s="2" t="e">
        <f>VLOOKUP(H703,GLAPS정리!$L$3:$O$133,2,0)</f>
        <v>#N/A</v>
      </c>
      <c r="CA703" s="2" t="str">
        <f t="shared" si="172"/>
        <v/>
      </c>
      <c r="CL703" s="2" t="e">
        <f>VLOOKUP(AI703,GLAPS정리!$BT$3:$BV$26,3,0)</f>
        <v>#N/A</v>
      </c>
    </row>
    <row r="704" spans="2:90" ht="20.45" customHeight="1">
      <c r="B704" s="13"/>
      <c r="G704" s="3"/>
      <c r="J704" s="3"/>
      <c r="Q704" s="3" t="str">
        <f t="shared" si="160"/>
        <v/>
      </c>
      <c r="R704" s="3" t="str">
        <f t="shared" si="161"/>
        <v/>
      </c>
      <c r="S704" s="3" t="str">
        <f t="shared" si="162"/>
        <v/>
      </c>
      <c r="X704" s="13"/>
      <c r="Y704" s="13"/>
      <c r="Z704" s="91"/>
      <c r="AC704" s="2">
        <f t="shared" si="163"/>
        <v>20</v>
      </c>
      <c r="AD704" s="2" t="str">
        <f>IFERROR(INDEX(GLAPS정리!$D$2:$D$50,MATCH(I704,GLAPS정리!$A$2:$A$50,0)),IFERROR(INDEX(GLAPS정리!$D$2:$D$50,MATCH(I704,GLAPS정리!$B$2:$B$50,0)),""))</f>
        <v/>
      </c>
      <c r="AF704" s="2" t="str">
        <f t="shared" si="164"/>
        <v>KR10</v>
      </c>
      <c r="AI704" s="2" t="e">
        <f>VLOOKUP(F704,GLAPS정리!$G$3:$J$114,2,0)</f>
        <v>#N/A</v>
      </c>
      <c r="AJ704" s="2" t="e">
        <f>IF(Z704="울산정일","KRONS",IF(Z704="울산신항","KRUSN",IF(OR(Z704="선광종합물류(인천여객)",Z704="인천여객(인천여객)"),"KRINF",IF(OR(Z704="선광인천보세(인천신)",Z704="한진인천(인천신)",Z704="선광인천신항(인천신)",Z704="인천더로지스(인천신)"),"KRINN",IF(OR(Z704="인천진아(인천항)",Z704="인천E1(인천항)",Z704="인천SM경인터미널(인천항)",Z704="인천항(인천항)",Z704="인천우련(인천항)",Z704="인천항8부두(인천항)"),"KRINC",VLOOKUP(K704,GLAPS정리!$BB$2:$BC$33,2,0))))))</f>
        <v>#N/A</v>
      </c>
      <c r="AL704" s="2">
        <f t="shared" si="165"/>
        <v>5010001</v>
      </c>
      <c r="AN704" s="70" t="str">
        <f t="shared" si="166"/>
        <v>1900-01-00</v>
      </c>
      <c r="AO704" s="2" t="str">
        <f t="shared" si="167"/>
        <v/>
      </c>
      <c r="AP704" s="2" t="e">
        <f>VLOOKUP(C704,GLAPS정리!$AX$2:$AZ$17,3,0)</f>
        <v>#N/A</v>
      </c>
      <c r="AR704" s="2">
        <f t="shared" si="159"/>
        <v>0</v>
      </c>
      <c r="AX704" s="2" t="e">
        <f>VLOOKUP(L704,GLAPS정리!$V$3:$W$180,2,0)</f>
        <v>#N/A</v>
      </c>
      <c r="BM704" s="2" t="str">
        <f t="shared" si="168"/>
        <v xml:space="preserve"> </v>
      </c>
      <c r="BN704" s="2">
        <f t="shared" si="169"/>
        <v>1</v>
      </c>
      <c r="BR704" s="2" t="str">
        <f t="shared" si="170"/>
        <v/>
      </c>
      <c r="BS704" s="2" t="str">
        <f t="shared" si="171"/>
        <v/>
      </c>
      <c r="BV704" s="2" t="e">
        <f>VLOOKUP(O704,GLAPS정리!$BH$2:$BI$94,2,0)</f>
        <v>#N/A</v>
      </c>
      <c r="BW704" s="2" t="str">
        <f>IF(OR(Z704="동원",Z704="세방",Z704="한타"),"",IFERROR(INDEX(GLAPS정리!$BI$2:$BI$101,MATCH(Z704,GLAPS정리!$BH$2:$BH$101,0)),""))</f>
        <v/>
      </c>
      <c r="BX704" s="2" t="str">
        <f>IF(Z704="","",IFERROR(VLOOKUP(Z704,GLAPS정리!$AX$2:$AZ$17,3,0),""))</f>
        <v/>
      </c>
      <c r="BZ704" s="2" t="e">
        <f>VLOOKUP(H704,GLAPS정리!$L$3:$O$133,2,0)</f>
        <v>#N/A</v>
      </c>
      <c r="CA704" s="2" t="str">
        <f t="shared" si="172"/>
        <v/>
      </c>
      <c r="CL704" s="2" t="e">
        <f>VLOOKUP(AI704,GLAPS정리!$BT$3:$BV$26,3,0)</f>
        <v>#N/A</v>
      </c>
    </row>
    <row r="705" spans="2:90" ht="20.45" customHeight="1">
      <c r="B705" s="13"/>
      <c r="G705" s="3"/>
      <c r="J705" s="3"/>
      <c r="Q705" s="3" t="str">
        <f t="shared" si="160"/>
        <v/>
      </c>
      <c r="R705" s="3" t="str">
        <f t="shared" si="161"/>
        <v/>
      </c>
      <c r="S705" s="3" t="str">
        <f t="shared" si="162"/>
        <v/>
      </c>
      <c r="X705" s="13"/>
      <c r="Y705" s="13"/>
      <c r="Z705" s="91"/>
      <c r="AC705" s="2">
        <f t="shared" si="163"/>
        <v>20</v>
      </c>
      <c r="AD705" s="2" t="str">
        <f>IFERROR(INDEX(GLAPS정리!$D$2:$D$50,MATCH(I705,GLAPS정리!$A$2:$A$50,0)),IFERROR(INDEX(GLAPS정리!$D$2:$D$50,MATCH(I705,GLAPS정리!$B$2:$B$50,0)),""))</f>
        <v/>
      </c>
      <c r="AF705" s="2" t="str">
        <f t="shared" si="164"/>
        <v>KR10</v>
      </c>
      <c r="AI705" s="2" t="e">
        <f>VLOOKUP(F705,GLAPS정리!$G$3:$J$114,2,0)</f>
        <v>#N/A</v>
      </c>
      <c r="AJ705" s="2" t="e">
        <f>IF(Z705="울산정일","KRONS",IF(Z705="울산신항","KRUSN",IF(OR(Z705="선광종합물류(인천여객)",Z705="인천여객(인천여객)"),"KRINF",IF(OR(Z705="선광인천보세(인천신)",Z705="한진인천(인천신)",Z705="선광인천신항(인천신)",Z705="인천더로지스(인천신)"),"KRINN",IF(OR(Z705="인천진아(인천항)",Z705="인천E1(인천항)",Z705="인천SM경인터미널(인천항)",Z705="인천항(인천항)",Z705="인천우련(인천항)",Z705="인천항8부두(인천항)"),"KRINC",VLOOKUP(K705,GLAPS정리!$BB$2:$BC$33,2,0))))))</f>
        <v>#N/A</v>
      </c>
      <c r="AL705" s="2">
        <f t="shared" si="165"/>
        <v>5010001</v>
      </c>
      <c r="AN705" s="70" t="str">
        <f t="shared" si="166"/>
        <v>1900-01-00</v>
      </c>
      <c r="AO705" s="2" t="str">
        <f t="shared" si="167"/>
        <v/>
      </c>
      <c r="AP705" s="2" t="e">
        <f>VLOOKUP(C705,GLAPS정리!$AX$2:$AZ$17,3,0)</f>
        <v>#N/A</v>
      </c>
      <c r="AR705" s="2">
        <f t="shared" si="159"/>
        <v>0</v>
      </c>
      <c r="AX705" s="2" t="e">
        <f>VLOOKUP(L705,GLAPS정리!$V$3:$W$180,2,0)</f>
        <v>#N/A</v>
      </c>
      <c r="BM705" s="2" t="str">
        <f t="shared" si="168"/>
        <v xml:space="preserve"> </v>
      </c>
      <c r="BN705" s="2">
        <f t="shared" si="169"/>
        <v>1</v>
      </c>
      <c r="BR705" s="2" t="str">
        <f t="shared" si="170"/>
        <v/>
      </c>
      <c r="BS705" s="2" t="str">
        <f t="shared" si="171"/>
        <v/>
      </c>
      <c r="BV705" s="2" t="e">
        <f>VLOOKUP(O705,GLAPS정리!$BH$2:$BI$94,2,0)</f>
        <v>#N/A</v>
      </c>
      <c r="BW705" s="2" t="str">
        <f>IF(OR(Z705="동원",Z705="세방",Z705="한타"),"",IFERROR(INDEX(GLAPS정리!$BI$2:$BI$101,MATCH(Z705,GLAPS정리!$BH$2:$BH$101,0)),""))</f>
        <v/>
      </c>
      <c r="BX705" s="2" t="str">
        <f>IF(Z705="","",IFERROR(VLOOKUP(Z705,GLAPS정리!$AX$2:$AZ$17,3,0),""))</f>
        <v/>
      </c>
      <c r="BZ705" s="2" t="e">
        <f>VLOOKUP(H705,GLAPS정리!$L$3:$O$133,2,0)</f>
        <v>#N/A</v>
      </c>
      <c r="CA705" s="2" t="str">
        <f t="shared" si="172"/>
        <v/>
      </c>
      <c r="CL705" s="2" t="e">
        <f>VLOOKUP(AI705,GLAPS정리!$BT$3:$BV$26,3,0)</f>
        <v>#N/A</v>
      </c>
    </row>
    <row r="706" spans="2:90" ht="20.45" customHeight="1">
      <c r="B706" s="13"/>
      <c r="G706" s="3"/>
      <c r="J706" s="3"/>
      <c r="Q706" s="3" t="str">
        <f t="shared" si="160"/>
        <v/>
      </c>
      <c r="R706" s="3" t="str">
        <f t="shared" si="161"/>
        <v/>
      </c>
      <c r="S706" s="3" t="str">
        <f t="shared" si="162"/>
        <v/>
      </c>
      <c r="X706" s="13"/>
      <c r="Y706" s="13"/>
      <c r="Z706" s="91"/>
      <c r="AC706" s="2">
        <f t="shared" si="163"/>
        <v>20</v>
      </c>
      <c r="AD706" s="2" t="str">
        <f>IFERROR(INDEX(GLAPS정리!$D$2:$D$50,MATCH(I706,GLAPS정리!$A$2:$A$50,0)),IFERROR(INDEX(GLAPS정리!$D$2:$D$50,MATCH(I706,GLAPS정리!$B$2:$B$50,0)),""))</f>
        <v/>
      </c>
      <c r="AF706" s="2" t="str">
        <f t="shared" si="164"/>
        <v>KR10</v>
      </c>
      <c r="AI706" s="2" t="e">
        <f>VLOOKUP(F706,GLAPS정리!$G$3:$J$114,2,0)</f>
        <v>#N/A</v>
      </c>
      <c r="AJ706" s="2" t="e">
        <f>IF(Z706="울산정일","KRONS",IF(Z706="울산신항","KRUSN",IF(OR(Z706="선광종합물류(인천여객)",Z706="인천여객(인천여객)"),"KRINF",IF(OR(Z706="선광인천보세(인천신)",Z706="한진인천(인천신)",Z706="선광인천신항(인천신)",Z706="인천더로지스(인천신)"),"KRINN",IF(OR(Z706="인천진아(인천항)",Z706="인천E1(인천항)",Z706="인천SM경인터미널(인천항)",Z706="인천항(인천항)",Z706="인천우련(인천항)",Z706="인천항8부두(인천항)"),"KRINC",VLOOKUP(K706,GLAPS정리!$BB$2:$BC$33,2,0))))))</f>
        <v>#N/A</v>
      </c>
      <c r="AL706" s="2">
        <f t="shared" si="165"/>
        <v>5010001</v>
      </c>
      <c r="AN706" s="70" t="str">
        <f t="shared" si="166"/>
        <v>1900-01-00</v>
      </c>
      <c r="AO706" s="2" t="str">
        <f t="shared" si="167"/>
        <v/>
      </c>
      <c r="AP706" s="2" t="e">
        <f>VLOOKUP(C706,GLAPS정리!$AX$2:$AZ$17,3,0)</f>
        <v>#N/A</v>
      </c>
      <c r="AR706" s="2">
        <f t="shared" si="159"/>
        <v>0</v>
      </c>
      <c r="AX706" s="2" t="e">
        <f>VLOOKUP(L706,GLAPS정리!$V$3:$W$180,2,0)</f>
        <v>#N/A</v>
      </c>
      <c r="BM706" s="2" t="str">
        <f t="shared" si="168"/>
        <v xml:space="preserve"> </v>
      </c>
      <c r="BN706" s="2">
        <f t="shared" si="169"/>
        <v>1</v>
      </c>
      <c r="BR706" s="2" t="str">
        <f t="shared" si="170"/>
        <v/>
      </c>
      <c r="BS706" s="2" t="str">
        <f t="shared" si="171"/>
        <v/>
      </c>
      <c r="BV706" s="2" t="e">
        <f>VLOOKUP(O706,GLAPS정리!$BH$2:$BI$94,2,0)</f>
        <v>#N/A</v>
      </c>
      <c r="BW706" s="2" t="str">
        <f>IF(OR(Z706="동원",Z706="세방",Z706="한타"),"",IFERROR(INDEX(GLAPS정리!$BI$2:$BI$101,MATCH(Z706,GLAPS정리!$BH$2:$BH$101,0)),""))</f>
        <v/>
      </c>
      <c r="BX706" s="2" t="str">
        <f>IF(Z706="","",IFERROR(VLOOKUP(Z706,GLAPS정리!$AX$2:$AZ$17,3,0),""))</f>
        <v/>
      </c>
      <c r="BZ706" s="2" t="e">
        <f>VLOOKUP(H706,GLAPS정리!$L$3:$O$133,2,0)</f>
        <v>#N/A</v>
      </c>
      <c r="CA706" s="2" t="str">
        <f t="shared" si="172"/>
        <v/>
      </c>
      <c r="CL706" s="2" t="e">
        <f>VLOOKUP(AI706,GLAPS정리!$BT$3:$BV$26,3,0)</f>
        <v>#N/A</v>
      </c>
    </row>
    <row r="707" spans="2:90" ht="20.45" customHeight="1">
      <c r="B707" s="13"/>
      <c r="G707" s="3"/>
      <c r="J707" s="3"/>
      <c r="Q707" s="3" t="str">
        <f t="shared" si="160"/>
        <v/>
      </c>
      <c r="R707" s="3" t="str">
        <f t="shared" si="161"/>
        <v/>
      </c>
      <c r="S707" s="3" t="str">
        <f t="shared" si="162"/>
        <v/>
      </c>
      <c r="X707" s="13"/>
      <c r="Y707" s="13"/>
      <c r="Z707" s="91"/>
      <c r="AC707" s="2">
        <f t="shared" si="163"/>
        <v>20</v>
      </c>
      <c r="AD707" s="2" t="str">
        <f>IFERROR(INDEX(GLAPS정리!$D$2:$D$50,MATCH(I707,GLAPS정리!$A$2:$A$50,0)),IFERROR(INDEX(GLAPS정리!$D$2:$D$50,MATCH(I707,GLAPS정리!$B$2:$B$50,0)),""))</f>
        <v/>
      </c>
      <c r="AF707" s="2" t="str">
        <f t="shared" si="164"/>
        <v>KR10</v>
      </c>
      <c r="AI707" s="2" t="e">
        <f>VLOOKUP(F707,GLAPS정리!$G$3:$J$114,2,0)</f>
        <v>#N/A</v>
      </c>
      <c r="AJ707" s="2" t="e">
        <f>IF(Z707="울산정일","KRONS",IF(Z707="울산신항","KRUSN",IF(OR(Z707="선광종합물류(인천여객)",Z707="인천여객(인천여객)"),"KRINF",IF(OR(Z707="선광인천보세(인천신)",Z707="한진인천(인천신)",Z707="선광인천신항(인천신)",Z707="인천더로지스(인천신)"),"KRINN",IF(OR(Z707="인천진아(인천항)",Z707="인천E1(인천항)",Z707="인천SM경인터미널(인천항)",Z707="인천항(인천항)",Z707="인천우련(인천항)",Z707="인천항8부두(인천항)"),"KRINC",VLOOKUP(K707,GLAPS정리!$BB$2:$BC$33,2,0))))))</f>
        <v>#N/A</v>
      </c>
      <c r="AL707" s="2">
        <f t="shared" si="165"/>
        <v>5010001</v>
      </c>
      <c r="AN707" s="70" t="str">
        <f t="shared" si="166"/>
        <v>1900-01-00</v>
      </c>
      <c r="AO707" s="2" t="str">
        <f t="shared" si="167"/>
        <v/>
      </c>
      <c r="AP707" s="2" t="e">
        <f>VLOOKUP(C707,GLAPS정리!$AX$2:$AZ$17,3,0)</f>
        <v>#N/A</v>
      </c>
      <c r="AR707" s="2">
        <f t="shared" ref="AR707:AR770" si="173">X707</f>
        <v>0</v>
      </c>
      <c r="AX707" s="2" t="e">
        <f>VLOOKUP(L707,GLAPS정리!$V$3:$W$180,2,0)</f>
        <v>#N/A</v>
      </c>
      <c r="BM707" s="2" t="str">
        <f t="shared" si="168"/>
        <v xml:space="preserve"> </v>
      </c>
      <c r="BN707" s="2">
        <f t="shared" si="169"/>
        <v>1</v>
      </c>
      <c r="BR707" s="2" t="str">
        <f t="shared" si="170"/>
        <v/>
      </c>
      <c r="BS707" s="2" t="str">
        <f t="shared" si="171"/>
        <v/>
      </c>
      <c r="BV707" s="2" t="e">
        <f>VLOOKUP(O707,GLAPS정리!$BH$2:$BI$94,2,0)</f>
        <v>#N/A</v>
      </c>
      <c r="BW707" s="2" t="str">
        <f>IF(OR(Z707="동원",Z707="세방",Z707="한타"),"",IFERROR(INDEX(GLAPS정리!$BI$2:$BI$101,MATCH(Z707,GLAPS정리!$BH$2:$BH$101,0)),""))</f>
        <v/>
      </c>
      <c r="BX707" s="2" t="str">
        <f>IF(Z707="","",IFERROR(VLOOKUP(Z707,GLAPS정리!$AX$2:$AZ$17,3,0),""))</f>
        <v/>
      </c>
      <c r="BZ707" s="2" t="e">
        <f>VLOOKUP(H707,GLAPS정리!$L$3:$O$133,2,0)</f>
        <v>#N/A</v>
      </c>
      <c r="CA707" s="2" t="str">
        <f t="shared" si="172"/>
        <v/>
      </c>
      <c r="CL707" s="2" t="e">
        <f>VLOOKUP(AI707,GLAPS정리!$BT$3:$BV$26,3,0)</f>
        <v>#N/A</v>
      </c>
    </row>
    <row r="708" spans="2:90" ht="20.45" customHeight="1">
      <c r="B708" s="13"/>
      <c r="G708" s="3"/>
      <c r="J708" s="3"/>
      <c r="Q708" s="3" t="str">
        <f t="shared" si="160"/>
        <v/>
      </c>
      <c r="R708" s="3" t="str">
        <f t="shared" si="161"/>
        <v/>
      </c>
      <c r="S708" s="3" t="str">
        <f t="shared" si="162"/>
        <v/>
      </c>
      <c r="X708" s="13"/>
      <c r="Y708" s="13"/>
      <c r="Z708" s="91"/>
      <c r="AC708" s="2">
        <f t="shared" si="163"/>
        <v>20</v>
      </c>
      <c r="AD708" s="2" t="str">
        <f>IFERROR(INDEX(GLAPS정리!$D$2:$D$50,MATCH(I708,GLAPS정리!$A$2:$A$50,0)),IFERROR(INDEX(GLAPS정리!$D$2:$D$50,MATCH(I708,GLAPS정리!$B$2:$B$50,0)),""))</f>
        <v/>
      </c>
      <c r="AF708" s="2" t="str">
        <f t="shared" si="164"/>
        <v>KR10</v>
      </c>
      <c r="AI708" s="2" t="e">
        <f>VLOOKUP(F708,GLAPS정리!$G$3:$J$114,2,0)</f>
        <v>#N/A</v>
      </c>
      <c r="AJ708" s="2" t="e">
        <f>IF(Z708="울산정일","KRONS",IF(Z708="울산신항","KRUSN",IF(OR(Z708="선광종합물류(인천여객)",Z708="인천여객(인천여객)"),"KRINF",IF(OR(Z708="선광인천보세(인천신)",Z708="한진인천(인천신)",Z708="선광인천신항(인천신)",Z708="인천더로지스(인천신)"),"KRINN",IF(OR(Z708="인천진아(인천항)",Z708="인천E1(인천항)",Z708="인천SM경인터미널(인천항)",Z708="인천항(인천항)",Z708="인천우련(인천항)",Z708="인천항8부두(인천항)"),"KRINC",VLOOKUP(K708,GLAPS정리!$BB$2:$BC$33,2,0))))))</f>
        <v>#N/A</v>
      </c>
      <c r="AL708" s="2">
        <f t="shared" si="165"/>
        <v>5010001</v>
      </c>
      <c r="AN708" s="70" t="str">
        <f t="shared" si="166"/>
        <v>1900-01-00</v>
      </c>
      <c r="AO708" s="2" t="str">
        <f t="shared" si="167"/>
        <v/>
      </c>
      <c r="AP708" s="2" t="e">
        <f>VLOOKUP(C708,GLAPS정리!$AX$2:$AZ$17,3,0)</f>
        <v>#N/A</v>
      </c>
      <c r="AR708" s="2">
        <f t="shared" si="173"/>
        <v>0</v>
      </c>
      <c r="AX708" s="2" t="e">
        <f>VLOOKUP(L708,GLAPS정리!$V$3:$W$180,2,0)</f>
        <v>#N/A</v>
      </c>
      <c r="BM708" s="2" t="str">
        <f t="shared" si="168"/>
        <v xml:space="preserve"> </v>
      </c>
      <c r="BN708" s="2">
        <f t="shared" si="169"/>
        <v>1</v>
      </c>
      <c r="BR708" s="2" t="str">
        <f t="shared" si="170"/>
        <v/>
      </c>
      <c r="BS708" s="2" t="str">
        <f t="shared" si="171"/>
        <v/>
      </c>
      <c r="BV708" s="2" t="e">
        <f>VLOOKUP(O708,GLAPS정리!$BH$2:$BI$94,2,0)</f>
        <v>#N/A</v>
      </c>
      <c r="BW708" s="2" t="str">
        <f>IF(OR(Z708="동원",Z708="세방",Z708="한타"),"",IFERROR(INDEX(GLAPS정리!$BI$2:$BI$101,MATCH(Z708,GLAPS정리!$BH$2:$BH$101,0)),""))</f>
        <v/>
      </c>
      <c r="BX708" s="2" t="str">
        <f>IF(Z708="","",IFERROR(VLOOKUP(Z708,GLAPS정리!$AX$2:$AZ$17,3,0),""))</f>
        <v/>
      </c>
      <c r="BZ708" s="2" t="e">
        <f>VLOOKUP(H708,GLAPS정리!$L$3:$O$133,2,0)</f>
        <v>#N/A</v>
      </c>
      <c r="CA708" s="2" t="str">
        <f t="shared" si="172"/>
        <v/>
      </c>
      <c r="CL708" s="2" t="e">
        <f>VLOOKUP(AI708,GLAPS정리!$BT$3:$BV$26,3,0)</f>
        <v>#N/A</v>
      </c>
    </row>
    <row r="709" spans="2:90" ht="20.45" customHeight="1">
      <c r="B709" s="13"/>
      <c r="G709" s="3"/>
      <c r="J709" s="3"/>
      <c r="Q709" s="3" t="str">
        <f t="shared" si="160"/>
        <v/>
      </c>
      <c r="R709" s="3" t="str">
        <f t="shared" si="161"/>
        <v/>
      </c>
      <c r="S709" s="3" t="str">
        <f t="shared" si="162"/>
        <v/>
      </c>
      <c r="X709" s="13"/>
      <c r="Y709" s="13"/>
      <c r="Z709" s="91"/>
      <c r="AC709" s="2">
        <f t="shared" si="163"/>
        <v>20</v>
      </c>
      <c r="AD709" s="2" t="str">
        <f>IFERROR(INDEX(GLAPS정리!$D$2:$D$50,MATCH(I709,GLAPS정리!$A$2:$A$50,0)),IFERROR(INDEX(GLAPS정리!$D$2:$D$50,MATCH(I709,GLAPS정리!$B$2:$B$50,0)),""))</f>
        <v/>
      </c>
      <c r="AF709" s="2" t="str">
        <f t="shared" si="164"/>
        <v>KR10</v>
      </c>
      <c r="AI709" s="2" t="e">
        <f>VLOOKUP(F709,GLAPS정리!$G$3:$J$114,2,0)</f>
        <v>#N/A</v>
      </c>
      <c r="AJ709" s="2" t="e">
        <f>IF(Z709="울산정일","KRONS",IF(Z709="울산신항","KRUSN",IF(OR(Z709="선광종합물류(인천여객)",Z709="인천여객(인천여객)"),"KRINF",IF(OR(Z709="선광인천보세(인천신)",Z709="한진인천(인천신)",Z709="선광인천신항(인천신)",Z709="인천더로지스(인천신)"),"KRINN",IF(OR(Z709="인천진아(인천항)",Z709="인천E1(인천항)",Z709="인천SM경인터미널(인천항)",Z709="인천항(인천항)",Z709="인천우련(인천항)",Z709="인천항8부두(인천항)"),"KRINC",VLOOKUP(K709,GLAPS정리!$BB$2:$BC$33,2,0))))))</f>
        <v>#N/A</v>
      </c>
      <c r="AL709" s="2">
        <f t="shared" si="165"/>
        <v>5010001</v>
      </c>
      <c r="AN709" s="70" t="str">
        <f t="shared" si="166"/>
        <v>1900-01-00</v>
      </c>
      <c r="AO709" s="2" t="str">
        <f t="shared" si="167"/>
        <v/>
      </c>
      <c r="AP709" s="2" t="e">
        <f>VLOOKUP(C709,GLAPS정리!$AX$2:$AZ$17,3,0)</f>
        <v>#N/A</v>
      </c>
      <c r="AR709" s="2">
        <f t="shared" si="173"/>
        <v>0</v>
      </c>
      <c r="AX709" s="2" t="e">
        <f>VLOOKUP(L709,GLAPS정리!$V$3:$W$180,2,0)</f>
        <v>#N/A</v>
      </c>
      <c r="BM709" s="2" t="str">
        <f t="shared" si="168"/>
        <v xml:space="preserve"> </v>
      </c>
      <c r="BN709" s="2">
        <f t="shared" si="169"/>
        <v>1</v>
      </c>
      <c r="BR709" s="2" t="str">
        <f t="shared" si="170"/>
        <v/>
      </c>
      <c r="BS709" s="2" t="str">
        <f t="shared" si="171"/>
        <v/>
      </c>
      <c r="BV709" s="2" t="e">
        <f>VLOOKUP(O709,GLAPS정리!$BH$2:$BI$94,2,0)</f>
        <v>#N/A</v>
      </c>
      <c r="BW709" s="2" t="str">
        <f>IF(OR(Z709="동원",Z709="세방",Z709="한타"),"",IFERROR(INDEX(GLAPS정리!$BI$2:$BI$101,MATCH(Z709,GLAPS정리!$BH$2:$BH$101,0)),""))</f>
        <v/>
      </c>
      <c r="BX709" s="2" t="str">
        <f>IF(Z709="","",IFERROR(VLOOKUP(Z709,GLAPS정리!$AX$2:$AZ$17,3,0),""))</f>
        <v/>
      </c>
      <c r="BZ709" s="2" t="e">
        <f>VLOOKUP(H709,GLAPS정리!$L$3:$O$133,2,0)</f>
        <v>#N/A</v>
      </c>
      <c r="CA709" s="2" t="str">
        <f t="shared" si="172"/>
        <v/>
      </c>
      <c r="CL709" s="2" t="e">
        <f>VLOOKUP(AI709,GLAPS정리!$BT$3:$BV$26,3,0)</f>
        <v>#N/A</v>
      </c>
    </row>
    <row r="710" spans="2:90" ht="20.45" customHeight="1">
      <c r="B710" s="13"/>
      <c r="G710" s="3"/>
      <c r="J710" s="3"/>
      <c r="Q710" s="3" t="str">
        <f t="shared" si="160"/>
        <v/>
      </c>
      <c r="R710" s="3" t="str">
        <f t="shared" si="161"/>
        <v/>
      </c>
      <c r="S710" s="3" t="str">
        <f t="shared" si="162"/>
        <v/>
      </c>
      <c r="X710" s="13"/>
      <c r="Y710" s="13"/>
      <c r="Z710" s="91"/>
      <c r="AC710" s="2">
        <f t="shared" si="163"/>
        <v>20</v>
      </c>
      <c r="AD710" s="2" t="str">
        <f>IFERROR(INDEX(GLAPS정리!$D$2:$D$50,MATCH(I710,GLAPS정리!$A$2:$A$50,0)),IFERROR(INDEX(GLAPS정리!$D$2:$D$50,MATCH(I710,GLAPS정리!$B$2:$B$50,0)),""))</f>
        <v/>
      </c>
      <c r="AF710" s="2" t="str">
        <f t="shared" si="164"/>
        <v>KR10</v>
      </c>
      <c r="AI710" s="2" t="e">
        <f>VLOOKUP(F710,GLAPS정리!$G$3:$J$114,2,0)</f>
        <v>#N/A</v>
      </c>
      <c r="AJ710" s="2" t="e">
        <f>IF(Z710="울산정일","KRONS",IF(Z710="울산신항","KRUSN",IF(OR(Z710="선광종합물류(인천여객)",Z710="인천여객(인천여객)"),"KRINF",IF(OR(Z710="선광인천보세(인천신)",Z710="한진인천(인천신)",Z710="선광인천신항(인천신)",Z710="인천더로지스(인천신)"),"KRINN",IF(OR(Z710="인천진아(인천항)",Z710="인천E1(인천항)",Z710="인천SM경인터미널(인천항)",Z710="인천항(인천항)",Z710="인천우련(인천항)",Z710="인천항8부두(인천항)"),"KRINC",VLOOKUP(K710,GLAPS정리!$BB$2:$BC$33,2,0))))))</f>
        <v>#N/A</v>
      </c>
      <c r="AL710" s="2">
        <f t="shared" si="165"/>
        <v>5010001</v>
      </c>
      <c r="AN710" s="70" t="str">
        <f t="shared" si="166"/>
        <v>1900-01-00</v>
      </c>
      <c r="AO710" s="2" t="str">
        <f t="shared" si="167"/>
        <v/>
      </c>
      <c r="AP710" s="2" t="e">
        <f>VLOOKUP(C710,GLAPS정리!$AX$2:$AZ$17,3,0)</f>
        <v>#N/A</v>
      </c>
      <c r="AR710" s="2">
        <f t="shared" si="173"/>
        <v>0</v>
      </c>
      <c r="AX710" s="2" t="e">
        <f>VLOOKUP(L710,GLAPS정리!$V$3:$W$180,2,0)</f>
        <v>#N/A</v>
      </c>
      <c r="BM710" s="2" t="str">
        <f t="shared" si="168"/>
        <v xml:space="preserve"> </v>
      </c>
      <c r="BN710" s="2">
        <f t="shared" si="169"/>
        <v>1</v>
      </c>
      <c r="BR710" s="2" t="str">
        <f t="shared" si="170"/>
        <v/>
      </c>
      <c r="BS710" s="2" t="str">
        <f t="shared" si="171"/>
        <v/>
      </c>
      <c r="BV710" s="2" t="e">
        <f>VLOOKUP(O710,GLAPS정리!$BH$2:$BI$94,2,0)</f>
        <v>#N/A</v>
      </c>
      <c r="BW710" s="2" t="str">
        <f>IF(OR(Z710="동원",Z710="세방",Z710="한타"),"",IFERROR(INDEX(GLAPS정리!$BI$2:$BI$101,MATCH(Z710,GLAPS정리!$BH$2:$BH$101,0)),""))</f>
        <v/>
      </c>
      <c r="BX710" s="2" t="str">
        <f>IF(Z710="","",IFERROR(VLOOKUP(Z710,GLAPS정리!$AX$2:$AZ$17,3,0),""))</f>
        <v/>
      </c>
      <c r="BZ710" s="2" t="e">
        <f>VLOOKUP(H710,GLAPS정리!$L$3:$O$133,2,0)</f>
        <v>#N/A</v>
      </c>
      <c r="CA710" s="2" t="str">
        <f t="shared" si="172"/>
        <v/>
      </c>
      <c r="CL710" s="2" t="e">
        <f>VLOOKUP(AI710,GLAPS정리!$BT$3:$BV$26,3,0)</f>
        <v>#N/A</v>
      </c>
    </row>
    <row r="711" spans="2:90" ht="20.45" customHeight="1">
      <c r="B711" s="13"/>
      <c r="G711" s="3"/>
      <c r="J711" s="3"/>
      <c r="Q711" s="3" t="str">
        <f t="shared" si="160"/>
        <v/>
      </c>
      <c r="R711" s="3" t="str">
        <f t="shared" si="161"/>
        <v/>
      </c>
      <c r="S711" s="3" t="str">
        <f t="shared" si="162"/>
        <v/>
      </c>
      <c r="X711" s="13"/>
      <c r="Y711" s="13"/>
      <c r="Z711" s="91"/>
      <c r="AC711" s="2">
        <f t="shared" si="163"/>
        <v>20</v>
      </c>
      <c r="AD711" s="2" t="str">
        <f>IFERROR(INDEX(GLAPS정리!$D$2:$D$50,MATCH(I711,GLAPS정리!$A$2:$A$50,0)),IFERROR(INDEX(GLAPS정리!$D$2:$D$50,MATCH(I711,GLAPS정리!$B$2:$B$50,0)),""))</f>
        <v/>
      </c>
      <c r="AF711" s="2" t="str">
        <f t="shared" si="164"/>
        <v>KR10</v>
      </c>
      <c r="AI711" s="2" t="e">
        <f>VLOOKUP(F711,GLAPS정리!$G$3:$J$114,2,0)</f>
        <v>#N/A</v>
      </c>
      <c r="AJ711" s="2" t="e">
        <f>IF(Z711="울산정일","KRONS",IF(Z711="울산신항","KRUSN",IF(OR(Z711="선광종합물류(인천여객)",Z711="인천여객(인천여객)"),"KRINF",IF(OR(Z711="선광인천보세(인천신)",Z711="한진인천(인천신)",Z711="선광인천신항(인천신)",Z711="인천더로지스(인천신)"),"KRINN",IF(OR(Z711="인천진아(인천항)",Z711="인천E1(인천항)",Z711="인천SM경인터미널(인천항)",Z711="인천항(인천항)",Z711="인천우련(인천항)",Z711="인천항8부두(인천항)"),"KRINC",VLOOKUP(K711,GLAPS정리!$BB$2:$BC$33,2,0))))))</f>
        <v>#N/A</v>
      </c>
      <c r="AL711" s="2">
        <f t="shared" si="165"/>
        <v>5010001</v>
      </c>
      <c r="AN711" s="70" t="str">
        <f t="shared" si="166"/>
        <v>1900-01-00</v>
      </c>
      <c r="AO711" s="2" t="str">
        <f t="shared" si="167"/>
        <v/>
      </c>
      <c r="AP711" s="2" t="e">
        <f>VLOOKUP(C711,GLAPS정리!$AX$2:$AZ$17,3,0)</f>
        <v>#N/A</v>
      </c>
      <c r="AR711" s="2">
        <f t="shared" si="173"/>
        <v>0</v>
      </c>
      <c r="AX711" s="2" t="e">
        <f>VLOOKUP(L711,GLAPS정리!$V$3:$W$180,2,0)</f>
        <v>#N/A</v>
      </c>
      <c r="BM711" s="2" t="str">
        <f t="shared" si="168"/>
        <v xml:space="preserve"> </v>
      </c>
      <c r="BN711" s="2">
        <f t="shared" si="169"/>
        <v>1</v>
      </c>
      <c r="BR711" s="2" t="str">
        <f t="shared" si="170"/>
        <v/>
      </c>
      <c r="BS711" s="2" t="str">
        <f t="shared" si="171"/>
        <v/>
      </c>
      <c r="BV711" s="2" t="e">
        <f>VLOOKUP(O711,GLAPS정리!$BH$2:$BI$94,2,0)</f>
        <v>#N/A</v>
      </c>
      <c r="BW711" s="2" t="str">
        <f>IF(OR(Z711="동원",Z711="세방",Z711="한타"),"",IFERROR(INDEX(GLAPS정리!$BI$2:$BI$101,MATCH(Z711,GLAPS정리!$BH$2:$BH$101,0)),""))</f>
        <v/>
      </c>
      <c r="BX711" s="2" t="str">
        <f>IF(Z711="","",IFERROR(VLOOKUP(Z711,GLAPS정리!$AX$2:$AZ$17,3,0),""))</f>
        <v/>
      </c>
      <c r="BZ711" s="2" t="e">
        <f>VLOOKUP(H711,GLAPS정리!$L$3:$O$133,2,0)</f>
        <v>#N/A</v>
      </c>
      <c r="CA711" s="2" t="str">
        <f t="shared" si="172"/>
        <v/>
      </c>
      <c r="CL711" s="2" t="e">
        <f>VLOOKUP(AI711,GLAPS정리!$BT$3:$BV$26,3,0)</f>
        <v>#N/A</v>
      </c>
    </row>
    <row r="712" spans="2:90" ht="20.45" customHeight="1">
      <c r="B712" s="13"/>
      <c r="G712" s="3"/>
      <c r="J712" s="3"/>
      <c r="Q712" s="3" t="str">
        <f t="shared" si="160"/>
        <v/>
      </c>
      <c r="R712" s="3" t="str">
        <f t="shared" si="161"/>
        <v/>
      </c>
      <c r="S712" s="3" t="str">
        <f t="shared" si="162"/>
        <v/>
      </c>
      <c r="X712" s="13"/>
      <c r="Y712" s="13"/>
      <c r="Z712" s="91"/>
      <c r="AC712" s="2">
        <f t="shared" si="163"/>
        <v>20</v>
      </c>
      <c r="AD712" s="2" t="str">
        <f>IFERROR(INDEX(GLAPS정리!$D$2:$D$50,MATCH(I712,GLAPS정리!$A$2:$A$50,0)),IFERROR(INDEX(GLAPS정리!$D$2:$D$50,MATCH(I712,GLAPS정리!$B$2:$B$50,0)),""))</f>
        <v/>
      </c>
      <c r="AF712" s="2" t="str">
        <f t="shared" si="164"/>
        <v>KR10</v>
      </c>
      <c r="AI712" s="2" t="e">
        <f>VLOOKUP(F712,GLAPS정리!$G$3:$J$114,2,0)</f>
        <v>#N/A</v>
      </c>
      <c r="AJ712" s="2" t="e">
        <f>IF(Z712="울산정일","KRONS",IF(Z712="울산신항","KRUSN",IF(OR(Z712="선광종합물류(인천여객)",Z712="인천여객(인천여객)"),"KRINF",IF(OR(Z712="선광인천보세(인천신)",Z712="한진인천(인천신)",Z712="선광인천신항(인천신)",Z712="인천더로지스(인천신)"),"KRINN",IF(OR(Z712="인천진아(인천항)",Z712="인천E1(인천항)",Z712="인천SM경인터미널(인천항)",Z712="인천항(인천항)",Z712="인천우련(인천항)",Z712="인천항8부두(인천항)"),"KRINC",VLOOKUP(K712,GLAPS정리!$BB$2:$BC$33,2,0))))))</f>
        <v>#N/A</v>
      </c>
      <c r="AL712" s="2">
        <f t="shared" si="165"/>
        <v>5010001</v>
      </c>
      <c r="AN712" s="70" t="str">
        <f t="shared" si="166"/>
        <v>1900-01-00</v>
      </c>
      <c r="AO712" s="2" t="str">
        <f t="shared" si="167"/>
        <v/>
      </c>
      <c r="AP712" s="2" t="e">
        <f>VLOOKUP(C712,GLAPS정리!$AX$2:$AZ$17,3,0)</f>
        <v>#N/A</v>
      </c>
      <c r="AR712" s="2">
        <f t="shared" si="173"/>
        <v>0</v>
      </c>
      <c r="AX712" s="2" t="e">
        <f>VLOOKUP(L712,GLAPS정리!$V$3:$W$180,2,0)</f>
        <v>#N/A</v>
      </c>
      <c r="BM712" s="2" t="str">
        <f t="shared" si="168"/>
        <v xml:space="preserve"> </v>
      </c>
      <c r="BN712" s="2">
        <f t="shared" si="169"/>
        <v>1</v>
      </c>
      <c r="BR712" s="2" t="str">
        <f t="shared" si="170"/>
        <v/>
      </c>
      <c r="BS712" s="2" t="str">
        <f t="shared" si="171"/>
        <v/>
      </c>
      <c r="BV712" s="2" t="e">
        <f>VLOOKUP(O712,GLAPS정리!$BH$2:$BI$94,2,0)</f>
        <v>#N/A</v>
      </c>
      <c r="BW712" s="2" t="str">
        <f>IF(OR(Z712="동원",Z712="세방",Z712="한타"),"",IFERROR(INDEX(GLAPS정리!$BI$2:$BI$101,MATCH(Z712,GLAPS정리!$BH$2:$BH$101,0)),""))</f>
        <v/>
      </c>
      <c r="BX712" s="2" t="str">
        <f>IF(Z712="","",IFERROR(VLOOKUP(Z712,GLAPS정리!$AX$2:$AZ$17,3,0),""))</f>
        <v/>
      </c>
      <c r="BZ712" s="2" t="e">
        <f>VLOOKUP(H712,GLAPS정리!$L$3:$O$133,2,0)</f>
        <v>#N/A</v>
      </c>
      <c r="CA712" s="2" t="str">
        <f t="shared" si="172"/>
        <v/>
      </c>
      <c r="CL712" s="2" t="e">
        <f>VLOOKUP(AI712,GLAPS정리!$BT$3:$BV$26,3,0)</f>
        <v>#N/A</v>
      </c>
    </row>
    <row r="713" spans="2:90" ht="20.45" customHeight="1">
      <c r="B713" s="13"/>
      <c r="G713" s="3"/>
      <c r="J713" s="3"/>
      <c r="Q713" s="3" t="str">
        <f t="shared" si="160"/>
        <v/>
      </c>
      <c r="R713" s="3" t="str">
        <f t="shared" si="161"/>
        <v/>
      </c>
      <c r="S713" s="3" t="str">
        <f t="shared" si="162"/>
        <v/>
      </c>
      <c r="X713" s="13"/>
      <c r="Y713" s="13"/>
      <c r="Z713" s="91"/>
      <c r="AC713" s="2">
        <f t="shared" si="163"/>
        <v>20</v>
      </c>
      <c r="AD713" s="2" t="str">
        <f>IFERROR(INDEX(GLAPS정리!$D$2:$D$50,MATCH(I713,GLAPS정리!$A$2:$A$50,0)),IFERROR(INDEX(GLAPS정리!$D$2:$D$50,MATCH(I713,GLAPS정리!$B$2:$B$50,0)),""))</f>
        <v/>
      </c>
      <c r="AF713" s="2" t="str">
        <f t="shared" si="164"/>
        <v>KR10</v>
      </c>
      <c r="AI713" s="2" t="e">
        <f>VLOOKUP(F713,GLAPS정리!$G$3:$J$114,2,0)</f>
        <v>#N/A</v>
      </c>
      <c r="AJ713" s="2" t="e">
        <f>IF(Z713="울산정일","KRONS",IF(Z713="울산신항","KRUSN",IF(OR(Z713="선광종합물류(인천여객)",Z713="인천여객(인천여객)"),"KRINF",IF(OR(Z713="선광인천보세(인천신)",Z713="한진인천(인천신)",Z713="선광인천신항(인천신)",Z713="인천더로지스(인천신)"),"KRINN",IF(OR(Z713="인천진아(인천항)",Z713="인천E1(인천항)",Z713="인천SM경인터미널(인천항)",Z713="인천항(인천항)",Z713="인천우련(인천항)",Z713="인천항8부두(인천항)"),"KRINC",VLOOKUP(K713,GLAPS정리!$BB$2:$BC$33,2,0))))))</f>
        <v>#N/A</v>
      </c>
      <c r="AL713" s="2">
        <f t="shared" si="165"/>
        <v>5010001</v>
      </c>
      <c r="AN713" s="70" t="str">
        <f t="shared" si="166"/>
        <v>1900-01-00</v>
      </c>
      <c r="AO713" s="2" t="str">
        <f t="shared" si="167"/>
        <v/>
      </c>
      <c r="AP713" s="2" t="e">
        <f>VLOOKUP(C713,GLAPS정리!$AX$2:$AZ$17,3,0)</f>
        <v>#N/A</v>
      </c>
      <c r="AR713" s="2">
        <f t="shared" si="173"/>
        <v>0</v>
      </c>
      <c r="AX713" s="2" t="e">
        <f>VLOOKUP(L713,GLAPS정리!$V$3:$W$180,2,0)</f>
        <v>#N/A</v>
      </c>
      <c r="BM713" s="2" t="str">
        <f t="shared" si="168"/>
        <v xml:space="preserve"> </v>
      </c>
      <c r="BN713" s="2">
        <f t="shared" si="169"/>
        <v>1</v>
      </c>
      <c r="BR713" s="2" t="str">
        <f t="shared" si="170"/>
        <v/>
      </c>
      <c r="BS713" s="2" t="str">
        <f t="shared" si="171"/>
        <v/>
      </c>
      <c r="BV713" s="2" t="e">
        <f>VLOOKUP(O713,GLAPS정리!$BH$2:$BI$94,2,0)</f>
        <v>#N/A</v>
      </c>
      <c r="BW713" s="2" t="str">
        <f>IF(OR(Z713="동원",Z713="세방",Z713="한타"),"",IFERROR(INDEX(GLAPS정리!$BI$2:$BI$101,MATCH(Z713,GLAPS정리!$BH$2:$BH$101,0)),""))</f>
        <v/>
      </c>
      <c r="BX713" s="2" t="str">
        <f>IF(Z713="","",IFERROR(VLOOKUP(Z713,GLAPS정리!$AX$2:$AZ$17,3,0),""))</f>
        <v/>
      </c>
      <c r="BZ713" s="2" t="e">
        <f>VLOOKUP(H713,GLAPS정리!$L$3:$O$133,2,0)</f>
        <v>#N/A</v>
      </c>
      <c r="CA713" s="2" t="str">
        <f t="shared" si="172"/>
        <v/>
      </c>
      <c r="CL713" s="2" t="e">
        <f>VLOOKUP(AI713,GLAPS정리!$BT$3:$BV$26,3,0)</f>
        <v>#N/A</v>
      </c>
    </row>
    <row r="714" spans="2:90" ht="20.45" customHeight="1">
      <c r="B714" s="13"/>
      <c r="G714" s="3"/>
      <c r="J714" s="3"/>
      <c r="Q714" s="3" t="str">
        <f t="shared" si="160"/>
        <v/>
      </c>
      <c r="R714" s="3" t="str">
        <f t="shared" si="161"/>
        <v/>
      </c>
      <c r="S714" s="3" t="str">
        <f t="shared" si="162"/>
        <v/>
      </c>
      <c r="X714" s="13"/>
      <c r="Y714" s="13"/>
      <c r="Z714" s="91"/>
      <c r="AC714" s="2">
        <f t="shared" si="163"/>
        <v>20</v>
      </c>
      <c r="AD714" s="2" t="str">
        <f>IFERROR(INDEX(GLAPS정리!$D$2:$D$50,MATCH(I714,GLAPS정리!$A$2:$A$50,0)),IFERROR(INDEX(GLAPS정리!$D$2:$D$50,MATCH(I714,GLAPS정리!$B$2:$B$50,0)),""))</f>
        <v/>
      </c>
      <c r="AF714" s="2" t="str">
        <f t="shared" si="164"/>
        <v>KR10</v>
      </c>
      <c r="AI714" s="2" t="e">
        <f>VLOOKUP(F714,GLAPS정리!$G$3:$J$114,2,0)</f>
        <v>#N/A</v>
      </c>
      <c r="AJ714" s="2" t="e">
        <f>IF(Z714="울산정일","KRONS",IF(Z714="울산신항","KRUSN",IF(OR(Z714="선광종합물류(인천여객)",Z714="인천여객(인천여객)"),"KRINF",IF(OR(Z714="선광인천보세(인천신)",Z714="한진인천(인천신)",Z714="선광인천신항(인천신)",Z714="인천더로지스(인천신)"),"KRINN",IF(OR(Z714="인천진아(인천항)",Z714="인천E1(인천항)",Z714="인천SM경인터미널(인천항)",Z714="인천항(인천항)",Z714="인천우련(인천항)",Z714="인천항8부두(인천항)"),"KRINC",VLOOKUP(K714,GLAPS정리!$BB$2:$BC$33,2,0))))))</f>
        <v>#N/A</v>
      </c>
      <c r="AL714" s="2">
        <f t="shared" si="165"/>
        <v>5010001</v>
      </c>
      <c r="AN714" s="70" t="str">
        <f t="shared" si="166"/>
        <v>1900-01-00</v>
      </c>
      <c r="AO714" s="2" t="str">
        <f t="shared" si="167"/>
        <v/>
      </c>
      <c r="AP714" s="2" t="e">
        <f>VLOOKUP(C714,GLAPS정리!$AX$2:$AZ$17,3,0)</f>
        <v>#N/A</v>
      </c>
      <c r="AR714" s="2">
        <f t="shared" si="173"/>
        <v>0</v>
      </c>
      <c r="AX714" s="2" t="e">
        <f>VLOOKUP(L714,GLAPS정리!$V$3:$W$180,2,0)</f>
        <v>#N/A</v>
      </c>
      <c r="BM714" s="2" t="str">
        <f t="shared" si="168"/>
        <v xml:space="preserve"> </v>
      </c>
      <c r="BN714" s="2">
        <f t="shared" si="169"/>
        <v>1</v>
      </c>
      <c r="BR714" s="2" t="str">
        <f t="shared" si="170"/>
        <v/>
      </c>
      <c r="BS714" s="2" t="str">
        <f t="shared" si="171"/>
        <v/>
      </c>
      <c r="BV714" s="2" t="e">
        <f>VLOOKUP(O714,GLAPS정리!$BH$2:$BI$94,2,0)</f>
        <v>#N/A</v>
      </c>
      <c r="BW714" s="2" t="str">
        <f>IF(OR(Z714="동원",Z714="세방",Z714="한타"),"",IFERROR(INDEX(GLAPS정리!$BI$2:$BI$101,MATCH(Z714,GLAPS정리!$BH$2:$BH$101,0)),""))</f>
        <v/>
      </c>
      <c r="BX714" s="2" t="str">
        <f>IF(Z714="","",IFERROR(VLOOKUP(Z714,GLAPS정리!$AX$2:$AZ$17,3,0),""))</f>
        <v/>
      </c>
      <c r="BZ714" s="2" t="e">
        <f>VLOOKUP(H714,GLAPS정리!$L$3:$O$133,2,0)</f>
        <v>#N/A</v>
      </c>
      <c r="CA714" s="2" t="str">
        <f t="shared" si="172"/>
        <v/>
      </c>
      <c r="CL714" s="2" t="e">
        <f>VLOOKUP(AI714,GLAPS정리!$BT$3:$BV$26,3,0)</f>
        <v>#N/A</v>
      </c>
    </row>
    <row r="715" spans="2:90" ht="20.45" customHeight="1">
      <c r="B715" s="13"/>
      <c r="G715" s="3"/>
      <c r="J715" s="3"/>
      <c r="Q715" s="3" t="str">
        <f t="shared" si="160"/>
        <v/>
      </c>
      <c r="R715" s="3" t="str">
        <f t="shared" si="161"/>
        <v/>
      </c>
      <c r="S715" s="3" t="str">
        <f t="shared" si="162"/>
        <v/>
      </c>
      <c r="X715" s="13"/>
      <c r="Y715" s="13"/>
      <c r="Z715" s="91"/>
      <c r="AC715" s="2">
        <f t="shared" si="163"/>
        <v>20</v>
      </c>
      <c r="AD715" s="2" t="str">
        <f>IFERROR(INDEX(GLAPS정리!$D$2:$D$50,MATCH(I715,GLAPS정리!$A$2:$A$50,0)),IFERROR(INDEX(GLAPS정리!$D$2:$D$50,MATCH(I715,GLAPS정리!$B$2:$B$50,0)),""))</f>
        <v/>
      </c>
      <c r="AF715" s="2" t="str">
        <f t="shared" si="164"/>
        <v>KR10</v>
      </c>
      <c r="AI715" s="2" t="e">
        <f>VLOOKUP(F715,GLAPS정리!$G$3:$J$114,2,0)</f>
        <v>#N/A</v>
      </c>
      <c r="AJ715" s="2" t="e">
        <f>IF(Z715="울산정일","KRONS",IF(Z715="울산신항","KRUSN",IF(OR(Z715="선광종합물류(인천여객)",Z715="인천여객(인천여객)"),"KRINF",IF(OR(Z715="선광인천보세(인천신)",Z715="한진인천(인천신)",Z715="선광인천신항(인천신)",Z715="인천더로지스(인천신)"),"KRINN",IF(OR(Z715="인천진아(인천항)",Z715="인천E1(인천항)",Z715="인천SM경인터미널(인천항)",Z715="인천항(인천항)",Z715="인천우련(인천항)",Z715="인천항8부두(인천항)"),"KRINC",VLOOKUP(K715,GLAPS정리!$BB$2:$BC$33,2,0))))))</f>
        <v>#N/A</v>
      </c>
      <c r="AL715" s="2">
        <f t="shared" si="165"/>
        <v>5010001</v>
      </c>
      <c r="AN715" s="70" t="str">
        <f t="shared" si="166"/>
        <v>1900-01-00</v>
      </c>
      <c r="AO715" s="2" t="str">
        <f t="shared" si="167"/>
        <v/>
      </c>
      <c r="AP715" s="2" t="e">
        <f>VLOOKUP(C715,GLAPS정리!$AX$2:$AZ$17,3,0)</f>
        <v>#N/A</v>
      </c>
      <c r="AR715" s="2">
        <f t="shared" si="173"/>
        <v>0</v>
      </c>
      <c r="AX715" s="2" t="e">
        <f>VLOOKUP(L715,GLAPS정리!$V$3:$W$180,2,0)</f>
        <v>#N/A</v>
      </c>
      <c r="BM715" s="2" t="str">
        <f t="shared" si="168"/>
        <v xml:space="preserve"> </v>
      </c>
      <c r="BN715" s="2">
        <f t="shared" si="169"/>
        <v>1</v>
      </c>
      <c r="BR715" s="2" t="str">
        <f t="shared" si="170"/>
        <v/>
      </c>
      <c r="BS715" s="2" t="str">
        <f t="shared" si="171"/>
        <v/>
      </c>
      <c r="BV715" s="2" t="e">
        <f>VLOOKUP(O715,GLAPS정리!$BH$2:$BI$94,2,0)</f>
        <v>#N/A</v>
      </c>
      <c r="BW715" s="2" t="str">
        <f>IF(OR(Z715="동원",Z715="세방",Z715="한타"),"",IFERROR(INDEX(GLAPS정리!$BI$2:$BI$101,MATCH(Z715,GLAPS정리!$BH$2:$BH$101,0)),""))</f>
        <v/>
      </c>
      <c r="BX715" s="2" t="str">
        <f>IF(Z715="","",IFERROR(VLOOKUP(Z715,GLAPS정리!$AX$2:$AZ$17,3,0),""))</f>
        <v/>
      </c>
      <c r="BZ715" s="2" t="e">
        <f>VLOOKUP(H715,GLAPS정리!$L$3:$O$133,2,0)</f>
        <v>#N/A</v>
      </c>
      <c r="CA715" s="2" t="str">
        <f t="shared" si="172"/>
        <v/>
      </c>
      <c r="CL715" s="2" t="e">
        <f>VLOOKUP(AI715,GLAPS정리!$BT$3:$BV$26,3,0)</f>
        <v>#N/A</v>
      </c>
    </row>
    <row r="716" spans="2:90" ht="20.45" customHeight="1">
      <c r="B716" s="13"/>
      <c r="G716" s="3"/>
      <c r="J716" s="3"/>
      <c r="Q716" s="3" t="str">
        <f t="shared" si="160"/>
        <v/>
      </c>
      <c r="R716" s="3" t="str">
        <f t="shared" si="161"/>
        <v/>
      </c>
      <c r="S716" s="3" t="str">
        <f t="shared" si="162"/>
        <v/>
      </c>
      <c r="X716" s="13"/>
      <c r="Y716" s="13"/>
      <c r="Z716" s="91"/>
      <c r="AC716" s="2">
        <f t="shared" si="163"/>
        <v>20</v>
      </c>
      <c r="AD716" s="2" t="str">
        <f>IFERROR(INDEX(GLAPS정리!$D$2:$D$50,MATCH(I716,GLAPS정리!$A$2:$A$50,0)),IFERROR(INDEX(GLAPS정리!$D$2:$D$50,MATCH(I716,GLAPS정리!$B$2:$B$50,0)),""))</f>
        <v/>
      </c>
      <c r="AF716" s="2" t="str">
        <f t="shared" si="164"/>
        <v>KR10</v>
      </c>
      <c r="AI716" s="2" t="e">
        <f>VLOOKUP(F716,GLAPS정리!$G$3:$J$114,2,0)</f>
        <v>#N/A</v>
      </c>
      <c r="AJ716" s="2" t="e">
        <f>IF(Z716="울산정일","KRONS",IF(Z716="울산신항","KRUSN",IF(OR(Z716="선광종합물류(인천여객)",Z716="인천여객(인천여객)"),"KRINF",IF(OR(Z716="선광인천보세(인천신)",Z716="한진인천(인천신)",Z716="선광인천신항(인천신)",Z716="인천더로지스(인천신)"),"KRINN",IF(OR(Z716="인천진아(인천항)",Z716="인천E1(인천항)",Z716="인천SM경인터미널(인천항)",Z716="인천항(인천항)",Z716="인천우련(인천항)",Z716="인천항8부두(인천항)"),"KRINC",VLOOKUP(K716,GLAPS정리!$BB$2:$BC$33,2,0))))))</f>
        <v>#N/A</v>
      </c>
      <c r="AL716" s="2">
        <f t="shared" si="165"/>
        <v>5010001</v>
      </c>
      <c r="AN716" s="70" t="str">
        <f t="shared" si="166"/>
        <v>1900-01-00</v>
      </c>
      <c r="AO716" s="2" t="str">
        <f t="shared" si="167"/>
        <v/>
      </c>
      <c r="AP716" s="2" t="e">
        <f>VLOOKUP(C716,GLAPS정리!$AX$2:$AZ$17,3,0)</f>
        <v>#N/A</v>
      </c>
      <c r="AR716" s="2">
        <f t="shared" si="173"/>
        <v>0</v>
      </c>
      <c r="AX716" s="2" t="e">
        <f>VLOOKUP(L716,GLAPS정리!$V$3:$W$180,2,0)</f>
        <v>#N/A</v>
      </c>
      <c r="BM716" s="2" t="str">
        <f t="shared" si="168"/>
        <v xml:space="preserve"> </v>
      </c>
      <c r="BN716" s="2">
        <f t="shared" si="169"/>
        <v>1</v>
      </c>
      <c r="BR716" s="2" t="str">
        <f t="shared" si="170"/>
        <v/>
      </c>
      <c r="BS716" s="2" t="str">
        <f t="shared" si="171"/>
        <v/>
      </c>
      <c r="BV716" s="2" t="e">
        <f>VLOOKUP(O716,GLAPS정리!$BH$2:$BI$94,2,0)</f>
        <v>#N/A</v>
      </c>
      <c r="BW716" s="2" t="str">
        <f>IF(OR(Z716="동원",Z716="세방",Z716="한타"),"",IFERROR(INDEX(GLAPS정리!$BI$2:$BI$101,MATCH(Z716,GLAPS정리!$BH$2:$BH$101,0)),""))</f>
        <v/>
      </c>
      <c r="BX716" s="2" t="str">
        <f>IF(Z716="","",IFERROR(VLOOKUP(Z716,GLAPS정리!$AX$2:$AZ$17,3,0),""))</f>
        <v/>
      </c>
      <c r="BZ716" s="2" t="e">
        <f>VLOOKUP(H716,GLAPS정리!$L$3:$O$133,2,0)</f>
        <v>#N/A</v>
      </c>
      <c r="CA716" s="2" t="str">
        <f t="shared" si="172"/>
        <v/>
      </c>
      <c r="CL716" s="2" t="e">
        <f>VLOOKUP(AI716,GLAPS정리!$BT$3:$BV$26,3,0)</f>
        <v>#N/A</v>
      </c>
    </row>
    <row r="717" spans="2:90" ht="20.45" customHeight="1">
      <c r="B717" s="13"/>
      <c r="G717" s="3"/>
      <c r="J717" s="3"/>
      <c r="Q717" s="3" t="str">
        <f t="shared" si="160"/>
        <v/>
      </c>
      <c r="R717" s="3" t="str">
        <f t="shared" si="161"/>
        <v/>
      </c>
      <c r="S717" s="3" t="str">
        <f t="shared" si="162"/>
        <v/>
      </c>
      <c r="X717" s="13"/>
      <c r="Y717" s="13"/>
      <c r="Z717" s="91"/>
      <c r="AC717" s="2">
        <f t="shared" si="163"/>
        <v>20</v>
      </c>
      <c r="AD717" s="2" t="str">
        <f>IFERROR(INDEX(GLAPS정리!$D$2:$D$50,MATCH(I717,GLAPS정리!$A$2:$A$50,0)),IFERROR(INDEX(GLAPS정리!$D$2:$D$50,MATCH(I717,GLAPS정리!$B$2:$B$50,0)),""))</f>
        <v/>
      </c>
      <c r="AF717" s="2" t="str">
        <f t="shared" si="164"/>
        <v>KR10</v>
      </c>
      <c r="AI717" s="2" t="e">
        <f>VLOOKUP(F717,GLAPS정리!$G$3:$J$114,2,0)</f>
        <v>#N/A</v>
      </c>
      <c r="AJ717" s="2" t="e">
        <f>IF(Z717="울산정일","KRONS",IF(Z717="울산신항","KRUSN",IF(OR(Z717="선광종합물류(인천여객)",Z717="인천여객(인천여객)"),"KRINF",IF(OR(Z717="선광인천보세(인천신)",Z717="한진인천(인천신)",Z717="선광인천신항(인천신)",Z717="인천더로지스(인천신)"),"KRINN",IF(OR(Z717="인천진아(인천항)",Z717="인천E1(인천항)",Z717="인천SM경인터미널(인천항)",Z717="인천항(인천항)",Z717="인천우련(인천항)",Z717="인천항8부두(인천항)"),"KRINC",VLOOKUP(K717,GLAPS정리!$BB$2:$BC$33,2,0))))))</f>
        <v>#N/A</v>
      </c>
      <c r="AL717" s="2">
        <f t="shared" si="165"/>
        <v>5010001</v>
      </c>
      <c r="AN717" s="70" t="str">
        <f t="shared" si="166"/>
        <v>1900-01-00</v>
      </c>
      <c r="AO717" s="2" t="str">
        <f t="shared" si="167"/>
        <v/>
      </c>
      <c r="AP717" s="2" t="e">
        <f>VLOOKUP(C717,GLAPS정리!$AX$2:$AZ$17,3,0)</f>
        <v>#N/A</v>
      </c>
      <c r="AR717" s="2">
        <f t="shared" si="173"/>
        <v>0</v>
      </c>
      <c r="AX717" s="2" t="e">
        <f>VLOOKUP(L717,GLAPS정리!$V$3:$W$180,2,0)</f>
        <v>#N/A</v>
      </c>
      <c r="BM717" s="2" t="str">
        <f t="shared" si="168"/>
        <v xml:space="preserve"> </v>
      </c>
      <c r="BN717" s="2">
        <f t="shared" si="169"/>
        <v>1</v>
      </c>
      <c r="BR717" s="2" t="str">
        <f t="shared" si="170"/>
        <v/>
      </c>
      <c r="BS717" s="2" t="str">
        <f t="shared" si="171"/>
        <v/>
      </c>
      <c r="BV717" s="2" t="e">
        <f>VLOOKUP(O717,GLAPS정리!$BH$2:$BI$94,2,0)</f>
        <v>#N/A</v>
      </c>
      <c r="BW717" s="2" t="str">
        <f>IF(OR(Z717="동원",Z717="세방",Z717="한타"),"",IFERROR(INDEX(GLAPS정리!$BI$2:$BI$101,MATCH(Z717,GLAPS정리!$BH$2:$BH$101,0)),""))</f>
        <v/>
      </c>
      <c r="BX717" s="2" t="str">
        <f>IF(Z717="","",IFERROR(VLOOKUP(Z717,GLAPS정리!$AX$2:$AZ$17,3,0),""))</f>
        <v/>
      </c>
      <c r="BZ717" s="2" t="e">
        <f>VLOOKUP(H717,GLAPS정리!$L$3:$O$133,2,0)</f>
        <v>#N/A</v>
      </c>
      <c r="CA717" s="2" t="str">
        <f t="shared" si="172"/>
        <v/>
      </c>
      <c r="CL717" s="2" t="e">
        <f>VLOOKUP(AI717,GLAPS정리!$BT$3:$BV$26,3,0)</f>
        <v>#N/A</v>
      </c>
    </row>
    <row r="718" spans="2:90" ht="20.45" customHeight="1">
      <c r="B718" s="13"/>
      <c r="G718" s="3"/>
      <c r="J718" s="3"/>
      <c r="Q718" s="3" t="str">
        <f t="shared" si="160"/>
        <v/>
      </c>
      <c r="R718" s="3" t="str">
        <f t="shared" si="161"/>
        <v/>
      </c>
      <c r="S718" s="3" t="str">
        <f t="shared" si="162"/>
        <v/>
      </c>
      <c r="X718" s="13"/>
      <c r="Y718" s="13"/>
      <c r="Z718" s="91"/>
      <c r="AC718" s="2">
        <f t="shared" si="163"/>
        <v>20</v>
      </c>
      <c r="AD718" s="2" t="str">
        <f>IFERROR(INDEX(GLAPS정리!$D$2:$D$50,MATCH(I718,GLAPS정리!$A$2:$A$50,0)),IFERROR(INDEX(GLAPS정리!$D$2:$D$50,MATCH(I718,GLAPS정리!$B$2:$B$50,0)),""))</f>
        <v/>
      </c>
      <c r="AF718" s="2" t="str">
        <f t="shared" si="164"/>
        <v>KR10</v>
      </c>
      <c r="AI718" s="2" t="e">
        <f>VLOOKUP(F718,GLAPS정리!$G$3:$J$114,2,0)</f>
        <v>#N/A</v>
      </c>
      <c r="AJ718" s="2" t="e">
        <f>IF(Z718="울산정일","KRONS",IF(Z718="울산신항","KRUSN",IF(OR(Z718="선광종합물류(인천여객)",Z718="인천여객(인천여객)"),"KRINF",IF(OR(Z718="선광인천보세(인천신)",Z718="한진인천(인천신)",Z718="선광인천신항(인천신)",Z718="인천더로지스(인천신)"),"KRINN",IF(OR(Z718="인천진아(인천항)",Z718="인천E1(인천항)",Z718="인천SM경인터미널(인천항)",Z718="인천항(인천항)",Z718="인천우련(인천항)",Z718="인천항8부두(인천항)"),"KRINC",VLOOKUP(K718,GLAPS정리!$BB$2:$BC$33,2,0))))))</f>
        <v>#N/A</v>
      </c>
      <c r="AL718" s="2">
        <f t="shared" si="165"/>
        <v>5010001</v>
      </c>
      <c r="AN718" s="70" t="str">
        <f t="shared" si="166"/>
        <v>1900-01-00</v>
      </c>
      <c r="AO718" s="2" t="str">
        <f t="shared" si="167"/>
        <v/>
      </c>
      <c r="AP718" s="2" t="e">
        <f>VLOOKUP(C718,GLAPS정리!$AX$2:$AZ$17,3,0)</f>
        <v>#N/A</v>
      </c>
      <c r="AR718" s="2">
        <f t="shared" si="173"/>
        <v>0</v>
      </c>
      <c r="AX718" s="2" t="e">
        <f>VLOOKUP(L718,GLAPS정리!$V$3:$W$180,2,0)</f>
        <v>#N/A</v>
      </c>
      <c r="BM718" s="2" t="str">
        <f t="shared" si="168"/>
        <v xml:space="preserve"> </v>
      </c>
      <c r="BN718" s="2">
        <f t="shared" si="169"/>
        <v>1</v>
      </c>
      <c r="BR718" s="2" t="str">
        <f t="shared" si="170"/>
        <v/>
      </c>
      <c r="BS718" s="2" t="str">
        <f t="shared" si="171"/>
        <v/>
      </c>
      <c r="BV718" s="2" t="e">
        <f>VLOOKUP(O718,GLAPS정리!$BH$2:$BI$94,2,0)</f>
        <v>#N/A</v>
      </c>
      <c r="BW718" s="2" t="str">
        <f>IF(OR(Z718="동원",Z718="세방",Z718="한타"),"",IFERROR(INDEX(GLAPS정리!$BI$2:$BI$101,MATCH(Z718,GLAPS정리!$BH$2:$BH$101,0)),""))</f>
        <v/>
      </c>
      <c r="BX718" s="2" t="str">
        <f>IF(Z718="","",IFERROR(VLOOKUP(Z718,GLAPS정리!$AX$2:$AZ$17,3,0),""))</f>
        <v/>
      </c>
      <c r="BZ718" s="2" t="e">
        <f>VLOOKUP(H718,GLAPS정리!$L$3:$O$133,2,0)</f>
        <v>#N/A</v>
      </c>
      <c r="CA718" s="2" t="str">
        <f t="shared" si="172"/>
        <v/>
      </c>
      <c r="CL718" s="2" t="e">
        <f>VLOOKUP(AI718,GLAPS정리!$BT$3:$BV$26,3,0)</f>
        <v>#N/A</v>
      </c>
    </row>
    <row r="719" spans="2:90" ht="20.45" customHeight="1">
      <c r="B719" s="13"/>
      <c r="G719" s="3"/>
      <c r="J719" s="3"/>
      <c r="Q719" s="3" t="str">
        <f t="shared" si="160"/>
        <v/>
      </c>
      <c r="R719" s="3" t="str">
        <f t="shared" si="161"/>
        <v/>
      </c>
      <c r="S719" s="3" t="str">
        <f t="shared" si="162"/>
        <v/>
      </c>
      <c r="X719" s="13"/>
      <c r="Y719" s="13"/>
      <c r="Z719" s="91"/>
      <c r="AC719" s="2">
        <f t="shared" si="163"/>
        <v>20</v>
      </c>
      <c r="AD719" s="2" t="str">
        <f>IFERROR(INDEX(GLAPS정리!$D$2:$D$50,MATCH(I719,GLAPS정리!$A$2:$A$50,0)),IFERROR(INDEX(GLAPS정리!$D$2:$D$50,MATCH(I719,GLAPS정리!$B$2:$B$50,0)),""))</f>
        <v/>
      </c>
      <c r="AF719" s="2" t="str">
        <f t="shared" si="164"/>
        <v>KR10</v>
      </c>
      <c r="AI719" s="2" t="e">
        <f>VLOOKUP(F719,GLAPS정리!$G$3:$J$114,2,0)</f>
        <v>#N/A</v>
      </c>
      <c r="AJ719" s="2" t="e">
        <f>IF(Z719="울산정일","KRONS",IF(Z719="울산신항","KRUSN",IF(OR(Z719="선광종합물류(인천여객)",Z719="인천여객(인천여객)"),"KRINF",IF(OR(Z719="선광인천보세(인천신)",Z719="한진인천(인천신)",Z719="선광인천신항(인천신)",Z719="인천더로지스(인천신)"),"KRINN",IF(OR(Z719="인천진아(인천항)",Z719="인천E1(인천항)",Z719="인천SM경인터미널(인천항)",Z719="인천항(인천항)",Z719="인천우련(인천항)",Z719="인천항8부두(인천항)"),"KRINC",VLOOKUP(K719,GLAPS정리!$BB$2:$BC$33,2,0))))))</f>
        <v>#N/A</v>
      </c>
      <c r="AL719" s="2">
        <f t="shared" si="165"/>
        <v>5010001</v>
      </c>
      <c r="AN719" s="70" t="str">
        <f t="shared" si="166"/>
        <v>1900-01-00</v>
      </c>
      <c r="AO719" s="2" t="str">
        <f t="shared" si="167"/>
        <v/>
      </c>
      <c r="AP719" s="2" t="e">
        <f>VLOOKUP(C719,GLAPS정리!$AX$2:$AZ$17,3,0)</f>
        <v>#N/A</v>
      </c>
      <c r="AR719" s="2">
        <f t="shared" si="173"/>
        <v>0</v>
      </c>
      <c r="AX719" s="2" t="e">
        <f>VLOOKUP(L719,GLAPS정리!$V$3:$W$180,2,0)</f>
        <v>#N/A</v>
      </c>
      <c r="BM719" s="2" t="str">
        <f t="shared" si="168"/>
        <v xml:space="preserve"> </v>
      </c>
      <c r="BN719" s="2">
        <f t="shared" si="169"/>
        <v>1</v>
      </c>
      <c r="BR719" s="2" t="str">
        <f t="shared" si="170"/>
        <v/>
      </c>
      <c r="BS719" s="2" t="str">
        <f t="shared" si="171"/>
        <v/>
      </c>
      <c r="BV719" s="2" t="e">
        <f>VLOOKUP(O719,GLAPS정리!$BH$2:$BI$94,2,0)</f>
        <v>#N/A</v>
      </c>
      <c r="BW719" s="2" t="str">
        <f>IF(OR(Z719="동원",Z719="세방",Z719="한타"),"",IFERROR(INDEX(GLAPS정리!$BI$2:$BI$101,MATCH(Z719,GLAPS정리!$BH$2:$BH$101,0)),""))</f>
        <v/>
      </c>
      <c r="BX719" s="2" t="str">
        <f>IF(Z719="","",IFERROR(VLOOKUP(Z719,GLAPS정리!$AX$2:$AZ$17,3,0),""))</f>
        <v/>
      </c>
      <c r="BZ719" s="2" t="e">
        <f>VLOOKUP(H719,GLAPS정리!$L$3:$O$133,2,0)</f>
        <v>#N/A</v>
      </c>
      <c r="CA719" s="2" t="str">
        <f t="shared" si="172"/>
        <v/>
      </c>
      <c r="CL719" s="2" t="e">
        <f>VLOOKUP(AI719,GLAPS정리!$BT$3:$BV$26,3,0)</f>
        <v>#N/A</v>
      </c>
    </row>
    <row r="720" spans="2:90" ht="20.45" customHeight="1">
      <c r="B720" s="13"/>
      <c r="G720" s="3"/>
      <c r="J720" s="3"/>
      <c r="Q720" s="3" t="str">
        <f t="shared" si="160"/>
        <v/>
      </c>
      <c r="R720" s="3" t="str">
        <f t="shared" si="161"/>
        <v/>
      </c>
      <c r="S720" s="3" t="str">
        <f t="shared" si="162"/>
        <v/>
      </c>
      <c r="X720" s="13"/>
      <c r="Y720" s="13"/>
      <c r="Z720" s="91"/>
      <c r="AC720" s="2">
        <f t="shared" si="163"/>
        <v>20</v>
      </c>
      <c r="AD720" s="2" t="str">
        <f>IFERROR(INDEX(GLAPS정리!$D$2:$D$50,MATCH(I720,GLAPS정리!$A$2:$A$50,0)),IFERROR(INDEX(GLAPS정리!$D$2:$D$50,MATCH(I720,GLAPS정리!$B$2:$B$50,0)),""))</f>
        <v/>
      </c>
      <c r="AF720" s="2" t="str">
        <f t="shared" si="164"/>
        <v>KR10</v>
      </c>
      <c r="AI720" s="2" t="e">
        <f>VLOOKUP(F720,GLAPS정리!$G$3:$J$114,2,0)</f>
        <v>#N/A</v>
      </c>
      <c r="AJ720" s="2" t="e">
        <f>IF(Z720="울산정일","KRONS",IF(Z720="울산신항","KRUSN",IF(OR(Z720="선광종합물류(인천여객)",Z720="인천여객(인천여객)"),"KRINF",IF(OR(Z720="선광인천보세(인천신)",Z720="한진인천(인천신)",Z720="선광인천신항(인천신)",Z720="인천더로지스(인천신)"),"KRINN",IF(OR(Z720="인천진아(인천항)",Z720="인천E1(인천항)",Z720="인천SM경인터미널(인천항)",Z720="인천항(인천항)",Z720="인천우련(인천항)",Z720="인천항8부두(인천항)"),"KRINC",VLOOKUP(K720,GLAPS정리!$BB$2:$BC$33,2,0))))))</f>
        <v>#N/A</v>
      </c>
      <c r="AL720" s="2">
        <f t="shared" si="165"/>
        <v>5010001</v>
      </c>
      <c r="AN720" s="70" t="str">
        <f t="shared" si="166"/>
        <v>1900-01-00</v>
      </c>
      <c r="AO720" s="2" t="str">
        <f t="shared" si="167"/>
        <v/>
      </c>
      <c r="AP720" s="2" t="e">
        <f>VLOOKUP(C720,GLAPS정리!$AX$2:$AZ$17,3,0)</f>
        <v>#N/A</v>
      </c>
      <c r="AR720" s="2">
        <f t="shared" si="173"/>
        <v>0</v>
      </c>
      <c r="AX720" s="2" t="e">
        <f>VLOOKUP(L720,GLAPS정리!$V$3:$W$180,2,0)</f>
        <v>#N/A</v>
      </c>
      <c r="BM720" s="2" t="str">
        <f t="shared" si="168"/>
        <v xml:space="preserve"> </v>
      </c>
      <c r="BN720" s="2">
        <f t="shared" si="169"/>
        <v>1</v>
      </c>
      <c r="BR720" s="2" t="str">
        <f t="shared" si="170"/>
        <v/>
      </c>
      <c r="BS720" s="2" t="str">
        <f t="shared" si="171"/>
        <v/>
      </c>
      <c r="BV720" s="2" t="e">
        <f>VLOOKUP(O720,GLAPS정리!$BH$2:$BI$94,2,0)</f>
        <v>#N/A</v>
      </c>
      <c r="BW720" s="2" t="str">
        <f>IF(OR(Z720="동원",Z720="세방",Z720="한타"),"",IFERROR(INDEX(GLAPS정리!$BI$2:$BI$101,MATCH(Z720,GLAPS정리!$BH$2:$BH$101,0)),""))</f>
        <v/>
      </c>
      <c r="BX720" s="2" t="str">
        <f>IF(Z720="","",IFERROR(VLOOKUP(Z720,GLAPS정리!$AX$2:$AZ$17,3,0),""))</f>
        <v/>
      </c>
      <c r="BZ720" s="2" t="e">
        <f>VLOOKUP(H720,GLAPS정리!$L$3:$O$133,2,0)</f>
        <v>#N/A</v>
      </c>
      <c r="CA720" s="2" t="str">
        <f t="shared" si="172"/>
        <v/>
      </c>
      <c r="CL720" s="2" t="e">
        <f>VLOOKUP(AI720,GLAPS정리!$BT$3:$BV$26,3,0)</f>
        <v>#N/A</v>
      </c>
    </row>
    <row r="721" spans="2:90" ht="20.45" customHeight="1">
      <c r="B721" s="13"/>
      <c r="G721" s="3"/>
      <c r="J721" s="3"/>
      <c r="Q721" s="3" t="str">
        <f t="shared" si="160"/>
        <v/>
      </c>
      <c r="R721" s="3" t="str">
        <f t="shared" si="161"/>
        <v/>
      </c>
      <c r="S721" s="3" t="str">
        <f t="shared" si="162"/>
        <v/>
      </c>
      <c r="X721" s="13"/>
      <c r="Y721" s="13"/>
      <c r="Z721" s="91"/>
      <c r="AC721" s="2">
        <f t="shared" si="163"/>
        <v>20</v>
      </c>
      <c r="AD721" s="2" t="str">
        <f>IFERROR(INDEX(GLAPS정리!$D$2:$D$50,MATCH(I721,GLAPS정리!$A$2:$A$50,0)),IFERROR(INDEX(GLAPS정리!$D$2:$D$50,MATCH(I721,GLAPS정리!$B$2:$B$50,0)),""))</f>
        <v/>
      </c>
      <c r="AF721" s="2" t="str">
        <f t="shared" si="164"/>
        <v>KR10</v>
      </c>
      <c r="AI721" s="2" t="e">
        <f>VLOOKUP(F721,GLAPS정리!$G$3:$J$114,2,0)</f>
        <v>#N/A</v>
      </c>
      <c r="AJ721" s="2" t="e">
        <f>IF(Z721="울산정일","KRONS",IF(Z721="울산신항","KRUSN",IF(OR(Z721="선광종합물류(인천여객)",Z721="인천여객(인천여객)"),"KRINF",IF(OR(Z721="선광인천보세(인천신)",Z721="한진인천(인천신)",Z721="선광인천신항(인천신)",Z721="인천더로지스(인천신)"),"KRINN",IF(OR(Z721="인천진아(인천항)",Z721="인천E1(인천항)",Z721="인천SM경인터미널(인천항)",Z721="인천항(인천항)",Z721="인천우련(인천항)",Z721="인천항8부두(인천항)"),"KRINC",VLOOKUP(K721,GLAPS정리!$BB$2:$BC$33,2,0))))))</f>
        <v>#N/A</v>
      </c>
      <c r="AL721" s="2">
        <f t="shared" si="165"/>
        <v>5010001</v>
      </c>
      <c r="AN721" s="70" t="str">
        <f t="shared" si="166"/>
        <v>1900-01-00</v>
      </c>
      <c r="AO721" s="2" t="str">
        <f t="shared" si="167"/>
        <v/>
      </c>
      <c r="AP721" s="2" t="e">
        <f>VLOOKUP(C721,GLAPS정리!$AX$2:$AZ$17,3,0)</f>
        <v>#N/A</v>
      </c>
      <c r="AR721" s="2">
        <f t="shared" si="173"/>
        <v>0</v>
      </c>
      <c r="AX721" s="2" t="e">
        <f>VLOOKUP(L721,GLAPS정리!$V$3:$W$180,2,0)</f>
        <v>#N/A</v>
      </c>
      <c r="BM721" s="2" t="str">
        <f t="shared" si="168"/>
        <v xml:space="preserve"> </v>
      </c>
      <c r="BN721" s="2">
        <f t="shared" si="169"/>
        <v>1</v>
      </c>
      <c r="BR721" s="2" t="str">
        <f t="shared" si="170"/>
        <v/>
      </c>
      <c r="BS721" s="2" t="str">
        <f t="shared" si="171"/>
        <v/>
      </c>
      <c r="BV721" s="2" t="e">
        <f>VLOOKUP(O721,GLAPS정리!$BH$2:$BI$94,2,0)</f>
        <v>#N/A</v>
      </c>
      <c r="BW721" s="2" t="str">
        <f>IF(OR(Z721="동원",Z721="세방",Z721="한타"),"",IFERROR(INDEX(GLAPS정리!$BI$2:$BI$101,MATCH(Z721,GLAPS정리!$BH$2:$BH$101,0)),""))</f>
        <v/>
      </c>
      <c r="BX721" s="2" t="str">
        <f>IF(Z721="","",IFERROR(VLOOKUP(Z721,GLAPS정리!$AX$2:$AZ$17,3,0),""))</f>
        <v/>
      </c>
      <c r="BZ721" s="2" t="e">
        <f>VLOOKUP(H721,GLAPS정리!$L$3:$O$133,2,0)</f>
        <v>#N/A</v>
      </c>
      <c r="CA721" s="2" t="str">
        <f t="shared" si="172"/>
        <v/>
      </c>
      <c r="CL721" s="2" t="e">
        <f>VLOOKUP(AI721,GLAPS정리!$BT$3:$BV$26,3,0)</f>
        <v>#N/A</v>
      </c>
    </row>
    <row r="722" spans="2:90" ht="20.45" customHeight="1">
      <c r="B722" s="13"/>
      <c r="G722" s="3"/>
      <c r="J722" s="3"/>
      <c r="Q722" s="3" t="str">
        <f t="shared" si="160"/>
        <v/>
      </c>
      <c r="R722" s="3" t="str">
        <f t="shared" si="161"/>
        <v/>
      </c>
      <c r="S722" s="3" t="str">
        <f t="shared" si="162"/>
        <v/>
      </c>
      <c r="X722" s="13"/>
      <c r="Y722" s="13"/>
      <c r="Z722" s="91"/>
      <c r="AC722" s="2">
        <f t="shared" si="163"/>
        <v>20</v>
      </c>
      <c r="AD722" s="2" t="str">
        <f>IFERROR(INDEX(GLAPS정리!$D$2:$D$50,MATCH(I722,GLAPS정리!$A$2:$A$50,0)),IFERROR(INDEX(GLAPS정리!$D$2:$D$50,MATCH(I722,GLAPS정리!$B$2:$B$50,0)),""))</f>
        <v/>
      </c>
      <c r="AF722" s="2" t="str">
        <f t="shared" si="164"/>
        <v>KR10</v>
      </c>
      <c r="AI722" s="2" t="e">
        <f>VLOOKUP(F722,GLAPS정리!$G$3:$J$114,2,0)</f>
        <v>#N/A</v>
      </c>
      <c r="AJ722" s="2" t="e">
        <f>IF(Z722="울산정일","KRONS",IF(Z722="울산신항","KRUSN",IF(OR(Z722="선광종합물류(인천여객)",Z722="인천여객(인천여객)"),"KRINF",IF(OR(Z722="선광인천보세(인천신)",Z722="한진인천(인천신)",Z722="선광인천신항(인천신)",Z722="인천더로지스(인천신)"),"KRINN",IF(OR(Z722="인천진아(인천항)",Z722="인천E1(인천항)",Z722="인천SM경인터미널(인천항)",Z722="인천항(인천항)",Z722="인천우련(인천항)",Z722="인천항8부두(인천항)"),"KRINC",VLOOKUP(K722,GLAPS정리!$BB$2:$BC$33,2,0))))))</f>
        <v>#N/A</v>
      </c>
      <c r="AL722" s="2">
        <f t="shared" si="165"/>
        <v>5010001</v>
      </c>
      <c r="AN722" s="70" t="str">
        <f t="shared" si="166"/>
        <v>1900-01-00</v>
      </c>
      <c r="AO722" s="2" t="str">
        <f t="shared" si="167"/>
        <v/>
      </c>
      <c r="AP722" s="2" t="e">
        <f>VLOOKUP(C722,GLAPS정리!$AX$2:$AZ$17,3,0)</f>
        <v>#N/A</v>
      </c>
      <c r="AR722" s="2">
        <f t="shared" si="173"/>
        <v>0</v>
      </c>
      <c r="AX722" s="2" t="e">
        <f>VLOOKUP(L722,GLAPS정리!$V$3:$W$180,2,0)</f>
        <v>#N/A</v>
      </c>
      <c r="BM722" s="2" t="str">
        <f t="shared" si="168"/>
        <v xml:space="preserve"> </v>
      </c>
      <c r="BN722" s="2">
        <f t="shared" si="169"/>
        <v>1</v>
      </c>
      <c r="BR722" s="2" t="str">
        <f t="shared" si="170"/>
        <v/>
      </c>
      <c r="BS722" s="2" t="str">
        <f t="shared" si="171"/>
        <v/>
      </c>
      <c r="BV722" s="2" t="e">
        <f>VLOOKUP(O722,GLAPS정리!$BH$2:$BI$94,2,0)</f>
        <v>#N/A</v>
      </c>
      <c r="BW722" s="2" t="str">
        <f>IF(OR(Z722="동원",Z722="세방",Z722="한타"),"",IFERROR(INDEX(GLAPS정리!$BI$2:$BI$101,MATCH(Z722,GLAPS정리!$BH$2:$BH$101,0)),""))</f>
        <v/>
      </c>
      <c r="BX722" s="2" t="str">
        <f>IF(Z722="","",IFERROR(VLOOKUP(Z722,GLAPS정리!$AX$2:$AZ$17,3,0),""))</f>
        <v/>
      </c>
      <c r="BZ722" s="2" t="e">
        <f>VLOOKUP(H722,GLAPS정리!$L$3:$O$133,2,0)</f>
        <v>#N/A</v>
      </c>
      <c r="CA722" s="2" t="str">
        <f t="shared" si="172"/>
        <v/>
      </c>
      <c r="CL722" s="2" t="e">
        <f>VLOOKUP(AI722,GLAPS정리!$BT$3:$BV$26,3,0)</f>
        <v>#N/A</v>
      </c>
    </row>
    <row r="723" spans="2:90" ht="20.45" customHeight="1">
      <c r="B723" s="13"/>
      <c r="G723" s="3"/>
      <c r="J723" s="3"/>
      <c r="Q723" s="3" t="str">
        <f t="shared" si="160"/>
        <v/>
      </c>
      <c r="R723" s="3" t="str">
        <f t="shared" si="161"/>
        <v/>
      </c>
      <c r="S723" s="3" t="str">
        <f t="shared" si="162"/>
        <v/>
      </c>
      <c r="X723" s="13"/>
      <c r="Y723" s="13"/>
      <c r="Z723" s="91"/>
      <c r="AC723" s="2">
        <f t="shared" si="163"/>
        <v>20</v>
      </c>
      <c r="AD723" s="2" t="str">
        <f>IFERROR(INDEX(GLAPS정리!$D$2:$D$50,MATCH(I723,GLAPS정리!$A$2:$A$50,0)),IFERROR(INDEX(GLAPS정리!$D$2:$D$50,MATCH(I723,GLAPS정리!$B$2:$B$50,0)),""))</f>
        <v/>
      </c>
      <c r="AF723" s="2" t="str">
        <f t="shared" si="164"/>
        <v>KR10</v>
      </c>
      <c r="AI723" s="2" t="e">
        <f>VLOOKUP(F723,GLAPS정리!$G$3:$J$114,2,0)</f>
        <v>#N/A</v>
      </c>
      <c r="AJ723" s="2" t="e">
        <f>IF(Z723="울산정일","KRONS",IF(Z723="울산신항","KRUSN",IF(OR(Z723="선광종합물류(인천여객)",Z723="인천여객(인천여객)"),"KRINF",IF(OR(Z723="선광인천보세(인천신)",Z723="한진인천(인천신)",Z723="선광인천신항(인천신)",Z723="인천더로지스(인천신)"),"KRINN",IF(OR(Z723="인천진아(인천항)",Z723="인천E1(인천항)",Z723="인천SM경인터미널(인천항)",Z723="인천항(인천항)",Z723="인천우련(인천항)",Z723="인천항8부두(인천항)"),"KRINC",VLOOKUP(K723,GLAPS정리!$BB$2:$BC$33,2,0))))))</f>
        <v>#N/A</v>
      </c>
      <c r="AL723" s="2">
        <f t="shared" si="165"/>
        <v>5010001</v>
      </c>
      <c r="AN723" s="70" t="str">
        <f t="shared" si="166"/>
        <v>1900-01-00</v>
      </c>
      <c r="AO723" s="2" t="str">
        <f t="shared" si="167"/>
        <v/>
      </c>
      <c r="AP723" s="2" t="e">
        <f>VLOOKUP(C723,GLAPS정리!$AX$2:$AZ$17,3,0)</f>
        <v>#N/A</v>
      </c>
      <c r="AR723" s="2">
        <f t="shared" si="173"/>
        <v>0</v>
      </c>
      <c r="AX723" s="2" t="e">
        <f>VLOOKUP(L723,GLAPS정리!$V$3:$W$180,2,0)</f>
        <v>#N/A</v>
      </c>
      <c r="BM723" s="2" t="str">
        <f t="shared" si="168"/>
        <v xml:space="preserve"> </v>
      </c>
      <c r="BN723" s="2">
        <f t="shared" si="169"/>
        <v>1</v>
      </c>
      <c r="BR723" s="2" t="str">
        <f t="shared" si="170"/>
        <v/>
      </c>
      <c r="BS723" s="2" t="str">
        <f t="shared" si="171"/>
        <v/>
      </c>
      <c r="BV723" s="2" t="e">
        <f>VLOOKUP(O723,GLAPS정리!$BH$2:$BI$94,2,0)</f>
        <v>#N/A</v>
      </c>
      <c r="BW723" s="2" t="str">
        <f>IF(OR(Z723="동원",Z723="세방",Z723="한타"),"",IFERROR(INDEX(GLAPS정리!$BI$2:$BI$101,MATCH(Z723,GLAPS정리!$BH$2:$BH$101,0)),""))</f>
        <v/>
      </c>
      <c r="BX723" s="2" t="str">
        <f>IF(Z723="","",IFERROR(VLOOKUP(Z723,GLAPS정리!$AX$2:$AZ$17,3,0),""))</f>
        <v/>
      </c>
      <c r="BZ723" s="2" t="e">
        <f>VLOOKUP(H723,GLAPS정리!$L$3:$O$133,2,0)</f>
        <v>#N/A</v>
      </c>
      <c r="CA723" s="2" t="str">
        <f t="shared" si="172"/>
        <v/>
      </c>
      <c r="CL723" s="2" t="e">
        <f>VLOOKUP(AI723,GLAPS정리!$BT$3:$BV$26,3,0)</f>
        <v>#N/A</v>
      </c>
    </row>
    <row r="724" spans="2:90" ht="20.45" customHeight="1">
      <c r="B724" s="13"/>
      <c r="G724" s="3"/>
      <c r="J724" s="3"/>
      <c r="Q724" s="3" t="str">
        <f t="shared" si="160"/>
        <v/>
      </c>
      <c r="R724" s="3" t="str">
        <f t="shared" si="161"/>
        <v/>
      </c>
      <c r="S724" s="3" t="str">
        <f t="shared" si="162"/>
        <v/>
      </c>
      <c r="X724" s="13"/>
      <c r="Y724" s="13"/>
      <c r="Z724" s="91"/>
      <c r="AC724" s="2">
        <f t="shared" si="163"/>
        <v>20</v>
      </c>
      <c r="AD724" s="2" t="str">
        <f>IFERROR(INDEX(GLAPS정리!$D$2:$D$50,MATCH(I724,GLAPS정리!$A$2:$A$50,0)),IFERROR(INDEX(GLAPS정리!$D$2:$D$50,MATCH(I724,GLAPS정리!$B$2:$B$50,0)),""))</f>
        <v/>
      </c>
      <c r="AF724" s="2" t="str">
        <f t="shared" si="164"/>
        <v>KR10</v>
      </c>
      <c r="AI724" s="2" t="e">
        <f>VLOOKUP(F724,GLAPS정리!$G$3:$J$114,2,0)</f>
        <v>#N/A</v>
      </c>
      <c r="AJ724" s="2" t="e">
        <f>IF(Z724="울산정일","KRONS",IF(Z724="울산신항","KRUSN",IF(OR(Z724="선광종합물류(인천여객)",Z724="인천여객(인천여객)"),"KRINF",IF(OR(Z724="선광인천보세(인천신)",Z724="한진인천(인천신)",Z724="선광인천신항(인천신)",Z724="인천더로지스(인천신)"),"KRINN",IF(OR(Z724="인천진아(인천항)",Z724="인천E1(인천항)",Z724="인천SM경인터미널(인천항)",Z724="인천항(인천항)",Z724="인천우련(인천항)",Z724="인천항8부두(인천항)"),"KRINC",VLOOKUP(K724,GLAPS정리!$BB$2:$BC$33,2,0))))))</f>
        <v>#N/A</v>
      </c>
      <c r="AL724" s="2">
        <f t="shared" si="165"/>
        <v>5010001</v>
      </c>
      <c r="AN724" s="70" t="str">
        <f t="shared" si="166"/>
        <v>1900-01-00</v>
      </c>
      <c r="AO724" s="2" t="str">
        <f t="shared" si="167"/>
        <v/>
      </c>
      <c r="AP724" s="2" t="e">
        <f>VLOOKUP(C724,GLAPS정리!$AX$2:$AZ$17,3,0)</f>
        <v>#N/A</v>
      </c>
      <c r="AR724" s="2">
        <f t="shared" si="173"/>
        <v>0</v>
      </c>
      <c r="AX724" s="2" t="e">
        <f>VLOOKUP(L724,GLAPS정리!$V$3:$W$180,2,0)</f>
        <v>#N/A</v>
      </c>
      <c r="BM724" s="2" t="str">
        <f t="shared" si="168"/>
        <v xml:space="preserve"> </v>
      </c>
      <c r="BN724" s="2">
        <f t="shared" si="169"/>
        <v>1</v>
      </c>
      <c r="BR724" s="2" t="str">
        <f t="shared" si="170"/>
        <v/>
      </c>
      <c r="BS724" s="2" t="str">
        <f t="shared" si="171"/>
        <v/>
      </c>
      <c r="BV724" s="2" t="e">
        <f>VLOOKUP(O724,GLAPS정리!$BH$2:$BI$94,2,0)</f>
        <v>#N/A</v>
      </c>
      <c r="BW724" s="2" t="str">
        <f>IF(OR(Z724="동원",Z724="세방",Z724="한타"),"",IFERROR(INDEX(GLAPS정리!$BI$2:$BI$101,MATCH(Z724,GLAPS정리!$BH$2:$BH$101,0)),""))</f>
        <v/>
      </c>
      <c r="BX724" s="2" t="str">
        <f>IF(Z724="","",IFERROR(VLOOKUP(Z724,GLAPS정리!$AX$2:$AZ$17,3,0),""))</f>
        <v/>
      </c>
      <c r="BZ724" s="2" t="e">
        <f>VLOOKUP(H724,GLAPS정리!$L$3:$O$133,2,0)</f>
        <v>#N/A</v>
      </c>
      <c r="CA724" s="2" t="str">
        <f t="shared" si="172"/>
        <v/>
      </c>
      <c r="CL724" s="2" t="e">
        <f>VLOOKUP(AI724,GLAPS정리!$BT$3:$BV$26,3,0)</f>
        <v>#N/A</v>
      </c>
    </row>
    <row r="725" spans="2:90" ht="20.45" customHeight="1">
      <c r="B725" s="13"/>
      <c r="G725" s="3"/>
      <c r="J725" s="3"/>
      <c r="Q725" s="3" t="str">
        <f t="shared" si="160"/>
        <v/>
      </c>
      <c r="R725" s="3" t="str">
        <f t="shared" si="161"/>
        <v/>
      </c>
      <c r="S725" s="3" t="str">
        <f t="shared" si="162"/>
        <v/>
      </c>
      <c r="X725" s="13"/>
      <c r="Y725" s="13"/>
      <c r="Z725" s="91"/>
      <c r="AC725" s="2">
        <f t="shared" si="163"/>
        <v>20</v>
      </c>
      <c r="AD725" s="2" t="str">
        <f>IFERROR(INDEX(GLAPS정리!$D$2:$D$50,MATCH(I725,GLAPS정리!$A$2:$A$50,0)),IFERROR(INDEX(GLAPS정리!$D$2:$D$50,MATCH(I725,GLAPS정리!$B$2:$B$50,0)),""))</f>
        <v/>
      </c>
      <c r="AF725" s="2" t="str">
        <f t="shared" si="164"/>
        <v>KR10</v>
      </c>
      <c r="AI725" s="2" t="e">
        <f>VLOOKUP(F725,GLAPS정리!$G$3:$J$114,2,0)</f>
        <v>#N/A</v>
      </c>
      <c r="AJ725" s="2" t="e">
        <f>IF(Z725="울산정일","KRONS",IF(Z725="울산신항","KRUSN",IF(OR(Z725="선광종합물류(인천여객)",Z725="인천여객(인천여객)"),"KRINF",IF(OR(Z725="선광인천보세(인천신)",Z725="한진인천(인천신)",Z725="선광인천신항(인천신)",Z725="인천더로지스(인천신)"),"KRINN",IF(OR(Z725="인천진아(인천항)",Z725="인천E1(인천항)",Z725="인천SM경인터미널(인천항)",Z725="인천항(인천항)",Z725="인천우련(인천항)",Z725="인천항8부두(인천항)"),"KRINC",VLOOKUP(K725,GLAPS정리!$BB$2:$BC$33,2,0))))))</f>
        <v>#N/A</v>
      </c>
      <c r="AL725" s="2">
        <f t="shared" si="165"/>
        <v>5010001</v>
      </c>
      <c r="AN725" s="70" t="str">
        <f t="shared" si="166"/>
        <v>1900-01-00</v>
      </c>
      <c r="AO725" s="2" t="str">
        <f t="shared" si="167"/>
        <v/>
      </c>
      <c r="AP725" s="2" t="e">
        <f>VLOOKUP(C725,GLAPS정리!$AX$2:$AZ$17,3,0)</f>
        <v>#N/A</v>
      </c>
      <c r="AR725" s="2">
        <f t="shared" si="173"/>
        <v>0</v>
      </c>
      <c r="AX725" s="2" t="e">
        <f>VLOOKUP(L725,GLAPS정리!$V$3:$W$180,2,0)</f>
        <v>#N/A</v>
      </c>
      <c r="BM725" s="2" t="str">
        <f t="shared" si="168"/>
        <v xml:space="preserve"> </v>
      </c>
      <c r="BN725" s="2">
        <f t="shared" si="169"/>
        <v>1</v>
      </c>
      <c r="BR725" s="2" t="str">
        <f t="shared" si="170"/>
        <v/>
      </c>
      <c r="BS725" s="2" t="str">
        <f t="shared" si="171"/>
        <v/>
      </c>
      <c r="BV725" s="2" t="e">
        <f>VLOOKUP(O725,GLAPS정리!$BH$2:$BI$94,2,0)</f>
        <v>#N/A</v>
      </c>
      <c r="BW725" s="2" t="str">
        <f>IF(OR(Z725="동원",Z725="세방",Z725="한타"),"",IFERROR(INDEX(GLAPS정리!$BI$2:$BI$101,MATCH(Z725,GLAPS정리!$BH$2:$BH$101,0)),""))</f>
        <v/>
      </c>
      <c r="BX725" s="2" t="str">
        <f>IF(Z725="","",IFERROR(VLOOKUP(Z725,GLAPS정리!$AX$2:$AZ$17,3,0),""))</f>
        <v/>
      </c>
      <c r="BZ725" s="2" t="e">
        <f>VLOOKUP(H725,GLAPS정리!$L$3:$O$133,2,0)</f>
        <v>#N/A</v>
      </c>
      <c r="CA725" s="2" t="str">
        <f t="shared" si="172"/>
        <v/>
      </c>
      <c r="CL725" s="2" t="e">
        <f>VLOOKUP(AI725,GLAPS정리!$BT$3:$BV$26,3,0)</f>
        <v>#N/A</v>
      </c>
    </row>
    <row r="726" spans="2:90" ht="20.45" customHeight="1">
      <c r="B726" s="13"/>
      <c r="G726" s="3"/>
      <c r="J726" s="3"/>
      <c r="Q726" s="3" t="str">
        <f t="shared" si="160"/>
        <v/>
      </c>
      <c r="R726" s="3" t="str">
        <f t="shared" si="161"/>
        <v/>
      </c>
      <c r="S726" s="3" t="str">
        <f t="shared" si="162"/>
        <v/>
      </c>
      <c r="X726" s="13"/>
      <c r="Y726" s="13"/>
      <c r="Z726" s="91"/>
      <c r="AC726" s="2">
        <f t="shared" si="163"/>
        <v>20</v>
      </c>
      <c r="AD726" s="2" t="str">
        <f>IFERROR(INDEX(GLAPS정리!$D$2:$D$50,MATCH(I726,GLAPS정리!$A$2:$A$50,0)),IFERROR(INDEX(GLAPS정리!$D$2:$D$50,MATCH(I726,GLAPS정리!$B$2:$B$50,0)),""))</f>
        <v/>
      </c>
      <c r="AF726" s="2" t="str">
        <f t="shared" si="164"/>
        <v>KR10</v>
      </c>
      <c r="AI726" s="2" t="e">
        <f>VLOOKUP(F726,GLAPS정리!$G$3:$J$114,2,0)</f>
        <v>#N/A</v>
      </c>
      <c r="AJ726" s="2" t="e">
        <f>IF(Z726="울산정일","KRONS",IF(Z726="울산신항","KRUSN",IF(OR(Z726="선광종합물류(인천여객)",Z726="인천여객(인천여객)"),"KRINF",IF(OR(Z726="선광인천보세(인천신)",Z726="한진인천(인천신)",Z726="선광인천신항(인천신)",Z726="인천더로지스(인천신)"),"KRINN",IF(OR(Z726="인천진아(인천항)",Z726="인천E1(인천항)",Z726="인천SM경인터미널(인천항)",Z726="인천항(인천항)",Z726="인천우련(인천항)",Z726="인천항8부두(인천항)"),"KRINC",VLOOKUP(K726,GLAPS정리!$BB$2:$BC$33,2,0))))))</f>
        <v>#N/A</v>
      </c>
      <c r="AL726" s="2">
        <f t="shared" si="165"/>
        <v>5010001</v>
      </c>
      <c r="AN726" s="70" t="str">
        <f t="shared" si="166"/>
        <v>1900-01-00</v>
      </c>
      <c r="AO726" s="2" t="str">
        <f t="shared" si="167"/>
        <v/>
      </c>
      <c r="AP726" s="2" t="e">
        <f>VLOOKUP(C726,GLAPS정리!$AX$2:$AZ$17,3,0)</f>
        <v>#N/A</v>
      </c>
      <c r="AR726" s="2">
        <f t="shared" si="173"/>
        <v>0</v>
      </c>
      <c r="AX726" s="2" t="e">
        <f>VLOOKUP(L726,GLAPS정리!$V$3:$W$180,2,0)</f>
        <v>#N/A</v>
      </c>
      <c r="BM726" s="2" t="str">
        <f t="shared" si="168"/>
        <v xml:space="preserve"> </v>
      </c>
      <c r="BN726" s="2">
        <f t="shared" si="169"/>
        <v>1</v>
      </c>
      <c r="BR726" s="2" t="str">
        <f t="shared" si="170"/>
        <v/>
      </c>
      <c r="BS726" s="2" t="str">
        <f t="shared" si="171"/>
        <v/>
      </c>
      <c r="BV726" s="2" t="e">
        <f>VLOOKUP(O726,GLAPS정리!$BH$2:$BI$94,2,0)</f>
        <v>#N/A</v>
      </c>
      <c r="BW726" s="2" t="str">
        <f>IF(OR(Z726="동원",Z726="세방",Z726="한타"),"",IFERROR(INDEX(GLAPS정리!$BI$2:$BI$101,MATCH(Z726,GLAPS정리!$BH$2:$BH$101,0)),""))</f>
        <v/>
      </c>
      <c r="BX726" s="2" t="str">
        <f>IF(Z726="","",IFERROR(VLOOKUP(Z726,GLAPS정리!$AX$2:$AZ$17,3,0),""))</f>
        <v/>
      </c>
      <c r="BZ726" s="2" t="e">
        <f>VLOOKUP(H726,GLAPS정리!$L$3:$O$133,2,0)</f>
        <v>#N/A</v>
      </c>
      <c r="CA726" s="2" t="str">
        <f t="shared" si="172"/>
        <v/>
      </c>
      <c r="CL726" s="2" t="e">
        <f>VLOOKUP(AI726,GLAPS정리!$BT$3:$BV$26,3,0)</f>
        <v>#N/A</v>
      </c>
    </row>
    <row r="727" spans="2:90" ht="20.45" customHeight="1">
      <c r="B727" s="13"/>
      <c r="G727" s="3"/>
      <c r="J727" s="3"/>
      <c r="Q727" s="3" t="str">
        <f t="shared" si="160"/>
        <v/>
      </c>
      <c r="R727" s="3" t="str">
        <f t="shared" si="161"/>
        <v/>
      </c>
      <c r="S727" s="3" t="str">
        <f t="shared" si="162"/>
        <v/>
      </c>
      <c r="X727" s="13"/>
      <c r="Y727" s="13"/>
      <c r="Z727" s="91"/>
      <c r="AC727" s="2">
        <f t="shared" si="163"/>
        <v>20</v>
      </c>
      <c r="AD727" s="2" t="str">
        <f>IFERROR(INDEX(GLAPS정리!$D$2:$D$50,MATCH(I727,GLAPS정리!$A$2:$A$50,0)),IFERROR(INDEX(GLAPS정리!$D$2:$D$50,MATCH(I727,GLAPS정리!$B$2:$B$50,0)),""))</f>
        <v/>
      </c>
      <c r="AF727" s="2" t="str">
        <f t="shared" si="164"/>
        <v>KR10</v>
      </c>
      <c r="AI727" s="2" t="e">
        <f>VLOOKUP(F727,GLAPS정리!$G$3:$J$114,2,0)</f>
        <v>#N/A</v>
      </c>
      <c r="AJ727" s="2" t="e">
        <f>IF(Z727="울산정일","KRONS",IF(Z727="울산신항","KRUSN",IF(OR(Z727="선광종합물류(인천여객)",Z727="인천여객(인천여객)"),"KRINF",IF(OR(Z727="선광인천보세(인천신)",Z727="한진인천(인천신)",Z727="선광인천신항(인천신)",Z727="인천더로지스(인천신)"),"KRINN",IF(OR(Z727="인천진아(인천항)",Z727="인천E1(인천항)",Z727="인천SM경인터미널(인천항)",Z727="인천항(인천항)",Z727="인천우련(인천항)",Z727="인천항8부두(인천항)"),"KRINC",VLOOKUP(K727,GLAPS정리!$BB$2:$BC$33,2,0))))))</f>
        <v>#N/A</v>
      </c>
      <c r="AL727" s="2">
        <f t="shared" si="165"/>
        <v>5010001</v>
      </c>
      <c r="AN727" s="70" t="str">
        <f t="shared" si="166"/>
        <v>1900-01-00</v>
      </c>
      <c r="AO727" s="2" t="str">
        <f t="shared" si="167"/>
        <v/>
      </c>
      <c r="AP727" s="2" t="e">
        <f>VLOOKUP(C727,GLAPS정리!$AX$2:$AZ$17,3,0)</f>
        <v>#N/A</v>
      </c>
      <c r="AR727" s="2">
        <f t="shared" si="173"/>
        <v>0</v>
      </c>
      <c r="AX727" s="2" t="e">
        <f>VLOOKUP(L727,GLAPS정리!$V$3:$W$180,2,0)</f>
        <v>#N/A</v>
      </c>
      <c r="BM727" s="2" t="str">
        <f t="shared" si="168"/>
        <v xml:space="preserve"> </v>
      </c>
      <c r="BN727" s="2">
        <f t="shared" si="169"/>
        <v>1</v>
      </c>
      <c r="BR727" s="2" t="str">
        <f t="shared" si="170"/>
        <v/>
      </c>
      <c r="BS727" s="2" t="str">
        <f t="shared" si="171"/>
        <v/>
      </c>
      <c r="BV727" s="2" t="e">
        <f>VLOOKUP(O727,GLAPS정리!$BH$2:$BI$94,2,0)</f>
        <v>#N/A</v>
      </c>
      <c r="BW727" s="2" t="str">
        <f>IF(OR(Z727="동원",Z727="세방",Z727="한타"),"",IFERROR(INDEX(GLAPS정리!$BI$2:$BI$101,MATCH(Z727,GLAPS정리!$BH$2:$BH$101,0)),""))</f>
        <v/>
      </c>
      <c r="BX727" s="2" t="str">
        <f>IF(Z727="","",IFERROR(VLOOKUP(Z727,GLAPS정리!$AX$2:$AZ$17,3,0),""))</f>
        <v/>
      </c>
      <c r="BZ727" s="2" t="e">
        <f>VLOOKUP(H727,GLAPS정리!$L$3:$O$133,2,0)</f>
        <v>#N/A</v>
      </c>
      <c r="CA727" s="2" t="str">
        <f t="shared" si="172"/>
        <v/>
      </c>
      <c r="CL727" s="2" t="e">
        <f>VLOOKUP(AI727,GLAPS정리!$BT$3:$BV$26,3,0)</f>
        <v>#N/A</v>
      </c>
    </row>
    <row r="728" spans="2:90" ht="20.45" customHeight="1">
      <c r="B728" s="13"/>
      <c r="G728" s="3"/>
      <c r="J728" s="3"/>
      <c r="Q728" s="3" t="str">
        <f t="shared" si="160"/>
        <v/>
      </c>
      <c r="R728" s="3" t="str">
        <f t="shared" si="161"/>
        <v/>
      </c>
      <c r="S728" s="3" t="str">
        <f t="shared" si="162"/>
        <v/>
      </c>
      <c r="X728" s="13"/>
      <c r="Y728" s="13"/>
      <c r="Z728" s="91"/>
      <c r="AC728" s="2">
        <f t="shared" si="163"/>
        <v>20</v>
      </c>
      <c r="AD728" s="2" t="str">
        <f>IFERROR(INDEX(GLAPS정리!$D$2:$D$50,MATCH(I728,GLAPS정리!$A$2:$A$50,0)),IFERROR(INDEX(GLAPS정리!$D$2:$D$50,MATCH(I728,GLAPS정리!$B$2:$B$50,0)),""))</f>
        <v/>
      </c>
      <c r="AF728" s="2" t="str">
        <f t="shared" si="164"/>
        <v>KR10</v>
      </c>
      <c r="AI728" s="2" t="e">
        <f>VLOOKUP(F728,GLAPS정리!$G$3:$J$114,2,0)</f>
        <v>#N/A</v>
      </c>
      <c r="AJ728" s="2" t="e">
        <f>IF(Z728="울산정일","KRONS",IF(Z728="울산신항","KRUSN",IF(OR(Z728="선광종합물류(인천여객)",Z728="인천여객(인천여객)"),"KRINF",IF(OR(Z728="선광인천보세(인천신)",Z728="한진인천(인천신)",Z728="선광인천신항(인천신)",Z728="인천더로지스(인천신)"),"KRINN",IF(OR(Z728="인천진아(인천항)",Z728="인천E1(인천항)",Z728="인천SM경인터미널(인천항)",Z728="인천항(인천항)",Z728="인천우련(인천항)",Z728="인천항8부두(인천항)"),"KRINC",VLOOKUP(K728,GLAPS정리!$BB$2:$BC$33,2,0))))))</f>
        <v>#N/A</v>
      </c>
      <c r="AL728" s="2">
        <f t="shared" si="165"/>
        <v>5010001</v>
      </c>
      <c r="AN728" s="70" t="str">
        <f t="shared" si="166"/>
        <v>1900-01-00</v>
      </c>
      <c r="AO728" s="2" t="str">
        <f t="shared" si="167"/>
        <v/>
      </c>
      <c r="AP728" s="2" t="e">
        <f>VLOOKUP(C728,GLAPS정리!$AX$2:$AZ$17,3,0)</f>
        <v>#N/A</v>
      </c>
      <c r="AR728" s="2">
        <f t="shared" si="173"/>
        <v>0</v>
      </c>
      <c r="AX728" s="2" t="e">
        <f>VLOOKUP(L728,GLAPS정리!$V$3:$W$180,2,0)</f>
        <v>#N/A</v>
      </c>
      <c r="BM728" s="2" t="str">
        <f t="shared" si="168"/>
        <v xml:space="preserve"> </v>
      </c>
      <c r="BN728" s="2">
        <f t="shared" si="169"/>
        <v>1</v>
      </c>
      <c r="BR728" s="2" t="str">
        <f t="shared" si="170"/>
        <v/>
      </c>
      <c r="BS728" s="2" t="str">
        <f t="shared" si="171"/>
        <v/>
      </c>
      <c r="BV728" s="2" t="e">
        <f>VLOOKUP(O728,GLAPS정리!$BH$2:$BI$94,2,0)</f>
        <v>#N/A</v>
      </c>
      <c r="BW728" s="2" t="str">
        <f>IF(OR(Z728="동원",Z728="세방",Z728="한타"),"",IFERROR(INDEX(GLAPS정리!$BI$2:$BI$101,MATCH(Z728,GLAPS정리!$BH$2:$BH$101,0)),""))</f>
        <v/>
      </c>
      <c r="BX728" s="2" t="str">
        <f>IF(Z728="","",IFERROR(VLOOKUP(Z728,GLAPS정리!$AX$2:$AZ$17,3,0),""))</f>
        <v/>
      </c>
      <c r="BZ728" s="2" t="e">
        <f>VLOOKUP(H728,GLAPS정리!$L$3:$O$133,2,0)</f>
        <v>#N/A</v>
      </c>
      <c r="CA728" s="2" t="str">
        <f t="shared" si="172"/>
        <v/>
      </c>
      <c r="CL728" s="2" t="e">
        <f>VLOOKUP(AI728,GLAPS정리!$BT$3:$BV$26,3,0)</f>
        <v>#N/A</v>
      </c>
    </row>
    <row r="729" spans="2:90" ht="20.45" customHeight="1">
      <c r="B729" s="13"/>
      <c r="G729" s="3"/>
      <c r="J729" s="3"/>
      <c r="Q729" s="3" t="str">
        <f t="shared" si="160"/>
        <v/>
      </c>
      <c r="R729" s="3" t="str">
        <f t="shared" si="161"/>
        <v/>
      </c>
      <c r="S729" s="3" t="str">
        <f t="shared" si="162"/>
        <v/>
      </c>
      <c r="X729" s="13"/>
      <c r="Y729" s="13"/>
      <c r="Z729" s="91"/>
      <c r="AC729" s="2">
        <f t="shared" si="163"/>
        <v>20</v>
      </c>
      <c r="AD729" s="2" t="str">
        <f>IFERROR(INDEX(GLAPS정리!$D$2:$D$50,MATCH(I729,GLAPS정리!$A$2:$A$50,0)),IFERROR(INDEX(GLAPS정리!$D$2:$D$50,MATCH(I729,GLAPS정리!$B$2:$B$50,0)),""))</f>
        <v/>
      </c>
      <c r="AF729" s="2" t="str">
        <f t="shared" si="164"/>
        <v>KR10</v>
      </c>
      <c r="AI729" s="2" t="e">
        <f>VLOOKUP(F729,GLAPS정리!$G$3:$J$114,2,0)</f>
        <v>#N/A</v>
      </c>
      <c r="AJ729" s="2" t="e">
        <f>IF(Z729="울산정일","KRONS",IF(Z729="울산신항","KRUSN",IF(OR(Z729="선광종합물류(인천여객)",Z729="인천여객(인천여객)"),"KRINF",IF(OR(Z729="선광인천보세(인천신)",Z729="한진인천(인천신)",Z729="선광인천신항(인천신)",Z729="인천더로지스(인천신)"),"KRINN",IF(OR(Z729="인천진아(인천항)",Z729="인천E1(인천항)",Z729="인천SM경인터미널(인천항)",Z729="인천항(인천항)",Z729="인천우련(인천항)",Z729="인천항8부두(인천항)"),"KRINC",VLOOKUP(K729,GLAPS정리!$BB$2:$BC$33,2,0))))))</f>
        <v>#N/A</v>
      </c>
      <c r="AL729" s="2">
        <f t="shared" si="165"/>
        <v>5010001</v>
      </c>
      <c r="AN729" s="70" t="str">
        <f t="shared" si="166"/>
        <v>1900-01-00</v>
      </c>
      <c r="AO729" s="2" t="str">
        <f t="shared" si="167"/>
        <v/>
      </c>
      <c r="AP729" s="2" t="e">
        <f>VLOOKUP(C729,GLAPS정리!$AX$2:$AZ$17,3,0)</f>
        <v>#N/A</v>
      </c>
      <c r="AR729" s="2">
        <f t="shared" si="173"/>
        <v>0</v>
      </c>
      <c r="AX729" s="2" t="e">
        <f>VLOOKUP(L729,GLAPS정리!$V$3:$W$180,2,0)</f>
        <v>#N/A</v>
      </c>
      <c r="BM729" s="2" t="str">
        <f t="shared" si="168"/>
        <v xml:space="preserve"> </v>
      </c>
      <c r="BN729" s="2">
        <f t="shared" si="169"/>
        <v>1</v>
      </c>
      <c r="BR729" s="2" t="str">
        <f t="shared" si="170"/>
        <v/>
      </c>
      <c r="BS729" s="2" t="str">
        <f t="shared" si="171"/>
        <v/>
      </c>
      <c r="BV729" s="2" t="e">
        <f>VLOOKUP(O729,GLAPS정리!$BH$2:$BI$94,2,0)</f>
        <v>#N/A</v>
      </c>
      <c r="BW729" s="2" t="str">
        <f>IF(OR(Z729="동원",Z729="세방",Z729="한타"),"",IFERROR(INDEX(GLAPS정리!$BI$2:$BI$101,MATCH(Z729,GLAPS정리!$BH$2:$BH$101,0)),""))</f>
        <v/>
      </c>
      <c r="BX729" s="2" t="str">
        <f>IF(Z729="","",IFERROR(VLOOKUP(Z729,GLAPS정리!$AX$2:$AZ$17,3,0),""))</f>
        <v/>
      </c>
      <c r="BZ729" s="2" t="e">
        <f>VLOOKUP(H729,GLAPS정리!$L$3:$O$133,2,0)</f>
        <v>#N/A</v>
      </c>
      <c r="CA729" s="2" t="str">
        <f t="shared" si="172"/>
        <v/>
      </c>
      <c r="CL729" s="2" t="e">
        <f>VLOOKUP(AI729,GLAPS정리!$BT$3:$BV$26,3,0)</f>
        <v>#N/A</v>
      </c>
    </row>
    <row r="730" spans="2:90" ht="20.45" customHeight="1">
      <c r="B730" s="13"/>
      <c r="G730" s="3"/>
      <c r="J730" s="3"/>
      <c r="Q730" s="3" t="str">
        <f t="shared" si="160"/>
        <v/>
      </c>
      <c r="R730" s="3" t="str">
        <f t="shared" si="161"/>
        <v/>
      </c>
      <c r="S730" s="3" t="str">
        <f t="shared" si="162"/>
        <v/>
      </c>
      <c r="X730" s="13"/>
      <c r="Y730" s="13"/>
      <c r="Z730" s="91"/>
      <c r="AC730" s="2">
        <f t="shared" si="163"/>
        <v>20</v>
      </c>
      <c r="AD730" s="2" t="str">
        <f>IFERROR(INDEX(GLAPS정리!$D$2:$D$50,MATCH(I730,GLAPS정리!$A$2:$A$50,0)),IFERROR(INDEX(GLAPS정리!$D$2:$D$50,MATCH(I730,GLAPS정리!$B$2:$B$50,0)),""))</f>
        <v/>
      </c>
      <c r="AF730" s="2" t="str">
        <f t="shared" si="164"/>
        <v>KR10</v>
      </c>
      <c r="AI730" s="2" t="e">
        <f>VLOOKUP(F730,GLAPS정리!$G$3:$J$114,2,0)</f>
        <v>#N/A</v>
      </c>
      <c r="AJ730" s="2" t="e">
        <f>IF(Z730="울산정일","KRONS",IF(Z730="울산신항","KRUSN",IF(OR(Z730="선광종합물류(인천여객)",Z730="인천여객(인천여객)"),"KRINF",IF(OR(Z730="선광인천보세(인천신)",Z730="한진인천(인천신)",Z730="선광인천신항(인천신)",Z730="인천더로지스(인천신)"),"KRINN",IF(OR(Z730="인천진아(인천항)",Z730="인천E1(인천항)",Z730="인천SM경인터미널(인천항)",Z730="인천항(인천항)",Z730="인천우련(인천항)",Z730="인천항8부두(인천항)"),"KRINC",VLOOKUP(K730,GLAPS정리!$BB$2:$BC$33,2,0))))))</f>
        <v>#N/A</v>
      </c>
      <c r="AL730" s="2">
        <f t="shared" si="165"/>
        <v>5010001</v>
      </c>
      <c r="AN730" s="70" t="str">
        <f t="shared" si="166"/>
        <v>1900-01-00</v>
      </c>
      <c r="AO730" s="2" t="str">
        <f t="shared" si="167"/>
        <v/>
      </c>
      <c r="AP730" s="2" t="e">
        <f>VLOOKUP(C730,GLAPS정리!$AX$2:$AZ$17,3,0)</f>
        <v>#N/A</v>
      </c>
      <c r="AR730" s="2">
        <f t="shared" si="173"/>
        <v>0</v>
      </c>
      <c r="AX730" s="2" t="e">
        <f>VLOOKUP(L730,GLAPS정리!$V$3:$W$180,2,0)</f>
        <v>#N/A</v>
      </c>
      <c r="BM730" s="2" t="str">
        <f t="shared" si="168"/>
        <v xml:space="preserve"> </v>
      </c>
      <c r="BN730" s="2">
        <f t="shared" si="169"/>
        <v>1</v>
      </c>
      <c r="BR730" s="2" t="str">
        <f t="shared" si="170"/>
        <v/>
      </c>
      <c r="BS730" s="2" t="str">
        <f t="shared" si="171"/>
        <v/>
      </c>
      <c r="BV730" s="2" t="e">
        <f>VLOOKUP(O730,GLAPS정리!$BH$2:$BI$94,2,0)</f>
        <v>#N/A</v>
      </c>
      <c r="BW730" s="2" t="str">
        <f>IF(OR(Z730="동원",Z730="세방",Z730="한타"),"",IFERROR(INDEX(GLAPS정리!$BI$2:$BI$101,MATCH(Z730,GLAPS정리!$BH$2:$BH$101,0)),""))</f>
        <v/>
      </c>
      <c r="BX730" s="2" t="str">
        <f>IF(Z730="","",IFERROR(VLOOKUP(Z730,GLAPS정리!$AX$2:$AZ$17,3,0),""))</f>
        <v/>
      </c>
      <c r="BZ730" s="2" t="e">
        <f>VLOOKUP(H730,GLAPS정리!$L$3:$O$133,2,0)</f>
        <v>#N/A</v>
      </c>
      <c r="CA730" s="2" t="str">
        <f t="shared" si="172"/>
        <v/>
      </c>
      <c r="CL730" s="2" t="e">
        <f>VLOOKUP(AI730,GLAPS정리!$BT$3:$BV$26,3,0)</f>
        <v>#N/A</v>
      </c>
    </row>
    <row r="731" spans="2:90" ht="20.45" customHeight="1">
      <c r="B731" s="13"/>
      <c r="G731" s="3"/>
      <c r="J731" s="3"/>
      <c r="Q731" s="3" t="str">
        <f t="shared" si="160"/>
        <v/>
      </c>
      <c r="R731" s="3" t="str">
        <f t="shared" si="161"/>
        <v/>
      </c>
      <c r="S731" s="3" t="str">
        <f t="shared" si="162"/>
        <v/>
      </c>
      <c r="X731" s="13"/>
      <c r="Y731" s="13"/>
      <c r="Z731" s="91"/>
      <c r="AC731" s="2">
        <f t="shared" si="163"/>
        <v>20</v>
      </c>
      <c r="AD731" s="2" t="str">
        <f>IFERROR(INDEX(GLAPS정리!$D$2:$D$50,MATCH(I731,GLAPS정리!$A$2:$A$50,0)),IFERROR(INDEX(GLAPS정리!$D$2:$D$50,MATCH(I731,GLAPS정리!$B$2:$B$50,0)),""))</f>
        <v/>
      </c>
      <c r="AF731" s="2" t="str">
        <f t="shared" si="164"/>
        <v>KR10</v>
      </c>
      <c r="AI731" s="2" t="e">
        <f>VLOOKUP(F731,GLAPS정리!$G$3:$J$114,2,0)</f>
        <v>#N/A</v>
      </c>
      <c r="AJ731" s="2" t="e">
        <f>IF(Z731="울산정일","KRONS",IF(Z731="울산신항","KRUSN",IF(OR(Z731="선광종합물류(인천여객)",Z731="인천여객(인천여객)"),"KRINF",IF(OR(Z731="선광인천보세(인천신)",Z731="한진인천(인천신)",Z731="선광인천신항(인천신)",Z731="인천더로지스(인천신)"),"KRINN",IF(OR(Z731="인천진아(인천항)",Z731="인천E1(인천항)",Z731="인천SM경인터미널(인천항)",Z731="인천항(인천항)",Z731="인천우련(인천항)",Z731="인천항8부두(인천항)"),"KRINC",VLOOKUP(K731,GLAPS정리!$BB$2:$BC$33,2,0))))))</f>
        <v>#N/A</v>
      </c>
      <c r="AL731" s="2">
        <f t="shared" si="165"/>
        <v>5010001</v>
      </c>
      <c r="AN731" s="70" t="str">
        <f t="shared" si="166"/>
        <v>1900-01-00</v>
      </c>
      <c r="AO731" s="2" t="str">
        <f t="shared" si="167"/>
        <v/>
      </c>
      <c r="AP731" s="2" t="e">
        <f>VLOOKUP(C731,GLAPS정리!$AX$2:$AZ$17,3,0)</f>
        <v>#N/A</v>
      </c>
      <c r="AR731" s="2">
        <f t="shared" si="173"/>
        <v>0</v>
      </c>
      <c r="AX731" s="2" t="e">
        <f>VLOOKUP(L731,GLAPS정리!$V$3:$W$180,2,0)</f>
        <v>#N/A</v>
      </c>
      <c r="BM731" s="2" t="str">
        <f t="shared" si="168"/>
        <v xml:space="preserve"> </v>
      </c>
      <c r="BN731" s="2">
        <f t="shared" si="169"/>
        <v>1</v>
      </c>
      <c r="BR731" s="2" t="str">
        <f t="shared" si="170"/>
        <v/>
      </c>
      <c r="BS731" s="2" t="str">
        <f t="shared" si="171"/>
        <v/>
      </c>
      <c r="BV731" s="2" t="e">
        <f>VLOOKUP(O731,GLAPS정리!$BH$2:$BI$94,2,0)</f>
        <v>#N/A</v>
      </c>
      <c r="BW731" s="2" t="str">
        <f>IF(OR(Z731="동원",Z731="세방",Z731="한타"),"",IFERROR(INDEX(GLAPS정리!$BI$2:$BI$101,MATCH(Z731,GLAPS정리!$BH$2:$BH$101,0)),""))</f>
        <v/>
      </c>
      <c r="BX731" s="2" t="str">
        <f>IF(Z731="","",IFERROR(VLOOKUP(Z731,GLAPS정리!$AX$2:$AZ$17,3,0),""))</f>
        <v/>
      </c>
      <c r="BZ731" s="2" t="e">
        <f>VLOOKUP(H731,GLAPS정리!$L$3:$O$133,2,0)</f>
        <v>#N/A</v>
      </c>
      <c r="CA731" s="2" t="str">
        <f t="shared" si="172"/>
        <v/>
      </c>
      <c r="CL731" s="2" t="e">
        <f>VLOOKUP(AI731,GLAPS정리!$BT$3:$BV$26,3,0)</f>
        <v>#N/A</v>
      </c>
    </row>
    <row r="732" spans="2:90" ht="20.45" customHeight="1">
      <c r="B732" s="13"/>
      <c r="G732" s="3"/>
      <c r="J732" s="3"/>
      <c r="Q732" s="3" t="str">
        <f t="shared" si="160"/>
        <v/>
      </c>
      <c r="R732" s="3" t="str">
        <f t="shared" si="161"/>
        <v/>
      </c>
      <c r="S732" s="3" t="str">
        <f t="shared" si="162"/>
        <v/>
      </c>
      <c r="X732" s="13"/>
      <c r="Y732" s="13"/>
      <c r="Z732" s="91"/>
      <c r="AC732" s="2">
        <f t="shared" si="163"/>
        <v>20</v>
      </c>
      <c r="AD732" s="2" t="str">
        <f>IFERROR(INDEX(GLAPS정리!$D$2:$D$50,MATCH(I732,GLAPS정리!$A$2:$A$50,0)),IFERROR(INDEX(GLAPS정리!$D$2:$D$50,MATCH(I732,GLAPS정리!$B$2:$B$50,0)),""))</f>
        <v/>
      </c>
      <c r="AF732" s="2" t="str">
        <f t="shared" si="164"/>
        <v>KR10</v>
      </c>
      <c r="AI732" s="2" t="e">
        <f>VLOOKUP(F732,GLAPS정리!$G$3:$J$114,2,0)</f>
        <v>#N/A</v>
      </c>
      <c r="AJ732" s="2" t="e">
        <f>IF(Z732="울산정일","KRONS",IF(Z732="울산신항","KRUSN",IF(OR(Z732="선광종합물류(인천여객)",Z732="인천여객(인천여객)"),"KRINF",IF(OR(Z732="선광인천보세(인천신)",Z732="한진인천(인천신)",Z732="선광인천신항(인천신)",Z732="인천더로지스(인천신)"),"KRINN",IF(OR(Z732="인천진아(인천항)",Z732="인천E1(인천항)",Z732="인천SM경인터미널(인천항)",Z732="인천항(인천항)",Z732="인천우련(인천항)",Z732="인천항8부두(인천항)"),"KRINC",VLOOKUP(K732,GLAPS정리!$BB$2:$BC$33,2,0))))))</f>
        <v>#N/A</v>
      </c>
      <c r="AL732" s="2">
        <f t="shared" si="165"/>
        <v>5010001</v>
      </c>
      <c r="AN732" s="70" t="str">
        <f t="shared" si="166"/>
        <v>1900-01-00</v>
      </c>
      <c r="AO732" s="2" t="str">
        <f t="shared" si="167"/>
        <v/>
      </c>
      <c r="AP732" s="2" t="e">
        <f>VLOOKUP(C732,GLAPS정리!$AX$2:$AZ$17,3,0)</f>
        <v>#N/A</v>
      </c>
      <c r="AR732" s="2">
        <f t="shared" si="173"/>
        <v>0</v>
      </c>
      <c r="AX732" s="2" t="e">
        <f>VLOOKUP(L732,GLAPS정리!$V$3:$W$180,2,0)</f>
        <v>#N/A</v>
      </c>
      <c r="BM732" s="2" t="str">
        <f t="shared" si="168"/>
        <v xml:space="preserve"> </v>
      </c>
      <c r="BN732" s="2">
        <f t="shared" si="169"/>
        <v>1</v>
      </c>
      <c r="BR732" s="2" t="str">
        <f t="shared" si="170"/>
        <v/>
      </c>
      <c r="BS732" s="2" t="str">
        <f t="shared" si="171"/>
        <v/>
      </c>
      <c r="BV732" s="2" t="e">
        <f>VLOOKUP(O732,GLAPS정리!$BH$2:$BI$94,2,0)</f>
        <v>#N/A</v>
      </c>
      <c r="BW732" s="2" t="str">
        <f>IF(OR(Z732="동원",Z732="세방",Z732="한타"),"",IFERROR(INDEX(GLAPS정리!$BI$2:$BI$101,MATCH(Z732,GLAPS정리!$BH$2:$BH$101,0)),""))</f>
        <v/>
      </c>
      <c r="BX732" s="2" t="str">
        <f>IF(Z732="","",IFERROR(VLOOKUP(Z732,GLAPS정리!$AX$2:$AZ$17,3,0),""))</f>
        <v/>
      </c>
      <c r="BZ732" s="2" t="e">
        <f>VLOOKUP(H732,GLAPS정리!$L$3:$O$133,2,0)</f>
        <v>#N/A</v>
      </c>
      <c r="CA732" s="2" t="str">
        <f t="shared" si="172"/>
        <v/>
      </c>
      <c r="CL732" s="2" t="e">
        <f>VLOOKUP(AI732,GLAPS정리!$BT$3:$BV$26,3,0)</f>
        <v>#N/A</v>
      </c>
    </row>
    <row r="733" spans="2:90" ht="20.45" customHeight="1">
      <c r="B733" s="13"/>
      <c r="G733" s="3"/>
      <c r="J733" s="3"/>
      <c r="Q733" s="3" t="str">
        <f t="shared" si="160"/>
        <v/>
      </c>
      <c r="R733" s="3" t="str">
        <f t="shared" si="161"/>
        <v/>
      </c>
      <c r="S733" s="3" t="str">
        <f t="shared" si="162"/>
        <v/>
      </c>
      <c r="X733" s="13"/>
      <c r="Y733" s="13"/>
      <c r="Z733" s="91"/>
      <c r="AC733" s="2">
        <f t="shared" si="163"/>
        <v>20</v>
      </c>
      <c r="AD733" s="2" t="str">
        <f>IFERROR(INDEX(GLAPS정리!$D$2:$D$50,MATCH(I733,GLAPS정리!$A$2:$A$50,0)),IFERROR(INDEX(GLAPS정리!$D$2:$D$50,MATCH(I733,GLAPS정리!$B$2:$B$50,0)),""))</f>
        <v/>
      </c>
      <c r="AF733" s="2" t="str">
        <f t="shared" si="164"/>
        <v>KR10</v>
      </c>
      <c r="AI733" s="2" t="e">
        <f>VLOOKUP(F733,GLAPS정리!$G$3:$J$114,2,0)</f>
        <v>#N/A</v>
      </c>
      <c r="AJ733" s="2" t="e">
        <f>IF(Z733="울산정일","KRONS",IF(Z733="울산신항","KRUSN",IF(OR(Z733="선광종합물류(인천여객)",Z733="인천여객(인천여객)"),"KRINF",IF(OR(Z733="선광인천보세(인천신)",Z733="한진인천(인천신)",Z733="선광인천신항(인천신)",Z733="인천더로지스(인천신)"),"KRINN",IF(OR(Z733="인천진아(인천항)",Z733="인천E1(인천항)",Z733="인천SM경인터미널(인천항)",Z733="인천항(인천항)",Z733="인천우련(인천항)",Z733="인천항8부두(인천항)"),"KRINC",VLOOKUP(K733,GLAPS정리!$BB$2:$BC$33,2,0))))))</f>
        <v>#N/A</v>
      </c>
      <c r="AL733" s="2">
        <f t="shared" si="165"/>
        <v>5010001</v>
      </c>
      <c r="AN733" s="70" t="str">
        <f t="shared" si="166"/>
        <v>1900-01-00</v>
      </c>
      <c r="AO733" s="2" t="str">
        <f t="shared" si="167"/>
        <v/>
      </c>
      <c r="AP733" s="2" t="e">
        <f>VLOOKUP(C733,GLAPS정리!$AX$2:$AZ$17,3,0)</f>
        <v>#N/A</v>
      </c>
      <c r="AR733" s="2">
        <f t="shared" si="173"/>
        <v>0</v>
      </c>
      <c r="AX733" s="2" t="e">
        <f>VLOOKUP(L733,GLAPS정리!$V$3:$W$180,2,0)</f>
        <v>#N/A</v>
      </c>
      <c r="BM733" s="2" t="str">
        <f t="shared" si="168"/>
        <v xml:space="preserve"> </v>
      </c>
      <c r="BN733" s="2">
        <f t="shared" si="169"/>
        <v>1</v>
      </c>
      <c r="BR733" s="2" t="str">
        <f t="shared" si="170"/>
        <v/>
      </c>
      <c r="BS733" s="2" t="str">
        <f t="shared" si="171"/>
        <v/>
      </c>
      <c r="BV733" s="2" t="e">
        <f>VLOOKUP(O733,GLAPS정리!$BH$2:$BI$94,2,0)</f>
        <v>#N/A</v>
      </c>
      <c r="BW733" s="2" t="str">
        <f>IF(OR(Z733="동원",Z733="세방",Z733="한타"),"",IFERROR(INDEX(GLAPS정리!$BI$2:$BI$101,MATCH(Z733,GLAPS정리!$BH$2:$BH$101,0)),""))</f>
        <v/>
      </c>
      <c r="BX733" s="2" t="str">
        <f>IF(Z733="","",IFERROR(VLOOKUP(Z733,GLAPS정리!$AX$2:$AZ$17,3,0),""))</f>
        <v/>
      </c>
      <c r="BZ733" s="2" t="e">
        <f>VLOOKUP(H733,GLAPS정리!$L$3:$O$133,2,0)</f>
        <v>#N/A</v>
      </c>
      <c r="CA733" s="2" t="str">
        <f t="shared" si="172"/>
        <v/>
      </c>
      <c r="CL733" s="2" t="e">
        <f>VLOOKUP(AI733,GLAPS정리!$BT$3:$BV$26,3,0)</f>
        <v>#N/A</v>
      </c>
    </row>
    <row r="734" spans="2:90" ht="20.45" customHeight="1">
      <c r="B734" s="13"/>
      <c r="G734" s="3"/>
      <c r="J734" s="3"/>
      <c r="Q734" s="3" t="str">
        <f t="shared" si="160"/>
        <v/>
      </c>
      <c r="R734" s="3" t="str">
        <f t="shared" si="161"/>
        <v/>
      </c>
      <c r="S734" s="3" t="str">
        <f t="shared" si="162"/>
        <v/>
      </c>
      <c r="X734" s="13"/>
      <c r="Y734" s="13"/>
      <c r="Z734" s="91"/>
      <c r="AC734" s="2">
        <f t="shared" si="163"/>
        <v>20</v>
      </c>
      <c r="AD734" s="2" t="str">
        <f>IFERROR(INDEX(GLAPS정리!$D$2:$D$50,MATCH(I734,GLAPS정리!$A$2:$A$50,0)),IFERROR(INDEX(GLAPS정리!$D$2:$D$50,MATCH(I734,GLAPS정리!$B$2:$B$50,0)),""))</f>
        <v/>
      </c>
      <c r="AF734" s="2" t="str">
        <f t="shared" si="164"/>
        <v>KR10</v>
      </c>
      <c r="AI734" s="2" t="e">
        <f>VLOOKUP(F734,GLAPS정리!$G$3:$J$114,2,0)</f>
        <v>#N/A</v>
      </c>
      <c r="AJ734" s="2" t="e">
        <f>IF(Z734="울산정일","KRONS",IF(Z734="울산신항","KRUSN",IF(OR(Z734="선광종합물류(인천여객)",Z734="인천여객(인천여객)"),"KRINF",IF(OR(Z734="선광인천보세(인천신)",Z734="한진인천(인천신)",Z734="선광인천신항(인천신)",Z734="인천더로지스(인천신)"),"KRINN",IF(OR(Z734="인천진아(인천항)",Z734="인천E1(인천항)",Z734="인천SM경인터미널(인천항)",Z734="인천항(인천항)",Z734="인천우련(인천항)",Z734="인천항8부두(인천항)"),"KRINC",VLOOKUP(K734,GLAPS정리!$BB$2:$BC$33,2,0))))))</f>
        <v>#N/A</v>
      </c>
      <c r="AL734" s="2">
        <f t="shared" si="165"/>
        <v>5010001</v>
      </c>
      <c r="AN734" s="70" t="str">
        <f t="shared" si="166"/>
        <v>1900-01-00</v>
      </c>
      <c r="AO734" s="2" t="str">
        <f t="shared" si="167"/>
        <v/>
      </c>
      <c r="AP734" s="2" t="e">
        <f>VLOOKUP(C734,GLAPS정리!$AX$2:$AZ$17,3,0)</f>
        <v>#N/A</v>
      </c>
      <c r="AR734" s="2">
        <f t="shared" si="173"/>
        <v>0</v>
      </c>
      <c r="AX734" s="2" t="e">
        <f>VLOOKUP(L734,GLAPS정리!$V$3:$W$180,2,0)</f>
        <v>#N/A</v>
      </c>
      <c r="BM734" s="2" t="str">
        <f t="shared" si="168"/>
        <v xml:space="preserve"> </v>
      </c>
      <c r="BN734" s="2">
        <f t="shared" si="169"/>
        <v>1</v>
      </c>
      <c r="BR734" s="2" t="str">
        <f t="shared" si="170"/>
        <v/>
      </c>
      <c r="BS734" s="2" t="str">
        <f t="shared" si="171"/>
        <v/>
      </c>
      <c r="BV734" s="2" t="e">
        <f>VLOOKUP(O734,GLAPS정리!$BH$2:$BI$94,2,0)</f>
        <v>#N/A</v>
      </c>
      <c r="BW734" s="2" t="str">
        <f>IF(OR(Z734="동원",Z734="세방",Z734="한타"),"",IFERROR(INDEX(GLAPS정리!$BI$2:$BI$101,MATCH(Z734,GLAPS정리!$BH$2:$BH$101,0)),""))</f>
        <v/>
      </c>
      <c r="BX734" s="2" t="str">
        <f>IF(Z734="","",IFERROR(VLOOKUP(Z734,GLAPS정리!$AX$2:$AZ$17,3,0),""))</f>
        <v/>
      </c>
      <c r="BZ734" s="2" t="e">
        <f>VLOOKUP(H734,GLAPS정리!$L$3:$O$133,2,0)</f>
        <v>#N/A</v>
      </c>
      <c r="CA734" s="2" t="str">
        <f t="shared" si="172"/>
        <v/>
      </c>
      <c r="CL734" s="2" t="e">
        <f>VLOOKUP(AI734,GLAPS정리!$BT$3:$BV$26,3,0)</f>
        <v>#N/A</v>
      </c>
    </row>
    <row r="735" spans="2:90" ht="20.45" customHeight="1">
      <c r="B735" s="13"/>
      <c r="G735" s="3"/>
      <c r="J735" s="3"/>
      <c r="Q735" s="3" t="str">
        <f t="shared" si="160"/>
        <v/>
      </c>
      <c r="R735" s="3" t="str">
        <f t="shared" si="161"/>
        <v/>
      </c>
      <c r="S735" s="3" t="str">
        <f t="shared" si="162"/>
        <v/>
      </c>
      <c r="X735" s="13"/>
      <c r="Y735" s="13"/>
      <c r="Z735" s="91"/>
      <c r="AC735" s="2">
        <f t="shared" si="163"/>
        <v>20</v>
      </c>
      <c r="AD735" s="2" t="str">
        <f>IFERROR(INDEX(GLAPS정리!$D$2:$D$50,MATCH(I735,GLAPS정리!$A$2:$A$50,0)),IFERROR(INDEX(GLAPS정리!$D$2:$D$50,MATCH(I735,GLAPS정리!$B$2:$B$50,0)),""))</f>
        <v/>
      </c>
      <c r="AF735" s="2" t="str">
        <f t="shared" si="164"/>
        <v>KR10</v>
      </c>
      <c r="AI735" s="2" t="e">
        <f>VLOOKUP(F735,GLAPS정리!$G$3:$J$114,2,0)</f>
        <v>#N/A</v>
      </c>
      <c r="AJ735" s="2" t="e">
        <f>IF(Z735="울산정일","KRONS",IF(Z735="울산신항","KRUSN",IF(OR(Z735="선광종합물류(인천여객)",Z735="인천여객(인천여객)"),"KRINF",IF(OR(Z735="선광인천보세(인천신)",Z735="한진인천(인천신)",Z735="선광인천신항(인천신)",Z735="인천더로지스(인천신)"),"KRINN",IF(OR(Z735="인천진아(인천항)",Z735="인천E1(인천항)",Z735="인천SM경인터미널(인천항)",Z735="인천항(인천항)",Z735="인천우련(인천항)",Z735="인천항8부두(인천항)"),"KRINC",VLOOKUP(K735,GLAPS정리!$BB$2:$BC$33,2,0))))))</f>
        <v>#N/A</v>
      </c>
      <c r="AL735" s="2">
        <f t="shared" si="165"/>
        <v>5010001</v>
      </c>
      <c r="AN735" s="70" t="str">
        <f t="shared" si="166"/>
        <v>1900-01-00</v>
      </c>
      <c r="AO735" s="2" t="str">
        <f t="shared" si="167"/>
        <v/>
      </c>
      <c r="AP735" s="2" t="e">
        <f>VLOOKUP(C735,GLAPS정리!$AX$2:$AZ$17,3,0)</f>
        <v>#N/A</v>
      </c>
      <c r="AR735" s="2">
        <f t="shared" si="173"/>
        <v>0</v>
      </c>
      <c r="AX735" s="2" t="e">
        <f>VLOOKUP(L735,GLAPS정리!$V$3:$W$180,2,0)</f>
        <v>#N/A</v>
      </c>
      <c r="BM735" s="2" t="str">
        <f t="shared" si="168"/>
        <v xml:space="preserve"> </v>
      </c>
      <c r="BN735" s="2">
        <f t="shared" si="169"/>
        <v>1</v>
      </c>
      <c r="BR735" s="2" t="str">
        <f t="shared" si="170"/>
        <v/>
      </c>
      <c r="BS735" s="2" t="str">
        <f t="shared" si="171"/>
        <v/>
      </c>
      <c r="BV735" s="2" t="e">
        <f>VLOOKUP(O735,GLAPS정리!$BH$2:$BI$94,2,0)</f>
        <v>#N/A</v>
      </c>
      <c r="BW735" s="2" t="str">
        <f>IF(OR(Z735="동원",Z735="세방",Z735="한타"),"",IFERROR(INDEX(GLAPS정리!$BI$2:$BI$101,MATCH(Z735,GLAPS정리!$BH$2:$BH$101,0)),""))</f>
        <v/>
      </c>
      <c r="BX735" s="2" t="str">
        <f>IF(Z735="","",IFERROR(VLOOKUP(Z735,GLAPS정리!$AX$2:$AZ$17,3,0),""))</f>
        <v/>
      </c>
      <c r="BZ735" s="2" t="e">
        <f>VLOOKUP(H735,GLAPS정리!$L$3:$O$133,2,0)</f>
        <v>#N/A</v>
      </c>
      <c r="CA735" s="2" t="str">
        <f t="shared" si="172"/>
        <v/>
      </c>
      <c r="CL735" s="2" t="e">
        <f>VLOOKUP(AI735,GLAPS정리!$BT$3:$BV$26,3,0)</f>
        <v>#N/A</v>
      </c>
    </row>
    <row r="736" spans="2:90" ht="20.45" customHeight="1">
      <c r="B736" s="13"/>
      <c r="G736" s="3"/>
      <c r="J736" s="3"/>
      <c r="Q736" s="3" t="str">
        <f t="shared" si="160"/>
        <v/>
      </c>
      <c r="R736" s="3" t="str">
        <f t="shared" si="161"/>
        <v/>
      </c>
      <c r="S736" s="3" t="str">
        <f t="shared" si="162"/>
        <v/>
      </c>
      <c r="X736" s="13"/>
      <c r="Y736" s="13"/>
      <c r="Z736" s="91"/>
      <c r="AC736" s="2">
        <f t="shared" si="163"/>
        <v>20</v>
      </c>
      <c r="AD736" s="2" t="str">
        <f>IFERROR(INDEX(GLAPS정리!$D$2:$D$50,MATCH(I736,GLAPS정리!$A$2:$A$50,0)),IFERROR(INDEX(GLAPS정리!$D$2:$D$50,MATCH(I736,GLAPS정리!$B$2:$B$50,0)),""))</f>
        <v/>
      </c>
      <c r="AF736" s="2" t="str">
        <f t="shared" si="164"/>
        <v>KR10</v>
      </c>
      <c r="AI736" s="2" t="e">
        <f>VLOOKUP(F736,GLAPS정리!$G$3:$J$114,2,0)</f>
        <v>#N/A</v>
      </c>
      <c r="AJ736" s="2" t="e">
        <f>IF(Z736="울산정일","KRONS",IF(Z736="울산신항","KRUSN",IF(OR(Z736="선광종합물류(인천여객)",Z736="인천여객(인천여객)"),"KRINF",IF(OR(Z736="선광인천보세(인천신)",Z736="한진인천(인천신)",Z736="선광인천신항(인천신)",Z736="인천더로지스(인천신)"),"KRINN",IF(OR(Z736="인천진아(인천항)",Z736="인천E1(인천항)",Z736="인천SM경인터미널(인천항)",Z736="인천항(인천항)",Z736="인천우련(인천항)",Z736="인천항8부두(인천항)"),"KRINC",VLOOKUP(K736,GLAPS정리!$BB$2:$BC$33,2,0))))))</f>
        <v>#N/A</v>
      </c>
      <c r="AL736" s="2">
        <f t="shared" si="165"/>
        <v>5010001</v>
      </c>
      <c r="AN736" s="70" t="str">
        <f t="shared" si="166"/>
        <v>1900-01-00</v>
      </c>
      <c r="AO736" s="2" t="str">
        <f t="shared" si="167"/>
        <v/>
      </c>
      <c r="AP736" s="2" t="e">
        <f>VLOOKUP(C736,GLAPS정리!$AX$2:$AZ$17,3,0)</f>
        <v>#N/A</v>
      </c>
      <c r="AR736" s="2">
        <f t="shared" si="173"/>
        <v>0</v>
      </c>
      <c r="AX736" s="2" t="e">
        <f>VLOOKUP(L736,GLAPS정리!$V$3:$W$180,2,0)</f>
        <v>#N/A</v>
      </c>
      <c r="BM736" s="2" t="str">
        <f t="shared" si="168"/>
        <v xml:space="preserve"> </v>
      </c>
      <c r="BN736" s="2">
        <f t="shared" si="169"/>
        <v>1</v>
      </c>
      <c r="BR736" s="2" t="str">
        <f t="shared" si="170"/>
        <v/>
      </c>
      <c r="BS736" s="2" t="str">
        <f t="shared" si="171"/>
        <v/>
      </c>
      <c r="BV736" s="2" t="e">
        <f>VLOOKUP(O736,GLAPS정리!$BH$2:$BI$94,2,0)</f>
        <v>#N/A</v>
      </c>
      <c r="BW736" s="2" t="str">
        <f>IF(OR(Z736="동원",Z736="세방",Z736="한타"),"",IFERROR(INDEX(GLAPS정리!$BI$2:$BI$101,MATCH(Z736,GLAPS정리!$BH$2:$BH$101,0)),""))</f>
        <v/>
      </c>
      <c r="BX736" s="2" t="str">
        <f>IF(Z736="","",IFERROR(VLOOKUP(Z736,GLAPS정리!$AX$2:$AZ$17,3,0),""))</f>
        <v/>
      </c>
      <c r="BZ736" s="2" t="e">
        <f>VLOOKUP(H736,GLAPS정리!$L$3:$O$133,2,0)</f>
        <v>#N/A</v>
      </c>
      <c r="CA736" s="2" t="str">
        <f t="shared" si="172"/>
        <v/>
      </c>
      <c r="CL736" s="2" t="e">
        <f>VLOOKUP(AI736,GLAPS정리!$BT$3:$BV$26,3,0)</f>
        <v>#N/A</v>
      </c>
    </row>
    <row r="737" spans="2:90" ht="20.45" customHeight="1">
      <c r="B737" s="13"/>
      <c r="G737" s="3"/>
      <c r="J737" s="3"/>
      <c r="Q737" s="3" t="str">
        <f t="shared" si="160"/>
        <v/>
      </c>
      <c r="R737" s="3" t="str">
        <f t="shared" si="161"/>
        <v/>
      </c>
      <c r="S737" s="3" t="str">
        <f t="shared" si="162"/>
        <v/>
      </c>
      <c r="X737" s="13"/>
      <c r="Y737" s="13"/>
      <c r="Z737" s="91"/>
      <c r="AC737" s="2">
        <f t="shared" si="163"/>
        <v>20</v>
      </c>
      <c r="AD737" s="2" t="str">
        <f>IFERROR(INDEX(GLAPS정리!$D$2:$D$50,MATCH(I737,GLAPS정리!$A$2:$A$50,0)),IFERROR(INDEX(GLAPS정리!$D$2:$D$50,MATCH(I737,GLAPS정리!$B$2:$B$50,0)),""))</f>
        <v/>
      </c>
      <c r="AF737" s="2" t="str">
        <f t="shared" si="164"/>
        <v>KR10</v>
      </c>
      <c r="AI737" s="2" t="e">
        <f>VLOOKUP(F737,GLAPS정리!$G$3:$J$114,2,0)</f>
        <v>#N/A</v>
      </c>
      <c r="AJ737" s="2" t="e">
        <f>IF(Z737="울산정일","KRONS",IF(Z737="울산신항","KRUSN",IF(OR(Z737="선광종합물류(인천여객)",Z737="인천여객(인천여객)"),"KRINF",IF(OR(Z737="선광인천보세(인천신)",Z737="한진인천(인천신)",Z737="선광인천신항(인천신)",Z737="인천더로지스(인천신)"),"KRINN",IF(OR(Z737="인천진아(인천항)",Z737="인천E1(인천항)",Z737="인천SM경인터미널(인천항)",Z737="인천항(인천항)",Z737="인천우련(인천항)",Z737="인천항8부두(인천항)"),"KRINC",VLOOKUP(K737,GLAPS정리!$BB$2:$BC$33,2,0))))))</f>
        <v>#N/A</v>
      </c>
      <c r="AL737" s="2">
        <f t="shared" si="165"/>
        <v>5010001</v>
      </c>
      <c r="AN737" s="70" t="str">
        <f t="shared" si="166"/>
        <v>1900-01-00</v>
      </c>
      <c r="AO737" s="2" t="str">
        <f t="shared" si="167"/>
        <v/>
      </c>
      <c r="AP737" s="2" t="e">
        <f>VLOOKUP(C737,GLAPS정리!$AX$2:$AZ$17,3,0)</f>
        <v>#N/A</v>
      </c>
      <c r="AR737" s="2">
        <f t="shared" si="173"/>
        <v>0</v>
      </c>
      <c r="AX737" s="2" t="e">
        <f>VLOOKUP(L737,GLAPS정리!$V$3:$W$180,2,0)</f>
        <v>#N/A</v>
      </c>
      <c r="BM737" s="2" t="str">
        <f t="shared" si="168"/>
        <v xml:space="preserve"> </v>
      </c>
      <c r="BN737" s="2">
        <f t="shared" si="169"/>
        <v>1</v>
      </c>
      <c r="BR737" s="2" t="str">
        <f t="shared" si="170"/>
        <v/>
      </c>
      <c r="BS737" s="2" t="str">
        <f t="shared" si="171"/>
        <v/>
      </c>
      <c r="BV737" s="2" t="e">
        <f>VLOOKUP(O737,GLAPS정리!$BH$2:$BI$94,2,0)</f>
        <v>#N/A</v>
      </c>
      <c r="BW737" s="2" t="str">
        <f>IF(OR(Z737="동원",Z737="세방",Z737="한타"),"",IFERROR(INDEX(GLAPS정리!$BI$2:$BI$101,MATCH(Z737,GLAPS정리!$BH$2:$BH$101,0)),""))</f>
        <v/>
      </c>
      <c r="BX737" s="2" t="str">
        <f>IF(Z737="","",IFERROR(VLOOKUP(Z737,GLAPS정리!$AX$2:$AZ$17,3,0),""))</f>
        <v/>
      </c>
      <c r="BZ737" s="2" t="e">
        <f>VLOOKUP(H737,GLAPS정리!$L$3:$O$133,2,0)</f>
        <v>#N/A</v>
      </c>
      <c r="CA737" s="2" t="str">
        <f t="shared" si="172"/>
        <v/>
      </c>
      <c r="CL737" s="2" t="e">
        <f>VLOOKUP(AI737,GLAPS정리!$BT$3:$BV$26,3,0)</f>
        <v>#N/A</v>
      </c>
    </row>
    <row r="738" spans="2:90" ht="20.45" customHeight="1">
      <c r="B738" s="13"/>
      <c r="G738" s="3"/>
      <c r="J738" s="3"/>
      <c r="Q738" s="3" t="str">
        <f t="shared" si="160"/>
        <v/>
      </c>
      <c r="R738" s="3" t="str">
        <f t="shared" si="161"/>
        <v/>
      </c>
      <c r="S738" s="3" t="str">
        <f t="shared" si="162"/>
        <v/>
      </c>
      <c r="X738" s="13"/>
      <c r="Y738" s="13"/>
      <c r="Z738" s="91"/>
      <c r="AC738" s="2">
        <f t="shared" si="163"/>
        <v>20</v>
      </c>
      <c r="AD738" s="2" t="str">
        <f>IFERROR(INDEX(GLAPS정리!$D$2:$D$50,MATCH(I738,GLAPS정리!$A$2:$A$50,0)),IFERROR(INDEX(GLAPS정리!$D$2:$D$50,MATCH(I738,GLAPS정리!$B$2:$B$50,0)),""))</f>
        <v/>
      </c>
      <c r="AF738" s="2" t="str">
        <f t="shared" si="164"/>
        <v>KR10</v>
      </c>
      <c r="AI738" s="2" t="e">
        <f>VLOOKUP(F738,GLAPS정리!$G$3:$J$114,2,0)</f>
        <v>#N/A</v>
      </c>
      <c r="AJ738" s="2" t="e">
        <f>IF(Z738="울산정일","KRONS",IF(Z738="울산신항","KRUSN",IF(OR(Z738="선광종합물류(인천여객)",Z738="인천여객(인천여객)"),"KRINF",IF(OR(Z738="선광인천보세(인천신)",Z738="한진인천(인천신)",Z738="선광인천신항(인천신)",Z738="인천더로지스(인천신)"),"KRINN",IF(OR(Z738="인천진아(인천항)",Z738="인천E1(인천항)",Z738="인천SM경인터미널(인천항)",Z738="인천항(인천항)",Z738="인천우련(인천항)",Z738="인천항8부두(인천항)"),"KRINC",VLOOKUP(K738,GLAPS정리!$BB$2:$BC$33,2,0))))))</f>
        <v>#N/A</v>
      </c>
      <c r="AL738" s="2">
        <f t="shared" si="165"/>
        <v>5010001</v>
      </c>
      <c r="AN738" s="70" t="str">
        <f t="shared" si="166"/>
        <v>1900-01-00</v>
      </c>
      <c r="AO738" s="2" t="str">
        <f t="shared" si="167"/>
        <v/>
      </c>
      <c r="AP738" s="2" t="e">
        <f>VLOOKUP(C738,GLAPS정리!$AX$2:$AZ$17,3,0)</f>
        <v>#N/A</v>
      </c>
      <c r="AR738" s="2">
        <f t="shared" si="173"/>
        <v>0</v>
      </c>
      <c r="AX738" s="2" t="e">
        <f>VLOOKUP(L738,GLAPS정리!$V$3:$W$180,2,0)</f>
        <v>#N/A</v>
      </c>
      <c r="BM738" s="2" t="str">
        <f t="shared" si="168"/>
        <v xml:space="preserve"> </v>
      </c>
      <c r="BN738" s="2">
        <f t="shared" si="169"/>
        <v>1</v>
      </c>
      <c r="BR738" s="2" t="str">
        <f t="shared" si="170"/>
        <v/>
      </c>
      <c r="BS738" s="2" t="str">
        <f t="shared" si="171"/>
        <v/>
      </c>
      <c r="BV738" s="2" t="e">
        <f>VLOOKUP(O738,GLAPS정리!$BH$2:$BI$94,2,0)</f>
        <v>#N/A</v>
      </c>
      <c r="BW738" s="2" t="str">
        <f>IF(OR(Z738="동원",Z738="세방",Z738="한타"),"",IFERROR(INDEX(GLAPS정리!$BI$2:$BI$101,MATCH(Z738,GLAPS정리!$BH$2:$BH$101,0)),""))</f>
        <v/>
      </c>
      <c r="BX738" s="2" t="str">
        <f>IF(Z738="","",IFERROR(VLOOKUP(Z738,GLAPS정리!$AX$2:$AZ$17,3,0),""))</f>
        <v/>
      </c>
      <c r="BZ738" s="2" t="e">
        <f>VLOOKUP(H738,GLAPS정리!$L$3:$O$133,2,0)</f>
        <v>#N/A</v>
      </c>
      <c r="CA738" s="2" t="str">
        <f t="shared" si="172"/>
        <v/>
      </c>
      <c r="CL738" s="2" t="e">
        <f>VLOOKUP(AI738,GLAPS정리!$BT$3:$BV$26,3,0)</f>
        <v>#N/A</v>
      </c>
    </row>
    <row r="739" spans="2:90" ht="20.45" customHeight="1">
      <c r="B739" s="13"/>
      <c r="G739" s="3"/>
      <c r="J739" s="3"/>
      <c r="Q739" s="3" t="str">
        <f t="shared" si="160"/>
        <v/>
      </c>
      <c r="R739" s="3" t="str">
        <f t="shared" si="161"/>
        <v/>
      </c>
      <c r="S739" s="3" t="str">
        <f t="shared" si="162"/>
        <v/>
      </c>
      <c r="X739" s="13"/>
      <c r="Y739" s="13"/>
      <c r="Z739" s="91"/>
      <c r="AC739" s="2">
        <f t="shared" si="163"/>
        <v>20</v>
      </c>
      <c r="AD739" s="2" t="str">
        <f>IFERROR(INDEX(GLAPS정리!$D$2:$D$50,MATCH(I739,GLAPS정리!$A$2:$A$50,0)),IFERROR(INDEX(GLAPS정리!$D$2:$D$50,MATCH(I739,GLAPS정리!$B$2:$B$50,0)),""))</f>
        <v/>
      </c>
      <c r="AF739" s="2" t="str">
        <f t="shared" si="164"/>
        <v>KR10</v>
      </c>
      <c r="AI739" s="2" t="e">
        <f>VLOOKUP(F739,GLAPS정리!$G$3:$J$114,2,0)</f>
        <v>#N/A</v>
      </c>
      <c r="AJ739" s="2" t="e">
        <f>IF(Z739="울산정일","KRONS",IF(Z739="울산신항","KRUSN",IF(OR(Z739="선광종합물류(인천여객)",Z739="인천여객(인천여객)"),"KRINF",IF(OR(Z739="선광인천보세(인천신)",Z739="한진인천(인천신)",Z739="선광인천신항(인천신)",Z739="인천더로지스(인천신)"),"KRINN",IF(OR(Z739="인천진아(인천항)",Z739="인천E1(인천항)",Z739="인천SM경인터미널(인천항)",Z739="인천항(인천항)",Z739="인천우련(인천항)",Z739="인천항8부두(인천항)"),"KRINC",VLOOKUP(K739,GLAPS정리!$BB$2:$BC$33,2,0))))))</f>
        <v>#N/A</v>
      </c>
      <c r="AL739" s="2">
        <f t="shared" si="165"/>
        <v>5010001</v>
      </c>
      <c r="AN739" s="70" t="str">
        <f t="shared" si="166"/>
        <v>1900-01-00</v>
      </c>
      <c r="AO739" s="2" t="str">
        <f t="shared" si="167"/>
        <v/>
      </c>
      <c r="AP739" s="2" t="e">
        <f>VLOOKUP(C739,GLAPS정리!$AX$2:$AZ$17,3,0)</f>
        <v>#N/A</v>
      </c>
      <c r="AR739" s="2">
        <f t="shared" si="173"/>
        <v>0</v>
      </c>
      <c r="AX739" s="2" t="e">
        <f>VLOOKUP(L739,GLAPS정리!$V$3:$W$180,2,0)</f>
        <v>#N/A</v>
      </c>
      <c r="BM739" s="2" t="str">
        <f t="shared" si="168"/>
        <v xml:space="preserve"> </v>
      </c>
      <c r="BN739" s="2">
        <f t="shared" si="169"/>
        <v>1</v>
      </c>
      <c r="BR739" s="2" t="str">
        <f t="shared" si="170"/>
        <v/>
      </c>
      <c r="BS739" s="2" t="str">
        <f t="shared" si="171"/>
        <v/>
      </c>
      <c r="BV739" s="2" t="e">
        <f>VLOOKUP(O739,GLAPS정리!$BH$2:$BI$94,2,0)</f>
        <v>#N/A</v>
      </c>
      <c r="BW739" s="2" t="str">
        <f>IF(OR(Z739="동원",Z739="세방",Z739="한타"),"",IFERROR(INDEX(GLAPS정리!$BI$2:$BI$101,MATCH(Z739,GLAPS정리!$BH$2:$BH$101,0)),""))</f>
        <v/>
      </c>
      <c r="BX739" s="2" t="str">
        <f>IF(Z739="","",IFERROR(VLOOKUP(Z739,GLAPS정리!$AX$2:$AZ$17,3,0),""))</f>
        <v/>
      </c>
      <c r="BZ739" s="2" t="e">
        <f>VLOOKUP(H739,GLAPS정리!$L$3:$O$133,2,0)</f>
        <v>#N/A</v>
      </c>
      <c r="CA739" s="2" t="str">
        <f t="shared" si="172"/>
        <v/>
      </c>
      <c r="CL739" s="2" t="e">
        <f>VLOOKUP(AI739,GLAPS정리!$BT$3:$BV$26,3,0)</f>
        <v>#N/A</v>
      </c>
    </row>
    <row r="740" spans="2:90" ht="20.45" customHeight="1">
      <c r="B740" s="13"/>
      <c r="G740" s="3"/>
      <c r="J740" s="3"/>
      <c r="Q740" s="3" t="str">
        <f t="shared" si="160"/>
        <v/>
      </c>
      <c r="R740" s="3" t="str">
        <f t="shared" si="161"/>
        <v/>
      </c>
      <c r="S740" s="3" t="str">
        <f t="shared" si="162"/>
        <v/>
      </c>
      <c r="X740" s="13"/>
      <c r="Y740" s="13"/>
      <c r="Z740" s="91"/>
      <c r="AC740" s="2">
        <f t="shared" si="163"/>
        <v>20</v>
      </c>
      <c r="AD740" s="2" t="str">
        <f>IFERROR(INDEX(GLAPS정리!$D$2:$D$50,MATCH(I740,GLAPS정리!$A$2:$A$50,0)),IFERROR(INDEX(GLAPS정리!$D$2:$D$50,MATCH(I740,GLAPS정리!$B$2:$B$50,0)),""))</f>
        <v/>
      </c>
      <c r="AF740" s="2" t="str">
        <f t="shared" si="164"/>
        <v>KR10</v>
      </c>
      <c r="AI740" s="2" t="e">
        <f>VLOOKUP(F740,GLAPS정리!$G$3:$J$114,2,0)</f>
        <v>#N/A</v>
      </c>
      <c r="AJ740" s="2" t="e">
        <f>IF(Z740="울산정일","KRONS",IF(Z740="울산신항","KRUSN",IF(OR(Z740="선광종합물류(인천여객)",Z740="인천여객(인천여객)"),"KRINF",IF(OR(Z740="선광인천보세(인천신)",Z740="한진인천(인천신)",Z740="선광인천신항(인천신)",Z740="인천더로지스(인천신)"),"KRINN",IF(OR(Z740="인천진아(인천항)",Z740="인천E1(인천항)",Z740="인천SM경인터미널(인천항)",Z740="인천항(인천항)",Z740="인천우련(인천항)",Z740="인천항8부두(인천항)"),"KRINC",VLOOKUP(K740,GLAPS정리!$BB$2:$BC$33,2,0))))))</f>
        <v>#N/A</v>
      </c>
      <c r="AL740" s="2">
        <f t="shared" si="165"/>
        <v>5010001</v>
      </c>
      <c r="AN740" s="70" t="str">
        <f t="shared" si="166"/>
        <v>1900-01-00</v>
      </c>
      <c r="AO740" s="2" t="str">
        <f t="shared" si="167"/>
        <v/>
      </c>
      <c r="AP740" s="2" t="e">
        <f>VLOOKUP(C740,GLAPS정리!$AX$2:$AZ$17,3,0)</f>
        <v>#N/A</v>
      </c>
      <c r="AR740" s="2">
        <f t="shared" si="173"/>
        <v>0</v>
      </c>
      <c r="AX740" s="2" t="e">
        <f>VLOOKUP(L740,GLAPS정리!$V$3:$W$180,2,0)</f>
        <v>#N/A</v>
      </c>
      <c r="BM740" s="2" t="str">
        <f t="shared" si="168"/>
        <v xml:space="preserve"> </v>
      </c>
      <c r="BN740" s="2">
        <f t="shared" si="169"/>
        <v>1</v>
      </c>
      <c r="BR740" s="2" t="str">
        <f t="shared" si="170"/>
        <v/>
      </c>
      <c r="BS740" s="2" t="str">
        <f t="shared" si="171"/>
        <v/>
      </c>
      <c r="BV740" s="2" t="e">
        <f>VLOOKUP(O740,GLAPS정리!$BH$2:$BI$94,2,0)</f>
        <v>#N/A</v>
      </c>
      <c r="BW740" s="2" t="str">
        <f>IF(OR(Z740="동원",Z740="세방",Z740="한타"),"",IFERROR(INDEX(GLAPS정리!$BI$2:$BI$101,MATCH(Z740,GLAPS정리!$BH$2:$BH$101,0)),""))</f>
        <v/>
      </c>
      <c r="BX740" s="2" t="str">
        <f>IF(Z740="","",IFERROR(VLOOKUP(Z740,GLAPS정리!$AX$2:$AZ$17,3,0),""))</f>
        <v/>
      </c>
      <c r="BZ740" s="2" t="e">
        <f>VLOOKUP(H740,GLAPS정리!$L$3:$O$133,2,0)</f>
        <v>#N/A</v>
      </c>
      <c r="CA740" s="2" t="str">
        <f t="shared" si="172"/>
        <v/>
      </c>
      <c r="CL740" s="2" t="e">
        <f>VLOOKUP(AI740,GLAPS정리!$BT$3:$BV$26,3,0)</f>
        <v>#N/A</v>
      </c>
    </row>
    <row r="741" spans="2:90" ht="20.45" customHeight="1">
      <c r="B741" s="13"/>
      <c r="G741" s="3"/>
      <c r="J741" s="3"/>
      <c r="Q741" s="3" t="str">
        <f t="shared" si="160"/>
        <v/>
      </c>
      <c r="R741" s="3" t="str">
        <f t="shared" si="161"/>
        <v/>
      </c>
      <c r="S741" s="3" t="str">
        <f t="shared" si="162"/>
        <v/>
      </c>
      <c r="X741" s="13"/>
      <c r="Y741" s="13"/>
      <c r="Z741" s="91"/>
      <c r="AC741" s="2">
        <f t="shared" si="163"/>
        <v>20</v>
      </c>
      <c r="AD741" s="2" t="str">
        <f>IFERROR(INDEX(GLAPS정리!$D$2:$D$50,MATCH(I741,GLAPS정리!$A$2:$A$50,0)),IFERROR(INDEX(GLAPS정리!$D$2:$D$50,MATCH(I741,GLAPS정리!$B$2:$B$50,0)),""))</f>
        <v/>
      </c>
      <c r="AF741" s="2" t="str">
        <f t="shared" si="164"/>
        <v>KR10</v>
      </c>
      <c r="AI741" s="2" t="e">
        <f>VLOOKUP(F741,GLAPS정리!$G$3:$J$114,2,0)</f>
        <v>#N/A</v>
      </c>
      <c r="AJ741" s="2" t="e">
        <f>IF(Z741="울산정일","KRONS",IF(Z741="울산신항","KRUSN",IF(OR(Z741="선광종합물류(인천여객)",Z741="인천여객(인천여객)"),"KRINF",IF(OR(Z741="선광인천보세(인천신)",Z741="한진인천(인천신)",Z741="선광인천신항(인천신)",Z741="인천더로지스(인천신)"),"KRINN",IF(OR(Z741="인천진아(인천항)",Z741="인천E1(인천항)",Z741="인천SM경인터미널(인천항)",Z741="인천항(인천항)",Z741="인천우련(인천항)",Z741="인천항8부두(인천항)"),"KRINC",VLOOKUP(K741,GLAPS정리!$BB$2:$BC$33,2,0))))))</f>
        <v>#N/A</v>
      </c>
      <c r="AL741" s="2">
        <f t="shared" si="165"/>
        <v>5010001</v>
      </c>
      <c r="AN741" s="70" t="str">
        <f t="shared" si="166"/>
        <v>1900-01-00</v>
      </c>
      <c r="AO741" s="2" t="str">
        <f t="shared" si="167"/>
        <v/>
      </c>
      <c r="AP741" s="2" t="e">
        <f>VLOOKUP(C741,GLAPS정리!$AX$2:$AZ$17,3,0)</f>
        <v>#N/A</v>
      </c>
      <c r="AR741" s="2">
        <f t="shared" si="173"/>
        <v>0</v>
      </c>
      <c r="AX741" s="2" t="e">
        <f>VLOOKUP(L741,GLAPS정리!$V$3:$W$180,2,0)</f>
        <v>#N/A</v>
      </c>
      <c r="BM741" s="2" t="str">
        <f t="shared" si="168"/>
        <v xml:space="preserve"> </v>
      </c>
      <c r="BN741" s="2">
        <f t="shared" si="169"/>
        <v>1</v>
      </c>
      <c r="BR741" s="2" t="str">
        <f t="shared" si="170"/>
        <v/>
      </c>
      <c r="BS741" s="2" t="str">
        <f t="shared" si="171"/>
        <v/>
      </c>
      <c r="BV741" s="2" t="e">
        <f>VLOOKUP(O741,GLAPS정리!$BH$2:$BI$94,2,0)</f>
        <v>#N/A</v>
      </c>
      <c r="BW741" s="2" t="str">
        <f>IF(OR(Z741="동원",Z741="세방",Z741="한타"),"",IFERROR(INDEX(GLAPS정리!$BI$2:$BI$101,MATCH(Z741,GLAPS정리!$BH$2:$BH$101,0)),""))</f>
        <v/>
      </c>
      <c r="BX741" s="2" t="str">
        <f>IF(Z741="","",IFERROR(VLOOKUP(Z741,GLAPS정리!$AX$2:$AZ$17,3,0),""))</f>
        <v/>
      </c>
      <c r="BZ741" s="2" t="e">
        <f>VLOOKUP(H741,GLAPS정리!$L$3:$O$133,2,0)</f>
        <v>#N/A</v>
      </c>
      <c r="CA741" s="2" t="str">
        <f t="shared" si="172"/>
        <v/>
      </c>
      <c r="CL741" s="2" t="e">
        <f>VLOOKUP(AI741,GLAPS정리!$BT$3:$BV$26,3,0)</f>
        <v>#N/A</v>
      </c>
    </row>
    <row r="742" spans="2:90" ht="20.45" customHeight="1">
      <c r="B742" s="13"/>
      <c r="G742" s="3"/>
      <c r="J742" s="3"/>
      <c r="Q742" s="3" t="str">
        <f t="shared" si="160"/>
        <v/>
      </c>
      <c r="R742" s="3" t="str">
        <f t="shared" si="161"/>
        <v/>
      </c>
      <c r="S742" s="3" t="str">
        <f t="shared" si="162"/>
        <v/>
      </c>
      <c r="X742" s="13"/>
      <c r="Y742" s="13"/>
      <c r="Z742" s="91"/>
      <c r="AC742" s="2">
        <f t="shared" si="163"/>
        <v>20</v>
      </c>
      <c r="AD742" s="2" t="str">
        <f>IFERROR(INDEX(GLAPS정리!$D$2:$D$50,MATCH(I742,GLAPS정리!$A$2:$A$50,0)),IFERROR(INDEX(GLAPS정리!$D$2:$D$50,MATCH(I742,GLAPS정리!$B$2:$B$50,0)),""))</f>
        <v/>
      </c>
      <c r="AF742" s="2" t="str">
        <f t="shared" si="164"/>
        <v>KR10</v>
      </c>
      <c r="AI742" s="2" t="e">
        <f>VLOOKUP(F742,GLAPS정리!$G$3:$J$114,2,0)</f>
        <v>#N/A</v>
      </c>
      <c r="AJ742" s="2" t="e">
        <f>IF(Z742="울산정일","KRONS",IF(Z742="울산신항","KRUSN",IF(OR(Z742="선광종합물류(인천여객)",Z742="인천여객(인천여객)"),"KRINF",IF(OR(Z742="선광인천보세(인천신)",Z742="한진인천(인천신)",Z742="선광인천신항(인천신)",Z742="인천더로지스(인천신)"),"KRINN",IF(OR(Z742="인천진아(인천항)",Z742="인천E1(인천항)",Z742="인천SM경인터미널(인천항)",Z742="인천항(인천항)",Z742="인천우련(인천항)",Z742="인천항8부두(인천항)"),"KRINC",VLOOKUP(K742,GLAPS정리!$BB$2:$BC$33,2,0))))))</f>
        <v>#N/A</v>
      </c>
      <c r="AL742" s="2">
        <f t="shared" si="165"/>
        <v>5010001</v>
      </c>
      <c r="AN742" s="70" t="str">
        <f t="shared" si="166"/>
        <v>1900-01-00</v>
      </c>
      <c r="AO742" s="2" t="str">
        <f t="shared" si="167"/>
        <v/>
      </c>
      <c r="AP742" s="2" t="e">
        <f>VLOOKUP(C742,GLAPS정리!$AX$2:$AZ$17,3,0)</f>
        <v>#N/A</v>
      </c>
      <c r="AR742" s="2">
        <f t="shared" si="173"/>
        <v>0</v>
      </c>
      <c r="AX742" s="2" t="e">
        <f>VLOOKUP(L742,GLAPS정리!$V$3:$W$180,2,0)</f>
        <v>#N/A</v>
      </c>
      <c r="BM742" s="2" t="str">
        <f t="shared" si="168"/>
        <v xml:space="preserve"> </v>
      </c>
      <c r="BN742" s="2">
        <f t="shared" si="169"/>
        <v>1</v>
      </c>
      <c r="BR742" s="2" t="str">
        <f t="shared" si="170"/>
        <v/>
      </c>
      <c r="BS742" s="2" t="str">
        <f t="shared" si="171"/>
        <v/>
      </c>
      <c r="BV742" s="2" t="e">
        <f>VLOOKUP(O742,GLAPS정리!$BH$2:$BI$94,2,0)</f>
        <v>#N/A</v>
      </c>
      <c r="BW742" s="2" t="str">
        <f>IF(OR(Z742="동원",Z742="세방",Z742="한타"),"",IFERROR(INDEX(GLAPS정리!$BI$2:$BI$101,MATCH(Z742,GLAPS정리!$BH$2:$BH$101,0)),""))</f>
        <v/>
      </c>
      <c r="BX742" s="2" t="str">
        <f>IF(Z742="","",IFERROR(VLOOKUP(Z742,GLAPS정리!$AX$2:$AZ$17,3,0),""))</f>
        <v/>
      </c>
      <c r="BZ742" s="2" t="e">
        <f>VLOOKUP(H742,GLAPS정리!$L$3:$O$133,2,0)</f>
        <v>#N/A</v>
      </c>
      <c r="CA742" s="2" t="str">
        <f t="shared" si="172"/>
        <v/>
      </c>
      <c r="CL742" s="2" t="e">
        <f>VLOOKUP(AI742,GLAPS정리!$BT$3:$BV$26,3,0)</f>
        <v>#N/A</v>
      </c>
    </row>
    <row r="743" spans="2:90" ht="20.45" customHeight="1">
      <c r="B743" s="13"/>
      <c r="G743" s="3"/>
      <c r="J743" s="3"/>
      <c r="Q743" s="3" t="str">
        <f t="shared" si="160"/>
        <v/>
      </c>
      <c r="R743" s="3" t="str">
        <f t="shared" si="161"/>
        <v/>
      </c>
      <c r="S743" s="3" t="str">
        <f t="shared" si="162"/>
        <v/>
      </c>
      <c r="X743" s="13"/>
      <c r="Y743" s="13"/>
      <c r="Z743" s="91"/>
      <c r="AC743" s="2">
        <f t="shared" si="163"/>
        <v>20</v>
      </c>
      <c r="AD743" s="2" t="str">
        <f>IFERROR(INDEX(GLAPS정리!$D$2:$D$50,MATCH(I743,GLAPS정리!$A$2:$A$50,0)),IFERROR(INDEX(GLAPS정리!$D$2:$D$50,MATCH(I743,GLAPS정리!$B$2:$B$50,0)),""))</f>
        <v/>
      </c>
      <c r="AF743" s="2" t="str">
        <f t="shared" si="164"/>
        <v>KR10</v>
      </c>
      <c r="AI743" s="2" t="e">
        <f>VLOOKUP(F743,GLAPS정리!$G$3:$J$114,2,0)</f>
        <v>#N/A</v>
      </c>
      <c r="AJ743" s="2" t="e">
        <f>IF(Z743="울산정일","KRONS",IF(Z743="울산신항","KRUSN",IF(OR(Z743="선광종합물류(인천여객)",Z743="인천여객(인천여객)"),"KRINF",IF(OR(Z743="선광인천보세(인천신)",Z743="한진인천(인천신)",Z743="선광인천신항(인천신)",Z743="인천더로지스(인천신)"),"KRINN",IF(OR(Z743="인천진아(인천항)",Z743="인천E1(인천항)",Z743="인천SM경인터미널(인천항)",Z743="인천항(인천항)",Z743="인천우련(인천항)",Z743="인천항8부두(인천항)"),"KRINC",VLOOKUP(K743,GLAPS정리!$BB$2:$BC$33,2,0))))))</f>
        <v>#N/A</v>
      </c>
      <c r="AL743" s="2">
        <f t="shared" si="165"/>
        <v>5010001</v>
      </c>
      <c r="AN743" s="70" t="str">
        <f t="shared" si="166"/>
        <v>1900-01-00</v>
      </c>
      <c r="AO743" s="2" t="str">
        <f t="shared" si="167"/>
        <v/>
      </c>
      <c r="AP743" s="2" t="e">
        <f>VLOOKUP(C743,GLAPS정리!$AX$2:$AZ$17,3,0)</f>
        <v>#N/A</v>
      </c>
      <c r="AR743" s="2">
        <f t="shared" si="173"/>
        <v>0</v>
      </c>
      <c r="AX743" s="2" t="e">
        <f>VLOOKUP(L743,GLAPS정리!$V$3:$W$180,2,0)</f>
        <v>#N/A</v>
      </c>
      <c r="BM743" s="2" t="str">
        <f t="shared" si="168"/>
        <v xml:space="preserve"> </v>
      </c>
      <c r="BN743" s="2">
        <f t="shared" si="169"/>
        <v>1</v>
      </c>
      <c r="BR743" s="2" t="str">
        <f t="shared" si="170"/>
        <v/>
      </c>
      <c r="BS743" s="2" t="str">
        <f t="shared" si="171"/>
        <v/>
      </c>
      <c r="BV743" s="2" t="e">
        <f>VLOOKUP(O743,GLAPS정리!$BH$2:$BI$94,2,0)</f>
        <v>#N/A</v>
      </c>
      <c r="BW743" s="2" t="str">
        <f>IF(OR(Z743="동원",Z743="세방",Z743="한타"),"",IFERROR(INDEX(GLAPS정리!$BI$2:$BI$101,MATCH(Z743,GLAPS정리!$BH$2:$BH$101,0)),""))</f>
        <v/>
      </c>
      <c r="BX743" s="2" t="str">
        <f>IF(Z743="","",IFERROR(VLOOKUP(Z743,GLAPS정리!$AX$2:$AZ$17,3,0),""))</f>
        <v/>
      </c>
      <c r="BZ743" s="2" t="e">
        <f>VLOOKUP(H743,GLAPS정리!$L$3:$O$133,2,0)</f>
        <v>#N/A</v>
      </c>
      <c r="CA743" s="2" t="str">
        <f t="shared" si="172"/>
        <v/>
      </c>
      <c r="CL743" s="2" t="e">
        <f>VLOOKUP(AI743,GLAPS정리!$BT$3:$BV$26,3,0)</f>
        <v>#N/A</v>
      </c>
    </row>
    <row r="744" spans="2:90" ht="20.45" customHeight="1">
      <c r="B744" s="13"/>
      <c r="G744" s="3"/>
      <c r="J744" s="3"/>
      <c r="Q744" s="3" t="str">
        <f t="shared" si="160"/>
        <v/>
      </c>
      <c r="R744" s="3" t="str">
        <f t="shared" si="161"/>
        <v/>
      </c>
      <c r="S744" s="3" t="str">
        <f t="shared" si="162"/>
        <v/>
      </c>
      <c r="X744" s="13"/>
      <c r="Y744" s="13"/>
      <c r="Z744" s="91"/>
      <c r="AC744" s="2">
        <f t="shared" si="163"/>
        <v>20</v>
      </c>
      <c r="AD744" s="2" t="str">
        <f>IFERROR(INDEX(GLAPS정리!$D$2:$D$50,MATCH(I744,GLAPS정리!$A$2:$A$50,0)),IFERROR(INDEX(GLAPS정리!$D$2:$D$50,MATCH(I744,GLAPS정리!$B$2:$B$50,0)),""))</f>
        <v/>
      </c>
      <c r="AF744" s="2" t="str">
        <f t="shared" si="164"/>
        <v>KR10</v>
      </c>
      <c r="AI744" s="2" t="e">
        <f>VLOOKUP(F744,GLAPS정리!$G$3:$J$114,2,0)</f>
        <v>#N/A</v>
      </c>
      <c r="AJ744" s="2" t="e">
        <f>IF(Z744="울산정일","KRONS",IF(Z744="울산신항","KRUSN",IF(OR(Z744="선광종합물류(인천여객)",Z744="인천여객(인천여객)"),"KRINF",IF(OR(Z744="선광인천보세(인천신)",Z744="한진인천(인천신)",Z744="선광인천신항(인천신)",Z744="인천더로지스(인천신)"),"KRINN",IF(OR(Z744="인천진아(인천항)",Z744="인천E1(인천항)",Z744="인천SM경인터미널(인천항)",Z744="인천항(인천항)",Z744="인천우련(인천항)",Z744="인천항8부두(인천항)"),"KRINC",VLOOKUP(K744,GLAPS정리!$BB$2:$BC$33,2,0))))))</f>
        <v>#N/A</v>
      </c>
      <c r="AL744" s="2">
        <f t="shared" si="165"/>
        <v>5010001</v>
      </c>
      <c r="AN744" s="70" t="str">
        <f t="shared" si="166"/>
        <v>1900-01-00</v>
      </c>
      <c r="AO744" s="2" t="str">
        <f t="shared" si="167"/>
        <v/>
      </c>
      <c r="AP744" s="2" t="e">
        <f>VLOOKUP(C744,GLAPS정리!$AX$2:$AZ$17,3,0)</f>
        <v>#N/A</v>
      </c>
      <c r="AR744" s="2">
        <f t="shared" si="173"/>
        <v>0</v>
      </c>
      <c r="AX744" s="2" t="e">
        <f>VLOOKUP(L744,GLAPS정리!$V$3:$W$180,2,0)</f>
        <v>#N/A</v>
      </c>
      <c r="BM744" s="2" t="str">
        <f t="shared" si="168"/>
        <v xml:space="preserve"> </v>
      </c>
      <c r="BN744" s="2">
        <f t="shared" si="169"/>
        <v>1</v>
      </c>
      <c r="BR744" s="2" t="str">
        <f t="shared" si="170"/>
        <v/>
      </c>
      <c r="BS744" s="2" t="str">
        <f t="shared" si="171"/>
        <v/>
      </c>
      <c r="BV744" s="2" t="e">
        <f>VLOOKUP(O744,GLAPS정리!$BH$2:$BI$94,2,0)</f>
        <v>#N/A</v>
      </c>
      <c r="BW744" s="2" t="str">
        <f>IF(OR(Z744="동원",Z744="세방",Z744="한타"),"",IFERROR(INDEX(GLAPS정리!$BI$2:$BI$101,MATCH(Z744,GLAPS정리!$BH$2:$BH$101,0)),""))</f>
        <v/>
      </c>
      <c r="BX744" s="2" t="str">
        <f>IF(Z744="","",IFERROR(VLOOKUP(Z744,GLAPS정리!$AX$2:$AZ$17,3,0),""))</f>
        <v/>
      </c>
      <c r="BZ744" s="2" t="e">
        <f>VLOOKUP(H744,GLAPS정리!$L$3:$O$133,2,0)</f>
        <v>#N/A</v>
      </c>
      <c r="CA744" s="2" t="str">
        <f t="shared" si="172"/>
        <v/>
      </c>
      <c r="CL744" s="2" t="e">
        <f>VLOOKUP(AI744,GLAPS정리!$BT$3:$BV$26,3,0)</f>
        <v>#N/A</v>
      </c>
    </row>
    <row r="745" spans="2:90" ht="20.45" customHeight="1">
      <c r="B745" s="13"/>
      <c r="G745" s="3"/>
      <c r="J745" s="3"/>
      <c r="Q745" s="3" t="str">
        <f t="shared" si="160"/>
        <v/>
      </c>
      <c r="R745" s="3" t="str">
        <f t="shared" si="161"/>
        <v/>
      </c>
      <c r="S745" s="3" t="str">
        <f t="shared" si="162"/>
        <v/>
      </c>
      <c r="X745" s="13"/>
      <c r="Y745" s="13"/>
      <c r="Z745" s="91"/>
      <c r="AC745" s="2">
        <f t="shared" si="163"/>
        <v>20</v>
      </c>
      <c r="AD745" s="2" t="str">
        <f>IFERROR(INDEX(GLAPS정리!$D$2:$D$50,MATCH(I745,GLAPS정리!$A$2:$A$50,0)),IFERROR(INDEX(GLAPS정리!$D$2:$D$50,MATCH(I745,GLAPS정리!$B$2:$B$50,0)),""))</f>
        <v/>
      </c>
      <c r="AF745" s="2" t="str">
        <f t="shared" si="164"/>
        <v>KR10</v>
      </c>
      <c r="AI745" s="2" t="e">
        <f>VLOOKUP(F745,GLAPS정리!$G$3:$J$114,2,0)</f>
        <v>#N/A</v>
      </c>
      <c r="AJ745" s="2" t="e">
        <f>IF(Z745="울산정일","KRONS",IF(Z745="울산신항","KRUSN",IF(OR(Z745="선광종합물류(인천여객)",Z745="인천여객(인천여객)"),"KRINF",IF(OR(Z745="선광인천보세(인천신)",Z745="한진인천(인천신)",Z745="선광인천신항(인천신)",Z745="인천더로지스(인천신)"),"KRINN",IF(OR(Z745="인천진아(인천항)",Z745="인천E1(인천항)",Z745="인천SM경인터미널(인천항)",Z745="인천항(인천항)",Z745="인천우련(인천항)",Z745="인천항8부두(인천항)"),"KRINC",VLOOKUP(K745,GLAPS정리!$BB$2:$BC$33,2,0))))))</f>
        <v>#N/A</v>
      </c>
      <c r="AL745" s="2">
        <f t="shared" si="165"/>
        <v>5010001</v>
      </c>
      <c r="AN745" s="70" t="str">
        <f t="shared" si="166"/>
        <v>1900-01-00</v>
      </c>
      <c r="AO745" s="2" t="str">
        <f t="shared" si="167"/>
        <v/>
      </c>
      <c r="AP745" s="2" t="e">
        <f>VLOOKUP(C745,GLAPS정리!$AX$2:$AZ$17,3,0)</f>
        <v>#N/A</v>
      </c>
      <c r="AR745" s="2">
        <f t="shared" si="173"/>
        <v>0</v>
      </c>
      <c r="AX745" s="2" t="e">
        <f>VLOOKUP(L745,GLAPS정리!$V$3:$W$180,2,0)</f>
        <v>#N/A</v>
      </c>
      <c r="BM745" s="2" t="str">
        <f t="shared" si="168"/>
        <v xml:space="preserve"> </v>
      </c>
      <c r="BN745" s="2">
        <f t="shared" si="169"/>
        <v>1</v>
      </c>
      <c r="BR745" s="2" t="str">
        <f t="shared" si="170"/>
        <v/>
      </c>
      <c r="BS745" s="2" t="str">
        <f t="shared" si="171"/>
        <v/>
      </c>
      <c r="BV745" s="2" t="e">
        <f>VLOOKUP(O745,GLAPS정리!$BH$2:$BI$94,2,0)</f>
        <v>#N/A</v>
      </c>
      <c r="BW745" s="2" t="str">
        <f>IF(OR(Z745="동원",Z745="세방",Z745="한타"),"",IFERROR(INDEX(GLAPS정리!$BI$2:$BI$101,MATCH(Z745,GLAPS정리!$BH$2:$BH$101,0)),""))</f>
        <v/>
      </c>
      <c r="BX745" s="2" t="str">
        <f>IF(Z745="","",IFERROR(VLOOKUP(Z745,GLAPS정리!$AX$2:$AZ$17,3,0),""))</f>
        <v/>
      </c>
      <c r="BZ745" s="2" t="e">
        <f>VLOOKUP(H745,GLAPS정리!$L$3:$O$133,2,0)</f>
        <v>#N/A</v>
      </c>
      <c r="CA745" s="2" t="str">
        <f t="shared" si="172"/>
        <v/>
      </c>
      <c r="CL745" s="2" t="e">
        <f>VLOOKUP(AI745,GLAPS정리!$BT$3:$BV$26,3,0)</f>
        <v>#N/A</v>
      </c>
    </row>
    <row r="746" spans="2:90" ht="20.45" customHeight="1">
      <c r="B746" s="13"/>
      <c r="G746" s="3"/>
      <c r="J746" s="3"/>
      <c r="Q746" s="3" t="str">
        <f t="shared" si="160"/>
        <v/>
      </c>
      <c r="R746" s="3" t="str">
        <f t="shared" si="161"/>
        <v/>
      </c>
      <c r="S746" s="3" t="str">
        <f t="shared" si="162"/>
        <v/>
      </c>
      <c r="X746" s="13"/>
      <c r="Y746" s="13"/>
      <c r="Z746" s="91"/>
      <c r="AC746" s="2">
        <f t="shared" si="163"/>
        <v>20</v>
      </c>
      <c r="AD746" s="2" t="str">
        <f>IFERROR(INDEX(GLAPS정리!$D$2:$D$50,MATCH(I746,GLAPS정리!$A$2:$A$50,0)),IFERROR(INDEX(GLAPS정리!$D$2:$D$50,MATCH(I746,GLAPS정리!$B$2:$B$50,0)),""))</f>
        <v/>
      </c>
      <c r="AF746" s="2" t="str">
        <f t="shared" si="164"/>
        <v>KR10</v>
      </c>
      <c r="AI746" s="2" t="e">
        <f>VLOOKUP(F746,GLAPS정리!$G$3:$J$114,2,0)</f>
        <v>#N/A</v>
      </c>
      <c r="AJ746" s="2" t="e">
        <f>IF(Z746="울산정일","KRONS",IF(Z746="울산신항","KRUSN",IF(OR(Z746="선광종합물류(인천여객)",Z746="인천여객(인천여객)"),"KRINF",IF(OR(Z746="선광인천보세(인천신)",Z746="한진인천(인천신)",Z746="선광인천신항(인천신)",Z746="인천더로지스(인천신)"),"KRINN",IF(OR(Z746="인천진아(인천항)",Z746="인천E1(인천항)",Z746="인천SM경인터미널(인천항)",Z746="인천항(인천항)",Z746="인천우련(인천항)",Z746="인천항8부두(인천항)"),"KRINC",VLOOKUP(K746,GLAPS정리!$BB$2:$BC$33,2,0))))))</f>
        <v>#N/A</v>
      </c>
      <c r="AL746" s="2">
        <f t="shared" si="165"/>
        <v>5010001</v>
      </c>
      <c r="AN746" s="70" t="str">
        <f t="shared" si="166"/>
        <v>1900-01-00</v>
      </c>
      <c r="AO746" s="2" t="str">
        <f t="shared" si="167"/>
        <v/>
      </c>
      <c r="AP746" s="2" t="e">
        <f>VLOOKUP(C746,GLAPS정리!$AX$2:$AZ$17,3,0)</f>
        <v>#N/A</v>
      </c>
      <c r="AR746" s="2">
        <f t="shared" si="173"/>
        <v>0</v>
      </c>
      <c r="AX746" s="2" t="e">
        <f>VLOOKUP(L746,GLAPS정리!$V$3:$W$180,2,0)</f>
        <v>#N/A</v>
      </c>
      <c r="BM746" s="2" t="str">
        <f t="shared" si="168"/>
        <v xml:space="preserve"> </v>
      </c>
      <c r="BN746" s="2">
        <f t="shared" si="169"/>
        <v>1</v>
      </c>
      <c r="BR746" s="2" t="str">
        <f t="shared" si="170"/>
        <v/>
      </c>
      <c r="BS746" s="2" t="str">
        <f t="shared" si="171"/>
        <v/>
      </c>
      <c r="BV746" s="2" t="e">
        <f>VLOOKUP(O746,GLAPS정리!$BH$2:$BI$94,2,0)</f>
        <v>#N/A</v>
      </c>
      <c r="BW746" s="2" t="str">
        <f>IF(OR(Z746="동원",Z746="세방",Z746="한타"),"",IFERROR(INDEX(GLAPS정리!$BI$2:$BI$101,MATCH(Z746,GLAPS정리!$BH$2:$BH$101,0)),""))</f>
        <v/>
      </c>
      <c r="BX746" s="2" t="str">
        <f>IF(Z746="","",IFERROR(VLOOKUP(Z746,GLAPS정리!$AX$2:$AZ$17,3,0),""))</f>
        <v/>
      </c>
      <c r="BZ746" s="2" t="e">
        <f>VLOOKUP(H746,GLAPS정리!$L$3:$O$133,2,0)</f>
        <v>#N/A</v>
      </c>
      <c r="CA746" s="2" t="str">
        <f t="shared" si="172"/>
        <v/>
      </c>
      <c r="CL746" s="2" t="e">
        <f>VLOOKUP(AI746,GLAPS정리!$BT$3:$BV$26,3,0)</f>
        <v>#N/A</v>
      </c>
    </row>
    <row r="747" spans="2:90" ht="20.45" customHeight="1">
      <c r="B747" s="13"/>
      <c r="G747" s="3"/>
      <c r="J747" s="3"/>
      <c r="Q747" s="3" t="str">
        <f t="shared" si="160"/>
        <v/>
      </c>
      <c r="R747" s="3" t="str">
        <f t="shared" si="161"/>
        <v/>
      </c>
      <c r="S747" s="3" t="str">
        <f t="shared" si="162"/>
        <v/>
      </c>
      <c r="X747" s="13"/>
      <c r="Y747" s="13"/>
      <c r="Z747" s="91"/>
      <c r="AC747" s="2">
        <f t="shared" si="163"/>
        <v>20</v>
      </c>
      <c r="AD747" s="2" t="str">
        <f>IFERROR(INDEX(GLAPS정리!$D$2:$D$50,MATCH(I747,GLAPS정리!$A$2:$A$50,0)),IFERROR(INDEX(GLAPS정리!$D$2:$D$50,MATCH(I747,GLAPS정리!$B$2:$B$50,0)),""))</f>
        <v/>
      </c>
      <c r="AF747" s="2" t="str">
        <f t="shared" si="164"/>
        <v>KR10</v>
      </c>
      <c r="AI747" s="2" t="e">
        <f>VLOOKUP(F747,GLAPS정리!$G$3:$J$114,2,0)</f>
        <v>#N/A</v>
      </c>
      <c r="AJ747" s="2" t="e">
        <f>IF(Z747="울산정일","KRONS",IF(Z747="울산신항","KRUSN",IF(OR(Z747="선광종합물류(인천여객)",Z747="인천여객(인천여객)"),"KRINF",IF(OR(Z747="선광인천보세(인천신)",Z747="한진인천(인천신)",Z747="선광인천신항(인천신)",Z747="인천더로지스(인천신)"),"KRINN",IF(OR(Z747="인천진아(인천항)",Z747="인천E1(인천항)",Z747="인천SM경인터미널(인천항)",Z747="인천항(인천항)",Z747="인천우련(인천항)",Z747="인천항8부두(인천항)"),"KRINC",VLOOKUP(K747,GLAPS정리!$BB$2:$BC$33,2,0))))))</f>
        <v>#N/A</v>
      </c>
      <c r="AL747" s="2">
        <f t="shared" si="165"/>
        <v>5010001</v>
      </c>
      <c r="AN747" s="70" t="str">
        <f t="shared" si="166"/>
        <v>1900-01-00</v>
      </c>
      <c r="AO747" s="2" t="str">
        <f t="shared" si="167"/>
        <v/>
      </c>
      <c r="AP747" s="2" t="e">
        <f>VLOOKUP(C747,GLAPS정리!$AX$2:$AZ$17,3,0)</f>
        <v>#N/A</v>
      </c>
      <c r="AR747" s="2">
        <f t="shared" si="173"/>
        <v>0</v>
      </c>
      <c r="AX747" s="2" t="e">
        <f>VLOOKUP(L747,GLAPS정리!$V$3:$W$180,2,0)</f>
        <v>#N/A</v>
      </c>
      <c r="BM747" s="2" t="str">
        <f t="shared" si="168"/>
        <v xml:space="preserve"> </v>
      </c>
      <c r="BN747" s="2">
        <f t="shared" si="169"/>
        <v>1</v>
      </c>
      <c r="BR747" s="2" t="str">
        <f t="shared" si="170"/>
        <v/>
      </c>
      <c r="BS747" s="2" t="str">
        <f t="shared" si="171"/>
        <v/>
      </c>
      <c r="BV747" s="2" t="e">
        <f>VLOOKUP(O747,GLAPS정리!$BH$2:$BI$94,2,0)</f>
        <v>#N/A</v>
      </c>
      <c r="BW747" s="2" t="str">
        <f>IF(OR(Z747="동원",Z747="세방",Z747="한타"),"",IFERROR(INDEX(GLAPS정리!$BI$2:$BI$101,MATCH(Z747,GLAPS정리!$BH$2:$BH$101,0)),""))</f>
        <v/>
      </c>
      <c r="BX747" s="2" t="str">
        <f>IF(Z747="","",IFERROR(VLOOKUP(Z747,GLAPS정리!$AX$2:$AZ$17,3,0),""))</f>
        <v/>
      </c>
      <c r="BZ747" s="2" t="e">
        <f>VLOOKUP(H747,GLAPS정리!$L$3:$O$133,2,0)</f>
        <v>#N/A</v>
      </c>
      <c r="CA747" s="2" t="str">
        <f t="shared" si="172"/>
        <v/>
      </c>
      <c r="CL747" s="2" t="e">
        <f>VLOOKUP(AI747,GLAPS정리!$BT$3:$BV$26,3,0)</f>
        <v>#N/A</v>
      </c>
    </row>
    <row r="748" spans="2:90" ht="20.45" customHeight="1">
      <c r="B748" s="13"/>
      <c r="G748" s="3"/>
      <c r="J748" s="3"/>
      <c r="Q748" s="3" t="str">
        <f t="shared" si="160"/>
        <v/>
      </c>
      <c r="R748" s="3" t="str">
        <f t="shared" si="161"/>
        <v/>
      </c>
      <c r="S748" s="3" t="str">
        <f t="shared" si="162"/>
        <v/>
      </c>
      <c r="X748" s="13"/>
      <c r="Y748" s="13"/>
      <c r="Z748" s="91"/>
      <c r="AC748" s="2">
        <f t="shared" si="163"/>
        <v>20</v>
      </c>
      <c r="AD748" s="2" t="str">
        <f>IFERROR(INDEX(GLAPS정리!$D$2:$D$50,MATCH(I748,GLAPS정리!$A$2:$A$50,0)),IFERROR(INDEX(GLAPS정리!$D$2:$D$50,MATCH(I748,GLAPS정리!$B$2:$B$50,0)),""))</f>
        <v/>
      </c>
      <c r="AF748" s="2" t="str">
        <f t="shared" si="164"/>
        <v>KR10</v>
      </c>
      <c r="AI748" s="2" t="e">
        <f>VLOOKUP(F748,GLAPS정리!$G$3:$J$114,2,0)</f>
        <v>#N/A</v>
      </c>
      <c r="AJ748" s="2" t="e">
        <f>IF(Z748="울산정일","KRONS",IF(Z748="울산신항","KRUSN",IF(OR(Z748="선광종합물류(인천여객)",Z748="인천여객(인천여객)"),"KRINF",IF(OR(Z748="선광인천보세(인천신)",Z748="한진인천(인천신)",Z748="선광인천신항(인천신)",Z748="인천더로지스(인천신)"),"KRINN",IF(OR(Z748="인천진아(인천항)",Z748="인천E1(인천항)",Z748="인천SM경인터미널(인천항)",Z748="인천항(인천항)",Z748="인천우련(인천항)",Z748="인천항8부두(인천항)"),"KRINC",VLOOKUP(K748,GLAPS정리!$BB$2:$BC$33,2,0))))))</f>
        <v>#N/A</v>
      </c>
      <c r="AL748" s="2">
        <f t="shared" si="165"/>
        <v>5010001</v>
      </c>
      <c r="AN748" s="70" t="str">
        <f t="shared" si="166"/>
        <v>1900-01-00</v>
      </c>
      <c r="AO748" s="2" t="str">
        <f t="shared" si="167"/>
        <v/>
      </c>
      <c r="AP748" s="2" t="e">
        <f>VLOOKUP(C748,GLAPS정리!$AX$2:$AZ$17,3,0)</f>
        <v>#N/A</v>
      </c>
      <c r="AR748" s="2">
        <f t="shared" si="173"/>
        <v>0</v>
      </c>
      <c r="AX748" s="2" t="e">
        <f>VLOOKUP(L748,GLAPS정리!$V$3:$W$180,2,0)</f>
        <v>#N/A</v>
      </c>
      <c r="BM748" s="2" t="str">
        <f t="shared" si="168"/>
        <v xml:space="preserve"> </v>
      </c>
      <c r="BN748" s="2">
        <f t="shared" si="169"/>
        <v>1</v>
      </c>
      <c r="BR748" s="2" t="str">
        <f t="shared" si="170"/>
        <v/>
      </c>
      <c r="BS748" s="2" t="str">
        <f t="shared" si="171"/>
        <v/>
      </c>
      <c r="BV748" s="2" t="e">
        <f>VLOOKUP(O748,GLAPS정리!$BH$2:$BI$94,2,0)</f>
        <v>#N/A</v>
      </c>
      <c r="BW748" s="2" t="str">
        <f>IF(OR(Z748="동원",Z748="세방",Z748="한타"),"",IFERROR(INDEX(GLAPS정리!$BI$2:$BI$101,MATCH(Z748,GLAPS정리!$BH$2:$BH$101,0)),""))</f>
        <v/>
      </c>
      <c r="BX748" s="2" t="str">
        <f>IF(Z748="","",IFERROR(VLOOKUP(Z748,GLAPS정리!$AX$2:$AZ$17,3,0),""))</f>
        <v/>
      </c>
      <c r="BZ748" s="2" t="e">
        <f>VLOOKUP(H748,GLAPS정리!$L$3:$O$133,2,0)</f>
        <v>#N/A</v>
      </c>
      <c r="CA748" s="2" t="str">
        <f t="shared" si="172"/>
        <v/>
      </c>
      <c r="CL748" s="2" t="e">
        <f>VLOOKUP(AI748,GLAPS정리!$BT$3:$BV$26,3,0)</f>
        <v>#N/A</v>
      </c>
    </row>
    <row r="749" spans="2:90" ht="20.45" customHeight="1">
      <c r="B749" s="13"/>
      <c r="G749" s="3"/>
      <c r="J749" s="3"/>
      <c r="Q749" s="3" t="str">
        <f t="shared" si="160"/>
        <v/>
      </c>
      <c r="R749" s="3" t="str">
        <f t="shared" si="161"/>
        <v/>
      </c>
      <c r="S749" s="3" t="str">
        <f t="shared" si="162"/>
        <v/>
      </c>
      <c r="X749" s="13"/>
      <c r="Y749" s="13"/>
      <c r="Z749" s="91"/>
      <c r="AC749" s="2">
        <f t="shared" si="163"/>
        <v>20</v>
      </c>
      <c r="AD749" s="2" t="str">
        <f>IFERROR(INDEX(GLAPS정리!$D$2:$D$50,MATCH(I749,GLAPS정리!$A$2:$A$50,0)),IFERROR(INDEX(GLAPS정리!$D$2:$D$50,MATCH(I749,GLAPS정리!$B$2:$B$50,0)),""))</f>
        <v/>
      </c>
      <c r="AF749" s="2" t="str">
        <f t="shared" si="164"/>
        <v>KR10</v>
      </c>
      <c r="AI749" s="2" t="e">
        <f>VLOOKUP(F749,GLAPS정리!$G$3:$J$114,2,0)</f>
        <v>#N/A</v>
      </c>
      <c r="AJ749" s="2" t="e">
        <f>IF(Z749="울산정일","KRONS",IF(Z749="울산신항","KRUSN",IF(OR(Z749="선광종합물류(인천여객)",Z749="인천여객(인천여객)"),"KRINF",IF(OR(Z749="선광인천보세(인천신)",Z749="한진인천(인천신)",Z749="선광인천신항(인천신)",Z749="인천더로지스(인천신)"),"KRINN",IF(OR(Z749="인천진아(인천항)",Z749="인천E1(인천항)",Z749="인천SM경인터미널(인천항)",Z749="인천항(인천항)",Z749="인천우련(인천항)",Z749="인천항8부두(인천항)"),"KRINC",VLOOKUP(K749,GLAPS정리!$BB$2:$BC$33,2,0))))))</f>
        <v>#N/A</v>
      </c>
      <c r="AL749" s="2">
        <f t="shared" si="165"/>
        <v>5010001</v>
      </c>
      <c r="AN749" s="70" t="str">
        <f t="shared" si="166"/>
        <v>1900-01-00</v>
      </c>
      <c r="AO749" s="2" t="str">
        <f t="shared" si="167"/>
        <v/>
      </c>
      <c r="AP749" s="2" t="e">
        <f>VLOOKUP(C749,GLAPS정리!$AX$2:$AZ$17,3,0)</f>
        <v>#N/A</v>
      </c>
      <c r="AR749" s="2">
        <f t="shared" si="173"/>
        <v>0</v>
      </c>
      <c r="AX749" s="2" t="e">
        <f>VLOOKUP(L749,GLAPS정리!$V$3:$W$180,2,0)</f>
        <v>#N/A</v>
      </c>
      <c r="BM749" s="2" t="str">
        <f t="shared" si="168"/>
        <v xml:space="preserve"> </v>
      </c>
      <c r="BN749" s="2">
        <f t="shared" si="169"/>
        <v>1</v>
      </c>
      <c r="BR749" s="2" t="str">
        <f t="shared" si="170"/>
        <v/>
      </c>
      <c r="BS749" s="2" t="str">
        <f t="shared" si="171"/>
        <v/>
      </c>
      <c r="BV749" s="2" t="e">
        <f>VLOOKUP(O749,GLAPS정리!$BH$2:$BI$94,2,0)</f>
        <v>#N/A</v>
      </c>
      <c r="BW749" s="2" t="str">
        <f>IF(OR(Z749="동원",Z749="세방",Z749="한타"),"",IFERROR(INDEX(GLAPS정리!$BI$2:$BI$101,MATCH(Z749,GLAPS정리!$BH$2:$BH$101,0)),""))</f>
        <v/>
      </c>
      <c r="BX749" s="2" t="str">
        <f>IF(Z749="","",IFERROR(VLOOKUP(Z749,GLAPS정리!$AX$2:$AZ$17,3,0),""))</f>
        <v/>
      </c>
      <c r="BZ749" s="2" t="e">
        <f>VLOOKUP(H749,GLAPS정리!$L$3:$O$133,2,0)</f>
        <v>#N/A</v>
      </c>
      <c r="CA749" s="2" t="str">
        <f t="shared" si="172"/>
        <v/>
      </c>
      <c r="CL749" s="2" t="e">
        <f>VLOOKUP(AI749,GLAPS정리!$BT$3:$BV$26,3,0)</f>
        <v>#N/A</v>
      </c>
    </row>
    <row r="750" spans="2:90" ht="20.45" customHeight="1">
      <c r="B750" s="13"/>
      <c r="G750" s="3"/>
      <c r="J750" s="3"/>
      <c r="Q750" s="3" t="str">
        <f t="shared" si="160"/>
        <v/>
      </c>
      <c r="R750" s="3" t="str">
        <f t="shared" si="161"/>
        <v/>
      </c>
      <c r="S750" s="3" t="str">
        <f t="shared" si="162"/>
        <v/>
      </c>
      <c r="X750" s="13"/>
      <c r="Y750" s="13"/>
      <c r="Z750" s="91"/>
      <c r="AC750" s="2">
        <f t="shared" si="163"/>
        <v>20</v>
      </c>
      <c r="AD750" s="2" t="str">
        <f>IFERROR(INDEX(GLAPS정리!$D$2:$D$50,MATCH(I750,GLAPS정리!$A$2:$A$50,0)),IFERROR(INDEX(GLAPS정리!$D$2:$D$50,MATCH(I750,GLAPS정리!$B$2:$B$50,0)),""))</f>
        <v/>
      </c>
      <c r="AF750" s="2" t="str">
        <f t="shared" si="164"/>
        <v>KR10</v>
      </c>
      <c r="AI750" s="2" t="e">
        <f>VLOOKUP(F750,GLAPS정리!$G$3:$J$114,2,0)</f>
        <v>#N/A</v>
      </c>
      <c r="AJ750" s="2" t="e">
        <f>IF(Z750="울산정일","KRONS",IF(Z750="울산신항","KRUSN",IF(OR(Z750="선광종합물류(인천여객)",Z750="인천여객(인천여객)"),"KRINF",IF(OR(Z750="선광인천보세(인천신)",Z750="한진인천(인천신)",Z750="선광인천신항(인천신)",Z750="인천더로지스(인천신)"),"KRINN",IF(OR(Z750="인천진아(인천항)",Z750="인천E1(인천항)",Z750="인천SM경인터미널(인천항)",Z750="인천항(인천항)",Z750="인천우련(인천항)",Z750="인천항8부두(인천항)"),"KRINC",VLOOKUP(K750,GLAPS정리!$BB$2:$BC$33,2,0))))))</f>
        <v>#N/A</v>
      </c>
      <c r="AL750" s="2">
        <f t="shared" si="165"/>
        <v>5010001</v>
      </c>
      <c r="AN750" s="70" t="str">
        <f t="shared" si="166"/>
        <v>1900-01-00</v>
      </c>
      <c r="AO750" s="2" t="str">
        <f t="shared" si="167"/>
        <v/>
      </c>
      <c r="AP750" s="2" t="e">
        <f>VLOOKUP(C750,GLAPS정리!$AX$2:$AZ$17,3,0)</f>
        <v>#N/A</v>
      </c>
      <c r="AR750" s="2">
        <f t="shared" si="173"/>
        <v>0</v>
      </c>
      <c r="AX750" s="2" t="e">
        <f>VLOOKUP(L750,GLAPS정리!$V$3:$W$180,2,0)</f>
        <v>#N/A</v>
      </c>
      <c r="BM750" s="2" t="str">
        <f t="shared" si="168"/>
        <v xml:space="preserve"> </v>
      </c>
      <c r="BN750" s="2">
        <f t="shared" si="169"/>
        <v>1</v>
      </c>
      <c r="BR750" s="2" t="str">
        <f t="shared" si="170"/>
        <v/>
      </c>
      <c r="BS750" s="2" t="str">
        <f t="shared" si="171"/>
        <v/>
      </c>
      <c r="BV750" s="2" t="e">
        <f>VLOOKUP(O750,GLAPS정리!$BH$2:$BI$94,2,0)</f>
        <v>#N/A</v>
      </c>
      <c r="BW750" s="2" t="str">
        <f>IF(OR(Z750="동원",Z750="세방",Z750="한타"),"",IFERROR(INDEX(GLAPS정리!$BI$2:$BI$101,MATCH(Z750,GLAPS정리!$BH$2:$BH$101,0)),""))</f>
        <v/>
      </c>
      <c r="BX750" s="2" t="str">
        <f>IF(Z750="","",IFERROR(VLOOKUP(Z750,GLAPS정리!$AX$2:$AZ$17,3,0),""))</f>
        <v/>
      </c>
      <c r="BZ750" s="2" t="e">
        <f>VLOOKUP(H750,GLAPS정리!$L$3:$O$133,2,0)</f>
        <v>#N/A</v>
      </c>
      <c r="CA750" s="2" t="str">
        <f t="shared" si="172"/>
        <v/>
      </c>
      <c r="CL750" s="2" t="e">
        <f>VLOOKUP(AI750,GLAPS정리!$BT$3:$BV$26,3,0)</f>
        <v>#N/A</v>
      </c>
    </row>
    <row r="751" spans="2:90" ht="20.45" customHeight="1">
      <c r="B751" s="13"/>
      <c r="G751" s="3"/>
      <c r="J751" s="3"/>
      <c r="Q751" s="3" t="str">
        <f t="shared" si="160"/>
        <v/>
      </c>
      <c r="R751" s="3" t="str">
        <f t="shared" si="161"/>
        <v/>
      </c>
      <c r="S751" s="3" t="str">
        <f t="shared" si="162"/>
        <v/>
      </c>
      <c r="X751" s="13"/>
      <c r="Y751" s="13"/>
      <c r="Z751" s="91"/>
      <c r="AC751" s="2">
        <f t="shared" si="163"/>
        <v>20</v>
      </c>
      <c r="AD751" s="2" t="str">
        <f>IFERROR(INDEX(GLAPS정리!$D$2:$D$50,MATCH(I751,GLAPS정리!$A$2:$A$50,0)),IFERROR(INDEX(GLAPS정리!$D$2:$D$50,MATCH(I751,GLAPS정리!$B$2:$B$50,0)),""))</f>
        <v/>
      </c>
      <c r="AF751" s="2" t="str">
        <f t="shared" si="164"/>
        <v>KR10</v>
      </c>
      <c r="AI751" s="2" t="e">
        <f>VLOOKUP(F751,GLAPS정리!$G$3:$J$114,2,0)</f>
        <v>#N/A</v>
      </c>
      <c r="AJ751" s="2" t="e">
        <f>IF(Z751="울산정일","KRONS",IF(Z751="울산신항","KRUSN",IF(OR(Z751="선광종합물류(인천여객)",Z751="인천여객(인천여객)"),"KRINF",IF(OR(Z751="선광인천보세(인천신)",Z751="한진인천(인천신)",Z751="선광인천신항(인천신)",Z751="인천더로지스(인천신)"),"KRINN",IF(OR(Z751="인천진아(인천항)",Z751="인천E1(인천항)",Z751="인천SM경인터미널(인천항)",Z751="인천항(인천항)",Z751="인천우련(인천항)",Z751="인천항8부두(인천항)"),"KRINC",VLOOKUP(K751,GLAPS정리!$BB$2:$BC$33,2,0))))))</f>
        <v>#N/A</v>
      </c>
      <c r="AL751" s="2">
        <f t="shared" si="165"/>
        <v>5010001</v>
      </c>
      <c r="AN751" s="70" t="str">
        <f t="shared" si="166"/>
        <v>1900-01-00</v>
      </c>
      <c r="AO751" s="2" t="str">
        <f t="shared" si="167"/>
        <v/>
      </c>
      <c r="AP751" s="2" t="e">
        <f>VLOOKUP(C751,GLAPS정리!$AX$2:$AZ$17,3,0)</f>
        <v>#N/A</v>
      </c>
      <c r="AR751" s="2">
        <f t="shared" si="173"/>
        <v>0</v>
      </c>
      <c r="AX751" s="2" t="e">
        <f>VLOOKUP(L751,GLAPS정리!$V$3:$W$180,2,0)</f>
        <v>#N/A</v>
      </c>
      <c r="BM751" s="2" t="str">
        <f t="shared" si="168"/>
        <v xml:space="preserve"> </v>
      </c>
      <c r="BN751" s="2">
        <f t="shared" si="169"/>
        <v>1</v>
      </c>
      <c r="BR751" s="2" t="str">
        <f t="shared" si="170"/>
        <v/>
      </c>
      <c r="BS751" s="2" t="str">
        <f t="shared" si="171"/>
        <v/>
      </c>
      <c r="BV751" s="2" t="e">
        <f>VLOOKUP(O751,GLAPS정리!$BH$2:$BI$94,2,0)</f>
        <v>#N/A</v>
      </c>
      <c r="BW751" s="2" t="str">
        <f>IF(OR(Z751="동원",Z751="세방",Z751="한타"),"",IFERROR(INDEX(GLAPS정리!$BI$2:$BI$101,MATCH(Z751,GLAPS정리!$BH$2:$BH$101,0)),""))</f>
        <v/>
      </c>
      <c r="BX751" s="2" t="str">
        <f>IF(Z751="","",IFERROR(VLOOKUP(Z751,GLAPS정리!$AX$2:$AZ$17,3,0),""))</f>
        <v/>
      </c>
      <c r="BZ751" s="2" t="e">
        <f>VLOOKUP(H751,GLAPS정리!$L$3:$O$133,2,0)</f>
        <v>#N/A</v>
      </c>
      <c r="CA751" s="2" t="str">
        <f t="shared" si="172"/>
        <v/>
      </c>
      <c r="CL751" s="2" t="e">
        <f>VLOOKUP(AI751,GLAPS정리!$BT$3:$BV$26,3,0)</f>
        <v>#N/A</v>
      </c>
    </row>
    <row r="752" spans="2:90" ht="20.45" customHeight="1">
      <c r="B752" s="13"/>
      <c r="G752" s="3"/>
      <c r="J752" s="3"/>
      <c r="Q752" s="3" t="str">
        <f t="shared" si="160"/>
        <v/>
      </c>
      <c r="R752" s="3" t="str">
        <f t="shared" si="161"/>
        <v/>
      </c>
      <c r="S752" s="3" t="str">
        <f t="shared" si="162"/>
        <v/>
      </c>
      <c r="X752" s="13"/>
      <c r="Y752" s="13"/>
      <c r="Z752" s="91"/>
      <c r="AC752" s="2">
        <f t="shared" si="163"/>
        <v>20</v>
      </c>
      <c r="AD752" s="2" t="str">
        <f>IFERROR(INDEX(GLAPS정리!$D$2:$D$50,MATCH(I752,GLAPS정리!$A$2:$A$50,0)),IFERROR(INDEX(GLAPS정리!$D$2:$D$50,MATCH(I752,GLAPS정리!$B$2:$B$50,0)),""))</f>
        <v/>
      </c>
      <c r="AF752" s="2" t="str">
        <f t="shared" si="164"/>
        <v>KR10</v>
      </c>
      <c r="AI752" s="2" t="e">
        <f>VLOOKUP(F752,GLAPS정리!$G$3:$J$114,2,0)</f>
        <v>#N/A</v>
      </c>
      <c r="AJ752" s="2" t="e">
        <f>IF(Z752="울산정일","KRONS",IF(Z752="울산신항","KRUSN",IF(OR(Z752="선광종합물류(인천여객)",Z752="인천여객(인천여객)"),"KRINF",IF(OR(Z752="선광인천보세(인천신)",Z752="한진인천(인천신)",Z752="선광인천신항(인천신)",Z752="인천더로지스(인천신)"),"KRINN",IF(OR(Z752="인천진아(인천항)",Z752="인천E1(인천항)",Z752="인천SM경인터미널(인천항)",Z752="인천항(인천항)",Z752="인천우련(인천항)",Z752="인천항8부두(인천항)"),"KRINC",VLOOKUP(K752,GLAPS정리!$BB$2:$BC$33,2,0))))))</f>
        <v>#N/A</v>
      </c>
      <c r="AL752" s="2">
        <f t="shared" si="165"/>
        <v>5010001</v>
      </c>
      <c r="AN752" s="70" t="str">
        <f t="shared" si="166"/>
        <v>1900-01-00</v>
      </c>
      <c r="AO752" s="2" t="str">
        <f t="shared" si="167"/>
        <v/>
      </c>
      <c r="AP752" s="2" t="e">
        <f>VLOOKUP(C752,GLAPS정리!$AX$2:$AZ$17,3,0)</f>
        <v>#N/A</v>
      </c>
      <c r="AR752" s="2">
        <f t="shared" si="173"/>
        <v>0</v>
      </c>
      <c r="AX752" s="2" t="e">
        <f>VLOOKUP(L752,GLAPS정리!$V$3:$W$180,2,0)</f>
        <v>#N/A</v>
      </c>
      <c r="BM752" s="2" t="str">
        <f t="shared" si="168"/>
        <v xml:space="preserve"> </v>
      </c>
      <c r="BN752" s="2">
        <f t="shared" si="169"/>
        <v>1</v>
      </c>
      <c r="BR752" s="2" t="str">
        <f t="shared" si="170"/>
        <v/>
      </c>
      <c r="BS752" s="2" t="str">
        <f t="shared" si="171"/>
        <v/>
      </c>
      <c r="BV752" s="2" t="e">
        <f>VLOOKUP(O752,GLAPS정리!$BH$2:$BI$94,2,0)</f>
        <v>#N/A</v>
      </c>
      <c r="BW752" s="2" t="str">
        <f>IF(OR(Z752="동원",Z752="세방",Z752="한타"),"",IFERROR(INDEX(GLAPS정리!$BI$2:$BI$101,MATCH(Z752,GLAPS정리!$BH$2:$BH$101,0)),""))</f>
        <v/>
      </c>
      <c r="BX752" s="2" t="str">
        <f>IF(Z752="","",IFERROR(VLOOKUP(Z752,GLAPS정리!$AX$2:$AZ$17,3,0),""))</f>
        <v/>
      </c>
      <c r="BZ752" s="2" t="e">
        <f>VLOOKUP(H752,GLAPS정리!$L$3:$O$133,2,0)</f>
        <v>#N/A</v>
      </c>
      <c r="CA752" s="2" t="str">
        <f t="shared" si="172"/>
        <v/>
      </c>
      <c r="CL752" s="2" t="e">
        <f>VLOOKUP(AI752,GLAPS정리!$BT$3:$BV$26,3,0)</f>
        <v>#N/A</v>
      </c>
    </row>
    <row r="753" spans="2:90" ht="20.45" customHeight="1">
      <c r="B753" s="13"/>
      <c r="G753" s="3"/>
      <c r="J753" s="3"/>
      <c r="Q753" s="3" t="str">
        <f t="shared" si="160"/>
        <v/>
      </c>
      <c r="R753" s="3" t="str">
        <f t="shared" si="161"/>
        <v/>
      </c>
      <c r="S753" s="3" t="str">
        <f t="shared" si="162"/>
        <v/>
      </c>
      <c r="X753" s="13"/>
      <c r="Y753" s="13"/>
      <c r="Z753" s="91"/>
      <c r="AC753" s="2">
        <f t="shared" si="163"/>
        <v>20</v>
      </c>
      <c r="AD753" s="2" t="str">
        <f>IFERROR(INDEX(GLAPS정리!$D$2:$D$50,MATCH(I753,GLAPS정리!$A$2:$A$50,0)),IFERROR(INDEX(GLAPS정리!$D$2:$D$50,MATCH(I753,GLAPS정리!$B$2:$B$50,0)),""))</f>
        <v/>
      </c>
      <c r="AF753" s="2" t="str">
        <f t="shared" si="164"/>
        <v>KR10</v>
      </c>
      <c r="AI753" s="2" t="e">
        <f>VLOOKUP(F753,GLAPS정리!$G$3:$J$114,2,0)</f>
        <v>#N/A</v>
      </c>
      <c r="AJ753" s="2" t="e">
        <f>IF(Z753="울산정일","KRONS",IF(Z753="울산신항","KRUSN",IF(OR(Z753="선광종합물류(인천여객)",Z753="인천여객(인천여객)"),"KRINF",IF(OR(Z753="선광인천보세(인천신)",Z753="한진인천(인천신)",Z753="선광인천신항(인천신)",Z753="인천더로지스(인천신)"),"KRINN",IF(OR(Z753="인천진아(인천항)",Z753="인천E1(인천항)",Z753="인천SM경인터미널(인천항)",Z753="인천항(인천항)",Z753="인천우련(인천항)",Z753="인천항8부두(인천항)"),"KRINC",VLOOKUP(K753,GLAPS정리!$BB$2:$BC$33,2,0))))))</f>
        <v>#N/A</v>
      </c>
      <c r="AL753" s="2">
        <f t="shared" si="165"/>
        <v>5010001</v>
      </c>
      <c r="AN753" s="70" t="str">
        <f t="shared" si="166"/>
        <v>1900-01-00</v>
      </c>
      <c r="AO753" s="2" t="str">
        <f t="shared" si="167"/>
        <v/>
      </c>
      <c r="AP753" s="2" t="e">
        <f>VLOOKUP(C753,GLAPS정리!$AX$2:$AZ$17,3,0)</f>
        <v>#N/A</v>
      </c>
      <c r="AR753" s="2">
        <f t="shared" si="173"/>
        <v>0</v>
      </c>
      <c r="AX753" s="2" t="e">
        <f>VLOOKUP(L753,GLAPS정리!$V$3:$W$180,2,0)</f>
        <v>#N/A</v>
      </c>
      <c r="BM753" s="2" t="str">
        <f t="shared" si="168"/>
        <v xml:space="preserve"> </v>
      </c>
      <c r="BN753" s="2">
        <f t="shared" si="169"/>
        <v>1</v>
      </c>
      <c r="BR753" s="2" t="str">
        <f t="shared" si="170"/>
        <v/>
      </c>
      <c r="BS753" s="2" t="str">
        <f t="shared" si="171"/>
        <v/>
      </c>
      <c r="BV753" s="2" t="e">
        <f>VLOOKUP(O753,GLAPS정리!$BH$2:$BI$94,2,0)</f>
        <v>#N/A</v>
      </c>
      <c r="BW753" s="2" t="str">
        <f>IF(OR(Z753="동원",Z753="세방",Z753="한타"),"",IFERROR(INDEX(GLAPS정리!$BI$2:$BI$101,MATCH(Z753,GLAPS정리!$BH$2:$BH$101,0)),""))</f>
        <v/>
      </c>
      <c r="BX753" s="2" t="str">
        <f>IF(Z753="","",IFERROR(VLOOKUP(Z753,GLAPS정리!$AX$2:$AZ$17,3,0),""))</f>
        <v/>
      </c>
      <c r="BZ753" s="2" t="e">
        <f>VLOOKUP(H753,GLAPS정리!$L$3:$O$133,2,0)</f>
        <v>#N/A</v>
      </c>
      <c r="CA753" s="2" t="str">
        <f t="shared" si="172"/>
        <v/>
      </c>
      <c r="CL753" s="2" t="e">
        <f>VLOOKUP(AI753,GLAPS정리!$BT$3:$BV$26,3,0)</f>
        <v>#N/A</v>
      </c>
    </row>
    <row r="754" spans="2:90" ht="20.45" customHeight="1">
      <c r="B754" s="13"/>
      <c r="G754" s="3"/>
      <c r="J754" s="3"/>
      <c r="Q754" s="3" t="str">
        <f t="shared" si="160"/>
        <v/>
      </c>
      <c r="R754" s="3" t="str">
        <f t="shared" si="161"/>
        <v/>
      </c>
      <c r="S754" s="3" t="str">
        <f t="shared" si="162"/>
        <v/>
      </c>
      <c r="X754" s="13"/>
      <c r="Y754" s="13"/>
      <c r="Z754" s="91"/>
      <c r="AC754" s="2">
        <f t="shared" si="163"/>
        <v>20</v>
      </c>
      <c r="AD754" s="2" t="str">
        <f>IFERROR(INDEX(GLAPS정리!$D$2:$D$50,MATCH(I754,GLAPS정리!$A$2:$A$50,0)),IFERROR(INDEX(GLAPS정리!$D$2:$D$50,MATCH(I754,GLAPS정리!$B$2:$B$50,0)),""))</f>
        <v/>
      </c>
      <c r="AF754" s="2" t="str">
        <f t="shared" si="164"/>
        <v>KR10</v>
      </c>
      <c r="AI754" s="2" t="e">
        <f>VLOOKUP(F754,GLAPS정리!$G$3:$J$114,2,0)</f>
        <v>#N/A</v>
      </c>
      <c r="AJ754" s="2" t="e">
        <f>IF(Z754="울산정일","KRONS",IF(Z754="울산신항","KRUSN",IF(OR(Z754="선광종합물류(인천여객)",Z754="인천여객(인천여객)"),"KRINF",IF(OR(Z754="선광인천보세(인천신)",Z754="한진인천(인천신)",Z754="선광인천신항(인천신)",Z754="인천더로지스(인천신)"),"KRINN",IF(OR(Z754="인천진아(인천항)",Z754="인천E1(인천항)",Z754="인천SM경인터미널(인천항)",Z754="인천항(인천항)",Z754="인천우련(인천항)",Z754="인천항8부두(인천항)"),"KRINC",VLOOKUP(K754,GLAPS정리!$BB$2:$BC$33,2,0))))))</f>
        <v>#N/A</v>
      </c>
      <c r="AL754" s="2">
        <f t="shared" si="165"/>
        <v>5010001</v>
      </c>
      <c r="AN754" s="70" t="str">
        <f t="shared" si="166"/>
        <v>1900-01-00</v>
      </c>
      <c r="AO754" s="2" t="str">
        <f t="shared" si="167"/>
        <v/>
      </c>
      <c r="AP754" s="2" t="e">
        <f>VLOOKUP(C754,GLAPS정리!$AX$2:$AZ$17,3,0)</f>
        <v>#N/A</v>
      </c>
      <c r="AR754" s="2">
        <f t="shared" si="173"/>
        <v>0</v>
      </c>
      <c r="AX754" s="2" t="e">
        <f>VLOOKUP(L754,GLAPS정리!$V$3:$W$180,2,0)</f>
        <v>#N/A</v>
      </c>
      <c r="BM754" s="2" t="str">
        <f t="shared" si="168"/>
        <v xml:space="preserve"> </v>
      </c>
      <c r="BN754" s="2">
        <f t="shared" si="169"/>
        <v>1</v>
      </c>
      <c r="BR754" s="2" t="str">
        <f t="shared" si="170"/>
        <v/>
      </c>
      <c r="BS754" s="2" t="str">
        <f t="shared" si="171"/>
        <v/>
      </c>
      <c r="BV754" s="2" t="e">
        <f>VLOOKUP(O754,GLAPS정리!$BH$2:$BI$94,2,0)</f>
        <v>#N/A</v>
      </c>
      <c r="BW754" s="2" t="str">
        <f>IF(OR(Z754="동원",Z754="세방",Z754="한타"),"",IFERROR(INDEX(GLAPS정리!$BI$2:$BI$101,MATCH(Z754,GLAPS정리!$BH$2:$BH$101,0)),""))</f>
        <v/>
      </c>
      <c r="BX754" s="2" t="str">
        <f>IF(Z754="","",IFERROR(VLOOKUP(Z754,GLAPS정리!$AX$2:$AZ$17,3,0),""))</f>
        <v/>
      </c>
      <c r="BZ754" s="2" t="e">
        <f>VLOOKUP(H754,GLAPS정리!$L$3:$O$133,2,0)</f>
        <v>#N/A</v>
      </c>
      <c r="CA754" s="2" t="str">
        <f t="shared" si="172"/>
        <v/>
      </c>
      <c r="CL754" s="2" t="e">
        <f>VLOOKUP(AI754,GLAPS정리!$BT$3:$BV$26,3,0)</f>
        <v>#N/A</v>
      </c>
    </row>
    <row r="755" spans="2:90" ht="20.45" customHeight="1">
      <c r="B755" s="13"/>
      <c r="G755" s="3"/>
      <c r="J755" s="3"/>
      <c r="Q755" s="3" t="str">
        <f t="shared" si="160"/>
        <v/>
      </c>
      <c r="R755" s="3" t="str">
        <f t="shared" si="161"/>
        <v/>
      </c>
      <c r="S755" s="3" t="str">
        <f t="shared" si="162"/>
        <v/>
      </c>
      <c r="X755" s="13"/>
      <c r="Y755" s="13"/>
      <c r="Z755" s="91"/>
      <c r="AC755" s="2">
        <f t="shared" si="163"/>
        <v>20</v>
      </c>
      <c r="AD755" s="2" t="str">
        <f>IFERROR(INDEX(GLAPS정리!$D$2:$D$50,MATCH(I755,GLAPS정리!$A$2:$A$50,0)),IFERROR(INDEX(GLAPS정리!$D$2:$D$50,MATCH(I755,GLAPS정리!$B$2:$B$50,0)),""))</f>
        <v/>
      </c>
      <c r="AF755" s="2" t="str">
        <f t="shared" si="164"/>
        <v>KR10</v>
      </c>
      <c r="AI755" s="2" t="e">
        <f>VLOOKUP(F755,GLAPS정리!$G$3:$J$114,2,0)</f>
        <v>#N/A</v>
      </c>
      <c r="AJ755" s="2" t="e">
        <f>IF(Z755="울산정일","KRONS",IF(Z755="울산신항","KRUSN",IF(OR(Z755="선광종합물류(인천여객)",Z755="인천여객(인천여객)"),"KRINF",IF(OR(Z755="선광인천보세(인천신)",Z755="한진인천(인천신)",Z755="선광인천신항(인천신)",Z755="인천더로지스(인천신)"),"KRINN",IF(OR(Z755="인천진아(인천항)",Z755="인천E1(인천항)",Z755="인천SM경인터미널(인천항)",Z755="인천항(인천항)",Z755="인천우련(인천항)",Z755="인천항8부두(인천항)"),"KRINC",VLOOKUP(K755,GLAPS정리!$BB$2:$BC$33,2,0))))))</f>
        <v>#N/A</v>
      </c>
      <c r="AL755" s="2">
        <f t="shared" si="165"/>
        <v>5010001</v>
      </c>
      <c r="AN755" s="70" t="str">
        <f t="shared" si="166"/>
        <v>1900-01-00</v>
      </c>
      <c r="AO755" s="2" t="str">
        <f t="shared" si="167"/>
        <v/>
      </c>
      <c r="AP755" s="2" t="e">
        <f>VLOOKUP(C755,GLAPS정리!$AX$2:$AZ$17,3,0)</f>
        <v>#N/A</v>
      </c>
      <c r="AR755" s="2">
        <f t="shared" si="173"/>
        <v>0</v>
      </c>
      <c r="AX755" s="2" t="e">
        <f>VLOOKUP(L755,GLAPS정리!$V$3:$W$180,2,0)</f>
        <v>#N/A</v>
      </c>
      <c r="BM755" s="2" t="str">
        <f t="shared" si="168"/>
        <v xml:space="preserve"> </v>
      </c>
      <c r="BN755" s="2">
        <f t="shared" si="169"/>
        <v>1</v>
      </c>
      <c r="BR755" s="2" t="str">
        <f t="shared" si="170"/>
        <v/>
      </c>
      <c r="BS755" s="2" t="str">
        <f t="shared" si="171"/>
        <v/>
      </c>
      <c r="BV755" s="2" t="e">
        <f>VLOOKUP(O755,GLAPS정리!$BH$2:$BI$94,2,0)</f>
        <v>#N/A</v>
      </c>
      <c r="BW755" s="2" t="str">
        <f>IF(OR(Z755="동원",Z755="세방",Z755="한타"),"",IFERROR(INDEX(GLAPS정리!$BI$2:$BI$101,MATCH(Z755,GLAPS정리!$BH$2:$BH$101,0)),""))</f>
        <v/>
      </c>
      <c r="BX755" s="2" t="str">
        <f>IF(Z755="","",IFERROR(VLOOKUP(Z755,GLAPS정리!$AX$2:$AZ$17,3,0),""))</f>
        <v/>
      </c>
      <c r="BZ755" s="2" t="e">
        <f>VLOOKUP(H755,GLAPS정리!$L$3:$O$133,2,0)</f>
        <v>#N/A</v>
      </c>
      <c r="CA755" s="2" t="str">
        <f t="shared" si="172"/>
        <v/>
      </c>
      <c r="CL755" s="2" t="e">
        <f>VLOOKUP(AI755,GLAPS정리!$BT$3:$BV$26,3,0)</f>
        <v>#N/A</v>
      </c>
    </row>
    <row r="756" spans="2:90" ht="20.45" customHeight="1">
      <c r="B756" s="13"/>
      <c r="G756" s="3"/>
      <c r="J756" s="3"/>
      <c r="Q756" s="3" t="str">
        <f t="shared" si="160"/>
        <v/>
      </c>
      <c r="R756" s="3" t="str">
        <f t="shared" si="161"/>
        <v/>
      </c>
      <c r="S756" s="3" t="str">
        <f t="shared" si="162"/>
        <v/>
      </c>
      <c r="X756" s="13"/>
      <c r="Y756" s="13"/>
      <c r="Z756" s="91"/>
      <c r="AC756" s="2">
        <f t="shared" si="163"/>
        <v>20</v>
      </c>
      <c r="AD756" s="2" t="str">
        <f>IFERROR(INDEX(GLAPS정리!$D$2:$D$50,MATCH(I756,GLAPS정리!$A$2:$A$50,0)),IFERROR(INDEX(GLAPS정리!$D$2:$D$50,MATCH(I756,GLAPS정리!$B$2:$B$50,0)),""))</f>
        <v/>
      </c>
      <c r="AF756" s="2" t="str">
        <f t="shared" si="164"/>
        <v>KR10</v>
      </c>
      <c r="AI756" s="2" t="e">
        <f>VLOOKUP(F756,GLAPS정리!$G$3:$J$114,2,0)</f>
        <v>#N/A</v>
      </c>
      <c r="AJ756" s="2" t="e">
        <f>IF(Z756="울산정일","KRONS",IF(Z756="울산신항","KRUSN",IF(OR(Z756="선광종합물류(인천여객)",Z756="인천여객(인천여객)"),"KRINF",IF(OR(Z756="선광인천보세(인천신)",Z756="한진인천(인천신)",Z756="선광인천신항(인천신)",Z756="인천더로지스(인천신)"),"KRINN",IF(OR(Z756="인천진아(인천항)",Z756="인천E1(인천항)",Z756="인천SM경인터미널(인천항)",Z756="인천항(인천항)",Z756="인천우련(인천항)",Z756="인천항8부두(인천항)"),"KRINC",VLOOKUP(K756,GLAPS정리!$BB$2:$BC$33,2,0))))))</f>
        <v>#N/A</v>
      </c>
      <c r="AL756" s="2">
        <f t="shared" si="165"/>
        <v>5010001</v>
      </c>
      <c r="AN756" s="70" t="str">
        <f t="shared" si="166"/>
        <v>1900-01-00</v>
      </c>
      <c r="AO756" s="2" t="str">
        <f t="shared" si="167"/>
        <v/>
      </c>
      <c r="AP756" s="2" t="e">
        <f>VLOOKUP(C756,GLAPS정리!$AX$2:$AZ$17,3,0)</f>
        <v>#N/A</v>
      </c>
      <c r="AR756" s="2">
        <f t="shared" si="173"/>
        <v>0</v>
      </c>
      <c r="AX756" s="2" t="e">
        <f>VLOOKUP(L756,GLAPS정리!$V$3:$W$180,2,0)</f>
        <v>#N/A</v>
      </c>
      <c r="BM756" s="2" t="str">
        <f t="shared" si="168"/>
        <v xml:space="preserve"> </v>
      </c>
      <c r="BN756" s="2">
        <f t="shared" si="169"/>
        <v>1</v>
      </c>
      <c r="BR756" s="2" t="str">
        <f t="shared" si="170"/>
        <v/>
      </c>
      <c r="BS756" s="2" t="str">
        <f t="shared" si="171"/>
        <v/>
      </c>
      <c r="BV756" s="2" t="e">
        <f>VLOOKUP(O756,GLAPS정리!$BH$2:$BI$94,2,0)</f>
        <v>#N/A</v>
      </c>
      <c r="BW756" s="2" t="str">
        <f>IF(OR(Z756="동원",Z756="세방",Z756="한타"),"",IFERROR(INDEX(GLAPS정리!$BI$2:$BI$101,MATCH(Z756,GLAPS정리!$BH$2:$BH$101,0)),""))</f>
        <v/>
      </c>
      <c r="BX756" s="2" t="str">
        <f>IF(Z756="","",IFERROR(VLOOKUP(Z756,GLAPS정리!$AX$2:$AZ$17,3,0),""))</f>
        <v/>
      </c>
      <c r="BZ756" s="2" t="e">
        <f>VLOOKUP(H756,GLAPS정리!$L$3:$O$133,2,0)</f>
        <v>#N/A</v>
      </c>
      <c r="CA756" s="2" t="str">
        <f t="shared" si="172"/>
        <v/>
      </c>
      <c r="CL756" s="2" t="e">
        <f>VLOOKUP(AI756,GLAPS정리!$BT$3:$BV$26,3,0)</f>
        <v>#N/A</v>
      </c>
    </row>
    <row r="757" spans="2:90" ht="20.45" customHeight="1">
      <c r="B757" s="13"/>
      <c r="G757" s="3"/>
      <c r="J757" s="3"/>
      <c r="Q757" s="3" t="str">
        <f t="shared" si="160"/>
        <v/>
      </c>
      <c r="R757" s="3" t="str">
        <f t="shared" si="161"/>
        <v/>
      </c>
      <c r="S757" s="3" t="str">
        <f t="shared" si="162"/>
        <v/>
      </c>
      <c r="X757" s="13"/>
      <c r="Y757" s="13"/>
      <c r="Z757" s="91"/>
      <c r="AC757" s="2">
        <f t="shared" si="163"/>
        <v>20</v>
      </c>
      <c r="AD757" s="2" t="str">
        <f>IFERROR(INDEX(GLAPS정리!$D$2:$D$50,MATCH(I757,GLAPS정리!$A$2:$A$50,0)),IFERROR(INDEX(GLAPS정리!$D$2:$D$50,MATCH(I757,GLAPS정리!$B$2:$B$50,0)),""))</f>
        <v/>
      </c>
      <c r="AF757" s="2" t="str">
        <f t="shared" si="164"/>
        <v>KR10</v>
      </c>
      <c r="AI757" s="2" t="e">
        <f>VLOOKUP(F757,GLAPS정리!$G$3:$J$114,2,0)</f>
        <v>#N/A</v>
      </c>
      <c r="AJ757" s="2" t="e">
        <f>IF(Z757="울산정일","KRONS",IF(Z757="울산신항","KRUSN",IF(OR(Z757="선광종합물류(인천여객)",Z757="인천여객(인천여객)"),"KRINF",IF(OR(Z757="선광인천보세(인천신)",Z757="한진인천(인천신)",Z757="선광인천신항(인천신)",Z757="인천더로지스(인천신)"),"KRINN",IF(OR(Z757="인천진아(인천항)",Z757="인천E1(인천항)",Z757="인천SM경인터미널(인천항)",Z757="인천항(인천항)",Z757="인천우련(인천항)",Z757="인천항8부두(인천항)"),"KRINC",VLOOKUP(K757,GLAPS정리!$BB$2:$BC$33,2,0))))))</f>
        <v>#N/A</v>
      </c>
      <c r="AL757" s="2">
        <f t="shared" si="165"/>
        <v>5010001</v>
      </c>
      <c r="AN757" s="70" t="str">
        <f t="shared" si="166"/>
        <v>1900-01-00</v>
      </c>
      <c r="AO757" s="2" t="str">
        <f t="shared" si="167"/>
        <v/>
      </c>
      <c r="AP757" s="2" t="e">
        <f>VLOOKUP(C757,GLAPS정리!$AX$2:$AZ$17,3,0)</f>
        <v>#N/A</v>
      </c>
      <c r="AR757" s="2">
        <f t="shared" si="173"/>
        <v>0</v>
      </c>
      <c r="AX757" s="2" t="e">
        <f>VLOOKUP(L757,GLAPS정리!$V$3:$W$180,2,0)</f>
        <v>#N/A</v>
      </c>
      <c r="BM757" s="2" t="str">
        <f t="shared" si="168"/>
        <v xml:space="preserve"> </v>
      </c>
      <c r="BN757" s="2">
        <f t="shared" si="169"/>
        <v>1</v>
      </c>
      <c r="BR757" s="2" t="str">
        <f t="shared" si="170"/>
        <v/>
      </c>
      <c r="BS757" s="2" t="str">
        <f t="shared" si="171"/>
        <v/>
      </c>
      <c r="BV757" s="2" t="e">
        <f>VLOOKUP(O757,GLAPS정리!$BH$2:$BI$94,2,0)</f>
        <v>#N/A</v>
      </c>
      <c r="BW757" s="2" t="str">
        <f>IF(OR(Z757="동원",Z757="세방",Z757="한타"),"",IFERROR(INDEX(GLAPS정리!$BI$2:$BI$101,MATCH(Z757,GLAPS정리!$BH$2:$BH$101,0)),""))</f>
        <v/>
      </c>
      <c r="BX757" s="2" t="str">
        <f>IF(Z757="","",IFERROR(VLOOKUP(Z757,GLAPS정리!$AX$2:$AZ$17,3,0),""))</f>
        <v/>
      </c>
      <c r="BZ757" s="2" t="e">
        <f>VLOOKUP(H757,GLAPS정리!$L$3:$O$133,2,0)</f>
        <v>#N/A</v>
      </c>
      <c r="CA757" s="2" t="str">
        <f t="shared" si="172"/>
        <v/>
      </c>
      <c r="CL757" s="2" t="e">
        <f>VLOOKUP(AI757,GLAPS정리!$BT$3:$BV$26,3,0)</f>
        <v>#N/A</v>
      </c>
    </row>
    <row r="758" spans="2:90" ht="20.45" customHeight="1">
      <c r="B758" s="13"/>
      <c r="G758" s="3"/>
      <c r="J758" s="3"/>
      <c r="Q758" s="3" t="str">
        <f t="shared" si="160"/>
        <v/>
      </c>
      <c r="R758" s="3" t="str">
        <f t="shared" si="161"/>
        <v/>
      </c>
      <c r="S758" s="3" t="str">
        <f t="shared" si="162"/>
        <v/>
      </c>
      <c r="X758" s="13"/>
      <c r="Y758" s="13"/>
      <c r="Z758" s="91"/>
      <c r="AC758" s="2">
        <f t="shared" si="163"/>
        <v>20</v>
      </c>
      <c r="AD758" s="2" t="str">
        <f>IFERROR(INDEX(GLAPS정리!$D$2:$D$50,MATCH(I758,GLAPS정리!$A$2:$A$50,0)),IFERROR(INDEX(GLAPS정리!$D$2:$D$50,MATCH(I758,GLAPS정리!$B$2:$B$50,0)),""))</f>
        <v/>
      </c>
      <c r="AF758" s="2" t="str">
        <f t="shared" si="164"/>
        <v>KR10</v>
      </c>
      <c r="AI758" s="2" t="e">
        <f>VLOOKUP(F758,GLAPS정리!$G$3:$J$114,2,0)</f>
        <v>#N/A</v>
      </c>
      <c r="AJ758" s="2" t="e">
        <f>IF(Z758="울산정일","KRONS",IF(Z758="울산신항","KRUSN",IF(OR(Z758="선광종합물류(인천여객)",Z758="인천여객(인천여객)"),"KRINF",IF(OR(Z758="선광인천보세(인천신)",Z758="한진인천(인천신)",Z758="선광인천신항(인천신)",Z758="인천더로지스(인천신)"),"KRINN",IF(OR(Z758="인천진아(인천항)",Z758="인천E1(인천항)",Z758="인천SM경인터미널(인천항)",Z758="인천항(인천항)",Z758="인천우련(인천항)",Z758="인천항8부두(인천항)"),"KRINC",VLOOKUP(K758,GLAPS정리!$BB$2:$BC$33,2,0))))))</f>
        <v>#N/A</v>
      </c>
      <c r="AL758" s="2">
        <f t="shared" si="165"/>
        <v>5010001</v>
      </c>
      <c r="AN758" s="70" t="str">
        <f t="shared" si="166"/>
        <v>1900-01-00</v>
      </c>
      <c r="AO758" s="2" t="str">
        <f t="shared" si="167"/>
        <v/>
      </c>
      <c r="AP758" s="2" t="e">
        <f>VLOOKUP(C758,GLAPS정리!$AX$2:$AZ$17,3,0)</f>
        <v>#N/A</v>
      </c>
      <c r="AR758" s="2">
        <f t="shared" si="173"/>
        <v>0</v>
      </c>
      <c r="AX758" s="2" t="e">
        <f>VLOOKUP(L758,GLAPS정리!$V$3:$W$180,2,0)</f>
        <v>#N/A</v>
      </c>
      <c r="BM758" s="2" t="str">
        <f t="shared" si="168"/>
        <v xml:space="preserve"> </v>
      </c>
      <c r="BN758" s="2">
        <f t="shared" si="169"/>
        <v>1</v>
      </c>
      <c r="BR758" s="2" t="str">
        <f t="shared" si="170"/>
        <v/>
      </c>
      <c r="BS758" s="2" t="str">
        <f t="shared" si="171"/>
        <v/>
      </c>
      <c r="BV758" s="2" t="e">
        <f>VLOOKUP(O758,GLAPS정리!$BH$2:$BI$94,2,0)</f>
        <v>#N/A</v>
      </c>
      <c r="BW758" s="2" t="str">
        <f>IF(OR(Z758="동원",Z758="세방",Z758="한타"),"",IFERROR(INDEX(GLAPS정리!$BI$2:$BI$101,MATCH(Z758,GLAPS정리!$BH$2:$BH$101,0)),""))</f>
        <v/>
      </c>
      <c r="BX758" s="2" t="str">
        <f>IF(Z758="","",IFERROR(VLOOKUP(Z758,GLAPS정리!$AX$2:$AZ$17,3,0),""))</f>
        <v/>
      </c>
      <c r="BZ758" s="2" t="e">
        <f>VLOOKUP(H758,GLAPS정리!$L$3:$O$133,2,0)</f>
        <v>#N/A</v>
      </c>
      <c r="CA758" s="2" t="str">
        <f t="shared" si="172"/>
        <v/>
      </c>
      <c r="CL758" s="2" t="e">
        <f>VLOOKUP(AI758,GLAPS정리!$BT$3:$BV$26,3,0)</f>
        <v>#N/A</v>
      </c>
    </row>
    <row r="759" spans="2:90" ht="20.45" customHeight="1">
      <c r="B759" s="13"/>
      <c r="G759" s="3"/>
      <c r="J759" s="3"/>
      <c r="Q759" s="3" t="str">
        <f t="shared" si="160"/>
        <v/>
      </c>
      <c r="R759" s="3" t="str">
        <f t="shared" si="161"/>
        <v/>
      </c>
      <c r="S759" s="3" t="str">
        <f t="shared" si="162"/>
        <v/>
      </c>
      <c r="X759" s="13"/>
      <c r="Y759" s="13"/>
      <c r="Z759" s="91"/>
      <c r="AC759" s="2">
        <f t="shared" si="163"/>
        <v>20</v>
      </c>
      <c r="AD759" s="2" t="str">
        <f>IFERROR(INDEX(GLAPS정리!$D$2:$D$50,MATCH(I759,GLAPS정리!$A$2:$A$50,0)),IFERROR(INDEX(GLAPS정리!$D$2:$D$50,MATCH(I759,GLAPS정리!$B$2:$B$50,0)),""))</f>
        <v/>
      </c>
      <c r="AF759" s="2" t="str">
        <f t="shared" si="164"/>
        <v>KR10</v>
      </c>
      <c r="AI759" s="2" t="e">
        <f>VLOOKUP(F759,GLAPS정리!$G$3:$J$114,2,0)</f>
        <v>#N/A</v>
      </c>
      <c r="AJ759" s="2" t="e">
        <f>IF(Z759="울산정일","KRONS",IF(Z759="울산신항","KRUSN",IF(OR(Z759="선광종합물류(인천여객)",Z759="인천여객(인천여객)"),"KRINF",IF(OR(Z759="선광인천보세(인천신)",Z759="한진인천(인천신)",Z759="선광인천신항(인천신)",Z759="인천더로지스(인천신)"),"KRINN",IF(OR(Z759="인천진아(인천항)",Z759="인천E1(인천항)",Z759="인천SM경인터미널(인천항)",Z759="인천항(인천항)",Z759="인천우련(인천항)",Z759="인천항8부두(인천항)"),"KRINC",VLOOKUP(K759,GLAPS정리!$BB$2:$BC$33,2,0))))))</f>
        <v>#N/A</v>
      </c>
      <c r="AL759" s="2">
        <f t="shared" si="165"/>
        <v>5010001</v>
      </c>
      <c r="AN759" s="70" t="str">
        <f t="shared" si="166"/>
        <v>1900-01-00</v>
      </c>
      <c r="AO759" s="2" t="str">
        <f t="shared" si="167"/>
        <v/>
      </c>
      <c r="AP759" s="2" t="e">
        <f>VLOOKUP(C759,GLAPS정리!$AX$2:$AZ$17,3,0)</f>
        <v>#N/A</v>
      </c>
      <c r="AR759" s="2">
        <f t="shared" si="173"/>
        <v>0</v>
      </c>
      <c r="AX759" s="2" t="e">
        <f>VLOOKUP(L759,GLAPS정리!$V$3:$W$180,2,0)</f>
        <v>#N/A</v>
      </c>
      <c r="BM759" s="2" t="str">
        <f t="shared" si="168"/>
        <v xml:space="preserve"> </v>
      </c>
      <c r="BN759" s="2">
        <f t="shared" si="169"/>
        <v>1</v>
      </c>
      <c r="BR759" s="2" t="str">
        <f t="shared" si="170"/>
        <v/>
      </c>
      <c r="BS759" s="2" t="str">
        <f t="shared" si="171"/>
        <v/>
      </c>
      <c r="BV759" s="2" t="e">
        <f>VLOOKUP(O759,GLAPS정리!$BH$2:$BI$94,2,0)</f>
        <v>#N/A</v>
      </c>
      <c r="BW759" s="2" t="str">
        <f>IF(OR(Z759="동원",Z759="세방",Z759="한타"),"",IFERROR(INDEX(GLAPS정리!$BI$2:$BI$101,MATCH(Z759,GLAPS정리!$BH$2:$BH$101,0)),""))</f>
        <v/>
      </c>
      <c r="BX759" s="2" t="str">
        <f>IF(Z759="","",IFERROR(VLOOKUP(Z759,GLAPS정리!$AX$2:$AZ$17,3,0),""))</f>
        <v/>
      </c>
      <c r="BZ759" s="2" t="e">
        <f>VLOOKUP(H759,GLAPS정리!$L$3:$O$133,2,0)</f>
        <v>#N/A</v>
      </c>
      <c r="CA759" s="2" t="str">
        <f t="shared" si="172"/>
        <v/>
      </c>
      <c r="CL759" s="2" t="e">
        <f>VLOOKUP(AI759,GLAPS정리!$BT$3:$BV$26,3,0)</f>
        <v>#N/A</v>
      </c>
    </row>
    <row r="760" spans="2:90" ht="20.45" customHeight="1">
      <c r="B760" s="13"/>
      <c r="G760" s="3"/>
      <c r="J760" s="3"/>
      <c r="Q760" s="3" t="str">
        <f t="shared" si="160"/>
        <v/>
      </c>
      <c r="R760" s="3" t="str">
        <f t="shared" si="161"/>
        <v/>
      </c>
      <c r="S760" s="3" t="str">
        <f t="shared" si="162"/>
        <v/>
      </c>
      <c r="X760" s="13"/>
      <c r="Y760" s="13"/>
      <c r="Z760" s="91"/>
      <c r="AC760" s="2">
        <f t="shared" si="163"/>
        <v>20</v>
      </c>
      <c r="AD760" s="2" t="str">
        <f>IFERROR(INDEX(GLAPS정리!$D$2:$D$50,MATCH(I760,GLAPS정리!$A$2:$A$50,0)),IFERROR(INDEX(GLAPS정리!$D$2:$D$50,MATCH(I760,GLAPS정리!$B$2:$B$50,0)),""))</f>
        <v/>
      </c>
      <c r="AF760" s="2" t="str">
        <f t="shared" si="164"/>
        <v>KR10</v>
      </c>
      <c r="AI760" s="2" t="e">
        <f>VLOOKUP(F760,GLAPS정리!$G$3:$J$114,2,0)</f>
        <v>#N/A</v>
      </c>
      <c r="AJ760" s="2" t="e">
        <f>IF(Z760="울산정일","KRONS",IF(Z760="울산신항","KRUSN",IF(OR(Z760="선광종합물류(인천여객)",Z760="인천여객(인천여객)"),"KRINF",IF(OR(Z760="선광인천보세(인천신)",Z760="한진인천(인천신)",Z760="선광인천신항(인천신)",Z760="인천더로지스(인천신)"),"KRINN",IF(OR(Z760="인천진아(인천항)",Z760="인천E1(인천항)",Z760="인천SM경인터미널(인천항)",Z760="인천항(인천항)",Z760="인천우련(인천항)",Z760="인천항8부두(인천항)"),"KRINC",VLOOKUP(K760,GLAPS정리!$BB$2:$BC$33,2,0))))))</f>
        <v>#N/A</v>
      </c>
      <c r="AL760" s="2">
        <f t="shared" si="165"/>
        <v>5010001</v>
      </c>
      <c r="AN760" s="70" t="str">
        <f t="shared" si="166"/>
        <v>1900-01-00</v>
      </c>
      <c r="AO760" s="2" t="str">
        <f t="shared" si="167"/>
        <v/>
      </c>
      <c r="AP760" s="2" t="e">
        <f>VLOOKUP(C760,GLAPS정리!$AX$2:$AZ$17,3,0)</f>
        <v>#N/A</v>
      </c>
      <c r="AR760" s="2">
        <f t="shared" si="173"/>
        <v>0</v>
      </c>
      <c r="AX760" s="2" t="e">
        <f>VLOOKUP(L760,GLAPS정리!$V$3:$W$180,2,0)</f>
        <v>#N/A</v>
      </c>
      <c r="BM760" s="2" t="str">
        <f t="shared" si="168"/>
        <v xml:space="preserve"> </v>
      </c>
      <c r="BN760" s="2">
        <f t="shared" si="169"/>
        <v>1</v>
      </c>
      <c r="BR760" s="2" t="str">
        <f t="shared" si="170"/>
        <v/>
      </c>
      <c r="BS760" s="2" t="str">
        <f t="shared" si="171"/>
        <v/>
      </c>
      <c r="BV760" s="2" t="e">
        <f>VLOOKUP(O760,GLAPS정리!$BH$2:$BI$94,2,0)</f>
        <v>#N/A</v>
      </c>
      <c r="BW760" s="2" t="str">
        <f>IF(OR(Z760="동원",Z760="세방",Z760="한타"),"",IFERROR(INDEX(GLAPS정리!$BI$2:$BI$101,MATCH(Z760,GLAPS정리!$BH$2:$BH$101,0)),""))</f>
        <v/>
      </c>
      <c r="BX760" s="2" t="str">
        <f>IF(Z760="","",IFERROR(VLOOKUP(Z760,GLAPS정리!$AX$2:$AZ$17,3,0),""))</f>
        <v/>
      </c>
      <c r="BZ760" s="2" t="e">
        <f>VLOOKUP(H760,GLAPS정리!$L$3:$O$133,2,0)</f>
        <v>#N/A</v>
      </c>
      <c r="CA760" s="2" t="str">
        <f t="shared" si="172"/>
        <v/>
      </c>
      <c r="CL760" s="2" t="e">
        <f>VLOOKUP(AI760,GLAPS정리!$BT$3:$BV$26,3,0)</f>
        <v>#N/A</v>
      </c>
    </row>
    <row r="761" spans="2:90" ht="20.45" customHeight="1">
      <c r="B761" s="13"/>
      <c r="G761" s="3"/>
      <c r="J761" s="3"/>
      <c r="Q761" s="3" t="str">
        <f t="shared" si="160"/>
        <v/>
      </c>
      <c r="R761" s="3" t="str">
        <f t="shared" si="161"/>
        <v/>
      </c>
      <c r="S761" s="3" t="str">
        <f t="shared" si="162"/>
        <v/>
      </c>
      <c r="X761" s="13"/>
      <c r="Y761" s="13"/>
      <c r="Z761" s="91"/>
      <c r="AC761" s="2">
        <f t="shared" si="163"/>
        <v>20</v>
      </c>
      <c r="AD761" s="2" t="str">
        <f>IFERROR(INDEX(GLAPS정리!$D$2:$D$50,MATCH(I761,GLAPS정리!$A$2:$A$50,0)),IFERROR(INDEX(GLAPS정리!$D$2:$D$50,MATCH(I761,GLAPS정리!$B$2:$B$50,0)),""))</f>
        <v/>
      </c>
      <c r="AF761" s="2" t="str">
        <f t="shared" si="164"/>
        <v>KR10</v>
      </c>
      <c r="AI761" s="2" t="e">
        <f>VLOOKUP(F761,GLAPS정리!$G$3:$J$114,2,0)</f>
        <v>#N/A</v>
      </c>
      <c r="AJ761" s="2" t="e">
        <f>IF(Z761="울산정일","KRONS",IF(Z761="울산신항","KRUSN",IF(OR(Z761="선광종합물류(인천여객)",Z761="인천여객(인천여객)"),"KRINF",IF(OR(Z761="선광인천보세(인천신)",Z761="한진인천(인천신)",Z761="선광인천신항(인천신)",Z761="인천더로지스(인천신)"),"KRINN",IF(OR(Z761="인천진아(인천항)",Z761="인천E1(인천항)",Z761="인천SM경인터미널(인천항)",Z761="인천항(인천항)",Z761="인천우련(인천항)",Z761="인천항8부두(인천항)"),"KRINC",VLOOKUP(K761,GLAPS정리!$BB$2:$BC$33,2,0))))))</f>
        <v>#N/A</v>
      </c>
      <c r="AL761" s="2">
        <f t="shared" si="165"/>
        <v>5010001</v>
      </c>
      <c r="AN761" s="70" t="str">
        <f t="shared" si="166"/>
        <v>1900-01-00</v>
      </c>
      <c r="AO761" s="2" t="str">
        <f t="shared" si="167"/>
        <v/>
      </c>
      <c r="AP761" s="2" t="e">
        <f>VLOOKUP(C761,GLAPS정리!$AX$2:$AZ$17,3,0)</f>
        <v>#N/A</v>
      </c>
      <c r="AR761" s="2">
        <f t="shared" si="173"/>
        <v>0</v>
      </c>
      <c r="AX761" s="2" t="e">
        <f>VLOOKUP(L761,GLAPS정리!$V$3:$W$180,2,0)</f>
        <v>#N/A</v>
      </c>
      <c r="BM761" s="2" t="str">
        <f t="shared" si="168"/>
        <v xml:space="preserve"> </v>
      </c>
      <c r="BN761" s="2">
        <f t="shared" si="169"/>
        <v>1</v>
      </c>
      <c r="BR761" s="2" t="str">
        <f t="shared" si="170"/>
        <v/>
      </c>
      <c r="BS761" s="2" t="str">
        <f t="shared" si="171"/>
        <v/>
      </c>
      <c r="BV761" s="2" t="e">
        <f>VLOOKUP(O761,GLAPS정리!$BH$2:$BI$94,2,0)</f>
        <v>#N/A</v>
      </c>
      <c r="BW761" s="2" t="str">
        <f>IF(OR(Z761="동원",Z761="세방",Z761="한타"),"",IFERROR(INDEX(GLAPS정리!$BI$2:$BI$101,MATCH(Z761,GLAPS정리!$BH$2:$BH$101,0)),""))</f>
        <v/>
      </c>
      <c r="BX761" s="2" t="str">
        <f>IF(Z761="","",IFERROR(VLOOKUP(Z761,GLAPS정리!$AX$2:$AZ$17,3,0),""))</f>
        <v/>
      </c>
      <c r="BZ761" s="2" t="e">
        <f>VLOOKUP(H761,GLAPS정리!$L$3:$O$133,2,0)</f>
        <v>#N/A</v>
      </c>
      <c r="CA761" s="2" t="str">
        <f t="shared" si="172"/>
        <v/>
      </c>
      <c r="CL761" s="2" t="e">
        <f>VLOOKUP(AI761,GLAPS정리!$BT$3:$BV$26,3,0)</f>
        <v>#N/A</v>
      </c>
    </row>
    <row r="762" spans="2:90" ht="20.45" customHeight="1">
      <c r="B762" s="13"/>
      <c r="G762" s="3"/>
      <c r="J762" s="3"/>
      <c r="Q762" s="3" t="str">
        <f t="shared" si="160"/>
        <v/>
      </c>
      <c r="R762" s="3" t="str">
        <f t="shared" si="161"/>
        <v/>
      </c>
      <c r="S762" s="3" t="str">
        <f t="shared" si="162"/>
        <v/>
      </c>
      <c r="X762" s="13"/>
      <c r="Y762" s="13"/>
      <c r="Z762" s="91"/>
      <c r="AC762" s="2">
        <f t="shared" si="163"/>
        <v>20</v>
      </c>
      <c r="AD762" s="2" t="str">
        <f>IFERROR(INDEX(GLAPS정리!$D$2:$D$50,MATCH(I762,GLAPS정리!$A$2:$A$50,0)),IFERROR(INDEX(GLAPS정리!$D$2:$D$50,MATCH(I762,GLAPS정리!$B$2:$B$50,0)),""))</f>
        <v/>
      </c>
      <c r="AF762" s="2" t="str">
        <f t="shared" si="164"/>
        <v>KR10</v>
      </c>
      <c r="AI762" s="2" t="e">
        <f>VLOOKUP(F762,GLAPS정리!$G$3:$J$114,2,0)</f>
        <v>#N/A</v>
      </c>
      <c r="AJ762" s="2" t="e">
        <f>IF(Z762="울산정일","KRONS",IF(Z762="울산신항","KRUSN",IF(OR(Z762="선광종합물류(인천여객)",Z762="인천여객(인천여객)"),"KRINF",IF(OR(Z762="선광인천보세(인천신)",Z762="한진인천(인천신)",Z762="선광인천신항(인천신)",Z762="인천더로지스(인천신)"),"KRINN",IF(OR(Z762="인천진아(인천항)",Z762="인천E1(인천항)",Z762="인천SM경인터미널(인천항)",Z762="인천항(인천항)",Z762="인천우련(인천항)",Z762="인천항8부두(인천항)"),"KRINC",VLOOKUP(K762,GLAPS정리!$BB$2:$BC$33,2,0))))))</f>
        <v>#N/A</v>
      </c>
      <c r="AL762" s="2">
        <f t="shared" si="165"/>
        <v>5010001</v>
      </c>
      <c r="AN762" s="70" t="str">
        <f t="shared" si="166"/>
        <v>1900-01-00</v>
      </c>
      <c r="AO762" s="2" t="str">
        <f t="shared" si="167"/>
        <v/>
      </c>
      <c r="AP762" s="2" t="e">
        <f>VLOOKUP(C762,GLAPS정리!$AX$2:$AZ$17,3,0)</f>
        <v>#N/A</v>
      </c>
      <c r="AR762" s="2">
        <f t="shared" si="173"/>
        <v>0</v>
      </c>
      <c r="AX762" s="2" t="e">
        <f>VLOOKUP(L762,GLAPS정리!$V$3:$W$180,2,0)</f>
        <v>#N/A</v>
      </c>
      <c r="BM762" s="2" t="str">
        <f t="shared" si="168"/>
        <v xml:space="preserve"> </v>
      </c>
      <c r="BN762" s="2">
        <f t="shared" si="169"/>
        <v>1</v>
      </c>
      <c r="BR762" s="2" t="str">
        <f t="shared" si="170"/>
        <v/>
      </c>
      <c r="BS762" s="2" t="str">
        <f t="shared" si="171"/>
        <v/>
      </c>
      <c r="BV762" s="2" t="e">
        <f>VLOOKUP(O762,GLAPS정리!$BH$2:$BI$94,2,0)</f>
        <v>#N/A</v>
      </c>
      <c r="BW762" s="2" t="str">
        <f>IF(OR(Z762="동원",Z762="세방",Z762="한타"),"",IFERROR(INDEX(GLAPS정리!$BI$2:$BI$101,MATCH(Z762,GLAPS정리!$BH$2:$BH$101,0)),""))</f>
        <v/>
      </c>
      <c r="BX762" s="2" t="str">
        <f>IF(Z762="","",IFERROR(VLOOKUP(Z762,GLAPS정리!$AX$2:$AZ$17,3,0),""))</f>
        <v/>
      </c>
      <c r="BZ762" s="2" t="e">
        <f>VLOOKUP(H762,GLAPS정리!$L$3:$O$133,2,0)</f>
        <v>#N/A</v>
      </c>
      <c r="CA762" s="2" t="str">
        <f t="shared" si="172"/>
        <v/>
      </c>
      <c r="CL762" s="2" t="e">
        <f>VLOOKUP(AI762,GLAPS정리!$BT$3:$BV$26,3,0)</f>
        <v>#N/A</v>
      </c>
    </row>
    <row r="763" spans="2:90" ht="20.45" customHeight="1">
      <c r="B763" s="13"/>
      <c r="G763" s="3"/>
      <c r="J763" s="3"/>
      <c r="Q763" s="3" t="str">
        <f t="shared" si="160"/>
        <v/>
      </c>
      <c r="R763" s="3" t="str">
        <f t="shared" si="161"/>
        <v/>
      </c>
      <c r="S763" s="3" t="str">
        <f t="shared" si="162"/>
        <v/>
      </c>
      <c r="X763" s="13"/>
      <c r="Y763" s="13"/>
      <c r="Z763" s="91"/>
      <c r="AC763" s="2">
        <f t="shared" si="163"/>
        <v>20</v>
      </c>
      <c r="AD763" s="2" t="str">
        <f>IFERROR(INDEX(GLAPS정리!$D$2:$D$50,MATCH(I763,GLAPS정리!$A$2:$A$50,0)),IFERROR(INDEX(GLAPS정리!$D$2:$D$50,MATCH(I763,GLAPS정리!$B$2:$B$50,0)),""))</f>
        <v/>
      </c>
      <c r="AF763" s="2" t="str">
        <f t="shared" si="164"/>
        <v>KR10</v>
      </c>
      <c r="AI763" s="2" t="e">
        <f>VLOOKUP(F763,GLAPS정리!$G$3:$J$114,2,0)</f>
        <v>#N/A</v>
      </c>
      <c r="AJ763" s="2" t="e">
        <f>IF(Z763="울산정일","KRONS",IF(Z763="울산신항","KRUSN",IF(OR(Z763="선광종합물류(인천여객)",Z763="인천여객(인천여객)"),"KRINF",IF(OR(Z763="선광인천보세(인천신)",Z763="한진인천(인천신)",Z763="선광인천신항(인천신)",Z763="인천더로지스(인천신)"),"KRINN",IF(OR(Z763="인천진아(인천항)",Z763="인천E1(인천항)",Z763="인천SM경인터미널(인천항)",Z763="인천항(인천항)",Z763="인천우련(인천항)",Z763="인천항8부두(인천항)"),"KRINC",VLOOKUP(K763,GLAPS정리!$BB$2:$BC$33,2,0))))))</f>
        <v>#N/A</v>
      </c>
      <c r="AL763" s="2">
        <f t="shared" si="165"/>
        <v>5010001</v>
      </c>
      <c r="AN763" s="70" t="str">
        <f t="shared" si="166"/>
        <v>1900-01-00</v>
      </c>
      <c r="AO763" s="2" t="str">
        <f t="shared" si="167"/>
        <v/>
      </c>
      <c r="AP763" s="2" t="e">
        <f>VLOOKUP(C763,GLAPS정리!$AX$2:$AZ$17,3,0)</f>
        <v>#N/A</v>
      </c>
      <c r="AR763" s="2">
        <f t="shared" si="173"/>
        <v>0</v>
      </c>
      <c r="AX763" s="2" t="e">
        <f>VLOOKUP(L763,GLAPS정리!$V$3:$W$180,2,0)</f>
        <v>#N/A</v>
      </c>
      <c r="BM763" s="2" t="str">
        <f t="shared" si="168"/>
        <v xml:space="preserve"> </v>
      </c>
      <c r="BN763" s="2">
        <f t="shared" si="169"/>
        <v>1</v>
      </c>
      <c r="BR763" s="2" t="str">
        <f t="shared" si="170"/>
        <v/>
      </c>
      <c r="BS763" s="2" t="str">
        <f t="shared" si="171"/>
        <v/>
      </c>
      <c r="BV763" s="2" t="e">
        <f>VLOOKUP(O763,GLAPS정리!$BH$2:$BI$94,2,0)</f>
        <v>#N/A</v>
      </c>
      <c r="BW763" s="2" t="str">
        <f>IF(OR(Z763="동원",Z763="세방",Z763="한타"),"",IFERROR(INDEX(GLAPS정리!$BI$2:$BI$101,MATCH(Z763,GLAPS정리!$BH$2:$BH$101,0)),""))</f>
        <v/>
      </c>
      <c r="BX763" s="2" t="str">
        <f>IF(Z763="","",IFERROR(VLOOKUP(Z763,GLAPS정리!$AX$2:$AZ$17,3,0),""))</f>
        <v/>
      </c>
      <c r="BZ763" s="2" t="e">
        <f>VLOOKUP(H763,GLAPS정리!$L$3:$O$133,2,0)</f>
        <v>#N/A</v>
      </c>
      <c r="CA763" s="2" t="str">
        <f t="shared" si="172"/>
        <v/>
      </c>
      <c r="CL763" s="2" t="e">
        <f>VLOOKUP(AI763,GLAPS정리!$BT$3:$BV$26,3,0)</f>
        <v>#N/A</v>
      </c>
    </row>
    <row r="764" spans="2:90" ht="20.45" customHeight="1">
      <c r="B764" s="13"/>
      <c r="G764" s="3"/>
      <c r="J764" s="3"/>
      <c r="Q764" s="3" t="str">
        <f t="shared" ref="Q764:Q827" si="174">IF(J764="20 FeeT",1,"")</f>
        <v/>
      </c>
      <c r="R764" s="3" t="str">
        <f t="shared" ref="R764:R827" si="175">IF(J764="40 Feet N",1,"")</f>
        <v/>
      </c>
      <c r="S764" s="3" t="str">
        <f t="shared" ref="S764:S827" si="176">IF(J764="40 Feet H",1,"")</f>
        <v/>
      </c>
      <c r="X764" s="13"/>
      <c r="Y764" s="13"/>
      <c r="Z764" s="91"/>
      <c r="AC764" s="2">
        <f t="shared" ref="AC764:AC827" si="177">$AC$1</f>
        <v>20</v>
      </c>
      <c r="AD764" s="2" t="str">
        <f>IFERROR(INDEX(GLAPS정리!$D$2:$D$50,MATCH(I764,GLAPS정리!$A$2:$A$50,0)),IFERROR(INDEX(GLAPS정리!$D$2:$D$50,MATCH(I764,GLAPS정리!$B$2:$B$50,0)),""))</f>
        <v/>
      </c>
      <c r="AF764" s="2" t="str">
        <f t="shared" ref="AF764:AF827" si="178">$AF$1</f>
        <v>KR10</v>
      </c>
      <c r="AI764" s="2" t="e">
        <f>VLOOKUP(F764,GLAPS정리!$G$3:$J$114,2,0)</f>
        <v>#N/A</v>
      </c>
      <c r="AJ764" s="2" t="e">
        <f>IF(Z764="울산정일","KRONS",IF(Z764="울산신항","KRUSN",IF(OR(Z764="선광종합물류(인천여객)",Z764="인천여객(인천여객)"),"KRINF",IF(OR(Z764="선광인천보세(인천신)",Z764="한진인천(인천신)",Z764="선광인천신항(인천신)",Z764="인천더로지스(인천신)"),"KRINN",IF(OR(Z764="인천진아(인천항)",Z764="인천E1(인천항)",Z764="인천SM경인터미널(인천항)",Z764="인천항(인천항)",Z764="인천우련(인천항)",Z764="인천항8부두(인천항)"),"KRINC",VLOOKUP(K764,GLAPS정리!$BB$2:$BC$33,2,0))))))</f>
        <v>#N/A</v>
      </c>
      <c r="AL764" s="2">
        <f t="shared" ref="AL764:AL827" si="179">$AL$1</f>
        <v>5010001</v>
      </c>
      <c r="AN764" s="70" t="str">
        <f t="shared" ref="AN764:AN828" si="180">TEXT(B764,"YYYY-MM-DD")</f>
        <v>1900-01-00</v>
      </c>
      <c r="AO764" s="2" t="str">
        <f t="shared" ref="AO764:AO827" si="181">IF(E764="오전", "0800", IF(E764="오후", "1300", IF(E764="잔업", "1800", "")))</f>
        <v/>
      </c>
      <c r="AP764" s="2" t="e">
        <f>VLOOKUP(C764,GLAPS정리!$AX$2:$AZ$17,3,0)</f>
        <v>#N/A</v>
      </c>
      <c r="AR764" s="2">
        <f t="shared" si="173"/>
        <v>0</v>
      </c>
      <c r="AX764" s="2" t="e">
        <f>VLOOKUP(L764,GLAPS정리!$V$3:$W$180,2,0)</f>
        <v>#N/A</v>
      </c>
      <c r="BM764" s="2" t="str">
        <f t="shared" ref="BM764:BM827" si="182">IF(AND(Q764=1,OR(P764="",P764="위험물")), "2210", IF(AND(Q764=1,OR(P764="리퍼",P764="위험물리퍼")), "2230", IF(AND(S764=1,OR(P764="",P764="위험물")), "4510", IF(AND(S764=1,OR(P764="리퍼",P764="위험물리퍼")), "4530", IF(AND(R764=1,OR(P764="",P764="위험물")), "4210", IF(AND(R764=1,P764="리퍼"), "4230", " "))))))</f>
        <v xml:space="preserve"> </v>
      </c>
      <c r="BN764" s="2">
        <f t="shared" ref="BN764:BN827" si="183">$BN$1</f>
        <v>1</v>
      </c>
      <c r="BR764" s="2" t="str">
        <f t="shared" ref="BR764:BR827" si="184">IF(OR(P764="리퍼",P764="위험물리퍼"),"Y","")</f>
        <v/>
      </c>
      <c r="BS764" s="2" t="str">
        <f t="shared" ref="BS764:BS827" si="185">IF(OR(P764="위험물",P764="위험물리퍼"),"Y","")</f>
        <v/>
      </c>
      <c r="BV764" s="2" t="e">
        <f>VLOOKUP(O764,GLAPS정리!$BH$2:$BI$94,2,0)</f>
        <v>#N/A</v>
      </c>
      <c r="BW764" s="2" t="str">
        <f>IF(OR(Z764="동원",Z764="세방",Z764="한타"),"",IFERROR(INDEX(GLAPS정리!$BI$2:$BI$101,MATCH(Z764,GLAPS정리!$BH$2:$BH$101,0)),""))</f>
        <v/>
      </c>
      <c r="BX764" s="2" t="str">
        <f>IF(Z764="","",IFERROR(VLOOKUP(Z764,GLAPS정리!$AX$2:$AZ$17,3,0),""))</f>
        <v/>
      </c>
      <c r="BZ764" s="2" t="e">
        <f>VLOOKUP(H764,GLAPS정리!$L$3:$O$133,2,0)</f>
        <v>#N/A</v>
      </c>
      <c r="CA764" s="2" t="str">
        <f t="shared" ref="CA764:CA827" si="186">IF(V764="공휴일", 10, IF(V764="야간", 20, IF(V764="위험물", 30, IF(V764="중량", 40, ""))))</f>
        <v/>
      </c>
      <c r="CL764" s="2" t="e">
        <f>VLOOKUP(AI764,GLAPS정리!$BT$3:$BV$26,3,0)</f>
        <v>#N/A</v>
      </c>
    </row>
    <row r="765" spans="2:90" ht="20.45" customHeight="1">
      <c r="B765" s="13"/>
      <c r="G765" s="3"/>
      <c r="J765" s="3"/>
      <c r="Q765" s="3" t="str">
        <f t="shared" si="174"/>
        <v/>
      </c>
      <c r="R765" s="3" t="str">
        <f t="shared" si="175"/>
        <v/>
      </c>
      <c r="S765" s="3" t="str">
        <f t="shared" si="176"/>
        <v/>
      </c>
      <c r="X765" s="13"/>
      <c r="Y765" s="13"/>
      <c r="Z765" s="91"/>
      <c r="AC765" s="2">
        <f t="shared" si="177"/>
        <v>20</v>
      </c>
      <c r="AD765" s="2" t="str">
        <f>IFERROR(INDEX(GLAPS정리!$D$2:$D$50,MATCH(I765,GLAPS정리!$A$2:$A$50,0)),IFERROR(INDEX(GLAPS정리!$D$2:$D$50,MATCH(I765,GLAPS정리!$B$2:$B$50,0)),""))</f>
        <v/>
      </c>
      <c r="AF765" s="2" t="str">
        <f t="shared" si="178"/>
        <v>KR10</v>
      </c>
      <c r="AI765" s="2" t="e">
        <f>VLOOKUP(F765,GLAPS정리!$G$3:$J$114,2,0)</f>
        <v>#N/A</v>
      </c>
      <c r="AJ765" s="2" t="e">
        <f>IF(Z765="울산정일","KRONS",IF(Z765="울산신항","KRUSN",IF(OR(Z765="선광종합물류(인천여객)",Z765="인천여객(인천여객)"),"KRINF",IF(OR(Z765="선광인천보세(인천신)",Z765="한진인천(인천신)",Z765="선광인천신항(인천신)",Z765="인천더로지스(인천신)"),"KRINN",IF(OR(Z765="인천진아(인천항)",Z765="인천E1(인천항)",Z765="인천SM경인터미널(인천항)",Z765="인천항(인천항)",Z765="인천우련(인천항)",Z765="인천항8부두(인천항)"),"KRINC",VLOOKUP(K765,GLAPS정리!$BB$2:$BC$33,2,0))))))</f>
        <v>#N/A</v>
      </c>
      <c r="AL765" s="2">
        <f t="shared" si="179"/>
        <v>5010001</v>
      </c>
      <c r="AN765" s="70" t="str">
        <f t="shared" si="180"/>
        <v>1900-01-00</v>
      </c>
      <c r="AO765" s="2" t="str">
        <f t="shared" si="181"/>
        <v/>
      </c>
      <c r="AP765" s="2" t="e">
        <f>VLOOKUP(C765,GLAPS정리!$AX$2:$AZ$17,3,0)</f>
        <v>#N/A</v>
      </c>
      <c r="AR765" s="2">
        <f t="shared" si="173"/>
        <v>0</v>
      </c>
      <c r="AX765" s="2" t="e">
        <f>VLOOKUP(L765,GLAPS정리!$V$3:$W$180,2,0)</f>
        <v>#N/A</v>
      </c>
      <c r="BM765" s="2" t="str">
        <f t="shared" si="182"/>
        <v xml:space="preserve"> </v>
      </c>
      <c r="BN765" s="2">
        <f t="shared" si="183"/>
        <v>1</v>
      </c>
      <c r="BR765" s="2" t="str">
        <f t="shared" si="184"/>
        <v/>
      </c>
      <c r="BS765" s="2" t="str">
        <f t="shared" si="185"/>
        <v/>
      </c>
      <c r="BV765" s="2" t="e">
        <f>VLOOKUP(O765,GLAPS정리!$BH$2:$BI$94,2,0)</f>
        <v>#N/A</v>
      </c>
      <c r="BW765" s="2" t="str">
        <f>IF(OR(Z765="동원",Z765="세방",Z765="한타"),"",IFERROR(INDEX(GLAPS정리!$BI$2:$BI$101,MATCH(Z765,GLAPS정리!$BH$2:$BH$101,0)),""))</f>
        <v/>
      </c>
      <c r="BX765" s="2" t="str">
        <f>IF(Z765="","",IFERROR(VLOOKUP(Z765,GLAPS정리!$AX$2:$AZ$17,3,0),""))</f>
        <v/>
      </c>
      <c r="BZ765" s="2" t="e">
        <f>VLOOKUP(H765,GLAPS정리!$L$3:$O$133,2,0)</f>
        <v>#N/A</v>
      </c>
      <c r="CA765" s="2" t="str">
        <f t="shared" si="186"/>
        <v/>
      </c>
      <c r="CL765" s="2" t="e">
        <f>VLOOKUP(AI765,GLAPS정리!$BT$3:$BV$26,3,0)</f>
        <v>#N/A</v>
      </c>
    </row>
    <row r="766" spans="2:90" ht="20.45" customHeight="1">
      <c r="B766" s="13"/>
      <c r="G766" s="3"/>
      <c r="J766" s="3"/>
      <c r="Q766" s="3" t="str">
        <f t="shared" si="174"/>
        <v/>
      </c>
      <c r="R766" s="3" t="str">
        <f t="shared" si="175"/>
        <v/>
      </c>
      <c r="S766" s="3" t="str">
        <f t="shared" si="176"/>
        <v/>
      </c>
      <c r="X766" s="13"/>
      <c r="Y766" s="13"/>
      <c r="Z766" s="91"/>
      <c r="AC766" s="2">
        <f t="shared" si="177"/>
        <v>20</v>
      </c>
      <c r="AD766" s="2" t="str">
        <f>IFERROR(INDEX(GLAPS정리!$D$2:$D$50,MATCH(I766,GLAPS정리!$A$2:$A$50,0)),IFERROR(INDEX(GLAPS정리!$D$2:$D$50,MATCH(I766,GLAPS정리!$B$2:$B$50,0)),""))</f>
        <v/>
      </c>
      <c r="AF766" s="2" t="str">
        <f t="shared" si="178"/>
        <v>KR10</v>
      </c>
      <c r="AI766" s="2" t="e">
        <f>VLOOKUP(F766,GLAPS정리!$G$3:$J$114,2,0)</f>
        <v>#N/A</v>
      </c>
      <c r="AJ766" s="2" t="e">
        <f>IF(Z766="울산정일","KRONS",IF(Z766="울산신항","KRUSN",IF(OR(Z766="선광종합물류(인천여객)",Z766="인천여객(인천여객)"),"KRINF",IF(OR(Z766="선광인천보세(인천신)",Z766="한진인천(인천신)",Z766="선광인천신항(인천신)",Z766="인천더로지스(인천신)"),"KRINN",IF(OR(Z766="인천진아(인천항)",Z766="인천E1(인천항)",Z766="인천SM경인터미널(인천항)",Z766="인천항(인천항)",Z766="인천우련(인천항)",Z766="인천항8부두(인천항)"),"KRINC",VLOOKUP(K766,GLAPS정리!$BB$2:$BC$33,2,0))))))</f>
        <v>#N/A</v>
      </c>
      <c r="AL766" s="2">
        <f t="shared" si="179"/>
        <v>5010001</v>
      </c>
      <c r="AN766" s="70" t="str">
        <f t="shared" si="180"/>
        <v>1900-01-00</v>
      </c>
      <c r="AO766" s="2" t="str">
        <f t="shared" si="181"/>
        <v/>
      </c>
      <c r="AP766" s="2" t="e">
        <f>VLOOKUP(C766,GLAPS정리!$AX$2:$AZ$17,3,0)</f>
        <v>#N/A</v>
      </c>
      <c r="AR766" s="2">
        <f t="shared" si="173"/>
        <v>0</v>
      </c>
      <c r="AX766" s="2" t="e">
        <f>VLOOKUP(L766,GLAPS정리!$V$3:$W$180,2,0)</f>
        <v>#N/A</v>
      </c>
      <c r="BM766" s="2" t="str">
        <f t="shared" si="182"/>
        <v xml:space="preserve"> </v>
      </c>
      <c r="BN766" s="2">
        <f t="shared" si="183"/>
        <v>1</v>
      </c>
      <c r="BR766" s="2" t="str">
        <f t="shared" si="184"/>
        <v/>
      </c>
      <c r="BS766" s="2" t="str">
        <f t="shared" si="185"/>
        <v/>
      </c>
      <c r="BV766" s="2" t="e">
        <f>VLOOKUP(O766,GLAPS정리!$BH$2:$BI$94,2,0)</f>
        <v>#N/A</v>
      </c>
      <c r="BW766" s="2" t="str">
        <f>IF(OR(Z766="동원",Z766="세방",Z766="한타"),"",IFERROR(INDEX(GLAPS정리!$BI$2:$BI$101,MATCH(Z766,GLAPS정리!$BH$2:$BH$101,0)),""))</f>
        <v/>
      </c>
      <c r="BX766" s="2" t="str">
        <f>IF(Z766="","",IFERROR(VLOOKUP(Z766,GLAPS정리!$AX$2:$AZ$17,3,0),""))</f>
        <v/>
      </c>
      <c r="BZ766" s="2" t="e">
        <f>VLOOKUP(H766,GLAPS정리!$L$3:$O$133,2,0)</f>
        <v>#N/A</v>
      </c>
      <c r="CA766" s="2" t="str">
        <f t="shared" si="186"/>
        <v/>
      </c>
      <c r="CL766" s="2" t="e">
        <f>VLOOKUP(AI766,GLAPS정리!$BT$3:$BV$26,3,0)</f>
        <v>#N/A</v>
      </c>
    </row>
    <row r="767" spans="2:90" ht="20.45" customHeight="1">
      <c r="B767" s="13"/>
      <c r="G767" s="3"/>
      <c r="J767" s="3"/>
      <c r="Q767" s="3" t="str">
        <f t="shared" si="174"/>
        <v/>
      </c>
      <c r="R767" s="3" t="str">
        <f t="shared" si="175"/>
        <v/>
      </c>
      <c r="S767" s="3" t="str">
        <f t="shared" si="176"/>
        <v/>
      </c>
      <c r="X767" s="13"/>
      <c r="Y767" s="13"/>
      <c r="Z767" s="91"/>
      <c r="AC767" s="2">
        <f t="shared" si="177"/>
        <v>20</v>
      </c>
      <c r="AD767" s="2" t="str">
        <f>IFERROR(INDEX(GLAPS정리!$D$2:$D$50,MATCH(I767,GLAPS정리!$A$2:$A$50,0)),IFERROR(INDEX(GLAPS정리!$D$2:$D$50,MATCH(I767,GLAPS정리!$B$2:$B$50,0)),""))</f>
        <v/>
      </c>
      <c r="AF767" s="2" t="str">
        <f t="shared" si="178"/>
        <v>KR10</v>
      </c>
      <c r="AI767" s="2" t="e">
        <f>VLOOKUP(F767,GLAPS정리!$G$3:$J$114,2,0)</f>
        <v>#N/A</v>
      </c>
      <c r="AJ767" s="2" t="e">
        <f>IF(Z767="울산정일","KRONS",IF(Z767="울산신항","KRUSN",IF(OR(Z767="선광종합물류(인천여객)",Z767="인천여객(인천여객)"),"KRINF",IF(OR(Z767="선광인천보세(인천신)",Z767="한진인천(인천신)",Z767="선광인천신항(인천신)",Z767="인천더로지스(인천신)"),"KRINN",IF(OR(Z767="인천진아(인천항)",Z767="인천E1(인천항)",Z767="인천SM경인터미널(인천항)",Z767="인천항(인천항)",Z767="인천우련(인천항)",Z767="인천항8부두(인천항)"),"KRINC",VLOOKUP(K767,GLAPS정리!$BB$2:$BC$33,2,0))))))</f>
        <v>#N/A</v>
      </c>
      <c r="AL767" s="2">
        <f t="shared" si="179"/>
        <v>5010001</v>
      </c>
      <c r="AN767" s="70" t="str">
        <f t="shared" si="180"/>
        <v>1900-01-00</v>
      </c>
      <c r="AO767" s="2" t="str">
        <f t="shared" si="181"/>
        <v/>
      </c>
      <c r="AP767" s="2" t="e">
        <f>VLOOKUP(C767,GLAPS정리!$AX$2:$AZ$17,3,0)</f>
        <v>#N/A</v>
      </c>
      <c r="AR767" s="2">
        <f t="shared" si="173"/>
        <v>0</v>
      </c>
      <c r="AX767" s="2" t="e">
        <f>VLOOKUP(L767,GLAPS정리!$V$3:$W$180,2,0)</f>
        <v>#N/A</v>
      </c>
      <c r="BM767" s="2" t="str">
        <f t="shared" si="182"/>
        <v xml:space="preserve"> </v>
      </c>
      <c r="BN767" s="2">
        <f t="shared" si="183"/>
        <v>1</v>
      </c>
      <c r="BR767" s="2" t="str">
        <f t="shared" si="184"/>
        <v/>
      </c>
      <c r="BS767" s="2" t="str">
        <f t="shared" si="185"/>
        <v/>
      </c>
      <c r="BV767" s="2" t="e">
        <f>VLOOKUP(O767,GLAPS정리!$BH$2:$BI$94,2,0)</f>
        <v>#N/A</v>
      </c>
      <c r="BW767" s="2" t="str">
        <f>IF(OR(Z767="동원",Z767="세방",Z767="한타"),"",IFERROR(INDEX(GLAPS정리!$BI$2:$BI$101,MATCH(Z767,GLAPS정리!$BH$2:$BH$101,0)),""))</f>
        <v/>
      </c>
      <c r="BX767" s="2" t="str">
        <f>IF(Z767="","",IFERROR(VLOOKUP(Z767,GLAPS정리!$AX$2:$AZ$17,3,0),""))</f>
        <v/>
      </c>
      <c r="BZ767" s="2" t="e">
        <f>VLOOKUP(H767,GLAPS정리!$L$3:$O$133,2,0)</f>
        <v>#N/A</v>
      </c>
      <c r="CA767" s="2" t="str">
        <f t="shared" si="186"/>
        <v/>
      </c>
      <c r="CL767" s="2" t="e">
        <f>VLOOKUP(AI767,GLAPS정리!$BT$3:$BV$26,3,0)</f>
        <v>#N/A</v>
      </c>
    </row>
    <row r="768" spans="2:90" ht="20.45" customHeight="1">
      <c r="B768" s="13"/>
      <c r="G768" s="3"/>
      <c r="J768" s="3"/>
      <c r="Q768" s="3" t="str">
        <f t="shared" si="174"/>
        <v/>
      </c>
      <c r="R768" s="3" t="str">
        <f t="shared" si="175"/>
        <v/>
      </c>
      <c r="S768" s="3" t="str">
        <f t="shared" si="176"/>
        <v/>
      </c>
      <c r="X768" s="13"/>
      <c r="Y768" s="13"/>
      <c r="Z768" s="91"/>
      <c r="AC768" s="2">
        <f t="shared" si="177"/>
        <v>20</v>
      </c>
      <c r="AD768" s="2" t="str">
        <f>IFERROR(INDEX(GLAPS정리!$D$2:$D$50,MATCH(I768,GLAPS정리!$A$2:$A$50,0)),IFERROR(INDEX(GLAPS정리!$D$2:$D$50,MATCH(I768,GLAPS정리!$B$2:$B$50,0)),""))</f>
        <v/>
      </c>
      <c r="AF768" s="2" t="str">
        <f t="shared" si="178"/>
        <v>KR10</v>
      </c>
      <c r="AI768" s="2" t="e">
        <f>VLOOKUP(F768,GLAPS정리!$G$3:$J$114,2,0)</f>
        <v>#N/A</v>
      </c>
      <c r="AJ768" s="2" t="e">
        <f>IF(Z768="울산정일","KRONS",IF(Z768="울산신항","KRUSN",IF(OR(Z768="선광종합물류(인천여객)",Z768="인천여객(인천여객)"),"KRINF",IF(OR(Z768="선광인천보세(인천신)",Z768="한진인천(인천신)",Z768="선광인천신항(인천신)",Z768="인천더로지스(인천신)"),"KRINN",IF(OR(Z768="인천진아(인천항)",Z768="인천E1(인천항)",Z768="인천SM경인터미널(인천항)",Z768="인천항(인천항)",Z768="인천우련(인천항)",Z768="인천항8부두(인천항)"),"KRINC",VLOOKUP(K768,GLAPS정리!$BB$2:$BC$33,2,0))))))</f>
        <v>#N/A</v>
      </c>
      <c r="AL768" s="2">
        <f t="shared" si="179"/>
        <v>5010001</v>
      </c>
      <c r="AN768" s="70" t="str">
        <f t="shared" si="180"/>
        <v>1900-01-00</v>
      </c>
      <c r="AO768" s="2" t="str">
        <f t="shared" si="181"/>
        <v/>
      </c>
      <c r="AP768" s="2" t="e">
        <f>VLOOKUP(C768,GLAPS정리!$AX$2:$AZ$17,3,0)</f>
        <v>#N/A</v>
      </c>
      <c r="AR768" s="2">
        <f t="shared" si="173"/>
        <v>0</v>
      </c>
      <c r="AX768" s="2" t="e">
        <f>VLOOKUP(L768,GLAPS정리!$V$3:$W$180,2,0)</f>
        <v>#N/A</v>
      </c>
      <c r="BM768" s="2" t="str">
        <f t="shared" si="182"/>
        <v xml:space="preserve"> </v>
      </c>
      <c r="BN768" s="2">
        <f t="shared" si="183"/>
        <v>1</v>
      </c>
      <c r="BR768" s="2" t="str">
        <f t="shared" si="184"/>
        <v/>
      </c>
      <c r="BS768" s="2" t="str">
        <f t="shared" si="185"/>
        <v/>
      </c>
      <c r="BV768" s="2" t="e">
        <f>VLOOKUP(O768,GLAPS정리!$BH$2:$BI$94,2,0)</f>
        <v>#N/A</v>
      </c>
      <c r="BW768" s="2" t="str">
        <f>IF(OR(Z768="동원",Z768="세방",Z768="한타"),"",IFERROR(INDEX(GLAPS정리!$BI$2:$BI$101,MATCH(Z768,GLAPS정리!$BH$2:$BH$101,0)),""))</f>
        <v/>
      </c>
      <c r="BX768" s="2" t="str">
        <f>IF(Z768="","",IFERROR(VLOOKUP(Z768,GLAPS정리!$AX$2:$AZ$17,3,0),""))</f>
        <v/>
      </c>
      <c r="BZ768" s="2" t="e">
        <f>VLOOKUP(H768,GLAPS정리!$L$3:$O$133,2,0)</f>
        <v>#N/A</v>
      </c>
      <c r="CA768" s="2" t="str">
        <f t="shared" si="186"/>
        <v/>
      </c>
      <c r="CL768" s="2" t="e">
        <f>VLOOKUP(AI768,GLAPS정리!$BT$3:$BV$26,3,0)</f>
        <v>#N/A</v>
      </c>
    </row>
    <row r="769" spans="2:90" ht="20.45" customHeight="1">
      <c r="B769" s="13"/>
      <c r="G769" s="3"/>
      <c r="J769" s="3"/>
      <c r="Q769" s="3" t="str">
        <f t="shared" si="174"/>
        <v/>
      </c>
      <c r="R769" s="3" t="str">
        <f t="shared" si="175"/>
        <v/>
      </c>
      <c r="S769" s="3" t="str">
        <f t="shared" si="176"/>
        <v/>
      </c>
      <c r="X769" s="13"/>
      <c r="Y769" s="13"/>
      <c r="Z769" s="91"/>
      <c r="AC769" s="2">
        <f t="shared" si="177"/>
        <v>20</v>
      </c>
      <c r="AD769" s="2" t="str">
        <f>IFERROR(INDEX(GLAPS정리!$D$2:$D$50,MATCH(I769,GLAPS정리!$A$2:$A$50,0)),IFERROR(INDEX(GLAPS정리!$D$2:$D$50,MATCH(I769,GLAPS정리!$B$2:$B$50,0)),""))</f>
        <v/>
      </c>
      <c r="AF769" s="2" t="str">
        <f t="shared" si="178"/>
        <v>KR10</v>
      </c>
      <c r="AI769" s="2" t="e">
        <f>VLOOKUP(F769,GLAPS정리!$G$3:$J$114,2,0)</f>
        <v>#N/A</v>
      </c>
      <c r="AJ769" s="2" t="e">
        <f>IF(Z769="울산정일","KRONS",IF(Z769="울산신항","KRUSN",IF(OR(Z769="선광종합물류(인천여객)",Z769="인천여객(인천여객)"),"KRINF",IF(OR(Z769="선광인천보세(인천신)",Z769="한진인천(인천신)",Z769="선광인천신항(인천신)",Z769="인천더로지스(인천신)"),"KRINN",IF(OR(Z769="인천진아(인천항)",Z769="인천E1(인천항)",Z769="인천SM경인터미널(인천항)",Z769="인천항(인천항)",Z769="인천우련(인천항)",Z769="인천항8부두(인천항)"),"KRINC",VLOOKUP(K769,GLAPS정리!$BB$2:$BC$33,2,0))))))</f>
        <v>#N/A</v>
      </c>
      <c r="AL769" s="2">
        <f t="shared" si="179"/>
        <v>5010001</v>
      </c>
      <c r="AN769" s="70" t="str">
        <f t="shared" si="180"/>
        <v>1900-01-00</v>
      </c>
      <c r="AO769" s="2" t="str">
        <f t="shared" si="181"/>
        <v/>
      </c>
      <c r="AP769" s="2" t="e">
        <f>VLOOKUP(C769,GLAPS정리!$AX$2:$AZ$17,3,0)</f>
        <v>#N/A</v>
      </c>
      <c r="AR769" s="2">
        <f t="shared" si="173"/>
        <v>0</v>
      </c>
      <c r="AX769" s="2" t="e">
        <f>VLOOKUP(L769,GLAPS정리!$V$3:$W$180,2,0)</f>
        <v>#N/A</v>
      </c>
      <c r="BM769" s="2" t="str">
        <f t="shared" si="182"/>
        <v xml:space="preserve"> </v>
      </c>
      <c r="BN769" s="2">
        <f t="shared" si="183"/>
        <v>1</v>
      </c>
      <c r="BR769" s="2" t="str">
        <f t="shared" si="184"/>
        <v/>
      </c>
      <c r="BS769" s="2" t="str">
        <f t="shared" si="185"/>
        <v/>
      </c>
      <c r="BV769" s="2" t="e">
        <f>VLOOKUP(O769,GLAPS정리!$BH$2:$BI$94,2,0)</f>
        <v>#N/A</v>
      </c>
      <c r="BW769" s="2" t="str">
        <f>IF(OR(Z769="동원",Z769="세방",Z769="한타"),"",IFERROR(INDEX(GLAPS정리!$BI$2:$BI$101,MATCH(Z769,GLAPS정리!$BH$2:$BH$101,0)),""))</f>
        <v/>
      </c>
      <c r="BX769" s="2" t="str">
        <f>IF(Z769="","",IFERROR(VLOOKUP(Z769,GLAPS정리!$AX$2:$AZ$17,3,0),""))</f>
        <v/>
      </c>
      <c r="BZ769" s="2" t="e">
        <f>VLOOKUP(H769,GLAPS정리!$L$3:$O$133,2,0)</f>
        <v>#N/A</v>
      </c>
      <c r="CA769" s="2" t="str">
        <f t="shared" si="186"/>
        <v/>
      </c>
      <c r="CL769" s="2" t="e">
        <f>VLOOKUP(AI769,GLAPS정리!$BT$3:$BV$26,3,0)</f>
        <v>#N/A</v>
      </c>
    </row>
    <row r="770" spans="2:90" ht="20.45" customHeight="1">
      <c r="B770" s="13"/>
      <c r="G770" s="3"/>
      <c r="J770" s="3"/>
      <c r="Q770" s="3" t="str">
        <f t="shared" si="174"/>
        <v/>
      </c>
      <c r="R770" s="3" t="str">
        <f t="shared" si="175"/>
        <v/>
      </c>
      <c r="S770" s="3" t="str">
        <f t="shared" si="176"/>
        <v/>
      </c>
      <c r="X770" s="13"/>
      <c r="Y770" s="13"/>
      <c r="Z770" s="91"/>
      <c r="AC770" s="2">
        <f t="shared" si="177"/>
        <v>20</v>
      </c>
      <c r="AD770" s="2" t="str">
        <f>IFERROR(INDEX(GLAPS정리!$D$2:$D$50,MATCH(I770,GLAPS정리!$A$2:$A$50,0)),IFERROR(INDEX(GLAPS정리!$D$2:$D$50,MATCH(I770,GLAPS정리!$B$2:$B$50,0)),""))</f>
        <v/>
      </c>
      <c r="AF770" s="2" t="str">
        <f t="shared" si="178"/>
        <v>KR10</v>
      </c>
      <c r="AI770" s="2" t="e">
        <f>VLOOKUP(F770,GLAPS정리!$G$3:$J$114,2,0)</f>
        <v>#N/A</v>
      </c>
      <c r="AJ770" s="2" t="e">
        <f>IF(Z770="울산정일","KRONS",IF(Z770="울산신항","KRUSN",IF(OR(Z770="선광종합물류(인천여객)",Z770="인천여객(인천여객)"),"KRINF",IF(OR(Z770="선광인천보세(인천신)",Z770="한진인천(인천신)",Z770="선광인천신항(인천신)",Z770="인천더로지스(인천신)"),"KRINN",IF(OR(Z770="인천진아(인천항)",Z770="인천E1(인천항)",Z770="인천SM경인터미널(인천항)",Z770="인천항(인천항)",Z770="인천우련(인천항)",Z770="인천항8부두(인천항)"),"KRINC",VLOOKUP(K770,GLAPS정리!$BB$2:$BC$33,2,0))))))</f>
        <v>#N/A</v>
      </c>
      <c r="AL770" s="2">
        <f t="shared" si="179"/>
        <v>5010001</v>
      </c>
      <c r="AN770" s="70" t="str">
        <f t="shared" si="180"/>
        <v>1900-01-00</v>
      </c>
      <c r="AO770" s="2" t="str">
        <f t="shared" si="181"/>
        <v/>
      </c>
      <c r="AP770" s="2" t="e">
        <f>VLOOKUP(C770,GLAPS정리!$AX$2:$AZ$17,3,0)</f>
        <v>#N/A</v>
      </c>
      <c r="AR770" s="2">
        <f t="shared" si="173"/>
        <v>0</v>
      </c>
      <c r="AX770" s="2" t="e">
        <f>VLOOKUP(L770,GLAPS정리!$V$3:$W$180,2,0)</f>
        <v>#N/A</v>
      </c>
      <c r="BM770" s="2" t="str">
        <f t="shared" si="182"/>
        <v xml:space="preserve"> </v>
      </c>
      <c r="BN770" s="2">
        <f t="shared" si="183"/>
        <v>1</v>
      </c>
      <c r="BR770" s="2" t="str">
        <f t="shared" si="184"/>
        <v/>
      </c>
      <c r="BS770" s="2" t="str">
        <f t="shared" si="185"/>
        <v/>
      </c>
      <c r="BV770" s="2" t="e">
        <f>VLOOKUP(O770,GLAPS정리!$BH$2:$BI$94,2,0)</f>
        <v>#N/A</v>
      </c>
      <c r="BW770" s="2" t="str">
        <f>IF(OR(Z770="동원",Z770="세방",Z770="한타"),"",IFERROR(INDEX(GLAPS정리!$BI$2:$BI$101,MATCH(Z770,GLAPS정리!$BH$2:$BH$101,0)),""))</f>
        <v/>
      </c>
      <c r="BX770" s="2" t="str">
        <f>IF(Z770="","",IFERROR(VLOOKUP(Z770,GLAPS정리!$AX$2:$AZ$17,3,0),""))</f>
        <v/>
      </c>
      <c r="BZ770" s="2" t="e">
        <f>VLOOKUP(H770,GLAPS정리!$L$3:$O$133,2,0)</f>
        <v>#N/A</v>
      </c>
      <c r="CA770" s="2" t="str">
        <f t="shared" si="186"/>
        <v/>
      </c>
      <c r="CL770" s="2" t="e">
        <f>VLOOKUP(AI770,GLAPS정리!$BT$3:$BV$26,3,0)</f>
        <v>#N/A</v>
      </c>
    </row>
    <row r="771" spans="2:90" ht="20.45" customHeight="1">
      <c r="B771" s="13"/>
      <c r="G771" s="3"/>
      <c r="J771" s="3"/>
      <c r="Q771" s="3" t="str">
        <f t="shared" si="174"/>
        <v/>
      </c>
      <c r="R771" s="3" t="str">
        <f t="shared" si="175"/>
        <v/>
      </c>
      <c r="S771" s="3" t="str">
        <f t="shared" si="176"/>
        <v/>
      </c>
      <c r="X771" s="13"/>
      <c r="Y771" s="13"/>
      <c r="Z771" s="91"/>
      <c r="AC771" s="2">
        <f t="shared" si="177"/>
        <v>20</v>
      </c>
      <c r="AD771" s="2" t="str">
        <f>IFERROR(INDEX(GLAPS정리!$D$2:$D$50,MATCH(I771,GLAPS정리!$A$2:$A$50,0)),IFERROR(INDEX(GLAPS정리!$D$2:$D$50,MATCH(I771,GLAPS정리!$B$2:$B$50,0)),""))</f>
        <v/>
      </c>
      <c r="AF771" s="2" t="str">
        <f t="shared" si="178"/>
        <v>KR10</v>
      </c>
      <c r="AI771" s="2" t="e">
        <f>VLOOKUP(F771,GLAPS정리!$G$3:$J$114,2,0)</f>
        <v>#N/A</v>
      </c>
      <c r="AJ771" s="2" t="e">
        <f>IF(Z771="울산정일","KRONS",IF(Z771="울산신항","KRUSN",IF(OR(Z771="선광종합물류(인천여객)",Z771="인천여객(인천여객)"),"KRINF",IF(OR(Z771="선광인천보세(인천신)",Z771="한진인천(인천신)",Z771="선광인천신항(인천신)",Z771="인천더로지스(인천신)"),"KRINN",IF(OR(Z771="인천진아(인천항)",Z771="인천E1(인천항)",Z771="인천SM경인터미널(인천항)",Z771="인천항(인천항)",Z771="인천우련(인천항)",Z771="인천항8부두(인천항)"),"KRINC",VLOOKUP(K771,GLAPS정리!$BB$2:$BC$33,2,0))))))</f>
        <v>#N/A</v>
      </c>
      <c r="AL771" s="2">
        <f t="shared" si="179"/>
        <v>5010001</v>
      </c>
      <c r="AN771" s="70" t="str">
        <f t="shared" si="180"/>
        <v>1900-01-00</v>
      </c>
      <c r="AO771" s="2" t="str">
        <f t="shared" si="181"/>
        <v/>
      </c>
      <c r="AP771" s="2" t="e">
        <f>VLOOKUP(C771,GLAPS정리!$AX$2:$AZ$17,3,0)</f>
        <v>#N/A</v>
      </c>
      <c r="AR771" s="2">
        <f t="shared" ref="AR771:AR834" si="187">X771</f>
        <v>0</v>
      </c>
      <c r="AX771" s="2" t="e">
        <f>VLOOKUP(L771,GLAPS정리!$V$3:$W$180,2,0)</f>
        <v>#N/A</v>
      </c>
      <c r="BM771" s="2" t="str">
        <f t="shared" si="182"/>
        <v xml:space="preserve"> </v>
      </c>
      <c r="BN771" s="2">
        <f t="shared" si="183"/>
        <v>1</v>
      </c>
      <c r="BR771" s="2" t="str">
        <f t="shared" si="184"/>
        <v/>
      </c>
      <c r="BS771" s="2" t="str">
        <f t="shared" si="185"/>
        <v/>
      </c>
      <c r="BV771" s="2" t="e">
        <f>VLOOKUP(O771,GLAPS정리!$BH$2:$BI$94,2,0)</f>
        <v>#N/A</v>
      </c>
      <c r="BW771" s="2" t="str">
        <f>IF(OR(Z771="동원",Z771="세방",Z771="한타"),"",IFERROR(INDEX(GLAPS정리!$BI$2:$BI$101,MATCH(Z771,GLAPS정리!$BH$2:$BH$101,0)),""))</f>
        <v/>
      </c>
      <c r="BX771" s="2" t="str">
        <f>IF(Z771="","",IFERROR(VLOOKUP(Z771,GLAPS정리!$AX$2:$AZ$17,3,0),""))</f>
        <v/>
      </c>
      <c r="BZ771" s="2" t="e">
        <f>VLOOKUP(H771,GLAPS정리!$L$3:$O$133,2,0)</f>
        <v>#N/A</v>
      </c>
      <c r="CA771" s="2" t="str">
        <f t="shared" si="186"/>
        <v/>
      </c>
      <c r="CL771" s="2" t="e">
        <f>VLOOKUP(AI771,GLAPS정리!$BT$3:$BV$26,3,0)</f>
        <v>#N/A</v>
      </c>
    </row>
    <row r="772" spans="2:90" ht="20.45" customHeight="1">
      <c r="B772" s="13"/>
      <c r="G772" s="3"/>
      <c r="J772" s="3"/>
      <c r="Q772" s="3" t="str">
        <f t="shared" si="174"/>
        <v/>
      </c>
      <c r="R772" s="3" t="str">
        <f t="shared" si="175"/>
        <v/>
      </c>
      <c r="S772" s="3" t="str">
        <f t="shared" si="176"/>
        <v/>
      </c>
      <c r="X772" s="13"/>
      <c r="Y772" s="13"/>
      <c r="Z772" s="91"/>
      <c r="AC772" s="2">
        <f t="shared" si="177"/>
        <v>20</v>
      </c>
      <c r="AD772" s="2" t="str">
        <f>IFERROR(INDEX(GLAPS정리!$D$2:$D$50,MATCH(I772,GLAPS정리!$A$2:$A$50,0)),IFERROR(INDEX(GLAPS정리!$D$2:$D$50,MATCH(I772,GLAPS정리!$B$2:$B$50,0)),""))</f>
        <v/>
      </c>
      <c r="AF772" s="2" t="str">
        <f t="shared" si="178"/>
        <v>KR10</v>
      </c>
      <c r="AI772" s="2" t="e">
        <f>VLOOKUP(F772,GLAPS정리!$G$3:$J$114,2,0)</f>
        <v>#N/A</v>
      </c>
      <c r="AJ772" s="2" t="e">
        <f>IF(Z772="울산정일","KRONS",IF(Z772="울산신항","KRUSN",IF(OR(Z772="선광종합물류(인천여객)",Z772="인천여객(인천여객)"),"KRINF",IF(OR(Z772="선광인천보세(인천신)",Z772="한진인천(인천신)",Z772="선광인천신항(인천신)",Z772="인천더로지스(인천신)"),"KRINN",IF(OR(Z772="인천진아(인천항)",Z772="인천E1(인천항)",Z772="인천SM경인터미널(인천항)",Z772="인천항(인천항)",Z772="인천우련(인천항)",Z772="인천항8부두(인천항)"),"KRINC",VLOOKUP(K772,GLAPS정리!$BB$2:$BC$33,2,0))))))</f>
        <v>#N/A</v>
      </c>
      <c r="AL772" s="2">
        <f t="shared" si="179"/>
        <v>5010001</v>
      </c>
      <c r="AN772" s="70" t="str">
        <f t="shared" si="180"/>
        <v>1900-01-00</v>
      </c>
      <c r="AO772" s="2" t="str">
        <f t="shared" si="181"/>
        <v/>
      </c>
      <c r="AP772" s="2" t="e">
        <f>VLOOKUP(C772,GLAPS정리!$AX$2:$AZ$17,3,0)</f>
        <v>#N/A</v>
      </c>
      <c r="AR772" s="2">
        <f t="shared" si="187"/>
        <v>0</v>
      </c>
      <c r="AX772" s="2" t="e">
        <f>VLOOKUP(L772,GLAPS정리!$V$3:$W$180,2,0)</f>
        <v>#N/A</v>
      </c>
      <c r="BM772" s="2" t="str">
        <f t="shared" si="182"/>
        <v xml:space="preserve"> </v>
      </c>
      <c r="BN772" s="2">
        <f t="shared" si="183"/>
        <v>1</v>
      </c>
      <c r="BR772" s="2" t="str">
        <f t="shared" si="184"/>
        <v/>
      </c>
      <c r="BS772" s="2" t="str">
        <f t="shared" si="185"/>
        <v/>
      </c>
      <c r="BV772" s="2" t="e">
        <f>VLOOKUP(O772,GLAPS정리!$BH$2:$BI$94,2,0)</f>
        <v>#N/A</v>
      </c>
      <c r="BW772" s="2" t="str">
        <f>IF(OR(Z772="동원",Z772="세방",Z772="한타"),"",IFERROR(INDEX(GLAPS정리!$BI$2:$BI$101,MATCH(Z772,GLAPS정리!$BH$2:$BH$101,0)),""))</f>
        <v/>
      </c>
      <c r="BX772" s="2" t="str">
        <f>IF(Z772="","",IFERROR(VLOOKUP(Z772,GLAPS정리!$AX$2:$AZ$17,3,0),""))</f>
        <v/>
      </c>
      <c r="BZ772" s="2" t="e">
        <f>VLOOKUP(H772,GLAPS정리!$L$3:$O$133,2,0)</f>
        <v>#N/A</v>
      </c>
      <c r="CA772" s="2" t="str">
        <f t="shared" si="186"/>
        <v/>
      </c>
      <c r="CL772" s="2" t="e">
        <f>VLOOKUP(AI772,GLAPS정리!$BT$3:$BV$26,3,0)</f>
        <v>#N/A</v>
      </c>
    </row>
    <row r="773" spans="2:90" ht="20.45" customHeight="1">
      <c r="B773" s="13"/>
      <c r="G773" s="3"/>
      <c r="J773" s="3"/>
      <c r="Q773" s="3" t="str">
        <f t="shared" si="174"/>
        <v/>
      </c>
      <c r="R773" s="3" t="str">
        <f t="shared" si="175"/>
        <v/>
      </c>
      <c r="S773" s="3" t="str">
        <f t="shared" si="176"/>
        <v/>
      </c>
      <c r="X773" s="13"/>
      <c r="Y773" s="13"/>
      <c r="Z773" s="91"/>
      <c r="AC773" s="2">
        <f t="shared" si="177"/>
        <v>20</v>
      </c>
      <c r="AD773" s="2" t="str">
        <f>IFERROR(INDEX(GLAPS정리!$D$2:$D$50,MATCH(I773,GLAPS정리!$A$2:$A$50,0)),IFERROR(INDEX(GLAPS정리!$D$2:$D$50,MATCH(I773,GLAPS정리!$B$2:$B$50,0)),""))</f>
        <v/>
      </c>
      <c r="AF773" s="2" t="str">
        <f t="shared" si="178"/>
        <v>KR10</v>
      </c>
      <c r="AI773" s="2" t="e">
        <f>VLOOKUP(F773,GLAPS정리!$G$3:$J$114,2,0)</f>
        <v>#N/A</v>
      </c>
      <c r="AJ773" s="2" t="e">
        <f>IF(Z773="울산정일","KRONS",IF(Z773="울산신항","KRUSN",IF(OR(Z773="선광종합물류(인천여객)",Z773="인천여객(인천여객)"),"KRINF",IF(OR(Z773="선광인천보세(인천신)",Z773="한진인천(인천신)",Z773="선광인천신항(인천신)",Z773="인천더로지스(인천신)"),"KRINN",IF(OR(Z773="인천진아(인천항)",Z773="인천E1(인천항)",Z773="인천SM경인터미널(인천항)",Z773="인천항(인천항)",Z773="인천우련(인천항)",Z773="인천항8부두(인천항)"),"KRINC",VLOOKUP(K773,GLAPS정리!$BB$2:$BC$33,2,0))))))</f>
        <v>#N/A</v>
      </c>
      <c r="AL773" s="2">
        <f t="shared" si="179"/>
        <v>5010001</v>
      </c>
      <c r="AN773" s="70" t="str">
        <f t="shared" si="180"/>
        <v>1900-01-00</v>
      </c>
      <c r="AO773" s="2" t="str">
        <f t="shared" si="181"/>
        <v/>
      </c>
      <c r="AP773" s="2" t="e">
        <f>VLOOKUP(C773,GLAPS정리!$AX$2:$AZ$17,3,0)</f>
        <v>#N/A</v>
      </c>
      <c r="AR773" s="2">
        <f t="shared" si="187"/>
        <v>0</v>
      </c>
      <c r="AX773" s="2" t="e">
        <f>VLOOKUP(L773,GLAPS정리!$V$3:$W$180,2,0)</f>
        <v>#N/A</v>
      </c>
      <c r="BM773" s="2" t="str">
        <f t="shared" si="182"/>
        <v xml:space="preserve"> </v>
      </c>
      <c r="BN773" s="2">
        <f t="shared" si="183"/>
        <v>1</v>
      </c>
      <c r="BR773" s="2" t="str">
        <f t="shared" si="184"/>
        <v/>
      </c>
      <c r="BS773" s="2" t="str">
        <f t="shared" si="185"/>
        <v/>
      </c>
      <c r="BV773" s="2" t="e">
        <f>VLOOKUP(O773,GLAPS정리!$BH$2:$BI$94,2,0)</f>
        <v>#N/A</v>
      </c>
      <c r="BW773" s="2" t="str">
        <f>IF(OR(Z773="동원",Z773="세방",Z773="한타"),"",IFERROR(INDEX(GLAPS정리!$BI$2:$BI$101,MATCH(Z773,GLAPS정리!$BH$2:$BH$101,0)),""))</f>
        <v/>
      </c>
      <c r="BX773" s="2" t="str">
        <f>IF(Z773="","",IFERROR(VLOOKUP(Z773,GLAPS정리!$AX$2:$AZ$17,3,0),""))</f>
        <v/>
      </c>
      <c r="BZ773" s="2" t="e">
        <f>VLOOKUP(H773,GLAPS정리!$L$3:$O$133,2,0)</f>
        <v>#N/A</v>
      </c>
      <c r="CA773" s="2" t="str">
        <f t="shared" si="186"/>
        <v/>
      </c>
      <c r="CL773" s="2" t="e">
        <f>VLOOKUP(AI773,GLAPS정리!$BT$3:$BV$26,3,0)</f>
        <v>#N/A</v>
      </c>
    </row>
    <row r="774" spans="2:90" ht="20.45" customHeight="1">
      <c r="B774" s="13"/>
      <c r="G774" s="3"/>
      <c r="J774" s="3"/>
      <c r="Q774" s="3" t="str">
        <f t="shared" si="174"/>
        <v/>
      </c>
      <c r="R774" s="3" t="str">
        <f t="shared" si="175"/>
        <v/>
      </c>
      <c r="S774" s="3" t="str">
        <f t="shared" si="176"/>
        <v/>
      </c>
      <c r="X774" s="13"/>
      <c r="Y774" s="13"/>
      <c r="Z774" s="91"/>
      <c r="AC774" s="2">
        <f t="shared" si="177"/>
        <v>20</v>
      </c>
      <c r="AD774" s="2" t="str">
        <f>IFERROR(INDEX(GLAPS정리!$D$2:$D$50,MATCH(I774,GLAPS정리!$A$2:$A$50,0)),IFERROR(INDEX(GLAPS정리!$D$2:$D$50,MATCH(I774,GLAPS정리!$B$2:$B$50,0)),""))</f>
        <v/>
      </c>
      <c r="AF774" s="2" t="str">
        <f t="shared" si="178"/>
        <v>KR10</v>
      </c>
      <c r="AI774" s="2" t="e">
        <f>VLOOKUP(F774,GLAPS정리!$G$3:$J$114,2,0)</f>
        <v>#N/A</v>
      </c>
      <c r="AJ774" s="2" t="e">
        <f>IF(Z774="울산정일","KRONS",IF(Z774="울산신항","KRUSN",IF(OR(Z774="선광종합물류(인천여객)",Z774="인천여객(인천여객)"),"KRINF",IF(OR(Z774="선광인천보세(인천신)",Z774="한진인천(인천신)",Z774="선광인천신항(인천신)",Z774="인천더로지스(인천신)"),"KRINN",IF(OR(Z774="인천진아(인천항)",Z774="인천E1(인천항)",Z774="인천SM경인터미널(인천항)",Z774="인천항(인천항)",Z774="인천우련(인천항)",Z774="인천항8부두(인천항)"),"KRINC",VLOOKUP(K774,GLAPS정리!$BB$2:$BC$33,2,0))))))</f>
        <v>#N/A</v>
      </c>
      <c r="AL774" s="2">
        <f t="shared" si="179"/>
        <v>5010001</v>
      </c>
      <c r="AN774" s="70" t="str">
        <f t="shared" si="180"/>
        <v>1900-01-00</v>
      </c>
      <c r="AO774" s="2" t="str">
        <f t="shared" si="181"/>
        <v/>
      </c>
      <c r="AP774" s="2" t="e">
        <f>VLOOKUP(C774,GLAPS정리!$AX$2:$AZ$17,3,0)</f>
        <v>#N/A</v>
      </c>
      <c r="AR774" s="2">
        <f t="shared" si="187"/>
        <v>0</v>
      </c>
      <c r="AX774" s="2" t="e">
        <f>VLOOKUP(L774,GLAPS정리!$V$3:$W$180,2,0)</f>
        <v>#N/A</v>
      </c>
      <c r="BM774" s="2" t="str">
        <f t="shared" si="182"/>
        <v xml:space="preserve"> </v>
      </c>
      <c r="BN774" s="2">
        <f t="shared" si="183"/>
        <v>1</v>
      </c>
      <c r="BR774" s="2" t="str">
        <f t="shared" si="184"/>
        <v/>
      </c>
      <c r="BS774" s="2" t="str">
        <f t="shared" si="185"/>
        <v/>
      </c>
      <c r="BV774" s="2" t="e">
        <f>VLOOKUP(O774,GLAPS정리!$BH$2:$BI$94,2,0)</f>
        <v>#N/A</v>
      </c>
      <c r="BW774" s="2" t="str">
        <f>IF(OR(Z774="동원",Z774="세방",Z774="한타"),"",IFERROR(INDEX(GLAPS정리!$BI$2:$BI$101,MATCH(Z774,GLAPS정리!$BH$2:$BH$101,0)),""))</f>
        <v/>
      </c>
      <c r="BX774" s="2" t="str">
        <f>IF(Z774="","",IFERROR(VLOOKUP(Z774,GLAPS정리!$AX$2:$AZ$17,3,0),""))</f>
        <v/>
      </c>
      <c r="BZ774" s="2" t="e">
        <f>VLOOKUP(H774,GLAPS정리!$L$3:$O$133,2,0)</f>
        <v>#N/A</v>
      </c>
      <c r="CA774" s="2" t="str">
        <f t="shared" si="186"/>
        <v/>
      </c>
      <c r="CL774" s="2" t="e">
        <f>VLOOKUP(AI774,GLAPS정리!$BT$3:$BV$26,3,0)</f>
        <v>#N/A</v>
      </c>
    </row>
    <row r="775" spans="2:90" ht="20.45" customHeight="1">
      <c r="B775" s="13"/>
      <c r="G775" s="3"/>
      <c r="J775" s="3"/>
      <c r="Q775" s="3" t="str">
        <f t="shared" si="174"/>
        <v/>
      </c>
      <c r="R775" s="3" t="str">
        <f t="shared" si="175"/>
        <v/>
      </c>
      <c r="S775" s="3" t="str">
        <f t="shared" si="176"/>
        <v/>
      </c>
      <c r="X775" s="13"/>
      <c r="Y775" s="13"/>
      <c r="Z775" s="91"/>
      <c r="AC775" s="2">
        <f t="shared" si="177"/>
        <v>20</v>
      </c>
      <c r="AD775" s="2" t="str">
        <f>IFERROR(INDEX(GLAPS정리!$D$2:$D$50,MATCH(I775,GLAPS정리!$A$2:$A$50,0)),IFERROR(INDEX(GLAPS정리!$D$2:$D$50,MATCH(I775,GLAPS정리!$B$2:$B$50,0)),""))</f>
        <v/>
      </c>
      <c r="AF775" s="2" t="str">
        <f t="shared" si="178"/>
        <v>KR10</v>
      </c>
      <c r="AI775" s="2" t="e">
        <f>VLOOKUP(F775,GLAPS정리!$G$3:$J$114,2,0)</f>
        <v>#N/A</v>
      </c>
      <c r="AJ775" s="2" t="e">
        <f>IF(Z775="울산정일","KRONS",IF(Z775="울산신항","KRUSN",IF(OR(Z775="선광종합물류(인천여객)",Z775="인천여객(인천여객)"),"KRINF",IF(OR(Z775="선광인천보세(인천신)",Z775="한진인천(인천신)",Z775="선광인천신항(인천신)",Z775="인천더로지스(인천신)"),"KRINN",IF(OR(Z775="인천진아(인천항)",Z775="인천E1(인천항)",Z775="인천SM경인터미널(인천항)",Z775="인천항(인천항)",Z775="인천우련(인천항)",Z775="인천항8부두(인천항)"),"KRINC",VLOOKUP(K775,GLAPS정리!$BB$2:$BC$33,2,0))))))</f>
        <v>#N/A</v>
      </c>
      <c r="AL775" s="2">
        <f t="shared" si="179"/>
        <v>5010001</v>
      </c>
      <c r="AN775" s="70" t="str">
        <f t="shared" si="180"/>
        <v>1900-01-00</v>
      </c>
      <c r="AO775" s="2" t="str">
        <f t="shared" si="181"/>
        <v/>
      </c>
      <c r="AP775" s="2" t="e">
        <f>VLOOKUP(C775,GLAPS정리!$AX$2:$AZ$17,3,0)</f>
        <v>#N/A</v>
      </c>
      <c r="AR775" s="2">
        <f t="shared" si="187"/>
        <v>0</v>
      </c>
      <c r="AX775" s="2" t="e">
        <f>VLOOKUP(L775,GLAPS정리!$V$3:$W$180,2,0)</f>
        <v>#N/A</v>
      </c>
      <c r="BM775" s="2" t="str">
        <f t="shared" si="182"/>
        <v xml:space="preserve"> </v>
      </c>
      <c r="BN775" s="2">
        <f t="shared" si="183"/>
        <v>1</v>
      </c>
      <c r="BR775" s="2" t="str">
        <f t="shared" si="184"/>
        <v/>
      </c>
      <c r="BS775" s="2" t="str">
        <f t="shared" si="185"/>
        <v/>
      </c>
      <c r="BV775" s="2" t="e">
        <f>VLOOKUP(O775,GLAPS정리!$BH$2:$BI$94,2,0)</f>
        <v>#N/A</v>
      </c>
      <c r="BW775" s="2" t="str">
        <f>IF(OR(Z775="동원",Z775="세방",Z775="한타"),"",IFERROR(INDEX(GLAPS정리!$BI$2:$BI$101,MATCH(Z775,GLAPS정리!$BH$2:$BH$101,0)),""))</f>
        <v/>
      </c>
      <c r="BX775" s="2" t="str">
        <f>IF(Z775="","",IFERROR(VLOOKUP(Z775,GLAPS정리!$AX$2:$AZ$17,3,0),""))</f>
        <v/>
      </c>
      <c r="BZ775" s="2" t="e">
        <f>VLOOKUP(H775,GLAPS정리!$L$3:$O$133,2,0)</f>
        <v>#N/A</v>
      </c>
      <c r="CA775" s="2" t="str">
        <f t="shared" si="186"/>
        <v/>
      </c>
      <c r="CL775" s="2" t="e">
        <f>VLOOKUP(AI775,GLAPS정리!$BT$3:$BV$26,3,0)</f>
        <v>#N/A</v>
      </c>
    </row>
    <row r="776" spans="2:90" ht="20.45" customHeight="1">
      <c r="B776" s="13"/>
      <c r="G776" s="3"/>
      <c r="J776" s="3"/>
      <c r="Q776" s="3" t="str">
        <f t="shared" si="174"/>
        <v/>
      </c>
      <c r="R776" s="3" t="str">
        <f t="shared" si="175"/>
        <v/>
      </c>
      <c r="S776" s="3" t="str">
        <f t="shared" si="176"/>
        <v/>
      </c>
      <c r="X776" s="13"/>
      <c r="Y776" s="13"/>
      <c r="Z776" s="91"/>
      <c r="AC776" s="2">
        <f t="shared" si="177"/>
        <v>20</v>
      </c>
      <c r="AD776" s="2" t="str">
        <f>IFERROR(INDEX(GLAPS정리!$D$2:$D$50,MATCH(I776,GLAPS정리!$A$2:$A$50,0)),IFERROR(INDEX(GLAPS정리!$D$2:$D$50,MATCH(I776,GLAPS정리!$B$2:$B$50,0)),""))</f>
        <v/>
      </c>
      <c r="AF776" s="2" t="str">
        <f t="shared" si="178"/>
        <v>KR10</v>
      </c>
      <c r="AI776" s="2" t="e">
        <f>VLOOKUP(F776,GLAPS정리!$G$3:$J$114,2,0)</f>
        <v>#N/A</v>
      </c>
      <c r="AJ776" s="2" t="e">
        <f>IF(Z776="울산정일","KRONS",IF(Z776="울산신항","KRUSN",IF(OR(Z776="선광종합물류(인천여객)",Z776="인천여객(인천여객)"),"KRINF",IF(OR(Z776="선광인천보세(인천신)",Z776="한진인천(인천신)",Z776="선광인천신항(인천신)",Z776="인천더로지스(인천신)"),"KRINN",IF(OR(Z776="인천진아(인천항)",Z776="인천E1(인천항)",Z776="인천SM경인터미널(인천항)",Z776="인천항(인천항)",Z776="인천우련(인천항)",Z776="인천항8부두(인천항)"),"KRINC",VLOOKUP(K776,GLAPS정리!$BB$2:$BC$33,2,0))))))</f>
        <v>#N/A</v>
      </c>
      <c r="AL776" s="2">
        <f t="shared" si="179"/>
        <v>5010001</v>
      </c>
      <c r="AN776" s="70" t="str">
        <f t="shared" si="180"/>
        <v>1900-01-00</v>
      </c>
      <c r="AO776" s="2" t="str">
        <f t="shared" si="181"/>
        <v/>
      </c>
      <c r="AP776" s="2" t="e">
        <f>VLOOKUP(C776,GLAPS정리!$AX$2:$AZ$17,3,0)</f>
        <v>#N/A</v>
      </c>
      <c r="AR776" s="2">
        <f t="shared" si="187"/>
        <v>0</v>
      </c>
      <c r="AX776" s="2" t="e">
        <f>VLOOKUP(L776,GLAPS정리!$V$3:$W$180,2,0)</f>
        <v>#N/A</v>
      </c>
      <c r="BM776" s="2" t="str">
        <f t="shared" si="182"/>
        <v xml:space="preserve"> </v>
      </c>
      <c r="BN776" s="2">
        <f t="shared" si="183"/>
        <v>1</v>
      </c>
      <c r="BR776" s="2" t="str">
        <f t="shared" si="184"/>
        <v/>
      </c>
      <c r="BS776" s="2" t="str">
        <f t="shared" si="185"/>
        <v/>
      </c>
      <c r="BV776" s="2" t="e">
        <f>VLOOKUP(O776,GLAPS정리!$BH$2:$BI$94,2,0)</f>
        <v>#N/A</v>
      </c>
      <c r="BW776" s="2" t="str">
        <f>IF(OR(Z776="동원",Z776="세방",Z776="한타"),"",IFERROR(INDEX(GLAPS정리!$BI$2:$BI$101,MATCH(Z776,GLAPS정리!$BH$2:$BH$101,0)),""))</f>
        <v/>
      </c>
      <c r="BX776" s="2" t="str">
        <f>IF(Z776="","",IFERROR(VLOOKUP(Z776,GLAPS정리!$AX$2:$AZ$17,3,0),""))</f>
        <v/>
      </c>
      <c r="BZ776" s="2" t="e">
        <f>VLOOKUP(H776,GLAPS정리!$L$3:$O$133,2,0)</f>
        <v>#N/A</v>
      </c>
      <c r="CA776" s="2" t="str">
        <f t="shared" si="186"/>
        <v/>
      </c>
      <c r="CL776" s="2" t="e">
        <f>VLOOKUP(AI776,GLAPS정리!$BT$3:$BV$26,3,0)</f>
        <v>#N/A</v>
      </c>
    </row>
    <row r="777" spans="2:90" ht="20.45" customHeight="1">
      <c r="B777" s="13"/>
      <c r="G777" s="3"/>
      <c r="J777" s="3"/>
      <c r="Q777" s="3" t="str">
        <f t="shared" si="174"/>
        <v/>
      </c>
      <c r="R777" s="3" t="str">
        <f t="shared" si="175"/>
        <v/>
      </c>
      <c r="S777" s="3" t="str">
        <f t="shared" si="176"/>
        <v/>
      </c>
      <c r="X777" s="13"/>
      <c r="Y777" s="13"/>
      <c r="Z777" s="91"/>
      <c r="AC777" s="2">
        <f t="shared" si="177"/>
        <v>20</v>
      </c>
      <c r="AD777" s="2" t="str">
        <f>IFERROR(INDEX(GLAPS정리!$D$2:$D$50,MATCH(I777,GLAPS정리!$A$2:$A$50,0)),IFERROR(INDEX(GLAPS정리!$D$2:$D$50,MATCH(I777,GLAPS정리!$B$2:$B$50,0)),""))</f>
        <v/>
      </c>
      <c r="AF777" s="2" t="str">
        <f t="shared" si="178"/>
        <v>KR10</v>
      </c>
      <c r="AI777" s="2" t="e">
        <f>VLOOKUP(F777,GLAPS정리!$G$3:$J$114,2,0)</f>
        <v>#N/A</v>
      </c>
      <c r="AJ777" s="2" t="e">
        <f>IF(Z777="울산정일","KRONS",IF(Z777="울산신항","KRUSN",IF(OR(Z777="선광종합물류(인천여객)",Z777="인천여객(인천여객)"),"KRINF",IF(OR(Z777="선광인천보세(인천신)",Z777="한진인천(인천신)",Z777="선광인천신항(인천신)",Z777="인천더로지스(인천신)"),"KRINN",IF(OR(Z777="인천진아(인천항)",Z777="인천E1(인천항)",Z777="인천SM경인터미널(인천항)",Z777="인천항(인천항)",Z777="인천우련(인천항)",Z777="인천항8부두(인천항)"),"KRINC",VLOOKUP(K777,GLAPS정리!$BB$2:$BC$33,2,0))))))</f>
        <v>#N/A</v>
      </c>
      <c r="AL777" s="2">
        <f t="shared" si="179"/>
        <v>5010001</v>
      </c>
      <c r="AN777" s="70" t="str">
        <f t="shared" si="180"/>
        <v>1900-01-00</v>
      </c>
      <c r="AO777" s="2" t="str">
        <f t="shared" si="181"/>
        <v/>
      </c>
      <c r="AP777" s="2" t="e">
        <f>VLOOKUP(C777,GLAPS정리!$AX$2:$AZ$17,3,0)</f>
        <v>#N/A</v>
      </c>
      <c r="AR777" s="2">
        <f t="shared" si="187"/>
        <v>0</v>
      </c>
      <c r="AX777" s="2" t="e">
        <f>VLOOKUP(L777,GLAPS정리!$V$3:$W$180,2,0)</f>
        <v>#N/A</v>
      </c>
      <c r="BM777" s="2" t="str">
        <f t="shared" si="182"/>
        <v xml:space="preserve"> </v>
      </c>
      <c r="BN777" s="2">
        <f t="shared" si="183"/>
        <v>1</v>
      </c>
      <c r="BR777" s="2" t="str">
        <f t="shared" si="184"/>
        <v/>
      </c>
      <c r="BS777" s="2" t="str">
        <f t="shared" si="185"/>
        <v/>
      </c>
      <c r="BV777" s="2" t="e">
        <f>VLOOKUP(O777,GLAPS정리!$BH$2:$BI$94,2,0)</f>
        <v>#N/A</v>
      </c>
      <c r="BW777" s="2" t="str">
        <f>IF(OR(Z777="동원",Z777="세방",Z777="한타"),"",IFERROR(INDEX(GLAPS정리!$BI$2:$BI$101,MATCH(Z777,GLAPS정리!$BH$2:$BH$101,0)),""))</f>
        <v/>
      </c>
      <c r="BX777" s="2" t="str">
        <f>IF(Z777="","",IFERROR(VLOOKUP(Z777,GLAPS정리!$AX$2:$AZ$17,3,0),""))</f>
        <v/>
      </c>
      <c r="BZ777" s="2" t="e">
        <f>VLOOKUP(H777,GLAPS정리!$L$3:$O$133,2,0)</f>
        <v>#N/A</v>
      </c>
      <c r="CA777" s="2" t="str">
        <f t="shared" si="186"/>
        <v/>
      </c>
      <c r="CL777" s="2" t="e">
        <f>VLOOKUP(AI777,GLAPS정리!$BT$3:$BV$26,3,0)</f>
        <v>#N/A</v>
      </c>
    </row>
    <row r="778" spans="2:90" ht="20.45" customHeight="1">
      <c r="B778" s="13"/>
      <c r="G778" s="3"/>
      <c r="J778" s="3"/>
      <c r="Q778" s="3" t="str">
        <f t="shared" si="174"/>
        <v/>
      </c>
      <c r="R778" s="3" t="str">
        <f t="shared" si="175"/>
        <v/>
      </c>
      <c r="S778" s="3" t="str">
        <f t="shared" si="176"/>
        <v/>
      </c>
      <c r="X778" s="13"/>
      <c r="Y778" s="13"/>
      <c r="Z778" s="91"/>
      <c r="AC778" s="2">
        <f t="shared" si="177"/>
        <v>20</v>
      </c>
      <c r="AD778" s="2" t="str">
        <f>IFERROR(INDEX(GLAPS정리!$D$2:$D$50,MATCH(I778,GLAPS정리!$A$2:$A$50,0)),IFERROR(INDEX(GLAPS정리!$D$2:$D$50,MATCH(I778,GLAPS정리!$B$2:$B$50,0)),""))</f>
        <v/>
      </c>
      <c r="AF778" s="2" t="str">
        <f t="shared" si="178"/>
        <v>KR10</v>
      </c>
      <c r="AI778" s="2" t="e">
        <f>VLOOKUP(F778,GLAPS정리!$G$3:$J$114,2,0)</f>
        <v>#N/A</v>
      </c>
      <c r="AJ778" s="2" t="e">
        <f>IF(Z778="울산정일","KRONS",IF(Z778="울산신항","KRUSN",IF(OR(Z778="선광종합물류(인천여객)",Z778="인천여객(인천여객)"),"KRINF",IF(OR(Z778="선광인천보세(인천신)",Z778="한진인천(인천신)",Z778="선광인천신항(인천신)",Z778="인천더로지스(인천신)"),"KRINN",IF(OR(Z778="인천진아(인천항)",Z778="인천E1(인천항)",Z778="인천SM경인터미널(인천항)",Z778="인천항(인천항)",Z778="인천우련(인천항)",Z778="인천항8부두(인천항)"),"KRINC",VLOOKUP(K778,GLAPS정리!$BB$2:$BC$33,2,0))))))</f>
        <v>#N/A</v>
      </c>
      <c r="AL778" s="2">
        <f t="shared" si="179"/>
        <v>5010001</v>
      </c>
      <c r="AN778" s="70" t="str">
        <f t="shared" si="180"/>
        <v>1900-01-00</v>
      </c>
      <c r="AO778" s="2" t="str">
        <f t="shared" si="181"/>
        <v/>
      </c>
      <c r="AP778" s="2" t="e">
        <f>VLOOKUP(C778,GLAPS정리!$AX$2:$AZ$17,3,0)</f>
        <v>#N/A</v>
      </c>
      <c r="AR778" s="2">
        <f t="shared" si="187"/>
        <v>0</v>
      </c>
      <c r="AX778" s="2" t="e">
        <f>VLOOKUP(L778,GLAPS정리!$V$3:$W$180,2,0)</f>
        <v>#N/A</v>
      </c>
      <c r="BM778" s="2" t="str">
        <f t="shared" si="182"/>
        <v xml:space="preserve"> </v>
      </c>
      <c r="BN778" s="2">
        <f t="shared" si="183"/>
        <v>1</v>
      </c>
      <c r="BR778" s="2" t="str">
        <f t="shared" si="184"/>
        <v/>
      </c>
      <c r="BS778" s="2" t="str">
        <f t="shared" si="185"/>
        <v/>
      </c>
      <c r="BV778" s="2" t="e">
        <f>VLOOKUP(O778,GLAPS정리!$BH$2:$BI$94,2,0)</f>
        <v>#N/A</v>
      </c>
      <c r="BW778" s="2" t="str">
        <f>IF(OR(Z778="동원",Z778="세방",Z778="한타"),"",IFERROR(INDEX(GLAPS정리!$BI$2:$BI$101,MATCH(Z778,GLAPS정리!$BH$2:$BH$101,0)),""))</f>
        <v/>
      </c>
      <c r="BX778" s="2" t="str">
        <f>IF(Z778="","",IFERROR(VLOOKUP(Z778,GLAPS정리!$AX$2:$AZ$17,3,0),""))</f>
        <v/>
      </c>
      <c r="BZ778" s="2" t="e">
        <f>VLOOKUP(H778,GLAPS정리!$L$3:$O$133,2,0)</f>
        <v>#N/A</v>
      </c>
      <c r="CA778" s="2" t="str">
        <f t="shared" si="186"/>
        <v/>
      </c>
      <c r="CL778" s="2" t="e">
        <f>VLOOKUP(AI778,GLAPS정리!$BT$3:$BV$26,3,0)</f>
        <v>#N/A</v>
      </c>
    </row>
    <row r="779" spans="2:90" ht="20.45" customHeight="1">
      <c r="B779" s="13"/>
      <c r="G779" s="3"/>
      <c r="J779" s="3"/>
      <c r="Q779" s="3" t="str">
        <f t="shared" si="174"/>
        <v/>
      </c>
      <c r="R779" s="3" t="str">
        <f t="shared" si="175"/>
        <v/>
      </c>
      <c r="S779" s="3" t="str">
        <f t="shared" si="176"/>
        <v/>
      </c>
      <c r="X779" s="13"/>
      <c r="Y779" s="13"/>
      <c r="Z779" s="91"/>
      <c r="AC779" s="2">
        <f t="shared" si="177"/>
        <v>20</v>
      </c>
      <c r="AD779" s="2" t="str">
        <f>IFERROR(INDEX(GLAPS정리!$D$2:$D$50,MATCH(I779,GLAPS정리!$A$2:$A$50,0)),IFERROR(INDEX(GLAPS정리!$D$2:$D$50,MATCH(I779,GLAPS정리!$B$2:$B$50,0)),""))</f>
        <v/>
      </c>
      <c r="AF779" s="2" t="str">
        <f t="shared" si="178"/>
        <v>KR10</v>
      </c>
      <c r="AI779" s="2" t="e">
        <f>VLOOKUP(F779,GLAPS정리!$G$3:$J$114,2,0)</f>
        <v>#N/A</v>
      </c>
      <c r="AJ779" s="2" t="e">
        <f>IF(Z779="울산정일","KRONS",IF(Z779="울산신항","KRUSN",IF(OR(Z779="선광종합물류(인천여객)",Z779="인천여객(인천여객)"),"KRINF",IF(OR(Z779="선광인천보세(인천신)",Z779="한진인천(인천신)",Z779="선광인천신항(인천신)",Z779="인천더로지스(인천신)"),"KRINN",IF(OR(Z779="인천진아(인천항)",Z779="인천E1(인천항)",Z779="인천SM경인터미널(인천항)",Z779="인천항(인천항)",Z779="인천우련(인천항)",Z779="인천항8부두(인천항)"),"KRINC",VLOOKUP(K779,GLAPS정리!$BB$2:$BC$33,2,0))))))</f>
        <v>#N/A</v>
      </c>
      <c r="AL779" s="2">
        <f t="shared" si="179"/>
        <v>5010001</v>
      </c>
      <c r="AN779" s="70" t="str">
        <f t="shared" si="180"/>
        <v>1900-01-00</v>
      </c>
      <c r="AO779" s="2" t="str">
        <f t="shared" si="181"/>
        <v/>
      </c>
      <c r="AP779" s="2" t="e">
        <f>VLOOKUP(C779,GLAPS정리!$AX$2:$AZ$17,3,0)</f>
        <v>#N/A</v>
      </c>
      <c r="AR779" s="2">
        <f t="shared" si="187"/>
        <v>0</v>
      </c>
      <c r="AX779" s="2" t="e">
        <f>VLOOKUP(L779,GLAPS정리!$V$3:$W$180,2,0)</f>
        <v>#N/A</v>
      </c>
      <c r="BM779" s="2" t="str">
        <f t="shared" si="182"/>
        <v xml:space="preserve"> </v>
      </c>
      <c r="BN779" s="2">
        <f t="shared" si="183"/>
        <v>1</v>
      </c>
      <c r="BR779" s="2" t="str">
        <f t="shared" si="184"/>
        <v/>
      </c>
      <c r="BS779" s="2" t="str">
        <f t="shared" si="185"/>
        <v/>
      </c>
      <c r="BV779" s="2" t="e">
        <f>VLOOKUP(O779,GLAPS정리!$BH$2:$BI$94,2,0)</f>
        <v>#N/A</v>
      </c>
      <c r="BW779" s="2" t="str">
        <f>IF(OR(Z779="동원",Z779="세방",Z779="한타"),"",IFERROR(INDEX(GLAPS정리!$BI$2:$BI$101,MATCH(Z779,GLAPS정리!$BH$2:$BH$101,0)),""))</f>
        <v/>
      </c>
      <c r="BX779" s="2" t="str">
        <f>IF(Z779="","",IFERROR(VLOOKUP(Z779,GLAPS정리!$AX$2:$AZ$17,3,0),""))</f>
        <v/>
      </c>
      <c r="BZ779" s="2" t="e">
        <f>VLOOKUP(H779,GLAPS정리!$L$3:$O$133,2,0)</f>
        <v>#N/A</v>
      </c>
      <c r="CA779" s="2" t="str">
        <f t="shared" si="186"/>
        <v/>
      </c>
      <c r="CL779" s="2" t="e">
        <f>VLOOKUP(AI779,GLAPS정리!$BT$3:$BV$26,3,0)</f>
        <v>#N/A</v>
      </c>
    </row>
    <row r="780" spans="2:90" ht="20.45" customHeight="1">
      <c r="B780" s="13"/>
      <c r="G780" s="3"/>
      <c r="J780" s="3"/>
      <c r="Q780" s="3" t="str">
        <f t="shared" si="174"/>
        <v/>
      </c>
      <c r="R780" s="3" t="str">
        <f t="shared" si="175"/>
        <v/>
      </c>
      <c r="S780" s="3" t="str">
        <f t="shared" si="176"/>
        <v/>
      </c>
      <c r="X780" s="13"/>
      <c r="Y780" s="13"/>
      <c r="Z780" s="91"/>
      <c r="AC780" s="2">
        <f t="shared" si="177"/>
        <v>20</v>
      </c>
      <c r="AD780" s="2" t="str">
        <f>IFERROR(INDEX(GLAPS정리!$D$2:$D$50,MATCH(I780,GLAPS정리!$A$2:$A$50,0)),IFERROR(INDEX(GLAPS정리!$D$2:$D$50,MATCH(I780,GLAPS정리!$B$2:$B$50,0)),""))</f>
        <v/>
      </c>
      <c r="AF780" s="2" t="str">
        <f t="shared" si="178"/>
        <v>KR10</v>
      </c>
      <c r="AI780" s="2" t="e">
        <f>VLOOKUP(F780,GLAPS정리!$G$3:$J$114,2,0)</f>
        <v>#N/A</v>
      </c>
      <c r="AJ780" s="2" t="e">
        <f>IF(Z780="울산정일","KRONS",IF(Z780="울산신항","KRUSN",IF(OR(Z780="선광종합물류(인천여객)",Z780="인천여객(인천여객)"),"KRINF",IF(OR(Z780="선광인천보세(인천신)",Z780="한진인천(인천신)",Z780="선광인천신항(인천신)",Z780="인천더로지스(인천신)"),"KRINN",IF(OR(Z780="인천진아(인천항)",Z780="인천E1(인천항)",Z780="인천SM경인터미널(인천항)",Z780="인천항(인천항)",Z780="인천우련(인천항)",Z780="인천항8부두(인천항)"),"KRINC",VLOOKUP(K780,GLAPS정리!$BB$2:$BC$33,2,0))))))</f>
        <v>#N/A</v>
      </c>
      <c r="AL780" s="2">
        <f t="shared" si="179"/>
        <v>5010001</v>
      </c>
      <c r="AN780" s="70" t="str">
        <f t="shared" si="180"/>
        <v>1900-01-00</v>
      </c>
      <c r="AO780" s="2" t="str">
        <f t="shared" si="181"/>
        <v/>
      </c>
      <c r="AP780" s="2" t="e">
        <f>VLOOKUP(C780,GLAPS정리!$AX$2:$AZ$17,3,0)</f>
        <v>#N/A</v>
      </c>
      <c r="AR780" s="2">
        <f t="shared" si="187"/>
        <v>0</v>
      </c>
      <c r="AX780" s="2" t="e">
        <f>VLOOKUP(L780,GLAPS정리!$V$3:$W$180,2,0)</f>
        <v>#N/A</v>
      </c>
      <c r="BM780" s="2" t="str">
        <f t="shared" si="182"/>
        <v xml:space="preserve"> </v>
      </c>
      <c r="BN780" s="2">
        <f t="shared" si="183"/>
        <v>1</v>
      </c>
      <c r="BR780" s="2" t="str">
        <f t="shared" si="184"/>
        <v/>
      </c>
      <c r="BS780" s="2" t="str">
        <f t="shared" si="185"/>
        <v/>
      </c>
      <c r="BV780" s="2" t="e">
        <f>VLOOKUP(O780,GLAPS정리!$BH$2:$BI$94,2,0)</f>
        <v>#N/A</v>
      </c>
      <c r="BW780" s="2" t="str">
        <f>IF(OR(Z780="동원",Z780="세방",Z780="한타"),"",IFERROR(INDEX(GLAPS정리!$BI$2:$BI$101,MATCH(Z780,GLAPS정리!$BH$2:$BH$101,0)),""))</f>
        <v/>
      </c>
      <c r="BX780" s="2" t="str">
        <f>IF(Z780="","",IFERROR(VLOOKUP(Z780,GLAPS정리!$AX$2:$AZ$17,3,0),""))</f>
        <v/>
      </c>
      <c r="BZ780" s="2" t="e">
        <f>VLOOKUP(H780,GLAPS정리!$L$3:$O$133,2,0)</f>
        <v>#N/A</v>
      </c>
      <c r="CA780" s="2" t="str">
        <f t="shared" si="186"/>
        <v/>
      </c>
      <c r="CL780" s="2" t="e">
        <f>VLOOKUP(AI780,GLAPS정리!$BT$3:$BV$26,3,0)</f>
        <v>#N/A</v>
      </c>
    </row>
    <row r="781" spans="2:90" ht="20.45" customHeight="1">
      <c r="B781" s="13"/>
      <c r="G781" s="3"/>
      <c r="J781" s="3"/>
      <c r="Q781" s="3" t="str">
        <f t="shared" si="174"/>
        <v/>
      </c>
      <c r="R781" s="3" t="str">
        <f t="shared" si="175"/>
        <v/>
      </c>
      <c r="S781" s="3" t="str">
        <f t="shared" si="176"/>
        <v/>
      </c>
      <c r="X781" s="13"/>
      <c r="Y781" s="13"/>
      <c r="Z781" s="91"/>
      <c r="AC781" s="2">
        <f t="shared" si="177"/>
        <v>20</v>
      </c>
      <c r="AD781" s="2" t="str">
        <f>IFERROR(INDEX(GLAPS정리!$D$2:$D$50,MATCH(I781,GLAPS정리!$A$2:$A$50,0)),IFERROR(INDEX(GLAPS정리!$D$2:$D$50,MATCH(I781,GLAPS정리!$B$2:$B$50,0)),""))</f>
        <v/>
      </c>
      <c r="AF781" s="2" t="str">
        <f t="shared" si="178"/>
        <v>KR10</v>
      </c>
      <c r="AI781" s="2" t="e">
        <f>VLOOKUP(F781,GLAPS정리!$G$3:$J$114,2,0)</f>
        <v>#N/A</v>
      </c>
      <c r="AJ781" s="2" t="e">
        <f>IF(Z781="울산정일","KRONS",IF(Z781="울산신항","KRUSN",IF(OR(Z781="선광종합물류(인천여객)",Z781="인천여객(인천여객)"),"KRINF",IF(OR(Z781="선광인천보세(인천신)",Z781="한진인천(인천신)",Z781="선광인천신항(인천신)",Z781="인천더로지스(인천신)"),"KRINN",IF(OR(Z781="인천진아(인천항)",Z781="인천E1(인천항)",Z781="인천SM경인터미널(인천항)",Z781="인천항(인천항)",Z781="인천우련(인천항)",Z781="인천항8부두(인천항)"),"KRINC",VLOOKUP(K781,GLAPS정리!$BB$2:$BC$33,2,0))))))</f>
        <v>#N/A</v>
      </c>
      <c r="AL781" s="2">
        <f t="shared" si="179"/>
        <v>5010001</v>
      </c>
      <c r="AN781" s="70" t="str">
        <f t="shared" si="180"/>
        <v>1900-01-00</v>
      </c>
      <c r="AO781" s="2" t="str">
        <f t="shared" si="181"/>
        <v/>
      </c>
      <c r="AP781" s="2" t="e">
        <f>VLOOKUP(C781,GLAPS정리!$AX$2:$AZ$17,3,0)</f>
        <v>#N/A</v>
      </c>
      <c r="AR781" s="2">
        <f t="shared" si="187"/>
        <v>0</v>
      </c>
      <c r="AX781" s="2" t="e">
        <f>VLOOKUP(L781,GLAPS정리!$V$3:$W$180,2,0)</f>
        <v>#N/A</v>
      </c>
      <c r="BM781" s="2" t="str">
        <f t="shared" si="182"/>
        <v xml:space="preserve"> </v>
      </c>
      <c r="BN781" s="2">
        <f t="shared" si="183"/>
        <v>1</v>
      </c>
      <c r="BR781" s="2" t="str">
        <f t="shared" si="184"/>
        <v/>
      </c>
      <c r="BS781" s="2" t="str">
        <f t="shared" si="185"/>
        <v/>
      </c>
      <c r="BV781" s="2" t="e">
        <f>VLOOKUP(O781,GLAPS정리!$BH$2:$BI$94,2,0)</f>
        <v>#N/A</v>
      </c>
      <c r="BW781" s="2" t="str">
        <f>IF(OR(Z781="동원",Z781="세방",Z781="한타"),"",IFERROR(INDEX(GLAPS정리!$BI$2:$BI$101,MATCH(Z781,GLAPS정리!$BH$2:$BH$101,0)),""))</f>
        <v/>
      </c>
      <c r="BX781" s="2" t="str">
        <f>IF(Z781="","",IFERROR(VLOOKUP(Z781,GLAPS정리!$AX$2:$AZ$17,3,0),""))</f>
        <v/>
      </c>
      <c r="BZ781" s="2" t="e">
        <f>VLOOKUP(H781,GLAPS정리!$L$3:$O$133,2,0)</f>
        <v>#N/A</v>
      </c>
      <c r="CA781" s="2" t="str">
        <f t="shared" si="186"/>
        <v/>
      </c>
      <c r="CL781" s="2" t="e">
        <f>VLOOKUP(AI781,GLAPS정리!$BT$3:$BV$26,3,0)</f>
        <v>#N/A</v>
      </c>
    </row>
    <row r="782" spans="2:90" ht="20.45" customHeight="1">
      <c r="B782" s="13"/>
      <c r="G782" s="3"/>
      <c r="J782" s="3"/>
      <c r="Q782" s="3" t="str">
        <f t="shared" si="174"/>
        <v/>
      </c>
      <c r="R782" s="3" t="str">
        <f t="shared" si="175"/>
        <v/>
      </c>
      <c r="S782" s="3" t="str">
        <f t="shared" si="176"/>
        <v/>
      </c>
      <c r="X782" s="13"/>
      <c r="Y782" s="13"/>
      <c r="Z782" s="91"/>
      <c r="AC782" s="2">
        <f t="shared" si="177"/>
        <v>20</v>
      </c>
      <c r="AD782" s="2" t="str">
        <f>IFERROR(INDEX(GLAPS정리!$D$2:$D$50,MATCH(I782,GLAPS정리!$A$2:$A$50,0)),IFERROR(INDEX(GLAPS정리!$D$2:$D$50,MATCH(I782,GLAPS정리!$B$2:$B$50,0)),""))</f>
        <v/>
      </c>
      <c r="AF782" s="2" t="str">
        <f t="shared" si="178"/>
        <v>KR10</v>
      </c>
      <c r="AI782" s="2" t="e">
        <f>VLOOKUP(F782,GLAPS정리!$G$3:$J$114,2,0)</f>
        <v>#N/A</v>
      </c>
      <c r="AJ782" s="2" t="e">
        <f>IF(Z782="울산정일","KRONS",IF(Z782="울산신항","KRUSN",IF(OR(Z782="선광종합물류(인천여객)",Z782="인천여객(인천여객)"),"KRINF",IF(OR(Z782="선광인천보세(인천신)",Z782="한진인천(인천신)",Z782="선광인천신항(인천신)",Z782="인천더로지스(인천신)"),"KRINN",IF(OR(Z782="인천진아(인천항)",Z782="인천E1(인천항)",Z782="인천SM경인터미널(인천항)",Z782="인천항(인천항)",Z782="인천우련(인천항)",Z782="인천항8부두(인천항)"),"KRINC",VLOOKUP(K782,GLAPS정리!$BB$2:$BC$33,2,0))))))</f>
        <v>#N/A</v>
      </c>
      <c r="AL782" s="2">
        <f t="shared" si="179"/>
        <v>5010001</v>
      </c>
      <c r="AN782" s="70" t="str">
        <f t="shared" si="180"/>
        <v>1900-01-00</v>
      </c>
      <c r="AO782" s="2" t="str">
        <f t="shared" si="181"/>
        <v/>
      </c>
      <c r="AP782" s="2" t="e">
        <f>VLOOKUP(C782,GLAPS정리!$AX$2:$AZ$17,3,0)</f>
        <v>#N/A</v>
      </c>
      <c r="AR782" s="2">
        <f t="shared" si="187"/>
        <v>0</v>
      </c>
      <c r="AX782" s="2" t="e">
        <f>VLOOKUP(L782,GLAPS정리!$V$3:$W$180,2,0)</f>
        <v>#N/A</v>
      </c>
      <c r="BM782" s="2" t="str">
        <f t="shared" si="182"/>
        <v xml:space="preserve"> </v>
      </c>
      <c r="BN782" s="2">
        <f t="shared" si="183"/>
        <v>1</v>
      </c>
      <c r="BR782" s="2" t="str">
        <f t="shared" si="184"/>
        <v/>
      </c>
      <c r="BS782" s="2" t="str">
        <f t="shared" si="185"/>
        <v/>
      </c>
      <c r="BV782" s="2" t="e">
        <f>VLOOKUP(O782,GLAPS정리!$BH$2:$BI$94,2,0)</f>
        <v>#N/A</v>
      </c>
      <c r="BW782" s="2" t="str">
        <f>IF(OR(Z782="동원",Z782="세방",Z782="한타"),"",IFERROR(INDEX(GLAPS정리!$BI$2:$BI$101,MATCH(Z782,GLAPS정리!$BH$2:$BH$101,0)),""))</f>
        <v/>
      </c>
      <c r="BX782" s="2" t="str">
        <f>IF(Z782="","",IFERROR(VLOOKUP(Z782,GLAPS정리!$AX$2:$AZ$17,3,0),""))</f>
        <v/>
      </c>
      <c r="BZ782" s="2" t="e">
        <f>VLOOKUP(H782,GLAPS정리!$L$3:$O$133,2,0)</f>
        <v>#N/A</v>
      </c>
      <c r="CA782" s="2" t="str">
        <f t="shared" si="186"/>
        <v/>
      </c>
      <c r="CL782" s="2" t="e">
        <f>VLOOKUP(AI782,GLAPS정리!$BT$3:$BV$26,3,0)</f>
        <v>#N/A</v>
      </c>
    </row>
    <row r="783" spans="2:90" ht="20.45" customHeight="1">
      <c r="B783" s="13"/>
      <c r="G783" s="3"/>
      <c r="J783" s="3"/>
      <c r="Q783" s="3" t="str">
        <f t="shared" si="174"/>
        <v/>
      </c>
      <c r="R783" s="3" t="str">
        <f t="shared" si="175"/>
        <v/>
      </c>
      <c r="S783" s="3" t="str">
        <f t="shared" si="176"/>
        <v/>
      </c>
      <c r="X783" s="13"/>
      <c r="Y783" s="13"/>
      <c r="Z783" s="91"/>
      <c r="AC783" s="2">
        <f t="shared" si="177"/>
        <v>20</v>
      </c>
      <c r="AD783" s="2" t="str">
        <f>IFERROR(INDEX(GLAPS정리!$D$2:$D$50,MATCH(I783,GLAPS정리!$A$2:$A$50,0)),IFERROR(INDEX(GLAPS정리!$D$2:$D$50,MATCH(I783,GLAPS정리!$B$2:$B$50,0)),""))</f>
        <v/>
      </c>
      <c r="AF783" s="2" t="str">
        <f t="shared" si="178"/>
        <v>KR10</v>
      </c>
      <c r="AI783" s="2" t="e">
        <f>VLOOKUP(F783,GLAPS정리!$G$3:$J$114,2,0)</f>
        <v>#N/A</v>
      </c>
      <c r="AJ783" s="2" t="e">
        <f>IF(Z783="울산정일","KRONS",IF(Z783="울산신항","KRUSN",IF(OR(Z783="선광종합물류(인천여객)",Z783="인천여객(인천여객)"),"KRINF",IF(OR(Z783="선광인천보세(인천신)",Z783="한진인천(인천신)",Z783="선광인천신항(인천신)",Z783="인천더로지스(인천신)"),"KRINN",IF(OR(Z783="인천진아(인천항)",Z783="인천E1(인천항)",Z783="인천SM경인터미널(인천항)",Z783="인천항(인천항)",Z783="인천우련(인천항)",Z783="인천항8부두(인천항)"),"KRINC",VLOOKUP(K783,GLAPS정리!$BB$2:$BC$33,2,0))))))</f>
        <v>#N/A</v>
      </c>
      <c r="AL783" s="2">
        <f t="shared" si="179"/>
        <v>5010001</v>
      </c>
      <c r="AN783" s="70" t="str">
        <f t="shared" si="180"/>
        <v>1900-01-00</v>
      </c>
      <c r="AO783" s="2" t="str">
        <f t="shared" si="181"/>
        <v/>
      </c>
      <c r="AP783" s="2" t="e">
        <f>VLOOKUP(C783,GLAPS정리!$AX$2:$AZ$17,3,0)</f>
        <v>#N/A</v>
      </c>
      <c r="AR783" s="2">
        <f t="shared" si="187"/>
        <v>0</v>
      </c>
      <c r="AX783" s="2" t="e">
        <f>VLOOKUP(L783,GLAPS정리!$V$3:$W$180,2,0)</f>
        <v>#N/A</v>
      </c>
      <c r="BM783" s="2" t="str">
        <f t="shared" si="182"/>
        <v xml:space="preserve"> </v>
      </c>
      <c r="BN783" s="2">
        <f t="shared" si="183"/>
        <v>1</v>
      </c>
      <c r="BR783" s="2" t="str">
        <f t="shared" si="184"/>
        <v/>
      </c>
      <c r="BS783" s="2" t="str">
        <f t="shared" si="185"/>
        <v/>
      </c>
      <c r="BV783" s="2" t="e">
        <f>VLOOKUP(O783,GLAPS정리!$BH$2:$BI$94,2,0)</f>
        <v>#N/A</v>
      </c>
      <c r="BW783" s="2" t="str">
        <f>IF(OR(Z783="동원",Z783="세방",Z783="한타"),"",IFERROR(INDEX(GLAPS정리!$BI$2:$BI$101,MATCH(Z783,GLAPS정리!$BH$2:$BH$101,0)),""))</f>
        <v/>
      </c>
      <c r="BX783" s="2" t="str">
        <f>IF(Z783="","",IFERROR(VLOOKUP(Z783,GLAPS정리!$AX$2:$AZ$17,3,0),""))</f>
        <v/>
      </c>
      <c r="BZ783" s="2" t="e">
        <f>VLOOKUP(H783,GLAPS정리!$L$3:$O$133,2,0)</f>
        <v>#N/A</v>
      </c>
      <c r="CA783" s="2" t="str">
        <f t="shared" si="186"/>
        <v/>
      </c>
      <c r="CL783" s="2" t="e">
        <f>VLOOKUP(AI783,GLAPS정리!$BT$3:$BV$26,3,0)</f>
        <v>#N/A</v>
      </c>
    </row>
    <row r="784" spans="2:90" ht="20.45" customHeight="1">
      <c r="B784" s="13"/>
      <c r="G784" s="3"/>
      <c r="J784" s="3"/>
      <c r="Q784" s="3" t="str">
        <f t="shared" si="174"/>
        <v/>
      </c>
      <c r="R784" s="3" t="str">
        <f t="shared" si="175"/>
        <v/>
      </c>
      <c r="S784" s="3" t="str">
        <f t="shared" si="176"/>
        <v/>
      </c>
      <c r="X784" s="13"/>
      <c r="Y784" s="13"/>
      <c r="Z784" s="91"/>
      <c r="AC784" s="2">
        <f t="shared" si="177"/>
        <v>20</v>
      </c>
      <c r="AD784" s="2" t="str">
        <f>IFERROR(INDEX(GLAPS정리!$D$2:$D$50,MATCH(I784,GLAPS정리!$A$2:$A$50,0)),IFERROR(INDEX(GLAPS정리!$D$2:$D$50,MATCH(I784,GLAPS정리!$B$2:$B$50,0)),""))</f>
        <v/>
      </c>
      <c r="AF784" s="2" t="str">
        <f t="shared" si="178"/>
        <v>KR10</v>
      </c>
      <c r="AI784" s="2" t="e">
        <f>VLOOKUP(F784,GLAPS정리!$G$3:$J$114,2,0)</f>
        <v>#N/A</v>
      </c>
      <c r="AJ784" s="2" t="e">
        <f>IF(Z784="울산정일","KRONS",IF(Z784="울산신항","KRUSN",IF(OR(Z784="선광종합물류(인천여객)",Z784="인천여객(인천여객)"),"KRINF",IF(OR(Z784="선광인천보세(인천신)",Z784="한진인천(인천신)",Z784="선광인천신항(인천신)",Z784="인천더로지스(인천신)"),"KRINN",IF(OR(Z784="인천진아(인천항)",Z784="인천E1(인천항)",Z784="인천SM경인터미널(인천항)",Z784="인천항(인천항)",Z784="인천우련(인천항)",Z784="인천항8부두(인천항)"),"KRINC",VLOOKUP(K784,GLAPS정리!$BB$2:$BC$33,2,0))))))</f>
        <v>#N/A</v>
      </c>
      <c r="AL784" s="2">
        <f t="shared" si="179"/>
        <v>5010001</v>
      </c>
      <c r="AN784" s="70" t="str">
        <f t="shared" si="180"/>
        <v>1900-01-00</v>
      </c>
      <c r="AO784" s="2" t="str">
        <f t="shared" si="181"/>
        <v/>
      </c>
      <c r="AP784" s="2" t="e">
        <f>VLOOKUP(C784,GLAPS정리!$AX$2:$AZ$17,3,0)</f>
        <v>#N/A</v>
      </c>
      <c r="AR784" s="2">
        <f t="shared" si="187"/>
        <v>0</v>
      </c>
      <c r="AX784" s="2" t="e">
        <f>VLOOKUP(L784,GLAPS정리!$V$3:$W$180,2,0)</f>
        <v>#N/A</v>
      </c>
      <c r="BM784" s="2" t="str">
        <f t="shared" si="182"/>
        <v xml:space="preserve"> </v>
      </c>
      <c r="BN784" s="2">
        <f t="shared" si="183"/>
        <v>1</v>
      </c>
      <c r="BR784" s="2" t="str">
        <f t="shared" si="184"/>
        <v/>
      </c>
      <c r="BS784" s="2" t="str">
        <f t="shared" si="185"/>
        <v/>
      </c>
      <c r="BV784" s="2" t="e">
        <f>VLOOKUP(O784,GLAPS정리!$BH$2:$BI$94,2,0)</f>
        <v>#N/A</v>
      </c>
      <c r="BW784" s="2" t="str">
        <f>IF(OR(Z784="동원",Z784="세방",Z784="한타"),"",IFERROR(INDEX(GLAPS정리!$BI$2:$BI$101,MATCH(Z784,GLAPS정리!$BH$2:$BH$101,0)),""))</f>
        <v/>
      </c>
      <c r="BX784" s="2" t="str">
        <f>IF(Z784="","",IFERROR(VLOOKUP(Z784,GLAPS정리!$AX$2:$AZ$17,3,0),""))</f>
        <v/>
      </c>
      <c r="BZ784" s="2" t="e">
        <f>VLOOKUP(H784,GLAPS정리!$L$3:$O$133,2,0)</f>
        <v>#N/A</v>
      </c>
      <c r="CA784" s="2" t="str">
        <f t="shared" si="186"/>
        <v/>
      </c>
      <c r="CL784" s="2" t="e">
        <f>VLOOKUP(AI784,GLAPS정리!$BT$3:$BV$26,3,0)</f>
        <v>#N/A</v>
      </c>
    </row>
    <row r="785" spans="2:90" ht="20.45" customHeight="1">
      <c r="B785" s="13"/>
      <c r="G785" s="3"/>
      <c r="J785" s="3"/>
      <c r="Q785" s="3" t="str">
        <f t="shared" si="174"/>
        <v/>
      </c>
      <c r="R785" s="3" t="str">
        <f t="shared" si="175"/>
        <v/>
      </c>
      <c r="S785" s="3" t="str">
        <f t="shared" si="176"/>
        <v/>
      </c>
      <c r="X785" s="13"/>
      <c r="Y785" s="13"/>
      <c r="Z785" s="91"/>
      <c r="AC785" s="2">
        <f t="shared" si="177"/>
        <v>20</v>
      </c>
      <c r="AD785" s="2" t="str">
        <f>IFERROR(INDEX(GLAPS정리!$D$2:$D$50,MATCH(I785,GLAPS정리!$A$2:$A$50,0)),IFERROR(INDEX(GLAPS정리!$D$2:$D$50,MATCH(I785,GLAPS정리!$B$2:$B$50,0)),""))</f>
        <v/>
      </c>
      <c r="AF785" s="2" t="str">
        <f t="shared" si="178"/>
        <v>KR10</v>
      </c>
      <c r="AI785" s="2" t="e">
        <f>VLOOKUP(F785,GLAPS정리!$G$3:$J$114,2,0)</f>
        <v>#N/A</v>
      </c>
      <c r="AJ785" s="2" t="e">
        <f>IF(Z785="울산정일","KRONS",IF(Z785="울산신항","KRUSN",IF(OR(Z785="선광종합물류(인천여객)",Z785="인천여객(인천여객)"),"KRINF",IF(OR(Z785="선광인천보세(인천신)",Z785="한진인천(인천신)",Z785="선광인천신항(인천신)",Z785="인천더로지스(인천신)"),"KRINN",IF(OR(Z785="인천진아(인천항)",Z785="인천E1(인천항)",Z785="인천SM경인터미널(인천항)",Z785="인천항(인천항)",Z785="인천우련(인천항)",Z785="인천항8부두(인천항)"),"KRINC",VLOOKUP(K785,GLAPS정리!$BB$2:$BC$33,2,0))))))</f>
        <v>#N/A</v>
      </c>
      <c r="AL785" s="2">
        <f t="shared" si="179"/>
        <v>5010001</v>
      </c>
      <c r="AN785" s="70" t="str">
        <f t="shared" si="180"/>
        <v>1900-01-00</v>
      </c>
      <c r="AO785" s="2" t="str">
        <f t="shared" si="181"/>
        <v/>
      </c>
      <c r="AP785" s="2" t="e">
        <f>VLOOKUP(C785,GLAPS정리!$AX$2:$AZ$17,3,0)</f>
        <v>#N/A</v>
      </c>
      <c r="AR785" s="2">
        <f t="shared" si="187"/>
        <v>0</v>
      </c>
      <c r="AX785" s="2" t="e">
        <f>VLOOKUP(L785,GLAPS정리!$V$3:$W$180,2,0)</f>
        <v>#N/A</v>
      </c>
      <c r="BM785" s="2" t="str">
        <f t="shared" si="182"/>
        <v xml:space="preserve"> </v>
      </c>
      <c r="BN785" s="2">
        <f t="shared" si="183"/>
        <v>1</v>
      </c>
      <c r="BR785" s="2" t="str">
        <f t="shared" si="184"/>
        <v/>
      </c>
      <c r="BS785" s="2" t="str">
        <f t="shared" si="185"/>
        <v/>
      </c>
      <c r="BV785" s="2" t="e">
        <f>VLOOKUP(O785,GLAPS정리!$BH$2:$BI$94,2,0)</f>
        <v>#N/A</v>
      </c>
      <c r="BW785" s="2" t="str">
        <f>IF(OR(Z785="동원",Z785="세방",Z785="한타"),"",IFERROR(INDEX(GLAPS정리!$BI$2:$BI$101,MATCH(Z785,GLAPS정리!$BH$2:$BH$101,0)),""))</f>
        <v/>
      </c>
      <c r="BX785" s="2" t="str">
        <f>IF(Z785="","",IFERROR(VLOOKUP(Z785,GLAPS정리!$AX$2:$AZ$17,3,0),""))</f>
        <v/>
      </c>
      <c r="BZ785" s="2" t="e">
        <f>VLOOKUP(H785,GLAPS정리!$L$3:$O$133,2,0)</f>
        <v>#N/A</v>
      </c>
      <c r="CA785" s="2" t="str">
        <f t="shared" si="186"/>
        <v/>
      </c>
      <c r="CL785" s="2" t="e">
        <f>VLOOKUP(AI785,GLAPS정리!$BT$3:$BV$26,3,0)</f>
        <v>#N/A</v>
      </c>
    </row>
    <row r="786" spans="2:90" ht="20.45" customHeight="1">
      <c r="B786" s="13"/>
      <c r="G786" s="3"/>
      <c r="J786" s="3"/>
      <c r="Q786" s="3" t="str">
        <f t="shared" si="174"/>
        <v/>
      </c>
      <c r="R786" s="3" t="str">
        <f t="shared" si="175"/>
        <v/>
      </c>
      <c r="S786" s="3" t="str">
        <f t="shared" si="176"/>
        <v/>
      </c>
      <c r="X786" s="13"/>
      <c r="Y786" s="13"/>
      <c r="Z786" s="91"/>
      <c r="AC786" s="2">
        <f t="shared" si="177"/>
        <v>20</v>
      </c>
      <c r="AD786" s="2" t="str">
        <f>IFERROR(INDEX(GLAPS정리!$D$2:$D$50,MATCH(I786,GLAPS정리!$A$2:$A$50,0)),IFERROR(INDEX(GLAPS정리!$D$2:$D$50,MATCH(I786,GLAPS정리!$B$2:$B$50,0)),""))</f>
        <v/>
      </c>
      <c r="AF786" s="2" t="str">
        <f t="shared" si="178"/>
        <v>KR10</v>
      </c>
      <c r="AI786" s="2" t="e">
        <f>VLOOKUP(F786,GLAPS정리!$G$3:$J$114,2,0)</f>
        <v>#N/A</v>
      </c>
      <c r="AJ786" s="2" t="e">
        <f>IF(Z786="울산정일","KRONS",IF(Z786="울산신항","KRUSN",IF(OR(Z786="선광종합물류(인천여객)",Z786="인천여객(인천여객)"),"KRINF",IF(OR(Z786="선광인천보세(인천신)",Z786="한진인천(인천신)",Z786="선광인천신항(인천신)",Z786="인천더로지스(인천신)"),"KRINN",IF(OR(Z786="인천진아(인천항)",Z786="인천E1(인천항)",Z786="인천SM경인터미널(인천항)",Z786="인천항(인천항)",Z786="인천우련(인천항)",Z786="인천항8부두(인천항)"),"KRINC",VLOOKUP(K786,GLAPS정리!$BB$2:$BC$33,2,0))))))</f>
        <v>#N/A</v>
      </c>
      <c r="AL786" s="2">
        <f t="shared" si="179"/>
        <v>5010001</v>
      </c>
      <c r="AN786" s="70" t="str">
        <f t="shared" si="180"/>
        <v>1900-01-00</v>
      </c>
      <c r="AO786" s="2" t="str">
        <f t="shared" si="181"/>
        <v/>
      </c>
      <c r="AP786" s="2" t="e">
        <f>VLOOKUP(C786,GLAPS정리!$AX$2:$AZ$17,3,0)</f>
        <v>#N/A</v>
      </c>
      <c r="AR786" s="2">
        <f t="shared" si="187"/>
        <v>0</v>
      </c>
      <c r="AX786" s="2" t="e">
        <f>VLOOKUP(L786,GLAPS정리!$V$3:$W$180,2,0)</f>
        <v>#N/A</v>
      </c>
      <c r="BM786" s="2" t="str">
        <f t="shared" si="182"/>
        <v xml:space="preserve"> </v>
      </c>
      <c r="BN786" s="2">
        <f t="shared" si="183"/>
        <v>1</v>
      </c>
      <c r="BR786" s="2" t="str">
        <f t="shared" si="184"/>
        <v/>
      </c>
      <c r="BS786" s="2" t="str">
        <f t="shared" si="185"/>
        <v/>
      </c>
      <c r="BV786" s="2" t="e">
        <f>VLOOKUP(O786,GLAPS정리!$BH$2:$BI$94,2,0)</f>
        <v>#N/A</v>
      </c>
      <c r="BW786" s="2" t="str">
        <f>IF(OR(Z786="동원",Z786="세방",Z786="한타"),"",IFERROR(INDEX(GLAPS정리!$BI$2:$BI$101,MATCH(Z786,GLAPS정리!$BH$2:$BH$101,0)),""))</f>
        <v/>
      </c>
      <c r="BX786" s="2" t="str">
        <f>IF(Z786="","",IFERROR(VLOOKUP(Z786,GLAPS정리!$AX$2:$AZ$17,3,0),""))</f>
        <v/>
      </c>
      <c r="BZ786" s="2" t="e">
        <f>VLOOKUP(H786,GLAPS정리!$L$3:$O$133,2,0)</f>
        <v>#N/A</v>
      </c>
      <c r="CA786" s="2" t="str">
        <f t="shared" si="186"/>
        <v/>
      </c>
      <c r="CL786" s="2" t="e">
        <f>VLOOKUP(AI786,GLAPS정리!$BT$3:$BV$26,3,0)</f>
        <v>#N/A</v>
      </c>
    </row>
    <row r="787" spans="2:90" ht="20.45" customHeight="1">
      <c r="B787" s="13"/>
      <c r="G787" s="3"/>
      <c r="J787" s="3"/>
      <c r="Q787" s="3" t="str">
        <f t="shared" si="174"/>
        <v/>
      </c>
      <c r="R787" s="3" t="str">
        <f t="shared" si="175"/>
        <v/>
      </c>
      <c r="S787" s="3" t="str">
        <f t="shared" si="176"/>
        <v/>
      </c>
      <c r="X787" s="13"/>
      <c r="Y787" s="13"/>
      <c r="Z787" s="91"/>
      <c r="AC787" s="2">
        <f t="shared" si="177"/>
        <v>20</v>
      </c>
      <c r="AD787" s="2" t="str">
        <f>IFERROR(INDEX(GLAPS정리!$D$2:$D$50,MATCH(I787,GLAPS정리!$A$2:$A$50,0)),IFERROR(INDEX(GLAPS정리!$D$2:$D$50,MATCH(I787,GLAPS정리!$B$2:$B$50,0)),""))</f>
        <v/>
      </c>
      <c r="AF787" s="2" t="str">
        <f t="shared" si="178"/>
        <v>KR10</v>
      </c>
      <c r="AI787" s="2" t="e">
        <f>VLOOKUP(F787,GLAPS정리!$G$3:$J$114,2,0)</f>
        <v>#N/A</v>
      </c>
      <c r="AJ787" s="2" t="e">
        <f>IF(Z787="울산정일","KRONS",IF(Z787="울산신항","KRUSN",IF(OR(Z787="선광종합물류(인천여객)",Z787="인천여객(인천여객)"),"KRINF",IF(OR(Z787="선광인천보세(인천신)",Z787="한진인천(인천신)",Z787="선광인천신항(인천신)",Z787="인천더로지스(인천신)"),"KRINN",IF(OR(Z787="인천진아(인천항)",Z787="인천E1(인천항)",Z787="인천SM경인터미널(인천항)",Z787="인천항(인천항)",Z787="인천우련(인천항)",Z787="인천항8부두(인천항)"),"KRINC",VLOOKUP(K787,GLAPS정리!$BB$2:$BC$33,2,0))))))</f>
        <v>#N/A</v>
      </c>
      <c r="AL787" s="2">
        <f t="shared" si="179"/>
        <v>5010001</v>
      </c>
      <c r="AN787" s="70" t="str">
        <f t="shared" si="180"/>
        <v>1900-01-00</v>
      </c>
      <c r="AO787" s="2" t="str">
        <f t="shared" si="181"/>
        <v/>
      </c>
      <c r="AP787" s="2" t="e">
        <f>VLOOKUP(C787,GLAPS정리!$AX$2:$AZ$17,3,0)</f>
        <v>#N/A</v>
      </c>
      <c r="AR787" s="2">
        <f t="shared" si="187"/>
        <v>0</v>
      </c>
      <c r="AX787" s="2" t="e">
        <f>VLOOKUP(L787,GLAPS정리!$V$3:$W$180,2,0)</f>
        <v>#N/A</v>
      </c>
      <c r="BM787" s="2" t="str">
        <f t="shared" si="182"/>
        <v xml:space="preserve"> </v>
      </c>
      <c r="BN787" s="2">
        <f t="shared" si="183"/>
        <v>1</v>
      </c>
      <c r="BR787" s="2" t="str">
        <f t="shared" si="184"/>
        <v/>
      </c>
      <c r="BS787" s="2" t="str">
        <f t="shared" si="185"/>
        <v/>
      </c>
      <c r="BV787" s="2" t="e">
        <f>VLOOKUP(O787,GLAPS정리!$BH$2:$BI$94,2,0)</f>
        <v>#N/A</v>
      </c>
      <c r="BW787" s="2" t="str">
        <f>IF(OR(Z787="동원",Z787="세방",Z787="한타"),"",IFERROR(INDEX(GLAPS정리!$BI$2:$BI$101,MATCH(Z787,GLAPS정리!$BH$2:$BH$101,0)),""))</f>
        <v/>
      </c>
      <c r="BX787" s="2" t="str">
        <f>IF(Z787="","",IFERROR(VLOOKUP(Z787,GLAPS정리!$AX$2:$AZ$17,3,0),""))</f>
        <v/>
      </c>
      <c r="BZ787" s="2" t="e">
        <f>VLOOKUP(H787,GLAPS정리!$L$3:$O$133,2,0)</f>
        <v>#N/A</v>
      </c>
      <c r="CA787" s="2" t="str">
        <f t="shared" si="186"/>
        <v/>
      </c>
      <c r="CL787" s="2" t="e">
        <f>VLOOKUP(AI787,GLAPS정리!$BT$3:$BV$26,3,0)</f>
        <v>#N/A</v>
      </c>
    </row>
    <row r="788" spans="2:90" ht="20.45" customHeight="1">
      <c r="B788" s="13"/>
      <c r="G788" s="3"/>
      <c r="J788" s="3"/>
      <c r="Q788" s="3" t="str">
        <f t="shared" si="174"/>
        <v/>
      </c>
      <c r="R788" s="3" t="str">
        <f t="shared" si="175"/>
        <v/>
      </c>
      <c r="S788" s="3" t="str">
        <f t="shared" si="176"/>
        <v/>
      </c>
      <c r="X788" s="13"/>
      <c r="Y788" s="13"/>
      <c r="Z788" s="91"/>
      <c r="AC788" s="2">
        <f t="shared" si="177"/>
        <v>20</v>
      </c>
      <c r="AD788" s="2" t="str">
        <f>IFERROR(INDEX(GLAPS정리!$D$2:$D$50,MATCH(I788,GLAPS정리!$A$2:$A$50,0)),IFERROR(INDEX(GLAPS정리!$D$2:$D$50,MATCH(I788,GLAPS정리!$B$2:$B$50,0)),""))</f>
        <v/>
      </c>
      <c r="AF788" s="2" t="str">
        <f t="shared" si="178"/>
        <v>KR10</v>
      </c>
      <c r="AI788" s="2" t="e">
        <f>VLOOKUP(F788,GLAPS정리!$G$3:$J$114,2,0)</f>
        <v>#N/A</v>
      </c>
      <c r="AJ788" s="2" t="e">
        <f>IF(Z788="울산정일","KRONS",IF(Z788="울산신항","KRUSN",IF(OR(Z788="선광종합물류(인천여객)",Z788="인천여객(인천여객)"),"KRINF",IF(OR(Z788="선광인천보세(인천신)",Z788="한진인천(인천신)",Z788="선광인천신항(인천신)",Z788="인천더로지스(인천신)"),"KRINN",IF(OR(Z788="인천진아(인천항)",Z788="인천E1(인천항)",Z788="인천SM경인터미널(인천항)",Z788="인천항(인천항)",Z788="인천우련(인천항)",Z788="인천항8부두(인천항)"),"KRINC",VLOOKUP(K788,GLAPS정리!$BB$2:$BC$33,2,0))))))</f>
        <v>#N/A</v>
      </c>
      <c r="AL788" s="2">
        <f t="shared" si="179"/>
        <v>5010001</v>
      </c>
      <c r="AN788" s="70" t="str">
        <f t="shared" si="180"/>
        <v>1900-01-00</v>
      </c>
      <c r="AO788" s="2" t="str">
        <f t="shared" si="181"/>
        <v/>
      </c>
      <c r="AP788" s="2" t="e">
        <f>VLOOKUP(C788,GLAPS정리!$AX$2:$AZ$17,3,0)</f>
        <v>#N/A</v>
      </c>
      <c r="AR788" s="2">
        <f t="shared" si="187"/>
        <v>0</v>
      </c>
      <c r="AX788" s="2" t="e">
        <f>VLOOKUP(L788,GLAPS정리!$V$3:$W$180,2,0)</f>
        <v>#N/A</v>
      </c>
      <c r="BM788" s="2" t="str">
        <f t="shared" si="182"/>
        <v xml:space="preserve"> </v>
      </c>
      <c r="BN788" s="2">
        <f t="shared" si="183"/>
        <v>1</v>
      </c>
      <c r="BR788" s="2" t="str">
        <f t="shared" si="184"/>
        <v/>
      </c>
      <c r="BS788" s="2" t="str">
        <f t="shared" si="185"/>
        <v/>
      </c>
      <c r="BV788" s="2" t="e">
        <f>VLOOKUP(O788,GLAPS정리!$BH$2:$BI$94,2,0)</f>
        <v>#N/A</v>
      </c>
      <c r="BW788" s="2" t="str">
        <f>IF(OR(Z788="동원",Z788="세방",Z788="한타"),"",IFERROR(INDEX(GLAPS정리!$BI$2:$BI$101,MATCH(Z788,GLAPS정리!$BH$2:$BH$101,0)),""))</f>
        <v/>
      </c>
      <c r="BX788" s="2" t="str">
        <f>IF(Z788="","",IFERROR(VLOOKUP(Z788,GLAPS정리!$AX$2:$AZ$17,3,0),""))</f>
        <v/>
      </c>
      <c r="BZ788" s="2" t="e">
        <f>VLOOKUP(H788,GLAPS정리!$L$3:$O$133,2,0)</f>
        <v>#N/A</v>
      </c>
      <c r="CA788" s="2" t="str">
        <f t="shared" si="186"/>
        <v/>
      </c>
      <c r="CL788" s="2" t="e">
        <f>VLOOKUP(AI788,GLAPS정리!$BT$3:$BV$26,3,0)</f>
        <v>#N/A</v>
      </c>
    </row>
    <row r="789" spans="2:90" ht="20.45" customHeight="1">
      <c r="B789" s="13"/>
      <c r="G789" s="3"/>
      <c r="J789" s="3"/>
      <c r="Q789" s="3" t="str">
        <f t="shared" si="174"/>
        <v/>
      </c>
      <c r="R789" s="3" t="str">
        <f t="shared" si="175"/>
        <v/>
      </c>
      <c r="S789" s="3" t="str">
        <f t="shared" si="176"/>
        <v/>
      </c>
      <c r="X789" s="13"/>
      <c r="Y789" s="13"/>
      <c r="Z789" s="91"/>
      <c r="AC789" s="2">
        <f t="shared" si="177"/>
        <v>20</v>
      </c>
      <c r="AD789" s="2" t="str">
        <f>IFERROR(INDEX(GLAPS정리!$D$2:$D$50,MATCH(I789,GLAPS정리!$A$2:$A$50,0)),IFERROR(INDEX(GLAPS정리!$D$2:$D$50,MATCH(I789,GLAPS정리!$B$2:$B$50,0)),""))</f>
        <v/>
      </c>
      <c r="AF789" s="2" t="str">
        <f t="shared" si="178"/>
        <v>KR10</v>
      </c>
      <c r="AI789" s="2" t="e">
        <f>VLOOKUP(F789,GLAPS정리!$G$3:$J$114,2,0)</f>
        <v>#N/A</v>
      </c>
      <c r="AJ789" s="2" t="e">
        <f>IF(Z789="울산정일","KRONS",IF(Z789="울산신항","KRUSN",IF(OR(Z789="선광종합물류(인천여객)",Z789="인천여객(인천여객)"),"KRINF",IF(OR(Z789="선광인천보세(인천신)",Z789="한진인천(인천신)",Z789="선광인천신항(인천신)",Z789="인천더로지스(인천신)"),"KRINN",IF(OR(Z789="인천진아(인천항)",Z789="인천E1(인천항)",Z789="인천SM경인터미널(인천항)",Z789="인천항(인천항)",Z789="인천우련(인천항)",Z789="인천항8부두(인천항)"),"KRINC",VLOOKUP(K789,GLAPS정리!$BB$2:$BC$33,2,0))))))</f>
        <v>#N/A</v>
      </c>
      <c r="AL789" s="2">
        <f t="shared" si="179"/>
        <v>5010001</v>
      </c>
      <c r="AN789" s="70" t="str">
        <f t="shared" si="180"/>
        <v>1900-01-00</v>
      </c>
      <c r="AO789" s="2" t="str">
        <f t="shared" si="181"/>
        <v/>
      </c>
      <c r="AP789" s="2" t="e">
        <f>VLOOKUP(C789,GLAPS정리!$AX$2:$AZ$17,3,0)</f>
        <v>#N/A</v>
      </c>
      <c r="AR789" s="2">
        <f t="shared" si="187"/>
        <v>0</v>
      </c>
      <c r="AX789" s="2" t="e">
        <f>VLOOKUP(L789,GLAPS정리!$V$3:$W$180,2,0)</f>
        <v>#N/A</v>
      </c>
      <c r="BM789" s="2" t="str">
        <f t="shared" si="182"/>
        <v xml:space="preserve"> </v>
      </c>
      <c r="BN789" s="2">
        <f t="shared" si="183"/>
        <v>1</v>
      </c>
      <c r="BR789" s="2" t="str">
        <f t="shared" si="184"/>
        <v/>
      </c>
      <c r="BS789" s="2" t="str">
        <f t="shared" si="185"/>
        <v/>
      </c>
      <c r="BV789" s="2" t="e">
        <f>VLOOKUP(O789,GLAPS정리!$BH$2:$BI$94,2,0)</f>
        <v>#N/A</v>
      </c>
      <c r="BW789" s="2" t="str">
        <f>IF(OR(Z789="동원",Z789="세방",Z789="한타"),"",IFERROR(INDEX(GLAPS정리!$BI$2:$BI$101,MATCH(Z789,GLAPS정리!$BH$2:$BH$101,0)),""))</f>
        <v/>
      </c>
      <c r="BX789" s="2" t="str">
        <f>IF(Z789="","",IFERROR(VLOOKUP(Z789,GLAPS정리!$AX$2:$AZ$17,3,0),""))</f>
        <v/>
      </c>
      <c r="BZ789" s="2" t="e">
        <f>VLOOKUP(H789,GLAPS정리!$L$3:$O$133,2,0)</f>
        <v>#N/A</v>
      </c>
      <c r="CA789" s="2" t="str">
        <f t="shared" si="186"/>
        <v/>
      </c>
      <c r="CL789" s="2" t="e">
        <f>VLOOKUP(AI789,GLAPS정리!$BT$3:$BV$26,3,0)</f>
        <v>#N/A</v>
      </c>
    </row>
    <row r="790" spans="2:90" ht="20.45" customHeight="1">
      <c r="B790" s="13"/>
      <c r="G790" s="3"/>
      <c r="J790" s="3"/>
      <c r="Q790" s="3" t="str">
        <f t="shared" si="174"/>
        <v/>
      </c>
      <c r="R790" s="3" t="str">
        <f t="shared" si="175"/>
        <v/>
      </c>
      <c r="S790" s="3" t="str">
        <f t="shared" si="176"/>
        <v/>
      </c>
      <c r="X790" s="13"/>
      <c r="Y790" s="13"/>
      <c r="Z790" s="91"/>
      <c r="AC790" s="2">
        <f t="shared" si="177"/>
        <v>20</v>
      </c>
      <c r="AD790" s="2" t="str">
        <f>IFERROR(INDEX(GLAPS정리!$D$2:$D$50,MATCH(I790,GLAPS정리!$A$2:$A$50,0)),IFERROR(INDEX(GLAPS정리!$D$2:$D$50,MATCH(I790,GLAPS정리!$B$2:$B$50,0)),""))</f>
        <v/>
      </c>
      <c r="AF790" s="2" t="str">
        <f t="shared" si="178"/>
        <v>KR10</v>
      </c>
      <c r="AI790" s="2" t="e">
        <f>VLOOKUP(F790,GLAPS정리!$G$3:$J$114,2,0)</f>
        <v>#N/A</v>
      </c>
      <c r="AJ790" s="2" t="e">
        <f>IF(Z790="울산정일","KRONS",IF(Z790="울산신항","KRUSN",IF(OR(Z790="선광종합물류(인천여객)",Z790="인천여객(인천여객)"),"KRINF",IF(OR(Z790="선광인천보세(인천신)",Z790="한진인천(인천신)",Z790="선광인천신항(인천신)",Z790="인천더로지스(인천신)"),"KRINN",IF(OR(Z790="인천진아(인천항)",Z790="인천E1(인천항)",Z790="인천SM경인터미널(인천항)",Z790="인천항(인천항)",Z790="인천우련(인천항)",Z790="인천항8부두(인천항)"),"KRINC",VLOOKUP(K790,GLAPS정리!$BB$2:$BC$33,2,0))))))</f>
        <v>#N/A</v>
      </c>
      <c r="AL790" s="2">
        <f t="shared" si="179"/>
        <v>5010001</v>
      </c>
      <c r="AN790" s="70" t="str">
        <f t="shared" si="180"/>
        <v>1900-01-00</v>
      </c>
      <c r="AO790" s="2" t="str">
        <f t="shared" si="181"/>
        <v/>
      </c>
      <c r="AP790" s="2" t="e">
        <f>VLOOKUP(C790,GLAPS정리!$AX$2:$AZ$17,3,0)</f>
        <v>#N/A</v>
      </c>
      <c r="AR790" s="2">
        <f t="shared" si="187"/>
        <v>0</v>
      </c>
      <c r="AX790" s="2" t="e">
        <f>VLOOKUP(L790,GLAPS정리!$V$3:$W$180,2,0)</f>
        <v>#N/A</v>
      </c>
      <c r="BM790" s="2" t="str">
        <f t="shared" si="182"/>
        <v xml:space="preserve"> </v>
      </c>
      <c r="BN790" s="2">
        <f t="shared" si="183"/>
        <v>1</v>
      </c>
      <c r="BR790" s="2" t="str">
        <f t="shared" si="184"/>
        <v/>
      </c>
      <c r="BS790" s="2" t="str">
        <f t="shared" si="185"/>
        <v/>
      </c>
      <c r="BV790" s="2" t="e">
        <f>VLOOKUP(O790,GLAPS정리!$BH$2:$BI$94,2,0)</f>
        <v>#N/A</v>
      </c>
      <c r="BW790" s="2" t="str">
        <f>IF(OR(Z790="동원",Z790="세방",Z790="한타"),"",IFERROR(INDEX(GLAPS정리!$BI$2:$BI$101,MATCH(Z790,GLAPS정리!$BH$2:$BH$101,0)),""))</f>
        <v/>
      </c>
      <c r="BX790" s="2" t="str">
        <f>IF(Z790="","",IFERROR(VLOOKUP(Z790,GLAPS정리!$AX$2:$AZ$17,3,0),""))</f>
        <v/>
      </c>
      <c r="BZ790" s="2" t="e">
        <f>VLOOKUP(H790,GLAPS정리!$L$3:$O$133,2,0)</f>
        <v>#N/A</v>
      </c>
      <c r="CA790" s="2" t="str">
        <f t="shared" si="186"/>
        <v/>
      </c>
      <c r="CL790" s="2" t="e">
        <f>VLOOKUP(AI790,GLAPS정리!$BT$3:$BV$26,3,0)</f>
        <v>#N/A</v>
      </c>
    </row>
    <row r="791" spans="2:90" ht="20.45" customHeight="1">
      <c r="B791" s="13"/>
      <c r="G791" s="3"/>
      <c r="J791" s="3"/>
      <c r="Q791" s="3" t="str">
        <f t="shared" si="174"/>
        <v/>
      </c>
      <c r="R791" s="3" t="str">
        <f t="shared" si="175"/>
        <v/>
      </c>
      <c r="S791" s="3" t="str">
        <f t="shared" si="176"/>
        <v/>
      </c>
      <c r="X791" s="13"/>
      <c r="Y791" s="13"/>
      <c r="Z791" s="91"/>
      <c r="AC791" s="2">
        <f t="shared" si="177"/>
        <v>20</v>
      </c>
      <c r="AD791" s="2" t="str">
        <f>IFERROR(INDEX(GLAPS정리!$D$2:$D$50,MATCH(I791,GLAPS정리!$A$2:$A$50,0)),IFERROR(INDEX(GLAPS정리!$D$2:$D$50,MATCH(I791,GLAPS정리!$B$2:$B$50,0)),""))</f>
        <v/>
      </c>
      <c r="AF791" s="2" t="str">
        <f t="shared" si="178"/>
        <v>KR10</v>
      </c>
      <c r="AI791" s="2" t="e">
        <f>VLOOKUP(F791,GLAPS정리!$G$3:$J$114,2,0)</f>
        <v>#N/A</v>
      </c>
      <c r="AJ791" s="2" t="e">
        <f>IF(Z791="울산정일","KRONS",IF(Z791="울산신항","KRUSN",IF(OR(Z791="선광종합물류(인천여객)",Z791="인천여객(인천여객)"),"KRINF",IF(OR(Z791="선광인천보세(인천신)",Z791="한진인천(인천신)",Z791="선광인천신항(인천신)",Z791="인천더로지스(인천신)"),"KRINN",IF(OR(Z791="인천진아(인천항)",Z791="인천E1(인천항)",Z791="인천SM경인터미널(인천항)",Z791="인천항(인천항)",Z791="인천우련(인천항)",Z791="인천항8부두(인천항)"),"KRINC",VLOOKUP(K791,GLAPS정리!$BB$2:$BC$33,2,0))))))</f>
        <v>#N/A</v>
      </c>
      <c r="AL791" s="2">
        <f t="shared" si="179"/>
        <v>5010001</v>
      </c>
      <c r="AN791" s="70" t="str">
        <f t="shared" si="180"/>
        <v>1900-01-00</v>
      </c>
      <c r="AO791" s="2" t="str">
        <f t="shared" si="181"/>
        <v/>
      </c>
      <c r="AP791" s="2" t="e">
        <f>VLOOKUP(C791,GLAPS정리!$AX$2:$AZ$17,3,0)</f>
        <v>#N/A</v>
      </c>
      <c r="AR791" s="2">
        <f t="shared" si="187"/>
        <v>0</v>
      </c>
      <c r="AX791" s="2" t="e">
        <f>VLOOKUP(L791,GLAPS정리!$V$3:$W$180,2,0)</f>
        <v>#N/A</v>
      </c>
      <c r="BM791" s="2" t="str">
        <f t="shared" si="182"/>
        <v xml:space="preserve"> </v>
      </c>
      <c r="BN791" s="2">
        <f t="shared" si="183"/>
        <v>1</v>
      </c>
      <c r="BR791" s="2" t="str">
        <f t="shared" si="184"/>
        <v/>
      </c>
      <c r="BS791" s="2" t="str">
        <f t="shared" si="185"/>
        <v/>
      </c>
      <c r="BV791" s="2" t="e">
        <f>VLOOKUP(O791,GLAPS정리!$BH$2:$BI$94,2,0)</f>
        <v>#N/A</v>
      </c>
      <c r="BW791" s="2" t="str">
        <f>IF(OR(Z791="동원",Z791="세방",Z791="한타"),"",IFERROR(INDEX(GLAPS정리!$BI$2:$BI$101,MATCH(Z791,GLAPS정리!$BH$2:$BH$101,0)),""))</f>
        <v/>
      </c>
      <c r="BX791" s="2" t="str">
        <f>IF(Z791="","",IFERROR(VLOOKUP(Z791,GLAPS정리!$AX$2:$AZ$17,3,0),""))</f>
        <v/>
      </c>
      <c r="BZ791" s="2" t="e">
        <f>VLOOKUP(H791,GLAPS정리!$L$3:$O$133,2,0)</f>
        <v>#N/A</v>
      </c>
      <c r="CA791" s="2" t="str">
        <f t="shared" si="186"/>
        <v/>
      </c>
      <c r="CL791" s="2" t="e">
        <f>VLOOKUP(AI791,GLAPS정리!$BT$3:$BV$26,3,0)</f>
        <v>#N/A</v>
      </c>
    </row>
    <row r="792" spans="2:90" ht="20.45" customHeight="1">
      <c r="B792" s="13"/>
      <c r="G792" s="3"/>
      <c r="J792" s="3"/>
      <c r="Q792" s="3" t="str">
        <f t="shared" si="174"/>
        <v/>
      </c>
      <c r="R792" s="3" t="str">
        <f t="shared" si="175"/>
        <v/>
      </c>
      <c r="S792" s="3" t="str">
        <f t="shared" si="176"/>
        <v/>
      </c>
      <c r="X792" s="13"/>
      <c r="Y792" s="13"/>
      <c r="Z792" s="91"/>
      <c r="AC792" s="2">
        <f t="shared" si="177"/>
        <v>20</v>
      </c>
      <c r="AD792" s="2" t="str">
        <f>IFERROR(INDEX(GLAPS정리!$D$2:$D$50,MATCH(I792,GLAPS정리!$A$2:$A$50,0)),IFERROR(INDEX(GLAPS정리!$D$2:$D$50,MATCH(I792,GLAPS정리!$B$2:$B$50,0)),""))</f>
        <v/>
      </c>
      <c r="AF792" s="2" t="str">
        <f t="shared" si="178"/>
        <v>KR10</v>
      </c>
      <c r="AI792" s="2" t="e">
        <f>VLOOKUP(F792,GLAPS정리!$G$3:$J$114,2,0)</f>
        <v>#N/A</v>
      </c>
      <c r="AJ792" s="2" t="e">
        <f>IF(Z792="울산정일","KRONS",IF(Z792="울산신항","KRUSN",IF(OR(Z792="선광종합물류(인천여객)",Z792="인천여객(인천여객)"),"KRINF",IF(OR(Z792="선광인천보세(인천신)",Z792="한진인천(인천신)",Z792="선광인천신항(인천신)",Z792="인천더로지스(인천신)"),"KRINN",IF(OR(Z792="인천진아(인천항)",Z792="인천E1(인천항)",Z792="인천SM경인터미널(인천항)",Z792="인천항(인천항)",Z792="인천우련(인천항)",Z792="인천항8부두(인천항)"),"KRINC",VLOOKUP(K792,GLAPS정리!$BB$2:$BC$33,2,0))))))</f>
        <v>#N/A</v>
      </c>
      <c r="AL792" s="2">
        <f t="shared" si="179"/>
        <v>5010001</v>
      </c>
      <c r="AN792" s="70" t="str">
        <f t="shared" si="180"/>
        <v>1900-01-00</v>
      </c>
      <c r="AO792" s="2" t="str">
        <f t="shared" si="181"/>
        <v/>
      </c>
      <c r="AP792" s="2" t="e">
        <f>VLOOKUP(C792,GLAPS정리!$AX$2:$AZ$17,3,0)</f>
        <v>#N/A</v>
      </c>
      <c r="AR792" s="2">
        <f t="shared" si="187"/>
        <v>0</v>
      </c>
      <c r="AX792" s="2" t="e">
        <f>VLOOKUP(L792,GLAPS정리!$V$3:$W$180,2,0)</f>
        <v>#N/A</v>
      </c>
      <c r="BM792" s="2" t="str">
        <f t="shared" si="182"/>
        <v xml:space="preserve"> </v>
      </c>
      <c r="BN792" s="2">
        <f t="shared" si="183"/>
        <v>1</v>
      </c>
      <c r="BR792" s="2" t="str">
        <f t="shared" si="184"/>
        <v/>
      </c>
      <c r="BS792" s="2" t="str">
        <f t="shared" si="185"/>
        <v/>
      </c>
      <c r="BV792" s="2" t="e">
        <f>VLOOKUP(O792,GLAPS정리!$BH$2:$BI$94,2,0)</f>
        <v>#N/A</v>
      </c>
      <c r="BW792" s="2" t="str">
        <f>IF(OR(Z792="동원",Z792="세방",Z792="한타"),"",IFERROR(INDEX(GLAPS정리!$BI$2:$BI$101,MATCH(Z792,GLAPS정리!$BH$2:$BH$101,0)),""))</f>
        <v/>
      </c>
      <c r="BX792" s="2" t="str">
        <f>IF(Z792="","",IFERROR(VLOOKUP(Z792,GLAPS정리!$AX$2:$AZ$17,3,0),""))</f>
        <v/>
      </c>
      <c r="BZ792" s="2" t="e">
        <f>VLOOKUP(H792,GLAPS정리!$L$3:$O$133,2,0)</f>
        <v>#N/A</v>
      </c>
      <c r="CA792" s="2" t="str">
        <f t="shared" si="186"/>
        <v/>
      </c>
      <c r="CL792" s="2" t="e">
        <f>VLOOKUP(AI792,GLAPS정리!$BT$3:$BV$26,3,0)</f>
        <v>#N/A</v>
      </c>
    </row>
    <row r="793" spans="2:90" ht="20.45" customHeight="1">
      <c r="B793" s="13"/>
      <c r="G793" s="3"/>
      <c r="J793" s="3"/>
      <c r="Q793" s="3" t="str">
        <f t="shared" si="174"/>
        <v/>
      </c>
      <c r="R793" s="3" t="str">
        <f t="shared" si="175"/>
        <v/>
      </c>
      <c r="S793" s="3" t="str">
        <f t="shared" si="176"/>
        <v/>
      </c>
      <c r="X793" s="13"/>
      <c r="Y793" s="13"/>
      <c r="Z793" s="91"/>
      <c r="AC793" s="2">
        <f t="shared" si="177"/>
        <v>20</v>
      </c>
      <c r="AD793" s="2" t="str">
        <f>IFERROR(INDEX(GLAPS정리!$D$2:$D$50,MATCH(I793,GLAPS정리!$A$2:$A$50,0)),IFERROR(INDEX(GLAPS정리!$D$2:$D$50,MATCH(I793,GLAPS정리!$B$2:$B$50,0)),""))</f>
        <v/>
      </c>
      <c r="AF793" s="2" t="str">
        <f t="shared" si="178"/>
        <v>KR10</v>
      </c>
      <c r="AI793" s="2" t="e">
        <f>VLOOKUP(F793,GLAPS정리!$G$3:$J$114,2,0)</f>
        <v>#N/A</v>
      </c>
      <c r="AJ793" s="2" t="e">
        <f>IF(Z793="울산정일","KRONS",IF(Z793="울산신항","KRUSN",IF(OR(Z793="선광종합물류(인천여객)",Z793="인천여객(인천여객)"),"KRINF",IF(OR(Z793="선광인천보세(인천신)",Z793="한진인천(인천신)",Z793="선광인천신항(인천신)",Z793="인천더로지스(인천신)"),"KRINN",IF(OR(Z793="인천진아(인천항)",Z793="인천E1(인천항)",Z793="인천SM경인터미널(인천항)",Z793="인천항(인천항)",Z793="인천우련(인천항)",Z793="인천항8부두(인천항)"),"KRINC",VLOOKUP(K793,GLAPS정리!$BB$2:$BC$33,2,0))))))</f>
        <v>#N/A</v>
      </c>
      <c r="AL793" s="2">
        <f t="shared" si="179"/>
        <v>5010001</v>
      </c>
      <c r="AN793" s="70" t="str">
        <f t="shared" si="180"/>
        <v>1900-01-00</v>
      </c>
      <c r="AO793" s="2" t="str">
        <f t="shared" si="181"/>
        <v/>
      </c>
      <c r="AP793" s="2" t="e">
        <f>VLOOKUP(C793,GLAPS정리!$AX$2:$AZ$17,3,0)</f>
        <v>#N/A</v>
      </c>
      <c r="AR793" s="2">
        <f t="shared" si="187"/>
        <v>0</v>
      </c>
      <c r="AX793" s="2" t="e">
        <f>VLOOKUP(L793,GLAPS정리!$V$3:$W$180,2,0)</f>
        <v>#N/A</v>
      </c>
      <c r="BM793" s="2" t="str">
        <f t="shared" si="182"/>
        <v xml:space="preserve"> </v>
      </c>
      <c r="BN793" s="2">
        <f t="shared" si="183"/>
        <v>1</v>
      </c>
      <c r="BR793" s="2" t="str">
        <f t="shared" si="184"/>
        <v/>
      </c>
      <c r="BS793" s="2" t="str">
        <f t="shared" si="185"/>
        <v/>
      </c>
      <c r="BV793" s="2" t="e">
        <f>VLOOKUP(O793,GLAPS정리!$BH$2:$BI$94,2,0)</f>
        <v>#N/A</v>
      </c>
      <c r="BW793" s="2" t="str">
        <f>IF(OR(Z793="동원",Z793="세방",Z793="한타"),"",IFERROR(INDEX(GLAPS정리!$BI$2:$BI$101,MATCH(Z793,GLAPS정리!$BH$2:$BH$101,0)),""))</f>
        <v/>
      </c>
      <c r="BX793" s="2" t="str">
        <f>IF(Z793="","",IFERROR(VLOOKUP(Z793,GLAPS정리!$AX$2:$AZ$17,3,0),""))</f>
        <v/>
      </c>
      <c r="BZ793" s="2" t="e">
        <f>VLOOKUP(H793,GLAPS정리!$L$3:$O$133,2,0)</f>
        <v>#N/A</v>
      </c>
      <c r="CA793" s="2" t="str">
        <f t="shared" si="186"/>
        <v/>
      </c>
      <c r="CL793" s="2" t="e">
        <f>VLOOKUP(AI793,GLAPS정리!$BT$3:$BV$26,3,0)</f>
        <v>#N/A</v>
      </c>
    </row>
    <row r="794" spans="2:90" ht="20.45" customHeight="1">
      <c r="B794" s="13"/>
      <c r="G794" s="3"/>
      <c r="J794" s="3"/>
      <c r="Q794" s="3" t="str">
        <f t="shared" si="174"/>
        <v/>
      </c>
      <c r="R794" s="3" t="str">
        <f t="shared" si="175"/>
        <v/>
      </c>
      <c r="S794" s="3" t="str">
        <f t="shared" si="176"/>
        <v/>
      </c>
      <c r="X794" s="13"/>
      <c r="Y794" s="13"/>
      <c r="Z794" s="91"/>
      <c r="AC794" s="2">
        <f t="shared" si="177"/>
        <v>20</v>
      </c>
      <c r="AD794" s="2" t="str">
        <f>IFERROR(INDEX(GLAPS정리!$D$2:$D$50,MATCH(I794,GLAPS정리!$A$2:$A$50,0)),IFERROR(INDEX(GLAPS정리!$D$2:$D$50,MATCH(I794,GLAPS정리!$B$2:$B$50,0)),""))</f>
        <v/>
      </c>
      <c r="AF794" s="2" t="str">
        <f t="shared" si="178"/>
        <v>KR10</v>
      </c>
      <c r="AI794" s="2" t="e">
        <f>VLOOKUP(F794,GLAPS정리!$G$3:$J$114,2,0)</f>
        <v>#N/A</v>
      </c>
      <c r="AJ794" s="2" t="e">
        <f>IF(Z794="울산정일","KRONS",IF(Z794="울산신항","KRUSN",IF(OR(Z794="선광종합물류(인천여객)",Z794="인천여객(인천여객)"),"KRINF",IF(OR(Z794="선광인천보세(인천신)",Z794="한진인천(인천신)",Z794="선광인천신항(인천신)",Z794="인천더로지스(인천신)"),"KRINN",IF(OR(Z794="인천진아(인천항)",Z794="인천E1(인천항)",Z794="인천SM경인터미널(인천항)",Z794="인천항(인천항)",Z794="인천우련(인천항)",Z794="인천항8부두(인천항)"),"KRINC",VLOOKUP(K794,GLAPS정리!$BB$2:$BC$33,2,0))))))</f>
        <v>#N/A</v>
      </c>
      <c r="AL794" s="2">
        <f t="shared" si="179"/>
        <v>5010001</v>
      </c>
      <c r="AN794" s="70" t="str">
        <f t="shared" si="180"/>
        <v>1900-01-00</v>
      </c>
      <c r="AO794" s="2" t="str">
        <f t="shared" si="181"/>
        <v/>
      </c>
      <c r="AP794" s="2" t="e">
        <f>VLOOKUP(C794,GLAPS정리!$AX$2:$AZ$17,3,0)</f>
        <v>#N/A</v>
      </c>
      <c r="AR794" s="2">
        <f t="shared" si="187"/>
        <v>0</v>
      </c>
      <c r="AX794" s="2" t="e">
        <f>VLOOKUP(L794,GLAPS정리!$V$3:$W$180,2,0)</f>
        <v>#N/A</v>
      </c>
      <c r="BM794" s="2" t="str">
        <f t="shared" si="182"/>
        <v xml:space="preserve"> </v>
      </c>
      <c r="BN794" s="2">
        <f t="shared" si="183"/>
        <v>1</v>
      </c>
      <c r="BR794" s="2" t="str">
        <f t="shared" si="184"/>
        <v/>
      </c>
      <c r="BS794" s="2" t="str">
        <f t="shared" si="185"/>
        <v/>
      </c>
      <c r="BV794" s="2" t="e">
        <f>VLOOKUP(O794,GLAPS정리!$BH$2:$BI$94,2,0)</f>
        <v>#N/A</v>
      </c>
      <c r="BW794" s="2" t="str">
        <f>IF(OR(Z794="동원",Z794="세방",Z794="한타"),"",IFERROR(INDEX(GLAPS정리!$BI$2:$BI$101,MATCH(Z794,GLAPS정리!$BH$2:$BH$101,0)),""))</f>
        <v/>
      </c>
      <c r="BX794" s="2" t="str">
        <f>IF(Z794="","",IFERROR(VLOOKUP(Z794,GLAPS정리!$AX$2:$AZ$17,3,0),""))</f>
        <v/>
      </c>
      <c r="BZ794" s="2" t="e">
        <f>VLOOKUP(H794,GLAPS정리!$L$3:$O$133,2,0)</f>
        <v>#N/A</v>
      </c>
      <c r="CA794" s="2" t="str">
        <f t="shared" si="186"/>
        <v/>
      </c>
      <c r="CL794" s="2" t="e">
        <f>VLOOKUP(AI794,GLAPS정리!$BT$3:$BV$26,3,0)</f>
        <v>#N/A</v>
      </c>
    </row>
    <row r="795" spans="2:90" ht="20.45" customHeight="1">
      <c r="B795" s="13"/>
      <c r="G795" s="3"/>
      <c r="J795" s="3"/>
      <c r="Q795" s="3" t="str">
        <f t="shared" si="174"/>
        <v/>
      </c>
      <c r="R795" s="3" t="str">
        <f t="shared" si="175"/>
        <v/>
      </c>
      <c r="S795" s="3" t="str">
        <f t="shared" si="176"/>
        <v/>
      </c>
      <c r="X795" s="13"/>
      <c r="Y795" s="13"/>
      <c r="Z795" s="91"/>
      <c r="AC795" s="2">
        <f t="shared" si="177"/>
        <v>20</v>
      </c>
      <c r="AD795" s="2" t="str">
        <f>IFERROR(INDEX(GLAPS정리!$D$2:$D$50,MATCH(I795,GLAPS정리!$A$2:$A$50,0)),IFERROR(INDEX(GLAPS정리!$D$2:$D$50,MATCH(I795,GLAPS정리!$B$2:$B$50,0)),""))</f>
        <v/>
      </c>
      <c r="AF795" s="2" t="str">
        <f t="shared" si="178"/>
        <v>KR10</v>
      </c>
      <c r="AI795" s="2" t="e">
        <f>VLOOKUP(F795,GLAPS정리!$G$3:$J$114,2,0)</f>
        <v>#N/A</v>
      </c>
      <c r="AJ795" s="2" t="e">
        <f>IF(Z795="울산정일","KRONS",IF(Z795="울산신항","KRUSN",IF(OR(Z795="선광종합물류(인천여객)",Z795="인천여객(인천여객)"),"KRINF",IF(OR(Z795="선광인천보세(인천신)",Z795="한진인천(인천신)",Z795="선광인천신항(인천신)",Z795="인천더로지스(인천신)"),"KRINN",IF(OR(Z795="인천진아(인천항)",Z795="인천E1(인천항)",Z795="인천SM경인터미널(인천항)",Z795="인천항(인천항)",Z795="인천우련(인천항)",Z795="인천항8부두(인천항)"),"KRINC",VLOOKUP(K795,GLAPS정리!$BB$2:$BC$33,2,0))))))</f>
        <v>#N/A</v>
      </c>
      <c r="AL795" s="2">
        <f t="shared" si="179"/>
        <v>5010001</v>
      </c>
      <c r="AN795" s="70" t="str">
        <f t="shared" si="180"/>
        <v>1900-01-00</v>
      </c>
      <c r="AO795" s="2" t="str">
        <f t="shared" si="181"/>
        <v/>
      </c>
      <c r="AP795" s="2" t="e">
        <f>VLOOKUP(C795,GLAPS정리!$AX$2:$AZ$17,3,0)</f>
        <v>#N/A</v>
      </c>
      <c r="AR795" s="2">
        <f t="shared" si="187"/>
        <v>0</v>
      </c>
      <c r="AX795" s="2" t="e">
        <f>VLOOKUP(L795,GLAPS정리!$V$3:$W$180,2,0)</f>
        <v>#N/A</v>
      </c>
      <c r="BM795" s="2" t="str">
        <f t="shared" si="182"/>
        <v xml:space="preserve"> </v>
      </c>
      <c r="BN795" s="2">
        <f t="shared" si="183"/>
        <v>1</v>
      </c>
      <c r="BR795" s="2" t="str">
        <f t="shared" si="184"/>
        <v/>
      </c>
      <c r="BS795" s="2" t="str">
        <f t="shared" si="185"/>
        <v/>
      </c>
      <c r="BV795" s="2" t="e">
        <f>VLOOKUP(O795,GLAPS정리!$BH$2:$BI$94,2,0)</f>
        <v>#N/A</v>
      </c>
      <c r="BW795" s="2" t="str">
        <f>IF(OR(Z795="동원",Z795="세방",Z795="한타"),"",IFERROR(INDEX(GLAPS정리!$BI$2:$BI$101,MATCH(Z795,GLAPS정리!$BH$2:$BH$101,0)),""))</f>
        <v/>
      </c>
      <c r="BX795" s="2" t="str">
        <f>IF(Z795="","",IFERROR(VLOOKUP(Z795,GLAPS정리!$AX$2:$AZ$17,3,0),""))</f>
        <v/>
      </c>
      <c r="BZ795" s="2" t="e">
        <f>VLOOKUP(H795,GLAPS정리!$L$3:$O$133,2,0)</f>
        <v>#N/A</v>
      </c>
      <c r="CA795" s="2" t="str">
        <f t="shared" si="186"/>
        <v/>
      </c>
      <c r="CL795" s="2" t="e">
        <f>VLOOKUP(AI795,GLAPS정리!$BT$3:$BV$26,3,0)</f>
        <v>#N/A</v>
      </c>
    </row>
    <row r="796" spans="2:90" ht="20.45" customHeight="1">
      <c r="B796" s="13"/>
      <c r="G796" s="3"/>
      <c r="J796" s="3"/>
      <c r="Q796" s="3" t="str">
        <f t="shared" si="174"/>
        <v/>
      </c>
      <c r="R796" s="3" t="str">
        <f t="shared" si="175"/>
        <v/>
      </c>
      <c r="S796" s="3" t="str">
        <f t="shared" si="176"/>
        <v/>
      </c>
      <c r="X796" s="13"/>
      <c r="Y796" s="13"/>
      <c r="Z796" s="91"/>
      <c r="AC796" s="2">
        <f t="shared" si="177"/>
        <v>20</v>
      </c>
      <c r="AD796" s="2" t="str">
        <f>IFERROR(INDEX(GLAPS정리!$D$2:$D$50,MATCH(I796,GLAPS정리!$A$2:$A$50,0)),IFERROR(INDEX(GLAPS정리!$D$2:$D$50,MATCH(I796,GLAPS정리!$B$2:$B$50,0)),""))</f>
        <v/>
      </c>
      <c r="AF796" s="2" t="str">
        <f t="shared" si="178"/>
        <v>KR10</v>
      </c>
      <c r="AI796" s="2" t="e">
        <f>VLOOKUP(F796,GLAPS정리!$G$3:$J$114,2,0)</f>
        <v>#N/A</v>
      </c>
      <c r="AJ796" s="2" t="e">
        <f>IF(Z796="울산정일","KRONS",IF(Z796="울산신항","KRUSN",IF(OR(Z796="선광종합물류(인천여객)",Z796="인천여객(인천여객)"),"KRINF",IF(OR(Z796="선광인천보세(인천신)",Z796="한진인천(인천신)",Z796="선광인천신항(인천신)",Z796="인천더로지스(인천신)"),"KRINN",IF(OR(Z796="인천진아(인천항)",Z796="인천E1(인천항)",Z796="인천SM경인터미널(인천항)",Z796="인천항(인천항)",Z796="인천우련(인천항)",Z796="인천항8부두(인천항)"),"KRINC",VLOOKUP(K796,GLAPS정리!$BB$2:$BC$33,2,0))))))</f>
        <v>#N/A</v>
      </c>
      <c r="AL796" s="2">
        <f t="shared" si="179"/>
        <v>5010001</v>
      </c>
      <c r="AN796" s="70" t="str">
        <f t="shared" si="180"/>
        <v>1900-01-00</v>
      </c>
      <c r="AO796" s="2" t="str">
        <f t="shared" si="181"/>
        <v/>
      </c>
      <c r="AP796" s="2" t="e">
        <f>VLOOKUP(C796,GLAPS정리!$AX$2:$AZ$17,3,0)</f>
        <v>#N/A</v>
      </c>
      <c r="AR796" s="2">
        <f t="shared" si="187"/>
        <v>0</v>
      </c>
      <c r="AX796" s="2" t="e">
        <f>VLOOKUP(L796,GLAPS정리!$V$3:$W$180,2,0)</f>
        <v>#N/A</v>
      </c>
      <c r="BM796" s="2" t="str">
        <f t="shared" si="182"/>
        <v xml:space="preserve"> </v>
      </c>
      <c r="BN796" s="2">
        <f t="shared" si="183"/>
        <v>1</v>
      </c>
      <c r="BR796" s="2" t="str">
        <f t="shared" si="184"/>
        <v/>
      </c>
      <c r="BS796" s="2" t="str">
        <f t="shared" si="185"/>
        <v/>
      </c>
      <c r="BV796" s="2" t="e">
        <f>VLOOKUP(O796,GLAPS정리!$BH$2:$BI$94,2,0)</f>
        <v>#N/A</v>
      </c>
      <c r="BW796" s="2" t="str">
        <f>IF(OR(Z796="동원",Z796="세방",Z796="한타"),"",IFERROR(INDEX(GLAPS정리!$BI$2:$BI$101,MATCH(Z796,GLAPS정리!$BH$2:$BH$101,0)),""))</f>
        <v/>
      </c>
      <c r="BX796" s="2" t="str">
        <f>IF(Z796="","",IFERROR(VLOOKUP(Z796,GLAPS정리!$AX$2:$AZ$17,3,0),""))</f>
        <v/>
      </c>
      <c r="BZ796" s="2" t="e">
        <f>VLOOKUP(H796,GLAPS정리!$L$3:$O$133,2,0)</f>
        <v>#N/A</v>
      </c>
      <c r="CA796" s="2" t="str">
        <f t="shared" si="186"/>
        <v/>
      </c>
      <c r="CL796" s="2" t="e">
        <f>VLOOKUP(AI796,GLAPS정리!$BT$3:$BV$26,3,0)</f>
        <v>#N/A</v>
      </c>
    </row>
    <row r="797" spans="2:90" ht="20.45" customHeight="1">
      <c r="B797" s="13"/>
      <c r="G797" s="3"/>
      <c r="J797" s="3"/>
      <c r="Q797" s="3" t="str">
        <f t="shared" si="174"/>
        <v/>
      </c>
      <c r="R797" s="3" t="str">
        <f t="shared" si="175"/>
        <v/>
      </c>
      <c r="S797" s="3" t="str">
        <f t="shared" si="176"/>
        <v/>
      </c>
      <c r="X797" s="13"/>
      <c r="Y797" s="13"/>
      <c r="Z797" s="91"/>
      <c r="AC797" s="2">
        <f t="shared" si="177"/>
        <v>20</v>
      </c>
      <c r="AD797" s="2" t="str">
        <f>IFERROR(INDEX(GLAPS정리!$D$2:$D$50,MATCH(I797,GLAPS정리!$A$2:$A$50,0)),IFERROR(INDEX(GLAPS정리!$D$2:$D$50,MATCH(I797,GLAPS정리!$B$2:$B$50,0)),""))</f>
        <v/>
      </c>
      <c r="AF797" s="2" t="str">
        <f t="shared" si="178"/>
        <v>KR10</v>
      </c>
      <c r="AI797" s="2" t="e">
        <f>VLOOKUP(F797,GLAPS정리!$G$3:$J$114,2,0)</f>
        <v>#N/A</v>
      </c>
      <c r="AJ797" s="2" t="e">
        <f>IF(Z797="울산정일","KRONS",IF(Z797="울산신항","KRUSN",IF(OR(Z797="선광종합물류(인천여객)",Z797="인천여객(인천여객)"),"KRINF",IF(OR(Z797="선광인천보세(인천신)",Z797="한진인천(인천신)",Z797="선광인천신항(인천신)",Z797="인천더로지스(인천신)"),"KRINN",IF(OR(Z797="인천진아(인천항)",Z797="인천E1(인천항)",Z797="인천SM경인터미널(인천항)",Z797="인천항(인천항)",Z797="인천우련(인천항)",Z797="인천항8부두(인천항)"),"KRINC",VLOOKUP(K797,GLAPS정리!$BB$2:$BC$33,2,0))))))</f>
        <v>#N/A</v>
      </c>
      <c r="AL797" s="2">
        <f t="shared" si="179"/>
        <v>5010001</v>
      </c>
      <c r="AN797" s="70" t="str">
        <f t="shared" si="180"/>
        <v>1900-01-00</v>
      </c>
      <c r="AO797" s="2" t="str">
        <f t="shared" si="181"/>
        <v/>
      </c>
      <c r="AP797" s="2" t="e">
        <f>VLOOKUP(C797,GLAPS정리!$AX$2:$AZ$17,3,0)</f>
        <v>#N/A</v>
      </c>
      <c r="AR797" s="2">
        <f t="shared" si="187"/>
        <v>0</v>
      </c>
      <c r="AX797" s="2" t="e">
        <f>VLOOKUP(L797,GLAPS정리!$V$3:$W$180,2,0)</f>
        <v>#N/A</v>
      </c>
      <c r="BM797" s="2" t="str">
        <f t="shared" si="182"/>
        <v xml:space="preserve"> </v>
      </c>
      <c r="BN797" s="2">
        <f t="shared" si="183"/>
        <v>1</v>
      </c>
      <c r="BR797" s="2" t="str">
        <f t="shared" si="184"/>
        <v/>
      </c>
      <c r="BS797" s="2" t="str">
        <f t="shared" si="185"/>
        <v/>
      </c>
      <c r="BV797" s="2" t="e">
        <f>VLOOKUP(O797,GLAPS정리!$BH$2:$BI$94,2,0)</f>
        <v>#N/A</v>
      </c>
      <c r="BW797" s="2" t="str">
        <f>IF(OR(Z797="동원",Z797="세방",Z797="한타"),"",IFERROR(INDEX(GLAPS정리!$BI$2:$BI$101,MATCH(Z797,GLAPS정리!$BH$2:$BH$101,0)),""))</f>
        <v/>
      </c>
      <c r="BX797" s="2" t="str">
        <f>IF(Z797="","",IFERROR(VLOOKUP(Z797,GLAPS정리!$AX$2:$AZ$17,3,0),""))</f>
        <v/>
      </c>
      <c r="BZ797" s="2" t="e">
        <f>VLOOKUP(H797,GLAPS정리!$L$3:$O$133,2,0)</f>
        <v>#N/A</v>
      </c>
      <c r="CA797" s="2" t="str">
        <f t="shared" si="186"/>
        <v/>
      </c>
      <c r="CL797" s="2" t="e">
        <f>VLOOKUP(AI797,GLAPS정리!$BT$3:$BV$26,3,0)</f>
        <v>#N/A</v>
      </c>
    </row>
    <row r="798" spans="2:90" ht="20.45" customHeight="1">
      <c r="B798" s="13"/>
      <c r="G798" s="3"/>
      <c r="J798" s="3"/>
      <c r="Q798" s="3" t="str">
        <f t="shared" si="174"/>
        <v/>
      </c>
      <c r="R798" s="3" t="str">
        <f t="shared" si="175"/>
        <v/>
      </c>
      <c r="S798" s="3" t="str">
        <f t="shared" si="176"/>
        <v/>
      </c>
      <c r="X798" s="13"/>
      <c r="Y798" s="13"/>
      <c r="Z798" s="91"/>
      <c r="AC798" s="2">
        <f t="shared" si="177"/>
        <v>20</v>
      </c>
      <c r="AD798" s="2" t="str">
        <f>IFERROR(INDEX(GLAPS정리!$D$2:$D$50,MATCH(I798,GLAPS정리!$A$2:$A$50,0)),IFERROR(INDEX(GLAPS정리!$D$2:$D$50,MATCH(I798,GLAPS정리!$B$2:$B$50,0)),""))</f>
        <v/>
      </c>
      <c r="AF798" s="2" t="str">
        <f t="shared" si="178"/>
        <v>KR10</v>
      </c>
      <c r="AI798" s="2" t="e">
        <f>VLOOKUP(F798,GLAPS정리!$G$3:$J$114,2,0)</f>
        <v>#N/A</v>
      </c>
      <c r="AJ798" s="2" t="e">
        <f>IF(Z798="울산정일","KRONS",IF(Z798="울산신항","KRUSN",IF(OR(Z798="선광종합물류(인천여객)",Z798="인천여객(인천여객)"),"KRINF",IF(OR(Z798="선광인천보세(인천신)",Z798="한진인천(인천신)",Z798="선광인천신항(인천신)",Z798="인천더로지스(인천신)"),"KRINN",IF(OR(Z798="인천진아(인천항)",Z798="인천E1(인천항)",Z798="인천SM경인터미널(인천항)",Z798="인천항(인천항)",Z798="인천우련(인천항)",Z798="인천항8부두(인천항)"),"KRINC",VLOOKUP(K798,GLAPS정리!$BB$2:$BC$33,2,0))))))</f>
        <v>#N/A</v>
      </c>
      <c r="AL798" s="2">
        <f t="shared" si="179"/>
        <v>5010001</v>
      </c>
      <c r="AN798" s="70" t="str">
        <f t="shared" si="180"/>
        <v>1900-01-00</v>
      </c>
      <c r="AO798" s="2" t="str">
        <f t="shared" si="181"/>
        <v/>
      </c>
      <c r="AP798" s="2" t="e">
        <f>VLOOKUP(C798,GLAPS정리!$AX$2:$AZ$17,3,0)</f>
        <v>#N/A</v>
      </c>
      <c r="AR798" s="2">
        <f t="shared" si="187"/>
        <v>0</v>
      </c>
      <c r="AX798" s="2" t="e">
        <f>VLOOKUP(L798,GLAPS정리!$V$3:$W$180,2,0)</f>
        <v>#N/A</v>
      </c>
      <c r="BM798" s="2" t="str">
        <f t="shared" si="182"/>
        <v xml:space="preserve"> </v>
      </c>
      <c r="BN798" s="2">
        <f t="shared" si="183"/>
        <v>1</v>
      </c>
      <c r="BR798" s="2" t="str">
        <f t="shared" si="184"/>
        <v/>
      </c>
      <c r="BS798" s="2" t="str">
        <f t="shared" si="185"/>
        <v/>
      </c>
      <c r="BV798" s="2" t="e">
        <f>VLOOKUP(O798,GLAPS정리!$BH$2:$BI$94,2,0)</f>
        <v>#N/A</v>
      </c>
      <c r="BW798" s="2" t="str">
        <f>IF(OR(Z798="동원",Z798="세방",Z798="한타"),"",IFERROR(INDEX(GLAPS정리!$BI$2:$BI$101,MATCH(Z798,GLAPS정리!$BH$2:$BH$101,0)),""))</f>
        <v/>
      </c>
      <c r="BX798" s="2" t="str">
        <f>IF(Z798="","",IFERROR(VLOOKUP(Z798,GLAPS정리!$AX$2:$AZ$17,3,0),""))</f>
        <v/>
      </c>
      <c r="BZ798" s="2" t="e">
        <f>VLOOKUP(H798,GLAPS정리!$L$3:$O$133,2,0)</f>
        <v>#N/A</v>
      </c>
      <c r="CA798" s="2" t="str">
        <f t="shared" si="186"/>
        <v/>
      </c>
      <c r="CL798" s="2" t="e">
        <f>VLOOKUP(AI798,GLAPS정리!$BT$3:$BV$26,3,0)</f>
        <v>#N/A</v>
      </c>
    </row>
    <row r="799" spans="2:90" ht="20.45" customHeight="1">
      <c r="B799" s="13"/>
      <c r="G799" s="3"/>
      <c r="J799" s="3"/>
      <c r="Q799" s="3" t="str">
        <f t="shared" si="174"/>
        <v/>
      </c>
      <c r="R799" s="3" t="str">
        <f t="shared" si="175"/>
        <v/>
      </c>
      <c r="S799" s="3" t="str">
        <f t="shared" si="176"/>
        <v/>
      </c>
      <c r="X799" s="13"/>
      <c r="Y799" s="13"/>
      <c r="Z799" s="91"/>
      <c r="AC799" s="2">
        <f t="shared" si="177"/>
        <v>20</v>
      </c>
      <c r="AD799" s="2" t="str">
        <f>IFERROR(INDEX(GLAPS정리!$D$2:$D$50,MATCH(I799,GLAPS정리!$A$2:$A$50,0)),IFERROR(INDEX(GLAPS정리!$D$2:$D$50,MATCH(I799,GLAPS정리!$B$2:$B$50,0)),""))</f>
        <v/>
      </c>
      <c r="AF799" s="2" t="str">
        <f t="shared" si="178"/>
        <v>KR10</v>
      </c>
      <c r="AI799" s="2" t="e">
        <f>VLOOKUP(F799,GLAPS정리!$G$3:$J$114,2,0)</f>
        <v>#N/A</v>
      </c>
      <c r="AJ799" s="2" t="e">
        <f>IF(Z799="울산정일","KRONS",IF(Z799="울산신항","KRUSN",IF(OR(Z799="선광종합물류(인천여객)",Z799="인천여객(인천여객)"),"KRINF",IF(OR(Z799="선광인천보세(인천신)",Z799="한진인천(인천신)",Z799="선광인천신항(인천신)",Z799="인천더로지스(인천신)"),"KRINN",IF(OR(Z799="인천진아(인천항)",Z799="인천E1(인천항)",Z799="인천SM경인터미널(인천항)",Z799="인천항(인천항)",Z799="인천우련(인천항)",Z799="인천항8부두(인천항)"),"KRINC",VLOOKUP(K799,GLAPS정리!$BB$2:$BC$33,2,0))))))</f>
        <v>#N/A</v>
      </c>
      <c r="AL799" s="2">
        <f t="shared" si="179"/>
        <v>5010001</v>
      </c>
      <c r="AN799" s="70" t="str">
        <f t="shared" si="180"/>
        <v>1900-01-00</v>
      </c>
      <c r="AO799" s="2" t="str">
        <f t="shared" si="181"/>
        <v/>
      </c>
      <c r="AP799" s="2" t="e">
        <f>VLOOKUP(C799,GLAPS정리!$AX$2:$AZ$17,3,0)</f>
        <v>#N/A</v>
      </c>
      <c r="AR799" s="2">
        <f t="shared" si="187"/>
        <v>0</v>
      </c>
      <c r="AX799" s="2" t="e">
        <f>VLOOKUP(L799,GLAPS정리!$V$3:$W$180,2,0)</f>
        <v>#N/A</v>
      </c>
      <c r="BM799" s="2" t="str">
        <f t="shared" si="182"/>
        <v xml:space="preserve"> </v>
      </c>
      <c r="BN799" s="2">
        <f t="shared" si="183"/>
        <v>1</v>
      </c>
      <c r="BR799" s="2" t="str">
        <f t="shared" si="184"/>
        <v/>
      </c>
      <c r="BS799" s="2" t="str">
        <f t="shared" si="185"/>
        <v/>
      </c>
      <c r="BV799" s="2" t="e">
        <f>VLOOKUP(O799,GLAPS정리!$BH$2:$BI$94,2,0)</f>
        <v>#N/A</v>
      </c>
      <c r="BW799" s="2" t="str">
        <f>IF(OR(Z799="동원",Z799="세방",Z799="한타"),"",IFERROR(INDEX(GLAPS정리!$BI$2:$BI$101,MATCH(Z799,GLAPS정리!$BH$2:$BH$101,0)),""))</f>
        <v/>
      </c>
      <c r="BX799" s="2" t="str">
        <f>IF(Z799="","",IFERROR(VLOOKUP(Z799,GLAPS정리!$AX$2:$AZ$17,3,0),""))</f>
        <v/>
      </c>
      <c r="BZ799" s="2" t="e">
        <f>VLOOKUP(H799,GLAPS정리!$L$3:$O$133,2,0)</f>
        <v>#N/A</v>
      </c>
      <c r="CA799" s="2" t="str">
        <f t="shared" si="186"/>
        <v/>
      </c>
      <c r="CL799" s="2" t="e">
        <f>VLOOKUP(AI799,GLAPS정리!$BT$3:$BV$26,3,0)</f>
        <v>#N/A</v>
      </c>
    </row>
    <row r="800" spans="2:90" ht="20.45" customHeight="1">
      <c r="B800" s="13"/>
      <c r="G800" s="3"/>
      <c r="J800" s="3"/>
      <c r="Q800" s="3" t="str">
        <f t="shared" si="174"/>
        <v/>
      </c>
      <c r="R800" s="3" t="str">
        <f t="shared" si="175"/>
        <v/>
      </c>
      <c r="S800" s="3" t="str">
        <f t="shared" si="176"/>
        <v/>
      </c>
      <c r="X800" s="13"/>
      <c r="Y800" s="13"/>
      <c r="Z800" s="91"/>
      <c r="AC800" s="2">
        <f t="shared" si="177"/>
        <v>20</v>
      </c>
      <c r="AD800" s="2" t="str">
        <f>IFERROR(INDEX(GLAPS정리!$D$2:$D$50,MATCH(I800,GLAPS정리!$A$2:$A$50,0)),IFERROR(INDEX(GLAPS정리!$D$2:$D$50,MATCH(I800,GLAPS정리!$B$2:$B$50,0)),""))</f>
        <v/>
      </c>
      <c r="AF800" s="2" t="str">
        <f t="shared" si="178"/>
        <v>KR10</v>
      </c>
      <c r="AI800" s="2" t="e">
        <f>VLOOKUP(F800,GLAPS정리!$G$3:$J$114,2,0)</f>
        <v>#N/A</v>
      </c>
      <c r="AJ800" s="2" t="e">
        <f>IF(Z800="울산정일","KRONS",IF(Z800="울산신항","KRUSN",IF(OR(Z800="선광종합물류(인천여객)",Z800="인천여객(인천여객)"),"KRINF",IF(OR(Z800="선광인천보세(인천신)",Z800="한진인천(인천신)",Z800="선광인천신항(인천신)",Z800="인천더로지스(인천신)"),"KRINN",IF(OR(Z800="인천진아(인천항)",Z800="인천E1(인천항)",Z800="인천SM경인터미널(인천항)",Z800="인천항(인천항)",Z800="인천우련(인천항)",Z800="인천항8부두(인천항)"),"KRINC",VLOOKUP(K800,GLAPS정리!$BB$2:$BC$33,2,0))))))</f>
        <v>#N/A</v>
      </c>
      <c r="AL800" s="2">
        <f t="shared" si="179"/>
        <v>5010001</v>
      </c>
      <c r="AN800" s="70" t="str">
        <f t="shared" si="180"/>
        <v>1900-01-00</v>
      </c>
      <c r="AO800" s="2" t="str">
        <f t="shared" si="181"/>
        <v/>
      </c>
      <c r="AP800" s="2" t="e">
        <f>VLOOKUP(C800,GLAPS정리!$AX$2:$AZ$17,3,0)</f>
        <v>#N/A</v>
      </c>
      <c r="AR800" s="2">
        <f t="shared" si="187"/>
        <v>0</v>
      </c>
      <c r="AX800" s="2" t="e">
        <f>VLOOKUP(L800,GLAPS정리!$V$3:$W$180,2,0)</f>
        <v>#N/A</v>
      </c>
      <c r="BM800" s="2" t="str">
        <f t="shared" si="182"/>
        <v xml:space="preserve"> </v>
      </c>
      <c r="BN800" s="2">
        <f t="shared" si="183"/>
        <v>1</v>
      </c>
      <c r="BR800" s="2" t="str">
        <f t="shared" si="184"/>
        <v/>
      </c>
      <c r="BS800" s="2" t="str">
        <f t="shared" si="185"/>
        <v/>
      </c>
      <c r="BV800" s="2" t="e">
        <f>VLOOKUP(O800,GLAPS정리!$BH$2:$BI$94,2,0)</f>
        <v>#N/A</v>
      </c>
      <c r="BW800" s="2" t="str">
        <f>IF(OR(Z800="동원",Z800="세방",Z800="한타"),"",IFERROR(INDEX(GLAPS정리!$BI$2:$BI$101,MATCH(Z800,GLAPS정리!$BH$2:$BH$101,0)),""))</f>
        <v/>
      </c>
      <c r="BX800" s="2" t="str">
        <f>IF(Z800="","",IFERROR(VLOOKUP(Z800,GLAPS정리!$AX$2:$AZ$17,3,0),""))</f>
        <v/>
      </c>
      <c r="BZ800" s="2" t="e">
        <f>VLOOKUP(H800,GLAPS정리!$L$3:$O$133,2,0)</f>
        <v>#N/A</v>
      </c>
      <c r="CA800" s="2" t="str">
        <f t="shared" si="186"/>
        <v/>
      </c>
      <c r="CL800" s="2" t="e">
        <f>VLOOKUP(AI800,GLAPS정리!$BT$3:$BV$26,3,0)</f>
        <v>#N/A</v>
      </c>
    </row>
    <row r="801" spans="2:90" ht="20.45" customHeight="1">
      <c r="B801" s="13"/>
      <c r="G801" s="3"/>
      <c r="J801" s="3"/>
      <c r="Q801" s="3" t="str">
        <f t="shared" si="174"/>
        <v/>
      </c>
      <c r="R801" s="3" t="str">
        <f t="shared" si="175"/>
        <v/>
      </c>
      <c r="S801" s="3" t="str">
        <f t="shared" si="176"/>
        <v/>
      </c>
      <c r="X801" s="13"/>
      <c r="Y801" s="13"/>
      <c r="Z801" s="91"/>
      <c r="AC801" s="2">
        <f t="shared" si="177"/>
        <v>20</v>
      </c>
      <c r="AD801" s="2" t="str">
        <f>IFERROR(INDEX(GLAPS정리!$D$2:$D$50,MATCH(I801,GLAPS정리!$A$2:$A$50,0)),IFERROR(INDEX(GLAPS정리!$D$2:$D$50,MATCH(I801,GLAPS정리!$B$2:$B$50,0)),""))</f>
        <v/>
      </c>
      <c r="AF801" s="2" t="str">
        <f t="shared" si="178"/>
        <v>KR10</v>
      </c>
      <c r="AI801" s="2" t="e">
        <f>VLOOKUP(F801,GLAPS정리!$G$3:$J$114,2,0)</f>
        <v>#N/A</v>
      </c>
      <c r="AJ801" s="2" t="e">
        <f>IF(Z801="울산정일","KRONS",IF(Z801="울산신항","KRUSN",IF(OR(Z801="선광종합물류(인천여객)",Z801="인천여객(인천여객)"),"KRINF",IF(OR(Z801="선광인천보세(인천신)",Z801="한진인천(인천신)",Z801="선광인천신항(인천신)",Z801="인천더로지스(인천신)"),"KRINN",IF(OR(Z801="인천진아(인천항)",Z801="인천E1(인천항)",Z801="인천SM경인터미널(인천항)",Z801="인천항(인천항)",Z801="인천우련(인천항)",Z801="인천항8부두(인천항)"),"KRINC",VLOOKUP(K801,GLAPS정리!$BB$2:$BC$33,2,0))))))</f>
        <v>#N/A</v>
      </c>
      <c r="AL801" s="2">
        <f t="shared" si="179"/>
        <v>5010001</v>
      </c>
      <c r="AN801" s="70" t="str">
        <f t="shared" si="180"/>
        <v>1900-01-00</v>
      </c>
      <c r="AO801" s="2" t="str">
        <f t="shared" si="181"/>
        <v/>
      </c>
      <c r="AP801" s="2" t="e">
        <f>VLOOKUP(C801,GLAPS정리!$AX$2:$AZ$17,3,0)</f>
        <v>#N/A</v>
      </c>
      <c r="AR801" s="2">
        <f t="shared" si="187"/>
        <v>0</v>
      </c>
      <c r="AX801" s="2" t="e">
        <f>VLOOKUP(L801,GLAPS정리!$V$3:$W$180,2,0)</f>
        <v>#N/A</v>
      </c>
      <c r="BM801" s="2" t="str">
        <f t="shared" si="182"/>
        <v xml:space="preserve"> </v>
      </c>
      <c r="BN801" s="2">
        <f t="shared" si="183"/>
        <v>1</v>
      </c>
      <c r="BR801" s="2" t="str">
        <f t="shared" si="184"/>
        <v/>
      </c>
      <c r="BS801" s="2" t="str">
        <f t="shared" si="185"/>
        <v/>
      </c>
      <c r="BV801" s="2" t="e">
        <f>VLOOKUP(O801,GLAPS정리!$BH$2:$BI$94,2,0)</f>
        <v>#N/A</v>
      </c>
      <c r="BW801" s="2" t="str">
        <f>IF(OR(Z801="동원",Z801="세방",Z801="한타"),"",IFERROR(INDEX(GLAPS정리!$BI$2:$BI$101,MATCH(Z801,GLAPS정리!$BH$2:$BH$101,0)),""))</f>
        <v/>
      </c>
      <c r="BX801" s="2" t="str">
        <f>IF(Z801="","",IFERROR(VLOOKUP(Z801,GLAPS정리!$AX$2:$AZ$17,3,0),""))</f>
        <v/>
      </c>
      <c r="BZ801" s="2" t="e">
        <f>VLOOKUP(H801,GLAPS정리!$L$3:$O$133,2,0)</f>
        <v>#N/A</v>
      </c>
      <c r="CA801" s="2" t="str">
        <f t="shared" si="186"/>
        <v/>
      </c>
      <c r="CL801" s="2" t="e">
        <f>VLOOKUP(AI801,GLAPS정리!$BT$3:$BV$26,3,0)</f>
        <v>#N/A</v>
      </c>
    </row>
    <row r="802" spans="2:90" ht="20.45" customHeight="1">
      <c r="B802" s="13"/>
      <c r="G802" s="3"/>
      <c r="J802" s="3"/>
      <c r="Q802" s="3" t="str">
        <f t="shared" si="174"/>
        <v/>
      </c>
      <c r="R802" s="3" t="str">
        <f t="shared" si="175"/>
        <v/>
      </c>
      <c r="S802" s="3" t="str">
        <f t="shared" si="176"/>
        <v/>
      </c>
      <c r="X802" s="13"/>
      <c r="Y802" s="13"/>
      <c r="Z802" s="91"/>
      <c r="AC802" s="2">
        <f t="shared" si="177"/>
        <v>20</v>
      </c>
      <c r="AD802" s="2" t="str">
        <f>IFERROR(INDEX(GLAPS정리!$D$2:$D$50,MATCH(I802,GLAPS정리!$A$2:$A$50,0)),IFERROR(INDEX(GLAPS정리!$D$2:$D$50,MATCH(I802,GLAPS정리!$B$2:$B$50,0)),""))</f>
        <v/>
      </c>
      <c r="AF802" s="2" t="str">
        <f t="shared" si="178"/>
        <v>KR10</v>
      </c>
      <c r="AI802" s="2" t="e">
        <f>VLOOKUP(F802,GLAPS정리!$G$3:$J$114,2,0)</f>
        <v>#N/A</v>
      </c>
      <c r="AJ802" s="2" t="e">
        <f>IF(Z802="울산정일","KRONS",IF(Z802="울산신항","KRUSN",IF(OR(Z802="선광종합물류(인천여객)",Z802="인천여객(인천여객)"),"KRINF",IF(OR(Z802="선광인천보세(인천신)",Z802="한진인천(인천신)",Z802="선광인천신항(인천신)",Z802="인천더로지스(인천신)"),"KRINN",IF(OR(Z802="인천진아(인천항)",Z802="인천E1(인천항)",Z802="인천SM경인터미널(인천항)",Z802="인천항(인천항)",Z802="인천우련(인천항)",Z802="인천항8부두(인천항)"),"KRINC",VLOOKUP(K802,GLAPS정리!$BB$2:$BC$33,2,0))))))</f>
        <v>#N/A</v>
      </c>
      <c r="AL802" s="2">
        <f t="shared" si="179"/>
        <v>5010001</v>
      </c>
      <c r="AN802" s="70" t="str">
        <f t="shared" si="180"/>
        <v>1900-01-00</v>
      </c>
      <c r="AO802" s="2" t="str">
        <f t="shared" si="181"/>
        <v/>
      </c>
      <c r="AP802" s="2" t="e">
        <f>VLOOKUP(C802,GLAPS정리!$AX$2:$AZ$17,3,0)</f>
        <v>#N/A</v>
      </c>
      <c r="AR802" s="2">
        <f t="shared" si="187"/>
        <v>0</v>
      </c>
      <c r="AX802" s="2" t="e">
        <f>VLOOKUP(L802,GLAPS정리!$V$3:$W$180,2,0)</f>
        <v>#N/A</v>
      </c>
      <c r="BM802" s="2" t="str">
        <f t="shared" si="182"/>
        <v xml:space="preserve"> </v>
      </c>
      <c r="BN802" s="2">
        <f t="shared" si="183"/>
        <v>1</v>
      </c>
      <c r="BR802" s="2" t="str">
        <f t="shared" si="184"/>
        <v/>
      </c>
      <c r="BS802" s="2" t="str">
        <f t="shared" si="185"/>
        <v/>
      </c>
      <c r="BV802" s="2" t="e">
        <f>VLOOKUP(O802,GLAPS정리!$BH$2:$BI$94,2,0)</f>
        <v>#N/A</v>
      </c>
      <c r="BW802" s="2" t="str">
        <f>IF(OR(Z802="동원",Z802="세방",Z802="한타"),"",IFERROR(INDEX(GLAPS정리!$BI$2:$BI$101,MATCH(Z802,GLAPS정리!$BH$2:$BH$101,0)),""))</f>
        <v/>
      </c>
      <c r="BX802" s="2" t="str">
        <f>IF(Z802="","",IFERROR(VLOOKUP(Z802,GLAPS정리!$AX$2:$AZ$17,3,0),""))</f>
        <v/>
      </c>
      <c r="BZ802" s="2" t="e">
        <f>VLOOKUP(H802,GLAPS정리!$L$3:$O$133,2,0)</f>
        <v>#N/A</v>
      </c>
      <c r="CA802" s="2" t="str">
        <f t="shared" si="186"/>
        <v/>
      </c>
      <c r="CL802" s="2" t="e">
        <f>VLOOKUP(AI802,GLAPS정리!$BT$3:$BV$26,3,0)</f>
        <v>#N/A</v>
      </c>
    </row>
    <row r="803" spans="2:90" ht="20.45" customHeight="1">
      <c r="B803" s="13"/>
      <c r="G803" s="3"/>
      <c r="J803" s="3"/>
      <c r="Q803" s="3" t="str">
        <f t="shared" si="174"/>
        <v/>
      </c>
      <c r="R803" s="3" t="str">
        <f t="shared" si="175"/>
        <v/>
      </c>
      <c r="S803" s="3" t="str">
        <f t="shared" si="176"/>
        <v/>
      </c>
      <c r="X803" s="13"/>
      <c r="Y803" s="13"/>
      <c r="Z803" s="91"/>
      <c r="AC803" s="2">
        <f t="shared" si="177"/>
        <v>20</v>
      </c>
      <c r="AD803" s="2" t="str">
        <f>IFERROR(INDEX(GLAPS정리!$D$2:$D$50,MATCH(I803,GLAPS정리!$A$2:$A$50,0)),IFERROR(INDEX(GLAPS정리!$D$2:$D$50,MATCH(I803,GLAPS정리!$B$2:$B$50,0)),""))</f>
        <v/>
      </c>
      <c r="AF803" s="2" t="str">
        <f t="shared" si="178"/>
        <v>KR10</v>
      </c>
      <c r="AI803" s="2" t="e">
        <f>VLOOKUP(F803,GLAPS정리!$G$3:$J$114,2,0)</f>
        <v>#N/A</v>
      </c>
      <c r="AJ803" s="2" t="e">
        <f>IF(Z803="울산정일","KRONS",IF(Z803="울산신항","KRUSN",IF(OR(Z803="선광종합물류(인천여객)",Z803="인천여객(인천여객)"),"KRINF",IF(OR(Z803="선광인천보세(인천신)",Z803="한진인천(인천신)",Z803="선광인천신항(인천신)",Z803="인천더로지스(인천신)"),"KRINN",IF(OR(Z803="인천진아(인천항)",Z803="인천E1(인천항)",Z803="인천SM경인터미널(인천항)",Z803="인천항(인천항)",Z803="인천우련(인천항)",Z803="인천항8부두(인천항)"),"KRINC",VLOOKUP(K803,GLAPS정리!$BB$2:$BC$33,2,0))))))</f>
        <v>#N/A</v>
      </c>
      <c r="AL803" s="2">
        <f t="shared" si="179"/>
        <v>5010001</v>
      </c>
      <c r="AN803" s="70" t="str">
        <f t="shared" si="180"/>
        <v>1900-01-00</v>
      </c>
      <c r="AO803" s="2" t="str">
        <f t="shared" si="181"/>
        <v/>
      </c>
      <c r="AP803" s="2" t="e">
        <f>VLOOKUP(C803,GLAPS정리!$AX$2:$AZ$17,3,0)</f>
        <v>#N/A</v>
      </c>
      <c r="AR803" s="2">
        <f t="shared" si="187"/>
        <v>0</v>
      </c>
      <c r="AX803" s="2" t="e">
        <f>VLOOKUP(L803,GLAPS정리!$V$3:$W$180,2,0)</f>
        <v>#N/A</v>
      </c>
      <c r="BM803" s="2" t="str">
        <f t="shared" si="182"/>
        <v xml:space="preserve"> </v>
      </c>
      <c r="BN803" s="2">
        <f t="shared" si="183"/>
        <v>1</v>
      </c>
      <c r="BR803" s="2" t="str">
        <f t="shared" si="184"/>
        <v/>
      </c>
      <c r="BS803" s="2" t="str">
        <f t="shared" si="185"/>
        <v/>
      </c>
      <c r="BV803" s="2" t="e">
        <f>VLOOKUP(O803,GLAPS정리!$BH$2:$BI$94,2,0)</f>
        <v>#N/A</v>
      </c>
      <c r="BW803" s="2" t="str">
        <f>IF(OR(Z803="동원",Z803="세방",Z803="한타"),"",IFERROR(INDEX(GLAPS정리!$BI$2:$BI$101,MATCH(Z803,GLAPS정리!$BH$2:$BH$101,0)),""))</f>
        <v/>
      </c>
      <c r="BX803" s="2" t="str">
        <f>IF(Z803="","",IFERROR(VLOOKUP(Z803,GLAPS정리!$AX$2:$AZ$17,3,0),""))</f>
        <v/>
      </c>
      <c r="BZ803" s="2" t="e">
        <f>VLOOKUP(H803,GLAPS정리!$L$3:$O$133,2,0)</f>
        <v>#N/A</v>
      </c>
      <c r="CA803" s="2" t="str">
        <f t="shared" si="186"/>
        <v/>
      </c>
      <c r="CL803" s="2" t="e">
        <f>VLOOKUP(AI803,GLAPS정리!$BT$3:$BV$26,3,0)</f>
        <v>#N/A</v>
      </c>
    </row>
    <row r="804" spans="2:90" ht="20.45" customHeight="1">
      <c r="B804" s="13"/>
      <c r="G804" s="3"/>
      <c r="J804" s="3"/>
      <c r="Q804" s="3" t="str">
        <f t="shared" si="174"/>
        <v/>
      </c>
      <c r="R804" s="3" t="str">
        <f t="shared" si="175"/>
        <v/>
      </c>
      <c r="S804" s="3" t="str">
        <f t="shared" si="176"/>
        <v/>
      </c>
      <c r="X804" s="13"/>
      <c r="Y804" s="13"/>
      <c r="Z804" s="91"/>
      <c r="AC804" s="2">
        <f t="shared" si="177"/>
        <v>20</v>
      </c>
      <c r="AD804" s="2" t="str">
        <f>IFERROR(INDEX(GLAPS정리!$D$2:$D$50,MATCH(I804,GLAPS정리!$A$2:$A$50,0)),IFERROR(INDEX(GLAPS정리!$D$2:$D$50,MATCH(I804,GLAPS정리!$B$2:$B$50,0)),""))</f>
        <v/>
      </c>
      <c r="AF804" s="2" t="str">
        <f t="shared" si="178"/>
        <v>KR10</v>
      </c>
      <c r="AI804" s="2" t="e">
        <f>VLOOKUP(F804,GLAPS정리!$G$3:$J$114,2,0)</f>
        <v>#N/A</v>
      </c>
      <c r="AJ804" s="2" t="e">
        <f>IF(Z804="울산정일","KRONS",IF(Z804="울산신항","KRUSN",IF(OR(Z804="선광종합물류(인천여객)",Z804="인천여객(인천여객)"),"KRINF",IF(OR(Z804="선광인천보세(인천신)",Z804="한진인천(인천신)",Z804="선광인천신항(인천신)",Z804="인천더로지스(인천신)"),"KRINN",IF(OR(Z804="인천진아(인천항)",Z804="인천E1(인천항)",Z804="인천SM경인터미널(인천항)",Z804="인천항(인천항)",Z804="인천우련(인천항)",Z804="인천항8부두(인천항)"),"KRINC",VLOOKUP(K804,GLAPS정리!$BB$2:$BC$33,2,0))))))</f>
        <v>#N/A</v>
      </c>
      <c r="AL804" s="2">
        <f t="shared" si="179"/>
        <v>5010001</v>
      </c>
      <c r="AN804" s="70" t="str">
        <f t="shared" si="180"/>
        <v>1900-01-00</v>
      </c>
      <c r="AO804" s="2" t="str">
        <f t="shared" si="181"/>
        <v/>
      </c>
      <c r="AP804" s="2" t="e">
        <f>VLOOKUP(C804,GLAPS정리!$AX$2:$AZ$17,3,0)</f>
        <v>#N/A</v>
      </c>
      <c r="AR804" s="2">
        <f t="shared" si="187"/>
        <v>0</v>
      </c>
      <c r="AX804" s="2" t="e">
        <f>VLOOKUP(L804,GLAPS정리!$V$3:$W$180,2,0)</f>
        <v>#N/A</v>
      </c>
      <c r="BM804" s="2" t="str">
        <f t="shared" si="182"/>
        <v xml:space="preserve"> </v>
      </c>
      <c r="BN804" s="2">
        <f t="shared" si="183"/>
        <v>1</v>
      </c>
      <c r="BR804" s="2" t="str">
        <f t="shared" si="184"/>
        <v/>
      </c>
      <c r="BS804" s="2" t="str">
        <f t="shared" si="185"/>
        <v/>
      </c>
      <c r="BV804" s="2" t="e">
        <f>VLOOKUP(O804,GLAPS정리!$BH$2:$BI$94,2,0)</f>
        <v>#N/A</v>
      </c>
      <c r="BW804" s="2" t="str">
        <f>IF(OR(Z804="동원",Z804="세방",Z804="한타"),"",IFERROR(INDEX(GLAPS정리!$BI$2:$BI$101,MATCH(Z804,GLAPS정리!$BH$2:$BH$101,0)),""))</f>
        <v/>
      </c>
      <c r="BX804" s="2" t="str">
        <f>IF(Z804="","",IFERROR(VLOOKUP(Z804,GLAPS정리!$AX$2:$AZ$17,3,0),""))</f>
        <v/>
      </c>
      <c r="BZ804" s="2" t="e">
        <f>VLOOKUP(H804,GLAPS정리!$L$3:$O$133,2,0)</f>
        <v>#N/A</v>
      </c>
      <c r="CA804" s="2" t="str">
        <f t="shared" si="186"/>
        <v/>
      </c>
      <c r="CL804" s="2" t="e">
        <f>VLOOKUP(AI804,GLAPS정리!$BT$3:$BV$26,3,0)</f>
        <v>#N/A</v>
      </c>
    </row>
    <row r="805" spans="2:90" ht="20.45" customHeight="1">
      <c r="B805" s="13"/>
      <c r="G805" s="3"/>
      <c r="J805" s="3"/>
      <c r="Q805" s="3" t="str">
        <f t="shared" si="174"/>
        <v/>
      </c>
      <c r="R805" s="3" t="str">
        <f t="shared" si="175"/>
        <v/>
      </c>
      <c r="S805" s="3" t="str">
        <f t="shared" si="176"/>
        <v/>
      </c>
      <c r="X805" s="13"/>
      <c r="Y805" s="13"/>
      <c r="Z805" s="91"/>
      <c r="AC805" s="2">
        <f t="shared" si="177"/>
        <v>20</v>
      </c>
      <c r="AD805" s="2" t="str">
        <f>IFERROR(INDEX(GLAPS정리!$D$2:$D$50,MATCH(I805,GLAPS정리!$A$2:$A$50,0)),IFERROR(INDEX(GLAPS정리!$D$2:$D$50,MATCH(I805,GLAPS정리!$B$2:$B$50,0)),""))</f>
        <v/>
      </c>
      <c r="AF805" s="2" t="str">
        <f t="shared" si="178"/>
        <v>KR10</v>
      </c>
      <c r="AI805" s="2" t="e">
        <f>VLOOKUP(F805,GLAPS정리!$G$3:$J$114,2,0)</f>
        <v>#N/A</v>
      </c>
      <c r="AJ805" s="2" t="e">
        <f>IF(Z805="울산정일","KRONS",IF(Z805="울산신항","KRUSN",IF(OR(Z805="선광종합물류(인천여객)",Z805="인천여객(인천여객)"),"KRINF",IF(OR(Z805="선광인천보세(인천신)",Z805="한진인천(인천신)",Z805="선광인천신항(인천신)",Z805="인천더로지스(인천신)"),"KRINN",IF(OR(Z805="인천진아(인천항)",Z805="인천E1(인천항)",Z805="인천SM경인터미널(인천항)",Z805="인천항(인천항)",Z805="인천우련(인천항)",Z805="인천항8부두(인천항)"),"KRINC",VLOOKUP(K805,GLAPS정리!$BB$2:$BC$33,2,0))))))</f>
        <v>#N/A</v>
      </c>
      <c r="AL805" s="2">
        <f t="shared" si="179"/>
        <v>5010001</v>
      </c>
      <c r="AN805" s="70" t="str">
        <f t="shared" si="180"/>
        <v>1900-01-00</v>
      </c>
      <c r="AO805" s="2" t="str">
        <f t="shared" si="181"/>
        <v/>
      </c>
      <c r="AP805" s="2" t="e">
        <f>VLOOKUP(C805,GLAPS정리!$AX$2:$AZ$17,3,0)</f>
        <v>#N/A</v>
      </c>
      <c r="AR805" s="2">
        <f t="shared" si="187"/>
        <v>0</v>
      </c>
      <c r="AX805" s="2" t="e">
        <f>VLOOKUP(L805,GLAPS정리!$V$3:$W$180,2,0)</f>
        <v>#N/A</v>
      </c>
      <c r="BM805" s="2" t="str">
        <f t="shared" si="182"/>
        <v xml:space="preserve"> </v>
      </c>
      <c r="BN805" s="2">
        <f t="shared" si="183"/>
        <v>1</v>
      </c>
      <c r="BR805" s="2" t="str">
        <f t="shared" si="184"/>
        <v/>
      </c>
      <c r="BS805" s="2" t="str">
        <f t="shared" si="185"/>
        <v/>
      </c>
      <c r="BV805" s="2" t="e">
        <f>VLOOKUP(O805,GLAPS정리!$BH$2:$BI$94,2,0)</f>
        <v>#N/A</v>
      </c>
      <c r="BW805" s="2" t="str">
        <f>IF(OR(Z805="동원",Z805="세방",Z805="한타"),"",IFERROR(INDEX(GLAPS정리!$BI$2:$BI$101,MATCH(Z805,GLAPS정리!$BH$2:$BH$101,0)),""))</f>
        <v/>
      </c>
      <c r="BX805" s="2" t="str">
        <f>IF(Z805="","",IFERROR(VLOOKUP(Z805,GLAPS정리!$AX$2:$AZ$17,3,0),""))</f>
        <v/>
      </c>
      <c r="BZ805" s="2" t="e">
        <f>VLOOKUP(H805,GLAPS정리!$L$3:$O$133,2,0)</f>
        <v>#N/A</v>
      </c>
      <c r="CA805" s="2" t="str">
        <f t="shared" si="186"/>
        <v/>
      </c>
      <c r="CL805" s="2" t="e">
        <f>VLOOKUP(AI805,GLAPS정리!$BT$3:$BV$26,3,0)</f>
        <v>#N/A</v>
      </c>
    </row>
    <row r="806" spans="2:90" ht="20.45" customHeight="1">
      <c r="B806" s="13"/>
      <c r="G806" s="3"/>
      <c r="J806" s="3"/>
      <c r="Q806" s="3" t="str">
        <f t="shared" si="174"/>
        <v/>
      </c>
      <c r="R806" s="3" t="str">
        <f t="shared" si="175"/>
        <v/>
      </c>
      <c r="S806" s="3" t="str">
        <f t="shared" si="176"/>
        <v/>
      </c>
      <c r="X806" s="13"/>
      <c r="Y806" s="13"/>
      <c r="Z806" s="91"/>
      <c r="AC806" s="2">
        <f t="shared" si="177"/>
        <v>20</v>
      </c>
      <c r="AD806" s="2" t="str">
        <f>IFERROR(INDEX(GLAPS정리!$D$2:$D$50,MATCH(I806,GLAPS정리!$A$2:$A$50,0)),IFERROR(INDEX(GLAPS정리!$D$2:$D$50,MATCH(I806,GLAPS정리!$B$2:$B$50,0)),""))</f>
        <v/>
      </c>
      <c r="AF806" s="2" t="str">
        <f t="shared" si="178"/>
        <v>KR10</v>
      </c>
      <c r="AI806" s="2" t="e">
        <f>VLOOKUP(F806,GLAPS정리!$G$3:$J$114,2,0)</f>
        <v>#N/A</v>
      </c>
      <c r="AJ806" s="2" t="e">
        <f>IF(Z806="울산정일","KRONS",IF(Z806="울산신항","KRUSN",IF(OR(Z806="선광종합물류(인천여객)",Z806="인천여객(인천여객)"),"KRINF",IF(OR(Z806="선광인천보세(인천신)",Z806="한진인천(인천신)",Z806="선광인천신항(인천신)",Z806="인천더로지스(인천신)"),"KRINN",IF(OR(Z806="인천진아(인천항)",Z806="인천E1(인천항)",Z806="인천SM경인터미널(인천항)",Z806="인천항(인천항)",Z806="인천우련(인천항)",Z806="인천항8부두(인천항)"),"KRINC",VLOOKUP(K806,GLAPS정리!$BB$2:$BC$33,2,0))))))</f>
        <v>#N/A</v>
      </c>
      <c r="AL806" s="2">
        <f t="shared" si="179"/>
        <v>5010001</v>
      </c>
      <c r="AN806" s="70" t="str">
        <f t="shared" si="180"/>
        <v>1900-01-00</v>
      </c>
      <c r="AO806" s="2" t="str">
        <f t="shared" si="181"/>
        <v/>
      </c>
      <c r="AP806" s="2" t="e">
        <f>VLOOKUP(C806,GLAPS정리!$AX$2:$AZ$17,3,0)</f>
        <v>#N/A</v>
      </c>
      <c r="AR806" s="2">
        <f t="shared" si="187"/>
        <v>0</v>
      </c>
      <c r="AX806" s="2" t="e">
        <f>VLOOKUP(L806,GLAPS정리!$V$3:$W$180,2,0)</f>
        <v>#N/A</v>
      </c>
      <c r="BM806" s="2" t="str">
        <f t="shared" si="182"/>
        <v xml:space="preserve"> </v>
      </c>
      <c r="BN806" s="2">
        <f t="shared" si="183"/>
        <v>1</v>
      </c>
      <c r="BR806" s="2" t="str">
        <f t="shared" si="184"/>
        <v/>
      </c>
      <c r="BS806" s="2" t="str">
        <f t="shared" si="185"/>
        <v/>
      </c>
      <c r="BV806" s="2" t="e">
        <f>VLOOKUP(O806,GLAPS정리!$BH$2:$BI$94,2,0)</f>
        <v>#N/A</v>
      </c>
      <c r="BW806" s="2" t="str">
        <f>IF(OR(Z806="동원",Z806="세방",Z806="한타"),"",IFERROR(INDEX(GLAPS정리!$BI$2:$BI$101,MATCH(Z806,GLAPS정리!$BH$2:$BH$101,0)),""))</f>
        <v/>
      </c>
      <c r="BX806" s="2" t="str">
        <f>IF(Z806="","",IFERROR(VLOOKUP(Z806,GLAPS정리!$AX$2:$AZ$17,3,0),""))</f>
        <v/>
      </c>
      <c r="BZ806" s="2" t="e">
        <f>VLOOKUP(H806,GLAPS정리!$L$3:$O$133,2,0)</f>
        <v>#N/A</v>
      </c>
      <c r="CA806" s="2" t="str">
        <f t="shared" si="186"/>
        <v/>
      </c>
      <c r="CL806" s="2" t="e">
        <f>VLOOKUP(AI806,GLAPS정리!$BT$3:$BV$26,3,0)</f>
        <v>#N/A</v>
      </c>
    </row>
    <row r="807" spans="2:90" ht="20.45" customHeight="1">
      <c r="B807" s="13"/>
      <c r="G807" s="3"/>
      <c r="J807" s="3"/>
      <c r="Q807" s="3" t="str">
        <f t="shared" si="174"/>
        <v/>
      </c>
      <c r="R807" s="3" t="str">
        <f t="shared" si="175"/>
        <v/>
      </c>
      <c r="S807" s="3" t="str">
        <f t="shared" si="176"/>
        <v/>
      </c>
      <c r="X807" s="13"/>
      <c r="Y807" s="13"/>
      <c r="Z807" s="91"/>
      <c r="AC807" s="2">
        <f t="shared" si="177"/>
        <v>20</v>
      </c>
      <c r="AD807" s="2" t="str">
        <f>IFERROR(INDEX(GLAPS정리!$D$2:$D$50,MATCH(I807,GLAPS정리!$A$2:$A$50,0)),IFERROR(INDEX(GLAPS정리!$D$2:$D$50,MATCH(I807,GLAPS정리!$B$2:$B$50,0)),""))</f>
        <v/>
      </c>
      <c r="AF807" s="2" t="str">
        <f t="shared" si="178"/>
        <v>KR10</v>
      </c>
      <c r="AI807" s="2" t="e">
        <f>VLOOKUP(F807,GLAPS정리!$G$3:$J$114,2,0)</f>
        <v>#N/A</v>
      </c>
      <c r="AJ807" s="2" t="e">
        <f>IF(Z807="울산정일","KRONS",IF(Z807="울산신항","KRUSN",IF(OR(Z807="선광종합물류(인천여객)",Z807="인천여객(인천여객)"),"KRINF",IF(OR(Z807="선광인천보세(인천신)",Z807="한진인천(인천신)",Z807="선광인천신항(인천신)",Z807="인천더로지스(인천신)"),"KRINN",IF(OR(Z807="인천진아(인천항)",Z807="인천E1(인천항)",Z807="인천SM경인터미널(인천항)",Z807="인천항(인천항)",Z807="인천우련(인천항)",Z807="인천항8부두(인천항)"),"KRINC",VLOOKUP(K807,GLAPS정리!$BB$2:$BC$33,2,0))))))</f>
        <v>#N/A</v>
      </c>
      <c r="AL807" s="2">
        <f t="shared" si="179"/>
        <v>5010001</v>
      </c>
      <c r="AN807" s="70" t="str">
        <f t="shared" si="180"/>
        <v>1900-01-00</v>
      </c>
      <c r="AO807" s="2" t="str">
        <f t="shared" si="181"/>
        <v/>
      </c>
      <c r="AP807" s="2" t="e">
        <f>VLOOKUP(C807,GLAPS정리!$AX$2:$AZ$17,3,0)</f>
        <v>#N/A</v>
      </c>
      <c r="AR807" s="2">
        <f t="shared" si="187"/>
        <v>0</v>
      </c>
      <c r="AX807" s="2" t="e">
        <f>VLOOKUP(L807,GLAPS정리!$V$3:$W$180,2,0)</f>
        <v>#N/A</v>
      </c>
      <c r="BM807" s="2" t="str">
        <f t="shared" si="182"/>
        <v xml:space="preserve"> </v>
      </c>
      <c r="BN807" s="2">
        <f t="shared" si="183"/>
        <v>1</v>
      </c>
      <c r="BR807" s="2" t="str">
        <f t="shared" si="184"/>
        <v/>
      </c>
      <c r="BS807" s="2" t="str">
        <f t="shared" si="185"/>
        <v/>
      </c>
      <c r="BV807" s="2" t="e">
        <f>VLOOKUP(O807,GLAPS정리!$BH$2:$BI$94,2,0)</f>
        <v>#N/A</v>
      </c>
      <c r="BW807" s="2" t="str">
        <f>IF(OR(Z807="동원",Z807="세방",Z807="한타"),"",IFERROR(INDEX(GLAPS정리!$BI$2:$BI$101,MATCH(Z807,GLAPS정리!$BH$2:$BH$101,0)),""))</f>
        <v/>
      </c>
      <c r="BX807" s="2" t="str">
        <f>IF(Z807="","",IFERROR(VLOOKUP(Z807,GLAPS정리!$AX$2:$AZ$17,3,0),""))</f>
        <v/>
      </c>
      <c r="BZ807" s="2" t="e">
        <f>VLOOKUP(H807,GLAPS정리!$L$3:$O$133,2,0)</f>
        <v>#N/A</v>
      </c>
      <c r="CA807" s="2" t="str">
        <f t="shared" si="186"/>
        <v/>
      </c>
      <c r="CL807" s="2" t="e">
        <f>VLOOKUP(AI807,GLAPS정리!$BT$3:$BV$26,3,0)</f>
        <v>#N/A</v>
      </c>
    </row>
    <row r="808" spans="2:90" ht="20.45" customHeight="1">
      <c r="B808" s="13"/>
      <c r="G808" s="3"/>
      <c r="J808" s="3"/>
      <c r="Q808" s="3" t="str">
        <f t="shared" si="174"/>
        <v/>
      </c>
      <c r="R808" s="3" t="str">
        <f t="shared" si="175"/>
        <v/>
      </c>
      <c r="S808" s="3" t="str">
        <f t="shared" si="176"/>
        <v/>
      </c>
      <c r="X808" s="13"/>
      <c r="Y808" s="13"/>
      <c r="Z808" s="91"/>
      <c r="AC808" s="2">
        <f t="shared" si="177"/>
        <v>20</v>
      </c>
      <c r="AD808" s="2" t="str">
        <f>IFERROR(INDEX(GLAPS정리!$D$2:$D$50,MATCH(I808,GLAPS정리!$A$2:$A$50,0)),IFERROR(INDEX(GLAPS정리!$D$2:$D$50,MATCH(I808,GLAPS정리!$B$2:$B$50,0)),""))</f>
        <v/>
      </c>
      <c r="AF808" s="2" t="str">
        <f t="shared" si="178"/>
        <v>KR10</v>
      </c>
      <c r="AI808" s="2" t="e">
        <f>VLOOKUP(F808,GLAPS정리!$G$3:$J$114,2,0)</f>
        <v>#N/A</v>
      </c>
      <c r="AJ808" s="2" t="e">
        <f>IF(Z808="울산정일","KRONS",IF(Z808="울산신항","KRUSN",IF(OR(Z808="선광종합물류(인천여객)",Z808="인천여객(인천여객)"),"KRINF",IF(OR(Z808="선광인천보세(인천신)",Z808="한진인천(인천신)",Z808="선광인천신항(인천신)",Z808="인천더로지스(인천신)"),"KRINN",IF(OR(Z808="인천진아(인천항)",Z808="인천E1(인천항)",Z808="인천SM경인터미널(인천항)",Z808="인천항(인천항)",Z808="인천우련(인천항)",Z808="인천항8부두(인천항)"),"KRINC",VLOOKUP(K808,GLAPS정리!$BB$2:$BC$33,2,0))))))</f>
        <v>#N/A</v>
      </c>
      <c r="AL808" s="2">
        <f t="shared" si="179"/>
        <v>5010001</v>
      </c>
      <c r="AN808" s="70" t="str">
        <f t="shared" si="180"/>
        <v>1900-01-00</v>
      </c>
      <c r="AO808" s="2" t="str">
        <f t="shared" si="181"/>
        <v/>
      </c>
      <c r="AP808" s="2" t="e">
        <f>VLOOKUP(C808,GLAPS정리!$AX$2:$AZ$17,3,0)</f>
        <v>#N/A</v>
      </c>
      <c r="AR808" s="2">
        <f t="shared" si="187"/>
        <v>0</v>
      </c>
      <c r="AX808" s="2" t="e">
        <f>VLOOKUP(L808,GLAPS정리!$V$3:$W$180,2,0)</f>
        <v>#N/A</v>
      </c>
      <c r="BM808" s="2" t="str">
        <f t="shared" si="182"/>
        <v xml:space="preserve"> </v>
      </c>
      <c r="BN808" s="2">
        <f t="shared" si="183"/>
        <v>1</v>
      </c>
      <c r="BR808" s="2" t="str">
        <f t="shared" si="184"/>
        <v/>
      </c>
      <c r="BS808" s="2" t="str">
        <f t="shared" si="185"/>
        <v/>
      </c>
      <c r="BV808" s="2" t="e">
        <f>VLOOKUP(O808,GLAPS정리!$BH$2:$BI$94,2,0)</f>
        <v>#N/A</v>
      </c>
      <c r="BW808" s="2" t="str">
        <f>IF(OR(Z808="동원",Z808="세방",Z808="한타"),"",IFERROR(INDEX(GLAPS정리!$BI$2:$BI$101,MATCH(Z808,GLAPS정리!$BH$2:$BH$101,0)),""))</f>
        <v/>
      </c>
      <c r="BX808" s="2" t="str">
        <f>IF(Z808="","",IFERROR(VLOOKUP(Z808,GLAPS정리!$AX$2:$AZ$17,3,0),""))</f>
        <v/>
      </c>
      <c r="BZ808" s="2" t="e">
        <f>VLOOKUP(H808,GLAPS정리!$L$3:$O$133,2,0)</f>
        <v>#N/A</v>
      </c>
      <c r="CA808" s="2" t="str">
        <f t="shared" si="186"/>
        <v/>
      </c>
      <c r="CL808" s="2" t="e">
        <f>VLOOKUP(AI808,GLAPS정리!$BT$3:$BV$26,3,0)</f>
        <v>#N/A</v>
      </c>
    </row>
    <row r="809" spans="2:90" ht="20.45" customHeight="1">
      <c r="B809" s="13"/>
      <c r="G809" s="3"/>
      <c r="J809" s="3"/>
      <c r="Q809" s="3" t="str">
        <f t="shared" si="174"/>
        <v/>
      </c>
      <c r="R809" s="3" t="str">
        <f t="shared" si="175"/>
        <v/>
      </c>
      <c r="S809" s="3" t="str">
        <f t="shared" si="176"/>
        <v/>
      </c>
      <c r="X809" s="13"/>
      <c r="Y809" s="13"/>
      <c r="Z809" s="91"/>
      <c r="AC809" s="2">
        <f t="shared" si="177"/>
        <v>20</v>
      </c>
      <c r="AD809" s="2" t="str">
        <f>IFERROR(INDEX(GLAPS정리!$D$2:$D$50,MATCH(I809,GLAPS정리!$A$2:$A$50,0)),IFERROR(INDEX(GLAPS정리!$D$2:$D$50,MATCH(I809,GLAPS정리!$B$2:$B$50,0)),""))</f>
        <v/>
      </c>
      <c r="AF809" s="2" t="str">
        <f t="shared" si="178"/>
        <v>KR10</v>
      </c>
      <c r="AI809" s="2" t="e">
        <f>VLOOKUP(F809,GLAPS정리!$G$3:$J$114,2,0)</f>
        <v>#N/A</v>
      </c>
      <c r="AJ809" s="2" t="e">
        <f>IF(Z809="울산정일","KRONS",IF(Z809="울산신항","KRUSN",IF(OR(Z809="선광종합물류(인천여객)",Z809="인천여객(인천여객)"),"KRINF",IF(OR(Z809="선광인천보세(인천신)",Z809="한진인천(인천신)",Z809="선광인천신항(인천신)",Z809="인천더로지스(인천신)"),"KRINN",IF(OR(Z809="인천진아(인천항)",Z809="인천E1(인천항)",Z809="인천SM경인터미널(인천항)",Z809="인천항(인천항)",Z809="인천우련(인천항)",Z809="인천항8부두(인천항)"),"KRINC",VLOOKUP(K809,GLAPS정리!$BB$2:$BC$33,2,0))))))</f>
        <v>#N/A</v>
      </c>
      <c r="AL809" s="2">
        <f t="shared" si="179"/>
        <v>5010001</v>
      </c>
      <c r="AN809" s="70" t="str">
        <f t="shared" si="180"/>
        <v>1900-01-00</v>
      </c>
      <c r="AO809" s="2" t="str">
        <f t="shared" si="181"/>
        <v/>
      </c>
      <c r="AP809" s="2" t="e">
        <f>VLOOKUP(C809,GLAPS정리!$AX$2:$AZ$17,3,0)</f>
        <v>#N/A</v>
      </c>
      <c r="AR809" s="2">
        <f t="shared" si="187"/>
        <v>0</v>
      </c>
      <c r="AX809" s="2" t="e">
        <f>VLOOKUP(L809,GLAPS정리!$V$3:$W$180,2,0)</f>
        <v>#N/A</v>
      </c>
      <c r="BM809" s="2" t="str">
        <f t="shared" si="182"/>
        <v xml:space="preserve"> </v>
      </c>
      <c r="BN809" s="2">
        <f t="shared" si="183"/>
        <v>1</v>
      </c>
      <c r="BR809" s="2" t="str">
        <f t="shared" si="184"/>
        <v/>
      </c>
      <c r="BS809" s="2" t="str">
        <f t="shared" si="185"/>
        <v/>
      </c>
      <c r="BV809" s="2" t="e">
        <f>VLOOKUP(O809,GLAPS정리!$BH$2:$BI$94,2,0)</f>
        <v>#N/A</v>
      </c>
      <c r="BW809" s="2" t="str">
        <f>IF(OR(Z809="동원",Z809="세방",Z809="한타"),"",IFERROR(INDEX(GLAPS정리!$BI$2:$BI$101,MATCH(Z809,GLAPS정리!$BH$2:$BH$101,0)),""))</f>
        <v/>
      </c>
      <c r="BX809" s="2" t="str">
        <f>IF(Z809="","",IFERROR(VLOOKUP(Z809,GLAPS정리!$AX$2:$AZ$17,3,0),""))</f>
        <v/>
      </c>
      <c r="BZ809" s="2" t="e">
        <f>VLOOKUP(H809,GLAPS정리!$L$3:$O$133,2,0)</f>
        <v>#N/A</v>
      </c>
      <c r="CA809" s="2" t="str">
        <f t="shared" si="186"/>
        <v/>
      </c>
      <c r="CL809" s="2" t="e">
        <f>VLOOKUP(AI809,GLAPS정리!$BT$3:$BV$26,3,0)</f>
        <v>#N/A</v>
      </c>
    </row>
    <row r="810" spans="2:90" ht="20.45" customHeight="1">
      <c r="B810" s="13"/>
      <c r="G810" s="3"/>
      <c r="J810" s="3"/>
      <c r="Q810" s="3" t="str">
        <f t="shared" si="174"/>
        <v/>
      </c>
      <c r="R810" s="3" t="str">
        <f t="shared" si="175"/>
        <v/>
      </c>
      <c r="S810" s="3" t="str">
        <f t="shared" si="176"/>
        <v/>
      </c>
      <c r="X810" s="13"/>
      <c r="Y810" s="13"/>
      <c r="Z810" s="91"/>
      <c r="AC810" s="2">
        <f t="shared" si="177"/>
        <v>20</v>
      </c>
      <c r="AD810" s="2" t="str">
        <f>IFERROR(INDEX(GLAPS정리!$D$2:$D$50,MATCH(I810,GLAPS정리!$A$2:$A$50,0)),IFERROR(INDEX(GLAPS정리!$D$2:$D$50,MATCH(I810,GLAPS정리!$B$2:$B$50,0)),""))</f>
        <v/>
      </c>
      <c r="AF810" s="2" t="str">
        <f t="shared" si="178"/>
        <v>KR10</v>
      </c>
      <c r="AI810" s="2" t="e">
        <f>VLOOKUP(F810,GLAPS정리!$G$3:$J$114,2,0)</f>
        <v>#N/A</v>
      </c>
      <c r="AJ810" s="2" t="e">
        <f>IF(Z810="울산정일","KRONS",IF(Z810="울산신항","KRUSN",IF(OR(Z810="선광종합물류(인천여객)",Z810="인천여객(인천여객)"),"KRINF",IF(OR(Z810="선광인천보세(인천신)",Z810="한진인천(인천신)",Z810="선광인천신항(인천신)",Z810="인천더로지스(인천신)"),"KRINN",IF(OR(Z810="인천진아(인천항)",Z810="인천E1(인천항)",Z810="인천SM경인터미널(인천항)",Z810="인천항(인천항)",Z810="인천우련(인천항)",Z810="인천항8부두(인천항)"),"KRINC",VLOOKUP(K810,GLAPS정리!$BB$2:$BC$33,2,0))))))</f>
        <v>#N/A</v>
      </c>
      <c r="AL810" s="2">
        <f t="shared" si="179"/>
        <v>5010001</v>
      </c>
      <c r="AN810" s="70" t="str">
        <f t="shared" si="180"/>
        <v>1900-01-00</v>
      </c>
      <c r="AO810" s="2" t="str">
        <f t="shared" si="181"/>
        <v/>
      </c>
      <c r="AP810" s="2" t="e">
        <f>VLOOKUP(C810,GLAPS정리!$AX$2:$AZ$17,3,0)</f>
        <v>#N/A</v>
      </c>
      <c r="AR810" s="2">
        <f t="shared" si="187"/>
        <v>0</v>
      </c>
      <c r="AX810" s="2" t="e">
        <f>VLOOKUP(L810,GLAPS정리!$V$3:$W$180,2,0)</f>
        <v>#N/A</v>
      </c>
      <c r="BM810" s="2" t="str">
        <f t="shared" si="182"/>
        <v xml:space="preserve"> </v>
      </c>
      <c r="BN810" s="2">
        <f t="shared" si="183"/>
        <v>1</v>
      </c>
      <c r="BR810" s="2" t="str">
        <f t="shared" si="184"/>
        <v/>
      </c>
      <c r="BS810" s="2" t="str">
        <f t="shared" si="185"/>
        <v/>
      </c>
      <c r="BV810" s="2" t="e">
        <f>VLOOKUP(O810,GLAPS정리!$BH$2:$BI$94,2,0)</f>
        <v>#N/A</v>
      </c>
      <c r="BW810" s="2" t="str">
        <f>IF(OR(Z810="동원",Z810="세방",Z810="한타"),"",IFERROR(INDEX(GLAPS정리!$BI$2:$BI$101,MATCH(Z810,GLAPS정리!$BH$2:$BH$101,0)),""))</f>
        <v/>
      </c>
      <c r="BX810" s="2" t="str">
        <f>IF(Z810="","",IFERROR(VLOOKUP(Z810,GLAPS정리!$AX$2:$AZ$17,3,0),""))</f>
        <v/>
      </c>
      <c r="BZ810" s="2" t="e">
        <f>VLOOKUP(H810,GLAPS정리!$L$3:$O$133,2,0)</f>
        <v>#N/A</v>
      </c>
      <c r="CA810" s="2" t="str">
        <f t="shared" si="186"/>
        <v/>
      </c>
      <c r="CL810" s="2" t="e">
        <f>VLOOKUP(AI810,GLAPS정리!$BT$3:$BV$26,3,0)</f>
        <v>#N/A</v>
      </c>
    </row>
    <row r="811" spans="2:90" ht="20.45" customHeight="1">
      <c r="B811" s="13"/>
      <c r="G811" s="3"/>
      <c r="J811" s="3"/>
      <c r="Q811" s="3" t="str">
        <f t="shared" si="174"/>
        <v/>
      </c>
      <c r="R811" s="3" t="str">
        <f t="shared" si="175"/>
        <v/>
      </c>
      <c r="S811" s="3" t="str">
        <f t="shared" si="176"/>
        <v/>
      </c>
      <c r="X811" s="13"/>
      <c r="Y811" s="13"/>
      <c r="Z811" s="91"/>
      <c r="AC811" s="2">
        <f t="shared" si="177"/>
        <v>20</v>
      </c>
      <c r="AD811" s="2" t="str">
        <f>IFERROR(INDEX(GLAPS정리!$D$2:$D$50,MATCH(I811,GLAPS정리!$A$2:$A$50,0)),IFERROR(INDEX(GLAPS정리!$D$2:$D$50,MATCH(I811,GLAPS정리!$B$2:$B$50,0)),""))</f>
        <v/>
      </c>
      <c r="AF811" s="2" t="str">
        <f t="shared" si="178"/>
        <v>KR10</v>
      </c>
      <c r="AI811" s="2" t="e">
        <f>VLOOKUP(F811,GLAPS정리!$G$3:$J$114,2,0)</f>
        <v>#N/A</v>
      </c>
      <c r="AJ811" s="2" t="e">
        <f>IF(Z811="울산정일","KRONS",IF(Z811="울산신항","KRUSN",IF(OR(Z811="선광종합물류(인천여객)",Z811="인천여객(인천여객)"),"KRINF",IF(OR(Z811="선광인천보세(인천신)",Z811="한진인천(인천신)",Z811="선광인천신항(인천신)",Z811="인천더로지스(인천신)"),"KRINN",IF(OR(Z811="인천진아(인천항)",Z811="인천E1(인천항)",Z811="인천SM경인터미널(인천항)",Z811="인천항(인천항)",Z811="인천우련(인천항)",Z811="인천항8부두(인천항)"),"KRINC",VLOOKUP(K811,GLAPS정리!$BB$2:$BC$33,2,0))))))</f>
        <v>#N/A</v>
      </c>
      <c r="AL811" s="2">
        <f t="shared" si="179"/>
        <v>5010001</v>
      </c>
      <c r="AN811" s="70" t="str">
        <f t="shared" si="180"/>
        <v>1900-01-00</v>
      </c>
      <c r="AO811" s="2" t="str">
        <f t="shared" si="181"/>
        <v/>
      </c>
      <c r="AP811" s="2" t="e">
        <f>VLOOKUP(C811,GLAPS정리!$AX$2:$AZ$17,3,0)</f>
        <v>#N/A</v>
      </c>
      <c r="AR811" s="2">
        <f t="shared" si="187"/>
        <v>0</v>
      </c>
      <c r="AX811" s="2" t="e">
        <f>VLOOKUP(L811,GLAPS정리!$V$3:$W$180,2,0)</f>
        <v>#N/A</v>
      </c>
      <c r="BM811" s="2" t="str">
        <f t="shared" si="182"/>
        <v xml:space="preserve"> </v>
      </c>
      <c r="BN811" s="2">
        <f t="shared" si="183"/>
        <v>1</v>
      </c>
      <c r="BR811" s="2" t="str">
        <f t="shared" si="184"/>
        <v/>
      </c>
      <c r="BS811" s="2" t="str">
        <f t="shared" si="185"/>
        <v/>
      </c>
      <c r="BV811" s="2" t="e">
        <f>VLOOKUP(O811,GLAPS정리!$BH$2:$BI$94,2,0)</f>
        <v>#N/A</v>
      </c>
      <c r="BW811" s="2" t="str">
        <f>IF(OR(Z811="동원",Z811="세방",Z811="한타"),"",IFERROR(INDEX(GLAPS정리!$BI$2:$BI$101,MATCH(Z811,GLAPS정리!$BH$2:$BH$101,0)),""))</f>
        <v/>
      </c>
      <c r="BX811" s="2" t="str">
        <f>IF(Z811="","",IFERROR(VLOOKUP(Z811,GLAPS정리!$AX$2:$AZ$17,3,0),""))</f>
        <v/>
      </c>
      <c r="BZ811" s="2" t="e">
        <f>VLOOKUP(H811,GLAPS정리!$L$3:$O$133,2,0)</f>
        <v>#N/A</v>
      </c>
      <c r="CA811" s="2" t="str">
        <f t="shared" si="186"/>
        <v/>
      </c>
      <c r="CL811" s="2" t="e">
        <f>VLOOKUP(AI811,GLAPS정리!$BT$3:$BV$26,3,0)</f>
        <v>#N/A</v>
      </c>
    </row>
    <row r="812" spans="2:90" ht="20.45" customHeight="1">
      <c r="B812" s="13"/>
      <c r="G812" s="3"/>
      <c r="J812" s="3"/>
      <c r="Q812" s="3" t="str">
        <f t="shared" si="174"/>
        <v/>
      </c>
      <c r="R812" s="3" t="str">
        <f t="shared" si="175"/>
        <v/>
      </c>
      <c r="S812" s="3" t="str">
        <f t="shared" si="176"/>
        <v/>
      </c>
      <c r="X812" s="13"/>
      <c r="Y812" s="13"/>
      <c r="Z812" s="91"/>
      <c r="AC812" s="2">
        <f t="shared" si="177"/>
        <v>20</v>
      </c>
      <c r="AD812" s="2" t="str">
        <f>IFERROR(INDEX(GLAPS정리!$D$2:$D$50,MATCH(I812,GLAPS정리!$A$2:$A$50,0)),IFERROR(INDEX(GLAPS정리!$D$2:$D$50,MATCH(I812,GLAPS정리!$B$2:$B$50,0)),""))</f>
        <v/>
      </c>
      <c r="AF812" s="2" t="str">
        <f t="shared" si="178"/>
        <v>KR10</v>
      </c>
      <c r="AI812" s="2" t="e">
        <f>VLOOKUP(F812,GLAPS정리!$G$3:$J$114,2,0)</f>
        <v>#N/A</v>
      </c>
      <c r="AJ812" s="2" t="e">
        <f>IF(Z812="울산정일","KRONS",IF(Z812="울산신항","KRUSN",IF(OR(Z812="선광종합물류(인천여객)",Z812="인천여객(인천여객)"),"KRINF",IF(OR(Z812="선광인천보세(인천신)",Z812="한진인천(인천신)",Z812="선광인천신항(인천신)",Z812="인천더로지스(인천신)"),"KRINN",IF(OR(Z812="인천진아(인천항)",Z812="인천E1(인천항)",Z812="인천SM경인터미널(인천항)",Z812="인천항(인천항)",Z812="인천우련(인천항)",Z812="인천항8부두(인천항)"),"KRINC",VLOOKUP(K812,GLAPS정리!$BB$2:$BC$33,2,0))))))</f>
        <v>#N/A</v>
      </c>
      <c r="AL812" s="2">
        <f t="shared" si="179"/>
        <v>5010001</v>
      </c>
      <c r="AN812" s="70" t="str">
        <f t="shared" si="180"/>
        <v>1900-01-00</v>
      </c>
      <c r="AO812" s="2" t="str">
        <f t="shared" si="181"/>
        <v/>
      </c>
      <c r="AP812" s="2" t="e">
        <f>VLOOKUP(C812,GLAPS정리!$AX$2:$AZ$17,3,0)</f>
        <v>#N/A</v>
      </c>
      <c r="AR812" s="2">
        <f t="shared" si="187"/>
        <v>0</v>
      </c>
      <c r="AX812" s="2" t="e">
        <f>VLOOKUP(L812,GLAPS정리!$V$3:$W$180,2,0)</f>
        <v>#N/A</v>
      </c>
      <c r="BM812" s="2" t="str">
        <f t="shared" si="182"/>
        <v xml:space="preserve"> </v>
      </c>
      <c r="BN812" s="2">
        <f t="shared" si="183"/>
        <v>1</v>
      </c>
      <c r="BR812" s="2" t="str">
        <f t="shared" si="184"/>
        <v/>
      </c>
      <c r="BS812" s="2" t="str">
        <f t="shared" si="185"/>
        <v/>
      </c>
      <c r="BV812" s="2" t="e">
        <f>VLOOKUP(O812,GLAPS정리!$BH$2:$BI$94,2,0)</f>
        <v>#N/A</v>
      </c>
      <c r="BW812" s="2" t="str">
        <f>IF(OR(Z812="동원",Z812="세방",Z812="한타"),"",IFERROR(INDEX(GLAPS정리!$BI$2:$BI$101,MATCH(Z812,GLAPS정리!$BH$2:$BH$101,0)),""))</f>
        <v/>
      </c>
      <c r="BX812" s="2" t="str">
        <f>IF(Z812="","",IFERROR(VLOOKUP(Z812,GLAPS정리!$AX$2:$AZ$17,3,0),""))</f>
        <v/>
      </c>
      <c r="BZ812" s="2" t="e">
        <f>VLOOKUP(H812,GLAPS정리!$L$3:$O$133,2,0)</f>
        <v>#N/A</v>
      </c>
      <c r="CA812" s="2" t="str">
        <f t="shared" si="186"/>
        <v/>
      </c>
      <c r="CL812" s="2" t="e">
        <f>VLOOKUP(AI812,GLAPS정리!$BT$3:$BV$26,3,0)</f>
        <v>#N/A</v>
      </c>
    </row>
    <row r="813" spans="2:90" ht="20.45" customHeight="1">
      <c r="B813" s="13"/>
      <c r="G813" s="3"/>
      <c r="J813" s="3"/>
      <c r="Q813" s="3" t="str">
        <f t="shared" si="174"/>
        <v/>
      </c>
      <c r="R813" s="3" t="str">
        <f t="shared" si="175"/>
        <v/>
      </c>
      <c r="S813" s="3" t="str">
        <f t="shared" si="176"/>
        <v/>
      </c>
      <c r="X813" s="13"/>
      <c r="Y813" s="13"/>
      <c r="Z813" s="91"/>
      <c r="AC813" s="2">
        <f t="shared" si="177"/>
        <v>20</v>
      </c>
      <c r="AD813" s="2" t="str">
        <f>IFERROR(INDEX(GLAPS정리!$D$2:$D$50,MATCH(I813,GLAPS정리!$A$2:$A$50,0)),IFERROR(INDEX(GLAPS정리!$D$2:$D$50,MATCH(I813,GLAPS정리!$B$2:$B$50,0)),""))</f>
        <v/>
      </c>
      <c r="AF813" s="2" t="str">
        <f t="shared" si="178"/>
        <v>KR10</v>
      </c>
      <c r="AI813" s="2" t="e">
        <f>VLOOKUP(F813,GLAPS정리!$G$3:$J$114,2,0)</f>
        <v>#N/A</v>
      </c>
      <c r="AJ813" s="2" t="e">
        <f>IF(Z813="울산정일","KRONS",IF(Z813="울산신항","KRUSN",IF(OR(Z813="선광종합물류(인천여객)",Z813="인천여객(인천여객)"),"KRINF",IF(OR(Z813="선광인천보세(인천신)",Z813="한진인천(인천신)",Z813="선광인천신항(인천신)",Z813="인천더로지스(인천신)"),"KRINN",IF(OR(Z813="인천진아(인천항)",Z813="인천E1(인천항)",Z813="인천SM경인터미널(인천항)",Z813="인천항(인천항)",Z813="인천우련(인천항)",Z813="인천항8부두(인천항)"),"KRINC",VLOOKUP(K813,GLAPS정리!$BB$2:$BC$33,2,0))))))</f>
        <v>#N/A</v>
      </c>
      <c r="AL813" s="2">
        <f t="shared" si="179"/>
        <v>5010001</v>
      </c>
      <c r="AN813" s="70" t="str">
        <f t="shared" si="180"/>
        <v>1900-01-00</v>
      </c>
      <c r="AO813" s="2" t="str">
        <f t="shared" si="181"/>
        <v/>
      </c>
      <c r="AP813" s="2" t="e">
        <f>VLOOKUP(C813,GLAPS정리!$AX$2:$AZ$17,3,0)</f>
        <v>#N/A</v>
      </c>
      <c r="AR813" s="2">
        <f t="shared" si="187"/>
        <v>0</v>
      </c>
      <c r="AX813" s="2" t="e">
        <f>VLOOKUP(L813,GLAPS정리!$V$3:$W$180,2,0)</f>
        <v>#N/A</v>
      </c>
      <c r="BM813" s="2" t="str">
        <f t="shared" si="182"/>
        <v xml:space="preserve"> </v>
      </c>
      <c r="BN813" s="2">
        <f t="shared" si="183"/>
        <v>1</v>
      </c>
      <c r="BR813" s="2" t="str">
        <f t="shared" si="184"/>
        <v/>
      </c>
      <c r="BS813" s="2" t="str">
        <f t="shared" si="185"/>
        <v/>
      </c>
      <c r="BV813" s="2" t="e">
        <f>VLOOKUP(O813,GLAPS정리!$BH$2:$BI$94,2,0)</f>
        <v>#N/A</v>
      </c>
      <c r="BW813" s="2" t="str">
        <f>IF(OR(Z813="동원",Z813="세방",Z813="한타"),"",IFERROR(INDEX(GLAPS정리!$BI$2:$BI$101,MATCH(Z813,GLAPS정리!$BH$2:$BH$101,0)),""))</f>
        <v/>
      </c>
      <c r="BX813" s="2" t="str">
        <f>IF(Z813="","",IFERROR(VLOOKUP(Z813,GLAPS정리!$AX$2:$AZ$17,3,0),""))</f>
        <v/>
      </c>
      <c r="BZ813" s="2" t="e">
        <f>VLOOKUP(H813,GLAPS정리!$L$3:$O$133,2,0)</f>
        <v>#N/A</v>
      </c>
      <c r="CA813" s="2" t="str">
        <f t="shared" si="186"/>
        <v/>
      </c>
      <c r="CL813" s="2" t="e">
        <f>VLOOKUP(AI813,GLAPS정리!$BT$3:$BV$26,3,0)</f>
        <v>#N/A</v>
      </c>
    </row>
    <row r="814" spans="2:90" ht="20.45" customHeight="1">
      <c r="B814" s="13"/>
      <c r="G814" s="3"/>
      <c r="J814" s="3"/>
      <c r="Q814" s="3" t="str">
        <f t="shared" si="174"/>
        <v/>
      </c>
      <c r="R814" s="3" t="str">
        <f t="shared" si="175"/>
        <v/>
      </c>
      <c r="S814" s="3" t="str">
        <f t="shared" si="176"/>
        <v/>
      </c>
      <c r="X814" s="13"/>
      <c r="Y814" s="13"/>
      <c r="Z814" s="91"/>
      <c r="AC814" s="2">
        <f t="shared" si="177"/>
        <v>20</v>
      </c>
      <c r="AD814" s="2" t="str">
        <f>IFERROR(INDEX(GLAPS정리!$D$2:$D$50,MATCH(I814,GLAPS정리!$A$2:$A$50,0)),IFERROR(INDEX(GLAPS정리!$D$2:$D$50,MATCH(I814,GLAPS정리!$B$2:$B$50,0)),""))</f>
        <v/>
      </c>
      <c r="AF814" s="2" t="str">
        <f t="shared" si="178"/>
        <v>KR10</v>
      </c>
      <c r="AI814" s="2" t="e">
        <f>VLOOKUP(F814,GLAPS정리!$G$3:$J$114,2,0)</f>
        <v>#N/A</v>
      </c>
      <c r="AJ814" s="2" t="e">
        <f>IF(Z814="울산정일","KRONS",IF(Z814="울산신항","KRUSN",IF(OR(Z814="선광종합물류(인천여객)",Z814="인천여객(인천여객)"),"KRINF",IF(OR(Z814="선광인천보세(인천신)",Z814="한진인천(인천신)",Z814="선광인천신항(인천신)",Z814="인천더로지스(인천신)"),"KRINN",IF(OR(Z814="인천진아(인천항)",Z814="인천E1(인천항)",Z814="인천SM경인터미널(인천항)",Z814="인천항(인천항)",Z814="인천우련(인천항)",Z814="인천항8부두(인천항)"),"KRINC",VLOOKUP(K814,GLAPS정리!$BB$2:$BC$33,2,0))))))</f>
        <v>#N/A</v>
      </c>
      <c r="AL814" s="2">
        <f t="shared" si="179"/>
        <v>5010001</v>
      </c>
      <c r="AN814" s="70" t="str">
        <f t="shared" si="180"/>
        <v>1900-01-00</v>
      </c>
      <c r="AO814" s="2" t="str">
        <f t="shared" si="181"/>
        <v/>
      </c>
      <c r="AP814" s="2" t="e">
        <f>VLOOKUP(C814,GLAPS정리!$AX$2:$AZ$17,3,0)</f>
        <v>#N/A</v>
      </c>
      <c r="AR814" s="2">
        <f t="shared" si="187"/>
        <v>0</v>
      </c>
      <c r="AX814" s="2" t="e">
        <f>VLOOKUP(L814,GLAPS정리!$V$3:$W$180,2,0)</f>
        <v>#N/A</v>
      </c>
      <c r="BM814" s="2" t="str">
        <f t="shared" si="182"/>
        <v xml:space="preserve"> </v>
      </c>
      <c r="BN814" s="2">
        <f t="shared" si="183"/>
        <v>1</v>
      </c>
      <c r="BR814" s="2" t="str">
        <f t="shared" si="184"/>
        <v/>
      </c>
      <c r="BS814" s="2" t="str">
        <f t="shared" si="185"/>
        <v/>
      </c>
      <c r="BV814" s="2" t="e">
        <f>VLOOKUP(O814,GLAPS정리!$BH$2:$BI$94,2,0)</f>
        <v>#N/A</v>
      </c>
      <c r="BW814" s="2" t="str">
        <f>IF(OR(Z814="동원",Z814="세방",Z814="한타"),"",IFERROR(INDEX(GLAPS정리!$BI$2:$BI$101,MATCH(Z814,GLAPS정리!$BH$2:$BH$101,0)),""))</f>
        <v/>
      </c>
      <c r="BX814" s="2" t="str">
        <f>IF(Z814="","",IFERROR(VLOOKUP(Z814,GLAPS정리!$AX$2:$AZ$17,3,0),""))</f>
        <v/>
      </c>
      <c r="BZ814" s="2" t="e">
        <f>VLOOKUP(H814,GLAPS정리!$L$3:$O$133,2,0)</f>
        <v>#N/A</v>
      </c>
      <c r="CA814" s="2" t="str">
        <f t="shared" si="186"/>
        <v/>
      </c>
      <c r="CL814" s="2" t="e">
        <f>VLOOKUP(AI814,GLAPS정리!$BT$3:$BV$26,3,0)</f>
        <v>#N/A</v>
      </c>
    </row>
    <row r="815" spans="2:90" ht="20.45" customHeight="1">
      <c r="B815" s="13"/>
      <c r="G815" s="3"/>
      <c r="J815" s="3"/>
      <c r="Q815" s="3" t="str">
        <f t="shared" si="174"/>
        <v/>
      </c>
      <c r="R815" s="3" t="str">
        <f t="shared" si="175"/>
        <v/>
      </c>
      <c r="S815" s="3" t="str">
        <f t="shared" si="176"/>
        <v/>
      </c>
      <c r="X815" s="13"/>
      <c r="Y815" s="13"/>
      <c r="Z815" s="91"/>
      <c r="AC815" s="2">
        <f t="shared" si="177"/>
        <v>20</v>
      </c>
      <c r="AD815" s="2" t="str">
        <f>IFERROR(INDEX(GLAPS정리!$D$2:$D$50,MATCH(I815,GLAPS정리!$A$2:$A$50,0)),IFERROR(INDEX(GLAPS정리!$D$2:$D$50,MATCH(I815,GLAPS정리!$B$2:$B$50,0)),""))</f>
        <v/>
      </c>
      <c r="AF815" s="2" t="str">
        <f t="shared" si="178"/>
        <v>KR10</v>
      </c>
      <c r="AI815" s="2" t="e">
        <f>VLOOKUP(F815,GLAPS정리!$G$3:$J$114,2,0)</f>
        <v>#N/A</v>
      </c>
      <c r="AJ815" s="2" t="e">
        <f>IF(Z815="울산정일","KRONS",IF(Z815="울산신항","KRUSN",IF(OR(Z815="선광종합물류(인천여객)",Z815="인천여객(인천여객)"),"KRINF",IF(OR(Z815="선광인천보세(인천신)",Z815="한진인천(인천신)",Z815="선광인천신항(인천신)",Z815="인천더로지스(인천신)"),"KRINN",IF(OR(Z815="인천진아(인천항)",Z815="인천E1(인천항)",Z815="인천SM경인터미널(인천항)",Z815="인천항(인천항)",Z815="인천우련(인천항)",Z815="인천항8부두(인천항)"),"KRINC",VLOOKUP(K815,GLAPS정리!$BB$2:$BC$33,2,0))))))</f>
        <v>#N/A</v>
      </c>
      <c r="AL815" s="2">
        <f t="shared" si="179"/>
        <v>5010001</v>
      </c>
      <c r="AN815" s="70" t="str">
        <f t="shared" si="180"/>
        <v>1900-01-00</v>
      </c>
      <c r="AO815" s="2" t="str">
        <f t="shared" si="181"/>
        <v/>
      </c>
      <c r="AP815" s="2" t="e">
        <f>VLOOKUP(C815,GLAPS정리!$AX$2:$AZ$17,3,0)</f>
        <v>#N/A</v>
      </c>
      <c r="AR815" s="2">
        <f t="shared" si="187"/>
        <v>0</v>
      </c>
      <c r="AX815" s="2" t="e">
        <f>VLOOKUP(L815,GLAPS정리!$V$3:$W$180,2,0)</f>
        <v>#N/A</v>
      </c>
      <c r="BM815" s="2" t="str">
        <f t="shared" si="182"/>
        <v xml:space="preserve"> </v>
      </c>
      <c r="BN815" s="2">
        <f t="shared" si="183"/>
        <v>1</v>
      </c>
      <c r="BR815" s="2" t="str">
        <f t="shared" si="184"/>
        <v/>
      </c>
      <c r="BS815" s="2" t="str">
        <f t="shared" si="185"/>
        <v/>
      </c>
      <c r="BV815" s="2" t="e">
        <f>VLOOKUP(O815,GLAPS정리!$BH$2:$BI$94,2,0)</f>
        <v>#N/A</v>
      </c>
      <c r="BW815" s="2" t="str">
        <f>IF(OR(Z815="동원",Z815="세방",Z815="한타"),"",IFERROR(INDEX(GLAPS정리!$BI$2:$BI$101,MATCH(Z815,GLAPS정리!$BH$2:$BH$101,0)),""))</f>
        <v/>
      </c>
      <c r="BX815" s="2" t="str">
        <f>IF(Z815="","",IFERROR(VLOOKUP(Z815,GLAPS정리!$AX$2:$AZ$17,3,0),""))</f>
        <v/>
      </c>
      <c r="BZ815" s="2" t="e">
        <f>VLOOKUP(H815,GLAPS정리!$L$3:$O$133,2,0)</f>
        <v>#N/A</v>
      </c>
      <c r="CA815" s="2" t="str">
        <f t="shared" si="186"/>
        <v/>
      </c>
      <c r="CL815" s="2" t="e">
        <f>VLOOKUP(AI815,GLAPS정리!$BT$3:$BV$26,3,0)</f>
        <v>#N/A</v>
      </c>
    </row>
    <row r="816" spans="2:90" ht="20.45" customHeight="1">
      <c r="B816" s="13"/>
      <c r="G816" s="3"/>
      <c r="J816" s="3"/>
      <c r="Q816" s="3" t="str">
        <f t="shared" si="174"/>
        <v/>
      </c>
      <c r="R816" s="3" t="str">
        <f t="shared" si="175"/>
        <v/>
      </c>
      <c r="S816" s="3" t="str">
        <f t="shared" si="176"/>
        <v/>
      </c>
      <c r="X816" s="13"/>
      <c r="Y816" s="13"/>
      <c r="Z816" s="91"/>
      <c r="AC816" s="2">
        <f t="shared" si="177"/>
        <v>20</v>
      </c>
      <c r="AD816" s="2" t="str">
        <f>IFERROR(INDEX(GLAPS정리!$D$2:$D$50,MATCH(I816,GLAPS정리!$A$2:$A$50,0)),IFERROR(INDEX(GLAPS정리!$D$2:$D$50,MATCH(I816,GLAPS정리!$B$2:$B$50,0)),""))</f>
        <v/>
      </c>
      <c r="AF816" s="2" t="str">
        <f t="shared" si="178"/>
        <v>KR10</v>
      </c>
      <c r="AI816" s="2" t="e">
        <f>VLOOKUP(F816,GLAPS정리!$G$3:$J$114,2,0)</f>
        <v>#N/A</v>
      </c>
      <c r="AJ816" s="2" t="e">
        <f>IF(Z816="울산정일","KRONS",IF(Z816="울산신항","KRUSN",IF(OR(Z816="선광종합물류(인천여객)",Z816="인천여객(인천여객)"),"KRINF",IF(OR(Z816="선광인천보세(인천신)",Z816="한진인천(인천신)",Z816="선광인천신항(인천신)",Z816="인천더로지스(인천신)"),"KRINN",IF(OR(Z816="인천진아(인천항)",Z816="인천E1(인천항)",Z816="인천SM경인터미널(인천항)",Z816="인천항(인천항)",Z816="인천우련(인천항)",Z816="인천항8부두(인천항)"),"KRINC",VLOOKUP(K816,GLAPS정리!$BB$2:$BC$33,2,0))))))</f>
        <v>#N/A</v>
      </c>
      <c r="AL816" s="2">
        <f t="shared" si="179"/>
        <v>5010001</v>
      </c>
      <c r="AN816" s="70" t="str">
        <f t="shared" si="180"/>
        <v>1900-01-00</v>
      </c>
      <c r="AO816" s="2" t="str">
        <f t="shared" si="181"/>
        <v/>
      </c>
      <c r="AP816" s="2" t="e">
        <f>VLOOKUP(C816,GLAPS정리!$AX$2:$AZ$17,3,0)</f>
        <v>#N/A</v>
      </c>
      <c r="AR816" s="2">
        <f t="shared" si="187"/>
        <v>0</v>
      </c>
      <c r="AX816" s="2" t="e">
        <f>VLOOKUP(L816,GLAPS정리!$V$3:$W$180,2,0)</f>
        <v>#N/A</v>
      </c>
      <c r="BM816" s="2" t="str">
        <f t="shared" si="182"/>
        <v xml:space="preserve"> </v>
      </c>
      <c r="BN816" s="2">
        <f t="shared" si="183"/>
        <v>1</v>
      </c>
      <c r="BR816" s="2" t="str">
        <f t="shared" si="184"/>
        <v/>
      </c>
      <c r="BS816" s="2" t="str">
        <f t="shared" si="185"/>
        <v/>
      </c>
      <c r="BV816" s="2" t="e">
        <f>VLOOKUP(O816,GLAPS정리!$BH$2:$BI$94,2,0)</f>
        <v>#N/A</v>
      </c>
      <c r="BW816" s="2" t="str">
        <f>IF(OR(Z816="동원",Z816="세방",Z816="한타"),"",IFERROR(INDEX(GLAPS정리!$BI$2:$BI$101,MATCH(Z816,GLAPS정리!$BH$2:$BH$101,0)),""))</f>
        <v/>
      </c>
      <c r="BX816" s="2" t="str">
        <f>IF(Z816="","",IFERROR(VLOOKUP(Z816,GLAPS정리!$AX$2:$AZ$17,3,0),""))</f>
        <v/>
      </c>
      <c r="BZ816" s="2" t="e">
        <f>VLOOKUP(H816,GLAPS정리!$L$3:$O$133,2,0)</f>
        <v>#N/A</v>
      </c>
      <c r="CA816" s="2" t="str">
        <f t="shared" si="186"/>
        <v/>
      </c>
      <c r="CL816" s="2" t="e">
        <f>VLOOKUP(AI816,GLAPS정리!$BT$3:$BV$26,3,0)</f>
        <v>#N/A</v>
      </c>
    </row>
    <row r="817" spans="2:90" ht="20.45" customHeight="1">
      <c r="B817" s="13"/>
      <c r="G817" s="3"/>
      <c r="J817" s="3"/>
      <c r="Q817" s="3" t="str">
        <f t="shared" si="174"/>
        <v/>
      </c>
      <c r="R817" s="3" t="str">
        <f t="shared" si="175"/>
        <v/>
      </c>
      <c r="S817" s="3" t="str">
        <f t="shared" si="176"/>
        <v/>
      </c>
      <c r="X817" s="13"/>
      <c r="Y817" s="13"/>
      <c r="Z817" s="91"/>
      <c r="AC817" s="2">
        <f t="shared" si="177"/>
        <v>20</v>
      </c>
      <c r="AD817" s="2" t="str">
        <f>IFERROR(INDEX(GLAPS정리!$D$2:$D$50,MATCH(I817,GLAPS정리!$A$2:$A$50,0)),IFERROR(INDEX(GLAPS정리!$D$2:$D$50,MATCH(I817,GLAPS정리!$B$2:$B$50,0)),""))</f>
        <v/>
      </c>
      <c r="AF817" s="2" t="str">
        <f t="shared" si="178"/>
        <v>KR10</v>
      </c>
      <c r="AI817" s="2" t="e">
        <f>VLOOKUP(F817,GLAPS정리!$G$3:$J$114,2,0)</f>
        <v>#N/A</v>
      </c>
      <c r="AJ817" s="2" t="e">
        <f>IF(Z817="울산정일","KRONS",IF(Z817="울산신항","KRUSN",IF(OR(Z817="선광종합물류(인천여객)",Z817="인천여객(인천여객)"),"KRINF",IF(OR(Z817="선광인천보세(인천신)",Z817="한진인천(인천신)",Z817="선광인천신항(인천신)",Z817="인천더로지스(인천신)"),"KRINN",IF(OR(Z817="인천진아(인천항)",Z817="인천E1(인천항)",Z817="인천SM경인터미널(인천항)",Z817="인천항(인천항)",Z817="인천우련(인천항)",Z817="인천항8부두(인천항)"),"KRINC",VLOOKUP(K817,GLAPS정리!$BB$2:$BC$33,2,0))))))</f>
        <v>#N/A</v>
      </c>
      <c r="AL817" s="2">
        <f t="shared" si="179"/>
        <v>5010001</v>
      </c>
      <c r="AN817" s="70" t="str">
        <f t="shared" si="180"/>
        <v>1900-01-00</v>
      </c>
      <c r="AO817" s="2" t="str">
        <f t="shared" si="181"/>
        <v/>
      </c>
      <c r="AP817" s="2" t="e">
        <f>VLOOKUP(C817,GLAPS정리!$AX$2:$AZ$17,3,0)</f>
        <v>#N/A</v>
      </c>
      <c r="AR817" s="2">
        <f t="shared" si="187"/>
        <v>0</v>
      </c>
      <c r="AX817" s="2" t="e">
        <f>VLOOKUP(L817,GLAPS정리!$V$3:$W$180,2,0)</f>
        <v>#N/A</v>
      </c>
      <c r="BM817" s="2" t="str">
        <f t="shared" si="182"/>
        <v xml:space="preserve"> </v>
      </c>
      <c r="BN817" s="2">
        <f t="shared" si="183"/>
        <v>1</v>
      </c>
      <c r="BR817" s="2" t="str">
        <f t="shared" si="184"/>
        <v/>
      </c>
      <c r="BS817" s="2" t="str">
        <f t="shared" si="185"/>
        <v/>
      </c>
      <c r="BV817" s="2" t="e">
        <f>VLOOKUP(O817,GLAPS정리!$BH$2:$BI$94,2,0)</f>
        <v>#N/A</v>
      </c>
      <c r="BW817" s="2" t="str">
        <f>IF(OR(Z817="동원",Z817="세방",Z817="한타"),"",IFERROR(INDEX(GLAPS정리!$BI$2:$BI$101,MATCH(Z817,GLAPS정리!$BH$2:$BH$101,0)),""))</f>
        <v/>
      </c>
      <c r="BX817" s="2" t="str">
        <f>IF(Z817="","",IFERROR(VLOOKUP(Z817,GLAPS정리!$AX$2:$AZ$17,3,0),""))</f>
        <v/>
      </c>
      <c r="BZ817" s="2" t="e">
        <f>VLOOKUP(H817,GLAPS정리!$L$3:$O$133,2,0)</f>
        <v>#N/A</v>
      </c>
      <c r="CA817" s="2" t="str">
        <f t="shared" si="186"/>
        <v/>
      </c>
      <c r="CL817" s="2" t="e">
        <f>VLOOKUP(AI817,GLAPS정리!$BT$3:$BV$26,3,0)</f>
        <v>#N/A</v>
      </c>
    </row>
    <row r="818" spans="2:90" ht="20.45" customHeight="1">
      <c r="B818" s="13"/>
      <c r="G818" s="3"/>
      <c r="J818" s="3"/>
      <c r="Q818" s="3" t="str">
        <f t="shared" si="174"/>
        <v/>
      </c>
      <c r="R818" s="3" t="str">
        <f t="shared" si="175"/>
        <v/>
      </c>
      <c r="S818" s="3" t="str">
        <f t="shared" si="176"/>
        <v/>
      </c>
      <c r="X818" s="13"/>
      <c r="Y818" s="13"/>
      <c r="Z818" s="91"/>
      <c r="AC818" s="2">
        <f t="shared" si="177"/>
        <v>20</v>
      </c>
      <c r="AD818" s="2" t="str">
        <f>IFERROR(INDEX(GLAPS정리!$D$2:$D$50,MATCH(I818,GLAPS정리!$A$2:$A$50,0)),IFERROR(INDEX(GLAPS정리!$D$2:$D$50,MATCH(I818,GLAPS정리!$B$2:$B$50,0)),""))</f>
        <v/>
      </c>
      <c r="AF818" s="2" t="str">
        <f t="shared" si="178"/>
        <v>KR10</v>
      </c>
      <c r="AI818" s="2" t="e">
        <f>VLOOKUP(F818,GLAPS정리!$G$3:$J$114,2,0)</f>
        <v>#N/A</v>
      </c>
      <c r="AJ818" s="2" t="e">
        <f>IF(Z818="울산정일","KRONS",IF(Z818="울산신항","KRUSN",IF(OR(Z818="선광종합물류(인천여객)",Z818="인천여객(인천여객)"),"KRINF",IF(OR(Z818="선광인천보세(인천신)",Z818="한진인천(인천신)",Z818="선광인천신항(인천신)",Z818="인천더로지스(인천신)"),"KRINN",IF(OR(Z818="인천진아(인천항)",Z818="인천E1(인천항)",Z818="인천SM경인터미널(인천항)",Z818="인천항(인천항)",Z818="인천우련(인천항)",Z818="인천항8부두(인천항)"),"KRINC",VLOOKUP(K818,GLAPS정리!$BB$2:$BC$33,2,0))))))</f>
        <v>#N/A</v>
      </c>
      <c r="AL818" s="2">
        <f t="shared" si="179"/>
        <v>5010001</v>
      </c>
      <c r="AN818" s="70" t="str">
        <f t="shared" si="180"/>
        <v>1900-01-00</v>
      </c>
      <c r="AO818" s="2" t="str">
        <f t="shared" si="181"/>
        <v/>
      </c>
      <c r="AP818" s="2" t="e">
        <f>VLOOKUP(C818,GLAPS정리!$AX$2:$AZ$17,3,0)</f>
        <v>#N/A</v>
      </c>
      <c r="AR818" s="2">
        <f t="shared" si="187"/>
        <v>0</v>
      </c>
      <c r="AX818" s="2" t="e">
        <f>VLOOKUP(L818,GLAPS정리!$V$3:$W$180,2,0)</f>
        <v>#N/A</v>
      </c>
      <c r="BM818" s="2" t="str">
        <f t="shared" si="182"/>
        <v xml:space="preserve"> </v>
      </c>
      <c r="BN818" s="2">
        <f t="shared" si="183"/>
        <v>1</v>
      </c>
      <c r="BR818" s="2" t="str">
        <f t="shared" si="184"/>
        <v/>
      </c>
      <c r="BS818" s="2" t="str">
        <f t="shared" si="185"/>
        <v/>
      </c>
      <c r="BV818" s="2" t="e">
        <f>VLOOKUP(O818,GLAPS정리!$BH$2:$BI$94,2,0)</f>
        <v>#N/A</v>
      </c>
      <c r="BW818" s="2" t="str">
        <f>IF(OR(Z818="동원",Z818="세방",Z818="한타"),"",IFERROR(INDEX(GLAPS정리!$BI$2:$BI$101,MATCH(Z818,GLAPS정리!$BH$2:$BH$101,0)),""))</f>
        <v/>
      </c>
      <c r="BX818" s="2" t="str">
        <f>IF(Z818="","",IFERROR(VLOOKUP(Z818,GLAPS정리!$AX$2:$AZ$17,3,0),""))</f>
        <v/>
      </c>
      <c r="BZ818" s="2" t="e">
        <f>VLOOKUP(H818,GLAPS정리!$L$3:$O$133,2,0)</f>
        <v>#N/A</v>
      </c>
      <c r="CA818" s="2" t="str">
        <f t="shared" si="186"/>
        <v/>
      </c>
      <c r="CL818" s="2" t="e">
        <f>VLOOKUP(AI818,GLAPS정리!$BT$3:$BV$26,3,0)</f>
        <v>#N/A</v>
      </c>
    </row>
    <row r="819" spans="2:90" ht="20.45" customHeight="1">
      <c r="B819" s="13"/>
      <c r="G819" s="3"/>
      <c r="J819" s="3"/>
      <c r="Q819" s="3" t="str">
        <f t="shared" si="174"/>
        <v/>
      </c>
      <c r="R819" s="3" t="str">
        <f t="shared" si="175"/>
        <v/>
      </c>
      <c r="S819" s="3" t="str">
        <f t="shared" si="176"/>
        <v/>
      </c>
      <c r="X819" s="13"/>
      <c r="Y819" s="13"/>
      <c r="Z819" s="91"/>
      <c r="AC819" s="2">
        <f t="shared" si="177"/>
        <v>20</v>
      </c>
      <c r="AD819" s="2" t="str">
        <f>IFERROR(INDEX(GLAPS정리!$D$2:$D$50,MATCH(I819,GLAPS정리!$A$2:$A$50,0)),IFERROR(INDEX(GLAPS정리!$D$2:$D$50,MATCH(I819,GLAPS정리!$B$2:$B$50,0)),""))</f>
        <v/>
      </c>
      <c r="AF819" s="2" t="str">
        <f t="shared" si="178"/>
        <v>KR10</v>
      </c>
      <c r="AI819" s="2" t="e">
        <f>VLOOKUP(F819,GLAPS정리!$G$3:$J$114,2,0)</f>
        <v>#N/A</v>
      </c>
      <c r="AJ819" s="2" t="e">
        <f>IF(Z819="울산정일","KRONS",IF(Z819="울산신항","KRUSN",IF(OR(Z819="선광종합물류(인천여객)",Z819="인천여객(인천여객)"),"KRINF",IF(OR(Z819="선광인천보세(인천신)",Z819="한진인천(인천신)",Z819="선광인천신항(인천신)",Z819="인천더로지스(인천신)"),"KRINN",IF(OR(Z819="인천진아(인천항)",Z819="인천E1(인천항)",Z819="인천SM경인터미널(인천항)",Z819="인천항(인천항)",Z819="인천우련(인천항)",Z819="인천항8부두(인천항)"),"KRINC",VLOOKUP(K819,GLAPS정리!$BB$2:$BC$33,2,0))))))</f>
        <v>#N/A</v>
      </c>
      <c r="AL819" s="2">
        <f t="shared" si="179"/>
        <v>5010001</v>
      </c>
      <c r="AN819" s="70" t="str">
        <f t="shared" si="180"/>
        <v>1900-01-00</v>
      </c>
      <c r="AO819" s="2" t="str">
        <f t="shared" si="181"/>
        <v/>
      </c>
      <c r="AP819" s="2" t="e">
        <f>VLOOKUP(C819,GLAPS정리!$AX$2:$AZ$17,3,0)</f>
        <v>#N/A</v>
      </c>
      <c r="AR819" s="2">
        <f t="shared" si="187"/>
        <v>0</v>
      </c>
      <c r="AX819" s="2" t="e">
        <f>VLOOKUP(L819,GLAPS정리!$V$3:$W$180,2,0)</f>
        <v>#N/A</v>
      </c>
      <c r="BM819" s="2" t="str">
        <f t="shared" si="182"/>
        <v xml:space="preserve"> </v>
      </c>
      <c r="BN819" s="2">
        <f t="shared" si="183"/>
        <v>1</v>
      </c>
      <c r="BR819" s="2" t="str">
        <f t="shared" si="184"/>
        <v/>
      </c>
      <c r="BS819" s="2" t="str">
        <f t="shared" si="185"/>
        <v/>
      </c>
      <c r="BV819" s="2" t="e">
        <f>VLOOKUP(O819,GLAPS정리!$BH$2:$BI$94,2,0)</f>
        <v>#N/A</v>
      </c>
      <c r="BW819" s="2" t="str">
        <f>IF(OR(Z819="동원",Z819="세방",Z819="한타"),"",IFERROR(INDEX(GLAPS정리!$BI$2:$BI$101,MATCH(Z819,GLAPS정리!$BH$2:$BH$101,0)),""))</f>
        <v/>
      </c>
      <c r="BX819" s="2" t="str">
        <f>IF(Z819="","",IFERROR(VLOOKUP(Z819,GLAPS정리!$AX$2:$AZ$17,3,0),""))</f>
        <v/>
      </c>
      <c r="BZ819" s="2" t="e">
        <f>VLOOKUP(H819,GLAPS정리!$L$3:$O$133,2,0)</f>
        <v>#N/A</v>
      </c>
      <c r="CA819" s="2" t="str">
        <f t="shared" si="186"/>
        <v/>
      </c>
      <c r="CL819" s="2" t="e">
        <f>VLOOKUP(AI819,GLAPS정리!$BT$3:$BV$26,3,0)</f>
        <v>#N/A</v>
      </c>
    </row>
    <row r="820" spans="2:90" ht="20.45" customHeight="1">
      <c r="B820" s="13"/>
      <c r="G820" s="3"/>
      <c r="J820" s="3"/>
      <c r="Q820" s="3" t="str">
        <f t="shared" si="174"/>
        <v/>
      </c>
      <c r="R820" s="3" t="str">
        <f t="shared" si="175"/>
        <v/>
      </c>
      <c r="S820" s="3" t="str">
        <f t="shared" si="176"/>
        <v/>
      </c>
      <c r="X820" s="13"/>
      <c r="Y820" s="13"/>
      <c r="Z820" s="91"/>
      <c r="AC820" s="2">
        <f t="shared" si="177"/>
        <v>20</v>
      </c>
      <c r="AD820" s="2" t="str">
        <f>IFERROR(INDEX(GLAPS정리!$D$2:$D$50,MATCH(I820,GLAPS정리!$A$2:$A$50,0)),IFERROR(INDEX(GLAPS정리!$D$2:$D$50,MATCH(I820,GLAPS정리!$B$2:$B$50,0)),""))</f>
        <v/>
      </c>
      <c r="AF820" s="2" t="str">
        <f t="shared" si="178"/>
        <v>KR10</v>
      </c>
      <c r="AI820" s="2" t="e">
        <f>VLOOKUP(F820,GLAPS정리!$G$3:$J$114,2,0)</f>
        <v>#N/A</v>
      </c>
      <c r="AJ820" s="2" t="e">
        <f>IF(Z820="울산정일","KRONS",IF(Z820="울산신항","KRUSN",IF(OR(Z820="선광종합물류(인천여객)",Z820="인천여객(인천여객)"),"KRINF",IF(OR(Z820="선광인천보세(인천신)",Z820="한진인천(인천신)",Z820="선광인천신항(인천신)",Z820="인천더로지스(인천신)"),"KRINN",IF(OR(Z820="인천진아(인천항)",Z820="인천E1(인천항)",Z820="인천SM경인터미널(인천항)",Z820="인천항(인천항)",Z820="인천우련(인천항)",Z820="인천항8부두(인천항)"),"KRINC",VLOOKUP(K820,GLAPS정리!$BB$2:$BC$33,2,0))))))</f>
        <v>#N/A</v>
      </c>
      <c r="AL820" s="2">
        <f t="shared" si="179"/>
        <v>5010001</v>
      </c>
      <c r="AN820" s="70" t="str">
        <f t="shared" si="180"/>
        <v>1900-01-00</v>
      </c>
      <c r="AO820" s="2" t="str">
        <f t="shared" si="181"/>
        <v/>
      </c>
      <c r="AP820" s="2" t="e">
        <f>VLOOKUP(C820,GLAPS정리!$AX$2:$AZ$17,3,0)</f>
        <v>#N/A</v>
      </c>
      <c r="AR820" s="2">
        <f t="shared" si="187"/>
        <v>0</v>
      </c>
      <c r="AX820" s="2" t="e">
        <f>VLOOKUP(L820,GLAPS정리!$V$3:$W$180,2,0)</f>
        <v>#N/A</v>
      </c>
      <c r="BM820" s="2" t="str">
        <f t="shared" si="182"/>
        <v xml:space="preserve"> </v>
      </c>
      <c r="BN820" s="2">
        <f t="shared" si="183"/>
        <v>1</v>
      </c>
      <c r="BR820" s="2" t="str">
        <f t="shared" si="184"/>
        <v/>
      </c>
      <c r="BS820" s="2" t="str">
        <f t="shared" si="185"/>
        <v/>
      </c>
      <c r="BV820" s="2" t="e">
        <f>VLOOKUP(O820,GLAPS정리!$BH$2:$BI$94,2,0)</f>
        <v>#N/A</v>
      </c>
      <c r="BW820" s="2" t="str">
        <f>IF(OR(Z820="동원",Z820="세방",Z820="한타"),"",IFERROR(INDEX(GLAPS정리!$BI$2:$BI$101,MATCH(Z820,GLAPS정리!$BH$2:$BH$101,0)),""))</f>
        <v/>
      </c>
      <c r="BX820" s="2" t="str">
        <f>IF(Z820="","",IFERROR(VLOOKUP(Z820,GLAPS정리!$AX$2:$AZ$17,3,0),""))</f>
        <v/>
      </c>
      <c r="BZ820" s="2" t="e">
        <f>VLOOKUP(H820,GLAPS정리!$L$3:$O$133,2,0)</f>
        <v>#N/A</v>
      </c>
      <c r="CA820" s="2" t="str">
        <f t="shared" si="186"/>
        <v/>
      </c>
      <c r="CL820" s="2" t="e">
        <f>VLOOKUP(AI820,GLAPS정리!$BT$3:$BV$26,3,0)</f>
        <v>#N/A</v>
      </c>
    </row>
    <row r="821" spans="2:90" ht="20.45" customHeight="1">
      <c r="B821" s="13"/>
      <c r="G821" s="3"/>
      <c r="J821" s="3"/>
      <c r="Q821" s="3" t="str">
        <f t="shared" si="174"/>
        <v/>
      </c>
      <c r="R821" s="3" t="str">
        <f t="shared" si="175"/>
        <v/>
      </c>
      <c r="S821" s="3" t="str">
        <f t="shared" si="176"/>
        <v/>
      </c>
      <c r="X821" s="13"/>
      <c r="Y821" s="13"/>
      <c r="Z821" s="91"/>
      <c r="AC821" s="2">
        <f t="shared" si="177"/>
        <v>20</v>
      </c>
      <c r="AD821" s="2" t="str">
        <f>IFERROR(INDEX(GLAPS정리!$D$2:$D$50,MATCH(I821,GLAPS정리!$A$2:$A$50,0)),IFERROR(INDEX(GLAPS정리!$D$2:$D$50,MATCH(I821,GLAPS정리!$B$2:$B$50,0)),""))</f>
        <v/>
      </c>
      <c r="AF821" s="2" t="str">
        <f t="shared" si="178"/>
        <v>KR10</v>
      </c>
      <c r="AI821" s="2" t="e">
        <f>VLOOKUP(F821,GLAPS정리!$G$3:$J$114,2,0)</f>
        <v>#N/A</v>
      </c>
      <c r="AJ821" s="2" t="e">
        <f>IF(Z821="울산정일","KRONS",IF(Z821="울산신항","KRUSN",IF(OR(Z821="선광종합물류(인천여객)",Z821="인천여객(인천여객)"),"KRINF",IF(OR(Z821="선광인천보세(인천신)",Z821="한진인천(인천신)",Z821="선광인천신항(인천신)",Z821="인천더로지스(인천신)"),"KRINN",IF(OR(Z821="인천진아(인천항)",Z821="인천E1(인천항)",Z821="인천SM경인터미널(인천항)",Z821="인천항(인천항)",Z821="인천우련(인천항)",Z821="인천항8부두(인천항)"),"KRINC",VLOOKUP(K821,GLAPS정리!$BB$2:$BC$33,2,0))))))</f>
        <v>#N/A</v>
      </c>
      <c r="AL821" s="2">
        <f t="shared" si="179"/>
        <v>5010001</v>
      </c>
      <c r="AN821" s="70" t="str">
        <f t="shared" si="180"/>
        <v>1900-01-00</v>
      </c>
      <c r="AO821" s="2" t="str">
        <f t="shared" si="181"/>
        <v/>
      </c>
      <c r="AP821" s="2" t="e">
        <f>VLOOKUP(C821,GLAPS정리!$AX$2:$AZ$17,3,0)</f>
        <v>#N/A</v>
      </c>
      <c r="AR821" s="2">
        <f t="shared" si="187"/>
        <v>0</v>
      </c>
      <c r="AX821" s="2" t="e">
        <f>VLOOKUP(L821,GLAPS정리!$V$3:$W$180,2,0)</f>
        <v>#N/A</v>
      </c>
      <c r="BM821" s="2" t="str">
        <f t="shared" si="182"/>
        <v xml:space="preserve"> </v>
      </c>
      <c r="BN821" s="2">
        <f t="shared" si="183"/>
        <v>1</v>
      </c>
      <c r="BR821" s="2" t="str">
        <f t="shared" si="184"/>
        <v/>
      </c>
      <c r="BS821" s="2" t="str">
        <f t="shared" si="185"/>
        <v/>
      </c>
      <c r="BV821" s="2" t="e">
        <f>VLOOKUP(O821,GLAPS정리!$BH$2:$BI$94,2,0)</f>
        <v>#N/A</v>
      </c>
      <c r="BW821" s="2" t="str">
        <f>IF(OR(Z821="동원",Z821="세방",Z821="한타"),"",IFERROR(INDEX(GLAPS정리!$BI$2:$BI$101,MATCH(Z821,GLAPS정리!$BH$2:$BH$101,0)),""))</f>
        <v/>
      </c>
      <c r="BX821" s="2" t="str">
        <f>IF(Z821="","",IFERROR(VLOOKUP(Z821,GLAPS정리!$AX$2:$AZ$17,3,0),""))</f>
        <v/>
      </c>
      <c r="BZ821" s="2" t="e">
        <f>VLOOKUP(H821,GLAPS정리!$L$3:$O$133,2,0)</f>
        <v>#N/A</v>
      </c>
      <c r="CA821" s="2" t="str">
        <f t="shared" si="186"/>
        <v/>
      </c>
      <c r="CL821" s="2" t="e">
        <f>VLOOKUP(AI821,GLAPS정리!$BT$3:$BV$26,3,0)</f>
        <v>#N/A</v>
      </c>
    </row>
    <row r="822" spans="2:90" ht="20.45" customHeight="1">
      <c r="B822" s="13"/>
      <c r="G822" s="3"/>
      <c r="J822" s="3"/>
      <c r="Q822" s="3" t="str">
        <f t="shared" si="174"/>
        <v/>
      </c>
      <c r="R822" s="3" t="str">
        <f t="shared" si="175"/>
        <v/>
      </c>
      <c r="S822" s="3" t="str">
        <f t="shared" si="176"/>
        <v/>
      </c>
      <c r="X822" s="13"/>
      <c r="Y822" s="13"/>
      <c r="Z822" s="91"/>
      <c r="AC822" s="2">
        <f t="shared" si="177"/>
        <v>20</v>
      </c>
      <c r="AD822" s="2" t="str">
        <f>IFERROR(INDEX(GLAPS정리!$D$2:$D$50,MATCH(I822,GLAPS정리!$A$2:$A$50,0)),IFERROR(INDEX(GLAPS정리!$D$2:$D$50,MATCH(I822,GLAPS정리!$B$2:$B$50,0)),""))</f>
        <v/>
      </c>
      <c r="AF822" s="2" t="str">
        <f t="shared" si="178"/>
        <v>KR10</v>
      </c>
      <c r="AI822" s="2" t="e">
        <f>VLOOKUP(F822,GLAPS정리!$G$3:$J$114,2,0)</f>
        <v>#N/A</v>
      </c>
      <c r="AJ822" s="2" t="e">
        <f>IF(Z822="울산정일","KRONS",IF(Z822="울산신항","KRUSN",IF(OR(Z822="선광종합물류(인천여객)",Z822="인천여객(인천여객)"),"KRINF",IF(OR(Z822="선광인천보세(인천신)",Z822="한진인천(인천신)",Z822="선광인천신항(인천신)",Z822="인천더로지스(인천신)"),"KRINN",IF(OR(Z822="인천진아(인천항)",Z822="인천E1(인천항)",Z822="인천SM경인터미널(인천항)",Z822="인천항(인천항)",Z822="인천우련(인천항)",Z822="인천항8부두(인천항)"),"KRINC",VLOOKUP(K822,GLAPS정리!$BB$2:$BC$33,2,0))))))</f>
        <v>#N/A</v>
      </c>
      <c r="AL822" s="2">
        <f t="shared" si="179"/>
        <v>5010001</v>
      </c>
      <c r="AN822" s="70" t="str">
        <f t="shared" si="180"/>
        <v>1900-01-00</v>
      </c>
      <c r="AO822" s="2" t="str">
        <f t="shared" si="181"/>
        <v/>
      </c>
      <c r="AP822" s="2" t="e">
        <f>VLOOKUP(C822,GLAPS정리!$AX$2:$AZ$17,3,0)</f>
        <v>#N/A</v>
      </c>
      <c r="AR822" s="2">
        <f t="shared" si="187"/>
        <v>0</v>
      </c>
      <c r="AX822" s="2" t="e">
        <f>VLOOKUP(L822,GLAPS정리!$V$3:$W$180,2,0)</f>
        <v>#N/A</v>
      </c>
      <c r="BM822" s="2" t="str">
        <f t="shared" si="182"/>
        <v xml:space="preserve"> </v>
      </c>
      <c r="BN822" s="2">
        <f t="shared" si="183"/>
        <v>1</v>
      </c>
      <c r="BR822" s="2" t="str">
        <f t="shared" si="184"/>
        <v/>
      </c>
      <c r="BS822" s="2" t="str">
        <f t="shared" si="185"/>
        <v/>
      </c>
      <c r="BV822" s="2" t="e">
        <f>VLOOKUP(O822,GLAPS정리!$BH$2:$BI$94,2,0)</f>
        <v>#N/A</v>
      </c>
      <c r="BW822" s="2" t="str">
        <f>IF(OR(Z822="동원",Z822="세방",Z822="한타"),"",IFERROR(INDEX(GLAPS정리!$BI$2:$BI$101,MATCH(Z822,GLAPS정리!$BH$2:$BH$101,0)),""))</f>
        <v/>
      </c>
      <c r="BX822" s="2" t="str">
        <f>IF(Z822="","",IFERROR(VLOOKUP(Z822,GLAPS정리!$AX$2:$AZ$17,3,0),""))</f>
        <v/>
      </c>
      <c r="BZ822" s="2" t="e">
        <f>VLOOKUP(H822,GLAPS정리!$L$3:$O$133,2,0)</f>
        <v>#N/A</v>
      </c>
      <c r="CA822" s="2" t="str">
        <f t="shared" si="186"/>
        <v/>
      </c>
      <c r="CL822" s="2" t="e">
        <f>VLOOKUP(AI822,GLAPS정리!$BT$3:$BV$26,3,0)</f>
        <v>#N/A</v>
      </c>
    </row>
    <row r="823" spans="2:90" ht="20.45" customHeight="1">
      <c r="B823" s="13"/>
      <c r="G823" s="3"/>
      <c r="J823" s="3"/>
      <c r="Q823" s="3" t="str">
        <f t="shared" si="174"/>
        <v/>
      </c>
      <c r="R823" s="3" t="str">
        <f t="shared" si="175"/>
        <v/>
      </c>
      <c r="S823" s="3" t="str">
        <f t="shared" si="176"/>
        <v/>
      </c>
      <c r="X823" s="13"/>
      <c r="Y823" s="13"/>
      <c r="Z823" s="91"/>
      <c r="AC823" s="2">
        <f t="shared" si="177"/>
        <v>20</v>
      </c>
      <c r="AD823" s="2" t="str">
        <f>IFERROR(INDEX(GLAPS정리!$D$2:$D$50,MATCH(I823,GLAPS정리!$A$2:$A$50,0)),IFERROR(INDEX(GLAPS정리!$D$2:$D$50,MATCH(I823,GLAPS정리!$B$2:$B$50,0)),""))</f>
        <v/>
      </c>
      <c r="AF823" s="2" t="str">
        <f t="shared" si="178"/>
        <v>KR10</v>
      </c>
      <c r="AI823" s="2" t="e">
        <f>VLOOKUP(F823,GLAPS정리!$G$3:$J$114,2,0)</f>
        <v>#N/A</v>
      </c>
      <c r="AJ823" s="2" t="e">
        <f>IF(Z823="울산정일","KRONS",IF(Z823="울산신항","KRUSN",IF(OR(Z823="선광종합물류(인천여객)",Z823="인천여객(인천여객)"),"KRINF",IF(OR(Z823="선광인천보세(인천신)",Z823="한진인천(인천신)",Z823="선광인천신항(인천신)",Z823="인천더로지스(인천신)"),"KRINN",IF(OR(Z823="인천진아(인천항)",Z823="인천E1(인천항)",Z823="인천SM경인터미널(인천항)",Z823="인천항(인천항)",Z823="인천우련(인천항)",Z823="인천항8부두(인천항)"),"KRINC",VLOOKUP(K823,GLAPS정리!$BB$2:$BC$33,2,0))))))</f>
        <v>#N/A</v>
      </c>
      <c r="AL823" s="2">
        <f t="shared" si="179"/>
        <v>5010001</v>
      </c>
      <c r="AN823" s="70" t="str">
        <f t="shared" si="180"/>
        <v>1900-01-00</v>
      </c>
      <c r="AO823" s="2" t="str">
        <f t="shared" si="181"/>
        <v/>
      </c>
      <c r="AP823" s="2" t="e">
        <f>VLOOKUP(C823,GLAPS정리!$AX$2:$AZ$17,3,0)</f>
        <v>#N/A</v>
      </c>
      <c r="AR823" s="2">
        <f t="shared" si="187"/>
        <v>0</v>
      </c>
      <c r="AX823" s="2" t="e">
        <f>VLOOKUP(L823,GLAPS정리!$V$3:$W$180,2,0)</f>
        <v>#N/A</v>
      </c>
      <c r="BM823" s="2" t="str">
        <f t="shared" si="182"/>
        <v xml:space="preserve"> </v>
      </c>
      <c r="BN823" s="2">
        <f t="shared" si="183"/>
        <v>1</v>
      </c>
      <c r="BR823" s="2" t="str">
        <f t="shared" si="184"/>
        <v/>
      </c>
      <c r="BS823" s="2" t="str">
        <f t="shared" si="185"/>
        <v/>
      </c>
      <c r="BV823" s="2" t="e">
        <f>VLOOKUP(O823,GLAPS정리!$BH$2:$BI$94,2,0)</f>
        <v>#N/A</v>
      </c>
      <c r="BW823" s="2" t="str">
        <f>IF(OR(Z823="동원",Z823="세방",Z823="한타"),"",IFERROR(INDEX(GLAPS정리!$BI$2:$BI$101,MATCH(Z823,GLAPS정리!$BH$2:$BH$101,0)),""))</f>
        <v/>
      </c>
      <c r="BX823" s="2" t="str">
        <f>IF(Z823="","",IFERROR(VLOOKUP(Z823,GLAPS정리!$AX$2:$AZ$17,3,0),""))</f>
        <v/>
      </c>
      <c r="BZ823" s="2" t="e">
        <f>VLOOKUP(H823,GLAPS정리!$L$3:$O$133,2,0)</f>
        <v>#N/A</v>
      </c>
      <c r="CA823" s="2" t="str">
        <f t="shared" si="186"/>
        <v/>
      </c>
      <c r="CL823" s="2" t="e">
        <f>VLOOKUP(AI823,GLAPS정리!$BT$3:$BV$26,3,0)</f>
        <v>#N/A</v>
      </c>
    </row>
    <row r="824" spans="2:90" ht="20.45" customHeight="1">
      <c r="B824" s="13"/>
      <c r="G824" s="3"/>
      <c r="J824" s="3"/>
      <c r="Q824" s="3" t="str">
        <f t="shared" si="174"/>
        <v/>
      </c>
      <c r="R824" s="3" t="str">
        <f t="shared" si="175"/>
        <v/>
      </c>
      <c r="S824" s="3" t="str">
        <f t="shared" si="176"/>
        <v/>
      </c>
      <c r="X824" s="13"/>
      <c r="Y824" s="13"/>
      <c r="Z824" s="91"/>
      <c r="AC824" s="2">
        <f t="shared" si="177"/>
        <v>20</v>
      </c>
      <c r="AD824" s="2" t="str">
        <f>IFERROR(INDEX(GLAPS정리!$D$2:$D$50,MATCH(I824,GLAPS정리!$A$2:$A$50,0)),IFERROR(INDEX(GLAPS정리!$D$2:$D$50,MATCH(I824,GLAPS정리!$B$2:$B$50,0)),""))</f>
        <v/>
      </c>
      <c r="AF824" s="2" t="str">
        <f t="shared" si="178"/>
        <v>KR10</v>
      </c>
      <c r="AI824" s="2" t="e">
        <f>VLOOKUP(F824,GLAPS정리!$G$3:$J$114,2,0)</f>
        <v>#N/A</v>
      </c>
      <c r="AJ824" s="2" t="e">
        <f>IF(Z824="울산정일","KRONS",IF(Z824="울산신항","KRUSN",IF(OR(Z824="선광종합물류(인천여객)",Z824="인천여객(인천여객)"),"KRINF",IF(OR(Z824="선광인천보세(인천신)",Z824="한진인천(인천신)",Z824="선광인천신항(인천신)",Z824="인천더로지스(인천신)"),"KRINN",IF(OR(Z824="인천진아(인천항)",Z824="인천E1(인천항)",Z824="인천SM경인터미널(인천항)",Z824="인천항(인천항)",Z824="인천우련(인천항)",Z824="인천항8부두(인천항)"),"KRINC",VLOOKUP(K824,GLAPS정리!$BB$2:$BC$33,2,0))))))</f>
        <v>#N/A</v>
      </c>
      <c r="AL824" s="2">
        <f t="shared" si="179"/>
        <v>5010001</v>
      </c>
      <c r="AN824" s="70" t="str">
        <f t="shared" si="180"/>
        <v>1900-01-00</v>
      </c>
      <c r="AO824" s="2" t="str">
        <f t="shared" si="181"/>
        <v/>
      </c>
      <c r="AP824" s="2" t="e">
        <f>VLOOKUP(C824,GLAPS정리!$AX$2:$AZ$17,3,0)</f>
        <v>#N/A</v>
      </c>
      <c r="AR824" s="2">
        <f t="shared" si="187"/>
        <v>0</v>
      </c>
      <c r="AX824" s="2" t="e">
        <f>VLOOKUP(L824,GLAPS정리!$V$3:$W$180,2,0)</f>
        <v>#N/A</v>
      </c>
      <c r="BM824" s="2" t="str">
        <f t="shared" si="182"/>
        <v xml:space="preserve"> </v>
      </c>
      <c r="BN824" s="2">
        <f t="shared" si="183"/>
        <v>1</v>
      </c>
      <c r="BR824" s="2" t="str">
        <f t="shared" si="184"/>
        <v/>
      </c>
      <c r="BS824" s="2" t="str">
        <f t="shared" si="185"/>
        <v/>
      </c>
      <c r="BV824" s="2" t="e">
        <f>VLOOKUP(O824,GLAPS정리!$BH$2:$BI$94,2,0)</f>
        <v>#N/A</v>
      </c>
      <c r="BW824" s="2" t="str">
        <f>IF(OR(Z824="동원",Z824="세방",Z824="한타"),"",IFERROR(INDEX(GLAPS정리!$BI$2:$BI$101,MATCH(Z824,GLAPS정리!$BH$2:$BH$101,0)),""))</f>
        <v/>
      </c>
      <c r="BX824" s="2" t="str">
        <f>IF(Z824="","",IFERROR(VLOOKUP(Z824,GLAPS정리!$AX$2:$AZ$17,3,0),""))</f>
        <v/>
      </c>
      <c r="BZ824" s="2" t="e">
        <f>VLOOKUP(H824,GLAPS정리!$L$3:$O$133,2,0)</f>
        <v>#N/A</v>
      </c>
      <c r="CA824" s="2" t="str">
        <f t="shared" si="186"/>
        <v/>
      </c>
      <c r="CL824" s="2" t="e">
        <f>VLOOKUP(AI824,GLAPS정리!$BT$3:$BV$26,3,0)</f>
        <v>#N/A</v>
      </c>
    </row>
    <row r="825" spans="2:90" ht="20.45" customHeight="1">
      <c r="B825" s="13"/>
      <c r="G825" s="3"/>
      <c r="J825" s="3"/>
      <c r="Q825" s="3" t="str">
        <f t="shared" si="174"/>
        <v/>
      </c>
      <c r="R825" s="3" t="str">
        <f t="shared" si="175"/>
        <v/>
      </c>
      <c r="S825" s="3" t="str">
        <f t="shared" si="176"/>
        <v/>
      </c>
      <c r="X825" s="13"/>
      <c r="Y825" s="13"/>
      <c r="Z825" s="91"/>
      <c r="AC825" s="2">
        <f t="shared" si="177"/>
        <v>20</v>
      </c>
      <c r="AD825" s="2" t="str">
        <f>IFERROR(INDEX(GLAPS정리!$D$2:$D$50,MATCH(I825,GLAPS정리!$A$2:$A$50,0)),IFERROR(INDEX(GLAPS정리!$D$2:$D$50,MATCH(I825,GLAPS정리!$B$2:$B$50,0)),""))</f>
        <v/>
      </c>
      <c r="AF825" s="2" t="str">
        <f t="shared" si="178"/>
        <v>KR10</v>
      </c>
      <c r="AI825" s="2" t="e">
        <f>VLOOKUP(F825,GLAPS정리!$G$3:$J$114,2,0)</f>
        <v>#N/A</v>
      </c>
      <c r="AJ825" s="2" t="e">
        <f>IF(Z825="울산정일","KRONS",IF(Z825="울산신항","KRUSN",IF(OR(Z825="선광종합물류(인천여객)",Z825="인천여객(인천여객)"),"KRINF",IF(OR(Z825="선광인천보세(인천신)",Z825="한진인천(인천신)",Z825="선광인천신항(인천신)",Z825="인천더로지스(인천신)"),"KRINN",IF(OR(Z825="인천진아(인천항)",Z825="인천E1(인천항)",Z825="인천SM경인터미널(인천항)",Z825="인천항(인천항)",Z825="인천우련(인천항)",Z825="인천항8부두(인천항)"),"KRINC",VLOOKUP(K825,GLAPS정리!$BB$2:$BC$33,2,0))))))</f>
        <v>#N/A</v>
      </c>
      <c r="AL825" s="2">
        <f t="shared" si="179"/>
        <v>5010001</v>
      </c>
      <c r="AN825" s="70" t="str">
        <f t="shared" si="180"/>
        <v>1900-01-00</v>
      </c>
      <c r="AO825" s="2" t="str">
        <f t="shared" si="181"/>
        <v/>
      </c>
      <c r="AP825" s="2" t="e">
        <f>VLOOKUP(C825,GLAPS정리!$AX$2:$AZ$17,3,0)</f>
        <v>#N/A</v>
      </c>
      <c r="AR825" s="2">
        <f t="shared" si="187"/>
        <v>0</v>
      </c>
      <c r="AX825" s="2" t="e">
        <f>VLOOKUP(L825,GLAPS정리!$V$3:$W$180,2,0)</f>
        <v>#N/A</v>
      </c>
      <c r="BM825" s="2" t="str">
        <f t="shared" si="182"/>
        <v xml:space="preserve"> </v>
      </c>
      <c r="BN825" s="2">
        <f t="shared" si="183"/>
        <v>1</v>
      </c>
      <c r="BR825" s="2" t="str">
        <f t="shared" si="184"/>
        <v/>
      </c>
      <c r="BS825" s="2" t="str">
        <f t="shared" si="185"/>
        <v/>
      </c>
      <c r="BV825" s="2" t="e">
        <f>VLOOKUP(O825,GLAPS정리!$BH$2:$BI$94,2,0)</f>
        <v>#N/A</v>
      </c>
      <c r="BW825" s="2" t="str">
        <f>IF(OR(Z825="동원",Z825="세방",Z825="한타"),"",IFERROR(INDEX(GLAPS정리!$BI$2:$BI$101,MATCH(Z825,GLAPS정리!$BH$2:$BH$101,0)),""))</f>
        <v/>
      </c>
      <c r="BX825" s="2" t="str">
        <f>IF(Z825="","",IFERROR(VLOOKUP(Z825,GLAPS정리!$AX$2:$AZ$17,3,0),""))</f>
        <v/>
      </c>
      <c r="BZ825" s="2" t="e">
        <f>VLOOKUP(H825,GLAPS정리!$L$3:$O$133,2,0)</f>
        <v>#N/A</v>
      </c>
      <c r="CA825" s="2" t="str">
        <f t="shared" si="186"/>
        <v/>
      </c>
      <c r="CL825" s="2" t="e">
        <f>VLOOKUP(AI825,GLAPS정리!$BT$3:$BV$26,3,0)</f>
        <v>#N/A</v>
      </c>
    </row>
    <row r="826" spans="2:90" ht="20.45" customHeight="1">
      <c r="B826" s="13"/>
      <c r="G826" s="3"/>
      <c r="J826" s="3"/>
      <c r="Q826" s="3" t="str">
        <f t="shared" si="174"/>
        <v/>
      </c>
      <c r="R826" s="3" t="str">
        <f t="shared" si="175"/>
        <v/>
      </c>
      <c r="S826" s="3" t="str">
        <f t="shared" si="176"/>
        <v/>
      </c>
      <c r="X826" s="13"/>
      <c r="Y826" s="13"/>
      <c r="Z826" s="91"/>
      <c r="AC826" s="2">
        <f t="shared" si="177"/>
        <v>20</v>
      </c>
      <c r="AD826" s="2" t="str">
        <f>IFERROR(INDEX(GLAPS정리!$D$2:$D$50,MATCH(I826,GLAPS정리!$A$2:$A$50,0)),IFERROR(INDEX(GLAPS정리!$D$2:$D$50,MATCH(I826,GLAPS정리!$B$2:$B$50,0)),""))</f>
        <v/>
      </c>
      <c r="AF826" s="2" t="str">
        <f t="shared" si="178"/>
        <v>KR10</v>
      </c>
      <c r="AI826" s="2" t="e">
        <f>VLOOKUP(F826,GLAPS정리!$G$3:$J$114,2,0)</f>
        <v>#N/A</v>
      </c>
      <c r="AJ826" s="2" t="e">
        <f>IF(Z826="울산정일","KRONS",IF(Z826="울산신항","KRUSN",IF(OR(Z826="선광종합물류(인천여객)",Z826="인천여객(인천여객)"),"KRINF",IF(OR(Z826="선광인천보세(인천신)",Z826="한진인천(인천신)",Z826="선광인천신항(인천신)",Z826="인천더로지스(인천신)"),"KRINN",IF(OR(Z826="인천진아(인천항)",Z826="인천E1(인천항)",Z826="인천SM경인터미널(인천항)",Z826="인천항(인천항)",Z826="인천우련(인천항)",Z826="인천항8부두(인천항)"),"KRINC",VLOOKUP(K826,GLAPS정리!$BB$2:$BC$33,2,0))))))</f>
        <v>#N/A</v>
      </c>
      <c r="AL826" s="2">
        <f t="shared" si="179"/>
        <v>5010001</v>
      </c>
      <c r="AN826" s="70" t="str">
        <f t="shared" si="180"/>
        <v>1900-01-00</v>
      </c>
      <c r="AO826" s="2" t="str">
        <f t="shared" si="181"/>
        <v/>
      </c>
      <c r="AP826" s="2" t="e">
        <f>VLOOKUP(C826,GLAPS정리!$AX$2:$AZ$17,3,0)</f>
        <v>#N/A</v>
      </c>
      <c r="AR826" s="2">
        <f t="shared" si="187"/>
        <v>0</v>
      </c>
      <c r="AX826" s="2" t="e">
        <f>VLOOKUP(L826,GLAPS정리!$V$3:$W$180,2,0)</f>
        <v>#N/A</v>
      </c>
      <c r="BM826" s="2" t="str">
        <f t="shared" si="182"/>
        <v xml:space="preserve"> </v>
      </c>
      <c r="BN826" s="2">
        <f t="shared" si="183"/>
        <v>1</v>
      </c>
      <c r="BR826" s="2" t="str">
        <f t="shared" si="184"/>
        <v/>
      </c>
      <c r="BS826" s="2" t="str">
        <f t="shared" si="185"/>
        <v/>
      </c>
      <c r="BV826" s="2" t="e">
        <f>VLOOKUP(O826,GLAPS정리!$BH$2:$BI$94,2,0)</f>
        <v>#N/A</v>
      </c>
      <c r="BW826" s="2" t="str">
        <f>IF(OR(Z826="동원",Z826="세방",Z826="한타"),"",IFERROR(INDEX(GLAPS정리!$BI$2:$BI$101,MATCH(Z826,GLAPS정리!$BH$2:$BH$101,0)),""))</f>
        <v/>
      </c>
      <c r="BX826" s="2" t="str">
        <f>IF(Z826="","",IFERROR(VLOOKUP(Z826,GLAPS정리!$AX$2:$AZ$17,3,0),""))</f>
        <v/>
      </c>
      <c r="BZ826" s="2" t="e">
        <f>VLOOKUP(H826,GLAPS정리!$L$3:$O$133,2,0)</f>
        <v>#N/A</v>
      </c>
      <c r="CA826" s="2" t="str">
        <f t="shared" si="186"/>
        <v/>
      </c>
      <c r="CL826" s="2" t="e">
        <f>VLOOKUP(AI826,GLAPS정리!$BT$3:$BV$26,3,0)</f>
        <v>#N/A</v>
      </c>
    </row>
    <row r="827" spans="2:90" ht="20.45" customHeight="1">
      <c r="B827" s="13"/>
      <c r="G827" s="3"/>
      <c r="J827" s="3"/>
      <c r="Q827" s="3" t="str">
        <f t="shared" si="174"/>
        <v/>
      </c>
      <c r="R827" s="3" t="str">
        <f t="shared" si="175"/>
        <v/>
      </c>
      <c r="S827" s="3" t="str">
        <f t="shared" si="176"/>
        <v/>
      </c>
      <c r="X827" s="13"/>
      <c r="Y827" s="13"/>
      <c r="Z827" s="91"/>
      <c r="AC827" s="2">
        <f t="shared" si="177"/>
        <v>20</v>
      </c>
      <c r="AD827" s="2" t="str">
        <f>IFERROR(INDEX(GLAPS정리!$D$2:$D$50,MATCH(I827,GLAPS정리!$A$2:$A$50,0)),IFERROR(INDEX(GLAPS정리!$D$2:$D$50,MATCH(I827,GLAPS정리!$B$2:$B$50,0)),""))</f>
        <v/>
      </c>
      <c r="AF827" s="2" t="str">
        <f t="shared" si="178"/>
        <v>KR10</v>
      </c>
      <c r="AI827" s="2" t="e">
        <f>VLOOKUP(F827,GLAPS정리!$G$3:$J$114,2,0)</f>
        <v>#N/A</v>
      </c>
      <c r="AJ827" s="2" t="e">
        <f>IF(Z827="울산정일","KRONS",IF(Z827="울산신항","KRUSN",IF(OR(Z827="선광종합물류(인천여객)",Z827="인천여객(인천여객)"),"KRINF",IF(OR(Z827="선광인천보세(인천신)",Z827="한진인천(인천신)",Z827="선광인천신항(인천신)",Z827="인천더로지스(인천신)"),"KRINN",IF(OR(Z827="인천진아(인천항)",Z827="인천E1(인천항)",Z827="인천SM경인터미널(인천항)",Z827="인천항(인천항)",Z827="인천우련(인천항)",Z827="인천항8부두(인천항)"),"KRINC",VLOOKUP(K827,GLAPS정리!$BB$2:$BC$33,2,0))))))</f>
        <v>#N/A</v>
      </c>
      <c r="AL827" s="2">
        <f t="shared" si="179"/>
        <v>5010001</v>
      </c>
      <c r="AN827" s="70" t="str">
        <f t="shared" si="180"/>
        <v>1900-01-00</v>
      </c>
      <c r="AO827" s="2" t="str">
        <f t="shared" si="181"/>
        <v/>
      </c>
      <c r="AP827" s="2" t="e">
        <f>VLOOKUP(C827,GLAPS정리!$AX$2:$AZ$17,3,0)</f>
        <v>#N/A</v>
      </c>
      <c r="AR827" s="2">
        <f t="shared" si="187"/>
        <v>0</v>
      </c>
      <c r="AX827" s="2" t="e">
        <f>VLOOKUP(L827,GLAPS정리!$V$3:$W$180,2,0)</f>
        <v>#N/A</v>
      </c>
      <c r="BM827" s="2" t="str">
        <f t="shared" si="182"/>
        <v xml:space="preserve"> </v>
      </c>
      <c r="BN827" s="2">
        <f t="shared" si="183"/>
        <v>1</v>
      </c>
      <c r="BR827" s="2" t="str">
        <f t="shared" si="184"/>
        <v/>
      </c>
      <c r="BS827" s="2" t="str">
        <f t="shared" si="185"/>
        <v/>
      </c>
      <c r="BV827" s="2" t="e">
        <f>VLOOKUP(O827,GLAPS정리!$BH$2:$BI$94,2,0)</f>
        <v>#N/A</v>
      </c>
      <c r="BW827" s="2" t="str">
        <f>IF(OR(Z827="동원",Z827="세방",Z827="한타"),"",IFERROR(INDEX(GLAPS정리!$BI$2:$BI$101,MATCH(Z827,GLAPS정리!$BH$2:$BH$101,0)),""))</f>
        <v/>
      </c>
      <c r="BX827" s="2" t="str">
        <f>IF(Z827="","",IFERROR(VLOOKUP(Z827,GLAPS정리!$AX$2:$AZ$17,3,0),""))</f>
        <v/>
      </c>
      <c r="BZ827" s="2" t="e">
        <f>VLOOKUP(H827,GLAPS정리!$L$3:$O$133,2,0)</f>
        <v>#N/A</v>
      </c>
      <c r="CA827" s="2" t="str">
        <f t="shared" si="186"/>
        <v/>
      </c>
      <c r="CL827" s="2" t="e">
        <f>VLOOKUP(AI827,GLAPS정리!$BT$3:$BV$26,3,0)</f>
        <v>#N/A</v>
      </c>
    </row>
    <row r="828" spans="2:90" ht="20.45" customHeight="1">
      <c r="B828" s="13"/>
      <c r="G828" s="3"/>
      <c r="J828" s="3"/>
      <c r="Q828" s="3" t="str">
        <f t="shared" ref="Q828:Q890" si="188">IF(J828="20 FeeT",1,"")</f>
        <v/>
      </c>
      <c r="R828" s="3" t="str">
        <f t="shared" ref="R828:R890" si="189">IF(J828="40 Feet N",1,"")</f>
        <v/>
      </c>
      <c r="S828" s="3" t="str">
        <f t="shared" ref="S828:S890" si="190">IF(J828="40 Feet H",1,"")</f>
        <v/>
      </c>
      <c r="X828" s="13"/>
      <c r="Y828" s="13"/>
      <c r="Z828" s="91"/>
      <c r="AC828" s="2">
        <f t="shared" ref="AC828:AC890" si="191">$AC$1</f>
        <v>20</v>
      </c>
      <c r="AD828" s="2" t="str">
        <f>IFERROR(INDEX(GLAPS정리!$D$2:$D$50,MATCH(I828,GLAPS정리!$A$2:$A$50,0)),IFERROR(INDEX(GLAPS정리!$D$2:$D$50,MATCH(I828,GLAPS정리!$B$2:$B$50,0)),""))</f>
        <v/>
      </c>
      <c r="AF828" s="2" t="str">
        <f t="shared" ref="AF828:AF890" si="192">$AF$1</f>
        <v>KR10</v>
      </c>
      <c r="AI828" s="2" t="e">
        <f>VLOOKUP(F828,GLAPS정리!$G$3:$J$114,2,0)</f>
        <v>#N/A</v>
      </c>
      <c r="AJ828" s="2" t="e">
        <f>IF(Z828="울산정일","KRONS",IF(Z828="울산신항","KRUSN",IF(OR(Z828="선광종합물류(인천여객)",Z828="인천여객(인천여객)"),"KRINF",IF(OR(Z828="선광인천보세(인천신)",Z828="한진인천(인천신)",Z828="선광인천신항(인천신)",Z828="인천더로지스(인천신)"),"KRINN",IF(OR(Z828="인천진아(인천항)",Z828="인천E1(인천항)",Z828="인천SM경인터미널(인천항)",Z828="인천항(인천항)",Z828="인천우련(인천항)",Z828="인천항8부두(인천항)"),"KRINC",VLOOKUP(K828,GLAPS정리!$BB$2:$BC$33,2,0))))))</f>
        <v>#N/A</v>
      </c>
      <c r="AL828" s="2">
        <f t="shared" ref="AL828:AL890" si="193">$AL$1</f>
        <v>5010001</v>
      </c>
      <c r="AN828" s="70" t="str">
        <f t="shared" si="180"/>
        <v>1900-01-00</v>
      </c>
      <c r="AO828" s="2" t="str">
        <f t="shared" ref="AO828:AO890" si="194">IF(E828="오전", "0800", IF(E828="오후", "1300", IF(E828="잔업", "1800", "")))</f>
        <v/>
      </c>
      <c r="AP828" s="2" t="e">
        <f>VLOOKUP(C828,GLAPS정리!$AX$2:$AZ$17,3,0)</f>
        <v>#N/A</v>
      </c>
      <c r="AR828" s="2">
        <f t="shared" si="187"/>
        <v>0</v>
      </c>
      <c r="AX828" s="2" t="e">
        <f>VLOOKUP(L828,GLAPS정리!$V$3:$W$180,2,0)</f>
        <v>#N/A</v>
      </c>
      <c r="BM828" s="2" t="str">
        <f t="shared" ref="BM828:BM890" si="195">IF(AND(Q828=1,OR(P828="",P828="위험물")), "2210", IF(AND(Q828=1,OR(P828="리퍼",P828="위험물리퍼")), "2230", IF(AND(S828=1,OR(P828="",P828="위험물")), "4510", IF(AND(S828=1,OR(P828="리퍼",P828="위험물리퍼")), "4530", IF(AND(R828=1,OR(P828="",P828="위험물")), "4210", IF(AND(R828=1,P828="리퍼"), "4230", " "))))))</f>
        <v xml:space="preserve"> </v>
      </c>
      <c r="BN828" s="2">
        <f t="shared" ref="BN828:BN890" si="196">$BN$1</f>
        <v>1</v>
      </c>
      <c r="BR828" s="2" t="str">
        <f t="shared" ref="BR828:BR890" si="197">IF(OR(P828="리퍼",P828="위험물리퍼"),"Y","")</f>
        <v/>
      </c>
      <c r="BS828" s="2" t="str">
        <f t="shared" ref="BS828:BS890" si="198">IF(OR(P828="위험물",P828="위험물리퍼"),"Y","")</f>
        <v/>
      </c>
      <c r="BV828" s="2" t="e">
        <f>VLOOKUP(O828,GLAPS정리!$BH$2:$BI$94,2,0)</f>
        <v>#N/A</v>
      </c>
      <c r="BW828" s="2" t="str">
        <f>IF(OR(Z828="동원",Z828="세방",Z828="한타"),"",IFERROR(INDEX(GLAPS정리!$BI$2:$BI$101,MATCH(Z828,GLAPS정리!$BH$2:$BH$101,0)),""))</f>
        <v/>
      </c>
      <c r="BX828" s="2" t="str">
        <f>IF(Z828="","",IFERROR(VLOOKUP(Z828,GLAPS정리!$AX$2:$AZ$17,3,0),""))</f>
        <v/>
      </c>
      <c r="BZ828" s="2" t="e">
        <f>VLOOKUP(H828,GLAPS정리!$L$3:$O$133,2,0)</f>
        <v>#N/A</v>
      </c>
      <c r="CA828" s="2" t="str">
        <f t="shared" ref="CA828:CA889" si="199">IF(V828="공휴일", 10, IF(V828="야간", 20, IF(V828="위험물", 30, IF(V828="중량", 40, ""))))</f>
        <v/>
      </c>
      <c r="CL828" s="2" t="e">
        <f>VLOOKUP(AI828,GLAPS정리!$BT$3:$BV$26,3,0)</f>
        <v>#N/A</v>
      </c>
    </row>
    <row r="829" spans="2:90" ht="20.45" customHeight="1">
      <c r="B829" s="13"/>
      <c r="G829" s="3"/>
      <c r="J829" s="3"/>
      <c r="Q829" s="3" t="str">
        <f t="shared" si="188"/>
        <v/>
      </c>
      <c r="R829" s="3" t="str">
        <f t="shared" si="189"/>
        <v/>
      </c>
      <c r="S829" s="3" t="str">
        <f t="shared" si="190"/>
        <v/>
      </c>
      <c r="X829" s="13"/>
      <c r="Y829" s="13"/>
      <c r="Z829" s="91"/>
      <c r="AC829" s="2">
        <f t="shared" si="191"/>
        <v>20</v>
      </c>
      <c r="AD829" s="2" t="str">
        <f>IFERROR(INDEX(GLAPS정리!$D$2:$D$50,MATCH(I829,GLAPS정리!$A$2:$A$50,0)),IFERROR(INDEX(GLAPS정리!$D$2:$D$50,MATCH(I829,GLAPS정리!$B$2:$B$50,0)),""))</f>
        <v/>
      </c>
      <c r="AF829" s="2" t="str">
        <f t="shared" si="192"/>
        <v>KR10</v>
      </c>
      <c r="AI829" s="2" t="e">
        <f>VLOOKUP(F829,GLAPS정리!$G$3:$J$114,2,0)</f>
        <v>#N/A</v>
      </c>
      <c r="AJ829" s="2" t="e">
        <f>IF(Z829="울산정일","KRONS",IF(Z829="울산신항","KRUSN",IF(OR(Z829="선광종합물류(인천여객)",Z829="인천여객(인천여객)"),"KRINF",IF(OR(Z829="선광인천보세(인천신)",Z829="한진인천(인천신)",Z829="선광인천신항(인천신)",Z829="인천더로지스(인천신)"),"KRINN",IF(OR(Z829="인천진아(인천항)",Z829="인천E1(인천항)",Z829="인천SM경인터미널(인천항)",Z829="인천항(인천항)",Z829="인천우련(인천항)",Z829="인천항8부두(인천항)"),"KRINC",VLOOKUP(K829,GLAPS정리!$BB$2:$BC$33,2,0))))))</f>
        <v>#N/A</v>
      </c>
      <c r="AL829" s="2">
        <f t="shared" si="193"/>
        <v>5010001</v>
      </c>
      <c r="AN829" s="70" t="str">
        <f t="shared" ref="AN829:AN890" si="200">TEXT(B829,"YYYY-MM-DD")</f>
        <v>1900-01-00</v>
      </c>
      <c r="AO829" s="2" t="str">
        <f t="shared" si="194"/>
        <v/>
      </c>
      <c r="AP829" s="2" t="e">
        <f>VLOOKUP(C829,GLAPS정리!$AX$2:$AZ$17,3,0)</f>
        <v>#N/A</v>
      </c>
      <c r="AR829" s="2">
        <f t="shared" si="187"/>
        <v>0</v>
      </c>
      <c r="AX829" s="2" t="e">
        <f>VLOOKUP(L829,GLAPS정리!$V$3:$W$180,2,0)</f>
        <v>#N/A</v>
      </c>
      <c r="BM829" s="2" t="str">
        <f t="shared" si="195"/>
        <v xml:space="preserve"> </v>
      </c>
      <c r="BN829" s="2">
        <f t="shared" si="196"/>
        <v>1</v>
      </c>
      <c r="BR829" s="2" t="str">
        <f t="shared" si="197"/>
        <v/>
      </c>
      <c r="BS829" s="2" t="str">
        <f t="shared" si="198"/>
        <v/>
      </c>
      <c r="BV829" s="2" t="e">
        <f>VLOOKUP(O829,GLAPS정리!$BH$2:$BI$94,2,0)</f>
        <v>#N/A</v>
      </c>
      <c r="BW829" s="2" t="str">
        <f>IF(OR(Z829="동원",Z829="세방",Z829="한타"),"",IFERROR(INDEX(GLAPS정리!$BI$2:$BI$101,MATCH(Z829,GLAPS정리!$BH$2:$BH$101,0)),""))</f>
        <v/>
      </c>
      <c r="BX829" s="2" t="str">
        <f>IF(Z829="","",IFERROR(VLOOKUP(Z829,GLAPS정리!$AX$2:$AZ$17,3,0),""))</f>
        <v/>
      </c>
      <c r="BZ829" s="2" t="e">
        <f>VLOOKUP(H829,GLAPS정리!$L$3:$O$133,2,0)</f>
        <v>#N/A</v>
      </c>
      <c r="CA829" s="2" t="str">
        <f t="shared" si="199"/>
        <v/>
      </c>
      <c r="CL829" s="2" t="e">
        <f>VLOOKUP(AI829,GLAPS정리!$BT$3:$BV$26,3,0)</f>
        <v>#N/A</v>
      </c>
    </row>
    <row r="830" spans="2:90" ht="20.45" customHeight="1">
      <c r="B830" s="13"/>
      <c r="G830" s="3"/>
      <c r="J830" s="3"/>
      <c r="Q830" s="3" t="str">
        <f t="shared" si="188"/>
        <v/>
      </c>
      <c r="R830" s="3" t="str">
        <f t="shared" si="189"/>
        <v/>
      </c>
      <c r="S830" s="3" t="str">
        <f t="shared" si="190"/>
        <v/>
      </c>
      <c r="X830" s="13"/>
      <c r="Y830" s="13"/>
      <c r="Z830" s="91"/>
      <c r="AC830" s="2">
        <f t="shared" si="191"/>
        <v>20</v>
      </c>
      <c r="AD830" s="2" t="str">
        <f>IFERROR(INDEX(GLAPS정리!$D$2:$D$50,MATCH(I830,GLAPS정리!$A$2:$A$50,0)),IFERROR(INDEX(GLAPS정리!$D$2:$D$50,MATCH(I830,GLAPS정리!$B$2:$B$50,0)),""))</f>
        <v/>
      </c>
      <c r="AF830" s="2" t="str">
        <f t="shared" si="192"/>
        <v>KR10</v>
      </c>
      <c r="AI830" s="2" t="e">
        <f>VLOOKUP(F830,GLAPS정리!$G$3:$J$114,2,0)</f>
        <v>#N/A</v>
      </c>
      <c r="AJ830" s="2" t="e">
        <f>IF(Z830="울산정일","KRONS",IF(Z830="울산신항","KRUSN",IF(OR(Z830="선광종합물류(인천여객)",Z830="인천여객(인천여객)"),"KRINF",IF(OR(Z830="선광인천보세(인천신)",Z830="한진인천(인천신)",Z830="선광인천신항(인천신)",Z830="인천더로지스(인천신)"),"KRINN",IF(OR(Z830="인천진아(인천항)",Z830="인천E1(인천항)",Z830="인천SM경인터미널(인천항)",Z830="인천항(인천항)",Z830="인천우련(인천항)",Z830="인천항8부두(인천항)"),"KRINC",VLOOKUP(K830,GLAPS정리!$BB$2:$BC$33,2,0))))))</f>
        <v>#N/A</v>
      </c>
      <c r="AL830" s="2">
        <f t="shared" si="193"/>
        <v>5010001</v>
      </c>
      <c r="AN830" s="70" t="str">
        <f t="shared" si="200"/>
        <v>1900-01-00</v>
      </c>
      <c r="AO830" s="2" t="str">
        <f t="shared" si="194"/>
        <v/>
      </c>
      <c r="AP830" s="2" t="e">
        <f>VLOOKUP(C830,GLAPS정리!$AX$2:$AZ$17,3,0)</f>
        <v>#N/A</v>
      </c>
      <c r="AR830" s="2">
        <f t="shared" si="187"/>
        <v>0</v>
      </c>
      <c r="AX830" s="2" t="e">
        <f>VLOOKUP(L830,GLAPS정리!$V$3:$W$180,2,0)</f>
        <v>#N/A</v>
      </c>
      <c r="BM830" s="2" t="str">
        <f t="shared" si="195"/>
        <v xml:space="preserve"> </v>
      </c>
      <c r="BN830" s="2">
        <f t="shared" si="196"/>
        <v>1</v>
      </c>
      <c r="BR830" s="2" t="str">
        <f t="shared" si="197"/>
        <v/>
      </c>
      <c r="BS830" s="2" t="str">
        <f t="shared" si="198"/>
        <v/>
      </c>
      <c r="BV830" s="2" t="e">
        <f>VLOOKUP(O830,GLAPS정리!$BH$2:$BI$94,2,0)</f>
        <v>#N/A</v>
      </c>
      <c r="BW830" s="2" t="str">
        <f>IF(OR(Z830="동원",Z830="세방",Z830="한타"),"",IFERROR(INDEX(GLAPS정리!$BI$2:$BI$101,MATCH(Z830,GLAPS정리!$BH$2:$BH$101,0)),""))</f>
        <v/>
      </c>
      <c r="BX830" s="2" t="str">
        <f>IF(Z830="","",IFERROR(VLOOKUP(Z830,GLAPS정리!$AX$2:$AZ$17,3,0),""))</f>
        <v/>
      </c>
      <c r="BZ830" s="2" t="e">
        <f>VLOOKUP(H830,GLAPS정리!$L$3:$O$133,2,0)</f>
        <v>#N/A</v>
      </c>
      <c r="CA830" s="2" t="str">
        <f t="shared" si="199"/>
        <v/>
      </c>
      <c r="CL830" s="2" t="e">
        <f>VLOOKUP(AI830,GLAPS정리!$BT$3:$BV$26,3,0)</f>
        <v>#N/A</v>
      </c>
    </row>
    <row r="831" spans="2:90" ht="20.45" customHeight="1">
      <c r="B831" s="13"/>
      <c r="G831" s="3"/>
      <c r="J831" s="3"/>
      <c r="Q831" s="3" t="str">
        <f t="shared" si="188"/>
        <v/>
      </c>
      <c r="R831" s="3" t="str">
        <f t="shared" si="189"/>
        <v/>
      </c>
      <c r="S831" s="3" t="str">
        <f t="shared" si="190"/>
        <v/>
      </c>
      <c r="X831" s="13"/>
      <c r="Y831" s="13"/>
      <c r="Z831" s="91"/>
      <c r="AC831" s="2">
        <f t="shared" si="191"/>
        <v>20</v>
      </c>
      <c r="AD831" s="2" t="str">
        <f>IFERROR(INDEX(GLAPS정리!$D$2:$D$50,MATCH(I831,GLAPS정리!$A$2:$A$50,0)),IFERROR(INDEX(GLAPS정리!$D$2:$D$50,MATCH(I831,GLAPS정리!$B$2:$B$50,0)),""))</f>
        <v/>
      </c>
      <c r="AF831" s="2" t="str">
        <f t="shared" si="192"/>
        <v>KR10</v>
      </c>
      <c r="AI831" s="2" t="e">
        <f>VLOOKUP(F831,GLAPS정리!$G$3:$J$114,2,0)</f>
        <v>#N/A</v>
      </c>
      <c r="AJ831" s="2" t="e">
        <f>IF(Z831="울산정일","KRONS",IF(Z831="울산신항","KRUSN",IF(OR(Z831="선광종합물류(인천여객)",Z831="인천여객(인천여객)"),"KRINF",IF(OR(Z831="선광인천보세(인천신)",Z831="한진인천(인천신)",Z831="선광인천신항(인천신)",Z831="인천더로지스(인천신)"),"KRINN",IF(OR(Z831="인천진아(인천항)",Z831="인천E1(인천항)",Z831="인천SM경인터미널(인천항)",Z831="인천항(인천항)",Z831="인천우련(인천항)",Z831="인천항8부두(인천항)"),"KRINC",VLOOKUP(K831,GLAPS정리!$BB$2:$BC$33,2,0))))))</f>
        <v>#N/A</v>
      </c>
      <c r="AL831" s="2">
        <f t="shared" si="193"/>
        <v>5010001</v>
      </c>
      <c r="AN831" s="70" t="str">
        <f t="shared" si="200"/>
        <v>1900-01-00</v>
      </c>
      <c r="AO831" s="2" t="str">
        <f t="shared" si="194"/>
        <v/>
      </c>
      <c r="AP831" s="2" t="e">
        <f>VLOOKUP(C831,GLAPS정리!$AX$2:$AZ$17,3,0)</f>
        <v>#N/A</v>
      </c>
      <c r="AR831" s="2">
        <f t="shared" si="187"/>
        <v>0</v>
      </c>
      <c r="AX831" s="2" t="e">
        <f>VLOOKUP(L831,GLAPS정리!$V$3:$W$180,2,0)</f>
        <v>#N/A</v>
      </c>
      <c r="BM831" s="2" t="str">
        <f t="shared" si="195"/>
        <v xml:space="preserve"> </v>
      </c>
      <c r="BN831" s="2">
        <f t="shared" si="196"/>
        <v>1</v>
      </c>
      <c r="BR831" s="2" t="str">
        <f t="shared" si="197"/>
        <v/>
      </c>
      <c r="BS831" s="2" t="str">
        <f t="shared" si="198"/>
        <v/>
      </c>
      <c r="BV831" s="2" t="e">
        <f>VLOOKUP(O831,GLAPS정리!$BH$2:$BI$94,2,0)</f>
        <v>#N/A</v>
      </c>
      <c r="BW831" s="2" t="str">
        <f>IF(OR(Z831="동원",Z831="세방",Z831="한타"),"",IFERROR(INDEX(GLAPS정리!$BI$2:$BI$101,MATCH(Z831,GLAPS정리!$BH$2:$BH$101,0)),""))</f>
        <v/>
      </c>
      <c r="BX831" s="2" t="str">
        <f>IF(Z831="","",IFERROR(VLOOKUP(Z831,GLAPS정리!$AX$2:$AZ$17,3,0),""))</f>
        <v/>
      </c>
      <c r="BZ831" s="2" t="e">
        <f>VLOOKUP(H831,GLAPS정리!$L$3:$O$133,2,0)</f>
        <v>#N/A</v>
      </c>
      <c r="CA831" s="2" t="str">
        <f t="shared" si="199"/>
        <v/>
      </c>
      <c r="CL831" s="2" t="e">
        <f>VLOOKUP(AI831,GLAPS정리!$BT$3:$BV$26,3,0)</f>
        <v>#N/A</v>
      </c>
    </row>
    <row r="832" spans="2:90" ht="20.45" customHeight="1">
      <c r="B832" s="13"/>
      <c r="G832" s="3"/>
      <c r="J832" s="3"/>
      <c r="Q832" s="3" t="str">
        <f t="shared" si="188"/>
        <v/>
      </c>
      <c r="R832" s="3" t="str">
        <f t="shared" si="189"/>
        <v/>
      </c>
      <c r="S832" s="3" t="str">
        <f t="shared" si="190"/>
        <v/>
      </c>
      <c r="X832" s="13"/>
      <c r="Y832" s="13"/>
      <c r="Z832" s="91"/>
      <c r="AC832" s="2">
        <f t="shared" si="191"/>
        <v>20</v>
      </c>
      <c r="AD832" s="2" t="str">
        <f>IFERROR(INDEX(GLAPS정리!$D$2:$D$50,MATCH(I832,GLAPS정리!$A$2:$A$50,0)),IFERROR(INDEX(GLAPS정리!$D$2:$D$50,MATCH(I832,GLAPS정리!$B$2:$B$50,0)),""))</f>
        <v/>
      </c>
      <c r="AF832" s="2" t="str">
        <f t="shared" si="192"/>
        <v>KR10</v>
      </c>
      <c r="AI832" s="2" t="e">
        <f>VLOOKUP(F832,GLAPS정리!$G$3:$J$114,2,0)</f>
        <v>#N/A</v>
      </c>
      <c r="AJ832" s="2" t="e">
        <f>IF(Z832="울산정일","KRONS",IF(Z832="울산신항","KRUSN",IF(OR(Z832="선광종합물류(인천여객)",Z832="인천여객(인천여객)"),"KRINF",IF(OR(Z832="선광인천보세(인천신)",Z832="한진인천(인천신)",Z832="선광인천신항(인천신)",Z832="인천더로지스(인천신)"),"KRINN",IF(OR(Z832="인천진아(인천항)",Z832="인천E1(인천항)",Z832="인천SM경인터미널(인천항)",Z832="인천항(인천항)",Z832="인천우련(인천항)",Z832="인천항8부두(인천항)"),"KRINC",VLOOKUP(K832,GLAPS정리!$BB$2:$BC$33,2,0))))))</f>
        <v>#N/A</v>
      </c>
      <c r="AL832" s="2">
        <f t="shared" si="193"/>
        <v>5010001</v>
      </c>
      <c r="AN832" s="70" t="str">
        <f t="shared" si="200"/>
        <v>1900-01-00</v>
      </c>
      <c r="AO832" s="2" t="str">
        <f t="shared" si="194"/>
        <v/>
      </c>
      <c r="AP832" s="2" t="e">
        <f>VLOOKUP(C832,GLAPS정리!$AX$2:$AZ$17,3,0)</f>
        <v>#N/A</v>
      </c>
      <c r="AR832" s="2">
        <f t="shared" si="187"/>
        <v>0</v>
      </c>
      <c r="AX832" s="2" t="e">
        <f>VLOOKUP(L832,GLAPS정리!$V$3:$W$180,2,0)</f>
        <v>#N/A</v>
      </c>
      <c r="BM832" s="2" t="str">
        <f t="shared" si="195"/>
        <v xml:space="preserve"> </v>
      </c>
      <c r="BN832" s="2">
        <f t="shared" si="196"/>
        <v>1</v>
      </c>
      <c r="BR832" s="2" t="str">
        <f t="shared" si="197"/>
        <v/>
      </c>
      <c r="BS832" s="2" t="str">
        <f t="shared" si="198"/>
        <v/>
      </c>
      <c r="BV832" s="2" t="e">
        <f>VLOOKUP(O832,GLAPS정리!$BH$2:$BI$94,2,0)</f>
        <v>#N/A</v>
      </c>
      <c r="BW832" s="2" t="str">
        <f>IF(OR(Z832="동원",Z832="세방",Z832="한타"),"",IFERROR(INDEX(GLAPS정리!$BI$2:$BI$101,MATCH(Z832,GLAPS정리!$BH$2:$BH$101,0)),""))</f>
        <v/>
      </c>
      <c r="BX832" s="2" t="str">
        <f>IF(Z832="","",IFERROR(VLOOKUP(Z832,GLAPS정리!$AX$2:$AZ$17,3,0),""))</f>
        <v/>
      </c>
      <c r="BZ832" s="2" t="e">
        <f>VLOOKUP(H832,GLAPS정리!$L$3:$O$133,2,0)</f>
        <v>#N/A</v>
      </c>
      <c r="CA832" s="2" t="str">
        <f t="shared" si="199"/>
        <v/>
      </c>
      <c r="CL832" s="2" t="e">
        <f>VLOOKUP(AI832,GLAPS정리!$BT$3:$BV$26,3,0)</f>
        <v>#N/A</v>
      </c>
    </row>
    <row r="833" spans="2:90" ht="20.45" customHeight="1">
      <c r="B833" s="13"/>
      <c r="G833" s="3"/>
      <c r="J833" s="3"/>
      <c r="Q833" s="3" t="str">
        <f t="shared" si="188"/>
        <v/>
      </c>
      <c r="R833" s="3" t="str">
        <f t="shared" si="189"/>
        <v/>
      </c>
      <c r="S833" s="3" t="str">
        <f t="shared" si="190"/>
        <v/>
      </c>
      <c r="X833" s="13"/>
      <c r="Y833" s="13"/>
      <c r="Z833" s="91"/>
      <c r="AC833" s="2">
        <f t="shared" si="191"/>
        <v>20</v>
      </c>
      <c r="AD833" s="2" t="str">
        <f>IFERROR(INDEX(GLAPS정리!$D$2:$D$50,MATCH(I833,GLAPS정리!$A$2:$A$50,0)),IFERROR(INDEX(GLAPS정리!$D$2:$D$50,MATCH(I833,GLAPS정리!$B$2:$B$50,0)),""))</f>
        <v/>
      </c>
      <c r="AF833" s="2" t="str">
        <f t="shared" si="192"/>
        <v>KR10</v>
      </c>
      <c r="AI833" s="2" t="e">
        <f>VLOOKUP(F833,GLAPS정리!$G$3:$J$114,2,0)</f>
        <v>#N/A</v>
      </c>
      <c r="AJ833" s="2" t="e">
        <f>IF(Z833="울산정일","KRONS",IF(Z833="울산신항","KRUSN",IF(OR(Z833="선광종합물류(인천여객)",Z833="인천여객(인천여객)"),"KRINF",IF(OR(Z833="선광인천보세(인천신)",Z833="한진인천(인천신)",Z833="선광인천신항(인천신)",Z833="인천더로지스(인천신)"),"KRINN",IF(OR(Z833="인천진아(인천항)",Z833="인천E1(인천항)",Z833="인천SM경인터미널(인천항)",Z833="인천항(인천항)",Z833="인천우련(인천항)",Z833="인천항8부두(인천항)"),"KRINC",VLOOKUP(K833,GLAPS정리!$BB$2:$BC$33,2,0))))))</f>
        <v>#N/A</v>
      </c>
      <c r="AL833" s="2">
        <f t="shared" si="193"/>
        <v>5010001</v>
      </c>
      <c r="AN833" s="70" t="str">
        <f t="shared" si="200"/>
        <v>1900-01-00</v>
      </c>
      <c r="AO833" s="2" t="str">
        <f t="shared" si="194"/>
        <v/>
      </c>
      <c r="AP833" s="2" t="e">
        <f>VLOOKUP(C833,GLAPS정리!$AX$2:$AZ$17,3,0)</f>
        <v>#N/A</v>
      </c>
      <c r="AR833" s="2">
        <f t="shared" si="187"/>
        <v>0</v>
      </c>
      <c r="AX833" s="2" t="e">
        <f>VLOOKUP(L833,GLAPS정리!$V$3:$W$180,2,0)</f>
        <v>#N/A</v>
      </c>
      <c r="BM833" s="2" t="str">
        <f t="shared" si="195"/>
        <v xml:space="preserve"> </v>
      </c>
      <c r="BN833" s="2">
        <f t="shared" si="196"/>
        <v>1</v>
      </c>
      <c r="BR833" s="2" t="str">
        <f t="shared" si="197"/>
        <v/>
      </c>
      <c r="BS833" s="2" t="str">
        <f t="shared" si="198"/>
        <v/>
      </c>
      <c r="BV833" s="2" t="e">
        <f>VLOOKUP(O833,GLAPS정리!$BH$2:$BI$94,2,0)</f>
        <v>#N/A</v>
      </c>
      <c r="BW833" s="2" t="str">
        <f>IF(OR(Z833="동원",Z833="세방",Z833="한타"),"",IFERROR(INDEX(GLAPS정리!$BI$2:$BI$101,MATCH(Z833,GLAPS정리!$BH$2:$BH$101,0)),""))</f>
        <v/>
      </c>
      <c r="BX833" s="2" t="str">
        <f>IF(Z833="","",IFERROR(VLOOKUP(Z833,GLAPS정리!$AX$2:$AZ$17,3,0),""))</f>
        <v/>
      </c>
      <c r="BZ833" s="2" t="e">
        <f>VLOOKUP(H833,GLAPS정리!$L$3:$O$133,2,0)</f>
        <v>#N/A</v>
      </c>
      <c r="CA833" s="2" t="str">
        <f t="shared" si="199"/>
        <v/>
      </c>
      <c r="CL833" s="2" t="e">
        <f>VLOOKUP(AI833,GLAPS정리!$BT$3:$BV$26,3,0)</f>
        <v>#N/A</v>
      </c>
    </row>
    <row r="834" spans="2:90" ht="20.45" customHeight="1">
      <c r="B834" s="13"/>
      <c r="G834" s="3"/>
      <c r="J834" s="3"/>
      <c r="Q834" s="3" t="str">
        <f t="shared" si="188"/>
        <v/>
      </c>
      <c r="R834" s="3" t="str">
        <f t="shared" si="189"/>
        <v/>
      </c>
      <c r="S834" s="3" t="str">
        <f t="shared" si="190"/>
        <v/>
      </c>
      <c r="X834" s="13"/>
      <c r="Y834" s="13"/>
      <c r="Z834" s="91"/>
      <c r="AC834" s="2">
        <f t="shared" si="191"/>
        <v>20</v>
      </c>
      <c r="AD834" s="2" t="str">
        <f>IFERROR(INDEX(GLAPS정리!$D$2:$D$50,MATCH(I834,GLAPS정리!$A$2:$A$50,0)),IFERROR(INDEX(GLAPS정리!$D$2:$D$50,MATCH(I834,GLAPS정리!$B$2:$B$50,0)),""))</f>
        <v/>
      </c>
      <c r="AF834" s="2" t="str">
        <f t="shared" si="192"/>
        <v>KR10</v>
      </c>
      <c r="AI834" s="2" t="e">
        <f>VLOOKUP(F834,GLAPS정리!$G$3:$J$114,2,0)</f>
        <v>#N/A</v>
      </c>
      <c r="AJ834" s="2" t="e">
        <f>IF(Z834="울산정일","KRONS",IF(Z834="울산신항","KRUSN",IF(OR(Z834="선광종합물류(인천여객)",Z834="인천여객(인천여객)"),"KRINF",IF(OR(Z834="선광인천보세(인천신)",Z834="한진인천(인천신)",Z834="선광인천신항(인천신)",Z834="인천더로지스(인천신)"),"KRINN",IF(OR(Z834="인천진아(인천항)",Z834="인천E1(인천항)",Z834="인천SM경인터미널(인천항)",Z834="인천항(인천항)",Z834="인천우련(인천항)",Z834="인천항8부두(인천항)"),"KRINC",VLOOKUP(K834,GLAPS정리!$BB$2:$BC$33,2,0))))))</f>
        <v>#N/A</v>
      </c>
      <c r="AL834" s="2">
        <f t="shared" si="193"/>
        <v>5010001</v>
      </c>
      <c r="AN834" s="70" t="str">
        <f t="shared" si="200"/>
        <v>1900-01-00</v>
      </c>
      <c r="AO834" s="2" t="str">
        <f t="shared" si="194"/>
        <v/>
      </c>
      <c r="AP834" s="2" t="e">
        <f>VLOOKUP(C834,GLAPS정리!$AX$2:$AZ$17,3,0)</f>
        <v>#N/A</v>
      </c>
      <c r="AR834" s="2">
        <f t="shared" si="187"/>
        <v>0</v>
      </c>
      <c r="AX834" s="2" t="e">
        <f>VLOOKUP(L834,GLAPS정리!$V$3:$W$180,2,0)</f>
        <v>#N/A</v>
      </c>
      <c r="BM834" s="2" t="str">
        <f t="shared" si="195"/>
        <v xml:space="preserve"> </v>
      </c>
      <c r="BN834" s="2">
        <f t="shared" si="196"/>
        <v>1</v>
      </c>
      <c r="BR834" s="2" t="str">
        <f t="shared" si="197"/>
        <v/>
      </c>
      <c r="BS834" s="2" t="str">
        <f t="shared" si="198"/>
        <v/>
      </c>
      <c r="BV834" s="2" t="e">
        <f>VLOOKUP(O834,GLAPS정리!$BH$2:$BI$94,2,0)</f>
        <v>#N/A</v>
      </c>
      <c r="BW834" s="2" t="str">
        <f>IF(OR(Z834="동원",Z834="세방",Z834="한타"),"",IFERROR(INDEX(GLAPS정리!$BI$2:$BI$101,MATCH(Z834,GLAPS정리!$BH$2:$BH$101,0)),""))</f>
        <v/>
      </c>
      <c r="BX834" s="2" t="str">
        <f>IF(Z834="","",IFERROR(VLOOKUP(Z834,GLAPS정리!$AX$2:$AZ$17,3,0),""))</f>
        <v/>
      </c>
      <c r="BZ834" s="2" t="e">
        <f>VLOOKUP(H834,GLAPS정리!$L$3:$O$133,2,0)</f>
        <v>#N/A</v>
      </c>
      <c r="CA834" s="2" t="str">
        <f t="shared" si="199"/>
        <v/>
      </c>
      <c r="CL834" s="2" t="e">
        <f>VLOOKUP(AI834,GLAPS정리!$BT$3:$BV$26,3,0)</f>
        <v>#N/A</v>
      </c>
    </row>
    <row r="835" spans="2:90" ht="20.45" customHeight="1">
      <c r="B835" s="13"/>
      <c r="G835" s="3"/>
      <c r="J835" s="3"/>
      <c r="Q835" s="3" t="str">
        <f t="shared" si="188"/>
        <v/>
      </c>
      <c r="R835" s="3" t="str">
        <f t="shared" si="189"/>
        <v/>
      </c>
      <c r="S835" s="3" t="str">
        <f t="shared" si="190"/>
        <v/>
      </c>
      <c r="X835" s="13"/>
      <c r="Y835" s="13"/>
      <c r="Z835" s="91"/>
      <c r="AC835" s="2">
        <f t="shared" si="191"/>
        <v>20</v>
      </c>
      <c r="AD835" s="2" t="str">
        <f>IFERROR(INDEX(GLAPS정리!$D$2:$D$50,MATCH(I835,GLAPS정리!$A$2:$A$50,0)),IFERROR(INDEX(GLAPS정리!$D$2:$D$50,MATCH(I835,GLAPS정리!$B$2:$B$50,0)),""))</f>
        <v/>
      </c>
      <c r="AF835" s="2" t="str">
        <f t="shared" si="192"/>
        <v>KR10</v>
      </c>
      <c r="AI835" s="2" t="e">
        <f>VLOOKUP(F835,GLAPS정리!$G$3:$J$114,2,0)</f>
        <v>#N/A</v>
      </c>
      <c r="AJ835" s="2" t="e">
        <f>IF(Z835="울산정일","KRONS",IF(Z835="울산신항","KRUSN",IF(OR(Z835="선광종합물류(인천여객)",Z835="인천여객(인천여객)"),"KRINF",IF(OR(Z835="선광인천보세(인천신)",Z835="한진인천(인천신)",Z835="선광인천신항(인천신)",Z835="인천더로지스(인천신)"),"KRINN",IF(OR(Z835="인천진아(인천항)",Z835="인천E1(인천항)",Z835="인천SM경인터미널(인천항)",Z835="인천항(인천항)",Z835="인천우련(인천항)",Z835="인천항8부두(인천항)"),"KRINC",VLOOKUP(K835,GLAPS정리!$BB$2:$BC$33,2,0))))))</f>
        <v>#N/A</v>
      </c>
      <c r="AL835" s="2">
        <f t="shared" si="193"/>
        <v>5010001</v>
      </c>
      <c r="AN835" s="70" t="str">
        <f t="shared" si="200"/>
        <v>1900-01-00</v>
      </c>
      <c r="AO835" s="2" t="str">
        <f t="shared" si="194"/>
        <v/>
      </c>
      <c r="AP835" s="2" t="e">
        <f>VLOOKUP(C835,GLAPS정리!$AX$2:$AZ$17,3,0)</f>
        <v>#N/A</v>
      </c>
      <c r="AR835" s="2">
        <f t="shared" ref="AR835:AR889" si="201">X835</f>
        <v>0</v>
      </c>
      <c r="AX835" s="2" t="e">
        <f>VLOOKUP(L835,GLAPS정리!$V$3:$W$180,2,0)</f>
        <v>#N/A</v>
      </c>
      <c r="BM835" s="2" t="str">
        <f t="shared" si="195"/>
        <v xml:space="preserve"> </v>
      </c>
      <c r="BN835" s="2">
        <f t="shared" si="196"/>
        <v>1</v>
      </c>
      <c r="BR835" s="2" t="str">
        <f t="shared" si="197"/>
        <v/>
      </c>
      <c r="BS835" s="2" t="str">
        <f t="shared" si="198"/>
        <v/>
      </c>
      <c r="BV835" s="2" t="e">
        <f>VLOOKUP(O835,GLAPS정리!$BH$2:$BI$94,2,0)</f>
        <v>#N/A</v>
      </c>
      <c r="BW835" s="2" t="str">
        <f>IF(OR(Z835="동원",Z835="세방",Z835="한타"),"",IFERROR(INDEX(GLAPS정리!$BI$2:$BI$101,MATCH(Z835,GLAPS정리!$BH$2:$BH$101,0)),""))</f>
        <v/>
      </c>
      <c r="BX835" s="2" t="str">
        <f>IF(Z835="","",IFERROR(VLOOKUP(Z835,GLAPS정리!$AX$2:$AZ$17,3,0),""))</f>
        <v/>
      </c>
      <c r="BZ835" s="2" t="e">
        <f>VLOOKUP(H835,GLAPS정리!$L$3:$O$133,2,0)</f>
        <v>#N/A</v>
      </c>
      <c r="CA835" s="2" t="str">
        <f t="shared" si="199"/>
        <v/>
      </c>
      <c r="CL835" s="2" t="e">
        <f>VLOOKUP(AI835,GLAPS정리!$BT$3:$BV$26,3,0)</f>
        <v>#N/A</v>
      </c>
    </row>
    <row r="836" spans="2:90" ht="20.45" customHeight="1">
      <c r="B836" s="13"/>
      <c r="G836" s="3"/>
      <c r="J836" s="3"/>
      <c r="Q836" s="3" t="str">
        <f t="shared" si="188"/>
        <v/>
      </c>
      <c r="R836" s="3" t="str">
        <f t="shared" si="189"/>
        <v/>
      </c>
      <c r="S836" s="3" t="str">
        <f t="shared" si="190"/>
        <v/>
      </c>
      <c r="X836" s="13"/>
      <c r="Y836" s="13"/>
      <c r="Z836" s="91"/>
      <c r="AC836" s="2">
        <f t="shared" si="191"/>
        <v>20</v>
      </c>
      <c r="AD836" s="2" t="str">
        <f>IFERROR(INDEX(GLAPS정리!$D$2:$D$50,MATCH(I836,GLAPS정리!$A$2:$A$50,0)),IFERROR(INDEX(GLAPS정리!$D$2:$D$50,MATCH(I836,GLAPS정리!$B$2:$B$50,0)),""))</f>
        <v/>
      </c>
      <c r="AF836" s="2" t="str">
        <f t="shared" si="192"/>
        <v>KR10</v>
      </c>
      <c r="AI836" s="2" t="e">
        <f>VLOOKUP(F836,GLAPS정리!$G$3:$J$114,2,0)</f>
        <v>#N/A</v>
      </c>
      <c r="AJ836" s="2" t="e">
        <f>IF(Z836="울산정일","KRONS",IF(Z836="울산신항","KRUSN",IF(OR(Z836="선광종합물류(인천여객)",Z836="인천여객(인천여객)"),"KRINF",IF(OR(Z836="선광인천보세(인천신)",Z836="한진인천(인천신)",Z836="선광인천신항(인천신)",Z836="인천더로지스(인천신)"),"KRINN",IF(OR(Z836="인천진아(인천항)",Z836="인천E1(인천항)",Z836="인천SM경인터미널(인천항)",Z836="인천항(인천항)",Z836="인천우련(인천항)",Z836="인천항8부두(인천항)"),"KRINC",VLOOKUP(K836,GLAPS정리!$BB$2:$BC$33,2,0))))))</f>
        <v>#N/A</v>
      </c>
      <c r="AL836" s="2">
        <f t="shared" si="193"/>
        <v>5010001</v>
      </c>
      <c r="AN836" s="70" t="str">
        <f t="shared" si="200"/>
        <v>1900-01-00</v>
      </c>
      <c r="AO836" s="2" t="str">
        <f t="shared" si="194"/>
        <v/>
      </c>
      <c r="AP836" s="2" t="e">
        <f>VLOOKUP(C836,GLAPS정리!$AX$2:$AZ$17,3,0)</f>
        <v>#N/A</v>
      </c>
      <c r="AR836" s="2">
        <f t="shared" si="201"/>
        <v>0</v>
      </c>
      <c r="AX836" s="2" t="e">
        <f>VLOOKUP(L836,GLAPS정리!$V$3:$W$180,2,0)</f>
        <v>#N/A</v>
      </c>
      <c r="BM836" s="2" t="str">
        <f t="shared" si="195"/>
        <v xml:space="preserve"> </v>
      </c>
      <c r="BN836" s="2">
        <f t="shared" si="196"/>
        <v>1</v>
      </c>
      <c r="BR836" s="2" t="str">
        <f t="shared" si="197"/>
        <v/>
      </c>
      <c r="BS836" s="2" t="str">
        <f t="shared" si="198"/>
        <v/>
      </c>
      <c r="BV836" s="2" t="e">
        <f>VLOOKUP(O836,GLAPS정리!$BH$2:$BI$94,2,0)</f>
        <v>#N/A</v>
      </c>
      <c r="BW836" s="2" t="str">
        <f>IF(OR(Z836="동원",Z836="세방",Z836="한타"),"",IFERROR(INDEX(GLAPS정리!$BI$2:$BI$101,MATCH(Z836,GLAPS정리!$BH$2:$BH$101,0)),""))</f>
        <v/>
      </c>
      <c r="BX836" s="2" t="str">
        <f>IF(Z836="","",IFERROR(VLOOKUP(Z836,GLAPS정리!$AX$2:$AZ$17,3,0),""))</f>
        <v/>
      </c>
      <c r="BZ836" s="2" t="e">
        <f>VLOOKUP(H836,GLAPS정리!$L$3:$O$133,2,0)</f>
        <v>#N/A</v>
      </c>
      <c r="CA836" s="2" t="str">
        <f t="shared" si="199"/>
        <v/>
      </c>
      <c r="CL836" s="2" t="e">
        <f>VLOOKUP(AI836,GLAPS정리!$BT$3:$BV$26,3,0)</f>
        <v>#N/A</v>
      </c>
    </row>
    <row r="837" spans="2:90" ht="20.45" customHeight="1">
      <c r="B837" s="13"/>
      <c r="G837" s="3"/>
      <c r="J837" s="3"/>
      <c r="Q837" s="3" t="str">
        <f t="shared" si="188"/>
        <v/>
      </c>
      <c r="R837" s="3" t="str">
        <f t="shared" si="189"/>
        <v/>
      </c>
      <c r="S837" s="3" t="str">
        <f t="shared" si="190"/>
        <v/>
      </c>
      <c r="X837" s="13"/>
      <c r="Y837" s="13"/>
      <c r="Z837" s="91"/>
      <c r="AC837" s="2">
        <f t="shared" si="191"/>
        <v>20</v>
      </c>
      <c r="AD837" s="2" t="str">
        <f>IFERROR(INDEX(GLAPS정리!$D$2:$D$50,MATCH(I837,GLAPS정리!$A$2:$A$50,0)),IFERROR(INDEX(GLAPS정리!$D$2:$D$50,MATCH(I837,GLAPS정리!$B$2:$B$50,0)),""))</f>
        <v/>
      </c>
      <c r="AF837" s="2" t="str">
        <f t="shared" si="192"/>
        <v>KR10</v>
      </c>
      <c r="AI837" s="2" t="e">
        <f>VLOOKUP(F837,GLAPS정리!$G$3:$J$114,2,0)</f>
        <v>#N/A</v>
      </c>
      <c r="AJ837" s="2" t="e">
        <f>IF(Z837="울산정일","KRONS",IF(Z837="울산신항","KRUSN",IF(OR(Z837="선광종합물류(인천여객)",Z837="인천여객(인천여객)"),"KRINF",IF(OR(Z837="선광인천보세(인천신)",Z837="한진인천(인천신)",Z837="선광인천신항(인천신)",Z837="인천더로지스(인천신)"),"KRINN",IF(OR(Z837="인천진아(인천항)",Z837="인천E1(인천항)",Z837="인천SM경인터미널(인천항)",Z837="인천항(인천항)",Z837="인천우련(인천항)",Z837="인천항8부두(인천항)"),"KRINC",VLOOKUP(K837,GLAPS정리!$BB$2:$BC$33,2,0))))))</f>
        <v>#N/A</v>
      </c>
      <c r="AL837" s="2">
        <f t="shared" si="193"/>
        <v>5010001</v>
      </c>
      <c r="AN837" s="70" t="str">
        <f t="shared" si="200"/>
        <v>1900-01-00</v>
      </c>
      <c r="AO837" s="2" t="str">
        <f t="shared" si="194"/>
        <v/>
      </c>
      <c r="AP837" s="2" t="e">
        <f>VLOOKUP(C837,GLAPS정리!$AX$2:$AZ$17,3,0)</f>
        <v>#N/A</v>
      </c>
      <c r="AR837" s="2">
        <f t="shared" si="201"/>
        <v>0</v>
      </c>
      <c r="AX837" s="2" t="e">
        <f>VLOOKUP(L837,GLAPS정리!$V$3:$W$180,2,0)</f>
        <v>#N/A</v>
      </c>
      <c r="BM837" s="2" t="str">
        <f t="shared" si="195"/>
        <v xml:space="preserve"> </v>
      </c>
      <c r="BN837" s="2">
        <f t="shared" si="196"/>
        <v>1</v>
      </c>
      <c r="BR837" s="2" t="str">
        <f t="shared" si="197"/>
        <v/>
      </c>
      <c r="BS837" s="2" t="str">
        <f t="shared" si="198"/>
        <v/>
      </c>
      <c r="BV837" s="2" t="e">
        <f>VLOOKUP(O837,GLAPS정리!$BH$2:$BI$94,2,0)</f>
        <v>#N/A</v>
      </c>
      <c r="BW837" s="2" t="str">
        <f>IF(OR(Z837="동원",Z837="세방",Z837="한타"),"",IFERROR(INDEX(GLAPS정리!$BI$2:$BI$101,MATCH(Z837,GLAPS정리!$BH$2:$BH$101,0)),""))</f>
        <v/>
      </c>
      <c r="BX837" s="2" t="str">
        <f>IF(Z837="","",IFERROR(VLOOKUP(Z837,GLAPS정리!$AX$2:$AZ$17,3,0),""))</f>
        <v/>
      </c>
      <c r="BZ837" s="2" t="e">
        <f>VLOOKUP(H837,GLAPS정리!$L$3:$O$133,2,0)</f>
        <v>#N/A</v>
      </c>
      <c r="CA837" s="2" t="str">
        <f t="shared" si="199"/>
        <v/>
      </c>
      <c r="CL837" s="2" t="e">
        <f>VLOOKUP(AI837,GLAPS정리!$BT$3:$BV$26,3,0)</f>
        <v>#N/A</v>
      </c>
    </row>
    <row r="838" spans="2:90" ht="20.45" customHeight="1">
      <c r="B838" s="13"/>
      <c r="G838" s="3"/>
      <c r="J838" s="3"/>
      <c r="Q838" s="3" t="str">
        <f t="shared" si="188"/>
        <v/>
      </c>
      <c r="R838" s="3" t="str">
        <f t="shared" si="189"/>
        <v/>
      </c>
      <c r="S838" s="3" t="str">
        <f t="shared" si="190"/>
        <v/>
      </c>
      <c r="X838" s="13"/>
      <c r="Y838" s="13"/>
      <c r="Z838" s="91"/>
      <c r="AC838" s="2">
        <f t="shared" si="191"/>
        <v>20</v>
      </c>
      <c r="AD838" s="2" t="str">
        <f>IFERROR(INDEX(GLAPS정리!$D$2:$D$50,MATCH(I838,GLAPS정리!$A$2:$A$50,0)),IFERROR(INDEX(GLAPS정리!$D$2:$D$50,MATCH(I838,GLAPS정리!$B$2:$B$50,0)),""))</f>
        <v/>
      </c>
      <c r="AF838" s="2" t="str">
        <f t="shared" si="192"/>
        <v>KR10</v>
      </c>
      <c r="AI838" s="2" t="e">
        <f>VLOOKUP(F838,GLAPS정리!$G$3:$J$114,2,0)</f>
        <v>#N/A</v>
      </c>
      <c r="AJ838" s="2" t="e">
        <f>IF(Z838="울산정일","KRONS",IF(Z838="울산신항","KRUSN",IF(OR(Z838="선광종합물류(인천여객)",Z838="인천여객(인천여객)"),"KRINF",IF(OR(Z838="선광인천보세(인천신)",Z838="한진인천(인천신)",Z838="선광인천신항(인천신)",Z838="인천더로지스(인천신)"),"KRINN",IF(OR(Z838="인천진아(인천항)",Z838="인천E1(인천항)",Z838="인천SM경인터미널(인천항)",Z838="인천항(인천항)",Z838="인천우련(인천항)",Z838="인천항8부두(인천항)"),"KRINC",VLOOKUP(K838,GLAPS정리!$BB$2:$BC$33,2,0))))))</f>
        <v>#N/A</v>
      </c>
      <c r="AL838" s="2">
        <f t="shared" si="193"/>
        <v>5010001</v>
      </c>
      <c r="AN838" s="70" t="str">
        <f t="shared" si="200"/>
        <v>1900-01-00</v>
      </c>
      <c r="AO838" s="2" t="str">
        <f t="shared" si="194"/>
        <v/>
      </c>
      <c r="AP838" s="2" t="e">
        <f>VLOOKUP(C838,GLAPS정리!$AX$2:$AZ$17,3,0)</f>
        <v>#N/A</v>
      </c>
      <c r="AR838" s="2">
        <f t="shared" si="201"/>
        <v>0</v>
      </c>
      <c r="AX838" s="2" t="e">
        <f>VLOOKUP(L838,GLAPS정리!$V$3:$W$180,2,0)</f>
        <v>#N/A</v>
      </c>
      <c r="BM838" s="2" t="str">
        <f t="shared" si="195"/>
        <v xml:space="preserve"> </v>
      </c>
      <c r="BN838" s="2">
        <f t="shared" si="196"/>
        <v>1</v>
      </c>
      <c r="BR838" s="2" t="str">
        <f t="shared" si="197"/>
        <v/>
      </c>
      <c r="BS838" s="2" t="str">
        <f t="shared" si="198"/>
        <v/>
      </c>
      <c r="BV838" s="2" t="e">
        <f>VLOOKUP(O838,GLAPS정리!$BH$2:$BI$94,2,0)</f>
        <v>#N/A</v>
      </c>
      <c r="BW838" s="2" t="str">
        <f>IF(OR(Z838="동원",Z838="세방",Z838="한타"),"",IFERROR(INDEX(GLAPS정리!$BI$2:$BI$101,MATCH(Z838,GLAPS정리!$BH$2:$BH$101,0)),""))</f>
        <v/>
      </c>
      <c r="BX838" s="2" t="str">
        <f>IF(Z838="","",IFERROR(VLOOKUP(Z838,GLAPS정리!$AX$2:$AZ$17,3,0),""))</f>
        <v/>
      </c>
      <c r="BZ838" s="2" t="e">
        <f>VLOOKUP(H838,GLAPS정리!$L$3:$O$133,2,0)</f>
        <v>#N/A</v>
      </c>
      <c r="CA838" s="2" t="str">
        <f t="shared" si="199"/>
        <v/>
      </c>
      <c r="CL838" s="2" t="e">
        <f>VLOOKUP(AI838,GLAPS정리!$BT$3:$BV$26,3,0)</f>
        <v>#N/A</v>
      </c>
    </row>
    <row r="839" spans="2:90" ht="20.45" customHeight="1">
      <c r="B839" s="13"/>
      <c r="G839" s="3"/>
      <c r="J839" s="3"/>
      <c r="Q839" s="3" t="str">
        <f t="shared" si="188"/>
        <v/>
      </c>
      <c r="R839" s="3" t="str">
        <f t="shared" si="189"/>
        <v/>
      </c>
      <c r="S839" s="3" t="str">
        <f t="shared" si="190"/>
        <v/>
      </c>
      <c r="X839" s="13"/>
      <c r="Y839" s="13"/>
      <c r="Z839" s="91"/>
      <c r="AC839" s="2">
        <f t="shared" si="191"/>
        <v>20</v>
      </c>
      <c r="AD839" s="2" t="str">
        <f>IFERROR(INDEX(GLAPS정리!$D$2:$D$50,MATCH(I839,GLAPS정리!$A$2:$A$50,0)),IFERROR(INDEX(GLAPS정리!$D$2:$D$50,MATCH(I839,GLAPS정리!$B$2:$B$50,0)),""))</f>
        <v/>
      </c>
      <c r="AF839" s="2" t="str">
        <f t="shared" si="192"/>
        <v>KR10</v>
      </c>
      <c r="AI839" s="2" t="e">
        <f>VLOOKUP(F839,GLAPS정리!$G$3:$J$114,2,0)</f>
        <v>#N/A</v>
      </c>
      <c r="AJ839" s="2" t="e">
        <f>IF(Z839="울산정일","KRONS",IF(Z839="울산신항","KRUSN",IF(OR(Z839="선광종합물류(인천여객)",Z839="인천여객(인천여객)"),"KRINF",IF(OR(Z839="선광인천보세(인천신)",Z839="한진인천(인천신)",Z839="선광인천신항(인천신)",Z839="인천더로지스(인천신)"),"KRINN",IF(OR(Z839="인천진아(인천항)",Z839="인천E1(인천항)",Z839="인천SM경인터미널(인천항)",Z839="인천항(인천항)",Z839="인천우련(인천항)",Z839="인천항8부두(인천항)"),"KRINC",VLOOKUP(K839,GLAPS정리!$BB$2:$BC$33,2,0))))))</f>
        <v>#N/A</v>
      </c>
      <c r="AL839" s="2">
        <f t="shared" si="193"/>
        <v>5010001</v>
      </c>
      <c r="AN839" s="70" t="str">
        <f t="shared" si="200"/>
        <v>1900-01-00</v>
      </c>
      <c r="AO839" s="2" t="str">
        <f t="shared" si="194"/>
        <v/>
      </c>
      <c r="AP839" s="2" t="e">
        <f>VLOOKUP(C839,GLAPS정리!$AX$2:$AZ$17,3,0)</f>
        <v>#N/A</v>
      </c>
      <c r="AR839" s="2">
        <f t="shared" si="201"/>
        <v>0</v>
      </c>
      <c r="AX839" s="2" t="e">
        <f>VLOOKUP(L839,GLAPS정리!$V$3:$W$180,2,0)</f>
        <v>#N/A</v>
      </c>
      <c r="BM839" s="2" t="str">
        <f t="shared" si="195"/>
        <v xml:space="preserve"> </v>
      </c>
      <c r="BN839" s="2">
        <f t="shared" si="196"/>
        <v>1</v>
      </c>
      <c r="BR839" s="2" t="str">
        <f t="shared" si="197"/>
        <v/>
      </c>
      <c r="BS839" s="2" t="str">
        <f t="shared" si="198"/>
        <v/>
      </c>
      <c r="BV839" s="2" t="e">
        <f>VLOOKUP(O839,GLAPS정리!$BH$2:$BI$94,2,0)</f>
        <v>#N/A</v>
      </c>
      <c r="BW839" s="2" t="str">
        <f>IF(OR(Z839="동원",Z839="세방",Z839="한타"),"",IFERROR(INDEX(GLAPS정리!$BI$2:$BI$101,MATCH(Z839,GLAPS정리!$BH$2:$BH$101,0)),""))</f>
        <v/>
      </c>
      <c r="BX839" s="2" t="str">
        <f>IF(Z839="","",IFERROR(VLOOKUP(Z839,GLAPS정리!$AX$2:$AZ$17,3,0),""))</f>
        <v/>
      </c>
      <c r="BZ839" s="2" t="e">
        <f>VLOOKUP(H839,GLAPS정리!$L$3:$O$133,2,0)</f>
        <v>#N/A</v>
      </c>
      <c r="CA839" s="2" t="str">
        <f t="shared" si="199"/>
        <v/>
      </c>
      <c r="CL839" s="2" t="e">
        <f>VLOOKUP(AI839,GLAPS정리!$BT$3:$BV$26,3,0)</f>
        <v>#N/A</v>
      </c>
    </row>
    <row r="840" spans="2:90" ht="20.45" customHeight="1">
      <c r="B840" s="13"/>
      <c r="G840" s="3"/>
      <c r="J840" s="3"/>
      <c r="Q840" s="3" t="str">
        <f t="shared" si="188"/>
        <v/>
      </c>
      <c r="R840" s="3" t="str">
        <f t="shared" si="189"/>
        <v/>
      </c>
      <c r="S840" s="3" t="str">
        <f t="shared" si="190"/>
        <v/>
      </c>
      <c r="X840" s="13"/>
      <c r="Y840" s="13"/>
      <c r="Z840" s="91"/>
      <c r="AC840" s="2">
        <f t="shared" si="191"/>
        <v>20</v>
      </c>
      <c r="AD840" s="2" t="str">
        <f>IFERROR(INDEX(GLAPS정리!$D$2:$D$50,MATCH(I840,GLAPS정리!$A$2:$A$50,0)),IFERROR(INDEX(GLAPS정리!$D$2:$D$50,MATCH(I840,GLAPS정리!$B$2:$B$50,0)),""))</f>
        <v/>
      </c>
      <c r="AF840" s="2" t="str">
        <f t="shared" si="192"/>
        <v>KR10</v>
      </c>
      <c r="AI840" s="2" t="e">
        <f>VLOOKUP(F840,GLAPS정리!$G$3:$J$114,2,0)</f>
        <v>#N/A</v>
      </c>
      <c r="AJ840" s="2" t="e">
        <f>IF(Z840="울산정일","KRONS",IF(Z840="울산신항","KRUSN",IF(OR(Z840="선광종합물류(인천여객)",Z840="인천여객(인천여객)"),"KRINF",IF(OR(Z840="선광인천보세(인천신)",Z840="한진인천(인천신)",Z840="선광인천신항(인천신)",Z840="인천더로지스(인천신)"),"KRINN",IF(OR(Z840="인천진아(인천항)",Z840="인천E1(인천항)",Z840="인천SM경인터미널(인천항)",Z840="인천항(인천항)",Z840="인천우련(인천항)",Z840="인천항8부두(인천항)"),"KRINC",VLOOKUP(K840,GLAPS정리!$BB$2:$BC$33,2,0))))))</f>
        <v>#N/A</v>
      </c>
      <c r="AL840" s="2">
        <f t="shared" si="193"/>
        <v>5010001</v>
      </c>
      <c r="AN840" s="70" t="str">
        <f t="shared" si="200"/>
        <v>1900-01-00</v>
      </c>
      <c r="AO840" s="2" t="str">
        <f t="shared" si="194"/>
        <v/>
      </c>
      <c r="AP840" s="2" t="e">
        <f>VLOOKUP(C840,GLAPS정리!$AX$2:$AZ$17,3,0)</f>
        <v>#N/A</v>
      </c>
      <c r="AR840" s="2">
        <f t="shared" si="201"/>
        <v>0</v>
      </c>
      <c r="AX840" s="2" t="e">
        <f>VLOOKUP(L840,GLAPS정리!$V$3:$W$180,2,0)</f>
        <v>#N/A</v>
      </c>
      <c r="BM840" s="2" t="str">
        <f t="shared" si="195"/>
        <v xml:space="preserve"> </v>
      </c>
      <c r="BN840" s="2">
        <f t="shared" si="196"/>
        <v>1</v>
      </c>
      <c r="BR840" s="2" t="str">
        <f t="shared" si="197"/>
        <v/>
      </c>
      <c r="BS840" s="2" t="str">
        <f t="shared" si="198"/>
        <v/>
      </c>
      <c r="BV840" s="2" t="e">
        <f>VLOOKUP(O840,GLAPS정리!$BH$2:$BI$94,2,0)</f>
        <v>#N/A</v>
      </c>
      <c r="BW840" s="2" t="str">
        <f>IF(OR(Z840="동원",Z840="세방",Z840="한타"),"",IFERROR(INDEX(GLAPS정리!$BI$2:$BI$101,MATCH(Z840,GLAPS정리!$BH$2:$BH$101,0)),""))</f>
        <v/>
      </c>
      <c r="BX840" s="2" t="str">
        <f>IF(Z840="","",IFERROR(VLOOKUP(Z840,GLAPS정리!$AX$2:$AZ$17,3,0),""))</f>
        <v/>
      </c>
      <c r="BZ840" s="2" t="e">
        <f>VLOOKUP(H840,GLAPS정리!$L$3:$O$133,2,0)</f>
        <v>#N/A</v>
      </c>
      <c r="CA840" s="2" t="str">
        <f t="shared" si="199"/>
        <v/>
      </c>
      <c r="CL840" s="2" t="e">
        <f>VLOOKUP(AI840,GLAPS정리!$BT$3:$BV$26,3,0)</f>
        <v>#N/A</v>
      </c>
    </row>
    <row r="841" spans="2:90" ht="20.45" customHeight="1">
      <c r="B841" s="13"/>
      <c r="G841" s="3"/>
      <c r="J841" s="3"/>
      <c r="Q841" s="3" t="str">
        <f t="shared" si="188"/>
        <v/>
      </c>
      <c r="R841" s="3" t="str">
        <f t="shared" si="189"/>
        <v/>
      </c>
      <c r="S841" s="3" t="str">
        <f t="shared" si="190"/>
        <v/>
      </c>
      <c r="X841" s="13"/>
      <c r="Y841" s="13"/>
      <c r="Z841" s="91"/>
      <c r="AC841" s="2">
        <f t="shared" si="191"/>
        <v>20</v>
      </c>
      <c r="AD841" s="2" t="str">
        <f>IFERROR(INDEX(GLAPS정리!$D$2:$D$50,MATCH(I841,GLAPS정리!$A$2:$A$50,0)),IFERROR(INDEX(GLAPS정리!$D$2:$D$50,MATCH(I841,GLAPS정리!$B$2:$B$50,0)),""))</f>
        <v/>
      </c>
      <c r="AF841" s="2" t="str">
        <f t="shared" si="192"/>
        <v>KR10</v>
      </c>
      <c r="AI841" s="2" t="e">
        <f>VLOOKUP(F841,GLAPS정리!$G$3:$J$114,2,0)</f>
        <v>#N/A</v>
      </c>
      <c r="AJ841" s="2" t="e">
        <f>IF(Z841="울산정일","KRONS",IF(Z841="울산신항","KRUSN",IF(OR(Z841="선광종합물류(인천여객)",Z841="인천여객(인천여객)"),"KRINF",IF(OR(Z841="선광인천보세(인천신)",Z841="한진인천(인천신)",Z841="선광인천신항(인천신)",Z841="인천더로지스(인천신)"),"KRINN",IF(OR(Z841="인천진아(인천항)",Z841="인천E1(인천항)",Z841="인천SM경인터미널(인천항)",Z841="인천항(인천항)",Z841="인천우련(인천항)",Z841="인천항8부두(인천항)"),"KRINC",VLOOKUP(K841,GLAPS정리!$BB$2:$BC$33,2,0))))))</f>
        <v>#N/A</v>
      </c>
      <c r="AL841" s="2">
        <f t="shared" si="193"/>
        <v>5010001</v>
      </c>
      <c r="AN841" s="70" t="str">
        <f t="shared" si="200"/>
        <v>1900-01-00</v>
      </c>
      <c r="AO841" s="2" t="str">
        <f t="shared" si="194"/>
        <v/>
      </c>
      <c r="AP841" s="2" t="e">
        <f>VLOOKUP(C841,GLAPS정리!$AX$2:$AZ$17,3,0)</f>
        <v>#N/A</v>
      </c>
      <c r="AR841" s="2">
        <f t="shared" si="201"/>
        <v>0</v>
      </c>
      <c r="AX841" s="2" t="e">
        <f>VLOOKUP(L841,GLAPS정리!$V$3:$W$180,2,0)</f>
        <v>#N/A</v>
      </c>
      <c r="BM841" s="2" t="str">
        <f t="shared" si="195"/>
        <v xml:space="preserve"> </v>
      </c>
      <c r="BN841" s="2">
        <f t="shared" si="196"/>
        <v>1</v>
      </c>
      <c r="BR841" s="2" t="str">
        <f t="shared" si="197"/>
        <v/>
      </c>
      <c r="BS841" s="2" t="str">
        <f t="shared" si="198"/>
        <v/>
      </c>
      <c r="BV841" s="2" t="e">
        <f>VLOOKUP(O841,GLAPS정리!$BH$2:$BI$94,2,0)</f>
        <v>#N/A</v>
      </c>
      <c r="BW841" s="2" t="str">
        <f>IF(OR(Z841="동원",Z841="세방",Z841="한타"),"",IFERROR(INDEX(GLAPS정리!$BI$2:$BI$101,MATCH(Z841,GLAPS정리!$BH$2:$BH$101,0)),""))</f>
        <v/>
      </c>
      <c r="BX841" s="2" t="str">
        <f>IF(Z841="","",IFERROR(VLOOKUP(Z841,GLAPS정리!$AX$2:$AZ$17,3,0),""))</f>
        <v/>
      </c>
      <c r="BZ841" s="2" t="e">
        <f>VLOOKUP(H841,GLAPS정리!$L$3:$O$133,2,0)</f>
        <v>#N/A</v>
      </c>
      <c r="CA841" s="2" t="str">
        <f t="shared" si="199"/>
        <v/>
      </c>
      <c r="CL841" s="2" t="e">
        <f>VLOOKUP(AI841,GLAPS정리!$BT$3:$BV$26,3,0)</f>
        <v>#N/A</v>
      </c>
    </row>
    <row r="842" spans="2:90" ht="20.45" customHeight="1">
      <c r="B842" s="13"/>
      <c r="G842" s="3"/>
      <c r="J842" s="3"/>
      <c r="Q842" s="3" t="str">
        <f t="shared" si="188"/>
        <v/>
      </c>
      <c r="R842" s="3" t="str">
        <f t="shared" si="189"/>
        <v/>
      </c>
      <c r="S842" s="3" t="str">
        <f t="shared" si="190"/>
        <v/>
      </c>
      <c r="X842" s="13"/>
      <c r="Y842" s="13"/>
      <c r="Z842" s="91"/>
      <c r="AC842" s="2">
        <f t="shared" si="191"/>
        <v>20</v>
      </c>
      <c r="AD842" s="2" t="str">
        <f>IFERROR(INDEX(GLAPS정리!$D$2:$D$50,MATCH(I842,GLAPS정리!$A$2:$A$50,0)),IFERROR(INDEX(GLAPS정리!$D$2:$D$50,MATCH(I842,GLAPS정리!$B$2:$B$50,0)),""))</f>
        <v/>
      </c>
      <c r="AF842" s="2" t="str">
        <f t="shared" si="192"/>
        <v>KR10</v>
      </c>
      <c r="AI842" s="2" t="e">
        <f>VLOOKUP(F842,GLAPS정리!$G$3:$J$114,2,0)</f>
        <v>#N/A</v>
      </c>
      <c r="AJ842" s="2" t="e">
        <f>IF(Z842="울산정일","KRONS",IF(Z842="울산신항","KRUSN",IF(OR(Z842="선광종합물류(인천여객)",Z842="인천여객(인천여객)"),"KRINF",IF(OR(Z842="선광인천보세(인천신)",Z842="한진인천(인천신)",Z842="선광인천신항(인천신)",Z842="인천더로지스(인천신)"),"KRINN",IF(OR(Z842="인천진아(인천항)",Z842="인천E1(인천항)",Z842="인천SM경인터미널(인천항)",Z842="인천항(인천항)",Z842="인천우련(인천항)",Z842="인천항8부두(인천항)"),"KRINC",VLOOKUP(K842,GLAPS정리!$BB$2:$BC$33,2,0))))))</f>
        <v>#N/A</v>
      </c>
      <c r="AL842" s="2">
        <f t="shared" si="193"/>
        <v>5010001</v>
      </c>
      <c r="AN842" s="70" t="str">
        <f t="shared" si="200"/>
        <v>1900-01-00</v>
      </c>
      <c r="AO842" s="2" t="str">
        <f t="shared" si="194"/>
        <v/>
      </c>
      <c r="AP842" s="2" t="e">
        <f>VLOOKUP(C842,GLAPS정리!$AX$2:$AZ$17,3,0)</f>
        <v>#N/A</v>
      </c>
      <c r="AR842" s="2">
        <f t="shared" si="201"/>
        <v>0</v>
      </c>
      <c r="AX842" s="2" t="e">
        <f>VLOOKUP(L842,GLAPS정리!$V$3:$W$180,2,0)</f>
        <v>#N/A</v>
      </c>
      <c r="BM842" s="2" t="str">
        <f t="shared" si="195"/>
        <v xml:space="preserve"> </v>
      </c>
      <c r="BN842" s="2">
        <f t="shared" si="196"/>
        <v>1</v>
      </c>
      <c r="BR842" s="2" t="str">
        <f t="shared" si="197"/>
        <v/>
      </c>
      <c r="BS842" s="2" t="str">
        <f t="shared" si="198"/>
        <v/>
      </c>
      <c r="BV842" s="2" t="e">
        <f>VLOOKUP(O842,GLAPS정리!$BH$2:$BI$94,2,0)</f>
        <v>#N/A</v>
      </c>
      <c r="BW842" s="2" t="str">
        <f>IF(OR(Z842="동원",Z842="세방",Z842="한타"),"",IFERROR(INDEX(GLAPS정리!$BI$2:$BI$101,MATCH(Z842,GLAPS정리!$BH$2:$BH$101,0)),""))</f>
        <v/>
      </c>
      <c r="BX842" s="2" t="str">
        <f>IF(Z842="","",IFERROR(VLOOKUP(Z842,GLAPS정리!$AX$2:$AZ$17,3,0),""))</f>
        <v/>
      </c>
      <c r="BZ842" s="2" t="e">
        <f>VLOOKUP(H842,GLAPS정리!$L$3:$O$133,2,0)</f>
        <v>#N/A</v>
      </c>
      <c r="CA842" s="2" t="str">
        <f t="shared" si="199"/>
        <v/>
      </c>
      <c r="CL842" s="2" t="e">
        <f>VLOOKUP(AI842,GLAPS정리!$BT$3:$BV$26,3,0)</f>
        <v>#N/A</v>
      </c>
    </row>
    <row r="843" spans="2:90" ht="20.45" customHeight="1">
      <c r="B843" s="13"/>
      <c r="G843" s="3"/>
      <c r="J843" s="3"/>
      <c r="Q843" s="3" t="str">
        <f t="shared" si="188"/>
        <v/>
      </c>
      <c r="R843" s="3" t="str">
        <f t="shared" si="189"/>
        <v/>
      </c>
      <c r="S843" s="3" t="str">
        <f t="shared" si="190"/>
        <v/>
      </c>
      <c r="X843" s="13"/>
      <c r="Y843" s="13"/>
      <c r="Z843" s="91"/>
      <c r="AC843" s="2">
        <f t="shared" si="191"/>
        <v>20</v>
      </c>
      <c r="AD843" s="2" t="str">
        <f>IFERROR(INDEX(GLAPS정리!$D$2:$D$50,MATCH(I843,GLAPS정리!$A$2:$A$50,0)),IFERROR(INDEX(GLAPS정리!$D$2:$D$50,MATCH(I843,GLAPS정리!$B$2:$B$50,0)),""))</f>
        <v/>
      </c>
      <c r="AF843" s="2" t="str">
        <f t="shared" si="192"/>
        <v>KR10</v>
      </c>
      <c r="AI843" s="2" t="e">
        <f>VLOOKUP(F843,GLAPS정리!$G$3:$J$114,2,0)</f>
        <v>#N/A</v>
      </c>
      <c r="AJ843" s="2" t="e">
        <f>IF(Z843="울산정일","KRONS",IF(Z843="울산신항","KRUSN",IF(OR(Z843="선광종합물류(인천여객)",Z843="인천여객(인천여객)"),"KRINF",IF(OR(Z843="선광인천보세(인천신)",Z843="한진인천(인천신)",Z843="선광인천신항(인천신)",Z843="인천더로지스(인천신)"),"KRINN",IF(OR(Z843="인천진아(인천항)",Z843="인천E1(인천항)",Z843="인천SM경인터미널(인천항)",Z843="인천항(인천항)",Z843="인천우련(인천항)",Z843="인천항8부두(인천항)"),"KRINC",VLOOKUP(K843,GLAPS정리!$BB$2:$BC$33,2,0))))))</f>
        <v>#N/A</v>
      </c>
      <c r="AL843" s="2">
        <f t="shared" si="193"/>
        <v>5010001</v>
      </c>
      <c r="AN843" s="70" t="str">
        <f t="shared" si="200"/>
        <v>1900-01-00</v>
      </c>
      <c r="AO843" s="2" t="str">
        <f t="shared" si="194"/>
        <v/>
      </c>
      <c r="AP843" s="2" t="e">
        <f>VLOOKUP(C843,GLAPS정리!$AX$2:$AZ$17,3,0)</f>
        <v>#N/A</v>
      </c>
      <c r="AR843" s="2">
        <f t="shared" si="201"/>
        <v>0</v>
      </c>
      <c r="AX843" s="2" t="e">
        <f>VLOOKUP(L843,GLAPS정리!$V$3:$W$180,2,0)</f>
        <v>#N/A</v>
      </c>
      <c r="BM843" s="2" t="str">
        <f t="shared" si="195"/>
        <v xml:space="preserve"> </v>
      </c>
      <c r="BN843" s="2">
        <f t="shared" si="196"/>
        <v>1</v>
      </c>
      <c r="BR843" s="2" t="str">
        <f t="shared" si="197"/>
        <v/>
      </c>
      <c r="BS843" s="2" t="str">
        <f t="shared" si="198"/>
        <v/>
      </c>
      <c r="BV843" s="2" t="e">
        <f>VLOOKUP(O843,GLAPS정리!$BH$2:$BI$94,2,0)</f>
        <v>#N/A</v>
      </c>
      <c r="BW843" s="2" t="str">
        <f>IF(OR(Z843="동원",Z843="세방",Z843="한타"),"",IFERROR(INDEX(GLAPS정리!$BI$2:$BI$101,MATCH(Z843,GLAPS정리!$BH$2:$BH$101,0)),""))</f>
        <v/>
      </c>
      <c r="BX843" s="2" t="str">
        <f>IF(Z843="","",IFERROR(VLOOKUP(Z843,GLAPS정리!$AX$2:$AZ$17,3,0),""))</f>
        <v/>
      </c>
      <c r="BZ843" s="2" t="e">
        <f>VLOOKUP(H843,GLAPS정리!$L$3:$O$133,2,0)</f>
        <v>#N/A</v>
      </c>
      <c r="CA843" s="2" t="str">
        <f t="shared" si="199"/>
        <v/>
      </c>
      <c r="CL843" s="2" t="e">
        <f>VLOOKUP(AI843,GLAPS정리!$BT$3:$BV$26,3,0)</f>
        <v>#N/A</v>
      </c>
    </row>
    <row r="844" spans="2:90" ht="20.45" customHeight="1">
      <c r="B844" s="13"/>
      <c r="G844" s="3"/>
      <c r="J844" s="3"/>
      <c r="Q844" s="3" t="str">
        <f t="shared" si="188"/>
        <v/>
      </c>
      <c r="R844" s="3" t="str">
        <f t="shared" si="189"/>
        <v/>
      </c>
      <c r="S844" s="3" t="str">
        <f t="shared" si="190"/>
        <v/>
      </c>
      <c r="X844" s="13"/>
      <c r="Y844" s="13"/>
      <c r="Z844" s="91"/>
      <c r="AC844" s="2">
        <f t="shared" si="191"/>
        <v>20</v>
      </c>
      <c r="AD844" s="2" t="str">
        <f>IFERROR(INDEX(GLAPS정리!$D$2:$D$50,MATCH(I844,GLAPS정리!$A$2:$A$50,0)),IFERROR(INDEX(GLAPS정리!$D$2:$D$50,MATCH(I844,GLAPS정리!$B$2:$B$50,0)),""))</f>
        <v/>
      </c>
      <c r="AF844" s="2" t="str">
        <f t="shared" si="192"/>
        <v>KR10</v>
      </c>
      <c r="AI844" s="2" t="e">
        <f>VLOOKUP(F844,GLAPS정리!$G$3:$J$114,2,0)</f>
        <v>#N/A</v>
      </c>
      <c r="AJ844" s="2" t="e">
        <f>IF(Z844="울산정일","KRONS",IF(Z844="울산신항","KRUSN",IF(OR(Z844="선광종합물류(인천여객)",Z844="인천여객(인천여객)"),"KRINF",IF(OR(Z844="선광인천보세(인천신)",Z844="한진인천(인천신)",Z844="선광인천신항(인천신)",Z844="인천더로지스(인천신)"),"KRINN",IF(OR(Z844="인천진아(인천항)",Z844="인천E1(인천항)",Z844="인천SM경인터미널(인천항)",Z844="인천항(인천항)",Z844="인천우련(인천항)",Z844="인천항8부두(인천항)"),"KRINC",VLOOKUP(K844,GLAPS정리!$BB$2:$BC$33,2,0))))))</f>
        <v>#N/A</v>
      </c>
      <c r="AL844" s="2">
        <f t="shared" si="193"/>
        <v>5010001</v>
      </c>
      <c r="AN844" s="70" t="str">
        <f t="shared" si="200"/>
        <v>1900-01-00</v>
      </c>
      <c r="AO844" s="2" t="str">
        <f t="shared" si="194"/>
        <v/>
      </c>
      <c r="AP844" s="2" t="e">
        <f>VLOOKUP(C844,GLAPS정리!$AX$2:$AZ$17,3,0)</f>
        <v>#N/A</v>
      </c>
      <c r="AR844" s="2">
        <f t="shared" si="201"/>
        <v>0</v>
      </c>
      <c r="AX844" s="2" t="e">
        <f>VLOOKUP(L844,GLAPS정리!$V$3:$W$180,2,0)</f>
        <v>#N/A</v>
      </c>
      <c r="BM844" s="2" t="str">
        <f t="shared" si="195"/>
        <v xml:space="preserve"> </v>
      </c>
      <c r="BN844" s="2">
        <f t="shared" si="196"/>
        <v>1</v>
      </c>
      <c r="BR844" s="2" t="str">
        <f t="shared" si="197"/>
        <v/>
      </c>
      <c r="BS844" s="2" t="str">
        <f t="shared" si="198"/>
        <v/>
      </c>
      <c r="BV844" s="2" t="e">
        <f>VLOOKUP(O844,GLAPS정리!$BH$2:$BI$94,2,0)</f>
        <v>#N/A</v>
      </c>
      <c r="BW844" s="2" t="str">
        <f>IF(OR(Z844="동원",Z844="세방",Z844="한타"),"",IFERROR(INDEX(GLAPS정리!$BI$2:$BI$101,MATCH(Z844,GLAPS정리!$BH$2:$BH$101,0)),""))</f>
        <v/>
      </c>
      <c r="BX844" s="2" t="str">
        <f>IF(Z844="","",IFERROR(VLOOKUP(Z844,GLAPS정리!$AX$2:$AZ$17,3,0),""))</f>
        <v/>
      </c>
      <c r="BZ844" s="2" t="e">
        <f>VLOOKUP(H844,GLAPS정리!$L$3:$O$133,2,0)</f>
        <v>#N/A</v>
      </c>
      <c r="CA844" s="2" t="str">
        <f t="shared" si="199"/>
        <v/>
      </c>
      <c r="CL844" s="2" t="e">
        <f>VLOOKUP(AI844,GLAPS정리!$BT$3:$BV$26,3,0)</f>
        <v>#N/A</v>
      </c>
    </row>
    <row r="845" spans="2:90" ht="20.45" customHeight="1">
      <c r="B845" s="13"/>
      <c r="G845" s="3"/>
      <c r="J845" s="3"/>
      <c r="Q845" s="3" t="str">
        <f t="shared" si="188"/>
        <v/>
      </c>
      <c r="R845" s="3" t="str">
        <f t="shared" si="189"/>
        <v/>
      </c>
      <c r="S845" s="3" t="str">
        <f t="shared" si="190"/>
        <v/>
      </c>
      <c r="X845" s="13"/>
      <c r="Y845" s="13"/>
      <c r="Z845" s="91"/>
      <c r="AC845" s="2">
        <f t="shared" si="191"/>
        <v>20</v>
      </c>
      <c r="AD845" s="2" t="str">
        <f>IFERROR(INDEX(GLAPS정리!$D$2:$D$50,MATCH(I845,GLAPS정리!$A$2:$A$50,0)),IFERROR(INDEX(GLAPS정리!$D$2:$D$50,MATCH(I845,GLAPS정리!$B$2:$B$50,0)),""))</f>
        <v/>
      </c>
      <c r="AF845" s="2" t="str">
        <f t="shared" si="192"/>
        <v>KR10</v>
      </c>
      <c r="AI845" s="2" t="e">
        <f>VLOOKUP(F845,GLAPS정리!$G$3:$J$114,2,0)</f>
        <v>#N/A</v>
      </c>
      <c r="AJ845" s="2" t="e">
        <f>IF(Z845="울산정일","KRONS",IF(Z845="울산신항","KRUSN",IF(OR(Z845="선광종합물류(인천여객)",Z845="인천여객(인천여객)"),"KRINF",IF(OR(Z845="선광인천보세(인천신)",Z845="한진인천(인천신)",Z845="선광인천신항(인천신)",Z845="인천더로지스(인천신)"),"KRINN",IF(OR(Z845="인천진아(인천항)",Z845="인천E1(인천항)",Z845="인천SM경인터미널(인천항)",Z845="인천항(인천항)",Z845="인천우련(인천항)",Z845="인천항8부두(인천항)"),"KRINC",VLOOKUP(K845,GLAPS정리!$BB$2:$BC$33,2,0))))))</f>
        <v>#N/A</v>
      </c>
      <c r="AL845" s="2">
        <f t="shared" si="193"/>
        <v>5010001</v>
      </c>
      <c r="AN845" s="70" t="str">
        <f t="shared" si="200"/>
        <v>1900-01-00</v>
      </c>
      <c r="AO845" s="2" t="str">
        <f t="shared" si="194"/>
        <v/>
      </c>
      <c r="AP845" s="2" t="e">
        <f>VLOOKUP(C845,GLAPS정리!$AX$2:$AZ$17,3,0)</f>
        <v>#N/A</v>
      </c>
      <c r="AR845" s="2">
        <f t="shared" si="201"/>
        <v>0</v>
      </c>
      <c r="AX845" s="2" t="e">
        <f>VLOOKUP(L845,GLAPS정리!$V$3:$W$180,2,0)</f>
        <v>#N/A</v>
      </c>
      <c r="BM845" s="2" t="str">
        <f t="shared" si="195"/>
        <v xml:space="preserve"> </v>
      </c>
      <c r="BN845" s="2">
        <f t="shared" si="196"/>
        <v>1</v>
      </c>
      <c r="BR845" s="2" t="str">
        <f t="shared" si="197"/>
        <v/>
      </c>
      <c r="BS845" s="2" t="str">
        <f t="shared" si="198"/>
        <v/>
      </c>
      <c r="BV845" s="2" t="e">
        <f>VLOOKUP(O845,GLAPS정리!$BH$2:$BI$94,2,0)</f>
        <v>#N/A</v>
      </c>
      <c r="BW845" s="2" t="str">
        <f>IF(OR(Z845="동원",Z845="세방",Z845="한타"),"",IFERROR(INDEX(GLAPS정리!$BI$2:$BI$101,MATCH(Z845,GLAPS정리!$BH$2:$BH$101,0)),""))</f>
        <v/>
      </c>
      <c r="BX845" s="2" t="str">
        <f>IF(Z845="","",IFERROR(VLOOKUP(Z845,GLAPS정리!$AX$2:$AZ$17,3,0),""))</f>
        <v/>
      </c>
      <c r="BZ845" s="2" t="e">
        <f>VLOOKUP(H845,GLAPS정리!$L$3:$O$133,2,0)</f>
        <v>#N/A</v>
      </c>
      <c r="CA845" s="2" t="str">
        <f t="shared" si="199"/>
        <v/>
      </c>
      <c r="CL845" s="2" t="e">
        <f>VLOOKUP(AI845,GLAPS정리!$BT$3:$BV$26,3,0)</f>
        <v>#N/A</v>
      </c>
    </row>
    <row r="846" spans="2:90" ht="20.45" customHeight="1">
      <c r="B846" s="13"/>
      <c r="G846" s="3"/>
      <c r="J846" s="3"/>
      <c r="Q846" s="3" t="str">
        <f t="shared" si="188"/>
        <v/>
      </c>
      <c r="R846" s="3" t="str">
        <f t="shared" si="189"/>
        <v/>
      </c>
      <c r="S846" s="3" t="str">
        <f t="shared" si="190"/>
        <v/>
      </c>
      <c r="X846" s="13"/>
      <c r="Y846" s="13"/>
      <c r="Z846" s="91"/>
      <c r="AC846" s="2">
        <f t="shared" si="191"/>
        <v>20</v>
      </c>
      <c r="AD846" s="2" t="str">
        <f>IFERROR(INDEX(GLAPS정리!$D$2:$D$50,MATCH(I846,GLAPS정리!$A$2:$A$50,0)),IFERROR(INDEX(GLAPS정리!$D$2:$D$50,MATCH(I846,GLAPS정리!$B$2:$B$50,0)),""))</f>
        <v/>
      </c>
      <c r="AF846" s="2" t="str">
        <f t="shared" si="192"/>
        <v>KR10</v>
      </c>
      <c r="AI846" s="2" t="e">
        <f>VLOOKUP(F846,GLAPS정리!$G$3:$J$114,2,0)</f>
        <v>#N/A</v>
      </c>
      <c r="AJ846" s="2" t="e">
        <f>IF(Z846="울산정일","KRONS",IF(Z846="울산신항","KRUSN",IF(OR(Z846="선광종합물류(인천여객)",Z846="인천여객(인천여객)"),"KRINF",IF(OR(Z846="선광인천보세(인천신)",Z846="한진인천(인천신)",Z846="선광인천신항(인천신)",Z846="인천더로지스(인천신)"),"KRINN",IF(OR(Z846="인천진아(인천항)",Z846="인천E1(인천항)",Z846="인천SM경인터미널(인천항)",Z846="인천항(인천항)",Z846="인천우련(인천항)",Z846="인천항8부두(인천항)"),"KRINC",VLOOKUP(K846,GLAPS정리!$BB$2:$BC$33,2,0))))))</f>
        <v>#N/A</v>
      </c>
      <c r="AL846" s="2">
        <f t="shared" si="193"/>
        <v>5010001</v>
      </c>
      <c r="AN846" s="70" t="str">
        <f t="shared" si="200"/>
        <v>1900-01-00</v>
      </c>
      <c r="AO846" s="2" t="str">
        <f t="shared" si="194"/>
        <v/>
      </c>
      <c r="AP846" s="2" t="e">
        <f>VLOOKUP(C846,GLAPS정리!$AX$2:$AZ$17,3,0)</f>
        <v>#N/A</v>
      </c>
      <c r="AR846" s="2">
        <f t="shared" si="201"/>
        <v>0</v>
      </c>
      <c r="AX846" s="2" t="e">
        <f>VLOOKUP(L846,GLAPS정리!$V$3:$W$180,2,0)</f>
        <v>#N/A</v>
      </c>
      <c r="BM846" s="2" t="str">
        <f t="shared" si="195"/>
        <v xml:space="preserve"> </v>
      </c>
      <c r="BN846" s="2">
        <f t="shared" si="196"/>
        <v>1</v>
      </c>
      <c r="BR846" s="2" t="str">
        <f t="shared" si="197"/>
        <v/>
      </c>
      <c r="BS846" s="2" t="str">
        <f t="shared" si="198"/>
        <v/>
      </c>
      <c r="BV846" s="2" t="e">
        <f>VLOOKUP(O846,GLAPS정리!$BH$2:$BI$94,2,0)</f>
        <v>#N/A</v>
      </c>
      <c r="BW846" s="2" t="str">
        <f>IF(OR(Z846="동원",Z846="세방",Z846="한타"),"",IFERROR(INDEX(GLAPS정리!$BI$2:$BI$101,MATCH(Z846,GLAPS정리!$BH$2:$BH$101,0)),""))</f>
        <v/>
      </c>
      <c r="BX846" s="2" t="str">
        <f>IF(Z846="","",IFERROR(VLOOKUP(Z846,GLAPS정리!$AX$2:$AZ$17,3,0),""))</f>
        <v/>
      </c>
      <c r="BZ846" s="2" t="e">
        <f>VLOOKUP(H846,GLAPS정리!$L$3:$O$133,2,0)</f>
        <v>#N/A</v>
      </c>
      <c r="CA846" s="2" t="str">
        <f t="shared" si="199"/>
        <v/>
      </c>
      <c r="CL846" s="2" t="e">
        <f>VLOOKUP(AI846,GLAPS정리!$BT$3:$BV$26,3,0)</f>
        <v>#N/A</v>
      </c>
    </row>
    <row r="847" spans="2:90" ht="20.45" customHeight="1">
      <c r="B847" s="13"/>
      <c r="G847" s="3"/>
      <c r="J847" s="3"/>
      <c r="Q847" s="3" t="str">
        <f t="shared" si="188"/>
        <v/>
      </c>
      <c r="R847" s="3" t="str">
        <f t="shared" si="189"/>
        <v/>
      </c>
      <c r="S847" s="3" t="str">
        <f t="shared" si="190"/>
        <v/>
      </c>
      <c r="X847" s="13"/>
      <c r="Y847" s="13"/>
      <c r="Z847" s="91"/>
      <c r="AC847" s="2">
        <f t="shared" si="191"/>
        <v>20</v>
      </c>
      <c r="AD847" s="2" t="str">
        <f>IFERROR(INDEX(GLAPS정리!$D$2:$D$50,MATCH(I847,GLAPS정리!$A$2:$A$50,0)),IFERROR(INDEX(GLAPS정리!$D$2:$D$50,MATCH(I847,GLAPS정리!$B$2:$B$50,0)),""))</f>
        <v/>
      </c>
      <c r="AF847" s="2" t="str">
        <f t="shared" si="192"/>
        <v>KR10</v>
      </c>
      <c r="AI847" s="2" t="e">
        <f>VLOOKUP(F847,GLAPS정리!$G$3:$J$114,2,0)</f>
        <v>#N/A</v>
      </c>
      <c r="AJ847" s="2" t="e">
        <f>IF(Z847="울산정일","KRONS",IF(Z847="울산신항","KRUSN",IF(OR(Z847="선광종합물류(인천여객)",Z847="인천여객(인천여객)"),"KRINF",IF(OR(Z847="선광인천보세(인천신)",Z847="한진인천(인천신)",Z847="선광인천신항(인천신)",Z847="인천더로지스(인천신)"),"KRINN",IF(OR(Z847="인천진아(인천항)",Z847="인천E1(인천항)",Z847="인천SM경인터미널(인천항)",Z847="인천항(인천항)",Z847="인천우련(인천항)",Z847="인천항8부두(인천항)"),"KRINC",VLOOKUP(K847,GLAPS정리!$BB$2:$BC$33,2,0))))))</f>
        <v>#N/A</v>
      </c>
      <c r="AL847" s="2">
        <f t="shared" si="193"/>
        <v>5010001</v>
      </c>
      <c r="AN847" s="70" t="str">
        <f t="shared" si="200"/>
        <v>1900-01-00</v>
      </c>
      <c r="AO847" s="2" t="str">
        <f t="shared" si="194"/>
        <v/>
      </c>
      <c r="AP847" s="2" t="e">
        <f>VLOOKUP(C847,GLAPS정리!$AX$2:$AZ$17,3,0)</f>
        <v>#N/A</v>
      </c>
      <c r="AR847" s="2">
        <f t="shared" si="201"/>
        <v>0</v>
      </c>
      <c r="AX847" s="2" t="e">
        <f>VLOOKUP(L847,GLAPS정리!$V$3:$W$180,2,0)</f>
        <v>#N/A</v>
      </c>
      <c r="BM847" s="2" t="str">
        <f t="shared" si="195"/>
        <v xml:space="preserve"> </v>
      </c>
      <c r="BN847" s="2">
        <f t="shared" si="196"/>
        <v>1</v>
      </c>
      <c r="BR847" s="2" t="str">
        <f t="shared" si="197"/>
        <v/>
      </c>
      <c r="BS847" s="2" t="str">
        <f t="shared" si="198"/>
        <v/>
      </c>
      <c r="BV847" s="2" t="e">
        <f>VLOOKUP(O847,GLAPS정리!$BH$2:$BI$94,2,0)</f>
        <v>#N/A</v>
      </c>
      <c r="BW847" s="2" t="str">
        <f>IF(OR(Z847="동원",Z847="세방",Z847="한타"),"",IFERROR(INDEX(GLAPS정리!$BI$2:$BI$101,MATCH(Z847,GLAPS정리!$BH$2:$BH$101,0)),""))</f>
        <v/>
      </c>
      <c r="BX847" s="2" t="str">
        <f>IF(Z847="","",IFERROR(VLOOKUP(Z847,GLAPS정리!$AX$2:$AZ$17,3,0),""))</f>
        <v/>
      </c>
      <c r="BZ847" s="2" t="e">
        <f>VLOOKUP(H847,GLAPS정리!$L$3:$O$133,2,0)</f>
        <v>#N/A</v>
      </c>
      <c r="CA847" s="2" t="str">
        <f t="shared" si="199"/>
        <v/>
      </c>
      <c r="CL847" s="2" t="e">
        <f>VLOOKUP(AI847,GLAPS정리!$BT$3:$BV$26,3,0)</f>
        <v>#N/A</v>
      </c>
    </row>
    <row r="848" spans="2:90" ht="20.45" customHeight="1">
      <c r="B848" s="13"/>
      <c r="G848" s="3"/>
      <c r="J848" s="3"/>
      <c r="Q848" s="3" t="str">
        <f t="shared" si="188"/>
        <v/>
      </c>
      <c r="R848" s="3" t="str">
        <f t="shared" si="189"/>
        <v/>
      </c>
      <c r="S848" s="3" t="str">
        <f t="shared" si="190"/>
        <v/>
      </c>
      <c r="X848" s="13"/>
      <c r="Y848" s="13"/>
      <c r="Z848" s="91"/>
      <c r="AC848" s="2">
        <f t="shared" si="191"/>
        <v>20</v>
      </c>
      <c r="AD848" s="2" t="str">
        <f>IFERROR(INDEX(GLAPS정리!$D$2:$D$50,MATCH(I848,GLAPS정리!$A$2:$A$50,0)),IFERROR(INDEX(GLAPS정리!$D$2:$D$50,MATCH(I848,GLAPS정리!$B$2:$B$50,0)),""))</f>
        <v/>
      </c>
      <c r="AF848" s="2" t="str">
        <f t="shared" si="192"/>
        <v>KR10</v>
      </c>
      <c r="AI848" s="2" t="e">
        <f>VLOOKUP(F848,GLAPS정리!$G$3:$J$114,2,0)</f>
        <v>#N/A</v>
      </c>
      <c r="AJ848" s="2" t="e">
        <f>IF(Z848="울산정일","KRONS",IF(Z848="울산신항","KRUSN",IF(OR(Z848="선광종합물류(인천여객)",Z848="인천여객(인천여객)"),"KRINF",IF(OR(Z848="선광인천보세(인천신)",Z848="한진인천(인천신)",Z848="선광인천신항(인천신)",Z848="인천더로지스(인천신)"),"KRINN",IF(OR(Z848="인천진아(인천항)",Z848="인천E1(인천항)",Z848="인천SM경인터미널(인천항)",Z848="인천항(인천항)",Z848="인천우련(인천항)",Z848="인천항8부두(인천항)"),"KRINC",VLOOKUP(K848,GLAPS정리!$BB$2:$BC$33,2,0))))))</f>
        <v>#N/A</v>
      </c>
      <c r="AL848" s="2">
        <f t="shared" si="193"/>
        <v>5010001</v>
      </c>
      <c r="AN848" s="70" t="str">
        <f t="shared" si="200"/>
        <v>1900-01-00</v>
      </c>
      <c r="AO848" s="2" t="str">
        <f t="shared" si="194"/>
        <v/>
      </c>
      <c r="AP848" s="2" t="e">
        <f>VLOOKUP(C848,GLAPS정리!$AX$2:$AZ$17,3,0)</f>
        <v>#N/A</v>
      </c>
      <c r="AR848" s="2">
        <f t="shared" si="201"/>
        <v>0</v>
      </c>
      <c r="AX848" s="2" t="e">
        <f>VLOOKUP(L848,GLAPS정리!$V$3:$W$180,2,0)</f>
        <v>#N/A</v>
      </c>
      <c r="BM848" s="2" t="str">
        <f t="shared" si="195"/>
        <v xml:space="preserve"> </v>
      </c>
      <c r="BN848" s="2">
        <f t="shared" si="196"/>
        <v>1</v>
      </c>
      <c r="BR848" s="2" t="str">
        <f t="shared" si="197"/>
        <v/>
      </c>
      <c r="BS848" s="2" t="str">
        <f t="shared" si="198"/>
        <v/>
      </c>
      <c r="BV848" s="2" t="e">
        <f>VLOOKUP(O848,GLAPS정리!$BH$2:$BI$94,2,0)</f>
        <v>#N/A</v>
      </c>
      <c r="BW848" s="2" t="str">
        <f>IF(OR(Z848="동원",Z848="세방",Z848="한타"),"",IFERROR(INDEX(GLAPS정리!$BI$2:$BI$101,MATCH(Z848,GLAPS정리!$BH$2:$BH$101,0)),""))</f>
        <v/>
      </c>
      <c r="BX848" s="2" t="str">
        <f>IF(Z848="","",IFERROR(VLOOKUP(Z848,GLAPS정리!$AX$2:$AZ$17,3,0),""))</f>
        <v/>
      </c>
      <c r="BZ848" s="2" t="e">
        <f>VLOOKUP(H848,GLAPS정리!$L$3:$O$133,2,0)</f>
        <v>#N/A</v>
      </c>
      <c r="CA848" s="2" t="str">
        <f t="shared" si="199"/>
        <v/>
      </c>
      <c r="CL848" s="2" t="e">
        <f>VLOOKUP(AI848,GLAPS정리!$BT$3:$BV$26,3,0)</f>
        <v>#N/A</v>
      </c>
    </row>
    <row r="849" spans="2:90" ht="20.45" customHeight="1">
      <c r="B849" s="13"/>
      <c r="G849" s="3"/>
      <c r="J849" s="3"/>
      <c r="Q849" s="3" t="str">
        <f t="shared" si="188"/>
        <v/>
      </c>
      <c r="R849" s="3" t="str">
        <f t="shared" si="189"/>
        <v/>
      </c>
      <c r="S849" s="3" t="str">
        <f t="shared" si="190"/>
        <v/>
      </c>
      <c r="X849" s="13"/>
      <c r="Y849" s="13"/>
      <c r="Z849" s="91"/>
      <c r="AC849" s="2">
        <f t="shared" si="191"/>
        <v>20</v>
      </c>
      <c r="AD849" s="2" t="str">
        <f>IFERROR(INDEX(GLAPS정리!$D$2:$D$50,MATCH(I849,GLAPS정리!$A$2:$A$50,0)),IFERROR(INDEX(GLAPS정리!$D$2:$D$50,MATCH(I849,GLAPS정리!$B$2:$B$50,0)),""))</f>
        <v/>
      </c>
      <c r="AF849" s="2" t="str">
        <f t="shared" si="192"/>
        <v>KR10</v>
      </c>
      <c r="AI849" s="2" t="e">
        <f>VLOOKUP(F849,GLAPS정리!$G$3:$J$114,2,0)</f>
        <v>#N/A</v>
      </c>
      <c r="AJ849" s="2" t="e">
        <f>IF(Z849="울산정일","KRONS",IF(Z849="울산신항","KRUSN",IF(OR(Z849="선광종합물류(인천여객)",Z849="인천여객(인천여객)"),"KRINF",IF(OR(Z849="선광인천보세(인천신)",Z849="한진인천(인천신)",Z849="선광인천신항(인천신)",Z849="인천더로지스(인천신)"),"KRINN",IF(OR(Z849="인천진아(인천항)",Z849="인천E1(인천항)",Z849="인천SM경인터미널(인천항)",Z849="인천항(인천항)",Z849="인천우련(인천항)",Z849="인천항8부두(인천항)"),"KRINC",VLOOKUP(K849,GLAPS정리!$BB$2:$BC$33,2,0))))))</f>
        <v>#N/A</v>
      </c>
      <c r="AL849" s="2">
        <f t="shared" si="193"/>
        <v>5010001</v>
      </c>
      <c r="AN849" s="70" t="str">
        <f t="shared" si="200"/>
        <v>1900-01-00</v>
      </c>
      <c r="AO849" s="2" t="str">
        <f t="shared" si="194"/>
        <v/>
      </c>
      <c r="AP849" s="2" t="e">
        <f>VLOOKUP(C849,GLAPS정리!$AX$2:$AZ$17,3,0)</f>
        <v>#N/A</v>
      </c>
      <c r="AR849" s="2">
        <f t="shared" si="201"/>
        <v>0</v>
      </c>
      <c r="AX849" s="2" t="e">
        <f>VLOOKUP(L849,GLAPS정리!$V$3:$W$180,2,0)</f>
        <v>#N/A</v>
      </c>
      <c r="BM849" s="2" t="str">
        <f t="shared" si="195"/>
        <v xml:space="preserve"> </v>
      </c>
      <c r="BN849" s="2">
        <f t="shared" si="196"/>
        <v>1</v>
      </c>
      <c r="BR849" s="2" t="str">
        <f t="shared" si="197"/>
        <v/>
      </c>
      <c r="BS849" s="2" t="str">
        <f t="shared" si="198"/>
        <v/>
      </c>
      <c r="BV849" s="2" t="e">
        <f>VLOOKUP(O849,GLAPS정리!$BH$2:$BI$94,2,0)</f>
        <v>#N/A</v>
      </c>
      <c r="BW849" s="2" t="str">
        <f>IF(OR(Z849="동원",Z849="세방",Z849="한타"),"",IFERROR(INDEX(GLAPS정리!$BI$2:$BI$101,MATCH(Z849,GLAPS정리!$BH$2:$BH$101,0)),""))</f>
        <v/>
      </c>
      <c r="BX849" s="2" t="str">
        <f>IF(Z849="","",IFERROR(VLOOKUP(Z849,GLAPS정리!$AX$2:$AZ$17,3,0),""))</f>
        <v/>
      </c>
      <c r="BZ849" s="2" t="e">
        <f>VLOOKUP(H849,GLAPS정리!$L$3:$O$133,2,0)</f>
        <v>#N/A</v>
      </c>
      <c r="CA849" s="2" t="str">
        <f t="shared" si="199"/>
        <v/>
      </c>
      <c r="CL849" s="2" t="e">
        <f>VLOOKUP(AI849,GLAPS정리!$BT$3:$BV$26,3,0)</f>
        <v>#N/A</v>
      </c>
    </row>
    <row r="850" spans="2:90" ht="20.45" customHeight="1">
      <c r="B850" s="13"/>
      <c r="G850" s="3"/>
      <c r="J850" s="3"/>
      <c r="Q850" s="3" t="str">
        <f t="shared" si="188"/>
        <v/>
      </c>
      <c r="R850" s="3" t="str">
        <f t="shared" si="189"/>
        <v/>
      </c>
      <c r="S850" s="3" t="str">
        <f t="shared" si="190"/>
        <v/>
      </c>
      <c r="X850" s="13"/>
      <c r="Y850" s="13"/>
      <c r="Z850" s="91"/>
      <c r="AC850" s="2">
        <f t="shared" si="191"/>
        <v>20</v>
      </c>
      <c r="AD850" s="2" t="str">
        <f>IFERROR(INDEX(GLAPS정리!$D$2:$D$50,MATCH(I850,GLAPS정리!$A$2:$A$50,0)),IFERROR(INDEX(GLAPS정리!$D$2:$D$50,MATCH(I850,GLAPS정리!$B$2:$B$50,0)),""))</f>
        <v/>
      </c>
      <c r="AF850" s="2" t="str">
        <f t="shared" si="192"/>
        <v>KR10</v>
      </c>
      <c r="AI850" s="2" t="e">
        <f>VLOOKUP(F850,GLAPS정리!$G$3:$J$114,2,0)</f>
        <v>#N/A</v>
      </c>
      <c r="AJ850" s="2" t="e">
        <f>IF(Z850="울산정일","KRONS",IF(Z850="울산신항","KRUSN",IF(OR(Z850="선광종합물류(인천여객)",Z850="인천여객(인천여객)"),"KRINF",IF(OR(Z850="선광인천보세(인천신)",Z850="한진인천(인천신)",Z850="선광인천신항(인천신)",Z850="인천더로지스(인천신)"),"KRINN",IF(OR(Z850="인천진아(인천항)",Z850="인천E1(인천항)",Z850="인천SM경인터미널(인천항)",Z850="인천항(인천항)",Z850="인천우련(인천항)",Z850="인천항8부두(인천항)"),"KRINC",VLOOKUP(K850,GLAPS정리!$BB$2:$BC$33,2,0))))))</f>
        <v>#N/A</v>
      </c>
      <c r="AL850" s="2">
        <f t="shared" si="193"/>
        <v>5010001</v>
      </c>
      <c r="AN850" s="70" t="str">
        <f t="shared" si="200"/>
        <v>1900-01-00</v>
      </c>
      <c r="AO850" s="2" t="str">
        <f t="shared" si="194"/>
        <v/>
      </c>
      <c r="AP850" s="2" t="e">
        <f>VLOOKUP(C850,GLAPS정리!$AX$2:$AZ$17,3,0)</f>
        <v>#N/A</v>
      </c>
      <c r="AR850" s="2">
        <f t="shared" si="201"/>
        <v>0</v>
      </c>
      <c r="AX850" s="2" t="e">
        <f>VLOOKUP(L850,GLAPS정리!$V$3:$W$180,2,0)</f>
        <v>#N/A</v>
      </c>
      <c r="BM850" s="2" t="str">
        <f t="shared" si="195"/>
        <v xml:space="preserve"> </v>
      </c>
      <c r="BN850" s="2">
        <f t="shared" si="196"/>
        <v>1</v>
      </c>
      <c r="BR850" s="2" t="str">
        <f t="shared" si="197"/>
        <v/>
      </c>
      <c r="BS850" s="2" t="str">
        <f t="shared" si="198"/>
        <v/>
      </c>
      <c r="BV850" s="2" t="e">
        <f>VLOOKUP(O850,GLAPS정리!$BH$2:$BI$94,2,0)</f>
        <v>#N/A</v>
      </c>
      <c r="BW850" s="2" t="str">
        <f>IF(OR(Z850="동원",Z850="세방",Z850="한타"),"",IFERROR(INDEX(GLAPS정리!$BI$2:$BI$101,MATCH(Z850,GLAPS정리!$BH$2:$BH$101,0)),""))</f>
        <v/>
      </c>
      <c r="BX850" s="2" t="str">
        <f>IF(Z850="","",IFERROR(VLOOKUP(Z850,GLAPS정리!$AX$2:$AZ$17,3,0),""))</f>
        <v/>
      </c>
      <c r="BZ850" s="2" t="e">
        <f>VLOOKUP(H850,GLAPS정리!$L$3:$O$133,2,0)</f>
        <v>#N/A</v>
      </c>
      <c r="CA850" s="2" t="str">
        <f t="shared" si="199"/>
        <v/>
      </c>
      <c r="CL850" s="2" t="e">
        <f>VLOOKUP(AI850,GLAPS정리!$BT$3:$BV$26,3,0)</f>
        <v>#N/A</v>
      </c>
    </row>
    <row r="851" spans="2:90" ht="20.45" customHeight="1">
      <c r="B851" s="13"/>
      <c r="G851" s="3"/>
      <c r="J851" s="3"/>
      <c r="Q851" s="3" t="str">
        <f t="shared" si="188"/>
        <v/>
      </c>
      <c r="R851" s="3" t="str">
        <f t="shared" si="189"/>
        <v/>
      </c>
      <c r="S851" s="3" t="str">
        <f t="shared" si="190"/>
        <v/>
      </c>
      <c r="X851" s="13"/>
      <c r="Y851" s="13"/>
      <c r="Z851" s="91"/>
      <c r="AC851" s="2">
        <f t="shared" si="191"/>
        <v>20</v>
      </c>
      <c r="AD851" s="2" t="str">
        <f>IFERROR(INDEX(GLAPS정리!$D$2:$D$50,MATCH(I851,GLAPS정리!$A$2:$A$50,0)),IFERROR(INDEX(GLAPS정리!$D$2:$D$50,MATCH(I851,GLAPS정리!$B$2:$B$50,0)),""))</f>
        <v/>
      </c>
      <c r="AF851" s="2" t="str">
        <f t="shared" si="192"/>
        <v>KR10</v>
      </c>
      <c r="AI851" s="2" t="e">
        <f>VLOOKUP(F851,GLAPS정리!$G$3:$J$114,2,0)</f>
        <v>#N/A</v>
      </c>
      <c r="AJ851" s="2" t="e">
        <f>IF(Z851="울산정일","KRONS",IF(Z851="울산신항","KRUSN",IF(OR(Z851="선광종합물류(인천여객)",Z851="인천여객(인천여객)"),"KRINF",IF(OR(Z851="선광인천보세(인천신)",Z851="한진인천(인천신)",Z851="선광인천신항(인천신)",Z851="인천더로지스(인천신)"),"KRINN",IF(OR(Z851="인천진아(인천항)",Z851="인천E1(인천항)",Z851="인천SM경인터미널(인천항)",Z851="인천항(인천항)",Z851="인천우련(인천항)",Z851="인천항8부두(인천항)"),"KRINC",VLOOKUP(K851,GLAPS정리!$BB$2:$BC$33,2,0))))))</f>
        <v>#N/A</v>
      </c>
      <c r="AL851" s="2">
        <f t="shared" si="193"/>
        <v>5010001</v>
      </c>
      <c r="AN851" s="70" t="str">
        <f t="shared" si="200"/>
        <v>1900-01-00</v>
      </c>
      <c r="AO851" s="2" t="str">
        <f t="shared" si="194"/>
        <v/>
      </c>
      <c r="AP851" s="2" t="e">
        <f>VLOOKUP(C851,GLAPS정리!$AX$2:$AZ$17,3,0)</f>
        <v>#N/A</v>
      </c>
      <c r="AR851" s="2">
        <f t="shared" si="201"/>
        <v>0</v>
      </c>
      <c r="AX851" s="2" t="e">
        <f>VLOOKUP(L851,GLAPS정리!$V$3:$W$180,2,0)</f>
        <v>#N/A</v>
      </c>
      <c r="BM851" s="2" t="str">
        <f t="shared" si="195"/>
        <v xml:space="preserve"> </v>
      </c>
      <c r="BN851" s="2">
        <f t="shared" si="196"/>
        <v>1</v>
      </c>
      <c r="BR851" s="2" t="str">
        <f t="shared" si="197"/>
        <v/>
      </c>
      <c r="BS851" s="2" t="str">
        <f t="shared" si="198"/>
        <v/>
      </c>
      <c r="BV851" s="2" t="e">
        <f>VLOOKUP(O851,GLAPS정리!$BH$2:$BI$94,2,0)</f>
        <v>#N/A</v>
      </c>
      <c r="BW851" s="2" t="str">
        <f>IF(OR(Z851="동원",Z851="세방",Z851="한타"),"",IFERROR(INDEX(GLAPS정리!$BI$2:$BI$101,MATCH(Z851,GLAPS정리!$BH$2:$BH$101,0)),""))</f>
        <v/>
      </c>
      <c r="BX851" s="2" t="str">
        <f>IF(Z851="","",IFERROR(VLOOKUP(Z851,GLAPS정리!$AX$2:$AZ$17,3,0),""))</f>
        <v/>
      </c>
      <c r="BZ851" s="2" t="e">
        <f>VLOOKUP(H851,GLAPS정리!$L$3:$O$133,2,0)</f>
        <v>#N/A</v>
      </c>
      <c r="CA851" s="2" t="str">
        <f t="shared" si="199"/>
        <v/>
      </c>
      <c r="CL851" s="2" t="e">
        <f>VLOOKUP(AI851,GLAPS정리!$BT$3:$BV$26,3,0)</f>
        <v>#N/A</v>
      </c>
    </row>
    <row r="852" spans="2:90" ht="20.45" customHeight="1">
      <c r="B852" s="13"/>
      <c r="G852" s="3"/>
      <c r="J852" s="3"/>
      <c r="Q852" s="3" t="str">
        <f t="shared" si="188"/>
        <v/>
      </c>
      <c r="R852" s="3" t="str">
        <f t="shared" si="189"/>
        <v/>
      </c>
      <c r="S852" s="3" t="str">
        <f t="shared" si="190"/>
        <v/>
      </c>
      <c r="X852" s="13"/>
      <c r="Y852" s="13"/>
      <c r="Z852" s="91"/>
      <c r="AC852" s="2">
        <f t="shared" si="191"/>
        <v>20</v>
      </c>
      <c r="AD852" s="2" t="str">
        <f>IFERROR(INDEX(GLAPS정리!$D$2:$D$50,MATCH(I852,GLAPS정리!$A$2:$A$50,0)),IFERROR(INDEX(GLAPS정리!$D$2:$D$50,MATCH(I852,GLAPS정리!$B$2:$B$50,0)),""))</f>
        <v/>
      </c>
      <c r="AF852" s="2" t="str">
        <f t="shared" si="192"/>
        <v>KR10</v>
      </c>
      <c r="AI852" s="2" t="e">
        <f>VLOOKUP(F852,GLAPS정리!$G$3:$J$114,2,0)</f>
        <v>#N/A</v>
      </c>
      <c r="AJ852" s="2" t="e">
        <f>IF(Z852="울산정일","KRONS",IF(Z852="울산신항","KRUSN",IF(OR(Z852="선광종합물류(인천여객)",Z852="인천여객(인천여객)"),"KRINF",IF(OR(Z852="선광인천보세(인천신)",Z852="한진인천(인천신)",Z852="선광인천신항(인천신)",Z852="인천더로지스(인천신)"),"KRINN",IF(OR(Z852="인천진아(인천항)",Z852="인천E1(인천항)",Z852="인천SM경인터미널(인천항)",Z852="인천항(인천항)",Z852="인천우련(인천항)",Z852="인천항8부두(인천항)"),"KRINC",VLOOKUP(K852,GLAPS정리!$BB$2:$BC$33,2,0))))))</f>
        <v>#N/A</v>
      </c>
      <c r="AL852" s="2">
        <f t="shared" si="193"/>
        <v>5010001</v>
      </c>
      <c r="AN852" s="70" t="str">
        <f t="shared" si="200"/>
        <v>1900-01-00</v>
      </c>
      <c r="AO852" s="2" t="str">
        <f t="shared" si="194"/>
        <v/>
      </c>
      <c r="AP852" s="2" t="e">
        <f>VLOOKUP(C852,GLAPS정리!$AX$2:$AZ$17,3,0)</f>
        <v>#N/A</v>
      </c>
      <c r="AR852" s="2">
        <f t="shared" si="201"/>
        <v>0</v>
      </c>
      <c r="AX852" s="2" t="e">
        <f>VLOOKUP(L852,GLAPS정리!$V$3:$W$180,2,0)</f>
        <v>#N/A</v>
      </c>
      <c r="BM852" s="2" t="str">
        <f t="shared" si="195"/>
        <v xml:space="preserve"> </v>
      </c>
      <c r="BN852" s="2">
        <f t="shared" si="196"/>
        <v>1</v>
      </c>
      <c r="BR852" s="2" t="str">
        <f t="shared" si="197"/>
        <v/>
      </c>
      <c r="BS852" s="2" t="str">
        <f t="shared" si="198"/>
        <v/>
      </c>
      <c r="BV852" s="2" t="e">
        <f>VLOOKUP(O852,GLAPS정리!$BH$2:$BI$94,2,0)</f>
        <v>#N/A</v>
      </c>
      <c r="BW852" s="2" t="str">
        <f>IF(OR(Z852="동원",Z852="세방",Z852="한타"),"",IFERROR(INDEX(GLAPS정리!$BI$2:$BI$101,MATCH(Z852,GLAPS정리!$BH$2:$BH$101,0)),""))</f>
        <v/>
      </c>
      <c r="BX852" s="2" t="str">
        <f>IF(Z852="","",IFERROR(VLOOKUP(Z852,GLAPS정리!$AX$2:$AZ$17,3,0),""))</f>
        <v/>
      </c>
      <c r="BZ852" s="2" t="e">
        <f>VLOOKUP(H852,GLAPS정리!$L$3:$O$133,2,0)</f>
        <v>#N/A</v>
      </c>
      <c r="CA852" s="2" t="str">
        <f t="shared" si="199"/>
        <v/>
      </c>
      <c r="CL852" s="2" t="e">
        <f>VLOOKUP(AI852,GLAPS정리!$BT$3:$BV$26,3,0)</f>
        <v>#N/A</v>
      </c>
    </row>
    <row r="853" spans="2:90" ht="20.45" customHeight="1">
      <c r="B853" s="13"/>
      <c r="G853" s="3"/>
      <c r="J853" s="3"/>
      <c r="Q853" s="3" t="str">
        <f t="shared" si="188"/>
        <v/>
      </c>
      <c r="R853" s="3" t="str">
        <f t="shared" si="189"/>
        <v/>
      </c>
      <c r="S853" s="3" t="str">
        <f t="shared" si="190"/>
        <v/>
      </c>
      <c r="X853" s="13"/>
      <c r="Y853" s="13"/>
      <c r="Z853" s="91"/>
      <c r="AC853" s="2">
        <f t="shared" si="191"/>
        <v>20</v>
      </c>
      <c r="AD853" s="2" t="str">
        <f>IFERROR(INDEX(GLAPS정리!$D$2:$D$50,MATCH(I853,GLAPS정리!$A$2:$A$50,0)),IFERROR(INDEX(GLAPS정리!$D$2:$D$50,MATCH(I853,GLAPS정리!$B$2:$B$50,0)),""))</f>
        <v/>
      </c>
      <c r="AF853" s="2" t="str">
        <f t="shared" si="192"/>
        <v>KR10</v>
      </c>
      <c r="AI853" s="2" t="e">
        <f>VLOOKUP(F853,GLAPS정리!$G$3:$J$114,2,0)</f>
        <v>#N/A</v>
      </c>
      <c r="AJ853" s="2" t="e">
        <f>IF(Z853="울산정일","KRONS",IF(Z853="울산신항","KRUSN",IF(OR(Z853="선광종합물류(인천여객)",Z853="인천여객(인천여객)"),"KRINF",IF(OR(Z853="선광인천보세(인천신)",Z853="한진인천(인천신)",Z853="선광인천신항(인천신)",Z853="인천더로지스(인천신)"),"KRINN",IF(OR(Z853="인천진아(인천항)",Z853="인천E1(인천항)",Z853="인천SM경인터미널(인천항)",Z853="인천항(인천항)",Z853="인천우련(인천항)",Z853="인천항8부두(인천항)"),"KRINC",VLOOKUP(K853,GLAPS정리!$BB$2:$BC$33,2,0))))))</f>
        <v>#N/A</v>
      </c>
      <c r="AL853" s="2">
        <f t="shared" si="193"/>
        <v>5010001</v>
      </c>
      <c r="AN853" s="70" t="str">
        <f t="shared" si="200"/>
        <v>1900-01-00</v>
      </c>
      <c r="AO853" s="2" t="str">
        <f t="shared" si="194"/>
        <v/>
      </c>
      <c r="AP853" s="2" t="e">
        <f>VLOOKUP(C853,GLAPS정리!$AX$2:$AZ$17,3,0)</f>
        <v>#N/A</v>
      </c>
      <c r="AR853" s="2">
        <f t="shared" si="201"/>
        <v>0</v>
      </c>
      <c r="AX853" s="2" t="e">
        <f>VLOOKUP(L853,GLAPS정리!$V$3:$W$180,2,0)</f>
        <v>#N/A</v>
      </c>
      <c r="BM853" s="2" t="str">
        <f t="shared" si="195"/>
        <v xml:space="preserve"> </v>
      </c>
      <c r="BN853" s="2">
        <f t="shared" si="196"/>
        <v>1</v>
      </c>
      <c r="BR853" s="2" t="str">
        <f t="shared" si="197"/>
        <v/>
      </c>
      <c r="BS853" s="2" t="str">
        <f t="shared" si="198"/>
        <v/>
      </c>
      <c r="BV853" s="2" t="e">
        <f>VLOOKUP(O853,GLAPS정리!$BH$2:$BI$94,2,0)</f>
        <v>#N/A</v>
      </c>
      <c r="BW853" s="2" t="str">
        <f>IF(OR(Z853="동원",Z853="세방",Z853="한타"),"",IFERROR(INDEX(GLAPS정리!$BI$2:$BI$101,MATCH(Z853,GLAPS정리!$BH$2:$BH$101,0)),""))</f>
        <v/>
      </c>
      <c r="BX853" s="2" t="str">
        <f>IF(Z853="","",IFERROR(VLOOKUP(Z853,GLAPS정리!$AX$2:$AZ$17,3,0),""))</f>
        <v/>
      </c>
      <c r="BZ853" s="2" t="e">
        <f>VLOOKUP(H853,GLAPS정리!$L$3:$O$133,2,0)</f>
        <v>#N/A</v>
      </c>
      <c r="CA853" s="2" t="str">
        <f t="shared" si="199"/>
        <v/>
      </c>
      <c r="CL853" s="2" t="e">
        <f>VLOOKUP(AI853,GLAPS정리!$BT$3:$BV$26,3,0)</f>
        <v>#N/A</v>
      </c>
    </row>
    <row r="854" spans="2:90" ht="20.45" customHeight="1">
      <c r="B854" s="13"/>
      <c r="G854" s="3"/>
      <c r="J854" s="3"/>
      <c r="Q854" s="3" t="str">
        <f t="shared" si="188"/>
        <v/>
      </c>
      <c r="R854" s="3" t="str">
        <f t="shared" si="189"/>
        <v/>
      </c>
      <c r="S854" s="3" t="str">
        <f t="shared" si="190"/>
        <v/>
      </c>
      <c r="X854" s="13"/>
      <c r="Y854" s="13"/>
      <c r="Z854" s="91"/>
      <c r="AC854" s="2">
        <f t="shared" si="191"/>
        <v>20</v>
      </c>
      <c r="AD854" s="2" t="str">
        <f>IFERROR(INDEX(GLAPS정리!$D$2:$D$50,MATCH(I854,GLAPS정리!$A$2:$A$50,0)),IFERROR(INDEX(GLAPS정리!$D$2:$D$50,MATCH(I854,GLAPS정리!$B$2:$B$50,0)),""))</f>
        <v/>
      </c>
      <c r="AF854" s="2" t="str">
        <f t="shared" si="192"/>
        <v>KR10</v>
      </c>
      <c r="AI854" s="2" t="e">
        <f>VLOOKUP(F854,GLAPS정리!$G$3:$J$114,2,0)</f>
        <v>#N/A</v>
      </c>
      <c r="AJ854" s="2" t="e">
        <f>IF(Z854="울산정일","KRONS",IF(Z854="울산신항","KRUSN",IF(OR(Z854="선광종합물류(인천여객)",Z854="인천여객(인천여객)"),"KRINF",IF(OR(Z854="선광인천보세(인천신)",Z854="한진인천(인천신)",Z854="선광인천신항(인천신)",Z854="인천더로지스(인천신)"),"KRINN",IF(OR(Z854="인천진아(인천항)",Z854="인천E1(인천항)",Z854="인천SM경인터미널(인천항)",Z854="인천항(인천항)",Z854="인천우련(인천항)",Z854="인천항8부두(인천항)"),"KRINC",VLOOKUP(K854,GLAPS정리!$BB$2:$BC$33,2,0))))))</f>
        <v>#N/A</v>
      </c>
      <c r="AL854" s="2">
        <f t="shared" si="193"/>
        <v>5010001</v>
      </c>
      <c r="AN854" s="70" t="str">
        <f t="shared" si="200"/>
        <v>1900-01-00</v>
      </c>
      <c r="AO854" s="2" t="str">
        <f t="shared" si="194"/>
        <v/>
      </c>
      <c r="AP854" s="2" t="e">
        <f>VLOOKUP(C854,GLAPS정리!$AX$2:$AZ$17,3,0)</f>
        <v>#N/A</v>
      </c>
      <c r="AR854" s="2">
        <f t="shared" si="201"/>
        <v>0</v>
      </c>
      <c r="AX854" s="2" t="e">
        <f>VLOOKUP(L854,GLAPS정리!$V$3:$W$180,2,0)</f>
        <v>#N/A</v>
      </c>
      <c r="BM854" s="2" t="str">
        <f t="shared" si="195"/>
        <v xml:space="preserve"> </v>
      </c>
      <c r="BN854" s="2">
        <f t="shared" si="196"/>
        <v>1</v>
      </c>
      <c r="BR854" s="2" t="str">
        <f t="shared" si="197"/>
        <v/>
      </c>
      <c r="BS854" s="2" t="str">
        <f t="shared" si="198"/>
        <v/>
      </c>
      <c r="BV854" s="2" t="e">
        <f>VLOOKUP(O854,GLAPS정리!$BH$2:$BI$94,2,0)</f>
        <v>#N/A</v>
      </c>
      <c r="BW854" s="2" t="str">
        <f>IF(OR(Z854="동원",Z854="세방",Z854="한타"),"",IFERROR(INDEX(GLAPS정리!$BI$2:$BI$101,MATCH(Z854,GLAPS정리!$BH$2:$BH$101,0)),""))</f>
        <v/>
      </c>
      <c r="BX854" s="2" t="str">
        <f>IF(Z854="","",IFERROR(VLOOKUP(Z854,GLAPS정리!$AX$2:$AZ$17,3,0),""))</f>
        <v/>
      </c>
      <c r="BZ854" s="2" t="e">
        <f>VLOOKUP(H854,GLAPS정리!$L$3:$O$133,2,0)</f>
        <v>#N/A</v>
      </c>
      <c r="CA854" s="2" t="str">
        <f t="shared" si="199"/>
        <v/>
      </c>
      <c r="CL854" s="2" t="e">
        <f>VLOOKUP(AI854,GLAPS정리!$BT$3:$BV$26,3,0)</f>
        <v>#N/A</v>
      </c>
    </row>
    <row r="855" spans="2:90" ht="20.45" customHeight="1">
      <c r="B855" s="13"/>
      <c r="G855" s="3"/>
      <c r="J855" s="3"/>
      <c r="Q855" s="3" t="str">
        <f t="shared" si="188"/>
        <v/>
      </c>
      <c r="R855" s="3" t="str">
        <f t="shared" si="189"/>
        <v/>
      </c>
      <c r="S855" s="3" t="str">
        <f t="shared" si="190"/>
        <v/>
      </c>
      <c r="X855" s="13"/>
      <c r="Y855" s="13"/>
      <c r="Z855" s="91"/>
      <c r="AC855" s="2">
        <f t="shared" si="191"/>
        <v>20</v>
      </c>
      <c r="AD855" s="2" t="str">
        <f>IFERROR(INDEX(GLAPS정리!$D$2:$D$50,MATCH(I855,GLAPS정리!$A$2:$A$50,0)),IFERROR(INDEX(GLAPS정리!$D$2:$D$50,MATCH(I855,GLAPS정리!$B$2:$B$50,0)),""))</f>
        <v/>
      </c>
      <c r="AF855" s="2" t="str">
        <f t="shared" si="192"/>
        <v>KR10</v>
      </c>
      <c r="AI855" s="2" t="e">
        <f>VLOOKUP(F855,GLAPS정리!$G$3:$J$114,2,0)</f>
        <v>#N/A</v>
      </c>
      <c r="AJ855" s="2" t="e">
        <f>IF(Z855="울산정일","KRONS",IF(Z855="울산신항","KRUSN",IF(OR(Z855="선광종합물류(인천여객)",Z855="인천여객(인천여객)"),"KRINF",IF(OR(Z855="선광인천보세(인천신)",Z855="한진인천(인천신)",Z855="선광인천신항(인천신)",Z855="인천더로지스(인천신)"),"KRINN",IF(OR(Z855="인천진아(인천항)",Z855="인천E1(인천항)",Z855="인천SM경인터미널(인천항)",Z855="인천항(인천항)",Z855="인천우련(인천항)",Z855="인천항8부두(인천항)"),"KRINC",VLOOKUP(K855,GLAPS정리!$BB$2:$BC$33,2,0))))))</f>
        <v>#N/A</v>
      </c>
      <c r="AL855" s="2">
        <f t="shared" si="193"/>
        <v>5010001</v>
      </c>
      <c r="AN855" s="70" t="str">
        <f t="shared" si="200"/>
        <v>1900-01-00</v>
      </c>
      <c r="AO855" s="2" t="str">
        <f t="shared" si="194"/>
        <v/>
      </c>
      <c r="AP855" s="2" t="e">
        <f>VLOOKUP(C855,GLAPS정리!$AX$2:$AZ$17,3,0)</f>
        <v>#N/A</v>
      </c>
      <c r="AR855" s="2">
        <f t="shared" si="201"/>
        <v>0</v>
      </c>
      <c r="AX855" s="2" t="e">
        <f>VLOOKUP(L855,GLAPS정리!$V$3:$W$180,2,0)</f>
        <v>#N/A</v>
      </c>
      <c r="BM855" s="2" t="str">
        <f t="shared" si="195"/>
        <v xml:space="preserve"> </v>
      </c>
      <c r="BN855" s="2">
        <f t="shared" si="196"/>
        <v>1</v>
      </c>
      <c r="BR855" s="2" t="str">
        <f t="shared" si="197"/>
        <v/>
      </c>
      <c r="BS855" s="2" t="str">
        <f t="shared" si="198"/>
        <v/>
      </c>
      <c r="BV855" s="2" t="e">
        <f>VLOOKUP(O855,GLAPS정리!$BH$2:$BI$94,2,0)</f>
        <v>#N/A</v>
      </c>
      <c r="BW855" s="2" t="str">
        <f>IF(OR(Z855="동원",Z855="세방",Z855="한타"),"",IFERROR(INDEX(GLAPS정리!$BI$2:$BI$101,MATCH(Z855,GLAPS정리!$BH$2:$BH$101,0)),""))</f>
        <v/>
      </c>
      <c r="BX855" s="2" t="str">
        <f>IF(Z855="","",IFERROR(VLOOKUP(Z855,GLAPS정리!$AX$2:$AZ$17,3,0),""))</f>
        <v/>
      </c>
      <c r="BZ855" s="2" t="e">
        <f>VLOOKUP(H855,GLAPS정리!$L$3:$O$133,2,0)</f>
        <v>#N/A</v>
      </c>
      <c r="CA855" s="2" t="str">
        <f t="shared" si="199"/>
        <v/>
      </c>
      <c r="CL855" s="2" t="e">
        <f>VLOOKUP(AI855,GLAPS정리!$BT$3:$BV$26,3,0)</f>
        <v>#N/A</v>
      </c>
    </row>
    <row r="856" spans="2:90" ht="20.45" customHeight="1">
      <c r="B856" s="13"/>
      <c r="G856" s="3"/>
      <c r="J856" s="3"/>
      <c r="Q856" s="3" t="str">
        <f t="shared" si="188"/>
        <v/>
      </c>
      <c r="R856" s="3" t="str">
        <f t="shared" si="189"/>
        <v/>
      </c>
      <c r="S856" s="3" t="str">
        <f t="shared" si="190"/>
        <v/>
      </c>
      <c r="X856" s="13"/>
      <c r="Y856" s="13"/>
      <c r="Z856" s="91"/>
      <c r="AC856" s="2">
        <f t="shared" si="191"/>
        <v>20</v>
      </c>
      <c r="AD856" s="2" t="str">
        <f>IFERROR(INDEX(GLAPS정리!$D$2:$D$50,MATCH(I856,GLAPS정리!$A$2:$A$50,0)),IFERROR(INDEX(GLAPS정리!$D$2:$D$50,MATCH(I856,GLAPS정리!$B$2:$B$50,0)),""))</f>
        <v/>
      </c>
      <c r="AF856" s="2" t="str">
        <f t="shared" si="192"/>
        <v>KR10</v>
      </c>
      <c r="AI856" s="2" t="e">
        <f>VLOOKUP(F856,GLAPS정리!$G$3:$J$114,2,0)</f>
        <v>#N/A</v>
      </c>
      <c r="AJ856" s="2" t="e">
        <f>IF(Z856="울산정일","KRONS",IF(Z856="울산신항","KRUSN",IF(OR(Z856="선광종합물류(인천여객)",Z856="인천여객(인천여객)"),"KRINF",IF(OR(Z856="선광인천보세(인천신)",Z856="한진인천(인천신)",Z856="선광인천신항(인천신)",Z856="인천더로지스(인천신)"),"KRINN",IF(OR(Z856="인천진아(인천항)",Z856="인천E1(인천항)",Z856="인천SM경인터미널(인천항)",Z856="인천항(인천항)",Z856="인천우련(인천항)",Z856="인천항8부두(인천항)"),"KRINC",VLOOKUP(K856,GLAPS정리!$BB$2:$BC$33,2,0))))))</f>
        <v>#N/A</v>
      </c>
      <c r="AL856" s="2">
        <f t="shared" si="193"/>
        <v>5010001</v>
      </c>
      <c r="AN856" s="70" t="str">
        <f t="shared" si="200"/>
        <v>1900-01-00</v>
      </c>
      <c r="AO856" s="2" t="str">
        <f t="shared" si="194"/>
        <v/>
      </c>
      <c r="AP856" s="2" t="e">
        <f>VLOOKUP(C856,GLAPS정리!$AX$2:$AZ$17,3,0)</f>
        <v>#N/A</v>
      </c>
      <c r="AR856" s="2">
        <f t="shared" si="201"/>
        <v>0</v>
      </c>
      <c r="AX856" s="2" t="e">
        <f>VLOOKUP(L856,GLAPS정리!$V$3:$W$180,2,0)</f>
        <v>#N/A</v>
      </c>
      <c r="BM856" s="2" t="str">
        <f t="shared" si="195"/>
        <v xml:space="preserve"> </v>
      </c>
      <c r="BN856" s="2">
        <f t="shared" si="196"/>
        <v>1</v>
      </c>
      <c r="BR856" s="2" t="str">
        <f t="shared" si="197"/>
        <v/>
      </c>
      <c r="BS856" s="2" t="str">
        <f t="shared" si="198"/>
        <v/>
      </c>
      <c r="BV856" s="2" t="e">
        <f>VLOOKUP(O856,GLAPS정리!$BH$2:$BI$94,2,0)</f>
        <v>#N/A</v>
      </c>
      <c r="BW856" s="2" t="str">
        <f>IF(OR(Z856="동원",Z856="세방",Z856="한타"),"",IFERROR(INDEX(GLAPS정리!$BI$2:$BI$101,MATCH(Z856,GLAPS정리!$BH$2:$BH$101,0)),""))</f>
        <v/>
      </c>
      <c r="BX856" s="2" t="str">
        <f>IF(Z856="","",IFERROR(VLOOKUP(Z856,GLAPS정리!$AX$2:$AZ$17,3,0),""))</f>
        <v/>
      </c>
      <c r="BZ856" s="2" t="e">
        <f>VLOOKUP(H856,GLAPS정리!$L$3:$O$133,2,0)</f>
        <v>#N/A</v>
      </c>
      <c r="CA856" s="2" t="str">
        <f t="shared" si="199"/>
        <v/>
      </c>
      <c r="CL856" s="2" t="e">
        <f>VLOOKUP(AI856,GLAPS정리!$BT$3:$BV$26,3,0)</f>
        <v>#N/A</v>
      </c>
    </row>
    <row r="857" spans="2:90" ht="20.45" customHeight="1">
      <c r="B857" s="13"/>
      <c r="G857" s="3"/>
      <c r="J857" s="3"/>
      <c r="Q857" s="3" t="str">
        <f t="shared" si="188"/>
        <v/>
      </c>
      <c r="R857" s="3" t="str">
        <f t="shared" si="189"/>
        <v/>
      </c>
      <c r="S857" s="3" t="str">
        <f t="shared" si="190"/>
        <v/>
      </c>
      <c r="X857" s="13"/>
      <c r="Y857" s="13"/>
      <c r="Z857" s="91"/>
      <c r="AC857" s="2">
        <f t="shared" si="191"/>
        <v>20</v>
      </c>
      <c r="AD857" s="2" t="str">
        <f>IFERROR(INDEX(GLAPS정리!$D$2:$D$50,MATCH(I857,GLAPS정리!$A$2:$A$50,0)),IFERROR(INDEX(GLAPS정리!$D$2:$D$50,MATCH(I857,GLAPS정리!$B$2:$B$50,0)),""))</f>
        <v/>
      </c>
      <c r="AF857" s="2" t="str">
        <f t="shared" si="192"/>
        <v>KR10</v>
      </c>
      <c r="AI857" s="2" t="e">
        <f>VLOOKUP(F857,GLAPS정리!$G$3:$J$114,2,0)</f>
        <v>#N/A</v>
      </c>
      <c r="AJ857" s="2" t="e">
        <f>IF(Z857="울산정일","KRONS",IF(Z857="울산신항","KRUSN",IF(OR(Z857="선광종합물류(인천여객)",Z857="인천여객(인천여객)"),"KRINF",IF(OR(Z857="선광인천보세(인천신)",Z857="한진인천(인천신)",Z857="선광인천신항(인천신)",Z857="인천더로지스(인천신)"),"KRINN",IF(OR(Z857="인천진아(인천항)",Z857="인천E1(인천항)",Z857="인천SM경인터미널(인천항)",Z857="인천항(인천항)",Z857="인천우련(인천항)",Z857="인천항8부두(인천항)"),"KRINC",VLOOKUP(K857,GLAPS정리!$BB$2:$BC$33,2,0))))))</f>
        <v>#N/A</v>
      </c>
      <c r="AL857" s="2">
        <f t="shared" si="193"/>
        <v>5010001</v>
      </c>
      <c r="AN857" s="70" t="str">
        <f t="shared" si="200"/>
        <v>1900-01-00</v>
      </c>
      <c r="AO857" s="2" t="str">
        <f t="shared" si="194"/>
        <v/>
      </c>
      <c r="AP857" s="2" t="e">
        <f>VLOOKUP(C857,GLAPS정리!$AX$2:$AZ$17,3,0)</f>
        <v>#N/A</v>
      </c>
      <c r="AR857" s="2">
        <f t="shared" si="201"/>
        <v>0</v>
      </c>
      <c r="AX857" s="2" t="e">
        <f>VLOOKUP(L857,GLAPS정리!$V$3:$W$180,2,0)</f>
        <v>#N/A</v>
      </c>
      <c r="BM857" s="2" t="str">
        <f t="shared" si="195"/>
        <v xml:space="preserve"> </v>
      </c>
      <c r="BN857" s="2">
        <f t="shared" si="196"/>
        <v>1</v>
      </c>
      <c r="BR857" s="2" t="str">
        <f t="shared" si="197"/>
        <v/>
      </c>
      <c r="BS857" s="2" t="str">
        <f t="shared" si="198"/>
        <v/>
      </c>
      <c r="BV857" s="2" t="e">
        <f>VLOOKUP(O857,GLAPS정리!$BH$2:$BI$94,2,0)</f>
        <v>#N/A</v>
      </c>
      <c r="BW857" s="2" t="str">
        <f>IF(OR(Z857="동원",Z857="세방",Z857="한타"),"",IFERROR(INDEX(GLAPS정리!$BI$2:$BI$101,MATCH(Z857,GLAPS정리!$BH$2:$BH$101,0)),""))</f>
        <v/>
      </c>
      <c r="BX857" s="2" t="str">
        <f>IF(Z857="","",IFERROR(VLOOKUP(Z857,GLAPS정리!$AX$2:$AZ$17,3,0),""))</f>
        <v/>
      </c>
      <c r="BZ857" s="2" t="e">
        <f>VLOOKUP(H857,GLAPS정리!$L$3:$O$133,2,0)</f>
        <v>#N/A</v>
      </c>
      <c r="CA857" s="2" t="str">
        <f t="shared" si="199"/>
        <v/>
      </c>
      <c r="CL857" s="2" t="e">
        <f>VLOOKUP(AI857,GLAPS정리!$BT$3:$BV$26,3,0)</f>
        <v>#N/A</v>
      </c>
    </row>
    <row r="858" spans="2:90" ht="20.45" customHeight="1">
      <c r="B858" s="13"/>
      <c r="G858" s="3"/>
      <c r="J858" s="3"/>
      <c r="Q858" s="3" t="str">
        <f t="shared" si="188"/>
        <v/>
      </c>
      <c r="R858" s="3" t="str">
        <f t="shared" si="189"/>
        <v/>
      </c>
      <c r="S858" s="3" t="str">
        <f t="shared" si="190"/>
        <v/>
      </c>
      <c r="X858" s="13"/>
      <c r="Y858" s="13"/>
      <c r="Z858" s="91"/>
      <c r="AC858" s="2">
        <f t="shared" si="191"/>
        <v>20</v>
      </c>
      <c r="AD858" s="2" t="str">
        <f>IFERROR(INDEX(GLAPS정리!$D$2:$D$50,MATCH(I858,GLAPS정리!$A$2:$A$50,0)),IFERROR(INDEX(GLAPS정리!$D$2:$D$50,MATCH(I858,GLAPS정리!$B$2:$B$50,0)),""))</f>
        <v/>
      </c>
      <c r="AF858" s="2" t="str">
        <f t="shared" si="192"/>
        <v>KR10</v>
      </c>
      <c r="AI858" s="2" t="e">
        <f>VLOOKUP(F858,GLAPS정리!$G$3:$J$114,2,0)</f>
        <v>#N/A</v>
      </c>
      <c r="AJ858" s="2" t="e">
        <f>IF(Z858="울산정일","KRONS",IF(Z858="울산신항","KRUSN",IF(OR(Z858="선광종합물류(인천여객)",Z858="인천여객(인천여객)"),"KRINF",IF(OR(Z858="선광인천보세(인천신)",Z858="한진인천(인천신)",Z858="선광인천신항(인천신)",Z858="인천더로지스(인천신)"),"KRINN",IF(OR(Z858="인천진아(인천항)",Z858="인천E1(인천항)",Z858="인천SM경인터미널(인천항)",Z858="인천항(인천항)",Z858="인천우련(인천항)",Z858="인천항8부두(인천항)"),"KRINC",VLOOKUP(K858,GLAPS정리!$BB$2:$BC$33,2,0))))))</f>
        <v>#N/A</v>
      </c>
      <c r="AL858" s="2">
        <f t="shared" si="193"/>
        <v>5010001</v>
      </c>
      <c r="AN858" s="70" t="str">
        <f t="shared" si="200"/>
        <v>1900-01-00</v>
      </c>
      <c r="AO858" s="2" t="str">
        <f t="shared" si="194"/>
        <v/>
      </c>
      <c r="AP858" s="2" t="e">
        <f>VLOOKUP(C858,GLAPS정리!$AX$2:$AZ$17,3,0)</f>
        <v>#N/A</v>
      </c>
      <c r="AR858" s="2">
        <f t="shared" si="201"/>
        <v>0</v>
      </c>
      <c r="AX858" s="2" t="e">
        <f>VLOOKUP(L858,GLAPS정리!$V$3:$W$180,2,0)</f>
        <v>#N/A</v>
      </c>
      <c r="BM858" s="2" t="str">
        <f t="shared" si="195"/>
        <v xml:space="preserve"> </v>
      </c>
      <c r="BN858" s="2">
        <f t="shared" si="196"/>
        <v>1</v>
      </c>
      <c r="BR858" s="2" t="str">
        <f t="shared" si="197"/>
        <v/>
      </c>
      <c r="BS858" s="2" t="str">
        <f t="shared" si="198"/>
        <v/>
      </c>
      <c r="BV858" s="2" t="e">
        <f>VLOOKUP(O858,GLAPS정리!$BH$2:$BI$94,2,0)</f>
        <v>#N/A</v>
      </c>
      <c r="BW858" s="2" t="str">
        <f>IF(OR(Z858="동원",Z858="세방",Z858="한타"),"",IFERROR(INDEX(GLAPS정리!$BI$2:$BI$101,MATCH(Z858,GLAPS정리!$BH$2:$BH$101,0)),""))</f>
        <v/>
      </c>
      <c r="BX858" s="2" t="str">
        <f>IF(Z858="","",IFERROR(VLOOKUP(Z858,GLAPS정리!$AX$2:$AZ$17,3,0),""))</f>
        <v/>
      </c>
      <c r="BZ858" s="2" t="e">
        <f>VLOOKUP(H858,GLAPS정리!$L$3:$O$133,2,0)</f>
        <v>#N/A</v>
      </c>
      <c r="CA858" s="2" t="str">
        <f t="shared" si="199"/>
        <v/>
      </c>
      <c r="CL858" s="2" t="e">
        <f>VLOOKUP(AI858,GLAPS정리!$BT$3:$BV$26,3,0)</f>
        <v>#N/A</v>
      </c>
    </row>
    <row r="859" spans="2:90" ht="20.45" customHeight="1">
      <c r="B859" s="13"/>
      <c r="G859" s="3"/>
      <c r="J859" s="3"/>
      <c r="Q859" s="3" t="str">
        <f t="shared" si="188"/>
        <v/>
      </c>
      <c r="R859" s="3" t="str">
        <f t="shared" si="189"/>
        <v/>
      </c>
      <c r="S859" s="3" t="str">
        <f t="shared" si="190"/>
        <v/>
      </c>
      <c r="X859" s="13"/>
      <c r="Y859" s="13"/>
      <c r="Z859" s="91"/>
      <c r="AC859" s="2">
        <f t="shared" si="191"/>
        <v>20</v>
      </c>
      <c r="AD859" s="2" t="str">
        <f>IFERROR(INDEX(GLAPS정리!$D$2:$D$50,MATCH(I859,GLAPS정리!$A$2:$A$50,0)),IFERROR(INDEX(GLAPS정리!$D$2:$D$50,MATCH(I859,GLAPS정리!$B$2:$B$50,0)),""))</f>
        <v/>
      </c>
      <c r="AF859" s="2" t="str">
        <f t="shared" si="192"/>
        <v>KR10</v>
      </c>
      <c r="AI859" s="2" t="e">
        <f>VLOOKUP(F859,GLAPS정리!$G$3:$J$114,2,0)</f>
        <v>#N/A</v>
      </c>
      <c r="AJ859" s="2" t="e">
        <f>IF(Z859="울산정일","KRONS",IF(Z859="울산신항","KRUSN",IF(OR(Z859="선광종합물류(인천여객)",Z859="인천여객(인천여객)"),"KRINF",IF(OR(Z859="선광인천보세(인천신)",Z859="한진인천(인천신)",Z859="선광인천신항(인천신)",Z859="인천더로지스(인천신)"),"KRINN",IF(OR(Z859="인천진아(인천항)",Z859="인천E1(인천항)",Z859="인천SM경인터미널(인천항)",Z859="인천항(인천항)",Z859="인천우련(인천항)",Z859="인천항8부두(인천항)"),"KRINC",VLOOKUP(K859,GLAPS정리!$BB$2:$BC$33,2,0))))))</f>
        <v>#N/A</v>
      </c>
      <c r="AL859" s="2">
        <f t="shared" si="193"/>
        <v>5010001</v>
      </c>
      <c r="AN859" s="70" t="str">
        <f t="shared" si="200"/>
        <v>1900-01-00</v>
      </c>
      <c r="AO859" s="2" t="str">
        <f t="shared" si="194"/>
        <v/>
      </c>
      <c r="AP859" s="2" t="e">
        <f>VLOOKUP(C859,GLAPS정리!$AX$2:$AZ$17,3,0)</f>
        <v>#N/A</v>
      </c>
      <c r="AR859" s="2">
        <f t="shared" si="201"/>
        <v>0</v>
      </c>
      <c r="AX859" s="2" t="e">
        <f>VLOOKUP(L859,GLAPS정리!$V$3:$W$180,2,0)</f>
        <v>#N/A</v>
      </c>
      <c r="BM859" s="2" t="str">
        <f t="shared" si="195"/>
        <v xml:space="preserve"> </v>
      </c>
      <c r="BN859" s="2">
        <f t="shared" si="196"/>
        <v>1</v>
      </c>
      <c r="BR859" s="2" t="str">
        <f t="shared" si="197"/>
        <v/>
      </c>
      <c r="BS859" s="2" t="str">
        <f t="shared" si="198"/>
        <v/>
      </c>
      <c r="BV859" s="2" t="e">
        <f>VLOOKUP(O859,GLAPS정리!$BH$2:$BI$94,2,0)</f>
        <v>#N/A</v>
      </c>
      <c r="BW859" s="2" t="str">
        <f>IF(OR(Z859="동원",Z859="세방",Z859="한타"),"",IFERROR(INDEX(GLAPS정리!$BI$2:$BI$101,MATCH(Z859,GLAPS정리!$BH$2:$BH$101,0)),""))</f>
        <v/>
      </c>
      <c r="BX859" s="2" t="str">
        <f>IF(Z859="","",IFERROR(VLOOKUP(Z859,GLAPS정리!$AX$2:$AZ$17,3,0),""))</f>
        <v/>
      </c>
      <c r="BZ859" s="2" t="e">
        <f>VLOOKUP(H859,GLAPS정리!$L$3:$O$133,2,0)</f>
        <v>#N/A</v>
      </c>
      <c r="CA859" s="2" t="str">
        <f t="shared" si="199"/>
        <v/>
      </c>
      <c r="CL859" s="2" t="e">
        <f>VLOOKUP(AI859,GLAPS정리!$BT$3:$BV$26,3,0)</f>
        <v>#N/A</v>
      </c>
    </row>
    <row r="860" spans="2:90" ht="20.45" customHeight="1">
      <c r="B860" s="13"/>
      <c r="G860" s="3"/>
      <c r="J860" s="3"/>
      <c r="Q860" s="3" t="str">
        <f t="shared" si="188"/>
        <v/>
      </c>
      <c r="R860" s="3" t="str">
        <f t="shared" si="189"/>
        <v/>
      </c>
      <c r="S860" s="3" t="str">
        <f t="shared" si="190"/>
        <v/>
      </c>
      <c r="X860" s="13"/>
      <c r="Y860" s="13"/>
      <c r="Z860" s="91"/>
      <c r="AC860" s="2">
        <f t="shared" si="191"/>
        <v>20</v>
      </c>
      <c r="AD860" s="2" t="str">
        <f>IFERROR(INDEX(GLAPS정리!$D$2:$D$50,MATCH(I860,GLAPS정리!$A$2:$A$50,0)),IFERROR(INDEX(GLAPS정리!$D$2:$D$50,MATCH(I860,GLAPS정리!$B$2:$B$50,0)),""))</f>
        <v/>
      </c>
      <c r="AF860" s="2" t="str">
        <f t="shared" si="192"/>
        <v>KR10</v>
      </c>
      <c r="AI860" s="2" t="e">
        <f>VLOOKUP(F860,GLAPS정리!$G$3:$J$114,2,0)</f>
        <v>#N/A</v>
      </c>
      <c r="AJ860" s="2" t="e">
        <f>IF(Z860="울산정일","KRONS",IF(Z860="울산신항","KRUSN",IF(OR(Z860="선광종합물류(인천여객)",Z860="인천여객(인천여객)"),"KRINF",IF(OR(Z860="선광인천보세(인천신)",Z860="한진인천(인천신)",Z860="선광인천신항(인천신)",Z860="인천더로지스(인천신)"),"KRINN",IF(OR(Z860="인천진아(인천항)",Z860="인천E1(인천항)",Z860="인천SM경인터미널(인천항)",Z860="인천항(인천항)",Z860="인천우련(인천항)",Z860="인천항8부두(인천항)"),"KRINC",VLOOKUP(K860,GLAPS정리!$BB$2:$BC$33,2,0))))))</f>
        <v>#N/A</v>
      </c>
      <c r="AL860" s="2">
        <f t="shared" si="193"/>
        <v>5010001</v>
      </c>
      <c r="AN860" s="70" t="str">
        <f t="shared" si="200"/>
        <v>1900-01-00</v>
      </c>
      <c r="AO860" s="2" t="str">
        <f t="shared" si="194"/>
        <v/>
      </c>
      <c r="AP860" s="2" t="e">
        <f>VLOOKUP(C860,GLAPS정리!$AX$2:$AZ$17,3,0)</f>
        <v>#N/A</v>
      </c>
      <c r="AR860" s="2">
        <f t="shared" si="201"/>
        <v>0</v>
      </c>
      <c r="AX860" s="2" t="e">
        <f>VLOOKUP(L860,GLAPS정리!$V$3:$W$180,2,0)</f>
        <v>#N/A</v>
      </c>
      <c r="BM860" s="2" t="str">
        <f t="shared" si="195"/>
        <v xml:space="preserve"> </v>
      </c>
      <c r="BN860" s="2">
        <f t="shared" si="196"/>
        <v>1</v>
      </c>
      <c r="BR860" s="2" t="str">
        <f t="shared" si="197"/>
        <v/>
      </c>
      <c r="BS860" s="2" t="str">
        <f t="shared" si="198"/>
        <v/>
      </c>
      <c r="BV860" s="2" t="e">
        <f>VLOOKUP(O860,GLAPS정리!$BH$2:$BI$94,2,0)</f>
        <v>#N/A</v>
      </c>
      <c r="BW860" s="2" t="str">
        <f>IF(OR(Z860="동원",Z860="세방",Z860="한타"),"",IFERROR(INDEX(GLAPS정리!$BI$2:$BI$101,MATCH(Z860,GLAPS정리!$BH$2:$BH$101,0)),""))</f>
        <v/>
      </c>
      <c r="BX860" s="2" t="str">
        <f>IF(Z860="","",IFERROR(VLOOKUP(Z860,GLAPS정리!$AX$2:$AZ$17,3,0),""))</f>
        <v/>
      </c>
      <c r="BZ860" s="2" t="e">
        <f>VLOOKUP(H860,GLAPS정리!$L$3:$O$133,2,0)</f>
        <v>#N/A</v>
      </c>
      <c r="CA860" s="2" t="str">
        <f t="shared" si="199"/>
        <v/>
      </c>
      <c r="CL860" s="2" t="e">
        <f>VLOOKUP(AI860,GLAPS정리!$BT$3:$BV$26,3,0)</f>
        <v>#N/A</v>
      </c>
    </row>
    <row r="861" spans="2:90" ht="20.45" customHeight="1">
      <c r="B861" s="13"/>
      <c r="G861" s="3"/>
      <c r="J861" s="3"/>
      <c r="Q861" s="3" t="str">
        <f t="shared" si="188"/>
        <v/>
      </c>
      <c r="R861" s="3" t="str">
        <f t="shared" si="189"/>
        <v/>
      </c>
      <c r="S861" s="3" t="str">
        <f t="shared" si="190"/>
        <v/>
      </c>
      <c r="X861" s="13"/>
      <c r="Y861" s="13"/>
      <c r="Z861" s="91"/>
      <c r="AC861" s="2">
        <f t="shared" si="191"/>
        <v>20</v>
      </c>
      <c r="AD861" s="2" t="str">
        <f>IFERROR(INDEX(GLAPS정리!$D$2:$D$50,MATCH(I861,GLAPS정리!$A$2:$A$50,0)),IFERROR(INDEX(GLAPS정리!$D$2:$D$50,MATCH(I861,GLAPS정리!$B$2:$B$50,0)),""))</f>
        <v/>
      </c>
      <c r="AF861" s="2" t="str">
        <f t="shared" si="192"/>
        <v>KR10</v>
      </c>
      <c r="AI861" s="2" t="e">
        <f>VLOOKUP(F861,GLAPS정리!$G$3:$J$114,2,0)</f>
        <v>#N/A</v>
      </c>
      <c r="AJ861" s="2" t="e">
        <f>IF(Z861="울산정일","KRONS",IF(Z861="울산신항","KRUSN",IF(OR(Z861="선광종합물류(인천여객)",Z861="인천여객(인천여객)"),"KRINF",IF(OR(Z861="선광인천보세(인천신)",Z861="한진인천(인천신)",Z861="선광인천신항(인천신)",Z861="인천더로지스(인천신)"),"KRINN",IF(OR(Z861="인천진아(인천항)",Z861="인천E1(인천항)",Z861="인천SM경인터미널(인천항)",Z861="인천항(인천항)",Z861="인천우련(인천항)",Z861="인천항8부두(인천항)"),"KRINC",VLOOKUP(K861,GLAPS정리!$BB$2:$BC$33,2,0))))))</f>
        <v>#N/A</v>
      </c>
      <c r="AL861" s="2">
        <f t="shared" si="193"/>
        <v>5010001</v>
      </c>
      <c r="AN861" s="70" t="str">
        <f t="shared" si="200"/>
        <v>1900-01-00</v>
      </c>
      <c r="AO861" s="2" t="str">
        <f t="shared" si="194"/>
        <v/>
      </c>
      <c r="AP861" s="2" t="e">
        <f>VLOOKUP(C861,GLAPS정리!$AX$2:$AZ$17,3,0)</f>
        <v>#N/A</v>
      </c>
      <c r="AR861" s="2">
        <f t="shared" si="201"/>
        <v>0</v>
      </c>
      <c r="AX861" s="2" t="e">
        <f>VLOOKUP(L861,GLAPS정리!$V$3:$W$180,2,0)</f>
        <v>#N/A</v>
      </c>
      <c r="BM861" s="2" t="str">
        <f t="shared" si="195"/>
        <v xml:space="preserve"> </v>
      </c>
      <c r="BN861" s="2">
        <f t="shared" si="196"/>
        <v>1</v>
      </c>
      <c r="BR861" s="2" t="str">
        <f t="shared" si="197"/>
        <v/>
      </c>
      <c r="BS861" s="2" t="str">
        <f t="shared" si="198"/>
        <v/>
      </c>
      <c r="BV861" s="2" t="e">
        <f>VLOOKUP(O861,GLAPS정리!$BH$2:$BI$94,2,0)</f>
        <v>#N/A</v>
      </c>
      <c r="BW861" s="2" t="str">
        <f>IF(OR(Z861="동원",Z861="세방",Z861="한타"),"",IFERROR(INDEX(GLAPS정리!$BI$2:$BI$101,MATCH(Z861,GLAPS정리!$BH$2:$BH$101,0)),""))</f>
        <v/>
      </c>
      <c r="BX861" s="2" t="str">
        <f>IF(Z861="","",IFERROR(VLOOKUP(Z861,GLAPS정리!$AX$2:$AZ$17,3,0),""))</f>
        <v/>
      </c>
      <c r="BZ861" s="2" t="e">
        <f>VLOOKUP(H861,GLAPS정리!$L$3:$O$133,2,0)</f>
        <v>#N/A</v>
      </c>
      <c r="CA861" s="2" t="str">
        <f t="shared" si="199"/>
        <v/>
      </c>
      <c r="CL861" s="2" t="e">
        <f>VLOOKUP(AI861,GLAPS정리!$BT$3:$BV$26,3,0)</f>
        <v>#N/A</v>
      </c>
    </row>
    <row r="862" spans="2:90" ht="20.45" customHeight="1">
      <c r="B862" s="13"/>
      <c r="G862" s="3"/>
      <c r="J862" s="3"/>
      <c r="Q862" s="3" t="str">
        <f t="shared" si="188"/>
        <v/>
      </c>
      <c r="R862" s="3" t="str">
        <f t="shared" si="189"/>
        <v/>
      </c>
      <c r="S862" s="3" t="str">
        <f t="shared" si="190"/>
        <v/>
      </c>
      <c r="X862" s="13"/>
      <c r="Y862" s="13"/>
      <c r="Z862" s="91"/>
      <c r="AC862" s="2">
        <f t="shared" si="191"/>
        <v>20</v>
      </c>
      <c r="AD862" s="2" t="str">
        <f>IFERROR(INDEX(GLAPS정리!$D$2:$D$50,MATCH(I862,GLAPS정리!$A$2:$A$50,0)),IFERROR(INDEX(GLAPS정리!$D$2:$D$50,MATCH(I862,GLAPS정리!$B$2:$B$50,0)),""))</f>
        <v/>
      </c>
      <c r="AF862" s="2" t="str">
        <f t="shared" si="192"/>
        <v>KR10</v>
      </c>
      <c r="AI862" s="2" t="e">
        <f>VLOOKUP(F862,GLAPS정리!$G$3:$J$114,2,0)</f>
        <v>#N/A</v>
      </c>
      <c r="AJ862" s="2" t="e">
        <f>IF(Z862="울산정일","KRONS",IF(Z862="울산신항","KRUSN",IF(OR(Z862="선광종합물류(인천여객)",Z862="인천여객(인천여객)"),"KRINF",IF(OR(Z862="선광인천보세(인천신)",Z862="한진인천(인천신)",Z862="선광인천신항(인천신)",Z862="인천더로지스(인천신)"),"KRINN",IF(OR(Z862="인천진아(인천항)",Z862="인천E1(인천항)",Z862="인천SM경인터미널(인천항)",Z862="인천항(인천항)",Z862="인천우련(인천항)",Z862="인천항8부두(인천항)"),"KRINC",VLOOKUP(K862,GLAPS정리!$BB$2:$BC$33,2,0))))))</f>
        <v>#N/A</v>
      </c>
      <c r="AL862" s="2">
        <f t="shared" si="193"/>
        <v>5010001</v>
      </c>
      <c r="AN862" s="70" t="str">
        <f t="shared" si="200"/>
        <v>1900-01-00</v>
      </c>
      <c r="AO862" s="2" t="str">
        <f t="shared" si="194"/>
        <v/>
      </c>
      <c r="AP862" s="2" t="e">
        <f>VLOOKUP(C862,GLAPS정리!$AX$2:$AZ$17,3,0)</f>
        <v>#N/A</v>
      </c>
      <c r="AR862" s="2">
        <f t="shared" si="201"/>
        <v>0</v>
      </c>
      <c r="AX862" s="2" t="e">
        <f>VLOOKUP(L862,GLAPS정리!$V$3:$W$180,2,0)</f>
        <v>#N/A</v>
      </c>
      <c r="BM862" s="2" t="str">
        <f t="shared" si="195"/>
        <v xml:space="preserve"> </v>
      </c>
      <c r="BN862" s="2">
        <f t="shared" si="196"/>
        <v>1</v>
      </c>
      <c r="BR862" s="2" t="str">
        <f t="shared" si="197"/>
        <v/>
      </c>
      <c r="BS862" s="2" t="str">
        <f t="shared" si="198"/>
        <v/>
      </c>
      <c r="BV862" s="2" t="e">
        <f>VLOOKUP(O862,GLAPS정리!$BH$2:$BI$94,2,0)</f>
        <v>#N/A</v>
      </c>
      <c r="BW862" s="2" t="str">
        <f>IF(OR(Z862="동원",Z862="세방",Z862="한타"),"",IFERROR(INDEX(GLAPS정리!$BI$2:$BI$101,MATCH(Z862,GLAPS정리!$BH$2:$BH$101,0)),""))</f>
        <v/>
      </c>
      <c r="BX862" s="2" t="str">
        <f>IF(Z862="","",IFERROR(VLOOKUP(Z862,GLAPS정리!$AX$2:$AZ$17,3,0),""))</f>
        <v/>
      </c>
      <c r="BZ862" s="2" t="e">
        <f>VLOOKUP(H862,GLAPS정리!$L$3:$O$133,2,0)</f>
        <v>#N/A</v>
      </c>
      <c r="CA862" s="2" t="str">
        <f t="shared" si="199"/>
        <v/>
      </c>
      <c r="CL862" s="2" t="e">
        <f>VLOOKUP(AI862,GLAPS정리!$BT$3:$BV$26,3,0)</f>
        <v>#N/A</v>
      </c>
    </row>
    <row r="863" spans="2:90" ht="20.45" customHeight="1">
      <c r="B863" s="13"/>
      <c r="G863" s="3"/>
      <c r="J863" s="3"/>
      <c r="Q863" s="3" t="str">
        <f t="shared" si="188"/>
        <v/>
      </c>
      <c r="R863" s="3" t="str">
        <f t="shared" si="189"/>
        <v/>
      </c>
      <c r="S863" s="3" t="str">
        <f t="shared" si="190"/>
        <v/>
      </c>
      <c r="X863" s="13"/>
      <c r="Y863" s="13"/>
      <c r="Z863" s="91"/>
      <c r="AC863" s="2">
        <f t="shared" si="191"/>
        <v>20</v>
      </c>
      <c r="AD863" s="2" t="str">
        <f>IFERROR(INDEX(GLAPS정리!$D$2:$D$50,MATCH(I863,GLAPS정리!$A$2:$A$50,0)),IFERROR(INDEX(GLAPS정리!$D$2:$D$50,MATCH(I863,GLAPS정리!$B$2:$B$50,0)),""))</f>
        <v/>
      </c>
      <c r="AF863" s="2" t="str">
        <f t="shared" si="192"/>
        <v>KR10</v>
      </c>
      <c r="AI863" s="2" t="e">
        <f>VLOOKUP(F863,GLAPS정리!$G$3:$J$114,2,0)</f>
        <v>#N/A</v>
      </c>
      <c r="AJ863" s="2" t="e">
        <f>IF(Z863="울산정일","KRONS",IF(Z863="울산신항","KRUSN",IF(OR(Z863="선광종합물류(인천여객)",Z863="인천여객(인천여객)"),"KRINF",IF(OR(Z863="선광인천보세(인천신)",Z863="한진인천(인천신)",Z863="선광인천신항(인천신)",Z863="인천더로지스(인천신)"),"KRINN",IF(OR(Z863="인천진아(인천항)",Z863="인천E1(인천항)",Z863="인천SM경인터미널(인천항)",Z863="인천항(인천항)",Z863="인천우련(인천항)",Z863="인천항8부두(인천항)"),"KRINC",VLOOKUP(K863,GLAPS정리!$BB$2:$BC$33,2,0))))))</f>
        <v>#N/A</v>
      </c>
      <c r="AL863" s="2">
        <f t="shared" si="193"/>
        <v>5010001</v>
      </c>
      <c r="AN863" s="70" t="str">
        <f t="shared" si="200"/>
        <v>1900-01-00</v>
      </c>
      <c r="AO863" s="2" t="str">
        <f t="shared" si="194"/>
        <v/>
      </c>
      <c r="AP863" s="2" t="e">
        <f>VLOOKUP(C863,GLAPS정리!$AX$2:$AZ$17,3,0)</f>
        <v>#N/A</v>
      </c>
      <c r="AR863" s="2">
        <f t="shared" si="201"/>
        <v>0</v>
      </c>
      <c r="AX863" s="2" t="e">
        <f>VLOOKUP(L863,GLAPS정리!$V$3:$W$180,2,0)</f>
        <v>#N/A</v>
      </c>
      <c r="BM863" s="2" t="str">
        <f t="shared" si="195"/>
        <v xml:space="preserve"> </v>
      </c>
      <c r="BN863" s="2">
        <f t="shared" si="196"/>
        <v>1</v>
      </c>
      <c r="BR863" s="2" t="str">
        <f t="shared" si="197"/>
        <v/>
      </c>
      <c r="BS863" s="2" t="str">
        <f t="shared" si="198"/>
        <v/>
      </c>
      <c r="BV863" s="2" t="e">
        <f>VLOOKUP(O863,GLAPS정리!$BH$2:$BI$94,2,0)</f>
        <v>#N/A</v>
      </c>
      <c r="BW863" s="2" t="str">
        <f>IF(OR(Z863="동원",Z863="세방",Z863="한타"),"",IFERROR(INDEX(GLAPS정리!$BI$2:$BI$101,MATCH(Z863,GLAPS정리!$BH$2:$BH$101,0)),""))</f>
        <v/>
      </c>
      <c r="BX863" s="2" t="str">
        <f>IF(Z863="","",IFERROR(VLOOKUP(Z863,GLAPS정리!$AX$2:$AZ$17,3,0),""))</f>
        <v/>
      </c>
      <c r="BZ863" s="2" t="e">
        <f>VLOOKUP(H863,GLAPS정리!$L$3:$O$133,2,0)</f>
        <v>#N/A</v>
      </c>
      <c r="CA863" s="2" t="str">
        <f t="shared" si="199"/>
        <v/>
      </c>
      <c r="CL863" s="2" t="e">
        <f>VLOOKUP(AI863,GLAPS정리!$BT$3:$BV$26,3,0)</f>
        <v>#N/A</v>
      </c>
    </row>
    <row r="864" spans="2:90" ht="20.45" customHeight="1">
      <c r="B864" s="13"/>
      <c r="G864" s="3"/>
      <c r="J864" s="3"/>
      <c r="Q864" s="3" t="str">
        <f t="shared" si="188"/>
        <v/>
      </c>
      <c r="R864" s="3" t="str">
        <f t="shared" si="189"/>
        <v/>
      </c>
      <c r="S864" s="3" t="str">
        <f t="shared" si="190"/>
        <v/>
      </c>
      <c r="X864" s="13"/>
      <c r="Y864" s="13"/>
      <c r="Z864" s="91"/>
      <c r="AC864" s="2">
        <f t="shared" si="191"/>
        <v>20</v>
      </c>
      <c r="AD864" s="2" t="str">
        <f>IFERROR(INDEX(GLAPS정리!$D$2:$D$50,MATCH(I864,GLAPS정리!$A$2:$A$50,0)),IFERROR(INDEX(GLAPS정리!$D$2:$D$50,MATCH(I864,GLAPS정리!$B$2:$B$50,0)),""))</f>
        <v/>
      </c>
      <c r="AF864" s="2" t="str">
        <f t="shared" si="192"/>
        <v>KR10</v>
      </c>
      <c r="AI864" s="2" t="e">
        <f>VLOOKUP(F864,GLAPS정리!$G$3:$J$114,2,0)</f>
        <v>#N/A</v>
      </c>
      <c r="AJ864" s="2" t="e">
        <f>IF(Z864="울산정일","KRONS",IF(Z864="울산신항","KRUSN",IF(OR(Z864="선광종합물류(인천여객)",Z864="인천여객(인천여객)"),"KRINF",IF(OR(Z864="선광인천보세(인천신)",Z864="한진인천(인천신)",Z864="선광인천신항(인천신)",Z864="인천더로지스(인천신)"),"KRINN",IF(OR(Z864="인천진아(인천항)",Z864="인천E1(인천항)",Z864="인천SM경인터미널(인천항)",Z864="인천항(인천항)",Z864="인천우련(인천항)",Z864="인천항8부두(인천항)"),"KRINC",VLOOKUP(K864,GLAPS정리!$BB$2:$BC$33,2,0))))))</f>
        <v>#N/A</v>
      </c>
      <c r="AL864" s="2">
        <f t="shared" si="193"/>
        <v>5010001</v>
      </c>
      <c r="AN864" s="70" t="str">
        <f t="shared" si="200"/>
        <v>1900-01-00</v>
      </c>
      <c r="AO864" s="2" t="str">
        <f t="shared" si="194"/>
        <v/>
      </c>
      <c r="AP864" s="2" t="e">
        <f>VLOOKUP(C864,GLAPS정리!$AX$2:$AZ$17,3,0)</f>
        <v>#N/A</v>
      </c>
      <c r="AR864" s="2">
        <f t="shared" si="201"/>
        <v>0</v>
      </c>
      <c r="AX864" s="2" t="e">
        <f>VLOOKUP(L864,GLAPS정리!$V$3:$W$180,2,0)</f>
        <v>#N/A</v>
      </c>
      <c r="BM864" s="2" t="str">
        <f t="shared" si="195"/>
        <v xml:space="preserve"> </v>
      </c>
      <c r="BN864" s="2">
        <f t="shared" si="196"/>
        <v>1</v>
      </c>
      <c r="BR864" s="2" t="str">
        <f t="shared" si="197"/>
        <v/>
      </c>
      <c r="BS864" s="2" t="str">
        <f t="shared" si="198"/>
        <v/>
      </c>
      <c r="BV864" s="2" t="e">
        <f>VLOOKUP(O864,GLAPS정리!$BH$2:$BI$94,2,0)</f>
        <v>#N/A</v>
      </c>
      <c r="BW864" s="2" t="str">
        <f>IF(OR(Z864="동원",Z864="세방",Z864="한타"),"",IFERROR(INDEX(GLAPS정리!$BI$2:$BI$101,MATCH(Z864,GLAPS정리!$BH$2:$BH$101,0)),""))</f>
        <v/>
      </c>
      <c r="BX864" s="2" t="str">
        <f>IF(Z864="","",IFERROR(VLOOKUP(Z864,GLAPS정리!$AX$2:$AZ$17,3,0),""))</f>
        <v/>
      </c>
      <c r="BZ864" s="2" t="e">
        <f>VLOOKUP(H864,GLAPS정리!$L$3:$O$133,2,0)</f>
        <v>#N/A</v>
      </c>
      <c r="CA864" s="2" t="str">
        <f t="shared" si="199"/>
        <v/>
      </c>
      <c r="CL864" s="2" t="e">
        <f>VLOOKUP(AI864,GLAPS정리!$BT$3:$BV$26,3,0)</f>
        <v>#N/A</v>
      </c>
    </row>
    <row r="865" spans="2:90" ht="20.45" customHeight="1">
      <c r="B865" s="13"/>
      <c r="G865" s="3"/>
      <c r="J865" s="3"/>
      <c r="Q865" s="3" t="str">
        <f t="shared" si="188"/>
        <v/>
      </c>
      <c r="R865" s="3" t="str">
        <f t="shared" si="189"/>
        <v/>
      </c>
      <c r="S865" s="3" t="str">
        <f t="shared" si="190"/>
        <v/>
      </c>
      <c r="X865" s="13"/>
      <c r="Y865" s="13"/>
      <c r="Z865" s="91"/>
      <c r="AC865" s="2">
        <f t="shared" si="191"/>
        <v>20</v>
      </c>
      <c r="AD865" s="2" t="str">
        <f>IFERROR(INDEX(GLAPS정리!$D$2:$D$50,MATCH(I865,GLAPS정리!$A$2:$A$50,0)),IFERROR(INDEX(GLAPS정리!$D$2:$D$50,MATCH(I865,GLAPS정리!$B$2:$B$50,0)),""))</f>
        <v/>
      </c>
      <c r="AF865" s="2" t="str">
        <f t="shared" si="192"/>
        <v>KR10</v>
      </c>
      <c r="AI865" s="2" t="e">
        <f>VLOOKUP(F865,GLAPS정리!$G$3:$J$114,2,0)</f>
        <v>#N/A</v>
      </c>
      <c r="AJ865" s="2" t="e">
        <f>IF(Z865="울산정일","KRONS",IF(Z865="울산신항","KRUSN",IF(OR(Z865="선광종합물류(인천여객)",Z865="인천여객(인천여객)"),"KRINF",IF(OR(Z865="선광인천보세(인천신)",Z865="한진인천(인천신)",Z865="선광인천신항(인천신)",Z865="인천더로지스(인천신)"),"KRINN",IF(OR(Z865="인천진아(인천항)",Z865="인천E1(인천항)",Z865="인천SM경인터미널(인천항)",Z865="인천항(인천항)",Z865="인천우련(인천항)",Z865="인천항8부두(인천항)"),"KRINC",VLOOKUP(K865,GLAPS정리!$BB$2:$BC$33,2,0))))))</f>
        <v>#N/A</v>
      </c>
      <c r="AL865" s="2">
        <f t="shared" si="193"/>
        <v>5010001</v>
      </c>
      <c r="AN865" s="70" t="str">
        <f t="shared" si="200"/>
        <v>1900-01-00</v>
      </c>
      <c r="AO865" s="2" t="str">
        <f t="shared" si="194"/>
        <v/>
      </c>
      <c r="AP865" s="2" t="e">
        <f>VLOOKUP(C865,GLAPS정리!$AX$2:$AZ$17,3,0)</f>
        <v>#N/A</v>
      </c>
      <c r="AR865" s="2">
        <f t="shared" si="201"/>
        <v>0</v>
      </c>
      <c r="AX865" s="2" t="e">
        <f>VLOOKUP(L865,GLAPS정리!$V$3:$W$180,2,0)</f>
        <v>#N/A</v>
      </c>
      <c r="BM865" s="2" t="str">
        <f t="shared" si="195"/>
        <v xml:space="preserve"> </v>
      </c>
      <c r="BN865" s="2">
        <f t="shared" si="196"/>
        <v>1</v>
      </c>
      <c r="BR865" s="2" t="str">
        <f t="shared" si="197"/>
        <v/>
      </c>
      <c r="BS865" s="2" t="str">
        <f t="shared" si="198"/>
        <v/>
      </c>
      <c r="BV865" s="2" t="e">
        <f>VLOOKUP(O865,GLAPS정리!$BH$2:$BI$94,2,0)</f>
        <v>#N/A</v>
      </c>
      <c r="BW865" s="2" t="str">
        <f>IF(OR(Z865="동원",Z865="세방",Z865="한타"),"",IFERROR(INDEX(GLAPS정리!$BI$2:$BI$101,MATCH(Z865,GLAPS정리!$BH$2:$BH$101,0)),""))</f>
        <v/>
      </c>
      <c r="BX865" s="2" t="str">
        <f>IF(Z865="","",IFERROR(VLOOKUP(Z865,GLAPS정리!$AX$2:$AZ$17,3,0),""))</f>
        <v/>
      </c>
      <c r="BZ865" s="2" t="e">
        <f>VLOOKUP(H865,GLAPS정리!$L$3:$O$133,2,0)</f>
        <v>#N/A</v>
      </c>
      <c r="CA865" s="2" t="str">
        <f t="shared" si="199"/>
        <v/>
      </c>
      <c r="CL865" s="2" t="e">
        <f>VLOOKUP(AI865,GLAPS정리!$BT$3:$BV$26,3,0)</f>
        <v>#N/A</v>
      </c>
    </row>
    <row r="866" spans="2:90" ht="20.45" customHeight="1">
      <c r="B866" s="13"/>
      <c r="G866" s="3"/>
      <c r="J866" s="3"/>
      <c r="Q866" s="3" t="str">
        <f t="shared" si="188"/>
        <v/>
      </c>
      <c r="R866" s="3" t="str">
        <f t="shared" si="189"/>
        <v/>
      </c>
      <c r="S866" s="3" t="str">
        <f t="shared" si="190"/>
        <v/>
      </c>
      <c r="X866" s="13"/>
      <c r="Y866" s="13"/>
      <c r="Z866" s="91"/>
      <c r="AC866" s="2">
        <f t="shared" si="191"/>
        <v>20</v>
      </c>
      <c r="AD866" s="2" t="str">
        <f>IFERROR(INDEX(GLAPS정리!$D$2:$D$50,MATCH(I866,GLAPS정리!$A$2:$A$50,0)),IFERROR(INDEX(GLAPS정리!$D$2:$D$50,MATCH(I866,GLAPS정리!$B$2:$B$50,0)),""))</f>
        <v/>
      </c>
      <c r="AF866" s="2" t="str">
        <f t="shared" si="192"/>
        <v>KR10</v>
      </c>
      <c r="AI866" s="2" t="e">
        <f>VLOOKUP(F866,GLAPS정리!$G$3:$J$114,2,0)</f>
        <v>#N/A</v>
      </c>
      <c r="AJ866" s="2" t="e">
        <f>IF(Z866="울산정일","KRONS",IF(Z866="울산신항","KRUSN",IF(OR(Z866="선광종합물류(인천여객)",Z866="인천여객(인천여객)"),"KRINF",IF(OR(Z866="선광인천보세(인천신)",Z866="한진인천(인천신)",Z866="선광인천신항(인천신)",Z866="인천더로지스(인천신)"),"KRINN",IF(OR(Z866="인천진아(인천항)",Z866="인천E1(인천항)",Z866="인천SM경인터미널(인천항)",Z866="인천항(인천항)",Z866="인천우련(인천항)",Z866="인천항8부두(인천항)"),"KRINC",VLOOKUP(K866,GLAPS정리!$BB$2:$BC$33,2,0))))))</f>
        <v>#N/A</v>
      </c>
      <c r="AL866" s="2">
        <f t="shared" si="193"/>
        <v>5010001</v>
      </c>
      <c r="AN866" s="70" t="str">
        <f t="shared" si="200"/>
        <v>1900-01-00</v>
      </c>
      <c r="AO866" s="2" t="str">
        <f t="shared" si="194"/>
        <v/>
      </c>
      <c r="AP866" s="2" t="e">
        <f>VLOOKUP(C866,GLAPS정리!$AX$2:$AZ$17,3,0)</f>
        <v>#N/A</v>
      </c>
      <c r="AR866" s="2">
        <f t="shared" si="201"/>
        <v>0</v>
      </c>
      <c r="AX866" s="2" t="e">
        <f>VLOOKUP(L866,GLAPS정리!$V$3:$W$180,2,0)</f>
        <v>#N/A</v>
      </c>
      <c r="BM866" s="2" t="str">
        <f t="shared" si="195"/>
        <v xml:space="preserve"> </v>
      </c>
      <c r="BN866" s="2">
        <f t="shared" si="196"/>
        <v>1</v>
      </c>
      <c r="BR866" s="2" t="str">
        <f t="shared" si="197"/>
        <v/>
      </c>
      <c r="BS866" s="2" t="str">
        <f t="shared" si="198"/>
        <v/>
      </c>
      <c r="BV866" s="2" t="e">
        <f>VLOOKUP(O866,GLAPS정리!$BH$2:$BI$94,2,0)</f>
        <v>#N/A</v>
      </c>
      <c r="BW866" s="2" t="str">
        <f>IF(OR(Z866="동원",Z866="세방",Z866="한타"),"",IFERROR(INDEX(GLAPS정리!$BI$2:$BI$101,MATCH(Z866,GLAPS정리!$BH$2:$BH$101,0)),""))</f>
        <v/>
      </c>
      <c r="BX866" s="2" t="str">
        <f>IF(Z866="","",IFERROR(VLOOKUP(Z866,GLAPS정리!$AX$2:$AZ$17,3,0),""))</f>
        <v/>
      </c>
      <c r="BZ866" s="2" t="e">
        <f>VLOOKUP(H866,GLAPS정리!$L$3:$O$133,2,0)</f>
        <v>#N/A</v>
      </c>
      <c r="CA866" s="2" t="str">
        <f t="shared" si="199"/>
        <v/>
      </c>
      <c r="CL866" s="2" t="e">
        <f>VLOOKUP(AI866,GLAPS정리!$BT$3:$BV$26,3,0)</f>
        <v>#N/A</v>
      </c>
    </row>
    <row r="867" spans="2:90" ht="20.45" customHeight="1">
      <c r="B867" s="13"/>
      <c r="G867" s="3"/>
      <c r="J867" s="3"/>
      <c r="Q867" s="3" t="str">
        <f t="shared" si="188"/>
        <v/>
      </c>
      <c r="R867" s="3" t="str">
        <f t="shared" si="189"/>
        <v/>
      </c>
      <c r="S867" s="3" t="str">
        <f t="shared" si="190"/>
        <v/>
      </c>
      <c r="X867" s="13"/>
      <c r="Y867" s="13"/>
      <c r="Z867" s="91"/>
      <c r="AC867" s="2">
        <f t="shared" si="191"/>
        <v>20</v>
      </c>
      <c r="AD867" s="2" t="str">
        <f>IFERROR(INDEX(GLAPS정리!$D$2:$D$50,MATCH(I867,GLAPS정리!$A$2:$A$50,0)),IFERROR(INDEX(GLAPS정리!$D$2:$D$50,MATCH(I867,GLAPS정리!$B$2:$B$50,0)),""))</f>
        <v/>
      </c>
      <c r="AF867" s="2" t="str">
        <f t="shared" si="192"/>
        <v>KR10</v>
      </c>
      <c r="AI867" s="2" t="e">
        <f>VLOOKUP(F867,GLAPS정리!$G$3:$J$114,2,0)</f>
        <v>#N/A</v>
      </c>
      <c r="AJ867" s="2" t="e">
        <f>IF(Z867="울산정일","KRONS",IF(Z867="울산신항","KRUSN",IF(OR(Z867="선광종합물류(인천여객)",Z867="인천여객(인천여객)"),"KRINF",IF(OR(Z867="선광인천보세(인천신)",Z867="한진인천(인천신)",Z867="선광인천신항(인천신)",Z867="인천더로지스(인천신)"),"KRINN",IF(OR(Z867="인천진아(인천항)",Z867="인천E1(인천항)",Z867="인천SM경인터미널(인천항)",Z867="인천항(인천항)",Z867="인천우련(인천항)",Z867="인천항8부두(인천항)"),"KRINC",VLOOKUP(K867,GLAPS정리!$BB$2:$BC$33,2,0))))))</f>
        <v>#N/A</v>
      </c>
      <c r="AL867" s="2">
        <f t="shared" si="193"/>
        <v>5010001</v>
      </c>
      <c r="AN867" s="70" t="str">
        <f t="shared" si="200"/>
        <v>1900-01-00</v>
      </c>
      <c r="AO867" s="2" t="str">
        <f t="shared" si="194"/>
        <v/>
      </c>
      <c r="AP867" s="2" t="e">
        <f>VLOOKUP(C867,GLAPS정리!$AX$2:$AZ$17,3,0)</f>
        <v>#N/A</v>
      </c>
      <c r="AR867" s="2">
        <f t="shared" si="201"/>
        <v>0</v>
      </c>
      <c r="AX867" s="2" t="e">
        <f>VLOOKUP(L867,GLAPS정리!$V$3:$W$180,2,0)</f>
        <v>#N/A</v>
      </c>
      <c r="BM867" s="2" t="str">
        <f t="shared" si="195"/>
        <v xml:space="preserve"> </v>
      </c>
      <c r="BN867" s="2">
        <f t="shared" si="196"/>
        <v>1</v>
      </c>
      <c r="BR867" s="2" t="str">
        <f t="shared" si="197"/>
        <v/>
      </c>
      <c r="BS867" s="2" t="str">
        <f t="shared" si="198"/>
        <v/>
      </c>
      <c r="BV867" s="2" t="e">
        <f>VLOOKUP(O867,GLAPS정리!$BH$2:$BI$94,2,0)</f>
        <v>#N/A</v>
      </c>
      <c r="BW867" s="2" t="str">
        <f>IF(OR(Z867="동원",Z867="세방",Z867="한타"),"",IFERROR(INDEX(GLAPS정리!$BI$2:$BI$101,MATCH(Z867,GLAPS정리!$BH$2:$BH$101,0)),""))</f>
        <v/>
      </c>
      <c r="BX867" s="2" t="str">
        <f>IF(Z867="","",IFERROR(VLOOKUP(Z867,GLAPS정리!$AX$2:$AZ$17,3,0),""))</f>
        <v/>
      </c>
      <c r="BZ867" s="2" t="e">
        <f>VLOOKUP(H867,GLAPS정리!$L$3:$O$133,2,0)</f>
        <v>#N/A</v>
      </c>
      <c r="CA867" s="2" t="str">
        <f t="shared" si="199"/>
        <v/>
      </c>
      <c r="CL867" s="2" t="e">
        <f>VLOOKUP(AI867,GLAPS정리!$BT$3:$BV$26,3,0)</f>
        <v>#N/A</v>
      </c>
    </row>
    <row r="868" spans="2:90" ht="20.45" customHeight="1">
      <c r="B868" s="13"/>
      <c r="G868" s="3"/>
      <c r="J868" s="3"/>
      <c r="Q868" s="3" t="str">
        <f t="shared" si="188"/>
        <v/>
      </c>
      <c r="R868" s="3" t="str">
        <f t="shared" si="189"/>
        <v/>
      </c>
      <c r="S868" s="3" t="str">
        <f t="shared" si="190"/>
        <v/>
      </c>
      <c r="X868" s="13"/>
      <c r="Y868" s="13"/>
      <c r="Z868" s="91"/>
      <c r="AC868" s="2">
        <f t="shared" si="191"/>
        <v>20</v>
      </c>
      <c r="AD868" s="2" t="str">
        <f>IFERROR(INDEX(GLAPS정리!$D$2:$D$50,MATCH(I868,GLAPS정리!$A$2:$A$50,0)),IFERROR(INDEX(GLAPS정리!$D$2:$D$50,MATCH(I868,GLAPS정리!$B$2:$B$50,0)),""))</f>
        <v/>
      </c>
      <c r="AF868" s="2" t="str">
        <f t="shared" si="192"/>
        <v>KR10</v>
      </c>
      <c r="AI868" s="2" t="e">
        <f>VLOOKUP(F868,GLAPS정리!$G$3:$J$114,2,0)</f>
        <v>#N/A</v>
      </c>
      <c r="AJ868" s="2" t="e">
        <f>IF(Z868="울산정일","KRONS",IF(Z868="울산신항","KRUSN",IF(OR(Z868="선광종합물류(인천여객)",Z868="인천여객(인천여객)"),"KRINF",IF(OR(Z868="선광인천보세(인천신)",Z868="한진인천(인천신)",Z868="선광인천신항(인천신)",Z868="인천더로지스(인천신)"),"KRINN",IF(OR(Z868="인천진아(인천항)",Z868="인천E1(인천항)",Z868="인천SM경인터미널(인천항)",Z868="인천항(인천항)",Z868="인천우련(인천항)",Z868="인천항8부두(인천항)"),"KRINC",VLOOKUP(K868,GLAPS정리!$BB$2:$BC$33,2,0))))))</f>
        <v>#N/A</v>
      </c>
      <c r="AL868" s="2">
        <f t="shared" si="193"/>
        <v>5010001</v>
      </c>
      <c r="AN868" s="70" t="str">
        <f t="shared" si="200"/>
        <v>1900-01-00</v>
      </c>
      <c r="AO868" s="2" t="str">
        <f t="shared" si="194"/>
        <v/>
      </c>
      <c r="AP868" s="2" t="e">
        <f>VLOOKUP(C868,GLAPS정리!$AX$2:$AZ$17,3,0)</f>
        <v>#N/A</v>
      </c>
      <c r="AR868" s="2">
        <f t="shared" si="201"/>
        <v>0</v>
      </c>
      <c r="AX868" s="2" t="e">
        <f>VLOOKUP(L868,GLAPS정리!$V$3:$W$180,2,0)</f>
        <v>#N/A</v>
      </c>
      <c r="BM868" s="2" t="str">
        <f t="shared" si="195"/>
        <v xml:space="preserve"> </v>
      </c>
      <c r="BN868" s="2">
        <f t="shared" si="196"/>
        <v>1</v>
      </c>
      <c r="BR868" s="2" t="str">
        <f t="shared" si="197"/>
        <v/>
      </c>
      <c r="BS868" s="2" t="str">
        <f t="shared" si="198"/>
        <v/>
      </c>
      <c r="BV868" s="2" t="e">
        <f>VLOOKUP(O868,GLAPS정리!$BH$2:$BI$94,2,0)</f>
        <v>#N/A</v>
      </c>
      <c r="BW868" s="2" t="str">
        <f>IF(OR(Z868="동원",Z868="세방",Z868="한타"),"",IFERROR(INDEX(GLAPS정리!$BI$2:$BI$101,MATCH(Z868,GLAPS정리!$BH$2:$BH$101,0)),""))</f>
        <v/>
      </c>
      <c r="BX868" s="2" t="str">
        <f>IF(Z868="","",IFERROR(VLOOKUP(Z868,GLAPS정리!$AX$2:$AZ$17,3,0),""))</f>
        <v/>
      </c>
      <c r="BZ868" s="2" t="e">
        <f>VLOOKUP(H868,GLAPS정리!$L$3:$O$133,2,0)</f>
        <v>#N/A</v>
      </c>
      <c r="CA868" s="2" t="str">
        <f t="shared" si="199"/>
        <v/>
      </c>
      <c r="CL868" s="2" t="e">
        <f>VLOOKUP(AI868,GLAPS정리!$BT$3:$BV$26,3,0)</f>
        <v>#N/A</v>
      </c>
    </row>
    <row r="869" spans="2:90" ht="20.45" customHeight="1">
      <c r="B869" s="13"/>
      <c r="G869" s="3"/>
      <c r="J869" s="3"/>
      <c r="Q869" s="3" t="str">
        <f t="shared" si="188"/>
        <v/>
      </c>
      <c r="R869" s="3" t="str">
        <f t="shared" si="189"/>
        <v/>
      </c>
      <c r="S869" s="3" t="str">
        <f t="shared" si="190"/>
        <v/>
      </c>
      <c r="X869" s="13"/>
      <c r="Y869" s="13"/>
      <c r="Z869" s="91"/>
      <c r="AC869" s="2">
        <f t="shared" si="191"/>
        <v>20</v>
      </c>
      <c r="AD869" s="2" t="str">
        <f>IFERROR(INDEX(GLAPS정리!$D$2:$D$50,MATCH(I869,GLAPS정리!$A$2:$A$50,0)),IFERROR(INDEX(GLAPS정리!$D$2:$D$50,MATCH(I869,GLAPS정리!$B$2:$B$50,0)),""))</f>
        <v/>
      </c>
      <c r="AF869" s="2" t="str">
        <f t="shared" si="192"/>
        <v>KR10</v>
      </c>
      <c r="AI869" s="2" t="e">
        <f>VLOOKUP(F869,GLAPS정리!$G$3:$J$114,2,0)</f>
        <v>#N/A</v>
      </c>
      <c r="AJ869" s="2" t="e">
        <f>IF(Z869="울산정일","KRONS",IF(Z869="울산신항","KRUSN",IF(OR(Z869="선광종합물류(인천여객)",Z869="인천여객(인천여객)"),"KRINF",IF(OR(Z869="선광인천보세(인천신)",Z869="한진인천(인천신)",Z869="선광인천신항(인천신)",Z869="인천더로지스(인천신)"),"KRINN",IF(OR(Z869="인천진아(인천항)",Z869="인천E1(인천항)",Z869="인천SM경인터미널(인천항)",Z869="인천항(인천항)",Z869="인천우련(인천항)",Z869="인천항8부두(인천항)"),"KRINC",VLOOKUP(K869,GLAPS정리!$BB$2:$BC$33,2,0))))))</f>
        <v>#N/A</v>
      </c>
      <c r="AL869" s="2">
        <f t="shared" si="193"/>
        <v>5010001</v>
      </c>
      <c r="AN869" s="70" t="str">
        <f t="shared" si="200"/>
        <v>1900-01-00</v>
      </c>
      <c r="AO869" s="2" t="str">
        <f t="shared" si="194"/>
        <v/>
      </c>
      <c r="AP869" s="2" t="e">
        <f>VLOOKUP(C869,GLAPS정리!$AX$2:$AZ$17,3,0)</f>
        <v>#N/A</v>
      </c>
      <c r="AR869" s="2">
        <f t="shared" si="201"/>
        <v>0</v>
      </c>
      <c r="AX869" s="2" t="e">
        <f>VLOOKUP(L869,GLAPS정리!$V$3:$W$180,2,0)</f>
        <v>#N/A</v>
      </c>
      <c r="BM869" s="2" t="str">
        <f t="shared" si="195"/>
        <v xml:space="preserve"> </v>
      </c>
      <c r="BN869" s="2">
        <f t="shared" si="196"/>
        <v>1</v>
      </c>
      <c r="BR869" s="2" t="str">
        <f t="shared" si="197"/>
        <v/>
      </c>
      <c r="BS869" s="2" t="str">
        <f t="shared" si="198"/>
        <v/>
      </c>
      <c r="BV869" s="2" t="e">
        <f>VLOOKUP(O869,GLAPS정리!$BH$2:$BI$94,2,0)</f>
        <v>#N/A</v>
      </c>
      <c r="BW869" s="2" t="str">
        <f>IF(OR(Z869="동원",Z869="세방",Z869="한타"),"",IFERROR(INDEX(GLAPS정리!$BI$2:$BI$101,MATCH(Z869,GLAPS정리!$BH$2:$BH$101,0)),""))</f>
        <v/>
      </c>
      <c r="BX869" s="2" t="str">
        <f>IF(Z869="","",IFERROR(VLOOKUP(Z869,GLAPS정리!$AX$2:$AZ$17,3,0),""))</f>
        <v/>
      </c>
      <c r="BZ869" s="2" t="e">
        <f>VLOOKUP(H869,GLAPS정리!$L$3:$O$133,2,0)</f>
        <v>#N/A</v>
      </c>
      <c r="CA869" s="2" t="str">
        <f t="shared" si="199"/>
        <v/>
      </c>
      <c r="CL869" s="2" t="e">
        <f>VLOOKUP(AI869,GLAPS정리!$BT$3:$BV$26,3,0)</f>
        <v>#N/A</v>
      </c>
    </row>
    <row r="870" spans="2:90" ht="20.45" customHeight="1">
      <c r="B870" s="13"/>
      <c r="G870" s="3"/>
      <c r="J870" s="3"/>
      <c r="Q870" s="3" t="str">
        <f t="shared" si="188"/>
        <v/>
      </c>
      <c r="R870" s="3" t="str">
        <f t="shared" si="189"/>
        <v/>
      </c>
      <c r="S870" s="3" t="str">
        <f t="shared" si="190"/>
        <v/>
      </c>
      <c r="X870" s="13"/>
      <c r="Y870" s="13"/>
      <c r="Z870" s="91"/>
      <c r="AC870" s="2">
        <f t="shared" si="191"/>
        <v>20</v>
      </c>
      <c r="AD870" s="2" t="str">
        <f>IFERROR(INDEX(GLAPS정리!$D$2:$D$50,MATCH(I870,GLAPS정리!$A$2:$A$50,0)),IFERROR(INDEX(GLAPS정리!$D$2:$D$50,MATCH(I870,GLAPS정리!$B$2:$B$50,0)),""))</f>
        <v/>
      </c>
      <c r="AF870" s="2" t="str">
        <f t="shared" si="192"/>
        <v>KR10</v>
      </c>
      <c r="AI870" s="2" t="e">
        <f>VLOOKUP(F870,GLAPS정리!$G$3:$J$114,2,0)</f>
        <v>#N/A</v>
      </c>
      <c r="AJ870" s="2" t="e">
        <f>IF(Z870="울산정일","KRONS",IF(Z870="울산신항","KRUSN",IF(OR(Z870="선광종합물류(인천여객)",Z870="인천여객(인천여객)"),"KRINF",IF(OR(Z870="선광인천보세(인천신)",Z870="한진인천(인천신)",Z870="선광인천신항(인천신)",Z870="인천더로지스(인천신)"),"KRINN",IF(OR(Z870="인천진아(인천항)",Z870="인천E1(인천항)",Z870="인천SM경인터미널(인천항)",Z870="인천항(인천항)",Z870="인천우련(인천항)",Z870="인천항8부두(인천항)"),"KRINC",VLOOKUP(K870,GLAPS정리!$BB$2:$BC$33,2,0))))))</f>
        <v>#N/A</v>
      </c>
      <c r="AL870" s="2">
        <f t="shared" si="193"/>
        <v>5010001</v>
      </c>
      <c r="AN870" s="70" t="str">
        <f t="shared" si="200"/>
        <v>1900-01-00</v>
      </c>
      <c r="AO870" s="2" t="str">
        <f t="shared" si="194"/>
        <v/>
      </c>
      <c r="AP870" s="2" t="e">
        <f>VLOOKUP(C870,GLAPS정리!$AX$2:$AZ$17,3,0)</f>
        <v>#N/A</v>
      </c>
      <c r="AR870" s="2">
        <f t="shared" si="201"/>
        <v>0</v>
      </c>
      <c r="AX870" s="2" t="e">
        <f>VLOOKUP(L870,GLAPS정리!$V$3:$W$180,2,0)</f>
        <v>#N/A</v>
      </c>
      <c r="BM870" s="2" t="str">
        <f t="shared" si="195"/>
        <v xml:space="preserve"> </v>
      </c>
      <c r="BN870" s="2">
        <f t="shared" si="196"/>
        <v>1</v>
      </c>
      <c r="BR870" s="2" t="str">
        <f t="shared" si="197"/>
        <v/>
      </c>
      <c r="BS870" s="2" t="str">
        <f t="shared" si="198"/>
        <v/>
      </c>
      <c r="BV870" s="2" t="e">
        <f>VLOOKUP(O870,GLAPS정리!$BH$2:$BI$94,2,0)</f>
        <v>#N/A</v>
      </c>
      <c r="BW870" s="2" t="str">
        <f>IF(OR(Z870="동원",Z870="세방",Z870="한타"),"",IFERROR(INDEX(GLAPS정리!$BI$2:$BI$101,MATCH(Z870,GLAPS정리!$BH$2:$BH$101,0)),""))</f>
        <v/>
      </c>
      <c r="BX870" s="2" t="str">
        <f>IF(Z870="","",IFERROR(VLOOKUP(Z870,GLAPS정리!$AX$2:$AZ$17,3,0),""))</f>
        <v/>
      </c>
      <c r="BZ870" s="2" t="e">
        <f>VLOOKUP(H870,GLAPS정리!$L$3:$O$133,2,0)</f>
        <v>#N/A</v>
      </c>
      <c r="CA870" s="2" t="str">
        <f t="shared" si="199"/>
        <v/>
      </c>
      <c r="CL870" s="2" t="e">
        <f>VLOOKUP(AI870,GLAPS정리!$BT$3:$BV$26,3,0)</f>
        <v>#N/A</v>
      </c>
    </row>
    <row r="871" spans="2:90" ht="20.45" customHeight="1">
      <c r="B871" s="13"/>
      <c r="G871" s="3"/>
      <c r="J871" s="3"/>
      <c r="Q871" s="3" t="str">
        <f t="shared" si="188"/>
        <v/>
      </c>
      <c r="R871" s="3" t="str">
        <f t="shared" si="189"/>
        <v/>
      </c>
      <c r="S871" s="3" t="str">
        <f t="shared" si="190"/>
        <v/>
      </c>
      <c r="X871" s="13"/>
      <c r="Y871" s="13"/>
      <c r="Z871" s="91"/>
      <c r="AC871" s="2">
        <f t="shared" si="191"/>
        <v>20</v>
      </c>
      <c r="AD871" s="2" t="str">
        <f>IFERROR(INDEX(GLAPS정리!$D$2:$D$50,MATCH(I871,GLAPS정리!$A$2:$A$50,0)),IFERROR(INDEX(GLAPS정리!$D$2:$D$50,MATCH(I871,GLAPS정리!$B$2:$B$50,0)),""))</f>
        <v/>
      </c>
      <c r="AF871" s="2" t="str">
        <f t="shared" si="192"/>
        <v>KR10</v>
      </c>
      <c r="AI871" s="2" t="e">
        <f>VLOOKUP(F871,GLAPS정리!$G$3:$J$114,2,0)</f>
        <v>#N/A</v>
      </c>
      <c r="AJ871" s="2" t="e">
        <f>IF(Z871="울산정일","KRONS",IF(Z871="울산신항","KRUSN",IF(OR(Z871="선광종합물류(인천여객)",Z871="인천여객(인천여객)"),"KRINF",IF(OR(Z871="선광인천보세(인천신)",Z871="한진인천(인천신)",Z871="선광인천신항(인천신)",Z871="인천더로지스(인천신)"),"KRINN",IF(OR(Z871="인천진아(인천항)",Z871="인천E1(인천항)",Z871="인천SM경인터미널(인천항)",Z871="인천항(인천항)",Z871="인천우련(인천항)",Z871="인천항8부두(인천항)"),"KRINC",VLOOKUP(K871,GLAPS정리!$BB$2:$BC$33,2,0))))))</f>
        <v>#N/A</v>
      </c>
      <c r="AL871" s="2">
        <f t="shared" si="193"/>
        <v>5010001</v>
      </c>
      <c r="AN871" s="70" t="str">
        <f t="shared" si="200"/>
        <v>1900-01-00</v>
      </c>
      <c r="AO871" s="2" t="str">
        <f t="shared" si="194"/>
        <v/>
      </c>
      <c r="AP871" s="2" t="e">
        <f>VLOOKUP(C871,GLAPS정리!$AX$2:$AZ$17,3,0)</f>
        <v>#N/A</v>
      </c>
      <c r="AR871" s="2">
        <f t="shared" si="201"/>
        <v>0</v>
      </c>
      <c r="AX871" s="2" t="e">
        <f>VLOOKUP(L871,GLAPS정리!$V$3:$W$180,2,0)</f>
        <v>#N/A</v>
      </c>
      <c r="BM871" s="2" t="str">
        <f t="shared" si="195"/>
        <v xml:space="preserve"> </v>
      </c>
      <c r="BN871" s="2">
        <f t="shared" si="196"/>
        <v>1</v>
      </c>
      <c r="BR871" s="2" t="str">
        <f t="shared" si="197"/>
        <v/>
      </c>
      <c r="BS871" s="2" t="str">
        <f t="shared" si="198"/>
        <v/>
      </c>
      <c r="BV871" s="2" t="e">
        <f>VLOOKUP(O871,GLAPS정리!$BH$2:$BI$94,2,0)</f>
        <v>#N/A</v>
      </c>
      <c r="BW871" s="2" t="str">
        <f>IF(OR(Z871="동원",Z871="세방",Z871="한타"),"",IFERROR(INDEX(GLAPS정리!$BI$2:$BI$101,MATCH(Z871,GLAPS정리!$BH$2:$BH$101,0)),""))</f>
        <v/>
      </c>
      <c r="BX871" s="2" t="str">
        <f>IF(Z871="","",IFERROR(VLOOKUP(Z871,GLAPS정리!$AX$2:$AZ$17,3,0),""))</f>
        <v/>
      </c>
      <c r="BZ871" s="2" t="e">
        <f>VLOOKUP(H871,GLAPS정리!$L$3:$O$133,2,0)</f>
        <v>#N/A</v>
      </c>
      <c r="CA871" s="2" t="str">
        <f t="shared" si="199"/>
        <v/>
      </c>
      <c r="CL871" s="2" t="e">
        <f>VLOOKUP(AI871,GLAPS정리!$BT$3:$BV$26,3,0)</f>
        <v>#N/A</v>
      </c>
    </row>
    <row r="872" spans="2:90" ht="20.45" customHeight="1">
      <c r="B872" s="13"/>
      <c r="G872" s="3"/>
      <c r="J872" s="3"/>
      <c r="Q872" s="3" t="str">
        <f t="shared" si="188"/>
        <v/>
      </c>
      <c r="R872" s="3" t="str">
        <f t="shared" si="189"/>
        <v/>
      </c>
      <c r="S872" s="3" t="str">
        <f t="shared" si="190"/>
        <v/>
      </c>
      <c r="X872" s="13"/>
      <c r="Y872" s="13"/>
      <c r="Z872" s="91"/>
      <c r="AC872" s="2">
        <f t="shared" si="191"/>
        <v>20</v>
      </c>
      <c r="AD872" s="2" t="str">
        <f>IFERROR(INDEX(GLAPS정리!$D$2:$D$50,MATCH(I872,GLAPS정리!$A$2:$A$50,0)),IFERROR(INDEX(GLAPS정리!$D$2:$D$50,MATCH(I872,GLAPS정리!$B$2:$B$50,0)),""))</f>
        <v/>
      </c>
      <c r="AF872" s="2" t="str">
        <f t="shared" si="192"/>
        <v>KR10</v>
      </c>
      <c r="AI872" s="2" t="e">
        <f>VLOOKUP(F872,GLAPS정리!$G$3:$J$114,2,0)</f>
        <v>#N/A</v>
      </c>
      <c r="AJ872" s="2" t="e">
        <f>IF(Z872="울산정일","KRONS",IF(Z872="울산신항","KRUSN",IF(OR(Z872="선광종합물류(인천여객)",Z872="인천여객(인천여객)"),"KRINF",IF(OR(Z872="선광인천보세(인천신)",Z872="한진인천(인천신)",Z872="선광인천신항(인천신)",Z872="인천더로지스(인천신)"),"KRINN",IF(OR(Z872="인천진아(인천항)",Z872="인천E1(인천항)",Z872="인천SM경인터미널(인천항)",Z872="인천항(인천항)",Z872="인천우련(인천항)",Z872="인천항8부두(인천항)"),"KRINC",VLOOKUP(K872,GLAPS정리!$BB$2:$BC$33,2,0))))))</f>
        <v>#N/A</v>
      </c>
      <c r="AL872" s="2">
        <f t="shared" si="193"/>
        <v>5010001</v>
      </c>
      <c r="AN872" s="70" t="str">
        <f t="shared" si="200"/>
        <v>1900-01-00</v>
      </c>
      <c r="AO872" s="2" t="str">
        <f t="shared" si="194"/>
        <v/>
      </c>
      <c r="AP872" s="2" t="e">
        <f>VLOOKUP(C872,GLAPS정리!$AX$2:$AZ$17,3,0)</f>
        <v>#N/A</v>
      </c>
      <c r="AR872" s="2">
        <f t="shared" si="201"/>
        <v>0</v>
      </c>
      <c r="AX872" s="2" t="e">
        <f>VLOOKUP(L872,GLAPS정리!$V$3:$W$180,2,0)</f>
        <v>#N/A</v>
      </c>
      <c r="BM872" s="2" t="str">
        <f t="shared" si="195"/>
        <v xml:space="preserve"> </v>
      </c>
      <c r="BN872" s="2">
        <f t="shared" si="196"/>
        <v>1</v>
      </c>
      <c r="BR872" s="2" t="str">
        <f t="shared" si="197"/>
        <v/>
      </c>
      <c r="BS872" s="2" t="str">
        <f t="shared" si="198"/>
        <v/>
      </c>
      <c r="BV872" s="2" t="e">
        <f>VLOOKUP(O872,GLAPS정리!$BH$2:$BI$94,2,0)</f>
        <v>#N/A</v>
      </c>
      <c r="BW872" s="2" t="str">
        <f>IF(OR(Z872="동원",Z872="세방",Z872="한타"),"",IFERROR(INDEX(GLAPS정리!$BI$2:$BI$101,MATCH(Z872,GLAPS정리!$BH$2:$BH$101,0)),""))</f>
        <v/>
      </c>
      <c r="BX872" s="2" t="str">
        <f>IF(Z872="","",IFERROR(VLOOKUP(Z872,GLAPS정리!$AX$2:$AZ$17,3,0),""))</f>
        <v/>
      </c>
      <c r="BZ872" s="2" t="e">
        <f>VLOOKUP(H872,GLAPS정리!$L$3:$O$133,2,0)</f>
        <v>#N/A</v>
      </c>
      <c r="CA872" s="2" t="str">
        <f t="shared" si="199"/>
        <v/>
      </c>
      <c r="CL872" s="2" t="e">
        <f>VLOOKUP(AI872,GLAPS정리!$BT$3:$BV$26,3,0)</f>
        <v>#N/A</v>
      </c>
    </row>
    <row r="873" spans="2:90" ht="20.45" customHeight="1">
      <c r="B873" s="13"/>
      <c r="G873" s="3"/>
      <c r="J873" s="3"/>
      <c r="Q873" s="3" t="str">
        <f t="shared" si="188"/>
        <v/>
      </c>
      <c r="R873" s="3" t="str">
        <f t="shared" si="189"/>
        <v/>
      </c>
      <c r="S873" s="3" t="str">
        <f t="shared" si="190"/>
        <v/>
      </c>
      <c r="X873" s="13"/>
      <c r="Y873" s="13"/>
      <c r="Z873" s="91"/>
      <c r="AC873" s="2">
        <f t="shared" si="191"/>
        <v>20</v>
      </c>
      <c r="AD873" s="2" t="str">
        <f>IFERROR(INDEX(GLAPS정리!$D$2:$D$50,MATCH(I873,GLAPS정리!$A$2:$A$50,0)),IFERROR(INDEX(GLAPS정리!$D$2:$D$50,MATCH(I873,GLAPS정리!$B$2:$B$50,0)),""))</f>
        <v/>
      </c>
      <c r="AF873" s="2" t="str">
        <f t="shared" si="192"/>
        <v>KR10</v>
      </c>
      <c r="AI873" s="2" t="e">
        <f>VLOOKUP(F873,GLAPS정리!$G$3:$J$114,2,0)</f>
        <v>#N/A</v>
      </c>
      <c r="AJ873" s="2" t="e">
        <f>IF(Z873="울산정일","KRONS",IF(Z873="울산신항","KRUSN",IF(OR(Z873="선광종합물류(인천여객)",Z873="인천여객(인천여객)"),"KRINF",IF(OR(Z873="선광인천보세(인천신)",Z873="한진인천(인천신)",Z873="선광인천신항(인천신)",Z873="인천더로지스(인천신)"),"KRINN",IF(OR(Z873="인천진아(인천항)",Z873="인천E1(인천항)",Z873="인천SM경인터미널(인천항)",Z873="인천항(인천항)",Z873="인천우련(인천항)",Z873="인천항8부두(인천항)"),"KRINC",VLOOKUP(K873,GLAPS정리!$BB$2:$BC$33,2,0))))))</f>
        <v>#N/A</v>
      </c>
      <c r="AL873" s="2">
        <f t="shared" si="193"/>
        <v>5010001</v>
      </c>
      <c r="AN873" s="70" t="str">
        <f t="shared" si="200"/>
        <v>1900-01-00</v>
      </c>
      <c r="AO873" s="2" t="str">
        <f t="shared" si="194"/>
        <v/>
      </c>
      <c r="AP873" s="2" t="e">
        <f>VLOOKUP(C873,GLAPS정리!$AX$2:$AZ$17,3,0)</f>
        <v>#N/A</v>
      </c>
      <c r="AR873" s="2">
        <f t="shared" si="201"/>
        <v>0</v>
      </c>
      <c r="AX873" s="2" t="e">
        <f>VLOOKUP(L873,GLAPS정리!$V$3:$W$180,2,0)</f>
        <v>#N/A</v>
      </c>
      <c r="BM873" s="2" t="str">
        <f t="shared" si="195"/>
        <v xml:space="preserve"> </v>
      </c>
      <c r="BN873" s="2">
        <f t="shared" si="196"/>
        <v>1</v>
      </c>
      <c r="BR873" s="2" t="str">
        <f t="shared" si="197"/>
        <v/>
      </c>
      <c r="BS873" s="2" t="str">
        <f t="shared" si="198"/>
        <v/>
      </c>
      <c r="BV873" s="2" t="e">
        <f>VLOOKUP(O873,GLAPS정리!$BH$2:$BI$94,2,0)</f>
        <v>#N/A</v>
      </c>
      <c r="BW873" s="2" t="str">
        <f>IF(OR(Z873="동원",Z873="세방",Z873="한타"),"",IFERROR(INDEX(GLAPS정리!$BI$2:$BI$101,MATCH(Z873,GLAPS정리!$BH$2:$BH$101,0)),""))</f>
        <v/>
      </c>
      <c r="BX873" s="2" t="str">
        <f>IF(Z873="","",IFERROR(VLOOKUP(Z873,GLAPS정리!$AX$2:$AZ$17,3,0),""))</f>
        <v/>
      </c>
      <c r="BZ873" s="2" t="e">
        <f>VLOOKUP(H873,GLAPS정리!$L$3:$O$133,2,0)</f>
        <v>#N/A</v>
      </c>
      <c r="CA873" s="2" t="str">
        <f t="shared" si="199"/>
        <v/>
      </c>
      <c r="CL873" s="2" t="e">
        <f>VLOOKUP(AI873,GLAPS정리!$BT$3:$BV$26,3,0)</f>
        <v>#N/A</v>
      </c>
    </row>
    <row r="874" spans="2:90" ht="20.45" customHeight="1">
      <c r="B874" s="13"/>
      <c r="G874" s="3"/>
      <c r="J874" s="3"/>
      <c r="Q874" s="3" t="str">
        <f t="shared" si="188"/>
        <v/>
      </c>
      <c r="R874" s="3" t="str">
        <f t="shared" si="189"/>
        <v/>
      </c>
      <c r="S874" s="3" t="str">
        <f t="shared" si="190"/>
        <v/>
      </c>
      <c r="X874" s="13"/>
      <c r="Y874" s="13"/>
      <c r="Z874" s="91"/>
      <c r="AC874" s="2">
        <f t="shared" si="191"/>
        <v>20</v>
      </c>
      <c r="AD874" s="2" t="str">
        <f>IFERROR(INDEX(GLAPS정리!$D$2:$D$50,MATCH(I874,GLAPS정리!$A$2:$A$50,0)),IFERROR(INDEX(GLAPS정리!$D$2:$D$50,MATCH(I874,GLAPS정리!$B$2:$B$50,0)),""))</f>
        <v/>
      </c>
      <c r="AF874" s="2" t="str">
        <f t="shared" si="192"/>
        <v>KR10</v>
      </c>
      <c r="AI874" s="2" t="e">
        <f>VLOOKUP(F874,GLAPS정리!$G$3:$J$114,2,0)</f>
        <v>#N/A</v>
      </c>
      <c r="AJ874" s="2" t="e">
        <f>IF(Z874="울산정일","KRONS",IF(Z874="울산신항","KRUSN",IF(OR(Z874="선광종합물류(인천여객)",Z874="인천여객(인천여객)"),"KRINF",IF(OR(Z874="선광인천보세(인천신)",Z874="한진인천(인천신)",Z874="선광인천신항(인천신)",Z874="인천더로지스(인천신)"),"KRINN",IF(OR(Z874="인천진아(인천항)",Z874="인천E1(인천항)",Z874="인천SM경인터미널(인천항)",Z874="인천항(인천항)",Z874="인천우련(인천항)",Z874="인천항8부두(인천항)"),"KRINC",VLOOKUP(K874,GLAPS정리!$BB$2:$BC$33,2,0))))))</f>
        <v>#N/A</v>
      </c>
      <c r="AL874" s="2">
        <f t="shared" si="193"/>
        <v>5010001</v>
      </c>
      <c r="AN874" s="70" t="str">
        <f t="shared" si="200"/>
        <v>1900-01-00</v>
      </c>
      <c r="AO874" s="2" t="str">
        <f t="shared" si="194"/>
        <v/>
      </c>
      <c r="AP874" s="2" t="e">
        <f>VLOOKUP(C874,GLAPS정리!$AX$2:$AZ$17,3,0)</f>
        <v>#N/A</v>
      </c>
      <c r="AR874" s="2">
        <f t="shared" si="201"/>
        <v>0</v>
      </c>
      <c r="AX874" s="2" t="e">
        <f>VLOOKUP(L874,GLAPS정리!$V$3:$W$180,2,0)</f>
        <v>#N/A</v>
      </c>
      <c r="BM874" s="2" t="str">
        <f t="shared" si="195"/>
        <v xml:space="preserve"> </v>
      </c>
      <c r="BN874" s="2">
        <f t="shared" si="196"/>
        <v>1</v>
      </c>
      <c r="BR874" s="2" t="str">
        <f t="shared" si="197"/>
        <v/>
      </c>
      <c r="BS874" s="2" t="str">
        <f t="shared" si="198"/>
        <v/>
      </c>
      <c r="BV874" s="2" t="e">
        <f>VLOOKUP(O874,GLAPS정리!$BH$2:$BI$94,2,0)</f>
        <v>#N/A</v>
      </c>
      <c r="BW874" s="2" t="str">
        <f>IF(OR(Z874="동원",Z874="세방",Z874="한타"),"",IFERROR(INDEX(GLAPS정리!$BI$2:$BI$101,MATCH(Z874,GLAPS정리!$BH$2:$BH$101,0)),""))</f>
        <v/>
      </c>
      <c r="BX874" s="2" t="str">
        <f>IF(Z874="","",IFERROR(VLOOKUP(Z874,GLAPS정리!$AX$2:$AZ$17,3,0),""))</f>
        <v/>
      </c>
      <c r="BZ874" s="2" t="e">
        <f>VLOOKUP(H874,GLAPS정리!$L$3:$O$133,2,0)</f>
        <v>#N/A</v>
      </c>
      <c r="CA874" s="2" t="str">
        <f t="shared" si="199"/>
        <v/>
      </c>
      <c r="CL874" s="2" t="e">
        <f>VLOOKUP(AI874,GLAPS정리!$BT$3:$BV$26,3,0)</f>
        <v>#N/A</v>
      </c>
    </row>
    <row r="875" spans="2:90" ht="20.45" customHeight="1">
      <c r="B875" s="13"/>
      <c r="G875" s="3"/>
      <c r="J875" s="3"/>
      <c r="Q875" s="3" t="str">
        <f t="shared" si="188"/>
        <v/>
      </c>
      <c r="R875" s="3" t="str">
        <f t="shared" si="189"/>
        <v/>
      </c>
      <c r="S875" s="3" t="str">
        <f t="shared" si="190"/>
        <v/>
      </c>
      <c r="X875" s="13"/>
      <c r="Y875" s="13"/>
      <c r="Z875" s="91"/>
      <c r="AC875" s="2">
        <f t="shared" si="191"/>
        <v>20</v>
      </c>
      <c r="AD875" s="2" t="str">
        <f>IFERROR(INDEX(GLAPS정리!$D$2:$D$50,MATCH(I875,GLAPS정리!$A$2:$A$50,0)),IFERROR(INDEX(GLAPS정리!$D$2:$D$50,MATCH(I875,GLAPS정리!$B$2:$B$50,0)),""))</f>
        <v/>
      </c>
      <c r="AF875" s="2" t="str">
        <f t="shared" si="192"/>
        <v>KR10</v>
      </c>
      <c r="AI875" s="2" t="e">
        <f>VLOOKUP(F875,GLAPS정리!$G$3:$J$114,2,0)</f>
        <v>#N/A</v>
      </c>
      <c r="AJ875" s="2" t="e">
        <f>IF(Z875="울산정일","KRONS",IF(Z875="울산신항","KRUSN",IF(OR(Z875="선광종합물류(인천여객)",Z875="인천여객(인천여객)"),"KRINF",IF(OR(Z875="선광인천보세(인천신)",Z875="한진인천(인천신)",Z875="선광인천신항(인천신)",Z875="인천더로지스(인천신)"),"KRINN",IF(OR(Z875="인천진아(인천항)",Z875="인천E1(인천항)",Z875="인천SM경인터미널(인천항)",Z875="인천항(인천항)",Z875="인천우련(인천항)",Z875="인천항8부두(인천항)"),"KRINC",VLOOKUP(K875,GLAPS정리!$BB$2:$BC$33,2,0))))))</f>
        <v>#N/A</v>
      </c>
      <c r="AL875" s="2">
        <f t="shared" si="193"/>
        <v>5010001</v>
      </c>
      <c r="AN875" s="70" t="str">
        <f t="shared" si="200"/>
        <v>1900-01-00</v>
      </c>
      <c r="AO875" s="2" t="str">
        <f t="shared" si="194"/>
        <v/>
      </c>
      <c r="AP875" s="2" t="e">
        <f>VLOOKUP(C875,GLAPS정리!$AX$2:$AZ$17,3,0)</f>
        <v>#N/A</v>
      </c>
      <c r="AR875" s="2">
        <f t="shared" si="201"/>
        <v>0</v>
      </c>
      <c r="AX875" s="2" t="e">
        <f>VLOOKUP(L875,GLAPS정리!$V$3:$W$180,2,0)</f>
        <v>#N/A</v>
      </c>
      <c r="BM875" s="2" t="str">
        <f t="shared" si="195"/>
        <v xml:space="preserve"> </v>
      </c>
      <c r="BN875" s="2">
        <f t="shared" si="196"/>
        <v>1</v>
      </c>
      <c r="BR875" s="2" t="str">
        <f t="shared" si="197"/>
        <v/>
      </c>
      <c r="BS875" s="2" t="str">
        <f t="shared" si="198"/>
        <v/>
      </c>
      <c r="BV875" s="2" t="e">
        <f>VLOOKUP(O875,GLAPS정리!$BH$2:$BI$94,2,0)</f>
        <v>#N/A</v>
      </c>
      <c r="BW875" s="2" t="str">
        <f>IF(OR(Z875="동원",Z875="세방",Z875="한타"),"",IFERROR(INDEX(GLAPS정리!$BI$2:$BI$101,MATCH(Z875,GLAPS정리!$BH$2:$BH$101,0)),""))</f>
        <v/>
      </c>
      <c r="BX875" s="2" t="str">
        <f>IF(Z875="","",IFERROR(VLOOKUP(Z875,GLAPS정리!$AX$2:$AZ$17,3,0),""))</f>
        <v/>
      </c>
      <c r="BZ875" s="2" t="e">
        <f>VLOOKUP(H875,GLAPS정리!$L$3:$O$133,2,0)</f>
        <v>#N/A</v>
      </c>
      <c r="CA875" s="2" t="str">
        <f t="shared" si="199"/>
        <v/>
      </c>
      <c r="CL875" s="2" t="e">
        <f>VLOOKUP(AI875,GLAPS정리!$BT$3:$BV$26,3,0)</f>
        <v>#N/A</v>
      </c>
    </row>
    <row r="876" spans="2:90" ht="20.45" customHeight="1">
      <c r="B876" s="13"/>
      <c r="G876" s="3"/>
      <c r="J876" s="3"/>
      <c r="Q876" s="3" t="str">
        <f t="shared" si="188"/>
        <v/>
      </c>
      <c r="R876" s="3" t="str">
        <f t="shared" si="189"/>
        <v/>
      </c>
      <c r="S876" s="3" t="str">
        <f t="shared" si="190"/>
        <v/>
      </c>
      <c r="X876" s="13"/>
      <c r="Y876" s="13"/>
      <c r="Z876" s="91"/>
      <c r="AC876" s="2">
        <f t="shared" si="191"/>
        <v>20</v>
      </c>
      <c r="AD876" s="2" t="str">
        <f>IFERROR(INDEX(GLAPS정리!$D$2:$D$50,MATCH(I876,GLAPS정리!$A$2:$A$50,0)),IFERROR(INDEX(GLAPS정리!$D$2:$D$50,MATCH(I876,GLAPS정리!$B$2:$B$50,0)),""))</f>
        <v/>
      </c>
      <c r="AF876" s="2" t="str">
        <f t="shared" si="192"/>
        <v>KR10</v>
      </c>
      <c r="AI876" s="2" t="e">
        <f>VLOOKUP(F876,GLAPS정리!$G$3:$J$114,2,0)</f>
        <v>#N/A</v>
      </c>
      <c r="AJ876" s="2" t="e">
        <f>IF(Z876="울산정일","KRONS",IF(Z876="울산신항","KRUSN",IF(OR(Z876="선광종합물류(인천여객)",Z876="인천여객(인천여객)"),"KRINF",IF(OR(Z876="선광인천보세(인천신)",Z876="한진인천(인천신)",Z876="선광인천신항(인천신)",Z876="인천더로지스(인천신)"),"KRINN",IF(OR(Z876="인천진아(인천항)",Z876="인천E1(인천항)",Z876="인천SM경인터미널(인천항)",Z876="인천항(인천항)",Z876="인천우련(인천항)",Z876="인천항8부두(인천항)"),"KRINC",VLOOKUP(K876,GLAPS정리!$BB$2:$BC$33,2,0))))))</f>
        <v>#N/A</v>
      </c>
      <c r="AL876" s="2">
        <f t="shared" si="193"/>
        <v>5010001</v>
      </c>
      <c r="AN876" s="70" t="str">
        <f t="shared" si="200"/>
        <v>1900-01-00</v>
      </c>
      <c r="AO876" s="2" t="str">
        <f t="shared" si="194"/>
        <v/>
      </c>
      <c r="AP876" s="2" t="e">
        <f>VLOOKUP(C876,GLAPS정리!$AX$2:$AZ$17,3,0)</f>
        <v>#N/A</v>
      </c>
      <c r="AR876" s="2">
        <f t="shared" si="201"/>
        <v>0</v>
      </c>
      <c r="AX876" s="2" t="e">
        <f>VLOOKUP(L876,GLAPS정리!$V$3:$W$180,2,0)</f>
        <v>#N/A</v>
      </c>
      <c r="BM876" s="2" t="str">
        <f t="shared" si="195"/>
        <v xml:space="preserve"> </v>
      </c>
      <c r="BN876" s="2">
        <f t="shared" si="196"/>
        <v>1</v>
      </c>
      <c r="BR876" s="2" t="str">
        <f t="shared" si="197"/>
        <v/>
      </c>
      <c r="BS876" s="2" t="str">
        <f t="shared" si="198"/>
        <v/>
      </c>
      <c r="BV876" s="2" t="e">
        <f>VLOOKUP(O876,GLAPS정리!$BH$2:$BI$94,2,0)</f>
        <v>#N/A</v>
      </c>
      <c r="BW876" s="2" t="str">
        <f>IF(OR(Z876="동원",Z876="세방",Z876="한타"),"",IFERROR(INDEX(GLAPS정리!$BI$2:$BI$101,MATCH(Z876,GLAPS정리!$BH$2:$BH$101,0)),""))</f>
        <v/>
      </c>
      <c r="BX876" s="2" t="str">
        <f>IF(Z876="","",IFERROR(VLOOKUP(Z876,GLAPS정리!$AX$2:$AZ$17,3,0),""))</f>
        <v/>
      </c>
      <c r="BZ876" s="2" t="e">
        <f>VLOOKUP(H876,GLAPS정리!$L$3:$O$133,2,0)</f>
        <v>#N/A</v>
      </c>
      <c r="CA876" s="2" t="str">
        <f t="shared" si="199"/>
        <v/>
      </c>
      <c r="CL876" s="2" t="e">
        <f>VLOOKUP(AI876,GLAPS정리!$BT$3:$BV$26,3,0)</f>
        <v>#N/A</v>
      </c>
    </row>
    <row r="877" spans="2:90" ht="20.45" customHeight="1">
      <c r="B877" s="13"/>
      <c r="G877" s="3"/>
      <c r="J877" s="3"/>
      <c r="Q877" s="3" t="str">
        <f t="shared" si="188"/>
        <v/>
      </c>
      <c r="R877" s="3" t="str">
        <f t="shared" si="189"/>
        <v/>
      </c>
      <c r="S877" s="3" t="str">
        <f t="shared" si="190"/>
        <v/>
      </c>
      <c r="X877" s="13"/>
      <c r="Y877" s="13"/>
      <c r="Z877" s="91"/>
      <c r="AC877" s="2">
        <f t="shared" si="191"/>
        <v>20</v>
      </c>
      <c r="AD877" s="2" t="str">
        <f>IFERROR(INDEX(GLAPS정리!$D$2:$D$50,MATCH(I877,GLAPS정리!$A$2:$A$50,0)),IFERROR(INDEX(GLAPS정리!$D$2:$D$50,MATCH(I877,GLAPS정리!$B$2:$B$50,0)),""))</f>
        <v/>
      </c>
      <c r="AF877" s="2" t="str">
        <f t="shared" si="192"/>
        <v>KR10</v>
      </c>
      <c r="AI877" s="2" t="e">
        <f>VLOOKUP(F877,GLAPS정리!$G$3:$J$114,2,0)</f>
        <v>#N/A</v>
      </c>
      <c r="AJ877" s="2" t="e">
        <f>IF(Z877="울산정일","KRONS",IF(Z877="울산신항","KRUSN",IF(OR(Z877="선광종합물류(인천여객)",Z877="인천여객(인천여객)"),"KRINF",IF(OR(Z877="선광인천보세(인천신)",Z877="한진인천(인천신)",Z877="선광인천신항(인천신)",Z877="인천더로지스(인천신)"),"KRINN",IF(OR(Z877="인천진아(인천항)",Z877="인천E1(인천항)",Z877="인천SM경인터미널(인천항)",Z877="인천항(인천항)",Z877="인천우련(인천항)",Z877="인천항8부두(인천항)"),"KRINC",VLOOKUP(K877,GLAPS정리!$BB$2:$BC$33,2,0))))))</f>
        <v>#N/A</v>
      </c>
      <c r="AL877" s="2">
        <f t="shared" si="193"/>
        <v>5010001</v>
      </c>
      <c r="AN877" s="70" t="str">
        <f t="shared" si="200"/>
        <v>1900-01-00</v>
      </c>
      <c r="AO877" s="2" t="str">
        <f t="shared" si="194"/>
        <v/>
      </c>
      <c r="AP877" s="2" t="e">
        <f>VLOOKUP(C877,GLAPS정리!$AX$2:$AZ$17,3,0)</f>
        <v>#N/A</v>
      </c>
      <c r="AR877" s="2">
        <f t="shared" si="201"/>
        <v>0</v>
      </c>
      <c r="AX877" s="2" t="e">
        <f>VLOOKUP(L877,GLAPS정리!$V$3:$W$180,2,0)</f>
        <v>#N/A</v>
      </c>
      <c r="BM877" s="2" t="str">
        <f t="shared" si="195"/>
        <v xml:space="preserve"> </v>
      </c>
      <c r="BN877" s="2">
        <f t="shared" si="196"/>
        <v>1</v>
      </c>
      <c r="BR877" s="2" t="str">
        <f t="shared" si="197"/>
        <v/>
      </c>
      <c r="BS877" s="2" t="str">
        <f t="shared" si="198"/>
        <v/>
      </c>
      <c r="BV877" s="2" t="e">
        <f>VLOOKUP(O877,GLAPS정리!$BH$2:$BI$94,2,0)</f>
        <v>#N/A</v>
      </c>
      <c r="BW877" s="2" t="str">
        <f>IF(OR(Z877="동원",Z877="세방",Z877="한타"),"",IFERROR(INDEX(GLAPS정리!$BI$2:$BI$101,MATCH(Z877,GLAPS정리!$BH$2:$BH$101,0)),""))</f>
        <v/>
      </c>
      <c r="BX877" s="2" t="str">
        <f>IF(Z877="","",IFERROR(VLOOKUP(Z877,GLAPS정리!$AX$2:$AZ$17,3,0),""))</f>
        <v/>
      </c>
      <c r="BZ877" s="2" t="e">
        <f>VLOOKUP(H877,GLAPS정리!$L$3:$O$133,2,0)</f>
        <v>#N/A</v>
      </c>
      <c r="CA877" s="2" t="str">
        <f t="shared" si="199"/>
        <v/>
      </c>
      <c r="CL877" s="2" t="e">
        <f>VLOOKUP(AI877,GLAPS정리!$BT$3:$BV$26,3,0)</f>
        <v>#N/A</v>
      </c>
    </row>
    <row r="878" spans="2:90" ht="20.45" customHeight="1">
      <c r="B878" s="13"/>
      <c r="G878" s="3"/>
      <c r="J878" s="3"/>
      <c r="Q878" s="3" t="str">
        <f t="shared" si="188"/>
        <v/>
      </c>
      <c r="R878" s="3" t="str">
        <f t="shared" si="189"/>
        <v/>
      </c>
      <c r="S878" s="3" t="str">
        <f t="shared" si="190"/>
        <v/>
      </c>
      <c r="X878" s="13"/>
      <c r="Y878" s="13"/>
      <c r="Z878" s="91"/>
      <c r="AC878" s="2">
        <f t="shared" si="191"/>
        <v>20</v>
      </c>
      <c r="AD878" s="2" t="str">
        <f>IFERROR(INDEX(GLAPS정리!$D$2:$D$50,MATCH(I878,GLAPS정리!$A$2:$A$50,0)),IFERROR(INDEX(GLAPS정리!$D$2:$D$50,MATCH(I878,GLAPS정리!$B$2:$B$50,0)),""))</f>
        <v/>
      </c>
      <c r="AF878" s="2" t="str">
        <f t="shared" si="192"/>
        <v>KR10</v>
      </c>
      <c r="AI878" s="2" t="e">
        <f>VLOOKUP(F878,GLAPS정리!$G$3:$J$114,2,0)</f>
        <v>#N/A</v>
      </c>
      <c r="AJ878" s="2" t="e">
        <f>IF(Z878="울산정일","KRONS",IF(Z878="울산신항","KRUSN",IF(OR(Z878="선광종합물류(인천여객)",Z878="인천여객(인천여객)"),"KRINF",IF(OR(Z878="선광인천보세(인천신)",Z878="한진인천(인천신)",Z878="선광인천신항(인천신)",Z878="인천더로지스(인천신)"),"KRINN",IF(OR(Z878="인천진아(인천항)",Z878="인천E1(인천항)",Z878="인천SM경인터미널(인천항)",Z878="인천항(인천항)",Z878="인천우련(인천항)",Z878="인천항8부두(인천항)"),"KRINC",VLOOKUP(K878,GLAPS정리!$BB$2:$BC$33,2,0))))))</f>
        <v>#N/A</v>
      </c>
      <c r="AL878" s="2">
        <f t="shared" si="193"/>
        <v>5010001</v>
      </c>
      <c r="AN878" s="70" t="str">
        <f t="shared" si="200"/>
        <v>1900-01-00</v>
      </c>
      <c r="AO878" s="2" t="str">
        <f t="shared" si="194"/>
        <v/>
      </c>
      <c r="AP878" s="2" t="e">
        <f>VLOOKUP(C878,GLAPS정리!$AX$2:$AZ$17,3,0)</f>
        <v>#N/A</v>
      </c>
      <c r="AR878" s="2">
        <f t="shared" si="201"/>
        <v>0</v>
      </c>
      <c r="AX878" s="2" t="e">
        <f>VLOOKUP(L878,GLAPS정리!$V$3:$W$180,2,0)</f>
        <v>#N/A</v>
      </c>
      <c r="BM878" s="2" t="str">
        <f t="shared" si="195"/>
        <v xml:space="preserve"> </v>
      </c>
      <c r="BN878" s="2">
        <f t="shared" si="196"/>
        <v>1</v>
      </c>
      <c r="BR878" s="2" t="str">
        <f t="shared" si="197"/>
        <v/>
      </c>
      <c r="BS878" s="2" t="str">
        <f t="shared" si="198"/>
        <v/>
      </c>
      <c r="BV878" s="2" t="e">
        <f>VLOOKUP(O878,GLAPS정리!$BH$2:$BI$94,2,0)</f>
        <v>#N/A</v>
      </c>
      <c r="BW878" s="2" t="str">
        <f>IF(OR(Z878="동원",Z878="세방",Z878="한타"),"",IFERROR(INDEX(GLAPS정리!$BI$2:$BI$101,MATCH(Z878,GLAPS정리!$BH$2:$BH$101,0)),""))</f>
        <v/>
      </c>
      <c r="BX878" s="2" t="str">
        <f>IF(Z878="","",IFERROR(VLOOKUP(Z878,GLAPS정리!$AX$2:$AZ$17,3,0),""))</f>
        <v/>
      </c>
      <c r="BZ878" s="2" t="e">
        <f>VLOOKUP(H878,GLAPS정리!$L$3:$O$133,2,0)</f>
        <v>#N/A</v>
      </c>
      <c r="CA878" s="2" t="str">
        <f t="shared" si="199"/>
        <v/>
      </c>
      <c r="CL878" s="2" t="e">
        <f>VLOOKUP(AI878,GLAPS정리!$BT$3:$BV$26,3,0)</f>
        <v>#N/A</v>
      </c>
    </row>
    <row r="879" spans="2:90" ht="20.45" customHeight="1">
      <c r="B879" s="13"/>
      <c r="G879" s="3"/>
      <c r="J879" s="3"/>
      <c r="Q879" s="3" t="str">
        <f t="shared" si="188"/>
        <v/>
      </c>
      <c r="R879" s="3" t="str">
        <f t="shared" si="189"/>
        <v/>
      </c>
      <c r="S879" s="3" t="str">
        <f t="shared" si="190"/>
        <v/>
      </c>
      <c r="X879" s="13"/>
      <c r="Y879" s="13"/>
      <c r="Z879" s="91"/>
      <c r="AC879" s="2">
        <f t="shared" si="191"/>
        <v>20</v>
      </c>
      <c r="AD879" s="2" t="str">
        <f>IFERROR(INDEX(GLAPS정리!$D$2:$D$50,MATCH(I879,GLAPS정리!$A$2:$A$50,0)),IFERROR(INDEX(GLAPS정리!$D$2:$D$50,MATCH(I879,GLAPS정리!$B$2:$B$50,0)),""))</f>
        <v/>
      </c>
      <c r="AF879" s="2" t="str">
        <f t="shared" si="192"/>
        <v>KR10</v>
      </c>
      <c r="AI879" s="2" t="e">
        <f>VLOOKUP(F879,GLAPS정리!$G$3:$J$114,2,0)</f>
        <v>#N/A</v>
      </c>
      <c r="AJ879" s="2" t="e">
        <f>IF(Z879="울산정일","KRONS",IF(Z879="울산신항","KRUSN",IF(OR(Z879="선광종합물류(인천여객)",Z879="인천여객(인천여객)"),"KRINF",IF(OR(Z879="선광인천보세(인천신)",Z879="한진인천(인천신)",Z879="선광인천신항(인천신)",Z879="인천더로지스(인천신)"),"KRINN",IF(OR(Z879="인천진아(인천항)",Z879="인천E1(인천항)",Z879="인천SM경인터미널(인천항)",Z879="인천항(인천항)",Z879="인천우련(인천항)",Z879="인천항8부두(인천항)"),"KRINC",VLOOKUP(K879,GLAPS정리!$BB$2:$BC$33,2,0))))))</f>
        <v>#N/A</v>
      </c>
      <c r="AL879" s="2">
        <f t="shared" si="193"/>
        <v>5010001</v>
      </c>
      <c r="AN879" s="70" t="str">
        <f t="shared" si="200"/>
        <v>1900-01-00</v>
      </c>
      <c r="AO879" s="2" t="str">
        <f t="shared" si="194"/>
        <v/>
      </c>
      <c r="AP879" s="2" t="e">
        <f>VLOOKUP(C879,GLAPS정리!$AX$2:$AZ$17,3,0)</f>
        <v>#N/A</v>
      </c>
      <c r="AR879" s="2">
        <f t="shared" si="201"/>
        <v>0</v>
      </c>
      <c r="AX879" s="2" t="e">
        <f>VLOOKUP(L879,GLAPS정리!$V$3:$W$180,2,0)</f>
        <v>#N/A</v>
      </c>
      <c r="BM879" s="2" t="str">
        <f t="shared" si="195"/>
        <v xml:space="preserve"> </v>
      </c>
      <c r="BN879" s="2">
        <f t="shared" si="196"/>
        <v>1</v>
      </c>
      <c r="BR879" s="2" t="str">
        <f t="shared" si="197"/>
        <v/>
      </c>
      <c r="BS879" s="2" t="str">
        <f t="shared" si="198"/>
        <v/>
      </c>
      <c r="BV879" s="2" t="e">
        <f>VLOOKUP(O879,GLAPS정리!$BH$2:$BI$94,2,0)</f>
        <v>#N/A</v>
      </c>
      <c r="BW879" s="2" t="str">
        <f>IF(OR(Z879="동원",Z879="세방",Z879="한타"),"",IFERROR(INDEX(GLAPS정리!$BI$2:$BI$101,MATCH(Z879,GLAPS정리!$BH$2:$BH$101,0)),""))</f>
        <v/>
      </c>
      <c r="BX879" s="2" t="str">
        <f>IF(Z879="","",IFERROR(VLOOKUP(Z879,GLAPS정리!$AX$2:$AZ$17,3,0),""))</f>
        <v/>
      </c>
      <c r="BZ879" s="2" t="e">
        <f>VLOOKUP(H879,GLAPS정리!$L$3:$O$133,2,0)</f>
        <v>#N/A</v>
      </c>
      <c r="CA879" s="2" t="str">
        <f t="shared" si="199"/>
        <v/>
      </c>
      <c r="CL879" s="2" t="e">
        <f>VLOOKUP(AI879,GLAPS정리!$BT$3:$BV$26,3,0)</f>
        <v>#N/A</v>
      </c>
    </row>
    <row r="880" spans="2:90" ht="20.45" customHeight="1">
      <c r="B880" s="13"/>
      <c r="G880" s="3"/>
      <c r="J880" s="3"/>
      <c r="Q880" s="3" t="str">
        <f t="shared" si="188"/>
        <v/>
      </c>
      <c r="R880" s="3" t="str">
        <f t="shared" si="189"/>
        <v/>
      </c>
      <c r="S880" s="3" t="str">
        <f t="shared" si="190"/>
        <v/>
      </c>
      <c r="X880" s="13"/>
      <c r="Y880" s="13"/>
      <c r="Z880" s="91"/>
      <c r="AC880" s="2">
        <f t="shared" si="191"/>
        <v>20</v>
      </c>
      <c r="AD880" s="2" t="str">
        <f>IFERROR(INDEX(GLAPS정리!$D$2:$D$50,MATCH(I880,GLAPS정리!$A$2:$A$50,0)),IFERROR(INDEX(GLAPS정리!$D$2:$D$50,MATCH(I880,GLAPS정리!$B$2:$B$50,0)),""))</f>
        <v/>
      </c>
      <c r="AF880" s="2" t="str">
        <f t="shared" si="192"/>
        <v>KR10</v>
      </c>
      <c r="AI880" s="2" t="e">
        <f>VLOOKUP(F880,GLAPS정리!$G$3:$J$114,2,0)</f>
        <v>#N/A</v>
      </c>
      <c r="AJ880" s="2" t="e">
        <f>IF(Z880="울산정일","KRONS",IF(Z880="울산신항","KRUSN",IF(OR(Z880="선광종합물류(인천여객)",Z880="인천여객(인천여객)"),"KRINF",IF(OR(Z880="선광인천보세(인천신)",Z880="한진인천(인천신)",Z880="선광인천신항(인천신)",Z880="인천더로지스(인천신)"),"KRINN",IF(OR(Z880="인천진아(인천항)",Z880="인천E1(인천항)",Z880="인천SM경인터미널(인천항)",Z880="인천항(인천항)",Z880="인천우련(인천항)",Z880="인천항8부두(인천항)"),"KRINC",VLOOKUP(K880,GLAPS정리!$BB$2:$BC$33,2,0))))))</f>
        <v>#N/A</v>
      </c>
      <c r="AL880" s="2">
        <f t="shared" si="193"/>
        <v>5010001</v>
      </c>
      <c r="AN880" s="70" t="str">
        <f t="shared" si="200"/>
        <v>1900-01-00</v>
      </c>
      <c r="AO880" s="2" t="str">
        <f t="shared" si="194"/>
        <v/>
      </c>
      <c r="AP880" s="2" t="e">
        <f>VLOOKUP(C880,GLAPS정리!$AX$2:$AZ$17,3,0)</f>
        <v>#N/A</v>
      </c>
      <c r="AR880" s="2">
        <f t="shared" si="201"/>
        <v>0</v>
      </c>
      <c r="AX880" s="2" t="e">
        <f>VLOOKUP(L880,GLAPS정리!$V$3:$W$180,2,0)</f>
        <v>#N/A</v>
      </c>
      <c r="BM880" s="2" t="str">
        <f t="shared" si="195"/>
        <v xml:space="preserve"> </v>
      </c>
      <c r="BN880" s="2">
        <f t="shared" si="196"/>
        <v>1</v>
      </c>
      <c r="BR880" s="2" t="str">
        <f t="shared" si="197"/>
        <v/>
      </c>
      <c r="BS880" s="2" t="str">
        <f t="shared" si="198"/>
        <v/>
      </c>
      <c r="BV880" s="2" t="e">
        <f>VLOOKUP(O880,GLAPS정리!$BH$2:$BI$94,2,0)</f>
        <v>#N/A</v>
      </c>
      <c r="BW880" s="2" t="str">
        <f>IF(OR(Z880="동원",Z880="세방",Z880="한타"),"",IFERROR(INDEX(GLAPS정리!$BI$2:$BI$101,MATCH(Z880,GLAPS정리!$BH$2:$BH$101,0)),""))</f>
        <v/>
      </c>
      <c r="BX880" s="2" t="str">
        <f>IF(Z880="","",IFERROR(VLOOKUP(Z880,GLAPS정리!$AX$2:$AZ$17,3,0),""))</f>
        <v/>
      </c>
      <c r="BZ880" s="2" t="e">
        <f>VLOOKUP(H880,GLAPS정리!$L$3:$O$133,2,0)</f>
        <v>#N/A</v>
      </c>
      <c r="CA880" s="2" t="str">
        <f t="shared" si="199"/>
        <v/>
      </c>
      <c r="CL880" s="2" t="e">
        <f>VLOOKUP(AI880,GLAPS정리!$BT$3:$BV$26,3,0)</f>
        <v>#N/A</v>
      </c>
    </row>
    <row r="881" spans="2:90" ht="20.45" customHeight="1">
      <c r="B881" s="13"/>
      <c r="G881" s="3"/>
      <c r="J881" s="3"/>
      <c r="Q881" s="3" t="str">
        <f t="shared" si="188"/>
        <v/>
      </c>
      <c r="R881" s="3" t="str">
        <f t="shared" si="189"/>
        <v/>
      </c>
      <c r="S881" s="3" t="str">
        <f t="shared" si="190"/>
        <v/>
      </c>
      <c r="X881" s="13"/>
      <c r="Y881" s="13"/>
      <c r="Z881" s="91"/>
      <c r="AC881" s="2">
        <f t="shared" si="191"/>
        <v>20</v>
      </c>
      <c r="AD881" s="2" t="str">
        <f>IFERROR(INDEX(GLAPS정리!$D$2:$D$50,MATCH(I881,GLAPS정리!$A$2:$A$50,0)),IFERROR(INDEX(GLAPS정리!$D$2:$D$50,MATCH(I881,GLAPS정리!$B$2:$B$50,0)),""))</f>
        <v/>
      </c>
      <c r="AF881" s="2" t="str">
        <f t="shared" si="192"/>
        <v>KR10</v>
      </c>
      <c r="AI881" s="2" t="e">
        <f>VLOOKUP(F881,GLAPS정리!$G$3:$J$114,2,0)</f>
        <v>#N/A</v>
      </c>
      <c r="AJ881" s="2" t="e">
        <f>IF(Z881="울산정일","KRONS",IF(Z881="울산신항","KRUSN",IF(OR(Z881="선광종합물류(인천여객)",Z881="인천여객(인천여객)"),"KRINF",IF(OR(Z881="선광인천보세(인천신)",Z881="한진인천(인천신)",Z881="선광인천신항(인천신)",Z881="인천더로지스(인천신)"),"KRINN",IF(OR(Z881="인천진아(인천항)",Z881="인천E1(인천항)",Z881="인천SM경인터미널(인천항)",Z881="인천항(인천항)",Z881="인천우련(인천항)",Z881="인천항8부두(인천항)"),"KRINC",VLOOKUP(K881,GLAPS정리!$BB$2:$BC$33,2,0))))))</f>
        <v>#N/A</v>
      </c>
      <c r="AL881" s="2">
        <f t="shared" si="193"/>
        <v>5010001</v>
      </c>
      <c r="AN881" s="70" t="str">
        <f t="shared" si="200"/>
        <v>1900-01-00</v>
      </c>
      <c r="AO881" s="2" t="str">
        <f t="shared" si="194"/>
        <v/>
      </c>
      <c r="AP881" s="2" t="e">
        <f>VLOOKUP(C881,GLAPS정리!$AX$2:$AZ$17,3,0)</f>
        <v>#N/A</v>
      </c>
      <c r="AR881" s="2">
        <f t="shared" si="201"/>
        <v>0</v>
      </c>
      <c r="AX881" s="2" t="e">
        <f>VLOOKUP(L881,GLAPS정리!$V$3:$W$180,2,0)</f>
        <v>#N/A</v>
      </c>
      <c r="BM881" s="2" t="str">
        <f t="shared" si="195"/>
        <v xml:space="preserve"> </v>
      </c>
      <c r="BN881" s="2">
        <f t="shared" si="196"/>
        <v>1</v>
      </c>
      <c r="BR881" s="2" t="str">
        <f t="shared" si="197"/>
        <v/>
      </c>
      <c r="BS881" s="2" t="str">
        <f t="shared" si="198"/>
        <v/>
      </c>
      <c r="BV881" s="2" t="e">
        <f>VLOOKUP(O881,GLAPS정리!$BH$2:$BI$94,2,0)</f>
        <v>#N/A</v>
      </c>
      <c r="BW881" s="2" t="str">
        <f>IF(OR(Z881="동원",Z881="세방",Z881="한타"),"",IFERROR(INDEX(GLAPS정리!$BI$2:$BI$101,MATCH(Z881,GLAPS정리!$BH$2:$BH$101,0)),""))</f>
        <v/>
      </c>
      <c r="BX881" s="2" t="str">
        <f>IF(Z881="","",IFERROR(VLOOKUP(Z881,GLAPS정리!$AX$2:$AZ$17,3,0),""))</f>
        <v/>
      </c>
      <c r="BZ881" s="2" t="e">
        <f>VLOOKUP(H881,GLAPS정리!$L$3:$O$133,2,0)</f>
        <v>#N/A</v>
      </c>
      <c r="CA881" s="2" t="str">
        <f t="shared" si="199"/>
        <v/>
      </c>
      <c r="CL881" s="2" t="e">
        <f>VLOOKUP(AI881,GLAPS정리!$BT$3:$BV$26,3,0)</f>
        <v>#N/A</v>
      </c>
    </row>
    <row r="882" spans="2:90" ht="20.45" customHeight="1">
      <c r="B882" s="13"/>
      <c r="G882" s="3"/>
      <c r="J882" s="3"/>
      <c r="Q882" s="3" t="str">
        <f t="shared" si="188"/>
        <v/>
      </c>
      <c r="R882" s="3" t="str">
        <f t="shared" si="189"/>
        <v/>
      </c>
      <c r="S882" s="3" t="str">
        <f t="shared" si="190"/>
        <v/>
      </c>
      <c r="X882" s="13"/>
      <c r="Y882" s="13"/>
      <c r="Z882" s="91"/>
      <c r="AC882" s="2">
        <f t="shared" si="191"/>
        <v>20</v>
      </c>
      <c r="AD882" s="2" t="str">
        <f>IFERROR(INDEX(GLAPS정리!$D$2:$D$50,MATCH(I882,GLAPS정리!$A$2:$A$50,0)),IFERROR(INDEX(GLAPS정리!$D$2:$D$50,MATCH(I882,GLAPS정리!$B$2:$B$50,0)),""))</f>
        <v/>
      </c>
      <c r="AF882" s="2" t="str">
        <f t="shared" si="192"/>
        <v>KR10</v>
      </c>
      <c r="AI882" s="2" t="e">
        <f>VLOOKUP(F882,GLAPS정리!$G$3:$J$114,2,0)</f>
        <v>#N/A</v>
      </c>
      <c r="AJ882" s="2" t="e">
        <f>IF(Z882="울산정일","KRONS",IF(Z882="울산신항","KRUSN",IF(OR(Z882="선광종합물류(인천여객)",Z882="인천여객(인천여객)"),"KRINF",IF(OR(Z882="선광인천보세(인천신)",Z882="한진인천(인천신)",Z882="선광인천신항(인천신)",Z882="인천더로지스(인천신)"),"KRINN",IF(OR(Z882="인천진아(인천항)",Z882="인천E1(인천항)",Z882="인천SM경인터미널(인천항)",Z882="인천항(인천항)",Z882="인천우련(인천항)",Z882="인천항8부두(인천항)"),"KRINC",VLOOKUP(K882,GLAPS정리!$BB$2:$BC$33,2,0))))))</f>
        <v>#N/A</v>
      </c>
      <c r="AL882" s="2">
        <f t="shared" si="193"/>
        <v>5010001</v>
      </c>
      <c r="AN882" s="70" t="str">
        <f t="shared" si="200"/>
        <v>1900-01-00</v>
      </c>
      <c r="AO882" s="2" t="str">
        <f t="shared" si="194"/>
        <v/>
      </c>
      <c r="AP882" s="2" t="e">
        <f>VLOOKUP(C882,GLAPS정리!$AX$2:$AZ$17,3,0)</f>
        <v>#N/A</v>
      </c>
      <c r="AR882" s="2">
        <f t="shared" si="201"/>
        <v>0</v>
      </c>
      <c r="AX882" s="2" t="e">
        <f>VLOOKUP(L882,GLAPS정리!$V$3:$W$180,2,0)</f>
        <v>#N/A</v>
      </c>
      <c r="BM882" s="2" t="str">
        <f t="shared" si="195"/>
        <v xml:space="preserve"> </v>
      </c>
      <c r="BN882" s="2">
        <f t="shared" si="196"/>
        <v>1</v>
      </c>
      <c r="BR882" s="2" t="str">
        <f t="shared" si="197"/>
        <v/>
      </c>
      <c r="BS882" s="2" t="str">
        <f t="shared" si="198"/>
        <v/>
      </c>
      <c r="BV882" s="2" t="e">
        <f>VLOOKUP(O882,GLAPS정리!$BH$2:$BI$94,2,0)</f>
        <v>#N/A</v>
      </c>
      <c r="BW882" s="2" t="str">
        <f>IF(OR(Z882="동원",Z882="세방",Z882="한타"),"",IFERROR(INDEX(GLAPS정리!$BI$2:$BI$101,MATCH(Z882,GLAPS정리!$BH$2:$BH$101,0)),""))</f>
        <v/>
      </c>
      <c r="BX882" s="2" t="str">
        <f>IF(Z882="","",IFERROR(VLOOKUP(Z882,GLAPS정리!$AX$2:$AZ$17,3,0),""))</f>
        <v/>
      </c>
      <c r="BZ882" s="2" t="e">
        <f>VLOOKUP(H882,GLAPS정리!$L$3:$O$133,2,0)</f>
        <v>#N/A</v>
      </c>
      <c r="CA882" s="2" t="str">
        <f t="shared" si="199"/>
        <v/>
      </c>
      <c r="CL882" s="2" t="e">
        <f>VLOOKUP(AI882,GLAPS정리!$BT$3:$BV$26,3,0)</f>
        <v>#N/A</v>
      </c>
    </row>
    <row r="883" spans="2:90" ht="20.45" customHeight="1">
      <c r="B883" s="13"/>
      <c r="G883" s="3"/>
      <c r="J883" s="3"/>
      <c r="Q883" s="3" t="str">
        <f t="shared" si="188"/>
        <v/>
      </c>
      <c r="R883" s="3" t="str">
        <f t="shared" si="189"/>
        <v/>
      </c>
      <c r="S883" s="3" t="str">
        <f t="shared" si="190"/>
        <v/>
      </c>
      <c r="X883" s="13"/>
      <c r="Y883" s="13"/>
      <c r="Z883" s="91"/>
      <c r="AC883" s="2">
        <f t="shared" si="191"/>
        <v>20</v>
      </c>
      <c r="AD883" s="2" t="str">
        <f>IFERROR(INDEX(GLAPS정리!$D$2:$D$50,MATCH(I883,GLAPS정리!$A$2:$A$50,0)),IFERROR(INDEX(GLAPS정리!$D$2:$D$50,MATCH(I883,GLAPS정리!$B$2:$B$50,0)),""))</f>
        <v/>
      </c>
      <c r="AF883" s="2" t="str">
        <f t="shared" si="192"/>
        <v>KR10</v>
      </c>
      <c r="AI883" s="2" t="e">
        <f>VLOOKUP(F883,GLAPS정리!$G$3:$J$114,2,0)</f>
        <v>#N/A</v>
      </c>
      <c r="AJ883" s="2" t="e">
        <f>IF(Z883="울산정일","KRONS",IF(Z883="울산신항","KRUSN",IF(OR(Z883="선광종합물류(인천여객)",Z883="인천여객(인천여객)"),"KRINF",IF(OR(Z883="선광인천보세(인천신)",Z883="한진인천(인천신)",Z883="선광인천신항(인천신)",Z883="인천더로지스(인천신)"),"KRINN",IF(OR(Z883="인천진아(인천항)",Z883="인천E1(인천항)",Z883="인천SM경인터미널(인천항)",Z883="인천항(인천항)",Z883="인천우련(인천항)",Z883="인천항8부두(인천항)"),"KRINC",VLOOKUP(K883,GLAPS정리!$BB$2:$BC$33,2,0))))))</f>
        <v>#N/A</v>
      </c>
      <c r="AL883" s="2">
        <f t="shared" si="193"/>
        <v>5010001</v>
      </c>
      <c r="AN883" s="70" t="str">
        <f t="shared" si="200"/>
        <v>1900-01-00</v>
      </c>
      <c r="AO883" s="2" t="str">
        <f t="shared" si="194"/>
        <v/>
      </c>
      <c r="AP883" s="2" t="e">
        <f>VLOOKUP(C883,GLAPS정리!$AX$2:$AZ$17,3,0)</f>
        <v>#N/A</v>
      </c>
      <c r="AR883" s="2">
        <f t="shared" si="201"/>
        <v>0</v>
      </c>
      <c r="AX883" s="2" t="e">
        <f>VLOOKUP(L883,GLAPS정리!$V$3:$W$180,2,0)</f>
        <v>#N/A</v>
      </c>
      <c r="BM883" s="2" t="str">
        <f t="shared" si="195"/>
        <v xml:space="preserve"> </v>
      </c>
      <c r="BN883" s="2">
        <f t="shared" si="196"/>
        <v>1</v>
      </c>
      <c r="BR883" s="2" t="str">
        <f t="shared" si="197"/>
        <v/>
      </c>
      <c r="BS883" s="2" t="str">
        <f t="shared" si="198"/>
        <v/>
      </c>
      <c r="BV883" s="2" t="e">
        <f>VLOOKUP(O883,GLAPS정리!$BH$2:$BI$94,2,0)</f>
        <v>#N/A</v>
      </c>
      <c r="BW883" s="2" t="str">
        <f>IF(OR(Z883="동원",Z883="세방",Z883="한타"),"",IFERROR(INDEX(GLAPS정리!$BI$2:$BI$101,MATCH(Z883,GLAPS정리!$BH$2:$BH$101,0)),""))</f>
        <v/>
      </c>
      <c r="BX883" s="2" t="str">
        <f>IF(Z883="","",IFERROR(VLOOKUP(Z883,GLAPS정리!$AX$2:$AZ$17,3,0),""))</f>
        <v/>
      </c>
      <c r="BZ883" s="2" t="e">
        <f>VLOOKUP(H883,GLAPS정리!$L$3:$O$133,2,0)</f>
        <v>#N/A</v>
      </c>
      <c r="CA883" s="2" t="str">
        <f t="shared" si="199"/>
        <v/>
      </c>
      <c r="CL883" s="2" t="e">
        <f>VLOOKUP(AI883,GLAPS정리!$BT$3:$BV$26,3,0)</f>
        <v>#N/A</v>
      </c>
    </row>
    <row r="884" spans="2:90" ht="20.45" customHeight="1">
      <c r="B884" s="13"/>
      <c r="G884" s="3"/>
      <c r="J884" s="3"/>
      <c r="Q884" s="3" t="str">
        <f t="shared" si="188"/>
        <v/>
      </c>
      <c r="R884" s="3" t="str">
        <f t="shared" si="189"/>
        <v/>
      </c>
      <c r="S884" s="3" t="str">
        <f t="shared" si="190"/>
        <v/>
      </c>
      <c r="X884" s="13"/>
      <c r="Y884" s="13"/>
      <c r="Z884" s="91"/>
      <c r="AC884" s="2">
        <f t="shared" si="191"/>
        <v>20</v>
      </c>
      <c r="AD884" s="2" t="str">
        <f>IFERROR(INDEX(GLAPS정리!$D$2:$D$50,MATCH(I884,GLAPS정리!$A$2:$A$50,0)),IFERROR(INDEX(GLAPS정리!$D$2:$D$50,MATCH(I884,GLAPS정리!$B$2:$B$50,0)),""))</f>
        <v/>
      </c>
      <c r="AF884" s="2" t="str">
        <f t="shared" si="192"/>
        <v>KR10</v>
      </c>
      <c r="AI884" s="2" t="e">
        <f>VLOOKUP(F884,GLAPS정리!$G$3:$J$114,2,0)</f>
        <v>#N/A</v>
      </c>
      <c r="AJ884" s="2" t="e">
        <f>IF(Z884="울산정일","KRONS",IF(Z884="울산신항","KRUSN",IF(OR(Z884="선광종합물류(인천여객)",Z884="인천여객(인천여객)"),"KRINF",IF(OR(Z884="선광인천보세(인천신)",Z884="한진인천(인천신)",Z884="선광인천신항(인천신)",Z884="인천더로지스(인천신)"),"KRINN",IF(OR(Z884="인천진아(인천항)",Z884="인천E1(인천항)",Z884="인천SM경인터미널(인천항)",Z884="인천항(인천항)",Z884="인천우련(인천항)",Z884="인천항8부두(인천항)"),"KRINC",VLOOKUP(K884,GLAPS정리!$BB$2:$BC$33,2,0))))))</f>
        <v>#N/A</v>
      </c>
      <c r="AL884" s="2">
        <f t="shared" si="193"/>
        <v>5010001</v>
      </c>
      <c r="AN884" s="70" t="str">
        <f t="shared" si="200"/>
        <v>1900-01-00</v>
      </c>
      <c r="AO884" s="2" t="str">
        <f t="shared" si="194"/>
        <v/>
      </c>
      <c r="AP884" s="2" t="e">
        <f>VLOOKUP(C884,GLAPS정리!$AX$2:$AZ$17,3,0)</f>
        <v>#N/A</v>
      </c>
      <c r="AR884" s="2">
        <f t="shared" si="201"/>
        <v>0</v>
      </c>
      <c r="AX884" s="2" t="e">
        <f>VLOOKUP(L884,GLAPS정리!$V$3:$W$180,2,0)</f>
        <v>#N/A</v>
      </c>
      <c r="BM884" s="2" t="str">
        <f t="shared" si="195"/>
        <v xml:space="preserve"> </v>
      </c>
      <c r="BN884" s="2">
        <f t="shared" si="196"/>
        <v>1</v>
      </c>
      <c r="BR884" s="2" t="str">
        <f t="shared" si="197"/>
        <v/>
      </c>
      <c r="BS884" s="2" t="str">
        <f t="shared" si="198"/>
        <v/>
      </c>
      <c r="BV884" s="2" t="e">
        <f>VLOOKUP(O884,GLAPS정리!$BH$2:$BI$94,2,0)</f>
        <v>#N/A</v>
      </c>
      <c r="BW884" s="2" t="str">
        <f>IF(OR(Z884="동원",Z884="세방",Z884="한타"),"",IFERROR(INDEX(GLAPS정리!$BI$2:$BI$101,MATCH(Z884,GLAPS정리!$BH$2:$BH$101,0)),""))</f>
        <v/>
      </c>
      <c r="BX884" s="2" t="str">
        <f>IF(Z884="","",IFERROR(VLOOKUP(Z884,GLAPS정리!$AX$2:$AZ$17,3,0),""))</f>
        <v/>
      </c>
      <c r="BZ884" s="2" t="e">
        <f>VLOOKUP(H884,GLAPS정리!$L$3:$O$133,2,0)</f>
        <v>#N/A</v>
      </c>
      <c r="CA884" s="2" t="str">
        <f t="shared" si="199"/>
        <v/>
      </c>
      <c r="CL884" s="2" t="e">
        <f>VLOOKUP(AI884,GLAPS정리!$BT$3:$BV$26,3,0)</f>
        <v>#N/A</v>
      </c>
    </row>
    <row r="885" spans="2:90" ht="20.45" customHeight="1">
      <c r="B885" s="13"/>
      <c r="G885" s="3"/>
      <c r="J885" s="3"/>
      <c r="Q885" s="3" t="str">
        <f t="shared" si="188"/>
        <v/>
      </c>
      <c r="R885" s="3" t="str">
        <f t="shared" si="189"/>
        <v/>
      </c>
      <c r="S885" s="3" t="str">
        <f t="shared" si="190"/>
        <v/>
      </c>
      <c r="X885" s="13"/>
      <c r="Y885" s="13"/>
      <c r="Z885" s="91"/>
      <c r="AC885" s="2">
        <f t="shared" si="191"/>
        <v>20</v>
      </c>
      <c r="AD885" s="2" t="str">
        <f>IFERROR(INDEX(GLAPS정리!$D$2:$D$50,MATCH(I885,GLAPS정리!$A$2:$A$50,0)),IFERROR(INDEX(GLAPS정리!$D$2:$D$50,MATCH(I885,GLAPS정리!$B$2:$B$50,0)),""))</f>
        <v/>
      </c>
      <c r="AF885" s="2" t="str">
        <f t="shared" si="192"/>
        <v>KR10</v>
      </c>
      <c r="AI885" s="2" t="e">
        <f>VLOOKUP(F885,GLAPS정리!$G$3:$J$114,2,0)</f>
        <v>#N/A</v>
      </c>
      <c r="AJ885" s="2" t="e">
        <f>IF(Z885="울산정일","KRONS",IF(Z885="울산신항","KRUSN",IF(OR(Z885="선광종합물류(인천여객)",Z885="인천여객(인천여객)"),"KRINF",IF(OR(Z885="선광인천보세(인천신)",Z885="한진인천(인천신)",Z885="선광인천신항(인천신)",Z885="인천더로지스(인천신)"),"KRINN",IF(OR(Z885="인천진아(인천항)",Z885="인천E1(인천항)",Z885="인천SM경인터미널(인천항)",Z885="인천항(인천항)",Z885="인천우련(인천항)",Z885="인천항8부두(인천항)"),"KRINC",VLOOKUP(K885,GLAPS정리!$BB$2:$BC$33,2,0))))))</f>
        <v>#N/A</v>
      </c>
      <c r="AL885" s="2">
        <f t="shared" si="193"/>
        <v>5010001</v>
      </c>
      <c r="AN885" s="70" t="str">
        <f t="shared" si="200"/>
        <v>1900-01-00</v>
      </c>
      <c r="AO885" s="2" t="str">
        <f t="shared" si="194"/>
        <v/>
      </c>
      <c r="AP885" s="2" t="e">
        <f>VLOOKUP(C885,GLAPS정리!$AX$2:$AZ$17,3,0)</f>
        <v>#N/A</v>
      </c>
      <c r="AR885" s="2">
        <f t="shared" si="201"/>
        <v>0</v>
      </c>
      <c r="AX885" s="2" t="e">
        <f>VLOOKUP(L885,GLAPS정리!$V$3:$W$180,2,0)</f>
        <v>#N/A</v>
      </c>
      <c r="BM885" s="2" t="str">
        <f t="shared" si="195"/>
        <v xml:space="preserve"> </v>
      </c>
      <c r="BN885" s="2">
        <f t="shared" si="196"/>
        <v>1</v>
      </c>
      <c r="BR885" s="2" t="str">
        <f t="shared" si="197"/>
        <v/>
      </c>
      <c r="BS885" s="2" t="str">
        <f t="shared" si="198"/>
        <v/>
      </c>
      <c r="BV885" s="2" t="e">
        <f>VLOOKUP(O885,GLAPS정리!$BH$2:$BI$94,2,0)</f>
        <v>#N/A</v>
      </c>
      <c r="BW885" s="2" t="str">
        <f>IF(OR(Z885="동원",Z885="세방",Z885="한타"),"",IFERROR(INDEX(GLAPS정리!$BI$2:$BI$101,MATCH(Z885,GLAPS정리!$BH$2:$BH$101,0)),""))</f>
        <v/>
      </c>
      <c r="BX885" s="2" t="str">
        <f>IF(Z885="","",IFERROR(VLOOKUP(Z885,GLAPS정리!$AX$2:$AZ$17,3,0),""))</f>
        <v/>
      </c>
      <c r="BZ885" s="2" t="e">
        <f>VLOOKUP(H885,GLAPS정리!$L$3:$O$133,2,0)</f>
        <v>#N/A</v>
      </c>
      <c r="CA885" s="2" t="str">
        <f t="shared" si="199"/>
        <v/>
      </c>
      <c r="CL885" s="2" t="e">
        <f>VLOOKUP(AI885,GLAPS정리!$BT$3:$BV$26,3,0)</f>
        <v>#N/A</v>
      </c>
    </row>
    <row r="886" spans="2:90" ht="20.45" customHeight="1">
      <c r="B886" s="13"/>
      <c r="G886" s="3"/>
      <c r="J886" s="3"/>
      <c r="Q886" s="3" t="str">
        <f t="shared" si="188"/>
        <v/>
      </c>
      <c r="R886" s="3" t="str">
        <f t="shared" si="189"/>
        <v/>
      </c>
      <c r="S886" s="3" t="str">
        <f t="shared" si="190"/>
        <v/>
      </c>
      <c r="X886" s="13"/>
      <c r="Y886" s="13"/>
      <c r="Z886" s="91"/>
      <c r="AC886" s="2">
        <f t="shared" si="191"/>
        <v>20</v>
      </c>
      <c r="AD886" s="2" t="str">
        <f>IFERROR(INDEX(GLAPS정리!$D$2:$D$50,MATCH(I886,GLAPS정리!$A$2:$A$50,0)),IFERROR(INDEX(GLAPS정리!$D$2:$D$50,MATCH(I886,GLAPS정리!$B$2:$B$50,0)),""))</f>
        <v/>
      </c>
      <c r="AF886" s="2" t="str">
        <f t="shared" si="192"/>
        <v>KR10</v>
      </c>
      <c r="AI886" s="2" t="e">
        <f>VLOOKUP(F886,GLAPS정리!$G$3:$J$114,2,0)</f>
        <v>#N/A</v>
      </c>
      <c r="AJ886" s="2" t="e">
        <f>IF(Z886="울산정일","KRONS",IF(Z886="울산신항","KRUSN",IF(OR(Z886="선광종합물류(인천여객)",Z886="인천여객(인천여객)"),"KRINF",IF(OR(Z886="선광인천보세(인천신)",Z886="한진인천(인천신)",Z886="선광인천신항(인천신)",Z886="인천더로지스(인천신)"),"KRINN",IF(OR(Z886="인천진아(인천항)",Z886="인천E1(인천항)",Z886="인천SM경인터미널(인천항)",Z886="인천항(인천항)",Z886="인천우련(인천항)",Z886="인천항8부두(인천항)"),"KRINC",VLOOKUP(K886,GLAPS정리!$BB$2:$BC$33,2,0))))))</f>
        <v>#N/A</v>
      </c>
      <c r="AL886" s="2">
        <f t="shared" si="193"/>
        <v>5010001</v>
      </c>
      <c r="AN886" s="70" t="str">
        <f t="shared" si="200"/>
        <v>1900-01-00</v>
      </c>
      <c r="AO886" s="2" t="str">
        <f t="shared" si="194"/>
        <v/>
      </c>
      <c r="AP886" s="2" t="e">
        <f>VLOOKUP(C886,GLAPS정리!$AX$2:$AZ$17,3,0)</f>
        <v>#N/A</v>
      </c>
      <c r="AR886" s="2">
        <f t="shared" si="201"/>
        <v>0</v>
      </c>
      <c r="AX886" s="2" t="e">
        <f>VLOOKUP(L886,GLAPS정리!$V$3:$W$180,2,0)</f>
        <v>#N/A</v>
      </c>
      <c r="BM886" s="2" t="str">
        <f t="shared" si="195"/>
        <v xml:space="preserve"> </v>
      </c>
      <c r="BN886" s="2">
        <f t="shared" si="196"/>
        <v>1</v>
      </c>
      <c r="BR886" s="2" t="str">
        <f t="shared" si="197"/>
        <v/>
      </c>
      <c r="BS886" s="2" t="str">
        <f t="shared" si="198"/>
        <v/>
      </c>
      <c r="BV886" s="2" t="e">
        <f>VLOOKUP(O886,GLAPS정리!$BH$2:$BI$94,2,0)</f>
        <v>#N/A</v>
      </c>
      <c r="BW886" s="2" t="str">
        <f>IF(OR(Z886="동원",Z886="세방",Z886="한타"),"",IFERROR(INDEX(GLAPS정리!$BI$2:$BI$101,MATCH(Z886,GLAPS정리!$BH$2:$BH$101,0)),""))</f>
        <v/>
      </c>
      <c r="BX886" s="2" t="str">
        <f>IF(Z886="","",IFERROR(VLOOKUP(Z886,GLAPS정리!$AX$2:$AZ$17,3,0),""))</f>
        <v/>
      </c>
      <c r="BZ886" s="2" t="e">
        <f>VLOOKUP(H886,GLAPS정리!$L$3:$O$133,2,0)</f>
        <v>#N/A</v>
      </c>
      <c r="CA886" s="2" t="str">
        <f t="shared" si="199"/>
        <v/>
      </c>
      <c r="CL886" s="2" t="e">
        <f>VLOOKUP(AI886,GLAPS정리!$BT$3:$BV$26,3,0)</f>
        <v>#N/A</v>
      </c>
    </row>
    <row r="887" spans="2:90" ht="20.45" customHeight="1">
      <c r="B887" s="13"/>
      <c r="G887" s="3"/>
      <c r="J887" s="3"/>
      <c r="Q887" s="3" t="str">
        <f t="shared" si="188"/>
        <v/>
      </c>
      <c r="R887" s="3" t="str">
        <f t="shared" si="189"/>
        <v/>
      </c>
      <c r="S887" s="3" t="str">
        <f t="shared" si="190"/>
        <v/>
      </c>
      <c r="X887" s="13"/>
      <c r="Y887" s="13"/>
      <c r="Z887" s="91"/>
      <c r="AC887" s="2">
        <f t="shared" si="191"/>
        <v>20</v>
      </c>
      <c r="AD887" s="2" t="str">
        <f>IFERROR(INDEX(GLAPS정리!$D$2:$D$50,MATCH(I887,GLAPS정리!$A$2:$A$50,0)),IFERROR(INDEX(GLAPS정리!$D$2:$D$50,MATCH(I887,GLAPS정리!$B$2:$B$50,0)),""))</f>
        <v/>
      </c>
      <c r="AF887" s="2" t="str">
        <f t="shared" si="192"/>
        <v>KR10</v>
      </c>
      <c r="AI887" s="2" t="e">
        <f>VLOOKUP(F887,GLAPS정리!$G$3:$J$114,2,0)</f>
        <v>#N/A</v>
      </c>
      <c r="AJ887" s="2" t="e">
        <f>IF(Z887="울산정일","KRONS",IF(Z887="울산신항","KRUSN",IF(OR(Z887="선광종합물류(인천여객)",Z887="인천여객(인천여객)"),"KRINF",IF(OR(Z887="선광인천보세(인천신)",Z887="한진인천(인천신)",Z887="선광인천신항(인천신)",Z887="인천더로지스(인천신)"),"KRINN",IF(OR(Z887="인천진아(인천항)",Z887="인천E1(인천항)",Z887="인천SM경인터미널(인천항)",Z887="인천항(인천항)",Z887="인천우련(인천항)",Z887="인천항8부두(인천항)"),"KRINC",VLOOKUP(K887,GLAPS정리!$BB$2:$BC$33,2,0))))))</f>
        <v>#N/A</v>
      </c>
      <c r="AL887" s="2">
        <f t="shared" si="193"/>
        <v>5010001</v>
      </c>
      <c r="AN887" s="70" t="str">
        <f t="shared" si="200"/>
        <v>1900-01-00</v>
      </c>
      <c r="AO887" s="2" t="str">
        <f t="shared" si="194"/>
        <v/>
      </c>
      <c r="AP887" s="2" t="e">
        <f>VLOOKUP(C887,GLAPS정리!$AX$2:$AZ$17,3,0)</f>
        <v>#N/A</v>
      </c>
      <c r="AR887" s="2">
        <f t="shared" si="201"/>
        <v>0</v>
      </c>
      <c r="AX887" s="2" t="e">
        <f>VLOOKUP(L887,GLAPS정리!$V$3:$W$180,2,0)</f>
        <v>#N/A</v>
      </c>
      <c r="BM887" s="2" t="str">
        <f t="shared" si="195"/>
        <v xml:space="preserve"> </v>
      </c>
      <c r="BN887" s="2">
        <f t="shared" si="196"/>
        <v>1</v>
      </c>
      <c r="BR887" s="2" t="str">
        <f t="shared" si="197"/>
        <v/>
      </c>
      <c r="BS887" s="2" t="str">
        <f t="shared" si="198"/>
        <v/>
      </c>
      <c r="BV887" s="2" t="e">
        <f>VLOOKUP(O887,GLAPS정리!$BH$2:$BI$94,2,0)</f>
        <v>#N/A</v>
      </c>
      <c r="BW887" s="2" t="str">
        <f>IF(OR(Z887="동원",Z887="세방",Z887="한타"),"",IFERROR(INDEX(GLAPS정리!$BI$2:$BI$101,MATCH(Z887,GLAPS정리!$BH$2:$BH$101,0)),""))</f>
        <v/>
      </c>
      <c r="BX887" s="2" t="str">
        <f>IF(Z887="","",IFERROR(VLOOKUP(Z887,GLAPS정리!$AX$2:$AZ$17,3,0),""))</f>
        <v/>
      </c>
      <c r="BZ887" s="2" t="e">
        <f>VLOOKUP(H887,GLAPS정리!$L$3:$O$133,2,0)</f>
        <v>#N/A</v>
      </c>
      <c r="CA887" s="2" t="str">
        <f t="shared" si="199"/>
        <v/>
      </c>
      <c r="CL887" s="2" t="e">
        <f>VLOOKUP(AI887,GLAPS정리!$BT$3:$BV$26,3,0)</f>
        <v>#N/A</v>
      </c>
    </row>
    <row r="888" spans="2:90" ht="20.45" customHeight="1">
      <c r="B888" s="13"/>
      <c r="G888" s="3"/>
      <c r="J888" s="3"/>
      <c r="Q888" s="3" t="str">
        <f t="shared" si="188"/>
        <v/>
      </c>
      <c r="R888" s="3" t="str">
        <f t="shared" si="189"/>
        <v/>
      </c>
      <c r="S888" s="3" t="str">
        <f t="shared" si="190"/>
        <v/>
      </c>
      <c r="X888" s="13"/>
      <c r="Y888" s="13"/>
      <c r="Z888" s="91"/>
      <c r="AC888" s="2">
        <f t="shared" si="191"/>
        <v>20</v>
      </c>
      <c r="AD888" s="2" t="str">
        <f>IFERROR(INDEX(GLAPS정리!$D$2:$D$50,MATCH(I888,GLAPS정리!$A$2:$A$50,0)),IFERROR(INDEX(GLAPS정리!$D$2:$D$50,MATCH(I888,GLAPS정리!$B$2:$B$50,0)),""))</f>
        <v/>
      </c>
      <c r="AF888" s="2" t="str">
        <f t="shared" si="192"/>
        <v>KR10</v>
      </c>
      <c r="AI888" s="2" t="e">
        <f>VLOOKUP(F888,GLAPS정리!$G$3:$J$114,2,0)</f>
        <v>#N/A</v>
      </c>
      <c r="AJ888" s="2" t="e">
        <f>IF(Z888="울산정일","KRONS",IF(Z888="울산신항","KRUSN",IF(OR(Z888="선광종합물류(인천여객)",Z888="인천여객(인천여객)"),"KRINF",IF(OR(Z888="선광인천보세(인천신)",Z888="한진인천(인천신)",Z888="선광인천신항(인천신)",Z888="인천더로지스(인천신)"),"KRINN",IF(OR(Z888="인천진아(인천항)",Z888="인천E1(인천항)",Z888="인천SM경인터미널(인천항)",Z888="인천항(인천항)",Z888="인천우련(인천항)",Z888="인천항8부두(인천항)"),"KRINC",VLOOKUP(K888,GLAPS정리!$BB$2:$BC$33,2,0))))))</f>
        <v>#N/A</v>
      </c>
      <c r="AL888" s="2">
        <f t="shared" si="193"/>
        <v>5010001</v>
      </c>
      <c r="AN888" s="70" t="str">
        <f t="shared" si="200"/>
        <v>1900-01-00</v>
      </c>
      <c r="AO888" s="2" t="str">
        <f t="shared" si="194"/>
        <v/>
      </c>
      <c r="AP888" s="2" t="e">
        <f>VLOOKUP(C888,GLAPS정리!$AX$2:$AZ$17,3,0)</f>
        <v>#N/A</v>
      </c>
      <c r="AR888" s="2">
        <f t="shared" si="201"/>
        <v>0</v>
      </c>
      <c r="AX888" s="2" t="e">
        <f>VLOOKUP(L888,GLAPS정리!$V$3:$W$180,2,0)</f>
        <v>#N/A</v>
      </c>
      <c r="BM888" s="2" t="str">
        <f t="shared" si="195"/>
        <v xml:space="preserve"> </v>
      </c>
      <c r="BN888" s="2">
        <f t="shared" si="196"/>
        <v>1</v>
      </c>
      <c r="BR888" s="2" t="str">
        <f t="shared" si="197"/>
        <v/>
      </c>
      <c r="BS888" s="2" t="str">
        <f t="shared" si="198"/>
        <v/>
      </c>
      <c r="BV888" s="2" t="e">
        <f>VLOOKUP(O888,GLAPS정리!$BH$2:$BI$94,2,0)</f>
        <v>#N/A</v>
      </c>
      <c r="BW888" s="2" t="str">
        <f>IF(OR(Z888="동원",Z888="세방",Z888="한타"),"",IFERROR(INDEX(GLAPS정리!$BI$2:$BI$101,MATCH(Z888,GLAPS정리!$BH$2:$BH$101,0)),""))</f>
        <v/>
      </c>
      <c r="BX888" s="2" t="str">
        <f>IF(Z888="","",IFERROR(VLOOKUP(Z888,GLAPS정리!$AX$2:$AZ$17,3,0),""))</f>
        <v/>
      </c>
      <c r="BZ888" s="2" t="e">
        <f>VLOOKUP(H888,GLAPS정리!$L$3:$O$133,2,0)</f>
        <v>#N/A</v>
      </c>
      <c r="CA888" s="2" t="str">
        <f t="shared" si="199"/>
        <v/>
      </c>
      <c r="CL888" s="2" t="e">
        <f>VLOOKUP(AI888,GLAPS정리!$BT$3:$BV$26,3,0)</f>
        <v>#N/A</v>
      </c>
    </row>
    <row r="889" spans="2:90" ht="20.45" customHeight="1">
      <c r="B889" s="13"/>
      <c r="G889" s="3"/>
      <c r="J889" s="3"/>
      <c r="Q889" s="3" t="str">
        <f t="shared" si="188"/>
        <v/>
      </c>
      <c r="R889" s="3" t="str">
        <f t="shared" si="189"/>
        <v/>
      </c>
      <c r="S889" s="3" t="str">
        <f t="shared" si="190"/>
        <v/>
      </c>
      <c r="X889" s="13"/>
      <c r="Y889" s="13"/>
      <c r="Z889" s="91"/>
      <c r="AC889" s="2">
        <f t="shared" si="191"/>
        <v>20</v>
      </c>
      <c r="AD889" s="2" t="str">
        <f>IFERROR(INDEX(GLAPS정리!$D$2:$D$50,MATCH(I889,GLAPS정리!$A$2:$A$50,0)),IFERROR(INDEX(GLAPS정리!$D$2:$D$50,MATCH(I889,GLAPS정리!$B$2:$B$50,0)),""))</f>
        <v/>
      </c>
      <c r="AF889" s="2" t="str">
        <f t="shared" si="192"/>
        <v>KR10</v>
      </c>
      <c r="AI889" s="2" t="e">
        <f>VLOOKUP(F889,GLAPS정리!$G$3:$J$114,2,0)</f>
        <v>#N/A</v>
      </c>
      <c r="AJ889" s="2" t="e">
        <f>IF(Z889="울산정일","KRONS",IF(Z889="울산신항","KRUSN",IF(OR(Z889="선광종합물류(인천여객)",Z889="인천여객(인천여객)"),"KRINF",IF(OR(Z889="선광인천보세(인천신)",Z889="한진인천(인천신)",Z889="선광인천신항(인천신)",Z889="인천더로지스(인천신)"),"KRINN",IF(OR(Z889="인천진아(인천항)",Z889="인천E1(인천항)",Z889="인천SM경인터미널(인천항)",Z889="인천항(인천항)",Z889="인천우련(인천항)",Z889="인천항8부두(인천항)"),"KRINC",VLOOKUP(K889,GLAPS정리!$BB$2:$BC$33,2,0))))))</f>
        <v>#N/A</v>
      </c>
      <c r="AL889" s="2">
        <f t="shared" si="193"/>
        <v>5010001</v>
      </c>
      <c r="AN889" s="70" t="str">
        <f t="shared" si="200"/>
        <v>1900-01-00</v>
      </c>
      <c r="AO889" s="2" t="str">
        <f t="shared" si="194"/>
        <v/>
      </c>
      <c r="AP889" s="2" t="e">
        <f>VLOOKUP(C889,GLAPS정리!$AX$2:$AZ$17,3,0)</f>
        <v>#N/A</v>
      </c>
      <c r="AR889" s="2">
        <f t="shared" si="201"/>
        <v>0</v>
      </c>
      <c r="AX889" s="2" t="e">
        <f>VLOOKUP(L889,GLAPS정리!$V$3:$W$180,2,0)</f>
        <v>#N/A</v>
      </c>
      <c r="BM889" s="2" t="str">
        <f t="shared" si="195"/>
        <v xml:space="preserve"> </v>
      </c>
      <c r="BN889" s="2">
        <f t="shared" si="196"/>
        <v>1</v>
      </c>
      <c r="BR889" s="2" t="str">
        <f t="shared" si="197"/>
        <v/>
      </c>
      <c r="BS889" s="2" t="str">
        <f t="shared" si="198"/>
        <v/>
      </c>
      <c r="BV889" s="2" t="e">
        <f>VLOOKUP(O889,GLAPS정리!$BH$2:$BI$94,2,0)</f>
        <v>#N/A</v>
      </c>
      <c r="BW889" s="2" t="str">
        <f>IF(OR(Z889="동원",Z889="세방",Z889="한타"),"",IFERROR(INDEX(GLAPS정리!$BI$2:$BI$101,MATCH(Z889,GLAPS정리!$BH$2:$BH$101,0)),""))</f>
        <v/>
      </c>
      <c r="BX889" s="2" t="str">
        <f>IF(Z889="","",IFERROR(VLOOKUP(Z889,GLAPS정리!$AX$2:$AZ$17,3,0),""))</f>
        <v/>
      </c>
      <c r="BZ889" s="2" t="e">
        <f>VLOOKUP(H889,GLAPS정리!$L$3:$O$133,2,0)</f>
        <v>#N/A</v>
      </c>
      <c r="CA889" s="2" t="str">
        <f t="shared" si="199"/>
        <v/>
      </c>
      <c r="CL889" s="2" t="e">
        <f>VLOOKUP(AI889,GLAPS정리!$BT$3:$BV$26,3,0)</f>
        <v>#N/A</v>
      </c>
    </row>
    <row r="890" spans="2:90" ht="20.45" customHeight="1">
      <c r="B890" s="13"/>
      <c r="G890" s="3"/>
      <c r="J890" s="3"/>
      <c r="Q890" s="3" t="str">
        <f t="shared" si="188"/>
        <v/>
      </c>
      <c r="R890" s="3" t="str">
        <f t="shared" si="189"/>
        <v/>
      </c>
      <c r="S890" s="3" t="str">
        <f t="shared" si="190"/>
        <v/>
      </c>
      <c r="X890" s="13"/>
      <c r="Y890" s="13"/>
      <c r="Z890" s="91"/>
      <c r="AC890" s="2">
        <f t="shared" si="191"/>
        <v>20</v>
      </c>
      <c r="AD890" s="2" t="str">
        <f>IFERROR(INDEX(GLAPS정리!$D$2:$D$50,MATCH(I890,GLAPS정리!$A$2:$A$50,0)),IFERROR(INDEX(GLAPS정리!$D$2:$D$50,MATCH(I890,GLAPS정리!$B$2:$B$50,0)),""))</f>
        <v/>
      </c>
      <c r="AF890" s="2" t="str">
        <f t="shared" si="192"/>
        <v>KR10</v>
      </c>
      <c r="AI890" s="2" t="e">
        <f>VLOOKUP(F890,GLAPS정리!$G$3:$J$114,2,0)</f>
        <v>#N/A</v>
      </c>
      <c r="AJ890" s="2" t="e">
        <f>IF(Z890="울산정일","KRONS",IF(Z890="울산신항","KRUSN",IF(OR(Z890="선광종합물류(인천여객)",Z890="인천여객(인천여객)"),"KRINF",IF(OR(Z890="선광인천보세(인천신)",Z890="한진인천(인천신)",Z890="선광인천신항(인천신)",Z890="인천더로지스(인천신)"),"KRINN",IF(OR(Z890="인천진아(인천항)",Z890="인천E1(인천항)",Z890="인천SM경인터미널(인천항)",Z890="인천항(인천항)",Z890="인천우련(인천항)",Z890="인천항8부두(인천항)"),"KRINC",VLOOKUP(K890,GLAPS정리!$BB$2:$BC$33,2,0))))))</f>
        <v>#N/A</v>
      </c>
      <c r="AL890" s="2">
        <f t="shared" si="193"/>
        <v>5010001</v>
      </c>
      <c r="AN890" s="70" t="str">
        <f t="shared" si="200"/>
        <v>1900-01-00</v>
      </c>
      <c r="AO890" s="2" t="str">
        <f t="shared" si="194"/>
        <v/>
      </c>
      <c r="AP890" s="2" t="e">
        <f>VLOOKUP(C890,GLAPS정리!$AX$2:$AZ$17,3,0)</f>
        <v>#N/A</v>
      </c>
      <c r="AR890" s="2">
        <f>X890</f>
        <v>0</v>
      </c>
      <c r="AX890" s="2" t="e">
        <f>VLOOKUP(L890,GLAPS정리!$V$3:$W$180,2,0)</f>
        <v>#N/A</v>
      </c>
      <c r="BM890" s="2" t="str">
        <f t="shared" si="195"/>
        <v xml:space="preserve"> </v>
      </c>
      <c r="BN890" s="2">
        <f t="shared" si="196"/>
        <v>1</v>
      </c>
      <c r="BR890" s="2" t="str">
        <f t="shared" si="197"/>
        <v/>
      </c>
      <c r="BS890" s="2" t="str">
        <f t="shared" si="198"/>
        <v/>
      </c>
      <c r="BV890" s="2" t="e">
        <f>VLOOKUP(O890,GLAPS정리!$BH$2:$BI$94,2,0)</f>
        <v>#N/A</v>
      </c>
      <c r="BW890" s="2" t="str">
        <f>IF(OR(Z890="동원",Z890="세방",Z890="한타"),"",IFERROR(INDEX(GLAPS정리!$BI$2:$BI$101,MATCH(Z890,GLAPS정리!$BH$2:$BH$101,0)),""))</f>
        <v/>
      </c>
      <c r="BX890" s="2" t="str">
        <f>IF(Z890="","",IFERROR(VLOOKUP(Z890,GLAPS정리!$AX$2:$AZ$17,3,0),""))</f>
        <v/>
      </c>
      <c r="BZ890" s="2" t="e">
        <f>VLOOKUP(H890,GLAPS정리!$L$3:$O$133,2,0)</f>
        <v>#N/A</v>
      </c>
      <c r="CA890" s="2" t="str">
        <f>IF(V890="공휴일", 10, IF(V890="야간", 20, IF(V890="위험물", 30, IF(V890="중량", 40, ""))))</f>
        <v/>
      </c>
      <c r="CL890" s="2" t="e">
        <f>VLOOKUP(AI890,GLAPS정리!$BT$3:$BV$26,3,0)</f>
        <v>#N/A</v>
      </c>
    </row>
    <row r="891" spans="2:90" ht="20.45" customHeight="1">
      <c r="X891" s="13"/>
      <c r="Y891" s="13"/>
    </row>
    <row r="892" spans="2:90" ht="20.45" customHeight="1">
      <c r="X892" s="13"/>
      <c r="Y892" s="13"/>
    </row>
  </sheetData>
  <autoFilter ref="B2:AA890" xr:uid="{5CDE23F1-2D24-41C6-BD8C-D7FDBDA7195F}"/>
  <phoneticPr fontId="30" type="noConversion"/>
  <conditionalFormatting sqref="C1:C2 C8:C1048576">
    <cfRule type="containsText" dxfId="59" priority="38" stopIfTrue="1" operator="containsText" text="아산">
      <formula>NOT(ISERROR(SEARCH("아산",C1)))</formula>
    </cfRule>
    <cfRule type="containsText" dxfId="58" priority="39" stopIfTrue="1" operator="containsText" text="천안">
      <formula>NOT(ISERROR(SEARCH("천안",C1)))</formula>
    </cfRule>
    <cfRule type="containsText" dxfId="57" priority="44" stopIfTrue="1" operator="containsText" text="TCR">
      <formula>NOT(ISERROR(SEARCH("TCR",C1)))</formula>
    </cfRule>
    <cfRule type="containsText" dxfId="56" priority="45" stopIfTrue="1" operator="containsText" text="모빌">
      <formula>NOT(ISERROR(SEARCH("모빌",C1)))</formula>
    </cfRule>
  </conditionalFormatting>
  <conditionalFormatting sqref="H1:H1048576">
    <cfRule type="cellIs" dxfId="55" priority="32" operator="equal">
      <formula>"SEOYON SUMMIT AUTO"</formula>
    </cfRule>
    <cfRule type="cellIs" dxfId="54" priority="33" operator="equal">
      <formula>"KIA LUCKY MOTORS"</formula>
    </cfRule>
    <cfRule type="cellIs" dxfId="53" priority="34" operator="equal">
      <formula>"KIA"</formula>
    </cfRule>
  </conditionalFormatting>
  <conditionalFormatting sqref="K1:K1048576">
    <cfRule type="cellIs" dxfId="52" priority="7" operator="equal">
      <formula>"INCHEON"</formula>
    </cfRule>
    <cfRule type="cellIs" dxfId="51" priority="23" operator="equal">
      <formula>"KRONS"</formula>
    </cfRule>
    <cfRule type="cellIs" dxfId="50" priority="28" operator="equal">
      <formula>"KRINC"</formula>
    </cfRule>
    <cfRule type="cellIs" dxfId="49" priority="29" operator="equal">
      <formula>"ULSAN"</formula>
    </cfRule>
  </conditionalFormatting>
  <conditionalFormatting sqref="O1">
    <cfRule type="cellIs" dxfId="48" priority="8" operator="equal">
      <formula>"세방"</formula>
    </cfRule>
  </conditionalFormatting>
  <conditionalFormatting sqref="Q3:S890">
    <cfRule type="containsText" dxfId="47" priority="42" stopIfTrue="1" operator="containsText" text="울산">
      <formula>NOT(ISERROR(SEARCH("울산",Q3)))</formula>
    </cfRule>
    <cfRule type="containsText" dxfId="46" priority="43" stopIfTrue="1" operator="containsText" text="천안">
      <formula>NOT(ISERROR(SEARCH("천안",Q3)))</formula>
    </cfRule>
  </conditionalFormatting>
  <conditionalFormatting sqref="T1:T1048576">
    <cfRule type="duplicateValues" dxfId="45" priority="2977"/>
  </conditionalFormatting>
  <conditionalFormatting sqref="U38:U1048576 U1:U36">
    <cfRule type="duplicateValues" dxfId="44" priority="9"/>
  </conditionalFormatting>
  <conditionalFormatting sqref="W1:W1048576">
    <cfRule type="duplicateValues" dxfId="43" priority="1"/>
  </conditionalFormatting>
  <conditionalFormatting sqref="AA1:AA1048576">
    <cfRule type="cellIs" dxfId="42" priority="2" operator="equal">
      <formula>"자체보관"</formula>
    </cfRule>
  </conditionalFormatting>
  <conditionalFormatting sqref="AB706:AB1048576">
    <cfRule type="containsText" dxfId="41" priority="55" stopIfTrue="1" operator="containsText" text="PNP">
      <formula>NOT(ISERROR(SEARCH("PNP",AB706)))</formula>
    </cfRule>
    <cfRule type="containsText" dxfId="40" priority="56" stopIfTrue="1" operator="containsText" text="울산">
      <formula>NOT(ISERROR(SEARCH("울산",AB706)))</formula>
    </cfRule>
    <cfRule type="containsText" dxfId="39" priority="57" stopIfTrue="1" operator="containsText" text="아산">
      <formula>NOT(ISERROR(SEARCH("아산",AB706)))</formula>
    </cfRule>
    <cfRule type="containsText" dxfId="38" priority="58" stopIfTrue="1" operator="containsText" text="천안">
      <formula>NOT(ISERROR(SEARCH("천안",AB706)))</formula>
    </cfRule>
  </conditionalFormatting>
  <conditionalFormatting sqref="AJ1:AJ1048576">
    <cfRule type="cellIs" dxfId="37" priority="5" operator="equal">
      <formula>"KRINC(인천항) ,KRINF(여객), KRINN(신항) 수기정정"</formula>
    </cfRule>
    <cfRule type="cellIs" dxfId="36" priority="6" operator="equal">
      <formula>"KRUSN(신항) ,KRONS(정일) 수기정정"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AE17ECFD-066B-4446-A972-6B2564424277}">
          <x14:formula1>
            <xm:f>GLAPS정리!$G$3:$G$26</xm:f>
          </x14:formula1>
          <xm:sqref>F3:F7 F36:F890</xm:sqref>
        </x14:dataValidation>
        <x14:dataValidation type="list" allowBlank="1" showInputMessage="1" showErrorMessage="1" xr:uid="{5A00F4B8-FC6A-4551-BD71-F48582CADAFE}">
          <x14:formula1>
            <xm:f>GLAPS정리!$L$3:$L$84</xm:f>
          </x14:formula1>
          <xm:sqref>H3:H7 H36:H1048576</xm:sqref>
        </x14:dataValidation>
        <x14:dataValidation type="list" allowBlank="1" showInputMessage="1" showErrorMessage="1" xr:uid="{6AE61D49-8EC9-44A1-BEFD-8D4E007764E9}">
          <x14:formula1>
            <xm:f>GLAPS정리!$BH$2:$BH$108</xm:f>
          </x14:formula1>
          <xm:sqref>O3:O34 Z3:Z34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FA1FB-DB57-407E-8F32-C02CA090B1D6}">
  <dimension ref="A1:DX195"/>
  <sheetViews>
    <sheetView workbookViewId="0">
      <pane ySplit="1" topLeftCell="A2" activePane="bottomLeft" state="frozen"/>
      <selection pane="bottomLeft" activeCell="E4" sqref="E4:E7"/>
    </sheetView>
  </sheetViews>
  <sheetFormatPr defaultRowHeight="16.5"/>
  <cols>
    <col min="1" max="1" width="7.5" bestFit="1" customWidth="1"/>
    <col min="2" max="4" width="4.5" bestFit="1" customWidth="1"/>
    <col min="5" max="5" width="13.875" bestFit="1" customWidth="1"/>
    <col min="6" max="7" width="12.25" bestFit="1" customWidth="1"/>
    <col min="8" max="8" width="7.5" bestFit="1" customWidth="1"/>
    <col min="9" max="9" width="10.5" bestFit="1" customWidth="1"/>
    <col min="10" max="10" width="7.5" bestFit="1" customWidth="1"/>
    <col min="11" max="11" width="20.5" bestFit="1" customWidth="1"/>
    <col min="12" max="12" width="22.25" bestFit="1" customWidth="1"/>
    <col min="13" max="14" width="15.5" bestFit="1" customWidth="1"/>
    <col min="15" max="15" width="7.5" bestFit="1" customWidth="1"/>
    <col min="16" max="16" width="18.875" bestFit="1" customWidth="1"/>
    <col min="17" max="18" width="5.25" bestFit="1" customWidth="1"/>
    <col min="20" max="20" width="23" bestFit="1" customWidth="1"/>
    <col min="21" max="21" width="13.875" bestFit="1" customWidth="1"/>
    <col min="22" max="22" width="6" bestFit="1" customWidth="1"/>
    <col min="23" max="23" width="17.25" bestFit="1" customWidth="1"/>
    <col min="24" max="24" width="11.375" bestFit="1" customWidth="1"/>
    <col min="25" max="25" width="6" bestFit="1" customWidth="1"/>
    <col min="26" max="26" width="9.75" bestFit="1" customWidth="1"/>
    <col min="27" max="27" width="11.375" bestFit="1" customWidth="1"/>
    <col min="28" max="28" width="10.5" bestFit="1" customWidth="1"/>
    <col min="29" max="29" width="7.5" bestFit="1" customWidth="1"/>
    <col min="30" max="30" width="10.5" bestFit="1" customWidth="1"/>
    <col min="32" max="32" width="3.75" bestFit="1" customWidth="1"/>
    <col min="35" max="36" width="4.5" bestFit="1" customWidth="1"/>
    <col min="37" max="37" width="6" bestFit="1" customWidth="1"/>
    <col min="39" max="39" width="13.875" bestFit="1" customWidth="1"/>
    <col min="40" max="41" width="10.5" bestFit="1" customWidth="1"/>
    <col min="42" max="43" width="7.5" bestFit="1" customWidth="1"/>
    <col min="45" max="45" width="7.5" bestFit="1" customWidth="1"/>
    <col min="48" max="49" width="12.25" bestFit="1" customWidth="1"/>
    <col min="50" max="50" width="8.25" bestFit="1" customWidth="1"/>
    <col min="52" max="52" width="13.875" bestFit="1" customWidth="1"/>
    <col min="53" max="53" width="10.5" bestFit="1" customWidth="1"/>
    <col min="54" max="54" width="13.875" bestFit="1" customWidth="1"/>
    <col min="55" max="57" width="7.5" bestFit="1" customWidth="1"/>
    <col min="58" max="58" width="9.75" bestFit="1" customWidth="1"/>
    <col min="60" max="60" width="7.5" bestFit="1" customWidth="1"/>
    <col min="61" max="61" width="6" bestFit="1" customWidth="1"/>
    <col min="62" max="62" width="16.375" bestFit="1" customWidth="1"/>
    <col min="63" max="63" width="12.25" bestFit="1" customWidth="1"/>
    <col min="64" max="64" width="13.875" bestFit="1" customWidth="1"/>
    <col min="65" max="65" width="10.5" bestFit="1" customWidth="1"/>
    <col min="66" max="66" width="58" bestFit="1" customWidth="1"/>
    <col min="67" max="67" width="18" bestFit="1" customWidth="1"/>
    <col min="68" max="68" width="10.5" bestFit="1" customWidth="1"/>
    <col min="69" max="69" width="9.75" bestFit="1" customWidth="1"/>
    <col min="70" max="70" width="17.25" bestFit="1" customWidth="1"/>
    <col min="71" max="72" width="9.75" bestFit="1" customWidth="1"/>
    <col min="73" max="73" width="7.5" bestFit="1" customWidth="1"/>
    <col min="75" max="75" width="10.5" bestFit="1" customWidth="1"/>
    <col min="76" max="76" width="16.375" bestFit="1" customWidth="1"/>
    <col min="77" max="77" width="9.75" bestFit="1" customWidth="1"/>
    <col min="78" max="79" width="16.375" bestFit="1" customWidth="1"/>
    <col min="81" max="81" width="7.5" bestFit="1" customWidth="1"/>
    <col min="84" max="84" width="12.25" bestFit="1" customWidth="1"/>
    <col min="85" max="87" width="10.5" bestFit="1" customWidth="1"/>
    <col min="88" max="88" width="12.25" bestFit="1" customWidth="1"/>
    <col min="89" max="89" width="8.25" bestFit="1" customWidth="1"/>
    <col min="91" max="91" width="14.75" bestFit="1" customWidth="1"/>
    <col min="92" max="92" width="7.5" bestFit="1" customWidth="1"/>
    <col min="93" max="93" width="13" bestFit="1" customWidth="1"/>
    <col min="94" max="94" width="6" bestFit="1" customWidth="1"/>
    <col min="95" max="95" width="12.25" bestFit="1" customWidth="1"/>
    <col min="96" max="96" width="16.375" bestFit="1" customWidth="1"/>
    <col min="97" max="97" width="6" bestFit="1" customWidth="1"/>
    <col min="98" max="98" width="12.25" bestFit="1" customWidth="1"/>
    <col min="99" max="99" width="16.375" bestFit="1" customWidth="1"/>
    <col min="100" max="100" width="11.375" bestFit="1" customWidth="1"/>
    <col min="101" max="101" width="5.25" bestFit="1" customWidth="1"/>
    <col min="102" max="102" width="7.5" bestFit="1" customWidth="1"/>
    <col min="103" max="103" width="8.25" bestFit="1" customWidth="1"/>
    <col min="104" max="104" width="6" bestFit="1" customWidth="1"/>
    <col min="105" max="107" width="7.5" bestFit="1" customWidth="1"/>
    <col min="108" max="109" width="10.5" bestFit="1" customWidth="1"/>
    <col min="110" max="110" width="7.5" bestFit="1" customWidth="1"/>
    <col min="111" max="111" width="4.5" bestFit="1" customWidth="1"/>
    <col min="112" max="112" width="8.25" bestFit="1" customWidth="1"/>
    <col min="113" max="117" width="5.25" bestFit="1" customWidth="1"/>
    <col min="118" max="118" width="11.375" bestFit="1" customWidth="1"/>
    <col min="119" max="119" width="7.5" bestFit="1" customWidth="1"/>
    <col min="120" max="120" width="12.25" bestFit="1" customWidth="1"/>
    <col min="121" max="121" width="7.5" bestFit="1" customWidth="1"/>
    <col min="122" max="123" width="10.5" bestFit="1" customWidth="1"/>
    <col min="124" max="125" width="14.75" bestFit="1" customWidth="1"/>
    <col min="126" max="126" width="11.375" bestFit="1" customWidth="1"/>
    <col min="127" max="127" width="12.25" bestFit="1" customWidth="1"/>
    <col min="128" max="128" width="7.5" bestFit="1" customWidth="1"/>
  </cols>
  <sheetData>
    <row r="1" spans="1:128" s="188" customFormat="1" ht="19.5" customHeight="1">
      <c r="A1" s="185" t="s">
        <v>2726</v>
      </c>
      <c r="B1" s="186" t="s">
        <v>2727</v>
      </c>
      <c r="C1" s="187" t="s">
        <v>2728</v>
      </c>
      <c r="D1" s="187" t="s">
        <v>2729</v>
      </c>
      <c r="E1" s="187" t="s">
        <v>2730</v>
      </c>
      <c r="F1" s="186" t="s">
        <v>2731</v>
      </c>
      <c r="G1" s="187" t="s">
        <v>2732</v>
      </c>
      <c r="H1" s="186" t="s">
        <v>2733</v>
      </c>
      <c r="I1" s="187" t="s">
        <v>2734</v>
      </c>
      <c r="J1" s="187" t="s">
        <v>2735</v>
      </c>
      <c r="K1" s="187" t="s">
        <v>2736</v>
      </c>
      <c r="L1" s="187" t="s">
        <v>2737</v>
      </c>
      <c r="M1" s="187" t="s">
        <v>2738</v>
      </c>
      <c r="N1" s="187" t="s">
        <v>2739</v>
      </c>
      <c r="O1" s="187" t="s">
        <v>2740</v>
      </c>
      <c r="P1" s="187" t="s">
        <v>2741</v>
      </c>
      <c r="Q1" s="187" t="s">
        <v>2742</v>
      </c>
      <c r="R1" s="187" t="s">
        <v>2743</v>
      </c>
      <c r="S1" s="187" t="s">
        <v>2744</v>
      </c>
      <c r="T1" s="187" t="s">
        <v>2745</v>
      </c>
      <c r="U1" s="187" t="s">
        <v>2746</v>
      </c>
      <c r="V1" s="187" t="s">
        <v>2747</v>
      </c>
      <c r="W1" s="187" t="s">
        <v>2748</v>
      </c>
      <c r="X1" s="187" t="s">
        <v>2749</v>
      </c>
      <c r="Y1" s="187" t="s">
        <v>2750</v>
      </c>
      <c r="Z1" s="187" t="s">
        <v>2751</v>
      </c>
      <c r="AA1" s="187" t="s">
        <v>2752</v>
      </c>
      <c r="AB1" s="186" t="s">
        <v>2753</v>
      </c>
      <c r="AC1" s="187" t="s">
        <v>2754</v>
      </c>
      <c r="AD1" s="187" t="s">
        <v>2755</v>
      </c>
      <c r="AE1" s="187" t="s">
        <v>2756</v>
      </c>
      <c r="AF1" s="187" t="s">
        <v>2757</v>
      </c>
      <c r="AG1" s="187" t="s">
        <v>2758</v>
      </c>
      <c r="AH1" s="187" t="s">
        <v>2759</v>
      </c>
      <c r="AI1" s="187" t="s">
        <v>2760</v>
      </c>
      <c r="AJ1" s="187" t="s">
        <v>2761</v>
      </c>
      <c r="AK1" s="187" t="s">
        <v>2762</v>
      </c>
      <c r="AL1" s="187" t="s">
        <v>2763</v>
      </c>
      <c r="AM1" s="187" t="s">
        <v>2764</v>
      </c>
      <c r="AN1" s="187" t="s">
        <v>2765</v>
      </c>
      <c r="AO1" s="187" t="s">
        <v>2766</v>
      </c>
      <c r="AP1" s="187" t="s">
        <v>2767</v>
      </c>
      <c r="AQ1" s="187" t="s">
        <v>2768</v>
      </c>
      <c r="AR1" s="187" t="s">
        <v>2769</v>
      </c>
      <c r="AS1" s="187" t="s">
        <v>2770</v>
      </c>
      <c r="AT1" s="187" t="s">
        <v>2771</v>
      </c>
      <c r="AU1" s="187" t="s">
        <v>2772</v>
      </c>
      <c r="AV1" s="187" t="s">
        <v>2773</v>
      </c>
      <c r="AW1" s="187" t="s">
        <v>2774</v>
      </c>
      <c r="AX1" s="187" t="s">
        <v>2775</v>
      </c>
      <c r="AY1" s="187" t="s">
        <v>2776</v>
      </c>
      <c r="AZ1" s="187" t="s">
        <v>519</v>
      </c>
      <c r="BA1" s="187" t="s">
        <v>2777</v>
      </c>
      <c r="BB1" s="187" t="s">
        <v>2778</v>
      </c>
      <c r="BC1" s="187" t="s">
        <v>2779</v>
      </c>
      <c r="BD1" s="187" t="s">
        <v>2780</v>
      </c>
      <c r="BE1" s="187" t="s">
        <v>2781</v>
      </c>
      <c r="BF1" s="187" t="s">
        <v>2782</v>
      </c>
      <c r="BG1" s="187" t="s">
        <v>2783</v>
      </c>
      <c r="BH1" s="187" t="s">
        <v>2784</v>
      </c>
      <c r="BI1" s="187" t="s">
        <v>2785</v>
      </c>
      <c r="BJ1" s="187" t="s">
        <v>2786</v>
      </c>
      <c r="BK1" s="187" t="s">
        <v>2787</v>
      </c>
      <c r="BL1" s="187" t="s">
        <v>2788</v>
      </c>
      <c r="BM1" s="187" t="s">
        <v>2789</v>
      </c>
      <c r="BN1" s="187" t="s">
        <v>2790</v>
      </c>
      <c r="BO1" s="187" t="s">
        <v>2791</v>
      </c>
      <c r="BP1" s="187" t="s">
        <v>2792</v>
      </c>
      <c r="BQ1" s="187" t="s">
        <v>2793</v>
      </c>
      <c r="BR1" s="187" t="s">
        <v>2794</v>
      </c>
      <c r="BS1" s="187" t="s">
        <v>2795</v>
      </c>
      <c r="BT1" s="187" t="s">
        <v>2796</v>
      </c>
      <c r="BU1" s="187" t="s">
        <v>2797</v>
      </c>
      <c r="BV1" s="187" t="s">
        <v>2798</v>
      </c>
      <c r="BW1" s="187" t="s">
        <v>2799</v>
      </c>
      <c r="BX1" s="187" t="s">
        <v>2800</v>
      </c>
      <c r="BY1" s="187" t="s">
        <v>2801</v>
      </c>
      <c r="BZ1" s="187" t="s">
        <v>2802</v>
      </c>
      <c r="CA1" s="187" t="s">
        <v>2803</v>
      </c>
      <c r="CB1" s="187" t="s">
        <v>2804</v>
      </c>
      <c r="CC1" s="187" t="s">
        <v>2805</v>
      </c>
      <c r="CD1" s="187" t="s">
        <v>2806</v>
      </c>
      <c r="CE1" s="187" t="s">
        <v>2807</v>
      </c>
      <c r="CF1" s="187" t="s">
        <v>2808</v>
      </c>
      <c r="CG1" s="187" t="s">
        <v>2809</v>
      </c>
      <c r="CH1" s="187" t="s">
        <v>2810</v>
      </c>
      <c r="CI1" s="187" t="s">
        <v>2811</v>
      </c>
      <c r="CJ1" s="187" t="s">
        <v>2812</v>
      </c>
      <c r="CK1" s="187" t="s">
        <v>2813</v>
      </c>
      <c r="CL1" s="187" t="s">
        <v>2814</v>
      </c>
      <c r="CM1" s="187" t="s">
        <v>2815</v>
      </c>
      <c r="CN1" s="187" t="s">
        <v>2816</v>
      </c>
      <c r="CO1" s="187" t="s">
        <v>2817</v>
      </c>
      <c r="CP1" s="187" t="s">
        <v>2818</v>
      </c>
      <c r="CQ1" s="187" t="s">
        <v>2819</v>
      </c>
      <c r="CR1" s="187" t="s">
        <v>2820</v>
      </c>
      <c r="CS1" s="187" t="s">
        <v>2821</v>
      </c>
      <c r="CT1" s="187" t="s">
        <v>2822</v>
      </c>
      <c r="CU1" s="187" t="s">
        <v>2823</v>
      </c>
      <c r="CV1" s="187" t="s">
        <v>2824</v>
      </c>
      <c r="CW1" s="187" t="s">
        <v>2825</v>
      </c>
      <c r="CX1" s="187" t="s">
        <v>2826</v>
      </c>
      <c r="CY1" s="187" t="s">
        <v>2827</v>
      </c>
      <c r="CZ1" s="187" t="s">
        <v>2828</v>
      </c>
      <c r="DA1" s="187" t="s">
        <v>2829</v>
      </c>
      <c r="DB1" s="187" t="s">
        <v>2830</v>
      </c>
      <c r="DC1" s="187" t="s">
        <v>2831</v>
      </c>
      <c r="DD1" s="187" t="s">
        <v>2832</v>
      </c>
      <c r="DE1" s="187" t="s">
        <v>2833</v>
      </c>
      <c r="DF1" s="187" t="s">
        <v>2834</v>
      </c>
      <c r="DG1" s="187" t="s">
        <v>2835</v>
      </c>
      <c r="DH1" s="187" t="s">
        <v>2836</v>
      </c>
      <c r="DI1" s="187" t="s">
        <v>2837</v>
      </c>
      <c r="DJ1" s="187" t="s">
        <v>2838</v>
      </c>
      <c r="DK1" s="187" t="s">
        <v>2839</v>
      </c>
      <c r="DL1" s="187" t="s">
        <v>2840</v>
      </c>
      <c r="DM1" s="187" t="s">
        <v>2841</v>
      </c>
      <c r="DN1" s="187" t="s">
        <v>2842</v>
      </c>
      <c r="DO1" s="187" t="s">
        <v>2843</v>
      </c>
      <c r="DP1" s="187" t="s">
        <v>2844</v>
      </c>
      <c r="DQ1" s="187" t="s">
        <v>2845</v>
      </c>
      <c r="DR1" s="187" t="s">
        <v>2846</v>
      </c>
      <c r="DS1" s="187" t="s">
        <v>2847</v>
      </c>
      <c r="DT1" s="187" t="s">
        <v>2848</v>
      </c>
      <c r="DU1" s="187" t="s">
        <v>2849</v>
      </c>
      <c r="DV1" s="187" t="s">
        <v>2850</v>
      </c>
      <c r="DW1" s="187" t="s">
        <v>2851</v>
      </c>
      <c r="DX1" s="187" t="s">
        <v>2852</v>
      </c>
    </row>
    <row r="2" spans="1:128" ht="19.5" customHeight="1">
      <c r="A2" s="173"/>
      <c r="B2" s="174" t="s">
        <v>2853</v>
      </c>
      <c r="C2" s="67"/>
      <c r="D2" s="67"/>
      <c r="E2" s="174" t="s">
        <v>2854</v>
      </c>
      <c r="F2" s="174" t="s">
        <v>2855</v>
      </c>
      <c r="G2" s="175" t="s">
        <v>2856</v>
      </c>
      <c r="H2" s="174" t="s">
        <v>2857</v>
      </c>
      <c r="I2" s="174" t="s">
        <v>2858</v>
      </c>
      <c r="J2" s="175" t="s">
        <v>2859</v>
      </c>
      <c r="K2" s="176">
        <v>46177</v>
      </c>
      <c r="L2" s="67" t="s">
        <v>2860</v>
      </c>
      <c r="M2" s="175" t="s">
        <v>2861</v>
      </c>
      <c r="N2" s="67" t="s">
        <v>2861</v>
      </c>
      <c r="O2" s="67" t="s">
        <v>2328</v>
      </c>
      <c r="P2" s="67" t="s">
        <v>2862</v>
      </c>
      <c r="Q2" s="67"/>
      <c r="R2" s="67"/>
      <c r="S2" s="67" t="s">
        <v>101</v>
      </c>
      <c r="T2" s="177" t="s">
        <v>2863</v>
      </c>
      <c r="U2" s="67" t="s">
        <v>1277</v>
      </c>
      <c r="V2" s="67" t="s">
        <v>2864</v>
      </c>
      <c r="W2" s="175" t="s">
        <v>2865</v>
      </c>
      <c r="X2" s="67"/>
      <c r="Y2" s="67" t="s">
        <v>2866</v>
      </c>
      <c r="Z2" s="67"/>
      <c r="AA2" s="175"/>
      <c r="AB2" s="175"/>
      <c r="AC2" s="175"/>
      <c r="AD2" s="175"/>
      <c r="AE2" s="175"/>
      <c r="AF2" s="176"/>
      <c r="AG2" s="176"/>
      <c r="AH2" s="176"/>
      <c r="AI2" s="67"/>
      <c r="AJ2" s="67"/>
      <c r="AK2" s="67" t="s">
        <v>2867</v>
      </c>
      <c r="AL2" s="67"/>
      <c r="AM2" s="176"/>
      <c r="AN2" s="176"/>
      <c r="AO2" s="67"/>
      <c r="AP2" s="67" t="s">
        <v>2867</v>
      </c>
      <c r="AQ2" s="67" t="s">
        <v>2868</v>
      </c>
      <c r="AR2" s="175"/>
      <c r="AS2" s="175" t="s">
        <v>2869</v>
      </c>
      <c r="AT2" s="175" t="s">
        <v>2867</v>
      </c>
      <c r="AU2" s="175"/>
      <c r="AV2" s="178">
        <v>0</v>
      </c>
      <c r="AW2" s="67"/>
      <c r="AX2" s="175" t="s">
        <v>2867</v>
      </c>
      <c r="AY2" s="175" t="s">
        <v>2870</v>
      </c>
      <c r="AZ2" s="175" t="s">
        <v>2871</v>
      </c>
      <c r="BA2" s="175"/>
      <c r="BB2" s="175"/>
      <c r="BC2" s="175" t="s">
        <v>2859</v>
      </c>
      <c r="BD2" s="175" t="s">
        <v>2872</v>
      </c>
      <c r="BE2" s="175" t="s">
        <v>2873</v>
      </c>
      <c r="BF2" s="175"/>
      <c r="BG2" s="67"/>
      <c r="BH2" s="179"/>
      <c r="BI2" s="175" t="s">
        <v>2867</v>
      </c>
      <c r="BJ2" s="175"/>
      <c r="BK2" s="175" t="s">
        <v>2867</v>
      </c>
      <c r="BL2" s="175"/>
      <c r="BM2" s="175" t="s">
        <v>2874</v>
      </c>
      <c r="BN2" s="175" t="s">
        <v>2875</v>
      </c>
      <c r="BO2" s="180"/>
      <c r="BP2" s="67" t="s">
        <v>2867</v>
      </c>
      <c r="BQ2" s="175" t="s">
        <v>2876</v>
      </c>
      <c r="BR2" s="177" t="s">
        <v>2877</v>
      </c>
      <c r="BS2" s="177"/>
      <c r="BT2" s="67" t="s">
        <v>2867</v>
      </c>
      <c r="BU2" s="175"/>
      <c r="BV2" s="176"/>
      <c r="BW2" s="67" t="s">
        <v>2878</v>
      </c>
      <c r="BX2" s="175"/>
      <c r="BY2" s="175" t="s">
        <v>1999</v>
      </c>
      <c r="BZ2" s="177"/>
      <c r="CA2" s="175"/>
      <c r="CB2" s="175"/>
      <c r="CC2" s="177"/>
      <c r="CD2" s="177"/>
      <c r="CE2" s="67"/>
      <c r="CF2" s="67"/>
      <c r="CG2" s="177"/>
      <c r="CH2" s="176"/>
      <c r="CI2" s="176"/>
      <c r="CJ2" s="175"/>
      <c r="CK2" s="67" t="s">
        <v>2867</v>
      </c>
      <c r="CL2" s="175"/>
      <c r="CM2" s="175"/>
      <c r="CN2" s="175"/>
      <c r="CO2" s="175"/>
      <c r="CP2" s="67"/>
      <c r="CQ2" s="175" t="s">
        <v>2867</v>
      </c>
      <c r="CR2" s="175"/>
      <c r="CS2" s="67"/>
      <c r="CT2" s="175" t="s">
        <v>2867</v>
      </c>
      <c r="CU2" s="175"/>
      <c r="CV2" s="181" t="s">
        <v>2879</v>
      </c>
      <c r="CW2" s="67"/>
      <c r="CX2" s="182"/>
      <c r="CY2" s="175" t="s">
        <v>2880</v>
      </c>
      <c r="CZ2" s="175"/>
      <c r="DA2" s="175" t="s">
        <v>2881</v>
      </c>
      <c r="DB2" s="175" t="s">
        <v>2881</v>
      </c>
      <c r="DC2" s="175"/>
      <c r="DD2" s="175"/>
      <c r="DE2" s="176"/>
      <c r="DF2" s="175"/>
      <c r="DG2" s="182"/>
      <c r="DH2" s="183">
        <v>0</v>
      </c>
      <c r="DI2" s="67"/>
      <c r="DJ2" s="67"/>
      <c r="DK2" s="67"/>
      <c r="DL2" s="67"/>
      <c r="DM2" s="67"/>
      <c r="DN2" s="183">
        <v>0</v>
      </c>
      <c r="DO2" s="183">
        <v>0</v>
      </c>
      <c r="DP2" s="67" t="s">
        <v>2867</v>
      </c>
      <c r="DQ2" s="175"/>
      <c r="DR2" s="175"/>
      <c r="DS2" s="175" t="s">
        <v>2882</v>
      </c>
      <c r="DT2" s="175"/>
      <c r="DU2" s="175"/>
      <c r="DV2" s="175" t="s">
        <v>2883</v>
      </c>
      <c r="DW2" s="175" t="s">
        <v>2884</v>
      </c>
      <c r="DX2" s="175" t="s">
        <v>2879</v>
      </c>
    </row>
    <row r="3" spans="1:128" ht="19.5" customHeight="1">
      <c r="A3" s="173"/>
      <c r="B3" s="174" t="s">
        <v>2885</v>
      </c>
      <c r="C3" s="67"/>
      <c r="D3" s="67"/>
      <c r="E3" s="174" t="s">
        <v>2886</v>
      </c>
      <c r="F3" s="174" t="s">
        <v>2887</v>
      </c>
      <c r="G3" s="175" t="s">
        <v>2888</v>
      </c>
      <c r="H3" s="174" t="s">
        <v>2857</v>
      </c>
      <c r="I3" s="174" t="s">
        <v>2858</v>
      </c>
      <c r="J3" s="175" t="s">
        <v>2859</v>
      </c>
      <c r="K3" s="176">
        <v>46177</v>
      </c>
      <c r="L3" s="67" t="s">
        <v>2889</v>
      </c>
      <c r="M3" s="175" t="s">
        <v>2334</v>
      </c>
      <c r="N3" s="67" t="s">
        <v>2334</v>
      </c>
      <c r="O3" s="67" t="s">
        <v>2327</v>
      </c>
      <c r="P3" s="67" t="s">
        <v>2890</v>
      </c>
      <c r="Q3" s="67"/>
      <c r="R3" s="67"/>
      <c r="S3" s="67" t="s">
        <v>110</v>
      </c>
      <c r="T3" s="177" t="s">
        <v>2863</v>
      </c>
      <c r="U3" s="67" t="s">
        <v>116</v>
      </c>
      <c r="V3" s="67" t="s">
        <v>2891</v>
      </c>
      <c r="W3" s="175" t="s">
        <v>2865</v>
      </c>
      <c r="X3" s="67"/>
      <c r="Y3" s="67" t="s">
        <v>2866</v>
      </c>
      <c r="Z3" s="67"/>
      <c r="AA3" s="175"/>
      <c r="AB3" s="175"/>
      <c r="AC3" s="175"/>
      <c r="AD3" s="175"/>
      <c r="AE3" s="175"/>
      <c r="AF3" s="176"/>
      <c r="AG3" s="176"/>
      <c r="AH3" s="176"/>
      <c r="AI3" s="67"/>
      <c r="AJ3" s="67"/>
      <c r="AK3" s="67" t="s">
        <v>2867</v>
      </c>
      <c r="AL3" s="67"/>
      <c r="AM3" s="176"/>
      <c r="AN3" s="176"/>
      <c r="AO3" s="67"/>
      <c r="AP3" s="67" t="s">
        <v>2867</v>
      </c>
      <c r="AQ3" s="67" t="s">
        <v>2868</v>
      </c>
      <c r="AR3" s="175"/>
      <c r="AS3" s="175" t="s">
        <v>2869</v>
      </c>
      <c r="AT3" s="175" t="s">
        <v>2867</v>
      </c>
      <c r="AU3" s="175"/>
      <c r="AV3" s="178">
        <v>0</v>
      </c>
      <c r="AW3" s="67"/>
      <c r="AX3" s="175" t="s">
        <v>2867</v>
      </c>
      <c r="AY3" s="175" t="s">
        <v>2870</v>
      </c>
      <c r="AZ3" s="175" t="s">
        <v>2871</v>
      </c>
      <c r="BA3" s="175"/>
      <c r="BB3" s="175"/>
      <c r="BC3" s="175" t="s">
        <v>2859</v>
      </c>
      <c r="BD3" s="175" t="s">
        <v>2872</v>
      </c>
      <c r="BE3" s="175" t="s">
        <v>2873</v>
      </c>
      <c r="BF3" s="175"/>
      <c r="BG3" s="67"/>
      <c r="BH3" s="179"/>
      <c r="BI3" s="175" t="s">
        <v>2867</v>
      </c>
      <c r="BJ3" s="175"/>
      <c r="BK3" s="175" t="s">
        <v>2867</v>
      </c>
      <c r="BL3" s="175"/>
      <c r="BM3" s="175" t="s">
        <v>2874</v>
      </c>
      <c r="BN3" s="175" t="s">
        <v>2875</v>
      </c>
      <c r="BO3" s="180"/>
      <c r="BP3" s="67" t="s">
        <v>2867</v>
      </c>
      <c r="BQ3" s="175" t="s">
        <v>2876</v>
      </c>
      <c r="BR3" s="177" t="s">
        <v>2877</v>
      </c>
      <c r="BS3" s="177"/>
      <c r="BT3" s="67" t="s">
        <v>2867</v>
      </c>
      <c r="BU3" s="175"/>
      <c r="BV3" s="176"/>
      <c r="BW3" s="67" t="s">
        <v>2878</v>
      </c>
      <c r="BX3" s="175"/>
      <c r="BY3" s="175" t="s">
        <v>1999</v>
      </c>
      <c r="BZ3" s="177"/>
      <c r="CA3" s="175"/>
      <c r="CB3" s="175"/>
      <c r="CC3" s="177"/>
      <c r="CD3" s="177"/>
      <c r="CE3" s="67"/>
      <c r="CF3" s="67"/>
      <c r="CG3" s="177"/>
      <c r="CH3" s="176"/>
      <c r="CI3" s="176"/>
      <c r="CJ3" s="175"/>
      <c r="CK3" s="67" t="s">
        <v>2867</v>
      </c>
      <c r="CL3" s="175"/>
      <c r="CM3" s="175"/>
      <c r="CN3" s="175"/>
      <c r="CO3" s="175"/>
      <c r="CP3" s="67"/>
      <c r="CQ3" s="175" t="s">
        <v>2867</v>
      </c>
      <c r="CR3" s="175"/>
      <c r="CS3" s="67"/>
      <c r="CT3" s="175" t="s">
        <v>2867</v>
      </c>
      <c r="CU3" s="175"/>
      <c r="CV3" s="181" t="s">
        <v>2879</v>
      </c>
      <c r="CW3" s="67"/>
      <c r="CX3" s="182"/>
      <c r="CY3" s="175" t="s">
        <v>2880</v>
      </c>
      <c r="CZ3" s="175"/>
      <c r="DA3" s="175" t="s">
        <v>2881</v>
      </c>
      <c r="DB3" s="175" t="s">
        <v>2881</v>
      </c>
      <c r="DC3" s="175"/>
      <c r="DD3" s="175"/>
      <c r="DE3" s="176"/>
      <c r="DF3" s="175"/>
      <c r="DG3" s="182"/>
      <c r="DH3" s="183">
        <v>0</v>
      </c>
      <c r="DI3" s="67"/>
      <c r="DJ3" s="67"/>
      <c r="DK3" s="67"/>
      <c r="DL3" s="67"/>
      <c r="DM3" s="67"/>
      <c r="DN3" s="183">
        <v>0</v>
      </c>
      <c r="DO3" s="183">
        <v>0</v>
      </c>
      <c r="DP3" s="67" t="s">
        <v>2867</v>
      </c>
      <c r="DQ3" s="175"/>
      <c r="DR3" s="175"/>
      <c r="DS3" s="175" t="s">
        <v>2882</v>
      </c>
      <c r="DT3" s="175"/>
      <c r="DU3" s="175"/>
      <c r="DV3" s="175" t="s">
        <v>2883</v>
      </c>
      <c r="DW3" s="175" t="s">
        <v>2884</v>
      </c>
      <c r="DX3" s="175" t="s">
        <v>2879</v>
      </c>
    </row>
    <row r="4" spans="1:128" ht="19.5" customHeight="1">
      <c r="A4" s="173"/>
      <c r="B4" s="174" t="s">
        <v>2892</v>
      </c>
      <c r="C4" s="67"/>
      <c r="D4" s="67"/>
      <c r="E4" s="189" t="s">
        <v>4428</v>
      </c>
      <c r="F4" s="174" t="s">
        <v>2894</v>
      </c>
      <c r="G4" s="175" t="s">
        <v>2895</v>
      </c>
      <c r="H4" s="189" t="s">
        <v>2857</v>
      </c>
      <c r="I4" s="189" t="s">
        <v>2858</v>
      </c>
      <c r="J4" s="175" t="s">
        <v>2859</v>
      </c>
      <c r="K4" s="176">
        <v>46177</v>
      </c>
      <c r="L4" s="67" t="s">
        <v>2860</v>
      </c>
      <c r="M4" s="175" t="s">
        <v>2334</v>
      </c>
      <c r="N4" s="67" t="s">
        <v>2334</v>
      </c>
      <c r="O4" s="67" t="s">
        <v>2327</v>
      </c>
      <c r="P4" s="67" t="s">
        <v>2890</v>
      </c>
      <c r="Q4" s="67"/>
      <c r="R4" s="67"/>
      <c r="S4" s="67" t="s">
        <v>110</v>
      </c>
      <c r="T4" s="177" t="s">
        <v>2863</v>
      </c>
      <c r="U4" s="67" t="s">
        <v>116</v>
      </c>
      <c r="V4" s="67" t="s">
        <v>2896</v>
      </c>
      <c r="W4" s="175" t="s">
        <v>2865</v>
      </c>
      <c r="X4" s="67"/>
      <c r="Y4" s="67" t="s">
        <v>2866</v>
      </c>
      <c r="Z4" s="67"/>
      <c r="AA4" s="175"/>
      <c r="AB4" s="175"/>
      <c r="AC4" s="175"/>
      <c r="AD4" s="175"/>
      <c r="AE4" s="175"/>
      <c r="AF4" s="176"/>
      <c r="AG4" s="176"/>
      <c r="AH4" s="176"/>
      <c r="AI4" s="67"/>
      <c r="AJ4" s="67"/>
      <c r="AK4" s="67" t="s">
        <v>2867</v>
      </c>
      <c r="AL4" s="67"/>
      <c r="AM4" s="176"/>
      <c r="AN4" s="176"/>
      <c r="AO4" s="67"/>
      <c r="AP4" s="67" t="s">
        <v>2867</v>
      </c>
      <c r="AQ4" s="67" t="s">
        <v>2868</v>
      </c>
      <c r="AR4" s="175"/>
      <c r="AS4" s="175" t="s">
        <v>2869</v>
      </c>
      <c r="AT4" s="175" t="s">
        <v>2867</v>
      </c>
      <c r="AU4" s="175"/>
      <c r="AV4" s="178">
        <v>0</v>
      </c>
      <c r="AW4" s="67"/>
      <c r="AX4" s="175" t="s">
        <v>2867</v>
      </c>
      <c r="AY4" s="175" t="s">
        <v>2870</v>
      </c>
      <c r="AZ4" s="175" t="s">
        <v>2871</v>
      </c>
      <c r="BA4" s="175"/>
      <c r="BB4" s="175"/>
      <c r="BC4" s="175" t="s">
        <v>2859</v>
      </c>
      <c r="BD4" s="175" t="s">
        <v>2872</v>
      </c>
      <c r="BE4" s="175" t="s">
        <v>2873</v>
      </c>
      <c r="BF4" s="175"/>
      <c r="BG4" s="67"/>
      <c r="BH4" s="179"/>
      <c r="BI4" s="175" t="s">
        <v>2867</v>
      </c>
      <c r="BJ4" s="175"/>
      <c r="BK4" s="175" t="s">
        <v>2867</v>
      </c>
      <c r="BL4" s="175"/>
      <c r="BM4" s="175" t="s">
        <v>2874</v>
      </c>
      <c r="BN4" s="175" t="s">
        <v>2875</v>
      </c>
      <c r="BO4" s="180"/>
      <c r="BP4" s="67" t="s">
        <v>2867</v>
      </c>
      <c r="BQ4" s="175" t="s">
        <v>2876</v>
      </c>
      <c r="BR4" s="177" t="s">
        <v>2877</v>
      </c>
      <c r="BS4" s="177"/>
      <c r="BT4" s="67" t="s">
        <v>2867</v>
      </c>
      <c r="BU4" s="175"/>
      <c r="BV4" s="176"/>
      <c r="BW4" s="67" t="s">
        <v>2878</v>
      </c>
      <c r="BX4" s="175"/>
      <c r="BY4" s="175" t="s">
        <v>1999</v>
      </c>
      <c r="BZ4" s="177"/>
      <c r="CA4" s="175"/>
      <c r="CB4" s="175"/>
      <c r="CC4" s="177"/>
      <c r="CD4" s="177"/>
      <c r="CE4" s="67"/>
      <c r="CF4" s="67"/>
      <c r="CG4" s="177"/>
      <c r="CH4" s="176"/>
      <c r="CI4" s="176"/>
      <c r="CJ4" s="175"/>
      <c r="CK4" s="67" t="s">
        <v>2867</v>
      </c>
      <c r="CL4" s="175"/>
      <c r="CM4" s="175"/>
      <c r="CN4" s="175"/>
      <c r="CO4" s="175"/>
      <c r="CP4" s="67"/>
      <c r="CQ4" s="175" t="s">
        <v>2867</v>
      </c>
      <c r="CR4" s="175"/>
      <c r="CS4" s="67"/>
      <c r="CT4" s="175" t="s">
        <v>2867</v>
      </c>
      <c r="CU4" s="175"/>
      <c r="CV4" s="181" t="s">
        <v>2879</v>
      </c>
      <c r="CW4" s="67"/>
      <c r="CX4" s="182"/>
      <c r="CY4" s="175" t="s">
        <v>2880</v>
      </c>
      <c r="CZ4" s="175"/>
      <c r="DA4" s="175" t="s">
        <v>2897</v>
      </c>
      <c r="DB4" s="175" t="s">
        <v>2897</v>
      </c>
      <c r="DC4" s="175"/>
      <c r="DD4" s="175"/>
      <c r="DE4" s="176"/>
      <c r="DF4" s="175"/>
      <c r="DG4" s="182"/>
      <c r="DH4" s="183">
        <v>0</v>
      </c>
      <c r="DI4" s="67"/>
      <c r="DJ4" s="67"/>
      <c r="DK4" s="67"/>
      <c r="DL4" s="67"/>
      <c r="DM4" s="67"/>
      <c r="DN4" s="183">
        <v>0</v>
      </c>
      <c r="DO4" s="183">
        <v>0</v>
      </c>
      <c r="DP4" s="67" t="s">
        <v>2867</v>
      </c>
      <c r="DQ4" s="175"/>
      <c r="DR4" s="175"/>
      <c r="DS4" s="175" t="s">
        <v>2882</v>
      </c>
      <c r="DT4" s="175"/>
      <c r="DU4" s="175"/>
      <c r="DV4" s="175" t="s">
        <v>2883</v>
      </c>
      <c r="DW4" s="175" t="s">
        <v>2884</v>
      </c>
      <c r="DX4" s="175" t="s">
        <v>2879</v>
      </c>
    </row>
    <row r="5" spans="1:128" ht="19.5" customHeight="1">
      <c r="A5" s="173"/>
      <c r="B5" s="174" t="s">
        <v>2898</v>
      </c>
      <c r="C5" s="67"/>
      <c r="D5" s="67"/>
      <c r="E5" s="191" t="s">
        <v>2893</v>
      </c>
      <c r="F5" s="174" t="s">
        <v>2899</v>
      </c>
      <c r="G5" s="175" t="s">
        <v>2900</v>
      </c>
      <c r="H5" s="191" t="s">
        <v>2857</v>
      </c>
      <c r="I5" s="191" t="s">
        <v>2858</v>
      </c>
      <c r="J5" s="175" t="s">
        <v>2859</v>
      </c>
      <c r="K5" s="176">
        <v>46177</v>
      </c>
      <c r="L5" s="67" t="s">
        <v>2901</v>
      </c>
      <c r="M5" s="175" t="s">
        <v>2334</v>
      </c>
      <c r="N5" s="67" t="s">
        <v>2334</v>
      </c>
      <c r="O5" s="67" t="s">
        <v>2327</v>
      </c>
      <c r="P5" s="67" t="s">
        <v>2890</v>
      </c>
      <c r="Q5" s="67"/>
      <c r="R5" s="67"/>
      <c r="S5" s="67" t="s">
        <v>110</v>
      </c>
      <c r="T5" s="177" t="s">
        <v>2863</v>
      </c>
      <c r="U5" s="67" t="s">
        <v>116</v>
      </c>
      <c r="V5" s="67" t="s">
        <v>2896</v>
      </c>
      <c r="W5" s="175" t="s">
        <v>2865</v>
      </c>
      <c r="X5" s="67"/>
      <c r="Y5" s="67" t="s">
        <v>2866</v>
      </c>
      <c r="Z5" s="67"/>
      <c r="AA5" s="175"/>
      <c r="AB5" s="175"/>
      <c r="AC5" s="175"/>
      <c r="AD5" s="175"/>
      <c r="AE5" s="175"/>
      <c r="AF5" s="176"/>
      <c r="AG5" s="176"/>
      <c r="AH5" s="176"/>
      <c r="AI5" s="67"/>
      <c r="AJ5" s="67"/>
      <c r="AK5" s="67" t="s">
        <v>2867</v>
      </c>
      <c r="AL5" s="67"/>
      <c r="AM5" s="176"/>
      <c r="AN5" s="176"/>
      <c r="AO5" s="67"/>
      <c r="AP5" s="67" t="s">
        <v>2867</v>
      </c>
      <c r="AQ5" s="67" t="s">
        <v>2868</v>
      </c>
      <c r="AR5" s="175"/>
      <c r="AS5" s="175" t="s">
        <v>2869</v>
      </c>
      <c r="AT5" s="175" t="s">
        <v>2867</v>
      </c>
      <c r="AU5" s="175"/>
      <c r="AV5" s="178">
        <v>0</v>
      </c>
      <c r="AW5" s="67"/>
      <c r="AX5" s="175" t="s">
        <v>2867</v>
      </c>
      <c r="AY5" s="175" t="s">
        <v>2870</v>
      </c>
      <c r="AZ5" s="175" t="s">
        <v>2871</v>
      </c>
      <c r="BA5" s="175"/>
      <c r="BB5" s="175"/>
      <c r="BC5" s="175" t="s">
        <v>2859</v>
      </c>
      <c r="BD5" s="175" t="s">
        <v>2872</v>
      </c>
      <c r="BE5" s="175" t="s">
        <v>2873</v>
      </c>
      <c r="BF5" s="175"/>
      <c r="BG5" s="67"/>
      <c r="BH5" s="179"/>
      <c r="BI5" s="175" t="s">
        <v>2867</v>
      </c>
      <c r="BJ5" s="175"/>
      <c r="BK5" s="175" t="s">
        <v>2867</v>
      </c>
      <c r="BL5" s="175"/>
      <c r="BM5" s="175" t="s">
        <v>2874</v>
      </c>
      <c r="BN5" s="175" t="s">
        <v>2875</v>
      </c>
      <c r="BO5" s="180"/>
      <c r="BP5" s="67" t="s">
        <v>2867</v>
      </c>
      <c r="BQ5" s="175" t="s">
        <v>2876</v>
      </c>
      <c r="BR5" s="177" t="s">
        <v>2877</v>
      </c>
      <c r="BS5" s="177"/>
      <c r="BT5" s="67" t="s">
        <v>2867</v>
      </c>
      <c r="BU5" s="175"/>
      <c r="BV5" s="176"/>
      <c r="BW5" s="67" t="s">
        <v>2878</v>
      </c>
      <c r="BX5" s="175"/>
      <c r="BY5" s="175" t="s">
        <v>1999</v>
      </c>
      <c r="BZ5" s="177"/>
      <c r="CA5" s="175"/>
      <c r="CB5" s="175"/>
      <c r="CC5" s="177"/>
      <c r="CD5" s="177"/>
      <c r="CE5" s="67"/>
      <c r="CF5" s="67"/>
      <c r="CG5" s="177"/>
      <c r="CH5" s="176"/>
      <c r="CI5" s="176"/>
      <c r="CJ5" s="175"/>
      <c r="CK5" s="67" t="s">
        <v>2867</v>
      </c>
      <c r="CL5" s="175"/>
      <c r="CM5" s="175"/>
      <c r="CN5" s="175"/>
      <c r="CO5" s="175"/>
      <c r="CP5" s="67"/>
      <c r="CQ5" s="175" t="s">
        <v>2867</v>
      </c>
      <c r="CR5" s="175"/>
      <c r="CS5" s="67"/>
      <c r="CT5" s="175" t="s">
        <v>2867</v>
      </c>
      <c r="CU5" s="175"/>
      <c r="CV5" s="181" t="s">
        <v>2879</v>
      </c>
      <c r="CW5" s="67"/>
      <c r="CX5" s="182"/>
      <c r="CY5" s="175" t="s">
        <v>2880</v>
      </c>
      <c r="CZ5" s="175"/>
      <c r="DA5" s="175" t="s">
        <v>2902</v>
      </c>
      <c r="DB5" s="175" t="s">
        <v>2902</v>
      </c>
      <c r="DC5" s="175"/>
      <c r="DD5" s="175"/>
      <c r="DE5" s="176"/>
      <c r="DF5" s="175"/>
      <c r="DG5" s="182"/>
      <c r="DH5" s="183">
        <v>0</v>
      </c>
      <c r="DI5" s="67"/>
      <c r="DJ5" s="67"/>
      <c r="DK5" s="67"/>
      <c r="DL5" s="67"/>
      <c r="DM5" s="67"/>
      <c r="DN5" s="183">
        <v>0</v>
      </c>
      <c r="DO5" s="183">
        <v>0</v>
      </c>
      <c r="DP5" s="67" t="s">
        <v>2867</v>
      </c>
      <c r="DQ5" s="175"/>
      <c r="DR5" s="175"/>
      <c r="DS5" s="175" t="s">
        <v>2882</v>
      </c>
      <c r="DT5" s="175"/>
      <c r="DU5" s="175"/>
      <c r="DV5" s="175" t="s">
        <v>2883</v>
      </c>
      <c r="DW5" s="175" t="s">
        <v>2884</v>
      </c>
      <c r="DX5" s="175" t="s">
        <v>2879</v>
      </c>
    </row>
    <row r="6" spans="1:128" ht="19.5" customHeight="1">
      <c r="A6" s="173"/>
      <c r="B6" s="174" t="s">
        <v>2903</v>
      </c>
      <c r="C6" s="67"/>
      <c r="D6" s="67"/>
      <c r="E6" s="191" t="s">
        <v>2893</v>
      </c>
      <c r="F6" s="174" t="s">
        <v>2904</v>
      </c>
      <c r="G6" s="175" t="s">
        <v>2905</v>
      </c>
      <c r="H6" s="191" t="s">
        <v>2857</v>
      </c>
      <c r="I6" s="191" t="s">
        <v>2858</v>
      </c>
      <c r="J6" s="175" t="s">
        <v>2859</v>
      </c>
      <c r="K6" s="176">
        <v>46177</v>
      </c>
      <c r="L6" s="67" t="s">
        <v>2906</v>
      </c>
      <c r="M6" s="175" t="s">
        <v>2334</v>
      </c>
      <c r="N6" s="67" t="s">
        <v>2334</v>
      </c>
      <c r="O6" s="67" t="s">
        <v>2327</v>
      </c>
      <c r="P6" s="67" t="s">
        <v>2890</v>
      </c>
      <c r="Q6" s="67"/>
      <c r="R6" s="67"/>
      <c r="S6" s="67" t="s">
        <v>110</v>
      </c>
      <c r="T6" s="177" t="s">
        <v>2863</v>
      </c>
      <c r="U6" s="67" t="s">
        <v>116</v>
      </c>
      <c r="V6" s="67" t="s">
        <v>2891</v>
      </c>
      <c r="W6" s="175" t="s">
        <v>2865</v>
      </c>
      <c r="X6" s="67"/>
      <c r="Y6" s="67" t="s">
        <v>2866</v>
      </c>
      <c r="Z6" s="67"/>
      <c r="AA6" s="175"/>
      <c r="AB6" s="175"/>
      <c r="AC6" s="175"/>
      <c r="AD6" s="175"/>
      <c r="AE6" s="175"/>
      <c r="AF6" s="176"/>
      <c r="AG6" s="176"/>
      <c r="AH6" s="176"/>
      <c r="AI6" s="67"/>
      <c r="AJ6" s="67"/>
      <c r="AK6" s="67" t="s">
        <v>2867</v>
      </c>
      <c r="AL6" s="67"/>
      <c r="AM6" s="176"/>
      <c r="AN6" s="176"/>
      <c r="AO6" s="67"/>
      <c r="AP6" s="67" t="s">
        <v>2867</v>
      </c>
      <c r="AQ6" s="67" t="s">
        <v>2868</v>
      </c>
      <c r="AR6" s="175"/>
      <c r="AS6" s="175" t="s">
        <v>2869</v>
      </c>
      <c r="AT6" s="175" t="s">
        <v>2867</v>
      </c>
      <c r="AU6" s="175"/>
      <c r="AV6" s="178">
        <v>0</v>
      </c>
      <c r="AW6" s="67"/>
      <c r="AX6" s="175" t="s">
        <v>2867</v>
      </c>
      <c r="AY6" s="175" t="s">
        <v>2870</v>
      </c>
      <c r="AZ6" s="175" t="s">
        <v>2871</v>
      </c>
      <c r="BA6" s="175"/>
      <c r="BB6" s="175"/>
      <c r="BC6" s="175" t="s">
        <v>2859</v>
      </c>
      <c r="BD6" s="175" t="s">
        <v>2872</v>
      </c>
      <c r="BE6" s="175" t="s">
        <v>2873</v>
      </c>
      <c r="BF6" s="175"/>
      <c r="BG6" s="67"/>
      <c r="BH6" s="179"/>
      <c r="BI6" s="175" t="s">
        <v>2867</v>
      </c>
      <c r="BJ6" s="175"/>
      <c r="BK6" s="175" t="s">
        <v>2867</v>
      </c>
      <c r="BL6" s="175"/>
      <c r="BM6" s="175" t="s">
        <v>2874</v>
      </c>
      <c r="BN6" s="175" t="s">
        <v>2875</v>
      </c>
      <c r="BO6" s="180"/>
      <c r="BP6" s="67" t="s">
        <v>2867</v>
      </c>
      <c r="BQ6" s="175" t="s">
        <v>2876</v>
      </c>
      <c r="BR6" s="177" t="s">
        <v>2877</v>
      </c>
      <c r="BS6" s="177"/>
      <c r="BT6" s="67" t="s">
        <v>2867</v>
      </c>
      <c r="BU6" s="175"/>
      <c r="BV6" s="176"/>
      <c r="BW6" s="67" t="s">
        <v>2878</v>
      </c>
      <c r="BX6" s="175"/>
      <c r="BY6" s="175" t="s">
        <v>1999</v>
      </c>
      <c r="BZ6" s="177"/>
      <c r="CA6" s="175"/>
      <c r="CB6" s="175"/>
      <c r="CC6" s="177"/>
      <c r="CD6" s="177"/>
      <c r="CE6" s="67"/>
      <c r="CF6" s="67"/>
      <c r="CG6" s="177"/>
      <c r="CH6" s="176"/>
      <c r="CI6" s="176"/>
      <c r="CJ6" s="175"/>
      <c r="CK6" s="67" t="s">
        <v>2867</v>
      </c>
      <c r="CL6" s="175"/>
      <c r="CM6" s="175"/>
      <c r="CN6" s="175"/>
      <c r="CO6" s="175"/>
      <c r="CP6" s="67"/>
      <c r="CQ6" s="175" t="s">
        <v>2867</v>
      </c>
      <c r="CR6" s="175"/>
      <c r="CS6" s="67"/>
      <c r="CT6" s="175" t="s">
        <v>2867</v>
      </c>
      <c r="CU6" s="175"/>
      <c r="CV6" s="181" t="s">
        <v>2879</v>
      </c>
      <c r="CW6" s="67"/>
      <c r="CX6" s="182"/>
      <c r="CY6" s="175" t="s">
        <v>2880</v>
      </c>
      <c r="CZ6" s="175"/>
      <c r="DA6" s="175" t="s">
        <v>2907</v>
      </c>
      <c r="DB6" s="175" t="s">
        <v>2907</v>
      </c>
      <c r="DC6" s="175"/>
      <c r="DD6" s="175"/>
      <c r="DE6" s="176"/>
      <c r="DF6" s="175"/>
      <c r="DG6" s="182"/>
      <c r="DH6" s="183">
        <v>0</v>
      </c>
      <c r="DI6" s="67"/>
      <c r="DJ6" s="67"/>
      <c r="DK6" s="67"/>
      <c r="DL6" s="67"/>
      <c r="DM6" s="67"/>
      <c r="DN6" s="183">
        <v>0</v>
      </c>
      <c r="DO6" s="183">
        <v>0</v>
      </c>
      <c r="DP6" s="67" t="s">
        <v>2867</v>
      </c>
      <c r="DQ6" s="175"/>
      <c r="DR6" s="175"/>
      <c r="DS6" s="175" t="s">
        <v>2882</v>
      </c>
      <c r="DT6" s="175"/>
      <c r="DU6" s="175"/>
      <c r="DV6" s="175" t="s">
        <v>2883</v>
      </c>
      <c r="DW6" s="175" t="s">
        <v>2884</v>
      </c>
      <c r="DX6" s="175" t="s">
        <v>2879</v>
      </c>
    </row>
    <row r="7" spans="1:128" ht="19.5" customHeight="1">
      <c r="A7" s="173"/>
      <c r="B7" s="174" t="s">
        <v>2908</v>
      </c>
      <c r="C7" s="67"/>
      <c r="D7" s="67"/>
      <c r="E7" s="190" t="s">
        <v>2893</v>
      </c>
      <c r="F7" s="174" t="s">
        <v>2909</v>
      </c>
      <c r="G7" s="175" t="s">
        <v>2910</v>
      </c>
      <c r="H7" s="190" t="s">
        <v>2857</v>
      </c>
      <c r="I7" s="190" t="s">
        <v>2858</v>
      </c>
      <c r="J7" s="175" t="s">
        <v>2859</v>
      </c>
      <c r="K7" s="176">
        <v>46177</v>
      </c>
      <c r="L7" s="67" t="s">
        <v>2901</v>
      </c>
      <c r="M7" s="175" t="s">
        <v>2334</v>
      </c>
      <c r="N7" s="67" t="s">
        <v>2334</v>
      </c>
      <c r="O7" s="67" t="s">
        <v>2327</v>
      </c>
      <c r="P7" s="67" t="s">
        <v>2890</v>
      </c>
      <c r="Q7" s="67"/>
      <c r="R7" s="67"/>
      <c r="S7" s="67" t="s">
        <v>110</v>
      </c>
      <c r="T7" s="177" t="s">
        <v>2863</v>
      </c>
      <c r="U7" s="67" t="s">
        <v>116</v>
      </c>
      <c r="V7" s="67" t="s">
        <v>2911</v>
      </c>
      <c r="W7" s="175" t="s">
        <v>2865</v>
      </c>
      <c r="X7" s="67"/>
      <c r="Y7" s="67" t="s">
        <v>2866</v>
      </c>
      <c r="Z7" s="67"/>
      <c r="AA7" s="175"/>
      <c r="AB7" s="175"/>
      <c r="AC7" s="175"/>
      <c r="AD7" s="175"/>
      <c r="AE7" s="175"/>
      <c r="AF7" s="176"/>
      <c r="AG7" s="176"/>
      <c r="AH7" s="176"/>
      <c r="AI7" s="67"/>
      <c r="AJ7" s="67"/>
      <c r="AK7" s="67" t="s">
        <v>2867</v>
      </c>
      <c r="AL7" s="67"/>
      <c r="AM7" s="176"/>
      <c r="AN7" s="176"/>
      <c r="AO7" s="67"/>
      <c r="AP7" s="67" t="s">
        <v>2867</v>
      </c>
      <c r="AQ7" s="67" t="s">
        <v>2868</v>
      </c>
      <c r="AR7" s="175"/>
      <c r="AS7" s="175" t="s">
        <v>2869</v>
      </c>
      <c r="AT7" s="175" t="s">
        <v>2867</v>
      </c>
      <c r="AU7" s="175"/>
      <c r="AV7" s="178">
        <v>0</v>
      </c>
      <c r="AW7" s="67"/>
      <c r="AX7" s="175" t="s">
        <v>2867</v>
      </c>
      <c r="AY7" s="175" t="s">
        <v>2870</v>
      </c>
      <c r="AZ7" s="175" t="s">
        <v>2871</v>
      </c>
      <c r="BA7" s="175"/>
      <c r="BB7" s="175"/>
      <c r="BC7" s="175" t="s">
        <v>2859</v>
      </c>
      <c r="BD7" s="175" t="s">
        <v>2872</v>
      </c>
      <c r="BE7" s="175" t="s">
        <v>2873</v>
      </c>
      <c r="BF7" s="175"/>
      <c r="BG7" s="67"/>
      <c r="BH7" s="179"/>
      <c r="BI7" s="175" t="s">
        <v>2867</v>
      </c>
      <c r="BJ7" s="175"/>
      <c r="BK7" s="175" t="s">
        <v>2867</v>
      </c>
      <c r="BL7" s="175"/>
      <c r="BM7" s="175" t="s">
        <v>2874</v>
      </c>
      <c r="BN7" s="175" t="s">
        <v>2875</v>
      </c>
      <c r="BO7" s="180"/>
      <c r="BP7" s="67" t="s">
        <v>2867</v>
      </c>
      <c r="BQ7" s="175" t="s">
        <v>2876</v>
      </c>
      <c r="BR7" s="177" t="s">
        <v>2877</v>
      </c>
      <c r="BS7" s="177"/>
      <c r="BT7" s="67" t="s">
        <v>2867</v>
      </c>
      <c r="BU7" s="175"/>
      <c r="BV7" s="176"/>
      <c r="BW7" s="67" t="s">
        <v>2878</v>
      </c>
      <c r="BX7" s="175"/>
      <c r="BY7" s="175" t="s">
        <v>1999</v>
      </c>
      <c r="BZ7" s="177"/>
      <c r="CA7" s="175"/>
      <c r="CB7" s="175"/>
      <c r="CC7" s="177"/>
      <c r="CD7" s="177"/>
      <c r="CE7" s="67"/>
      <c r="CF7" s="67"/>
      <c r="CG7" s="177"/>
      <c r="CH7" s="176"/>
      <c r="CI7" s="176"/>
      <c r="CJ7" s="175"/>
      <c r="CK7" s="67" t="s">
        <v>2867</v>
      </c>
      <c r="CL7" s="175"/>
      <c r="CM7" s="175"/>
      <c r="CN7" s="175"/>
      <c r="CO7" s="175"/>
      <c r="CP7" s="67"/>
      <c r="CQ7" s="175" t="s">
        <v>2867</v>
      </c>
      <c r="CR7" s="175"/>
      <c r="CS7" s="67"/>
      <c r="CT7" s="175" t="s">
        <v>2867</v>
      </c>
      <c r="CU7" s="175"/>
      <c r="CV7" s="181" t="s">
        <v>2879</v>
      </c>
      <c r="CW7" s="67"/>
      <c r="CX7" s="182"/>
      <c r="CY7" s="175" t="s">
        <v>2880</v>
      </c>
      <c r="CZ7" s="175"/>
      <c r="DA7" s="175" t="s">
        <v>2881</v>
      </c>
      <c r="DB7" s="175" t="s">
        <v>2881</v>
      </c>
      <c r="DC7" s="175"/>
      <c r="DD7" s="175"/>
      <c r="DE7" s="176"/>
      <c r="DF7" s="175"/>
      <c r="DG7" s="182"/>
      <c r="DH7" s="183">
        <v>0</v>
      </c>
      <c r="DI7" s="67"/>
      <c r="DJ7" s="67"/>
      <c r="DK7" s="67"/>
      <c r="DL7" s="67"/>
      <c r="DM7" s="67"/>
      <c r="DN7" s="183">
        <v>0</v>
      </c>
      <c r="DO7" s="183">
        <v>0</v>
      </c>
      <c r="DP7" s="67" t="s">
        <v>2867</v>
      </c>
      <c r="DQ7" s="175"/>
      <c r="DR7" s="175"/>
      <c r="DS7" s="175" t="s">
        <v>2882</v>
      </c>
      <c r="DT7" s="175"/>
      <c r="DU7" s="175"/>
      <c r="DV7" s="175" t="s">
        <v>2883</v>
      </c>
      <c r="DW7" s="175" t="s">
        <v>2884</v>
      </c>
      <c r="DX7" s="175" t="s">
        <v>2879</v>
      </c>
    </row>
    <row r="8" spans="1:128" ht="19.5" customHeight="1">
      <c r="A8" s="173"/>
      <c r="B8" s="174" t="s">
        <v>2912</v>
      </c>
      <c r="C8" s="67"/>
      <c r="D8" s="67"/>
      <c r="E8" s="174" t="s">
        <v>2913</v>
      </c>
      <c r="F8" s="174" t="s">
        <v>2914</v>
      </c>
      <c r="G8" s="175" t="s">
        <v>2915</v>
      </c>
      <c r="H8" s="174" t="s">
        <v>2857</v>
      </c>
      <c r="I8" s="174" t="s">
        <v>2858</v>
      </c>
      <c r="J8" s="175" t="s">
        <v>2859</v>
      </c>
      <c r="K8" s="176">
        <v>46177</v>
      </c>
      <c r="L8" s="67" t="s">
        <v>2916</v>
      </c>
      <c r="M8" s="175" t="s">
        <v>2861</v>
      </c>
      <c r="N8" s="67" t="s">
        <v>2861</v>
      </c>
      <c r="O8" s="67" t="s">
        <v>2328</v>
      </c>
      <c r="P8" s="67" t="s">
        <v>2862</v>
      </c>
      <c r="Q8" s="67"/>
      <c r="R8" s="67"/>
      <c r="S8" s="67" t="s">
        <v>957</v>
      </c>
      <c r="T8" s="177" t="s">
        <v>2863</v>
      </c>
      <c r="U8" s="67" t="s">
        <v>116</v>
      </c>
      <c r="V8" s="67" t="s">
        <v>2891</v>
      </c>
      <c r="W8" s="175" t="s">
        <v>2865</v>
      </c>
      <c r="X8" s="67"/>
      <c r="Y8" s="67" t="s">
        <v>2866</v>
      </c>
      <c r="Z8" s="67"/>
      <c r="AA8" s="175"/>
      <c r="AB8" s="175"/>
      <c r="AC8" s="175"/>
      <c r="AD8" s="175"/>
      <c r="AE8" s="175"/>
      <c r="AF8" s="176"/>
      <c r="AG8" s="176"/>
      <c r="AH8" s="176"/>
      <c r="AI8" s="67"/>
      <c r="AJ8" s="67"/>
      <c r="AK8" s="67" t="s">
        <v>2867</v>
      </c>
      <c r="AL8" s="67"/>
      <c r="AM8" s="176"/>
      <c r="AN8" s="176"/>
      <c r="AO8" s="67"/>
      <c r="AP8" s="67" t="s">
        <v>2867</v>
      </c>
      <c r="AQ8" s="67" t="s">
        <v>2868</v>
      </c>
      <c r="AR8" s="175"/>
      <c r="AS8" s="175" t="s">
        <v>2869</v>
      </c>
      <c r="AT8" s="175" t="s">
        <v>2867</v>
      </c>
      <c r="AU8" s="175"/>
      <c r="AV8" s="178">
        <v>0</v>
      </c>
      <c r="AW8" s="67"/>
      <c r="AX8" s="175" t="s">
        <v>2867</v>
      </c>
      <c r="AY8" s="175" t="s">
        <v>2870</v>
      </c>
      <c r="AZ8" s="175" t="s">
        <v>2871</v>
      </c>
      <c r="BA8" s="175"/>
      <c r="BB8" s="175"/>
      <c r="BC8" s="175" t="s">
        <v>2859</v>
      </c>
      <c r="BD8" s="175" t="s">
        <v>2872</v>
      </c>
      <c r="BE8" s="175" t="s">
        <v>2873</v>
      </c>
      <c r="BF8" s="175"/>
      <c r="BG8" s="67"/>
      <c r="BH8" s="179"/>
      <c r="BI8" s="175" t="s">
        <v>2867</v>
      </c>
      <c r="BJ8" s="175"/>
      <c r="BK8" s="175" t="s">
        <v>2867</v>
      </c>
      <c r="BL8" s="175"/>
      <c r="BM8" s="175" t="s">
        <v>2874</v>
      </c>
      <c r="BN8" s="175" t="s">
        <v>2875</v>
      </c>
      <c r="BO8" s="180"/>
      <c r="BP8" s="67" t="s">
        <v>2867</v>
      </c>
      <c r="BQ8" s="175" t="s">
        <v>2876</v>
      </c>
      <c r="BR8" s="177" t="s">
        <v>2877</v>
      </c>
      <c r="BS8" s="177"/>
      <c r="BT8" s="67" t="s">
        <v>2867</v>
      </c>
      <c r="BU8" s="175"/>
      <c r="BV8" s="176"/>
      <c r="BW8" s="67" t="s">
        <v>2878</v>
      </c>
      <c r="BX8" s="175"/>
      <c r="BY8" s="175" t="s">
        <v>1999</v>
      </c>
      <c r="BZ8" s="177"/>
      <c r="CA8" s="175"/>
      <c r="CB8" s="175"/>
      <c r="CC8" s="177"/>
      <c r="CD8" s="177"/>
      <c r="CE8" s="67"/>
      <c r="CF8" s="67"/>
      <c r="CG8" s="177"/>
      <c r="CH8" s="176"/>
      <c r="CI8" s="176"/>
      <c r="CJ8" s="175"/>
      <c r="CK8" s="67" t="s">
        <v>2867</v>
      </c>
      <c r="CL8" s="175"/>
      <c r="CM8" s="175"/>
      <c r="CN8" s="175"/>
      <c r="CO8" s="175"/>
      <c r="CP8" s="67"/>
      <c r="CQ8" s="175" t="s">
        <v>2867</v>
      </c>
      <c r="CR8" s="175"/>
      <c r="CS8" s="67"/>
      <c r="CT8" s="175" t="s">
        <v>2867</v>
      </c>
      <c r="CU8" s="175"/>
      <c r="CV8" s="181" t="s">
        <v>2879</v>
      </c>
      <c r="CW8" s="67"/>
      <c r="CX8" s="182"/>
      <c r="CY8" s="175" t="s">
        <v>2880</v>
      </c>
      <c r="CZ8" s="175"/>
      <c r="DA8" s="175" t="s">
        <v>2881</v>
      </c>
      <c r="DB8" s="175" t="s">
        <v>2881</v>
      </c>
      <c r="DC8" s="175"/>
      <c r="DD8" s="175"/>
      <c r="DE8" s="176"/>
      <c r="DF8" s="175"/>
      <c r="DG8" s="182"/>
      <c r="DH8" s="183">
        <v>0</v>
      </c>
      <c r="DI8" s="67"/>
      <c r="DJ8" s="67"/>
      <c r="DK8" s="67"/>
      <c r="DL8" s="67"/>
      <c r="DM8" s="67"/>
      <c r="DN8" s="183">
        <v>0</v>
      </c>
      <c r="DO8" s="183">
        <v>0</v>
      </c>
      <c r="DP8" s="67" t="s">
        <v>2867</v>
      </c>
      <c r="DQ8" s="175"/>
      <c r="DR8" s="175"/>
      <c r="DS8" s="175" t="s">
        <v>2882</v>
      </c>
      <c r="DT8" s="175"/>
      <c r="DU8" s="175"/>
      <c r="DV8" s="175" t="s">
        <v>2883</v>
      </c>
      <c r="DW8" s="175" t="s">
        <v>2884</v>
      </c>
      <c r="DX8" s="175" t="s">
        <v>2879</v>
      </c>
    </row>
    <row r="9" spans="1:128" ht="19.5" customHeight="1">
      <c r="A9" s="173"/>
      <c r="B9" s="174" t="s">
        <v>2917</v>
      </c>
      <c r="C9" s="67"/>
      <c r="D9" s="67"/>
      <c r="E9" s="174" t="s">
        <v>2918</v>
      </c>
      <c r="F9" s="174" t="s">
        <v>2919</v>
      </c>
      <c r="G9" s="175" t="s">
        <v>2920</v>
      </c>
      <c r="H9" s="174" t="s">
        <v>2857</v>
      </c>
      <c r="I9" s="174" t="s">
        <v>2858</v>
      </c>
      <c r="J9" s="175" t="s">
        <v>2859</v>
      </c>
      <c r="K9" s="176">
        <v>46177</v>
      </c>
      <c r="L9" s="67" t="s">
        <v>2921</v>
      </c>
      <c r="M9" s="175" t="s">
        <v>2334</v>
      </c>
      <c r="N9" s="67" t="s">
        <v>2334</v>
      </c>
      <c r="O9" s="67" t="s">
        <v>2327</v>
      </c>
      <c r="P9" s="67" t="s">
        <v>2890</v>
      </c>
      <c r="Q9" s="67"/>
      <c r="R9" s="67"/>
      <c r="S9" s="67" t="s">
        <v>957</v>
      </c>
      <c r="T9" s="177" t="s">
        <v>2863</v>
      </c>
      <c r="U9" s="67" t="s">
        <v>1277</v>
      </c>
      <c r="V9" s="67" t="s">
        <v>2922</v>
      </c>
      <c r="W9" s="175" t="s">
        <v>2865</v>
      </c>
      <c r="X9" s="67"/>
      <c r="Y9" s="67" t="s">
        <v>2866</v>
      </c>
      <c r="Z9" s="67"/>
      <c r="AA9" s="175"/>
      <c r="AB9" s="175"/>
      <c r="AC9" s="175"/>
      <c r="AD9" s="175"/>
      <c r="AE9" s="175"/>
      <c r="AF9" s="176"/>
      <c r="AG9" s="176"/>
      <c r="AH9" s="176"/>
      <c r="AI9" s="67"/>
      <c r="AJ9" s="67"/>
      <c r="AK9" s="67" t="s">
        <v>2867</v>
      </c>
      <c r="AL9" s="67"/>
      <c r="AM9" s="176"/>
      <c r="AN9" s="176"/>
      <c r="AO9" s="67"/>
      <c r="AP9" s="67" t="s">
        <v>2867</v>
      </c>
      <c r="AQ9" s="67" t="s">
        <v>2868</v>
      </c>
      <c r="AR9" s="175"/>
      <c r="AS9" s="175" t="s">
        <v>2869</v>
      </c>
      <c r="AT9" s="175" t="s">
        <v>2867</v>
      </c>
      <c r="AU9" s="175"/>
      <c r="AV9" s="178">
        <v>0</v>
      </c>
      <c r="AW9" s="67"/>
      <c r="AX9" s="175" t="s">
        <v>2867</v>
      </c>
      <c r="AY9" s="175" t="s">
        <v>2870</v>
      </c>
      <c r="AZ9" s="175" t="s">
        <v>2871</v>
      </c>
      <c r="BA9" s="175"/>
      <c r="BB9" s="175"/>
      <c r="BC9" s="175" t="s">
        <v>2859</v>
      </c>
      <c r="BD9" s="175" t="s">
        <v>2872</v>
      </c>
      <c r="BE9" s="175" t="s">
        <v>2873</v>
      </c>
      <c r="BF9" s="175"/>
      <c r="BG9" s="67"/>
      <c r="BH9" s="179"/>
      <c r="BI9" s="175" t="s">
        <v>2867</v>
      </c>
      <c r="BJ9" s="175"/>
      <c r="BK9" s="175" t="s">
        <v>2867</v>
      </c>
      <c r="BL9" s="175"/>
      <c r="BM9" s="175" t="s">
        <v>2874</v>
      </c>
      <c r="BN9" s="175" t="s">
        <v>2875</v>
      </c>
      <c r="BO9" s="180"/>
      <c r="BP9" s="67" t="s">
        <v>2867</v>
      </c>
      <c r="BQ9" s="175" t="s">
        <v>2876</v>
      </c>
      <c r="BR9" s="177" t="s">
        <v>2877</v>
      </c>
      <c r="BS9" s="177"/>
      <c r="BT9" s="67" t="s">
        <v>2867</v>
      </c>
      <c r="BU9" s="175"/>
      <c r="BV9" s="176"/>
      <c r="BW9" s="67" t="s">
        <v>2878</v>
      </c>
      <c r="BX9" s="175"/>
      <c r="BY9" s="175" t="s">
        <v>1999</v>
      </c>
      <c r="BZ9" s="177"/>
      <c r="CA9" s="175"/>
      <c r="CB9" s="175"/>
      <c r="CC9" s="177"/>
      <c r="CD9" s="177"/>
      <c r="CE9" s="67"/>
      <c r="CF9" s="67"/>
      <c r="CG9" s="177"/>
      <c r="CH9" s="176"/>
      <c r="CI9" s="176"/>
      <c r="CJ9" s="175"/>
      <c r="CK9" s="67" t="s">
        <v>2867</v>
      </c>
      <c r="CL9" s="175"/>
      <c r="CM9" s="175"/>
      <c r="CN9" s="175"/>
      <c r="CO9" s="175"/>
      <c r="CP9" s="67"/>
      <c r="CQ9" s="175" t="s">
        <v>2867</v>
      </c>
      <c r="CR9" s="175"/>
      <c r="CS9" s="67"/>
      <c r="CT9" s="175" t="s">
        <v>2867</v>
      </c>
      <c r="CU9" s="175"/>
      <c r="CV9" s="181" t="s">
        <v>2879</v>
      </c>
      <c r="CW9" s="67"/>
      <c r="CX9" s="182"/>
      <c r="CY9" s="175" t="s">
        <v>2880</v>
      </c>
      <c r="CZ9" s="175"/>
      <c r="DA9" s="175" t="s">
        <v>2881</v>
      </c>
      <c r="DB9" s="175" t="s">
        <v>2881</v>
      </c>
      <c r="DC9" s="175"/>
      <c r="DD9" s="175"/>
      <c r="DE9" s="176"/>
      <c r="DF9" s="175"/>
      <c r="DG9" s="182"/>
      <c r="DH9" s="183">
        <v>0</v>
      </c>
      <c r="DI9" s="67"/>
      <c r="DJ9" s="67"/>
      <c r="DK9" s="67"/>
      <c r="DL9" s="67"/>
      <c r="DM9" s="67"/>
      <c r="DN9" s="183">
        <v>0</v>
      </c>
      <c r="DO9" s="183">
        <v>0</v>
      </c>
      <c r="DP9" s="67" t="s">
        <v>2867</v>
      </c>
      <c r="DQ9" s="175"/>
      <c r="DR9" s="175"/>
      <c r="DS9" s="175" t="s">
        <v>2882</v>
      </c>
      <c r="DT9" s="175"/>
      <c r="DU9" s="175"/>
      <c r="DV9" s="175" t="s">
        <v>2883</v>
      </c>
      <c r="DW9" s="175" t="s">
        <v>2884</v>
      </c>
      <c r="DX9" s="175" t="s">
        <v>2879</v>
      </c>
    </row>
    <row r="10" spans="1:128" ht="19.5" customHeight="1">
      <c r="A10" s="173"/>
      <c r="B10" s="174" t="s">
        <v>2923</v>
      </c>
      <c r="C10" s="67"/>
      <c r="D10" s="67"/>
      <c r="E10" s="174" t="s">
        <v>2924</v>
      </c>
      <c r="F10" s="174" t="s">
        <v>2925</v>
      </c>
      <c r="G10" s="175" t="s">
        <v>2926</v>
      </c>
      <c r="H10" s="174" t="s">
        <v>2857</v>
      </c>
      <c r="I10" s="174" t="s">
        <v>2858</v>
      </c>
      <c r="J10" s="175" t="s">
        <v>2859</v>
      </c>
      <c r="K10" s="176">
        <v>46177</v>
      </c>
      <c r="L10" s="67" t="s">
        <v>2927</v>
      </c>
      <c r="M10" s="175" t="s">
        <v>2334</v>
      </c>
      <c r="N10" s="67" t="s">
        <v>2334</v>
      </c>
      <c r="O10" s="67" t="s">
        <v>2327</v>
      </c>
      <c r="P10" s="67" t="s">
        <v>2890</v>
      </c>
      <c r="Q10" s="67"/>
      <c r="R10" s="67"/>
      <c r="S10" s="67" t="s">
        <v>957</v>
      </c>
      <c r="T10" s="177" t="s">
        <v>2863</v>
      </c>
      <c r="U10" s="67" t="s">
        <v>1277</v>
      </c>
      <c r="V10" s="67" t="s">
        <v>2891</v>
      </c>
      <c r="W10" s="175" t="s">
        <v>2865</v>
      </c>
      <c r="X10" s="67"/>
      <c r="Y10" s="67" t="s">
        <v>2866</v>
      </c>
      <c r="Z10" s="67"/>
      <c r="AA10" s="175"/>
      <c r="AB10" s="175"/>
      <c r="AC10" s="175"/>
      <c r="AD10" s="175"/>
      <c r="AE10" s="175"/>
      <c r="AF10" s="176"/>
      <c r="AG10" s="176"/>
      <c r="AH10" s="176"/>
      <c r="AI10" s="67"/>
      <c r="AJ10" s="67"/>
      <c r="AK10" s="67" t="s">
        <v>2867</v>
      </c>
      <c r="AL10" s="67"/>
      <c r="AM10" s="176"/>
      <c r="AN10" s="176"/>
      <c r="AO10" s="67"/>
      <c r="AP10" s="67" t="s">
        <v>2867</v>
      </c>
      <c r="AQ10" s="67" t="s">
        <v>2868</v>
      </c>
      <c r="AR10" s="175"/>
      <c r="AS10" s="175" t="s">
        <v>2869</v>
      </c>
      <c r="AT10" s="175" t="s">
        <v>2867</v>
      </c>
      <c r="AU10" s="175"/>
      <c r="AV10" s="178">
        <v>0</v>
      </c>
      <c r="AW10" s="67"/>
      <c r="AX10" s="175" t="s">
        <v>2867</v>
      </c>
      <c r="AY10" s="175" t="s">
        <v>2870</v>
      </c>
      <c r="AZ10" s="175" t="s">
        <v>2871</v>
      </c>
      <c r="BA10" s="175"/>
      <c r="BB10" s="175"/>
      <c r="BC10" s="175" t="s">
        <v>2859</v>
      </c>
      <c r="BD10" s="175" t="s">
        <v>2872</v>
      </c>
      <c r="BE10" s="175" t="s">
        <v>2873</v>
      </c>
      <c r="BF10" s="175"/>
      <c r="BG10" s="67"/>
      <c r="BH10" s="179"/>
      <c r="BI10" s="175" t="s">
        <v>2867</v>
      </c>
      <c r="BJ10" s="175"/>
      <c r="BK10" s="175" t="s">
        <v>2867</v>
      </c>
      <c r="BL10" s="175"/>
      <c r="BM10" s="175" t="s">
        <v>2874</v>
      </c>
      <c r="BN10" s="175" t="s">
        <v>2875</v>
      </c>
      <c r="BO10" s="180"/>
      <c r="BP10" s="67" t="s">
        <v>2867</v>
      </c>
      <c r="BQ10" s="175" t="s">
        <v>2876</v>
      </c>
      <c r="BR10" s="177" t="s">
        <v>2877</v>
      </c>
      <c r="BS10" s="177"/>
      <c r="BT10" s="67" t="s">
        <v>2867</v>
      </c>
      <c r="BU10" s="175"/>
      <c r="BV10" s="176"/>
      <c r="BW10" s="67" t="s">
        <v>2878</v>
      </c>
      <c r="BX10" s="175"/>
      <c r="BY10" s="175" t="s">
        <v>1999</v>
      </c>
      <c r="BZ10" s="177"/>
      <c r="CA10" s="175"/>
      <c r="CB10" s="175"/>
      <c r="CC10" s="177"/>
      <c r="CD10" s="177"/>
      <c r="CE10" s="67"/>
      <c r="CF10" s="67"/>
      <c r="CG10" s="177"/>
      <c r="CH10" s="176"/>
      <c r="CI10" s="176"/>
      <c r="CJ10" s="175"/>
      <c r="CK10" s="67" t="s">
        <v>2867</v>
      </c>
      <c r="CL10" s="175"/>
      <c r="CM10" s="175"/>
      <c r="CN10" s="175"/>
      <c r="CO10" s="175"/>
      <c r="CP10" s="67"/>
      <c r="CQ10" s="175" t="s">
        <v>2867</v>
      </c>
      <c r="CR10" s="175"/>
      <c r="CS10" s="67"/>
      <c r="CT10" s="175" t="s">
        <v>2867</v>
      </c>
      <c r="CU10" s="175"/>
      <c r="CV10" s="181" t="s">
        <v>2879</v>
      </c>
      <c r="CW10" s="67"/>
      <c r="CX10" s="182"/>
      <c r="CY10" s="175" t="s">
        <v>2880</v>
      </c>
      <c r="CZ10" s="175"/>
      <c r="DA10" s="175" t="s">
        <v>2881</v>
      </c>
      <c r="DB10" s="175" t="s">
        <v>2881</v>
      </c>
      <c r="DC10" s="175"/>
      <c r="DD10" s="175"/>
      <c r="DE10" s="176"/>
      <c r="DF10" s="175"/>
      <c r="DG10" s="182"/>
      <c r="DH10" s="183">
        <v>0</v>
      </c>
      <c r="DI10" s="67"/>
      <c r="DJ10" s="67"/>
      <c r="DK10" s="67"/>
      <c r="DL10" s="67"/>
      <c r="DM10" s="67"/>
      <c r="DN10" s="183">
        <v>0</v>
      </c>
      <c r="DO10" s="183">
        <v>0</v>
      </c>
      <c r="DP10" s="67" t="s">
        <v>2867</v>
      </c>
      <c r="DQ10" s="175"/>
      <c r="DR10" s="175"/>
      <c r="DS10" s="175" t="s">
        <v>2882</v>
      </c>
      <c r="DT10" s="175"/>
      <c r="DU10" s="175"/>
      <c r="DV10" s="175" t="s">
        <v>2883</v>
      </c>
      <c r="DW10" s="175" t="s">
        <v>2884</v>
      </c>
      <c r="DX10" s="175" t="s">
        <v>2879</v>
      </c>
    </row>
    <row r="11" spans="1:128" ht="19.5" customHeight="1">
      <c r="A11" s="173"/>
      <c r="B11" s="174" t="s">
        <v>2928</v>
      </c>
      <c r="C11" s="67"/>
      <c r="D11" s="67"/>
      <c r="E11" s="174" t="s">
        <v>2929</v>
      </c>
      <c r="F11" s="174" t="s">
        <v>2930</v>
      </c>
      <c r="G11" s="175" t="s">
        <v>2931</v>
      </c>
      <c r="H11" s="174" t="s">
        <v>2857</v>
      </c>
      <c r="I11" s="174" t="s">
        <v>2858</v>
      </c>
      <c r="J11" s="175" t="s">
        <v>2859</v>
      </c>
      <c r="K11" s="176">
        <v>46177</v>
      </c>
      <c r="L11" s="67" t="s">
        <v>2932</v>
      </c>
      <c r="M11" s="175" t="s">
        <v>2648</v>
      </c>
      <c r="N11" s="67" t="s">
        <v>2648</v>
      </c>
      <c r="O11" s="67" t="s">
        <v>2933</v>
      </c>
      <c r="P11" s="67" t="s">
        <v>2934</v>
      </c>
      <c r="Q11" s="67"/>
      <c r="R11" s="67"/>
      <c r="S11" s="67" t="s">
        <v>103</v>
      </c>
      <c r="T11" s="177" t="s">
        <v>2863</v>
      </c>
      <c r="U11" s="67" t="s">
        <v>2935</v>
      </c>
      <c r="V11" s="67" t="s">
        <v>2896</v>
      </c>
      <c r="W11" s="175" t="s">
        <v>2865</v>
      </c>
      <c r="X11" s="67"/>
      <c r="Y11" s="67" t="s">
        <v>2866</v>
      </c>
      <c r="Z11" s="67"/>
      <c r="AA11" s="175"/>
      <c r="AB11" s="175"/>
      <c r="AC11" s="175"/>
      <c r="AD11" s="175"/>
      <c r="AE11" s="175"/>
      <c r="AF11" s="176"/>
      <c r="AG11" s="176"/>
      <c r="AH11" s="176"/>
      <c r="AI11" s="67"/>
      <c r="AJ11" s="67"/>
      <c r="AK11" s="67" t="s">
        <v>2867</v>
      </c>
      <c r="AL11" s="67"/>
      <c r="AM11" s="176"/>
      <c r="AN11" s="176"/>
      <c r="AO11" s="67"/>
      <c r="AP11" s="67" t="s">
        <v>2867</v>
      </c>
      <c r="AQ11" s="67" t="s">
        <v>2868</v>
      </c>
      <c r="AR11" s="175"/>
      <c r="AS11" s="175" t="s">
        <v>2869</v>
      </c>
      <c r="AT11" s="175" t="s">
        <v>2867</v>
      </c>
      <c r="AU11" s="175"/>
      <c r="AV11" s="178">
        <v>0</v>
      </c>
      <c r="AW11" s="67"/>
      <c r="AX11" s="175" t="s">
        <v>2867</v>
      </c>
      <c r="AY11" s="175" t="s">
        <v>2870</v>
      </c>
      <c r="AZ11" s="175" t="s">
        <v>2871</v>
      </c>
      <c r="BA11" s="175"/>
      <c r="BB11" s="175"/>
      <c r="BC11" s="175" t="s">
        <v>2859</v>
      </c>
      <c r="BD11" s="175" t="s">
        <v>2872</v>
      </c>
      <c r="BE11" s="175" t="s">
        <v>2873</v>
      </c>
      <c r="BF11" s="175"/>
      <c r="BG11" s="67"/>
      <c r="BH11" s="179"/>
      <c r="BI11" s="175" t="s">
        <v>2867</v>
      </c>
      <c r="BJ11" s="175"/>
      <c r="BK11" s="175" t="s">
        <v>2867</v>
      </c>
      <c r="BL11" s="175"/>
      <c r="BM11" s="175" t="s">
        <v>2936</v>
      </c>
      <c r="BN11" s="175" t="s">
        <v>2937</v>
      </c>
      <c r="BO11" s="180" t="s">
        <v>2879</v>
      </c>
      <c r="BP11" s="67" t="s">
        <v>2867</v>
      </c>
      <c r="BQ11" s="175" t="s">
        <v>1477</v>
      </c>
      <c r="BR11" s="177" t="s">
        <v>144</v>
      </c>
      <c r="BS11" s="177"/>
      <c r="BT11" s="67" t="s">
        <v>2867</v>
      </c>
      <c r="BU11" s="175"/>
      <c r="BV11" s="176"/>
      <c r="BW11" s="67" t="s">
        <v>2878</v>
      </c>
      <c r="BX11" s="175"/>
      <c r="BY11" s="175" t="s">
        <v>1999</v>
      </c>
      <c r="BZ11" s="177"/>
      <c r="CA11" s="175"/>
      <c r="CB11" s="175"/>
      <c r="CC11" s="177"/>
      <c r="CD11" s="177"/>
      <c r="CE11" s="67"/>
      <c r="CF11" s="67"/>
      <c r="CG11" s="177"/>
      <c r="CH11" s="176"/>
      <c r="CI11" s="176"/>
      <c r="CJ11" s="175"/>
      <c r="CK11" s="67" t="s">
        <v>2867</v>
      </c>
      <c r="CL11" s="175"/>
      <c r="CM11" s="175"/>
      <c r="CN11" s="175"/>
      <c r="CO11" s="175"/>
      <c r="CP11" s="67"/>
      <c r="CQ11" s="175" t="s">
        <v>2867</v>
      </c>
      <c r="CR11" s="175"/>
      <c r="CS11" s="67"/>
      <c r="CT11" s="175" t="s">
        <v>2867</v>
      </c>
      <c r="CU11" s="175"/>
      <c r="CV11" s="181" t="s">
        <v>2879</v>
      </c>
      <c r="CW11" s="67"/>
      <c r="CX11" s="182"/>
      <c r="CY11" s="175" t="s">
        <v>2880</v>
      </c>
      <c r="CZ11" s="175"/>
      <c r="DA11" s="175" t="s">
        <v>2881</v>
      </c>
      <c r="DB11" s="175" t="s">
        <v>2881</v>
      </c>
      <c r="DC11" s="175"/>
      <c r="DD11" s="175"/>
      <c r="DE11" s="176"/>
      <c r="DF11" s="175"/>
      <c r="DG11" s="182"/>
      <c r="DH11" s="183">
        <v>1023500</v>
      </c>
      <c r="DI11" s="67"/>
      <c r="DJ11" s="67"/>
      <c r="DK11" s="67"/>
      <c r="DL11" s="67"/>
      <c r="DM11" s="67"/>
      <c r="DN11" s="183">
        <v>0</v>
      </c>
      <c r="DO11" s="183">
        <v>0</v>
      </c>
      <c r="DP11" s="67" t="s">
        <v>2867</v>
      </c>
      <c r="DQ11" s="175"/>
      <c r="DR11" s="175"/>
      <c r="DS11" s="175" t="s">
        <v>2882</v>
      </c>
      <c r="DT11" s="175"/>
      <c r="DU11" s="175"/>
      <c r="DV11" s="175" t="s">
        <v>2883</v>
      </c>
      <c r="DW11" s="175" t="s">
        <v>2884</v>
      </c>
      <c r="DX11" s="175" t="s">
        <v>2879</v>
      </c>
    </row>
    <row r="12" spans="1:128" ht="19.5" customHeight="1">
      <c r="A12" s="173"/>
      <c r="B12" s="174" t="s">
        <v>2938</v>
      </c>
      <c r="C12" s="67"/>
      <c r="D12" s="67"/>
      <c r="E12" s="174" t="s">
        <v>2939</v>
      </c>
      <c r="F12" s="174" t="s">
        <v>2940</v>
      </c>
      <c r="G12" s="175" t="s">
        <v>2941</v>
      </c>
      <c r="H12" s="174" t="s">
        <v>2942</v>
      </c>
      <c r="I12" s="174" t="s">
        <v>2858</v>
      </c>
      <c r="J12" s="175" t="s">
        <v>2859</v>
      </c>
      <c r="K12" s="176">
        <v>46177</v>
      </c>
      <c r="L12" s="67" t="s">
        <v>2943</v>
      </c>
      <c r="M12" s="175" t="s">
        <v>2648</v>
      </c>
      <c r="N12" s="67" t="s">
        <v>2648</v>
      </c>
      <c r="O12" s="67" t="s">
        <v>2933</v>
      </c>
      <c r="P12" s="67" t="s">
        <v>2934</v>
      </c>
      <c r="Q12" s="67"/>
      <c r="R12" s="67"/>
      <c r="S12" s="67" t="s">
        <v>103</v>
      </c>
      <c r="T12" s="177" t="s">
        <v>2863</v>
      </c>
      <c r="U12" s="67" t="s">
        <v>1270</v>
      </c>
      <c r="V12" s="67" t="s">
        <v>2944</v>
      </c>
      <c r="W12" s="175" t="s">
        <v>2865</v>
      </c>
      <c r="X12" s="67" t="s">
        <v>2945</v>
      </c>
      <c r="Y12" s="67" t="s">
        <v>2866</v>
      </c>
      <c r="Z12" s="67" t="s">
        <v>2946</v>
      </c>
      <c r="AA12" s="175" t="s">
        <v>2947</v>
      </c>
      <c r="AB12" s="175" t="s">
        <v>2948</v>
      </c>
      <c r="AC12" s="175" t="s">
        <v>2949</v>
      </c>
      <c r="AD12" s="175" t="s">
        <v>2950</v>
      </c>
      <c r="AE12" s="175" t="s">
        <v>2951</v>
      </c>
      <c r="AF12" s="176"/>
      <c r="AG12" s="176"/>
      <c r="AH12" s="176"/>
      <c r="AI12" s="67"/>
      <c r="AJ12" s="67"/>
      <c r="AK12" s="67" t="s">
        <v>2867</v>
      </c>
      <c r="AL12" s="67"/>
      <c r="AM12" s="176"/>
      <c r="AN12" s="176"/>
      <c r="AO12" s="67"/>
      <c r="AP12" s="67" t="s">
        <v>2867</v>
      </c>
      <c r="AQ12" s="67" t="s">
        <v>2868</v>
      </c>
      <c r="AR12" s="175"/>
      <c r="AS12" s="175" t="s">
        <v>2869</v>
      </c>
      <c r="AT12" s="175" t="s">
        <v>2867</v>
      </c>
      <c r="AU12" s="175"/>
      <c r="AV12" s="178">
        <v>0</v>
      </c>
      <c r="AW12" s="67"/>
      <c r="AX12" s="175" t="s">
        <v>2867</v>
      </c>
      <c r="AY12" s="175" t="s">
        <v>2870</v>
      </c>
      <c r="AZ12" s="175" t="s">
        <v>2871</v>
      </c>
      <c r="BA12" s="175"/>
      <c r="BB12" s="175"/>
      <c r="BC12" s="175" t="s">
        <v>2859</v>
      </c>
      <c r="BD12" s="175" t="s">
        <v>2872</v>
      </c>
      <c r="BE12" s="175" t="s">
        <v>2873</v>
      </c>
      <c r="BF12" s="175" t="s">
        <v>2867</v>
      </c>
      <c r="BG12" s="67"/>
      <c r="BH12" s="179"/>
      <c r="BI12" s="175" t="s">
        <v>2867</v>
      </c>
      <c r="BJ12" s="175"/>
      <c r="BK12" s="175" t="s">
        <v>2867</v>
      </c>
      <c r="BL12" s="175"/>
      <c r="BM12" s="175" t="s">
        <v>2936</v>
      </c>
      <c r="BN12" s="175" t="s">
        <v>2937</v>
      </c>
      <c r="BO12" s="180" t="s">
        <v>2879</v>
      </c>
      <c r="BP12" s="67" t="s">
        <v>2867</v>
      </c>
      <c r="BQ12" s="175" t="s">
        <v>1477</v>
      </c>
      <c r="BR12" s="177" t="s">
        <v>144</v>
      </c>
      <c r="BS12" s="177"/>
      <c r="BT12" s="67" t="s">
        <v>2867</v>
      </c>
      <c r="BU12" s="175"/>
      <c r="BV12" s="176"/>
      <c r="BW12" s="67" t="s">
        <v>2878</v>
      </c>
      <c r="BX12" s="175" t="s">
        <v>2952</v>
      </c>
      <c r="BY12" s="175" t="s">
        <v>1999</v>
      </c>
      <c r="BZ12" s="177"/>
      <c r="CA12" s="175"/>
      <c r="CB12" s="175"/>
      <c r="CC12" s="177"/>
      <c r="CD12" s="177"/>
      <c r="CE12" s="67"/>
      <c r="CF12" s="67"/>
      <c r="CG12" s="177"/>
      <c r="CH12" s="176"/>
      <c r="CI12" s="176"/>
      <c r="CJ12" s="175"/>
      <c r="CK12" s="67" t="s">
        <v>2867</v>
      </c>
      <c r="CL12" s="175"/>
      <c r="CM12" s="175"/>
      <c r="CN12" s="175"/>
      <c r="CO12" s="175"/>
      <c r="CP12" s="67"/>
      <c r="CQ12" s="175" t="s">
        <v>2867</v>
      </c>
      <c r="CR12" s="175"/>
      <c r="CS12" s="67"/>
      <c r="CT12" s="175" t="s">
        <v>2867</v>
      </c>
      <c r="CU12" s="175"/>
      <c r="CV12" s="181" t="s">
        <v>2879</v>
      </c>
      <c r="CW12" s="67"/>
      <c r="CX12" s="182"/>
      <c r="CY12" s="175" t="s">
        <v>2880</v>
      </c>
      <c r="CZ12" s="175"/>
      <c r="DA12" s="175" t="s">
        <v>2881</v>
      </c>
      <c r="DB12" s="175" t="s">
        <v>2881</v>
      </c>
      <c r="DC12" s="175" t="s">
        <v>2953</v>
      </c>
      <c r="DD12" s="175"/>
      <c r="DE12" s="176"/>
      <c r="DF12" s="175"/>
      <c r="DG12" s="182"/>
      <c r="DH12" s="183">
        <v>1023500</v>
      </c>
      <c r="DI12" s="67"/>
      <c r="DJ12" s="67"/>
      <c r="DK12" s="67"/>
      <c r="DL12" s="67"/>
      <c r="DM12" s="67"/>
      <c r="DN12" s="183">
        <v>0</v>
      </c>
      <c r="DO12" s="183">
        <v>0</v>
      </c>
      <c r="DP12" s="67" t="s">
        <v>2867</v>
      </c>
      <c r="DQ12" s="175"/>
      <c r="DR12" s="175"/>
      <c r="DS12" s="175" t="s">
        <v>2882</v>
      </c>
      <c r="DT12" s="175"/>
      <c r="DU12" s="175"/>
      <c r="DV12" s="175" t="s">
        <v>2883</v>
      </c>
      <c r="DW12" s="175" t="s">
        <v>2884</v>
      </c>
      <c r="DX12" s="175" t="s">
        <v>2879</v>
      </c>
    </row>
    <row r="13" spans="1:128" ht="19.5" customHeight="1">
      <c r="A13" s="173"/>
      <c r="B13" s="174" t="s">
        <v>2954</v>
      </c>
      <c r="C13" s="67"/>
      <c r="D13" s="67"/>
      <c r="E13" s="174" t="s">
        <v>2955</v>
      </c>
      <c r="F13" s="174" t="s">
        <v>2956</v>
      </c>
      <c r="G13" s="175" t="s">
        <v>2957</v>
      </c>
      <c r="H13" s="174" t="s">
        <v>2942</v>
      </c>
      <c r="I13" s="174" t="s">
        <v>2858</v>
      </c>
      <c r="J13" s="175" t="s">
        <v>2859</v>
      </c>
      <c r="K13" s="176">
        <v>46177</v>
      </c>
      <c r="L13" s="67" t="s">
        <v>2921</v>
      </c>
      <c r="M13" s="175" t="s">
        <v>2648</v>
      </c>
      <c r="N13" s="67" t="s">
        <v>2648</v>
      </c>
      <c r="O13" s="67" t="s">
        <v>2933</v>
      </c>
      <c r="P13" s="67" t="s">
        <v>2934</v>
      </c>
      <c r="Q13" s="67"/>
      <c r="R13" s="67"/>
      <c r="S13" s="67" t="s">
        <v>103</v>
      </c>
      <c r="T13" s="177" t="s">
        <v>2863</v>
      </c>
      <c r="U13" s="67" t="s">
        <v>1270</v>
      </c>
      <c r="V13" s="67" t="s">
        <v>2944</v>
      </c>
      <c r="W13" s="175" t="s">
        <v>2865</v>
      </c>
      <c r="X13" s="67" t="s">
        <v>2958</v>
      </c>
      <c r="Y13" s="67" t="s">
        <v>2866</v>
      </c>
      <c r="Z13" s="67" t="s">
        <v>2959</v>
      </c>
      <c r="AA13" s="175" t="s">
        <v>2947</v>
      </c>
      <c r="AB13" s="175" t="s">
        <v>2960</v>
      </c>
      <c r="AC13" s="175" t="s">
        <v>2961</v>
      </c>
      <c r="AD13" s="175" t="s">
        <v>2962</v>
      </c>
      <c r="AE13" s="175" t="s">
        <v>2963</v>
      </c>
      <c r="AF13" s="176"/>
      <c r="AG13" s="176"/>
      <c r="AH13" s="176"/>
      <c r="AI13" s="67"/>
      <c r="AJ13" s="67"/>
      <c r="AK13" s="67" t="s">
        <v>2867</v>
      </c>
      <c r="AL13" s="67"/>
      <c r="AM13" s="176"/>
      <c r="AN13" s="176"/>
      <c r="AO13" s="67"/>
      <c r="AP13" s="67" t="s">
        <v>2867</v>
      </c>
      <c r="AQ13" s="67" t="s">
        <v>2868</v>
      </c>
      <c r="AR13" s="175"/>
      <c r="AS13" s="175" t="s">
        <v>2869</v>
      </c>
      <c r="AT13" s="175" t="s">
        <v>2867</v>
      </c>
      <c r="AU13" s="175"/>
      <c r="AV13" s="178">
        <v>0</v>
      </c>
      <c r="AW13" s="67"/>
      <c r="AX13" s="175" t="s">
        <v>2867</v>
      </c>
      <c r="AY13" s="175" t="s">
        <v>2870</v>
      </c>
      <c r="AZ13" s="175" t="s">
        <v>2871</v>
      </c>
      <c r="BA13" s="175"/>
      <c r="BB13" s="175"/>
      <c r="BC13" s="175" t="s">
        <v>2859</v>
      </c>
      <c r="BD13" s="175" t="s">
        <v>2872</v>
      </c>
      <c r="BE13" s="175" t="s">
        <v>2873</v>
      </c>
      <c r="BF13" s="175" t="s">
        <v>2867</v>
      </c>
      <c r="BG13" s="67"/>
      <c r="BH13" s="179"/>
      <c r="BI13" s="175" t="s">
        <v>2867</v>
      </c>
      <c r="BJ13" s="175"/>
      <c r="BK13" s="175" t="s">
        <v>2867</v>
      </c>
      <c r="BL13" s="175"/>
      <c r="BM13" s="175" t="s">
        <v>2936</v>
      </c>
      <c r="BN13" s="175" t="s">
        <v>2937</v>
      </c>
      <c r="BO13" s="180" t="s">
        <v>2879</v>
      </c>
      <c r="BP13" s="67" t="s">
        <v>2867</v>
      </c>
      <c r="BQ13" s="175" t="s">
        <v>1477</v>
      </c>
      <c r="BR13" s="177" t="s">
        <v>144</v>
      </c>
      <c r="BS13" s="177"/>
      <c r="BT13" s="67" t="s">
        <v>2867</v>
      </c>
      <c r="BU13" s="175"/>
      <c r="BV13" s="176"/>
      <c r="BW13" s="67" t="s">
        <v>2878</v>
      </c>
      <c r="BX13" s="175" t="s">
        <v>2964</v>
      </c>
      <c r="BY13" s="175" t="s">
        <v>1999</v>
      </c>
      <c r="BZ13" s="177"/>
      <c r="CA13" s="175"/>
      <c r="CB13" s="175"/>
      <c r="CC13" s="177"/>
      <c r="CD13" s="177"/>
      <c r="CE13" s="67"/>
      <c r="CF13" s="67"/>
      <c r="CG13" s="177"/>
      <c r="CH13" s="176"/>
      <c r="CI13" s="176"/>
      <c r="CJ13" s="175"/>
      <c r="CK13" s="67" t="s">
        <v>2867</v>
      </c>
      <c r="CL13" s="175"/>
      <c r="CM13" s="175"/>
      <c r="CN13" s="175"/>
      <c r="CO13" s="175"/>
      <c r="CP13" s="67"/>
      <c r="CQ13" s="175" t="s">
        <v>2867</v>
      </c>
      <c r="CR13" s="175"/>
      <c r="CS13" s="67"/>
      <c r="CT13" s="175" t="s">
        <v>2867</v>
      </c>
      <c r="CU13" s="175"/>
      <c r="CV13" s="181" t="s">
        <v>2879</v>
      </c>
      <c r="CW13" s="67"/>
      <c r="CX13" s="182"/>
      <c r="CY13" s="175" t="s">
        <v>2880</v>
      </c>
      <c r="CZ13" s="175"/>
      <c r="DA13" s="175" t="s">
        <v>2881</v>
      </c>
      <c r="DB13" s="175" t="s">
        <v>2881</v>
      </c>
      <c r="DC13" s="175" t="s">
        <v>2953</v>
      </c>
      <c r="DD13" s="175"/>
      <c r="DE13" s="176"/>
      <c r="DF13" s="175"/>
      <c r="DG13" s="182"/>
      <c r="DH13" s="183">
        <v>1023500</v>
      </c>
      <c r="DI13" s="67"/>
      <c r="DJ13" s="67"/>
      <c r="DK13" s="67"/>
      <c r="DL13" s="67"/>
      <c r="DM13" s="67"/>
      <c r="DN13" s="183">
        <v>0</v>
      </c>
      <c r="DO13" s="183">
        <v>0</v>
      </c>
      <c r="DP13" s="67" t="s">
        <v>2867</v>
      </c>
      <c r="DQ13" s="175"/>
      <c r="DR13" s="175"/>
      <c r="DS13" s="175" t="s">
        <v>2882</v>
      </c>
      <c r="DT13" s="175"/>
      <c r="DU13" s="175"/>
      <c r="DV13" s="175" t="s">
        <v>2883</v>
      </c>
      <c r="DW13" s="175" t="s">
        <v>2884</v>
      </c>
      <c r="DX13" s="175" t="s">
        <v>2879</v>
      </c>
    </row>
    <row r="14" spans="1:128" ht="19.5" customHeight="1">
      <c r="A14" s="173"/>
      <c r="B14" s="174" t="s">
        <v>2965</v>
      </c>
      <c r="C14" s="67"/>
      <c r="D14" s="67"/>
      <c r="E14" s="174" t="s">
        <v>2966</v>
      </c>
      <c r="F14" s="174" t="s">
        <v>2967</v>
      </c>
      <c r="G14" s="175" t="s">
        <v>2968</v>
      </c>
      <c r="H14" s="174" t="s">
        <v>2857</v>
      </c>
      <c r="I14" s="174" t="s">
        <v>2858</v>
      </c>
      <c r="J14" s="175" t="s">
        <v>2859</v>
      </c>
      <c r="K14" s="176">
        <v>46177</v>
      </c>
      <c r="L14" s="67" t="s">
        <v>2969</v>
      </c>
      <c r="M14" s="175" t="s">
        <v>2648</v>
      </c>
      <c r="N14" s="67" t="s">
        <v>2648</v>
      </c>
      <c r="O14" s="67" t="s">
        <v>2933</v>
      </c>
      <c r="P14" s="67" t="s">
        <v>2934</v>
      </c>
      <c r="Q14" s="67"/>
      <c r="R14" s="67"/>
      <c r="S14" s="67" t="s">
        <v>103</v>
      </c>
      <c r="T14" s="177" t="s">
        <v>2863</v>
      </c>
      <c r="U14" s="67" t="s">
        <v>1270</v>
      </c>
      <c r="V14" s="67" t="s">
        <v>2970</v>
      </c>
      <c r="W14" s="175" t="s">
        <v>2865</v>
      </c>
      <c r="X14" s="67"/>
      <c r="Y14" s="67" t="s">
        <v>2866</v>
      </c>
      <c r="Z14" s="67"/>
      <c r="AA14" s="175"/>
      <c r="AB14" s="175"/>
      <c r="AC14" s="175"/>
      <c r="AD14" s="175"/>
      <c r="AE14" s="175"/>
      <c r="AF14" s="176"/>
      <c r="AG14" s="176"/>
      <c r="AH14" s="176"/>
      <c r="AI14" s="67"/>
      <c r="AJ14" s="67"/>
      <c r="AK14" s="67" t="s">
        <v>2867</v>
      </c>
      <c r="AL14" s="67"/>
      <c r="AM14" s="176"/>
      <c r="AN14" s="176"/>
      <c r="AO14" s="67"/>
      <c r="AP14" s="67" t="s">
        <v>2867</v>
      </c>
      <c r="AQ14" s="67" t="s">
        <v>2868</v>
      </c>
      <c r="AR14" s="175"/>
      <c r="AS14" s="175" t="s">
        <v>2869</v>
      </c>
      <c r="AT14" s="175" t="s">
        <v>2867</v>
      </c>
      <c r="AU14" s="175"/>
      <c r="AV14" s="178">
        <v>0</v>
      </c>
      <c r="AW14" s="67"/>
      <c r="AX14" s="175" t="s">
        <v>2867</v>
      </c>
      <c r="AY14" s="175" t="s">
        <v>2870</v>
      </c>
      <c r="AZ14" s="175" t="s">
        <v>2871</v>
      </c>
      <c r="BA14" s="175"/>
      <c r="BB14" s="175"/>
      <c r="BC14" s="175" t="s">
        <v>2859</v>
      </c>
      <c r="BD14" s="175" t="s">
        <v>2872</v>
      </c>
      <c r="BE14" s="175" t="s">
        <v>2873</v>
      </c>
      <c r="BF14" s="175"/>
      <c r="BG14" s="67"/>
      <c r="BH14" s="179"/>
      <c r="BI14" s="175" t="s">
        <v>2867</v>
      </c>
      <c r="BJ14" s="175"/>
      <c r="BK14" s="175" t="s">
        <v>2867</v>
      </c>
      <c r="BL14" s="175"/>
      <c r="BM14" s="175" t="s">
        <v>2936</v>
      </c>
      <c r="BN14" s="175" t="s">
        <v>2937</v>
      </c>
      <c r="BO14" s="180" t="s">
        <v>2879</v>
      </c>
      <c r="BP14" s="67" t="s">
        <v>2867</v>
      </c>
      <c r="BQ14" s="175" t="s">
        <v>1477</v>
      </c>
      <c r="BR14" s="177" t="s">
        <v>144</v>
      </c>
      <c r="BS14" s="177"/>
      <c r="BT14" s="67" t="s">
        <v>2867</v>
      </c>
      <c r="BU14" s="175"/>
      <c r="BV14" s="176"/>
      <c r="BW14" s="67" t="s">
        <v>2878</v>
      </c>
      <c r="BX14" s="175"/>
      <c r="BY14" s="175" t="s">
        <v>1999</v>
      </c>
      <c r="BZ14" s="177"/>
      <c r="CA14" s="175"/>
      <c r="CB14" s="175"/>
      <c r="CC14" s="177"/>
      <c r="CD14" s="177"/>
      <c r="CE14" s="67"/>
      <c r="CF14" s="67"/>
      <c r="CG14" s="177"/>
      <c r="CH14" s="176"/>
      <c r="CI14" s="176"/>
      <c r="CJ14" s="175"/>
      <c r="CK14" s="67" t="s">
        <v>2867</v>
      </c>
      <c r="CL14" s="175"/>
      <c r="CM14" s="175"/>
      <c r="CN14" s="175"/>
      <c r="CO14" s="175"/>
      <c r="CP14" s="67"/>
      <c r="CQ14" s="175" t="s">
        <v>2867</v>
      </c>
      <c r="CR14" s="175"/>
      <c r="CS14" s="67"/>
      <c r="CT14" s="175" t="s">
        <v>2867</v>
      </c>
      <c r="CU14" s="175"/>
      <c r="CV14" s="181" t="s">
        <v>2879</v>
      </c>
      <c r="CW14" s="67"/>
      <c r="CX14" s="182"/>
      <c r="CY14" s="175" t="s">
        <v>2880</v>
      </c>
      <c r="CZ14" s="175"/>
      <c r="DA14" s="175" t="s">
        <v>2881</v>
      </c>
      <c r="DB14" s="175" t="s">
        <v>2881</v>
      </c>
      <c r="DC14" s="175"/>
      <c r="DD14" s="175"/>
      <c r="DE14" s="176"/>
      <c r="DF14" s="175"/>
      <c r="DG14" s="182"/>
      <c r="DH14" s="183">
        <v>1023500</v>
      </c>
      <c r="DI14" s="67"/>
      <c r="DJ14" s="67"/>
      <c r="DK14" s="67"/>
      <c r="DL14" s="67"/>
      <c r="DM14" s="67"/>
      <c r="DN14" s="183">
        <v>0</v>
      </c>
      <c r="DO14" s="183">
        <v>0</v>
      </c>
      <c r="DP14" s="67" t="s">
        <v>2867</v>
      </c>
      <c r="DQ14" s="175"/>
      <c r="DR14" s="175"/>
      <c r="DS14" s="175" t="s">
        <v>2882</v>
      </c>
      <c r="DT14" s="175"/>
      <c r="DU14" s="175"/>
      <c r="DV14" s="175" t="s">
        <v>2883</v>
      </c>
      <c r="DW14" s="175" t="s">
        <v>2884</v>
      </c>
      <c r="DX14" s="175" t="s">
        <v>2879</v>
      </c>
    </row>
    <row r="15" spans="1:128" ht="19.5" customHeight="1">
      <c r="A15" s="173"/>
      <c r="B15" s="174" t="s">
        <v>2971</v>
      </c>
      <c r="C15" s="67"/>
      <c r="D15" s="67"/>
      <c r="E15" s="174" t="s">
        <v>2972</v>
      </c>
      <c r="F15" s="174" t="s">
        <v>2973</v>
      </c>
      <c r="G15" s="175" t="s">
        <v>2974</v>
      </c>
      <c r="H15" s="174" t="s">
        <v>2857</v>
      </c>
      <c r="I15" s="174" t="s">
        <v>2858</v>
      </c>
      <c r="J15" s="175" t="s">
        <v>2859</v>
      </c>
      <c r="K15" s="176">
        <v>46177</v>
      </c>
      <c r="L15" s="67" t="s">
        <v>2932</v>
      </c>
      <c r="M15" s="175" t="s">
        <v>2648</v>
      </c>
      <c r="N15" s="67" t="s">
        <v>2648</v>
      </c>
      <c r="O15" s="67" t="s">
        <v>2933</v>
      </c>
      <c r="P15" s="67" t="s">
        <v>2934</v>
      </c>
      <c r="Q15" s="67"/>
      <c r="R15" s="67"/>
      <c r="S15" s="67" t="s">
        <v>103</v>
      </c>
      <c r="T15" s="177" t="s">
        <v>2863</v>
      </c>
      <c r="U15" s="67" t="s">
        <v>1270</v>
      </c>
      <c r="V15" s="67" t="s">
        <v>2975</v>
      </c>
      <c r="W15" s="175" t="s">
        <v>2865</v>
      </c>
      <c r="X15" s="67"/>
      <c r="Y15" s="67" t="s">
        <v>2866</v>
      </c>
      <c r="Z15" s="67"/>
      <c r="AA15" s="175"/>
      <c r="AB15" s="175"/>
      <c r="AC15" s="175"/>
      <c r="AD15" s="175"/>
      <c r="AE15" s="175"/>
      <c r="AF15" s="176"/>
      <c r="AG15" s="176"/>
      <c r="AH15" s="176"/>
      <c r="AI15" s="67"/>
      <c r="AJ15" s="67"/>
      <c r="AK15" s="67" t="s">
        <v>2867</v>
      </c>
      <c r="AL15" s="67"/>
      <c r="AM15" s="176"/>
      <c r="AN15" s="176"/>
      <c r="AO15" s="67"/>
      <c r="AP15" s="67" t="s">
        <v>2867</v>
      </c>
      <c r="AQ15" s="67" t="s">
        <v>2868</v>
      </c>
      <c r="AR15" s="175"/>
      <c r="AS15" s="175" t="s">
        <v>2869</v>
      </c>
      <c r="AT15" s="175" t="s">
        <v>2867</v>
      </c>
      <c r="AU15" s="175"/>
      <c r="AV15" s="178">
        <v>0</v>
      </c>
      <c r="AW15" s="67"/>
      <c r="AX15" s="175" t="s">
        <v>2867</v>
      </c>
      <c r="AY15" s="175" t="s">
        <v>2870</v>
      </c>
      <c r="AZ15" s="175" t="s">
        <v>2871</v>
      </c>
      <c r="BA15" s="175"/>
      <c r="BB15" s="175"/>
      <c r="BC15" s="175" t="s">
        <v>2859</v>
      </c>
      <c r="BD15" s="175" t="s">
        <v>2872</v>
      </c>
      <c r="BE15" s="175" t="s">
        <v>2873</v>
      </c>
      <c r="BF15" s="175"/>
      <c r="BG15" s="67"/>
      <c r="BH15" s="179"/>
      <c r="BI15" s="175" t="s">
        <v>2867</v>
      </c>
      <c r="BJ15" s="175"/>
      <c r="BK15" s="175" t="s">
        <v>2867</v>
      </c>
      <c r="BL15" s="175"/>
      <c r="BM15" s="175" t="s">
        <v>2936</v>
      </c>
      <c r="BN15" s="175" t="s">
        <v>2937</v>
      </c>
      <c r="BO15" s="180" t="s">
        <v>2879</v>
      </c>
      <c r="BP15" s="67" t="s">
        <v>2867</v>
      </c>
      <c r="BQ15" s="175" t="s">
        <v>1477</v>
      </c>
      <c r="BR15" s="177" t="s">
        <v>144</v>
      </c>
      <c r="BS15" s="177"/>
      <c r="BT15" s="67" t="s">
        <v>2867</v>
      </c>
      <c r="BU15" s="175"/>
      <c r="BV15" s="176"/>
      <c r="BW15" s="67" t="s">
        <v>2878</v>
      </c>
      <c r="BX15" s="175"/>
      <c r="BY15" s="175" t="s">
        <v>1999</v>
      </c>
      <c r="BZ15" s="177"/>
      <c r="CA15" s="175"/>
      <c r="CB15" s="175"/>
      <c r="CC15" s="177"/>
      <c r="CD15" s="177"/>
      <c r="CE15" s="67"/>
      <c r="CF15" s="67"/>
      <c r="CG15" s="177"/>
      <c r="CH15" s="176"/>
      <c r="CI15" s="176"/>
      <c r="CJ15" s="175"/>
      <c r="CK15" s="67" t="s">
        <v>2867</v>
      </c>
      <c r="CL15" s="175"/>
      <c r="CM15" s="175"/>
      <c r="CN15" s="175"/>
      <c r="CO15" s="175"/>
      <c r="CP15" s="67"/>
      <c r="CQ15" s="175" t="s">
        <v>2867</v>
      </c>
      <c r="CR15" s="175"/>
      <c r="CS15" s="67"/>
      <c r="CT15" s="175" t="s">
        <v>2867</v>
      </c>
      <c r="CU15" s="175"/>
      <c r="CV15" s="181" t="s">
        <v>2879</v>
      </c>
      <c r="CW15" s="67"/>
      <c r="CX15" s="182"/>
      <c r="CY15" s="175" t="s">
        <v>2880</v>
      </c>
      <c r="CZ15" s="175"/>
      <c r="DA15" s="175" t="s">
        <v>2881</v>
      </c>
      <c r="DB15" s="175" t="s">
        <v>2881</v>
      </c>
      <c r="DC15" s="175"/>
      <c r="DD15" s="175"/>
      <c r="DE15" s="176"/>
      <c r="DF15" s="175"/>
      <c r="DG15" s="182"/>
      <c r="DH15" s="183">
        <v>1023500</v>
      </c>
      <c r="DI15" s="67"/>
      <c r="DJ15" s="67"/>
      <c r="DK15" s="67"/>
      <c r="DL15" s="67"/>
      <c r="DM15" s="67"/>
      <c r="DN15" s="183">
        <v>0</v>
      </c>
      <c r="DO15" s="183">
        <v>0</v>
      </c>
      <c r="DP15" s="67" t="s">
        <v>2867</v>
      </c>
      <c r="DQ15" s="175"/>
      <c r="DR15" s="175"/>
      <c r="DS15" s="175" t="s">
        <v>2882</v>
      </c>
      <c r="DT15" s="175"/>
      <c r="DU15" s="175"/>
      <c r="DV15" s="175" t="s">
        <v>2883</v>
      </c>
      <c r="DW15" s="175" t="s">
        <v>2884</v>
      </c>
      <c r="DX15" s="175" t="s">
        <v>2879</v>
      </c>
    </row>
    <row r="16" spans="1:128" ht="19.5" customHeight="1">
      <c r="A16" s="173"/>
      <c r="B16" s="174" t="s">
        <v>2976</v>
      </c>
      <c r="C16" s="67"/>
      <c r="D16" s="67"/>
      <c r="E16" s="174" t="s">
        <v>2977</v>
      </c>
      <c r="F16" s="174" t="s">
        <v>2978</v>
      </c>
      <c r="G16" s="175" t="s">
        <v>2979</v>
      </c>
      <c r="H16" s="174" t="s">
        <v>2857</v>
      </c>
      <c r="I16" s="174" t="s">
        <v>2858</v>
      </c>
      <c r="J16" s="175" t="s">
        <v>2859</v>
      </c>
      <c r="K16" s="176">
        <v>46177</v>
      </c>
      <c r="L16" s="67" t="s">
        <v>2860</v>
      </c>
      <c r="M16" s="175" t="s">
        <v>2648</v>
      </c>
      <c r="N16" s="67" t="s">
        <v>2648</v>
      </c>
      <c r="O16" s="67" t="s">
        <v>2933</v>
      </c>
      <c r="P16" s="67" t="s">
        <v>2934</v>
      </c>
      <c r="Q16" s="67"/>
      <c r="R16" s="67"/>
      <c r="S16" s="67" t="s">
        <v>103</v>
      </c>
      <c r="T16" s="177" t="s">
        <v>2863</v>
      </c>
      <c r="U16" s="67" t="s">
        <v>1270</v>
      </c>
      <c r="V16" s="67" t="s">
        <v>2896</v>
      </c>
      <c r="W16" s="175" t="s">
        <v>2865</v>
      </c>
      <c r="X16" s="67"/>
      <c r="Y16" s="67" t="s">
        <v>2866</v>
      </c>
      <c r="Z16" s="67"/>
      <c r="AA16" s="175"/>
      <c r="AB16" s="175"/>
      <c r="AC16" s="175"/>
      <c r="AD16" s="175"/>
      <c r="AE16" s="175"/>
      <c r="AF16" s="176"/>
      <c r="AG16" s="176"/>
      <c r="AH16" s="176"/>
      <c r="AI16" s="67"/>
      <c r="AJ16" s="67"/>
      <c r="AK16" s="67" t="s">
        <v>2867</v>
      </c>
      <c r="AL16" s="67"/>
      <c r="AM16" s="176"/>
      <c r="AN16" s="176"/>
      <c r="AO16" s="67"/>
      <c r="AP16" s="67" t="s">
        <v>2867</v>
      </c>
      <c r="AQ16" s="67" t="s">
        <v>2868</v>
      </c>
      <c r="AR16" s="175"/>
      <c r="AS16" s="175" t="s">
        <v>2869</v>
      </c>
      <c r="AT16" s="175" t="s">
        <v>2867</v>
      </c>
      <c r="AU16" s="175"/>
      <c r="AV16" s="178">
        <v>0</v>
      </c>
      <c r="AW16" s="67"/>
      <c r="AX16" s="175" t="s">
        <v>2867</v>
      </c>
      <c r="AY16" s="175" t="s">
        <v>2870</v>
      </c>
      <c r="AZ16" s="175" t="s">
        <v>2871</v>
      </c>
      <c r="BA16" s="175"/>
      <c r="BB16" s="175"/>
      <c r="BC16" s="175" t="s">
        <v>2859</v>
      </c>
      <c r="BD16" s="175" t="s">
        <v>2872</v>
      </c>
      <c r="BE16" s="175" t="s">
        <v>2873</v>
      </c>
      <c r="BF16" s="175"/>
      <c r="BG16" s="67"/>
      <c r="BH16" s="179"/>
      <c r="BI16" s="175" t="s">
        <v>2867</v>
      </c>
      <c r="BJ16" s="175"/>
      <c r="BK16" s="175" t="s">
        <v>2867</v>
      </c>
      <c r="BL16" s="175"/>
      <c r="BM16" s="175" t="s">
        <v>2936</v>
      </c>
      <c r="BN16" s="175" t="s">
        <v>2937</v>
      </c>
      <c r="BO16" s="180" t="s">
        <v>2879</v>
      </c>
      <c r="BP16" s="67" t="s">
        <v>2867</v>
      </c>
      <c r="BQ16" s="175" t="s">
        <v>1477</v>
      </c>
      <c r="BR16" s="177" t="s">
        <v>144</v>
      </c>
      <c r="BS16" s="177"/>
      <c r="BT16" s="67" t="s">
        <v>2867</v>
      </c>
      <c r="BU16" s="175"/>
      <c r="BV16" s="176"/>
      <c r="BW16" s="67" t="s">
        <v>2878</v>
      </c>
      <c r="BX16" s="175"/>
      <c r="BY16" s="175" t="s">
        <v>1999</v>
      </c>
      <c r="BZ16" s="177"/>
      <c r="CA16" s="175"/>
      <c r="CB16" s="175"/>
      <c r="CC16" s="177"/>
      <c r="CD16" s="177"/>
      <c r="CE16" s="67"/>
      <c r="CF16" s="67"/>
      <c r="CG16" s="177"/>
      <c r="CH16" s="176"/>
      <c r="CI16" s="176"/>
      <c r="CJ16" s="175"/>
      <c r="CK16" s="67" t="s">
        <v>2867</v>
      </c>
      <c r="CL16" s="175"/>
      <c r="CM16" s="175"/>
      <c r="CN16" s="175"/>
      <c r="CO16" s="175"/>
      <c r="CP16" s="67"/>
      <c r="CQ16" s="175" t="s">
        <v>2867</v>
      </c>
      <c r="CR16" s="175"/>
      <c r="CS16" s="67"/>
      <c r="CT16" s="175" t="s">
        <v>2867</v>
      </c>
      <c r="CU16" s="175"/>
      <c r="CV16" s="181" t="s">
        <v>2879</v>
      </c>
      <c r="CW16" s="67"/>
      <c r="CX16" s="182"/>
      <c r="CY16" s="175" t="s">
        <v>2880</v>
      </c>
      <c r="CZ16" s="175"/>
      <c r="DA16" s="175" t="s">
        <v>2881</v>
      </c>
      <c r="DB16" s="175" t="s">
        <v>2881</v>
      </c>
      <c r="DC16" s="175"/>
      <c r="DD16" s="175"/>
      <c r="DE16" s="176"/>
      <c r="DF16" s="175"/>
      <c r="DG16" s="182"/>
      <c r="DH16" s="183">
        <v>1023500</v>
      </c>
      <c r="DI16" s="67"/>
      <c r="DJ16" s="67"/>
      <c r="DK16" s="67"/>
      <c r="DL16" s="67"/>
      <c r="DM16" s="67"/>
      <c r="DN16" s="183">
        <v>0</v>
      </c>
      <c r="DO16" s="183">
        <v>0</v>
      </c>
      <c r="DP16" s="67" t="s">
        <v>2867</v>
      </c>
      <c r="DQ16" s="175"/>
      <c r="DR16" s="175"/>
      <c r="DS16" s="175" t="s">
        <v>2882</v>
      </c>
      <c r="DT16" s="175"/>
      <c r="DU16" s="175"/>
      <c r="DV16" s="175" t="s">
        <v>2883</v>
      </c>
      <c r="DW16" s="175" t="s">
        <v>2884</v>
      </c>
      <c r="DX16" s="175" t="s">
        <v>2879</v>
      </c>
    </row>
    <row r="17" spans="1:128" ht="19.5" customHeight="1">
      <c r="A17" s="173"/>
      <c r="B17" s="174" t="s">
        <v>2980</v>
      </c>
      <c r="C17" s="67"/>
      <c r="D17" s="67"/>
      <c r="E17" s="174" t="s">
        <v>2981</v>
      </c>
      <c r="F17" s="174" t="s">
        <v>2982</v>
      </c>
      <c r="G17" s="175" t="s">
        <v>2983</v>
      </c>
      <c r="H17" s="174" t="s">
        <v>2857</v>
      </c>
      <c r="I17" s="174" t="s">
        <v>2858</v>
      </c>
      <c r="J17" s="175" t="s">
        <v>2859</v>
      </c>
      <c r="K17" s="176">
        <v>46177</v>
      </c>
      <c r="L17" s="67" t="s">
        <v>2943</v>
      </c>
      <c r="M17" s="175" t="s">
        <v>2984</v>
      </c>
      <c r="N17" s="67" t="s">
        <v>2984</v>
      </c>
      <c r="O17" s="67" t="s">
        <v>2330</v>
      </c>
      <c r="P17" s="67" t="s">
        <v>2985</v>
      </c>
      <c r="Q17" s="67"/>
      <c r="R17" s="67"/>
      <c r="S17" s="67" t="s">
        <v>956</v>
      </c>
      <c r="T17" s="177" t="s">
        <v>2863</v>
      </c>
      <c r="U17" s="67" t="s">
        <v>1301</v>
      </c>
      <c r="V17" s="67" t="s">
        <v>2922</v>
      </c>
      <c r="W17" s="175" t="s">
        <v>2865</v>
      </c>
      <c r="X17" s="67"/>
      <c r="Y17" s="67" t="s">
        <v>2866</v>
      </c>
      <c r="Z17" s="67"/>
      <c r="AA17" s="175"/>
      <c r="AB17" s="175"/>
      <c r="AC17" s="175"/>
      <c r="AD17" s="175"/>
      <c r="AE17" s="175"/>
      <c r="AF17" s="176"/>
      <c r="AG17" s="176"/>
      <c r="AH17" s="176"/>
      <c r="AI17" s="67"/>
      <c r="AJ17" s="67"/>
      <c r="AK17" s="67" t="s">
        <v>2867</v>
      </c>
      <c r="AL17" s="67"/>
      <c r="AM17" s="176"/>
      <c r="AN17" s="176"/>
      <c r="AO17" s="67"/>
      <c r="AP17" s="67" t="s">
        <v>2867</v>
      </c>
      <c r="AQ17" s="67" t="s">
        <v>2868</v>
      </c>
      <c r="AR17" s="175"/>
      <c r="AS17" s="175" t="s">
        <v>2869</v>
      </c>
      <c r="AT17" s="175" t="s">
        <v>2867</v>
      </c>
      <c r="AU17" s="175"/>
      <c r="AV17" s="178">
        <v>0</v>
      </c>
      <c r="AW17" s="67"/>
      <c r="AX17" s="175" t="s">
        <v>2867</v>
      </c>
      <c r="AY17" s="175" t="s">
        <v>2870</v>
      </c>
      <c r="AZ17" s="175" t="s">
        <v>2871</v>
      </c>
      <c r="BA17" s="175"/>
      <c r="BB17" s="175"/>
      <c r="BC17" s="175" t="s">
        <v>2859</v>
      </c>
      <c r="BD17" s="175" t="s">
        <v>2872</v>
      </c>
      <c r="BE17" s="175" t="s">
        <v>2873</v>
      </c>
      <c r="BF17" s="175"/>
      <c r="BG17" s="67"/>
      <c r="BH17" s="179"/>
      <c r="BI17" s="175" t="s">
        <v>2867</v>
      </c>
      <c r="BJ17" s="175"/>
      <c r="BK17" s="175" t="s">
        <v>2867</v>
      </c>
      <c r="BL17" s="175"/>
      <c r="BM17" s="175" t="s">
        <v>2874</v>
      </c>
      <c r="BN17" s="175" t="s">
        <v>2875</v>
      </c>
      <c r="BO17" s="180"/>
      <c r="BP17" s="67" t="s">
        <v>2867</v>
      </c>
      <c r="BQ17" s="175" t="s">
        <v>2876</v>
      </c>
      <c r="BR17" s="177" t="s">
        <v>2877</v>
      </c>
      <c r="BS17" s="177"/>
      <c r="BT17" s="67" t="s">
        <v>2867</v>
      </c>
      <c r="BU17" s="175"/>
      <c r="BV17" s="176"/>
      <c r="BW17" s="67" t="s">
        <v>2878</v>
      </c>
      <c r="BX17" s="175"/>
      <c r="BY17" s="175" t="s">
        <v>1999</v>
      </c>
      <c r="BZ17" s="177"/>
      <c r="CA17" s="175"/>
      <c r="CB17" s="175"/>
      <c r="CC17" s="177"/>
      <c r="CD17" s="177"/>
      <c r="CE17" s="67"/>
      <c r="CF17" s="67"/>
      <c r="CG17" s="177"/>
      <c r="CH17" s="176"/>
      <c r="CI17" s="176"/>
      <c r="CJ17" s="175"/>
      <c r="CK17" s="67" t="s">
        <v>2867</v>
      </c>
      <c r="CL17" s="175"/>
      <c r="CM17" s="175"/>
      <c r="CN17" s="175"/>
      <c r="CO17" s="175"/>
      <c r="CP17" s="67"/>
      <c r="CQ17" s="175" t="s">
        <v>2867</v>
      </c>
      <c r="CR17" s="175"/>
      <c r="CS17" s="67"/>
      <c r="CT17" s="175" t="s">
        <v>2867</v>
      </c>
      <c r="CU17" s="175"/>
      <c r="CV17" s="181" t="s">
        <v>2879</v>
      </c>
      <c r="CW17" s="67"/>
      <c r="CX17" s="182"/>
      <c r="CY17" s="175" t="s">
        <v>2880</v>
      </c>
      <c r="CZ17" s="175"/>
      <c r="DA17" s="175" t="s">
        <v>2881</v>
      </c>
      <c r="DB17" s="175" t="s">
        <v>2881</v>
      </c>
      <c r="DC17" s="175"/>
      <c r="DD17" s="175"/>
      <c r="DE17" s="176"/>
      <c r="DF17" s="175"/>
      <c r="DG17" s="182"/>
      <c r="DH17" s="183">
        <v>0</v>
      </c>
      <c r="DI17" s="67"/>
      <c r="DJ17" s="67"/>
      <c r="DK17" s="67"/>
      <c r="DL17" s="67"/>
      <c r="DM17" s="67"/>
      <c r="DN17" s="183">
        <v>0</v>
      </c>
      <c r="DO17" s="183">
        <v>0</v>
      </c>
      <c r="DP17" s="67" t="s">
        <v>2867</v>
      </c>
      <c r="DQ17" s="175"/>
      <c r="DR17" s="175"/>
      <c r="DS17" s="175" t="s">
        <v>2882</v>
      </c>
      <c r="DT17" s="175"/>
      <c r="DU17" s="175"/>
      <c r="DV17" s="175" t="s">
        <v>2883</v>
      </c>
      <c r="DW17" s="175" t="s">
        <v>2884</v>
      </c>
      <c r="DX17" s="175" t="s">
        <v>2879</v>
      </c>
    </row>
    <row r="18" spans="1:128" ht="19.5" customHeight="1">
      <c r="A18" s="173"/>
      <c r="B18" s="174" t="s">
        <v>2986</v>
      </c>
      <c r="C18" s="67"/>
      <c r="D18" s="67"/>
      <c r="E18" s="174" t="s">
        <v>2987</v>
      </c>
      <c r="F18" s="174" t="s">
        <v>2988</v>
      </c>
      <c r="G18" s="175" t="s">
        <v>2989</v>
      </c>
      <c r="H18" s="174" t="s">
        <v>2857</v>
      </c>
      <c r="I18" s="174" t="s">
        <v>2858</v>
      </c>
      <c r="J18" s="175" t="s">
        <v>2859</v>
      </c>
      <c r="K18" s="176">
        <v>46177</v>
      </c>
      <c r="L18" s="67" t="s">
        <v>2969</v>
      </c>
      <c r="M18" s="175" t="s">
        <v>2984</v>
      </c>
      <c r="N18" s="67" t="s">
        <v>2984</v>
      </c>
      <c r="O18" s="67" t="s">
        <v>2330</v>
      </c>
      <c r="P18" s="67" t="s">
        <v>2985</v>
      </c>
      <c r="Q18" s="67"/>
      <c r="R18" s="67"/>
      <c r="S18" s="67" t="s">
        <v>956</v>
      </c>
      <c r="T18" s="177" t="s">
        <v>2863</v>
      </c>
      <c r="U18" s="67" t="s">
        <v>1301</v>
      </c>
      <c r="V18" s="67" t="s">
        <v>2922</v>
      </c>
      <c r="W18" s="175" t="s">
        <v>2865</v>
      </c>
      <c r="X18" s="67"/>
      <c r="Y18" s="67" t="s">
        <v>2866</v>
      </c>
      <c r="Z18" s="67"/>
      <c r="AA18" s="175"/>
      <c r="AB18" s="175"/>
      <c r="AC18" s="175"/>
      <c r="AD18" s="175"/>
      <c r="AE18" s="175"/>
      <c r="AF18" s="176"/>
      <c r="AG18" s="176"/>
      <c r="AH18" s="176"/>
      <c r="AI18" s="67"/>
      <c r="AJ18" s="67"/>
      <c r="AK18" s="67" t="s">
        <v>2867</v>
      </c>
      <c r="AL18" s="67"/>
      <c r="AM18" s="176"/>
      <c r="AN18" s="176"/>
      <c r="AO18" s="67"/>
      <c r="AP18" s="67" t="s">
        <v>2867</v>
      </c>
      <c r="AQ18" s="67" t="s">
        <v>2868</v>
      </c>
      <c r="AR18" s="175"/>
      <c r="AS18" s="175" t="s">
        <v>2869</v>
      </c>
      <c r="AT18" s="175" t="s">
        <v>2867</v>
      </c>
      <c r="AU18" s="175"/>
      <c r="AV18" s="178">
        <v>0</v>
      </c>
      <c r="AW18" s="67"/>
      <c r="AX18" s="175" t="s">
        <v>2867</v>
      </c>
      <c r="AY18" s="175" t="s">
        <v>2870</v>
      </c>
      <c r="AZ18" s="175" t="s">
        <v>2871</v>
      </c>
      <c r="BA18" s="175"/>
      <c r="BB18" s="175"/>
      <c r="BC18" s="175" t="s">
        <v>2859</v>
      </c>
      <c r="BD18" s="175" t="s">
        <v>2872</v>
      </c>
      <c r="BE18" s="175" t="s">
        <v>2873</v>
      </c>
      <c r="BF18" s="175"/>
      <c r="BG18" s="67"/>
      <c r="BH18" s="179"/>
      <c r="BI18" s="175" t="s">
        <v>2867</v>
      </c>
      <c r="BJ18" s="175"/>
      <c r="BK18" s="175" t="s">
        <v>2867</v>
      </c>
      <c r="BL18" s="175"/>
      <c r="BM18" s="175" t="s">
        <v>2874</v>
      </c>
      <c r="BN18" s="175" t="s">
        <v>2875</v>
      </c>
      <c r="BO18" s="180"/>
      <c r="BP18" s="67" t="s">
        <v>2867</v>
      </c>
      <c r="BQ18" s="175" t="s">
        <v>2876</v>
      </c>
      <c r="BR18" s="177" t="s">
        <v>2877</v>
      </c>
      <c r="BS18" s="177"/>
      <c r="BT18" s="67" t="s">
        <v>2867</v>
      </c>
      <c r="BU18" s="175"/>
      <c r="BV18" s="176"/>
      <c r="BW18" s="67" t="s">
        <v>2878</v>
      </c>
      <c r="BX18" s="175"/>
      <c r="BY18" s="175" t="s">
        <v>1999</v>
      </c>
      <c r="BZ18" s="177"/>
      <c r="CA18" s="175"/>
      <c r="CB18" s="175"/>
      <c r="CC18" s="177"/>
      <c r="CD18" s="177"/>
      <c r="CE18" s="67"/>
      <c r="CF18" s="67"/>
      <c r="CG18" s="177"/>
      <c r="CH18" s="176"/>
      <c r="CI18" s="176"/>
      <c r="CJ18" s="175"/>
      <c r="CK18" s="67" t="s">
        <v>2867</v>
      </c>
      <c r="CL18" s="175"/>
      <c r="CM18" s="175"/>
      <c r="CN18" s="175"/>
      <c r="CO18" s="175"/>
      <c r="CP18" s="67"/>
      <c r="CQ18" s="175" t="s">
        <v>2867</v>
      </c>
      <c r="CR18" s="175"/>
      <c r="CS18" s="67"/>
      <c r="CT18" s="175" t="s">
        <v>2867</v>
      </c>
      <c r="CU18" s="175"/>
      <c r="CV18" s="181" t="s">
        <v>2879</v>
      </c>
      <c r="CW18" s="67"/>
      <c r="CX18" s="182"/>
      <c r="CY18" s="175" t="s">
        <v>2880</v>
      </c>
      <c r="CZ18" s="175"/>
      <c r="DA18" s="175" t="s">
        <v>2881</v>
      </c>
      <c r="DB18" s="175" t="s">
        <v>2881</v>
      </c>
      <c r="DC18" s="175"/>
      <c r="DD18" s="175"/>
      <c r="DE18" s="176"/>
      <c r="DF18" s="175"/>
      <c r="DG18" s="182"/>
      <c r="DH18" s="183">
        <v>0</v>
      </c>
      <c r="DI18" s="67"/>
      <c r="DJ18" s="67"/>
      <c r="DK18" s="67"/>
      <c r="DL18" s="67"/>
      <c r="DM18" s="67"/>
      <c r="DN18" s="183">
        <v>0</v>
      </c>
      <c r="DO18" s="183">
        <v>0</v>
      </c>
      <c r="DP18" s="67" t="s">
        <v>2867</v>
      </c>
      <c r="DQ18" s="175"/>
      <c r="DR18" s="175"/>
      <c r="DS18" s="175" t="s">
        <v>2882</v>
      </c>
      <c r="DT18" s="175"/>
      <c r="DU18" s="175"/>
      <c r="DV18" s="175" t="s">
        <v>2883</v>
      </c>
      <c r="DW18" s="175" t="s">
        <v>2884</v>
      </c>
      <c r="DX18" s="175" t="s">
        <v>2879</v>
      </c>
    </row>
    <row r="19" spans="1:128" ht="19.5" customHeight="1">
      <c r="A19" s="173"/>
      <c r="B19" s="174" t="s">
        <v>2990</v>
      </c>
      <c r="C19" s="67"/>
      <c r="D19" s="67"/>
      <c r="E19" s="174" t="s">
        <v>2991</v>
      </c>
      <c r="F19" s="174" t="s">
        <v>2992</v>
      </c>
      <c r="G19" s="175" t="s">
        <v>2993</v>
      </c>
      <c r="H19" s="174" t="s">
        <v>2994</v>
      </c>
      <c r="I19" s="174" t="s">
        <v>2995</v>
      </c>
      <c r="J19" s="175" t="s">
        <v>2859</v>
      </c>
      <c r="K19" s="176">
        <v>46177</v>
      </c>
      <c r="L19" s="67" t="s">
        <v>2943</v>
      </c>
      <c r="M19" s="175" t="s">
        <v>2996</v>
      </c>
      <c r="N19" s="67" t="s">
        <v>2996</v>
      </c>
      <c r="O19" s="67" t="s">
        <v>2329</v>
      </c>
      <c r="P19" s="67" t="s">
        <v>2997</v>
      </c>
      <c r="Q19" s="67"/>
      <c r="R19" s="67"/>
      <c r="S19" s="67" t="s">
        <v>104</v>
      </c>
      <c r="T19" s="177" t="s">
        <v>2998</v>
      </c>
      <c r="U19" s="67" t="s">
        <v>1247</v>
      </c>
      <c r="V19" s="67" t="s">
        <v>2944</v>
      </c>
      <c r="W19" s="175" t="s">
        <v>2865</v>
      </c>
      <c r="X19" s="67" t="s">
        <v>2999</v>
      </c>
      <c r="Y19" s="67" t="s">
        <v>2866</v>
      </c>
      <c r="Z19" s="67" t="s">
        <v>3000</v>
      </c>
      <c r="AA19" s="175"/>
      <c r="AB19" s="175" t="s">
        <v>3001</v>
      </c>
      <c r="AC19" s="175" t="s">
        <v>3002</v>
      </c>
      <c r="AD19" s="175" t="s">
        <v>3003</v>
      </c>
      <c r="AE19" s="175" t="s">
        <v>3004</v>
      </c>
      <c r="AF19" s="176"/>
      <c r="AG19" s="176"/>
      <c r="AH19" s="176"/>
      <c r="AI19" s="67"/>
      <c r="AJ19" s="67"/>
      <c r="AK19" s="67" t="s">
        <v>2867</v>
      </c>
      <c r="AL19" s="67"/>
      <c r="AM19" s="176"/>
      <c r="AN19" s="176"/>
      <c r="AO19" s="67"/>
      <c r="AP19" s="67" t="s">
        <v>2867</v>
      </c>
      <c r="AQ19" s="67" t="s">
        <v>2868</v>
      </c>
      <c r="AR19" s="175"/>
      <c r="AS19" s="175" t="s">
        <v>2869</v>
      </c>
      <c r="AT19" s="175" t="s">
        <v>2867</v>
      </c>
      <c r="AU19" s="175"/>
      <c r="AV19" s="178">
        <v>0</v>
      </c>
      <c r="AW19" s="67"/>
      <c r="AX19" s="175" t="s">
        <v>2867</v>
      </c>
      <c r="AY19" s="175" t="s">
        <v>2870</v>
      </c>
      <c r="AZ19" s="175" t="s">
        <v>2871</v>
      </c>
      <c r="BA19" s="175"/>
      <c r="BB19" s="175"/>
      <c r="BC19" s="175" t="s">
        <v>2859</v>
      </c>
      <c r="BD19" s="175" t="s">
        <v>2872</v>
      </c>
      <c r="BE19" s="175" t="s">
        <v>2873</v>
      </c>
      <c r="BF19" s="175" t="s">
        <v>2867</v>
      </c>
      <c r="BG19" s="67"/>
      <c r="BH19" s="179"/>
      <c r="BI19" s="175" t="s">
        <v>2867</v>
      </c>
      <c r="BJ19" s="175"/>
      <c r="BK19" s="175" t="s">
        <v>2867</v>
      </c>
      <c r="BL19" s="175"/>
      <c r="BM19" s="175" t="s">
        <v>3005</v>
      </c>
      <c r="BN19" s="175" t="s">
        <v>3006</v>
      </c>
      <c r="BO19" s="180" t="s">
        <v>2879</v>
      </c>
      <c r="BP19" s="67" t="s">
        <v>2867</v>
      </c>
      <c r="BQ19" s="175" t="s">
        <v>1477</v>
      </c>
      <c r="BR19" s="177" t="s">
        <v>144</v>
      </c>
      <c r="BS19" s="177"/>
      <c r="BT19" s="67" t="s">
        <v>2867</v>
      </c>
      <c r="BU19" s="175"/>
      <c r="BV19" s="176"/>
      <c r="BW19" s="67" t="s">
        <v>2878</v>
      </c>
      <c r="BX19" s="175"/>
      <c r="BY19" s="175" t="s">
        <v>1996</v>
      </c>
      <c r="BZ19" s="177"/>
      <c r="CA19" s="175"/>
      <c r="CB19" s="175"/>
      <c r="CC19" s="177"/>
      <c r="CD19" s="177"/>
      <c r="CE19" s="67"/>
      <c r="CF19" s="67"/>
      <c r="CG19" s="177"/>
      <c r="CH19" s="176"/>
      <c r="CI19" s="176"/>
      <c r="CJ19" s="175"/>
      <c r="CK19" s="67" t="s">
        <v>2867</v>
      </c>
      <c r="CL19" s="175"/>
      <c r="CM19" s="175"/>
      <c r="CN19" s="175"/>
      <c r="CO19" s="175"/>
      <c r="CP19" s="67"/>
      <c r="CQ19" s="175" t="s">
        <v>2867</v>
      </c>
      <c r="CR19" s="175"/>
      <c r="CS19" s="67"/>
      <c r="CT19" s="175" t="s">
        <v>2867</v>
      </c>
      <c r="CU19" s="175"/>
      <c r="CV19" s="181" t="s">
        <v>2879</v>
      </c>
      <c r="CW19" s="67"/>
      <c r="CX19" s="182"/>
      <c r="CY19" s="175" t="s">
        <v>2880</v>
      </c>
      <c r="CZ19" s="175"/>
      <c r="DA19" s="175" t="s">
        <v>2881</v>
      </c>
      <c r="DB19" s="175" t="s">
        <v>2881</v>
      </c>
      <c r="DC19" s="175" t="s">
        <v>3007</v>
      </c>
      <c r="DD19" s="175"/>
      <c r="DE19" s="176">
        <v>46175</v>
      </c>
      <c r="DF19" s="175"/>
      <c r="DG19" s="182"/>
      <c r="DH19" s="183">
        <v>1023500</v>
      </c>
      <c r="DI19" s="67"/>
      <c r="DJ19" s="67"/>
      <c r="DK19" s="67"/>
      <c r="DL19" s="67"/>
      <c r="DM19" s="67"/>
      <c r="DN19" s="183">
        <v>0</v>
      </c>
      <c r="DO19" s="183">
        <v>0</v>
      </c>
      <c r="DP19" s="67" t="s">
        <v>2867</v>
      </c>
      <c r="DQ19" s="175"/>
      <c r="DR19" s="175"/>
      <c r="DS19" s="175" t="s">
        <v>2882</v>
      </c>
      <c r="DT19" s="175"/>
      <c r="DU19" s="175"/>
      <c r="DV19" s="175" t="s">
        <v>2883</v>
      </c>
      <c r="DW19" s="175" t="s">
        <v>2884</v>
      </c>
      <c r="DX19" s="175" t="s">
        <v>2879</v>
      </c>
    </row>
    <row r="20" spans="1:128" ht="19.5" customHeight="1">
      <c r="A20" s="173"/>
      <c r="B20" s="174" t="s">
        <v>3008</v>
      </c>
      <c r="C20" s="67"/>
      <c r="D20" s="67"/>
      <c r="E20" s="174" t="s">
        <v>3009</v>
      </c>
      <c r="F20" s="174" t="s">
        <v>3010</v>
      </c>
      <c r="G20" s="175" t="s">
        <v>3011</v>
      </c>
      <c r="H20" s="174" t="s">
        <v>2942</v>
      </c>
      <c r="I20" s="174" t="s">
        <v>2858</v>
      </c>
      <c r="J20" s="175" t="s">
        <v>2859</v>
      </c>
      <c r="K20" s="176">
        <v>46177</v>
      </c>
      <c r="L20" s="67" t="s">
        <v>2921</v>
      </c>
      <c r="M20" s="175" t="s">
        <v>2996</v>
      </c>
      <c r="N20" s="67" t="s">
        <v>2996</v>
      </c>
      <c r="O20" s="67" t="s">
        <v>2329</v>
      </c>
      <c r="P20" s="67" t="s">
        <v>2997</v>
      </c>
      <c r="Q20" s="67"/>
      <c r="R20" s="67"/>
      <c r="S20" s="67" t="s">
        <v>104</v>
      </c>
      <c r="T20" s="177" t="s">
        <v>2998</v>
      </c>
      <c r="U20" s="67" t="s">
        <v>1247</v>
      </c>
      <c r="V20" s="67" t="s">
        <v>2944</v>
      </c>
      <c r="W20" s="175" t="s">
        <v>2865</v>
      </c>
      <c r="X20" s="67" t="s">
        <v>3012</v>
      </c>
      <c r="Y20" s="67" t="s">
        <v>2866</v>
      </c>
      <c r="Z20" s="67" t="s">
        <v>3013</v>
      </c>
      <c r="AA20" s="175" t="s">
        <v>2947</v>
      </c>
      <c r="AB20" s="175" t="s">
        <v>3014</v>
      </c>
      <c r="AC20" s="175" t="s">
        <v>3015</v>
      </c>
      <c r="AD20" s="175" t="s">
        <v>3016</v>
      </c>
      <c r="AE20" s="175" t="s">
        <v>3017</v>
      </c>
      <c r="AF20" s="176"/>
      <c r="AG20" s="176"/>
      <c r="AH20" s="176"/>
      <c r="AI20" s="67"/>
      <c r="AJ20" s="67"/>
      <c r="AK20" s="67" t="s">
        <v>2867</v>
      </c>
      <c r="AL20" s="67"/>
      <c r="AM20" s="176"/>
      <c r="AN20" s="176"/>
      <c r="AO20" s="67"/>
      <c r="AP20" s="67" t="s">
        <v>2867</v>
      </c>
      <c r="AQ20" s="67" t="s">
        <v>2868</v>
      </c>
      <c r="AR20" s="175"/>
      <c r="AS20" s="175" t="s">
        <v>2869</v>
      </c>
      <c r="AT20" s="175" t="s">
        <v>2867</v>
      </c>
      <c r="AU20" s="175"/>
      <c r="AV20" s="178">
        <v>0</v>
      </c>
      <c r="AW20" s="67"/>
      <c r="AX20" s="175" t="s">
        <v>2867</v>
      </c>
      <c r="AY20" s="175" t="s">
        <v>2870</v>
      </c>
      <c r="AZ20" s="175" t="s">
        <v>2871</v>
      </c>
      <c r="BA20" s="175"/>
      <c r="BB20" s="175"/>
      <c r="BC20" s="175" t="s">
        <v>2859</v>
      </c>
      <c r="BD20" s="175" t="s">
        <v>2872</v>
      </c>
      <c r="BE20" s="175" t="s">
        <v>2873</v>
      </c>
      <c r="BF20" s="175" t="s">
        <v>2867</v>
      </c>
      <c r="BG20" s="67"/>
      <c r="BH20" s="179"/>
      <c r="BI20" s="175" t="s">
        <v>2867</v>
      </c>
      <c r="BJ20" s="175"/>
      <c r="BK20" s="175" t="s">
        <v>2867</v>
      </c>
      <c r="BL20" s="175"/>
      <c r="BM20" s="175" t="s">
        <v>3005</v>
      </c>
      <c r="BN20" s="175" t="s">
        <v>3006</v>
      </c>
      <c r="BO20" s="180" t="s">
        <v>2879</v>
      </c>
      <c r="BP20" s="67" t="s">
        <v>2867</v>
      </c>
      <c r="BQ20" s="175" t="s">
        <v>1477</v>
      </c>
      <c r="BR20" s="177" t="s">
        <v>144</v>
      </c>
      <c r="BS20" s="177"/>
      <c r="BT20" s="67" t="s">
        <v>2867</v>
      </c>
      <c r="BU20" s="175"/>
      <c r="BV20" s="176"/>
      <c r="BW20" s="67" t="s">
        <v>2878</v>
      </c>
      <c r="BX20" s="175" t="s">
        <v>3018</v>
      </c>
      <c r="BY20" s="175" t="s">
        <v>1996</v>
      </c>
      <c r="BZ20" s="177"/>
      <c r="CA20" s="175"/>
      <c r="CB20" s="175"/>
      <c r="CC20" s="177"/>
      <c r="CD20" s="177"/>
      <c r="CE20" s="67"/>
      <c r="CF20" s="67"/>
      <c r="CG20" s="177"/>
      <c r="CH20" s="176"/>
      <c r="CI20" s="176"/>
      <c r="CJ20" s="175"/>
      <c r="CK20" s="67" t="s">
        <v>2867</v>
      </c>
      <c r="CL20" s="175"/>
      <c r="CM20" s="175"/>
      <c r="CN20" s="175"/>
      <c r="CO20" s="175"/>
      <c r="CP20" s="67"/>
      <c r="CQ20" s="175" t="s">
        <v>2867</v>
      </c>
      <c r="CR20" s="175"/>
      <c r="CS20" s="67"/>
      <c r="CT20" s="175" t="s">
        <v>2867</v>
      </c>
      <c r="CU20" s="175"/>
      <c r="CV20" s="181" t="s">
        <v>2879</v>
      </c>
      <c r="CW20" s="67"/>
      <c r="CX20" s="182"/>
      <c r="CY20" s="175" t="s">
        <v>2880</v>
      </c>
      <c r="CZ20" s="175"/>
      <c r="DA20" s="175" t="s">
        <v>2881</v>
      </c>
      <c r="DB20" s="175" t="s">
        <v>2881</v>
      </c>
      <c r="DC20" s="175" t="s">
        <v>3007</v>
      </c>
      <c r="DD20" s="175"/>
      <c r="DE20" s="176"/>
      <c r="DF20" s="175"/>
      <c r="DG20" s="182"/>
      <c r="DH20" s="183">
        <v>1023500</v>
      </c>
      <c r="DI20" s="67"/>
      <c r="DJ20" s="67"/>
      <c r="DK20" s="67"/>
      <c r="DL20" s="67"/>
      <c r="DM20" s="67"/>
      <c r="DN20" s="183">
        <v>0</v>
      </c>
      <c r="DO20" s="183">
        <v>0</v>
      </c>
      <c r="DP20" s="67" t="s">
        <v>2867</v>
      </c>
      <c r="DQ20" s="175"/>
      <c r="DR20" s="175"/>
      <c r="DS20" s="175" t="s">
        <v>2882</v>
      </c>
      <c r="DT20" s="175"/>
      <c r="DU20" s="175"/>
      <c r="DV20" s="175" t="s">
        <v>2883</v>
      </c>
      <c r="DW20" s="175" t="s">
        <v>2884</v>
      </c>
      <c r="DX20" s="175" t="s">
        <v>2879</v>
      </c>
    </row>
    <row r="21" spans="1:128" ht="19.5" customHeight="1">
      <c r="A21" s="173"/>
      <c r="B21" s="174" t="s">
        <v>3019</v>
      </c>
      <c r="C21" s="67"/>
      <c r="D21" s="67"/>
      <c r="E21" s="174" t="s">
        <v>3020</v>
      </c>
      <c r="F21" s="174" t="s">
        <v>3021</v>
      </c>
      <c r="G21" s="175" t="s">
        <v>3022</v>
      </c>
      <c r="H21" s="174" t="s">
        <v>2942</v>
      </c>
      <c r="I21" s="174" t="s">
        <v>2858</v>
      </c>
      <c r="J21" s="175" t="s">
        <v>2859</v>
      </c>
      <c r="K21" s="176">
        <v>46177</v>
      </c>
      <c r="L21" s="67" t="s">
        <v>2969</v>
      </c>
      <c r="M21" s="175" t="s">
        <v>2996</v>
      </c>
      <c r="N21" s="67" t="s">
        <v>2996</v>
      </c>
      <c r="O21" s="67" t="s">
        <v>2329</v>
      </c>
      <c r="P21" s="67" t="s">
        <v>2997</v>
      </c>
      <c r="Q21" s="67" t="s">
        <v>1415</v>
      </c>
      <c r="R21" s="67" t="s">
        <v>104</v>
      </c>
      <c r="S21" s="67" t="s">
        <v>104</v>
      </c>
      <c r="T21" s="177" t="s">
        <v>2998</v>
      </c>
      <c r="U21" s="67" t="s">
        <v>1247</v>
      </c>
      <c r="V21" s="67" t="s">
        <v>2944</v>
      </c>
      <c r="W21" s="175" t="s">
        <v>2865</v>
      </c>
      <c r="X21" s="67"/>
      <c r="Y21" s="67" t="s">
        <v>2866</v>
      </c>
      <c r="Z21" s="67"/>
      <c r="AA21" s="175"/>
      <c r="AB21" s="175" t="s">
        <v>3023</v>
      </c>
      <c r="AC21" s="175" t="s">
        <v>3024</v>
      </c>
      <c r="AD21" s="175" t="s">
        <v>3025</v>
      </c>
      <c r="AE21" s="175" t="s">
        <v>3026</v>
      </c>
      <c r="AF21" s="176"/>
      <c r="AG21" s="176"/>
      <c r="AH21" s="176"/>
      <c r="AI21" s="67"/>
      <c r="AJ21" s="67"/>
      <c r="AK21" s="67" t="s">
        <v>2867</v>
      </c>
      <c r="AL21" s="67"/>
      <c r="AM21" s="176"/>
      <c r="AN21" s="176"/>
      <c r="AO21" s="67"/>
      <c r="AP21" s="67" t="s">
        <v>2867</v>
      </c>
      <c r="AQ21" s="67" t="s">
        <v>2868</v>
      </c>
      <c r="AR21" s="175"/>
      <c r="AS21" s="175" t="s">
        <v>2869</v>
      </c>
      <c r="AT21" s="175" t="s">
        <v>2867</v>
      </c>
      <c r="AU21" s="175"/>
      <c r="AV21" s="178">
        <v>0</v>
      </c>
      <c r="AW21" s="67"/>
      <c r="AX21" s="175" t="s">
        <v>2867</v>
      </c>
      <c r="AY21" s="175" t="s">
        <v>2870</v>
      </c>
      <c r="AZ21" s="175" t="s">
        <v>2871</v>
      </c>
      <c r="BA21" s="175"/>
      <c r="BB21" s="175"/>
      <c r="BC21" s="175" t="s">
        <v>2859</v>
      </c>
      <c r="BD21" s="175" t="s">
        <v>2872</v>
      </c>
      <c r="BE21" s="175" t="s">
        <v>2873</v>
      </c>
      <c r="BF21" s="175" t="s">
        <v>2867</v>
      </c>
      <c r="BG21" s="67"/>
      <c r="BH21" s="179"/>
      <c r="BI21" s="175" t="s">
        <v>3027</v>
      </c>
      <c r="BJ21" s="175" t="s">
        <v>3028</v>
      </c>
      <c r="BK21" s="175" t="s">
        <v>2867</v>
      </c>
      <c r="BL21" s="175"/>
      <c r="BM21" s="175" t="s">
        <v>3005</v>
      </c>
      <c r="BN21" s="175" t="s">
        <v>3006</v>
      </c>
      <c r="BO21" s="180" t="s">
        <v>2879</v>
      </c>
      <c r="BP21" s="67" t="s">
        <v>2867</v>
      </c>
      <c r="BQ21" s="175" t="s">
        <v>1477</v>
      </c>
      <c r="BR21" s="177" t="s">
        <v>144</v>
      </c>
      <c r="BS21" s="177"/>
      <c r="BT21" s="67" t="s">
        <v>2867</v>
      </c>
      <c r="BU21" s="175"/>
      <c r="BV21" s="176"/>
      <c r="BW21" s="67" t="s">
        <v>2878</v>
      </c>
      <c r="BX21" s="175"/>
      <c r="BY21" s="175" t="s">
        <v>1996</v>
      </c>
      <c r="BZ21" s="177"/>
      <c r="CA21" s="175"/>
      <c r="CB21" s="175"/>
      <c r="CC21" s="177"/>
      <c r="CD21" s="177"/>
      <c r="CE21" s="67"/>
      <c r="CF21" s="67"/>
      <c r="CG21" s="177"/>
      <c r="CH21" s="176"/>
      <c r="CI21" s="176"/>
      <c r="CJ21" s="175"/>
      <c r="CK21" s="67" t="s">
        <v>2867</v>
      </c>
      <c r="CL21" s="175"/>
      <c r="CM21" s="175"/>
      <c r="CN21" s="175"/>
      <c r="CO21" s="175"/>
      <c r="CP21" s="67" t="s">
        <v>1812</v>
      </c>
      <c r="CQ21" s="175" t="s">
        <v>3027</v>
      </c>
      <c r="CR21" s="175"/>
      <c r="CS21" s="67"/>
      <c r="CT21" s="175" t="s">
        <v>2867</v>
      </c>
      <c r="CU21" s="175"/>
      <c r="CV21" s="181" t="s">
        <v>2879</v>
      </c>
      <c r="CW21" s="67"/>
      <c r="CX21" s="182"/>
      <c r="CY21" s="175" t="s">
        <v>2880</v>
      </c>
      <c r="CZ21" s="175"/>
      <c r="DA21" s="175" t="s">
        <v>2881</v>
      </c>
      <c r="DB21" s="175" t="s">
        <v>2881</v>
      </c>
      <c r="DC21" s="175" t="s">
        <v>3007</v>
      </c>
      <c r="DD21" s="175"/>
      <c r="DE21" s="176"/>
      <c r="DF21" s="175"/>
      <c r="DG21" s="182"/>
      <c r="DH21" s="183">
        <v>1023500</v>
      </c>
      <c r="DI21" s="67"/>
      <c r="DJ21" s="67"/>
      <c r="DK21" s="67"/>
      <c r="DL21" s="67"/>
      <c r="DM21" s="67"/>
      <c r="DN21" s="183">
        <v>0</v>
      </c>
      <c r="DO21" s="183">
        <v>0</v>
      </c>
      <c r="DP21" s="67" t="s">
        <v>2867</v>
      </c>
      <c r="DQ21" s="175"/>
      <c r="DR21" s="175"/>
      <c r="DS21" s="175" t="s">
        <v>2882</v>
      </c>
      <c r="DT21" s="175"/>
      <c r="DU21" s="175"/>
      <c r="DV21" s="175" t="s">
        <v>2883</v>
      </c>
      <c r="DW21" s="175" t="s">
        <v>2884</v>
      </c>
      <c r="DX21" s="175" t="s">
        <v>2879</v>
      </c>
    </row>
    <row r="22" spans="1:128" ht="19.5" customHeight="1">
      <c r="A22" s="173"/>
      <c r="B22" s="174" t="s">
        <v>3029</v>
      </c>
      <c r="C22" s="67"/>
      <c r="D22" s="67"/>
      <c r="E22" s="174" t="s">
        <v>3030</v>
      </c>
      <c r="F22" s="174" t="s">
        <v>3031</v>
      </c>
      <c r="G22" s="175" t="s">
        <v>3032</v>
      </c>
      <c r="H22" s="174" t="s">
        <v>2942</v>
      </c>
      <c r="I22" s="174" t="s">
        <v>2858</v>
      </c>
      <c r="J22" s="175" t="s">
        <v>2859</v>
      </c>
      <c r="K22" s="176">
        <v>46177</v>
      </c>
      <c r="L22" s="67" t="s">
        <v>2889</v>
      </c>
      <c r="M22" s="175" t="s">
        <v>2996</v>
      </c>
      <c r="N22" s="67" t="s">
        <v>2996</v>
      </c>
      <c r="O22" s="67" t="s">
        <v>2329</v>
      </c>
      <c r="P22" s="67" t="s">
        <v>2997</v>
      </c>
      <c r="Q22" s="67" t="s">
        <v>1415</v>
      </c>
      <c r="R22" s="67" t="s">
        <v>104</v>
      </c>
      <c r="S22" s="67" t="s">
        <v>104</v>
      </c>
      <c r="T22" s="177" t="s">
        <v>2998</v>
      </c>
      <c r="U22" s="67" t="s">
        <v>1247</v>
      </c>
      <c r="V22" s="67" t="s">
        <v>2944</v>
      </c>
      <c r="W22" s="175" t="s">
        <v>2865</v>
      </c>
      <c r="X22" s="67"/>
      <c r="Y22" s="67" t="s">
        <v>2866</v>
      </c>
      <c r="Z22" s="67"/>
      <c r="AA22" s="175"/>
      <c r="AB22" s="175" t="s">
        <v>3033</v>
      </c>
      <c r="AC22" s="175" t="s">
        <v>3034</v>
      </c>
      <c r="AD22" s="175" t="s">
        <v>3035</v>
      </c>
      <c r="AE22" s="175" t="s">
        <v>3036</v>
      </c>
      <c r="AF22" s="176"/>
      <c r="AG22" s="176"/>
      <c r="AH22" s="176"/>
      <c r="AI22" s="67"/>
      <c r="AJ22" s="67"/>
      <c r="AK22" s="67" t="s">
        <v>2867</v>
      </c>
      <c r="AL22" s="67"/>
      <c r="AM22" s="176"/>
      <c r="AN22" s="176"/>
      <c r="AO22" s="67"/>
      <c r="AP22" s="67" t="s">
        <v>2867</v>
      </c>
      <c r="AQ22" s="67" t="s">
        <v>2868</v>
      </c>
      <c r="AR22" s="175"/>
      <c r="AS22" s="175" t="s">
        <v>2869</v>
      </c>
      <c r="AT22" s="175" t="s">
        <v>2867</v>
      </c>
      <c r="AU22" s="175"/>
      <c r="AV22" s="178">
        <v>0</v>
      </c>
      <c r="AW22" s="67"/>
      <c r="AX22" s="175" t="s">
        <v>2867</v>
      </c>
      <c r="AY22" s="175" t="s">
        <v>2870</v>
      </c>
      <c r="AZ22" s="175" t="s">
        <v>2871</v>
      </c>
      <c r="BA22" s="175"/>
      <c r="BB22" s="175"/>
      <c r="BC22" s="175" t="s">
        <v>2859</v>
      </c>
      <c r="BD22" s="175" t="s">
        <v>2872</v>
      </c>
      <c r="BE22" s="175" t="s">
        <v>2873</v>
      </c>
      <c r="BF22" s="175" t="s">
        <v>2867</v>
      </c>
      <c r="BG22" s="67"/>
      <c r="BH22" s="179"/>
      <c r="BI22" s="175" t="s">
        <v>3027</v>
      </c>
      <c r="BJ22" s="175" t="s">
        <v>3037</v>
      </c>
      <c r="BK22" s="175" t="s">
        <v>2867</v>
      </c>
      <c r="BL22" s="175"/>
      <c r="BM22" s="175" t="s">
        <v>3005</v>
      </c>
      <c r="BN22" s="175" t="s">
        <v>3006</v>
      </c>
      <c r="BO22" s="180" t="s">
        <v>2879</v>
      </c>
      <c r="BP22" s="67" t="s">
        <v>2867</v>
      </c>
      <c r="BQ22" s="175" t="s">
        <v>1477</v>
      </c>
      <c r="BR22" s="177" t="s">
        <v>144</v>
      </c>
      <c r="BS22" s="177"/>
      <c r="BT22" s="67" t="s">
        <v>2867</v>
      </c>
      <c r="BU22" s="175"/>
      <c r="BV22" s="176"/>
      <c r="BW22" s="67" t="s">
        <v>2878</v>
      </c>
      <c r="BX22" s="175"/>
      <c r="BY22" s="175" t="s">
        <v>1996</v>
      </c>
      <c r="BZ22" s="177"/>
      <c r="CA22" s="175"/>
      <c r="CB22" s="175"/>
      <c r="CC22" s="177"/>
      <c r="CD22" s="177"/>
      <c r="CE22" s="67"/>
      <c r="CF22" s="67"/>
      <c r="CG22" s="177"/>
      <c r="CH22" s="176"/>
      <c r="CI22" s="176"/>
      <c r="CJ22" s="175"/>
      <c r="CK22" s="67" t="s">
        <v>2867</v>
      </c>
      <c r="CL22" s="175"/>
      <c r="CM22" s="175"/>
      <c r="CN22" s="175"/>
      <c r="CO22" s="175"/>
      <c r="CP22" s="67" t="s">
        <v>1812</v>
      </c>
      <c r="CQ22" s="175" t="s">
        <v>3027</v>
      </c>
      <c r="CR22" s="175"/>
      <c r="CS22" s="67"/>
      <c r="CT22" s="175" t="s">
        <v>2867</v>
      </c>
      <c r="CU22" s="175"/>
      <c r="CV22" s="181" t="s">
        <v>2879</v>
      </c>
      <c r="CW22" s="67"/>
      <c r="CX22" s="182"/>
      <c r="CY22" s="175" t="s">
        <v>2880</v>
      </c>
      <c r="CZ22" s="175"/>
      <c r="DA22" s="175" t="s">
        <v>2881</v>
      </c>
      <c r="DB22" s="175" t="s">
        <v>2881</v>
      </c>
      <c r="DC22" s="175" t="s">
        <v>3007</v>
      </c>
      <c r="DD22" s="175"/>
      <c r="DE22" s="176"/>
      <c r="DF22" s="175"/>
      <c r="DG22" s="182"/>
      <c r="DH22" s="183">
        <v>1023500</v>
      </c>
      <c r="DI22" s="67"/>
      <c r="DJ22" s="67"/>
      <c r="DK22" s="67"/>
      <c r="DL22" s="67"/>
      <c r="DM22" s="67"/>
      <c r="DN22" s="183">
        <v>0</v>
      </c>
      <c r="DO22" s="183">
        <v>0</v>
      </c>
      <c r="DP22" s="67" t="s">
        <v>2867</v>
      </c>
      <c r="DQ22" s="175"/>
      <c r="DR22" s="175"/>
      <c r="DS22" s="175" t="s">
        <v>2882</v>
      </c>
      <c r="DT22" s="175"/>
      <c r="DU22" s="175"/>
      <c r="DV22" s="175" t="s">
        <v>2883</v>
      </c>
      <c r="DW22" s="175" t="s">
        <v>2884</v>
      </c>
      <c r="DX22" s="175" t="s">
        <v>2879</v>
      </c>
    </row>
    <row r="23" spans="1:128" ht="19.5" customHeight="1">
      <c r="A23" s="173"/>
      <c r="B23" s="174" t="s">
        <v>3038</v>
      </c>
      <c r="C23" s="67"/>
      <c r="D23" s="67"/>
      <c r="E23" s="174" t="s">
        <v>3039</v>
      </c>
      <c r="F23" s="174" t="s">
        <v>3040</v>
      </c>
      <c r="G23" s="175" t="s">
        <v>3041</v>
      </c>
      <c r="H23" s="174" t="s">
        <v>2942</v>
      </c>
      <c r="I23" s="174" t="s">
        <v>2858</v>
      </c>
      <c r="J23" s="175" t="s">
        <v>2859</v>
      </c>
      <c r="K23" s="176">
        <v>46177</v>
      </c>
      <c r="L23" s="67" t="s">
        <v>2906</v>
      </c>
      <c r="M23" s="175" t="s">
        <v>2996</v>
      </c>
      <c r="N23" s="67" t="s">
        <v>2996</v>
      </c>
      <c r="O23" s="67" t="s">
        <v>2329</v>
      </c>
      <c r="P23" s="67" t="s">
        <v>2997</v>
      </c>
      <c r="Q23" s="67" t="s">
        <v>1415</v>
      </c>
      <c r="R23" s="67" t="s">
        <v>104</v>
      </c>
      <c r="S23" s="67" t="s">
        <v>104</v>
      </c>
      <c r="T23" s="177" t="s">
        <v>2998</v>
      </c>
      <c r="U23" s="67" t="s">
        <v>1247</v>
      </c>
      <c r="V23" s="67" t="s">
        <v>2944</v>
      </c>
      <c r="W23" s="175" t="s">
        <v>2865</v>
      </c>
      <c r="X23" s="67"/>
      <c r="Y23" s="67" t="s">
        <v>2866</v>
      </c>
      <c r="Z23" s="67"/>
      <c r="AA23" s="175"/>
      <c r="AB23" s="175" t="s">
        <v>3042</v>
      </c>
      <c r="AC23" s="175" t="s">
        <v>3043</v>
      </c>
      <c r="AD23" s="175" t="s">
        <v>3044</v>
      </c>
      <c r="AE23" s="175" t="s">
        <v>3045</v>
      </c>
      <c r="AF23" s="176"/>
      <c r="AG23" s="176"/>
      <c r="AH23" s="176"/>
      <c r="AI23" s="67"/>
      <c r="AJ23" s="67"/>
      <c r="AK23" s="67" t="s">
        <v>2867</v>
      </c>
      <c r="AL23" s="67"/>
      <c r="AM23" s="176"/>
      <c r="AN23" s="176"/>
      <c r="AO23" s="67"/>
      <c r="AP23" s="67" t="s">
        <v>2867</v>
      </c>
      <c r="AQ23" s="67" t="s">
        <v>2868</v>
      </c>
      <c r="AR23" s="175"/>
      <c r="AS23" s="175" t="s">
        <v>2869</v>
      </c>
      <c r="AT23" s="175" t="s">
        <v>2867</v>
      </c>
      <c r="AU23" s="175"/>
      <c r="AV23" s="178">
        <v>0</v>
      </c>
      <c r="AW23" s="67"/>
      <c r="AX23" s="175" t="s">
        <v>2867</v>
      </c>
      <c r="AY23" s="175" t="s">
        <v>2870</v>
      </c>
      <c r="AZ23" s="175" t="s">
        <v>2871</v>
      </c>
      <c r="BA23" s="175"/>
      <c r="BB23" s="175"/>
      <c r="BC23" s="175" t="s">
        <v>2859</v>
      </c>
      <c r="BD23" s="175" t="s">
        <v>2872</v>
      </c>
      <c r="BE23" s="175" t="s">
        <v>2873</v>
      </c>
      <c r="BF23" s="175" t="s">
        <v>2867</v>
      </c>
      <c r="BG23" s="67"/>
      <c r="BH23" s="179"/>
      <c r="BI23" s="175" t="s">
        <v>3027</v>
      </c>
      <c r="BJ23" s="175" t="s">
        <v>3046</v>
      </c>
      <c r="BK23" s="175" t="s">
        <v>2867</v>
      </c>
      <c r="BL23" s="175"/>
      <c r="BM23" s="175" t="s">
        <v>3005</v>
      </c>
      <c r="BN23" s="175" t="s">
        <v>3006</v>
      </c>
      <c r="BO23" s="180" t="s">
        <v>2879</v>
      </c>
      <c r="BP23" s="67" t="s">
        <v>2867</v>
      </c>
      <c r="BQ23" s="175" t="s">
        <v>1477</v>
      </c>
      <c r="BR23" s="177" t="s">
        <v>144</v>
      </c>
      <c r="BS23" s="177"/>
      <c r="BT23" s="67" t="s">
        <v>2867</v>
      </c>
      <c r="BU23" s="175"/>
      <c r="BV23" s="176"/>
      <c r="BW23" s="67" t="s">
        <v>2878</v>
      </c>
      <c r="BX23" s="175" t="s">
        <v>3047</v>
      </c>
      <c r="BY23" s="175" t="s">
        <v>1996</v>
      </c>
      <c r="BZ23" s="177"/>
      <c r="CA23" s="175"/>
      <c r="CB23" s="175"/>
      <c r="CC23" s="177"/>
      <c r="CD23" s="177"/>
      <c r="CE23" s="67"/>
      <c r="CF23" s="67"/>
      <c r="CG23" s="177"/>
      <c r="CH23" s="176"/>
      <c r="CI23" s="176"/>
      <c r="CJ23" s="175"/>
      <c r="CK23" s="67" t="s">
        <v>2867</v>
      </c>
      <c r="CL23" s="175"/>
      <c r="CM23" s="175"/>
      <c r="CN23" s="175"/>
      <c r="CO23" s="175"/>
      <c r="CP23" s="67" t="s">
        <v>1812</v>
      </c>
      <c r="CQ23" s="175" t="s">
        <v>3027</v>
      </c>
      <c r="CR23" s="175"/>
      <c r="CS23" s="67"/>
      <c r="CT23" s="175" t="s">
        <v>2867</v>
      </c>
      <c r="CU23" s="175"/>
      <c r="CV23" s="181" t="s">
        <v>2879</v>
      </c>
      <c r="CW23" s="67"/>
      <c r="CX23" s="182"/>
      <c r="CY23" s="175" t="s">
        <v>2880</v>
      </c>
      <c r="CZ23" s="175"/>
      <c r="DA23" s="175" t="s">
        <v>2881</v>
      </c>
      <c r="DB23" s="175" t="s">
        <v>2881</v>
      </c>
      <c r="DC23" s="175" t="s">
        <v>3007</v>
      </c>
      <c r="DD23" s="175"/>
      <c r="DE23" s="176"/>
      <c r="DF23" s="175"/>
      <c r="DG23" s="182"/>
      <c r="DH23" s="183">
        <v>1023500</v>
      </c>
      <c r="DI23" s="67"/>
      <c r="DJ23" s="67"/>
      <c r="DK23" s="67"/>
      <c r="DL23" s="67"/>
      <c r="DM23" s="67"/>
      <c r="DN23" s="183">
        <v>0</v>
      </c>
      <c r="DO23" s="183">
        <v>0</v>
      </c>
      <c r="DP23" s="67" t="s">
        <v>2867</v>
      </c>
      <c r="DQ23" s="175"/>
      <c r="DR23" s="175"/>
      <c r="DS23" s="175" t="s">
        <v>2882</v>
      </c>
      <c r="DT23" s="175"/>
      <c r="DU23" s="175"/>
      <c r="DV23" s="175" t="s">
        <v>2883</v>
      </c>
      <c r="DW23" s="175" t="s">
        <v>2884</v>
      </c>
      <c r="DX23" s="175" t="s">
        <v>2879</v>
      </c>
    </row>
    <row r="24" spans="1:128" ht="19.5" customHeight="1">
      <c r="A24" s="173"/>
      <c r="B24" s="174" t="s">
        <v>3048</v>
      </c>
      <c r="C24" s="67"/>
      <c r="D24" s="67"/>
      <c r="E24" s="174" t="s">
        <v>3049</v>
      </c>
      <c r="F24" s="174" t="s">
        <v>3050</v>
      </c>
      <c r="G24" s="175" t="s">
        <v>3051</v>
      </c>
      <c r="H24" s="174" t="s">
        <v>2942</v>
      </c>
      <c r="I24" s="174" t="s">
        <v>2858</v>
      </c>
      <c r="J24" s="175" t="s">
        <v>2859</v>
      </c>
      <c r="K24" s="176">
        <v>46177</v>
      </c>
      <c r="L24" s="67" t="s">
        <v>2932</v>
      </c>
      <c r="M24" s="175" t="s">
        <v>2996</v>
      </c>
      <c r="N24" s="67" t="s">
        <v>2996</v>
      </c>
      <c r="O24" s="67" t="s">
        <v>2329</v>
      </c>
      <c r="P24" s="67" t="s">
        <v>2997</v>
      </c>
      <c r="Q24" s="67" t="s">
        <v>1415</v>
      </c>
      <c r="R24" s="67" t="s">
        <v>104</v>
      </c>
      <c r="S24" s="67" t="s">
        <v>104</v>
      </c>
      <c r="T24" s="177" t="s">
        <v>2998</v>
      </c>
      <c r="U24" s="67" t="s">
        <v>1247</v>
      </c>
      <c r="V24" s="67" t="s">
        <v>2944</v>
      </c>
      <c r="W24" s="175" t="s">
        <v>2865</v>
      </c>
      <c r="X24" s="67"/>
      <c r="Y24" s="67" t="s">
        <v>2866</v>
      </c>
      <c r="Z24" s="67"/>
      <c r="AA24" s="175"/>
      <c r="AB24" s="175" t="s">
        <v>3052</v>
      </c>
      <c r="AC24" s="175" t="s">
        <v>3053</v>
      </c>
      <c r="AD24" s="175" t="s">
        <v>3054</v>
      </c>
      <c r="AE24" s="175" t="s">
        <v>3055</v>
      </c>
      <c r="AF24" s="176"/>
      <c r="AG24" s="176"/>
      <c r="AH24" s="176"/>
      <c r="AI24" s="67"/>
      <c r="AJ24" s="67"/>
      <c r="AK24" s="67" t="s">
        <v>2867</v>
      </c>
      <c r="AL24" s="67"/>
      <c r="AM24" s="176"/>
      <c r="AN24" s="176"/>
      <c r="AO24" s="67"/>
      <c r="AP24" s="67" t="s">
        <v>2867</v>
      </c>
      <c r="AQ24" s="67" t="s">
        <v>2868</v>
      </c>
      <c r="AR24" s="175"/>
      <c r="AS24" s="175" t="s">
        <v>2869</v>
      </c>
      <c r="AT24" s="175" t="s">
        <v>2867</v>
      </c>
      <c r="AU24" s="175"/>
      <c r="AV24" s="178">
        <v>0</v>
      </c>
      <c r="AW24" s="67"/>
      <c r="AX24" s="175" t="s">
        <v>2867</v>
      </c>
      <c r="AY24" s="175" t="s">
        <v>2870</v>
      </c>
      <c r="AZ24" s="175" t="s">
        <v>2871</v>
      </c>
      <c r="BA24" s="175"/>
      <c r="BB24" s="175"/>
      <c r="BC24" s="175" t="s">
        <v>2859</v>
      </c>
      <c r="BD24" s="175" t="s">
        <v>2872</v>
      </c>
      <c r="BE24" s="175" t="s">
        <v>2873</v>
      </c>
      <c r="BF24" s="175" t="s">
        <v>2867</v>
      </c>
      <c r="BG24" s="67"/>
      <c r="BH24" s="179"/>
      <c r="BI24" s="175" t="s">
        <v>3027</v>
      </c>
      <c r="BJ24" s="175" t="s">
        <v>3056</v>
      </c>
      <c r="BK24" s="175" t="s">
        <v>2867</v>
      </c>
      <c r="BL24" s="175"/>
      <c r="BM24" s="175" t="s">
        <v>3005</v>
      </c>
      <c r="BN24" s="175" t="s">
        <v>3006</v>
      </c>
      <c r="BO24" s="180" t="s">
        <v>2879</v>
      </c>
      <c r="BP24" s="67" t="s">
        <v>2867</v>
      </c>
      <c r="BQ24" s="175" t="s">
        <v>1477</v>
      </c>
      <c r="BR24" s="177" t="s">
        <v>144</v>
      </c>
      <c r="BS24" s="177"/>
      <c r="BT24" s="67" t="s">
        <v>2867</v>
      </c>
      <c r="BU24" s="175"/>
      <c r="BV24" s="176"/>
      <c r="BW24" s="67" t="s">
        <v>2878</v>
      </c>
      <c r="BX24" s="175" t="s">
        <v>3057</v>
      </c>
      <c r="BY24" s="175" t="s">
        <v>1996</v>
      </c>
      <c r="BZ24" s="177"/>
      <c r="CA24" s="175"/>
      <c r="CB24" s="175"/>
      <c r="CC24" s="177"/>
      <c r="CD24" s="177"/>
      <c r="CE24" s="67"/>
      <c r="CF24" s="67"/>
      <c r="CG24" s="177"/>
      <c r="CH24" s="176"/>
      <c r="CI24" s="176"/>
      <c r="CJ24" s="175"/>
      <c r="CK24" s="67" t="s">
        <v>2867</v>
      </c>
      <c r="CL24" s="175"/>
      <c r="CM24" s="175"/>
      <c r="CN24" s="175"/>
      <c r="CO24" s="175"/>
      <c r="CP24" s="67" t="s">
        <v>1812</v>
      </c>
      <c r="CQ24" s="175" t="s">
        <v>3027</v>
      </c>
      <c r="CR24" s="175"/>
      <c r="CS24" s="67"/>
      <c r="CT24" s="175" t="s">
        <v>2867</v>
      </c>
      <c r="CU24" s="175"/>
      <c r="CV24" s="181" t="s">
        <v>2879</v>
      </c>
      <c r="CW24" s="67"/>
      <c r="CX24" s="182"/>
      <c r="CY24" s="175" t="s">
        <v>2880</v>
      </c>
      <c r="CZ24" s="175"/>
      <c r="DA24" s="175" t="s">
        <v>2881</v>
      </c>
      <c r="DB24" s="175" t="s">
        <v>2881</v>
      </c>
      <c r="DC24" s="175" t="s">
        <v>3007</v>
      </c>
      <c r="DD24" s="175"/>
      <c r="DE24" s="176"/>
      <c r="DF24" s="175"/>
      <c r="DG24" s="182"/>
      <c r="DH24" s="183">
        <v>1023500</v>
      </c>
      <c r="DI24" s="67"/>
      <c r="DJ24" s="67"/>
      <c r="DK24" s="67"/>
      <c r="DL24" s="67"/>
      <c r="DM24" s="67"/>
      <c r="DN24" s="183">
        <v>0</v>
      </c>
      <c r="DO24" s="183">
        <v>0</v>
      </c>
      <c r="DP24" s="67" t="s">
        <v>2867</v>
      </c>
      <c r="DQ24" s="175"/>
      <c r="DR24" s="175"/>
      <c r="DS24" s="175" t="s">
        <v>2882</v>
      </c>
      <c r="DT24" s="175"/>
      <c r="DU24" s="175"/>
      <c r="DV24" s="175" t="s">
        <v>2883</v>
      </c>
      <c r="DW24" s="175" t="s">
        <v>2884</v>
      </c>
      <c r="DX24" s="175" t="s">
        <v>2879</v>
      </c>
    </row>
    <row r="25" spans="1:128" ht="19.5" customHeight="1">
      <c r="A25" s="173"/>
      <c r="B25" s="174" t="s">
        <v>3058</v>
      </c>
      <c r="C25" s="67"/>
      <c r="D25" s="67"/>
      <c r="E25" s="174" t="s">
        <v>3059</v>
      </c>
      <c r="F25" s="174" t="s">
        <v>3060</v>
      </c>
      <c r="G25" s="175" t="s">
        <v>3061</v>
      </c>
      <c r="H25" s="174" t="s">
        <v>2857</v>
      </c>
      <c r="I25" s="174" t="s">
        <v>2858</v>
      </c>
      <c r="J25" s="175" t="s">
        <v>2859</v>
      </c>
      <c r="K25" s="176">
        <v>46177</v>
      </c>
      <c r="L25" s="67" t="s">
        <v>3062</v>
      </c>
      <c r="M25" s="175" t="s">
        <v>2996</v>
      </c>
      <c r="N25" s="67" t="s">
        <v>2996</v>
      </c>
      <c r="O25" s="67" t="s">
        <v>2329</v>
      </c>
      <c r="P25" s="67" t="s">
        <v>2997</v>
      </c>
      <c r="Q25" s="67"/>
      <c r="R25" s="67"/>
      <c r="S25" s="67" t="s">
        <v>104</v>
      </c>
      <c r="T25" s="177" t="s">
        <v>2998</v>
      </c>
      <c r="U25" s="67" t="s">
        <v>1247</v>
      </c>
      <c r="V25" s="67" t="s">
        <v>2891</v>
      </c>
      <c r="W25" s="175" t="s">
        <v>2865</v>
      </c>
      <c r="X25" s="67"/>
      <c r="Y25" s="67" t="s">
        <v>2866</v>
      </c>
      <c r="Z25" s="67"/>
      <c r="AA25" s="175"/>
      <c r="AB25" s="175"/>
      <c r="AC25" s="175"/>
      <c r="AD25" s="175"/>
      <c r="AE25" s="175"/>
      <c r="AF25" s="176"/>
      <c r="AG25" s="176"/>
      <c r="AH25" s="176"/>
      <c r="AI25" s="67"/>
      <c r="AJ25" s="67"/>
      <c r="AK25" s="67" t="s">
        <v>2867</v>
      </c>
      <c r="AL25" s="67"/>
      <c r="AM25" s="176"/>
      <c r="AN25" s="176"/>
      <c r="AO25" s="67"/>
      <c r="AP25" s="67" t="s">
        <v>2867</v>
      </c>
      <c r="AQ25" s="67" t="s">
        <v>2868</v>
      </c>
      <c r="AR25" s="175"/>
      <c r="AS25" s="175" t="s">
        <v>2869</v>
      </c>
      <c r="AT25" s="175" t="s">
        <v>2867</v>
      </c>
      <c r="AU25" s="175"/>
      <c r="AV25" s="178">
        <v>0</v>
      </c>
      <c r="AW25" s="67"/>
      <c r="AX25" s="175" t="s">
        <v>2867</v>
      </c>
      <c r="AY25" s="175" t="s">
        <v>2870</v>
      </c>
      <c r="AZ25" s="175" t="s">
        <v>2871</v>
      </c>
      <c r="BA25" s="175"/>
      <c r="BB25" s="175"/>
      <c r="BC25" s="175" t="s">
        <v>2859</v>
      </c>
      <c r="BD25" s="175" t="s">
        <v>2872</v>
      </c>
      <c r="BE25" s="175" t="s">
        <v>2873</v>
      </c>
      <c r="BF25" s="175"/>
      <c r="BG25" s="67"/>
      <c r="BH25" s="179"/>
      <c r="BI25" s="175" t="s">
        <v>2867</v>
      </c>
      <c r="BJ25" s="175"/>
      <c r="BK25" s="175" t="s">
        <v>2867</v>
      </c>
      <c r="BL25" s="175"/>
      <c r="BM25" s="175" t="s">
        <v>3005</v>
      </c>
      <c r="BN25" s="175" t="s">
        <v>3006</v>
      </c>
      <c r="BO25" s="180" t="s">
        <v>2879</v>
      </c>
      <c r="BP25" s="67" t="s">
        <v>2867</v>
      </c>
      <c r="BQ25" s="175" t="s">
        <v>1477</v>
      </c>
      <c r="BR25" s="177" t="s">
        <v>144</v>
      </c>
      <c r="BS25" s="177"/>
      <c r="BT25" s="67" t="s">
        <v>2867</v>
      </c>
      <c r="BU25" s="175"/>
      <c r="BV25" s="176"/>
      <c r="BW25" s="67" t="s">
        <v>2878</v>
      </c>
      <c r="BX25" s="175"/>
      <c r="BY25" s="175" t="s">
        <v>1996</v>
      </c>
      <c r="BZ25" s="177"/>
      <c r="CA25" s="175"/>
      <c r="CB25" s="175"/>
      <c r="CC25" s="177"/>
      <c r="CD25" s="177"/>
      <c r="CE25" s="67"/>
      <c r="CF25" s="67"/>
      <c r="CG25" s="177"/>
      <c r="CH25" s="176"/>
      <c r="CI25" s="176"/>
      <c r="CJ25" s="175"/>
      <c r="CK25" s="67" t="s">
        <v>2867</v>
      </c>
      <c r="CL25" s="175"/>
      <c r="CM25" s="175"/>
      <c r="CN25" s="175"/>
      <c r="CO25" s="175"/>
      <c r="CP25" s="67"/>
      <c r="CQ25" s="175" t="s">
        <v>2867</v>
      </c>
      <c r="CR25" s="175"/>
      <c r="CS25" s="67"/>
      <c r="CT25" s="175" t="s">
        <v>2867</v>
      </c>
      <c r="CU25" s="175"/>
      <c r="CV25" s="181" t="s">
        <v>2879</v>
      </c>
      <c r="CW25" s="67"/>
      <c r="CX25" s="182"/>
      <c r="CY25" s="175" t="s">
        <v>2880</v>
      </c>
      <c r="CZ25" s="175"/>
      <c r="DA25" s="175" t="s">
        <v>2881</v>
      </c>
      <c r="DB25" s="175" t="s">
        <v>2881</v>
      </c>
      <c r="DC25" s="175"/>
      <c r="DD25" s="175"/>
      <c r="DE25" s="176"/>
      <c r="DF25" s="175"/>
      <c r="DG25" s="182"/>
      <c r="DH25" s="183">
        <v>1023500</v>
      </c>
      <c r="DI25" s="67"/>
      <c r="DJ25" s="67"/>
      <c r="DK25" s="67"/>
      <c r="DL25" s="67"/>
      <c r="DM25" s="67"/>
      <c r="DN25" s="183">
        <v>0</v>
      </c>
      <c r="DO25" s="183">
        <v>0</v>
      </c>
      <c r="DP25" s="67" t="s">
        <v>2867</v>
      </c>
      <c r="DQ25" s="175"/>
      <c r="DR25" s="175"/>
      <c r="DS25" s="175" t="s">
        <v>2882</v>
      </c>
      <c r="DT25" s="175"/>
      <c r="DU25" s="175"/>
      <c r="DV25" s="175" t="s">
        <v>2883</v>
      </c>
      <c r="DW25" s="175" t="s">
        <v>2884</v>
      </c>
      <c r="DX25" s="175" t="s">
        <v>2879</v>
      </c>
    </row>
    <row r="26" spans="1:128" ht="19.5" customHeight="1">
      <c r="A26" s="173"/>
      <c r="B26" s="174" t="s">
        <v>3063</v>
      </c>
      <c r="C26" s="67"/>
      <c r="D26" s="67"/>
      <c r="E26" s="174" t="s">
        <v>3064</v>
      </c>
      <c r="F26" s="174" t="s">
        <v>3065</v>
      </c>
      <c r="G26" s="175" t="s">
        <v>3066</v>
      </c>
      <c r="H26" s="174" t="s">
        <v>2857</v>
      </c>
      <c r="I26" s="174" t="s">
        <v>2858</v>
      </c>
      <c r="J26" s="175" t="s">
        <v>2859</v>
      </c>
      <c r="K26" s="176">
        <v>46177</v>
      </c>
      <c r="L26" s="67" t="s">
        <v>2889</v>
      </c>
      <c r="M26" s="175" t="s">
        <v>2996</v>
      </c>
      <c r="N26" s="67" t="s">
        <v>2996</v>
      </c>
      <c r="O26" s="67" t="s">
        <v>2329</v>
      </c>
      <c r="P26" s="67" t="s">
        <v>2997</v>
      </c>
      <c r="Q26" s="67"/>
      <c r="R26" s="67"/>
      <c r="S26" s="67" t="s">
        <v>104</v>
      </c>
      <c r="T26" s="177" t="s">
        <v>2998</v>
      </c>
      <c r="U26" s="67" t="s">
        <v>119</v>
      </c>
      <c r="V26" s="67" t="s">
        <v>2896</v>
      </c>
      <c r="W26" s="175" t="s">
        <v>2865</v>
      </c>
      <c r="X26" s="67"/>
      <c r="Y26" s="67" t="s">
        <v>2866</v>
      </c>
      <c r="Z26" s="67"/>
      <c r="AA26" s="175"/>
      <c r="AB26" s="175"/>
      <c r="AC26" s="175"/>
      <c r="AD26" s="175"/>
      <c r="AE26" s="175"/>
      <c r="AF26" s="176"/>
      <c r="AG26" s="176"/>
      <c r="AH26" s="176"/>
      <c r="AI26" s="67"/>
      <c r="AJ26" s="67"/>
      <c r="AK26" s="67" t="s">
        <v>2867</v>
      </c>
      <c r="AL26" s="67"/>
      <c r="AM26" s="176"/>
      <c r="AN26" s="176"/>
      <c r="AO26" s="67"/>
      <c r="AP26" s="67" t="s">
        <v>2867</v>
      </c>
      <c r="AQ26" s="67" t="s">
        <v>2868</v>
      </c>
      <c r="AR26" s="175"/>
      <c r="AS26" s="175" t="s">
        <v>2869</v>
      </c>
      <c r="AT26" s="175" t="s">
        <v>2867</v>
      </c>
      <c r="AU26" s="175"/>
      <c r="AV26" s="178">
        <v>0</v>
      </c>
      <c r="AW26" s="67"/>
      <c r="AX26" s="175" t="s">
        <v>2867</v>
      </c>
      <c r="AY26" s="175" t="s">
        <v>2870</v>
      </c>
      <c r="AZ26" s="175" t="s">
        <v>2871</v>
      </c>
      <c r="BA26" s="175"/>
      <c r="BB26" s="175"/>
      <c r="BC26" s="175" t="s">
        <v>2859</v>
      </c>
      <c r="BD26" s="175" t="s">
        <v>2872</v>
      </c>
      <c r="BE26" s="175" t="s">
        <v>2873</v>
      </c>
      <c r="BF26" s="175"/>
      <c r="BG26" s="67"/>
      <c r="BH26" s="179"/>
      <c r="BI26" s="175" t="s">
        <v>2867</v>
      </c>
      <c r="BJ26" s="175"/>
      <c r="BK26" s="175" t="s">
        <v>2867</v>
      </c>
      <c r="BL26" s="175"/>
      <c r="BM26" s="175" t="s">
        <v>2874</v>
      </c>
      <c r="BN26" s="175" t="s">
        <v>2875</v>
      </c>
      <c r="BO26" s="180"/>
      <c r="BP26" s="67" t="s">
        <v>2867</v>
      </c>
      <c r="BQ26" s="175" t="s">
        <v>2876</v>
      </c>
      <c r="BR26" s="177" t="s">
        <v>2877</v>
      </c>
      <c r="BS26" s="177"/>
      <c r="BT26" s="67" t="s">
        <v>2867</v>
      </c>
      <c r="BU26" s="175"/>
      <c r="BV26" s="176"/>
      <c r="BW26" s="67" t="s">
        <v>2878</v>
      </c>
      <c r="BX26" s="175"/>
      <c r="BY26" s="175" t="s">
        <v>1996</v>
      </c>
      <c r="BZ26" s="177"/>
      <c r="CA26" s="175"/>
      <c r="CB26" s="175"/>
      <c r="CC26" s="177"/>
      <c r="CD26" s="177"/>
      <c r="CE26" s="67"/>
      <c r="CF26" s="67"/>
      <c r="CG26" s="177"/>
      <c r="CH26" s="176"/>
      <c r="CI26" s="176"/>
      <c r="CJ26" s="175"/>
      <c r="CK26" s="67" t="s">
        <v>2867</v>
      </c>
      <c r="CL26" s="175"/>
      <c r="CM26" s="175"/>
      <c r="CN26" s="175"/>
      <c r="CO26" s="175"/>
      <c r="CP26" s="67"/>
      <c r="CQ26" s="175" t="s">
        <v>2867</v>
      </c>
      <c r="CR26" s="175"/>
      <c r="CS26" s="67"/>
      <c r="CT26" s="175" t="s">
        <v>2867</v>
      </c>
      <c r="CU26" s="175"/>
      <c r="CV26" s="181" t="s">
        <v>2879</v>
      </c>
      <c r="CW26" s="67"/>
      <c r="CX26" s="182"/>
      <c r="CY26" s="175" t="s">
        <v>2880</v>
      </c>
      <c r="CZ26" s="175"/>
      <c r="DA26" s="175" t="s">
        <v>2881</v>
      </c>
      <c r="DB26" s="175" t="s">
        <v>2881</v>
      </c>
      <c r="DC26" s="175"/>
      <c r="DD26" s="175"/>
      <c r="DE26" s="176"/>
      <c r="DF26" s="175"/>
      <c r="DG26" s="182"/>
      <c r="DH26" s="183">
        <v>0</v>
      </c>
      <c r="DI26" s="67"/>
      <c r="DJ26" s="67"/>
      <c r="DK26" s="67"/>
      <c r="DL26" s="67"/>
      <c r="DM26" s="67"/>
      <c r="DN26" s="183">
        <v>0</v>
      </c>
      <c r="DO26" s="183">
        <v>0</v>
      </c>
      <c r="DP26" s="67" t="s">
        <v>2867</v>
      </c>
      <c r="DQ26" s="175"/>
      <c r="DR26" s="175"/>
      <c r="DS26" s="175" t="s">
        <v>2882</v>
      </c>
      <c r="DT26" s="175"/>
      <c r="DU26" s="175"/>
      <c r="DV26" s="175" t="s">
        <v>2883</v>
      </c>
      <c r="DW26" s="175" t="s">
        <v>2884</v>
      </c>
      <c r="DX26" s="175" t="s">
        <v>2879</v>
      </c>
    </row>
    <row r="27" spans="1:128" ht="19.5" customHeight="1">
      <c r="A27" s="173"/>
      <c r="B27" s="174" t="s">
        <v>3067</v>
      </c>
      <c r="C27" s="67"/>
      <c r="D27" s="67"/>
      <c r="E27" s="174" t="s">
        <v>3068</v>
      </c>
      <c r="F27" s="174" t="s">
        <v>3069</v>
      </c>
      <c r="G27" s="175" t="s">
        <v>3070</v>
      </c>
      <c r="H27" s="174" t="s">
        <v>2857</v>
      </c>
      <c r="I27" s="174" t="s">
        <v>2858</v>
      </c>
      <c r="J27" s="175" t="s">
        <v>2859</v>
      </c>
      <c r="K27" s="176">
        <v>46177</v>
      </c>
      <c r="L27" s="67" t="s">
        <v>2916</v>
      </c>
      <c r="M27" s="175" t="s">
        <v>2996</v>
      </c>
      <c r="N27" s="67" t="s">
        <v>2996</v>
      </c>
      <c r="O27" s="67" t="s">
        <v>2329</v>
      </c>
      <c r="P27" s="67" t="s">
        <v>2997</v>
      </c>
      <c r="Q27" s="67"/>
      <c r="R27" s="67"/>
      <c r="S27" s="67" t="s">
        <v>104</v>
      </c>
      <c r="T27" s="177" t="s">
        <v>2998</v>
      </c>
      <c r="U27" s="67" t="s">
        <v>119</v>
      </c>
      <c r="V27" s="67" t="s">
        <v>2896</v>
      </c>
      <c r="W27" s="175" t="s">
        <v>2865</v>
      </c>
      <c r="X27" s="67"/>
      <c r="Y27" s="67" t="s">
        <v>2866</v>
      </c>
      <c r="Z27" s="67"/>
      <c r="AA27" s="175"/>
      <c r="AB27" s="175"/>
      <c r="AC27" s="175"/>
      <c r="AD27" s="175"/>
      <c r="AE27" s="175"/>
      <c r="AF27" s="176"/>
      <c r="AG27" s="176"/>
      <c r="AH27" s="176"/>
      <c r="AI27" s="67"/>
      <c r="AJ27" s="67"/>
      <c r="AK27" s="67" t="s">
        <v>2867</v>
      </c>
      <c r="AL27" s="67"/>
      <c r="AM27" s="176"/>
      <c r="AN27" s="176"/>
      <c r="AO27" s="67"/>
      <c r="AP27" s="67" t="s">
        <v>2867</v>
      </c>
      <c r="AQ27" s="67" t="s">
        <v>2868</v>
      </c>
      <c r="AR27" s="175"/>
      <c r="AS27" s="175" t="s">
        <v>2869</v>
      </c>
      <c r="AT27" s="175" t="s">
        <v>2867</v>
      </c>
      <c r="AU27" s="175"/>
      <c r="AV27" s="178">
        <v>0</v>
      </c>
      <c r="AW27" s="67"/>
      <c r="AX27" s="175" t="s">
        <v>2867</v>
      </c>
      <c r="AY27" s="175" t="s">
        <v>2870</v>
      </c>
      <c r="AZ27" s="175" t="s">
        <v>2871</v>
      </c>
      <c r="BA27" s="175"/>
      <c r="BB27" s="175"/>
      <c r="BC27" s="175" t="s">
        <v>2859</v>
      </c>
      <c r="BD27" s="175" t="s">
        <v>2872</v>
      </c>
      <c r="BE27" s="175" t="s">
        <v>2873</v>
      </c>
      <c r="BF27" s="175"/>
      <c r="BG27" s="67"/>
      <c r="BH27" s="179"/>
      <c r="BI27" s="175" t="s">
        <v>2867</v>
      </c>
      <c r="BJ27" s="175"/>
      <c r="BK27" s="175" t="s">
        <v>2867</v>
      </c>
      <c r="BL27" s="175"/>
      <c r="BM27" s="175" t="s">
        <v>2874</v>
      </c>
      <c r="BN27" s="175" t="s">
        <v>2875</v>
      </c>
      <c r="BO27" s="180"/>
      <c r="BP27" s="67" t="s">
        <v>2867</v>
      </c>
      <c r="BQ27" s="175" t="s">
        <v>2876</v>
      </c>
      <c r="BR27" s="177" t="s">
        <v>2877</v>
      </c>
      <c r="BS27" s="177"/>
      <c r="BT27" s="67" t="s">
        <v>2867</v>
      </c>
      <c r="BU27" s="175"/>
      <c r="BV27" s="176"/>
      <c r="BW27" s="67" t="s">
        <v>2878</v>
      </c>
      <c r="BX27" s="175"/>
      <c r="BY27" s="175" t="s">
        <v>1996</v>
      </c>
      <c r="BZ27" s="177"/>
      <c r="CA27" s="175"/>
      <c r="CB27" s="175"/>
      <c r="CC27" s="177"/>
      <c r="CD27" s="177"/>
      <c r="CE27" s="67"/>
      <c r="CF27" s="67"/>
      <c r="CG27" s="177"/>
      <c r="CH27" s="176"/>
      <c r="CI27" s="176"/>
      <c r="CJ27" s="175"/>
      <c r="CK27" s="67" t="s">
        <v>2867</v>
      </c>
      <c r="CL27" s="175"/>
      <c r="CM27" s="175"/>
      <c r="CN27" s="175"/>
      <c r="CO27" s="175"/>
      <c r="CP27" s="67"/>
      <c r="CQ27" s="175" t="s">
        <v>2867</v>
      </c>
      <c r="CR27" s="175"/>
      <c r="CS27" s="67"/>
      <c r="CT27" s="175" t="s">
        <v>2867</v>
      </c>
      <c r="CU27" s="175"/>
      <c r="CV27" s="181" t="s">
        <v>2879</v>
      </c>
      <c r="CW27" s="67"/>
      <c r="CX27" s="182"/>
      <c r="CY27" s="175" t="s">
        <v>2880</v>
      </c>
      <c r="CZ27" s="175"/>
      <c r="DA27" s="175" t="s">
        <v>2881</v>
      </c>
      <c r="DB27" s="175" t="s">
        <v>2881</v>
      </c>
      <c r="DC27" s="175"/>
      <c r="DD27" s="175"/>
      <c r="DE27" s="176"/>
      <c r="DF27" s="175"/>
      <c r="DG27" s="182"/>
      <c r="DH27" s="183">
        <v>0</v>
      </c>
      <c r="DI27" s="67"/>
      <c r="DJ27" s="67"/>
      <c r="DK27" s="67"/>
      <c r="DL27" s="67"/>
      <c r="DM27" s="67"/>
      <c r="DN27" s="183">
        <v>0</v>
      </c>
      <c r="DO27" s="183">
        <v>0</v>
      </c>
      <c r="DP27" s="67" t="s">
        <v>2867</v>
      </c>
      <c r="DQ27" s="175"/>
      <c r="DR27" s="175"/>
      <c r="DS27" s="175" t="s">
        <v>2882</v>
      </c>
      <c r="DT27" s="175"/>
      <c r="DU27" s="175"/>
      <c r="DV27" s="175" t="s">
        <v>2883</v>
      </c>
      <c r="DW27" s="175" t="s">
        <v>2884</v>
      </c>
      <c r="DX27" s="175" t="s">
        <v>2879</v>
      </c>
    </row>
    <row r="28" spans="1:128" ht="19.5" customHeight="1">
      <c r="A28" s="173"/>
      <c r="B28" s="174" t="s">
        <v>3071</v>
      </c>
      <c r="C28" s="67"/>
      <c r="D28" s="67"/>
      <c r="E28" s="174" t="s">
        <v>3072</v>
      </c>
      <c r="F28" s="174" t="s">
        <v>3073</v>
      </c>
      <c r="G28" s="175" t="s">
        <v>3074</v>
      </c>
      <c r="H28" s="174" t="s">
        <v>2942</v>
      </c>
      <c r="I28" s="174" t="s">
        <v>2858</v>
      </c>
      <c r="J28" s="175" t="s">
        <v>2859</v>
      </c>
      <c r="K28" s="176">
        <v>46177</v>
      </c>
      <c r="L28" s="67" t="s">
        <v>2943</v>
      </c>
      <c r="M28" s="175" t="s">
        <v>2996</v>
      </c>
      <c r="N28" s="67" t="s">
        <v>2996</v>
      </c>
      <c r="O28" s="67" t="s">
        <v>2329</v>
      </c>
      <c r="P28" s="67" t="s">
        <v>2997</v>
      </c>
      <c r="Q28" s="67"/>
      <c r="R28" s="67"/>
      <c r="S28" s="67" t="s">
        <v>104</v>
      </c>
      <c r="T28" s="177" t="s">
        <v>2998</v>
      </c>
      <c r="U28" s="67" t="s">
        <v>119</v>
      </c>
      <c r="V28" s="67" t="s">
        <v>2944</v>
      </c>
      <c r="W28" s="175" t="s">
        <v>2865</v>
      </c>
      <c r="X28" s="67" t="s">
        <v>3075</v>
      </c>
      <c r="Y28" s="67" t="s">
        <v>2866</v>
      </c>
      <c r="Z28" s="67" t="s">
        <v>3076</v>
      </c>
      <c r="AA28" s="175" t="s">
        <v>2947</v>
      </c>
      <c r="AB28" s="175" t="s">
        <v>3077</v>
      </c>
      <c r="AC28" s="175" t="s">
        <v>3078</v>
      </c>
      <c r="AD28" s="175" t="s">
        <v>3079</v>
      </c>
      <c r="AE28" s="175" t="s">
        <v>3080</v>
      </c>
      <c r="AF28" s="176"/>
      <c r="AG28" s="176"/>
      <c r="AH28" s="176"/>
      <c r="AI28" s="67"/>
      <c r="AJ28" s="67"/>
      <c r="AK28" s="67" t="s">
        <v>2867</v>
      </c>
      <c r="AL28" s="67"/>
      <c r="AM28" s="176"/>
      <c r="AN28" s="176"/>
      <c r="AO28" s="67"/>
      <c r="AP28" s="67" t="s">
        <v>2867</v>
      </c>
      <c r="AQ28" s="67" t="s">
        <v>2868</v>
      </c>
      <c r="AR28" s="175"/>
      <c r="AS28" s="175" t="s">
        <v>2869</v>
      </c>
      <c r="AT28" s="175" t="s">
        <v>2867</v>
      </c>
      <c r="AU28" s="175"/>
      <c r="AV28" s="178">
        <v>0</v>
      </c>
      <c r="AW28" s="67"/>
      <c r="AX28" s="175" t="s">
        <v>2867</v>
      </c>
      <c r="AY28" s="175" t="s">
        <v>2870</v>
      </c>
      <c r="AZ28" s="175" t="s">
        <v>2871</v>
      </c>
      <c r="BA28" s="175"/>
      <c r="BB28" s="175"/>
      <c r="BC28" s="175" t="s">
        <v>2859</v>
      </c>
      <c r="BD28" s="175" t="s">
        <v>2872</v>
      </c>
      <c r="BE28" s="175" t="s">
        <v>2873</v>
      </c>
      <c r="BF28" s="175" t="s">
        <v>2867</v>
      </c>
      <c r="BG28" s="67"/>
      <c r="BH28" s="179"/>
      <c r="BI28" s="175" t="s">
        <v>2867</v>
      </c>
      <c r="BJ28" s="175"/>
      <c r="BK28" s="175" t="s">
        <v>2867</v>
      </c>
      <c r="BL28" s="175"/>
      <c r="BM28" s="175" t="s">
        <v>3005</v>
      </c>
      <c r="BN28" s="175" t="s">
        <v>3006</v>
      </c>
      <c r="BO28" s="180" t="s">
        <v>2879</v>
      </c>
      <c r="BP28" s="67" t="s">
        <v>2867</v>
      </c>
      <c r="BQ28" s="175" t="s">
        <v>1477</v>
      </c>
      <c r="BR28" s="177" t="s">
        <v>144</v>
      </c>
      <c r="BS28" s="177"/>
      <c r="BT28" s="67" t="s">
        <v>2867</v>
      </c>
      <c r="BU28" s="175"/>
      <c r="BV28" s="176"/>
      <c r="BW28" s="67" t="s">
        <v>2878</v>
      </c>
      <c r="BX28" s="175" t="s">
        <v>3081</v>
      </c>
      <c r="BY28" s="175" t="s">
        <v>1996</v>
      </c>
      <c r="BZ28" s="177"/>
      <c r="CA28" s="175"/>
      <c r="CB28" s="175"/>
      <c r="CC28" s="177"/>
      <c r="CD28" s="177"/>
      <c r="CE28" s="67"/>
      <c r="CF28" s="67"/>
      <c r="CG28" s="177"/>
      <c r="CH28" s="176"/>
      <c r="CI28" s="176"/>
      <c r="CJ28" s="175"/>
      <c r="CK28" s="67" t="s">
        <v>2867</v>
      </c>
      <c r="CL28" s="175"/>
      <c r="CM28" s="175"/>
      <c r="CN28" s="175"/>
      <c r="CO28" s="175"/>
      <c r="CP28" s="67"/>
      <c r="CQ28" s="175" t="s">
        <v>2867</v>
      </c>
      <c r="CR28" s="175"/>
      <c r="CS28" s="67"/>
      <c r="CT28" s="175" t="s">
        <v>2867</v>
      </c>
      <c r="CU28" s="175"/>
      <c r="CV28" s="181" t="s">
        <v>2879</v>
      </c>
      <c r="CW28" s="67"/>
      <c r="CX28" s="182"/>
      <c r="CY28" s="175" t="s">
        <v>2880</v>
      </c>
      <c r="CZ28" s="175"/>
      <c r="DA28" s="175" t="s">
        <v>2881</v>
      </c>
      <c r="DB28" s="175" t="s">
        <v>2881</v>
      </c>
      <c r="DC28" s="175" t="s">
        <v>3007</v>
      </c>
      <c r="DD28" s="175"/>
      <c r="DE28" s="176"/>
      <c r="DF28" s="175"/>
      <c r="DG28" s="182"/>
      <c r="DH28" s="183">
        <v>1023500</v>
      </c>
      <c r="DI28" s="67"/>
      <c r="DJ28" s="67"/>
      <c r="DK28" s="67"/>
      <c r="DL28" s="67"/>
      <c r="DM28" s="67"/>
      <c r="DN28" s="183">
        <v>0</v>
      </c>
      <c r="DO28" s="183">
        <v>0</v>
      </c>
      <c r="DP28" s="67" t="s">
        <v>2867</v>
      </c>
      <c r="DQ28" s="175"/>
      <c r="DR28" s="175"/>
      <c r="DS28" s="175" t="s">
        <v>2882</v>
      </c>
      <c r="DT28" s="175"/>
      <c r="DU28" s="175"/>
      <c r="DV28" s="175" t="s">
        <v>2883</v>
      </c>
      <c r="DW28" s="175" t="s">
        <v>2884</v>
      </c>
      <c r="DX28" s="175" t="s">
        <v>2879</v>
      </c>
    </row>
    <row r="29" spans="1:128" ht="19.5" customHeight="1">
      <c r="A29" s="173"/>
      <c r="B29" s="174" t="s">
        <v>3082</v>
      </c>
      <c r="C29" s="67"/>
      <c r="D29" s="67"/>
      <c r="E29" s="174" t="s">
        <v>3083</v>
      </c>
      <c r="F29" s="174" t="s">
        <v>3084</v>
      </c>
      <c r="G29" s="175" t="s">
        <v>3085</v>
      </c>
      <c r="H29" s="174" t="s">
        <v>2942</v>
      </c>
      <c r="I29" s="174" t="s">
        <v>2858</v>
      </c>
      <c r="J29" s="175" t="s">
        <v>2859</v>
      </c>
      <c r="K29" s="176">
        <v>46177</v>
      </c>
      <c r="L29" s="67" t="s">
        <v>2921</v>
      </c>
      <c r="M29" s="175" t="s">
        <v>2996</v>
      </c>
      <c r="N29" s="67" t="s">
        <v>2996</v>
      </c>
      <c r="O29" s="67" t="s">
        <v>2329</v>
      </c>
      <c r="P29" s="67" t="s">
        <v>2997</v>
      </c>
      <c r="Q29" s="67"/>
      <c r="R29" s="67"/>
      <c r="S29" s="67" t="s">
        <v>104</v>
      </c>
      <c r="T29" s="177" t="s">
        <v>2998</v>
      </c>
      <c r="U29" s="67" t="s">
        <v>119</v>
      </c>
      <c r="V29" s="67" t="s">
        <v>2944</v>
      </c>
      <c r="W29" s="175" t="s">
        <v>2865</v>
      </c>
      <c r="X29" s="67" t="s">
        <v>3086</v>
      </c>
      <c r="Y29" s="67" t="s">
        <v>2866</v>
      </c>
      <c r="Z29" s="67" t="s">
        <v>3087</v>
      </c>
      <c r="AA29" s="175" t="s">
        <v>2947</v>
      </c>
      <c r="AB29" s="175" t="s">
        <v>3088</v>
      </c>
      <c r="AC29" s="175" t="s">
        <v>3089</v>
      </c>
      <c r="AD29" s="175" t="s">
        <v>3090</v>
      </c>
      <c r="AE29" s="175" t="s">
        <v>3091</v>
      </c>
      <c r="AF29" s="176"/>
      <c r="AG29" s="176"/>
      <c r="AH29" s="176"/>
      <c r="AI29" s="67"/>
      <c r="AJ29" s="67"/>
      <c r="AK29" s="67" t="s">
        <v>2867</v>
      </c>
      <c r="AL29" s="67"/>
      <c r="AM29" s="176"/>
      <c r="AN29" s="176"/>
      <c r="AO29" s="67"/>
      <c r="AP29" s="67" t="s">
        <v>2867</v>
      </c>
      <c r="AQ29" s="67" t="s">
        <v>2868</v>
      </c>
      <c r="AR29" s="175"/>
      <c r="AS29" s="175" t="s">
        <v>2869</v>
      </c>
      <c r="AT29" s="175" t="s">
        <v>2867</v>
      </c>
      <c r="AU29" s="175"/>
      <c r="AV29" s="178">
        <v>0</v>
      </c>
      <c r="AW29" s="67"/>
      <c r="AX29" s="175" t="s">
        <v>2867</v>
      </c>
      <c r="AY29" s="175" t="s">
        <v>2870</v>
      </c>
      <c r="AZ29" s="175" t="s">
        <v>2871</v>
      </c>
      <c r="BA29" s="175"/>
      <c r="BB29" s="175"/>
      <c r="BC29" s="175" t="s">
        <v>2859</v>
      </c>
      <c r="BD29" s="175" t="s">
        <v>2872</v>
      </c>
      <c r="BE29" s="175" t="s">
        <v>2873</v>
      </c>
      <c r="BF29" s="175" t="s">
        <v>2867</v>
      </c>
      <c r="BG29" s="67"/>
      <c r="BH29" s="179"/>
      <c r="BI29" s="175" t="s">
        <v>2867</v>
      </c>
      <c r="BJ29" s="175"/>
      <c r="BK29" s="175" t="s">
        <v>2867</v>
      </c>
      <c r="BL29" s="175"/>
      <c r="BM29" s="175" t="s">
        <v>3005</v>
      </c>
      <c r="BN29" s="175" t="s">
        <v>3006</v>
      </c>
      <c r="BO29" s="180" t="s">
        <v>2879</v>
      </c>
      <c r="BP29" s="67" t="s">
        <v>2867</v>
      </c>
      <c r="BQ29" s="175" t="s">
        <v>1477</v>
      </c>
      <c r="BR29" s="177" t="s">
        <v>144</v>
      </c>
      <c r="BS29" s="177"/>
      <c r="BT29" s="67" t="s">
        <v>2867</v>
      </c>
      <c r="BU29" s="175"/>
      <c r="BV29" s="176"/>
      <c r="BW29" s="67" t="s">
        <v>2878</v>
      </c>
      <c r="BX29" s="175" t="s">
        <v>3092</v>
      </c>
      <c r="BY29" s="175" t="s">
        <v>1996</v>
      </c>
      <c r="BZ29" s="177"/>
      <c r="CA29" s="175"/>
      <c r="CB29" s="175"/>
      <c r="CC29" s="177"/>
      <c r="CD29" s="177"/>
      <c r="CE29" s="67"/>
      <c r="CF29" s="67"/>
      <c r="CG29" s="177"/>
      <c r="CH29" s="176"/>
      <c r="CI29" s="176"/>
      <c r="CJ29" s="175"/>
      <c r="CK29" s="67" t="s">
        <v>2867</v>
      </c>
      <c r="CL29" s="175"/>
      <c r="CM29" s="175"/>
      <c r="CN29" s="175"/>
      <c r="CO29" s="175"/>
      <c r="CP29" s="67"/>
      <c r="CQ29" s="175" t="s">
        <v>2867</v>
      </c>
      <c r="CR29" s="175"/>
      <c r="CS29" s="67"/>
      <c r="CT29" s="175" t="s">
        <v>2867</v>
      </c>
      <c r="CU29" s="175"/>
      <c r="CV29" s="181" t="s">
        <v>2879</v>
      </c>
      <c r="CW29" s="67"/>
      <c r="CX29" s="182"/>
      <c r="CY29" s="175" t="s">
        <v>2880</v>
      </c>
      <c r="CZ29" s="175"/>
      <c r="DA29" s="175" t="s">
        <v>2881</v>
      </c>
      <c r="DB29" s="175" t="s">
        <v>2881</v>
      </c>
      <c r="DC29" s="175" t="s">
        <v>3007</v>
      </c>
      <c r="DD29" s="175"/>
      <c r="DE29" s="176"/>
      <c r="DF29" s="175"/>
      <c r="DG29" s="182"/>
      <c r="DH29" s="183">
        <v>1023500</v>
      </c>
      <c r="DI29" s="67"/>
      <c r="DJ29" s="67"/>
      <c r="DK29" s="67"/>
      <c r="DL29" s="67"/>
      <c r="DM29" s="67"/>
      <c r="DN29" s="183">
        <v>0</v>
      </c>
      <c r="DO29" s="183">
        <v>0</v>
      </c>
      <c r="DP29" s="67" t="s">
        <v>2867</v>
      </c>
      <c r="DQ29" s="175"/>
      <c r="DR29" s="175"/>
      <c r="DS29" s="175" t="s">
        <v>2882</v>
      </c>
      <c r="DT29" s="175"/>
      <c r="DU29" s="175"/>
      <c r="DV29" s="175" t="s">
        <v>2883</v>
      </c>
      <c r="DW29" s="175" t="s">
        <v>2884</v>
      </c>
      <c r="DX29" s="175" t="s">
        <v>2879</v>
      </c>
    </row>
    <row r="30" spans="1:128" ht="19.5" customHeight="1">
      <c r="A30" s="173"/>
      <c r="B30" s="174" t="s">
        <v>3093</v>
      </c>
      <c r="C30" s="67"/>
      <c r="D30" s="67"/>
      <c r="E30" s="174" t="s">
        <v>3094</v>
      </c>
      <c r="F30" s="174" t="s">
        <v>3095</v>
      </c>
      <c r="G30" s="175" t="s">
        <v>3096</v>
      </c>
      <c r="H30" s="174" t="s">
        <v>2942</v>
      </c>
      <c r="I30" s="174" t="s">
        <v>2858</v>
      </c>
      <c r="J30" s="175" t="s">
        <v>2859</v>
      </c>
      <c r="K30" s="176">
        <v>46177</v>
      </c>
      <c r="L30" s="67" t="s">
        <v>2969</v>
      </c>
      <c r="M30" s="175" t="s">
        <v>2996</v>
      </c>
      <c r="N30" s="67" t="s">
        <v>2996</v>
      </c>
      <c r="O30" s="67" t="s">
        <v>2329</v>
      </c>
      <c r="P30" s="67" t="s">
        <v>2997</v>
      </c>
      <c r="Q30" s="67" t="s">
        <v>1415</v>
      </c>
      <c r="R30" s="67" t="s">
        <v>104</v>
      </c>
      <c r="S30" s="67" t="s">
        <v>104</v>
      </c>
      <c r="T30" s="177" t="s">
        <v>2998</v>
      </c>
      <c r="U30" s="67" t="s">
        <v>119</v>
      </c>
      <c r="V30" s="67" t="s">
        <v>2944</v>
      </c>
      <c r="W30" s="175" t="s">
        <v>2865</v>
      </c>
      <c r="X30" s="67"/>
      <c r="Y30" s="67" t="s">
        <v>2866</v>
      </c>
      <c r="Z30" s="67"/>
      <c r="AA30" s="175"/>
      <c r="AB30" s="175" t="s">
        <v>3097</v>
      </c>
      <c r="AC30" s="175" t="s">
        <v>3098</v>
      </c>
      <c r="AD30" s="175" t="s">
        <v>3099</v>
      </c>
      <c r="AE30" s="175" t="s">
        <v>3100</v>
      </c>
      <c r="AF30" s="176"/>
      <c r="AG30" s="176"/>
      <c r="AH30" s="176"/>
      <c r="AI30" s="67"/>
      <c r="AJ30" s="67"/>
      <c r="AK30" s="67" t="s">
        <v>2867</v>
      </c>
      <c r="AL30" s="67"/>
      <c r="AM30" s="176"/>
      <c r="AN30" s="176"/>
      <c r="AO30" s="67"/>
      <c r="AP30" s="67" t="s">
        <v>2867</v>
      </c>
      <c r="AQ30" s="67" t="s">
        <v>2868</v>
      </c>
      <c r="AR30" s="175"/>
      <c r="AS30" s="175" t="s">
        <v>2869</v>
      </c>
      <c r="AT30" s="175" t="s">
        <v>2867</v>
      </c>
      <c r="AU30" s="175"/>
      <c r="AV30" s="178">
        <v>0</v>
      </c>
      <c r="AW30" s="67"/>
      <c r="AX30" s="175" t="s">
        <v>2867</v>
      </c>
      <c r="AY30" s="175" t="s">
        <v>2870</v>
      </c>
      <c r="AZ30" s="175" t="s">
        <v>2871</v>
      </c>
      <c r="BA30" s="175"/>
      <c r="BB30" s="175"/>
      <c r="BC30" s="175" t="s">
        <v>2859</v>
      </c>
      <c r="BD30" s="175" t="s">
        <v>2872</v>
      </c>
      <c r="BE30" s="175" t="s">
        <v>2873</v>
      </c>
      <c r="BF30" s="175" t="s">
        <v>2867</v>
      </c>
      <c r="BG30" s="67"/>
      <c r="BH30" s="179"/>
      <c r="BI30" s="175" t="s">
        <v>3027</v>
      </c>
      <c r="BJ30" s="175" t="s">
        <v>3101</v>
      </c>
      <c r="BK30" s="175" t="s">
        <v>3027</v>
      </c>
      <c r="BL30" s="175"/>
      <c r="BM30" s="175" t="s">
        <v>3005</v>
      </c>
      <c r="BN30" s="175" t="s">
        <v>3006</v>
      </c>
      <c r="BO30" s="180" t="s">
        <v>2879</v>
      </c>
      <c r="BP30" s="67" t="s">
        <v>2867</v>
      </c>
      <c r="BQ30" s="175" t="s">
        <v>1477</v>
      </c>
      <c r="BR30" s="177" t="s">
        <v>144</v>
      </c>
      <c r="BS30" s="177"/>
      <c r="BT30" s="67" t="s">
        <v>2867</v>
      </c>
      <c r="BU30" s="175"/>
      <c r="BV30" s="176"/>
      <c r="BW30" s="67" t="s">
        <v>2878</v>
      </c>
      <c r="BX30" s="175" t="s">
        <v>3102</v>
      </c>
      <c r="BY30" s="175" t="s">
        <v>1996</v>
      </c>
      <c r="BZ30" s="177"/>
      <c r="CA30" s="175"/>
      <c r="CB30" s="175"/>
      <c r="CC30" s="177"/>
      <c r="CD30" s="177"/>
      <c r="CE30" s="67"/>
      <c r="CF30" s="67"/>
      <c r="CG30" s="177"/>
      <c r="CH30" s="176"/>
      <c r="CI30" s="176"/>
      <c r="CJ30" s="175"/>
      <c r="CK30" s="67" t="s">
        <v>2867</v>
      </c>
      <c r="CL30" s="175"/>
      <c r="CM30" s="175"/>
      <c r="CN30" s="175"/>
      <c r="CO30" s="175"/>
      <c r="CP30" s="67" t="s">
        <v>1812</v>
      </c>
      <c r="CQ30" s="175" t="s">
        <v>3027</v>
      </c>
      <c r="CR30" s="175"/>
      <c r="CS30" s="67"/>
      <c r="CT30" s="175" t="s">
        <v>2867</v>
      </c>
      <c r="CU30" s="175"/>
      <c r="CV30" s="181" t="s">
        <v>2879</v>
      </c>
      <c r="CW30" s="67"/>
      <c r="CX30" s="182"/>
      <c r="CY30" s="175" t="s">
        <v>2880</v>
      </c>
      <c r="CZ30" s="175"/>
      <c r="DA30" s="175" t="s">
        <v>2881</v>
      </c>
      <c r="DB30" s="175" t="s">
        <v>2881</v>
      </c>
      <c r="DC30" s="175" t="s">
        <v>2953</v>
      </c>
      <c r="DD30" s="175"/>
      <c r="DE30" s="176"/>
      <c r="DF30" s="175"/>
      <c r="DG30" s="182"/>
      <c r="DH30" s="183">
        <v>1023500</v>
      </c>
      <c r="DI30" s="67"/>
      <c r="DJ30" s="67"/>
      <c r="DK30" s="67"/>
      <c r="DL30" s="67"/>
      <c r="DM30" s="67"/>
      <c r="DN30" s="183">
        <v>0</v>
      </c>
      <c r="DO30" s="183">
        <v>0</v>
      </c>
      <c r="DP30" s="67" t="s">
        <v>2867</v>
      </c>
      <c r="DQ30" s="175"/>
      <c r="DR30" s="175"/>
      <c r="DS30" s="175" t="s">
        <v>2882</v>
      </c>
      <c r="DT30" s="175"/>
      <c r="DU30" s="175"/>
      <c r="DV30" s="175" t="s">
        <v>2883</v>
      </c>
      <c r="DW30" s="175" t="s">
        <v>2884</v>
      </c>
      <c r="DX30" s="175" t="s">
        <v>2879</v>
      </c>
    </row>
    <row r="31" spans="1:128" ht="19.5" customHeight="1">
      <c r="A31" s="173"/>
      <c r="B31" s="174" t="s">
        <v>3103</v>
      </c>
      <c r="C31" s="67"/>
      <c r="D31" s="67"/>
      <c r="E31" s="174" t="s">
        <v>3104</v>
      </c>
      <c r="F31" s="174" t="s">
        <v>3105</v>
      </c>
      <c r="G31" s="175" t="s">
        <v>3106</v>
      </c>
      <c r="H31" s="174" t="s">
        <v>2942</v>
      </c>
      <c r="I31" s="174" t="s">
        <v>2858</v>
      </c>
      <c r="J31" s="175" t="s">
        <v>2859</v>
      </c>
      <c r="K31" s="176">
        <v>46177</v>
      </c>
      <c r="L31" s="67" t="s">
        <v>3062</v>
      </c>
      <c r="M31" s="175" t="s">
        <v>2996</v>
      </c>
      <c r="N31" s="67" t="s">
        <v>2996</v>
      </c>
      <c r="O31" s="67" t="s">
        <v>2329</v>
      </c>
      <c r="P31" s="67" t="s">
        <v>2997</v>
      </c>
      <c r="Q31" s="67"/>
      <c r="R31" s="67"/>
      <c r="S31" s="67" t="s">
        <v>104</v>
      </c>
      <c r="T31" s="177" t="s">
        <v>2998</v>
      </c>
      <c r="U31" s="67" t="s">
        <v>119</v>
      </c>
      <c r="V31" s="67" t="s">
        <v>3107</v>
      </c>
      <c r="W31" s="175" t="s">
        <v>2865</v>
      </c>
      <c r="X31" s="67" t="s">
        <v>3108</v>
      </c>
      <c r="Y31" s="67" t="s">
        <v>2866</v>
      </c>
      <c r="Z31" s="67" t="s">
        <v>3109</v>
      </c>
      <c r="AA31" s="175" t="s">
        <v>2947</v>
      </c>
      <c r="AB31" s="175" t="s">
        <v>3110</v>
      </c>
      <c r="AC31" s="175" t="s">
        <v>3111</v>
      </c>
      <c r="AD31" s="175" t="s">
        <v>3112</v>
      </c>
      <c r="AE31" s="175" t="s">
        <v>3113</v>
      </c>
      <c r="AF31" s="176"/>
      <c r="AG31" s="176"/>
      <c r="AH31" s="176"/>
      <c r="AI31" s="67"/>
      <c r="AJ31" s="67"/>
      <c r="AK31" s="67" t="s">
        <v>2867</v>
      </c>
      <c r="AL31" s="67"/>
      <c r="AM31" s="176"/>
      <c r="AN31" s="176"/>
      <c r="AO31" s="67"/>
      <c r="AP31" s="67" t="s">
        <v>2867</v>
      </c>
      <c r="AQ31" s="67" t="s">
        <v>2868</v>
      </c>
      <c r="AR31" s="175"/>
      <c r="AS31" s="175" t="s">
        <v>2869</v>
      </c>
      <c r="AT31" s="175" t="s">
        <v>2867</v>
      </c>
      <c r="AU31" s="175"/>
      <c r="AV31" s="178">
        <v>0</v>
      </c>
      <c r="AW31" s="67"/>
      <c r="AX31" s="175" t="s">
        <v>2867</v>
      </c>
      <c r="AY31" s="175" t="s">
        <v>2870</v>
      </c>
      <c r="AZ31" s="175" t="s">
        <v>2871</v>
      </c>
      <c r="BA31" s="175"/>
      <c r="BB31" s="175"/>
      <c r="BC31" s="175" t="s">
        <v>2859</v>
      </c>
      <c r="BD31" s="175" t="s">
        <v>2872</v>
      </c>
      <c r="BE31" s="175" t="s">
        <v>2873</v>
      </c>
      <c r="BF31" s="175" t="s">
        <v>2867</v>
      </c>
      <c r="BG31" s="67"/>
      <c r="BH31" s="179"/>
      <c r="BI31" s="175" t="s">
        <v>2867</v>
      </c>
      <c r="BJ31" s="175"/>
      <c r="BK31" s="175" t="s">
        <v>2867</v>
      </c>
      <c r="BL31" s="175"/>
      <c r="BM31" s="175" t="s">
        <v>3005</v>
      </c>
      <c r="BN31" s="175" t="s">
        <v>3006</v>
      </c>
      <c r="BO31" s="180" t="s">
        <v>2879</v>
      </c>
      <c r="BP31" s="67" t="s">
        <v>2867</v>
      </c>
      <c r="BQ31" s="175" t="s">
        <v>1477</v>
      </c>
      <c r="BR31" s="177" t="s">
        <v>144</v>
      </c>
      <c r="BS31" s="177"/>
      <c r="BT31" s="67" t="s">
        <v>2867</v>
      </c>
      <c r="BU31" s="175"/>
      <c r="BV31" s="176"/>
      <c r="BW31" s="67" t="s">
        <v>2878</v>
      </c>
      <c r="BX31" s="175" t="s">
        <v>3114</v>
      </c>
      <c r="BY31" s="175" t="s">
        <v>1996</v>
      </c>
      <c r="BZ31" s="177"/>
      <c r="CA31" s="175"/>
      <c r="CB31" s="175"/>
      <c r="CC31" s="177"/>
      <c r="CD31" s="177"/>
      <c r="CE31" s="67"/>
      <c r="CF31" s="67"/>
      <c r="CG31" s="177"/>
      <c r="CH31" s="176"/>
      <c r="CI31" s="176"/>
      <c r="CJ31" s="175"/>
      <c r="CK31" s="67" t="s">
        <v>2867</v>
      </c>
      <c r="CL31" s="175"/>
      <c r="CM31" s="175"/>
      <c r="CN31" s="175"/>
      <c r="CO31" s="175"/>
      <c r="CP31" s="67"/>
      <c r="CQ31" s="175" t="s">
        <v>2867</v>
      </c>
      <c r="CR31" s="175"/>
      <c r="CS31" s="67"/>
      <c r="CT31" s="175" t="s">
        <v>2867</v>
      </c>
      <c r="CU31" s="175"/>
      <c r="CV31" s="181" t="s">
        <v>2879</v>
      </c>
      <c r="CW31" s="67"/>
      <c r="CX31" s="182"/>
      <c r="CY31" s="175" t="s">
        <v>2880</v>
      </c>
      <c r="CZ31" s="175"/>
      <c r="DA31" s="175" t="s">
        <v>2881</v>
      </c>
      <c r="DB31" s="175" t="s">
        <v>2881</v>
      </c>
      <c r="DC31" s="175" t="s">
        <v>3115</v>
      </c>
      <c r="DD31" s="175"/>
      <c r="DE31" s="176"/>
      <c r="DF31" s="175"/>
      <c r="DG31" s="182"/>
      <c r="DH31" s="183">
        <v>1023500</v>
      </c>
      <c r="DI31" s="67"/>
      <c r="DJ31" s="67"/>
      <c r="DK31" s="67"/>
      <c r="DL31" s="67"/>
      <c r="DM31" s="67"/>
      <c r="DN31" s="183">
        <v>0</v>
      </c>
      <c r="DO31" s="183">
        <v>0</v>
      </c>
      <c r="DP31" s="67" t="s">
        <v>2867</v>
      </c>
      <c r="DQ31" s="175"/>
      <c r="DR31" s="175"/>
      <c r="DS31" s="175" t="s">
        <v>2882</v>
      </c>
      <c r="DT31" s="175"/>
      <c r="DU31" s="175"/>
      <c r="DV31" s="175" t="s">
        <v>2883</v>
      </c>
      <c r="DW31" s="175" t="s">
        <v>2884</v>
      </c>
      <c r="DX31" s="175" t="s">
        <v>2879</v>
      </c>
    </row>
    <row r="32" spans="1:128" ht="19.5" customHeight="1">
      <c r="A32" s="173"/>
      <c r="B32" s="174" t="s">
        <v>3116</v>
      </c>
      <c r="C32" s="67"/>
      <c r="D32" s="67"/>
      <c r="E32" s="174" t="s">
        <v>3117</v>
      </c>
      <c r="F32" s="174" t="s">
        <v>3118</v>
      </c>
      <c r="G32" s="175" t="s">
        <v>3119</v>
      </c>
      <c r="H32" s="174" t="s">
        <v>2857</v>
      </c>
      <c r="I32" s="174" t="s">
        <v>2858</v>
      </c>
      <c r="J32" s="175" t="s">
        <v>2859</v>
      </c>
      <c r="K32" s="176">
        <v>46177</v>
      </c>
      <c r="L32" s="67" t="s">
        <v>2916</v>
      </c>
      <c r="M32" s="175" t="s">
        <v>2648</v>
      </c>
      <c r="N32" s="67" t="s">
        <v>2648</v>
      </c>
      <c r="O32" s="67" t="s">
        <v>2933</v>
      </c>
      <c r="P32" s="67" t="s">
        <v>2934</v>
      </c>
      <c r="Q32" s="67"/>
      <c r="R32" s="67"/>
      <c r="S32" s="67" t="s">
        <v>103</v>
      </c>
      <c r="T32" s="177" t="s">
        <v>2998</v>
      </c>
      <c r="U32" s="67" t="s">
        <v>1270</v>
      </c>
      <c r="V32" s="67" t="s">
        <v>2975</v>
      </c>
      <c r="W32" s="175" t="s">
        <v>2865</v>
      </c>
      <c r="X32" s="67"/>
      <c r="Y32" s="67" t="s">
        <v>2866</v>
      </c>
      <c r="Z32" s="67"/>
      <c r="AA32" s="175"/>
      <c r="AB32" s="175"/>
      <c r="AC32" s="175"/>
      <c r="AD32" s="175"/>
      <c r="AE32" s="175"/>
      <c r="AF32" s="176"/>
      <c r="AG32" s="176"/>
      <c r="AH32" s="176"/>
      <c r="AI32" s="67"/>
      <c r="AJ32" s="67"/>
      <c r="AK32" s="67" t="s">
        <v>2867</v>
      </c>
      <c r="AL32" s="67"/>
      <c r="AM32" s="176"/>
      <c r="AN32" s="176"/>
      <c r="AO32" s="67"/>
      <c r="AP32" s="67" t="s">
        <v>2867</v>
      </c>
      <c r="AQ32" s="67" t="s">
        <v>2868</v>
      </c>
      <c r="AR32" s="175"/>
      <c r="AS32" s="175" t="s">
        <v>2869</v>
      </c>
      <c r="AT32" s="175" t="s">
        <v>2867</v>
      </c>
      <c r="AU32" s="175"/>
      <c r="AV32" s="178">
        <v>0</v>
      </c>
      <c r="AW32" s="67"/>
      <c r="AX32" s="175" t="s">
        <v>2867</v>
      </c>
      <c r="AY32" s="175" t="s">
        <v>2870</v>
      </c>
      <c r="AZ32" s="175" t="s">
        <v>2871</v>
      </c>
      <c r="BA32" s="175"/>
      <c r="BB32" s="175"/>
      <c r="BC32" s="175" t="s">
        <v>2859</v>
      </c>
      <c r="BD32" s="175" t="s">
        <v>2872</v>
      </c>
      <c r="BE32" s="175" t="s">
        <v>2873</v>
      </c>
      <c r="BF32" s="175"/>
      <c r="BG32" s="67"/>
      <c r="BH32" s="179"/>
      <c r="BI32" s="175" t="s">
        <v>2867</v>
      </c>
      <c r="BJ32" s="175"/>
      <c r="BK32" s="175" t="s">
        <v>2867</v>
      </c>
      <c r="BL32" s="175"/>
      <c r="BM32" s="175" t="s">
        <v>3005</v>
      </c>
      <c r="BN32" s="175" t="s">
        <v>3006</v>
      </c>
      <c r="BO32" s="180" t="s">
        <v>2879</v>
      </c>
      <c r="BP32" s="67" t="s">
        <v>2867</v>
      </c>
      <c r="BQ32" s="175" t="s">
        <v>1477</v>
      </c>
      <c r="BR32" s="177" t="s">
        <v>144</v>
      </c>
      <c r="BS32" s="177"/>
      <c r="BT32" s="67" t="s">
        <v>2867</v>
      </c>
      <c r="BU32" s="175"/>
      <c r="BV32" s="176"/>
      <c r="BW32" s="67" t="s">
        <v>2878</v>
      </c>
      <c r="BX32" s="175"/>
      <c r="BY32" s="175" t="s">
        <v>1996</v>
      </c>
      <c r="BZ32" s="177"/>
      <c r="CA32" s="175"/>
      <c r="CB32" s="175"/>
      <c r="CC32" s="177"/>
      <c r="CD32" s="177"/>
      <c r="CE32" s="67"/>
      <c r="CF32" s="67"/>
      <c r="CG32" s="177"/>
      <c r="CH32" s="176"/>
      <c r="CI32" s="176"/>
      <c r="CJ32" s="175"/>
      <c r="CK32" s="67" t="s">
        <v>2867</v>
      </c>
      <c r="CL32" s="175"/>
      <c r="CM32" s="175"/>
      <c r="CN32" s="175"/>
      <c r="CO32" s="175"/>
      <c r="CP32" s="67"/>
      <c r="CQ32" s="175" t="s">
        <v>2867</v>
      </c>
      <c r="CR32" s="175"/>
      <c r="CS32" s="67"/>
      <c r="CT32" s="175" t="s">
        <v>2867</v>
      </c>
      <c r="CU32" s="175"/>
      <c r="CV32" s="181" t="s">
        <v>2879</v>
      </c>
      <c r="CW32" s="67"/>
      <c r="CX32" s="182"/>
      <c r="CY32" s="175" t="s">
        <v>2880</v>
      </c>
      <c r="CZ32" s="175"/>
      <c r="DA32" s="175" t="s">
        <v>2881</v>
      </c>
      <c r="DB32" s="175" t="s">
        <v>2881</v>
      </c>
      <c r="DC32" s="175"/>
      <c r="DD32" s="175"/>
      <c r="DE32" s="176"/>
      <c r="DF32" s="175"/>
      <c r="DG32" s="182"/>
      <c r="DH32" s="183">
        <v>1023500</v>
      </c>
      <c r="DI32" s="67"/>
      <c r="DJ32" s="67"/>
      <c r="DK32" s="67"/>
      <c r="DL32" s="67"/>
      <c r="DM32" s="67"/>
      <c r="DN32" s="183">
        <v>0</v>
      </c>
      <c r="DO32" s="183">
        <v>0</v>
      </c>
      <c r="DP32" s="67" t="s">
        <v>2867</v>
      </c>
      <c r="DQ32" s="175"/>
      <c r="DR32" s="175"/>
      <c r="DS32" s="175" t="s">
        <v>2882</v>
      </c>
      <c r="DT32" s="175"/>
      <c r="DU32" s="175"/>
      <c r="DV32" s="175" t="s">
        <v>2883</v>
      </c>
      <c r="DW32" s="175" t="s">
        <v>2884</v>
      </c>
      <c r="DX32" s="175" t="s">
        <v>2879</v>
      </c>
    </row>
    <row r="33" spans="1:128" ht="19.5" customHeight="1">
      <c r="A33" s="173"/>
      <c r="B33" s="174" t="s">
        <v>3120</v>
      </c>
      <c r="C33" s="67"/>
      <c r="D33" s="67"/>
      <c r="E33" s="189" t="s">
        <v>3121</v>
      </c>
      <c r="F33" s="174" t="s">
        <v>3122</v>
      </c>
      <c r="G33" s="175" t="s">
        <v>3123</v>
      </c>
      <c r="H33" s="189" t="s">
        <v>2857</v>
      </c>
      <c r="I33" s="189" t="s">
        <v>2858</v>
      </c>
      <c r="J33" s="175" t="s">
        <v>2859</v>
      </c>
      <c r="K33" s="176">
        <v>46177</v>
      </c>
      <c r="L33" s="67" t="s">
        <v>2921</v>
      </c>
      <c r="M33" s="175" t="s">
        <v>2334</v>
      </c>
      <c r="N33" s="67" t="s">
        <v>2334</v>
      </c>
      <c r="O33" s="67" t="s">
        <v>2327</v>
      </c>
      <c r="P33" s="67" t="s">
        <v>2890</v>
      </c>
      <c r="Q33" s="67"/>
      <c r="R33" s="67"/>
      <c r="S33" s="67" t="s">
        <v>954</v>
      </c>
      <c r="T33" s="177" t="s">
        <v>3124</v>
      </c>
      <c r="U33" s="67" t="s">
        <v>3125</v>
      </c>
      <c r="V33" s="67" t="s">
        <v>2922</v>
      </c>
      <c r="W33" s="175" t="s">
        <v>2865</v>
      </c>
      <c r="X33" s="67"/>
      <c r="Y33" s="67" t="s">
        <v>2866</v>
      </c>
      <c r="Z33" s="67"/>
      <c r="AA33" s="175"/>
      <c r="AB33" s="175"/>
      <c r="AC33" s="175"/>
      <c r="AD33" s="175"/>
      <c r="AE33" s="175"/>
      <c r="AF33" s="176"/>
      <c r="AG33" s="176"/>
      <c r="AH33" s="176"/>
      <c r="AI33" s="67"/>
      <c r="AJ33" s="67"/>
      <c r="AK33" s="67" t="s">
        <v>2867</v>
      </c>
      <c r="AL33" s="67"/>
      <c r="AM33" s="176"/>
      <c r="AN33" s="176"/>
      <c r="AO33" s="67"/>
      <c r="AP33" s="67" t="s">
        <v>2867</v>
      </c>
      <c r="AQ33" s="67" t="s">
        <v>2868</v>
      </c>
      <c r="AR33" s="175"/>
      <c r="AS33" s="175" t="s">
        <v>2869</v>
      </c>
      <c r="AT33" s="175" t="s">
        <v>2867</v>
      </c>
      <c r="AU33" s="175"/>
      <c r="AV33" s="178">
        <v>0</v>
      </c>
      <c r="AW33" s="67"/>
      <c r="AX33" s="175" t="s">
        <v>2867</v>
      </c>
      <c r="AY33" s="175" t="s">
        <v>2870</v>
      </c>
      <c r="AZ33" s="175" t="s">
        <v>2871</v>
      </c>
      <c r="BA33" s="175"/>
      <c r="BB33" s="175"/>
      <c r="BC33" s="175" t="s">
        <v>2859</v>
      </c>
      <c r="BD33" s="175" t="s">
        <v>2872</v>
      </c>
      <c r="BE33" s="175" t="s">
        <v>2873</v>
      </c>
      <c r="BF33" s="175"/>
      <c r="BG33" s="67"/>
      <c r="BH33" s="179"/>
      <c r="BI33" s="175" t="s">
        <v>2867</v>
      </c>
      <c r="BJ33" s="175"/>
      <c r="BK33" s="175" t="s">
        <v>2867</v>
      </c>
      <c r="BL33" s="175"/>
      <c r="BM33" s="175" t="s">
        <v>2874</v>
      </c>
      <c r="BN33" s="175" t="s">
        <v>2875</v>
      </c>
      <c r="BO33" s="180"/>
      <c r="BP33" s="67" t="s">
        <v>2867</v>
      </c>
      <c r="BQ33" s="175" t="s">
        <v>2876</v>
      </c>
      <c r="BR33" s="177" t="s">
        <v>2877</v>
      </c>
      <c r="BS33" s="177"/>
      <c r="BT33" s="67" t="s">
        <v>2867</v>
      </c>
      <c r="BU33" s="175"/>
      <c r="BV33" s="176"/>
      <c r="BW33" s="67" t="s">
        <v>2878</v>
      </c>
      <c r="BX33" s="175"/>
      <c r="BY33" s="175" t="s">
        <v>2003</v>
      </c>
      <c r="BZ33" s="177"/>
      <c r="CA33" s="175"/>
      <c r="CB33" s="175"/>
      <c r="CC33" s="177"/>
      <c r="CD33" s="177"/>
      <c r="CE33" s="67"/>
      <c r="CF33" s="67"/>
      <c r="CG33" s="177"/>
      <c r="CH33" s="176"/>
      <c r="CI33" s="176"/>
      <c r="CJ33" s="175"/>
      <c r="CK33" s="67" t="s">
        <v>2867</v>
      </c>
      <c r="CL33" s="175"/>
      <c r="CM33" s="175"/>
      <c r="CN33" s="175"/>
      <c r="CO33" s="175"/>
      <c r="CP33" s="67"/>
      <c r="CQ33" s="175" t="s">
        <v>2867</v>
      </c>
      <c r="CR33" s="175"/>
      <c r="CS33" s="67"/>
      <c r="CT33" s="175" t="s">
        <v>2867</v>
      </c>
      <c r="CU33" s="175"/>
      <c r="CV33" s="181" t="s">
        <v>2879</v>
      </c>
      <c r="CW33" s="67"/>
      <c r="CX33" s="182"/>
      <c r="CY33" s="175" t="s">
        <v>2880</v>
      </c>
      <c r="CZ33" s="175"/>
      <c r="DA33" s="175" t="s">
        <v>3126</v>
      </c>
      <c r="DB33" s="175" t="s">
        <v>3126</v>
      </c>
      <c r="DC33" s="175"/>
      <c r="DD33" s="175"/>
      <c r="DE33" s="176"/>
      <c r="DF33" s="175"/>
      <c r="DG33" s="182"/>
      <c r="DH33" s="183">
        <v>0</v>
      </c>
      <c r="DI33" s="67"/>
      <c r="DJ33" s="67"/>
      <c r="DK33" s="67"/>
      <c r="DL33" s="67"/>
      <c r="DM33" s="67"/>
      <c r="DN33" s="183">
        <v>0</v>
      </c>
      <c r="DO33" s="183">
        <v>0</v>
      </c>
      <c r="DP33" s="67" t="s">
        <v>2867</v>
      </c>
      <c r="DQ33" s="175"/>
      <c r="DR33" s="175"/>
      <c r="DS33" s="175" t="s">
        <v>2882</v>
      </c>
      <c r="DT33" s="175"/>
      <c r="DU33" s="175"/>
      <c r="DV33" s="175" t="s">
        <v>2883</v>
      </c>
      <c r="DW33" s="175" t="s">
        <v>2884</v>
      </c>
      <c r="DX33" s="175" t="s">
        <v>2879</v>
      </c>
    </row>
    <row r="34" spans="1:128" ht="19.5" customHeight="1">
      <c r="A34" s="173"/>
      <c r="B34" s="174" t="s">
        <v>3127</v>
      </c>
      <c r="C34" s="67"/>
      <c r="D34" s="67"/>
      <c r="E34" s="190" t="s">
        <v>3121</v>
      </c>
      <c r="F34" s="174" t="s">
        <v>3128</v>
      </c>
      <c r="G34" s="175" t="s">
        <v>3129</v>
      </c>
      <c r="H34" s="190" t="s">
        <v>2857</v>
      </c>
      <c r="I34" s="190" t="s">
        <v>2858</v>
      </c>
      <c r="J34" s="175" t="s">
        <v>2859</v>
      </c>
      <c r="K34" s="176">
        <v>46177</v>
      </c>
      <c r="L34" s="67" t="s">
        <v>2889</v>
      </c>
      <c r="M34" s="175" t="s">
        <v>2334</v>
      </c>
      <c r="N34" s="67" t="s">
        <v>2334</v>
      </c>
      <c r="O34" s="67" t="s">
        <v>2327</v>
      </c>
      <c r="P34" s="67" t="s">
        <v>2890</v>
      </c>
      <c r="Q34" s="67"/>
      <c r="R34" s="67"/>
      <c r="S34" s="67" t="s">
        <v>954</v>
      </c>
      <c r="T34" s="177" t="s">
        <v>3124</v>
      </c>
      <c r="U34" s="67" t="s">
        <v>3125</v>
      </c>
      <c r="V34" s="67" t="s">
        <v>2911</v>
      </c>
      <c r="W34" s="175" t="s">
        <v>2865</v>
      </c>
      <c r="X34" s="67"/>
      <c r="Y34" s="67" t="s">
        <v>2866</v>
      </c>
      <c r="Z34" s="67"/>
      <c r="AA34" s="175"/>
      <c r="AB34" s="175"/>
      <c r="AC34" s="175"/>
      <c r="AD34" s="175"/>
      <c r="AE34" s="175"/>
      <c r="AF34" s="176"/>
      <c r="AG34" s="176"/>
      <c r="AH34" s="176"/>
      <c r="AI34" s="67"/>
      <c r="AJ34" s="67"/>
      <c r="AK34" s="67" t="s">
        <v>2867</v>
      </c>
      <c r="AL34" s="67"/>
      <c r="AM34" s="176"/>
      <c r="AN34" s="176"/>
      <c r="AO34" s="67"/>
      <c r="AP34" s="67" t="s">
        <v>2867</v>
      </c>
      <c r="AQ34" s="67" t="s">
        <v>2868</v>
      </c>
      <c r="AR34" s="175"/>
      <c r="AS34" s="175" t="s">
        <v>2869</v>
      </c>
      <c r="AT34" s="175" t="s">
        <v>2867</v>
      </c>
      <c r="AU34" s="175"/>
      <c r="AV34" s="178">
        <v>0</v>
      </c>
      <c r="AW34" s="67"/>
      <c r="AX34" s="175" t="s">
        <v>2867</v>
      </c>
      <c r="AY34" s="175" t="s">
        <v>2870</v>
      </c>
      <c r="AZ34" s="175" t="s">
        <v>2871</v>
      </c>
      <c r="BA34" s="175"/>
      <c r="BB34" s="175"/>
      <c r="BC34" s="175" t="s">
        <v>2859</v>
      </c>
      <c r="BD34" s="175" t="s">
        <v>2872</v>
      </c>
      <c r="BE34" s="175" t="s">
        <v>2873</v>
      </c>
      <c r="BF34" s="175"/>
      <c r="BG34" s="67"/>
      <c r="BH34" s="179"/>
      <c r="BI34" s="175" t="s">
        <v>2867</v>
      </c>
      <c r="BJ34" s="175"/>
      <c r="BK34" s="175" t="s">
        <v>2867</v>
      </c>
      <c r="BL34" s="175"/>
      <c r="BM34" s="175" t="s">
        <v>2874</v>
      </c>
      <c r="BN34" s="175" t="s">
        <v>2875</v>
      </c>
      <c r="BO34" s="180"/>
      <c r="BP34" s="67" t="s">
        <v>2867</v>
      </c>
      <c r="BQ34" s="175" t="s">
        <v>2876</v>
      </c>
      <c r="BR34" s="177" t="s">
        <v>2877</v>
      </c>
      <c r="BS34" s="177"/>
      <c r="BT34" s="67" t="s">
        <v>2867</v>
      </c>
      <c r="BU34" s="175"/>
      <c r="BV34" s="176"/>
      <c r="BW34" s="67" t="s">
        <v>2878</v>
      </c>
      <c r="BX34" s="175"/>
      <c r="BY34" s="175" t="s">
        <v>2003</v>
      </c>
      <c r="BZ34" s="177"/>
      <c r="CA34" s="175"/>
      <c r="CB34" s="175"/>
      <c r="CC34" s="177"/>
      <c r="CD34" s="177"/>
      <c r="CE34" s="67"/>
      <c r="CF34" s="67"/>
      <c r="CG34" s="177"/>
      <c r="CH34" s="176"/>
      <c r="CI34" s="176"/>
      <c r="CJ34" s="175"/>
      <c r="CK34" s="67" t="s">
        <v>2867</v>
      </c>
      <c r="CL34" s="175"/>
      <c r="CM34" s="175"/>
      <c r="CN34" s="175"/>
      <c r="CO34" s="175"/>
      <c r="CP34" s="67"/>
      <c r="CQ34" s="175" t="s">
        <v>2867</v>
      </c>
      <c r="CR34" s="175"/>
      <c r="CS34" s="67"/>
      <c r="CT34" s="175" t="s">
        <v>2867</v>
      </c>
      <c r="CU34" s="175"/>
      <c r="CV34" s="181" t="s">
        <v>2879</v>
      </c>
      <c r="CW34" s="67"/>
      <c r="CX34" s="182"/>
      <c r="CY34" s="175" t="s">
        <v>2880</v>
      </c>
      <c r="CZ34" s="175"/>
      <c r="DA34" s="175" t="s">
        <v>2881</v>
      </c>
      <c r="DB34" s="175" t="s">
        <v>2881</v>
      </c>
      <c r="DC34" s="175"/>
      <c r="DD34" s="175"/>
      <c r="DE34" s="176"/>
      <c r="DF34" s="175"/>
      <c r="DG34" s="182"/>
      <c r="DH34" s="183">
        <v>0</v>
      </c>
      <c r="DI34" s="67"/>
      <c r="DJ34" s="67"/>
      <c r="DK34" s="67"/>
      <c r="DL34" s="67"/>
      <c r="DM34" s="67"/>
      <c r="DN34" s="183">
        <v>0</v>
      </c>
      <c r="DO34" s="183">
        <v>0</v>
      </c>
      <c r="DP34" s="67" t="s">
        <v>2867</v>
      </c>
      <c r="DQ34" s="175"/>
      <c r="DR34" s="175"/>
      <c r="DS34" s="175" t="s">
        <v>2882</v>
      </c>
      <c r="DT34" s="175"/>
      <c r="DU34" s="175"/>
      <c r="DV34" s="175" t="s">
        <v>2883</v>
      </c>
      <c r="DW34" s="175" t="s">
        <v>2884</v>
      </c>
      <c r="DX34" s="175" t="s">
        <v>2879</v>
      </c>
    </row>
    <row r="35" spans="1:128" ht="19.5" customHeight="1">
      <c r="A35" s="173"/>
      <c r="B35" s="174" t="s">
        <v>3130</v>
      </c>
      <c r="C35" s="67"/>
      <c r="D35" s="67"/>
      <c r="E35" s="174" t="s">
        <v>3131</v>
      </c>
      <c r="F35" s="174" t="s">
        <v>3132</v>
      </c>
      <c r="G35" s="175" t="s">
        <v>3133</v>
      </c>
      <c r="H35" s="174" t="s">
        <v>2857</v>
      </c>
      <c r="I35" s="174" t="s">
        <v>2858</v>
      </c>
      <c r="J35" s="175" t="s">
        <v>2859</v>
      </c>
      <c r="K35" s="176">
        <v>46177</v>
      </c>
      <c r="L35" s="67" t="s">
        <v>2889</v>
      </c>
      <c r="M35" s="175" t="s">
        <v>2334</v>
      </c>
      <c r="N35" s="67" t="s">
        <v>2334</v>
      </c>
      <c r="O35" s="67" t="s">
        <v>2327</v>
      </c>
      <c r="P35" s="67" t="s">
        <v>2890</v>
      </c>
      <c r="Q35" s="67"/>
      <c r="R35" s="67"/>
      <c r="S35" s="67" t="s">
        <v>954</v>
      </c>
      <c r="T35" s="177" t="s">
        <v>3124</v>
      </c>
      <c r="U35" s="67" t="s">
        <v>3125</v>
      </c>
      <c r="V35" s="67" t="s">
        <v>3134</v>
      </c>
      <c r="W35" s="175" t="s">
        <v>2865</v>
      </c>
      <c r="X35" s="67"/>
      <c r="Y35" s="67" t="s">
        <v>2866</v>
      </c>
      <c r="Z35" s="67"/>
      <c r="AA35" s="175"/>
      <c r="AB35" s="175"/>
      <c r="AC35" s="175"/>
      <c r="AD35" s="175"/>
      <c r="AE35" s="175"/>
      <c r="AF35" s="176"/>
      <c r="AG35" s="176"/>
      <c r="AH35" s="176"/>
      <c r="AI35" s="67"/>
      <c r="AJ35" s="67"/>
      <c r="AK35" s="67" t="s">
        <v>2867</v>
      </c>
      <c r="AL35" s="67"/>
      <c r="AM35" s="176"/>
      <c r="AN35" s="176"/>
      <c r="AO35" s="67"/>
      <c r="AP35" s="67" t="s">
        <v>2867</v>
      </c>
      <c r="AQ35" s="67" t="s">
        <v>2868</v>
      </c>
      <c r="AR35" s="175"/>
      <c r="AS35" s="175" t="s">
        <v>2869</v>
      </c>
      <c r="AT35" s="175" t="s">
        <v>2867</v>
      </c>
      <c r="AU35" s="175"/>
      <c r="AV35" s="178">
        <v>0</v>
      </c>
      <c r="AW35" s="67"/>
      <c r="AX35" s="175" t="s">
        <v>2867</v>
      </c>
      <c r="AY35" s="175" t="s">
        <v>2870</v>
      </c>
      <c r="AZ35" s="175" t="s">
        <v>2871</v>
      </c>
      <c r="BA35" s="175"/>
      <c r="BB35" s="175"/>
      <c r="BC35" s="175" t="s">
        <v>2859</v>
      </c>
      <c r="BD35" s="175" t="s">
        <v>2872</v>
      </c>
      <c r="BE35" s="175" t="s">
        <v>2873</v>
      </c>
      <c r="BF35" s="175"/>
      <c r="BG35" s="67"/>
      <c r="BH35" s="179"/>
      <c r="BI35" s="175" t="s">
        <v>2867</v>
      </c>
      <c r="BJ35" s="175"/>
      <c r="BK35" s="175" t="s">
        <v>2867</v>
      </c>
      <c r="BL35" s="175"/>
      <c r="BM35" s="175" t="s">
        <v>2874</v>
      </c>
      <c r="BN35" s="175" t="s">
        <v>2875</v>
      </c>
      <c r="BO35" s="180"/>
      <c r="BP35" s="67" t="s">
        <v>2867</v>
      </c>
      <c r="BQ35" s="175" t="s">
        <v>2876</v>
      </c>
      <c r="BR35" s="177" t="s">
        <v>2877</v>
      </c>
      <c r="BS35" s="177"/>
      <c r="BT35" s="67" t="s">
        <v>2867</v>
      </c>
      <c r="BU35" s="175"/>
      <c r="BV35" s="176"/>
      <c r="BW35" s="67" t="s">
        <v>2878</v>
      </c>
      <c r="BX35" s="175"/>
      <c r="BY35" s="175" t="s">
        <v>2003</v>
      </c>
      <c r="BZ35" s="177"/>
      <c r="CA35" s="175"/>
      <c r="CB35" s="175"/>
      <c r="CC35" s="177"/>
      <c r="CD35" s="177"/>
      <c r="CE35" s="67"/>
      <c r="CF35" s="67"/>
      <c r="CG35" s="177"/>
      <c r="CH35" s="176"/>
      <c r="CI35" s="176"/>
      <c r="CJ35" s="175"/>
      <c r="CK35" s="67" t="s">
        <v>2867</v>
      </c>
      <c r="CL35" s="175"/>
      <c r="CM35" s="175"/>
      <c r="CN35" s="175"/>
      <c r="CO35" s="175"/>
      <c r="CP35" s="67"/>
      <c r="CQ35" s="175" t="s">
        <v>2867</v>
      </c>
      <c r="CR35" s="175"/>
      <c r="CS35" s="67"/>
      <c r="CT35" s="175" t="s">
        <v>2867</v>
      </c>
      <c r="CU35" s="175"/>
      <c r="CV35" s="181" t="s">
        <v>2879</v>
      </c>
      <c r="CW35" s="67"/>
      <c r="CX35" s="182"/>
      <c r="CY35" s="175" t="s">
        <v>2880</v>
      </c>
      <c r="CZ35" s="175"/>
      <c r="DA35" s="175" t="s">
        <v>2881</v>
      </c>
      <c r="DB35" s="175" t="s">
        <v>2881</v>
      </c>
      <c r="DC35" s="175"/>
      <c r="DD35" s="175"/>
      <c r="DE35" s="176"/>
      <c r="DF35" s="175"/>
      <c r="DG35" s="182"/>
      <c r="DH35" s="183">
        <v>0</v>
      </c>
      <c r="DI35" s="67"/>
      <c r="DJ35" s="67"/>
      <c r="DK35" s="67"/>
      <c r="DL35" s="67"/>
      <c r="DM35" s="67"/>
      <c r="DN35" s="183">
        <v>0</v>
      </c>
      <c r="DO35" s="183">
        <v>0</v>
      </c>
      <c r="DP35" s="67" t="s">
        <v>2867</v>
      </c>
      <c r="DQ35" s="175"/>
      <c r="DR35" s="175"/>
      <c r="DS35" s="175" t="s">
        <v>2882</v>
      </c>
      <c r="DT35" s="175"/>
      <c r="DU35" s="175"/>
      <c r="DV35" s="175" t="s">
        <v>2883</v>
      </c>
      <c r="DW35" s="175" t="s">
        <v>2884</v>
      </c>
      <c r="DX35" s="175" t="s">
        <v>2879</v>
      </c>
    </row>
    <row r="36" spans="1:128" ht="19.5" customHeight="1">
      <c r="A36" s="173"/>
      <c r="B36" s="174" t="s">
        <v>3135</v>
      </c>
      <c r="C36" s="67"/>
      <c r="D36" s="67"/>
      <c r="E36" s="174" t="s">
        <v>3136</v>
      </c>
      <c r="F36" s="174" t="s">
        <v>3137</v>
      </c>
      <c r="G36" s="175" t="s">
        <v>3138</v>
      </c>
      <c r="H36" s="174" t="s">
        <v>2857</v>
      </c>
      <c r="I36" s="174" t="s">
        <v>2858</v>
      </c>
      <c r="J36" s="175" t="s">
        <v>2859</v>
      </c>
      <c r="K36" s="176">
        <v>46177</v>
      </c>
      <c r="L36" s="67" t="s">
        <v>2906</v>
      </c>
      <c r="M36" s="175" t="s">
        <v>2334</v>
      </c>
      <c r="N36" s="67" t="s">
        <v>2334</v>
      </c>
      <c r="O36" s="67" t="s">
        <v>2327</v>
      </c>
      <c r="P36" s="67" t="s">
        <v>2890</v>
      </c>
      <c r="Q36" s="67"/>
      <c r="R36" s="67"/>
      <c r="S36" s="67" t="s">
        <v>110</v>
      </c>
      <c r="T36" s="177" t="s">
        <v>3124</v>
      </c>
      <c r="U36" s="67" t="s">
        <v>116</v>
      </c>
      <c r="V36" s="67" t="s">
        <v>2975</v>
      </c>
      <c r="W36" s="175" t="s">
        <v>2865</v>
      </c>
      <c r="X36" s="67"/>
      <c r="Y36" s="67" t="s">
        <v>2866</v>
      </c>
      <c r="Z36" s="67"/>
      <c r="AA36" s="175"/>
      <c r="AB36" s="175"/>
      <c r="AC36" s="175"/>
      <c r="AD36" s="175"/>
      <c r="AE36" s="175"/>
      <c r="AF36" s="176"/>
      <c r="AG36" s="176"/>
      <c r="AH36" s="176"/>
      <c r="AI36" s="67"/>
      <c r="AJ36" s="67"/>
      <c r="AK36" s="67" t="s">
        <v>2867</v>
      </c>
      <c r="AL36" s="67"/>
      <c r="AM36" s="176"/>
      <c r="AN36" s="176"/>
      <c r="AO36" s="67"/>
      <c r="AP36" s="67" t="s">
        <v>2867</v>
      </c>
      <c r="AQ36" s="67" t="s">
        <v>2868</v>
      </c>
      <c r="AR36" s="175"/>
      <c r="AS36" s="175" t="s">
        <v>2869</v>
      </c>
      <c r="AT36" s="175" t="s">
        <v>2867</v>
      </c>
      <c r="AU36" s="175"/>
      <c r="AV36" s="178">
        <v>0</v>
      </c>
      <c r="AW36" s="67"/>
      <c r="AX36" s="175" t="s">
        <v>2867</v>
      </c>
      <c r="AY36" s="175" t="s">
        <v>2870</v>
      </c>
      <c r="AZ36" s="175" t="s">
        <v>2871</v>
      </c>
      <c r="BA36" s="175"/>
      <c r="BB36" s="175"/>
      <c r="BC36" s="175" t="s">
        <v>2859</v>
      </c>
      <c r="BD36" s="175" t="s">
        <v>2872</v>
      </c>
      <c r="BE36" s="175" t="s">
        <v>2873</v>
      </c>
      <c r="BF36" s="175"/>
      <c r="BG36" s="67"/>
      <c r="BH36" s="179"/>
      <c r="BI36" s="175" t="s">
        <v>2867</v>
      </c>
      <c r="BJ36" s="175"/>
      <c r="BK36" s="175" t="s">
        <v>2867</v>
      </c>
      <c r="BL36" s="175"/>
      <c r="BM36" s="175" t="s">
        <v>2874</v>
      </c>
      <c r="BN36" s="175" t="s">
        <v>2875</v>
      </c>
      <c r="BO36" s="180"/>
      <c r="BP36" s="67" t="s">
        <v>2867</v>
      </c>
      <c r="BQ36" s="175" t="s">
        <v>2876</v>
      </c>
      <c r="BR36" s="177" t="s">
        <v>2877</v>
      </c>
      <c r="BS36" s="177"/>
      <c r="BT36" s="67" t="s">
        <v>2867</v>
      </c>
      <c r="BU36" s="175"/>
      <c r="BV36" s="176"/>
      <c r="BW36" s="67" t="s">
        <v>2878</v>
      </c>
      <c r="BX36" s="175"/>
      <c r="BY36" s="175" t="s">
        <v>2003</v>
      </c>
      <c r="BZ36" s="177"/>
      <c r="CA36" s="175"/>
      <c r="CB36" s="175"/>
      <c r="CC36" s="177"/>
      <c r="CD36" s="177"/>
      <c r="CE36" s="67"/>
      <c r="CF36" s="67"/>
      <c r="CG36" s="177"/>
      <c r="CH36" s="176"/>
      <c r="CI36" s="176"/>
      <c r="CJ36" s="175"/>
      <c r="CK36" s="67" t="s">
        <v>2867</v>
      </c>
      <c r="CL36" s="175"/>
      <c r="CM36" s="175"/>
      <c r="CN36" s="175"/>
      <c r="CO36" s="175"/>
      <c r="CP36" s="67"/>
      <c r="CQ36" s="175" t="s">
        <v>2867</v>
      </c>
      <c r="CR36" s="175"/>
      <c r="CS36" s="67"/>
      <c r="CT36" s="175" t="s">
        <v>2867</v>
      </c>
      <c r="CU36" s="175"/>
      <c r="CV36" s="181" t="s">
        <v>2879</v>
      </c>
      <c r="CW36" s="67"/>
      <c r="CX36" s="182"/>
      <c r="CY36" s="175" t="s">
        <v>2880</v>
      </c>
      <c r="CZ36" s="175"/>
      <c r="DA36" s="175" t="s">
        <v>2881</v>
      </c>
      <c r="DB36" s="175" t="s">
        <v>2881</v>
      </c>
      <c r="DC36" s="175"/>
      <c r="DD36" s="175"/>
      <c r="DE36" s="176"/>
      <c r="DF36" s="175"/>
      <c r="DG36" s="182"/>
      <c r="DH36" s="183">
        <v>0</v>
      </c>
      <c r="DI36" s="67"/>
      <c r="DJ36" s="67"/>
      <c r="DK36" s="67"/>
      <c r="DL36" s="67"/>
      <c r="DM36" s="67"/>
      <c r="DN36" s="183">
        <v>0</v>
      </c>
      <c r="DO36" s="183">
        <v>0</v>
      </c>
      <c r="DP36" s="67" t="s">
        <v>2867</v>
      </c>
      <c r="DQ36" s="175"/>
      <c r="DR36" s="175"/>
      <c r="DS36" s="175" t="s">
        <v>2882</v>
      </c>
      <c r="DT36" s="175"/>
      <c r="DU36" s="175"/>
      <c r="DV36" s="175" t="s">
        <v>2883</v>
      </c>
      <c r="DW36" s="175" t="s">
        <v>2884</v>
      </c>
      <c r="DX36" s="175" t="s">
        <v>2879</v>
      </c>
    </row>
    <row r="37" spans="1:128" ht="19.5" customHeight="1">
      <c r="A37" s="173"/>
      <c r="B37" s="174" t="s">
        <v>3139</v>
      </c>
      <c r="C37" s="67"/>
      <c r="D37" s="67"/>
      <c r="E37" s="174" t="s">
        <v>3140</v>
      </c>
      <c r="F37" s="174" t="s">
        <v>3141</v>
      </c>
      <c r="G37" s="175" t="s">
        <v>3142</v>
      </c>
      <c r="H37" s="174" t="s">
        <v>2857</v>
      </c>
      <c r="I37" s="174" t="s">
        <v>2858</v>
      </c>
      <c r="J37" s="175" t="s">
        <v>2859</v>
      </c>
      <c r="K37" s="176">
        <v>46177</v>
      </c>
      <c r="L37" s="67" t="s">
        <v>2916</v>
      </c>
      <c r="M37" s="175" t="s">
        <v>2334</v>
      </c>
      <c r="N37" s="67" t="s">
        <v>2334</v>
      </c>
      <c r="O37" s="67" t="s">
        <v>2327</v>
      </c>
      <c r="P37" s="67" t="s">
        <v>2890</v>
      </c>
      <c r="Q37" s="67"/>
      <c r="R37" s="67"/>
      <c r="S37" s="67" t="s">
        <v>110</v>
      </c>
      <c r="T37" s="177" t="s">
        <v>3124</v>
      </c>
      <c r="U37" s="67" t="s">
        <v>116</v>
      </c>
      <c r="V37" s="67" t="s">
        <v>2975</v>
      </c>
      <c r="W37" s="175" t="s">
        <v>2865</v>
      </c>
      <c r="X37" s="67"/>
      <c r="Y37" s="67" t="s">
        <v>2866</v>
      </c>
      <c r="Z37" s="67"/>
      <c r="AA37" s="175"/>
      <c r="AB37" s="175"/>
      <c r="AC37" s="175"/>
      <c r="AD37" s="175"/>
      <c r="AE37" s="175"/>
      <c r="AF37" s="176"/>
      <c r="AG37" s="176"/>
      <c r="AH37" s="176"/>
      <c r="AI37" s="67"/>
      <c r="AJ37" s="67"/>
      <c r="AK37" s="67" t="s">
        <v>2867</v>
      </c>
      <c r="AL37" s="67"/>
      <c r="AM37" s="176"/>
      <c r="AN37" s="176"/>
      <c r="AO37" s="67"/>
      <c r="AP37" s="67" t="s">
        <v>2867</v>
      </c>
      <c r="AQ37" s="67" t="s">
        <v>2868</v>
      </c>
      <c r="AR37" s="175"/>
      <c r="AS37" s="175" t="s">
        <v>2869</v>
      </c>
      <c r="AT37" s="175" t="s">
        <v>2867</v>
      </c>
      <c r="AU37" s="175"/>
      <c r="AV37" s="178">
        <v>0</v>
      </c>
      <c r="AW37" s="67"/>
      <c r="AX37" s="175" t="s">
        <v>2867</v>
      </c>
      <c r="AY37" s="175" t="s">
        <v>2870</v>
      </c>
      <c r="AZ37" s="175" t="s">
        <v>2871</v>
      </c>
      <c r="BA37" s="175"/>
      <c r="BB37" s="175"/>
      <c r="BC37" s="175" t="s">
        <v>2859</v>
      </c>
      <c r="BD37" s="175" t="s">
        <v>2872</v>
      </c>
      <c r="BE37" s="175" t="s">
        <v>2873</v>
      </c>
      <c r="BF37" s="175"/>
      <c r="BG37" s="67"/>
      <c r="BH37" s="179"/>
      <c r="BI37" s="175" t="s">
        <v>2867</v>
      </c>
      <c r="BJ37" s="175"/>
      <c r="BK37" s="175" t="s">
        <v>2867</v>
      </c>
      <c r="BL37" s="175"/>
      <c r="BM37" s="175" t="s">
        <v>2874</v>
      </c>
      <c r="BN37" s="175" t="s">
        <v>2875</v>
      </c>
      <c r="BO37" s="180"/>
      <c r="BP37" s="67" t="s">
        <v>2867</v>
      </c>
      <c r="BQ37" s="175" t="s">
        <v>2876</v>
      </c>
      <c r="BR37" s="177" t="s">
        <v>2877</v>
      </c>
      <c r="BS37" s="177"/>
      <c r="BT37" s="67" t="s">
        <v>2867</v>
      </c>
      <c r="BU37" s="175"/>
      <c r="BV37" s="176"/>
      <c r="BW37" s="67" t="s">
        <v>2878</v>
      </c>
      <c r="BX37" s="175"/>
      <c r="BY37" s="175" t="s">
        <v>2003</v>
      </c>
      <c r="BZ37" s="177"/>
      <c r="CA37" s="175"/>
      <c r="CB37" s="175"/>
      <c r="CC37" s="177"/>
      <c r="CD37" s="177"/>
      <c r="CE37" s="67"/>
      <c r="CF37" s="67"/>
      <c r="CG37" s="177"/>
      <c r="CH37" s="176"/>
      <c r="CI37" s="176"/>
      <c r="CJ37" s="175"/>
      <c r="CK37" s="67" t="s">
        <v>2867</v>
      </c>
      <c r="CL37" s="175"/>
      <c r="CM37" s="175"/>
      <c r="CN37" s="175"/>
      <c r="CO37" s="175"/>
      <c r="CP37" s="67"/>
      <c r="CQ37" s="175" t="s">
        <v>2867</v>
      </c>
      <c r="CR37" s="175"/>
      <c r="CS37" s="67"/>
      <c r="CT37" s="175" t="s">
        <v>2867</v>
      </c>
      <c r="CU37" s="175"/>
      <c r="CV37" s="181" t="s">
        <v>2879</v>
      </c>
      <c r="CW37" s="67"/>
      <c r="CX37" s="182"/>
      <c r="CY37" s="175" t="s">
        <v>2880</v>
      </c>
      <c r="CZ37" s="175"/>
      <c r="DA37" s="175" t="s">
        <v>2881</v>
      </c>
      <c r="DB37" s="175" t="s">
        <v>2881</v>
      </c>
      <c r="DC37" s="175"/>
      <c r="DD37" s="175"/>
      <c r="DE37" s="176"/>
      <c r="DF37" s="175"/>
      <c r="DG37" s="182"/>
      <c r="DH37" s="183">
        <v>0</v>
      </c>
      <c r="DI37" s="67"/>
      <c r="DJ37" s="67"/>
      <c r="DK37" s="67"/>
      <c r="DL37" s="67"/>
      <c r="DM37" s="67"/>
      <c r="DN37" s="183">
        <v>0</v>
      </c>
      <c r="DO37" s="183">
        <v>0</v>
      </c>
      <c r="DP37" s="67" t="s">
        <v>2867</v>
      </c>
      <c r="DQ37" s="175"/>
      <c r="DR37" s="175"/>
      <c r="DS37" s="175" t="s">
        <v>2882</v>
      </c>
      <c r="DT37" s="175"/>
      <c r="DU37" s="175"/>
      <c r="DV37" s="175" t="s">
        <v>2883</v>
      </c>
      <c r="DW37" s="175" t="s">
        <v>2884</v>
      </c>
      <c r="DX37" s="175" t="s">
        <v>2879</v>
      </c>
    </row>
    <row r="38" spans="1:128" ht="19.5" customHeight="1">
      <c r="A38" s="173"/>
      <c r="B38" s="174" t="s">
        <v>3143</v>
      </c>
      <c r="C38" s="67"/>
      <c r="D38" s="67"/>
      <c r="E38" s="174" t="s">
        <v>3144</v>
      </c>
      <c r="F38" s="174" t="s">
        <v>3145</v>
      </c>
      <c r="G38" s="175" t="s">
        <v>3146</v>
      </c>
      <c r="H38" s="174" t="s">
        <v>2857</v>
      </c>
      <c r="I38" s="174" t="s">
        <v>2858</v>
      </c>
      <c r="J38" s="175" t="s">
        <v>2859</v>
      </c>
      <c r="K38" s="176">
        <v>46177</v>
      </c>
      <c r="L38" s="67" t="s">
        <v>2916</v>
      </c>
      <c r="M38" s="175" t="s">
        <v>2334</v>
      </c>
      <c r="N38" s="67" t="s">
        <v>2334</v>
      </c>
      <c r="O38" s="67" t="s">
        <v>2327</v>
      </c>
      <c r="P38" s="67" t="s">
        <v>2890</v>
      </c>
      <c r="Q38" s="67"/>
      <c r="R38" s="67"/>
      <c r="S38" s="67" t="s">
        <v>110</v>
      </c>
      <c r="T38" s="177" t="s">
        <v>3124</v>
      </c>
      <c r="U38" s="67" t="s">
        <v>116</v>
      </c>
      <c r="V38" s="67" t="s">
        <v>2975</v>
      </c>
      <c r="W38" s="175" t="s">
        <v>2865</v>
      </c>
      <c r="X38" s="67"/>
      <c r="Y38" s="67" t="s">
        <v>2866</v>
      </c>
      <c r="Z38" s="67"/>
      <c r="AA38" s="175"/>
      <c r="AB38" s="175"/>
      <c r="AC38" s="175"/>
      <c r="AD38" s="175"/>
      <c r="AE38" s="175"/>
      <c r="AF38" s="176"/>
      <c r="AG38" s="176"/>
      <c r="AH38" s="176"/>
      <c r="AI38" s="67"/>
      <c r="AJ38" s="67"/>
      <c r="AK38" s="67" t="s">
        <v>2867</v>
      </c>
      <c r="AL38" s="67"/>
      <c r="AM38" s="176"/>
      <c r="AN38" s="176"/>
      <c r="AO38" s="67"/>
      <c r="AP38" s="67" t="s">
        <v>2867</v>
      </c>
      <c r="AQ38" s="67" t="s">
        <v>2868</v>
      </c>
      <c r="AR38" s="175"/>
      <c r="AS38" s="175" t="s">
        <v>2869</v>
      </c>
      <c r="AT38" s="175" t="s">
        <v>2867</v>
      </c>
      <c r="AU38" s="175"/>
      <c r="AV38" s="178">
        <v>0</v>
      </c>
      <c r="AW38" s="67"/>
      <c r="AX38" s="175" t="s">
        <v>2867</v>
      </c>
      <c r="AY38" s="175" t="s">
        <v>2870</v>
      </c>
      <c r="AZ38" s="175" t="s">
        <v>2871</v>
      </c>
      <c r="BA38" s="175"/>
      <c r="BB38" s="175"/>
      <c r="BC38" s="175" t="s">
        <v>2859</v>
      </c>
      <c r="BD38" s="175" t="s">
        <v>2872</v>
      </c>
      <c r="BE38" s="175" t="s">
        <v>2873</v>
      </c>
      <c r="BF38" s="175"/>
      <c r="BG38" s="67"/>
      <c r="BH38" s="179"/>
      <c r="BI38" s="175" t="s">
        <v>2867</v>
      </c>
      <c r="BJ38" s="175"/>
      <c r="BK38" s="175" t="s">
        <v>2867</v>
      </c>
      <c r="BL38" s="175"/>
      <c r="BM38" s="175" t="s">
        <v>2874</v>
      </c>
      <c r="BN38" s="175" t="s">
        <v>2875</v>
      </c>
      <c r="BO38" s="180"/>
      <c r="BP38" s="67" t="s">
        <v>2867</v>
      </c>
      <c r="BQ38" s="175" t="s">
        <v>2876</v>
      </c>
      <c r="BR38" s="177" t="s">
        <v>2877</v>
      </c>
      <c r="BS38" s="177"/>
      <c r="BT38" s="67" t="s">
        <v>2867</v>
      </c>
      <c r="BU38" s="175"/>
      <c r="BV38" s="176"/>
      <c r="BW38" s="67" t="s">
        <v>2878</v>
      </c>
      <c r="BX38" s="175"/>
      <c r="BY38" s="175" t="s">
        <v>2003</v>
      </c>
      <c r="BZ38" s="177"/>
      <c r="CA38" s="175"/>
      <c r="CB38" s="175"/>
      <c r="CC38" s="177"/>
      <c r="CD38" s="177"/>
      <c r="CE38" s="67"/>
      <c r="CF38" s="67"/>
      <c r="CG38" s="177"/>
      <c r="CH38" s="176"/>
      <c r="CI38" s="176"/>
      <c r="CJ38" s="175"/>
      <c r="CK38" s="67" t="s">
        <v>2867</v>
      </c>
      <c r="CL38" s="175"/>
      <c r="CM38" s="175"/>
      <c r="CN38" s="175"/>
      <c r="CO38" s="175"/>
      <c r="CP38" s="67"/>
      <c r="CQ38" s="175" t="s">
        <v>2867</v>
      </c>
      <c r="CR38" s="175"/>
      <c r="CS38" s="67"/>
      <c r="CT38" s="175" t="s">
        <v>2867</v>
      </c>
      <c r="CU38" s="175"/>
      <c r="CV38" s="181" t="s">
        <v>2879</v>
      </c>
      <c r="CW38" s="67"/>
      <c r="CX38" s="182"/>
      <c r="CY38" s="175" t="s">
        <v>2880</v>
      </c>
      <c r="CZ38" s="175"/>
      <c r="DA38" s="175" t="s">
        <v>2881</v>
      </c>
      <c r="DB38" s="175" t="s">
        <v>2881</v>
      </c>
      <c r="DC38" s="175"/>
      <c r="DD38" s="175"/>
      <c r="DE38" s="176"/>
      <c r="DF38" s="175"/>
      <c r="DG38" s="182"/>
      <c r="DH38" s="183">
        <v>0</v>
      </c>
      <c r="DI38" s="67"/>
      <c r="DJ38" s="67"/>
      <c r="DK38" s="67"/>
      <c r="DL38" s="67"/>
      <c r="DM38" s="67"/>
      <c r="DN38" s="183">
        <v>0</v>
      </c>
      <c r="DO38" s="183">
        <v>0</v>
      </c>
      <c r="DP38" s="67" t="s">
        <v>2867</v>
      </c>
      <c r="DQ38" s="175"/>
      <c r="DR38" s="175"/>
      <c r="DS38" s="175" t="s">
        <v>2882</v>
      </c>
      <c r="DT38" s="175"/>
      <c r="DU38" s="175"/>
      <c r="DV38" s="175" t="s">
        <v>2883</v>
      </c>
      <c r="DW38" s="175" t="s">
        <v>2884</v>
      </c>
      <c r="DX38" s="175" t="s">
        <v>2879</v>
      </c>
    </row>
    <row r="39" spans="1:128" ht="19.5" customHeight="1">
      <c r="A39" s="173"/>
      <c r="B39" s="174" t="s">
        <v>3147</v>
      </c>
      <c r="C39" s="67"/>
      <c r="D39" s="67"/>
      <c r="E39" s="174" t="s">
        <v>3148</v>
      </c>
      <c r="F39" s="174" t="s">
        <v>3149</v>
      </c>
      <c r="G39" s="175" t="s">
        <v>3150</v>
      </c>
      <c r="H39" s="174" t="s">
        <v>2942</v>
      </c>
      <c r="I39" s="174" t="s">
        <v>2858</v>
      </c>
      <c r="J39" s="175" t="s">
        <v>2859</v>
      </c>
      <c r="K39" s="176">
        <v>46177</v>
      </c>
      <c r="L39" s="67" t="s">
        <v>2943</v>
      </c>
      <c r="M39" s="175" t="s">
        <v>2861</v>
      </c>
      <c r="N39" s="67" t="s">
        <v>2861</v>
      </c>
      <c r="O39" s="67" t="s">
        <v>2328</v>
      </c>
      <c r="P39" s="67" t="s">
        <v>2862</v>
      </c>
      <c r="Q39" s="67"/>
      <c r="R39" s="67"/>
      <c r="S39" s="67" t="s">
        <v>110</v>
      </c>
      <c r="T39" s="177" t="s">
        <v>3124</v>
      </c>
      <c r="U39" s="67" t="s">
        <v>1279</v>
      </c>
      <c r="V39" s="67" t="s">
        <v>2944</v>
      </c>
      <c r="W39" s="175" t="s">
        <v>2865</v>
      </c>
      <c r="X39" s="67"/>
      <c r="Y39" s="67" t="s">
        <v>2866</v>
      </c>
      <c r="Z39" s="67"/>
      <c r="AA39" s="175"/>
      <c r="AB39" s="175" t="s">
        <v>3151</v>
      </c>
      <c r="AC39" s="175" t="s">
        <v>3152</v>
      </c>
      <c r="AD39" s="175" t="s">
        <v>3153</v>
      </c>
      <c r="AE39" s="175" t="s">
        <v>3154</v>
      </c>
      <c r="AF39" s="176"/>
      <c r="AG39" s="176"/>
      <c r="AH39" s="176"/>
      <c r="AI39" s="67"/>
      <c r="AJ39" s="67"/>
      <c r="AK39" s="67" t="s">
        <v>2867</v>
      </c>
      <c r="AL39" s="67"/>
      <c r="AM39" s="176"/>
      <c r="AN39" s="176"/>
      <c r="AO39" s="67"/>
      <c r="AP39" s="67" t="s">
        <v>2867</v>
      </c>
      <c r="AQ39" s="67" t="s">
        <v>2868</v>
      </c>
      <c r="AR39" s="175"/>
      <c r="AS39" s="175" t="s">
        <v>2869</v>
      </c>
      <c r="AT39" s="175" t="s">
        <v>2867</v>
      </c>
      <c r="AU39" s="175"/>
      <c r="AV39" s="178">
        <v>0</v>
      </c>
      <c r="AW39" s="67"/>
      <c r="AX39" s="175" t="s">
        <v>2867</v>
      </c>
      <c r="AY39" s="175" t="s">
        <v>2870</v>
      </c>
      <c r="AZ39" s="175" t="s">
        <v>2871</v>
      </c>
      <c r="BA39" s="175"/>
      <c r="BB39" s="175"/>
      <c r="BC39" s="175" t="s">
        <v>2859</v>
      </c>
      <c r="BD39" s="175" t="s">
        <v>2872</v>
      </c>
      <c r="BE39" s="175" t="s">
        <v>2873</v>
      </c>
      <c r="BF39" s="175" t="s">
        <v>2867</v>
      </c>
      <c r="BG39" s="67"/>
      <c r="BH39" s="179"/>
      <c r="BI39" s="175" t="s">
        <v>2867</v>
      </c>
      <c r="BJ39" s="175"/>
      <c r="BK39" s="175" t="s">
        <v>2867</v>
      </c>
      <c r="BL39" s="175"/>
      <c r="BM39" s="175" t="s">
        <v>3155</v>
      </c>
      <c r="BN39" s="175" t="s">
        <v>3156</v>
      </c>
      <c r="BO39" s="180" t="s">
        <v>2879</v>
      </c>
      <c r="BP39" s="67" t="s">
        <v>2867</v>
      </c>
      <c r="BQ39" s="175" t="s">
        <v>1477</v>
      </c>
      <c r="BR39" s="177" t="s">
        <v>144</v>
      </c>
      <c r="BS39" s="177"/>
      <c r="BT39" s="67" t="s">
        <v>2867</v>
      </c>
      <c r="BU39" s="175"/>
      <c r="BV39" s="176"/>
      <c r="BW39" s="67" t="s">
        <v>2878</v>
      </c>
      <c r="BX39" s="175"/>
      <c r="BY39" s="175" t="s">
        <v>2003</v>
      </c>
      <c r="BZ39" s="177"/>
      <c r="CA39" s="175"/>
      <c r="CB39" s="175"/>
      <c r="CC39" s="177"/>
      <c r="CD39" s="177"/>
      <c r="CE39" s="67"/>
      <c r="CF39" s="67"/>
      <c r="CG39" s="177"/>
      <c r="CH39" s="176"/>
      <c r="CI39" s="176"/>
      <c r="CJ39" s="175"/>
      <c r="CK39" s="67" t="s">
        <v>2867</v>
      </c>
      <c r="CL39" s="175"/>
      <c r="CM39" s="175"/>
      <c r="CN39" s="175"/>
      <c r="CO39" s="175"/>
      <c r="CP39" s="67"/>
      <c r="CQ39" s="175" t="s">
        <v>2867</v>
      </c>
      <c r="CR39" s="175"/>
      <c r="CS39" s="67"/>
      <c r="CT39" s="175" t="s">
        <v>2867</v>
      </c>
      <c r="CU39" s="175"/>
      <c r="CV39" s="181" t="s">
        <v>2879</v>
      </c>
      <c r="CW39" s="67"/>
      <c r="CX39" s="182"/>
      <c r="CY39" s="175" t="s">
        <v>2880</v>
      </c>
      <c r="CZ39" s="175"/>
      <c r="DA39" s="175" t="s">
        <v>2881</v>
      </c>
      <c r="DB39" s="175" t="s">
        <v>2881</v>
      </c>
      <c r="DC39" s="175" t="s">
        <v>2953</v>
      </c>
      <c r="DD39" s="175"/>
      <c r="DE39" s="176"/>
      <c r="DF39" s="175"/>
      <c r="DG39" s="182"/>
      <c r="DH39" s="183">
        <v>1002200</v>
      </c>
      <c r="DI39" s="67"/>
      <c r="DJ39" s="67"/>
      <c r="DK39" s="67"/>
      <c r="DL39" s="67"/>
      <c r="DM39" s="67"/>
      <c r="DN39" s="183">
        <v>0</v>
      </c>
      <c r="DO39" s="183">
        <v>0</v>
      </c>
      <c r="DP39" s="67" t="s">
        <v>2867</v>
      </c>
      <c r="DQ39" s="175"/>
      <c r="DR39" s="175"/>
      <c r="DS39" s="175" t="s">
        <v>2882</v>
      </c>
      <c r="DT39" s="175"/>
      <c r="DU39" s="175"/>
      <c r="DV39" s="175" t="s">
        <v>2883</v>
      </c>
      <c r="DW39" s="175" t="s">
        <v>2884</v>
      </c>
      <c r="DX39" s="175" t="s">
        <v>2879</v>
      </c>
    </row>
    <row r="40" spans="1:128" ht="19.5" customHeight="1">
      <c r="A40" s="173"/>
      <c r="B40" s="174" t="s">
        <v>3157</v>
      </c>
      <c r="C40" s="67"/>
      <c r="D40" s="67"/>
      <c r="E40" s="174" t="s">
        <v>3158</v>
      </c>
      <c r="F40" s="174" t="s">
        <v>3159</v>
      </c>
      <c r="G40" s="175" t="s">
        <v>3160</v>
      </c>
      <c r="H40" s="174" t="s">
        <v>2857</v>
      </c>
      <c r="I40" s="174" t="s">
        <v>2858</v>
      </c>
      <c r="J40" s="175" t="s">
        <v>2859</v>
      </c>
      <c r="K40" s="176">
        <v>46177</v>
      </c>
      <c r="L40" s="67" t="s">
        <v>2932</v>
      </c>
      <c r="M40" s="175" t="s">
        <v>2336</v>
      </c>
      <c r="N40" s="67" t="s">
        <v>2336</v>
      </c>
      <c r="O40" s="67" t="s">
        <v>3161</v>
      </c>
      <c r="P40" s="67" t="s">
        <v>3162</v>
      </c>
      <c r="Q40" s="67"/>
      <c r="R40" s="67"/>
      <c r="S40" s="67" t="s">
        <v>101</v>
      </c>
      <c r="T40" s="177" t="s">
        <v>3124</v>
      </c>
      <c r="U40" s="67" t="s">
        <v>1277</v>
      </c>
      <c r="V40" s="67" t="s">
        <v>2922</v>
      </c>
      <c r="W40" s="175" t="s">
        <v>2865</v>
      </c>
      <c r="X40" s="67"/>
      <c r="Y40" s="67" t="s">
        <v>2866</v>
      </c>
      <c r="Z40" s="67"/>
      <c r="AA40" s="175"/>
      <c r="AB40" s="175"/>
      <c r="AC40" s="175"/>
      <c r="AD40" s="175"/>
      <c r="AE40" s="175"/>
      <c r="AF40" s="176"/>
      <c r="AG40" s="176"/>
      <c r="AH40" s="176"/>
      <c r="AI40" s="67"/>
      <c r="AJ40" s="67"/>
      <c r="AK40" s="67" t="s">
        <v>2867</v>
      </c>
      <c r="AL40" s="67"/>
      <c r="AM40" s="176"/>
      <c r="AN40" s="176"/>
      <c r="AO40" s="67"/>
      <c r="AP40" s="67" t="s">
        <v>2867</v>
      </c>
      <c r="AQ40" s="67" t="s">
        <v>2868</v>
      </c>
      <c r="AR40" s="175"/>
      <c r="AS40" s="175" t="s">
        <v>2869</v>
      </c>
      <c r="AT40" s="175" t="s">
        <v>2867</v>
      </c>
      <c r="AU40" s="175"/>
      <c r="AV40" s="178">
        <v>0</v>
      </c>
      <c r="AW40" s="67"/>
      <c r="AX40" s="175" t="s">
        <v>2867</v>
      </c>
      <c r="AY40" s="175" t="s">
        <v>2870</v>
      </c>
      <c r="AZ40" s="175" t="s">
        <v>2871</v>
      </c>
      <c r="BA40" s="175"/>
      <c r="BB40" s="175"/>
      <c r="BC40" s="175" t="s">
        <v>2859</v>
      </c>
      <c r="BD40" s="175" t="s">
        <v>2872</v>
      </c>
      <c r="BE40" s="175" t="s">
        <v>2873</v>
      </c>
      <c r="BF40" s="175"/>
      <c r="BG40" s="67"/>
      <c r="BH40" s="179"/>
      <c r="BI40" s="175" t="s">
        <v>2867</v>
      </c>
      <c r="BJ40" s="175"/>
      <c r="BK40" s="175" t="s">
        <v>2867</v>
      </c>
      <c r="BL40" s="175"/>
      <c r="BM40" s="175" t="s">
        <v>2874</v>
      </c>
      <c r="BN40" s="175" t="s">
        <v>2875</v>
      </c>
      <c r="BO40" s="180"/>
      <c r="BP40" s="67" t="s">
        <v>2867</v>
      </c>
      <c r="BQ40" s="175" t="s">
        <v>2876</v>
      </c>
      <c r="BR40" s="177" t="s">
        <v>2877</v>
      </c>
      <c r="BS40" s="177"/>
      <c r="BT40" s="67" t="s">
        <v>2867</v>
      </c>
      <c r="BU40" s="175"/>
      <c r="BV40" s="176"/>
      <c r="BW40" s="67" t="s">
        <v>2878</v>
      </c>
      <c r="BX40" s="175"/>
      <c r="BY40" s="175" t="s">
        <v>2003</v>
      </c>
      <c r="BZ40" s="177"/>
      <c r="CA40" s="175"/>
      <c r="CB40" s="175"/>
      <c r="CC40" s="177"/>
      <c r="CD40" s="177"/>
      <c r="CE40" s="67"/>
      <c r="CF40" s="67"/>
      <c r="CG40" s="177"/>
      <c r="CH40" s="176"/>
      <c r="CI40" s="176"/>
      <c r="CJ40" s="175"/>
      <c r="CK40" s="67" t="s">
        <v>2867</v>
      </c>
      <c r="CL40" s="175"/>
      <c r="CM40" s="175"/>
      <c r="CN40" s="175"/>
      <c r="CO40" s="175"/>
      <c r="CP40" s="67"/>
      <c r="CQ40" s="175" t="s">
        <v>2867</v>
      </c>
      <c r="CR40" s="175"/>
      <c r="CS40" s="67"/>
      <c r="CT40" s="175" t="s">
        <v>2867</v>
      </c>
      <c r="CU40" s="175"/>
      <c r="CV40" s="181" t="s">
        <v>2879</v>
      </c>
      <c r="CW40" s="67"/>
      <c r="CX40" s="182"/>
      <c r="CY40" s="175" t="s">
        <v>2880</v>
      </c>
      <c r="CZ40" s="175"/>
      <c r="DA40" s="175" t="s">
        <v>2881</v>
      </c>
      <c r="DB40" s="175" t="s">
        <v>2881</v>
      </c>
      <c r="DC40" s="175"/>
      <c r="DD40" s="175"/>
      <c r="DE40" s="176"/>
      <c r="DF40" s="175"/>
      <c r="DG40" s="182"/>
      <c r="DH40" s="183">
        <v>0</v>
      </c>
      <c r="DI40" s="67"/>
      <c r="DJ40" s="67"/>
      <c r="DK40" s="67"/>
      <c r="DL40" s="67"/>
      <c r="DM40" s="67"/>
      <c r="DN40" s="183">
        <v>0</v>
      </c>
      <c r="DO40" s="183">
        <v>0</v>
      </c>
      <c r="DP40" s="67" t="s">
        <v>2867</v>
      </c>
      <c r="DQ40" s="175"/>
      <c r="DR40" s="175"/>
      <c r="DS40" s="175" t="s">
        <v>2882</v>
      </c>
      <c r="DT40" s="175"/>
      <c r="DU40" s="175"/>
      <c r="DV40" s="175" t="s">
        <v>2883</v>
      </c>
      <c r="DW40" s="175" t="s">
        <v>2884</v>
      </c>
      <c r="DX40" s="175" t="s">
        <v>2879</v>
      </c>
    </row>
    <row r="41" spans="1:128" ht="19.5" customHeight="1">
      <c r="A41" s="173"/>
      <c r="B41" s="174" t="s">
        <v>3163</v>
      </c>
      <c r="C41" s="67"/>
      <c r="D41" s="67"/>
      <c r="E41" s="174" t="s">
        <v>3164</v>
      </c>
      <c r="F41" s="174" t="s">
        <v>3165</v>
      </c>
      <c r="G41" s="175" t="s">
        <v>3166</v>
      </c>
      <c r="H41" s="174" t="s">
        <v>2857</v>
      </c>
      <c r="I41" s="174" t="s">
        <v>2858</v>
      </c>
      <c r="J41" s="175" t="s">
        <v>2859</v>
      </c>
      <c r="K41" s="176">
        <v>46177</v>
      </c>
      <c r="L41" s="67" t="s">
        <v>2969</v>
      </c>
      <c r="M41" s="175" t="s">
        <v>3167</v>
      </c>
      <c r="N41" s="67" t="s">
        <v>3167</v>
      </c>
      <c r="O41" s="67" t="s">
        <v>2329</v>
      </c>
      <c r="P41" s="67" t="s">
        <v>2997</v>
      </c>
      <c r="Q41" s="67"/>
      <c r="R41" s="67"/>
      <c r="S41" s="67" t="s">
        <v>104</v>
      </c>
      <c r="T41" s="177" t="s">
        <v>3124</v>
      </c>
      <c r="U41" s="67" t="s">
        <v>1247</v>
      </c>
      <c r="V41" s="67" t="s">
        <v>3168</v>
      </c>
      <c r="W41" s="175" t="s">
        <v>2865</v>
      </c>
      <c r="X41" s="67"/>
      <c r="Y41" s="67" t="s">
        <v>3169</v>
      </c>
      <c r="Z41" s="67"/>
      <c r="AA41" s="175"/>
      <c r="AB41" s="175"/>
      <c r="AC41" s="175"/>
      <c r="AD41" s="175"/>
      <c r="AE41" s="175"/>
      <c r="AF41" s="176"/>
      <c r="AG41" s="176"/>
      <c r="AH41" s="176"/>
      <c r="AI41" s="67"/>
      <c r="AJ41" s="67"/>
      <c r="AK41" s="67" t="s">
        <v>2867</v>
      </c>
      <c r="AL41" s="67"/>
      <c r="AM41" s="176"/>
      <c r="AN41" s="176"/>
      <c r="AO41" s="67"/>
      <c r="AP41" s="67" t="s">
        <v>2867</v>
      </c>
      <c r="AQ41" s="67" t="s">
        <v>2868</v>
      </c>
      <c r="AR41" s="175"/>
      <c r="AS41" s="175" t="s">
        <v>2869</v>
      </c>
      <c r="AT41" s="175" t="s">
        <v>2867</v>
      </c>
      <c r="AU41" s="175"/>
      <c r="AV41" s="178">
        <v>0</v>
      </c>
      <c r="AW41" s="67"/>
      <c r="AX41" s="175" t="s">
        <v>2867</v>
      </c>
      <c r="AY41" s="175" t="s">
        <v>2870</v>
      </c>
      <c r="AZ41" s="175" t="s">
        <v>2871</v>
      </c>
      <c r="BA41" s="175"/>
      <c r="BB41" s="175"/>
      <c r="BC41" s="175" t="s">
        <v>2859</v>
      </c>
      <c r="BD41" s="175" t="s">
        <v>2872</v>
      </c>
      <c r="BE41" s="175" t="s">
        <v>2873</v>
      </c>
      <c r="BF41" s="175"/>
      <c r="BG41" s="67"/>
      <c r="BH41" s="179"/>
      <c r="BI41" s="175" t="s">
        <v>2867</v>
      </c>
      <c r="BJ41" s="175"/>
      <c r="BK41" s="175" t="s">
        <v>2867</v>
      </c>
      <c r="BL41" s="175"/>
      <c r="BM41" s="175" t="s">
        <v>3155</v>
      </c>
      <c r="BN41" s="175" t="s">
        <v>3156</v>
      </c>
      <c r="BO41" s="180" t="s">
        <v>2879</v>
      </c>
      <c r="BP41" s="67" t="s">
        <v>2867</v>
      </c>
      <c r="BQ41" s="175" t="s">
        <v>1477</v>
      </c>
      <c r="BR41" s="177" t="s">
        <v>144</v>
      </c>
      <c r="BS41" s="177"/>
      <c r="BT41" s="67" t="s">
        <v>2867</v>
      </c>
      <c r="BU41" s="175"/>
      <c r="BV41" s="176"/>
      <c r="BW41" s="67" t="s">
        <v>2878</v>
      </c>
      <c r="BX41" s="175"/>
      <c r="BY41" s="175" t="s">
        <v>2003</v>
      </c>
      <c r="BZ41" s="177"/>
      <c r="CA41" s="175"/>
      <c r="CB41" s="175"/>
      <c r="CC41" s="177"/>
      <c r="CD41" s="177"/>
      <c r="CE41" s="67"/>
      <c r="CF41" s="67"/>
      <c r="CG41" s="177"/>
      <c r="CH41" s="176"/>
      <c r="CI41" s="176"/>
      <c r="CJ41" s="175"/>
      <c r="CK41" s="67" t="s">
        <v>2867</v>
      </c>
      <c r="CL41" s="175"/>
      <c r="CM41" s="175"/>
      <c r="CN41" s="175"/>
      <c r="CO41" s="175"/>
      <c r="CP41" s="67"/>
      <c r="CQ41" s="175" t="s">
        <v>2867</v>
      </c>
      <c r="CR41" s="175"/>
      <c r="CS41" s="67"/>
      <c r="CT41" s="175" t="s">
        <v>2867</v>
      </c>
      <c r="CU41" s="175"/>
      <c r="CV41" s="181" t="s">
        <v>2879</v>
      </c>
      <c r="CW41" s="67"/>
      <c r="CX41" s="182"/>
      <c r="CY41" s="175" t="s">
        <v>2880</v>
      </c>
      <c r="CZ41" s="175"/>
      <c r="DA41" s="175" t="s">
        <v>2881</v>
      </c>
      <c r="DB41" s="175" t="s">
        <v>2881</v>
      </c>
      <c r="DC41" s="175"/>
      <c r="DD41" s="175"/>
      <c r="DE41" s="176"/>
      <c r="DF41" s="175"/>
      <c r="DG41" s="182"/>
      <c r="DH41" s="183">
        <v>892500</v>
      </c>
      <c r="DI41" s="67"/>
      <c r="DJ41" s="67"/>
      <c r="DK41" s="67"/>
      <c r="DL41" s="67"/>
      <c r="DM41" s="67"/>
      <c r="DN41" s="183">
        <v>0</v>
      </c>
      <c r="DO41" s="183">
        <v>0</v>
      </c>
      <c r="DP41" s="67" t="s">
        <v>2867</v>
      </c>
      <c r="DQ41" s="175"/>
      <c r="DR41" s="175"/>
      <c r="DS41" s="175" t="s">
        <v>2882</v>
      </c>
      <c r="DT41" s="175"/>
      <c r="DU41" s="175"/>
      <c r="DV41" s="175" t="s">
        <v>2883</v>
      </c>
      <c r="DW41" s="175" t="s">
        <v>2884</v>
      </c>
      <c r="DX41" s="175" t="s">
        <v>2879</v>
      </c>
    </row>
    <row r="42" spans="1:128" ht="19.5" customHeight="1">
      <c r="A42" s="173"/>
      <c r="B42" s="174" t="s">
        <v>3170</v>
      </c>
      <c r="C42" s="67"/>
      <c r="D42" s="67"/>
      <c r="E42" s="174" t="s">
        <v>3171</v>
      </c>
      <c r="F42" s="174" t="s">
        <v>3172</v>
      </c>
      <c r="G42" s="175" t="s">
        <v>3173</v>
      </c>
      <c r="H42" s="174" t="s">
        <v>2857</v>
      </c>
      <c r="I42" s="174" t="s">
        <v>2858</v>
      </c>
      <c r="J42" s="175" t="s">
        <v>2859</v>
      </c>
      <c r="K42" s="176">
        <v>46177</v>
      </c>
      <c r="L42" s="67" t="s">
        <v>2943</v>
      </c>
      <c r="M42" s="175" t="s">
        <v>3167</v>
      </c>
      <c r="N42" s="67" t="s">
        <v>3167</v>
      </c>
      <c r="O42" s="67" t="s">
        <v>2329</v>
      </c>
      <c r="P42" s="67" t="s">
        <v>2997</v>
      </c>
      <c r="Q42" s="67"/>
      <c r="R42" s="67"/>
      <c r="S42" s="67" t="s">
        <v>104</v>
      </c>
      <c r="T42" s="177" t="s">
        <v>3124</v>
      </c>
      <c r="U42" s="67" t="s">
        <v>119</v>
      </c>
      <c r="V42" s="67" t="s">
        <v>3168</v>
      </c>
      <c r="W42" s="175" t="s">
        <v>2865</v>
      </c>
      <c r="X42" s="67"/>
      <c r="Y42" s="67" t="s">
        <v>3169</v>
      </c>
      <c r="Z42" s="67"/>
      <c r="AA42" s="175"/>
      <c r="AB42" s="175"/>
      <c r="AC42" s="175"/>
      <c r="AD42" s="175"/>
      <c r="AE42" s="175"/>
      <c r="AF42" s="176"/>
      <c r="AG42" s="176"/>
      <c r="AH42" s="176"/>
      <c r="AI42" s="67"/>
      <c r="AJ42" s="67"/>
      <c r="AK42" s="67" t="s">
        <v>2867</v>
      </c>
      <c r="AL42" s="67"/>
      <c r="AM42" s="176"/>
      <c r="AN42" s="176"/>
      <c r="AO42" s="67"/>
      <c r="AP42" s="67" t="s">
        <v>2867</v>
      </c>
      <c r="AQ42" s="67" t="s">
        <v>2868</v>
      </c>
      <c r="AR42" s="175"/>
      <c r="AS42" s="175" t="s">
        <v>2869</v>
      </c>
      <c r="AT42" s="175" t="s">
        <v>2867</v>
      </c>
      <c r="AU42" s="175"/>
      <c r="AV42" s="178">
        <v>0</v>
      </c>
      <c r="AW42" s="67"/>
      <c r="AX42" s="175" t="s">
        <v>2867</v>
      </c>
      <c r="AY42" s="175" t="s">
        <v>2870</v>
      </c>
      <c r="AZ42" s="175" t="s">
        <v>2871</v>
      </c>
      <c r="BA42" s="175"/>
      <c r="BB42" s="175"/>
      <c r="BC42" s="175" t="s">
        <v>2859</v>
      </c>
      <c r="BD42" s="175" t="s">
        <v>2872</v>
      </c>
      <c r="BE42" s="175" t="s">
        <v>2873</v>
      </c>
      <c r="BF42" s="175"/>
      <c r="BG42" s="67"/>
      <c r="BH42" s="179"/>
      <c r="BI42" s="175" t="s">
        <v>2867</v>
      </c>
      <c r="BJ42" s="175"/>
      <c r="BK42" s="175" t="s">
        <v>2867</v>
      </c>
      <c r="BL42" s="175"/>
      <c r="BM42" s="175" t="s">
        <v>3155</v>
      </c>
      <c r="BN42" s="175" t="s">
        <v>3156</v>
      </c>
      <c r="BO42" s="180" t="s">
        <v>2879</v>
      </c>
      <c r="BP42" s="67" t="s">
        <v>2867</v>
      </c>
      <c r="BQ42" s="175" t="s">
        <v>1477</v>
      </c>
      <c r="BR42" s="177" t="s">
        <v>144</v>
      </c>
      <c r="BS42" s="177"/>
      <c r="BT42" s="67" t="s">
        <v>2867</v>
      </c>
      <c r="BU42" s="175"/>
      <c r="BV42" s="176"/>
      <c r="BW42" s="67" t="s">
        <v>2878</v>
      </c>
      <c r="BX42" s="175"/>
      <c r="BY42" s="175" t="s">
        <v>2003</v>
      </c>
      <c r="BZ42" s="177"/>
      <c r="CA42" s="175"/>
      <c r="CB42" s="175"/>
      <c r="CC42" s="177"/>
      <c r="CD42" s="177"/>
      <c r="CE42" s="67"/>
      <c r="CF42" s="67"/>
      <c r="CG42" s="177"/>
      <c r="CH42" s="176"/>
      <c r="CI42" s="176"/>
      <c r="CJ42" s="175"/>
      <c r="CK42" s="67" t="s">
        <v>2867</v>
      </c>
      <c r="CL42" s="175"/>
      <c r="CM42" s="175"/>
      <c r="CN42" s="175"/>
      <c r="CO42" s="175"/>
      <c r="CP42" s="67"/>
      <c r="CQ42" s="175" t="s">
        <v>2867</v>
      </c>
      <c r="CR42" s="175"/>
      <c r="CS42" s="67"/>
      <c r="CT42" s="175" t="s">
        <v>2867</v>
      </c>
      <c r="CU42" s="175"/>
      <c r="CV42" s="181" t="s">
        <v>2879</v>
      </c>
      <c r="CW42" s="67"/>
      <c r="CX42" s="182"/>
      <c r="CY42" s="175" t="s">
        <v>2880</v>
      </c>
      <c r="CZ42" s="175"/>
      <c r="DA42" s="175" t="s">
        <v>2881</v>
      </c>
      <c r="DB42" s="175" t="s">
        <v>2881</v>
      </c>
      <c r="DC42" s="175"/>
      <c r="DD42" s="175"/>
      <c r="DE42" s="176"/>
      <c r="DF42" s="175"/>
      <c r="DG42" s="182"/>
      <c r="DH42" s="183">
        <v>892500</v>
      </c>
      <c r="DI42" s="67"/>
      <c r="DJ42" s="67"/>
      <c r="DK42" s="67"/>
      <c r="DL42" s="67"/>
      <c r="DM42" s="67"/>
      <c r="DN42" s="183">
        <v>0</v>
      </c>
      <c r="DO42" s="183">
        <v>0</v>
      </c>
      <c r="DP42" s="67" t="s">
        <v>2867</v>
      </c>
      <c r="DQ42" s="175"/>
      <c r="DR42" s="175"/>
      <c r="DS42" s="175" t="s">
        <v>2882</v>
      </c>
      <c r="DT42" s="175"/>
      <c r="DU42" s="175"/>
      <c r="DV42" s="175" t="s">
        <v>2883</v>
      </c>
      <c r="DW42" s="175" t="s">
        <v>2884</v>
      </c>
      <c r="DX42" s="175" t="s">
        <v>2879</v>
      </c>
    </row>
    <row r="43" spans="1:128" ht="19.5" customHeight="1">
      <c r="A43" s="173"/>
      <c r="B43" s="174" t="s">
        <v>3174</v>
      </c>
      <c r="C43" s="67"/>
      <c r="D43" s="67"/>
      <c r="E43" s="174" t="s">
        <v>3175</v>
      </c>
      <c r="F43" s="174" t="s">
        <v>3176</v>
      </c>
      <c r="G43" s="175" t="s">
        <v>3177</v>
      </c>
      <c r="H43" s="174" t="s">
        <v>2942</v>
      </c>
      <c r="I43" s="174" t="s">
        <v>2858</v>
      </c>
      <c r="J43" s="175" t="s">
        <v>2859</v>
      </c>
      <c r="K43" s="176">
        <v>46177</v>
      </c>
      <c r="L43" s="67" t="s">
        <v>2921</v>
      </c>
      <c r="M43" s="175" t="s">
        <v>2861</v>
      </c>
      <c r="N43" s="67" t="s">
        <v>2861</v>
      </c>
      <c r="O43" s="67" t="s">
        <v>2328</v>
      </c>
      <c r="P43" s="67" t="s">
        <v>2862</v>
      </c>
      <c r="Q43" s="67"/>
      <c r="R43" s="67"/>
      <c r="S43" s="67" t="s">
        <v>957</v>
      </c>
      <c r="T43" s="177" t="s">
        <v>3124</v>
      </c>
      <c r="U43" s="67" t="s">
        <v>116</v>
      </c>
      <c r="V43" s="67" t="s">
        <v>2944</v>
      </c>
      <c r="W43" s="175" t="s">
        <v>2865</v>
      </c>
      <c r="X43" s="67" t="s">
        <v>3178</v>
      </c>
      <c r="Y43" s="67" t="s">
        <v>2866</v>
      </c>
      <c r="Z43" s="67" t="s">
        <v>3179</v>
      </c>
      <c r="AA43" s="175" t="s">
        <v>2947</v>
      </c>
      <c r="AB43" s="175" t="s">
        <v>3180</v>
      </c>
      <c r="AC43" s="175" t="s">
        <v>3181</v>
      </c>
      <c r="AD43" s="175" t="s">
        <v>3182</v>
      </c>
      <c r="AE43" s="175" t="s">
        <v>3183</v>
      </c>
      <c r="AF43" s="176"/>
      <c r="AG43" s="176"/>
      <c r="AH43" s="176"/>
      <c r="AI43" s="67"/>
      <c r="AJ43" s="67"/>
      <c r="AK43" s="67" t="s">
        <v>2867</v>
      </c>
      <c r="AL43" s="67"/>
      <c r="AM43" s="176"/>
      <c r="AN43" s="176"/>
      <c r="AO43" s="67"/>
      <c r="AP43" s="67" t="s">
        <v>2867</v>
      </c>
      <c r="AQ43" s="67" t="s">
        <v>2868</v>
      </c>
      <c r="AR43" s="175"/>
      <c r="AS43" s="175" t="s">
        <v>2869</v>
      </c>
      <c r="AT43" s="175" t="s">
        <v>2867</v>
      </c>
      <c r="AU43" s="175"/>
      <c r="AV43" s="178">
        <v>0</v>
      </c>
      <c r="AW43" s="67"/>
      <c r="AX43" s="175" t="s">
        <v>2867</v>
      </c>
      <c r="AY43" s="175" t="s">
        <v>2870</v>
      </c>
      <c r="AZ43" s="175" t="s">
        <v>2871</v>
      </c>
      <c r="BA43" s="175"/>
      <c r="BB43" s="175"/>
      <c r="BC43" s="175" t="s">
        <v>2859</v>
      </c>
      <c r="BD43" s="175" t="s">
        <v>2872</v>
      </c>
      <c r="BE43" s="175" t="s">
        <v>2873</v>
      </c>
      <c r="BF43" s="175" t="s">
        <v>2867</v>
      </c>
      <c r="BG43" s="67"/>
      <c r="BH43" s="179"/>
      <c r="BI43" s="175" t="s">
        <v>2867</v>
      </c>
      <c r="BJ43" s="175"/>
      <c r="BK43" s="175" t="s">
        <v>2867</v>
      </c>
      <c r="BL43" s="175"/>
      <c r="BM43" s="175" t="s">
        <v>3155</v>
      </c>
      <c r="BN43" s="175" t="s">
        <v>3156</v>
      </c>
      <c r="BO43" s="180" t="s">
        <v>2879</v>
      </c>
      <c r="BP43" s="67" t="s">
        <v>2867</v>
      </c>
      <c r="BQ43" s="175" t="s">
        <v>1477</v>
      </c>
      <c r="BR43" s="177" t="s">
        <v>144</v>
      </c>
      <c r="BS43" s="177"/>
      <c r="BT43" s="67" t="s">
        <v>2867</v>
      </c>
      <c r="BU43" s="175"/>
      <c r="BV43" s="176"/>
      <c r="BW43" s="67" t="s">
        <v>2878</v>
      </c>
      <c r="BX43" s="175" t="s">
        <v>3184</v>
      </c>
      <c r="BY43" s="175" t="s">
        <v>2003</v>
      </c>
      <c r="BZ43" s="177"/>
      <c r="CA43" s="175"/>
      <c r="CB43" s="175"/>
      <c r="CC43" s="177"/>
      <c r="CD43" s="177"/>
      <c r="CE43" s="67"/>
      <c r="CF43" s="67"/>
      <c r="CG43" s="177"/>
      <c r="CH43" s="176"/>
      <c r="CI43" s="176"/>
      <c r="CJ43" s="175"/>
      <c r="CK43" s="67" t="s">
        <v>2867</v>
      </c>
      <c r="CL43" s="175"/>
      <c r="CM43" s="175"/>
      <c r="CN43" s="175"/>
      <c r="CO43" s="175"/>
      <c r="CP43" s="67"/>
      <c r="CQ43" s="175" t="s">
        <v>2867</v>
      </c>
      <c r="CR43" s="175"/>
      <c r="CS43" s="67"/>
      <c r="CT43" s="175" t="s">
        <v>2867</v>
      </c>
      <c r="CU43" s="175"/>
      <c r="CV43" s="181" t="s">
        <v>2879</v>
      </c>
      <c r="CW43" s="67"/>
      <c r="CX43" s="182"/>
      <c r="CY43" s="175" t="s">
        <v>2880</v>
      </c>
      <c r="CZ43" s="175"/>
      <c r="DA43" s="175" t="s">
        <v>2881</v>
      </c>
      <c r="DB43" s="175" t="s">
        <v>2881</v>
      </c>
      <c r="DC43" s="175" t="s">
        <v>2953</v>
      </c>
      <c r="DD43" s="175"/>
      <c r="DE43" s="176"/>
      <c r="DF43" s="175"/>
      <c r="DG43" s="182"/>
      <c r="DH43" s="183">
        <v>1002200</v>
      </c>
      <c r="DI43" s="67"/>
      <c r="DJ43" s="67"/>
      <c r="DK43" s="67"/>
      <c r="DL43" s="67"/>
      <c r="DM43" s="67"/>
      <c r="DN43" s="183">
        <v>0</v>
      </c>
      <c r="DO43" s="183">
        <v>0</v>
      </c>
      <c r="DP43" s="67" t="s">
        <v>2867</v>
      </c>
      <c r="DQ43" s="175"/>
      <c r="DR43" s="175"/>
      <c r="DS43" s="175" t="s">
        <v>2882</v>
      </c>
      <c r="DT43" s="175"/>
      <c r="DU43" s="175"/>
      <c r="DV43" s="175" t="s">
        <v>2883</v>
      </c>
      <c r="DW43" s="175" t="s">
        <v>2884</v>
      </c>
      <c r="DX43" s="175" t="s">
        <v>2879</v>
      </c>
    </row>
    <row r="44" spans="1:128" ht="19.5" customHeight="1">
      <c r="A44" s="173"/>
      <c r="B44" s="174" t="s">
        <v>3185</v>
      </c>
      <c r="C44" s="67"/>
      <c r="D44" s="67"/>
      <c r="E44" s="174" t="s">
        <v>3186</v>
      </c>
      <c r="F44" s="174" t="s">
        <v>3187</v>
      </c>
      <c r="G44" s="175" t="s">
        <v>3188</v>
      </c>
      <c r="H44" s="174" t="s">
        <v>2857</v>
      </c>
      <c r="I44" s="174" t="s">
        <v>2858</v>
      </c>
      <c r="J44" s="175" t="s">
        <v>2859</v>
      </c>
      <c r="K44" s="176">
        <v>46177</v>
      </c>
      <c r="L44" s="67" t="s">
        <v>2969</v>
      </c>
      <c r="M44" s="175" t="s">
        <v>2861</v>
      </c>
      <c r="N44" s="67" t="s">
        <v>2861</v>
      </c>
      <c r="O44" s="67" t="s">
        <v>2328</v>
      </c>
      <c r="P44" s="67" t="s">
        <v>2862</v>
      </c>
      <c r="Q44" s="67"/>
      <c r="R44" s="67"/>
      <c r="S44" s="67" t="s">
        <v>957</v>
      </c>
      <c r="T44" s="177" t="s">
        <v>3124</v>
      </c>
      <c r="U44" s="67" t="s">
        <v>116</v>
      </c>
      <c r="V44" s="67" t="s">
        <v>3189</v>
      </c>
      <c r="W44" s="175" t="s">
        <v>2865</v>
      </c>
      <c r="X44" s="67"/>
      <c r="Y44" s="67" t="s">
        <v>2866</v>
      </c>
      <c r="Z44" s="67"/>
      <c r="AA44" s="175"/>
      <c r="AB44" s="175"/>
      <c r="AC44" s="175"/>
      <c r="AD44" s="175"/>
      <c r="AE44" s="175"/>
      <c r="AF44" s="176"/>
      <c r="AG44" s="176"/>
      <c r="AH44" s="176"/>
      <c r="AI44" s="67"/>
      <c r="AJ44" s="67"/>
      <c r="AK44" s="67" t="s">
        <v>2867</v>
      </c>
      <c r="AL44" s="67"/>
      <c r="AM44" s="176"/>
      <c r="AN44" s="176"/>
      <c r="AO44" s="67"/>
      <c r="AP44" s="67" t="s">
        <v>2867</v>
      </c>
      <c r="AQ44" s="67" t="s">
        <v>2868</v>
      </c>
      <c r="AR44" s="175"/>
      <c r="AS44" s="175" t="s">
        <v>2869</v>
      </c>
      <c r="AT44" s="175" t="s">
        <v>2867</v>
      </c>
      <c r="AU44" s="175"/>
      <c r="AV44" s="178">
        <v>0</v>
      </c>
      <c r="AW44" s="67"/>
      <c r="AX44" s="175" t="s">
        <v>2867</v>
      </c>
      <c r="AY44" s="175" t="s">
        <v>2870</v>
      </c>
      <c r="AZ44" s="175" t="s">
        <v>2871</v>
      </c>
      <c r="BA44" s="175"/>
      <c r="BB44" s="175"/>
      <c r="BC44" s="175" t="s">
        <v>2859</v>
      </c>
      <c r="BD44" s="175" t="s">
        <v>2872</v>
      </c>
      <c r="BE44" s="175" t="s">
        <v>2873</v>
      </c>
      <c r="BF44" s="175"/>
      <c r="BG44" s="67"/>
      <c r="BH44" s="179"/>
      <c r="BI44" s="175" t="s">
        <v>2867</v>
      </c>
      <c r="BJ44" s="175"/>
      <c r="BK44" s="175" t="s">
        <v>2867</v>
      </c>
      <c r="BL44" s="175"/>
      <c r="BM44" s="175" t="s">
        <v>2874</v>
      </c>
      <c r="BN44" s="175" t="s">
        <v>2875</v>
      </c>
      <c r="BO44" s="180"/>
      <c r="BP44" s="67" t="s">
        <v>2867</v>
      </c>
      <c r="BQ44" s="175" t="s">
        <v>2876</v>
      </c>
      <c r="BR44" s="177" t="s">
        <v>2877</v>
      </c>
      <c r="BS44" s="177"/>
      <c r="BT44" s="67" t="s">
        <v>2867</v>
      </c>
      <c r="BU44" s="175"/>
      <c r="BV44" s="176"/>
      <c r="BW44" s="67" t="s">
        <v>2878</v>
      </c>
      <c r="BX44" s="175"/>
      <c r="BY44" s="175" t="s">
        <v>2003</v>
      </c>
      <c r="BZ44" s="177"/>
      <c r="CA44" s="175"/>
      <c r="CB44" s="175"/>
      <c r="CC44" s="177"/>
      <c r="CD44" s="177"/>
      <c r="CE44" s="67"/>
      <c r="CF44" s="67"/>
      <c r="CG44" s="177"/>
      <c r="CH44" s="176"/>
      <c r="CI44" s="176"/>
      <c r="CJ44" s="175"/>
      <c r="CK44" s="67" t="s">
        <v>2867</v>
      </c>
      <c r="CL44" s="175"/>
      <c r="CM44" s="175"/>
      <c r="CN44" s="175"/>
      <c r="CO44" s="175"/>
      <c r="CP44" s="67"/>
      <c r="CQ44" s="175" t="s">
        <v>2867</v>
      </c>
      <c r="CR44" s="175"/>
      <c r="CS44" s="67"/>
      <c r="CT44" s="175" t="s">
        <v>2867</v>
      </c>
      <c r="CU44" s="175"/>
      <c r="CV44" s="181" t="s">
        <v>2879</v>
      </c>
      <c r="CW44" s="67"/>
      <c r="CX44" s="182"/>
      <c r="CY44" s="175" t="s">
        <v>2880</v>
      </c>
      <c r="CZ44" s="175"/>
      <c r="DA44" s="175" t="s">
        <v>2881</v>
      </c>
      <c r="DB44" s="175" t="s">
        <v>2881</v>
      </c>
      <c r="DC44" s="175"/>
      <c r="DD44" s="175"/>
      <c r="DE44" s="176"/>
      <c r="DF44" s="175"/>
      <c r="DG44" s="182"/>
      <c r="DH44" s="183">
        <v>0</v>
      </c>
      <c r="DI44" s="67"/>
      <c r="DJ44" s="67"/>
      <c r="DK44" s="67"/>
      <c r="DL44" s="67"/>
      <c r="DM44" s="67"/>
      <c r="DN44" s="183">
        <v>0</v>
      </c>
      <c r="DO44" s="183">
        <v>0</v>
      </c>
      <c r="DP44" s="67" t="s">
        <v>2867</v>
      </c>
      <c r="DQ44" s="175"/>
      <c r="DR44" s="175"/>
      <c r="DS44" s="175" t="s">
        <v>2882</v>
      </c>
      <c r="DT44" s="175"/>
      <c r="DU44" s="175"/>
      <c r="DV44" s="175" t="s">
        <v>2883</v>
      </c>
      <c r="DW44" s="175" t="s">
        <v>2884</v>
      </c>
      <c r="DX44" s="175" t="s">
        <v>2879</v>
      </c>
    </row>
    <row r="45" spans="1:128" ht="19.5" customHeight="1">
      <c r="A45" s="173"/>
      <c r="B45" s="174" t="s">
        <v>3190</v>
      </c>
      <c r="C45" s="67"/>
      <c r="D45" s="67"/>
      <c r="E45" s="174" t="s">
        <v>3191</v>
      </c>
      <c r="F45" s="174" t="s">
        <v>3192</v>
      </c>
      <c r="G45" s="175" t="s">
        <v>3193</v>
      </c>
      <c r="H45" s="174" t="s">
        <v>2857</v>
      </c>
      <c r="I45" s="174" t="s">
        <v>2858</v>
      </c>
      <c r="J45" s="175" t="s">
        <v>2859</v>
      </c>
      <c r="K45" s="176">
        <v>46177</v>
      </c>
      <c r="L45" s="67" t="s">
        <v>2927</v>
      </c>
      <c r="M45" s="175" t="s">
        <v>2334</v>
      </c>
      <c r="N45" s="67" t="s">
        <v>2334</v>
      </c>
      <c r="O45" s="67" t="s">
        <v>2327</v>
      </c>
      <c r="P45" s="67" t="s">
        <v>2890</v>
      </c>
      <c r="Q45" s="67"/>
      <c r="R45" s="67"/>
      <c r="S45" s="67" t="s">
        <v>957</v>
      </c>
      <c r="T45" s="177" t="s">
        <v>3124</v>
      </c>
      <c r="U45" s="67" t="s">
        <v>1277</v>
      </c>
      <c r="V45" s="67" t="s">
        <v>3194</v>
      </c>
      <c r="W45" s="175" t="s">
        <v>2865</v>
      </c>
      <c r="X45" s="67"/>
      <c r="Y45" s="67" t="s">
        <v>2866</v>
      </c>
      <c r="Z45" s="67"/>
      <c r="AA45" s="175"/>
      <c r="AB45" s="175"/>
      <c r="AC45" s="175"/>
      <c r="AD45" s="175"/>
      <c r="AE45" s="175"/>
      <c r="AF45" s="176"/>
      <c r="AG45" s="176"/>
      <c r="AH45" s="176"/>
      <c r="AI45" s="67"/>
      <c r="AJ45" s="67"/>
      <c r="AK45" s="67" t="s">
        <v>2867</v>
      </c>
      <c r="AL45" s="67"/>
      <c r="AM45" s="176"/>
      <c r="AN45" s="176"/>
      <c r="AO45" s="67"/>
      <c r="AP45" s="67" t="s">
        <v>2867</v>
      </c>
      <c r="AQ45" s="67" t="s">
        <v>2868</v>
      </c>
      <c r="AR45" s="175"/>
      <c r="AS45" s="175" t="s">
        <v>2869</v>
      </c>
      <c r="AT45" s="175" t="s">
        <v>2867</v>
      </c>
      <c r="AU45" s="175"/>
      <c r="AV45" s="178">
        <v>0</v>
      </c>
      <c r="AW45" s="67"/>
      <c r="AX45" s="175" t="s">
        <v>2867</v>
      </c>
      <c r="AY45" s="175" t="s">
        <v>2870</v>
      </c>
      <c r="AZ45" s="175" t="s">
        <v>2871</v>
      </c>
      <c r="BA45" s="175"/>
      <c r="BB45" s="175"/>
      <c r="BC45" s="175" t="s">
        <v>2859</v>
      </c>
      <c r="BD45" s="175" t="s">
        <v>2872</v>
      </c>
      <c r="BE45" s="175" t="s">
        <v>2873</v>
      </c>
      <c r="BF45" s="175"/>
      <c r="BG45" s="67"/>
      <c r="BH45" s="179"/>
      <c r="BI45" s="175" t="s">
        <v>2867</v>
      </c>
      <c r="BJ45" s="175"/>
      <c r="BK45" s="175" t="s">
        <v>2867</v>
      </c>
      <c r="BL45" s="175"/>
      <c r="BM45" s="175" t="s">
        <v>2874</v>
      </c>
      <c r="BN45" s="175" t="s">
        <v>2875</v>
      </c>
      <c r="BO45" s="180"/>
      <c r="BP45" s="67" t="s">
        <v>2867</v>
      </c>
      <c r="BQ45" s="175" t="s">
        <v>2876</v>
      </c>
      <c r="BR45" s="177" t="s">
        <v>2877</v>
      </c>
      <c r="BS45" s="177"/>
      <c r="BT45" s="67" t="s">
        <v>2867</v>
      </c>
      <c r="BU45" s="175"/>
      <c r="BV45" s="176"/>
      <c r="BW45" s="67" t="s">
        <v>2878</v>
      </c>
      <c r="BX45" s="175"/>
      <c r="BY45" s="175" t="s">
        <v>2003</v>
      </c>
      <c r="BZ45" s="177"/>
      <c r="CA45" s="175"/>
      <c r="CB45" s="175"/>
      <c r="CC45" s="177"/>
      <c r="CD45" s="177"/>
      <c r="CE45" s="67"/>
      <c r="CF45" s="67"/>
      <c r="CG45" s="177"/>
      <c r="CH45" s="176"/>
      <c r="CI45" s="176"/>
      <c r="CJ45" s="175"/>
      <c r="CK45" s="67" t="s">
        <v>2867</v>
      </c>
      <c r="CL45" s="175"/>
      <c r="CM45" s="175"/>
      <c r="CN45" s="175"/>
      <c r="CO45" s="175"/>
      <c r="CP45" s="67"/>
      <c r="CQ45" s="175" t="s">
        <v>2867</v>
      </c>
      <c r="CR45" s="175"/>
      <c r="CS45" s="67"/>
      <c r="CT45" s="175" t="s">
        <v>2867</v>
      </c>
      <c r="CU45" s="175"/>
      <c r="CV45" s="181" t="s">
        <v>2879</v>
      </c>
      <c r="CW45" s="67"/>
      <c r="CX45" s="182"/>
      <c r="CY45" s="175" t="s">
        <v>2880</v>
      </c>
      <c r="CZ45" s="175"/>
      <c r="DA45" s="175" t="s">
        <v>2881</v>
      </c>
      <c r="DB45" s="175" t="s">
        <v>2881</v>
      </c>
      <c r="DC45" s="175"/>
      <c r="DD45" s="175"/>
      <c r="DE45" s="176"/>
      <c r="DF45" s="175"/>
      <c r="DG45" s="182"/>
      <c r="DH45" s="183">
        <v>0</v>
      </c>
      <c r="DI45" s="67"/>
      <c r="DJ45" s="67"/>
      <c r="DK45" s="67"/>
      <c r="DL45" s="67"/>
      <c r="DM45" s="67"/>
      <c r="DN45" s="183">
        <v>0</v>
      </c>
      <c r="DO45" s="183">
        <v>0</v>
      </c>
      <c r="DP45" s="67" t="s">
        <v>2867</v>
      </c>
      <c r="DQ45" s="175"/>
      <c r="DR45" s="175"/>
      <c r="DS45" s="175" t="s">
        <v>2882</v>
      </c>
      <c r="DT45" s="175"/>
      <c r="DU45" s="175"/>
      <c r="DV45" s="175" t="s">
        <v>2883</v>
      </c>
      <c r="DW45" s="175" t="s">
        <v>2884</v>
      </c>
      <c r="DX45" s="175" t="s">
        <v>2879</v>
      </c>
    </row>
    <row r="46" spans="1:128" ht="19.5" customHeight="1">
      <c r="A46" s="173"/>
      <c r="B46" s="174" t="s">
        <v>3195</v>
      </c>
      <c r="C46" s="67"/>
      <c r="D46" s="67"/>
      <c r="E46" s="174" t="s">
        <v>3196</v>
      </c>
      <c r="F46" s="174" t="s">
        <v>3197</v>
      </c>
      <c r="G46" s="175" t="s">
        <v>3198</v>
      </c>
      <c r="H46" s="174" t="s">
        <v>2857</v>
      </c>
      <c r="I46" s="174" t="s">
        <v>2858</v>
      </c>
      <c r="J46" s="175" t="s">
        <v>2859</v>
      </c>
      <c r="K46" s="176">
        <v>46177</v>
      </c>
      <c r="L46" s="67" t="s">
        <v>3199</v>
      </c>
      <c r="M46" s="175" t="s">
        <v>2984</v>
      </c>
      <c r="N46" s="67" t="s">
        <v>2984</v>
      </c>
      <c r="O46" s="67" t="s">
        <v>2330</v>
      </c>
      <c r="P46" s="67" t="s">
        <v>2985</v>
      </c>
      <c r="Q46" s="67"/>
      <c r="R46" s="67"/>
      <c r="S46" s="67" t="s">
        <v>954</v>
      </c>
      <c r="T46" s="177" t="s">
        <v>3200</v>
      </c>
      <c r="U46" s="67" t="s">
        <v>3125</v>
      </c>
      <c r="V46" s="67" t="s">
        <v>2891</v>
      </c>
      <c r="W46" s="175" t="s">
        <v>2865</v>
      </c>
      <c r="X46" s="67"/>
      <c r="Y46" s="67" t="s">
        <v>2866</v>
      </c>
      <c r="Z46" s="67"/>
      <c r="AA46" s="175"/>
      <c r="AB46" s="175"/>
      <c r="AC46" s="175"/>
      <c r="AD46" s="175"/>
      <c r="AE46" s="175"/>
      <c r="AF46" s="176"/>
      <c r="AG46" s="176"/>
      <c r="AH46" s="176"/>
      <c r="AI46" s="67"/>
      <c r="AJ46" s="67"/>
      <c r="AK46" s="67" t="s">
        <v>2867</v>
      </c>
      <c r="AL46" s="67"/>
      <c r="AM46" s="176"/>
      <c r="AN46" s="176"/>
      <c r="AO46" s="67"/>
      <c r="AP46" s="67" t="s">
        <v>2867</v>
      </c>
      <c r="AQ46" s="67" t="s">
        <v>2868</v>
      </c>
      <c r="AR46" s="175"/>
      <c r="AS46" s="175" t="s">
        <v>2869</v>
      </c>
      <c r="AT46" s="175" t="s">
        <v>2867</v>
      </c>
      <c r="AU46" s="175"/>
      <c r="AV46" s="178">
        <v>0</v>
      </c>
      <c r="AW46" s="67"/>
      <c r="AX46" s="175" t="s">
        <v>2867</v>
      </c>
      <c r="AY46" s="175" t="s">
        <v>2870</v>
      </c>
      <c r="AZ46" s="175" t="s">
        <v>2871</v>
      </c>
      <c r="BA46" s="175"/>
      <c r="BB46" s="175"/>
      <c r="BC46" s="175" t="s">
        <v>2859</v>
      </c>
      <c r="BD46" s="175" t="s">
        <v>2872</v>
      </c>
      <c r="BE46" s="175" t="s">
        <v>2873</v>
      </c>
      <c r="BF46" s="175"/>
      <c r="BG46" s="67"/>
      <c r="BH46" s="179"/>
      <c r="BI46" s="175" t="s">
        <v>2867</v>
      </c>
      <c r="BJ46" s="175"/>
      <c r="BK46" s="175" t="s">
        <v>2867</v>
      </c>
      <c r="BL46" s="175"/>
      <c r="BM46" s="175" t="s">
        <v>2874</v>
      </c>
      <c r="BN46" s="175" t="s">
        <v>2875</v>
      </c>
      <c r="BO46" s="180"/>
      <c r="BP46" s="67" t="s">
        <v>2867</v>
      </c>
      <c r="BQ46" s="175" t="s">
        <v>2876</v>
      </c>
      <c r="BR46" s="177" t="s">
        <v>2877</v>
      </c>
      <c r="BS46" s="177"/>
      <c r="BT46" s="67" t="s">
        <v>2867</v>
      </c>
      <c r="BU46" s="175"/>
      <c r="BV46" s="176"/>
      <c r="BW46" s="67" t="s">
        <v>2878</v>
      </c>
      <c r="BX46" s="175"/>
      <c r="BY46" s="175" t="s">
        <v>2007</v>
      </c>
      <c r="BZ46" s="177"/>
      <c r="CA46" s="175"/>
      <c r="CB46" s="175"/>
      <c r="CC46" s="177"/>
      <c r="CD46" s="177"/>
      <c r="CE46" s="67"/>
      <c r="CF46" s="67"/>
      <c r="CG46" s="177"/>
      <c r="CH46" s="176"/>
      <c r="CI46" s="176"/>
      <c r="CJ46" s="175"/>
      <c r="CK46" s="67" t="s">
        <v>2867</v>
      </c>
      <c r="CL46" s="175"/>
      <c r="CM46" s="175"/>
      <c r="CN46" s="175"/>
      <c r="CO46" s="175"/>
      <c r="CP46" s="67"/>
      <c r="CQ46" s="175" t="s">
        <v>2867</v>
      </c>
      <c r="CR46" s="175"/>
      <c r="CS46" s="67"/>
      <c r="CT46" s="175" t="s">
        <v>2867</v>
      </c>
      <c r="CU46" s="175"/>
      <c r="CV46" s="181" t="s">
        <v>2879</v>
      </c>
      <c r="CW46" s="67"/>
      <c r="CX46" s="182"/>
      <c r="CY46" s="175" t="s">
        <v>2880</v>
      </c>
      <c r="CZ46" s="175"/>
      <c r="DA46" s="175" t="s">
        <v>2881</v>
      </c>
      <c r="DB46" s="175" t="s">
        <v>2881</v>
      </c>
      <c r="DC46" s="175"/>
      <c r="DD46" s="175"/>
      <c r="DE46" s="176"/>
      <c r="DF46" s="175"/>
      <c r="DG46" s="182"/>
      <c r="DH46" s="183">
        <v>0</v>
      </c>
      <c r="DI46" s="67"/>
      <c r="DJ46" s="67"/>
      <c r="DK46" s="67"/>
      <c r="DL46" s="67"/>
      <c r="DM46" s="67"/>
      <c r="DN46" s="183">
        <v>0</v>
      </c>
      <c r="DO46" s="183">
        <v>0</v>
      </c>
      <c r="DP46" s="67" t="s">
        <v>2867</v>
      </c>
      <c r="DQ46" s="175"/>
      <c r="DR46" s="175"/>
      <c r="DS46" s="175" t="s">
        <v>2882</v>
      </c>
      <c r="DT46" s="175"/>
      <c r="DU46" s="175"/>
      <c r="DV46" s="175" t="s">
        <v>2883</v>
      </c>
      <c r="DW46" s="175" t="s">
        <v>2884</v>
      </c>
      <c r="DX46" s="175" t="s">
        <v>2879</v>
      </c>
    </row>
    <row r="47" spans="1:128" ht="19.5" customHeight="1">
      <c r="A47" s="173"/>
      <c r="B47" s="174" t="s">
        <v>3201</v>
      </c>
      <c r="C47" s="67"/>
      <c r="D47" s="67"/>
      <c r="E47" s="174" t="s">
        <v>3202</v>
      </c>
      <c r="F47" s="174" t="s">
        <v>3203</v>
      </c>
      <c r="G47" s="175" t="s">
        <v>3204</v>
      </c>
      <c r="H47" s="174" t="s">
        <v>2857</v>
      </c>
      <c r="I47" s="174" t="s">
        <v>2858</v>
      </c>
      <c r="J47" s="175" t="s">
        <v>2859</v>
      </c>
      <c r="K47" s="176">
        <v>46177</v>
      </c>
      <c r="L47" s="67" t="s">
        <v>3205</v>
      </c>
      <c r="M47" s="175" t="s">
        <v>2334</v>
      </c>
      <c r="N47" s="67" t="s">
        <v>2334</v>
      </c>
      <c r="O47" s="67" t="s">
        <v>2327</v>
      </c>
      <c r="P47" s="67" t="s">
        <v>2890</v>
      </c>
      <c r="Q47" s="67"/>
      <c r="R47" s="67"/>
      <c r="S47" s="67" t="s">
        <v>110</v>
      </c>
      <c r="T47" s="177" t="s">
        <v>3200</v>
      </c>
      <c r="U47" s="67" t="s">
        <v>116</v>
      </c>
      <c r="V47" s="67" t="s">
        <v>2970</v>
      </c>
      <c r="W47" s="175" t="s">
        <v>2865</v>
      </c>
      <c r="X47" s="67"/>
      <c r="Y47" s="67" t="s">
        <v>2866</v>
      </c>
      <c r="Z47" s="67"/>
      <c r="AA47" s="175"/>
      <c r="AB47" s="175"/>
      <c r="AC47" s="175"/>
      <c r="AD47" s="175"/>
      <c r="AE47" s="175"/>
      <c r="AF47" s="176"/>
      <c r="AG47" s="176"/>
      <c r="AH47" s="176"/>
      <c r="AI47" s="67"/>
      <c r="AJ47" s="67"/>
      <c r="AK47" s="67" t="s">
        <v>2867</v>
      </c>
      <c r="AL47" s="67"/>
      <c r="AM47" s="176"/>
      <c r="AN47" s="176"/>
      <c r="AO47" s="67"/>
      <c r="AP47" s="67" t="s">
        <v>2867</v>
      </c>
      <c r="AQ47" s="67" t="s">
        <v>2868</v>
      </c>
      <c r="AR47" s="175"/>
      <c r="AS47" s="175" t="s">
        <v>2869</v>
      </c>
      <c r="AT47" s="175" t="s">
        <v>2867</v>
      </c>
      <c r="AU47" s="175"/>
      <c r="AV47" s="178">
        <v>0</v>
      </c>
      <c r="AW47" s="67"/>
      <c r="AX47" s="175" t="s">
        <v>2867</v>
      </c>
      <c r="AY47" s="175" t="s">
        <v>2870</v>
      </c>
      <c r="AZ47" s="175" t="s">
        <v>2871</v>
      </c>
      <c r="BA47" s="175"/>
      <c r="BB47" s="175"/>
      <c r="BC47" s="175" t="s">
        <v>2859</v>
      </c>
      <c r="BD47" s="175" t="s">
        <v>2872</v>
      </c>
      <c r="BE47" s="175" t="s">
        <v>2873</v>
      </c>
      <c r="BF47" s="175"/>
      <c r="BG47" s="67"/>
      <c r="BH47" s="179"/>
      <c r="BI47" s="175" t="s">
        <v>2867</v>
      </c>
      <c r="BJ47" s="175"/>
      <c r="BK47" s="175" t="s">
        <v>2867</v>
      </c>
      <c r="BL47" s="175"/>
      <c r="BM47" s="175" t="s">
        <v>3206</v>
      </c>
      <c r="BN47" s="175" t="s">
        <v>3207</v>
      </c>
      <c r="BO47" s="180" t="s">
        <v>2879</v>
      </c>
      <c r="BP47" s="67" t="s">
        <v>2867</v>
      </c>
      <c r="BQ47" s="175" t="s">
        <v>1477</v>
      </c>
      <c r="BR47" s="177" t="s">
        <v>144</v>
      </c>
      <c r="BS47" s="177"/>
      <c r="BT47" s="67" t="s">
        <v>2867</v>
      </c>
      <c r="BU47" s="175"/>
      <c r="BV47" s="176"/>
      <c r="BW47" s="67" t="s">
        <v>2878</v>
      </c>
      <c r="BX47" s="175"/>
      <c r="BY47" s="175" t="s">
        <v>2007</v>
      </c>
      <c r="BZ47" s="177"/>
      <c r="CA47" s="175"/>
      <c r="CB47" s="175"/>
      <c r="CC47" s="177"/>
      <c r="CD47" s="177"/>
      <c r="CE47" s="67"/>
      <c r="CF47" s="67"/>
      <c r="CG47" s="177"/>
      <c r="CH47" s="176"/>
      <c r="CI47" s="176"/>
      <c r="CJ47" s="175"/>
      <c r="CK47" s="67" t="s">
        <v>2867</v>
      </c>
      <c r="CL47" s="175"/>
      <c r="CM47" s="175"/>
      <c r="CN47" s="175"/>
      <c r="CO47" s="175"/>
      <c r="CP47" s="67"/>
      <c r="CQ47" s="175" t="s">
        <v>2867</v>
      </c>
      <c r="CR47" s="175"/>
      <c r="CS47" s="67"/>
      <c r="CT47" s="175" t="s">
        <v>2867</v>
      </c>
      <c r="CU47" s="175"/>
      <c r="CV47" s="181" t="s">
        <v>2879</v>
      </c>
      <c r="CW47" s="67"/>
      <c r="CX47" s="182"/>
      <c r="CY47" s="175" t="s">
        <v>2880</v>
      </c>
      <c r="CZ47" s="175"/>
      <c r="DA47" s="175" t="s">
        <v>2881</v>
      </c>
      <c r="DB47" s="175" t="s">
        <v>2881</v>
      </c>
      <c r="DC47" s="175"/>
      <c r="DD47" s="175"/>
      <c r="DE47" s="176"/>
      <c r="DF47" s="175"/>
      <c r="DG47" s="182"/>
      <c r="DH47" s="183">
        <v>935600</v>
      </c>
      <c r="DI47" s="67"/>
      <c r="DJ47" s="67"/>
      <c r="DK47" s="67"/>
      <c r="DL47" s="67"/>
      <c r="DM47" s="67"/>
      <c r="DN47" s="183">
        <v>0</v>
      </c>
      <c r="DO47" s="183">
        <v>0</v>
      </c>
      <c r="DP47" s="67" t="s">
        <v>2867</v>
      </c>
      <c r="DQ47" s="175"/>
      <c r="DR47" s="175"/>
      <c r="DS47" s="175" t="s">
        <v>2882</v>
      </c>
      <c r="DT47" s="175"/>
      <c r="DU47" s="175"/>
      <c r="DV47" s="175" t="s">
        <v>2883</v>
      </c>
      <c r="DW47" s="175" t="s">
        <v>2884</v>
      </c>
      <c r="DX47" s="175" t="s">
        <v>2879</v>
      </c>
    </row>
    <row r="48" spans="1:128" ht="19.5" customHeight="1">
      <c r="A48" s="173"/>
      <c r="B48" s="174" t="s">
        <v>3208</v>
      </c>
      <c r="C48" s="67"/>
      <c r="D48" s="67"/>
      <c r="E48" s="174" t="s">
        <v>3209</v>
      </c>
      <c r="F48" s="174" t="s">
        <v>3210</v>
      </c>
      <c r="G48" s="175" t="s">
        <v>3211</v>
      </c>
      <c r="H48" s="174" t="s">
        <v>2857</v>
      </c>
      <c r="I48" s="174" t="s">
        <v>2858</v>
      </c>
      <c r="J48" s="175" t="s">
        <v>2859</v>
      </c>
      <c r="K48" s="176">
        <v>46177</v>
      </c>
      <c r="L48" s="67" t="s">
        <v>3212</v>
      </c>
      <c r="M48" s="175" t="s">
        <v>2336</v>
      </c>
      <c r="N48" s="67" t="s">
        <v>2336</v>
      </c>
      <c r="O48" s="67" t="s">
        <v>3161</v>
      </c>
      <c r="P48" s="67" t="s">
        <v>3162</v>
      </c>
      <c r="Q48" s="67"/>
      <c r="R48" s="67"/>
      <c r="S48" s="67" t="s">
        <v>101</v>
      </c>
      <c r="T48" s="177" t="s">
        <v>3200</v>
      </c>
      <c r="U48" s="67" t="s">
        <v>1277</v>
      </c>
      <c r="V48" s="67" t="s">
        <v>2970</v>
      </c>
      <c r="W48" s="175" t="s">
        <v>2865</v>
      </c>
      <c r="X48" s="67"/>
      <c r="Y48" s="67" t="s">
        <v>2866</v>
      </c>
      <c r="Z48" s="67"/>
      <c r="AA48" s="175"/>
      <c r="AB48" s="175"/>
      <c r="AC48" s="175"/>
      <c r="AD48" s="175"/>
      <c r="AE48" s="175"/>
      <c r="AF48" s="176"/>
      <c r="AG48" s="176"/>
      <c r="AH48" s="176"/>
      <c r="AI48" s="67"/>
      <c r="AJ48" s="67"/>
      <c r="AK48" s="67" t="s">
        <v>2867</v>
      </c>
      <c r="AL48" s="67"/>
      <c r="AM48" s="176"/>
      <c r="AN48" s="176"/>
      <c r="AO48" s="67"/>
      <c r="AP48" s="67" t="s">
        <v>2867</v>
      </c>
      <c r="AQ48" s="67" t="s">
        <v>2868</v>
      </c>
      <c r="AR48" s="175"/>
      <c r="AS48" s="175" t="s">
        <v>2869</v>
      </c>
      <c r="AT48" s="175" t="s">
        <v>2867</v>
      </c>
      <c r="AU48" s="175"/>
      <c r="AV48" s="178">
        <v>0</v>
      </c>
      <c r="AW48" s="67"/>
      <c r="AX48" s="175" t="s">
        <v>2867</v>
      </c>
      <c r="AY48" s="175" t="s">
        <v>2870</v>
      </c>
      <c r="AZ48" s="175" t="s">
        <v>2871</v>
      </c>
      <c r="BA48" s="175"/>
      <c r="BB48" s="175"/>
      <c r="BC48" s="175" t="s">
        <v>2859</v>
      </c>
      <c r="BD48" s="175" t="s">
        <v>2872</v>
      </c>
      <c r="BE48" s="175" t="s">
        <v>2873</v>
      </c>
      <c r="BF48" s="175"/>
      <c r="BG48" s="67"/>
      <c r="BH48" s="179"/>
      <c r="BI48" s="175" t="s">
        <v>2867</v>
      </c>
      <c r="BJ48" s="175"/>
      <c r="BK48" s="175" t="s">
        <v>2867</v>
      </c>
      <c r="BL48" s="175"/>
      <c r="BM48" s="175" t="s">
        <v>3206</v>
      </c>
      <c r="BN48" s="175" t="s">
        <v>3207</v>
      </c>
      <c r="BO48" s="180" t="s">
        <v>2879</v>
      </c>
      <c r="BP48" s="67" t="s">
        <v>2867</v>
      </c>
      <c r="BQ48" s="175" t="s">
        <v>1477</v>
      </c>
      <c r="BR48" s="177" t="s">
        <v>144</v>
      </c>
      <c r="BS48" s="177"/>
      <c r="BT48" s="67" t="s">
        <v>2867</v>
      </c>
      <c r="BU48" s="175"/>
      <c r="BV48" s="176"/>
      <c r="BW48" s="67" t="s">
        <v>2878</v>
      </c>
      <c r="BX48" s="175"/>
      <c r="BY48" s="175" t="s">
        <v>2007</v>
      </c>
      <c r="BZ48" s="177"/>
      <c r="CA48" s="175"/>
      <c r="CB48" s="175"/>
      <c r="CC48" s="177"/>
      <c r="CD48" s="177"/>
      <c r="CE48" s="67"/>
      <c r="CF48" s="67"/>
      <c r="CG48" s="177"/>
      <c r="CH48" s="176"/>
      <c r="CI48" s="176"/>
      <c r="CJ48" s="175"/>
      <c r="CK48" s="67" t="s">
        <v>2867</v>
      </c>
      <c r="CL48" s="175"/>
      <c r="CM48" s="175"/>
      <c r="CN48" s="175"/>
      <c r="CO48" s="175"/>
      <c r="CP48" s="67"/>
      <c r="CQ48" s="175" t="s">
        <v>2867</v>
      </c>
      <c r="CR48" s="175"/>
      <c r="CS48" s="67"/>
      <c r="CT48" s="175" t="s">
        <v>2867</v>
      </c>
      <c r="CU48" s="175"/>
      <c r="CV48" s="181" t="s">
        <v>2879</v>
      </c>
      <c r="CW48" s="67"/>
      <c r="CX48" s="182"/>
      <c r="CY48" s="175" t="s">
        <v>2880</v>
      </c>
      <c r="CZ48" s="175"/>
      <c r="DA48" s="175" t="s">
        <v>2881</v>
      </c>
      <c r="DB48" s="175" t="s">
        <v>2881</v>
      </c>
      <c r="DC48" s="175"/>
      <c r="DD48" s="175"/>
      <c r="DE48" s="176"/>
      <c r="DF48" s="175"/>
      <c r="DG48" s="182"/>
      <c r="DH48" s="183">
        <v>935600</v>
      </c>
      <c r="DI48" s="67"/>
      <c r="DJ48" s="67"/>
      <c r="DK48" s="67"/>
      <c r="DL48" s="67"/>
      <c r="DM48" s="67"/>
      <c r="DN48" s="183">
        <v>0</v>
      </c>
      <c r="DO48" s="183">
        <v>0</v>
      </c>
      <c r="DP48" s="67" t="s">
        <v>2867</v>
      </c>
      <c r="DQ48" s="175"/>
      <c r="DR48" s="175"/>
      <c r="DS48" s="175" t="s">
        <v>2882</v>
      </c>
      <c r="DT48" s="175"/>
      <c r="DU48" s="175"/>
      <c r="DV48" s="175" t="s">
        <v>2883</v>
      </c>
      <c r="DW48" s="175" t="s">
        <v>2884</v>
      </c>
      <c r="DX48" s="175" t="s">
        <v>2879</v>
      </c>
    </row>
    <row r="49" spans="1:128" ht="19.5" customHeight="1">
      <c r="A49" s="173"/>
      <c r="B49" s="174" t="s">
        <v>3213</v>
      </c>
      <c r="C49" s="67"/>
      <c r="D49" s="67"/>
      <c r="E49" s="174" t="s">
        <v>3214</v>
      </c>
      <c r="F49" s="174" t="s">
        <v>3215</v>
      </c>
      <c r="G49" s="175" t="s">
        <v>3216</v>
      </c>
      <c r="H49" s="174" t="s">
        <v>2857</v>
      </c>
      <c r="I49" s="174" t="s">
        <v>2858</v>
      </c>
      <c r="J49" s="175" t="s">
        <v>2859</v>
      </c>
      <c r="K49" s="176">
        <v>46177</v>
      </c>
      <c r="L49" s="67" t="s">
        <v>3217</v>
      </c>
      <c r="M49" s="175" t="s">
        <v>2336</v>
      </c>
      <c r="N49" s="67" t="s">
        <v>2336</v>
      </c>
      <c r="O49" s="67" t="s">
        <v>3161</v>
      </c>
      <c r="P49" s="67" t="s">
        <v>3162</v>
      </c>
      <c r="Q49" s="67"/>
      <c r="R49" s="67"/>
      <c r="S49" s="67" t="s">
        <v>101</v>
      </c>
      <c r="T49" s="177" t="s">
        <v>3200</v>
      </c>
      <c r="U49" s="67" t="s">
        <v>1277</v>
      </c>
      <c r="V49" s="67" t="s">
        <v>2922</v>
      </c>
      <c r="W49" s="175" t="s">
        <v>2865</v>
      </c>
      <c r="X49" s="67"/>
      <c r="Y49" s="67" t="s">
        <v>2866</v>
      </c>
      <c r="Z49" s="67"/>
      <c r="AA49" s="175"/>
      <c r="AB49" s="175"/>
      <c r="AC49" s="175"/>
      <c r="AD49" s="175"/>
      <c r="AE49" s="175"/>
      <c r="AF49" s="176"/>
      <c r="AG49" s="176"/>
      <c r="AH49" s="176"/>
      <c r="AI49" s="67"/>
      <c r="AJ49" s="67"/>
      <c r="AK49" s="67" t="s">
        <v>2867</v>
      </c>
      <c r="AL49" s="67"/>
      <c r="AM49" s="176"/>
      <c r="AN49" s="176"/>
      <c r="AO49" s="67"/>
      <c r="AP49" s="67" t="s">
        <v>2867</v>
      </c>
      <c r="AQ49" s="67" t="s">
        <v>2868</v>
      </c>
      <c r="AR49" s="175"/>
      <c r="AS49" s="175" t="s">
        <v>2869</v>
      </c>
      <c r="AT49" s="175" t="s">
        <v>2867</v>
      </c>
      <c r="AU49" s="175"/>
      <c r="AV49" s="178">
        <v>0</v>
      </c>
      <c r="AW49" s="67"/>
      <c r="AX49" s="175" t="s">
        <v>2867</v>
      </c>
      <c r="AY49" s="175" t="s">
        <v>2870</v>
      </c>
      <c r="AZ49" s="175" t="s">
        <v>2871</v>
      </c>
      <c r="BA49" s="175"/>
      <c r="BB49" s="175"/>
      <c r="BC49" s="175" t="s">
        <v>2859</v>
      </c>
      <c r="BD49" s="175" t="s">
        <v>2872</v>
      </c>
      <c r="BE49" s="175" t="s">
        <v>2873</v>
      </c>
      <c r="BF49" s="175"/>
      <c r="BG49" s="67"/>
      <c r="BH49" s="179"/>
      <c r="BI49" s="175" t="s">
        <v>2867</v>
      </c>
      <c r="BJ49" s="175"/>
      <c r="BK49" s="175" t="s">
        <v>2867</v>
      </c>
      <c r="BL49" s="175"/>
      <c r="BM49" s="175" t="s">
        <v>3206</v>
      </c>
      <c r="BN49" s="175" t="s">
        <v>3207</v>
      </c>
      <c r="BO49" s="180" t="s">
        <v>2879</v>
      </c>
      <c r="BP49" s="67" t="s">
        <v>2867</v>
      </c>
      <c r="BQ49" s="175" t="s">
        <v>1477</v>
      </c>
      <c r="BR49" s="177" t="s">
        <v>144</v>
      </c>
      <c r="BS49" s="177"/>
      <c r="BT49" s="67" t="s">
        <v>2867</v>
      </c>
      <c r="BU49" s="175"/>
      <c r="BV49" s="176"/>
      <c r="BW49" s="67" t="s">
        <v>2878</v>
      </c>
      <c r="BX49" s="175"/>
      <c r="BY49" s="175" t="s">
        <v>2007</v>
      </c>
      <c r="BZ49" s="177"/>
      <c r="CA49" s="175"/>
      <c r="CB49" s="175"/>
      <c r="CC49" s="177"/>
      <c r="CD49" s="177"/>
      <c r="CE49" s="67"/>
      <c r="CF49" s="67"/>
      <c r="CG49" s="177"/>
      <c r="CH49" s="176"/>
      <c r="CI49" s="176"/>
      <c r="CJ49" s="175"/>
      <c r="CK49" s="67" t="s">
        <v>2867</v>
      </c>
      <c r="CL49" s="175"/>
      <c r="CM49" s="175"/>
      <c r="CN49" s="175"/>
      <c r="CO49" s="175"/>
      <c r="CP49" s="67"/>
      <c r="CQ49" s="175" t="s">
        <v>2867</v>
      </c>
      <c r="CR49" s="175"/>
      <c r="CS49" s="67"/>
      <c r="CT49" s="175" t="s">
        <v>2867</v>
      </c>
      <c r="CU49" s="175"/>
      <c r="CV49" s="181" t="s">
        <v>2879</v>
      </c>
      <c r="CW49" s="67"/>
      <c r="CX49" s="182"/>
      <c r="CY49" s="175" t="s">
        <v>2880</v>
      </c>
      <c r="CZ49" s="175"/>
      <c r="DA49" s="175" t="s">
        <v>2881</v>
      </c>
      <c r="DB49" s="175" t="s">
        <v>2881</v>
      </c>
      <c r="DC49" s="175"/>
      <c r="DD49" s="175"/>
      <c r="DE49" s="176"/>
      <c r="DF49" s="175"/>
      <c r="DG49" s="182"/>
      <c r="DH49" s="183">
        <v>935600</v>
      </c>
      <c r="DI49" s="67"/>
      <c r="DJ49" s="67"/>
      <c r="DK49" s="67"/>
      <c r="DL49" s="67"/>
      <c r="DM49" s="67"/>
      <c r="DN49" s="183">
        <v>0</v>
      </c>
      <c r="DO49" s="183">
        <v>0</v>
      </c>
      <c r="DP49" s="67" t="s">
        <v>2867</v>
      </c>
      <c r="DQ49" s="175"/>
      <c r="DR49" s="175"/>
      <c r="DS49" s="175" t="s">
        <v>2882</v>
      </c>
      <c r="DT49" s="175"/>
      <c r="DU49" s="175"/>
      <c r="DV49" s="175" t="s">
        <v>2883</v>
      </c>
      <c r="DW49" s="175" t="s">
        <v>2884</v>
      </c>
      <c r="DX49" s="175" t="s">
        <v>2879</v>
      </c>
    </row>
    <row r="50" spans="1:128" ht="19.5" customHeight="1">
      <c r="A50" s="173"/>
      <c r="B50" s="174" t="s">
        <v>3218</v>
      </c>
      <c r="C50" s="67"/>
      <c r="D50" s="67"/>
      <c r="E50" s="174" t="s">
        <v>3219</v>
      </c>
      <c r="F50" s="174" t="s">
        <v>3220</v>
      </c>
      <c r="G50" s="175" t="s">
        <v>3221</v>
      </c>
      <c r="H50" s="174" t="s">
        <v>2942</v>
      </c>
      <c r="I50" s="174" t="s">
        <v>2858</v>
      </c>
      <c r="J50" s="175" t="s">
        <v>2859</v>
      </c>
      <c r="K50" s="176">
        <v>46177</v>
      </c>
      <c r="L50" s="67" t="s">
        <v>3222</v>
      </c>
      <c r="M50" s="175" t="s">
        <v>3223</v>
      </c>
      <c r="N50" s="67" t="s">
        <v>3223</v>
      </c>
      <c r="O50" s="67" t="s">
        <v>2329</v>
      </c>
      <c r="P50" s="67" t="s">
        <v>2997</v>
      </c>
      <c r="Q50" s="67"/>
      <c r="R50" s="67"/>
      <c r="S50" s="67" t="s">
        <v>101</v>
      </c>
      <c r="T50" s="177" t="s">
        <v>3200</v>
      </c>
      <c r="U50" s="67" t="s">
        <v>1289</v>
      </c>
      <c r="V50" s="67" t="s">
        <v>2944</v>
      </c>
      <c r="W50" s="175" t="s">
        <v>2865</v>
      </c>
      <c r="X50" s="67" t="s">
        <v>3224</v>
      </c>
      <c r="Y50" s="67" t="s">
        <v>2866</v>
      </c>
      <c r="Z50" s="67" t="s">
        <v>3225</v>
      </c>
      <c r="AA50" s="175" t="s">
        <v>2947</v>
      </c>
      <c r="AB50" s="175" t="s">
        <v>3226</v>
      </c>
      <c r="AC50" s="175" t="s">
        <v>3227</v>
      </c>
      <c r="AD50" s="175" t="s">
        <v>3228</v>
      </c>
      <c r="AE50" s="175" t="s">
        <v>3229</v>
      </c>
      <c r="AF50" s="176"/>
      <c r="AG50" s="176"/>
      <c r="AH50" s="176"/>
      <c r="AI50" s="67"/>
      <c r="AJ50" s="67"/>
      <c r="AK50" s="67" t="s">
        <v>2867</v>
      </c>
      <c r="AL50" s="67"/>
      <c r="AM50" s="176"/>
      <c r="AN50" s="176"/>
      <c r="AO50" s="67"/>
      <c r="AP50" s="67" t="s">
        <v>2867</v>
      </c>
      <c r="AQ50" s="67" t="s">
        <v>2868</v>
      </c>
      <c r="AR50" s="175"/>
      <c r="AS50" s="175" t="s">
        <v>2869</v>
      </c>
      <c r="AT50" s="175" t="s">
        <v>2867</v>
      </c>
      <c r="AU50" s="175"/>
      <c r="AV50" s="178">
        <v>0</v>
      </c>
      <c r="AW50" s="67"/>
      <c r="AX50" s="175" t="s">
        <v>2867</v>
      </c>
      <c r="AY50" s="175" t="s">
        <v>2870</v>
      </c>
      <c r="AZ50" s="175" t="s">
        <v>2871</v>
      </c>
      <c r="BA50" s="175"/>
      <c r="BB50" s="175"/>
      <c r="BC50" s="175" t="s">
        <v>2859</v>
      </c>
      <c r="BD50" s="175" t="s">
        <v>2872</v>
      </c>
      <c r="BE50" s="175" t="s">
        <v>2873</v>
      </c>
      <c r="BF50" s="175" t="s">
        <v>2867</v>
      </c>
      <c r="BG50" s="67"/>
      <c r="BH50" s="179"/>
      <c r="BI50" s="175" t="s">
        <v>2867</v>
      </c>
      <c r="BJ50" s="175"/>
      <c r="BK50" s="175" t="s">
        <v>2867</v>
      </c>
      <c r="BL50" s="175"/>
      <c r="BM50" s="175" t="s">
        <v>3206</v>
      </c>
      <c r="BN50" s="175" t="s">
        <v>3207</v>
      </c>
      <c r="BO50" s="180" t="s">
        <v>2879</v>
      </c>
      <c r="BP50" s="67" t="s">
        <v>2867</v>
      </c>
      <c r="BQ50" s="175" t="s">
        <v>1477</v>
      </c>
      <c r="BR50" s="177" t="s">
        <v>144</v>
      </c>
      <c r="BS50" s="177"/>
      <c r="BT50" s="67" t="s">
        <v>2867</v>
      </c>
      <c r="BU50" s="175"/>
      <c r="BV50" s="176"/>
      <c r="BW50" s="67" t="s">
        <v>2878</v>
      </c>
      <c r="BX50" s="175" t="s">
        <v>3230</v>
      </c>
      <c r="BY50" s="175" t="s">
        <v>2007</v>
      </c>
      <c r="BZ50" s="177"/>
      <c r="CA50" s="175"/>
      <c r="CB50" s="175"/>
      <c r="CC50" s="177"/>
      <c r="CD50" s="177"/>
      <c r="CE50" s="67"/>
      <c r="CF50" s="67"/>
      <c r="CG50" s="177"/>
      <c r="CH50" s="176"/>
      <c r="CI50" s="176"/>
      <c r="CJ50" s="175"/>
      <c r="CK50" s="67" t="s">
        <v>2867</v>
      </c>
      <c r="CL50" s="175"/>
      <c r="CM50" s="175"/>
      <c r="CN50" s="175"/>
      <c r="CO50" s="175"/>
      <c r="CP50" s="67"/>
      <c r="CQ50" s="175" t="s">
        <v>2867</v>
      </c>
      <c r="CR50" s="175"/>
      <c r="CS50" s="67"/>
      <c r="CT50" s="175" t="s">
        <v>2867</v>
      </c>
      <c r="CU50" s="175"/>
      <c r="CV50" s="181" t="s">
        <v>2879</v>
      </c>
      <c r="CW50" s="67"/>
      <c r="CX50" s="182"/>
      <c r="CY50" s="175" t="s">
        <v>2880</v>
      </c>
      <c r="CZ50" s="175"/>
      <c r="DA50" s="175" t="s">
        <v>2881</v>
      </c>
      <c r="DB50" s="175" t="s">
        <v>2881</v>
      </c>
      <c r="DC50" s="175" t="s">
        <v>3231</v>
      </c>
      <c r="DD50" s="175"/>
      <c r="DE50" s="176"/>
      <c r="DF50" s="175"/>
      <c r="DG50" s="182"/>
      <c r="DH50" s="183">
        <v>935600</v>
      </c>
      <c r="DI50" s="67"/>
      <c r="DJ50" s="67"/>
      <c r="DK50" s="67"/>
      <c r="DL50" s="67"/>
      <c r="DM50" s="67"/>
      <c r="DN50" s="183">
        <v>0</v>
      </c>
      <c r="DO50" s="183">
        <v>0</v>
      </c>
      <c r="DP50" s="67" t="s">
        <v>2867</v>
      </c>
      <c r="DQ50" s="175"/>
      <c r="DR50" s="175"/>
      <c r="DS50" s="175" t="s">
        <v>2882</v>
      </c>
      <c r="DT50" s="175"/>
      <c r="DU50" s="175"/>
      <c r="DV50" s="175" t="s">
        <v>2883</v>
      </c>
      <c r="DW50" s="175" t="s">
        <v>2884</v>
      </c>
      <c r="DX50" s="175" t="s">
        <v>2879</v>
      </c>
    </row>
    <row r="51" spans="1:128" ht="19.5" customHeight="1">
      <c r="A51" s="173"/>
      <c r="B51" s="174" t="s">
        <v>3232</v>
      </c>
      <c r="C51" s="67"/>
      <c r="D51" s="67"/>
      <c r="E51" s="174" t="s">
        <v>3233</v>
      </c>
      <c r="F51" s="174" t="s">
        <v>3234</v>
      </c>
      <c r="G51" s="175" t="s">
        <v>3235</v>
      </c>
      <c r="H51" s="174" t="s">
        <v>2857</v>
      </c>
      <c r="I51" s="174" t="s">
        <v>2858</v>
      </c>
      <c r="J51" s="175" t="s">
        <v>2859</v>
      </c>
      <c r="K51" s="176">
        <v>46177</v>
      </c>
      <c r="L51" s="67" t="s">
        <v>2969</v>
      </c>
      <c r="M51" s="175" t="s">
        <v>2334</v>
      </c>
      <c r="N51" s="67" t="s">
        <v>2334</v>
      </c>
      <c r="O51" s="67" t="s">
        <v>2327</v>
      </c>
      <c r="P51" s="67" t="s">
        <v>2890</v>
      </c>
      <c r="Q51" s="67"/>
      <c r="R51" s="67"/>
      <c r="S51" s="67" t="s">
        <v>957</v>
      </c>
      <c r="T51" s="177" t="s">
        <v>3200</v>
      </c>
      <c r="U51" s="67" t="s">
        <v>1277</v>
      </c>
      <c r="V51" s="67" t="s">
        <v>2970</v>
      </c>
      <c r="W51" s="175" t="s">
        <v>2865</v>
      </c>
      <c r="X51" s="67"/>
      <c r="Y51" s="67" t="s">
        <v>2866</v>
      </c>
      <c r="Z51" s="67"/>
      <c r="AA51" s="175"/>
      <c r="AB51" s="175"/>
      <c r="AC51" s="175"/>
      <c r="AD51" s="175"/>
      <c r="AE51" s="175"/>
      <c r="AF51" s="176"/>
      <c r="AG51" s="176"/>
      <c r="AH51" s="176"/>
      <c r="AI51" s="67"/>
      <c r="AJ51" s="67"/>
      <c r="AK51" s="67" t="s">
        <v>2867</v>
      </c>
      <c r="AL51" s="67"/>
      <c r="AM51" s="176"/>
      <c r="AN51" s="176"/>
      <c r="AO51" s="67"/>
      <c r="AP51" s="67" t="s">
        <v>2867</v>
      </c>
      <c r="AQ51" s="67" t="s">
        <v>2868</v>
      </c>
      <c r="AR51" s="175"/>
      <c r="AS51" s="175" t="s">
        <v>2869</v>
      </c>
      <c r="AT51" s="175" t="s">
        <v>2867</v>
      </c>
      <c r="AU51" s="175"/>
      <c r="AV51" s="178">
        <v>0</v>
      </c>
      <c r="AW51" s="67"/>
      <c r="AX51" s="175" t="s">
        <v>2867</v>
      </c>
      <c r="AY51" s="175" t="s">
        <v>2870</v>
      </c>
      <c r="AZ51" s="175" t="s">
        <v>2871</v>
      </c>
      <c r="BA51" s="175"/>
      <c r="BB51" s="175"/>
      <c r="BC51" s="175" t="s">
        <v>2859</v>
      </c>
      <c r="BD51" s="175" t="s">
        <v>2872</v>
      </c>
      <c r="BE51" s="175" t="s">
        <v>2873</v>
      </c>
      <c r="BF51" s="175"/>
      <c r="BG51" s="67"/>
      <c r="BH51" s="179"/>
      <c r="BI51" s="175" t="s">
        <v>2867</v>
      </c>
      <c r="BJ51" s="175"/>
      <c r="BK51" s="175" t="s">
        <v>2867</v>
      </c>
      <c r="BL51" s="175"/>
      <c r="BM51" s="175" t="s">
        <v>3206</v>
      </c>
      <c r="BN51" s="175" t="s">
        <v>3207</v>
      </c>
      <c r="BO51" s="180" t="s">
        <v>2879</v>
      </c>
      <c r="BP51" s="67" t="s">
        <v>2867</v>
      </c>
      <c r="BQ51" s="175" t="s">
        <v>1477</v>
      </c>
      <c r="BR51" s="177" t="s">
        <v>144</v>
      </c>
      <c r="BS51" s="177"/>
      <c r="BT51" s="67" t="s">
        <v>2867</v>
      </c>
      <c r="BU51" s="175"/>
      <c r="BV51" s="176"/>
      <c r="BW51" s="67" t="s">
        <v>2878</v>
      </c>
      <c r="BX51" s="175"/>
      <c r="BY51" s="175" t="s">
        <v>2007</v>
      </c>
      <c r="BZ51" s="177"/>
      <c r="CA51" s="175"/>
      <c r="CB51" s="175"/>
      <c r="CC51" s="177"/>
      <c r="CD51" s="177"/>
      <c r="CE51" s="67"/>
      <c r="CF51" s="67"/>
      <c r="CG51" s="177"/>
      <c r="CH51" s="176"/>
      <c r="CI51" s="176"/>
      <c r="CJ51" s="175"/>
      <c r="CK51" s="67" t="s">
        <v>2867</v>
      </c>
      <c r="CL51" s="175"/>
      <c r="CM51" s="175"/>
      <c r="CN51" s="175"/>
      <c r="CO51" s="175"/>
      <c r="CP51" s="67"/>
      <c r="CQ51" s="175" t="s">
        <v>2867</v>
      </c>
      <c r="CR51" s="175"/>
      <c r="CS51" s="67"/>
      <c r="CT51" s="175" t="s">
        <v>2867</v>
      </c>
      <c r="CU51" s="175"/>
      <c r="CV51" s="181" t="s">
        <v>2879</v>
      </c>
      <c r="CW51" s="67"/>
      <c r="CX51" s="182"/>
      <c r="CY51" s="175" t="s">
        <v>2880</v>
      </c>
      <c r="CZ51" s="175"/>
      <c r="DA51" s="175" t="s">
        <v>2881</v>
      </c>
      <c r="DB51" s="175" t="s">
        <v>2881</v>
      </c>
      <c r="DC51" s="175"/>
      <c r="DD51" s="175"/>
      <c r="DE51" s="176"/>
      <c r="DF51" s="175"/>
      <c r="DG51" s="182"/>
      <c r="DH51" s="183">
        <v>935600</v>
      </c>
      <c r="DI51" s="67"/>
      <c r="DJ51" s="67"/>
      <c r="DK51" s="67"/>
      <c r="DL51" s="67"/>
      <c r="DM51" s="67"/>
      <c r="DN51" s="183">
        <v>0</v>
      </c>
      <c r="DO51" s="183">
        <v>0</v>
      </c>
      <c r="DP51" s="67" t="s">
        <v>2867</v>
      </c>
      <c r="DQ51" s="175"/>
      <c r="DR51" s="175"/>
      <c r="DS51" s="175" t="s">
        <v>2882</v>
      </c>
      <c r="DT51" s="175"/>
      <c r="DU51" s="175"/>
      <c r="DV51" s="175" t="s">
        <v>2883</v>
      </c>
      <c r="DW51" s="175" t="s">
        <v>2884</v>
      </c>
      <c r="DX51" s="175" t="s">
        <v>2879</v>
      </c>
    </row>
    <row r="52" spans="1:128" ht="19.5" customHeight="1">
      <c r="A52" s="173"/>
      <c r="B52" s="174" t="s">
        <v>3236</v>
      </c>
      <c r="C52" s="67"/>
      <c r="D52" s="67"/>
      <c r="E52" s="174" t="s">
        <v>3237</v>
      </c>
      <c r="F52" s="174" t="s">
        <v>3238</v>
      </c>
      <c r="G52" s="175" t="s">
        <v>3239</v>
      </c>
      <c r="H52" s="174" t="s">
        <v>2942</v>
      </c>
      <c r="I52" s="174" t="s">
        <v>2858</v>
      </c>
      <c r="J52" s="175" t="s">
        <v>2859</v>
      </c>
      <c r="K52" s="176">
        <v>46176</v>
      </c>
      <c r="L52" s="67" t="s">
        <v>2921</v>
      </c>
      <c r="M52" s="175" t="s">
        <v>2336</v>
      </c>
      <c r="N52" s="67" t="s">
        <v>2336</v>
      </c>
      <c r="O52" s="67" t="s">
        <v>3161</v>
      </c>
      <c r="P52" s="67" t="s">
        <v>3162</v>
      </c>
      <c r="Q52" s="67"/>
      <c r="R52" s="67"/>
      <c r="S52" s="67" t="s">
        <v>101</v>
      </c>
      <c r="T52" s="177" t="s">
        <v>2863</v>
      </c>
      <c r="U52" s="67" t="s">
        <v>1277</v>
      </c>
      <c r="V52" s="67" t="s">
        <v>2922</v>
      </c>
      <c r="W52" s="175" t="s">
        <v>2865</v>
      </c>
      <c r="X52" s="67" t="s">
        <v>3240</v>
      </c>
      <c r="Y52" s="67" t="s">
        <v>2866</v>
      </c>
      <c r="Z52" s="67" t="s">
        <v>3241</v>
      </c>
      <c r="AA52" s="175" t="s">
        <v>2947</v>
      </c>
      <c r="AB52" s="175" t="s">
        <v>3242</v>
      </c>
      <c r="AC52" s="175" t="s">
        <v>3243</v>
      </c>
      <c r="AD52" s="175" t="s">
        <v>3244</v>
      </c>
      <c r="AE52" s="175" t="s">
        <v>3245</v>
      </c>
      <c r="AF52" s="176"/>
      <c r="AG52" s="176"/>
      <c r="AH52" s="176"/>
      <c r="AI52" s="67"/>
      <c r="AJ52" s="67"/>
      <c r="AK52" s="67" t="s">
        <v>2867</v>
      </c>
      <c r="AL52" s="67"/>
      <c r="AM52" s="176"/>
      <c r="AN52" s="176"/>
      <c r="AO52" s="67"/>
      <c r="AP52" s="67" t="s">
        <v>2867</v>
      </c>
      <c r="AQ52" s="67" t="s">
        <v>2868</v>
      </c>
      <c r="AR52" s="175"/>
      <c r="AS52" s="175" t="s">
        <v>2869</v>
      </c>
      <c r="AT52" s="175" t="s">
        <v>2867</v>
      </c>
      <c r="AU52" s="175"/>
      <c r="AV52" s="178">
        <v>0</v>
      </c>
      <c r="AW52" s="67"/>
      <c r="AX52" s="175" t="s">
        <v>2867</v>
      </c>
      <c r="AY52" s="175" t="s">
        <v>2870</v>
      </c>
      <c r="AZ52" s="175" t="s">
        <v>2871</v>
      </c>
      <c r="BA52" s="175"/>
      <c r="BB52" s="175"/>
      <c r="BC52" s="175" t="s">
        <v>2859</v>
      </c>
      <c r="BD52" s="175" t="s">
        <v>2872</v>
      </c>
      <c r="BE52" s="175" t="s">
        <v>2873</v>
      </c>
      <c r="BF52" s="175" t="s">
        <v>2867</v>
      </c>
      <c r="BG52" s="67"/>
      <c r="BH52" s="179"/>
      <c r="BI52" s="175" t="s">
        <v>2867</v>
      </c>
      <c r="BJ52" s="175"/>
      <c r="BK52" s="175" t="s">
        <v>2867</v>
      </c>
      <c r="BL52" s="175"/>
      <c r="BM52" s="175" t="s">
        <v>2936</v>
      </c>
      <c r="BN52" s="175" t="s">
        <v>2937</v>
      </c>
      <c r="BO52" s="180" t="s">
        <v>2879</v>
      </c>
      <c r="BP52" s="67" t="s">
        <v>2867</v>
      </c>
      <c r="BQ52" s="175" t="s">
        <v>1477</v>
      </c>
      <c r="BR52" s="177" t="s">
        <v>144</v>
      </c>
      <c r="BS52" s="177"/>
      <c r="BT52" s="67" t="s">
        <v>2867</v>
      </c>
      <c r="BU52" s="175"/>
      <c r="BV52" s="176"/>
      <c r="BW52" s="67" t="s">
        <v>2878</v>
      </c>
      <c r="BX52" s="175" t="s">
        <v>3246</v>
      </c>
      <c r="BY52" s="175" t="s">
        <v>1999</v>
      </c>
      <c r="BZ52" s="177"/>
      <c r="CA52" s="175"/>
      <c r="CB52" s="175"/>
      <c r="CC52" s="177"/>
      <c r="CD52" s="177"/>
      <c r="CE52" s="67"/>
      <c r="CF52" s="67"/>
      <c r="CG52" s="177"/>
      <c r="CH52" s="176"/>
      <c r="CI52" s="176"/>
      <c r="CJ52" s="175"/>
      <c r="CK52" s="67" t="s">
        <v>2867</v>
      </c>
      <c r="CL52" s="175"/>
      <c r="CM52" s="175"/>
      <c r="CN52" s="175"/>
      <c r="CO52" s="175"/>
      <c r="CP52" s="67" t="s">
        <v>1815</v>
      </c>
      <c r="CQ52" s="175" t="s">
        <v>3027</v>
      </c>
      <c r="CR52" s="175"/>
      <c r="CS52" s="67"/>
      <c r="CT52" s="175" t="s">
        <v>2867</v>
      </c>
      <c r="CU52" s="175"/>
      <c r="CV52" s="181" t="s">
        <v>2879</v>
      </c>
      <c r="CW52" s="67"/>
      <c r="CX52" s="182"/>
      <c r="CY52" s="175" t="s">
        <v>2880</v>
      </c>
      <c r="CZ52" s="175"/>
      <c r="DA52" s="175" t="s">
        <v>3247</v>
      </c>
      <c r="DB52" s="175" t="s">
        <v>3247</v>
      </c>
      <c r="DC52" s="175" t="s">
        <v>3248</v>
      </c>
      <c r="DD52" s="175"/>
      <c r="DE52" s="176"/>
      <c r="DF52" s="175"/>
      <c r="DG52" s="182"/>
      <c r="DH52" s="183">
        <v>1023500</v>
      </c>
      <c r="DI52" s="67"/>
      <c r="DJ52" s="67"/>
      <c r="DK52" s="67"/>
      <c r="DL52" s="67"/>
      <c r="DM52" s="67"/>
      <c r="DN52" s="183">
        <v>0</v>
      </c>
      <c r="DO52" s="183">
        <v>0</v>
      </c>
      <c r="DP52" s="67" t="s">
        <v>2867</v>
      </c>
      <c r="DQ52" s="175"/>
      <c r="DR52" s="175"/>
      <c r="DS52" s="175" t="s">
        <v>2882</v>
      </c>
      <c r="DT52" s="175"/>
      <c r="DU52" s="175"/>
      <c r="DV52" s="175" t="s">
        <v>2883</v>
      </c>
      <c r="DW52" s="175" t="s">
        <v>2884</v>
      </c>
      <c r="DX52" s="175" t="s">
        <v>2879</v>
      </c>
    </row>
    <row r="53" spans="1:128" ht="19.5" customHeight="1">
      <c r="A53" s="173"/>
      <c r="B53" s="174" t="s">
        <v>3249</v>
      </c>
      <c r="C53" s="67"/>
      <c r="D53" s="67"/>
      <c r="E53" s="174" t="s">
        <v>3250</v>
      </c>
      <c r="F53" s="174" t="s">
        <v>3251</v>
      </c>
      <c r="G53" s="175" t="s">
        <v>3252</v>
      </c>
      <c r="H53" s="174" t="s">
        <v>2942</v>
      </c>
      <c r="I53" s="174" t="s">
        <v>2858</v>
      </c>
      <c r="J53" s="175" t="s">
        <v>2859</v>
      </c>
      <c r="K53" s="176">
        <v>46176</v>
      </c>
      <c r="L53" s="67" t="s">
        <v>2969</v>
      </c>
      <c r="M53" s="175" t="s">
        <v>2336</v>
      </c>
      <c r="N53" s="67" t="s">
        <v>2336</v>
      </c>
      <c r="O53" s="67" t="s">
        <v>3161</v>
      </c>
      <c r="P53" s="67" t="s">
        <v>3162</v>
      </c>
      <c r="Q53" s="67"/>
      <c r="R53" s="67"/>
      <c r="S53" s="67" t="s">
        <v>101</v>
      </c>
      <c r="T53" s="177" t="s">
        <v>2863</v>
      </c>
      <c r="U53" s="67" t="s">
        <v>1277</v>
      </c>
      <c r="V53" s="67" t="s">
        <v>2922</v>
      </c>
      <c r="W53" s="175" t="s">
        <v>2865</v>
      </c>
      <c r="X53" s="67" t="s">
        <v>3253</v>
      </c>
      <c r="Y53" s="67" t="s">
        <v>2866</v>
      </c>
      <c r="Z53" s="67" t="s">
        <v>3254</v>
      </c>
      <c r="AA53" s="175" t="s">
        <v>2947</v>
      </c>
      <c r="AB53" s="175" t="s">
        <v>3255</v>
      </c>
      <c r="AC53" s="175" t="s">
        <v>3256</v>
      </c>
      <c r="AD53" s="175" t="s">
        <v>3257</v>
      </c>
      <c r="AE53" s="175" t="s">
        <v>3258</v>
      </c>
      <c r="AF53" s="176"/>
      <c r="AG53" s="176"/>
      <c r="AH53" s="176"/>
      <c r="AI53" s="67"/>
      <c r="AJ53" s="67"/>
      <c r="AK53" s="67" t="s">
        <v>2867</v>
      </c>
      <c r="AL53" s="67"/>
      <c r="AM53" s="176"/>
      <c r="AN53" s="176"/>
      <c r="AO53" s="67"/>
      <c r="AP53" s="67" t="s">
        <v>2867</v>
      </c>
      <c r="AQ53" s="67" t="s">
        <v>2868</v>
      </c>
      <c r="AR53" s="175"/>
      <c r="AS53" s="175" t="s">
        <v>2869</v>
      </c>
      <c r="AT53" s="175" t="s">
        <v>2867</v>
      </c>
      <c r="AU53" s="175"/>
      <c r="AV53" s="178">
        <v>0</v>
      </c>
      <c r="AW53" s="67"/>
      <c r="AX53" s="175" t="s">
        <v>2867</v>
      </c>
      <c r="AY53" s="175" t="s">
        <v>2870</v>
      </c>
      <c r="AZ53" s="175" t="s">
        <v>2871</v>
      </c>
      <c r="BA53" s="175"/>
      <c r="BB53" s="175"/>
      <c r="BC53" s="175" t="s">
        <v>2859</v>
      </c>
      <c r="BD53" s="175" t="s">
        <v>2872</v>
      </c>
      <c r="BE53" s="175" t="s">
        <v>2873</v>
      </c>
      <c r="BF53" s="175" t="s">
        <v>2867</v>
      </c>
      <c r="BG53" s="67"/>
      <c r="BH53" s="179"/>
      <c r="BI53" s="175" t="s">
        <v>2867</v>
      </c>
      <c r="BJ53" s="175"/>
      <c r="BK53" s="175" t="s">
        <v>2867</v>
      </c>
      <c r="BL53" s="175"/>
      <c r="BM53" s="175" t="s">
        <v>2936</v>
      </c>
      <c r="BN53" s="175" t="s">
        <v>2937</v>
      </c>
      <c r="BO53" s="180" t="s">
        <v>2879</v>
      </c>
      <c r="BP53" s="67" t="s">
        <v>2867</v>
      </c>
      <c r="BQ53" s="175" t="s">
        <v>1477</v>
      </c>
      <c r="BR53" s="177" t="s">
        <v>144</v>
      </c>
      <c r="BS53" s="177"/>
      <c r="BT53" s="67" t="s">
        <v>2867</v>
      </c>
      <c r="BU53" s="175"/>
      <c r="BV53" s="176"/>
      <c r="BW53" s="67" t="s">
        <v>2878</v>
      </c>
      <c r="BX53" s="175" t="s">
        <v>3259</v>
      </c>
      <c r="BY53" s="175" t="s">
        <v>1999</v>
      </c>
      <c r="BZ53" s="177"/>
      <c r="CA53" s="175"/>
      <c r="CB53" s="175"/>
      <c r="CC53" s="177"/>
      <c r="CD53" s="177"/>
      <c r="CE53" s="67"/>
      <c r="CF53" s="67"/>
      <c r="CG53" s="177"/>
      <c r="CH53" s="176"/>
      <c r="CI53" s="176"/>
      <c r="CJ53" s="175"/>
      <c r="CK53" s="67" t="s">
        <v>2867</v>
      </c>
      <c r="CL53" s="175"/>
      <c r="CM53" s="175"/>
      <c r="CN53" s="175"/>
      <c r="CO53" s="175"/>
      <c r="CP53" s="67" t="s">
        <v>1815</v>
      </c>
      <c r="CQ53" s="175" t="s">
        <v>3027</v>
      </c>
      <c r="CR53" s="175"/>
      <c r="CS53" s="67"/>
      <c r="CT53" s="175" t="s">
        <v>2867</v>
      </c>
      <c r="CU53" s="175"/>
      <c r="CV53" s="181" t="s">
        <v>2879</v>
      </c>
      <c r="CW53" s="67"/>
      <c r="CX53" s="182"/>
      <c r="CY53" s="175" t="s">
        <v>2880</v>
      </c>
      <c r="CZ53" s="175"/>
      <c r="DA53" s="175" t="s">
        <v>3247</v>
      </c>
      <c r="DB53" s="175" t="s">
        <v>3247</v>
      </c>
      <c r="DC53" s="175" t="s">
        <v>3248</v>
      </c>
      <c r="DD53" s="175"/>
      <c r="DE53" s="176"/>
      <c r="DF53" s="175"/>
      <c r="DG53" s="182"/>
      <c r="DH53" s="183">
        <v>1023500</v>
      </c>
      <c r="DI53" s="67"/>
      <c r="DJ53" s="67"/>
      <c r="DK53" s="67"/>
      <c r="DL53" s="67"/>
      <c r="DM53" s="67"/>
      <c r="DN53" s="183">
        <v>0</v>
      </c>
      <c r="DO53" s="183">
        <v>0</v>
      </c>
      <c r="DP53" s="67" t="s">
        <v>2867</v>
      </c>
      <c r="DQ53" s="175"/>
      <c r="DR53" s="175"/>
      <c r="DS53" s="175" t="s">
        <v>2882</v>
      </c>
      <c r="DT53" s="175"/>
      <c r="DU53" s="175"/>
      <c r="DV53" s="175" t="s">
        <v>2883</v>
      </c>
      <c r="DW53" s="175" t="s">
        <v>2884</v>
      </c>
      <c r="DX53" s="175" t="s">
        <v>2879</v>
      </c>
    </row>
    <row r="54" spans="1:128" ht="19.5" customHeight="1">
      <c r="A54" s="173"/>
      <c r="B54" s="174" t="s">
        <v>3260</v>
      </c>
      <c r="C54" s="67"/>
      <c r="D54" s="67"/>
      <c r="E54" s="174" t="s">
        <v>3261</v>
      </c>
      <c r="F54" s="174" t="s">
        <v>3262</v>
      </c>
      <c r="G54" s="175" t="s">
        <v>3263</v>
      </c>
      <c r="H54" s="174" t="s">
        <v>2942</v>
      </c>
      <c r="I54" s="174" t="s">
        <v>2858</v>
      </c>
      <c r="J54" s="175" t="s">
        <v>2859</v>
      </c>
      <c r="K54" s="176">
        <v>46176</v>
      </c>
      <c r="L54" s="67" t="s">
        <v>2932</v>
      </c>
      <c r="M54" s="175" t="s">
        <v>2336</v>
      </c>
      <c r="N54" s="67" t="s">
        <v>2336</v>
      </c>
      <c r="O54" s="67" t="s">
        <v>3161</v>
      </c>
      <c r="P54" s="67" t="s">
        <v>3162</v>
      </c>
      <c r="Q54" s="67"/>
      <c r="R54" s="67"/>
      <c r="S54" s="67" t="s">
        <v>101</v>
      </c>
      <c r="T54" s="177" t="s">
        <v>2863</v>
      </c>
      <c r="U54" s="67" t="s">
        <v>1277</v>
      </c>
      <c r="V54" s="67" t="s">
        <v>2922</v>
      </c>
      <c r="W54" s="175" t="s">
        <v>2865</v>
      </c>
      <c r="X54" s="67" t="s">
        <v>3264</v>
      </c>
      <c r="Y54" s="67" t="s">
        <v>2866</v>
      </c>
      <c r="Z54" s="67" t="s">
        <v>3265</v>
      </c>
      <c r="AA54" s="175" t="s">
        <v>2947</v>
      </c>
      <c r="AB54" s="175" t="s">
        <v>3255</v>
      </c>
      <c r="AC54" s="175" t="s">
        <v>3256</v>
      </c>
      <c r="AD54" s="175" t="s">
        <v>3257</v>
      </c>
      <c r="AE54" s="175" t="s">
        <v>3258</v>
      </c>
      <c r="AF54" s="176"/>
      <c r="AG54" s="176"/>
      <c r="AH54" s="176"/>
      <c r="AI54" s="67"/>
      <c r="AJ54" s="67"/>
      <c r="AK54" s="67" t="s">
        <v>2867</v>
      </c>
      <c r="AL54" s="67"/>
      <c r="AM54" s="176"/>
      <c r="AN54" s="176"/>
      <c r="AO54" s="67"/>
      <c r="AP54" s="67" t="s">
        <v>2867</v>
      </c>
      <c r="AQ54" s="67" t="s">
        <v>2868</v>
      </c>
      <c r="AR54" s="175"/>
      <c r="AS54" s="175" t="s">
        <v>2869</v>
      </c>
      <c r="AT54" s="175" t="s">
        <v>2867</v>
      </c>
      <c r="AU54" s="175"/>
      <c r="AV54" s="178">
        <v>0</v>
      </c>
      <c r="AW54" s="67"/>
      <c r="AX54" s="175" t="s">
        <v>2867</v>
      </c>
      <c r="AY54" s="175" t="s">
        <v>2870</v>
      </c>
      <c r="AZ54" s="175" t="s">
        <v>2871</v>
      </c>
      <c r="BA54" s="175"/>
      <c r="BB54" s="175"/>
      <c r="BC54" s="175" t="s">
        <v>2859</v>
      </c>
      <c r="BD54" s="175" t="s">
        <v>2872</v>
      </c>
      <c r="BE54" s="175" t="s">
        <v>2873</v>
      </c>
      <c r="BF54" s="175" t="s">
        <v>2867</v>
      </c>
      <c r="BG54" s="67"/>
      <c r="BH54" s="179"/>
      <c r="BI54" s="175" t="s">
        <v>2867</v>
      </c>
      <c r="BJ54" s="175"/>
      <c r="BK54" s="175" t="s">
        <v>2867</v>
      </c>
      <c r="BL54" s="175"/>
      <c r="BM54" s="175" t="s">
        <v>2936</v>
      </c>
      <c r="BN54" s="175" t="s">
        <v>2937</v>
      </c>
      <c r="BO54" s="180" t="s">
        <v>2879</v>
      </c>
      <c r="BP54" s="67" t="s">
        <v>2867</v>
      </c>
      <c r="BQ54" s="175" t="s">
        <v>1477</v>
      </c>
      <c r="BR54" s="177" t="s">
        <v>144</v>
      </c>
      <c r="BS54" s="177"/>
      <c r="BT54" s="67" t="s">
        <v>2867</v>
      </c>
      <c r="BU54" s="175"/>
      <c r="BV54" s="176"/>
      <c r="BW54" s="67" t="s">
        <v>2878</v>
      </c>
      <c r="BX54" s="175" t="s">
        <v>3266</v>
      </c>
      <c r="BY54" s="175" t="s">
        <v>1999</v>
      </c>
      <c r="BZ54" s="177"/>
      <c r="CA54" s="175"/>
      <c r="CB54" s="175"/>
      <c r="CC54" s="177"/>
      <c r="CD54" s="177"/>
      <c r="CE54" s="67"/>
      <c r="CF54" s="67"/>
      <c r="CG54" s="177"/>
      <c r="CH54" s="176"/>
      <c r="CI54" s="176"/>
      <c r="CJ54" s="175"/>
      <c r="CK54" s="67" t="s">
        <v>2867</v>
      </c>
      <c r="CL54" s="175"/>
      <c r="CM54" s="175"/>
      <c r="CN54" s="175"/>
      <c r="CO54" s="175"/>
      <c r="CP54" s="67" t="s">
        <v>1815</v>
      </c>
      <c r="CQ54" s="175" t="s">
        <v>3027</v>
      </c>
      <c r="CR54" s="175"/>
      <c r="CS54" s="67"/>
      <c r="CT54" s="175" t="s">
        <v>2867</v>
      </c>
      <c r="CU54" s="175"/>
      <c r="CV54" s="181" t="s">
        <v>2879</v>
      </c>
      <c r="CW54" s="67"/>
      <c r="CX54" s="182"/>
      <c r="CY54" s="175" t="s">
        <v>2880</v>
      </c>
      <c r="CZ54" s="175"/>
      <c r="DA54" s="175" t="s">
        <v>3247</v>
      </c>
      <c r="DB54" s="175" t="s">
        <v>3247</v>
      </c>
      <c r="DC54" s="175" t="s">
        <v>3267</v>
      </c>
      <c r="DD54" s="175"/>
      <c r="DE54" s="176"/>
      <c r="DF54" s="175"/>
      <c r="DG54" s="182"/>
      <c r="DH54" s="183">
        <v>1023500</v>
      </c>
      <c r="DI54" s="67"/>
      <c r="DJ54" s="67"/>
      <c r="DK54" s="67"/>
      <c r="DL54" s="67"/>
      <c r="DM54" s="67"/>
      <c r="DN54" s="183">
        <v>0</v>
      </c>
      <c r="DO54" s="183">
        <v>0</v>
      </c>
      <c r="DP54" s="67" t="s">
        <v>2867</v>
      </c>
      <c r="DQ54" s="175"/>
      <c r="DR54" s="175"/>
      <c r="DS54" s="175" t="s">
        <v>2882</v>
      </c>
      <c r="DT54" s="175"/>
      <c r="DU54" s="175"/>
      <c r="DV54" s="175" t="s">
        <v>2883</v>
      </c>
      <c r="DW54" s="175" t="s">
        <v>2884</v>
      </c>
      <c r="DX54" s="175" t="s">
        <v>2879</v>
      </c>
    </row>
    <row r="55" spans="1:128" ht="19.5" customHeight="1">
      <c r="A55" s="173" t="s">
        <v>3268</v>
      </c>
      <c r="B55" s="174" t="s">
        <v>3269</v>
      </c>
      <c r="C55" s="67"/>
      <c r="D55" s="67"/>
      <c r="E55" s="174" t="s">
        <v>3270</v>
      </c>
      <c r="F55" s="174" t="s">
        <v>3271</v>
      </c>
      <c r="G55" s="175" t="s">
        <v>3272</v>
      </c>
      <c r="H55" s="174" t="s">
        <v>2942</v>
      </c>
      <c r="I55" s="174" t="s">
        <v>2858</v>
      </c>
      <c r="J55" s="175" t="s">
        <v>2859</v>
      </c>
      <c r="K55" s="176">
        <v>46176</v>
      </c>
      <c r="L55" s="67" t="s">
        <v>2889</v>
      </c>
      <c r="M55" s="175" t="s">
        <v>2334</v>
      </c>
      <c r="N55" s="67" t="s">
        <v>2334</v>
      </c>
      <c r="O55" s="67" t="s">
        <v>2327</v>
      </c>
      <c r="P55" s="67" t="s">
        <v>2890</v>
      </c>
      <c r="Q55" s="67"/>
      <c r="R55" s="67"/>
      <c r="S55" s="67" t="s">
        <v>110</v>
      </c>
      <c r="T55" s="177" t="s">
        <v>2863</v>
      </c>
      <c r="U55" s="67" t="s">
        <v>116</v>
      </c>
      <c r="V55" s="67" t="s">
        <v>2944</v>
      </c>
      <c r="W55" s="175" t="s">
        <v>2865</v>
      </c>
      <c r="X55" s="67" t="s">
        <v>3273</v>
      </c>
      <c r="Y55" s="67" t="s">
        <v>2866</v>
      </c>
      <c r="Z55" s="67" t="s">
        <v>3274</v>
      </c>
      <c r="AA55" s="175" t="s">
        <v>2947</v>
      </c>
      <c r="AB55" s="175" t="s">
        <v>3097</v>
      </c>
      <c r="AC55" s="175" t="s">
        <v>3098</v>
      </c>
      <c r="AD55" s="175" t="s">
        <v>3099</v>
      </c>
      <c r="AE55" s="175" t="s">
        <v>3100</v>
      </c>
      <c r="AF55" s="176"/>
      <c r="AG55" s="176"/>
      <c r="AH55" s="176"/>
      <c r="AI55" s="67"/>
      <c r="AJ55" s="67"/>
      <c r="AK55" s="67" t="s">
        <v>2867</v>
      </c>
      <c r="AL55" s="67"/>
      <c r="AM55" s="176"/>
      <c r="AN55" s="176"/>
      <c r="AO55" s="67"/>
      <c r="AP55" s="67" t="s">
        <v>2867</v>
      </c>
      <c r="AQ55" s="67" t="s">
        <v>2868</v>
      </c>
      <c r="AR55" s="175"/>
      <c r="AS55" s="175" t="s">
        <v>2869</v>
      </c>
      <c r="AT55" s="175" t="s">
        <v>2867</v>
      </c>
      <c r="AU55" s="175"/>
      <c r="AV55" s="178">
        <v>0</v>
      </c>
      <c r="AW55" s="67"/>
      <c r="AX55" s="175" t="s">
        <v>2867</v>
      </c>
      <c r="AY55" s="175" t="s">
        <v>2870</v>
      </c>
      <c r="AZ55" s="175" t="s">
        <v>2871</v>
      </c>
      <c r="BA55" s="175"/>
      <c r="BB55" s="175"/>
      <c r="BC55" s="175" t="s">
        <v>2859</v>
      </c>
      <c r="BD55" s="175" t="s">
        <v>2872</v>
      </c>
      <c r="BE55" s="175" t="s">
        <v>2873</v>
      </c>
      <c r="BF55" s="175" t="s">
        <v>2867</v>
      </c>
      <c r="BG55" s="67"/>
      <c r="BH55" s="179"/>
      <c r="BI55" s="175" t="s">
        <v>2867</v>
      </c>
      <c r="BJ55" s="175"/>
      <c r="BK55" s="175" t="s">
        <v>2867</v>
      </c>
      <c r="BL55" s="175"/>
      <c r="BM55" s="175" t="s">
        <v>2936</v>
      </c>
      <c r="BN55" s="175" t="s">
        <v>2937</v>
      </c>
      <c r="BO55" s="180" t="s">
        <v>2879</v>
      </c>
      <c r="BP55" s="67" t="s">
        <v>2867</v>
      </c>
      <c r="BQ55" s="175" t="s">
        <v>1477</v>
      </c>
      <c r="BR55" s="177" t="s">
        <v>144</v>
      </c>
      <c r="BS55" s="177"/>
      <c r="BT55" s="67" t="s">
        <v>2867</v>
      </c>
      <c r="BU55" s="175"/>
      <c r="BV55" s="176"/>
      <c r="BW55" s="67" t="s">
        <v>2878</v>
      </c>
      <c r="BX55" s="175" t="s">
        <v>3275</v>
      </c>
      <c r="BY55" s="175" t="s">
        <v>1999</v>
      </c>
      <c r="BZ55" s="177"/>
      <c r="CA55" s="175"/>
      <c r="CB55" s="175"/>
      <c r="CC55" s="177"/>
      <c r="CD55" s="177"/>
      <c r="CE55" s="67"/>
      <c r="CF55" s="67"/>
      <c r="CG55" s="177"/>
      <c r="CH55" s="176"/>
      <c r="CI55" s="176"/>
      <c r="CJ55" s="175"/>
      <c r="CK55" s="67" t="s">
        <v>3027</v>
      </c>
      <c r="CL55" s="175" t="s">
        <v>929</v>
      </c>
      <c r="CM55" s="175" t="s">
        <v>3276</v>
      </c>
      <c r="CN55" s="175"/>
      <c r="CO55" s="175"/>
      <c r="CP55" s="67" t="s">
        <v>1813</v>
      </c>
      <c r="CQ55" s="175" t="s">
        <v>3027</v>
      </c>
      <c r="CR55" s="175"/>
      <c r="CS55" s="67"/>
      <c r="CT55" s="175" t="s">
        <v>2867</v>
      </c>
      <c r="CU55" s="175"/>
      <c r="CV55" s="181" t="s">
        <v>2879</v>
      </c>
      <c r="CW55" s="67"/>
      <c r="CX55" s="182"/>
      <c r="CY55" s="175" t="s">
        <v>2880</v>
      </c>
      <c r="CZ55" s="175"/>
      <c r="DA55" s="175" t="s">
        <v>3247</v>
      </c>
      <c r="DB55" s="175" t="s">
        <v>3247</v>
      </c>
      <c r="DC55" s="175" t="s">
        <v>3277</v>
      </c>
      <c r="DD55" s="175"/>
      <c r="DE55" s="176"/>
      <c r="DF55" s="175"/>
      <c r="DG55" s="182"/>
      <c r="DH55" s="183">
        <v>1023500</v>
      </c>
      <c r="DI55" s="67"/>
      <c r="DJ55" s="67"/>
      <c r="DK55" s="67"/>
      <c r="DL55" s="67"/>
      <c r="DM55" s="67"/>
      <c r="DN55" s="183">
        <v>0</v>
      </c>
      <c r="DO55" s="183">
        <v>0</v>
      </c>
      <c r="DP55" s="67" t="s">
        <v>2867</v>
      </c>
      <c r="DQ55" s="175"/>
      <c r="DR55" s="175"/>
      <c r="DS55" s="175" t="s">
        <v>2882</v>
      </c>
      <c r="DT55" s="175"/>
      <c r="DU55" s="175"/>
      <c r="DV55" s="175" t="s">
        <v>2883</v>
      </c>
      <c r="DW55" s="175" t="s">
        <v>2884</v>
      </c>
      <c r="DX55" s="175" t="s">
        <v>2879</v>
      </c>
    </row>
    <row r="56" spans="1:128" ht="19.5" customHeight="1">
      <c r="A56" s="173" t="s">
        <v>3268</v>
      </c>
      <c r="B56" s="174" t="s">
        <v>3278</v>
      </c>
      <c r="C56" s="67"/>
      <c r="D56" s="67"/>
      <c r="E56" s="174" t="s">
        <v>3279</v>
      </c>
      <c r="F56" s="174" t="s">
        <v>3280</v>
      </c>
      <c r="G56" s="175" t="s">
        <v>3281</v>
      </c>
      <c r="H56" s="174" t="s">
        <v>2942</v>
      </c>
      <c r="I56" s="174" t="s">
        <v>2858</v>
      </c>
      <c r="J56" s="175" t="s">
        <v>2859</v>
      </c>
      <c r="K56" s="176">
        <v>46176</v>
      </c>
      <c r="L56" s="67" t="s">
        <v>2916</v>
      </c>
      <c r="M56" s="175" t="s">
        <v>2334</v>
      </c>
      <c r="N56" s="67" t="s">
        <v>2334</v>
      </c>
      <c r="O56" s="67" t="s">
        <v>2327</v>
      </c>
      <c r="P56" s="67" t="s">
        <v>2890</v>
      </c>
      <c r="Q56" s="67"/>
      <c r="R56" s="67"/>
      <c r="S56" s="67" t="s">
        <v>110</v>
      </c>
      <c r="T56" s="177" t="s">
        <v>2863</v>
      </c>
      <c r="U56" s="67" t="s">
        <v>116</v>
      </c>
      <c r="V56" s="67" t="s">
        <v>2944</v>
      </c>
      <c r="W56" s="175" t="s">
        <v>2865</v>
      </c>
      <c r="X56" s="67" t="s">
        <v>3282</v>
      </c>
      <c r="Y56" s="67" t="s">
        <v>2866</v>
      </c>
      <c r="Z56" s="67" t="s">
        <v>3283</v>
      </c>
      <c r="AA56" s="175" t="s">
        <v>2947</v>
      </c>
      <c r="AB56" s="175" t="s">
        <v>3052</v>
      </c>
      <c r="AC56" s="175" t="s">
        <v>3053</v>
      </c>
      <c r="AD56" s="175" t="s">
        <v>3054</v>
      </c>
      <c r="AE56" s="175" t="s">
        <v>3055</v>
      </c>
      <c r="AF56" s="176"/>
      <c r="AG56" s="176"/>
      <c r="AH56" s="176"/>
      <c r="AI56" s="67"/>
      <c r="AJ56" s="67"/>
      <c r="AK56" s="67" t="s">
        <v>2867</v>
      </c>
      <c r="AL56" s="67"/>
      <c r="AM56" s="176"/>
      <c r="AN56" s="176"/>
      <c r="AO56" s="67"/>
      <c r="AP56" s="67" t="s">
        <v>2867</v>
      </c>
      <c r="AQ56" s="67" t="s">
        <v>2868</v>
      </c>
      <c r="AR56" s="175"/>
      <c r="AS56" s="175" t="s">
        <v>2869</v>
      </c>
      <c r="AT56" s="175" t="s">
        <v>2867</v>
      </c>
      <c r="AU56" s="175"/>
      <c r="AV56" s="178">
        <v>0</v>
      </c>
      <c r="AW56" s="67"/>
      <c r="AX56" s="175" t="s">
        <v>2867</v>
      </c>
      <c r="AY56" s="175" t="s">
        <v>2870</v>
      </c>
      <c r="AZ56" s="175" t="s">
        <v>2871</v>
      </c>
      <c r="BA56" s="175"/>
      <c r="BB56" s="175"/>
      <c r="BC56" s="175" t="s">
        <v>2859</v>
      </c>
      <c r="BD56" s="175" t="s">
        <v>2872</v>
      </c>
      <c r="BE56" s="175" t="s">
        <v>2873</v>
      </c>
      <c r="BF56" s="175" t="s">
        <v>2867</v>
      </c>
      <c r="BG56" s="67"/>
      <c r="BH56" s="179"/>
      <c r="BI56" s="175" t="s">
        <v>2867</v>
      </c>
      <c r="BJ56" s="175"/>
      <c r="BK56" s="175" t="s">
        <v>2867</v>
      </c>
      <c r="BL56" s="175"/>
      <c r="BM56" s="175" t="s">
        <v>2936</v>
      </c>
      <c r="BN56" s="175" t="s">
        <v>2937</v>
      </c>
      <c r="BO56" s="180" t="s">
        <v>2879</v>
      </c>
      <c r="BP56" s="67" t="s">
        <v>2867</v>
      </c>
      <c r="BQ56" s="175" t="s">
        <v>1477</v>
      </c>
      <c r="BR56" s="177" t="s">
        <v>144</v>
      </c>
      <c r="BS56" s="177"/>
      <c r="BT56" s="67" t="s">
        <v>2867</v>
      </c>
      <c r="BU56" s="175"/>
      <c r="BV56" s="176"/>
      <c r="BW56" s="67" t="s">
        <v>2878</v>
      </c>
      <c r="BX56" s="175" t="s">
        <v>3284</v>
      </c>
      <c r="BY56" s="175" t="s">
        <v>1999</v>
      </c>
      <c r="BZ56" s="177"/>
      <c r="CA56" s="175"/>
      <c r="CB56" s="175"/>
      <c r="CC56" s="177"/>
      <c r="CD56" s="177"/>
      <c r="CE56" s="67"/>
      <c r="CF56" s="67"/>
      <c r="CG56" s="177"/>
      <c r="CH56" s="176"/>
      <c r="CI56" s="176"/>
      <c r="CJ56" s="175"/>
      <c r="CK56" s="67" t="s">
        <v>3027</v>
      </c>
      <c r="CL56" s="175" t="s">
        <v>929</v>
      </c>
      <c r="CM56" s="175" t="s">
        <v>3276</v>
      </c>
      <c r="CN56" s="175"/>
      <c r="CO56" s="175"/>
      <c r="CP56" s="67" t="s">
        <v>1813</v>
      </c>
      <c r="CQ56" s="175" t="s">
        <v>3027</v>
      </c>
      <c r="CR56" s="175"/>
      <c r="CS56" s="67"/>
      <c r="CT56" s="175" t="s">
        <v>2867</v>
      </c>
      <c r="CU56" s="175"/>
      <c r="CV56" s="181" t="s">
        <v>2879</v>
      </c>
      <c r="CW56" s="67"/>
      <c r="CX56" s="182"/>
      <c r="CY56" s="175" t="s">
        <v>2880</v>
      </c>
      <c r="CZ56" s="175"/>
      <c r="DA56" s="175" t="s">
        <v>3247</v>
      </c>
      <c r="DB56" s="175" t="s">
        <v>3247</v>
      </c>
      <c r="DC56" s="175" t="s">
        <v>3277</v>
      </c>
      <c r="DD56" s="175"/>
      <c r="DE56" s="176"/>
      <c r="DF56" s="175"/>
      <c r="DG56" s="182"/>
      <c r="DH56" s="183">
        <v>1023500</v>
      </c>
      <c r="DI56" s="67"/>
      <c r="DJ56" s="67"/>
      <c r="DK56" s="67"/>
      <c r="DL56" s="67"/>
      <c r="DM56" s="67"/>
      <c r="DN56" s="183">
        <v>0</v>
      </c>
      <c r="DO56" s="183">
        <v>0</v>
      </c>
      <c r="DP56" s="67" t="s">
        <v>2867</v>
      </c>
      <c r="DQ56" s="175"/>
      <c r="DR56" s="175"/>
      <c r="DS56" s="175" t="s">
        <v>2882</v>
      </c>
      <c r="DT56" s="175"/>
      <c r="DU56" s="175"/>
      <c r="DV56" s="175" t="s">
        <v>2883</v>
      </c>
      <c r="DW56" s="175" t="s">
        <v>2884</v>
      </c>
      <c r="DX56" s="175" t="s">
        <v>2879</v>
      </c>
    </row>
    <row r="57" spans="1:128" ht="19.5" customHeight="1">
      <c r="A57" s="173"/>
      <c r="B57" s="174" t="s">
        <v>3285</v>
      </c>
      <c r="C57" s="67"/>
      <c r="D57" s="67"/>
      <c r="E57" s="174" t="s">
        <v>3286</v>
      </c>
      <c r="F57" s="174" t="s">
        <v>3287</v>
      </c>
      <c r="G57" s="175" t="s">
        <v>3288</v>
      </c>
      <c r="H57" s="174" t="s">
        <v>2942</v>
      </c>
      <c r="I57" s="174" t="s">
        <v>2858</v>
      </c>
      <c r="J57" s="175" t="s">
        <v>2859</v>
      </c>
      <c r="K57" s="176">
        <v>46176</v>
      </c>
      <c r="L57" s="67" t="s">
        <v>2969</v>
      </c>
      <c r="M57" s="175" t="s">
        <v>2648</v>
      </c>
      <c r="N57" s="67" t="s">
        <v>2648</v>
      </c>
      <c r="O57" s="67" t="s">
        <v>2933</v>
      </c>
      <c r="P57" s="67" t="s">
        <v>2934</v>
      </c>
      <c r="Q57" s="67"/>
      <c r="R57" s="67"/>
      <c r="S57" s="67" t="s">
        <v>103</v>
      </c>
      <c r="T57" s="177" t="s">
        <v>2863</v>
      </c>
      <c r="U57" s="67" t="s">
        <v>2935</v>
      </c>
      <c r="V57" s="67" t="s">
        <v>2944</v>
      </c>
      <c r="W57" s="175" t="s">
        <v>2865</v>
      </c>
      <c r="X57" s="67" t="s">
        <v>3289</v>
      </c>
      <c r="Y57" s="67" t="s">
        <v>2866</v>
      </c>
      <c r="Z57" s="67" t="s">
        <v>3290</v>
      </c>
      <c r="AA57" s="175" t="s">
        <v>2947</v>
      </c>
      <c r="AB57" s="175" t="s">
        <v>3291</v>
      </c>
      <c r="AC57" s="175" t="s">
        <v>3292</v>
      </c>
      <c r="AD57" s="175" t="s">
        <v>3153</v>
      </c>
      <c r="AE57" s="175" t="s">
        <v>3293</v>
      </c>
      <c r="AF57" s="176"/>
      <c r="AG57" s="176"/>
      <c r="AH57" s="176"/>
      <c r="AI57" s="67"/>
      <c r="AJ57" s="67"/>
      <c r="AK57" s="67" t="s">
        <v>2867</v>
      </c>
      <c r="AL57" s="67"/>
      <c r="AM57" s="176"/>
      <c r="AN57" s="176"/>
      <c r="AO57" s="67"/>
      <c r="AP57" s="67" t="s">
        <v>2867</v>
      </c>
      <c r="AQ57" s="67" t="s">
        <v>2868</v>
      </c>
      <c r="AR57" s="175"/>
      <c r="AS57" s="175" t="s">
        <v>2869</v>
      </c>
      <c r="AT57" s="175" t="s">
        <v>2867</v>
      </c>
      <c r="AU57" s="175"/>
      <c r="AV57" s="178">
        <v>0</v>
      </c>
      <c r="AW57" s="67"/>
      <c r="AX57" s="175" t="s">
        <v>2867</v>
      </c>
      <c r="AY57" s="175" t="s">
        <v>2870</v>
      </c>
      <c r="AZ57" s="175" t="s">
        <v>2871</v>
      </c>
      <c r="BA57" s="175"/>
      <c r="BB57" s="175"/>
      <c r="BC57" s="175" t="s">
        <v>2859</v>
      </c>
      <c r="BD57" s="175" t="s">
        <v>2872</v>
      </c>
      <c r="BE57" s="175" t="s">
        <v>2873</v>
      </c>
      <c r="BF57" s="175" t="s">
        <v>2867</v>
      </c>
      <c r="BG57" s="67"/>
      <c r="BH57" s="179"/>
      <c r="BI57" s="175" t="s">
        <v>2867</v>
      </c>
      <c r="BJ57" s="175"/>
      <c r="BK57" s="175" t="s">
        <v>2867</v>
      </c>
      <c r="BL57" s="175"/>
      <c r="BM57" s="175" t="s">
        <v>2936</v>
      </c>
      <c r="BN57" s="175" t="s">
        <v>2937</v>
      </c>
      <c r="BO57" s="180" t="s">
        <v>2879</v>
      </c>
      <c r="BP57" s="67" t="s">
        <v>2867</v>
      </c>
      <c r="BQ57" s="175" t="s">
        <v>1477</v>
      </c>
      <c r="BR57" s="177" t="s">
        <v>144</v>
      </c>
      <c r="BS57" s="177"/>
      <c r="BT57" s="67" t="s">
        <v>2867</v>
      </c>
      <c r="BU57" s="175"/>
      <c r="BV57" s="176"/>
      <c r="BW57" s="67" t="s">
        <v>2878</v>
      </c>
      <c r="BX57" s="175" t="s">
        <v>3294</v>
      </c>
      <c r="BY57" s="175" t="s">
        <v>1999</v>
      </c>
      <c r="BZ57" s="177"/>
      <c r="CA57" s="175" t="s">
        <v>3295</v>
      </c>
      <c r="CB57" s="175"/>
      <c r="CC57" s="177"/>
      <c r="CD57" s="177"/>
      <c r="CE57" s="67"/>
      <c r="CF57" s="67"/>
      <c r="CG57" s="177"/>
      <c r="CH57" s="176"/>
      <c r="CI57" s="176"/>
      <c r="CJ57" s="175"/>
      <c r="CK57" s="67" t="s">
        <v>2867</v>
      </c>
      <c r="CL57" s="175"/>
      <c r="CM57" s="175"/>
      <c r="CN57" s="175"/>
      <c r="CO57" s="175"/>
      <c r="CP57" s="67" t="s">
        <v>1815</v>
      </c>
      <c r="CQ57" s="175" t="s">
        <v>3027</v>
      </c>
      <c r="CR57" s="175"/>
      <c r="CS57" s="67" t="s">
        <v>1815</v>
      </c>
      <c r="CT57" s="175" t="s">
        <v>3027</v>
      </c>
      <c r="CU57" s="175"/>
      <c r="CV57" s="181" t="s">
        <v>2879</v>
      </c>
      <c r="CW57" s="67"/>
      <c r="CX57" s="182"/>
      <c r="CY57" s="175" t="s">
        <v>2880</v>
      </c>
      <c r="CZ57" s="175"/>
      <c r="DA57" s="175" t="s">
        <v>3247</v>
      </c>
      <c r="DB57" s="175" t="s">
        <v>3247</v>
      </c>
      <c r="DC57" s="175" t="s">
        <v>3277</v>
      </c>
      <c r="DD57" s="175"/>
      <c r="DE57" s="176"/>
      <c r="DF57" s="175"/>
      <c r="DG57" s="182"/>
      <c r="DH57" s="183">
        <v>1023500</v>
      </c>
      <c r="DI57" s="67"/>
      <c r="DJ57" s="67"/>
      <c r="DK57" s="67"/>
      <c r="DL57" s="67"/>
      <c r="DM57" s="67"/>
      <c r="DN57" s="183">
        <v>0</v>
      </c>
      <c r="DO57" s="183">
        <v>0</v>
      </c>
      <c r="DP57" s="67" t="s">
        <v>2867</v>
      </c>
      <c r="DQ57" s="175"/>
      <c r="DR57" s="175"/>
      <c r="DS57" s="175" t="s">
        <v>2882</v>
      </c>
      <c r="DT57" s="175"/>
      <c r="DU57" s="175"/>
      <c r="DV57" s="175" t="s">
        <v>2883</v>
      </c>
      <c r="DW57" s="175" t="s">
        <v>2884</v>
      </c>
      <c r="DX57" s="175" t="s">
        <v>2879</v>
      </c>
    </row>
    <row r="58" spans="1:128" ht="19.5" customHeight="1">
      <c r="A58" s="173"/>
      <c r="B58" s="174" t="s">
        <v>3296</v>
      </c>
      <c r="C58" s="67"/>
      <c r="D58" s="67"/>
      <c r="E58" s="174" t="s">
        <v>3297</v>
      </c>
      <c r="F58" s="174" t="s">
        <v>3298</v>
      </c>
      <c r="G58" s="175" t="s">
        <v>3299</v>
      </c>
      <c r="H58" s="174" t="s">
        <v>2942</v>
      </c>
      <c r="I58" s="174" t="s">
        <v>2858</v>
      </c>
      <c r="J58" s="175" t="s">
        <v>2859</v>
      </c>
      <c r="K58" s="176">
        <v>46176</v>
      </c>
      <c r="L58" s="67" t="s">
        <v>2927</v>
      </c>
      <c r="M58" s="175" t="s">
        <v>2648</v>
      </c>
      <c r="N58" s="67" t="s">
        <v>2648</v>
      </c>
      <c r="O58" s="67" t="s">
        <v>2933</v>
      </c>
      <c r="P58" s="67" t="s">
        <v>2934</v>
      </c>
      <c r="Q58" s="67"/>
      <c r="R58" s="67"/>
      <c r="S58" s="67" t="s">
        <v>103</v>
      </c>
      <c r="T58" s="177" t="s">
        <v>2863</v>
      </c>
      <c r="U58" s="67" t="s">
        <v>2935</v>
      </c>
      <c r="V58" s="67" t="s">
        <v>2944</v>
      </c>
      <c r="W58" s="175" t="s">
        <v>2865</v>
      </c>
      <c r="X58" s="67" t="s">
        <v>3300</v>
      </c>
      <c r="Y58" s="67" t="s">
        <v>2866</v>
      </c>
      <c r="Z58" s="67" t="s">
        <v>3301</v>
      </c>
      <c r="AA58" s="175" t="s">
        <v>2947</v>
      </c>
      <c r="AB58" s="175" t="s">
        <v>3302</v>
      </c>
      <c r="AC58" s="175" t="s">
        <v>3303</v>
      </c>
      <c r="AD58" s="175" t="s">
        <v>3304</v>
      </c>
      <c r="AE58" s="175" t="s">
        <v>3305</v>
      </c>
      <c r="AF58" s="176"/>
      <c r="AG58" s="176"/>
      <c r="AH58" s="176"/>
      <c r="AI58" s="67"/>
      <c r="AJ58" s="67"/>
      <c r="AK58" s="67" t="s">
        <v>2867</v>
      </c>
      <c r="AL58" s="67"/>
      <c r="AM58" s="176"/>
      <c r="AN58" s="176"/>
      <c r="AO58" s="67"/>
      <c r="AP58" s="67" t="s">
        <v>2867</v>
      </c>
      <c r="AQ58" s="67" t="s">
        <v>2868</v>
      </c>
      <c r="AR58" s="175"/>
      <c r="AS58" s="175" t="s">
        <v>2869</v>
      </c>
      <c r="AT58" s="175" t="s">
        <v>2867</v>
      </c>
      <c r="AU58" s="175"/>
      <c r="AV58" s="178">
        <v>0</v>
      </c>
      <c r="AW58" s="67"/>
      <c r="AX58" s="175" t="s">
        <v>2867</v>
      </c>
      <c r="AY58" s="175" t="s">
        <v>2870</v>
      </c>
      <c r="AZ58" s="175" t="s">
        <v>2871</v>
      </c>
      <c r="BA58" s="175"/>
      <c r="BB58" s="175"/>
      <c r="BC58" s="175" t="s">
        <v>2859</v>
      </c>
      <c r="BD58" s="175" t="s">
        <v>2872</v>
      </c>
      <c r="BE58" s="175" t="s">
        <v>2873</v>
      </c>
      <c r="BF58" s="175" t="s">
        <v>2867</v>
      </c>
      <c r="BG58" s="67"/>
      <c r="BH58" s="179"/>
      <c r="BI58" s="175" t="s">
        <v>2867</v>
      </c>
      <c r="BJ58" s="175"/>
      <c r="BK58" s="175" t="s">
        <v>2867</v>
      </c>
      <c r="BL58" s="175"/>
      <c r="BM58" s="175" t="s">
        <v>2936</v>
      </c>
      <c r="BN58" s="175" t="s">
        <v>2937</v>
      </c>
      <c r="BO58" s="180" t="s">
        <v>2879</v>
      </c>
      <c r="BP58" s="67" t="s">
        <v>2867</v>
      </c>
      <c r="BQ58" s="175" t="s">
        <v>1477</v>
      </c>
      <c r="BR58" s="177" t="s">
        <v>144</v>
      </c>
      <c r="BS58" s="177"/>
      <c r="BT58" s="67" t="s">
        <v>2867</v>
      </c>
      <c r="BU58" s="175"/>
      <c r="BV58" s="176"/>
      <c r="BW58" s="67" t="s">
        <v>2878</v>
      </c>
      <c r="BX58" s="175" t="s">
        <v>3306</v>
      </c>
      <c r="BY58" s="175" t="s">
        <v>1999</v>
      </c>
      <c r="BZ58" s="177"/>
      <c r="CA58" s="175"/>
      <c r="CB58" s="175"/>
      <c r="CC58" s="177"/>
      <c r="CD58" s="177"/>
      <c r="CE58" s="67"/>
      <c r="CF58" s="67"/>
      <c r="CG58" s="177"/>
      <c r="CH58" s="176"/>
      <c r="CI58" s="176"/>
      <c r="CJ58" s="175"/>
      <c r="CK58" s="67" t="s">
        <v>2867</v>
      </c>
      <c r="CL58" s="175"/>
      <c r="CM58" s="175"/>
      <c r="CN58" s="175"/>
      <c r="CO58" s="175"/>
      <c r="CP58" s="67" t="s">
        <v>1815</v>
      </c>
      <c r="CQ58" s="175" t="s">
        <v>3027</v>
      </c>
      <c r="CR58" s="175"/>
      <c r="CS58" s="67" t="s">
        <v>1815</v>
      </c>
      <c r="CT58" s="175" t="s">
        <v>3027</v>
      </c>
      <c r="CU58" s="175"/>
      <c r="CV58" s="181" t="s">
        <v>2879</v>
      </c>
      <c r="CW58" s="67"/>
      <c r="CX58" s="182"/>
      <c r="CY58" s="175" t="s">
        <v>2880</v>
      </c>
      <c r="CZ58" s="175"/>
      <c r="DA58" s="175" t="s">
        <v>3247</v>
      </c>
      <c r="DB58" s="175" t="s">
        <v>3247</v>
      </c>
      <c r="DC58" s="175" t="s">
        <v>3277</v>
      </c>
      <c r="DD58" s="175"/>
      <c r="DE58" s="176"/>
      <c r="DF58" s="175"/>
      <c r="DG58" s="182"/>
      <c r="DH58" s="183">
        <v>1023500</v>
      </c>
      <c r="DI58" s="67"/>
      <c r="DJ58" s="67"/>
      <c r="DK58" s="67"/>
      <c r="DL58" s="67"/>
      <c r="DM58" s="67"/>
      <c r="DN58" s="183">
        <v>0</v>
      </c>
      <c r="DO58" s="183">
        <v>0</v>
      </c>
      <c r="DP58" s="67" t="s">
        <v>2867</v>
      </c>
      <c r="DQ58" s="175"/>
      <c r="DR58" s="175"/>
      <c r="DS58" s="175" t="s">
        <v>2882</v>
      </c>
      <c r="DT58" s="175"/>
      <c r="DU58" s="175"/>
      <c r="DV58" s="175" t="s">
        <v>2883</v>
      </c>
      <c r="DW58" s="175" t="s">
        <v>2884</v>
      </c>
      <c r="DX58" s="175" t="s">
        <v>2879</v>
      </c>
    </row>
    <row r="59" spans="1:128" ht="19.5" customHeight="1">
      <c r="A59" s="173"/>
      <c r="B59" s="174" t="s">
        <v>3307</v>
      </c>
      <c r="C59" s="67"/>
      <c r="D59" s="67"/>
      <c r="E59" s="174" t="s">
        <v>3308</v>
      </c>
      <c r="F59" s="174" t="s">
        <v>3309</v>
      </c>
      <c r="G59" s="175" t="s">
        <v>3310</v>
      </c>
      <c r="H59" s="174" t="s">
        <v>2942</v>
      </c>
      <c r="I59" s="174" t="s">
        <v>2858</v>
      </c>
      <c r="J59" s="175" t="s">
        <v>2859</v>
      </c>
      <c r="K59" s="176">
        <v>46176</v>
      </c>
      <c r="L59" s="67" t="s">
        <v>2921</v>
      </c>
      <c r="M59" s="175" t="s">
        <v>2648</v>
      </c>
      <c r="N59" s="67" t="s">
        <v>2648</v>
      </c>
      <c r="O59" s="67" t="s">
        <v>2933</v>
      </c>
      <c r="P59" s="67" t="s">
        <v>2934</v>
      </c>
      <c r="Q59" s="67"/>
      <c r="R59" s="67"/>
      <c r="S59" s="67" t="s">
        <v>103</v>
      </c>
      <c r="T59" s="177" t="s">
        <v>2863</v>
      </c>
      <c r="U59" s="67" t="s">
        <v>1270</v>
      </c>
      <c r="V59" s="67" t="s">
        <v>2944</v>
      </c>
      <c r="W59" s="175" t="s">
        <v>2865</v>
      </c>
      <c r="X59" s="67" t="s">
        <v>3311</v>
      </c>
      <c r="Y59" s="67" t="s">
        <v>2866</v>
      </c>
      <c r="Z59" s="67" t="s">
        <v>3312</v>
      </c>
      <c r="AA59" s="175" t="s">
        <v>2947</v>
      </c>
      <c r="AB59" s="175" t="s">
        <v>3023</v>
      </c>
      <c r="AC59" s="175" t="s">
        <v>3024</v>
      </c>
      <c r="AD59" s="175" t="s">
        <v>3025</v>
      </c>
      <c r="AE59" s="175" t="s">
        <v>3026</v>
      </c>
      <c r="AF59" s="176"/>
      <c r="AG59" s="176"/>
      <c r="AH59" s="176"/>
      <c r="AI59" s="67"/>
      <c r="AJ59" s="67"/>
      <c r="AK59" s="67" t="s">
        <v>2867</v>
      </c>
      <c r="AL59" s="67"/>
      <c r="AM59" s="176"/>
      <c r="AN59" s="176"/>
      <c r="AO59" s="67"/>
      <c r="AP59" s="67" t="s">
        <v>2867</v>
      </c>
      <c r="AQ59" s="67" t="s">
        <v>2868</v>
      </c>
      <c r="AR59" s="175"/>
      <c r="AS59" s="175" t="s">
        <v>2869</v>
      </c>
      <c r="AT59" s="175" t="s">
        <v>2867</v>
      </c>
      <c r="AU59" s="175"/>
      <c r="AV59" s="178">
        <v>0</v>
      </c>
      <c r="AW59" s="67"/>
      <c r="AX59" s="175" t="s">
        <v>2867</v>
      </c>
      <c r="AY59" s="175" t="s">
        <v>2870</v>
      </c>
      <c r="AZ59" s="175" t="s">
        <v>2871</v>
      </c>
      <c r="BA59" s="175"/>
      <c r="BB59" s="175"/>
      <c r="BC59" s="175" t="s">
        <v>2859</v>
      </c>
      <c r="BD59" s="175" t="s">
        <v>2872</v>
      </c>
      <c r="BE59" s="175" t="s">
        <v>2873</v>
      </c>
      <c r="BF59" s="175" t="s">
        <v>2867</v>
      </c>
      <c r="BG59" s="67"/>
      <c r="BH59" s="179"/>
      <c r="BI59" s="175" t="s">
        <v>2867</v>
      </c>
      <c r="BJ59" s="175"/>
      <c r="BK59" s="175" t="s">
        <v>2867</v>
      </c>
      <c r="BL59" s="175"/>
      <c r="BM59" s="175" t="s">
        <v>2936</v>
      </c>
      <c r="BN59" s="175" t="s">
        <v>2937</v>
      </c>
      <c r="BO59" s="180" t="s">
        <v>2879</v>
      </c>
      <c r="BP59" s="67" t="s">
        <v>2867</v>
      </c>
      <c r="BQ59" s="175" t="s">
        <v>1477</v>
      </c>
      <c r="BR59" s="177" t="s">
        <v>144</v>
      </c>
      <c r="BS59" s="177"/>
      <c r="BT59" s="67" t="s">
        <v>2867</v>
      </c>
      <c r="BU59" s="175"/>
      <c r="BV59" s="176"/>
      <c r="BW59" s="67" t="s">
        <v>2878</v>
      </c>
      <c r="BX59" s="175" t="s">
        <v>3313</v>
      </c>
      <c r="BY59" s="175" t="s">
        <v>1999</v>
      </c>
      <c r="BZ59" s="177"/>
      <c r="CA59" s="175"/>
      <c r="CB59" s="175"/>
      <c r="CC59" s="177"/>
      <c r="CD59" s="177"/>
      <c r="CE59" s="67"/>
      <c r="CF59" s="67"/>
      <c r="CG59" s="177"/>
      <c r="CH59" s="176"/>
      <c r="CI59" s="176"/>
      <c r="CJ59" s="175"/>
      <c r="CK59" s="67" t="s">
        <v>2867</v>
      </c>
      <c r="CL59" s="175"/>
      <c r="CM59" s="175"/>
      <c r="CN59" s="175"/>
      <c r="CO59" s="175"/>
      <c r="CP59" s="67" t="s">
        <v>1815</v>
      </c>
      <c r="CQ59" s="175" t="s">
        <v>3027</v>
      </c>
      <c r="CR59" s="175"/>
      <c r="CS59" s="67" t="s">
        <v>1815</v>
      </c>
      <c r="CT59" s="175" t="s">
        <v>3027</v>
      </c>
      <c r="CU59" s="175"/>
      <c r="CV59" s="181" t="s">
        <v>2879</v>
      </c>
      <c r="CW59" s="67"/>
      <c r="CX59" s="182"/>
      <c r="CY59" s="175" t="s">
        <v>2880</v>
      </c>
      <c r="CZ59" s="175"/>
      <c r="DA59" s="175" t="s">
        <v>3247</v>
      </c>
      <c r="DB59" s="175" t="s">
        <v>3247</v>
      </c>
      <c r="DC59" s="175" t="s">
        <v>3314</v>
      </c>
      <c r="DD59" s="175"/>
      <c r="DE59" s="176"/>
      <c r="DF59" s="175"/>
      <c r="DG59" s="182"/>
      <c r="DH59" s="183">
        <v>1023500</v>
      </c>
      <c r="DI59" s="67"/>
      <c r="DJ59" s="67"/>
      <c r="DK59" s="67"/>
      <c r="DL59" s="67"/>
      <c r="DM59" s="67"/>
      <c r="DN59" s="183">
        <v>0</v>
      </c>
      <c r="DO59" s="183">
        <v>0</v>
      </c>
      <c r="DP59" s="67" t="s">
        <v>2867</v>
      </c>
      <c r="DQ59" s="175"/>
      <c r="DR59" s="175"/>
      <c r="DS59" s="175" t="s">
        <v>2882</v>
      </c>
      <c r="DT59" s="175"/>
      <c r="DU59" s="175"/>
      <c r="DV59" s="175" t="s">
        <v>2883</v>
      </c>
      <c r="DW59" s="175" t="s">
        <v>2884</v>
      </c>
      <c r="DX59" s="175" t="s">
        <v>2879</v>
      </c>
    </row>
    <row r="60" spans="1:128" ht="19.5" customHeight="1">
      <c r="A60" s="173"/>
      <c r="B60" s="174" t="s">
        <v>3315</v>
      </c>
      <c r="C60" s="67"/>
      <c r="D60" s="67"/>
      <c r="E60" s="174" t="s">
        <v>3316</v>
      </c>
      <c r="F60" s="174" t="s">
        <v>3317</v>
      </c>
      <c r="G60" s="175" t="s">
        <v>3318</v>
      </c>
      <c r="H60" s="174" t="s">
        <v>2942</v>
      </c>
      <c r="I60" s="174" t="s">
        <v>2858</v>
      </c>
      <c r="J60" s="175" t="s">
        <v>2859</v>
      </c>
      <c r="K60" s="176">
        <v>46176</v>
      </c>
      <c r="L60" s="67" t="s">
        <v>2927</v>
      </c>
      <c r="M60" s="175" t="s">
        <v>2648</v>
      </c>
      <c r="N60" s="67" t="s">
        <v>2648</v>
      </c>
      <c r="O60" s="67" t="s">
        <v>2933</v>
      </c>
      <c r="P60" s="67" t="s">
        <v>2934</v>
      </c>
      <c r="Q60" s="67"/>
      <c r="R60" s="67"/>
      <c r="S60" s="67" t="s">
        <v>103</v>
      </c>
      <c r="T60" s="177" t="s">
        <v>2863</v>
      </c>
      <c r="U60" s="67" t="s">
        <v>1270</v>
      </c>
      <c r="V60" s="67" t="s">
        <v>2944</v>
      </c>
      <c r="W60" s="175" t="s">
        <v>2865</v>
      </c>
      <c r="X60" s="67" t="s">
        <v>3319</v>
      </c>
      <c r="Y60" s="67" t="s">
        <v>2866</v>
      </c>
      <c r="Z60" s="67" t="s">
        <v>3320</v>
      </c>
      <c r="AA60" s="175" t="s">
        <v>2947</v>
      </c>
      <c r="AB60" s="175" t="s">
        <v>3321</v>
      </c>
      <c r="AC60" s="175" t="s">
        <v>3322</v>
      </c>
      <c r="AD60" s="175" t="s">
        <v>3323</v>
      </c>
      <c r="AE60" s="175" t="s">
        <v>3324</v>
      </c>
      <c r="AF60" s="176"/>
      <c r="AG60" s="176"/>
      <c r="AH60" s="176"/>
      <c r="AI60" s="67"/>
      <c r="AJ60" s="67"/>
      <c r="AK60" s="67" t="s">
        <v>2867</v>
      </c>
      <c r="AL60" s="67"/>
      <c r="AM60" s="176"/>
      <c r="AN60" s="176"/>
      <c r="AO60" s="67"/>
      <c r="AP60" s="67" t="s">
        <v>2867</v>
      </c>
      <c r="AQ60" s="67" t="s">
        <v>2868</v>
      </c>
      <c r="AR60" s="175"/>
      <c r="AS60" s="175" t="s">
        <v>2869</v>
      </c>
      <c r="AT60" s="175" t="s">
        <v>2867</v>
      </c>
      <c r="AU60" s="175"/>
      <c r="AV60" s="178">
        <v>0</v>
      </c>
      <c r="AW60" s="67"/>
      <c r="AX60" s="175" t="s">
        <v>2867</v>
      </c>
      <c r="AY60" s="175" t="s">
        <v>2870</v>
      </c>
      <c r="AZ60" s="175" t="s">
        <v>2871</v>
      </c>
      <c r="BA60" s="175"/>
      <c r="BB60" s="175"/>
      <c r="BC60" s="175" t="s">
        <v>2859</v>
      </c>
      <c r="BD60" s="175" t="s">
        <v>2872</v>
      </c>
      <c r="BE60" s="175" t="s">
        <v>2873</v>
      </c>
      <c r="BF60" s="175" t="s">
        <v>2867</v>
      </c>
      <c r="BG60" s="67"/>
      <c r="BH60" s="179"/>
      <c r="BI60" s="175" t="s">
        <v>2867</v>
      </c>
      <c r="BJ60" s="175"/>
      <c r="BK60" s="175" t="s">
        <v>2867</v>
      </c>
      <c r="BL60" s="175"/>
      <c r="BM60" s="175" t="s">
        <v>2936</v>
      </c>
      <c r="BN60" s="175" t="s">
        <v>2937</v>
      </c>
      <c r="BO60" s="180" t="s">
        <v>2879</v>
      </c>
      <c r="BP60" s="67" t="s">
        <v>2867</v>
      </c>
      <c r="BQ60" s="175" t="s">
        <v>1477</v>
      </c>
      <c r="BR60" s="177" t="s">
        <v>144</v>
      </c>
      <c r="BS60" s="177"/>
      <c r="BT60" s="67" t="s">
        <v>2867</v>
      </c>
      <c r="BU60" s="175"/>
      <c r="BV60" s="176"/>
      <c r="BW60" s="67" t="s">
        <v>2878</v>
      </c>
      <c r="BX60" s="175" t="s">
        <v>3325</v>
      </c>
      <c r="BY60" s="175" t="s">
        <v>1999</v>
      </c>
      <c r="BZ60" s="177"/>
      <c r="CA60" s="175"/>
      <c r="CB60" s="175"/>
      <c r="CC60" s="177"/>
      <c r="CD60" s="177"/>
      <c r="CE60" s="67"/>
      <c r="CF60" s="67"/>
      <c r="CG60" s="177"/>
      <c r="CH60" s="176"/>
      <c r="CI60" s="176"/>
      <c r="CJ60" s="175"/>
      <c r="CK60" s="67" t="s">
        <v>2867</v>
      </c>
      <c r="CL60" s="175"/>
      <c r="CM60" s="175"/>
      <c r="CN60" s="175"/>
      <c r="CO60" s="175"/>
      <c r="CP60" s="67" t="s">
        <v>1815</v>
      </c>
      <c r="CQ60" s="175" t="s">
        <v>3027</v>
      </c>
      <c r="CR60" s="175"/>
      <c r="CS60" s="67" t="s">
        <v>1815</v>
      </c>
      <c r="CT60" s="175" t="s">
        <v>3027</v>
      </c>
      <c r="CU60" s="175"/>
      <c r="CV60" s="181" t="s">
        <v>2879</v>
      </c>
      <c r="CW60" s="67"/>
      <c r="CX60" s="182"/>
      <c r="CY60" s="175" t="s">
        <v>2880</v>
      </c>
      <c r="CZ60" s="175"/>
      <c r="DA60" s="175" t="s">
        <v>3247</v>
      </c>
      <c r="DB60" s="175" t="s">
        <v>3247</v>
      </c>
      <c r="DC60" s="175" t="s">
        <v>3314</v>
      </c>
      <c r="DD60" s="175"/>
      <c r="DE60" s="176"/>
      <c r="DF60" s="175"/>
      <c r="DG60" s="182"/>
      <c r="DH60" s="183">
        <v>1023500</v>
      </c>
      <c r="DI60" s="67"/>
      <c r="DJ60" s="67"/>
      <c r="DK60" s="67"/>
      <c r="DL60" s="67"/>
      <c r="DM60" s="67"/>
      <c r="DN60" s="183">
        <v>0</v>
      </c>
      <c r="DO60" s="183">
        <v>0</v>
      </c>
      <c r="DP60" s="67" t="s">
        <v>2867</v>
      </c>
      <c r="DQ60" s="175"/>
      <c r="DR60" s="175"/>
      <c r="DS60" s="175" t="s">
        <v>2882</v>
      </c>
      <c r="DT60" s="175"/>
      <c r="DU60" s="175"/>
      <c r="DV60" s="175" t="s">
        <v>2883</v>
      </c>
      <c r="DW60" s="175" t="s">
        <v>2884</v>
      </c>
      <c r="DX60" s="175" t="s">
        <v>2879</v>
      </c>
    </row>
    <row r="61" spans="1:128" ht="19.5" customHeight="1">
      <c r="A61" s="173"/>
      <c r="B61" s="174" t="s">
        <v>3326</v>
      </c>
      <c r="C61" s="67"/>
      <c r="D61" s="67"/>
      <c r="E61" s="174" t="s">
        <v>3327</v>
      </c>
      <c r="F61" s="174" t="s">
        <v>3328</v>
      </c>
      <c r="G61" s="175" t="s">
        <v>3329</v>
      </c>
      <c r="H61" s="174" t="s">
        <v>2942</v>
      </c>
      <c r="I61" s="174" t="s">
        <v>2858</v>
      </c>
      <c r="J61" s="175" t="s">
        <v>2859</v>
      </c>
      <c r="K61" s="176">
        <v>46176</v>
      </c>
      <c r="L61" s="67" t="s">
        <v>2889</v>
      </c>
      <c r="M61" s="175" t="s">
        <v>2648</v>
      </c>
      <c r="N61" s="67" t="s">
        <v>2648</v>
      </c>
      <c r="O61" s="67" t="s">
        <v>2933</v>
      </c>
      <c r="P61" s="67" t="s">
        <v>2934</v>
      </c>
      <c r="Q61" s="67"/>
      <c r="R61" s="67"/>
      <c r="S61" s="67" t="s">
        <v>103</v>
      </c>
      <c r="T61" s="177" t="s">
        <v>2863</v>
      </c>
      <c r="U61" s="67" t="s">
        <v>1270</v>
      </c>
      <c r="V61" s="67" t="s">
        <v>2944</v>
      </c>
      <c r="W61" s="175" t="s">
        <v>2865</v>
      </c>
      <c r="X61" s="67" t="s">
        <v>3330</v>
      </c>
      <c r="Y61" s="67" t="s">
        <v>2866</v>
      </c>
      <c r="Z61" s="67" t="s">
        <v>3331</v>
      </c>
      <c r="AA61" s="175" t="s">
        <v>2947</v>
      </c>
      <c r="AB61" s="175" t="s">
        <v>3332</v>
      </c>
      <c r="AC61" s="175" t="s">
        <v>3333</v>
      </c>
      <c r="AD61" s="175" t="s">
        <v>3334</v>
      </c>
      <c r="AE61" s="175" t="s">
        <v>3335</v>
      </c>
      <c r="AF61" s="176"/>
      <c r="AG61" s="176"/>
      <c r="AH61" s="176"/>
      <c r="AI61" s="67"/>
      <c r="AJ61" s="67"/>
      <c r="AK61" s="67" t="s">
        <v>2867</v>
      </c>
      <c r="AL61" s="67"/>
      <c r="AM61" s="176"/>
      <c r="AN61" s="176"/>
      <c r="AO61" s="67"/>
      <c r="AP61" s="67" t="s">
        <v>2867</v>
      </c>
      <c r="AQ61" s="67" t="s">
        <v>2868</v>
      </c>
      <c r="AR61" s="175"/>
      <c r="AS61" s="175" t="s">
        <v>2869</v>
      </c>
      <c r="AT61" s="175" t="s">
        <v>2867</v>
      </c>
      <c r="AU61" s="175"/>
      <c r="AV61" s="178">
        <v>0</v>
      </c>
      <c r="AW61" s="67"/>
      <c r="AX61" s="175" t="s">
        <v>2867</v>
      </c>
      <c r="AY61" s="175" t="s">
        <v>2870</v>
      </c>
      <c r="AZ61" s="175" t="s">
        <v>2871</v>
      </c>
      <c r="BA61" s="175"/>
      <c r="BB61" s="175"/>
      <c r="BC61" s="175" t="s">
        <v>2859</v>
      </c>
      <c r="BD61" s="175" t="s">
        <v>2872</v>
      </c>
      <c r="BE61" s="175" t="s">
        <v>2873</v>
      </c>
      <c r="BF61" s="175" t="s">
        <v>2867</v>
      </c>
      <c r="BG61" s="67"/>
      <c r="BH61" s="179"/>
      <c r="BI61" s="175" t="s">
        <v>2867</v>
      </c>
      <c r="BJ61" s="175"/>
      <c r="BK61" s="175" t="s">
        <v>2867</v>
      </c>
      <c r="BL61" s="175"/>
      <c r="BM61" s="175" t="s">
        <v>2936</v>
      </c>
      <c r="BN61" s="175" t="s">
        <v>2937</v>
      </c>
      <c r="BO61" s="180" t="s">
        <v>2879</v>
      </c>
      <c r="BP61" s="67" t="s">
        <v>2867</v>
      </c>
      <c r="BQ61" s="175" t="s">
        <v>1477</v>
      </c>
      <c r="BR61" s="177" t="s">
        <v>144</v>
      </c>
      <c r="BS61" s="177"/>
      <c r="BT61" s="67" t="s">
        <v>2867</v>
      </c>
      <c r="BU61" s="175"/>
      <c r="BV61" s="176"/>
      <c r="BW61" s="67" t="s">
        <v>2878</v>
      </c>
      <c r="BX61" s="175" t="s">
        <v>3336</v>
      </c>
      <c r="BY61" s="175" t="s">
        <v>1999</v>
      </c>
      <c r="BZ61" s="177"/>
      <c r="CA61" s="175"/>
      <c r="CB61" s="175"/>
      <c r="CC61" s="177"/>
      <c r="CD61" s="177"/>
      <c r="CE61" s="67"/>
      <c r="CF61" s="67"/>
      <c r="CG61" s="177"/>
      <c r="CH61" s="176"/>
      <c r="CI61" s="176"/>
      <c r="CJ61" s="175"/>
      <c r="CK61" s="67" t="s">
        <v>2867</v>
      </c>
      <c r="CL61" s="175"/>
      <c r="CM61" s="175"/>
      <c r="CN61" s="175"/>
      <c r="CO61" s="175"/>
      <c r="CP61" s="67" t="s">
        <v>1815</v>
      </c>
      <c r="CQ61" s="175" t="s">
        <v>3027</v>
      </c>
      <c r="CR61" s="175"/>
      <c r="CS61" s="67" t="s">
        <v>1815</v>
      </c>
      <c r="CT61" s="175" t="s">
        <v>3027</v>
      </c>
      <c r="CU61" s="175"/>
      <c r="CV61" s="181" t="s">
        <v>2879</v>
      </c>
      <c r="CW61" s="67"/>
      <c r="CX61" s="182"/>
      <c r="CY61" s="175" t="s">
        <v>2880</v>
      </c>
      <c r="CZ61" s="175"/>
      <c r="DA61" s="175" t="s">
        <v>3247</v>
      </c>
      <c r="DB61" s="175" t="s">
        <v>3247</v>
      </c>
      <c r="DC61" s="175" t="s">
        <v>3314</v>
      </c>
      <c r="DD61" s="175"/>
      <c r="DE61" s="176"/>
      <c r="DF61" s="175"/>
      <c r="DG61" s="182"/>
      <c r="DH61" s="183">
        <v>1023500</v>
      </c>
      <c r="DI61" s="67"/>
      <c r="DJ61" s="67"/>
      <c r="DK61" s="67"/>
      <c r="DL61" s="67"/>
      <c r="DM61" s="67"/>
      <c r="DN61" s="183">
        <v>0</v>
      </c>
      <c r="DO61" s="183">
        <v>0</v>
      </c>
      <c r="DP61" s="67" t="s">
        <v>2867</v>
      </c>
      <c r="DQ61" s="175"/>
      <c r="DR61" s="175"/>
      <c r="DS61" s="175" t="s">
        <v>2882</v>
      </c>
      <c r="DT61" s="175"/>
      <c r="DU61" s="175"/>
      <c r="DV61" s="175" t="s">
        <v>2883</v>
      </c>
      <c r="DW61" s="175" t="s">
        <v>2884</v>
      </c>
      <c r="DX61" s="175" t="s">
        <v>2879</v>
      </c>
    </row>
    <row r="62" spans="1:128" ht="19.5" customHeight="1">
      <c r="A62" s="173"/>
      <c r="B62" s="174" t="s">
        <v>3337</v>
      </c>
      <c r="C62" s="67"/>
      <c r="D62" s="67"/>
      <c r="E62" s="174" t="s">
        <v>3338</v>
      </c>
      <c r="F62" s="174" t="s">
        <v>3339</v>
      </c>
      <c r="G62" s="175" t="s">
        <v>3340</v>
      </c>
      <c r="H62" s="174" t="s">
        <v>2942</v>
      </c>
      <c r="I62" s="174" t="s">
        <v>2858</v>
      </c>
      <c r="J62" s="175" t="s">
        <v>2859</v>
      </c>
      <c r="K62" s="176">
        <v>46176</v>
      </c>
      <c r="L62" s="67" t="s">
        <v>2906</v>
      </c>
      <c r="M62" s="175" t="s">
        <v>2648</v>
      </c>
      <c r="N62" s="67" t="s">
        <v>2648</v>
      </c>
      <c r="O62" s="67" t="s">
        <v>2933</v>
      </c>
      <c r="P62" s="67" t="s">
        <v>2934</v>
      </c>
      <c r="Q62" s="67"/>
      <c r="R62" s="67"/>
      <c r="S62" s="67" t="s">
        <v>103</v>
      </c>
      <c r="T62" s="177" t="s">
        <v>2863</v>
      </c>
      <c r="U62" s="67" t="s">
        <v>1270</v>
      </c>
      <c r="V62" s="67" t="s">
        <v>2944</v>
      </c>
      <c r="W62" s="175" t="s">
        <v>2865</v>
      </c>
      <c r="X62" s="67" t="s">
        <v>3341</v>
      </c>
      <c r="Y62" s="67" t="s">
        <v>2866</v>
      </c>
      <c r="Z62" s="67" t="s">
        <v>3342</v>
      </c>
      <c r="AA62" s="175" t="s">
        <v>2947</v>
      </c>
      <c r="AB62" s="175" t="s">
        <v>3033</v>
      </c>
      <c r="AC62" s="175" t="s">
        <v>3034</v>
      </c>
      <c r="AD62" s="175" t="s">
        <v>3035</v>
      </c>
      <c r="AE62" s="175" t="s">
        <v>3036</v>
      </c>
      <c r="AF62" s="176"/>
      <c r="AG62" s="176"/>
      <c r="AH62" s="176"/>
      <c r="AI62" s="67"/>
      <c r="AJ62" s="67"/>
      <c r="AK62" s="67" t="s">
        <v>2867</v>
      </c>
      <c r="AL62" s="67"/>
      <c r="AM62" s="176"/>
      <c r="AN62" s="176"/>
      <c r="AO62" s="67"/>
      <c r="AP62" s="67" t="s">
        <v>2867</v>
      </c>
      <c r="AQ62" s="67" t="s">
        <v>2868</v>
      </c>
      <c r="AR62" s="175"/>
      <c r="AS62" s="175" t="s">
        <v>2869</v>
      </c>
      <c r="AT62" s="175" t="s">
        <v>2867</v>
      </c>
      <c r="AU62" s="175"/>
      <c r="AV62" s="178">
        <v>0</v>
      </c>
      <c r="AW62" s="67"/>
      <c r="AX62" s="175" t="s">
        <v>2867</v>
      </c>
      <c r="AY62" s="175" t="s">
        <v>2870</v>
      </c>
      <c r="AZ62" s="175" t="s">
        <v>2871</v>
      </c>
      <c r="BA62" s="175"/>
      <c r="BB62" s="175"/>
      <c r="BC62" s="175" t="s">
        <v>2859</v>
      </c>
      <c r="BD62" s="175" t="s">
        <v>2872</v>
      </c>
      <c r="BE62" s="175" t="s">
        <v>2873</v>
      </c>
      <c r="BF62" s="175" t="s">
        <v>2867</v>
      </c>
      <c r="BG62" s="67"/>
      <c r="BH62" s="179"/>
      <c r="BI62" s="175" t="s">
        <v>2867</v>
      </c>
      <c r="BJ62" s="175"/>
      <c r="BK62" s="175" t="s">
        <v>2867</v>
      </c>
      <c r="BL62" s="175"/>
      <c r="BM62" s="175" t="s">
        <v>2936</v>
      </c>
      <c r="BN62" s="175" t="s">
        <v>2937</v>
      </c>
      <c r="BO62" s="180" t="s">
        <v>2879</v>
      </c>
      <c r="BP62" s="67" t="s">
        <v>2867</v>
      </c>
      <c r="BQ62" s="175" t="s">
        <v>1477</v>
      </c>
      <c r="BR62" s="177" t="s">
        <v>144</v>
      </c>
      <c r="BS62" s="177"/>
      <c r="BT62" s="67" t="s">
        <v>2867</v>
      </c>
      <c r="BU62" s="175"/>
      <c r="BV62" s="176"/>
      <c r="BW62" s="67" t="s">
        <v>2878</v>
      </c>
      <c r="BX62" s="175" t="s">
        <v>3343</v>
      </c>
      <c r="BY62" s="175" t="s">
        <v>1999</v>
      </c>
      <c r="BZ62" s="177"/>
      <c r="CA62" s="175"/>
      <c r="CB62" s="175"/>
      <c r="CC62" s="177"/>
      <c r="CD62" s="177"/>
      <c r="CE62" s="67"/>
      <c r="CF62" s="67"/>
      <c r="CG62" s="177"/>
      <c r="CH62" s="176"/>
      <c r="CI62" s="176"/>
      <c r="CJ62" s="175"/>
      <c r="CK62" s="67" t="s">
        <v>2867</v>
      </c>
      <c r="CL62" s="175"/>
      <c r="CM62" s="175"/>
      <c r="CN62" s="175"/>
      <c r="CO62" s="175"/>
      <c r="CP62" s="67" t="s">
        <v>1815</v>
      </c>
      <c r="CQ62" s="175" t="s">
        <v>3027</v>
      </c>
      <c r="CR62" s="175"/>
      <c r="CS62" s="67" t="s">
        <v>1815</v>
      </c>
      <c r="CT62" s="175" t="s">
        <v>3027</v>
      </c>
      <c r="CU62" s="175"/>
      <c r="CV62" s="181" t="s">
        <v>2879</v>
      </c>
      <c r="CW62" s="67"/>
      <c r="CX62" s="182"/>
      <c r="CY62" s="175" t="s">
        <v>2880</v>
      </c>
      <c r="CZ62" s="175"/>
      <c r="DA62" s="175" t="s">
        <v>3247</v>
      </c>
      <c r="DB62" s="175" t="s">
        <v>3247</v>
      </c>
      <c r="DC62" s="175" t="s">
        <v>3314</v>
      </c>
      <c r="DD62" s="175"/>
      <c r="DE62" s="176"/>
      <c r="DF62" s="175"/>
      <c r="DG62" s="182"/>
      <c r="DH62" s="183">
        <v>1023500</v>
      </c>
      <c r="DI62" s="67"/>
      <c r="DJ62" s="67"/>
      <c r="DK62" s="67"/>
      <c r="DL62" s="67"/>
      <c r="DM62" s="67"/>
      <c r="DN62" s="183">
        <v>0</v>
      </c>
      <c r="DO62" s="183">
        <v>0</v>
      </c>
      <c r="DP62" s="67" t="s">
        <v>2867</v>
      </c>
      <c r="DQ62" s="175"/>
      <c r="DR62" s="175"/>
      <c r="DS62" s="175" t="s">
        <v>2882</v>
      </c>
      <c r="DT62" s="175"/>
      <c r="DU62" s="175"/>
      <c r="DV62" s="175" t="s">
        <v>2883</v>
      </c>
      <c r="DW62" s="175" t="s">
        <v>2884</v>
      </c>
      <c r="DX62" s="175" t="s">
        <v>2879</v>
      </c>
    </row>
    <row r="63" spans="1:128" ht="19.5" customHeight="1">
      <c r="A63" s="173"/>
      <c r="B63" s="174" t="s">
        <v>3344</v>
      </c>
      <c r="C63" s="67"/>
      <c r="D63" s="67"/>
      <c r="E63" s="174" t="s">
        <v>3345</v>
      </c>
      <c r="F63" s="174" t="s">
        <v>3346</v>
      </c>
      <c r="G63" s="175" t="s">
        <v>3347</v>
      </c>
      <c r="H63" s="174" t="s">
        <v>2942</v>
      </c>
      <c r="I63" s="174" t="s">
        <v>2858</v>
      </c>
      <c r="J63" s="175" t="s">
        <v>2859</v>
      </c>
      <c r="K63" s="176">
        <v>46176</v>
      </c>
      <c r="L63" s="67" t="s">
        <v>2916</v>
      </c>
      <c r="M63" s="175" t="s">
        <v>2648</v>
      </c>
      <c r="N63" s="67" t="s">
        <v>2648</v>
      </c>
      <c r="O63" s="67" t="s">
        <v>2933</v>
      </c>
      <c r="P63" s="67" t="s">
        <v>2934</v>
      </c>
      <c r="Q63" s="67"/>
      <c r="R63" s="67"/>
      <c r="S63" s="67" t="s">
        <v>103</v>
      </c>
      <c r="T63" s="177" t="s">
        <v>2863</v>
      </c>
      <c r="U63" s="67" t="s">
        <v>1270</v>
      </c>
      <c r="V63" s="67" t="s">
        <v>2944</v>
      </c>
      <c r="W63" s="175" t="s">
        <v>2865</v>
      </c>
      <c r="X63" s="67" t="s">
        <v>3348</v>
      </c>
      <c r="Y63" s="67" t="s">
        <v>2866</v>
      </c>
      <c r="Z63" s="67" t="s">
        <v>3349</v>
      </c>
      <c r="AA63" s="175" t="s">
        <v>2947</v>
      </c>
      <c r="AB63" s="175" t="s">
        <v>3042</v>
      </c>
      <c r="AC63" s="175" t="s">
        <v>3043</v>
      </c>
      <c r="AD63" s="175" t="s">
        <v>3044</v>
      </c>
      <c r="AE63" s="175" t="s">
        <v>3045</v>
      </c>
      <c r="AF63" s="176"/>
      <c r="AG63" s="176"/>
      <c r="AH63" s="176"/>
      <c r="AI63" s="67"/>
      <c r="AJ63" s="67"/>
      <c r="AK63" s="67" t="s">
        <v>2867</v>
      </c>
      <c r="AL63" s="67"/>
      <c r="AM63" s="176"/>
      <c r="AN63" s="176"/>
      <c r="AO63" s="67"/>
      <c r="AP63" s="67" t="s">
        <v>2867</v>
      </c>
      <c r="AQ63" s="67" t="s">
        <v>2868</v>
      </c>
      <c r="AR63" s="175"/>
      <c r="AS63" s="175" t="s">
        <v>2869</v>
      </c>
      <c r="AT63" s="175" t="s">
        <v>2867</v>
      </c>
      <c r="AU63" s="175"/>
      <c r="AV63" s="178">
        <v>0</v>
      </c>
      <c r="AW63" s="67"/>
      <c r="AX63" s="175" t="s">
        <v>2867</v>
      </c>
      <c r="AY63" s="175" t="s">
        <v>2870</v>
      </c>
      <c r="AZ63" s="175" t="s">
        <v>2871</v>
      </c>
      <c r="BA63" s="175"/>
      <c r="BB63" s="175"/>
      <c r="BC63" s="175" t="s">
        <v>2859</v>
      </c>
      <c r="BD63" s="175" t="s">
        <v>2872</v>
      </c>
      <c r="BE63" s="175" t="s">
        <v>2873</v>
      </c>
      <c r="BF63" s="175" t="s">
        <v>2867</v>
      </c>
      <c r="BG63" s="67"/>
      <c r="BH63" s="179"/>
      <c r="BI63" s="175" t="s">
        <v>2867</v>
      </c>
      <c r="BJ63" s="175"/>
      <c r="BK63" s="175" t="s">
        <v>2867</v>
      </c>
      <c r="BL63" s="175"/>
      <c r="BM63" s="175" t="s">
        <v>2936</v>
      </c>
      <c r="BN63" s="175" t="s">
        <v>2937</v>
      </c>
      <c r="BO63" s="180" t="s">
        <v>2879</v>
      </c>
      <c r="BP63" s="67" t="s">
        <v>2867</v>
      </c>
      <c r="BQ63" s="175" t="s">
        <v>1477</v>
      </c>
      <c r="BR63" s="177" t="s">
        <v>144</v>
      </c>
      <c r="BS63" s="177"/>
      <c r="BT63" s="67" t="s">
        <v>2867</v>
      </c>
      <c r="BU63" s="175"/>
      <c r="BV63" s="176"/>
      <c r="BW63" s="67" t="s">
        <v>2878</v>
      </c>
      <c r="BX63" s="175" t="s">
        <v>3350</v>
      </c>
      <c r="BY63" s="175" t="s">
        <v>1999</v>
      </c>
      <c r="BZ63" s="177"/>
      <c r="CA63" s="175"/>
      <c r="CB63" s="175"/>
      <c r="CC63" s="177"/>
      <c r="CD63" s="177"/>
      <c r="CE63" s="67"/>
      <c r="CF63" s="67"/>
      <c r="CG63" s="177"/>
      <c r="CH63" s="176"/>
      <c r="CI63" s="176"/>
      <c r="CJ63" s="175"/>
      <c r="CK63" s="67" t="s">
        <v>2867</v>
      </c>
      <c r="CL63" s="175"/>
      <c r="CM63" s="175"/>
      <c r="CN63" s="175"/>
      <c r="CO63" s="175"/>
      <c r="CP63" s="67" t="s">
        <v>1815</v>
      </c>
      <c r="CQ63" s="175" t="s">
        <v>3027</v>
      </c>
      <c r="CR63" s="175"/>
      <c r="CS63" s="67" t="s">
        <v>1815</v>
      </c>
      <c r="CT63" s="175" t="s">
        <v>3027</v>
      </c>
      <c r="CU63" s="175"/>
      <c r="CV63" s="181" t="s">
        <v>2879</v>
      </c>
      <c r="CW63" s="67"/>
      <c r="CX63" s="182"/>
      <c r="CY63" s="175" t="s">
        <v>2880</v>
      </c>
      <c r="CZ63" s="175"/>
      <c r="DA63" s="175" t="s">
        <v>3247</v>
      </c>
      <c r="DB63" s="175" t="s">
        <v>3247</v>
      </c>
      <c r="DC63" s="175" t="s">
        <v>3314</v>
      </c>
      <c r="DD63" s="175"/>
      <c r="DE63" s="176"/>
      <c r="DF63" s="175"/>
      <c r="DG63" s="182"/>
      <c r="DH63" s="183">
        <v>1023500</v>
      </c>
      <c r="DI63" s="67"/>
      <c r="DJ63" s="67"/>
      <c r="DK63" s="67"/>
      <c r="DL63" s="67"/>
      <c r="DM63" s="67"/>
      <c r="DN63" s="183">
        <v>0</v>
      </c>
      <c r="DO63" s="183">
        <v>0</v>
      </c>
      <c r="DP63" s="67" t="s">
        <v>2867</v>
      </c>
      <c r="DQ63" s="175"/>
      <c r="DR63" s="175"/>
      <c r="DS63" s="175" t="s">
        <v>2882</v>
      </c>
      <c r="DT63" s="175"/>
      <c r="DU63" s="175"/>
      <c r="DV63" s="175" t="s">
        <v>2883</v>
      </c>
      <c r="DW63" s="175" t="s">
        <v>2884</v>
      </c>
      <c r="DX63" s="175" t="s">
        <v>2879</v>
      </c>
    </row>
    <row r="64" spans="1:128" ht="19.5" customHeight="1">
      <c r="A64" s="173"/>
      <c r="B64" s="174" t="s">
        <v>3351</v>
      </c>
      <c r="C64" s="67"/>
      <c r="D64" s="67"/>
      <c r="E64" s="174" t="s">
        <v>3352</v>
      </c>
      <c r="F64" s="174" t="s">
        <v>3353</v>
      </c>
      <c r="G64" s="175" t="s">
        <v>3354</v>
      </c>
      <c r="H64" s="174" t="s">
        <v>2994</v>
      </c>
      <c r="I64" s="174" t="s">
        <v>2995</v>
      </c>
      <c r="J64" s="175" t="s">
        <v>2859</v>
      </c>
      <c r="K64" s="176">
        <v>46175</v>
      </c>
      <c r="L64" s="67" t="s">
        <v>2916</v>
      </c>
      <c r="M64" s="175" t="s">
        <v>3355</v>
      </c>
      <c r="N64" s="67" t="s">
        <v>3355</v>
      </c>
      <c r="O64" s="67" t="s">
        <v>3356</v>
      </c>
      <c r="P64" s="67" t="s">
        <v>3357</v>
      </c>
      <c r="Q64" s="67" t="s">
        <v>336</v>
      </c>
      <c r="R64" s="67" t="s">
        <v>1076</v>
      </c>
      <c r="S64" s="67" t="s">
        <v>1076</v>
      </c>
      <c r="T64" s="177" t="s">
        <v>3358</v>
      </c>
      <c r="U64" s="67" t="s">
        <v>1275</v>
      </c>
      <c r="V64" s="67" t="s">
        <v>1889</v>
      </c>
      <c r="W64" s="175" t="s">
        <v>2865</v>
      </c>
      <c r="X64" s="67" t="s">
        <v>3359</v>
      </c>
      <c r="Y64" s="67" t="s">
        <v>2866</v>
      </c>
      <c r="Z64" s="67" t="s">
        <v>3360</v>
      </c>
      <c r="AA64" s="175" t="s">
        <v>2947</v>
      </c>
      <c r="AB64" s="175" t="s">
        <v>3361</v>
      </c>
      <c r="AC64" s="175" t="s">
        <v>3362</v>
      </c>
      <c r="AD64" s="175" t="s">
        <v>3363</v>
      </c>
      <c r="AE64" s="175" t="s">
        <v>3364</v>
      </c>
      <c r="AF64" s="176"/>
      <c r="AG64" s="176">
        <v>46176</v>
      </c>
      <c r="AH64" s="176">
        <v>46177</v>
      </c>
      <c r="AI64" s="67" t="s">
        <v>2867</v>
      </c>
      <c r="AJ64" s="67"/>
      <c r="AK64" s="67" t="s">
        <v>2867</v>
      </c>
      <c r="AL64" s="67"/>
      <c r="AM64" s="176"/>
      <c r="AN64" s="176"/>
      <c r="AO64" s="67"/>
      <c r="AP64" s="67" t="s">
        <v>2867</v>
      </c>
      <c r="AQ64" s="67" t="s">
        <v>2868</v>
      </c>
      <c r="AR64" s="175"/>
      <c r="AS64" s="175" t="s">
        <v>2869</v>
      </c>
      <c r="AT64" s="175" t="s">
        <v>2867</v>
      </c>
      <c r="AU64" s="175"/>
      <c r="AV64" s="178">
        <v>0</v>
      </c>
      <c r="AW64" s="67"/>
      <c r="AX64" s="175" t="s">
        <v>2867</v>
      </c>
      <c r="AY64" s="175" t="s">
        <v>2870</v>
      </c>
      <c r="AZ64" s="175" t="s">
        <v>2871</v>
      </c>
      <c r="BA64" s="175"/>
      <c r="BB64" s="175"/>
      <c r="BC64" s="175" t="s">
        <v>2859</v>
      </c>
      <c r="BD64" s="175" t="s">
        <v>2872</v>
      </c>
      <c r="BE64" s="175" t="s">
        <v>2873</v>
      </c>
      <c r="BF64" s="175" t="s">
        <v>2867</v>
      </c>
      <c r="BG64" s="67"/>
      <c r="BH64" s="179"/>
      <c r="BI64" s="175" t="s">
        <v>2867</v>
      </c>
      <c r="BJ64" s="175"/>
      <c r="BK64" s="175" t="s">
        <v>2867</v>
      </c>
      <c r="BL64" s="175"/>
      <c r="BM64" s="175" t="s">
        <v>2874</v>
      </c>
      <c r="BN64" s="175" t="s">
        <v>2875</v>
      </c>
      <c r="BO64" s="180"/>
      <c r="BP64" s="67" t="s">
        <v>2867</v>
      </c>
      <c r="BQ64" s="175" t="s">
        <v>1904</v>
      </c>
      <c r="BR64" s="177" t="s">
        <v>337</v>
      </c>
      <c r="BS64" s="177"/>
      <c r="BT64" s="67" t="s">
        <v>2867</v>
      </c>
      <c r="BU64" s="175"/>
      <c r="BV64" s="176"/>
      <c r="BW64" s="67" t="s">
        <v>2878</v>
      </c>
      <c r="BX64" s="175" t="s">
        <v>3365</v>
      </c>
      <c r="BY64" s="175" t="s">
        <v>3366</v>
      </c>
      <c r="BZ64" s="177"/>
      <c r="CA64" s="175"/>
      <c r="CB64" s="175"/>
      <c r="CC64" s="177"/>
      <c r="CD64" s="177"/>
      <c r="CE64" s="67"/>
      <c r="CF64" s="67"/>
      <c r="CG64" s="177"/>
      <c r="CH64" s="176"/>
      <c r="CI64" s="176"/>
      <c r="CJ64" s="175"/>
      <c r="CK64" s="67" t="s">
        <v>2867</v>
      </c>
      <c r="CL64" s="175"/>
      <c r="CM64" s="175"/>
      <c r="CN64" s="175"/>
      <c r="CO64" s="175"/>
      <c r="CP64" s="67" t="s">
        <v>1889</v>
      </c>
      <c r="CQ64" s="175" t="s">
        <v>3027</v>
      </c>
      <c r="CR64" s="175"/>
      <c r="CS64" s="67" t="s">
        <v>1889</v>
      </c>
      <c r="CT64" s="175" t="s">
        <v>3027</v>
      </c>
      <c r="CU64" s="175"/>
      <c r="CV64" s="181" t="s">
        <v>2879</v>
      </c>
      <c r="CW64" s="67"/>
      <c r="CX64" s="182"/>
      <c r="CY64" s="175" t="s">
        <v>2880</v>
      </c>
      <c r="CZ64" s="175"/>
      <c r="DA64" s="175" t="s">
        <v>3367</v>
      </c>
      <c r="DB64" s="175" t="s">
        <v>3367</v>
      </c>
      <c r="DC64" s="175" t="s">
        <v>3368</v>
      </c>
      <c r="DD64" s="175"/>
      <c r="DE64" s="176">
        <v>46176</v>
      </c>
      <c r="DF64" s="175"/>
      <c r="DG64" s="182"/>
      <c r="DH64" s="183">
        <v>0</v>
      </c>
      <c r="DI64" s="67"/>
      <c r="DJ64" s="67"/>
      <c r="DK64" s="67"/>
      <c r="DL64" s="67"/>
      <c r="DM64" s="67"/>
      <c r="DN64" s="183">
        <v>0</v>
      </c>
      <c r="DO64" s="183">
        <v>0</v>
      </c>
      <c r="DP64" s="67" t="s">
        <v>2867</v>
      </c>
      <c r="DQ64" s="175"/>
      <c r="DR64" s="175"/>
      <c r="DS64" s="175" t="s">
        <v>3369</v>
      </c>
      <c r="DT64" s="175"/>
      <c r="DU64" s="175"/>
      <c r="DV64" s="175" t="s">
        <v>2883</v>
      </c>
      <c r="DW64" s="175" t="s">
        <v>2884</v>
      </c>
      <c r="DX64" s="175" t="s">
        <v>2879</v>
      </c>
    </row>
    <row r="65" spans="1:128" ht="19.5" customHeight="1">
      <c r="A65" s="173"/>
      <c r="B65" s="174" t="s">
        <v>3370</v>
      </c>
      <c r="C65" s="67"/>
      <c r="D65" s="67"/>
      <c r="E65" s="189" t="s">
        <v>3371</v>
      </c>
      <c r="F65" s="174" t="s">
        <v>2679</v>
      </c>
      <c r="G65" s="175" t="s">
        <v>3372</v>
      </c>
      <c r="H65" s="189" t="s">
        <v>2994</v>
      </c>
      <c r="I65" s="189" t="s">
        <v>2995</v>
      </c>
      <c r="J65" s="175" t="s">
        <v>2859</v>
      </c>
      <c r="K65" s="176">
        <v>46175</v>
      </c>
      <c r="L65" s="67" t="s">
        <v>2906</v>
      </c>
      <c r="M65" s="175" t="s">
        <v>2709</v>
      </c>
      <c r="N65" s="67" t="s">
        <v>2709</v>
      </c>
      <c r="O65" s="67" t="s">
        <v>3373</v>
      </c>
      <c r="P65" s="67" t="s">
        <v>3374</v>
      </c>
      <c r="Q65" s="67" t="s">
        <v>3375</v>
      </c>
      <c r="R65" s="67" t="s">
        <v>3376</v>
      </c>
      <c r="S65" s="67" t="s">
        <v>103</v>
      </c>
      <c r="T65" s="177" t="s">
        <v>3377</v>
      </c>
      <c r="U65" s="67" t="s">
        <v>1270</v>
      </c>
      <c r="V65" s="67" t="s">
        <v>2896</v>
      </c>
      <c r="W65" s="175" t="s">
        <v>2865</v>
      </c>
      <c r="X65" s="67" t="s">
        <v>2680</v>
      </c>
      <c r="Y65" s="67" t="s">
        <v>2866</v>
      </c>
      <c r="Z65" s="67" t="s">
        <v>2681</v>
      </c>
      <c r="AA65" s="175" t="s">
        <v>2947</v>
      </c>
      <c r="AB65" s="175" t="s">
        <v>3378</v>
      </c>
      <c r="AC65" s="175" t="s">
        <v>3379</v>
      </c>
      <c r="AD65" s="175" t="s">
        <v>3380</v>
      </c>
      <c r="AE65" s="175" t="s">
        <v>3381</v>
      </c>
      <c r="AF65" s="176"/>
      <c r="AG65" s="176">
        <v>46179</v>
      </c>
      <c r="AH65" s="176">
        <v>46178</v>
      </c>
      <c r="AI65" s="67" t="s">
        <v>2867</v>
      </c>
      <c r="AJ65" s="67"/>
      <c r="AK65" s="67" t="s">
        <v>2867</v>
      </c>
      <c r="AL65" s="67"/>
      <c r="AM65" s="176"/>
      <c r="AN65" s="176"/>
      <c r="AO65" s="67"/>
      <c r="AP65" s="67" t="s">
        <v>2867</v>
      </c>
      <c r="AQ65" s="67" t="s">
        <v>2868</v>
      </c>
      <c r="AR65" s="175"/>
      <c r="AS65" s="175" t="s">
        <v>2869</v>
      </c>
      <c r="AT65" s="175" t="s">
        <v>2867</v>
      </c>
      <c r="AU65" s="175"/>
      <c r="AV65" s="178">
        <v>0</v>
      </c>
      <c r="AW65" s="67"/>
      <c r="AX65" s="175" t="s">
        <v>2867</v>
      </c>
      <c r="AY65" s="175" t="s">
        <v>2870</v>
      </c>
      <c r="AZ65" s="175" t="s">
        <v>2871</v>
      </c>
      <c r="BA65" s="175"/>
      <c r="BB65" s="175"/>
      <c r="BC65" s="175" t="s">
        <v>2859</v>
      </c>
      <c r="BD65" s="175" t="s">
        <v>2872</v>
      </c>
      <c r="BE65" s="175" t="s">
        <v>2873</v>
      </c>
      <c r="BF65" s="175" t="s">
        <v>2867</v>
      </c>
      <c r="BG65" s="67"/>
      <c r="BH65" s="179"/>
      <c r="BI65" s="175" t="s">
        <v>2867</v>
      </c>
      <c r="BJ65" s="175"/>
      <c r="BK65" s="175" t="s">
        <v>2867</v>
      </c>
      <c r="BL65" s="175"/>
      <c r="BM65" s="175" t="s">
        <v>2936</v>
      </c>
      <c r="BN65" s="175" t="s">
        <v>2937</v>
      </c>
      <c r="BO65" s="180" t="s">
        <v>2879</v>
      </c>
      <c r="BP65" s="67" t="s">
        <v>2867</v>
      </c>
      <c r="BQ65" s="175" t="s">
        <v>1477</v>
      </c>
      <c r="BR65" s="177" t="s">
        <v>144</v>
      </c>
      <c r="BS65" s="177"/>
      <c r="BT65" s="67" t="s">
        <v>2867</v>
      </c>
      <c r="BU65" s="175"/>
      <c r="BV65" s="176"/>
      <c r="BW65" s="67" t="s">
        <v>2878</v>
      </c>
      <c r="BX65" s="175" t="s">
        <v>3382</v>
      </c>
      <c r="BY65" s="175" t="s">
        <v>1999</v>
      </c>
      <c r="BZ65" s="177"/>
      <c r="CA65" s="175"/>
      <c r="CB65" s="175"/>
      <c r="CC65" s="177"/>
      <c r="CD65" s="177"/>
      <c r="CE65" s="67"/>
      <c r="CF65" s="67"/>
      <c r="CG65" s="177"/>
      <c r="CH65" s="176"/>
      <c r="CI65" s="176"/>
      <c r="CJ65" s="175"/>
      <c r="CK65" s="67" t="s">
        <v>2867</v>
      </c>
      <c r="CL65" s="175"/>
      <c r="CM65" s="175"/>
      <c r="CN65" s="175"/>
      <c r="CO65" s="175"/>
      <c r="CP65" s="67" t="s">
        <v>1815</v>
      </c>
      <c r="CQ65" s="175" t="s">
        <v>3027</v>
      </c>
      <c r="CR65" s="175"/>
      <c r="CS65" s="67" t="s">
        <v>1815</v>
      </c>
      <c r="CT65" s="175" t="s">
        <v>3027</v>
      </c>
      <c r="CU65" s="175"/>
      <c r="CV65" s="181" t="s">
        <v>2879</v>
      </c>
      <c r="CW65" s="67"/>
      <c r="CX65" s="182"/>
      <c r="CY65" s="175" t="s">
        <v>2880</v>
      </c>
      <c r="CZ65" s="175"/>
      <c r="DA65" s="175" t="s">
        <v>3383</v>
      </c>
      <c r="DB65" s="175" t="s">
        <v>3383</v>
      </c>
      <c r="DC65" s="175" t="s">
        <v>3384</v>
      </c>
      <c r="DD65" s="175" t="s">
        <v>3385</v>
      </c>
      <c r="DE65" s="176">
        <v>46176</v>
      </c>
      <c r="DF65" s="175"/>
      <c r="DG65" s="182"/>
      <c r="DH65" s="183">
        <v>1023500</v>
      </c>
      <c r="DI65" s="67"/>
      <c r="DJ65" s="67"/>
      <c r="DK65" s="67"/>
      <c r="DL65" s="67"/>
      <c r="DM65" s="67"/>
      <c r="DN65" s="183">
        <v>0</v>
      </c>
      <c r="DO65" s="183">
        <v>0</v>
      </c>
      <c r="DP65" s="67" t="s">
        <v>2867</v>
      </c>
      <c r="DQ65" s="175"/>
      <c r="DR65" s="175"/>
      <c r="DS65" s="175" t="s">
        <v>3386</v>
      </c>
      <c r="DT65" s="175"/>
      <c r="DU65" s="175"/>
      <c r="DV65" s="175" t="s">
        <v>2883</v>
      </c>
      <c r="DW65" s="175" t="s">
        <v>2884</v>
      </c>
      <c r="DX65" s="175" t="s">
        <v>2879</v>
      </c>
    </row>
    <row r="66" spans="1:128" ht="19.5" customHeight="1">
      <c r="A66" s="173"/>
      <c r="B66" s="174" t="s">
        <v>3387</v>
      </c>
      <c r="C66" s="67"/>
      <c r="D66" s="67"/>
      <c r="E66" s="191" t="s">
        <v>3371</v>
      </c>
      <c r="F66" s="174" t="s">
        <v>2662</v>
      </c>
      <c r="G66" s="175" t="s">
        <v>3388</v>
      </c>
      <c r="H66" s="191" t="s">
        <v>2994</v>
      </c>
      <c r="I66" s="191" t="s">
        <v>2995</v>
      </c>
      <c r="J66" s="175" t="s">
        <v>2859</v>
      </c>
      <c r="K66" s="176">
        <v>46175</v>
      </c>
      <c r="L66" s="67" t="s">
        <v>2927</v>
      </c>
      <c r="M66" s="175" t="s">
        <v>2709</v>
      </c>
      <c r="N66" s="67" t="s">
        <v>2709</v>
      </c>
      <c r="O66" s="67" t="s">
        <v>3373</v>
      </c>
      <c r="P66" s="67" t="s">
        <v>3374</v>
      </c>
      <c r="Q66" s="67" t="s">
        <v>3375</v>
      </c>
      <c r="R66" s="67" t="s">
        <v>3376</v>
      </c>
      <c r="S66" s="67" t="s">
        <v>103</v>
      </c>
      <c r="T66" s="177" t="s">
        <v>3377</v>
      </c>
      <c r="U66" s="67" t="s">
        <v>1270</v>
      </c>
      <c r="V66" s="67" t="s">
        <v>2896</v>
      </c>
      <c r="W66" s="175" t="s">
        <v>2865</v>
      </c>
      <c r="X66" s="67" t="s">
        <v>2667</v>
      </c>
      <c r="Y66" s="67" t="s">
        <v>2866</v>
      </c>
      <c r="Z66" s="67" t="s">
        <v>2668</v>
      </c>
      <c r="AA66" s="175" t="s">
        <v>2947</v>
      </c>
      <c r="AB66" s="175" t="s">
        <v>3389</v>
      </c>
      <c r="AC66" s="175" t="s">
        <v>3390</v>
      </c>
      <c r="AD66" s="175" t="s">
        <v>3391</v>
      </c>
      <c r="AE66" s="175" t="s">
        <v>3392</v>
      </c>
      <c r="AF66" s="176"/>
      <c r="AG66" s="176">
        <v>46179</v>
      </c>
      <c r="AH66" s="176">
        <v>46178</v>
      </c>
      <c r="AI66" s="67" t="s">
        <v>2867</v>
      </c>
      <c r="AJ66" s="67"/>
      <c r="AK66" s="67" t="s">
        <v>2867</v>
      </c>
      <c r="AL66" s="67"/>
      <c r="AM66" s="176"/>
      <c r="AN66" s="176"/>
      <c r="AO66" s="67"/>
      <c r="AP66" s="67" t="s">
        <v>2867</v>
      </c>
      <c r="AQ66" s="67" t="s">
        <v>2868</v>
      </c>
      <c r="AR66" s="175"/>
      <c r="AS66" s="175" t="s">
        <v>2869</v>
      </c>
      <c r="AT66" s="175" t="s">
        <v>2867</v>
      </c>
      <c r="AU66" s="175"/>
      <c r="AV66" s="178">
        <v>0</v>
      </c>
      <c r="AW66" s="67"/>
      <c r="AX66" s="175" t="s">
        <v>2867</v>
      </c>
      <c r="AY66" s="175" t="s">
        <v>2870</v>
      </c>
      <c r="AZ66" s="175" t="s">
        <v>2871</v>
      </c>
      <c r="BA66" s="175"/>
      <c r="BB66" s="175"/>
      <c r="BC66" s="175" t="s">
        <v>2859</v>
      </c>
      <c r="BD66" s="175" t="s">
        <v>2872</v>
      </c>
      <c r="BE66" s="175" t="s">
        <v>2873</v>
      </c>
      <c r="BF66" s="175" t="s">
        <v>2867</v>
      </c>
      <c r="BG66" s="67"/>
      <c r="BH66" s="179"/>
      <c r="BI66" s="175" t="s">
        <v>2867</v>
      </c>
      <c r="BJ66" s="175"/>
      <c r="BK66" s="175" t="s">
        <v>2867</v>
      </c>
      <c r="BL66" s="175"/>
      <c r="BM66" s="175" t="s">
        <v>2936</v>
      </c>
      <c r="BN66" s="175" t="s">
        <v>2937</v>
      </c>
      <c r="BO66" s="180" t="s">
        <v>2879</v>
      </c>
      <c r="BP66" s="67" t="s">
        <v>2867</v>
      </c>
      <c r="BQ66" s="175" t="s">
        <v>1477</v>
      </c>
      <c r="BR66" s="177" t="s">
        <v>144</v>
      </c>
      <c r="BS66" s="177"/>
      <c r="BT66" s="67" t="s">
        <v>2867</v>
      </c>
      <c r="BU66" s="175"/>
      <c r="BV66" s="176"/>
      <c r="BW66" s="67" t="s">
        <v>2878</v>
      </c>
      <c r="BX66" s="175" t="s">
        <v>3393</v>
      </c>
      <c r="BY66" s="175" t="s">
        <v>1999</v>
      </c>
      <c r="BZ66" s="177"/>
      <c r="CA66" s="175"/>
      <c r="CB66" s="175"/>
      <c r="CC66" s="177"/>
      <c r="CD66" s="177"/>
      <c r="CE66" s="67"/>
      <c r="CF66" s="67"/>
      <c r="CG66" s="177"/>
      <c r="CH66" s="176"/>
      <c r="CI66" s="176"/>
      <c r="CJ66" s="175"/>
      <c r="CK66" s="67" t="s">
        <v>2867</v>
      </c>
      <c r="CL66" s="175"/>
      <c r="CM66" s="175"/>
      <c r="CN66" s="175"/>
      <c r="CO66" s="175"/>
      <c r="CP66" s="67" t="s">
        <v>1805</v>
      </c>
      <c r="CQ66" s="175" t="s">
        <v>3027</v>
      </c>
      <c r="CR66" s="175"/>
      <c r="CS66" s="67" t="s">
        <v>1815</v>
      </c>
      <c r="CT66" s="175" t="s">
        <v>3027</v>
      </c>
      <c r="CU66" s="175"/>
      <c r="CV66" s="181" t="s">
        <v>2879</v>
      </c>
      <c r="CW66" s="67"/>
      <c r="CX66" s="182"/>
      <c r="CY66" s="175" t="s">
        <v>2880</v>
      </c>
      <c r="CZ66" s="175"/>
      <c r="DA66" s="175" t="s">
        <v>3394</v>
      </c>
      <c r="DB66" s="175" t="s">
        <v>3394</v>
      </c>
      <c r="DC66" s="175" t="s">
        <v>3385</v>
      </c>
      <c r="DD66" s="175"/>
      <c r="DE66" s="176">
        <v>46176</v>
      </c>
      <c r="DF66" s="175"/>
      <c r="DG66" s="182"/>
      <c r="DH66" s="183">
        <v>1023500</v>
      </c>
      <c r="DI66" s="67"/>
      <c r="DJ66" s="67"/>
      <c r="DK66" s="67"/>
      <c r="DL66" s="67"/>
      <c r="DM66" s="67"/>
      <c r="DN66" s="183">
        <v>0</v>
      </c>
      <c r="DO66" s="183">
        <v>0</v>
      </c>
      <c r="DP66" s="67" t="s">
        <v>2867</v>
      </c>
      <c r="DQ66" s="175"/>
      <c r="DR66" s="175"/>
      <c r="DS66" s="175" t="s">
        <v>3386</v>
      </c>
      <c r="DT66" s="175"/>
      <c r="DU66" s="175"/>
      <c r="DV66" s="175" t="s">
        <v>2883</v>
      </c>
      <c r="DW66" s="175" t="s">
        <v>2884</v>
      </c>
      <c r="DX66" s="175" t="s">
        <v>2879</v>
      </c>
    </row>
    <row r="67" spans="1:128" ht="19.5" customHeight="1">
      <c r="A67" s="173"/>
      <c r="B67" s="174" t="s">
        <v>3395</v>
      </c>
      <c r="C67" s="67"/>
      <c r="D67" s="67"/>
      <c r="E67" s="191" t="s">
        <v>3371</v>
      </c>
      <c r="F67" s="174" t="s">
        <v>2661</v>
      </c>
      <c r="G67" s="175" t="s">
        <v>3396</v>
      </c>
      <c r="H67" s="191" t="s">
        <v>2994</v>
      </c>
      <c r="I67" s="191" t="s">
        <v>2995</v>
      </c>
      <c r="J67" s="175" t="s">
        <v>2859</v>
      </c>
      <c r="K67" s="176">
        <v>46175</v>
      </c>
      <c r="L67" s="67" t="s">
        <v>2969</v>
      </c>
      <c r="M67" s="175" t="s">
        <v>2709</v>
      </c>
      <c r="N67" s="67" t="s">
        <v>2709</v>
      </c>
      <c r="O67" s="67" t="s">
        <v>3373</v>
      </c>
      <c r="P67" s="67" t="s">
        <v>3374</v>
      </c>
      <c r="Q67" s="67" t="s">
        <v>3375</v>
      </c>
      <c r="R67" s="67" t="s">
        <v>3376</v>
      </c>
      <c r="S67" s="67" t="s">
        <v>103</v>
      </c>
      <c r="T67" s="177" t="s">
        <v>3377</v>
      </c>
      <c r="U67" s="67" t="s">
        <v>1270</v>
      </c>
      <c r="V67" s="67" t="s">
        <v>2896</v>
      </c>
      <c r="W67" s="175" t="s">
        <v>2865</v>
      </c>
      <c r="X67" s="67" t="s">
        <v>2665</v>
      </c>
      <c r="Y67" s="67" t="s">
        <v>2866</v>
      </c>
      <c r="Z67" s="67" t="s">
        <v>2666</v>
      </c>
      <c r="AA67" s="175" t="s">
        <v>2947</v>
      </c>
      <c r="AB67" s="175" t="s">
        <v>3397</v>
      </c>
      <c r="AC67" s="175" t="s">
        <v>3398</v>
      </c>
      <c r="AD67" s="175" t="s">
        <v>3399</v>
      </c>
      <c r="AE67" s="175" t="s">
        <v>3400</v>
      </c>
      <c r="AF67" s="176"/>
      <c r="AG67" s="176">
        <v>46179</v>
      </c>
      <c r="AH67" s="176">
        <v>46178</v>
      </c>
      <c r="AI67" s="67" t="s">
        <v>2867</v>
      </c>
      <c r="AJ67" s="67"/>
      <c r="AK67" s="67" t="s">
        <v>2867</v>
      </c>
      <c r="AL67" s="67"/>
      <c r="AM67" s="176"/>
      <c r="AN67" s="176"/>
      <c r="AO67" s="67"/>
      <c r="AP67" s="67" t="s">
        <v>2867</v>
      </c>
      <c r="AQ67" s="67" t="s">
        <v>2868</v>
      </c>
      <c r="AR67" s="175"/>
      <c r="AS67" s="175" t="s">
        <v>2869</v>
      </c>
      <c r="AT67" s="175" t="s">
        <v>2867</v>
      </c>
      <c r="AU67" s="175"/>
      <c r="AV67" s="178">
        <v>0</v>
      </c>
      <c r="AW67" s="67"/>
      <c r="AX67" s="175" t="s">
        <v>2867</v>
      </c>
      <c r="AY67" s="175" t="s">
        <v>2870</v>
      </c>
      <c r="AZ67" s="175" t="s">
        <v>2871</v>
      </c>
      <c r="BA67" s="175"/>
      <c r="BB67" s="175"/>
      <c r="BC67" s="175" t="s">
        <v>2859</v>
      </c>
      <c r="BD67" s="175" t="s">
        <v>2872</v>
      </c>
      <c r="BE67" s="175" t="s">
        <v>2873</v>
      </c>
      <c r="BF67" s="175" t="s">
        <v>2867</v>
      </c>
      <c r="BG67" s="67"/>
      <c r="BH67" s="179"/>
      <c r="BI67" s="175" t="s">
        <v>2867</v>
      </c>
      <c r="BJ67" s="175"/>
      <c r="BK67" s="175" t="s">
        <v>2867</v>
      </c>
      <c r="BL67" s="175"/>
      <c r="BM67" s="175" t="s">
        <v>2936</v>
      </c>
      <c r="BN67" s="175" t="s">
        <v>2937</v>
      </c>
      <c r="BO67" s="180" t="s">
        <v>2879</v>
      </c>
      <c r="BP67" s="67" t="s">
        <v>2867</v>
      </c>
      <c r="BQ67" s="175" t="s">
        <v>1477</v>
      </c>
      <c r="BR67" s="177" t="s">
        <v>144</v>
      </c>
      <c r="BS67" s="177"/>
      <c r="BT67" s="67" t="s">
        <v>2867</v>
      </c>
      <c r="BU67" s="175"/>
      <c r="BV67" s="176"/>
      <c r="BW67" s="67" t="s">
        <v>2878</v>
      </c>
      <c r="BX67" s="175" t="s">
        <v>3401</v>
      </c>
      <c r="BY67" s="175" t="s">
        <v>1999</v>
      </c>
      <c r="BZ67" s="177"/>
      <c r="CA67" s="175"/>
      <c r="CB67" s="175"/>
      <c r="CC67" s="177"/>
      <c r="CD67" s="177"/>
      <c r="CE67" s="67"/>
      <c r="CF67" s="67"/>
      <c r="CG67" s="177"/>
      <c r="CH67" s="176"/>
      <c r="CI67" s="176"/>
      <c r="CJ67" s="175"/>
      <c r="CK67" s="67" t="s">
        <v>2867</v>
      </c>
      <c r="CL67" s="175"/>
      <c r="CM67" s="175"/>
      <c r="CN67" s="175"/>
      <c r="CO67" s="175"/>
      <c r="CP67" s="67" t="s">
        <v>1815</v>
      </c>
      <c r="CQ67" s="175" t="s">
        <v>3027</v>
      </c>
      <c r="CR67" s="175"/>
      <c r="CS67" s="67" t="s">
        <v>1815</v>
      </c>
      <c r="CT67" s="175" t="s">
        <v>3027</v>
      </c>
      <c r="CU67" s="175"/>
      <c r="CV67" s="181" t="s">
        <v>2879</v>
      </c>
      <c r="CW67" s="67"/>
      <c r="CX67" s="182"/>
      <c r="CY67" s="175" t="s">
        <v>2880</v>
      </c>
      <c r="CZ67" s="175"/>
      <c r="DA67" s="175" t="s">
        <v>3394</v>
      </c>
      <c r="DB67" s="175" t="s">
        <v>3394</v>
      </c>
      <c r="DC67" s="175" t="s">
        <v>3385</v>
      </c>
      <c r="DD67" s="175"/>
      <c r="DE67" s="176">
        <v>46176</v>
      </c>
      <c r="DF67" s="175"/>
      <c r="DG67" s="182"/>
      <c r="DH67" s="183">
        <v>1023500</v>
      </c>
      <c r="DI67" s="67"/>
      <c r="DJ67" s="67"/>
      <c r="DK67" s="67"/>
      <c r="DL67" s="67"/>
      <c r="DM67" s="67"/>
      <c r="DN67" s="183">
        <v>0</v>
      </c>
      <c r="DO67" s="183">
        <v>0</v>
      </c>
      <c r="DP67" s="67" t="s">
        <v>2867</v>
      </c>
      <c r="DQ67" s="175"/>
      <c r="DR67" s="175"/>
      <c r="DS67" s="175" t="s">
        <v>3386</v>
      </c>
      <c r="DT67" s="175"/>
      <c r="DU67" s="175"/>
      <c r="DV67" s="175" t="s">
        <v>2883</v>
      </c>
      <c r="DW67" s="175" t="s">
        <v>2884</v>
      </c>
      <c r="DX67" s="175" t="s">
        <v>2879</v>
      </c>
    </row>
    <row r="68" spans="1:128" ht="19.5" customHeight="1">
      <c r="A68" s="173"/>
      <c r="B68" s="174" t="s">
        <v>3402</v>
      </c>
      <c r="C68" s="67"/>
      <c r="D68" s="67"/>
      <c r="E68" s="190" t="s">
        <v>3371</v>
      </c>
      <c r="F68" s="174" t="s">
        <v>2651</v>
      </c>
      <c r="G68" s="175" t="s">
        <v>3403</v>
      </c>
      <c r="H68" s="190" t="s">
        <v>2994</v>
      </c>
      <c r="I68" s="190" t="s">
        <v>2995</v>
      </c>
      <c r="J68" s="175" t="s">
        <v>2859</v>
      </c>
      <c r="K68" s="176">
        <v>46175</v>
      </c>
      <c r="L68" s="67" t="s">
        <v>2921</v>
      </c>
      <c r="M68" s="175" t="s">
        <v>2709</v>
      </c>
      <c r="N68" s="67" t="s">
        <v>2709</v>
      </c>
      <c r="O68" s="67" t="s">
        <v>3373</v>
      </c>
      <c r="P68" s="67" t="s">
        <v>3374</v>
      </c>
      <c r="Q68" s="67" t="s">
        <v>3375</v>
      </c>
      <c r="R68" s="67" t="s">
        <v>3376</v>
      </c>
      <c r="S68" s="67" t="s">
        <v>103</v>
      </c>
      <c r="T68" s="177" t="s">
        <v>3377</v>
      </c>
      <c r="U68" s="67" t="s">
        <v>1270</v>
      </c>
      <c r="V68" s="67" t="s">
        <v>2944</v>
      </c>
      <c r="W68" s="175" t="s">
        <v>2865</v>
      </c>
      <c r="X68" s="67" t="s">
        <v>2657</v>
      </c>
      <c r="Y68" s="67" t="s">
        <v>2866</v>
      </c>
      <c r="Z68" s="67" t="s">
        <v>2658</v>
      </c>
      <c r="AA68" s="175" t="s">
        <v>2947</v>
      </c>
      <c r="AB68" s="175" t="s">
        <v>3077</v>
      </c>
      <c r="AC68" s="175" t="s">
        <v>3078</v>
      </c>
      <c r="AD68" s="175" t="s">
        <v>3079</v>
      </c>
      <c r="AE68" s="175" t="s">
        <v>3080</v>
      </c>
      <c r="AF68" s="176"/>
      <c r="AG68" s="176">
        <v>46179</v>
      </c>
      <c r="AH68" s="176">
        <v>46178</v>
      </c>
      <c r="AI68" s="67" t="s">
        <v>2867</v>
      </c>
      <c r="AJ68" s="67"/>
      <c r="AK68" s="67" t="s">
        <v>2867</v>
      </c>
      <c r="AL68" s="67"/>
      <c r="AM68" s="176"/>
      <c r="AN68" s="176"/>
      <c r="AO68" s="67"/>
      <c r="AP68" s="67" t="s">
        <v>2867</v>
      </c>
      <c r="AQ68" s="67" t="s">
        <v>2868</v>
      </c>
      <c r="AR68" s="175"/>
      <c r="AS68" s="175" t="s">
        <v>2869</v>
      </c>
      <c r="AT68" s="175" t="s">
        <v>2867</v>
      </c>
      <c r="AU68" s="175"/>
      <c r="AV68" s="178">
        <v>0</v>
      </c>
      <c r="AW68" s="67"/>
      <c r="AX68" s="175" t="s">
        <v>2867</v>
      </c>
      <c r="AY68" s="175" t="s">
        <v>2870</v>
      </c>
      <c r="AZ68" s="175" t="s">
        <v>2871</v>
      </c>
      <c r="BA68" s="175"/>
      <c r="BB68" s="175"/>
      <c r="BC68" s="175" t="s">
        <v>2859</v>
      </c>
      <c r="BD68" s="175" t="s">
        <v>2872</v>
      </c>
      <c r="BE68" s="175" t="s">
        <v>2873</v>
      </c>
      <c r="BF68" s="175" t="s">
        <v>2867</v>
      </c>
      <c r="BG68" s="67"/>
      <c r="BH68" s="179"/>
      <c r="BI68" s="175" t="s">
        <v>2867</v>
      </c>
      <c r="BJ68" s="175"/>
      <c r="BK68" s="175" t="s">
        <v>2867</v>
      </c>
      <c r="BL68" s="175"/>
      <c r="BM68" s="175" t="s">
        <v>2936</v>
      </c>
      <c r="BN68" s="175" t="s">
        <v>2937</v>
      </c>
      <c r="BO68" s="180" t="s">
        <v>2879</v>
      </c>
      <c r="BP68" s="67" t="s">
        <v>2867</v>
      </c>
      <c r="BQ68" s="175" t="s">
        <v>1477</v>
      </c>
      <c r="BR68" s="177" t="s">
        <v>144</v>
      </c>
      <c r="BS68" s="177"/>
      <c r="BT68" s="67" t="s">
        <v>2867</v>
      </c>
      <c r="BU68" s="175"/>
      <c r="BV68" s="176"/>
      <c r="BW68" s="67" t="s">
        <v>2878</v>
      </c>
      <c r="BX68" s="175" t="s">
        <v>3404</v>
      </c>
      <c r="BY68" s="175" t="s">
        <v>1999</v>
      </c>
      <c r="BZ68" s="177"/>
      <c r="CA68" s="175"/>
      <c r="CB68" s="175"/>
      <c r="CC68" s="177"/>
      <c r="CD68" s="177"/>
      <c r="CE68" s="67"/>
      <c r="CF68" s="67"/>
      <c r="CG68" s="177"/>
      <c r="CH68" s="176"/>
      <c r="CI68" s="176"/>
      <c r="CJ68" s="175"/>
      <c r="CK68" s="67" t="s">
        <v>2867</v>
      </c>
      <c r="CL68" s="175"/>
      <c r="CM68" s="175"/>
      <c r="CN68" s="175"/>
      <c r="CO68" s="175"/>
      <c r="CP68" s="67" t="s">
        <v>1815</v>
      </c>
      <c r="CQ68" s="175" t="s">
        <v>3027</v>
      </c>
      <c r="CR68" s="175"/>
      <c r="CS68" s="67" t="s">
        <v>1815</v>
      </c>
      <c r="CT68" s="175" t="s">
        <v>3027</v>
      </c>
      <c r="CU68" s="175"/>
      <c r="CV68" s="181" t="s">
        <v>2879</v>
      </c>
      <c r="CW68" s="67"/>
      <c r="CX68" s="182"/>
      <c r="CY68" s="175" t="s">
        <v>2880</v>
      </c>
      <c r="CZ68" s="175"/>
      <c r="DA68" s="175" t="s">
        <v>3394</v>
      </c>
      <c r="DB68" s="175" t="s">
        <v>3394</v>
      </c>
      <c r="DC68" s="175" t="s">
        <v>3405</v>
      </c>
      <c r="DD68" s="175"/>
      <c r="DE68" s="176">
        <v>46176</v>
      </c>
      <c r="DF68" s="175"/>
      <c r="DG68" s="182"/>
      <c r="DH68" s="183">
        <v>1023500</v>
      </c>
      <c r="DI68" s="67"/>
      <c r="DJ68" s="67"/>
      <c r="DK68" s="67"/>
      <c r="DL68" s="67"/>
      <c r="DM68" s="67"/>
      <c r="DN68" s="183">
        <v>0</v>
      </c>
      <c r="DO68" s="183">
        <v>0</v>
      </c>
      <c r="DP68" s="67" t="s">
        <v>2867</v>
      </c>
      <c r="DQ68" s="175"/>
      <c r="DR68" s="175"/>
      <c r="DS68" s="175" t="s">
        <v>3386</v>
      </c>
      <c r="DT68" s="175"/>
      <c r="DU68" s="175"/>
      <c r="DV68" s="175" t="s">
        <v>2883</v>
      </c>
      <c r="DW68" s="175" t="s">
        <v>2884</v>
      </c>
      <c r="DX68" s="175" t="s">
        <v>2879</v>
      </c>
    </row>
    <row r="69" spans="1:128" ht="19.5" customHeight="1">
      <c r="A69" s="173" t="s">
        <v>3268</v>
      </c>
      <c r="B69" s="174" t="s">
        <v>3406</v>
      </c>
      <c r="C69" s="67"/>
      <c r="D69" s="67"/>
      <c r="E69" s="174" t="s">
        <v>3407</v>
      </c>
      <c r="F69" s="174" t="s">
        <v>2333</v>
      </c>
      <c r="G69" s="175" t="s">
        <v>3408</v>
      </c>
      <c r="H69" s="174" t="s">
        <v>2942</v>
      </c>
      <c r="I69" s="174" t="s">
        <v>2858</v>
      </c>
      <c r="J69" s="175" t="s">
        <v>2859</v>
      </c>
      <c r="K69" s="176">
        <v>46174</v>
      </c>
      <c r="L69" s="67" t="s">
        <v>2901</v>
      </c>
      <c r="M69" s="175" t="s">
        <v>2334</v>
      </c>
      <c r="N69" s="67" t="s">
        <v>2334</v>
      </c>
      <c r="O69" s="67" t="s">
        <v>2327</v>
      </c>
      <c r="P69" s="67" t="s">
        <v>2890</v>
      </c>
      <c r="Q69" s="67" t="s">
        <v>1415</v>
      </c>
      <c r="R69" s="67" t="s">
        <v>110</v>
      </c>
      <c r="S69" s="67" t="s">
        <v>103</v>
      </c>
      <c r="T69" s="177" t="s">
        <v>2998</v>
      </c>
      <c r="U69" s="67" t="s">
        <v>1270</v>
      </c>
      <c r="V69" s="67"/>
      <c r="W69" s="175" t="s">
        <v>2865</v>
      </c>
      <c r="X69" s="67" t="s">
        <v>2403</v>
      </c>
      <c r="Y69" s="67" t="s">
        <v>2866</v>
      </c>
      <c r="Z69" s="67" t="s">
        <v>2404</v>
      </c>
      <c r="AA69" s="175" t="s">
        <v>2947</v>
      </c>
      <c r="AB69" s="175" t="s">
        <v>3242</v>
      </c>
      <c r="AC69" s="175" t="s">
        <v>3243</v>
      </c>
      <c r="AD69" s="175" t="s">
        <v>3244</v>
      </c>
      <c r="AE69" s="175" t="s">
        <v>3245</v>
      </c>
      <c r="AF69" s="176"/>
      <c r="AG69" s="176">
        <v>44926</v>
      </c>
      <c r="AH69" s="176">
        <v>44926</v>
      </c>
      <c r="AI69" s="67" t="s">
        <v>2867</v>
      </c>
      <c r="AJ69" s="67"/>
      <c r="AK69" s="67" t="s">
        <v>2867</v>
      </c>
      <c r="AL69" s="67"/>
      <c r="AM69" s="176"/>
      <c r="AN69" s="176"/>
      <c r="AO69" s="67"/>
      <c r="AP69" s="67" t="s">
        <v>2867</v>
      </c>
      <c r="AQ69" s="67" t="s">
        <v>2868</v>
      </c>
      <c r="AR69" s="175"/>
      <c r="AS69" s="175" t="s">
        <v>2869</v>
      </c>
      <c r="AT69" s="175" t="s">
        <v>2867</v>
      </c>
      <c r="AU69" s="175"/>
      <c r="AV69" s="178">
        <v>0</v>
      </c>
      <c r="AW69" s="67"/>
      <c r="AX69" s="175" t="s">
        <v>2867</v>
      </c>
      <c r="AY69" s="175" t="s">
        <v>2870</v>
      </c>
      <c r="AZ69" s="175" t="s">
        <v>2871</v>
      </c>
      <c r="BA69" s="175"/>
      <c r="BB69" s="175"/>
      <c r="BC69" s="175" t="s">
        <v>2859</v>
      </c>
      <c r="BD69" s="175" t="s">
        <v>2872</v>
      </c>
      <c r="BE69" s="175" t="s">
        <v>2873</v>
      </c>
      <c r="BF69" s="175" t="s">
        <v>2867</v>
      </c>
      <c r="BG69" s="67"/>
      <c r="BH69" s="179"/>
      <c r="BI69" s="175" t="s">
        <v>2867</v>
      </c>
      <c r="BJ69" s="175"/>
      <c r="BK69" s="175" t="s">
        <v>2867</v>
      </c>
      <c r="BL69" s="175"/>
      <c r="BM69" s="175" t="s">
        <v>3005</v>
      </c>
      <c r="BN69" s="175" t="s">
        <v>3006</v>
      </c>
      <c r="BO69" s="180"/>
      <c r="BP69" s="67" t="s">
        <v>2867</v>
      </c>
      <c r="BQ69" s="175" t="s">
        <v>1477</v>
      </c>
      <c r="BR69" s="177" t="s">
        <v>144</v>
      </c>
      <c r="BS69" s="177"/>
      <c r="BT69" s="67" t="s">
        <v>2867</v>
      </c>
      <c r="BU69" s="175"/>
      <c r="BV69" s="176"/>
      <c r="BW69" s="67" t="s">
        <v>2878</v>
      </c>
      <c r="BX69" s="175" t="s">
        <v>3409</v>
      </c>
      <c r="BY69" s="175" t="s">
        <v>1996</v>
      </c>
      <c r="BZ69" s="177"/>
      <c r="CA69" s="175"/>
      <c r="CB69" s="175"/>
      <c r="CC69" s="177"/>
      <c r="CD69" s="177"/>
      <c r="CE69" s="67"/>
      <c r="CF69" s="67"/>
      <c r="CG69" s="177"/>
      <c r="CH69" s="176"/>
      <c r="CI69" s="176"/>
      <c r="CJ69" s="175"/>
      <c r="CK69" s="67" t="s">
        <v>3027</v>
      </c>
      <c r="CL69" s="175" t="s">
        <v>929</v>
      </c>
      <c r="CM69" s="175" t="s">
        <v>3276</v>
      </c>
      <c r="CN69" s="175"/>
      <c r="CO69" s="175"/>
      <c r="CP69" s="67" t="s">
        <v>1805</v>
      </c>
      <c r="CQ69" s="175" t="s">
        <v>3027</v>
      </c>
      <c r="CR69" s="175" t="s">
        <v>3410</v>
      </c>
      <c r="CS69" s="67" t="s">
        <v>1813</v>
      </c>
      <c r="CT69" s="175" t="s">
        <v>3027</v>
      </c>
      <c r="CU69" s="175"/>
      <c r="CV69" s="181" t="s">
        <v>2879</v>
      </c>
      <c r="CW69" s="67"/>
      <c r="CX69" s="182"/>
      <c r="CY69" s="175" t="s">
        <v>2880</v>
      </c>
      <c r="CZ69" s="175"/>
      <c r="DA69" s="175" t="s">
        <v>3411</v>
      </c>
      <c r="DB69" s="175" t="s">
        <v>3411</v>
      </c>
      <c r="DC69" s="175" t="s">
        <v>3412</v>
      </c>
      <c r="DD69" s="175"/>
      <c r="DE69" s="176"/>
      <c r="DF69" s="175"/>
      <c r="DG69" s="182"/>
      <c r="DH69" s="183">
        <v>1023500</v>
      </c>
      <c r="DI69" s="67"/>
      <c r="DJ69" s="67"/>
      <c r="DK69" s="67"/>
      <c r="DL69" s="67"/>
      <c r="DM69" s="67"/>
      <c r="DN69" s="183">
        <v>0</v>
      </c>
      <c r="DO69" s="183">
        <v>0</v>
      </c>
      <c r="DP69" s="67" t="s">
        <v>2867</v>
      </c>
      <c r="DQ69" s="175"/>
      <c r="DR69" s="175"/>
      <c r="DS69" s="175" t="s">
        <v>3413</v>
      </c>
      <c r="DT69" s="175"/>
      <c r="DU69" s="175"/>
      <c r="DV69" s="175" t="s">
        <v>2883</v>
      </c>
      <c r="DW69" s="175" t="s">
        <v>2884</v>
      </c>
      <c r="DX69" s="175" t="s">
        <v>2879</v>
      </c>
    </row>
    <row r="70" spans="1:128" ht="19.5" customHeight="1">
      <c r="A70" s="173" t="s">
        <v>3268</v>
      </c>
      <c r="B70" s="174" t="s">
        <v>3414</v>
      </c>
      <c r="C70" s="67"/>
      <c r="D70" s="67"/>
      <c r="E70" s="174" t="s">
        <v>3415</v>
      </c>
      <c r="F70" s="174" t="s">
        <v>2673</v>
      </c>
      <c r="G70" s="175" t="s">
        <v>3416</v>
      </c>
      <c r="H70" s="174" t="s">
        <v>2994</v>
      </c>
      <c r="I70" s="174" t="s">
        <v>2995</v>
      </c>
      <c r="J70" s="175" t="s">
        <v>2859</v>
      </c>
      <c r="K70" s="176">
        <v>46175</v>
      </c>
      <c r="L70" s="67" t="s">
        <v>2906</v>
      </c>
      <c r="M70" s="175" t="s">
        <v>2611</v>
      </c>
      <c r="N70" s="67" t="s">
        <v>2611</v>
      </c>
      <c r="O70" s="67" t="s">
        <v>2329</v>
      </c>
      <c r="P70" s="67" t="s">
        <v>2997</v>
      </c>
      <c r="Q70" s="67"/>
      <c r="R70" s="67"/>
      <c r="S70" s="67" t="s">
        <v>101</v>
      </c>
      <c r="T70" s="177" t="s">
        <v>2863</v>
      </c>
      <c r="U70" s="67" t="s">
        <v>1277</v>
      </c>
      <c r="V70" s="67" t="s">
        <v>2944</v>
      </c>
      <c r="W70" s="175" t="s">
        <v>2865</v>
      </c>
      <c r="X70" s="67" t="s">
        <v>2675</v>
      </c>
      <c r="Y70" s="67" t="s">
        <v>2866</v>
      </c>
      <c r="Z70" s="67" t="s">
        <v>2676</v>
      </c>
      <c r="AA70" s="175" t="s">
        <v>2947</v>
      </c>
      <c r="AB70" s="175" t="s">
        <v>3033</v>
      </c>
      <c r="AC70" s="175" t="s">
        <v>3034</v>
      </c>
      <c r="AD70" s="175" t="s">
        <v>3035</v>
      </c>
      <c r="AE70" s="175" t="s">
        <v>3036</v>
      </c>
      <c r="AF70" s="176"/>
      <c r="AG70" s="176"/>
      <c r="AH70" s="176"/>
      <c r="AI70" s="67"/>
      <c r="AJ70" s="67"/>
      <c r="AK70" s="67" t="s">
        <v>2867</v>
      </c>
      <c r="AL70" s="67"/>
      <c r="AM70" s="176"/>
      <c r="AN70" s="176"/>
      <c r="AO70" s="67"/>
      <c r="AP70" s="67" t="s">
        <v>2867</v>
      </c>
      <c r="AQ70" s="67" t="s">
        <v>2868</v>
      </c>
      <c r="AR70" s="175"/>
      <c r="AS70" s="175" t="s">
        <v>2869</v>
      </c>
      <c r="AT70" s="175" t="s">
        <v>2867</v>
      </c>
      <c r="AU70" s="175"/>
      <c r="AV70" s="178">
        <v>0</v>
      </c>
      <c r="AW70" s="67"/>
      <c r="AX70" s="175" t="s">
        <v>2867</v>
      </c>
      <c r="AY70" s="175" t="s">
        <v>2870</v>
      </c>
      <c r="AZ70" s="175" t="s">
        <v>2871</v>
      </c>
      <c r="BA70" s="175"/>
      <c r="BB70" s="175"/>
      <c r="BC70" s="175" t="s">
        <v>2859</v>
      </c>
      <c r="BD70" s="175" t="s">
        <v>2872</v>
      </c>
      <c r="BE70" s="175" t="s">
        <v>2873</v>
      </c>
      <c r="BF70" s="175" t="s">
        <v>2867</v>
      </c>
      <c r="BG70" s="67"/>
      <c r="BH70" s="179"/>
      <c r="BI70" s="175" t="s">
        <v>2867</v>
      </c>
      <c r="BJ70" s="175"/>
      <c r="BK70" s="175" t="s">
        <v>2867</v>
      </c>
      <c r="BL70" s="175"/>
      <c r="BM70" s="175" t="s">
        <v>2936</v>
      </c>
      <c r="BN70" s="175" t="s">
        <v>2937</v>
      </c>
      <c r="BO70" s="180" t="s">
        <v>2879</v>
      </c>
      <c r="BP70" s="67" t="s">
        <v>2867</v>
      </c>
      <c r="BQ70" s="175" t="s">
        <v>1477</v>
      </c>
      <c r="BR70" s="177" t="s">
        <v>144</v>
      </c>
      <c r="BS70" s="177"/>
      <c r="BT70" s="67" t="s">
        <v>2867</v>
      </c>
      <c r="BU70" s="175"/>
      <c r="BV70" s="176"/>
      <c r="BW70" s="67" t="s">
        <v>2878</v>
      </c>
      <c r="BX70" s="175" t="s">
        <v>3417</v>
      </c>
      <c r="BY70" s="175" t="s">
        <v>1999</v>
      </c>
      <c r="BZ70" s="177"/>
      <c r="CA70" s="175"/>
      <c r="CB70" s="175"/>
      <c r="CC70" s="177"/>
      <c r="CD70" s="177"/>
      <c r="CE70" s="67"/>
      <c r="CF70" s="67"/>
      <c r="CG70" s="177"/>
      <c r="CH70" s="176"/>
      <c r="CI70" s="176"/>
      <c r="CJ70" s="175"/>
      <c r="CK70" s="67" t="s">
        <v>3027</v>
      </c>
      <c r="CL70" s="175" t="s">
        <v>929</v>
      </c>
      <c r="CM70" s="175" t="s">
        <v>3418</v>
      </c>
      <c r="CN70" s="175" t="s">
        <v>3419</v>
      </c>
      <c r="CO70" s="175"/>
      <c r="CP70" s="67" t="s">
        <v>1812</v>
      </c>
      <c r="CQ70" s="175" t="s">
        <v>3027</v>
      </c>
      <c r="CR70" s="175"/>
      <c r="CS70" s="67"/>
      <c r="CT70" s="175" t="s">
        <v>2867</v>
      </c>
      <c r="CU70" s="175"/>
      <c r="CV70" s="181" t="s">
        <v>2879</v>
      </c>
      <c r="CW70" s="67"/>
      <c r="CX70" s="182"/>
      <c r="CY70" s="175" t="s">
        <v>2880</v>
      </c>
      <c r="CZ70" s="175"/>
      <c r="DA70" s="175" t="s">
        <v>3420</v>
      </c>
      <c r="DB70" s="175" t="s">
        <v>3420</v>
      </c>
      <c r="DC70" s="175" t="s">
        <v>3421</v>
      </c>
      <c r="DD70" s="175" t="s">
        <v>3422</v>
      </c>
      <c r="DE70" s="176">
        <v>46175</v>
      </c>
      <c r="DF70" s="175"/>
      <c r="DG70" s="182"/>
      <c r="DH70" s="183">
        <v>1023500</v>
      </c>
      <c r="DI70" s="67"/>
      <c r="DJ70" s="67"/>
      <c r="DK70" s="67"/>
      <c r="DL70" s="67"/>
      <c r="DM70" s="67"/>
      <c r="DN70" s="183">
        <v>0</v>
      </c>
      <c r="DO70" s="183">
        <v>0</v>
      </c>
      <c r="DP70" s="67" t="s">
        <v>2867</v>
      </c>
      <c r="DQ70" s="175"/>
      <c r="DR70" s="175"/>
      <c r="DS70" s="175" t="s">
        <v>2882</v>
      </c>
      <c r="DT70" s="175"/>
      <c r="DU70" s="175"/>
      <c r="DV70" s="175" t="s">
        <v>2883</v>
      </c>
      <c r="DW70" s="175" t="s">
        <v>2884</v>
      </c>
      <c r="DX70" s="175" t="s">
        <v>2879</v>
      </c>
    </row>
    <row r="71" spans="1:128" ht="19.5" customHeight="1">
      <c r="A71" s="173"/>
      <c r="B71" s="174" t="s">
        <v>3423</v>
      </c>
      <c r="C71" s="67"/>
      <c r="D71" s="67"/>
      <c r="E71" s="174" t="s">
        <v>3424</v>
      </c>
      <c r="F71" s="174" t="s">
        <v>2540</v>
      </c>
      <c r="G71" s="175" t="s">
        <v>3425</v>
      </c>
      <c r="H71" s="174" t="s">
        <v>2994</v>
      </c>
      <c r="I71" s="174" t="s">
        <v>2995</v>
      </c>
      <c r="J71" s="175" t="s">
        <v>2859</v>
      </c>
      <c r="K71" s="176">
        <v>46175</v>
      </c>
      <c r="L71" s="67" t="s">
        <v>2916</v>
      </c>
      <c r="M71" s="175" t="s">
        <v>2338</v>
      </c>
      <c r="N71" s="67" t="s">
        <v>2338</v>
      </c>
      <c r="O71" s="67" t="s">
        <v>2328</v>
      </c>
      <c r="P71" s="67" t="s">
        <v>2862</v>
      </c>
      <c r="Q71" s="67"/>
      <c r="R71" s="67"/>
      <c r="S71" s="67" t="s">
        <v>110</v>
      </c>
      <c r="T71" s="177" t="s">
        <v>3124</v>
      </c>
      <c r="U71" s="67" t="s">
        <v>116</v>
      </c>
      <c r="V71" s="67" t="s">
        <v>2922</v>
      </c>
      <c r="W71" s="175" t="s">
        <v>2865</v>
      </c>
      <c r="X71" s="67" t="s">
        <v>2568</v>
      </c>
      <c r="Y71" s="67" t="s">
        <v>2866</v>
      </c>
      <c r="Z71" s="67" t="s">
        <v>2569</v>
      </c>
      <c r="AA71" s="175" t="s">
        <v>2947</v>
      </c>
      <c r="AB71" s="175" t="s">
        <v>3426</v>
      </c>
      <c r="AC71" s="175" t="s">
        <v>3427</v>
      </c>
      <c r="AD71" s="175" t="s">
        <v>3428</v>
      </c>
      <c r="AE71" s="175" t="s">
        <v>3429</v>
      </c>
      <c r="AF71" s="176"/>
      <c r="AG71" s="176"/>
      <c r="AH71" s="176"/>
      <c r="AI71" s="67"/>
      <c r="AJ71" s="67"/>
      <c r="AK71" s="67" t="s">
        <v>2867</v>
      </c>
      <c r="AL71" s="67"/>
      <c r="AM71" s="176"/>
      <c r="AN71" s="176"/>
      <c r="AO71" s="67"/>
      <c r="AP71" s="67" t="s">
        <v>2867</v>
      </c>
      <c r="AQ71" s="67" t="s">
        <v>2868</v>
      </c>
      <c r="AR71" s="175"/>
      <c r="AS71" s="175" t="s">
        <v>2869</v>
      </c>
      <c r="AT71" s="175" t="s">
        <v>2867</v>
      </c>
      <c r="AU71" s="175"/>
      <c r="AV71" s="178">
        <v>0</v>
      </c>
      <c r="AW71" s="67"/>
      <c r="AX71" s="175" t="s">
        <v>2867</v>
      </c>
      <c r="AY71" s="175" t="s">
        <v>2870</v>
      </c>
      <c r="AZ71" s="175" t="s">
        <v>2871</v>
      </c>
      <c r="BA71" s="175"/>
      <c r="BB71" s="175"/>
      <c r="BC71" s="175" t="s">
        <v>2859</v>
      </c>
      <c r="BD71" s="175" t="s">
        <v>2872</v>
      </c>
      <c r="BE71" s="175" t="s">
        <v>2873</v>
      </c>
      <c r="BF71" s="175" t="s">
        <v>2867</v>
      </c>
      <c r="BG71" s="67"/>
      <c r="BH71" s="179"/>
      <c r="BI71" s="175" t="s">
        <v>2867</v>
      </c>
      <c r="BJ71" s="175"/>
      <c r="BK71" s="175" t="s">
        <v>2867</v>
      </c>
      <c r="BL71" s="175"/>
      <c r="BM71" s="175" t="s">
        <v>3155</v>
      </c>
      <c r="BN71" s="175" t="s">
        <v>3156</v>
      </c>
      <c r="BO71" s="180"/>
      <c r="BP71" s="67" t="s">
        <v>2867</v>
      </c>
      <c r="BQ71" s="175" t="s">
        <v>1477</v>
      </c>
      <c r="BR71" s="177" t="s">
        <v>144</v>
      </c>
      <c r="BS71" s="177"/>
      <c r="BT71" s="67" t="s">
        <v>2867</v>
      </c>
      <c r="BU71" s="175"/>
      <c r="BV71" s="176"/>
      <c r="BW71" s="67" t="s">
        <v>2878</v>
      </c>
      <c r="BX71" s="175" t="s">
        <v>3430</v>
      </c>
      <c r="BY71" s="175" t="s">
        <v>2003</v>
      </c>
      <c r="BZ71" s="177"/>
      <c r="CA71" s="175"/>
      <c r="CB71" s="175"/>
      <c r="CC71" s="177"/>
      <c r="CD71" s="177"/>
      <c r="CE71" s="67"/>
      <c r="CF71" s="67"/>
      <c r="CG71" s="177"/>
      <c r="CH71" s="176"/>
      <c r="CI71" s="176"/>
      <c r="CJ71" s="175"/>
      <c r="CK71" s="67" t="s">
        <v>2867</v>
      </c>
      <c r="CL71" s="175"/>
      <c r="CM71" s="175"/>
      <c r="CN71" s="175"/>
      <c r="CO71" s="175"/>
      <c r="CP71" s="67" t="s">
        <v>1805</v>
      </c>
      <c r="CQ71" s="175" t="s">
        <v>3027</v>
      </c>
      <c r="CR71" s="175"/>
      <c r="CS71" s="67"/>
      <c r="CT71" s="175" t="s">
        <v>2867</v>
      </c>
      <c r="CU71" s="175"/>
      <c r="CV71" s="181" t="s">
        <v>2879</v>
      </c>
      <c r="CW71" s="67"/>
      <c r="CX71" s="182"/>
      <c r="CY71" s="175" t="s">
        <v>2880</v>
      </c>
      <c r="CZ71" s="175"/>
      <c r="DA71" s="175" t="s">
        <v>3420</v>
      </c>
      <c r="DB71" s="175" t="s">
        <v>3420</v>
      </c>
      <c r="DC71" s="175" t="s">
        <v>3431</v>
      </c>
      <c r="DD71" s="175"/>
      <c r="DE71" s="176">
        <v>46176</v>
      </c>
      <c r="DF71" s="175"/>
      <c r="DG71" s="182"/>
      <c r="DH71" s="183">
        <v>1002200</v>
      </c>
      <c r="DI71" s="67"/>
      <c r="DJ71" s="67"/>
      <c r="DK71" s="67"/>
      <c r="DL71" s="67"/>
      <c r="DM71" s="67"/>
      <c r="DN71" s="183">
        <v>0</v>
      </c>
      <c r="DO71" s="183">
        <v>0</v>
      </c>
      <c r="DP71" s="67" t="s">
        <v>2867</v>
      </c>
      <c r="DQ71" s="175"/>
      <c r="DR71" s="175"/>
      <c r="DS71" s="175" t="s">
        <v>2882</v>
      </c>
      <c r="DT71" s="175"/>
      <c r="DU71" s="175"/>
      <c r="DV71" s="175" t="s">
        <v>2883</v>
      </c>
      <c r="DW71" s="175" t="s">
        <v>2884</v>
      </c>
      <c r="DX71" s="175" t="s">
        <v>2879</v>
      </c>
    </row>
    <row r="72" spans="1:128" ht="19.5" customHeight="1">
      <c r="A72" s="173"/>
      <c r="B72" s="174" t="s">
        <v>3432</v>
      </c>
      <c r="C72" s="67"/>
      <c r="D72" s="67"/>
      <c r="E72" s="174" t="s">
        <v>3433</v>
      </c>
      <c r="F72" s="174" t="s">
        <v>2649</v>
      </c>
      <c r="G72" s="175" t="s">
        <v>3434</v>
      </c>
      <c r="H72" s="174" t="s">
        <v>2994</v>
      </c>
      <c r="I72" s="174" t="s">
        <v>2995</v>
      </c>
      <c r="J72" s="175" t="s">
        <v>2859</v>
      </c>
      <c r="K72" s="176">
        <v>46175</v>
      </c>
      <c r="L72" s="67" t="s">
        <v>2943</v>
      </c>
      <c r="M72" s="175" t="s">
        <v>2338</v>
      </c>
      <c r="N72" s="67" t="s">
        <v>2338</v>
      </c>
      <c r="O72" s="67" t="s">
        <v>2328</v>
      </c>
      <c r="P72" s="67" t="s">
        <v>2862</v>
      </c>
      <c r="Q72" s="67"/>
      <c r="R72" s="67"/>
      <c r="S72" s="67" t="s">
        <v>110</v>
      </c>
      <c r="T72" s="177" t="s">
        <v>2863</v>
      </c>
      <c r="U72" s="67" t="s">
        <v>116</v>
      </c>
      <c r="V72" s="67" t="s">
        <v>2944</v>
      </c>
      <c r="W72" s="175" t="s">
        <v>2865</v>
      </c>
      <c r="X72" s="67" t="s">
        <v>2653</v>
      </c>
      <c r="Y72" s="67" t="s">
        <v>2866</v>
      </c>
      <c r="Z72" s="67" t="s">
        <v>2654</v>
      </c>
      <c r="AA72" s="175" t="s">
        <v>2947</v>
      </c>
      <c r="AB72" s="175" t="s">
        <v>3302</v>
      </c>
      <c r="AC72" s="175" t="s">
        <v>3303</v>
      </c>
      <c r="AD72" s="175" t="s">
        <v>3304</v>
      </c>
      <c r="AE72" s="175" t="s">
        <v>3305</v>
      </c>
      <c r="AF72" s="176"/>
      <c r="AG72" s="176"/>
      <c r="AH72" s="176"/>
      <c r="AI72" s="67"/>
      <c r="AJ72" s="67"/>
      <c r="AK72" s="67" t="s">
        <v>2867</v>
      </c>
      <c r="AL72" s="67"/>
      <c r="AM72" s="176"/>
      <c r="AN72" s="176"/>
      <c r="AO72" s="67"/>
      <c r="AP72" s="67" t="s">
        <v>2867</v>
      </c>
      <c r="AQ72" s="67" t="s">
        <v>2868</v>
      </c>
      <c r="AR72" s="175"/>
      <c r="AS72" s="175" t="s">
        <v>2869</v>
      </c>
      <c r="AT72" s="175" t="s">
        <v>2867</v>
      </c>
      <c r="AU72" s="175"/>
      <c r="AV72" s="178">
        <v>0</v>
      </c>
      <c r="AW72" s="67"/>
      <c r="AX72" s="175" t="s">
        <v>2867</v>
      </c>
      <c r="AY72" s="175" t="s">
        <v>2870</v>
      </c>
      <c r="AZ72" s="175" t="s">
        <v>2871</v>
      </c>
      <c r="BA72" s="175"/>
      <c r="BB72" s="175"/>
      <c r="BC72" s="175" t="s">
        <v>2859</v>
      </c>
      <c r="BD72" s="175" t="s">
        <v>2872</v>
      </c>
      <c r="BE72" s="175" t="s">
        <v>2873</v>
      </c>
      <c r="BF72" s="175" t="s">
        <v>2867</v>
      </c>
      <c r="BG72" s="67"/>
      <c r="BH72" s="179"/>
      <c r="BI72" s="175" t="s">
        <v>2867</v>
      </c>
      <c r="BJ72" s="175"/>
      <c r="BK72" s="175" t="s">
        <v>2867</v>
      </c>
      <c r="BL72" s="175"/>
      <c r="BM72" s="175" t="s">
        <v>2936</v>
      </c>
      <c r="BN72" s="175" t="s">
        <v>2937</v>
      </c>
      <c r="BO72" s="180" t="s">
        <v>2879</v>
      </c>
      <c r="BP72" s="67" t="s">
        <v>2867</v>
      </c>
      <c r="BQ72" s="175" t="s">
        <v>1477</v>
      </c>
      <c r="BR72" s="177" t="s">
        <v>144</v>
      </c>
      <c r="BS72" s="177"/>
      <c r="BT72" s="67" t="s">
        <v>2867</v>
      </c>
      <c r="BU72" s="175"/>
      <c r="BV72" s="176"/>
      <c r="BW72" s="67" t="s">
        <v>2878</v>
      </c>
      <c r="BX72" s="175" t="s">
        <v>3435</v>
      </c>
      <c r="BY72" s="175" t="s">
        <v>1999</v>
      </c>
      <c r="BZ72" s="177"/>
      <c r="CA72" s="175"/>
      <c r="CB72" s="175"/>
      <c r="CC72" s="177"/>
      <c r="CD72" s="177"/>
      <c r="CE72" s="67"/>
      <c r="CF72" s="67"/>
      <c r="CG72" s="177"/>
      <c r="CH72" s="176"/>
      <c r="CI72" s="176"/>
      <c r="CJ72" s="175"/>
      <c r="CK72" s="67" t="s">
        <v>2867</v>
      </c>
      <c r="CL72" s="175"/>
      <c r="CM72" s="175"/>
      <c r="CN72" s="175"/>
      <c r="CO72" s="175"/>
      <c r="CP72" s="67" t="s">
        <v>1805</v>
      </c>
      <c r="CQ72" s="175" t="s">
        <v>3027</v>
      </c>
      <c r="CR72" s="175"/>
      <c r="CS72" s="67"/>
      <c r="CT72" s="175" t="s">
        <v>2867</v>
      </c>
      <c r="CU72" s="175"/>
      <c r="CV72" s="181" t="s">
        <v>2879</v>
      </c>
      <c r="CW72" s="67"/>
      <c r="CX72" s="182"/>
      <c r="CY72" s="175" t="s">
        <v>2880</v>
      </c>
      <c r="CZ72" s="175"/>
      <c r="DA72" s="175" t="s">
        <v>3420</v>
      </c>
      <c r="DB72" s="175" t="s">
        <v>3420</v>
      </c>
      <c r="DC72" s="175" t="s">
        <v>3436</v>
      </c>
      <c r="DD72" s="175"/>
      <c r="DE72" s="176">
        <v>46176</v>
      </c>
      <c r="DF72" s="175"/>
      <c r="DG72" s="182"/>
      <c r="DH72" s="183">
        <v>1023500</v>
      </c>
      <c r="DI72" s="67"/>
      <c r="DJ72" s="67"/>
      <c r="DK72" s="67"/>
      <c r="DL72" s="67"/>
      <c r="DM72" s="67"/>
      <c r="DN72" s="183">
        <v>0</v>
      </c>
      <c r="DO72" s="183">
        <v>0</v>
      </c>
      <c r="DP72" s="67" t="s">
        <v>2867</v>
      </c>
      <c r="DQ72" s="175"/>
      <c r="DR72" s="175"/>
      <c r="DS72" s="175" t="s">
        <v>2882</v>
      </c>
      <c r="DT72" s="175"/>
      <c r="DU72" s="175"/>
      <c r="DV72" s="175" t="s">
        <v>2883</v>
      </c>
      <c r="DW72" s="175" t="s">
        <v>2884</v>
      </c>
      <c r="DX72" s="175" t="s">
        <v>2879</v>
      </c>
    </row>
    <row r="73" spans="1:128" ht="19.5" customHeight="1">
      <c r="A73" s="173" t="s">
        <v>3268</v>
      </c>
      <c r="B73" s="174" t="s">
        <v>3437</v>
      </c>
      <c r="C73" s="67"/>
      <c r="D73" s="67"/>
      <c r="E73" s="174" t="s">
        <v>3438</v>
      </c>
      <c r="F73" s="174" t="s">
        <v>2652</v>
      </c>
      <c r="G73" s="175" t="s">
        <v>3439</v>
      </c>
      <c r="H73" s="174" t="s">
        <v>2994</v>
      </c>
      <c r="I73" s="174" t="s">
        <v>2995</v>
      </c>
      <c r="J73" s="175" t="s">
        <v>2859</v>
      </c>
      <c r="K73" s="176">
        <v>46175</v>
      </c>
      <c r="L73" s="67" t="s">
        <v>2969</v>
      </c>
      <c r="M73" s="175" t="s">
        <v>2338</v>
      </c>
      <c r="N73" s="67" t="s">
        <v>2338</v>
      </c>
      <c r="O73" s="67" t="s">
        <v>2328</v>
      </c>
      <c r="P73" s="67" t="s">
        <v>2862</v>
      </c>
      <c r="Q73" s="67"/>
      <c r="R73" s="67"/>
      <c r="S73" s="67" t="s">
        <v>110</v>
      </c>
      <c r="T73" s="177" t="s">
        <v>2863</v>
      </c>
      <c r="U73" s="67" t="s">
        <v>116</v>
      </c>
      <c r="V73" s="67" t="s">
        <v>2944</v>
      </c>
      <c r="W73" s="175" t="s">
        <v>2865</v>
      </c>
      <c r="X73" s="67" t="s">
        <v>2659</v>
      </c>
      <c r="Y73" s="67" t="s">
        <v>2866</v>
      </c>
      <c r="Z73" s="67" t="s">
        <v>2660</v>
      </c>
      <c r="AA73" s="175" t="s">
        <v>2947</v>
      </c>
      <c r="AB73" s="175" t="s">
        <v>3088</v>
      </c>
      <c r="AC73" s="175" t="s">
        <v>3089</v>
      </c>
      <c r="AD73" s="175" t="s">
        <v>3090</v>
      </c>
      <c r="AE73" s="175" t="s">
        <v>3091</v>
      </c>
      <c r="AF73" s="176"/>
      <c r="AG73" s="176"/>
      <c r="AH73" s="176"/>
      <c r="AI73" s="67"/>
      <c r="AJ73" s="67"/>
      <c r="AK73" s="67" t="s">
        <v>2867</v>
      </c>
      <c r="AL73" s="67"/>
      <c r="AM73" s="176"/>
      <c r="AN73" s="176"/>
      <c r="AO73" s="67"/>
      <c r="AP73" s="67" t="s">
        <v>2867</v>
      </c>
      <c r="AQ73" s="67" t="s">
        <v>2868</v>
      </c>
      <c r="AR73" s="175"/>
      <c r="AS73" s="175" t="s">
        <v>2869</v>
      </c>
      <c r="AT73" s="175" t="s">
        <v>2867</v>
      </c>
      <c r="AU73" s="175"/>
      <c r="AV73" s="178">
        <v>0</v>
      </c>
      <c r="AW73" s="67"/>
      <c r="AX73" s="175" t="s">
        <v>2867</v>
      </c>
      <c r="AY73" s="175" t="s">
        <v>2870</v>
      </c>
      <c r="AZ73" s="175" t="s">
        <v>2871</v>
      </c>
      <c r="BA73" s="175"/>
      <c r="BB73" s="175"/>
      <c r="BC73" s="175" t="s">
        <v>2859</v>
      </c>
      <c r="BD73" s="175" t="s">
        <v>2872</v>
      </c>
      <c r="BE73" s="175" t="s">
        <v>2873</v>
      </c>
      <c r="BF73" s="175" t="s">
        <v>2867</v>
      </c>
      <c r="BG73" s="67"/>
      <c r="BH73" s="179"/>
      <c r="BI73" s="175" t="s">
        <v>2867</v>
      </c>
      <c r="BJ73" s="175"/>
      <c r="BK73" s="175" t="s">
        <v>2867</v>
      </c>
      <c r="BL73" s="175"/>
      <c r="BM73" s="175" t="s">
        <v>2936</v>
      </c>
      <c r="BN73" s="175" t="s">
        <v>2937</v>
      </c>
      <c r="BO73" s="180" t="s">
        <v>2879</v>
      </c>
      <c r="BP73" s="67" t="s">
        <v>2867</v>
      </c>
      <c r="BQ73" s="175" t="s">
        <v>1477</v>
      </c>
      <c r="BR73" s="177" t="s">
        <v>144</v>
      </c>
      <c r="BS73" s="177"/>
      <c r="BT73" s="67" t="s">
        <v>2867</v>
      </c>
      <c r="BU73" s="175"/>
      <c r="BV73" s="176"/>
      <c r="BW73" s="67" t="s">
        <v>2878</v>
      </c>
      <c r="BX73" s="175" t="s">
        <v>3440</v>
      </c>
      <c r="BY73" s="175" t="s">
        <v>1999</v>
      </c>
      <c r="BZ73" s="177"/>
      <c r="CA73" s="175" t="s">
        <v>3441</v>
      </c>
      <c r="CB73" s="175"/>
      <c r="CC73" s="177"/>
      <c r="CD73" s="177"/>
      <c r="CE73" s="67"/>
      <c r="CF73" s="67"/>
      <c r="CG73" s="177"/>
      <c r="CH73" s="176"/>
      <c r="CI73" s="176"/>
      <c r="CJ73" s="175"/>
      <c r="CK73" s="67" t="s">
        <v>3027</v>
      </c>
      <c r="CL73" s="175" t="s">
        <v>929</v>
      </c>
      <c r="CM73" s="175" t="s">
        <v>3442</v>
      </c>
      <c r="CN73" s="175" t="s">
        <v>3419</v>
      </c>
      <c r="CO73" s="175"/>
      <c r="CP73" s="67" t="s">
        <v>1805</v>
      </c>
      <c r="CQ73" s="175" t="s">
        <v>3027</v>
      </c>
      <c r="CR73" s="175" t="s">
        <v>3443</v>
      </c>
      <c r="CS73" s="67"/>
      <c r="CT73" s="175" t="s">
        <v>2867</v>
      </c>
      <c r="CU73" s="175"/>
      <c r="CV73" s="181" t="s">
        <v>2879</v>
      </c>
      <c r="CW73" s="67"/>
      <c r="CX73" s="182"/>
      <c r="CY73" s="175" t="s">
        <v>2880</v>
      </c>
      <c r="CZ73" s="175"/>
      <c r="DA73" s="175" t="s">
        <v>3420</v>
      </c>
      <c r="DB73" s="175" t="s">
        <v>3420</v>
      </c>
      <c r="DC73" s="175" t="s">
        <v>3436</v>
      </c>
      <c r="DD73" s="175"/>
      <c r="DE73" s="176">
        <v>46175</v>
      </c>
      <c r="DF73" s="175"/>
      <c r="DG73" s="182"/>
      <c r="DH73" s="183">
        <v>1023500</v>
      </c>
      <c r="DI73" s="67"/>
      <c r="DJ73" s="67"/>
      <c r="DK73" s="67"/>
      <c r="DL73" s="67"/>
      <c r="DM73" s="67"/>
      <c r="DN73" s="183">
        <v>0</v>
      </c>
      <c r="DO73" s="183">
        <v>0</v>
      </c>
      <c r="DP73" s="67" t="s">
        <v>2867</v>
      </c>
      <c r="DQ73" s="175"/>
      <c r="DR73" s="175"/>
      <c r="DS73" s="175" t="s">
        <v>2882</v>
      </c>
      <c r="DT73" s="175"/>
      <c r="DU73" s="175"/>
      <c r="DV73" s="175" t="s">
        <v>2883</v>
      </c>
      <c r="DW73" s="175" t="s">
        <v>2884</v>
      </c>
      <c r="DX73" s="175" t="s">
        <v>2879</v>
      </c>
    </row>
    <row r="74" spans="1:128" ht="19.5" customHeight="1">
      <c r="A74" s="173" t="s">
        <v>3268</v>
      </c>
      <c r="B74" s="174" t="s">
        <v>3444</v>
      </c>
      <c r="C74" s="67"/>
      <c r="D74" s="67"/>
      <c r="E74" s="174" t="s">
        <v>3445</v>
      </c>
      <c r="F74" s="174" t="s">
        <v>2663</v>
      </c>
      <c r="G74" s="175" t="s">
        <v>3446</v>
      </c>
      <c r="H74" s="174" t="s">
        <v>2994</v>
      </c>
      <c r="I74" s="174" t="s">
        <v>2995</v>
      </c>
      <c r="J74" s="175" t="s">
        <v>2859</v>
      </c>
      <c r="K74" s="176">
        <v>46175</v>
      </c>
      <c r="L74" s="67" t="s">
        <v>2889</v>
      </c>
      <c r="M74" s="175" t="s">
        <v>2338</v>
      </c>
      <c r="N74" s="67" t="s">
        <v>2338</v>
      </c>
      <c r="O74" s="67" t="s">
        <v>2328</v>
      </c>
      <c r="P74" s="67" t="s">
        <v>2862</v>
      </c>
      <c r="Q74" s="67"/>
      <c r="R74" s="67"/>
      <c r="S74" s="67" t="s">
        <v>110</v>
      </c>
      <c r="T74" s="177" t="s">
        <v>2863</v>
      </c>
      <c r="U74" s="67" t="s">
        <v>116</v>
      </c>
      <c r="V74" s="67" t="s">
        <v>2864</v>
      </c>
      <c r="W74" s="175" t="s">
        <v>2865</v>
      </c>
      <c r="X74" s="67" t="s">
        <v>2669</v>
      </c>
      <c r="Y74" s="67" t="s">
        <v>2866</v>
      </c>
      <c r="Z74" s="67" t="s">
        <v>2670</v>
      </c>
      <c r="AA74" s="175" t="s">
        <v>2947</v>
      </c>
      <c r="AB74" s="175" t="s">
        <v>3447</v>
      </c>
      <c r="AC74" s="175" t="s">
        <v>3448</v>
      </c>
      <c r="AD74" s="175" t="s">
        <v>3449</v>
      </c>
      <c r="AE74" s="175" t="s">
        <v>3450</v>
      </c>
      <c r="AF74" s="176"/>
      <c r="AG74" s="176"/>
      <c r="AH74" s="176"/>
      <c r="AI74" s="67"/>
      <c r="AJ74" s="67"/>
      <c r="AK74" s="67" t="s">
        <v>2867</v>
      </c>
      <c r="AL74" s="67"/>
      <c r="AM74" s="176"/>
      <c r="AN74" s="176"/>
      <c r="AO74" s="67"/>
      <c r="AP74" s="67" t="s">
        <v>2867</v>
      </c>
      <c r="AQ74" s="67" t="s">
        <v>2868</v>
      </c>
      <c r="AR74" s="175"/>
      <c r="AS74" s="175" t="s">
        <v>2869</v>
      </c>
      <c r="AT74" s="175" t="s">
        <v>2867</v>
      </c>
      <c r="AU74" s="175"/>
      <c r="AV74" s="178">
        <v>0</v>
      </c>
      <c r="AW74" s="67"/>
      <c r="AX74" s="175" t="s">
        <v>2867</v>
      </c>
      <c r="AY74" s="175" t="s">
        <v>2870</v>
      </c>
      <c r="AZ74" s="175" t="s">
        <v>2871</v>
      </c>
      <c r="BA74" s="175"/>
      <c r="BB74" s="175"/>
      <c r="BC74" s="175" t="s">
        <v>2859</v>
      </c>
      <c r="BD74" s="175" t="s">
        <v>2872</v>
      </c>
      <c r="BE74" s="175" t="s">
        <v>2873</v>
      </c>
      <c r="BF74" s="175" t="s">
        <v>2867</v>
      </c>
      <c r="BG74" s="67"/>
      <c r="BH74" s="179"/>
      <c r="BI74" s="175" t="s">
        <v>2867</v>
      </c>
      <c r="BJ74" s="175"/>
      <c r="BK74" s="175" t="s">
        <v>2867</v>
      </c>
      <c r="BL74" s="175"/>
      <c r="BM74" s="175" t="s">
        <v>2936</v>
      </c>
      <c r="BN74" s="175" t="s">
        <v>2937</v>
      </c>
      <c r="BO74" s="180" t="s">
        <v>2879</v>
      </c>
      <c r="BP74" s="67" t="s">
        <v>2867</v>
      </c>
      <c r="BQ74" s="175" t="s">
        <v>1477</v>
      </c>
      <c r="BR74" s="177" t="s">
        <v>144</v>
      </c>
      <c r="BS74" s="177"/>
      <c r="BT74" s="67" t="s">
        <v>2867</v>
      </c>
      <c r="BU74" s="175"/>
      <c r="BV74" s="176"/>
      <c r="BW74" s="67" t="s">
        <v>2878</v>
      </c>
      <c r="BX74" s="175" t="s">
        <v>3451</v>
      </c>
      <c r="BY74" s="175" t="s">
        <v>1999</v>
      </c>
      <c r="BZ74" s="177"/>
      <c r="CA74" s="175"/>
      <c r="CB74" s="175"/>
      <c r="CC74" s="177"/>
      <c r="CD74" s="177"/>
      <c r="CE74" s="67"/>
      <c r="CF74" s="67"/>
      <c r="CG74" s="177"/>
      <c r="CH74" s="176"/>
      <c r="CI74" s="176"/>
      <c r="CJ74" s="175"/>
      <c r="CK74" s="67" t="s">
        <v>3027</v>
      </c>
      <c r="CL74" s="175" t="s">
        <v>929</v>
      </c>
      <c r="CM74" s="175" t="s">
        <v>3442</v>
      </c>
      <c r="CN74" s="175" t="s">
        <v>3452</v>
      </c>
      <c r="CO74" s="175"/>
      <c r="CP74" s="67" t="s">
        <v>1805</v>
      </c>
      <c r="CQ74" s="175" t="s">
        <v>3027</v>
      </c>
      <c r="CR74" s="175"/>
      <c r="CS74" s="67"/>
      <c r="CT74" s="175" t="s">
        <v>2867</v>
      </c>
      <c r="CU74" s="175"/>
      <c r="CV74" s="181" t="s">
        <v>2879</v>
      </c>
      <c r="CW74" s="67"/>
      <c r="CX74" s="182"/>
      <c r="CY74" s="175" t="s">
        <v>2880</v>
      </c>
      <c r="CZ74" s="175"/>
      <c r="DA74" s="175" t="s">
        <v>3420</v>
      </c>
      <c r="DB74" s="175" t="s">
        <v>3420</v>
      </c>
      <c r="DC74" s="175" t="s">
        <v>3453</v>
      </c>
      <c r="DD74" s="175"/>
      <c r="DE74" s="176">
        <v>46176</v>
      </c>
      <c r="DF74" s="175"/>
      <c r="DG74" s="182"/>
      <c r="DH74" s="183">
        <v>909100</v>
      </c>
      <c r="DI74" s="67"/>
      <c r="DJ74" s="67"/>
      <c r="DK74" s="67"/>
      <c r="DL74" s="67"/>
      <c r="DM74" s="67"/>
      <c r="DN74" s="183">
        <v>0</v>
      </c>
      <c r="DO74" s="183">
        <v>0</v>
      </c>
      <c r="DP74" s="67" t="s">
        <v>2867</v>
      </c>
      <c r="DQ74" s="175"/>
      <c r="DR74" s="175"/>
      <c r="DS74" s="175" t="s">
        <v>2882</v>
      </c>
      <c r="DT74" s="175"/>
      <c r="DU74" s="175"/>
      <c r="DV74" s="175" t="s">
        <v>2883</v>
      </c>
      <c r="DW74" s="175" t="s">
        <v>2884</v>
      </c>
      <c r="DX74" s="175" t="s">
        <v>2879</v>
      </c>
    </row>
    <row r="75" spans="1:128" ht="19.5" customHeight="1">
      <c r="A75" s="173" t="s">
        <v>3268</v>
      </c>
      <c r="B75" s="174" t="s">
        <v>3454</v>
      </c>
      <c r="C75" s="67"/>
      <c r="D75" s="67"/>
      <c r="E75" s="174" t="s">
        <v>3455</v>
      </c>
      <c r="F75" s="174" t="s">
        <v>2674</v>
      </c>
      <c r="G75" s="175" t="s">
        <v>3456</v>
      </c>
      <c r="H75" s="174" t="s">
        <v>2994</v>
      </c>
      <c r="I75" s="174" t="s">
        <v>2995</v>
      </c>
      <c r="J75" s="175" t="s">
        <v>2859</v>
      </c>
      <c r="K75" s="176">
        <v>46175</v>
      </c>
      <c r="L75" s="67" t="s">
        <v>2906</v>
      </c>
      <c r="M75" s="175" t="s">
        <v>2338</v>
      </c>
      <c r="N75" s="67" t="s">
        <v>2338</v>
      </c>
      <c r="O75" s="67" t="s">
        <v>2328</v>
      </c>
      <c r="P75" s="67" t="s">
        <v>2862</v>
      </c>
      <c r="Q75" s="67"/>
      <c r="R75" s="67"/>
      <c r="S75" s="67" t="s">
        <v>110</v>
      </c>
      <c r="T75" s="177" t="s">
        <v>2863</v>
      </c>
      <c r="U75" s="67" t="s">
        <v>116</v>
      </c>
      <c r="V75" s="67" t="s">
        <v>3189</v>
      </c>
      <c r="W75" s="175" t="s">
        <v>2865</v>
      </c>
      <c r="X75" s="67" t="s">
        <v>2677</v>
      </c>
      <c r="Y75" s="67" t="s">
        <v>2866</v>
      </c>
      <c r="Z75" s="67" t="s">
        <v>2678</v>
      </c>
      <c r="AA75" s="175" t="s">
        <v>2947</v>
      </c>
      <c r="AB75" s="175" t="s">
        <v>3457</v>
      </c>
      <c r="AC75" s="175" t="s">
        <v>3458</v>
      </c>
      <c r="AD75" s="175" t="s">
        <v>3459</v>
      </c>
      <c r="AE75" s="175" t="s">
        <v>3460</v>
      </c>
      <c r="AF75" s="176"/>
      <c r="AG75" s="176"/>
      <c r="AH75" s="176"/>
      <c r="AI75" s="67"/>
      <c r="AJ75" s="67"/>
      <c r="AK75" s="67" t="s">
        <v>2867</v>
      </c>
      <c r="AL75" s="67"/>
      <c r="AM75" s="176"/>
      <c r="AN75" s="176"/>
      <c r="AO75" s="67"/>
      <c r="AP75" s="67" t="s">
        <v>2867</v>
      </c>
      <c r="AQ75" s="67" t="s">
        <v>2868</v>
      </c>
      <c r="AR75" s="175"/>
      <c r="AS75" s="175" t="s">
        <v>2869</v>
      </c>
      <c r="AT75" s="175" t="s">
        <v>2867</v>
      </c>
      <c r="AU75" s="175"/>
      <c r="AV75" s="178">
        <v>0</v>
      </c>
      <c r="AW75" s="67"/>
      <c r="AX75" s="175" t="s">
        <v>2867</v>
      </c>
      <c r="AY75" s="175" t="s">
        <v>2870</v>
      </c>
      <c r="AZ75" s="175" t="s">
        <v>2871</v>
      </c>
      <c r="BA75" s="175"/>
      <c r="BB75" s="175"/>
      <c r="BC75" s="175" t="s">
        <v>2859</v>
      </c>
      <c r="BD75" s="175" t="s">
        <v>2872</v>
      </c>
      <c r="BE75" s="175" t="s">
        <v>2873</v>
      </c>
      <c r="BF75" s="175" t="s">
        <v>2867</v>
      </c>
      <c r="BG75" s="67"/>
      <c r="BH75" s="179"/>
      <c r="BI75" s="175" t="s">
        <v>2867</v>
      </c>
      <c r="BJ75" s="175"/>
      <c r="BK75" s="175" t="s">
        <v>2867</v>
      </c>
      <c r="BL75" s="175"/>
      <c r="BM75" s="175" t="s">
        <v>2936</v>
      </c>
      <c r="BN75" s="175" t="s">
        <v>2937</v>
      </c>
      <c r="BO75" s="180" t="s">
        <v>2879</v>
      </c>
      <c r="BP75" s="67" t="s">
        <v>2867</v>
      </c>
      <c r="BQ75" s="175" t="s">
        <v>1477</v>
      </c>
      <c r="BR75" s="177" t="s">
        <v>144</v>
      </c>
      <c r="BS75" s="177"/>
      <c r="BT75" s="67" t="s">
        <v>2867</v>
      </c>
      <c r="BU75" s="175"/>
      <c r="BV75" s="176"/>
      <c r="BW75" s="67" t="s">
        <v>2878</v>
      </c>
      <c r="BX75" s="175" t="s">
        <v>3461</v>
      </c>
      <c r="BY75" s="175" t="s">
        <v>1999</v>
      </c>
      <c r="BZ75" s="177"/>
      <c r="CA75" s="175"/>
      <c r="CB75" s="175"/>
      <c r="CC75" s="177"/>
      <c r="CD75" s="177"/>
      <c r="CE75" s="67"/>
      <c r="CF75" s="67"/>
      <c r="CG75" s="177"/>
      <c r="CH75" s="176"/>
      <c r="CI75" s="176"/>
      <c r="CJ75" s="175"/>
      <c r="CK75" s="67" t="s">
        <v>3027</v>
      </c>
      <c r="CL75" s="175" t="s">
        <v>929</v>
      </c>
      <c r="CM75" s="175" t="s">
        <v>3276</v>
      </c>
      <c r="CN75" s="175" t="s">
        <v>3452</v>
      </c>
      <c r="CO75" s="175"/>
      <c r="CP75" s="67" t="s">
        <v>1805</v>
      </c>
      <c r="CQ75" s="175" t="s">
        <v>3027</v>
      </c>
      <c r="CR75" s="175"/>
      <c r="CS75" s="67"/>
      <c r="CT75" s="175" t="s">
        <v>2867</v>
      </c>
      <c r="CU75" s="175"/>
      <c r="CV75" s="181" t="s">
        <v>2879</v>
      </c>
      <c r="CW75" s="67"/>
      <c r="CX75" s="182"/>
      <c r="CY75" s="175" t="s">
        <v>2880</v>
      </c>
      <c r="CZ75" s="175"/>
      <c r="DA75" s="175" t="s">
        <v>3420</v>
      </c>
      <c r="DB75" s="175" t="s">
        <v>3420</v>
      </c>
      <c r="DC75" s="175" t="s">
        <v>3462</v>
      </c>
      <c r="DD75" s="175"/>
      <c r="DE75" s="176">
        <v>46176</v>
      </c>
      <c r="DF75" s="175"/>
      <c r="DG75" s="182"/>
      <c r="DH75" s="183">
        <v>909100</v>
      </c>
      <c r="DI75" s="67"/>
      <c r="DJ75" s="67"/>
      <c r="DK75" s="67"/>
      <c r="DL75" s="67"/>
      <c r="DM75" s="67"/>
      <c r="DN75" s="183">
        <v>0</v>
      </c>
      <c r="DO75" s="183">
        <v>0</v>
      </c>
      <c r="DP75" s="67" t="s">
        <v>2867</v>
      </c>
      <c r="DQ75" s="175"/>
      <c r="DR75" s="175"/>
      <c r="DS75" s="175" t="s">
        <v>2882</v>
      </c>
      <c r="DT75" s="175"/>
      <c r="DU75" s="175"/>
      <c r="DV75" s="175" t="s">
        <v>2883</v>
      </c>
      <c r="DW75" s="175" t="s">
        <v>2884</v>
      </c>
      <c r="DX75" s="175" t="s">
        <v>2879</v>
      </c>
    </row>
    <row r="76" spans="1:128" ht="19.5" customHeight="1">
      <c r="A76" s="173"/>
      <c r="B76" s="174" t="s">
        <v>3463</v>
      </c>
      <c r="C76" s="67"/>
      <c r="D76" s="67"/>
      <c r="E76" s="174" t="s">
        <v>3464</v>
      </c>
      <c r="F76" s="174" t="s">
        <v>2688</v>
      </c>
      <c r="G76" s="175" t="s">
        <v>3465</v>
      </c>
      <c r="H76" s="174" t="s">
        <v>2994</v>
      </c>
      <c r="I76" s="174" t="s">
        <v>2995</v>
      </c>
      <c r="J76" s="175" t="s">
        <v>2859</v>
      </c>
      <c r="K76" s="176">
        <v>46175</v>
      </c>
      <c r="L76" s="67" t="s">
        <v>2932</v>
      </c>
      <c r="M76" s="175" t="s">
        <v>2334</v>
      </c>
      <c r="N76" s="67" t="s">
        <v>2334</v>
      </c>
      <c r="O76" s="67" t="s">
        <v>2327</v>
      </c>
      <c r="P76" s="67" t="s">
        <v>2890</v>
      </c>
      <c r="Q76" s="67"/>
      <c r="R76" s="67"/>
      <c r="S76" s="67" t="s">
        <v>110</v>
      </c>
      <c r="T76" s="177" t="s">
        <v>2863</v>
      </c>
      <c r="U76" s="67" t="s">
        <v>116</v>
      </c>
      <c r="V76" s="67" t="s">
        <v>2891</v>
      </c>
      <c r="W76" s="175" t="s">
        <v>2865</v>
      </c>
      <c r="X76" s="67" t="s">
        <v>2690</v>
      </c>
      <c r="Y76" s="67" t="s">
        <v>2866</v>
      </c>
      <c r="Z76" s="67" t="s">
        <v>2691</v>
      </c>
      <c r="AA76" s="175" t="s">
        <v>2947</v>
      </c>
      <c r="AB76" s="175" t="s">
        <v>3466</v>
      </c>
      <c r="AC76" s="175" t="s">
        <v>3467</v>
      </c>
      <c r="AD76" s="175" t="s">
        <v>3468</v>
      </c>
      <c r="AE76" s="175" t="s">
        <v>3469</v>
      </c>
      <c r="AF76" s="176"/>
      <c r="AG76" s="176"/>
      <c r="AH76" s="176"/>
      <c r="AI76" s="67"/>
      <c r="AJ76" s="67"/>
      <c r="AK76" s="67" t="s">
        <v>2867</v>
      </c>
      <c r="AL76" s="67"/>
      <c r="AM76" s="176"/>
      <c r="AN76" s="176"/>
      <c r="AO76" s="67"/>
      <c r="AP76" s="67" t="s">
        <v>2867</v>
      </c>
      <c r="AQ76" s="67" t="s">
        <v>2868</v>
      </c>
      <c r="AR76" s="175"/>
      <c r="AS76" s="175" t="s">
        <v>2869</v>
      </c>
      <c r="AT76" s="175" t="s">
        <v>2867</v>
      </c>
      <c r="AU76" s="175"/>
      <c r="AV76" s="178">
        <v>0</v>
      </c>
      <c r="AW76" s="67"/>
      <c r="AX76" s="175" t="s">
        <v>2867</v>
      </c>
      <c r="AY76" s="175" t="s">
        <v>2870</v>
      </c>
      <c r="AZ76" s="175" t="s">
        <v>2871</v>
      </c>
      <c r="BA76" s="175"/>
      <c r="BB76" s="175"/>
      <c r="BC76" s="175" t="s">
        <v>2859</v>
      </c>
      <c r="BD76" s="175" t="s">
        <v>2872</v>
      </c>
      <c r="BE76" s="175" t="s">
        <v>2873</v>
      </c>
      <c r="BF76" s="175" t="s">
        <v>2867</v>
      </c>
      <c r="BG76" s="67"/>
      <c r="BH76" s="179"/>
      <c r="BI76" s="175" t="s">
        <v>2867</v>
      </c>
      <c r="BJ76" s="175"/>
      <c r="BK76" s="175" t="s">
        <v>2867</v>
      </c>
      <c r="BL76" s="175"/>
      <c r="BM76" s="175" t="s">
        <v>3470</v>
      </c>
      <c r="BN76" s="175" t="s">
        <v>3471</v>
      </c>
      <c r="BO76" s="180"/>
      <c r="BP76" s="67" t="s">
        <v>2867</v>
      </c>
      <c r="BQ76" s="175" t="s">
        <v>2523</v>
      </c>
      <c r="BR76" s="177" t="s">
        <v>2332</v>
      </c>
      <c r="BS76" s="177"/>
      <c r="BT76" s="67" t="s">
        <v>2867</v>
      </c>
      <c r="BU76" s="175"/>
      <c r="BV76" s="176"/>
      <c r="BW76" s="67" t="s">
        <v>2878</v>
      </c>
      <c r="BX76" s="175" t="s">
        <v>3472</v>
      </c>
      <c r="BY76" s="175" t="s">
        <v>1999</v>
      </c>
      <c r="BZ76" s="177"/>
      <c r="CA76" s="175"/>
      <c r="CB76" s="175"/>
      <c r="CC76" s="177"/>
      <c r="CD76" s="177"/>
      <c r="CE76" s="67"/>
      <c r="CF76" s="67"/>
      <c r="CG76" s="177"/>
      <c r="CH76" s="176"/>
      <c r="CI76" s="176"/>
      <c r="CJ76" s="175"/>
      <c r="CK76" s="67" t="s">
        <v>2867</v>
      </c>
      <c r="CL76" s="175"/>
      <c r="CM76" s="175"/>
      <c r="CN76" s="175"/>
      <c r="CO76" s="175"/>
      <c r="CP76" s="67" t="s">
        <v>2400</v>
      </c>
      <c r="CQ76" s="175" t="s">
        <v>3027</v>
      </c>
      <c r="CR76" s="175"/>
      <c r="CS76" s="67"/>
      <c r="CT76" s="175" t="s">
        <v>2867</v>
      </c>
      <c r="CU76" s="175"/>
      <c r="CV76" s="181" t="s">
        <v>2879</v>
      </c>
      <c r="CW76" s="67"/>
      <c r="CX76" s="182"/>
      <c r="CY76" s="175" t="s">
        <v>2880</v>
      </c>
      <c r="CZ76" s="175"/>
      <c r="DA76" s="175" t="s">
        <v>3420</v>
      </c>
      <c r="DB76" s="175" t="s">
        <v>3420</v>
      </c>
      <c r="DC76" s="175" t="s">
        <v>3473</v>
      </c>
      <c r="DD76" s="175"/>
      <c r="DE76" s="176">
        <v>46176</v>
      </c>
      <c r="DF76" s="175"/>
      <c r="DG76" s="182"/>
      <c r="DH76" s="183">
        <v>909100</v>
      </c>
      <c r="DI76" s="67"/>
      <c r="DJ76" s="67"/>
      <c r="DK76" s="67"/>
      <c r="DL76" s="67"/>
      <c r="DM76" s="67"/>
      <c r="DN76" s="183">
        <v>0</v>
      </c>
      <c r="DO76" s="183">
        <v>0</v>
      </c>
      <c r="DP76" s="67" t="s">
        <v>2867</v>
      </c>
      <c r="DQ76" s="175"/>
      <c r="DR76" s="175"/>
      <c r="DS76" s="175" t="s">
        <v>2882</v>
      </c>
      <c r="DT76" s="175"/>
      <c r="DU76" s="175"/>
      <c r="DV76" s="175" t="s">
        <v>2883</v>
      </c>
      <c r="DW76" s="175" t="s">
        <v>2884</v>
      </c>
      <c r="DX76" s="175" t="s">
        <v>2879</v>
      </c>
    </row>
    <row r="77" spans="1:128" ht="19.5" customHeight="1">
      <c r="A77" s="173"/>
      <c r="B77" s="174" t="s">
        <v>3474</v>
      </c>
      <c r="C77" s="67"/>
      <c r="D77" s="67"/>
      <c r="E77" s="174" t="s">
        <v>3475</v>
      </c>
      <c r="F77" s="174" t="s">
        <v>2694</v>
      </c>
      <c r="G77" s="175" t="s">
        <v>3476</v>
      </c>
      <c r="H77" s="174" t="s">
        <v>2994</v>
      </c>
      <c r="I77" s="174" t="s">
        <v>2995</v>
      </c>
      <c r="J77" s="175" t="s">
        <v>2859</v>
      </c>
      <c r="K77" s="176">
        <v>46175</v>
      </c>
      <c r="L77" s="67" t="s">
        <v>2860</v>
      </c>
      <c r="M77" s="175" t="s">
        <v>2334</v>
      </c>
      <c r="N77" s="67" t="s">
        <v>2334</v>
      </c>
      <c r="O77" s="67" t="s">
        <v>2327</v>
      </c>
      <c r="P77" s="67" t="s">
        <v>2890</v>
      </c>
      <c r="Q77" s="67"/>
      <c r="R77" s="67"/>
      <c r="S77" s="67" t="s">
        <v>110</v>
      </c>
      <c r="T77" s="177" t="s">
        <v>2863</v>
      </c>
      <c r="U77" s="67" t="s">
        <v>116</v>
      </c>
      <c r="V77" s="67" t="s">
        <v>2891</v>
      </c>
      <c r="W77" s="175" t="s">
        <v>2865</v>
      </c>
      <c r="X77" s="67" t="s">
        <v>2695</v>
      </c>
      <c r="Y77" s="67" t="s">
        <v>2866</v>
      </c>
      <c r="Z77" s="67" t="s">
        <v>2696</v>
      </c>
      <c r="AA77" s="175" t="s">
        <v>2947</v>
      </c>
      <c r="AB77" s="175" t="s">
        <v>3477</v>
      </c>
      <c r="AC77" s="175" t="s">
        <v>3478</v>
      </c>
      <c r="AD77" s="175" t="s">
        <v>3479</v>
      </c>
      <c r="AE77" s="175" t="s">
        <v>3480</v>
      </c>
      <c r="AF77" s="176"/>
      <c r="AG77" s="176"/>
      <c r="AH77" s="176"/>
      <c r="AI77" s="67"/>
      <c r="AJ77" s="67"/>
      <c r="AK77" s="67" t="s">
        <v>2867</v>
      </c>
      <c r="AL77" s="67"/>
      <c r="AM77" s="176"/>
      <c r="AN77" s="176"/>
      <c r="AO77" s="67"/>
      <c r="AP77" s="67" t="s">
        <v>2867</v>
      </c>
      <c r="AQ77" s="67" t="s">
        <v>2868</v>
      </c>
      <c r="AR77" s="175"/>
      <c r="AS77" s="175" t="s">
        <v>2869</v>
      </c>
      <c r="AT77" s="175" t="s">
        <v>2867</v>
      </c>
      <c r="AU77" s="175"/>
      <c r="AV77" s="178">
        <v>0</v>
      </c>
      <c r="AW77" s="67"/>
      <c r="AX77" s="175" t="s">
        <v>2867</v>
      </c>
      <c r="AY77" s="175" t="s">
        <v>2870</v>
      </c>
      <c r="AZ77" s="175" t="s">
        <v>2871</v>
      </c>
      <c r="BA77" s="175"/>
      <c r="BB77" s="175"/>
      <c r="BC77" s="175" t="s">
        <v>2859</v>
      </c>
      <c r="BD77" s="175" t="s">
        <v>2872</v>
      </c>
      <c r="BE77" s="175" t="s">
        <v>2873</v>
      </c>
      <c r="BF77" s="175" t="s">
        <v>2867</v>
      </c>
      <c r="BG77" s="67"/>
      <c r="BH77" s="179"/>
      <c r="BI77" s="175" t="s">
        <v>2867</v>
      </c>
      <c r="BJ77" s="175"/>
      <c r="BK77" s="175" t="s">
        <v>2867</v>
      </c>
      <c r="BL77" s="175"/>
      <c r="BM77" s="175" t="s">
        <v>3470</v>
      </c>
      <c r="BN77" s="175" t="s">
        <v>3471</v>
      </c>
      <c r="BO77" s="180"/>
      <c r="BP77" s="67" t="s">
        <v>2867</v>
      </c>
      <c r="BQ77" s="175" t="s">
        <v>2523</v>
      </c>
      <c r="BR77" s="177" t="s">
        <v>2332</v>
      </c>
      <c r="BS77" s="177"/>
      <c r="BT77" s="67" t="s">
        <v>2867</v>
      </c>
      <c r="BU77" s="175"/>
      <c r="BV77" s="176"/>
      <c r="BW77" s="67" t="s">
        <v>2878</v>
      </c>
      <c r="BX77" s="175" t="s">
        <v>3481</v>
      </c>
      <c r="BY77" s="175" t="s">
        <v>1999</v>
      </c>
      <c r="BZ77" s="177"/>
      <c r="CA77" s="175"/>
      <c r="CB77" s="175"/>
      <c r="CC77" s="177"/>
      <c r="CD77" s="177"/>
      <c r="CE77" s="67"/>
      <c r="CF77" s="67"/>
      <c r="CG77" s="177"/>
      <c r="CH77" s="176"/>
      <c r="CI77" s="176"/>
      <c r="CJ77" s="175"/>
      <c r="CK77" s="67" t="s">
        <v>2867</v>
      </c>
      <c r="CL77" s="175"/>
      <c r="CM77" s="175"/>
      <c r="CN77" s="175"/>
      <c r="CO77" s="175"/>
      <c r="CP77" s="67" t="s">
        <v>2400</v>
      </c>
      <c r="CQ77" s="175" t="s">
        <v>3027</v>
      </c>
      <c r="CR77" s="175"/>
      <c r="CS77" s="67"/>
      <c r="CT77" s="175" t="s">
        <v>2867</v>
      </c>
      <c r="CU77" s="175"/>
      <c r="CV77" s="181" t="s">
        <v>2879</v>
      </c>
      <c r="CW77" s="67"/>
      <c r="CX77" s="182"/>
      <c r="CY77" s="175" t="s">
        <v>2880</v>
      </c>
      <c r="CZ77" s="175"/>
      <c r="DA77" s="175" t="s">
        <v>3420</v>
      </c>
      <c r="DB77" s="175" t="s">
        <v>3420</v>
      </c>
      <c r="DC77" s="175" t="s">
        <v>3482</v>
      </c>
      <c r="DD77" s="175"/>
      <c r="DE77" s="176">
        <v>46176</v>
      </c>
      <c r="DF77" s="175"/>
      <c r="DG77" s="182"/>
      <c r="DH77" s="183">
        <v>909100</v>
      </c>
      <c r="DI77" s="67"/>
      <c r="DJ77" s="67"/>
      <c r="DK77" s="67"/>
      <c r="DL77" s="67"/>
      <c r="DM77" s="67"/>
      <c r="DN77" s="183">
        <v>0</v>
      </c>
      <c r="DO77" s="183">
        <v>0</v>
      </c>
      <c r="DP77" s="67" t="s">
        <v>2867</v>
      </c>
      <c r="DQ77" s="175"/>
      <c r="DR77" s="175"/>
      <c r="DS77" s="175" t="s">
        <v>2882</v>
      </c>
      <c r="DT77" s="175"/>
      <c r="DU77" s="175"/>
      <c r="DV77" s="175" t="s">
        <v>2883</v>
      </c>
      <c r="DW77" s="175" t="s">
        <v>2884</v>
      </c>
      <c r="DX77" s="175" t="s">
        <v>2879</v>
      </c>
    </row>
    <row r="78" spans="1:128" ht="19.5" customHeight="1">
      <c r="A78" s="173" t="s">
        <v>3268</v>
      </c>
      <c r="B78" s="174" t="s">
        <v>3483</v>
      </c>
      <c r="C78" s="67"/>
      <c r="D78" s="67"/>
      <c r="E78" s="189" t="s">
        <v>3484</v>
      </c>
      <c r="F78" s="174" t="s">
        <v>2700</v>
      </c>
      <c r="G78" s="175" t="s">
        <v>3485</v>
      </c>
      <c r="H78" s="189" t="s">
        <v>2994</v>
      </c>
      <c r="I78" s="189" t="s">
        <v>2995</v>
      </c>
      <c r="J78" s="175" t="s">
        <v>2859</v>
      </c>
      <c r="K78" s="176">
        <v>46175</v>
      </c>
      <c r="L78" s="67" t="s">
        <v>2901</v>
      </c>
      <c r="M78" s="175" t="s">
        <v>2334</v>
      </c>
      <c r="N78" s="67" t="s">
        <v>2334</v>
      </c>
      <c r="O78" s="67" t="s">
        <v>2327</v>
      </c>
      <c r="P78" s="67" t="s">
        <v>2890</v>
      </c>
      <c r="Q78" s="67"/>
      <c r="R78" s="67"/>
      <c r="S78" s="67" t="s">
        <v>110</v>
      </c>
      <c r="T78" s="177" t="s">
        <v>2863</v>
      </c>
      <c r="U78" s="67" t="s">
        <v>116</v>
      </c>
      <c r="V78" s="67" t="s">
        <v>3486</v>
      </c>
      <c r="W78" s="175" t="s">
        <v>2865</v>
      </c>
      <c r="X78" s="67" t="s">
        <v>2702</v>
      </c>
      <c r="Y78" s="67" t="s">
        <v>2866</v>
      </c>
      <c r="Z78" s="67" t="s">
        <v>2703</v>
      </c>
      <c r="AA78" s="175" t="s">
        <v>2947</v>
      </c>
      <c r="AB78" s="175" t="s">
        <v>3487</v>
      </c>
      <c r="AC78" s="175" t="s">
        <v>3488</v>
      </c>
      <c r="AD78" s="175" t="s">
        <v>3489</v>
      </c>
      <c r="AE78" s="175" t="s">
        <v>3490</v>
      </c>
      <c r="AF78" s="176"/>
      <c r="AG78" s="176"/>
      <c r="AH78" s="176"/>
      <c r="AI78" s="67"/>
      <c r="AJ78" s="67"/>
      <c r="AK78" s="67" t="s">
        <v>2867</v>
      </c>
      <c r="AL78" s="67"/>
      <c r="AM78" s="176"/>
      <c r="AN78" s="176"/>
      <c r="AO78" s="67"/>
      <c r="AP78" s="67" t="s">
        <v>2867</v>
      </c>
      <c r="AQ78" s="67" t="s">
        <v>2868</v>
      </c>
      <c r="AR78" s="175"/>
      <c r="AS78" s="175" t="s">
        <v>2869</v>
      </c>
      <c r="AT78" s="175" t="s">
        <v>2867</v>
      </c>
      <c r="AU78" s="175"/>
      <c r="AV78" s="178">
        <v>0</v>
      </c>
      <c r="AW78" s="67"/>
      <c r="AX78" s="175" t="s">
        <v>2867</v>
      </c>
      <c r="AY78" s="175" t="s">
        <v>2870</v>
      </c>
      <c r="AZ78" s="175" t="s">
        <v>2871</v>
      </c>
      <c r="BA78" s="175"/>
      <c r="BB78" s="175"/>
      <c r="BC78" s="175" t="s">
        <v>2859</v>
      </c>
      <c r="BD78" s="175" t="s">
        <v>2872</v>
      </c>
      <c r="BE78" s="175" t="s">
        <v>2873</v>
      </c>
      <c r="BF78" s="175" t="s">
        <v>2867</v>
      </c>
      <c r="BG78" s="67"/>
      <c r="BH78" s="179"/>
      <c r="BI78" s="175" t="s">
        <v>2867</v>
      </c>
      <c r="BJ78" s="175"/>
      <c r="BK78" s="175" t="s">
        <v>2867</v>
      </c>
      <c r="BL78" s="175"/>
      <c r="BM78" s="175" t="s">
        <v>3470</v>
      </c>
      <c r="BN78" s="175" t="s">
        <v>3471</v>
      </c>
      <c r="BO78" s="180" t="s">
        <v>2879</v>
      </c>
      <c r="BP78" s="67" t="s">
        <v>2867</v>
      </c>
      <c r="BQ78" s="175" t="s">
        <v>2523</v>
      </c>
      <c r="BR78" s="177" t="s">
        <v>2332</v>
      </c>
      <c r="BS78" s="177"/>
      <c r="BT78" s="67" t="s">
        <v>2867</v>
      </c>
      <c r="BU78" s="175"/>
      <c r="BV78" s="176"/>
      <c r="BW78" s="67" t="s">
        <v>2878</v>
      </c>
      <c r="BX78" s="175" t="s">
        <v>3491</v>
      </c>
      <c r="BY78" s="175" t="s">
        <v>1999</v>
      </c>
      <c r="BZ78" s="177"/>
      <c r="CA78" s="175"/>
      <c r="CB78" s="175"/>
      <c r="CC78" s="177"/>
      <c r="CD78" s="177"/>
      <c r="CE78" s="67"/>
      <c r="CF78" s="67"/>
      <c r="CG78" s="177"/>
      <c r="CH78" s="176"/>
      <c r="CI78" s="176"/>
      <c r="CJ78" s="175"/>
      <c r="CK78" s="67" t="s">
        <v>3027</v>
      </c>
      <c r="CL78" s="175" t="s">
        <v>929</v>
      </c>
      <c r="CM78" s="175" t="s">
        <v>3442</v>
      </c>
      <c r="CN78" s="175" t="s">
        <v>3452</v>
      </c>
      <c r="CO78" s="175"/>
      <c r="CP78" s="67" t="s">
        <v>2400</v>
      </c>
      <c r="CQ78" s="175" t="s">
        <v>3027</v>
      </c>
      <c r="CR78" s="175"/>
      <c r="CS78" s="67"/>
      <c r="CT78" s="175" t="s">
        <v>2867</v>
      </c>
      <c r="CU78" s="175"/>
      <c r="CV78" s="181" t="s">
        <v>2879</v>
      </c>
      <c r="CW78" s="67"/>
      <c r="CX78" s="182"/>
      <c r="CY78" s="175" t="s">
        <v>2880</v>
      </c>
      <c r="CZ78" s="175"/>
      <c r="DA78" s="175" t="s">
        <v>3492</v>
      </c>
      <c r="DB78" s="175" t="s">
        <v>3492</v>
      </c>
      <c r="DC78" s="175" t="s">
        <v>3493</v>
      </c>
      <c r="DD78" s="175"/>
      <c r="DE78" s="176">
        <v>46176</v>
      </c>
      <c r="DF78" s="175"/>
      <c r="DG78" s="182"/>
      <c r="DH78" s="183">
        <v>909100</v>
      </c>
      <c r="DI78" s="67"/>
      <c r="DJ78" s="67"/>
      <c r="DK78" s="67"/>
      <c r="DL78" s="67"/>
      <c r="DM78" s="67"/>
      <c r="DN78" s="183">
        <v>0</v>
      </c>
      <c r="DO78" s="183">
        <v>0</v>
      </c>
      <c r="DP78" s="67" t="s">
        <v>2867</v>
      </c>
      <c r="DQ78" s="175"/>
      <c r="DR78" s="175"/>
      <c r="DS78" s="175" t="s">
        <v>2882</v>
      </c>
      <c r="DT78" s="175"/>
      <c r="DU78" s="175"/>
      <c r="DV78" s="175" t="s">
        <v>2883</v>
      </c>
      <c r="DW78" s="175" t="s">
        <v>2884</v>
      </c>
      <c r="DX78" s="175" t="s">
        <v>2879</v>
      </c>
    </row>
    <row r="79" spans="1:128" ht="19.5" customHeight="1">
      <c r="A79" s="173" t="s">
        <v>3268</v>
      </c>
      <c r="B79" s="174" t="s">
        <v>3494</v>
      </c>
      <c r="C79" s="67"/>
      <c r="D79" s="67"/>
      <c r="E79" s="191" t="s">
        <v>3484</v>
      </c>
      <c r="F79" s="174" t="s">
        <v>2689</v>
      </c>
      <c r="G79" s="175" t="s">
        <v>3495</v>
      </c>
      <c r="H79" s="191" t="s">
        <v>2994</v>
      </c>
      <c r="I79" s="191" t="s">
        <v>2995</v>
      </c>
      <c r="J79" s="175" t="s">
        <v>2859</v>
      </c>
      <c r="K79" s="176">
        <v>46175</v>
      </c>
      <c r="L79" s="67" t="s">
        <v>2932</v>
      </c>
      <c r="M79" s="175" t="s">
        <v>2334</v>
      </c>
      <c r="N79" s="67" t="s">
        <v>2334</v>
      </c>
      <c r="O79" s="67" t="s">
        <v>2327</v>
      </c>
      <c r="P79" s="67" t="s">
        <v>2890</v>
      </c>
      <c r="Q79" s="67"/>
      <c r="R79" s="67"/>
      <c r="S79" s="67" t="s">
        <v>110</v>
      </c>
      <c r="T79" s="177" t="s">
        <v>2863</v>
      </c>
      <c r="U79" s="67" t="s">
        <v>116</v>
      </c>
      <c r="V79" s="67" t="s">
        <v>3134</v>
      </c>
      <c r="W79" s="175" t="s">
        <v>2865</v>
      </c>
      <c r="X79" s="67" t="s">
        <v>2692</v>
      </c>
      <c r="Y79" s="67" t="s">
        <v>2866</v>
      </c>
      <c r="Z79" s="67" t="s">
        <v>2693</v>
      </c>
      <c r="AA79" s="175" t="s">
        <v>2947</v>
      </c>
      <c r="AB79" s="175" t="s">
        <v>3496</v>
      </c>
      <c r="AC79" s="175" t="s">
        <v>3497</v>
      </c>
      <c r="AD79" s="175" t="s">
        <v>3498</v>
      </c>
      <c r="AE79" s="175" t="s">
        <v>3499</v>
      </c>
      <c r="AF79" s="176"/>
      <c r="AG79" s="176"/>
      <c r="AH79" s="176"/>
      <c r="AI79" s="67"/>
      <c r="AJ79" s="67"/>
      <c r="AK79" s="67" t="s">
        <v>2867</v>
      </c>
      <c r="AL79" s="67"/>
      <c r="AM79" s="176"/>
      <c r="AN79" s="176"/>
      <c r="AO79" s="67"/>
      <c r="AP79" s="67" t="s">
        <v>2867</v>
      </c>
      <c r="AQ79" s="67" t="s">
        <v>2868</v>
      </c>
      <c r="AR79" s="175"/>
      <c r="AS79" s="175" t="s">
        <v>2869</v>
      </c>
      <c r="AT79" s="175" t="s">
        <v>2867</v>
      </c>
      <c r="AU79" s="175"/>
      <c r="AV79" s="178">
        <v>0</v>
      </c>
      <c r="AW79" s="67"/>
      <c r="AX79" s="175" t="s">
        <v>2867</v>
      </c>
      <c r="AY79" s="175" t="s">
        <v>2870</v>
      </c>
      <c r="AZ79" s="175" t="s">
        <v>2871</v>
      </c>
      <c r="BA79" s="175"/>
      <c r="BB79" s="175"/>
      <c r="BC79" s="175" t="s">
        <v>2859</v>
      </c>
      <c r="BD79" s="175" t="s">
        <v>2872</v>
      </c>
      <c r="BE79" s="175" t="s">
        <v>2873</v>
      </c>
      <c r="BF79" s="175" t="s">
        <v>2867</v>
      </c>
      <c r="BG79" s="67"/>
      <c r="BH79" s="179"/>
      <c r="BI79" s="175" t="s">
        <v>2867</v>
      </c>
      <c r="BJ79" s="175"/>
      <c r="BK79" s="175" t="s">
        <v>2867</v>
      </c>
      <c r="BL79" s="175"/>
      <c r="BM79" s="175" t="s">
        <v>3470</v>
      </c>
      <c r="BN79" s="175" t="s">
        <v>3471</v>
      </c>
      <c r="BO79" s="180" t="s">
        <v>2879</v>
      </c>
      <c r="BP79" s="67" t="s">
        <v>2867</v>
      </c>
      <c r="BQ79" s="175" t="s">
        <v>2523</v>
      </c>
      <c r="BR79" s="177" t="s">
        <v>2332</v>
      </c>
      <c r="BS79" s="177"/>
      <c r="BT79" s="67" t="s">
        <v>2867</v>
      </c>
      <c r="BU79" s="175"/>
      <c r="BV79" s="176"/>
      <c r="BW79" s="67" t="s">
        <v>2878</v>
      </c>
      <c r="BX79" s="175" t="s">
        <v>3500</v>
      </c>
      <c r="BY79" s="175" t="s">
        <v>1999</v>
      </c>
      <c r="BZ79" s="177"/>
      <c r="CA79" s="175"/>
      <c r="CB79" s="175"/>
      <c r="CC79" s="177"/>
      <c r="CD79" s="177"/>
      <c r="CE79" s="67"/>
      <c r="CF79" s="67"/>
      <c r="CG79" s="177"/>
      <c r="CH79" s="176"/>
      <c r="CI79" s="176"/>
      <c r="CJ79" s="175"/>
      <c r="CK79" s="67" t="s">
        <v>3027</v>
      </c>
      <c r="CL79" s="175" t="s">
        <v>929</v>
      </c>
      <c r="CM79" s="175" t="s">
        <v>3442</v>
      </c>
      <c r="CN79" s="175" t="s">
        <v>3452</v>
      </c>
      <c r="CO79" s="175"/>
      <c r="CP79" s="67" t="s">
        <v>2400</v>
      </c>
      <c r="CQ79" s="175" t="s">
        <v>3027</v>
      </c>
      <c r="CR79" s="175"/>
      <c r="CS79" s="67"/>
      <c r="CT79" s="175" t="s">
        <v>2867</v>
      </c>
      <c r="CU79" s="175"/>
      <c r="CV79" s="181" t="s">
        <v>2879</v>
      </c>
      <c r="CW79" s="67"/>
      <c r="CX79" s="182"/>
      <c r="CY79" s="175" t="s">
        <v>2880</v>
      </c>
      <c r="CZ79" s="175"/>
      <c r="DA79" s="175" t="s">
        <v>3492</v>
      </c>
      <c r="DB79" s="175" t="s">
        <v>3492</v>
      </c>
      <c r="DC79" s="175" t="s">
        <v>3501</v>
      </c>
      <c r="DD79" s="175"/>
      <c r="DE79" s="176">
        <v>46176</v>
      </c>
      <c r="DF79" s="175"/>
      <c r="DG79" s="182"/>
      <c r="DH79" s="183">
        <v>909100</v>
      </c>
      <c r="DI79" s="67"/>
      <c r="DJ79" s="67"/>
      <c r="DK79" s="67"/>
      <c r="DL79" s="67"/>
      <c r="DM79" s="67"/>
      <c r="DN79" s="183">
        <v>0</v>
      </c>
      <c r="DO79" s="183">
        <v>0</v>
      </c>
      <c r="DP79" s="67" t="s">
        <v>2867</v>
      </c>
      <c r="DQ79" s="175"/>
      <c r="DR79" s="175"/>
      <c r="DS79" s="175" t="s">
        <v>2882</v>
      </c>
      <c r="DT79" s="175"/>
      <c r="DU79" s="175"/>
      <c r="DV79" s="175" t="s">
        <v>2883</v>
      </c>
      <c r="DW79" s="175" t="s">
        <v>2884</v>
      </c>
      <c r="DX79" s="175" t="s">
        <v>2879</v>
      </c>
    </row>
    <row r="80" spans="1:128" ht="19.5" customHeight="1">
      <c r="A80" s="173" t="s">
        <v>3268</v>
      </c>
      <c r="B80" s="174" t="s">
        <v>3502</v>
      </c>
      <c r="C80" s="67"/>
      <c r="D80" s="67"/>
      <c r="E80" s="191" t="s">
        <v>3484</v>
      </c>
      <c r="F80" s="174" t="s">
        <v>2701</v>
      </c>
      <c r="G80" s="175" t="s">
        <v>3503</v>
      </c>
      <c r="H80" s="191" t="s">
        <v>2994</v>
      </c>
      <c r="I80" s="191" t="s">
        <v>2995</v>
      </c>
      <c r="J80" s="175" t="s">
        <v>2859</v>
      </c>
      <c r="K80" s="176">
        <v>46175</v>
      </c>
      <c r="L80" s="67" t="s">
        <v>2901</v>
      </c>
      <c r="M80" s="175" t="s">
        <v>2334</v>
      </c>
      <c r="N80" s="67" t="s">
        <v>2334</v>
      </c>
      <c r="O80" s="67" t="s">
        <v>2327</v>
      </c>
      <c r="P80" s="67" t="s">
        <v>2890</v>
      </c>
      <c r="Q80" s="67"/>
      <c r="R80" s="67"/>
      <c r="S80" s="67" t="s">
        <v>110</v>
      </c>
      <c r="T80" s="177" t="s">
        <v>2863</v>
      </c>
      <c r="U80" s="67" t="s">
        <v>116</v>
      </c>
      <c r="V80" s="67" t="s">
        <v>3134</v>
      </c>
      <c r="W80" s="175" t="s">
        <v>2865</v>
      </c>
      <c r="X80" s="67" t="s">
        <v>2704</v>
      </c>
      <c r="Y80" s="67" t="s">
        <v>2866</v>
      </c>
      <c r="Z80" s="67" t="s">
        <v>2705</v>
      </c>
      <c r="AA80" s="175" t="s">
        <v>2947</v>
      </c>
      <c r="AB80" s="175" t="s">
        <v>3504</v>
      </c>
      <c r="AC80" s="175" t="s">
        <v>3505</v>
      </c>
      <c r="AD80" s="175" t="s">
        <v>3506</v>
      </c>
      <c r="AE80" s="175" t="s">
        <v>3507</v>
      </c>
      <c r="AF80" s="176"/>
      <c r="AG80" s="176"/>
      <c r="AH80" s="176"/>
      <c r="AI80" s="67"/>
      <c r="AJ80" s="67"/>
      <c r="AK80" s="67" t="s">
        <v>2867</v>
      </c>
      <c r="AL80" s="67"/>
      <c r="AM80" s="176"/>
      <c r="AN80" s="176"/>
      <c r="AO80" s="67"/>
      <c r="AP80" s="67" t="s">
        <v>2867</v>
      </c>
      <c r="AQ80" s="67" t="s">
        <v>2868</v>
      </c>
      <c r="AR80" s="175"/>
      <c r="AS80" s="175" t="s">
        <v>2869</v>
      </c>
      <c r="AT80" s="175" t="s">
        <v>2867</v>
      </c>
      <c r="AU80" s="175"/>
      <c r="AV80" s="178">
        <v>0</v>
      </c>
      <c r="AW80" s="67"/>
      <c r="AX80" s="175" t="s">
        <v>2867</v>
      </c>
      <c r="AY80" s="175" t="s">
        <v>2870</v>
      </c>
      <c r="AZ80" s="175" t="s">
        <v>2871</v>
      </c>
      <c r="BA80" s="175"/>
      <c r="BB80" s="175"/>
      <c r="BC80" s="175" t="s">
        <v>2859</v>
      </c>
      <c r="BD80" s="175" t="s">
        <v>2872</v>
      </c>
      <c r="BE80" s="175" t="s">
        <v>2873</v>
      </c>
      <c r="BF80" s="175" t="s">
        <v>2867</v>
      </c>
      <c r="BG80" s="67"/>
      <c r="BH80" s="179"/>
      <c r="BI80" s="175" t="s">
        <v>2867</v>
      </c>
      <c r="BJ80" s="175"/>
      <c r="BK80" s="175" t="s">
        <v>2867</v>
      </c>
      <c r="BL80" s="175"/>
      <c r="BM80" s="175" t="s">
        <v>3470</v>
      </c>
      <c r="BN80" s="175" t="s">
        <v>3471</v>
      </c>
      <c r="BO80" s="180" t="s">
        <v>2879</v>
      </c>
      <c r="BP80" s="67" t="s">
        <v>2867</v>
      </c>
      <c r="BQ80" s="175" t="s">
        <v>2523</v>
      </c>
      <c r="BR80" s="177" t="s">
        <v>2332</v>
      </c>
      <c r="BS80" s="177"/>
      <c r="BT80" s="67" t="s">
        <v>2867</v>
      </c>
      <c r="BU80" s="175"/>
      <c r="BV80" s="176"/>
      <c r="BW80" s="67" t="s">
        <v>2878</v>
      </c>
      <c r="BX80" s="175" t="s">
        <v>3508</v>
      </c>
      <c r="BY80" s="175" t="s">
        <v>1999</v>
      </c>
      <c r="BZ80" s="177"/>
      <c r="CA80" s="175"/>
      <c r="CB80" s="175"/>
      <c r="CC80" s="177"/>
      <c r="CD80" s="177"/>
      <c r="CE80" s="67"/>
      <c r="CF80" s="67"/>
      <c r="CG80" s="177"/>
      <c r="CH80" s="176"/>
      <c r="CI80" s="176"/>
      <c r="CJ80" s="175"/>
      <c r="CK80" s="67" t="s">
        <v>3027</v>
      </c>
      <c r="CL80" s="175" t="s">
        <v>929</v>
      </c>
      <c r="CM80" s="175" t="s">
        <v>3442</v>
      </c>
      <c r="CN80" s="175" t="s">
        <v>3452</v>
      </c>
      <c r="CO80" s="175"/>
      <c r="CP80" s="67" t="s">
        <v>2400</v>
      </c>
      <c r="CQ80" s="175" t="s">
        <v>3027</v>
      </c>
      <c r="CR80" s="175"/>
      <c r="CS80" s="67"/>
      <c r="CT80" s="175" t="s">
        <v>2867</v>
      </c>
      <c r="CU80" s="175"/>
      <c r="CV80" s="181" t="s">
        <v>2879</v>
      </c>
      <c r="CW80" s="67"/>
      <c r="CX80" s="182"/>
      <c r="CY80" s="175" t="s">
        <v>2880</v>
      </c>
      <c r="CZ80" s="175"/>
      <c r="DA80" s="175" t="s">
        <v>3492</v>
      </c>
      <c r="DB80" s="175" t="s">
        <v>3492</v>
      </c>
      <c r="DC80" s="175" t="s">
        <v>3501</v>
      </c>
      <c r="DD80" s="175"/>
      <c r="DE80" s="176">
        <v>46176</v>
      </c>
      <c r="DF80" s="175"/>
      <c r="DG80" s="182"/>
      <c r="DH80" s="183">
        <v>909100</v>
      </c>
      <c r="DI80" s="67"/>
      <c r="DJ80" s="67"/>
      <c r="DK80" s="67"/>
      <c r="DL80" s="67"/>
      <c r="DM80" s="67"/>
      <c r="DN80" s="183">
        <v>0</v>
      </c>
      <c r="DO80" s="183">
        <v>0</v>
      </c>
      <c r="DP80" s="67" t="s">
        <v>2867</v>
      </c>
      <c r="DQ80" s="175"/>
      <c r="DR80" s="175"/>
      <c r="DS80" s="175" t="s">
        <v>2882</v>
      </c>
      <c r="DT80" s="175"/>
      <c r="DU80" s="175"/>
      <c r="DV80" s="175" t="s">
        <v>2883</v>
      </c>
      <c r="DW80" s="175" t="s">
        <v>2884</v>
      </c>
      <c r="DX80" s="175" t="s">
        <v>2879</v>
      </c>
    </row>
    <row r="81" spans="1:128" ht="19.5" customHeight="1">
      <c r="A81" s="173" t="s">
        <v>3268</v>
      </c>
      <c r="B81" s="174" t="s">
        <v>3509</v>
      </c>
      <c r="C81" s="67"/>
      <c r="D81" s="67"/>
      <c r="E81" s="191" t="s">
        <v>3484</v>
      </c>
      <c r="F81" s="174" t="s">
        <v>2706</v>
      </c>
      <c r="G81" s="175" t="s">
        <v>3510</v>
      </c>
      <c r="H81" s="191" t="s">
        <v>2994</v>
      </c>
      <c r="I81" s="191" t="s">
        <v>2995</v>
      </c>
      <c r="J81" s="175" t="s">
        <v>2859</v>
      </c>
      <c r="K81" s="176">
        <v>46175</v>
      </c>
      <c r="L81" s="67" t="s">
        <v>3511</v>
      </c>
      <c r="M81" s="175" t="s">
        <v>2334</v>
      </c>
      <c r="N81" s="67" t="s">
        <v>2334</v>
      </c>
      <c r="O81" s="67" t="s">
        <v>2327</v>
      </c>
      <c r="P81" s="67" t="s">
        <v>2890</v>
      </c>
      <c r="Q81" s="67"/>
      <c r="R81" s="67"/>
      <c r="S81" s="67" t="s">
        <v>110</v>
      </c>
      <c r="T81" s="177" t="s">
        <v>2863</v>
      </c>
      <c r="U81" s="67" t="s">
        <v>116</v>
      </c>
      <c r="V81" s="67" t="s">
        <v>3134</v>
      </c>
      <c r="W81" s="175" t="s">
        <v>2865</v>
      </c>
      <c r="X81" s="67" t="s">
        <v>2707</v>
      </c>
      <c r="Y81" s="67" t="s">
        <v>2866</v>
      </c>
      <c r="Z81" s="67" t="s">
        <v>2708</v>
      </c>
      <c r="AA81" s="175" t="s">
        <v>2947</v>
      </c>
      <c r="AB81" s="175" t="s">
        <v>3512</v>
      </c>
      <c r="AC81" s="175" t="s">
        <v>3513</v>
      </c>
      <c r="AD81" s="175" t="s">
        <v>3514</v>
      </c>
      <c r="AE81" s="175" t="s">
        <v>3515</v>
      </c>
      <c r="AF81" s="176"/>
      <c r="AG81" s="176"/>
      <c r="AH81" s="176"/>
      <c r="AI81" s="67"/>
      <c r="AJ81" s="67"/>
      <c r="AK81" s="67" t="s">
        <v>2867</v>
      </c>
      <c r="AL81" s="67"/>
      <c r="AM81" s="176"/>
      <c r="AN81" s="176"/>
      <c r="AO81" s="67"/>
      <c r="AP81" s="67" t="s">
        <v>2867</v>
      </c>
      <c r="AQ81" s="67" t="s">
        <v>2868</v>
      </c>
      <c r="AR81" s="175"/>
      <c r="AS81" s="175" t="s">
        <v>2869</v>
      </c>
      <c r="AT81" s="175" t="s">
        <v>2867</v>
      </c>
      <c r="AU81" s="175"/>
      <c r="AV81" s="178">
        <v>0</v>
      </c>
      <c r="AW81" s="67"/>
      <c r="AX81" s="175" t="s">
        <v>2867</v>
      </c>
      <c r="AY81" s="175" t="s">
        <v>2870</v>
      </c>
      <c r="AZ81" s="175" t="s">
        <v>2871</v>
      </c>
      <c r="BA81" s="175"/>
      <c r="BB81" s="175"/>
      <c r="BC81" s="175" t="s">
        <v>2859</v>
      </c>
      <c r="BD81" s="175" t="s">
        <v>2872</v>
      </c>
      <c r="BE81" s="175" t="s">
        <v>2873</v>
      </c>
      <c r="BF81" s="175" t="s">
        <v>2867</v>
      </c>
      <c r="BG81" s="67"/>
      <c r="BH81" s="179"/>
      <c r="BI81" s="175" t="s">
        <v>2867</v>
      </c>
      <c r="BJ81" s="175"/>
      <c r="BK81" s="175" t="s">
        <v>2867</v>
      </c>
      <c r="BL81" s="175"/>
      <c r="BM81" s="175" t="s">
        <v>3470</v>
      </c>
      <c r="BN81" s="175" t="s">
        <v>3471</v>
      </c>
      <c r="BO81" s="180" t="s">
        <v>2879</v>
      </c>
      <c r="BP81" s="67" t="s">
        <v>2867</v>
      </c>
      <c r="BQ81" s="175" t="s">
        <v>2523</v>
      </c>
      <c r="BR81" s="177" t="s">
        <v>2332</v>
      </c>
      <c r="BS81" s="177"/>
      <c r="BT81" s="67" t="s">
        <v>2867</v>
      </c>
      <c r="BU81" s="175"/>
      <c r="BV81" s="176"/>
      <c r="BW81" s="67" t="s">
        <v>2878</v>
      </c>
      <c r="BX81" s="175" t="s">
        <v>3516</v>
      </c>
      <c r="BY81" s="175" t="s">
        <v>1999</v>
      </c>
      <c r="BZ81" s="177"/>
      <c r="CA81" s="175"/>
      <c r="CB81" s="175"/>
      <c r="CC81" s="177"/>
      <c r="CD81" s="177"/>
      <c r="CE81" s="67"/>
      <c r="CF81" s="67"/>
      <c r="CG81" s="177"/>
      <c r="CH81" s="176"/>
      <c r="CI81" s="176"/>
      <c r="CJ81" s="175"/>
      <c r="CK81" s="67" t="s">
        <v>3027</v>
      </c>
      <c r="CL81" s="175" t="s">
        <v>929</v>
      </c>
      <c r="CM81" s="175" t="s">
        <v>3276</v>
      </c>
      <c r="CN81" s="175" t="s">
        <v>3452</v>
      </c>
      <c r="CO81" s="175"/>
      <c r="CP81" s="67" t="s">
        <v>2400</v>
      </c>
      <c r="CQ81" s="175" t="s">
        <v>3027</v>
      </c>
      <c r="CR81" s="175"/>
      <c r="CS81" s="67"/>
      <c r="CT81" s="175" t="s">
        <v>2867</v>
      </c>
      <c r="CU81" s="175"/>
      <c r="CV81" s="181" t="s">
        <v>2879</v>
      </c>
      <c r="CW81" s="67"/>
      <c r="CX81" s="182"/>
      <c r="CY81" s="175" t="s">
        <v>2880</v>
      </c>
      <c r="CZ81" s="175"/>
      <c r="DA81" s="175" t="s">
        <v>3517</v>
      </c>
      <c r="DB81" s="175" t="s">
        <v>3517</v>
      </c>
      <c r="DC81" s="175" t="s">
        <v>3518</v>
      </c>
      <c r="DD81" s="175"/>
      <c r="DE81" s="176">
        <v>46176</v>
      </c>
      <c r="DF81" s="175"/>
      <c r="DG81" s="182"/>
      <c r="DH81" s="183">
        <v>909100</v>
      </c>
      <c r="DI81" s="67"/>
      <c r="DJ81" s="67"/>
      <c r="DK81" s="67"/>
      <c r="DL81" s="67"/>
      <c r="DM81" s="67"/>
      <c r="DN81" s="183">
        <v>0</v>
      </c>
      <c r="DO81" s="183">
        <v>0</v>
      </c>
      <c r="DP81" s="67" t="s">
        <v>2867</v>
      </c>
      <c r="DQ81" s="175"/>
      <c r="DR81" s="175"/>
      <c r="DS81" s="175" t="s">
        <v>2882</v>
      </c>
      <c r="DT81" s="175"/>
      <c r="DU81" s="175"/>
      <c r="DV81" s="175" t="s">
        <v>2883</v>
      </c>
      <c r="DW81" s="175" t="s">
        <v>2884</v>
      </c>
      <c r="DX81" s="175" t="s">
        <v>2879</v>
      </c>
    </row>
    <row r="82" spans="1:128" ht="19.5" customHeight="1">
      <c r="A82" s="173"/>
      <c r="B82" s="174" t="s">
        <v>3519</v>
      </c>
      <c r="C82" s="67"/>
      <c r="D82" s="67"/>
      <c r="E82" s="190" t="s">
        <v>3484</v>
      </c>
      <c r="F82" s="174" t="s">
        <v>2664</v>
      </c>
      <c r="G82" s="175" t="s">
        <v>3520</v>
      </c>
      <c r="H82" s="190" t="s">
        <v>2994</v>
      </c>
      <c r="I82" s="190" t="s">
        <v>2995</v>
      </c>
      <c r="J82" s="175" t="s">
        <v>2859</v>
      </c>
      <c r="K82" s="176">
        <v>46175</v>
      </c>
      <c r="L82" s="67" t="s">
        <v>2889</v>
      </c>
      <c r="M82" s="175" t="s">
        <v>2334</v>
      </c>
      <c r="N82" s="67" t="s">
        <v>2334</v>
      </c>
      <c r="O82" s="67" t="s">
        <v>2327</v>
      </c>
      <c r="P82" s="67" t="s">
        <v>2890</v>
      </c>
      <c r="Q82" s="67"/>
      <c r="R82" s="67"/>
      <c r="S82" s="67" t="s">
        <v>957</v>
      </c>
      <c r="T82" s="177" t="s">
        <v>2863</v>
      </c>
      <c r="U82" s="67" t="s">
        <v>1277</v>
      </c>
      <c r="V82" s="67" t="s">
        <v>2922</v>
      </c>
      <c r="W82" s="175" t="s">
        <v>2865</v>
      </c>
      <c r="X82" s="67" t="s">
        <v>2671</v>
      </c>
      <c r="Y82" s="67" t="s">
        <v>2866</v>
      </c>
      <c r="Z82" s="67" t="s">
        <v>2672</v>
      </c>
      <c r="AA82" s="175" t="s">
        <v>2947</v>
      </c>
      <c r="AB82" s="175" t="s">
        <v>3255</v>
      </c>
      <c r="AC82" s="175" t="s">
        <v>3256</v>
      </c>
      <c r="AD82" s="175" t="s">
        <v>3257</v>
      </c>
      <c r="AE82" s="175" t="s">
        <v>3258</v>
      </c>
      <c r="AF82" s="176"/>
      <c r="AG82" s="176"/>
      <c r="AH82" s="176"/>
      <c r="AI82" s="67"/>
      <c r="AJ82" s="67"/>
      <c r="AK82" s="67" t="s">
        <v>2867</v>
      </c>
      <c r="AL82" s="67"/>
      <c r="AM82" s="176"/>
      <c r="AN82" s="176"/>
      <c r="AO82" s="67"/>
      <c r="AP82" s="67" t="s">
        <v>2867</v>
      </c>
      <c r="AQ82" s="67" t="s">
        <v>2868</v>
      </c>
      <c r="AR82" s="175"/>
      <c r="AS82" s="175" t="s">
        <v>2869</v>
      </c>
      <c r="AT82" s="175" t="s">
        <v>2867</v>
      </c>
      <c r="AU82" s="175"/>
      <c r="AV82" s="178">
        <v>0</v>
      </c>
      <c r="AW82" s="67"/>
      <c r="AX82" s="175" t="s">
        <v>2867</v>
      </c>
      <c r="AY82" s="175" t="s">
        <v>2870</v>
      </c>
      <c r="AZ82" s="175" t="s">
        <v>2871</v>
      </c>
      <c r="BA82" s="175"/>
      <c r="BB82" s="175"/>
      <c r="BC82" s="175" t="s">
        <v>2859</v>
      </c>
      <c r="BD82" s="175" t="s">
        <v>2872</v>
      </c>
      <c r="BE82" s="175" t="s">
        <v>2873</v>
      </c>
      <c r="BF82" s="175" t="s">
        <v>2867</v>
      </c>
      <c r="BG82" s="67"/>
      <c r="BH82" s="179"/>
      <c r="BI82" s="175" t="s">
        <v>2867</v>
      </c>
      <c r="BJ82" s="175"/>
      <c r="BK82" s="175" t="s">
        <v>2867</v>
      </c>
      <c r="BL82" s="175"/>
      <c r="BM82" s="175" t="s">
        <v>3470</v>
      </c>
      <c r="BN82" s="175" t="s">
        <v>3471</v>
      </c>
      <c r="BO82" s="180" t="s">
        <v>2879</v>
      </c>
      <c r="BP82" s="67" t="s">
        <v>2867</v>
      </c>
      <c r="BQ82" s="175" t="s">
        <v>2523</v>
      </c>
      <c r="BR82" s="177" t="s">
        <v>2332</v>
      </c>
      <c r="BS82" s="177"/>
      <c r="BT82" s="67" t="s">
        <v>2867</v>
      </c>
      <c r="BU82" s="175"/>
      <c r="BV82" s="176"/>
      <c r="BW82" s="67" t="s">
        <v>2878</v>
      </c>
      <c r="BX82" s="175" t="s">
        <v>3521</v>
      </c>
      <c r="BY82" s="175" t="s">
        <v>1999</v>
      </c>
      <c r="BZ82" s="177"/>
      <c r="CA82" s="175"/>
      <c r="CB82" s="175"/>
      <c r="CC82" s="177"/>
      <c r="CD82" s="177"/>
      <c r="CE82" s="67"/>
      <c r="CF82" s="67"/>
      <c r="CG82" s="177"/>
      <c r="CH82" s="176"/>
      <c r="CI82" s="176"/>
      <c r="CJ82" s="175"/>
      <c r="CK82" s="67" t="s">
        <v>2867</v>
      </c>
      <c r="CL82" s="175"/>
      <c r="CM82" s="175"/>
      <c r="CN82" s="175"/>
      <c r="CO82" s="175"/>
      <c r="CP82" s="67" t="s">
        <v>2400</v>
      </c>
      <c r="CQ82" s="175" t="s">
        <v>3027</v>
      </c>
      <c r="CR82" s="175"/>
      <c r="CS82" s="67"/>
      <c r="CT82" s="175" t="s">
        <v>2867</v>
      </c>
      <c r="CU82" s="175"/>
      <c r="CV82" s="181" t="s">
        <v>2879</v>
      </c>
      <c r="CW82" s="67"/>
      <c r="CX82" s="182"/>
      <c r="CY82" s="175" t="s">
        <v>2880</v>
      </c>
      <c r="CZ82" s="175"/>
      <c r="DA82" s="175" t="s">
        <v>3420</v>
      </c>
      <c r="DB82" s="175" t="s">
        <v>3420</v>
      </c>
      <c r="DC82" s="175" t="s">
        <v>3522</v>
      </c>
      <c r="DD82" s="175"/>
      <c r="DE82" s="176">
        <v>46176</v>
      </c>
      <c r="DF82" s="175"/>
      <c r="DG82" s="182"/>
      <c r="DH82" s="183">
        <v>909100</v>
      </c>
      <c r="DI82" s="67"/>
      <c r="DJ82" s="67"/>
      <c r="DK82" s="67"/>
      <c r="DL82" s="67"/>
      <c r="DM82" s="67"/>
      <c r="DN82" s="183">
        <v>0</v>
      </c>
      <c r="DO82" s="183">
        <v>0</v>
      </c>
      <c r="DP82" s="67" t="s">
        <v>2867</v>
      </c>
      <c r="DQ82" s="175"/>
      <c r="DR82" s="175"/>
      <c r="DS82" s="175" t="s">
        <v>2882</v>
      </c>
      <c r="DT82" s="175"/>
      <c r="DU82" s="175"/>
      <c r="DV82" s="175" t="s">
        <v>2883</v>
      </c>
      <c r="DW82" s="175" t="s">
        <v>2884</v>
      </c>
      <c r="DX82" s="175" t="s">
        <v>2879</v>
      </c>
    </row>
    <row r="83" spans="1:128" ht="19.5" customHeight="1">
      <c r="A83" s="173"/>
      <c r="B83" s="174" t="s">
        <v>3523</v>
      </c>
      <c r="C83" s="67"/>
      <c r="D83" s="67"/>
      <c r="E83" s="174" t="s">
        <v>3524</v>
      </c>
      <c r="F83" s="174" t="s">
        <v>2682</v>
      </c>
      <c r="G83" s="175" t="s">
        <v>3525</v>
      </c>
      <c r="H83" s="174" t="s">
        <v>2994</v>
      </c>
      <c r="I83" s="174" t="s">
        <v>2995</v>
      </c>
      <c r="J83" s="175" t="s">
        <v>2859</v>
      </c>
      <c r="K83" s="176">
        <v>46175</v>
      </c>
      <c r="L83" s="67" t="s">
        <v>2906</v>
      </c>
      <c r="M83" s="175" t="s">
        <v>2648</v>
      </c>
      <c r="N83" s="67" t="s">
        <v>2648</v>
      </c>
      <c r="O83" s="67" t="s">
        <v>2933</v>
      </c>
      <c r="P83" s="67" t="s">
        <v>2934</v>
      </c>
      <c r="Q83" s="67" t="s">
        <v>1477</v>
      </c>
      <c r="R83" s="67" t="s">
        <v>103</v>
      </c>
      <c r="S83" s="67" t="s">
        <v>103</v>
      </c>
      <c r="T83" s="177" t="s">
        <v>2863</v>
      </c>
      <c r="U83" s="67" t="s">
        <v>2935</v>
      </c>
      <c r="V83" s="67" t="s">
        <v>2891</v>
      </c>
      <c r="W83" s="175" t="s">
        <v>2865</v>
      </c>
      <c r="X83" s="67" t="s">
        <v>2683</v>
      </c>
      <c r="Y83" s="67" t="s">
        <v>2866</v>
      </c>
      <c r="Z83" s="67" t="s">
        <v>2684</v>
      </c>
      <c r="AA83" s="175" t="s">
        <v>2947</v>
      </c>
      <c r="AB83" s="175" t="s">
        <v>3477</v>
      </c>
      <c r="AC83" s="175" t="s">
        <v>3478</v>
      </c>
      <c r="AD83" s="175" t="s">
        <v>3479</v>
      </c>
      <c r="AE83" s="175" t="s">
        <v>3480</v>
      </c>
      <c r="AF83" s="176"/>
      <c r="AG83" s="176"/>
      <c r="AH83" s="176"/>
      <c r="AI83" s="67"/>
      <c r="AJ83" s="67"/>
      <c r="AK83" s="67"/>
      <c r="AL83" s="67"/>
      <c r="AM83" s="176"/>
      <c r="AN83" s="176"/>
      <c r="AO83" s="67"/>
      <c r="AP83" s="67" t="s">
        <v>2867</v>
      </c>
      <c r="AQ83" s="67" t="s">
        <v>2868</v>
      </c>
      <c r="AR83" s="175"/>
      <c r="AS83" s="175" t="s">
        <v>2869</v>
      </c>
      <c r="AT83" s="175" t="s">
        <v>2867</v>
      </c>
      <c r="AU83" s="175"/>
      <c r="AV83" s="178">
        <v>0</v>
      </c>
      <c r="AW83" s="67"/>
      <c r="AX83" s="175" t="s">
        <v>2867</v>
      </c>
      <c r="AY83" s="175" t="s">
        <v>2870</v>
      </c>
      <c r="AZ83" s="175" t="s">
        <v>2871</v>
      </c>
      <c r="BA83" s="175"/>
      <c r="BB83" s="175"/>
      <c r="BC83" s="175" t="s">
        <v>2859</v>
      </c>
      <c r="BD83" s="175" t="s">
        <v>2872</v>
      </c>
      <c r="BE83" s="175" t="s">
        <v>2873</v>
      </c>
      <c r="BF83" s="175" t="s">
        <v>2867</v>
      </c>
      <c r="BG83" s="67"/>
      <c r="BH83" s="179"/>
      <c r="BI83" s="175" t="s">
        <v>3027</v>
      </c>
      <c r="BJ83" s="175" t="s">
        <v>3526</v>
      </c>
      <c r="BK83" s="175" t="s">
        <v>3027</v>
      </c>
      <c r="BL83" s="175"/>
      <c r="BM83" s="175" t="s">
        <v>2936</v>
      </c>
      <c r="BN83" s="175" t="s">
        <v>2937</v>
      </c>
      <c r="BO83" s="180" t="s">
        <v>2879</v>
      </c>
      <c r="BP83" s="67" t="s">
        <v>2867</v>
      </c>
      <c r="BQ83" s="175" t="s">
        <v>1477</v>
      </c>
      <c r="BR83" s="177" t="s">
        <v>144</v>
      </c>
      <c r="BS83" s="177"/>
      <c r="BT83" s="67" t="s">
        <v>2867</v>
      </c>
      <c r="BU83" s="175"/>
      <c r="BV83" s="176"/>
      <c r="BW83" s="67" t="s">
        <v>2878</v>
      </c>
      <c r="BX83" s="175" t="s">
        <v>3527</v>
      </c>
      <c r="BY83" s="175" t="s">
        <v>1999</v>
      </c>
      <c r="BZ83" s="177"/>
      <c r="CA83" s="175"/>
      <c r="CB83" s="175"/>
      <c r="CC83" s="177"/>
      <c r="CD83" s="177"/>
      <c r="CE83" s="67"/>
      <c r="CF83" s="67"/>
      <c r="CG83" s="177"/>
      <c r="CH83" s="176"/>
      <c r="CI83" s="176"/>
      <c r="CJ83" s="175"/>
      <c r="CK83" s="67" t="s">
        <v>2867</v>
      </c>
      <c r="CL83" s="175"/>
      <c r="CM83" s="175"/>
      <c r="CN83" s="175"/>
      <c r="CO83" s="175"/>
      <c r="CP83" s="67" t="s">
        <v>1815</v>
      </c>
      <c r="CQ83" s="175" t="s">
        <v>3027</v>
      </c>
      <c r="CR83" s="175"/>
      <c r="CS83" s="67" t="s">
        <v>1815</v>
      </c>
      <c r="CT83" s="175" t="s">
        <v>3027</v>
      </c>
      <c r="CU83" s="175"/>
      <c r="CV83" s="181" t="s">
        <v>2879</v>
      </c>
      <c r="CW83" s="67" t="s">
        <v>3528</v>
      </c>
      <c r="CX83" s="182"/>
      <c r="CY83" s="175" t="s">
        <v>2880</v>
      </c>
      <c r="CZ83" s="175"/>
      <c r="DA83" s="175" t="s">
        <v>3420</v>
      </c>
      <c r="DB83" s="175" t="s">
        <v>3420</v>
      </c>
      <c r="DC83" s="175" t="s">
        <v>3529</v>
      </c>
      <c r="DD83" s="175" t="s">
        <v>3530</v>
      </c>
      <c r="DE83" s="176">
        <v>46176</v>
      </c>
      <c r="DF83" s="175"/>
      <c r="DG83" s="182"/>
      <c r="DH83" s="183">
        <v>1023500</v>
      </c>
      <c r="DI83" s="67"/>
      <c r="DJ83" s="67"/>
      <c r="DK83" s="67"/>
      <c r="DL83" s="67"/>
      <c r="DM83" s="67"/>
      <c r="DN83" s="183">
        <v>0</v>
      </c>
      <c r="DO83" s="183">
        <v>0</v>
      </c>
      <c r="DP83" s="67" t="s">
        <v>2867</v>
      </c>
      <c r="DQ83" s="175"/>
      <c r="DR83" s="175"/>
      <c r="DS83" s="175" t="s">
        <v>2882</v>
      </c>
      <c r="DT83" s="175"/>
      <c r="DU83" s="175"/>
      <c r="DV83" s="175" t="s">
        <v>2883</v>
      </c>
      <c r="DW83" s="175" t="s">
        <v>2884</v>
      </c>
      <c r="DX83" s="175" t="s">
        <v>2879</v>
      </c>
    </row>
    <row r="84" spans="1:128" ht="19.5" customHeight="1">
      <c r="A84" s="173"/>
      <c r="B84" s="174" t="s">
        <v>3531</v>
      </c>
      <c r="C84" s="67"/>
      <c r="D84" s="67"/>
      <c r="E84" s="174" t="s">
        <v>3532</v>
      </c>
      <c r="F84" s="174" t="s">
        <v>2650</v>
      </c>
      <c r="G84" s="175" t="s">
        <v>3533</v>
      </c>
      <c r="H84" s="174" t="s">
        <v>2994</v>
      </c>
      <c r="I84" s="174" t="s">
        <v>2995</v>
      </c>
      <c r="J84" s="175" t="s">
        <v>2859</v>
      </c>
      <c r="K84" s="176">
        <v>46175</v>
      </c>
      <c r="L84" s="67" t="s">
        <v>2943</v>
      </c>
      <c r="M84" s="175" t="s">
        <v>2648</v>
      </c>
      <c r="N84" s="67" t="s">
        <v>2648</v>
      </c>
      <c r="O84" s="67" t="s">
        <v>2527</v>
      </c>
      <c r="P84" s="67" t="s">
        <v>3534</v>
      </c>
      <c r="Q84" s="67" t="s">
        <v>1477</v>
      </c>
      <c r="R84" s="67" t="s">
        <v>103</v>
      </c>
      <c r="S84" s="67" t="s">
        <v>103</v>
      </c>
      <c r="T84" s="177" t="s">
        <v>2863</v>
      </c>
      <c r="U84" s="67" t="s">
        <v>2935</v>
      </c>
      <c r="V84" s="67" t="s">
        <v>2896</v>
      </c>
      <c r="W84" s="175" t="s">
        <v>2865</v>
      </c>
      <c r="X84" s="67" t="s">
        <v>2655</v>
      </c>
      <c r="Y84" s="67" t="s">
        <v>2866</v>
      </c>
      <c r="Z84" s="67" t="s">
        <v>2656</v>
      </c>
      <c r="AA84" s="175" t="s">
        <v>2947</v>
      </c>
      <c r="AB84" s="175" t="s">
        <v>3535</v>
      </c>
      <c r="AC84" s="175" t="s">
        <v>3536</v>
      </c>
      <c r="AD84" s="175" t="s">
        <v>3537</v>
      </c>
      <c r="AE84" s="175" t="s">
        <v>3538</v>
      </c>
      <c r="AF84" s="176"/>
      <c r="AG84" s="176"/>
      <c r="AH84" s="176"/>
      <c r="AI84" s="67"/>
      <c r="AJ84" s="67"/>
      <c r="AK84" s="67"/>
      <c r="AL84" s="67"/>
      <c r="AM84" s="176"/>
      <c r="AN84" s="176"/>
      <c r="AO84" s="67"/>
      <c r="AP84" s="67" t="s">
        <v>2867</v>
      </c>
      <c r="AQ84" s="67" t="s">
        <v>2868</v>
      </c>
      <c r="AR84" s="175"/>
      <c r="AS84" s="175" t="s">
        <v>2869</v>
      </c>
      <c r="AT84" s="175" t="s">
        <v>2867</v>
      </c>
      <c r="AU84" s="175"/>
      <c r="AV84" s="178">
        <v>0</v>
      </c>
      <c r="AW84" s="67"/>
      <c r="AX84" s="175" t="s">
        <v>2867</v>
      </c>
      <c r="AY84" s="175" t="s">
        <v>2870</v>
      </c>
      <c r="AZ84" s="175" t="s">
        <v>2871</v>
      </c>
      <c r="BA84" s="175"/>
      <c r="BB84" s="175"/>
      <c r="BC84" s="175" t="s">
        <v>2859</v>
      </c>
      <c r="BD84" s="175" t="s">
        <v>2872</v>
      </c>
      <c r="BE84" s="175" t="s">
        <v>2873</v>
      </c>
      <c r="BF84" s="175" t="s">
        <v>2867</v>
      </c>
      <c r="BG84" s="67"/>
      <c r="BH84" s="179"/>
      <c r="BI84" s="175" t="s">
        <v>2867</v>
      </c>
      <c r="BJ84" s="175"/>
      <c r="BK84" s="175" t="s">
        <v>2867</v>
      </c>
      <c r="BL84" s="175"/>
      <c r="BM84" s="175" t="s">
        <v>2936</v>
      </c>
      <c r="BN84" s="175" t="s">
        <v>2937</v>
      </c>
      <c r="BO84" s="180" t="s">
        <v>2879</v>
      </c>
      <c r="BP84" s="67" t="s">
        <v>2867</v>
      </c>
      <c r="BQ84" s="175" t="s">
        <v>1477</v>
      </c>
      <c r="BR84" s="177" t="s">
        <v>144</v>
      </c>
      <c r="BS84" s="177"/>
      <c r="BT84" s="67" t="s">
        <v>2867</v>
      </c>
      <c r="BU84" s="175"/>
      <c r="BV84" s="176"/>
      <c r="BW84" s="67" t="s">
        <v>2878</v>
      </c>
      <c r="BX84" s="175" t="s">
        <v>3539</v>
      </c>
      <c r="BY84" s="175" t="s">
        <v>1999</v>
      </c>
      <c r="BZ84" s="177"/>
      <c r="CA84" s="175"/>
      <c r="CB84" s="175"/>
      <c r="CC84" s="177"/>
      <c r="CD84" s="177"/>
      <c r="CE84" s="67"/>
      <c r="CF84" s="67"/>
      <c r="CG84" s="177"/>
      <c r="CH84" s="176"/>
      <c r="CI84" s="176"/>
      <c r="CJ84" s="175"/>
      <c r="CK84" s="67" t="s">
        <v>2867</v>
      </c>
      <c r="CL84" s="175"/>
      <c r="CM84" s="175"/>
      <c r="CN84" s="175"/>
      <c r="CO84" s="175"/>
      <c r="CP84" s="67" t="s">
        <v>1815</v>
      </c>
      <c r="CQ84" s="175" t="s">
        <v>3027</v>
      </c>
      <c r="CR84" s="175"/>
      <c r="CS84" s="67" t="s">
        <v>1815</v>
      </c>
      <c r="CT84" s="175" t="s">
        <v>3027</v>
      </c>
      <c r="CU84" s="175"/>
      <c r="CV84" s="181" t="s">
        <v>2879</v>
      </c>
      <c r="CW84" s="67"/>
      <c r="CX84" s="182"/>
      <c r="CY84" s="175" t="s">
        <v>2880</v>
      </c>
      <c r="CZ84" s="175"/>
      <c r="DA84" s="175" t="s">
        <v>3420</v>
      </c>
      <c r="DB84" s="175" t="s">
        <v>3420</v>
      </c>
      <c r="DC84" s="175" t="s">
        <v>3385</v>
      </c>
      <c r="DD84" s="175" t="s">
        <v>3540</v>
      </c>
      <c r="DE84" s="176">
        <v>46176</v>
      </c>
      <c r="DF84" s="175"/>
      <c r="DG84" s="182"/>
      <c r="DH84" s="183">
        <v>1023500</v>
      </c>
      <c r="DI84" s="67"/>
      <c r="DJ84" s="67"/>
      <c r="DK84" s="67"/>
      <c r="DL84" s="67"/>
      <c r="DM84" s="67"/>
      <c r="DN84" s="183">
        <v>0</v>
      </c>
      <c r="DO84" s="183">
        <v>0</v>
      </c>
      <c r="DP84" s="67" t="s">
        <v>2867</v>
      </c>
      <c r="DQ84" s="175"/>
      <c r="DR84" s="175"/>
      <c r="DS84" s="175" t="s">
        <v>2882</v>
      </c>
      <c r="DT84" s="175"/>
      <c r="DU84" s="175"/>
      <c r="DV84" s="175" t="s">
        <v>2883</v>
      </c>
      <c r="DW84" s="175" t="s">
        <v>2884</v>
      </c>
      <c r="DX84" s="175" t="s">
        <v>2879</v>
      </c>
    </row>
    <row r="85" spans="1:128" ht="19.5" customHeight="1">
      <c r="A85" s="173" t="s">
        <v>3268</v>
      </c>
      <c r="B85" s="174" t="s">
        <v>3541</v>
      </c>
      <c r="C85" s="67"/>
      <c r="D85" s="67"/>
      <c r="E85" s="174" t="s">
        <v>3542</v>
      </c>
      <c r="F85" s="174" t="s">
        <v>2697</v>
      </c>
      <c r="G85" s="175" t="s">
        <v>3543</v>
      </c>
      <c r="H85" s="174" t="s">
        <v>2994</v>
      </c>
      <c r="I85" s="174" t="s">
        <v>2995</v>
      </c>
      <c r="J85" s="175" t="s">
        <v>2859</v>
      </c>
      <c r="K85" s="176">
        <v>46175</v>
      </c>
      <c r="L85" s="67" t="s">
        <v>2860</v>
      </c>
      <c r="M85" s="175" t="s">
        <v>2713</v>
      </c>
      <c r="N85" s="67" t="s">
        <v>2713</v>
      </c>
      <c r="O85" s="67" t="s">
        <v>3544</v>
      </c>
      <c r="P85" s="67" t="s">
        <v>3545</v>
      </c>
      <c r="Q85" s="67"/>
      <c r="R85" s="67"/>
      <c r="S85" s="67" t="s">
        <v>968</v>
      </c>
      <c r="T85" s="177" t="s">
        <v>2863</v>
      </c>
      <c r="U85" s="67" t="s">
        <v>2935</v>
      </c>
      <c r="V85" s="67" t="s">
        <v>2891</v>
      </c>
      <c r="W85" s="175" t="s">
        <v>2865</v>
      </c>
      <c r="X85" s="67" t="s">
        <v>2698</v>
      </c>
      <c r="Y85" s="67" t="s">
        <v>2866</v>
      </c>
      <c r="Z85" s="67" t="s">
        <v>2699</v>
      </c>
      <c r="AA85" s="175" t="s">
        <v>2947</v>
      </c>
      <c r="AB85" s="175" t="s">
        <v>3546</v>
      </c>
      <c r="AC85" s="175" t="s">
        <v>3547</v>
      </c>
      <c r="AD85" s="175" t="s">
        <v>3548</v>
      </c>
      <c r="AE85" s="175" t="s">
        <v>3549</v>
      </c>
      <c r="AF85" s="176"/>
      <c r="AG85" s="176"/>
      <c r="AH85" s="176"/>
      <c r="AI85" s="67"/>
      <c r="AJ85" s="67"/>
      <c r="AK85" s="67" t="s">
        <v>2867</v>
      </c>
      <c r="AL85" s="67"/>
      <c r="AM85" s="176"/>
      <c r="AN85" s="176"/>
      <c r="AO85" s="67"/>
      <c r="AP85" s="67" t="s">
        <v>2867</v>
      </c>
      <c r="AQ85" s="67" t="s">
        <v>2868</v>
      </c>
      <c r="AR85" s="175"/>
      <c r="AS85" s="175" t="s">
        <v>2869</v>
      </c>
      <c r="AT85" s="175" t="s">
        <v>2867</v>
      </c>
      <c r="AU85" s="175"/>
      <c r="AV85" s="178">
        <v>0</v>
      </c>
      <c r="AW85" s="67"/>
      <c r="AX85" s="175" t="s">
        <v>2867</v>
      </c>
      <c r="AY85" s="175" t="s">
        <v>2870</v>
      </c>
      <c r="AZ85" s="175" t="s">
        <v>2871</v>
      </c>
      <c r="BA85" s="175"/>
      <c r="BB85" s="175"/>
      <c r="BC85" s="175" t="s">
        <v>2859</v>
      </c>
      <c r="BD85" s="175" t="s">
        <v>2872</v>
      </c>
      <c r="BE85" s="175" t="s">
        <v>2873</v>
      </c>
      <c r="BF85" s="175" t="s">
        <v>2867</v>
      </c>
      <c r="BG85" s="67"/>
      <c r="BH85" s="179"/>
      <c r="BI85" s="175" t="s">
        <v>2867</v>
      </c>
      <c r="BJ85" s="175"/>
      <c r="BK85" s="175" t="s">
        <v>2867</v>
      </c>
      <c r="BL85" s="175"/>
      <c r="BM85" s="175" t="s">
        <v>2936</v>
      </c>
      <c r="BN85" s="175" t="s">
        <v>2937</v>
      </c>
      <c r="BO85" s="180"/>
      <c r="BP85" s="67" t="s">
        <v>2867</v>
      </c>
      <c r="BQ85" s="175" t="s">
        <v>1477</v>
      </c>
      <c r="BR85" s="177" t="s">
        <v>144</v>
      </c>
      <c r="BS85" s="177"/>
      <c r="BT85" s="67" t="s">
        <v>2867</v>
      </c>
      <c r="BU85" s="175"/>
      <c r="BV85" s="176"/>
      <c r="BW85" s="67" t="s">
        <v>2878</v>
      </c>
      <c r="BX85" s="175" t="s">
        <v>3550</v>
      </c>
      <c r="BY85" s="175" t="s">
        <v>1999</v>
      </c>
      <c r="BZ85" s="177"/>
      <c r="CA85" s="175"/>
      <c r="CB85" s="175"/>
      <c r="CC85" s="177"/>
      <c r="CD85" s="177"/>
      <c r="CE85" s="67"/>
      <c r="CF85" s="67"/>
      <c r="CG85" s="177"/>
      <c r="CH85" s="176"/>
      <c r="CI85" s="176"/>
      <c r="CJ85" s="175"/>
      <c r="CK85" s="67" t="s">
        <v>3027</v>
      </c>
      <c r="CL85" s="175" t="s">
        <v>929</v>
      </c>
      <c r="CM85" s="175" t="s">
        <v>3442</v>
      </c>
      <c r="CN85" s="175" t="s">
        <v>3452</v>
      </c>
      <c r="CO85" s="175"/>
      <c r="CP85" s="67" t="s">
        <v>1809</v>
      </c>
      <c r="CQ85" s="175" t="s">
        <v>3027</v>
      </c>
      <c r="CR85" s="175"/>
      <c r="CS85" s="67"/>
      <c r="CT85" s="175" t="s">
        <v>2867</v>
      </c>
      <c r="CU85" s="175"/>
      <c r="CV85" s="181" t="s">
        <v>2879</v>
      </c>
      <c r="CW85" s="67"/>
      <c r="CX85" s="182"/>
      <c r="CY85" s="175" t="s">
        <v>2880</v>
      </c>
      <c r="CZ85" s="175"/>
      <c r="DA85" s="175" t="s">
        <v>3420</v>
      </c>
      <c r="DB85" s="175" t="s">
        <v>3420</v>
      </c>
      <c r="DC85" s="175" t="s">
        <v>3551</v>
      </c>
      <c r="DD85" s="175"/>
      <c r="DE85" s="176">
        <v>46176</v>
      </c>
      <c r="DF85" s="175"/>
      <c r="DG85" s="182"/>
      <c r="DH85" s="183">
        <v>1023500</v>
      </c>
      <c r="DI85" s="67"/>
      <c r="DJ85" s="67"/>
      <c r="DK85" s="67"/>
      <c r="DL85" s="67"/>
      <c r="DM85" s="67"/>
      <c r="DN85" s="183">
        <v>0</v>
      </c>
      <c r="DO85" s="183">
        <v>0</v>
      </c>
      <c r="DP85" s="67" t="s">
        <v>2867</v>
      </c>
      <c r="DQ85" s="175"/>
      <c r="DR85" s="175"/>
      <c r="DS85" s="175" t="s">
        <v>2882</v>
      </c>
      <c r="DT85" s="175"/>
      <c r="DU85" s="175"/>
      <c r="DV85" s="175" t="s">
        <v>2883</v>
      </c>
      <c r="DW85" s="175" t="s">
        <v>2884</v>
      </c>
      <c r="DX85" s="175" t="s">
        <v>2879</v>
      </c>
    </row>
    <row r="86" spans="1:128" ht="19.5" customHeight="1">
      <c r="A86" s="173" t="s">
        <v>3268</v>
      </c>
      <c r="B86" s="174" t="s">
        <v>3552</v>
      </c>
      <c r="C86" s="67"/>
      <c r="D86" s="67"/>
      <c r="E86" s="174" t="s">
        <v>3553</v>
      </c>
      <c r="F86" s="174" t="s">
        <v>2632</v>
      </c>
      <c r="G86" s="175" t="s">
        <v>3554</v>
      </c>
      <c r="H86" s="174" t="s">
        <v>2994</v>
      </c>
      <c r="I86" s="174" t="s">
        <v>2995</v>
      </c>
      <c r="J86" s="175" t="s">
        <v>2859</v>
      </c>
      <c r="K86" s="176">
        <v>46175</v>
      </c>
      <c r="L86" s="67" t="s">
        <v>2921</v>
      </c>
      <c r="M86" s="175" t="s">
        <v>2614</v>
      </c>
      <c r="N86" s="67" t="s">
        <v>2614</v>
      </c>
      <c r="O86" s="67" t="s">
        <v>2329</v>
      </c>
      <c r="P86" s="67" t="s">
        <v>2997</v>
      </c>
      <c r="Q86" s="67" t="s">
        <v>1415</v>
      </c>
      <c r="R86" s="67" t="s">
        <v>104</v>
      </c>
      <c r="S86" s="67" t="s">
        <v>104</v>
      </c>
      <c r="T86" s="177" t="s">
        <v>2998</v>
      </c>
      <c r="U86" s="67" t="s">
        <v>1247</v>
      </c>
      <c r="V86" s="67" t="s">
        <v>2944</v>
      </c>
      <c r="W86" s="175" t="s">
        <v>2865</v>
      </c>
      <c r="X86" s="67" t="s">
        <v>2617</v>
      </c>
      <c r="Y86" s="67" t="s">
        <v>2866</v>
      </c>
      <c r="Z86" s="67" t="s">
        <v>2618</v>
      </c>
      <c r="AA86" s="175" t="s">
        <v>2947</v>
      </c>
      <c r="AB86" s="175" t="s">
        <v>3097</v>
      </c>
      <c r="AC86" s="175" t="s">
        <v>3098</v>
      </c>
      <c r="AD86" s="175" t="s">
        <v>3099</v>
      </c>
      <c r="AE86" s="175" t="s">
        <v>3100</v>
      </c>
      <c r="AF86" s="176"/>
      <c r="AG86" s="176"/>
      <c r="AH86" s="176"/>
      <c r="AI86" s="67"/>
      <c r="AJ86" s="67"/>
      <c r="AK86" s="67"/>
      <c r="AL86" s="67"/>
      <c r="AM86" s="176"/>
      <c r="AN86" s="176"/>
      <c r="AO86" s="67"/>
      <c r="AP86" s="67" t="s">
        <v>2867</v>
      </c>
      <c r="AQ86" s="67" t="s">
        <v>2868</v>
      </c>
      <c r="AR86" s="175"/>
      <c r="AS86" s="175" t="s">
        <v>2869</v>
      </c>
      <c r="AT86" s="175" t="s">
        <v>2867</v>
      </c>
      <c r="AU86" s="175"/>
      <c r="AV86" s="178">
        <v>0</v>
      </c>
      <c r="AW86" s="67"/>
      <c r="AX86" s="175" t="s">
        <v>2867</v>
      </c>
      <c r="AY86" s="175" t="s">
        <v>2870</v>
      </c>
      <c r="AZ86" s="175" t="s">
        <v>2871</v>
      </c>
      <c r="BA86" s="175"/>
      <c r="BB86" s="175"/>
      <c r="BC86" s="175" t="s">
        <v>2859</v>
      </c>
      <c r="BD86" s="175" t="s">
        <v>2872</v>
      </c>
      <c r="BE86" s="175" t="s">
        <v>2873</v>
      </c>
      <c r="BF86" s="175" t="s">
        <v>2867</v>
      </c>
      <c r="BG86" s="67"/>
      <c r="BH86" s="179"/>
      <c r="BI86" s="175" t="s">
        <v>2867</v>
      </c>
      <c r="BJ86" s="175"/>
      <c r="BK86" s="175" t="s">
        <v>2867</v>
      </c>
      <c r="BL86" s="175"/>
      <c r="BM86" s="175" t="s">
        <v>3005</v>
      </c>
      <c r="BN86" s="175" t="s">
        <v>3006</v>
      </c>
      <c r="BO86" s="180" t="s">
        <v>2879</v>
      </c>
      <c r="BP86" s="67" t="s">
        <v>2867</v>
      </c>
      <c r="BQ86" s="175" t="s">
        <v>1477</v>
      </c>
      <c r="BR86" s="177" t="s">
        <v>144</v>
      </c>
      <c r="BS86" s="177"/>
      <c r="BT86" s="67" t="s">
        <v>2867</v>
      </c>
      <c r="BU86" s="175"/>
      <c r="BV86" s="176"/>
      <c r="BW86" s="67" t="s">
        <v>2878</v>
      </c>
      <c r="BX86" s="175" t="s">
        <v>3555</v>
      </c>
      <c r="BY86" s="175" t="s">
        <v>1996</v>
      </c>
      <c r="BZ86" s="177"/>
      <c r="CA86" s="175" t="s">
        <v>3556</v>
      </c>
      <c r="CB86" s="175"/>
      <c r="CC86" s="177"/>
      <c r="CD86" s="177"/>
      <c r="CE86" s="67"/>
      <c r="CF86" s="67"/>
      <c r="CG86" s="177"/>
      <c r="CH86" s="176"/>
      <c r="CI86" s="176"/>
      <c r="CJ86" s="175"/>
      <c r="CK86" s="67" t="s">
        <v>3027</v>
      </c>
      <c r="CL86" s="175" t="s">
        <v>929</v>
      </c>
      <c r="CM86" s="175" t="s">
        <v>3442</v>
      </c>
      <c r="CN86" s="175" t="s">
        <v>3419</v>
      </c>
      <c r="CO86" s="175"/>
      <c r="CP86" s="67" t="s">
        <v>1812</v>
      </c>
      <c r="CQ86" s="175" t="s">
        <v>3027</v>
      </c>
      <c r="CR86" s="175" t="s">
        <v>3557</v>
      </c>
      <c r="CS86" s="67" t="s">
        <v>1812</v>
      </c>
      <c r="CT86" s="175" t="s">
        <v>3027</v>
      </c>
      <c r="CU86" s="175"/>
      <c r="CV86" s="181" t="s">
        <v>2879</v>
      </c>
      <c r="CW86" s="67"/>
      <c r="CX86" s="182"/>
      <c r="CY86" s="175" t="s">
        <v>2880</v>
      </c>
      <c r="CZ86" s="175"/>
      <c r="DA86" s="175" t="s">
        <v>3420</v>
      </c>
      <c r="DB86" s="175" t="s">
        <v>3420</v>
      </c>
      <c r="DC86" s="175" t="s">
        <v>3436</v>
      </c>
      <c r="DD86" s="175"/>
      <c r="DE86" s="176">
        <v>46175</v>
      </c>
      <c r="DF86" s="175"/>
      <c r="DG86" s="182"/>
      <c r="DH86" s="183">
        <v>1023500</v>
      </c>
      <c r="DI86" s="67"/>
      <c r="DJ86" s="67"/>
      <c r="DK86" s="67"/>
      <c r="DL86" s="67"/>
      <c r="DM86" s="67"/>
      <c r="DN86" s="183">
        <v>0</v>
      </c>
      <c r="DO86" s="183">
        <v>0</v>
      </c>
      <c r="DP86" s="67" t="s">
        <v>2867</v>
      </c>
      <c r="DQ86" s="175"/>
      <c r="DR86" s="175"/>
      <c r="DS86" s="175" t="s">
        <v>2882</v>
      </c>
      <c r="DT86" s="175"/>
      <c r="DU86" s="175"/>
      <c r="DV86" s="175" t="s">
        <v>2883</v>
      </c>
      <c r="DW86" s="175" t="s">
        <v>2884</v>
      </c>
      <c r="DX86" s="175" t="s">
        <v>2879</v>
      </c>
    </row>
    <row r="87" spans="1:128" ht="19.5" customHeight="1">
      <c r="A87" s="173" t="s">
        <v>3268</v>
      </c>
      <c r="B87" s="174" t="s">
        <v>3558</v>
      </c>
      <c r="C87" s="67"/>
      <c r="D87" s="67"/>
      <c r="E87" s="174" t="s">
        <v>3559</v>
      </c>
      <c r="F87" s="174" t="s">
        <v>2633</v>
      </c>
      <c r="G87" s="175" t="s">
        <v>3560</v>
      </c>
      <c r="H87" s="174" t="s">
        <v>2994</v>
      </c>
      <c r="I87" s="174" t="s">
        <v>2995</v>
      </c>
      <c r="J87" s="175" t="s">
        <v>2859</v>
      </c>
      <c r="K87" s="176">
        <v>46175</v>
      </c>
      <c r="L87" s="67" t="s">
        <v>3062</v>
      </c>
      <c r="M87" s="175" t="s">
        <v>2614</v>
      </c>
      <c r="N87" s="67" t="s">
        <v>2614</v>
      </c>
      <c r="O87" s="67" t="s">
        <v>2329</v>
      </c>
      <c r="P87" s="67" t="s">
        <v>2997</v>
      </c>
      <c r="Q87" s="67" t="s">
        <v>1415</v>
      </c>
      <c r="R87" s="67" t="s">
        <v>104</v>
      </c>
      <c r="S87" s="67" t="s">
        <v>104</v>
      </c>
      <c r="T87" s="177" t="s">
        <v>2998</v>
      </c>
      <c r="U87" s="67" t="s">
        <v>1247</v>
      </c>
      <c r="V87" s="67" t="s">
        <v>2944</v>
      </c>
      <c r="W87" s="175" t="s">
        <v>2865</v>
      </c>
      <c r="X87" s="67" t="s">
        <v>2619</v>
      </c>
      <c r="Y87" s="67" t="s">
        <v>2866</v>
      </c>
      <c r="Z87" s="67" t="s">
        <v>2620</v>
      </c>
      <c r="AA87" s="175" t="s">
        <v>2947</v>
      </c>
      <c r="AB87" s="175" t="s">
        <v>3332</v>
      </c>
      <c r="AC87" s="175" t="s">
        <v>3333</v>
      </c>
      <c r="AD87" s="175" t="s">
        <v>3334</v>
      </c>
      <c r="AE87" s="175" t="s">
        <v>3335</v>
      </c>
      <c r="AF87" s="176"/>
      <c r="AG87" s="176"/>
      <c r="AH87" s="176"/>
      <c r="AI87" s="67"/>
      <c r="AJ87" s="67"/>
      <c r="AK87" s="67"/>
      <c r="AL87" s="67"/>
      <c r="AM87" s="176"/>
      <c r="AN87" s="176"/>
      <c r="AO87" s="67"/>
      <c r="AP87" s="67" t="s">
        <v>2867</v>
      </c>
      <c r="AQ87" s="67" t="s">
        <v>2868</v>
      </c>
      <c r="AR87" s="175"/>
      <c r="AS87" s="175" t="s">
        <v>2869</v>
      </c>
      <c r="AT87" s="175" t="s">
        <v>2867</v>
      </c>
      <c r="AU87" s="175"/>
      <c r="AV87" s="178">
        <v>0</v>
      </c>
      <c r="AW87" s="67"/>
      <c r="AX87" s="175" t="s">
        <v>2867</v>
      </c>
      <c r="AY87" s="175" t="s">
        <v>2870</v>
      </c>
      <c r="AZ87" s="175" t="s">
        <v>2871</v>
      </c>
      <c r="BA87" s="175"/>
      <c r="BB87" s="175"/>
      <c r="BC87" s="175" t="s">
        <v>2859</v>
      </c>
      <c r="BD87" s="175" t="s">
        <v>2872</v>
      </c>
      <c r="BE87" s="175" t="s">
        <v>2873</v>
      </c>
      <c r="BF87" s="175" t="s">
        <v>2867</v>
      </c>
      <c r="BG87" s="67"/>
      <c r="BH87" s="179"/>
      <c r="BI87" s="175" t="s">
        <v>2867</v>
      </c>
      <c r="BJ87" s="175"/>
      <c r="BK87" s="175" t="s">
        <v>2867</v>
      </c>
      <c r="BL87" s="175"/>
      <c r="BM87" s="175" t="s">
        <v>3005</v>
      </c>
      <c r="BN87" s="175" t="s">
        <v>3006</v>
      </c>
      <c r="BO87" s="180" t="s">
        <v>2879</v>
      </c>
      <c r="BP87" s="67" t="s">
        <v>2867</v>
      </c>
      <c r="BQ87" s="175" t="s">
        <v>1477</v>
      </c>
      <c r="BR87" s="177" t="s">
        <v>144</v>
      </c>
      <c r="BS87" s="177"/>
      <c r="BT87" s="67" t="s">
        <v>2867</v>
      </c>
      <c r="BU87" s="175"/>
      <c r="BV87" s="176"/>
      <c r="BW87" s="67" t="s">
        <v>2878</v>
      </c>
      <c r="BX87" s="175" t="s">
        <v>3561</v>
      </c>
      <c r="BY87" s="175" t="s">
        <v>1996</v>
      </c>
      <c r="BZ87" s="177"/>
      <c r="CA87" s="175" t="s">
        <v>3562</v>
      </c>
      <c r="CB87" s="175"/>
      <c r="CC87" s="177"/>
      <c r="CD87" s="177"/>
      <c r="CE87" s="67"/>
      <c r="CF87" s="67"/>
      <c r="CG87" s="177"/>
      <c r="CH87" s="176"/>
      <c r="CI87" s="176"/>
      <c r="CJ87" s="175"/>
      <c r="CK87" s="67" t="s">
        <v>3027</v>
      </c>
      <c r="CL87" s="175" t="s">
        <v>929</v>
      </c>
      <c r="CM87" s="175" t="s">
        <v>3442</v>
      </c>
      <c r="CN87" s="175" t="s">
        <v>3419</v>
      </c>
      <c r="CO87" s="175"/>
      <c r="CP87" s="67" t="s">
        <v>1812</v>
      </c>
      <c r="CQ87" s="175" t="s">
        <v>3027</v>
      </c>
      <c r="CR87" s="175" t="s">
        <v>3563</v>
      </c>
      <c r="CS87" s="67" t="s">
        <v>1812</v>
      </c>
      <c r="CT87" s="175" t="s">
        <v>3027</v>
      </c>
      <c r="CU87" s="175"/>
      <c r="CV87" s="181" t="s">
        <v>2879</v>
      </c>
      <c r="CW87" s="67"/>
      <c r="CX87" s="182"/>
      <c r="CY87" s="175" t="s">
        <v>2880</v>
      </c>
      <c r="CZ87" s="175"/>
      <c r="DA87" s="175" t="s">
        <v>3420</v>
      </c>
      <c r="DB87" s="175" t="s">
        <v>3420</v>
      </c>
      <c r="DC87" s="175" t="s">
        <v>3436</v>
      </c>
      <c r="DD87" s="175"/>
      <c r="DE87" s="176">
        <v>46175</v>
      </c>
      <c r="DF87" s="175"/>
      <c r="DG87" s="182"/>
      <c r="DH87" s="183">
        <v>1023500</v>
      </c>
      <c r="DI87" s="67"/>
      <c r="DJ87" s="67"/>
      <c r="DK87" s="67"/>
      <c r="DL87" s="67"/>
      <c r="DM87" s="67"/>
      <c r="DN87" s="183">
        <v>0</v>
      </c>
      <c r="DO87" s="183">
        <v>0</v>
      </c>
      <c r="DP87" s="67" t="s">
        <v>2867</v>
      </c>
      <c r="DQ87" s="175"/>
      <c r="DR87" s="175"/>
      <c r="DS87" s="175" t="s">
        <v>2882</v>
      </c>
      <c r="DT87" s="175"/>
      <c r="DU87" s="175"/>
      <c r="DV87" s="175" t="s">
        <v>2883</v>
      </c>
      <c r="DW87" s="175" t="s">
        <v>2884</v>
      </c>
      <c r="DX87" s="175" t="s">
        <v>2879</v>
      </c>
    </row>
    <row r="88" spans="1:128" ht="19.5" customHeight="1">
      <c r="A88" s="173"/>
      <c r="B88" s="174" t="s">
        <v>3564</v>
      </c>
      <c r="C88" s="67"/>
      <c r="D88" s="67"/>
      <c r="E88" s="174" t="s">
        <v>3565</v>
      </c>
      <c r="F88" s="174" t="s">
        <v>2634</v>
      </c>
      <c r="G88" s="175" t="s">
        <v>3566</v>
      </c>
      <c r="H88" s="174" t="s">
        <v>2994</v>
      </c>
      <c r="I88" s="174" t="s">
        <v>2995</v>
      </c>
      <c r="J88" s="175" t="s">
        <v>2859</v>
      </c>
      <c r="K88" s="176">
        <v>46175</v>
      </c>
      <c r="L88" s="67" t="s">
        <v>2889</v>
      </c>
      <c r="M88" s="175" t="s">
        <v>2614</v>
      </c>
      <c r="N88" s="67" t="s">
        <v>2614</v>
      </c>
      <c r="O88" s="67" t="s">
        <v>2329</v>
      </c>
      <c r="P88" s="67" t="s">
        <v>2997</v>
      </c>
      <c r="Q88" s="67" t="s">
        <v>1415</v>
      </c>
      <c r="R88" s="67" t="s">
        <v>104</v>
      </c>
      <c r="S88" s="67" t="s">
        <v>104</v>
      </c>
      <c r="T88" s="177" t="s">
        <v>2998</v>
      </c>
      <c r="U88" s="67" t="s">
        <v>1247</v>
      </c>
      <c r="V88" s="67" t="s">
        <v>2944</v>
      </c>
      <c r="W88" s="175" t="s">
        <v>2865</v>
      </c>
      <c r="X88" s="67" t="s">
        <v>2621</v>
      </c>
      <c r="Y88" s="67" t="s">
        <v>2866</v>
      </c>
      <c r="Z88" s="67" t="s">
        <v>2622</v>
      </c>
      <c r="AA88" s="175" t="s">
        <v>2947</v>
      </c>
      <c r="AB88" s="175" t="s">
        <v>2960</v>
      </c>
      <c r="AC88" s="175" t="s">
        <v>2961</v>
      </c>
      <c r="AD88" s="175" t="s">
        <v>2962</v>
      </c>
      <c r="AE88" s="175" t="s">
        <v>2963</v>
      </c>
      <c r="AF88" s="176"/>
      <c r="AG88" s="176"/>
      <c r="AH88" s="176"/>
      <c r="AI88" s="67"/>
      <c r="AJ88" s="67"/>
      <c r="AK88" s="67"/>
      <c r="AL88" s="67"/>
      <c r="AM88" s="176"/>
      <c r="AN88" s="176"/>
      <c r="AO88" s="67"/>
      <c r="AP88" s="67" t="s">
        <v>2867</v>
      </c>
      <c r="AQ88" s="67" t="s">
        <v>2868</v>
      </c>
      <c r="AR88" s="175"/>
      <c r="AS88" s="175" t="s">
        <v>2869</v>
      </c>
      <c r="AT88" s="175" t="s">
        <v>2867</v>
      </c>
      <c r="AU88" s="175"/>
      <c r="AV88" s="178">
        <v>0</v>
      </c>
      <c r="AW88" s="67"/>
      <c r="AX88" s="175" t="s">
        <v>2867</v>
      </c>
      <c r="AY88" s="175" t="s">
        <v>2870</v>
      </c>
      <c r="AZ88" s="175" t="s">
        <v>2871</v>
      </c>
      <c r="BA88" s="175"/>
      <c r="BB88" s="175"/>
      <c r="BC88" s="175" t="s">
        <v>2859</v>
      </c>
      <c r="BD88" s="175" t="s">
        <v>2872</v>
      </c>
      <c r="BE88" s="175" t="s">
        <v>2873</v>
      </c>
      <c r="BF88" s="175" t="s">
        <v>2867</v>
      </c>
      <c r="BG88" s="67"/>
      <c r="BH88" s="179"/>
      <c r="BI88" s="175" t="s">
        <v>2867</v>
      </c>
      <c r="BJ88" s="175"/>
      <c r="BK88" s="175" t="s">
        <v>2867</v>
      </c>
      <c r="BL88" s="175"/>
      <c r="BM88" s="175" t="s">
        <v>3005</v>
      </c>
      <c r="BN88" s="175" t="s">
        <v>3006</v>
      </c>
      <c r="BO88" s="180" t="s">
        <v>2879</v>
      </c>
      <c r="BP88" s="67" t="s">
        <v>2867</v>
      </c>
      <c r="BQ88" s="175" t="s">
        <v>1477</v>
      </c>
      <c r="BR88" s="177" t="s">
        <v>144</v>
      </c>
      <c r="BS88" s="177"/>
      <c r="BT88" s="67" t="s">
        <v>2867</v>
      </c>
      <c r="BU88" s="175"/>
      <c r="BV88" s="176"/>
      <c r="BW88" s="67" t="s">
        <v>2878</v>
      </c>
      <c r="BX88" s="175" t="s">
        <v>3567</v>
      </c>
      <c r="BY88" s="175" t="s">
        <v>1996</v>
      </c>
      <c r="BZ88" s="177"/>
      <c r="CA88" s="175"/>
      <c r="CB88" s="175"/>
      <c r="CC88" s="177"/>
      <c r="CD88" s="177"/>
      <c r="CE88" s="67"/>
      <c r="CF88" s="67"/>
      <c r="CG88" s="177"/>
      <c r="CH88" s="176"/>
      <c r="CI88" s="176"/>
      <c r="CJ88" s="175"/>
      <c r="CK88" s="67" t="s">
        <v>2867</v>
      </c>
      <c r="CL88" s="175"/>
      <c r="CM88" s="175"/>
      <c r="CN88" s="175"/>
      <c r="CO88" s="175"/>
      <c r="CP88" s="67" t="s">
        <v>1812</v>
      </c>
      <c r="CQ88" s="175" t="s">
        <v>3027</v>
      </c>
      <c r="CR88" s="175"/>
      <c r="CS88" s="67" t="s">
        <v>1812</v>
      </c>
      <c r="CT88" s="175" t="s">
        <v>3027</v>
      </c>
      <c r="CU88" s="175"/>
      <c r="CV88" s="181" t="s">
        <v>2879</v>
      </c>
      <c r="CW88" s="67"/>
      <c r="CX88" s="182"/>
      <c r="CY88" s="175" t="s">
        <v>2880</v>
      </c>
      <c r="CZ88" s="175"/>
      <c r="DA88" s="175" t="s">
        <v>3420</v>
      </c>
      <c r="DB88" s="175" t="s">
        <v>3420</v>
      </c>
      <c r="DC88" s="175" t="s">
        <v>3568</v>
      </c>
      <c r="DD88" s="175"/>
      <c r="DE88" s="176">
        <v>46176</v>
      </c>
      <c r="DF88" s="175"/>
      <c r="DG88" s="182"/>
      <c r="DH88" s="183">
        <v>1023500</v>
      </c>
      <c r="DI88" s="67"/>
      <c r="DJ88" s="67"/>
      <c r="DK88" s="67"/>
      <c r="DL88" s="67"/>
      <c r="DM88" s="67"/>
      <c r="DN88" s="183">
        <v>0</v>
      </c>
      <c r="DO88" s="183">
        <v>0</v>
      </c>
      <c r="DP88" s="67" t="s">
        <v>2867</v>
      </c>
      <c r="DQ88" s="175"/>
      <c r="DR88" s="175"/>
      <c r="DS88" s="175" t="s">
        <v>2882</v>
      </c>
      <c r="DT88" s="175"/>
      <c r="DU88" s="175"/>
      <c r="DV88" s="175" t="s">
        <v>2883</v>
      </c>
      <c r="DW88" s="175" t="s">
        <v>2884</v>
      </c>
      <c r="DX88" s="175" t="s">
        <v>2879</v>
      </c>
    </row>
    <row r="89" spans="1:128" ht="19.5" customHeight="1">
      <c r="A89" s="173"/>
      <c r="B89" s="174" t="s">
        <v>3569</v>
      </c>
      <c r="C89" s="67"/>
      <c r="D89" s="67"/>
      <c r="E89" s="174" t="s">
        <v>3570</v>
      </c>
      <c r="F89" s="174" t="s">
        <v>2635</v>
      </c>
      <c r="G89" s="175" t="s">
        <v>3571</v>
      </c>
      <c r="H89" s="174" t="s">
        <v>2994</v>
      </c>
      <c r="I89" s="174" t="s">
        <v>2995</v>
      </c>
      <c r="J89" s="175" t="s">
        <v>2859</v>
      </c>
      <c r="K89" s="176">
        <v>46175</v>
      </c>
      <c r="L89" s="67" t="s">
        <v>2889</v>
      </c>
      <c r="M89" s="175" t="s">
        <v>2614</v>
      </c>
      <c r="N89" s="67" t="s">
        <v>2614</v>
      </c>
      <c r="O89" s="67" t="s">
        <v>2329</v>
      </c>
      <c r="P89" s="67" t="s">
        <v>2997</v>
      </c>
      <c r="Q89" s="67" t="s">
        <v>1415</v>
      </c>
      <c r="R89" s="67" t="s">
        <v>104</v>
      </c>
      <c r="S89" s="67" t="s">
        <v>104</v>
      </c>
      <c r="T89" s="177" t="s">
        <v>2998</v>
      </c>
      <c r="U89" s="67" t="s">
        <v>1247</v>
      </c>
      <c r="V89" s="67" t="s">
        <v>2944</v>
      </c>
      <c r="W89" s="175" t="s">
        <v>2865</v>
      </c>
      <c r="X89" s="67" t="s">
        <v>2623</v>
      </c>
      <c r="Y89" s="67" t="s">
        <v>2866</v>
      </c>
      <c r="Z89" s="67" t="s">
        <v>2624</v>
      </c>
      <c r="AA89" s="175" t="s">
        <v>2947</v>
      </c>
      <c r="AB89" s="175" t="s">
        <v>3001</v>
      </c>
      <c r="AC89" s="175" t="s">
        <v>3002</v>
      </c>
      <c r="AD89" s="175" t="s">
        <v>3003</v>
      </c>
      <c r="AE89" s="175" t="s">
        <v>3004</v>
      </c>
      <c r="AF89" s="176"/>
      <c r="AG89" s="176"/>
      <c r="AH89" s="176"/>
      <c r="AI89" s="67"/>
      <c r="AJ89" s="67"/>
      <c r="AK89" s="67"/>
      <c r="AL89" s="67"/>
      <c r="AM89" s="176"/>
      <c r="AN89" s="176"/>
      <c r="AO89" s="67"/>
      <c r="AP89" s="67" t="s">
        <v>2867</v>
      </c>
      <c r="AQ89" s="67" t="s">
        <v>2868</v>
      </c>
      <c r="AR89" s="175"/>
      <c r="AS89" s="175" t="s">
        <v>2869</v>
      </c>
      <c r="AT89" s="175" t="s">
        <v>2867</v>
      </c>
      <c r="AU89" s="175"/>
      <c r="AV89" s="178">
        <v>0</v>
      </c>
      <c r="AW89" s="67"/>
      <c r="AX89" s="175" t="s">
        <v>2867</v>
      </c>
      <c r="AY89" s="175" t="s">
        <v>2870</v>
      </c>
      <c r="AZ89" s="175" t="s">
        <v>2871</v>
      </c>
      <c r="BA89" s="175"/>
      <c r="BB89" s="175"/>
      <c r="BC89" s="175" t="s">
        <v>2859</v>
      </c>
      <c r="BD89" s="175" t="s">
        <v>2872</v>
      </c>
      <c r="BE89" s="175" t="s">
        <v>2873</v>
      </c>
      <c r="BF89" s="175" t="s">
        <v>2867</v>
      </c>
      <c r="BG89" s="67"/>
      <c r="BH89" s="179"/>
      <c r="BI89" s="175" t="s">
        <v>2867</v>
      </c>
      <c r="BJ89" s="175"/>
      <c r="BK89" s="175" t="s">
        <v>2867</v>
      </c>
      <c r="BL89" s="175"/>
      <c r="BM89" s="175" t="s">
        <v>3005</v>
      </c>
      <c r="BN89" s="175" t="s">
        <v>3006</v>
      </c>
      <c r="BO89" s="180" t="s">
        <v>2879</v>
      </c>
      <c r="BP89" s="67" t="s">
        <v>2867</v>
      </c>
      <c r="BQ89" s="175" t="s">
        <v>1477</v>
      </c>
      <c r="BR89" s="177" t="s">
        <v>144</v>
      </c>
      <c r="BS89" s="177"/>
      <c r="BT89" s="67" t="s">
        <v>2867</v>
      </c>
      <c r="BU89" s="175"/>
      <c r="BV89" s="176"/>
      <c r="BW89" s="67" t="s">
        <v>2878</v>
      </c>
      <c r="BX89" s="175" t="s">
        <v>3572</v>
      </c>
      <c r="BY89" s="175" t="s">
        <v>1996</v>
      </c>
      <c r="BZ89" s="177"/>
      <c r="CA89" s="175" t="s">
        <v>3573</v>
      </c>
      <c r="CB89" s="175"/>
      <c r="CC89" s="177"/>
      <c r="CD89" s="177"/>
      <c r="CE89" s="67"/>
      <c r="CF89" s="67"/>
      <c r="CG89" s="177"/>
      <c r="CH89" s="176"/>
      <c r="CI89" s="176"/>
      <c r="CJ89" s="175"/>
      <c r="CK89" s="67" t="s">
        <v>2867</v>
      </c>
      <c r="CL89" s="175"/>
      <c r="CM89" s="175"/>
      <c r="CN89" s="175"/>
      <c r="CO89" s="175"/>
      <c r="CP89" s="67" t="s">
        <v>1812</v>
      </c>
      <c r="CQ89" s="175" t="s">
        <v>3027</v>
      </c>
      <c r="CR89" s="175" t="s">
        <v>3574</v>
      </c>
      <c r="CS89" s="67" t="s">
        <v>1812</v>
      </c>
      <c r="CT89" s="175" t="s">
        <v>3027</v>
      </c>
      <c r="CU89" s="175"/>
      <c r="CV89" s="181" t="s">
        <v>2879</v>
      </c>
      <c r="CW89" s="67"/>
      <c r="CX89" s="182"/>
      <c r="CY89" s="175" t="s">
        <v>2880</v>
      </c>
      <c r="CZ89" s="175"/>
      <c r="DA89" s="175" t="s">
        <v>3420</v>
      </c>
      <c r="DB89" s="175" t="s">
        <v>3420</v>
      </c>
      <c r="DC89" s="175" t="s">
        <v>3568</v>
      </c>
      <c r="DD89" s="175"/>
      <c r="DE89" s="176">
        <v>46175</v>
      </c>
      <c r="DF89" s="175"/>
      <c r="DG89" s="182"/>
      <c r="DH89" s="183">
        <v>1023500</v>
      </c>
      <c r="DI89" s="67"/>
      <c r="DJ89" s="67"/>
      <c r="DK89" s="67"/>
      <c r="DL89" s="67"/>
      <c r="DM89" s="67"/>
      <c r="DN89" s="183">
        <v>0</v>
      </c>
      <c r="DO89" s="183">
        <v>0</v>
      </c>
      <c r="DP89" s="67" t="s">
        <v>2867</v>
      </c>
      <c r="DQ89" s="175"/>
      <c r="DR89" s="175"/>
      <c r="DS89" s="175" t="s">
        <v>2882</v>
      </c>
      <c r="DT89" s="175"/>
      <c r="DU89" s="175"/>
      <c r="DV89" s="175" t="s">
        <v>2883</v>
      </c>
      <c r="DW89" s="175" t="s">
        <v>2884</v>
      </c>
      <c r="DX89" s="175" t="s">
        <v>2879</v>
      </c>
    </row>
    <row r="90" spans="1:128" ht="19.5" customHeight="1">
      <c r="A90" s="173" t="s">
        <v>3268</v>
      </c>
      <c r="B90" s="174" t="s">
        <v>3575</v>
      </c>
      <c r="C90" s="67"/>
      <c r="D90" s="67"/>
      <c r="E90" s="189" t="s">
        <v>3576</v>
      </c>
      <c r="F90" s="174" t="s">
        <v>2636</v>
      </c>
      <c r="G90" s="175" t="s">
        <v>3577</v>
      </c>
      <c r="H90" s="189" t="s">
        <v>2994</v>
      </c>
      <c r="I90" s="189" t="s">
        <v>2995</v>
      </c>
      <c r="J90" s="175" t="s">
        <v>2859</v>
      </c>
      <c r="K90" s="176">
        <v>46175</v>
      </c>
      <c r="L90" s="67" t="s">
        <v>2916</v>
      </c>
      <c r="M90" s="175" t="s">
        <v>2614</v>
      </c>
      <c r="N90" s="67" t="s">
        <v>2614</v>
      </c>
      <c r="O90" s="67" t="s">
        <v>2329</v>
      </c>
      <c r="P90" s="67" t="s">
        <v>2997</v>
      </c>
      <c r="Q90" s="67"/>
      <c r="R90" s="67"/>
      <c r="S90" s="67" t="s">
        <v>104</v>
      </c>
      <c r="T90" s="177" t="s">
        <v>2998</v>
      </c>
      <c r="U90" s="67" t="s">
        <v>1247</v>
      </c>
      <c r="V90" s="67" t="s">
        <v>2891</v>
      </c>
      <c r="W90" s="175" t="s">
        <v>2865</v>
      </c>
      <c r="X90" s="67" t="s">
        <v>2625</v>
      </c>
      <c r="Y90" s="67" t="s">
        <v>2866</v>
      </c>
      <c r="Z90" s="67" t="s">
        <v>2626</v>
      </c>
      <c r="AA90" s="175" t="s">
        <v>2947</v>
      </c>
      <c r="AB90" s="175" t="s">
        <v>3578</v>
      </c>
      <c r="AC90" s="175" t="s">
        <v>3579</v>
      </c>
      <c r="AD90" s="175" t="s">
        <v>3580</v>
      </c>
      <c r="AE90" s="175" t="s">
        <v>3581</v>
      </c>
      <c r="AF90" s="176"/>
      <c r="AG90" s="176"/>
      <c r="AH90" s="176"/>
      <c r="AI90" s="67"/>
      <c r="AJ90" s="67"/>
      <c r="AK90" s="67" t="s">
        <v>2867</v>
      </c>
      <c r="AL90" s="67"/>
      <c r="AM90" s="176"/>
      <c r="AN90" s="176"/>
      <c r="AO90" s="67"/>
      <c r="AP90" s="67" t="s">
        <v>2867</v>
      </c>
      <c r="AQ90" s="67" t="s">
        <v>2868</v>
      </c>
      <c r="AR90" s="175"/>
      <c r="AS90" s="175" t="s">
        <v>2869</v>
      </c>
      <c r="AT90" s="175" t="s">
        <v>2867</v>
      </c>
      <c r="AU90" s="175"/>
      <c r="AV90" s="178">
        <v>0</v>
      </c>
      <c r="AW90" s="67"/>
      <c r="AX90" s="175" t="s">
        <v>2867</v>
      </c>
      <c r="AY90" s="175" t="s">
        <v>2870</v>
      </c>
      <c r="AZ90" s="175" t="s">
        <v>2871</v>
      </c>
      <c r="BA90" s="175"/>
      <c r="BB90" s="175"/>
      <c r="BC90" s="175" t="s">
        <v>2859</v>
      </c>
      <c r="BD90" s="175" t="s">
        <v>2872</v>
      </c>
      <c r="BE90" s="175" t="s">
        <v>2873</v>
      </c>
      <c r="BF90" s="175" t="s">
        <v>2867</v>
      </c>
      <c r="BG90" s="67"/>
      <c r="BH90" s="179"/>
      <c r="BI90" s="175" t="s">
        <v>2867</v>
      </c>
      <c r="BJ90" s="175"/>
      <c r="BK90" s="175" t="s">
        <v>2867</v>
      </c>
      <c r="BL90" s="175"/>
      <c r="BM90" s="175" t="s">
        <v>3005</v>
      </c>
      <c r="BN90" s="175" t="s">
        <v>3006</v>
      </c>
      <c r="BO90" s="180" t="s">
        <v>2879</v>
      </c>
      <c r="BP90" s="67" t="s">
        <v>2867</v>
      </c>
      <c r="BQ90" s="175" t="s">
        <v>1477</v>
      </c>
      <c r="BR90" s="177" t="s">
        <v>144</v>
      </c>
      <c r="BS90" s="177"/>
      <c r="BT90" s="67" t="s">
        <v>2867</v>
      </c>
      <c r="BU90" s="175"/>
      <c r="BV90" s="176"/>
      <c r="BW90" s="67" t="s">
        <v>2878</v>
      </c>
      <c r="BX90" s="175" t="s">
        <v>3582</v>
      </c>
      <c r="BY90" s="175" t="s">
        <v>1996</v>
      </c>
      <c r="BZ90" s="177"/>
      <c r="CA90" s="175"/>
      <c r="CB90" s="175"/>
      <c r="CC90" s="177"/>
      <c r="CD90" s="177"/>
      <c r="CE90" s="67"/>
      <c r="CF90" s="67"/>
      <c r="CG90" s="177"/>
      <c r="CH90" s="176"/>
      <c r="CI90" s="176"/>
      <c r="CJ90" s="175"/>
      <c r="CK90" s="67" t="s">
        <v>3027</v>
      </c>
      <c r="CL90" s="175" t="s">
        <v>929</v>
      </c>
      <c r="CM90" s="175" t="s">
        <v>3442</v>
      </c>
      <c r="CN90" s="175" t="s">
        <v>3452</v>
      </c>
      <c r="CO90" s="175"/>
      <c r="CP90" s="67" t="s">
        <v>1812</v>
      </c>
      <c r="CQ90" s="175" t="s">
        <v>3027</v>
      </c>
      <c r="CR90" s="175"/>
      <c r="CS90" s="67"/>
      <c r="CT90" s="175" t="s">
        <v>2867</v>
      </c>
      <c r="CU90" s="175"/>
      <c r="CV90" s="181" t="s">
        <v>2879</v>
      </c>
      <c r="CW90" s="67"/>
      <c r="CX90" s="182"/>
      <c r="CY90" s="175" t="s">
        <v>2880</v>
      </c>
      <c r="CZ90" s="175"/>
      <c r="DA90" s="175" t="s">
        <v>3583</v>
      </c>
      <c r="DB90" s="175" t="s">
        <v>3583</v>
      </c>
      <c r="DC90" s="175" t="s">
        <v>3584</v>
      </c>
      <c r="DD90" s="175"/>
      <c r="DE90" s="176">
        <v>46176</v>
      </c>
      <c r="DF90" s="175"/>
      <c r="DG90" s="182"/>
      <c r="DH90" s="183">
        <v>1023500</v>
      </c>
      <c r="DI90" s="67"/>
      <c r="DJ90" s="67"/>
      <c r="DK90" s="67"/>
      <c r="DL90" s="67"/>
      <c r="DM90" s="67"/>
      <c r="DN90" s="183">
        <v>0</v>
      </c>
      <c r="DO90" s="183">
        <v>0</v>
      </c>
      <c r="DP90" s="67" t="s">
        <v>2867</v>
      </c>
      <c r="DQ90" s="175"/>
      <c r="DR90" s="175"/>
      <c r="DS90" s="175" t="s">
        <v>2882</v>
      </c>
      <c r="DT90" s="175"/>
      <c r="DU90" s="175"/>
      <c r="DV90" s="175" t="s">
        <v>2883</v>
      </c>
      <c r="DW90" s="175" t="s">
        <v>2884</v>
      </c>
      <c r="DX90" s="175" t="s">
        <v>2879</v>
      </c>
    </row>
    <row r="91" spans="1:128" ht="19.5" customHeight="1">
      <c r="A91" s="173" t="s">
        <v>3268</v>
      </c>
      <c r="B91" s="174" t="s">
        <v>3585</v>
      </c>
      <c r="C91" s="67"/>
      <c r="D91" s="67"/>
      <c r="E91" s="191" t="s">
        <v>3576</v>
      </c>
      <c r="F91" s="174" t="s">
        <v>2585</v>
      </c>
      <c r="G91" s="175" t="s">
        <v>3586</v>
      </c>
      <c r="H91" s="191" t="s">
        <v>2994</v>
      </c>
      <c r="I91" s="191" t="s">
        <v>2995</v>
      </c>
      <c r="J91" s="175" t="s">
        <v>2859</v>
      </c>
      <c r="K91" s="176">
        <v>46175</v>
      </c>
      <c r="L91" s="67" t="s">
        <v>2916</v>
      </c>
      <c r="M91" s="175" t="s">
        <v>2614</v>
      </c>
      <c r="N91" s="67" t="s">
        <v>3587</v>
      </c>
      <c r="O91" s="67" t="s">
        <v>2329</v>
      </c>
      <c r="P91" s="67" t="s">
        <v>2997</v>
      </c>
      <c r="Q91" s="67"/>
      <c r="R91" s="67"/>
      <c r="S91" s="67" t="s">
        <v>104</v>
      </c>
      <c r="T91" s="177" t="s">
        <v>2998</v>
      </c>
      <c r="U91" s="67" t="s">
        <v>119</v>
      </c>
      <c r="V91" s="67" t="s">
        <v>2896</v>
      </c>
      <c r="W91" s="175" t="s">
        <v>2865</v>
      </c>
      <c r="X91" s="67" t="s">
        <v>2604</v>
      </c>
      <c r="Y91" s="67" t="s">
        <v>2866</v>
      </c>
      <c r="Z91" s="67" t="s">
        <v>2605</v>
      </c>
      <c r="AA91" s="175" t="s">
        <v>2947</v>
      </c>
      <c r="AB91" s="175" t="s">
        <v>3588</v>
      </c>
      <c r="AC91" s="175" t="s">
        <v>3589</v>
      </c>
      <c r="AD91" s="175" t="s">
        <v>3590</v>
      </c>
      <c r="AE91" s="175" t="s">
        <v>3591</v>
      </c>
      <c r="AF91" s="176"/>
      <c r="AG91" s="176"/>
      <c r="AH91" s="176"/>
      <c r="AI91" s="67"/>
      <c r="AJ91" s="67"/>
      <c r="AK91" s="67" t="s">
        <v>2867</v>
      </c>
      <c r="AL91" s="67"/>
      <c r="AM91" s="176"/>
      <c r="AN91" s="176"/>
      <c r="AO91" s="67"/>
      <c r="AP91" s="67" t="s">
        <v>2867</v>
      </c>
      <c r="AQ91" s="67" t="s">
        <v>2868</v>
      </c>
      <c r="AR91" s="175"/>
      <c r="AS91" s="175" t="s">
        <v>2869</v>
      </c>
      <c r="AT91" s="175" t="s">
        <v>2867</v>
      </c>
      <c r="AU91" s="175"/>
      <c r="AV91" s="178">
        <v>0</v>
      </c>
      <c r="AW91" s="67"/>
      <c r="AX91" s="175" t="s">
        <v>2867</v>
      </c>
      <c r="AY91" s="175" t="s">
        <v>2870</v>
      </c>
      <c r="AZ91" s="175" t="s">
        <v>2871</v>
      </c>
      <c r="BA91" s="175"/>
      <c r="BB91" s="175"/>
      <c r="BC91" s="175" t="s">
        <v>2859</v>
      </c>
      <c r="BD91" s="175" t="s">
        <v>2872</v>
      </c>
      <c r="BE91" s="175" t="s">
        <v>2873</v>
      </c>
      <c r="BF91" s="175" t="s">
        <v>2867</v>
      </c>
      <c r="BG91" s="67"/>
      <c r="BH91" s="179"/>
      <c r="BI91" s="175" t="s">
        <v>2867</v>
      </c>
      <c r="BJ91" s="175"/>
      <c r="BK91" s="175" t="s">
        <v>2867</v>
      </c>
      <c r="BL91" s="175"/>
      <c r="BM91" s="175" t="s">
        <v>3005</v>
      </c>
      <c r="BN91" s="175" t="s">
        <v>3006</v>
      </c>
      <c r="BO91" s="180" t="s">
        <v>2879</v>
      </c>
      <c r="BP91" s="67" t="s">
        <v>2867</v>
      </c>
      <c r="BQ91" s="175" t="s">
        <v>1477</v>
      </c>
      <c r="BR91" s="177" t="s">
        <v>144</v>
      </c>
      <c r="BS91" s="177"/>
      <c r="BT91" s="67" t="s">
        <v>2867</v>
      </c>
      <c r="BU91" s="175"/>
      <c r="BV91" s="176"/>
      <c r="BW91" s="67" t="s">
        <v>2878</v>
      </c>
      <c r="BX91" s="175" t="s">
        <v>3592</v>
      </c>
      <c r="BY91" s="175" t="s">
        <v>1996</v>
      </c>
      <c r="BZ91" s="177"/>
      <c r="CA91" s="175"/>
      <c r="CB91" s="175"/>
      <c r="CC91" s="177"/>
      <c r="CD91" s="177"/>
      <c r="CE91" s="67"/>
      <c r="CF91" s="67"/>
      <c r="CG91" s="177"/>
      <c r="CH91" s="176"/>
      <c r="CI91" s="176"/>
      <c r="CJ91" s="175"/>
      <c r="CK91" s="67" t="s">
        <v>3027</v>
      </c>
      <c r="CL91" s="175" t="s">
        <v>929</v>
      </c>
      <c r="CM91" s="175" t="s">
        <v>3442</v>
      </c>
      <c r="CN91" s="175" t="s">
        <v>3452</v>
      </c>
      <c r="CO91" s="175"/>
      <c r="CP91" s="67" t="s">
        <v>1812</v>
      </c>
      <c r="CQ91" s="175" t="s">
        <v>3027</v>
      </c>
      <c r="CR91" s="175"/>
      <c r="CS91" s="67"/>
      <c r="CT91" s="175" t="s">
        <v>2867</v>
      </c>
      <c r="CU91" s="175"/>
      <c r="CV91" s="181" t="s">
        <v>2879</v>
      </c>
      <c r="CW91" s="67"/>
      <c r="CX91" s="182"/>
      <c r="CY91" s="175" t="s">
        <v>2880</v>
      </c>
      <c r="CZ91" s="175"/>
      <c r="DA91" s="175" t="s">
        <v>3583</v>
      </c>
      <c r="DB91" s="175" t="s">
        <v>3583</v>
      </c>
      <c r="DC91" s="175" t="s">
        <v>3593</v>
      </c>
      <c r="DD91" s="175" t="s">
        <v>3593</v>
      </c>
      <c r="DE91" s="176">
        <v>46176</v>
      </c>
      <c r="DF91" s="175"/>
      <c r="DG91" s="182"/>
      <c r="DH91" s="183">
        <v>1023500</v>
      </c>
      <c r="DI91" s="67"/>
      <c r="DJ91" s="67"/>
      <c r="DK91" s="67"/>
      <c r="DL91" s="67"/>
      <c r="DM91" s="67"/>
      <c r="DN91" s="183">
        <v>0</v>
      </c>
      <c r="DO91" s="183">
        <v>0</v>
      </c>
      <c r="DP91" s="67" t="s">
        <v>2867</v>
      </c>
      <c r="DQ91" s="175"/>
      <c r="DR91" s="175"/>
      <c r="DS91" s="175" t="s">
        <v>2882</v>
      </c>
      <c r="DT91" s="175"/>
      <c r="DU91" s="175"/>
      <c r="DV91" s="175" t="s">
        <v>2883</v>
      </c>
      <c r="DW91" s="175" t="s">
        <v>2884</v>
      </c>
      <c r="DX91" s="175" t="s">
        <v>2879</v>
      </c>
    </row>
    <row r="92" spans="1:128" ht="19.5" customHeight="1">
      <c r="A92" s="173" t="s">
        <v>3268</v>
      </c>
      <c r="B92" s="174" t="s">
        <v>3594</v>
      </c>
      <c r="C92" s="67"/>
      <c r="D92" s="67"/>
      <c r="E92" s="191" t="s">
        <v>3576</v>
      </c>
      <c r="F92" s="174" t="s">
        <v>2586</v>
      </c>
      <c r="G92" s="175" t="s">
        <v>3595</v>
      </c>
      <c r="H92" s="191" t="s">
        <v>2994</v>
      </c>
      <c r="I92" s="191" t="s">
        <v>2995</v>
      </c>
      <c r="J92" s="175" t="s">
        <v>2859</v>
      </c>
      <c r="K92" s="176">
        <v>46175</v>
      </c>
      <c r="L92" s="67" t="s">
        <v>2932</v>
      </c>
      <c r="M92" s="175" t="s">
        <v>2614</v>
      </c>
      <c r="N92" s="67" t="s">
        <v>3587</v>
      </c>
      <c r="O92" s="67" t="s">
        <v>2329</v>
      </c>
      <c r="P92" s="67" t="s">
        <v>2997</v>
      </c>
      <c r="Q92" s="67"/>
      <c r="R92" s="67"/>
      <c r="S92" s="67" t="s">
        <v>104</v>
      </c>
      <c r="T92" s="177" t="s">
        <v>2998</v>
      </c>
      <c r="U92" s="67" t="s">
        <v>119</v>
      </c>
      <c r="V92" s="67" t="s">
        <v>2896</v>
      </c>
      <c r="W92" s="175" t="s">
        <v>2865</v>
      </c>
      <c r="X92" s="67" t="s">
        <v>2606</v>
      </c>
      <c r="Y92" s="67" t="s">
        <v>2866</v>
      </c>
      <c r="Z92" s="67" t="s">
        <v>2607</v>
      </c>
      <c r="AA92" s="175" t="s">
        <v>2947</v>
      </c>
      <c r="AB92" s="175" t="s">
        <v>3596</v>
      </c>
      <c r="AC92" s="175" t="s">
        <v>3597</v>
      </c>
      <c r="AD92" s="175" t="s">
        <v>3598</v>
      </c>
      <c r="AE92" s="175" t="s">
        <v>3599</v>
      </c>
      <c r="AF92" s="176"/>
      <c r="AG92" s="176"/>
      <c r="AH92" s="176"/>
      <c r="AI92" s="67"/>
      <c r="AJ92" s="67"/>
      <c r="AK92" s="67" t="s">
        <v>2867</v>
      </c>
      <c r="AL92" s="67"/>
      <c r="AM92" s="176"/>
      <c r="AN92" s="176"/>
      <c r="AO92" s="67"/>
      <c r="AP92" s="67" t="s">
        <v>2867</v>
      </c>
      <c r="AQ92" s="67" t="s">
        <v>2868</v>
      </c>
      <c r="AR92" s="175"/>
      <c r="AS92" s="175" t="s">
        <v>2869</v>
      </c>
      <c r="AT92" s="175" t="s">
        <v>2867</v>
      </c>
      <c r="AU92" s="175"/>
      <c r="AV92" s="178">
        <v>0</v>
      </c>
      <c r="AW92" s="67"/>
      <c r="AX92" s="175" t="s">
        <v>2867</v>
      </c>
      <c r="AY92" s="175" t="s">
        <v>2870</v>
      </c>
      <c r="AZ92" s="175" t="s">
        <v>2871</v>
      </c>
      <c r="BA92" s="175"/>
      <c r="BB92" s="175"/>
      <c r="BC92" s="175" t="s">
        <v>2859</v>
      </c>
      <c r="BD92" s="175" t="s">
        <v>2872</v>
      </c>
      <c r="BE92" s="175" t="s">
        <v>2873</v>
      </c>
      <c r="BF92" s="175" t="s">
        <v>2867</v>
      </c>
      <c r="BG92" s="67"/>
      <c r="BH92" s="179"/>
      <c r="BI92" s="175" t="s">
        <v>2867</v>
      </c>
      <c r="BJ92" s="175"/>
      <c r="BK92" s="175" t="s">
        <v>2867</v>
      </c>
      <c r="BL92" s="175"/>
      <c r="BM92" s="175" t="s">
        <v>3005</v>
      </c>
      <c r="BN92" s="175" t="s">
        <v>3006</v>
      </c>
      <c r="BO92" s="180" t="s">
        <v>2879</v>
      </c>
      <c r="BP92" s="67" t="s">
        <v>2867</v>
      </c>
      <c r="BQ92" s="175" t="s">
        <v>1477</v>
      </c>
      <c r="BR92" s="177" t="s">
        <v>144</v>
      </c>
      <c r="BS92" s="177"/>
      <c r="BT92" s="67" t="s">
        <v>2867</v>
      </c>
      <c r="BU92" s="175"/>
      <c r="BV92" s="176"/>
      <c r="BW92" s="67" t="s">
        <v>2878</v>
      </c>
      <c r="BX92" s="175" t="s">
        <v>3600</v>
      </c>
      <c r="BY92" s="175" t="s">
        <v>1996</v>
      </c>
      <c r="BZ92" s="177"/>
      <c r="CA92" s="175"/>
      <c r="CB92" s="175"/>
      <c r="CC92" s="177"/>
      <c r="CD92" s="177"/>
      <c r="CE92" s="67"/>
      <c r="CF92" s="67"/>
      <c r="CG92" s="177"/>
      <c r="CH92" s="176"/>
      <c r="CI92" s="176"/>
      <c r="CJ92" s="175"/>
      <c r="CK92" s="67" t="s">
        <v>3027</v>
      </c>
      <c r="CL92" s="175" t="s">
        <v>929</v>
      </c>
      <c r="CM92" s="175" t="s">
        <v>3442</v>
      </c>
      <c r="CN92" s="175" t="s">
        <v>3452</v>
      </c>
      <c r="CO92" s="175"/>
      <c r="CP92" s="67" t="s">
        <v>1815</v>
      </c>
      <c r="CQ92" s="175" t="s">
        <v>3027</v>
      </c>
      <c r="CR92" s="175"/>
      <c r="CS92" s="67"/>
      <c r="CT92" s="175" t="s">
        <v>2867</v>
      </c>
      <c r="CU92" s="175"/>
      <c r="CV92" s="181" t="s">
        <v>2879</v>
      </c>
      <c r="CW92" s="67"/>
      <c r="CX92" s="182"/>
      <c r="CY92" s="175" t="s">
        <v>2880</v>
      </c>
      <c r="CZ92" s="175"/>
      <c r="DA92" s="175" t="s">
        <v>3583</v>
      </c>
      <c r="DB92" s="175" t="s">
        <v>3583</v>
      </c>
      <c r="DC92" s="175" t="s">
        <v>3601</v>
      </c>
      <c r="DD92" s="175" t="s">
        <v>3602</v>
      </c>
      <c r="DE92" s="176">
        <v>46176</v>
      </c>
      <c r="DF92" s="175"/>
      <c r="DG92" s="182"/>
      <c r="DH92" s="183">
        <v>1023500</v>
      </c>
      <c r="DI92" s="67"/>
      <c r="DJ92" s="67"/>
      <c r="DK92" s="67"/>
      <c r="DL92" s="67"/>
      <c r="DM92" s="67"/>
      <c r="DN92" s="183">
        <v>0</v>
      </c>
      <c r="DO92" s="183">
        <v>0</v>
      </c>
      <c r="DP92" s="67" t="s">
        <v>2867</v>
      </c>
      <c r="DQ92" s="175"/>
      <c r="DR92" s="175"/>
      <c r="DS92" s="175" t="s">
        <v>2882</v>
      </c>
      <c r="DT92" s="175"/>
      <c r="DU92" s="175"/>
      <c r="DV92" s="175" t="s">
        <v>2883</v>
      </c>
      <c r="DW92" s="175" t="s">
        <v>2884</v>
      </c>
      <c r="DX92" s="175" t="s">
        <v>2879</v>
      </c>
    </row>
    <row r="93" spans="1:128" ht="19.5" customHeight="1">
      <c r="A93" s="173" t="s">
        <v>3268</v>
      </c>
      <c r="B93" s="174" t="s">
        <v>3603</v>
      </c>
      <c r="C93" s="67"/>
      <c r="D93" s="67"/>
      <c r="E93" s="191" t="s">
        <v>3576</v>
      </c>
      <c r="F93" s="174" t="s">
        <v>2637</v>
      </c>
      <c r="G93" s="175" t="s">
        <v>3604</v>
      </c>
      <c r="H93" s="191" t="s">
        <v>2994</v>
      </c>
      <c r="I93" s="191" t="s">
        <v>2995</v>
      </c>
      <c r="J93" s="175" t="s">
        <v>2859</v>
      </c>
      <c r="K93" s="176">
        <v>46175</v>
      </c>
      <c r="L93" s="67" t="s">
        <v>2932</v>
      </c>
      <c r="M93" s="175" t="s">
        <v>2614</v>
      </c>
      <c r="N93" s="67" t="s">
        <v>2614</v>
      </c>
      <c r="O93" s="67" t="s">
        <v>2329</v>
      </c>
      <c r="P93" s="67" t="s">
        <v>2997</v>
      </c>
      <c r="Q93" s="67"/>
      <c r="R93" s="67"/>
      <c r="S93" s="67" t="s">
        <v>104</v>
      </c>
      <c r="T93" s="177" t="s">
        <v>2998</v>
      </c>
      <c r="U93" s="67" t="s">
        <v>1247</v>
      </c>
      <c r="V93" s="67" t="s">
        <v>2975</v>
      </c>
      <c r="W93" s="175" t="s">
        <v>2865</v>
      </c>
      <c r="X93" s="67" t="s">
        <v>2627</v>
      </c>
      <c r="Y93" s="67" t="s">
        <v>2866</v>
      </c>
      <c r="Z93" s="67" t="s">
        <v>2628</v>
      </c>
      <c r="AA93" s="175" t="s">
        <v>2947</v>
      </c>
      <c r="AB93" s="175" t="s">
        <v>3605</v>
      </c>
      <c r="AC93" s="175" t="s">
        <v>3606</v>
      </c>
      <c r="AD93" s="175" t="s">
        <v>3607</v>
      </c>
      <c r="AE93" s="175" t="s">
        <v>3608</v>
      </c>
      <c r="AF93" s="176"/>
      <c r="AG93" s="176"/>
      <c r="AH93" s="176"/>
      <c r="AI93" s="67"/>
      <c r="AJ93" s="67"/>
      <c r="AK93" s="67" t="s">
        <v>2867</v>
      </c>
      <c r="AL93" s="67"/>
      <c r="AM93" s="176"/>
      <c r="AN93" s="176"/>
      <c r="AO93" s="67"/>
      <c r="AP93" s="67" t="s">
        <v>2867</v>
      </c>
      <c r="AQ93" s="67" t="s">
        <v>2868</v>
      </c>
      <c r="AR93" s="175"/>
      <c r="AS93" s="175" t="s">
        <v>2869</v>
      </c>
      <c r="AT93" s="175" t="s">
        <v>2867</v>
      </c>
      <c r="AU93" s="175"/>
      <c r="AV93" s="178">
        <v>0</v>
      </c>
      <c r="AW93" s="67"/>
      <c r="AX93" s="175" t="s">
        <v>2867</v>
      </c>
      <c r="AY93" s="175" t="s">
        <v>2870</v>
      </c>
      <c r="AZ93" s="175" t="s">
        <v>2871</v>
      </c>
      <c r="BA93" s="175"/>
      <c r="BB93" s="175"/>
      <c r="BC93" s="175" t="s">
        <v>2859</v>
      </c>
      <c r="BD93" s="175" t="s">
        <v>2872</v>
      </c>
      <c r="BE93" s="175" t="s">
        <v>2873</v>
      </c>
      <c r="BF93" s="175" t="s">
        <v>2867</v>
      </c>
      <c r="BG93" s="67"/>
      <c r="BH93" s="179"/>
      <c r="BI93" s="175" t="s">
        <v>2867</v>
      </c>
      <c r="BJ93" s="175"/>
      <c r="BK93" s="175" t="s">
        <v>2867</v>
      </c>
      <c r="BL93" s="175"/>
      <c r="BM93" s="175" t="s">
        <v>3005</v>
      </c>
      <c r="BN93" s="175" t="s">
        <v>3006</v>
      </c>
      <c r="BO93" s="180" t="s">
        <v>2879</v>
      </c>
      <c r="BP93" s="67" t="s">
        <v>2867</v>
      </c>
      <c r="BQ93" s="175" t="s">
        <v>1477</v>
      </c>
      <c r="BR93" s="177" t="s">
        <v>144</v>
      </c>
      <c r="BS93" s="177"/>
      <c r="BT93" s="67" t="s">
        <v>2867</v>
      </c>
      <c r="BU93" s="175"/>
      <c r="BV93" s="176"/>
      <c r="BW93" s="67" t="s">
        <v>2878</v>
      </c>
      <c r="BX93" s="175" t="s">
        <v>3609</v>
      </c>
      <c r="BY93" s="175" t="s">
        <v>1996</v>
      </c>
      <c r="BZ93" s="177"/>
      <c r="CA93" s="175"/>
      <c r="CB93" s="175"/>
      <c r="CC93" s="177"/>
      <c r="CD93" s="177"/>
      <c r="CE93" s="67"/>
      <c r="CF93" s="67"/>
      <c r="CG93" s="177"/>
      <c r="CH93" s="176"/>
      <c r="CI93" s="176"/>
      <c r="CJ93" s="175"/>
      <c r="CK93" s="67" t="s">
        <v>3027</v>
      </c>
      <c r="CL93" s="175" t="s">
        <v>929</v>
      </c>
      <c r="CM93" s="175" t="s">
        <v>3276</v>
      </c>
      <c r="CN93" s="175" t="s">
        <v>3452</v>
      </c>
      <c r="CO93" s="175"/>
      <c r="CP93" s="67" t="s">
        <v>1812</v>
      </c>
      <c r="CQ93" s="175" t="s">
        <v>3027</v>
      </c>
      <c r="CR93" s="175"/>
      <c r="CS93" s="67"/>
      <c r="CT93" s="175" t="s">
        <v>2867</v>
      </c>
      <c r="CU93" s="175"/>
      <c r="CV93" s="181" t="s">
        <v>2879</v>
      </c>
      <c r="CW93" s="67"/>
      <c r="CX93" s="182"/>
      <c r="CY93" s="175" t="s">
        <v>2880</v>
      </c>
      <c r="CZ93" s="175"/>
      <c r="DA93" s="175" t="s">
        <v>3583</v>
      </c>
      <c r="DB93" s="175" t="s">
        <v>3583</v>
      </c>
      <c r="DC93" s="175" t="s">
        <v>3610</v>
      </c>
      <c r="DD93" s="175"/>
      <c r="DE93" s="176">
        <v>46176</v>
      </c>
      <c r="DF93" s="175"/>
      <c r="DG93" s="182"/>
      <c r="DH93" s="183">
        <v>1023500</v>
      </c>
      <c r="DI93" s="67"/>
      <c r="DJ93" s="67"/>
      <c r="DK93" s="67"/>
      <c r="DL93" s="67"/>
      <c r="DM93" s="67"/>
      <c r="DN93" s="183">
        <v>0</v>
      </c>
      <c r="DO93" s="183">
        <v>0</v>
      </c>
      <c r="DP93" s="67" t="s">
        <v>2867</v>
      </c>
      <c r="DQ93" s="175"/>
      <c r="DR93" s="175"/>
      <c r="DS93" s="175" t="s">
        <v>2882</v>
      </c>
      <c r="DT93" s="175"/>
      <c r="DU93" s="175"/>
      <c r="DV93" s="175" t="s">
        <v>2883</v>
      </c>
      <c r="DW93" s="175" t="s">
        <v>2884</v>
      </c>
      <c r="DX93" s="175" t="s">
        <v>2879</v>
      </c>
    </row>
    <row r="94" spans="1:128" ht="19.5" customHeight="1">
      <c r="A94" s="173" t="s">
        <v>3268</v>
      </c>
      <c r="B94" s="174" t="s">
        <v>3611</v>
      </c>
      <c r="C94" s="67"/>
      <c r="D94" s="67"/>
      <c r="E94" s="190" t="s">
        <v>3576</v>
      </c>
      <c r="F94" s="174" t="s">
        <v>2638</v>
      </c>
      <c r="G94" s="175" t="s">
        <v>3612</v>
      </c>
      <c r="H94" s="190" t="s">
        <v>2994</v>
      </c>
      <c r="I94" s="190" t="s">
        <v>2995</v>
      </c>
      <c r="J94" s="175" t="s">
        <v>2859</v>
      </c>
      <c r="K94" s="176">
        <v>46175</v>
      </c>
      <c r="L94" s="67" t="s">
        <v>2860</v>
      </c>
      <c r="M94" s="175" t="s">
        <v>2614</v>
      </c>
      <c r="N94" s="67" t="s">
        <v>2614</v>
      </c>
      <c r="O94" s="67" t="s">
        <v>2329</v>
      </c>
      <c r="P94" s="67" t="s">
        <v>2997</v>
      </c>
      <c r="Q94" s="67"/>
      <c r="R94" s="67"/>
      <c r="S94" s="67" t="s">
        <v>104</v>
      </c>
      <c r="T94" s="177" t="s">
        <v>2998</v>
      </c>
      <c r="U94" s="67" t="s">
        <v>1247</v>
      </c>
      <c r="V94" s="67" t="s">
        <v>2975</v>
      </c>
      <c r="W94" s="175" t="s">
        <v>2865</v>
      </c>
      <c r="X94" s="67" t="s">
        <v>2629</v>
      </c>
      <c r="Y94" s="67" t="s">
        <v>2866</v>
      </c>
      <c r="Z94" s="67" t="s">
        <v>2630</v>
      </c>
      <c r="AA94" s="175" t="s">
        <v>2947</v>
      </c>
      <c r="AB94" s="175" t="s">
        <v>3613</v>
      </c>
      <c r="AC94" s="175" t="s">
        <v>3614</v>
      </c>
      <c r="AD94" s="175" t="s">
        <v>3615</v>
      </c>
      <c r="AE94" s="175" t="s">
        <v>3616</v>
      </c>
      <c r="AF94" s="176"/>
      <c r="AG94" s="176"/>
      <c r="AH94" s="176"/>
      <c r="AI94" s="67"/>
      <c r="AJ94" s="67"/>
      <c r="AK94" s="67" t="s">
        <v>2867</v>
      </c>
      <c r="AL94" s="67"/>
      <c r="AM94" s="176"/>
      <c r="AN94" s="176"/>
      <c r="AO94" s="67"/>
      <c r="AP94" s="67" t="s">
        <v>2867</v>
      </c>
      <c r="AQ94" s="67" t="s">
        <v>2868</v>
      </c>
      <c r="AR94" s="175"/>
      <c r="AS94" s="175" t="s">
        <v>2869</v>
      </c>
      <c r="AT94" s="175" t="s">
        <v>2867</v>
      </c>
      <c r="AU94" s="175"/>
      <c r="AV94" s="178">
        <v>0</v>
      </c>
      <c r="AW94" s="67"/>
      <c r="AX94" s="175" t="s">
        <v>2867</v>
      </c>
      <c r="AY94" s="175" t="s">
        <v>2870</v>
      </c>
      <c r="AZ94" s="175" t="s">
        <v>2871</v>
      </c>
      <c r="BA94" s="175"/>
      <c r="BB94" s="175"/>
      <c r="BC94" s="175" t="s">
        <v>2859</v>
      </c>
      <c r="BD94" s="175" t="s">
        <v>2872</v>
      </c>
      <c r="BE94" s="175" t="s">
        <v>2873</v>
      </c>
      <c r="BF94" s="175" t="s">
        <v>2867</v>
      </c>
      <c r="BG94" s="67"/>
      <c r="BH94" s="179"/>
      <c r="BI94" s="175" t="s">
        <v>2867</v>
      </c>
      <c r="BJ94" s="175"/>
      <c r="BK94" s="175" t="s">
        <v>2867</v>
      </c>
      <c r="BL94" s="175"/>
      <c r="BM94" s="175" t="s">
        <v>3005</v>
      </c>
      <c r="BN94" s="175" t="s">
        <v>3006</v>
      </c>
      <c r="BO94" s="180" t="s">
        <v>2879</v>
      </c>
      <c r="BP94" s="67" t="s">
        <v>2867</v>
      </c>
      <c r="BQ94" s="175" t="s">
        <v>1477</v>
      </c>
      <c r="BR94" s="177" t="s">
        <v>144</v>
      </c>
      <c r="BS94" s="177"/>
      <c r="BT94" s="67" t="s">
        <v>2867</v>
      </c>
      <c r="BU94" s="175"/>
      <c r="BV94" s="176"/>
      <c r="BW94" s="67" t="s">
        <v>2878</v>
      </c>
      <c r="BX94" s="175" t="s">
        <v>3617</v>
      </c>
      <c r="BY94" s="175" t="s">
        <v>1996</v>
      </c>
      <c r="BZ94" s="177"/>
      <c r="CA94" s="175"/>
      <c r="CB94" s="175"/>
      <c r="CC94" s="177"/>
      <c r="CD94" s="177"/>
      <c r="CE94" s="67"/>
      <c r="CF94" s="67"/>
      <c r="CG94" s="177"/>
      <c r="CH94" s="176"/>
      <c r="CI94" s="176"/>
      <c r="CJ94" s="175"/>
      <c r="CK94" s="67" t="s">
        <v>3027</v>
      </c>
      <c r="CL94" s="175" t="s">
        <v>929</v>
      </c>
      <c r="CM94" s="175" t="s">
        <v>3442</v>
      </c>
      <c r="CN94" s="175" t="s">
        <v>3452</v>
      </c>
      <c r="CO94" s="175"/>
      <c r="CP94" s="67" t="s">
        <v>1812</v>
      </c>
      <c r="CQ94" s="175" t="s">
        <v>3027</v>
      </c>
      <c r="CR94" s="175"/>
      <c r="CS94" s="67"/>
      <c r="CT94" s="175" t="s">
        <v>2867</v>
      </c>
      <c r="CU94" s="175"/>
      <c r="CV94" s="181" t="s">
        <v>2879</v>
      </c>
      <c r="CW94" s="67"/>
      <c r="CX94" s="182"/>
      <c r="CY94" s="175" t="s">
        <v>2880</v>
      </c>
      <c r="CZ94" s="175"/>
      <c r="DA94" s="175" t="s">
        <v>3420</v>
      </c>
      <c r="DB94" s="175" t="s">
        <v>3420</v>
      </c>
      <c r="DC94" s="175" t="s">
        <v>3618</v>
      </c>
      <c r="DD94" s="175"/>
      <c r="DE94" s="176">
        <v>46176</v>
      </c>
      <c r="DF94" s="175"/>
      <c r="DG94" s="182"/>
      <c r="DH94" s="183">
        <v>1023500</v>
      </c>
      <c r="DI94" s="67"/>
      <c r="DJ94" s="67"/>
      <c r="DK94" s="67"/>
      <c r="DL94" s="67"/>
      <c r="DM94" s="67"/>
      <c r="DN94" s="183">
        <v>0</v>
      </c>
      <c r="DO94" s="183">
        <v>0</v>
      </c>
      <c r="DP94" s="67" t="s">
        <v>2867</v>
      </c>
      <c r="DQ94" s="175"/>
      <c r="DR94" s="175"/>
      <c r="DS94" s="175" t="s">
        <v>2882</v>
      </c>
      <c r="DT94" s="175"/>
      <c r="DU94" s="175"/>
      <c r="DV94" s="175" t="s">
        <v>2883</v>
      </c>
      <c r="DW94" s="175" t="s">
        <v>2884</v>
      </c>
      <c r="DX94" s="175" t="s">
        <v>2879</v>
      </c>
    </row>
    <row r="95" spans="1:128" ht="19.5" customHeight="1">
      <c r="A95" s="173" t="s">
        <v>3268</v>
      </c>
      <c r="B95" s="174" t="s">
        <v>3619</v>
      </c>
      <c r="C95" s="67"/>
      <c r="D95" s="67"/>
      <c r="E95" s="174" t="s">
        <v>3620</v>
      </c>
      <c r="F95" s="174" t="s">
        <v>2631</v>
      </c>
      <c r="G95" s="175" t="s">
        <v>3621</v>
      </c>
      <c r="H95" s="174" t="s">
        <v>2994</v>
      </c>
      <c r="I95" s="174" t="s">
        <v>2995</v>
      </c>
      <c r="J95" s="175" t="s">
        <v>2859</v>
      </c>
      <c r="K95" s="176">
        <v>46175</v>
      </c>
      <c r="L95" s="67" t="s">
        <v>2943</v>
      </c>
      <c r="M95" s="175" t="s">
        <v>2614</v>
      </c>
      <c r="N95" s="67" t="s">
        <v>2614</v>
      </c>
      <c r="O95" s="67" t="s">
        <v>2329</v>
      </c>
      <c r="P95" s="67" t="s">
        <v>2997</v>
      </c>
      <c r="Q95" s="67"/>
      <c r="R95" s="67"/>
      <c r="S95" s="67" t="s">
        <v>104</v>
      </c>
      <c r="T95" s="177" t="s">
        <v>2998</v>
      </c>
      <c r="U95" s="67" t="s">
        <v>1247</v>
      </c>
      <c r="V95" s="67" t="s">
        <v>2891</v>
      </c>
      <c r="W95" s="175" t="s">
        <v>2865</v>
      </c>
      <c r="X95" s="67" t="s">
        <v>2615</v>
      </c>
      <c r="Y95" s="67" t="s">
        <v>2866</v>
      </c>
      <c r="Z95" s="67" t="s">
        <v>2616</v>
      </c>
      <c r="AA95" s="175" t="s">
        <v>2947</v>
      </c>
      <c r="AB95" s="175" t="s">
        <v>3622</v>
      </c>
      <c r="AC95" s="175" t="s">
        <v>3623</v>
      </c>
      <c r="AD95" s="175" t="s">
        <v>3624</v>
      </c>
      <c r="AE95" s="175" t="s">
        <v>3625</v>
      </c>
      <c r="AF95" s="176"/>
      <c r="AG95" s="176"/>
      <c r="AH95" s="176"/>
      <c r="AI95" s="67"/>
      <c r="AJ95" s="67"/>
      <c r="AK95" s="67" t="s">
        <v>2867</v>
      </c>
      <c r="AL95" s="67"/>
      <c r="AM95" s="176"/>
      <c r="AN95" s="176"/>
      <c r="AO95" s="67"/>
      <c r="AP95" s="67" t="s">
        <v>2867</v>
      </c>
      <c r="AQ95" s="67" t="s">
        <v>2868</v>
      </c>
      <c r="AR95" s="175"/>
      <c r="AS95" s="175" t="s">
        <v>2869</v>
      </c>
      <c r="AT95" s="175" t="s">
        <v>2867</v>
      </c>
      <c r="AU95" s="175"/>
      <c r="AV95" s="178">
        <v>0</v>
      </c>
      <c r="AW95" s="67"/>
      <c r="AX95" s="175" t="s">
        <v>2867</v>
      </c>
      <c r="AY95" s="175" t="s">
        <v>2870</v>
      </c>
      <c r="AZ95" s="175" t="s">
        <v>2871</v>
      </c>
      <c r="BA95" s="175"/>
      <c r="BB95" s="175"/>
      <c r="BC95" s="175" t="s">
        <v>2859</v>
      </c>
      <c r="BD95" s="175" t="s">
        <v>2872</v>
      </c>
      <c r="BE95" s="175" t="s">
        <v>2873</v>
      </c>
      <c r="BF95" s="175" t="s">
        <v>2867</v>
      </c>
      <c r="BG95" s="67"/>
      <c r="BH95" s="179"/>
      <c r="BI95" s="175" t="s">
        <v>2867</v>
      </c>
      <c r="BJ95" s="175"/>
      <c r="BK95" s="175" t="s">
        <v>2867</v>
      </c>
      <c r="BL95" s="175"/>
      <c r="BM95" s="175" t="s">
        <v>3005</v>
      </c>
      <c r="BN95" s="175" t="s">
        <v>3006</v>
      </c>
      <c r="BO95" s="180"/>
      <c r="BP95" s="67" t="s">
        <v>2867</v>
      </c>
      <c r="BQ95" s="175" t="s">
        <v>1477</v>
      </c>
      <c r="BR95" s="177" t="s">
        <v>144</v>
      </c>
      <c r="BS95" s="177"/>
      <c r="BT95" s="67" t="s">
        <v>2867</v>
      </c>
      <c r="BU95" s="175"/>
      <c r="BV95" s="176"/>
      <c r="BW95" s="67" t="s">
        <v>2878</v>
      </c>
      <c r="BX95" s="175" t="s">
        <v>3626</v>
      </c>
      <c r="BY95" s="175" t="s">
        <v>1996</v>
      </c>
      <c r="BZ95" s="177"/>
      <c r="CA95" s="175"/>
      <c r="CB95" s="175"/>
      <c r="CC95" s="177"/>
      <c r="CD95" s="177"/>
      <c r="CE95" s="67"/>
      <c r="CF95" s="67"/>
      <c r="CG95" s="177"/>
      <c r="CH95" s="176"/>
      <c r="CI95" s="176"/>
      <c r="CJ95" s="175"/>
      <c r="CK95" s="67" t="s">
        <v>3027</v>
      </c>
      <c r="CL95" s="175" t="s">
        <v>929</v>
      </c>
      <c r="CM95" s="175" t="s">
        <v>3442</v>
      </c>
      <c r="CN95" s="175" t="s">
        <v>3452</v>
      </c>
      <c r="CO95" s="175"/>
      <c r="CP95" s="67" t="s">
        <v>1812</v>
      </c>
      <c r="CQ95" s="175" t="s">
        <v>3027</v>
      </c>
      <c r="CR95" s="175" t="s">
        <v>3627</v>
      </c>
      <c r="CS95" s="67"/>
      <c r="CT95" s="175" t="s">
        <v>2867</v>
      </c>
      <c r="CU95" s="175"/>
      <c r="CV95" s="181" t="s">
        <v>2879</v>
      </c>
      <c r="CW95" s="67"/>
      <c r="CX95" s="182"/>
      <c r="CY95" s="175" t="s">
        <v>2880</v>
      </c>
      <c r="CZ95" s="175"/>
      <c r="DA95" s="175" t="s">
        <v>3420</v>
      </c>
      <c r="DB95" s="175" t="s">
        <v>3420</v>
      </c>
      <c r="DC95" s="175" t="s">
        <v>3568</v>
      </c>
      <c r="DD95" s="175"/>
      <c r="DE95" s="176">
        <v>46176</v>
      </c>
      <c r="DF95" s="175"/>
      <c r="DG95" s="182"/>
      <c r="DH95" s="183">
        <v>1023500</v>
      </c>
      <c r="DI95" s="67"/>
      <c r="DJ95" s="67"/>
      <c r="DK95" s="67"/>
      <c r="DL95" s="67"/>
      <c r="DM95" s="67"/>
      <c r="DN95" s="183">
        <v>0</v>
      </c>
      <c r="DO95" s="183">
        <v>0</v>
      </c>
      <c r="DP95" s="67" t="s">
        <v>2867</v>
      </c>
      <c r="DQ95" s="175"/>
      <c r="DR95" s="175"/>
      <c r="DS95" s="175" t="s">
        <v>2882</v>
      </c>
      <c r="DT95" s="175"/>
      <c r="DU95" s="175"/>
      <c r="DV95" s="175" t="s">
        <v>2883</v>
      </c>
      <c r="DW95" s="175" t="s">
        <v>2884</v>
      </c>
      <c r="DX95" s="175" t="s">
        <v>2879</v>
      </c>
    </row>
    <row r="96" spans="1:128" ht="19.5" customHeight="1">
      <c r="A96" s="173" t="s">
        <v>3268</v>
      </c>
      <c r="B96" s="174" t="s">
        <v>3628</v>
      </c>
      <c r="C96" s="67"/>
      <c r="D96" s="67"/>
      <c r="E96" s="174" t="s">
        <v>3629</v>
      </c>
      <c r="F96" s="174" t="s">
        <v>2580</v>
      </c>
      <c r="G96" s="175" t="s">
        <v>3630</v>
      </c>
      <c r="H96" s="174" t="s">
        <v>2994</v>
      </c>
      <c r="I96" s="174" t="s">
        <v>2995</v>
      </c>
      <c r="J96" s="175" t="s">
        <v>2859</v>
      </c>
      <c r="K96" s="176">
        <v>46175</v>
      </c>
      <c r="L96" s="67" t="s">
        <v>3062</v>
      </c>
      <c r="M96" s="175" t="s">
        <v>2614</v>
      </c>
      <c r="N96" s="67" t="s">
        <v>2614</v>
      </c>
      <c r="O96" s="67" t="s">
        <v>2329</v>
      </c>
      <c r="P96" s="67" t="s">
        <v>2997</v>
      </c>
      <c r="Q96" s="67"/>
      <c r="R96" s="67"/>
      <c r="S96" s="67" t="s">
        <v>104</v>
      </c>
      <c r="T96" s="177" t="s">
        <v>2998</v>
      </c>
      <c r="U96" s="67" t="s">
        <v>119</v>
      </c>
      <c r="V96" s="67" t="s">
        <v>2896</v>
      </c>
      <c r="W96" s="175" t="s">
        <v>2865</v>
      </c>
      <c r="X96" s="67" t="s">
        <v>2594</v>
      </c>
      <c r="Y96" s="67" t="s">
        <v>2866</v>
      </c>
      <c r="Z96" s="67" t="s">
        <v>2595</v>
      </c>
      <c r="AA96" s="175" t="s">
        <v>2947</v>
      </c>
      <c r="AB96" s="175" t="s">
        <v>3631</v>
      </c>
      <c r="AC96" s="175" t="s">
        <v>3632</v>
      </c>
      <c r="AD96" s="175" t="s">
        <v>3633</v>
      </c>
      <c r="AE96" s="175" t="s">
        <v>3634</v>
      </c>
      <c r="AF96" s="176"/>
      <c r="AG96" s="176"/>
      <c r="AH96" s="176"/>
      <c r="AI96" s="67"/>
      <c r="AJ96" s="67"/>
      <c r="AK96" s="67" t="s">
        <v>2867</v>
      </c>
      <c r="AL96" s="67"/>
      <c r="AM96" s="176"/>
      <c r="AN96" s="176"/>
      <c r="AO96" s="67"/>
      <c r="AP96" s="67" t="s">
        <v>2867</v>
      </c>
      <c r="AQ96" s="67" t="s">
        <v>2868</v>
      </c>
      <c r="AR96" s="175"/>
      <c r="AS96" s="175" t="s">
        <v>2869</v>
      </c>
      <c r="AT96" s="175" t="s">
        <v>2867</v>
      </c>
      <c r="AU96" s="175"/>
      <c r="AV96" s="178">
        <v>0</v>
      </c>
      <c r="AW96" s="67"/>
      <c r="AX96" s="175" t="s">
        <v>2867</v>
      </c>
      <c r="AY96" s="175" t="s">
        <v>2870</v>
      </c>
      <c r="AZ96" s="175" t="s">
        <v>2871</v>
      </c>
      <c r="BA96" s="175"/>
      <c r="BB96" s="175"/>
      <c r="BC96" s="175" t="s">
        <v>2859</v>
      </c>
      <c r="BD96" s="175" t="s">
        <v>2872</v>
      </c>
      <c r="BE96" s="175" t="s">
        <v>2873</v>
      </c>
      <c r="BF96" s="175" t="s">
        <v>2867</v>
      </c>
      <c r="BG96" s="67"/>
      <c r="BH96" s="179"/>
      <c r="BI96" s="175" t="s">
        <v>2867</v>
      </c>
      <c r="BJ96" s="175"/>
      <c r="BK96" s="175" t="s">
        <v>2867</v>
      </c>
      <c r="BL96" s="175"/>
      <c r="BM96" s="175" t="s">
        <v>3005</v>
      </c>
      <c r="BN96" s="175" t="s">
        <v>3006</v>
      </c>
      <c r="BO96" s="180"/>
      <c r="BP96" s="67" t="s">
        <v>2867</v>
      </c>
      <c r="BQ96" s="175" t="s">
        <v>1477</v>
      </c>
      <c r="BR96" s="177" t="s">
        <v>144</v>
      </c>
      <c r="BS96" s="177"/>
      <c r="BT96" s="67" t="s">
        <v>2867</v>
      </c>
      <c r="BU96" s="175"/>
      <c r="BV96" s="176"/>
      <c r="BW96" s="67" t="s">
        <v>2878</v>
      </c>
      <c r="BX96" s="175" t="s">
        <v>3635</v>
      </c>
      <c r="BY96" s="175" t="s">
        <v>1996</v>
      </c>
      <c r="BZ96" s="177"/>
      <c r="CA96" s="175"/>
      <c r="CB96" s="175"/>
      <c r="CC96" s="177"/>
      <c r="CD96" s="177"/>
      <c r="CE96" s="67"/>
      <c r="CF96" s="67"/>
      <c r="CG96" s="177"/>
      <c r="CH96" s="176"/>
      <c r="CI96" s="176"/>
      <c r="CJ96" s="175"/>
      <c r="CK96" s="67" t="s">
        <v>3027</v>
      </c>
      <c r="CL96" s="175" t="s">
        <v>929</v>
      </c>
      <c r="CM96" s="175" t="s">
        <v>3418</v>
      </c>
      <c r="CN96" s="175" t="s">
        <v>3452</v>
      </c>
      <c r="CO96" s="175"/>
      <c r="CP96" s="67" t="s">
        <v>1812</v>
      </c>
      <c r="CQ96" s="175" t="s">
        <v>3027</v>
      </c>
      <c r="CR96" s="175"/>
      <c r="CS96" s="67"/>
      <c r="CT96" s="175" t="s">
        <v>2867</v>
      </c>
      <c r="CU96" s="175"/>
      <c r="CV96" s="181" t="s">
        <v>2879</v>
      </c>
      <c r="CW96" s="67"/>
      <c r="CX96" s="182"/>
      <c r="CY96" s="175" t="s">
        <v>2880</v>
      </c>
      <c r="CZ96" s="175"/>
      <c r="DA96" s="175" t="s">
        <v>3420</v>
      </c>
      <c r="DB96" s="175" t="s">
        <v>3420</v>
      </c>
      <c r="DC96" s="175" t="s">
        <v>3636</v>
      </c>
      <c r="DD96" s="175"/>
      <c r="DE96" s="176">
        <v>46176</v>
      </c>
      <c r="DF96" s="175"/>
      <c r="DG96" s="182"/>
      <c r="DH96" s="183">
        <v>1023500</v>
      </c>
      <c r="DI96" s="67"/>
      <c r="DJ96" s="67"/>
      <c r="DK96" s="67"/>
      <c r="DL96" s="67"/>
      <c r="DM96" s="67"/>
      <c r="DN96" s="183">
        <v>0</v>
      </c>
      <c r="DO96" s="183">
        <v>0</v>
      </c>
      <c r="DP96" s="67" t="s">
        <v>2867</v>
      </c>
      <c r="DQ96" s="175"/>
      <c r="DR96" s="175"/>
      <c r="DS96" s="175" t="s">
        <v>2882</v>
      </c>
      <c r="DT96" s="175"/>
      <c r="DU96" s="175"/>
      <c r="DV96" s="175" t="s">
        <v>2883</v>
      </c>
      <c r="DW96" s="175" t="s">
        <v>2884</v>
      </c>
      <c r="DX96" s="175" t="s">
        <v>2879</v>
      </c>
    </row>
    <row r="97" spans="1:128" ht="19.5" customHeight="1">
      <c r="A97" s="173" t="s">
        <v>3268</v>
      </c>
      <c r="B97" s="174" t="s">
        <v>3637</v>
      </c>
      <c r="C97" s="67"/>
      <c r="D97" s="67"/>
      <c r="E97" s="174" t="s">
        <v>3638</v>
      </c>
      <c r="F97" s="174" t="s">
        <v>2581</v>
      </c>
      <c r="G97" s="175" t="s">
        <v>3639</v>
      </c>
      <c r="H97" s="174" t="s">
        <v>2994</v>
      </c>
      <c r="I97" s="174" t="s">
        <v>2995</v>
      </c>
      <c r="J97" s="175" t="s">
        <v>2859</v>
      </c>
      <c r="K97" s="176">
        <v>46175</v>
      </c>
      <c r="L97" s="67" t="s">
        <v>2889</v>
      </c>
      <c r="M97" s="175" t="s">
        <v>2614</v>
      </c>
      <c r="N97" s="67" t="s">
        <v>2614</v>
      </c>
      <c r="O97" s="67" t="s">
        <v>2329</v>
      </c>
      <c r="P97" s="67" t="s">
        <v>2997</v>
      </c>
      <c r="Q97" s="67"/>
      <c r="R97" s="67"/>
      <c r="S97" s="67" t="s">
        <v>104</v>
      </c>
      <c r="T97" s="177" t="s">
        <v>2998</v>
      </c>
      <c r="U97" s="67" t="s">
        <v>119</v>
      </c>
      <c r="V97" s="67" t="s">
        <v>2896</v>
      </c>
      <c r="W97" s="175" t="s">
        <v>2865</v>
      </c>
      <c r="X97" s="67" t="s">
        <v>2596</v>
      </c>
      <c r="Y97" s="67" t="s">
        <v>2866</v>
      </c>
      <c r="Z97" s="67" t="s">
        <v>2597</v>
      </c>
      <c r="AA97" s="175" t="s">
        <v>2947</v>
      </c>
      <c r="AB97" s="175" t="s">
        <v>3640</v>
      </c>
      <c r="AC97" s="175" t="s">
        <v>3641</v>
      </c>
      <c r="AD97" s="175" t="s">
        <v>3642</v>
      </c>
      <c r="AE97" s="175" t="s">
        <v>3643</v>
      </c>
      <c r="AF97" s="176"/>
      <c r="AG97" s="176"/>
      <c r="AH97" s="176"/>
      <c r="AI97" s="67"/>
      <c r="AJ97" s="67"/>
      <c r="AK97" s="67" t="s">
        <v>2867</v>
      </c>
      <c r="AL97" s="67"/>
      <c r="AM97" s="176"/>
      <c r="AN97" s="176"/>
      <c r="AO97" s="67"/>
      <c r="AP97" s="67" t="s">
        <v>2867</v>
      </c>
      <c r="AQ97" s="67" t="s">
        <v>2868</v>
      </c>
      <c r="AR97" s="175"/>
      <c r="AS97" s="175" t="s">
        <v>2869</v>
      </c>
      <c r="AT97" s="175" t="s">
        <v>2867</v>
      </c>
      <c r="AU97" s="175"/>
      <c r="AV97" s="178">
        <v>0</v>
      </c>
      <c r="AW97" s="67"/>
      <c r="AX97" s="175" t="s">
        <v>2867</v>
      </c>
      <c r="AY97" s="175" t="s">
        <v>2870</v>
      </c>
      <c r="AZ97" s="175" t="s">
        <v>2871</v>
      </c>
      <c r="BA97" s="175"/>
      <c r="BB97" s="175"/>
      <c r="BC97" s="175" t="s">
        <v>2859</v>
      </c>
      <c r="BD97" s="175" t="s">
        <v>2872</v>
      </c>
      <c r="BE97" s="175" t="s">
        <v>2873</v>
      </c>
      <c r="BF97" s="175" t="s">
        <v>2867</v>
      </c>
      <c r="BG97" s="67"/>
      <c r="BH97" s="179"/>
      <c r="BI97" s="175" t="s">
        <v>2867</v>
      </c>
      <c r="BJ97" s="175"/>
      <c r="BK97" s="175" t="s">
        <v>2867</v>
      </c>
      <c r="BL97" s="175"/>
      <c r="BM97" s="175" t="s">
        <v>3005</v>
      </c>
      <c r="BN97" s="175" t="s">
        <v>3006</v>
      </c>
      <c r="BO97" s="180"/>
      <c r="BP97" s="67" t="s">
        <v>2867</v>
      </c>
      <c r="BQ97" s="175" t="s">
        <v>1477</v>
      </c>
      <c r="BR97" s="177" t="s">
        <v>144</v>
      </c>
      <c r="BS97" s="177"/>
      <c r="BT97" s="67" t="s">
        <v>2867</v>
      </c>
      <c r="BU97" s="175"/>
      <c r="BV97" s="176"/>
      <c r="BW97" s="67" t="s">
        <v>2878</v>
      </c>
      <c r="BX97" s="175" t="s">
        <v>3644</v>
      </c>
      <c r="BY97" s="175" t="s">
        <v>1996</v>
      </c>
      <c r="BZ97" s="177"/>
      <c r="CA97" s="175"/>
      <c r="CB97" s="175"/>
      <c r="CC97" s="177"/>
      <c r="CD97" s="177"/>
      <c r="CE97" s="67"/>
      <c r="CF97" s="67"/>
      <c r="CG97" s="177"/>
      <c r="CH97" s="176"/>
      <c r="CI97" s="176"/>
      <c r="CJ97" s="175"/>
      <c r="CK97" s="67" t="s">
        <v>3027</v>
      </c>
      <c r="CL97" s="175" t="s">
        <v>929</v>
      </c>
      <c r="CM97" s="175" t="s">
        <v>3418</v>
      </c>
      <c r="CN97" s="175" t="s">
        <v>3452</v>
      </c>
      <c r="CO97" s="175"/>
      <c r="CP97" s="67" t="s">
        <v>1812</v>
      </c>
      <c r="CQ97" s="175" t="s">
        <v>3027</v>
      </c>
      <c r="CR97" s="175"/>
      <c r="CS97" s="67"/>
      <c r="CT97" s="175" t="s">
        <v>2867</v>
      </c>
      <c r="CU97" s="175"/>
      <c r="CV97" s="181" t="s">
        <v>2879</v>
      </c>
      <c r="CW97" s="67"/>
      <c r="CX97" s="182"/>
      <c r="CY97" s="175" t="s">
        <v>2880</v>
      </c>
      <c r="CZ97" s="175"/>
      <c r="DA97" s="175" t="s">
        <v>3420</v>
      </c>
      <c r="DB97" s="175" t="s">
        <v>3420</v>
      </c>
      <c r="DC97" s="175" t="s">
        <v>3636</v>
      </c>
      <c r="DD97" s="175"/>
      <c r="DE97" s="176">
        <v>46176</v>
      </c>
      <c r="DF97" s="175"/>
      <c r="DG97" s="182"/>
      <c r="DH97" s="183">
        <v>1023500</v>
      </c>
      <c r="DI97" s="67"/>
      <c r="DJ97" s="67"/>
      <c r="DK97" s="67"/>
      <c r="DL97" s="67"/>
      <c r="DM97" s="67"/>
      <c r="DN97" s="183">
        <v>0</v>
      </c>
      <c r="DO97" s="183">
        <v>0</v>
      </c>
      <c r="DP97" s="67" t="s">
        <v>2867</v>
      </c>
      <c r="DQ97" s="175"/>
      <c r="DR97" s="175"/>
      <c r="DS97" s="175" t="s">
        <v>2882</v>
      </c>
      <c r="DT97" s="175"/>
      <c r="DU97" s="175"/>
      <c r="DV97" s="175" t="s">
        <v>2883</v>
      </c>
      <c r="DW97" s="175" t="s">
        <v>2884</v>
      </c>
      <c r="DX97" s="175" t="s">
        <v>2879</v>
      </c>
    </row>
    <row r="98" spans="1:128" ht="19.5" customHeight="1">
      <c r="A98" s="173" t="s">
        <v>3268</v>
      </c>
      <c r="B98" s="174" t="s">
        <v>3645</v>
      </c>
      <c r="C98" s="67"/>
      <c r="D98" s="67"/>
      <c r="E98" s="174" t="s">
        <v>3646</v>
      </c>
      <c r="F98" s="174" t="s">
        <v>2582</v>
      </c>
      <c r="G98" s="175" t="s">
        <v>3647</v>
      </c>
      <c r="H98" s="174" t="s">
        <v>2994</v>
      </c>
      <c r="I98" s="174" t="s">
        <v>2995</v>
      </c>
      <c r="J98" s="175" t="s">
        <v>2859</v>
      </c>
      <c r="K98" s="176">
        <v>46175</v>
      </c>
      <c r="L98" s="67" t="s">
        <v>2906</v>
      </c>
      <c r="M98" s="175" t="s">
        <v>2614</v>
      </c>
      <c r="N98" s="67" t="s">
        <v>2614</v>
      </c>
      <c r="O98" s="67" t="s">
        <v>2329</v>
      </c>
      <c r="P98" s="67" t="s">
        <v>2997</v>
      </c>
      <c r="Q98" s="67"/>
      <c r="R98" s="67"/>
      <c r="S98" s="67" t="s">
        <v>104</v>
      </c>
      <c r="T98" s="177" t="s">
        <v>2998</v>
      </c>
      <c r="U98" s="67" t="s">
        <v>119</v>
      </c>
      <c r="V98" s="67" t="s">
        <v>2896</v>
      </c>
      <c r="W98" s="175" t="s">
        <v>2865</v>
      </c>
      <c r="X98" s="67" t="s">
        <v>2598</v>
      </c>
      <c r="Y98" s="67" t="s">
        <v>2866</v>
      </c>
      <c r="Z98" s="67" t="s">
        <v>2599</v>
      </c>
      <c r="AA98" s="175" t="s">
        <v>2947</v>
      </c>
      <c r="AB98" s="175" t="s">
        <v>3648</v>
      </c>
      <c r="AC98" s="175" t="s">
        <v>3649</v>
      </c>
      <c r="AD98" s="175" t="s">
        <v>3650</v>
      </c>
      <c r="AE98" s="175" t="s">
        <v>3651</v>
      </c>
      <c r="AF98" s="176"/>
      <c r="AG98" s="176"/>
      <c r="AH98" s="176"/>
      <c r="AI98" s="67"/>
      <c r="AJ98" s="67"/>
      <c r="AK98" s="67" t="s">
        <v>2867</v>
      </c>
      <c r="AL98" s="67"/>
      <c r="AM98" s="176"/>
      <c r="AN98" s="176"/>
      <c r="AO98" s="67"/>
      <c r="AP98" s="67" t="s">
        <v>2867</v>
      </c>
      <c r="AQ98" s="67" t="s">
        <v>2868</v>
      </c>
      <c r="AR98" s="175"/>
      <c r="AS98" s="175" t="s">
        <v>2869</v>
      </c>
      <c r="AT98" s="175" t="s">
        <v>2867</v>
      </c>
      <c r="AU98" s="175"/>
      <c r="AV98" s="178">
        <v>0</v>
      </c>
      <c r="AW98" s="67"/>
      <c r="AX98" s="175" t="s">
        <v>2867</v>
      </c>
      <c r="AY98" s="175" t="s">
        <v>2870</v>
      </c>
      <c r="AZ98" s="175" t="s">
        <v>2871</v>
      </c>
      <c r="BA98" s="175"/>
      <c r="BB98" s="175"/>
      <c r="BC98" s="175" t="s">
        <v>2859</v>
      </c>
      <c r="BD98" s="175" t="s">
        <v>2872</v>
      </c>
      <c r="BE98" s="175" t="s">
        <v>2873</v>
      </c>
      <c r="BF98" s="175" t="s">
        <v>2867</v>
      </c>
      <c r="BG98" s="67"/>
      <c r="BH98" s="179"/>
      <c r="BI98" s="175" t="s">
        <v>2867</v>
      </c>
      <c r="BJ98" s="175"/>
      <c r="BK98" s="175" t="s">
        <v>2867</v>
      </c>
      <c r="BL98" s="175"/>
      <c r="BM98" s="175" t="s">
        <v>3005</v>
      </c>
      <c r="BN98" s="175" t="s">
        <v>3006</v>
      </c>
      <c r="BO98" s="180"/>
      <c r="BP98" s="67" t="s">
        <v>2867</v>
      </c>
      <c r="BQ98" s="175" t="s">
        <v>1477</v>
      </c>
      <c r="BR98" s="177" t="s">
        <v>144</v>
      </c>
      <c r="BS98" s="177"/>
      <c r="BT98" s="67" t="s">
        <v>2867</v>
      </c>
      <c r="BU98" s="175"/>
      <c r="BV98" s="176"/>
      <c r="BW98" s="67" t="s">
        <v>2878</v>
      </c>
      <c r="BX98" s="175" t="s">
        <v>3652</v>
      </c>
      <c r="BY98" s="175" t="s">
        <v>1996</v>
      </c>
      <c r="BZ98" s="177"/>
      <c r="CA98" s="175"/>
      <c r="CB98" s="175"/>
      <c r="CC98" s="177"/>
      <c r="CD98" s="177"/>
      <c r="CE98" s="67"/>
      <c r="CF98" s="67"/>
      <c r="CG98" s="177"/>
      <c r="CH98" s="176"/>
      <c r="CI98" s="176"/>
      <c r="CJ98" s="175"/>
      <c r="CK98" s="67" t="s">
        <v>3027</v>
      </c>
      <c r="CL98" s="175" t="s">
        <v>929</v>
      </c>
      <c r="CM98" s="175" t="s">
        <v>3418</v>
      </c>
      <c r="CN98" s="175" t="s">
        <v>3452</v>
      </c>
      <c r="CO98" s="175"/>
      <c r="CP98" s="67" t="s">
        <v>1812</v>
      </c>
      <c r="CQ98" s="175" t="s">
        <v>3027</v>
      </c>
      <c r="CR98" s="175"/>
      <c r="CS98" s="67"/>
      <c r="CT98" s="175" t="s">
        <v>2867</v>
      </c>
      <c r="CU98" s="175"/>
      <c r="CV98" s="181" t="s">
        <v>2879</v>
      </c>
      <c r="CW98" s="67"/>
      <c r="CX98" s="182"/>
      <c r="CY98" s="175" t="s">
        <v>2880</v>
      </c>
      <c r="CZ98" s="175"/>
      <c r="DA98" s="175" t="s">
        <v>3420</v>
      </c>
      <c r="DB98" s="175" t="s">
        <v>3420</v>
      </c>
      <c r="DC98" s="175" t="s">
        <v>3636</v>
      </c>
      <c r="DD98" s="175"/>
      <c r="DE98" s="176">
        <v>46176</v>
      </c>
      <c r="DF98" s="175"/>
      <c r="DG98" s="182"/>
      <c r="DH98" s="183">
        <v>1023500</v>
      </c>
      <c r="DI98" s="67"/>
      <c r="DJ98" s="67"/>
      <c r="DK98" s="67"/>
      <c r="DL98" s="67"/>
      <c r="DM98" s="67"/>
      <c r="DN98" s="183">
        <v>0</v>
      </c>
      <c r="DO98" s="183">
        <v>0</v>
      </c>
      <c r="DP98" s="67" t="s">
        <v>2867</v>
      </c>
      <c r="DQ98" s="175"/>
      <c r="DR98" s="175"/>
      <c r="DS98" s="175" t="s">
        <v>2882</v>
      </c>
      <c r="DT98" s="175"/>
      <c r="DU98" s="175"/>
      <c r="DV98" s="175" t="s">
        <v>2883</v>
      </c>
      <c r="DW98" s="175" t="s">
        <v>2884</v>
      </c>
      <c r="DX98" s="175" t="s">
        <v>2879</v>
      </c>
    </row>
    <row r="99" spans="1:128" ht="19.5" customHeight="1">
      <c r="A99" s="173"/>
      <c r="B99" s="174" t="s">
        <v>3653</v>
      </c>
      <c r="C99" s="67"/>
      <c r="D99" s="67"/>
      <c r="E99" s="174" t="s">
        <v>3654</v>
      </c>
      <c r="F99" s="174" t="s">
        <v>2576</v>
      </c>
      <c r="G99" s="175" t="s">
        <v>3655</v>
      </c>
      <c r="H99" s="174" t="s">
        <v>2994</v>
      </c>
      <c r="I99" s="174" t="s">
        <v>2995</v>
      </c>
      <c r="J99" s="175" t="s">
        <v>2859</v>
      </c>
      <c r="K99" s="176">
        <v>46175</v>
      </c>
      <c r="L99" s="67" t="s">
        <v>2943</v>
      </c>
      <c r="M99" s="175" t="s">
        <v>2614</v>
      </c>
      <c r="N99" s="67" t="s">
        <v>2614</v>
      </c>
      <c r="O99" s="67" t="s">
        <v>2329</v>
      </c>
      <c r="P99" s="67" t="s">
        <v>2997</v>
      </c>
      <c r="Q99" s="67" t="s">
        <v>1415</v>
      </c>
      <c r="R99" s="67" t="s">
        <v>104</v>
      </c>
      <c r="S99" s="67" t="s">
        <v>104</v>
      </c>
      <c r="T99" s="177" t="s">
        <v>2998</v>
      </c>
      <c r="U99" s="67" t="s">
        <v>119</v>
      </c>
      <c r="V99" s="67" t="s">
        <v>2944</v>
      </c>
      <c r="W99" s="175" t="s">
        <v>2865</v>
      </c>
      <c r="X99" s="67" t="s">
        <v>3656</v>
      </c>
      <c r="Y99" s="67" t="s">
        <v>2866</v>
      </c>
      <c r="Z99" s="67" t="s">
        <v>2588</v>
      </c>
      <c r="AA99" s="175" t="s">
        <v>2947</v>
      </c>
      <c r="AB99" s="175" t="s">
        <v>2948</v>
      </c>
      <c r="AC99" s="175" t="s">
        <v>2949</v>
      </c>
      <c r="AD99" s="175" t="s">
        <v>2950</v>
      </c>
      <c r="AE99" s="175" t="s">
        <v>2951</v>
      </c>
      <c r="AF99" s="176"/>
      <c r="AG99" s="176"/>
      <c r="AH99" s="176"/>
      <c r="AI99" s="67"/>
      <c r="AJ99" s="67"/>
      <c r="AK99" s="67"/>
      <c r="AL99" s="67"/>
      <c r="AM99" s="176"/>
      <c r="AN99" s="176"/>
      <c r="AO99" s="67"/>
      <c r="AP99" s="67" t="s">
        <v>2867</v>
      </c>
      <c r="AQ99" s="67" t="s">
        <v>2868</v>
      </c>
      <c r="AR99" s="175"/>
      <c r="AS99" s="175" t="s">
        <v>2869</v>
      </c>
      <c r="AT99" s="175" t="s">
        <v>2867</v>
      </c>
      <c r="AU99" s="175"/>
      <c r="AV99" s="178">
        <v>0</v>
      </c>
      <c r="AW99" s="67"/>
      <c r="AX99" s="175" t="s">
        <v>2867</v>
      </c>
      <c r="AY99" s="175" t="s">
        <v>2870</v>
      </c>
      <c r="AZ99" s="175" t="s">
        <v>2871</v>
      </c>
      <c r="BA99" s="175"/>
      <c r="BB99" s="175"/>
      <c r="BC99" s="175" t="s">
        <v>2859</v>
      </c>
      <c r="BD99" s="175" t="s">
        <v>2872</v>
      </c>
      <c r="BE99" s="175" t="s">
        <v>2873</v>
      </c>
      <c r="BF99" s="175" t="s">
        <v>2867</v>
      </c>
      <c r="BG99" s="67"/>
      <c r="BH99" s="179"/>
      <c r="BI99" s="175" t="s">
        <v>2867</v>
      </c>
      <c r="BJ99" s="175"/>
      <c r="BK99" s="175" t="s">
        <v>2867</v>
      </c>
      <c r="BL99" s="175"/>
      <c r="BM99" s="175" t="s">
        <v>3005</v>
      </c>
      <c r="BN99" s="175" t="s">
        <v>3006</v>
      </c>
      <c r="BO99" s="180" t="s">
        <v>2879</v>
      </c>
      <c r="BP99" s="67" t="s">
        <v>2867</v>
      </c>
      <c r="BQ99" s="175" t="s">
        <v>1477</v>
      </c>
      <c r="BR99" s="177" t="s">
        <v>144</v>
      </c>
      <c r="BS99" s="177"/>
      <c r="BT99" s="67" t="s">
        <v>2867</v>
      </c>
      <c r="BU99" s="175"/>
      <c r="BV99" s="176"/>
      <c r="BW99" s="67" t="s">
        <v>2878</v>
      </c>
      <c r="BX99" s="175" t="s">
        <v>3657</v>
      </c>
      <c r="BY99" s="175" t="s">
        <v>1996</v>
      </c>
      <c r="BZ99" s="177"/>
      <c r="CA99" s="175"/>
      <c r="CB99" s="175"/>
      <c r="CC99" s="177"/>
      <c r="CD99" s="177"/>
      <c r="CE99" s="67"/>
      <c r="CF99" s="67"/>
      <c r="CG99" s="177"/>
      <c r="CH99" s="176"/>
      <c r="CI99" s="176"/>
      <c r="CJ99" s="175"/>
      <c r="CK99" s="67" t="s">
        <v>2867</v>
      </c>
      <c r="CL99" s="175"/>
      <c r="CM99" s="175"/>
      <c r="CN99" s="175"/>
      <c r="CO99" s="175"/>
      <c r="CP99" s="67" t="s">
        <v>1812</v>
      </c>
      <c r="CQ99" s="175" t="s">
        <v>3027</v>
      </c>
      <c r="CR99" s="175" t="s">
        <v>3658</v>
      </c>
      <c r="CS99" s="67" t="s">
        <v>1812</v>
      </c>
      <c r="CT99" s="175" t="s">
        <v>3027</v>
      </c>
      <c r="CU99" s="175"/>
      <c r="CV99" s="181" t="s">
        <v>2879</v>
      </c>
      <c r="CW99" s="67"/>
      <c r="CX99" s="182"/>
      <c r="CY99" s="175" t="s">
        <v>2880</v>
      </c>
      <c r="CZ99" s="175"/>
      <c r="DA99" s="175" t="s">
        <v>3420</v>
      </c>
      <c r="DB99" s="175" t="s">
        <v>3420</v>
      </c>
      <c r="DC99" s="175" t="s">
        <v>3568</v>
      </c>
      <c r="DD99" s="175"/>
      <c r="DE99" s="176">
        <v>46176</v>
      </c>
      <c r="DF99" s="175"/>
      <c r="DG99" s="182"/>
      <c r="DH99" s="183">
        <v>1023500</v>
      </c>
      <c r="DI99" s="67"/>
      <c r="DJ99" s="67"/>
      <c r="DK99" s="67"/>
      <c r="DL99" s="67"/>
      <c r="DM99" s="67"/>
      <c r="DN99" s="183">
        <v>0</v>
      </c>
      <c r="DO99" s="183">
        <v>0</v>
      </c>
      <c r="DP99" s="67" t="s">
        <v>2867</v>
      </c>
      <c r="DQ99" s="175"/>
      <c r="DR99" s="175"/>
      <c r="DS99" s="175" t="s">
        <v>2882</v>
      </c>
      <c r="DT99" s="175"/>
      <c r="DU99" s="175"/>
      <c r="DV99" s="175" t="s">
        <v>2883</v>
      </c>
      <c r="DW99" s="175" t="s">
        <v>2884</v>
      </c>
      <c r="DX99" s="175" t="s">
        <v>2879</v>
      </c>
    </row>
    <row r="100" spans="1:128" ht="19.5" customHeight="1">
      <c r="A100" s="173" t="s">
        <v>3268</v>
      </c>
      <c r="B100" s="174" t="s">
        <v>3659</v>
      </c>
      <c r="C100" s="67"/>
      <c r="D100" s="67"/>
      <c r="E100" s="174" t="s">
        <v>3660</v>
      </c>
      <c r="F100" s="174" t="s">
        <v>2577</v>
      </c>
      <c r="G100" s="175" t="s">
        <v>3661</v>
      </c>
      <c r="H100" s="174" t="s">
        <v>2994</v>
      </c>
      <c r="I100" s="174" t="s">
        <v>2995</v>
      </c>
      <c r="J100" s="175" t="s">
        <v>2859</v>
      </c>
      <c r="K100" s="176">
        <v>46175</v>
      </c>
      <c r="L100" s="67" t="s">
        <v>2943</v>
      </c>
      <c r="M100" s="175" t="s">
        <v>2614</v>
      </c>
      <c r="N100" s="67" t="s">
        <v>2614</v>
      </c>
      <c r="O100" s="67" t="s">
        <v>2329</v>
      </c>
      <c r="P100" s="67" t="s">
        <v>2997</v>
      </c>
      <c r="Q100" s="67" t="s">
        <v>1415</v>
      </c>
      <c r="R100" s="67" t="s">
        <v>104</v>
      </c>
      <c r="S100" s="67" t="s">
        <v>104</v>
      </c>
      <c r="T100" s="177" t="s">
        <v>2998</v>
      </c>
      <c r="U100" s="67" t="s">
        <v>119</v>
      </c>
      <c r="V100" s="67" t="s">
        <v>2944</v>
      </c>
      <c r="W100" s="175" t="s">
        <v>2865</v>
      </c>
      <c r="X100" s="67" t="s">
        <v>2589</v>
      </c>
      <c r="Y100" s="67" t="s">
        <v>2866</v>
      </c>
      <c r="Z100" s="67" t="s">
        <v>3662</v>
      </c>
      <c r="AA100" s="175" t="s">
        <v>2947</v>
      </c>
      <c r="AB100" s="175" t="s">
        <v>3291</v>
      </c>
      <c r="AC100" s="175" t="s">
        <v>3292</v>
      </c>
      <c r="AD100" s="175" t="s">
        <v>3153</v>
      </c>
      <c r="AE100" s="175" t="s">
        <v>3293</v>
      </c>
      <c r="AF100" s="176"/>
      <c r="AG100" s="176"/>
      <c r="AH100" s="176"/>
      <c r="AI100" s="67"/>
      <c r="AJ100" s="67"/>
      <c r="AK100" s="67"/>
      <c r="AL100" s="67"/>
      <c r="AM100" s="176"/>
      <c r="AN100" s="176"/>
      <c r="AO100" s="67"/>
      <c r="AP100" s="67" t="s">
        <v>2867</v>
      </c>
      <c r="AQ100" s="67" t="s">
        <v>2868</v>
      </c>
      <c r="AR100" s="175"/>
      <c r="AS100" s="175" t="s">
        <v>2869</v>
      </c>
      <c r="AT100" s="175" t="s">
        <v>2867</v>
      </c>
      <c r="AU100" s="175"/>
      <c r="AV100" s="178">
        <v>0</v>
      </c>
      <c r="AW100" s="67"/>
      <c r="AX100" s="175" t="s">
        <v>2867</v>
      </c>
      <c r="AY100" s="175" t="s">
        <v>2870</v>
      </c>
      <c r="AZ100" s="175" t="s">
        <v>2871</v>
      </c>
      <c r="BA100" s="175"/>
      <c r="BB100" s="175"/>
      <c r="BC100" s="175" t="s">
        <v>2859</v>
      </c>
      <c r="BD100" s="175" t="s">
        <v>2872</v>
      </c>
      <c r="BE100" s="175" t="s">
        <v>2873</v>
      </c>
      <c r="BF100" s="175" t="s">
        <v>2867</v>
      </c>
      <c r="BG100" s="67"/>
      <c r="BH100" s="179"/>
      <c r="BI100" s="175" t="s">
        <v>2867</v>
      </c>
      <c r="BJ100" s="175"/>
      <c r="BK100" s="175" t="s">
        <v>2867</v>
      </c>
      <c r="BL100" s="175"/>
      <c r="BM100" s="175" t="s">
        <v>3005</v>
      </c>
      <c r="BN100" s="175" t="s">
        <v>3006</v>
      </c>
      <c r="BO100" s="180" t="s">
        <v>2879</v>
      </c>
      <c r="BP100" s="67" t="s">
        <v>2867</v>
      </c>
      <c r="BQ100" s="175" t="s">
        <v>1477</v>
      </c>
      <c r="BR100" s="177" t="s">
        <v>144</v>
      </c>
      <c r="BS100" s="177"/>
      <c r="BT100" s="67" t="s">
        <v>2867</v>
      </c>
      <c r="BU100" s="175"/>
      <c r="BV100" s="176"/>
      <c r="BW100" s="67" t="s">
        <v>2878</v>
      </c>
      <c r="BX100" s="175" t="s">
        <v>3663</v>
      </c>
      <c r="BY100" s="175" t="s">
        <v>1996</v>
      </c>
      <c r="BZ100" s="177"/>
      <c r="CA100" s="175" t="s">
        <v>3664</v>
      </c>
      <c r="CB100" s="175"/>
      <c r="CC100" s="177"/>
      <c r="CD100" s="177"/>
      <c r="CE100" s="67"/>
      <c r="CF100" s="67"/>
      <c r="CG100" s="177"/>
      <c r="CH100" s="176"/>
      <c r="CI100" s="176"/>
      <c r="CJ100" s="175"/>
      <c r="CK100" s="67" t="s">
        <v>3027</v>
      </c>
      <c r="CL100" s="175" t="s">
        <v>929</v>
      </c>
      <c r="CM100" s="175" t="s">
        <v>3442</v>
      </c>
      <c r="CN100" s="175" t="s">
        <v>3419</v>
      </c>
      <c r="CO100" s="175"/>
      <c r="CP100" s="67" t="s">
        <v>1812</v>
      </c>
      <c r="CQ100" s="175" t="s">
        <v>3027</v>
      </c>
      <c r="CR100" s="175" t="s">
        <v>3665</v>
      </c>
      <c r="CS100" s="67" t="s">
        <v>1812</v>
      </c>
      <c r="CT100" s="175" t="s">
        <v>3027</v>
      </c>
      <c r="CU100" s="175"/>
      <c r="CV100" s="181" t="s">
        <v>2879</v>
      </c>
      <c r="CW100" s="67"/>
      <c r="CX100" s="182"/>
      <c r="CY100" s="175" t="s">
        <v>2880</v>
      </c>
      <c r="CZ100" s="175"/>
      <c r="DA100" s="175" t="s">
        <v>3420</v>
      </c>
      <c r="DB100" s="175" t="s">
        <v>3420</v>
      </c>
      <c r="DC100" s="175" t="s">
        <v>3568</v>
      </c>
      <c r="DD100" s="175"/>
      <c r="DE100" s="176">
        <v>46175</v>
      </c>
      <c r="DF100" s="175"/>
      <c r="DG100" s="182"/>
      <c r="DH100" s="183">
        <v>1023500</v>
      </c>
      <c r="DI100" s="67"/>
      <c r="DJ100" s="67"/>
      <c r="DK100" s="67"/>
      <c r="DL100" s="67"/>
      <c r="DM100" s="67"/>
      <c r="DN100" s="183">
        <v>0</v>
      </c>
      <c r="DO100" s="183">
        <v>0</v>
      </c>
      <c r="DP100" s="67" t="s">
        <v>2867</v>
      </c>
      <c r="DQ100" s="175"/>
      <c r="DR100" s="175"/>
      <c r="DS100" s="175" t="s">
        <v>2882</v>
      </c>
      <c r="DT100" s="175"/>
      <c r="DU100" s="175"/>
      <c r="DV100" s="175" t="s">
        <v>2883</v>
      </c>
      <c r="DW100" s="175" t="s">
        <v>2884</v>
      </c>
      <c r="DX100" s="175" t="s">
        <v>2879</v>
      </c>
    </row>
    <row r="101" spans="1:128" ht="19.5" customHeight="1">
      <c r="A101" s="173" t="s">
        <v>3268</v>
      </c>
      <c r="B101" s="174" t="s">
        <v>3666</v>
      </c>
      <c r="C101" s="67"/>
      <c r="D101" s="67"/>
      <c r="E101" s="174" t="s">
        <v>3667</v>
      </c>
      <c r="F101" s="174" t="s">
        <v>2578</v>
      </c>
      <c r="G101" s="175" t="s">
        <v>3668</v>
      </c>
      <c r="H101" s="174" t="s">
        <v>2994</v>
      </c>
      <c r="I101" s="174" t="s">
        <v>2995</v>
      </c>
      <c r="J101" s="175" t="s">
        <v>2859</v>
      </c>
      <c r="K101" s="176">
        <v>46175</v>
      </c>
      <c r="L101" s="67" t="s">
        <v>2921</v>
      </c>
      <c r="M101" s="175" t="s">
        <v>2614</v>
      </c>
      <c r="N101" s="67" t="s">
        <v>2614</v>
      </c>
      <c r="O101" s="67" t="s">
        <v>2329</v>
      </c>
      <c r="P101" s="67" t="s">
        <v>2997</v>
      </c>
      <c r="Q101" s="67" t="s">
        <v>1415</v>
      </c>
      <c r="R101" s="67" t="s">
        <v>104</v>
      </c>
      <c r="S101" s="67" t="s">
        <v>104</v>
      </c>
      <c r="T101" s="177" t="s">
        <v>2998</v>
      </c>
      <c r="U101" s="67" t="s">
        <v>119</v>
      </c>
      <c r="V101" s="67" t="s">
        <v>2944</v>
      </c>
      <c r="W101" s="175" t="s">
        <v>2865</v>
      </c>
      <c r="X101" s="67" t="s">
        <v>2590</v>
      </c>
      <c r="Y101" s="67" t="s">
        <v>2866</v>
      </c>
      <c r="Z101" s="67" t="s">
        <v>2591</v>
      </c>
      <c r="AA101" s="175" t="s">
        <v>2947</v>
      </c>
      <c r="AB101" s="175" t="s">
        <v>3023</v>
      </c>
      <c r="AC101" s="175" t="s">
        <v>3024</v>
      </c>
      <c r="AD101" s="175" t="s">
        <v>3025</v>
      </c>
      <c r="AE101" s="175" t="s">
        <v>3026</v>
      </c>
      <c r="AF101" s="176"/>
      <c r="AG101" s="176"/>
      <c r="AH101" s="176"/>
      <c r="AI101" s="67"/>
      <c r="AJ101" s="67"/>
      <c r="AK101" s="67"/>
      <c r="AL101" s="67"/>
      <c r="AM101" s="176"/>
      <c r="AN101" s="176"/>
      <c r="AO101" s="67"/>
      <c r="AP101" s="67" t="s">
        <v>2867</v>
      </c>
      <c r="AQ101" s="67" t="s">
        <v>2868</v>
      </c>
      <c r="AR101" s="175"/>
      <c r="AS101" s="175" t="s">
        <v>2869</v>
      </c>
      <c r="AT101" s="175" t="s">
        <v>2867</v>
      </c>
      <c r="AU101" s="175"/>
      <c r="AV101" s="178">
        <v>0</v>
      </c>
      <c r="AW101" s="67"/>
      <c r="AX101" s="175" t="s">
        <v>2867</v>
      </c>
      <c r="AY101" s="175" t="s">
        <v>2870</v>
      </c>
      <c r="AZ101" s="175" t="s">
        <v>2871</v>
      </c>
      <c r="BA101" s="175"/>
      <c r="BB101" s="175"/>
      <c r="BC101" s="175" t="s">
        <v>2859</v>
      </c>
      <c r="BD101" s="175" t="s">
        <v>2872</v>
      </c>
      <c r="BE101" s="175" t="s">
        <v>2873</v>
      </c>
      <c r="BF101" s="175" t="s">
        <v>2867</v>
      </c>
      <c r="BG101" s="67"/>
      <c r="BH101" s="179"/>
      <c r="BI101" s="175" t="s">
        <v>2867</v>
      </c>
      <c r="BJ101" s="175"/>
      <c r="BK101" s="175" t="s">
        <v>2867</v>
      </c>
      <c r="BL101" s="175"/>
      <c r="BM101" s="175" t="s">
        <v>3005</v>
      </c>
      <c r="BN101" s="175" t="s">
        <v>3006</v>
      </c>
      <c r="BO101" s="180" t="s">
        <v>2879</v>
      </c>
      <c r="BP101" s="67" t="s">
        <v>2867</v>
      </c>
      <c r="BQ101" s="175" t="s">
        <v>1477</v>
      </c>
      <c r="BR101" s="177" t="s">
        <v>144</v>
      </c>
      <c r="BS101" s="177"/>
      <c r="BT101" s="67" t="s">
        <v>2867</v>
      </c>
      <c r="BU101" s="175"/>
      <c r="BV101" s="176"/>
      <c r="BW101" s="67" t="s">
        <v>2878</v>
      </c>
      <c r="BX101" s="175" t="s">
        <v>3669</v>
      </c>
      <c r="BY101" s="175" t="s">
        <v>1996</v>
      </c>
      <c r="BZ101" s="177"/>
      <c r="CA101" s="175"/>
      <c r="CB101" s="175"/>
      <c r="CC101" s="177"/>
      <c r="CD101" s="177"/>
      <c r="CE101" s="67"/>
      <c r="CF101" s="67"/>
      <c r="CG101" s="177"/>
      <c r="CH101" s="176"/>
      <c r="CI101" s="176"/>
      <c r="CJ101" s="175"/>
      <c r="CK101" s="67" t="s">
        <v>3027</v>
      </c>
      <c r="CL101" s="175" t="s">
        <v>929</v>
      </c>
      <c r="CM101" s="175" t="s">
        <v>3442</v>
      </c>
      <c r="CN101" s="175"/>
      <c r="CO101" s="175"/>
      <c r="CP101" s="67" t="s">
        <v>1812</v>
      </c>
      <c r="CQ101" s="175" t="s">
        <v>3027</v>
      </c>
      <c r="CR101" s="175"/>
      <c r="CS101" s="67" t="s">
        <v>1812</v>
      </c>
      <c r="CT101" s="175" t="s">
        <v>3027</v>
      </c>
      <c r="CU101" s="175"/>
      <c r="CV101" s="181" t="s">
        <v>2879</v>
      </c>
      <c r="CW101" s="67"/>
      <c r="CX101" s="182"/>
      <c r="CY101" s="175" t="s">
        <v>2880</v>
      </c>
      <c r="CZ101" s="175"/>
      <c r="DA101" s="175" t="s">
        <v>3420</v>
      </c>
      <c r="DB101" s="175" t="s">
        <v>3420</v>
      </c>
      <c r="DC101" s="175" t="s">
        <v>3568</v>
      </c>
      <c r="DD101" s="175"/>
      <c r="DE101" s="176">
        <v>46174</v>
      </c>
      <c r="DF101" s="175"/>
      <c r="DG101" s="182"/>
      <c r="DH101" s="183">
        <v>1023500</v>
      </c>
      <c r="DI101" s="67"/>
      <c r="DJ101" s="67"/>
      <c r="DK101" s="67"/>
      <c r="DL101" s="67"/>
      <c r="DM101" s="67"/>
      <c r="DN101" s="183">
        <v>0</v>
      </c>
      <c r="DO101" s="183">
        <v>0</v>
      </c>
      <c r="DP101" s="67" t="s">
        <v>2867</v>
      </c>
      <c r="DQ101" s="175"/>
      <c r="DR101" s="175"/>
      <c r="DS101" s="175" t="s">
        <v>2882</v>
      </c>
      <c r="DT101" s="175"/>
      <c r="DU101" s="175"/>
      <c r="DV101" s="175" t="s">
        <v>2883</v>
      </c>
      <c r="DW101" s="175" t="s">
        <v>2884</v>
      </c>
      <c r="DX101" s="175" t="s">
        <v>2879</v>
      </c>
    </row>
    <row r="102" spans="1:128" ht="19.5" customHeight="1">
      <c r="A102" s="173" t="s">
        <v>3268</v>
      </c>
      <c r="B102" s="174" t="s">
        <v>3670</v>
      </c>
      <c r="C102" s="67"/>
      <c r="D102" s="67"/>
      <c r="E102" s="174" t="s">
        <v>3671</v>
      </c>
      <c r="F102" s="174" t="s">
        <v>2579</v>
      </c>
      <c r="G102" s="175" t="s">
        <v>3672</v>
      </c>
      <c r="H102" s="174" t="s">
        <v>2994</v>
      </c>
      <c r="I102" s="174" t="s">
        <v>2995</v>
      </c>
      <c r="J102" s="175" t="s">
        <v>2859</v>
      </c>
      <c r="K102" s="176">
        <v>46175</v>
      </c>
      <c r="L102" s="67" t="s">
        <v>2969</v>
      </c>
      <c r="M102" s="175" t="s">
        <v>2614</v>
      </c>
      <c r="N102" s="67" t="s">
        <v>2614</v>
      </c>
      <c r="O102" s="67" t="s">
        <v>2329</v>
      </c>
      <c r="P102" s="67" t="s">
        <v>2997</v>
      </c>
      <c r="Q102" s="67" t="s">
        <v>1415</v>
      </c>
      <c r="R102" s="67" t="s">
        <v>104</v>
      </c>
      <c r="S102" s="67" t="s">
        <v>104</v>
      </c>
      <c r="T102" s="177" t="s">
        <v>2998</v>
      </c>
      <c r="U102" s="67" t="s">
        <v>119</v>
      </c>
      <c r="V102" s="67" t="s">
        <v>2944</v>
      </c>
      <c r="W102" s="175" t="s">
        <v>2865</v>
      </c>
      <c r="X102" s="67" t="s">
        <v>2592</v>
      </c>
      <c r="Y102" s="67" t="s">
        <v>2866</v>
      </c>
      <c r="Z102" s="67" t="s">
        <v>2593</v>
      </c>
      <c r="AA102" s="175" t="s">
        <v>2947</v>
      </c>
      <c r="AB102" s="175" t="s">
        <v>3226</v>
      </c>
      <c r="AC102" s="175" t="s">
        <v>3227</v>
      </c>
      <c r="AD102" s="175" t="s">
        <v>3228</v>
      </c>
      <c r="AE102" s="175" t="s">
        <v>3229</v>
      </c>
      <c r="AF102" s="176"/>
      <c r="AG102" s="176"/>
      <c r="AH102" s="176"/>
      <c r="AI102" s="67"/>
      <c r="AJ102" s="67"/>
      <c r="AK102" s="67"/>
      <c r="AL102" s="67"/>
      <c r="AM102" s="176"/>
      <c r="AN102" s="176"/>
      <c r="AO102" s="67"/>
      <c r="AP102" s="67" t="s">
        <v>2867</v>
      </c>
      <c r="AQ102" s="67" t="s">
        <v>2868</v>
      </c>
      <c r="AR102" s="175"/>
      <c r="AS102" s="175" t="s">
        <v>2869</v>
      </c>
      <c r="AT102" s="175" t="s">
        <v>2867</v>
      </c>
      <c r="AU102" s="175"/>
      <c r="AV102" s="178">
        <v>0</v>
      </c>
      <c r="AW102" s="67"/>
      <c r="AX102" s="175" t="s">
        <v>2867</v>
      </c>
      <c r="AY102" s="175" t="s">
        <v>2870</v>
      </c>
      <c r="AZ102" s="175" t="s">
        <v>2871</v>
      </c>
      <c r="BA102" s="175"/>
      <c r="BB102" s="175"/>
      <c r="BC102" s="175" t="s">
        <v>2859</v>
      </c>
      <c r="BD102" s="175" t="s">
        <v>2872</v>
      </c>
      <c r="BE102" s="175" t="s">
        <v>2873</v>
      </c>
      <c r="BF102" s="175" t="s">
        <v>2867</v>
      </c>
      <c r="BG102" s="67"/>
      <c r="BH102" s="179"/>
      <c r="BI102" s="175" t="s">
        <v>2867</v>
      </c>
      <c r="BJ102" s="175"/>
      <c r="BK102" s="175" t="s">
        <v>2867</v>
      </c>
      <c r="BL102" s="175"/>
      <c r="BM102" s="175" t="s">
        <v>3005</v>
      </c>
      <c r="BN102" s="175" t="s">
        <v>3006</v>
      </c>
      <c r="BO102" s="180" t="s">
        <v>2879</v>
      </c>
      <c r="BP102" s="67" t="s">
        <v>2867</v>
      </c>
      <c r="BQ102" s="175" t="s">
        <v>1477</v>
      </c>
      <c r="BR102" s="177" t="s">
        <v>144</v>
      </c>
      <c r="BS102" s="177"/>
      <c r="BT102" s="67" t="s">
        <v>2867</v>
      </c>
      <c r="BU102" s="175"/>
      <c r="BV102" s="176"/>
      <c r="BW102" s="67" t="s">
        <v>2878</v>
      </c>
      <c r="BX102" s="175" t="s">
        <v>3673</v>
      </c>
      <c r="BY102" s="175" t="s">
        <v>1996</v>
      </c>
      <c r="BZ102" s="177"/>
      <c r="CA102" s="175"/>
      <c r="CB102" s="175"/>
      <c r="CC102" s="177"/>
      <c r="CD102" s="177"/>
      <c r="CE102" s="67"/>
      <c r="CF102" s="67"/>
      <c r="CG102" s="177"/>
      <c r="CH102" s="176"/>
      <c r="CI102" s="176"/>
      <c r="CJ102" s="175"/>
      <c r="CK102" s="67" t="s">
        <v>3027</v>
      </c>
      <c r="CL102" s="175" t="s">
        <v>929</v>
      </c>
      <c r="CM102" s="175" t="s">
        <v>3442</v>
      </c>
      <c r="CN102" s="175" t="s">
        <v>3452</v>
      </c>
      <c r="CO102" s="175"/>
      <c r="CP102" s="67" t="s">
        <v>1812</v>
      </c>
      <c r="CQ102" s="175" t="s">
        <v>3027</v>
      </c>
      <c r="CR102" s="175"/>
      <c r="CS102" s="67" t="s">
        <v>1812</v>
      </c>
      <c r="CT102" s="175" t="s">
        <v>3027</v>
      </c>
      <c r="CU102" s="175"/>
      <c r="CV102" s="181" t="s">
        <v>2879</v>
      </c>
      <c r="CW102" s="67"/>
      <c r="CX102" s="182"/>
      <c r="CY102" s="175" t="s">
        <v>2880</v>
      </c>
      <c r="CZ102" s="175"/>
      <c r="DA102" s="175" t="s">
        <v>3420</v>
      </c>
      <c r="DB102" s="175" t="s">
        <v>3420</v>
      </c>
      <c r="DC102" s="175" t="s">
        <v>3568</v>
      </c>
      <c r="DD102" s="175"/>
      <c r="DE102" s="176">
        <v>46176</v>
      </c>
      <c r="DF102" s="175"/>
      <c r="DG102" s="182"/>
      <c r="DH102" s="183">
        <v>1023500</v>
      </c>
      <c r="DI102" s="67"/>
      <c r="DJ102" s="67"/>
      <c r="DK102" s="67"/>
      <c r="DL102" s="67"/>
      <c r="DM102" s="67"/>
      <c r="DN102" s="183">
        <v>0</v>
      </c>
      <c r="DO102" s="183">
        <v>0</v>
      </c>
      <c r="DP102" s="67" t="s">
        <v>2867</v>
      </c>
      <c r="DQ102" s="175"/>
      <c r="DR102" s="175"/>
      <c r="DS102" s="175" t="s">
        <v>2882</v>
      </c>
      <c r="DT102" s="175"/>
      <c r="DU102" s="175"/>
      <c r="DV102" s="175" t="s">
        <v>2883</v>
      </c>
      <c r="DW102" s="175" t="s">
        <v>2884</v>
      </c>
      <c r="DX102" s="175" t="s">
        <v>2879</v>
      </c>
    </row>
    <row r="103" spans="1:128" ht="19.5" customHeight="1">
      <c r="A103" s="173"/>
      <c r="B103" s="174" t="s">
        <v>3674</v>
      </c>
      <c r="C103" s="67"/>
      <c r="D103" s="67"/>
      <c r="E103" s="174" t="s">
        <v>3675</v>
      </c>
      <c r="F103" s="174" t="s">
        <v>2583</v>
      </c>
      <c r="G103" s="175" t="s">
        <v>3676</v>
      </c>
      <c r="H103" s="174" t="s">
        <v>2994</v>
      </c>
      <c r="I103" s="174" t="s">
        <v>2995</v>
      </c>
      <c r="J103" s="175" t="s">
        <v>2859</v>
      </c>
      <c r="K103" s="176">
        <v>46175</v>
      </c>
      <c r="L103" s="67" t="s">
        <v>2906</v>
      </c>
      <c r="M103" s="175" t="s">
        <v>2614</v>
      </c>
      <c r="N103" s="67" t="s">
        <v>2614</v>
      </c>
      <c r="O103" s="67" t="s">
        <v>2329</v>
      </c>
      <c r="P103" s="67" t="s">
        <v>2997</v>
      </c>
      <c r="Q103" s="67" t="s">
        <v>1415</v>
      </c>
      <c r="R103" s="67" t="s">
        <v>104</v>
      </c>
      <c r="S103" s="67" t="s">
        <v>104</v>
      </c>
      <c r="T103" s="177" t="s">
        <v>2998</v>
      </c>
      <c r="U103" s="67" t="s">
        <v>119</v>
      </c>
      <c r="V103" s="67" t="s">
        <v>2944</v>
      </c>
      <c r="W103" s="175" t="s">
        <v>2865</v>
      </c>
      <c r="X103" s="67" t="s">
        <v>2600</v>
      </c>
      <c r="Y103" s="67" t="s">
        <v>2866</v>
      </c>
      <c r="Z103" s="67" t="s">
        <v>2601</v>
      </c>
      <c r="AA103" s="175" t="s">
        <v>2947</v>
      </c>
      <c r="AB103" s="175" t="s">
        <v>3180</v>
      </c>
      <c r="AC103" s="175" t="s">
        <v>3181</v>
      </c>
      <c r="AD103" s="175" t="s">
        <v>3182</v>
      </c>
      <c r="AE103" s="175" t="s">
        <v>3183</v>
      </c>
      <c r="AF103" s="176"/>
      <c r="AG103" s="176"/>
      <c r="AH103" s="176"/>
      <c r="AI103" s="67"/>
      <c r="AJ103" s="67"/>
      <c r="AK103" s="67"/>
      <c r="AL103" s="67"/>
      <c r="AM103" s="176"/>
      <c r="AN103" s="176"/>
      <c r="AO103" s="67"/>
      <c r="AP103" s="67" t="s">
        <v>2867</v>
      </c>
      <c r="AQ103" s="67" t="s">
        <v>2868</v>
      </c>
      <c r="AR103" s="175"/>
      <c r="AS103" s="175" t="s">
        <v>2869</v>
      </c>
      <c r="AT103" s="175" t="s">
        <v>2867</v>
      </c>
      <c r="AU103" s="175"/>
      <c r="AV103" s="178">
        <v>0</v>
      </c>
      <c r="AW103" s="67"/>
      <c r="AX103" s="175" t="s">
        <v>2867</v>
      </c>
      <c r="AY103" s="175" t="s">
        <v>2870</v>
      </c>
      <c r="AZ103" s="175" t="s">
        <v>2871</v>
      </c>
      <c r="BA103" s="175"/>
      <c r="BB103" s="175"/>
      <c r="BC103" s="175" t="s">
        <v>2859</v>
      </c>
      <c r="BD103" s="175" t="s">
        <v>2872</v>
      </c>
      <c r="BE103" s="175" t="s">
        <v>2873</v>
      </c>
      <c r="BF103" s="175" t="s">
        <v>2867</v>
      </c>
      <c r="BG103" s="67"/>
      <c r="BH103" s="179"/>
      <c r="BI103" s="175" t="s">
        <v>2867</v>
      </c>
      <c r="BJ103" s="175"/>
      <c r="BK103" s="175" t="s">
        <v>2867</v>
      </c>
      <c r="BL103" s="175"/>
      <c r="BM103" s="175" t="s">
        <v>3005</v>
      </c>
      <c r="BN103" s="175" t="s">
        <v>3006</v>
      </c>
      <c r="BO103" s="180" t="s">
        <v>2879</v>
      </c>
      <c r="BP103" s="67" t="s">
        <v>2867</v>
      </c>
      <c r="BQ103" s="175" t="s">
        <v>1477</v>
      </c>
      <c r="BR103" s="177" t="s">
        <v>144</v>
      </c>
      <c r="BS103" s="177"/>
      <c r="BT103" s="67" t="s">
        <v>2867</v>
      </c>
      <c r="BU103" s="175"/>
      <c r="BV103" s="176"/>
      <c r="BW103" s="67" t="s">
        <v>2878</v>
      </c>
      <c r="BX103" s="175" t="s">
        <v>3677</v>
      </c>
      <c r="BY103" s="175" t="s">
        <v>1996</v>
      </c>
      <c r="BZ103" s="177"/>
      <c r="CA103" s="175"/>
      <c r="CB103" s="175"/>
      <c r="CC103" s="177"/>
      <c r="CD103" s="177"/>
      <c r="CE103" s="67"/>
      <c r="CF103" s="67"/>
      <c r="CG103" s="177"/>
      <c r="CH103" s="176"/>
      <c r="CI103" s="176"/>
      <c r="CJ103" s="175"/>
      <c r="CK103" s="67" t="s">
        <v>2867</v>
      </c>
      <c r="CL103" s="175"/>
      <c r="CM103" s="175"/>
      <c r="CN103" s="175"/>
      <c r="CO103" s="175"/>
      <c r="CP103" s="67" t="s">
        <v>1812</v>
      </c>
      <c r="CQ103" s="175" t="s">
        <v>3027</v>
      </c>
      <c r="CR103" s="175" t="s">
        <v>3678</v>
      </c>
      <c r="CS103" s="67" t="s">
        <v>1812</v>
      </c>
      <c r="CT103" s="175" t="s">
        <v>3027</v>
      </c>
      <c r="CU103" s="175"/>
      <c r="CV103" s="181" t="s">
        <v>2879</v>
      </c>
      <c r="CW103" s="67"/>
      <c r="CX103" s="182"/>
      <c r="CY103" s="175" t="s">
        <v>2880</v>
      </c>
      <c r="CZ103" s="175"/>
      <c r="DA103" s="175" t="s">
        <v>3420</v>
      </c>
      <c r="DB103" s="175" t="s">
        <v>3420</v>
      </c>
      <c r="DC103" s="175" t="s">
        <v>3679</v>
      </c>
      <c r="DD103" s="175"/>
      <c r="DE103" s="176">
        <v>46176</v>
      </c>
      <c r="DF103" s="175"/>
      <c r="DG103" s="182"/>
      <c r="DH103" s="183">
        <v>1023500</v>
      </c>
      <c r="DI103" s="67"/>
      <c r="DJ103" s="67"/>
      <c r="DK103" s="67"/>
      <c r="DL103" s="67"/>
      <c r="DM103" s="67"/>
      <c r="DN103" s="183">
        <v>0</v>
      </c>
      <c r="DO103" s="183">
        <v>0</v>
      </c>
      <c r="DP103" s="67" t="s">
        <v>2867</v>
      </c>
      <c r="DQ103" s="175"/>
      <c r="DR103" s="175"/>
      <c r="DS103" s="175" t="s">
        <v>2882</v>
      </c>
      <c r="DT103" s="175"/>
      <c r="DU103" s="175"/>
      <c r="DV103" s="175" t="s">
        <v>2883</v>
      </c>
      <c r="DW103" s="175" t="s">
        <v>2884</v>
      </c>
      <c r="DX103" s="175" t="s">
        <v>2879</v>
      </c>
    </row>
    <row r="104" spans="1:128" ht="19.5" customHeight="1">
      <c r="A104" s="173" t="s">
        <v>3268</v>
      </c>
      <c r="B104" s="174" t="s">
        <v>3680</v>
      </c>
      <c r="C104" s="67"/>
      <c r="D104" s="67"/>
      <c r="E104" s="189" t="s">
        <v>3681</v>
      </c>
      <c r="F104" s="174" t="s">
        <v>2587</v>
      </c>
      <c r="G104" s="175" t="s">
        <v>3682</v>
      </c>
      <c r="H104" s="189" t="s">
        <v>2994</v>
      </c>
      <c r="I104" s="189" t="s">
        <v>2995</v>
      </c>
      <c r="J104" s="175" t="s">
        <v>2859</v>
      </c>
      <c r="K104" s="176">
        <v>46175</v>
      </c>
      <c r="L104" s="67" t="s">
        <v>2901</v>
      </c>
      <c r="M104" s="175" t="s">
        <v>2614</v>
      </c>
      <c r="N104" s="67" t="s">
        <v>2614</v>
      </c>
      <c r="O104" s="67" t="s">
        <v>2329</v>
      </c>
      <c r="P104" s="67" t="s">
        <v>2997</v>
      </c>
      <c r="Q104" s="67" t="s">
        <v>1415</v>
      </c>
      <c r="R104" s="67" t="s">
        <v>104</v>
      </c>
      <c r="S104" s="67" t="s">
        <v>104</v>
      </c>
      <c r="T104" s="177" t="s">
        <v>2998</v>
      </c>
      <c r="U104" s="67" t="s">
        <v>119</v>
      </c>
      <c r="V104" s="67" t="s">
        <v>2975</v>
      </c>
      <c r="W104" s="175" t="s">
        <v>2865</v>
      </c>
      <c r="X104" s="67" t="s">
        <v>2608</v>
      </c>
      <c r="Y104" s="67" t="s">
        <v>2866</v>
      </c>
      <c r="Z104" s="67" t="s">
        <v>2609</v>
      </c>
      <c r="AA104" s="175" t="s">
        <v>2947</v>
      </c>
      <c r="AB104" s="175" t="s">
        <v>3683</v>
      </c>
      <c r="AC104" s="175" t="s">
        <v>3684</v>
      </c>
      <c r="AD104" s="175" t="s">
        <v>3685</v>
      </c>
      <c r="AE104" s="175" t="s">
        <v>3686</v>
      </c>
      <c r="AF104" s="176"/>
      <c r="AG104" s="176"/>
      <c r="AH104" s="176"/>
      <c r="AI104" s="67"/>
      <c r="AJ104" s="67"/>
      <c r="AK104" s="67"/>
      <c r="AL104" s="67"/>
      <c r="AM104" s="176"/>
      <c r="AN104" s="176"/>
      <c r="AO104" s="67"/>
      <c r="AP104" s="67" t="s">
        <v>2867</v>
      </c>
      <c r="AQ104" s="67" t="s">
        <v>2868</v>
      </c>
      <c r="AR104" s="175"/>
      <c r="AS104" s="175" t="s">
        <v>2869</v>
      </c>
      <c r="AT104" s="175" t="s">
        <v>2867</v>
      </c>
      <c r="AU104" s="175"/>
      <c r="AV104" s="178">
        <v>0</v>
      </c>
      <c r="AW104" s="67"/>
      <c r="AX104" s="175" t="s">
        <v>2867</v>
      </c>
      <c r="AY104" s="175" t="s">
        <v>2870</v>
      </c>
      <c r="AZ104" s="175" t="s">
        <v>2871</v>
      </c>
      <c r="BA104" s="175"/>
      <c r="BB104" s="175"/>
      <c r="BC104" s="175" t="s">
        <v>2859</v>
      </c>
      <c r="BD104" s="175" t="s">
        <v>2872</v>
      </c>
      <c r="BE104" s="175" t="s">
        <v>2873</v>
      </c>
      <c r="BF104" s="175" t="s">
        <v>2867</v>
      </c>
      <c r="BG104" s="67"/>
      <c r="BH104" s="179"/>
      <c r="BI104" s="175" t="s">
        <v>3027</v>
      </c>
      <c r="BJ104" s="175"/>
      <c r="BK104" s="175" t="s">
        <v>2867</v>
      </c>
      <c r="BL104" s="175"/>
      <c r="BM104" s="175" t="s">
        <v>3005</v>
      </c>
      <c r="BN104" s="175" t="s">
        <v>3006</v>
      </c>
      <c r="BO104" s="180" t="s">
        <v>2879</v>
      </c>
      <c r="BP104" s="67" t="s">
        <v>2867</v>
      </c>
      <c r="BQ104" s="175" t="s">
        <v>1477</v>
      </c>
      <c r="BR104" s="177" t="s">
        <v>144</v>
      </c>
      <c r="BS104" s="177"/>
      <c r="BT104" s="67" t="s">
        <v>2867</v>
      </c>
      <c r="BU104" s="175"/>
      <c r="BV104" s="176"/>
      <c r="BW104" s="67" t="s">
        <v>2878</v>
      </c>
      <c r="BX104" s="175" t="s">
        <v>3687</v>
      </c>
      <c r="BY104" s="175" t="s">
        <v>1996</v>
      </c>
      <c r="BZ104" s="177"/>
      <c r="CA104" s="175"/>
      <c r="CB104" s="175"/>
      <c r="CC104" s="177"/>
      <c r="CD104" s="177"/>
      <c r="CE104" s="67"/>
      <c r="CF104" s="67"/>
      <c r="CG104" s="177"/>
      <c r="CH104" s="176"/>
      <c r="CI104" s="176"/>
      <c r="CJ104" s="175"/>
      <c r="CK104" s="67" t="s">
        <v>3027</v>
      </c>
      <c r="CL104" s="175" t="s">
        <v>929</v>
      </c>
      <c r="CM104" s="175" t="s">
        <v>3442</v>
      </c>
      <c r="CN104" s="175" t="s">
        <v>3452</v>
      </c>
      <c r="CO104" s="175"/>
      <c r="CP104" s="67" t="s">
        <v>1812</v>
      </c>
      <c r="CQ104" s="175" t="s">
        <v>3027</v>
      </c>
      <c r="CR104" s="175"/>
      <c r="CS104" s="67" t="s">
        <v>1812</v>
      </c>
      <c r="CT104" s="175" t="s">
        <v>3027</v>
      </c>
      <c r="CU104" s="175"/>
      <c r="CV104" s="181" t="s">
        <v>2879</v>
      </c>
      <c r="CW104" s="67"/>
      <c r="CX104" s="182"/>
      <c r="CY104" s="175" t="s">
        <v>2880</v>
      </c>
      <c r="CZ104" s="175"/>
      <c r="DA104" s="175" t="s">
        <v>3688</v>
      </c>
      <c r="DB104" s="175" t="s">
        <v>3688</v>
      </c>
      <c r="DC104" s="175" t="s">
        <v>3689</v>
      </c>
      <c r="DD104" s="175"/>
      <c r="DE104" s="176">
        <v>46176</v>
      </c>
      <c r="DF104" s="175"/>
      <c r="DG104" s="182"/>
      <c r="DH104" s="183">
        <v>1023500</v>
      </c>
      <c r="DI104" s="67"/>
      <c r="DJ104" s="67"/>
      <c r="DK104" s="67"/>
      <c r="DL104" s="67"/>
      <c r="DM104" s="67"/>
      <c r="DN104" s="183">
        <v>0</v>
      </c>
      <c r="DO104" s="183">
        <v>0</v>
      </c>
      <c r="DP104" s="67" t="s">
        <v>2867</v>
      </c>
      <c r="DQ104" s="175"/>
      <c r="DR104" s="175"/>
      <c r="DS104" s="175" t="s">
        <v>2882</v>
      </c>
      <c r="DT104" s="175"/>
      <c r="DU104" s="175"/>
      <c r="DV104" s="175" t="s">
        <v>2883</v>
      </c>
      <c r="DW104" s="175" t="s">
        <v>2884</v>
      </c>
      <c r="DX104" s="175" t="s">
        <v>2879</v>
      </c>
    </row>
    <row r="105" spans="1:128" ht="19.5" customHeight="1">
      <c r="A105" s="173"/>
      <c r="B105" s="174" t="s">
        <v>3690</v>
      </c>
      <c r="C105" s="67"/>
      <c r="D105" s="67"/>
      <c r="E105" s="190" t="s">
        <v>3681</v>
      </c>
      <c r="F105" s="174" t="s">
        <v>2584</v>
      </c>
      <c r="G105" s="175" t="s">
        <v>3691</v>
      </c>
      <c r="H105" s="190" t="s">
        <v>2994</v>
      </c>
      <c r="I105" s="190" t="s">
        <v>2995</v>
      </c>
      <c r="J105" s="175" t="s">
        <v>2859</v>
      </c>
      <c r="K105" s="176">
        <v>46175</v>
      </c>
      <c r="L105" s="67" t="s">
        <v>2906</v>
      </c>
      <c r="M105" s="175" t="s">
        <v>2614</v>
      </c>
      <c r="N105" s="67" t="s">
        <v>2614</v>
      </c>
      <c r="O105" s="67" t="s">
        <v>2329</v>
      </c>
      <c r="P105" s="67" t="s">
        <v>2997</v>
      </c>
      <c r="Q105" s="67" t="s">
        <v>1415</v>
      </c>
      <c r="R105" s="67" t="s">
        <v>104</v>
      </c>
      <c r="S105" s="67" t="s">
        <v>104</v>
      </c>
      <c r="T105" s="177" t="s">
        <v>2998</v>
      </c>
      <c r="U105" s="67" t="s">
        <v>119</v>
      </c>
      <c r="V105" s="67" t="s">
        <v>2944</v>
      </c>
      <c r="W105" s="175" t="s">
        <v>2865</v>
      </c>
      <c r="X105" s="67" t="s">
        <v>2602</v>
      </c>
      <c r="Y105" s="67" t="s">
        <v>2866</v>
      </c>
      <c r="Z105" s="67" t="s">
        <v>2603</v>
      </c>
      <c r="AA105" s="175" t="s">
        <v>2947</v>
      </c>
      <c r="AB105" s="175" t="s">
        <v>3014</v>
      </c>
      <c r="AC105" s="175" t="s">
        <v>3015</v>
      </c>
      <c r="AD105" s="175" t="s">
        <v>3016</v>
      </c>
      <c r="AE105" s="175" t="s">
        <v>3017</v>
      </c>
      <c r="AF105" s="176"/>
      <c r="AG105" s="176"/>
      <c r="AH105" s="176"/>
      <c r="AI105" s="67"/>
      <c r="AJ105" s="67"/>
      <c r="AK105" s="67"/>
      <c r="AL105" s="67"/>
      <c r="AM105" s="176"/>
      <c r="AN105" s="176"/>
      <c r="AO105" s="67"/>
      <c r="AP105" s="67" t="s">
        <v>2867</v>
      </c>
      <c r="AQ105" s="67" t="s">
        <v>2868</v>
      </c>
      <c r="AR105" s="175"/>
      <c r="AS105" s="175" t="s">
        <v>2869</v>
      </c>
      <c r="AT105" s="175" t="s">
        <v>2867</v>
      </c>
      <c r="AU105" s="175"/>
      <c r="AV105" s="178">
        <v>0</v>
      </c>
      <c r="AW105" s="67"/>
      <c r="AX105" s="175" t="s">
        <v>2867</v>
      </c>
      <c r="AY105" s="175" t="s">
        <v>2870</v>
      </c>
      <c r="AZ105" s="175" t="s">
        <v>2871</v>
      </c>
      <c r="BA105" s="175"/>
      <c r="BB105" s="175"/>
      <c r="BC105" s="175" t="s">
        <v>2859</v>
      </c>
      <c r="BD105" s="175" t="s">
        <v>2872</v>
      </c>
      <c r="BE105" s="175" t="s">
        <v>2873</v>
      </c>
      <c r="BF105" s="175" t="s">
        <v>2867</v>
      </c>
      <c r="BG105" s="67"/>
      <c r="BH105" s="179"/>
      <c r="BI105" s="175" t="s">
        <v>3027</v>
      </c>
      <c r="BJ105" s="175" t="s">
        <v>3692</v>
      </c>
      <c r="BK105" s="175" t="s">
        <v>2867</v>
      </c>
      <c r="BL105" s="175"/>
      <c r="BM105" s="175" t="s">
        <v>3005</v>
      </c>
      <c r="BN105" s="175" t="s">
        <v>3006</v>
      </c>
      <c r="BO105" s="180" t="s">
        <v>2879</v>
      </c>
      <c r="BP105" s="67" t="s">
        <v>2867</v>
      </c>
      <c r="BQ105" s="175" t="s">
        <v>1477</v>
      </c>
      <c r="BR105" s="177" t="s">
        <v>144</v>
      </c>
      <c r="BS105" s="177"/>
      <c r="BT105" s="67" t="s">
        <v>2867</v>
      </c>
      <c r="BU105" s="175"/>
      <c r="BV105" s="176"/>
      <c r="BW105" s="67" t="s">
        <v>2878</v>
      </c>
      <c r="BX105" s="175" t="s">
        <v>3693</v>
      </c>
      <c r="BY105" s="175" t="s">
        <v>1996</v>
      </c>
      <c r="BZ105" s="177"/>
      <c r="CA105" s="175" t="s">
        <v>3694</v>
      </c>
      <c r="CB105" s="175"/>
      <c r="CC105" s="177"/>
      <c r="CD105" s="177"/>
      <c r="CE105" s="67"/>
      <c r="CF105" s="67"/>
      <c r="CG105" s="177"/>
      <c r="CH105" s="176"/>
      <c r="CI105" s="176"/>
      <c r="CJ105" s="175"/>
      <c r="CK105" s="67" t="s">
        <v>2867</v>
      </c>
      <c r="CL105" s="175"/>
      <c r="CM105" s="175"/>
      <c r="CN105" s="175"/>
      <c r="CO105" s="175"/>
      <c r="CP105" s="67" t="s">
        <v>1812</v>
      </c>
      <c r="CQ105" s="175" t="s">
        <v>3027</v>
      </c>
      <c r="CR105" s="175" t="s">
        <v>3695</v>
      </c>
      <c r="CS105" s="67" t="s">
        <v>1812</v>
      </c>
      <c r="CT105" s="175" t="s">
        <v>3027</v>
      </c>
      <c r="CU105" s="175"/>
      <c r="CV105" s="181" t="s">
        <v>2879</v>
      </c>
      <c r="CW105" s="67"/>
      <c r="CX105" s="182"/>
      <c r="CY105" s="175" t="s">
        <v>2880</v>
      </c>
      <c r="CZ105" s="175"/>
      <c r="DA105" s="175" t="s">
        <v>3420</v>
      </c>
      <c r="DB105" s="175" t="s">
        <v>3420</v>
      </c>
      <c r="DC105" s="175" t="s">
        <v>3421</v>
      </c>
      <c r="DD105" s="175" t="s">
        <v>3540</v>
      </c>
      <c r="DE105" s="176">
        <v>46175</v>
      </c>
      <c r="DF105" s="175"/>
      <c r="DG105" s="182"/>
      <c r="DH105" s="183">
        <v>1023500</v>
      </c>
      <c r="DI105" s="67"/>
      <c r="DJ105" s="67"/>
      <c r="DK105" s="67"/>
      <c r="DL105" s="67"/>
      <c r="DM105" s="67"/>
      <c r="DN105" s="183">
        <v>0</v>
      </c>
      <c r="DO105" s="183">
        <v>0</v>
      </c>
      <c r="DP105" s="67" t="s">
        <v>2867</v>
      </c>
      <c r="DQ105" s="175"/>
      <c r="DR105" s="175"/>
      <c r="DS105" s="175" t="s">
        <v>2882</v>
      </c>
      <c r="DT105" s="175"/>
      <c r="DU105" s="175"/>
      <c r="DV105" s="175" t="s">
        <v>2883</v>
      </c>
      <c r="DW105" s="175" t="s">
        <v>2884</v>
      </c>
      <c r="DX105" s="175" t="s">
        <v>2879</v>
      </c>
    </row>
    <row r="106" spans="1:128" ht="19.5" customHeight="1">
      <c r="A106" s="173"/>
      <c r="B106" s="174" t="s">
        <v>3696</v>
      </c>
      <c r="C106" s="67"/>
      <c r="D106" s="67"/>
      <c r="E106" s="174" t="s">
        <v>3697</v>
      </c>
      <c r="F106" s="174" t="s">
        <v>2645</v>
      </c>
      <c r="G106" s="175" t="s">
        <v>3698</v>
      </c>
      <c r="H106" s="174" t="s">
        <v>2994</v>
      </c>
      <c r="I106" s="174" t="s">
        <v>2995</v>
      </c>
      <c r="J106" s="175" t="s">
        <v>2859</v>
      </c>
      <c r="K106" s="176">
        <v>46175</v>
      </c>
      <c r="L106" s="67" t="s">
        <v>2916</v>
      </c>
      <c r="M106" s="175" t="s">
        <v>2648</v>
      </c>
      <c r="N106" s="67" t="s">
        <v>2648</v>
      </c>
      <c r="O106" s="67" t="s">
        <v>2933</v>
      </c>
      <c r="P106" s="67" t="s">
        <v>2934</v>
      </c>
      <c r="Q106" s="67"/>
      <c r="R106" s="67"/>
      <c r="S106" s="67" t="s">
        <v>103</v>
      </c>
      <c r="T106" s="177" t="s">
        <v>2998</v>
      </c>
      <c r="U106" s="67" t="s">
        <v>1270</v>
      </c>
      <c r="V106" s="67" t="s">
        <v>2975</v>
      </c>
      <c r="W106" s="175" t="s">
        <v>2865</v>
      </c>
      <c r="X106" s="67" t="s">
        <v>2639</v>
      </c>
      <c r="Y106" s="67" t="s">
        <v>2866</v>
      </c>
      <c r="Z106" s="67" t="s">
        <v>2640</v>
      </c>
      <c r="AA106" s="175" t="s">
        <v>2947</v>
      </c>
      <c r="AB106" s="175" t="s">
        <v>3699</v>
      </c>
      <c r="AC106" s="175" t="s">
        <v>3700</v>
      </c>
      <c r="AD106" s="175" t="s">
        <v>3701</v>
      </c>
      <c r="AE106" s="175" t="s">
        <v>3702</v>
      </c>
      <c r="AF106" s="176"/>
      <c r="AG106" s="176"/>
      <c r="AH106" s="176"/>
      <c r="AI106" s="67"/>
      <c r="AJ106" s="67"/>
      <c r="AK106" s="67" t="s">
        <v>2867</v>
      </c>
      <c r="AL106" s="67"/>
      <c r="AM106" s="176"/>
      <c r="AN106" s="176"/>
      <c r="AO106" s="67"/>
      <c r="AP106" s="67" t="s">
        <v>2867</v>
      </c>
      <c r="AQ106" s="67" t="s">
        <v>2868</v>
      </c>
      <c r="AR106" s="175"/>
      <c r="AS106" s="175" t="s">
        <v>2869</v>
      </c>
      <c r="AT106" s="175" t="s">
        <v>2867</v>
      </c>
      <c r="AU106" s="175"/>
      <c r="AV106" s="178">
        <v>0</v>
      </c>
      <c r="AW106" s="67"/>
      <c r="AX106" s="175" t="s">
        <v>2867</v>
      </c>
      <c r="AY106" s="175" t="s">
        <v>2870</v>
      </c>
      <c r="AZ106" s="175" t="s">
        <v>2871</v>
      </c>
      <c r="BA106" s="175"/>
      <c r="BB106" s="175"/>
      <c r="BC106" s="175" t="s">
        <v>2859</v>
      </c>
      <c r="BD106" s="175" t="s">
        <v>2872</v>
      </c>
      <c r="BE106" s="175" t="s">
        <v>2873</v>
      </c>
      <c r="BF106" s="175" t="s">
        <v>2867</v>
      </c>
      <c r="BG106" s="67"/>
      <c r="BH106" s="179"/>
      <c r="BI106" s="175" t="s">
        <v>2867</v>
      </c>
      <c r="BJ106" s="175"/>
      <c r="BK106" s="175" t="s">
        <v>2867</v>
      </c>
      <c r="BL106" s="175"/>
      <c r="BM106" s="175" t="s">
        <v>3005</v>
      </c>
      <c r="BN106" s="175" t="s">
        <v>3006</v>
      </c>
      <c r="BO106" s="180" t="s">
        <v>2879</v>
      </c>
      <c r="BP106" s="67" t="s">
        <v>2867</v>
      </c>
      <c r="BQ106" s="175" t="s">
        <v>1477</v>
      </c>
      <c r="BR106" s="177" t="s">
        <v>144</v>
      </c>
      <c r="BS106" s="177"/>
      <c r="BT106" s="67" t="s">
        <v>2867</v>
      </c>
      <c r="BU106" s="175"/>
      <c r="BV106" s="176"/>
      <c r="BW106" s="67" t="s">
        <v>2878</v>
      </c>
      <c r="BX106" s="175" t="s">
        <v>3703</v>
      </c>
      <c r="BY106" s="175" t="s">
        <v>1996</v>
      </c>
      <c r="BZ106" s="177"/>
      <c r="CA106" s="175"/>
      <c r="CB106" s="175"/>
      <c r="CC106" s="177"/>
      <c r="CD106" s="177"/>
      <c r="CE106" s="67"/>
      <c r="CF106" s="67"/>
      <c r="CG106" s="177"/>
      <c r="CH106" s="176"/>
      <c r="CI106" s="176"/>
      <c r="CJ106" s="175"/>
      <c r="CK106" s="67" t="s">
        <v>2867</v>
      </c>
      <c r="CL106" s="175"/>
      <c r="CM106" s="175"/>
      <c r="CN106" s="175"/>
      <c r="CO106" s="175"/>
      <c r="CP106" s="67" t="s">
        <v>1815</v>
      </c>
      <c r="CQ106" s="175" t="s">
        <v>3027</v>
      </c>
      <c r="CR106" s="175"/>
      <c r="CS106" s="67"/>
      <c r="CT106" s="175" t="s">
        <v>2867</v>
      </c>
      <c r="CU106" s="175"/>
      <c r="CV106" s="181" t="s">
        <v>2879</v>
      </c>
      <c r="CW106" s="67"/>
      <c r="CX106" s="182"/>
      <c r="CY106" s="175" t="s">
        <v>2880</v>
      </c>
      <c r="CZ106" s="175"/>
      <c r="DA106" s="175" t="s">
        <v>3420</v>
      </c>
      <c r="DB106" s="175" t="s">
        <v>3420</v>
      </c>
      <c r="DC106" s="175" t="s">
        <v>3704</v>
      </c>
      <c r="DD106" s="175"/>
      <c r="DE106" s="176">
        <v>46176</v>
      </c>
      <c r="DF106" s="175"/>
      <c r="DG106" s="182"/>
      <c r="DH106" s="183">
        <v>1023500</v>
      </c>
      <c r="DI106" s="67"/>
      <c r="DJ106" s="67"/>
      <c r="DK106" s="67"/>
      <c r="DL106" s="67"/>
      <c r="DM106" s="67"/>
      <c r="DN106" s="183">
        <v>0</v>
      </c>
      <c r="DO106" s="183">
        <v>0</v>
      </c>
      <c r="DP106" s="67" t="s">
        <v>2867</v>
      </c>
      <c r="DQ106" s="175"/>
      <c r="DR106" s="175"/>
      <c r="DS106" s="175" t="s">
        <v>2882</v>
      </c>
      <c r="DT106" s="175"/>
      <c r="DU106" s="175"/>
      <c r="DV106" s="175" t="s">
        <v>2883</v>
      </c>
      <c r="DW106" s="175" t="s">
        <v>2884</v>
      </c>
      <c r="DX106" s="175" t="s">
        <v>2879</v>
      </c>
    </row>
    <row r="107" spans="1:128" ht="19.5" customHeight="1">
      <c r="A107" s="173"/>
      <c r="B107" s="174" t="s">
        <v>3705</v>
      </c>
      <c r="C107" s="67"/>
      <c r="D107" s="67"/>
      <c r="E107" s="189" t="s">
        <v>3706</v>
      </c>
      <c r="F107" s="174" t="s">
        <v>2646</v>
      </c>
      <c r="G107" s="175" t="s">
        <v>3707</v>
      </c>
      <c r="H107" s="189" t="s">
        <v>2994</v>
      </c>
      <c r="I107" s="189" t="s">
        <v>2995</v>
      </c>
      <c r="J107" s="175" t="s">
        <v>2859</v>
      </c>
      <c r="K107" s="176">
        <v>46175</v>
      </c>
      <c r="L107" s="67" t="s">
        <v>2932</v>
      </c>
      <c r="M107" s="175" t="s">
        <v>2648</v>
      </c>
      <c r="N107" s="67" t="s">
        <v>2648</v>
      </c>
      <c r="O107" s="67" t="s">
        <v>2933</v>
      </c>
      <c r="P107" s="67" t="s">
        <v>2934</v>
      </c>
      <c r="Q107" s="67"/>
      <c r="R107" s="67"/>
      <c r="S107" s="67" t="s">
        <v>103</v>
      </c>
      <c r="T107" s="177" t="s">
        <v>2998</v>
      </c>
      <c r="U107" s="67" t="s">
        <v>1270</v>
      </c>
      <c r="V107" s="67" t="s">
        <v>2975</v>
      </c>
      <c r="W107" s="175" t="s">
        <v>2865</v>
      </c>
      <c r="X107" s="67" t="s">
        <v>2641</v>
      </c>
      <c r="Y107" s="67" t="s">
        <v>2866</v>
      </c>
      <c r="Z107" s="67" t="s">
        <v>2642</v>
      </c>
      <c r="AA107" s="175" t="s">
        <v>2947</v>
      </c>
      <c r="AB107" s="175" t="s">
        <v>3708</v>
      </c>
      <c r="AC107" s="175" t="s">
        <v>3709</v>
      </c>
      <c r="AD107" s="175" t="s">
        <v>3710</v>
      </c>
      <c r="AE107" s="175" t="s">
        <v>3711</v>
      </c>
      <c r="AF107" s="176"/>
      <c r="AG107" s="176"/>
      <c r="AH107" s="176"/>
      <c r="AI107" s="67"/>
      <c r="AJ107" s="67"/>
      <c r="AK107" s="67" t="s">
        <v>2867</v>
      </c>
      <c r="AL107" s="67"/>
      <c r="AM107" s="176"/>
      <c r="AN107" s="176"/>
      <c r="AO107" s="67"/>
      <c r="AP107" s="67" t="s">
        <v>2867</v>
      </c>
      <c r="AQ107" s="67" t="s">
        <v>2868</v>
      </c>
      <c r="AR107" s="175"/>
      <c r="AS107" s="175" t="s">
        <v>2869</v>
      </c>
      <c r="AT107" s="175" t="s">
        <v>2867</v>
      </c>
      <c r="AU107" s="175"/>
      <c r="AV107" s="178">
        <v>0</v>
      </c>
      <c r="AW107" s="67"/>
      <c r="AX107" s="175" t="s">
        <v>2867</v>
      </c>
      <c r="AY107" s="175" t="s">
        <v>2870</v>
      </c>
      <c r="AZ107" s="175" t="s">
        <v>2871</v>
      </c>
      <c r="BA107" s="175"/>
      <c r="BB107" s="175"/>
      <c r="BC107" s="175" t="s">
        <v>2859</v>
      </c>
      <c r="BD107" s="175" t="s">
        <v>2872</v>
      </c>
      <c r="BE107" s="175" t="s">
        <v>2873</v>
      </c>
      <c r="BF107" s="175" t="s">
        <v>2867</v>
      </c>
      <c r="BG107" s="67"/>
      <c r="BH107" s="179"/>
      <c r="BI107" s="175" t="s">
        <v>2867</v>
      </c>
      <c r="BJ107" s="175"/>
      <c r="BK107" s="175" t="s">
        <v>2867</v>
      </c>
      <c r="BL107" s="175"/>
      <c r="BM107" s="175" t="s">
        <v>3005</v>
      </c>
      <c r="BN107" s="175" t="s">
        <v>3006</v>
      </c>
      <c r="BO107" s="180" t="s">
        <v>2879</v>
      </c>
      <c r="BP107" s="67" t="s">
        <v>2867</v>
      </c>
      <c r="BQ107" s="175" t="s">
        <v>1477</v>
      </c>
      <c r="BR107" s="177" t="s">
        <v>144</v>
      </c>
      <c r="BS107" s="177"/>
      <c r="BT107" s="67" t="s">
        <v>2867</v>
      </c>
      <c r="BU107" s="175"/>
      <c r="BV107" s="176"/>
      <c r="BW107" s="67" t="s">
        <v>2878</v>
      </c>
      <c r="BX107" s="175" t="s">
        <v>3712</v>
      </c>
      <c r="BY107" s="175" t="s">
        <v>1996</v>
      </c>
      <c r="BZ107" s="177"/>
      <c r="CA107" s="175"/>
      <c r="CB107" s="175"/>
      <c r="CC107" s="177"/>
      <c r="CD107" s="177"/>
      <c r="CE107" s="67"/>
      <c r="CF107" s="67"/>
      <c r="CG107" s="177"/>
      <c r="CH107" s="176"/>
      <c r="CI107" s="176"/>
      <c r="CJ107" s="175"/>
      <c r="CK107" s="67" t="s">
        <v>2867</v>
      </c>
      <c r="CL107" s="175"/>
      <c r="CM107" s="175"/>
      <c r="CN107" s="175"/>
      <c r="CO107" s="175"/>
      <c r="CP107" s="67" t="s">
        <v>1815</v>
      </c>
      <c r="CQ107" s="175" t="s">
        <v>3027</v>
      </c>
      <c r="CR107" s="175"/>
      <c r="CS107" s="67"/>
      <c r="CT107" s="175" t="s">
        <v>2867</v>
      </c>
      <c r="CU107" s="175"/>
      <c r="CV107" s="181" t="s">
        <v>2879</v>
      </c>
      <c r="CW107" s="67"/>
      <c r="CX107" s="182"/>
      <c r="CY107" s="175" t="s">
        <v>2880</v>
      </c>
      <c r="CZ107" s="175"/>
      <c r="DA107" s="175" t="s">
        <v>3713</v>
      </c>
      <c r="DB107" s="175" t="s">
        <v>3713</v>
      </c>
      <c r="DC107" s="175" t="s">
        <v>3714</v>
      </c>
      <c r="DD107" s="175"/>
      <c r="DE107" s="176">
        <v>46176</v>
      </c>
      <c r="DF107" s="175"/>
      <c r="DG107" s="182"/>
      <c r="DH107" s="183">
        <v>1023500</v>
      </c>
      <c r="DI107" s="67"/>
      <c r="DJ107" s="67"/>
      <c r="DK107" s="67"/>
      <c r="DL107" s="67"/>
      <c r="DM107" s="67"/>
      <c r="DN107" s="183">
        <v>0</v>
      </c>
      <c r="DO107" s="183">
        <v>0</v>
      </c>
      <c r="DP107" s="67" t="s">
        <v>2867</v>
      </c>
      <c r="DQ107" s="175"/>
      <c r="DR107" s="175"/>
      <c r="DS107" s="175" t="s">
        <v>2882</v>
      </c>
      <c r="DT107" s="175"/>
      <c r="DU107" s="175"/>
      <c r="DV107" s="175" t="s">
        <v>2883</v>
      </c>
      <c r="DW107" s="175" t="s">
        <v>2884</v>
      </c>
      <c r="DX107" s="175" t="s">
        <v>2879</v>
      </c>
    </row>
    <row r="108" spans="1:128" ht="19.5" customHeight="1">
      <c r="A108" s="173"/>
      <c r="B108" s="174" t="s">
        <v>3715</v>
      </c>
      <c r="C108" s="67"/>
      <c r="D108" s="67"/>
      <c r="E108" s="190" t="s">
        <v>3706</v>
      </c>
      <c r="F108" s="174" t="s">
        <v>2647</v>
      </c>
      <c r="G108" s="175" t="s">
        <v>3716</v>
      </c>
      <c r="H108" s="190" t="s">
        <v>2994</v>
      </c>
      <c r="I108" s="190" t="s">
        <v>2995</v>
      </c>
      <c r="J108" s="175" t="s">
        <v>2859</v>
      </c>
      <c r="K108" s="176">
        <v>46175</v>
      </c>
      <c r="L108" s="67" t="s">
        <v>2860</v>
      </c>
      <c r="M108" s="175" t="s">
        <v>2648</v>
      </c>
      <c r="N108" s="67" t="s">
        <v>2648</v>
      </c>
      <c r="O108" s="67" t="s">
        <v>2933</v>
      </c>
      <c r="P108" s="67" t="s">
        <v>2934</v>
      </c>
      <c r="Q108" s="67"/>
      <c r="R108" s="67"/>
      <c r="S108" s="67" t="s">
        <v>103</v>
      </c>
      <c r="T108" s="177" t="s">
        <v>2998</v>
      </c>
      <c r="U108" s="67" t="s">
        <v>1270</v>
      </c>
      <c r="V108" s="67" t="s">
        <v>2975</v>
      </c>
      <c r="W108" s="175" t="s">
        <v>2865</v>
      </c>
      <c r="X108" s="67" t="s">
        <v>2643</v>
      </c>
      <c r="Y108" s="67" t="s">
        <v>2866</v>
      </c>
      <c r="Z108" s="67" t="s">
        <v>2644</v>
      </c>
      <c r="AA108" s="175" t="s">
        <v>2947</v>
      </c>
      <c r="AB108" s="175" t="s">
        <v>3717</v>
      </c>
      <c r="AC108" s="175" t="s">
        <v>3718</v>
      </c>
      <c r="AD108" s="175" t="s">
        <v>3719</v>
      </c>
      <c r="AE108" s="175" t="s">
        <v>3720</v>
      </c>
      <c r="AF108" s="176"/>
      <c r="AG108" s="176"/>
      <c r="AH108" s="176"/>
      <c r="AI108" s="67"/>
      <c r="AJ108" s="67"/>
      <c r="AK108" s="67" t="s">
        <v>2867</v>
      </c>
      <c r="AL108" s="67"/>
      <c r="AM108" s="176"/>
      <c r="AN108" s="176"/>
      <c r="AO108" s="67"/>
      <c r="AP108" s="67" t="s">
        <v>2867</v>
      </c>
      <c r="AQ108" s="67" t="s">
        <v>2868</v>
      </c>
      <c r="AR108" s="175"/>
      <c r="AS108" s="175" t="s">
        <v>2869</v>
      </c>
      <c r="AT108" s="175" t="s">
        <v>2867</v>
      </c>
      <c r="AU108" s="175"/>
      <c r="AV108" s="178">
        <v>0</v>
      </c>
      <c r="AW108" s="67"/>
      <c r="AX108" s="175" t="s">
        <v>2867</v>
      </c>
      <c r="AY108" s="175" t="s">
        <v>2870</v>
      </c>
      <c r="AZ108" s="175" t="s">
        <v>2871</v>
      </c>
      <c r="BA108" s="175"/>
      <c r="BB108" s="175"/>
      <c r="BC108" s="175" t="s">
        <v>2859</v>
      </c>
      <c r="BD108" s="175" t="s">
        <v>2872</v>
      </c>
      <c r="BE108" s="175" t="s">
        <v>2873</v>
      </c>
      <c r="BF108" s="175" t="s">
        <v>2867</v>
      </c>
      <c r="BG108" s="67"/>
      <c r="BH108" s="179"/>
      <c r="BI108" s="175" t="s">
        <v>2867</v>
      </c>
      <c r="BJ108" s="175"/>
      <c r="BK108" s="175" t="s">
        <v>2867</v>
      </c>
      <c r="BL108" s="175"/>
      <c r="BM108" s="175" t="s">
        <v>3005</v>
      </c>
      <c r="BN108" s="175" t="s">
        <v>3006</v>
      </c>
      <c r="BO108" s="180" t="s">
        <v>2879</v>
      </c>
      <c r="BP108" s="67" t="s">
        <v>2867</v>
      </c>
      <c r="BQ108" s="175" t="s">
        <v>1477</v>
      </c>
      <c r="BR108" s="177" t="s">
        <v>144</v>
      </c>
      <c r="BS108" s="177"/>
      <c r="BT108" s="67" t="s">
        <v>2867</v>
      </c>
      <c r="BU108" s="175"/>
      <c r="BV108" s="176"/>
      <c r="BW108" s="67" t="s">
        <v>2878</v>
      </c>
      <c r="BX108" s="175" t="s">
        <v>3721</v>
      </c>
      <c r="BY108" s="175" t="s">
        <v>1996</v>
      </c>
      <c r="BZ108" s="177"/>
      <c r="CA108" s="175"/>
      <c r="CB108" s="175"/>
      <c r="CC108" s="177"/>
      <c r="CD108" s="177"/>
      <c r="CE108" s="67"/>
      <c r="CF108" s="67"/>
      <c r="CG108" s="177"/>
      <c r="CH108" s="176"/>
      <c r="CI108" s="176"/>
      <c r="CJ108" s="175"/>
      <c r="CK108" s="67" t="s">
        <v>2867</v>
      </c>
      <c r="CL108" s="175"/>
      <c r="CM108" s="175"/>
      <c r="CN108" s="175"/>
      <c r="CO108" s="175"/>
      <c r="CP108" s="67" t="s">
        <v>1815</v>
      </c>
      <c r="CQ108" s="175" t="s">
        <v>3027</v>
      </c>
      <c r="CR108" s="175"/>
      <c r="CS108" s="67"/>
      <c r="CT108" s="175" t="s">
        <v>2867</v>
      </c>
      <c r="CU108" s="175"/>
      <c r="CV108" s="181" t="s">
        <v>2879</v>
      </c>
      <c r="CW108" s="67"/>
      <c r="CX108" s="182"/>
      <c r="CY108" s="175" t="s">
        <v>2880</v>
      </c>
      <c r="CZ108" s="175"/>
      <c r="DA108" s="175" t="s">
        <v>3420</v>
      </c>
      <c r="DB108" s="175" t="s">
        <v>3420</v>
      </c>
      <c r="DC108" s="175" t="s">
        <v>3722</v>
      </c>
      <c r="DD108" s="175"/>
      <c r="DE108" s="176">
        <v>46176</v>
      </c>
      <c r="DF108" s="175"/>
      <c r="DG108" s="182"/>
      <c r="DH108" s="183">
        <v>1023500</v>
      </c>
      <c r="DI108" s="67"/>
      <c r="DJ108" s="67"/>
      <c r="DK108" s="67"/>
      <c r="DL108" s="67"/>
      <c r="DM108" s="67"/>
      <c r="DN108" s="183">
        <v>0</v>
      </c>
      <c r="DO108" s="183">
        <v>0</v>
      </c>
      <c r="DP108" s="67" t="s">
        <v>2867</v>
      </c>
      <c r="DQ108" s="175"/>
      <c r="DR108" s="175"/>
      <c r="DS108" s="175" t="s">
        <v>2882</v>
      </c>
      <c r="DT108" s="175"/>
      <c r="DU108" s="175"/>
      <c r="DV108" s="175" t="s">
        <v>2883</v>
      </c>
      <c r="DW108" s="175" t="s">
        <v>2884</v>
      </c>
      <c r="DX108" s="175" t="s">
        <v>2879</v>
      </c>
    </row>
    <row r="109" spans="1:128" ht="19.5" customHeight="1">
      <c r="A109" s="173"/>
      <c r="B109" s="174" t="s">
        <v>3723</v>
      </c>
      <c r="C109" s="67"/>
      <c r="D109" s="67"/>
      <c r="E109" s="174" t="s">
        <v>3724</v>
      </c>
      <c r="F109" s="174" t="s">
        <v>2530</v>
      </c>
      <c r="G109" s="175" t="s">
        <v>3725</v>
      </c>
      <c r="H109" s="174" t="s">
        <v>2994</v>
      </c>
      <c r="I109" s="174" t="s">
        <v>2995</v>
      </c>
      <c r="J109" s="175" t="s">
        <v>2859</v>
      </c>
      <c r="K109" s="176">
        <v>46175</v>
      </c>
      <c r="L109" s="67" t="s">
        <v>2921</v>
      </c>
      <c r="M109" s="175" t="s">
        <v>2610</v>
      </c>
      <c r="N109" s="67" t="s">
        <v>2610</v>
      </c>
      <c r="O109" s="67" t="s">
        <v>2330</v>
      </c>
      <c r="P109" s="67" t="s">
        <v>2985</v>
      </c>
      <c r="Q109" s="67"/>
      <c r="R109" s="67"/>
      <c r="S109" s="67" t="s">
        <v>1078</v>
      </c>
      <c r="T109" s="177" t="s">
        <v>3124</v>
      </c>
      <c r="U109" s="67" t="s">
        <v>3125</v>
      </c>
      <c r="V109" s="67" t="s">
        <v>2944</v>
      </c>
      <c r="W109" s="175" t="s">
        <v>2865</v>
      </c>
      <c r="X109" s="67" t="s">
        <v>2548</v>
      </c>
      <c r="Y109" s="67" t="s">
        <v>2866</v>
      </c>
      <c r="Z109" s="67" t="s">
        <v>2549</v>
      </c>
      <c r="AA109" s="175" t="s">
        <v>2947</v>
      </c>
      <c r="AB109" s="175" t="s">
        <v>3151</v>
      </c>
      <c r="AC109" s="175" t="s">
        <v>3152</v>
      </c>
      <c r="AD109" s="175" t="s">
        <v>3153</v>
      </c>
      <c r="AE109" s="175" t="s">
        <v>3154</v>
      </c>
      <c r="AF109" s="176"/>
      <c r="AG109" s="176"/>
      <c r="AH109" s="176"/>
      <c r="AI109" s="67"/>
      <c r="AJ109" s="67"/>
      <c r="AK109" s="67" t="s">
        <v>2867</v>
      </c>
      <c r="AL109" s="67"/>
      <c r="AM109" s="176"/>
      <c r="AN109" s="176"/>
      <c r="AO109" s="67"/>
      <c r="AP109" s="67" t="s">
        <v>2867</v>
      </c>
      <c r="AQ109" s="67" t="s">
        <v>2868</v>
      </c>
      <c r="AR109" s="175"/>
      <c r="AS109" s="175" t="s">
        <v>2869</v>
      </c>
      <c r="AT109" s="175" t="s">
        <v>2867</v>
      </c>
      <c r="AU109" s="175"/>
      <c r="AV109" s="178">
        <v>0</v>
      </c>
      <c r="AW109" s="67"/>
      <c r="AX109" s="175" t="s">
        <v>2867</v>
      </c>
      <c r="AY109" s="175" t="s">
        <v>2870</v>
      </c>
      <c r="AZ109" s="175" t="s">
        <v>2871</v>
      </c>
      <c r="BA109" s="175"/>
      <c r="BB109" s="175"/>
      <c r="BC109" s="175" t="s">
        <v>2859</v>
      </c>
      <c r="BD109" s="175" t="s">
        <v>2872</v>
      </c>
      <c r="BE109" s="175" t="s">
        <v>2873</v>
      </c>
      <c r="BF109" s="175" t="s">
        <v>2867</v>
      </c>
      <c r="BG109" s="67"/>
      <c r="BH109" s="179"/>
      <c r="BI109" s="175" t="s">
        <v>2867</v>
      </c>
      <c r="BJ109" s="175"/>
      <c r="BK109" s="175" t="s">
        <v>2867</v>
      </c>
      <c r="BL109" s="175"/>
      <c r="BM109" s="175" t="s">
        <v>3155</v>
      </c>
      <c r="BN109" s="175" t="s">
        <v>3156</v>
      </c>
      <c r="BO109" s="180" t="s">
        <v>2879</v>
      </c>
      <c r="BP109" s="67" t="s">
        <v>2867</v>
      </c>
      <c r="BQ109" s="175" t="s">
        <v>1477</v>
      </c>
      <c r="BR109" s="177" t="s">
        <v>144</v>
      </c>
      <c r="BS109" s="177"/>
      <c r="BT109" s="67" t="s">
        <v>2867</v>
      </c>
      <c r="BU109" s="175"/>
      <c r="BV109" s="176"/>
      <c r="BW109" s="67" t="s">
        <v>2878</v>
      </c>
      <c r="BX109" s="175" t="s">
        <v>3726</v>
      </c>
      <c r="BY109" s="175" t="s">
        <v>2003</v>
      </c>
      <c r="BZ109" s="177"/>
      <c r="CA109" s="175"/>
      <c r="CB109" s="175"/>
      <c r="CC109" s="177"/>
      <c r="CD109" s="177"/>
      <c r="CE109" s="67"/>
      <c r="CF109" s="67"/>
      <c r="CG109" s="177"/>
      <c r="CH109" s="176"/>
      <c r="CI109" s="176"/>
      <c r="CJ109" s="175"/>
      <c r="CK109" s="67" t="s">
        <v>2867</v>
      </c>
      <c r="CL109" s="175"/>
      <c r="CM109" s="175"/>
      <c r="CN109" s="175"/>
      <c r="CO109" s="175"/>
      <c r="CP109" s="67" t="s">
        <v>1811</v>
      </c>
      <c r="CQ109" s="175" t="s">
        <v>3027</v>
      </c>
      <c r="CR109" s="175"/>
      <c r="CS109" s="67" t="s">
        <v>1811</v>
      </c>
      <c r="CT109" s="175" t="s">
        <v>3027</v>
      </c>
      <c r="CU109" s="175"/>
      <c r="CV109" s="181" t="s">
        <v>2879</v>
      </c>
      <c r="CW109" s="67"/>
      <c r="CX109" s="182"/>
      <c r="CY109" s="175" t="s">
        <v>2880</v>
      </c>
      <c r="CZ109" s="175"/>
      <c r="DA109" s="175" t="s">
        <v>3420</v>
      </c>
      <c r="DB109" s="175" t="s">
        <v>3420</v>
      </c>
      <c r="DC109" s="175" t="s">
        <v>3679</v>
      </c>
      <c r="DD109" s="175"/>
      <c r="DE109" s="176">
        <v>46176</v>
      </c>
      <c r="DF109" s="175"/>
      <c r="DG109" s="182"/>
      <c r="DH109" s="183">
        <v>1002200</v>
      </c>
      <c r="DI109" s="67"/>
      <c r="DJ109" s="67"/>
      <c r="DK109" s="67"/>
      <c r="DL109" s="67"/>
      <c r="DM109" s="67"/>
      <c r="DN109" s="183">
        <v>0</v>
      </c>
      <c r="DO109" s="183">
        <v>0</v>
      </c>
      <c r="DP109" s="67" t="s">
        <v>2867</v>
      </c>
      <c r="DQ109" s="175"/>
      <c r="DR109" s="175"/>
      <c r="DS109" s="175" t="s">
        <v>2882</v>
      </c>
      <c r="DT109" s="175"/>
      <c r="DU109" s="175"/>
      <c r="DV109" s="175" t="s">
        <v>2883</v>
      </c>
      <c r="DW109" s="175" t="s">
        <v>2884</v>
      </c>
      <c r="DX109" s="175" t="s">
        <v>2879</v>
      </c>
    </row>
    <row r="110" spans="1:128" ht="19.5" customHeight="1">
      <c r="A110" s="173"/>
      <c r="B110" s="174" t="s">
        <v>3727</v>
      </c>
      <c r="C110" s="67"/>
      <c r="D110" s="67"/>
      <c r="E110" s="174" t="s">
        <v>3728</v>
      </c>
      <c r="F110" s="174" t="s">
        <v>2536</v>
      </c>
      <c r="G110" s="175" t="s">
        <v>3729</v>
      </c>
      <c r="H110" s="174" t="s">
        <v>2994</v>
      </c>
      <c r="I110" s="174" t="s">
        <v>2995</v>
      </c>
      <c r="J110" s="175" t="s">
        <v>2859</v>
      </c>
      <c r="K110" s="176">
        <v>46175</v>
      </c>
      <c r="L110" s="67" t="s">
        <v>2889</v>
      </c>
      <c r="M110" s="175" t="s">
        <v>2612</v>
      </c>
      <c r="N110" s="67" t="s">
        <v>2612</v>
      </c>
      <c r="O110" s="67" t="s">
        <v>2327</v>
      </c>
      <c r="P110" s="67" t="s">
        <v>2890</v>
      </c>
      <c r="Q110" s="67"/>
      <c r="R110" s="67"/>
      <c r="S110" s="67" t="s">
        <v>954</v>
      </c>
      <c r="T110" s="177" t="s">
        <v>3124</v>
      </c>
      <c r="U110" s="67" t="s">
        <v>3125</v>
      </c>
      <c r="V110" s="67" t="s">
        <v>2891</v>
      </c>
      <c r="W110" s="175" t="s">
        <v>2865</v>
      </c>
      <c r="X110" s="67" t="s">
        <v>2560</v>
      </c>
      <c r="Y110" s="67" t="s">
        <v>2866</v>
      </c>
      <c r="Z110" s="67" t="s">
        <v>2561</v>
      </c>
      <c r="AA110" s="175" t="s">
        <v>2947</v>
      </c>
      <c r="AB110" s="175" t="s">
        <v>3730</v>
      </c>
      <c r="AC110" s="175" t="s">
        <v>3731</v>
      </c>
      <c r="AD110" s="175" t="s">
        <v>3732</v>
      </c>
      <c r="AE110" s="175" t="s">
        <v>3733</v>
      </c>
      <c r="AF110" s="176"/>
      <c r="AG110" s="176"/>
      <c r="AH110" s="176"/>
      <c r="AI110" s="67"/>
      <c r="AJ110" s="67"/>
      <c r="AK110" s="67" t="s">
        <v>2867</v>
      </c>
      <c r="AL110" s="67"/>
      <c r="AM110" s="176"/>
      <c r="AN110" s="176"/>
      <c r="AO110" s="67"/>
      <c r="AP110" s="67" t="s">
        <v>2867</v>
      </c>
      <c r="AQ110" s="67" t="s">
        <v>2868</v>
      </c>
      <c r="AR110" s="175"/>
      <c r="AS110" s="175" t="s">
        <v>2869</v>
      </c>
      <c r="AT110" s="175" t="s">
        <v>2867</v>
      </c>
      <c r="AU110" s="175"/>
      <c r="AV110" s="178">
        <v>0</v>
      </c>
      <c r="AW110" s="67"/>
      <c r="AX110" s="175" t="s">
        <v>2867</v>
      </c>
      <c r="AY110" s="175" t="s">
        <v>2870</v>
      </c>
      <c r="AZ110" s="175" t="s">
        <v>2871</v>
      </c>
      <c r="BA110" s="175"/>
      <c r="BB110" s="175"/>
      <c r="BC110" s="175" t="s">
        <v>2859</v>
      </c>
      <c r="BD110" s="175" t="s">
        <v>2872</v>
      </c>
      <c r="BE110" s="175" t="s">
        <v>2873</v>
      </c>
      <c r="BF110" s="175" t="s">
        <v>2867</v>
      </c>
      <c r="BG110" s="67"/>
      <c r="BH110" s="179"/>
      <c r="BI110" s="175" t="s">
        <v>2867</v>
      </c>
      <c r="BJ110" s="175"/>
      <c r="BK110" s="175" t="s">
        <v>2867</v>
      </c>
      <c r="BL110" s="175"/>
      <c r="BM110" s="175" t="s">
        <v>3734</v>
      </c>
      <c r="BN110" s="175" t="s">
        <v>3735</v>
      </c>
      <c r="BO110" s="180"/>
      <c r="BP110" s="67" t="s">
        <v>2867</v>
      </c>
      <c r="BQ110" s="175" t="s">
        <v>2523</v>
      </c>
      <c r="BR110" s="177" t="s">
        <v>2332</v>
      </c>
      <c r="BS110" s="177"/>
      <c r="BT110" s="67" t="s">
        <v>2867</v>
      </c>
      <c r="BU110" s="175"/>
      <c r="BV110" s="176"/>
      <c r="BW110" s="67" t="s">
        <v>2878</v>
      </c>
      <c r="BX110" s="175" t="s">
        <v>3736</v>
      </c>
      <c r="BY110" s="175" t="s">
        <v>2003</v>
      </c>
      <c r="BZ110" s="177"/>
      <c r="CA110" s="175"/>
      <c r="CB110" s="175"/>
      <c r="CC110" s="177"/>
      <c r="CD110" s="177"/>
      <c r="CE110" s="67"/>
      <c r="CF110" s="67"/>
      <c r="CG110" s="177"/>
      <c r="CH110" s="176"/>
      <c r="CI110" s="176"/>
      <c r="CJ110" s="175"/>
      <c r="CK110" s="67" t="s">
        <v>2867</v>
      </c>
      <c r="CL110" s="175"/>
      <c r="CM110" s="175"/>
      <c r="CN110" s="175"/>
      <c r="CO110" s="175"/>
      <c r="CP110" s="67" t="s">
        <v>2400</v>
      </c>
      <c r="CQ110" s="175" t="s">
        <v>3027</v>
      </c>
      <c r="CR110" s="175"/>
      <c r="CS110" s="67"/>
      <c r="CT110" s="175" t="s">
        <v>2867</v>
      </c>
      <c r="CU110" s="175"/>
      <c r="CV110" s="181" t="s">
        <v>2879</v>
      </c>
      <c r="CW110" s="67"/>
      <c r="CX110" s="182"/>
      <c r="CY110" s="175" t="s">
        <v>2880</v>
      </c>
      <c r="CZ110" s="175"/>
      <c r="DA110" s="175" t="s">
        <v>3420</v>
      </c>
      <c r="DB110" s="175" t="s">
        <v>3420</v>
      </c>
      <c r="DC110" s="175" t="s">
        <v>3737</v>
      </c>
      <c r="DD110" s="175"/>
      <c r="DE110" s="176">
        <v>46176</v>
      </c>
      <c r="DF110" s="175"/>
      <c r="DG110" s="182"/>
      <c r="DH110" s="183">
        <v>911700</v>
      </c>
      <c r="DI110" s="67"/>
      <c r="DJ110" s="67"/>
      <c r="DK110" s="67"/>
      <c r="DL110" s="67"/>
      <c r="DM110" s="67"/>
      <c r="DN110" s="183">
        <v>0</v>
      </c>
      <c r="DO110" s="183">
        <v>0</v>
      </c>
      <c r="DP110" s="67" t="s">
        <v>2867</v>
      </c>
      <c r="DQ110" s="175"/>
      <c r="DR110" s="175"/>
      <c r="DS110" s="175" t="s">
        <v>2882</v>
      </c>
      <c r="DT110" s="175"/>
      <c r="DU110" s="175"/>
      <c r="DV110" s="175" t="s">
        <v>2883</v>
      </c>
      <c r="DW110" s="175" t="s">
        <v>2884</v>
      </c>
      <c r="DX110" s="175" t="s">
        <v>2879</v>
      </c>
    </row>
    <row r="111" spans="1:128" ht="19.5" customHeight="1">
      <c r="A111" s="173"/>
      <c r="B111" s="174" t="s">
        <v>3738</v>
      </c>
      <c r="C111" s="67"/>
      <c r="D111" s="67"/>
      <c r="E111" s="174" t="s">
        <v>3739</v>
      </c>
      <c r="F111" s="174" t="s">
        <v>2531</v>
      </c>
      <c r="G111" s="175" t="s">
        <v>3740</v>
      </c>
      <c r="H111" s="174" t="s">
        <v>2994</v>
      </c>
      <c r="I111" s="174" t="s">
        <v>2995</v>
      </c>
      <c r="J111" s="175" t="s">
        <v>2859</v>
      </c>
      <c r="K111" s="176">
        <v>46175</v>
      </c>
      <c r="L111" s="67" t="s">
        <v>2921</v>
      </c>
      <c r="M111" s="175" t="s">
        <v>2610</v>
      </c>
      <c r="N111" s="67" t="s">
        <v>2610</v>
      </c>
      <c r="O111" s="67" t="s">
        <v>2330</v>
      </c>
      <c r="P111" s="67" t="s">
        <v>2985</v>
      </c>
      <c r="Q111" s="67"/>
      <c r="R111" s="67"/>
      <c r="S111" s="67" t="s">
        <v>954</v>
      </c>
      <c r="T111" s="177" t="s">
        <v>3124</v>
      </c>
      <c r="U111" s="67" t="s">
        <v>1300</v>
      </c>
      <c r="V111" s="67" t="s">
        <v>3134</v>
      </c>
      <c r="W111" s="175" t="s">
        <v>2865</v>
      </c>
      <c r="X111" s="67" t="s">
        <v>2550</v>
      </c>
      <c r="Y111" s="67" t="s">
        <v>2866</v>
      </c>
      <c r="Z111" s="67" t="s">
        <v>2551</v>
      </c>
      <c r="AA111" s="175" t="s">
        <v>2947</v>
      </c>
      <c r="AB111" s="175" t="s">
        <v>3741</v>
      </c>
      <c r="AC111" s="175" t="s">
        <v>3742</v>
      </c>
      <c r="AD111" s="175" t="s">
        <v>3743</v>
      </c>
      <c r="AE111" s="175" t="s">
        <v>3744</v>
      </c>
      <c r="AF111" s="176"/>
      <c r="AG111" s="176"/>
      <c r="AH111" s="176"/>
      <c r="AI111" s="67"/>
      <c r="AJ111" s="67"/>
      <c r="AK111" s="67" t="s">
        <v>2867</v>
      </c>
      <c r="AL111" s="67"/>
      <c r="AM111" s="176"/>
      <c r="AN111" s="176"/>
      <c r="AO111" s="67"/>
      <c r="AP111" s="67" t="s">
        <v>2867</v>
      </c>
      <c r="AQ111" s="67" t="s">
        <v>2868</v>
      </c>
      <c r="AR111" s="175"/>
      <c r="AS111" s="175" t="s">
        <v>2869</v>
      </c>
      <c r="AT111" s="175" t="s">
        <v>2867</v>
      </c>
      <c r="AU111" s="175"/>
      <c r="AV111" s="178">
        <v>0</v>
      </c>
      <c r="AW111" s="67"/>
      <c r="AX111" s="175" t="s">
        <v>2867</v>
      </c>
      <c r="AY111" s="175" t="s">
        <v>2870</v>
      </c>
      <c r="AZ111" s="175" t="s">
        <v>2871</v>
      </c>
      <c r="BA111" s="175"/>
      <c r="BB111" s="175"/>
      <c r="BC111" s="175" t="s">
        <v>2859</v>
      </c>
      <c r="BD111" s="175" t="s">
        <v>2872</v>
      </c>
      <c r="BE111" s="175" t="s">
        <v>2873</v>
      </c>
      <c r="BF111" s="175" t="s">
        <v>2867</v>
      </c>
      <c r="BG111" s="67"/>
      <c r="BH111" s="179"/>
      <c r="BI111" s="175" t="s">
        <v>2867</v>
      </c>
      <c r="BJ111" s="175"/>
      <c r="BK111" s="175" t="s">
        <v>2867</v>
      </c>
      <c r="BL111" s="175"/>
      <c r="BM111" s="175" t="s">
        <v>3734</v>
      </c>
      <c r="BN111" s="175" t="s">
        <v>3735</v>
      </c>
      <c r="BO111" s="180" t="s">
        <v>2879</v>
      </c>
      <c r="BP111" s="67" t="s">
        <v>2867</v>
      </c>
      <c r="BQ111" s="175" t="s">
        <v>2523</v>
      </c>
      <c r="BR111" s="177" t="s">
        <v>2332</v>
      </c>
      <c r="BS111" s="177"/>
      <c r="BT111" s="67" t="s">
        <v>2867</v>
      </c>
      <c r="BU111" s="175"/>
      <c r="BV111" s="176"/>
      <c r="BW111" s="67" t="s">
        <v>2878</v>
      </c>
      <c r="BX111" s="175" t="s">
        <v>3745</v>
      </c>
      <c r="BY111" s="175" t="s">
        <v>2003</v>
      </c>
      <c r="BZ111" s="177"/>
      <c r="CA111" s="175"/>
      <c r="CB111" s="175"/>
      <c r="CC111" s="177"/>
      <c r="CD111" s="177"/>
      <c r="CE111" s="67"/>
      <c r="CF111" s="67"/>
      <c r="CG111" s="177"/>
      <c r="CH111" s="176"/>
      <c r="CI111" s="176"/>
      <c r="CJ111" s="175"/>
      <c r="CK111" s="67" t="s">
        <v>2867</v>
      </c>
      <c r="CL111" s="175"/>
      <c r="CM111" s="175"/>
      <c r="CN111" s="175"/>
      <c r="CO111" s="175"/>
      <c r="CP111" s="67" t="s">
        <v>2400</v>
      </c>
      <c r="CQ111" s="175" t="s">
        <v>3027</v>
      </c>
      <c r="CR111" s="175" t="s">
        <v>3746</v>
      </c>
      <c r="CS111" s="67"/>
      <c r="CT111" s="175" t="s">
        <v>2867</v>
      </c>
      <c r="CU111" s="175"/>
      <c r="CV111" s="181" t="s">
        <v>2879</v>
      </c>
      <c r="CW111" s="67"/>
      <c r="CX111" s="182"/>
      <c r="CY111" s="175" t="s">
        <v>2880</v>
      </c>
      <c r="CZ111" s="175"/>
      <c r="DA111" s="175" t="s">
        <v>3420</v>
      </c>
      <c r="DB111" s="175" t="s">
        <v>3420</v>
      </c>
      <c r="DC111" s="175" t="s">
        <v>3747</v>
      </c>
      <c r="DD111" s="175"/>
      <c r="DE111" s="176">
        <v>46176</v>
      </c>
      <c r="DF111" s="175"/>
      <c r="DG111" s="182"/>
      <c r="DH111" s="183">
        <v>911700</v>
      </c>
      <c r="DI111" s="67"/>
      <c r="DJ111" s="67"/>
      <c r="DK111" s="67"/>
      <c r="DL111" s="67"/>
      <c r="DM111" s="67"/>
      <c r="DN111" s="183">
        <v>0</v>
      </c>
      <c r="DO111" s="183">
        <v>0</v>
      </c>
      <c r="DP111" s="67" t="s">
        <v>2867</v>
      </c>
      <c r="DQ111" s="175"/>
      <c r="DR111" s="175"/>
      <c r="DS111" s="175" t="s">
        <v>2882</v>
      </c>
      <c r="DT111" s="175"/>
      <c r="DU111" s="175"/>
      <c r="DV111" s="175" t="s">
        <v>2883</v>
      </c>
      <c r="DW111" s="175" t="s">
        <v>2884</v>
      </c>
      <c r="DX111" s="175" t="s">
        <v>2879</v>
      </c>
    </row>
    <row r="112" spans="1:128" ht="19.5" customHeight="1">
      <c r="A112" s="173"/>
      <c r="B112" s="174" t="s">
        <v>3748</v>
      </c>
      <c r="C112" s="67"/>
      <c r="D112" s="67"/>
      <c r="E112" s="174" t="s">
        <v>3749</v>
      </c>
      <c r="F112" s="174" t="s">
        <v>2528</v>
      </c>
      <c r="G112" s="175" t="s">
        <v>3750</v>
      </c>
      <c r="H112" s="174" t="s">
        <v>2994</v>
      </c>
      <c r="I112" s="174" t="s">
        <v>2995</v>
      </c>
      <c r="J112" s="175" t="s">
        <v>2859</v>
      </c>
      <c r="K112" s="176">
        <v>46175</v>
      </c>
      <c r="L112" s="67" t="s">
        <v>2943</v>
      </c>
      <c r="M112" s="175" t="s">
        <v>2610</v>
      </c>
      <c r="N112" s="67" t="s">
        <v>2610</v>
      </c>
      <c r="O112" s="67" t="s">
        <v>2330</v>
      </c>
      <c r="P112" s="67" t="s">
        <v>2985</v>
      </c>
      <c r="Q112" s="67"/>
      <c r="R112" s="67"/>
      <c r="S112" s="67" t="s">
        <v>954</v>
      </c>
      <c r="T112" s="177" t="s">
        <v>3124</v>
      </c>
      <c r="U112" s="67" t="s">
        <v>3125</v>
      </c>
      <c r="V112" s="67" t="s">
        <v>2891</v>
      </c>
      <c r="W112" s="175" t="s">
        <v>2865</v>
      </c>
      <c r="X112" s="67" t="s">
        <v>2544</v>
      </c>
      <c r="Y112" s="67" t="s">
        <v>2866</v>
      </c>
      <c r="Z112" s="67" t="s">
        <v>2545</v>
      </c>
      <c r="AA112" s="175" t="s">
        <v>2947</v>
      </c>
      <c r="AB112" s="175" t="s">
        <v>3730</v>
      </c>
      <c r="AC112" s="175" t="s">
        <v>3731</v>
      </c>
      <c r="AD112" s="175" t="s">
        <v>3732</v>
      </c>
      <c r="AE112" s="175" t="s">
        <v>3733</v>
      </c>
      <c r="AF112" s="176"/>
      <c r="AG112" s="176"/>
      <c r="AH112" s="176"/>
      <c r="AI112" s="67"/>
      <c r="AJ112" s="67"/>
      <c r="AK112" s="67" t="s">
        <v>2867</v>
      </c>
      <c r="AL112" s="67"/>
      <c r="AM112" s="176"/>
      <c r="AN112" s="176"/>
      <c r="AO112" s="67"/>
      <c r="AP112" s="67" t="s">
        <v>2867</v>
      </c>
      <c r="AQ112" s="67" t="s">
        <v>2868</v>
      </c>
      <c r="AR112" s="175"/>
      <c r="AS112" s="175" t="s">
        <v>2869</v>
      </c>
      <c r="AT112" s="175" t="s">
        <v>2867</v>
      </c>
      <c r="AU112" s="175"/>
      <c r="AV112" s="178">
        <v>0</v>
      </c>
      <c r="AW112" s="67"/>
      <c r="AX112" s="175" t="s">
        <v>2867</v>
      </c>
      <c r="AY112" s="175" t="s">
        <v>2870</v>
      </c>
      <c r="AZ112" s="175" t="s">
        <v>2871</v>
      </c>
      <c r="BA112" s="175"/>
      <c r="BB112" s="175"/>
      <c r="BC112" s="175" t="s">
        <v>2859</v>
      </c>
      <c r="BD112" s="175" t="s">
        <v>2872</v>
      </c>
      <c r="BE112" s="175" t="s">
        <v>2873</v>
      </c>
      <c r="BF112" s="175" t="s">
        <v>2867</v>
      </c>
      <c r="BG112" s="67"/>
      <c r="BH112" s="179"/>
      <c r="BI112" s="175" t="s">
        <v>2867</v>
      </c>
      <c r="BJ112" s="175"/>
      <c r="BK112" s="175" t="s">
        <v>2867</v>
      </c>
      <c r="BL112" s="175"/>
      <c r="BM112" s="175" t="s">
        <v>3155</v>
      </c>
      <c r="BN112" s="175" t="s">
        <v>3156</v>
      </c>
      <c r="BO112" s="180"/>
      <c r="BP112" s="67" t="s">
        <v>2867</v>
      </c>
      <c r="BQ112" s="175" t="s">
        <v>1477</v>
      </c>
      <c r="BR112" s="177" t="s">
        <v>144</v>
      </c>
      <c r="BS112" s="177"/>
      <c r="BT112" s="67" t="s">
        <v>2867</v>
      </c>
      <c r="BU112" s="175"/>
      <c r="BV112" s="176"/>
      <c r="BW112" s="67" t="s">
        <v>2878</v>
      </c>
      <c r="BX112" s="175" t="s">
        <v>3751</v>
      </c>
      <c r="BY112" s="175" t="s">
        <v>2003</v>
      </c>
      <c r="BZ112" s="177"/>
      <c r="CA112" s="175"/>
      <c r="CB112" s="175"/>
      <c r="CC112" s="177"/>
      <c r="CD112" s="177"/>
      <c r="CE112" s="67"/>
      <c r="CF112" s="67"/>
      <c r="CG112" s="177"/>
      <c r="CH112" s="176"/>
      <c r="CI112" s="176"/>
      <c r="CJ112" s="175"/>
      <c r="CK112" s="67" t="s">
        <v>2867</v>
      </c>
      <c r="CL112" s="175"/>
      <c r="CM112" s="175"/>
      <c r="CN112" s="175"/>
      <c r="CO112" s="175"/>
      <c r="CP112" s="67" t="s">
        <v>1811</v>
      </c>
      <c r="CQ112" s="175" t="s">
        <v>3027</v>
      </c>
      <c r="CR112" s="175"/>
      <c r="CS112" s="67"/>
      <c r="CT112" s="175" t="s">
        <v>2867</v>
      </c>
      <c r="CU112" s="175"/>
      <c r="CV112" s="181" t="s">
        <v>2879</v>
      </c>
      <c r="CW112" s="67"/>
      <c r="CX112" s="182"/>
      <c r="CY112" s="175" t="s">
        <v>2880</v>
      </c>
      <c r="CZ112" s="175"/>
      <c r="DA112" s="175" t="s">
        <v>3420</v>
      </c>
      <c r="DB112" s="175" t="s">
        <v>3420</v>
      </c>
      <c r="DC112" s="175" t="s">
        <v>3568</v>
      </c>
      <c r="DD112" s="175"/>
      <c r="DE112" s="176">
        <v>46176</v>
      </c>
      <c r="DF112" s="175"/>
      <c r="DG112" s="182"/>
      <c r="DH112" s="183">
        <v>1002200</v>
      </c>
      <c r="DI112" s="67"/>
      <c r="DJ112" s="67"/>
      <c r="DK112" s="67"/>
      <c r="DL112" s="67"/>
      <c r="DM112" s="67"/>
      <c r="DN112" s="183">
        <v>0</v>
      </c>
      <c r="DO112" s="183">
        <v>0</v>
      </c>
      <c r="DP112" s="67" t="s">
        <v>2867</v>
      </c>
      <c r="DQ112" s="175"/>
      <c r="DR112" s="175"/>
      <c r="DS112" s="175" t="s">
        <v>2882</v>
      </c>
      <c r="DT112" s="175"/>
      <c r="DU112" s="175"/>
      <c r="DV112" s="175" t="s">
        <v>2883</v>
      </c>
      <c r="DW112" s="175" t="s">
        <v>2884</v>
      </c>
      <c r="DX112" s="175" t="s">
        <v>2879</v>
      </c>
    </row>
    <row r="113" spans="1:128" ht="19.5" customHeight="1">
      <c r="A113" s="173" t="s">
        <v>3268</v>
      </c>
      <c r="B113" s="174" t="s">
        <v>3752</v>
      </c>
      <c r="C113" s="67"/>
      <c r="D113" s="67"/>
      <c r="E113" s="174" t="s">
        <v>3753</v>
      </c>
      <c r="F113" s="174" t="s">
        <v>2533</v>
      </c>
      <c r="G113" s="175" t="s">
        <v>3754</v>
      </c>
      <c r="H113" s="174" t="s">
        <v>2994</v>
      </c>
      <c r="I113" s="174" t="s">
        <v>2995</v>
      </c>
      <c r="J113" s="175" t="s">
        <v>2859</v>
      </c>
      <c r="K113" s="176">
        <v>46175</v>
      </c>
      <c r="L113" s="67" t="s">
        <v>2969</v>
      </c>
      <c r="M113" s="175" t="s">
        <v>2338</v>
      </c>
      <c r="N113" s="67" t="s">
        <v>2861</v>
      </c>
      <c r="O113" s="67" t="s">
        <v>2328</v>
      </c>
      <c r="P113" s="67" t="s">
        <v>2862</v>
      </c>
      <c r="Q113" s="67"/>
      <c r="R113" s="67"/>
      <c r="S113" s="67" t="s">
        <v>110</v>
      </c>
      <c r="T113" s="177" t="s">
        <v>3124</v>
      </c>
      <c r="U113" s="67" t="s">
        <v>116</v>
      </c>
      <c r="V113" s="67" t="s">
        <v>2975</v>
      </c>
      <c r="W113" s="175" t="s">
        <v>2865</v>
      </c>
      <c r="X113" s="67" t="s">
        <v>2552</v>
      </c>
      <c r="Y113" s="67" t="s">
        <v>2866</v>
      </c>
      <c r="Z113" s="67" t="s">
        <v>2553</v>
      </c>
      <c r="AA113" s="175" t="s">
        <v>2947</v>
      </c>
      <c r="AB113" s="175" t="s">
        <v>3755</v>
      </c>
      <c r="AC113" s="175" t="s">
        <v>3756</v>
      </c>
      <c r="AD113" s="175" t="s">
        <v>3757</v>
      </c>
      <c r="AE113" s="175" t="s">
        <v>3758</v>
      </c>
      <c r="AF113" s="176"/>
      <c r="AG113" s="176"/>
      <c r="AH113" s="176"/>
      <c r="AI113" s="67"/>
      <c r="AJ113" s="67"/>
      <c r="AK113" s="67" t="s">
        <v>2867</v>
      </c>
      <c r="AL113" s="67"/>
      <c r="AM113" s="176"/>
      <c r="AN113" s="176"/>
      <c r="AO113" s="67"/>
      <c r="AP113" s="67" t="s">
        <v>2867</v>
      </c>
      <c r="AQ113" s="67" t="s">
        <v>2868</v>
      </c>
      <c r="AR113" s="175"/>
      <c r="AS113" s="175" t="s">
        <v>2869</v>
      </c>
      <c r="AT113" s="175" t="s">
        <v>2867</v>
      </c>
      <c r="AU113" s="175"/>
      <c r="AV113" s="178">
        <v>0</v>
      </c>
      <c r="AW113" s="67"/>
      <c r="AX113" s="175" t="s">
        <v>2867</v>
      </c>
      <c r="AY113" s="175" t="s">
        <v>2870</v>
      </c>
      <c r="AZ113" s="175" t="s">
        <v>2871</v>
      </c>
      <c r="BA113" s="175"/>
      <c r="BB113" s="175"/>
      <c r="BC113" s="175" t="s">
        <v>2859</v>
      </c>
      <c r="BD113" s="175" t="s">
        <v>2872</v>
      </c>
      <c r="BE113" s="175" t="s">
        <v>2873</v>
      </c>
      <c r="BF113" s="175" t="s">
        <v>2867</v>
      </c>
      <c r="BG113" s="67"/>
      <c r="BH113" s="179"/>
      <c r="BI113" s="175" t="s">
        <v>2867</v>
      </c>
      <c r="BJ113" s="175"/>
      <c r="BK113" s="175" t="s">
        <v>2867</v>
      </c>
      <c r="BL113" s="175"/>
      <c r="BM113" s="175" t="s">
        <v>3155</v>
      </c>
      <c r="BN113" s="175" t="s">
        <v>3156</v>
      </c>
      <c r="BO113" s="180" t="s">
        <v>2879</v>
      </c>
      <c r="BP113" s="67" t="s">
        <v>2867</v>
      </c>
      <c r="BQ113" s="175" t="s">
        <v>1477</v>
      </c>
      <c r="BR113" s="177" t="s">
        <v>144</v>
      </c>
      <c r="BS113" s="177"/>
      <c r="BT113" s="67" t="s">
        <v>2867</v>
      </c>
      <c r="BU113" s="175"/>
      <c r="BV113" s="176"/>
      <c r="BW113" s="67" t="s">
        <v>2878</v>
      </c>
      <c r="BX113" s="175" t="s">
        <v>3759</v>
      </c>
      <c r="BY113" s="175" t="s">
        <v>2003</v>
      </c>
      <c r="BZ113" s="177"/>
      <c r="CA113" s="175"/>
      <c r="CB113" s="175"/>
      <c r="CC113" s="177"/>
      <c r="CD113" s="177"/>
      <c r="CE113" s="67"/>
      <c r="CF113" s="67"/>
      <c r="CG113" s="177"/>
      <c r="CH113" s="176"/>
      <c r="CI113" s="176"/>
      <c r="CJ113" s="175"/>
      <c r="CK113" s="67" t="s">
        <v>3027</v>
      </c>
      <c r="CL113" s="175" t="s">
        <v>929</v>
      </c>
      <c r="CM113" s="175" t="s">
        <v>3442</v>
      </c>
      <c r="CN113" s="175" t="s">
        <v>3452</v>
      </c>
      <c r="CO113" s="175"/>
      <c r="CP113" s="67" t="s">
        <v>1805</v>
      </c>
      <c r="CQ113" s="175" t="s">
        <v>3027</v>
      </c>
      <c r="CR113" s="175"/>
      <c r="CS113" s="67"/>
      <c r="CT113" s="175" t="s">
        <v>2867</v>
      </c>
      <c r="CU113" s="175"/>
      <c r="CV113" s="181" t="s">
        <v>2879</v>
      </c>
      <c r="CW113" s="67"/>
      <c r="CX113" s="182"/>
      <c r="CY113" s="175" t="s">
        <v>2880</v>
      </c>
      <c r="CZ113" s="175"/>
      <c r="DA113" s="175" t="s">
        <v>3760</v>
      </c>
      <c r="DB113" s="175" t="s">
        <v>3760</v>
      </c>
      <c r="DC113" s="175" t="s">
        <v>3761</v>
      </c>
      <c r="DD113" s="175"/>
      <c r="DE113" s="176">
        <v>46176</v>
      </c>
      <c r="DF113" s="175"/>
      <c r="DG113" s="182"/>
      <c r="DH113" s="183">
        <v>1002200</v>
      </c>
      <c r="DI113" s="67"/>
      <c r="DJ113" s="67"/>
      <c r="DK113" s="67"/>
      <c r="DL113" s="67"/>
      <c r="DM113" s="67"/>
      <c r="DN113" s="183">
        <v>0</v>
      </c>
      <c r="DO113" s="183">
        <v>0</v>
      </c>
      <c r="DP113" s="67" t="s">
        <v>2867</v>
      </c>
      <c r="DQ113" s="175"/>
      <c r="DR113" s="175"/>
      <c r="DS113" s="175" t="s">
        <v>2882</v>
      </c>
      <c r="DT113" s="175"/>
      <c r="DU113" s="175"/>
      <c r="DV113" s="175" t="s">
        <v>2883</v>
      </c>
      <c r="DW113" s="175" t="s">
        <v>2884</v>
      </c>
      <c r="DX113" s="175" t="s">
        <v>2879</v>
      </c>
    </row>
    <row r="114" spans="1:128" ht="19.5" customHeight="1">
      <c r="A114" s="173"/>
      <c r="B114" s="174" t="s">
        <v>3762</v>
      </c>
      <c r="C114" s="67"/>
      <c r="D114" s="67"/>
      <c r="E114" s="174" t="s">
        <v>3763</v>
      </c>
      <c r="F114" s="174" t="s">
        <v>2534</v>
      </c>
      <c r="G114" s="175" t="s">
        <v>3764</v>
      </c>
      <c r="H114" s="174" t="s">
        <v>2994</v>
      </c>
      <c r="I114" s="174" t="s">
        <v>2995</v>
      </c>
      <c r="J114" s="175" t="s">
        <v>2859</v>
      </c>
      <c r="K114" s="176">
        <v>46175</v>
      </c>
      <c r="L114" s="67" t="s">
        <v>2927</v>
      </c>
      <c r="M114" s="175" t="s">
        <v>2338</v>
      </c>
      <c r="N114" s="67" t="s">
        <v>2338</v>
      </c>
      <c r="O114" s="67" t="s">
        <v>2328</v>
      </c>
      <c r="P114" s="67" t="s">
        <v>2862</v>
      </c>
      <c r="Q114" s="67"/>
      <c r="R114" s="67"/>
      <c r="S114" s="67" t="s">
        <v>110</v>
      </c>
      <c r="T114" s="177" t="s">
        <v>3124</v>
      </c>
      <c r="U114" s="67" t="s">
        <v>116</v>
      </c>
      <c r="V114" s="67" t="s">
        <v>2896</v>
      </c>
      <c r="W114" s="175" t="s">
        <v>2865</v>
      </c>
      <c r="X114" s="67" t="s">
        <v>2556</v>
      </c>
      <c r="Y114" s="67" t="s">
        <v>2866</v>
      </c>
      <c r="Z114" s="67" t="s">
        <v>2557</v>
      </c>
      <c r="AA114" s="175" t="s">
        <v>2947</v>
      </c>
      <c r="AB114" s="175" t="s">
        <v>3765</v>
      </c>
      <c r="AC114" s="175" t="s">
        <v>3766</v>
      </c>
      <c r="AD114" s="175" t="s">
        <v>3767</v>
      </c>
      <c r="AE114" s="175" t="s">
        <v>3768</v>
      </c>
      <c r="AF114" s="176"/>
      <c r="AG114" s="176"/>
      <c r="AH114" s="176"/>
      <c r="AI114" s="67"/>
      <c r="AJ114" s="67"/>
      <c r="AK114" s="67" t="s">
        <v>2867</v>
      </c>
      <c r="AL114" s="67"/>
      <c r="AM114" s="176"/>
      <c r="AN114" s="176"/>
      <c r="AO114" s="67"/>
      <c r="AP114" s="67" t="s">
        <v>2867</v>
      </c>
      <c r="AQ114" s="67" t="s">
        <v>2868</v>
      </c>
      <c r="AR114" s="175"/>
      <c r="AS114" s="175" t="s">
        <v>2869</v>
      </c>
      <c r="AT114" s="175" t="s">
        <v>2867</v>
      </c>
      <c r="AU114" s="175"/>
      <c r="AV114" s="178">
        <v>0</v>
      </c>
      <c r="AW114" s="67"/>
      <c r="AX114" s="175" t="s">
        <v>2867</v>
      </c>
      <c r="AY114" s="175" t="s">
        <v>2870</v>
      </c>
      <c r="AZ114" s="175" t="s">
        <v>2871</v>
      </c>
      <c r="BA114" s="175"/>
      <c r="BB114" s="175"/>
      <c r="BC114" s="175" t="s">
        <v>2859</v>
      </c>
      <c r="BD114" s="175" t="s">
        <v>2872</v>
      </c>
      <c r="BE114" s="175" t="s">
        <v>2873</v>
      </c>
      <c r="BF114" s="175" t="s">
        <v>2867</v>
      </c>
      <c r="BG114" s="67"/>
      <c r="BH114" s="179"/>
      <c r="BI114" s="175" t="s">
        <v>2867</v>
      </c>
      <c r="BJ114" s="175"/>
      <c r="BK114" s="175" t="s">
        <v>2867</v>
      </c>
      <c r="BL114" s="175"/>
      <c r="BM114" s="175" t="s">
        <v>3155</v>
      </c>
      <c r="BN114" s="175" t="s">
        <v>3156</v>
      </c>
      <c r="BO114" s="180" t="s">
        <v>2879</v>
      </c>
      <c r="BP114" s="67" t="s">
        <v>2867</v>
      </c>
      <c r="BQ114" s="175" t="s">
        <v>1477</v>
      </c>
      <c r="BR114" s="177" t="s">
        <v>144</v>
      </c>
      <c r="BS114" s="177"/>
      <c r="BT114" s="67" t="s">
        <v>2867</v>
      </c>
      <c r="BU114" s="175"/>
      <c r="BV114" s="176"/>
      <c r="BW114" s="67" t="s">
        <v>2878</v>
      </c>
      <c r="BX114" s="175" t="s">
        <v>3769</v>
      </c>
      <c r="BY114" s="175" t="s">
        <v>2003</v>
      </c>
      <c r="BZ114" s="177"/>
      <c r="CA114" s="175"/>
      <c r="CB114" s="175"/>
      <c r="CC114" s="177"/>
      <c r="CD114" s="177"/>
      <c r="CE114" s="67"/>
      <c r="CF114" s="67"/>
      <c r="CG114" s="177"/>
      <c r="CH114" s="176"/>
      <c r="CI114" s="176"/>
      <c r="CJ114" s="175"/>
      <c r="CK114" s="67" t="s">
        <v>2867</v>
      </c>
      <c r="CL114" s="175"/>
      <c r="CM114" s="175"/>
      <c r="CN114" s="175"/>
      <c r="CO114" s="175"/>
      <c r="CP114" s="67" t="s">
        <v>1805</v>
      </c>
      <c r="CQ114" s="175" t="s">
        <v>3027</v>
      </c>
      <c r="CR114" s="175"/>
      <c r="CS114" s="67"/>
      <c r="CT114" s="175" t="s">
        <v>2867</v>
      </c>
      <c r="CU114" s="175"/>
      <c r="CV114" s="181" t="s">
        <v>2879</v>
      </c>
      <c r="CW114" s="67"/>
      <c r="CX114" s="182"/>
      <c r="CY114" s="175" t="s">
        <v>2880</v>
      </c>
      <c r="CZ114" s="175"/>
      <c r="DA114" s="175" t="s">
        <v>3760</v>
      </c>
      <c r="DB114" s="175" t="s">
        <v>3760</v>
      </c>
      <c r="DC114" s="175" t="s">
        <v>3770</v>
      </c>
      <c r="DD114" s="175"/>
      <c r="DE114" s="176">
        <v>46176</v>
      </c>
      <c r="DF114" s="175"/>
      <c r="DG114" s="182"/>
      <c r="DH114" s="183">
        <v>1002200</v>
      </c>
      <c r="DI114" s="67"/>
      <c r="DJ114" s="67"/>
      <c r="DK114" s="67"/>
      <c r="DL114" s="67"/>
      <c r="DM114" s="67"/>
      <c r="DN114" s="183">
        <v>0</v>
      </c>
      <c r="DO114" s="183">
        <v>0</v>
      </c>
      <c r="DP114" s="67" t="s">
        <v>2867</v>
      </c>
      <c r="DQ114" s="175"/>
      <c r="DR114" s="175"/>
      <c r="DS114" s="175" t="s">
        <v>2882</v>
      </c>
      <c r="DT114" s="175"/>
      <c r="DU114" s="175"/>
      <c r="DV114" s="175" t="s">
        <v>2883</v>
      </c>
      <c r="DW114" s="175" t="s">
        <v>2884</v>
      </c>
      <c r="DX114" s="175" t="s">
        <v>2879</v>
      </c>
    </row>
    <row r="115" spans="1:128" ht="19.5" customHeight="1">
      <c r="A115" s="173" t="s">
        <v>3268</v>
      </c>
      <c r="B115" s="174" t="s">
        <v>3771</v>
      </c>
      <c r="C115" s="67"/>
      <c r="D115" s="67"/>
      <c r="E115" s="174" t="s">
        <v>3772</v>
      </c>
      <c r="F115" s="174" t="s">
        <v>2541</v>
      </c>
      <c r="G115" s="175" t="s">
        <v>3773</v>
      </c>
      <c r="H115" s="174" t="s">
        <v>2994</v>
      </c>
      <c r="I115" s="174" t="s">
        <v>2995</v>
      </c>
      <c r="J115" s="175" t="s">
        <v>2859</v>
      </c>
      <c r="K115" s="176">
        <v>46175</v>
      </c>
      <c r="L115" s="67" t="s">
        <v>2916</v>
      </c>
      <c r="M115" s="175" t="s">
        <v>2338</v>
      </c>
      <c r="N115" s="67" t="s">
        <v>2338</v>
      </c>
      <c r="O115" s="67" t="s">
        <v>2328</v>
      </c>
      <c r="P115" s="67" t="s">
        <v>2862</v>
      </c>
      <c r="Q115" s="67"/>
      <c r="R115" s="67"/>
      <c r="S115" s="67" t="s">
        <v>110</v>
      </c>
      <c r="T115" s="177" t="s">
        <v>3124</v>
      </c>
      <c r="U115" s="67" t="s">
        <v>116</v>
      </c>
      <c r="V115" s="67" t="s">
        <v>2891</v>
      </c>
      <c r="W115" s="175" t="s">
        <v>2865</v>
      </c>
      <c r="X115" s="67" t="s">
        <v>2570</v>
      </c>
      <c r="Y115" s="67" t="s">
        <v>2866</v>
      </c>
      <c r="Z115" s="67" t="s">
        <v>2571</v>
      </c>
      <c r="AA115" s="175" t="s">
        <v>2947</v>
      </c>
      <c r="AB115" s="175" t="s">
        <v>3774</v>
      </c>
      <c r="AC115" s="175" t="s">
        <v>3775</v>
      </c>
      <c r="AD115" s="175" t="s">
        <v>3776</v>
      </c>
      <c r="AE115" s="175" t="s">
        <v>3777</v>
      </c>
      <c r="AF115" s="176"/>
      <c r="AG115" s="176"/>
      <c r="AH115" s="176"/>
      <c r="AI115" s="67"/>
      <c r="AJ115" s="67"/>
      <c r="AK115" s="67" t="s">
        <v>2867</v>
      </c>
      <c r="AL115" s="67"/>
      <c r="AM115" s="176"/>
      <c r="AN115" s="176"/>
      <c r="AO115" s="67"/>
      <c r="AP115" s="67" t="s">
        <v>2867</v>
      </c>
      <c r="AQ115" s="67" t="s">
        <v>2868</v>
      </c>
      <c r="AR115" s="175"/>
      <c r="AS115" s="175" t="s">
        <v>2869</v>
      </c>
      <c r="AT115" s="175" t="s">
        <v>2867</v>
      </c>
      <c r="AU115" s="175"/>
      <c r="AV115" s="178">
        <v>0</v>
      </c>
      <c r="AW115" s="67"/>
      <c r="AX115" s="175" t="s">
        <v>2867</v>
      </c>
      <c r="AY115" s="175" t="s">
        <v>2870</v>
      </c>
      <c r="AZ115" s="175" t="s">
        <v>2871</v>
      </c>
      <c r="BA115" s="175"/>
      <c r="BB115" s="175"/>
      <c r="BC115" s="175" t="s">
        <v>2859</v>
      </c>
      <c r="BD115" s="175" t="s">
        <v>2872</v>
      </c>
      <c r="BE115" s="175" t="s">
        <v>2873</v>
      </c>
      <c r="BF115" s="175" t="s">
        <v>2867</v>
      </c>
      <c r="BG115" s="67"/>
      <c r="BH115" s="179"/>
      <c r="BI115" s="175" t="s">
        <v>2867</v>
      </c>
      <c r="BJ115" s="175"/>
      <c r="BK115" s="175" t="s">
        <v>2867</v>
      </c>
      <c r="BL115" s="175"/>
      <c r="BM115" s="175" t="s">
        <v>3155</v>
      </c>
      <c r="BN115" s="175" t="s">
        <v>3156</v>
      </c>
      <c r="BO115" s="180"/>
      <c r="BP115" s="67" t="s">
        <v>2867</v>
      </c>
      <c r="BQ115" s="175" t="s">
        <v>1477</v>
      </c>
      <c r="BR115" s="177" t="s">
        <v>144</v>
      </c>
      <c r="BS115" s="177"/>
      <c r="BT115" s="67" t="s">
        <v>2867</v>
      </c>
      <c r="BU115" s="175"/>
      <c r="BV115" s="176"/>
      <c r="BW115" s="67" t="s">
        <v>2878</v>
      </c>
      <c r="BX115" s="175" t="s">
        <v>3778</v>
      </c>
      <c r="BY115" s="175" t="s">
        <v>2003</v>
      </c>
      <c r="BZ115" s="177"/>
      <c r="CA115" s="175"/>
      <c r="CB115" s="175"/>
      <c r="CC115" s="177"/>
      <c r="CD115" s="177"/>
      <c r="CE115" s="67"/>
      <c r="CF115" s="67"/>
      <c r="CG115" s="177"/>
      <c r="CH115" s="176"/>
      <c r="CI115" s="176"/>
      <c r="CJ115" s="175"/>
      <c r="CK115" s="67" t="s">
        <v>3027</v>
      </c>
      <c r="CL115" s="175" t="s">
        <v>929</v>
      </c>
      <c r="CM115" s="175" t="s">
        <v>3276</v>
      </c>
      <c r="CN115" s="175" t="s">
        <v>3452</v>
      </c>
      <c r="CO115" s="175"/>
      <c r="CP115" s="67" t="s">
        <v>1809</v>
      </c>
      <c r="CQ115" s="175" t="s">
        <v>3027</v>
      </c>
      <c r="CR115" s="175"/>
      <c r="CS115" s="67"/>
      <c r="CT115" s="175" t="s">
        <v>2867</v>
      </c>
      <c r="CU115" s="175"/>
      <c r="CV115" s="181" t="s">
        <v>2879</v>
      </c>
      <c r="CW115" s="67"/>
      <c r="CX115" s="182"/>
      <c r="CY115" s="175" t="s">
        <v>2880</v>
      </c>
      <c r="CZ115" s="175"/>
      <c r="DA115" s="175" t="s">
        <v>3760</v>
      </c>
      <c r="DB115" s="175" t="s">
        <v>3760</v>
      </c>
      <c r="DC115" s="175" t="s">
        <v>3779</v>
      </c>
      <c r="DD115" s="175"/>
      <c r="DE115" s="176">
        <v>46176</v>
      </c>
      <c r="DF115" s="175"/>
      <c r="DG115" s="182"/>
      <c r="DH115" s="183">
        <v>1002200</v>
      </c>
      <c r="DI115" s="67"/>
      <c r="DJ115" s="67"/>
      <c r="DK115" s="67"/>
      <c r="DL115" s="67"/>
      <c r="DM115" s="67"/>
      <c r="DN115" s="183">
        <v>0</v>
      </c>
      <c r="DO115" s="183">
        <v>0</v>
      </c>
      <c r="DP115" s="67" t="s">
        <v>2867</v>
      </c>
      <c r="DQ115" s="175"/>
      <c r="DR115" s="175"/>
      <c r="DS115" s="175" t="s">
        <v>2882</v>
      </c>
      <c r="DT115" s="175"/>
      <c r="DU115" s="175"/>
      <c r="DV115" s="175" t="s">
        <v>2883</v>
      </c>
      <c r="DW115" s="175" t="s">
        <v>2884</v>
      </c>
      <c r="DX115" s="175" t="s">
        <v>2879</v>
      </c>
    </row>
    <row r="116" spans="1:128" ht="19.5" customHeight="1">
      <c r="A116" s="173" t="s">
        <v>3268</v>
      </c>
      <c r="B116" s="174" t="s">
        <v>3780</v>
      </c>
      <c r="C116" s="67"/>
      <c r="D116" s="67"/>
      <c r="E116" s="189" t="s">
        <v>3781</v>
      </c>
      <c r="F116" s="174" t="s">
        <v>2542</v>
      </c>
      <c r="G116" s="175" t="s">
        <v>3782</v>
      </c>
      <c r="H116" s="189" t="s">
        <v>2994</v>
      </c>
      <c r="I116" s="189" t="s">
        <v>2995</v>
      </c>
      <c r="J116" s="175" t="s">
        <v>2859</v>
      </c>
      <c r="K116" s="176">
        <v>46175</v>
      </c>
      <c r="L116" s="67" t="s">
        <v>2916</v>
      </c>
      <c r="M116" s="175" t="s">
        <v>2338</v>
      </c>
      <c r="N116" s="67" t="s">
        <v>2338</v>
      </c>
      <c r="O116" s="67" t="s">
        <v>2328</v>
      </c>
      <c r="P116" s="67" t="s">
        <v>2862</v>
      </c>
      <c r="Q116" s="67"/>
      <c r="R116" s="67"/>
      <c r="S116" s="67" t="s">
        <v>110</v>
      </c>
      <c r="T116" s="177" t="s">
        <v>3124</v>
      </c>
      <c r="U116" s="67" t="s">
        <v>116</v>
      </c>
      <c r="V116" s="67" t="s">
        <v>2891</v>
      </c>
      <c r="W116" s="175" t="s">
        <v>2865</v>
      </c>
      <c r="X116" s="67" t="s">
        <v>2572</v>
      </c>
      <c r="Y116" s="67" t="s">
        <v>2866</v>
      </c>
      <c r="Z116" s="67" t="s">
        <v>2573</v>
      </c>
      <c r="AA116" s="175" t="s">
        <v>2947</v>
      </c>
      <c r="AB116" s="175" t="s">
        <v>3783</v>
      </c>
      <c r="AC116" s="175" t="s">
        <v>3784</v>
      </c>
      <c r="AD116" s="175" t="s">
        <v>3785</v>
      </c>
      <c r="AE116" s="175" t="s">
        <v>3786</v>
      </c>
      <c r="AF116" s="176"/>
      <c r="AG116" s="176"/>
      <c r="AH116" s="176"/>
      <c r="AI116" s="67"/>
      <c r="AJ116" s="67"/>
      <c r="AK116" s="67" t="s">
        <v>2867</v>
      </c>
      <c r="AL116" s="67"/>
      <c r="AM116" s="176"/>
      <c r="AN116" s="176"/>
      <c r="AO116" s="67"/>
      <c r="AP116" s="67" t="s">
        <v>2867</v>
      </c>
      <c r="AQ116" s="67" t="s">
        <v>2868</v>
      </c>
      <c r="AR116" s="175"/>
      <c r="AS116" s="175" t="s">
        <v>2869</v>
      </c>
      <c r="AT116" s="175" t="s">
        <v>2867</v>
      </c>
      <c r="AU116" s="175"/>
      <c r="AV116" s="178">
        <v>0</v>
      </c>
      <c r="AW116" s="67"/>
      <c r="AX116" s="175" t="s">
        <v>2867</v>
      </c>
      <c r="AY116" s="175" t="s">
        <v>2870</v>
      </c>
      <c r="AZ116" s="175" t="s">
        <v>2871</v>
      </c>
      <c r="BA116" s="175"/>
      <c r="BB116" s="175"/>
      <c r="BC116" s="175" t="s">
        <v>2859</v>
      </c>
      <c r="BD116" s="175" t="s">
        <v>2872</v>
      </c>
      <c r="BE116" s="175" t="s">
        <v>2873</v>
      </c>
      <c r="BF116" s="175" t="s">
        <v>2867</v>
      </c>
      <c r="BG116" s="67"/>
      <c r="BH116" s="179"/>
      <c r="BI116" s="175" t="s">
        <v>2867</v>
      </c>
      <c r="BJ116" s="175"/>
      <c r="BK116" s="175" t="s">
        <v>2867</v>
      </c>
      <c r="BL116" s="175"/>
      <c r="BM116" s="175" t="s">
        <v>3787</v>
      </c>
      <c r="BN116" s="175" t="s">
        <v>3788</v>
      </c>
      <c r="BO116" s="180"/>
      <c r="BP116" s="67" t="s">
        <v>2867</v>
      </c>
      <c r="BQ116" s="175" t="s">
        <v>1906</v>
      </c>
      <c r="BR116" s="177" t="s">
        <v>338</v>
      </c>
      <c r="BS116" s="177"/>
      <c r="BT116" s="67" t="s">
        <v>2867</v>
      </c>
      <c r="BU116" s="175"/>
      <c r="BV116" s="176"/>
      <c r="BW116" s="67" t="s">
        <v>2878</v>
      </c>
      <c r="BX116" s="175" t="s">
        <v>3789</v>
      </c>
      <c r="BY116" s="175" t="s">
        <v>2003</v>
      </c>
      <c r="BZ116" s="177"/>
      <c r="CA116" s="175"/>
      <c r="CB116" s="175"/>
      <c r="CC116" s="177"/>
      <c r="CD116" s="177"/>
      <c r="CE116" s="67"/>
      <c r="CF116" s="67"/>
      <c r="CG116" s="177"/>
      <c r="CH116" s="176"/>
      <c r="CI116" s="176"/>
      <c r="CJ116" s="175"/>
      <c r="CK116" s="67" t="s">
        <v>3027</v>
      </c>
      <c r="CL116" s="175" t="s">
        <v>929</v>
      </c>
      <c r="CM116" s="175" t="s">
        <v>3276</v>
      </c>
      <c r="CN116" s="175" t="s">
        <v>3452</v>
      </c>
      <c r="CO116" s="175"/>
      <c r="CP116" s="67" t="s">
        <v>3790</v>
      </c>
      <c r="CQ116" s="175" t="s">
        <v>3027</v>
      </c>
      <c r="CR116" s="175"/>
      <c r="CS116" s="67"/>
      <c r="CT116" s="175" t="s">
        <v>2867</v>
      </c>
      <c r="CU116" s="175"/>
      <c r="CV116" s="181" t="s">
        <v>2879</v>
      </c>
      <c r="CW116" s="67"/>
      <c r="CX116" s="182"/>
      <c r="CY116" s="175" t="s">
        <v>2880</v>
      </c>
      <c r="CZ116" s="175"/>
      <c r="DA116" s="175" t="s">
        <v>3791</v>
      </c>
      <c r="DB116" s="175" t="s">
        <v>3791</v>
      </c>
      <c r="DC116" s="175" t="s">
        <v>3792</v>
      </c>
      <c r="DD116" s="175"/>
      <c r="DE116" s="176">
        <v>46176</v>
      </c>
      <c r="DF116" s="175"/>
      <c r="DG116" s="182"/>
      <c r="DH116" s="183">
        <v>1184500</v>
      </c>
      <c r="DI116" s="67"/>
      <c r="DJ116" s="67"/>
      <c r="DK116" s="67"/>
      <c r="DL116" s="67"/>
      <c r="DM116" s="67"/>
      <c r="DN116" s="183">
        <v>0</v>
      </c>
      <c r="DO116" s="183">
        <v>0</v>
      </c>
      <c r="DP116" s="67" t="s">
        <v>2867</v>
      </c>
      <c r="DQ116" s="175"/>
      <c r="DR116" s="175"/>
      <c r="DS116" s="175" t="s">
        <v>2882</v>
      </c>
      <c r="DT116" s="175"/>
      <c r="DU116" s="175"/>
      <c r="DV116" s="175" t="s">
        <v>2883</v>
      </c>
      <c r="DW116" s="175" t="s">
        <v>2884</v>
      </c>
      <c r="DX116" s="175" t="s">
        <v>2879</v>
      </c>
    </row>
    <row r="117" spans="1:128" ht="19.5" customHeight="1">
      <c r="A117" s="173"/>
      <c r="B117" s="174" t="s">
        <v>3793</v>
      </c>
      <c r="C117" s="67"/>
      <c r="D117" s="67"/>
      <c r="E117" s="190" t="s">
        <v>3781</v>
      </c>
      <c r="F117" s="174" t="s">
        <v>2685</v>
      </c>
      <c r="G117" s="175" t="s">
        <v>3794</v>
      </c>
      <c r="H117" s="190" t="s">
        <v>2994</v>
      </c>
      <c r="I117" s="190" t="s">
        <v>2995</v>
      </c>
      <c r="J117" s="175" t="s">
        <v>2859</v>
      </c>
      <c r="K117" s="176">
        <v>46175</v>
      </c>
      <c r="L117" s="67" t="s">
        <v>2916</v>
      </c>
      <c r="M117" s="175" t="s">
        <v>2338</v>
      </c>
      <c r="N117" s="67" t="s">
        <v>2338</v>
      </c>
      <c r="O117" s="67" t="s">
        <v>2328</v>
      </c>
      <c r="P117" s="67" t="s">
        <v>2862</v>
      </c>
      <c r="Q117" s="67"/>
      <c r="R117" s="67"/>
      <c r="S117" s="67" t="s">
        <v>110</v>
      </c>
      <c r="T117" s="177" t="s">
        <v>3377</v>
      </c>
      <c r="U117" s="67" t="s">
        <v>116</v>
      </c>
      <c r="V117" s="67" t="s">
        <v>2922</v>
      </c>
      <c r="W117" s="175" t="s">
        <v>2865</v>
      </c>
      <c r="X117" s="67" t="s">
        <v>2686</v>
      </c>
      <c r="Y117" s="67" t="s">
        <v>2866</v>
      </c>
      <c r="Z117" s="67" t="s">
        <v>2687</v>
      </c>
      <c r="AA117" s="175" t="s">
        <v>2947</v>
      </c>
      <c r="AB117" s="175" t="s">
        <v>3255</v>
      </c>
      <c r="AC117" s="175" t="s">
        <v>3256</v>
      </c>
      <c r="AD117" s="175" t="s">
        <v>3257</v>
      </c>
      <c r="AE117" s="175" t="s">
        <v>3258</v>
      </c>
      <c r="AF117" s="176"/>
      <c r="AG117" s="176"/>
      <c r="AH117" s="176"/>
      <c r="AI117" s="67"/>
      <c r="AJ117" s="67"/>
      <c r="AK117" s="67" t="s">
        <v>2867</v>
      </c>
      <c r="AL117" s="67"/>
      <c r="AM117" s="176"/>
      <c r="AN117" s="176"/>
      <c r="AO117" s="67"/>
      <c r="AP117" s="67" t="s">
        <v>2867</v>
      </c>
      <c r="AQ117" s="67" t="s">
        <v>2868</v>
      </c>
      <c r="AR117" s="175"/>
      <c r="AS117" s="175" t="s">
        <v>2869</v>
      </c>
      <c r="AT117" s="175" t="s">
        <v>2867</v>
      </c>
      <c r="AU117" s="175"/>
      <c r="AV117" s="178">
        <v>0</v>
      </c>
      <c r="AW117" s="67"/>
      <c r="AX117" s="175" t="s">
        <v>2867</v>
      </c>
      <c r="AY117" s="175" t="s">
        <v>2870</v>
      </c>
      <c r="AZ117" s="175" t="s">
        <v>2871</v>
      </c>
      <c r="BA117" s="175"/>
      <c r="BB117" s="175"/>
      <c r="BC117" s="175" t="s">
        <v>2859</v>
      </c>
      <c r="BD117" s="175" t="s">
        <v>2872</v>
      </c>
      <c r="BE117" s="175" t="s">
        <v>2873</v>
      </c>
      <c r="BF117" s="175" t="s">
        <v>2867</v>
      </c>
      <c r="BG117" s="67"/>
      <c r="BH117" s="179"/>
      <c r="BI117" s="175" t="s">
        <v>2867</v>
      </c>
      <c r="BJ117" s="175"/>
      <c r="BK117" s="175" t="s">
        <v>2867</v>
      </c>
      <c r="BL117" s="175"/>
      <c r="BM117" s="175" t="s">
        <v>3795</v>
      </c>
      <c r="BN117" s="175" t="s">
        <v>3796</v>
      </c>
      <c r="BO117" s="180"/>
      <c r="BP117" s="67" t="s">
        <v>2867</v>
      </c>
      <c r="BQ117" s="175" t="s">
        <v>1992</v>
      </c>
      <c r="BR117" s="177" t="s">
        <v>143</v>
      </c>
      <c r="BS117" s="177"/>
      <c r="BT117" s="67" t="s">
        <v>2867</v>
      </c>
      <c r="BU117" s="175"/>
      <c r="BV117" s="176"/>
      <c r="BW117" s="67" t="s">
        <v>2878</v>
      </c>
      <c r="BX117" s="175" t="s">
        <v>3797</v>
      </c>
      <c r="BY117" s="175" t="s">
        <v>1999</v>
      </c>
      <c r="BZ117" s="177"/>
      <c r="CA117" s="175"/>
      <c r="CB117" s="175"/>
      <c r="CC117" s="177"/>
      <c r="CD117" s="177"/>
      <c r="CE117" s="67"/>
      <c r="CF117" s="67"/>
      <c r="CG117" s="177"/>
      <c r="CH117" s="176"/>
      <c r="CI117" s="176"/>
      <c r="CJ117" s="175"/>
      <c r="CK117" s="67" t="s">
        <v>2867</v>
      </c>
      <c r="CL117" s="175"/>
      <c r="CM117" s="175"/>
      <c r="CN117" s="175"/>
      <c r="CO117" s="175"/>
      <c r="CP117" s="67" t="s">
        <v>1861</v>
      </c>
      <c r="CQ117" s="175" t="s">
        <v>3027</v>
      </c>
      <c r="CR117" s="175"/>
      <c r="CS117" s="67"/>
      <c r="CT117" s="175" t="s">
        <v>2867</v>
      </c>
      <c r="CU117" s="175"/>
      <c r="CV117" s="181" t="s">
        <v>2879</v>
      </c>
      <c r="CW117" s="67"/>
      <c r="CX117" s="182"/>
      <c r="CY117" s="175" t="s">
        <v>2880</v>
      </c>
      <c r="CZ117" s="175"/>
      <c r="DA117" s="175" t="s">
        <v>3760</v>
      </c>
      <c r="DB117" s="175" t="s">
        <v>3760</v>
      </c>
      <c r="DC117" s="175" t="s">
        <v>3431</v>
      </c>
      <c r="DD117" s="175"/>
      <c r="DE117" s="176">
        <v>46176</v>
      </c>
      <c r="DF117" s="175"/>
      <c r="DG117" s="182"/>
      <c r="DH117" s="183">
        <v>1023500</v>
      </c>
      <c r="DI117" s="67"/>
      <c r="DJ117" s="67"/>
      <c r="DK117" s="67"/>
      <c r="DL117" s="67"/>
      <c r="DM117" s="67"/>
      <c r="DN117" s="183">
        <v>0</v>
      </c>
      <c r="DO117" s="183">
        <v>0</v>
      </c>
      <c r="DP117" s="67" t="s">
        <v>2867</v>
      </c>
      <c r="DQ117" s="175"/>
      <c r="DR117" s="175"/>
      <c r="DS117" s="175" t="s">
        <v>2882</v>
      </c>
      <c r="DT117" s="175"/>
      <c r="DU117" s="175"/>
      <c r="DV117" s="175" t="s">
        <v>2883</v>
      </c>
      <c r="DW117" s="175" t="s">
        <v>2884</v>
      </c>
      <c r="DX117" s="175" t="s">
        <v>2879</v>
      </c>
    </row>
    <row r="118" spans="1:128" ht="19.5" customHeight="1">
      <c r="A118" s="173"/>
      <c r="B118" s="174" t="s">
        <v>3798</v>
      </c>
      <c r="C118" s="67"/>
      <c r="D118" s="67"/>
      <c r="E118" s="174" t="s">
        <v>3799</v>
      </c>
      <c r="F118" s="174" t="s">
        <v>2529</v>
      </c>
      <c r="G118" s="175" t="s">
        <v>3800</v>
      </c>
      <c r="H118" s="174" t="s">
        <v>2994</v>
      </c>
      <c r="I118" s="174" t="s">
        <v>2995</v>
      </c>
      <c r="J118" s="175" t="s">
        <v>2859</v>
      </c>
      <c r="K118" s="176">
        <v>46175</v>
      </c>
      <c r="L118" s="67" t="s">
        <v>2943</v>
      </c>
      <c r="M118" s="175" t="s">
        <v>2338</v>
      </c>
      <c r="N118" s="67" t="s">
        <v>2338</v>
      </c>
      <c r="O118" s="67" t="s">
        <v>2328</v>
      </c>
      <c r="P118" s="67" t="s">
        <v>2862</v>
      </c>
      <c r="Q118" s="67"/>
      <c r="R118" s="67"/>
      <c r="S118" s="67" t="s">
        <v>110</v>
      </c>
      <c r="T118" s="177" t="s">
        <v>3124</v>
      </c>
      <c r="U118" s="67" t="s">
        <v>1279</v>
      </c>
      <c r="V118" s="67" t="s">
        <v>2944</v>
      </c>
      <c r="W118" s="175" t="s">
        <v>2865</v>
      </c>
      <c r="X118" s="67" t="s">
        <v>2546</v>
      </c>
      <c r="Y118" s="67" t="s">
        <v>2866</v>
      </c>
      <c r="Z118" s="67" t="s">
        <v>2547</v>
      </c>
      <c r="AA118" s="175" t="s">
        <v>2947</v>
      </c>
      <c r="AB118" s="175" t="s">
        <v>3321</v>
      </c>
      <c r="AC118" s="175" t="s">
        <v>3322</v>
      </c>
      <c r="AD118" s="175" t="s">
        <v>3323</v>
      </c>
      <c r="AE118" s="175" t="s">
        <v>3324</v>
      </c>
      <c r="AF118" s="176"/>
      <c r="AG118" s="176"/>
      <c r="AH118" s="176"/>
      <c r="AI118" s="67"/>
      <c r="AJ118" s="67"/>
      <c r="AK118" s="67" t="s">
        <v>2867</v>
      </c>
      <c r="AL118" s="67"/>
      <c r="AM118" s="176"/>
      <c r="AN118" s="176"/>
      <c r="AO118" s="67"/>
      <c r="AP118" s="67" t="s">
        <v>2867</v>
      </c>
      <c r="AQ118" s="67" t="s">
        <v>2868</v>
      </c>
      <c r="AR118" s="175"/>
      <c r="AS118" s="175" t="s">
        <v>2869</v>
      </c>
      <c r="AT118" s="175" t="s">
        <v>2867</v>
      </c>
      <c r="AU118" s="175"/>
      <c r="AV118" s="178">
        <v>0</v>
      </c>
      <c r="AW118" s="67"/>
      <c r="AX118" s="175" t="s">
        <v>2867</v>
      </c>
      <c r="AY118" s="175" t="s">
        <v>2870</v>
      </c>
      <c r="AZ118" s="175" t="s">
        <v>2871</v>
      </c>
      <c r="BA118" s="175"/>
      <c r="BB118" s="175"/>
      <c r="BC118" s="175" t="s">
        <v>2859</v>
      </c>
      <c r="BD118" s="175" t="s">
        <v>2872</v>
      </c>
      <c r="BE118" s="175" t="s">
        <v>2873</v>
      </c>
      <c r="BF118" s="175" t="s">
        <v>2867</v>
      </c>
      <c r="BG118" s="67"/>
      <c r="BH118" s="179"/>
      <c r="BI118" s="175" t="s">
        <v>2867</v>
      </c>
      <c r="BJ118" s="175"/>
      <c r="BK118" s="175" t="s">
        <v>2867</v>
      </c>
      <c r="BL118" s="175"/>
      <c r="BM118" s="175" t="s">
        <v>3155</v>
      </c>
      <c r="BN118" s="175" t="s">
        <v>3156</v>
      </c>
      <c r="BO118" s="180" t="s">
        <v>2879</v>
      </c>
      <c r="BP118" s="67" t="s">
        <v>2867</v>
      </c>
      <c r="BQ118" s="175" t="s">
        <v>1477</v>
      </c>
      <c r="BR118" s="177" t="s">
        <v>144</v>
      </c>
      <c r="BS118" s="177"/>
      <c r="BT118" s="67" t="s">
        <v>2867</v>
      </c>
      <c r="BU118" s="175"/>
      <c r="BV118" s="176"/>
      <c r="BW118" s="67" t="s">
        <v>2878</v>
      </c>
      <c r="BX118" s="175" t="s">
        <v>3801</v>
      </c>
      <c r="BY118" s="175" t="s">
        <v>2003</v>
      </c>
      <c r="BZ118" s="177"/>
      <c r="CA118" s="175" t="s">
        <v>3802</v>
      </c>
      <c r="CB118" s="175"/>
      <c r="CC118" s="177"/>
      <c r="CD118" s="177"/>
      <c r="CE118" s="67"/>
      <c r="CF118" s="67"/>
      <c r="CG118" s="177"/>
      <c r="CH118" s="176"/>
      <c r="CI118" s="176"/>
      <c r="CJ118" s="175"/>
      <c r="CK118" s="67" t="s">
        <v>2867</v>
      </c>
      <c r="CL118" s="175"/>
      <c r="CM118" s="175"/>
      <c r="CN118" s="175"/>
      <c r="CO118" s="175"/>
      <c r="CP118" s="67" t="s">
        <v>1805</v>
      </c>
      <c r="CQ118" s="175" t="s">
        <v>3027</v>
      </c>
      <c r="CR118" s="175"/>
      <c r="CS118" s="67"/>
      <c r="CT118" s="175" t="s">
        <v>2867</v>
      </c>
      <c r="CU118" s="175"/>
      <c r="CV118" s="181" t="s">
        <v>2879</v>
      </c>
      <c r="CW118" s="67"/>
      <c r="CX118" s="182"/>
      <c r="CY118" s="175" t="s">
        <v>2880</v>
      </c>
      <c r="CZ118" s="175"/>
      <c r="DA118" s="175" t="s">
        <v>3760</v>
      </c>
      <c r="DB118" s="175" t="s">
        <v>3760</v>
      </c>
      <c r="DC118" s="175" t="s">
        <v>3679</v>
      </c>
      <c r="DD118" s="175"/>
      <c r="DE118" s="176">
        <v>46176</v>
      </c>
      <c r="DF118" s="175"/>
      <c r="DG118" s="182"/>
      <c r="DH118" s="183">
        <v>1002200</v>
      </c>
      <c r="DI118" s="67"/>
      <c r="DJ118" s="67"/>
      <c r="DK118" s="67"/>
      <c r="DL118" s="67"/>
      <c r="DM118" s="67"/>
      <c r="DN118" s="183">
        <v>0</v>
      </c>
      <c r="DO118" s="183">
        <v>0</v>
      </c>
      <c r="DP118" s="67" t="s">
        <v>2867</v>
      </c>
      <c r="DQ118" s="175"/>
      <c r="DR118" s="175"/>
      <c r="DS118" s="175" t="s">
        <v>2882</v>
      </c>
      <c r="DT118" s="175"/>
      <c r="DU118" s="175"/>
      <c r="DV118" s="175" t="s">
        <v>2883</v>
      </c>
      <c r="DW118" s="175" t="s">
        <v>2884</v>
      </c>
      <c r="DX118" s="175" t="s">
        <v>2879</v>
      </c>
    </row>
    <row r="119" spans="1:128" ht="19.5" customHeight="1">
      <c r="A119" s="173" t="s">
        <v>3268</v>
      </c>
      <c r="B119" s="174" t="s">
        <v>3803</v>
      </c>
      <c r="C119" s="67"/>
      <c r="D119" s="67"/>
      <c r="E119" s="174" t="s">
        <v>3804</v>
      </c>
      <c r="F119" s="174" t="s">
        <v>2532</v>
      </c>
      <c r="G119" s="175" t="s">
        <v>3805</v>
      </c>
      <c r="H119" s="174" t="s">
        <v>2994</v>
      </c>
      <c r="I119" s="174" t="s">
        <v>2995</v>
      </c>
      <c r="J119" s="175" t="s">
        <v>2859</v>
      </c>
      <c r="K119" s="176">
        <v>46175</v>
      </c>
      <c r="L119" s="67" t="s">
        <v>2969</v>
      </c>
      <c r="M119" s="175" t="s">
        <v>2611</v>
      </c>
      <c r="N119" s="67" t="s">
        <v>2611</v>
      </c>
      <c r="O119" s="67" t="s">
        <v>2329</v>
      </c>
      <c r="P119" s="67" t="s">
        <v>2997</v>
      </c>
      <c r="Q119" s="67"/>
      <c r="R119" s="67"/>
      <c r="S119" s="67" t="s">
        <v>101</v>
      </c>
      <c r="T119" s="177" t="s">
        <v>3124</v>
      </c>
      <c r="U119" s="67" t="s">
        <v>1277</v>
      </c>
      <c r="V119" s="67" t="s">
        <v>3107</v>
      </c>
      <c r="W119" s="175" t="s">
        <v>2865</v>
      </c>
      <c r="X119" s="67" t="s">
        <v>2554</v>
      </c>
      <c r="Y119" s="67" t="s">
        <v>2866</v>
      </c>
      <c r="Z119" s="67" t="s">
        <v>2555</v>
      </c>
      <c r="AA119" s="175" t="s">
        <v>2947</v>
      </c>
      <c r="AB119" s="175" t="s">
        <v>3806</v>
      </c>
      <c r="AC119" s="175" t="s">
        <v>3807</v>
      </c>
      <c r="AD119" s="175" t="s">
        <v>3808</v>
      </c>
      <c r="AE119" s="175" t="s">
        <v>3809</v>
      </c>
      <c r="AF119" s="176"/>
      <c r="AG119" s="176"/>
      <c r="AH119" s="176"/>
      <c r="AI119" s="67"/>
      <c r="AJ119" s="67"/>
      <c r="AK119" s="67" t="s">
        <v>2867</v>
      </c>
      <c r="AL119" s="67"/>
      <c r="AM119" s="176"/>
      <c r="AN119" s="176"/>
      <c r="AO119" s="67"/>
      <c r="AP119" s="67" t="s">
        <v>2867</v>
      </c>
      <c r="AQ119" s="67" t="s">
        <v>2868</v>
      </c>
      <c r="AR119" s="175"/>
      <c r="AS119" s="175" t="s">
        <v>2869</v>
      </c>
      <c r="AT119" s="175" t="s">
        <v>2867</v>
      </c>
      <c r="AU119" s="175"/>
      <c r="AV119" s="178">
        <v>0</v>
      </c>
      <c r="AW119" s="67"/>
      <c r="AX119" s="175" t="s">
        <v>2867</v>
      </c>
      <c r="AY119" s="175" t="s">
        <v>2870</v>
      </c>
      <c r="AZ119" s="175" t="s">
        <v>2871</v>
      </c>
      <c r="BA119" s="175"/>
      <c r="BB119" s="175"/>
      <c r="BC119" s="175" t="s">
        <v>2859</v>
      </c>
      <c r="BD119" s="175" t="s">
        <v>2872</v>
      </c>
      <c r="BE119" s="175" t="s">
        <v>2873</v>
      </c>
      <c r="BF119" s="175" t="s">
        <v>2867</v>
      </c>
      <c r="BG119" s="67"/>
      <c r="BH119" s="179"/>
      <c r="BI119" s="175" t="s">
        <v>2867</v>
      </c>
      <c r="BJ119" s="175"/>
      <c r="BK119" s="175" t="s">
        <v>2867</v>
      </c>
      <c r="BL119" s="175"/>
      <c r="BM119" s="175" t="s">
        <v>3155</v>
      </c>
      <c r="BN119" s="175" t="s">
        <v>3156</v>
      </c>
      <c r="BO119" s="180" t="s">
        <v>2879</v>
      </c>
      <c r="BP119" s="67" t="s">
        <v>2867</v>
      </c>
      <c r="BQ119" s="175" t="s">
        <v>1477</v>
      </c>
      <c r="BR119" s="177" t="s">
        <v>144</v>
      </c>
      <c r="BS119" s="177"/>
      <c r="BT119" s="67" t="s">
        <v>2867</v>
      </c>
      <c r="BU119" s="175"/>
      <c r="BV119" s="176"/>
      <c r="BW119" s="67" t="s">
        <v>2878</v>
      </c>
      <c r="BX119" s="175" t="s">
        <v>3810</v>
      </c>
      <c r="BY119" s="175" t="s">
        <v>2003</v>
      </c>
      <c r="BZ119" s="177"/>
      <c r="CA119" s="175"/>
      <c r="CB119" s="175"/>
      <c r="CC119" s="177"/>
      <c r="CD119" s="177"/>
      <c r="CE119" s="67"/>
      <c r="CF119" s="67"/>
      <c r="CG119" s="177"/>
      <c r="CH119" s="176"/>
      <c r="CI119" s="176"/>
      <c r="CJ119" s="175"/>
      <c r="CK119" s="67" t="s">
        <v>3027</v>
      </c>
      <c r="CL119" s="175" t="s">
        <v>929</v>
      </c>
      <c r="CM119" s="175" t="s">
        <v>3442</v>
      </c>
      <c r="CN119" s="175" t="s">
        <v>3452</v>
      </c>
      <c r="CO119" s="175"/>
      <c r="CP119" s="67" t="s">
        <v>1814</v>
      </c>
      <c r="CQ119" s="175" t="s">
        <v>3027</v>
      </c>
      <c r="CR119" s="175"/>
      <c r="CS119" s="67"/>
      <c r="CT119" s="175" t="s">
        <v>2867</v>
      </c>
      <c r="CU119" s="175"/>
      <c r="CV119" s="181" t="s">
        <v>2879</v>
      </c>
      <c r="CW119" s="67"/>
      <c r="CX119" s="182"/>
      <c r="CY119" s="175" t="s">
        <v>2880</v>
      </c>
      <c r="CZ119" s="175"/>
      <c r="DA119" s="175" t="s">
        <v>3760</v>
      </c>
      <c r="DB119" s="175" t="s">
        <v>3760</v>
      </c>
      <c r="DC119" s="175" t="s">
        <v>3636</v>
      </c>
      <c r="DD119" s="175"/>
      <c r="DE119" s="176">
        <v>46176</v>
      </c>
      <c r="DF119" s="175"/>
      <c r="DG119" s="182"/>
      <c r="DH119" s="183">
        <v>1002200</v>
      </c>
      <c r="DI119" s="67"/>
      <c r="DJ119" s="67"/>
      <c r="DK119" s="67"/>
      <c r="DL119" s="67"/>
      <c r="DM119" s="67"/>
      <c r="DN119" s="183">
        <v>0</v>
      </c>
      <c r="DO119" s="183">
        <v>0</v>
      </c>
      <c r="DP119" s="67" t="s">
        <v>2867</v>
      </c>
      <c r="DQ119" s="175"/>
      <c r="DR119" s="175"/>
      <c r="DS119" s="175" t="s">
        <v>2882</v>
      </c>
      <c r="DT119" s="175"/>
      <c r="DU119" s="175"/>
      <c r="DV119" s="175" t="s">
        <v>2883</v>
      </c>
      <c r="DW119" s="175" t="s">
        <v>2884</v>
      </c>
      <c r="DX119" s="175" t="s">
        <v>2879</v>
      </c>
    </row>
    <row r="120" spans="1:128" ht="19.5" customHeight="1">
      <c r="A120" s="173" t="s">
        <v>3268</v>
      </c>
      <c r="B120" s="174" t="s">
        <v>3811</v>
      </c>
      <c r="C120" s="67"/>
      <c r="D120" s="67"/>
      <c r="E120" s="174" t="s">
        <v>3812</v>
      </c>
      <c r="F120" s="174" t="s">
        <v>2538</v>
      </c>
      <c r="G120" s="175" t="s">
        <v>3813</v>
      </c>
      <c r="H120" s="174" t="s">
        <v>2994</v>
      </c>
      <c r="I120" s="174" t="s">
        <v>2995</v>
      </c>
      <c r="J120" s="175" t="s">
        <v>2859</v>
      </c>
      <c r="K120" s="176">
        <v>46175</v>
      </c>
      <c r="L120" s="67" t="s">
        <v>2932</v>
      </c>
      <c r="M120" s="175" t="s">
        <v>2611</v>
      </c>
      <c r="N120" s="67" t="s">
        <v>2611</v>
      </c>
      <c r="O120" s="67" t="s">
        <v>2329</v>
      </c>
      <c r="P120" s="67" t="s">
        <v>2997</v>
      </c>
      <c r="Q120" s="67"/>
      <c r="R120" s="67"/>
      <c r="S120" s="67" t="s">
        <v>101</v>
      </c>
      <c r="T120" s="177" t="s">
        <v>3124</v>
      </c>
      <c r="U120" s="67" t="s">
        <v>1277</v>
      </c>
      <c r="V120" s="67" t="s">
        <v>2944</v>
      </c>
      <c r="W120" s="175" t="s">
        <v>2865</v>
      </c>
      <c r="X120" s="67" t="s">
        <v>2564</v>
      </c>
      <c r="Y120" s="67" t="s">
        <v>2866</v>
      </c>
      <c r="Z120" s="67" t="s">
        <v>2565</v>
      </c>
      <c r="AA120" s="175" t="s">
        <v>2947</v>
      </c>
      <c r="AB120" s="175" t="s">
        <v>3042</v>
      </c>
      <c r="AC120" s="175" t="s">
        <v>3043</v>
      </c>
      <c r="AD120" s="175" t="s">
        <v>3044</v>
      </c>
      <c r="AE120" s="175" t="s">
        <v>3045</v>
      </c>
      <c r="AF120" s="176"/>
      <c r="AG120" s="176"/>
      <c r="AH120" s="176"/>
      <c r="AI120" s="67"/>
      <c r="AJ120" s="67"/>
      <c r="AK120" s="67" t="s">
        <v>2867</v>
      </c>
      <c r="AL120" s="67"/>
      <c r="AM120" s="176"/>
      <c r="AN120" s="176"/>
      <c r="AO120" s="67"/>
      <c r="AP120" s="67" t="s">
        <v>2867</v>
      </c>
      <c r="AQ120" s="67" t="s">
        <v>2868</v>
      </c>
      <c r="AR120" s="175"/>
      <c r="AS120" s="175" t="s">
        <v>2869</v>
      </c>
      <c r="AT120" s="175" t="s">
        <v>2867</v>
      </c>
      <c r="AU120" s="175"/>
      <c r="AV120" s="178">
        <v>0</v>
      </c>
      <c r="AW120" s="67"/>
      <c r="AX120" s="175" t="s">
        <v>2867</v>
      </c>
      <c r="AY120" s="175" t="s">
        <v>2870</v>
      </c>
      <c r="AZ120" s="175" t="s">
        <v>2871</v>
      </c>
      <c r="BA120" s="175"/>
      <c r="BB120" s="175"/>
      <c r="BC120" s="175" t="s">
        <v>2859</v>
      </c>
      <c r="BD120" s="175" t="s">
        <v>2872</v>
      </c>
      <c r="BE120" s="175" t="s">
        <v>2873</v>
      </c>
      <c r="BF120" s="175" t="s">
        <v>2867</v>
      </c>
      <c r="BG120" s="67"/>
      <c r="BH120" s="179"/>
      <c r="BI120" s="175" t="s">
        <v>2867</v>
      </c>
      <c r="BJ120" s="175"/>
      <c r="BK120" s="175" t="s">
        <v>2867</v>
      </c>
      <c r="BL120" s="175"/>
      <c r="BM120" s="175" t="s">
        <v>3155</v>
      </c>
      <c r="BN120" s="175" t="s">
        <v>3156</v>
      </c>
      <c r="BO120" s="180" t="s">
        <v>2879</v>
      </c>
      <c r="BP120" s="67" t="s">
        <v>2867</v>
      </c>
      <c r="BQ120" s="175" t="s">
        <v>1477</v>
      </c>
      <c r="BR120" s="177" t="s">
        <v>144</v>
      </c>
      <c r="BS120" s="177"/>
      <c r="BT120" s="67" t="s">
        <v>2867</v>
      </c>
      <c r="BU120" s="175"/>
      <c r="BV120" s="176"/>
      <c r="BW120" s="67" t="s">
        <v>2878</v>
      </c>
      <c r="BX120" s="175" t="s">
        <v>3814</v>
      </c>
      <c r="BY120" s="175" t="s">
        <v>2003</v>
      </c>
      <c r="BZ120" s="177"/>
      <c r="CA120" s="175"/>
      <c r="CB120" s="175"/>
      <c r="CC120" s="177"/>
      <c r="CD120" s="177"/>
      <c r="CE120" s="67"/>
      <c r="CF120" s="67"/>
      <c r="CG120" s="177"/>
      <c r="CH120" s="176"/>
      <c r="CI120" s="176"/>
      <c r="CJ120" s="175"/>
      <c r="CK120" s="67" t="s">
        <v>3027</v>
      </c>
      <c r="CL120" s="175" t="s">
        <v>929</v>
      </c>
      <c r="CM120" s="175" t="s">
        <v>3418</v>
      </c>
      <c r="CN120" s="175" t="s">
        <v>3452</v>
      </c>
      <c r="CO120" s="175"/>
      <c r="CP120" s="67" t="s">
        <v>1814</v>
      </c>
      <c r="CQ120" s="175" t="s">
        <v>3027</v>
      </c>
      <c r="CR120" s="175"/>
      <c r="CS120" s="67"/>
      <c r="CT120" s="175" t="s">
        <v>2867</v>
      </c>
      <c r="CU120" s="175"/>
      <c r="CV120" s="181" t="s">
        <v>2879</v>
      </c>
      <c r="CW120" s="67"/>
      <c r="CX120" s="182"/>
      <c r="CY120" s="175" t="s">
        <v>2880</v>
      </c>
      <c r="CZ120" s="175"/>
      <c r="DA120" s="175" t="s">
        <v>3760</v>
      </c>
      <c r="DB120" s="175" t="s">
        <v>3760</v>
      </c>
      <c r="DC120" s="175" t="s">
        <v>3679</v>
      </c>
      <c r="DD120" s="175"/>
      <c r="DE120" s="176">
        <v>46176</v>
      </c>
      <c r="DF120" s="175"/>
      <c r="DG120" s="182"/>
      <c r="DH120" s="183">
        <v>1002200</v>
      </c>
      <c r="DI120" s="67"/>
      <c r="DJ120" s="67"/>
      <c r="DK120" s="67"/>
      <c r="DL120" s="67"/>
      <c r="DM120" s="67"/>
      <c r="DN120" s="183">
        <v>0</v>
      </c>
      <c r="DO120" s="183">
        <v>0</v>
      </c>
      <c r="DP120" s="67" t="s">
        <v>2867</v>
      </c>
      <c r="DQ120" s="175"/>
      <c r="DR120" s="175"/>
      <c r="DS120" s="175" t="s">
        <v>2882</v>
      </c>
      <c r="DT120" s="175"/>
      <c r="DU120" s="175"/>
      <c r="DV120" s="175" t="s">
        <v>2883</v>
      </c>
      <c r="DW120" s="175" t="s">
        <v>2884</v>
      </c>
      <c r="DX120" s="175" t="s">
        <v>2879</v>
      </c>
    </row>
    <row r="121" spans="1:128" ht="19.5" customHeight="1">
      <c r="A121" s="173" t="s">
        <v>3268</v>
      </c>
      <c r="B121" s="174" t="s">
        <v>3815</v>
      </c>
      <c r="C121" s="67"/>
      <c r="D121" s="67"/>
      <c r="E121" s="174" t="s">
        <v>3816</v>
      </c>
      <c r="F121" s="174" t="s">
        <v>2539</v>
      </c>
      <c r="G121" s="175" t="s">
        <v>3817</v>
      </c>
      <c r="H121" s="174" t="s">
        <v>2994</v>
      </c>
      <c r="I121" s="174" t="s">
        <v>2995</v>
      </c>
      <c r="J121" s="175" t="s">
        <v>2859</v>
      </c>
      <c r="K121" s="176">
        <v>46175</v>
      </c>
      <c r="L121" s="67" t="s">
        <v>2906</v>
      </c>
      <c r="M121" s="175" t="s">
        <v>2613</v>
      </c>
      <c r="N121" s="67" t="s">
        <v>2613</v>
      </c>
      <c r="O121" s="67" t="s">
        <v>2329</v>
      </c>
      <c r="P121" s="67" t="s">
        <v>2997</v>
      </c>
      <c r="Q121" s="67"/>
      <c r="R121" s="67"/>
      <c r="S121" s="67" t="s">
        <v>104</v>
      </c>
      <c r="T121" s="177" t="s">
        <v>3124</v>
      </c>
      <c r="U121" s="67" t="s">
        <v>1247</v>
      </c>
      <c r="V121" s="67" t="s">
        <v>3168</v>
      </c>
      <c r="W121" s="175" t="s">
        <v>2865</v>
      </c>
      <c r="X121" s="67" t="s">
        <v>2566</v>
      </c>
      <c r="Y121" s="67" t="s">
        <v>3169</v>
      </c>
      <c r="Z121" s="67" t="s">
        <v>2567</v>
      </c>
      <c r="AA121" s="175" t="s">
        <v>2947</v>
      </c>
      <c r="AB121" s="175" t="s">
        <v>3818</v>
      </c>
      <c r="AC121" s="175" t="s">
        <v>3819</v>
      </c>
      <c r="AD121" s="175" t="s">
        <v>3820</v>
      </c>
      <c r="AE121" s="175" t="s">
        <v>3821</v>
      </c>
      <c r="AF121" s="176"/>
      <c r="AG121" s="176"/>
      <c r="AH121" s="176"/>
      <c r="AI121" s="67"/>
      <c r="AJ121" s="67"/>
      <c r="AK121" s="67" t="s">
        <v>2867</v>
      </c>
      <c r="AL121" s="67"/>
      <c r="AM121" s="176"/>
      <c r="AN121" s="176"/>
      <c r="AO121" s="67"/>
      <c r="AP121" s="67" t="s">
        <v>2867</v>
      </c>
      <c r="AQ121" s="67" t="s">
        <v>2868</v>
      </c>
      <c r="AR121" s="175"/>
      <c r="AS121" s="175" t="s">
        <v>2869</v>
      </c>
      <c r="AT121" s="175" t="s">
        <v>2867</v>
      </c>
      <c r="AU121" s="175"/>
      <c r="AV121" s="178">
        <v>0</v>
      </c>
      <c r="AW121" s="67"/>
      <c r="AX121" s="175" t="s">
        <v>2867</v>
      </c>
      <c r="AY121" s="175" t="s">
        <v>2870</v>
      </c>
      <c r="AZ121" s="175" t="s">
        <v>2871</v>
      </c>
      <c r="BA121" s="175"/>
      <c r="BB121" s="175"/>
      <c r="BC121" s="175" t="s">
        <v>2859</v>
      </c>
      <c r="BD121" s="175" t="s">
        <v>2872</v>
      </c>
      <c r="BE121" s="175" t="s">
        <v>2873</v>
      </c>
      <c r="BF121" s="175" t="s">
        <v>2867</v>
      </c>
      <c r="BG121" s="67"/>
      <c r="BH121" s="179"/>
      <c r="BI121" s="175" t="s">
        <v>2867</v>
      </c>
      <c r="BJ121" s="175"/>
      <c r="BK121" s="175" t="s">
        <v>2867</v>
      </c>
      <c r="BL121" s="175"/>
      <c r="BM121" s="175" t="s">
        <v>3155</v>
      </c>
      <c r="BN121" s="175" t="s">
        <v>3156</v>
      </c>
      <c r="BO121" s="180" t="s">
        <v>2879</v>
      </c>
      <c r="BP121" s="67" t="s">
        <v>2867</v>
      </c>
      <c r="BQ121" s="175" t="s">
        <v>1477</v>
      </c>
      <c r="BR121" s="177" t="s">
        <v>144</v>
      </c>
      <c r="BS121" s="177"/>
      <c r="BT121" s="67" t="s">
        <v>2867</v>
      </c>
      <c r="BU121" s="175"/>
      <c r="BV121" s="176"/>
      <c r="BW121" s="67" t="s">
        <v>2878</v>
      </c>
      <c r="BX121" s="175" t="s">
        <v>3822</v>
      </c>
      <c r="BY121" s="175" t="s">
        <v>2003</v>
      </c>
      <c r="BZ121" s="177"/>
      <c r="CA121" s="175"/>
      <c r="CB121" s="175"/>
      <c r="CC121" s="177"/>
      <c r="CD121" s="177"/>
      <c r="CE121" s="67"/>
      <c r="CF121" s="67"/>
      <c r="CG121" s="177"/>
      <c r="CH121" s="176"/>
      <c r="CI121" s="176"/>
      <c r="CJ121" s="175"/>
      <c r="CK121" s="67" t="s">
        <v>3027</v>
      </c>
      <c r="CL121" s="175" t="s">
        <v>929</v>
      </c>
      <c r="CM121" s="175" t="s">
        <v>3276</v>
      </c>
      <c r="CN121" s="175" t="s">
        <v>3452</v>
      </c>
      <c r="CO121" s="175"/>
      <c r="CP121" s="67" t="s">
        <v>1812</v>
      </c>
      <c r="CQ121" s="175" t="s">
        <v>3027</v>
      </c>
      <c r="CR121" s="175"/>
      <c r="CS121" s="67"/>
      <c r="CT121" s="175" t="s">
        <v>2867</v>
      </c>
      <c r="CU121" s="175"/>
      <c r="CV121" s="181" t="s">
        <v>2879</v>
      </c>
      <c r="CW121" s="67"/>
      <c r="CX121" s="182"/>
      <c r="CY121" s="175" t="s">
        <v>2880</v>
      </c>
      <c r="CZ121" s="175"/>
      <c r="DA121" s="175" t="s">
        <v>3760</v>
      </c>
      <c r="DB121" s="175" t="s">
        <v>3760</v>
      </c>
      <c r="DC121" s="175" t="s">
        <v>3823</v>
      </c>
      <c r="DD121" s="175"/>
      <c r="DE121" s="176">
        <v>46176</v>
      </c>
      <c r="DF121" s="175"/>
      <c r="DG121" s="182"/>
      <c r="DH121" s="183">
        <v>892500</v>
      </c>
      <c r="DI121" s="67"/>
      <c r="DJ121" s="67"/>
      <c r="DK121" s="67"/>
      <c r="DL121" s="67"/>
      <c r="DM121" s="67"/>
      <c r="DN121" s="183">
        <v>0</v>
      </c>
      <c r="DO121" s="183">
        <v>0</v>
      </c>
      <c r="DP121" s="67" t="s">
        <v>2867</v>
      </c>
      <c r="DQ121" s="175"/>
      <c r="DR121" s="175"/>
      <c r="DS121" s="175" t="s">
        <v>2882</v>
      </c>
      <c r="DT121" s="175"/>
      <c r="DU121" s="175"/>
      <c r="DV121" s="175" t="s">
        <v>2883</v>
      </c>
      <c r="DW121" s="175" t="s">
        <v>2884</v>
      </c>
      <c r="DX121" s="175" t="s">
        <v>2879</v>
      </c>
    </row>
    <row r="122" spans="1:128" ht="19.5" customHeight="1">
      <c r="A122" s="173" t="s">
        <v>3268</v>
      </c>
      <c r="B122" s="174" t="s">
        <v>3824</v>
      </c>
      <c r="C122" s="67"/>
      <c r="D122" s="67"/>
      <c r="E122" s="174" t="s">
        <v>3825</v>
      </c>
      <c r="F122" s="174" t="s">
        <v>2537</v>
      </c>
      <c r="G122" s="175" t="s">
        <v>3826</v>
      </c>
      <c r="H122" s="174" t="s">
        <v>2994</v>
      </c>
      <c r="I122" s="174" t="s">
        <v>2995</v>
      </c>
      <c r="J122" s="175" t="s">
        <v>2859</v>
      </c>
      <c r="K122" s="176">
        <v>46175</v>
      </c>
      <c r="L122" s="67" t="s">
        <v>2889</v>
      </c>
      <c r="M122" s="175" t="s">
        <v>2613</v>
      </c>
      <c r="N122" s="67" t="s">
        <v>2613</v>
      </c>
      <c r="O122" s="67" t="s">
        <v>2329</v>
      </c>
      <c r="P122" s="67" t="s">
        <v>2997</v>
      </c>
      <c r="Q122" s="67"/>
      <c r="R122" s="67"/>
      <c r="S122" s="67" t="s">
        <v>104</v>
      </c>
      <c r="T122" s="177" t="s">
        <v>3124</v>
      </c>
      <c r="U122" s="67" t="s">
        <v>119</v>
      </c>
      <c r="V122" s="67" t="s">
        <v>3168</v>
      </c>
      <c r="W122" s="175" t="s">
        <v>2865</v>
      </c>
      <c r="X122" s="67" t="s">
        <v>2562</v>
      </c>
      <c r="Y122" s="67" t="s">
        <v>3169</v>
      </c>
      <c r="Z122" s="67" t="s">
        <v>2563</v>
      </c>
      <c r="AA122" s="175" t="s">
        <v>2947</v>
      </c>
      <c r="AB122" s="175" t="s">
        <v>3827</v>
      </c>
      <c r="AC122" s="175" t="s">
        <v>3828</v>
      </c>
      <c r="AD122" s="175" t="s">
        <v>3829</v>
      </c>
      <c r="AE122" s="175" t="s">
        <v>3830</v>
      </c>
      <c r="AF122" s="176"/>
      <c r="AG122" s="176"/>
      <c r="AH122" s="176"/>
      <c r="AI122" s="67"/>
      <c r="AJ122" s="67"/>
      <c r="AK122" s="67" t="s">
        <v>2867</v>
      </c>
      <c r="AL122" s="67"/>
      <c r="AM122" s="176"/>
      <c r="AN122" s="176"/>
      <c r="AO122" s="67"/>
      <c r="AP122" s="67" t="s">
        <v>2867</v>
      </c>
      <c r="AQ122" s="67" t="s">
        <v>2868</v>
      </c>
      <c r="AR122" s="175"/>
      <c r="AS122" s="175" t="s">
        <v>2869</v>
      </c>
      <c r="AT122" s="175" t="s">
        <v>2867</v>
      </c>
      <c r="AU122" s="175"/>
      <c r="AV122" s="178">
        <v>0</v>
      </c>
      <c r="AW122" s="67"/>
      <c r="AX122" s="175" t="s">
        <v>2867</v>
      </c>
      <c r="AY122" s="175" t="s">
        <v>2870</v>
      </c>
      <c r="AZ122" s="175" t="s">
        <v>2871</v>
      </c>
      <c r="BA122" s="175"/>
      <c r="BB122" s="175"/>
      <c r="BC122" s="175" t="s">
        <v>2859</v>
      </c>
      <c r="BD122" s="175" t="s">
        <v>2872</v>
      </c>
      <c r="BE122" s="175" t="s">
        <v>2873</v>
      </c>
      <c r="BF122" s="175" t="s">
        <v>2867</v>
      </c>
      <c r="BG122" s="67"/>
      <c r="BH122" s="179"/>
      <c r="BI122" s="175" t="s">
        <v>2867</v>
      </c>
      <c r="BJ122" s="175"/>
      <c r="BK122" s="175" t="s">
        <v>2867</v>
      </c>
      <c r="BL122" s="175"/>
      <c r="BM122" s="175" t="s">
        <v>3155</v>
      </c>
      <c r="BN122" s="175" t="s">
        <v>3156</v>
      </c>
      <c r="BO122" s="180" t="s">
        <v>2879</v>
      </c>
      <c r="BP122" s="67" t="s">
        <v>2867</v>
      </c>
      <c r="BQ122" s="175" t="s">
        <v>1477</v>
      </c>
      <c r="BR122" s="177" t="s">
        <v>144</v>
      </c>
      <c r="BS122" s="177"/>
      <c r="BT122" s="67" t="s">
        <v>2867</v>
      </c>
      <c r="BU122" s="175"/>
      <c r="BV122" s="176"/>
      <c r="BW122" s="67" t="s">
        <v>2878</v>
      </c>
      <c r="BX122" s="175" t="s">
        <v>3831</v>
      </c>
      <c r="BY122" s="175" t="s">
        <v>2003</v>
      </c>
      <c r="BZ122" s="177"/>
      <c r="CA122" s="175"/>
      <c r="CB122" s="175"/>
      <c r="CC122" s="177"/>
      <c r="CD122" s="177"/>
      <c r="CE122" s="67"/>
      <c r="CF122" s="67"/>
      <c r="CG122" s="177"/>
      <c r="CH122" s="176"/>
      <c r="CI122" s="176"/>
      <c r="CJ122" s="175"/>
      <c r="CK122" s="67" t="s">
        <v>3027</v>
      </c>
      <c r="CL122" s="175" t="s">
        <v>929</v>
      </c>
      <c r="CM122" s="175" t="s">
        <v>3276</v>
      </c>
      <c r="CN122" s="175" t="s">
        <v>3452</v>
      </c>
      <c r="CO122" s="175"/>
      <c r="CP122" s="67" t="s">
        <v>1812</v>
      </c>
      <c r="CQ122" s="175" t="s">
        <v>3027</v>
      </c>
      <c r="CR122" s="175"/>
      <c r="CS122" s="67"/>
      <c r="CT122" s="175" t="s">
        <v>2867</v>
      </c>
      <c r="CU122" s="175"/>
      <c r="CV122" s="181" t="s">
        <v>2879</v>
      </c>
      <c r="CW122" s="67"/>
      <c r="CX122" s="182"/>
      <c r="CY122" s="175" t="s">
        <v>2880</v>
      </c>
      <c r="CZ122" s="175"/>
      <c r="DA122" s="175" t="s">
        <v>3760</v>
      </c>
      <c r="DB122" s="175" t="s">
        <v>3760</v>
      </c>
      <c r="DC122" s="175" t="s">
        <v>3832</v>
      </c>
      <c r="DD122" s="175"/>
      <c r="DE122" s="176">
        <v>46176</v>
      </c>
      <c r="DF122" s="175"/>
      <c r="DG122" s="182"/>
      <c r="DH122" s="183">
        <v>892500</v>
      </c>
      <c r="DI122" s="67"/>
      <c r="DJ122" s="67"/>
      <c r="DK122" s="67"/>
      <c r="DL122" s="67"/>
      <c r="DM122" s="67"/>
      <c r="DN122" s="183">
        <v>0</v>
      </c>
      <c r="DO122" s="183">
        <v>0</v>
      </c>
      <c r="DP122" s="67" t="s">
        <v>2867</v>
      </c>
      <c r="DQ122" s="175"/>
      <c r="DR122" s="175"/>
      <c r="DS122" s="175" t="s">
        <v>2882</v>
      </c>
      <c r="DT122" s="175"/>
      <c r="DU122" s="175"/>
      <c r="DV122" s="175" t="s">
        <v>2883</v>
      </c>
      <c r="DW122" s="175" t="s">
        <v>2884</v>
      </c>
      <c r="DX122" s="175" t="s">
        <v>2879</v>
      </c>
    </row>
    <row r="123" spans="1:128" ht="19.5" customHeight="1">
      <c r="A123" s="173" t="s">
        <v>3268</v>
      </c>
      <c r="B123" s="174" t="s">
        <v>3833</v>
      </c>
      <c r="C123" s="67"/>
      <c r="D123" s="67"/>
      <c r="E123" s="174" t="s">
        <v>3834</v>
      </c>
      <c r="F123" s="174" t="s">
        <v>2543</v>
      </c>
      <c r="G123" s="175" t="s">
        <v>3835</v>
      </c>
      <c r="H123" s="174" t="s">
        <v>2994</v>
      </c>
      <c r="I123" s="174" t="s">
        <v>2995</v>
      </c>
      <c r="J123" s="175" t="s">
        <v>2859</v>
      </c>
      <c r="K123" s="176">
        <v>46175</v>
      </c>
      <c r="L123" s="67" t="s">
        <v>2932</v>
      </c>
      <c r="M123" s="175" t="s">
        <v>2338</v>
      </c>
      <c r="N123" s="67" t="s">
        <v>2338</v>
      </c>
      <c r="O123" s="67" t="s">
        <v>2328</v>
      </c>
      <c r="P123" s="67" t="s">
        <v>2862</v>
      </c>
      <c r="Q123" s="67"/>
      <c r="R123" s="67"/>
      <c r="S123" s="67" t="s">
        <v>957</v>
      </c>
      <c r="T123" s="177" t="s">
        <v>3124</v>
      </c>
      <c r="U123" s="67" t="s">
        <v>116</v>
      </c>
      <c r="V123" s="67" t="s">
        <v>2944</v>
      </c>
      <c r="W123" s="175" t="s">
        <v>2865</v>
      </c>
      <c r="X123" s="67" t="s">
        <v>2574</v>
      </c>
      <c r="Y123" s="67" t="s">
        <v>2866</v>
      </c>
      <c r="Z123" s="67" t="s">
        <v>2575</v>
      </c>
      <c r="AA123" s="175" t="s">
        <v>2947</v>
      </c>
      <c r="AB123" s="175" t="s">
        <v>3052</v>
      </c>
      <c r="AC123" s="175" t="s">
        <v>3053</v>
      </c>
      <c r="AD123" s="175" t="s">
        <v>3054</v>
      </c>
      <c r="AE123" s="175" t="s">
        <v>3055</v>
      </c>
      <c r="AF123" s="176"/>
      <c r="AG123" s="176"/>
      <c r="AH123" s="176"/>
      <c r="AI123" s="67"/>
      <c r="AJ123" s="67"/>
      <c r="AK123" s="67" t="s">
        <v>2867</v>
      </c>
      <c r="AL123" s="67"/>
      <c r="AM123" s="176"/>
      <c r="AN123" s="176"/>
      <c r="AO123" s="67"/>
      <c r="AP123" s="67" t="s">
        <v>2867</v>
      </c>
      <c r="AQ123" s="67" t="s">
        <v>2868</v>
      </c>
      <c r="AR123" s="175"/>
      <c r="AS123" s="175" t="s">
        <v>2869</v>
      </c>
      <c r="AT123" s="175" t="s">
        <v>2867</v>
      </c>
      <c r="AU123" s="175"/>
      <c r="AV123" s="178">
        <v>0</v>
      </c>
      <c r="AW123" s="67"/>
      <c r="AX123" s="175" t="s">
        <v>2867</v>
      </c>
      <c r="AY123" s="175" t="s">
        <v>2870</v>
      </c>
      <c r="AZ123" s="175" t="s">
        <v>2871</v>
      </c>
      <c r="BA123" s="175"/>
      <c r="BB123" s="175"/>
      <c r="BC123" s="175" t="s">
        <v>2859</v>
      </c>
      <c r="BD123" s="175" t="s">
        <v>2872</v>
      </c>
      <c r="BE123" s="175" t="s">
        <v>2873</v>
      </c>
      <c r="BF123" s="175" t="s">
        <v>2867</v>
      </c>
      <c r="BG123" s="67"/>
      <c r="BH123" s="179"/>
      <c r="BI123" s="175" t="s">
        <v>2867</v>
      </c>
      <c r="BJ123" s="175"/>
      <c r="BK123" s="175" t="s">
        <v>2867</v>
      </c>
      <c r="BL123" s="175"/>
      <c r="BM123" s="175" t="s">
        <v>3155</v>
      </c>
      <c r="BN123" s="175" t="s">
        <v>3156</v>
      </c>
      <c r="BO123" s="180" t="s">
        <v>2879</v>
      </c>
      <c r="BP123" s="67" t="s">
        <v>2867</v>
      </c>
      <c r="BQ123" s="175" t="s">
        <v>1477</v>
      </c>
      <c r="BR123" s="177" t="s">
        <v>144</v>
      </c>
      <c r="BS123" s="177"/>
      <c r="BT123" s="67" t="s">
        <v>2867</v>
      </c>
      <c r="BU123" s="175"/>
      <c r="BV123" s="176"/>
      <c r="BW123" s="67" t="s">
        <v>2878</v>
      </c>
      <c r="BX123" s="175" t="s">
        <v>3836</v>
      </c>
      <c r="BY123" s="175" t="s">
        <v>2003</v>
      </c>
      <c r="BZ123" s="177"/>
      <c r="CA123" s="175" t="s">
        <v>3837</v>
      </c>
      <c r="CB123" s="175"/>
      <c r="CC123" s="177"/>
      <c r="CD123" s="177"/>
      <c r="CE123" s="67"/>
      <c r="CF123" s="67"/>
      <c r="CG123" s="177"/>
      <c r="CH123" s="176"/>
      <c r="CI123" s="176"/>
      <c r="CJ123" s="175"/>
      <c r="CK123" s="67" t="s">
        <v>3027</v>
      </c>
      <c r="CL123" s="175" t="s">
        <v>929</v>
      </c>
      <c r="CM123" s="175" t="s">
        <v>3838</v>
      </c>
      <c r="CN123" s="175" t="s">
        <v>3452</v>
      </c>
      <c r="CO123" s="175"/>
      <c r="CP123" s="67" t="s">
        <v>1805</v>
      </c>
      <c r="CQ123" s="175" t="s">
        <v>3027</v>
      </c>
      <c r="CR123" s="175" t="s">
        <v>3839</v>
      </c>
      <c r="CS123" s="67"/>
      <c r="CT123" s="175" t="s">
        <v>2867</v>
      </c>
      <c r="CU123" s="175"/>
      <c r="CV123" s="181" t="s">
        <v>2879</v>
      </c>
      <c r="CW123" s="67"/>
      <c r="CX123" s="182"/>
      <c r="CY123" s="175" t="s">
        <v>2880</v>
      </c>
      <c r="CZ123" s="175"/>
      <c r="DA123" s="175" t="s">
        <v>3760</v>
      </c>
      <c r="DB123" s="175" t="s">
        <v>3760</v>
      </c>
      <c r="DC123" s="175" t="s">
        <v>3679</v>
      </c>
      <c r="DD123" s="175"/>
      <c r="DE123" s="176">
        <v>46176</v>
      </c>
      <c r="DF123" s="175"/>
      <c r="DG123" s="182"/>
      <c r="DH123" s="183">
        <v>1002200</v>
      </c>
      <c r="DI123" s="67"/>
      <c r="DJ123" s="67"/>
      <c r="DK123" s="67"/>
      <c r="DL123" s="67"/>
      <c r="DM123" s="67"/>
      <c r="DN123" s="183">
        <v>0</v>
      </c>
      <c r="DO123" s="183">
        <v>0</v>
      </c>
      <c r="DP123" s="67" t="s">
        <v>2867</v>
      </c>
      <c r="DQ123" s="175"/>
      <c r="DR123" s="175"/>
      <c r="DS123" s="175" t="s">
        <v>2882</v>
      </c>
      <c r="DT123" s="175"/>
      <c r="DU123" s="175"/>
      <c r="DV123" s="175" t="s">
        <v>2883</v>
      </c>
      <c r="DW123" s="175" t="s">
        <v>2884</v>
      </c>
      <c r="DX123" s="175" t="s">
        <v>2879</v>
      </c>
    </row>
    <row r="124" spans="1:128" ht="19.5" customHeight="1">
      <c r="A124" s="173"/>
      <c r="B124" s="174" t="s">
        <v>3840</v>
      </c>
      <c r="C124" s="67"/>
      <c r="D124" s="67"/>
      <c r="E124" s="174" t="s">
        <v>3841</v>
      </c>
      <c r="F124" s="174" t="s">
        <v>2535</v>
      </c>
      <c r="G124" s="175" t="s">
        <v>3842</v>
      </c>
      <c r="H124" s="174" t="s">
        <v>2994</v>
      </c>
      <c r="I124" s="174" t="s">
        <v>2995</v>
      </c>
      <c r="J124" s="175" t="s">
        <v>2859</v>
      </c>
      <c r="K124" s="176">
        <v>46175</v>
      </c>
      <c r="L124" s="67" t="s">
        <v>2927</v>
      </c>
      <c r="M124" s="175" t="s">
        <v>2392</v>
      </c>
      <c r="N124" s="67" t="s">
        <v>2392</v>
      </c>
      <c r="O124" s="67" t="s">
        <v>3843</v>
      </c>
      <c r="P124" s="67" t="s">
        <v>3844</v>
      </c>
      <c r="Q124" s="67"/>
      <c r="R124" s="67"/>
      <c r="S124" s="67" t="s">
        <v>975</v>
      </c>
      <c r="T124" s="177" t="s">
        <v>3124</v>
      </c>
      <c r="U124" s="67" t="s">
        <v>1247</v>
      </c>
      <c r="V124" s="67" t="s">
        <v>3845</v>
      </c>
      <c r="W124" s="175" t="s">
        <v>2865</v>
      </c>
      <c r="X124" s="67" t="s">
        <v>2558</v>
      </c>
      <c r="Y124" s="67" t="s">
        <v>2866</v>
      </c>
      <c r="Z124" s="67" t="s">
        <v>2559</v>
      </c>
      <c r="AA124" s="175" t="s">
        <v>2947</v>
      </c>
      <c r="AB124" s="175" t="s">
        <v>3846</v>
      </c>
      <c r="AC124" s="175" t="s">
        <v>3847</v>
      </c>
      <c r="AD124" s="175" t="s">
        <v>3848</v>
      </c>
      <c r="AE124" s="175" t="s">
        <v>3849</v>
      </c>
      <c r="AF124" s="176"/>
      <c r="AG124" s="176"/>
      <c r="AH124" s="176"/>
      <c r="AI124" s="67"/>
      <c r="AJ124" s="67"/>
      <c r="AK124" s="67" t="s">
        <v>2867</v>
      </c>
      <c r="AL124" s="67"/>
      <c r="AM124" s="176"/>
      <c r="AN124" s="176"/>
      <c r="AO124" s="67"/>
      <c r="AP124" s="67" t="s">
        <v>2867</v>
      </c>
      <c r="AQ124" s="67" t="s">
        <v>2868</v>
      </c>
      <c r="AR124" s="175"/>
      <c r="AS124" s="175" t="s">
        <v>2869</v>
      </c>
      <c r="AT124" s="175" t="s">
        <v>2867</v>
      </c>
      <c r="AU124" s="175"/>
      <c r="AV124" s="178">
        <v>0</v>
      </c>
      <c r="AW124" s="67"/>
      <c r="AX124" s="175" t="s">
        <v>2867</v>
      </c>
      <c r="AY124" s="175" t="s">
        <v>2870</v>
      </c>
      <c r="AZ124" s="175" t="s">
        <v>2871</v>
      </c>
      <c r="BA124" s="175"/>
      <c r="BB124" s="175"/>
      <c r="BC124" s="175" t="s">
        <v>2859</v>
      </c>
      <c r="BD124" s="175" t="s">
        <v>2872</v>
      </c>
      <c r="BE124" s="175" t="s">
        <v>2873</v>
      </c>
      <c r="BF124" s="175" t="s">
        <v>2867</v>
      </c>
      <c r="BG124" s="67"/>
      <c r="BH124" s="179"/>
      <c r="BI124" s="175" t="s">
        <v>2867</v>
      </c>
      <c r="BJ124" s="175"/>
      <c r="BK124" s="175" t="s">
        <v>2867</v>
      </c>
      <c r="BL124" s="175"/>
      <c r="BM124" s="175" t="s">
        <v>3850</v>
      </c>
      <c r="BN124" s="175" t="s">
        <v>3851</v>
      </c>
      <c r="BO124" s="180" t="s">
        <v>2879</v>
      </c>
      <c r="BP124" s="67" t="s">
        <v>2867</v>
      </c>
      <c r="BQ124" s="175" t="s">
        <v>1904</v>
      </c>
      <c r="BR124" s="177" t="s">
        <v>337</v>
      </c>
      <c r="BS124" s="177"/>
      <c r="BT124" s="67" t="s">
        <v>2867</v>
      </c>
      <c r="BU124" s="175"/>
      <c r="BV124" s="176"/>
      <c r="BW124" s="67" t="s">
        <v>2878</v>
      </c>
      <c r="BX124" s="175" t="s">
        <v>3852</v>
      </c>
      <c r="BY124" s="175" t="s">
        <v>2003</v>
      </c>
      <c r="BZ124" s="177"/>
      <c r="CA124" s="175"/>
      <c r="CB124" s="175"/>
      <c r="CC124" s="177"/>
      <c r="CD124" s="177"/>
      <c r="CE124" s="67"/>
      <c r="CF124" s="67"/>
      <c r="CG124" s="177"/>
      <c r="CH124" s="176"/>
      <c r="CI124" s="176"/>
      <c r="CJ124" s="175"/>
      <c r="CK124" s="67" t="s">
        <v>2867</v>
      </c>
      <c r="CL124" s="175"/>
      <c r="CM124" s="175"/>
      <c r="CN124" s="175"/>
      <c r="CO124" s="175"/>
      <c r="CP124" s="67" t="s">
        <v>1889</v>
      </c>
      <c r="CQ124" s="175" t="s">
        <v>3027</v>
      </c>
      <c r="CR124" s="175"/>
      <c r="CS124" s="67"/>
      <c r="CT124" s="175" t="s">
        <v>2867</v>
      </c>
      <c r="CU124" s="175"/>
      <c r="CV124" s="181" t="s">
        <v>2879</v>
      </c>
      <c r="CW124" s="67"/>
      <c r="CX124" s="182"/>
      <c r="CY124" s="175" t="s">
        <v>2880</v>
      </c>
      <c r="CZ124" s="175"/>
      <c r="DA124" s="175" t="s">
        <v>3760</v>
      </c>
      <c r="DB124" s="175" t="s">
        <v>3760</v>
      </c>
      <c r="DC124" s="175" t="s">
        <v>3853</v>
      </c>
      <c r="DD124" s="175"/>
      <c r="DE124" s="176">
        <v>46176</v>
      </c>
      <c r="DF124" s="175"/>
      <c r="DG124" s="182"/>
      <c r="DH124" s="183">
        <v>518600</v>
      </c>
      <c r="DI124" s="67"/>
      <c r="DJ124" s="67"/>
      <c r="DK124" s="67"/>
      <c r="DL124" s="67"/>
      <c r="DM124" s="67"/>
      <c r="DN124" s="183">
        <v>0</v>
      </c>
      <c r="DO124" s="183">
        <v>0</v>
      </c>
      <c r="DP124" s="67" t="s">
        <v>2867</v>
      </c>
      <c r="DQ124" s="175"/>
      <c r="DR124" s="175"/>
      <c r="DS124" s="175" t="s">
        <v>2882</v>
      </c>
      <c r="DT124" s="175"/>
      <c r="DU124" s="175"/>
      <c r="DV124" s="175" t="s">
        <v>2883</v>
      </c>
      <c r="DW124" s="175" t="s">
        <v>2884</v>
      </c>
      <c r="DX124" s="175" t="s">
        <v>2879</v>
      </c>
    </row>
    <row r="125" spans="1:128" ht="19.5" customHeight="1">
      <c r="A125" s="173" t="s">
        <v>3268</v>
      </c>
      <c r="B125" s="174" t="s">
        <v>3854</v>
      </c>
      <c r="C125" s="67"/>
      <c r="D125" s="67"/>
      <c r="E125" s="174" t="s">
        <v>3855</v>
      </c>
      <c r="F125" s="174" t="s">
        <v>2712</v>
      </c>
      <c r="G125" s="175" t="s">
        <v>3856</v>
      </c>
      <c r="H125" s="174" t="s">
        <v>2994</v>
      </c>
      <c r="I125" s="174" t="s">
        <v>2995</v>
      </c>
      <c r="J125" s="175" t="s">
        <v>2859</v>
      </c>
      <c r="K125" s="176">
        <v>46175</v>
      </c>
      <c r="L125" s="67" t="s">
        <v>3205</v>
      </c>
      <c r="M125" s="175" t="s">
        <v>2338</v>
      </c>
      <c r="N125" s="67" t="s">
        <v>2338</v>
      </c>
      <c r="O125" s="67" t="s">
        <v>2328</v>
      </c>
      <c r="P125" s="67" t="s">
        <v>2862</v>
      </c>
      <c r="Q125" s="67"/>
      <c r="R125" s="67"/>
      <c r="S125" s="67" t="s">
        <v>110</v>
      </c>
      <c r="T125" s="177" t="s">
        <v>3200</v>
      </c>
      <c r="U125" s="67" t="s">
        <v>116</v>
      </c>
      <c r="V125" s="67" t="s">
        <v>2970</v>
      </c>
      <c r="W125" s="175" t="s">
        <v>2865</v>
      </c>
      <c r="X125" s="67" t="s">
        <v>2710</v>
      </c>
      <c r="Y125" s="67" t="s">
        <v>2866</v>
      </c>
      <c r="Z125" s="67" t="s">
        <v>2711</v>
      </c>
      <c r="AA125" s="175" t="s">
        <v>2947</v>
      </c>
      <c r="AB125" s="175" t="s">
        <v>3857</v>
      </c>
      <c r="AC125" s="175" t="s">
        <v>3858</v>
      </c>
      <c r="AD125" s="175" t="s">
        <v>3859</v>
      </c>
      <c r="AE125" s="175" t="s">
        <v>3860</v>
      </c>
      <c r="AF125" s="176"/>
      <c r="AG125" s="176"/>
      <c r="AH125" s="176"/>
      <c r="AI125" s="67"/>
      <c r="AJ125" s="67"/>
      <c r="AK125" s="67" t="s">
        <v>2867</v>
      </c>
      <c r="AL125" s="67"/>
      <c r="AM125" s="176"/>
      <c r="AN125" s="176"/>
      <c r="AO125" s="67"/>
      <c r="AP125" s="67" t="s">
        <v>2867</v>
      </c>
      <c r="AQ125" s="67" t="s">
        <v>2868</v>
      </c>
      <c r="AR125" s="175"/>
      <c r="AS125" s="175" t="s">
        <v>2869</v>
      </c>
      <c r="AT125" s="175" t="s">
        <v>2867</v>
      </c>
      <c r="AU125" s="175"/>
      <c r="AV125" s="178">
        <v>0</v>
      </c>
      <c r="AW125" s="67"/>
      <c r="AX125" s="175" t="s">
        <v>2867</v>
      </c>
      <c r="AY125" s="175" t="s">
        <v>2870</v>
      </c>
      <c r="AZ125" s="175" t="s">
        <v>2871</v>
      </c>
      <c r="BA125" s="175"/>
      <c r="BB125" s="175"/>
      <c r="BC125" s="175" t="s">
        <v>2859</v>
      </c>
      <c r="BD125" s="175" t="s">
        <v>2872</v>
      </c>
      <c r="BE125" s="175" t="s">
        <v>2873</v>
      </c>
      <c r="BF125" s="175" t="s">
        <v>2867</v>
      </c>
      <c r="BG125" s="67"/>
      <c r="BH125" s="179"/>
      <c r="BI125" s="175" t="s">
        <v>2867</v>
      </c>
      <c r="BJ125" s="175"/>
      <c r="BK125" s="175" t="s">
        <v>2867</v>
      </c>
      <c r="BL125" s="175"/>
      <c r="BM125" s="175" t="s">
        <v>3206</v>
      </c>
      <c r="BN125" s="175" t="s">
        <v>3207</v>
      </c>
      <c r="BO125" s="180" t="s">
        <v>2879</v>
      </c>
      <c r="BP125" s="67" t="s">
        <v>2867</v>
      </c>
      <c r="BQ125" s="175" t="s">
        <v>1477</v>
      </c>
      <c r="BR125" s="177" t="s">
        <v>144</v>
      </c>
      <c r="BS125" s="177"/>
      <c r="BT125" s="67" t="s">
        <v>2867</v>
      </c>
      <c r="BU125" s="175"/>
      <c r="BV125" s="176"/>
      <c r="BW125" s="67" t="s">
        <v>2878</v>
      </c>
      <c r="BX125" s="175" t="s">
        <v>3861</v>
      </c>
      <c r="BY125" s="175" t="s">
        <v>2007</v>
      </c>
      <c r="BZ125" s="177"/>
      <c r="CA125" s="175"/>
      <c r="CB125" s="175"/>
      <c r="CC125" s="177"/>
      <c r="CD125" s="177"/>
      <c r="CE125" s="67"/>
      <c r="CF125" s="67"/>
      <c r="CG125" s="177"/>
      <c r="CH125" s="176"/>
      <c r="CI125" s="176"/>
      <c r="CJ125" s="175"/>
      <c r="CK125" s="67" t="s">
        <v>3027</v>
      </c>
      <c r="CL125" s="175" t="s">
        <v>929</v>
      </c>
      <c r="CM125" s="175" t="s">
        <v>3442</v>
      </c>
      <c r="CN125" s="175" t="s">
        <v>3452</v>
      </c>
      <c r="CO125" s="175"/>
      <c r="CP125" s="67" t="s">
        <v>1805</v>
      </c>
      <c r="CQ125" s="175" t="s">
        <v>3027</v>
      </c>
      <c r="CR125" s="175"/>
      <c r="CS125" s="67"/>
      <c r="CT125" s="175" t="s">
        <v>2867</v>
      </c>
      <c r="CU125" s="175"/>
      <c r="CV125" s="181" t="s">
        <v>2879</v>
      </c>
      <c r="CW125" s="67"/>
      <c r="CX125" s="182"/>
      <c r="CY125" s="175" t="s">
        <v>2880</v>
      </c>
      <c r="CZ125" s="175"/>
      <c r="DA125" s="175" t="s">
        <v>3760</v>
      </c>
      <c r="DB125" s="175" t="s">
        <v>3760</v>
      </c>
      <c r="DC125" s="175" t="s">
        <v>3862</v>
      </c>
      <c r="DD125" s="175" t="s">
        <v>3384</v>
      </c>
      <c r="DE125" s="176">
        <v>46176</v>
      </c>
      <c r="DF125" s="175"/>
      <c r="DG125" s="182"/>
      <c r="DH125" s="183">
        <v>935600</v>
      </c>
      <c r="DI125" s="67"/>
      <c r="DJ125" s="67"/>
      <c r="DK125" s="67"/>
      <c r="DL125" s="67"/>
      <c r="DM125" s="67"/>
      <c r="DN125" s="183">
        <v>0</v>
      </c>
      <c r="DO125" s="183">
        <v>0</v>
      </c>
      <c r="DP125" s="67" t="s">
        <v>2867</v>
      </c>
      <c r="DQ125" s="175"/>
      <c r="DR125" s="175"/>
      <c r="DS125" s="175" t="s">
        <v>2882</v>
      </c>
      <c r="DT125" s="175"/>
      <c r="DU125" s="175"/>
      <c r="DV125" s="175" t="s">
        <v>2883</v>
      </c>
      <c r="DW125" s="175" t="s">
        <v>2884</v>
      </c>
      <c r="DX125" s="175" t="s">
        <v>2879</v>
      </c>
    </row>
    <row r="126" spans="1:128" ht="19.5" customHeight="1">
      <c r="A126" s="173" t="s">
        <v>3268</v>
      </c>
      <c r="B126" s="174" t="s">
        <v>3863</v>
      </c>
      <c r="C126" s="67"/>
      <c r="D126" s="67"/>
      <c r="E126" s="174" t="s">
        <v>3864</v>
      </c>
      <c r="F126" s="174" t="s">
        <v>2722</v>
      </c>
      <c r="G126" s="175" t="s">
        <v>3865</v>
      </c>
      <c r="H126" s="174" t="s">
        <v>2994</v>
      </c>
      <c r="I126" s="174" t="s">
        <v>2995</v>
      </c>
      <c r="J126" s="175" t="s">
        <v>2859</v>
      </c>
      <c r="K126" s="176">
        <v>46175</v>
      </c>
      <c r="L126" s="67" t="s">
        <v>3212</v>
      </c>
      <c r="M126" s="175" t="s">
        <v>2611</v>
      </c>
      <c r="N126" s="67" t="s">
        <v>2611</v>
      </c>
      <c r="O126" s="67" t="s">
        <v>2329</v>
      </c>
      <c r="P126" s="67" t="s">
        <v>2997</v>
      </c>
      <c r="Q126" s="67"/>
      <c r="R126" s="67"/>
      <c r="S126" s="67" t="s">
        <v>101</v>
      </c>
      <c r="T126" s="177" t="s">
        <v>3200</v>
      </c>
      <c r="U126" s="67" t="s">
        <v>1277</v>
      </c>
      <c r="V126" s="67" t="s">
        <v>2970</v>
      </c>
      <c r="W126" s="175" t="s">
        <v>2865</v>
      </c>
      <c r="X126" s="67" t="s">
        <v>2714</v>
      </c>
      <c r="Y126" s="67" t="s">
        <v>2866</v>
      </c>
      <c r="Z126" s="67" t="s">
        <v>2715</v>
      </c>
      <c r="AA126" s="175" t="s">
        <v>2947</v>
      </c>
      <c r="AB126" s="175" t="s">
        <v>3866</v>
      </c>
      <c r="AC126" s="175" t="s">
        <v>3867</v>
      </c>
      <c r="AD126" s="175" t="s">
        <v>3868</v>
      </c>
      <c r="AE126" s="175" t="s">
        <v>3869</v>
      </c>
      <c r="AF126" s="176"/>
      <c r="AG126" s="176"/>
      <c r="AH126" s="176"/>
      <c r="AI126" s="67"/>
      <c r="AJ126" s="67"/>
      <c r="AK126" s="67" t="s">
        <v>2867</v>
      </c>
      <c r="AL126" s="67"/>
      <c r="AM126" s="176"/>
      <c r="AN126" s="176"/>
      <c r="AO126" s="67"/>
      <c r="AP126" s="67" t="s">
        <v>2867</v>
      </c>
      <c r="AQ126" s="67" t="s">
        <v>2868</v>
      </c>
      <c r="AR126" s="175"/>
      <c r="AS126" s="175" t="s">
        <v>2869</v>
      </c>
      <c r="AT126" s="175" t="s">
        <v>2867</v>
      </c>
      <c r="AU126" s="175"/>
      <c r="AV126" s="178">
        <v>0</v>
      </c>
      <c r="AW126" s="67"/>
      <c r="AX126" s="175" t="s">
        <v>2867</v>
      </c>
      <c r="AY126" s="175" t="s">
        <v>2870</v>
      </c>
      <c r="AZ126" s="175" t="s">
        <v>2871</v>
      </c>
      <c r="BA126" s="175"/>
      <c r="BB126" s="175"/>
      <c r="BC126" s="175" t="s">
        <v>2859</v>
      </c>
      <c r="BD126" s="175" t="s">
        <v>2872</v>
      </c>
      <c r="BE126" s="175" t="s">
        <v>2873</v>
      </c>
      <c r="BF126" s="175" t="s">
        <v>2867</v>
      </c>
      <c r="BG126" s="67"/>
      <c r="BH126" s="179"/>
      <c r="BI126" s="175" t="s">
        <v>2867</v>
      </c>
      <c r="BJ126" s="175"/>
      <c r="BK126" s="175" t="s">
        <v>2867</v>
      </c>
      <c r="BL126" s="175"/>
      <c r="BM126" s="175" t="s">
        <v>3206</v>
      </c>
      <c r="BN126" s="175" t="s">
        <v>3207</v>
      </c>
      <c r="BO126" s="180" t="s">
        <v>2879</v>
      </c>
      <c r="BP126" s="67" t="s">
        <v>2867</v>
      </c>
      <c r="BQ126" s="175" t="s">
        <v>1477</v>
      </c>
      <c r="BR126" s="177" t="s">
        <v>144</v>
      </c>
      <c r="BS126" s="177"/>
      <c r="BT126" s="67" t="s">
        <v>2867</v>
      </c>
      <c r="BU126" s="175"/>
      <c r="BV126" s="176"/>
      <c r="BW126" s="67" t="s">
        <v>2878</v>
      </c>
      <c r="BX126" s="175" t="s">
        <v>3870</v>
      </c>
      <c r="BY126" s="175" t="s">
        <v>2007</v>
      </c>
      <c r="BZ126" s="177"/>
      <c r="CA126" s="175"/>
      <c r="CB126" s="175"/>
      <c r="CC126" s="177"/>
      <c r="CD126" s="177"/>
      <c r="CE126" s="67"/>
      <c r="CF126" s="67"/>
      <c r="CG126" s="177"/>
      <c r="CH126" s="176"/>
      <c r="CI126" s="176"/>
      <c r="CJ126" s="175"/>
      <c r="CK126" s="67" t="s">
        <v>3027</v>
      </c>
      <c r="CL126" s="175" t="s">
        <v>929</v>
      </c>
      <c r="CM126" s="175" t="s">
        <v>3442</v>
      </c>
      <c r="CN126" s="175" t="s">
        <v>3452</v>
      </c>
      <c r="CO126" s="175"/>
      <c r="CP126" s="67" t="s">
        <v>1814</v>
      </c>
      <c r="CQ126" s="175" t="s">
        <v>3027</v>
      </c>
      <c r="CR126" s="175"/>
      <c r="CS126" s="67"/>
      <c r="CT126" s="175" t="s">
        <v>2867</v>
      </c>
      <c r="CU126" s="175"/>
      <c r="CV126" s="181" t="s">
        <v>2879</v>
      </c>
      <c r="CW126" s="67"/>
      <c r="CX126" s="182"/>
      <c r="CY126" s="175" t="s">
        <v>2880</v>
      </c>
      <c r="CZ126" s="175"/>
      <c r="DA126" s="175" t="s">
        <v>3760</v>
      </c>
      <c r="DB126" s="175" t="s">
        <v>3760</v>
      </c>
      <c r="DC126" s="175" t="s">
        <v>3636</v>
      </c>
      <c r="DD126" s="175"/>
      <c r="DE126" s="176">
        <v>46176</v>
      </c>
      <c r="DF126" s="175"/>
      <c r="DG126" s="182"/>
      <c r="DH126" s="183">
        <v>935600</v>
      </c>
      <c r="DI126" s="67"/>
      <c r="DJ126" s="67"/>
      <c r="DK126" s="67"/>
      <c r="DL126" s="67"/>
      <c r="DM126" s="67"/>
      <c r="DN126" s="183">
        <v>0</v>
      </c>
      <c r="DO126" s="183">
        <v>0</v>
      </c>
      <c r="DP126" s="67" t="s">
        <v>2867</v>
      </c>
      <c r="DQ126" s="175"/>
      <c r="DR126" s="175"/>
      <c r="DS126" s="175" t="s">
        <v>2882</v>
      </c>
      <c r="DT126" s="175"/>
      <c r="DU126" s="175"/>
      <c r="DV126" s="175" t="s">
        <v>2883</v>
      </c>
      <c r="DW126" s="175" t="s">
        <v>2884</v>
      </c>
      <c r="DX126" s="175" t="s">
        <v>2879</v>
      </c>
    </row>
    <row r="127" spans="1:128" ht="19.5" customHeight="1">
      <c r="A127" s="173" t="s">
        <v>3268</v>
      </c>
      <c r="B127" s="174" t="s">
        <v>3871</v>
      </c>
      <c r="C127" s="67"/>
      <c r="D127" s="67"/>
      <c r="E127" s="174" t="s">
        <v>3872</v>
      </c>
      <c r="F127" s="174" t="s">
        <v>2723</v>
      </c>
      <c r="G127" s="175" t="s">
        <v>3873</v>
      </c>
      <c r="H127" s="174" t="s">
        <v>2994</v>
      </c>
      <c r="I127" s="174" t="s">
        <v>2995</v>
      </c>
      <c r="J127" s="175" t="s">
        <v>2859</v>
      </c>
      <c r="K127" s="176">
        <v>46175</v>
      </c>
      <c r="L127" s="67" t="s">
        <v>3217</v>
      </c>
      <c r="M127" s="175" t="s">
        <v>2611</v>
      </c>
      <c r="N127" s="67" t="s">
        <v>2611</v>
      </c>
      <c r="O127" s="67" t="s">
        <v>2329</v>
      </c>
      <c r="P127" s="67" t="s">
        <v>2997</v>
      </c>
      <c r="Q127" s="67"/>
      <c r="R127" s="67"/>
      <c r="S127" s="67" t="s">
        <v>101</v>
      </c>
      <c r="T127" s="177" t="s">
        <v>3200</v>
      </c>
      <c r="U127" s="67" t="s">
        <v>1277</v>
      </c>
      <c r="V127" s="67" t="s">
        <v>2970</v>
      </c>
      <c r="W127" s="175" t="s">
        <v>2865</v>
      </c>
      <c r="X127" s="67" t="s">
        <v>2716</v>
      </c>
      <c r="Y127" s="67" t="s">
        <v>2866</v>
      </c>
      <c r="Z127" s="67" t="s">
        <v>2717</v>
      </c>
      <c r="AA127" s="175" t="s">
        <v>2947</v>
      </c>
      <c r="AB127" s="175" t="s">
        <v>3874</v>
      </c>
      <c r="AC127" s="175" t="s">
        <v>3875</v>
      </c>
      <c r="AD127" s="175" t="s">
        <v>3876</v>
      </c>
      <c r="AE127" s="175" t="s">
        <v>3877</v>
      </c>
      <c r="AF127" s="176"/>
      <c r="AG127" s="176"/>
      <c r="AH127" s="176"/>
      <c r="AI127" s="67"/>
      <c r="AJ127" s="67"/>
      <c r="AK127" s="67" t="s">
        <v>2867</v>
      </c>
      <c r="AL127" s="67"/>
      <c r="AM127" s="176"/>
      <c r="AN127" s="176"/>
      <c r="AO127" s="67"/>
      <c r="AP127" s="67" t="s">
        <v>2867</v>
      </c>
      <c r="AQ127" s="67" t="s">
        <v>2868</v>
      </c>
      <c r="AR127" s="175"/>
      <c r="AS127" s="175" t="s">
        <v>2869</v>
      </c>
      <c r="AT127" s="175" t="s">
        <v>2867</v>
      </c>
      <c r="AU127" s="175"/>
      <c r="AV127" s="178">
        <v>0</v>
      </c>
      <c r="AW127" s="67"/>
      <c r="AX127" s="175" t="s">
        <v>2867</v>
      </c>
      <c r="AY127" s="175" t="s">
        <v>2870</v>
      </c>
      <c r="AZ127" s="175" t="s">
        <v>2871</v>
      </c>
      <c r="BA127" s="175"/>
      <c r="BB127" s="175"/>
      <c r="BC127" s="175" t="s">
        <v>2859</v>
      </c>
      <c r="BD127" s="175" t="s">
        <v>2872</v>
      </c>
      <c r="BE127" s="175" t="s">
        <v>2873</v>
      </c>
      <c r="BF127" s="175" t="s">
        <v>2867</v>
      </c>
      <c r="BG127" s="67"/>
      <c r="BH127" s="179"/>
      <c r="BI127" s="175" t="s">
        <v>2867</v>
      </c>
      <c r="BJ127" s="175"/>
      <c r="BK127" s="175" t="s">
        <v>2867</v>
      </c>
      <c r="BL127" s="175"/>
      <c r="BM127" s="175" t="s">
        <v>3206</v>
      </c>
      <c r="BN127" s="175" t="s">
        <v>3207</v>
      </c>
      <c r="BO127" s="180" t="s">
        <v>2879</v>
      </c>
      <c r="BP127" s="67" t="s">
        <v>2867</v>
      </c>
      <c r="BQ127" s="175" t="s">
        <v>1477</v>
      </c>
      <c r="BR127" s="177" t="s">
        <v>144</v>
      </c>
      <c r="BS127" s="177"/>
      <c r="BT127" s="67" t="s">
        <v>2867</v>
      </c>
      <c r="BU127" s="175"/>
      <c r="BV127" s="176"/>
      <c r="BW127" s="67" t="s">
        <v>2878</v>
      </c>
      <c r="BX127" s="175" t="s">
        <v>3878</v>
      </c>
      <c r="BY127" s="175" t="s">
        <v>2007</v>
      </c>
      <c r="BZ127" s="177"/>
      <c r="CA127" s="175"/>
      <c r="CB127" s="175"/>
      <c r="CC127" s="177"/>
      <c r="CD127" s="177"/>
      <c r="CE127" s="67"/>
      <c r="CF127" s="67"/>
      <c r="CG127" s="177"/>
      <c r="CH127" s="176"/>
      <c r="CI127" s="176"/>
      <c r="CJ127" s="175"/>
      <c r="CK127" s="67" t="s">
        <v>3027</v>
      </c>
      <c r="CL127" s="175" t="s">
        <v>929</v>
      </c>
      <c r="CM127" s="175" t="s">
        <v>3442</v>
      </c>
      <c r="CN127" s="175" t="s">
        <v>3452</v>
      </c>
      <c r="CO127" s="175"/>
      <c r="CP127" s="67" t="s">
        <v>1814</v>
      </c>
      <c r="CQ127" s="175" t="s">
        <v>3027</v>
      </c>
      <c r="CR127" s="175"/>
      <c r="CS127" s="67"/>
      <c r="CT127" s="175" t="s">
        <v>2867</v>
      </c>
      <c r="CU127" s="175"/>
      <c r="CV127" s="181" t="s">
        <v>2879</v>
      </c>
      <c r="CW127" s="67"/>
      <c r="CX127" s="182"/>
      <c r="CY127" s="175" t="s">
        <v>2880</v>
      </c>
      <c r="CZ127" s="175"/>
      <c r="DA127" s="175" t="s">
        <v>3760</v>
      </c>
      <c r="DB127" s="175" t="s">
        <v>3760</v>
      </c>
      <c r="DC127" s="175" t="s">
        <v>3636</v>
      </c>
      <c r="DD127" s="175"/>
      <c r="DE127" s="176">
        <v>46176</v>
      </c>
      <c r="DF127" s="175"/>
      <c r="DG127" s="182"/>
      <c r="DH127" s="183">
        <v>935600</v>
      </c>
      <c r="DI127" s="67"/>
      <c r="DJ127" s="67"/>
      <c r="DK127" s="67"/>
      <c r="DL127" s="67"/>
      <c r="DM127" s="67"/>
      <c r="DN127" s="183">
        <v>0</v>
      </c>
      <c r="DO127" s="183">
        <v>0</v>
      </c>
      <c r="DP127" s="67" t="s">
        <v>2867</v>
      </c>
      <c r="DQ127" s="175"/>
      <c r="DR127" s="175"/>
      <c r="DS127" s="175" t="s">
        <v>2882</v>
      </c>
      <c r="DT127" s="175"/>
      <c r="DU127" s="175"/>
      <c r="DV127" s="175" t="s">
        <v>2883</v>
      </c>
      <c r="DW127" s="175" t="s">
        <v>2884</v>
      </c>
      <c r="DX127" s="175" t="s">
        <v>2879</v>
      </c>
    </row>
    <row r="128" spans="1:128" ht="19.5" customHeight="1">
      <c r="A128" s="173" t="s">
        <v>3268</v>
      </c>
      <c r="B128" s="174" t="s">
        <v>3879</v>
      </c>
      <c r="C128" s="67"/>
      <c r="D128" s="67"/>
      <c r="E128" s="174" t="s">
        <v>3880</v>
      </c>
      <c r="F128" s="174" t="s">
        <v>2724</v>
      </c>
      <c r="G128" s="175" t="s">
        <v>3881</v>
      </c>
      <c r="H128" s="174" t="s">
        <v>2994</v>
      </c>
      <c r="I128" s="174" t="s">
        <v>2995</v>
      </c>
      <c r="J128" s="175" t="s">
        <v>2859</v>
      </c>
      <c r="K128" s="176">
        <v>46175</v>
      </c>
      <c r="L128" s="67" t="s">
        <v>3222</v>
      </c>
      <c r="M128" s="175" t="s">
        <v>2611</v>
      </c>
      <c r="N128" s="67" t="s">
        <v>2611</v>
      </c>
      <c r="O128" s="67" t="s">
        <v>2329</v>
      </c>
      <c r="P128" s="67" t="s">
        <v>2997</v>
      </c>
      <c r="Q128" s="67"/>
      <c r="R128" s="67"/>
      <c r="S128" s="67" t="s">
        <v>101</v>
      </c>
      <c r="T128" s="177" t="s">
        <v>3200</v>
      </c>
      <c r="U128" s="67" t="s">
        <v>1277</v>
      </c>
      <c r="V128" s="67" t="s">
        <v>2970</v>
      </c>
      <c r="W128" s="175" t="s">
        <v>2865</v>
      </c>
      <c r="X128" s="67" t="s">
        <v>2718</v>
      </c>
      <c r="Y128" s="67" t="s">
        <v>2866</v>
      </c>
      <c r="Z128" s="67" t="s">
        <v>2719</v>
      </c>
      <c r="AA128" s="175" t="s">
        <v>2947</v>
      </c>
      <c r="AB128" s="175" t="s">
        <v>3882</v>
      </c>
      <c r="AC128" s="175" t="s">
        <v>3883</v>
      </c>
      <c r="AD128" s="175" t="s">
        <v>3884</v>
      </c>
      <c r="AE128" s="175" t="s">
        <v>3885</v>
      </c>
      <c r="AF128" s="176"/>
      <c r="AG128" s="176"/>
      <c r="AH128" s="176"/>
      <c r="AI128" s="67"/>
      <c r="AJ128" s="67"/>
      <c r="AK128" s="67" t="s">
        <v>2867</v>
      </c>
      <c r="AL128" s="67"/>
      <c r="AM128" s="176"/>
      <c r="AN128" s="176"/>
      <c r="AO128" s="67"/>
      <c r="AP128" s="67" t="s">
        <v>2867</v>
      </c>
      <c r="AQ128" s="67" t="s">
        <v>2868</v>
      </c>
      <c r="AR128" s="175"/>
      <c r="AS128" s="175" t="s">
        <v>2869</v>
      </c>
      <c r="AT128" s="175" t="s">
        <v>2867</v>
      </c>
      <c r="AU128" s="175"/>
      <c r="AV128" s="178">
        <v>0</v>
      </c>
      <c r="AW128" s="67"/>
      <c r="AX128" s="175" t="s">
        <v>2867</v>
      </c>
      <c r="AY128" s="175" t="s">
        <v>2870</v>
      </c>
      <c r="AZ128" s="175" t="s">
        <v>2871</v>
      </c>
      <c r="BA128" s="175"/>
      <c r="BB128" s="175"/>
      <c r="BC128" s="175" t="s">
        <v>2859</v>
      </c>
      <c r="BD128" s="175" t="s">
        <v>2872</v>
      </c>
      <c r="BE128" s="175" t="s">
        <v>2873</v>
      </c>
      <c r="BF128" s="175" t="s">
        <v>2867</v>
      </c>
      <c r="BG128" s="67"/>
      <c r="BH128" s="179"/>
      <c r="BI128" s="175" t="s">
        <v>2867</v>
      </c>
      <c r="BJ128" s="175"/>
      <c r="BK128" s="175" t="s">
        <v>2867</v>
      </c>
      <c r="BL128" s="175"/>
      <c r="BM128" s="175" t="s">
        <v>3206</v>
      </c>
      <c r="BN128" s="175" t="s">
        <v>3207</v>
      </c>
      <c r="BO128" s="180" t="s">
        <v>2879</v>
      </c>
      <c r="BP128" s="67" t="s">
        <v>2867</v>
      </c>
      <c r="BQ128" s="175" t="s">
        <v>1477</v>
      </c>
      <c r="BR128" s="177" t="s">
        <v>144</v>
      </c>
      <c r="BS128" s="177"/>
      <c r="BT128" s="67" t="s">
        <v>2867</v>
      </c>
      <c r="BU128" s="175"/>
      <c r="BV128" s="176"/>
      <c r="BW128" s="67" t="s">
        <v>2878</v>
      </c>
      <c r="BX128" s="175" t="s">
        <v>3886</v>
      </c>
      <c r="BY128" s="175" t="s">
        <v>2007</v>
      </c>
      <c r="BZ128" s="177"/>
      <c r="CA128" s="175"/>
      <c r="CB128" s="175"/>
      <c r="CC128" s="177"/>
      <c r="CD128" s="177"/>
      <c r="CE128" s="67"/>
      <c r="CF128" s="67"/>
      <c r="CG128" s="177"/>
      <c r="CH128" s="176"/>
      <c r="CI128" s="176"/>
      <c r="CJ128" s="175"/>
      <c r="CK128" s="67" t="s">
        <v>3027</v>
      </c>
      <c r="CL128" s="175" t="s">
        <v>929</v>
      </c>
      <c r="CM128" s="175" t="s">
        <v>3442</v>
      </c>
      <c r="CN128" s="175" t="s">
        <v>3452</v>
      </c>
      <c r="CO128" s="175"/>
      <c r="CP128" s="67" t="s">
        <v>1814</v>
      </c>
      <c r="CQ128" s="175" t="s">
        <v>3027</v>
      </c>
      <c r="CR128" s="175"/>
      <c r="CS128" s="67"/>
      <c r="CT128" s="175" t="s">
        <v>2867</v>
      </c>
      <c r="CU128" s="175"/>
      <c r="CV128" s="181" t="s">
        <v>2879</v>
      </c>
      <c r="CW128" s="67"/>
      <c r="CX128" s="182"/>
      <c r="CY128" s="175" t="s">
        <v>2880</v>
      </c>
      <c r="CZ128" s="175"/>
      <c r="DA128" s="175" t="s">
        <v>3760</v>
      </c>
      <c r="DB128" s="175" t="s">
        <v>3760</v>
      </c>
      <c r="DC128" s="175" t="s">
        <v>3636</v>
      </c>
      <c r="DD128" s="175"/>
      <c r="DE128" s="176">
        <v>46176</v>
      </c>
      <c r="DF128" s="175"/>
      <c r="DG128" s="182"/>
      <c r="DH128" s="183">
        <v>935600</v>
      </c>
      <c r="DI128" s="67"/>
      <c r="DJ128" s="67"/>
      <c r="DK128" s="67"/>
      <c r="DL128" s="67"/>
      <c r="DM128" s="67"/>
      <c r="DN128" s="183">
        <v>0</v>
      </c>
      <c r="DO128" s="183">
        <v>0</v>
      </c>
      <c r="DP128" s="67" t="s">
        <v>2867</v>
      </c>
      <c r="DQ128" s="175"/>
      <c r="DR128" s="175"/>
      <c r="DS128" s="175" t="s">
        <v>2882</v>
      </c>
      <c r="DT128" s="175"/>
      <c r="DU128" s="175"/>
      <c r="DV128" s="175" t="s">
        <v>2883</v>
      </c>
      <c r="DW128" s="175" t="s">
        <v>2884</v>
      </c>
      <c r="DX128" s="175" t="s">
        <v>2879</v>
      </c>
    </row>
    <row r="129" spans="1:128" ht="19.5" customHeight="1">
      <c r="A129" s="173" t="s">
        <v>3268</v>
      </c>
      <c r="B129" s="174" t="s">
        <v>3887</v>
      </c>
      <c r="C129" s="67"/>
      <c r="D129" s="67"/>
      <c r="E129" s="174" t="s">
        <v>3888</v>
      </c>
      <c r="F129" s="174" t="s">
        <v>2725</v>
      </c>
      <c r="G129" s="175" t="s">
        <v>3889</v>
      </c>
      <c r="H129" s="174" t="s">
        <v>2994</v>
      </c>
      <c r="I129" s="174" t="s">
        <v>2995</v>
      </c>
      <c r="J129" s="175" t="s">
        <v>2859</v>
      </c>
      <c r="K129" s="176">
        <v>46175</v>
      </c>
      <c r="L129" s="67" t="s">
        <v>3199</v>
      </c>
      <c r="M129" s="175" t="s">
        <v>2611</v>
      </c>
      <c r="N129" s="67" t="s">
        <v>2611</v>
      </c>
      <c r="O129" s="67" t="s">
        <v>2329</v>
      </c>
      <c r="P129" s="67" t="s">
        <v>2997</v>
      </c>
      <c r="Q129" s="67"/>
      <c r="R129" s="67"/>
      <c r="S129" s="67" t="s">
        <v>101</v>
      </c>
      <c r="T129" s="177" t="s">
        <v>3200</v>
      </c>
      <c r="U129" s="67" t="s">
        <v>1277</v>
      </c>
      <c r="V129" s="67" t="s">
        <v>2970</v>
      </c>
      <c r="W129" s="175" t="s">
        <v>2865</v>
      </c>
      <c r="X129" s="67" t="s">
        <v>2720</v>
      </c>
      <c r="Y129" s="67" t="s">
        <v>2866</v>
      </c>
      <c r="Z129" s="67" t="s">
        <v>2721</v>
      </c>
      <c r="AA129" s="175" t="s">
        <v>2947</v>
      </c>
      <c r="AB129" s="175" t="s">
        <v>3890</v>
      </c>
      <c r="AC129" s="175" t="s">
        <v>3891</v>
      </c>
      <c r="AD129" s="175" t="s">
        <v>3892</v>
      </c>
      <c r="AE129" s="175" t="s">
        <v>3893</v>
      </c>
      <c r="AF129" s="176"/>
      <c r="AG129" s="176"/>
      <c r="AH129" s="176"/>
      <c r="AI129" s="67"/>
      <c r="AJ129" s="67"/>
      <c r="AK129" s="67" t="s">
        <v>2867</v>
      </c>
      <c r="AL129" s="67"/>
      <c r="AM129" s="176"/>
      <c r="AN129" s="176"/>
      <c r="AO129" s="67"/>
      <c r="AP129" s="67" t="s">
        <v>2867</v>
      </c>
      <c r="AQ129" s="67" t="s">
        <v>2868</v>
      </c>
      <c r="AR129" s="175"/>
      <c r="AS129" s="175" t="s">
        <v>2869</v>
      </c>
      <c r="AT129" s="175" t="s">
        <v>2867</v>
      </c>
      <c r="AU129" s="175"/>
      <c r="AV129" s="178">
        <v>0</v>
      </c>
      <c r="AW129" s="67"/>
      <c r="AX129" s="175" t="s">
        <v>2867</v>
      </c>
      <c r="AY129" s="175" t="s">
        <v>2870</v>
      </c>
      <c r="AZ129" s="175" t="s">
        <v>2871</v>
      </c>
      <c r="BA129" s="175"/>
      <c r="BB129" s="175"/>
      <c r="BC129" s="175" t="s">
        <v>2859</v>
      </c>
      <c r="BD129" s="175" t="s">
        <v>2872</v>
      </c>
      <c r="BE129" s="175" t="s">
        <v>2873</v>
      </c>
      <c r="BF129" s="175" t="s">
        <v>2867</v>
      </c>
      <c r="BG129" s="67"/>
      <c r="BH129" s="179"/>
      <c r="BI129" s="175" t="s">
        <v>2867</v>
      </c>
      <c r="BJ129" s="175"/>
      <c r="BK129" s="175" t="s">
        <v>2867</v>
      </c>
      <c r="BL129" s="175"/>
      <c r="BM129" s="175" t="s">
        <v>3206</v>
      </c>
      <c r="BN129" s="175" t="s">
        <v>3207</v>
      </c>
      <c r="BO129" s="180" t="s">
        <v>2879</v>
      </c>
      <c r="BP129" s="67" t="s">
        <v>2867</v>
      </c>
      <c r="BQ129" s="175" t="s">
        <v>1477</v>
      </c>
      <c r="BR129" s="177" t="s">
        <v>144</v>
      </c>
      <c r="BS129" s="177"/>
      <c r="BT129" s="67" t="s">
        <v>2867</v>
      </c>
      <c r="BU129" s="175"/>
      <c r="BV129" s="176"/>
      <c r="BW129" s="67" t="s">
        <v>2878</v>
      </c>
      <c r="BX129" s="175" t="s">
        <v>3894</v>
      </c>
      <c r="BY129" s="175" t="s">
        <v>2007</v>
      </c>
      <c r="BZ129" s="177"/>
      <c r="CA129" s="175"/>
      <c r="CB129" s="175"/>
      <c r="CC129" s="177"/>
      <c r="CD129" s="177"/>
      <c r="CE129" s="67"/>
      <c r="CF129" s="67"/>
      <c r="CG129" s="177"/>
      <c r="CH129" s="176"/>
      <c r="CI129" s="176"/>
      <c r="CJ129" s="175"/>
      <c r="CK129" s="67" t="s">
        <v>3027</v>
      </c>
      <c r="CL129" s="175" t="s">
        <v>929</v>
      </c>
      <c r="CM129" s="175" t="s">
        <v>3418</v>
      </c>
      <c r="CN129" s="175" t="s">
        <v>3452</v>
      </c>
      <c r="CO129" s="175"/>
      <c r="CP129" s="67" t="s">
        <v>1814</v>
      </c>
      <c r="CQ129" s="175" t="s">
        <v>3027</v>
      </c>
      <c r="CR129" s="175"/>
      <c r="CS129" s="67"/>
      <c r="CT129" s="175" t="s">
        <v>2867</v>
      </c>
      <c r="CU129" s="175"/>
      <c r="CV129" s="181" t="s">
        <v>2879</v>
      </c>
      <c r="CW129" s="67"/>
      <c r="CX129" s="182"/>
      <c r="CY129" s="175" t="s">
        <v>2880</v>
      </c>
      <c r="CZ129" s="175"/>
      <c r="DA129" s="175" t="s">
        <v>3760</v>
      </c>
      <c r="DB129" s="175" t="s">
        <v>3760</v>
      </c>
      <c r="DC129" s="175" t="s">
        <v>3636</v>
      </c>
      <c r="DD129" s="175"/>
      <c r="DE129" s="176">
        <v>46176</v>
      </c>
      <c r="DF129" s="175"/>
      <c r="DG129" s="182"/>
      <c r="DH129" s="183">
        <v>935600</v>
      </c>
      <c r="DI129" s="67"/>
      <c r="DJ129" s="67"/>
      <c r="DK129" s="67"/>
      <c r="DL129" s="67"/>
      <c r="DM129" s="67"/>
      <c r="DN129" s="183">
        <v>0</v>
      </c>
      <c r="DO129" s="183">
        <v>0</v>
      </c>
      <c r="DP129" s="67" t="s">
        <v>2867</v>
      </c>
      <c r="DQ129" s="175"/>
      <c r="DR129" s="175"/>
      <c r="DS129" s="175" t="s">
        <v>2882</v>
      </c>
      <c r="DT129" s="175"/>
      <c r="DU129" s="175"/>
      <c r="DV129" s="175" t="s">
        <v>2883</v>
      </c>
      <c r="DW129" s="175" t="s">
        <v>2884</v>
      </c>
      <c r="DX129" s="175" t="s">
        <v>2879</v>
      </c>
    </row>
    <row r="130" spans="1:128" ht="19.5" customHeight="1">
      <c r="A130" s="173"/>
      <c r="B130" s="174" t="s">
        <v>3895</v>
      </c>
      <c r="C130" s="67"/>
      <c r="D130" s="67"/>
      <c r="E130" s="189" t="s">
        <v>3896</v>
      </c>
      <c r="F130" s="174" t="s">
        <v>3897</v>
      </c>
      <c r="G130" s="175" t="s">
        <v>3898</v>
      </c>
      <c r="H130" s="189" t="s">
        <v>2994</v>
      </c>
      <c r="I130" s="189" t="s">
        <v>2995</v>
      </c>
      <c r="J130" s="175" t="s">
        <v>2859</v>
      </c>
      <c r="K130" s="176">
        <v>46175</v>
      </c>
      <c r="L130" s="67" t="s">
        <v>2969</v>
      </c>
      <c r="M130" s="175" t="s">
        <v>3899</v>
      </c>
      <c r="N130" s="67" t="s">
        <v>3899</v>
      </c>
      <c r="O130" s="67" t="s">
        <v>3900</v>
      </c>
      <c r="P130" s="67" t="s">
        <v>3901</v>
      </c>
      <c r="Q130" s="67" t="s">
        <v>336</v>
      </c>
      <c r="R130" s="67" t="s">
        <v>1099</v>
      </c>
      <c r="S130" s="67" t="s">
        <v>1099</v>
      </c>
      <c r="T130" s="177" t="s">
        <v>3902</v>
      </c>
      <c r="U130" s="67" t="s">
        <v>1275</v>
      </c>
      <c r="V130" s="67" t="s">
        <v>1883</v>
      </c>
      <c r="W130" s="175" t="s">
        <v>2865</v>
      </c>
      <c r="X130" s="67" t="s">
        <v>3903</v>
      </c>
      <c r="Y130" s="67" t="s">
        <v>3904</v>
      </c>
      <c r="Z130" s="67" t="s">
        <v>3905</v>
      </c>
      <c r="AA130" s="175" t="s">
        <v>2947</v>
      </c>
      <c r="AB130" s="175" t="s">
        <v>3906</v>
      </c>
      <c r="AC130" s="175" t="s">
        <v>3907</v>
      </c>
      <c r="AD130" s="175" t="s">
        <v>3908</v>
      </c>
      <c r="AE130" s="175" t="s">
        <v>3909</v>
      </c>
      <c r="AF130" s="176"/>
      <c r="AG130" s="176">
        <v>46176</v>
      </c>
      <c r="AH130" s="176">
        <v>46175</v>
      </c>
      <c r="AI130" s="67" t="s">
        <v>2867</v>
      </c>
      <c r="AJ130" s="67"/>
      <c r="AK130" s="67" t="s">
        <v>2867</v>
      </c>
      <c r="AL130" s="67"/>
      <c r="AM130" s="176"/>
      <c r="AN130" s="176"/>
      <c r="AO130" s="67"/>
      <c r="AP130" s="67" t="s">
        <v>2867</v>
      </c>
      <c r="AQ130" s="67" t="s">
        <v>2868</v>
      </c>
      <c r="AR130" s="175"/>
      <c r="AS130" s="175" t="s">
        <v>2869</v>
      </c>
      <c r="AT130" s="175" t="s">
        <v>2867</v>
      </c>
      <c r="AU130" s="175"/>
      <c r="AV130" s="178">
        <v>0</v>
      </c>
      <c r="AW130" s="67"/>
      <c r="AX130" s="175" t="s">
        <v>2867</v>
      </c>
      <c r="AY130" s="175" t="s">
        <v>2870</v>
      </c>
      <c r="AZ130" s="175" t="s">
        <v>2871</v>
      </c>
      <c r="BA130" s="175"/>
      <c r="BB130" s="175"/>
      <c r="BC130" s="175" t="s">
        <v>2859</v>
      </c>
      <c r="BD130" s="175" t="s">
        <v>2872</v>
      </c>
      <c r="BE130" s="175" t="s">
        <v>2873</v>
      </c>
      <c r="BF130" s="175" t="s">
        <v>2867</v>
      </c>
      <c r="BG130" s="67"/>
      <c r="BH130" s="179"/>
      <c r="BI130" s="175" t="s">
        <v>2867</v>
      </c>
      <c r="BJ130" s="175"/>
      <c r="BK130" s="175" t="s">
        <v>2867</v>
      </c>
      <c r="BL130" s="175"/>
      <c r="BM130" s="175" t="s">
        <v>2874</v>
      </c>
      <c r="BN130" s="175" t="s">
        <v>2875</v>
      </c>
      <c r="BO130" s="180"/>
      <c r="BP130" s="67" t="s">
        <v>2867</v>
      </c>
      <c r="BQ130" s="175" t="s">
        <v>1906</v>
      </c>
      <c r="BR130" s="177" t="s">
        <v>338</v>
      </c>
      <c r="BS130" s="177"/>
      <c r="BT130" s="67" t="s">
        <v>2867</v>
      </c>
      <c r="BU130" s="175"/>
      <c r="BV130" s="176"/>
      <c r="BW130" s="67" t="s">
        <v>2878</v>
      </c>
      <c r="BX130" s="175" t="s">
        <v>3910</v>
      </c>
      <c r="BY130" s="175" t="s">
        <v>3911</v>
      </c>
      <c r="BZ130" s="177"/>
      <c r="CA130" s="175"/>
      <c r="CB130" s="175"/>
      <c r="CC130" s="177"/>
      <c r="CD130" s="177"/>
      <c r="CE130" s="67"/>
      <c r="CF130" s="67"/>
      <c r="CG130" s="177"/>
      <c r="CH130" s="176"/>
      <c r="CI130" s="176"/>
      <c r="CJ130" s="175"/>
      <c r="CK130" s="67" t="s">
        <v>2867</v>
      </c>
      <c r="CL130" s="175"/>
      <c r="CM130" s="175"/>
      <c r="CN130" s="175"/>
      <c r="CO130" s="175"/>
      <c r="CP130" s="67" t="s">
        <v>1883</v>
      </c>
      <c r="CQ130" s="175" t="s">
        <v>3027</v>
      </c>
      <c r="CR130" s="175"/>
      <c r="CS130" s="67" t="s">
        <v>1883</v>
      </c>
      <c r="CT130" s="175" t="s">
        <v>3027</v>
      </c>
      <c r="CU130" s="175"/>
      <c r="CV130" s="181" t="s">
        <v>2879</v>
      </c>
      <c r="CW130" s="67"/>
      <c r="CX130" s="182"/>
      <c r="CY130" s="175" t="s">
        <v>2880</v>
      </c>
      <c r="CZ130" s="175"/>
      <c r="DA130" s="175" t="s">
        <v>3912</v>
      </c>
      <c r="DB130" s="175" t="s">
        <v>3912</v>
      </c>
      <c r="DC130" s="175" t="s">
        <v>3913</v>
      </c>
      <c r="DD130" s="175"/>
      <c r="DE130" s="176">
        <v>46176</v>
      </c>
      <c r="DF130" s="175"/>
      <c r="DG130" s="182"/>
      <c r="DH130" s="183">
        <v>0</v>
      </c>
      <c r="DI130" s="67"/>
      <c r="DJ130" s="67"/>
      <c r="DK130" s="67"/>
      <c r="DL130" s="67"/>
      <c r="DM130" s="67"/>
      <c r="DN130" s="183">
        <v>0</v>
      </c>
      <c r="DO130" s="183">
        <v>0</v>
      </c>
      <c r="DP130" s="67" t="s">
        <v>2867</v>
      </c>
      <c r="DQ130" s="175"/>
      <c r="DR130" s="175"/>
      <c r="DS130" s="175" t="s">
        <v>3369</v>
      </c>
      <c r="DT130" s="175"/>
      <c r="DU130" s="175"/>
      <c r="DV130" s="175" t="s">
        <v>2883</v>
      </c>
      <c r="DW130" s="175" t="s">
        <v>2884</v>
      </c>
      <c r="DX130" s="175" t="s">
        <v>2879</v>
      </c>
    </row>
    <row r="131" spans="1:128" ht="19.5" customHeight="1">
      <c r="A131" s="173"/>
      <c r="B131" s="174" t="s">
        <v>3914</v>
      </c>
      <c r="C131" s="67"/>
      <c r="D131" s="67"/>
      <c r="E131" s="191" t="s">
        <v>3896</v>
      </c>
      <c r="F131" s="174" t="s">
        <v>3915</v>
      </c>
      <c r="G131" s="175" t="s">
        <v>3916</v>
      </c>
      <c r="H131" s="191" t="s">
        <v>2994</v>
      </c>
      <c r="I131" s="191" t="s">
        <v>2995</v>
      </c>
      <c r="J131" s="175" t="s">
        <v>2859</v>
      </c>
      <c r="K131" s="176">
        <v>46175</v>
      </c>
      <c r="L131" s="67" t="s">
        <v>2969</v>
      </c>
      <c r="M131" s="175" t="s">
        <v>3899</v>
      </c>
      <c r="N131" s="67" t="s">
        <v>3899</v>
      </c>
      <c r="O131" s="67" t="s">
        <v>3900</v>
      </c>
      <c r="P131" s="67" t="s">
        <v>3901</v>
      </c>
      <c r="Q131" s="67" t="s">
        <v>336</v>
      </c>
      <c r="R131" s="67" t="s">
        <v>1099</v>
      </c>
      <c r="S131" s="67" t="s">
        <v>1099</v>
      </c>
      <c r="T131" s="177" t="s">
        <v>3902</v>
      </c>
      <c r="U131" s="67" t="s">
        <v>1275</v>
      </c>
      <c r="V131" s="67" t="s">
        <v>1883</v>
      </c>
      <c r="W131" s="175" t="s">
        <v>2865</v>
      </c>
      <c r="X131" s="67" t="s">
        <v>3917</v>
      </c>
      <c r="Y131" s="67" t="s">
        <v>3904</v>
      </c>
      <c r="Z131" s="67" t="s">
        <v>3918</v>
      </c>
      <c r="AA131" s="175" t="s">
        <v>2947</v>
      </c>
      <c r="AB131" s="175" t="s">
        <v>3919</v>
      </c>
      <c r="AC131" s="175" t="s">
        <v>3920</v>
      </c>
      <c r="AD131" s="175" t="s">
        <v>3921</v>
      </c>
      <c r="AE131" s="175" t="s">
        <v>3922</v>
      </c>
      <c r="AF131" s="176"/>
      <c r="AG131" s="176">
        <v>46176</v>
      </c>
      <c r="AH131" s="176">
        <v>46175</v>
      </c>
      <c r="AI131" s="67" t="s">
        <v>2867</v>
      </c>
      <c r="AJ131" s="67"/>
      <c r="AK131" s="67" t="s">
        <v>2867</v>
      </c>
      <c r="AL131" s="67"/>
      <c r="AM131" s="176"/>
      <c r="AN131" s="176"/>
      <c r="AO131" s="67"/>
      <c r="AP131" s="67" t="s">
        <v>2867</v>
      </c>
      <c r="AQ131" s="67" t="s">
        <v>2868</v>
      </c>
      <c r="AR131" s="175"/>
      <c r="AS131" s="175" t="s">
        <v>2869</v>
      </c>
      <c r="AT131" s="175" t="s">
        <v>2867</v>
      </c>
      <c r="AU131" s="175"/>
      <c r="AV131" s="178">
        <v>0</v>
      </c>
      <c r="AW131" s="67"/>
      <c r="AX131" s="175" t="s">
        <v>2867</v>
      </c>
      <c r="AY131" s="175" t="s">
        <v>2870</v>
      </c>
      <c r="AZ131" s="175" t="s">
        <v>2871</v>
      </c>
      <c r="BA131" s="175"/>
      <c r="BB131" s="175"/>
      <c r="BC131" s="175" t="s">
        <v>2859</v>
      </c>
      <c r="BD131" s="175" t="s">
        <v>2872</v>
      </c>
      <c r="BE131" s="175" t="s">
        <v>2873</v>
      </c>
      <c r="BF131" s="175" t="s">
        <v>2867</v>
      </c>
      <c r="BG131" s="67"/>
      <c r="BH131" s="179"/>
      <c r="BI131" s="175" t="s">
        <v>2867</v>
      </c>
      <c r="BJ131" s="175"/>
      <c r="BK131" s="175" t="s">
        <v>2867</v>
      </c>
      <c r="BL131" s="175"/>
      <c r="BM131" s="175" t="s">
        <v>2874</v>
      </c>
      <c r="BN131" s="175" t="s">
        <v>2875</v>
      </c>
      <c r="BO131" s="180"/>
      <c r="BP131" s="67" t="s">
        <v>2867</v>
      </c>
      <c r="BQ131" s="175" t="s">
        <v>1906</v>
      </c>
      <c r="BR131" s="177" t="s">
        <v>338</v>
      </c>
      <c r="BS131" s="177"/>
      <c r="BT131" s="67" t="s">
        <v>2867</v>
      </c>
      <c r="BU131" s="175"/>
      <c r="BV131" s="176"/>
      <c r="BW131" s="67" t="s">
        <v>2878</v>
      </c>
      <c r="BX131" s="175" t="s">
        <v>3923</v>
      </c>
      <c r="BY131" s="175" t="s">
        <v>3911</v>
      </c>
      <c r="BZ131" s="177"/>
      <c r="CA131" s="175"/>
      <c r="CB131" s="175"/>
      <c r="CC131" s="177"/>
      <c r="CD131" s="177"/>
      <c r="CE131" s="67"/>
      <c r="CF131" s="67"/>
      <c r="CG131" s="177"/>
      <c r="CH131" s="176"/>
      <c r="CI131" s="176"/>
      <c r="CJ131" s="175"/>
      <c r="CK131" s="67" t="s">
        <v>2867</v>
      </c>
      <c r="CL131" s="175"/>
      <c r="CM131" s="175"/>
      <c r="CN131" s="175"/>
      <c r="CO131" s="175"/>
      <c r="CP131" s="67" t="s">
        <v>1883</v>
      </c>
      <c r="CQ131" s="175" t="s">
        <v>3027</v>
      </c>
      <c r="CR131" s="175"/>
      <c r="CS131" s="67" t="s">
        <v>1883</v>
      </c>
      <c r="CT131" s="175" t="s">
        <v>3027</v>
      </c>
      <c r="CU131" s="175"/>
      <c r="CV131" s="181" t="s">
        <v>2879</v>
      </c>
      <c r="CW131" s="67"/>
      <c r="CX131" s="182"/>
      <c r="CY131" s="175" t="s">
        <v>2880</v>
      </c>
      <c r="CZ131" s="175"/>
      <c r="DA131" s="175" t="s">
        <v>3912</v>
      </c>
      <c r="DB131" s="175" t="s">
        <v>3912</v>
      </c>
      <c r="DC131" s="175" t="s">
        <v>3924</v>
      </c>
      <c r="DD131" s="175"/>
      <c r="DE131" s="176">
        <v>46176</v>
      </c>
      <c r="DF131" s="175"/>
      <c r="DG131" s="182"/>
      <c r="DH131" s="183">
        <v>0</v>
      </c>
      <c r="DI131" s="67"/>
      <c r="DJ131" s="67"/>
      <c r="DK131" s="67"/>
      <c r="DL131" s="67"/>
      <c r="DM131" s="67"/>
      <c r="DN131" s="183">
        <v>0</v>
      </c>
      <c r="DO131" s="183">
        <v>0</v>
      </c>
      <c r="DP131" s="67" t="s">
        <v>2867</v>
      </c>
      <c r="DQ131" s="175"/>
      <c r="DR131" s="175"/>
      <c r="DS131" s="175" t="s">
        <v>3369</v>
      </c>
      <c r="DT131" s="175"/>
      <c r="DU131" s="175"/>
      <c r="DV131" s="175" t="s">
        <v>2883</v>
      </c>
      <c r="DW131" s="175" t="s">
        <v>2884</v>
      </c>
      <c r="DX131" s="175" t="s">
        <v>2879</v>
      </c>
    </row>
    <row r="132" spans="1:128" ht="19.5" customHeight="1">
      <c r="A132" s="173"/>
      <c r="B132" s="174" t="s">
        <v>3925</v>
      </c>
      <c r="C132" s="67"/>
      <c r="D132" s="67"/>
      <c r="E132" s="190" t="s">
        <v>3896</v>
      </c>
      <c r="F132" s="174" t="s">
        <v>3926</v>
      </c>
      <c r="G132" s="175" t="s">
        <v>3927</v>
      </c>
      <c r="H132" s="190" t="s">
        <v>2994</v>
      </c>
      <c r="I132" s="190" t="s">
        <v>2995</v>
      </c>
      <c r="J132" s="175" t="s">
        <v>2859</v>
      </c>
      <c r="K132" s="176">
        <v>46175</v>
      </c>
      <c r="L132" s="67" t="s">
        <v>2969</v>
      </c>
      <c r="M132" s="175" t="s">
        <v>3899</v>
      </c>
      <c r="N132" s="67" t="s">
        <v>3899</v>
      </c>
      <c r="O132" s="67" t="s">
        <v>3900</v>
      </c>
      <c r="P132" s="67" t="s">
        <v>3901</v>
      </c>
      <c r="Q132" s="67" t="s">
        <v>336</v>
      </c>
      <c r="R132" s="67" t="s">
        <v>1099</v>
      </c>
      <c r="S132" s="67" t="s">
        <v>1099</v>
      </c>
      <c r="T132" s="177" t="s">
        <v>3902</v>
      </c>
      <c r="U132" s="67" t="s">
        <v>1275</v>
      </c>
      <c r="V132" s="67" t="s">
        <v>1883</v>
      </c>
      <c r="W132" s="175" t="s">
        <v>2865</v>
      </c>
      <c r="X132" s="67" t="s">
        <v>3928</v>
      </c>
      <c r="Y132" s="67" t="s">
        <v>3904</v>
      </c>
      <c r="Z132" s="67" t="s">
        <v>3929</v>
      </c>
      <c r="AA132" s="175" t="s">
        <v>2947</v>
      </c>
      <c r="AB132" s="175" t="s">
        <v>3930</v>
      </c>
      <c r="AC132" s="175" t="s">
        <v>3931</v>
      </c>
      <c r="AD132" s="175" t="s">
        <v>3932</v>
      </c>
      <c r="AE132" s="175" t="s">
        <v>3933</v>
      </c>
      <c r="AF132" s="176"/>
      <c r="AG132" s="176">
        <v>46176</v>
      </c>
      <c r="AH132" s="176">
        <v>46175</v>
      </c>
      <c r="AI132" s="67" t="s">
        <v>2867</v>
      </c>
      <c r="AJ132" s="67"/>
      <c r="AK132" s="67" t="s">
        <v>2867</v>
      </c>
      <c r="AL132" s="67"/>
      <c r="AM132" s="176"/>
      <c r="AN132" s="176"/>
      <c r="AO132" s="67"/>
      <c r="AP132" s="67" t="s">
        <v>2867</v>
      </c>
      <c r="AQ132" s="67" t="s">
        <v>2868</v>
      </c>
      <c r="AR132" s="175"/>
      <c r="AS132" s="175" t="s">
        <v>2869</v>
      </c>
      <c r="AT132" s="175" t="s">
        <v>2867</v>
      </c>
      <c r="AU132" s="175"/>
      <c r="AV132" s="178">
        <v>0</v>
      </c>
      <c r="AW132" s="67"/>
      <c r="AX132" s="175" t="s">
        <v>2867</v>
      </c>
      <c r="AY132" s="175" t="s">
        <v>2870</v>
      </c>
      <c r="AZ132" s="175" t="s">
        <v>2871</v>
      </c>
      <c r="BA132" s="175"/>
      <c r="BB132" s="175"/>
      <c r="BC132" s="175" t="s">
        <v>2859</v>
      </c>
      <c r="BD132" s="175" t="s">
        <v>2872</v>
      </c>
      <c r="BE132" s="175" t="s">
        <v>2873</v>
      </c>
      <c r="BF132" s="175" t="s">
        <v>2867</v>
      </c>
      <c r="BG132" s="67"/>
      <c r="BH132" s="179"/>
      <c r="BI132" s="175" t="s">
        <v>2867</v>
      </c>
      <c r="BJ132" s="175"/>
      <c r="BK132" s="175" t="s">
        <v>2867</v>
      </c>
      <c r="BL132" s="175"/>
      <c r="BM132" s="175" t="s">
        <v>2874</v>
      </c>
      <c r="BN132" s="175" t="s">
        <v>2875</v>
      </c>
      <c r="BO132" s="180"/>
      <c r="BP132" s="67" t="s">
        <v>2867</v>
      </c>
      <c r="BQ132" s="175" t="s">
        <v>1906</v>
      </c>
      <c r="BR132" s="177" t="s">
        <v>338</v>
      </c>
      <c r="BS132" s="177"/>
      <c r="BT132" s="67" t="s">
        <v>2867</v>
      </c>
      <c r="BU132" s="175"/>
      <c r="BV132" s="176"/>
      <c r="BW132" s="67" t="s">
        <v>2878</v>
      </c>
      <c r="BX132" s="175" t="s">
        <v>3934</v>
      </c>
      <c r="BY132" s="175" t="s">
        <v>3911</v>
      </c>
      <c r="BZ132" s="177"/>
      <c r="CA132" s="175"/>
      <c r="CB132" s="175"/>
      <c r="CC132" s="177"/>
      <c r="CD132" s="177"/>
      <c r="CE132" s="67"/>
      <c r="CF132" s="67"/>
      <c r="CG132" s="177"/>
      <c r="CH132" s="176"/>
      <c r="CI132" s="176"/>
      <c r="CJ132" s="175"/>
      <c r="CK132" s="67" t="s">
        <v>2867</v>
      </c>
      <c r="CL132" s="175"/>
      <c r="CM132" s="175"/>
      <c r="CN132" s="175"/>
      <c r="CO132" s="175"/>
      <c r="CP132" s="67" t="s">
        <v>1883</v>
      </c>
      <c r="CQ132" s="175" t="s">
        <v>3027</v>
      </c>
      <c r="CR132" s="175" t="s">
        <v>3935</v>
      </c>
      <c r="CS132" s="67" t="s">
        <v>1883</v>
      </c>
      <c r="CT132" s="175" t="s">
        <v>3027</v>
      </c>
      <c r="CU132" s="175"/>
      <c r="CV132" s="181" t="s">
        <v>2879</v>
      </c>
      <c r="CW132" s="67"/>
      <c r="CX132" s="182"/>
      <c r="CY132" s="175" t="s">
        <v>2880</v>
      </c>
      <c r="CZ132" s="175"/>
      <c r="DA132" s="175" t="s">
        <v>3912</v>
      </c>
      <c r="DB132" s="175" t="s">
        <v>3912</v>
      </c>
      <c r="DC132" s="175" t="s">
        <v>3936</v>
      </c>
      <c r="DD132" s="175"/>
      <c r="DE132" s="176">
        <v>46176</v>
      </c>
      <c r="DF132" s="175"/>
      <c r="DG132" s="182"/>
      <c r="DH132" s="183">
        <v>0</v>
      </c>
      <c r="DI132" s="67"/>
      <c r="DJ132" s="67"/>
      <c r="DK132" s="67"/>
      <c r="DL132" s="67"/>
      <c r="DM132" s="67"/>
      <c r="DN132" s="183">
        <v>0</v>
      </c>
      <c r="DO132" s="183">
        <v>0</v>
      </c>
      <c r="DP132" s="67" t="s">
        <v>2867</v>
      </c>
      <c r="DQ132" s="175"/>
      <c r="DR132" s="175"/>
      <c r="DS132" s="175" t="s">
        <v>3369</v>
      </c>
      <c r="DT132" s="175"/>
      <c r="DU132" s="175"/>
      <c r="DV132" s="175" t="s">
        <v>2883</v>
      </c>
      <c r="DW132" s="175" t="s">
        <v>2884</v>
      </c>
      <c r="DX132" s="175" t="s">
        <v>2879</v>
      </c>
    </row>
    <row r="133" spans="1:128" ht="19.5" customHeight="1">
      <c r="A133" s="173"/>
      <c r="B133" s="174" t="s">
        <v>3937</v>
      </c>
      <c r="C133" s="67"/>
      <c r="D133" s="67"/>
      <c r="E133" s="189" t="s">
        <v>3938</v>
      </c>
      <c r="F133" s="174" t="s">
        <v>3939</v>
      </c>
      <c r="G133" s="175" t="s">
        <v>3940</v>
      </c>
      <c r="H133" s="189" t="s">
        <v>2994</v>
      </c>
      <c r="I133" s="189" t="s">
        <v>2995</v>
      </c>
      <c r="J133" s="175" t="s">
        <v>2859</v>
      </c>
      <c r="K133" s="176">
        <v>46175</v>
      </c>
      <c r="L133" s="67" t="s">
        <v>2943</v>
      </c>
      <c r="M133" s="175" t="s">
        <v>3355</v>
      </c>
      <c r="N133" s="67" t="s">
        <v>3355</v>
      </c>
      <c r="O133" s="67" t="s">
        <v>3356</v>
      </c>
      <c r="P133" s="67" t="s">
        <v>3357</v>
      </c>
      <c r="Q133" s="67" t="s">
        <v>336</v>
      </c>
      <c r="R133" s="67" t="s">
        <v>1076</v>
      </c>
      <c r="S133" s="67" t="s">
        <v>1076</v>
      </c>
      <c r="T133" s="177" t="s">
        <v>3358</v>
      </c>
      <c r="U133" s="67" t="s">
        <v>1275</v>
      </c>
      <c r="V133" s="67" t="s">
        <v>1889</v>
      </c>
      <c r="W133" s="175" t="s">
        <v>2865</v>
      </c>
      <c r="X133" s="67" t="s">
        <v>3941</v>
      </c>
      <c r="Y133" s="67" t="s">
        <v>2866</v>
      </c>
      <c r="Z133" s="67" t="s">
        <v>3942</v>
      </c>
      <c r="AA133" s="175" t="s">
        <v>2947</v>
      </c>
      <c r="AB133" s="175" t="s">
        <v>3943</v>
      </c>
      <c r="AC133" s="175" t="s">
        <v>3944</v>
      </c>
      <c r="AD133" s="175" t="s">
        <v>3945</v>
      </c>
      <c r="AE133" s="175" t="s">
        <v>3946</v>
      </c>
      <c r="AF133" s="176"/>
      <c r="AG133" s="176">
        <v>46176</v>
      </c>
      <c r="AH133" s="176">
        <v>46177</v>
      </c>
      <c r="AI133" s="67" t="s">
        <v>2867</v>
      </c>
      <c r="AJ133" s="67"/>
      <c r="AK133" s="67" t="s">
        <v>2867</v>
      </c>
      <c r="AL133" s="67"/>
      <c r="AM133" s="176"/>
      <c r="AN133" s="176"/>
      <c r="AO133" s="67"/>
      <c r="AP133" s="67" t="s">
        <v>2867</v>
      </c>
      <c r="AQ133" s="67" t="s">
        <v>2868</v>
      </c>
      <c r="AR133" s="175"/>
      <c r="AS133" s="175" t="s">
        <v>2869</v>
      </c>
      <c r="AT133" s="175" t="s">
        <v>2867</v>
      </c>
      <c r="AU133" s="175"/>
      <c r="AV133" s="178">
        <v>0</v>
      </c>
      <c r="AW133" s="67"/>
      <c r="AX133" s="175" t="s">
        <v>2867</v>
      </c>
      <c r="AY133" s="175" t="s">
        <v>2870</v>
      </c>
      <c r="AZ133" s="175" t="s">
        <v>2871</v>
      </c>
      <c r="BA133" s="175"/>
      <c r="BB133" s="175"/>
      <c r="BC133" s="175" t="s">
        <v>2859</v>
      </c>
      <c r="BD133" s="175" t="s">
        <v>2872</v>
      </c>
      <c r="BE133" s="175" t="s">
        <v>2873</v>
      </c>
      <c r="BF133" s="175" t="s">
        <v>2867</v>
      </c>
      <c r="BG133" s="67"/>
      <c r="BH133" s="179"/>
      <c r="BI133" s="175" t="s">
        <v>2867</v>
      </c>
      <c r="BJ133" s="175"/>
      <c r="BK133" s="175" t="s">
        <v>2867</v>
      </c>
      <c r="BL133" s="175"/>
      <c r="BM133" s="175" t="s">
        <v>2874</v>
      </c>
      <c r="BN133" s="175" t="s">
        <v>2875</v>
      </c>
      <c r="BO133" s="180"/>
      <c r="BP133" s="67" t="s">
        <v>2867</v>
      </c>
      <c r="BQ133" s="175" t="s">
        <v>1904</v>
      </c>
      <c r="BR133" s="177" t="s">
        <v>337</v>
      </c>
      <c r="BS133" s="177"/>
      <c r="BT133" s="67" t="s">
        <v>2867</v>
      </c>
      <c r="BU133" s="175"/>
      <c r="BV133" s="176"/>
      <c r="BW133" s="67" t="s">
        <v>2878</v>
      </c>
      <c r="BX133" s="175" t="s">
        <v>3947</v>
      </c>
      <c r="BY133" s="175" t="s">
        <v>3366</v>
      </c>
      <c r="BZ133" s="177"/>
      <c r="CA133" s="175"/>
      <c r="CB133" s="175"/>
      <c r="CC133" s="177"/>
      <c r="CD133" s="177"/>
      <c r="CE133" s="67"/>
      <c r="CF133" s="67"/>
      <c r="CG133" s="177"/>
      <c r="CH133" s="176"/>
      <c r="CI133" s="176"/>
      <c r="CJ133" s="175"/>
      <c r="CK133" s="67" t="s">
        <v>2867</v>
      </c>
      <c r="CL133" s="175"/>
      <c r="CM133" s="175"/>
      <c r="CN133" s="175"/>
      <c r="CO133" s="175"/>
      <c r="CP133" s="67" t="s">
        <v>1889</v>
      </c>
      <c r="CQ133" s="175" t="s">
        <v>3027</v>
      </c>
      <c r="CR133" s="175" t="s">
        <v>3948</v>
      </c>
      <c r="CS133" s="67" t="s">
        <v>1889</v>
      </c>
      <c r="CT133" s="175" t="s">
        <v>3027</v>
      </c>
      <c r="CU133" s="175"/>
      <c r="CV133" s="181" t="s">
        <v>2879</v>
      </c>
      <c r="CW133" s="67"/>
      <c r="CX133" s="182"/>
      <c r="CY133" s="175" t="s">
        <v>2880</v>
      </c>
      <c r="CZ133" s="175"/>
      <c r="DA133" s="175" t="s">
        <v>3949</v>
      </c>
      <c r="DB133" s="175" t="s">
        <v>3949</v>
      </c>
      <c r="DC133" s="175" t="s">
        <v>3747</v>
      </c>
      <c r="DD133" s="175"/>
      <c r="DE133" s="176">
        <v>46176</v>
      </c>
      <c r="DF133" s="175"/>
      <c r="DG133" s="182"/>
      <c r="DH133" s="183">
        <v>0</v>
      </c>
      <c r="DI133" s="67"/>
      <c r="DJ133" s="67"/>
      <c r="DK133" s="67"/>
      <c r="DL133" s="67"/>
      <c r="DM133" s="67"/>
      <c r="DN133" s="183">
        <v>0</v>
      </c>
      <c r="DO133" s="183">
        <v>0</v>
      </c>
      <c r="DP133" s="67" t="s">
        <v>2867</v>
      </c>
      <c r="DQ133" s="175"/>
      <c r="DR133" s="175"/>
      <c r="DS133" s="175" t="s">
        <v>3369</v>
      </c>
      <c r="DT133" s="175"/>
      <c r="DU133" s="175"/>
      <c r="DV133" s="175" t="s">
        <v>2883</v>
      </c>
      <c r="DW133" s="175" t="s">
        <v>2884</v>
      </c>
      <c r="DX133" s="175" t="s">
        <v>2879</v>
      </c>
    </row>
    <row r="134" spans="1:128" ht="19.5" customHeight="1">
      <c r="A134" s="173"/>
      <c r="B134" s="174" t="s">
        <v>3950</v>
      </c>
      <c r="C134" s="67"/>
      <c r="D134" s="67"/>
      <c r="E134" s="190" t="s">
        <v>3938</v>
      </c>
      <c r="F134" s="174" t="s">
        <v>3951</v>
      </c>
      <c r="G134" s="175" t="s">
        <v>3952</v>
      </c>
      <c r="H134" s="190" t="s">
        <v>2994</v>
      </c>
      <c r="I134" s="190" t="s">
        <v>2995</v>
      </c>
      <c r="J134" s="175" t="s">
        <v>2859</v>
      </c>
      <c r="K134" s="176">
        <v>46175</v>
      </c>
      <c r="L134" s="67" t="s">
        <v>2943</v>
      </c>
      <c r="M134" s="175" t="s">
        <v>3355</v>
      </c>
      <c r="N134" s="67" t="s">
        <v>3355</v>
      </c>
      <c r="O134" s="67" t="s">
        <v>3356</v>
      </c>
      <c r="P134" s="67" t="s">
        <v>3357</v>
      </c>
      <c r="Q134" s="67" t="s">
        <v>336</v>
      </c>
      <c r="R134" s="67" t="s">
        <v>1076</v>
      </c>
      <c r="S134" s="67" t="s">
        <v>1076</v>
      </c>
      <c r="T134" s="177" t="s">
        <v>3358</v>
      </c>
      <c r="U134" s="67" t="s">
        <v>1275</v>
      </c>
      <c r="V134" s="67" t="s">
        <v>1889</v>
      </c>
      <c r="W134" s="175" t="s">
        <v>2865</v>
      </c>
      <c r="X134" s="67" t="s">
        <v>3953</v>
      </c>
      <c r="Y134" s="67" t="s">
        <v>2866</v>
      </c>
      <c r="Z134" s="67" t="s">
        <v>3954</v>
      </c>
      <c r="AA134" s="175" t="s">
        <v>2947</v>
      </c>
      <c r="AB134" s="175" t="s">
        <v>3955</v>
      </c>
      <c r="AC134" s="175" t="s">
        <v>3956</v>
      </c>
      <c r="AD134" s="175" t="s">
        <v>3957</v>
      </c>
      <c r="AE134" s="175" t="s">
        <v>3958</v>
      </c>
      <c r="AF134" s="176"/>
      <c r="AG134" s="176">
        <v>46176</v>
      </c>
      <c r="AH134" s="176">
        <v>46177</v>
      </c>
      <c r="AI134" s="67" t="s">
        <v>2867</v>
      </c>
      <c r="AJ134" s="67"/>
      <c r="AK134" s="67" t="s">
        <v>2867</v>
      </c>
      <c r="AL134" s="67"/>
      <c r="AM134" s="176"/>
      <c r="AN134" s="176"/>
      <c r="AO134" s="67"/>
      <c r="AP134" s="67" t="s">
        <v>2867</v>
      </c>
      <c r="AQ134" s="67" t="s">
        <v>2868</v>
      </c>
      <c r="AR134" s="175"/>
      <c r="AS134" s="175" t="s">
        <v>2869</v>
      </c>
      <c r="AT134" s="175" t="s">
        <v>2867</v>
      </c>
      <c r="AU134" s="175"/>
      <c r="AV134" s="178">
        <v>0</v>
      </c>
      <c r="AW134" s="67"/>
      <c r="AX134" s="175" t="s">
        <v>2867</v>
      </c>
      <c r="AY134" s="175" t="s">
        <v>2870</v>
      </c>
      <c r="AZ134" s="175" t="s">
        <v>2871</v>
      </c>
      <c r="BA134" s="175"/>
      <c r="BB134" s="175"/>
      <c r="BC134" s="175" t="s">
        <v>2859</v>
      </c>
      <c r="BD134" s="175" t="s">
        <v>2872</v>
      </c>
      <c r="BE134" s="175" t="s">
        <v>2873</v>
      </c>
      <c r="BF134" s="175" t="s">
        <v>2867</v>
      </c>
      <c r="BG134" s="67"/>
      <c r="BH134" s="179"/>
      <c r="BI134" s="175" t="s">
        <v>2867</v>
      </c>
      <c r="BJ134" s="175"/>
      <c r="BK134" s="175" t="s">
        <v>2867</v>
      </c>
      <c r="BL134" s="175"/>
      <c r="BM134" s="175" t="s">
        <v>2874</v>
      </c>
      <c r="BN134" s="175" t="s">
        <v>2875</v>
      </c>
      <c r="BO134" s="180"/>
      <c r="BP134" s="67" t="s">
        <v>2867</v>
      </c>
      <c r="BQ134" s="175" t="s">
        <v>1904</v>
      </c>
      <c r="BR134" s="177" t="s">
        <v>337</v>
      </c>
      <c r="BS134" s="177"/>
      <c r="BT134" s="67" t="s">
        <v>2867</v>
      </c>
      <c r="BU134" s="175"/>
      <c r="BV134" s="176"/>
      <c r="BW134" s="67" t="s">
        <v>2878</v>
      </c>
      <c r="BX134" s="175" t="s">
        <v>3959</v>
      </c>
      <c r="BY134" s="175" t="s">
        <v>3366</v>
      </c>
      <c r="BZ134" s="177"/>
      <c r="CA134" s="175"/>
      <c r="CB134" s="175"/>
      <c r="CC134" s="177"/>
      <c r="CD134" s="177"/>
      <c r="CE134" s="67"/>
      <c r="CF134" s="67"/>
      <c r="CG134" s="177"/>
      <c r="CH134" s="176"/>
      <c r="CI134" s="176"/>
      <c r="CJ134" s="175"/>
      <c r="CK134" s="67" t="s">
        <v>2867</v>
      </c>
      <c r="CL134" s="175"/>
      <c r="CM134" s="175"/>
      <c r="CN134" s="175"/>
      <c r="CO134" s="175"/>
      <c r="CP134" s="67" t="s">
        <v>1889</v>
      </c>
      <c r="CQ134" s="175" t="s">
        <v>3027</v>
      </c>
      <c r="CR134" s="175"/>
      <c r="CS134" s="67" t="s">
        <v>1889</v>
      </c>
      <c r="CT134" s="175" t="s">
        <v>3027</v>
      </c>
      <c r="CU134" s="175" t="s">
        <v>3960</v>
      </c>
      <c r="CV134" s="181" t="s">
        <v>2879</v>
      </c>
      <c r="CW134" s="67"/>
      <c r="CX134" s="182"/>
      <c r="CY134" s="175" t="s">
        <v>2880</v>
      </c>
      <c r="CZ134" s="175"/>
      <c r="DA134" s="175" t="s">
        <v>3949</v>
      </c>
      <c r="DB134" s="175" t="s">
        <v>3949</v>
      </c>
      <c r="DC134" s="175" t="s">
        <v>3961</v>
      </c>
      <c r="DD134" s="175"/>
      <c r="DE134" s="176">
        <v>46176</v>
      </c>
      <c r="DF134" s="175"/>
      <c r="DG134" s="182"/>
      <c r="DH134" s="183">
        <v>0</v>
      </c>
      <c r="DI134" s="67"/>
      <c r="DJ134" s="67"/>
      <c r="DK134" s="67"/>
      <c r="DL134" s="67"/>
      <c r="DM134" s="67"/>
      <c r="DN134" s="183">
        <v>0</v>
      </c>
      <c r="DO134" s="183">
        <v>0</v>
      </c>
      <c r="DP134" s="67" t="s">
        <v>2867</v>
      </c>
      <c r="DQ134" s="175"/>
      <c r="DR134" s="175"/>
      <c r="DS134" s="175" t="s">
        <v>3369</v>
      </c>
      <c r="DT134" s="175"/>
      <c r="DU134" s="175"/>
      <c r="DV134" s="175" t="s">
        <v>2883</v>
      </c>
      <c r="DW134" s="175" t="s">
        <v>2884</v>
      </c>
      <c r="DX134" s="175" t="s">
        <v>2879</v>
      </c>
    </row>
    <row r="135" spans="1:128" ht="19.5" customHeight="1">
      <c r="A135" s="173" t="s">
        <v>3268</v>
      </c>
      <c r="B135" s="174" t="s">
        <v>3962</v>
      </c>
      <c r="C135" s="67"/>
      <c r="D135" s="67"/>
      <c r="E135" s="174" t="s">
        <v>3963</v>
      </c>
      <c r="F135" s="174" t="s">
        <v>2335</v>
      </c>
      <c r="G135" s="175" t="s">
        <v>3964</v>
      </c>
      <c r="H135" s="174" t="s">
        <v>2994</v>
      </c>
      <c r="I135" s="174" t="s">
        <v>2995</v>
      </c>
      <c r="J135" s="175" t="s">
        <v>2859</v>
      </c>
      <c r="K135" s="176">
        <v>46174</v>
      </c>
      <c r="L135" s="67" t="s">
        <v>2889</v>
      </c>
      <c r="M135" s="175" t="s">
        <v>2336</v>
      </c>
      <c r="N135" s="67" t="s">
        <v>2336</v>
      </c>
      <c r="O135" s="67" t="s">
        <v>3161</v>
      </c>
      <c r="P135" s="67" t="s">
        <v>3162</v>
      </c>
      <c r="Q135" s="67"/>
      <c r="R135" s="67"/>
      <c r="S135" s="67" t="s">
        <v>101</v>
      </c>
      <c r="T135" s="177" t="s">
        <v>2863</v>
      </c>
      <c r="U135" s="67" t="s">
        <v>1277</v>
      </c>
      <c r="V135" s="67"/>
      <c r="W135" s="175" t="s">
        <v>2865</v>
      </c>
      <c r="X135" s="67" t="s">
        <v>2405</v>
      </c>
      <c r="Y135" s="67" t="s">
        <v>2866</v>
      </c>
      <c r="Z135" s="67" t="s">
        <v>2406</v>
      </c>
      <c r="AA135" s="175" t="s">
        <v>2947</v>
      </c>
      <c r="AB135" s="175" t="s">
        <v>3965</v>
      </c>
      <c r="AC135" s="175" t="s">
        <v>3966</v>
      </c>
      <c r="AD135" s="175" t="s">
        <v>3967</v>
      </c>
      <c r="AE135" s="175" t="s">
        <v>3968</v>
      </c>
      <c r="AF135" s="176"/>
      <c r="AG135" s="176"/>
      <c r="AH135" s="176"/>
      <c r="AI135" s="67"/>
      <c r="AJ135" s="67"/>
      <c r="AK135" s="67" t="s">
        <v>2867</v>
      </c>
      <c r="AL135" s="67"/>
      <c r="AM135" s="176"/>
      <c r="AN135" s="176"/>
      <c r="AO135" s="67"/>
      <c r="AP135" s="67" t="s">
        <v>2867</v>
      </c>
      <c r="AQ135" s="67" t="s">
        <v>2868</v>
      </c>
      <c r="AR135" s="175"/>
      <c r="AS135" s="175" t="s">
        <v>2869</v>
      </c>
      <c r="AT135" s="175" t="s">
        <v>2867</v>
      </c>
      <c r="AU135" s="175"/>
      <c r="AV135" s="178">
        <v>0</v>
      </c>
      <c r="AW135" s="67"/>
      <c r="AX135" s="175" t="s">
        <v>2867</v>
      </c>
      <c r="AY135" s="175" t="s">
        <v>2870</v>
      </c>
      <c r="AZ135" s="175" t="s">
        <v>2871</v>
      </c>
      <c r="BA135" s="175"/>
      <c r="BB135" s="175"/>
      <c r="BC135" s="175" t="s">
        <v>2859</v>
      </c>
      <c r="BD135" s="175" t="s">
        <v>2872</v>
      </c>
      <c r="BE135" s="175" t="s">
        <v>2873</v>
      </c>
      <c r="BF135" s="175" t="s">
        <v>2867</v>
      </c>
      <c r="BG135" s="67"/>
      <c r="BH135" s="179"/>
      <c r="BI135" s="175" t="s">
        <v>2867</v>
      </c>
      <c r="BJ135" s="175"/>
      <c r="BK135" s="175" t="s">
        <v>2867</v>
      </c>
      <c r="BL135" s="175"/>
      <c r="BM135" s="175" t="s">
        <v>2936</v>
      </c>
      <c r="BN135" s="175" t="s">
        <v>2937</v>
      </c>
      <c r="BO135" s="180" t="s">
        <v>2879</v>
      </c>
      <c r="BP135" s="67" t="s">
        <v>2867</v>
      </c>
      <c r="BQ135" s="175" t="s">
        <v>1477</v>
      </c>
      <c r="BR135" s="177" t="s">
        <v>144</v>
      </c>
      <c r="BS135" s="177"/>
      <c r="BT135" s="67" t="s">
        <v>2867</v>
      </c>
      <c r="BU135" s="175"/>
      <c r="BV135" s="176"/>
      <c r="BW135" s="67" t="s">
        <v>2878</v>
      </c>
      <c r="BX135" s="175" t="s">
        <v>3969</v>
      </c>
      <c r="BY135" s="175" t="s">
        <v>1999</v>
      </c>
      <c r="BZ135" s="177"/>
      <c r="CA135" s="175"/>
      <c r="CB135" s="175"/>
      <c r="CC135" s="177"/>
      <c r="CD135" s="177"/>
      <c r="CE135" s="67"/>
      <c r="CF135" s="67"/>
      <c r="CG135" s="177"/>
      <c r="CH135" s="176"/>
      <c r="CI135" s="176"/>
      <c r="CJ135" s="175"/>
      <c r="CK135" s="67" t="s">
        <v>3027</v>
      </c>
      <c r="CL135" s="175" t="s">
        <v>929</v>
      </c>
      <c r="CM135" s="175" t="s">
        <v>3442</v>
      </c>
      <c r="CN135" s="175" t="s">
        <v>3970</v>
      </c>
      <c r="CO135" s="175"/>
      <c r="CP135" s="67" t="s">
        <v>1815</v>
      </c>
      <c r="CQ135" s="175" t="s">
        <v>3027</v>
      </c>
      <c r="CR135" s="175" t="s">
        <v>3971</v>
      </c>
      <c r="CS135" s="67"/>
      <c r="CT135" s="175" t="s">
        <v>2867</v>
      </c>
      <c r="CU135" s="175"/>
      <c r="CV135" s="181" t="s">
        <v>2879</v>
      </c>
      <c r="CW135" s="67"/>
      <c r="CX135" s="182"/>
      <c r="CY135" s="175" t="s">
        <v>2880</v>
      </c>
      <c r="CZ135" s="175"/>
      <c r="DA135" s="175" t="s">
        <v>3972</v>
      </c>
      <c r="DB135" s="175" t="s">
        <v>3972</v>
      </c>
      <c r="DC135" s="175" t="s">
        <v>3973</v>
      </c>
      <c r="DD135" s="175"/>
      <c r="DE135" s="176">
        <v>46174</v>
      </c>
      <c r="DF135" s="175"/>
      <c r="DG135" s="182"/>
      <c r="DH135" s="183">
        <v>1023500</v>
      </c>
      <c r="DI135" s="67"/>
      <c r="DJ135" s="67"/>
      <c r="DK135" s="67"/>
      <c r="DL135" s="67"/>
      <c r="DM135" s="67"/>
      <c r="DN135" s="183">
        <v>0</v>
      </c>
      <c r="DO135" s="183">
        <v>0</v>
      </c>
      <c r="DP135" s="67" t="s">
        <v>2867</v>
      </c>
      <c r="DQ135" s="175"/>
      <c r="DR135" s="175"/>
      <c r="DS135" s="175" t="s">
        <v>2882</v>
      </c>
      <c r="DT135" s="175"/>
      <c r="DU135" s="175"/>
      <c r="DV135" s="175" t="s">
        <v>2883</v>
      </c>
      <c r="DW135" s="175" t="s">
        <v>2884</v>
      </c>
      <c r="DX135" s="175" t="s">
        <v>2879</v>
      </c>
    </row>
    <row r="136" spans="1:128" ht="19.5" customHeight="1">
      <c r="A136" s="173" t="s">
        <v>3268</v>
      </c>
      <c r="B136" s="174" t="s">
        <v>3974</v>
      </c>
      <c r="C136" s="67"/>
      <c r="D136" s="67"/>
      <c r="E136" s="174" t="s">
        <v>3975</v>
      </c>
      <c r="F136" s="174" t="s">
        <v>2337</v>
      </c>
      <c r="G136" s="175" t="s">
        <v>3976</v>
      </c>
      <c r="H136" s="174" t="s">
        <v>2994</v>
      </c>
      <c r="I136" s="174" t="s">
        <v>2995</v>
      </c>
      <c r="J136" s="175" t="s">
        <v>2859</v>
      </c>
      <c r="K136" s="176">
        <v>46174</v>
      </c>
      <c r="L136" s="67" t="s">
        <v>2969</v>
      </c>
      <c r="M136" s="175" t="s">
        <v>2338</v>
      </c>
      <c r="N136" s="67" t="s">
        <v>2338</v>
      </c>
      <c r="O136" s="67" t="s">
        <v>2328</v>
      </c>
      <c r="P136" s="67" t="s">
        <v>2862</v>
      </c>
      <c r="Q136" s="67"/>
      <c r="R136" s="67"/>
      <c r="S136" s="67" t="s">
        <v>110</v>
      </c>
      <c r="T136" s="177" t="s">
        <v>2863</v>
      </c>
      <c r="U136" s="67" t="s">
        <v>116</v>
      </c>
      <c r="V136" s="67"/>
      <c r="W136" s="175" t="s">
        <v>2865</v>
      </c>
      <c r="X136" s="67" t="s">
        <v>2407</v>
      </c>
      <c r="Y136" s="67" t="s">
        <v>2866</v>
      </c>
      <c r="Z136" s="67" t="s">
        <v>2408</v>
      </c>
      <c r="AA136" s="175" t="s">
        <v>2947</v>
      </c>
      <c r="AB136" s="175" t="s">
        <v>3648</v>
      </c>
      <c r="AC136" s="175" t="s">
        <v>3649</v>
      </c>
      <c r="AD136" s="175" t="s">
        <v>3650</v>
      </c>
      <c r="AE136" s="175" t="s">
        <v>3651</v>
      </c>
      <c r="AF136" s="176"/>
      <c r="AG136" s="176"/>
      <c r="AH136" s="176"/>
      <c r="AI136" s="67"/>
      <c r="AJ136" s="67"/>
      <c r="AK136" s="67" t="s">
        <v>2867</v>
      </c>
      <c r="AL136" s="67"/>
      <c r="AM136" s="176"/>
      <c r="AN136" s="176"/>
      <c r="AO136" s="67"/>
      <c r="AP136" s="67" t="s">
        <v>2867</v>
      </c>
      <c r="AQ136" s="67" t="s">
        <v>2868</v>
      </c>
      <c r="AR136" s="175"/>
      <c r="AS136" s="175" t="s">
        <v>2869</v>
      </c>
      <c r="AT136" s="175" t="s">
        <v>2867</v>
      </c>
      <c r="AU136" s="175"/>
      <c r="AV136" s="178">
        <v>0</v>
      </c>
      <c r="AW136" s="67"/>
      <c r="AX136" s="175" t="s">
        <v>2867</v>
      </c>
      <c r="AY136" s="175" t="s">
        <v>2870</v>
      </c>
      <c r="AZ136" s="175" t="s">
        <v>2871</v>
      </c>
      <c r="BA136" s="175"/>
      <c r="BB136" s="175"/>
      <c r="BC136" s="175" t="s">
        <v>2859</v>
      </c>
      <c r="BD136" s="175" t="s">
        <v>2872</v>
      </c>
      <c r="BE136" s="175" t="s">
        <v>2873</v>
      </c>
      <c r="BF136" s="175" t="s">
        <v>2867</v>
      </c>
      <c r="BG136" s="67"/>
      <c r="BH136" s="179"/>
      <c r="BI136" s="175" t="s">
        <v>2867</v>
      </c>
      <c r="BJ136" s="175"/>
      <c r="BK136" s="175" t="s">
        <v>2867</v>
      </c>
      <c r="BL136" s="175"/>
      <c r="BM136" s="175" t="s">
        <v>2936</v>
      </c>
      <c r="BN136" s="175" t="s">
        <v>2937</v>
      </c>
      <c r="BO136" s="180" t="s">
        <v>2879</v>
      </c>
      <c r="BP136" s="67" t="s">
        <v>2867</v>
      </c>
      <c r="BQ136" s="175" t="s">
        <v>1477</v>
      </c>
      <c r="BR136" s="177" t="s">
        <v>144</v>
      </c>
      <c r="BS136" s="177"/>
      <c r="BT136" s="67" t="s">
        <v>2867</v>
      </c>
      <c r="BU136" s="175"/>
      <c r="BV136" s="176"/>
      <c r="BW136" s="67" t="s">
        <v>2878</v>
      </c>
      <c r="BX136" s="175" t="s">
        <v>3977</v>
      </c>
      <c r="BY136" s="175" t="s">
        <v>1999</v>
      </c>
      <c r="BZ136" s="177"/>
      <c r="CA136" s="175"/>
      <c r="CB136" s="175"/>
      <c r="CC136" s="177"/>
      <c r="CD136" s="177"/>
      <c r="CE136" s="67"/>
      <c r="CF136" s="67"/>
      <c r="CG136" s="177"/>
      <c r="CH136" s="176"/>
      <c r="CI136" s="176"/>
      <c r="CJ136" s="175"/>
      <c r="CK136" s="67" t="s">
        <v>3027</v>
      </c>
      <c r="CL136" s="175" t="s">
        <v>929</v>
      </c>
      <c r="CM136" s="175" t="s">
        <v>3442</v>
      </c>
      <c r="CN136" s="175" t="s">
        <v>3970</v>
      </c>
      <c r="CO136" s="175"/>
      <c r="CP136" s="67" t="s">
        <v>1809</v>
      </c>
      <c r="CQ136" s="175" t="s">
        <v>3027</v>
      </c>
      <c r="CR136" s="175" t="s">
        <v>3978</v>
      </c>
      <c r="CS136" s="67"/>
      <c r="CT136" s="175" t="s">
        <v>2867</v>
      </c>
      <c r="CU136" s="175"/>
      <c r="CV136" s="181" t="s">
        <v>2879</v>
      </c>
      <c r="CW136" s="67"/>
      <c r="CX136" s="182"/>
      <c r="CY136" s="175" t="s">
        <v>2880</v>
      </c>
      <c r="CZ136" s="175"/>
      <c r="DA136" s="175" t="s">
        <v>3972</v>
      </c>
      <c r="DB136" s="175" t="s">
        <v>3972</v>
      </c>
      <c r="DC136" s="175" t="s">
        <v>3979</v>
      </c>
      <c r="DD136" s="175"/>
      <c r="DE136" s="176">
        <v>46174</v>
      </c>
      <c r="DF136" s="175"/>
      <c r="DG136" s="182"/>
      <c r="DH136" s="183">
        <v>1023500</v>
      </c>
      <c r="DI136" s="67"/>
      <c r="DJ136" s="67"/>
      <c r="DK136" s="67"/>
      <c r="DL136" s="67"/>
      <c r="DM136" s="67"/>
      <c r="DN136" s="183">
        <v>0</v>
      </c>
      <c r="DO136" s="183">
        <v>0</v>
      </c>
      <c r="DP136" s="67" t="s">
        <v>2867</v>
      </c>
      <c r="DQ136" s="175"/>
      <c r="DR136" s="175"/>
      <c r="DS136" s="175" t="s">
        <v>2882</v>
      </c>
      <c r="DT136" s="175"/>
      <c r="DU136" s="175"/>
      <c r="DV136" s="175" t="s">
        <v>2883</v>
      </c>
      <c r="DW136" s="175" t="s">
        <v>2884</v>
      </c>
      <c r="DX136" s="175" t="s">
        <v>2879</v>
      </c>
    </row>
    <row r="137" spans="1:128" ht="19.5" customHeight="1">
      <c r="A137" s="173" t="s">
        <v>3268</v>
      </c>
      <c r="B137" s="174" t="s">
        <v>3980</v>
      </c>
      <c r="C137" s="67"/>
      <c r="D137" s="67"/>
      <c r="E137" s="174" t="s">
        <v>3981</v>
      </c>
      <c r="F137" s="174" t="s">
        <v>2339</v>
      </c>
      <c r="G137" s="175" t="s">
        <v>3982</v>
      </c>
      <c r="H137" s="174" t="s">
        <v>2994</v>
      </c>
      <c r="I137" s="174" t="s">
        <v>2995</v>
      </c>
      <c r="J137" s="175" t="s">
        <v>2859</v>
      </c>
      <c r="K137" s="176">
        <v>46174</v>
      </c>
      <c r="L137" s="67" t="s">
        <v>2916</v>
      </c>
      <c r="M137" s="175" t="s">
        <v>2338</v>
      </c>
      <c r="N137" s="67" t="s">
        <v>2338</v>
      </c>
      <c r="O137" s="67" t="s">
        <v>2328</v>
      </c>
      <c r="P137" s="67" t="s">
        <v>2862</v>
      </c>
      <c r="Q137" s="67"/>
      <c r="R137" s="67"/>
      <c r="S137" s="67" t="s">
        <v>110</v>
      </c>
      <c r="T137" s="177" t="s">
        <v>2863</v>
      </c>
      <c r="U137" s="67" t="s">
        <v>116</v>
      </c>
      <c r="V137" s="67"/>
      <c r="W137" s="175" t="s">
        <v>2865</v>
      </c>
      <c r="X137" s="67" t="s">
        <v>2409</v>
      </c>
      <c r="Y137" s="67" t="s">
        <v>2866</v>
      </c>
      <c r="Z137" s="67" t="s">
        <v>2410</v>
      </c>
      <c r="AA137" s="175" t="s">
        <v>2947</v>
      </c>
      <c r="AB137" s="175" t="s">
        <v>3983</v>
      </c>
      <c r="AC137" s="175" t="s">
        <v>3984</v>
      </c>
      <c r="AD137" s="175" t="s">
        <v>3985</v>
      </c>
      <c r="AE137" s="175" t="s">
        <v>3986</v>
      </c>
      <c r="AF137" s="176"/>
      <c r="AG137" s="176"/>
      <c r="AH137" s="176"/>
      <c r="AI137" s="67"/>
      <c r="AJ137" s="67"/>
      <c r="AK137" s="67" t="s">
        <v>2867</v>
      </c>
      <c r="AL137" s="67"/>
      <c r="AM137" s="176"/>
      <c r="AN137" s="176"/>
      <c r="AO137" s="67"/>
      <c r="AP137" s="67" t="s">
        <v>2867</v>
      </c>
      <c r="AQ137" s="67" t="s">
        <v>2868</v>
      </c>
      <c r="AR137" s="175"/>
      <c r="AS137" s="175" t="s">
        <v>2869</v>
      </c>
      <c r="AT137" s="175" t="s">
        <v>2867</v>
      </c>
      <c r="AU137" s="175"/>
      <c r="AV137" s="178">
        <v>0</v>
      </c>
      <c r="AW137" s="67"/>
      <c r="AX137" s="175" t="s">
        <v>2867</v>
      </c>
      <c r="AY137" s="175" t="s">
        <v>2870</v>
      </c>
      <c r="AZ137" s="175" t="s">
        <v>2871</v>
      </c>
      <c r="BA137" s="175"/>
      <c r="BB137" s="175"/>
      <c r="BC137" s="175" t="s">
        <v>2859</v>
      </c>
      <c r="BD137" s="175" t="s">
        <v>2872</v>
      </c>
      <c r="BE137" s="175" t="s">
        <v>2873</v>
      </c>
      <c r="BF137" s="175" t="s">
        <v>2867</v>
      </c>
      <c r="BG137" s="67"/>
      <c r="BH137" s="179"/>
      <c r="BI137" s="175" t="s">
        <v>2867</v>
      </c>
      <c r="BJ137" s="175"/>
      <c r="BK137" s="175" t="s">
        <v>2867</v>
      </c>
      <c r="BL137" s="175"/>
      <c r="BM137" s="175" t="s">
        <v>2936</v>
      </c>
      <c r="BN137" s="175" t="s">
        <v>2937</v>
      </c>
      <c r="BO137" s="180"/>
      <c r="BP137" s="67" t="s">
        <v>2867</v>
      </c>
      <c r="BQ137" s="175" t="s">
        <v>1477</v>
      </c>
      <c r="BR137" s="177" t="s">
        <v>144</v>
      </c>
      <c r="BS137" s="177"/>
      <c r="BT137" s="67" t="s">
        <v>2867</v>
      </c>
      <c r="BU137" s="175"/>
      <c r="BV137" s="176"/>
      <c r="BW137" s="67" t="s">
        <v>2878</v>
      </c>
      <c r="BX137" s="175" t="s">
        <v>3987</v>
      </c>
      <c r="BY137" s="175" t="s">
        <v>1999</v>
      </c>
      <c r="BZ137" s="177"/>
      <c r="CA137" s="175"/>
      <c r="CB137" s="175"/>
      <c r="CC137" s="177"/>
      <c r="CD137" s="177"/>
      <c r="CE137" s="67"/>
      <c r="CF137" s="67"/>
      <c r="CG137" s="177"/>
      <c r="CH137" s="176"/>
      <c r="CI137" s="176"/>
      <c r="CJ137" s="175"/>
      <c r="CK137" s="67" t="s">
        <v>3027</v>
      </c>
      <c r="CL137" s="175" t="s">
        <v>929</v>
      </c>
      <c r="CM137" s="175" t="s">
        <v>3442</v>
      </c>
      <c r="CN137" s="175" t="s">
        <v>3970</v>
      </c>
      <c r="CO137" s="175"/>
      <c r="CP137" s="67" t="s">
        <v>3988</v>
      </c>
      <c r="CQ137" s="175" t="s">
        <v>3027</v>
      </c>
      <c r="CR137" s="175" t="s">
        <v>3989</v>
      </c>
      <c r="CS137" s="67"/>
      <c r="CT137" s="175" t="s">
        <v>2867</v>
      </c>
      <c r="CU137" s="175"/>
      <c r="CV137" s="181" t="s">
        <v>2879</v>
      </c>
      <c r="CW137" s="67"/>
      <c r="CX137" s="182"/>
      <c r="CY137" s="175" t="s">
        <v>2880</v>
      </c>
      <c r="CZ137" s="175"/>
      <c r="DA137" s="175" t="s">
        <v>3972</v>
      </c>
      <c r="DB137" s="175" t="s">
        <v>3972</v>
      </c>
      <c r="DC137" s="175" t="s">
        <v>3990</v>
      </c>
      <c r="DD137" s="175"/>
      <c r="DE137" s="176">
        <v>46174</v>
      </c>
      <c r="DF137" s="175"/>
      <c r="DG137" s="182"/>
      <c r="DH137" s="183">
        <v>1023500</v>
      </c>
      <c r="DI137" s="67"/>
      <c r="DJ137" s="67"/>
      <c r="DK137" s="67"/>
      <c r="DL137" s="67"/>
      <c r="DM137" s="67"/>
      <c r="DN137" s="183">
        <v>0</v>
      </c>
      <c r="DO137" s="183">
        <v>0</v>
      </c>
      <c r="DP137" s="67" t="s">
        <v>2867</v>
      </c>
      <c r="DQ137" s="175"/>
      <c r="DR137" s="175"/>
      <c r="DS137" s="175" t="s">
        <v>2882</v>
      </c>
      <c r="DT137" s="175"/>
      <c r="DU137" s="175"/>
      <c r="DV137" s="175" t="s">
        <v>2883</v>
      </c>
      <c r="DW137" s="175" t="s">
        <v>2884</v>
      </c>
      <c r="DX137" s="175" t="s">
        <v>2879</v>
      </c>
    </row>
    <row r="138" spans="1:128" ht="19.5" customHeight="1">
      <c r="A138" s="173" t="s">
        <v>3268</v>
      </c>
      <c r="B138" s="174" t="s">
        <v>3991</v>
      </c>
      <c r="C138" s="67"/>
      <c r="D138" s="67"/>
      <c r="E138" s="174" t="s">
        <v>3992</v>
      </c>
      <c r="F138" s="174" t="s">
        <v>2340</v>
      </c>
      <c r="G138" s="175" t="s">
        <v>3993</v>
      </c>
      <c r="H138" s="174" t="s">
        <v>2994</v>
      </c>
      <c r="I138" s="174" t="s">
        <v>2995</v>
      </c>
      <c r="J138" s="175" t="s">
        <v>2859</v>
      </c>
      <c r="K138" s="176">
        <v>46174</v>
      </c>
      <c r="L138" s="67" t="s">
        <v>2906</v>
      </c>
      <c r="M138" s="175" t="s">
        <v>2338</v>
      </c>
      <c r="N138" s="67" t="s">
        <v>2338</v>
      </c>
      <c r="O138" s="67" t="s">
        <v>2328</v>
      </c>
      <c r="P138" s="67" t="s">
        <v>2862</v>
      </c>
      <c r="Q138" s="67"/>
      <c r="R138" s="67"/>
      <c r="S138" s="67" t="s">
        <v>110</v>
      </c>
      <c r="T138" s="177" t="s">
        <v>2863</v>
      </c>
      <c r="U138" s="67" t="s">
        <v>116</v>
      </c>
      <c r="V138" s="67"/>
      <c r="W138" s="175" t="s">
        <v>2865</v>
      </c>
      <c r="X138" s="67" t="s">
        <v>2411</v>
      </c>
      <c r="Y138" s="67" t="s">
        <v>2866</v>
      </c>
      <c r="Z138" s="67" t="s">
        <v>2412</v>
      </c>
      <c r="AA138" s="175" t="s">
        <v>2947</v>
      </c>
      <c r="AB138" s="175" t="s">
        <v>3994</v>
      </c>
      <c r="AC138" s="175" t="s">
        <v>3995</v>
      </c>
      <c r="AD138" s="175" t="s">
        <v>3996</v>
      </c>
      <c r="AE138" s="175" t="s">
        <v>3997</v>
      </c>
      <c r="AF138" s="176"/>
      <c r="AG138" s="176"/>
      <c r="AH138" s="176"/>
      <c r="AI138" s="67"/>
      <c r="AJ138" s="67"/>
      <c r="AK138" s="67" t="s">
        <v>2867</v>
      </c>
      <c r="AL138" s="67"/>
      <c r="AM138" s="176"/>
      <c r="AN138" s="176"/>
      <c r="AO138" s="67"/>
      <c r="AP138" s="67" t="s">
        <v>2867</v>
      </c>
      <c r="AQ138" s="67" t="s">
        <v>2868</v>
      </c>
      <c r="AR138" s="175"/>
      <c r="AS138" s="175" t="s">
        <v>2869</v>
      </c>
      <c r="AT138" s="175" t="s">
        <v>2867</v>
      </c>
      <c r="AU138" s="175"/>
      <c r="AV138" s="178">
        <v>0</v>
      </c>
      <c r="AW138" s="67"/>
      <c r="AX138" s="175" t="s">
        <v>2867</v>
      </c>
      <c r="AY138" s="175" t="s">
        <v>2870</v>
      </c>
      <c r="AZ138" s="175" t="s">
        <v>2871</v>
      </c>
      <c r="BA138" s="175"/>
      <c r="BB138" s="175"/>
      <c r="BC138" s="175" t="s">
        <v>2859</v>
      </c>
      <c r="BD138" s="175" t="s">
        <v>2872</v>
      </c>
      <c r="BE138" s="175" t="s">
        <v>2873</v>
      </c>
      <c r="BF138" s="175" t="s">
        <v>2867</v>
      </c>
      <c r="BG138" s="67"/>
      <c r="BH138" s="179"/>
      <c r="BI138" s="175" t="s">
        <v>2867</v>
      </c>
      <c r="BJ138" s="175"/>
      <c r="BK138" s="175" t="s">
        <v>2867</v>
      </c>
      <c r="BL138" s="175"/>
      <c r="BM138" s="175" t="s">
        <v>3470</v>
      </c>
      <c r="BN138" s="175" t="s">
        <v>3471</v>
      </c>
      <c r="BO138" s="180"/>
      <c r="BP138" s="67" t="s">
        <v>2867</v>
      </c>
      <c r="BQ138" s="175" t="s">
        <v>2523</v>
      </c>
      <c r="BR138" s="177" t="s">
        <v>2332</v>
      </c>
      <c r="BS138" s="177"/>
      <c r="BT138" s="67" t="s">
        <v>2867</v>
      </c>
      <c r="BU138" s="175"/>
      <c r="BV138" s="176"/>
      <c r="BW138" s="67" t="s">
        <v>2878</v>
      </c>
      <c r="BX138" s="175" t="s">
        <v>3998</v>
      </c>
      <c r="BY138" s="175" t="s">
        <v>1999</v>
      </c>
      <c r="BZ138" s="177"/>
      <c r="CA138" s="175"/>
      <c r="CB138" s="175"/>
      <c r="CC138" s="177"/>
      <c r="CD138" s="177"/>
      <c r="CE138" s="67"/>
      <c r="CF138" s="67"/>
      <c r="CG138" s="177"/>
      <c r="CH138" s="176"/>
      <c r="CI138" s="176"/>
      <c r="CJ138" s="175"/>
      <c r="CK138" s="67" t="s">
        <v>3027</v>
      </c>
      <c r="CL138" s="175" t="s">
        <v>929</v>
      </c>
      <c r="CM138" s="175" t="s">
        <v>3442</v>
      </c>
      <c r="CN138" s="175" t="s">
        <v>3970</v>
      </c>
      <c r="CO138" s="175"/>
      <c r="CP138" s="67" t="s">
        <v>3999</v>
      </c>
      <c r="CQ138" s="175" t="s">
        <v>2867</v>
      </c>
      <c r="CR138" s="175" t="s">
        <v>4000</v>
      </c>
      <c r="CS138" s="67"/>
      <c r="CT138" s="175" t="s">
        <v>2867</v>
      </c>
      <c r="CU138" s="175"/>
      <c r="CV138" s="181" t="s">
        <v>2879</v>
      </c>
      <c r="CW138" s="67"/>
      <c r="CX138" s="182"/>
      <c r="CY138" s="175" t="s">
        <v>2880</v>
      </c>
      <c r="CZ138" s="175"/>
      <c r="DA138" s="175" t="s">
        <v>3972</v>
      </c>
      <c r="DB138" s="175" t="s">
        <v>3972</v>
      </c>
      <c r="DC138" s="175" t="s">
        <v>4001</v>
      </c>
      <c r="DD138" s="175"/>
      <c r="DE138" s="176">
        <v>46174</v>
      </c>
      <c r="DF138" s="175"/>
      <c r="DG138" s="182"/>
      <c r="DH138" s="183">
        <v>909100</v>
      </c>
      <c r="DI138" s="67"/>
      <c r="DJ138" s="67"/>
      <c r="DK138" s="67"/>
      <c r="DL138" s="67"/>
      <c r="DM138" s="67"/>
      <c r="DN138" s="183">
        <v>0</v>
      </c>
      <c r="DO138" s="183">
        <v>0</v>
      </c>
      <c r="DP138" s="67" t="s">
        <v>2867</v>
      </c>
      <c r="DQ138" s="175"/>
      <c r="DR138" s="175"/>
      <c r="DS138" s="175" t="s">
        <v>2882</v>
      </c>
      <c r="DT138" s="175"/>
      <c r="DU138" s="175"/>
      <c r="DV138" s="175" t="s">
        <v>2883</v>
      </c>
      <c r="DW138" s="175" t="s">
        <v>2884</v>
      </c>
      <c r="DX138" s="175" t="s">
        <v>2879</v>
      </c>
    </row>
    <row r="139" spans="1:128" ht="19.5" customHeight="1">
      <c r="A139" s="173" t="s">
        <v>3268</v>
      </c>
      <c r="B139" s="174" t="s">
        <v>4002</v>
      </c>
      <c r="C139" s="67"/>
      <c r="D139" s="67"/>
      <c r="E139" s="174" t="s">
        <v>4003</v>
      </c>
      <c r="F139" s="174" t="s">
        <v>2341</v>
      </c>
      <c r="G139" s="175" t="s">
        <v>4004</v>
      </c>
      <c r="H139" s="174" t="s">
        <v>2994</v>
      </c>
      <c r="I139" s="174" t="s">
        <v>2995</v>
      </c>
      <c r="J139" s="175" t="s">
        <v>2859</v>
      </c>
      <c r="K139" s="176">
        <v>46174</v>
      </c>
      <c r="L139" s="67" t="s">
        <v>2901</v>
      </c>
      <c r="M139" s="175" t="s">
        <v>2338</v>
      </c>
      <c r="N139" s="67" t="s">
        <v>2338</v>
      </c>
      <c r="O139" s="67" t="s">
        <v>2328</v>
      </c>
      <c r="P139" s="67" t="s">
        <v>2862</v>
      </c>
      <c r="Q139" s="67"/>
      <c r="R139" s="67"/>
      <c r="S139" s="67" t="s">
        <v>110</v>
      </c>
      <c r="T139" s="177" t="s">
        <v>2863</v>
      </c>
      <c r="U139" s="67" t="s">
        <v>116</v>
      </c>
      <c r="V139" s="67"/>
      <c r="W139" s="175" t="s">
        <v>2865</v>
      </c>
      <c r="X139" s="67" t="s">
        <v>2413</v>
      </c>
      <c r="Y139" s="67" t="s">
        <v>2866</v>
      </c>
      <c r="Z139" s="67" t="s">
        <v>2414</v>
      </c>
      <c r="AA139" s="175" t="s">
        <v>2947</v>
      </c>
      <c r="AB139" s="175" t="s">
        <v>4005</v>
      </c>
      <c r="AC139" s="175" t="s">
        <v>4006</v>
      </c>
      <c r="AD139" s="175" t="s">
        <v>4007</v>
      </c>
      <c r="AE139" s="175" t="s">
        <v>4008</v>
      </c>
      <c r="AF139" s="176"/>
      <c r="AG139" s="176"/>
      <c r="AH139" s="176"/>
      <c r="AI139" s="67"/>
      <c r="AJ139" s="67"/>
      <c r="AK139" s="67" t="s">
        <v>2867</v>
      </c>
      <c r="AL139" s="67"/>
      <c r="AM139" s="176"/>
      <c r="AN139" s="176"/>
      <c r="AO139" s="67"/>
      <c r="AP139" s="67" t="s">
        <v>2867</v>
      </c>
      <c r="AQ139" s="67" t="s">
        <v>2868</v>
      </c>
      <c r="AR139" s="175"/>
      <c r="AS139" s="175" t="s">
        <v>2869</v>
      </c>
      <c r="AT139" s="175" t="s">
        <v>2867</v>
      </c>
      <c r="AU139" s="175"/>
      <c r="AV139" s="178">
        <v>0</v>
      </c>
      <c r="AW139" s="67"/>
      <c r="AX139" s="175" t="s">
        <v>2867</v>
      </c>
      <c r="AY139" s="175" t="s">
        <v>2870</v>
      </c>
      <c r="AZ139" s="175" t="s">
        <v>2871</v>
      </c>
      <c r="BA139" s="175"/>
      <c r="BB139" s="175"/>
      <c r="BC139" s="175" t="s">
        <v>2859</v>
      </c>
      <c r="BD139" s="175" t="s">
        <v>2872</v>
      </c>
      <c r="BE139" s="175" t="s">
        <v>2873</v>
      </c>
      <c r="BF139" s="175" t="s">
        <v>2867</v>
      </c>
      <c r="BG139" s="67"/>
      <c r="BH139" s="179"/>
      <c r="BI139" s="175" t="s">
        <v>2867</v>
      </c>
      <c r="BJ139" s="175"/>
      <c r="BK139" s="175" t="s">
        <v>2867</v>
      </c>
      <c r="BL139" s="175"/>
      <c r="BM139" s="175" t="s">
        <v>2936</v>
      </c>
      <c r="BN139" s="175" t="s">
        <v>2937</v>
      </c>
      <c r="BO139" s="180"/>
      <c r="BP139" s="67" t="s">
        <v>2867</v>
      </c>
      <c r="BQ139" s="175" t="s">
        <v>1477</v>
      </c>
      <c r="BR139" s="177" t="s">
        <v>144</v>
      </c>
      <c r="BS139" s="177"/>
      <c r="BT139" s="67" t="s">
        <v>2867</v>
      </c>
      <c r="BU139" s="175"/>
      <c r="BV139" s="176"/>
      <c r="BW139" s="67" t="s">
        <v>2878</v>
      </c>
      <c r="BX139" s="175" t="s">
        <v>4009</v>
      </c>
      <c r="BY139" s="175" t="s">
        <v>1999</v>
      </c>
      <c r="BZ139" s="177"/>
      <c r="CA139" s="175"/>
      <c r="CB139" s="175"/>
      <c r="CC139" s="177"/>
      <c r="CD139" s="177"/>
      <c r="CE139" s="67"/>
      <c r="CF139" s="67"/>
      <c r="CG139" s="177"/>
      <c r="CH139" s="176"/>
      <c r="CI139" s="176"/>
      <c r="CJ139" s="175"/>
      <c r="CK139" s="67" t="s">
        <v>3027</v>
      </c>
      <c r="CL139" s="175" t="s">
        <v>929</v>
      </c>
      <c r="CM139" s="175" t="s">
        <v>3418</v>
      </c>
      <c r="CN139" s="175"/>
      <c r="CO139" s="175"/>
      <c r="CP139" s="67" t="s">
        <v>1811</v>
      </c>
      <c r="CQ139" s="175" t="s">
        <v>3027</v>
      </c>
      <c r="CR139" s="175" t="s">
        <v>4010</v>
      </c>
      <c r="CS139" s="67"/>
      <c r="CT139" s="175" t="s">
        <v>2867</v>
      </c>
      <c r="CU139" s="175"/>
      <c r="CV139" s="181" t="s">
        <v>2879</v>
      </c>
      <c r="CW139" s="67"/>
      <c r="CX139" s="182"/>
      <c r="CY139" s="175" t="s">
        <v>2880</v>
      </c>
      <c r="CZ139" s="175"/>
      <c r="DA139" s="175" t="s">
        <v>3972</v>
      </c>
      <c r="DB139" s="175" t="s">
        <v>3972</v>
      </c>
      <c r="DC139" s="175" t="s">
        <v>4011</v>
      </c>
      <c r="DD139" s="175"/>
      <c r="DE139" s="176">
        <v>46174</v>
      </c>
      <c r="DF139" s="175"/>
      <c r="DG139" s="182"/>
      <c r="DH139" s="183">
        <v>1023500</v>
      </c>
      <c r="DI139" s="67"/>
      <c r="DJ139" s="67"/>
      <c r="DK139" s="67"/>
      <c r="DL139" s="67"/>
      <c r="DM139" s="67"/>
      <c r="DN139" s="183">
        <v>0</v>
      </c>
      <c r="DO139" s="183">
        <v>0</v>
      </c>
      <c r="DP139" s="67" t="s">
        <v>2867</v>
      </c>
      <c r="DQ139" s="175"/>
      <c r="DR139" s="175"/>
      <c r="DS139" s="175" t="s">
        <v>2882</v>
      </c>
      <c r="DT139" s="175"/>
      <c r="DU139" s="175"/>
      <c r="DV139" s="175" t="s">
        <v>2883</v>
      </c>
      <c r="DW139" s="175" t="s">
        <v>2884</v>
      </c>
      <c r="DX139" s="175" t="s">
        <v>2879</v>
      </c>
    </row>
    <row r="140" spans="1:128" ht="19.5" customHeight="1">
      <c r="A140" s="173" t="s">
        <v>3268</v>
      </c>
      <c r="B140" s="174" t="s">
        <v>4012</v>
      </c>
      <c r="C140" s="67"/>
      <c r="D140" s="67"/>
      <c r="E140" s="174" t="s">
        <v>4013</v>
      </c>
      <c r="F140" s="174" t="s">
        <v>2342</v>
      </c>
      <c r="G140" s="175" t="s">
        <v>4014</v>
      </c>
      <c r="H140" s="174" t="s">
        <v>2994</v>
      </c>
      <c r="I140" s="174" t="s">
        <v>2995</v>
      </c>
      <c r="J140" s="175" t="s">
        <v>2859</v>
      </c>
      <c r="K140" s="176">
        <v>46174</v>
      </c>
      <c r="L140" s="67" t="s">
        <v>2860</v>
      </c>
      <c r="M140" s="175" t="s">
        <v>2338</v>
      </c>
      <c r="N140" s="67" t="s">
        <v>2338</v>
      </c>
      <c r="O140" s="67" t="s">
        <v>2328</v>
      </c>
      <c r="P140" s="67" t="s">
        <v>2862</v>
      </c>
      <c r="Q140" s="67"/>
      <c r="R140" s="67"/>
      <c r="S140" s="67" t="s">
        <v>110</v>
      </c>
      <c r="T140" s="177" t="s">
        <v>2863</v>
      </c>
      <c r="U140" s="67" t="s">
        <v>116</v>
      </c>
      <c r="V140" s="67"/>
      <c r="W140" s="175" t="s">
        <v>2865</v>
      </c>
      <c r="X140" s="67" t="s">
        <v>2415</v>
      </c>
      <c r="Y140" s="67" t="s">
        <v>2866</v>
      </c>
      <c r="Z140" s="67" t="s">
        <v>2416</v>
      </c>
      <c r="AA140" s="175" t="s">
        <v>2947</v>
      </c>
      <c r="AB140" s="175" t="s">
        <v>4015</v>
      </c>
      <c r="AC140" s="175" t="s">
        <v>4016</v>
      </c>
      <c r="AD140" s="175" t="s">
        <v>4017</v>
      </c>
      <c r="AE140" s="175" t="s">
        <v>4018</v>
      </c>
      <c r="AF140" s="176"/>
      <c r="AG140" s="176"/>
      <c r="AH140" s="176"/>
      <c r="AI140" s="67"/>
      <c r="AJ140" s="67"/>
      <c r="AK140" s="67" t="s">
        <v>2867</v>
      </c>
      <c r="AL140" s="67"/>
      <c r="AM140" s="176"/>
      <c r="AN140" s="176"/>
      <c r="AO140" s="67"/>
      <c r="AP140" s="67" t="s">
        <v>2867</v>
      </c>
      <c r="AQ140" s="67" t="s">
        <v>2868</v>
      </c>
      <c r="AR140" s="175"/>
      <c r="AS140" s="175" t="s">
        <v>2869</v>
      </c>
      <c r="AT140" s="175" t="s">
        <v>2867</v>
      </c>
      <c r="AU140" s="175"/>
      <c r="AV140" s="178">
        <v>0</v>
      </c>
      <c r="AW140" s="67"/>
      <c r="AX140" s="175" t="s">
        <v>2867</v>
      </c>
      <c r="AY140" s="175" t="s">
        <v>2870</v>
      </c>
      <c r="AZ140" s="175" t="s">
        <v>2871</v>
      </c>
      <c r="BA140" s="175"/>
      <c r="BB140" s="175"/>
      <c r="BC140" s="175" t="s">
        <v>2859</v>
      </c>
      <c r="BD140" s="175" t="s">
        <v>2872</v>
      </c>
      <c r="BE140" s="175" t="s">
        <v>2873</v>
      </c>
      <c r="BF140" s="175" t="s">
        <v>2867</v>
      </c>
      <c r="BG140" s="67"/>
      <c r="BH140" s="179"/>
      <c r="BI140" s="175" t="s">
        <v>2867</v>
      </c>
      <c r="BJ140" s="175"/>
      <c r="BK140" s="175" t="s">
        <v>2867</v>
      </c>
      <c r="BL140" s="175"/>
      <c r="BM140" s="175" t="s">
        <v>2936</v>
      </c>
      <c r="BN140" s="175" t="s">
        <v>2937</v>
      </c>
      <c r="BO140" s="180"/>
      <c r="BP140" s="67" t="s">
        <v>2867</v>
      </c>
      <c r="BQ140" s="175" t="s">
        <v>1477</v>
      </c>
      <c r="BR140" s="177" t="s">
        <v>144</v>
      </c>
      <c r="BS140" s="177"/>
      <c r="BT140" s="67" t="s">
        <v>2867</v>
      </c>
      <c r="BU140" s="175"/>
      <c r="BV140" s="176"/>
      <c r="BW140" s="67" t="s">
        <v>2878</v>
      </c>
      <c r="BX140" s="175" t="s">
        <v>4019</v>
      </c>
      <c r="BY140" s="175" t="s">
        <v>1999</v>
      </c>
      <c r="BZ140" s="177"/>
      <c r="CA140" s="175"/>
      <c r="CB140" s="175"/>
      <c r="CC140" s="177"/>
      <c r="CD140" s="177"/>
      <c r="CE140" s="67"/>
      <c r="CF140" s="67"/>
      <c r="CG140" s="177"/>
      <c r="CH140" s="176"/>
      <c r="CI140" s="176"/>
      <c r="CJ140" s="175"/>
      <c r="CK140" s="67" t="s">
        <v>3027</v>
      </c>
      <c r="CL140" s="175" t="s">
        <v>929</v>
      </c>
      <c r="CM140" s="175" t="s">
        <v>3418</v>
      </c>
      <c r="CN140" s="175" t="s">
        <v>3970</v>
      </c>
      <c r="CO140" s="175"/>
      <c r="CP140" s="67" t="s">
        <v>1809</v>
      </c>
      <c r="CQ140" s="175" t="s">
        <v>3027</v>
      </c>
      <c r="CR140" s="175" t="s">
        <v>4020</v>
      </c>
      <c r="CS140" s="67"/>
      <c r="CT140" s="175" t="s">
        <v>2867</v>
      </c>
      <c r="CU140" s="175"/>
      <c r="CV140" s="181" t="s">
        <v>2879</v>
      </c>
      <c r="CW140" s="67"/>
      <c r="CX140" s="182"/>
      <c r="CY140" s="175" t="s">
        <v>2880</v>
      </c>
      <c r="CZ140" s="175"/>
      <c r="DA140" s="175" t="s">
        <v>3972</v>
      </c>
      <c r="DB140" s="175" t="s">
        <v>3972</v>
      </c>
      <c r="DC140" s="175" t="s">
        <v>4011</v>
      </c>
      <c r="DD140" s="175"/>
      <c r="DE140" s="176">
        <v>46174</v>
      </c>
      <c r="DF140" s="175"/>
      <c r="DG140" s="182"/>
      <c r="DH140" s="183">
        <v>1023500</v>
      </c>
      <c r="DI140" s="67"/>
      <c r="DJ140" s="67"/>
      <c r="DK140" s="67"/>
      <c r="DL140" s="67"/>
      <c r="DM140" s="67"/>
      <c r="DN140" s="183">
        <v>0</v>
      </c>
      <c r="DO140" s="183">
        <v>0</v>
      </c>
      <c r="DP140" s="67" t="s">
        <v>2867</v>
      </c>
      <c r="DQ140" s="175"/>
      <c r="DR140" s="175"/>
      <c r="DS140" s="175" t="s">
        <v>2882</v>
      </c>
      <c r="DT140" s="175"/>
      <c r="DU140" s="175"/>
      <c r="DV140" s="175" t="s">
        <v>2883</v>
      </c>
      <c r="DW140" s="175" t="s">
        <v>2884</v>
      </c>
      <c r="DX140" s="175" t="s">
        <v>2879</v>
      </c>
    </row>
    <row r="141" spans="1:128" ht="19.5" customHeight="1">
      <c r="A141" s="173" t="s">
        <v>3268</v>
      </c>
      <c r="B141" s="174" t="s">
        <v>4021</v>
      </c>
      <c r="C141" s="67"/>
      <c r="D141" s="67"/>
      <c r="E141" s="174" t="s">
        <v>4022</v>
      </c>
      <c r="F141" s="174" t="s">
        <v>2343</v>
      </c>
      <c r="G141" s="175" t="s">
        <v>4023</v>
      </c>
      <c r="H141" s="174" t="s">
        <v>2994</v>
      </c>
      <c r="I141" s="174" t="s">
        <v>2995</v>
      </c>
      <c r="J141" s="175" t="s">
        <v>2859</v>
      </c>
      <c r="K141" s="176">
        <v>46174</v>
      </c>
      <c r="L141" s="67" t="s">
        <v>2932</v>
      </c>
      <c r="M141" s="175" t="s">
        <v>2334</v>
      </c>
      <c r="N141" s="67" t="s">
        <v>2334</v>
      </c>
      <c r="O141" s="67" t="s">
        <v>2327</v>
      </c>
      <c r="P141" s="67" t="s">
        <v>2890</v>
      </c>
      <c r="Q141" s="67"/>
      <c r="R141" s="67"/>
      <c r="S141" s="67" t="s">
        <v>103</v>
      </c>
      <c r="T141" s="177" t="s">
        <v>2863</v>
      </c>
      <c r="U141" s="67" t="s">
        <v>2935</v>
      </c>
      <c r="V141" s="67"/>
      <c r="W141" s="175" t="s">
        <v>2865</v>
      </c>
      <c r="X141" s="67" t="s">
        <v>2417</v>
      </c>
      <c r="Y141" s="67" t="s">
        <v>2866</v>
      </c>
      <c r="Z141" s="67" t="s">
        <v>2418</v>
      </c>
      <c r="AA141" s="175" t="s">
        <v>2947</v>
      </c>
      <c r="AB141" s="175" t="s">
        <v>4024</v>
      </c>
      <c r="AC141" s="175" t="s">
        <v>4025</v>
      </c>
      <c r="AD141" s="175" t="s">
        <v>4026</v>
      </c>
      <c r="AE141" s="175" t="s">
        <v>4027</v>
      </c>
      <c r="AF141" s="176"/>
      <c r="AG141" s="176"/>
      <c r="AH141" s="176"/>
      <c r="AI141" s="67"/>
      <c r="AJ141" s="67"/>
      <c r="AK141" s="67" t="s">
        <v>2867</v>
      </c>
      <c r="AL141" s="67"/>
      <c r="AM141" s="176"/>
      <c r="AN141" s="176"/>
      <c r="AO141" s="67"/>
      <c r="AP141" s="67" t="s">
        <v>2867</v>
      </c>
      <c r="AQ141" s="67" t="s">
        <v>2868</v>
      </c>
      <c r="AR141" s="175"/>
      <c r="AS141" s="175" t="s">
        <v>2869</v>
      </c>
      <c r="AT141" s="175" t="s">
        <v>2867</v>
      </c>
      <c r="AU141" s="175"/>
      <c r="AV141" s="178">
        <v>0</v>
      </c>
      <c r="AW141" s="67"/>
      <c r="AX141" s="175" t="s">
        <v>2867</v>
      </c>
      <c r="AY141" s="175" t="s">
        <v>2870</v>
      </c>
      <c r="AZ141" s="175" t="s">
        <v>2871</v>
      </c>
      <c r="BA141" s="175"/>
      <c r="BB141" s="175"/>
      <c r="BC141" s="175" t="s">
        <v>2859</v>
      </c>
      <c r="BD141" s="175" t="s">
        <v>2872</v>
      </c>
      <c r="BE141" s="175" t="s">
        <v>2873</v>
      </c>
      <c r="BF141" s="175" t="s">
        <v>2867</v>
      </c>
      <c r="BG141" s="67"/>
      <c r="BH141" s="179"/>
      <c r="BI141" s="175" t="s">
        <v>2867</v>
      </c>
      <c r="BJ141" s="175"/>
      <c r="BK141" s="175" t="s">
        <v>2867</v>
      </c>
      <c r="BL141" s="175"/>
      <c r="BM141" s="175" t="s">
        <v>3470</v>
      </c>
      <c r="BN141" s="175" t="s">
        <v>3471</v>
      </c>
      <c r="BO141" s="180"/>
      <c r="BP141" s="67" t="s">
        <v>2867</v>
      </c>
      <c r="BQ141" s="175" t="s">
        <v>2523</v>
      </c>
      <c r="BR141" s="177" t="s">
        <v>2332</v>
      </c>
      <c r="BS141" s="177"/>
      <c r="BT141" s="67" t="s">
        <v>2867</v>
      </c>
      <c r="BU141" s="175"/>
      <c r="BV141" s="176"/>
      <c r="BW141" s="67" t="s">
        <v>2878</v>
      </c>
      <c r="BX141" s="175" t="s">
        <v>4028</v>
      </c>
      <c r="BY141" s="175" t="s">
        <v>1999</v>
      </c>
      <c r="BZ141" s="177"/>
      <c r="CA141" s="175"/>
      <c r="CB141" s="175"/>
      <c r="CC141" s="177"/>
      <c r="CD141" s="177"/>
      <c r="CE141" s="67"/>
      <c r="CF141" s="67"/>
      <c r="CG141" s="177"/>
      <c r="CH141" s="176"/>
      <c r="CI141" s="176"/>
      <c r="CJ141" s="175"/>
      <c r="CK141" s="67" t="s">
        <v>3027</v>
      </c>
      <c r="CL141" s="175" t="s">
        <v>929</v>
      </c>
      <c r="CM141" s="175" t="s">
        <v>3442</v>
      </c>
      <c r="CN141" s="175" t="s">
        <v>3970</v>
      </c>
      <c r="CO141" s="175"/>
      <c r="CP141" s="67" t="s">
        <v>4029</v>
      </c>
      <c r="CQ141" s="175" t="s">
        <v>2867</v>
      </c>
      <c r="CR141" s="175" t="s">
        <v>4030</v>
      </c>
      <c r="CS141" s="67"/>
      <c r="CT141" s="175" t="s">
        <v>2867</v>
      </c>
      <c r="CU141" s="175"/>
      <c r="CV141" s="181" t="s">
        <v>2879</v>
      </c>
      <c r="CW141" s="67"/>
      <c r="CX141" s="182"/>
      <c r="CY141" s="175" t="s">
        <v>2880</v>
      </c>
      <c r="CZ141" s="175"/>
      <c r="DA141" s="175" t="s">
        <v>3972</v>
      </c>
      <c r="DB141" s="175" t="s">
        <v>3972</v>
      </c>
      <c r="DC141" s="175" t="s">
        <v>4031</v>
      </c>
      <c r="DD141" s="175"/>
      <c r="DE141" s="176">
        <v>46174</v>
      </c>
      <c r="DF141" s="175"/>
      <c r="DG141" s="182"/>
      <c r="DH141" s="183">
        <v>909100</v>
      </c>
      <c r="DI141" s="67"/>
      <c r="DJ141" s="67"/>
      <c r="DK141" s="67"/>
      <c r="DL141" s="67"/>
      <c r="DM141" s="67"/>
      <c r="DN141" s="183">
        <v>0</v>
      </c>
      <c r="DO141" s="183">
        <v>0</v>
      </c>
      <c r="DP141" s="67" t="s">
        <v>2867</v>
      </c>
      <c r="DQ141" s="175"/>
      <c r="DR141" s="175"/>
      <c r="DS141" s="175" t="s">
        <v>2882</v>
      </c>
      <c r="DT141" s="175"/>
      <c r="DU141" s="175"/>
      <c r="DV141" s="175" t="s">
        <v>2883</v>
      </c>
      <c r="DW141" s="175" t="s">
        <v>2884</v>
      </c>
      <c r="DX141" s="175" t="s">
        <v>2879</v>
      </c>
    </row>
    <row r="142" spans="1:128" ht="19.5" customHeight="1">
      <c r="A142" s="173" t="s">
        <v>3268</v>
      </c>
      <c r="B142" s="174" t="s">
        <v>4032</v>
      </c>
      <c r="C142" s="67"/>
      <c r="D142" s="67"/>
      <c r="E142" s="174" t="s">
        <v>4033</v>
      </c>
      <c r="F142" s="174" t="s">
        <v>2344</v>
      </c>
      <c r="G142" s="175" t="s">
        <v>4034</v>
      </c>
      <c r="H142" s="174" t="s">
        <v>2994</v>
      </c>
      <c r="I142" s="174" t="s">
        <v>2995</v>
      </c>
      <c r="J142" s="175" t="s">
        <v>2859</v>
      </c>
      <c r="K142" s="176">
        <v>46174</v>
      </c>
      <c r="L142" s="67" t="s">
        <v>2921</v>
      </c>
      <c r="M142" s="175" t="s">
        <v>2334</v>
      </c>
      <c r="N142" s="67" t="s">
        <v>2334</v>
      </c>
      <c r="O142" s="67" t="s">
        <v>2327</v>
      </c>
      <c r="P142" s="67" t="s">
        <v>2890</v>
      </c>
      <c r="Q142" s="67"/>
      <c r="R142" s="67"/>
      <c r="S142" s="67" t="s">
        <v>103</v>
      </c>
      <c r="T142" s="177" t="s">
        <v>2863</v>
      </c>
      <c r="U142" s="67" t="s">
        <v>1270</v>
      </c>
      <c r="V142" s="67"/>
      <c r="W142" s="175" t="s">
        <v>2865</v>
      </c>
      <c r="X142" s="67" t="s">
        <v>2419</v>
      </c>
      <c r="Y142" s="67" t="s">
        <v>2866</v>
      </c>
      <c r="Z142" s="67" t="s">
        <v>2420</v>
      </c>
      <c r="AA142" s="175" t="s">
        <v>2947</v>
      </c>
      <c r="AB142" s="175" t="s">
        <v>3077</v>
      </c>
      <c r="AC142" s="175" t="s">
        <v>3078</v>
      </c>
      <c r="AD142" s="175" t="s">
        <v>3079</v>
      </c>
      <c r="AE142" s="175" t="s">
        <v>3080</v>
      </c>
      <c r="AF142" s="176"/>
      <c r="AG142" s="176"/>
      <c r="AH142" s="176"/>
      <c r="AI142" s="67"/>
      <c r="AJ142" s="67"/>
      <c r="AK142" s="67" t="s">
        <v>2867</v>
      </c>
      <c r="AL142" s="67"/>
      <c r="AM142" s="176"/>
      <c r="AN142" s="176"/>
      <c r="AO142" s="67"/>
      <c r="AP142" s="67" t="s">
        <v>2867</v>
      </c>
      <c r="AQ142" s="67" t="s">
        <v>2868</v>
      </c>
      <c r="AR142" s="175"/>
      <c r="AS142" s="175" t="s">
        <v>2869</v>
      </c>
      <c r="AT142" s="175" t="s">
        <v>2867</v>
      </c>
      <c r="AU142" s="175"/>
      <c r="AV142" s="178">
        <v>0</v>
      </c>
      <c r="AW142" s="67"/>
      <c r="AX142" s="175" t="s">
        <v>2867</v>
      </c>
      <c r="AY142" s="175" t="s">
        <v>2870</v>
      </c>
      <c r="AZ142" s="175" t="s">
        <v>2871</v>
      </c>
      <c r="BA142" s="175"/>
      <c r="BB142" s="175"/>
      <c r="BC142" s="175" t="s">
        <v>2859</v>
      </c>
      <c r="BD142" s="175" t="s">
        <v>2872</v>
      </c>
      <c r="BE142" s="175" t="s">
        <v>2873</v>
      </c>
      <c r="BF142" s="175" t="s">
        <v>2867</v>
      </c>
      <c r="BG142" s="67"/>
      <c r="BH142" s="179"/>
      <c r="BI142" s="175" t="s">
        <v>2867</v>
      </c>
      <c r="BJ142" s="175"/>
      <c r="BK142" s="175" t="s">
        <v>2867</v>
      </c>
      <c r="BL142" s="175"/>
      <c r="BM142" s="175" t="s">
        <v>2936</v>
      </c>
      <c r="BN142" s="175" t="s">
        <v>2937</v>
      </c>
      <c r="BO142" s="180" t="s">
        <v>2879</v>
      </c>
      <c r="BP142" s="67" t="s">
        <v>2867</v>
      </c>
      <c r="BQ142" s="175" t="s">
        <v>1477</v>
      </c>
      <c r="BR142" s="177" t="s">
        <v>144</v>
      </c>
      <c r="BS142" s="177"/>
      <c r="BT142" s="67" t="s">
        <v>2867</v>
      </c>
      <c r="BU142" s="175"/>
      <c r="BV142" s="176"/>
      <c r="BW142" s="67" t="s">
        <v>2878</v>
      </c>
      <c r="BX142" s="175" t="s">
        <v>4035</v>
      </c>
      <c r="BY142" s="175" t="s">
        <v>1999</v>
      </c>
      <c r="BZ142" s="177"/>
      <c r="CA142" s="175"/>
      <c r="CB142" s="175"/>
      <c r="CC142" s="177"/>
      <c r="CD142" s="177"/>
      <c r="CE142" s="67"/>
      <c r="CF142" s="67"/>
      <c r="CG142" s="177"/>
      <c r="CH142" s="176"/>
      <c r="CI142" s="176"/>
      <c r="CJ142" s="175"/>
      <c r="CK142" s="67" t="s">
        <v>3027</v>
      </c>
      <c r="CL142" s="175" t="s">
        <v>929</v>
      </c>
      <c r="CM142" s="175" t="s">
        <v>3442</v>
      </c>
      <c r="CN142" s="175" t="s">
        <v>3970</v>
      </c>
      <c r="CO142" s="175"/>
      <c r="CP142" s="67" t="s">
        <v>1813</v>
      </c>
      <c r="CQ142" s="175" t="s">
        <v>3027</v>
      </c>
      <c r="CR142" s="175" t="s">
        <v>4036</v>
      </c>
      <c r="CS142" s="67"/>
      <c r="CT142" s="175" t="s">
        <v>2867</v>
      </c>
      <c r="CU142" s="175"/>
      <c r="CV142" s="181" t="s">
        <v>2879</v>
      </c>
      <c r="CW142" s="67"/>
      <c r="CX142" s="182"/>
      <c r="CY142" s="175" t="s">
        <v>2880</v>
      </c>
      <c r="CZ142" s="175"/>
      <c r="DA142" s="175" t="s">
        <v>3972</v>
      </c>
      <c r="DB142" s="175" t="s">
        <v>3972</v>
      </c>
      <c r="DC142" s="175" t="s">
        <v>4037</v>
      </c>
      <c r="DD142" s="175"/>
      <c r="DE142" s="176">
        <v>46174</v>
      </c>
      <c r="DF142" s="175"/>
      <c r="DG142" s="182"/>
      <c r="DH142" s="183">
        <v>1023500</v>
      </c>
      <c r="DI142" s="67"/>
      <c r="DJ142" s="67"/>
      <c r="DK142" s="67"/>
      <c r="DL142" s="67"/>
      <c r="DM142" s="67"/>
      <c r="DN142" s="183">
        <v>0</v>
      </c>
      <c r="DO142" s="183">
        <v>0</v>
      </c>
      <c r="DP142" s="67" t="s">
        <v>2867</v>
      </c>
      <c r="DQ142" s="175"/>
      <c r="DR142" s="175"/>
      <c r="DS142" s="175" t="s">
        <v>2882</v>
      </c>
      <c r="DT142" s="175"/>
      <c r="DU142" s="175"/>
      <c r="DV142" s="175" t="s">
        <v>2883</v>
      </c>
      <c r="DW142" s="175" t="s">
        <v>2884</v>
      </c>
      <c r="DX142" s="175" t="s">
        <v>2879</v>
      </c>
    </row>
    <row r="143" spans="1:128" ht="19.5" customHeight="1">
      <c r="A143" s="173" t="s">
        <v>3268</v>
      </c>
      <c r="B143" s="174" t="s">
        <v>4038</v>
      </c>
      <c r="C143" s="67"/>
      <c r="D143" s="67"/>
      <c r="E143" s="174" t="s">
        <v>4039</v>
      </c>
      <c r="F143" s="174" t="s">
        <v>2345</v>
      </c>
      <c r="G143" s="175" t="s">
        <v>4040</v>
      </c>
      <c r="H143" s="174" t="s">
        <v>2994</v>
      </c>
      <c r="I143" s="174" t="s">
        <v>2995</v>
      </c>
      <c r="J143" s="175" t="s">
        <v>2859</v>
      </c>
      <c r="K143" s="176">
        <v>46174</v>
      </c>
      <c r="L143" s="67" t="s">
        <v>2943</v>
      </c>
      <c r="M143" s="175" t="s">
        <v>2334</v>
      </c>
      <c r="N143" s="67" t="s">
        <v>2334</v>
      </c>
      <c r="O143" s="67" t="s">
        <v>2327</v>
      </c>
      <c r="P143" s="67" t="s">
        <v>2890</v>
      </c>
      <c r="Q143" s="67"/>
      <c r="R143" s="67"/>
      <c r="S143" s="67" t="s">
        <v>103</v>
      </c>
      <c r="T143" s="177" t="s">
        <v>2863</v>
      </c>
      <c r="U143" s="67" t="s">
        <v>1270</v>
      </c>
      <c r="V143" s="67"/>
      <c r="W143" s="175" t="s">
        <v>2865</v>
      </c>
      <c r="X143" s="67" t="s">
        <v>2421</v>
      </c>
      <c r="Y143" s="67" t="s">
        <v>2866</v>
      </c>
      <c r="Z143" s="67" t="s">
        <v>2422</v>
      </c>
      <c r="AA143" s="175" t="s">
        <v>2947</v>
      </c>
      <c r="AB143" s="175" t="s">
        <v>3226</v>
      </c>
      <c r="AC143" s="175" t="s">
        <v>3227</v>
      </c>
      <c r="AD143" s="175" t="s">
        <v>3228</v>
      </c>
      <c r="AE143" s="175" t="s">
        <v>3229</v>
      </c>
      <c r="AF143" s="176"/>
      <c r="AG143" s="176"/>
      <c r="AH143" s="176"/>
      <c r="AI143" s="67"/>
      <c r="AJ143" s="67"/>
      <c r="AK143" s="67" t="s">
        <v>2867</v>
      </c>
      <c r="AL143" s="67"/>
      <c r="AM143" s="176"/>
      <c r="AN143" s="176"/>
      <c r="AO143" s="67"/>
      <c r="AP143" s="67" t="s">
        <v>2867</v>
      </c>
      <c r="AQ143" s="67" t="s">
        <v>2868</v>
      </c>
      <c r="AR143" s="175"/>
      <c r="AS143" s="175" t="s">
        <v>2869</v>
      </c>
      <c r="AT143" s="175" t="s">
        <v>2867</v>
      </c>
      <c r="AU143" s="175"/>
      <c r="AV143" s="178">
        <v>0</v>
      </c>
      <c r="AW143" s="67"/>
      <c r="AX143" s="175" t="s">
        <v>2867</v>
      </c>
      <c r="AY143" s="175" t="s">
        <v>2870</v>
      </c>
      <c r="AZ143" s="175" t="s">
        <v>2871</v>
      </c>
      <c r="BA143" s="175"/>
      <c r="BB143" s="175"/>
      <c r="BC143" s="175" t="s">
        <v>2859</v>
      </c>
      <c r="BD143" s="175" t="s">
        <v>2872</v>
      </c>
      <c r="BE143" s="175" t="s">
        <v>2873</v>
      </c>
      <c r="BF143" s="175" t="s">
        <v>2867</v>
      </c>
      <c r="BG143" s="67"/>
      <c r="BH143" s="179"/>
      <c r="BI143" s="175" t="s">
        <v>2867</v>
      </c>
      <c r="BJ143" s="175"/>
      <c r="BK143" s="175" t="s">
        <v>2867</v>
      </c>
      <c r="BL143" s="175"/>
      <c r="BM143" s="175" t="s">
        <v>2936</v>
      </c>
      <c r="BN143" s="175" t="s">
        <v>2937</v>
      </c>
      <c r="BO143" s="180" t="s">
        <v>2879</v>
      </c>
      <c r="BP143" s="67" t="s">
        <v>2867</v>
      </c>
      <c r="BQ143" s="175" t="s">
        <v>1477</v>
      </c>
      <c r="BR143" s="177" t="s">
        <v>144</v>
      </c>
      <c r="BS143" s="177"/>
      <c r="BT143" s="67" t="s">
        <v>2867</v>
      </c>
      <c r="BU143" s="175"/>
      <c r="BV143" s="176"/>
      <c r="BW143" s="67" t="s">
        <v>2878</v>
      </c>
      <c r="BX143" s="175" t="s">
        <v>4041</v>
      </c>
      <c r="BY143" s="175" t="s">
        <v>1999</v>
      </c>
      <c r="BZ143" s="177"/>
      <c r="CA143" s="175"/>
      <c r="CB143" s="175"/>
      <c r="CC143" s="177"/>
      <c r="CD143" s="177"/>
      <c r="CE143" s="67"/>
      <c r="CF143" s="67"/>
      <c r="CG143" s="177"/>
      <c r="CH143" s="176"/>
      <c r="CI143" s="176"/>
      <c r="CJ143" s="175"/>
      <c r="CK143" s="67" t="s">
        <v>3027</v>
      </c>
      <c r="CL143" s="175" t="s">
        <v>929</v>
      </c>
      <c r="CM143" s="175" t="s">
        <v>3418</v>
      </c>
      <c r="CN143" s="175" t="s">
        <v>3970</v>
      </c>
      <c r="CO143" s="175"/>
      <c r="CP143" s="67" t="s">
        <v>1813</v>
      </c>
      <c r="CQ143" s="175" t="s">
        <v>3027</v>
      </c>
      <c r="CR143" s="175" t="s">
        <v>4042</v>
      </c>
      <c r="CS143" s="67"/>
      <c r="CT143" s="175" t="s">
        <v>2867</v>
      </c>
      <c r="CU143" s="175"/>
      <c r="CV143" s="181" t="s">
        <v>2879</v>
      </c>
      <c r="CW143" s="67"/>
      <c r="CX143" s="182"/>
      <c r="CY143" s="175" t="s">
        <v>2880</v>
      </c>
      <c r="CZ143" s="175"/>
      <c r="DA143" s="175" t="s">
        <v>3972</v>
      </c>
      <c r="DB143" s="175" t="s">
        <v>3972</v>
      </c>
      <c r="DC143" s="175" t="s">
        <v>3973</v>
      </c>
      <c r="DD143" s="175"/>
      <c r="DE143" s="176">
        <v>46174</v>
      </c>
      <c r="DF143" s="175"/>
      <c r="DG143" s="182"/>
      <c r="DH143" s="183">
        <v>1023500</v>
      </c>
      <c r="DI143" s="67"/>
      <c r="DJ143" s="67"/>
      <c r="DK143" s="67"/>
      <c r="DL143" s="67"/>
      <c r="DM143" s="67"/>
      <c r="DN143" s="183">
        <v>0</v>
      </c>
      <c r="DO143" s="183">
        <v>0</v>
      </c>
      <c r="DP143" s="67" t="s">
        <v>2867</v>
      </c>
      <c r="DQ143" s="175"/>
      <c r="DR143" s="175"/>
      <c r="DS143" s="175" t="s">
        <v>2882</v>
      </c>
      <c r="DT143" s="175"/>
      <c r="DU143" s="175"/>
      <c r="DV143" s="175" t="s">
        <v>2883</v>
      </c>
      <c r="DW143" s="175" t="s">
        <v>2884</v>
      </c>
      <c r="DX143" s="175" t="s">
        <v>2879</v>
      </c>
    </row>
    <row r="144" spans="1:128" ht="19.5" customHeight="1">
      <c r="A144" s="173" t="s">
        <v>3268</v>
      </c>
      <c r="B144" s="174" t="s">
        <v>4043</v>
      </c>
      <c r="C144" s="67"/>
      <c r="D144" s="67"/>
      <c r="E144" s="174" t="s">
        <v>4044</v>
      </c>
      <c r="F144" s="174" t="s">
        <v>2346</v>
      </c>
      <c r="G144" s="175" t="s">
        <v>4045</v>
      </c>
      <c r="H144" s="174" t="s">
        <v>2994</v>
      </c>
      <c r="I144" s="174" t="s">
        <v>2995</v>
      </c>
      <c r="J144" s="175" t="s">
        <v>2859</v>
      </c>
      <c r="K144" s="176">
        <v>46174</v>
      </c>
      <c r="L144" s="67" t="s">
        <v>2932</v>
      </c>
      <c r="M144" s="175" t="s">
        <v>2334</v>
      </c>
      <c r="N144" s="67" t="s">
        <v>2334</v>
      </c>
      <c r="O144" s="67" t="s">
        <v>2327</v>
      </c>
      <c r="P144" s="67" t="s">
        <v>2890</v>
      </c>
      <c r="Q144" s="67"/>
      <c r="R144" s="67"/>
      <c r="S144" s="67" t="s">
        <v>103</v>
      </c>
      <c r="T144" s="177" t="s">
        <v>2863</v>
      </c>
      <c r="U144" s="67" t="s">
        <v>1270</v>
      </c>
      <c r="V144" s="67"/>
      <c r="W144" s="175" t="s">
        <v>2865</v>
      </c>
      <c r="X144" s="67" t="s">
        <v>2423</v>
      </c>
      <c r="Y144" s="67" t="s">
        <v>2866</v>
      </c>
      <c r="Z144" s="67" t="s">
        <v>2424</v>
      </c>
      <c r="AA144" s="175" t="s">
        <v>2947</v>
      </c>
      <c r="AB144" s="175" t="s">
        <v>4046</v>
      </c>
      <c r="AC144" s="175" t="s">
        <v>4047</v>
      </c>
      <c r="AD144" s="175" t="s">
        <v>4048</v>
      </c>
      <c r="AE144" s="175" t="s">
        <v>4049</v>
      </c>
      <c r="AF144" s="176"/>
      <c r="AG144" s="176"/>
      <c r="AH144" s="176"/>
      <c r="AI144" s="67"/>
      <c r="AJ144" s="67"/>
      <c r="AK144" s="67" t="s">
        <v>2867</v>
      </c>
      <c r="AL144" s="67"/>
      <c r="AM144" s="176"/>
      <c r="AN144" s="176"/>
      <c r="AO144" s="67"/>
      <c r="AP144" s="67" t="s">
        <v>2867</v>
      </c>
      <c r="AQ144" s="67" t="s">
        <v>2868</v>
      </c>
      <c r="AR144" s="175"/>
      <c r="AS144" s="175" t="s">
        <v>2869</v>
      </c>
      <c r="AT144" s="175" t="s">
        <v>2867</v>
      </c>
      <c r="AU144" s="175"/>
      <c r="AV144" s="178">
        <v>0</v>
      </c>
      <c r="AW144" s="67"/>
      <c r="AX144" s="175" t="s">
        <v>2867</v>
      </c>
      <c r="AY144" s="175" t="s">
        <v>2870</v>
      </c>
      <c r="AZ144" s="175" t="s">
        <v>2871</v>
      </c>
      <c r="BA144" s="175"/>
      <c r="BB144" s="175"/>
      <c r="BC144" s="175" t="s">
        <v>2859</v>
      </c>
      <c r="BD144" s="175" t="s">
        <v>2872</v>
      </c>
      <c r="BE144" s="175" t="s">
        <v>2873</v>
      </c>
      <c r="BF144" s="175" t="s">
        <v>2867</v>
      </c>
      <c r="BG144" s="67"/>
      <c r="BH144" s="179"/>
      <c r="BI144" s="175" t="s">
        <v>2867</v>
      </c>
      <c r="BJ144" s="175"/>
      <c r="BK144" s="175" t="s">
        <v>2867</v>
      </c>
      <c r="BL144" s="175"/>
      <c r="BM144" s="175" t="s">
        <v>3470</v>
      </c>
      <c r="BN144" s="175" t="s">
        <v>3471</v>
      </c>
      <c r="BO144" s="180"/>
      <c r="BP144" s="67" t="s">
        <v>2867</v>
      </c>
      <c r="BQ144" s="175" t="s">
        <v>2523</v>
      </c>
      <c r="BR144" s="177" t="s">
        <v>2332</v>
      </c>
      <c r="BS144" s="177"/>
      <c r="BT144" s="67" t="s">
        <v>2867</v>
      </c>
      <c r="BU144" s="175"/>
      <c r="BV144" s="176"/>
      <c r="BW144" s="67" t="s">
        <v>2878</v>
      </c>
      <c r="BX144" s="175" t="s">
        <v>4050</v>
      </c>
      <c r="BY144" s="175" t="s">
        <v>1999</v>
      </c>
      <c r="BZ144" s="177"/>
      <c r="CA144" s="175"/>
      <c r="CB144" s="175"/>
      <c r="CC144" s="177"/>
      <c r="CD144" s="177"/>
      <c r="CE144" s="67"/>
      <c r="CF144" s="67"/>
      <c r="CG144" s="177"/>
      <c r="CH144" s="176"/>
      <c r="CI144" s="176"/>
      <c r="CJ144" s="175"/>
      <c r="CK144" s="67" t="s">
        <v>3027</v>
      </c>
      <c r="CL144" s="175" t="s">
        <v>929</v>
      </c>
      <c r="CM144" s="175" t="s">
        <v>3418</v>
      </c>
      <c r="CN144" s="175" t="s">
        <v>3970</v>
      </c>
      <c r="CO144" s="175"/>
      <c r="CP144" s="67" t="s">
        <v>4051</v>
      </c>
      <c r="CQ144" s="175" t="s">
        <v>2867</v>
      </c>
      <c r="CR144" s="175" t="s">
        <v>4052</v>
      </c>
      <c r="CS144" s="67"/>
      <c r="CT144" s="175" t="s">
        <v>2867</v>
      </c>
      <c r="CU144" s="175"/>
      <c r="CV144" s="181" t="s">
        <v>2879</v>
      </c>
      <c r="CW144" s="67"/>
      <c r="CX144" s="182"/>
      <c r="CY144" s="175" t="s">
        <v>2880</v>
      </c>
      <c r="CZ144" s="175"/>
      <c r="DA144" s="175" t="s">
        <v>3972</v>
      </c>
      <c r="DB144" s="175" t="s">
        <v>3972</v>
      </c>
      <c r="DC144" s="175" t="s">
        <v>4053</v>
      </c>
      <c r="DD144" s="175"/>
      <c r="DE144" s="176">
        <v>46174</v>
      </c>
      <c r="DF144" s="175"/>
      <c r="DG144" s="182"/>
      <c r="DH144" s="183">
        <v>909100</v>
      </c>
      <c r="DI144" s="67"/>
      <c r="DJ144" s="67"/>
      <c r="DK144" s="67"/>
      <c r="DL144" s="67"/>
      <c r="DM144" s="67"/>
      <c r="DN144" s="183">
        <v>0</v>
      </c>
      <c r="DO144" s="183">
        <v>0</v>
      </c>
      <c r="DP144" s="67" t="s">
        <v>2867</v>
      </c>
      <c r="DQ144" s="175"/>
      <c r="DR144" s="175"/>
      <c r="DS144" s="175" t="s">
        <v>2882</v>
      </c>
      <c r="DT144" s="175"/>
      <c r="DU144" s="175"/>
      <c r="DV144" s="175" t="s">
        <v>2883</v>
      </c>
      <c r="DW144" s="175" t="s">
        <v>2884</v>
      </c>
      <c r="DX144" s="175" t="s">
        <v>2879</v>
      </c>
    </row>
    <row r="145" spans="1:128" ht="19.5" customHeight="1">
      <c r="A145" s="173" t="s">
        <v>3268</v>
      </c>
      <c r="B145" s="174" t="s">
        <v>4054</v>
      </c>
      <c r="C145" s="67"/>
      <c r="D145" s="67"/>
      <c r="E145" s="174" t="s">
        <v>4055</v>
      </c>
      <c r="F145" s="174" t="s">
        <v>2347</v>
      </c>
      <c r="G145" s="175" t="s">
        <v>4056</v>
      </c>
      <c r="H145" s="174" t="s">
        <v>2994</v>
      </c>
      <c r="I145" s="174" t="s">
        <v>2995</v>
      </c>
      <c r="J145" s="175" t="s">
        <v>2859</v>
      </c>
      <c r="K145" s="176">
        <v>46174</v>
      </c>
      <c r="L145" s="67" t="s">
        <v>2932</v>
      </c>
      <c r="M145" s="175" t="s">
        <v>2348</v>
      </c>
      <c r="N145" s="67" t="s">
        <v>2348</v>
      </c>
      <c r="O145" s="67" t="s">
        <v>2329</v>
      </c>
      <c r="P145" s="67" t="s">
        <v>2997</v>
      </c>
      <c r="Q145" s="67"/>
      <c r="R145" s="67"/>
      <c r="S145" s="67" t="s">
        <v>104</v>
      </c>
      <c r="T145" s="177" t="s">
        <v>2998</v>
      </c>
      <c r="U145" s="67" t="s">
        <v>119</v>
      </c>
      <c r="V145" s="67"/>
      <c r="W145" s="175" t="s">
        <v>2865</v>
      </c>
      <c r="X145" s="67" t="s">
        <v>2425</v>
      </c>
      <c r="Y145" s="67" t="s">
        <v>2866</v>
      </c>
      <c r="Z145" s="67" t="s">
        <v>2426</v>
      </c>
      <c r="AA145" s="175" t="s">
        <v>2947</v>
      </c>
      <c r="AB145" s="175" t="s">
        <v>3389</v>
      </c>
      <c r="AC145" s="175" t="s">
        <v>3390</v>
      </c>
      <c r="AD145" s="175" t="s">
        <v>3391</v>
      </c>
      <c r="AE145" s="175" t="s">
        <v>3392</v>
      </c>
      <c r="AF145" s="176"/>
      <c r="AG145" s="176"/>
      <c r="AH145" s="176"/>
      <c r="AI145" s="67"/>
      <c r="AJ145" s="67"/>
      <c r="AK145" s="67" t="s">
        <v>2867</v>
      </c>
      <c r="AL145" s="67"/>
      <c r="AM145" s="176"/>
      <c r="AN145" s="176"/>
      <c r="AO145" s="67"/>
      <c r="AP145" s="67" t="s">
        <v>2867</v>
      </c>
      <c r="AQ145" s="67" t="s">
        <v>2868</v>
      </c>
      <c r="AR145" s="175"/>
      <c r="AS145" s="175" t="s">
        <v>2869</v>
      </c>
      <c r="AT145" s="175" t="s">
        <v>2867</v>
      </c>
      <c r="AU145" s="175"/>
      <c r="AV145" s="178">
        <v>0</v>
      </c>
      <c r="AW145" s="67"/>
      <c r="AX145" s="175" t="s">
        <v>2867</v>
      </c>
      <c r="AY145" s="175" t="s">
        <v>2870</v>
      </c>
      <c r="AZ145" s="175" t="s">
        <v>2871</v>
      </c>
      <c r="BA145" s="175"/>
      <c r="BB145" s="175"/>
      <c r="BC145" s="175" t="s">
        <v>2859</v>
      </c>
      <c r="BD145" s="175" t="s">
        <v>2872</v>
      </c>
      <c r="BE145" s="175" t="s">
        <v>2873</v>
      </c>
      <c r="BF145" s="175" t="s">
        <v>2867</v>
      </c>
      <c r="BG145" s="67"/>
      <c r="BH145" s="179"/>
      <c r="BI145" s="175" t="s">
        <v>2867</v>
      </c>
      <c r="BJ145" s="175"/>
      <c r="BK145" s="175" t="s">
        <v>2867</v>
      </c>
      <c r="BL145" s="175"/>
      <c r="BM145" s="175" t="s">
        <v>3005</v>
      </c>
      <c r="BN145" s="175" t="s">
        <v>3006</v>
      </c>
      <c r="BO145" s="180" t="s">
        <v>2879</v>
      </c>
      <c r="BP145" s="67" t="s">
        <v>2867</v>
      </c>
      <c r="BQ145" s="175" t="s">
        <v>1477</v>
      </c>
      <c r="BR145" s="177" t="s">
        <v>144</v>
      </c>
      <c r="BS145" s="177"/>
      <c r="BT145" s="67" t="s">
        <v>2867</v>
      </c>
      <c r="BU145" s="175"/>
      <c r="BV145" s="176"/>
      <c r="BW145" s="67" t="s">
        <v>2878</v>
      </c>
      <c r="BX145" s="175" t="s">
        <v>4057</v>
      </c>
      <c r="BY145" s="175" t="s">
        <v>1996</v>
      </c>
      <c r="BZ145" s="177"/>
      <c r="CA145" s="175"/>
      <c r="CB145" s="175"/>
      <c r="CC145" s="177"/>
      <c r="CD145" s="177"/>
      <c r="CE145" s="67"/>
      <c r="CF145" s="67"/>
      <c r="CG145" s="177"/>
      <c r="CH145" s="176"/>
      <c r="CI145" s="176"/>
      <c r="CJ145" s="175"/>
      <c r="CK145" s="67" t="s">
        <v>3027</v>
      </c>
      <c r="CL145" s="175" t="s">
        <v>929</v>
      </c>
      <c r="CM145" s="175" t="s">
        <v>3442</v>
      </c>
      <c r="CN145" s="175" t="s">
        <v>3970</v>
      </c>
      <c r="CO145" s="175"/>
      <c r="CP145" s="67" t="s">
        <v>1812</v>
      </c>
      <c r="CQ145" s="175" t="s">
        <v>3027</v>
      </c>
      <c r="CR145" s="175" t="s">
        <v>4058</v>
      </c>
      <c r="CS145" s="67"/>
      <c r="CT145" s="175" t="s">
        <v>2867</v>
      </c>
      <c r="CU145" s="175"/>
      <c r="CV145" s="181" t="s">
        <v>2879</v>
      </c>
      <c r="CW145" s="67"/>
      <c r="CX145" s="182"/>
      <c r="CY145" s="175" t="s">
        <v>2880</v>
      </c>
      <c r="CZ145" s="175"/>
      <c r="DA145" s="175" t="s">
        <v>3972</v>
      </c>
      <c r="DB145" s="175" t="s">
        <v>3972</v>
      </c>
      <c r="DC145" s="175" t="s">
        <v>4059</v>
      </c>
      <c r="DD145" s="175"/>
      <c r="DE145" s="176">
        <v>46174</v>
      </c>
      <c r="DF145" s="175"/>
      <c r="DG145" s="182"/>
      <c r="DH145" s="183">
        <v>1023500</v>
      </c>
      <c r="DI145" s="67"/>
      <c r="DJ145" s="67"/>
      <c r="DK145" s="67"/>
      <c r="DL145" s="67"/>
      <c r="DM145" s="67"/>
      <c r="DN145" s="183">
        <v>0</v>
      </c>
      <c r="DO145" s="183">
        <v>0</v>
      </c>
      <c r="DP145" s="67" t="s">
        <v>2867</v>
      </c>
      <c r="DQ145" s="175"/>
      <c r="DR145" s="175"/>
      <c r="DS145" s="175" t="s">
        <v>2882</v>
      </c>
      <c r="DT145" s="175"/>
      <c r="DU145" s="175"/>
      <c r="DV145" s="175" t="s">
        <v>2883</v>
      </c>
      <c r="DW145" s="175" t="s">
        <v>2884</v>
      </c>
      <c r="DX145" s="175" t="s">
        <v>2879</v>
      </c>
    </row>
    <row r="146" spans="1:128" ht="19.5" customHeight="1">
      <c r="A146" s="173" t="s">
        <v>3268</v>
      </c>
      <c r="B146" s="174" t="s">
        <v>4060</v>
      </c>
      <c r="C146" s="67"/>
      <c r="D146" s="67"/>
      <c r="E146" s="174" t="s">
        <v>4061</v>
      </c>
      <c r="F146" s="174" t="s">
        <v>2349</v>
      </c>
      <c r="G146" s="175" t="s">
        <v>4062</v>
      </c>
      <c r="H146" s="174" t="s">
        <v>2994</v>
      </c>
      <c r="I146" s="174" t="s">
        <v>2995</v>
      </c>
      <c r="J146" s="175" t="s">
        <v>2859</v>
      </c>
      <c r="K146" s="176">
        <v>46174</v>
      </c>
      <c r="L146" s="67" t="s">
        <v>2916</v>
      </c>
      <c r="M146" s="175" t="s">
        <v>2348</v>
      </c>
      <c r="N146" s="67" t="s">
        <v>2348</v>
      </c>
      <c r="O146" s="67" t="s">
        <v>2329</v>
      </c>
      <c r="P146" s="67" t="s">
        <v>2997</v>
      </c>
      <c r="Q146" s="67"/>
      <c r="R146" s="67"/>
      <c r="S146" s="67" t="s">
        <v>104</v>
      </c>
      <c r="T146" s="177" t="s">
        <v>2998</v>
      </c>
      <c r="U146" s="67" t="s">
        <v>119</v>
      </c>
      <c r="V146" s="67"/>
      <c r="W146" s="175" t="s">
        <v>2865</v>
      </c>
      <c r="X146" s="67" t="s">
        <v>2427</v>
      </c>
      <c r="Y146" s="67" t="s">
        <v>2866</v>
      </c>
      <c r="Z146" s="67" t="s">
        <v>2428</v>
      </c>
      <c r="AA146" s="175" t="s">
        <v>2947</v>
      </c>
      <c r="AB146" s="175" t="s">
        <v>3640</v>
      </c>
      <c r="AC146" s="175" t="s">
        <v>3641</v>
      </c>
      <c r="AD146" s="175" t="s">
        <v>3642</v>
      </c>
      <c r="AE146" s="175" t="s">
        <v>3643</v>
      </c>
      <c r="AF146" s="176"/>
      <c r="AG146" s="176"/>
      <c r="AH146" s="176"/>
      <c r="AI146" s="67"/>
      <c r="AJ146" s="67"/>
      <c r="AK146" s="67" t="s">
        <v>2867</v>
      </c>
      <c r="AL146" s="67"/>
      <c r="AM146" s="176"/>
      <c r="AN146" s="176"/>
      <c r="AO146" s="67"/>
      <c r="AP146" s="67" t="s">
        <v>2867</v>
      </c>
      <c r="AQ146" s="67" t="s">
        <v>2868</v>
      </c>
      <c r="AR146" s="175"/>
      <c r="AS146" s="175" t="s">
        <v>2869</v>
      </c>
      <c r="AT146" s="175" t="s">
        <v>2867</v>
      </c>
      <c r="AU146" s="175"/>
      <c r="AV146" s="178">
        <v>0</v>
      </c>
      <c r="AW146" s="67"/>
      <c r="AX146" s="175" t="s">
        <v>2867</v>
      </c>
      <c r="AY146" s="175" t="s">
        <v>2870</v>
      </c>
      <c r="AZ146" s="175" t="s">
        <v>2871</v>
      </c>
      <c r="BA146" s="175"/>
      <c r="BB146" s="175"/>
      <c r="BC146" s="175" t="s">
        <v>2859</v>
      </c>
      <c r="BD146" s="175" t="s">
        <v>2872</v>
      </c>
      <c r="BE146" s="175" t="s">
        <v>2873</v>
      </c>
      <c r="BF146" s="175" t="s">
        <v>2867</v>
      </c>
      <c r="BG146" s="67"/>
      <c r="BH146" s="179"/>
      <c r="BI146" s="175" t="s">
        <v>2867</v>
      </c>
      <c r="BJ146" s="175"/>
      <c r="BK146" s="175" t="s">
        <v>2867</v>
      </c>
      <c r="BL146" s="175"/>
      <c r="BM146" s="175" t="s">
        <v>3005</v>
      </c>
      <c r="BN146" s="175" t="s">
        <v>3006</v>
      </c>
      <c r="BO146" s="180" t="s">
        <v>2879</v>
      </c>
      <c r="BP146" s="67" t="s">
        <v>2867</v>
      </c>
      <c r="BQ146" s="175" t="s">
        <v>1477</v>
      </c>
      <c r="BR146" s="177" t="s">
        <v>144</v>
      </c>
      <c r="BS146" s="177"/>
      <c r="BT146" s="67" t="s">
        <v>2867</v>
      </c>
      <c r="BU146" s="175"/>
      <c r="BV146" s="176"/>
      <c r="BW146" s="67" t="s">
        <v>2878</v>
      </c>
      <c r="BX146" s="175" t="s">
        <v>4063</v>
      </c>
      <c r="BY146" s="175" t="s">
        <v>1996</v>
      </c>
      <c r="BZ146" s="177"/>
      <c r="CA146" s="175"/>
      <c r="CB146" s="175"/>
      <c r="CC146" s="177"/>
      <c r="CD146" s="177"/>
      <c r="CE146" s="67"/>
      <c r="CF146" s="67"/>
      <c r="CG146" s="177"/>
      <c r="CH146" s="176"/>
      <c r="CI146" s="176"/>
      <c r="CJ146" s="175"/>
      <c r="CK146" s="67" t="s">
        <v>3027</v>
      </c>
      <c r="CL146" s="175" t="s">
        <v>929</v>
      </c>
      <c r="CM146" s="175" t="s">
        <v>3442</v>
      </c>
      <c r="CN146" s="175" t="s">
        <v>3970</v>
      </c>
      <c r="CO146" s="175"/>
      <c r="CP146" s="67" t="s">
        <v>1812</v>
      </c>
      <c r="CQ146" s="175" t="s">
        <v>3027</v>
      </c>
      <c r="CR146" s="175" t="s">
        <v>4064</v>
      </c>
      <c r="CS146" s="67"/>
      <c r="CT146" s="175" t="s">
        <v>2867</v>
      </c>
      <c r="CU146" s="175"/>
      <c r="CV146" s="181" t="s">
        <v>2879</v>
      </c>
      <c r="CW146" s="67"/>
      <c r="CX146" s="182"/>
      <c r="CY146" s="175" t="s">
        <v>2880</v>
      </c>
      <c r="CZ146" s="175"/>
      <c r="DA146" s="175" t="s">
        <v>3972</v>
      </c>
      <c r="DB146" s="175" t="s">
        <v>3972</v>
      </c>
      <c r="DC146" s="175" t="s">
        <v>4059</v>
      </c>
      <c r="DD146" s="175"/>
      <c r="DE146" s="176">
        <v>46174</v>
      </c>
      <c r="DF146" s="175"/>
      <c r="DG146" s="182"/>
      <c r="DH146" s="183">
        <v>1023500</v>
      </c>
      <c r="DI146" s="67"/>
      <c r="DJ146" s="67"/>
      <c r="DK146" s="67"/>
      <c r="DL146" s="67"/>
      <c r="DM146" s="67"/>
      <c r="DN146" s="183">
        <v>0</v>
      </c>
      <c r="DO146" s="183">
        <v>0</v>
      </c>
      <c r="DP146" s="67" t="s">
        <v>2867</v>
      </c>
      <c r="DQ146" s="175"/>
      <c r="DR146" s="175"/>
      <c r="DS146" s="175" t="s">
        <v>2882</v>
      </c>
      <c r="DT146" s="175"/>
      <c r="DU146" s="175"/>
      <c r="DV146" s="175" t="s">
        <v>2883</v>
      </c>
      <c r="DW146" s="175" t="s">
        <v>2884</v>
      </c>
      <c r="DX146" s="175" t="s">
        <v>2879</v>
      </c>
    </row>
    <row r="147" spans="1:128" ht="19.5" customHeight="1">
      <c r="A147" s="173" t="s">
        <v>3268</v>
      </c>
      <c r="B147" s="174" t="s">
        <v>4065</v>
      </c>
      <c r="C147" s="67"/>
      <c r="D147" s="67"/>
      <c r="E147" s="174" t="s">
        <v>4066</v>
      </c>
      <c r="F147" s="174" t="s">
        <v>2350</v>
      </c>
      <c r="G147" s="175" t="s">
        <v>4067</v>
      </c>
      <c r="H147" s="174" t="s">
        <v>2994</v>
      </c>
      <c r="I147" s="174" t="s">
        <v>2995</v>
      </c>
      <c r="J147" s="175" t="s">
        <v>2859</v>
      </c>
      <c r="K147" s="176">
        <v>46174</v>
      </c>
      <c r="L147" s="67" t="s">
        <v>2901</v>
      </c>
      <c r="M147" s="175" t="s">
        <v>2348</v>
      </c>
      <c r="N147" s="67" t="s">
        <v>2348</v>
      </c>
      <c r="O147" s="67" t="s">
        <v>2329</v>
      </c>
      <c r="P147" s="67" t="s">
        <v>2997</v>
      </c>
      <c r="Q147" s="67"/>
      <c r="R147" s="67"/>
      <c r="S147" s="67" t="s">
        <v>104</v>
      </c>
      <c r="T147" s="177" t="s">
        <v>2998</v>
      </c>
      <c r="U147" s="67" t="s">
        <v>119</v>
      </c>
      <c r="V147" s="67"/>
      <c r="W147" s="175" t="s">
        <v>2865</v>
      </c>
      <c r="X147" s="67" t="s">
        <v>2429</v>
      </c>
      <c r="Y147" s="67" t="s">
        <v>2866</v>
      </c>
      <c r="Z147" s="67" t="s">
        <v>2430</v>
      </c>
      <c r="AA147" s="175" t="s">
        <v>2947</v>
      </c>
      <c r="AB147" s="175" t="s">
        <v>3033</v>
      </c>
      <c r="AC147" s="175" t="s">
        <v>3034</v>
      </c>
      <c r="AD147" s="175" t="s">
        <v>3035</v>
      </c>
      <c r="AE147" s="175" t="s">
        <v>3036</v>
      </c>
      <c r="AF147" s="176"/>
      <c r="AG147" s="176"/>
      <c r="AH147" s="176"/>
      <c r="AI147" s="67"/>
      <c r="AJ147" s="67"/>
      <c r="AK147" s="67" t="s">
        <v>2867</v>
      </c>
      <c r="AL147" s="67"/>
      <c r="AM147" s="176"/>
      <c r="AN147" s="176"/>
      <c r="AO147" s="67"/>
      <c r="AP147" s="67" t="s">
        <v>2867</v>
      </c>
      <c r="AQ147" s="67" t="s">
        <v>2868</v>
      </c>
      <c r="AR147" s="175"/>
      <c r="AS147" s="175" t="s">
        <v>2869</v>
      </c>
      <c r="AT147" s="175" t="s">
        <v>2867</v>
      </c>
      <c r="AU147" s="175"/>
      <c r="AV147" s="178">
        <v>0</v>
      </c>
      <c r="AW147" s="67"/>
      <c r="AX147" s="175" t="s">
        <v>2867</v>
      </c>
      <c r="AY147" s="175" t="s">
        <v>2870</v>
      </c>
      <c r="AZ147" s="175" t="s">
        <v>2871</v>
      </c>
      <c r="BA147" s="175"/>
      <c r="BB147" s="175"/>
      <c r="BC147" s="175" t="s">
        <v>2859</v>
      </c>
      <c r="BD147" s="175" t="s">
        <v>2872</v>
      </c>
      <c r="BE147" s="175" t="s">
        <v>2873</v>
      </c>
      <c r="BF147" s="175" t="s">
        <v>2867</v>
      </c>
      <c r="BG147" s="67"/>
      <c r="BH147" s="179"/>
      <c r="BI147" s="175" t="s">
        <v>2867</v>
      </c>
      <c r="BJ147" s="175"/>
      <c r="BK147" s="175" t="s">
        <v>2867</v>
      </c>
      <c r="BL147" s="175"/>
      <c r="BM147" s="175" t="s">
        <v>3005</v>
      </c>
      <c r="BN147" s="175" t="s">
        <v>3006</v>
      </c>
      <c r="BO147" s="180" t="s">
        <v>2879</v>
      </c>
      <c r="BP147" s="67" t="s">
        <v>2867</v>
      </c>
      <c r="BQ147" s="175" t="s">
        <v>1477</v>
      </c>
      <c r="BR147" s="177" t="s">
        <v>144</v>
      </c>
      <c r="BS147" s="177"/>
      <c r="BT147" s="67" t="s">
        <v>2867</v>
      </c>
      <c r="BU147" s="175"/>
      <c r="BV147" s="176"/>
      <c r="BW147" s="67" t="s">
        <v>2878</v>
      </c>
      <c r="BX147" s="175" t="s">
        <v>4068</v>
      </c>
      <c r="BY147" s="175" t="s">
        <v>1996</v>
      </c>
      <c r="BZ147" s="177"/>
      <c r="CA147" s="175"/>
      <c r="CB147" s="175"/>
      <c r="CC147" s="177"/>
      <c r="CD147" s="177"/>
      <c r="CE147" s="67"/>
      <c r="CF147" s="67"/>
      <c r="CG147" s="177"/>
      <c r="CH147" s="176"/>
      <c r="CI147" s="176"/>
      <c r="CJ147" s="175"/>
      <c r="CK147" s="67" t="s">
        <v>3027</v>
      </c>
      <c r="CL147" s="175" t="s">
        <v>929</v>
      </c>
      <c r="CM147" s="175" t="s">
        <v>3442</v>
      </c>
      <c r="CN147" s="175" t="s">
        <v>3970</v>
      </c>
      <c r="CO147" s="175"/>
      <c r="CP147" s="67" t="s">
        <v>1812</v>
      </c>
      <c r="CQ147" s="175" t="s">
        <v>3027</v>
      </c>
      <c r="CR147" s="175" t="s">
        <v>4069</v>
      </c>
      <c r="CS147" s="67"/>
      <c r="CT147" s="175" t="s">
        <v>2867</v>
      </c>
      <c r="CU147" s="175"/>
      <c r="CV147" s="181" t="s">
        <v>2879</v>
      </c>
      <c r="CW147" s="67"/>
      <c r="CX147" s="182"/>
      <c r="CY147" s="175" t="s">
        <v>2880</v>
      </c>
      <c r="CZ147" s="175"/>
      <c r="DA147" s="175" t="s">
        <v>3972</v>
      </c>
      <c r="DB147" s="175" t="s">
        <v>3972</v>
      </c>
      <c r="DC147" s="175" t="s">
        <v>4070</v>
      </c>
      <c r="DD147" s="175"/>
      <c r="DE147" s="176">
        <v>46174</v>
      </c>
      <c r="DF147" s="175"/>
      <c r="DG147" s="182"/>
      <c r="DH147" s="183">
        <v>1023500</v>
      </c>
      <c r="DI147" s="67"/>
      <c r="DJ147" s="67"/>
      <c r="DK147" s="67"/>
      <c r="DL147" s="67"/>
      <c r="DM147" s="67"/>
      <c r="DN147" s="183">
        <v>0</v>
      </c>
      <c r="DO147" s="183">
        <v>0</v>
      </c>
      <c r="DP147" s="67" t="s">
        <v>2867</v>
      </c>
      <c r="DQ147" s="175"/>
      <c r="DR147" s="175"/>
      <c r="DS147" s="175" t="s">
        <v>2882</v>
      </c>
      <c r="DT147" s="175"/>
      <c r="DU147" s="175"/>
      <c r="DV147" s="175" t="s">
        <v>2883</v>
      </c>
      <c r="DW147" s="175" t="s">
        <v>2884</v>
      </c>
      <c r="DX147" s="175" t="s">
        <v>2879</v>
      </c>
    </row>
    <row r="148" spans="1:128" ht="19.5" customHeight="1">
      <c r="A148" s="173" t="s">
        <v>3268</v>
      </c>
      <c r="B148" s="174" t="s">
        <v>4071</v>
      </c>
      <c r="C148" s="67"/>
      <c r="D148" s="67"/>
      <c r="E148" s="174" t="s">
        <v>4072</v>
      </c>
      <c r="F148" s="174" t="s">
        <v>2351</v>
      </c>
      <c r="G148" s="175" t="s">
        <v>4073</v>
      </c>
      <c r="H148" s="174" t="s">
        <v>2994</v>
      </c>
      <c r="I148" s="174" t="s">
        <v>2995</v>
      </c>
      <c r="J148" s="175" t="s">
        <v>2859</v>
      </c>
      <c r="K148" s="176">
        <v>46174</v>
      </c>
      <c r="L148" s="67" t="s">
        <v>2860</v>
      </c>
      <c r="M148" s="175" t="s">
        <v>2348</v>
      </c>
      <c r="N148" s="67" t="s">
        <v>2348</v>
      </c>
      <c r="O148" s="67" t="s">
        <v>2329</v>
      </c>
      <c r="P148" s="67" t="s">
        <v>2997</v>
      </c>
      <c r="Q148" s="67"/>
      <c r="R148" s="67"/>
      <c r="S148" s="67" t="s">
        <v>104</v>
      </c>
      <c r="T148" s="177" t="s">
        <v>2998</v>
      </c>
      <c r="U148" s="67" t="s">
        <v>119</v>
      </c>
      <c r="V148" s="67"/>
      <c r="W148" s="175" t="s">
        <v>2865</v>
      </c>
      <c r="X148" s="67" t="s">
        <v>2431</v>
      </c>
      <c r="Y148" s="67" t="s">
        <v>2866</v>
      </c>
      <c r="Z148" s="67" t="s">
        <v>2432</v>
      </c>
      <c r="AA148" s="175" t="s">
        <v>2947</v>
      </c>
      <c r="AB148" s="175" t="s">
        <v>3180</v>
      </c>
      <c r="AC148" s="175" t="s">
        <v>3181</v>
      </c>
      <c r="AD148" s="175" t="s">
        <v>3182</v>
      </c>
      <c r="AE148" s="175" t="s">
        <v>3183</v>
      </c>
      <c r="AF148" s="176"/>
      <c r="AG148" s="176"/>
      <c r="AH148" s="176"/>
      <c r="AI148" s="67"/>
      <c r="AJ148" s="67"/>
      <c r="AK148" s="67" t="s">
        <v>2867</v>
      </c>
      <c r="AL148" s="67"/>
      <c r="AM148" s="176"/>
      <c r="AN148" s="176"/>
      <c r="AO148" s="67"/>
      <c r="AP148" s="67" t="s">
        <v>2867</v>
      </c>
      <c r="AQ148" s="67" t="s">
        <v>2868</v>
      </c>
      <c r="AR148" s="175"/>
      <c r="AS148" s="175" t="s">
        <v>2869</v>
      </c>
      <c r="AT148" s="175" t="s">
        <v>2867</v>
      </c>
      <c r="AU148" s="175"/>
      <c r="AV148" s="178">
        <v>0</v>
      </c>
      <c r="AW148" s="67"/>
      <c r="AX148" s="175" t="s">
        <v>2867</v>
      </c>
      <c r="AY148" s="175" t="s">
        <v>2870</v>
      </c>
      <c r="AZ148" s="175" t="s">
        <v>2871</v>
      </c>
      <c r="BA148" s="175"/>
      <c r="BB148" s="175"/>
      <c r="BC148" s="175" t="s">
        <v>2859</v>
      </c>
      <c r="BD148" s="175" t="s">
        <v>2872</v>
      </c>
      <c r="BE148" s="175" t="s">
        <v>2873</v>
      </c>
      <c r="BF148" s="175" t="s">
        <v>2867</v>
      </c>
      <c r="BG148" s="67"/>
      <c r="BH148" s="179"/>
      <c r="BI148" s="175" t="s">
        <v>2867</v>
      </c>
      <c r="BJ148" s="175"/>
      <c r="BK148" s="175" t="s">
        <v>2867</v>
      </c>
      <c r="BL148" s="175"/>
      <c r="BM148" s="175" t="s">
        <v>3005</v>
      </c>
      <c r="BN148" s="175" t="s">
        <v>3006</v>
      </c>
      <c r="BO148" s="180" t="s">
        <v>2879</v>
      </c>
      <c r="BP148" s="67" t="s">
        <v>2867</v>
      </c>
      <c r="BQ148" s="175" t="s">
        <v>1477</v>
      </c>
      <c r="BR148" s="177" t="s">
        <v>144</v>
      </c>
      <c r="BS148" s="177"/>
      <c r="BT148" s="67" t="s">
        <v>2867</v>
      </c>
      <c r="BU148" s="175"/>
      <c r="BV148" s="176"/>
      <c r="BW148" s="67" t="s">
        <v>2878</v>
      </c>
      <c r="BX148" s="175" t="s">
        <v>4074</v>
      </c>
      <c r="BY148" s="175" t="s">
        <v>1996</v>
      </c>
      <c r="BZ148" s="177"/>
      <c r="CA148" s="175"/>
      <c r="CB148" s="175"/>
      <c r="CC148" s="177"/>
      <c r="CD148" s="177"/>
      <c r="CE148" s="67"/>
      <c r="CF148" s="67"/>
      <c r="CG148" s="177"/>
      <c r="CH148" s="176"/>
      <c r="CI148" s="176"/>
      <c r="CJ148" s="175"/>
      <c r="CK148" s="67" t="s">
        <v>3027</v>
      </c>
      <c r="CL148" s="175" t="s">
        <v>929</v>
      </c>
      <c r="CM148" s="175" t="s">
        <v>3442</v>
      </c>
      <c r="CN148" s="175" t="s">
        <v>3970</v>
      </c>
      <c r="CO148" s="175"/>
      <c r="CP148" s="67" t="s">
        <v>1812</v>
      </c>
      <c r="CQ148" s="175" t="s">
        <v>3027</v>
      </c>
      <c r="CR148" s="175" t="s">
        <v>4075</v>
      </c>
      <c r="CS148" s="67"/>
      <c r="CT148" s="175" t="s">
        <v>2867</v>
      </c>
      <c r="CU148" s="175"/>
      <c r="CV148" s="181" t="s">
        <v>2879</v>
      </c>
      <c r="CW148" s="67"/>
      <c r="CX148" s="182"/>
      <c r="CY148" s="175" t="s">
        <v>2880</v>
      </c>
      <c r="CZ148" s="175"/>
      <c r="DA148" s="175" t="s">
        <v>3972</v>
      </c>
      <c r="DB148" s="175" t="s">
        <v>3972</v>
      </c>
      <c r="DC148" s="175" t="s">
        <v>4070</v>
      </c>
      <c r="DD148" s="175"/>
      <c r="DE148" s="176">
        <v>46174</v>
      </c>
      <c r="DF148" s="175"/>
      <c r="DG148" s="182"/>
      <c r="DH148" s="183">
        <v>1023500</v>
      </c>
      <c r="DI148" s="67"/>
      <c r="DJ148" s="67"/>
      <c r="DK148" s="67"/>
      <c r="DL148" s="67"/>
      <c r="DM148" s="67"/>
      <c r="DN148" s="183">
        <v>0</v>
      </c>
      <c r="DO148" s="183">
        <v>0</v>
      </c>
      <c r="DP148" s="67" t="s">
        <v>2867</v>
      </c>
      <c r="DQ148" s="175"/>
      <c r="DR148" s="175"/>
      <c r="DS148" s="175" t="s">
        <v>2882</v>
      </c>
      <c r="DT148" s="175"/>
      <c r="DU148" s="175"/>
      <c r="DV148" s="175" t="s">
        <v>2883</v>
      </c>
      <c r="DW148" s="175" t="s">
        <v>2884</v>
      </c>
      <c r="DX148" s="175" t="s">
        <v>2879</v>
      </c>
    </row>
    <row r="149" spans="1:128" ht="19.5" customHeight="1">
      <c r="A149" s="173" t="s">
        <v>3268</v>
      </c>
      <c r="B149" s="174" t="s">
        <v>4076</v>
      </c>
      <c r="C149" s="67"/>
      <c r="D149" s="67"/>
      <c r="E149" s="174" t="s">
        <v>4077</v>
      </c>
      <c r="F149" s="174" t="s">
        <v>2352</v>
      </c>
      <c r="G149" s="175" t="s">
        <v>4078</v>
      </c>
      <c r="H149" s="174" t="s">
        <v>2994</v>
      </c>
      <c r="I149" s="174" t="s">
        <v>2995</v>
      </c>
      <c r="J149" s="175" t="s">
        <v>2859</v>
      </c>
      <c r="K149" s="176">
        <v>46174</v>
      </c>
      <c r="L149" s="67" t="s">
        <v>2932</v>
      </c>
      <c r="M149" s="175" t="s">
        <v>2348</v>
      </c>
      <c r="N149" s="67" t="s">
        <v>2348</v>
      </c>
      <c r="O149" s="67" t="s">
        <v>2329</v>
      </c>
      <c r="P149" s="67" t="s">
        <v>2997</v>
      </c>
      <c r="Q149" s="67"/>
      <c r="R149" s="67"/>
      <c r="S149" s="67" t="s">
        <v>104</v>
      </c>
      <c r="T149" s="177" t="s">
        <v>2998</v>
      </c>
      <c r="U149" s="67" t="s">
        <v>1247</v>
      </c>
      <c r="V149" s="67"/>
      <c r="W149" s="175" t="s">
        <v>2865</v>
      </c>
      <c r="X149" s="67" t="s">
        <v>2433</v>
      </c>
      <c r="Y149" s="67" t="s">
        <v>2866</v>
      </c>
      <c r="Z149" s="67" t="s">
        <v>2434</v>
      </c>
      <c r="AA149" s="175" t="s">
        <v>2947</v>
      </c>
      <c r="AB149" s="175" t="s">
        <v>4079</v>
      </c>
      <c r="AC149" s="175" t="s">
        <v>4080</v>
      </c>
      <c r="AD149" s="175" t="s">
        <v>4081</v>
      </c>
      <c r="AE149" s="175" t="s">
        <v>4082</v>
      </c>
      <c r="AF149" s="176"/>
      <c r="AG149" s="176"/>
      <c r="AH149" s="176"/>
      <c r="AI149" s="67"/>
      <c r="AJ149" s="67"/>
      <c r="AK149" s="67" t="s">
        <v>2867</v>
      </c>
      <c r="AL149" s="67"/>
      <c r="AM149" s="176"/>
      <c r="AN149" s="176"/>
      <c r="AO149" s="67"/>
      <c r="AP149" s="67" t="s">
        <v>2867</v>
      </c>
      <c r="AQ149" s="67" t="s">
        <v>2868</v>
      </c>
      <c r="AR149" s="175"/>
      <c r="AS149" s="175" t="s">
        <v>2869</v>
      </c>
      <c r="AT149" s="175" t="s">
        <v>2867</v>
      </c>
      <c r="AU149" s="175"/>
      <c r="AV149" s="178">
        <v>0</v>
      </c>
      <c r="AW149" s="67"/>
      <c r="AX149" s="175" t="s">
        <v>2867</v>
      </c>
      <c r="AY149" s="175" t="s">
        <v>2870</v>
      </c>
      <c r="AZ149" s="175" t="s">
        <v>2871</v>
      </c>
      <c r="BA149" s="175"/>
      <c r="BB149" s="175"/>
      <c r="BC149" s="175" t="s">
        <v>2859</v>
      </c>
      <c r="BD149" s="175" t="s">
        <v>2872</v>
      </c>
      <c r="BE149" s="175" t="s">
        <v>2873</v>
      </c>
      <c r="BF149" s="175" t="s">
        <v>2867</v>
      </c>
      <c r="BG149" s="67"/>
      <c r="BH149" s="179"/>
      <c r="BI149" s="175" t="s">
        <v>2867</v>
      </c>
      <c r="BJ149" s="175"/>
      <c r="BK149" s="175" t="s">
        <v>2867</v>
      </c>
      <c r="BL149" s="175"/>
      <c r="BM149" s="175" t="s">
        <v>3005</v>
      </c>
      <c r="BN149" s="175" t="s">
        <v>3006</v>
      </c>
      <c r="BO149" s="180" t="s">
        <v>2879</v>
      </c>
      <c r="BP149" s="67" t="s">
        <v>2867</v>
      </c>
      <c r="BQ149" s="175" t="s">
        <v>1477</v>
      </c>
      <c r="BR149" s="177" t="s">
        <v>144</v>
      </c>
      <c r="BS149" s="177"/>
      <c r="BT149" s="67" t="s">
        <v>2867</v>
      </c>
      <c r="BU149" s="175"/>
      <c r="BV149" s="176"/>
      <c r="BW149" s="67" t="s">
        <v>2878</v>
      </c>
      <c r="BX149" s="175" t="s">
        <v>4083</v>
      </c>
      <c r="BY149" s="175" t="s">
        <v>1996</v>
      </c>
      <c r="BZ149" s="177"/>
      <c r="CA149" s="175"/>
      <c r="CB149" s="175"/>
      <c r="CC149" s="177"/>
      <c r="CD149" s="177"/>
      <c r="CE149" s="67"/>
      <c r="CF149" s="67"/>
      <c r="CG149" s="177"/>
      <c r="CH149" s="176"/>
      <c r="CI149" s="176"/>
      <c r="CJ149" s="175"/>
      <c r="CK149" s="67" t="s">
        <v>3027</v>
      </c>
      <c r="CL149" s="175" t="s">
        <v>929</v>
      </c>
      <c r="CM149" s="175" t="s">
        <v>3442</v>
      </c>
      <c r="CN149" s="175" t="s">
        <v>3970</v>
      </c>
      <c r="CO149" s="175"/>
      <c r="CP149" s="67" t="s">
        <v>1812</v>
      </c>
      <c r="CQ149" s="175" t="s">
        <v>3027</v>
      </c>
      <c r="CR149" s="175" t="s">
        <v>4084</v>
      </c>
      <c r="CS149" s="67"/>
      <c r="CT149" s="175" t="s">
        <v>2867</v>
      </c>
      <c r="CU149" s="175"/>
      <c r="CV149" s="181" t="s">
        <v>2879</v>
      </c>
      <c r="CW149" s="67"/>
      <c r="CX149" s="182"/>
      <c r="CY149" s="175" t="s">
        <v>2880</v>
      </c>
      <c r="CZ149" s="175"/>
      <c r="DA149" s="175" t="s">
        <v>3972</v>
      </c>
      <c r="DB149" s="175" t="s">
        <v>3972</v>
      </c>
      <c r="DC149" s="175" t="s">
        <v>3973</v>
      </c>
      <c r="DD149" s="175" t="s">
        <v>3973</v>
      </c>
      <c r="DE149" s="176">
        <v>46174</v>
      </c>
      <c r="DF149" s="175"/>
      <c r="DG149" s="182"/>
      <c r="DH149" s="183">
        <v>1023500</v>
      </c>
      <c r="DI149" s="67"/>
      <c r="DJ149" s="67"/>
      <c r="DK149" s="67"/>
      <c r="DL149" s="67"/>
      <c r="DM149" s="67"/>
      <c r="DN149" s="183">
        <v>0</v>
      </c>
      <c r="DO149" s="183">
        <v>0</v>
      </c>
      <c r="DP149" s="67" t="s">
        <v>2867</v>
      </c>
      <c r="DQ149" s="175"/>
      <c r="DR149" s="175"/>
      <c r="DS149" s="175" t="s">
        <v>2882</v>
      </c>
      <c r="DT149" s="175"/>
      <c r="DU149" s="175"/>
      <c r="DV149" s="175" t="s">
        <v>2883</v>
      </c>
      <c r="DW149" s="175" t="s">
        <v>2884</v>
      </c>
      <c r="DX149" s="175" t="s">
        <v>2879</v>
      </c>
    </row>
    <row r="150" spans="1:128" ht="19.5" customHeight="1">
      <c r="A150" s="173" t="s">
        <v>3268</v>
      </c>
      <c r="B150" s="174" t="s">
        <v>4085</v>
      </c>
      <c r="C150" s="67"/>
      <c r="D150" s="67"/>
      <c r="E150" s="174" t="s">
        <v>4086</v>
      </c>
      <c r="F150" s="174" t="s">
        <v>2353</v>
      </c>
      <c r="G150" s="175" t="s">
        <v>4087</v>
      </c>
      <c r="H150" s="174" t="s">
        <v>2994</v>
      </c>
      <c r="I150" s="174" t="s">
        <v>2995</v>
      </c>
      <c r="J150" s="175" t="s">
        <v>2859</v>
      </c>
      <c r="K150" s="176">
        <v>46174</v>
      </c>
      <c r="L150" s="67" t="s">
        <v>2916</v>
      </c>
      <c r="M150" s="175" t="s">
        <v>2348</v>
      </c>
      <c r="N150" s="67" t="s">
        <v>2348</v>
      </c>
      <c r="O150" s="67" t="s">
        <v>2329</v>
      </c>
      <c r="P150" s="67" t="s">
        <v>2997</v>
      </c>
      <c r="Q150" s="67"/>
      <c r="R150" s="67"/>
      <c r="S150" s="67" t="s">
        <v>104</v>
      </c>
      <c r="T150" s="177" t="s">
        <v>2998</v>
      </c>
      <c r="U150" s="67" t="s">
        <v>119</v>
      </c>
      <c r="V150" s="67"/>
      <c r="W150" s="175" t="s">
        <v>2865</v>
      </c>
      <c r="X150" s="67" t="s">
        <v>2435</v>
      </c>
      <c r="Y150" s="67" t="s">
        <v>2866</v>
      </c>
      <c r="Z150" s="67" t="s">
        <v>2436</v>
      </c>
      <c r="AA150" s="175" t="s">
        <v>2947</v>
      </c>
      <c r="AB150" s="175" t="s">
        <v>3631</v>
      </c>
      <c r="AC150" s="175" t="s">
        <v>3632</v>
      </c>
      <c r="AD150" s="175" t="s">
        <v>3633</v>
      </c>
      <c r="AE150" s="175" t="s">
        <v>3634</v>
      </c>
      <c r="AF150" s="176"/>
      <c r="AG150" s="176"/>
      <c r="AH150" s="176"/>
      <c r="AI150" s="67"/>
      <c r="AJ150" s="67"/>
      <c r="AK150" s="67" t="s">
        <v>2867</v>
      </c>
      <c r="AL150" s="67"/>
      <c r="AM150" s="176"/>
      <c r="AN150" s="176"/>
      <c r="AO150" s="67"/>
      <c r="AP150" s="67" t="s">
        <v>2867</v>
      </c>
      <c r="AQ150" s="67" t="s">
        <v>2868</v>
      </c>
      <c r="AR150" s="175"/>
      <c r="AS150" s="175" t="s">
        <v>2869</v>
      </c>
      <c r="AT150" s="175" t="s">
        <v>2867</v>
      </c>
      <c r="AU150" s="175"/>
      <c r="AV150" s="178">
        <v>0</v>
      </c>
      <c r="AW150" s="67"/>
      <c r="AX150" s="175" t="s">
        <v>2867</v>
      </c>
      <c r="AY150" s="175" t="s">
        <v>2870</v>
      </c>
      <c r="AZ150" s="175" t="s">
        <v>2871</v>
      </c>
      <c r="BA150" s="175"/>
      <c r="BB150" s="175"/>
      <c r="BC150" s="175" t="s">
        <v>2859</v>
      </c>
      <c r="BD150" s="175" t="s">
        <v>2872</v>
      </c>
      <c r="BE150" s="175" t="s">
        <v>2873</v>
      </c>
      <c r="BF150" s="175" t="s">
        <v>2867</v>
      </c>
      <c r="BG150" s="67"/>
      <c r="BH150" s="179"/>
      <c r="BI150" s="175" t="s">
        <v>2867</v>
      </c>
      <c r="BJ150" s="175"/>
      <c r="BK150" s="175" t="s">
        <v>2867</v>
      </c>
      <c r="BL150" s="175"/>
      <c r="BM150" s="175" t="s">
        <v>3005</v>
      </c>
      <c r="BN150" s="175" t="s">
        <v>3006</v>
      </c>
      <c r="BO150" s="180" t="s">
        <v>2879</v>
      </c>
      <c r="BP150" s="67" t="s">
        <v>2867</v>
      </c>
      <c r="BQ150" s="175" t="s">
        <v>1477</v>
      </c>
      <c r="BR150" s="177" t="s">
        <v>144</v>
      </c>
      <c r="BS150" s="177"/>
      <c r="BT150" s="67" t="s">
        <v>2867</v>
      </c>
      <c r="BU150" s="175"/>
      <c r="BV150" s="176"/>
      <c r="BW150" s="67" t="s">
        <v>2878</v>
      </c>
      <c r="BX150" s="175" t="s">
        <v>4088</v>
      </c>
      <c r="BY150" s="175" t="s">
        <v>1996</v>
      </c>
      <c r="BZ150" s="177"/>
      <c r="CA150" s="175"/>
      <c r="CB150" s="175"/>
      <c r="CC150" s="177"/>
      <c r="CD150" s="177"/>
      <c r="CE150" s="67"/>
      <c r="CF150" s="67"/>
      <c r="CG150" s="177"/>
      <c r="CH150" s="176"/>
      <c r="CI150" s="176"/>
      <c r="CJ150" s="175"/>
      <c r="CK150" s="67" t="s">
        <v>3027</v>
      </c>
      <c r="CL150" s="175" t="s">
        <v>929</v>
      </c>
      <c r="CM150" s="175" t="s">
        <v>3442</v>
      </c>
      <c r="CN150" s="175" t="s">
        <v>3970</v>
      </c>
      <c r="CO150" s="175"/>
      <c r="CP150" s="67" t="s">
        <v>1812</v>
      </c>
      <c r="CQ150" s="175" t="s">
        <v>3027</v>
      </c>
      <c r="CR150" s="175" t="s">
        <v>4089</v>
      </c>
      <c r="CS150" s="67"/>
      <c r="CT150" s="175" t="s">
        <v>2867</v>
      </c>
      <c r="CU150" s="175"/>
      <c r="CV150" s="181" t="s">
        <v>2879</v>
      </c>
      <c r="CW150" s="67"/>
      <c r="CX150" s="182"/>
      <c r="CY150" s="175" t="s">
        <v>2880</v>
      </c>
      <c r="CZ150" s="175"/>
      <c r="DA150" s="175" t="s">
        <v>3972</v>
      </c>
      <c r="DB150" s="175" t="s">
        <v>3972</v>
      </c>
      <c r="DC150" s="175" t="s">
        <v>4037</v>
      </c>
      <c r="DD150" s="175" t="s">
        <v>4037</v>
      </c>
      <c r="DE150" s="176">
        <v>46174</v>
      </c>
      <c r="DF150" s="175"/>
      <c r="DG150" s="182"/>
      <c r="DH150" s="183">
        <v>1023500</v>
      </c>
      <c r="DI150" s="67"/>
      <c r="DJ150" s="67"/>
      <c r="DK150" s="67"/>
      <c r="DL150" s="67"/>
      <c r="DM150" s="67"/>
      <c r="DN150" s="183">
        <v>0</v>
      </c>
      <c r="DO150" s="183">
        <v>0</v>
      </c>
      <c r="DP150" s="67" t="s">
        <v>2867</v>
      </c>
      <c r="DQ150" s="175"/>
      <c r="DR150" s="175"/>
      <c r="DS150" s="175" t="s">
        <v>2882</v>
      </c>
      <c r="DT150" s="175"/>
      <c r="DU150" s="175"/>
      <c r="DV150" s="175" t="s">
        <v>2883</v>
      </c>
      <c r="DW150" s="175" t="s">
        <v>2884</v>
      </c>
      <c r="DX150" s="175" t="s">
        <v>2879</v>
      </c>
    </row>
    <row r="151" spans="1:128" ht="19.5" customHeight="1">
      <c r="A151" s="173" t="s">
        <v>3268</v>
      </c>
      <c r="B151" s="174" t="s">
        <v>4090</v>
      </c>
      <c r="C151" s="67"/>
      <c r="D151" s="67"/>
      <c r="E151" s="174" t="s">
        <v>4091</v>
      </c>
      <c r="F151" s="174" t="s">
        <v>2354</v>
      </c>
      <c r="G151" s="175" t="s">
        <v>4092</v>
      </c>
      <c r="H151" s="174" t="s">
        <v>2994</v>
      </c>
      <c r="I151" s="174" t="s">
        <v>2995</v>
      </c>
      <c r="J151" s="175" t="s">
        <v>2859</v>
      </c>
      <c r="K151" s="176">
        <v>46174</v>
      </c>
      <c r="L151" s="67" t="s">
        <v>2969</v>
      </c>
      <c r="M151" s="175" t="s">
        <v>2355</v>
      </c>
      <c r="N151" s="67" t="s">
        <v>2355</v>
      </c>
      <c r="O151" s="67" t="s">
        <v>3161</v>
      </c>
      <c r="P151" s="67" t="s">
        <v>3162</v>
      </c>
      <c r="Q151" s="67"/>
      <c r="R151" s="67"/>
      <c r="S151" s="67" t="s">
        <v>104</v>
      </c>
      <c r="T151" s="177" t="s">
        <v>2998</v>
      </c>
      <c r="U151" s="67" t="s">
        <v>1247</v>
      </c>
      <c r="V151" s="67"/>
      <c r="W151" s="175" t="s">
        <v>2865</v>
      </c>
      <c r="X151" s="67" t="s">
        <v>2437</v>
      </c>
      <c r="Y151" s="67" t="s">
        <v>2866</v>
      </c>
      <c r="Z151" s="67" t="s">
        <v>2438</v>
      </c>
      <c r="AA151" s="175" t="s">
        <v>2947</v>
      </c>
      <c r="AB151" s="175" t="s">
        <v>3088</v>
      </c>
      <c r="AC151" s="175" t="s">
        <v>3089</v>
      </c>
      <c r="AD151" s="175" t="s">
        <v>3090</v>
      </c>
      <c r="AE151" s="175" t="s">
        <v>3091</v>
      </c>
      <c r="AF151" s="176"/>
      <c r="AG151" s="176"/>
      <c r="AH151" s="176"/>
      <c r="AI151" s="67"/>
      <c r="AJ151" s="67"/>
      <c r="AK151" s="67" t="s">
        <v>2867</v>
      </c>
      <c r="AL151" s="67"/>
      <c r="AM151" s="176"/>
      <c r="AN151" s="176"/>
      <c r="AO151" s="67"/>
      <c r="AP151" s="67" t="s">
        <v>2867</v>
      </c>
      <c r="AQ151" s="67" t="s">
        <v>2868</v>
      </c>
      <c r="AR151" s="175"/>
      <c r="AS151" s="175" t="s">
        <v>2869</v>
      </c>
      <c r="AT151" s="175" t="s">
        <v>2867</v>
      </c>
      <c r="AU151" s="175"/>
      <c r="AV151" s="178">
        <v>0</v>
      </c>
      <c r="AW151" s="67"/>
      <c r="AX151" s="175" t="s">
        <v>2867</v>
      </c>
      <c r="AY151" s="175" t="s">
        <v>2870</v>
      </c>
      <c r="AZ151" s="175" t="s">
        <v>2871</v>
      </c>
      <c r="BA151" s="175"/>
      <c r="BB151" s="175"/>
      <c r="BC151" s="175" t="s">
        <v>2859</v>
      </c>
      <c r="BD151" s="175" t="s">
        <v>2872</v>
      </c>
      <c r="BE151" s="175" t="s">
        <v>2873</v>
      </c>
      <c r="BF151" s="175" t="s">
        <v>2867</v>
      </c>
      <c r="BG151" s="67"/>
      <c r="BH151" s="179"/>
      <c r="BI151" s="175" t="s">
        <v>2867</v>
      </c>
      <c r="BJ151" s="175"/>
      <c r="BK151" s="175" t="s">
        <v>2867</v>
      </c>
      <c r="BL151" s="175"/>
      <c r="BM151" s="175" t="s">
        <v>3005</v>
      </c>
      <c r="BN151" s="175" t="s">
        <v>3006</v>
      </c>
      <c r="BO151" s="180" t="s">
        <v>2879</v>
      </c>
      <c r="BP151" s="67" t="s">
        <v>2867</v>
      </c>
      <c r="BQ151" s="175" t="s">
        <v>1477</v>
      </c>
      <c r="BR151" s="177" t="s">
        <v>144</v>
      </c>
      <c r="BS151" s="177"/>
      <c r="BT151" s="67" t="s">
        <v>2867</v>
      </c>
      <c r="BU151" s="175"/>
      <c r="BV151" s="176"/>
      <c r="BW151" s="67" t="s">
        <v>2878</v>
      </c>
      <c r="BX151" s="175" t="s">
        <v>4093</v>
      </c>
      <c r="BY151" s="175" t="s">
        <v>1996</v>
      </c>
      <c r="BZ151" s="177"/>
      <c r="CA151" s="175" t="s">
        <v>4094</v>
      </c>
      <c r="CB151" s="175"/>
      <c r="CC151" s="177"/>
      <c r="CD151" s="177"/>
      <c r="CE151" s="67"/>
      <c r="CF151" s="67"/>
      <c r="CG151" s="177"/>
      <c r="CH151" s="176"/>
      <c r="CI151" s="176"/>
      <c r="CJ151" s="175"/>
      <c r="CK151" s="67" t="s">
        <v>3027</v>
      </c>
      <c r="CL151" s="175" t="s">
        <v>929</v>
      </c>
      <c r="CM151" s="175" t="s">
        <v>3442</v>
      </c>
      <c r="CN151" s="175" t="s">
        <v>3970</v>
      </c>
      <c r="CO151" s="175"/>
      <c r="CP151" s="67" t="s">
        <v>1815</v>
      </c>
      <c r="CQ151" s="175" t="s">
        <v>3027</v>
      </c>
      <c r="CR151" s="175" t="s">
        <v>4095</v>
      </c>
      <c r="CS151" s="67"/>
      <c r="CT151" s="175" t="s">
        <v>2867</v>
      </c>
      <c r="CU151" s="175"/>
      <c r="CV151" s="181" t="s">
        <v>2879</v>
      </c>
      <c r="CW151" s="67"/>
      <c r="CX151" s="182"/>
      <c r="CY151" s="175" t="s">
        <v>2880</v>
      </c>
      <c r="CZ151" s="175"/>
      <c r="DA151" s="175" t="s">
        <v>3972</v>
      </c>
      <c r="DB151" s="175" t="s">
        <v>3972</v>
      </c>
      <c r="DC151" s="175" t="s">
        <v>3979</v>
      </c>
      <c r="DD151" s="175"/>
      <c r="DE151" s="176">
        <v>46174</v>
      </c>
      <c r="DF151" s="175"/>
      <c r="DG151" s="182"/>
      <c r="DH151" s="183">
        <v>1023500</v>
      </c>
      <c r="DI151" s="67"/>
      <c r="DJ151" s="67"/>
      <c r="DK151" s="67"/>
      <c r="DL151" s="67"/>
      <c r="DM151" s="67"/>
      <c r="DN151" s="183">
        <v>0</v>
      </c>
      <c r="DO151" s="183">
        <v>0</v>
      </c>
      <c r="DP151" s="67" t="s">
        <v>2867</v>
      </c>
      <c r="DQ151" s="175"/>
      <c r="DR151" s="175"/>
      <c r="DS151" s="175" t="s">
        <v>2882</v>
      </c>
      <c r="DT151" s="175"/>
      <c r="DU151" s="175"/>
      <c r="DV151" s="175" t="s">
        <v>2883</v>
      </c>
      <c r="DW151" s="175" t="s">
        <v>2884</v>
      </c>
      <c r="DX151" s="175" t="s">
        <v>2879</v>
      </c>
    </row>
    <row r="152" spans="1:128" ht="19.5" customHeight="1">
      <c r="A152" s="173" t="s">
        <v>3268</v>
      </c>
      <c r="B152" s="174" t="s">
        <v>4096</v>
      </c>
      <c r="C152" s="67"/>
      <c r="D152" s="67"/>
      <c r="E152" s="174" t="s">
        <v>4097</v>
      </c>
      <c r="F152" s="174" t="s">
        <v>2356</v>
      </c>
      <c r="G152" s="175" t="s">
        <v>4098</v>
      </c>
      <c r="H152" s="174" t="s">
        <v>2994</v>
      </c>
      <c r="I152" s="174" t="s">
        <v>2995</v>
      </c>
      <c r="J152" s="175" t="s">
        <v>2859</v>
      </c>
      <c r="K152" s="176">
        <v>46174</v>
      </c>
      <c r="L152" s="67" t="s">
        <v>2921</v>
      </c>
      <c r="M152" s="175" t="s">
        <v>2355</v>
      </c>
      <c r="N152" s="67" t="s">
        <v>2355</v>
      </c>
      <c r="O152" s="67" t="s">
        <v>3161</v>
      </c>
      <c r="P152" s="67" t="s">
        <v>3162</v>
      </c>
      <c r="Q152" s="67"/>
      <c r="R152" s="67"/>
      <c r="S152" s="67" t="s">
        <v>104</v>
      </c>
      <c r="T152" s="177" t="s">
        <v>2998</v>
      </c>
      <c r="U152" s="67" t="s">
        <v>1247</v>
      </c>
      <c r="V152" s="67"/>
      <c r="W152" s="175" t="s">
        <v>2865</v>
      </c>
      <c r="X152" s="67" t="s">
        <v>2439</v>
      </c>
      <c r="Y152" s="67" t="s">
        <v>2866</v>
      </c>
      <c r="Z152" s="67" t="s">
        <v>2440</v>
      </c>
      <c r="AA152" s="175" t="s">
        <v>2947</v>
      </c>
      <c r="AB152" s="175" t="s">
        <v>3097</v>
      </c>
      <c r="AC152" s="175" t="s">
        <v>3098</v>
      </c>
      <c r="AD152" s="175" t="s">
        <v>3099</v>
      </c>
      <c r="AE152" s="175" t="s">
        <v>3100</v>
      </c>
      <c r="AF152" s="176"/>
      <c r="AG152" s="176"/>
      <c r="AH152" s="176"/>
      <c r="AI152" s="67"/>
      <c r="AJ152" s="67"/>
      <c r="AK152" s="67" t="s">
        <v>2867</v>
      </c>
      <c r="AL152" s="67"/>
      <c r="AM152" s="176"/>
      <c r="AN152" s="176"/>
      <c r="AO152" s="67"/>
      <c r="AP152" s="67" t="s">
        <v>2867</v>
      </c>
      <c r="AQ152" s="67" t="s">
        <v>2868</v>
      </c>
      <c r="AR152" s="175"/>
      <c r="AS152" s="175" t="s">
        <v>2869</v>
      </c>
      <c r="AT152" s="175" t="s">
        <v>2867</v>
      </c>
      <c r="AU152" s="175"/>
      <c r="AV152" s="178">
        <v>0</v>
      </c>
      <c r="AW152" s="67"/>
      <c r="AX152" s="175" t="s">
        <v>2867</v>
      </c>
      <c r="AY152" s="175" t="s">
        <v>2870</v>
      </c>
      <c r="AZ152" s="175" t="s">
        <v>2871</v>
      </c>
      <c r="BA152" s="175"/>
      <c r="BB152" s="175"/>
      <c r="BC152" s="175" t="s">
        <v>2859</v>
      </c>
      <c r="BD152" s="175" t="s">
        <v>2872</v>
      </c>
      <c r="BE152" s="175" t="s">
        <v>2873</v>
      </c>
      <c r="BF152" s="175" t="s">
        <v>2867</v>
      </c>
      <c r="BG152" s="67"/>
      <c r="BH152" s="179"/>
      <c r="BI152" s="175" t="s">
        <v>2867</v>
      </c>
      <c r="BJ152" s="175"/>
      <c r="BK152" s="175" t="s">
        <v>2867</v>
      </c>
      <c r="BL152" s="175"/>
      <c r="BM152" s="175" t="s">
        <v>3005</v>
      </c>
      <c r="BN152" s="175" t="s">
        <v>3006</v>
      </c>
      <c r="BO152" s="180" t="s">
        <v>2879</v>
      </c>
      <c r="BP152" s="67" t="s">
        <v>2867</v>
      </c>
      <c r="BQ152" s="175" t="s">
        <v>1477</v>
      </c>
      <c r="BR152" s="177" t="s">
        <v>144</v>
      </c>
      <c r="BS152" s="177"/>
      <c r="BT152" s="67" t="s">
        <v>2867</v>
      </c>
      <c r="BU152" s="175"/>
      <c r="BV152" s="176"/>
      <c r="BW152" s="67" t="s">
        <v>2878</v>
      </c>
      <c r="BX152" s="175" t="s">
        <v>4099</v>
      </c>
      <c r="BY152" s="175" t="s">
        <v>1996</v>
      </c>
      <c r="BZ152" s="177"/>
      <c r="CA152" s="175" t="s">
        <v>4100</v>
      </c>
      <c r="CB152" s="175"/>
      <c r="CC152" s="177"/>
      <c r="CD152" s="177"/>
      <c r="CE152" s="67"/>
      <c r="CF152" s="67"/>
      <c r="CG152" s="177"/>
      <c r="CH152" s="176"/>
      <c r="CI152" s="176"/>
      <c r="CJ152" s="175"/>
      <c r="CK152" s="67" t="s">
        <v>3027</v>
      </c>
      <c r="CL152" s="175" t="s">
        <v>929</v>
      </c>
      <c r="CM152" s="175" t="s">
        <v>3442</v>
      </c>
      <c r="CN152" s="175" t="s">
        <v>3970</v>
      </c>
      <c r="CO152" s="175"/>
      <c r="CP152" s="67" t="s">
        <v>1815</v>
      </c>
      <c r="CQ152" s="175" t="s">
        <v>3027</v>
      </c>
      <c r="CR152" s="175" t="s">
        <v>4042</v>
      </c>
      <c r="CS152" s="67"/>
      <c r="CT152" s="175" t="s">
        <v>2867</v>
      </c>
      <c r="CU152" s="175"/>
      <c r="CV152" s="181" t="s">
        <v>2879</v>
      </c>
      <c r="CW152" s="67"/>
      <c r="CX152" s="182"/>
      <c r="CY152" s="175" t="s">
        <v>2880</v>
      </c>
      <c r="CZ152" s="175"/>
      <c r="DA152" s="175" t="s">
        <v>3972</v>
      </c>
      <c r="DB152" s="175" t="s">
        <v>3972</v>
      </c>
      <c r="DC152" s="175" t="s">
        <v>3979</v>
      </c>
      <c r="DD152" s="175"/>
      <c r="DE152" s="176">
        <v>46174</v>
      </c>
      <c r="DF152" s="175"/>
      <c r="DG152" s="182"/>
      <c r="DH152" s="183">
        <v>1023500</v>
      </c>
      <c r="DI152" s="67"/>
      <c r="DJ152" s="67"/>
      <c r="DK152" s="67"/>
      <c r="DL152" s="67"/>
      <c r="DM152" s="67"/>
      <c r="DN152" s="183">
        <v>0</v>
      </c>
      <c r="DO152" s="183">
        <v>0</v>
      </c>
      <c r="DP152" s="67" t="s">
        <v>2867</v>
      </c>
      <c r="DQ152" s="175"/>
      <c r="DR152" s="175"/>
      <c r="DS152" s="175" t="s">
        <v>2882</v>
      </c>
      <c r="DT152" s="175"/>
      <c r="DU152" s="175"/>
      <c r="DV152" s="175" t="s">
        <v>2883</v>
      </c>
      <c r="DW152" s="175" t="s">
        <v>2884</v>
      </c>
      <c r="DX152" s="175" t="s">
        <v>2879</v>
      </c>
    </row>
    <row r="153" spans="1:128" ht="19.5" customHeight="1">
      <c r="A153" s="173" t="s">
        <v>3268</v>
      </c>
      <c r="B153" s="174" t="s">
        <v>4101</v>
      </c>
      <c r="C153" s="67"/>
      <c r="D153" s="67"/>
      <c r="E153" s="174" t="s">
        <v>4102</v>
      </c>
      <c r="F153" s="174" t="s">
        <v>2357</v>
      </c>
      <c r="G153" s="175" t="s">
        <v>4103</v>
      </c>
      <c r="H153" s="174" t="s">
        <v>2994</v>
      </c>
      <c r="I153" s="174" t="s">
        <v>2995</v>
      </c>
      <c r="J153" s="175" t="s">
        <v>2859</v>
      </c>
      <c r="K153" s="176">
        <v>46174</v>
      </c>
      <c r="L153" s="67" t="s">
        <v>2906</v>
      </c>
      <c r="M153" s="175" t="s">
        <v>2355</v>
      </c>
      <c r="N153" s="67" t="s">
        <v>2355</v>
      </c>
      <c r="O153" s="67" t="s">
        <v>3161</v>
      </c>
      <c r="P153" s="67" t="s">
        <v>3162</v>
      </c>
      <c r="Q153" s="67"/>
      <c r="R153" s="67"/>
      <c r="S153" s="67" t="s">
        <v>104</v>
      </c>
      <c r="T153" s="177" t="s">
        <v>2998</v>
      </c>
      <c r="U153" s="67" t="s">
        <v>119</v>
      </c>
      <c r="V153" s="67"/>
      <c r="W153" s="175" t="s">
        <v>2865</v>
      </c>
      <c r="X153" s="67" t="s">
        <v>2441</v>
      </c>
      <c r="Y153" s="67" t="s">
        <v>2866</v>
      </c>
      <c r="Z153" s="67" t="s">
        <v>2442</v>
      </c>
      <c r="AA153" s="175" t="s">
        <v>2947</v>
      </c>
      <c r="AB153" s="175" t="s">
        <v>4104</v>
      </c>
      <c r="AC153" s="175" t="s">
        <v>4105</v>
      </c>
      <c r="AD153" s="175" t="s">
        <v>4106</v>
      </c>
      <c r="AE153" s="175" t="s">
        <v>4107</v>
      </c>
      <c r="AF153" s="176"/>
      <c r="AG153" s="176"/>
      <c r="AH153" s="176"/>
      <c r="AI153" s="67"/>
      <c r="AJ153" s="67"/>
      <c r="AK153" s="67" t="s">
        <v>2867</v>
      </c>
      <c r="AL153" s="67"/>
      <c r="AM153" s="176"/>
      <c r="AN153" s="176"/>
      <c r="AO153" s="67"/>
      <c r="AP153" s="67" t="s">
        <v>2867</v>
      </c>
      <c r="AQ153" s="67" t="s">
        <v>2868</v>
      </c>
      <c r="AR153" s="175"/>
      <c r="AS153" s="175" t="s">
        <v>2869</v>
      </c>
      <c r="AT153" s="175" t="s">
        <v>2867</v>
      </c>
      <c r="AU153" s="175"/>
      <c r="AV153" s="178">
        <v>0</v>
      </c>
      <c r="AW153" s="67"/>
      <c r="AX153" s="175" t="s">
        <v>2867</v>
      </c>
      <c r="AY153" s="175" t="s">
        <v>2870</v>
      </c>
      <c r="AZ153" s="175" t="s">
        <v>2871</v>
      </c>
      <c r="BA153" s="175"/>
      <c r="BB153" s="175"/>
      <c r="BC153" s="175" t="s">
        <v>2859</v>
      </c>
      <c r="BD153" s="175" t="s">
        <v>2872</v>
      </c>
      <c r="BE153" s="175" t="s">
        <v>2873</v>
      </c>
      <c r="BF153" s="175" t="s">
        <v>2867</v>
      </c>
      <c r="BG153" s="67"/>
      <c r="BH153" s="179"/>
      <c r="BI153" s="175" t="s">
        <v>2867</v>
      </c>
      <c r="BJ153" s="175"/>
      <c r="BK153" s="175" t="s">
        <v>2867</v>
      </c>
      <c r="BL153" s="175"/>
      <c r="BM153" s="175" t="s">
        <v>3005</v>
      </c>
      <c r="BN153" s="175" t="s">
        <v>3006</v>
      </c>
      <c r="BO153" s="180" t="s">
        <v>2879</v>
      </c>
      <c r="BP153" s="67" t="s">
        <v>2867</v>
      </c>
      <c r="BQ153" s="175" t="s">
        <v>1477</v>
      </c>
      <c r="BR153" s="177" t="s">
        <v>144</v>
      </c>
      <c r="BS153" s="177"/>
      <c r="BT153" s="67" t="s">
        <v>2867</v>
      </c>
      <c r="BU153" s="175"/>
      <c r="BV153" s="176"/>
      <c r="BW153" s="67" t="s">
        <v>2878</v>
      </c>
      <c r="BX153" s="175" t="s">
        <v>4108</v>
      </c>
      <c r="BY153" s="175" t="s">
        <v>1996</v>
      </c>
      <c r="BZ153" s="177"/>
      <c r="CA153" s="175"/>
      <c r="CB153" s="175"/>
      <c r="CC153" s="177"/>
      <c r="CD153" s="177"/>
      <c r="CE153" s="67"/>
      <c r="CF153" s="67"/>
      <c r="CG153" s="177"/>
      <c r="CH153" s="176"/>
      <c r="CI153" s="176"/>
      <c r="CJ153" s="175"/>
      <c r="CK153" s="67" t="s">
        <v>3027</v>
      </c>
      <c r="CL153" s="175" t="s">
        <v>929</v>
      </c>
      <c r="CM153" s="175" t="s">
        <v>3418</v>
      </c>
      <c r="CN153" s="175" t="s">
        <v>3970</v>
      </c>
      <c r="CO153" s="175"/>
      <c r="CP153" s="67" t="s">
        <v>1815</v>
      </c>
      <c r="CQ153" s="175" t="s">
        <v>3027</v>
      </c>
      <c r="CR153" s="175" t="s">
        <v>4109</v>
      </c>
      <c r="CS153" s="67"/>
      <c r="CT153" s="175" t="s">
        <v>2867</v>
      </c>
      <c r="CU153" s="175"/>
      <c r="CV153" s="181" t="s">
        <v>2879</v>
      </c>
      <c r="CW153" s="67"/>
      <c r="CX153" s="182"/>
      <c r="CY153" s="175" t="s">
        <v>2880</v>
      </c>
      <c r="CZ153" s="175"/>
      <c r="DA153" s="175" t="s">
        <v>3972</v>
      </c>
      <c r="DB153" s="175" t="s">
        <v>3972</v>
      </c>
      <c r="DC153" s="175" t="s">
        <v>3973</v>
      </c>
      <c r="DD153" s="175"/>
      <c r="DE153" s="176">
        <v>46174</v>
      </c>
      <c r="DF153" s="175"/>
      <c r="DG153" s="182"/>
      <c r="DH153" s="183">
        <v>1023500</v>
      </c>
      <c r="DI153" s="67"/>
      <c r="DJ153" s="67"/>
      <c r="DK153" s="67"/>
      <c r="DL153" s="67"/>
      <c r="DM153" s="67"/>
      <c r="DN153" s="183">
        <v>0</v>
      </c>
      <c r="DO153" s="183">
        <v>0</v>
      </c>
      <c r="DP153" s="67" t="s">
        <v>2867</v>
      </c>
      <c r="DQ153" s="175"/>
      <c r="DR153" s="175"/>
      <c r="DS153" s="175" t="s">
        <v>2882</v>
      </c>
      <c r="DT153" s="175"/>
      <c r="DU153" s="175"/>
      <c r="DV153" s="175" t="s">
        <v>2883</v>
      </c>
      <c r="DW153" s="175" t="s">
        <v>2884</v>
      </c>
      <c r="DX153" s="175" t="s">
        <v>2879</v>
      </c>
    </row>
    <row r="154" spans="1:128" ht="19.5" customHeight="1">
      <c r="A154" s="173" t="s">
        <v>3268</v>
      </c>
      <c r="B154" s="174" t="s">
        <v>4110</v>
      </c>
      <c r="C154" s="67"/>
      <c r="D154" s="67"/>
      <c r="E154" s="174" t="s">
        <v>4111</v>
      </c>
      <c r="F154" s="174" t="s">
        <v>2358</v>
      </c>
      <c r="G154" s="175" t="s">
        <v>4112</v>
      </c>
      <c r="H154" s="174" t="s">
        <v>2994</v>
      </c>
      <c r="I154" s="174" t="s">
        <v>2995</v>
      </c>
      <c r="J154" s="175" t="s">
        <v>2859</v>
      </c>
      <c r="K154" s="176">
        <v>46174</v>
      </c>
      <c r="L154" s="67" t="s">
        <v>2906</v>
      </c>
      <c r="M154" s="175" t="s">
        <v>2355</v>
      </c>
      <c r="N154" s="67" t="s">
        <v>2355</v>
      </c>
      <c r="O154" s="67" t="s">
        <v>3161</v>
      </c>
      <c r="P154" s="67" t="s">
        <v>3162</v>
      </c>
      <c r="Q154" s="67"/>
      <c r="R154" s="67"/>
      <c r="S154" s="67" t="s">
        <v>104</v>
      </c>
      <c r="T154" s="177" t="s">
        <v>2998</v>
      </c>
      <c r="U154" s="67" t="s">
        <v>119</v>
      </c>
      <c r="V154" s="67"/>
      <c r="W154" s="175" t="s">
        <v>2865</v>
      </c>
      <c r="X154" s="67" t="s">
        <v>2443</v>
      </c>
      <c r="Y154" s="67" t="s">
        <v>2866</v>
      </c>
      <c r="Z154" s="67" t="s">
        <v>2444</v>
      </c>
      <c r="AA154" s="175" t="s">
        <v>2947</v>
      </c>
      <c r="AB154" s="175" t="s">
        <v>3755</v>
      </c>
      <c r="AC154" s="175" t="s">
        <v>3756</v>
      </c>
      <c r="AD154" s="175" t="s">
        <v>3757</v>
      </c>
      <c r="AE154" s="175" t="s">
        <v>3758</v>
      </c>
      <c r="AF154" s="176"/>
      <c r="AG154" s="176"/>
      <c r="AH154" s="176"/>
      <c r="AI154" s="67"/>
      <c r="AJ154" s="67"/>
      <c r="AK154" s="67" t="s">
        <v>2867</v>
      </c>
      <c r="AL154" s="67"/>
      <c r="AM154" s="176"/>
      <c r="AN154" s="176"/>
      <c r="AO154" s="67"/>
      <c r="AP154" s="67" t="s">
        <v>2867</v>
      </c>
      <c r="AQ154" s="67" t="s">
        <v>2868</v>
      </c>
      <c r="AR154" s="175"/>
      <c r="AS154" s="175" t="s">
        <v>2869</v>
      </c>
      <c r="AT154" s="175" t="s">
        <v>2867</v>
      </c>
      <c r="AU154" s="175"/>
      <c r="AV154" s="178">
        <v>0</v>
      </c>
      <c r="AW154" s="67"/>
      <c r="AX154" s="175" t="s">
        <v>2867</v>
      </c>
      <c r="AY154" s="175" t="s">
        <v>2870</v>
      </c>
      <c r="AZ154" s="175" t="s">
        <v>2871</v>
      </c>
      <c r="BA154" s="175"/>
      <c r="BB154" s="175"/>
      <c r="BC154" s="175" t="s">
        <v>2859</v>
      </c>
      <c r="BD154" s="175" t="s">
        <v>2872</v>
      </c>
      <c r="BE154" s="175" t="s">
        <v>2873</v>
      </c>
      <c r="BF154" s="175" t="s">
        <v>2867</v>
      </c>
      <c r="BG154" s="67"/>
      <c r="BH154" s="179"/>
      <c r="BI154" s="175" t="s">
        <v>2867</v>
      </c>
      <c r="BJ154" s="175"/>
      <c r="BK154" s="175" t="s">
        <v>2867</v>
      </c>
      <c r="BL154" s="175"/>
      <c r="BM154" s="175" t="s">
        <v>3005</v>
      </c>
      <c r="BN154" s="175" t="s">
        <v>3006</v>
      </c>
      <c r="BO154" s="180" t="s">
        <v>2879</v>
      </c>
      <c r="BP154" s="67" t="s">
        <v>2867</v>
      </c>
      <c r="BQ154" s="175" t="s">
        <v>1477</v>
      </c>
      <c r="BR154" s="177" t="s">
        <v>144</v>
      </c>
      <c r="BS154" s="177"/>
      <c r="BT154" s="67" t="s">
        <v>2867</v>
      </c>
      <c r="BU154" s="175"/>
      <c r="BV154" s="176"/>
      <c r="BW154" s="67" t="s">
        <v>2878</v>
      </c>
      <c r="BX154" s="175" t="s">
        <v>4113</v>
      </c>
      <c r="BY154" s="175" t="s">
        <v>1996</v>
      </c>
      <c r="BZ154" s="177"/>
      <c r="CA154" s="175"/>
      <c r="CB154" s="175"/>
      <c r="CC154" s="177"/>
      <c r="CD154" s="177"/>
      <c r="CE154" s="67"/>
      <c r="CF154" s="67"/>
      <c r="CG154" s="177"/>
      <c r="CH154" s="176"/>
      <c r="CI154" s="176"/>
      <c r="CJ154" s="175"/>
      <c r="CK154" s="67" t="s">
        <v>3027</v>
      </c>
      <c r="CL154" s="175" t="s">
        <v>929</v>
      </c>
      <c r="CM154" s="175" t="s">
        <v>3418</v>
      </c>
      <c r="CN154" s="175" t="s">
        <v>3970</v>
      </c>
      <c r="CO154" s="175"/>
      <c r="CP154" s="67" t="s">
        <v>1815</v>
      </c>
      <c r="CQ154" s="175" t="s">
        <v>3027</v>
      </c>
      <c r="CR154" s="175" t="s">
        <v>4114</v>
      </c>
      <c r="CS154" s="67"/>
      <c r="CT154" s="175" t="s">
        <v>2867</v>
      </c>
      <c r="CU154" s="175"/>
      <c r="CV154" s="181" t="s">
        <v>2879</v>
      </c>
      <c r="CW154" s="67"/>
      <c r="CX154" s="182"/>
      <c r="CY154" s="175" t="s">
        <v>2880</v>
      </c>
      <c r="CZ154" s="175"/>
      <c r="DA154" s="175" t="s">
        <v>3972</v>
      </c>
      <c r="DB154" s="175" t="s">
        <v>3972</v>
      </c>
      <c r="DC154" s="175" t="s">
        <v>3973</v>
      </c>
      <c r="DD154" s="175"/>
      <c r="DE154" s="176">
        <v>46174</v>
      </c>
      <c r="DF154" s="175"/>
      <c r="DG154" s="182"/>
      <c r="DH154" s="183">
        <v>1023500</v>
      </c>
      <c r="DI154" s="67"/>
      <c r="DJ154" s="67"/>
      <c r="DK154" s="67"/>
      <c r="DL154" s="67"/>
      <c r="DM154" s="67"/>
      <c r="DN154" s="183">
        <v>0</v>
      </c>
      <c r="DO154" s="183">
        <v>0</v>
      </c>
      <c r="DP154" s="67" t="s">
        <v>2867</v>
      </c>
      <c r="DQ154" s="175"/>
      <c r="DR154" s="175"/>
      <c r="DS154" s="175" t="s">
        <v>2882</v>
      </c>
      <c r="DT154" s="175"/>
      <c r="DU154" s="175"/>
      <c r="DV154" s="175" t="s">
        <v>2883</v>
      </c>
      <c r="DW154" s="175" t="s">
        <v>2884</v>
      </c>
      <c r="DX154" s="175" t="s">
        <v>2879</v>
      </c>
    </row>
    <row r="155" spans="1:128" ht="19.5" customHeight="1">
      <c r="A155" s="173" t="s">
        <v>3268</v>
      </c>
      <c r="B155" s="174" t="s">
        <v>4115</v>
      </c>
      <c r="C155" s="67"/>
      <c r="D155" s="67"/>
      <c r="E155" s="174" t="s">
        <v>4116</v>
      </c>
      <c r="F155" s="174" t="s">
        <v>2359</v>
      </c>
      <c r="G155" s="175" t="s">
        <v>4117</v>
      </c>
      <c r="H155" s="174" t="s">
        <v>2994</v>
      </c>
      <c r="I155" s="174" t="s">
        <v>2995</v>
      </c>
      <c r="J155" s="175" t="s">
        <v>2859</v>
      </c>
      <c r="K155" s="176">
        <v>46174</v>
      </c>
      <c r="L155" s="67" t="s">
        <v>2889</v>
      </c>
      <c r="M155" s="175" t="s">
        <v>2355</v>
      </c>
      <c r="N155" s="67" t="s">
        <v>2355</v>
      </c>
      <c r="O155" s="67" t="s">
        <v>3161</v>
      </c>
      <c r="P155" s="67" t="s">
        <v>3162</v>
      </c>
      <c r="Q155" s="67"/>
      <c r="R155" s="67"/>
      <c r="S155" s="67" t="s">
        <v>104</v>
      </c>
      <c r="T155" s="177" t="s">
        <v>2998</v>
      </c>
      <c r="U155" s="67" t="s">
        <v>1247</v>
      </c>
      <c r="V155" s="67"/>
      <c r="W155" s="175" t="s">
        <v>2865</v>
      </c>
      <c r="X155" s="67" t="s">
        <v>2445</v>
      </c>
      <c r="Y155" s="67" t="s">
        <v>2866</v>
      </c>
      <c r="Z155" s="67" t="s">
        <v>2446</v>
      </c>
      <c r="AA155" s="175" t="s">
        <v>2947</v>
      </c>
      <c r="AB155" s="175" t="s">
        <v>3708</v>
      </c>
      <c r="AC155" s="175" t="s">
        <v>3709</v>
      </c>
      <c r="AD155" s="175" t="s">
        <v>3710</v>
      </c>
      <c r="AE155" s="175" t="s">
        <v>3711</v>
      </c>
      <c r="AF155" s="176"/>
      <c r="AG155" s="176"/>
      <c r="AH155" s="176"/>
      <c r="AI155" s="67"/>
      <c r="AJ155" s="67"/>
      <c r="AK155" s="67" t="s">
        <v>2867</v>
      </c>
      <c r="AL155" s="67"/>
      <c r="AM155" s="176"/>
      <c r="AN155" s="176"/>
      <c r="AO155" s="67"/>
      <c r="AP155" s="67" t="s">
        <v>2867</v>
      </c>
      <c r="AQ155" s="67" t="s">
        <v>2868</v>
      </c>
      <c r="AR155" s="175"/>
      <c r="AS155" s="175" t="s">
        <v>2869</v>
      </c>
      <c r="AT155" s="175" t="s">
        <v>2867</v>
      </c>
      <c r="AU155" s="175"/>
      <c r="AV155" s="178">
        <v>0</v>
      </c>
      <c r="AW155" s="67"/>
      <c r="AX155" s="175" t="s">
        <v>2867</v>
      </c>
      <c r="AY155" s="175" t="s">
        <v>2870</v>
      </c>
      <c r="AZ155" s="175" t="s">
        <v>2871</v>
      </c>
      <c r="BA155" s="175"/>
      <c r="BB155" s="175"/>
      <c r="BC155" s="175" t="s">
        <v>2859</v>
      </c>
      <c r="BD155" s="175" t="s">
        <v>2872</v>
      </c>
      <c r="BE155" s="175" t="s">
        <v>2873</v>
      </c>
      <c r="BF155" s="175" t="s">
        <v>2867</v>
      </c>
      <c r="BG155" s="67"/>
      <c r="BH155" s="179"/>
      <c r="BI155" s="175" t="s">
        <v>2867</v>
      </c>
      <c r="BJ155" s="175"/>
      <c r="BK155" s="175" t="s">
        <v>2867</v>
      </c>
      <c r="BL155" s="175"/>
      <c r="BM155" s="175" t="s">
        <v>3005</v>
      </c>
      <c r="BN155" s="175" t="s">
        <v>3006</v>
      </c>
      <c r="BO155" s="180" t="s">
        <v>2879</v>
      </c>
      <c r="BP155" s="67" t="s">
        <v>2867</v>
      </c>
      <c r="BQ155" s="175" t="s">
        <v>1477</v>
      </c>
      <c r="BR155" s="177" t="s">
        <v>144</v>
      </c>
      <c r="BS155" s="177"/>
      <c r="BT155" s="67" t="s">
        <v>2867</v>
      </c>
      <c r="BU155" s="175"/>
      <c r="BV155" s="176"/>
      <c r="BW155" s="67" t="s">
        <v>2878</v>
      </c>
      <c r="BX155" s="175" t="s">
        <v>4118</v>
      </c>
      <c r="BY155" s="175" t="s">
        <v>1996</v>
      </c>
      <c r="BZ155" s="177"/>
      <c r="CA155" s="175"/>
      <c r="CB155" s="175"/>
      <c r="CC155" s="177"/>
      <c r="CD155" s="177"/>
      <c r="CE155" s="67"/>
      <c r="CF155" s="67"/>
      <c r="CG155" s="177"/>
      <c r="CH155" s="176"/>
      <c r="CI155" s="176"/>
      <c r="CJ155" s="175"/>
      <c r="CK155" s="67" t="s">
        <v>3027</v>
      </c>
      <c r="CL155" s="175" t="s">
        <v>929</v>
      </c>
      <c r="CM155" s="175" t="s">
        <v>3442</v>
      </c>
      <c r="CN155" s="175" t="s">
        <v>3970</v>
      </c>
      <c r="CO155" s="175"/>
      <c r="CP155" s="67" t="s">
        <v>1815</v>
      </c>
      <c r="CQ155" s="175" t="s">
        <v>3027</v>
      </c>
      <c r="CR155" s="175" t="s">
        <v>4119</v>
      </c>
      <c r="CS155" s="67"/>
      <c r="CT155" s="175" t="s">
        <v>2867</v>
      </c>
      <c r="CU155" s="175"/>
      <c r="CV155" s="181" t="s">
        <v>2879</v>
      </c>
      <c r="CW155" s="67"/>
      <c r="CX155" s="182"/>
      <c r="CY155" s="175" t="s">
        <v>2880</v>
      </c>
      <c r="CZ155" s="175"/>
      <c r="DA155" s="175" t="s">
        <v>3972</v>
      </c>
      <c r="DB155" s="175" t="s">
        <v>3972</v>
      </c>
      <c r="DC155" s="175" t="s">
        <v>3973</v>
      </c>
      <c r="DD155" s="175"/>
      <c r="DE155" s="176">
        <v>46174</v>
      </c>
      <c r="DF155" s="175"/>
      <c r="DG155" s="182"/>
      <c r="DH155" s="183">
        <v>1023500</v>
      </c>
      <c r="DI155" s="67"/>
      <c r="DJ155" s="67"/>
      <c r="DK155" s="67"/>
      <c r="DL155" s="67"/>
      <c r="DM155" s="67"/>
      <c r="DN155" s="183">
        <v>0</v>
      </c>
      <c r="DO155" s="183">
        <v>0</v>
      </c>
      <c r="DP155" s="67" t="s">
        <v>2867</v>
      </c>
      <c r="DQ155" s="175"/>
      <c r="DR155" s="175"/>
      <c r="DS155" s="175" t="s">
        <v>2882</v>
      </c>
      <c r="DT155" s="175"/>
      <c r="DU155" s="175"/>
      <c r="DV155" s="175" t="s">
        <v>2883</v>
      </c>
      <c r="DW155" s="175" t="s">
        <v>2884</v>
      </c>
      <c r="DX155" s="175" t="s">
        <v>2879</v>
      </c>
    </row>
    <row r="156" spans="1:128" ht="19.5" customHeight="1">
      <c r="A156" s="173" t="s">
        <v>3268</v>
      </c>
      <c r="B156" s="174" t="s">
        <v>4120</v>
      </c>
      <c r="C156" s="67"/>
      <c r="D156" s="67"/>
      <c r="E156" s="174" t="s">
        <v>4121</v>
      </c>
      <c r="F156" s="174" t="s">
        <v>2360</v>
      </c>
      <c r="G156" s="175" t="s">
        <v>4122</v>
      </c>
      <c r="H156" s="174" t="s">
        <v>2994</v>
      </c>
      <c r="I156" s="174" t="s">
        <v>2995</v>
      </c>
      <c r="J156" s="175" t="s">
        <v>2859</v>
      </c>
      <c r="K156" s="176">
        <v>46174</v>
      </c>
      <c r="L156" s="67" t="s">
        <v>2889</v>
      </c>
      <c r="M156" s="175" t="s">
        <v>2355</v>
      </c>
      <c r="N156" s="67" t="s">
        <v>2355</v>
      </c>
      <c r="O156" s="67" t="s">
        <v>3161</v>
      </c>
      <c r="P156" s="67" t="s">
        <v>3162</v>
      </c>
      <c r="Q156" s="67"/>
      <c r="R156" s="67"/>
      <c r="S156" s="67" t="s">
        <v>104</v>
      </c>
      <c r="T156" s="177" t="s">
        <v>2998</v>
      </c>
      <c r="U156" s="67" t="s">
        <v>1247</v>
      </c>
      <c r="V156" s="67"/>
      <c r="W156" s="175" t="s">
        <v>2865</v>
      </c>
      <c r="X156" s="67" t="s">
        <v>2447</v>
      </c>
      <c r="Y156" s="67" t="s">
        <v>2866</v>
      </c>
      <c r="Z156" s="67" t="s">
        <v>2448</v>
      </c>
      <c r="AA156" s="175" t="s">
        <v>2947</v>
      </c>
      <c r="AB156" s="175" t="s">
        <v>4123</v>
      </c>
      <c r="AC156" s="175" t="s">
        <v>4124</v>
      </c>
      <c r="AD156" s="175" t="s">
        <v>4125</v>
      </c>
      <c r="AE156" s="175" t="s">
        <v>4126</v>
      </c>
      <c r="AF156" s="176"/>
      <c r="AG156" s="176"/>
      <c r="AH156" s="176"/>
      <c r="AI156" s="67"/>
      <c r="AJ156" s="67"/>
      <c r="AK156" s="67" t="s">
        <v>2867</v>
      </c>
      <c r="AL156" s="67"/>
      <c r="AM156" s="176"/>
      <c r="AN156" s="176"/>
      <c r="AO156" s="67"/>
      <c r="AP156" s="67" t="s">
        <v>2867</v>
      </c>
      <c r="AQ156" s="67" t="s">
        <v>2868</v>
      </c>
      <c r="AR156" s="175"/>
      <c r="AS156" s="175" t="s">
        <v>2869</v>
      </c>
      <c r="AT156" s="175" t="s">
        <v>2867</v>
      </c>
      <c r="AU156" s="175"/>
      <c r="AV156" s="178">
        <v>0</v>
      </c>
      <c r="AW156" s="67"/>
      <c r="AX156" s="175" t="s">
        <v>2867</v>
      </c>
      <c r="AY156" s="175" t="s">
        <v>2870</v>
      </c>
      <c r="AZ156" s="175" t="s">
        <v>2871</v>
      </c>
      <c r="BA156" s="175"/>
      <c r="BB156" s="175"/>
      <c r="BC156" s="175" t="s">
        <v>2859</v>
      </c>
      <c r="BD156" s="175" t="s">
        <v>2872</v>
      </c>
      <c r="BE156" s="175" t="s">
        <v>2873</v>
      </c>
      <c r="BF156" s="175" t="s">
        <v>2867</v>
      </c>
      <c r="BG156" s="67"/>
      <c r="BH156" s="179"/>
      <c r="BI156" s="175" t="s">
        <v>2867</v>
      </c>
      <c r="BJ156" s="175"/>
      <c r="BK156" s="175" t="s">
        <v>2867</v>
      </c>
      <c r="BL156" s="175"/>
      <c r="BM156" s="175" t="s">
        <v>3005</v>
      </c>
      <c r="BN156" s="175" t="s">
        <v>3006</v>
      </c>
      <c r="BO156" s="180" t="s">
        <v>2879</v>
      </c>
      <c r="BP156" s="67" t="s">
        <v>2867</v>
      </c>
      <c r="BQ156" s="175" t="s">
        <v>1477</v>
      </c>
      <c r="BR156" s="177" t="s">
        <v>144</v>
      </c>
      <c r="BS156" s="177"/>
      <c r="BT156" s="67" t="s">
        <v>2867</v>
      </c>
      <c r="BU156" s="175"/>
      <c r="BV156" s="176"/>
      <c r="BW156" s="67" t="s">
        <v>2878</v>
      </c>
      <c r="BX156" s="175" t="s">
        <v>4127</v>
      </c>
      <c r="BY156" s="175" t="s">
        <v>1996</v>
      </c>
      <c r="BZ156" s="177"/>
      <c r="CA156" s="175"/>
      <c r="CB156" s="175"/>
      <c r="CC156" s="177"/>
      <c r="CD156" s="177"/>
      <c r="CE156" s="67"/>
      <c r="CF156" s="67"/>
      <c r="CG156" s="177"/>
      <c r="CH156" s="176"/>
      <c r="CI156" s="176"/>
      <c r="CJ156" s="175"/>
      <c r="CK156" s="67" t="s">
        <v>3027</v>
      </c>
      <c r="CL156" s="175" t="s">
        <v>929</v>
      </c>
      <c r="CM156" s="175" t="s">
        <v>3442</v>
      </c>
      <c r="CN156" s="175" t="s">
        <v>3970</v>
      </c>
      <c r="CO156" s="175"/>
      <c r="CP156" s="67" t="s">
        <v>1815</v>
      </c>
      <c r="CQ156" s="175" t="s">
        <v>3027</v>
      </c>
      <c r="CR156" s="175" t="s">
        <v>4128</v>
      </c>
      <c r="CS156" s="67"/>
      <c r="CT156" s="175" t="s">
        <v>2867</v>
      </c>
      <c r="CU156" s="175"/>
      <c r="CV156" s="181" t="s">
        <v>2879</v>
      </c>
      <c r="CW156" s="67"/>
      <c r="CX156" s="182"/>
      <c r="CY156" s="175" t="s">
        <v>2880</v>
      </c>
      <c r="CZ156" s="175"/>
      <c r="DA156" s="175" t="s">
        <v>3972</v>
      </c>
      <c r="DB156" s="175" t="s">
        <v>3972</v>
      </c>
      <c r="DC156" s="175" t="s">
        <v>3973</v>
      </c>
      <c r="DD156" s="175"/>
      <c r="DE156" s="176">
        <v>46174</v>
      </c>
      <c r="DF156" s="175"/>
      <c r="DG156" s="182"/>
      <c r="DH156" s="183">
        <v>1023500</v>
      </c>
      <c r="DI156" s="67"/>
      <c r="DJ156" s="67"/>
      <c r="DK156" s="67"/>
      <c r="DL156" s="67"/>
      <c r="DM156" s="67"/>
      <c r="DN156" s="183">
        <v>0</v>
      </c>
      <c r="DO156" s="183">
        <v>0</v>
      </c>
      <c r="DP156" s="67" t="s">
        <v>2867</v>
      </c>
      <c r="DQ156" s="175"/>
      <c r="DR156" s="175"/>
      <c r="DS156" s="175" t="s">
        <v>2882</v>
      </c>
      <c r="DT156" s="175"/>
      <c r="DU156" s="175"/>
      <c r="DV156" s="175" t="s">
        <v>2883</v>
      </c>
      <c r="DW156" s="175" t="s">
        <v>2884</v>
      </c>
      <c r="DX156" s="175" t="s">
        <v>2879</v>
      </c>
    </row>
    <row r="157" spans="1:128" ht="19.5" customHeight="1">
      <c r="A157" s="173" t="s">
        <v>3268</v>
      </c>
      <c r="B157" s="174" t="s">
        <v>4129</v>
      </c>
      <c r="C157" s="67"/>
      <c r="D157" s="67"/>
      <c r="E157" s="174" t="s">
        <v>4130</v>
      </c>
      <c r="F157" s="174" t="s">
        <v>2361</v>
      </c>
      <c r="G157" s="175" t="s">
        <v>4131</v>
      </c>
      <c r="H157" s="174" t="s">
        <v>2994</v>
      </c>
      <c r="I157" s="174" t="s">
        <v>2995</v>
      </c>
      <c r="J157" s="175" t="s">
        <v>2859</v>
      </c>
      <c r="K157" s="176">
        <v>46174</v>
      </c>
      <c r="L157" s="67" t="s">
        <v>2906</v>
      </c>
      <c r="M157" s="175" t="s">
        <v>2355</v>
      </c>
      <c r="N157" s="67" t="s">
        <v>2355</v>
      </c>
      <c r="O157" s="67" t="s">
        <v>3161</v>
      </c>
      <c r="P157" s="67" t="s">
        <v>3162</v>
      </c>
      <c r="Q157" s="67"/>
      <c r="R157" s="67"/>
      <c r="S157" s="67" t="s">
        <v>104</v>
      </c>
      <c r="T157" s="177" t="s">
        <v>2998</v>
      </c>
      <c r="U157" s="67" t="s">
        <v>119</v>
      </c>
      <c r="V157" s="67"/>
      <c r="W157" s="175" t="s">
        <v>2865</v>
      </c>
      <c r="X157" s="67" t="s">
        <v>2449</v>
      </c>
      <c r="Y157" s="67" t="s">
        <v>2866</v>
      </c>
      <c r="Z157" s="67" t="s">
        <v>2450</v>
      </c>
      <c r="AA157" s="175" t="s">
        <v>2947</v>
      </c>
      <c r="AB157" s="175" t="s">
        <v>3332</v>
      </c>
      <c r="AC157" s="175" t="s">
        <v>3333</v>
      </c>
      <c r="AD157" s="175" t="s">
        <v>3334</v>
      </c>
      <c r="AE157" s="175" t="s">
        <v>3335</v>
      </c>
      <c r="AF157" s="176"/>
      <c r="AG157" s="176"/>
      <c r="AH157" s="176"/>
      <c r="AI157" s="67"/>
      <c r="AJ157" s="67"/>
      <c r="AK157" s="67" t="s">
        <v>2867</v>
      </c>
      <c r="AL157" s="67"/>
      <c r="AM157" s="176"/>
      <c r="AN157" s="176"/>
      <c r="AO157" s="67"/>
      <c r="AP157" s="67" t="s">
        <v>2867</v>
      </c>
      <c r="AQ157" s="67" t="s">
        <v>2868</v>
      </c>
      <c r="AR157" s="175"/>
      <c r="AS157" s="175" t="s">
        <v>2869</v>
      </c>
      <c r="AT157" s="175" t="s">
        <v>2867</v>
      </c>
      <c r="AU157" s="175"/>
      <c r="AV157" s="178">
        <v>0</v>
      </c>
      <c r="AW157" s="67"/>
      <c r="AX157" s="175" t="s">
        <v>2867</v>
      </c>
      <c r="AY157" s="175" t="s">
        <v>2870</v>
      </c>
      <c r="AZ157" s="175" t="s">
        <v>2871</v>
      </c>
      <c r="BA157" s="175"/>
      <c r="BB157" s="175"/>
      <c r="BC157" s="175" t="s">
        <v>2859</v>
      </c>
      <c r="BD157" s="175" t="s">
        <v>2872</v>
      </c>
      <c r="BE157" s="175" t="s">
        <v>2873</v>
      </c>
      <c r="BF157" s="175" t="s">
        <v>2867</v>
      </c>
      <c r="BG157" s="67"/>
      <c r="BH157" s="179"/>
      <c r="BI157" s="175" t="s">
        <v>2867</v>
      </c>
      <c r="BJ157" s="175"/>
      <c r="BK157" s="175" t="s">
        <v>2867</v>
      </c>
      <c r="BL157" s="175"/>
      <c r="BM157" s="175" t="s">
        <v>3005</v>
      </c>
      <c r="BN157" s="175" t="s">
        <v>3006</v>
      </c>
      <c r="BO157" s="180" t="s">
        <v>2879</v>
      </c>
      <c r="BP157" s="67" t="s">
        <v>2867</v>
      </c>
      <c r="BQ157" s="175" t="s">
        <v>1477</v>
      </c>
      <c r="BR157" s="177" t="s">
        <v>144</v>
      </c>
      <c r="BS157" s="177"/>
      <c r="BT157" s="67" t="s">
        <v>2867</v>
      </c>
      <c r="BU157" s="175"/>
      <c r="BV157" s="176"/>
      <c r="BW157" s="67" t="s">
        <v>2878</v>
      </c>
      <c r="BX157" s="175" t="s">
        <v>4132</v>
      </c>
      <c r="BY157" s="175" t="s">
        <v>1996</v>
      </c>
      <c r="BZ157" s="177"/>
      <c r="CA157" s="175" t="s">
        <v>4133</v>
      </c>
      <c r="CB157" s="175"/>
      <c r="CC157" s="177"/>
      <c r="CD157" s="177"/>
      <c r="CE157" s="67"/>
      <c r="CF157" s="67"/>
      <c r="CG157" s="177"/>
      <c r="CH157" s="176"/>
      <c r="CI157" s="176"/>
      <c r="CJ157" s="175"/>
      <c r="CK157" s="67" t="s">
        <v>3027</v>
      </c>
      <c r="CL157" s="175" t="s">
        <v>929</v>
      </c>
      <c r="CM157" s="175" t="s">
        <v>3418</v>
      </c>
      <c r="CN157" s="175" t="s">
        <v>3970</v>
      </c>
      <c r="CO157" s="175"/>
      <c r="CP157" s="67" t="s">
        <v>1815</v>
      </c>
      <c r="CQ157" s="175" t="s">
        <v>3027</v>
      </c>
      <c r="CR157" s="175" t="s">
        <v>4134</v>
      </c>
      <c r="CS157" s="67"/>
      <c r="CT157" s="175" t="s">
        <v>2867</v>
      </c>
      <c r="CU157" s="175"/>
      <c r="CV157" s="181" t="s">
        <v>2879</v>
      </c>
      <c r="CW157" s="67"/>
      <c r="CX157" s="182"/>
      <c r="CY157" s="175" t="s">
        <v>2880</v>
      </c>
      <c r="CZ157" s="175"/>
      <c r="DA157" s="175" t="s">
        <v>3972</v>
      </c>
      <c r="DB157" s="175" t="s">
        <v>3972</v>
      </c>
      <c r="DC157" s="175" t="s">
        <v>3979</v>
      </c>
      <c r="DD157" s="175"/>
      <c r="DE157" s="176">
        <v>46174</v>
      </c>
      <c r="DF157" s="175"/>
      <c r="DG157" s="182"/>
      <c r="DH157" s="183">
        <v>1023500</v>
      </c>
      <c r="DI157" s="67"/>
      <c r="DJ157" s="67"/>
      <c r="DK157" s="67"/>
      <c r="DL157" s="67"/>
      <c r="DM157" s="67"/>
      <c r="DN157" s="183">
        <v>0</v>
      </c>
      <c r="DO157" s="183">
        <v>0</v>
      </c>
      <c r="DP157" s="67" t="s">
        <v>2867</v>
      </c>
      <c r="DQ157" s="175"/>
      <c r="DR157" s="175"/>
      <c r="DS157" s="175" t="s">
        <v>2882</v>
      </c>
      <c r="DT157" s="175"/>
      <c r="DU157" s="175"/>
      <c r="DV157" s="175" t="s">
        <v>2883</v>
      </c>
      <c r="DW157" s="175" t="s">
        <v>2884</v>
      </c>
      <c r="DX157" s="175" t="s">
        <v>2879</v>
      </c>
    </row>
    <row r="158" spans="1:128" ht="19.5" customHeight="1">
      <c r="A158" s="173" t="s">
        <v>3268</v>
      </c>
      <c r="B158" s="174" t="s">
        <v>4135</v>
      </c>
      <c r="C158" s="67"/>
      <c r="D158" s="67"/>
      <c r="E158" s="174" t="s">
        <v>4136</v>
      </c>
      <c r="F158" s="174" t="s">
        <v>2362</v>
      </c>
      <c r="G158" s="175" t="s">
        <v>4137</v>
      </c>
      <c r="H158" s="174" t="s">
        <v>2994</v>
      </c>
      <c r="I158" s="174" t="s">
        <v>2995</v>
      </c>
      <c r="J158" s="175" t="s">
        <v>2859</v>
      </c>
      <c r="K158" s="176">
        <v>46174</v>
      </c>
      <c r="L158" s="67" t="s">
        <v>3062</v>
      </c>
      <c r="M158" s="175" t="s">
        <v>2355</v>
      </c>
      <c r="N158" s="67" t="s">
        <v>2355</v>
      </c>
      <c r="O158" s="67" t="s">
        <v>3161</v>
      </c>
      <c r="P158" s="67" t="s">
        <v>3162</v>
      </c>
      <c r="Q158" s="67"/>
      <c r="R158" s="67"/>
      <c r="S158" s="67" t="s">
        <v>104</v>
      </c>
      <c r="T158" s="177" t="s">
        <v>2998</v>
      </c>
      <c r="U158" s="67" t="s">
        <v>119</v>
      </c>
      <c r="V158" s="67"/>
      <c r="W158" s="175" t="s">
        <v>2865</v>
      </c>
      <c r="X158" s="67" t="s">
        <v>2451</v>
      </c>
      <c r="Y158" s="67" t="s">
        <v>2866</v>
      </c>
      <c r="Z158" s="67" t="s">
        <v>2452</v>
      </c>
      <c r="AA158" s="175" t="s">
        <v>2947</v>
      </c>
      <c r="AB158" s="175" t="s">
        <v>4138</v>
      </c>
      <c r="AC158" s="175" t="s">
        <v>4139</v>
      </c>
      <c r="AD158" s="175" t="s">
        <v>4140</v>
      </c>
      <c r="AE158" s="175" t="s">
        <v>4141</v>
      </c>
      <c r="AF158" s="176"/>
      <c r="AG158" s="176"/>
      <c r="AH158" s="176"/>
      <c r="AI158" s="67"/>
      <c r="AJ158" s="67"/>
      <c r="AK158" s="67" t="s">
        <v>2867</v>
      </c>
      <c r="AL158" s="67"/>
      <c r="AM158" s="176"/>
      <c r="AN158" s="176"/>
      <c r="AO158" s="67"/>
      <c r="AP158" s="67" t="s">
        <v>2867</v>
      </c>
      <c r="AQ158" s="67" t="s">
        <v>2868</v>
      </c>
      <c r="AR158" s="175"/>
      <c r="AS158" s="175" t="s">
        <v>2869</v>
      </c>
      <c r="AT158" s="175" t="s">
        <v>2867</v>
      </c>
      <c r="AU158" s="175"/>
      <c r="AV158" s="178">
        <v>0</v>
      </c>
      <c r="AW158" s="67"/>
      <c r="AX158" s="175" t="s">
        <v>2867</v>
      </c>
      <c r="AY158" s="175" t="s">
        <v>2870</v>
      </c>
      <c r="AZ158" s="175" t="s">
        <v>2871</v>
      </c>
      <c r="BA158" s="175"/>
      <c r="BB158" s="175"/>
      <c r="BC158" s="175" t="s">
        <v>2859</v>
      </c>
      <c r="BD158" s="175" t="s">
        <v>2872</v>
      </c>
      <c r="BE158" s="175" t="s">
        <v>2873</v>
      </c>
      <c r="BF158" s="175" t="s">
        <v>2867</v>
      </c>
      <c r="BG158" s="67"/>
      <c r="BH158" s="179"/>
      <c r="BI158" s="175" t="s">
        <v>2867</v>
      </c>
      <c r="BJ158" s="175"/>
      <c r="BK158" s="175" t="s">
        <v>2867</v>
      </c>
      <c r="BL158" s="175"/>
      <c r="BM158" s="175" t="s">
        <v>3005</v>
      </c>
      <c r="BN158" s="175" t="s">
        <v>3006</v>
      </c>
      <c r="BO158" s="180" t="s">
        <v>2879</v>
      </c>
      <c r="BP158" s="67" t="s">
        <v>2867</v>
      </c>
      <c r="BQ158" s="175" t="s">
        <v>1477</v>
      </c>
      <c r="BR158" s="177" t="s">
        <v>144</v>
      </c>
      <c r="BS158" s="177"/>
      <c r="BT158" s="67" t="s">
        <v>2867</v>
      </c>
      <c r="BU158" s="175"/>
      <c r="BV158" s="176"/>
      <c r="BW158" s="67" t="s">
        <v>2878</v>
      </c>
      <c r="BX158" s="175" t="s">
        <v>4142</v>
      </c>
      <c r="BY158" s="175" t="s">
        <v>1996</v>
      </c>
      <c r="BZ158" s="177"/>
      <c r="CA158" s="175"/>
      <c r="CB158" s="175"/>
      <c r="CC158" s="177"/>
      <c r="CD158" s="177"/>
      <c r="CE158" s="67"/>
      <c r="CF158" s="67"/>
      <c r="CG158" s="177"/>
      <c r="CH158" s="176"/>
      <c r="CI158" s="176"/>
      <c r="CJ158" s="175"/>
      <c r="CK158" s="67" t="s">
        <v>3027</v>
      </c>
      <c r="CL158" s="175" t="s">
        <v>929</v>
      </c>
      <c r="CM158" s="175" t="s">
        <v>3442</v>
      </c>
      <c r="CN158" s="175" t="s">
        <v>3970</v>
      </c>
      <c r="CO158" s="175"/>
      <c r="CP158" s="67" t="s">
        <v>1815</v>
      </c>
      <c r="CQ158" s="175" t="s">
        <v>3027</v>
      </c>
      <c r="CR158" s="175" t="s">
        <v>4143</v>
      </c>
      <c r="CS158" s="67"/>
      <c r="CT158" s="175" t="s">
        <v>2867</v>
      </c>
      <c r="CU158" s="175"/>
      <c r="CV158" s="181" t="s">
        <v>2879</v>
      </c>
      <c r="CW158" s="67"/>
      <c r="CX158" s="182"/>
      <c r="CY158" s="175" t="s">
        <v>2880</v>
      </c>
      <c r="CZ158" s="175"/>
      <c r="DA158" s="175" t="s">
        <v>3972</v>
      </c>
      <c r="DB158" s="175" t="s">
        <v>3972</v>
      </c>
      <c r="DC158" s="175" t="s">
        <v>4144</v>
      </c>
      <c r="DD158" s="175"/>
      <c r="DE158" s="176">
        <v>46174</v>
      </c>
      <c r="DF158" s="175"/>
      <c r="DG158" s="182"/>
      <c r="DH158" s="183">
        <v>1023500</v>
      </c>
      <c r="DI158" s="67"/>
      <c r="DJ158" s="67"/>
      <c r="DK158" s="67"/>
      <c r="DL158" s="67"/>
      <c r="DM158" s="67"/>
      <c r="DN158" s="183">
        <v>0</v>
      </c>
      <c r="DO158" s="183">
        <v>0</v>
      </c>
      <c r="DP158" s="67" t="s">
        <v>2867</v>
      </c>
      <c r="DQ158" s="175"/>
      <c r="DR158" s="175"/>
      <c r="DS158" s="175" t="s">
        <v>2882</v>
      </c>
      <c r="DT158" s="175"/>
      <c r="DU158" s="175"/>
      <c r="DV158" s="175" t="s">
        <v>2883</v>
      </c>
      <c r="DW158" s="175" t="s">
        <v>2884</v>
      </c>
      <c r="DX158" s="175" t="s">
        <v>2879</v>
      </c>
    </row>
    <row r="159" spans="1:128" ht="19.5" customHeight="1">
      <c r="A159" s="173" t="s">
        <v>3268</v>
      </c>
      <c r="B159" s="174" t="s">
        <v>4145</v>
      </c>
      <c r="C159" s="67"/>
      <c r="D159" s="67"/>
      <c r="E159" s="174" t="s">
        <v>4146</v>
      </c>
      <c r="F159" s="174" t="s">
        <v>2363</v>
      </c>
      <c r="G159" s="175" t="s">
        <v>4147</v>
      </c>
      <c r="H159" s="174" t="s">
        <v>2994</v>
      </c>
      <c r="I159" s="174" t="s">
        <v>2995</v>
      </c>
      <c r="J159" s="175" t="s">
        <v>2859</v>
      </c>
      <c r="K159" s="176">
        <v>46174</v>
      </c>
      <c r="L159" s="67" t="s">
        <v>2889</v>
      </c>
      <c r="M159" s="175" t="s">
        <v>2355</v>
      </c>
      <c r="N159" s="67" t="s">
        <v>2355</v>
      </c>
      <c r="O159" s="67" t="s">
        <v>3161</v>
      </c>
      <c r="P159" s="67" t="s">
        <v>3162</v>
      </c>
      <c r="Q159" s="67"/>
      <c r="R159" s="67"/>
      <c r="S159" s="67" t="s">
        <v>104</v>
      </c>
      <c r="T159" s="177" t="s">
        <v>2998</v>
      </c>
      <c r="U159" s="67" t="s">
        <v>1247</v>
      </c>
      <c r="V159" s="67"/>
      <c r="W159" s="175" t="s">
        <v>2865</v>
      </c>
      <c r="X159" s="67" t="s">
        <v>2453</v>
      </c>
      <c r="Y159" s="67" t="s">
        <v>2866</v>
      </c>
      <c r="Z159" s="67" t="s">
        <v>2454</v>
      </c>
      <c r="AA159" s="175" t="s">
        <v>2947</v>
      </c>
      <c r="AB159" s="175" t="s">
        <v>3806</v>
      </c>
      <c r="AC159" s="175" t="s">
        <v>3807</v>
      </c>
      <c r="AD159" s="175" t="s">
        <v>3808</v>
      </c>
      <c r="AE159" s="175" t="s">
        <v>3809</v>
      </c>
      <c r="AF159" s="176"/>
      <c r="AG159" s="176"/>
      <c r="AH159" s="176"/>
      <c r="AI159" s="67"/>
      <c r="AJ159" s="67"/>
      <c r="AK159" s="67" t="s">
        <v>2867</v>
      </c>
      <c r="AL159" s="67"/>
      <c r="AM159" s="176"/>
      <c r="AN159" s="176"/>
      <c r="AO159" s="67"/>
      <c r="AP159" s="67" t="s">
        <v>2867</v>
      </c>
      <c r="AQ159" s="67" t="s">
        <v>2868</v>
      </c>
      <c r="AR159" s="175"/>
      <c r="AS159" s="175" t="s">
        <v>2869</v>
      </c>
      <c r="AT159" s="175" t="s">
        <v>2867</v>
      </c>
      <c r="AU159" s="175"/>
      <c r="AV159" s="178">
        <v>0</v>
      </c>
      <c r="AW159" s="67"/>
      <c r="AX159" s="175" t="s">
        <v>2867</v>
      </c>
      <c r="AY159" s="175" t="s">
        <v>2870</v>
      </c>
      <c r="AZ159" s="175" t="s">
        <v>2871</v>
      </c>
      <c r="BA159" s="175"/>
      <c r="BB159" s="175"/>
      <c r="BC159" s="175" t="s">
        <v>2859</v>
      </c>
      <c r="BD159" s="175" t="s">
        <v>2872</v>
      </c>
      <c r="BE159" s="175" t="s">
        <v>2873</v>
      </c>
      <c r="BF159" s="175" t="s">
        <v>2867</v>
      </c>
      <c r="BG159" s="67"/>
      <c r="BH159" s="179"/>
      <c r="BI159" s="175" t="s">
        <v>2867</v>
      </c>
      <c r="BJ159" s="175"/>
      <c r="BK159" s="175" t="s">
        <v>2867</v>
      </c>
      <c r="BL159" s="175"/>
      <c r="BM159" s="175" t="s">
        <v>3005</v>
      </c>
      <c r="BN159" s="175" t="s">
        <v>3006</v>
      </c>
      <c r="BO159" s="180" t="s">
        <v>2879</v>
      </c>
      <c r="BP159" s="67" t="s">
        <v>2867</v>
      </c>
      <c r="BQ159" s="175" t="s">
        <v>1477</v>
      </c>
      <c r="BR159" s="177" t="s">
        <v>144</v>
      </c>
      <c r="BS159" s="177"/>
      <c r="BT159" s="67" t="s">
        <v>2867</v>
      </c>
      <c r="BU159" s="175"/>
      <c r="BV159" s="176"/>
      <c r="BW159" s="67" t="s">
        <v>2878</v>
      </c>
      <c r="BX159" s="175" t="s">
        <v>4148</v>
      </c>
      <c r="BY159" s="175" t="s">
        <v>1996</v>
      </c>
      <c r="BZ159" s="177"/>
      <c r="CA159" s="175"/>
      <c r="CB159" s="175"/>
      <c r="CC159" s="177"/>
      <c r="CD159" s="177"/>
      <c r="CE159" s="67"/>
      <c r="CF159" s="67"/>
      <c r="CG159" s="177"/>
      <c r="CH159" s="176"/>
      <c r="CI159" s="176"/>
      <c r="CJ159" s="175"/>
      <c r="CK159" s="67" t="s">
        <v>3027</v>
      </c>
      <c r="CL159" s="175" t="s">
        <v>929</v>
      </c>
      <c r="CM159" s="175" t="s">
        <v>3418</v>
      </c>
      <c r="CN159" s="175" t="s">
        <v>3970</v>
      </c>
      <c r="CO159" s="175"/>
      <c r="CP159" s="67" t="s">
        <v>1815</v>
      </c>
      <c r="CQ159" s="175" t="s">
        <v>3027</v>
      </c>
      <c r="CR159" s="175" t="s">
        <v>4149</v>
      </c>
      <c r="CS159" s="67"/>
      <c r="CT159" s="175" t="s">
        <v>2867</v>
      </c>
      <c r="CU159" s="175"/>
      <c r="CV159" s="181" t="s">
        <v>2879</v>
      </c>
      <c r="CW159" s="67"/>
      <c r="CX159" s="182"/>
      <c r="CY159" s="175" t="s">
        <v>2880</v>
      </c>
      <c r="CZ159" s="175"/>
      <c r="DA159" s="175" t="s">
        <v>3972</v>
      </c>
      <c r="DB159" s="175" t="s">
        <v>3972</v>
      </c>
      <c r="DC159" s="175" t="s">
        <v>4144</v>
      </c>
      <c r="DD159" s="175"/>
      <c r="DE159" s="176">
        <v>46174</v>
      </c>
      <c r="DF159" s="175"/>
      <c r="DG159" s="182"/>
      <c r="DH159" s="183">
        <v>1023500</v>
      </c>
      <c r="DI159" s="67"/>
      <c r="DJ159" s="67"/>
      <c r="DK159" s="67"/>
      <c r="DL159" s="67"/>
      <c r="DM159" s="67"/>
      <c r="DN159" s="183">
        <v>0</v>
      </c>
      <c r="DO159" s="183">
        <v>0</v>
      </c>
      <c r="DP159" s="67" t="s">
        <v>2867</v>
      </c>
      <c r="DQ159" s="175"/>
      <c r="DR159" s="175"/>
      <c r="DS159" s="175" t="s">
        <v>2882</v>
      </c>
      <c r="DT159" s="175"/>
      <c r="DU159" s="175"/>
      <c r="DV159" s="175" t="s">
        <v>2883</v>
      </c>
      <c r="DW159" s="175" t="s">
        <v>2884</v>
      </c>
      <c r="DX159" s="175" t="s">
        <v>2879</v>
      </c>
    </row>
    <row r="160" spans="1:128" ht="19.5" customHeight="1">
      <c r="A160" s="173" t="s">
        <v>3268</v>
      </c>
      <c r="B160" s="174" t="s">
        <v>4150</v>
      </c>
      <c r="C160" s="67"/>
      <c r="D160" s="67"/>
      <c r="E160" s="174" t="s">
        <v>4151</v>
      </c>
      <c r="F160" s="174" t="s">
        <v>2364</v>
      </c>
      <c r="G160" s="175" t="s">
        <v>4152</v>
      </c>
      <c r="H160" s="174" t="s">
        <v>2994</v>
      </c>
      <c r="I160" s="174" t="s">
        <v>2995</v>
      </c>
      <c r="J160" s="175" t="s">
        <v>2859</v>
      </c>
      <c r="K160" s="176">
        <v>46174</v>
      </c>
      <c r="L160" s="67" t="s">
        <v>2969</v>
      </c>
      <c r="M160" s="175" t="s">
        <v>2334</v>
      </c>
      <c r="N160" s="67" t="s">
        <v>2334</v>
      </c>
      <c r="O160" s="67" t="s">
        <v>2327</v>
      </c>
      <c r="P160" s="67" t="s">
        <v>2890</v>
      </c>
      <c r="Q160" s="67"/>
      <c r="R160" s="67"/>
      <c r="S160" s="67" t="s">
        <v>103</v>
      </c>
      <c r="T160" s="177" t="s">
        <v>2998</v>
      </c>
      <c r="U160" s="67" t="s">
        <v>1270</v>
      </c>
      <c r="V160" s="67"/>
      <c r="W160" s="175" t="s">
        <v>2865</v>
      </c>
      <c r="X160" s="67" t="s">
        <v>2455</v>
      </c>
      <c r="Y160" s="67" t="s">
        <v>2866</v>
      </c>
      <c r="Z160" s="67" t="s">
        <v>2456</v>
      </c>
      <c r="AA160" s="175" t="s">
        <v>2947</v>
      </c>
      <c r="AB160" s="175" t="s">
        <v>3242</v>
      </c>
      <c r="AC160" s="175" t="s">
        <v>3243</v>
      </c>
      <c r="AD160" s="175" t="s">
        <v>3244</v>
      </c>
      <c r="AE160" s="175" t="s">
        <v>3245</v>
      </c>
      <c r="AF160" s="176"/>
      <c r="AG160" s="176"/>
      <c r="AH160" s="176"/>
      <c r="AI160" s="67"/>
      <c r="AJ160" s="67"/>
      <c r="AK160" s="67" t="s">
        <v>2867</v>
      </c>
      <c r="AL160" s="67"/>
      <c r="AM160" s="176"/>
      <c r="AN160" s="176"/>
      <c r="AO160" s="67"/>
      <c r="AP160" s="67" t="s">
        <v>2867</v>
      </c>
      <c r="AQ160" s="67" t="s">
        <v>2868</v>
      </c>
      <c r="AR160" s="175"/>
      <c r="AS160" s="175" t="s">
        <v>2869</v>
      </c>
      <c r="AT160" s="175" t="s">
        <v>2867</v>
      </c>
      <c r="AU160" s="175"/>
      <c r="AV160" s="178">
        <v>0</v>
      </c>
      <c r="AW160" s="67"/>
      <c r="AX160" s="175" t="s">
        <v>2867</v>
      </c>
      <c r="AY160" s="175" t="s">
        <v>2870</v>
      </c>
      <c r="AZ160" s="175" t="s">
        <v>2871</v>
      </c>
      <c r="BA160" s="175"/>
      <c r="BB160" s="175"/>
      <c r="BC160" s="175" t="s">
        <v>2859</v>
      </c>
      <c r="BD160" s="175" t="s">
        <v>2872</v>
      </c>
      <c r="BE160" s="175" t="s">
        <v>2873</v>
      </c>
      <c r="BF160" s="175" t="s">
        <v>2867</v>
      </c>
      <c r="BG160" s="67"/>
      <c r="BH160" s="179"/>
      <c r="BI160" s="175" t="s">
        <v>2867</v>
      </c>
      <c r="BJ160" s="175"/>
      <c r="BK160" s="175" t="s">
        <v>2867</v>
      </c>
      <c r="BL160" s="175"/>
      <c r="BM160" s="175" t="s">
        <v>4153</v>
      </c>
      <c r="BN160" s="175" t="s">
        <v>4154</v>
      </c>
      <c r="BO160" s="180"/>
      <c r="BP160" s="67" t="s">
        <v>2867</v>
      </c>
      <c r="BQ160" s="175" t="s">
        <v>2523</v>
      </c>
      <c r="BR160" s="177" t="s">
        <v>2332</v>
      </c>
      <c r="BS160" s="177"/>
      <c r="BT160" s="67" t="s">
        <v>2867</v>
      </c>
      <c r="BU160" s="175"/>
      <c r="BV160" s="176"/>
      <c r="BW160" s="67" t="s">
        <v>2878</v>
      </c>
      <c r="BX160" s="175" t="s">
        <v>4155</v>
      </c>
      <c r="BY160" s="175" t="s">
        <v>1996</v>
      </c>
      <c r="BZ160" s="177"/>
      <c r="CA160" s="175"/>
      <c r="CB160" s="175"/>
      <c r="CC160" s="177"/>
      <c r="CD160" s="177"/>
      <c r="CE160" s="67"/>
      <c r="CF160" s="67"/>
      <c r="CG160" s="177"/>
      <c r="CH160" s="176"/>
      <c r="CI160" s="176"/>
      <c r="CJ160" s="175"/>
      <c r="CK160" s="67" t="s">
        <v>3027</v>
      </c>
      <c r="CL160" s="175" t="s">
        <v>929</v>
      </c>
      <c r="CM160" s="175" t="s">
        <v>3418</v>
      </c>
      <c r="CN160" s="175" t="s">
        <v>3970</v>
      </c>
      <c r="CO160" s="175"/>
      <c r="CP160" s="67" t="s">
        <v>4156</v>
      </c>
      <c r="CQ160" s="175" t="s">
        <v>2867</v>
      </c>
      <c r="CR160" s="175" t="s">
        <v>4157</v>
      </c>
      <c r="CS160" s="67"/>
      <c r="CT160" s="175" t="s">
        <v>2867</v>
      </c>
      <c r="CU160" s="175"/>
      <c r="CV160" s="181" t="s">
        <v>2879</v>
      </c>
      <c r="CW160" s="67"/>
      <c r="CX160" s="182"/>
      <c r="CY160" s="175" t="s">
        <v>2880</v>
      </c>
      <c r="CZ160" s="175"/>
      <c r="DA160" s="175" t="s">
        <v>3972</v>
      </c>
      <c r="DB160" s="175" t="s">
        <v>3972</v>
      </c>
      <c r="DC160" s="175" t="s">
        <v>4158</v>
      </c>
      <c r="DD160" s="175"/>
      <c r="DE160" s="176">
        <v>46174</v>
      </c>
      <c r="DF160" s="175"/>
      <c r="DG160" s="182"/>
      <c r="DH160" s="183">
        <v>909100</v>
      </c>
      <c r="DI160" s="67"/>
      <c r="DJ160" s="67"/>
      <c r="DK160" s="67"/>
      <c r="DL160" s="67"/>
      <c r="DM160" s="67"/>
      <c r="DN160" s="183">
        <v>0</v>
      </c>
      <c r="DO160" s="183">
        <v>0</v>
      </c>
      <c r="DP160" s="67" t="s">
        <v>2867</v>
      </c>
      <c r="DQ160" s="175"/>
      <c r="DR160" s="175"/>
      <c r="DS160" s="175" t="s">
        <v>2882</v>
      </c>
      <c r="DT160" s="175"/>
      <c r="DU160" s="175"/>
      <c r="DV160" s="175" t="s">
        <v>2883</v>
      </c>
      <c r="DW160" s="175" t="s">
        <v>2884</v>
      </c>
      <c r="DX160" s="175" t="s">
        <v>2879</v>
      </c>
    </row>
    <row r="161" spans="1:128" ht="19.5" customHeight="1">
      <c r="A161" s="173" t="s">
        <v>3268</v>
      </c>
      <c r="B161" s="174" t="s">
        <v>4159</v>
      </c>
      <c r="C161" s="67"/>
      <c r="D161" s="67"/>
      <c r="E161" s="174" t="s">
        <v>4160</v>
      </c>
      <c r="F161" s="174" t="s">
        <v>2365</v>
      </c>
      <c r="G161" s="175" t="s">
        <v>4161</v>
      </c>
      <c r="H161" s="174" t="s">
        <v>2994</v>
      </c>
      <c r="I161" s="174" t="s">
        <v>2995</v>
      </c>
      <c r="J161" s="175" t="s">
        <v>2859</v>
      </c>
      <c r="K161" s="176">
        <v>46174</v>
      </c>
      <c r="L161" s="67" t="s">
        <v>2932</v>
      </c>
      <c r="M161" s="175" t="s">
        <v>2334</v>
      </c>
      <c r="N161" s="67" t="s">
        <v>2334</v>
      </c>
      <c r="O161" s="67" t="s">
        <v>2327</v>
      </c>
      <c r="P161" s="67" t="s">
        <v>2890</v>
      </c>
      <c r="Q161" s="67"/>
      <c r="R161" s="67"/>
      <c r="S161" s="67" t="s">
        <v>103</v>
      </c>
      <c r="T161" s="177" t="s">
        <v>2998</v>
      </c>
      <c r="U161" s="67" t="s">
        <v>1270</v>
      </c>
      <c r="V161" s="67"/>
      <c r="W161" s="175" t="s">
        <v>2865</v>
      </c>
      <c r="X161" s="67" t="s">
        <v>2457</v>
      </c>
      <c r="Y161" s="67" t="s">
        <v>2866</v>
      </c>
      <c r="Z161" s="67" t="s">
        <v>2458</v>
      </c>
      <c r="AA161" s="175" t="s">
        <v>2947</v>
      </c>
      <c r="AB161" s="175" t="s">
        <v>4162</v>
      </c>
      <c r="AC161" s="175" t="s">
        <v>4163</v>
      </c>
      <c r="AD161" s="175" t="s">
        <v>4164</v>
      </c>
      <c r="AE161" s="175" t="s">
        <v>4165</v>
      </c>
      <c r="AF161" s="176"/>
      <c r="AG161" s="176"/>
      <c r="AH161" s="176"/>
      <c r="AI161" s="67"/>
      <c r="AJ161" s="67"/>
      <c r="AK161" s="67" t="s">
        <v>2867</v>
      </c>
      <c r="AL161" s="67"/>
      <c r="AM161" s="176"/>
      <c r="AN161" s="176"/>
      <c r="AO161" s="67"/>
      <c r="AP161" s="67" t="s">
        <v>2867</v>
      </c>
      <c r="AQ161" s="67" t="s">
        <v>2868</v>
      </c>
      <c r="AR161" s="175"/>
      <c r="AS161" s="175" t="s">
        <v>2869</v>
      </c>
      <c r="AT161" s="175" t="s">
        <v>2867</v>
      </c>
      <c r="AU161" s="175"/>
      <c r="AV161" s="178">
        <v>0</v>
      </c>
      <c r="AW161" s="67"/>
      <c r="AX161" s="175" t="s">
        <v>2867</v>
      </c>
      <c r="AY161" s="175" t="s">
        <v>2870</v>
      </c>
      <c r="AZ161" s="175" t="s">
        <v>2871</v>
      </c>
      <c r="BA161" s="175"/>
      <c r="BB161" s="175"/>
      <c r="BC161" s="175" t="s">
        <v>2859</v>
      </c>
      <c r="BD161" s="175" t="s">
        <v>2872</v>
      </c>
      <c r="BE161" s="175" t="s">
        <v>2873</v>
      </c>
      <c r="BF161" s="175" t="s">
        <v>2867</v>
      </c>
      <c r="BG161" s="67"/>
      <c r="BH161" s="179"/>
      <c r="BI161" s="175" t="s">
        <v>2867</v>
      </c>
      <c r="BJ161" s="175"/>
      <c r="BK161" s="175" t="s">
        <v>2867</v>
      </c>
      <c r="BL161" s="175"/>
      <c r="BM161" s="175" t="s">
        <v>4153</v>
      </c>
      <c r="BN161" s="175" t="s">
        <v>4154</v>
      </c>
      <c r="BO161" s="180"/>
      <c r="BP161" s="67" t="s">
        <v>2867</v>
      </c>
      <c r="BQ161" s="175" t="s">
        <v>2523</v>
      </c>
      <c r="BR161" s="177" t="s">
        <v>2332</v>
      </c>
      <c r="BS161" s="177"/>
      <c r="BT161" s="67" t="s">
        <v>2867</v>
      </c>
      <c r="BU161" s="175"/>
      <c r="BV161" s="176"/>
      <c r="BW161" s="67" t="s">
        <v>2878</v>
      </c>
      <c r="BX161" s="175" t="s">
        <v>4166</v>
      </c>
      <c r="BY161" s="175" t="s">
        <v>1996</v>
      </c>
      <c r="BZ161" s="177"/>
      <c r="CA161" s="175"/>
      <c r="CB161" s="175"/>
      <c r="CC161" s="177"/>
      <c r="CD161" s="177"/>
      <c r="CE161" s="67"/>
      <c r="CF161" s="67"/>
      <c r="CG161" s="177"/>
      <c r="CH161" s="176"/>
      <c r="CI161" s="176"/>
      <c r="CJ161" s="175"/>
      <c r="CK161" s="67" t="s">
        <v>3027</v>
      </c>
      <c r="CL161" s="175" t="s">
        <v>929</v>
      </c>
      <c r="CM161" s="175" t="s">
        <v>3418</v>
      </c>
      <c r="CN161" s="175" t="s">
        <v>3970</v>
      </c>
      <c r="CO161" s="175"/>
      <c r="CP161" s="67" t="s">
        <v>4051</v>
      </c>
      <c r="CQ161" s="175" t="s">
        <v>2867</v>
      </c>
      <c r="CR161" s="175" t="s">
        <v>4052</v>
      </c>
      <c r="CS161" s="67"/>
      <c r="CT161" s="175" t="s">
        <v>2867</v>
      </c>
      <c r="CU161" s="175"/>
      <c r="CV161" s="181" t="s">
        <v>2879</v>
      </c>
      <c r="CW161" s="67"/>
      <c r="CX161" s="182"/>
      <c r="CY161" s="175" t="s">
        <v>2880</v>
      </c>
      <c r="CZ161" s="175"/>
      <c r="DA161" s="175" t="s">
        <v>3972</v>
      </c>
      <c r="DB161" s="175" t="s">
        <v>3972</v>
      </c>
      <c r="DC161" s="175" t="s">
        <v>4167</v>
      </c>
      <c r="DD161" s="175" t="s">
        <v>4168</v>
      </c>
      <c r="DE161" s="176">
        <v>46174</v>
      </c>
      <c r="DF161" s="175"/>
      <c r="DG161" s="182"/>
      <c r="DH161" s="183">
        <v>909100</v>
      </c>
      <c r="DI161" s="67"/>
      <c r="DJ161" s="67"/>
      <c r="DK161" s="67"/>
      <c r="DL161" s="67"/>
      <c r="DM161" s="67"/>
      <c r="DN161" s="183">
        <v>0</v>
      </c>
      <c r="DO161" s="183">
        <v>0</v>
      </c>
      <c r="DP161" s="67" t="s">
        <v>2867</v>
      </c>
      <c r="DQ161" s="175"/>
      <c r="DR161" s="175"/>
      <c r="DS161" s="175" t="s">
        <v>2882</v>
      </c>
      <c r="DT161" s="175"/>
      <c r="DU161" s="175"/>
      <c r="DV161" s="175" t="s">
        <v>2883</v>
      </c>
      <c r="DW161" s="175" t="s">
        <v>2884</v>
      </c>
      <c r="DX161" s="175" t="s">
        <v>2879</v>
      </c>
    </row>
    <row r="162" spans="1:128" ht="19.5" customHeight="1">
      <c r="A162" s="173" t="s">
        <v>3268</v>
      </c>
      <c r="B162" s="174" t="s">
        <v>4169</v>
      </c>
      <c r="C162" s="67"/>
      <c r="D162" s="67"/>
      <c r="E162" s="174" t="s">
        <v>4170</v>
      </c>
      <c r="F162" s="174" t="s">
        <v>2366</v>
      </c>
      <c r="G162" s="175" t="s">
        <v>4171</v>
      </c>
      <c r="H162" s="174" t="s">
        <v>2994</v>
      </c>
      <c r="I162" s="174" t="s">
        <v>2995</v>
      </c>
      <c r="J162" s="175" t="s">
        <v>2859</v>
      </c>
      <c r="K162" s="176">
        <v>46174</v>
      </c>
      <c r="L162" s="67" t="s">
        <v>2916</v>
      </c>
      <c r="M162" s="175" t="s">
        <v>2334</v>
      </c>
      <c r="N162" s="67" t="s">
        <v>2334</v>
      </c>
      <c r="O162" s="67" t="s">
        <v>2327</v>
      </c>
      <c r="P162" s="67" t="s">
        <v>2890</v>
      </c>
      <c r="Q162" s="67"/>
      <c r="R162" s="67"/>
      <c r="S162" s="67" t="s">
        <v>103</v>
      </c>
      <c r="T162" s="177" t="s">
        <v>2998</v>
      </c>
      <c r="U162" s="67" t="s">
        <v>1270</v>
      </c>
      <c r="V162" s="67"/>
      <c r="W162" s="175" t="s">
        <v>2865</v>
      </c>
      <c r="X162" s="67" t="s">
        <v>2459</v>
      </c>
      <c r="Y162" s="67" t="s">
        <v>2866</v>
      </c>
      <c r="Z162" s="67" t="s">
        <v>2460</v>
      </c>
      <c r="AA162" s="175" t="s">
        <v>2947</v>
      </c>
      <c r="AB162" s="175" t="s">
        <v>4172</v>
      </c>
      <c r="AC162" s="175" t="s">
        <v>4173</v>
      </c>
      <c r="AD162" s="175" t="s">
        <v>4174</v>
      </c>
      <c r="AE162" s="175" t="s">
        <v>4175</v>
      </c>
      <c r="AF162" s="176"/>
      <c r="AG162" s="176"/>
      <c r="AH162" s="176"/>
      <c r="AI162" s="67"/>
      <c r="AJ162" s="67"/>
      <c r="AK162" s="67" t="s">
        <v>2867</v>
      </c>
      <c r="AL162" s="67"/>
      <c r="AM162" s="176"/>
      <c r="AN162" s="176"/>
      <c r="AO162" s="67"/>
      <c r="AP162" s="67" t="s">
        <v>2867</v>
      </c>
      <c r="AQ162" s="67" t="s">
        <v>2868</v>
      </c>
      <c r="AR162" s="175"/>
      <c r="AS162" s="175" t="s">
        <v>2869</v>
      </c>
      <c r="AT162" s="175" t="s">
        <v>2867</v>
      </c>
      <c r="AU162" s="175"/>
      <c r="AV162" s="178">
        <v>0</v>
      </c>
      <c r="AW162" s="67"/>
      <c r="AX162" s="175" t="s">
        <v>2867</v>
      </c>
      <c r="AY162" s="175" t="s">
        <v>2870</v>
      </c>
      <c r="AZ162" s="175" t="s">
        <v>2871</v>
      </c>
      <c r="BA162" s="175"/>
      <c r="BB162" s="175"/>
      <c r="BC162" s="175" t="s">
        <v>2859</v>
      </c>
      <c r="BD162" s="175" t="s">
        <v>2872</v>
      </c>
      <c r="BE162" s="175" t="s">
        <v>2873</v>
      </c>
      <c r="BF162" s="175" t="s">
        <v>2867</v>
      </c>
      <c r="BG162" s="67"/>
      <c r="BH162" s="179"/>
      <c r="BI162" s="175" t="s">
        <v>2867</v>
      </c>
      <c r="BJ162" s="175"/>
      <c r="BK162" s="175" t="s">
        <v>2867</v>
      </c>
      <c r="BL162" s="175"/>
      <c r="BM162" s="175" t="s">
        <v>4153</v>
      </c>
      <c r="BN162" s="175" t="s">
        <v>4154</v>
      </c>
      <c r="BO162" s="180"/>
      <c r="BP162" s="67" t="s">
        <v>2867</v>
      </c>
      <c r="BQ162" s="175" t="s">
        <v>2523</v>
      </c>
      <c r="BR162" s="177" t="s">
        <v>2332</v>
      </c>
      <c r="BS162" s="177"/>
      <c r="BT162" s="67" t="s">
        <v>2867</v>
      </c>
      <c r="BU162" s="175"/>
      <c r="BV162" s="176"/>
      <c r="BW162" s="67" t="s">
        <v>2878</v>
      </c>
      <c r="BX162" s="175" t="s">
        <v>4176</v>
      </c>
      <c r="BY162" s="175" t="s">
        <v>1996</v>
      </c>
      <c r="BZ162" s="177"/>
      <c r="CA162" s="175"/>
      <c r="CB162" s="175"/>
      <c r="CC162" s="177"/>
      <c r="CD162" s="177"/>
      <c r="CE162" s="67"/>
      <c r="CF162" s="67"/>
      <c r="CG162" s="177"/>
      <c r="CH162" s="176"/>
      <c r="CI162" s="176"/>
      <c r="CJ162" s="175"/>
      <c r="CK162" s="67" t="s">
        <v>3027</v>
      </c>
      <c r="CL162" s="175" t="s">
        <v>929</v>
      </c>
      <c r="CM162" s="175" t="s">
        <v>3442</v>
      </c>
      <c r="CN162" s="175" t="s">
        <v>3970</v>
      </c>
      <c r="CO162" s="175"/>
      <c r="CP162" s="67" t="s">
        <v>4177</v>
      </c>
      <c r="CQ162" s="175" t="s">
        <v>2867</v>
      </c>
      <c r="CR162" s="175" t="s">
        <v>3960</v>
      </c>
      <c r="CS162" s="67"/>
      <c r="CT162" s="175" t="s">
        <v>2867</v>
      </c>
      <c r="CU162" s="175"/>
      <c r="CV162" s="181" t="s">
        <v>2879</v>
      </c>
      <c r="CW162" s="67"/>
      <c r="CX162" s="182"/>
      <c r="CY162" s="175" t="s">
        <v>2880</v>
      </c>
      <c r="CZ162" s="175"/>
      <c r="DA162" s="175" t="s">
        <v>3972</v>
      </c>
      <c r="DB162" s="175" t="s">
        <v>3972</v>
      </c>
      <c r="DC162" s="175" t="s">
        <v>4178</v>
      </c>
      <c r="DD162" s="175"/>
      <c r="DE162" s="176">
        <v>46174</v>
      </c>
      <c r="DF162" s="175"/>
      <c r="DG162" s="182"/>
      <c r="DH162" s="183">
        <v>909100</v>
      </c>
      <c r="DI162" s="67"/>
      <c r="DJ162" s="67"/>
      <c r="DK162" s="67"/>
      <c r="DL162" s="67"/>
      <c r="DM162" s="67"/>
      <c r="DN162" s="183">
        <v>0</v>
      </c>
      <c r="DO162" s="183">
        <v>0</v>
      </c>
      <c r="DP162" s="67" t="s">
        <v>2867</v>
      </c>
      <c r="DQ162" s="175"/>
      <c r="DR162" s="175"/>
      <c r="DS162" s="175" t="s">
        <v>2882</v>
      </c>
      <c r="DT162" s="175"/>
      <c r="DU162" s="175"/>
      <c r="DV162" s="175" t="s">
        <v>2883</v>
      </c>
      <c r="DW162" s="175" t="s">
        <v>2884</v>
      </c>
      <c r="DX162" s="175" t="s">
        <v>2879</v>
      </c>
    </row>
    <row r="163" spans="1:128" ht="19.5" customHeight="1">
      <c r="A163" s="173" t="s">
        <v>3268</v>
      </c>
      <c r="B163" s="174" t="s">
        <v>4179</v>
      </c>
      <c r="C163" s="67"/>
      <c r="D163" s="67"/>
      <c r="E163" s="174" t="s">
        <v>4180</v>
      </c>
      <c r="F163" s="174" t="s">
        <v>2367</v>
      </c>
      <c r="G163" s="175" t="s">
        <v>4181</v>
      </c>
      <c r="H163" s="174" t="s">
        <v>2994</v>
      </c>
      <c r="I163" s="174" t="s">
        <v>2995</v>
      </c>
      <c r="J163" s="175" t="s">
        <v>2859</v>
      </c>
      <c r="K163" s="176">
        <v>46174</v>
      </c>
      <c r="L163" s="67" t="s">
        <v>2906</v>
      </c>
      <c r="M163" s="175" t="s">
        <v>2334</v>
      </c>
      <c r="N163" s="67" t="s">
        <v>2334</v>
      </c>
      <c r="O163" s="67" t="s">
        <v>2327</v>
      </c>
      <c r="P163" s="67" t="s">
        <v>2890</v>
      </c>
      <c r="Q163" s="67"/>
      <c r="R163" s="67"/>
      <c r="S163" s="67" t="s">
        <v>103</v>
      </c>
      <c r="T163" s="177" t="s">
        <v>2998</v>
      </c>
      <c r="U163" s="67" t="s">
        <v>1270</v>
      </c>
      <c r="V163" s="67"/>
      <c r="W163" s="175" t="s">
        <v>2865</v>
      </c>
      <c r="X163" s="67" t="s">
        <v>2461</v>
      </c>
      <c r="Y163" s="67" t="s">
        <v>2866</v>
      </c>
      <c r="Z163" s="67" t="s">
        <v>2462</v>
      </c>
      <c r="AA163" s="175" t="s">
        <v>2947</v>
      </c>
      <c r="AB163" s="175" t="s">
        <v>4182</v>
      </c>
      <c r="AC163" s="175" t="s">
        <v>4183</v>
      </c>
      <c r="AD163" s="175" t="s">
        <v>4184</v>
      </c>
      <c r="AE163" s="175" t="s">
        <v>4185</v>
      </c>
      <c r="AF163" s="176"/>
      <c r="AG163" s="176"/>
      <c r="AH163" s="176"/>
      <c r="AI163" s="67"/>
      <c r="AJ163" s="67"/>
      <c r="AK163" s="67" t="s">
        <v>2867</v>
      </c>
      <c r="AL163" s="67"/>
      <c r="AM163" s="176"/>
      <c r="AN163" s="176"/>
      <c r="AO163" s="67"/>
      <c r="AP163" s="67" t="s">
        <v>2867</v>
      </c>
      <c r="AQ163" s="67" t="s">
        <v>2868</v>
      </c>
      <c r="AR163" s="175"/>
      <c r="AS163" s="175" t="s">
        <v>2869</v>
      </c>
      <c r="AT163" s="175" t="s">
        <v>2867</v>
      </c>
      <c r="AU163" s="175"/>
      <c r="AV163" s="178">
        <v>0</v>
      </c>
      <c r="AW163" s="67"/>
      <c r="AX163" s="175" t="s">
        <v>2867</v>
      </c>
      <c r="AY163" s="175" t="s">
        <v>2870</v>
      </c>
      <c r="AZ163" s="175" t="s">
        <v>2871</v>
      </c>
      <c r="BA163" s="175"/>
      <c r="BB163" s="175"/>
      <c r="BC163" s="175" t="s">
        <v>2859</v>
      </c>
      <c r="BD163" s="175" t="s">
        <v>2872</v>
      </c>
      <c r="BE163" s="175" t="s">
        <v>2873</v>
      </c>
      <c r="BF163" s="175" t="s">
        <v>2867</v>
      </c>
      <c r="BG163" s="67"/>
      <c r="BH163" s="179"/>
      <c r="BI163" s="175" t="s">
        <v>2867</v>
      </c>
      <c r="BJ163" s="175"/>
      <c r="BK163" s="175" t="s">
        <v>2867</v>
      </c>
      <c r="BL163" s="175"/>
      <c r="BM163" s="175" t="s">
        <v>4153</v>
      </c>
      <c r="BN163" s="175" t="s">
        <v>4154</v>
      </c>
      <c r="BO163" s="180"/>
      <c r="BP163" s="67" t="s">
        <v>2867</v>
      </c>
      <c r="BQ163" s="175" t="s">
        <v>2523</v>
      </c>
      <c r="BR163" s="177" t="s">
        <v>2332</v>
      </c>
      <c r="BS163" s="177"/>
      <c r="BT163" s="67" t="s">
        <v>2867</v>
      </c>
      <c r="BU163" s="175"/>
      <c r="BV163" s="176"/>
      <c r="BW163" s="67" t="s">
        <v>2878</v>
      </c>
      <c r="BX163" s="175" t="s">
        <v>4186</v>
      </c>
      <c r="BY163" s="175" t="s">
        <v>1996</v>
      </c>
      <c r="BZ163" s="177"/>
      <c r="CA163" s="175"/>
      <c r="CB163" s="175"/>
      <c r="CC163" s="177"/>
      <c r="CD163" s="177"/>
      <c r="CE163" s="67"/>
      <c r="CF163" s="67"/>
      <c r="CG163" s="177"/>
      <c r="CH163" s="176"/>
      <c r="CI163" s="176"/>
      <c r="CJ163" s="175"/>
      <c r="CK163" s="67" t="s">
        <v>3027</v>
      </c>
      <c r="CL163" s="175" t="s">
        <v>929</v>
      </c>
      <c r="CM163" s="175" t="s">
        <v>3418</v>
      </c>
      <c r="CN163" s="175" t="s">
        <v>3970</v>
      </c>
      <c r="CO163" s="175"/>
      <c r="CP163" s="67" t="s">
        <v>4177</v>
      </c>
      <c r="CQ163" s="175" t="s">
        <v>2867</v>
      </c>
      <c r="CR163" s="175" t="s">
        <v>3960</v>
      </c>
      <c r="CS163" s="67"/>
      <c r="CT163" s="175" t="s">
        <v>2867</v>
      </c>
      <c r="CU163" s="175"/>
      <c r="CV163" s="181" t="s">
        <v>2879</v>
      </c>
      <c r="CW163" s="67"/>
      <c r="CX163" s="182"/>
      <c r="CY163" s="175" t="s">
        <v>2880</v>
      </c>
      <c r="CZ163" s="175"/>
      <c r="DA163" s="175" t="s">
        <v>3972</v>
      </c>
      <c r="DB163" s="175" t="s">
        <v>3972</v>
      </c>
      <c r="DC163" s="175" t="s">
        <v>4178</v>
      </c>
      <c r="DD163" s="175"/>
      <c r="DE163" s="176">
        <v>46174</v>
      </c>
      <c r="DF163" s="175"/>
      <c r="DG163" s="182"/>
      <c r="DH163" s="183">
        <v>909100</v>
      </c>
      <c r="DI163" s="67"/>
      <c r="DJ163" s="67"/>
      <c r="DK163" s="67"/>
      <c r="DL163" s="67"/>
      <c r="DM163" s="67"/>
      <c r="DN163" s="183">
        <v>0</v>
      </c>
      <c r="DO163" s="183">
        <v>0</v>
      </c>
      <c r="DP163" s="67" t="s">
        <v>2867</v>
      </c>
      <c r="DQ163" s="175"/>
      <c r="DR163" s="175"/>
      <c r="DS163" s="175" t="s">
        <v>2882</v>
      </c>
      <c r="DT163" s="175"/>
      <c r="DU163" s="175"/>
      <c r="DV163" s="175" t="s">
        <v>2883</v>
      </c>
      <c r="DW163" s="175" t="s">
        <v>2884</v>
      </c>
      <c r="DX163" s="175" t="s">
        <v>2879</v>
      </c>
    </row>
    <row r="164" spans="1:128" ht="19.5" customHeight="1">
      <c r="A164" s="173"/>
      <c r="B164" s="174" t="s">
        <v>4187</v>
      </c>
      <c r="C164" s="67"/>
      <c r="D164" s="67"/>
      <c r="E164" s="174" t="s">
        <v>4188</v>
      </c>
      <c r="F164" s="174" t="s">
        <v>2368</v>
      </c>
      <c r="G164" s="175" t="s">
        <v>4189</v>
      </c>
      <c r="H164" s="174" t="s">
        <v>2994</v>
      </c>
      <c r="I164" s="174" t="s">
        <v>2995</v>
      </c>
      <c r="J164" s="175" t="s">
        <v>2859</v>
      </c>
      <c r="K164" s="176">
        <v>46174</v>
      </c>
      <c r="L164" s="67" t="s">
        <v>2889</v>
      </c>
      <c r="M164" s="175" t="s">
        <v>2334</v>
      </c>
      <c r="N164" s="67" t="s">
        <v>2334</v>
      </c>
      <c r="O164" s="67" t="s">
        <v>2327</v>
      </c>
      <c r="P164" s="67" t="s">
        <v>2890</v>
      </c>
      <c r="Q164" s="67"/>
      <c r="R164" s="67"/>
      <c r="S164" s="67" t="s">
        <v>103</v>
      </c>
      <c r="T164" s="177" t="s">
        <v>2998</v>
      </c>
      <c r="U164" s="67" t="s">
        <v>1270</v>
      </c>
      <c r="V164" s="67"/>
      <c r="W164" s="175" t="s">
        <v>2865</v>
      </c>
      <c r="X164" s="67" t="s">
        <v>2463</v>
      </c>
      <c r="Y164" s="67" t="s">
        <v>2866</v>
      </c>
      <c r="Z164" s="67" t="s">
        <v>2464</v>
      </c>
      <c r="AA164" s="175" t="s">
        <v>2947</v>
      </c>
      <c r="AB164" s="175" t="s">
        <v>3477</v>
      </c>
      <c r="AC164" s="175" t="s">
        <v>3478</v>
      </c>
      <c r="AD164" s="175" t="s">
        <v>3479</v>
      </c>
      <c r="AE164" s="175" t="s">
        <v>3480</v>
      </c>
      <c r="AF164" s="176"/>
      <c r="AG164" s="176"/>
      <c r="AH164" s="176"/>
      <c r="AI164" s="67"/>
      <c r="AJ164" s="67"/>
      <c r="AK164" s="67" t="s">
        <v>2867</v>
      </c>
      <c r="AL164" s="67"/>
      <c r="AM164" s="176"/>
      <c r="AN164" s="176"/>
      <c r="AO164" s="67"/>
      <c r="AP164" s="67" t="s">
        <v>2867</v>
      </c>
      <c r="AQ164" s="67" t="s">
        <v>2868</v>
      </c>
      <c r="AR164" s="175"/>
      <c r="AS164" s="175" t="s">
        <v>2869</v>
      </c>
      <c r="AT164" s="175" t="s">
        <v>2867</v>
      </c>
      <c r="AU164" s="175"/>
      <c r="AV164" s="178">
        <v>0</v>
      </c>
      <c r="AW164" s="67"/>
      <c r="AX164" s="175" t="s">
        <v>2867</v>
      </c>
      <c r="AY164" s="175" t="s">
        <v>2870</v>
      </c>
      <c r="AZ164" s="175" t="s">
        <v>2871</v>
      </c>
      <c r="BA164" s="175"/>
      <c r="BB164" s="175"/>
      <c r="BC164" s="175" t="s">
        <v>2859</v>
      </c>
      <c r="BD164" s="175" t="s">
        <v>2872</v>
      </c>
      <c r="BE164" s="175" t="s">
        <v>2873</v>
      </c>
      <c r="BF164" s="175" t="s">
        <v>2867</v>
      </c>
      <c r="BG164" s="67"/>
      <c r="BH164" s="179"/>
      <c r="BI164" s="175" t="s">
        <v>2867</v>
      </c>
      <c r="BJ164" s="175"/>
      <c r="BK164" s="175" t="s">
        <v>2867</v>
      </c>
      <c r="BL164" s="175"/>
      <c r="BM164" s="175" t="s">
        <v>4153</v>
      </c>
      <c r="BN164" s="175" t="s">
        <v>4154</v>
      </c>
      <c r="BO164" s="180"/>
      <c r="BP164" s="67" t="s">
        <v>2867</v>
      </c>
      <c r="BQ164" s="175" t="s">
        <v>2523</v>
      </c>
      <c r="BR164" s="177" t="s">
        <v>2332</v>
      </c>
      <c r="BS164" s="177"/>
      <c r="BT164" s="67" t="s">
        <v>2867</v>
      </c>
      <c r="BU164" s="175"/>
      <c r="BV164" s="176"/>
      <c r="BW164" s="67" t="s">
        <v>2878</v>
      </c>
      <c r="BX164" s="175" t="s">
        <v>4190</v>
      </c>
      <c r="BY164" s="175" t="s">
        <v>1996</v>
      </c>
      <c r="BZ164" s="177"/>
      <c r="CA164" s="175"/>
      <c r="CB164" s="175"/>
      <c r="CC164" s="177"/>
      <c r="CD164" s="177"/>
      <c r="CE164" s="67"/>
      <c r="CF164" s="67"/>
      <c r="CG164" s="177"/>
      <c r="CH164" s="176"/>
      <c r="CI164" s="176"/>
      <c r="CJ164" s="175"/>
      <c r="CK164" s="67" t="s">
        <v>2867</v>
      </c>
      <c r="CL164" s="175"/>
      <c r="CM164" s="175"/>
      <c r="CN164" s="175"/>
      <c r="CO164" s="175"/>
      <c r="CP164" s="67" t="s">
        <v>2523</v>
      </c>
      <c r="CQ164" s="175" t="s">
        <v>2867</v>
      </c>
      <c r="CR164" s="175"/>
      <c r="CS164" s="67"/>
      <c r="CT164" s="175" t="s">
        <v>2867</v>
      </c>
      <c r="CU164" s="175"/>
      <c r="CV164" s="181" t="s">
        <v>2879</v>
      </c>
      <c r="CW164" s="67"/>
      <c r="CX164" s="182"/>
      <c r="CY164" s="175" t="s">
        <v>2880</v>
      </c>
      <c r="CZ164" s="175"/>
      <c r="DA164" s="175" t="s">
        <v>3972</v>
      </c>
      <c r="DB164" s="175" t="s">
        <v>3972</v>
      </c>
      <c r="DC164" s="175" t="s">
        <v>4191</v>
      </c>
      <c r="DD164" s="175"/>
      <c r="DE164" s="176">
        <v>46174</v>
      </c>
      <c r="DF164" s="175"/>
      <c r="DG164" s="182"/>
      <c r="DH164" s="183">
        <v>909100</v>
      </c>
      <c r="DI164" s="67"/>
      <c r="DJ164" s="67"/>
      <c r="DK164" s="67"/>
      <c r="DL164" s="67"/>
      <c r="DM164" s="67"/>
      <c r="DN164" s="183">
        <v>0</v>
      </c>
      <c r="DO164" s="183">
        <v>0</v>
      </c>
      <c r="DP164" s="67" t="s">
        <v>2867</v>
      </c>
      <c r="DQ164" s="175"/>
      <c r="DR164" s="175"/>
      <c r="DS164" s="175" t="s">
        <v>2882</v>
      </c>
      <c r="DT164" s="175"/>
      <c r="DU164" s="175"/>
      <c r="DV164" s="175" t="s">
        <v>2883</v>
      </c>
      <c r="DW164" s="175" t="s">
        <v>2884</v>
      </c>
      <c r="DX164" s="175" t="s">
        <v>2879</v>
      </c>
    </row>
    <row r="165" spans="1:128" ht="19.5" customHeight="1">
      <c r="A165" s="173"/>
      <c r="B165" s="174" t="s">
        <v>4192</v>
      </c>
      <c r="C165" s="67"/>
      <c r="D165" s="67"/>
      <c r="E165" s="174" t="s">
        <v>4193</v>
      </c>
      <c r="F165" s="174" t="s">
        <v>2369</v>
      </c>
      <c r="G165" s="175" t="s">
        <v>4194</v>
      </c>
      <c r="H165" s="174" t="s">
        <v>2994</v>
      </c>
      <c r="I165" s="174" t="s">
        <v>2995</v>
      </c>
      <c r="J165" s="175" t="s">
        <v>2859</v>
      </c>
      <c r="K165" s="176">
        <v>46174</v>
      </c>
      <c r="L165" s="67" t="s">
        <v>2932</v>
      </c>
      <c r="M165" s="175" t="s">
        <v>2370</v>
      </c>
      <c r="N165" s="67" t="s">
        <v>2370</v>
      </c>
      <c r="O165" s="67" t="s">
        <v>2330</v>
      </c>
      <c r="P165" s="67" t="s">
        <v>2985</v>
      </c>
      <c r="Q165" s="67"/>
      <c r="R165" s="67"/>
      <c r="S165" s="67" t="s">
        <v>954</v>
      </c>
      <c r="T165" s="177" t="s">
        <v>3124</v>
      </c>
      <c r="U165" s="67" t="s">
        <v>3125</v>
      </c>
      <c r="V165" s="67"/>
      <c r="W165" s="175" t="s">
        <v>2865</v>
      </c>
      <c r="X165" s="67" t="s">
        <v>2465</v>
      </c>
      <c r="Y165" s="67" t="s">
        <v>2866</v>
      </c>
      <c r="Z165" s="67" t="s">
        <v>2466</v>
      </c>
      <c r="AA165" s="175" t="s">
        <v>2947</v>
      </c>
      <c r="AB165" s="175" t="s">
        <v>4195</v>
      </c>
      <c r="AC165" s="175" t="s">
        <v>4196</v>
      </c>
      <c r="AD165" s="175" t="s">
        <v>4197</v>
      </c>
      <c r="AE165" s="175" t="s">
        <v>4198</v>
      </c>
      <c r="AF165" s="176"/>
      <c r="AG165" s="176"/>
      <c r="AH165" s="176"/>
      <c r="AI165" s="67"/>
      <c r="AJ165" s="67"/>
      <c r="AK165" s="67" t="s">
        <v>2867</v>
      </c>
      <c r="AL165" s="67"/>
      <c r="AM165" s="176"/>
      <c r="AN165" s="176"/>
      <c r="AO165" s="67"/>
      <c r="AP165" s="67" t="s">
        <v>2867</v>
      </c>
      <c r="AQ165" s="67" t="s">
        <v>2868</v>
      </c>
      <c r="AR165" s="175"/>
      <c r="AS165" s="175" t="s">
        <v>2869</v>
      </c>
      <c r="AT165" s="175" t="s">
        <v>2867</v>
      </c>
      <c r="AU165" s="175"/>
      <c r="AV165" s="178">
        <v>0</v>
      </c>
      <c r="AW165" s="67"/>
      <c r="AX165" s="175" t="s">
        <v>2867</v>
      </c>
      <c r="AY165" s="175" t="s">
        <v>2870</v>
      </c>
      <c r="AZ165" s="175" t="s">
        <v>2871</v>
      </c>
      <c r="BA165" s="175"/>
      <c r="BB165" s="175"/>
      <c r="BC165" s="175" t="s">
        <v>2859</v>
      </c>
      <c r="BD165" s="175" t="s">
        <v>2872</v>
      </c>
      <c r="BE165" s="175" t="s">
        <v>2873</v>
      </c>
      <c r="BF165" s="175" t="s">
        <v>2867</v>
      </c>
      <c r="BG165" s="67"/>
      <c r="BH165" s="179"/>
      <c r="BI165" s="175" t="s">
        <v>2867</v>
      </c>
      <c r="BJ165" s="175"/>
      <c r="BK165" s="175" t="s">
        <v>2867</v>
      </c>
      <c r="BL165" s="175"/>
      <c r="BM165" s="175" t="s">
        <v>3734</v>
      </c>
      <c r="BN165" s="175" t="s">
        <v>3735</v>
      </c>
      <c r="BO165" s="180"/>
      <c r="BP165" s="67" t="s">
        <v>2867</v>
      </c>
      <c r="BQ165" s="175" t="s">
        <v>2523</v>
      </c>
      <c r="BR165" s="177" t="s">
        <v>2332</v>
      </c>
      <c r="BS165" s="177"/>
      <c r="BT165" s="67" t="s">
        <v>2867</v>
      </c>
      <c r="BU165" s="175"/>
      <c r="BV165" s="176"/>
      <c r="BW165" s="67" t="s">
        <v>2878</v>
      </c>
      <c r="BX165" s="175" t="s">
        <v>4199</v>
      </c>
      <c r="BY165" s="175" t="s">
        <v>2003</v>
      </c>
      <c r="BZ165" s="177"/>
      <c r="CA165" s="175"/>
      <c r="CB165" s="175"/>
      <c r="CC165" s="177"/>
      <c r="CD165" s="177"/>
      <c r="CE165" s="67"/>
      <c r="CF165" s="67"/>
      <c r="CG165" s="177"/>
      <c r="CH165" s="176"/>
      <c r="CI165" s="176"/>
      <c r="CJ165" s="175"/>
      <c r="CK165" s="67" t="s">
        <v>2867</v>
      </c>
      <c r="CL165" s="175"/>
      <c r="CM165" s="175"/>
      <c r="CN165" s="175"/>
      <c r="CO165" s="175"/>
      <c r="CP165" s="67" t="s">
        <v>2523</v>
      </c>
      <c r="CQ165" s="175" t="s">
        <v>2867</v>
      </c>
      <c r="CR165" s="175"/>
      <c r="CS165" s="67" t="s">
        <v>1811</v>
      </c>
      <c r="CT165" s="175" t="s">
        <v>3027</v>
      </c>
      <c r="CU165" s="175"/>
      <c r="CV165" s="181" t="s">
        <v>2879</v>
      </c>
      <c r="CW165" s="67"/>
      <c r="CX165" s="182"/>
      <c r="CY165" s="175" t="s">
        <v>2880</v>
      </c>
      <c r="CZ165" s="175"/>
      <c r="DA165" s="175" t="s">
        <v>3972</v>
      </c>
      <c r="DB165" s="175" t="s">
        <v>3972</v>
      </c>
      <c r="DC165" s="175" t="s">
        <v>4200</v>
      </c>
      <c r="DD165" s="175"/>
      <c r="DE165" s="176">
        <v>46174</v>
      </c>
      <c r="DF165" s="175"/>
      <c r="DG165" s="182"/>
      <c r="DH165" s="183">
        <v>911700</v>
      </c>
      <c r="DI165" s="67"/>
      <c r="DJ165" s="67"/>
      <c r="DK165" s="67"/>
      <c r="DL165" s="67"/>
      <c r="DM165" s="67"/>
      <c r="DN165" s="183">
        <v>0</v>
      </c>
      <c r="DO165" s="183">
        <v>0</v>
      </c>
      <c r="DP165" s="67" t="s">
        <v>2867</v>
      </c>
      <c r="DQ165" s="175"/>
      <c r="DR165" s="175"/>
      <c r="DS165" s="175" t="s">
        <v>2882</v>
      </c>
      <c r="DT165" s="175"/>
      <c r="DU165" s="175"/>
      <c r="DV165" s="175" t="s">
        <v>2883</v>
      </c>
      <c r="DW165" s="175" t="s">
        <v>2884</v>
      </c>
      <c r="DX165" s="175" t="s">
        <v>2879</v>
      </c>
    </row>
    <row r="166" spans="1:128" ht="19.5" customHeight="1">
      <c r="A166" s="173"/>
      <c r="B166" s="174" t="s">
        <v>4201</v>
      </c>
      <c r="C166" s="67"/>
      <c r="D166" s="67"/>
      <c r="E166" s="174" t="s">
        <v>4202</v>
      </c>
      <c r="F166" s="174" t="s">
        <v>2371</v>
      </c>
      <c r="G166" s="175" t="s">
        <v>4203</v>
      </c>
      <c r="H166" s="174" t="s">
        <v>2994</v>
      </c>
      <c r="I166" s="174" t="s">
        <v>2995</v>
      </c>
      <c r="J166" s="175" t="s">
        <v>2859</v>
      </c>
      <c r="K166" s="176">
        <v>46174</v>
      </c>
      <c r="L166" s="67" t="s">
        <v>2889</v>
      </c>
      <c r="M166" s="175" t="s">
        <v>2370</v>
      </c>
      <c r="N166" s="67" t="s">
        <v>2370</v>
      </c>
      <c r="O166" s="67" t="s">
        <v>2330</v>
      </c>
      <c r="P166" s="67" t="s">
        <v>2985</v>
      </c>
      <c r="Q166" s="67"/>
      <c r="R166" s="67"/>
      <c r="S166" s="67" t="s">
        <v>954</v>
      </c>
      <c r="T166" s="177" t="s">
        <v>3124</v>
      </c>
      <c r="U166" s="67" t="s">
        <v>3125</v>
      </c>
      <c r="V166" s="67"/>
      <c r="W166" s="175" t="s">
        <v>2865</v>
      </c>
      <c r="X166" s="67" t="s">
        <v>2467</v>
      </c>
      <c r="Y166" s="67" t="s">
        <v>2866</v>
      </c>
      <c r="Z166" s="67" t="s">
        <v>2468</v>
      </c>
      <c r="AA166" s="175" t="s">
        <v>2947</v>
      </c>
      <c r="AB166" s="175" t="s">
        <v>3730</v>
      </c>
      <c r="AC166" s="175" t="s">
        <v>3731</v>
      </c>
      <c r="AD166" s="175" t="s">
        <v>3732</v>
      </c>
      <c r="AE166" s="175" t="s">
        <v>3733</v>
      </c>
      <c r="AF166" s="176"/>
      <c r="AG166" s="176"/>
      <c r="AH166" s="176"/>
      <c r="AI166" s="67"/>
      <c r="AJ166" s="67"/>
      <c r="AK166" s="67" t="s">
        <v>2867</v>
      </c>
      <c r="AL166" s="67"/>
      <c r="AM166" s="176"/>
      <c r="AN166" s="176"/>
      <c r="AO166" s="67"/>
      <c r="AP166" s="67" t="s">
        <v>2867</v>
      </c>
      <c r="AQ166" s="67" t="s">
        <v>2868</v>
      </c>
      <c r="AR166" s="175"/>
      <c r="AS166" s="175" t="s">
        <v>2869</v>
      </c>
      <c r="AT166" s="175" t="s">
        <v>2867</v>
      </c>
      <c r="AU166" s="175"/>
      <c r="AV166" s="178">
        <v>0</v>
      </c>
      <c r="AW166" s="67"/>
      <c r="AX166" s="175" t="s">
        <v>2867</v>
      </c>
      <c r="AY166" s="175" t="s">
        <v>2870</v>
      </c>
      <c r="AZ166" s="175" t="s">
        <v>2871</v>
      </c>
      <c r="BA166" s="175"/>
      <c r="BB166" s="175"/>
      <c r="BC166" s="175" t="s">
        <v>2859</v>
      </c>
      <c r="BD166" s="175" t="s">
        <v>2872</v>
      </c>
      <c r="BE166" s="175" t="s">
        <v>2873</v>
      </c>
      <c r="BF166" s="175" t="s">
        <v>2867</v>
      </c>
      <c r="BG166" s="67"/>
      <c r="BH166" s="179"/>
      <c r="BI166" s="175" t="s">
        <v>2867</v>
      </c>
      <c r="BJ166" s="175"/>
      <c r="BK166" s="175" t="s">
        <v>2867</v>
      </c>
      <c r="BL166" s="175"/>
      <c r="BM166" s="175" t="s">
        <v>3155</v>
      </c>
      <c r="BN166" s="175" t="s">
        <v>3156</v>
      </c>
      <c r="BO166" s="180"/>
      <c r="BP166" s="67" t="s">
        <v>2867</v>
      </c>
      <c r="BQ166" s="175" t="s">
        <v>1477</v>
      </c>
      <c r="BR166" s="177" t="s">
        <v>144</v>
      </c>
      <c r="BS166" s="177"/>
      <c r="BT166" s="67" t="s">
        <v>2867</v>
      </c>
      <c r="BU166" s="175"/>
      <c r="BV166" s="176"/>
      <c r="BW166" s="67" t="s">
        <v>2878</v>
      </c>
      <c r="BX166" s="175" t="s">
        <v>4204</v>
      </c>
      <c r="BY166" s="175" t="s">
        <v>2003</v>
      </c>
      <c r="BZ166" s="177"/>
      <c r="CA166" s="175"/>
      <c r="CB166" s="175"/>
      <c r="CC166" s="177"/>
      <c r="CD166" s="177"/>
      <c r="CE166" s="67"/>
      <c r="CF166" s="67"/>
      <c r="CG166" s="177"/>
      <c r="CH166" s="176"/>
      <c r="CI166" s="176"/>
      <c r="CJ166" s="175"/>
      <c r="CK166" s="67" t="s">
        <v>2867</v>
      </c>
      <c r="CL166" s="175"/>
      <c r="CM166" s="175"/>
      <c r="CN166" s="175"/>
      <c r="CO166" s="175"/>
      <c r="CP166" s="67" t="s">
        <v>1811</v>
      </c>
      <c r="CQ166" s="175" t="s">
        <v>3027</v>
      </c>
      <c r="CR166" s="175"/>
      <c r="CS166" s="67"/>
      <c r="CT166" s="175" t="s">
        <v>2867</v>
      </c>
      <c r="CU166" s="175"/>
      <c r="CV166" s="181" t="s">
        <v>2879</v>
      </c>
      <c r="CW166" s="67"/>
      <c r="CX166" s="182"/>
      <c r="CY166" s="175" t="s">
        <v>2880</v>
      </c>
      <c r="CZ166" s="175"/>
      <c r="DA166" s="175" t="s">
        <v>3972</v>
      </c>
      <c r="DB166" s="175" t="s">
        <v>3972</v>
      </c>
      <c r="DC166" s="175" t="s">
        <v>3973</v>
      </c>
      <c r="DD166" s="175"/>
      <c r="DE166" s="176">
        <v>46174</v>
      </c>
      <c r="DF166" s="175"/>
      <c r="DG166" s="182"/>
      <c r="DH166" s="183">
        <v>1002200</v>
      </c>
      <c r="DI166" s="67"/>
      <c r="DJ166" s="67"/>
      <c r="DK166" s="67"/>
      <c r="DL166" s="67"/>
      <c r="DM166" s="67"/>
      <c r="DN166" s="183">
        <v>0</v>
      </c>
      <c r="DO166" s="183">
        <v>0</v>
      </c>
      <c r="DP166" s="67" t="s">
        <v>2867</v>
      </c>
      <c r="DQ166" s="175"/>
      <c r="DR166" s="175"/>
      <c r="DS166" s="175" t="s">
        <v>2882</v>
      </c>
      <c r="DT166" s="175"/>
      <c r="DU166" s="175"/>
      <c r="DV166" s="175" t="s">
        <v>2883</v>
      </c>
      <c r="DW166" s="175" t="s">
        <v>2884</v>
      </c>
      <c r="DX166" s="175" t="s">
        <v>2879</v>
      </c>
    </row>
    <row r="167" spans="1:128" ht="19.5" customHeight="1">
      <c r="A167" s="173"/>
      <c r="B167" s="174" t="s">
        <v>4205</v>
      </c>
      <c r="C167" s="67"/>
      <c r="D167" s="67"/>
      <c r="E167" s="174" t="s">
        <v>4206</v>
      </c>
      <c r="F167" s="174" t="s">
        <v>2372</v>
      </c>
      <c r="G167" s="175" t="s">
        <v>4207</v>
      </c>
      <c r="H167" s="174" t="s">
        <v>2994</v>
      </c>
      <c r="I167" s="174" t="s">
        <v>2995</v>
      </c>
      <c r="J167" s="175" t="s">
        <v>2859</v>
      </c>
      <c r="K167" s="176">
        <v>46174</v>
      </c>
      <c r="L167" s="67" t="s">
        <v>2943</v>
      </c>
      <c r="M167" s="175" t="s">
        <v>2370</v>
      </c>
      <c r="N167" s="67" t="s">
        <v>2370</v>
      </c>
      <c r="O167" s="67" t="s">
        <v>2330</v>
      </c>
      <c r="P167" s="67" t="s">
        <v>2985</v>
      </c>
      <c r="Q167" s="67"/>
      <c r="R167" s="67"/>
      <c r="S167" s="67" t="s">
        <v>954</v>
      </c>
      <c r="T167" s="177" t="s">
        <v>3124</v>
      </c>
      <c r="U167" s="67" t="s">
        <v>3125</v>
      </c>
      <c r="V167" s="67"/>
      <c r="W167" s="175" t="s">
        <v>2865</v>
      </c>
      <c r="X167" s="67" t="s">
        <v>2469</v>
      </c>
      <c r="Y167" s="67" t="s">
        <v>2866</v>
      </c>
      <c r="Z167" s="67" t="s">
        <v>2470</v>
      </c>
      <c r="AA167" s="175" t="s">
        <v>2947</v>
      </c>
      <c r="AB167" s="175" t="s">
        <v>3622</v>
      </c>
      <c r="AC167" s="175" t="s">
        <v>3623</v>
      </c>
      <c r="AD167" s="175" t="s">
        <v>3624</v>
      </c>
      <c r="AE167" s="175" t="s">
        <v>3625</v>
      </c>
      <c r="AF167" s="176"/>
      <c r="AG167" s="176"/>
      <c r="AH167" s="176"/>
      <c r="AI167" s="67"/>
      <c r="AJ167" s="67"/>
      <c r="AK167" s="67" t="s">
        <v>2867</v>
      </c>
      <c r="AL167" s="67"/>
      <c r="AM167" s="176"/>
      <c r="AN167" s="176"/>
      <c r="AO167" s="67"/>
      <c r="AP167" s="67" t="s">
        <v>2867</v>
      </c>
      <c r="AQ167" s="67" t="s">
        <v>2868</v>
      </c>
      <c r="AR167" s="175"/>
      <c r="AS167" s="175" t="s">
        <v>2869</v>
      </c>
      <c r="AT167" s="175" t="s">
        <v>2867</v>
      </c>
      <c r="AU167" s="175"/>
      <c r="AV167" s="178">
        <v>0</v>
      </c>
      <c r="AW167" s="67"/>
      <c r="AX167" s="175" t="s">
        <v>2867</v>
      </c>
      <c r="AY167" s="175" t="s">
        <v>2870</v>
      </c>
      <c r="AZ167" s="175" t="s">
        <v>2871</v>
      </c>
      <c r="BA167" s="175"/>
      <c r="BB167" s="175"/>
      <c r="BC167" s="175" t="s">
        <v>2859</v>
      </c>
      <c r="BD167" s="175" t="s">
        <v>2872</v>
      </c>
      <c r="BE167" s="175" t="s">
        <v>2873</v>
      </c>
      <c r="BF167" s="175" t="s">
        <v>2867</v>
      </c>
      <c r="BG167" s="67"/>
      <c r="BH167" s="179"/>
      <c r="BI167" s="175" t="s">
        <v>2867</v>
      </c>
      <c r="BJ167" s="175"/>
      <c r="BK167" s="175" t="s">
        <v>2867</v>
      </c>
      <c r="BL167" s="175"/>
      <c r="BM167" s="175" t="s">
        <v>3155</v>
      </c>
      <c r="BN167" s="175" t="s">
        <v>3156</v>
      </c>
      <c r="BO167" s="180"/>
      <c r="BP167" s="67" t="s">
        <v>2867</v>
      </c>
      <c r="BQ167" s="175" t="s">
        <v>1477</v>
      </c>
      <c r="BR167" s="177" t="s">
        <v>144</v>
      </c>
      <c r="BS167" s="177"/>
      <c r="BT167" s="67" t="s">
        <v>2867</v>
      </c>
      <c r="BU167" s="175"/>
      <c r="BV167" s="176"/>
      <c r="BW167" s="67" t="s">
        <v>2878</v>
      </c>
      <c r="BX167" s="175" t="s">
        <v>4208</v>
      </c>
      <c r="BY167" s="175" t="s">
        <v>2003</v>
      </c>
      <c r="BZ167" s="177"/>
      <c r="CA167" s="175"/>
      <c r="CB167" s="175"/>
      <c r="CC167" s="177"/>
      <c r="CD167" s="177"/>
      <c r="CE167" s="67"/>
      <c r="CF167" s="67"/>
      <c r="CG167" s="177"/>
      <c r="CH167" s="176"/>
      <c r="CI167" s="176"/>
      <c r="CJ167" s="175"/>
      <c r="CK167" s="67" t="s">
        <v>2867</v>
      </c>
      <c r="CL167" s="175"/>
      <c r="CM167" s="175"/>
      <c r="CN167" s="175"/>
      <c r="CO167" s="175"/>
      <c r="CP167" s="67" t="s">
        <v>1811</v>
      </c>
      <c r="CQ167" s="175" t="s">
        <v>3027</v>
      </c>
      <c r="CR167" s="175"/>
      <c r="CS167" s="67" t="s">
        <v>1811</v>
      </c>
      <c r="CT167" s="175" t="s">
        <v>3027</v>
      </c>
      <c r="CU167" s="175"/>
      <c r="CV167" s="181" t="s">
        <v>2879</v>
      </c>
      <c r="CW167" s="67"/>
      <c r="CX167" s="182"/>
      <c r="CY167" s="175" t="s">
        <v>2880</v>
      </c>
      <c r="CZ167" s="175"/>
      <c r="DA167" s="175" t="s">
        <v>3972</v>
      </c>
      <c r="DB167" s="175" t="s">
        <v>3972</v>
      </c>
      <c r="DC167" s="175" t="s">
        <v>4209</v>
      </c>
      <c r="DD167" s="175"/>
      <c r="DE167" s="176">
        <v>46174</v>
      </c>
      <c r="DF167" s="175"/>
      <c r="DG167" s="182"/>
      <c r="DH167" s="183">
        <v>1002200</v>
      </c>
      <c r="DI167" s="67"/>
      <c r="DJ167" s="67"/>
      <c r="DK167" s="67"/>
      <c r="DL167" s="67"/>
      <c r="DM167" s="67"/>
      <c r="DN167" s="183">
        <v>0</v>
      </c>
      <c r="DO167" s="183">
        <v>0</v>
      </c>
      <c r="DP167" s="67" t="s">
        <v>2867</v>
      </c>
      <c r="DQ167" s="175"/>
      <c r="DR167" s="175"/>
      <c r="DS167" s="175" t="s">
        <v>2882</v>
      </c>
      <c r="DT167" s="175"/>
      <c r="DU167" s="175"/>
      <c r="DV167" s="175" t="s">
        <v>2883</v>
      </c>
      <c r="DW167" s="175" t="s">
        <v>2884</v>
      </c>
      <c r="DX167" s="175" t="s">
        <v>2879</v>
      </c>
    </row>
    <row r="168" spans="1:128" ht="19.5" customHeight="1">
      <c r="A168" s="173" t="s">
        <v>3268</v>
      </c>
      <c r="B168" s="174" t="s">
        <v>4210</v>
      </c>
      <c r="C168" s="67"/>
      <c r="D168" s="67"/>
      <c r="E168" s="174" t="s">
        <v>4211</v>
      </c>
      <c r="F168" s="174" t="s">
        <v>2373</v>
      </c>
      <c r="G168" s="175" t="s">
        <v>4212</v>
      </c>
      <c r="H168" s="174" t="s">
        <v>2994</v>
      </c>
      <c r="I168" s="174" t="s">
        <v>2995</v>
      </c>
      <c r="J168" s="175" t="s">
        <v>2859</v>
      </c>
      <c r="K168" s="176">
        <v>46174</v>
      </c>
      <c r="L168" s="67" t="s">
        <v>2927</v>
      </c>
      <c r="M168" s="175" t="s">
        <v>2338</v>
      </c>
      <c r="N168" s="67" t="s">
        <v>2338</v>
      </c>
      <c r="O168" s="67" t="s">
        <v>2328</v>
      </c>
      <c r="P168" s="67" t="s">
        <v>2862</v>
      </c>
      <c r="Q168" s="67"/>
      <c r="R168" s="67"/>
      <c r="S168" s="67" t="s">
        <v>110</v>
      </c>
      <c r="T168" s="177" t="s">
        <v>3124</v>
      </c>
      <c r="U168" s="67" t="s">
        <v>116</v>
      </c>
      <c r="V168" s="67"/>
      <c r="W168" s="175" t="s">
        <v>2865</v>
      </c>
      <c r="X168" s="67" t="s">
        <v>2471</v>
      </c>
      <c r="Y168" s="67" t="s">
        <v>2866</v>
      </c>
      <c r="Z168" s="67" t="s">
        <v>2472</v>
      </c>
      <c r="AA168" s="175" t="s">
        <v>2947</v>
      </c>
      <c r="AB168" s="175" t="s">
        <v>4213</v>
      </c>
      <c r="AC168" s="175" t="s">
        <v>4214</v>
      </c>
      <c r="AD168" s="175" t="s">
        <v>4215</v>
      </c>
      <c r="AE168" s="175" t="s">
        <v>4216</v>
      </c>
      <c r="AF168" s="176"/>
      <c r="AG168" s="176"/>
      <c r="AH168" s="176"/>
      <c r="AI168" s="67"/>
      <c r="AJ168" s="67"/>
      <c r="AK168" s="67" t="s">
        <v>2867</v>
      </c>
      <c r="AL168" s="67"/>
      <c r="AM168" s="176"/>
      <c r="AN168" s="176"/>
      <c r="AO168" s="67"/>
      <c r="AP168" s="67" t="s">
        <v>2867</v>
      </c>
      <c r="AQ168" s="67" t="s">
        <v>2868</v>
      </c>
      <c r="AR168" s="175"/>
      <c r="AS168" s="175" t="s">
        <v>2869</v>
      </c>
      <c r="AT168" s="175" t="s">
        <v>2867</v>
      </c>
      <c r="AU168" s="175"/>
      <c r="AV168" s="178">
        <v>0</v>
      </c>
      <c r="AW168" s="67"/>
      <c r="AX168" s="175" t="s">
        <v>2867</v>
      </c>
      <c r="AY168" s="175" t="s">
        <v>2870</v>
      </c>
      <c r="AZ168" s="175" t="s">
        <v>2871</v>
      </c>
      <c r="BA168" s="175"/>
      <c r="BB168" s="175"/>
      <c r="BC168" s="175" t="s">
        <v>2859</v>
      </c>
      <c r="BD168" s="175" t="s">
        <v>2872</v>
      </c>
      <c r="BE168" s="175" t="s">
        <v>2873</v>
      </c>
      <c r="BF168" s="175" t="s">
        <v>2867</v>
      </c>
      <c r="BG168" s="67"/>
      <c r="BH168" s="179"/>
      <c r="BI168" s="175" t="s">
        <v>2867</v>
      </c>
      <c r="BJ168" s="175"/>
      <c r="BK168" s="175" t="s">
        <v>2867</v>
      </c>
      <c r="BL168" s="175"/>
      <c r="BM168" s="175" t="s">
        <v>3155</v>
      </c>
      <c r="BN168" s="175" t="s">
        <v>3156</v>
      </c>
      <c r="BO168" s="180"/>
      <c r="BP168" s="67" t="s">
        <v>2867</v>
      </c>
      <c r="BQ168" s="175" t="s">
        <v>1477</v>
      </c>
      <c r="BR168" s="177" t="s">
        <v>144</v>
      </c>
      <c r="BS168" s="177"/>
      <c r="BT168" s="67" t="s">
        <v>2867</v>
      </c>
      <c r="BU168" s="175"/>
      <c r="BV168" s="176"/>
      <c r="BW168" s="67" t="s">
        <v>2878</v>
      </c>
      <c r="BX168" s="175" t="s">
        <v>4217</v>
      </c>
      <c r="BY168" s="175" t="s">
        <v>2003</v>
      </c>
      <c r="BZ168" s="177"/>
      <c r="CA168" s="175"/>
      <c r="CB168" s="175"/>
      <c r="CC168" s="177"/>
      <c r="CD168" s="177"/>
      <c r="CE168" s="67"/>
      <c r="CF168" s="67"/>
      <c r="CG168" s="177"/>
      <c r="CH168" s="176"/>
      <c r="CI168" s="176"/>
      <c r="CJ168" s="175"/>
      <c r="CK168" s="67" t="s">
        <v>3027</v>
      </c>
      <c r="CL168" s="175" t="s">
        <v>929</v>
      </c>
      <c r="CM168" s="175" t="s">
        <v>3418</v>
      </c>
      <c r="CN168" s="175" t="s">
        <v>3970</v>
      </c>
      <c r="CO168" s="175"/>
      <c r="CP168" s="67" t="s">
        <v>1805</v>
      </c>
      <c r="CQ168" s="175" t="s">
        <v>3027</v>
      </c>
      <c r="CR168" s="175" t="s">
        <v>4218</v>
      </c>
      <c r="CS168" s="67"/>
      <c r="CT168" s="175" t="s">
        <v>2867</v>
      </c>
      <c r="CU168" s="175"/>
      <c r="CV168" s="181" t="s">
        <v>2879</v>
      </c>
      <c r="CW168" s="67"/>
      <c r="CX168" s="182"/>
      <c r="CY168" s="175" t="s">
        <v>2880</v>
      </c>
      <c r="CZ168" s="175"/>
      <c r="DA168" s="175" t="s">
        <v>3972</v>
      </c>
      <c r="DB168" s="175" t="s">
        <v>3972</v>
      </c>
      <c r="DC168" s="175" t="s">
        <v>4219</v>
      </c>
      <c r="DD168" s="175"/>
      <c r="DE168" s="176">
        <v>46174</v>
      </c>
      <c r="DF168" s="175"/>
      <c r="DG168" s="182"/>
      <c r="DH168" s="183">
        <v>1002200</v>
      </c>
      <c r="DI168" s="67"/>
      <c r="DJ168" s="67"/>
      <c r="DK168" s="67"/>
      <c r="DL168" s="67"/>
      <c r="DM168" s="67"/>
      <c r="DN168" s="183">
        <v>0</v>
      </c>
      <c r="DO168" s="183">
        <v>0</v>
      </c>
      <c r="DP168" s="67" t="s">
        <v>2867</v>
      </c>
      <c r="DQ168" s="175"/>
      <c r="DR168" s="175"/>
      <c r="DS168" s="175" t="s">
        <v>2882</v>
      </c>
      <c r="DT168" s="175"/>
      <c r="DU168" s="175"/>
      <c r="DV168" s="175" t="s">
        <v>2883</v>
      </c>
      <c r="DW168" s="175" t="s">
        <v>2884</v>
      </c>
      <c r="DX168" s="175" t="s">
        <v>2879</v>
      </c>
    </row>
    <row r="169" spans="1:128" ht="19.5" customHeight="1">
      <c r="A169" s="173" t="s">
        <v>3268</v>
      </c>
      <c r="B169" s="174" t="s">
        <v>4220</v>
      </c>
      <c r="C169" s="67"/>
      <c r="D169" s="67"/>
      <c r="E169" s="174" t="s">
        <v>4221</v>
      </c>
      <c r="F169" s="174" t="s">
        <v>2374</v>
      </c>
      <c r="G169" s="175" t="s">
        <v>4222</v>
      </c>
      <c r="H169" s="174" t="s">
        <v>2994</v>
      </c>
      <c r="I169" s="174" t="s">
        <v>2995</v>
      </c>
      <c r="J169" s="175" t="s">
        <v>2859</v>
      </c>
      <c r="K169" s="176">
        <v>46174</v>
      </c>
      <c r="L169" s="67" t="s">
        <v>2921</v>
      </c>
      <c r="M169" s="175" t="s">
        <v>2338</v>
      </c>
      <c r="N169" s="67" t="s">
        <v>2338</v>
      </c>
      <c r="O169" s="67" t="s">
        <v>2328</v>
      </c>
      <c r="P169" s="67" t="s">
        <v>2862</v>
      </c>
      <c r="Q169" s="67"/>
      <c r="R169" s="67"/>
      <c r="S169" s="67" t="s">
        <v>110</v>
      </c>
      <c r="T169" s="177" t="s">
        <v>3124</v>
      </c>
      <c r="U169" s="67" t="s">
        <v>116</v>
      </c>
      <c r="V169" s="67"/>
      <c r="W169" s="175" t="s">
        <v>2865</v>
      </c>
      <c r="X169" s="67" t="s">
        <v>2473</v>
      </c>
      <c r="Y169" s="67" t="s">
        <v>2866</v>
      </c>
      <c r="Z169" s="67" t="s">
        <v>2474</v>
      </c>
      <c r="AA169" s="175" t="s">
        <v>2947</v>
      </c>
      <c r="AB169" s="175" t="s">
        <v>3321</v>
      </c>
      <c r="AC169" s="175" t="s">
        <v>3322</v>
      </c>
      <c r="AD169" s="175" t="s">
        <v>3323</v>
      </c>
      <c r="AE169" s="175" t="s">
        <v>3324</v>
      </c>
      <c r="AF169" s="176"/>
      <c r="AG169" s="176"/>
      <c r="AH169" s="176"/>
      <c r="AI169" s="67"/>
      <c r="AJ169" s="67"/>
      <c r="AK169" s="67" t="s">
        <v>2867</v>
      </c>
      <c r="AL169" s="67"/>
      <c r="AM169" s="176"/>
      <c r="AN169" s="176"/>
      <c r="AO169" s="67"/>
      <c r="AP169" s="67" t="s">
        <v>2867</v>
      </c>
      <c r="AQ169" s="67" t="s">
        <v>2868</v>
      </c>
      <c r="AR169" s="175"/>
      <c r="AS169" s="175" t="s">
        <v>2869</v>
      </c>
      <c r="AT169" s="175" t="s">
        <v>2867</v>
      </c>
      <c r="AU169" s="175"/>
      <c r="AV169" s="178">
        <v>0</v>
      </c>
      <c r="AW169" s="67"/>
      <c r="AX169" s="175" t="s">
        <v>2867</v>
      </c>
      <c r="AY169" s="175" t="s">
        <v>2870</v>
      </c>
      <c r="AZ169" s="175" t="s">
        <v>2871</v>
      </c>
      <c r="BA169" s="175"/>
      <c r="BB169" s="175"/>
      <c r="BC169" s="175" t="s">
        <v>2859</v>
      </c>
      <c r="BD169" s="175" t="s">
        <v>2872</v>
      </c>
      <c r="BE169" s="175" t="s">
        <v>2873</v>
      </c>
      <c r="BF169" s="175" t="s">
        <v>2867</v>
      </c>
      <c r="BG169" s="67"/>
      <c r="BH169" s="179"/>
      <c r="BI169" s="175" t="s">
        <v>2867</v>
      </c>
      <c r="BJ169" s="175"/>
      <c r="BK169" s="175" t="s">
        <v>2867</v>
      </c>
      <c r="BL169" s="175"/>
      <c r="BM169" s="175" t="s">
        <v>3155</v>
      </c>
      <c r="BN169" s="175" t="s">
        <v>3156</v>
      </c>
      <c r="BO169" s="180"/>
      <c r="BP169" s="67" t="s">
        <v>2867</v>
      </c>
      <c r="BQ169" s="175" t="s">
        <v>1477</v>
      </c>
      <c r="BR169" s="177" t="s">
        <v>144</v>
      </c>
      <c r="BS169" s="177"/>
      <c r="BT169" s="67" t="s">
        <v>2867</v>
      </c>
      <c r="BU169" s="175"/>
      <c r="BV169" s="176"/>
      <c r="BW169" s="67" t="s">
        <v>2878</v>
      </c>
      <c r="BX169" s="175" t="s">
        <v>4223</v>
      </c>
      <c r="BY169" s="175" t="s">
        <v>2003</v>
      </c>
      <c r="BZ169" s="177"/>
      <c r="CA169" s="175"/>
      <c r="CB169" s="175"/>
      <c r="CC169" s="177"/>
      <c r="CD169" s="177"/>
      <c r="CE169" s="67"/>
      <c r="CF169" s="67"/>
      <c r="CG169" s="177"/>
      <c r="CH169" s="176"/>
      <c r="CI169" s="176"/>
      <c r="CJ169" s="175"/>
      <c r="CK169" s="67" t="s">
        <v>3027</v>
      </c>
      <c r="CL169" s="175" t="s">
        <v>929</v>
      </c>
      <c r="CM169" s="175" t="s">
        <v>3442</v>
      </c>
      <c r="CN169" s="175" t="s">
        <v>3970</v>
      </c>
      <c r="CO169" s="175"/>
      <c r="CP169" s="67" t="s">
        <v>1809</v>
      </c>
      <c r="CQ169" s="175" t="s">
        <v>3027</v>
      </c>
      <c r="CR169" s="175" t="s">
        <v>4224</v>
      </c>
      <c r="CS169" s="67"/>
      <c r="CT169" s="175" t="s">
        <v>2867</v>
      </c>
      <c r="CU169" s="175"/>
      <c r="CV169" s="181" t="s">
        <v>2879</v>
      </c>
      <c r="CW169" s="67"/>
      <c r="CX169" s="182"/>
      <c r="CY169" s="175" t="s">
        <v>2880</v>
      </c>
      <c r="CZ169" s="175"/>
      <c r="DA169" s="175" t="s">
        <v>3972</v>
      </c>
      <c r="DB169" s="175" t="s">
        <v>3972</v>
      </c>
      <c r="DC169" s="175" t="s">
        <v>4144</v>
      </c>
      <c r="DD169" s="175"/>
      <c r="DE169" s="176">
        <v>46174</v>
      </c>
      <c r="DF169" s="175"/>
      <c r="DG169" s="182"/>
      <c r="DH169" s="183">
        <v>1002200</v>
      </c>
      <c r="DI169" s="67"/>
      <c r="DJ169" s="67"/>
      <c r="DK169" s="67"/>
      <c r="DL169" s="67"/>
      <c r="DM169" s="67"/>
      <c r="DN169" s="183">
        <v>0</v>
      </c>
      <c r="DO169" s="183">
        <v>0</v>
      </c>
      <c r="DP169" s="67" t="s">
        <v>2867</v>
      </c>
      <c r="DQ169" s="175"/>
      <c r="DR169" s="175"/>
      <c r="DS169" s="175" t="s">
        <v>2882</v>
      </c>
      <c r="DT169" s="175"/>
      <c r="DU169" s="175"/>
      <c r="DV169" s="175" t="s">
        <v>2883</v>
      </c>
      <c r="DW169" s="175" t="s">
        <v>2884</v>
      </c>
      <c r="DX169" s="175" t="s">
        <v>2879</v>
      </c>
    </row>
    <row r="170" spans="1:128" ht="19.5" customHeight="1">
      <c r="A170" s="173" t="s">
        <v>3268</v>
      </c>
      <c r="B170" s="174" t="s">
        <v>4225</v>
      </c>
      <c r="C170" s="67"/>
      <c r="D170" s="67"/>
      <c r="E170" s="174" t="s">
        <v>4226</v>
      </c>
      <c r="F170" s="174" t="s">
        <v>2375</v>
      </c>
      <c r="G170" s="175" t="s">
        <v>4227</v>
      </c>
      <c r="H170" s="174" t="s">
        <v>2994</v>
      </c>
      <c r="I170" s="174" t="s">
        <v>2995</v>
      </c>
      <c r="J170" s="175" t="s">
        <v>2859</v>
      </c>
      <c r="K170" s="176">
        <v>46174</v>
      </c>
      <c r="L170" s="67" t="s">
        <v>2969</v>
      </c>
      <c r="M170" s="175" t="s">
        <v>2336</v>
      </c>
      <c r="N170" s="67" t="s">
        <v>2336</v>
      </c>
      <c r="O170" s="67" t="s">
        <v>3161</v>
      </c>
      <c r="P170" s="67" t="s">
        <v>3162</v>
      </c>
      <c r="Q170" s="67"/>
      <c r="R170" s="67"/>
      <c r="S170" s="67" t="s">
        <v>101</v>
      </c>
      <c r="T170" s="177" t="s">
        <v>3124</v>
      </c>
      <c r="U170" s="67" t="s">
        <v>1277</v>
      </c>
      <c r="V170" s="67"/>
      <c r="W170" s="175" t="s">
        <v>2865</v>
      </c>
      <c r="X170" s="67" t="s">
        <v>2475</v>
      </c>
      <c r="Y170" s="67" t="s">
        <v>2866</v>
      </c>
      <c r="Z170" s="67" t="s">
        <v>2476</v>
      </c>
      <c r="AA170" s="175" t="s">
        <v>2947</v>
      </c>
      <c r="AB170" s="175" t="s">
        <v>4228</v>
      </c>
      <c r="AC170" s="175" t="s">
        <v>4229</v>
      </c>
      <c r="AD170" s="175" t="s">
        <v>4230</v>
      </c>
      <c r="AE170" s="175" t="s">
        <v>4231</v>
      </c>
      <c r="AF170" s="176"/>
      <c r="AG170" s="176"/>
      <c r="AH170" s="176"/>
      <c r="AI170" s="67"/>
      <c r="AJ170" s="67"/>
      <c r="AK170" s="67" t="s">
        <v>2867</v>
      </c>
      <c r="AL170" s="67"/>
      <c r="AM170" s="176"/>
      <c r="AN170" s="176"/>
      <c r="AO170" s="67"/>
      <c r="AP170" s="67" t="s">
        <v>2867</v>
      </c>
      <c r="AQ170" s="67" t="s">
        <v>2868</v>
      </c>
      <c r="AR170" s="175"/>
      <c r="AS170" s="175" t="s">
        <v>2869</v>
      </c>
      <c r="AT170" s="175" t="s">
        <v>2867</v>
      </c>
      <c r="AU170" s="175"/>
      <c r="AV170" s="178">
        <v>0</v>
      </c>
      <c r="AW170" s="67"/>
      <c r="AX170" s="175" t="s">
        <v>2867</v>
      </c>
      <c r="AY170" s="175" t="s">
        <v>2870</v>
      </c>
      <c r="AZ170" s="175" t="s">
        <v>2871</v>
      </c>
      <c r="BA170" s="175"/>
      <c r="BB170" s="175"/>
      <c r="BC170" s="175" t="s">
        <v>2859</v>
      </c>
      <c r="BD170" s="175" t="s">
        <v>2872</v>
      </c>
      <c r="BE170" s="175" t="s">
        <v>2873</v>
      </c>
      <c r="BF170" s="175" t="s">
        <v>2867</v>
      </c>
      <c r="BG170" s="67"/>
      <c r="BH170" s="179"/>
      <c r="BI170" s="175" t="s">
        <v>2867</v>
      </c>
      <c r="BJ170" s="175"/>
      <c r="BK170" s="175" t="s">
        <v>2867</v>
      </c>
      <c r="BL170" s="175"/>
      <c r="BM170" s="175" t="s">
        <v>3155</v>
      </c>
      <c r="BN170" s="175" t="s">
        <v>3156</v>
      </c>
      <c r="BO170" s="180"/>
      <c r="BP170" s="67" t="s">
        <v>2867</v>
      </c>
      <c r="BQ170" s="175" t="s">
        <v>1477</v>
      </c>
      <c r="BR170" s="177" t="s">
        <v>144</v>
      </c>
      <c r="BS170" s="177"/>
      <c r="BT170" s="67" t="s">
        <v>2867</v>
      </c>
      <c r="BU170" s="175"/>
      <c r="BV170" s="176"/>
      <c r="BW170" s="67" t="s">
        <v>2878</v>
      </c>
      <c r="BX170" s="175" t="s">
        <v>4232</v>
      </c>
      <c r="BY170" s="175" t="s">
        <v>2003</v>
      </c>
      <c r="BZ170" s="177"/>
      <c r="CA170" s="175"/>
      <c r="CB170" s="175"/>
      <c r="CC170" s="177"/>
      <c r="CD170" s="177"/>
      <c r="CE170" s="67"/>
      <c r="CF170" s="67"/>
      <c r="CG170" s="177"/>
      <c r="CH170" s="176"/>
      <c r="CI170" s="176"/>
      <c r="CJ170" s="175"/>
      <c r="CK170" s="67" t="s">
        <v>3027</v>
      </c>
      <c r="CL170" s="175" t="s">
        <v>929</v>
      </c>
      <c r="CM170" s="175" t="s">
        <v>3442</v>
      </c>
      <c r="CN170" s="175" t="s">
        <v>3970</v>
      </c>
      <c r="CO170" s="175"/>
      <c r="CP170" s="67" t="s">
        <v>1815</v>
      </c>
      <c r="CQ170" s="175" t="s">
        <v>3027</v>
      </c>
      <c r="CR170" s="175" t="s">
        <v>4233</v>
      </c>
      <c r="CS170" s="67"/>
      <c r="CT170" s="175" t="s">
        <v>2867</v>
      </c>
      <c r="CU170" s="175"/>
      <c r="CV170" s="181" t="s">
        <v>2879</v>
      </c>
      <c r="CW170" s="67"/>
      <c r="CX170" s="182"/>
      <c r="CY170" s="175" t="s">
        <v>2880</v>
      </c>
      <c r="CZ170" s="175"/>
      <c r="DA170" s="175" t="s">
        <v>3972</v>
      </c>
      <c r="DB170" s="175" t="s">
        <v>3972</v>
      </c>
      <c r="DC170" s="175" t="s">
        <v>4234</v>
      </c>
      <c r="DD170" s="175"/>
      <c r="DE170" s="176">
        <v>46174</v>
      </c>
      <c r="DF170" s="175"/>
      <c r="DG170" s="182"/>
      <c r="DH170" s="183">
        <v>1002200</v>
      </c>
      <c r="DI170" s="67"/>
      <c r="DJ170" s="67"/>
      <c r="DK170" s="67"/>
      <c r="DL170" s="67"/>
      <c r="DM170" s="67"/>
      <c r="DN170" s="183">
        <v>0</v>
      </c>
      <c r="DO170" s="183">
        <v>0</v>
      </c>
      <c r="DP170" s="67" t="s">
        <v>2867</v>
      </c>
      <c r="DQ170" s="175"/>
      <c r="DR170" s="175"/>
      <c r="DS170" s="175" t="s">
        <v>2882</v>
      </c>
      <c r="DT170" s="175"/>
      <c r="DU170" s="175"/>
      <c r="DV170" s="175" t="s">
        <v>2883</v>
      </c>
      <c r="DW170" s="175" t="s">
        <v>2884</v>
      </c>
      <c r="DX170" s="175" t="s">
        <v>2879</v>
      </c>
    </row>
    <row r="171" spans="1:128" ht="19.5" customHeight="1">
      <c r="A171" s="173"/>
      <c r="B171" s="174" t="s">
        <v>4235</v>
      </c>
      <c r="C171" s="67"/>
      <c r="D171" s="67"/>
      <c r="E171" s="174" t="s">
        <v>4236</v>
      </c>
      <c r="F171" s="174" t="s">
        <v>2376</v>
      </c>
      <c r="G171" s="175" t="s">
        <v>4237</v>
      </c>
      <c r="H171" s="174" t="s">
        <v>2994</v>
      </c>
      <c r="I171" s="174" t="s">
        <v>2995</v>
      </c>
      <c r="J171" s="175" t="s">
        <v>2859</v>
      </c>
      <c r="K171" s="176">
        <v>46174</v>
      </c>
      <c r="L171" s="67" t="s">
        <v>2943</v>
      </c>
      <c r="M171" s="175" t="s">
        <v>2377</v>
      </c>
      <c r="N171" s="67" t="s">
        <v>2377</v>
      </c>
      <c r="O171" s="67" t="s">
        <v>2331</v>
      </c>
      <c r="P171" s="67" t="s">
        <v>2331</v>
      </c>
      <c r="Q171" s="67"/>
      <c r="R171" s="67"/>
      <c r="S171" s="67" t="s">
        <v>958</v>
      </c>
      <c r="T171" s="177" t="s">
        <v>3124</v>
      </c>
      <c r="U171" s="67" t="s">
        <v>1257</v>
      </c>
      <c r="V171" s="67"/>
      <c r="W171" s="175" t="s">
        <v>2865</v>
      </c>
      <c r="X171" s="67" t="s">
        <v>2477</v>
      </c>
      <c r="Y171" s="67" t="s">
        <v>3169</v>
      </c>
      <c r="Z171" s="67" t="s">
        <v>2478</v>
      </c>
      <c r="AA171" s="175" t="s">
        <v>2947</v>
      </c>
      <c r="AB171" s="175" t="s">
        <v>4238</v>
      </c>
      <c r="AC171" s="175" t="s">
        <v>4239</v>
      </c>
      <c r="AD171" s="175" t="s">
        <v>4240</v>
      </c>
      <c r="AE171" s="175" t="s">
        <v>4241</v>
      </c>
      <c r="AF171" s="176"/>
      <c r="AG171" s="176"/>
      <c r="AH171" s="176"/>
      <c r="AI171" s="67"/>
      <c r="AJ171" s="67"/>
      <c r="AK171" s="67" t="s">
        <v>2867</v>
      </c>
      <c r="AL171" s="67"/>
      <c r="AM171" s="176"/>
      <c r="AN171" s="176"/>
      <c r="AO171" s="67"/>
      <c r="AP171" s="67" t="s">
        <v>2867</v>
      </c>
      <c r="AQ171" s="67" t="s">
        <v>2868</v>
      </c>
      <c r="AR171" s="175"/>
      <c r="AS171" s="175" t="s">
        <v>2869</v>
      </c>
      <c r="AT171" s="175" t="s">
        <v>2867</v>
      </c>
      <c r="AU171" s="175"/>
      <c r="AV171" s="178">
        <v>0</v>
      </c>
      <c r="AW171" s="67"/>
      <c r="AX171" s="175" t="s">
        <v>2867</v>
      </c>
      <c r="AY171" s="175" t="s">
        <v>2870</v>
      </c>
      <c r="AZ171" s="175" t="s">
        <v>2871</v>
      </c>
      <c r="BA171" s="175"/>
      <c r="BB171" s="175"/>
      <c r="BC171" s="175" t="s">
        <v>2859</v>
      </c>
      <c r="BD171" s="175" t="s">
        <v>2872</v>
      </c>
      <c r="BE171" s="175" t="s">
        <v>2873</v>
      </c>
      <c r="BF171" s="175" t="s">
        <v>2867</v>
      </c>
      <c r="BG171" s="67"/>
      <c r="BH171" s="179"/>
      <c r="BI171" s="175" t="s">
        <v>2867</v>
      </c>
      <c r="BJ171" s="175"/>
      <c r="BK171" s="175" t="s">
        <v>2867</v>
      </c>
      <c r="BL171" s="175"/>
      <c r="BM171" s="175" t="s">
        <v>4242</v>
      </c>
      <c r="BN171" s="175" t="s">
        <v>4243</v>
      </c>
      <c r="BO171" s="180" t="s">
        <v>2879</v>
      </c>
      <c r="BP171" s="67" t="s">
        <v>2867</v>
      </c>
      <c r="BQ171" s="175" t="s">
        <v>328</v>
      </c>
      <c r="BR171" s="177" t="s">
        <v>149</v>
      </c>
      <c r="BS171" s="177"/>
      <c r="BT171" s="67" t="s">
        <v>2867</v>
      </c>
      <c r="BU171" s="175"/>
      <c r="BV171" s="176"/>
      <c r="BW171" s="67" t="s">
        <v>2878</v>
      </c>
      <c r="BX171" s="175" t="s">
        <v>4244</v>
      </c>
      <c r="BY171" s="175" t="s">
        <v>2003</v>
      </c>
      <c r="BZ171" s="177"/>
      <c r="CA171" s="175"/>
      <c r="CB171" s="175"/>
      <c r="CC171" s="177"/>
      <c r="CD171" s="177"/>
      <c r="CE171" s="67"/>
      <c r="CF171" s="67"/>
      <c r="CG171" s="177"/>
      <c r="CH171" s="176"/>
      <c r="CI171" s="176"/>
      <c r="CJ171" s="175"/>
      <c r="CK171" s="67" t="s">
        <v>2867</v>
      </c>
      <c r="CL171" s="175"/>
      <c r="CM171" s="175"/>
      <c r="CN171" s="175"/>
      <c r="CO171" s="175"/>
      <c r="CP171" s="67" t="s">
        <v>328</v>
      </c>
      <c r="CQ171" s="175" t="s">
        <v>2867</v>
      </c>
      <c r="CR171" s="175"/>
      <c r="CS171" s="67" t="s">
        <v>1873</v>
      </c>
      <c r="CT171" s="175" t="s">
        <v>3027</v>
      </c>
      <c r="CU171" s="175"/>
      <c r="CV171" s="181" t="s">
        <v>2879</v>
      </c>
      <c r="CW171" s="67"/>
      <c r="CX171" s="182"/>
      <c r="CY171" s="175" t="s">
        <v>2880</v>
      </c>
      <c r="CZ171" s="175"/>
      <c r="DA171" s="175" t="s">
        <v>3972</v>
      </c>
      <c r="DB171" s="175" t="s">
        <v>3972</v>
      </c>
      <c r="DC171" s="175" t="s">
        <v>4245</v>
      </c>
      <c r="DD171" s="175"/>
      <c r="DE171" s="176">
        <v>46174</v>
      </c>
      <c r="DF171" s="175"/>
      <c r="DG171" s="182"/>
      <c r="DH171" s="183">
        <v>728300</v>
      </c>
      <c r="DI171" s="67"/>
      <c r="DJ171" s="67"/>
      <c r="DK171" s="67"/>
      <c r="DL171" s="67"/>
      <c r="DM171" s="67"/>
      <c r="DN171" s="183">
        <v>0</v>
      </c>
      <c r="DO171" s="183">
        <v>0</v>
      </c>
      <c r="DP171" s="67" t="s">
        <v>2867</v>
      </c>
      <c r="DQ171" s="175"/>
      <c r="DR171" s="175"/>
      <c r="DS171" s="175" t="s">
        <v>2882</v>
      </c>
      <c r="DT171" s="175"/>
      <c r="DU171" s="175"/>
      <c r="DV171" s="175" t="s">
        <v>2883</v>
      </c>
      <c r="DW171" s="175" t="s">
        <v>2884</v>
      </c>
      <c r="DX171" s="175" t="s">
        <v>2879</v>
      </c>
    </row>
    <row r="172" spans="1:128" ht="19.5" customHeight="1">
      <c r="A172" s="173" t="s">
        <v>3268</v>
      </c>
      <c r="B172" s="174" t="s">
        <v>4246</v>
      </c>
      <c r="C172" s="67"/>
      <c r="D172" s="67"/>
      <c r="E172" s="174" t="s">
        <v>4247</v>
      </c>
      <c r="F172" s="174" t="s">
        <v>2378</v>
      </c>
      <c r="G172" s="175" t="s">
        <v>4248</v>
      </c>
      <c r="H172" s="174" t="s">
        <v>2994</v>
      </c>
      <c r="I172" s="174" t="s">
        <v>2995</v>
      </c>
      <c r="J172" s="175" t="s">
        <v>2859</v>
      </c>
      <c r="K172" s="176">
        <v>46174</v>
      </c>
      <c r="L172" s="67" t="s">
        <v>2901</v>
      </c>
      <c r="M172" s="175" t="s">
        <v>2336</v>
      </c>
      <c r="N172" s="67" t="s">
        <v>2336</v>
      </c>
      <c r="O172" s="67" t="s">
        <v>3161</v>
      </c>
      <c r="P172" s="67" t="s">
        <v>3162</v>
      </c>
      <c r="Q172" s="67"/>
      <c r="R172" s="67"/>
      <c r="S172" s="67" t="s">
        <v>101</v>
      </c>
      <c r="T172" s="177" t="s">
        <v>2863</v>
      </c>
      <c r="U172" s="67" t="s">
        <v>1277</v>
      </c>
      <c r="V172" s="67"/>
      <c r="W172" s="175" t="s">
        <v>2865</v>
      </c>
      <c r="X172" s="67" t="s">
        <v>2479</v>
      </c>
      <c r="Y172" s="67" t="s">
        <v>2866</v>
      </c>
      <c r="Z172" s="67" t="s">
        <v>2480</v>
      </c>
      <c r="AA172" s="175" t="s">
        <v>2947</v>
      </c>
      <c r="AB172" s="175" t="s">
        <v>3052</v>
      </c>
      <c r="AC172" s="175" t="s">
        <v>3053</v>
      </c>
      <c r="AD172" s="175" t="s">
        <v>3054</v>
      </c>
      <c r="AE172" s="175" t="s">
        <v>3055</v>
      </c>
      <c r="AF172" s="176"/>
      <c r="AG172" s="176"/>
      <c r="AH172" s="176"/>
      <c r="AI172" s="67"/>
      <c r="AJ172" s="67"/>
      <c r="AK172" s="67" t="s">
        <v>2867</v>
      </c>
      <c r="AL172" s="67"/>
      <c r="AM172" s="176"/>
      <c r="AN172" s="176"/>
      <c r="AO172" s="67"/>
      <c r="AP172" s="67" t="s">
        <v>2867</v>
      </c>
      <c r="AQ172" s="67" t="s">
        <v>2868</v>
      </c>
      <c r="AR172" s="175"/>
      <c r="AS172" s="175" t="s">
        <v>2869</v>
      </c>
      <c r="AT172" s="175" t="s">
        <v>2867</v>
      </c>
      <c r="AU172" s="175"/>
      <c r="AV172" s="178">
        <v>0</v>
      </c>
      <c r="AW172" s="67"/>
      <c r="AX172" s="175" t="s">
        <v>2867</v>
      </c>
      <c r="AY172" s="175" t="s">
        <v>2870</v>
      </c>
      <c r="AZ172" s="175" t="s">
        <v>2871</v>
      </c>
      <c r="BA172" s="175"/>
      <c r="BB172" s="175"/>
      <c r="BC172" s="175" t="s">
        <v>2859</v>
      </c>
      <c r="BD172" s="175" t="s">
        <v>2872</v>
      </c>
      <c r="BE172" s="175" t="s">
        <v>2873</v>
      </c>
      <c r="BF172" s="175" t="s">
        <v>2867</v>
      </c>
      <c r="BG172" s="67"/>
      <c r="BH172" s="179"/>
      <c r="BI172" s="175" t="s">
        <v>2867</v>
      </c>
      <c r="BJ172" s="175"/>
      <c r="BK172" s="175" t="s">
        <v>2867</v>
      </c>
      <c r="BL172" s="175"/>
      <c r="BM172" s="175" t="s">
        <v>2936</v>
      </c>
      <c r="BN172" s="175" t="s">
        <v>2937</v>
      </c>
      <c r="BO172" s="180"/>
      <c r="BP172" s="67" t="s">
        <v>2867</v>
      </c>
      <c r="BQ172" s="175" t="s">
        <v>1477</v>
      </c>
      <c r="BR172" s="177" t="s">
        <v>144</v>
      </c>
      <c r="BS172" s="177"/>
      <c r="BT172" s="67" t="s">
        <v>2867</v>
      </c>
      <c r="BU172" s="175"/>
      <c r="BV172" s="176"/>
      <c r="BW172" s="67" t="s">
        <v>2878</v>
      </c>
      <c r="BX172" s="175" t="s">
        <v>4249</v>
      </c>
      <c r="BY172" s="175" t="s">
        <v>1999</v>
      </c>
      <c r="BZ172" s="177"/>
      <c r="CA172" s="175"/>
      <c r="CB172" s="175"/>
      <c r="CC172" s="177"/>
      <c r="CD172" s="177"/>
      <c r="CE172" s="67"/>
      <c r="CF172" s="67"/>
      <c r="CG172" s="177"/>
      <c r="CH172" s="176"/>
      <c r="CI172" s="176"/>
      <c r="CJ172" s="175"/>
      <c r="CK172" s="67" t="s">
        <v>3027</v>
      </c>
      <c r="CL172" s="175" t="s">
        <v>929</v>
      </c>
      <c r="CM172" s="175" t="s">
        <v>3442</v>
      </c>
      <c r="CN172" s="175" t="s">
        <v>3970</v>
      </c>
      <c r="CO172" s="175"/>
      <c r="CP172" s="67" t="s">
        <v>1815</v>
      </c>
      <c r="CQ172" s="175" t="s">
        <v>3027</v>
      </c>
      <c r="CR172" s="175" t="s">
        <v>4250</v>
      </c>
      <c r="CS172" s="67"/>
      <c r="CT172" s="175" t="s">
        <v>2867</v>
      </c>
      <c r="CU172" s="175"/>
      <c r="CV172" s="181" t="s">
        <v>2879</v>
      </c>
      <c r="CW172" s="67"/>
      <c r="CX172" s="182"/>
      <c r="CY172" s="175" t="s">
        <v>2880</v>
      </c>
      <c r="CZ172" s="175"/>
      <c r="DA172" s="175" t="s">
        <v>3972</v>
      </c>
      <c r="DB172" s="175" t="s">
        <v>3972</v>
      </c>
      <c r="DC172" s="175" t="s">
        <v>3973</v>
      </c>
      <c r="DD172" s="175"/>
      <c r="DE172" s="176">
        <v>46174</v>
      </c>
      <c r="DF172" s="175"/>
      <c r="DG172" s="182"/>
      <c r="DH172" s="183">
        <v>1023500</v>
      </c>
      <c r="DI172" s="67"/>
      <c r="DJ172" s="67"/>
      <c r="DK172" s="67"/>
      <c r="DL172" s="67"/>
      <c r="DM172" s="67"/>
      <c r="DN172" s="183">
        <v>0</v>
      </c>
      <c r="DO172" s="183">
        <v>0</v>
      </c>
      <c r="DP172" s="67" t="s">
        <v>2867</v>
      </c>
      <c r="DQ172" s="175"/>
      <c r="DR172" s="175"/>
      <c r="DS172" s="175" t="s">
        <v>2882</v>
      </c>
      <c r="DT172" s="175"/>
      <c r="DU172" s="175"/>
      <c r="DV172" s="175" t="s">
        <v>2883</v>
      </c>
      <c r="DW172" s="175" t="s">
        <v>2884</v>
      </c>
      <c r="DX172" s="175" t="s">
        <v>2879</v>
      </c>
    </row>
    <row r="173" spans="1:128" ht="19.5" customHeight="1">
      <c r="A173" s="173" t="s">
        <v>3268</v>
      </c>
      <c r="B173" s="174" t="s">
        <v>4251</v>
      </c>
      <c r="C173" s="67"/>
      <c r="D173" s="67"/>
      <c r="E173" s="174" t="s">
        <v>4252</v>
      </c>
      <c r="F173" s="174" t="s">
        <v>2379</v>
      </c>
      <c r="G173" s="175" t="s">
        <v>4253</v>
      </c>
      <c r="H173" s="174" t="s">
        <v>2994</v>
      </c>
      <c r="I173" s="174" t="s">
        <v>2995</v>
      </c>
      <c r="J173" s="175" t="s">
        <v>2859</v>
      </c>
      <c r="K173" s="176">
        <v>46174</v>
      </c>
      <c r="L173" s="67" t="s">
        <v>2901</v>
      </c>
      <c r="M173" s="175" t="s">
        <v>2334</v>
      </c>
      <c r="N173" s="67" t="s">
        <v>2334</v>
      </c>
      <c r="O173" s="67" t="s">
        <v>2327</v>
      </c>
      <c r="P173" s="67" t="s">
        <v>2890</v>
      </c>
      <c r="Q173" s="67"/>
      <c r="R173" s="67"/>
      <c r="S173" s="67" t="s">
        <v>103</v>
      </c>
      <c r="T173" s="177" t="s">
        <v>2863</v>
      </c>
      <c r="U173" s="67" t="s">
        <v>2935</v>
      </c>
      <c r="V173" s="67"/>
      <c r="W173" s="175" t="s">
        <v>2865</v>
      </c>
      <c r="X173" s="67" t="s">
        <v>2481</v>
      </c>
      <c r="Y173" s="67" t="s">
        <v>2866</v>
      </c>
      <c r="Z173" s="67" t="s">
        <v>2482</v>
      </c>
      <c r="AA173" s="175" t="s">
        <v>2947</v>
      </c>
      <c r="AB173" s="175" t="s">
        <v>4254</v>
      </c>
      <c r="AC173" s="175" t="s">
        <v>4255</v>
      </c>
      <c r="AD173" s="175" t="s">
        <v>4256</v>
      </c>
      <c r="AE173" s="175" t="s">
        <v>4257</v>
      </c>
      <c r="AF173" s="176"/>
      <c r="AG173" s="176"/>
      <c r="AH173" s="176"/>
      <c r="AI173" s="67"/>
      <c r="AJ173" s="67"/>
      <c r="AK173" s="67" t="s">
        <v>2867</v>
      </c>
      <c r="AL173" s="67"/>
      <c r="AM173" s="176"/>
      <c r="AN173" s="176"/>
      <c r="AO173" s="67"/>
      <c r="AP173" s="67" t="s">
        <v>2867</v>
      </c>
      <c r="AQ173" s="67" t="s">
        <v>2868</v>
      </c>
      <c r="AR173" s="175"/>
      <c r="AS173" s="175" t="s">
        <v>2869</v>
      </c>
      <c r="AT173" s="175" t="s">
        <v>2867</v>
      </c>
      <c r="AU173" s="175"/>
      <c r="AV173" s="178">
        <v>0</v>
      </c>
      <c r="AW173" s="67"/>
      <c r="AX173" s="175" t="s">
        <v>2867</v>
      </c>
      <c r="AY173" s="175" t="s">
        <v>2870</v>
      </c>
      <c r="AZ173" s="175" t="s">
        <v>2871</v>
      </c>
      <c r="BA173" s="175"/>
      <c r="BB173" s="175"/>
      <c r="BC173" s="175" t="s">
        <v>2859</v>
      </c>
      <c r="BD173" s="175" t="s">
        <v>2872</v>
      </c>
      <c r="BE173" s="175" t="s">
        <v>2873</v>
      </c>
      <c r="BF173" s="175" t="s">
        <v>2867</v>
      </c>
      <c r="BG173" s="67"/>
      <c r="BH173" s="179"/>
      <c r="BI173" s="175" t="s">
        <v>2867</v>
      </c>
      <c r="BJ173" s="175"/>
      <c r="BK173" s="175" t="s">
        <v>2867</v>
      </c>
      <c r="BL173" s="175"/>
      <c r="BM173" s="175" t="s">
        <v>3470</v>
      </c>
      <c r="BN173" s="175" t="s">
        <v>3471</v>
      </c>
      <c r="BO173" s="180"/>
      <c r="BP173" s="67" t="s">
        <v>2867</v>
      </c>
      <c r="BQ173" s="175" t="s">
        <v>2523</v>
      </c>
      <c r="BR173" s="177" t="s">
        <v>2332</v>
      </c>
      <c r="BS173" s="177"/>
      <c r="BT173" s="67" t="s">
        <v>2867</v>
      </c>
      <c r="BU173" s="175"/>
      <c r="BV173" s="176"/>
      <c r="BW173" s="67" t="s">
        <v>2878</v>
      </c>
      <c r="BX173" s="175" t="s">
        <v>4258</v>
      </c>
      <c r="BY173" s="175" t="s">
        <v>1999</v>
      </c>
      <c r="BZ173" s="177"/>
      <c r="CA173" s="175"/>
      <c r="CB173" s="175"/>
      <c r="CC173" s="177"/>
      <c r="CD173" s="177"/>
      <c r="CE173" s="67"/>
      <c r="CF173" s="67"/>
      <c r="CG173" s="177"/>
      <c r="CH173" s="176"/>
      <c r="CI173" s="176"/>
      <c r="CJ173" s="175"/>
      <c r="CK173" s="67" t="s">
        <v>3027</v>
      </c>
      <c r="CL173" s="175" t="s">
        <v>929</v>
      </c>
      <c r="CM173" s="175" t="s">
        <v>3442</v>
      </c>
      <c r="CN173" s="175" t="s">
        <v>3970</v>
      </c>
      <c r="CO173" s="175"/>
      <c r="CP173" s="67" t="s">
        <v>4259</v>
      </c>
      <c r="CQ173" s="175" t="s">
        <v>2867</v>
      </c>
      <c r="CR173" s="175" t="s">
        <v>4260</v>
      </c>
      <c r="CS173" s="67"/>
      <c r="CT173" s="175" t="s">
        <v>2867</v>
      </c>
      <c r="CU173" s="175"/>
      <c r="CV173" s="181" t="s">
        <v>2879</v>
      </c>
      <c r="CW173" s="67"/>
      <c r="CX173" s="182"/>
      <c r="CY173" s="175" t="s">
        <v>2880</v>
      </c>
      <c r="CZ173" s="175"/>
      <c r="DA173" s="175" t="s">
        <v>3972</v>
      </c>
      <c r="DB173" s="175" t="s">
        <v>3972</v>
      </c>
      <c r="DC173" s="175" t="s">
        <v>4261</v>
      </c>
      <c r="DD173" s="175"/>
      <c r="DE173" s="176">
        <v>46174</v>
      </c>
      <c r="DF173" s="175"/>
      <c r="DG173" s="182"/>
      <c r="DH173" s="183">
        <v>909100</v>
      </c>
      <c r="DI173" s="67"/>
      <c r="DJ173" s="67"/>
      <c r="DK173" s="67"/>
      <c r="DL173" s="67"/>
      <c r="DM173" s="67"/>
      <c r="DN173" s="183">
        <v>0</v>
      </c>
      <c r="DO173" s="183">
        <v>0</v>
      </c>
      <c r="DP173" s="67" t="s">
        <v>2867</v>
      </c>
      <c r="DQ173" s="175"/>
      <c r="DR173" s="175"/>
      <c r="DS173" s="175" t="s">
        <v>2882</v>
      </c>
      <c r="DT173" s="175"/>
      <c r="DU173" s="175"/>
      <c r="DV173" s="175" t="s">
        <v>2883</v>
      </c>
      <c r="DW173" s="175" t="s">
        <v>2884</v>
      </c>
      <c r="DX173" s="175" t="s">
        <v>2879</v>
      </c>
    </row>
    <row r="174" spans="1:128" ht="19.5" customHeight="1">
      <c r="A174" s="173" t="s">
        <v>3268</v>
      </c>
      <c r="B174" s="174" t="s">
        <v>4262</v>
      </c>
      <c r="C174" s="67"/>
      <c r="D174" s="67"/>
      <c r="E174" s="174" t="s">
        <v>4263</v>
      </c>
      <c r="F174" s="174" t="s">
        <v>2380</v>
      </c>
      <c r="G174" s="175" t="s">
        <v>4264</v>
      </c>
      <c r="H174" s="174" t="s">
        <v>2994</v>
      </c>
      <c r="I174" s="174" t="s">
        <v>2995</v>
      </c>
      <c r="J174" s="175" t="s">
        <v>2859</v>
      </c>
      <c r="K174" s="176">
        <v>46174</v>
      </c>
      <c r="L174" s="67" t="s">
        <v>2860</v>
      </c>
      <c r="M174" s="175" t="s">
        <v>2334</v>
      </c>
      <c r="N174" s="67" t="s">
        <v>2334</v>
      </c>
      <c r="O174" s="67" t="s">
        <v>2327</v>
      </c>
      <c r="P174" s="67" t="s">
        <v>2890</v>
      </c>
      <c r="Q174" s="67"/>
      <c r="R174" s="67"/>
      <c r="S174" s="67" t="s">
        <v>103</v>
      </c>
      <c r="T174" s="177" t="s">
        <v>2863</v>
      </c>
      <c r="U174" s="67" t="s">
        <v>2935</v>
      </c>
      <c r="V174" s="67"/>
      <c r="W174" s="175" t="s">
        <v>2865</v>
      </c>
      <c r="X174" s="67" t="s">
        <v>2483</v>
      </c>
      <c r="Y174" s="67" t="s">
        <v>2866</v>
      </c>
      <c r="Z174" s="67" t="s">
        <v>2484</v>
      </c>
      <c r="AA174" s="175" t="s">
        <v>2947</v>
      </c>
      <c r="AB174" s="175" t="s">
        <v>4265</v>
      </c>
      <c r="AC174" s="175" t="s">
        <v>4266</v>
      </c>
      <c r="AD174" s="175" t="s">
        <v>4267</v>
      </c>
      <c r="AE174" s="175" t="s">
        <v>4268</v>
      </c>
      <c r="AF174" s="176"/>
      <c r="AG174" s="176"/>
      <c r="AH174" s="176"/>
      <c r="AI174" s="67"/>
      <c r="AJ174" s="67"/>
      <c r="AK174" s="67" t="s">
        <v>2867</v>
      </c>
      <c r="AL174" s="67"/>
      <c r="AM174" s="176"/>
      <c r="AN174" s="176"/>
      <c r="AO174" s="67"/>
      <c r="AP174" s="67" t="s">
        <v>2867</v>
      </c>
      <c r="AQ174" s="67" t="s">
        <v>2868</v>
      </c>
      <c r="AR174" s="175"/>
      <c r="AS174" s="175" t="s">
        <v>2869</v>
      </c>
      <c r="AT174" s="175" t="s">
        <v>2867</v>
      </c>
      <c r="AU174" s="175"/>
      <c r="AV174" s="178">
        <v>0</v>
      </c>
      <c r="AW174" s="67"/>
      <c r="AX174" s="175" t="s">
        <v>2867</v>
      </c>
      <c r="AY174" s="175" t="s">
        <v>2870</v>
      </c>
      <c r="AZ174" s="175" t="s">
        <v>2871</v>
      </c>
      <c r="BA174" s="175"/>
      <c r="BB174" s="175"/>
      <c r="BC174" s="175" t="s">
        <v>2859</v>
      </c>
      <c r="BD174" s="175" t="s">
        <v>2872</v>
      </c>
      <c r="BE174" s="175" t="s">
        <v>2873</v>
      </c>
      <c r="BF174" s="175" t="s">
        <v>2867</v>
      </c>
      <c r="BG174" s="67"/>
      <c r="BH174" s="179"/>
      <c r="BI174" s="175" t="s">
        <v>2867</v>
      </c>
      <c r="BJ174" s="175"/>
      <c r="BK174" s="175" t="s">
        <v>2867</v>
      </c>
      <c r="BL174" s="175"/>
      <c r="BM174" s="175" t="s">
        <v>3470</v>
      </c>
      <c r="BN174" s="175" t="s">
        <v>3471</v>
      </c>
      <c r="BO174" s="180"/>
      <c r="BP174" s="67" t="s">
        <v>2867</v>
      </c>
      <c r="BQ174" s="175" t="s">
        <v>2523</v>
      </c>
      <c r="BR174" s="177" t="s">
        <v>2332</v>
      </c>
      <c r="BS174" s="177"/>
      <c r="BT174" s="67" t="s">
        <v>2867</v>
      </c>
      <c r="BU174" s="175"/>
      <c r="BV174" s="176"/>
      <c r="BW174" s="67" t="s">
        <v>2878</v>
      </c>
      <c r="BX174" s="175" t="s">
        <v>4269</v>
      </c>
      <c r="BY174" s="175" t="s">
        <v>1999</v>
      </c>
      <c r="BZ174" s="177"/>
      <c r="CA174" s="175"/>
      <c r="CB174" s="175"/>
      <c r="CC174" s="177"/>
      <c r="CD174" s="177"/>
      <c r="CE174" s="67"/>
      <c r="CF174" s="67"/>
      <c r="CG174" s="177"/>
      <c r="CH174" s="176"/>
      <c r="CI174" s="176"/>
      <c r="CJ174" s="175"/>
      <c r="CK174" s="67" t="s">
        <v>3027</v>
      </c>
      <c r="CL174" s="175" t="s">
        <v>929</v>
      </c>
      <c r="CM174" s="175" t="s">
        <v>3442</v>
      </c>
      <c r="CN174" s="175" t="s">
        <v>3970</v>
      </c>
      <c r="CO174" s="175"/>
      <c r="CP174" s="67" t="s">
        <v>4259</v>
      </c>
      <c r="CQ174" s="175" t="s">
        <v>2867</v>
      </c>
      <c r="CR174" s="175" t="s">
        <v>4260</v>
      </c>
      <c r="CS174" s="67"/>
      <c r="CT174" s="175" t="s">
        <v>2867</v>
      </c>
      <c r="CU174" s="175"/>
      <c r="CV174" s="181" t="s">
        <v>2879</v>
      </c>
      <c r="CW174" s="67"/>
      <c r="CX174" s="182"/>
      <c r="CY174" s="175" t="s">
        <v>2880</v>
      </c>
      <c r="CZ174" s="175"/>
      <c r="DA174" s="175" t="s">
        <v>3972</v>
      </c>
      <c r="DB174" s="175" t="s">
        <v>3972</v>
      </c>
      <c r="DC174" s="175" t="s">
        <v>4261</v>
      </c>
      <c r="DD174" s="175"/>
      <c r="DE174" s="176">
        <v>46174</v>
      </c>
      <c r="DF174" s="175"/>
      <c r="DG174" s="182"/>
      <c r="DH174" s="183">
        <v>909100</v>
      </c>
      <c r="DI174" s="67"/>
      <c r="DJ174" s="67"/>
      <c r="DK174" s="67"/>
      <c r="DL174" s="67"/>
      <c r="DM174" s="67"/>
      <c r="DN174" s="183">
        <v>0</v>
      </c>
      <c r="DO174" s="183">
        <v>0</v>
      </c>
      <c r="DP174" s="67" t="s">
        <v>2867</v>
      </c>
      <c r="DQ174" s="175"/>
      <c r="DR174" s="175"/>
      <c r="DS174" s="175" t="s">
        <v>2882</v>
      </c>
      <c r="DT174" s="175"/>
      <c r="DU174" s="175"/>
      <c r="DV174" s="175" t="s">
        <v>2883</v>
      </c>
      <c r="DW174" s="175" t="s">
        <v>2884</v>
      </c>
      <c r="DX174" s="175" t="s">
        <v>2879</v>
      </c>
    </row>
    <row r="175" spans="1:128" ht="19.5" customHeight="1">
      <c r="A175" s="173" t="s">
        <v>3268</v>
      </c>
      <c r="B175" s="174" t="s">
        <v>4270</v>
      </c>
      <c r="C175" s="67"/>
      <c r="D175" s="67"/>
      <c r="E175" s="174" t="s">
        <v>4271</v>
      </c>
      <c r="F175" s="174" t="s">
        <v>2381</v>
      </c>
      <c r="G175" s="175" t="s">
        <v>4272</v>
      </c>
      <c r="H175" s="174" t="s">
        <v>2994</v>
      </c>
      <c r="I175" s="174" t="s">
        <v>2995</v>
      </c>
      <c r="J175" s="175" t="s">
        <v>2859</v>
      </c>
      <c r="K175" s="176">
        <v>46174</v>
      </c>
      <c r="L175" s="67" t="s">
        <v>2927</v>
      </c>
      <c r="M175" s="175" t="s">
        <v>2334</v>
      </c>
      <c r="N175" s="67" t="s">
        <v>2334</v>
      </c>
      <c r="O175" s="67" t="s">
        <v>2327</v>
      </c>
      <c r="P175" s="67" t="s">
        <v>2890</v>
      </c>
      <c r="Q175" s="67"/>
      <c r="R175" s="67"/>
      <c r="S175" s="67" t="s">
        <v>103</v>
      </c>
      <c r="T175" s="177" t="s">
        <v>2863</v>
      </c>
      <c r="U175" s="67" t="s">
        <v>1270</v>
      </c>
      <c r="V175" s="67"/>
      <c r="W175" s="175" t="s">
        <v>2865</v>
      </c>
      <c r="X175" s="67" t="s">
        <v>2485</v>
      </c>
      <c r="Y175" s="67" t="s">
        <v>2866</v>
      </c>
      <c r="Z175" s="67" t="s">
        <v>2486</v>
      </c>
      <c r="AA175" s="175" t="s">
        <v>2947</v>
      </c>
      <c r="AB175" s="175" t="s">
        <v>4273</v>
      </c>
      <c r="AC175" s="175" t="s">
        <v>4274</v>
      </c>
      <c r="AD175" s="175" t="s">
        <v>4275</v>
      </c>
      <c r="AE175" s="175" t="s">
        <v>4276</v>
      </c>
      <c r="AF175" s="176"/>
      <c r="AG175" s="176"/>
      <c r="AH175" s="176"/>
      <c r="AI175" s="67"/>
      <c r="AJ175" s="67"/>
      <c r="AK175" s="67" t="s">
        <v>2867</v>
      </c>
      <c r="AL175" s="67"/>
      <c r="AM175" s="176"/>
      <c r="AN175" s="176"/>
      <c r="AO175" s="67"/>
      <c r="AP175" s="67" t="s">
        <v>2867</v>
      </c>
      <c r="AQ175" s="67" t="s">
        <v>2868</v>
      </c>
      <c r="AR175" s="175"/>
      <c r="AS175" s="175" t="s">
        <v>2869</v>
      </c>
      <c r="AT175" s="175" t="s">
        <v>2867</v>
      </c>
      <c r="AU175" s="175"/>
      <c r="AV175" s="178">
        <v>0</v>
      </c>
      <c r="AW175" s="67"/>
      <c r="AX175" s="175" t="s">
        <v>2867</v>
      </c>
      <c r="AY175" s="175" t="s">
        <v>2870</v>
      </c>
      <c r="AZ175" s="175" t="s">
        <v>2871</v>
      </c>
      <c r="BA175" s="175"/>
      <c r="BB175" s="175"/>
      <c r="BC175" s="175" t="s">
        <v>2859</v>
      </c>
      <c r="BD175" s="175" t="s">
        <v>2872</v>
      </c>
      <c r="BE175" s="175" t="s">
        <v>2873</v>
      </c>
      <c r="BF175" s="175" t="s">
        <v>2867</v>
      </c>
      <c r="BG175" s="67"/>
      <c r="BH175" s="179"/>
      <c r="BI175" s="175" t="s">
        <v>2867</v>
      </c>
      <c r="BJ175" s="175"/>
      <c r="BK175" s="175" t="s">
        <v>2867</v>
      </c>
      <c r="BL175" s="175"/>
      <c r="BM175" s="175" t="s">
        <v>3470</v>
      </c>
      <c r="BN175" s="175" t="s">
        <v>3471</v>
      </c>
      <c r="BO175" s="180"/>
      <c r="BP175" s="67" t="s">
        <v>2867</v>
      </c>
      <c r="BQ175" s="175" t="s">
        <v>2523</v>
      </c>
      <c r="BR175" s="177" t="s">
        <v>2332</v>
      </c>
      <c r="BS175" s="177"/>
      <c r="BT175" s="67" t="s">
        <v>2867</v>
      </c>
      <c r="BU175" s="175"/>
      <c r="BV175" s="176"/>
      <c r="BW175" s="67" t="s">
        <v>2878</v>
      </c>
      <c r="BX175" s="175" t="s">
        <v>4277</v>
      </c>
      <c r="BY175" s="175" t="s">
        <v>1999</v>
      </c>
      <c r="BZ175" s="177"/>
      <c r="CA175" s="175"/>
      <c r="CB175" s="175"/>
      <c r="CC175" s="177"/>
      <c r="CD175" s="177"/>
      <c r="CE175" s="67"/>
      <c r="CF175" s="67"/>
      <c r="CG175" s="177"/>
      <c r="CH175" s="176"/>
      <c r="CI175" s="176"/>
      <c r="CJ175" s="175"/>
      <c r="CK175" s="67" t="s">
        <v>3027</v>
      </c>
      <c r="CL175" s="175" t="s">
        <v>929</v>
      </c>
      <c r="CM175" s="175" t="s">
        <v>3418</v>
      </c>
      <c r="CN175" s="175" t="s">
        <v>3970</v>
      </c>
      <c r="CO175" s="175"/>
      <c r="CP175" s="67" t="s">
        <v>4156</v>
      </c>
      <c r="CQ175" s="175" t="s">
        <v>2867</v>
      </c>
      <c r="CR175" s="175" t="s">
        <v>4278</v>
      </c>
      <c r="CS175" s="67"/>
      <c r="CT175" s="175" t="s">
        <v>2867</v>
      </c>
      <c r="CU175" s="175"/>
      <c r="CV175" s="181" t="s">
        <v>2879</v>
      </c>
      <c r="CW175" s="67"/>
      <c r="CX175" s="182"/>
      <c r="CY175" s="175" t="s">
        <v>2880</v>
      </c>
      <c r="CZ175" s="175"/>
      <c r="DA175" s="175" t="s">
        <v>3972</v>
      </c>
      <c r="DB175" s="175" t="s">
        <v>3972</v>
      </c>
      <c r="DC175" s="175" t="s">
        <v>4245</v>
      </c>
      <c r="DD175" s="175"/>
      <c r="DE175" s="176">
        <v>46174</v>
      </c>
      <c r="DF175" s="175"/>
      <c r="DG175" s="182"/>
      <c r="DH175" s="183">
        <v>909100</v>
      </c>
      <c r="DI175" s="67"/>
      <c r="DJ175" s="67"/>
      <c r="DK175" s="67"/>
      <c r="DL175" s="67"/>
      <c r="DM175" s="67"/>
      <c r="DN175" s="183">
        <v>0</v>
      </c>
      <c r="DO175" s="183">
        <v>0</v>
      </c>
      <c r="DP175" s="67" t="s">
        <v>2867</v>
      </c>
      <c r="DQ175" s="175"/>
      <c r="DR175" s="175"/>
      <c r="DS175" s="175" t="s">
        <v>2882</v>
      </c>
      <c r="DT175" s="175"/>
      <c r="DU175" s="175"/>
      <c r="DV175" s="175" t="s">
        <v>2883</v>
      </c>
      <c r="DW175" s="175" t="s">
        <v>2884</v>
      </c>
      <c r="DX175" s="175" t="s">
        <v>2879</v>
      </c>
    </row>
    <row r="176" spans="1:128" ht="19.5" customHeight="1">
      <c r="A176" s="173" t="s">
        <v>3268</v>
      </c>
      <c r="B176" s="174" t="s">
        <v>4279</v>
      </c>
      <c r="C176" s="67"/>
      <c r="D176" s="67"/>
      <c r="E176" s="174" t="s">
        <v>4280</v>
      </c>
      <c r="F176" s="174" t="s">
        <v>2382</v>
      </c>
      <c r="G176" s="175" t="s">
        <v>4281</v>
      </c>
      <c r="H176" s="174" t="s">
        <v>2994</v>
      </c>
      <c r="I176" s="174" t="s">
        <v>2995</v>
      </c>
      <c r="J176" s="175" t="s">
        <v>2859</v>
      </c>
      <c r="K176" s="176">
        <v>46174</v>
      </c>
      <c r="L176" s="67" t="s">
        <v>2860</v>
      </c>
      <c r="M176" s="175" t="s">
        <v>2334</v>
      </c>
      <c r="N176" s="67" t="s">
        <v>2334</v>
      </c>
      <c r="O176" s="67" t="s">
        <v>2327</v>
      </c>
      <c r="P176" s="67" t="s">
        <v>2890</v>
      </c>
      <c r="Q176" s="67"/>
      <c r="R176" s="67"/>
      <c r="S176" s="67" t="s">
        <v>103</v>
      </c>
      <c r="T176" s="177" t="s">
        <v>2863</v>
      </c>
      <c r="U176" s="67" t="s">
        <v>1270</v>
      </c>
      <c r="V176" s="67"/>
      <c r="W176" s="175" t="s">
        <v>2865</v>
      </c>
      <c r="X176" s="67" t="s">
        <v>2487</v>
      </c>
      <c r="Y176" s="67" t="s">
        <v>2866</v>
      </c>
      <c r="Z176" s="67" t="s">
        <v>2487</v>
      </c>
      <c r="AA176" s="175" t="s">
        <v>2947</v>
      </c>
      <c r="AB176" s="175" t="s">
        <v>4282</v>
      </c>
      <c r="AC176" s="175" t="s">
        <v>4283</v>
      </c>
      <c r="AD176" s="175" t="s">
        <v>4284</v>
      </c>
      <c r="AE176" s="175" t="s">
        <v>4285</v>
      </c>
      <c r="AF176" s="176"/>
      <c r="AG176" s="176"/>
      <c r="AH176" s="176"/>
      <c r="AI176" s="67"/>
      <c r="AJ176" s="67"/>
      <c r="AK176" s="67" t="s">
        <v>2867</v>
      </c>
      <c r="AL176" s="67"/>
      <c r="AM176" s="176"/>
      <c r="AN176" s="176"/>
      <c r="AO176" s="67"/>
      <c r="AP176" s="67" t="s">
        <v>2867</v>
      </c>
      <c r="AQ176" s="67" t="s">
        <v>2868</v>
      </c>
      <c r="AR176" s="175"/>
      <c r="AS176" s="175" t="s">
        <v>2869</v>
      </c>
      <c r="AT176" s="175" t="s">
        <v>2867</v>
      </c>
      <c r="AU176" s="175"/>
      <c r="AV176" s="178">
        <v>0</v>
      </c>
      <c r="AW176" s="67"/>
      <c r="AX176" s="175" t="s">
        <v>2867</v>
      </c>
      <c r="AY176" s="175" t="s">
        <v>2870</v>
      </c>
      <c r="AZ176" s="175" t="s">
        <v>2871</v>
      </c>
      <c r="BA176" s="175"/>
      <c r="BB176" s="175"/>
      <c r="BC176" s="175" t="s">
        <v>2859</v>
      </c>
      <c r="BD176" s="175" t="s">
        <v>2872</v>
      </c>
      <c r="BE176" s="175" t="s">
        <v>2873</v>
      </c>
      <c r="BF176" s="175" t="s">
        <v>2867</v>
      </c>
      <c r="BG176" s="67"/>
      <c r="BH176" s="179"/>
      <c r="BI176" s="175" t="s">
        <v>2867</v>
      </c>
      <c r="BJ176" s="175"/>
      <c r="BK176" s="175" t="s">
        <v>2867</v>
      </c>
      <c r="BL176" s="175"/>
      <c r="BM176" s="175" t="s">
        <v>3470</v>
      </c>
      <c r="BN176" s="175" t="s">
        <v>3471</v>
      </c>
      <c r="BO176" s="180"/>
      <c r="BP176" s="67" t="s">
        <v>2867</v>
      </c>
      <c r="BQ176" s="175" t="s">
        <v>2523</v>
      </c>
      <c r="BR176" s="177" t="s">
        <v>2332</v>
      </c>
      <c r="BS176" s="177"/>
      <c r="BT176" s="67" t="s">
        <v>2867</v>
      </c>
      <c r="BU176" s="175"/>
      <c r="BV176" s="176"/>
      <c r="BW176" s="67" t="s">
        <v>2878</v>
      </c>
      <c r="BX176" s="175" t="s">
        <v>4286</v>
      </c>
      <c r="BY176" s="175" t="s">
        <v>1999</v>
      </c>
      <c r="BZ176" s="177"/>
      <c r="CA176" s="175"/>
      <c r="CB176" s="175"/>
      <c r="CC176" s="177"/>
      <c r="CD176" s="177"/>
      <c r="CE176" s="67"/>
      <c r="CF176" s="67"/>
      <c r="CG176" s="177"/>
      <c r="CH176" s="176"/>
      <c r="CI176" s="176"/>
      <c r="CJ176" s="175"/>
      <c r="CK176" s="67" t="s">
        <v>3027</v>
      </c>
      <c r="CL176" s="175" t="s">
        <v>929</v>
      </c>
      <c r="CM176" s="175" t="s">
        <v>3442</v>
      </c>
      <c r="CN176" s="175" t="s">
        <v>3970</v>
      </c>
      <c r="CO176" s="175"/>
      <c r="CP176" s="67" t="s">
        <v>4029</v>
      </c>
      <c r="CQ176" s="175" t="s">
        <v>2867</v>
      </c>
      <c r="CR176" s="175" t="s">
        <v>4287</v>
      </c>
      <c r="CS176" s="67"/>
      <c r="CT176" s="175" t="s">
        <v>2867</v>
      </c>
      <c r="CU176" s="175"/>
      <c r="CV176" s="181" t="s">
        <v>2879</v>
      </c>
      <c r="CW176" s="67"/>
      <c r="CX176" s="182"/>
      <c r="CY176" s="175" t="s">
        <v>2880</v>
      </c>
      <c r="CZ176" s="175"/>
      <c r="DA176" s="175" t="s">
        <v>3972</v>
      </c>
      <c r="DB176" s="175" t="s">
        <v>3972</v>
      </c>
      <c r="DC176" s="175" t="s">
        <v>4288</v>
      </c>
      <c r="DD176" s="175"/>
      <c r="DE176" s="176">
        <v>46174</v>
      </c>
      <c r="DF176" s="175"/>
      <c r="DG176" s="182"/>
      <c r="DH176" s="183">
        <v>909100</v>
      </c>
      <c r="DI176" s="67"/>
      <c r="DJ176" s="67"/>
      <c r="DK176" s="67"/>
      <c r="DL176" s="67"/>
      <c r="DM176" s="67"/>
      <c r="DN176" s="183">
        <v>0</v>
      </c>
      <c r="DO176" s="183">
        <v>0</v>
      </c>
      <c r="DP176" s="67" t="s">
        <v>2867</v>
      </c>
      <c r="DQ176" s="175"/>
      <c r="DR176" s="175"/>
      <c r="DS176" s="175" t="s">
        <v>2882</v>
      </c>
      <c r="DT176" s="175"/>
      <c r="DU176" s="175"/>
      <c r="DV176" s="175" t="s">
        <v>2883</v>
      </c>
      <c r="DW176" s="175" t="s">
        <v>2884</v>
      </c>
      <c r="DX176" s="175" t="s">
        <v>2879</v>
      </c>
    </row>
    <row r="177" spans="1:128" ht="19.5" customHeight="1">
      <c r="A177" s="173" t="s">
        <v>3268</v>
      </c>
      <c r="B177" s="174" t="s">
        <v>4289</v>
      </c>
      <c r="C177" s="67"/>
      <c r="D177" s="67"/>
      <c r="E177" s="174" t="s">
        <v>4290</v>
      </c>
      <c r="F177" s="174" t="s">
        <v>2383</v>
      </c>
      <c r="G177" s="175" t="s">
        <v>4291</v>
      </c>
      <c r="H177" s="174" t="s">
        <v>2994</v>
      </c>
      <c r="I177" s="174" t="s">
        <v>2995</v>
      </c>
      <c r="J177" s="175" t="s">
        <v>2859</v>
      </c>
      <c r="K177" s="176">
        <v>46174</v>
      </c>
      <c r="L177" s="67" t="s">
        <v>2916</v>
      </c>
      <c r="M177" s="175" t="s">
        <v>2334</v>
      </c>
      <c r="N177" s="67" t="s">
        <v>2334</v>
      </c>
      <c r="O177" s="67" t="s">
        <v>2327</v>
      </c>
      <c r="P177" s="67" t="s">
        <v>2890</v>
      </c>
      <c r="Q177" s="67"/>
      <c r="R177" s="67"/>
      <c r="S177" s="67" t="s">
        <v>103</v>
      </c>
      <c r="T177" s="177" t="s">
        <v>2863</v>
      </c>
      <c r="U177" s="67" t="s">
        <v>1270</v>
      </c>
      <c r="V177" s="67"/>
      <c r="W177" s="175" t="s">
        <v>2865</v>
      </c>
      <c r="X177" s="67" t="s">
        <v>2488</v>
      </c>
      <c r="Y177" s="67" t="s">
        <v>2866</v>
      </c>
      <c r="Z177" s="67" t="s">
        <v>2489</v>
      </c>
      <c r="AA177" s="175" t="s">
        <v>2947</v>
      </c>
      <c r="AB177" s="175" t="s">
        <v>4292</v>
      </c>
      <c r="AC177" s="175" t="s">
        <v>4293</v>
      </c>
      <c r="AD177" s="175" t="s">
        <v>4294</v>
      </c>
      <c r="AE177" s="175" t="s">
        <v>4295</v>
      </c>
      <c r="AF177" s="176"/>
      <c r="AG177" s="176"/>
      <c r="AH177" s="176"/>
      <c r="AI177" s="67"/>
      <c r="AJ177" s="67"/>
      <c r="AK177" s="67" t="s">
        <v>2867</v>
      </c>
      <c r="AL177" s="67"/>
      <c r="AM177" s="176"/>
      <c r="AN177" s="176"/>
      <c r="AO177" s="67"/>
      <c r="AP177" s="67" t="s">
        <v>2867</v>
      </c>
      <c r="AQ177" s="67" t="s">
        <v>2868</v>
      </c>
      <c r="AR177" s="175"/>
      <c r="AS177" s="175" t="s">
        <v>2869</v>
      </c>
      <c r="AT177" s="175" t="s">
        <v>2867</v>
      </c>
      <c r="AU177" s="175"/>
      <c r="AV177" s="178">
        <v>0</v>
      </c>
      <c r="AW177" s="67"/>
      <c r="AX177" s="175" t="s">
        <v>2867</v>
      </c>
      <c r="AY177" s="175" t="s">
        <v>2870</v>
      </c>
      <c r="AZ177" s="175" t="s">
        <v>2871</v>
      </c>
      <c r="BA177" s="175"/>
      <c r="BB177" s="175"/>
      <c r="BC177" s="175" t="s">
        <v>2859</v>
      </c>
      <c r="BD177" s="175" t="s">
        <v>2872</v>
      </c>
      <c r="BE177" s="175" t="s">
        <v>2873</v>
      </c>
      <c r="BF177" s="175" t="s">
        <v>2867</v>
      </c>
      <c r="BG177" s="67"/>
      <c r="BH177" s="179"/>
      <c r="BI177" s="175" t="s">
        <v>2867</v>
      </c>
      <c r="BJ177" s="175"/>
      <c r="BK177" s="175" t="s">
        <v>2867</v>
      </c>
      <c r="BL177" s="175"/>
      <c r="BM177" s="175" t="s">
        <v>3470</v>
      </c>
      <c r="BN177" s="175" t="s">
        <v>3471</v>
      </c>
      <c r="BO177" s="180"/>
      <c r="BP177" s="67" t="s">
        <v>2867</v>
      </c>
      <c r="BQ177" s="175" t="s">
        <v>2523</v>
      </c>
      <c r="BR177" s="177" t="s">
        <v>2332</v>
      </c>
      <c r="BS177" s="177"/>
      <c r="BT177" s="67" t="s">
        <v>2867</v>
      </c>
      <c r="BU177" s="175"/>
      <c r="BV177" s="176"/>
      <c r="BW177" s="67" t="s">
        <v>2878</v>
      </c>
      <c r="BX177" s="175" t="s">
        <v>4296</v>
      </c>
      <c r="BY177" s="175" t="s">
        <v>1999</v>
      </c>
      <c r="BZ177" s="177"/>
      <c r="CA177" s="175"/>
      <c r="CB177" s="175"/>
      <c r="CC177" s="177"/>
      <c r="CD177" s="177"/>
      <c r="CE177" s="67"/>
      <c r="CF177" s="67"/>
      <c r="CG177" s="177"/>
      <c r="CH177" s="176"/>
      <c r="CI177" s="176"/>
      <c r="CJ177" s="175"/>
      <c r="CK177" s="67" t="s">
        <v>3027</v>
      </c>
      <c r="CL177" s="175" t="s">
        <v>929</v>
      </c>
      <c r="CM177" s="175" t="s">
        <v>3442</v>
      </c>
      <c r="CN177" s="175" t="s">
        <v>3970</v>
      </c>
      <c r="CO177" s="175"/>
      <c r="CP177" s="67" t="s">
        <v>4029</v>
      </c>
      <c r="CQ177" s="175" t="s">
        <v>2867</v>
      </c>
      <c r="CR177" s="175" t="s">
        <v>4297</v>
      </c>
      <c r="CS177" s="67"/>
      <c r="CT177" s="175" t="s">
        <v>2867</v>
      </c>
      <c r="CU177" s="175"/>
      <c r="CV177" s="181" t="s">
        <v>2879</v>
      </c>
      <c r="CW177" s="67"/>
      <c r="CX177" s="182"/>
      <c r="CY177" s="175" t="s">
        <v>2880</v>
      </c>
      <c r="CZ177" s="175"/>
      <c r="DA177" s="175" t="s">
        <v>3972</v>
      </c>
      <c r="DB177" s="175" t="s">
        <v>3972</v>
      </c>
      <c r="DC177" s="175" t="s">
        <v>4288</v>
      </c>
      <c r="DD177" s="175"/>
      <c r="DE177" s="176">
        <v>46174</v>
      </c>
      <c r="DF177" s="175"/>
      <c r="DG177" s="182"/>
      <c r="DH177" s="183">
        <v>909100</v>
      </c>
      <c r="DI177" s="67"/>
      <c r="DJ177" s="67"/>
      <c r="DK177" s="67"/>
      <c r="DL177" s="67"/>
      <c r="DM177" s="67"/>
      <c r="DN177" s="183">
        <v>0</v>
      </c>
      <c r="DO177" s="183">
        <v>0</v>
      </c>
      <c r="DP177" s="67" t="s">
        <v>2867</v>
      </c>
      <c r="DQ177" s="175"/>
      <c r="DR177" s="175"/>
      <c r="DS177" s="175" t="s">
        <v>2882</v>
      </c>
      <c r="DT177" s="175"/>
      <c r="DU177" s="175"/>
      <c r="DV177" s="175" t="s">
        <v>2883</v>
      </c>
      <c r="DW177" s="175" t="s">
        <v>2884</v>
      </c>
      <c r="DX177" s="175" t="s">
        <v>2879</v>
      </c>
    </row>
    <row r="178" spans="1:128" ht="19.5" customHeight="1">
      <c r="A178" s="173" t="s">
        <v>3268</v>
      </c>
      <c r="B178" s="174" t="s">
        <v>4298</v>
      </c>
      <c r="C178" s="67"/>
      <c r="D178" s="67"/>
      <c r="E178" s="174" t="s">
        <v>4299</v>
      </c>
      <c r="F178" s="174" t="s">
        <v>2384</v>
      </c>
      <c r="G178" s="175" t="s">
        <v>4300</v>
      </c>
      <c r="H178" s="174" t="s">
        <v>2994</v>
      </c>
      <c r="I178" s="174" t="s">
        <v>2995</v>
      </c>
      <c r="J178" s="175" t="s">
        <v>2859</v>
      </c>
      <c r="K178" s="176">
        <v>46174</v>
      </c>
      <c r="L178" s="67" t="s">
        <v>2906</v>
      </c>
      <c r="M178" s="175" t="s">
        <v>2334</v>
      </c>
      <c r="N178" s="67" t="s">
        <v>2334</v>
      </c>
      <c r="O178" s="67" t="s">
        <v>2327</v>
      </c>
      <c r="P178" s="67" t="s">
        <v>2890</v>
      </c>
      <c r="Q178" s="67"/>
      <c r="R178" s="67"/>
      <c r="S178" s="67" t="s">
        <v>103</v>
      </c>
      <c r="T178" s="177" t="s">
        <v>2863</v>
      </c>
      <c r="U178" s="67" t="s">
        <v>1270</v>
      </c>
      <c r="V178" s="67"/>
      <c r="W178" s="175" t="s">
        <v>2865</v>
      </c>
      <c r="X178" s="67" t="s">
        <v>2490</v>
      </c>
      <c r="Y178" s="67" t="s">
        <v>2866</v>
      </c>
      <c r="Z178" s="67" t="s">
        <v>2491</v>
      </c>
      <c r="AA178" s="175" t="s">
        <v>2947</v>
      </c>
      <c r="AB178" s="175" t="s">
        <v>4301</v>
      </c>
      <c r="AC178" s="175" t="s">
        <v>4302</v>
      </c>
      <c r="AD178" s="175" t="s">
        <v>4303</v>
      </c>
      <c r="AE178" s="175" t="s">
        <v>4304</v>
      </c>
      <c r="AF178" s="176"/>
      <c r="AG178" s="176"/>
      <c r="AH178" s="176"/>
      <c r="AI178" s="67"/>
      <c r="AJ178" s="67"/>
      <c r="AK178" s="67" t="s">
        <v>2867</v>
      </c>
      <c r="AL178" s="67"/>
      <c r="AM178" s="176"/>
      <c r="AN178" s="176"/>
      <c r="AO178" s="67"/>
      <c r="AP178" s="67" t="s">
        <v>2867</v>
      </c>
      <c r="AQ178" s="67" t="s">
        <v>2868</v>
      </c>
      <c r="AR178" s="175"/>
      <c r="AS178" s="175" t="s">
        <v>2869</v>
      </c>
      <c r="AT178" s="175" t="s">
        <v>2867</v>
      </c>
      <c r="AU178" s="175"/>
      <c r="AV178" s="178">
        <v>0</v>
      </c>
      <c r="AW178" s="67"/>
      <c r="AX178" s="175" t="s">
        <v>2867</v>
      </c>
      <c r="AY178" s="175" t="s">
        <v>2870</v>
      </c>
      <c r="AZ178" s="175" t="s">
        <v>2871</v>
      </c>
      <c r="BA178" s="175"/>
      <c r="BB178" s="175"/>
      <c r="BC178" s="175" t="s">
        <v>2859</v>
      </c>
      <c r="BD178" s="175" t="s">
        <v>2872</v>
      </c>
      <c r="BE178" s="175" t="s">
        <v>2873</v>
      </c>
      <c r="BF178" s="175" t="s">
        <v>2867</v>
      </c>
      <c r="BG178" s="67"/>
      <c r="BH178" s="179"/>
      <c r="BI178" s="175" t="s">
        <v>2867</v>
      </c>
      <c r="BJ178" s="175"/>
      <c r="BK178" s="175" t="s">
        <v>2867</v>
      </c>
      <c r="BL178" s="175"/>
      <c r="BM178" s="175" t="s">
        <v>3470</v>
      </c>
      <c r="BN178" s="175" t="s">
        <v>3471</v>
      </c>
      <c r="BO178" s="180"/>
      <c r="BP178" s="67" t="s">
        <v>2867</v>
      </c>
      <c r="BQ178" s="175" t="s">
        <v>2523</v>
      </c>
      <c r="BR178" s="177" t="s">
        <v>2332</v>
      </c>
      <c r="BS178" s="177"/>
      <c r="BT178" s="67" t="s">
        <v>2867</v>
      </c>
      <c r="BU178" s="175"/>
      <c r="BV178" s="176"/>
      <c r="BW178" s="67" t="s">
        <v>2878</v>
      </c>
      <c r="BX178" s="175" t="s">
        <v>4305</v>
      </c>
      <c r="BY178" s="175" t="s">
        <v>1999</v>
      </c>
      <c r="BZ178" s="177"/>
      <c r="CA178" s="175"/>
      <c r="CB178" s="175"/>
      <c r="CC178" s="177"/>
      <c r="CD178" s="177"/>
      <c r="CE178" s="67"/>
      <c r="CF178" s="67"/>
      <c r="CG178" s="177"/>
      <c r="CH178" s="176"/>
      <c r="CI178" s="176"/>
      <c r="CJ178" s="175"/>
      <c r="CK178" s="67" t="s">
        <v>3027</v>
      </c>
      <c r="CL178" s="175" t="s">
        <v>929</v>
      </c>
      <c r="CM178" s="175" t="s">
        <v>3442</v>
      </c>
      <c r="CN178" s="175" t="s">
        <v>3970</v>
      </c>
      <c r="CO178" s="175"/>
      <c r="CP178" s="67" t="s">
        <v>4029</v>
      </c>
      <c r="CQ178" s="175" t="s">
        <v>2867</v>
      </c>
      <c r="CR178" s="175" t="s">
        <v>4306</v>
      </c>
      <c r="CS178" s="67"/>
      <c r="CT178" s="175" t="s">
        <v>2867</v>
      </c>
      <c r="CU178" s="175"/>
      <c r="CV178" s="181" t="s">
        <v>2879</v>
      </c>
      <c r="CW178" s="67"/>
      <c r="CX178" s="182"/>
      <c r="CY178" s="175" t="s">
        <v>2880</v>
      </c>
      <c r="CZ178" s="175"/>
      <c r="DA178" s="175" t="s">
        <v>3972</v>
      </c>
      <c r="DB178" s="175" t="s">
        <v>3972</v>
      </c>
      <c r="DC178" s="175" t="s">
        <v>4288</v>
      </c>
      <c r="DD178" s="175"/>
      <c r="DE178" s="176">
        <v>46174</v>
      </c>
      <c r="DF178" s="175"/>
      <c r="DG178" s="182"/>
      <c r="DH178" s="183">
        <v>909100</v>
      </c>
      <c r="DI178" s="67"/>
      <c r="DJ178" s="67"/>
      <c r="DK178" s="67"/>
      <c r="DL178" s="67"/>
      <c r="DM178" s="67"/>
      <c r="DN178" s="183">
        <v>0</v>
      </c>
      <c r="DO178" s="183">
        <v>0</v>
      </c>
      <c r="DP178" s="67" t="s">
        <v>2867</v>
      </c>
      <c r="DQ178" s="175"/>
      <c r="DR178" s="175"/>
      <c r="DS178" s="175" t="s">
        <v>2882</v>
      </c>
      <c r="DT178" s="175"/>
      <c r="DU178" s="175"/>
      <c r="DV178" s="175" t="s">
        <v>2883</v>
      </c>
      <c r="DW178" s="175" t="s">
        <v>2884</v>
      </c>
      <c r="DX178" s="175" t="s">
        <v>2879</v>
      </c>
    </row>
    <row r="179" spans="1:128" ht="19.5" customHeight="1">
      <c r="A179" s="173" t="s">
        <v>3268</v>
      </c>
      <c r="B179" s="174" t="s">
        <v>4307</v>
      </c>
      <c r="C179" s="67"/>
      <c r="D179" s="67"/>
      <c r="E179" s="174" t="s">
        <v>4308</v>
      </c>
      <c r="F179" s="174" t="s">
        <v>2385</v>
      </c>
      <c r="G179" s="175" t="s">
        <v>4309</v>
      </c>
      <c r="H179" s="174" t="s">
        <v>2994</v>
      </c>
      <c r="I179" s="174" t="s">
        <v>2995</v>
      </c>
      <c r="J179" s="175" t="s">
        <v>2859</v>
      </c>
      <c r="K179" s="176">
        <v>46174</v>
      </c>
      <c r="L179" s="67" t="s">
        <v>2889</v>
      </c>
      <c r="M179" s="175" t="s">
        <v>2334</v>
      </c>
      <c r="N179" s="67" t="s">
        <v>2334</v>
      </c>
      <c r="O179" s="67" t="s">
        <v>2327</v>
      </c>
      <c r="P179" s="67" t="s">
        <v>2890</v>
      </c>
      <c r="Q179" s="67"/>
      <c r="R179" s="67"/>
      <c r="S179" s="67" t="s">
        <v>103</v>
      </c>
      <c r="T179" s="177" t="s">
        <v>2863</v>
      </c>
      <c r="U179" s="67" t="s">
        <v>1270</v>
      </c>
      <c r="V179" s="67"/>
      <c r="W179" s="175" t="s">
        <v>2865</v>
      </c>
      <c r="X179" s="67" t="s">
        <v>2492</v>
      </c>
      <c r="Y179" s="67" t="s">
        <v>2866</v>
      </c>
      <c r="Z179" s="67" t="s">
        <v>2493</v>
      </c>
      <c r="AA179" s="175" t="s">
        <v>2947</v>
      </c>
      <c r="AB179" s="175" t="s">
        <v>3512</v>
      </c>
      <c r="AC179" s="175" t="s">
        <v>3513</v>
      </c>
      <c r="AD179" s="175" t="s">
        <v>3514</v>
      </c>
      <c r="AE179" s="175" t="s">
        <v>3515</v>
      </c>
      <c r="AF179" s="176"/>
      <c r="AG179" s="176"/>
      <c r="AH179" s="176"/>
      <c r="AI179" s="67"/>
      <c r="AJ179" s="67"/>
      <c r="AK179" s="67" t="s">
        <v>2867</v>
      </c>
      <c r="AL179" s="67"/>
      <c r="AM179" s="176"/>
      <c r="AN179" s="176"/>
      <c r="AO179" s="67"/>
      <c r="AP179" s="67" t="s">
        <v>2867</v>
      </c>
      <c r="AQ179" s="67" t="s">
        <v>2868</v>
      </c>
      <c r="AR179" s="175"/>
      <c r="AS179" s="175" t="s">
        <v>2869</v>
      </c>
      <c r="AT179" s="175" t="s">
        <v>2867</v>
      </c>
      <c r="AU179" s="175"/>
      <c r="AV179" s="178">
        <v>0</v>
      </c>
      <c r="AW179" s="67"/>
      <c r="AX179" s="175" t="s">
        <v>2867</v>
      </c>
      <c r="AY179" s="175" t="s">
        <v>2870</v>
      </c>
      <c r="AZ179" s="175" t="s">
        <v>2871</v>
      </c>
      <c r="BA179" s="175"/>
      <c r="BB179" s="175"/>
      <c r="BC179" s="175" t="s">
        <v>2859</v>
      </c>
      <c r="BD179" s="175" t="s">
        <v>2872</v>
      </c>
      <c r="BE179" s="175" t="s">
        <v>2873</v>
      </c>
      <c r="BF179" s="175" t="s">
        <v>2867</v>
      </c>
      <c r="BG179" s="67"/>
      <c r="BH179" s="179"/>
      <c r="BI179" s="175" t="s">
        <v>2867</v>
      </c>
      <c r="BJ179" s="175"/>
      <c r="BK179" s="175" t="s">
        <v>2867</v>
      </c>
      <c r="BL179" s="175"/>
      <c r="BM179" s="175" t="s">
        <v>3470</v>
      </c>
      <c r="BN179" s="175" t="s">
        <v>3471</v>
      </c>
      <c r="BO179" s="180"/>
      <c r="BP179" s="67" t="s">
        <v>2867</v>
      </c>
      <c r="BQ179" s="175" t="s">
        <v>2523</v>
      </c>
      <c r="BR179" s="177" t="s">
        <v>2332</v>
      </c>
      <c r="BS179" s="177"/>
      <c r="BT179" s="67" t="s">
        <v>2867</v>
      </c>
      <c r="BU179" s="175"/>
      <c r="BV179" s="176"/>
      <c r="BW179" s="67" t="s">
        <v>2878</v>
      </c>
      <c r="BX179" s="175" t="s">
        <v>4310</v>
      </c>
      <c r="BY179" s="175" t="s">
        <v>1999</v>
      </c>
      <c r="BZ179" s="177"/>
      <c r="CA179" s="175"/>
      <c r="CB179" s="175"/>
      <c r="CC179" s="177"/>
      <c r="CD179" s="177"/>
      <c r="CE179" s="67"/>
      <c r="CF179" s="67"/>
      <c r="CG179" s="177"/>
      <c r="CH179" s="176"/>
      <c r="CI179" s="176"/>
      <c r="CJ179" s="175"/>
      <c r="CK179" s="67" t="s">
        <v>3027</v>
      </c>
      <c r="CL179" s="175" t="s">
        <v>929</v>
      </c>
      <c r="CM179" s="175" t="s">
        <v>3442</v>
      </c>
      <c r="CN179" s="175" t="s">
        <v>3970</v>
      </c>
      <c r="CO179" s="175"/>
      <c r="CP179" s="67" t="s">
        <v>2400</v>
      </c>
      <c r="CQ179" s="175" t="s">
        <v>3027</v>
      </c>
      <c r="CR179" s="175" t="s">
        <v>4311</v>
      </c>
      <c r="CS179" s="67"/>
      <c r="CT179" s="175" t="s">
        <v>2867</v>
      </c>
      <c r="CU179" s="175"/>
      <c r="CV179" s="181" t="s">
        <v>2879</v>
      </c>
      <c r="CW179" s="67"/>
      <c r="CX179" s="182"/>
      <c r="CY179" s="175" t="s">
        <v>2880</v>
      </c>
      <c r="CZ179" s="175"/>
      <c r="DA179" s="175" t="s">
        <v>3972</v>
      </c>
      <c r="DB179" s="175" t="s">
        <v>3972</v>
      </c>
      <c r="DC179" s="175" t="s">
        <v>4288</v>
      </c>
      <c r="DD179" s="175"/>
      <c r="DE179" s="176">
        <v>46174</v>
      </c>
      <c r="DF179" s="175"/>
      <c r="DG179" s="182"/>
      <c r="DH179" s="183">
        <v>909100</v>
      </c>
      <c r="DI179" s="67"/>
      <c r="DJ179" s="67"/>
      <c r="DK179" s="67"/>
      <c r="DL179" s="67"/>
      <c r="DM179" s="67"/>
      <c r="DN179" s="183">
        <v>0</v>
      </c>
      <c r="DO179" s="183">
        <v>0</v>
      </c>
      <c r="DP179" s="67" t="s">
        <v>2867</v>
      </c>
      <c r="DQ179" s="175"/>
      <c r="DR179" s="175"/>
      <c r="DS179" s="175" t="s">
        <v>2882</v>
      </c>
      <c r="DT179" s="175"/>
      <c r="DU179" s="175"/>
      <c r="DV179" s="175" t="s">
        <v>2883</v>
      </c>
      <c r="DW179" s="175" t="s">
        <v>2884</v>
      </c>
      <c r="DX179" s="175" t="s">
        <v>2879</v>
      </c>
    </row>
    <row r="180" spans="1:128" ht="19.5" customHeight="1">
      <c r="A180" s="173" t="s">
        <v>3268</v>
      </c>
      <c r="B180" s="174" t="s">
        <v>4312</v>
      </c>
      <c r="C180" s="67"/>
      <c r="D180" s="67"/>
      <c r="E180" s="174" t="s">
        <v>4313</v>
      </c>
      <c r="F180" s="174" t="s">
        <v>2386</v>
      </c>
      <c r="G180" s="175" t="s">
        <v>4314</v>
      </c>
      <c r="H180" s="174" t="s">
        <v>2994</v>
      </c>
      <c r="I180" s="174" t="s">
        <v>2995</v>
      </c>
      <c r="J180" s="175" t="s">
        <v>2859</v>
      </c>
      <c r="K180" s="176">
        <v>46174</v>
      </c>
      <c r="L180" s="67" t="s">
        <v>2932</v>
      </c>
      <c r="M180" s="175" t="s">
        <v>2348</v>
      </c>
      <c r="N180" s="67" t="s">
        <v>2348</v>
      </c>
      <c r="O180" s="67" t="s">
        <v>2329</v>
      </c>
      <c r="P180" s="67" t="s">
        <v>2997</v>
      </c>
      <c r="Q180" s="67"/>
      <c r="R180" s="67"/>
      <c r="S180" s="67" t="s">
        <v>104</v>
      </c>
      <c r="T180" s="177" t="s">
        <v>2998</v>
      </c>
      <c r="U180" s="67" t="s">
        <v>1247</v>
      </c>
      <c r="V180" s="67"/>
      <c r="W180" s="175" t="s">
        <v>2865</v>
      </c>
      <c r="X180" s="67" t="s">
        <v>2494</v>
      </c>
      <c r="Y180" s="67" t="s">
        <v>2866</v>
      </c>
      <c r="Z180" s="67" t="s">
        <v>2495</v>
      </c>
      <c r="AA180" s="175" t="s">
        <v>2947</v>
      </c>
      <c r="AB180" s="175" t="s">
        <v>3014</v>
      </c>
      <c r="AC180" s="175" t="s">
        <v>3015</v>
      </c>
      <c r="AD180" s="175" t="s">
        <v>3016</v>
      </c>
      <c r="AE180" s="175" t="s">
        <v>3017</v>
      </c>
      <c r="AF180" s="176"/>
      <c r="AG180" s="176"/>
      <c r="AH180" s="176"/>
      <c r="AI180" s="67"/>
      <c r="AJ180" s="67"/>
      <c r="AK180" s="67" t="s">
        <v>2867</v>
      </c>
      <c r="AL180" s="67"/>
      <c r="AM180" s="176"/>
      <c r="AN180" s="176"/>
      <c r="AO180" s="67"/>
      <c r="AP180" s="67" t="s">
        <v>2867</v>
      </c>
      <c r="AQ180" s="67" t="s">
        <v>2868</v>
      </c>
      <c r="AR180" s="175"/>
      <c r="AS180" s="175" t="s">
        <v>2869</v>
      </c>
      <c r="AT180" s="175" t="s">
        <v>2867</v>
      </c>
      <c r="AU180" s="175"/>
      <c r="AV180" s="178">
        <v>0</v>
      </c>
      <c r="AW180" s="67"/>
      <c r="AX180" s="175" t="s">
        <v>2867</v>
      </c>
      <c r="AY180" s="175" t="s">
        <v>2870</v>
      </c>
      <c r="AZ180" s="175" t="s">
        <v>2871</v>
      </c>
      <c r="BA180" s="175"/>
      <c r="BB180" s="175"/>
      <c r="BC180" s="175" t="s">
        <v>2859</v>
      </c>
      <c r="BD180" s="175" t="s">
        <v>2872</v>
      </c>
      <c r="BE180" s="175" t="s">
        <v>2873</v>
      </c>
      <c r="BF180" s="175" t="s">
        <v>2867</v>
      </c>
      <c r="BG180" s="67"/>
      <c r="BH180" s="179"/>
      <c r="BI180" s="175" t="s">
        <v>2867</v>
      </c>
      <c r="BJ180" s="175"/>
      <c r="BK180" s="175" t="s">
        <v>2867</v>
      </c>
      <c r="BL180" s="175"/>
      <c r="BM180" s="175" t="s">
        <v>3005</v>
      </c>
      <c r="BN180" s="175" t="s">
        <v>3006</v>
      </c>
      <c r="BO180" s="180"/>
      <c r="BP180" s="67" t="s">
        <v>2867</v>
      </c>
      <c r="BQ180" s="175" t="s">
        <v>1477</v>
      </c>
      <c r="BR180" s="177" t="s">
        <v>144</v>
      </c>
      <c r="BS180" s="177"/>
      <c r="BT180" s="67" t="s">
        <v>2867</v>
      </c>
      <c r="BU180" s="175"/>
      <c r="BV180" s="176"/>
      <c r="BW180" s="67" t="s">
        <v>2878</v>
      </c>
      <c r="BX180" s="175" t="s">
        <v>4315</v>
      </c>
      <c r="BY180" s="175" t="s">
        <v>1996</v>
      </c>
      <c r="BZ180" s="177"/>
      <c r="CA180" s="175"/>
      <c r="CB180" s="175"/>
      <c r="CC180" s="177"/>
      <c r="CD180" s="177"/>
      <c r="CE180" s="67"/>
      <c r="CF180" s="67"/>
      <c r="CG180" s="177"/>
      <c r="CH180" s="176"/>
      <c r="CI180" s="176"/>
      <c r="CJ180" s="175"/>
      <c r="CK180" s="67" t="s">
        <v>3027</v>
      </c>
      <c r="CL180" s="175" t="s">
        <v>929</v>
      </c>
      <c r="CM180" s="175" t="s">
        <v>3442</v>
      </c>
      <c r="CN180" s="175" t="s">
        <v>3970</v>
      </c>
      <c r="CO180" s="175"/>
      <c r="CP180" s="67" t="s">
        <v>1812</v>
      </c>
      <c r="CQ180" s="175" t="s">
        <v>3027</v>
      </c>
      <c r="CR180" s="175" t="s">
        <v>4316</v>
      </c>
      <c r="CS180" s="67"/>
      <c r="CT180" s="175" t="s">
        <v>2867</v>
      </c>
      <c r="CU180" s="175"/>
      <c r="CV180" s="181" t="s">
        <v>2879</v>
      </c>
      <c r="CW180" s="67"/>
      <c r="CX180" s="182"/>
      <c r="CY180" s="175" t="s">
        <v>2880</v>
      </c>
      <c r="CZ180" s="175"/>
      <c r="DA180" s="175" t="s">
        <v>3972</v>
      </c>
      <c r="DB180" s="175" t="s">
        <v>3972</v>
      </c>
      <c r="DC180" s="175" t="s">
        <v>4070</v>
      </c>
      <c r="DD180" s="175"/>
      <c r="DE180" s="176">
        <v>46174</v>
      </c>
      <c r="DF180" s="175"/>
      <c r="DG180" s="182"/>
      <c r="DH180" s="183">
        <v>1023500</v>
      </c>
      <c r="DI180" s="67"/>
      <c r="DJ180" s="67"/>
      <c r="DK180" s="67"/>
      <c r="DL180" s="67"/>
      <c r="DM180" s="67"/>
      <c r="DN180" s="183">
        <v>0</v>
      </c>
      <c r="DO180" s="183">
        <v>0</v>
      </c>
      <c r="DP180" s="67" t="s">
        <v>2867</v>
      </c>
      <c r="DQ180" s="175"/>
      <c r="DR180" s="175"/>
      <c r="DS180" s="175" t="s">
        <v>2882</v>
      </c>
      <c r="DT180" s="175"/>
      <c r="DU180" s="175"/>
      <c r="DV180" s="175" t="s">
        <v>2883</v>
      </c>
      <c r="DW180" s="175" t="s">
        <v>2884</v>
      </c>
      <c r="DX180" s="175" t="s">
        <v>2879</v>
      </c>
    </row>
    <row r="181" spans="1:128" ht="19.5" customHeight="1">
      <c r="A181" s="173" t="s">
        <v>3268</v>
      </c>
      <c r="B181" s="174" t="s">
        <v>4317</v>
      </c>
      <c r="C181" s="67"/>
      <c r="D181" s="67"/>
      <c r="E181" s="174" t="s">
        <v>4318</v>
      </c>
      <c r="F181" s="174" t="s">
        <v>2387</v>
      </c>
      <c r="G181" s="175" t="s">
        <v>4319</v>
      </c>
      <c r="H181" s="174" t="s">
        <v>2994</v>
      </c>
      <c r="I181" s="174" t="s">
        <v>2995</v>
      </c>
      <c r="J181" s="175" t="s">
        <v>2859</v>
      </c>
      <c r="K181" s="176">
        <v>46174</v>
      </c>
      <c r="L181" s="67" t="s">
        <v>2860</v>
      </c>
      <c r="M181" s="175" t="s">
        <v>2348</v>
      </c>
      <c r="N181" s="67" t="s">
        <v>2348</v>
      </c>
      <c r="O181" s="67" t="s">
        <v>2329</v>
      </c>
      <c r="P181" s="67" t="s">
        <v>2997</v>
      </c>
      <c r="Q181" s="67"/>
      <c r="R181" s="67"/>
      <c r="S181" s="67" t="s">
        <v>104</v>
      </c>
      <c r="T181" s="177" t="s">
        <v>2998</v>
      </c>
      <c r="U181" s="67" t="s">
        <v>119</v>
      </c>
      <c r="V181" s="67"/>
      <c r="W181" s="175" t="s">
        <v>2865</v>
      </c>
      <c r="X181" s="67" t="s">
        <v>2496</v>
      </c>
      <c r="Y181" s="67" t="s">
        <v>2866</v>
      </c>
      <c r="Z181" s="67" t="s">
        <v>2497</v>
      </c>
      <c r="AA181" s="175" t="s">
        <v>2947</v>
      </c>
      <c r="AB181" s="175" t="s">
        <v>3613</v>
      </c>
      <c r="AC181" s="175" t="s">
        <v>3614</v>
      </c>
      <c r="AD181" s="175" t="s">
        <v>3615</v>
      </c>
      <c r="AE181" s="175" t="s">
        <v>3616</v>
      </c>
      <c r="AF181" s="176"/>
      <c r="AG181" s="176"/>
      <c r="AH181" s="176"/>
      <c r="AI181" s="67"/>
      <c r="AJ181" s="67"/>
      <c r="AK181" s="67" t="s">
        <v>2867</v>
      </c>
      <c r="AL181" s="67"/>
      <c r="AM181" s="176"/>
      <c r="AN181" s="176"/>
      <c r="AO181" s="67"/>
      <c r="AP181" s="67" t="s">
        <v>2867</v>
      </c>
      <c r="AQ181" s="67" t="s">
        <v>2868</v>
      </c>
      <c r="AR181" s="175"/>
      <c r="AS181" s="175" t="s">
        <v>2869</v>
      </c>
      <c r="AT181" s="175" t="s">
        <v>2867</v>
      </c>
      <c r="AU181" s="175"/>
      <c r="AV181" s="178">
        <v>0</v>
      </c>
      <c r="AW181" s="67"/>
      <c r="AX181" s="175" t="s">
        <v>2867</v>
      </c>
      <c r="AY181" s="175" t="s">
        <v>2870</v>
      </c>
      <c r="AZ181" s="175" t="s">
        <v>2871</v>
      </c>
      <c r="BA181" s="175"/>
      <c r="BB181" s="175"/>
      <c r="BC181" s="175" t="s">
        <v>2859</v>
      </c>
      <c r="BD181" s="175" t="s">
        <v>2872</v>
      </c>
      <c r="BE181" s="175" t="s">
        <v>2873</v>
      </c>
      <c r="BF181" s="175" t="s">
        <v>2867</v>
      </c>
      <c r="BG181" s="67"/>
      <c r="BH181" s="179"/>
      <c r="BI181" s="175" t="s">
        <v>2867</v>
      </c>
      <c r="BJ181" s="175"/>
      <c r="BK181" s="175" t="s">
        <v>2867</v>
      </c>
      <c r="BL181" s="175"/>
      <c r="BM181" s="175" t="s">
        <v>3005</v>
      </c>
      <c r="BN181" s="175" t="s">
        <v>3006</v>
      </c>
      <c r="BO181" s="180"/>
      <c r="BP181" s="67" t="s">
        <v>2867</v>
      </c>
      <c r="BQ181" s="175" t="s">
        <v>1477</v>
      </c>
      <c r="BR181" s="177" t="s">
        <v>144</v>
      </c>
      <c r="BS181" s="177"/>
      <c r="BT181" s="67" t="s">
        <v>2867</v>
      </c>
      <c r="BU181" s="175"/>
      <c r="BV181" s="176"/>
      <c r="BW181" s="67" t="s">
        <v>2878</v>
      </c>
      <c r="BX181" s="175" t="s">
        <v>4320</v>
      </c>
      <c r="BY181" s="175" t="s">
        <v>1996</v>
      </c>
      <c r="BZ181" s="177"/>
      <c r="CA181" s="175"/>
      <c r="CB181" s="175"/>
      <c r="CC181" s="177"/>
      <c r="CD181" s="177"/>
      <c r="CE181" s="67"/>
      <c r="CF181" s="67"/>
      <c r="CG181" s="177"/>
      <c r="CH181" s="176"/>
      <c r="CI181" s="176"/>
      <c r="CJ181" s="175"/>
      <c r="CK181" s="67" t="s">
        <v>3027</v>
      </c>
      <c r="CL181" s="175" t="s">
        <v>929</v>
      </c>
      <c r="CM181" s="175" t="s">
        <v>3442</v>
      </c>
      <c r="CN181" s="175" t="s">
        <v>3970</v>
      </c>
      <c r="CO181" s="175"/>
      <c r="CP181" s="67" t="s">
        <v>1812</v>
      </c>
      <c r="CQ181" s="175" t="s">
        <v>3027</v>
      </c>
      <c r="CR181" s="175" t="s">
        <v>4321</v>
      </c>
      <c r="CS181" s="67"/>
      <c r="CT181" s="175" t="s">
        <v>2867</v>
      </c>
      <c r="CU181" s="175"/>
      <c r="CV181" s="181" t="s">
        <v>2879</v>
      </c>
      <c r="CW181" s="67"/>
      <c r="CX181" s="182"/>
      <c r="CY181" s="175" t="s">
        <v>2880</v>
      </c>
      <c r="CZ181" s="175"/>
      <c r="DA181" s="175" t="s">
        <v>3972</v>
      </c>
      <c r="DB181" s="175" t="s">
        <v>3972</v>
      </c>
      <c r="DC181" s="175" t="s">
        <v>4322</v>
      </c>
      <c r="DD181" s="175"/>
      <c r="DE181" s="176">
        <v>46174</v>
      </c>
      <c r="DF181" s="175"/>
      <c r="DG181" s="182"/>
      <c r="DH181" s="183">
        <v>1023500</v>
      </c>
      <c r="DI181" s="67"/>
      <c r="DJ181" s="67"/>
      <c r="DK181" s="67"/>
      <c r="DL181" s="67"/>
      <c r="DM181" s="67"/>
      <c r="DN181" s="183">
        <v>0</v>
      </c>
      <c r="DO181" s="183">
        <v>0</v>
      </c>
      <c r="DP181" s="67" t="s">
        <v>2867</v>
      </c>
      <c r="DQ181" s="175"/>
      <c r="DR181" s="175"/>
      <c r="DS181" s="175" t="s">
        <v>2882</v>
      </c>
      <c r="DT181" s="175"/>
      <c r="DU181" s="175"/>
      <c r="DV181" s="175" t="s">
        <v>2883</v>
      </c>
      <c r="DW181" s="175" t="s">
        <v>2884</v>
      </c>
      <c r="DX181" s="175" t="s">
        <v>2879</v>
      </c>
    </row>
    <row r="182" spans="1:128" ht="19.5" customHeight="1">
      <c r="A182" s="173" t="s">
        <v>3268</v>
      </c>
      <c r="B182" s="174" t="s">
        <v>4323</v>
      </c>
      <c r="C182" s="67"/>
      <c r="D182" s="67"/>
      <c r="E182" s="174" t="s">
        <v>4324</v>
      </c>
      <c r="F182" s="174" t="s">
        <v>2388</v>
      </c>
      <c r="G182" s="175" t="s">
        <v>4325</v>
      </c>
      <c r="H182" s="174" t="s">
        <v>2994</v>
      </c>
      <c r="I182" s="174" t="s">
        <v>2995</v>
      </c>
      <c r="J182" s="175" t="s">
        <v>2859</v>
      </c>
      <c r="K182" s="176">
        <v>46174</v>
      </c>
      <c r="L182" s="67" t="s">
        <v>2916</v>
      </c>
      <c r="M182" s="175" t="s">
        <v>2355</v>
      </c>
      <c r="N182" s="67" t="s">
        <v>2355</v>
      </c>
      <c r="O182" s="67" t="s">
        <v>3161</v>
      </c>
      <c r="P182" s="67" t="s">
        <v>3162</v>
      </c>
      <c r="Q182" s="67"/>
      <c r="R182" s="67"/>
      <c r="S182" s="67" t="s">
        <v>104</v>
      </c>
      <c r="T182" s="177" t="s">
        <v>2998</v>
      </c>
      <c r="U182" s="67" t="s">
        <v>119</v>
      </c>
      <c r="V182" s="67"/>
      <c r="W182" s="175" t="s">
        <v>2865</v>
      </c>
      <c r="X182" s="67" t="s">
        <v>2498</v>
      </c>
      <c r="Y182" s="67" t="s">
        <v>2866</v>
      </c>
      <c r="Z182" s="67" t="s">
        <v>2499</v>
      </c>
      <c r="AA182" s="175" t="s">
        <v>2947</v>
      </c>
      <c r="AB182" s="175" t="s">
        <v>4326</v>
      </c>
      <c r="AC182" s="175" t="s">
        <v>4327</v>
      </c>
      <c r="AD182" s="175" t="s">
        <v>4328</v>
      </c>
      <c r="AE182" s="175" t="s">
        <v>4329</v>
      </c>
      <c r="AF182" s="176"/>
      <c r="AG182" s="176"/>
      <c r="AH182" s="176"/>
      <c r="AI182" s="67"/>
      <c r="AJ182" s="67"/>
      <c r="AK182" s="67" t="s">
        <v>2867</v>
      </c>
      <c r="AL182" s="67"/>
      <c r="AM182" s="176"/>
      <c r="AN182" s="176"/>
      <c r="AO182" s="67"/>
      <c r="AP182" s="67" t="s">
        <v>2867</v>
      </c>
      <c r="AQ182" s="67" t="s">
        <v>2868</v>
      </c>
      <c r="AR182" s="175"/>
      <c r="AS182" s="175" t="s">
        <v>2869</v>
      </c>
      <c r="AT182" s="175" t="s">
        <v>2867</v>
      </c>
      <c r="AU182" s="175"/>
      <c r="AV182" s="178">
        <v>0</v>
      </c>
      <c r="AW182" s="67"/>
      <c r="AX182" s="175" t="s">
        <v>2867</v>
      </c>
      <c r="AY182" s="175" t="s">
        <v>2870</v>
      </c>
      <c r="AZ182" s="175" t="s">
        <v>2871</v>
      </c>
      <c r="BA182" s="175"/>
      <c r="BB182" s="175"/>
      <c r="BC182" s="175" t="s">
        <v>2859</v>
      </c>
      <c r="BD182" s="175" t="s">
        <v>2872</v>
      </c>
      <c r="BE182" s="175" t="s">
        <v>2873</v>
      </c>
      <c r="BF182" s="175" t="s">
        <v>2867</v>
      </c>
      <c r="BG182" s="67"/>
      <c r="BH182" s="179"/>
      <c r="BI182" s="175" t="s">
        <v>2867</v>
      </c>
      <c r="BJ182" s="175"/>
      <c r="BK182" s="175" t="s">
        <v>2867</v>
      </c>
      <c r="BL182" s="175"/>
      <c r="BM182" s="175" t="s">
        <v>3005</v>
      </c>
      <c r="BN182" s="175" t="s">
        <v>3006</v>
      </c>
      <c r="BO182" s="180"/>
      <c r="BP182" s="67" t="s">
        <v>2867</v>
      </c>
      <c r="BQ182" s="175" t="s">
        <v>1477</v>
      </c>
      <c r="BR182" s="177" t="s">
        <v>144</v>
      </c>
      <c r="BS182" s="177"/>
      <c r="BT182" s="67" t="s">
        <v>2867</v>
      </c>
      <c r="BU182" s="175"/>
      <c r="BV182" s="176"/>
      <c r="BW182" s="67" t="s">
        <v>2878</v>
      </c>
      <c r="BX182" s="175" t="s">
        <v>4330</v>
      </c>
      <c r="BY182" s="175" t="s">
        <v>1996</v>
      </c>
      <c r="BZ182" s="177"/>
      <c r="CA182" s="175"/>
      <c r="CB182" s="175"/>
      <c r="CC182" s="177"/>
      <c r="CD182" s="177"/>
      <c r="CE182" s="67"/>
      <c r="CF182" s="67"/>
      <c r="CG182" s="177"/>
      <c r="CH182" s="176"/>
      <c r="CI182" s="176"/>
      <c r="CJ182" s="175"/>
      <c r="CK182" s="67" t="s">
        <v>3027</v>
      </c>
      <c r="CL182" s="175" t="s">
        <v>929</v>
      </c>
      <c r="CM182" s="175" t="s">
        <v>3442</v>
      </c>
      <c r="CN182" s="175"/>
      <c r="CO182" s="175"/>
      <c r="CP182" s="67" t="s">
        <v>1815</v>
      </c>
      <c r="CQ182" s="175" t="s">
        <v>3027</v>
      </c>
      <c r="CR182" s="175"/>
      <c r="CS182" s="67"/>
      <c r="CT182" s="175" t="s">
        <v>2867</v>
      </c>
      <c r="CU182" s="175"/>
      <c r="CV182" s="181" t="s">
        <v>2879</v>
      </c>
      <c r="CW182" s="67"/>
      <c r="CX182" s="182"/>
      <c r="CY182" s="175" t="s">
        <v>2880</v>
      </c>
      <c r="CZ182" s="175"/>
      <c r="DA182" s="175" t="s">
        <v>3972</v>
      </c>
      <c r="DB182" s="175" t="s">
        <v>3972</v>
      </c>
      <c r="DC182" s="175" t="s">
        <v>4070</v>
      </c>
      <c r="DD182" s="175"/>
      <c r="DE182" s="176">
        <v>46174</v>
      </c>
      <c r="DF182" s="175"/>
      <c r="DG182" s="182"/>
      <c r="DH182" s="183">
        <v>1023500</v>
      </c>
      <c r="DI182" s="67"/>
      <c r="DJ182" s="67"/>
      <c r="DK182" s="67"/>
      <c r="DL182" s="67"/>
      <c r="DM182" s="67"/>
      <c r="DN182" s="183">
        <v>0</v>
      </c>
      <c r="DO182" s="183">
        <v>0</v>
      </c>
      <c r="DP182" s="67" t="s">
        <v>2867</v>
      </c>
      <c r="DQ182" s="175"/>
      <c r="DR182" s="175"/>
      <c r="DS182" s="175" t="s">
        <v>2882</v>
      </c>
      <c r="DT182" s="175"/>
      <c r="DU182" s="175"/>
      <c r="DV182" s="175" t="s">
        <v>2883</v>
      </c>
      <c r="DW182" s="175" t="s">
        <v>2884</v>
      </c>
      <c r="DX182" s="175" t="s">
        <v>2879</v>
      </c>
    </row>
    <row r="183" spans="1:128" ht="19.5" customHeight="1">
      <c r="A183" s="173" t="s">
        <v>3268</v>
      </c>
      <c r="B183" s="174" t="s">
        <v>4331</v>
      </c>
      <c r="C183" s="67"/>
      <c r="D183" s="67"/>
      <c r="E183" s="174" t="s">
        <v>4332</v>
      </c>
      <c r="F183" s="174" t="s">
        <v>2389</v>
      </c>
      <c r="G183" s="175" t="s">
        <v>4333</v>
      </c>
      <c r="H183" s="174" t="s">
        <v>2994</v>
      </c>
      <c r="I183" s="174" t="s">
        <v>2995</v>
      </c>
      <c r="J183" s="175" t="s">
        <v>2859</v>
      </c>
      <c r="K183" s="176">
        <v>46174</v>
      </c>
      <c r="L183" s="67" t="s">
        <v>3062</v>
      </c>
      <c r="M183" s="175" t="s">
        <v>2334</v>
      </c>
      <c r="N183" s="67" t="s">
        <v>2334</v>
      </c>
      <c r="O183" s="67" t="s">
        <v>2327</v>
      </c>
      <c r="P183" s="67" t="s">
        <v>2890</v>
      </c>
      <c r="Q183" s="67"/>
      <c r="R183" s="67"/>
      <c r="S183" s="67" t="s">
        <v>103</v>
      </c>
      <c r="T183" s="177" t="s">
        <v>2998</v>
      </c>
      <c r="U183" s="67" t="s">
        <v>1270</v>
      </c>
      <c r="V183" s="67"/>
      <c r="W183" s="175" t="s">
        <v>2865</v>
      </c>
      <c r="X183" s="67" t="s">
        <v>2500</v>
      </c>
      <c r="Y183" s="67" t="s">
        <v>2866</v>
      </c>
      <c r="Z183" s="67" t="s">
        <v>2501</v>
      </c>
      <c r="AA183" s="175" t="s">
        <v>2947</v>
      </c>
      <c r="AB183" s="175" t="s">
        <v>3023</v>
      </c>
      <c r="AC183" s="175" t="s">
        <v>3024</v>
      </c>
      <c r="AD183" s="175" t="s">
        <v>3025</v>
      </c>
      <c r="AE183" s="175" t="s">
        <v>3026</v>
      </c>
      <c r="AF183" s="176"/>
      <c r="AG183" s="176"/>
      <c r="AH183" s="176"/>
      <c r="AI183" s="67"/>
      <c r="AJ183" s="67"/>
      <c r="AK183" s="67" t="s">
        <v>2867</v>
      </c>
      <c r="AL183" s="67"/>
      <c r="AM183" s="176"/>
      <c r="AN183" s="176"/>
      <c r="AO183" s="67"/>
      <c r="AP183" s="67" t="s">
        <v>2867</v>
      </c>
      <c r="AQ183" s="67" t="s">
        <v>2868</v>
      </c>
      <c r="AR183" s="175"/>
      <c r="AS183" s="175" t="s">
        <v>2869</v>
      </c>
      <c r="AT183" s="175" t="s">
        <v>2867</v>
      </c>
      <c r="AU183" s="175"/>
      <c r="AV183" s="178">
        <v>0</v>
      </c>
      <c r="AW183" s="67"/>
      <c r="AX183" s="175" t="s">
        <v>2867</v>
      </c>
      <c r="AY183" s="175" t="s">
        <v>2870</v>
      </c>
      <c r="AZ183" s="175" t="s">
        <v>2871</v>
      </c>
      <c r="BA183" s="175"/>
      <c r="BB183" s="175"/>
      <c r="BC183" s="175" t="s">
        <v>2859</v>
      </c>
      <c r="BD183" s="175" t="s">
        <v>2872</v>
      </c>
      <c r="BE183" s="175" t="s">
        <v>2873</v>
      </c>
      <c r="BF183" s="175" t="s">
        <v>2867</v>
      </c>
      <c r="BG183" s="67"/>
      <c r="BH183" s="179"/>
      <c r="BI183" s="175" t="s">
        <v>2867</v>
      </c>
      <c r="BJ183" s="175"/>
      <c r="BK183" s="175" t="s">
        <v>2867</v>
      </c>
      <c r="BL183" s="175"/>
      <c r="BM183" s="175" t="s">
        <v>3005</v>
      </c>
      <c r="BN183" s="175" t="s">
        <v>3006</v>
      </c>
      <c r="BO183" s="180"/>
      <c r="BP183" s="67" t="s">
        <v>2867</v>
      </c>
      <c r="BQ183" s="175" t="s">
        <v>1477</v>
      </c>
      <c r="BR183" s="177" t="s">
        <v>144</v>
      </c>
      <c r="BS183" s="177"/>
      <c r="BT183" s="67" t="s">
        <v>2867</v>
      </c>
      <c r="BU183" s="175"/>
      <c r="BV183" s="176"/>
      <c r="BW183" s="67" t="s">
        <v>2878</v>
      </c>
      <c r="BX183" s="175" t="s">
        <v>4334</v>
      </c>
      <c r="BY183" s="175" t="s">
        <v>1996</v>
      </c>
      <c r="BZ183" s="177"/>
      <c r="CA183" s="175" t="s">
        <v>4335</v>
      </c>
      <c r="CB183" s="175"/>
      <c r="CC183" s="177"/>
      <c r="CD183" s="177"/>
      <c r="CE183" s="67"/>
      <c r="CF183" s="67"/>
      <c r="CG183" s="177"/>
      <c r="CH183" s="176"/>
      <c r="CI183" s="176"/>
      <c r="CJ183" s="175"/>
      <c r="CK183" s="67" t="s">
        <v>3027</v>
      </c>
      <c r="CL183" s="175" t="s">
        <v>929</v>
      </c>
      <c r="CM183" s="175" t="s">
        <v>3418</v>
      </c>
      <c r="CN183" s="175"/>
      <c r="CO183" s="175"/>
      <c r="CP183" s="67" t="s">
        <v>1813</v>
      </c>
      <c r="CQ183" s="175" t="s">
        <v>3027</v>
      </c>
      <c r="CR183" s="175"/>
      <c r="CS183" s="67"/>
      <c r="CT183" s="175" t="s">
        <v>2867</v>
      </c>
      <c r="CU183" s="175"/>
      <c r="CV183" s="181" t="s">
        <v>2879</v>
      </c>
      <c r="CW183" s="67"/>
      <c r="CX183" s="182"/>
      <c r="CY183" s="175" t="s">
        <v>2880</v>
      </c>
      <c r="CZ183" s="175"/>
      <c r="DA183" s="175" t="s">
        <v>3972</v>
      </c>
      <c r="DB183" s="175" t="s">
        <v>3972</v>
      </c>
      <c r="DC183" s="175" t="s">
        <v>4070</v>
      </c>
      <c r="DD183" s="175"/>
      <c r="DE183" s="176">
        <v>46174</v>
      </c>
      <c r="DF183" s="175"/>
      <c r="DG183" s="182"/>
      <c r="DH183" s="183">
        <v>1023500</v>
      </c>
      <c r="DI183" s="67"/>
      <c r="DJ183" s="67"/>
      <c r="DK183" s="67"/>
      <c r="DL183" s="67"/>
      <c r="DM183" s="67"/>
      <c r="DN183" s="183">
        <v>0</v>
      </c>
      <c r="DO183" s="183">
        <v>0</v>
      </c>
      <c r="DP183" s="67" t="s">
        <v>2867</v>
      </c>
      <c r="DQ183" s="175"/>
      <c r="DR183" s="175"/>
      <c r="DS183" s="175" t="s">
        <v>2882</v>
      </c>
      <c r="DT183" s="175"/>
      <c r="DU183" s="175"/>
      <c r="DV183" s="175" t="s">
        <v>2883</v>
      </c>
      <c r="DW183" s="175" t="s">
        <v>2884</v>
      </c>
      <c r="DX183" s="175" t="s">
        <v>2879</v>
      </c>
    </row>
    <row r="184" spans="1:128" ht="19.5" customHeight="1">
      <c r="A184" s="173" t="s">
        <v>3268</v>
      </c>
      <c r="B184" s="174" t="s">
        <v>4336</v>
      </c>
      <c r="C184" s="67"/>
      <c r="D184" s="67"/>
      <c r="E184" s="174" t="s">
        <v>4337</v>
      </c>
      <c r="F184" s="174" t="s">
        <v>2390</v>
      </c>
      <c r="G184" s="175" t="s">
        <v>4338</v>
      </c>
      <c r="H184" s="174" t="s">
        <v>2994</v>
      </c>
      <c r="I184" s="174" t="s">
        <v>2995</v>
      </c>
      <c r="J184" s="175" t="s">
        <v>2859</v>
      </c>
      <c r="K184" s="176">
        <v>46174</v>
      </c>
      <c r="L184" s="67" t="s">
        <v>2901</v>
      </c>
      <c r="M184" s="175" t="s">
        <v>2334</v>
      </c>
      <c r="N184" s="67" t="s">
        <v>2334</v>
      </c>
      <c r="O184" s="67" t="s">
        <v>2327</v>
      </c>
      <c r="P184" s="67" t="s">
        <v>2890</v>
      </c>
      <c r="Q184" s="67"/>
      <c r="R184" s="67"/>
      <c r="S184" s="67" t="s">
        <v>103</v>
      </c>
      <c r="T184" s="177" t="s">
        <v>2998</v>
      </c>
      <c r="U184" s="67" t="s">
        <v>1270</v>
      </c>
      <c r="V184" s="67"/>
      <c r="W184" s="175" t="s">
        <v>2865</v>
      </c>
      <c r="X184" s="67" t="s">
        <v>2502</v>
      </c>
      <c r="Y184" s="67" t="s">
        <v>3169</v>
      </c>
      <c r="Z184" s="67" t="s">
        <v>2503</v>
      </c>
      <c r="AA184" s="175" t="s">
        <v>2947</v>
      </c>
      <c r="AB184" s="175" t="s">
        <v>4339</v>
      </c>
      <c r="AC184" s="175" t="s">
        <v>4340</v>
      </c>
      <c r="AD184" s="175" t="s">
        <v>4341</v>
      </c>
      <c r="AE184" s="175" t="s">
        <v>4342</v>
      </c>
      <c r="AF184" s="176"/>
      <c r="AG184" s="176"/>
      <c r="AH184" s="176"/>
      <c r="AI184" s="67"/>
      <c r="AJ184" s="67"/>
      <c r="AK184" s="67" t="s">
        <v>2867</v>
      </c>
      <c r="AL184" s="67"/>
      <c r="AM184" s="176"/>
      <c r="AN184" s="176"/>
      <c r="AO184" s="67"/>
      <c r="AP184" s="67" t="s">
        <v>2867</v>
      </c>
      <c r="AQ184" s="67" t="s">
        <v>2868</v>
      </c>
      <c r="AR184" s="175"/>
      <c r="AS184" s="175" t="s">
        <v>2869</v>
      </c>
      <c r="AT184" s="175" t="s">
        <v>2867</v>
      </c>
      <c r="AU184" s="175"/>
      <c r="AV184" s="178">
        <v>0</v>
      </c>
      <c r="AW184" s="67"/>
      <c r="AX184" s="175" t="s">
        <v>2867</v>
      </c>
      <c r="AY184" s="175" t="s">
        <v>2870</v>
      </c>
      <c r="AZ184" s="175" t="s">
        <v>2871</v>
      </c>
      <c r="BA184" s="175"/>
      <c r="BB184" s="175"/>
      <c r="BC184" s="175" t="s">
        <v>2859</v>
      </c>
      <c r="BD184" s="175" t="s">
        <v>2872</v>
      </c>
      <c r="BE184" s="175" t="s">
        <v>2873</v>
      </c>
      <c r="BF184" s="175" t="s">
        <v>2867</v>
      </c>
      <c r="BG184" s="67"/>
      <c r="BH184" s="179"/>
      <c r="BI184" s="175" t="s">
        <v>2867</v>
      </c>
      <c r="BJ184" s="175"/>
      <c r="BK184" s="175" t="s">
        <v>2867</v>
      </c>
      <c r="BL184" s="175"/>
      <c r="BM184" s="175" t="s">
        <v>4153</v>
      </c>
      <c r="BN184" s="175" t="s">
        <v>4154</v>
      </c>
      <c r="BO184" s="180"/>
      <c r="BP184" s="67" t="s">
        <v>2867</v>
      </c>
      <c r="BQ184" s="175" t="s">
        <v>2523</v>
      </c>
      <c r="BR184" s="177" t="s">
        <v>2332</v>
      </c>
      <c r="BS184" s="177"/>
      <c r="BT184" s="67" t="s">
        <v>2867</v>
      </c>
      <c r="BU184" s="175"/>
      <c r="BV184" s="176"/>
      <c r="BW184" s="67" t="s">
        <v>2878</v>
      </c>
      <c r="BX184" s="175" t="s">
        <v>4343</v>
      </c>
      <c r="BY184" s="175" t="s">
        <v>1996</v>
      </c>
      <c r="BZ184" s="177"/>
      <c r="CA184" s="175"/>
      <c r="CB184" s="175"/>
      <c r="CC184" s="177"/>
      <c r="CD184" s="177"/>
      <c r="CE184" s="67"/>
      <c r="CF184" s="67"/>
      <c r="CG184" s="177"/>
      <c r="CH184" s="176"/>
      <c r="CI184" s="176"/>
      <c r="CJ184" s="175"/>
      <c r="CK184" s="67" t="s">
        <v>3027</v>
      </c>
      <c r="CL184" s="175" t="s">
        <v>929</v>
      </c>
      <c r="CM184" s="175" t="s">
        <v>4344</v>
      </c>
      <c r="CN184" s="175"/>
      <c r="CO184" s="175"/>
      <c r="CP184" s="67" t="s">
        <v>2523</v>
      </c>
      <c r="CQ184" s="175" t="s">
        <v>2867</v>
      </c>
      <c r="CR184" s="175"/>
      <c r="CS184" s="67"/>
      <c r="CT184" s="175" t="s">
        <v>2867</v>
      </c>
      <c r="CU184" s="175"/>
      <c r="CV184" s="181" t="s">
        <v>2879</v>
      </c>
      <c r="CW184" s="67"/>
      <c r="CX184" s="182"/>
      <c r="CY184" s="175" t="s">
        <v>2880</v>
      </c>
      <c r="CZ184" s="175"/>
      <c r="DA184" s="175" t="s">
        <v>3972</v>
      </c>
      <c r="DB184" s="175" t="s">
        <v>3972</v>
      </c>
      <c r="DC184" s="175" t="s">
        <v>4345</v>
      </c>
      <c r="DD184" s="175"/>
      <c r="DE184" s="176">
        <v>46174</v>
      </c>
      <c r="DF184" s="175"/>
      <c r="DG184" s="182"/>
      <c r="DH184" s="183">
        <v>804600</v>
      </c>
      <c r="DI184" s="67"/>
      <c r="DJ184" s="67"/>
      <c r="DK184" s="67"/>
      <c r="DL184" s="67"/>
      <c r="DM184" s="67"/>
      <c r="DN184" s="183">
        <v>0</v>
      </c>
      <c r="DO184" s="183">
        <v>0</v>
      </c>
      <c r="DP184" s="67" t="s">
        <v>2867</v>
      </c>
      <c r="DQ184" s="175"/>
      <c r="DR184" s="175"/>
      <c r="DS184" s="175" t="s">
        <v>2882</v>
      </c>
      <c r="DT184" s="175"/>
      <c r="DU184" s="175"/>
      <c r="DV184" s="175" t="s">
        <v>2883</v>
      </c>
      <c r="DW184" s="175" t="s">
        <v>2884</v>
      </c>
      <c r="DX184" s="175" t="s">
        <v>2879</v>
      </c>
    </row>
    <row r="185" spans="1:128" ht="19.5" customHeight="1">
      <c r="A185" s="173"/>
      <c r="B185" s="174" t="s">
        <v>4346</v>
      </c>
      <c r="C185" s="67"/>
      <c r="D185" s="67"/>
      <c r="E185" s="174" t="s">
        <v>4347</v>
      </c>
      <c r="F185" s="174" t="s">
        <v>2391</v>
      </c>
      <c r="G185" s="175" t="s">
        <v>4348</v>
      </c>
      <c r="H185" s="174" t="s">
        <v>2994</v>
      </c>
      <c r="I185" s="174" t="s">
        <v>2995</v>
      </c>
      <c r="J185" s="175" t="s">
        <v>2859</v>
      </c>
      <c r="K185" s="176">
        <v>46174</v>
      </c>
      <c r="L185" s="67" t="s">
        <v>2969</v>
      </c>
      <c r="M185" s="175" t="s">
        <v>2392</v>
      </c>
      <c r="N185" s="67" t="s">
        <v>2392</v>
      </c>
      <c r="O185" s="67" t="s">
        <v>3843</v>
      </c>
      <c r="P185" s="67" t="s">
        <v>3844</v>
      </c>
      <c r="Q185" s="67"/>
      <c r="R185" s="67"/>
      <c r="S185" s="67" t="s">
        <v>975</v>
      </c>
      <c r="T185" s="177" t="s">
        <v>2998</v>
      </c>
      <c r="U185" s="67" t="s">
        <v>1247</v>
      </c>
      <c r="V185" s="67"/>
      <c r="W185" s="175" t="s">
        <v>2865</v>
      </c>
      <c r="X185" s="67" t="s">
        <v>2504</v>
      </c>
      <c r="Y185" s="67" t="s">
        <v>2866</v>
      </c>
      <c r="Z185" s="67" t="s">
        <v>2505</v>
      </c>
      <c r="AA185" s="175" t="s">
        <v>2947</v>
      </c>
      <c r="AB185" s="175" t="s">
        <v>4349</v>
      </c>
      <c r="AC185" s="175" t="s">
        <v>4350</v>
      </c>
      <c r="AD185" s="175" t="s">
        <v>4351</v>
      </c>
      <c r="AE185" s="175" t="s">
        <v>4352</v>
      </c>
      <c r="AF185" s="176"/>
      <c r="AG185" s="176"/>
      <c r="AH185" s="176"/>
      <c r="AI185" s="67"/>
      <c r="AJ185" s="67"/>
      <c r="AK185" s="67" t="s">
        <v>2867</v>
      </c>
      <c r="AL185" s="67"/>
      <c r="AM185" s="176"/>
      <c r="AN185" s="176"/>
      <c r="AO185" s="67"/>
      <c r="AP185" s="67" t="s">
        <v>2867</v>
      </c>
      <c r="AQ185" s="67" t="s">
        <v>2868</v>
      </c>
      <c r="AR185" s="175"/>
      <c r="AS185" s="175" t="s">
        <v>2869</v>
      </c>
      <c r="AT185" s="175" t="s">
        <v>2867</v>
      </c>
      <c r="AU185" s="175"/>
      <c r="AV185" s="178">
        <v>0</v>
      </c>
      <c r="AW185" s="67"/>
      <c r="AX185" s="175" t="s">
        <v>2867</v>
      </c>
      <c r="AY185" s="175" t="s">
        <v>2870</v>
      </c>
      <c r="AZ185" s="175" t="s">
        <v>2871</v>
      </c>
      <c r="BA185" s="175"/>
      <c r="BB185" s="175"/>
      <c r="BC185" s="175" t="s">
        <v>2859</v>
      </c>
      <c r="BD185" s="175" t="s">
        <v>2872</v>
      </c>
      <c r="BE185" s="175" t="s">
        <v>2873</v>
      </c>
      <c r="BF185" s="175" t="s">
        <v>2867</v>
      </c>
      <c r="BG185" s="67"/>
      <c r="BH185" s="179"/>
      <c r="BI185" s="175" t="s">
        <v>2867</v>
      </c>
      <c r="BJ185" s="175"/>
      <c r="BK185" s="175" t="s">
        <v>2867</v>
      </c>
      <c r="BL185" s="175"/>
      <c r="BM185" s="175" t="s">
        <v>4353</v>
      </c>
      <c r="BN185" s="175" t="s">
        <v>4354</v>
      </c>
      <c r="BO185" s="180"/>
      <c r="BP185" s="67" t="s">
        <v>2867</v>
      </c>
      <c r="BQ185" s="175" t="s">
        <v>1904</v>
      </c>
      <c r="BR185" s="177" t="s">
        <v>337</v>
      </c>
      <c r="BS185" s="177"/>
      <c r="BT185" s="67" t="s">
        <v>2867</v>
      </c>
      <c r="BU185" s="175"/>
      <c r="BV185" s="176"/>
      <c r="BW185" s="67" t="s">
        <v>2878</v>
      </c>
      <c r="BX185" s="175" t="s">
        <v>4355</v>
      </c>
      <c r="BY185" s="175" t="s">
        <v>1996</v>
      </c>
      <c r="BZ185" s="177"/>
      <c r="CA185" s="175"/>
      <c r="CB185" s="175"/>
      <c r="CC185" s="177"/>
      <c r="CD185" s="177"/>
      <c r="CE185" s="67"/>
      <c r="CF185" s="67"/>
      <c r="CG185" s="177"/>
      <c r="CH185" s="176"/>
      <c r="CI185" s="176"/>
      <c r="CJ185" s="175"/>
      <c r="CK185" s="67" t="s">
        <v>2867</v>
      </c>
      <c r="CL185" s="175"/>
      <c r="CM185" s="175"/>
      <c r="CN185" s="175"/>
      <c r="CO185" s="175"/>
      <c r="CP185" s="67" t="s">
        <v>1889</v>
      </c>
      <c r="CQ185" s="175" t="s">
        <v>3027</v>
      </c>
      <c r="CR185" s="175"/>
      <c r="CS185" s="67" t="s">
        <v>1889</v>
      </c>
      <c r="CT185" s="175" t="s">
        <v>3027</v>
      </c>
      <c r="CU185" s="175"/>
      <c r="CV185" s="181" t="s">
        <v>2879</v>
      </c>
      <c r="CW185" s="67"/>
      <c r="CX185" s="182"/>
      <c r="CY185" s="175" t="s">
        <v>2880</v>
      </c>
      <c r="CZ185" s="175"/>
      <c r="DA185" s="175" t="s">
        <v>3972</v>
      </c>
      <c r="DB185" s="175" t="s">
        <v>3972</v>
      </c>
      <c r="DC185" s="175" t="s">
        <v>4245</v>
      </c>
      <c r="DD185" s="175"/>
      <c r="DE185" s="176">
        <v>46174</v>
      </c>
      <c r="DF185" s="175"/>
      <c r="DG185" s="182"/>
      <c r="DH185" s="183">
        <v>486700</v>
      </c>
      <c r="DI185" s="67"/>
      <c r="DJ185" s="67"/>
      <c r="DK185" s="67"/>
      <c r="DL185" s="67"/>
      <c r="DM185" s="67"/>
      <c r="DN185" s="183">
        <v>0</v>
      </c>
      <c r="DO185" s="183">
        <v>0</v>
      </c>
      <c r="DP185" s="67" t="s">
        <v>2867</v>
      </c>
      <c r="DQ185" s="175"/>
      <c r="DR185" s="175"/>
      <c r="DS185" s="175" t="s">
        <v>2882</v>
      </c>
      <c r="DT185" s="175"/>
      <c r="DU185" s="175"/>
      <c r="DV185" s="175" t="s">
        <v>2883</v>
      </c>
      <c r="DW185" s="175" t="s">
        <v>2884</v>
      </c>
      <c r="DX185" s="175" t="s">
        <v>2879</v>
      </c>
    </row>
    <row r="186" spans="1:128" ht="19.5" customHeight="1">
      <c r="A186" s="173"/>
      <c r="B186" s="174" t="s">
        <v>4356</v>
      </c>
      <c r="C186" s="67"/>
      <c r="D186" s="67"/>
      <c r="E186" s="174" t="s">
        <v>4357</v>
      </c>
      <c r="F186" s="174" t="s">
        <v>2393</v>
      </c>
      <c r="G186" s="175" t="s">
        <v>4358</v>
      </c>
      <c r="H186" s="174" t="s">
        <v>2994</v>
      </c>
      <c r="I186" s="174" t="s">
        <v>2995</v>
      </c>
      <c r="J186" s="175" t="s">
        <v>2859</v>
      </c>
      <c r="K186" s="176">
        <v>46174</v>
      </c>
      <c r="L186" s="67" t="s">
        <v>2921</v>
      </c>
      <c r="M186" s="175" t="s">
        <v>2392</v>
      </c>
      <c r="N186" s="67" t="s">
        <v>2392</v>
      </c>
      <c r="O186" s="67" t="s">
        <v>3843</v>
      </c>
      <c r="P186" s="67" t="s">
        <v>3844</v>
      </c>
      <c r="Q186" s="67"/>
      <c r="R186" s="67"/>
      <c r="S186" s="67" t="s">
        <v>975</v>
      </c>
      <c r="T186" s="177" t="s">
        <v>2998</v>
      </c>
      <c r="U186" s="67" t="s">
        <v>1247</v>
      </c>
      <c r="V186" s="67"/>
      <c r="W186" s="175" t="s">
        <v>2865</v>
      </c>
      <c r="X186" s="67" t="s">
        <v>2506</v>
      </c>
      <c r="Y186" s="67" t="s">
        <v>2866</v>
      </c>
      <c r="Z186" s="67" t="s">
        <v>2507</v>
      </c>
      <c r="AA186" s="175" t="s">
        <v>2947</v>
      </c>
      <c r="AB186" s="175" t="s">
        <v>4359</v>
      </c>
      <c r="AC186" s="175" t="s">
        <v>4360</v>
      </c>
      <c r="AD186" s="175" t="s">
        <v>4361</v>
      </c>
      <c r="AE186" s="175" t="s">
        <v>4362</v>
      </c>
      <c r="AF186" s="176"/>
      <c r="AG186" s="176"/>
      <c r="AH186" s="176"/>
      <c r="AI186" s="67"/>
      <c r="AJ186" s="67"/>
      <c r="AK186" s="67" t="s">
        <v>2867</v>
      </c>
      <c r="AL186" s="67"/>
      <c r="AM186" s="176"/>
      <c r="AN186" s="176"/>
      <c r="AO186" s="67"/>
      <c r="AP186" s="67" t="s">
        <v>2867</v>
      </c>
      <c r="AQ186" s="67" t="s">
        <v>2868</v>
      </c>
      <c r="AR186" s="175"/>
      <c r="AS186" s="175" t="s">
        <v>2869</v>
      </c>
      <c r="AT186" s="175" t="s">
        <v>2867</v>
      </c>
      <c r="AU186" s="175"/>
      <c r="AV186" s="178">
        <v>0</v>
      </c>
      <c r="AW186" s="67"/>
      <c r="AX186" s="175" t="s">
        <v>2867</v>
      </c>
      <c r="AY186" s="175" t="s">
        <v>2870</v>
      </c>
      <c r="AZ186" s="175" t="s">
        <v>2871</v>
      </c>
      <c r="BA186" s="175"/>
      <c r="BB186" s="175"/>
      <c r="BC186" s="175" t="s">
        <v>2859</v>
      </c>
      <c r="BD186" s="175" t="s">
        <v>2872</v>
      </c>
      <c r="BE186" s="175" t="s">
        <v>2873</v>
      </c>
      <c r="BF186" s="175" t="s">
        <v>2867</v>
      </c>
      <c r="BG186" s="67"/>
      <c r="BH186" s="179"/>
      <c r="BI186" s="175" t="s">
        <v>2867</v>
      </c>
      <c r="BJ186" s="175"/>
      <c r="BK186" s="175" t="s">
        <v>2867</v>
      </c>
      <c r="BL186" s="175"/>
      <c r="BM186" s="175" t="s">
        <v>4353</v>
      </c>
      <c r="BN186" s="175" t="s">
        <v>4354</v>
      </c>
      <c r="BO186" s="180"/>
      <c r="BP186" s="67" t="s">
        <v>2867</v>
      </c>
      <c r="BQ186" s="175" t="s">
        <v>1904</v>
      </c>
      <c r="BR186" s="177" t="s">
        <v>337</v>
      </c>
      <c r="BS186" s="177"/>
      <c r="BT186" s="67" t="s">
        <v>2867</v>
      </c>
      <c r="BU186" s="175"/>
      <c r="BV186" s="176"/>
      <c r="BW186" s="67" t="s">
        <v>2878</v>
      </c>
      <c r="BX186" s="175" t="s">
        <v>4363</v>
      </c>
      <c r="BY186" s="175" t="s">
        <v>1996</v>
      </c>
      <c r="BZ186" s="177"/>
      <c r="CA186" s="175"/>
      <c r="CB186" s="175"/>
      <c r="CC186" s="177"/>
      <c r="CD186" s="177"/>
      <c r="CE186" s="67"/>
      <c r="CF186" s="67"/>
      <c r="CG186" s="177"/>
      <c r="CH186" s="176"/>
      <c r="CI186" s="176"/>
      <c r="CJ186" s="175"/>
      <c r="CK186" s="67" t="s">
        <v>2867</v>
      </c>
      <c r="CL186" s="175"/>
      <c r="CM186" s="175"/>
      <c r="CN186" s="175"/>
      <c r="CO186" s="175"/>
      <c r="CP186" s="67" t="s">
        <v>1889</v>
      </c>
      <c r="CQ186" s="175" t="s">
        <v>3027</v>
      </c>
      <c r="CR186" s="175"/>
      <c r="CS186" s="67" t="s">
        <v>1889</v>
      </c>
      <c r="CT186" s="175" t="s">
        <v>3027</v>
      </c>
      <c r="CU186" s="175"/>
      <c r="CV186" s="181" t="s">
        <v>2879</v>
      </c>
      <c r="CW186" s="67"/>
      <c r="CX186" s="182"/>
      <c r="CY186" s="175" t="s">
        <v>2880</v>
      </c>
      <c r="CZ186" s="175"/>
      <c r="DA186" s="175" t="s">
        <v>3972</v>
      </c>
      <c r="DB186" s="175" t="s">
        <v>3972</v>
      </c>
      <c r="DC186" s="175" t="s">
        <v>4245</v>
      </c>
      <c r="DD186" s="175"/>
      <c r="DE186" s="176">
        <v>46174</v>
      </c>
      <c r="DF186" s="175"/>
      <c r="DG186" s="182"/>
      <c r="DH186" s="183">
        <v>486700</v>
      </c>
      <c r="DI186" s="67"/>
      <c r="DJ186" s="67"/>
      <c r="DK186" s="67"/>
      <c r="DL186" s="67"/>
      <c r="DM186" s="67"/>
      <c r="DN186" s="183">
        <v>0</v>
      </c>
      <c r="DO186" s="183">
        <v>0</v>
      </c>
      <c r="DP186" s="67" t="s">
        <v>2867</v>
      </c>
      <c r="DQ186" s="175"/>
      <c r="DR186" s="175"/>
      <c r="DS186" s="175" t="s">
        <v>2882</v>
      </c>
      <c r="DT186" s="175"/>
      <c r="DU186" s="175"/>
      <c r="DV186" s="175" t="s">
        <v>2883</v>
      </c>
      <c r="DW186" s="175" t="s">
        <v>2884</v>
      </c>
      <c r="DX186" s="175" t="s">
        <v>2879</v>
      </c>
    </row>
    <row r="187" spans="1:128" ht="19.5" customHeight="1">
      <c r="A187" s="173"/>
      <c r="B187" s="174" t="s">
        <v>4364</v>
      </c>
      <c r="C187" s="67"/>
      <c r="D187" s="67"/>
      <c r="E187" s="174" t="s">
        <v>4365</v>
      </c>
      <c r="F187" s="174" t="s">
        <v>2394</v>
      </c>
      <c r="G187" s="175" t="s">
        <v>4366</v>
      </c>
      <c r="H187" s="174" t="s">
        <v>2994</v>
      </c>
      <c r="I187" s="174" t="s">
        <v>2995</v>
      </c>
      <c r="J187" s="175" t="s">
        <v>2859</v>
      </c>
      <c r="K187" s="176">
        <v>46174</v>
      </c>
      <c r="L187" s="67" t="s">
        <v>2921</v>
      </c>
      <c r="M187" s="175" t="s">
        <v>2392</v>
      </c>
      <c r="N187" s="67" t="s">
        <v>2392</v>
      </c>
      <c r="O187" s="67" t="s">
        <v>3843</v>
      </c>
      <c r="P187" s="67" t="s">
        <v>3844</v>
      </c>
      <c r="Q187" s="67"/>
      <c r="R187" s="67"/>
      <c r="S187" s="67" t="s">
        <v>975</v>
      </c>
      <c r="T187" s="177" t="s">
        <v>2998</v>
      </c>
      <c r="U187" s="67" t="s">
        <v>1247</v>
      </c>
      <c r="V187" s="67"/>
      <c r="W187" s="175" t="s">
        <v>2865</v>
      </c>
      <c r="X187" s="67" t="s">
        <v>2508</v>
      </c>
      <c r="Y187" s="67" t="s">
        <v>2866</v>
      </c>
      <c r="Z187" s="67" t="s">
        <v>2509</v>
      </c>
      <c r="AA187" s="175" t="s">
        <v>2947</v>
      </c>
      <c r="AB187" s="175" t="s">
        <v>4367</v>
      </c>
      <c r="AC187" s="175" t="s">
        <v>4368</v>
      </c>
      <c r="AD187" s="175" t="s">
        <v>4369</v>
      </c>
      <c r="AE187" s="175" t="s">
        <v>4370</v>
      </c>
      <c r="AF187" s="176"/>
      <c r="AG187" s="176"/>
      <c r="AH187" s="176"/>
      <c r="AI187" s="67"/>
      <c r="AJ187" s="67"/>
      <c r="AK187" s="67" t="s">
        <v>2867</v>
      </c>
      <c r="AL187" s="67"/>
      <c r="AM187" s="176"/>
      <c r="AN187" s="176"/>
      <c r="AO187" s="67"/>
      <c r="AP187" s="67" t="s">
        <v>2867</v>
      </c>
      <c r="AQ187" s="67" t="s">
        <v>2868</v>
      </c>
      <c r="AR187" s="175"/>
      <c r="AS187" s="175" t="s">
        <v>2869</v>
      </c>
      <c r="AT187" s="175" t="s">
        <v>2867</v>
      </c>
      <c r="AU187" s="175"/>
      <c r="AV187" s="178">
        <v>0</v>
      </c>
      <c r="AW187" s="67"/>
      <c r="AX187" s="175" t="s">
        <v>2867</v>
      </c>
      <c r="AY187" s="175" t="s">
        <v>2870</v>
      </c>
      <c r="AZ187" s="175" t="s">
        <v>2871</v>
      </c>
      <c r="BA187" s="175"/>
      <c r="BB187" s="175"/>
      <c r="BC187" s="175" t="s">
        <v>2859</v>
      </c>
      <c r="BD187" s="175" t="s">
        <v>2872</v>
      </c>
      <c r="BE187" s="175" t="s">
        <v>2873</v>
      </c>
      <c r="BF187" s="175" t="s">
        <v>2867</v>
      </c>
      <c r="BG187" s="67"/>
      <c r="BH187" s="179"/>
      <c r="BI187" s="175" t="s">
        <v>2867</v>
      </c>
      <c r="BJ187" s="175"/>
      <c r="BK187" s="175" t="s">
        <v>2867</v>
      </c>
      <c r="BL187" s="175"/>
      <c r="BM187" s="175" t="s">
        <v>4353</v>
      </c>
      <c r="BN187" s="175" t="s">
        <v>4354</v>
      </c>
      <c r="BO187" s="180"/>
      <c r="BP187" s="67" t="s">
        <v>2867</v>
      </c>
      <c r="BQ187" s="175" t="s">
        <v>1904</v>
      </c>
      <c r="BR187" s="177" t="s">
        <v>337</v>
      </c>
      <c r="BS187" s="177"/>
      <c r="BT187" s="67" t="s">
        <v>2867</v>
      </c>
      <c r="BU187" s="175"/>
      <c r="BV187" s="176"/>
      <c r="BW187" s="67" t="s">
        <v>2878</v>
      </c>
      <c r="BX187" s="175" t="s">
        <v>4371</v>
      </c>
      <c r="BY187" s="175" t="s">
        <v>1996</v>
      </c>
      <c r="BZ187" s="177"/>
      <c r="CA187" s="175"/>
      <c r="CB187" s="175"/>
      <c r="CC187" s="177"/>
      <c r="CD187" s="177"/>
      <c r="CE187" s="67"/>
      <c r="CF187" s="67"/>
      <c r="CG187" s="177"/>
      <c r="CH187" s="176"/>
      <c r="CI187" s="176"/>
      <c r="CJ187" s="175"/>
      <c r="CK187" s="67" t="s">
        <v>2867</v>
      </c>
      <c r="CL187" s="175"/>
      <c r="CM187" s="175"/>
      <c r="CN187" s="175"/>
      <c r="CO187" s="175"/>
      <c r="CP187" s="67" t="s">
        <v>1889</v>
      </c>
      <c r="CQ187" s="175" t="s">
        <v>3027</v>
      </c>
      <c r="CR187" s="175"/>
      <c r="CS187" s="67" t="s">
        <v>1889</v>
      </c>
      <c r="CT187" s="175" t="s">
        <v>3027</v>
      </c>
      <c r="CU187" s="175"/>
      <c r="CV187" s="181" t="s">
        <v>2879</v>
      </c>
      <c r="CW187" s="67"/>
      <c r="CX187" s="182"/>
      <c r="CY187" s="175" t="s">
        <v>2880</v>
      </c>
      <c r="CZ187" s="175"/>
      <c r="DA187" s="175" t="s">
        <v>3972</v>
      </c>
      <c r="DB187" s="175" t="s">
        <v>3972</v>
      </c>
      <c r="DC187" s="175" t="s">
        <v>4245</v>
      </c>
      <c r="DD187" s="175"/>
      <c r="DE187" s="176">
        <v>46174</v>
      </c>
      <c r="DF187" s="175"/>
      <c r="DG187" s="182"/>
      <c r="DH187" s="183">
        <v>486700</v>
      </c>
      <c r="DI187" s="67"/>
      <c r="DJ187" s="67"/>
      <c r="DK187" s="67"/>
      <c r="DL187" s="67"/>
      <c r="DM187" s="67"/>
      <c r="DN187" s="183">
        <v>0</v>
      </c>
      <c r="DO187" s="183">
        <v>0</v>
      </c>
      <c r="DP187" s="67" t="s">
        <v>2867</v>
      </c>
      <c r="DQ187" s="175"/>
      <c r="DR187" s="175"/>
      <c r="DS187" s="175" t="s">
        <v>2882</v>
      </c>
      <c r="DT187" s="175"/>
      <c r="DU187" s="175"/>
      <c r="DV187" s="175" t="s">
        <v>2883</v>
      </c>
      <c r="DW187" s="175" t="s">
        <v>2884</v>
      </c>
      <c r="DX187" s="175" t="s">
        <v>2879</v>
      </c>
    </row>
    <row r="188" spans="1:128" ht="19.5" customHeight="1">
      <c r="A188" s="173"/>
      <c r="B188" s="174" t="s">
        <v>4372</v>
      </c>
      <c r="C188" s="67"/>
      <c r="D188" s="67"/>
      <c r="E188" s="174" t="s">
        <v>4373</v>
      </c>
      <c r="F188" s="174" t="s">
        <v>2395</v>
      </c>
      <c r="G188" s="175" t="s">
        <v>4374</v>
      </c>
      <c r="H188" s="174" t="s">
        <v>2994</v>
      </c>
      <c r="I188" s="174" t="s">
        <v>2995</v>
      </c>
      <c r="J188" s="175" t="s">
        <v>2859</v>
      </c>
      <c r="K188" s="176">
        <v>46174</v>
      </c>
      <c r="L188" s="67" t="s">
        <v>2943</v>
      </c>
      <c r="M188" s="175" t="s">
        <v>2392</v>
      </c>
      <c r="N188" s="67" t="s">
        <v>2392</v>
      </c>
      <c r="O188" s="67" t="s">
        <v>3843</v>
      </c>
      <c r="P188" s="67" t="s">
        <v>3844</v>
      </c>
      <c r="Q188" s="67"/>
      <c r="R188" s="67"/>
      <c r="S188" s="67" t="s">
        <v>975</v>
      </c>
      <c r="T188" s="177" t="s">
        <v>2998</v>
      </c>
      <c r="U188" s="67" t="s">
        <v>1247</v>
      </c>
      <c r="V188" s="67"/>
      <c r="W188" s="175" t="s">
        <v>2865</v>
      </c>
      <c r="X188" s="67" t="s">
        <v>2510</v>
      </c>
      <c r="Y188" s="67" t="s">
        <v>2866</v>
      </c>
      <c r="Z188" s="67" t="s">
        <v>2511</v>
      </c>
      <c r="AA188" s="175" t="s">
        <v>2947</v>
      </c>
      <c r="AB188" s="175" t="s">
        <v>4375</v>
      </c>
      <c r="AC188" s="175" t="s">
        <v>4376</v>
      </c>
      <c r="AD188" s="175" t="s">
        <v>4377</v>
      </c>
      <c r="AE188" s="175" t="s">
        <v>4378</v>
      </c>
      <c r="AF188" s="176"/>
      <c r="AG188" s="176"/>
      <c r="AH188" s="176"/>
      <c r="AI188" s="67"/>
      <c r="AJ188" s="67"/>
      <c r="AK188" s="67" t="s">
        <v>2867</v>
      </c>
      <c r="AL188" s="67"/>
      <c r="AM188" s="176"/>
      <c r="AN188" s="176"/>
      <c r="AO188" s="67"/>
      <c r="AP188" s="67" t="s">
        <v>2867</v>
      </c>
      <c r="AQ188" s="67" t="s">
        <v>2868</v>
      </c>
      <c r="AR188" s="175"/>
      <c r="AS188" s="175" t="s">
        <v>2869</v>
      </c>
      <c r="AT188" s="175" t="s">
        <v>2867</v>
      </c>
      <c r="AU188" s="175"/>
      <c r="AV188" s="178">
        <v>0</v>
      </c>
      <c r="AW188" s="67"/>
      <c r="AX188" s="175" t="s">
        <v>2867</v>
      </c>
      <c r="AY188" s="175" t="s">
        <v>2870</v>
      </c>
      <c r="AZ188" s="175" t="s">
        <v>2871</v>
      </c>
      <c r="BA188" s="175"/>
      <c r="BB188" s="175"/>
      <c r="BC188" s="175" t="s">
        <v>2859</v>
      </c>
      <c r="BD188" s="175" t="s">
        <v>2872</v>
      </c>
      <c r="BE188" s="175" t="s">
        <v>2873</v>
      </c>
      <c r="BF188" s="175" t="s">
        <v>2867</v>
      </c>
      <c r="BG188" s="67"/>
      <c r="BH188" s="179"/>
      <c r="BI188" s="175" t="s">
        <v>2867</v>
      </c>
      <c r="BJ188" s="175"/>
      <c r="BK188" s="175" t="s">
        <v>2867</v>
      </c>
      <c r="BL188" s="175"/>
      <c r="BM188" s="175" t="s">
        <v>4353</v>
      </c>
      <c r="BN188" s="175" t="s">
        <v>4354</v>
      </c>
      <c r="BO188" s="180"/>
      <c r="BP188" s="67" t="s">
        <v>2867</v>
      </c>
      <c r="BQ188" s="175" t="s">
        <v>1904</v>
      </c>
      <c r="BR188" s="177" t="s">
        <v>337</v>
      </c>
      <c r="BS188" s="177"/>
      <c r="BT188" s="67" t="s">
        <v>2867</v>
      </c>
      <c r="BU188" s="175"/>
      <c r="BV188" s="176"/>
      <c r="BW188" s="67" t="s">
        <v>2878</v>
      </c>
      <c r="BX188" s="175" t="s">
        <v>4379</v>
      </c>
      <c r="BY188" s="175" t="s">
        <v>1996</v>
      </c>
      <c r="BZ188" s="177"/>
      <c r="CA188" s="175"/>
      <c r="CB188" s="175"/>
      <c r="CC188" s="177"/>
      <c r="CD188" s="177"/>
      <c r="CE188" s="67"/>
      <c r="CF188" s="67"/>
      <c r="CG188" s="177"/>
      <c r="CH188" s="176"/>
      <c r="CI188" s="176"/>
      <c r="CJ188" s="175"/>
      <c r="CK188" s="67" t="s">
        <v>2867</v>
      </c>
      <c r="CL188" s="175"/>
      <c r="CM188" s="175"/>
      <c r="CN188" s="175"/>
      <c r="CO188" s="175"/>
      <c r="CP188" s="67" t="s">
        <v>1889</v>
      </c>
      <c r="CQ188" s="175" t="s">
        <v>3027</v>
      </c>
      <c r="CR188" s="175"/>
      <c r="CS188" s="67" t="s">
        <v>1889</v>
      </c>
      <c r="CT188" s="175" t="s">
        <v>3027</v>
      </c>
      <c r="CU188" s="175"/>
      <c r="CV188" s="181" t="s">
        <v>2879</v>
      </c>
      <c r="CW188" s="67"/>
      <c r="CX188" s="182"/>
      <c r="CY188" s="175" t="s">
        <v>2880</v>
      </c>
      <c r="CZ188" s="175"/>
      <c r="DA188" s="175" t="s">
        <v>3972</v>
      </c>
      <c r="DB188" s="175" t="s">
        <v>3972</v>
      </c>
      <c r="DC188" s="175" t="s">
        <v>4245</v>
      </c>
      <c r="DD188" s="175"/>
      <c r="DE188" s="176">
        <v>46174</v>
      </c>
      <c r="DF188" s="175"/>
      <c r="DG188" s="182"/>
      <c r="DH188" s="183">
        <v>486700</v>
      </c>
      <c r="DI188" s="67"/>
      <c r="DJ188" s="67"/>
      <c r="DK188" s="67"/>
      <c r="DL188" s="67"/>
      <c r="DM188" s="67"/>
      <c r="DN188" s="183">
        <v>0</v>
      </c>
      <c r="DO188" s="183">
        <v>0</v>
      </c>
      <c r="DP188" s="67" t="s">
        <v>2867</v>
      </c>
      <c r="DQ188" s="175"/>
      <c r="DR188" s="175"/>
      <c r="DS188" s="175" t="s">
        <v>2882</v>
      </c>
      <c r="DT188" s="175"/>
      <c r="DU188" s="175"/>
      <c r="DV188" s="175" t="s">
        <v>2883</v>
      </c>
      <c r="DW188" s="175" t="s">
        <v>2884</v>
      </c>
      <c r="DX188" s="175" t="s">
        <v>2879</v>
      </c>
    </row>
    <row r="189" spans="1:128" ht="19.5" customHeight="1">
      <c r="A189" s="173"/>
      <c r="B189" s="174" t="s">
        <v>4380</v>
      </c>
      <c r="C189" s="67"/>
      <c r="D189" s="67"/>
      <c r="E189" s="174" t="s">
        <v>4381</v>
      </c>
      <c r="F189" s="174" t="s">
        <v>2396</v>
      </c>
      <c r="G189" s="175" t="s">
        <v>4382</v>
      </c>
      <c r="H189" s="174" t="s">
        <v>2994</v>
      </c>
      <c r="I189" s="174" t="s">
        <v>2995</v>
      </c>
      <c r="J189" s="175" t="s">
        <v>2859</v>
      </c>
      <c r="K189" s="176">
        <v>46174</v>
      </c>
      <c r="L189" s="67" t="s">
        <v>2943</v>
      </c>
      <c r="M189" s="175" t="s">
        <v>2392</v>
      </c>
      <c r="N189" s="67" t="s">
        <v>2392</v>
      </c>
      <c r="O189" s="67" t="s">
        <v>3843</v>
      </c>
      <c r="P189" s="67" t="s">
        <v>3844</v>
      </c>
      <c r="Q189" s="67"/>
      <c r="R189" s="67"/>
      <c r="S189" s="67" t="s">
        <v>975</v>
      </c>
      <c r="T189" s="177" t="s">
        <v>2998</v>
      </c>
      <c r="U189" s="67" t="s">
        <v>1247</v>
      </c>
      <c r="V189" s="67"/>
      <c r="W189" s="175" t="s">
        <v>2865</v>
      </c>
      <c r="X189" s="67" t="s">
        <v>2512</v>
      </c>
      <c r="Y189" s="67" t="s">
        <v>2866</v>
      </c>
      <c r="Z189" s="67" t="s">
        <v>2513</v>
      </c>
      <c r="AA189" s="175" t="s">
        <v>2947</v>
      </c>
      <c r="AB189" s="175" t="s">
        <v>4383</v>
      </c>
      <c r="AC189" s="175" t="s">
        <v>4384</v>
      </c>
      <c r="AD189" s="175" t="s">
        <v>4385</v>
      </c>
      <c r="AE189" s="175" t="s">
        <v>4386</v>
      </c>
      <c r="AF189" s="176"/>
      <c r="AG189" s="176"/>
      <c r="AH189" s="176"/>
      <c r="AI189" s="67"/>
      <c r="AJ189" s="67"/>
      <c r="AK189" s="67" t="s">
        <v>2867</v>
      </c>
      <c r="AL189" s="67"/>
      <c r="AM189" s="176"/>
      <c r="AN189" s="176"/>
      <c r="AO189" s="67"/>
      <c r="AP189" s="67" t="s">
        <v>2867</v>
      </c>
      <c r="AQ189" s="67" t="s">
        <v>2868</v>
      </c>
      <c r="AR189" s="175"/>
      <c r="AS189" s="175" t="s">
        <v>2869</v>
      </c>
      <c r="AT189" s="175" t="s">
        <v>2867</v>
      </c>
      <c r="AU189" s="175"/>
      <c r="AV189" s="178">
        <v>0</v>
      </c>
      <c r="AW189" s="67"/>
      <c r="AX189" s="175" t="s">
        <v>2867</v>
      </c>
      <c r="AY189" s="175" t="s">
        <v>2870</v>
      </c>
      <c r="AZ189" s="175" t="s">
        <v>2871</v>
      </c>
      <c r="BA189" s="175"/>
      <c r="BB189" s="175"/>
      <c r="BC189" s="175" t="s">
        <v>2859</v>
      </c>
      <c r="BD189" s="175" t="s">
        <v>2872</v>
      </c>
      <c r="BE189" s="175" t="s">
        <v>2873</v>
      </c>
      <c r="BF189" s="175" t="s">
        <v>2867</v>
      </c>
      <c r="BG189" s="67"/>
      <c r="BH189" s="179"/>
      <c r="BI189" s="175" t="s">
        <v>2867</v>
      </c>
      <c r="BJ189" s="175"/>
      <c r="BK189" s="175" t="s">
        <v>2867</v>
      </c>
      <c r="BL189" s="175"/>
      <c r="BM189" s="175" t="s">
        <v>4353</v>
      </c>
      <c r="BN189" s="175" t="s">
        <v>4354</v>
      </c>
      <c r="BO189" s="180"/>
      <c r="BP189" s="67" t="s">
        <v>2867</v>
      </c>
      <c r="BQ189" s="175" t="s">
        <v>1904</v>
      </c>
      <c r="BR189" s="177" t="s">
        <v>337</v>
      </c>
      <c r="BS189" s="177"/>
      <c r="BT189" s="67" t="s">
        <v>2867</v>
      </c>
      <c r="BU189" s="175"/>
      <c r="BV189" s="176"/>
      <c r="BW189" s="67" t="s">
        <v>2878</v>
      </c>
      <c r="BX189" s="175" t="s">
        <v>4387</v>
      </c>
      <c r="BY189" s="175" t="s">
        <v>1996</v>
      </c>
      <c r="BZ189" s="177"/>
      <c r="CA189" s="175"/>
      <c r="CB189" s="175"/>
      <c r="CC189" s="177"/>
      <c r="CD189" s="177"/>
      <c r="CE189" s="67"/>
      <c r="CF189" s="67"/>
      <c r="CG189" s="177"/>
      <c r="CH189" s="176"/>
      <c r="CI189" s="176"/>
      <c r="CJ189" s="175"/>
      <c r="CK189" s="67" t="s">
        <v>2867</v>
      </c>
      <c r="CL189" s="175"/>
      <c r="CM189" s="175"/>
      <c r="CN189" s="175"/>
      <c r="CO189" s="175"/>
      <c r="CP189" s="67" t="s">
        <v>1889</v>
      </c>
      <c r="CQ189" s="175" t="s">
        <v>3027</v>
      </c>
      <c r="CR189" s="175"/>
      <c r="CS189" s="67" t="s">
        <v>1889</v>
      </c>
      <c r="CT189" s="175" t="s">
        <v>3027</v>
      </c>
      <c r="CU189" s="175"/>
      <c r="CV189" s="181" t="s">
        <v>2879</v>
      </c>
      <c r="CW189" s="67"/>
      <c r="CX189" s="182"/>
      <c r="CY189" s="175" t="s">
        <v>2880</v>
      </c>
      <c r="CZ189" s="175"/>
      <c r="DA189" s="175" t="s">
        <v>3972</v>
      </c>
      <c r="DB189" s="175" t="s">
        <v>3972</v>
      </c>
      <c r="DC189" s="175" t="s">
        <v>4245</v>
      </c>
      <c r="DD189" s="175"/>
      <c r="DE189" s="176">
        <v>46174</v>
      </c>
      <c r="DF189" s="175"/>
      <c r="DG189" s="182"/>
      <c r="DH189" s="183">
        <v>486700</v>
      </c>
      <c r="DI189" s="67"/>
      <c r="DJ189" s="67"/>
      <c r="DK189" s="67"/>
      <c r="DL189" s="67"/>
      <c r="DM189" s="67"/>
      <c r="DN189" s="183">
        <v>0</v>
      </c>
      <c r="DO189" s="183">
        <v>0</v>
      </c>
      <c r="DP189" s="67" t="s">
        <v>2867</v>
      </c>
      <c r="DQ189" s="175"/>
      <c r="DR189" s="175"/>
      <c r="DS189" s="175" t="s">
        <v>2882</v>
      </c>
      <c r="DT189" s="175"/>
      <c r="DU189" s="175"/>
      <c r="DV189" s="175" t="s">
        <v>2883</v>
      </c>
      <c r="DW189" s="175" t="s">
        <v>2884</v>
      </c>
      <c r="DX189" s="175" t="s">
        <v>2879</v>
      </c>
    </row>
    <row r="190" spans="1:128" ht="19.5" customHeight="1">
      <c r="A190" s="173"/>
      <c r="B190" s="174" t="s">
        <v>4388</v>
      </c>
      <c r="C190" s="67"/>
      <c r="D190" s="67"/>
      <c r="E190" s="174" t="s">
        <v>4389</v>
      </c>
      <c r="F190" s="174" t="s">
        <v>2397</v>
      </c>
      <c r="G190" s="175" t="s">
        <v>4390</v>
      </c>
      <c r="H190" s="174" t="s">
        <v>2994</v>
      </c>
      <c r="I190" s="174" t="s">
        <v>2995</v>
      </c>
      <c r="J190" s="175" t="s">
        <v>2859</v>
      </c>
      <c r="K190" s="176">
        <v>46174</v>
      </c>
      <c r="L190" s="67" t="s">
        <v>2943</v>
      </c>
      <c r="M190" s="175" t="s">
        <v>2392</v>
      </c>
      <c r="N190" s="67" t="s">
        <v>2392</v>
      </c>
      <c r="O190" s="67" t="s">
        <v>3843</v>
      </c>
      <c r="P190" s="67" t="s">
        <v>3844</v>
      </c>
      <c r="Q190" s="67"/>
      <c r="R190" s="67"/>
      <c r="S190" s="67" t="s">
        <v>975</v>
      </c>
      <c r="T190" s="177" t="s">
        <v>2998</v>
      </c>
      <c r="U190" s="67" t="s">
        <v>1247</v>
      </c>
      <c r="V190" s="67"/>
      <c r="W190" s="175" t="s">
        <v>2865</v>
      </c>
      <c r="X190" s="67" t="s">
        <v>2514</v>
      </c>
      <c r="Y190" s="67" t="s">
        <v>2866</v>
      </c>
      <c r="Z190" s="67" t="s">
        <v>2515</v>
      </c>
      <c r="AA190" s="175" t="s">
        <v>2947</v>
      </c>
      <c r="AB190" s="175" t="s">
        <v>3361</v>
      </c>
      <c r="AC190" s="175" t="s">
        <v>3362</v>
      </c>
      <c r="AD190" s="175" t="s">
        <v>3363</v>
      </c>
      <c r="AE190" s="175" t="s">
        <v>3364</v>
      </c>
      <c r="AF190" s="176"/>
      <c r="AG190" s="176"/>
      <c r="AH190" s="176"/>
      <c r="AI190" s="67"/>
      <c r="AJ190" s="67"/>
      <c r="AK190" s="67" t="s">
        <v>2867</v>
      </c>
      <c r="AL190" s="67"/>
      <c r="AM190" s="176"/>
      <c r="AN190" s="176"/>
      <c r="AO190" s="67"/>
      <c r="AP190" s="67" t="s">
        <v>2867</v>
      </c>
      <c r="AQ190" s="67" t="s">
        <v>2868</v>
      </c>
      <c r="AR190" s="175"/>
      <c r="AS190" s="175" t="s">
        <v>2869</v>
      </c>
      <c r="AT190" s="175" t="s">
        <v>2867</v>
      </c>
      <c r="AU190" s="175"/>
      <c r="AV190" s="178">
        <v>0</v>
      </c>
      <c r="AW190" s="67"/>
      <c r="AX190" s="175" t="s">
        <v>2867</v>
      </c>
      <c r="AY190" s="175" t="s">
        <v>2870</v>
      </c>
      <c r="AZ190" s="175" t="s">
        <v>2871</v>
      </c>
      <c r="BA190" s="175"/>
      <c r="BB190" s="175"/>
      <c r="BC190" s="175" t="s">
        <v>2859</v>
      </c>
      <c r="BD190" s="175" t="s">
        <v>2872</v>
      </c>
      <c r="BE190" s="175" t="s">
        <v>2873</v>
      </c>
      <c r="BF190" s="175" t="s">
        <v>2867</v>
      </c>
      <c r="BG190" s="67"/>
      <c r="BH190" s="179"/>
      <c r="BI190" s="175" t="s">
        <v>2867</v>
      </c>
      <c r="BJ190" s="175"/>
      <c r="BK190" s="175" t="s">
        <v>2867</v>
      </c>
      <c r="BL190" s="175"/>
      <c r="BM190" s="175" t="s">
        <v>4353</v>
      </c>
      <c r="BN190" s="175" t="s">
        <v>4354</v>
      </c>
      <c r="BO190" s="180"/>
      <c r="BP190" s="67" t="s">
        <v>2867</v>
      </c>
      <c r="BQ190" s="175" t="s">
        <v>1904</v>
      </c>
      <c r="BR190" s="177" t="s">
        <v>337</v>
      </c>
      <c r="BS190" s="177"/>
      <c r="BT190" s="67" t="s">
        <v>2867</v>
      </c>
      <c r="BU190" s="175"/>
      <c r="BV190" s="176"/>
      <c r="BW190" s="67" t="s">
        <v>2878</v>
      </c>
      <c r="BX190" s="175" t="s">
        <v>4391</v>
      </c>
      <c r="BY190" s="175" t="s">
        <v>1996</v>
      </c>
      <c r="BZ190" s="177"/>
      <c r="CA190" s="175"/>
      <c r="CB190" s="175"/>
      <c r="CC190" s="177"/>
      <c r="CD190" s="177"/>
      <c r="CE190" s="67"/>
      <c r="CF190" s="67"/>
      <c r="CG190" s="177"/>
      <c r="CH190" s="176"/>
      <c r="CI190" s="176"/>
      <c r="CJ190" s="175"/>
      <c r="CK190" s="67" t="s">
        <v>2867</v>
      </c>
      <c r="CL190" s="175"/>
      <c r="CM190" s="175"/>
      <c r="CN190" s="175"/>
      <c r="CO190" s="175"/>
      <c r="CP190" s="67" t="s">
        <v>1889</v>
      </c>
      <c r="CQ190" s="175" t="s">
        <v>3027</v>
      </c>
      <c r="CR190" s="175"/>
      <c r="CS190" s="67" t="s">
        <v>1889</v>
      </c>
      <c r="CT190" s="175" t="s">
        <v>3027</v>
      </c>
      <c r="CU190" s="175"/>
      <c r="CV190" s="181" t="s">
        <v>2879</v>
      </c>
      <c r="CW190" s="67"/>
      <c r="CX190" s="182"/>
      <c r="CY190" s="175" t="s">
        <v>2880</v>
      </c>
      <c r="CZ190" s="175"/>
      <c r="DA190" s="175" t="s">
        <v>3972</v>
      </c>
      <c r="DB190" s="175" t="s">
        <v>3972</v>
      </c>
      <c r="DC190" s="175" t="s">
        <v>4219</v>
      </c>
      <c r="DD190" s="175"/>
      <c r="DE190" s="176">
        <v>46174</v>
      </c>
      <c r="DF190" s="175"/>
      <c r="DG190" s="182"/>
      <c r="DH190" s="183">
        <v>486700</v>
      </c>
      <c r="DI190" s="67"/>
      <c r="DJ190" s="67"/>
      <c r="DK190" s="67"/>
      <c r="DL190" s="67"/>
      <c r="DM190" s="67"/>
      <c r="DN190" s="183">
        <v>0</v>
      </c>
      <c r="DO190" s="183">
        <v>0</v>
      </c>
      <c r="DP190" s="67" t="s">
        <v>2867</v>
      </c>
      <c r="DQ190" s="175"/>
      <c r="DR190" s="175"/>
      <c r="DS190" s="175" t="s">
        <v>2882</v>
      </c>
      <c r="DT190" s="175"/>
      <c r="DU190" s="175"/>
      <c r="DV190" s="175" t="s">
        <v>2883</v>
      </c>
      <c r="DW190" s="175" t="s">
        <v>2884</v>
      </c>
      <c r="DX190" s="175" t="s">
        <v>2879</v>
      </c>
    </row>
    <row r="191" spans="1:128" ht="19.5" customHeight="1">
      <c r="A191" s="173" t="s">
        <v>3268</v>
      </c>
      <c r="B191" s="174" t="s">
        <v>4392</v>
      </c>
      <c r="C191" s="67"/>
      <c r="D191" s="67"/>
      <c r="E191" s="174" t="s">
        <v>4393</v>
      </c>
      <c r="F191" s="174" t="s">
        <v>2398</v>
      </c>
      <c r="G191" s="175" t="s">
        <v>4394</v>
      </c>
      <c r="H191" s="174" t="s">
        <v>2994</v>
      </c>
      <c r="I191" s="174" t="s">
        <v>2995</v>
      </c>
      <c r="J191" s="175" t="s">
        <v>2859</v>
      </c>
      <c r="K191" s="176">
        <v>46174</v>
      </c>
      <c r="L191" s="67" t="s">
        <v>2906</v>
      </c>
      <c r="M191" s="175" t="s">
        <v>2338</v>
      </c>
      <c r="N191" s="67" t="s">
        <v>2338</v>
      </c>
      <c r="O191" s="67" t="s">
        <v>2328</v>
      </c>
      <c r="P191" s="67" t="s">
        <v>2862</v>
      </c>
      <c r="Q191" s="67"/>
      <c r="R191" s="67"/>
      <c r="S191" s="67" t="s">
        <v>110</v>
      </c>
      <c r="T191" s="177" t="s">
        <v>3124</v>
      </c>
      <c r="U191" s="67" t="s">
        <v>116</v>
      </c>
      <c r="V191" s="67"/>
      <c r="W191" s="175" t="s">
        <v>2865</v>
      </c>
      <c r="X191" s="67" t="s">
        <v>2516</v>
      </c>
      <c r="Y191" s="67" t="s">
        <v>2866</v>
      </c>
      <c r="Z191" s="67" t="s">
        <v>2517</v>
      </c>
      <c r="AA191" s="175" t="s">
        <v>2947</v>
      </c>
      <c r="AB191" s="175" t="s">
        <v>3242</v>
      </c>
      <c r="AC191" s="175" t="s">
        <v>3243</v>
      </c>
      <c r="AD191" s="175" t="s">
        <v>3244</v>
      </c>
      <c r="AE191" s="175" t="s">
        <v>3245</v>
      </c>
      <c r="AF191" s="176"/>
      <c r="AG191" s="176"/>
      <c r="AH191" s="176"/>
      <c r="AI191" s="67"/>
      <c r="AJ191" s="67"/>
      <c r="AK191" s="67" t="s">
        <v>2867</v>
      </c>
      <c r="AL191" s="67"/>
      <c r="AM191" s="176"/>
      <c r="AN191" s="176"/>
      <c r="AO191" s="67"/>
      <c r="AP191" s="67" t="s">
        <v>2867</v>
      </c>
      <c r="AQ191" s="67" t="s">
        <v>2868</v>
      </c>
      <c r="AR191" s="175"/>
      <c r="AS191" s="175" t="s">
        <v>2869</v>
      </c>
      <c r="AT191" s="175" t="s">
        <v>2867</v>
      </c>
      <c r="AU191" s="175"/>
      <c r="AV191" s="178">
        <v>0</v>
      </c>
      <c r="AW191" s="67"/>
      <c r="AX191" s="175" t="s">
        <v>2867</v>
      </c>
      <c r="AY191" s="175" t="s">
        <v>2870</v>
      </c>
      <c r="AZ191" s="175" t="s">
        <v>2871</v>
      </c>
      <c r="BA191" s="175"/>
      <c r="BB191" s="175"/>
      <c r="BC191" s="175" t="s">
        <v>2859</v>
      </c>
      <c r="BD191" s="175" t="s">
        <v>2872</v>
      </c>
      <c r="BE191" s="175" t="s">
        <v>2873</v>
      </c>
      <c r="BF191" s="175" t="s">
        <v>2867</v>
      </c>
      <c r="BG191" s="67"/>
      <c r="BH191" s="179"/>
      <c r="BI191" s="175" t="s">
        <v>2867</v>
      </c>
      <c r="BJ191" s="175"/>
      <c r="BK191" s="175" t="s">
        <v>2867</v>
      </c>
      <c r="BL191" s="175"/>
      <c r="BM191" s="175" t="s">
        <v>3155</v>
      </c>
      <c r="BN191" s="175" t="s">
        <v>3156</v>
      </c>
      <c r="BO191" s="180"/>
      <c r="BP191" s="67" t="s">
        <v>2867</v>
      </c>
      <c r="BQ191" s="175" t="s">
        <v>1477</v>
      </c>
      <c r="BR191" s="177" t="s">
        <v>144</v>
      </c>
      <c r="BS191" s="177"/>
      <c r="BT191" s="67" t="s">
        <v>2867</v>
      </c>
      <c r="BU191" s="175"/>
      <c r="BV191" s="176"/>
      <c r="BW191" s="67" t="s">
        <v>2878</v>
      </c>
      <c r="BX191" s="175" t="s">
        <v>4395</v>
      </c>
      <c r="BY191" s="175" t="s">
        <v>2003</v>
      </c>
      <c r="BZ191" s="177"/>
      <c r="CA191" s="175"/>
      <c r="CB191" s="175"/>
      <c r="CC191" s="177"/>
      <c r="CD191" s="177"/>
      <c r="CE191" s="67"/>
      <c r="CF191" s="67"/>
      <c r="CG191" s="177"/>
      <c r="CH191" s="176"/>
      <c r="CI191" s="176"/>
      <c r="CJ191" s="175"/>
      <c r="CK191" s="67" t="s">
        <v>3027</v>
      </c>
      <c r="CL191" s="175" t="s">
        <v>929</v>
      </c>
      <c r="CM191" s="175" t="s">
        <v>3276</v>
      </c>
      <c r="CN191" s="175"/>
      <c r="CO191" s="175"/>
      <c r="CP191" s="67" t="s">
        <v>1805</v>
      </c>
      <c r="CQ191" s="175" t="s">
        <v>3027</v>
      </c>
      <c r="CR191" s="175"/>
      <c r="CS191" s="67"/>
      <c r="CT191" s="175" t="s">
        <v>2867</v>
      </c>
      <c r="CU191" s="175"/>
      <c r="CV191" s="181" t="s">
        <v>2879</v>
      </c>
      <c r="CW191" s="67"/>
      <c r="CX191" s="182"/>
      <c r="CY191" s="175" t="s">
        <v>2880</v>
      </c>
      <c r="CZ191" s="175"/>
      <c r="DA191" s="175" t="s">
        <v>3972</v>
      </c>
      <c r="DB191" s="175" t="s">
        <v>3972</v>
      </c>
      <c r="DC191" s="175" t="s">
        <v>4396</v>
      </c>
      <c r="DD191" s="175"/>
      <c r="DE191" s="176">
        <v>46174</v>
      </c>
      <c r="DF191" s="175"/>
      <c r="DG191" s="182"/>
      <c r="DH191" s="183">
        <v>1002200</v>
      </c>
      <c r="DI191" s="67"/>
      <c r="DJ191" s="67"/>
      <c r="DK191" s="67"/>
      <c r="DL191" s="67"/>
      <c r="DM191" s="67"/>
      <c r="DN191" s="183">
        <v>0</v>
      </c>
      <c r="DO191" s="183">
        <v>0</v>
      </c>
      <c r="DP191" s="67" t="s">
        <v>2867</v>
      </c>
      <c r="DQ191" s="175"/>
      <c r="DR191" s="175"/>
      <c r="DS191" s="175" t="s">
        <v>2882</v>
      </c>
      <c r="DT191" s="175"/>
      <c r="DU191" s="175"/>
      <c r="DV191" s="175" t="s">
        <v>2883</v>
      </c>
      <c r="DW191" s="175" t="s">
        <v>2884</v>
      </c>
      <c r="DX191" s="175" t="s">
        <v>2879</v>
      </c>
    </row>
    <row r="192" spans="1:128" ht="19.5" customHeight="1">
      <c r="A192" s="173" t="s">
        <v>3268</v>
      </c>
      <c r="B192" s="174" t="s">
        <v>3970</v>
      </c>
      <c r="C192" s="67"/>
      <c r="D192" s="67"/>
      <c r="E192" s="174" t="s">
        <v>4397</v>
      </c>
      <c r="F192" s="174" t="s">
        <v>2399</v>
      </c>
      <c r="G192" s="175" t="s">
        <v>4398</v>
      </c>
      <c r="H192" s="174" t="s">
        <v>2994</v>
      </c>
      <c r="I192" s="174" t="s">
        <v>2995</v>
      </c>
      <c r="J192" s="175" t="s">
        <v>2859</v>
      </c>
      <c r="K192" s="176">
        <v>46174</v>
      </c>
      <c r="L192" s="67" t="s">
        <v>2916</v>
      </c>
      <c r="M192" s="175" t="s">
        <v>2338</v>
      </c>
      <c r="N192" s="67" t="s">
        <v>2338</v>
      </c>
      <c r="O192" s="67" t="s">
        <v>2328</v>
      </c>
      <c r="P192" s="67" t="s">
        <v>2862</v>
      </c>
      <c r="Q192" s="67"/>
      <c r="R192" s="67"/>
      <c r="S192" s="67" t="s">
        <v>110</v>
      </c>
      <c r="T192" s="177" t="s">
        <v>3124</v>
      </c>
      <c r="U192" s="67" t="s">
        <v>116</v>
      </c>
      <c r="V192" s="67"/>
      <c r="W192" s="175" t="s">
        <v>2865</v>
      </c>
      <c r="X192" s="67" t="s">
        <v>2518</v>
      </c>
      <c r="Y192" s="67" t="s">
        <v>2866</v>
      </c>
      <c r="Z192" s="67" t="s">
        <v>2519</v>
      </c>
      <c r="AA192" s="175" t="s">
        <v>2947</v>
      </c>
      <c r="AB192" s="175" t="s">
        <v>3426</v>
      </c>
      <c r="AC192" s="175" t="s">
        <v>3427</v>
      </c>
      <c r="AD192" s="175" t="s">
        <v>3428</v>
      </c>
      <c r="AE192" s="175" t="s">
        <v>3429</v>
      </c>
      <c r="AF192" s="176"/>
      <c r="AG192" s="176"/>
      <c r="AH192" s="176"/>
      <c r="AI192" s="67"/>
      <c r="AJ192" s="67"/>
      <c r="AK192" s="67" t="s">
        <v>2867</v>
      </c>
      <c r="AL192" s="67"/>
      <c r="AM192" s="176"/>
      <c r="AN192" s="176"/>
      <c r="AO192" s="67"/>
      <c r="AP192" s="67" t="s">
        <v>2867</v>
      </c>
      <c r="AQ192" s="67" t="s">
        <v>2868</v>
      </c>
      <c r="AR192" s="175"/>
      <c r="AS192" s="175" t="s">
        <v>2869</v>
      </c>
      <c r="AT192" s="175" t="s">
        <v>2867</v>
      </c>
      <c r="AU192" s="175"/>
      <c r="AV192" s="178">
        <v>0</v>
      </c>
      <c r="AW192" s="67"/>
      <c r="AX192" s="175" t="s">
        <v>2867</v>
      </c>
      <c r="AY192" s="175" t="s">
        <v>2870</v>
      </c>
      <c r="AZ192" s="175" t="s">
        <v>2871</v>
      </c>
      <c r="BA192" s="175"/>
      <c r="BB192" s="175"/>
      <c r="BC192" s="175" t="s">
        <v>2859</v>
      </c>
      <c r="BD192" s="175" t="s">
        <v>2872</v>
      </c>
      <c r="BE192" s="175" t="s">
        <v>2873</v>
      </c>
      <c r="BF192" s="175" t="s">
        <v>2867</v>
      </c>
      <c r="BG192" s="67"/>
      <c r="BH192" s="179"/>
      <c r="BI192" s="175" t="s">
        <v>2867</v>
      </c>
      <c r="BJ192" s="175"/>
      <c r="BK192" s="175" t="s">
        <v>2867</v>
      </c>
      <c r="BL192" s="175"/>
      <c r="BM192" s="175" t="s">
        <v>3155</v>
      </c>
      <c r="BN192" s="175" t="s">
        <v>3156</v>
      </c>
      <c r="BO192" s="180"/>
      <c r="BP192" s="67" t="s">
        <v>2867</v>
      </c>
      <c r="BQ192" s="175" t="s">
        <v>1477</v>
      </c>
      <c r="BR192" s="177" t="s">
        <v>144</v>
      </c>
      <c r="BS192" s="177"/>
      <c r="BT192" s="67" t="s">
        <v>2867</v>
      </c>
      <c r="BU192" s="175"/>
      <c r="BV192" s="176"/>
      <c r="BW192" s="67" t="s">
        <v>2878</v>
      </c>
      <c r="BX192" s="175" t="s">
        <v>4399</v>
      </c>
      <c r="BY192" s="175" t="s">
        <v>2003</v>
      </c>
      <c r="BZ192" s="177"/>
      <c r="CA192" s="175"/>
      <c r="CB192" s="175"/>
      <c r="CC192" s="177"/>
      <c r="CD192" s="177"/>
      <c r="CE192" s="67"/>
      <c r="CF192" s="67"/>
      <c r="CG192" s="177"/>
      <c r="CH192" s="176"/>
      <c r="CI192" s="176"/>
      <c r="CJ192" s="175"/>
      <c r="CK192" s="67" t="s">
        <v>3027</v>
      </c>
      <c r="CL192" s="175" t="s">
        <v>929</v>
      </c>
      <c r="CM192" s="175" t="s">
        <v>3276</v>
      </c>
      <c r="CN192" s="175"/>
      <c r="CO192" s="175"/>
      <c r="CP192" s="67" t="s">
        <v>1805</v>
      </c>
      <c r="CQ192" s="175" t="s">
        <v>3027</v>
      </c>
      <c r="CR192" s="175"/>
      <c r="CS192" s="67"/>
      <c r="CT192" s="175" t="s">
        <v>2867</v>
      </c>
      <c r="CU192" s="175"/>
      <c r="CV192" s="181" t="s">
        <v>2879</v>
      </c>
      <c r="CW192" s="67"/>
      <c r="CX192" s="182"/>
      <c r="CY192" s="175" t="s">
        <v>2880</v>
      </c>
      <c r="CZ192" s="175"/>
      <c r="DA192" s="175" t="s">
        <v>3972</v>
      </c>
      <c r="DB192" s="175" t="s">
        <v>3972</v>
      </c>
      <c r="DC192" s="175" t="s">
        <v>4400</v>
      </c>
      <c r="DD192" s="175"/>
      <c r="DE192" s="176">
        <v>46174</v>
      </c>
      <c r="DF192" s="175"/>
      <c r="DG192" s="182"/>
      <c r="DH192" s="183">
        <v>1002200</v>
      </c>
      <c r="DI192" s="67"/>
      <c r="DJ192" s="67"/>
      <c r="DK192" s="67"/>
      <c r="DL192" s="67"/>
      <c r="DM192" s="67"/>
      <c r="DN192" s="183">
        <v>0</v>
      </c>
      <c r="DO192" s="183">
        <v>0</v>
      </c>
      <c r="DP192" s="67" t="s">
        <v>2867</v>
      </c>
      <c r="DQ192" s="175"/>
      <c r="DR192" s="175"/>
      <c r="DS192" s="175" t="s">
        <v>2882</v>
      </c>
      <c r="DT192" s="175"/>
      <c r="DU192" s="175"/>
      <c r="DV192" s="175" t="s">
        <v>2883</v>
      </c>
      <c r="DW192" s="175" t="s">
        <v>2884</v>
      </c>
      <c r="DX192" s="175" t="s">
        <v>2879</v>
      </c>
    </row>
    <row r="193" spans="1:128" ht="19.5" customHeight="1">
      <c r="A193" s="173"/>
      <c r="B193" s="174" t="s">
        <v>3419</v>
      </c>
      <c r="C193" s="67"/>
      <c r="D193" s="67"/>
      <c r="E193" s="189" t="s">
        <v>4401</v>
      </c>
      <c r="F193" s="174" t="s">
        <v>4402</v>
      </c>
      <c r="G193" s="175" t="s">
        <v>4403</v>
      </c>
      <c r="H193" s="189" t="s">
        <v>2994</v>
      </c>
      <c r="I193" s="189" t="s">
        <v>2995</v>
      </c>
      <c r="J193" s="175" t="s">
        <v>2859</v>
      </c>
      <c r="K193" s="176">
        <v>46174</v>
      </c>
      <c r="L193" s="67" t="s">
        <v>2943</v>
      </c>
      <c r="M193" s="175" t="s">
        <v>4404</v>
      </c>
      <c r="N193" s="67" t="s">
        <v>4404</v>
      </c>
      <c r="O193" s="67" t="s">
        <v>2327</v>
      </c>
      <c r="P193" s="67" t="s">
        <v>2890</v>
      </c>
      <c r="Q193" s="67" t="s">
        <v>328</v>
      </c>
      <c r="R193" s="67" t="s">
        <v>4405</v>
      </c>
      <c r="S193" s="67" t="s">
        <v>4406</v>
      </c>
      <c r="T193" s="177" t="s">
        <v>4407</v>
      </c>
      <c r="U193" s="67" t="s">
        <v>1275</v>
      </c>
      <c r="V193" s="67" t="s">
        <v>1873</v>
      </c>
      <c r="W193" s="175" t="s">
        <v>2865</v>
      </c>
      <c r="X193" s="67" t="s">
        <v>4408</v>
      </c>
      <c r="Y193" s="67" t="s">
        <v>2866</v>
      </c>
      <c r="Z193" s="67" t="s">
        <v>4409</v>
      </c>
      <c r="AA193" s="175" t="s">
        <v>2947</v>
      </c>
      <c r="AB193" s="175" t="s">
        <v>4410</v>
      </c>
      <c r="AC193" s="175" t="s">
        <v>4411</v>
      </c>
      <c r="AD193" s="175" t="s">
        <v>4412</v>
      </c>
      <c r="AE193" s="175" t="s">
        <v>4413</v>
      </c>
      <c r="AF193" s="176"/>
      <c r="AG193" s="176">
        <v>44926</v>
      </c>
      <c r="AH193" s="176">
        <v>44926</v>
      </c>
      <c r="AI193" s="67" t="s">
        <v>2867</v>
      </c>
      <c r="AJ193" s="67"/>
      <c r="AK193" s="67" t="s">
        <v>2867</v>
      </c>
      <c r="AL193" s="67"/>
      <c r="AM193" s="176"/>
      <c r="AN193" s="176"/>
      <c r="AO193" s="67"/>
      <c r="AP193" s="67" t="s">
        <v>2867</v>
      </c>
      <c r="AQ193" s="67" t="s">
        <v>2868</v>
      </c>
      <c r="AR193" s="175"/>
      <c r="AS193" s="175" t="s">
        <v>2869</v>
      </c>
      <c r="AT193" s="175" t="s">
        <v>2867</v>
      </c>
      <c r="AU193" s="175"/>
      <c r="AV193" s="178">
        <v>0</v>
      </c>
      <c r="AW193" s="67"/>
      <c r="AX193" s="175" t="s">
        <v>2867</v>
      </c>
      <c r="AY193" s="175" t="s">
        <v>2870</v>
      </c>
      <c r="AZ193" s="175" t="s">
        <v>2871</v>
      </c>
      <c r="BA193" s="175"/>
      <c r="BB193" s="175"/>
      <c r="BC193" s="175" t="s">
        <v>2859</v>
      </c>
      <c r="BD193" s="175" t="s">
        <v>2872</v>
      </c>
      <c r="BE193" s="175" t="s">
        <v>2873</v>
      </c>
      <c r="BF193" s="175" t="s">
        <v>2867</v>
      </c>
      <c r="BG193" s="67"/>
      <c r="BH193" s="179"/>
      <c r="BI193" s="175" t="s">
        <v>2867</v>
      </c>
      <c r="BJ193" s="175"/>
      <c r="BK193" s="175" t="s">
        <v>2867</v>
      </c>
      <c r="BL193" s="175"/>
      <c r="BM193" s="175" t="s">
        <v>2874</v>
      </c>
      <c r="BN193" s="175" t="s">
        <v>2875</v>
      </c>
      <c r="BO193" s="180"/>
      <c r="BP193" s="67" t="s">
        <v>2867</v>
      </c>
      <c r="BQ193" s="175" t="s">
        <v>328</v>
      </c>
      <c r="BR193" s="177" t="s">
        <v>149</v>
      </c>
      <c r="BS193" s="177"/>
      <c r="BT193" s="67" t="s">
        <v>2867</v>
      </c>
      <c r="BU193" s="175"/>
      <c r="BV193" s="176"/>
      <c r="BW193" s="67" t="s">
        <v>2878</v>
      </c>
      <c r="BX193" s="175" t="s">
        <v>4414</v>
      </c>
      <c r="BY193" s="175" t="s">
        <v>4415</v>
      </c>
      <c r="BZ193" s="177"/>
      <c r="CA193" s="175"/>
      <c r="CB193" s="175"/>
      <c r="CC193" s="177"/>
      <c r="CD193" s="177"/>
      <c r="CE193" s="67"/>
      <c r="CF193" s="67"/>
      <c r="CG193" s="177"/>
      <c r="CH193" s="176"/>
      <c r="CI193" s="176"/>
      <c r="CJ193" s="175"/>
      <c r="CK193" s="67" t="s">
        <v>2867</v>
      </c>
      <c r="CL193" s="175"/>
      <c r="CM193" s="175"/>
      <c r="CN193" s="175"/>
      <c r="CO193" s="175"/>
      <c r="CP193" s="67" t="s">
        <v>328</v>
      </c>
      <c r="CQ193" s="175" t="s">
        <v>2867</v>
      </c>
      <c r="CR193" s="175"/>
      <c r="CS193" s="67" t="s">
        <v>1873</v>
      </c>
      <c r="CT193" s="175" t="s">
        <v>3027</v>
      </c>
      <c r="CU193" s="175"/>
      <c r="CV193" s="181" t="s">
        <v>2879</v>
      </c>
      <c r="CW193" s="67"/>
      <c r="CX193" s="182"/>
      <c r="CY193" s="175" t="s">
        <v>2880</v>
      </c>
      <c r="CZ193" s="175"/>
      <c r="DA193" s="175" t="s">
        <v>4416</v>
      </c>
      <c r="DB193" s="175" t="s">
        <v>4416</v>
      </c>
      <c r="DC193" s="175" t="s">
        <v>4417</v>
      </c>
      <c r="DD193" s="175"/>
      <c r="DE193" s="176">
        <v>46174</v>
      </c>
      <c r="DF193" s="175"/>
      <c r="DG193" s="182"/>
      <c r="DH193" s="183">
        <v>0</v>
      </c>
      <c r="DI193" s="67"/>
      <c r="DJ193" s="67"/>
      <c r="DK193" s="67"/>
      <c r="DL193" s="67"/>
      <c r="DM193" s="67"/>
      <c r="DN193" s="183">
        <v>0</v>
      </c>
      <c r="DO193" s="183">
        <v>0</v>
      </c>
      <c r="DP193" s="67" t="s">
        <v>2867</v>
      </c>
      <c r="DQ193" s="175"/>
      <c r="DR193" s="175"/>
      <c r="DS193" s="175" t="s">
        <v>3369</v>
      </c>
      <c r="DT193" s="175"/>
      <c r="DU193" s="175"/>
      <c r="DV193" s="175" t="s">
        <v>2883</v>
      </c>
      <c r="DW193" s="175" t="s">
        <v>2884</v>
      </c>
      <c r="DX193" s="175" t="s">
        <v>2879</v>
      </c>
    </row>
    <row r="194" spans="1:128" ht="19.5" customHeight="1">
      <c r="A194" s="173"/>
      <c r="B194" s="174" t="s">
        <v>3452</v>
      </c>
      <c r="C194" s="67"/>
      <c r="D194" s="67"/>
      <c r="E194" s="190" t="s">
        <v>4401</v>
      </c>
      <c r="F194" s="174" t="s">
        <v>4418</v>
      </c>
      <c r="G194" s="175" t="s">
        <v>4419</v>
      </c>
      <c r="H194" s="190" t="s">
        <v>2994</v>
      </c>
      <c r="I194" s="190" t="s">
        <v>2995</v>
      </c>
      <c r="J194" s="175" t="s">
        <v>2859</v>
      </c>
      <c r="K194" s="176">
        <v>46174</v>
      </c>
      <c r="L194" s="67" t="s">
        <v>2943</v>
      </c>
      <c r="M194" s="175" t="s">
        <v>4404</v>
      </c>
      <c r="N194" s="67" t="s">
        <v>4404</v>
      </c>
      <c r="O194" s="67" t="s">
        <v>2327</v>
      </c>
      <c r="P194" s="67" t="s">
        <v>2890</v>
      </c>
      <c r="Q194" s="67" t="s">
        <v>328</v>
      </c>
      <c r="R194" s="67" t="s">
        <v>4405</v>
      </c>
      <c r="S194" s="67" t="s">
        <v>4406</v>
      </c>
      <c r="T194" s="177" t="s">
        <v>4407</v>
      </c>
      <c r="U194" s="67" t="s">
        <v>1275</v>
      </c>
      <c r="V194" s="67" t="s">
        <v>1873</v>
      </c>
      <c r="W194" s="175" t="s">
        <v>2865</v>
      </c>
      <c r="X194" s="67" t="s">
        <v>4420</v>
      </c>
      <c r="Y194" s="67" t="s">
        <v>2866</v>
      </c>
      <c r="Z194" s="67" t="s">
        <v>4421</v>
      </c>
      <c r="AA194" s="175" t="s">
        <v>2947</v>
      </c>
      <c r="AB194" s="175" t="s">
        <v>4422</v>
      </c>
      <c r="AC194" s="175" t="s">
        <v>4423</v>
      </c>
      <c r="AD194" s="175" t="s">
        <v>4424</v>
      </c>
      <c r="AE194" s="175" t="s">
        <v>4425</v>
      </c>
      <c r="AF194" s="176"/>
      <c r="AG194" s="176">
        <v>44926</v>
      </c>
      <c r="AH194" s="176">
        <v>44926</v>
      </c>
      <c r="AI194" s="67" t="s">
        <v>2867</v>
      </c>
      <c r="AJ194" s="67"/>
      <c r="AK194" s="67" t="s">
        <v>2867</v>
      </c>
      <c r="AL194" s="67"/>
      <c r="AM194" s="176"/>
      <c r="AN194" s="176"/>
      <c r="AO194" s="67"/>
      <c r="AP194" s="67" t="s">
        <v>2867</v>
      </c>
      <c r="AQ194" s="67" t="s">
        <v>2868</v>
      </c>
      <c r="AR194" s="175"/>
      <c r="AS194" s="175" t="s">
        <v>2869</v>
      </c>
      <c r="AT194" s="175" t="s">
        <v>2867</v>
      </c>
      <c r="AU194" s="175"/>
      <c r="AV194" s="178">
        <v>0</v>
      </c>
      <c r="AW194" s="67"/>
      <c r="AX194" s="175" t="s">
        <v>2867</v>
      </c>
      <c r="AY194" s="175" t="s">
        <v>2870</v>
      </c>
      <c r="AZ194" s="175" t="s">
        <v>2871</v>
      </c>
      <c r="BA194" s="175"/>
      <c r="BB194" s="175"/>
      <c r="BC194" s="175" t="s">
        <v>2859</v>
      </c>
      <c r="BD194" s="175" t="s">
        <v>2872</v>
      </c>
      <c r="BE194" s="175" t="s">
        <v>2873</v>
      </c>
      <c r="BF194" s="175" t="s">
        <v>2867</v>
      </c>
      <c r="BG194" s="67"/>
      <c r="BH194" s="179"/>
      <c r="BI194" s="175" t="s">
        <v>2867</v>
      </c>
      <c r="BJ194" s="175"/>
      <c r="BK194" s="175" t="s">
        <v>2867</v>
      </c>
      <c r="BL194" s="175"/>
      <c r="BM194" s="175" t="s">
        <v>2874</v>
      </c>
      <c r="BN194" s="175" t="s">
        <v>2875</v>
      </c>
      <c r="BO194" s="180"/>
      <c r="BP194" s="67" t="s">
        <v>2867</v>
      </c>
      <c r="BQ194" s="175" t="s">
        <v>328</v>
      </c>
      <c r="BR194" s="177" t="s">
        <v>149</v>
      </c>
      <c r="BS194" s="177"/>
      <c r="BT194" s="67" t="s">
        <v>2867</v>
      </c>
      <c r="BU194" s="175"/>
      <c r="BV194" s="176"/>
      <c r="BW194" s="67" t="s">
        <v>2878</v>
      </c>
      <c r="BX194" s="175" t="s">
        <v>4426</v>
      </c>
      <c r="BY194" s="175" t="s">
        <v>4415</v>
      </c>
      <c r="BZ194" s="177"/>
      <c r="CA194" s="175"/>
      <c r="CB194" s="175"/>
      <c r="CC194" s="177"/>
      <c r="CD194" s="177"/>
      <c r="CE194" s="67"/>
      <c r="CF194" s="67"/>
      <c r="CG194" s="177"/>
      <c r="CH194" s="176"/>
      <c r="CI194" s="176"/>
      <c r="CJ194" s="175"/>
      <c r="CK194" s="67" t="s">
        <v>2867</v>
      </c>
      <c r="CL194" s="175"/>
      <c r="CM194" s="175"/>
      <c r="CN194" s="175"/>
      <c r="CO194" s="175"/>
      <c r="CP194" s="67" t="s">
        <v>328</v>
      </c>
      <c r="CQ194" s="175" t="s">
        <v>2867</v>
      </c>
      <c r="CR194" s="175"/>
      <c r="CS194" s="67" t="s">
        <v>1873</v>
      </c>
      <c r="CT194" s="175" t="s">
        <v>3027</v>
      </c>
      <c r="CU194" s="175"/>
      <c r="CV194" s="181" t="s">
        <v>2879</v>
      </c>
      <c r="CW194" s="67"/>
      <c r="CX194" s="182"/>
      <c r="CY194" s="175" t="s">
        <v>2880</v>
      </c>
      <c r="CZ194" s="175"/>
      <c r="DA194" s="175" t="s">
        <v>4416</v>
      </c>
      <c r="DB194" s="175" t="s">
        <v>4416</v>
      </c>
      <c r="DC194" s="175" t="s">
        <v>4427</v>
      </c>
      <c r="DD194" s="175"/>
      <c r="DE194" s="176">
        <v>46174</v>
      </c>
      <c r="DF194" s="175"/>
      <c r="DG194" s="182"/>
      <c r="DH194" s="183">
        <v>0</v>
      </c>
      <c r="DI194" s="67"/>
      <c r="DJ194" s="67"/>
      <c r="DK194" s="67"/>
      <c r="DL194" s="67"/>
      <c r="DM194" s="67"/>
      <c r="DN194" s="183">
        <v>0</v>
      </c>
      <c r="DO194" s="183">
        <v>0</v>
      </c>
      <c r="DP194" s="67" t="s">
        <v>2867</v>
      </c>
      <c r="DQ194" s="175"/>
      <c r="DR194" s="175"/>
      <c r="DS194" s="175" t="s">
        <v>3369</v>
      </c>
      <c r="DT194" s="175"/>
      <c r="DU194" s="175"/>
      <c r="DV194" s="175" t="s">
        <v>2883</v>
      </c>
      <c r="DW194" s="175" t="s">
        <v>2884</v>
      </c>
      <c r="DX194" s="175" t="s">
        <v>2879</v>
      </c>
    </row>
    <row r="195" spans="1:128" ht="19.5" customHeight="1">
      <c r="A195" s="184"/>
      <c r="B195" s="184"/>
      <c r="C195" s="184"/>
      <c r="D195" s="184"/>
      <c r="E195" s="184"/>
      <c r="F195" s="184"/>
      <c r="G195" s="184"/>
      <c r="H195" s="184"/>
      <c r="I195" s="184"/>
      <c r="J195" s="184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4"/>
      <c r="V195" s="184"/>
      <c r="W195" s="184"/>
      <c r="X195" s="184"/>
      <c r="Y195" s="184"/>
      <c r="Z195" s="184"/>
      <c r="AA195" s="184"/>
      <c r="AB195" s="184"/>
      <c r="AC195" s="184"/>
      <c r="AD195" s="184"/>
      <c r="AE195" s="184"/>
      <c r="AF195" s="184"/>
      <c r="AG195" s="184"/>
      <c r="AH195" s="184"/>
      <c r="AI195" s="184"/>
      <c r="AJ195" s="184"/>
      <c r="AK195" s="184"/>
      <c r="AL195" s="184"/>
      <c r="AM195" s="184"/>
      <c r="AN195" s="184"/>
      <c r="AO195" s="184"/>
      <c r="AP195" s="184"/>
      <c r="AQ195" s="184"/>
      <c r="AR195" s="184"/>
      <c r="AS195" s="184"/>
      <c r="AT195" s="184"/>
      <c r="AU195" s="184"/>
      <c r="AV195" s="184"/>
      <c r="AW195" s="184"/>
      <c r="AX195" s="184"/>
      <c r="AY195" s="184"/>
      <c r="AZ195" s="184"/>
      <c r="BA195" s="184"/>
      <c r="BB195" s="184"/>
      <c r="BC195" s="184"/>
      <c r="BD195" s="184"/>
      <c r="BE195" s="184"/>
      <c r="BF195" s="184"/>
      <c r="BG195" s="184"/>
      <c r="BH195" s="184"/>
      <c r="BI195" s="184"/>
      <c r="BJ195" s="184"/>
      <c r="BK195" s="184"/>
      <c r="BL195" s="184"/>
      <c r="BM195" s="184"/>
      <c r="BN195" s="184"/>
      <c r="BO195" s="184"/>
      <c r="BP195" s="184"/>
      <c r="BQ195" s="184"/>
      <c r="BR195" s="184"/>
      <c r="BS195" s="184"/>
      <c r="BT195" s="184"/>
      <c r="BU195" s="184"/>
      <c r="BV195" s="184"/>
      <c r="BW195" s="184"/>
      <c r="BX195" s="184"/>
      <c r="BY195" s="184"/>
      <c r="BZ195" s="184"/>
      <c r="CA195" s="184"/>
      <c r="CB195" s="184"/>
      <c r="CC195" s="184"/>
      <c r="CD195" s="184"/>
      <c r="CE195" s="184"/>
      <c r="CF195" s="184"/>
      <c r="CG195" s="184"/>
      <c r="CH195" s="184"/>
      <c r="CI195" s="184"/>
      <c r="CJ195" s="184"/>
      <c r="CK195" s="184"/>
      <c r="CL195" s="184"/>
      <c r="CM195" s="184"/>
      <c r="CN195" s="184"/>
      <c r="CO195" s="184"/>
      <c r="CP195" s="184"/>
      <c r="CQ195" s="184"/>
      <c r="CR195" s="184"/>
      <c r="CS195" s="184"/>
      <c r="CT195" s="184"/>
      <c r="CU195" s="184"/>
      <c r="CV195" s="184"/>
      <c r="CW195" s="184"/>
      <c r="CX195" s="184"/>
      <c r="CY195" s="184"/>
      <c r="CZ195" s="184"/>
      <c r="DA195" s="184"/>
      <c r="DB195" s="184"/>
      <c r="DC195" s="184"/>
      <c r="DD195" s="184"/>
      <c r="DE195" s="184"/>
      <c r="DF195" s="184"/>
      <c r="DG195" s="184"/>
      <c r="DH195" s="184"/>
      <c r="DI195" s="184"/>
      <c r="DJ195" s="184"/>
      <c r="DK195" s="184"/>
      <c r="DL195" s="184"/>
      <c r="DM195" s="184"/>
      <c r="DN195" s="184"/>
      <c r="DO195" s="184"/>
      <c r="DP195" s="184"/>
      <c r="DQ195" s="184"/>
      <c r="DR195" s="184"/>
      <c r="DS195" s="184"/>
      <c r="DT195" s="184"/>
      <c r="DU195" s="184"/>
      <c r="DV195" s="184"/>
      <c r="DW195" s="184"/>
      <c r="DX195" s="184"/>
    </row>
  </sheetData>
  <autoFilter ref="A1:DX1" xr:uid="{AAEFA1FB-DB57-407E-8F32-C02CA090B1D6}"/>
  <mergeCells count="33">
    <mergeCell ref="E4:E7"/>
    <mergeCell ref="H4:H7"/>
    <mergeCell ref="I4:I7"/>
    <mergeCell ref="E33:E34"/>
    <mergeCell ref="H33:H34"/>
    <mergeCell ref="I33:I34"/>
    <mergeCell ref="E65:E68"/>
    <mergeCell ref="H65:H68"/>
    <mergeCell ref="I65:I68"/>
    <mergeCell ref="E78:E82"/>
    <mergeCell ref="H78:H82"/>
    <mergeCell ref="I78:I82"/>
    <mergeCell ref="E90:E94"/>
    <mergeCell ref="H90:H94"/>
    <mergeCell ref="I90:I94"/>
    <mergeCell ref="E104:E105"/>
    <mergeCell ref="H104:H105"/>
    <mergeCell ref="I104:I105"/>
    <mergeCell ref="E107:E108"/>
    <mergeCell ref="H107:H108"/>
    <mergeCell ref="I107:I108"/>
    <mergeCell ref="E116:E117"/>
    <mergeCell ref="H116:H117"/>
    <mergeCell ref="I116:I117"/>
    <mergeCell ref="E193:E194"/>
    <mergeCell ref="H193:H194"/>
    <mergeCell ref="I193:I194"/>
    <mergeCell ref="E130:E132"/>
    <mergeCell ref="H130:H132"/>
    <mergeCell ref="I130:I132"/>
    <mergeCell ref="E133:E134"/>
    <mergeCell ref="H133:H134"/>
    <mergeCell ref="I133:I134"/>
  </mergeCells>
  <phoneticPr fontId="3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7D347-C156-4788-9759-57CE4CEB70DE}">
  <sheetPr codeName="Sheet5">
    <tabColor rgb="FFFFFF00"/>
  </sheetPr>
  <dimension ref="A1:BV264"/>
  <sheetViews>
    <sheetView topLeftCell="AV1" zoomScale="70" zoomScaleNormal="70" workbookViewId="0">
      <selection activeCell="BH11" sqref="BH11"/>
    </sheetView>
  </sheetViews>
  <sheetFormatPr defaultRowHeight="16.5"/>
  <cols>
    <col min="1" max="4" width="25" customWidth="1"/>
    <col min="5" max="5" width="12.5" customWidth="1"/>
    <col min="7" max="7" width="23" bestFit="1" customWidth="1"/>
    <col min="8" max="8" width="12.25" bestFit="1" customWidth="1"/>
    <col min="9" max="9" width="54.125" bestFit="1" customWidth="1"/>
    <col min="10" max="10" width="24.5" bestFit="1" customWidth="1"/>
    <col min="12" max="12" width="20.75" style="77" bestFit="1" customWidth="1"/>
    <col min="13" max="13" width="10.125" style="77" bestFit="1" customWidth="1"/>
    <col min="14" max="14" width="6.75" style="77" bestFit="1" customWidth="1"/>
    <col min="15" max="15" width="9.625" style="77" bestFit="1" customWidth="1"/>
    <col min="16" max="16" width="42.625" style="77" bestFit="1" customWidth="1"/>
    <col min="17" max="17" width="20.25" style="77" customWidth="1"/>
    <col min="19" max="19" width="30.125" bestFit="1" customWidth="1"/>
    <col min="29" max="29" width="11.75" bestFit="1" customWidth="1"/>
    <col min="30" max="30" width="25.375" customWidth="1"/>
    <col min="31" max="31" width="12.875" bestFit="1" customWidth="1"/>
    <col min="32" max="32" width="37.875" bestFit="1" customWidth="1"/>
    <col min="33" max="33" width="24.25" bestFit="1" customWidth="1"/>
    <col min="37" max="37" width="42.75" bestFit="1" customWidth="1"/>
    <col min="38" max="38" width="19" bestFit="1" customWidth="1"/>
    <col min="39" max="39" width="21.25" bestFit="1" customWidth="1"/>
    <col min="41" max="41" width="16.25" customWidth="1"/>
    <col min="42" max="43" width="20" customWidth="1"/>
    <col min="44" max="44" width="35.75" customWidth="1"/>
    <col min="47" max="47" width="13" bestFit="1" customWidth="1"/>
    <col min="48" max="48" width="10.75" customWidth="1"/>
    <col min="50" max="50" width="15.125" bestFit="1" customWidth="1"/>
    <col min="51" max="51" width="6.625" bestFit="1" customWidth="1"/>
    <col min="52" max="52" width="11.75" bestFit="1" customWidth="1"/>
    <col min="53" max="53" width="11.875" bestFit="1" customWidth="1"/>
    <col min="54" max="54" width="13.375" customWidth="1"/>
    <col min="55" max="55" width="31.125" bestFit="1" customWidth="1"/>
    <col min="56" max="56" width="13.375" customWidth="1"/>
    <col min="59" max="59" width="16.125" style="120" customWidth="1"/>
    <col min="60" max="61" width="17.625" style="120" customWidth="1"/>
    <col min="62" max="62" width="38.875" style="1" bestFit="1" customWidth="1"/>
    <col min="63" max="63" width="14.875" style="108" customWidth="1"/>
    <col min="64" max="64" width="14" style="1" customWidth="1"/>
    <col min="65" max="65" width="18.125" style="1" bestFit="1" customWidth="1"/>
    <col min="66" max="66" width="19.875" style="1" bestFit="1" customWidth="1"/>
    <col min="67" max="67" width="9" style="1"/>
    <col min="68" max="68" width="20.625" style="1" customWidth="1"/>
    <col min="70" max="70" width="15.5" bestFit="1" customWidth="1"/>
    <col min="71" max="71" width="26.375" bestFit="1" customWidth="1"/>
    <col min="72" max="72" width="11.25" bestFit="1" customWidth="1"/>
    <col min="73" max="73" width="14" bestFit="1" customWidth="1"/>
    <col min="74" max="74" width="12.5" bestFit="1" customWidth="1"/>
  </cols>
  <sheetData>
    <row r="1" spans="1:74" ht="27">
      <c r="A1" s="84" t="s">
        <v>1603</v>
      </c>
      <c r="B1" s="27" t="s">
        <v>1744</v>
      </c>
      <c r="C1" s="27" t="s">
        <v>1743</v>
      </c>
      <c r="D1" s="93" t="s">
        <v>1601</v>
      </c>
      <c r="E1" s="27" t="s">
        <v>1602</v>
      </c>
      <c r="G1" s="192" t="s">
        <v>583</v>
      </c>
      <c r="H1" s="193"/>
      <c r="I1" s="193"/>
      <c r="J1" s="194"/>
      <c r="L1" s="199" t="s">
        <v>2320</v>
      </c>
      <c r="M1" s="200"/>
      <c r="N1" s="200"/>
      <c r="O1" s="200"/>
      <c r="P1" s="200"/>
      <c r="Q1" s="201"/>
      <c r="S1" s="49" t="s">
        <v>802</v>
      </c>
      <c r="T1" s="49"/>
      <c r="U1" s="49" t="s">
        <v>801</v>
      </c>
      <c r="V1" s="198" t="s">
        <v>1233</v>
      </c>
      <c r="W1" s="198"/>
      <c r="AC1" s="55" t="s">
        <v>931</v>
      </c>
      <c r="AD1" s="55"/>
      <c r="AE1" s="4"/>
      <c r="AF1" s="55"/>
      <c r="AG1" s="55"/>
      <c r="AJ1" s="81" t="s">
        <v>1430</v>
      </c>
      <c r="AK1" s="81" t="s">
        <v>1431</v>
      </c>
      <c r="AL1" s="82" t="s">
        <v>1432</v>
      </c>
      <c r="AM1" s="81" t="s">
        <v>1433</v>
      </c>
      <c r="AO1" s="59" t="s">
        <v>357</v>
      </c>
      <c r="AP1" s="59" t="s">
        <v>4</v>
      </c>
      <c r="AQ1" s="59" t="s">
        <v>26</v>
      </c>
      <c r="AR1" s="59" t="s">
        <v>52</v>
      </c>
      <c r="AS1" s="78" t="s">
        <v>1693</v>
      </c>
      <c r="AU1" s="50" t="s">
        <v>979</v>
      </c>
      <c r="AV1" s="50" t="s">
        <v>320</v>
      </c>
      <c r="AX1" s="50" t="s">
        <v>120</v>
      </c>
      <c r="AY1" s="50" t="s">
        <v>139</v>
      </c>
      <c r="AZ1" s="71" t="s">
        <v>928</v>
      </c>
      <c r="BB1" s="24" t="s">
        <v>1232</v>
      </c>
      <c r="BC1" s="24" t="s">
        <v>516</v>
      </c>
      <c r="BD1" s="8"/>
      <c r="BG1" s="120" t="s">
        <v>1796</v>
      </c>
      <c r="BH1" s="120" t="s">
        <v>1893</v>
      </c>
      <c r="BI1" s="120" t="s">
        <v>1796</v>
      </c>
      <c r="BJ1" s="103" t="s">
        <v>1431</v>
      </c>
      <c r="BK1" s="104" t="s">
        <v>1430</v>
      </c>
      <c r="BL1" s="105" t="s">
        <v>1797</v>
      </c>
      <c r="BM1" s="106" t="s">
        <v>1432</v>
      </c>
      <c r="BN1" s="103" t="s">
        <v>1433</v>
      </c>
      <c r="BO1" s="107" t="s">
        <v>1798</v>
      </c>
      <c r="BP1" s="107" t="s">
        <v>1799</v>
      </c>
      <c r="BR1" s="107" t="s">
        <v>2314</v>
      </c>
      <c r="BS1" s="107" t="s">
        <v>2315</v>
      </c>
      <c r="BT1" s="107" t="s">
        <v>2316</v>
      </c>
      <c r="BU1" s="107" t="s">
        <v>2317</v>
      </c>
      <c r="BV1" s="107" t="s">
        <v>2318</v>
      </c>
    </row>
    <row r="2" spans="1:74">
      <c r="A2" s="29" t="s">
        <v>1604</v>
      </c>
      <c r="B2" s="29" t="s">
        <v>1745</v>
      </c>
      <c r="C2" s="29" t="s">
        <v>1605</v>
      </c>
      <c r="D2" s="32" t="s">
        <v>1604</v>
      </c>
      <c r="E2" s="23" t="s">
        <v>1573</v>
      </c>
      <c r="G2" s="27" t="s">
        <v>390</v>
      </c>
      <c r="H2" s="27" t="s">
        <v>139</v>
      </c>
      <c r="I2" s="27" t="s">
        <v>353</v>
      </c>
      <c r="J2" s="28" t="s">
        <v>121</v>
      </c>
      <c r="L2" s="159" t="s">
        <v>140</v>
      </c>
      <c r="M2" s="159" t="s">
        <v>139</v>
      </c>
      <c r="N2" s="159" t="s">
        <v>141</v>
      </c>
      <c r="O2" s="159" t="s">
        <v>733</v>
      </c>
      <c r="P2" s="160"/>
      <c r="Q2" s="160"/>
      <c r="S2" s="12" t="s">
        <v>803</v>
      </c>
      <c r="T2" s="12" t="s">
        <v>420</v>
      </c>
      <c r="U2" s="12" t="s">
        <v>421</v>
      </c>
      <c r="V2" s="8" t="s">
        <v>1032</v>
      </c>
      <c r="W2" s="8" t="s">
        <v>1033</v>
      </c>
      <c r="AC2" s="56" t="s">
        <v>357</v>
      </c>
      <c r="AD2" s="56" t="s">
        <v>1662</v>
      </c>
      <c r="AE2" s="56" t="s">
        <v>932</v>
      </c>
      <c r="AF2" s="56" t="s">
        <v>25</v>
      </c>
      <c r="AG2" s="56" t="s">
        <v>364</v>
      </c>
      <c r="AJ2" s="80" t="s">
        <v>1434</v>
      </c>
      <c r="AK2" s="80" t="s">
        <v>1435</v>
      </c>
      <c r="AL2" s="81" t="s">
        <v>1436</v>
      </c>
      <c r="AM2" s="81" t="s">
        <v>1437</v>
      </c>
      <c r="AO2" s="208" t="s">
        <v>945</v>
      </c>
      <c r="AP2" s="60" t="s">
        <v>63</v>
      </c>
      <c r="AQ2" s="61" t="s">
        <v>1694</v>
      </c>
      <c r="AR2" s="61" t="s">
        <v>1695</v>
      </c>
      <c r="AS2" s="8" t="s">
        <v>1405</v>
      </c>
      <c r="AU2" s="8" t="s">
        <v>977</v>
      </c>
      <c r="AV2" s="8" t="s">
        <v>978</v>
      </c>
      <c r="AX2" s="8" t="s">
        <v>913</v>
      </c>
      <c r="AY2" s="51" t="s">
        <v>914</v>
      </c>
      <c r="AZ2" s="8" t="s">
        <v>1218</v>
      </c>
      <c r="BB2" s="15" t="s">
        <v>1028</v>
      </c>
      <c r="BC2" s="8" t="s">
        <v>1235</v>
      </c>
      <c r="BD2" s="15" t="s">
        <v>143</v>
      </c>
      <c r="BG2" s="171" t="s">
        <v>1800</v>
      </c>
      <c r="BH2" s="120" t="s">
        <v>1917</v>
      </c>
      <c r="BI2" s="120" t="s">
        <v>1801</v>
      </c>
      <c r="BJ2" s="109" t="s">
        <v>1802</v>
      </c>
      <c r="BK2" s="108" t="s">
        <v>1434</v>
      </c>
      <c r="BL2" s="1" t="s">
        <v>1477</v>
      </c>
      <c r="BM2" s="110" t="s">
        <v>1436</v>
      </c>
      <c r="BN2" s="110" t="s">
        <v>1437</v>
      </c>
      <c r="BR2" s="107"/>
      <c r="BS2" s="107"/>
      <c r="BT2" s="107"/>
      <c r="BU2" s="107"/>
      <c r="BV2" s="107" t="s">
        <v>2319</v>
      </c>
    </row>
    <row r="3" spans="1:74">
      <c r="A3" s="29" t="s">
        <v>1606</v>
      </c>
      <c r="B3" s="29" t="s">
        <v>1746</v>
      </c>
      <c r="C3" s="29" t="s">
        <v>1607</v>
      </c>
      <c r="D3" s="32" t="s">
        <v>1606</v>
      </c>
      <c r="E3" s="23" t="s">
        <v>1574</v>
      </c>
      <c r="G3" s="29" t="s">
        <v>1017</v>
      </c>
      <c r="H3" s="30" t="s">
        <v>122</v>
      </c>
      <c r="I3" s="30" t="s">
        <v>130</v>
      </c>
      <c r="J3" s="23" t="s">
        <v>584</v>
      </c>
      <c r="L3" s="12" t="s">
        <v>1247</v>
      </c>
      <c r="M3" s="12" t="s">
        <v>118</v>
      </c>
      <c r="N3" s="12">
        <v>100760</v>
      </c>
      <c r="O3" s="12" t="s">
        <v>1320</v>
      </c>
      <c r="P3" s="12" t="s">
        <v>1324</v>
      </c>
      <c r="Q3" s="12"/>
      <c r="S3" s="12" t="s">
        <v>193</v>
      </c>
      <c r="T3" s="12" t="s">
        <v>984</v>
      </c>
      <c r="U3" s="12" t="s">
        <v>192</v>
      </c>
      <c r="V3" s="8" t="s">
        <v>764</v>
      </c>
      <c r="W3" s="8" t="s">
        <v>109</v>
      </c>
      <c r="AC3" s="205" t="s">
        <v>371</v>
      </c>
      <c r="AD3" s="6" t="s">
        <v>1665</v>
      </c>
      <c r="AE3" s="57" t="s">
        <v>66</v>
      </c>
      <c r="AF3" s="6" t="s">
        <v>67</v>
      </c>
      <c r="AG3" s="6" t="s">
        <v>404</v>
      </c>
      <c r="AJ3" s="80" t="s">
        <v>66</v>
      </c>
      <c r="AK3" s="80" t="s">
        <v>67</v>
      </c>
      <c r="AL3" s="81" t="s">
        <v>1436</v>
      </c>
      <c r="AM3" s="80" t="s">
        <v>1438</v>
      </c>
      <c r="AO3" s="209"/>
      <c r="AP3" s="60" t="s">
        <v>55</v>
      </c>
      <c r="AQ3" s="61" t="s">
        <v>1696</v>
      </c>
      <c r="AR3" s="61" t="s">
        <v>1697</v>
      </c>
      <c r="AS3" s="8" t="s">
        <v>1405</v>
      </c>
      <c r="AU3" s="8" t="s">
        <v>1236</v>
      </c>
      <c r="AV3" s="8"/>
      <c r="AX3" s="51" t="s">
        <v>915</v>
      </c>
      <c r="AY3" s="51" t="s">
        <v>916</v>
      </c>
      <c r="AZ3" s="8" t="s">
        <v>389</v>
      </c>
      <c r="BB3" s="15" t="s">
        <v>1031</v>
      </c>
      <c r="BC3" s="8" t="s">
        <v>517</v>
      </c>
      <c r="BD3" s="15" t="s">
        <v>144</v>
      </c>
      <c r="BG3" s="171" t="s">
        <v>1800</v>
      </c>
      <c r="BH3" s="120" t="s">
        <v>1918</v>
      </c>
      <c r="BI3" s="120" t="s">
        <v>1803</v>
      </c>
      <c r="BJ3" s="1" t="s">
        <v>67</v>
      </c>
      <c r="BK3" s="111" t="s">
        <v>1804</v>
      </c>
      <c r="BL3" s="1" t="s">
        <v>1477</v>
      </c>
      <c r="BM3" s="110" t="s">
        <v>1436</v>
      </c>
      <c r="BN3" s="1" t="s">
        <v>1438</v>
      </c>
      <c r="BR3" s="1" t="s">
        <v>1994</v>
      </c>
      <c r="BS3" s="1" t="s">
        <v>1995</v>
      </c>
      <c r="BT3" s="1" t="s">
        <v>1996</v>
      </c>
      <c r="BU3" s="1" t="s">
        <v>1997</v>
      </c>
      <c r="BV3" s="1" t="s">
        <v>1767</v>
      </c>
    </row>
    <row r="4" spans="1:74">
      <c r="A4" s="29" t="s">
        <v>1608</v>
      </c>
      <c r="B4" s="29" t="s">
        <v>1608</v>
      </c>
      <c r="C4" s="29" t="s">
        <v>1609</v>
      </c>
      <c r="D4" s="32" t="s">
        <v>1608</v>
      </c>
      <c r="E4" s="23" t="s">
        <v>1575</v>
      </c>
      <c r="G4" s="66" t="s">
        <v>1018</v>
      </c>
      <c r="H4" s="30" t="s">
        <v>123</v>
      </c>
      <c r="I4" s="65" t="s">
        <v>130</v>
      </c>
      <c r="J4" s="8" t="s">
        <v>584</v>
      </c>
      <c r="L4" s="12" t="s">
        <v>1016</v>
      </c>
      <c r="M4" s="12" t="s">
        <v>118</v>
      </c>
      <c r="N4" s="12">
        <v>100760</v>
      </c>
      <c r="O4" s="12" t="s">
        <v>1320</v>
      </c>
      <c r="P4" s="12" t="s">
        <v>1324</v>
      </c>
      <c r="Q4" s="12"/>
      <c r="S4" s="12" t="s">
        <v>804</v>
      </c>
      <c r="T4" s="12" t="s">
        <v>985</v>
      </c>
      <c r="U4" s="12" t="s">
        <v>827</v>
      </c>
      <c r="V4" s="8" t="s">
        <v>1034</v>
      </c>
      <c r="W4" s="8" t="s">
        <v>110</v>
      </c>
      <c r="AC4" s="206"/>
      <c r="AD4" s="6" t="s">
        <v>1666</v>
      </c>
      <c r="AE4" s="57" t="s">
        <v>69</v>
      </c>
      <c r="AF4" s="6" t="s">
        <v>411</v>
      </c>
      <c r="AG4" s="6" t="s">
        <v>399</v>
      </c>
      <c r="AJ4" s="80" t="s">
        <v>69</v>
      </c>
      <c r="AK4" s="80" t="s">
        <v>1439</v>
      </c>
      <c r="AL4" s="81" t="s">
        <v>1436</v>
      </c>
      <c r="AM4" s="80" t="s">
        <v>1438</v>
      </c>
      <c r="AO4" s="209"/>
      <c r="AP4" s="60" t="s">
        <v>79</v>
      </c>
      <c r="AQ4" s="61" t="s">
        <v>1698</v>
      </c>
      <c r="AR4" s="61" t="s">
        <v>1699</v>
      </c>
      <c r="AS4" s="8" t="s">
        <v>1404</v>
      </c>
      <c r="AU4" s="8" t="s">
        <v>1916</v>
      </c>
      <c r="AV4" s="8" t="s">
        <v>1915</v>
      </c>
      <c r="AX4" s="85" t="s">
        <v>1914</v>
      </c>
      <c r="AY4" s="51" t="s">
        <v>917</v>
      </c>
      <c r="AZ4" s="8" t="s">
        <v>1217</v>
      </c>
      <c r="BB4" s="15" t="s">
        <v>1732</v>
      </c>
      <c r="BC4" s="15" t="s">
        <v>145</v>
      </c>
      <c r="BD4" s="15" t="s">
        <v>146</v>
      </c>
      <c r="BG4" s="171" t="s">
        <v>1800</v>
      </c>
      <c r="BH4" s="120" t="s">
        <v>1919</v>
      </c>
      <c r="BI4" s="120" t="s">
        <v>1805</v>
      </c>
      <c r="BJ4" s="1" t="s">
        <v>1806</v>
      </c>
      <c r="BK4" s="111" t="s">
        <v>1807</v>
      </c>
      <c r="BL4" s="1" t="s">
        <v>1477</v>
      </c>
      <c r="BM4" s="110" t="s">
        <v>1436</v>
      </c>
      <c r="BN4" s="1" t="s">
        <v>1438</v>
      </c>
      <c r="BR4" s="1" t="s">
        <v>1994</v>
      </c>
      <c r="BS4" s="1" t="s">
        <v>1998</v>
      </c>
      <c r="BT4" s="1" t="s">
        <v>1999</v>
      </c>
      <c r="BU4" s="1" t="s">
        <v>2000</v>
      </c>
      <c r="BV4" s="1" t="s">
        <v>1767</v>
      </c>
    </row>
    <row r="5" spans="1:74" ht="27">
      <c r="A5" s="29" t="s">
        <v>1610</v>
      </c>
      <c r="B5" s="29" t="s">
        <v>1747</v>
      </c>
      <c r="C5" s="29" t="s">
        <v>1611</v>
      </c>
      <c r="D5" s="32" t="s">
        <v>1610</v>
      </c>
      <c r="E5" s="23" t="s">
        <v>1576</v>
      </c>
      <c r="G5" s="29" t="s">
        <v>1019</v>
      </c>
      <c r="H5" s="30" t="s">
        <v>124</v>
      </c>
      <c r="I5" s="30" t="s">
        <v>131</v>
      </c>
      <c r="J5" s="23" t="s">
        <v>585</v>
      </c>
      <c r="L5" s="12" t="s">
        <v>1248</v>
      </c>
      <c r="M5" s="12" t="s">
        <v>734</v>
      </c>
      <c r="N5" s="12">
        <v>100760</v>
      </c>
      <c r="O5" s="12" t="s">
        <v>1320</v>
      </c>
      <c r="P5" s="12" t="s">
        <v>1325</v>
      </c>
      <c r="Q5" s="100" t="s">
        <v>1562</v>
      </c>
      <c r="S5" s="12" t="s">
        <v>828</v>
      </c>
      <c r="T5" s="12" t="s">
        <v>986</v>
      </c>
      <c r="U5" s="12" t="s">
        <v>827</v>
      </c>
      <c r="V5" s="8" t="s">
        <v>761</v>
      </c>
      <c r="W5" s="8" t="s">
        <v>965</v>
      </c>
      <c r="AC5" s="206"/>
      <c r="AD5" s="6" t="s">
        <v>1667</v>
      </c>
      <c r="AE5" s="57" t="s">
        <v>73</v>
      </c>
      <c r="AF5" s="6" t="s">
        <v>412</v>
      </c>
      <c r="AG5" s="6" t="s">
        <v>400</v>
      </c>
      <c r="AJ5" s="80" t="s">
        <v>1440</v>
      </c>
      <c r="AK5" s="80" t="s">
        <v>1441</v>
      </c>
      <c r="AL5" s="81" t="s">
        <v>1436</v>
      </c>
      <c r="AM5" s="80" t="s">
        <v>1438</v>
      </c>
      <c r="AO5" s="209"/>
      <c r="AP5" s="60" t="s">
        <v>77</v>
      </c>
      <c r="AQ5" s="61" t="s">
        <v>1700</v>
      </c>
      <c r="AR5" s="61" t="s">
        <v>1701</v>
      </c>
      <c r="AS5" s="8" t="s">
        <v>1405</v>
      </c>
      <c r="AU5" s="8"/>
      <c r="AV5" s="8"/>
      <c r="AX5" s="52" t="s">
        <v>2526</v>
      </c>
      <c r="AY5" s="52" t="s">
        <v>918</v>
      </c>
      <c r="AZ5" s="51" t="s">
        <v>1393</v>
      </c>
      <c r="BB5" s="15" t="s">
        <v>2522</v>
      </c>
      <c r="BC5" s="15" t="s">
        <v>1394</v>
      </c>
      <c r="BD5" s="15" t="s">
        <v>148</v>
      </c>
      <c r="BG5" s="171" t="s">
        <v>1800</v>
      </c>
      <c r="BI5" s="120" t="s">
        <v>1808</v>
      </c>
      <c r="BJ5" s="1" t="s">
        <v>1441</v>
      </c>
      <c r="BK5" s="108" t="s">
        <v>1440</v>
      </c>
      <c r="BL5" s="1" t="s">
        <v>1477</v>
      </c>
      <c r="BM5" s="110" t="s">
        <v>1436</v>
      </c>
      <c r="BN5" s="1" t="s">
        <v>1438</v>
      </c>
      <c r="BR5" s="1" t="s">
        <v>2001</v>
      </c>
      <c r="BS5" s="1" t="s">
        <v>2002</v>
      </c>
      <c r="BT5" s="1" t="s">
        <v>2003</v>
      </c>
      <c r="BU5" s="1" t="s">
        <v>2004</v>
      </c>
      <c r="BV5" s="1" t="s">
        <v>2005</v>
      </c>
    </row>
    <row r="6" spans="1:74" ht="33">
      <c r="A6" s="29" t="s">
        <v>1612</v>
      </c>
      <c r="B6" s="29" t="s">
        <v>1612</v>
      </c>
      <c r="C6" s="29" t="s">
        <v>1613</v>
      </c>
      <c r="D6" s="32" t="s">
        <v>1612</v>
      </c>
      <c r="E6" s="23" t="s">
        <v>1577</v>
      </c>
      <c r="G6" s="29" t="s">
        <v>1020</v>
      </c>
      <c r="H6" s="29" t="s">
        <v>271</v>
      </c>
      <c r="I6" s="29" t="s">
        <v>132</v>
      </c>
      <c r="J6" s="23"/>
      <c r="L6" s="12" t="s">
        <v>1406</v>
      </c>
      <c r="M6" s="12" t="s">
        <v>734</v>
      </c>
      <c r="N6" s="12">
        <v>100760</v>
      </c>
      <c r="O6" s="12" t="s">
        <v>1320</v>
      </c>
      <c r="P6" s="12" t="s">
        <v>1325</v>
      </c>
      <c r="Q6" s="100" t="s">
        <v>1562</v>
      </c>
      <c r="S6" s="12" t="s">
        <v>805</v>
      </c>
      <c r="T6" s="12" t="s">
        <v>427</v>
      </c>
      <c r="U6" s="12" t="s">
        <v>428</v>
      </c>
      <c r="V6" s="8" t="s">
        <v>1035</v>
      </c>
      <c r="W6" s="8" t="s">
        <v>104</v>
      </c>
      <c r="AC6" s="206"/>
      <c r="AD6" s="6" t="s">
        <v>1668</v>
      </c>
      <c r="AE6" s="57" t="s">
        <v>941</v>
      </c>
      <c r="AF6" s="6" t="s">
        <v>76</v>
      </c>
      <c r="AG6" s="6" t="s">
        <v>401</v>
      </c>
      <c r="AJ6" s="80" t="s">
        <v>73</v>
      </c>
      <c r="AK6" s="80" t="s">
        <v>1442</v>
      </c>
      <c r="AL6" s="81" t="s">
        <v>1436</v>
      </c>
      <c r="AM6" s="80" t="s">
        <v>1438</v>
      </c>
      <c r="AO6" s="209"/>
      <c r="AP6" s="60" t="s">
        <v>70</v>
      </c>
      <c r="AQ6" s="61" t="s">
        <v>1726</v>
      </c>
      <c r="AR6" s="61" t="s">
        <v>1702</v>
      </c>
      <c r="AS6" s="8" t="s">
        <v>1405</v>
      </c>
      <c r="AU6" s="8"/>
      <c r="AV6" s="8"/>
      <c r="AX6" s="72" t="s">
        <v>324</v>
      </c>
      <c r="AY6" s="53" t="s">
        <v>919</v>
      </c>
      <c r="AZ6" s="51" t="s">
        <v>1392</v>
      </c>
      <c r="BB6" s="15" t="s">
        <v>1728</v>
      </c>
      <c r="BC6" s="86" t="s">
        <v>1913</v>
      </c>
      <c r="BD6" s="15" t="s">
        <v>332</v>
      </c>
      <c r="BG6" s="171" t="s">
        <v>1800</v>
      </c>
      <c r="BH6" s="120" t="s">
        <v>1920</v>
      </c>
      <c r="BI6" s="120" t="s">
        <v>1809</v>
      </c>
      <c r="BJ6" s="1" t="s">
        <v>1442</v>
      </c>
      <c r="BK6" s="108" t="s">
        <v>73</v>
      </c>
      <c r="BL6" s="1" t="s">
        <v>1477</v>
      </c>
      <c r="BM6" s="110" t="s">
        <v>1436</v>
      </c>
      <c r="BN6" s="1" t="s">
        <v>1438</v>
      </c>
      <c r="BR6" s="1" t="s">
        <v>1399</v>
      </c>
      <c r="BS6" s="1" t="s">
        <v>2006</v>
      </c>
      <c r="BT6" s="1" t="s">
        <v>2007</v>
      </c>
      <c r="BU6" s="1" t="s">
        <v>2008</v>
      </c>
      <c r="BV6" s="1" t="s">
        <v>2009</v>
      </c>
    </row>
    <row r="7" spans="1:74">
      <c r="A7" s="29" t="s">
        <v>1614</v>
      </c>
      <c r="B7" s="29" t="s">
        <v>1748</v>
      </c>
      <c r="C7" s="29" t="s">
        <v>1615</v>
      </c>
      <c r="D7" s="32" t="s">
        <v>1614</v>
      </c>
      <c r="E7" s="23" t="s">
        <v>1578</v>
      </c>
      <c r="G7" s="29" t="s">
        <v>1021</v>
      </c>
      <c r="H7" s="29" t="s">
        <v>273</v>
      </c>
      <c r="I7" s="29" t="s">
        <v>414</v>
      </c>
      <c r="J7" s="23" t="s">
        <v>586</v>
      </c>
      <c r="L7" s="12" t="s">
        <v>1326</v>
      </c>
      <c r="M7" s="12" t="s">
        <v>1327</v>
      </c>
      <c r="N7" s="12">
        <v>100760</v>
      </c>
      <c r="O7" s="12" t="s">
        <v>1320</v>
      </c>
      <c r="P7" s="12" t="s">
        <v>1328</v>
      </c>
      <c r="Q7" s="12"/>
      <c r="S7" s="12" t="s">
        <v>806</v>
      </c>
      <c r="T7" s="12" t="s">
        <v>987</v>
      </c>
      <c r="U7" s="12" t="s">
        <v>445</v>
      </c>
      <c r="V7" s="8" t="s">
        <v>1036</v>
      </c>
      <c r="W7" s="8" t="s">
        <v>101</v>
      </c>
      <c r="AC7" s="206"/>
      <c r="AD7" s="6" t="s">
        <v>1669</v>
      </c>
      <c r="AE7" s="57" t="s">
        <v>80</v>
      </c>
      <c r="AF7" s="6" t="s">
        <v>81</v>
      </c>
      <c r="AG7" s="6" t="s">
        <v>402</v>
      </c>
      <c r="AJ7" s="80" t="s">
        <v>1443</v>
      </c>
      <c r="AK7" s="80" t="s">
        <v>1444</v>
      </c>
      <c r="AL7" s="81" t="s">
        <v>1436</v>
      </c>
      <c r="AM7" s="80" t="s">
        <v>1438</v>
      </c>
      <c r="AO7" s="209"/>
      <c r="AP7" s="60" t="s">
        <v>1451</v>
      </c>
      <c r="AQ7" s="61" t="s">
        <v>1703</v>
      </c>
      <c r="AR7" s="61" t="s">
        <v>1704</v>
      </c>
      <c r="AS7" s="8" t="s">
        <v>1404</v>
      </c>
      <c r="AU7" s="8"/>
      <c r="AV7" s="8"/>
      <c r="AX7" s="72" t="s">
        <v>1224</v>
      </c>
      <c r="AY7" s="53" t="s">
        <v>1225</v>
      </c>
      <c r="AZ7" s="51" t="s">
        <v>929</v>
      </c>
      <c r="BB7" s="15" t="s">
        <v>1426</v>
      </c>
      <c r="BC7" s="85" t="s">
        <v>1425</v>
      </c>
      <c r="BD7" s="15" t="s">
        <v>333</v>
      </c>
      <c r="BG7" s="171" t="s">
        <v>1800</v>
      </c>
      <c r="BI7" s="120" t="s">
        <v>1810</v>
      </c>
      <c r="BJ7" s="1" t="s">
        <v>1444</v>
      </c>
      <c r="BK7" s="108" t="s">
        <v>1443</v>
      </c>
      <c r="BL7" s="1" t="s">
        <v>1477</v>
      </c>
      <c r="BM7" s="110" t="s">
        <v>1436</v>
      </c>
      <c r="BN7" s="1" t="s">
        <v>1438</v>
      </c>
      <c r="BR7" s="1" t="s">
        <v>1399</v>
      </c>
      <c r="BS7" s="1" t="s">
        <v>2010</v>
      </c>
      <c r="BT7" s="1" t="s">
        <v>1993</v>
      </c>
      <c r="BU7" s="1" t="s">
        <v>2008</v>
      </c>
      <c r="BV7" s="1" t="s">
        <v>2011</v>
      </c>
    </row>
    <row r="8" spans="1:74">
      <c r="A8" s="29" t="s">
        <v>1616</v>
      </c>
      <c r="B8" s="29" t="s">
        <v>1616</v>
      </c>
      <c r="C8" s="29" t="s">
        <v>1617</v>
      </c>
      <c r="D8" s="32" t="s">
        <v>1616</v>
      </c>
      <c r="E8" s="23" t="s">
        <v>1577</v>
      </c>
      <c r="G8" s="29" t="s">
        <v>1022</v>
      </c>
      <c r="H8" s="29" t="s">
        <v>384</v>
      </c>
      <c r="I8" s="29" t="s">
        <v>415</v>
      </c>
      <c r="J8" s="23" t="s">
        <v>587</v>
      </c>
      <c r="L8" s="12" t="s">
        <v>1249</v>
      </c>
      <c r="M8" s="12" t="s">
        <v>735</v>
      </c>
      <c r="N8" s="12">
        <v>100760</v>
      </c>
      <c r="O8" s="12" t="s">
        <v>1320</v>
      </c>
      <c r="P8" s="12" t="s">
        <v>1329</v>
      </c>
      <c r="Q8" s="12"/>
      <c r="S8" s="12" t="s">
        <v>807</v>
      </c>
      <c r="T8" s="12" t="s">
        <v>422</v>
      </c>
      <c r="U8" s="12" t="s">
        <v>423</v>
      </c>
      <c r="V8" s="8" t="s">
        <v>762</v>
      </c>
      <c r="W8" s="8" t="s">
        <v>102</v>
      </c>
      <c r="AC8" s="206"/>
      <c r="AD8" s="6" t="s">
        <v>1670</v>
      </c>
      <c r="AE8" s="57" t="s">
        <v>85</v>
      </c>
      <c r="AF8" s="6" t="s">
        <v>86</v>
      </c>
      <c r="AG8" s="6" t="s">
        <v>403</v>
      </c>
      <c r="AJ8" s="80" t="s">
        <v>1445</v>
      </c>
      <c r="AK8" s="80" t="s">
        <v>76</v>
      </c>
      <c r="AL8" s="81" t="s">
        <v>1436</v>
      </c>
      <c r="AM8" s="80" t="s">
        <v>1438</v>
      </c>
      <c r="AO8" s="209"/>
      <c r="AP8" s="60" t="s">
        <v>1712</v>
      </c>
      <c r="AQ8" s="61" t="s">
        <v>1710</v>
      </c>
      <c r="AR8" s="61" t="s">
        <v>1711</v>
      </c>
      <c r="AS8" s="8" t="s">
        <v>1405</v>
      </c>
      <c r="AU8" s="8"/>
      <c r="AV8" s="8"/>
      <c r="AX8" s="72" t="s">
        <v>1219</v>
      </c>
      <c r="AY8" s="53" t="s">
        <v>1226</v>
      </c>
      <c r="AZ8" s="8" t="s">
        <v>1221</v>
      </c>
      <c r="BB8" s="15" t="s">
        <v>1731</v>
      </c>
      <c r="BC8" s="15" t="s">
        <v>1795</v>
      </c>
      <c r="BD8" s="15" t="s">
        <v>335</v>
      </c>
      <c r="BG8" s="171" t="s">
        <v>1800</v>
      </c>
      <c r="BH8" s="120" t="s">
        <v>1921</v>
      </c>
      <c r="BI8" s="120" t="s">
        <v>1811</v>
      </c>
      <c r="BJ8" s="1" t="s">
        <v>76</v>
      </c>
      <c r="BK8" s="108" t="s">
        <v>1445</v>
      </c>
      <c r="BL8" s="1" t="s">
        <v>1477</v>
      </c>
      <c r="BM8" s="110" t="s">
        <v>1436</v>
      </c>
      <c r="BN8" s="1" t="s">
        <v>1438</v>
      </c>
      <c r="BR8" s="1" t="s">
        <v>1399</v>
      </c>
      <c r="BS8" s="1" t="s">
        <v>2012</v>
      </c>
      <c r="BT8" s="1" t="s">
        <v>2013</v>
      </c>
      <c r="BU8" s="1" t="s">
        <v>2008</v>
      </c>
      <c r="BV8" s="1" t="s">
        <v>2011</v>
      </c>
    </row>
    <row r="9" spans="1:74">
      <c r="A9" s="29" t="s">
        <v>1618</v>
      </c>
      <c r="B9" s="29" t="s">
        <v>1749</v>
      </c>
      <c r="C9" s="29" t="s">
        <v>1619</v>
      </c>
      <c r="D9" s="32" t="s">
        <v>1618</v>
      </c>
      <c r="E9" s="23" t="s">
        <v>1591</v>
      </c>
      <c r="G9" s="29" t="s">
        <v>1724</v>
      </c>
      <c r="H9" s="29" t="s">
        <v>272</v>
      </c>
      <c r="I9" s="29" t="s">
        <v>376</v>
      </c>
      <c r="J9" s="23" t="s">
        <v>588</v>
      </c>
      <c r="L9" s="12" t="s">
        <v>1250</v>
      </c>
      <c r="M9" s="12" t="s">
        <v>736</v>
      </c>
      <c r="N9" s="12">
        <v>100760</v>
      </c>
      <c r="O9" s="12" t="s">
        <v>1320</v>
      </c>
      <c r="P9" s="12" t="s">
        <v>1330</v>
      </c>
      <c r="Q9" s="12"/>
      <c r="S9" s="12" t="s">
        <v>164</v>
      </c>
      <c r="T9" s="12" t="s">
        <v>808</v>
      </c>
      <c r="U9" s="12" t="s">
        <v>163</v>
      </c>
      <c r="V9" s="8" t="s">
        <v>767</v>
      </c>
      <c r="W9" s="8" t="s">
        <v>103</v>
      </c>
      <c r="AC9" s="206"/>
      <c r="AD9" s="6" t="s">
        <v>1671</v>
      </c>
      <c r="AE9" s="6" t="s">
        <v>345</v>
      </c>
      <c r="AF9" s="6" t="s">
        <v>365</v>
      </c>
      <c r="AG9" s="6" t="s">
        <v>398</v>
      </c>
      <c r="AJ9" s="80" t="s">
        <v>80</v>
      </c>
      <c r="AK9" s="80" t="s">
        <v>81</v>
      </c>
      <c r="AL9" s="81" t="s">
        <v>1436</v>
      </c>
      <c r="AM9" s="80" t="s">
        <v>1438</v>
      </c>
      <c r="AO9" s="209"/>
      <c r="AP9" s="60" t="s">
        <v>1471</v>
      </c>
      <c r="AQ9" s="61" t="s">
        <v>1713</v>
      </c>
      <c r="AR9" s="61" t="s">
        <v>1714</v>
      </c>
      <c r="AS9" s="8" t="s">
        <v>1404</v>
      </c>
      <c r="AU9" s="8"/>
      <c r="AV9" s="8"/>
      <c r="AX9" s="72" t="s">
        <v>1227</v>
      </c>
      <c r="AY9" s="53" t="s">
        <v>1228</v>
      </c>
      <c r="AZ9" s="8" t="s">
        <v>1211</v>
      </c>
      <c r="BB9" s="15" t="s">
        <v>1730</v>
      </c>
      <c r="BC9" s="15" t="s">
        <v>328</v>
      </c>
      <c r="BD9" s="15" t="s">
        <v>149</v>
      </c>
      <c r="BG9" s="171" t="s">
        <v>1800</v>
      </c>
      <c r="BH9" s="120" t="s">
        <v>1922</v>
      </c>
      <c r="BI9" s="120" t="s">
        <v>1812</v>
      </c>
      <c r="BJ9" s="1" t="s">
        <v>81</v>
      </c>
      <c r="BK9" s="108" t="s">
        <v>80</v>
      </c>
      <c r="BL9" s="1" t="s">
        <v>1477</v>
      </c>
      <c r="BM9" s="110" t="s">
        <v>1436</v>
      </c>
      <c r="BN9" s="1" t="s">
        <v>1438</v>
      </c>
      <c r="BR9" s="1" t="s">
        <v>1401</v>
      </c>
      <c r="BS9" s="1" t="s">
        <v>2014</v>
      </c>
      <c r="BT9" s="1" t="s">
        <v>2015</v>
      </c>
      <c r="BU9" s="1" t="s">
        <v>2008</v>
      </c>
      <c r="BV9" s="1" t="s">
        <v>2016</v>
      </c>
    </row>
    <row r="10" spans="1:74">
      <c r="A10" s="29" t="s">
        <v>1620</v>
      </c>
      <c r="B10" s="29" t="s">
        <v>1750</v>
      </c>
      <c r="C10" s="29" t="s">
        <v>1621</v>
      </c>
      <c r="D10" s="32" t="s">
        <v>1620</v>
      </c>
      <c r="E10" s="23" t="s">
        <v>1579</v>
      </c>
      <c r="G10" s="29" t="s">
        <v>1023</v>
      </c>
      <c r="H10" s="29" t="s">
        <v>383</v>
      </c>
      <c r="I10" s="29" t="s">
        <v>377</v>
      </c>
      <c r="J10" s="23" t="s">
        <v>589</v>
      </c>
      <c r="L10" s="12" t="s">
        <v>119</v>
      </c>
      <c r="M10" s="12" t="s">
        <v>119</v>
      </c>
      <c r="N10" s="12">
        <v>100760</v>
      </c>
      <c r="O10" s="12" t="s">
        <v>1320</v>
      </c>
      <c r="P10" s="12" t="s">
        <v>1331</v>
      </c>
      <c r="Q10" s="12"/>
      <c r="S10" s="12" t="s">
        <v>471</v>
      </c>
      <c r="T10" s="12" t="s">
        <v>808</v>
      </c>
      <c r="U10" s="12" t="s">
        <v>163</v>
      </c>
      <c r="V10" s="8" t="s">
        <v>952</v>
      </c>
      <c r="W10" s="8" t="s">
        <v>957</v>
      </c>
      <c r="AC10" s="207"/>
      <c r="AD10" s="6" t="s">
        <v>1672</v>
      </c>
      <c r="AE10" s="6" t="s">
        <v>942</v>
      </c>
      <c r="AF10" s="6" t="s">
        <v>348</v>
      </c>
      <c r="AG10" s="6" t="s">
        <v>405</v>
      </c>
      <c r="AJ10" s="80" t="s">
        <v>85</v>
      </c>
      <c r="AK10" s="80" t="s">
        <v>86</v>
      </c>
      <c r="AL10" s="81" t="s">
        <v>1436</v>
      </c>
      <c r="AM10" s="80" t="s">
        <v>1438</v>
      </c>
      <c r="AO10" s="209"/>
      <c r="AP10" s="60" t="s">
        <v>1465</v>
      </c>
      <c r="AQ10" s="61" t="s">
        <v>1715</v>
      </c>
      <c r="AR10" s="61" t="s">
        <v>1716</v>
      </c>
      <c r="AS10" s="8" t="s">
        <v>1404</v>
      </c>
      <c r="AU10" s="8"/>
      <c r="AV10" s="8"/>
      <c r="AX10" s="72" t="s">
        <v>1212</v>
      </c>
      <c r="AY10" s="53" t="s">
        <v>1229</v>
      </c>
      <c r="AZ10" s="8" t="s">
        <v>1222</v>
      </c>
      <c r="BB10" s="15" t="s">
        <v>1727</v>
      </c>
      <c r="BC10" s="85" t="s">
        <v>1903</v>
      </c>
      <c r="BD10" s="15" t="s">
        <v>147</v>
      </c>
      <c r="BG10" s="171" t="s">
        <v>1800</v>
      </c>
      <c r="BH10" s="120" t="s">
        <v>1923</v>
      </c>
      <c r="BI10" s="120" t="s">
        <v>1813</v>
      </c>
      <c r="BJ10" s="1" t="s">
        <v>86</v>
      </c>
      <c r="BK10" s="108" t="s">
        <v>85</v>
      </c>
      <c r="BL10" s="1" t="s">
        <v>1477</v>
      </c>
      <c r="BM10" s="110" t="s">
        <v>1436</v>
      </c>
      <c r="BN10" s="1" t="s">
        <v>1438</v>
      </c>
      <c r="BR10" s="1" t="s">
        <v>1401</v>
      </c>
      <c r="BS10" s="1" t="s">
        <v>2017</v>
      </c>
      <c r="BT10" s="1" t="s">
        <v>2018</v>
      </c>
      <c r="BU10" s="1" t="s">
        <v>2008</v>
      </c>
      <c r="BV10" s="1" t="s">
        <v>2016</v>
      </c>
    </row>
    <row r="11" spans="1:74">
      <c r="A11" s="29" t="s">
        <v>1622</v>
      </c>
      <c r="B11" s="29" t="s">
        <v>1751</v>
      </c>
      <c r="C11" s="29" t="s">
        <v>1623</v>
      </c>
      <c r="D11" s="32" t="s">
        <v>1622</v>
      </c>
      <c r="E11" s="23" t="s">
        <v>1580</v>
      </c>
      <c r="G11" s="29" t="s">
        <v>1775</v>
      </c>
      <c r="H11" s="29" t="s">
        <v>274</v>
      </c>
      <c r="I11" s="29" t="s">
        <v>590</v>
      </c>
      <c r="J11" s="23" t="s">
        <v>591</v>
      </c>
      <c r="L11" s="12" t="s">
        <v>1568</v>
      </c>
      <c r="M11" s="12" t="s">
        <v>1567</v>
      </c>
      <c r="N11" s="12">
        <v>100760</v>
      </c>
      <c r="O11" s="12" t="s">
        <v>1320</v>
      </c>
      <c r="P11" s="12" t="s">
        <v>1569</v>
      </c>
      <c r="Q11" s="12"/>
      <c r="S11" s="12" t="s">
        <v>171</v>
      </c>
      <c r="T11" s="12" t="s">
        <v>809</v>
      </c>
      <c r="U11" s="12" t="s">
        <v>170</v>
      </c>
      <c r="V11" s="8" t="s">
        <v>765</v>
      </c>
      <c r="W11" s="8" t="s">
        <v>1012</v>
      </c>
      <c r="AC11" s="205" t="s">
        <v>370</v>
      </c>
      <c r="AD11" s="6"/>
      <c r="AE11" s="6" t="s">
        <v>935</v>
      </c>
      <c r="AF11" s="6" t="s">
        <v>354</v>
      </c>
      <c r="AG11" s="6"/>
      <c r="AJ11" s="80" t="s">
        <v>345</v>
      </c>
      <c r="AK11" s="80" t="s">
        <v>1446</v>
      </c>
      <c r="AL11" s="81" t="s">
        <v>1436</v>
      </c>
      <c r="AM11" s="80" t="s">
        <v>1438</v>
      </c>
      <c r="AO11" s="209"/>
      <c r="AP11" s="62" t="s">
        <v>1719</v>
      </c>
      <c r="AQ11" s="6" t="s">
        <v>1717</v>
      </c>
      <c r="AR11" s="63" t="s">
        <v>1718</v>
      </c>
      <c r="AS11" s="8" t="s">
        <v>1404</v>
      </c>
      <c r="AU11" s="8"/>
      <c r="AV11" s="8"/>
      <c r="AX11" s="72" t="s">
        <v>1230</v>
      </c>
      <c r="AY11" s="53" t="s">
        <v>920</v>
      </c>
      <c r="AZ11" s="8" t="s">
        <v>1220</v>
      </c>
      <c r="BB11" s="15" t="s">
        <v>1908</v>
      </c>
      <c r="BC11" s="85" t="s">
        <v>1905</v>
      </c>
      <c r="BD11" s="74" t="s">
        <v>337</v>
      </c>
      <c r="BG11" s="171" t="s">
        <v>1800</v>
      </c>
      <c r="BH11" s="120" t="s">
        <v>1924</v>
      </c>
      <c r="BI11" s="120" t="s">
        <v>1814</v>
      </c>
      <c r="BJ11" s="1" t="s">
        <v>1446</v>
      </c>
      <c r="BK11" s="108" t="s">
        <v>345</v>
      </c>
      <c r="BL11" s="1" t="s">
        <v>1477</v>
      </c>
      <c r="BM11" s="110" t="s">
        <v>1436</v>
      </c>
      <c r="BN11" s="1" t="s">
        <v>1438</v>
      </c>
      <c r="BR11" s="1" t="s">
        <v>1400</v>
      </c>
      <c r="BS11" s="1" t="s">
        <v>2019</v>
      </c>
      <c r="BT11" s="1" t="s">
        <v>2020</v>
      </c>
      <c r="BU11" s="1" t="s">
        <v>2021</v>
      </c>
      <c r="BV11" s="1" t="s">
        <v>1776</v>
      </c>
    </row>
    <row r="12" spans="1:74">
      <c r="A12" s="29" t="s">
        <v>1624</v>
      </c>
      <c r="B12" s="29" t="s">
        <v>1624</v>
      </c>
      <c r="C12" s="29" t="s">
        <v>1625</v>
      </c>
      <c r="D12" s="32" t="s">
        <v>1624</v>
      </c>
      <c r="E12" s="23" t="s">
        <v>1581</v>
      </c>
      <c r="G12" s="29" t="s">
        <v>1779</v>
      </c>
      <c r="H12" s="29" t="s">
        <v>494</v>
      </c>
      <c r="I12" s="29" t="s">
        <v>592</v>
      </c>
      <c r="J12" s="23" t="s">
        <v>593</v>
      </c>
      <c r="L12" s="12" t="s">
        <v>129</v>
      </c>
      <c r="M12" s="12" t="s">
        <v>509</v>
      </c>
      <c r="N12" s="12">
        <v>100760</v>
      </c>
      <c r="O12" s="12" t="s">
        <v>1320</v>
      </c>
      <c r="P12" s="12" t="s">
        <v>1332</v>
      </c>
      <c r="Q12" s="12"/>
      <c r="S12" s="12" t="s">
        <v>233</v>
      </c>
      <c r="T12" s="12" t="s">
        <v>113</v>
      </c>
      <c r="U12" s="12" t="s">
        <v>232</v>
      </c>
      <c r="V12" s="8" t="s">
        <v>1037</v>
      </c>
      <c r="W12" s="8" t="s">
        <v>104</v>
      </c>
      <c r="AC12" s="206"/>
      <c r="AD12" s="6" t="s">
        <v>1689</v>
      </c>
      <c r="AE12" s="6" t="s">
        <v>936</v>
      </c>
      <c r="AF12" s="6" t="s">
        <v>355</v>
      </c>
      <c r="AG12" s="6" t="s">
        <v>406</v>
      </c>
      <c r="AJ12" s="80" t="s">
        <v>1447</v>
      </c>
      <c r="AK12" s="80" t="s">
        <v>1448</v>
      </c>
      <c r="AL12" s="81" t="s">
        <v>1436</v>
      </c>
      <c r="AM12" s="80" t="s">
        <v>1438</v>
      </c>
      <c r="AO12" s="209"/>
      <c r="AP12" s="62" t="s">
        <v>1722</v>
      </c>
      <c r="AQ12" s="6" t="s">
        <v>1720</v>
      </c>
      <c r="AR12" s="63" t="s">
        <v>1721</v>
      </c>
      <c r="AS12" s="8" t="s">
        <v>1404</v>
      </c>
      <c r="AU12" s="8"/>
      <c r="AV12" s="8"/>
      <c r="AX12" s="72" t="s">
        <v>1231</v>
      </c>
      <c r="AY12" s="53" t="s">
        <v>921</v>
      </c>
      <c r="AZ12" s="8" t="s">
        <v>1210</v>
      </c>
      <c r="BB12" s="15" t="s">
        <v>1909</v>
      </c>
      <c r="BC12" s="85" t="s">
        <v>1907</v>
      </c>
      <c r="BD12" s="15" t="s">
        <v>338</v>
      </c>
      <c r="BG12" s="171" t="s">
        <v>1800</v>
      </c>
      <c r="BH12" s="120" t="s">
        <v>1925</v>
      </c>
      <c r="BI12" s="120" t="s">
        <v>1815</v>
      </c>
      <c r="BJ12" s="1" t="s">
        <v>1448</v>
      </c>
      <c r="BK12" s="108" t="s">
        <v>1447</v>
      </c>
      <c r="BL12" s="1" t="s">
        <v>1477</v>
      </c>
      <c r="BM12" s="110" t="s">
        <v>1436</v>
      </c>
      <c r="BN12" s="1" t="s">
        <v>1438</v>
      </c>
      <c r="BR12" s="1" t="s">
        <v>1400</v>
      </c>
      <c r="BS12" s="1" t="s">
        <v>2022</v>
      </c>
      <c r="BT12" s="1" t="s">
        <v>2023</v>
      </c>
      <c r="BU12" s="1" t="s">
        <v>2024</v>
      </c>
      <c r="BV12" s="1" t="s">
        <v>1776</v>
      </c>
    </row>
    <row r="13" spans="1:74">
      <c r="A13" s="29" t="s">
        <v>1626</v>
      </c>
      <c r="B13" s="29" t="s">
        <v>1752</v>
      </c>
      <c r="C13" s="29" t="s">
        <v>1627</v>
      </c>
      <c r="D13" s="32" t="s">
        <v>1626</v>
      </c>
      <c r="E13" s="23" t="s">
        <v>1582</v>
      </c>
      <c r="G13" s="29" t="s">
        <v>126</v>
      </c>
      <c r="H13" s="29" t="s">
        <v>133</v>
      </c>
      <c r="I13" s="29" t="s">
        <v>375</v>
      </c>
      <c r="J13" s="23"/>
      <c r="L13" s="12" t="s">
        <v>1251</v>
      </c>
      <c r="M13" s="12" t="s">
        <v>509</v>
      </c>
      <c r="N13" s="12">
        <v>100760</v>
      </c>
      <c r="O13" s="12" t="s">
        <v>1320</v>
      </c>
      <c r="P13" s="12" t="s">
        <v>1332</v>
      </c>
      <c r="Q13" s="12" t="s">
        <v>1333</v>
      </c>
      <c r="S13" s="12" t="s">
        <v>811</v>
      </c>
      <c r="T13" s="12" t="s">
        <v>431</v>
      </c>
      <c r="U13" s="12" t="s">
        <v>432</v>
      </c>
      <c r="V13" s="8" t="s">
        <v>1038</v>
      </c>
      <c r="W13" s="8" t="s">
        <v>1039</v>
      </c>
      <c r="AC13" s="206"/>
      <c r="AD13" s="6" t="s">
        <v>1690</v>
      </c>
      <c r="AE13" s="6" t="s">
        <v>937</v>
      </c>
      <c r="AF13" s="6" t="s">
        <v>356</v>
      </c>
      <c r="AG13" s="6" t="s">
        <v>393</v>
      </c>
      <c r="AJ13" s="80" t="s">
        <v>1449</v>
      </c>
      <c r="AK13" s="80" t="s">
        <v>1450</v>
      </c>
      <c r="AL13" s="81" t="s">
        <v>1436</v>
      </c>
      <c r="AM13" s="80" t="s">
        <v>1438</v>
      </c>
      <c r="AO13" s="209"/>
      <c r="AP13" s="62" t="s">
        <v>1475</v>
      </c>
      <c r="AQ13" s="6" t="s">
        <v>1476</v>
      </c>
      <c r="AR13" s="63" t="s">
        <v>1723</v>
      </c>
      <c r="AS13" s="8" t="s">
        <v>1404</v>
      </c>
      <c r="AU13" s="8"/>
      <c r="AV13" s="8"/>
      <c r="AX13" s="8" t="s">
        <v>922</v>
      </c>
      <c r="AY13" s="51" t="s">
        <v>923</v>
      </c>
      <c r="AZ13" s="8" t="s">
        <v>1223</v>
      </c>
      <c r="BB13" s="15" t="s">
        <v>1911</v>
      </c>
      <c r="BC13" s="85" t="s">
        <v>1912</v>
      </c>
      <c r="BD13" s="15"/>
      <c r="BG13" s="171" t="s">
        <v>1816</v>
      </c>
      <c r="BH13" s="120" t="s">
        <v>1926</v>
      </c>
      <c r="BI13" s="120" t="s">
        <v>1449</v>
      </c>
      <c r="BJ13" s="1" t="s">
        <v>1450</v>
      </c>
      <c r="BK13" s="108" t="s">
        <v>1449</v>
      </c>
      <c r="BL13" s="1" t="s">
        <v>1477</v>
      </c>
      <c r="BM13" s="110" t="s">
        <v>1436</v>
      </c>
      <c r="BN13" s="1" t="s">
        <v>1438</v>
      </c>
      <c r="BR13" s="1" t="s">
        <v>2025</v>
      </c>
      <c r="BS13" s="1" t="s">
        <v>150</v>
      </c>
      <c r="BT13" s="1" t="s">
        <v>2026</v>
      </c>
      <c r="BU13" s="1" t="s">
        <v>2008</v>
      </c>
      <c r="BV13" s="1" t="s">
        <v>1771</v>
      </c>
    </row>
    <row r="14" spans="1:74">
      <c r="A14" s="29" t="s">
        <v>1628</v>
      </c>
      <c r="B14" s="29" t="s">
        <v>1753</v>
      </c>
      <c r="C14" s="29" t="s">
        <v>1629</v>
      </c>
      <c r="D14" s="32" t="s">
        <v>1628</v>
      </c>
      <c r="E14" s="23" t="s">
        <v>1583</v>
      </c>
      <c r="G14" s="29" t="s">
        <v>1318</v>
      </c>
      <c r="H14" s="29" t="s">
        <v>1319</v>
      </c>
      <c r="I14" s="29" t="s">
        <v>1323</v>
      </c>
      <c r="J14" s="23"/>
      <c r="L14" s="12" t="s">
        <v>1252</v>
      </c>
      <c r="M14" s="12" t="s">
        <v>737</v>
      </c>
      <c r="N14" s="12">
        <v>100760</v>
      </c>
      <c r="O14" s="12" t="s">
        <v>1320</v>
      </c>
      <c r="P14" s="12" t="s">
        <v>1334</v>
      </c>
      <c r="Q14" s="12"/>
      <c r="S14" s="12" t="s">
        <v>212</v>
      </c>
      <c r="T14" s="12" t="s">
        <v>812</v>
      </c>
      <c r="U14" s="12" t="s">
        <v>211</v>
      </c>
      <c r="V14" s="8" t="s">
        <v>1040</v>
      </c>
      <c r="W14" s="8" t="s">
        <v>1041</v>
      </c>
      <c r="AC14" s="206"/>
      <c r="AD14" s="6"/>
      <c r="AE14" s="57" t="s">
        <v>50</v>
      </c>
      <c r="AF14" s="6" t="s">
        <v>51</v>
      </c>
      <c r="AG14" s="6"/>
      <c r="AJ14" s="80" t="s">
        <v>74</v>
      </c>
      <c r="AK14" s="80" t="s">
        <v>75</v>
      </c>
      <c r="AL14" s="81" t="s">
        <v>1436</v>
      </c>
      <c r="AM14" s="80" t="s">
        <v>1438</v>
      </c>
      <c r="AO14" s="209"/>
      <c r="AP14" s="62"/>
      <c r="AQ14" s="6"/>
      <c r="AR14" s="63"/>
      <c r="AS14" s="8"/>
      <c r="AU14" s="8"/>
      <c r="AV14" s="8"/>
      <c r="AX14" s="8" t="s">
        <v>924</v>
      </c>
      <c r="AY14" s="51" t="s">
        <v>925</v>
      </c>
      <c r="AZ14" s="8" t="s">
        <v>1213</v>
      </c>
      <c r="BG14" s="171" t="s">
        <v>1816</v>
      </c>
      <c r="BH14" s="120" t="s">
        <v>1927</v>
      </c>
      <c r="BI14" s="120" t="s">
        <v>1817</v>
      </c>
      <c r="BJ14" s="1" t="s">
        <v>75</v>
      </c>
      <c r="BK14" s="108" t="s">
        <v>74</v>
      </c>
      <c r="BL14" s="1" t="s">
        <v>1477</v>
      </c>
      <c r="BM14" s="110" t="s">
        <v>1436</v>
      </c>
      <c r="BN14" s="1" t="s">
        <v>1438</v>
      </c>
      <c r="BR14" s="1" t="s">
        <v>2025</v>
      </c>
      <c r="BS14" s="1" t="s">
        <v>2027</v>
      </c>
      <c r="BT14" s="1" t="s">
        <v>2028</v>
      </c>
      <c r="BU14" s="1" t="s">
        <v>2029</v>
      </c>
      <c r="BV14" s="1" t="s">
        <v>2030</v>
      </c>
    </row>
    <row r="15" spans="1:74">
      <c r="A15" s="29" t="s">
        <v>2524</v>
      </c>
      <c r="B15" s="29" t="s">
        <v>1754</v>
      </c>
      <c r="C15" s="29" t="s">
        <v>1630</v>
      </c>
      <c r="D15" s="32" t="s">
        <v>2521</v>
      </c>
      <c r="E15" s="23" t="s">
        <v>1584</v>
      </c>
      <c r="G15" s="29" t="s">
        <v>1564</v>
      </c>
      <c r="H15" s="29" t="s">
        <v>1565</v>
      </c>
      <c r="I15" s="29" t="s">
        <v>1566</v>
      </c>
      <c r="J15" s="23"/>
      <c r="L15" s="12" t="s">
        <v>153</v>
      </c>
      <c r="M15" s="12" t="s">
        <v>153</v>
      </c>
      <c r="N15" s="12">
        <v>100760</v>
      </c>
      <c r="O15" s="12" t="s">
        <v>1320</v>
      </c>
      <c r="P15" s="12" t="s">
        <v>1335</v>
      </c>
      <c r="Q15" s="12"/>
      <c r="S15" s="12" t="s">
        <v>185</v>
      </c>
      <c r="T15" s="12"/>
      <c r="U15" s="12" t="s">
        <v>184</v>
      </c>
      <c r="V15" s="8" t="s">
        <v>1042</v>
      </c>
      <c r="W15" s="8" t="s">
        <v>1043</v>
      </c>
      <c r="AC15" s="206"/>
      <c r="AD15" s="6"/>
      <c r="AE15" s="57" t="s">
        <v>53</v>
      </c>
      <c r="AF15" s="6" t="s">
        <v>54</v>
      </c>
      <c r="AG15" s="6"/>
      <c r="AJ15" s="80" t="s">
        <v>1451</v>
      </c>
      <c r="AK15" s="80" t="s">
        <v>1452</v>
      </c>
      <c r="AL15" s="81" t="s">
        <v>1436</v>
      </c>
      <c r="AM15" s="80" t="s">
        <v>1438</v>
      </c>
      <c r="AO15" s="209"/>
      <c r="AP15" s="62"/>
      <c r="AQ15" s="6"/>
      <c r="AR15" s="63"/>
      <c r="AS15" s="8"/>
      <c r="AX15" s="8" t="s">
        <v>1214</v>
      </c>
      <c r="AY15" s="54" t="s">
        <v>926</v>
      </c>
      <c r="AZ15" s="8" t="s">
        <v>1215</v>
      </c>
      <c r="BG15" s="171" t="s">
        <v>1816</v>
      </c>
      <c r="BH15" s="120" t="s">
        <v>1928</v>
      </c>
      <c r="BI15" s="120" t="s">
        <v>1818</v>
      </c>
      <c r="BJ15" s="109" t="s">
        <v>1819</v>
      </c>
      <c r="BK15" s="108" t="s">
        <v>1451</v>
      </c>
      <c r="BL15" s="1" t="s">
        <v>1477</v>
      </c>
      <c r="BM15" s="110" t="s">
        <v>1436</v>
      </c>
      <c r="BN15" s="1" t="s">
        <v>1438</v>
      </c>
      <c r="BR15" s="1" t="s">
        <v>2025</v>
      </c>
      <c r="BS15" s="1" t="s">
        <v>2031</v>
      </c>
      <c r="BT15" s="1" t="s">
        <v>2032</v>
      </c>
      <c r="BU15" s="1" t="s">
        <v>2029</v>
      </c>
      <c r="BV15" s="1" t="s">
        <v>2033</v>
      </c>
    </row>
    <row r="16" spans="1:74">
      <c r="A16" s="29" t="s">
        <v>1631</v>
      </c>
      <c r="B16" s="29" t="s">
        <v>1631</v>
      </c>
      <c r="C16" s="29" t="s">
        <v>1632</v>
      </c>
      <c r="D16" s="32" t="s">
        <v>1631</v>
      </c>
      <c r="E16" s="23" t="s">
        <v>1585</v>
      </c>
      <c r="G16" s="29" t="s">
        <v>1773</v>
      </c>
      <c r="H16" s="29" t="s">
        <v>275</v>
      </c>
      <c r="I16" s="29" t="s">
        <v>374</v>
      </c>
      <c r="J16" s="23"/>
      <c r="L16" s="12" t="s">
        <v>1253</v>
      </c>
      <c r="M16" s="12" t="s">
        <v>153</v>
      </c>
      <c r="N16" s="12">
        <v>100760</v>
      </c>
      <c r="O16" s="12" t="s">
        <v>1320</v>
      </c>
      <c r="P16" s="12" t="s">
        <v>1335</v>
      </c>
      <c r="Q16" s="12" t="s">
        <v>1336</v>
      </c>
      <c r="S16" s="12" t="s">
        <v>476</v>
      </c>
      <c r="T16" s="12" t="s">
        <v>477</v>
      </c>
      <c r="U16" s="12" t="s">
        <v>829</v>
      </c>
      <c r="V16" s="8" t="s">
        <v>1044</v>
      </c>
      <c r="W16" s="8" t="s">
        <v>1045</v>
      </c>
      <c r="AC16" s="206"/>
      <c r="AD16" s="6"/>
      <c r="AE16" s="57" t="s">
        <v>56</v>
      </c>
      <c r="AF16" s="6" t="s">
        <v>57</v>
      </c>
      <c r="AG16" s="6"/>
      <c r="AJ16" s="80" t="s">
        <v>1453</v>
      </c>
      <c r="AK16" s="80" t="s">
        <v>1454</v>
      </c>
      <c r="AL16" s="81" t="s">
        <v>1436</v>
      </c>
      <c r="AM16" s="80" t="s">
        <v>1438</v>
      </c>
      <c r="AO16" s="209"/>
      <c r="AP16" s="62"/>
      <c r="AQ16" s="6"/>
      <c r="AR16" s="63"/>
      <c r="AS16" s="8"/>
      <c r="AX16" s="8" t="s">
        <v>1897</v>
      </c>
      <c r="AY16" s="54" t="s">
        <v>927</v>
      </c>
      <c r="AZ16" s="8" t="s">
        <v>1216</v>
      </c>
      <c r="BG16" s="171" t="s">
        <v>1816</v>
      </c>
      <c r="BH16" s="120" t="s">
        <v>1929</v>
      </c>
      <c r="BI16" s="120" t="s">
        <v>1820</v>
      </c>
      <c r="BJ16" s="1" t="s">
        <v>1454</v>
      </c>
      <c r="BK16" s="108" t="s">
        <v>1453</v>
      </c>
      <c r="BL16" s="1" t="s">
        <v>1477</v>
      </c>
      <c r="BM16" s="110" t="s">
        <v>1436</v>
      </c>
      <c r="BN16" s="1" t="s">
        <v>1438</v>
      </c>
      <c r="BR16" s="1" t="s">
        <v>2025</v>
      </c>
      <c r="BS16" s="1" t="s">
        <v>2034</v>
      </c>
      <c r="BT16" s="1" t="s">
        <v>2035</v>
      </c>
      <c r="BU16" s="1" t="s">
        <v>2036</v>
      </c>
      <c r="BV16" s="1" t="s">
        <v>1771</v>
      </c>
    </row>
    <row r="17" spans="1:74">
      <c r="A17" s="29" t="s">
        <v>1633</v>
      </c>
      <c r="B17" s="29" t="s">
        <v>1755</v>
      </c>
      <c r="C17" s="29" t="s">
        <v>1634</v>
      </c>
      <c r="D17" s="32" t="s">
        <v>1633</v>
      </c>
      <c r="E17" s="23" t="s">
        <v>1599</v>
      </c>
      <c r="G17" s="29" t="s">
        <v>1780</v>
      </c>
      <c r="H17" s="29" t="s">
        <v>276</v>
      </c>
      <c r="I17" s="29" t="s">
        <v>594</v>
      </c>
      <c r="J17" s="23"/>
      <c r="L17" s="12" t="s">
        <v>785</v>
      </c>
      <c r="M17" s="12" t="s">
        <v>738</v>
      </c>
      <c r="N17" s="12">
        <v>100760</v>
      </c>
      <c r="O17" s="12" t="s">
        <v>1320</v>
      </c>
      <c r="P17" s="12" t="s">
        <v>1337</v>
      </c>
      <c r="Q17" s="12"/>
      <c r="S17" s="12" t="s">
        <v>183</v>
      </c>
      <c r="T17" s="12" t="s">
        <v>813</v>
      </c>
      <c r="U17" s="12" t="s">
        <v>182</v>
      </c>
      <c r="V17" s="8" t="s">
        <v>1046</v>
      </c>
      <c r="W17" s="8" t="s">
        <v>1047</v>
      </c>
      <c r="AC17" s="206"/>
      <c r="AD17" s="6"/>
      <c r="AE17" s="57" t="s">
        <v>59</v>
      </c>
      <c r="AF17" s="6" t="s">
        <v>60</v>
      </c>
      <c r="AG17" s="6"/>
      <c r="AJ17" s="80" t="s">
        <v>68</v>
      </c>
      <c r="AK17" s="80" t="s">
        <v>1455</v>
      </c>
      <c r="AL17" s="81" t="s">
        <v>1436</v>
      </c>
      <c r="AM17" s="80" t="s">
        <v>1438</v>
      </c>
      <c r="AO17" s="209"/>
      <c r="AP17" s="62"/>
      <c r="AQ17" s="6"/>
      <c r="AR17" s="63"/>
      <c r="AS17" s="8"/>
      <c r="AX17" s="8" t="s">
        <v>1240</v>
      </c>
      <c r="AY17" s="54" t="s">
        <v>1241</v>
      </c>
      <c r="AZ17" s="8" t="s">
        <v>1239</v>
      </c>
      <c r="BG17" s="171" t="s">
        <v>1816</v>
      </c>
      <c r="BH17" s="120" t="s">
        <v>1930</v>
      </c>
      <c r="BI17" s="120" t="s">
        <v>1821</v>
      </c>
      <c r="BJ17" s="1" t="s">
        <v>1455</v>
      </c>
      <c r="BK17" s="108" t="s">
        <v>68</v>
      </c>
      <c r="BL17" s="1" t="s">
        <v>1477</v>
      </c>
      <c r="BM17" s="110" t="s">
        <v>1436</v>
      </c>
      <c r="BN17" s="1" t="s">
        <v>1438</v>
      </c>
      <c r="BR17" s="1" t="s">
        <v>2025</v>
      </c>
      <c r="BS17" s="1" t="s">
        <v>2037</v>
      </c>
      <c r="BT17" s="1" t="s">
        <v>2038</v>
      </c>
      <c r="BU17" s="1" t="s">
        <v>2039</v>
      </c>
      <c r="BV17" s="1" t="s">
        <v>1771</v>
      </c>
    </row>
    <row r="18" spans="1:74">
      <c r="A18" s="29" t="s">
        <v>1635</v>
      </c>
      <c r="B18" s="29" t="s">
        <v>1756</v>
      </c>
      <c r="C18" s="29" t="s">
        <v>1636</v>
      </c>
      <c r="D18" s="32" t="s">
        <v>1635</v>
      </c>
      <c r="E18" s="23" t="s">
        <v>1586</v>
      </c>
      <c r="G18" s="29" t="s">
        <v>1781</v>
      </c>
      <c r="H18" s="29" t="s">
        <v>277</v>
      </c>
      <c r="I18" s="29" t="s">
        <v>134</v>
      </c>
      <c r="J18" s="23"/>
      <c r="L18" s="12" t="s">
        <v>1422</v>
      </c>
      <c r="M18" s="12" t="s">
        <v>1423</v>
      </c>
      <c r="N18" s="12">
        <v>100760</v>
      </c>
      <c r="O18" s="12" t="s">
        <v>1338</v>
      </c>
      <c r="P18" s="12" t="s">
        <v>1391</v>
      </c>
      <c r="Q18" s="12"/>
      <c r="S18" s="12" t="s">
        <v>204</v>
      </c>
      <c r="T18" s="12" t="s">
        <v>814</v>
      </c>
      <c r="U18" s="12" t="s">
        <v>203</v>
      </c>
      <c r="V18" s="8" t="s">
        <v>1048</v>
      </c>
      <c r="W18" s="8" t="s">
        <v>1049</v>
      </c>
      <c r="AC18" s="206"/>
      <c r="AD18" s="6" t="s">
        <v>1684</v>
      </c>
      <c r="AE18" s="57" t="s">
        <v>938</v>
      </c>
      <c r="AF18" s="6" t="s">
        <v>78</v>
      </c>
      <c r="AG18" s="6" t="s">
        <v>394</v>
      </c>
      <c r="AJ18" s="80" t="s">
        <v>70</v>
      </c>
      <c r="AK18" s="80" t="s">
        <v>1456</v>
      </c>
      <c r="AL18" s="81" t="s">
        <v>1436</v>
      </c>
      <c r="AM18" s="80" t="s">
        <v>1438</v>
      </c>
      <c r="AO18" s="209"/>
      <c r="AP18" s="62"/>
      <c r="AQ18" s="6"/>
      <c r="AR18" s="63"/>
      <c r="AS18" s="8"/>
      <c r="AX18" s="8" t="s">
        <v>1427</v>
      </c>
      <c r="AY18" s="80" t="s">
        <v>1429</v>
      </c>
      <c r="AZ18" s="8" t="s">
        <v>1428</v>
      </c>
      <c r="BG18" s="171" t="s">
        <v>1816</v>
      </c>
      <c r="BH18" s="120" t="s">
        <v>1895</v>
      </c>
      <c r="BI18" s="120" t="s">
        <v>1822</v>
      </c>
      <c r="BJ18" s="1" t="s">
        <v>1823</v>
      </c>
      <c r="BK18" s="108" t="s">
        <v>70</v>
      </c>
      <c r="BL18" s="1" t="s">
        <v>1477</v>
      </c>
      <c r="BM18" s="110" t="s">
        <v>1436</v>
      </c>
      <c r="BN18" s="1" t="s">
        <v>1438</v>
      </c>
      <c r="BR18" s="1" t="s">
        <v>2040</v>
      </c>
      <c r="BS18" s="1" t="s">
        <v>2041</v>
      </c>
      <c r="BT18" s="1" t="s">
        <v>2042</v>
      </c>
      <c r="BU18" s="1" t="s">
        <v>2043</v>
      </c>
      <c r="BV18" s="1" t="s">
        <v>2044</v>
      </c>
    </row>
    <row r="19" spans="1:74">
      <c r="A19" s="29" t="s">
        <v>1637</v>
      </c>
      <c r="B19" s="29" t="s">
        <v>1758</v>
      </c>
      <c r="C19" s="29" t="s">
        <v>1638</v>
      </c>
      <c r="D19" s="32" t="s">
        <v>1637</v>
      </c>
      <c r="E19" s="23" t="s">
        <v>1587</v>
      </c>
      <c r="G19" s="29" t="s">
        <v>1782</v>
      </c>
      <c r="H19" s="29" t="s">
        <v>278</v>
      </c>
      <c r="I19" s="29" t="s">
        <v>134</v>
      </c>
      <c r="J19" s="23"/>
      <c r="L19" s="12" t="s">
        <v>1254</v>
      </c>
      <c r="M19" s="12" t="s">
        <v>739</v>
      </c>
      <c r="N19" s="12">
        <v>100760</v>
      </c>
      <c r="O19" s="12" t="s">
        <v>1338</v>
      </c>
      <c r="P19" s="12" t="s">
        <v>1339</v>
      </c>
      <c r="Q19" s="12"/>
      <c r="S19" s="12" t="s">
        <v>208</v>
      </c>
      <c r="T19" s="12"/>
      <c r="U19" s="12" t="s">
        <v>207</v>
      </c>
      <c r="V19" s="8" t="s">
        <v>1050</v>
      </c>
      <c r="W19" s="8" t="s">
        <v>958</v>
      </c>
      <c r="AC19" s="206"/>
      <c r="AD19" s="6" t="s">
        <v>1685</v>
      </c>
      <c r="AE19" s="57" t="s">
        <v>61</v>
      </c>
      <c r="AF19" s="6" t="s">
        <v>62</v>
      </c>
      <c r="AG19" s="6" t="s">
        <v>395</v>
      </c>
      <c r="AJ19" s="80" t="s">
        <v>58</v>
      </c>
      <c r="AK19" s="80" t="s">
        <v>1457</v>
      </c>
      <c r="AL19" s="81" t="s">
        <v>1436</v>
      </c>
      <c r="AM19" s="80" t="s">
        <v>1438</v>
      </c>
      <c r="AO19" s="209"/>
      <c r="AP19" s="62"/>
      <c r="AQ19" s="6"/>
      <c r="AR19" s="63"/>
      <c r="AS19" s="8"/>
      <c r="BG19" s="171" t="s">
        <v>1816</v>
      </c>
      <c r="BH19" s="120" t="s">
        <v>1931</v>
      </c>
      <c r="BI19" s="120" t="s">
        <v>1824</v>
      </c>
      <c r="BJ19" s="1" t="s">
        <v>1457</v>
      </c>
      <c r="BK19" s="108" t="s">
        <v>58</v>
      </c>
      <c r="BL19" s="1" t="s">
        <v>1477</v>
      </c>
      <c r="BM19" s="110" t="s">
        <v>1436</v>
      </c>
      <c r="BN19" s="1" t="s">
        <v>1438</v>
      </c>
      <c r="BR19" s="1" t="s">
        <v>2040</v>
      </c>
      <c r="BS19" s="1" t="s">
        <v>2045</v>
      </c>
      <c r="BT19" s="1" t="s">
        <v>2046</v>
      </c>
      <c r="BU19" s="1" t="s">
        <v>2047</v>
      </c>
      <c r="BV19" s="1" t="s">
        <v>2044</v>
      </c>
    </row>
    <row r="20" spans="1:74">
      <c r="A20" s="29" t="s">
        <v>1639</v>
      </c>
      <c r="B20" s="29" t="s">
        <v>1757</v>
      </c>
      <c r="C20" s="29" t="s">
        <v>1640</v>
      </c>
      <c r="D20" s="32" t="s">
        <v>1639</v>
      </c>
      <c r="E20" s="23" t="s">
        <v>1588</v>
      </c>
      <c r="G20" s="29" t="s">
        <v>1784</v>
      </c>
      <c r="H20" s="29" t="s">
        <v>279</v>
      </c>
      <c r="I20" s="29" t="s">
        <v>135</v>
      </c>
      <c r="J20" s="23"/>
      <c r="L20" s="12" t="s">
        <v>152</v>
      </c>
      <c r="M20" s="12" t="s">
        <v>326</v>
      </c>
      <c r="N20" s="12">
        <v>100760</v>
      </c>
      <c r="O20" s="12" t="s">
        <v>1338</v>
      </c>
      <c r="P20" s="12" t="s">
        <v>1340</v>
      </c>
      <c r="Q20" s="12"/>
      <c r="S20" s="12" t="s">
        <v>466</v>
      </c>
      <c r="T20" s="12" t="s">
        <v>988</v>
      </c>
      <c r="U20" s="12" t="s">
        <v>214</v>
      </c>
      <c r="V20" s="8" t="s">
        <v>1051</v>
      </c>
      <c r="W20" s="8" t="s">
        <v>1052</v>
      </c>
      <c r="AC20" s="206"/>
      <c r="AD20" s="6" t="s">
        <v>1686</v>
      </c>
      <c r="AE20" s="57" t="s">
        <v>64</v>
      </c>
      <c r="AF20" s="6" t="s">
        <v>65</v>
      </c>
      <c r="AG20" s="6" t="s">
        <v>396</v>
      </c>
      <c r="AJ20" s="80" t="s">
        <v>55</v>
      </c>
      <c r="AK20" s="80" t="s">
        <v>1458</v>
      </c>
      <c r="AL20" s="81" t="s">
        <v>1436</v>
      </c>
      <c r="AM20" s="80" t="s">
        <v>1438</v>
      </c>
      <c r="AO20" s="209"/>
      <c r="AP20" s="62"/>
      <c r="AQ20" s="6"/>
      <c r="AR20" s="63"/>
      <c r="AS20" s="8"/>
      <c r="BG20" s="171" t="s">
        <v>1816</v>
      </c>
      <c r="BH20" s="120" t="s">
        <v>1932</v>
      </c>
      <c r="BI20" s="120" t="s">
        <v>1825</v>
      </c>
      <c r="BJ20" s="1" t="s">
        <v>1458</v>
      </c>
      <c r="BK20" s="108" t="s">
        <v>55</v>
      </c>
      <c r="BL20" s="1" t="s">
        <v>1477</v>
      </c>
      <c r="BM20" s="110" t="s">
        <v>1436</v>
      </c>
      <c r="BN20" s="1" t="s">
        <v>1438</v>
      </c>
      <c r="BR20" s="1" t="s">
        <v>2040</v>
      </c>
      <c r="BS20" s="1" t="s">
        <v>1397</v>
      </c>
      <c r="BT20" s="1" t="s">
        <v>2048</v>
      </c>
      <c r="BU20" s="1" t="s">
        <v>2049</v>
      </c>
      <c r="BV20" s="1" t="s">
        <v>2044</v>
      </c>
    </row>
    <row r="21" spans="1:74" ht="17.25" thickBot="1">
      <c r="A21" s="29" t="s">
        <v>1641</v>
      </c>
      <c r="B21" s="29" t="s">
        <v>1759</v>
      </c>
      <c r="C21" s="29" t="s">
        <v>1642</v>
      </c>
      <c r="D21" s="32" t="s">
        <v>1641</v>
      </c>
      <c r="E21" s="23" t="s">
        <v>1589</v>
      </c>
      <c r="G21" s="29" t="s">
        <v>1783</v>
      </c>
      <c r="H21" s="29" t="s">
        <v>280</v>
      </c>
      <c r="I21" s="29" t="s">
        <v>127</v>
      </c>
      <c r="J21" s="23"/>
      <c r="L21" s="12" t="s">
        <v>1255</v>
      </c>
      <c r="M21" s="12" t="s">
        <v>378</v>
      </c>
      <c r="N21" s="12">
        <v>100760</v>
      </c>
      <c r="O21" s="12" t="s">
        <v>1338</v>
      </c>
      <c r="P21" s="12" t="s">
        <v>1341</v>
      </c>
      <c r="Q21" s="12"/>
      <c r="S21" s="12" t="s">
        <v>269</v>
      </c>
      <c r="T21" s="12" t="s">
        <v>989</v>
      </c>
      <c r="U21" s="12" t="s">
        <v>235</v>
      </c>
      <c r="V21" s="8" t="s">
        <v>1053</v>
      </c>
      <c r="W21" s="8" t="s">
        <v>1054</v>
      </c>
      <c r="AC21" s="206"/>
      <c r="AD21" s="6"/>
      <c r="AE21" s="57" t="s">
        <v>83</v>
      </c>
      <c r="AF21" s="6" t="s">
        <v>84</v>
      </c>
      <c r="AG21" s="6"/>
      <c r="AJ21" s="80" t="s">
        <v>82</v>
      </c>
      <c r="AK21" s="80" t="s">
        <v>1459</v>
      </c>
      <c r="AL21" s="81" t="s">
        <v>1436</v>
      </c>
      <c r="AM21" s="80" t="s">
        <v>1438</v>
      </c>
      <c r="AO21" s="209"/>
      <c r="AP21" s="62"/>
      <c r="AQ21" s="6"/>
      <c r="AR21" s="63"/>
      <c r="AS21" s="8"/>
      <c r="AW21" t="s">
        <v>1793</v>
      </c>
      <c r="AX21" s="73"/>
      <c r="AY21" s="73"/>
      <c r="AZ21" s="73"/>
      <c r="BG21" s="171" t="s">
        <v>1816</v>
      </c>
      <c r="BH21" s="120" t="s">
        <v>1933</v>
      </c>
      <c r="BI21" s="120" t="s">
        <v>1826</v>
      </c>
      <c r="BJ21" s="1" t="s">
        <v>1459</v>
      </c>
      <c r="BK21" s="108" t="s">
        <v>82</v>
      </c>
      <c r="BL21" s="1" t="s">
        <v>1477</v>
      </c>
      <c r="BM21" s="110" t="s">
        <v>1436</v>
      </c>
      <c r="BN21" s="1" t="s">
        <v>1438</v>
      </c>
      <c r="BR21" s="1" t="s">
        <v>1398</v>
      </c>
      <c r="BS21" s="1" t="s">
        <v>2050</v>
      </c>
      <c r="BT21" s="1" t="s">
        <v>2051</v>
      </c>
      <c r="BU21" s="1" t="s">
        <v>2052</v>
      </c>
      <c r="BV21" s="1" t="s">
        <v>2053</v>
      </c>
    </row>
    <row r="22" spans="1:74" ht="33.75" thickBot="1">
      <c r="A22" s="29" t="s">
        <v>1643</v>
      </c>
      <c r="B22" s="29" t="s">
        <v>1760</v>
      </c>
      <c r="C22" s="29" t="s">
        <v>1644</v>
      </c>
      <c r="D22" s="32" t="s">
        <v>1643</v>
      </c>
      <c r="E22" s="23" t="s">
        <v>1590</v>
      </c>
      <c r="G22" s="29" t="s">
        <v>1025</v>
      </c>
      <c r="H22" s="29" t="s">
        <v>385</v>
      </c>
      <c r="I22" s="32" t="s">
        <v>386</v>
      </c>
      <c r="J22" s="23" t="s">
        <v>1024</v>
      </c>
      <c r="L22" s="12" t="s">
        <v>1256</v>
      </c>
      <c r="M22" s="12" t="s">
        <v>740</v>
      </c>
      <c r="N22" s="12">
        <v>100760</v>
      </c>
      <c r="O22" s="12" t="s">
        <v>1338</v>
      </c>
      <c r="P22" s="12" t="s">
        <v>1342</v>
      </c>
      <c r="Q22" s="12"/>
      <c r="S22" s="12" t="s">
        <v>267</v>
      </c>
      <c r="T22" s="12" t="s">
        <v>990</v>
      </c>
      <c r="U22" s="12" t="s">
        <v>229</v>
      </c>
      <c r="V22" s="8" t="s">
        <v>1055</v>
      </c>
      <c r="W22" s="8" t="s">
        <v>1056</v>
      </c>
      <c r="AC22" s="206"/>
      <c r="AD22" s="6"/>
      <c r="AE22" s="57" t="s">
        <v>939</v>
      </c>
      <c r="AF22" s="6" t="s">
        <v>940</v>
      </c>
      <c r="AG22" s="6"/>
      <c r="AJ22" s="80" t="s">
        <v>79</v>
      </c>
      <c r="AK22" s="80" t="s">
        <v>1460</v>
      </c>
      <c r="AL22" s="81" t="s">
        <v>1436</v>
      </c>
      <c r="AM22" s="80" t="s">
        <v>1438</v>
      </c>
      <c r="AO22" s="209"/>
      <c r="AP22" s="62"/>
      <c r="AQ22" s="6"/>
      <c r="AR22" s="63"/>
      <c r="AS22" s="8"/>
      <c r="AW22" s="79" t="s">
        <v>1413</v>
      </c>
      <c r="AX22" s="79" t="s">
        <v>1414</v>
      </c>
      <c r="AY22" s="73"/>
      <c r="AZ22" s="73"/>
      <c r="BG22" s="171" t="s">
        <v>1816</v>
      </c>
      <c r="BH22" s="120" t="s">
        <v>1934</v>
      </c>
      <c r="BI22" s="120" t="s">
        <v>1827</v>
      </c>
      <c r="BJ22" s="1" t="s">
        <v>1460</v>
      </c>
      <c r="BK22" s="108" t="s">
        <v>79</v>
      </c>
      <c r="BL22" s="1" t="s">
        <v>1477</v>
      </c>
      <c r="BM22" s="110" t="s">
        <v>1436</v>
      </c>
      <c r="BN22" s="1" t="s">
        <v>1438</v>
      </c>
      <c r="BR22" s="1" t="s">
        <v>1398</v>
      </c>
      <c r="BS22" s="1" t="s">
        <v>1024</v>
      </c>
      <c r="BT22" s="1" t="s">
        <v>2054</v>
      </c>
      <c r="BU22" s="1" t="s">
        <v>2055</v>
      </c>
      <c r="BV22" s="1" t="s">
        <v>2053</v>
      </c>
    </row>
    <row r="23" spans="1:74" ht="27">
      <c r="A23" s="29" t="s">
        <v>1645</v>
      </c>
      <c r="B23" s="29" t="s">
        <v>1761</v>
      </c>
      <c r="C23" s="29" t="s">
        <v>1646</v>
      </c>
      <c r="D23" s="32" t="s">
        <v>1645</v>
      </c>
      <c r="E23" s="23" t="s">
        <v>1600</v>
      </c>
      <c r="G23" s="29" t="s">
        <v>1026</v>
      </c>
      <c r="H23" s="29" t="s">
        <v>281</v>
      </c>
      <c r="I23" s="32" t="s">
        <v>495</v>
      </c>
      <c r="J23" s="23"/>
      <c r="L23" s="12" t="s">
        <v>1563</v>
      </c>
      <c r="M23" s="12" t="s">
        <v>1561</v>
      </c>
      <c r="N23" s="12">
        <v>100760</v>
      </c>
      <c r="O23" s="12" t="s">
        <v>1338</v>
      </c>
      <c r="P23" s="12" t="s">
        <v>1570</v>
      </c>
      <c r="Q23" s="100" t="s">
        <v>2321</v>
      </c>
      <c r="S23" s="12" t="s">
        <v>270</v>
      </c>
      <c r="T23" s="12" t="s">
        <v>991</v>
      </c>
      <c r="U23" s="12" t="s">
        <v>246</v>
      </c>
      <c r="V23" s="8" t="s">
        <v>1057</v>
      </c>
      <c r="W23" s="8" t="s">
        <v>1058</v>
      </c>
      <c r="AC23" s="206"/>
      <c r="AD23" s="6" t="s">
        <v>1691</v>
      </c>
      <c r="AE23" s="6" t="s">
        <v>97</v>
      </c>
      <c r="AF23" s="6" t="s">
        <v>98</v>
      </c>
      <c r="AG23" s="6" t="s">
        <v>397</v>
      </c>
      <c r="AJ23" s="80" t="s">
        <v>63</v>
      </c>
      <c r="AK23" s="80" t="s">
        <v>1461</v>
      </c>
      <c r="AL23" s="81" t="s">
        <v>1436</v>
      </c>
      <c r="AM23" s="80" t="s">
        <v>1438</v>
      </c>
      <c r="AO23" s="209"/>
      <c r="AP23" s="62"/>
      <c r="AQ23" s="6"/>
      <c r="AR23" s="63"/>
      <c r="AS23" s="8"/>
      <c r="AW23" t="s">
        <v>285</v>
      </c>
      <c r="AX23" s="73" t="s">
        <v>1415</v>
      </c>
      <c r="AY23" s="73"/>
      <c r="AZ23" s="73"/>
      <c r="BG23" s="171" t="s">
        <v>1816</v>
      </c>
      <c r="BH23" s="171" t="s">
        <v>1935</v>
      </c>
      <c r="BI23" s="172" t="s">
        <v>1828</v>
      </c>
      <c r="BJ23" s="109" t="s">
        <v>1829</v>
      </c>
      <c r="BK23" s="108" t="s">
        <v>63</v>
      </c>
      <c r="BL23" s="1" t="s">
        <v>1477</v>
      </c>
      <c r="BM23" s="110" t="s">
        <v>1436</v>
      </c>
      <c r="BN23" s="1" t="s">
        <v>1438</v>
      </c>
      <c r="BR23" s="1" t="s">
        <v>2040</v>
      </c>
      <c r="BS23" s="1" t="s">
        <v>2056</v>
      </c>
      <c r="BT23" s="1" t="s">
        <v>2057</v>
      </c>
      <c r="BU23" s="1" t="s">
        <v>2055</v>
      </c>
      <c r="BV23" s="1" t="s">
        <v>2044</v>
      </c>
    </row>
    <row r="24" spans="1:74">
      <c r="A24" s="29" t="s">
        <v>1647</v>
      </c>
      <c r="B24" s="29" t="s">
        <v>1762</v>
      </c>
      <c r="C24" s="29" t="s">
        <v>1648</v>
      </c>
      <c r="D24" s="32" t="s">
        <v>1647</v>
      </c>
      <c r="E24" s="23" t="s">
        <v>1592</v>
      </c>
      <c r="G24" s="29" t="s">
        <v>125</v>
      </c>
      <c r="H24" s="29" t="s">
        <v>282</v>
      </c>
      <c r="I24" s="29" t="s">
        <v>136</v>
      </c>
      <c r="J24" s="23"/>
      <c r="L24" s="12" t="s">
        <v>1257</v>
      </c>
      <c r="M24" s="12" t="s">
        <v>1304</v>
      </c>
      <c r="N24" s="12">
        <v>100760</v>
      </c>
      <c r="O24" s="12" t="s">
        <v>1338</v>
      </c>
      <c r="P24" s="12" t="s">
        <v>1343</v>
      </c>
      <c r="Q24" s="12"/>
      <c r="S24" s="12" t="s">
        <v>248</v>
      </c>
      <c r="T24" s="12" t="s">
        <v>992</v>
      </c>
      <c r="U24" s="12" t="s">
        <v>247</v>
      </c>
      <c r="V24" s="8" t="s">
        <v>951</v>
      </c>
      <c r="W24" s="8" t="s">
        <v>956</v>
      </c>
      <c r="AC24" s="207"/>
      <c r="AD24" s="6" t="s">
        <v>1692</v>
      </c>
      <c r="AE24" s="57" t="s">
        <v>381</v>
      </c>
      <c r="AF24" s="6" t="s">
        <v>382</v>
      </c>
      <c r="AG24" s="6" t="s">
        <v>407</v>
      </c>
      <c r="AJ24" s="80" t="s">
        <v>71</v>
      </c>
      <c r="AK24" s="80" t="s">
        <v>72</v>
      </c>
      <c r="AL24" s="81" t="s">
        <v>1436</v>
      </c>
      <c r="AM24" s="80" t="s">
        <v>1438</v>
      </c>
      <c r="AO24" s="209"/>
      <c r="AP24" s="62"/>
      <c r="AQ24" s="6"/>
      <c r="AR24" s="63"/>
      <c r="AS24" s="8"/>
      <c r="AW24" t="s">
        <v>1416</v>
      </c>
      <c r="AX24" s="73" t="s">
        <v>1415</v>
      </c>
      <c r="AY24" s="73"/>
      <c r="AZ24" s="73"/>
      <c r="BG24" s="171" t="s">
        <v>1816</v>
      </c>
      <c r="BH24" s="120" t="s">
        <v>1936</v>
      </c>
      <c r="BI24" s="120" t="s">
        <v>1830</v>
      </c>
      <c r="BJ24" s="1" t="s">
        <v>72</v>
      </c>
      <c r="BK24" s="108" t="s">
        <v>71</v>
      </c>
      <c r="BL24" s="1" t="s">
        <v>1477</v>
      </c>
      <c r="BM24" s="110" t="s">
        <v>1436</v>
      </c>
      <c r="BN24" s="1" t="s">
        <v>1438</v>
      </c>
      <c r="BR24" s="1" t="s">
        <v>2040</v>
      </c>
      <c r="BS24" s="1" t="s">
        <v>2058</v>
      </c>
      <c r="BT24" s="1" t="s">
        <v>2059</v>
      </c>
      <c r="BU24" s="1" t="s">
        <v>2029</v>
      </c>
      <c r="BV24" s="1" t="s">
        <v>2060</v>
      </c>
    </row>
    <row r="25" spans="1:74">
      <c r="A25" s="29" t="s">
        <v>1649</v>
      </c>
      <c r="B25" s="29" t="s">
        <v>1763</v>
      </c>
      <c r="C25" s="29" t="s">
        <v>1650</v>
      </c>
      <c r="D25" s="32" t="s">
        <v>1649</v>
      </c>
      <c r="E25" s="23" t="s">
        <v>1593</v>
      </c>
      <c r="G25" s="30" t="s">
        <v>128</v>
      </c>
      <c r="H25" s="30" t="s">
        <v>283</v>
      </c>
      <c r="I25" s="30" t="s">
        <v>137</v>
      </c>
      <c r="J25" s="23"/>
      <c r="L25" s="12" t="s">
        <v>1258</v>
      </c>
      <c r="M25" s="12" t="s">
        <v>512</v>
      </c>
      <c r="N25" s="12">
        <v>100760</v>
      </c>
      <c r="O25" s="12" t="s">
        <v>1338</v>
      </c>
      <c r="P25" s="12" t="s">
        <v>1259</v>
      </c>
      <c r="Q25" s="12"/>
      <c r="S25" s="12" t="s">
        <v>250</v>
      </c>
      <c r="T25" s="12" t="s">
        <v>993</v>
      </c>
      <c r="U25" s="12" t="s">
        <v>249</v>
      </c>
      <c r="V25" s="8" t="s">
        <v>964</v>
      </c>
      <c r="W25" s="8" t="s">
        <v>511</v>
      </c>
      <c r="AC25" s="205" t="s">
        <v>360</v>
      </c>
      <c r="AD25" s="6" t="s">
        <v>1673</v>
      </c>
      <c r="AE25" s="6">
        <v>11012002</v>
      </c>
      <c r="AF25" s="6" t="s">
        <v>943</v>
      </c>
      <c r="AG25" s="6"/>
      <c r="AJ25" s="80" t="s">
        <v>77</v>
      </c>
      <c r="AK25" s="80" t="s">
        <v>1462</v>
      </c>
      <c r="AL25" s="81" t="s">
        <v>1436</v>
      </c>
      <c r="AM25" s="80" t="s">
        <v>1438</v>
      </c>
      <c r="AO25" s="210"/>
      <c r="AP25" s="62"/>
      <c r="AQ25" s="6"/>
      <c r="AR25" s="63"/>
      <c r="AS25" s="8"/>
      <c r="AW25" t="s">
        <v>1029</v>
      </c>
      <c r="AX25" s="73" t="s">
        <v>145</v>
      </c>
      <c r="AY25" s="73"/>
      <c r="AZ25" s="73"/>
      <c r="BG25" s="171" t="s">
        <v>1816</v>
      </c>
      <c r="BH25" s="120" t="s">
        <v>1937</v>
      </c>
      <c r="BI25" s="120" t="s">
        <v>1831</v>
      </c>
      <c r="BJ25" s="1" t="s">
        <v>1462</v>
      </c>
      <c r="BK25" s="108" t="s">
        <v>77</v>
      </c>
      <c r="BL25" s="1" t="s">
        <v>1477</v>
      </c>
      <c r="BM25" s="110" t="s">
        <v>1436</v>
      </c>
      <c r="BN25" s="1" t="s">
        <v>1438</v>
      </c>
      <c r="BR25" s="1" t="s">
        <v>2040</v>
      </c>
      <c r="BS25" s="1" t="s">
        <v>2061</v>
      </c>
      <c r="BT25" s="1" t="s">
        <v>2062</v>
      </c>
      <c r="BU25" s="1" t="s">
        <v>2029</v>
      </c>
      <c r="BV25" s="1" t="s">
        <v>2063</v>
      </c>
    </row>
    <row r="26" spans="1:74">
      <c r="A26" s="29" t="s">
        <v>1651</v>
      </c>
      <c r="B26" s="29" t="s">
        <v>1651</v>
      </c>
      <c r="C26" s="29" t="s">
        <v>1652</v>
      </c>
      <c r="D26" s="32" t="s">
        <v>1651</v>
      </c>
      <c r="E26" s="23" t="s">
        <v>1594</v>
      </c>
      <c r="G26" s="31" t="s">
        <v>1027</v>
      </c>
      <c r="H26" s="31" t="s">
        <v>284</v>
      </c>
      <c r="I26" s="31" t="s">
        <v>138</v>
      </c>
      <c r="J26" s="25" t="s">
        <v>154</v>
      </c>
      <c r="L26" s="12" t="s">
        <v>1259</v>
      </c>
      <c r="M26" s="12" t="s">
        <v>512</v>
      </c>
      <c r="N26" s="12">
        <v>100760</v>
      </c>
      <c r="O26" s="12" t="s">
        <v>1338</v>
      </c>
      <c r="P26" s="12" t="s">
        <v>1259</v>
      </c>
      <c r="Q26" s="12"/>
      <c r="S26" s="12" t="s">
        <v>256</v>
      </c>
      <c r="T26" s="12" t="s">
        <v>994</v>
      </c>
      <c r="U26" s="12" t="s">
        <v>255</v>
      </c>
      <c r="V26" s="8" t="s">
        <v>1059</v>
      </c>
      <c r="W26" s="8" t="s">
        <v>1060</v>
      </c>
      <c r="AC26" s="207"/>
      <c r="AD26" s="6"/>
      <c r="AE26" s="6">
        <v>11012003</v>
      </c>
      <c r="AF26" s="6" t="s">
        <v>94</v>
      </c>
      <c r="AG26" s="6"/>
      <c r="AJ26" s="80" t="s">
        <v>1463</v>
      </c>
      <c r="AK26" s="80" t="s">
        <v>1464</v>
      </c>
      <c r="AL26" s="81" t="s">
        <v>1436</v>
      </c>
      <c r="AM26" s="80" t="s">
        <v>1438</v>
      </c>
      <c r="AO26" s="211" t="s">
        <v>373</v>
      </c>
      <c r="AP26" s="60" t="s">
        <v>1519</v>
      </c>
      <c r="AQ26" s="61" t="s">
        <v>1705</v>
      </c>
      <c r="AR26" s="61" t="s">
        <v>1706</v>
      </c>
      <c r="AS26" s="85" t="s">
        <v>1707</v>
      </c>
      <c r="AW26" t="s">
        <v>145</v>
      </c>
      <c r="AX26" s="73" t="s">
        <v>145</v>
      </c>
      <c r="AY26" s="73"/>
      <c r="AZ26" s="73"/>
      <c r="BG26" s="171" t="s">
        <v>1816</v>
      </c>
      <c r="BH26" s="120" t="s">
        <v>1938</v>
      </c>
      <c r="BI26" s="120" t="s">
        <v>1832</v>
      </c>
      <c r="BJ26" s="1" t="s">
        <v>1464</v>
      </c>
      <c r="BK26" s="108" t="s">
        <v>1463</v>
      </c>
      <c r="BL26" s="1" t="s">
        <v>1477</v>
      </c>
      <c r="BM26" s="110" t="s">
        <v>1436</v>
      </c>
      <c r="BN26" s="1" t="s">
        <v>1438</v>
      </c>
      <c r="BR26" s="1" t="s">
        <v>1398</v>
      </c>
      <c r="BS26" s="1" t="s">
        <v>154</v>
      </c>
      <c r="BT26" s="1" t="s">
        <v>2064</v>
      </c>
      <c r="BU26" s="1" t="s">
        <v>2029</v>
      </c>
      <c r="BV26" s="1" t="s">
        <v>2065</v>
      </c>
    </row>
    <row r="27" spans="1:74">
      <c r="A27" s="29" t="s">
        <v>1653</v>
      </c>
      <c r="B27" s="29" t="s">
        <v>1653</v>
      </c>
      <c r="C27" s="29" t="s">
        <v>1654</v>
      </c>
      <c r="D27" s="32" t="s">
        <v>1653</v>
      </c>
      <c r="E27" s="23" t="s">
        <v>1595</v>
      </c>
      <c r="G27" s="192" t="s">
        <v>595</v>
      </c>
      <c r="H27" s="193"/>
      <c r="I27" s="193"/>
      <c r="J27" s="194"/>
      <c r="L27" s="12" t="s">
        <v>1260</v>
      </c>
      <c r="M27" s="12" t="s">
        <v>1305</v>
      </c>
      <c r="N27" s="12">
        <v>100760</v>
      </c>
      <c r="O27" s="12" t="s">
        <v>1338</v>
      </c>
      <c r="P27" s="12" t="s">
        <v>1344</v>
      </c>
      <c r="Q27" s="12"/>
      <c r="S27" s="12" t="s">
        <v>226</v>
      </c>
      <c r="T27" s="12"/>
      <c r="U27" s="12" t="s">
        <v>225</v>
      </c>
      <c r="V27" s="8" t="s">
        <v>1061</v>
      </c>
      <c r="W27" s="8" t="s">
        <v>1062</v>
      </c>
      <c r="AC27" s="6" t="s">
        <v>361</v>
      </c>
      <c r="AD27" s="6" t="s">
        <v>1674</v>
      </c>
      <c r="AE27" s="6">
        <v>11012030</v>
      </c>
      <c r="AF27" s="6" t="s">
        <v>944</v>
      </c>
      <c r="AG27" s="6"/>
      <c r="AJ27" s="80" t="s">
        <v>1465</v>
      </c>
      <c r="AK27" s="80" t="s">
        <v>1466</v>
      </c>
      <c r="AL27" s="81" t="s">
        <v>1436</v>
      </c>
      <c r="AM27" s="80" t="s">
        <v>1438</v>
      </c>
      <c r="AO27" s="212"/>
      <c r="AP27" s="60" t="s">
        <v>1504</v>
      </c>
      <c r="AQ27" s="61" t="s">
        <v>1708</v>
      </c>
      <c r="AR27" s="61" t="s">
        <v>1709</v>
      </c>
      <c r="AS27" s="85" t="s">
        <v>1707</v>
      </c>
      <c r="AW27" t="s">
        <v>331</v>
      </c>
      <c r="AX27" s="73" t="s">
        <v>1417</v>
      </c>
      <c r="AY27" s="73"/>
      <c r="AZ27" s="73"/>
      <c r="BG27" s="171" t="s">
        <v>1816</v>
      </c>
      <c r="BH27" s="120" t="s">
        <v>1939</v>
      </c>
      <c r="BI27" s="120" t="s">
        <v>1833</v>
      </c>
      <c r="BJ27" s="1" t="s">
        <v>1466</v>
      </c>
      <c r="BK27" s="108" t="s">
        <v>1465</v>
      </c>
      <c r="BL27" s="1" t="s">
        <v>1477</v>
      </c>
      <c r="BM27" s="110" t="s">
        <v>1436</v>
      </c>
      <c r="BN27" s="1" t="s">
        <v>1438</v>
      </c>
    </row>
    <row r="28" spans="1:74">
      <c r="A28" s="29" t="s">
        <v>1655</v>
      </c>
      <c r="B28" s="29" t="s">
        <v>1764</v>
      </c>
      <c r="C28" s="29" t="s">
        <v>1656</v>
      </c>
      <c r="D28" s="32" t="s">
        <v>1655</v>
      </c>
      <c r="E28" s="23" t="s">
        <v>1596</v>
      </c>
      <c r="G28" s="27" t="s">
        <v>390</v>
      </c>
      <c r="H28" s="27" t="s">
        <v>139</v>
      </c>
      <c r="I28" s="27" t="s">
        <v>353</v>
      </c>
      <c r="J28" s="28" t="s">
        <v>121</v>
      </c>
      <c r="L28" s="12" t="s">
        <v>1261</v>
      </c>
      <c r="M28" s="12" t="s">
        <v>741</v>
      </c>
      <c r="N28" s="12">
        <v>100760</v>
      </c>
      <c r="O28" s="12" t="s">
        <v>1338</v>
      </c>
      <c r="P28" s="12" t="s">
        <v>1345</v>
      </c>
      <c r="Q28" s="12"/>
      <c r="S28" s="12" t="s">
        <v>159</v>
      </c>
      <c r="T28" s="12" t="s">
        <v>460</v>
      </c>
      <c r="U28" s="12" t="s">
        <v>158</v>
      </c>
      <c r="V28" s="8" t="s">
        <v>1063</v>
      </c>
      <c r="W28" s="8" t="s">
        <v>1064</v>
      </c>
      <c r="AC28" s="216" t="s">
        <v>933</v>
      </c>
      <c r="AD28" s="6" t="s">
        <v>1664</v>
      </c>
      <c r="AE28" s="57" t="s">
        <v>41</v>
      </c>
      <c r="AF28" s="6" t="s">
        <v>42</v>
      </c>
      <c r="AG28" s="6"/>
      <c r="AJ28" s="80" t="s">
        <v>1467</v>
      </c>
      <c r="AK28" s="80" t="s">
        <v>1468</v>
      </c>
      <c r="AL28" s="81" t="s">
        <v>1436</v>
      </c>
      <c r="AM28" s="80" t="s">
        <v>1438</v>
      </c>
      <c r="AO28" s="212"/>
      <c r="AP28" s="62"/>
      <c r="AQ28" s="6"/>
      <c r="AR28" s="63"/>
      <c r="AS28" s="8"/>
      <c r="AW28" t="s">
        <v>1418</v>
      </c>
      <c r="AX28" s="73" t="s">
        <v>1418</v>
      </c>
      <c r="AY28" s="73"/>
      <c r="AZ28" s="73"/>
      <c r="BG28" s="171" t="s">
        <v>1816</v>
      </c>
      <c r="BH28" s="120" t="s">
        <v>1940</v>
      </c>
      <c r="BI28" s="120" t="s">
        <v>1834</v>
      </c>
      <c r="BJ28" s="1" t="s">
        <v>1468</v>
      </c>
      <c r="BK28" s="108" t="s">
        <v>1467</v>
      </c>
      <c r="BL28" s="1" t="s">
        <v>1477</v>
      </c>
      <c r="BM28" s="110" t="s">
        <v>1436</v>
      </c>
      <c r="BN28" s="1" t="s">
        <v>1438</v>
      </c>
    </row>
    <row r="29" spans="1:74">
      <c r="A29" s="29" t="s">
        <v>1657</v>
      </c>
      <c r="B29" s="29" t="s">
        <v>1765</v>
      </c>
      <c r="C29" s="29" t="s">
        <v>1658</v>
      </c>
      <c r="D29" s="32" t="s">
        <v>1657</v>
      </c>
      <c r="E29" s="23" t="s">
        <v>1597</v>
      </c>
      <c r="G29" s="33" t="s">
        <v>596</v>
      </c>
      <c r="H29" s="33" t="s">
        <v>10</v>
      </c>
      <c r="I29" s="33" t="s">
        <v>597</v>
      </c>
      <c r="J29" s="33" t="s">
        <v>598</v>
      </c>
      <c r="L29" s="12" t="s">
        <v>1262</v>
      </c>
      <c r="M29" s="12" t="s">
        <v>513</v>
      </c>
      <c r="N29" s="12">
        <v>100760</v>
      </c>
      <c r="O29" s="12" t="s">
        <v>1338</v>
      </c>
      <c r="P29" s="12" t="s">
        <v>1346</v>
      </c>
      <c r="Q29" s="12"/>
      <c r="S29" s="12" t="s">
        <v>181</v>
      </c>
      <c r="T29" s="12" t="s">
        <v>436</v>
      </c>
      <c r="U29" s="12" t="s">
        <v>180</v>
      </c>
      <c r="V29" s="8" t="s">
        <v>1065</v>
      </c>
      <c r="W29" s="8" t="s">
        <v>1066</v>
      </c>
      <c r="AC29" s="217"/>
      <c r="AD29" s="6" t="s">
        <v>1680</v>
      </c>
      <c r="AE29" s="57" t="s">
        <v>340</v>
      </c>
      <c r="AF29" s="6" t="s">
        <v>366</v>
      </c>
      <c r="AG29" s="6"/>
      <c r="AJ29" s="80" t="s">
        <v>1469</v>
      </c>
      <c r="AK29" s="80" t="s">
        <v>1470</v>
      </c>
      <c r="AL29" s="81" t="s">
        <v>1436</v>
      </c>
      <c r="AM29" s="80" t="s">
        <v>1438</v>
      </c>
      <c r="AO29" s="212"/>
      <c r="AP29" s="62"/>
      <c r="AQ29" s="6"/>
      <c r="AR29" s="63"/>
      <c r="AS29" s="8"/>
      <c r="AW29" t="s">
        <v>334</v>
      </c>
      <c r="AX29" s="73" t="s">
        <v>327</v>
      </c>
      <c r="AY29" s="73"/>
      <c r="AZ29" s="73"/>
      <c r="BG29" s="171" t="s">
        <v>1816</v>
      </c>
      <c r="BH29" s="120" t="s">
        <v>1941</v>
      </c>
      <c r="BI29" s="120" t="s">
        <v>1835</v>
      </c>
      <c r="BJ29" s="1" t="s">
        <v>1470</v>
      </c>
      <c r="BK29" s="108" t="s">
        <v>1469</v>
      </c>
      <c r="BL29" s="1" t="s">
        <v>1477</v>
      </c>
      <c r="BM29" s="110" t="s">
        <v>1436</v>
      </c>
      <c r="BN29" s="1" t="s">
        <v>1438</v>
      </c>
    </row>
    <row r="30" spans="1:74">
      <c r="A30" s="29" t="s">
        <v>1659</v>
      </c>
      <c r="B30" s="29" t="s">
        <v>1766</v>
      </c>
      <c r="C30" s="29" t="s">
        <v>1660</v>
      </c>
      <c r="D30" s="32" t="s">
        <v>1659</v>
      </c>
      <c r="E30" s="23" t="s">
        <v>1598</v>
      </c>
      <c r="G30" s="33" t="s">
        <v>599</v>
      </c>
      <c r="H30" s="33" t="s">
        <v>1308</v>
      </c>
      <c r="I30" s="33" t="s">
        <v>600</v>
      </c>
      <c r="J30" s="33" t="s">
        <v>45</v>
      </c>
      <c r="L30" s="12" t="s">
        <v>1263</v>
      </c>
      <c r="M30" s="12" t="s">
        <v>510</v>
      </c>
      <c r="N30" s="12">
        <v>100760</v>
      </c>
      <c r="O30" s="12" t="s">
        <v>1338</v>
      </c>
      <c r="P30" s="12" t="s">
        <v>1347</v>
      </c>
      <c r="Q30" s="12"/>
      <c r="S30" s="12" t="s">
        <v>173</v>
      </c>
      <c r="T30" s="12"/>
      <c r="U30" s="12" t="s">
        <v>172</v>
      </c>
      <c r="V30" s="8" t="s">
        <v>1067</v>
      </c>
      <c r="W30" s="8" t="s">
        <v>966</v>
      </c>
      <c r="AC30" s="218"/>
      <c r="AD30" s="6" t="s">
        <v>1681</v>
      </c>
      <c r="AE30" s="57" t="s">
        <v>934</v>
      </c>
      <c r="AF30" s="6" t="s">
        <v>99</v>
      </c>
      <c r="AG30" s="6"/>
      <c r="AJ30" s="80" t="s">
        <v>1471</v>
      </c>
      <c r="AK30" s="80" t="s">
        <v>1472</v>
      </c>
      <c r="AL30" s="81" t="s">
        <v>1436</v>
      </c>
      <c r="AM30" s="80" t="s">
        <v>1438</v>
      </c>
      <c r="AO30" s="212"/>
      <c r="AP30" s="62"/>
      <c r="AQ30" s="6"/>
      <c r="AR30" s="63"/>
      <c r="AS30" s="8"/>
      <c r="AW30" t="s">
        <v>1030</v>
      </c>
      <c r="AX30" s="73" t="s">
        <v>328</v>
      </c>
      <c r="AY30" s="73"/>
      <c r="AZ30" s="73"/>
      <c r="BG30" s="171" t="s">
        <v>1816</v>
      </c>
      <c r="BH30" s="120" t="s">
        <v>1942</v>
      </c>
      <c r="BI30" s="120" t="s">
        <v>1836</v>
      </c>
      <c r="BJ30" s="1" t="s">
        <v>1472</v>
      </c>
      <c r="BK30" s="108" t="s">
        <v>1471</v>
      </c>
      <c r="BL30" s="1" t="s">
        <v>1477</v>
      </c>
      <c r="BM30" s="110" t="s">
        <v>1436</v>
      </c>
      <c r="BN30" s="1" t="s">
        <v>1438</v>
      </c>
    </row>
    <row r="31" spans="1:74">
      <c r="A31" s="29"/>
      <c r="B31" s="29"/>
      <c r="C31" s="29"/>
      <c r="D31" s="32"/>
      <c r="E31" s="23"/>
      <c r="G31" s="33" t="s">
        <v>601</v>
      </c>
      <c r="H31" s="33" t="s">
        <v>11</v>
      </c>
      <c r="I31" s="33" t="s">
        <v>602</v>
      </c>
      <c r="J31" s="33" t="s">
        <v>598</v>
      </c>
      <c r="L31" s="12" t="s">
        <v>1264</v>
      </c>
      <c r="M31" s="12" t="s">
        <v>742</v>
      </c>
      <c r="N31" s="12">
        <v>100760</v>
      </c>
      <c r="O31" s="12" t="s">
        <v>1338</v>
      </c>
      <c r="P31" s="12" t="s">
        <v>1348</v>
      </c>
      <c r="Q31" s="12"/>
      <c r="S31" s="12" t="s">
        <v>472</v>
      </c>
      <c r="T31" s="12" t="s">
        <v>995</v>
      </c>
      <c r="U31" s="12" t="s">
        <v>473</v>
      </c>
      <c r="V31" s="8" t="s">
        <v>1068</v>
      </c>
      <c r="W31" s="8" t="s">
        <v>1069</v>
      </c>
      <c r="AC31" s="205" t="s">
        <v>369</v>
      </c>
      <c r="AD31" s="6"/>
      <c r="AE31" s="57" t="s">
        <v>39</v>
      </c>
      <c r="AF31" s="6" t="s">
        <v>40</v>
      </c>
      <c r="AG31" s="6"/>
      <c r="AJ31" s="81" t="s">
        <v>1473</v>
      </c>
      <c r="AK31" s="80" t="s">
        <v>1474</v>
      </c>
      <c r="AL31" s="81" t="s">
        <v>1436</v>
      </c>
      <c r="AM31" s="80" t="s">
        <v>1438</v>
      </c>
      <c r="AO31" s="212"/>
      <c r="AP31" s="62"/>
      <c r="AQ31" s="6"/>
      <c r="AR31" s="63"/>
      <c r="AS31" s="8"/>
      <c r="AW31" t="s">
        <v>328</v>
      </c>
      <c r="AX31" s="73" t="s">
        <v>328</v>
      </c>
      <c r="AY31" s="73"/>
      <c r="AZ31" s="73"/>
      <c r="BG31" s="171" t="s">
        <v>1816</v>
      </c>
      <c r="BH31" s="131" t="s">
        <v>2066</v>
      </c>
      <c r="BI31" s="117" t="s">
        <v>1898</v>
      </c>
      <c r="BJ31" s="1" t="s">
        <v>1474</v>
      </c>
      <c r="BK31" s="108" t="s">
        <v>1899</v>
      </c>
      <c r="BL31" s="1" t="s">
        <v>1477</v>
      </c>
      <c r="BM31" s="110" t="s">
        <v>1436</v>
      </c>
      <c r="BN31" s="1" t="s">
        <v>1438</v>
      </c>
      <c r="BP31" s="1" t="s">
        <v>1837</v>
      </c>
    </row>
    <row r="32" spans="1:74">
      <c r="A32" s="29"/>
      <c r="B32" s="29"/>
      <c r="C32" s="29"/>
      <c r="D32" s="32"/>
      <c r="E32" s="23"/>
      <c r="G32" s="33" t="s">
        <v>603</v>
      </c>
      <c r="H32" s="33" t="s">
        <v>12</v>
      </c>
      <c r="I32" s="33" t="s">
        <v>604</v>
      </c>
      <c r="J32" s="34" t="s">
        <v>598</v>
      </c>
      <c r="L32" s="12" t="s">
        <v>1265</v>
      </c>
      <c r="M32" s="12" t="s">
        <v>115</v>
      </c>
      <c r="N32" s="12">
        <v>100760</v>
      </c>
      <c r="O32" s="12" t="s">
        <v>1338</v>
      </c>
      <c r="P32" s="12" t="s">
        <v>1265</v>
      </c>
      <c r="Q32" s="12"/>
      <c r="S32" s="12" t="s">
        <v>467</v>
      </c>
      <c r="T32" s="12"/>
      <c r="U32" s="12" t="s">
        <v>468</v>
      </c>
      <c r="V32" s="8" t="s">
        <v>1070</v>
      </c>
      <c r="W32" s="8" t="s">
        <v>1071</v>
      </c>
      <c r="AC32" s="206"/>
      <c r="AD32" s="6"/>
      <c r="AE32" s="57" t="s">
        <v>35</v>
      </c>
      <c r="AF32" s="6" t="s">
        <v>36</v>
      </c>
      <c r="AG32" s="6"/>
      <c r="AJ32" s="80" t="s">
        <v>1475</v>
      </c>
      <c r="AK32" s="80" t="s">
        <v>1476</v>
      </c>
      <c r="AL32" s="81" t="s">
        <v>1436</v>
      </c>
      <c r="AM32" s="80" t="s">
        <v>1438</v>
      </c>
      <c r="AO32" s="212"/>
      <c r="AP32" s="62"/>
      <c r="AQ32" s="6"/>
      <c r="AR32" s="63"/>
      <c r="AS32" s="8"/>
      <c r="AW32" t="s">
        <v>336</v>
      </c>
      <c r="AX32" s="73" t="s">
        <v>336</v>
      </c>
      <c r="AY32" s="73"/>
      <c r="AZ32" s="73"/>
      <c r="BG32" s="171" t="s">
        <v>2068</v>
      </c>
      <c r="BH32" s="120" t="s">
        <v>1943</v>
      </c>
      <c r="BI32" s="120" t="s">
        <v>2067</v>
      </c>
      <c r="BJ32" s="1" t="s">
        <v>1476</v>
      </c>
      <c r="BK32" s="108" t="s">
        <v>1838</v>
      </c>
      <c r="BL32" s="1" t="s">
        <v>1477</v>
      </c>
      <c r="BM32" s="110" t="s">
        <v>1436</v>
      </c>
      <c r="BN32" s="1" t="s">
        <v>1438</v>
      </c>
    </row>
    <row r="33" spans="1:68">
      <c r="A33" s="29"/>
      <c r="B33" s="29"/>
      <c r="C33" s="29"/>
      <c r="D33" s="32"/>
      <c r="E33" s="23"/>
      <c r="G33" s="33" t="s">
        <v>605</v>
      </c>
      <c r="H33" s="33" t="s">
        <v>13</v>
      </c>
      <c r="I33" s="33" t="s">
        <v>606</v>
      </c>
      <c r="J33" s="33" t="s">
        <v>598</v>
      </c>
      <c r="L33" s="12" t="s">
        <v>1266</v>
      </c>
      <c r="M33" s="12" t="s">
        <v>743</v>
      </c>
      <c r="N33" s="12">
        <v>100760</v>
      </c>
      <c r="O33" s="12" t="s">
        <v>1338</v>
      </c>
      <c r="P33" s="12" t="s">
        <v>1269</v>
      </c>
      <c r="Q33" s="12"/>
      <c r="S33" s="12" t="s">
        <v>478</v>
      </c>
      <c r="T33" s="12"/>
      <c r="U33" s="12" t="s">
        <v>479</v>
      </c>
      <c r="V33" s="8" t="s">
        <v>1072</v>
      </c>
      <c r="W33" s="8" t="s">
        <v>1073</v>
      </c>
      <c r="AC33" s="206"/>
      <c r="AD33" s="6" t="s">
        <v>1682</v>
      </c>
      <c r="AE33" s="57" t="s">
        <v>37</v>
      </c>
      <c r="AF33" s="6" t="s">
        <v>38</v>
      </c>
      <c r="AG33" s="58" t="s">
        <v>493</v>
      </c>
      <c r="AJ33" s="80" t="s">
        <v>1477</v>
      </c>
      <c r="AK33" s="80" t="s">
        <v>1478</v>
      </c>
      <c r="AL33" s="81" t="s">
        <v>1436</v>
      </c>
      <c r="AM33" s="80" t="s">
        <v>1438</v>
      </c>
      <c r="AO33" s="212"/>
      <c r="AP33" s="62"/>
      <c r="AQ33" s="6"/>
      <c r="AR33" s="63"/>
      <c r="AS33" s="8"/>
      <c r="AW33" t="s">
        <v>1419</v>
      </c>
      <c r="AX33" t="s">
        <v>336</v>
      </c>
      <c r="BG33" s="171"/>
      <c r="BJ33" s="114" t="s">
        <v>1478</v>
      </c>
      <c r="BK33" s="113" t="s">
        <v>1477</v>
      </c>
      <c r="BL33" s="114" t="s">
        <v>1477</v>
      </c>
      <c r="BM33" s="115" t="s">
        <v>1436</v>
      </c>
      <c r="BN33" s="114" t="s">
        <v>1438</v>
      </c>
      <c r="BO33" s="116" t="s">
        <v>1839</v>
      </c>
    </row>
    <row r="34" spans="1:68">
      <c r="A34" s="29"/>
      <c r="B34" s="29"/>
      <c r="C34" s="29"/>
      <c r="D34" s="32"/>
      <c r="E34" s="23"/>
      <c r="G34" s="33" t="s">
        <v>351</v>
      </c>
      <c r="H34" s="33" t="s">
        <v>14</v>
      </c>
      <c r="I34" s="33" t="s">
        <v>607</v>
      </c>
      <c r="J34" s="33" t="s">
        <v>608</v>
      </c>
      <c r="L34" s="12" t="s">
        <v>1267</v>
      </c>
      <c r="M34" s="12" t="s">
        <v>515</v>
      </c>
      <c r="N34" s="12">
        <v>100760</v>
      </c>
      <c r="O34" s="12" t="s">
        <v>1338</v>
      </c>
      <c r="P34" s="12" t="s">
        <v>1349</v>
      </c>
      <c r="Q34" s="12"/>
      <c r="S34" s="12" t="s">
        <v>815</v>
      </c>
      <c r="T34" s="12" t="s">
        <v>440</v>
      </c>
      <c r="U34" s="12" t="s">
        <v>441</v>
      </c>
      <c r="V34" s="8" t="s">
        <v>948</v>
      </c>
      <c r="W34" s="8" t="s">
        <v>103</v>
      </c>
      <c r="AC34" s="206"/>
      <c r="AD34" s="6" t="s">
        <v>1688</v>
      </c>
      <c r="AE34" s="57" t="s">
        <v>341</v>
      </c>
      <c r="AF34" s="6" t="s">
        <v>367</v>
      </c>
      <c r="AG34" s="6"/>
      <c r="AJ34" s="80" t="s">
        <v>1479</v>
      </c>
      <c r="AK34" s="80" t="s">
        <v>1478</v>
      </c>
      <c r="AL34" s="81" t="s">
        <v>1436</v>
      </c>
      <c r="AM34" s="80" t="s">
        <v>1438</v>
      </c>
      <c r="AO34" s="212"/>
      <c r="AP34" s="62"/>
      <c r="AQ34" s="6"/>
      <c r="AR34" s="63"/>
      <c r="AS34" s="8"/>
      <c r="AW34" t="s">
        <v>1420</v>
      </c>
      <c r="AX34" t="s">
        <v>336</v>
      </c>
      <c r="BG34" s="171"/>
      <c r="BJ34" s="114" t="s">
        <v>1478</v>
      </c>
      <c r="BK34" s="113" t="s">
        <v>1479</v>
      </c>
      <c r="BL34" s="114" t="s">
        <v>1477</v>
      </c>
      <c r="BM34" s="115" t="s">
        <v>1436</v>
      </c>
      <c r="BN34" s="114" t="s">
        <v>1438</v>
      </c>
      <c r="BO34" s="116" t="s">
        <v>1839</v>
      </c>
    </row>
    <row r="35" spans="1:68">
      <c r="A35" s="29"/>
      <c r="B35" s="29"/>
      <c r="C35" s="29"/>
      <c r="D35" s="32"/>
      <c r="E35" s="23"/>
      <c r="G35" s="33" t="s">
        <v>609</v>
      </c>
      <c r="H35" s="33" t="s">
        <v>610</v>
      </c>
      <c r="I35" s="33" t="s">
        <v>611</v>
      </c>
      <c r="J35" s="33"/>
      <c r="L35" s="12" t="s">
        <v>1268</v>
      </c>
      <c r="M35" s="12" t="s">
        <v>1242</v>
      </c>
      <c r="N35" s="12">
        <v>100760</v>
      </c>
      <c r="O35" s="12" t="s">
        <v>1338</v>
      </c>
      <c r="P35" s="12" t="s">
        <v>1350</v>
      </c>
      <c r="Q35" s="12"/>
      <c r="S35" s="12" t="s">
        <v>482</v>
      </c>
      <c r="T35" s="12" t="s">
        <v>418</v>
      </c>
      <c r="U35" s="12" t="s">
        <v>482</v>
      </c>
      <c r="V35" s="8" t="s">
        <v>947</v>
      </c>
      <c r="W35" s="8" t="s">
        <v>104</v>
      </c>
      <c r="AC35" s="206"/>
      <c r="AD35" s="6" t="s">
        <v>1687</v>
      </c>
      <c r="AE35" s="57" t="s">
        <v>342</v>
      </c>
      <c r="AF35" s="6" t="s">
        <v>368</v>
      </c>
      <c r="AG35" s="58" t="s">
        <v>493</v>
      </c>
      <c r="AJ35" s="80" t="s">
        <v>1480</v>
      </c>
      <c r="AK35" s="80" t="s">
        <v>1481</v>
      </c>
      <c r="AL35" s="81" t="s">
        <v>1436</v>
      </c>
      <c r="AM35" s="80" t="s">
        <v>1438</v>
      </c>
      <c r="AO35" s="212"/>
      <c r="AP35" s="62"/>
      <c r="AQ35" s="6"/>
      <c r="AR35" s="63"/>
      <c r="AS35" s="8"/>
      <c r="AW35" t="s">
        <v>1421</v>
      </c>
      <c r="AX35" t="s">
        <v>336</v>
      </c>
      <c r="BG35" s="171" t="s">
        <v>1816</v>
      </c>
      <c r="BH35" s="120" t="s">
        <v>1944</v>
      </c>
      <c r="BI35" s="120" t="s">
        <v>1840</v>
      </c>
      <c r="BJ35" s="1" t="s">
        <v>1481</v>
      </c>
      <c r="BK35" s="108" t="s">
        <v>1480</v>
      </c>
      <c r="BL35" s="1" t="s">
        <v>1477</v>
      </c>
      <c r="BM35" s="110" t="s">
        <v>1436</v>
      </c>
      <c r="BN35" s="1" t="s">
        <v>1438</v>
      </c>
    </row>
    <row r="36" spans="1:68">
      <c r="A36" s="29"/>
      <c r="B36" s="29"/>
      <c r="C36" s="29"/>
      <c r="D36" s="32"/>
      <c r="E36" s="23"/>
      <c r="G36" s="33" t="s">
        <v>612</v>
      </c>
      <c r="H36" s="33" t="s">
        <v>610</v>
      </c>
      <c r="I36" s="33" t="s">
        <v>613</v>
      </c>
      <c r="J36" s="33"/>
      <c r="L36" s="12" t="s">
        <v>1269</v>
      </c>
      <c r="M36" s="12" t="s">
        <v>743</v>
      </c>
      <c r="N36" s="12">
        <v>100760</v>
      </c>
      <c r="O36" s="12" t="s">
        <v>1338</v>
      </c>
      <c r="P36" s="12" t="s">
        <v>1269</v>
      </c>
      <c r="Q36" s="12"/>
      <c r="S36" s="12" t="s">
        <v>830</v>
      </c>
      <c r="T36" s="12" t="s">
        <v>434</v>
      </c>
      <c r="U36" s="12" t="s">
        <v>435</v>
      </c>
      <c r="V36" s="8" t="s">
        <v>1074</v>
      </c>
      <c r="W36" s="8" t="s">
        <v>1075</v>
      </c>
      <c r="AC36" s="206"/>
      <c r="AD36" s="6"/>
      <c r="AE36" s="57" t="s">
        <v>46</v>
      </c>
      <c r="AF36" s="6" t="s">
        <v>47</v>
      </c>
      <c r="AG36" s="6"/>
      <c r="AJ36" s="80" t="s">
        <v>1482</v>
      </c>
      <c r="AK36" s="80" t="s">
        <v>1483</v>
      </c>
      <c r="AL36" s="81" t="s">
        <v>1436</v>
      </c>
      <c r="AM36" s="80" t="s">
        <v>1438</v>
      </c>
      <c r="AO36" s="213"/>
      <c r="AP36" s="62"/>
      <c r="AQ36" s="6"/>
      <c r="AR36" s="63"/>
      <c r="AS36" s="8"/>
      <c r="BG36" s="171" t="s">
        <v>1816</v>
      </c>
      <c r="BH36" s="131" t="s">
        <v>1945</v>
      </c>
      <c r="BI36" s="117" t="s">
        <v>1896</v>
      </c>
      <c r="BJ36" s="1" t="s">
        <v>1483</v>
      </c>
      <c r="BK36" s="108" t="s">
        <v>1482</v>
      </c>
      <c r="BL36" s="1" t="s">
        <v>1477</v>
      </c>
      <c r="BM36" s="110" t="s">
        <v>1436</v>
      </c>
      <c r="BN36" s="1" t="s">
        <v>1438</v>
      </c>
      <c r="BP36" s="1" t="s">
        <v>1837</v>
      </c>
    </row>
    <row r="37" spans="1:68">
      <c r="A37" s="29"/>
      <c r="B37" s="29"/>
      <c r="C37" s="29"/>
      <c r="D37" s="32"/>
      <c r="E37" s="23"/>
      <c r="G37" s="33" t="s">
        <v>614</v>
      </c>
      <c r="H37" s="33" t="s">
        <v>610</v>
      </c>
      <c r="I37" s="33" t="s">
        <v>615</v>
      </c>
      <c r="J37" s="33"/>
      <c r="L37" s="12" t="s">
        <v>1270</v>
      </c>
      <c r="M37" s="12" t="s">
        <v>502</v>
      </c>
      <c r="N37" s="12">
        <v>100760</v>
      </c>
      <c r="O37" s="12" t="s">
        <v>1338</v>
      </c>
      <c r="P37" s="12" t="s">
        <v>1351</v>
      </c>
      <c r="Q37" s="12"/>
      <c r="S37" s="12" t="s">
        <v>831</v>
      </c>
      <c r="T37" s="12" t="s">
        <v>443</v>
      </c>
      <c r="U37" s="12" t="s">
        <v>438</v>
      </c>
      <c r="V37" s="8" t="s">
        <v>339</v>
      </c>
      <c r="W37" s="8" t="s">
        <v>954</v>
      </c>
      <c r="AC37" s="206"/>
      <c r="AD37" s="6" t="s">
        <v>1683</v>
      </c>
      <c r="AE37" s="57" t="s">
        <v>43</v>
      </c>
      <c r="AF37" s="6" t="s">
        <v>44</v>
      </c>
      <c r="AG37" s="6"/>
      <c r="AJ37" s="80" t="s">
        <v>1484</v>
      </c>
      <c r="AK37" s="80" t="s">
        <v>1485</v>
      </c>
      <c r="AL37" s="81" t="s">
        <v>1436</v>
      </c>
      <c r="AM37" s="80" t="s">
        <v>1438</v>
      </c>
      <c r="BG37" s="171" t="s">
        <v>1816</v>
      </c>
      <c r="BH37" s="120" t="s">
        <v>1946</v>
      </c>
      <c r="BI37" s="120" t="s">
        <v>1484</v>
      </c>
      <c r="BJ37" s="1" t="s">
        <v>1485</v>
      </c>
      <c r="BK37" s="108" t="s">
        <v>1484</v>
      </c>
      <c r="BL37" s="1" t="s">
        <v>1477</v>
      </c>
      <c r="BM37" s="110" t="s">
        <v>1436</v>
      </c>
      <c r="BN37" s="1" t="s">
        <v>1438</v>
      </c>
      <c r="BO37" s="116" t="s">
        <v>1841</v>
      </c>
      <c r="BP37" s="1" t="s">
        <v>1837</v>
      </c>
    </row>
    <row r="38" spans="1:68">
      <c r="A38" s="29"/>
      <c r="B38" s="29"/>
      <c r="C38" s="29"/>
      <c r="D38" s="32"/>
      <c r="E38" s="23"/>
      <c r="G38" s="33" t="s">
        <v>616</v>
      </c>
      <c r="H38" s="33" t="s">
        <v>610</v>
      </c>
      <c r="I38" s="33" t="s">
        <v>617</v>
      </c>
      <c r="J38" s="33"/>
      <c r="L38" s="12" t="s">
        <v>1410</v>
      </c>
      <c r="M38" s="12" t="s">
        <v>1770</v>
      </c>
      <c r="N38" s="12">
        <v>100760</v>
      </c>
      <c r="O38" s="12" t="s">
        <v>1338</v>
      </c>
      <c r="P38" s="12" t="s">
        <v>1409</v>
      </c>
      <c r="Q38" s="12"/>
      <c r="S38" s="12" t="s">
        <v>243</v>
      </c>
      <c r="T38" s="12"/>
      <c r="U38" s="12" t="s">
        <v>242</v>
      </c>
      <c r="V38" s="8" t="s">
        <v>980</v>
      </c>
      <c r="W38" s="8" t="s">
        <v>1076</v>
      </c>
      <c r="AC38" s="207"/>
      <c r="AD38" s="6"/>
      <c r="AE38" s="57" t="s">
        <v>48</v>
      </c>
      <c r="AF38" s="6" t="s">
        <v>49</v>
      </c>
      <c r="AG38" s="6"/>
      <c r="AJ38" s="80" t="s">
        <v>1486</v>
      </c>
      <c r="AK38" s="80" t="s">
        <v>1487</v>
      </c>
      <c r="AL38" s="81" t="s">
        <v>1488</v>
      </c>
      <c r="AM38" s="80" t="s">
        <v>1489</v>
      </c>
      <c r="BG38" s="171" t="s">
        <v>1816</v>
      </c>
      <c r="BH38" s="120" t="s">
        <v>1947</v>
      </c>
      <c r="BI38" s="120" t="s">
        <v>1842</v>
      </c>
      <c r="BJ38" s="1" t="s">
        <v>1843</v>
      </c>
      <c r="BK38" s="108" t="s">
        <v>1719</v>
      </c>
      <c r="BL38" s="1" t="s">
        <v>1477</v>
      </c>
      <c r="BM38" s="110" t="s">
        <v>1844</v>
      </c>
      <c r="BN38" s="1" t="s">
        <v>1438</v>
      </c>
      <c r="BO38" s="116"/>
    </row>
    <row r="39" spans="1:68">
      <c r="A39" s="29"/>
      <c r="B39" s="29"/>
      <c r="C39" s="29"/>
      <c r="D39" s="32"/>
      <c r="E39" s="23"/>
      <c r="G39" s="33" t="s">
        <v>618</v>
      </c>
      <c r="H39" s="33" t="s">
        <v>610</v>
      </c>
      <c r="I39" s="33" t="s">
        <v>619</v>
      </c>
      <c r="J39" s="33"/>
      <c r="L39" s="12" t="s">
        <v>1769</v>
      </c>
      <c r="M39" s="12" t="s">
        <v>1407</v>
      </c>
      <c r="N39" s="12">
        <v>100760</v>
      </c>
      <c r="O39" s="12" t="s">
        <v>1338</v>
      </c>
      <c r="P39" s="12" t="s">
        <v>1408</v>
      </c>
      <c r="Q39" s="12" t="s">
        <v>1424</v>
      </c>
      <c r="S39" s="12" t="s">
        <v>228</v>
      </c>
      <c r="T39" s="12"/>
      <c r="U39" s="12" t="s">
        <v>227</v>
      </c>
      <c r="V39" s="8" t="s">
        <v>950</v>
      </c>
      <c r="W39" s="8" t="s">
        <v>955</v>
      </c>
      <c r="AC39" s="205" t="s">
        <v>358</v>
      </c>
      <c r="AD39" s="6" t="s">
        <v>1676</v>
      </c>
      <c r="AE39" s="57" t="s">
        <v>87</v>
      </c>
      <c r="AF39" s="6" t="s">
        <v>88</v>
      </c>
      <c r="AG39" s="6"/>
      <c r="AJ39" s="80" t="s">
        <v>50</v>
      </c>
      <c r="AK39" s="80" t="s">
        <v>51</v>
      </c>
      <c r="AL39" s="81" t="s">
        <v>1490</v>
      </c>
      <c r="AM39" s="80" t="s">
        <v>1489</v>
      </c>
      <c r="BG39" s="171" t="s">
        <v>1816</v>
      </c>
      <c r="BH39" s="120" t="s">
        <v>1948</v>
      </c>
      <c r="BI39" s="120" t="s">
        <v>1845</v>
      </c>
      <c r="BJ39" s="1" t="s">
        <v>1487</v>
      </c>
      <c r="BK39" s="108" t="s">
        <v>1486</v>
      </c>
      <c r="BL39" s="110" t="s">
        <v>1992</v>
      </c>
      <c r="BM39" s="110" t="s">
        <v>1488</v>
      </c>
      <c r="BN39" s="1" t="s">
        <v>1489</v>
      </c>
      <c r="BO39" s="118" t="s">
        <v>1846</v>
      </c>
    </row>
    <row r="40" spans="1:68">
      <c r="A40" s="29"/>
      <c r="B40" s="29"/>
      <c r="C40" s="29"/>
      <c r="D40" s="32"/>
      <c r="E40" s="23"/>
      <c r="G40" s="33" t="s">
        <v>620</v>
      </c>
      <c r="H40" s="33" t="s">
        <v>610</v>
      </c>
      <c r="I40" s="33" t="s">
        <v>621</v>
      </c>
      <c r="J40" s="33"/>
      <c r="L40" s="12" t="s">
        <v>496</v>
      </c>
      <c r="M40" s="12" t="s">
        <v>744</v>
      </c>
      <c r="N40" s="12">
        <v>100760</v>
      </c>
      <c r="O40" s="12" t="s">
        <v>1338</v>
      </c>
      <c r="P40" s="12" t="s">
        <v>1352</v>
      </c>
      <c r="Q40" s="12" t="s">
        <v>1353</v>
      </c>
      <c r="S40" s="12" t="s">
        <v>198</v>
      </c>
      <c r="T40" s="12" t="s">
        <v>108</v>
      </c>
      <c r="U40" s="12" t="s">
        <v>446</v>
      </c>
      <c r="V40" s="8" t="s">
        <v>1077</v>
      </c>
      <c r="W40" s="8" t="s">
        <v>957</v>
      </c>
      <c r="AC40" s="206"/>
      <c r="AD40" s="6" t="s">
        <v>90</v>
      </c>
      <c r="AE40" s="57" t="s">
        <v>89</v>
      </c>
      <c r="AF40" s="6" t="s">
        <v>90</v>
      </c>
      <c r="AG40" s="6"/>
      <c r="AJ40" s="80" t="s">
        <v>53</v>
      </c>
      <c r="AK40" s="80" t="s">
        <v>54</v>
      </c>
      <c r="AL40" s="80" t="s">
        <v>1488</v>
      </c>
      <c r="AM40" s="80" t="s">
        <v>1489</v>
      </c>
      <c r="BG40" s="171" t="s">
        <v>1816</v>
      </c>
      <c r="BH40" s="120" t="s">
        <v>1949</v>
      </c>
      <c r="BI40" s="120" t="s">
        <v>1847</v>
      </c>
      <c r="BJ40" s="1" t="s">
        <v>51</v>
      </c>
      <c r="BK40" s="108" t="s">
        <v>50</v>
      </c>
      <c r="BL40" s="110" t="s">
        <v>1992</v>
      </c>
      <c r="BM40" s="110" t="s">
        <v>1490</v>
      </c>
      <c r="BN40" s="1" t="s">
        <v>1489</v>
      </c>
    </row>
    <row r="41" spans="1:68">
      <c r="A41" s="29"/>
      <c r="B41" s="29"/>
      <c r="C41" s="29"/>
      <c r="D41" s="32"/>
      <c r="E41" s="23"/>
      <c r="G41" s="26" t="s">
        <v>622</v>
      </c>
      <c r="H41" s="33" t="s">
        <v>17</v>
      </c>
      <c r="I41" s="26" t="s">
        <v>623</v>
      </c>
      <c r="J41" s="33"/>
      <c r="L41" s="12" t="s">
        <v>151</v>
      </c>
      <c r="M41" s="12" t="s">
        <v>387</v>
      </c>
      <c r="N41" s="12">
        <v>100760</v>
      </c>
      <c r="O41" s="12" t="s">
        <v>1338</v>
      </c>
      <c r="P41" s="12" t="s">
        <v>1354</v>
      </c>
      <c r="Q41" s="12"/>
      <c r="S41" s="12" t="s">
        <v>241</v>
      </c>
      <c r="T41" s="12" t="s">
        <v>996</v>
      </c>
      <c r="U41" s="12" t="s">
        <v>240</v>
      </c>
      <c r="V41" s="8" t="s">
        <v>969</v>
      </c>
      <c r="W41" s="8" t="s">
        <v>972</v>
      </c>
      <c r="AC41" s="207"/>
      <c r="AD41" s="6"/>
      <c r="AE41" s="57" t="s">
        <v>91</v>
      </c>
      <c r="AF41" s="6" t="s">
        <v>343</v>
      </c>
      <c r="AG41" s="6"/>
      <c r="AJ41" s="80" t="s">
        <v>56</v>
      </c>
      <c r="AK41" s="80" t="s">
        <v>57</v>
      </c>
      <c r="AL41" s="80" t="s">
        <v>1488</v>
      </c>
      <c r="AM41" s="80" t="s">
        <v>1489</v>
      </c>
      <c r="AP41" s="73"/>
      <c r="AQ41" s="73"/>
      <c r="AR41" s="73"/>
      <c r="AS41" s="73"/>
      <c r="AT41" s="73"/>
      <c r="BG41" s="171" t="s">
        <v>1800</v>
      </c>
      <c r="BH41" s="120" t="s">
        <v>1950</v>
      </c>
      <c r="BI41" s="120" t="s">
        <v>1848</v>
      </c>
      <c r="BJ41" s="109" t="s">
        <v>1849</v>
      </c>
      <c r="BK41" s="119" t="s">
        <v>1850</v>
      </c>
      <c r="BL41" s="110" t="s">
        <v>1992</v>
      </c>
      <c r="BM41" s="110" t="s">
        <v>1490</v>
      </c>
      <c r="BN41" s="1" t="s">
        <v>1489</v>
      </c>
    </row>
    <row r="42" spans="1:68">
      <c r="A42" s="29"/>
      <c r="B42" s="29"/>
      <c r="C42" s="29"/>
      <c r="D42" s="32"/>
      <c r="E42" s="23"/>
      <c r="G42" s="35" t="s">
        <v>624</v>
      </c>
      <c r="H42" s="33" t="s">
        <v>17</v>
      </c>
      <c r="I42" s="35" t="s">
        <v>625</v>
      </c>
      <c r="J42" s="33"/>
      <c r="L42" s="12" t="s">
        <v>1271</v>
      </c>
      <c r="M42" s="12" t="s">
        <v>387</v>
      </c>
      <c r="N42" s="12">
        <v>100760</v>
      </c>
      <c r="O42" s="12" t="s">
        <v>1338</v>
      </c>
      <c r="P42" s="12" t="s">
        <v>1354</v>
      </c>
      <c r="Q42" s="12" t="s">
        <v>1355</v>
      </c>
      <c r="S42" s="12" t="s">
        <v>453</v>
      </c>
      <c r="T42" s="12"/>
      <c r="U42" s="12" t="s">
        <v>454</v>
      </c>
      <c r="V42" s="8" t="s">
        <v>971</v>
      </c>
      <c r="W42" s="8" t="s">
        <v>975</v>
      </c>
      <c r="AC42" s="205" t="s">
        <v>410</v>
      </c>
      <c r="AD42" s="6"/>
      <c r="AE42" s="57" t="s">
        <v>27</v>
      </c>
      <c r="AF42" s="6" t="s">
        <v>28</v>
      </c>
      <c r="AG42" s="6"/>
      <c r="AJ42" s="80" t="s">
        <v>59</v>
      </c>
      <c r="AK42" s="80" t="s">
        <v>60</v>
      </c>
      <c r="AL42" s="80" t="s">
        <v>1488</v>
      </c>
      <c r="AM42" s="80" t="s">
        <v>1489</v>
      </c>
      <c r="AP42" s="73"/>
      <c r="AQ42" s="73"/>
      <c r="AR42" s="73"/>
      <c r="AS42" s="73"/>
      <c r="AT42" s="73"/>
      <c r="AU42" s="73"/>
      <c r="BG42" s="171" t="s">
        <v>1800</v>
      </c>
      <c r="BH42" s="120" t="s">
        <v>1951</v>
      </c>
      <c r="BI42" s="120" t="s">
        <v>1851</v>
      </c>
      <c r="BJ42" s="1" t="s">
        <v>57</v>
      </c>
      <c r="BK42" s="108" t="s">
        <v>56</v>
      </c>
      <c r="BL42" s="110" t="s">
        <v>1992</v>
      </c>
      <c r="BM42" s="1" t="s">
        <v>1488</v>
      </c>
      <c r="BN42" s="1" t="s">
        <v>1489</v>
      </c>
    </row>
    <row r="43" spans="1:68">
      <c r="A43" s="29"/>
      <c r="B43" s="29"/>
      <c r="C43" s="29"/>
      <c r="D43" s="32"/>
      <c r="E43" s="23"/>
      <c r="G43" s="36" t="s">
        <v>626</v>
      </c>
      <c r="H43" s="33" t="s">
        <v>17</v>
      </c>
      <c r="I43" s="35" t="s">
        <v>627</v>
      </c>
      <c r="J43" s="33"/>
      <c r="L43" s="12" t="s">
        <v>1272</v>
      </c>
      <c r="M43" s="12" t="s">
        <v>745</v>
      </c>
      <c r="N43" s="12">
        <v>100760</v>
      </c>
      <c r="O43" s="12" t="s">
        <v>1338</v>
      </c>
      <c r="P43" s="12" t="s">
        <v>1356</v>
      </c>
      <c r="Q43" s="12"/>
      <c r="S43" s="12" t="s">
        <v>175</v>
      </c>
      <c r="T43" s="12"/>
      <c r="U43" s="12" t="s">
        <v>174</v>
      </c>
      <c r="V43" s="8" t="s">
        <v>982</v>
      </c>
      <c r="W43" s="8" t="s">
        <v>1078</v>
      </c>
      <c r="AC43" s="206"/>
      <c r="AD43" s="6" t="s">
        <v>1663</v>
      </c>
      <c r="AE43" s="57" t="s">
        <v>29</v>
      </c>
      <c r="AF43" s="6" t="s">
        <v>30</v>
      </c>
      <c r="AG43" s="6"/>
      <c r="AJ43" s="80" t="s">
        <v>1491</v>
      </c>
      <c r="AK43" s="80" t="s">
        <v>1492</v>
      </c>
      <c r="AL43" s="80" t="s">
        <v>1488</v>
      </c>
      <c r="AM43" s="80" t="s">
        <v>1489</v>
      </c>
      <c r="AP43" s="73"/>
      <c r="AQ43" s="73"/>
      <c r="AR43" s="73"/>
      <c r="AS43" s="73"/>
      <c r="AT43" s="73"/>
      <c r="AU43" s="73"/>
      <c r="BG43" s="171" t="s">
        <v>1800</v>
      </c>
      <c r="BH43" s="120" t="s">
        <v>1952</v>
      </c>
      <c r="BI43" s="120" t="s">
        <v>1852</v>
      </c>
      <c r="BJ43" s="1" t="s">
        <v>60</v>
      </c>
      <c r="BK43" s="108" t="s">
        <v>59</v>
      </c>
      <c r="BL43" s="110" t="s">
        <v>1992</v>
      </c>
      <c r="BM43" s="1" t="s">
        <v>1488</v>
      </c>
      <c r="BN43" s="1" t="s">
        <v>1489</v>
      </c>
    </row>
    <row r="44" spans="1:68">
      <c r="A44" s="29"/>
      <c r="B44" s="29"/>
      <c r="C44" s="29"/>
      <c r="D44" s="32"/>
      <c r="E44" s="23"/>
      <c r="G44" s="36" t="s">
        <v>629</v>
      </c>
      <c r="H44" s="33" t="s">
        <v>1237</v>
      </c>
      <c r="I44" s="35" t="s">
        <v>630</v>
      </c>
      <c r="J44" s="33"/>
      <c r="L44" s="12" t="s">
        <v>1273</v>
      </c>
      <c r="M44" s="12" t="s">
        <v>746</v>
      </c>
      <c r="N44" s="12">
        <v>100760</v>
      </c>
      <c r="O44" s="12" t="s">
        <v>1338</v>
      </c>
      <c r="P44" s="12" t="s">
        <v>1357</v>
      </c>
      <c r="Q44" s="12"/>
      <c r="S44" s="12" t="s">
        <v>261</v>
      </c>
      <c r="T44" s="12" t="s">
        <v>997</v>
      </c>
      <c r="U44" s="12" t="s">
        <v>196</v>
      </c>
      <c r="V44" s="8" t="s">
        <v>1079</v>
      </c>
      <c r="W44" s="8" t="s">
        <v>1078</v>
      </c>
      <c r="AC44" s="206"/>
      <c r="AD44" s="6" t="s">
        <v>1679</v>
      </c>
      <c r="AE44" s="57" t="s">
        <v>31</v>
      </c>
      <c r="AF44" s="6" t="s">
        <v>32</v>
      </c>
      <c r="AG44" s="6"/>
      <c r="AJ44" s="80" t="s">
        <v>1493</v>
      </c>
      <c r="AK44" s="80" t="s">
        <v>1494</v>
      </c>
      <c r="AL44" s="80" t="s">
        <v>1488</v>
      </c>
      <c r="AM44" s="80" t="s">
        <v>1489</v>
      </c>
      <c r="AP44" s="73"/>
      <c r="AQ44" s="73"/>
      <c r="AR44" s="73"/>
      <c r="AS44" s="73"/>
      <c r="AT44" s="73"/>
      <c r="AU44" s="73"/>
      <c r="BG44" s="171" t="s">
        <v>1800</v>
      </c>
      <c r="BH44" s="120" t="s">
        <v>1953</v>
      </c>
      <c r="BI44" s="120" t="s">
        <v>1853</v>
      </c>
      <c r="BJ44" s="1" t="s">
        <v>1492</v>
      </c>
      <c r="BK44" s="108" t="s">
        <v>1491</v>
      </c>
      <c r="BL44" s="110" t="s">
        <v>1992</v>
      </c>
      <c r="BM44" s="1" t="s">
        <v>1488</v>
      </c>
      <c r="BN44" s="1" t="s">
        <v>1489</v>
      </c>
    </row>
    <row r="45" spans="1:68">
      <c r="A45" s="29"/>
      <c r="B45" s="29"/>
      <c r="C45" s="29"/>
      <c r="D45" s="32"/>
      <c r="E45" s="23"/>
      <c r="G45" s="36" t="s">
        <v>288</v>
      </c>
      <c r="H45" s="33" t="s">
        <v>15</v>
      </c>
      <c r="I45" s="35" t="s">
        <v>289</v>
      </c>
      <c r="J45" s="33" t="s">
        <v>631</v>
      </c>
      <c r="L45" s="12" t="s">
        <v>1274</v>
      </c>
      <c r="M45" s="12" t="s">
        <v>747</v>
      </c>
      <c r="N45" s="12">
        <v>100760</v>
      </c>
      <c r="O45" s="12" t="s">
        <v>1338</v>
      </c>
      <c r="P45" s="12" t="s">
        <v>1358</v>
      </c>
      <c r="Q45" s="12"/>
      <c r="S45" s="12" t="s">
        <v>259</v>
      </c>
      <c r="T45" s="12" t="s">
        <v>998</v>
      </c>
      <c r="U45" s="12" t="s">
        <v>165</v>
      </c>
      <c r="V45" s="8" t="s">
        <v>1080</v>
      </c>
      <c r="W45" s="8" t="s">
        <v>1081</v>
      </c>
      <c r="AC45" s="206"/>
      <c r="AD45" s="6"/>
      <c r="AE45" s="57" t="s">
        <v>33</v>
      </c>
      <c r="AF45" s="6" t="s">
        <v>34</v>
      </c>
      <c r="AG45" s="6"/>
      <c r="AJ45" s="80" t="s">
        <v>61</v>
      </c>
      <c r="AK45" s="80" t="s">
        <v>62</v>
      </c>
      <c r="AL45" s="80" t="s">
        <v>1488</v>
      </c>
      <c r="AM45" s="80" t="s">
        <v>1489</v>
      </c>
      <c r="AP45" s="73"/>
      <c r="AQ45" s="73"/>
      <c r="AR45" s="73"/>
      <c r="AS45" s="73"/>
      <c r="AT45" s="73"/>
      <c r="AU45" s="73"/>
      <c r="BG45" s="171" t="s">
        <v>1800</v>
      </c>
      <c r="BH45" s="120" t="s">
        <v>1954</v>
      </c>
      <c r="BI45" s="120" t="s">
        <v>1854</v>
      </c>
      <c r="BJ45" s="1" t="s">
        <v>1494</v>
      </c>
      <c r="BK45" s="108" t="s">
        <v>1493</v>
      </c>
      <c r="BL45" s="110" t="s">
        <v>1992</v>
      </c>
      <c r="BM45" s="1" t="s">
        <v>1488</v>
      </c>
      <c r="BN45" s="1" t="s">
        <v>1489</v>
      </c>
    </row>
    <row r="46" spans="1:68">
      <c r="A46" s="29"/>
      <c r="B46" s="29"/>
      <c r="C46" s="29"/>
      <c r="D46" s="32"/>
      <c r="E46" s="23"/>
      <c r="G46" s="36" t="s">
        <v>290</v>
      </c>
      <c r="H46" s="33" t="s">
        <v>15</v>
      </c>
      <c r="I46" s="35" t="s">
        <v>289</v>
      </c>
      <c r="J46" s="33" t="s">
        <v>598</v>
      </c>
      <c r="L46" s="12" t="s">
        <v>1275</v>
      </c>
      <c r="M46" s="12" t="s">
        <v>408</v>
      </c>
      <c r="N46" s="12">
        <v>100760</v>
      </c>
      <c r="O46" s="12" t="s">
        <v>1338</v>
      </c>
      <c r="P46" s="12" t="s">
        <v>1359</v>
      </c>
      <c r="Q46" s="12"/>
      <c r="S46" s="12" t="s">
        <v>469</v>
      </c>
      <c r="T46" s="12" t="s">
        <v>999</v>
      </c>
      <c r="U46" s="12" t="s">
        <v>470</v>
      </c>
      <c r="V46" s="8" t="s">
        <v>946</v>
      </c>
      <c r="W46" s="8" t="s">
        <v>110</v>
      </c>
      <c r="AC46" s="207"/>
      <c r="AD46" s="6" t="s">
        <v>1789</v>
      </c>
      <c r="AE46" s="57" t="s">
        <v>27</v>
      </c>
      <c r="AF46" s="6" t="s">
        <v>372</v>
      </c>
      <c r="AG46" s="6"/>
      <c r="AJ46" s="80" t="s">
        <v>64</v>
      </c>
      <c r="AK46" s="80" t="s">
        <v>65</v>
      </c>
      <c r="AL46" s="80" t="s">
        <v>1488</v>
      </c>
      <c r="AM46" s="80" t="s">
        <v>1489</v>
      </c>
      <c r="AP46" s="73"/>
      <c r="AQ46" s="73"/>
      <c r="AR46" s="73"/>
      <c r="AS46" s="73"/>
      <c r="AT46" s="73"/>
      <c r="AU46" s="73"/>
      <c r="BG46" s="171" t="s">
        <v>1800</v>
      </c>
      <c r="BH46" s="120" t="s">
        <v>1955</v>
      </c>
      <c r="BI46" s="120" t="s">
        <v>1855</v>
      </c>
      <c r="BJ46" s="1" t="s">
        <v>62</v>
      </c>
      <c r="BK46" s="108" t="s">
        <v>61</v>
      </c>
      <c r="BL46" s="110" t="s">
        <v>1992</v>
      </c>
      <c r="BM46" s="1" t="s">
        <v>1488</v>
      </c>
      <c r="BN46" s="1" t="s">
        <v>1489</v>
      </c>
    </row>
    <row r="47" spans="1:68">
      <c r="A47" s="29"/>
      <c r="B47" s="29"/>
      <c r="C47" s="29"/>
      <c r="D47" s="32"/>
      <c r="E47" s="23"/>
      <c r="G47" s="26" t="s">
        <v>291</v>
      </c>
      <c r="H47" s="33" t="s">
        <v>15</v>
      </c>
      <c r="I47" s="26" t="s">
        <v>289</v>
      </c>
      <c r="J47" s="33" t="s">
        <v>632</v>
      </c>
      <c r="L47" s="12" t="s">
        <v>1276</v>
      </c>
      <c r="M47" s="12" t="s">
        <v>379</v>
      </c>
      <c r="N47" s="12">
        <v>100760</v>
      </c>
      <c r="O47" s="12" t="s">
        <v>1338</v>
      </c>
      <c r="P47" s="12" t="s">
        <v>380</v>
      </c>
      <c r="Q47" s="12"/>
      <c r="S47" s="12" t="s">
        <v>518</v>
      </c>
      <c r="T47" s="12" t="s">
        <v>1000</v>
      </c>
      <c r="U47" s="12" t="s">
        <v>444</v>
      </c>
      <c r="V47" s="8" t="s">
        <v>1082</v>
      </c>
      <c r="W47" s="8" t="s">
        <v>1083</v>
      </c>
      <c r="AC47" s="6" t="s">
        <v>359</v>
      </c>
      <c r="AD47" s="6" t="s">
        <v>1675</v>
      </c>
      <c r="AE47" s="57" t="s">
        <v>92</v>
      </c>
      <c r="AF47" s="6" t="s">
        <v>93</v>
      </c>
      <c r="AG47" s="6"/>
      <c r="AJ47" s="80" t="s">
        <v>1495</v>
      </c>
      <c r="AK47" s="80" t="s">
        <v>1496</v>
      </c>
      <c r="AL47" s="80" t="s">
        <v>1488</v>
      </c>
      <c r="AM47" s="80" t="s">
        <v>1489</v>
      </c>
      <c r="AP47" s="73"/>
      <c r="AQ47" s="73"/>
      <c r="AR47" s="73"/>
      <c r="AS47" s="73"/>
      <c r="AT47" s="73"/>
      <c r="AU47" s="73"/>
      <c r="BG47" s="171" t="s">
        <v>1800</v>
      </c>
      <c r="BH47" s="120" t="s">
        <v>1956</v>
      </c>
      <c r="BI47" s="120" t="s">
        <v>1856</v>
      </c>
      <c r="BJ47" s="1" t="s">
        <v>65</v>
      </c>
      <c r="BK47" s="108" t="s">
        <v>64</v>
      </c>
      <c r="BL47" s="110" t="s">
        <v>1992</v>
      </c>
      <c r="BM47" s="1" t="s">
        <v>1488</v>
      </c>
      <c r="BN47" s="1" t="s">
        <v>1489</v>
      </c>
    </row>
    <row r="48" spans="1:68">
      <c r="A48" s="29"/>
      <c r="B48" s="29"/>
      <c r="C48" s="29"/>
      <c r="D48" s="32"/>
      <c r="E48" s="23"/>
      <c r="G48" s="35" t="s">
        <v>633</v>
      </c>
      <c r="H48" s="33" t="s">
        <v>16</v>
      </c>
      <c r="I48" s="35" t="s">
        <v>634</v>
      </c>
      <c r="J48" s="33" t="s">
        <v>635</v>
      </c>
      <c r="L48" s="12" t="s">
        <v>380</v>
      </c>
      <c r="M48" s="12" t="s">
        <v>1411</v>
      </c>
      <c r="N48" s="12">
        <v>100760</v>
      </c>
      <c r="O48" s="12" t="s">
        <v>1338</v>
      </c>
      <c r="P48" s="12" t="s">
        <v>380</v>
      </c>
      <c r="Q48" s="12"/>
      <c r="S48" s="12" t="s">
        <v>191</v>
      </c>
      <c r="T48" s="12" t="s">
        <v>1001</v>
      </c>
      <c r="U48" s="12" t="s">
        <v>190</v>
      </c>
      <c r="V48" s="8" t="s">
        <v>1084</v>
      </c>
      <c r="W48" s="8" t="s">
        <v>1085</v>
      </c>
      <c r="AC48" s="6" t="s">
        <v>362</v>
      </c>
      <c r="AD48" s="6" t="s">
        <v>1678</v>
      </c>
      <c r="AE48" s="6">
        <v>12276001</v>
      </c>
      <c r="AF48" s="6" t="s">
        <v>95</v>
      </c>
      <c r="AG48" s="6"/>
      <c r="AJ48" s="80" t="s">
        <v>1497</v>
      </c>
      <c r="AK48" s="80" t="s">
        <v>1498</v>
      </c>
      <c r="AL48" s="80" t="s">
        <v>1488</v>
      </c>
      <c r="AM48" s="80" t="s">
        <v>1489</v>
      </c>
      <c r="AP48" s="73"/>
      <c r="AQ48" s="73"/>
      <c r="AR48" s="73"/>
      <c r="AS48" s="73"/>
      <c r="AT48" s="73"/>
      <c r="AU48" s="73"/>
      <c r="BG48" s="171" t="s">
        <v>1800</v>
      </c>
      <c r="BH48" s="120" t="s">
        <v>1957</v>
      </c>
      <c r="BI48" s="120" t="s">
        <v>1857</v>
      </c>
      <c r="BJ48" s="1" t="s">
        <v>1496</v>
      </c>
      <c r="BK48" s="108" t="s">
        <v>1495</v>
      </c>
      <c r="BL48" s="110" t="s">
        <v>1992</v>
      </c>
      <c r="BM48" s="1" t="s">
        <v>1488</v>
      </c>
      <c r="BN48" s="1" t="s">
        <v>1489</v>
      </c>
      <c r="BO48" s="116" t="s">
        <v>1858</v>
      </c>
    </row>
    <row r="49" spans="1:68">
      <c r="A49" s="29"/>
      <c r="B49" s="29"/>
      <c r="C49" s="29"/>
      <c r="D49" s="32"/>
      <c r="E49" s="23"/>
      <c r="G49" s="35" t="s">
        <v>636</v>
      </c>
      <c r="H49" s="33" t="s">
        <v>16</v>
      </c>
      <c r="I49" s="35" t="s">
        <v>634</v>
      </c>
      <c r="J49" s="33" t="s">
        <v>598</v>
      </c>
      <c r="L49" s="12" t="s">
        <v>1572</v>
      </c>
      <c r="M49" s="12" t="s">
        <v>1571</v>
      </c>
      <c r="N49" s="12">
        <v>100760</v>
      </c>
      <c r="O49" s="12" t="s">
        <v>1338</v>
      </c>
      <c r="P49" s="12" t="s">
        <v>1342</v>
      </c>
      <c r="Q49" s="12"/>
      <c r="S49" s="12" t="s">
        <v>218</v>
      </c>
      <c r="T49" s="12"/>
      <c r="U49" s="12" t="s">
        <v>217</v>
      </c>
      <c r="V49" s="8" t="s">
        <v>1086</v>
      </c>
      <c r="W49" s="8" t="s">
        <v>1087</v>
      </c>
      <c r="AC49" s="6" t="s">
        <v>363</v>
      </c>
      <c r="AD49" s="6" t="s">
        <v>1677</v>
      </c>
      <c r="AE49" s="6">
        <v>13112002</v>
      </c>
      <c r="AF49" s="6" t="s">
        <v>96</v>
      </c>
      <c r="AG49" s="6"/>
      <c r="AJ49" s="80" t="s">
        <v>1499</v>
      </c>
      <c r="AK49" s="80" t="s">
        <v>1500</v>
      </c>
      <c r="AL49" s="80" t="s">
        <v>1488</v>
      </c>
      <c r="AM49" s="80" t="s">
        <v>1489</v>
      </c>
      <c r="AP49" s="73"/>
      <c r="AQ49" s="73"/>
      <c r="AR49" s="73"/>
      <c r="AS49" s="73"/>
      <c r="AT49" s="73"/>
      <c r="AU49" s="73"/>
      <c r="BG49" s="171" t="s">
        <v>1800</v>
      </c>
      <c r="BH49" s="120" t="s">
        <v>1958</v>
      </c>
      <c r="BI49" s="120" t="s">
        <v>1859</v>
      </c>
      <c r="BJ49" s="1" t="s">
        <v>1498</v>
      </c>
      <c r="BK49" s="108" t="s">
        <v>1497</v>
      </c>
      <c r="BL49" s="110" t="s">
        <v>1992</v>
      </c>
      <c r="BM49" s="1" t="s">
        <v>1488</v>
      </c>
      <c r="BN49" s="1" t="s">
        <v>1489</v>
      </c>
    </row>
    <row r="50" spans="1:68">
      <c r="A50" s="29"/>
      <c r="B50" s="29"/>
      <c r="C50" s="29"/>
      <c r="D50" s="32"/>
      <c r="E50" s="23"/>
      <c r="G50" s="35" t="s">
        <v>637</v>
      </c>
      <c r="H50" s="33" t="s">
        <v>16</v>
      </c>
      <c r="I50" s="35" t="s">
        <v>634</v>
      </c>
      <c r="J50" s="33" t="s">
        <v>598</v>
      </c>
      <c r="L50" s="12" t="s">
        <v>1244</v>
      </c>
      <c r="M50" s="12" t="s">
        <v>1243</v>
      </c>
      <c r="N50" s="12">
        <v>100760</v>
      </c>
      <c r="O50" s="12" t="s">
        <v>1360</v>
      </c>
      <c r="P50" s="12" t="s">
        <v>1361</v>
      </c>
      <c r="Q50" s="12"/>
      <c r="S50" s="12" t="s">
        <v>474</v>
      </c>
      <c r="T50" s="12" t="s">
        <v>1002</v>
      </c>
      <c r="U50" s="12" t="s">
        <v>475</v>
      </c>
      <c r="V50" s="8" t="s">
        <v>1088</v>
      </c>
      <c r="W50" s="8" t="s">
        <v>1089</v>
      </c>
      <c r="AC50" s="6" t="s">
        <v>1734</v>
      </c>
      <c r="AD50" s="8" t="s">
        <v>1733</v>
      </c>
      <c r="AE50" s="8"/>
      <c r="AF50" s="8"/>
      <c r="AG50" s="8"/>
      <c r="AJ50" s="80" t="s">
        <v>1501</v>
      </c>
      <c r="AK50" s="80" t="s">
        <v>78</v>
      </c>
      <c r="AL50" s="80" t="s">
        <v>1488</v>
      </c>
      <c r="AM50" s="80" t="s">
        <v>1489</v>
      </c>
      <c r="AP50" s="73"/>
      <c r="AQ50" s="73"/>
      <c r="AR50" s="73"/>
      <c r="AS50" s="73"/>
      <c r="AT50" s="73"/>
      <c r="AU50" s="73"/>
      <c r="BG50" s="171" t="s">
        <v>1800</v>
      </c>
      <c r="BH50" s="120" t="s">
        <v>1959</v>
      </c>
      <c r="BI50" s="120" t="s">
        <v>1860</v>
      </c>
      <c r="BJ50" s="1" t="s">
        <v>1500</v>
      </c>
      <c r="BK50" s="108" t="s">
        <v>1499</v>
      </c>
      <c r="BL50" s="110" t="s">
        <v>1992</v>
      </c>
      <c r="BM50" s="1" t="s">
        <v>1488</v>
      </c>
      <c r="BN50" s="1" t="s">
        <v>1489</v>
      </c>
    </row>
    <row r="51" spans="1:68">
      <c r="A51" s="29"/>
      <c r="B51" s="29"/>
      <c r="C51" s="29"/>
      <c r="D51" s="32"/>
      <c r="E51" s="23"/>
      <c r="G51" s="35" t="s">
        <v>638</v>
      </c>
      <c r="H51" s="33" t="s">
        <v>16</v>
      </c>
      <c r="I51" s="35" t="s">
        <v>634</v>
      </c>
      <c r="J51" s="33" t="s">
        <v>598</v>
      </c>
      <c r="L51" s="12" t="s">
        <v>1246</v>
      </c>
      <c r="M51" s="12" t="s">
        <v>1245</v>
      </c>
      <c r="N51" s="12">
        <v>100760</v>
      </c>
      <c r="O51" s="12" t="s">
        <v>1360</v>
      </c>
      <c r="P51" s="12" t="s">
        <v>1362</v>
      </c>
      <c r="Q51" s="12"/>
      <c r="S51" s="12" t="s">
        <v>480</v>
      </c>
      <c r="T51" s="12" t="s">
        <v>1003</v>
      </c>
      <c r="U51" s="12" t="s">
        <v>481</v>
      </c>
      <c r="V51" s="8" t="s">
        <v>1090</v>
      </c>
      <c r="W51" s="8" t="s">
        <v>1091</v>
      </c>
      <c r="AC51" s="6" t="s">
        <v>1788</v>
      </c>
      <c r="AD51" s="8" t="s">
        <v>1788</v>
      </c>
      <c r="AE51" s="8"/>
      <c r="AF51" s="8"/>
      <c r="AG51" s="8"/>
      <c r="AJ51" s="80" t="s">
        <v>83</v>
      </c>
      <c r="AK51" s="80" t="s">
        <v>84</v>
      </c>
      <c r="AL51" s="80" t="s">
        <v>1488</v>
      </c>
      <c r="AM51" s="80" t="s">
        <v>1489</v>
      </c>
      <c r="AP51" s="73"/>
      <c r="AQ51" s="73"/>
      <c r="AR51" s="73"/>
      <c r="AS51" s="73"/>
      <c r="AT51" s="73"/>
      <c r="AU51" s="73"/>
      <c r="BG51" s="171" t="s">
        <v>1800</v>
      </c>
      <c r="BH51" s="120" t="s">
        <v>1960</v>
      </c>
      <c r="BI51" s="120" t="s">
        <v>1861</v>
      </c>
      <c r="BJ51" s="1" t="s">
        <v>78</v>
      </c>
      <c r="BK51" s="108" t="s">
        <v>1501</v>
      </c>
      <c r="BL51" s="110" t="s">
        <v>1992</v>
      </c>
      <c r="BM51" s="1" t="s">
        <v>1488</v>
      </c>
      <c r="BN51" s="1" t="s">
        <v>1489</v>
      </c>
    </row>
    <row r="52" spans="1:68">
      <c r="A52" s="29"/>
      <c r="B52" s="29"/>
      <c r="C52" s="29"/>
      <c r="D52" s="32"/>
      <c r="E52" s="23"/>
      <c r="G52" s="33" t="s">
        <v>639</v>
      </c>
      <c r="H52" s="33" t="s">
        <v>640</v>
      </c>
      <c r="I52" s="33" t="s">
        <v>628</v>
      </c>
      <c r="J52" s="33" t="s">
        <v>641</v>
      </c>
      <c r="L52" s="12" t="s">
        <v>1277</v>
      </c>
      <c r="M52" s="12" t="s">
        <v>100</v>
      </c>
      <c r="N52" s="12">
        <v>100760</v>
      </c>
      <c r="O52" s="12" t="s">
        <v>1360</v>
      </c>
      <c r="P52" s="12" t="s">
        <v>1363</v>
      </c>
      <c r="Q52" s="12"/>
      <c r="S52" s="12" t="s">
        <v>451</v>
      </c>
      <c r="T52" s="12" t="s">
        <v>451</v>
      </c>
      <c r="U52" s="12" t="s">
        <v>452</v>
      </c>
      <c r="V52" s="8" t="s">
        <v>970</v>
      </c>
      <c r="W52" s="8" t="s">
        <v>973</v>
      </c>
      <c r="AC52" s="214" t="s">
        <v>1738</v>
      </c>
      <c r="AD52" s="88" t="s">
        <v>1435</v>
      </c>
      <c r="AE52" s="88" t="s">
        <v>1434</v>
      </c>
      <c r="AJ52" s="80" t="s">
        <v>1502</v>
      </c>
      <c r="AK52" s="80" t="s">
        <v>1503</v>
      </c>
      <c r="AL52" s="80" t="s">
        <v>1488</v>
      </c>
      <c r="AM52" s="80" t="s">
        <v>1489</v>
      </c>
      <c r="AP52" s="73"/>
      <c r="AQ52" s="73"/>
      <c r="AR52" s="73"/>
      <c r="AS52" s="73"/>
      <c r="AT52" s="73"/>
      <c r="AU52" s="73"/>
      <c r="BG52" s="171" t="s">
        <v>1800</v>
      </c>
      <c r="BH52" s="120" t="s">
        <v>1961</v>
      </c>
      <c r="BI52" s="120" t="s">
        <v>1862</v>
      </c>
      <c r="BJ52" s="1" t="s">
        <v>84</v>
      </c>
      <c r="BK52" s="108" t="s">
        <v>83</v>
      </c>
      <c r="BL52" s="110" t="s">
        <v>1992</v>
      </c>
      <c r="BM52" s="1" t="s">
        <v>1488</v>
      </c>
      <c r="BN52" s="1" t="s">
        <v>1489</v>
      </c>
    </row>
    <row r="53" spans="1:68">
      <c r="A53" s="29"/>
      <c r="B53" s="29"/>
      <c r="C53" s="29"/>
      <c r="D53" s="32"/>
      <c r="E53" s="23"/>
      <c r="G53" s="33" t="s">
        <v>642</v>
      </c>
      <c r="H53" s="33" t="s">
        <v>18</v>
      </c>
      <c r="I53" s="33" t="s">
        <v>643</v>
      </c>
      <c r="J53" s="33" t="s">
        <v>598</v>
      </c>
      <c r="L53" s="12" t="s">
        <v>1278</v>
      </c>
      <c r="M53" s="12" t="s">
        <v>748</v>
      </c>
      <c r="N53" s="12">
        <v>100760</v>
      </c>
      <c r="O53" s="12" t="s">
        <v>1360</v>
      </c>
      <c r="P53" s="12" t="s">
        <v>1364</v>
      </c>
      <c r="Q53" s="12"/>
      <c r="S53" s="12" t="s">
        <v>429</v>
      </c>
      <c r="T53" s="12" t="s">
        <v>429</v>
      </c>
      <c r="U53" s="12" t="s">
        <v>430</v>
      </c>
      <c r="V53" s="8" t="s">
        <v>1092</v>
      </c>
      <c r="W53" s="8" t="s">
        <v>1093</v>
      </c>
      <c r="AC53" s="214"/>
      <c r="AD53" s="8" t="s">
        <v>1441</v>
      </c>
      <c r="AE53" s="8" t="s">
        <v>1440</v>
      </c>
      <c r="AJ53" s="80" t="s">
        <v>1504</v>
      </c>
      <c r="AK53" s="80" t="s">
        <v>1505</v>
      </c>
      <c r="AL53" s="80" t="s">
        <v>1488</v>
      </c>
      <c r="AM53" s="80" t="s">
        <v>1489</v>
      </c>
      <c r="AP53" s="73"/>
      <c r="AQ53" s="73"/>
      <c r="AR53" s="73"/>
      <c r="AS53" s="73"/>
      <c r="AT53" s="73"/>
      <c r="AU53" s="73"/>
      <c r="BG53" s="171" t="s">
        <v>1800</v>
      </c>
      <c r="BH53" s="120" t="s">
        <v>1962</v>
      </c>
      <c r="BI53" s="120" t="s">
        <v>1863</v>
      </c>
      <c r="BJ53" s="1" t="s">
        <v>1503</v>
      </c>
      <c r="BK53" s="108" t="s">
        <v>1502</v>
      </c>
      <c r="BL53" s="110" t="s">
        <v>1992</v>
      </c>
      <c r="BM53" s="1" t="s">
        <v>1488</v>
      </c>
      <c r="BN53" s="1" t="s">
        <v>1489</v>
      </c>
    </row>
    <row r="54" spans="1:68">
      <c r="A54" s="29"/>
      <c r="B54" s="29"/>
      <c r="C54" s="29"/>
      <c r="D54" s="32"/>
      <c r="E54" s="23"/>
      <c r="G54" s="33" t="s">
        <v>150</v>
      </c>
      <c r="H54" s="33" t="s">
        <v>19</v>
      </c>
      <c r="I54" s="33" t="s">
        <v>644</v>
      </c>
      <c r="J54" s="33" t="s">
        <v>598</v>
      </c>
      <c r="L54" s="12" t="s">
        <v>1279</v>
      </c>
      <c r="M54" s="12" t="s">
        <v>503</v>
      </c>
      <c r="N54" s="12">
        <v>100760</v>
      </c>
      <c r="O54" s="12" t="s">
        <v>1360</v>
      </c>
      <c r="P54" s="12" t="s">
        <v>1365</v>
      </c>
      <c r="Q54" s="12"/>
      <c r="S54" s="12" t="s">
        <v>252</v>
      </c>
      <c r="T54" s="12" t="s">
        <v>1004</v>
      </c>
      <c r="U54" s="12" t="s">
        <v>251</v>
      </c>
      <c r="V54" s="8" t="s">
        <v>1094</v>
      </c>
      <c r="W54" s="8" t="s">
        <v>1095</v>
      </c>
      <c r="AC54" s="214"/>
      <c r="AD54" s="8" t="s">
        <v>1444</v>
      </c>
      <c r="AE54" s="8" t="s">
        <v>1443</v>
      </c>
      <c r="AJ54" s="80" t="s">
        <v>1506</v>
      </c>
      <c r="AK54" s="80" t="s">
        <v>1507</v>
      </c>
      <c r="AL54" s="80" t="s">
        <v>1488</v>
      </c>
      <c r="AM54" s="80" t="s">
        <v>1489</v>
      </c>
      <c r="AP54" s="73"/>
      <c r="AQ54" s="73"/>
      <c r="AR54" s="73"/>
      <c r="AS54" s="73"/>
      <c r="AT54" s="73"/>
      <c r="AU54" s="73"/>
      <c r="BG54" s="171" t="s">
        <v>1816</v>
      </c>
      <c r="BH54" s="120" t="s">
        <v>1963</v>
      </c>
      <c r="BI54" s="120" t="s">
        <v>1864</v>
      </c>
      <c r="BJ54" s="1" t="s">
        <v>1505</v>
      </c>
      <c r="BK54" s="108" t="s">
        <v>1504</v>
      </c>
      <c r="BL54" s="110" t="s">
        <v>1992</v>
      </c>
      <c r="BM54" s="1" t="s">
        <v>1488</v>
      </c>
      <c r="BN54" s="1" t="s">
        <v>1489</v>
      </c>
    </row>
    <row r="55" spans="1:68">
      <c r="A55" s="29"/>
      <c r="B55" s="29"/>
      <c r="C55" s="29"/>
      <c r="D55" s="32"/>
      <c r="E55" s="23"/>
      <c r="G55" s="33" t="s">
        <v>645</v>
      </c>
      <c r="H55" s="33" t="s">
        <v>20</v>
      </c>
      <c r="I55" s="33" t="s">
        <v>646</v>
      </c>
      <c r="J55" s="33" t="s">
        <v>647</v>
      </c>
      <c r="L55" s="12" t="s">
        <v>1280</v>
      </c>
      <c r="M55" s="12" t="s">
        <v>504</v>
      </c>
      <c r="N55" s="12">
        <v>100760</v>
      </c>
      <c r="O55" s="12" t="s">
        <v>1360</v>
      </c>
      <c r="P55" s="12" t="s">
        <v>1366</v>
      </c>
      <c r="Q55" s="12"/>
      <c r="S55" s="12" t="s">
        <v>216</v>
      </c>
      <c r="T55" s="12"/>
      <c r="U55" s="12" t="s">
        <v>215</v>
      </c>
      <c r="V55" s="8" t="s">
        <v>1096</v>
      </c>
      <c r="W55" s="8" t="s">
        <v>1097</v>
      </c>
      <c r="AC55" s="214"/>
      <c r="AD55" s="8" t="s">
        <v>1450</v>
      </c>
      <c r="AE55" s="8" t="s">
        <v>1449</v>
      </c>
      <c r="AJ55" s="80" t="s">
        <v>1508</v>
      </c>
      <c r="AK55" s="80" t="s">
        <v>1509</v>
      </c>
      <c r="AL55" s="80" t="s">
        <v>1488</v>
      </c>
      <c r="AM55" s="80" t="s">
        <v>1489</v>
      </c>
      <c r="AP55" s="73"/>
      <c r="AQ55" s="73"/>
      <c r="AR55" s="73"/>
      <c r="AS55" s="73"/>
      <c r="AT55" s="73"/>
      <c r="AU55" s="73"/>
      <c r="BG55" s="171" t="s">
        <v>1816</v>
      </c>
      <c r="BH55" s="120" t="s">
        <v>1964</v>
      </c>
      <c r="BI55" s="120" t="s">
        <v>1865</v>
      </c>
      <c r="BJ55" s="1" t="s">
        <v>1507</v>
      </c>
      <c r="BK55" s="108" t="s">
        <v>1506</v>
      </c>
      <c r="BL55" s="110" t="s">
        <v>1992</v>
      </c>
      <c r="BM55" s="1" t="s">
        <v>1488</v>
      </c>
      <c r="BN55" s="1" t="s">
        <v>1489</v>
      </c>
    </row>
    <row r="56" spans="1:68">
      <c r="A56" s="29"/>
      <c r="B56" s="29"/>
      <c r="C56" s="29"/>
      <c r="D56" s="32"/>
      <c r="E56" s="23"/>
      <c r="G56" s="33" t="s">
        <v>648</v>
      </c>
      <c r="H56" s="33" t="s">
        <v>21</v>
      </c>
      <c r="I56" s="33" t="s">
        <v>649</v>
      </c>
      <c r="J56" s="33" t="s">
        <v>650</v>
      </c>
      <c r="L56" s="12" t="s">
        <v>1281</v>
      </c>
      <c r="M56" s="12" t="s">
        <v>749</v>
      </c>
      <c r="N56" s="12">
        <v>100760</v>
      </c>
      <c r="O56" s="12" t="s">
        <v>1360</v>
      </c>
      <c r="P56" s="12" t="s">
        <v>1367</v>
      </c>
      <c r="Q56" s="12"/>
      <c r="S56" s="12" t="s">
        <v>177</v>
      </c>
      <c r="T56" s="12"/>
      <c r="U56" s="12" t="s">
        <v>176</v>
      </c>
      <c r="V56" s="8" t="s">
        <v>1098</v>
      </c>
      <c r="W56" s="8" t="s">
        <v>1099</v>
      </c>
      <c r="AC56" s="214"/>
      <c r="AD56" s="8" t="s">
        <v>75</v>
      </c>
      <c r="AE56" s="8" t="s">
        <v>74</v>
      </c>
      <c r="AJ56" s="80" t="s">
        <v>1510</v>
      </c>
      <c r="AK56" s="80" t="s">
        <v>1511</v>
      </c>
      <c r="AL56" s="80" t="s">
        <v>1488</v>
      </c>
      <c r="AM56" s="80" t="s">
        <v>1489</v>
      </c>
      <c r="AP56" s="73"/>
      <c r="AQ56" s="73"/>
      <c r="AR56" s="73"/>
      <c r="AS56" s="73"/>
      <c r="AT56" s="73"/>
      <c r="AU56" s="73"/>
      <c r="BG56" s="171" t="s">
        <v>1816</v>
      </c>
      <c r="BH56" s="120" t="s">
        <v>1965</v>
      </c>
      <c r="BI56" s="120" t="s">
        <v>1866</v>
      </c>
      <c r="BJ56" s="1" t="s">
        <v>1509</v>
      </c>
      <c r="BK56" s="108" t="s">
        <v>1508</v>
      </c>
      <c r="BL56" s="110" t="s">
        <v>1992</v>
      </c>
      <c r="BM56" s="1" t="s">
        <v>1488</v>
      </c>
      <c r="BN56" s="1" t="s">
        <v>1489</v>
      </c>
    </row>
    <row r="57" spans="1:68">
      <c r="A57" s="29"/>
      <c r="B57" s="29"/>
      <c r="C57" s="29"/>
      <c r="D57" s="32"/>
      <c r="E57" s="23"/>
      <c r="G57" s="33" t="s">
        <v>293</v>
      </c>
      <c r="H57" s="33" t="s">
        <v>292</v>
      </c>
      <c r="I57" s="33" t="s">
        <v>294</v>
      </c>
      <c r="J57" s="33" t="s">
        <v>598</v>
      </c>
      <c r="L57" s="12" t="s">
        <v>1282</v>
      </c>
      <c r="M57" s="12" t="s">
        <v>505</v>
      </c>
      <c r="N57" s="12">
        <v>100760</v>
      </c>
      <c r="O57" s="12" t="s">
        <v>1360</v>
      </c>
      <c r="P57" s="12" t="s">
        <v>1368</v>
      </c>
      <c r="Q57" s="12"/>
      <c r="S57" s="12" t="s">
        <v>202</v>
      </c>
      <c r="T57" s="12" t="s">
        <v>1006</v>
      </c>
      <c r="U57" s="12" t="s">
        <v>201</v>
      </c>
      <c r="V57" s="8" t="s">
        <v>1100</v>
      </c>
      <c r="W57" s="8" t="s">
        <v>1101</v>
      </c>
      <c r="AC57" s="214"/>
      <c r="AD57" s="8" t="s">
        <v>1452</v>
      </c>
      <c r="AE57" s="8" t="s">
        <v>1451</v>
      </c>
      <c r="AJ57" s="80" t="s">
        <v>1415</v>
      </c>
      <c r="AK57" s="80" t="s">
        <v>1512</v>
      </c>
      <c r="AL57" s="80" t="s">
        <v>1488</v>
      </c>
      <c r="AM57" s="80" t="s">
        <v>1489</v>
      </c>
      <c r="AP57" s="73"/>
      <c r="AQ57" s="73"/>
      <c r="AR57" s="73"/>
      <c r="AS57" s="73"/>
      <c r="AT57" s="73"/>
      <c r="AU57" s="73"/>
      <c r="BG57" s="171" t="s">
        <v>1816</v>
      </c>
      <c r="BH57" s="120" t="s">
        <v>1966</v>
      </c>
      <c r="BI57" s="120" t="s">
        <v>1867</v>
      </c>
      <c r="BJ57" s="1" t="s">
        <v>1511</v>
      </c>
      <c r="BK57" s="108" t="s">
        <v>1510</v>
      </c>
      <c r="BL57" s="110" t="s">
        <v>1992</v>
      </c>
      <c r="BM57" s="1" t="s">
        <v>1488</v>
      </c>
      <c r="BN57" s="1" t="s">
        <v>1489</v>
      </c>
      <c r="BP57" s="1" t="s">
        <v>1837</v>
      </c>
    </row>
    <row r="58" spans="1:68">
      <c r="A58" s="29"/>
      <c r="B58" s="29"/>
      <c r="C58" s="29"/>
      <c r="D58" s="32"/>
      <c r="E58" s="23"/>
      <c r="G58" s="33" t="s">
        <v>651</v>
      </c>
      <c r="H58" s="33" t="s">
        <v>295</v>
      </c>
      <c r="I58" s="33" t="s">
        <v>296</v>
      </c>
      <c r="J58" s="33" t="s">
        <v>651</v>
      </c>
      <c r="L58" s="12" t="s">
        <v>1283</v>
      </c>
      <c r="M58" s="12" t="s">
        <v>750</v>
      </c>
      <c r="N58" s="12">
        <v>100760</v>
      </c>
      <c r="O58" s="12" t="s">
        <v>1360</v>
      </c>
      <c r="P58" s="12" t="s">
        <v>1369</v>
      </c>
      <c r="Q58" s="12"/>
      <c r="S58" s="12" t="s">
        <v>265</v>
      </c>
      <c r="T58" s="12" t="s">
        <v>1005</v>
      </c>
      <c r="U58" s="12" t="s">
        <v>210</v>
      </c>
      <c r="V58" s="8" t="s">
        <v>960</v>
      </c>
      <c r="W58" s="8" t="s">
        <v>965</v>
      </c>
      <c r="AC58" s="214"/>
      <c r="AD58" s="8" t="s">
        <v>1454</v>
      </c>
      <c r="AE58" s="8" t="s">
        <v>1453</v>
      </c>
      <c r="AJ58" s="80" t="s">
        <v>1513</v>
      </c>
      <c r="AK58" s="80" t="s">
        <v>1514</v>
      </c>
      <c r="AL58" s="80" t="s">
        <v>1488</v>
      </c>
      <c r="AM58" s="80" t="s">
        <v>1489</v>
      </c>
      <c r="AP58" s="73"/>
      <c r="AQ58" s="73"/>
      <c r="AR58" s="73"/>
      <c r="AS58" s="73"/>
      <c r="AT58" s="73"/>
      <c r="AU58" s="73"/>
      <c r="BJ58" s="114" t="s">
        <v>1512</v>
      </c>
      <c r="BK58" s="113" t="s">
        <v>1415</v>
      </c>
      <c r="BL58" s="114"/>
      <c r="BM58" s="114" t="s">
        <v>1488</v>
      </c>
      <c r="BN58" s="114" t="s">
        <v>1489</v>
      </c>
      <c r="BO58" s="116" t="s">
        <v>1839</v>
      </c>
    </row>
    <row r="59" spans="1:68">
      <c r="A59" s="29"/>
      <c r="B59" s="29"/>
      <c r="C59" s="29"/>
      <c r="D59" s="32"/>
      <c r="E59" s="23"/>
      <c r="G59" s="33" t="s">
        <v>652</v>
      </c>
      <c r="H59" s="33" t="s">
        <v>653</v>
      </c>
      <c r="I59" s="33" t="s">
        <v>297</v>
      </c>
      <c r="J59" s="33" t="s">
        <v>652</v>
      </c>
      <c r="L59" s="12" t="s">
        <v>1284</v>
      </c>
      <c r="M59" s="12" t="s">
        <v>507</v>
      </c>
      <c r="N59" s="12">
        <v>100760</v>
      </c>
      <c r="O59" s="12" t="s">
        <v>1360</v>
      </c>
      <c r="P59" s="12" t="s">
        <v>1370</v>
      </c>
      <c r="Q59" s="12"/>
      <c r="S59" s="12" t="s">
        <v>832</v>
      </c>
      <c r="T59" s="12"/>
      <c r="U59" s="12" t="s">
        <v>160</v>
      </c>
      <c r="V59" s="8" t="s">
        <v>949</v>
      </c>
      <c r="W59" s="8" t="s">
        <v>101</v>
      </c>
      <c r="AC59" s="214"/>
      <c r="AD59" s="8" t="s">
        <v>1455</v>
      </c>
      <c r="AE59" s="8" t="s">
        <v>68</v>
      </c>
      <c r="AJ59" s="80" t="s">
        <v>1515</v>
      </c>
      <c r="AK59" s="80" t="s">
        <v>1516</v>
      </c>
      <c r="AL59" s="80" t="s">
        <v>1488</v>
      </c>
      <c r="AM59" s="80" t="s">
        <v>1489</v>
      </c>
      <c r="AP59" s="73"/>
      <c r="AQ59" s="73"/>
      <c r="AR59" s="73"/>
      <c r="AS59" s="73"/>
      <c r="AT59" s="73"/>
      <c r="AU59" s="73"/>
      <c r="BJ59" s="114" t="s">
        <v>1514</v>
      </c>
      <c r="BK59" s="113" t="s">
        <v>1513</v>
      </c>
      <c r="BL59" s="114"/>
      <c r="BM59" s="114" t="s">
        <v>1488</v>
      </c>
      <c r="BN59" s="114" t="s">
        <v>1489</v>
      </c>
      <c r="BO59" s="116" t="s">
        <v>1839</v>
      </c>
    </row>
    <row r="60" spans="1:68">
      <c r="A60" s="29"/>
      <c r="B60" s="29"/>
      <c r="C60" s="29"/>
      <c r="D60" s="32"/>
      <c r="E60" s="23"/>
      <c r="G60" s="33" t="s">
        <v>299</v>
      </c>
      <c r="H60" s="33" t="s">
        <v>298</v>
      </c>
      <c r="I60" s="37" t="s">
        <v>300</v>
      </c>
      <c r="J60" s="33" t="s">
        <v>598</v>
      </c>
      <c r="L60" s="12" t="s">
        <v>1285</v>
      </c>
      <c r="M60" s="12" t="s">
        <v>507</v>
      </c>
      <c r="N60" s="12">
        <v>100760</v>
      </c>
      <c r="O60" s="12" t="s">
        <v>1360</v>
      </c>
      <c r="P60" s="12" t="s">
        <v>1370</v>
      </c>
      <c r="Q60" s="12"/>
      <c r="S60" s="12" t="s">
        <v>266</v>
      </c>
      <c r="T60" s="12"/>
      <c r="U60" s="12" t="s">
        <v>219</v>
      </c>
      <c r="V60" s="8" t="s">
        <v>1102</v>
      </c>
      <c r="W60" s="8" t="s">
        <v>780</v>
      </c>
      <c r="AC60" s="214"/>
      <c r="AD60" s="8" t="s">
        <v>1456</v>
      </c>
      <c r="AE60" s="8" t="s">
        <v>70</v>
      </c>
      <c r="AJ60" s="80" t="s">
        <v>1517</v>
      </c>
      <c r="AK60" s="80" t="s">
        <v>1518</v>
      </c>
      <c r="AL60" s="80" t="s">
        <v>1488</v>
      </c>
      <c r="AM60" s="80" t="s">
        <v>1489</v>
      </c>
      <c r="AP60" s="73"/>
      <c r="AQ60" s="73"/>
      <c r="AR60" s="73"/>
      <c r="AS60" s="73"/>
      <c r="AT60" s="73"/>
      <c r="AU60" s="73"/>
      <c r="BG60" s="171" t="s">
        <v>1816</v>
      </c>
      <c r="BH60" s="120" t="s">
        <v>1967</v>
      </c>
      <c r="BI60" s="120" t="s">
        <v>1868</v>
      </c>
      <c r="BJ60" s="1" t="s">
        <v>1516</v>
      </c>
      <c r="BK60" s="108" t="s">
        <v>1515</v>
      </c>
      <c r="BL60" s="110" t="s">
        <v>1992</v>
      </c>
      <c r="BM60" s="1" t="s">
        <v>1488</v>
      </c>
      <c r="BN60" s="1" t="s">
        <v>1489</v>
      </c>
      <c r="BP60" s="1" t="s">
        <v>1837</v>
      </c>
    </row>
    <row r="61" spans="1:68">
      <c r="A61" s="29"/>
      <c r="B61" s="29"/>
      <c r="C61" s="29"/>
      <c r="D61" s="32"/>
      <c r="E61" s="23"/>
      <c r="G61" s="33" t="s">
        <v>301</v>
      </c>
      <c r="H61" s="38" t="s">
        <v>654</v>
      </c>
      <c r="I61" s="33" t="s">
        <v>349</v>
      </c>
      <c r="J61" s="39" t="s">
        <v>598</v>
      </c>
      <c r="L61" s="12" t="s">
        <v>1286</v>
      </c>
      <c r="M61" s="12" t="s">
        <v>751</v>
      </c>
      <c r="N61" s="12">
        <v>100760</v>
      </c>
      <c r="O61" s="12" t="s">
        <v>1360</v>
      </c>
      <c r="P61" s="12" t="s">
        <v>1371</v>
      </c>
      <c r="Q61" s="12"/>
      <c r="S61" s="12" t="s">
        <v>833</v>
      </c>
      <c r="T61" s="12"/>
      <c r="U61" s="12" t="s">
        <v>220</v>
      </c>
      <c r="V61" s="8" t="s">
        <v>963</v>
      </c>
      <c r="W61" s="8" t="s">
        <v>109</v>
      </c>
      <c r="AC61" s="214"/>
      <c r="AD61" s="8" t="s">
        <v>1457</v>
      </c>
      <c r="AE61" s="8" t="s">
        <v>58</v>
      </c>
      <c r="AJ61" s="80" t="s">
        <v>1519</v>
      </c>
      <c r="AK61" s="80" t="s">
        <v>1520</v>
      </c>
      <c r="AL61" s="80" t="s">
        <v>1488</v>
      </c>
      <c r="AM61" s="80" t="s">
        <v>1489</v>
      </c>
      <c r="AP61" s="73"/>
      <c r="AQ61" s="73"/>
      <c r="AR61" s="73"/>
      <c r="AS61" s="73"/>
      <c r="AT61" s="73"/>
      <c r="AU61" s="73"/>
      <c r="BG61" s="171" t="s">
        <v>1816</v>
      </c>
      <c r="BH61" s="120" t="s">
        <v>1968</v>
      </c>
      <c r="BI61" s="120" t="s">
        <v>1869</v>
      </c>
      <c r="BJ61" s="109" t="s">
        <v>1870</v>
      </c>
      <c r="BK61" s="108" t="s">
        <v>1517</v>
      </c>
      <c r="BL61" s="110" t="s">
        <v>1992</v>
      </c>
      <c r="BM61" s="1" t="s">
        <v>1488</v>
      </c>
      <c r="BN61" s="1" t="s">
        <v>1489</v>
      </c>
    </row>
    <row r="62" spans="1:68">
      <c r="A62" s="29"/>
      <c r="B62" s="29"/>
      <c r="C62" s="29"/>
      <c r="D62" s="32"/>
      <c r="E62" s="23"/>
      <c r="G62" s="37" t="s">
        <v>655</v>
      </c>
      <c r="H62" s="40" t="s">
        <v>656</v>
      </c>
      <c r="I62" s="33" t="s">
        <v>657</v>
      </c>
      <c r="J62" s="39" t="s">
        <v>598</v>
      </c>
      <c r="L62" s="12" t="s">
        <v>1287</v>
      </c>
      <c r="M62" s="12" t="s">
        <v>752</v>
      </c>
      <c r="N62" s="12">
        <v>100760</v>
      </c>
      <c r="O62" s="12" t="s">
        <v>1360</v>
      </c>
      <c r="P62" s="12" t="s">
        <v>1372</v>
      </c>
      <c r="Q62" s="12"/>
      <c r="S62" s="12" t="s">
        <v>245</v>
      </c>
      <c r="T62" s="12"/>
      <c r="U62" s="12" t="s">
        <v>244</v>
      </c>
      <c r="V62" s="8" t="s">
        <v>1103</v>
      </c>
      <c r="W62" s="8" t="s">
        <v>787</v>
      </c>
      <c r="AC62" s="214"/>
      <c r="AD62" s="8" t="s">
        <v>1458</v>
      </c>
      <c r="AE62" s="8" t="s">
        <v>55</v>
      </c>
      <c r="AJ62" s="80" t="s">
        <v>87</v>
      </c>
      <c r="AK62" s="80" t="s">
        <v>88</v>
      </c>
      <c r="AL62" s="81" t="s">
        <v>1521</v>
      </c>
      <c r="AM62" s="80" t="s">
        <v>1522</v>
      </c>
      <c r="BG62" s="171" t="s">
        <v>1816</v>
      </c>
      <c r="BH62" s="120" t="s">
        <v>1894</v>
      </c>
      <c r="BI62" s="120" t="s">
        <v>1871</v>
      </c>
      <c r="BJ62" s="1" t="s">
        <v>1520</v>
      </c>
      <c r="BK62" s="108" t="s">
        <v>1519</v>
      </c>
      <c r="BL62" s="110" t="s">
        <v>1992</v>
      </c>
      <c r="BM62" s="1" t="s">
        <v>1488</v>
      </c>
      <c r="BN62" s="1" t="s">
        <v>1489</v>
      </c>
    </row>
    <row r="63" spans="1:68">
      <c r="A63" s="29"/>
      <c r="B63" s="29"/>
      <c r="C63" s="29"/>
      <c r="D63" s="32"/>
      <c r="E63" s="23"/>
      <c r="G63" s="33" t="s">
        <v>658</v>
      </c>
      <c r="H63" s="38" t="s">
        <v>1309</v>
      </c>
      <c r="I63" s="33" t="s">
        <v>659</v>
      </c>
      <c r="J63" s="39" t="s">
        <v>598</v>
      </c>
      <c r="L63" s="12" t="s">
        <v>1288</v>
      </c>
      <c r="M63" s="12" t="s">
        <v>753</v>
      </c>
      <c r="N63" s="12">
        <v>100760</v>
      </c>
      <c r="O63" s="12" t="s">
        <v>1360</v>
      </c>
      <c r="P63" s="12" t="s">
        <v>1288</v>
      </c>
      <c r="Q63" s="12"/>
      <c r="S63" s="12" t="s">
        <v>222</v>
      </c>
      <c r="T63" s="12"/>
      <c r="U63" s="12" t="s">
        <v>221</v>
      </c>
      <c r="V63" s="8" t="s">
        <v>959</v>
      </c>
      <c r="W63" s="8" t="s">
        <v>102</v>
      </c>
      <c r="AC63" s="214"/>
      <c r="AD63" s="8" t="s">
        <v>1459</v>
      </c>
      <c r="AE63" s="8" t="s">
        <v>82</v>
      </c>
      <c r="AJ63" s="80" t="s">
        <v>89</v>
      </c>
      <c r="AK63" s="80" t="s">
        <v>90</v>
      </c>
      <c r="AL63" s="80" t="s">
        <v>1523</v>
      </c>
      <c r="AM63" s="80" t="s">
        <v>1522</v>
      </c>
      <c r="BG63" s="171" t="s">
        <v>1800</v>
      </c>
      <c r="BH63" s="120" t="s">
        <v>1969</v>
      </c>
      <c r="BI63" s="120" t="s">
        <v>1872</v>
      </c>
      <c r="BJ63" s="1" t="s">
        <v>88</v>
      </c>
      <c r="BK63" s="108" t="s">
        <v>87</v>
      </c>
      <c r="BL63" s="110" t="s">
        <v>328</v>
      </c>
      <c r="BM63" s="110" t="s">
        <v>1521</v>
      </c>
      <c r="BN63" s="1" t="s">
        <v>1522</v>
      </c>
    </row>
    <row r="64" spans="1:68">
      <c r="A64" s="29"/>
      <c r="B64" s="29"/>
      <c r="C64" s="29"/>
      <c r="D64" s="32"/>
      <c r="E64" s="23"/>
      <c r="G64" s="33" t="s">
        <v>660</v>
      </c>
      <c r="H64" s="38" t="s">
        <v>302</v>
      </c>
      <c r="I64" s="33" t="s">
        <v>661</v>
      </c>
      <c r="J64" s="39" t="s">
        <v>598</v>
      </c>
      <c r="L64" s="12" t="s">
        <v>1289</v>
      </c>
      <c r="M64" s="12" t="s">
        <v>506</v>
      </c>
      <c r="N64" s="12">
        <v>100760</v>
      </c>
      <c r="O64" s="12" t="s">
        <v>1360</v>
      </c>
      <c r="P64" s="12" t="s">
        <v>1289</v>
      </c>
      <c r="Q64" s="12"/>
      <c r="S64" s="12" t="s">
        <v>816</v>
      </c>
      <c r="T64" s="12" t="s">
        <v>416</v>
      </c>
      <c r="U64" s="12" t="s">
        <v>417</v>
      </c>
      <c r="V64" s="8" t="s">
        <v>1104</v>
      </c>
      <c r="W64" s="8" t="s">
        <v>1105</v>
      </c>
      <c r="AC64" s="214"/>
      <c r="AD64" s="8" t="s">
        <v>1460</v>
      </c>
      <c r="AE64" s="8" t="s">
        <v>79</v>
      </c>
      <c r="AJ64" s="80" t="s">
        <v>91</v>
      </c>
      <c r="AK64" s="80" t="s">
        <v>1524</v>
      </c>
      <c r="AL64" s="80" t="s">
        <v>1523</v>
      </c>
      <c r="AM64" s="80" t="s">
        <v>1522</v>
      </c>
      <c r="BG64" s="171" t="s">
        <v>1800</v>
      </c>
      <c r="BH64" s="120" t="s">
        <v>1970</v>
      </c>
      <c r="BI64" s="120" t="s">
        <v>1873</v>
      </c>
      <c r="BJ64" s="1" t="s">
        <v>90</v>
      </c>
      <c r="BK64" s="108" t="s">
        <v>89</v>
      </c>
      <c r="BL64" s="110" t="s">
        <v>328</v>
      </c>
      <c r="BM64" s="1" t="s">
        <v>1523</v>
      </c>
      <c r="BN64" s="1" t="s">
        <v>2520</v>
      </c>
    </row>
    <row r="65" spans="1:68">
      <c r="A65" s="29"/>
      <c r="B65" s="29"/>
      <c r="C65" s="29"/>
      <c r="D65" s="32"/>
      <c r="E65" s="23"/>
      <c r="G65" s="33" t="s">
        <v>304</v>
      </c>
      <c r="H65" s="38" t="s">
        <v>303</v>
      </c>
      <c r="I65" s="33" t="s">
        <v>305</v>
      </c>
      <c r="J65" s="41" t="s">
        <v>662</v>
      </c>
      <c r="L65" s="12" t="s">
        <v>1290</v>
      </c>
      <c r="M65" s="12" t="s">
        <v>499</v>
      </c>
      <c r="N65" s="12">
        <v>100760</v>
      </c>
      <c r="O65" s="12" t="s">
        <v>1360</v>
      </c>
      <c r="P65" s="12" t="s">
        <v>1373</v>
      </c>
      <c r="Q65" s="12"/>
      <c r="S65" s="12" t="s">
        <v>264</v>
      </c>
      <c r="T65" s="12"/>
      <c r="U65" s="12" t="s">
        <v>209</v>
      </c>
      <c r="V65" s="8" t="s">
        <v>1106</v>
      </c>
      <c r="W65" s="8" t="s">
        <v>1107</v>
      </c>
      <c r="AC65" s="214"/>
      <c r="AD65" s="8" t="s">
        <v>1461</v>
      </c>
      <c r="AE65" s="8" t="s">
        <v>63</v>
      </c>
      <c r="AJ65" s="80" t="s">
        <v>328</v>
      </c>
      <c r="AK65" s="80" t="s">
        <v>1525</v>
      </c>
      <c r="AL65" s="80" t="s">
        <v>1523</v>
      </c>
      <c r="AM65" s="81" t="s">
        <v>1522</v>
      </c>
      <c r="BG65" s="171" t="s">
        <v>1800</v>
      </c>
      <c r="BH65" s="120" t="s">
        <v>1971</v>
      </c>
      <c r="BI65" s="120" t="s">
        <v>1874</v>
      </c>
      <c r="BJ65" s="1" t="s">
        <v>1524</v>
      </c>
      <c r="BK65" s="108" t="s">
        <v>91</v>
      </c>
      <c r="BL65" s="110" t="s">
        <v>328</v>
      </c>
      <c r="BM65" s="1" t="s">
        <v>1523</v>
      </c>
      <c r="BN65" s="1" t="s">
        <v>1522</v>
      </c>
    </row>
    <row r="66" spans="1:68">
      <c r="A66" s="29"/>
      <c r="B66" s="29"/>
      <c r="C66" s="29"/>
      <c r="D66" s="32"/>
      <c r="E66" s="23"/>
      <c r="G66" s="33" t="s">
        <v>663</v>
      </c>
      <c r="H66" s="38" t="s">
        <v>664</v>
      </c>
      <c r="I66" s="33" t="s">
        <v>598</v>
      </c>
      <c r="J66" s="39" t="s">
        <v>598</v>
      </c>
      <c r="L66" s="12" t="s">
        <v>116</v>
      </c>
      <c r="M66" s="12" t="s">
        <v>499</v>
      </c>
      <c r="N66" s="12">
        <v>100760</v>
      </c>
      <c r="O66" s="12" t="s">
        <v>1360</v>
      </c>
      <c r="P66" s="12" t="s">
        <v>1373</v>
      </c>
      <c r="Q66" s="12"/>
      <c r="S66" s="12" t="s">
        <v>487</v>
      </c>
      <c r="T66" s="12"/>
      <c r="U66" s="12" t="s">
        <v>488</v>
      </c>
      <c r="V66" s="8" t="s">
        <v>983</v>
      </c>
      <c r="W66" s="8" t="s">
        <v>1108</v>
      </c>
      <c r="AC66" s="214"/>
      <c r="AD66" s="8" t="s">
        <v>72</v>
      </c>
      <c r="AE66" s="8" t="s">
        <v>71</v>
      </c>
      <c r="AJ66" s="80" t="s">
        <v>29</v>
      </c>
      <c r="AK66" s="80" t="s">
        <v>30</v>
      </c>
      <c r="AL66" s="81" t="s">
        <v>1526</v>
      </c>
      <c r="AM66" s="80" t="s">
        <v>1527</v>
      </c>
      <c r="BJ66" s="114" t="s">
        <v>1525</v>
      </c>
      <c r="BK66" s="113" t="s">
        <v>328</v>
      </c>
      <c r="BL66" s="114"/>
      <c r="BM66" s="114" t="s">
        <v>1523</v>
      </c>
      <c r="BN66" s="115" t="s">
        <v>1522</v>
      </c>
    </row>
    <row r="67" spans="1:68">
      <c r="A67" s="29"/>
      <c r="B67" s="29"/>
      <c r="C67" s="29"/>
      <c r="D67" s="32"/>
      <c r="E67" s="23"/>
      <c r="G67" s="33" t="s">
        <v>665</v>
      </c>
      <c r="H67" s="38" t="s">
        <v>666</v>
      </c>
      <c r="I67" s="33" t="s">
        <v>598</v>
      </c>
      <c r="J67" s="39" t="s">
        <v>598</v>
      </c>
      <c r="L67" s="12" t="s">
        <v>508</v>
      </c>
      <c r="M67" s="12" t="s">
        <v>117</v>
      </c>
      <c r="N67" s="12">
        <v>100760</v>
      </c>
      <c r="O67" s="12" t="s">
        <v>1374</v>
      </c>
      <c r="P67" s="12" t="s">
        <v>1375</v>
      </c>
      <c r="Q67" s="12"/>
      <c r="S67" s="12" t="s">
        <v>485</v>
      </c>
      <c r="T67" s="12"/>
      <c r="U67" s="12" t="s">
        <v>486</v>
      </c>
      <c r="V67" s="8" t="s">
        <v>1109</v>
      </c>
      <c r="W67" s="8" t="s">
        <v>1110</v>
      </c>
      <c r="AC67" s="214"/>
      <c r="AD67" s="8" t="s">
        <v>1462</v>
      </c>
      <c r="AE67" s="8" t="s">
        <v>77</v>
      </c>
      <c r="AJ67" s="80" t="s">
        <v>31</v>
      </c>
      <c r="AK67" s="80" t="s">
        <v>32</v>
      </c>
      <c r="AL67" s="80" t="s">
        <v>1528</v>
      </c>
      <c r="AM67" s="80" t="s">
        <v>1527</v>
      </c>
      <c r="BG67" s="171" t="s">
        <v>1800</v>
      </c>
      <c r="BH67" s="120" t="s">
        <v>1972</v>
      </c>
      <c r="BI67" s="120" t="s">
        <v>1875</v>
      </c>
      <c r="BJ67" s="1" t="s">
        <v>30</v>
      </c>
      <c r="BK67" s="108" t="s">
        <v>29</v>
      </c>
      <c r="BL67" s="110" t="s">
        <v>145</v>
      </c>
      <c r="BM67" s="110" t="s">
        <v>1526</v>
      </c>
      <c r="BN67" s="1" t="s">
        <v>2325</v>
      </c>
    </row>
    <row r="68" spans="1:68">
      <c r="A68" s="29"/>
      <c r="B68" s="29"/>
      <c r="C68" s="29"/>
      <c r="D68" s="32"/>
      <c r="E68" s="23"/>
      <c r="G68" s="33" t="s">
        <v>667</v>
      </c>
      <c r="H68" s="38" t="s">
        <v>668</v>
      </c>
      <c r="I68" s="33" t="s">
        <v>598</v>
      </c>
      <c r="J68" s="39" t="s">
        <v>598</v>
      </c>
      <c r="L68" s="12" t="s">
        <v>1291</v>
      </c>
      <c r="M68" s="12" t="s">
        <v>1306</v>
      </c>
      <c r="N68" s="12">
        <v>100760</v>
      </c>
      <c r="O68" s="12" t="s">
        <v>1374</v>
      </c>
      <c r="P68" s="12" t="s">
        <v>1376</v>
      </c>
      <c r="Q68" s="12"/>
      <c r="S68" s="12" t="s">
        <v>425</v>
      </c>
      <c r="T68" s="12"/>
      <c r="U68" s="12" t="s">
        <v>426</v>
      </c>
      <c r="V68" s="8" t="s">
        <v>1111</v>
      </c>
      <c r="W68" s="8" t="s">
        <v>1112</v>
      </c>
      <c r="AC68" s="214"/>
      <c r="AD68" s="8" t="s">
        <v>1464</v>
      </c>
      <c r="AE68" s="8" t="s">
        <v>1463</v>
      </c>
      <c r="AJ68" s="80" t="s">
        <v>35</v>
      </c>
      <c r="AK68" s="80" t="s">
        <v>36</v>
      </c>
      <c r="AL68" s="81" t="s">
        <v>1529</v>
      </c>
      <c r="AM68" s="80" t="s">
        <v>1530</v>
      </c>
      <c r="AP68" s="73"/>
      <c r="AQ68" s="73"/>
      <c r="AR68" s="73"/>
      <c r="AS68" s="73"/>
      <c r="AT68" s="73"/>
      <c r="AU68" s="73"/>
      <c r="BG68" s="171" t="s">
        <v>1800</v>
      </c>
      <c r="BH68" s="120" t="s">
        <v>1973</v>
      </c>
      <c r="BI68" s="120" t="s">
        <v>1876</v>
      </c>
      <c r="BJ68" s="1" t="s">
        <v>32</v>
      </c>
      <c r="BK68" s="108" t="s">
        <v>31</v>
      </c>
      <c r="BL68" s="110" t="s">
        <v>145</v>
      </c>
      <c r="BM68" s="1" t="s">
        <v>1528</v>
      </c>
      <c r="BN68" s="1" t="s">
        <v>1527</v>
      </c>
    </row>
    <row r="69" spans="1:68">
      <c r="A69" s="29"/>
      <c r="B69" s="29"/>
      <c r="C69" s="29"/>
      <c r="D69" s="32"/>
      <c r="E69" s="23"/>
      <c r="G69" s="33" t="s">
        <v>669</v>
      </c>
      <c r="H69" s="38" t="s">
        <v>670</v>
      </c>
      <c r="I69" s="33" t="s">
        <v>598</v>
      </c>
      <c r="J69" s="39" t="s">
        <v>598</v>
      </c>
      <c r="L69" s="12" t="s">
        <v>1292</v>
      </c>
      <c r="M69" s="12" t="s">
        <v>409</v>
      </c>
      <c r="N69" s="12">
        <v>100760</v>
      </c>
      <c r="O69" s="12" t="s">
        <v>1374</v>
      </c>
      <c r="P69" s="12" t="s">
        <v>1377</v>
      </c>
      <c r="Q69" s="12"/>
      <c r="S69" s="12" t="s">
        <v>489</v>
      </c>
      <c r="T69" s="12"/>
      <c r="U69" s="12" t="s">
        <v>490</v>
      </c>
      <c r="V69" s="8" t="s">
        <v>1113</v>
      </c>
      <c r="W69" s="8" t="s">
        <v>1114</v>
      </c>
      <c r="AC69" s="214"/>
      <c r="AD69" s="8" t="s">
        <v>1466</v>
      </c>
      <c r="AE69" s="8" t="s">
        <v>1465</v>
      </c>
      <c r="AJ69" s="80" t="s">
        <v>341</v>
      </c>
      <c r="AK69" s="80" t="s">
        <v>1531</v>
      </c>
      <c r="AL69" s="80" t="s">
        <v>1532</v>
      </c>
      <c r="AM69" s="80" t="s">
        <v>1530</v>
      </c>
      <c r="BG69" s="171" t="s">
        <v>1816</v>
      </c>
      <c r="BH69" s="120" t="s">
        <v>1974</v>
      </c>
      <c r="BI69" s="120" t="s">
        <v>35</v>
      </c>
      <c r="BJ69" s="1" t="s">
        <v>36</v>
      </c>
      <c r="BK69" s="108" t="s">
        <v>35</v>
      </c>
      <c r="BL69" s="110" t="s">
        <v>336</v>
      </c>
      <c r="BM69" s="110" t="s">
        <v>1529</v>
      </c>
      <c r="BN69" s="1" t="s">
        <v>1530</v>
      </c>
      <c r="BP69" s="1" t="s">
        <v>1837</v>
      </c>
    </row>
    <row r="70" spans="1:68">
      <c r="A70" s="29"/>
      <c r="B70" s="29"/>
      <c r="C70" s="29"/>
      <c r="D70" s="32"/>
      <c r="E70" s="23"/>
      <c r="G70" s="33" t="s">
        <v>672</v>
      </c>
      <c r="H70" s="38" t="s">
        <v>671</v>
      </c>
      <c r="I70" s="33" t="s">
        <v>598</v>
      </c>
      <c r="J70" s="39" t="s">
        <v>598</v>
      </c>
      <c r="L70" s="12" t="s">
        <v>155</v>
      </c>
      <c r="M70" s="12" t="s">
        <v>754</v>
      </c>
      <c r="N70" s="12">
        <v>100760</v>
      </c>
      <c r="O70" s="12" t="s">
        <v>1374</v>
      </c>
      <c r="P70" s="12" t="s">
        <v>1378</v>
      </c>
      <c r="Q70" s="12"/>
      <c r="S70" s="12" t="s">
        <v>492</v>
      </c>
      <c r="T70" s="12"/>
      <c r="U70" s="12" t="s">
        <v>491</v>
      </c>
      <c r="V70" s="8" t="s">
        <v>962</v>
      </c>
      <c r="W70" s="8" t="s">
        <v>967</v>
      </c>
      <c r="AC70" s="214"/>
      <c r="AD70" s="8" t="s">
        <v>1468</v>
      </c>
      <c r="AE70" s="8" t="s">
        <v>1467</v>
      </c>
      <c r="AJ70" s="80" t="s">
        <v>39</v>
      </c>
      <c r="AK70" s="80" t="s">
        <v>40</v>
      </c>
      <c r="AL70" s="80" t="s">
        <v>1532</v>
      </c>
      <c r="AM70" s="80" t="s">
        <v>1530</v>
      </c>
      <c r="BG70" s="171" t="s">
        <v>1800</v>
      </c>
      <c r="BH70" s="120" t="s">
        <v>1975</v>
      </c>
      <c r="BI70" s="120" t="s">
        <v>1877</v>
      </c>
      <c r="BJ70" s="1" t="s">
        <v>1531</v>
      </c>
      <c r="BK70" s="119" t="s">
        <v>1878</v>
      </c>
      <c r="BL70" s="110" t="s">
        <v>336</v>
      </c>
      <c r="BM70" s="1" t="s">
        <v>1532</v>
      </c>
      <c r="BN70" s="1" t="s">
        <v>1530</v>
      </c>
    </row>
    <row r="71" spans="1:68">
      <c r="A71" s="29"/>
      <c r="B71" s="29"/>
      <c r="C71" s="29"/>
      <c r="D71" s="32"/>
      <c r="E71" s="23"/>
      <c r="G71" s="33" t="s">
        <v>673</v>
      </c>
      <c r="H71" s="38" t="s">
        <v>674</v>
      </c>
      <c r="I71" s="33" t="s">
        <v>598</v>
      </c>
      <c r="J71" s="39" t="s">
        <v>598</v>
      </c>
      <c r="L71" s="12" t="s">
        <v>497</v>
      </c>
      <c r="M71" s="12" t="s">
        <v>498</v>
      </c>
      <c r="N71" s="12">
        <v>100760</v>
      </c>
      <c r="O71" s="12" t="s">
        <v>1374</v>
      </c>
      <c r="P71" s="12" t="s">
        <v>1379</v>
      </c>
      <c r="Q71" s="12"/>
      <c r="S71" s="12" t="s">
        <v>224</v>
      </c>
      <c r="T71" s="12"/>
      <c r="U71" s="12" t="s">
        <v>223</v>
      </c>
      <c r="V71" s="8" t="s">
        <v>1115</v>
      </c>
      <c r="W71" s="8" t="s">
        <v>1116</v>
      </c>
      <c r="AC71" s="214"/>
      <c r="AD71" s="8" t="s">
        <v>1470</v>
      </c>
      <c r="AE71" s="8" t="s">
        <v>1469</v>
      </c>
      <c r="AJ71" s="80" t="s">
        <v>43</v>
      </c>
      <c r="AK71" s="80" t="s">
        <v>44</v>
      </c>
      <c r="AL71" s="80" t="s">
        <v>1532</v>
      </c>
      <c r="AM71" s="80" t="s">
        <v>1530</v>
      </c>
      <c r="AP71" s="73"/>
      <c r="AQ71" s="73"/>
      <c r="AR71" s="73"/>
      <c r="AS71" s="73"/>
      <c r="AT71" s="73"/>
      <c r="AU71" s="73"/>
      <c r="BG71" s="171" t="s">
        <v>1800</v>
      </c>
      <c r="BH71" s="120" t="s">
        <v>1976</v>
      </c>
      <c r="BI71" s="120" t="s">
        <v>1879</v>
      </c>
      <c r="BJ71" s="1" t="s">
        <v>40</v>
      </c>
      <c r="BK71" s="108" t="s">
        <v>39</v>
      </c>
      <c r="BL71" s="110" t="s">
        <v>336</v>
      </c>
      <c r="BM71" s="1" t="s">
        <v>1532</v>
      </c>
      <c r="BN71" s="1" t="s">
        <v>1530</v>
      </c>
    </row>
    <row r="72" spans="1:68">
      <c r="A72" s="29"/>
      <c r="B72" s="29"/>
      <c r="C72" s="29"/>
      <c r="D72" s="32"/>
      <c r="E72" s="23"/>
      <c r="G72" s="42" t="s">
        <v>675</v>
      </c>
      <c r="H72" s="43" t="s">
        <v>676</v>
      </c>
      <c r="I72" s="42" t="s">
        <v>598</v>
      </c>
      <c r="J72" s="39" t="s">
        <v>598</v>
      </c>
      <c r="L72" s="12" t="s">
        <v>1293</v>
      </c>
      <c r="M72" s="12" t="s">
        <v>755</v>
      </c>
      <c r="N72" s="12">
        <v>100760</v>
      </c>
      <c r="O72" s="12" t="s">
        <v>1374</v>
      </c>
      <c r="P72" s="12" t="s">
        <v>1380</v>
      </c>
      <c r="Q72" s="12"/>
      <c r="S72" s="12" t="s">
        <v>237</v>
      </c>
      <c r="T72" s="12" t="s">
        <v>111</v>
      </c>
      <c r="U72" s="12" t="s">
        <v>236</v>
      </c>
      <c r="V72" s="8" t="s">
        <v>772</v>
      </c>
      <c r="W72" s="8" t="s">
        <v>1117</v>
      </c>
      <c r="AC72" s="214"/>
      <c r="AD72" s="8" t="s">
        <v>1472</v>
      </c>
      <c r="AE72" s="8" t="s">
        <v>1471</v>
      </c>
      <c r="AJ72" s="80" t="s">
        <v>46</v>
      </c>
      <c r="AK72" s="80" t="s">
        <v>47</v>
      </c>
      <c r="AL72" s="80" t="s">
        <v>1532</v>
      </c>
      <c r="AM72" s="80" t="s">
        <v>1530</v>
      </c>
      <c r="BG72" s="171" t="s">
        <v>1800</v>
      </c>
      <c r="BH72" s="120" t="s">
        <v>1977</v>
      </c>
      <c r="BI72" s="120" t="s">
        <v>1880</v>
      </c>
      <c r="BJ72" s="1" t="s">
        <v>44</v>
      </c>
      <c r="BK72" s="108" t="s">
        <v>43</v>
      </c>
      <c r="BL72" s="110" t="s">
        <v>336</v>
      </c>
      <c r="BM72" s="1" t="s">
        <v>1532</v>
      </c>
      <c r="BN72" s="1" t="s">
        <v>1530</v>
      </c>
    </row>
    <row r="73" spans="1:68">
      <c r="A73" s="29"/>
      <c r="B73" s="29"/>
      <c r="C73" s="29"/>
      <c r="D73" s="32"/>
      <c r="E73" s="23"/>
      <c r="G73" s="33" t="s">
        <v>677</v>
      </c>
      <c r="H73" s="38" t="s">
        <v>678</v>
      </c>
      <c r="I73" s="33" t="s">
        <v>598</v>
      </c>
      <c r="J73" s="39" t="s">
        <v>598</v>
      </c>
      <c r="L73" s="12" t="s">
        <v>1294</v>
      </c>
      <c r="M73" s="12" t="s">
        <v>500</v>
      </c>
      <c r="N73" s="12">
        <v>100760</v>
      </c>
      <c r="O73" s="12" t="s">
        <v>1374</v>
      </c>
      <c r="P73" s="12" t="s">
        <v>1381</v>
      </c>
      <c r="Q73" s="12"/>
      <c r="S73" s="12" t="s">
        <v>834</v>
      </c>
      <c r="T73" s="12" t="s">
        <v>108</v>
      </c>
      <c r="U73" s="12" t="s">
        <v>197</v>
      </c>
      <c r="V73" s="8" t="s">
        <v>788</v>
      </c>
      <c r="W73" s="8" t="s">
        <v>1118</v>
      </c>
      <c r="AC73" s="214"/>
      <c r="AD73" s="8" t="s">
        <v>1474</v>
      </c>
      <c r="AE73" s="8" t="s">
        <v>1722</v>
      </c>
      <c r="AJ73" s="80" t="s">
        <v>48</v>
      </c>
      <c r="AK73" s="80" t="s">
        <v>49</v>
      </c>
      <c r="AL73" s="80" t="s">
        <v>1532</v>
      </c>
      <c r="AM73" s="80" t="s">
        <v>1530</v>
      </c>
      <c r="BG73" s="171" t="s">
        <v>1800</v>
      </c>
      <c r="BH73" s="120" t="s">
        <v>1978</v>
      </c>
      <c r="BI73" s="120" t="s">
        <v>1881</v>
      </c>
      <c r="BJ73" s="1" t="s">
        <v>47</v>
      </c>
      <c r="BK73" s="108" t="s">
        <v>46</v>
      </c>
      <c r="BL73" s="110" t="s">
        <v>336</v>
      </c>
      <c r="BM73" s="1" t="s">
        <v>1532</v>
      </c>
      <c r="BN73" s="1" t="s">
        <v>1530</v>
      </c>
    </row>
    <row r="74" spans="1:68">
      <c r="A74" s="29"/>
      <c r="B74" s="29"/>
      <c r="C74" s="29"/>
      <c r="D74" s="32"/>
      <c r="E74" s="23"/>
      <c r="G74" s="33" t="s">
        <v>679</v>
      </c>
      <c r="H74" s="38" t="s">
        <v>680</v>
      </c>
      <c r="I74" s="33" t="s">
        <v>598</v>
      </c>
      <c r="J74" s="39" t="s">
        <v>598</v>
      </c>
      <c r="L74" s="12" t="s">
        <v>1295</v>
      </c>
      <c r="M74" s="12" t="s">
        <v>500</v>
      </c>
      <c r="N74" s="12">
        <v>100760</v>
      </c>
      <c r="O74" s="12" t="s">
        <v>1374</v>
      </c>
      <c r="P74" s="12" t="s">
        <v>1381</v>
      </c>
      <c r="Q74" s="12"/>
      <c r="S74" s="12" t="s">
        <v>200</v>
      </c>
      <c r="T74" s="12"/>
      <c r="U74" s="12" t="s">
        <v>199</v>
      </c>
      <c r="V74" s="8" t="s">
        <v>1119</v>
      </c>
      <c r="W74" s="8" t="s">
        <v>1120</v>
      </c>
      <c r="AC74" s="214"/>
      <c r="AD74" s="8" t="s">
        <v>1476</v>
      </c>
      <c r="AE74" s="8" t="s">
        <v>1475</v>
      </c>
      <c r="AJ74" s="80" t="s">
        <v>336</v>
      </c>
      <c r="AK74" s="80" t="s">
        <v>1533</v>
      </c>
      <c r="AL74" s="80" t="s">
        <v>1532</v>
      </c>
      <c r="AM74" s="80" t="s">
        <v>1530</v>
      </c>
      <c r="AP74" s="73"/>
      <c r="AQ74" s="73"/>
      <c r="AR74" s="73"/>
      <c r="AS74" s="73"/>
      <c r="AT74" s="73"/>
      <c r="AU74" s="73"/>
      <c r="BG74" s="171" t="s">
        <v>1816</v>
      </c>
      <c r="BH74" s="120" t="s">
        <v>1979</v>
      </c>
      <c r="BI74" s="120" t="s">
        <v>48</v>
      </c>
      <c r="BJ74" s="1" t="s">
        <v>49</v>
      </c>
      <c r="BK74" s="108" t="s">
        <v>48</v>
      </c>
      <c r="BL74" s="110" t="s">
        <v>336</v>
      </c>
      <c r="BM74" s="1" t="s">
        <v>1532</v>
      </c>
      <c r="BN74" s="1" t="s">
        <v>1530</v>
      </c>
      <c r="BP74" s="1" t="s">
        <v>1837</v>
      </c>
    </row>
    <row r="75" spans="1:68">
      <c r="A75" s="29"/>
      <c r="B75" s="29"/>
      <c r="C75" s="29"/>
      <c r="D75" s="32"/>
      <c r="E75" s="23"/>
      <c r="G75" s="44"/>
      <c r="H75" s="44"/>
      <c r="I75" s="44"/>
      <c r="J75" s="33"/>
      <c r="L75" s="12" t="s">
        <v>1296</v>
      </c>
      <c r="M75" s="12" t="s">
        <v>756</v>
      </c>
      <c r="N75" s="12">
        <v>100760</v>
      </c>
      <c r="O75" s="12" t="s">
        <v>1374</v>
      </c>
      <c r="P75" s="12" t="s">
        <v>1382</v>
      </c>
      <c r="Q75" s="12"/>
      <c r="S75" s="12" t="s">
        <v>465</v>
      </c>
      <c r="T75" s="12" t="s">
        <v>463</v>
      </c>
      <c r="U75" s="12" t="s">
        <v>464</v>
      </c>
      <c r="V75" s="8" t="s">
        <v>1121</v>
      </c>
      <c r="W75" s="8" t="s">
        <v>1122</v>
      </c>
      <c r="AC75" s="214"/>
      <c r="AD75" s="8" t="s">
        <v>1481</v>
      </c>
      <c r="AE75" s="8" t="s">
        <v>1480</v>
      </c>
      <c r="AJ75" s="80" t="s">
        <v>1534</v>
      </c>
      <c r="AK75" s="80" t="s">
        <v>1535</v>
      </c>
      <c r="AL75" s="80" t="s">
        <v>1532</v>
      </c>
      <c r="AM75" s="80" t="s">
        <v>1530</v>
      </c>
      <c r="AP75" s="73"/>
      <c r="AQ75" s="73"/>
      <c r="AR75" s="73"/>
      <c r="AS75" s="73"/>
      <c r="AT75" s="73"/>
      <c r="BJ75" s="114" t="s">
        <v>1533</v>
      </c>
      <c r="BK75" s="113" t="s">
        <v>336</v>
      </c>
      <c r="BL75" s="114"/>
      <c r="BM75" s="114" t="s">
        <v>1532</v>
      </c>
      <c r="BN75" s="114" t="s">
        <v>1530</v>
      </c>
      <c r="BO75" s="116" t="s">
        <v>1839</v>
      </c>
    </row>
    <row r="76" spans="1:68">
      <c r="A76" s="29"/>
      <c r="B76" s="29"/>
      <c r="C76" s="29"/>
      <c r="D76" s="32"/>
      <c r="E76" s="23"/>
      <c r="G76" s="33"/>
      <c r="H76" s="33"/>
      <c r="I76" s="33"/>
      <c r="J76" s="33"/>
      <c r="L76" s="12" t="s">
        <v>1297</v>
      </c>
      <c r="M76" s="12" t="s">
        <v>757</v>
      </c>
      <c r="N76" s="12">
        <v>100760</v>
      </c>
      <c r="O76" s="12" t="s">
        <v>1374</v>
      </c>
      <c r="P76" s="12" t="s">
        <v>1383</v>
      </c>
      <c r="Q76" s="12"/>
      <c r="S76" s="12" t="s">
        <v>157</v>
      </c>
      <c r="T76" s="12"/>
      <c r="U76" s="12" t="s">
        <v>156</v>
      </c>
      <c r="V76" s="8" t="s">
        <v>1123</v>
      </c>
      <c r="W76" s="8" t="s">
        <v>1124</v>
      </c>
      <c r="AC76" s="214"/>
      <c r="AD76" s="8" t="s">
        <v>1483</v>
      </c>
      <c r="AE76" s="8" t="s">
        <v>1482</v>
      </c>
      <c r="AJ76" s="80" t="s">
        <v>340</v>
      </c>
      <c r="AK76" s="80" t="s">
        <v>1536</v>
      </c>
      <c r="AL76" s="81" t="s">
        <v>1537</v>
      </c>
      <c r="AM76" s="80" t="s">
        <v>1530</v>
      </c>
      <c r="AP76" s="73"/>
      <c r="AQ76" s="73"/>
      <c r="AR76" s="73"/>
      <c r="AS76" s="73"/>
      <c r="AT76" s="73"/>
      <c r="BJ76" s="114" t="s">
        <v>1535</v>
      </c>
      <c r="BK76" s="113" t="s">
        <v>1534</v>
      </c>
      <c r="BL76" s="114"/>
      <c r="BM76" s="114" t="s">
        <v>1532</v>
      </c>
      <c r="BN76" s="114" t="s">
        <v>1530</v>
      </c>
      <c r="BO76" s="116" t="s">
        <v>1839</v>
      </c>
    </row>
    <row r="77" spans="1:68">
      <c r="A77" s="29"/>
      <c r="B77" s="29"/>
      <c r="C77" s="29"/>
      <c r="D77" s="32"/>
      <c r="E77" s="23"/>
      <c r="G77" s="33"/>
      <c r="H77" s="33"/>
      <c r="I77" s="33"/>
      <c r="J77" s="33"/>
      <c r="L77" s="12" t="s">
        <v>1298</v>
      </c>
      <c r="M77" s="12" t="s">
        <v>388</v>
      </c>
      <c r="N77" s="12">
        <v>100760</v>
      </c>
      <c r="O77" s="12" t="s">
        <v>1374</v>
      </c>
      <c r="P77" s="12" t="s">
        <v>1384</v>
      </c>
      <c r="Q77" s="12"/>
      <c r="S77" s="12" t="s">
        <v>187</v>
      </c>
      <c r="T77" s="12"/>
      <c r="U77" s="12" t="s">
        <v>186</v>
      </c>
      <c r="V77" s="8" t="s">
        <v>1125</v>
      </c>
      <c r="W77" s="8" t="s">
        <v>1126</v>
      </c>
      <c r="AC77" s="214"/>
      <c r="AD77" s="8" t="s">
        <v>1485</v>
      </c>
      <c r="AE77" s="8" t="s">
        <v>1484</v>
      </c>
      <c r="AJ77" s="80" t="s">
        <v>41</v>
      </c>
      <c r="AK77" s="80" t="s">
        <v>42</v>
      </c>
      <c r="AL77" s="80" t="s">
        <v>1538</v>
      </c>
      <c r="AM77" s="80" t="s">
        <v>1530</v>
      </c>
      <c r="AP77" s="73"/>
      <c r="AQ77" s="73"/>
      <c r="AR77" s="73"/>
      <c r="AS77" s="73"/>
      <c r="AT77" s="73"/>
      <c r="BG77" s="171" t="s">
        <v>1800</v>
      </c>
      <c r="BH77" s="131" t="s">
        <v>1981</v>
      </c>
      <c r="BI77" s="117" t="s">
        <v>1882</v>
      </c>
      <c r="BJ77" s="1" t="s">
        <v>1536</v>
      </c>
      <c r="BK77" s="108" t="s">
        <v>340</v>
      </c>
      <c r="BL77" s="110" t="s">
        <v>1906</v>
      </c>
      <c r="BM77" s="110" t="s">
        <v>1537</v>
      </c>
      <c r="BN77" s="1" t="s">
        <v>1530</v>
      </c>
    </row>
    <row r="78" spans="1:68">
      <c r="A78" s="29"/>
      <c r="B78" s="29"/>
      <c r="C78" s="29"/>
      <c r="D78" s="32"/>
      <c r="E78" s="23"/>
      <c r="G78" s="33"/>
      <c r="H78" s="33"/>
      <c r="I78" s="33"/>
      <c r="J78" s="33"/>
      <c r="L78" s="12" t="s">
        <v>1238</v>
      </c>
      <c r="M78" s="12" t="s">
        <v>514</v>
      </c>
      <c r="N78" s="12">
        <v>100760</v>
      </c>
      <c r="O78" s="12" t="s">
        <v>1374</v>
      </c>
      <c r="P78" s="12" t="s">
        <v>1385</v>
      </c>
      <c r="Q78" s="12"/>
      <c r="S78" s="12" t="s">
        <v>258</v>
      </c>
      <c r="T78" s="12" t="s">
        <v>189</v>
      </c>
      <c r="U78" s="12" t="s">
        <v>188</v>
      </c>
      <c r="V78" s="8" t="s">
        <v>1127</v>
      </c>
      <c r="W78" s="8" t="s">
        <v>1128</v>
      </c>
      <c r="AC78" s="214"/>
      <c r="AD78" s="8" t="s">
        <v>1487</v>
      </c>
      <c r="AE78" s="8" t="s">
        <v>1486</v>
      </c>
      <c r="AJ78" s="80" t="s">
        <v>1539</v>
      </c>
      <c r="AK78" s="80" t="s">
        <v>1540</v>
      </c>
      <c r="AL78" s="80" t="s">
        <v>1538</v>
      </c>
      <c r="AM78" s="80" t="s">
        <v>1530</v>
      </c>
      <c r="AP78" s="73"/>
      <c r="AQ78" s="73"/>
      <c r="AR78" s="73"/>
      <c r="AS78" s="73"/>
      <c r="AT78" s="73"/>
      <c r="BG78" s="171" t="s">
        <v>1800</v>
      </c>
      <c r="BH78" s="120" t="s">
        <v>1983</v>
      </c>
      <c r="BI78" s="120" t="s">
        <v>1883</v>
      </c>
      <c r="BJ78" s="121" t="s">
        <v>42</v>
      </c>
      <c r="BK78" s="112" t="s">
        <v>41</v>
      </c>
      <c r="BL78" s="110" t="s">
        <v>1906</v>
      </c>
      <c r="BM78" s="1" t="s">
        <v>1538</v>
      </c>
      <c r="BN78" s="1" t="s">
        <v>1530</v>
      </c>
    </row>
    <row r="79" spans="1:68">
      <c r="A79" s="29"/>
      <c r="B79" s="29"/>
      <c r="C79" s="29"/>
      <c r="D79" s="32"/>
      <c r="E79" s="23"/>
      <c r="G79" s="33"/>
      <c r="H79" s="33"/>
      <c r="I79" s="33"/>
      <c r="J79" s="33"/>
      <c r="L79" s="12" t="s">
        <v>1299</v>
      </c>
      <c r="M79" s="12" t="s">
        <v>1307</v>
      </c>
      <c r="N79" s="12">
        <v>100760</v>
      </c>
      <c r="O79" s="12" t="s">
        <v>1374</v>
      </c>
      <c r="P79" s="12" t="s">
        <v>1386</v>
      </c>
      <c r="Q79" s="12"/>
      <c r="S79" s="12" t="s">
        <v>483</v>
      </c>
      <c r="T79" s="12" t="s">
        <v>1011</v>
      </c>
      <c r="U79" s="12" t="s">
        <v>188</v>
      </c>
      <c r="V79" s="8" t="s">
        <v>1129</v>
      </c>
      <c r="W79" s="8" t="s">
        <v>1130</v>
      </c>
      <c r="X79" s="76"/>
      <c r="AC79" s="214"/>
      <c r="AD79" s="8" t="s">
        <v>1505</v>
      </c>
      <c r="AE79" s="8" t="s">
        <v>1504</v>
      </c>
      <c r="AJ79" s="80" t="s">
        <v>1421</v>
      </c>
      <c r="AK79" s="80" t="s">
        <v>1541</v>
      </c>
      <c r="AL79" s="80" t="s">
        <v>1538</v>
      </c>
      <c r="AM79" s="80" t="s">
        <v>1530</v>
      </c>
      <c r="AP79" s="73"/>
      <c r="AQ79" s="73"/>
      <c r="AR79" s="73"/>
      <c r="AS79" s="73"/>
      <c r="AT79" s="73"/>
      <c r="BG79" s="171" t="s">
        <v>1800</v>
      </c>
      <c r="BH79" s="120" t="s">
        <v>1985</v>
      </c>
      <c r="BI79" s="120" t="s">
        <v>1884</v>
      </c>
      <c r="BJ79" s="1" t="s">
        <v>1540</v>
      </c>
      <c r="BK79" s="119" t="s">
        <v>1885</v>
      </c>
      <c r="BL79" s="110" t="s">
        <v>1906</v>
      </c>
      <c r="BM79" s="1" t="s">
        <v>1538</v>
      </c>
      <c r="BN79" s="1" t="s">
        <v>1530</v>
      </c>
    </row>
    <row r="80" spans="1:68">
      <c r="A80" s="29"/>
      <c r="B80" s="29"/>
      <c r="C80" s="29"/>
      <c r="D80" s="32"/>
      <c r="E80" s="23"/>
      <c r="G80" s="33"/>
      <c r="H80" s="33"/>
      <c r="I80" s="33"/>
      <c r="J80" s="33"/>
      <c r="L80" s="12" t="s">
        <v>1300</v>
      </c>
      <c r="M80" s="12" t="s">
        <v>758</v>
      </c>
      <c r="N80" s="12">
        <v>100760</v>
      </c>
      <c r="O80" s="12" t="s">
        <v>1374</v>
      </c>
      <c r="P80" s="12" t="s">
        <v>1387</v>
      </c>
      <c r="Q80" s="12"/>
      <c r="S80" s="12"/>
      <c r="T80" s="12" t="s">
        <v>114</v>
      </c>
      <c r="U80" s="12" t="s">
        <v>1012</v>
      </c>
      <c r="V80" s="8" t="s">
        <v>1131</v>
      </c>
      <c r="W80" s="8" t="s">
        <v>1132</v>
      </c>
      <c r="AC80" s="214"/>
      <c r="AD80" s="8" t="s">
        <v>1507</v>
      </c>
      <c r="AE80" s="8" t="s">
        <v>1506</v>
      </c>
      <c r="AJ80" s="80" t="s">
        <v>1542</v>
      </c>
      <c r="AK80" s="80" t="s">
        <v>42</v>
      </c>
      <c r="AL80" s="80" t="s">
        <v>1538</v>
      </c>
      <c r="AM80" s="80" t="s">
        <v>1530</v>
      </c>
      <c r="AP80" s="73"/>
      <c r="AQ80" s="73"/>
      <c r="AR80" s="73"/>
      <c r="AS80" s="73"/>
      <c r="AT80" s="73"/>
      <c r="BJ80" s="114" t="s">
        <v>1541</v>
      </c>
      <c r="BK80" s="113" t="s">
        <v>1421</v>
      </c>
      <c r="BL80" s="114"/>
      <c r="BM80" s="114" t="s">
        <v>1538</v>
      </c>
      <c r="BN80" s="114" t="s">
        <v>1530</v>
      </c>
      <c r="BO80" s="116" t="s">
        <v>1839</v>
      </c>
    </row>
    <row r="81" spans="1:67">
      <c r="A81" s="29"/>
      <c r="B81" s="29"/>
      <c r="C81" s="29"/>
      <c r="D81" s="32"/>
      <c r="E81" s="23"/>
      <c r="G81" s="33"/>
      <c r="H81" s="33"/>
      <c r="I81" s="33"/>
      <c r="J81" s="33"/>
      <c r="L81" s="12" t="s">
        <v>1301</v>
      </c>
      <c r="M81" s="12" t="s">
        <v>501</v>
      </c>
      <c r="N81" s="12">
        <v>100760</v>
      </c>
      <c r="O81" s="12" t="s">
        <v>1374</v>
      </c>
      <c r="P81" s="12" t="s">
        <v>1388</v>
      </c>
      <c r="Q81" s="12"/>
      <c r="S81" s="12" t="s">
        <v>254</v>
      </c>
      <c r="T81" s="12"/>
      <c r="U81" s="12" t="s">
        <v>253</v>
      </c>
      <c r="V81" s="8" t="s">
        <v>1133</v>
      </c>
      <c r="W81" s="8" t="s">
        <v>1134</v>
      </c>
      <c r="AC81" s="214"/>
      <c r="AD81" s="8" t="s">
        <v>1509</v>
      </c>
      <c r="AE81" s="8" t="s">
        <v>1508</v>
      </c>
      <c r="AJ81" s="80" t="s">
        <v>1543</v>
      </c>
      <c r="AK81" s="80" t="s">
        <v>1544</v>
      </c>
      <c r="AL81" s="80" t="s">
        <v>1538</v>
      </c>
      <c r="AM81" s="80" t="s">
        <v>1530</v>
      </c>
      <c r="BJ81" s="123" t="s">
        <v>42</v>
      </c>
      <c r="BK81" s="124" t="s">
        <v>1542</v>
      </c>
      <c r="BL81" s="125"/>
      <c r="BM81" s="125" t="s">
        <v>1538</v>
      </c>
      <c r="BN81" s="125" t="s">
        <v>1530</v>
      </c>
      <c r="BO81" s="116" t="s">
        <v>1886</v>
      </c>
    </row>
    <row r="82" spans="1:67">
      <c r="A82" s="29"/>
      <c r="B82" s="29"/>
      <c r="C82" s="29"/>
      <c r="D82" s="32"/>
      <c r="E82" s="23"/>
      <c r="G82" s="33"/>
      <c r="H82" s="33"/>
      <c r="I82" s="33"/>
      <c r="J82" s="33"/>
      <c r="L82" s="12" t="s">
        <v>1302</v>
      </c>
      <c r="M82" s="12" t="s">
        <v>759</v>
      </c>
      <c r="N82" s="12">
        <v>100760</v>
      </c>
      <c r="O82" s="12" t="s">
        <v>1374</v>
      </c>
      <c r="P82" s="12" t="s">
        <v>1389</v>
      </c>
      <c r="Q82" s="12"/>
      <c r="S82" s="12" t="s">
        <v>239</v>
      </c>
      <c r="T82" s="12"/>
      <c r="U82" s="12" t="s">
        <v>238</v>
      </c>
      <c r="V82" s="8" t="s">
        <v>1135</v>
      </c>
      <c r="W82" s="8" t="s">
        <v>1136</v>
      </c>
      <c r="AC82" s="214"/>
      <c r="AD82" s="8" t="s">
        <v>1511</v>
      </c>
      <c r="AE82" s="8" t="s">
        <v>1510</v>
      </c>
      <c r="AJ82" s="80" t="s">
        <v>37</v>
      </c>
      <c r="AK82" s="80" t="s">
        <v>38</v>
      </c>
      <c r="AL82" s="81" t="s">
        <v>1545</v>
      </c>
      <c r="AM82" s="80" t="s">
        <v>1530</v>
      </c>
      <c r="BG82" s="171" t="s">
        <v>1800</v>
      </c>
      <c r="BH82" s="120" t="s">
        <v>1987</v>
      </c>
      <c r="BI82" s="120" t="s">
        <v>1887</v>
      </c>
      <c r="BJ82" s="1" t="s">
        <v>1544</v>
      </c>
      <c r="BK82" s="108" t="s">
        <v>1543</v>
      </c>
      <c r="BL82" s="110" t="s">
        <v>1906</v>
      </c>
      <c r="BM82" s="1" t="s">
        <v>1538</v>
      </c>
      <c r="BN82" s="1" t="s">
        <v>1530</v>
      </c>
    </row>
    <row r="83" spans="1:67">
      <c r="A83" s="29"/>
      <c r="B83" s="29"/>
      <c r="C83" s="29"/>
      <c r="D83" s="32"/>
      <c r="E83" s="23"/>
      <c r="G83" s="33"/>
      <c r="H83" s="33"/>
      <c r="I83" s="33"/>
      <c r="J83" s="33"/>
      <c r="L83" s="12" t="s">
        <v>1303</v>
      </c>
      <c r="M83" s="12" t="s">
        <v>760</v>
      </c>
      <c r="N83" s="12">
        <v>100760</v>
      </c>
      <c r="O83" s="12" t="s">
        <v>1374</v>
      </c>
      <c r="P83" s="12" t="s">
        <v>1390</v>
      </c>
      <c r="Q83" s="12"/>
      <c r="S83" s="12" t="s">
        <v>231</v>
      </c>
      <c r="T83" s="12"/>
      <c r="U83" s="12" t="s">
        <v>230</v>
      </c>
      <c r="V83" s="8" t="s">
        <v>783</v>
      </c>
      <c r="W83" s="8" t="s">
        <v>1137</v>
      </c>
      <c r="AC83" s="214"/>
      <c r="AD83" s="8" t="s">
        <v>1516</v>
      </c>
      <c r="AE83" s="8" t="s">
        <v>1515</v>
      </c>
      <c r="AJ83" s="80" t="s">
        <v>342</v>
      </c>
      <c r="AK83" s="80" t="s">
        <v>1546</v>
      </c>
      <c r="AL83" s="80" t="s">
        <v>1547</v>
      </c>
      <c r="AM83" s="80" t="s">
        <v>1530</v>
      </c>
      <c r="BG83" s="171" t="s">
        <v>1800</v>
      </c>
      <c r="BH83" s="120" t="s">
        <v>1989</v>
      </c>
      <c r="BI83" s="120" t="s">
        <v>1888</v>
      </c>
      <c r="BJ83" s="1" t="s">
        <v>38</v>
      </c>
      <c r="BK83" s="108" t="s">
        <v>37</v>
      </c>
      <c r="BL83" s="110" t="s">
        <v>1904</v>
      </c>
      <c r="BM83" s="110" t="s">
        <v>1545</v>
      </c>
      <c r="BN83" s="1" t="s">
        <v>1530</v>
      </c>
    </row>
    <row r="84" spans="1:67">
      <c r="A84" s="67"/>
      <c r="B84" s="67"/>
      <c r="C84" s="67"/>
      <c r="D84" s="67"/>
      <c r="E84" s="67"/>
      <c r="G84" s="33"/>
      <c r="H84" s="33"/>
      <c r="I84" s="33"/>
      <c r="J84" s="33"/>
      <c r="L84" s="161" t="s">
        <v>2322</v>
      </c>
      <c r="M84" s="161" t="s">
        <v>2323</v>
      </c>
      <c r="N84" s="161"/>
      <c r="O84" s="161"/>
      <c r="P84" s="162"/>
      <c r="Q84" s="163" t="s">
        <v>2324</v>
      </c>
      <c r="S84" s="12" t="s">
        <v>835</v>
      </c>
      <c r="T84" s="12" t="s">
        <v>456</v>
      </c>
      <c r="U84" s="12" t="s">
        <v>457</v>
      </c>
      <c r="V84" s="8" t="s">
        <v>1138</v>
      </c>
      <c r="W84" s="8" t="s">
        <v>1139</v>
      </c>
      <c r="AC84" s="214"/>
      <c r="AD84" s="8" t="s">
        <v>1518</v>
      </c>
      <c r="AE84" s="8" t="s">
        <v>1517</v>
      </c>
      <c r="AJ84" s="80" t="s">
        <v>1419</v>
      </c>
      <c r="AK84" s="80" t="s">
        <v>1419</v>
      </c>
      <c r="AL84" s="80" t="s">
        <v>1547</v>
      </c>
      <c r="AM84" s="80" t="s">
        <v>1530</v>
      </c>
      <c r="BG84" s="171" t="s">
        <v>1800</v>
      </c>
      <c r="BH84" s="131" t="s">
        <v>1991</v>
      </c>
      <c r="BI84" s="117" t="s">
        <v>1889</v>
      </c>
      <c r="BJ84" s="1" t="s">
        <v>1546</v>
      </c>
      <c r="BK84" s="108" t="s">
        <v>342</v>
      </c>
      <c r="BL84" s="110" t="s">
        <v>1904</v>
      </c>
      <c r="BM84" s="1" t="s">
        <v>1547</v>
      </c>
      <c r="BN84" s="1" t="s">
        <v>1530</v>
      </c>
    </row>
    <row r="85" spans="1:67">
      <c r="A85" s="67"/>
      <c r="B85" s="67"/>
      <c r="C85" s="67"/>
      <c r="D85" s="67"/>
      <c r="E85" s="67"/>
      <c r="G85" s="195" t="s">
        <v>681</v>
      </c>
      <c r="H85" s="196"/>
      <c r="I85" s="196"/>
      <c r="J85" s="197"/>
      <c r="L85" s="199" t="s">
        <v>595</v>
      </c>
      <c r="M85" s="200"/>
      <c r="N85" s="200"/>
      <c r="O85" s="200"/>
      <c r="P85" s="200"/>
      <c r="Q85" s="201"/>
      <c r="S85" s="12" t="s">
        <v>257</v>
      </c>
      <c r="T85" s="12" t="s">
        <v>162</v>
      </c>
      <c r="U85" s="12" t="s">
        <v>161</v>
      </c>
      <c r="V85" s="8" t="s">
        <v>1140</v>
      </c>
      <c r="W85" s="8" t="s">
        <v>1141</v>
      </c>
      <c r="AC85" s="214"/>
      <c r="AD85" s="8" t="s">
        <v>1520</v>
      </c>
      <c r="AE85" s="8" t="s">
        <v>1519</v>
      </c>
      <c r="AJ85" s="80" t="s">
        <v>1548</v>
      </c>
      <c r="AK85" s="80" t="s">
        <v>1549</v>
      </c>
      <c r="AL85" s="81" t="s">
        <v>1550</v>
      </c>
      <c r="AM85" s="80" t="s">
        <v>1551</v>
      </c>
      <c r="BJ85" s="114" t="s">
        <v>1419</v>
      </c>
      <c r="BK85" s="113" t="s">
        <v>1419</v>
      </c>
      <c r="BL85" s="114"/>
      <c r="BM85" s="114" t="s">
        <v>1547</v>
      </c>
      <c r="BN85" s="114" t="s">
        <v>1530</v>
      </c>
      <c r="BO85" s="116" t="s">
        <v>1839</v>
      </c>
    </row>
    <row r="86" spans="1:67">
      <c r="A86" s="67"/>
      <c r="B86" s="67"/>
      <c r="C86" s="67"/>
      <c r="D86" s="67"/>
      <c r="E86" s="67"/>
      <c r="G86" s="27" t="s">
        <v>390</v>
      </c>
      <c r="H86" s="45" t="s">
        <v>139</v>
      </c>
      <c r="I86" s="27" t="s">
        <v>353</v>
      </c>
      <c r="J86" s="28" t="s">
        <v>121</v>
      </c>
      <c r="L86" s="159" t="s">
        <v>140</v>
      </c>
      <c r="M86" s="159" t="s">
        <v>139</v>
      </c>
      <c r="N86" s="159" t="s">
        <v>141</v>
      </c>
      <c r="O86" s="159" t="s">
        <v>733</v>
      </c>
      <c r="P86" s="160"/>
      <c r="Q86" s="160" t="s">
        <v>1403</v>
      </c>
      <c r="S86" s="12" t="s">
        <v>817</v>
      </c>
      <c r="T86" s="12" t="s">
        <v>447</v>
      </c>
      <c r="U86" s="12" t="s">
        <v>448</v>
      </c>
      <c r="V86" s="8" t="s">
        <v>1142</v>
      </c>
      <c r="W86" s="8" t="s">
        <v>1143</v>
      </c>
      <c r="AC86" s="214"/>
      <c r="AD86" s="8" t="s">
        <v>1544</v>
      </c>
      <c r="AE86" s="8" t="s">
        <v>1543</v>
      </c>
      <c r="AJ86" s="80" t="s">
        <v>1552</v>
      </c>
      <c r="AK86" s="80" t="s">
        <v>1549</v>
      </c>
      <c r="AL86" s="81" t="s">
        <v>1550</v>
      </c>
      <c r="AM86" s="80" t="s">
        <v>1551</v>
      </c>
      <c r="BG86" s="171" t="s">
        <v>1800</v>
      </c>
      <c r="BH86" s="120" t="s">
        <v>1674</v>
      </c>
      <c r="BI86" s="120" t="s">
        <v>1890</v>
      </c>
      <c r="BJ86" s="126" t="s">
        <v>1549</v>
      </c>
      <c r="BK86" s="108" t="s">
        <v>1548</v>
      </c>
      <c r="BL86" s="126" t="s">
        <v>1418</v>
      </c>
      <c r="BM86" s="110" t="s">
        <v>1550</v>
      </c>
      <c r="BN86" s="1" t="s">
        <v>1556</v>
      </c>
    </row>
    <row r="87" spans="1:67">
      <c r="A87" s="67"/>
      <c r="B87" s="67"/>
      <c r="C87" s="67"/>
      <c r="D87" s="67"/>
      <c r="E87" s="67"/>
      <c r="G87" s="46" t="s">
        <v>682</v>
      </c>
      <c r="H87" s="5" t="s">
        <v>22</v>
      </c>
      <c r="I87" s="47" t="s">
        <v>683</v>
      </c>
      <c r="J87" s="47"/>
      <c r="L87" s="164" t="s">
        <v>508</v>
      </c>
      <c r="M87" s="164" t="s">
        <v>1402</v>
      </c>
      <c r="N87" s="165">
        <v>100760</v>
      </c>
      <c r="O87" s="164" t="s">
        <v>761</v>
      </c>
      <c r="P87" s="166"/>
      <c r="Q87" s="166" t="s">
        <v>117</v>
      </c>
      <c r="S87" s="12" t="s">
        <v>818</v>
      </c>
      <c r="T87" s="12" t="s">
        <v>458</v>
      </c>
      <c r="U87" s="12" t="s">
        <v>459</v>
      </c>
      <c r="V87" s="8" t="s">
        <v>1144</v>
      </c>
      <c r="W87" s="8" t="s">
        <v>1145</v>
      </c>
      <c r="AC87" s="214"/>
      <c r="AD87" s="8"/>
      <c r="AE87" s="8"/>
      <c r="AJ87" s="80" t="s">
        <v>1553</v>
      </c>
      <c r="AK87" s="80" t="s">
        <v>1554</v>
      </c>
      <c r="AL87" s="81" t="s">
        <v>1555</v>
      </c>
      <c r="AM87" s="80" t="s">
        <v>1556</v>
      </c>
      <c r="BJ87" s="127" t="s">
        <v>1549</v>
      </c>
      <c r="BK87" s="122" t="s">
        <v>1552</v>
      </c>
      <c r="BL87" s="125"/>
      <c r="BM87" s="128" t="s">
        <v>1550</v>
      </c>
      <c r="BN87" s="125" t="s">
        <v>1556</v>
      </c>
      <c r="BO87" s="116" t="s">
        <v>1886</v>
      </c>
    </row>
    <row r="88" spans="1:67">
      <c r="A88" s="67"/>
      <c r="B88" s="67"/>
      <c r="C88" s="67"/>
      <c r="D88" s="67"/>
      <c r="E88" s="67"/>
      <c r="G88" s="46" t="s">
        <v>352</v>
      </c>
      <c r="H88" s="5" t="s">
        <v>23</v>
      </c>
      <c r="I88" s="47" t="s">
        <v>684</v>
      </c>
      <c r="J88" s="47"/>
      <c r="L88" s="164" t="s">
        <v>152</v>
      </c>
      <c r="M88" s="164" t="s">
        <v>1402</v>
      </c>
      <c r="N88" s="165">
        <v>100760</v>
      </c>
      <c r="O88" s="164" t="s">
        <v>762</v>
      </c>
      <c r="P88" s="166"/>
      <c r="Q88" s="166" t="s">
        <v>326</v>
      </c>
      <c r="S88" s="12" t="s">
        <v>263</v>
      </c>
      <c r="T88" s="12" t="s">
        <v>1010</v>
      </c>
      <c r="U88" s="12" t="s">
        <v>206</v>
      </c>
      <c r="V88" s="8" t="s">
        <v>1146</v>
      </c>
      <c r="W88" s="8" t="s">
        <v>1147</v>
      </c>
      <c r="AC88" s="214"/>
      <c r="AD88" s="8"/>
      <c r="AE88" s="8"/>
      <c r="AJ88" s="80" t="s">
        <v>1557</v>
      </c>
      <c r="AK88" s="80" t="s">
        <v>94</v>
      </c>
      <c r="AL88" s="80" t="s">
        <v>1558</v>
      </c>
      <c r="AM88" s="80" t="s">
        <v>1556</v>
      </c>
      <c r="BJ88" s="129" t="s">
        <v>1554</v>
      </c>
      <c r="BK88" s="122" t="s">
        <v>1553</v>
      </c>
      <c r="BL88" s="122"/>
      <c r="BM88" s="122" t="s">
        <v>1555</v>
      </c>
      <c r="BN88" s="122" t="s">
        <v>1556</v>
      </c>
      <c r="BO88" s="116" t="s">
        <v>1886</v>
      </c>
    </row>
    <row r="89" spans="1:67">
      <c r="A89" s="67"/>
      <c r="B89" s="67"/>
      <c r="C89" s="67"/>
      <c r="D89" s="67"/>
      <c r="E89" s="67"/>
      <c r="G89" s="46" t="s">
        <v>685</v>
      </c>
      <c r="H89" s="5" t="s">
        <v>2</v>
      </c>
      <c r="I89" s="47" t="s">
        <v>686</v>
      </c>
      <c r="J89" s="47"/>
      <c r="L89" s="164" t="s">
        <v>329</v>
      </c>
      <c r="M89" s="164" t="s">
        <v>1402</v>
      </c>
      <c r="N89" s="165">
        <v>100760</v>
      </c>
      <c r="O89" s="164" t="s">
        <v>764</v>
      </c>
      <c r="P89" s="166"/>
      <c r="Q89" s="166" t="s">
        <v>115</v>
      </c>
      <c r="S89" s="12" t="s">
        <v>262</v>
      </c>
      <c r="T89" s="12" t="s">
        <v>819</v>
      </c>
      <c r="U89" s="12" t="s">
        <v>205</v>
      </c>
      <c r="V89" s="8" t="s">
        <v>1148</v>
      </c>
      <c r="W89" s="8" t="s">
        <v>1149</v>
      </c>
      <c r="AC89" s="214"/>
      <c r="AD89" s="8"/>
      <c r="AE89" s="8"/>
      <c r="AJ89" s="80" t="s">
        <v>1417</v>
      </c>
      <c r="AK89" s="80" t="s">
        <v>1559</v>
      </c>
      <c r="AL89" s="80" t="s">
        <v>1558</v>
      </c>
      <c r="AM89" s="80" t="s">
        <v>1556</v>
      </c>
      <c r="BG89" s="171" t="s">
        <v>1800</v>
      </c>
      <c r="BH89" s="120" t="s">
        <v>1673</v>
      </c>
      <c r="BI89" s="120" t="s">
        <v>1891</v>
      </c>
      <c r="BJ89" s="130" t="s">
        <v>94</v>
      </c>
      <c r="BK89" s="112" t="s">
        <v>1892</v>
      </c>
      <c r="BL89" s="110" t="s">
        <v>1417</v>
      </c>
      <c r="BM89" s="1" t="s">
        <v>1558</v>
      </c>
      <c r="BN89" s="1" t="s">
        <v>1556</v>
      </c>
    </row>
    <row r="90" spans="1:67">
      <c r="A90" s="67"/>
      <c r="B90" s="67"/>
      <c r="C90" s="67"/>
      <c r="D90" s="67"/>
      <c r="E90" s="67"/>
      <c r="G90" s="46" t="s">
        <v>687</v>
      </c>
      <c r="H90" s="5" t="s">
        <v>3</v>
      </c>
      <c r="I90" s="47" t="s">
        <v>688</v>
      </c>
      <c r="J90" s="47"/>
      <c r="L90" s="164" t="s">
        <v>155</v>
      </c>
      <c r="M90" s="164" t="s">
        <v>1402</v>
      </c>
      <c r="N90" s="165">
        <v>100760</v>
      </c>
      <c r="O90" s="164" t="s">
        <v>155</v>
      </c>
      <c r="P90" s="166"/>
      <c r="Q90" s="166" t="s">
        <v>754</v>
      </c>
      <c r="S90" s="12" t="s">
        <v>836</v>
      </c>
      <c r="T90" s="12" t="s">
        <v>820</v>
      </c>
      <c r="U90" s="12" t="s">
        <v>433</v>
      </c>
      <c r="V90" s="8" t="s">
        <v>1150</v>
      </c>
      <c r="W90" s="8" t="s">
        <v>1151</v>
      </c>
      <c r="AC90" s="215"/>
      <c r="AD90" s="8"/>
      <c r="AE90" s="8"/>
      <c r="AJ90" s="80" t="s">
        <v>1560</v>
      </c>
      <c r="AK90" s="80" t="s">
        <v>94</v>
      </c>
      <c r="AL90" s="80" t="s">
        <v>1558</v>
      </c>
      <c r="AM90" s="80" t="s">
        <v>1556</v>
      </c>
      <c r="BJ90" s="115" t="s">
        <v>1559</v>
      </c>
      <c r="BK90" s="113" t="s">
        <v>1417</v>
      </c>
      <c r="BL90" s="114"/>
      <c r="BM90" s="114" t="s">
        <v>1558</v>
      </c>
      <c r="BN90" s="114" t="s">
        <v>1556</v>
      </c>
      <c r="BO90" s="116" t="s">
        <v>1839</v>
      </c>
    </row>
    <row r="91" spans="1:67">
      <c r="A91" s="67"/>
      <c r="B91" s="67"/>
      <c r="C91" s="67"/>
      <c r="D91" s="67"/>
      <c r="E91" s="67"/>
      <c r="G91" s="46" t="s">
        <v>689</v>
      </c>
      <c r="H91" s="5" t="s">
        <v>5</v>
      </c>
      <c r="I91" s="47" t="s">
        <v>690</v>
      </c>
      <c r="J91" s="47"/>
      <c r="L91" s="167" t="s">
        <v>129</v>
      </c>
      <c r="M91" s="164" t="s">
        <v>1402</v>
      </c>
      <c r="N91" s="168">
        <v>100760</v>
      </c>
      <c r="O91" s="164" t="s">
        <v>765</v>
      </c>
      <c r="P91" s="166"/>
      <c r="Q91" s="166" t="s">
        <v>129</v>
      </c>
      <c r="S91" s="12" t="s">
        <v>837</v>
      </c>
      <c r="T91" s="12" t="s">
        <v>112</v>
      </c>
      <c r="U91" s="12" t="s">
        <v>213</v>
      </c>
      <c r="V91" s="8" t="s">
        <v>1152</v>
      </c>
      <c r="W91" s="8" t="s">
        <v>1153</v>
      </c>
      <c r="BJ91" s="129" t="s">
        <v>94</v>
      </c>
      <c r="BK91" s="122" t="s">
        <v>1560</v>
      </c>
      <c r="BL91" s="122"/>
      <c r="BM91" s="122" t="s">
        <v>1555</v>
      </c>
      <c r="BN91" s="122" t="s">
        <v>1556</v>
      </c>
      <c r="BO91" s="116" t="s">
        <v>1886</v>
      </c>
    </row>
    <row r="92" spans="1:67">
      <c r="A92" s="67"/>
      <c r="B92" s="67"/>
      <c r="C92" s="67"/>
      <c r="D92" s="67"/>
      <c r="E92" s="67"/>
      <c r="G92" s="46" t="s">
        <v>691</v>
      </c>
      <c r="H92" s="5" t="s">
        <v>6</v>
      </c>
      <c r="I92" s="47" t="s">
        <v>692</v>
      </c>
      <c r="J92" s="47"/>
      <c r="L92" s="164" t="s">
        <v>119</v>
      </c>
      <c r="M92" s="164" t="s">
        <v>1402</v>
      </c>
      <c r="N92" s="165">
        <v>100760</v>
      </c>
      <c r="O92" s="164" t="s">
        <v>766</v>
      </c>
      <c r="P92" s="166"/>
      <c r="Q92" s="166" t="s">
        <v>119</v>
      </c>
      <c r="S92" s="12" t="s">
        <v>838</v>
      </c>
      <c r="T92" s="12"/>
      <c r="U92" s="12" t="s">
        <v>442</v>
      </c>
      <c r="V92" s="8" t="s">
        <v>1154</v>
      </c>
      <c r="W92" s="8" t="s">
        <v>1147</v>
      </c>
      <c r="AK92" t="s">
        <v>1737</v>
      </c>
      <c r="BH92" s="120" t="s">
        <v>2332</v>
      </c>
      <c r="BI92" s="120" t="s">
        <v>2400</v>
      </c>
      <c r="BJ92" s="1" t="s">
        <v>2332</v>
      </c>
      <c r="BK92" s="108" t="s">
        <v>2401</v>
      </c>
      <c r="BL92" s="1" t="s">
        <v>2523</v>
      </c>
      <c r="BM92" s="1" t="s">
        <v>1558</v>
      </c>
      <c r="BN92" s="1" t="s">
        <v>1556</v>
      </c>
      <c r="BO92" s="1" t="s">
        <v>2402</v>
      </c>
    </row>
    <row r="93" spans="1:67">
      <c r="A93" s="67"/>
      <c r="B93" s="67"/>
      <c r="C93" s="67"/>
      <c r="D93" s="67"/>
      <c r="E93" s="67"/>
      <c r="G93" s="46" t="s">
        <v>693</v>
      </c>
      <c r="H93" s="5" t="s">
        <v>8</v>
      </c>
      <c r="I93" s="47" t="s">
        <v>694</v>
      </c>
      <c r="J93" s="47"/>
      <c r="L93" s="164" t="s">
        <v>151</v>
      </c>
      <c r="M93" s="164" t="s">
        <v>1402</v>
      </c>
      <c r="N93" s="165">
        <v>100760</v>
      </c>
      <c r="O93" s="164" t="s">
        <v>767</v>
      </c>
      <c r="P93" s="166"/>
      <c r="Q93" s="166" t="s">
        <v>387</v>
      </c>
      <c r="S93" s="12" t="s">
        <v>268</v>
      </c>
      <c r="T93" s="12" t="s">
        <v>105</v>
      </c>
      <c r="U93" s="12" t="s">
        <v>234</v>
      </c>
      <c r="V93" s="8" t="s">
        <v>1155</v>
      </c>
      <c r="W93" s="8" t="s">
        <v>1156</v>
      </c>
      <c r="AK93" t="s">
        <v>1735</v>
      </c>
      <c r="BH93" s="120" t="s">
        <v>1734</v>
      </c>
    </row>
    <row r="94" spans="1:67">
      <c r="A94" s="67"/>
      <c r="B94" s="67"/>
      <c r="C94" s="67"/>
      <c r="D94" s="67"/>
      <c r="E94" s="67"/>
      <c r="G94" s="46" t="s">
        <v>695</v>
      </c>
      <c r="H94" s="5" t="s">
        <v>7</v>
      </c>
      <c r="I94" s="47" t="s">
        <v>694</v>
      </c>
      <c r="J94" s="47"/>
      <c r="L94" s="164" t="s">
        <v>116</v>
      </c>
      <c r="M94" s="164" t="s">
        <v>1402</v>
      </c>
      <c r="N94" s="165">
        <v>100760</v>
      </c>
      <c r="O94" s="164" t="s">
        <v>768</v>
      </c>
      <c r="P94" s="166"/>
      <c r="Q94" s="166" t="s">
        <v>499</v>
      </c>
      <c r="S94" s="12" t="s">
        <v>839</v>
      </c>
      <c r="T94" s="12"/>
      <c r="U94" s="12" t="s">
        <v>439</v>
      </c>
      <c r="V94" s="8" t="s">
        <v>1157</v>
      </c>
      <c r="W94" s="8" t="s">
        <v>1158</v>
      </c>
      <c r="AK94" t="s">
        <v>1736</v>
      </c>
      <c r="BH94" s="120" t="s">
        <v>1788</v>
      </c>
    </row>
    <row r="95" spans="1:67">
      <c r="A95" s="67"/>
      <c r="B95" s="67"/>
      <c r="C95" s="67"/>
      <c r="D95" s="67"/>
      <c r="E95" s="67"/>
      <c r="G95" s="46" t="s">
        <v>696</v>
      </c>
      <c r="H95" s="5" t="s">
        <v>9</v>
      </c>
      <c r="I95" s="47" t="s">
        <v>697</v>
      </c>
      <c r="J95" s="47"/>
      <c r="L95" s="164" t="s">
        <v>769</v>
      </c>
      <c r="M95" s="164" t="s">
        <v>1402</v>
      </c>
      <c r="N95" s="165">
        <v>100760</v>
      </c>
      <c r="O95" s="164" t="s">
        <v>770</v>
      </c>
      <c r="P95" s="166" t="s">
        <v>1316</v>
      </c>
      <c r="Q95" s="166" t="s">
        <v>763</v>
      </c>
      <c r="S95" s="12" t="s">
        <v>461</v>
      </c>
      <c r="T95" s="12"/>
      <c r="U95" s="12" t="s">
        <v>462</v>
      </c>
      <c r="V95" s="8" t="s">
        <v>778</v>
      </c>
      <c r="W95" s="8" t="s">
        <v>102</v>
      </c>
      <c r="BH95" s="120" t="s">
        <v>1897</v>
      </c>
    </row>
    <row r="96" spans="1:67">
      <c r="A96" s="67"/>
      <c r="B96" s="67"/>
      <c r="C96" s="67"/>
      <c r="D96" s="67"/>
      <c r="E96" s="67"/>
      <c r="G96" s="46" t="s">
        <v>698</v>
      </c>
      <c r="H96" s="5" t="s">
        <v>347</v>
      </c>
      <c r="I96" s="47" t="s">
        <v>699</v>
      </c>
      <c r="J96" s="47"/>
      <c r="L96" s="164" t="s">
        <v>771</v>
      </c>
      <c r="M96" s="164" t="s">
        <v>1402</v>
      </c>
      <c r="N96" s="165">
        <v>100760</v>
      </c>
      <c r="O96" s="164" t="s">
        <v>772</v>
      </c>
      <c r="P96" s="166" t="s">
        <v>1316</v>
      </c>
      <c r="Q96" s="166" t="s">
        <v>763</v>
      </c>
      <c r="S96" s="12" t="s">
        <v>260</v>
      </c>
      <c r="T96" s="12" t="s">
        <v>195</v>
      </c>
      <c r="U96" s="12" t="s">
        <v>194</v>
      </c>
      <c r="V96" s="8" t="s">
        <v>1159</v>
      </c>
      <c r="W96" s="8" t="s">
        <v>1160</v>
      </c>
    </row>
    <row r="97" spans="1:65">
      <c r="A97" s="67"/>
      <c r="B97" s="67"/>
      <c r="C97" s="67"/>
      <c r="D97" s="67"/>
      <c r="E97" s="67"/>
      <c r="G97" s="46" t="s">
        <v>700</v>
      </c>
      <c r="H97" s="5" t="s">
        <v>701</v>
      </c>
      <c r="I97" s="47" t="s">
        <v>702</v>
      </c>
      <c r="J97" s="47"/>
      <c r="L97" s="164" t="s">
        <v>346</v>
      </c>
      <c r="M97" s="164" t="s">
        <v>1402</v>
      </c>
      <c r="N97" s="165">
        <v>100760</v>
      </c>
      <c r="O97" s="164" t="s">
        <v>774</v>
      </c>
      <c r="P97" s="166"/>
      <c r="Q97" s="166" t="s">
        <v>773</v>
      </c>
      <c r="S97" s="12" t="s">
        <v>167</v>
      </c>
      <c r="T97" s="12"/>
      <c r="U97" s="12" t="s">
        <v>166</v>
      </c>
      <c r="V97" s="8" t="s">
        <v>1161</v>
      </c>
      <c r="W97" s="8" t="s">
        <v>1162</v>
      </c>
      <c r="BL97" s="1" t="s">
        <v>1906</v>
      </c>
      <c r="BM97" s="1" t="s">
        <v>1538</v>
      </c>
    </row>
    <row r="98" spans="1:65">
      <c r="A98" s="67"/>
      <c r="B98" s="67"/>
      <c r="C98" s="67"/>
      <c r="D98" s="67"/>
      <c r="E98" s="67"/>
      <c r="G98" s="46" t="s">
        <v>307</v>
      </c>
      <c r="H98" s="5" t="s">
        <v>306</v>
      </c>
      <c r="I98" s="47" t="s">
        <v>703</v>
      </c>
      <c r="J98" s="47"/>
      <c r="L98" s="164" t="s">
        <v>511</v>
      </c>
      <c r="M98" s="164" t="s">
        <v>1402</v>
      </c>
      <c r="N98" s="165">
        <v>100760</v>
      </c>
      <c r="O98" s="164" t="s">
        <v>775</v>
      </c>
      <c r="P98" s="166"/>
      <c r="Q98" s="166" t="s">
        <v>513</v>
      </c>
      <c r="S98" s="12" t="s">
        <v>169</v>
      </c>
      <c r="T98" s="12"/>
      <c r="U98" s="12" t="s">
        <v>168</v>
      </c>
      <c r="V98" s="8" t="s">
        <v>1163</v>
      </c>
      <c r="W98" s="8" t="s">
        <v>1164</v>
      </c>
      <c r="BL98" s="1" t="s">
        <v>336</v>
      </c>
      <c r="BM98" s="1" t="s">
        <v>1538</v>
      </c>
    </row>
    <row r="99" spans="1:65">
      <c r="A99" s="67"/>
      <c r="B99" s="67"/>
      <c r="C99" s="67"/>
      <c r="D99" s="67"/>
      <c r="E99" s="67"/>
      <c r="G99" s="46" t="s">
        <v>704</v>
      </c>
      <c r="H99" s="5" t="s">
        <v>311</v>
      </c>
      <c r="I99" s="47" t="s">
        <v>705</v>
      </c>
      <c r="J99" s="47"/>
      <c r="L99" s="164" t="s">
        <v>511</v>
      </c>
      <c r="M99" s="164" t="s">
        <v>1402</v>
      </c>
      <c r="N99" s="165">
        <v>100760</v>
      </c>
      <c r="O99" s="164" t="s">
        <v>776</v>
      </c>
      <c r="P99" s="166" t="s">
        <v>1316</v>
      </c>
      <c r="Q99" s="166" t="s">
        <v>763</v>
      </c>
      <c r="S99" s="12" t="s">
        <v>179</v>
      </c>
      <c r="T99" s="12"/>
      <c r="U99" s="12" t="s">
        <v>178</v>
      </c>
      <c r="V99" s="8" t="s">
        <v>1165</v>
      </c>
      <c r="W99" s="8" t="s">
        <v>101</v>
      </c>
      <c r="BL99" s="1" t="s">
        <v>336</v>
      </c>
      <c r="BM99" s="1" t="s">
        <v>1547</v>
      </c>
    </row>
    <row r="100" spans="1:65">
      <c r="A100" s="67"/>
      <c r="B100" s="67"/>
      <c r="C100" s="67"/>
      <c r="D100" s="67"/>
      <c r="E100" s="67"/>
      <c r="G100" s="46" t="s">
        <v>706</v>
      </c>
      <c r="H100" s="5" t="s">
        <v>317</v>
      </c>
      <c r="I100" s="47" t="s">
        <v>707</v>
      </c>
      <c r="J100" s="47"/>
      <c r="L100" s="169" t="s">
        <v>769</v>
      </c>
      <c r="M100" s="164" t="s">
        <v>1402</v>
      </c>
      <c r="N100" s="170">
        <v>100760</v>
      </c>
      <c r="O100" s="164" t="s">
        <v>777</v>
      </c>
      <c r="P100" s="166" t="s">
        <v>1316</v>
      </c>
      <c r="Q100" s="166" t="s">
        <v>763</v>
      </c>
      <c r="S100" s="12" t="s">
        <v>840</v>
      </c>
      <c r="T100" s="12" t="s">
        <v>449</v>
      </c>
      <c r="U100" s="12" t="s">
        <v>450</v>
      </c>
      <c r="V100" s="8" t="s">
        <v>1166</v>
      </c>
      <c r="W100" s="8" t="s">
        <v>101</v>
      </c>
      <c r="BL100" s="1" t="s">
        <v>336</v>
      </c>
      <c r="BM100" s="1" t="s">
        <v>1532</v>
      </c>
    </row>
    <row r="101" spans="1:65">
      <c r="A101" s="67"/>
      <c r="B101" s="67"/>
      <c r="C101" s="67"/>
      <c r="D101" s="67"/>
      <c r="E101" s="67"/>
      <c r="G101" s="46" t="s">
        <v>708</v>
      </c>
      <c r="H101" s="5" t="s">
        <v>653</v>
      </c>
      <c r="I101" s="47" t="s">
        <v>709</v>
      </c>
      <c r="J101" s="47"/>
      <c r="L101" s="164" t="s">
        <v>778</v>
      </c>
      <c r="M101" s="164" t="s">
        <v>1402</v>
      </c>
      <c r="N101" s="165">
        <v>100760</v>
      </c>
      <c r="O101" s="164" t="s">
        <v>778</v>
      </c>
      <c r="P101" s="166"/>
      <c r="Q101" s="166" t="s">
        <v>326</v>
      </c>
      <c r="S101" s="12" t="s">
        <v>841</v>
      </c>
      <c r="T101" s="12" t="s">
        <v>418</v>
      </c>
      <c r="U101" s="12" t="s">
        <v>419</v>
      </c>
      <c r="V101" s="8" t="s">
        <v>1167</v>
      </c>
      <c r="W101" s="8" t="s">
        <v>101</v>
      </c>
    </row>
    <row r="102" spans="1:65">
      <c r="A102" s="69"/>
      <c r="B102" s="69"/>
      <c r="C102" s="69"/>
      <c r="D102" s="69"/>
      <c r="E102" s="69"/>
      <c r="G102" s="46" t="s">
        <v>710</v>
      </c>
      <c r="H102" s="5" t="s">
        <v>316</v>
      </c>
      <c r="I102" s="47" t="s">
        <v>711</v>
      </c>
      <c r="J102" s="47"/>
      <c r="L102" s="164" t="s">
        <v>344</v>
      </c>
      <c r="M102" s="164" t="s">
        <v>1402</v>
      </c>
      <c r="N102" s="165">
        <v>100760</v>
      </c>
      <c r="O102" s="164" t="s">
        <v>779</v>
      </c>
      <c r="P102" s="166" t="s">
        <v>1316</v>
      </c>
      <c r="Q102" s="166" t="s">
        <v>763</v>
      </c>
      <c r="S102" s="12" t="s">
        <v>330</v>
      </c>
      <c r="T102" s="12" t="s">
        <v>1007</v>
      </c>
      <c r="U102" s="12" t="s">
        <v>232</v>
      </c>
      <c r="V102" s="8" t="s">
        <v>786</v>
      </c>
      <c r="W102" s="8" t="s">
        <v>1168</v>
      </c>
    </row>
    <row r="103" spans="1:65">
      <c r="A103" s="67"/>
      <c r="B103" s="67"/>
      <c r="C103" s="67"/>
      <c r="D103" s="67"/>
      <c r="E103" s="67"/>
      <c r="G103" s="46" t="s">
        <v>315</v>
      </c>
      <c r="H103" s="5" t="s">
        <v>314</v>
      </c>
      <c r="I103" s="47" t="s">
        <v>712</v>
      </c>
      <c r="J103" s="47"/>
      <c r="L103" s="164" t="s">
        <v>780</v>
      </c>
      <c r="M103" s="164" t="s">
        <v>1402</v>
      </c>
      <c r="N103" s="165">
        <v>100760</v>
      </c>
      <c r="O103" s="164" t="s">
        <v>781</v>
      </c>
      <c r="P103" s="166" t="s">
        <v>1316</v>
      </c>
      <c r="Q103" s="166" t="s">
        <v>763</v>
      </c>
      <c r="S103" s="12" t="s">
        <v>843</v>
      </c>
      <c r="T103" s="12" t="s">
        <v>422</v>
      </c>
      <c r="U103" s="12" t="s">
        <v>842</v>
      </c>
      <c r="V103" s="8" t="s">
        <v>1169</v>
      </c>
      <c r="W103" s="8" t="s">
        <v>1170</v>
      </c>
    </row>
    <row r="104" spans="1:65">
      <c r="A104" s="67"/>
      <c r="B104" s="67"/>
      <c r="C104" s="67"/>
      <c r="D104" s="67"/>
      <c r="E104" s="67"/>
      <c r="G104" s="46" t="s">
        <v>713</v>
      </c>
      <c r="H104" s="5" t="s">
        <v>714</v>
      </c>
      <c r="I104" s="47" t="s">
        <v>715</v>
      </c>
      <c r="J104" s="47"/>
      <c r="L104" s="164" t="s">
        <v>782</v>
      </c>
      <c r="M104" s="164" t="s">
        <v>1402</v>
      </c>
      <c r="N104" s="165">
        <v>100760</v>
      </c>
      <c r="O104" s="164" t="s">
        <v>782</v>
      </c>
      <c r="P104" s="166" t="s">
        <v>1316</v>
      </c>
      <c r="Q104" s="166" t="s">
        <v>763</v>
      </c>
      <c r="S104" s="12" t="s">
        <v>845</v>
      </c>
      <c r="T104" s="12" t="s">
        <v>424</v>
      </c>
      <c r="U104" s="12" t="s">
        <v>844</v>
      </c>
      <c r="V104" s="8" t="s">
        <v>1171</v>
      </c>
      <c r="W104" s="8" t="s">
        <v>110</v>
      </c>
    </row>
    <row r="105" spans="1:65">
      <c r="A105" s="67"/>
      <c r="B105" s="67"/>
      <c r="C105" s="67"/>
      <c r="D105" s="67"/>
      <c r="E105" s="67"/>
      <c r="G105" s="46" t="s">
        <v>309</v>
      </c>
      <c r="H105" s="5" t="s">
        <v>308</v>
      </c>
      <c r="I105" s="47" t="s">
        <v>716</v>
      </c>
      <c r="J105" s="47"/>
      <c r="L105" s="164" t="s">
        <v>1315</v>
      </c>
      <c r="M105" s="164" t="s">
        <v>1402</v>
      </c>
      <c r="N105" s="165">
        <v>100760</v>
      </c>
      <c r="O105" s="164" t="s">
        <v>783</v>
      </c>
      <c r="P105" s="166" t="s">
        <v>1316</v>
      </c>
      <c r="Q105" s="166" t="s">
        <v>763</v>
      </c>
      <c r="S105" s="12" t="s">
        <v>485</v>
      </c>
      <c r="T105" s="12" t="s">
        <v>424</v>
      </c>
      <c r="U105" s="12" t="s">
        <v>846</v>
      </c>
      <c r="V105" s="8" t="s">
        <v>1172</v>
      </c>
      <c r="W105" s="8" t="s">
        <v>104</v>
      </c>
    </row>
    <row r="106" spans="1:65">
      <c r="A106" s="67"/>
      <c r="B106" s="67"/>
      <c r="C106" s="67"/>
      <c r="D106" s="67"/>
      <c r="E106" s="67"/>
      <c r="G106" s="46" t="s">
        <v>717</v>
      </c>
      <c r="H106" s="5" t="s">
        <v>653</v>
      </c>
      <c r="I106" s="47" t="s">
        <v>718</v>
      </c>
      <c r="J106" s="47"/>
      <c r="L106" s="164" t="s">
        <v>784</v>
      </c>
      <c r="M106" s="164" t="s">
        <v>1402</v>
      </c>
      <c r="N106" s="165">
        <v>100760</v>
      </c>
      <c r="O106" s="164" t="s">
        <v>778</v>
      </c>
      <c r="P106" s="166" t="s">
        <v>1316</v>
      </c>
      <c r="Q106" s="166" t="s">
        <v>763</v>
      </c>
      <c r="S106" s="12" t="s">
        <v>848</v>
      </c>
      <c r="T106" s="12" t="s">
        <v>424</v>
      </c>
      <c r="U106" s="12" t="s">
        <v>847</v>
      </c>
      <c r="V106" s="8" t="s">
        <v>766</v>
      </c>
      <c r="W106" s="8" t="s">
        <v>104</v>
      </c>
    </row>
    <row r="107" spans="1:65">
      <c r="A107" s="67"/>
      <c r="B107" s="67"/>
      <c r="C107" s="67"/>
      <c r="D107" s="67"/>
      <c r="E107" s="67"/>
      <c r="G107" s="46" t="s">
        <v>719</v>
      </c>
      <c r="H107" s="5" t="s">
        <v>310</v>
      </c>
      <c r="I107" s="47" t="s">
        <v>720</v>
      </c>
      <c r="J107" s="47"/>
      <c r="L107" s="164" t="s">
        <v>785</v>
      </c>
      <c r="M107" s="164" t="s">
        <v>1402</v>
      </c>
      <c r="N107" s="165">
        <v>100760</v>
      </c>
      <c r="O107" s="164" t="s">
        <v>786</v>
      </c>
      <c r="P107" s="166" t="s">
        <v>1316</v>
      </c>
      <c r="Q107" s="166" t="s">
        <v>763</v>
      </c>
      <c r="S107" s="12" t="s">
        <v>489</v>
      </c>
      <c r="T107" s="12" t="s">
        <v>424</v>
      </c>
      <c r="U107" s="12" t="s">
        <v>849</v>
      </c>
      <c r="V107" s="8" t="s">
        <v>1173</v>
      </c>
      <c r="W107" s="8" t="s">
        <v>110</v>
      </c>
    </row>
    <row r="108" spans="1:65">
      <c r="A108" s="67"/>
      <c r="B108" s="67"/>
      <c r="C108" s="67"/>
      <c r="D108" s="67"/>
      <c r="E108" s="67"/>
      <c r="G108" s="46" t="s">
        <v>313</v>
      </c>
      <c r="H108" s="5" t="s">
        <v>312</v>
      </c>
      <c r="I108" s="47" t="s">
        <v>721</v>
      </c>
      <c r="J108" s="47"/>
      <c r="L108" s="164" t="s">
        <v>1317</v>
      </c>
      <c r="M108" s="164" t="s">
        <v>1402</v>
      </c>
      <c r="N108" s="165">
        <v>100760</v>
      </c>
      <c r="O108" s="164" t="s">
        <v>451</v>
      </c>
      <c r="P108" s="166"/>
      <c r="Q108" s="166" t="s">
        <v>738</v>
      </c>
      <c r="S108" s="12" t="s">
        <v>851</v>
      </c>
      <c r="T108" s="12" t="s">
        <v>424</v>
      </c>
      <c r="U108" s="12" t="s">
        <v>850</v>
      </c>
      <c r="V108" s="8" t="s">
        <v>1174</v>
      </c>
      <c r="W108" s="8" t="s">
        <v>1175</v>
      </c>
    </row>
    <row r="109" spans="1:65">
      <c r="A109" s="67"/>
      <c r="B109" s="67"/>
      <c r="C109" s="67"/>
      <c r="D109" s="67"/>
      <c r="E109" s="67"/>
      <c r="G109" s="46" t="s">
        <v>722</v>
      </c>
      <c r="H109" s="5" t="s">
        <v>295</v>
      </c>
      <c r="I109" s="47" t="s">
        <v>723</v>
      </c>
      <c r="J109" s="47"/>
      <c r="L109" s="164" t="s">
        <v>787</v>
      </c>
      <c r="M109" s="164" t="s">
        <v>1402</v>
      </c>
      <c r="N109" s="165">
        <v>100760</v>
      </c>
      <c r="O109" s="164" t="s">
        <v>777</v>
      </c>
      <c r="P109" s="166" t="s">
        <v>1316</v>
      </c>
      <c r="Q109" s="166" t="s">
        <v>763</v>
      </c>
      <c r="S109" s="12" t="s">
        <v>852</v>
      </c>
      <c r="T109" s="12" t="s">
        <v>427</v>
      </c>
      <c r="U109" s="12" t="s">
        <v>234</v>
      </c>
      <c r="V109" s="8" t="s">
        <v>1176</v>
      </c>
      <c r="W109" s="8" t="s">
        <v>1177</v>
      </c>
    </row>
    <row r="110" spans="1:65">
      <c r="A110" s="67"/>
      <c r="B110" s="67"/>
      <c r="C110" s="67"/>
      <c r="D110" s="67"/>
      <c r="E110" s="67"/>
      <c r="G110" s="46" t="s">
        <v>350</v>
      </c>
      <c r="H110" s="5" t="s">
        <v>24</v>
      </c>
      <c r="I110" s="47" t="s">
        <v>724</v>
      </c>
      <c r="J110" s="47"/>
      <c r="L110" s="164" t="s">
        <v>1314</v>
      </c>
      <c r="M110" s="164" t="s">
        <v>1402</v>
      </c>
      <c r="N110" s="165">
        <v>100760</v>
      </c>
      <c r="O110" s="164" t="s">
        <v>788</v>
      </c>
      <c r="P110" s="166" t="s">
        <v>1316</v>
      </c>
      <c r="Q110" s="166" t="s">
        <v>763</v>
      </c>
      <c r="S110" s="12" t="s">
        <v>181</v>
      </c>
      <c r="T110" s="12" t="s">
        <v>436</v>
      </c>
      <c r="U110" s="12" t="s">
        <v>437</v>
      </c>
      <c r="V110" s="8" t="s">
        <v>768</v>
      </c>
      <c r="W110" s="8" t="s">
        <v>955</v>
      </c>
    </row>
    <row r="111" spans="1:65">
      <c r="A111" s="67"/>
      <c r="B111" s="67"/>
      <c r="C111" s="67"/>
      <c r="D111" s="67"/>
      <c r="E111" s="67"/>
      <c r="G111" s="46" t="s">
        <v>319</v>
      </c>
      <c r="H111" s="5" t="s">
        <v>318</v>
      </c>
      <c r="I111" s="47" t="s">
        <v>725</v>
      </c>
      <c r="J111" s="47"/>
      <c r="L111" s="164" t="s">
        <v>789</v>
      </c>
      <c r="M111" s="164" t="s">
        <v>1402</v>
      </c>
      <c r="N111" s="165">
        <v>100760</v>
      </c>
      <c r="O111" s="164" t="s">
        <v>790</v>
      </c>
      <c r="P111" s="166" t="s">
        <v>1316</v>
      </c>
      <c r="Q111" s="166" t="s">
        <v>763</v>
      </c>
      <c r="S111" s="12" t="s">
        <v>854</v>
      </c>
      <c r="T111" s="12" t="s">
        <v>824</v>
      </c>
      <c r="U111" s="12" t="s">
        <v>853</v>
      </c>
      <c r="V111" s="8" t="s">
        <v>1178</v>
      </c>
      <c r="W111" s="8" t="s">
        <v>1041</v>
      </c>
    </row>
    <row r="112" spans="1:65">
      <c r="A112" s="67"/>
      <c r="B112" s="67"/>
      <c r="C112" s="67"/>
      <c r="D112" s="67"/>
      <c r="E112" s="67"/>
      <c r="G112" s="46" t="s">
        <v>726</v>
      </c>
      <c r="H112" s="5" t="s">
        <v>727</v>
      </c>
      <c r="I112" s="47" t="s">
        <v>661</v>
      </c>
      <c r="J112" s="47"/>
      <c r="L112" s="164" t="s">
        <v>791</v>
      </c>
      <c r="M112" s="164" t="s">
        <v>1402</v>
      </c>
      <c r="N112" s="165">
        <v>100760</v>
      </c>
      <c r="O112" s="164" t="s">
        <v>792</v>
      </c>
      <c r="P112" s="166" t="s">
        <v>1316</v>
      </c>
      <c r="Q112" s="166" t="s">
        <v>763</v>
      </c>
      <c r="S112" s="12" t="s">
        <v>856</v>
      </c>
      <c r="T112" s="12" t="s">
        <v>825</v>
      </c>
      <c r="U112" s="12" t="s">
        <v>855</v>
      </c>
      <c r="V112" s="8" t="s">
        <v>1179</v>
      </c>
      <c r="W112" s="8" t="s">
        <v>1045</v>
      </c>
      <c r="BG112" s="120" t="s">
        <v>1988</v>
      </c>
    </row>
    <row r="113" spans="1:59">
      <c r="A113" s="67"/>
      <c r="B113" s="67"/>
      <c r="C113" s="67"/>
      <c r="D113" s="67"/>
      <c r="E113" s="67"/>
      <c r="G113" s="46" t="s">
        <v>728</v>
      </c>
      <c r="H113" s="5" t="s">
        <v>729</v>
      </c>
      <c r="I113" s="6" t="s">
        <v>730</v>
      </c>
      <c r="J113" s="5" t="s">
        <v>731</v>
      </c>
      <c r="L113" s="164" t="s">
        <v>793</v>
      </c>
      <c r="M113" s="164" t="s">
        <v>1402</v>
      </c>
      <c r="N113" s="165">
        <v>100760</v>
      </c>
      <c r="O113" s="164" t="s">
        <v>794</v>
      </c>
      <c r="P113" s="166" t="s">
        <v>1316</v>
      </c>
      <c r="Q113" s="166" t="s">
        <v>763</v>
      </c>
      <c r="S113" s="12" t="s">
        <v>826</v>
      </c>
      <c r="T113" s="12" t="s">
        <v>826</v>
      </c>
      <c r="U113" s="12" t="s">
        <v>235</v>
      </c>
      <c r="V113" s="8" t="s">
        <v>1180</v>
      </c>
      <c r="W113" s="8" t="s">
        <v>1049</v>
      </c>
      <c r="BG113" s="120" t="s">
        <v>1990</v>
      </c>
    </row>
    <row r="114" spans="1:59">
      <c r="A114" s="67"/>
      <c r="B114" s="67"/>
      <c r="C114" s="67"/>
      <c r="D114" s="67"/>
      <c r="E114" s="67"/>
      <c r="G114" s="46" t="s">
        <v>728</v>
      </c>
      <c r="H114" s="5" t="s">
        <v>732</v>
      </c>
      <c r="I114" s="6" t="s">
        <v>730</v>
      </c>
      <c r="J114" s="5" t="s">
        <v>731</v>
      </c>
      <c r="L114" s="164" t="s">
        <v>103</v>
      </c>
      <c r="M114" s="164" t="s">
        <v>1402</v>
      </c>
      <c r="N114" s="165">
        <v>100760</v>
      </c>
      <c r="O114" s="164" t="s">
        <v>762</v>
      </c>
      <c r="P114" s="166" t="s">
        <v>1316</v>
      </c>
      <c r="Q114" s="166" t="s">
        <v>763</v>
      </c>
      <c r="S114" s="12" t="s">
        <v>858</v>
      </c>
      <c r="T114" s="12" t="s">
        <v>440</v>
      </c>
      <c r="U114" s="12" t="s">
        <v>857</v>
      </c>
      <c r="V114" s="8" t="s">
        <v>1181</v>
      </c>
      <c r="W114" s="8" t="s">
        <v>966</v>
      </c>
    </row>
    <row r="115" spans="1:59">
      <c r="A115" s="67"/>
      <c r="B115" s="67"/>
      <c r="C115" s="67"/>
      <c r="D115" s="67"/>
      <c r="E115" s="67"/>
      <c r="L115" s="164" t="s">
        <v>789</v>
      </c>
      <c r="M115" s="164" t="s">
        <v>1402</v>
      </c>
      <c r="N115" s="165">
        <v>100760</v>
      </c>
      <c r="O115" s="164" t="s">
        <v>795</v>
      </c>
      <c r="P115" s="166" t="s">
        <v>1316</v>
      </c>
      <c r="Q115" s="166" t="s">
        <v>763</v>
      </c>
      <c r="S115" s="12" t="s">
        <v>859</v>
      </c>
      <c r="T115" s="12" t="s">
        <v>1009</v>
      </c>
      <c r="U115" s="12" t="s">
        <v>234</v>
      </c>
      <c r="V115" s="8" t="s">
        <v>1182</v>
      </c>
      <c r="W115" s="8" t="s">
        <v>1073</v>
      </c>
      <c r="BG115" s="120" t="s">
        <v>1980</v>
      </c>
    </row>
    <row r="116" spans="1:59">
      <c r="A116" s="67"/>
      <c r="B116" s="67"/>
      <c r="C116" s="67"/>
      <c r="D116" s="67"/>
      <c r="E116" s="67"/>
      <c r="L116" s="202" t="s">
        <v>796</v>
      </c>
      <c r="M116" s="203"/>
      <c r="N116" s="203"/>
      <c r="O116" s="203"/>
      <c r="P116" s="203"/>
      <c r="Q116" s="204"/>
      <c r="S116" s="12" t="s">
        <v>861</v>
      </c>
      <c r="T116" s="12"/>
      <c r="U116" s="12" t="s">
        <v>860</v>
      </c>
      <c r="V116" s="8" t="s">
        <v>286</v>
      </c>
      <c r="W116" s="8" t="s">
        <v>955</v>
      </c>
      <c r="BG116" s="120" t="s">
        <v>1982</v>
      </c>
    </row>
    <row r="117" spans="1:59">
      <c r="A117" s="67"/>
      <c r="B117" s="67"/>
      <c r="C117" s="67"/>
      <c r="D117" s="67"/>
      <c r="E117" s="67"/>
      <c r="L117" s="159" t="s">
        <v>140</v>
      </c>
      <c r="M117" s="159" t="s">
        <v>139</v>
      </c>
      <c r="N117" s="159" t="s">
        <v>141</v>
      </c>
      <c r="O117" s="159" t="s">
        <v>733</v>
      </c>
      <c r="P117" s="160"/>
      <c r="Q117" s="160"/>
      <c r="S117" s="12" t="s">
        <v>862</v>
      </c>
      <c r="T117" s="12"/>
      <c r="U117" s="12" t="s">
        <v>860</v>
      </c>
      <c r="V117" s="8" t="s">
        <v>1183</v>
      </c>
      <c r="W117" s="8" t="s">
        <v>957</v>
      </c>
      <c r="BG117" s="120" t="s">
        <v>1984</v>
      </c>
    </row>
    <row r="118" spans="1:59">
      <c r="A118" s="67"/>
      <c r="B118" s="67"/>
      <c r="C118" s="67"/>
      <c r="D118" s="67"/>
      <c r="E118" s="67"/>
      <c r="L118" s="161" t="s">
        <v>930</v>
      </c>
      <c r="M118" s="161" t="s">
        <v>1786</v>
      </c>
      <c r="N118" s="161">
        <v>100760</v>
      </c>
      <c r="O118" s="161" t="s">
        <v>797</v>
      </c>
      <c r="P118" s="162"/>
      <c r="Q118" s="162" t="s">
        <v>1791</v>
      </c>
      <c r="S118" s="12" t="s">
        <v>863</v>
      </c>
      <c r="T118" s="12"/>
      <c r="U118" s="12" t="s">
        <v>205</v>
      </c>
      <c r="V118" s="8" t="s">
        <v>1184</v>
      </c>
      <c r="W118" s="8" t="s">
        <v>1089</v>
      </c>
    </row>
    <row r="119" spans="1:59">
      <c r="A119" s="67"/>
      <c r="B119" s="67"/>
      <c r="C119" s="67"/>
      <c r="D119" s="67"/>
      <c r="E119" s="67"/>
      <c r="L119" s="161" t="s">
        <v>930</v>
      </c>
      <c r="M119" s="161" t="s">
        <v>1786</v>
      </c>
      <c r="N119" s="161">
        <v>100760</v>
      </c>
      <c r="O119" s="161" t="s">
        <v>797</v>
      </c>
      <c r="P119" s="162"/>
      <c r="Q119" s="162" t="s">
        <v>1791</v>
      </c>
      <c r="S119" s="12" t="s">
        <v>864</v>
      </c>
      <c r="T119" s="12"/>
      <c r="U119" s="12" t="s">
        <v>205</v>
      </c>
      <c r="V119" s="8" t="s">
        <v>1185</v>
      </c>
      <c r="W119" s="8" t="s">
        <v>973</v>
      </c>
    </row>
    <row r="120" spans="1:59">
      <c r="A120" s="67"/>
      <c r="B120" s="67"/>
      <c r="C120" s="67"/>
      <c r="D120" s="67"/>
      <c r="E120" s="67"/>
      <c r="L120" s="161" t="s">
        <v>930</v>
      </c>
      <c r="M120" s="161" t="s">
        <v>1786</v>
      </c>
      <c r="N120" s="161">
        <v>100760</v>
      </c>
      <c r="O120" s="161" t="s">
        <v>797</v>
      </c>
      <c r="P120" s="162"/>
      <c r="Q120" s="162" t="s">
        <v>1791</v>
      </c>
      <c r="S120" s="12" t="s">
        <v>865</v>
      </c>
      <c r="T120" s="12"/>
      <c r="U120" s="12" t="s">
        <v>206</v>
      </c>
      <c r="V120" s="8" t="s">
        <v>1186</v>
      </c>
      <c r="W120" s="8" t="s">
        <v>1099</v>
      </c>
      <c r="BG120" s="120" t="s">
        <v>1986</v>
      </c>
    </row>
    <row r="121" spans="1:59">
      <c r="A121" s="67"/>
      <c r="B121" s="67"/>
      <c r="C121" s="67"/>
      <c r="D121" s="67"/>
      <c r="E121" s="67"/>
      <c r="L121" s="161" t="s">
        <v>930</v>
      </c>
      <c r="M121" s="161" t="s">
        <v>1786</v>
      </c>
      <c r="N121" s="161">
        <v>100760</v>
      </c>
      <c r="O121" s="161" t="s">
        <v>798</v>
      </c>
      <c r="P121" s="162"/>
      <c r="Q121" s="162" t="s">
        <v>1791</v>
      </c>
      <c r="S121" s="12" t="s">
        <v>835</v>
      </c>
      <c r="T121" s="12"/>
      <c r="U121" s="12" t="s">
        <v>206</v>
      </c>
      <c r="V121" s="8" t="s">
        <v>1187</v>
      </c>
      <c r="W121" s="8" t="s">
        <v>780</v>
      </c>
    </row>
    <row r="122" spans="1:59">
      <c r="A122" s="67"/>
      <c r="B122" s="67"/>
      <c r="C122" s="67"/>
      <c r="D122" s="67"/>
      <c r="E122" s="67"/>
      <c r="L122" s="161" t="s">
        <v>930</v>
      </c>
      <c r="M122" s="161" t="s">
        <v>1786</v>
      </c>
      <c r="N122" s="161">
        <v>100760</v>
      </c>
      <c r="O122" s="161" t="s">
        <v>798</v>
      </c>
      <c r="P122" s="162"/>
      <c r="Q122" s="162" t="s">
        <v>1791</v>
      </c>
      <c r="S122" s="12" t="s">
        <v>830</v>
      </c>
      <c r="T122" s="12"/>
      <c r="U122" s="12" t="s">
        <v>206</v>
      </c>
      <c r="V122" s="8" t="s">
        <v>1188</v>
      </c>
      <c r="W122" s="8" t="s">
        <v>1108</v>
      </c>
    </row>
    <row r="123" spans="1:59">
      <c r="A123" s="67"/>
      <c r="B123" s="67"/>
      <c r="C123" s="67"/>
      <c r="D123" s="67"/>
      <c r="E123" s="67"/>
      <c r="L123" s="161" t="s">
        <v>930</v>
      </c>
      <c r="M123" s="161" t="s">
        <v>1786</v>
      </c>
      <c r="N123" s="161">
        <v>100760</v>
      </c>
      <c r="O123" s="161" t="s">
        <v>798</v>
      </c>
      <c r="P123" s="162"/>
      <c r="Q123" s="162" t="s">
        <v>1791</v>
      </c>
      <c r="S123" s="12" t="s">
        <v>866</v>
      </c>
      <c r="T123" s="12"/>
      <c r="U123" s="12" t="s">
        <v>439</v>
      </c>
      <c r="V123" s="8" t="s">
        <v>287</v>
      </c>
      <c r="W123" s="8" t="s">
        <v>974</v>
      </c>
    </row>
    <row r="124" spans="1:59">
      <c r="A124" s="67"/>
      <c r="B124" s="67"/>
      <c r="C124" s="67"/>
      <c r="D124" s="67"/>
      <c r="E124" s="67"/>
      <c r="L124" s="161" t="s">
        <v>930</v>
      </c>
      <c r="M124" s="161" t="s">
        <v>1786</v>
      </c>
      <c r="N124" s="161">
        <v>100760</v>
      </c>
      <c r="O124" s="161" t="s">
        <v>799</v>
      </c>
      <c r="P124" s="162"/>
      <c r="Q124" s="162" t="s">
        <v>1791</v>
      </c>
      <c r="S124" s="12" t="s">
        <v>868</v>
      </c>
      <c r="T124" s="12"/>
      <c r="U124" s="12" t="s">
        <v>867</v>
      </c>
      <c r="V124" s="8" t="s">
        <v>953</v>
      </c>
      <c r="W124" s="8" t="s">
        <v>958</v>
      </c>
    </row>
    <row r="125" spans="1:59">
      <c r="A125" s="67"/>
      <c r="B125" s="67"/>
      <c r="C125" s="67"/>
      <c r="D125" s="67"/>
      <c r="E125" s="67"/>
      <c r="L125" s="161" t="s">
        <v>930</v>
      </c>
      <c r="M125" s="161" t="s">
        <v>1786</v>
      </c>
      <c r="N125" s="161">
        <v>100760</v>
      </c>
      <c r="O125" s="161" t="s">
        <v>799</v>
      </c>
      <c r="P125" s="162"/>
      <c r="Q125" s="162" t="s">
        <v>1791</v>
      </c>
      <c r="S125" s="12" t="s">
        <v>869</v>
      </c>
      <c r="T125" s="12"/>
      <c r="U125" s="12" t="s">
        <v>433</v>
      </c>
      <c r="V125" s="8" t="s">
        <v>321</v>
      </c>
      <c r="W125" s="8" t="s">
        <v>1091</v>
      </c>
    </row>
    <row r="126" spans="1:59">
      <c r="A126" s="67"/>
      <c r="B126" s="67"/>
      <c r="C126" s="67"/>
      <c r="D126" s="67"/>
      <c r="E126" s="67"/>
      <c r="L126" s="161" t="s">
        <v>930</v>
      </c>
      <c r="M126" s="161" t="s">
        <v>1786</v>
      </c>
      <c r="N126" s="161">
        <v>100760</v>
      </c>
      <c r="O126" s="161" t="s">
        <v>799</v>
      </c>
      <c r="P126" s="162"/>
      <c r="Q126" s="162" t="s">
        <v>1791</v>
      </c>
      <c r="S126" s="12" t="s">
        <v>871</v>
      </c>
      <c r="T126" s="12"/>
      <c r="U126" s="12" t="s">
        <v>870</v>
      </c>
      <c r="V126" s="8" t="s">
        <v>1189</v>
      </c>
      <c r="W126" s="8" t="s">
        <v>1091</v>
      </c>
    </row>
    <row r="127" spans="1:59">
      <c r="A127" s="67"/>
      <c r="B127" s="67"/>
      <c r="C127" s="67"/>
      <c r="D127" s="67"/>
      <c r="E127" s="67"/>
      <c r="L127" s="161" t="s">
        <v>930</v>
      </c>
      <c r="M127" s="161" t="s">
        <v>1786</v>
      </c>
      <c r="N127" s="161">
        <v>100760</v>
      </c>
      <c r="O127" s="161" t="s">
        <v>800</v>
      </c>
      <c r="P127" s="162"/>
      <c r="Q127" s="162" t="s">
        <v>1791</v>
      </c>
      <c r="S127" s="12" t="s">
        <v>873</v>
      </c>
      <c r="T127" s="12"/>
      <c r="U127" s="12" t="s">
        <v>872</v>
      </c>
      <c r="V127" s="8" t="s">
        <v>1190</v>
      </c>
      <c r="W127" s="8" t="s">
        <v>1191</v>
      </c>
    </row>
    <row r="128" spans="1:59">
      <c r="A128" s="67"/>
      <c r="B128" s="67"/>
      <c r="C128" s="67"/>
      <c r="D128" s="67"/>
      <c r="E128" s="67"/>
      <c r="L128" s="161" t="s">
        <v>930</v>
      </c>
      <c r="M128" s="161" t="s">
        <v>1786</v>
      </c>
      <c r="N128" s="161">
        <v>100760</v>
      </c>
      <c r="O128" s="161" t="s">
        <v>800</v>
      </c>
      <c r="P128" s="162"/>
      <c r="Q128" s="162" t="s">
        <v>1791</v>
      </c>
      <c r="S128" s="12" t="s">
        <v>811</v>
      </c>
      <c r="T128" s="12"/>
      <c r="U128" s="12" t="s">
        <v>872</v>
      </c>
      <c r="V128" s="8" t="s">
        <v>1192</v>
      </c>
      <c r="W128" s="8" t="s">
        <v>1191</v>
      </c>
    </row>
    <row r="129" spans="1:23">
      <c r="A129" s="67"/>
      <c r="B129" s="67"/>
      <c r="C129" s="67"/>
      <c r="D129" s="67"/>
      <c r="E129" s="67"/>
      <c r="L129" s="161" t="s">
        <v>930</v>
      </c>
      <c r="M129" s="161" t="s">
        <v>1786</v>
      </c>
      <c r="N129" s="161">
        <v>100760</v>
      </c>
      <c r="O129" s="161" t="s">
        <v>800</v>
      </c>
      <c r="P129" s="162"/>
      <c r="Q129" s="162" t="s">
        <v>1791</v>
      </c>
      <c r="S129" s="12" t="s">
        <v>828</v>
      </c>
      <c r="T129" s="12"/>
      <c r="U129" s="12" t="s">
        <v>827</v>
      </c>
      <c r="V129" s="8" t="s">
        <v>1193</v>
      </c>
      <c r="W129" s="8" t="s">
        <v>973</v>
      </c>
    </row>
    <row r="130" spans="1:23">
      <c r="A130" s="67"/>
      <c r="B130" s="67"/>
      <c r="C130" s="67"/>
      <c r="D130" s="67"/>
      <c r="E130" s="67"/>
      <c r="L130" s="161" t="s">
        <v>1785</v>
      </c>
      <c r="M130" s="161" t="s">
        <v>1787</v>
      </c>
      <c r="N130" s="161">
        <v>100760</v>
      </c>
      <c r="O130" s="161" t="s">
        <v>797</v>
      </c>
      <c r="P130" s="162"/>
      <c r="Q130" s="162" t="s">
        <v>1791</v>
      </c>
      <c r="S130" s="12" t="s">
        <v>874</v>
      </c>
      <c r="T130" s="12"/>
      <c r="U130" s="12" t="s">
        <v>180</v>
      </c>
      <c r="V130" s="8" t="s">
        <v>1194</v>
      </c>
      <c r="W130" s="8" t="s">
        <v>954</v>
      </c>
    </row>
    <row r="131" spans="1:23">
      <c r="A131" s="67"/>
      <c r="B131" s="67"/>
      <c r="C131" s="67"/>
      <c r="D131" s="67"/>
      <c r="E131" s="67"/>
      <c r="L131" s="161" t="s">
        <v>1785</v>
      </c>
      <c r="M131" s="161" t="s">
        <v>1787</v>
      </c>
      <c r="N131" s="161">
        <v>100760</v>
      </c>
      <c r="O131" s="161" t="s">
        <v>799</v>
      </c>
      <c r="P131" s="162"/>
      <c r="Q131" s="162" t="s">
        <v>1791</v>
      </c>
      <c r="S131" s="12" t="s">
        <v>875</v>
      </c>
      <c r="T131" s="12"/>
      <c r="U131" s="12" t="s">
        <v>438</v>
      </c>
      <c r="V131" s="8" t="s">
        <v>981</v>
      </c>
      <c r="W131" s="8" t="s">
        <v>1083</v>
      </c>
    </row>
    <row r="132" spans="1:23">
      <c r="A132" s="67"/>
      <c r="B132" s="67"/>
      <c r="C132" s="67"/>
      <c r="D132" s="67"/>
      <c r="E132" s="67"/>
      <c r="L132" s="161" t="s">
        <v>1785</v>
      </c>
      <c r="M132" s="161" t="s">
        <v>1787</v>
      </c>
      <c r="N132" s="161">
        <v>100760</v>
      </c>
      <c r="O132" s="161" t="s">
        <v>799</v>
      </c>
      <c r="P132" s="162"/>
      <c r="Q132" s="162" t="s">
        <v>1791</v>
      </c>
      <c r="S132" s="12" t="s">
        <v>877</v>
      </c>
      <c r="T132" s="12"/>
      <c r="U132" s="12" t="s">
        <v>876</v>
      </c>
      <c r="V132" s="8" t="s">
        <v>1195</v>
      </c>
      <c r="W132" s="8" t="s">
        <v>102</v>
      </c>
    </row>
    <row r="133" spans="1:23">
      <c r="A133" s="67"/>
      <c r="B133" s="67"/>
      <c r="C133" s="67"/>
      <c r="D133" s="67"/>
      <c r="E133" s="67"/>
      <c r="L133" s="161" t="s">
        <v>1785</v>
      </c>
      <c r="M133" s="161" t="s">
        <v>1787</v>
      </c>
      <c r="N133" s="161">
        <v>100760</v>
      </c>
      <c r="O133" s="161" t="s">
        <v>798</v>
      </c>
      <c r="P133" s="162"/>
      <c r="Q133" s="162" t="s">
        <v>1791</v>
      </c>
      <c r="S133" s="12" t="s">
        <v>878</v>
      </c>
      <c r="T133" s="12"/>
      <c r="U133" s="12" t="s">
        <v>441</v>
      </c>
      <c r="V133" s="8" t="s">
        <v>1196</v>
      </c>
      <c r="W133" s="8" t="s">
        <v>954</v>
      </c>
    </row>
    <row r="134" spans="1:23">
      <c r="A134" s="67"/>
      <c r="B134" s="67"/>
      <c r="C134" s="67"/>
      <c r="D134" s="67"/>
      <c r="E134" s="67"/>
      <c r="L134" s="161" t="s">
        <v>1785</v>
      </c>
      <c r="M134" s="161" t="s">
        <v>1787</v>
      </c>
      <c r="N134" s="161">
        <v>100760</v>
      </c>
      <c r="O134" s="161" t="s">
        <v>800</v>
      </c>
      <c r="P134" s="162"/>
      <c r="Q134" s="162" t="s">
        <v>1791</v>
      </c>
      <c r="S134" s="12" t="s">
        <v>879</v>
      </c>
      <c r="T134" s="12"/>
      <c r="U134" s="12" t="s">
        <v>444</v>
      </c>
      <c r="V134" s="8" t="s">
        <v>391</v>
      </c>
      <c r="W134" s="8" t="s">
        <v>1197</v>
      </c>
    </row>
    <row r="135" spans="1:23">
      <c r="A135" s="67"/>
      <c r="B135" s="67"/>
      <c r="C135" s="67"/>
      <c r="D135" s="67"/>
      <c r="E135" s="67"/>
      <c r="L135" s="161" t="s">
        <v>1785</v>
      </c>
      <c r="M135" s="161" t="s">
        <v>1787</v>
      </c>
      <c r="N135" s="161">
        <v>100760</v>
      </c>
      <c r="O135" s="161" t="s">
        <v>800</v>
      </c>
      <c r="P135" s="162"/>
      <c r="Q135" s="162" t="s">
        <v>1791</v>
      </c>
      <c r="S135" s="12" t="s">
        <v>455</v>
      </c>
      <c r="T135" s="12"/>
      <c r="U135" s="12" t="s">
        <v>197</v>
      </c>
      <c r="V135" s="8" t="s">
        <v>976</v>
      </c>
      <c r="W135" s="8" t="s">
        <v>968</v>
      </c>
    </row>
    <row r="136" spans="1:23">
      <c r="A136" s="67"/>
      <c r="B136" s="67"/>
      <c r="C136" s="67"/>
      <c r="D136" s="67"/>
      <c r="E136" s="67"/>
      <c r="S136" s="12" t="s">
        <v>1008</v>
      </c>
      <c r="T136" s="12"/>
      <c r="U136" s="12" t="s">
        <v>197</v>
      </c>
      <c r="V136" s="8" t="s">
        <v>1198</v>
      </c>
      <c r="W136" s="8" t="s">
        <v>1047</v>
      </c>
    </row>
    <row r="137" spans="1:23">
      <c r="A137" s="67"/>
      <c r="B137" s="67"/>
      <c r="C137" s="67"/>
      <c r="D137" s="67"/>
      <c r="E137" s="67"/>
      <c r="S137" s="12" t="s">
        <v>881</v>
      </c>
      <c r="T137" s="12"/>
      <c r="U137" s="12" t="s">
        <v>880</v>
      </c>
      <c r="V137" s="8" t="s">
        <v>1199</v>
      </c>
      <c r="W137" s="8" t="s">
        <v>1412</v>
      </c>
    </row>
    <row r="138" spans="1:23">
      <c r="A138" s="67"/>
      <c r="B138" s="67"/>
      <c r="C138" s="67"/>
      <c r="D138" s="67"/>
      <c r="E138" s="67"/>
      <c r="S138" s="12" t="s">
        <v>882</v>
      </c>
      <c r="T138" s="12"/>
      <c r="U138" s="12" t="s">
        <v>880</v>
      </c>
      <c r="V138" s="8" t="s">
        <v>1200</v>
      </c>
      <c r="W138" s="8" t="s">
        <v>955</v>
      </c>
    </row>
    <row r="139" spans="1:23">
      <c r="A139" s="67"/>
      <c r="B139" s="67"/>
      <c r="C139" s="67"/>
      <c r="D139" s="67"/>
      <c r="E139" s="67"/>
      <c r="S139" s="12" t="s">
        <v>883</v>
      </c>
      <c r="T139" s="12"/>
      <c r="U139" s="12" t="s">
        <v>880</v>
      </c>
      <c r="V139" s="8" t="s">
        <v>392</v>
      </c>
      <c r="W139" s="8" t="s">
        <v>1201</v>
      </c>
    </row>
    <row r="140" spans="1:23">
      <c r="A140" s="69"/>
      <c r="B140" s="69"/>
      <c r="C140" s="69"/>
      <c r="D140" s="69"/>
      <c r="E140" s="69"/>
      <c r="S140" s="12" t="s">
        <v>884</v>
      </c>
      <c r="T140" s="12"/>
      <c r="U140" s="12" t="s">
        <v>880</v>
      </c>
      <c r="V140" s="8" t="s">
        <v>1202</v>
      </c>
      <c r="W140" s="8" t="s">
        <v>484</v>
      </c>
    </row>
    <row r="141" spans="1:23">
      <c r="A141" s="67"/>
      <c r="B141" s="67"/>
      <c r="C141" s="67"/>
      <c r="D141" s="67"/>
      <c r="E141" s="67"/>
      <c r="S141" s="12" t="s">
        <v>885</v>
      </c>
      <c r="T141" s="12"/>
      <c r="U141" s="12" t="s">
        <v>880</v>
      </c>
      <c r="V141" s="8" t="s">
        <v>1203</v>
      </c>
      <c r="W141" s="8" t="s">
        <v>484</v>
      </c>
    </row>
    <row r="142" spans="1:23">
      <c r="A142" s="67"/>
      <c r="B142" s="67"/>
      <c r="C142" s="67"/>
      <c r="D142" s="67"/>
      <c r="E142" s="67"/>
      <c r="S142" s="12" t="s">
        <v>483</v>
      </c>
      <c r="T142" s="12"/>
      <c r="U142" s="12" t="s">
        <v>188</v>
      </c>
      <c r="V142" s="8" t="s">
        <v>1204</v>
      </c>
      <c r="W142" s="8" t="s">
        <v>1205</v>
      </c>
    </row>
    <row r="143" spans="1:23">
      <c r="A143" s="67"/>
      <c r="B143" s="67"/>
      <c r="C143" s="67"/>
      <c r="D143" s="67"/>
      <c r="E143" s="67"/>
      <c r="S143" s="12" t="s">
        <v>254</v>
      </c>
      <c r="T143" s="12"/>
      <c r="U143" s="12" t="s">
        <v>253</v>
      </c>
      <c r="V143" s="8" t="s">
        <v>1206</v>
      </c>
      <c r="W143" s="8" t="s">
        <v>1207</v>
      </c>
    </row>
    <row r="144" spans="1:23">
      <c r="A144" s="67"/>
      <c r="B144" s="67"/>
      <c r="C144" s="67"/>
      <c r="D144" s="67"/>
      <c r="E144" s="67"/>
      <c r="S144" s="12" t="s">
        <v>193</v>
      </c>
      <c r="T144" s="12"/>
      <c r="U144" s="12" t="s">
        <v>192</v>
      </c>
      <c r="V144" s="8" t="s">
        <v>1208</v>
      </c>
      <c r="W144" s="8" t="s">
        <v>1208</v>
      </c>
    </row>
    <row r="145" spans="1:23">
      <c r="A145" s="68"/>
      <c r="B145" s="68"/>
      <c r="C145" s="68"/>
      <c r="D145" s="68"/>
      <c r="E145" s="68"/>
      <c r="S145" s="12" t="s">
        <v>887</v>
      </c>
      <c r="T145" s="12"/>
      <c r="U145" s="12" t="s">
        <v>886</v>
      </c>
      <c r="V145" s="8" t="s">
        <v>961</v>
      </c>
      <c r="W145" s="8" t="s">
        <v>966</v>
      </c>
    </row>
    <row r="146" spans="1:23">
      <c r="A146" s="67"/>
      <c r="B146" s="67"/>
      <c r="C146" s="67"/>
      <c r="D146" s="67"/>
      <c r="E146" s="67"/>
      <c r="S146" s="12" t="s">
        <v>807</v>
      </c>
      <c r="T146" s="12"/>
      <c r="U146" s="12" t="s">
        <v>842</v>
      </c>
      <c r="V146" s="8" t="s">
        <v>1321</v>
      </c>
      <c r="W146" s="8" t="s">
        <v>1322</v>
      </c>
    </row>
    <row r="147" spans="1:23">
      <c r="A147" s="67"/>
      <c r="B147" s="67"/>
      <c r="C147" s="67"/>
      <c r="D147" s="67"/>
      <c r="E147" s="67"/>
      <c r="S147" s="12" t="s">
        <v>806</v>
      </c>
      <c r="T147" s="12"/>
      <c r="U147" s="12" t="s">
        <v>445</v>
      </c>
      <c r="V147" s="8" t="s">
        <v>1768</v>
      </c>
      <c r="W147" s="8" t="s">
        <v>1091</v>
      </c>
    </row>
    <row r="148" spans="1:23">
      <c r="A148" s="67"/>
      <c r="B148" s="67"/>
      <c r="C148" s="67"/>
      <c r="D148" s="67"/>
      <c r="E148" s="67"/>
      <c r="S148" s="12" t="s">
        <v>889</v>
      </c>
      <c r="T148" s="12"/>
      <c r="U148" s="12" t="s">
        <v>888</v>
      </c>
      <c r="V148" s="8"/>
      <c r="W148" s="8"/>
    </row>
    <row r="149" spans="1:23">
      <c r="A149" s="67"/>
      <c r="B149" s="67"/>
      <c r="C149" s="67"/>
      <c r="D149" s="67"/>
      <c r="E149" s="67"/>
      <c r="S149" s="12" t="s">
        <v>891</v>
      </c>
      <c r="T149" s="12"/>
      <c r="U149" s="12" t="s">
        <v>890</v>
      </c>
      <c r="V149" s="8"/>
      <c r="W149" s="8"/>
    </row>
    <row r="150" spans="1:23">
      <c r="A150" s="67"/>
      <c r="B150" s="67"/>
      <c r="C150" s="67"/>
      <c r="D150" s="67"/>
      <c r="E150" s="67"/>
      <c r="S150" s="12" t="s">
        <v>893</v>
      </c>
      <c r="T150" s="12"/>
      <c r="U150" s="12" t="s">
        <v>892</v>
      </c>
      <c r="V150" s="8"/>
      <c r="W150" s="8"/>
    </row>
    <row r="151" spans="1:23">
      <c r="A151" s="67"/>
      <c r="B151" s="67"/>
      <c r="C151" s="67"/>
      <c r="D151" s="67"/>
      <c r="E151" s="67"/>
      <c r="S151" s="12" t="s">
        <v>895</v>
      </c>
      <c r="T151" s="12"/>
      <c r="U151" s="12" t="s">
        <v>894</v>
      </c>
      <c r="V151" s="8"/>
      <c r="W151" s="8"/>
    </row>
    <row r="152" spans="1:23">
      <c r="A152" s="67"/>
      <c r="B152" s="67"/>
      <c r="C152" s="67"/>
      <c r="D152" s="67"/>
      <c r="E152" s="67"/>
      <c r="S152" s="12" t="s">
        <v>269</v>
      </c>
      <c r="T152" s="12"/>
      <c r="U152" s="12" t="s">
        <v>235</v>
      </c>
      <c r="V152" s="8"/>
      <c r="W152" s="8"/>
    </row>
    <row r="153" spans="1:23">
      <c r="A153" s="67"/>
      <c r="B153" s="67"/>
      <c r="C153" s="67"/>
      <c r="D153" s="67"/>
      <c r="E153" s="67"/>
      <c r="S153" s="12" t="s">
        <v>248</v>
      </c>
      <c r="T153" s="12"/>
      <c r="U153" s="12" t="s">
        <v>249</v>
      </c>
      <c r="V153" s="8"/>
      <c r="W153" s="8"/>
    </row>
    <row r="154" spans="1:23">
      <c r="A154" s="67"/>
      <c r="B154" s="67"/>
      <c r="C154" s="67"/>
      <c r="D154" s="67"/>
      <c r="E154" s="67"/>
      <c r="S154" s="12" t="s">
        <v>897</v>
      </c>
      <c r="T154" s="12"/>
      <c r="U154" s="12" t="s">
        <v>896</v>
      </c>
      <c r="V154" s="8"/>
      <c r="W154" s="8"/>
    </row>
    <row r="155" spans="1:23">
      <c r="A155" s="67"/>
      <c r="B155" s="67"/>
      <c r="C155" s="67"/>
      <c r="D155" s="67"/>
      <c r="E155" s="67"/>
      <c r="S155" s="12" t="s">
        <v>899</v>
      </c>
      <c r="T155" s="12"/>
      <c r="U155" s="12" t="s">
        <v>898</v>
      </c>
      <c r="V155" s="8"/>
      <c r="W155" s="8"/>
    </row>
    <row r="156" spans="1:23">
      <c r="A156" s="67"/>
      <c r="B156" s="67"/>
      <c r="C156" s="67"/>
      <c r="D156" s="67"/>
      <c r="E156" s="67"/>
      <c r="S156" s="12" t="s">
        <v>901</v>
      </c>
      <c r="T156" s="12"/>
      <c r="U156" s="12" t="s">
        <v>900</v>
      </c>
      <c r="V156" s="8"/>
      <c r="W156" s="8"/>
    </row>
    <row r="157" spans="1:23">
      <c r="A157" s="67"/>
      <c r="B157" s="67"/>
      <c r="C157" s="67"/>
      <c r="D157" s="67"/>
      <c r="E157" s="67"/>
      <c r="S157" s="12" t="s">
        <v>261</v>
      </c>
      <c r="T157" s="12" t="s">
        <v>107</v>
      </c>
      <c r="U157" s="12" t="s">
        <v>196</v>
      </c>
      <c r="V157" s="8"/>
      <c r="W157" s="8"/>
    </row>
    <row r="158" spans="1:23">
      <c r="A158" s="67"/>
      <c r="B158" s="67"/>
      <c r="C158" s="67"/>
      <c r="D158" s="67"/>
      <c r="E158" s="67"/>
      <c r="S158" s="12"/>
      <c r="T158" s="12" t="s">
        <v>106</v>
      </c>
      <c r="U158" s="12" t="s">
        <v>240</v>
      </c>
      <c r="V158" s="8"/>
      <c r="W158" s="8"/>
    </row>
    <row r="159" spans="1:23">
      <c r="A159" s="67"/>
      <c r="B159" s="67"/>
      <c r="C159" s="67"/>
      <c r="D159" s="67"/>
      <c r="E159" s="67"/>
      <c r="S159" s="12" t="s">
        <v>903</v>
      </c>
      <c r="T159" s="12"/>
      <c r="U159" s="12" t="s">
        <v>902</v>
      </c>
      <c r="V159" s="8"/>
      <c r="W159" s="8"/>
    </row>
    <row r="160" spans="1:23">
      <c r="A160" s="67"/>
      <c r="B160" s="67"/>
      <c r="C160" s="67"/>
      <c r="D160" s="67"/>
      <c r="E160" s="67"/>
      <c r="S160" s="12" t="s">
        <v>904</v>
      </c>
      <c r="T160" s="12"/>
      <c r="U160" s="12" t="s">
        <v>904</v>
      </c>
      <c r="V160" s="8"/>
      <c r="W160" s="8"/>
    </row>
    <row r="161" spans="1:23">
      <c r="A161" s="67"/>
      <c r="B161" s="67"/>
      <c r="C161" s="67"/>
      <c r="D161" s="67"/>
      <c r="E161" s="67"/>
      <c r="S161" s="12" t="s">
        <v>200</v>
      </c>
      <c r="T161" s="12"/>
      <c r="U161" s="12" t="s">
        <v>199</v>
      </c>
      <c r="V161" s="8"/>
      <c r="W161" s="8"/>
    </row>
    <row r="162" spans="1:23">
      <c r="A162" s="67"/>
      <c r="B162" s="67"/>
      <c r="C162" s="67"/>
      <c r="D162" s="67"/>
      <c r="E162" s="67"/>
      <c r="S162" s="12" t="s">
        <v>906</v>
      </c>
      <c r="T162" s="12"/>
      <c r="U162" s="12" t="s">
        <v>905</v>
      </c>
      <c r="V162" s="8"/>
      <c r="W162" s="8"/>
    </row>
    <row r="163" spans="1:23">
      <c r="A163" s="67"/>
      <c r="B163" s="67"/>
      <c r="C163" s="67"/>
      <c r="D163" s="67"/>
      <c r="E163" s="67"/>
      <c r="S163" s="12" t="s">
        <v>908</v>
      </c>
      <c r="T163" s="12"/>
      <c r="U163" s="12" t="s">
        <v>907</v>
      </c>
      <c r="V163" s="8"/>
      <c r="W163" s="8"/>
    </row>
    <row r="164" spans="1:23">
      <c r="A164" s="67"/>
      <c r="B164" s="67"/>
      <c r="C164" s="67"/>
      <c r="D164" s="67"/>
      <c r="E164" s="67"/>
      <c r="S164" s="12" t="s">
        <v>910</v>
      </c>
      <c r="T164" s="12"/>
      <c r="U164" s="12" t="s">
        <v>909</v>
      </c>
      <c r="V164" s="8"/>
      <c r="W164" s="8"/>
    </row>
    <row r="165" spans="1:23">
      <c r="A165" s="68"/>
      <c r="B165" s="68"/>
      <c r="C165" s="68"/>
      <c r="D165" s="68"/>
      <c r="E165" s="68"/>
      <c r="S165" s="12" t="s">
        <v>911</v>
      </c>
      <c r="T165" s="12"/>
      <c r="U165" s="12" t="s">
        <v>829</v>
      </c>
      <c r="V165" s="8"/>
      <c r="W165" s="8"/>
    </row>
    <row r="166" spans="1:23">
      <c r="A166" s="67"/>
      <c r="B166" s="67"/>
      <c r="C166" s="67"/>
      <c r="D166" s="67"/>
      <c r="E166" s="67"/>
      <c r="S166" s="12" t="s">
        <v>185</v>
      </c>
      <c r="T166" s="12"/>
      <c r="U166" s="12" t="s">
        <v>184</v>
      </c>
      <c r="V166" s="8"/>
      <c r="W166" s="8"/>
    </row>
    <row r="167" spans="1:23">
      <c r="A167" s="67"/>
      <c r="B167" s="67"/>
      <c r="C167" s="67"/>
      <c r="D167" s="67"/>
      <c r="E167" s="67"/>
      <c r="S167" s="12" t="s">
        <v>233</v>
      </c>
      <c r="T167" s="12" t="s">
        <v>810</v>
      </c>
      <c r="U167" s="12" t="s">
        <v>232</v>
      </c>
      <c r="V167" s="8"/>
      <c r="W167" s="8"/>
    </row>
    <row r="168" spans="1:23">
      <c r="A168" s="67"/>
      <c r="B168" s="67"/>
      <c r="C168" s="67"/>
      <c r="D168" s="67"/>
      <c r="E168" s="67"/>
      <c r="S168" s="12" t="s">
        <v>912</v>
      </c>
      <c r="T168" s="12"/>
      <c r="U168" s="12" t="s">
        <v>201</v>
      </c>
      <c r="V168" s="8"/>
      <c r="W168" s="8"/>
    </row>
    <row r="169" spans="1:23">
      <c r="A169" s="67"/>
      <c r="B169" s="67"/>
      <c r="C169" s="67"/>
      <c r="D169" s="67"/>
      <c r="E169" s="67"/>
      <c r="S169" s="12" t="s">
        <v>840</v>
      </c>
      <c r="T169" s="12"/>
      <c r="U169" s="12" t="s">
        <v>450</v>
      </c>
      <c r="V169" s="8"/>
      <c r="W169" s="8"/>
    </row>
    <row r="170" spans="1:23">
      <c r="A170" s="67"/>
      <c r="B170" s="67"/>
      <c r="C170" s="67"/>
      <c r="D170" s="67"/>
      <c r="E170" s="67"/>
      <c r="S170" s="12" t="s">
        <v>821</v>
      </c>
      <c r="T170" s="12"/>
      <c r="U170" s="12" t="s">
        <v>234</v>
      </c>
      <c r="V170" s="8"/>
      <c r="W170" s="8"/>
    </row>
    <row r="171" spans="1:23">
      <c r="A171" s="67"/>
      <c r="B171" s="67"/>
      <c r="C171" s="67"/>
      <c r="D171" s="67"/>
      <c r="E171" s="67"/>
      <c r="S171" s="12" t="s">
        <v>822</v>
      </c>
      <c r="T171" s="12"/>
      <c r="U171" s="12" t="s">
        <v>205</v>
      </c>
      <c r="V171" s="8"/>
      <c r="W171" s="8"/>
    </row>
    <row r="172" spans="1:23">
      <c r="A172" s="67"/>
      <c r="B172" s="67"/>
      <c r="C172" s="67"/>
      <c r="D172" s="67"/>
      <c r="E172" s="67"/>
      <c r="S172" s="12" t="s">
        <v>823</v>
      </c>
      <c r="T172" s="12"/>
      <c r="U172" s="12" t="s">
        <v>213</v>
      </c>
      <c r="V172" s="8"/>
      <c r="W172" s="8"/>
    </row>
    <row r="173" spans="1:23">
      <c r="A173" s="67"/>
      <c r="B173" s="67"/>
      <c r="C173" s="67"/>
      <c r="D173" s="67"/>
      <c r="E173" s="67"/>
      <c r="S173" s="12"/>
      <c r="T173" s="12"/>
      <c r="U173" s="12"/>
      <c r="V173" s="8"/>
      <c r="W173" s="8"/>
    </row>
    <row r="174" spans="1:23">
      <c r="A174" s="67"/>
      <c r="B174" s="67"/>
      <c r="C174" s="67"/>
      <c r="D174" s="67"/>
      <c r="E174" s="67"/>
      <c r="V174" s="8"/>
      <c r="W174" s="8"/>
    </row>
    <row r="175" spans="1:23">
      <c r="A175" s="67"/>
      <c r="B175" s="67"/>
      <c r="C175" s="67"/>
      <c r="D175" s="67"/>
      <c r="E175" s="67"/>
      <c r="V175" s="8"/>
      <c r="W175" s="8"/>
    </row>
    <row r="176" spans="1:23">
      <c r="A176" s="67"/>
      <c r="B176" s="67"/>
      <c r="C176" s="67"/>
      <c r="D176" s="67"/>
      <c r="E176" s="67"/>
      <c r="V176" s="8"/>
      <c r="W176" s="8"/>
    </row>
    <row r="177" spans="1:23">
      <c r="A177" s="67"/>
      <c r="B177" s="67"/>
      <c r="C177" s="67"/>
      <c r="D177" s="67"/>
      <c r="E177" s="67"/>
      <c r="V177" s="8"/>
      <c r="W177" s="8"/>
    </row>
    <row r="178" spans="1:23">
      <c r="A178" s="67"/>
      <c r="B178" s="67"/>
      <c r="C178" s="67"/>
      <c r="D178" s="67"/>
      <c r="E178" s="67"/>
      <c r="V178" s="8"/>
      <c r="W178" s="8"/>
    </row>
    <row r="179" spans="1:23">
      <c r="A179" s="68"/>
      <c r="B179" s="68"/>
      <c r="C179" s="68"/>
      <c r="D179" s="68"/>
      <c r="E179" s="68"/>
      <c r="V179" s="8"/>
      <c r="W179" s="8"/>
    </row>
    <row r="180" spans="1:23">
      <c r="A180" s="67"/>
      <c r="B180" s="67"/>
      <c r="C180" s="67"/>
      <c r="D180" s="67"/>
      <c r="E180" s="67"/>
      <c r="V180" s="8"/>
      <c r="W180" s="8"/>
    </row>
    <row r="181" spans="1:23">
      <c r="A181" s="67"/>
      <c r="B181" s="67"/>
      <c r="C181" s="67"/>
      <c r="D181" s="67"/>
      <c r="E181" s="67"/>
      <c r="V181" s="8"/>
      <c r="W181" s="8"/>
    </row>
    <row r="182" spans="1:23">
      <c r="A182" s="67"/>
      <c r="B182" s="67"/>
      <c r="C182" s="67"/>
      <c r="D182" s="67"/>
      <c r="E182" s="67"/>
      <c r="V182" s="8"/>
      <c r="W182" s="8"/>
    </row>
    <row r="183" spans="1:23">
      <c r="A183" s="67"/>
      <c r="B183" s="67"/>
      <c r="C183" s="67"/>
      <c r="D183" s="67"/>
      <c r="E183" s="67"/>
      <c r="V183" s="8"/>
      <c r="W183" s="8"/>
    </row>
    <row r="184" spans="1:23">
      <c r="A184" s="67"/>
      <c r="B184" s="67"/>
      <c r="C184" s="67"/>
      <c r="D184" s="67"/>
      <c r="E184" s="67"/>
      <c r="V184" s="8"/>
      <c r="W184" s="8"/>
    </row>
    <row r="185" spans="1:23">
      <c r="A185" s="67"/>
      <c r="B185" s="67"/>
      <c r="C185" s="67"/>
      <c r="D185" s="67"/>
      <c r="E185" s="67"/>
    </row>
    <row r="186" spans="1:23">
      <c r="A186" s="67"/>
      <c r="B186" s="67"/>
      <c r="C186" s="67"/>
      <c r="D186" s="67"/>
      <c r="E186" s="67"/>
    </row>
    <row r="187" spans="1:23">
      <c r="A187" s="67"/>
      <c r="B187" s="67"/>
      <c r="C187" s="67"/>
      <c r="D187" s="67"/>
      <c r="E187" s="67"/>
    </row>
    <row r="188" spans="1:23">
      <c r="A188" s="67"/>
      <c r="B188" s="67"/>
      <c r="C188" s="67"/>
      <c r="D188" s="67"/>
      <c r="E188" s="67"/>
    </row>
    <row r="189" spans="1:23">
      <c r="A189" s="67"/>
      <c r="B189" s="67"/>
      <c r="C189" s="67"/>
      <c r="D189" s="67"/>
      <c r="E189" s="67"/>
    </row>
    <row r="190" spans="1:23">
      <c r="A190" s="67"/>
      <c r="B190" s="67"/>
      <c r="C190" s="67"/>
      <c r="D190" s="67"/>
      <c r="E190" s="67"/>
    </row>
    <row r="191" spans="1:23">
      <c r="A191" s="67"/>
      <c r="B191" s="67"/>
      <c r="C191" s="67"/>
      <c r="D191" s="67"/>
      <c r="E191" s="67"/>
    </row>
    <row r="192" spans="1:23">
      <c r="A192" s="67"/>
      <c r="B192" s="67"/>
      <c r="C192" s="67"/>
      <c r="D192" s="67"/>
      <c r="E192" s="67"/>
    </row>
    <row r="193" spans="1:5">
      <c r="A193" s="67"/>
      <c r="B193" s="67"/>
      <c r="C193" s="67"/>
      <c r="D193" s="67"/>
      <c r="E193" s="67"/>
    </row>
    <row r="194" spans="1:5">
      <c r="A194" s="67"/>
      <c r="B194" s="67"/>
      <c r="C194" s="67"/>
      <c r="D194" s="67"/>
      <c r="E194" s="67"/>
    </row>
    <row r="195" spans="1:5">
      <c r="A195" s="67"/>
      <c r="B195" s="67"/>
      <c r="C195" s="67"/>
      <c r="D195" s="67"/>
      <c r="E195" s="67"/>
    </row>
    <row r="196" spans="1:5">
      <c r="A196" s="67"/>
      <c r="B196" s="67"/>
      <c r="C196" s="67"/>
      <c r="D196" s="67"/>
      <c r="E196" s="67"/>
    </row>
    <row r="197" spans="1:5">
      <c r="A197" s="67"/>
      <c r="B197" s="67"/>
      <c r="C197" s="67"/>
      <c r="D197" s="67"/>
      <c r="E197" s="67"/>
    </row>
    <row r="198" spans="1:5">
      <c r="A198" s="67"/>
      <c r="B198" s="67"/>
      <c r="C198" s="67"/>
      <c r="D198" s="67"/>
      <c r="E198" s="67"/>
    </row>
    <row r="199" spans="1:5">
      <c r="A199" s="67"/>
      <c r="B199" s="67"/>
      <c r="C199" s="67"/>
      <c r="D199" s="67"/>
      <c r="E199" s="67"/>
    </row>
    <row r="200" spans="1:5">
      <c r="A200" s="67"/>
      <c r="B200" s="67"/>
      <c r="C200" s="67"/>
      <c r="D200" s="67"/>
      <c r="E200" s="67"/>
    </row>
    <row r="201" spans="1:5">
      <c r="A201" s="67"/>
      <c r="B201" s="67"/>
      <c r="C201" s="67"/>
      <c r="D201" s="67"/>
      <c r="E201" s="67"/>
    </row>
    <row r="202" spans="1:5">
      <c r="A202" s="67"/>
      <c r="B202" s="67"/>
      <c r="C202" s="67"/>
      <c r="D202" s="67"/>
      <c r="E202" s="67"/>
    </row>
    <row r="203" spans="1:5">
      <c r="A203" s="67"/>
      <c r="B203" s="67"/>
      <c r="C203" s="67"/>
      <c r="D203" s="67"/>
      <c r="E203" s="67"/>
    </row>
    <row r="204" spans="1:5">
      <c r="A204" s="67"/>
      <c r="B204" s="67"/>
      <c r="C204" s="67"/>
      <c r="D204" s="67"/>
      <c r="E204" s="67"/>
    </row>
    <row r="205" spans="1:5">
      <c r="A205" s="67"/>
      <c r="B205" s="67"/>
      <c r="C205" s="67"/>
      <c r="D205" s="67"/>
      <c r="E205" s="67"/>
    </row>
    <row r="206" spans="1:5">
      <c r="A206" s="67"/>
      <c r="B206" s="67"/>
      <c r="C206" s="67"/>
      <c r="D206" s="67"/>
      <c r="E206" s="67"/>
    </row>
    <row r="207" spans="1:5">
      <c r="A207" s="67"/>
      <c r="B207" s="67"/>
      <c r="C207" s="67"/>
      <c r="D207" s="67"/>
      <c r="E207" s="67"/>
    </row>
    <row r="208" spans="1:5">
      <c r="A208" s="67"/>
      <c r="B208" s="67"/>
      <c r="C208" s="67"/>
      <c r="D208" s="67"/>
      <c r="E208" s="67"/>
    </row>
    <row r="209" spans="1:5">
      <c r="A209" s="67"/>
      <c r="B209" s="67"/>
      <c r="C209" s="67"/>
      <c r="D209" s="67"/>
      <c r="E209" s="67"/>
    </row>
    <row r="210" spans="1:5">
      <c r="A210" s="67"/>
      <c r="B210" s="67"/>
      <c r="C210" s="67"/>
      <c r="D210" s="67"/>
      <c r="E210" s="67"/>
    </row>
    <row r="211" spans="1:5">
      <c r="A211" s="67"/>
      <c r="B211" s="67"/>
      <c r="C211" s="67"/>
      <c r="D211" s="67"/>
      <c r="E211" s="67"/>
    </row>
    <row r="212" spans="1:5">
      <c r="A212" s="67"/>
      <c r="B212" s="67"/>
      <c r="C212" s="67"/>
      <c r="D212" s="67"/>
      <c r="E212" s="67"/>
    </row>
    <row r="213" spans="1:5">
      <c r="A213" s="67"/>
      <c r="B213" s="67"/>
      <c r="C213" s="67"/>
      <c r="D213" s="67"/>
      <c r="E213" s="67"/>
    </row>
    <row r="214" spans="1:5">
      <c r="A214" s="67"/>
      <c r="B214" s="67"/>
      <c r="C214" s="67"/>
      <c r="D214" s="67"/>
      <c r="E214" s="67"/>
    </row>
    <row r="215" spans="1:5">
      <c r="A215" s="67"/>
      <c r="B215" s="67"/>
      <c r="C215" s="67"/>
      <c r="D215" s="67"/>
      <c r="E215" s="67"/>
    </row>
    <row r="216" spans="1:5">
      <c r="A216" s="67"/>
      <c r="B216" s="67"/>
      <c r="C216" s="67"/>
      <c r="D216" s="67"/>
      <c r="E216" s="67"/>
    </row>
    <row r="217" spans="1:5">
      <c r="A217" s="67"/>
      <c r="B217" s="67"/>
      <c r="C217" s="67"/>
      <c r="D217" s="67"/>
      <c r="E217" s="67"/>
    </row>
    <row r="218" spans="1:5">
      <c r="A218" s="67"/>
      <c r="B218" s="67"/>
      <c r="C218" s="67"/>
      <c r="D218" s="67"/>
      <c r="E218" s="67"/>
    </row>
    <row r="219" spans="1:5">
      <c r="A219" s="67"/>
      <c r="B219" s="67"/>
      <c r="C219" s="67"/>
      <c r="D219" s="67"/>
      <c r="E219" s="67"/>
    </row>
    <row r="220" spans="1:5">
      <c r="A220" s="67"/>
      <c r="B220" s="67"/>
      <c r="C220" s="67"/>
      <c r="D220" s="67"/>
      <c r="E220" s="67"/>
    </row>
    <row r="221" spans="1:5">
      <c r="A221" s="67"/>
      <c r="B221" s="67"/>
      <c r="C221" s="67"/>
      <c r="D221" s="67"/>
      <c r="E221" s="67"/>
    </row>
    <row r="222" spans="1:5">
      <c r="A222" s="67"/>
      <c r="B222" s="67"/>
      <c r="C222" s="67"/>
      <c r="D222" s="67"/>
      <c r="E222" s="67"/>
    </row>
    <row r="223" spans="1:5">
      <c r="A223" s="67"/>
      <c r="B223" s="67"/>
      <c r="C223" s="67"/>
      <c r="D223" s="67"/>
      <c r="E223" s="67"/>
    </row>
    <row r="224" spans="1:5">
      <c r="A224" s="67"/>
      <c r="B224" s="67"/>
      <c r="C224" s="67"/>
      <c r="D224" s="67"/>
      <c r="E224" s="67"/>
    </row>
    <row r="225" spans="1:5">
      <c r="A225" s="67"/>
      <c r="B225" s="67"/>
      <c r="C225" s="67"/>
      <c r="D225" s="67"/>
      <c r="E225" s="67"/>
    </row>
    <row r="226" spans="1:5">
      <c r="A226" s="67"/>
      <c r="B226" s="67"/>
      <c r="C226" s="67"/>
      <c r="D226" s="67"/>
      <c r="E226" s="67"/>
    </row>
    <row r="227" spans="1:5">
      <c r="A227" s="67"/>
      <c r="B227" s="67"/>
      <c r="C227" s="67"/>
      <c r="D227" s="67"/>
      <c r="E227" s="67"/>
    </row>
    <row r="228" spans="1:5">
      <c r="A228" s="67"/>
      <c r="B228" s="67"/>
      <c r="C228" s="67"/>
      <c r="D228" s="67"/>
      <c r="E228" s="67"/>
    </row>
    <row r="229" spans="1:5">
      <c r="A229" s="67"/>
      <c r="B229" s="67"/>
      <c r="C229" s="67"/>
      <c r="D229" s="67"/>
      <c r="E229" s="67"/>
    </row>
    <row r="230" spans="1:5">
      <c r="A230" s="67"/>
      <c r="B230" s="67"/>
      <c r="C230" s="67"/>
      <c r="D230" s="67"/>
      <c r="E230" s="67"/>
    </row>
    <row r="231" spans="1:5">
      <c r="A231" s="67"/>
      <c r="B231" s="67"/>
      <c r="C231" s="67"/>
      <c r="D231" s="67"/>
      <c r="E231" s="67"/>
    </row>
    <row r="232" spans="1:5">
      <c r="A232" s="67"/>
      <c r="B232" s="67"/>
      <c r="C232" s="67"/>
      <c r="D232" s="67"/>
      <c r="E232" s="67"/>
    </row>
    <row r="233" spans="1:5">
      <c r="A233" s="67"/>
      <c r="B233" s="67"/>
      <c r="C233" s="67"/>
      <c r="D233" s="67"/>
      <c r="E233" s="67"/>
    </row>
    <row r="234" spans="1:5">
      <c r="A234" s="67"/>
      <c r="B234" s="67"/>
      <c r="C234" s="67"/>
      <c r="D234" s="67"/>
      <c r="E234" s="67"/>
    </row>
    <row r="235" spans="1:5">
      <c r="A235" s="67"/>
      <c r="B235" s="67"/>
      <c r="C235" s="67"/>
      <c r="D235" s="67"/>
      <c r="E235" s="67"/>
    </row>
    <row r="236" spans="1:5">
      <c r="A236" s="67"/>
      <c r="B236" s="67"/>
      <c r="C236" s="67"/>
      <c r="D236" s="67"/>
      <c r="E236" s="67"/>
    </row>
    <row r="237" spans="1:5">
      <c r="A237" s="67"/>
      <c r="B237" s="67"/>
      <c r="C237" s="67"/>
      <c r="D237" s="67"/>
      <c r="E237" s="67"/>
    </row>
    <row r="238" spans="1:5">
      <c r="A238" s="67"/>
      <c r="B238" s="67"/>
      <c r="C238" s="67"/>
      <c r="D238" s="67"/>
      <c r="E238" s="67"/>
    </row>
    <row r="239" spans="1:5">
      <c r="A239" s="67"/>
      <c r="B239" s="67"/>
      <c r="C239" s="67"/>
      <c r="D239" s="67"/>
      <c r="E239" s="67"/>
    </row>
    <row r="240" spans="1:5">
      <c r="A240" s="67"/>
      <c r="B240" s="67"/>
      <c r="C240" s="67"/>
      <c r="D240" s="67"/>
      <c r="E240" s="67"/>
    </row>
    <row r="241" spans="1:5">
      <c r="A241" s="67"/>
      <c r="B241" s="67"/>
      <c r="C241" s="67"/>
      <c r="D241" s="67"/>
      <c r="E241" s="67"/>
    </row>
    <row r="242" spans="1:5">
      <c r="A242" s="67"/>
      <c r="B242" s="67"/>
      <c r="C242" s="67"/>
      <c r="D242" s="67"/>
      <c r="E242" s="67"/>
    </row>
    <row r="243" spans="1:5">
      <c r="A243" s="67"/>
      <c r="B243" s="67"/>
      <c r="C243" s="67"/>
      <c r="D243" s="67"/>
      <c r="E243" s="67"/>
    </row>
    <row r="244" spans="1:5">
      <c r="A244" s="67"/>
      <c r="B244" s="67"/>
      <c r="C244" s="67"/>
      <c r="D244" s="67"/>
      <c r="E244" s="67"/>
    </row>
    <row r="245" spans="1:5">
      <c r="A245" s="67"/>
      <c r="B245" s="67"/>
      <c r="C245" s="67"/>
      <c r="D245" s="67"/>
      <c r="E245" s="67"/>
    </row>
    <row r="246" spans="1:5">
      <c r="A246" s="67"/>
      <c r="B246" s="67"/>
      <c r="C246" s="67"/>
      <c r="D246" s="67"/>
      <c r="E246" s="67"/>
    </row>
    <row r="247" spans="1:5">
      <c r="A247" s="67"/>
      <c r="B247" s="67"/>
      <c r="C247" s="67"/>
      <c r="D247" s="67"/>
      <c r="E247" s="67"/>
    </row>
    <row r="248" spans="1:5">
      <c r="A248" s="67"/>
      <c r="B248" s="67"/>
      <c r="C248" s="67"/>
      <c r="D248" s="67"/>
      <c r="E248" s="67"/>
    </row>
    <row r="249" spans="1:5">
      <c r="A249" s="67"/>
      <c r="B249" s="67"/>
      <c r="C249" s="67"/>
      <c r="D249" s="67"/>
      <c r="E249" s="67"/>
    </row>
    <row r="250" spans="1:5">
      <c r="A250" s="67"/>
      <c r="B250" s="67"/>
      <c r="C250" s="67"/>
      <c r="D250" s="67"/>
      <c r="E250" s="67"/>
    </row>
    <row r="251" spans="1:5">
      <c r="A251" s="67"/>
      <c r="B251" s="67"/>
      <c r="C251" s="67"/>
      <c r="D251" s="67"/>
      <c r="E251" s="67"/>
    </row>
    <row r="252" spans="1:5">
      <c r="A252" s="67"/>
      <c r="B252" s="67"/>
      <c r="C252" s="67"/>
      <c r="D252" s="67"/>
      <c r="E252" s="67"/>
    </row>
    <row r="253" spans="1:5">
      <c r="A253" s="67"/>
      <c r="B253" s="67"/>
      <c r="C253" s="67"/>
      <c r="D253" s="67"/>
      <c r="E253" s="67"/>
    </row>
    <row r="254" spans="1:5">
      <c r="A254" s="67"/>
      <c r="B254" s="67"/>
      <c r="C254" s="67"/>
      <c r="D254" s="67"/>
      <c r="E254" s="67"/>
    </row>
    <row r="255" spans="1:5">
      <c r="A255" s="67"/>
      <c r="B255" s="67"/>
      <c r="C255" s="67"/>
      <c r="D255" s="67"/>
      <c r="E255" s="67"/>
    </row>
    <row r="256" spans="1:5">
      <c r="A256" s="67"/>
      <c r="B256" s="67"/>
      <c r="C256" s="67"/>
      <c r="D256" s="67"/>
      <c r="E256" s="67"/>
    </row>
    <row r="257" spans="1:5">
      <c r="A257" s="67"/>
      <c r="B257" s="67"/>
      <c r="C257" s="67"/>
      <c r="D257" s="67"/>
      <c r="E257" s="67"/>
    </row>
    <row r="258" spans="1:5">
      <c r="A258" s="67"/>
      <c r="B258" s="67"/>
      <c r="C258" s="67"/>
      <c r="D258" s="67"/>
      <c r="E258" s="67"/>
    </row>
    <row r="259" spans="1:5">
      <c r="A259" s="67"/>
      <c r="B259" s="67"/>
      <c r="C259" s="67"/>
      <c r="D259" s="67"/>
      <c r="E259" s="67"/>
    </row>
    <row r="260" spans="1:5">
      <c r="A260" s="67"/>
      <c r="B260" s="67"/>
      <c r="C260" s="67"/>
      <c r="D260" s="67"/>
      <c r="E260" s="67"/>
    </row>
    <row r="261" spans="1:5">
      <c r="A261" s="67"/>
      <c r="B261" s="67"/>
      <c r="C261" s="67"/>
      <c r="D261" s="67"/>
      <c r="E261" s="67"/>
    </row>
    <row r="262" spans="1:5">
      <c r="A262" s="67"/>
      <c r="B262" s="67"/>
      <c r="C262" s="67"/>
      <c r="D262" s="67"/>
      <c r="E262" s="67"/>
    </row>
    <row r="263" spans="1:5">
      <c r="A263" s="67"/>
      <c r="B263" s="67"/>
      <c r="C263" s="67"/>
      <c r="D263" s="67"/>
      <c r="E263" s="67"/>
    </row>
    <row r="264" spans="1:5">
      <c r="A264" s="67"/>
      <c r="B264" s="67"/>
      <c r="C264" s="67"/>
      <c r="D264" s="67"/>
      <c r="E264" s="67"/>
    </row>
  </sheetData>
  <sheetProtection selectLockedCells="1" selectUnlockedCells="1"/>
  <mergeCells count="17">
    <mergeCell ref="L116:Q116"/>
    <mergeCell ref="AC39:AC41"/>
    <mergeCell ref="AO2:AO25"/>
    <mergeCell ref="AO26:AO36"/>
    <mergeCell ref="AC25:AC26"/>
    <mergeCell ref="AC3:AC10"/>
    <mergeCell ref="AC52:AC90"/>
    <mergeCell ref="AC42:AC46"/>
    <mergeCell ref="AC28:AC30"/>
    <mergeCell ref="AC31:AC38"/>
    <mergeCell ref="AC11:AC24"/>
    <mergeCell ref="G27:J27"/>
    <mergeCell ref="G85:J85"/>
    <mergeCell ref="V1:W1"/>
    <mergeCell ref="G1:J1"/>
    <mergeCell ref="L1:Q1"/>
    <mergeCell ref="L85:Q85"/>
  </mergeCells>
  <phoneticPr fontId="45" type="noConversion"/>
  <conditionalFormatting sqref="B71:C101 B103:C139 B141:C1048576 B31:C69">
    <cfRule type="duplicateValues" dxfId="35" priority="13"/>
  </conditionalFormatting>
  <conditionalFormatting sqref="M3:M83">
    <cfRule type="duplicateValues" dxfId="34" priority="1"/>
  </conditionalFormatting>
  <conditionalFormatting sqref="S115:S172 U115:U172">
    <cfRule type="duplicateValues" dxfId="33" priority="38"/>
  </conditionalFormatting>
  <conditionalFormatting sqref="S1:T1 S50:T58 S60:T60 S62:T72 S74:T89 S93:T93 S95:T99">
    <cfRule type="expression" dxfId="32" priority="32" stopIfTrue="1">
      <formula>AND(COUNTIF(#REF!, S1)+COUNTIF(#REF!, S1)&gt;1,NOT(ISBLANK(S1)))</formula>
    </cfRule>
  </conditionalFormatting>
  <conditionalFormatting sqref="S1:T1">
    <cfRule type="duplicateValues" dxfId="31" priority="35" stopIfTrue="1"/>
    <cfRule type="duplicateValues" dxfId="30" priority="36" stopIfTrue="1"/>
    <cfRule type="duplicateValues" dxfId="29" priority="37" stopIfTrue="1"/>
  </conditionalFormatting>
  <conditionalFormatting sqref="U1:U173">
    <cfRule type="duplicateValues" dxfId="28" priority="39"/>
  </conditionalFormatting>
  <conditionalFormatting sqref="X79">
    <cfRule type="duplicateValues" dxfId="27" priority="14"/>
    <cfRule type="duplicateValues" dxfId="26" priority="15" stopIfTrue="1"/>
    <cfRule type="duplicateValues" dxfId="25" priority="16" stopIfTrue="1"/>
  </conditionalFormatting>
  <conditionalFormatting sqref="AC1">
    <cfRule type="duplicateValues" dxfId="24" priority="2956"/>
    <cfRule type="duplicateValues" dxfId="23" priority="2957"/>
  </conditionalFormatting>
  <conditionalFormatting sqref="AD11">
    <cfRule type="duplicateValues" dxfId="22" priority="6"/>
  </conditionalFormatting>
  <conditionalFormatting sqref="AF11">
    <cfRule type="duplicateValues" dxfId="21" priority="27"/>
  </conditionalFormatting>
  <conditionalFormatting sqref="AP1">
    <cfRule type="duplicateValues" dxfId="20" priority="22"/>
    <cfRule type="duplicateValues" dxfId="19" priority="23"/>
  </conditionalFormatting>
  <conditionalFormatting sqref="AP2:AP27">
    <cfRule type="duplicateValues" dxfId="18" priority="33"/>
  </conditionalFormatting>
  <conditionalFormatting sqref="AP8:AP9">
    <cfRule type="duplicateValues" dxfId="17" priority="5"/>
  </conditionalFormatting>
  <conditionalFormatting sqref="AP11:AP25">
    <cfRule type="duplicateValues" dxfId="16" priority="34"/>
  </conditionalFormatting>
  <conditionalFormatting sqref="AP13">
    <cfRule type="duplicateValues" dxfId="15" priority="3"/>
    <cfRule type="duplicateValues" dxfId="14" priority="4"/>
  </conditionalFormatting>
  <conditionalFormatting sqref="AP15">
    <cfRule type="duplicateValues" dxfId="13" priority="20"/>
    <cfRule type="duplicateValues" dxfId="12" priority="21"/>
  </conditionalFormatting>
  <conditionalFormatting sqref="AP28:AP36">
    <cfRule type="duplicateValues" dxfId="11" priority="18"/>
    <cfRule type="duplicateValues" dxfId="10" priority="19"/>
  </conditionalFormatting>
  <conditionalFormatting sqref="AV1">
    <cfRule type="duplicateValues" dxfId="9" priority="17"/>
  </conditionalFormatting>
  <conditionalFormatting sqref="AY1:AY18">
    <cfRule type="duplicateValues" dxfId="8" priority="2877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70CE3-CE83-4285-9EC0-D93D10B15031}">
  <sheetPr codeName="Sheet6">
    <tabColor rgb="FFFF0000"/>
  </sheetPr>
  <dimension ref="A1:O82"/>
  <sheetViews>
    <sheetView topLeftCell="A13" zoomScale="55" zoomScaleNormal="55" workbookViewId="0">
      <selection activeCell="E62" sqref="E62"/>
    </sheetView>
  </sheetViews>
  <sheetFormatPr defaultRowHeight="16.5"/>
  <cols>
    <col min="1" max="1" width="13.125" bestFit="1" customWidth="1"/>
    <col min="2" max="2" width="30.75" customWidth="1"/>
    <col min="4" max="4" width="53" bestFit="1" customWidth="1"/>
    <col min="5" max="5" width="25.625" bestFit="1" customWidth="1"/>
    <col min="6" max="6" width="25.625" style="158" bestFit="1" customWidth="1"/>
    <col min="7" max="7" width="3" customWidth="1"/>
    <col min="9" max="9" width="20.125" bestFit="1" customWidth="1"/>
    <col min="10" max="10" width="20.25" bestFit="1" customWidth="1"/>
    <col min="11" max="11" width="14.125" bestFit="1" customWidth="1"/>
    <col min="12" max="12" width="35.5" bestFit="1" customWidth="1"/>
    <col min="13" max="13" width="20.125" bestFit="1" customWidth="1"/>
    <col min="14" max="14" width="56.25" bestFit="1" customWidth="1"/>
  </cols>
  <sheetData>
    <row r="1" spans="1:15" ht="17.25">
      <c r="A1" s="135">
        <v>16</v>
      </c>
      <c r="B1" s="135" t="s">
        <v>140</v>
      </c>
      <c r="C1" s="135" t="s">
        <v>733</v>
      </c>
      <c r="D1" s="135"/>
      <c r="E1" s="135"/>
      <c r="F1" s="136" t="s">
        <v>1396</v>
      </c>
    </row>
    <row r="2" spans="1:15" ht="17.25">
      <c r="A2" s="137" t="s">
        <v>118</v>
      </c>
      <c r="B2" s="138" t="s">
        <v>2069</v>
      </c>
      <c r="C2" s="138" t="s">
        <v>2070</v>
      </c>
      <c r="D2" s="138" t="s">
        <v>2071</v>
      </c>
      <c r="E2" s="138"/>
      <c r="F2" s="139" t="s">
        <v>2072</v>
      </c>
    </row>
    <row r="3" spans="1:15" ht="17.25">
      <c r="A3" s="137" t="s">
        <v>118</v>
      </c>
      <c r="B3" s="138" t="s">
        <v>2074</v>
      </c>
      <c r="C3" s="138" t="s">
        <v>2070</v>
      </c>
      <c r="D3" s="138" t="s">
        <v>2071</v>
      </c>
      <c r="E3" s="138"/>
      <c r="F3" s="139" t="s">
        <v>2072</v>
      </c>
    </row>
    <row r="4" spans="1:15" ht="17.25">
      <c r="A4" s="137" t="s">
        <v>734</v>
      </c>
      <c r="B4" s="138" t="s">
        <v>2075</v>
      </c>
      <c r="C4" s="138" t="s">
        <v>1320</v>
      </c>
      <c r="D4" s="138" t="s">
        <v>2076</v>
      </c>
      <c r="E4" s="138"/>
      <c r="F4" s="139" t="s">
        <v>2077</v>
      </c>
    </row>
    <row r="5" spans="1:15" ht="17.25">
      <c r="A5" s="137" t="s">
        <v>734</v>
      </c>
      <c r="B5" s="138" t="s">
        <v>2079</v>
      </c>
      <c r="C5" s="138" t="s">
        <v>1320</v>
      </c>
      <c r="D5" s="138" t="s">
        <v>2076</v>
      </c>
      <c r="E5" s="140" t="s">
        <v>2080</v>
      </c>
      <c r="F5" s="139" t="s">
        <v>2081</v>
      </c>
    </row>
    <row r="6" spans="1:15" ht="17.25">
      <c r="A6" s="137" t="s">
        <v>1327</v>
      </c>
      <c r="B6" s="138" t="s">
        <v>2082</v>
      </c>
      <c r="C6" s="138" t="s">
        <v>1320</v>
      </c>
      <c r="D6" s="138" t="s">
        <v>2083</v>
      </c>
      <c r="E6" s="138"/>
      <c r="F6" s="139" t="s">
        <v>2084</v>
      </c>
    </row>
    <row r="7" spans="1:15" ht="17.25">
      <c r="A7" s="137" t="s">
        <v>735</v>
      </c>
      <c r="B7" s="138" t="s">
        <v>2086</v>
      </c>
      <c r="C7" s="138" t="s">
        <v>2070</v>
      </c>
      <c r="D7" s="138" t="s">
        <v>2087</v>
      </c>
      <c r="E7" s="138"/>
      <c r="F7" s="139" t="s">
        <v>2088</v>
      </c>
    </row>
    <row r="8" spans="1:15" ht="17.25">
      <c r="A8" s="137" t="s">
        <v>736</v>
      </c>
      <c r="B8" s="138" t="s">
        <v>2089</v>
      </c>
      <c r="C8" s="138" t="s">
        <v>2070</v>
      </c>
      <c r="D8" s="138" t="s">
        <v>2090</v>
      </c>
      <c r="E8" s="138"/>
      <c r="F8" s="139" t="s">
        <v>2091</v>
      </c>
    </row>
    <row r="9" spans="1:15" ht="17.25">
      <c r="A9" s="137" t="s">
        <v>119</v>
      </c>
      <c r="B9" s="138" t="s">
        <v>2092</v>
      </c>
      <c r="C9" s="138" t="s">
        <v>2070</v>
      </c>
      <c r="D9" s="138" t="s">
        <v>2093</v>
      </c>
      <c r="E9" s="138"/>
      <c r="F9" s="139" t="s">
        <v>2094</v>
      </c>
    </row>
    <row r="10" spans="1:15" ht="17.25">
      <c r="A10" s="141" t="s">
        <v>2096</v>
      </c>
      <c r="B10" s="138" t="s">
        <v>2097</v>
      </c>
      <c r="C10" s="138" t="s">
        <v>2070</v>
      </c>
      <c r="D10" s="138" t="s">
        <v>2098</v>
      </c>
      <c r="E10" s="138"/>
      <c r="F10" s="139" t="s">
        <v>2099</v>
      </c>
    </row>
    <row r="11" spans="1:15" ht="17.25">
      <c r="A11" s="137" t="s">
        <v>509</v>
      </c>
      <c r="B11" s="138" t="s">
        <v>2100</v>
      </c>
      <c r="C11" s="138" t="s">
        <v>2070</v>
      </c>
      <c r="D11" s="138" t="s">
        <v>2101</v>
      </c>
      <c r="E11" s="138"/>
      <c r="F11" s="142"/>
    </row>
    <row r="12" spans="1:15" ht="17.25">
      <c r="A12" s="137" t="s">
        <v>509</v>
      </c>
      <c r="B12" s="138" t="s">
        <v>2102</v>
      </c>
      <c r="C12" s="138" t="s">
        <v>2070</v>
      </c>
      <c r="D12" s="138" t="s">
        <v>2101</v>
      </c>
      <c r="E12" s="138" t="s">
        <v>2103</v>
      </c>
      <c r="F12" s="139" t="s">
        <v>2104</v>
      </c>
      <c r="H12" s="219" t="s">
        <v>2105</v>
      </c>
      <c r="I12" s="219"/>
      <c r="J12" s="219"/>
      <c r="K12" s="219"/>
      <c r="L12" s="219"/>
      <c r="M12" s="219"/>
      <c r="N12" s="219"/>
    </row>
    <row r="13" spans="1:15" ht="17.25">
      <c r="A13" s="137" t="s">
        <v>737</v>
      </c>
      <c r="B13" s="138" t="s">
        <v>2106</v>
      </c>
      <c r="C13" s="138" t="s">
        <v>2070</v>
      </c>
      <c r="D13" s="138" t="s">
        <v>2107</v>
      </c>
      <c r="E13" s="138"/>
      <c r="F13" s="139" t="s">
        <v>2108</v>
      </c>
      <c r="H13" s="143" t="s">
        <v>139</v>
      </c>
      <c r="I13" s="143" t="s">
        <v>140</v>
      </c>
      <c r="J13" s="143" t="s">
        <v>141</v>
      </c>
      <c r="K13" s="143" t="s">
        <v>142</v>
      </c>
      <c r="L13" s="143" t="s">
        <v>325</v>
      </c>
      <c r="M13" s="135" t="s">
        <v>733</v>
      </c>
      <c r="N13" s="143" t="s">
        <v>2109</v>
      </c>
      <c r="O13" s="143" t="s">
        <v>1396</v>
      </c>
    </row>
    <row r="14" spans="1:15" ht="17.25">
      <c r="A14" s="137" t="s">
        <v>153</v>
      </c>
      <c r="B14" s="138" t="s">
        <v>2110</v>
      </c>
      <c r="C14" s="138" t="s">
        <v>2070</v>
      </c>
      <c r="D14" s="138" t="s">
        <v>2111</v>
      </c>
      <c r="E14" s="138"/>
      <c r="F14" s="139" t="s">
        <v>2112</v>
      </c>
      <c r="H14" s="137" t="s">
        <v>734</v>
      </c>
      <c r="I14" s="138" t="s">
        <v>1248</v>
      </c>
      <c r="J14" s="137">
        <v>100760</v>
      </c>
      <c r="K14" s="137">
        <v>2300621</v>
      </c>
      <c r="L14" s="138"/>
      <c r="M14" s="138" t="s">
        <v>2070</v>
      </c>
      <c r="N14" s="144" t="s">
        <v>2080</v>
      </c>
      <c r="O14" s="144" t="s">
        <v>2113</v>
      </c>
    </row>
    <row r="15" spans="1:15" ht="17.25">
      <c r="A15" s="137" t="s">
        <v>153</v>
      </c>
      <c r="B15" s="138" t="s">
        <v>2114</v>
      </c>
      <c r="C15" s="138" t="s">
        <v>2070</v>
      </c>
      <c r="D15" s="138" t="s">
        <v>2111</v>
      </c>
      <c r="E15" s="138" t="s">
        <v>2115</v>
      </c>
      <c r="F15" s="142"/>
      <c r="H15" s="145" t="s">
        <v>2116</v>
      </c>
      <c r="I15" s="146" t="s">
        <v>2117</v>
      </c>
      <c r="J15" s="146">
        <v>100760</v>
      </c>
      <c r="K15" s="146">
        <v>2400391</v>
      </c>
      <c r="L15" s="146"/>
      <c r="M15" s="146" t="s">
        <v>2118</v>
      </c>
      <c r="N15" s="145" t="s">
        <v>2119</v>
      </c>
      <c r="O15" s="144" t="s">
        <v>2113</v>
      </c>
    </row>
    <row r="16" spans="1:15" ht="17.25">
      <c r="A16" s="137" t="s">
        <v>738</v>
      </c>
      <c r="B16" s="138" t="s">
        <v>2120</v>
      </c>
      <c r="C16" s="138" t="s">
        <v>2070</v>
      </c>
      <c r="D16" s="138" t="s">
        <v>2121</v>
      </c>
      <c r="E16" s="138"/>
      <c r="F16" s="139" t="s">
        <v>2122</v>
      </c>
      <c r="H16" s="146" t="s">
        <v>2123</v>
      </c>
      <c r="I16" s="146" t="s">
        <v>2124</v>
      </c>
      <c r="J16" s="146">
        <v>100760</v>
      </c>
      <c r="K16" s="146">
        <v>2300791</v>
      </c>
      <c r="L16" s="146"/>
      <c r="M16" s="146" t="s">
        <v>2118</v>
      </c>
      <c r="N16" s="145" t="s">
        <v>2125</v>
      </c>
      <c r="O16" s="144" t="s">
        <v>2113</v>
      </c>
    </row>
    <row r="17" spans="1:15" ht="17.25">
      <c r="A17" s="146" t="s">
        <v>2126</v>
      </c>
      <c r="B17" s="146" t="s">
        <v>2127</v>
      </c>
      <c r="C17" s="146" t="s">
        <v>2118</v>
      </c>
      <c r="D17" s="146" t="s">
        <v>2128</v>
      </c>
      <c r="E17" s="146"/>
      <c r="F17" s="139" t="s">
        <v>2129</v>
      </c>
      <c r="H17" s="147" t="s">
        <v>743</v>
      </c>
      <c r="I17" s="146" t="s">
        <v>2130</v>
      </c>
      <c r="J17" s="147">
        <v>100760</v>
      </c>
      <c r="K17" s="147">
        <v>2300791</v>
      </c>
      <c r="L17" s="146"/>
      <c r="M17" s="146" t="s">
        <v>2118</v>
      </c>
      <c r="N17" s="145" t="s">
        <v>980</v>
      </c>
      <c r="O17" s="144" t="s">
        <v>2113</v>
      </c>
    </row>
    <row r="18" spans="1:15" ht="17.25">
      <c r="A18" s="147" t="s">
        <v>739</v>
      </c>
      <c r="B18" s="146" t="s">
        <v>2131</v>
      </c>
      <c r="C18" s="146" t="s">
        <v>2118</v>
      </c>
      <c r="D18" s="146" t="s">
        <v>2132</v>
      </c>
      <c r="E18" s="146"/>
      <c r="F18" s="139" t="s">
        <v>2133</v>
      </c>
      <c r="H18" s="147" t="s">
        <v>408</v>
      </c>
      <c r="I18" s="146" t="s">
        <v>2073</v>
      </c>
      <c r="J18" s="147">
        <v>100760</v>
      </c>
      <c r="K18" s="147">
        <v>1700321</v>
      </c>
      <c r="L18" s="146"/>
      <c r="M18" s="146" t="s">
        <v>2118</v>
      </c>
      <c r="N18" s="145" t="s">
        <v>970</v>
      </c>
      <c r="O18" s="144" t="s">
        <v>2113</v>
      </c>
    </row>
    <row r="19" spans="1:15" ht="17.25">
      <c r="A19" s="147" t="s">
        <v>326</v>
      </c>
      <c r="B19" s="146" t="s">
        <v>2134</v>
      </c>
      <c r="C19" s="146" t="s">
        <v>2118</v>
      </c>
      <c r="D19" s="146" t="s">
        <v>2135</v>
      </c>
      <c r="E19" s="146"/>
      <c r="F19" s="139" t="s">
        <v>2136</v>
      </c>
      <c r="H19" s="148" t="s">
        <v>514</v>
      </c>
      <c r="I19" s="139" t="s">
        <v>2137</v>
      </c>
      <c r="J19" s="148">
        <v>100760</v>
      </c>
      <c r="K19" s="148">
        <v>2202428</v>
      </c>
      <c r="L19" s="139"/>
      <c r="M19" s="139" t="s">
        <v>2138</v>
      </c>
      <c r="N19" s="149" t="s">
        <v>2139</v>
      </c>
      <c r="O19" s="144" t="s">
        <v>2113</v>
      </c>
    </row>
    <row r="20" spans="1:15" ht="17.25">
      <c r="A20" s="147" t="s">
        <v>378</v>
      </c>
      <c r="B20" s="146" t="s">
        <v>2140</v>
      </c>
      <c r="C20" s="146" t="s">
        <v>2118</v>
      </c>
      <c r="D20" s="146" t="s">
        <v>2141</v>
      </c>
      <c r="E20" s="146"/>
      <c r="F20" s="139" t="s">
        <v>2142</v>
      </c>
    </row>
    <row r="21" spans="1:15" ht="17.25">
      <c r="A21" s="150" t="s">
        <v>740</v>
      </c>
      <c r="B21" s="150" t="s">
        <v>2143</v>
      </c>
      <c r="C21" s="150" t="s">
        <v>2118</v>
      </c>
      <c r="D21" s="150" t="s">
        <v>2144</v>
      </c>
      <c r="E21" s="146" t="s">
        <v>2145</v>
      </c>
      <c r="F21" s="139" t="s">
        <v>2146</v>
      </c>
    </row>
    <row r="22" spans="1:15" ht="17.25">
      <c r="A22" s="147" t="s">
        <v>2147</v>
      </c>
      <c r="B22" s="146" t="s">
        <v>1774</v>
      </c>
      <c r="C22" s="146" t="s">
        <v>2118</v>
      </c>
      <c r="D22" s="48" t="s">
        <v>2148</v>
      </c>
      <c r="E22" s="83"/>
      <c r="F22" s="139" t="s">
        <v>2113</v>
      </c>
    </row>
    <row r="23" spans="1:15" ht="17.25">
      <c r="A23" s="147" t="s">
        <v>2149</v>
      </c>
      <c r="B23" s="146" t="s">
        <v>2095</v>
      </c>
      <c r="C23" s="146" t="s">
        <v>2118</v>
      </c>
      <c r="D23" s="146" t="s">
        <v>2150</v>
      </c>
      <c r="E23" s="146"/>
      <c r="F23" s="139" t="s">
        <v>2151</v>
      </c>
    </row>
    <row r="24" spans="1:15" ht="17.25">
      <c r="A24" s="147" t="s">
        <v>512</v>
      </c>
      <c r="B24" s="146" t="s">
        <v>2152</v>
      </c>
      <c r="C24" s="146" t="s">
        <v>2118</v>
      </c>
      <c r="D24" s="146" t="s">
        <v>2153</v>
      </c>
      <c r="E24" s="146"/>
      <c r="F24" s="142"/>
    </row>
    <row r="25" spans="1:15" ht="17.25">
      <c r="A25" s="147" t="s">
        <v>512</v>
      </c>
      <c r="B25" s="146" t="s">
        <v>2153</v>
      </c>
      <c r="C25" s="146" t="s">
        <v>2118</v>
      </c>
      <c r="D25" s="146" t="s">
        <v>2153</v>
      </c>
      <c r="E25" s="146"/>
      <c r="F25" s="139" t="s">
        <v>2154</v>
      </c>
    </row>
    <row r="26" spans="1:15" ht="17.25">
      <c r="A26" s="147" t="s">
        <v>2155</v>
      </c>
      <c r="B26" s="146" t="s">
        <v>2156</v>
      </c>
      <c r="C26" s="146" t="s">
        <v>2118</v>
      </c>
      <c r="D26" s="146" t="s">
        <v>2157</v>
      </c>
      <c r="E26" s="146"/>
      <c r="F26" s="139" t="s">
        <v>2158</v>
      </c>
    </row>
    <row r="27" spans="1:15" ht="17.25">
      <c r="A27" s="147" t="s">
        <v>741</v>
      </c>
      <c r="B27" s="146" t="s">
        <v>2159</v>
      </c>
      <c r="C27" s="146" t="s">
        <v>2118</v>
      </c>
      <c r="D27" s="146" t="s">
        <v>2160</v>
      </c>
      <c r="E27" s="146"/>
      <c r="F27" s="139" t="s">
        <v>2161</v>
      </c>
    </row>
    <row r="28" spans="1:15" ht="17.25">
      <c r="A28" s="147" t="s">
        <v>513</v>
      </c>
      <c r="B28" s="146" t="s">
        <v>2162</v>
      </c>
      <c r="C28" s="146" t="s">
        <v>2118</v>
      </c>
      <c r="D28" s="146" t="s">
        <v>2163</v>
      </c>
      <c r="E28" s="146"/>
      <c r="F28" s="139" t="s">
        <v>2164</v>
      </c>
    </row>
    <row r="29" spans="1:15" ht="17.25">
      <c r="A29" s="147" t="s">
        <v>510</v>
      </c>
      <c r="B29" s="146" t="s">
        <v>2165</v>
      </c>
      <c r="C29" s="146" t="s">
        <v>2118</v>
      </c>
      <c r="D29" s="146" t="s">
        <v>2166</v>
      </c>
      <c r="E29" s="146"/>
      <c r="F29" s="139" t="s">
        <v>2167</v>
      </c>
    </row>
    <row r="30" spans="1:15" ht="17.25">
      <c r="A30" s="147" t="s">
        <v>742</v>
      </c>
      <c r="B30" s="146" t="s">
        <v>2168</v>
      </c>
      <c r="C30" s="146" t="s">
        <v>2118</v>
      </c>
      <c r="D30" s="146" t="s">
        <v>2169</v>
      </c>
      <c r="E30" s="146"/>
      <c r="F30" s="139" t="s">
        <v>2170</v>
      </c>
    </row>
    <row r="31" spans="1:15" ht="17.25">
      <c r="A31" s="147" t="s">
        <v>115</v>
      </c>
      <c r="B31" s="146" t="s">
        <v>2124</v>
      </c>
      <c r="C31" s="146" t="s">
        <v>2118</v>
      </c>
      <c r="D31" s="146" t="s">
        <v>2124</v>
      </c>
      <c r="E31" s="146"/>
      <c r="F31" s="139" t="s">
        <v>2171</v>
      </c>
    </row>
    <row r="32" spans="1:15" ht="17.25">
      <c r="A32" s="147" t="s">
        <v>743</v>
      </c>
      <c r="B32" s="146" t="s">
        <v>2172</v>
      </c>
      <c r="C32" s="146" t="s">
        <v>2118</v>
      </c>
      <c r="D32" s="146" t="s">
        <v>2130</v>
      </c>
      <c r="E32" s="146"/>
      <c r="F32" s="142"/>
    </row>
    <row r="33" spans="1:8" ht="17.25">
      <c r="A33" s="147" t="s">
        <v>515</v>
      </c>
      <c r="B33" s="146" t="s">
        <v>2173</v>
      </c>
      <c r="C33" s="146" t="s">
        <v>2118</v>
      </c>
      <c r="D33" s="146" t="s">
        <v>2174</v>
      </c>
      <c r="E33" s="146"/>
      <c r="F33" s="139" t="s">
        <v>2175</v>
      </c>
    </row>
    <row r="34" spans="1:8" ht="17.25">
      <c r="A34" s="147" t="s">
        <v>1242</v>
      </c>
      <c r="B34" s="146" t="s">
        <v>2176</v>
      </c>
      <c r="C34" s="146" t="s">
        <v>2118</v>
      </c>
      <c r="D34" s="146" t="s">
        <v>2177</v>
      </c>
      <c r="E34" s="146"/>
      <c r="F34" s="139" t="s">
        <v>2178</v>
      </c>
    </row>
    <row r="35" spans="1:8" ht="16.5" customHeight="1">
      <c r="A35" s="147" t="s">
        <v>743</v>
      </c>
      <c r="B35" s="146" t="s">
        <v>2130</v>
      </c>
      <c r="C35" s="146" t="s">
        <v>2118</v>
      </c>
      <c r="D35" s="146" t="s">
        <v>2130</v>
      </c>
      <c r="E35" s="146"/>
      <c r="F35" s="139" t="s">
        <v>2179</v>
      </c>
      <c r="H35" s="151"/>
    </row>
    <row r="36" spans="1:8" ht="16.5" customHeight="1">
      <c r="A36" s="147" t="s">
        <v>502</v>
      </c>
      <c r="B36" s="146" t="s">
        <v>2180</v>
      </c>
      <c r="C36" s="146" t="s">
        <v>2118</v>
      </c>
      <c r="D36" s="146" t="s">
        <v>2181</v>
      </c>
      <c r="E36" s="146"/>
      <c r="F36" s="139" t="s">
        <v>2182</v>
      </c>
    </row>
    <row r="37" spans="1:8" ht="17.25">
      <c r="A37" s="147" t="s">
        <v>2183</v>
      </c>
      <c r="B37" s="152" t="s">
        <v>2184</v>
      </c>
      <c r="C37" s="146" t="s">
        <v>2118</v>
      </c>
      <c r="D37" s="146" t="s">
        <v>2185</v>
      </c>
      <c r="E37" s="146" t="s">
        <v>2186</v>
      </c>
      <c r="F37" s="139" t="s">
        <v>2187</v>
      </c>
    </row>
    <row r="38" spans="1:8" ht="17.25">
      <c r="A38" s="147" t="s">
        <v>2188</v>
      </c>
      <c r="B38" s="152" t="s">
        <v>2189</v>
      </c>
      <c r="C38" s="146" t="s">
        <v>2118</v>
      </c>
      <c r="D38" s="146" t="s">
        <v>2189</v>
      </c>
      <c r="E38" s="146" t="s">
        <v>2186</v>
      </c>
      <c r="F38" s="139" t="s">
        <v>2187</v>
      </c>
    </row>
    <row r="39" spans="1:8" ht="17.25">
      <c r="A39" s="153" t="s">
        <v>2190</v>
      </c>
      <c r="B39" s="154" t="s">
        <v>496</v>
      </c>
      <c r="C39" s="154" t="s">
        <v>2118</v>
      </c>
      <c r="D39" s="154" t="s">
        <v>2191</v>
      </c>
      <c r="E39" s="154" t="s">
        <v>2192</v>
      </c>
      <c r="F39" s="139" t="s">
        <v>2193</v>
      </c>
    </row>
    <row r="40" spans="1:8" ht="17.25">
      <c r="A40" s="153" t="s">
        <v>387</v>
      </c>
      <c r="B40" s="154" t="s">
        <v>2194</v>
      </c>
      <c r="C40" s="154" t="s">
        <v>2118</v>
      </c>
      <c r="D40" s="154" t="s">
        <v>2195</v>
      </c>
      <c r="E40" s="154"/>
      <c r="F40" s="139" t="s">
        <v>2196</v>
      </c>
    </row>
    <row r="41" spans="1:8" ht="17.25">
      <c r="A41" s="147" t="s">
        <v>2197</v>
      </c>
      <c r="B41" s="146" t="s">
        <v>2198</v>
      </c>
      <c r="C41" s="146" t="s">
        <v>2118</v>
      </c>
      <c r="D41" s="146" t="s">
        <v>2195</v>
      </c>
      <c r="E41" s="146" t="s">
        <v>2199</v>
      </c>
      <c r="F41" s="139" t="s">
        <v>2200</v>
      </c>
    </row>
    <row r="42" spans="1:8" ht="17.25">
      <c r="A42" s="147" t="s">
        <v>745</v>
      </c>
      <c r="B42" s="146" t="s">
        <v>2201</v>
      </c>
      <c r="C42" s="146" t="s">
        <v>2118</v>
      </c>
      <c r="D42" s="146" t="s">
        <v>2202</v>
      </c>
      <c r="E42" s="146"/>
      <c r="F42" s="139" t="s">
        <v>2203</v>
      </c>
    </row>
    <row r="43" spans="1:8" ht="17.25">
      <c r="A43" s="147" t="s">
        <v>746</v>
      </c>
      <c r="B43" s="146" t="s">
        <v>2204</v>
      </c>
      <c r="C43" s="146" t="s">
        <v>2118</v>
      </c>
      <c r="D43" s="146" t="s">
        <v>2205</v>
      </c>
      <c r="E43" s="146"/>
      <c r="F43" s="139" t="s">
        <v>2206</v>
      </c>
    </row>
    <row r="44" spans="1:8" ht="17.25">
      <c r="A44" s="147" t="s">
        <v>747</v>
      </c>
      <c r="B44" s="146" t="s">
        <v>2207</v>
      </c>
      <c r="C44" s="146" t="s">
        <v>2118</v>
      </c>
      <c r="D44" s="146" t="s">
        <v>2208</v>
      </c>
      <c r="E44" s="146"/>
      <c r="F44" s="139" t="s">
        <v>2209</v>
      </c>
    </row>
    <row r="45" spans="1:8" ht="17.25">
      <c r="A45" s="147" t="s">
        <v>408</v>
      </c>
      <c r="B45" s="146" t="s">
        <v>2073</v>
      </c>
      <c r="C45" s="146" t="s">
        <v>2118</v>
      </c>
      <c r="D45" s="146" t="s">
        <v>2210</v>
      </c>
      <c r="E45" s="146"/>
      <c r="F45" s="139" t="s">
        <v>2211</v>
      </c>
    </row>
    <row r="46" spans="1:8" ht="17.25">
      <c r="A46" s="147" t="s">
        <v>379</v>
      </c>
      <c r="B46" s="146" t="s">
        <v>2212</v>
      </c>
      <c r="C46" s="146" t="s">
        <v>2118</v>
      </c>
      <c r="D46" s="146" t="s">
        <v>344</v>
      </c>
      <c r="E46" s="146"/>
      <c r="F46" s="139" t="s">
        <v>2213</v>
      </c>
    </row>
    <row r="47" spans="1:8" ht="17.25">
      <c r="A47" s="147" t="s">
        <v>2214</v>
      </c>
      <c r="B47" s="146" t="s">
        <v>344</v>
      </c>
      <c r="C47" s="146" t="s">
        <v>2118</v>
      </c>
      <c r="D47" s="146" t="s">
        <v>344</v>
      </c>
      <c r="E47" s="146"/>
      <c r="F47" s="139" t="s">
        <v>2215</v>
      </c>
    </row>
    <row r="48" spans="1:8" ht="17.25">
      <c r="A48" s="147" t="s">
        <v>2216</v>
      </c>
      <c r="B48" s="146" t="s">
        <v>2217</v>
      </c>
      <c r="C48" s="146" t="s">
        <v>2118</v>
      </c>
      <c r="D48" s="152" t="s">
        <v>1342</v>
      </c>
      <c r="E48" s="146"/>
      <c r="F48" s="139" t="s">
        <v>2218</v>
      </c>
    </row>
    <row r="49" spans="1:6" ht="17.25">
      <c r="A49" s="155" t="s">
        <v>1243</v>
      </c>
      <c r="B49" s="156" t="s">
        <v>1244</v>
      </c>
      <c r="C49" s="156" t="s">
        <v>2219</v>
      </c>
      <c r="D49" s="156" t="s">
        <v>2220</v>
      </c>
      <c r="E49" s="156"/>
      <c r="F49" s="139" t="s">
        <v>2221</v>
      </c>
    </row>
    <row r="50" spans="1:6" ht="17.25">
      <c r="A50" s="155" t="s">
        <v>1245</v>
      </c>
      <c r="B50" s="156" t="s">
        <v>1246</v>
      </c>
      <c r="C50" s="156" t="s">
        <v>2219</v>
      </c>
      <c r="D50" s="156" t="s">
        <v>2222</v>
      </c>
      <c r="E50" s="156"/>
      <c r="F50" s="139" t="s">
        <v>2223</v>
      </c>
    </row>
    <row r="51" spans="1:6" ht="17.25">
      <c r="A51" s="155" t="s">
        <v>100</v>
      </c>
      <c r="B51" s="156" t="s">
        <v>2224</v>
      </c>
      <c r="C51" s="156" t="s">
        <v>2219</v>
      </c>
      <c r="D51" s="156" t="s">
        <v>2225</v>
      </c>
      <c r="E51" s="156"/>
      <c r="F51" s="139" t="s">
        <v>2226</v>
      </c>
    </row>
    <row r="52" spans="1:6" ht="17.25">
      <c r="A52" s="155" t="s">
        <v>748</v>
      </c>
      <c r="B52" s="156" t="s">
        <v>2227</v>
      </c>
      <c r="C52" s="156" t="s">
        <v>2219</v>
      </c>
      <c r="D52" s="156" t="s">
        <v>2228</v>
      </c>
      <c r="E52" s="156"/>
      <c r="F52" s="139" t="s">
        <v>2229</v>
      </c>
    </row>
    <row r="53" spans="1:6" ht="17.25">
      <c r="A53" s="155" t="s">
        <v>503</v>
      </c>
      <c r="B53" s="156" t="s">
        <v>2230</v>
      </c>
      <c r="C53" s="156" t="s">
        <v>2219</v>
      </c>
      <c r="D53" s="156" t="s">
        <v>2231</v>
      </c>
      <c r="E53" s="156"/>
      <c r="F53" s="139" t="s">
        <v>2232</v>
      </c>
    </row>
    <row r="54" spans="1:6" ht="17.25">
      <c r="A54" s="155" t="s">
        <v>504</v>
      </c>
      <c r="B54" s="156" t="s">
        <v>2233</v>
      </c>
      <c r="C54" s="156" t="s">
        <v>2219</v>
      </c>
      <c r="D54" s="156" t="s">
        <v>2234</v>
      </c>
      <c r="E54" s="156"/>
      <c r="F54" s="139" t="s">
        <v>2235</v>
      </c>
    </row>
    <row r="55" spans="1:6" ht="17.25">
      <c r="A55" s="155" t="s">
        <v>749</v>
      </c>
      <c r="B55" s="156" t="s">
        <v>2236</v>
      </c>
      <c r="C55" s="156" t="s">
        <v>2219</v>
      </c>
      <c r="D55" s="156" t="s">
        <v>2237</v>
      </c>
      <c r="E55" s="156"/>
      <c r="F55" s="139" t="s">
        <v>2238</v>
      </c>
    </row>
    <row r="56" spans="1:6" ht="17.25">
      <c r="A56" s="155" t="s">
        <v>505</v>
      </c>
      <c r="B56" s="156" t="s">
        <v>2239</v>
      </c>
      <c r="C56" s="156" t="s">
        <v>2219</v>
      </c>
      <c r="D56" s="156" t="s">
        <v>2240</v>
      </c>
      <c r="E56" s="156"/>
      <c r="F56" s="139" t="s">
        <v>2241</v>
      </c>
    </row>
    <row r="57" spans="1:6" ht="17.25">
      <c r="A57" s="155" t="s">
        <v>750</v>
      </c>
      <c r="B57" s="156" t="s">
        <v>2242</v>
      </c>
      <c r="C57" s="156" t="s">
        <v>2219</v>
      </c>
      <c r="D57" s="156" t="s">
        <v>2243</v>
      </c>
      <c r="E57" s="156"/>
      <c r="F57" s="139" t="s">
        <v>2244</v>
      </c>
    </row>
    <row r="58" spans="1:6" ht="17.25">
      <c r="A58" s="155" t="s">
        <v>507</v>
      </c>
      <c r="B58" s="156" t="s">
        <v>2245</v>
      </c>
      <c r="C58" s="156" t="s">
        <v>2219</v>
      </c>
      <c r="D58" s="156" t="s">
        <v>2246</v>
      </c>
      <c r="E58" s="156"/>
      <c r="F58" s="139" t="s">
        <v>2247</v>
      </c>
    </row>
    <row r="59" spans="1:6" ht="17.25">
      <c r="A59" s="155" t="s">
        <v>507</v>
      </c>
      <c r="B59" s="156" t="s">
        <v>2248</v>
      </c>
      <c r="C59" s="156" t="s">
        <v>2219</v>
      </c>
      <c r="D59" s="156" t="s">
        <v>2246</v>
      </c>
      <c r="E59" s="156"/>
      <c r="F59" s="139" t="s">
        <v>2249</v>
      </c>
    </row>
    <row r="60" spans="1:6" ht="17.25">
      <c r="A60" s="155" t="s">
        <v>751</v>
      </c>
      <c r="B60" s="156" t="s">
        <v>2250</v>
      </c>
      <c r="C60" s="156" t="s">
        <v>2219</v>
      </c>
      <c r="D60" s="156" t="s">
        <v>2251</v>
      </c>
      <c r="E60" s="156"/>
      <c r="F60" s="139" t="s">
        <v>2252</v>
      </c>
    </row>
    <row r="61" spans="1:6" ht="17.25">
      <c r="A61" s="155" t="s">
        <v>752</v>
      </c>
      <c r="B61" s="156" t="s">
        <v>2253</v>
      </c>
      <c r="C61" s="156" t="s">
        <v>2219</v>
      </c>
      <c r="D61" s="156" t="s">
        <v>2254</v>
      </c>
      <c r="E61" s="156"/>
      <c r="F61" s="139" t="s">
        <v>2255</v>
      </c>
    </row>
    <row r="62" spans="1:6" ht="17.25">
      <c r="A62" s="155" t="s">
        <v>753</v>
      </c>
      <c r="B62" s="156" t="s">
        <v>2256</v>
      </c>
      <c r="C62" s="156" t="s">
        <v>2219</v>
      </c>
      <c r="D62" s="156" t="s">
        <v>2256</v>
      </c>
      <c r="E62" s="156"/>
      <c r="F62" s="139" t="s">
        <v>2257</v>
      </c>
    </row>
    <row r="63" spans="1:6" ht="17.25">
      <c r="A63" s="155" t="s">
        <v>506</v>
      </c>
      <c r="B63" s="156" t="s">
        <v>2258</v>
      </c>
      <c r="C63" s="156" t="s">
        <v>2219</v>
      </c>
      <c r="D63" s="156" t="s">
        <v>2258</v>
      </c>
      <c r="E63" s="156"/>
      <c r="F63" s="139" t="s">
        <v>2259</v>
      </c>
    </row>
    <row r="64" spans="1:6" ht="17.25">
      <c r="A64" s="155" t="s">
        <v>499</v>
      </c>
      <c r="B64" s="156" t="s">
        <v>2260</v>
      </c>
      <c r="C64" s="156" t="s">
        <v>2219</v>
      </c>
      <c r="D64" s="156" t="s">
        <v>2261</v>
      </c>
      <c r="E64" s="156"/>
      <c r="F64" s="142"/>
    </row>
    <row r="65" spans="1:6" ht="17.25">
      <c r="A65" s="155" t="s">
        <v>499</v>
      </c>
      <c r="B65" s="156" t="s">
        <v>2262</v>
      </c>
      <c r="C65" s="156" t="s">
        <v>2219</v>
      </c>
      <c r="D65" s="156" t="s">
        <v>2261</v>
      </c>
      <c r="E65" s="156"/>
      <c r="F65" s="139" t="s">
        <v>2263</v>
      </c>
    </row>
    <row r="66" spans="1:6" ht="17.25">
      <c r="A66" s="148" t="s">
        <v>117</v>
      </c>
      <c r="B66" s="139" t="s">
        <v>2264</v>
      </c>
      <c r="C66" s="139" t="s">
        <v>2138</v>
      </c>
      <c r="D66" s="139" t="s">
        <v>2265</v>
      </c>
      <c r="E66" s="139"/>
      <c r="F66" s="139" t="s">
        <v>2266</v>
      </c>
    </row>
    <row r="67" spans="1:6" ht="17.25">
      <c r="A67" s="148" t="s">
        <v>2267</v>
      </c>
      <c r="B67" s="139" t="s">
        <v>2268</v>
      </c>
      <c r="C67" s="139" t="s">
        <v>2138</v>
      </c>
      <c r="D67" s="139" t="s">
        <v>2269</v>
      </c>
      <c r="E67" s="139"/>
      <c r="F67" s="139" t="s">
        <v>2270</v>
      </c>
    </row>
    <row r="68" spans="1:6" ht="17.25">
      <c r="A68" s="148" t="s">
        <v>409</v>
      </c>
      <c r="B68" s="139" t="s">
        <v>2078</v>
      </c>
      <c r="C68" s="139" t="s">
        <v>2138</v>
      </c>
      <c r="D68" s="139" t="s">
        <v>2271</v>
      </c>
      <c r="E68" s="139" t="s">
        <v>2272</v>
      </c>
      <c r="F68" s="139" t="s">
        <v>2273</v>
      </c>
    </row>
    <row r="69" spans="1:6" ht="17.25">
      <c r="A69" s="148" t="s">
        <v>754</v>
      </c>
      <c r="B69" s="139" t="s">
        <v>2274</v>
      </c>
      <c r="C69" s="139" t="s">
        <v>2138</v>
      </c>
      <c r="D69" s="139" t="s">
        <v>2275</v>
      </c>
      <c r="E69" s="139"/>
      <c r="F69" s="139" t="s">
        <v>2276</v>
      </c>
    </row>
    <row r="70" spans="1:6" ht="17.25">
      <c r="A70" s="148" t="s">
        <v>2277</v>
      </c>
      <c r="B70" s="139" t="s">
        <v>2278</v>
      </c>
      <c r="C70" s="139" t="s">
        <v>2138</v>
      </c>
      <c r="D70" s="139" t="s">
        <v>2279</v>
      </c>
      <c r="E70" s="139"/>
      <c r="F70" s="139" t="s">
        <v>2280</v>
      </c>
    </row>
    <row r="71" spans="1:6" ht="17.25">
      <c r="A71" s="148" t="s">
        <v>755</v>
      </c>
      <c r="B71" s="139" t="s">
        <v>2281</v>
      </c>
      <c r="C71" s="139" t="s">
        <v>2138</v>
      </c>
      <c r="D71" s="139" t="s">
        <v>2282</v>
      </c>
      <c r="E71" s="139"/>
      <c r="F71" s="139" t="s">
        <v>2283</v>
      </c>
    </row>
    <row r="72" spans="1:6" ht="17.25">
      <c r="A72" s="148" t="s">
        <v>500</v>
      </c>
      <c r="B72" s="139" t="s">
        <v>2284</v>
      </c>
      <c r="C72" s="139" t="s">
        <v>2138</v>
      </c>
      <c r="D72" s="139" t="s">
        <v>2285</v>
      </c>
      <c r="E72" s="139"/>
      <c r="F72" s="142"/>
    </row>
    <row r="73" spans="1:6" ht="17.25">
      <c r="A73" s="148" t="s">
        <v>500</v>
      </c>
      <c r="B73" s="139" t="s">
        <v>2286</v>
      </c>
      <c r="C73" s="139" t="s">
        <v>2138</v>
      </c>
      <c r="D73" s="139" t="s">
        <v>2285</v>
      </c>
      <c r="E73" s="139"/>
      <c r="F73" s="139" t="s">
        <v>2287</v>
      </c>
    </row>
    <row r="74" spans="1:6" ht="17.25">
      <c r="A74" s="148" t="s">
        <v>756</v>
      </c>
      <c r="B74" s="139" t="s">
        <v>2288</v>
      </c>
      <c r="C74" s="139" t="s">
        <v>2138</v>
      </c>
      <c r="D74" s="139" t="s">
        <v>2289</v>
      </c>
      <c r="E74" s="139"/>
      <c r="F74" s="139" t="s">
        <v>2290</v>
      </c>
    </row>
    <row r="75" spans="1:6" ht="17.25">
      <c r="A75" s="148" t="s">
        <v>757</v>
      </c>
      <c r="B75" s="139" t="s">
        <v>2291</v>
      </c>
      <c r="C75" s="139" t="s">
        <v>2138</v>
      </c>
      <c r="D75" s="139" t="s">
        <v>2292</v>
      </c>
      <c r="E75" s="139"/>
      <c r="F75" s="139" t="s">
        <v>2293</v>
      </c>
    </row>
    <row r="76" spans="1:6" ht="17.25">
      <c r="A76" s="148" t="s">
        <v>388</v>
      </c>
      <c r="B76" s="139" t="s">
        <v>2294</v>
      </c>
      <c r="C76" s="139" t="s">
        <v>2138</v>
      </c>
      <c r="D76" s="139" t="s">
        <v>2295</v>
      </c>
      <c r="E76" s="139"/>
      <c r="F76" s="139" t="s">
        <v>2296</v>
      </c>
    </row>
    <row r="77" spans="1:6" ht="17.25">
      <c r="A77" s="148" t="s">
        <v>514</v>
      </c>
      <c r="B77" s="139" t="s">
        <v>2137</v>
      </c>
      <c r="C77" s="139" t="s">
        <v>2138</v>
      </c>
      <c r="D77" s="139" t="s">
        <v>2297</v>
      </c>
      <c r="E77" s="157" t="s">
        <v>2298</v>
      </c>
      <c r="F77" s="139" t="s">
        <v>2113</v>
      </c>
    </row>
    <row r="78" spans="1:6" ht="17.25">
      <c r="A78" s="148" t="s">
        <v>2299</v>
      </c>
      <c r="B78" s="139" t="s">
        <v>2085</v>
      </c>
      <c r="C78" s="139" t="s">
        <v>2138</v>
      </c>
      <c r="D78" s="139" t="s">
        <v>2300</v>
      </c>
      <c r="E78" s="139"/>
      <c r="F78" s="139" t="s">
        <v>2301</v>
      </c>
    </row>
    <row r="79" spans="1:6" ht="17.25">
      <c r="A79" s="148" t="s">
        <v>758</v>
      </c>
      <c r="B79" s="139" t="s">
        <v>2302</v>
      </c>
      <c r="C79" s="139" t="s">
        <v>2138</v>
      </c>
      <c r="D79" s="139" t="s">
        <v>2303</v>
      </c>
      <c r="E79" s="139"/>
      <c r="F79" s="139" t="s">
        <v>2304</v>
      </c>
    </row>
    <row r="80" spans="1:6" ht="17.25">
      <c r="A80" s="148" t="s">
        <v>501</v>
      </c>
      <c r="B80" s="139" t="s">
        <v>2305</v>
      </c>
      <c r="C80" s="139" t="s">
        <v>2138</v>
      </c>
      <c r="D80" s="139" t="s">
        <v>2306</v>
      </c>
      <c r="E80" s="139"/>
      <c r="F80" s="139" t="s">
        <v>2307</v>
      </c>
    </row>
    <row r="81" spans="1:6" ht="17.25">
      <c r="A81" s="148" t="s">
        <v>759</v>
      </c>
      <c r="B81" s="139" t="s">
        <v>2308</v>
      </c>
      <c r="C81" s="139" t="s">
        <v>2138</v>
      </c>
      <c r="D81" s="139" t="s">
        <v>2309</v>
      </c>
      <c r="E81" s="139"/>
      <c r="F81" s="142"/>
    </row>
    <row r="82" spans="1:6" ht="17.25">
      <c r="A82" s="148" t="s">
        <v>760</v>
      </c>
      <c r="B82" s="139" t="s">
        <v>2310</v>
      </c>
      <c r="C82" s="139" t="s">
        <v>2138</v>
      </c>
      <c r="D82" s="139" t="s">
        <v>2311</v>
      </c>
      <c r="E82" s="139"/>
      <c r="F82" s="139" t="s">
        <v>2312</v>
      </c>
    </row>
  </sheetData>
  <sheetProtection algorithmName="SHA-512" hashValue="3SnNJoeh+glLwrqr/8JXen5B3owibITmclWudtD14B3ckUXq2Azsv1AJD6cYl76Izr9Ttk2hUJUNxV1NKVl/8w==" saltValue="8rVgag4VtREmCdpewMa7sQ==" spinCount="100000" sheet="1" objects="1" scenarios="1" selectLockedCells="1" selectUnlockedCells="1"/>
  <mergeCells count="1">
    <mergeCell ref="H12:N12"/>
  </mergeCells>
  <phoneticPr fontId="30" type="noConversion"/>
  <conditionalFormatting sqref="A17">
    <cfRule type="duplicateValues" dxfId="7" priority="6"/>
  </conditionalFormatting>
  <conditionalFormatting sqref="B1:B1048576">
    <cfRule type="duplicateValues" dxfId="6" priority="8"/>
  </conditionalFormatting>
  <conditionalFormatting sqref="B22">
    <cfRule type="duplicateValues" dxfId="5" priority="1"/>
  </conditionalFormatting>
  <conditionalFormatting sqref="I1">
    <cfRule type="duplicateValues" dxfId="4" priority="7"/>
  </conditionalFormatting>
  <conditionalFormatting sqref="I17">
    <cfRule type="duplicateValues" dxfId="3" priority="4"/>
  </conditionalFormatting>
  <conditionalFormatting sqref="I18">
    <cfRule type="duplicateValues" dxfId="2" priority="5"/>
  </conditionalFormatting>
  <conditionalFormatting sqref="I19">
    <cfRule type="duplicateValues" dxfId="1" priority="3"/>
  </conditionalFormatting>
  <conditionalFormatting sqref="P19">
    <cfRule type="duplicateValues" dxfId="0" priority="2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42f3a67-a909-42d4-be47-a235656db26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C1D5C826BE6D5D488D8C0D0A9D2B8B19" ma:contentTypeVersion="14" ma:contentTypeDescription="새 문서를 만듭니다." ma:contentTypeScope="" ma:versionID="2e900bc2c7d3025d8db2ca16e5196180">
  <xsd:schema xmlns:xsd="http://www.w3.org/2001/XMLSchema" xmlns:xs="http://www.w3.org/2001/XMLSchema" xmlns:p="http://schemas.microsoft.com/office/2006/metadata/properties" xmlns:ns3="a42f3a67-a909-42d4-be47-a235656db264" xmlns:ns4="160c8783-3e89-4c4a-9351-79b9933f6df6" targetNamespace="http://schemas.microsoft.com/office/2006/metadata/properties" ma:root="true" ma:fieldsID="b8c36b26c212d34b3397fab8b8959e5c" ns3:_="" ns4:_="">
    <xsd:import namespace="a42f3a67-a909-42d4-be47-a235656db264"/>
    <xsd:import namespace="160c8783-3e89-4c4a-9351-79b9933f6df6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2f3a67-a909-42d4-be47-a235656db264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c8783-3e89-4c4a-9351-79b9933f6df6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힌트 해시 공유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A0F565-C229-4D47-B637-6611C927E3B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EFA00CB-92A2-4A9A-BD65-066528D1EE34}">
  <ds:schemaRefs>
    <ds:schemaRef ds:uri="http://purl.org/dc/terms/"/>
    <ds:schemaRef ds:uri="http://purl.org/dc/elements/1.1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160c8783-3e89-4c4a-9351-79b9933f6df6"/>
    <ds:schemaRef ds:uri="http://www.w3.org/XML/1998/namespace"/>
    <ds:schemaRef ds:uri="http://schemas.microsoft.com/office/2006/metadata/properties"/>
    <ds:schemaRef ds:uri="a42f3a67-a909-42d4-be47-a235656db264"/>
  </ds:schemaRefs>
</ds:datastoreItem>
</file>

<file path=customXml/itemProps3.xml><?xml version="1.0" encoding="utf-8"?>
<ds:datastoreItem xmlns:ds="http://schemas.openxmlformats.org/officeDocument/2006/customXml" ds:itemID="{11E2D0D0-364A-420E-A5FE-CD7900B4A9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2f3a67-a909-42d4-be47-a235656db264"/>
    <ds:schemaRef ds:uri="160c8783-3e89-4c4a-9351-79b9933f6d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3fda7ce-6156-4e79-840a-31239bced759}" enabled="1" method="Privileged" siteId="{f9ac8ad9-9c79-4fb4-be57-986d607ad4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ELS</vt:lpstr>
      <vt:lpstr>GLAPS컨테이너배차관리</vt:lpstr>
      <vt:lpstr>GLAPS정리</vt:lpstr>
      <vt:lpstr>CKD고객사코드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손정희 매니저</dc:creator>
  <cp:lastModifiedBy>hoon</cp:lastModifiedBy>
  <cp:lastPrinted>2025-08-13T00:14:01Z</cp:lastPrinted>
  <dcterms:created xsi:type="dcterms:W3CDTF">2023-11-07T06:46:32Z</dcterms:created>
  <dcterms:modified xsi:type="dcterms:W3CDTF">2026-06-03T03:13:59Z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0x010100C1D5C826BE6D5D488D8C0D0A9D2B8B19</vt:lpwstr>
  </property>
  <property fmtid="{D5CDD505-2E9C-101B-9397-08002B2CF9AE}" pid="3" name="MSIP_Label_78403b88-657c-460c-ad0a-be2016562973_SiteId">
    <vt:lpwstr>f9ac8ad9-9c79-4fb4-be57-986d607ad407</vt:lpwstr>
  </property>
  <property fmtid="{D5CDD505-2E9C-101B-9397-08002B2CF9AE}" pid="4" name="MSIP_Label_78403b88-657c-460c-ad0a-be2016562973_SetDate">
    <vt:lpwstr>2026-05-27T02:01:11Z</vt:lpwstr>
  </property>
  <property fmtid="{D5CDD505-2E9C-101B-9397-08002B2CF9AE}" pid="5" name="MSIP_Label_78403b88-657c-460c-ad0a-be2016562973_Name">
    <vt:lpwstr>보안문서(암호화)</vt:lpwstr>
  </property>
  <property fmtid="{D5CDD505-2E9C-101B-9397-08002B2CF9AE}" pid="6" name="MSIP_Label_78403b88-657c-460c-ad0a-be2016562973_Method">
    <vt:lpwstr>Standard</vt:lpwstr>
  </property>
  <property fmtid="{D5CDD505-2E9C-101B-9397-08002B2CF9AE}" pid="7" name="MSIP_Label_78403b88-657c-460c-ad0a-be2016562973_Enabled">
    <vt:lpwstr>true</vt:lpwstr>
  </property>
  <property fmtid="{D5CDD505-2E9C-101B-9397-08002B2CF9AE}" pid="8" name="MSIP_Label_78403b88-657c-460c-ad0a-be2016562973_ContentBits">
    <vt:lpwstr>8</vt:lpwstr>
  </property>
</Properties>
</file>