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oon\Desktop\els_home_v1\work-docs\glaps\"/>
    </mc:Choice>
  </mc:AlternateContent>
  <xr:revisionPtr revIDLastSave="0" documentId="13_ncr:1_{962B6EE3-E299-4CD8-A3E8-387ED1AD7E31}" xr6:coauthVersionLast="47" xr6:coauthVersionMax="47" xr10:uidLastSave="{00000000-0000-0000-0000-000000000000}"/>
  <bookViews>
    <workbookView xWindow="3765" yWindow="3765" windowWidth="28800" windowHeight="15345" tabRatio="299" activeTab="2" xr2:uid="{00000000-000D-0000-FFFF-FFFF00000000}"/>
  </bookViews>
  <sheets>
    <sheet name="ELS" sheetId="129" r:id="rId1"/>
    <sheet name="GLAPS컨테이너배차관리" sheetId="132" r:id="rId2"/>
    <sheet name="GLAPS자동계산" sheetId="133" r:id="rId3"/>
    <sheet name="GLAPS정리" sheetId="121" r:id="rId4"/>
    <sheet name="CKD고객사코드" sheetId="131" r:id="rId5"/>
  </sheets>
  <definedNames>
    <definedName name="_xlnm._FilterDatabase" localSheetId="0" hidden="1">ELS!$B$2:$AA$890</definedName>
    <definedName name="_xlnm._FilterDatabase" localSheetId="2" hidden="1">GLAPS자동계산!$A$1:$AB$1</definedName>
    <definedName name="_xlnm._FilterDatabase" localSheetId="3" hidden="1">GLAPS정리!$BG$1:$BP$95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33" l="1"/>
  <c r="C2" i="133" s="1"/>
  <c r="B3" i="129" s="1"/>
  <c r="B3" i="133"/>
  <c r="G3" i="133" s="1"/>
  <c r="F4" i="129" s="1"/>
  <c r="B4" i="133"/>
  <c r="I4" i="133" s="1"/>
  <c r="H5" i="129" s="1"/>
  <c r="B5" i="133"/>
  <c r="M5" i="133" s="1"/>
  <c r="L6" i="129" s="1"/>
  <c r="B6" i="133"/>
  <c r="D6" i="133" s="1"/>
  <c r="C7" i="129" s="1"/>
  <c r="B7" i="133"/>
  <c r="E7" i="133" s="1"/>
  <c r="D8" i="129" s="1"/>
  <c r="B8" i="133"/>
  <c r="D8" i="133" s="1"/>
  <c r="C9" i="129" s="1"/>
  <c r="B9" i="133"/>
  <c r="E9" i="133" s="1"/>
  <c r="D10" i="129" s="1"/>
  <c r="B10" i="133"/>
  <c r="D10" i="133" s="1"/>
  <c r="C11" i="129" s="1"/>
  <c r="B11" i="133"/>
  <c r="K11" i="133" s="1"/>
  <c r="J12" i="129" s="1"/>
  <c r="B12" i="133"/>
  <c r="F12" i="133" s="1"/>
  <c r="E13" i="129" s="1"/>
  <c r="B13" i="133"/>
  <c r="C13" i="133" s="1"/>
  <c r="B14" i="129" s="1"/>
  <c r="B14" i="133"/>
  <c r="D14" i="133" s="1"/>
  <c r="C15" i="129" s="1"/>
  <c r="B15" i="133"/>
  <c r="E15" i="133" s="1"/>
  <c r="D16" i="129" s="1"/>
  <c r="B16" i="133"/>
  <c r="D16" i="133" s="1"/>
  <c r="C17" i="129" s="1"/>
  <c r="B17" i="133"/>
  <c r="C17" i="133" s="1"/>
  <c r="B18" i="129" s="1"/>
  <c r="B18" i="133"/>
  <c r="H18" i="133" s="1"/>
  <c r="G19" i="129" s="1"/>
  <c r="B19" i="133"/>
  <c r="K19" i="133" s="1"/>
  <c r="J20" i="129" s="1"/>
  <c r="B20" i="133"/>
  <c r="E20" i="133" s="1"/>
  <c r="D21" i="129" s="1"/>
  <c r="B21" i="133"/>
  <c r="D21" i="133" s="1"/>
  <c r="C22" i="129" s="1"/>
  <c r="B22" i="133"/>
  <c r="Q22" i="133" s="1"/>
  <c r="P23" i="129" s="1"/>
  <c r="B23" i="133"/>
  <c r="S23" i="133" s="1"/>
  <c r="R24" i="129" s="1"/>
  <c r="B24" i="133"/>
  <c r="F24" i="133" s="1"/>
  <c r="E25" i="129" s="1"/>
  <c r="B25" i="133"/>
  <c r="C25" i="133" s="1"/>
  <c r="B26" i="129" s="1"/>
  <c r="B26" i="133"/>
  <c r="Z26" i="133" s="1"/>
  <c r="Y27" i="129" s="1"/>
  <c r="B27" i="133"/>
  <c r="I27" i="133" s="1"/>
  <c r="H28" i="129" s="1"/>
  <c r="B28" i="133"/>
  <c r="E28" i="133" s="1"/>
  <c r="D29" i="129" s="1"/>
  <c r="B29" i="133"/>
  <c r="C29" i="133" s="1"/>
  <c r="B30" i="129" s="1"/>
  <c r="B30" i="133"/>
  <c r="J30" i="133" s="1"/>
  <c r="I31" i="129" s="1"/>
  <c r="Y30" i="133"/>
  <c r="X31" i="129" s="1"/>
  <c r="B31" i="133"/>
  <c r="B32" i="133"/>
  <c r="D32" i="133" s="1"/>
  <c r="C33" i="129" s="1"/>
  <c r="B33" i="133"/>
  <c r="N33" i="133" s="1"/>
  <c r="M34" i="129" s="1"/>
  <c r="B34" i="133"/>
  <c r="L34" i="133" s="1"/>
  <c r="K35" i="129" s="1"/>
  <c r="B35" i="133"/>
  <c r="I35" i="133" s="1"/>
  <c r="H36" i="129" s="1"/>
  <c r="B36" i="133"/>
  <c r="J36" i="133" s="1"/>
  <c r="I37" i="129" s="1"/>
  <c r="B37" i="133"/>
  <c r="E37" i="133" s="1"/>
  <c r="D38" i="129" s="1"/>
  <c r="K37" i="133"/>
  <c r="J38" i="129" s="1"/>
  <c r="B38" i="133"/>
  <c r="E38" i="133" s="1"/>
  <c r="D39" i="129" s="1"/>
  <c r="B39" i="133"/>
  <c r="E39" i="133" s="1"/>
  <c r="D40" i="129" s="1"/>
  <c r="B40" i="133"/>
  <c r="D40" i="133" s="1"/>
  <c r="C41" i="129" s="1"/>
  <c r="B41" i="133"/>
  <c r="H41" i="133" s="1"/>
  <c r="G42" i="129" s="1"/>
  <c r="B42" i="133"/>
  <c r="N42" i="133" s="1"/>
  <c r="M43" i="129" s="1"/>
  <c r="E42" i="133"/>
  <c r="D43" i="129" s="1"/>
  <c r="T42" i="133"/>
  <c r="S43" i="129" s="1"/>
  <c r="B43" i="133"/>
  <c r="D43" i="133" s="1"/>
  <c r="C44" i="129" s="1"/>
  <c r="B44" i="133"/>
  <c r="C44" i="133" s="1"/>
  <c r="B45" i="129" s="1"/>
  <c r="B45" i="133"/>
  <c r="D45" i="133" s="1"/>
  <c r="C46" i="129" s="1"/>
  <c r="B46" i="133"/>
  <c r="C46" i="133" s="1"/>
  <c r="B47" i="129" s="1"/>
  <c r="B47" i="133"/>
  <c r="D47" i="133" s="1"/>
  <c r="C48" i="129" s="1"/>
  <c r="B48" i="133"/>
  <c r="E48" i="133" s="1"/>
  <c r="D49" i="129" s="1"/>
  <c r="B49" i="133"/>
  <c r="P49" i="133" s="1"/>
  <c r="O50" i="129" s="1"/>
  <c r="B50" i="133"/>
  <c r="G50" i="133" s="1"/>
  <c r="F51" i="129" s="1"/>
  <c r="B51" i="133"/>
  <c r="E51" i="133" s="1"/>
  <c r="D52" i="129" s="1"/>
  <c r="H51" i="133"/>
  <c r="G52" i="129" s="1"/>
  <c r="M51" i="133"/>
  <c r="L52" i="129" s="1"/>
  <c r="S51" i="133"/>
  <c r="R52" i="129" s="1"/>
  <c r="B52" i="133"/>
  <c r="E52" i="133" s="1"/>
  <c r="D53" i="129" s="1"/>
  <c r="B53" i="133"/>
  <c r="F53" i="133" s="1"/>
  <c r="E54" i="129" s="1"/>
  <c r="B54" i="133"/>
  <c r="D54" i="133" s="1"/>
  <c r="C55" i="129" s="1"/>
  <c r="B55" i="133"/>
  <c r="I55" i="133" s="1"/>
  <c r="H56" i="129" s="1"/>
  <c r="B56" i="133"/>
  <c r="C56" i="133" s="1"/>
  <c r="B57" i="129" s="1"/>
  <c r="B57" i="133"/>
  <c r="D57" i="133" s="1"/>
  <c r="C58" i="129" s="1"/>
  <c r="B58" i="133"/>
  <c r="J58" i="133" s="1"/>
  <c r="I59" i="129" s="1"/>
  <c r="B59" i="133"/>
  <c r="D59" i="133" s="1"/>
  <c r="C60" i="129" s="1"/>
  <c r="B60" i="133"/>
  <c r="E60" i="133" s="1"/>
  <c r="D61" i="129" s="1"/>
  <c r="B61" i="133"/>
  <c r="D61" i="133" s="1"/>
  <c r="C62" i="129" s="1"/>
  <c r="B62" i="133"/>
  <c r="E62" i="133" s="1"/>
  <c r="D63" i="129" s="1"/>
  <c r="B63" i="133"/>
  <c r="D63" i="133" s="1"/>
  <c r="C64" i="129" s="1"/>
  <c r="B64" i="133"/>
  <c r="C64" i="133" s="1"/>
  <c r="B65" i="129" s="1"/>
  <c r="B65" i="133"/>
  <c r="H65" i="133" s="1"/>
  <c r="G66" i="129" s="1"/>
  <c r="B66" i="133"/>
  <c r="C66" i="133" s="1"/>
  <c r="B67" i="129" s="1"/>
  <c r="B67" i="133"/>
  <c r="C67" i="133" s="1"/>
  <c r="B68" i="129" s="1"/>
  <c r="K67" i="133"/>
  <c r="J68" i="129" s="1"/>
  <c r="L67" i="133"/>
  <c r="K68" i="129" s="1"/>
  <c r="Y67" i="133"/>
  <c r="X68" i="129" s="1"/>
  <c r="B68" i="133"/>
  <c r="C68" i="133" s="1"/>
  <c r="B69" i="129" s="1"/>
  <c r="L68" i="133"/>
  <c r="K69" i="129" s="1"/>
  <c r="AA68" i="133"/>
  <c r="Z69" i="129" s="1"/>
  <c r="B69" i="133"/>
  <c r="G69" i="133" s="1"/>
  <c r="F70" i="129" s="1"/>
  <c r="U69" i="133"/>
  <c r="T70" i="129" s="1"/>
  <c r="Y69" i="133"/>
  <c r="X70" i="129" s="1"/>
  <c r="B70" i="133"/>
  <c r="O70" i="133" s="1"/>
  <c r="N71" i="129" s="1"/>
  <c r="B71" i="133"/>
  <c r="D71" i="133" s="1"/>
  <c r="C72" i="129" s="1"/>
  <c r="B72" i="133"/>
  <c r="J72" i="133" s="1"/>
  <c r="I73" i="129" s="1"/>
  <c r="B73" i="133"/>
  <c r="Q73" i="133" s="1"/>
  <c r="P74" i="129" s="1"/>
  <c r="B74" i="133"/>
  <c r="C74" i="133" s="1"/>
  <c r="B75" i="129" s="1"/>
  <c r="B75" i="133"/>
  <c r="D75" i="133" s="1"/>
  <c r="C76" i="129" s="1"/>
  <c r="B76" i="133"/>
  <c r="C76" i="133" s="1"/>
  <c r="B77" i="129" s="1"/>
  <c r="F76" i="133"/>
  <c r="E77" i="129" s="1"/>
  <c r="V76" i="133"/>
  <c r="U77" i="129" s="1"/>
  <c r="B77" i="133"/>
  <c r="C77" i="133" s="1"/>
  <c r="B78" i="129" s="1"/>
  <c r="V77" i="133"/>
  <c r="U78" i="129" s="1"/>
  <c r="B78" i="133"/>
  <c r="C78" i="133" s="1"/>
  <c r="B79" i="129" s="1"/>
  <c r="I78" i="133"/>
  <c r="H79" i="129" s="1"/>
  <c r="B79" i="133"/>
  <c r="D79" i="133" s="1"/>
  <c r="C80" i="129" s="1"/>
  <c r="L79" i="133"/>
  <c r="K80" i="129" s="1"/>
  <c r="Q79" i="133"/>
  <c r="P80" i="129" s="1"/>
  <c r="B80" i="133"/>
  <c r="R80" i="133" s="1"/>
  <c r="Q81" i="129" s="1"/>
  <c r="P80" i="133"/>
  <c r="O81" i="129" s="1"/>
  <c r="T80" i="133"/>
  <c r="S81" i="129" s="1"/>
  <c r="B81" i="133"/>
  <c r="C81" i="133" s="1"/>
  <c r="B82" i="129" s="1"/>
  <c r="B82" i="133"/>
  <c r="C82" i="133" s="1"/>
  <c r="B83" i="129" s="1"/>
  <c r="B83" i="133"/>
  <c r="C83" i="133" s="1"/>
  <c r="B84" i="129" s="1"/>
  <c r="B84" i="133"/>
  <c r="E84" i="133" s="1"/>
  <c r="D85" i="129" s="1"/>
  <c r="B85" i="133"/>
  <c r="E85" i="133" s="1"/>
  <c r="D86" i="129" s="1"/>
  <c r="O85" i="133"/>
  <c r="N86" i="129" s="1"/>
  <c r="B86" i="133"/>
  <c r="Q86" i="133" s="1"/>
  <c r="P87" i="129" s="1"/>
  <c r="B87" i="133"/>
  <c r="C87" i="133" s="1"/>
  <c r="B88" i="129" s="1"/>
  <c r="B88" i="133"/>
  <c r="C88" i="133" s="1"/>
  <c r="B89" i="129" s="1"/>
  <c r="B89" i="133"/>
  <c r="K89" i="133" s="1"/>
  <c r="J90" i="129" s="1"/>
  <c r="B90" i="133"/>
  <c r="C90" i="133" s="1"/>
  <c r="B91" i="129" s="1"/>
  <c r="O90" i="133"/>
  <c r="N91" i="129" s="1"/>
  <c r="B91" i="133"/>
  <c r="C91" i="133" s="1"/>
  <c r="B92" i="129" s="1"/>
  <c r="B92" i="133"/>
  <c r="G92" i="133" s="1"/>
  <c r="F93" i="129" s="1"/>
  <c r="B93" i="133"/>
  <c r="C93" i="133" s="1"/>
  <c r="B94" i="129" s="1"/>
  <c r="B94" i="133"/>
  <c r="C94" i="133" s="1"/>
  <c r="B95" i="129" s="1"/>
  <c r="N94" i="133"/>
  <c r="M95" i="129" s="1"/>
  <c r="B95" i="133"/>
  <c r="C95" i="133" s="1"/>
  <c r="B96" i="129" s="1"/>
  <c r="B96" i="133"/>
  <c r="C96" i="133" s="1"/>
  <c r="B97" i="129" s="1"/>
  <c r="V96" i="133"/>
  <c r="U97" i="129" s="1"/>
  <c r="B97" i="133"/>
  <c r="F97" i="133" s="1"/>
  <c r="E98" i="129" s="1"/>
  <c r="B98" i="133"/>
  <c r="F98" i="133" s="1"/>
  <c r="E99" i="129" s="1"/>
  <c r="B99" i="133"/>
  <c r="C99" i="133" s="1"/>
  <c r="B100" i="129" s="1"/>
  <c r="B100" i="133"/>
  <c r="F100" i="133" s="1"/>
  <c r="E101" i="129" s="1"/>
  <c r="B101" i="133"/>
  <c r="G101" i="133" s="1"/>
  <c r="F102" i="129" s="1"/>
  <c r="B102" i="133"/>
  <c r="N102" i="133" s="1"/>
  <c r="M103" i="129" s="1"/>
  <c r="D102" i="133"/>
  <c r="C103" i="129" s="1"/>
  <c r="P102" i="133"/>
  <c r="O103" i="129" s="1"/>
  <c r="U102" i="133"/>
  <c r="T103" i="129" s="1"/>
  <c r="B103" i="133"/>
  <c r="C103" i="133" s="1"/>
  <c r="B104" i="129" s="1"/>
  <c r="T103" i="133"/>
  <c r="S104" i="129" s="1"/>
  <c r="X103" i="133"/>
  <c r="W104" i="129" s="1"/>
  <c r="B104" i="133"/>
  <c r="C104" i="133" s="1"/>
  <c r="B105" i="129" s="1"/>
  <c r="B105" i="133"/>
  <c r="B106" i="133"/>
  <c r="K106" i="133" s="1"/>
  <c r="J107" i="129" s="1"/>
  <c r="B107" i="133"/>
  <c r="H107" i="133" s="1"/>
  <c r="G108" i="129" s="1"/>
  <c r="B108" i="133"/>
  <c r="H108" i="133" s="1"/>
  <c r="G109" i="129" s="1"/>
  <c r="T108" i="133"/>
  <c r="S109" i="129" s="1"/>
  <c r="B109" i="133"/>
  <c r="F109" i="133" s="1"/>
  <c r="E110" i="129" s="1"/>
  <c r="B110" i="133"/>
  <c r="L110" i="133" s="1"/>
  <c r="K111" i="129" s="1"/>
  <c r="F110" i="133"/>
  <c r="E111" i="129" s="1"/>
  <c r="H110" i="133"/>
  <c r="G111" i="129" s="1"/>
  <c r="P110" i="133"/>
  <c r="O111" i="129" s="1"/>
  <c r="Q110" i="133"/>
  <c r="P111" i="129" s="1"/>
  <c r="U110" i="133"/>
  <c r="T111" i="129" s="1"/>
  <c r="AA110" i="133"/>
  <c r="Z111" i="129" s="1"/>
  <c r="AB110" i="133"/>
  <c r="AA111" i="129" s="1"/>
  <c r="B111" i="133"/>
  <c r="L111" i="133" s="1"/>
  <c r="K112" i="129" s="1"/>
  <c r="H111" i="133"/>
  <c r="G112" i="129" s="1"/>
  <c r="Q111" i="133"/>
  <c r="P112" i="129" s="1"/>
  <c r="U111" i="133"/>
  <c r="T112" i="129" s="1"/>
  <c r="B112" i="133"/>
  <c r="G112" i="133" s="1"/>
  <c r="F113" i="129" s="1"/>
  <c r="B113" i="133"/>
  <c r="D113" i="133" s="1"/>
  <c r="C114" i="129" s="1"/>
  <c r="B114" i="133"/>
  <c r="C114" i="133" s="1"/>
  <c r="B115" i="129" s="1"/>
  <c r="B115" i="133"/>
  <c r="G115" i="133" s="1"/>
  <c r="F116" i="129" s="1"/>
  <c r="B116" i="133"/>
  <c r="E116" i="133" s="1"/>
  <c r="D117" i="129" s="1"/>
  <c r="B117" i="133"/>
  <c r="K117" i="133" s="1"/>
  <c r="J118" i="129" s="1"/>
  <c r="B118" i="133"/>
  <c r="L118" i="133" s="1"/>
  <c r="K119" i="129" s="1"/>
  <c r="B119" i="133"/>
  <c r="B120" i="133"/>
  <c r="B121" i="133"/>
  <c r="C121" i="133" s="1"/>
  <c r="B122" i="129" s="1"/>
  <c r="E121" i="133"/>
  <c r="D122" i="129" s="1"/>
  <c r="B122" i="133"/>
  <c r="O122" i="133" s="1"/>
  <c r="N123" i="129" s="1"/>
  <c r="P122" i="133"/>
  <c r="O123" i="129" s="1"/>
  <c r="B123" i="133"/>
  <c r="F123" i="133" s="1"/>
  <c r="E124" i="129" s="1"/>
  <c r="M123" i="133"/>
  <c r="L124" i="129" s="1"/>
  <c r="N123" i="133"/>
  <c r="M124" i="129" s="1"/>
  <c r="B124" i="133"/>
  <c r="E124" i="133" s="1"/>
  <c r="D125" i="129" s="1"/>
  <c r="B125" i="133"/>
  <c r="E125" i="133" s="1"/>
  <c r="D126" i="129" s="1"/>
  <c r="B126" i="133"/>
  <c r="O126" i="133" s="1"/>
  <c r="N127" i="129" s="1"/>
  <c r="I126" i="133"/>
  <c r="H127" i="129" s="1"/>
  <c r="V126" i="133"/>
  <c r="U127" i="129" s="1"/>
  <c r="B127" i="133"/>
  <c r="C127" i="133" s="1"/>
  <c r="B128" i="129" s="1"/>
  <c r="H127" i="133"/>
  <c r="G128" i="129" s="1"/>
  <c r="Q127" i="133"/>
  <c r="P128" i="129" s="1"/>
  <c r="S127" i="133"/>
  <c r="R128" i="129" s="1"/>
  <c r="B128" i="133"/>
  <c r="C128" i="133" s="1"/>
  <c r="B129" i="129" s="1"/>
  <c r="F128" i="133"/>
  <c r="E129" i="129" s="1"/>
  <c r="I128" i="133"/>
  <c r="H129" i="129" s="1"/>
  <c r="L128" i="133"/>
  <c r="K129" i="129" s="1"/>
  <c r="R128" i="133"/>
  <c r="Q129" i="129" s="1"/>
  <c r="U128" i="133"/>
  <c r="T129" i="129" s="1"/>
  <c r="X128" i="133"/>
  <c r="W129" i="129" s="1"/>
  <c r="B129" i="133"/>
  <c r="H129" i="133" s="1"/>
  <c r="G130" i="129" s="1"/>
  <c r="B130" i="133"/>
  <c r="D130" i="133" s="1"/>
  <c r="C131" i="129" s="1"/>
  <c r="M130" i="133"/>
  <c r="L131" i="129" s="1"/>
  <c r="N130" i="133"/>
  <c r="M131" i="129" s="1"/>
  <c r="R130" i="133"/>
  <c r="Q131" i="129" s="1"/>
  <c r="B131" i="133"/>
  <c r="B132" i="133"/>
  <c r="C132" i="133" s="1"/>
  <c r="B133" i="129" s="1"/>
  <c r="G132" i="133"/>
  <c r="F133" i="129" s="1"/>
  <c r="B133" i="133"/>
  <c r="AA133" i="133" s="1"/>
  <c r="Z134" i="129" s="1"/>
  <c r="B134" i="133"/>
  <c r="T134" i="133" s="1"/>
  <c r="S135" i="129" s="1"/>
  <c r="P134" i="133"/>
  <c r="O135" i="129" s="1"/>
  <c r="B135" i="133"/>
  <c r="E135" i="133" s="1"/>
  <c r="D136" i="129" s="1"/>
  <c r="D135" i="133"/>
  <c r="C136" i="129" s="1"/>
  <c r="F135" i="133"/>
  <c r="E136" i="129" s="1"/>
  <c r="P135" i="133"/>
  <c r="O136" i="129" s="1"/>
  <c r="AB135" i="133"/>
  <c r="AA136" i="129" s="1"/>
  <c r="B136" i="133"/>
  <c r="L136" i="133" s="1"/>
  <c r="K137" i="129" s="1"/>
  <c r="I136" i="133"/>
  <c r="H137" i="129" s="1"/>
  <c r="M136" i="133"/>
  <c r="L137" i="129" s="1"/>
  <c r="B137" i="133"/>
  <c r="C137" i="133" s="1"/>
  <c r="B138" i="129" s="1"/>
  <c r="B138" i="133"/>
  <c r="E138" i="133" s="1"/>
  <c r="D139" i="129" s="1"/>
  <c r="B139" i="133"/>
  <c r="C139" i="133" s="1"/>
  <c r="B140" i="129" s="1"/>
  <c r="G139" i="133"/>
  <c r="F140" i="129" s="1"/>
  <c r="B140" i="133"/>
  <c r="D140" i="133" s="1"/>
  <c r="C141" i="129" s="1"/>
  <c r="B141" i="133"/>
  <c r="D141" i="133" s="1"/>
  <c r="C142" i="129" s="1"/>
  <c r="C141" i="133"/>
  <c r="B142" i="129" s="1"/>
  <c r="B142" i="133"/>
  <c r="C142" i="133" s="1"/>
  <c r="B143" i="129" s="1"/>
  <c r="B143" i="133"/>
  <c r="C143" i="133" s="1"/>
  <c r="B144" i="129" s="1"/>
  <c r="B144" i="133"/>
  <c r="U144" i="133" s="1"/>
  <c r="T145" i="129" s="1"/>
  <c r="B145" i="133"/>
  <c r="B146" i="133"/>
  <c r="I146" i="133" s="1"/>
  <c r="H147" i="129" s="1"/>
  <c r="B147" i="133"/>
  <c r="B148" i="133"/>
  <c r="L148" i="133" s="1"/>
  <c r="K149" i="129" s="1"/>
  <c r="B149" i="133"/>
  <c r="B150" i="133"/>
  <c r="L150" i="133" s="1"/>
  <c r="K151" i="129" s="1"/>
  <c r="B151" i="133"/>
  <c r="D151" i="133" s="1"/>
  <c r="C152" i="129" s="1"/>
  <c r="B152" i="133"/>
  <c r="I152" i="133" s="1"/>
  <c r="H153" i="129" s="1"/>
  <c r="B153" i="133"/>
  <c r="C153" i="133" s="1"/>
  <c r="B154" i="129" s="1"/>
  <c r="B154" i="133"/>
  <c r="E154" i="133" s="1"/>
  <c r="D155" i="129" s="1"/>
  <c r="X154" i="133"/>
  <c r="W155" i="129" s="1"/>
  <c r="B155" i="133"/>
  <c r="Y155" i="133" s="1"/>
  <c r="X156" i="129" s="1"/>
  <c r="B156" i="133"/>
  <c r="C156" i="133" s="1"/>
  <c r="B157" i="129" s="1"/>
  <c r="P156" i="133"/>
  <c r="O157" i="129" s="1"/>
  <c r="R156" i="133"/>
  <c r="Q157" i="129" s="1"/>
  <c r="B157" i="133"/>
  <c r="K157" i="133" s="1"/>
  <c r="J158" i="129" s="1"/>
  <c r="D157" i="133"/>
  <c r="C158" i="129" s="1"/>
  <c r="E157" i="133"/>
  <c r="D158" i="129" s="1"/>
  <c r="H157" i="133"/>
  <c r="G158" i="129" s="1"/>
  <c r="L157" i="133"/>
  <c r="K158" i="129" s="1"/>
  <c r="P157" i="133"/>
  <c r="O158" i="129" s="1"/>
  <c r="Q157" i="133"/>
  <c r="P158" i="129" s="1"/>
  <c r="AA157" i="133"/>
  <c r="Z158" i="129" s="1"/>
  <c r="AB157" i="133"/>
  <c r="AA158" i="129" s="1"/>
  <c r="B158" i="133"/>
  <c r="D158" i="133" s="1"/>
  <c r="C159" i="129" s="1"/>
  <c r="H158" i="133"/>
  <c r="G159" i="129" s="1"/>
  <c r="B159" i="133"/>
  <c r="W159" i="133" s="1"/>
  <c r="V160" i="129" s="1"/>
  <c r="B160" i="133"/>
  <c r="C160" i="133" s="1"/>
  <c r="B161" i="129" s="1"/>
  <c r="E160" i="133"/>
  <c r="D161" i="129" s="1"/>
  <c r="F160" i="133"/>
  <c r="E161" i="129" s="1"/>
  <c r="O160" i="133"/>
  <c r="N161" i="129" s="1"/>
  <c r="P160" i="133"/>
  <c r="O161" i="129" s="1"/>
  <c r="B161" i="133"/>
  <c r="C161" i="133" s="1"/>
  <c r="B162" i="129" s="1"/>
  <c r="E161" i="133"/>
  <c r="D162" i="129" s="1"/>
  <c r="G161" i="133"/>
  <c r="F162" i="129" s="1"/>
  <c r="AA161" i="133"/>
  <c r="Z162" i="129" s="1"/>
  <c r="B162" i="133"/>
  <c r="X162" i="133" s="1"/>
  <c r="W163" i="129" s="1"/>
  <c r="B163" i="133"/>
  <c r="F163" i="133" s="1"/>
  <c r="E164" i="129" s="1"/>
  <c r="B164" i="133"/>
  <c r="C164" i="133" s="1"/>
  <c r="B165" i="129" s="1"/>
  <c r="B165" i="133"/>
  <c r="K165" i="133" s="1"/>
  <c r="J166" i="129" s="1"/>
  <c r="E165" i="133"/>
  <c r="D166" i="129" s="1"/>
  <c r="F165" i="133"/>
  <c r="E166" i="129" s="1"/>
  <c r="G165" i="133"/>
  <c r="F166" i="129" s="1"/>
  <c r="L165" i="133"/>
  <c r="K166" i="129" s="1"/>
  <c r="N165" i="133"/>
  <c r="M166" i="129" s="1"/>
  <c r="S165" i="133"/>
  <c r="R166" i="129" s="1"/>
  <c r="V165" i="133"/>
  <c r="U166" i="129" s="1"/>
  <c r="AB165" i="133"/>
  <c r="AA166" i="129" s="1"/>
  <c r="B166" i="133"/>
  <c r="D166" i="133" s="1"/>
  <c r="C167" i="129" s="1"/>
  <c r="B167" i="133"/>
  <c r="J167" i="133" s="1"/>
  <c r="I168" i="129" s="1"/>
  <c r="B168" i="133"/>
  <c r="D168" i="133" s="1"/>
  <c r="C169" i="129" s="1"/>
  <c r="I168" i="133"/>
  <c r="H169" i="129" s="1"/>
  <c r="J168" i="133"/>
  <c r="I169" i="129" s="1"/>
  <c r="S168" i="133"/>
  <c r="R169" i="129" s="1"/>
  <c r="W168" i="133"/>
  <c r="V169" i="129" s="1"/>
  <c r="B169" i="133"/>
  <c r="Z169" i="133" s="1"/>
  <c r="Y170" i="129" s="1"/>
  <c r="B170" i="133"/>
  <c r="C170" i="133" s="1"/>
  <c r="B171" i="129" s="1"/>
  <c r="U170" i="133"/>
  <c r="T171" i="129" s="1"/>
  <c r="B171" i="133"/>
  <c r="E171" i="133" s="1"/>
  <c r="D172" i="129" s="1"/>
  <c r="B172" i="133"/>
  <c r="D172" i="133" s="1"/>
  <c r="C173" i="129" s="1"/>
  <c r="C172" i="133"/>
  <c r="B173" i="129" s="1"/>
  <c r="W172" i="133"/>
  <c r="V173" i="129" s="1"/>
  <c r="Y172" i="133"/>
  <c r="X173" i="129" s="1"/>
  <c r="Z172" i="133"/>
  <c r="Y173" i="129" s="1"/>
  <c r="AA172" i="133"/>
  <c r="Z173" i="129" s="1"/>
  <c r="B173" i="133"/>
  <c r="E173" i="133" s="1"/>
  <c r="D174" i="129" s="1"/>
  <c r="B174" i="133"/>
  <c r="C174" i="133" s="1"/>
  <c r="B175" i="129" s="1"/>
  <c r="L174" i="133"/>
  <c r="K175" i="129" s="1"/>
  <c r="M174" i="133"/>
  <c r="L175" i="129" s="1"/>
  <c r="T174" i="133"/>
  <c r="S175" i="129" s="1"/>
  <c r="AA174" i="133"/>
  <c r="Z175" i="129" s="1"/>
  <c r="AB174" i="133"/>
  <c r="AA175" i="129" s="1"/>
  <c r="B175" i="133"/>
  <c r="X175" i="133" s="1"/>
  <c r="W176" i="129" s="1"/>
  <c r="B176" i="133"/>
  <c r="O176" i="133" s="1"/>
  <c r="N177" i="129" s="1"/>
  <c r="B177" i="133"/>
  <c r="T177" i="133" s="1"/>
  <c r="S178" i="129" s="1"/>
  <c r="B178" i="133"/>
  <c r="E178" i="133" s="1"/>
  <c r="D179" i="129" s="1"/>
  <c r="B179" i="133"/>
  <c r="D179" i="133" s="1"/>
  <c r="C180" i="129" s="1"/>
  <c r="G179" i="133"/>
  <c r="F180" i="129" s="1"/>
  <c r="W179" i="133"/>
  <c r="V180" i="129" s="1"/>
  <c r="B180" i="133"/>
  <c r="F180" i="133" s="1"/>
  <c r="E181" i="129" s="1"/>
  <c r="E180" i="133"/>
  <c r="D181" i="129" s="1"/>
  <c r="M180" i="133"/>
  <c r="L181" i="129" s="1"/>
  <c r="B181" i="133"/>
  <c r="B182" i="133"/>
  <c r="C182" i="133" s="1"/>
  <c r="B183" i="129" s="1"/>
  <c r="D182" i="133"/>
  <c r="C183" i="129" s="1"/>
  <c r="B183" i="133"/>
  <c r="S183" i="133" s="1"/>
  <c r="R184" i="129" s="1"/>
  <c r="B184" i="133"/>
  <c r="D184" i="133" s="1"/>
  <c r="C185" i="129" s="1"/>
  <c r="B185" i="133"/>
  <c r="C185" i="133" s="1"/>
  <c r="B186" i="129" s="1"/>
  <c r="B186" i="133"/>
  <c r="C186" i="133" s="1"/>
  <c r="B187" i="129" s="1"/>
  <c r="B187" i="133"/>
  <c r="D187" i="133" s="1"/>
  <c r="C188" i="129" s="1"/>
  <c r="B188" i="133"/>
  <c r="B189" i="133"/>
  <c r="L189" i="133" s="1"/>
  <c r="K190" i="129" s="1"/>
  <c r="E189" i="133"/>
  <c r="D190" i="129" s="1"/>
  <c r="J189" i="133"/>
  <c r="I190" i="129" s="1"/>
  <c r="K189" i="133"/>
  <c r="J190" i="129" s="1"/>
  <c r="N189" i="133"/>
  <c r="M190" i="129" s="1"/>
  <c r="O189" i="133"/>
  <c r="N190" i="129" s="1"/>
  <c r="Z189" i="133"/>
  <c r="Y190" i="129" s="1"/>
  <c r="AA189" i="133"/>
  <c r="Z190" i="129" s="1"/>
  <c r="B190" i="133"/>
  <c r="O190" i="133" s="1"/>
  <c r="N191" i="129" s="1"/>
  <c r="D190" i="133"/>
  <c r="C191" i="129" s="1"/>
  <c r="E190" i="133"/>
  <c r="D191" i="129" s="1"/>
  <c r="Y190" i="133"/>
  <c r="X191" i="129" s="1"/>
  <c r="Z190" i="133"/>
  <c r="Y191" i="129" s="1"/>
  <c r="AA190" i="133"/>
  <c r="Z191" i="129" s="1"/>
  <c r="B191" i="133"/>
  <c r="D191" i="133" s="1"/>
  <c r="C192" i="129" s="1"/>
  <c r="F191" i="133"/>
  <c r="E192" i="129" s="1"/>
  <c r="R191" i="133"/>
  <c r="Q192" i="129" s="1"/>
  <c r="V191" i="133"/>
  <c r="U192" i="129" s="1"/>
  <c r="B192" i="133"/>
  <c r="B193" i="133"/>
  <c r="G193" i="133" s="1"/>
  <c r="F194" i="129" s="1"/>
  <c r="B194" i="133"/>
  <c r="E194" i="133" s="1"/>
  <c r="D195" i="129" s="1"/>
  <c r="B195" i="133"/>
  <c r="S195" i="133" s="1"/>
  <c r="R196" i="129" s="1"/>
  <c r="B196" i="133"/>
  <c r="D196" i="133" s="1"/>
  <c r="C197" i="129" s="1"/>
  <c r="B197" i="133"/>
  <c r="C197" i="133" s="1"/>
  <c r="B198" i="129" s="1"/>
  <c r="B198" i="133"/>
  <c r="C198" i="133" s="1"/>
  <c r="B199" i="129" s="1"/>
  <c r="B199" i="133"/>
  <c r="Q199" i="133" s="1"/>
  <c r="P200" i="129" s="1"/>
  <c r="B200" i="133"/>
  <c r="C200" i="133" s="1"/>
  <c r="B201" i="129" s="1"/>
  <c r="B201" i="133"/>
  <c r="D201" i="133" s="1"/>
  <c r="C202" i="129" s="1"/>
  <c r="T196" i="133" l="1"/>
  <c r="S197" i="129" s="1"/>
  <c r="N168" i="133"/>
  <c r="M169" i="129" s="1"/>
  <c r="V161" i="133"/>
  <c r="U162" i="129" s="1"/>
  <c r="G157" i="133"/>
  <c r="F158" i="129" s="1"/>
  <c r="F146" i="133"/>
  <c r="E147" i="129" s="1"/>
  <c r="AA139" i="133"/>
  <c r="Z140" i="129" s="1"/>
  <c r="R135" i="133"/>
  <c r="Q136" i="129" s="1"/>
  <c r="V130" i="133"/>
  <c r="U131" i="129" s="1"/>
  <c r="J128" i="133"/>
  <c r="I129" i="129" s="1"/>
  <c r="J112" i="133"/>
  <c r="I113" i="129" s="1"/>
  <c r="R110" i="133"/>
  <c r="Q111" i="129" s="1"/>
  <c r="R102" i="133"/>
  <c r="Q103" i="129" s="1"/>
  <c r="T97" i="133"/>
  <c r="S98" i="129" s="1"/>
  <c r="AA94" i="133"/>
  <c r="Z95" i="129" s="1"/>
  <c r="I91" i="133"/>
  <c r="H92" i="129" s="1"/>
  <c r="K78" i="133"/>
  <c r="J79" i="129" s="1"/>
  <c r="H76" i="133"/>
  <c r="G77" i="129" s="1"/>
  <c r="AA69" i="133"/>
  <c r="Z70" i="129" s="1"/>
  <c r="Z67" i="133"/>
  <c r="Y68" i="129" s="1"/>
  <c r="R62" i="133"/>
  <c r="Q63" i="129" s="1"/>
  <c r="D58" i="133"/>
  <c r="C59" i="129" s="1"/>
  <c r="X51" i="133"/>
  <c r="W52" i="129" s="1"/>
  <c r="R41" i="133"/>
  <c r="Q42" i="129" s="1"/>
  <c r="N35" i="133"/>
  <c r="M36" i="129" s="1"/>
  <c r="Q29" i="133"/>
  <c r="P30" i="129" s="1"/>
  <c r="P20" i="133"/>
  <c r="O21" i="129" s="1"/>
  <c r="Y139" i="133"/>
  <c r="X140" i="129" s="1"/>
  <c r="AB136" i="133"/>
  <c r="AA137" i="129" s="1"/>
  <c r="AA121" i="133"/>
  <c r="Z122" i="129" s="1"/>
  <c r="K29" i="133"/>
  <c r="J30" i="129" s="1"/>
  <c r="Y121" i="133"/>
  <c r="X122" i="129" s="1"/>
  <c r="U116" i="133"/>
  <c r="T117" i="129" s="1"/>
  <c r="P97" i="133"/>
  <c r="O98" i="129" s="1"/>
  <c r="X190" i="133"/>
  <c r="W191" i="129" s="1"/>
  <c r="W123" i="133"/>
  <c r="V124" i="129" s="1"/>
  <c r="R121" i="133"/>
  <c r="Q122" i="129" s="1"/>
  <c r="T116" i="133"/>
  <c r="S117" i="129" s="1"/>
  <c r="O110" i="133"/>
  <c r="N111" i="129" s="1"/>
  <c r="K97" i="133"/>
  <c r="J98" i="129" s="1"/>
  <c r="Q69" i="133"/>
  <c r="P70" i="129" s="1"/>
  <c r="Y60" i="133"/>
  <c r="X61" i="129" s="1"/>
  <c r="X157" i="133"/>
  <c r="W158" i="129" s="1"/>
  <c r="V139" i="133"/>
  <c r="U140" i="129" s="1"/>
  <c r="R136" i="133"/>
  <c r="Q137" i="129" s="1"/>
  <c r="O193" i="133"/>
  <c r="N194" i="129" s="1"/>
  <c r="L190" i="133"/>
  <c r="K191" i="129" s="1"/>
  <c r="G189" i="133"/>
  <c r="F190" i="129" s="1"/>
  <c r="V174" i="133"/>
  <c r="U175" i="129" s="1"/>
  <c r="W157" i="133"/>
  <c r="V158" i="129" s="1"/>
  <c r="R148" i="133"/>
  <c r="Q149" i="129" s="1"/>
  <c r="S139" i="133"/>
  <c r="R140" i="129" s="1"/>
  <c r="Q136" i="133"/>
  <c r="P137" i="129" s="1"/>
  <c r="X127" i="133"/>
  <c r="W128" i="129" s="1"/>
  <c r="U123" i="133"/>
  <c r="T124" i="129" s="1"/>
  <c r="Q121" i="133"/>
  <c r="P122" i="129" s="1"/>
  <c r="S116" i="133"/>
  <c r="R117" i="129" s="1"/>
  <c r="N110" i="133"/>
  <c r="M111" i="129" s="1"/>
  <c r="R101" i="133"/>
  <c r="Q102" i="129" s="1"/>
  <c r="H97" i="133"/>
  <c r="G98" i="129" s="1"/>
  <c r="H77" i="133"/>
  <c r="G78" i="129" s="1"/>
  <c r="O69" i="133"/>
  <c r="N70" i="129" s="1"/>
  <c r="N60" i="133"/>
  <c r="M61" i="129" s="1"/>
  <c r="AA55" i="133"/>
  <c r="Z56" i="129" s="1"/>
  <c r="W7" i="133"/>
  <c r="V8" i="129" s="1"/>
  <c r="X116" i="133"/>
  <c r="W117" i="129" s="1"/>
  <c r="E112" i="133"/>
  <c r="D113" i="129" s="1"/>
  <c r="R97" i="133"/>
  <c r="Q98" i="129" s="1"/>
  <c r="W139" i="133"/>
  <c r="V140" i="129" s="1"/>
  <c r="W136" i="133"/>
  <c r="V137" i="129" s="1"/>
  <c r="AA164" i="133"/>
  <c r="Z165" i="129" s="1"/>
  <c r="V157" i="133"/>
  <c r="U158" i="129" s="1"/>
  <c r="Q148" i="133"/>
  <c r="P149" i="129" s="1"/>
  <c r="L139" i="133"/>
  <c r="K140" i="129" s="1"/>
  <c r="P136" i="133"/>
  <c r="O137" i="129" s="1"/>
  <c r="T123" i="133"/>
  <c r="S124" i="129" s="1"/>
  <c r="P121" i="133"/>
  <c r="O122" i="129" s="1"/>
  <c r="P116" i="133"/>
  <c r="O117" i="129" s="1"/>
  <c r="M110" i="133"/>
  <c r="L111" i="129" s="1"/>
  <c r="G97" i="133"/>
  <c r="F98" i="129" s="1"/>
  <c r="Z91" i="133"/>
  <c r="Y92" i="129" s="1"/>
  <c r="N69" i="133"/>
  <c r="M70" i="129" s="1"/>
  <c r="M60" i="133"/>
  <c r="L61" i="129" s="1"/>
  <c r="Q55" i="133"/>
  <c r="P56" i="129" s="1"/>
  <c r="T50" i="133"/>
  <c r="S51" i="129" s="1"/>
  <c r="AA42" i="133"/>
  <c r="Z43" i="129" s="1"/>
  <c r="S37" i="133"/>
  <c r="R38" i="129" s="1"/>
  <c r="H7" i="133"/>
  <c r="G8" i="129" s="1"/>
  <c r="K190" i="133"/>
  <c r="J191" i="129" s="1"/>
  <c r="J190" i="133"/>
  <c r="I191" i="129" s="1"/>
  <c r="Q174" i="133"/>
  <c r="P175" i="129" s="1"/>
  <c r="AB170" i="133"/>
  <c r="AA171" i="129" s="1"/>
  <c r="Z164" i="133"/>
  <c r="Y165" i="129" s="1"/>
  <c r="K160" i="133"/>
  <c r="J161" i="129" s="1"/>
  <c r="T157" i="133"/>
  <c r="S158" i="129" s="1"/>
  <c r="K148" i="133"/>
  <c r="J149" i="129" s="1"/>
  <c r="O141" i="133"/>
  <c r="N142" i="129" s="1"/>
  <c r="I139" i="133"/>
  <c r="H140" i="129" s="1"/>
  <c r="N136" i="133"/>
  <c r="M137" i="129" s="1"/>
  <c r="Z128" i="133"/>
  <c r="Y129" i="129" s="1"/>
  <c r="R127" i="133"/>
  <c r="Q128" i="129" s="1"/>
  <c r="S123" i="133"/>
  <c r="R124" i="129" s="1"/>
  <c r="K121" i="133"/>
  <c r="J122" i="129" s="1"/>
  <c r="H116" i="133"/>
  <c r="G117" i="129" s="1"/>
  <c r="I110" i="133"/>
  <c r="H111" i="129" s="1"/>
  <c r="N100" i="133"/>
  <c r="M101" i="129" s="1"/>
  <c r="C97" i="133"/>
  <c r="B98" i="129" s="1"/>
  <c r="Y91" i="133"/>
  <c r="X92" i="129" s="1"/>
  <c r="AB76" i="133"/>
  <c r="AA77" i="129" s="1"/>
  <c r="U72" i="133"/>
  <c r="T73" i="129" s="1"/>
  <c r="K69" i="133"/>
  <c r="J70" i="129" s="1"/>
  <c r="R65" i="133"/>
  <c r="Q66" i="129" s="1"/>
  <c r="L60" i="133"/>
  <c r="K61" i="129" s="1"/>
  <c r="P55" i="133"/>
  <c r="O56" i="129" s="1"/>
  <c r="N50" i="133"/>
  <c r="M51" i="129" s="1"/>
  <c r="W42" i="133"/>
  <c r="V43" i="129" s="1"/>
  <c r="N37" i="133"/>
  <c r="M38" i="129" s="1"/>
  <c r="AB30" i="133"/>
  <c r="AA31" i="129" s="1"/>
  <c r="AB25" i="133"/>
  <c r="AA26" i="129" s="1"/>
  <c r="M15" i="133"/>
  <c r="L16" i="129" s="1"/>
  <c r="W91" i="133"/>
  <c r="V92" i="129" s="1"/>
  <c r="AA76" i="133"/>
  <c r="Z77" i="129" s="1"/>
  <c r="R72" i="133"/>
  <c r="Q73" i="129" s="1"/>
  <c r="E65" i="133"/>
  <c r="D66" i="129" s="1"/>
  <c r="J60" i="133"/>
  <c r="I61" i="129" s="1"/>
  <c r="C55" i="133"/>
  <c r="B56" i="129" s="1"/>
  <c r="E50" i="133"/>
  <c r="D51" i="129" s="1"/>
  <c r="J42" i="133"/>
  <c r="I43" i="129" s="1"/>
  <c r="H37" i="133"/>
  <c r="G38" i="129" s="1"/>
  <c r="W30" i="133"/>
  <c r="V31" i="129" s="1"/>
  <c r="J14" i="133"/>
  <c r="I15" i="129" s="1"/>
  <c r="E139" i="133"/>
  <c r="D140" i="129" s="1"/>
  <c r="U91" i="133"/>
  <c r="T92" i="129" s="1"/>
  <c r="M191" i="133"/>
  <c r="L192" i="129" s="1"/>
  <c r="T165" i="133"/>
  <c r="S166" i="129" s="1"/>
  <c r="Z162" i="133"/>
  <c r="Y163" i="129" s="1"/>
  <c r="M157" i="133"/>
  <c r="L158" i="129" s="1"/>
  <c r="N154" i="133"/>
  <c r="M155" i="129" s="1"/>
  <c r="AB146" i="133"/>
  <c r="AA147" i="129" s="1"/>
  <c r="X140" i="133"/>
  <c r="W141" i="129" s="1"/>
  <c r="D139" i="133"/>
  <c r="C140" i="129" s="1"/>
  <c r="D136" i="133"/>
  <c r="C137" i="129" s="1"/>
  <c r="E132" i="133"/>
  <c r="D133" i="129" s="1"/>
  <c r="T128" i="133"/>
  <c r="S129" i="129" s="1"/>
  <c r="C123" i="133"/>
  <c r="B124" i="129" s="1"/>
  <c r="W110" i="133"/>
  <c r="V111" i="129" s="1"/>
  <c r="D110" i="133"/>
  <c r="C111" i="129" s="1"/>
  <c r="O103" i="133"/>
  <c r="N104" i="129" s="1"/>
  <c r="R96" i="133"/>
  <c r="Q97" i="129" s="1"/>
  <c r="M91" i="133"/>
  <c r="L92" i="129" s="1"/>
  <c r="N85" i="133"/>
  <c r="M86" i="129" s="1"/>
  <c r="U76" i="133"/>
  <c r="T77" i="129" s="1"/>
  <c r="Q71" i="133"/>
  <c r="P72" i="129" s="1"/>
  <c r="Z68" i="133"/>
  <c r="Y69" i="129" s="1"/>
  <c r="AB49" i="133"/>
  <c r="AA50" i="129" s="1"/>
  <c r="G42" i="133"/>
  <c r="F43" i="129" s="1"/>
  <c r="C37" i="133"/>
  <c r="B38" i="129" s="1"/>
  <c r="Q30" i="133"/>
  <c r="P31" i="129" s="1"/>
  <c r="AA146" i="133"/>
  <c r="Z147" i="129" s="1"/>
  <c r="V110" i="133"/>
  <c r="U111" i="129" s="1"/>
  <c r="C110" i="133"/>
  <c r="B111" i="129" s="1"/>
  <c r="Y97" i="133"/>
  <c r="X98" i="129" s="1"/>
  <c r="L91" i="133"/>
  <c r="K92" i="129" s="1"/>
  <c r="M85" i="133"/>
  <c r="L86" i="129" s="1"/>
  <c r="Z78" i="133"/>
  <c r="Y79" i="129" s="1"/>
  <c r="P76" i="133"/>
  <c r="O77" i="129" s="1"/>
  <c r="Z58" i="133"/>
  <c r="Y59" i="129" s="1"/>
  <c r="M146" i="133"/>
  <c r="L147" i="129" s="1"/>
  <c r="AB139" i="133"/>
  <c r="AA140" i="129" s="1"/>
  <c r="Z112" i="133"/>
  <c r="Y113" i="129" s="1"/>
  <c r="X97" i="133"/>
  <c r="W98" i="129" s="1"/>
  <c r="J91" i="133"/>
  <c r="I92" i="129" s="1"/>
  <c r="X78" i="133"/>
  <c r="W79" i="129" s="1"/>
  <c r="K76" i="133"/>
  <c r="J77" i="129" s="1"/>
  <c r="V62" i="133"/>
  <c r="U63" i="129" s="1"/>
  <c r="W58" i="133"/>
  <c r="V59" i="129" s="1"/>
  <c r="T29" i="133"/>
  <c r="S30" i="129" s="1"/>
  <c r="C149" i="133"/>
  <c r="B150" i="129" s="1"/>
  <c r="AI150" i="129" s="1"/>
  <c r="E149" i="133"/>
  <c r="D150" i="129" s="1"/>
  <c r="G149" i="133"/>
  <c r="F150" i="129" s="1"/>
  <c r="M149" i="133"/>
  <c r="L150" i="129" s="1"/>
  <c r="AB149" i="133"/>
  <c r="AA150" i="129" s="1"/>
  <c r="N149" i="133"/>
  <c r="M150" i="129" s="1"/>
  <c r="Q149" i="133"/>
  <c r="P150" i="129" s="1"/>
  <c r="V149" i="133"/>
  <c r="U150" i="129" s="1"/>
  <c r="X149" i="133"/>
  <c r="W150" i="129" s="1"/>
  <c r="D145" i="133"/>
  <c r="C146" i="129" s="1"/>
  <c r="Q145" i="133"/>
  <c r="P146" i="129" s="1"/>
  <c r="R145" i="133"/>
  <c r="Q146" i="129" s="1"/>
  <c r="V124" i="133"/>
  <c r="U125" i="129" s="1"/>
  <c r="G140" i="133"/>
  <c r="F141" i="129" s="1"/>
  <c r="E140" i="133"/>
  <c r="D141" i="129" s="1"/>
  <c r="V140" i="133"/>
  <c r="U141" i="129" s="1"/>
  <c r="H140" i="133"/>
  <c r="G141" i="129" s="1"/>
  <c r="Z140" i="133"/>
  <c r="Y141" i="129" s="1"/>
  <c r="R140" i="133"/>
  <c r="Q141" i="129" s="1"/>
  <c r="I140" i="133"/>
  <c r="H141" i="129" s="1"/>
  <c r="AB140" i="133"/>
  <c r="AA141" i="129" s="1"/>
  <c r="K140" i="133"/>
  <c r="J141" i="129" s="1"/>
  <c r="M140" i="133"/>
  <c r="L141" i="129" s="1"/>
  <c r="N140" i="133"/>
  <c r="M141" i="129" s="1"/>
  <c r="P140" i="133"/>
  <c r="O141" i="129" s="1"/>
  <c r="Q140" i="133"/>
  <c r="P141" i="129" s="1"/>
  <c r="K124" i="133"/>
  <c r="J125" i="129" s="1"/>
  <c r="C124" i="133"/>
  <c r="B125" i="129" s="1"/>
  <c r="W124" i="133"/>
  <c r="V125" i="129" s="1"/>
  <c r="F124" i="133"/>
  <c r="E125" i="129" s="1"/>
  <c r="Z124" i="133"/>
  <c r="Y125" i="129" s="1"/>
  <c r="G124" i="133"/>
  <c r="F125" i="129" s="1"/>
  <c r="T124" i="133"/>
  <c r="S125" i="129" s="1"/>
  <c r="H124" i="133"/>
  <c r="G125" i="129" s="1"/>
  <c r="I124" i="133"/>
  <c r="H125" i="129" s="1"/>
  <c r="J124" i="133"/>
  <c r="I125" i="129" s="1"/>
  <c r="O124" i="133"/>
  <c r="N125" i="129" s="1"/>
  <c r="S124" i="133"/>
  <c r="R125" i="129" s="1"/>
  <c r="U124" i="133"/>
  <c r="T125" i="129" s="1"/>
  <c r="C188" i="133"/>
  <c r="B189" i="129" s="1"/>
  <c r="H188" i="133"/>
  <c r="G189" i="129" s="1"/>
  <c r="O188" i="133"/>
  <c r="N189" i="129" s="1"/>
  <c r="P188" i="133"/>
  <c r="O189" i="129" s="1"/>
  <c r="Z188" i="133"/>
  <c r="Y189" i="129" s="1"/>
  <c r="E197" i="133"/>
  <c r="D198" i="129" s="1"/>
  <c r="D197" i="133"/>
  <c r="C198" i="129" s="1"/>
  <c r="V137" i="133"/>
  <c r="U138" i="129" s="1"/>
  <c r="N134" i="133"/>
  <c r="M135" i="129" s="1"/>
  <c r="R134" i="133"/>
  <c r="Q135" i="129" s="1"/>
  <c r="C134" i="133"/>
  <c r="B135" i="129" s="1"/>
  <c r="V134" i="133"/>
  <c r="U135" i="129" s="1"/>
  <c r="F134" i="133"/>
  <c r="E135" i="129" s="1"/>
  <c r="W134" i="133"/>
  <c r="V135" i="129" s="1"/>
  <c r="G134" i="133"/>
  <c r="F135" i="129" s="1"/>
  <c r="X134" i="133"/>
  <c r="W135" i="129" s="1"/>
  <c r="I134" i="133"/>
  <c r="H135" i="129" s="1"/>
  <c r="Y134" i="133"/>
  <c r="X135" i="129" s="1"/>
  <c r="O134" i="133"/>
  <c r="N135" i="129" s="1"/>
  <c r="J134" i="133"/>
  <c r="I135" i="129" s="1"/>
  <c r="Z134" i="133"/>
  <c r="Y135" i="129" s="1"/>
  <c r="K134" i="133"/>
  <c r="J135" i="129" s="1"/>
  <c r="AA134" i="133"/>
  <c r="Z135" i="129" s="1"/>
  <c r="M134" i="133"/>
  <c r="L135" i="129" s="1"/>
  <c r="L134" i="133"/>
  <c r="K135" i="129" s="1"/>
  <c r="AB134" i="133"/>
  <c r="AA135" i="129" s="1"/>
  <c r="J197" i="133"/>
  <c r="I198" i="129" s="1"/>
  <c r="F197" i="133"/>
  <c r="E198" i="129" s="1"/>
  <c r="V197" i="133"/>
  <c r="U198" i="129" s="1"/>
  <c r="G197" i="133"/>
  <c r="F198" i="129" s="1"/>
  <c r="X197" i="133"/>
  <c r="W198" i="129" s="1"/>
  <c r="H197" i="133"/>
  <c r="G198" i="129" s="1"/>
  <c r="Y197" i="133"/>
  <c r="X198" i="129" s="1"/>
  <c r="K197" i="133"/>
  <c r="J198" i="129" s="1"/>
  <c r="Z197" i="133"/>
  <c r="Y198" i="129" s="1"/>
  <c r="M197" i="133"/>
  <c r="L198" i="129" s="1"/>
  <c r="AB197" i="133"/>
  <c r="AA198" i="129" s="1"/>
  <c r="N197" i="133"/>
  <c r="M198" i="129" s="1"/>
  <c r="L197" i="133"/>
  <c r="K198" i="129" s="1"/>
  <c r="AA197" i="133"/>
  <c r="Z198" i="129" s="1"/>
  <c r="P197" i="133"/>
  <c r="O198" i="129" s="1"/>
  <c r="E162" i="133"/>
  <c r="D163" i="129" s="1"/>
  <c r="D162" i="133"/>
  <c r="C163" i="129" s="1"/>
  <c r="AB162" i="133"/>
  <c r="AA163" i="129" s="1"/>
  <c r="I162" i="133"/>
  <c r="H163" i="129" s="1"/>
  <c r="J162" i="133"/>
  <c r="I163" i="129" s="1"/>
  <c r="L162" i="133"/>
  <c r="K163" i="129" s="1"/>
  <c r="M162" i="133"/>
  <c r="L163" i="129" s="1"/>
  <c r="W162" i="133"/>
  <c r="V163" i="129" s="1"/>
  <c r="N162" i="133"/>
  <c r="M163" i="129" s="1"/>
  <c r="Q162" i="133"/>
  <c r="P163" i="129" s="1"/>
  <c r="V162" i="133"/>
  <c r="U163" i="129" s="1"/>
  <c r="T137" i="133"/>
  <c r="S138" i="129" s="1"/>
  <c r="Q197" i="133"/>
  <c r="P198" i="129" s="1"/>
  <c r="J181" i="133"/>
  <c r="I182" i="129" s="1"/>
  <c r="C181" i="133"/>
  <c r="B182" i="129" s="1"/>
  <c r="AN182" i="129" s="1"/>
  <c r="Q181" i="133"/>
  <c r="P182" i="129" s="1"/>
  <c r="Y181" i="133"/>
  <c r="X182" i="129" s="1"/>
  <c r="I105" i="133"/>
  <c r="H106" i="129" s="1"/>
  <c r="L105" i="133"/>
  <c r="K106" i="129" s="1"/>
  <c r="U105" i="133"/>
  <c r="T106" i="129" s="1"/>
  <c r="Y175" i="133"/>
  <c r="X176" i="129" s="1"/>
  <c r="H162" i="133"/>
  <c r="G163" i="129" s="1"/>
  <c r="K181" i="133"/>
  <c r="J182" i="129" s="1"/>
  <c r="T197" i="133"/>
  <c r="S198" i="129" s="1"/>
  <c r="Y147" i="133"/>
  <c r="X148" i="129" s="1"/>
  <c r="D147" i="133"/>
  <c r="C148" i="129" s="1"/>
  <c r="J147" i="133"/>
  <c r="I148" i="129" s="1"/>
  <c r="S147" i="133"/>
  <c r="R148" i="129" s="1"/>
  <c r="T147" i="133"/>
  <c r="S148" i="129" s="1"/>
  <c r="Z147" i="133"/>
  <c r="Y148" i="129" s="1"/>
  <c r="F137" i="133"/>
  <c r="E138" i="129" s="1"/>
  <c r="D155" i="133"/>
  <c r="C156" i="129" s="1"/>
  <c r="Q155" i="133"/>
  <c r="P156" i="129" s="1"/>
  <c r="M143" i="133"/>
  <c r="L144" i="129" s="1"/>
  <c r="L175" i="133"/>
  <c r="K176" i="129" s="1"/>
  <c r="Z175" i="133"/>
  <c r="Y176" i="129" s="1"/>
  <c r="E175" i="133"/>
  <c r="D176" i="129" s="1"/>
  <c r="H175" i="133"/>
  <c r="G176" i="129" s="1"/>
  <c r="I175" i="133"/>
  <c r="H176" i="129" s="1"/>
  <c r="V175" i="133"/>
  <c r="U176" i="129" s="1"/>
  <c r="J175" i="133"/>
  <c r="I176" i="129" s="1"/>
  <c r="M175" i="133"/>
  <c r="L176" i="129" s="1"/>
  <c r="R175" i="133"/>
  <c r="Q176" i="129" s="1"/>
  <c r="U175" i="133"/>
  <c r="T176" i="129" s="1"/>
  <c r="I147" i="133"/>
  <c r="H148" i="129" s="1"/>
  <c r="R137" i="133"/>
  <c r="Q138" i="129" s="1"/>
  <c r="S197" i="133"/>
  <c r="R198" i="129" s="1"/>
  <c r="R197" i="133"/>
  <c r="Q198" i="129" s="1"/>
  <c r="M137" i="133"/>
  <c r="L138" i="129" s="1"/>
  <c r="D137" i="133"/>
  <c r="C138" i="129" s="1"/>
  <c r="U137" i="133"/>
  <c r="T138" i="129" s="1"/>
  <c r="G137" i="133"/>
  <c r="F138" i="129" s="1"/>
  <c r="W137" i="133"/>
  <c r="V138" i="129" s="1"/>
  <c r="Q137" i="133"/>
  <c r="P138" i="129" s="1"/>
  <c r="H137" i="133"/>
  <c r="G138" i="129" s="1"/>
  <c r="Y137" i="133"/>
  <c r="X138" i="129" s="1"/>
  <c r="I137" i="133"/>
  <c r="H138" i="129" s="1"/>
  <c r="AB137" i="133"/>
  <c r="AA138" i="129" s="1"/>
  <c r="J137" i="133"/>
  <c r="I138" i="129" s="1"/>
  <c r="N137" i="133"/>
  <c r="M138" i="129" s="1"/>
  <c r="O137" i="133"/>
  <c r="N138" i="129" s="1"/>
  <c r="P137" i="133"/>
  <c r="O138" i="129" s="1"/>
  <c r="E167" i="133"/>
  <c r="D168" i="129" s="1"/>
  <c r="G167" i="133"/>
  <c r="F168" i="129" s="1"/>
  <c r="K167" i="133"/>
  <c r="J168" i="129" s="1"/>
  <c r="N167" i="133"/>
  <c r="M168" i="129" s="1"/>
  <c r="T167" i="133"/>
  <c r="S168" i="129" s="1"/>
  <c r="X167" i="133"/>
  <c r="W168" i="129" s="1"/>
  <c r="AB167" i="133"/>
  <c r="AA168" i="129" s="1"/>
  <c r="AB150" i="133"/>
  <c r="AA151" i="129" s="1"/>
  <c r="U140" i="133"/>
  <c r="T141" i="129" s="1"/>
  <c r="C120" i="133"/>
  <c r="B121" i="129" s="1"/>
  <c r="AB120" i="133"/>
  <c r="AA121" i="129" s="1"/>
  <c r="S140" i="133"/>
  <c r="R141" i="129" s="1"/>
  <c r="D150" i="133"/>
  <c r="C151" i="129" s="1"/>
  <c r="S150" i="133"/>
  <c r="R151" i="129" s="1"/>
  <c r="F140" i="133"/>
  <c r="E141" i="129" s="1"/>
  <c r="X124" i="133"/>
  <c r="W125" i="129" s="1"/>
  <c r="N108" i="133"/>
  <c r="M109" i="129" s="1"/>
  <c r="T96" i="133"/>
  <c r="S97" i="129" s="1"/>
  <c r="AB89" i="133"/>
  <c r="AA90" i="129" s="1"/>
  <c r="I48" i="133"/>
  <c r="H49" i="129" s="1"/>
  <c r="J111" i="133"/>
  <c r="I112" i="129" s="1"/>
  <c r="T110" i="133"/>
  <c r="S111" i="129" s="1"/>
  <c r="E110" i="133"/>
  <c r="D111" i="129" s="1"/>
  <c r="G108" i="133"/>
  <c r="F109" i="129" s="1"/>
  <c r="Q102" i="133"/>
  <c r="P103" i="129" s="1"/>
  <c r="AB101" i="133"/>
  <c r="AA102" i="129" s="1"/>
  <c r="S96" i="133"/>
  <c r="R97" i="129" s="1"/>
  <c r="W94" i="133"/>
  <c r="V95" i="129" s="1"/>
  <c r="I89" i="133"/>
  <c r="H90" i="129" s="1"/>
  <c r="T72" i="133"/>
  <c r="S73" i="129" s="1"/>
  <c r="R71" i="133"/>
  <c r="Q72" i="129" s="1"/>
  <c r="M69" i="133"/>
  <c r="L70" i="129" s="1"/>
  <c r="Q65" i="133"/>
  <c r="P66" i="129" s="1"/>
  <c r="U62" i="133"/>
  <c r="T63" i="129" s="1"/>
  <c r="U61" i="133"/>
  <c r="T62" i="129" s="1"/>
  <c r="E58" i="133"/>
  <c r="D59" i="129" s="1"/>
  <c r="N55" i="133"/>
  <c r="M56" i="129" s="1"/>
  <c r="P51" i="133"/>
  <c r="O52" i="129" s="1"/>
  <c r="C48" i="133"/>
  <c r="B49" i="129" s="1"/>
  <c r="AD49" i="129" s="1"/>
  <c r="Q43" i="133"/>
  <c r="P44" i="129" s="1"/>
  <c r="F42" i="133"/>
  <c r="E43" i="129" s="1"/>
  <c r="S35" i="133"/>
  <c r="R36" i="129" s="1"/>
  <c r="P29" i="133"/>
  <c r="O30" i="129" s="1"/>
  <c r="W23" i="133"/>
  <c r="V24" i="129" s="1"/>
  <c r="T20" i="133"/>
  <c r="S21" i="129" s="1"/>
  <c r="P6" i="133"/>
  <c r="O7" i="129" s="1"/>
  <c r="V23" i="133"/>
  <c r="U24" i="129" s="1"/>
  <c r="F189" i="133"/>
  <c r="E190" i="129" s="1"/>
  <c r="L183" i="133"/>
  <c r="K184" i="129" s="1"/>
  <c r="S174" i="133"/>
  <c r="R175" i="129" s="1"/>
  <c r="T172" i="133"/>
  <c r="S173" i="129" s="1"/>
  <c r="Q170" i="133"/>
  <c r="P171" i="129" s="1"/>
  <c r="F168" i="133"/>
  <c r="E169" i="129" s="1"/>
  <c r="Z165" i="133"/>
  <c r="Y166" i="129" s="1"/>
  <c r="D165" i="133"/>
  <c r="C166" i="129" s="1"/>
  <c r="P161" i="133"/>
  <c r="O162" i="129" s="1"/>
  <c r="D154" i="133"/>
  <c r="C155" i="129" s="1"/>
  <c r="E148" i="133"/>
  <c r="D149" i="129" s="1"/>
  <c r="V146" i="133"/>
  <c r="U147" i="129" s="1"/>
  <c r="T141" i="133"/>
  <c r="S142" i="129" s="1"/>
  <c r="Z136" i="133"/>
  <c r="Y137" i="129" s="1"/>
  <c r="K136" i="133"/>
  <c r="J137" i="129" s="1"/>
  <c r="Y135" i="133"/>
  <c r="X136" i="129" s="1"/>
  <c r="M135" i="133"/>
  <c r="L136" i="129" s="1"/>
  <c r="X132" i="133"/>
  <c r="W133" i="129" s="1"/>
  <c r="AB130" i="133"/>
  <c r="AA131" i="129" s="1"/>
  <c r="F127" i="133"/>
  <c r="E128" i="129" s="1"/>
  <c r="U112" i="133"/>
  <c r="T113" i="129" s="1"/>
  <c r="G111" i="133"/>
  <c r="F112" i="129" s="1"/>
  <c r="Z107" i="133"/>
  <c r="Y108" i="129" s="1"/>
  <c r="O102" i="133"/>
  <c r="N103" i="129" s="1"/>
  <c r="Q101" i="133"/>
  <c r="P102" i="129" s="1"/>
  <c r="O96" i="133"/>
  <c r="N97" i="129" s="1"/>
  <c r="L94" i="133"/>
  <c r="K95" i="129" s="1"/>
  <c r="O80" i="133"/>
  <c r="N81" i="129" s="1"/>
  <c r="W74" i="133"/>
  <c r="V75" i="129" s="1"/>
  <c r="Q72" i="133"/>
  <c r="P73" i="129" s="1"/>
  <c r="F69" i="133"/>
  <c r="E70" i="129" s="1"/>
  <c r="Q62" i="133"/>
  <c r="P63" i="129" s="1"/>
  <c r="K51" i="133"/>
  <c r="J52" i="129" s="1"/>
  <c r="Z49" i="133"/>
  <c r="Y50" i="129" s="1"/>
  <c r="AA47" i="133"/>
  <c r="Z48" i="129" s="1"/>
  <c r="U23" i="133"/>
  <c r="T24" i="129" s="1"/>
  <c r="Z132" i="133"/>
  <c r="Y133" i="129" s="1"/>
  <c r="O172" i="133"/>
  <c r="N173" i="129" s="1"/>
  <c r="I170" i="133"/>
  <c r="H171" i="129" s="1"/>
  <c r="M161" i="133"/>
  <c r="L162" i="129" s="1"/>
  <c r="Q159" i="133"/>
  <c r="P160" i="129" s="1"/>
  <c r="AA156" i="133"/>
  <c r="Z157" i="129" s="1"/>
  <c r="D148" i="133"/>
  <c r="C149" i="129" s="1"/>
  <c r="N146" i="133"/>
  <c r="M147" i="129" s="1"/>
  <c r="R141" i="133"/>
  <c r="Q142" i="129" s="1"/>
  <c r="W138" i="133"/>
  <c r="V139" i="129" s="1"/>
  <c r="X136" i="133"/>
  <c r="W137" i="129" s="1"/>
  <c r="J136" i="133"/>
  <c r="I137" i="129" s="1"/>
  <c r="X135" i="133"/>
  <c r="W136" i="129" s="1"/>
  <c r="L135" i="133"/>
  <c r="K136" i="129" s="1"/>
  <c r="U132" i="133"/>
  <c r="T133" i="129" s="1"/>
  <c r="L112" i="133"/>
  <c r="K113" i="129" s="1"/>
  <c r="C111" i="133"/>
  <c r="B112" i="129" s="1"/>
  <c r="G107" i="133"/>
  <c r="F108" i="129" s="1"/>
  <c r="M102" i="133"/>
  <c r="L103" i="129" s="1"/>
  <c r="H101" i="133"/>
  <c r="G102" i="129" s="1"/>
  <c r="L96" i="133"/>
  <c r="K97" i="129" s="1"/>
  <c r="H94" i="133"/>
  <c r="G95" i="129" s="1"/>
  <c r="N80" i="133"/>
  <c r="M81" i="129" s="1"/>
  <c r="Z76" i="133"/>
  <c r="Y77" i="129" s="1"/>
  <c r="E74" i="133"/>
  <c r="D75" i="129" s="1"/>
  <c r="O72" i="133"/>
  <c r="N73" i="129" s="1"/>
  <c r="C69" i="133"/>
  <c r="B70" i="129" s="1"/>
  <c r="S64" i="133"/>
  <c r="R65" i="129" s="1"/>
  <c r="N62" i="133"/>
  <c r="M63" i="129" s="1"/>
  <c r="AA57" i="133"/>
  <c r="Z58" i="129" s="1"/>
  <c r="J51" i="133"/>
  <c r="I52" i="129" s="1"/>
  <c r="X49" i="133"/>
  <c r="W50" i="129" s="1"/>
  <c r="G47" i="133"/>
  <c r="F48" i="129" s="1"/>
  <c r="Y42" i="133"/>
  <c r="X43" i="129" s="1"/>
  <c r="U41" i="133"/>
  <c r="T42" i="129" s="1"/>
  <c r="D37" i="133"/>
  <c r="C38" i="129" s="1"/>
  <c r="M23" i="133"/>
  <c r="L24" i="129" s="1"/>
  <c r="Y9" i="133"/>
  <c r="X10" i="129" s="1"/>
  <c r="Z4" i="133"/>
  <c r="Y5" i="129" s="1"/>
  <c r="T194" i="133"/>
  <c r="S195" i="129" s="1"/>
  <c r="U182" i="133"/>
  <c r="T183" i="129" s="1"/>
  <c r="P179" i="133"/>
  <c r="O180" i="129" s="1"/>
  <c r="N172" i="133"/>
  <c r="M173" i="129" s="1"/>
  <c r="H170" i="133"/>
  <c r="G171" i="129" s="1"/>
  <c r="I159" i="133"/>
  <c r="H160" i="129" s="1"/>
  <c r="G153" i="133"/>
  <c r="F154" i="129" s="1"/>
  <c r="J138" i="133"/>
  <c r="I139" i="129" s="1"/>
  <c r="W135" i="133"/>
  <c r="V136" i="129" s="1"/>
  <c r="K135" i="133"/>
  <c r="J136" i="129" s="1"/>
  <c r="T132" i="133"/>
  <c r="S133" i="129" s="1"/>
  <c r="AB102" i="133"/>
  <c r="AA103" i="129" s="1"/>
  <c r="L102" i="133"/>
  <c r="K103" i="129" s="1"/>
  <c r="D101" i="133"/>
  <c r="C102" i="129" s="1"/>
  <c r="J96" i="133"/>
  <c r="I97" i="129" s="1"/>
  <c r="AB86" i="133"/>
  <c r="AA87" i="129" s="1"/>
  <c r="M80" i="133"/>
  <c r="L81" i="129" s="1"/>
  <c r="AA77" i="133"/>
  <c r="Z78" i="129" s="1"/>
  <c r="N72" i="133"/>
  <c r="M73" i="129" s="1"/>
  <c r="X66" i="133"/>
  <c r="W67" i="129" s="1"/>
  <c r="R64" i="133"/>
  <c r="Q65" i="129" s="1"/>
  <c r="M62" i="133"/>
  <c r="L63" i="129" s="1"/>
  <c r="E57" i="133"/>
  <c r="D58" i="129" s="1"/>
  <c r="X53" i="133"/>
  <c r="W54" i="129" s="1"/>
  <c r="W49" i="133"/>
  <c r="V50" i="129" s="1"/>
  <c r="AB33" i="133"/>
  <c r="AA34" i="129" s="1"/>
  <c r="J23" i="133"/>
  <c r="I24" i="129" s="1"/>
  <c r="Z12" i="133"/>
  <c r="Y13" i="129" s="1"/>
  <c r="Q9" i="133"/>
  <c r="P10" i="129" s="1"/>
  <c r="W4" i="133"/>
  <c r="V5" i="129" s="1"/>
  <c r="AA135" i="133"/>
  <c r="Z136" i="129" s="1"/>
  <c r="O135" i="133"/>
  <c r="N136" i="129" s="1"/>
  <c r="AA132" i="133"/>
  <c r="Z133" i="129" s="1"/>
  <c r="Y189" i="133"/>
  <c r="X190" i="129" s="1"/>
  <c r="M172" i="133"/>
  <c r="L173" i="129" s="1"/>
  <c r="V136" i="133"/>
  <c r="U137" i="129" s="1"/>
  <c r="H136" i="133"/>
  <c r="G137" i="129" s="1"/>
  <c r="V135" i="133"/>
  <c r="U136" i="129" s="1"/>
  <c r="J135" i="133"/>
  <c r="I136" i="129" s="1"/>
  <c r="Q132" i="133"/>
  <c r="P133" i="129" s="1"/>
  <c r="AB108" i="133"/>
  <c r="AA109" i="129" s="1"/>
  <c r="AA102" i="133"/>
  <c r="Z103" i="129" s="1"/>
  <c r="K102" i="133"/>
  <c r="J103" i="129" s="1"/>
  <c r="G96" i="133"/>
  <c r="F97" i="129" s="1"/>
  <c r="Z93" i="133"/>
  <c r="Y94" i="129" s="1"/>
  <c r="R86" i="133"/>
  <c r="Q87" i="129" s="1"/>
  <c r="W77" i="133"/>
  <c r="V78" i="129" s="1"/>
  <c r="C73" i="133"/>
  <c r="B74" i="129" s="1"/>
  <c r="M72" i="133"/>
  <c r="L73" i="129" s="1"/>
  <c r="W66" i="133"/>
  <c r="V67" i="129" s="1"/>
  <c r="L62" i="133"/>
  <c r="K63" i="129" s="1"/>
  <c r="C57" i="133"/>
  <c r="B58" i="129" s="1"/>
  <c r="D51" i="133"/>
  <c r="C52" i="129" s="1"/>
  <c r="L49" i="133"/>
  <c r="K50" i="129" s="1"/>
  <c r="U42" i="133"/>
  <c r="T43" i="129" s="1"/>
  <c r="F41" i="133"/>
  <c r="E42" i="129" s="1"/>
  <c r="S33" i="133"/>
  <c r="R34" i="129" s="1"/>
  <c r="V30" i="133"/>
  <c r="U31" i="129" s="1"/>
  <c r="E23" i="133"/>
  <c r="D24" i="129" s="1"/>
  <c r="AA17" i="133"/>
  <c r="Z18" i="129" s="1"/>
  <c r="V12" i="133"/>
  <c r="U13" i="129" s="1"/>
  <c r="K9" i="133"/>
  <c r="J10" i="129" s="1"/>
  <c r="R4" i="133"/>
  <c r="Q5" i="129" s="1"/>
  <c r="T190" i="133"/>
  <c r="S191" i="129" s="1"/>
  <c r="X189" i="133"/>
  <c r="W190" i="129" s="1"/>
  <c r="R165" i="133"/>
  <c r="Q166" i="129" s="1"/>
  <c r="K164" i="133"/>
  <c r="J165" i="129" s="1"/>
  <c r="U136" i="133"/>
  <c r="T137" i="129" s="1"/>
  <c r="G136" i="133"/>
  <c r="F137" i="129" s="1"/>
  <c r="U135" i="133"/>
  <c r="T136" i="129" s="1"/>
  <c r="I135" i="133"/>
  <c r="H136" i="129" s="1"/>
  <c r="O132" i="133"/>
  <c r="N133" i="129" s="1"/>
  <c r="AA108" i="133"/>
  <c r="Z109" i="129" s="1"/>
  <c r="H102" i="133"/>
  <c r="G103" i="129" s="1"/>
  <c r="K72" i="133"/>
  <c r="J73" i="129" s="1"/>
  <c r="P66" i="133"/>
  <c r="O67" i="129" s="1"/>
  <c r="K62" i="133"/>
  <c r="J63" i="129" s="1"/>
  <c r="K49" i="133"/>
  <c r="J50" i="129" s="1"/>
  <c r="V45" i="133"/>
  <c r="U46" i="129" s="1"/>
  <c r="T36" i="133"/>
  <c r="S37" i="129" s="1"/>
  <c r="M33" i="133"/>
  <c r="L34" i="129" s="1"/>
  <c r="R12" i="133"/>
  <c r="Q13" i="129" s="1"/>
  <c r="F4" i="133"/>
  <c r="E5" i="129" s="1"/>
  <c r="C135" i="133"/>
  <c r="B136" i="129" s="1"/>
  <c r="AX136" i="129" s="1"/>
  <c r="E174" i="133"/>
  <c r="D175" i="129" s="1"/>
  <c r="K172" i="133"/>
  <c r="J173" i="129" s="1"/>
  <c r="V158" i="133"/>
  <c r="U159" i="129" s="1"/>
  <c r="M156" i="133"/>
  <c r="L157" i="129" s="1"/>
  <c r="Z102" i="133"/>
  <c r="Y103" i="129" s="1"/>
  <c r="F96" i="133"/>
  <c r="E97" i="129" s="1"/>
  <c r="X93" i="133"/>
  <c r="W94" i="129" s="1"/>
  <c r="O86" i="133"/>
  <c r="N87" i="129" s="1"/>
  <c r="T81" i="133"/>
  <c r="S82" i="129" s="1"/>
  <c r="S190" i="133"/>
  <c r="R191" i="129" s="1"/>
  <c r="W189" i="133"/>
  <c r="V190" i="129" s="1"/>
  <c r="D174" i="133"/>
  <c r="C175" i="129" s="1"/>
  <c r="G172" i="133"/>
  <c r="F173" i="129" s="1"/>
  <c r="AB168" i="133"/>
  <c r="AA169" i="129" s="1"/>
  <c r="P165" i="133"/>
  <c r="O166" i="129" s="1"/>
  <c r="G164" i="133"/>
  <c r="F165" i="129" s="1"/>
  <c r="Z160" i="133"/>
  <c r="Y161" i="129" s="1"/>
  <c r="Q158" i="133"/>
  <c r="P159" i="129" s="1"/>
  <c r="O157" i="133"/>
  <c r="N158" i="129" s="1"/>
  <c r="D156" i="133"/>
  <c r="C157" i="129" s="1"/>
  <c r="G151" i="133"/>
  <c r="F152" i="129" s="1"/>
  <c r="Q139" i="133"/>
  <c r="P140" i="129" s="1"/>
  <c r="T136" i="133"/>
  <c r="S137" i="129" s="1"/>
  <c r="F136" i="133"/>
  <c r="E137" i="129" s="1"/>
  <c r="T135" i="133"/>
  <c r="S136" i="129" s="1"/>
  <c r="H135" i="133"/>
  <c r="G136" i="129" s="1"/>
  <c r="L132" i="133"/>
  <c r="K133" i="129" s="1"/>
  <c r="C130" i="133"/>
  <c r="B131" i="129" s="1"/>
  <c r="AL131" i="129" s="1"/>
  <c r="E128" i="133"/>
  <c r="D129" i="129" s="1"/>
  <c r="C116" i="133"/>
  <c r="B117" i="129" s="1"/>
  <c r="X111" i="133"/>
  <c r="W112" i="129" s="1"/>
  <c r="Z110" i="133"/>
  <c r="Y111" i="129" s="1"/>
  <c r="K110" i="133"/>
  <c r="J111" i="129" s="1"/>
  <c r="Z108" i="133"/>
  <c r="Y109" i="129" s="1"/>
  <c r="Y102" i="133"/>
  <c r="X103" i="129" s="1"/>
  <c r="F102" i="133"/>
  <c r="E103" i="129" s="1"/>
  <c r="E96" i="133"/>
  <c r="D97" i="129" s="1"/>
  <c r="O93" i="133"/>
  <c r="N94" i="129" s="1"/>
  <c r="M86" i="133"/>
  <c r="L87" i="129" s="1"/>
  <c r="O81" i="133"/>
  <c r="N82" i="129" s="1"/>
  <c r="P79" i="133"/>
  <c r="O80" i="129" s="1"/>
  <c r="Q77" i="133"/>
  <c r="P78" i="129" s="1"/>
  <c r="N76" i="133"/>
  <c r="M77" i="129" s="1"/>
  <c r="AB72" i="133"/>
  <c r="AA73" i="129" s="1"/>
  <c r="H72" i="133"/>
  <c r="G73" i="129" s="1"/>
  <c r="T69" i="133"/>
  <c r="S70" i="129" s="1"/>
  <c r="P68" i="133"/>
  <c r="O69" i="129" s="1"/>
  <c r="J66" i="133"/>
  <c r="I67" i="129" s="1"/>
  <c r="AB62" i="133"/>
  <c r="AA63" i="129" s="1"/>
  <c r="J62" i="133"/>
  <c r="I63" i="129" s="1"/>
  <c r="D56" i="133"/>
  <c r="C57" i="129" s="1"/>
  <c r="AA51" i="133"/>
  <c r="Z52" i="129" s="1"/>
  <c r="Y50" i="133"/>
  <c r="X51" i="129" s="1"/>
  <c r="I49" i="133"/>
  <c r="H50" i="129" s="1"/>
  <c r="K45" i="133"/>
  <c r="J46" i="129" s="1"/>
  <c r="Q42" i="133"/>
  <c r="P43" i="129" s="1"/>
  <c r="R36" i="133"/>
  <c r="Q37" i="129" s="1"/>
  <c r="K33" i="133"/>
  <c r="J34" i="129" s="1"/>
  <c r="K25" i="133"/>
  <c r="J26" i="129" s="1"/>
  <c r="V22" i="133"/>
  <c r="U23" i="129" s="1"/>
  <c r="AB16" i="133"/>
  <c r="AA17" i="129" s="1"/>
  <c r="Q12" i="133"/>
  <c r="P13" i="129" s="1"/>
  <c r="Z135" i="133"/>
  <c r="Y136" i="129" s="1"/>
  <c r="N135" i="133"/>
  <c r="M136" i="129" s="1"/>
  <c r="M190" i="133"/>
  <c r="L191" i="129" s="1"/>
  <c r="T189" i="133"/>
  <c r="S190" i="129" s="1"/>
  <c r="F172" i="133"/>
  <c r="E173" i="129" s="1"/>
  <c r="AA168" i="133"/>
  <c r="Z169" i="129" s="1"/>
  <c r="O165" i="133"/>
  <c r="N166" i="129" s="1"/>
  <c r="Y160" i="133"/>
  <c r="X161" i="129" s="1"/>
  <c r="P158" i="133"/>
  <c r="O159" i="129" s="1"/>
  <c r="N139" i="133"/>
  <c r="M140" i="129" s="1"/>
  <c r="S136" i="133"/>
  <c r="R137" i="129" s="1"/>
  <c r="E136" i="133"/>
  <c r="D137" i="129" s="1"/>
  <c r="S135" i="133"/>
  <c r="R136" i="129" s="1"/>
  <c r="G135" i="133"/>
  <c r="F136" i="129" s="1"/>
  <c r="K132" i="133"/>
  <c r="J133" i="129" s="1"/>
  <c r="AA122" i="133"/>
  <c r="Z123" i="129" s="1"/>
  <c r="V111" i="133"/>
  <c r="U112" i="129" s="1"/>
  <c r="X110" i="133"/>
  <c r="W111" i="129" s="1"/>
  <c r="J110" i="133"/>
  <c r="I111" i="129" s="1"/>
  <c r="X108" i="133"/>
  <c r="W109" i="129" s="1"/>
  <c r="X102" i="133"/>
  <c r="W103" i="129" s="1"/>
  <c r="E102" i="133"/>
  <c r="D103" i="129" s="1"/>
  <c r="Z96" i="133"/>
  <c r="Y97" i="129" s="1"/>
  <c r="D96" i="133"/>
  <c r="C97" i="129" s="1"/>
  <c r="G93" i="133"/>
  <c r="F94" i="129" s="1"/>
  <c r="AB90" i="133"/>
  <c r="AA91" i="129" s="1"/>
  <c r="L86" i="133"/>
  <c r="K87" i="129" s="1"/>
  <c r="N81" i="133"/>
  <c r="M82" i="129" s="1"/>
  <c r="M79" i="133"/>
  <c r="L80" i="129" s="1"/>
  <c r="N77" i="133"/>
  <c r="M78" i="129" s="1"/>
  <c r="M76" i="133"/>
  <c r="L77" i="129" s="1"/>
  <c r="AA72" i="133"/>
  <c r="Z73" i="129" s="1"/>
  <c r="F72" i="133"/>
  <c r="E73" i="129" s="1"/>
  <c r="S69" i="133"/>
  <c r="R70" i="129" s="1"/>
  <c r="M68" i="133"/>
  <c r="L69" i="129" s="1"/>
  <c r="I66" i="133"/>
  <c r="H67" i="129" s="1"/>
  <c r="Z62" i="133"/>
  <c r="Y63" i="129" s="1"/>
  <c r="H62" i="133"/>
  <c r="G63" i="129" s="1"/>
  <c r="Y51" i="133"/>
  <c r="X52" i="129" s="1"/>
  <c r="U50" i="133"/>
  <c r="T51" i="129" s="1"/>
  <c r="H49" i="133"/>
  <c r="G50" i="129" s="1"/>
  <c r="H45" i="133"/>
  <c r="G46" i="129" s="1"/>
  <c r="O42" i="133"/>
  <c r="N43" i="129" s="1"/>
  <c r="G36" i="133"/>
  <c r="F37" i="129" s="1"/>
  <c r="H33" i="133"/>
  <c r="G34" i="129" s="1"/>
  <c r="W29" i="133"/>
  <c r="V30" i="129" s="1"/>
  <c r="E25" i="133"/>
  <c r="D26" i="129" s="1"/>
  <c r="L22" i="133"/>
  <c r="K23" i="129" s="1"/>
  <c r="E16" i="133"/>
  <c r="D17" i="129" s="1"/>
  <c r="J12" i="133"/>
  <c r="I13" i="129" s="1"/>
  <c r="F81" i="133"/>
  <c r="E82" i="129" s="1"/>
  <c r="M77" i="133"/>
  <c r="L78" i="129" s="1"/>
  <c r="Z72" i="133"/>
  <c r="Y73" i="129" s="1"/>
  <c r="E72" i="133"/>
  <c r="D73" i="129" s="1"/>
  <c r="Y62" i="133"/>
  <c r="X63" i="129" s="1"/>
  <c r="G62" i="133"/>
  <c r="F63" i="129" s="1"/>
  <c r="E45" i="133"/>
  <c r="D46" i="129" s="1"/>
  <c r="F36" i="133"/>
  <c r="E37" i="129" s="1"/>
  <c r="E33" i="133"/>
  <c r="D34" i="129" s="1"/>
  <c r="J22" i="133"/>
  <c r="I23" i="129" s="1"/>
  <c r="E12" i="133"/>
  <c r="D13" i="129" s="1"/>
  <c r="I7" i="133"/>
  <c r="H8" i="129" s="1"/>
  <c r="X2" i="133"/>
  <c r="W3" i="129" s="1"/>
  <c r="Y148" i="133"/>
  <c r="X149" i="129" s="1"/>
  <c r="Q135" i="133"/>
  <c r="P136" i="129" s="1"/>
  <c r="F132" i="133"/>
  <c r="E133" i="129" s="1"/>
  <c r="F122" i="133"/>
  <c r="E123" i="129" s="1"/>
  <c r="T114" i="133"/>
  <c r="S115" i="129" s="1"/>
  <c r="R111" i="133"/>
  <c r="Q112" i="129" s="1"/>
  <c r="S108" i="133"/>
  <c r="R109" i="129" s="1"/>
  <c r="Q104" i="133"/>
  <c r="P105" i="129" s="1"/>
  <c r="T102" i="133"/>
  <c r="S103" i="129" s="1"/>
  <c r="C102" i="133"/>
  <c r="B103" i="129" s="1"/>
  <c r="BW103" i="129" s="1"/>
  <c r="U96" i="133"/>
  <c r="T97" i="129" s="1"/>
  <c r="Q85" i="133"/>
  <c r="P86" i="129" s="1"/>
  <c r="E81" i="133"/>
  <c r="D82" i="129" s="1"/>
  <c r="I77" i="133"/>
  <c r="H78" i="129" s="1"/>
  <c r="X72" i="133"/>
  <c r="W73" i="129" s="1"/>
  <c r="D72" i="133"/>
  <c r="C73" i="129" s="1"/>
  <c r="T65" i="133"/>
  <c r="S66" i="129" s="1"/>
  <c r="X62" i="133"/>
  <c r="W63" i="129" s="1"/>
  <c r="D62" i="133"/>
  <c r="C63" i="129" s="1"/>
  <c r="X58" i="133"/>
  <c r="W59" i="129" s="1"/>
  <c r="W51" i="133"/>
  <c r="V52" i="129" s="1"/>
  <c r="Z48" i="133"/>
  <c r="Y49" i="129" s="1"/>
  <c r="H42" i="133"/>
  <c r="G43" i="129" s="1"/>
  <c r="AB37" i="133"/>
  <c r="AA38" i="129" s="1"/>
  <c r="E36" i="133"/>
  <c r="D37" i="129" s="1"/>
  <c r="C33" i="133"/>
  <c r="B34" i="129" s="1"/>
  <c r="AO34" i="129" s="1"/>
  <c r="S29" i="133"/>
  <c r="R30" i="129" s="1"/>
  <c r="D24" i="133"/>
  <c r="C25" i="129" s="1"/>
  <c r="Y15" i="133"/>
  <c r="X16" i="129" s="1"/>
  <c r="D12" i="133"/>
  <c r="C13" i="129" s="1"/>
  <c r="BM14" i="129"/>
  <c r="BN14" i="129"/>
  <c r="BR14" i="129"/>
  <c r="BS14" i="129"/>
  <c r="BV14" i="129"/>
  <c r="AC14" i="129"/>
  <c r="BX14" i="129"/>
  <c r="AF14" i="129"/>
  <c r="BZ14" i="129"/>
  <c r="AI14" i="129"/>
  <c r="CA14" i="129"/>
  <c r="AO14" i="129"/>
  <c r="AR14" i="129"/>
  <c r="AL14" i="129"/>
  <c r="AN14" i="129"/>
  <c r="AX14" i="129"/>
  <c r="AX18" i="129"/>
  <c r="AR18" i="129"/>
  <c r="BM18" i="129"/>
  <c r="AP26" i="129"/>
  <c r="AJ26" i="129"/>
  <c r="BX26" i="129"/>
  <c r="AL26" i="129"/>
  <c r="BZ26" i="129"/>
  <c r="AN26" i="129"/>
  <c r="CA26" i="129"/>
  <c r="AO26" i="129"/>
  <c r="CL26" i="129"/>
  <c r="AR26" i="129"/>
  <c r="AX26" i="129"/>
  <c r="BM26" i="129"/>
  <c r="AD26" i="129"/>
  <c r="BS26" i="129"/>
  <c r="AF26" i="129"/>
  <c r="BV26" i="129"/>
  <c r="BN26" i="129"/>
  <c r="BR26" i="129"/>
  <c r="BW26" i="129"/>
  <c r="AC26" i="129"/>
  <c r="AI26" i="129"/>
  <c r="AR30" i="129"/>
  <c r="AX30" i="129"/>
  <c r="BM30" i="129"/>
  <c r="X109" i="133"/>
  <c r="W110" i="129" s="1"/>
  <c r="J176" i="133"/>
  <c r="I177" i="129" s="1"/>
  <c r="M171" i="133"/>
  <c r="L172" i="129" s="1"/>
  <c r="AF121" i="129"/>
  <c r="AR121" i="129"/>
  <c r="AX121" i="129"/>
  <c r="BM121" i="129"/>
  <c r="BN121" i="129"/>
  <c r="AC121" i="129"/>
  <c r="BR121" i="129"/>
  <c r="AD121" i="129"/>
  <c r="BV121" i="129"/>
  <c r="AN121" i="129"/>
  <c r="CA121" i="129"/>
  <c r="AO121" i="129"/>
  <c r="CL121" i="129"/>
  <c r="AP121" i="129"/>
  <c r="BW121" i="129"/>
  <c r="BX121" i="129"/>
  <c r="BZ121" i="129"/>
  <c r="AI121" i="129"/>
  <c r="AJ121" i="129"/>
  <c r="AL121" i="129"/>
  <c r="P118" i="133"/>
  <c r="O119" i="129" s="1"/>
  <c r="K194" i="133"/>
  <c r="J195" i="129" s="1"/>
  <c r="Y187" i="133"/>
  <c r="X188" i="129" s="1"/>
  <c r="AD201" i="129"/>
  <c r="BM201" i="129"/>
  <c r="AC198" i="129"/>
  <c r="BN198" i="129"/>
  <c r="AD198" i="129"/>
  <c r="BR198" i="129"/>
  <c r="AF198" i="129"/>
  <c r="BS198" i="129"/>
  <c r="AI198" i="129"/>
  <c r="BV198" i="129"/>
  <c r="AJ198" i="129"/>
  <c r="BW198" i="129"/>
  <c r="AL198" i="129"/>
  <c r="BX198" i="129"/>
  <c r="AN198" i="129"/>
  <c r="BZ198" i="129"/>
  <c r="AO198" i="129"/>
  <c r="CA198" i="129"/>
  <c r="AR198" i="129"/>
  <c r="AX198" i="129"/>
  <c r="BM198" i="129"/>
  <c r="P187" i="133"/>
  <c r="O188" i="129" s="1"/>
  <c r="AR161" i="129"/>
  <c r="AX161" i="129"/>
  <c r="BR161" i="129"/>
  <c r="BW161" i="129"/>
  <c r="BX161" i="129"/>
  <c r="CA161" i="129"/>
  <c r="CL161" i="129"/>
  <c r="AC161" i="129"/>
  <c r="AD161" i="129"/>
  <c r="AJ161" i="129"/>
  <c r="S154" i="133"/>
  <c r="R155" i="129" s="1"/>
  <c r="V153" i="133"/>
  <c r="U154" i="129" s="1"/>
  <c r="S152" i="133"/>
  <c r="R153" i="129" s="1"/>
  <c r="E152" i="133"/>
  <c r="D153" i="129" s="1"/>
  <c r="AB148" i="133"/>
  <c r="AA149" i="129" s="1"/>
  <c r="O148" i="133"/>
  <c r="N149" i="129" s="1"/>
  <c r="AP131" i="129"/>
  <c r="BS131" i="129"/>
  <c r="AX131" i="129"/>
  <c r="BX131" i="129"/>
  <c r="AO129" i="129"/>
  <c r="CA129" i="129"/>
  <c r="AP129" i="129"/>
  <c r="CL129" i="129"/>
  <c r="AR129" i="129"/>
  <c r="AX129" i="129"/>
  <c r="BM129" i="129"/>
  <c r="AF129" i="129"/>
  <c r="BS129" i="129"/>
  <c r="AJ129" i="129"/>
  <c r="BW129" i="129"/>
  <c r="AL129" i="129"/>
  <c r="BX129" i="129"/>
  <c r="AC129" i="129"/>
  <c r="AD129" i="129"/>
  <c r="AI129" i="129"/>
  <c r="AN129" i="129"/>
  <c r="BR129" i="129"/>
  <c r="BV129" i="129"/>
  <c r="BN129" i="129"/>
  <c r="BZ129" i="129"/>
  <c r="Y126" i="133"/>
  <c r="X127" i="129" s="1"/>
  <c r="L126" i="133"/>
  <c r="K127" i="129" s="1"/>
  <c r="AX124" i="129"/>
  <c r="BM124" i="129"/>
  <c r="L122" i="133"/>
  <c r="K123" i="129" s="1"/>
  <c r="AA118" i="133"/>
  <c r="Z119" i="129" s="1"/>
  <c r="M118" i="133"/>
  <c r="L119" i="129" s="1"/>
  <c r="R117" i="133"/>
  <c r="Q118" i="129" s="1"/>
  <c r="AJ117" i="129"/>
  <c r="BW117" i="129"/>
  <c r="AL117" i="129"/>
  <c r="BX117" i="129"/>
  <c r="AN117" i="129"/>
  <c r="BZ117" i="129"/>
  <c r="AO117" i="129"/>
  <c r="CA117" i="129"/>
  <c r="AP117" i="129"/>
  <c r="CL117" i="129"/>
  <c r="AR117" i="129"/>
  <c r="AD117" i="129"/>
  <c r="BR117" i="129"/>
  <c r="AF117" i="129"/>
  <c r="BS117" i="129"/>
  <c r="AI117" i="129"/>
  <c r="BV117" i="129"/>
  <c r="BM117" i="129"/>
  <c r="AC117" i="129"/>
  <c r="AX117" i="129"/>
  <c r="BN117" i="129"/>
  <c r="O113" i="133"/>
  <c r="N114" i="129" s="1"/>
  <c r="Q112" i="133"/>
  <c r="P113" i="129" s="1"/>
  <c r="V95" i="133"/>
  <c r="U96" i="129" s="1"/>
  <c r="G95" i="133"/>
  <c r="F96" i="129" s="1"/>
  <c r="W193" i="133"/>
  <c r="V194" i="129" s="1"/>
  <c r="F142" i="133"/>
  <c r="E143" i="129" s="1"/>
  <c r="P128" i="133"/>
  <c r="O129" i="129" s="1"/>
  <c r="X126" i="133"/>
  <c r="W127" i="129" s="1"/>
  <c r="K126" i="133"/>
  <c r="J127" i="129" s="1"/>
  <c r="AF125" i="129"/>
  <c r="AC125" i="129"/>
  <c r="AJ125" i="129"/>
  <c r="AL125" i="129"/>
  <c r="AP125" i="129"/>
  <c r="BW125" i="129"/>
  <c r="BX125" i="129"/>
  <c r="CL125" i="129"/>
  <c r="AX125" i="129"/>
  <c r="BM125" i="129"/>
  <c r="BN125" i="129"/>
  <c r="BM199" i="129"/>
  <c r="AI199" i="129"/>
  <c r="BZ199" i="129"/>
  <c r="AJ199" i="129"/>
  <c r="CA199" i="129"/>
  <c r="AL199" i="129"/>
  <c r="CL199" i="129"/>
  <c r="AN199" i="129"/>
  <c r="AO199" i="129"/>
  <c r="AP199" i="129"/>
  <c r="AR199" i="129"/>
  <c r="AX199" i="129"/>
  <c r="BV199" i="129"/>
  <c r="BW199" i="129"/>
  <c r="AF199" i="129"/>
  <c r="BX199" i="129"/>
  <c r="O197" i="133"/>
  <c r="N198" i="129" s="1"/>
  <c r="AB196" i="133"/>
  <c r="AA197" i="129" s="1"/>
  <c r="V193" i="133"/>
  <c r="U194" i="129" s="1"/>
  <c r="AB190" i="133"/>
  <c r="AA191" i="129" s="1"/>
  <c r="N190" i="133"/>
  <c r="M191" i="129" s="1"/>
  <c r="I187" i="133"/>
  <c r="H188" i="129" s="1"/>
  <c r="R181" i="133"/>
  <c r="Q182" i="129" s="1"/>
  <c r="D181" i="133"/>
  <c r="C182" i="129" s="1"/>
  <c r="Z179" i="133"/>
  <c r="Y180" i="129" s="1"/>
  <c r="H179" i="133"/>
  <c r="G180" i="129" s="1"/>
  <c r="V176" i="133"/>
  <c r="U177" i="129" s="1"/>
  <c r="C176" i="133"/>
  <c r="B177" i="129" s="1"/>
  <c r="BN177" i="129" s="1"/>
  <c r="K175" i="133"/>
  <c r="J176" i="129" s="1"/>
  <c r="W174" i="133"/>
  <c r="V175" i="129" s="1"/>
  <c r="G174" i="133"/>
  <c r="F175" i="129" s="1"/>
  <c r="P172" i="133"/>
  <c r="O173" i="129" s="1"/>
  <c r="Y171" i="133"/>
  <c r="X172" i="129" s="1"/>
  <c r="D171" i="133"/>
  <c r="C172" i="129" s="1"/>
  <c r="L170" i="133"/>
  <c r="K171" i="129" s="1"/>
  <c r="O168" i="133"/>
  <c r="N169" i="129" s="1"/>
  <c r="P167" i="133"/>
  <c r="O168" i="129" s="1"/>
  <c r="W165" i="133"/>
  <c r="V166" i="129" s="1"/>
  <c r="H165" i="133"/>
  <c r="G166" i="129" s="1"/>
  <c r="M164" i="133"/>
  <c r="L165" i="129" s="1"/>
  <c r="S162" i="133"/>
  <c r="R163" i="129" s="1"/>
  <c r="T161" i="133"/>
  <c r="S162" i="129" s="1"/>
  <c r="R160" i="133"/>
  <c r="Q161" i="129" s="1"/>
  <c r="R159" i="133"/>
  <c r="Q160" i="129" s="1"/>
  <c r="Z157" i="133"/>
  <c r="Y158" i="129" s="1"/>
  <c r="J157" i="133"/>
  <c r="I158" i="129" s="1"/>
  <c r="AC157" i="129"/>
  <c r="BN157" i="129"/>
  <c r="AD157" i="129"/>
  <c r="BR157" i="129"/>
  <c r="AF157" i="129"/>
  <c r="BS157" i="129"/>
  <c r="AI157" i="129"/>
  <c r="BV157" i="129"/>
  <c r="AJ157" i="129"/>
  <c r="BW157" i="129"/>
  <c r="AL157" i="129"/>
  <c r="BX157" i="129"/>
  <c r="AN157" i="129"/>
  <c r="BZ157" i="129"/>
  <c r="AO157" i="129"/>
  <c r="CA157" i="129"/>
  <c r="AR157" i="129"/>
  <c r="AX157" i="129"/>
  <c r="AP157" i="129"/>
  <c r="BM157" i="129"/>
  <c r="CL157" i="129"/>
  <c r="P154" i="133"/>
  <c r="O155" i="129" s="1"/>
  <c r="M153" i="133"/>
  <c r="L154" i="129" s="1"/>
  <c r="Q152" i="133"/>
  <c r="P153" i="129" s="1"/>
  <c r="C152" i="133"/>
  <c r="B153" i="129" s="1"/>
  <c r="Z148" i="133"/>
  <c r="Y149" i="129" s="1"/>
  <c r="M148" i="133"/>
  <c r="L149" i="129" s="1"/>
  <c r="W146" i="133"/>
  <c r="V147" i="129" s="1"/>
  <c r="H146" i="133"/>
  <c r="G147" i="129" s="1"/>
  <c r="T143" i="133"/>
  <c r="S144" i="129" s="1"/>
  <c r="D142" i="133"/>
  <c r="C143" i="129" s="1"/>
  <c r="J139" i="133"/>
  <c r="I140" i="129" s="1"/>
  <c r="AA137" i="133"/>
  <c r="Z138" i="129" s="1"/>
  <c r="K137" i="133"/>
  <c r="J138" i="129" s="1"/>
  <c r="Y136" i="133"/>
  <c r="X137" i="129" s="1"/>
  <c r="AF133" i="129"/>
  <c r="AJ133" i="129"/>
  <c r="BX133" i="129"/>
  <c r="AL133" i="129"/>
  <c r="BZ133" i="129"/>
  <c r="AN133" i="129"/>
  <c r="CA133" i="129"/>
  <c r="AO133" i="129"/>
  <c r="CL133" i="129"/>
  <c r="AP133" i="129"/>
  <c r="BM133" i="129"/>
  <c r="AC133" i="129"/>
  <c r="BR133" i="129"/>
  <c r="AD133" i="129"/>
  <c r="BV133" i="129"/>
  <c r="AR133" i="129"/>
  <c r="AX133" i="129"/>
  <c r="BN133" i="129"/>
  <c r="BW133" i="129"/>
  <c r="AI133" i="129"/>
  <c r="Y129" i="133"/>
  <c r="X130" i="129" s="1"/>
  <c r="O128" i="133"/>
  <c r="N129" i="129" s="1"/>
  <c r="V127" i="133"/>
  <c r="U128" i="129" s="1"/>
  <c r="W126" i="133"/>
  <c r="V127" i="129" s="1"/>
  <c r="J126" i="133"/>
  <c r="I127" i="129" s="1"/>
  <c r="AB122" i="133"/>
  <c r="AA123" i="129" s="1"/>
  <c r="H122" i="133"/>
  <c r="G123" i="129" s="1"/>
  <c r="BM122" i="129"/>
  <c r="BW122" i="129"/>
  <c r="AD122" i="129"/>
  <c r="BX122" i="129"/>
  <c r="AF122" i="129"/>
  <c r="BZ122" i="129"/>
  <c r="AJ122" i="129"/>
  <c r="CA122" i="129"/>
  <c r="AL122" i="129"/>
  <c r="CL122" i="129"/>
  <c r="AN122" i="129"/>
  <c r="AX122" i="129"/>
  <c r="BR122" i="129"/>
  <c r="BS122" i="129"/>
  <c r="AO122" i="129"/>
  <c r="AP122" i="129"/>
  <c r="AR122" i="129"/>
  <c r="Y118" i="133"/>
  <c r="X119" i="129" s="1"/>
  <c r="K118" i="133"/>
  <c r="J119" i="129" s="1"/>
  <c r="H117" i="133"/>
  <c r="G118" i="129" s="1"/>
  <c r="C113" i="133"/>
  <c r="B114" i="129" s="1"/>
  <c r="O112" i="133"/>
  <c r="N113" i="129" s="1"/>
  <c r="Y111" i="133"/>
  <c r="X112" i="129" s="1"/>
  <c r="K111" i="133"/>
  <c r="J112" i="129" s="1"/>
  <c r="Y110" i="133"/>
  <c r="X111" i="129" s="1"/>
  <c r="Y109" i="133"/>
  <c r="X110" i="129" s="1"/>
  <c r="E109" i="133"/>
  <c r="D110" i="129" s="1"/>
  <c r="AA107" i="133"/>
  <c r="Z108" i="129" s="1"/>
  <c r="C106" i="133"/>
  <c r="B107" i="129" s="1"/>
  <c r="AF104" i="129"/>
  <c r="AC104" i="129"/>
  <c r="AD104" i="129"/>
  <c r="AI104" i="129"/>
  <c r="AJ104" i="129"/>
  <c r="AR104" i="129"/>
  <c r="AX104" i="129"/>
  <c r="BM104" i="129"/>
  <c r="BS104" i="129"/>
  <c r="BW104" i="129"/>
  <c r="BN104" i="129"/>
  <c r="BR104" i="129"/>
  <c r="BV104" i="129"/>
  <c r="S101" i="133"/>
  <c r="R102" i="129" s="1"/>
  <c r="R100" i="133"/>
  <c r="Q101" i="129" s="1"/>
  <c r="D98" i="133"/>
  <c r="C99" i="129" s="1"/>
  <c r="L97" i="133"/>
  <c r="K98" i="129" s="1"/>
  <c r="W96" i="133"/>
  <c r="V97" i="129" s="1"/>
  <c r="H96" i="133"/>
  <c r="G97" i="129" s="1"/>
  <c r="T95" i="133"/>
  <c r="S96" i="129" s="1"/>
  <c r="E95" i="133"/>
  <c r="D96" i="129" s="1"/>
  <c r="O94" i="133"/>
  <c r="N95" i="129" s="1"/>
  <c r="AA93" i="133"/>
  <c r="Z94" i="129" s="1"/>
  <c r="H93" i="133"/>
  <c r="G94" i="129" s="1"/>
  <c r="N91" i="133"/>
  <c r="M92" i="129" s="1"/>
  <c r="V90" i="133"/>
  <c r="U91" i="129" s="1"/>
  <c r="J88" i="133"/>
  <c r="I89" i="129" s="1"/>
  <c r="P86" i="133"/>
  <c r="O87" i="129" s="1"/>
  <c r="R85" i="133"/>
  <c r="Q86" i="129" s="1"/>
  <c r="Q81" i="133"/>
  <c r="P82" i="129" s="1"/>
  <c r="Q80" i="133"/>
  <c r="P81" i="129" s="1"/>
  <c r="Z79" i="133"/>
  <c r="Y80" i="129" s="1"/>
  <c r="AJ79" i="129"/>
  <c r="AD79" i="129"/>
  <c r="AF79" i="129"/>
  <c r="BR79" i="129"/>
  <c r="BV79" i="129"/>
  <c r="AI79" i="129"/>
  <c r="AX79" i="129"/>
  <c r="BS79" i="129"/>
  <c r="X75" i="133"/>
  <c r="W76" i="129" s="1"/>
  <c r="C75" i="133"/>
  <c r="B76" i="129" s="1"/>
  <c r="F74" i="133"/>
  <c r="E75" i="129" s="1"/>
  <c r="V72" i="133"/>
  <c r="U73" i="129" s="1"/>
  <c r="I72" i="133"/>
  <c r="H73" i="129" s="1"/>
  <c r="AL68" i="129"/>
  <c r="BN68" i="129"/>
  <c r="BS68" i="129"/>
  <c r="BV68" i="129"/>
  <c r="BW68" i="129"/>
  <c r="AJ68" i="129"/>
  <c r="AX68" i="129"/>
  <c r="AF68" i="129"/>
  <c r="BM68" i="129"/>
  <c r="AC68" i="129"/>
  <c r="AI68" i="129"/>
  <c r="V65" i="133"/>
  <c r="U66" i="129" s="1"/>
  <c r="G65" i="133"/>
  <c r="F66" i="129" s="1"/>
  <c r="U63" i="133"/>
  <c r="T64" i="129" s="1"/>
  <c r="C63" i="133"/>
  <c r="B64" i="129" s="1"/>
  <c r="AJ64" i="129" s="1"/>
  <c r="P62" i="133"/>
  <c r="O63" i="129" s="1"/>
  <c r="W61" i="133"/>
  <c r="V62" i="129" s="1"/>
  <c r="O60" i="133"/>
  <c r="N61" i="129" s="1"/>
  <c r="G59" i="133"/>
  <c r="F60" i="129" s="1"/>
  <c r="G58" i="133"/>
  <c r="F59" i="129" s="1"/>
  <c r="I57" i="133"/>
  <c r="H58" i="129" s="1"/>
  <c r="F56" i="133"/>
  <c r="E57" i="129" s="1"/>
  <c r="R55" i="133"/>
  <c r="Q56" i="129" s="1"/>
  <c r="D55" i="133"/>
  <c r="C56" i="129" s="1"/>
  <c r="AB51" i="133"/>
  <c r="AA52" i="129" s="1"/>
  <c r="N51" i="133"/>
  <c r="M52" i="129" s="1"/>
  <c r="AA50" i="133"/>
  <c r="Z51" i="129" s="1"/>
  <c r="H50" i="133"/>
  <c r="G51" i="129" s="1"/>
  <c r="N49" i="133"/>
  <c r="M50" i="129" s="1"/>
  <c r="O48" i="133"/>
  <c r="N49" i="129" s="1"/>
  <c r="L47" i="133"/>
  <c r="K48" i="129" s="1"/>
  <c r="M45" i="133"/>
  <c r="L46" i="129" s="1"/>
  <c r="AB42" i="133"/>
  <c r="AA43" i="129" s="1"/>
  <c r="K42" i="133"/>
  <c r="J43" i="129" s="1"/>
  <c r="V41" i="133"/>
  <c r="U42" i="129" s="1"/>
  <c r="G41" i="133"/>
  <c r="F42" i="129" s="1"/>
  <c r="E40" i="133"/>
  <c r="D41" i="129" s="1"/>
  <c r="P37" i="133"/>
  <c r="O38" i="129" s="1"/>
  <c r="E31" i="133"/>
  <c r="D32" i="129" s="1"/>
  <c r="N31" i="133"/>
  <c r="M32" i="129" s="1"/>
  <c r="Y29" i="133"/>
  <c r="X30" i="129" s="1"/>
  <c r="G28" i="133"/>
  <c r="F29" i="129" s="1"/>
  <c r="M25" i="133"/>
  <c r="L26" i="129" s="1"/>
  <c r="W22" i="133"/>
  <c r="V23" i="129" s="1"/>
  <c r="K18" i="133"/>
  <c r="J19" i="129" s="1"/>
  <c r="H17" i="133"/>
  <c r="G18" i="129" s="1"/>
  <c r="F16" i="133"/>
  <c r="E17" i="129" s="1"/>
  <c r="K14" i="133"/>
  <c r="J15" i="129" s="1"/>
  <c r="X10" i="133"/>
  <c r="W11" i="129" s="1"/>
  <c r="AL56" i="129"/>
  <c r="AO56" i="129"/>
  <c r="AX56" i="129"/>
  <c r="BM56" i="129"/>
  <c r="BN56" i="129"/>
  <c r="BR56" i="129"/>
  <c r="BS56" i="129"/>
  <c r="AI56" i="129"/>
  <c r="CA56" i="129"/>
  <c r="AJ56" i="129"/>
  <c r="AC56" i="129"/>
  <c r="AD56" i="129"/>
  <c r="AF56" i="129"/>
  <c r="BW56" i="129"/>
  <c r="AN56" i="129"/>
  <c r="BV56" i="129"/>
  <c r="BZ56" i="129"/>
  <c r="C21" i="133"/>
  <c r="B22" i="129" s="1"/>
  <c r="T21" i="133"/>
  <c r="S22" i="129" s="1"/>
  <c r="E17" i="133"/>
  <c r="D18" i="129" s="1"/>
  <c r="G13" i="133"/>
  <c r="F14" i="129" s="1"/>
  <c r="Q13" i="133"/>
  <c r="P14" i="129" s="1"/>
  <c r="Z13" i="133"/>
  <c r="Y14" i="129" s="1"/>
  <c r="Q10" i="133"/>
  <c r="P11" i="129" s="1"/>
  <c r="P181" i="133"/>
  <c r="O182" i="129" s="1"/>
  <c r="AR154" i="129"/>
  <c r="AX154" i="129"/>
  <c r="BW154" i="129"/>
  <c r="AJ154" i="129"/>
  <c r="AL154" i="129"/>
  <c r="O152" i="133"/>
  <c r="N153" i="129" s="1"/>
  <c r="W151" i="133"/>
  <c r="V152" i="129" s="1"/>
  <c r="W148" i="133"/>
  <c r="V149" i="129" s="1"/>
  <c r="J148" i="133"/>
  <c r="I149" i="129" s="1"/>
  <c r="U146" i="133"/>
  <c r="T147" i="129" s="1"/>
  <c r="D146" i="133"/>
  <c r="C147" i="129" s="1"/>
  <c r="AO144" i="129"/>
  <c r="CA144" i="129"/>
  <c r="AP144" i="129"/>
  <c r="CL144" i="129"/>
  <c r="AR144" i="129"/>
  <c r="AX144" i="129"/>
  <c r="BM144" i="129"/>
  <c r="AF144" i="129"/>
  <c r="BS144" i="129"/>
  <c r="AJ144" i="129"/>
  <c r="BW144" i="129"/>
  <c r="AL144" i="129"/>
  <c r="BX144" i="129"/>
  <c r="AC144" i="129"/>
  <c r="AD144" i="129"/>
  <c r="AI144" i="129"/>
  <c r="AN144" i="129"/>
  <c r="BN144" i="129"/>
  <c r="BR144" i="129"/>
  <c r="BV144" i="129"/>
  <c r="BZ144" i="129"/>
  <c r="AB128" i="133"/>
  <c r="AA129" i="129" s="1"/>
  <c r="K128" i="133"/>
  <c r="J129" i="129" s="1"/>
  <c r="U126" i="133"/>
  <c r="T127" i="129" s="1"/>
  <c r="H126" i="133"/>
  <c r="G127" i="129" s="1"/>
  <c r="Z122" i="133"/>
  <c r="Y123" i="129" s="1"/>
  <c r="D122" i="133"/>
  <c r="C123" i="129" s="1"/>
  <c r="AA120" i="133"/>
  <c r="Z121" i="129" s="1"/>
  <c r="W118" i="133"/>
  <c r="V119" i="129" s="1"/>
  <c r="H118" i="133"/>
  <c r="G119" i="129" s="1"/>
  <c r="J114" i="133"/>
  <c r="I115" i="129" s="1"/>
  <c r="AB112" i="133"/>
  <c r="AA113" i="129" s="1"/>
  <c r="K112" i="133"/>
  <c r="J113" i="129" s="1"/>
  <c r="W111" i="133"/>
  <c r="V112" i="129" s="1"/>
  <c r="I111" i="133"/>
  <c r="H112" i="129" s="1"/>
  <c r="U109" i="133"/>
  <c r="T110" i="129" s="1"/>
  <c r="L107" i="133"/>
  <c r="K108" i="129" s="1"/>
  <c r="L100" i="133"/>
  <c r="K101" i="129" s="1"/>
  <c r="AB97" i="133"/>
  <c r="AA98" i="129" s="1"/>
  <c r="I97" i="133"/>
  <c r="H98" i="129" s="1"/>
  <c r="R95" i="133"/>
  <c r="Q96" i="129" s="1"/>
  <c r="AB94" i="133"/>
  <c r="AA95" i="129" s="1"/>
  <c r="M94" i="133"/>
  <c r="L95" i="129" s="1"/>
  <c r="Y93" i="133"/>
  <c r="X94" i="129" s="1"/>
  <c r="F93" i="133"/>
  <c r="E94" i="129" s="1"/>
  <c r="N90" i="133"/>
  <c r="M91" i="129" s="1"/>
  <c r="M87" i="133"/>
  <c r="L88" i="129" s="1"/>
  <c r="N86" i="133"/>
  <c r="M87" i="129" s="1"/>
  <c r="T75" i="133"/>
  <c r="S76" i="129" s="1"/>
  <c r="X74" i="133"/>
  <c r="W75" i="129" s="1"/>
  <c r="D74" i="133"/>
  <c r="C75" i="129" s="1"/>
  <c r="S65" i="133"/>
  <c r="R66" i="129" s="1"/>
  <c r="D65" i="133"/>
  <c r="C66" i="129" s="1"/>
  <c r="Q63" i="133"/>
  <c r="P64" i="129" s="1"/>
  <c r="S61" i="133"/>
  <c r="R62" i="129" s="1"/>
  <c r="AD58" i="129"/>
  <c r="BR58" i="129"/>
  <c r="AF58" i="129"/>
  <c r="BS58" i="129"/>
  <c r="AI58" i="129"/>
  <c r="BV58" i="129"/>
  <c r="AJ58" i="129"/>
  <c r="BW58" i="129"/>
  <c r="AL58" i="129"/>
  <c r="BX58" i="129"/>
  <c r="AN58" i="129"/>
  <c r="BZ58" i="129"/>
  <c r="AX58" i="129"/>
  <c r="BM58" i="129"/>
  <c r="AO58" i="129"/>
  <c r="AP58" i="129"/>
  <c r="AR58" i="129"/>
  <c r="BN58" i="129"/>
  <c r="CA58" i="129"/>
  <c r="CL58" i="129"/>
  <c r="AC58" i="129"/>
  <c r="AC57" i="129"/>
  <c r="BN57" i="129"/>
  <c r="AD57" i="129"/>
  <c r="BR57" i="129"/>
  <c r="AF57" i="129"/>
  <c r="BS57" i="129"/>
  <c r="AI57" i="129"/>
  <c r="BV57" i="129"/>
  <c r="AJ57" i="129"/>
  <c r="BW57" i="129"/>
  <c r="AL57" i="129"/>
  <c r="BX57" i="129"/>
  <c r="AR57" i="129"/>
  <c r="AX57" i="129"/>
  <c r="BZ57" i="129"/>
  <c r="CA57" i="129"/>
  <c r="CL57" i="129"/>
  <c r="AO57" i="129"/>
  <c r="BM57" i="129"/>
  <c r="AN57" i="129"/>
  <c r="AP57" i="129"/>
  <c r="Z51" i="133"/>
  <c r="Y52" i="129" s="1"/>
  <c r="L51" i="133"/>
  <c r="K52" i="129" s="1"/>
  <c r="W50" i="133"/>
  <c r="V51" i="129" s="1"/>
  <c r="D50" i="133"/>
  <c r="C51" i="129" s="1"/>
  <c r="AP49" i="129"/>
  <c r="BN49" i="129"/>
  <c r="F47" i="133"/>
  <c r="E48" i="129" s="1"/>
  <c r="T41" i="133"/>
  <c r="S42" i="129" s="1"/>
  <c r="E41" i="133"/>
  <c r="D42" i="129" s="1"/>
  <c r="Z39" i="133"/>
  <c r="Y40" i="129" s="1"/>
  <c r="H25" i="133"/>
  <c r="G26" i="129" s="1"/>
  <c r="E24" i="133"/>
  <c r="D25" i="129" s="1"/>
  <c r="V24" i="133"/>
  <c r="U25" i="129" s="1"/>
  <c r="AB20" i="133"/>
  <c r="AA21" i="129" s="1"/>
  <c r="AB17" i="133"/>
  <c r="AA18" i="129" s="1"/>
  <c r="E14" i="133"/>
  <c r="D15" i="129" s="1"/>
  <c r="P10" i="133"/>
  <c r="O11" i="129" s="1"/>
  <c r="BS199" i="129"/>
  <c r="AR96" i="129"/>
  <c r="AX96" i="129"/>
  <c r="BM96" i="129"/>
  <c r="AC96" i="129"/>
  <c r="BN96" i="129"/>
  <c r="AD96" i="129"/>
  <c r="BR96" i="129"/>
  <c r="AF96" i="129"/>
  <c r="BS96" i="129"/>
  <c r="AI96" i="129"/>
  <c r="BV96" i="129"/>
  <c r="AN96" i="129"/>
  <c r="BZ96" i="129"/>
  <c r="AP96" i="129"/>
  <c r="CL96" i="129"/>
  <c r="AJ96" i="129"/>
  <c r="AL96" i="129"/>
  <c r="AO96" i="129"/>
  <c r="BW96" i="129"/>
  <c r="BX96" i="129"/>
  <c r="CA96" i="129"/>
  <c r="V179" i="133"/>
  <c r="U180" i="129" s="1"/>
  <c r="F179" i="133"/>
  <c r="E180" i="129" s="1"/>
  <c r="T176" i="133"/>
  <c r="S177" i="129" s="1"/>
  <c r="U171" i="133"/>
  <c r="T172" i="129" s="1"/>
  <c r="M154" i="133"/>
  <c r="L155" i="129" s="1"/>
  <c r="E196" i="133"/>
  <c r="D197" i="129" s="1"/>
  <c r="F193" i="133"/>
  <c r="E194" i="129" s="1"/>
  <c r="AA186" i="133"/>
  <c r="Z187" i="129" s="1"/>
  <c r="AO183" i="129"/>
  <c r="AJ183" i="129"/>
  <c r="AL183" i="129"/>
  <c r="AX183" i="129"/>
  <c r="BM183" i="129"/>
  <c r="BW183" i="129"/>
  <c r="BX183" i="129"/>
  <c r="O181" i="133"/>
  <c r="N182" i="129" s="1"/>
  <c r="U180" i="133"/>
  <c r="T181" i="129" s="1"/>
  <c r="U179" i="133"/>
  <c r="T180" i="129" s="1"/>
  <c r="E179" i="133"/>
  <c r="D180" i="129" s="1"/>
  <c r="Q176" i="133"/>
  <c r="P177" i="129" s="1"/>
  <c r="BM175" i="129"/>
  <c r="BS175" i="129"/>
  <c r="BV175" i="129"/>
  <c r="CA175" i="129"/>
  <c r="CL175" i="129"/>
  <c r="AF175" i="129"/>
  <c r="AI175" i="129"/>
  <c r="AO175" i="129"/>
  <c r="AP175" i="129"/>
  <c r="AR175" i="129"/>
  <c r="AX175" i="129"/>
  <c r="T171" i="133"/>
  <c r="S172" i="129" s="1"/>
  <c r="AA170" i="133"/>
  <c r="Z171" i="129" s="1"/>
  <c r="D170" i="133"/>
  <c r="C171" i="129" s="1"/>
  <c r="D164" i="133"/>
  <c r="C165" i="129" s="1"/>
  <c r="M160" i="133"/>
  <c r="L161" i="129" s="1"/>
  <c r="D159" i="133"/>
  <c r="C160" i="129" s="1"/>
  <c r="J155" i="133"/>
  <c r="I156" i="129" s="1"/>
  <c r="L154" i="133"/>
  <c r="K155" i="129" s="1"/>
  <c r="AB152" i="133"/>
  <c r="AA153" i="129" s="1"/>
  <c r="N152" i="133"/>
  <c r="M153" i="129" s="1"/>
  <c r="V151" i="133"/>
  <c r="U152" i="129" s="1"/>
  <c r="V148" i="133"/>
  <c r="U149" i="129" s="1"/>
  <c r="I148" i="133"/>
  <c r="H149" i="129" s="1"/>
  <c r="S146" i="133"/>
  <c r="R147" i="129" s="1"/>
  <c r="C146" i="133"/>
  <c r="B147" i="129" s="1"/>
  <c r="AB142" i="133"/>
  <c r="AA143" i="129" s="1"/>
  <c r="T126" i="133"/>
  <c r="S127" i="129" s="1"/>
  <c r="F126" i="133"/>
  <c r="E127" i="129" s="1"/>
  <c r="W122" i="133"/>
  <c r="V123" i="129" s="1"/>
  <c r="C122" i="133"/>
  <c r="B123" i="129" s="1"/>
  <c r="AC123" i="129" s="1"/>
  <c r="R120" i="133"/>
  <c r="Q121" i="129" s="1"/>
  <c r="U118" i="133"/>
  <c r="T119" i="129" s="1"/>
  <c r="F118" i="133"/>
  <c r="E119" i="129" s="1"/>
  <c r="I114" i="133"/>
  <c r="H115" i="129" s="1"/>
  <c r="T109" i="133"/>
  <c r="S110" i="129" s="1"/>
  <c r="I100" i="133"/>
  <c r="H101" i="129" s="1"/>
  <c r="O95" i="133"/>
  <c r="N96" i="129" s="1"/>
  <c r="AO94" i="129"/>
  <c r="AC94" i="129"/>
  <c r="BS94" i="129"/>
  <c r="AD94" i="129"/>
  <c r="BV94" i="129"/>
  <c r="AF94" i="129"/>
  <c r="BW94" i="129"/>
  <c r="AI94" i="129"/>
  <c r="BX94" i="129"/>
  <c r="AJ94" i="129"/>
  <c r="BZ94" i="129"/>
  <c r="AL94" i="129"/>
  <c r="AN94" i="129"/>
  <c r="BM94" i="129"/>
  <c r="BR94" i="129"/>
  <c r="AX94" i="129"/>
  <c r="AR94" i="129"/>
  <c r="BN94" i="129"/>
  <c r="M90" i="133"/>
  <c r="L91" i="129" s="1"/>
  <c r="S75" i="133"/>
  <c r="R76" i="129" s="1"/>
  <c r="AX75" i="129"/>
  <c r="AR75" i="129"/>
  <c r="P63" i="133"/>
  <c r="O64" i="129" s="1"/>
  <c r="Q61" i="133"/>
  <c r="P62" i="129" s="1"/>
  <c r="AB55" i="133"/>
  <c r="AA56" i="129" s="1"/>
  <c r="O55" i="133"/>
  <c r="N56" i="129" s="1"/>
  <c r="J49" i="133"/>
  <c r="I50" i="129" s="1"/>
  <c r="C47" i="133"/>
  <c r="B48" i="129" s="1"/>
  <c r="CL48" i="129" s="1"/>
  <c r="F45" i="133"/>
  <c r="E46" i="129" s="1"/>
  <c r="S41" i="133"/>
  <c r="R42" i="129" s="1"/>
  <c r="D41" i="133"/>
  <c r="C42" i="129" s="1"/>
  <c r="N39" i="133"/>
  <c r="M40" i="129" s="1"/>
  <c r="E35" i="133"/>
  <c r="D36" i="129" s="1"/>
  <c r="G17" i="133"/>
  <c r="F18" i="129" s="1"/>
  <c r="D17" i="133"/>
  <c r="C18" i="129" s="1"/>
  <c r="Y17" i="133"/>
  <c r="X18" i="129" s="1"/>
  <c r="M17" i="133"/>
  <c r="L18" i="129" s="1"/>
  <c r="H16" i="133"/>
  <c r="G17" i="129" s="1"/>
  <c r="J16" i="133"/>
  <c r="I17" i="129" s="1"/>
  <c r="R16" i="133"/>
  <c r="Q17" i="129" s="1"/>
  <c r="K10" i="133"/>
  <c r="J11" i="129" s="1"/>
  <c r="X171" i="133"/>
  <c r="W172" i="129" s="1"/>
  <c r="P152" i="133"/>
  <c r="O153" i="129" s="1"/>
  <c r="AF89" i="129"/>
  <c r="AN89" i="129"/>
  <c r="AO89" i="129"/>
  <c r="AP89" i="129"/>
  <c r="AR89" i="129"/>
  <c r="AX89" i="129"/>
  <c r="BM89" i="129"/>
  <c r="BN89" i="129"/>
  <c r="CA89" i="129"/>
  <c r="AD89" i="129"/>
  <c r="BR89" i="129"/>
  <c r="BZ89" i="129"/>
  <c r="CL89" i="129"/>
  <c r="AC89" i="129"/>
  <c r="U75" i="133"/>
  <c r="T76" i="129" s="1"/>
  <c r="M196" i="133"/>
  <c r="L197" i="129" s="1"/>
  <c r="P176" i="133"/>
  <c r="O177" i="129" s="1"/>
  <c r="J154" i="133"/>
  <c r="I155" i="129" s="1"/>
  <c r="AA152" i="133"/>
  <c r="Z153" i="129" s="1"/>
  <c r="M152" i="133"/>
  <c r="L153" i="129" s="1"/>
  <c r="S151" i="133"/>
  <c r="R152" i="129" s="1"/>
  <c r="U148" i="133"/>
  <c r="T149" i="129" s="1"/>
  <c r="H148" i="133"/>
  <c r="G149" i="129" s="1"/>
  <c r="Q146" i="133"/>
  <c r="P147" i="129" s="1"/>
  <c r="AJ115" i="129"/>
  <c r="AC115" i="129"/>
  <c r="AD115" i="129"/>
  <c r="AF115" i="129"/>
  <c r="AN115" i="129"/>
  <c r="AO115" i="129"/>
  <c r="BS115" i="129"/>
  <c r="BZ115" i="129"/>
  <c r="CA115" i="129"/>
  <c r="AX115" i="129"/>
  <c r="BN115" i="129"/>
  <c r="BR115" i="129"/>
  <c r="X112" i="133"/>
  <c r="W113" i="129" s="1"/>
  <c r="I112" i="133"/>
  <c r="H113" i="129" s="1"/>
  <c r="S109" i="133"/>
  <c r="R110" i="129" s="1"/>
  <c r="K90" i="133"/>
  <c r="J91" i="129" s="1"/>
  <c r="Q75" i="133"/>
  <c r="P76" i="129" s="1"/>
  <c r="V74" i="133"/>
  <c r="U75" i="129" s="1"/>
  <c r="BM74" i="129"/>
  <c r="AP74" i="129"/>
  <c r="AR74" i="129"/>
  <c r="AX74" i="129"/>
  <c r="BX74" i="129"/>
  <c r="CL74" i="129"/>
  <c r="O63" i="133"/>
  <c r="N64" i="129" s="1"/>
  <c r="AB56" i="133"/>
  <c r="AA57" i="129" s="1"/>
  <c r="W17" i="133"/>
  <c r="V18" i="129" s="1"/>
  <c r="H14" i="133"/>
  <c r="G15" i="129" s="1"/>
  <c r="Q14" i="133"/>
  <c r="P15" i="129" s="1"/>
  <c r="Z14" i="133"/>
  <c r="Y15" i="129" s="1"/>
  <c r="AP143" i="129"/>
  <c r="BM143" i="129"/>
  <c r="BX143" i="129"/>
  <c r="BZ143" i="129"/>
  <c r="AL143" i="129"/>
  <c r="AN143" i="129"/>
  <c r="AX143" i="129"/>
  <c r="T63" i="133"/>
  <c r="S64" i="129" s="1"/>
  <c r="U186" i="133"/>
  <c r="T187" i="129" s="1"/>
  <c r="AB181" i="133"/>
  <c r="AA182" i="129" s="1"/>
  <c r="N181" i="133"/>
  <c r="M182" i="129" s="1"/>
  <c r="T180" i="133"/>
  <c r="S181" i="129" s="1"/>
  <c r="T179" i="133"/>
  <c r="S180" i="129" s="1"/>
  <c r="AO171" i="129"/>
  <c r="AJ171" i="129"/>
  <c r="AL171" i="129"/>
  <c r="AX171" i="129"/>
  <c r="BM171" i="129"/>
  <c r="BW171" i="129"/>
  <c r="BX171" i="129"/>
  <c r="P120" i="133"/>
  <c r="O121" i="129" s="1"/>
  <c r="T118" i="133"/>
  <c r="S119" i="129" s="1"/>
  <c r="E118" i="133"/>
  <c r="D119" i="129" s="1"/>
  <c r="H100" i="133"/>
  <c r="G101" i="129" s="1"/>
  <c r="M95" i="133"/>
  <c r="L96" i="129" s="1"/>
  <c r="Z94" i="133"/>
  <c r="Y95" i="129" s="1"/>
  <c r="K94" i="133"/>
  <c r="J95" i="129" s="1"/>
  <c r="U93" i="133"/>
  <c r="T94" i="129" s="1"/>
  <c r="W190" i="133"/>
  <c r="V191" i="129" s="1"/>
  <c r="I190" i="133"/>
  <c r="H191" i="129" s="1"/>
  <c r="AD189" i="129"/>
  <c r="AX189" i="129"/>
  <c r="BM189" i="129"/>
  <c r="Q186" i="133"/>
  <c r="P187" i="129" s="1"/>
  <c r="AA181" i="133"/>
  <c r="Z182" i="129" s="1"/>
  <c r="M181" i="133"/>
  <c r="L182" i="129" s="1"/>
  <c r="S180" i="133"/>
  <c r="R181" i="129" s="1"/>
  <c r="S179" i="133"/>
  <c r="R180" i="129" s="1"/>
  <c r="N178" i="133"/>
  <c r="M179" i="129" s="1"/>
  <c r="M176" i="133"/>
  <c r="L177" i="129" s="1"/>
  <c r="W175" i="133"/>
  <c r="V176" i="129" s="1"/>
  <c r="D175" i="133"/>
  <c r="C176" i="129" s="1"/>
  <c r="O174" i="133"/>
  <c r="N175" i="129" s="1"/>
  <c r="AB172" i="133"/>
  <c r="AA173" i="129" s="1"/>
  <c r="J172" i="133"/>
  <c r="I173" i="129" s="1"/>
  <c r="P171" i="133"/>
  <c r="O172" i="129" s="1"/>
  <c r="Y170" i="133"/>
  <c r="X171" i="129" s="1"/>
  <c r="C168" i="133"/>
  <c r="B169" i="129" s="1"/>
  <c r="BZ169" i="129" s="1"/>
  <c r="D167" i="133"/>
  <c r="C168" i="129" s="1"/>
  <c r="Q165" i="133"/>
  <c r="P166" i="129" s="1"/>
  <c r="C165" i="133"/>
  <c r="B166" i="129" s="1"/>
  <c r="W163" i="133"/>
  <c r="V164" i="129" s="1"/>
  <c r="BM162" i="129"/>
  <c r="AI162" i="129"/>
  <c r="BW162" i="129"/>
  <c r="AJ162" i="129"/>
  <c r="BX162" i="129"/>
  <c r="AL162" i="129"/>
  <c r="BZ162" i="129"/>
  <c r="AN162" i="129"/>
  <c r="CA162" i="129"/>
  <c r="AO162" i="129"/>
  <c r="CL162" i="129"/>
  <c r="AP162" i="129"/>
  <c r="AR162" i="129"/>
  <c r="AX162" i="129"/>
  <c r="AC162" i="129"/>
  <c r="BR162" i="129"/>
  <c r="AD162" i="129"/>
  <c r="BS162" i="129"/>
  <c r="AF162" i="129"/>
  <c r="BN162" i="129"/>
  <c r="BV162" i="129"/>
  <c r="J160" i="133"/>
  <c r="I161" i="129" s="1"/>
  <c r="S157" i="133"/>
  <c r="R158" i="129" s="1"/>
  <c r="C157" i="133"/>
  <c r="B158" i="129" s="1"/>
  <c r="AI158" i="129" s="1"/>
  <c r="AB154" i="133"/>
  <c r="AA155" i="129" s="1"/>
  <c r="I154" i="133"/>
  <c r="H155" i="129" s="1"/>
  <c r="Z152" i="133"/>
  <c r="Y153" i="129" s="1"/>
  <c r="K152" i="133"/>
  <c r="J153" i="129" s="1"/>
  <c r="R151" i="133"/>
  <c r="Q152" i="129" s="1"/>
  <c r="T148" i="133"/>
  <c r="S149" i="129" s="1"/>
  <c r="G148" i="133"/>
  <c r="F149" i="129" s="1"/>
  <c r="P146" i="133"/>
  <c r="O147" i="129" s="1"/>
  <c r="AB145" i="133"/>
  <c r="AA146" i="129" s="1"/>
  <c r="Y142" i="133"/>
  <c r="X143" i="129" s="1"/>
  <c r="AO142" i="129"/>
  <c r="AJ142" i="129"/>
  <c r="AL142" i="129"/>
  <c r="AR142" i="129"/>
  <c r="AX142" i="129"/>
  <c r="BW142" i="129"/>
  <c r="BX142" i="129"/>
  <c r="AL140" i="129"/>
  <c r="AJ140" i="129"/>
  <c r="AO140" i="129"/>
  <c r="AP140" i="129"/>
  <c r="AX140" i="129"/>
  <c r="BM140" i="129"/>
  <c r="BS140" i="129"/>
  <c r="AD140" i="129"/>
  <c r="BW140" i="129"/>
  <c r="AF140" i="129"/>
  <c r="CA140" i="129"/>
  <c r="BN140" i="129"/>
  <c r="BR140" i="129"/>
  <c r="BV140" i="129"/>
  <c r="CL140" i="129"/>
  <c r="AC140" i="129"/>
  <c r="AI140" i="129"/>
  <c r="Q130" i="133"/>
  <c r="P131" i="129" s="1"/>
  <c r="W128" i="133"/>
  <c r="V129" i="129" s="1"/>
  <c r="H128" i="133"/>
  <c r="G129" i="129" s="1"/>
  <c r="Q126" i="133"/>
  <c r="P127" i="129" s="1"/>
  <c r="D126" i="133"/>
  <c r="C127" i="129" s="1"/>
  <c r="Q123" i="133"/>
  <c r="P124" i="129" s="1"/>
  <c r="U122" i="133"/>
  <c r="T123" i="129" s="1"/>
  <c r="K120" i="133"/>
  <c r="J121" i="129" s="1"/>
  <c r="R118" i="133"/>
  <c r="Q119" i="129" s="1"/>
  <c r="D118" i="133"/>
  <c r="C119" i="129" s="1"/>
  <c r="Y113" i="133"/>
  <c r="X114" i="129" s="1"/>
  <c r="W112" i="133"/>
  <c r="V113" i="129" s="1"/>
  <c r="H112" i="133"/>
  <c r="G113" i="129" s="1"/>
  <c r="T111" i="133"/>
  <c r="S112" i="129" s="1"/>
  <c r="F111" i="133"/>
  <c r="E112" i="129" s="1"/>
  <c r="R109" i="133"/>
  <c r="Q110" i="129" s="1"/>
  <c r="AB106" i="133"/>
  <c r="AA107" i="129" s="1"/>
  <c r="G100" i="133"/>
  <c r="F101" i="129" s="1"/>
  <c r="W97" i="133"/>
  <c r="V98" i="129" s="1"/>
  <c r="E97" i="133"/>
  <c r="D98" i="129" s="1"/>
  <c r="AX97" i="129"/>
  <c r="BM97" i="129"/>
  <c r="AC97" i="129"/>
  <c r="BN97" i="129"/>
  <c r="AD97" i="129"/>
  <c r="BR97" i="129"/>
  <c r="AF97" i="129"/>
  <c r="BS97" i="129"/>
  <c r="AI97" i="129"/>
  <c r="BV97" i="129"/>
  <c r="AJ97" i="129"/>
  <c r="BW97" i="129"/>
  <c r="AO97" i="129"/>
  <c r="CA97" i="129"/>
  <c r="AR97" i="129"/>
  <c r="AL97" i="129"/>
  <c r="AN97" i="129"/>
  <c r="AP97" i="129"/>
  <c r="BX97" i="129"/>
  <c r="BZ97" i="129"/>
  <c r="CL97" i="129"/>
  <c r="L95" i="133"/>
  <c r="K96" i="129" s="1"/>
  <c r="Y94" i="133"/>
  <c r="X95" i="129" s="1"/>
  <c r="J94" i="133"/>
  <c r="I95" i="129" s="1"/>
  <c r="T93" i="133"/>
  <c r="S94" i="129" s="1"/>
  <c r="AA91" i="133"/>
  <c r="Z92" i="129" s="1"/>
  <c r="H91" i="133"/>
  <c r="G92" i="129" s="1"/>
  <c r="J90" i="133"/>
  <c r="I91" i="129" s="1"/>
  <c r="AA86" i="133"/>
  <c r="Z87" i="129" s="1"/>
  <c r="H86" i="133"/>
  <c r="G87" i="129" s="1"/>
  <c r="D85" i="133"/>
  <c r="C86" i="129" s="1"/>
  <c r="AO82" i="129"/>
  <c r="AN82" i="129"/>
  <c r="AR82" i="129"/>
  <c r="AX82" i="129"/>
  <c r="BM82" i="129"/>
  <c r="BN82" i="129"/>
  <c r="BR82" i="129"/>
  <c r="AC82" i="129"/>
  <c r="BS82" i="129"/>
  <c r="AI82" i="129"/>
  <c r="BX82" i="129"/>
  <c r="AL82" i="129"/>
  <c r="BV82" i="129"/>
  <c r="BW82" i="129"/>
  <c r="BZ82" i="129"/>
  <c r="AD82" i="129"/>
  <c r="AJ82" i="129"/>
  <c r="AF82" i="129"/>
  <c r="H80" i="133"/>
  <c r="G81" i="129" s="1"/>
  <c r="C79" i="133"/>
  <c r="B80" i="129" s="1"/>
  <c r="P75" i="133"/>
  <c r="O76" i="129" s="1"/>
  <c r="T74" i="133"/>
  <c r="S75" i="129" s="1"/>
  <c r="P72" i="133"/>
  <c r="O73" i="129" s="1"/>
  <c r="C72" i="133"/>
  <c r="B73" i="129" s="1"/>
  <c r="O65" i="133"/>
  <c r="N66" i="129" s="1"/>
  <c r="M63" i="133"/>
  <c r="L64" i="129" s="1"/>
  <c r="AB60" i="133"/>
  <c r="AA61" i="129" s="1"/>
  <c r="F60" i="133"/>
  <c r="E61" i="129" s="1"/>
  <c r="U58" i="133"/>
  <c r="T59" i="129" s="1"/>
  <c r="Y57" i="133"/>
  <c r="X58" i="129" s="1"/>
  <c r="AA56" i="133"/>
  <c r="Z57" i="129" s="1"/>
  <c r="Z55" i="133"/>
  <c r="Y56" i="129" s="1"/>
  <c r="M55" i="133"/>
  <c r="L56" i="129" s="1"/>
  <c r="V53" i="133"/>
  <c r="U54" i="129" s="1"/>
  <c r="R50" i="133"/>
  <c r="Q51" i="129" s="1"/>
  <c r="X47" i="133"/>
  <c r="W48" i="129" s="1"/>
  <c r="AP47" i="129"/>
  <c r="BS47" i="129"/>
  <c r="BV47" i="129"/>
  <c r="AD47" i="129"/>
  <c r="BW47" i="129"/>
  <c r="AF47" i="129"/>
  <c r="BZ47" i="129"/>
  <c r="AJ47" i="129"/>
  <c r="AI47" i="129"/>
  <c r="AN47" i="129"/>
  <c r="BN47" i="129"/>
  <c r="BR47" i="129"/>
  <c r="AR47" i="129"/>
  <c r="CA47" i="129"/>
  <c r="AO47" i="129"/>
  <c r="AX47" i="129"/>
  <c r="Q41" i="133"/>
  <c r="P42" i="129" s="1"/>
  <c r="W40" i="133"/>
  <c r="V41" i="129" s="1"/>
  <c r="BM38" i="129"/>
  <c r="AL38" i="129"/>
  <c r="CA38" i="129"/>
  <c r="AN38" i="129"/>
  <c r="AO38" i="129"/>
  <c r="AR38" i="129"/>
  <c r="AX38" i="129"/>
  <c r="BN38" i="129"/>
  <c r="BR38" i="129"/>
  <c r="AC38" i="129"/>
  <c r="BS38" i="129"/>
  <c r="AF38" i="129"/>
  <c r="BW38" i="129"/>
  <c r="AI38" i="129"/>
  <c r="BX38" i="129"/>
  <c r="BV38" i="129"/>
  <c r="BZ38" i="129"/>
  <c r="AD38" i="129"/>
  <c r="AJ38" i="129"/>
  <c r="AL34" i="129"/>
  <c r="AN34" i="129"/>
  <c r="AP34" i="129"/>
  <c r="AR34" i="129"/>
  <c r="BM34" i="129"/>
  <c r="BN34" i="129"/>
  <c r="AC34" i="129"/>
  <c r="BX34" i="129"/>
  <c r="BR34" i="129"/>
  <c r="D25" i="133"/>
  <c r="C26" i="129" s="1"/>
  <c r="T25" i="133"/>
  <c r="S26" i="129" s="1"/>
  <c r="D22" i="133"/>
  <c r="C23" i="129" s="1"/>
  <c r="E22" i="133"/>
  <c r="D23" i="129" s="1"/>
  <c r="K20" i="133"/>
  <c r="J21" i="129" s="1"/>
  <c r="T17" i="133"/>
  <c r="S18" i="129" s="1"/>
  <c r="Z16" i="133"/>
  <c r="Y17" i="129" s="1"/>
  <c r="Y13" i="133"/>
  <c r="X14" i="129" s="1"/>
  <c r="E10" i="133"/>
  <c r="D11" i="129" s="1"/>
  <c r="J10" i="133"/>
  <c r="I11" i="129" s="1"/>
  <c r="W10" i="133"/>
  <c r="V11" i="129" s="1"/>
  <c r="W5" i="133"/>
  <c r="V6" i="129" s="1"/>
  <c r="AC3" i="129"/>
  <c r="AF3" i="129"/>
  <c r="AL3" i="129"/>
  <c r="AN3" i="129"/>
  <c r="BN3" i="129"/>
  <c r="CL198" i="129"/>
  <c r="S95" i="133"/>
  <c r="R96" i="129" s="1"/>
  <c r="Q171" i="133"/>
  <c r="P172" i="129" s="1"/>
  <c r="Z170" i="133"/>
  <c r="Y171" i="129" s="1"/>
  <c r="AD165" i="129"/>
  <c r="AX165" i="129"/>
  <c r="BM165" i="129"/>
  <c r="AA142" i="133"/>
  <c r="Z143" i="129" s="1"/>
  <c r="R126" i="133"/>
  <c r="Q127" i="129" s="1"/>
  <c r="E126" i="133"/>
  <c r="D127" i="129" s="1"/>
  <c r="V122" i="133"/>
  <c r="U123" i="129" s="1"/>
  <c r="AA194" i="133"/>
  <c r="Z195" i="129" s="1"/>
  <c r="V190" i="133"/>
  <c r="U191" i="129" s="1"/>
  <c r="G190" i="133"/>
  <c r="F191" i="129" s="1"/>
  <c r="AB187" i="133"/>
  <c r="AA188" i="129" s="1"/>
  <c r="P186" i="133"/>
  <c r="O187" i="129" s="1"/>
  <c r="Z181" i="133"/>
  <c r="Y182" i="129" s="1"/>
  <c r="L181" i="133"/>
  <c r="K182" i="129" s="1"/>
  <c r="N180" i="133"/>
  <c r="M181" i="129" s="1"/>
  <c r="R179" i="133"/>
  <c r="Q180" i="129" s="1"/>
  <c r="K178" i="133"/>
  <c r="J179" i="129" s="1"/>
  <c r="K176" i="133"/>
  <c r="J177" i="129" s="1"/>
  <c r="N174" i="133"/>
  <c r="M175" i="129" s="1"/>
  <c r="N171" i="133"/>
  <c r="M172" i="129" s="1"/>
  <c r="V170" i="133"/>
  <c r="U171" i="129" s="1"/>
  <c r="AA160" i="133"/>
  <c r="Z161" i="129" s="1"/>
  <c r="H160" i="133"/>
  <c r="G161" i="129" s="1"/>
  <c r="Z154" i="133"/>
  <c r="Y155" i="129" s="1"/>
  <c r="H154" i="133"/>
  <c r="G155" i="129" s="1"/>
  <c r="Y152" i="133"/>
  <c r="X153" i="129" s="1"/>
  <c r="J152" i="133"/>
  <c r="I153" i="129" s="1"/>
  <c r="H151" i="133"/>
  <c r="G152" i="129" s="1"/>
  <c r="S148" i="133"/>
  <c r="R149" i="129" s="1"/>
  <c r="F148" i="133"/>
  <c r="E149" i="129" s="1"/>
  <c r="O146" i="133"/>
  <c r="N147" i="129" s="1"/>
  <c r="T145" i="133"/>
  <c r="S146" i="129" s="1"/>
  <c r="W142" i="133"/>
  <c r="V143" i="129" s="1"/>
  <c r="T139" i="133"/>
  <c r="S140" i="129" s="1"/>
  <c r="X138" i="133"/>
  <c r="W139" i="129" s="1"/>
  <c r="S137" i="133"/>
  <c r="R138" i="129" s="1"/>
  <c r="E137" i="133"/>
  <c r="D138" i="129" s="1"/>
  <c r="O130" i="133"/>
  <c r="N131" i="129" s="1"/>
  <c r="V128" i="133"/>
  <c r="U129" i="129" s="1"/>
  <c r="G128" i="133"/>
  <c r="F129" i="129" s="1"/>
  <c r="AL128" i="129"/>
  <c r="AJ128" i="129"/>
  <c r="AO128" i="129"/>
  <c r="AP128" i="129"/>
  <c r="AX128" i="129"/>
  <c r="BM128" i="129"/>
  <c r="CL128" i="129"/>
  <c r="AC128" i="129"/>
  <c r="AD128" i="129"/>
  <c r="AF128" i="129"/>
  <c r="BR128" i="129"/>
  <c r="BV128" i="129"/>
  <c r="BW128" i="129"/>
  <c r="BN128" i="129"/>
  <c r="BS128" i="129"/>
  <c r="AI128" i="129"/>
  <c r="CA128" i="129"/>
  <c r="P126" i="133"/>
  <c r="O127" i="129" s="1"/>
  <c r="C126" i="133"/>
  <c r="B127" i="129" s="1"/>
  <c r="O123" i="133"/>
  <c r="N124" i="129" s="1"/>
  <c r="T122" i="133"/>
  <c r="S123" i="129" s="1"/>
  <c r="J120" i="133"/>
  <c r="I121" i="129" s="1"/>
  <c r="Q118" i="133"/>
  <c r="P119" i="129" s="1"/>
  <c r="C118" i="133"/>
  <c r="B119" i="129" s="1"/>
  <c r="R116" i="133"/>
  <c r="Q117" i="129" s="1"/>
  <c r="U113" i="133"/>
  <c r="T114" i="129" s="1"/>
  <c r="V112" i="133"/>
  <c r="U113" i="129" s="1"/>
  <c r="F112" i="133"/>
  <c r="E113" i="129" s="1"/>
  <c r="S111" i="133"/>
  <c r="R112" i="129" s="1"/>
  <c r="E111" i="133"/>
  <c r="D112" i="129" s="1"/>
  <c r="O109" i="133"/>
  <c r="N110" i="129" s="1"/>
  <c r="AA106" i="133"/>
  <c r="Z107" i="129" s="1"/>
  <c r="W104" i="133"/>
  <c r="V105" i="129" s="1"/>
  <c r="AB100" i="133"/>
  <c r="AA101" i="129" s="1"/>
  <c r="E100" i="133"/>
  <c r="D101" i="129" s="1"/>
  <c r="U97" i="133"/>
  <c r="T98" i="129" s="1"/>
  <c r="D97" i="133"/>
  <c r="C98" i="129" s="1"/>
  <c r="Q96" i="133"/>
  <c r="P97" i="129" s="1"/>
  <c r="Z95" i="133"/>
  <c r="Y96" i="129" s="1"/>
  <c r="K95" i="133"/>
  <c r="J96" i="129" s="1"/>
  <c r="X94" i="133"/>
  <c r="W95" i="129" s="1"/>
  <c r="I94" i="133"/>
  <c r="H95" i="129" s="1"/>
  <c r="S93" i="133"/>
  <c r="R94" i="129" s="1"/>
  <c r="AL92" i="129"/>
  <c r="AX92" i="129"/>
  <c r="BM92" i="129"/>
  <c r="BN92" i="129"/>
  <c r="BS92" i="129"/>
  <c r="BV92" i="129"/>
  <c r="BW92" i="129"/>
  <c r="AF92" i="129"/>
  <c r="AJ92" i="129"/>
  <c r="AC92" i="129"/>
  <c r="AI92" i="129"/>
  <c r="I90" i="133"/>
  <c r="H91" i="129" s="1"/>
  <c r="Z86" i="133"/>
  <c r="Y87" i="129" s="1"/>
  <c r="F86" i="133"/>
  <c r="E87" i="129" s="1"/>
  <c r="AB80" i="133"/>
  <c r="AA81" i="129" s="1"/>
  <c r="F80" i="133"/>
  <c r="E81" i="129" s="1"/>
  <c r="L75" i="133"/>
  <c r="K76" i="129" s="1"/>
  <c r="S74" i="133"/>
  <c r="R75" i="129" s="1"/>
  <c r="AN69" i="129"/>
  <c r="BM69" i="129"/>
  <c r="BN69" i="129"/>
  <c r="BR69" i="129"/>
  <c r="BV69" i="129"/>
  <c r="BW69" i="129"/>
  <c r="BX69" i="129"/>
  <c r="AL69" i="129"/>
  <c r="AJ69" i="129"/>
  <c r="AX69" i="129"/>
  <c r="AC69" i="129"/>
  <c r="AI69" i="129"/>
  <c r="AD69" i="129"/>
  <c r="AJ67" i="129"/>
  <c r="AF67" i="129"/>
  <c r="AX67" i="129"/>
  <c r="BR67" i="129"/>
  <c r="BS67" i="129"/>
  <c r="AD67" i="129"/>
  <c r="N65" i="133"/>
  <c r="M66" i="129" s="1"/>
  <c r="AP65" i="129"/>
  <c r="AR65" i="129"/>
  <c r="AX65" i="129"/>
  <c r="BM65" i="129"/>
  <c r="BN65" i="129"/>
  <c r="BR65" i="129"/>
  <c r="AI65" i="129"/>
  <c r="CA65" i="129"/>
  <c r="AJ65" i="129"/>
  <c r="CL65" i="129"/>
  <c r="BS65" i="129"/>
  <c r="BV65" i="129"/>
  <c r="BW65" i="129"/>
  <c r="AD65" i="129"/>
  <c r="AO65" i="129"/>
  <c r="AF65" i="129"/>
  <c r="AC65" i="129"/>
  <c r="K63" i="133"/>
  <c r="J64" i="129" s="1"/>
  <c r="W62" i="133"/>
  <c r="V63" i="129" s="1"/>
  <c r="I62" i="133"/>
  <c r="H63" i="129" s="1"/>
  <c r="AA60" i="133"/>
  <c r="Z61" i="129" s="1"/>
  <c r="C60" i="133"/>
  <c r="B61" i="129" s="1"/>
  <c r="T58" i="133"/>
  <c r="S59" i="129" s="1"/>
  <c r="V57" i="133"/>
  <c r="U58" i="129" s="1"/>
  <c r="W56" i="133"/>
  <c r="V57" i="129" s="1"/>
  <c r="Y55" i="133"/>
  <c r="X56" i="129" s="1"/>
  <c r="K55" i="133"/>
  <c r="J56" i="129" s="1"/>
  <c r="N53" i="133"/>
  <c r="M54" i="129" s="1"/>
  <c r="V51" i="133"/>
  <c r="U52" i="129" s="1"/>
  <c r="G51" i="133"/>
  <c r="F52" i="129" s="1"/>
  <c r="Q50" i="133"/>
  <c r="P51" i="129" s="1"/>
  <c r="Y49" i="133"/>
  <c r="X50" i="129" s="1"/>
  <c r="E49" i="133"/>
  <c r="D50" i="129" s="1"/>
  <c r="W47" i="133"/>
  <c r="V48" i="129" s="1"/>
  <c r="Z45" i="133"/>
  <c r="Y46" i="129" s="1"/>
  <c r="V44" i="133"/>
  <c r="U45" i="129" s="1"/>
  <c r="S42" i="133"/>
  <c r="R43" i="129" s="1"/>
  <c r="D42" i="133"/>
  <c r="C43" i="129" s="1"/>
  <c r="P41" i="133"/>
  <c r="O42" i="129" s="1"/>
  <c r="V40" i="133"/>
  <c r="U41" i="129" s="1"/>
  <c r="D33" i="133"/>
  <c r="C34" i="129" s="1"/>
  <c r="O33" i="133"/>
  <c r="N34" i="129" s="1"/>
  <c r="N30" i="133"/>
  <c r="M31" i="129" s="1"/>
  <c r="N29" i="133"/>
  <c r="M30" i="129" s="1"/>
  <c r="AA25" i="133"/>
  <c r="Z26" i="129" s="1"/>
  <c r="Z24" i="133"/>
  <c r="Y25" i="129" s="1"/>
  <c r="AB21" i="133"/>
  <c r="AA22" i="129" s="1"/>
  <c r="S17" i="133"/>
  <c r="R18" i="129" s="1"/>
  <c r="W16" i="133"/>
  <c r="V17" i="129" s="1"/>
  <c r="W13" i="133"/>
  <c r="V14" i="129" s="1"/>
  <c r="S5" i="133"/>
  <c r="R6" i="129" s="1"/>
  <c r="AP198" i="129"/>
  <c r="T113" i="133"/>
  <c r="S114" i="129" s="1"/>
  <c r="BM112" i="129"/>
  <c r="BV112" i="129"/>
  <c r="BW112" i="129"/>
  <c r="BZ112" i="129"/>
  <c r="AD112" i="129"/>
  <c r="CA112" i="129"/>
  <c r="AI112" i="129"/>
  <c r="CL112" i="129"/>
  <c r="AP112" i="129"/>
  <c r="AR112" i="129"/>
  <c r="AX112" i="129"/>
  <c r="AL112" i="129"/>
  <c r="AN112" i="129"/>
  <c r="AO112" i="129"/>
  <c r="N109" i="133"/>
  <c r="M110" i="129" s="1"/>
  <c r="U106" i="133"/>
  <c r="T107" i="129" s="1"/>
  <c r="AA100" i="133"/>
  <c r="Z101" i="129" s="1"/>
  <c r="C100" i="133"/>
  <c r="B101" i="129" s="1"/>
  <c r="AL98" i="129"/>
  <c r="AN98" i="129"/>
  <c r="AP98" i="129"/>
  <c r="BX98" i="129"/>
  <c r="BZ98" i="129"/>
  <c r="Y95" i="133"/>
  <c r="X96" i="129" s="1"/>
  <c r="J95" i="133"/>
  <c r="I96" i="129" s="1"/>
  <c r="AJ91" i="129"/>
  <c r="AI91" i="129"/>
  <c r="AX91" i="129"/>
  <c r="BM91" i="129"/>
  <c r="BR91" i="129"/>
  <c r="BS91" i="129"/>
  <c r="BV91" i="129"/>
  <c r="AF91" i="129"/>
  <c r="AD91" i="129"/>
  <c r="Y86" i="133"/>
  <c r="X87" i="129" s="1"/>
  <c r="E86" i="133"/>
  <c r="D87" i="129" s="1"/>
  <c r="AA80" i="133"/>
  <c r="Z81" i="129" s="1"/>
  <c r="E80" i="133"/>
  <c r="D81" i="129" s="1"/>
  <c r="K75" i="133"/>
  <c r="J76" i="129" s="1"/>
  <c r="R74" i="133"/>
  <c r="Q75" i="129" s="1"/>
  <c r="AA65" i="133"/>
  <c r="Z66" i="129" s="1"/>
  <c r="M65" i="133"/>
  <c r="L66" i="129" s="1"/>
  <c r="AA63" i="133"/>
  <c r="Z64" i="129" s="1"/>
  <c r="J63" i="133"/>
  <c r="I64" i="129" s="1"/>
  <c r="R58" i="133"/>
  <c r="Q59" i="129" s="1"/>
  <c r="S57" i="133"/>
  <c r="R58" i="129" s="1"/>
  <c r="S56" i="133"/>
  <c r="R57" i="129" s="1"/>
  <c r="W55" i="133"/>
  <c r="V56" i="129" s="1"/>
  <c r="J55" i="133"/>
  <c r="I56" i="129" s="1"/>
  <c r="K53" i="133"/>
  <c r="J54" i="129" s="1"/>
  <c r="T51" i="133"/>
  <c r="S52" i="129" s="1"/>
  <c r="F51" i="133"/>
  <c r="E52" i="129" s="1"/>
  <c r="O50" i="133"/>
  <c r="N51" i="129" s="1"/>
  <c r="S47" i="133"/>
  <c r="R48" i="129" s="1"/>
  <c r="X45" i="133"/>
  <c r="W46" i="129" s="1"/>
  <c r="E44" i="133"/>
  <c r="D45" i="129" s="1"/>
  <c r="R42" i="133"/>
  <c r="Q43" i="129" s="1"/>
  <c r="C42" i="133"/>
  <c r="B43" i="129" s="1"/>
  <c r="N41" i="133"/>
  <c r="M42" i="129" s="1"/>
  <c r="T40" i="133"/>
  <c r="S41" i="129" s="1"/>
  <c r="Y37" i="133"/>
  <c r="X38" i="129" s="1"/>
  <c r="AA33" i="133"/>
  <c r="Z34" i="129" s="1"/>
  <c r="R32" i="133"/>
  <c r="Q33" i="129" s="1"/>
  <c r="L30" i="133"/>
  <c r="K31" i="129" s="1"/>
  <c r="W25" i="133"/>
  <c r="V26" i="129" s="1"/>
  <c r="T24" i="133"/>
  <c r="S25" i="129" s="1"/>
  <c r="Y21" i="133"/>
  <c r="X22" i="129" s="1"/>
  <c r="D20" i="133"/>
  <c r="C21" i="129" s="1"/>
  <c r="G20" i="133"/>
  <c r="F21" i="129" s="1"/>
  <c r="W20" i="133"/>
  <c r="V21" i="129" s="1"/>
  <c r="Q17" i="133"/>
  <c r="P18" i="129" s="1"/>
  <c r="V16" i="133"/>
  <c r="U17" i="129" s="1"/>
  <c r="X14" i="133"/>
  <c r="W15" i="129" s="1"/>
  <c r="S13" i="133"/>
  <c r="R14" i="129" s="1"/>
  <c r="Q5" i="133"/>
  <c r="P6" i="129" s="1"/>
  <c r="I176" i="133"/>
  <c r="H177" i="129" s="1"/>
  <c r="AI173" i="129"/>
  <c r="BV173" i="129"/>
  <c r="AJ173" i="129"/>
  <c r="BW173" i="129"/>
  <c r="AL173" i="129"/>
  <c r="BX173" i="129"/>
  <c r="AN173" i="129"/>
  <c r="BZ173" i="129"/>
  <c r="AO173" i="129"/>
  <c r="CA173" i="129"/>
  <c r="AP173" i="129"/>
  <c r="CL173" i="129"/>
  <c r="AR173" i="129"/>
  <c r="AX173" i="129"/>
  <c r="BM173" i="129"/>
  <c r="AC173" i="129"/>
  <c r="BN173" i="129"/>
  <c r="AD173" i="129"/>
  <c r="BR173" i="129"/>
  <c r="AF173" i="129"/>
  <c r="BS173" i="129"/>
  <c r="L171" i="133"/>
  <c r="K172" i="129" s="1"/>
  <c r="W154" i="133"/>
  <c r="V155" i="129" s="1"/>
  <c r="X95" i="133"/>
  <c r="W96" i="129" s="1"/>
  <c r="I95" i="133"/>
  <c r="H96" i="129" s="1"/>
  <c r="V94" i="133"/>
  <c r="U95" i="129" s="1"/>
  <c r="F94" i="133"/>
  <c r="E95" i="129" s="1"/>
  <c r="N93" i="133"/>
  <c r="M94" i="129" s="1"/>
  <c r="AA90" i="133"/>
  <c r="Z91" i="129" s="1"/>
  <c r="U86" i="133"/>
  <c r="T87" i="129" s="1"/>
  <c r="D86" i="133"/>
  <c r="C87" i="129" s="1"/>
  <c r="AI84" i="129"/>
  <c r="BV84" i="129"/>
  <c r="AJ84" i="129"/>
  <c r="BW84" i="129"/>
  <c r="AL84" i="129"/>
  <c r="BX84" i="129"/>
  <c r="AN84" i="129"/>
  <c r="BZ84" i="129"/>
  <c r="AO84" i="129"/>
  <c r="CA84" i="129"/>
  <c r="AP84" i="129"/>
  <c r="CL84" i="129"/>
  <c r="AR84" i="129"/>
  <c r="AC84" i="129"/>
  <c r="BN84" i="129"/>
  <c r="AF84" i="129"/>
  <c r="BS84" i="129"/>
  <c r="AX84" i="129"/>
  <c r="BR84" i="129"/>
  <c r="AD84" i="129"/>
  <c r="BM84" i="129"/>
  <c r="W80" i="133"/>
  <c r="V81" i="129" s="1"/>
  <c r="D80" i="133"/>
  <c r="C81" i="129" s="1"/>
  <c r="I75" i="133"/>
  <c r="H76" i="129" s="1"/>
  <c r="P74" i="133"/>
  <c r="O75" i="129" s="1"/>
  <c r="Z65" i="133"/>
  <c r="Y66" i="129" s="1"/>
  <c r="L65" i="133"/>
  <c r="K66" i="129" s="1"/>
  <c r="Z63" i="133"/>
  <c r="Y64" i="129" s="1"/>
  <c r="I63" i="133"/>
  <c r="H64" i="129" s="1"/>
  <c r="W60" i="133"/>
  <c r="V61" i="129" s="1"/>
  <c r="AB59" i="133"/>
  <c r="AA60" i="129" s="1"/>
  <c r="P58" i="133"/>
  <c r="O59" i="129" s="1"/>
  <c r="Q57" i="133"/>
  <c r="P58" i="129" s="1"/>
  <c r="Q56" i="133"/>
  <c r="P57" i="129" s="1"/>
  <c r="V55" i="133"/>
  <c r="U56" i="129" s="1"/>
  <c r="H55" i="133"/>
  <c r="G56" i="129" s="1"/>
  <c r="J53" i="133"/>
  <c r="I54" i="129" s="1"/>
  <c r="Q47" i="133"/>
  <c r="P48" i="129" s="1"/>
  <c r="AN45" i="129"/>
  <c r="AD45" i="129"/>
  <c r="BX45" i="129"/>
  <c r="AF45" i="129"/>
  <c r="CA45" i="129"/>
  <c r="AJ45" i="129"/>
  <c r="CL45" i="129"/>
  <c r="AL45" i="129"/>
  <c r="AO45" i="129"/>
  <c r="AP45" i="129"/>
  <c r="AX45" i="129"/>
  <c r="AC45" i="129"/>
  <c r="BM45" i="129"/>
  <c r="BN45" i="129"/>
  <c r="BS45" i="129"/>
  <c r="BR45" i="129"/>
  <c r="BW45" i="129"/>
  <c r="L41" i="133"/>
  <c r="K42" i="129" s="1"/>
  <c r="Q40" i="133"/>
  <c r="P41" i="129" s="1"/>
  <c r="W37" i="133"/>
  <c r="V38" i="129" s="1"/>
  <c r="W33" i="133"/>
  <c r="V34" i="129" s="1"/>
  <c r="P32" i="133"/>
  <c r="O33" i="129" s="1"/>
  <c r="K30" i="133"/>
  <c r="J31" i="129" s="1"/>
  <c r="H29" i="133"/>
  <c r="G30" i="129" s="1"/>
  <c r="S25" i="133"/>
  <c r="R26" i="129" s="1"/>
  <c r="R24" i="133"/>
  <c r="Q25" i="129" s="1"/>
  <c r="S21" i="133"/>
  <c r="R22" i="129" s="1"/>
  <c r="P17" i="133"/>
  <c r="O18" i="129" s="1"/>
  <c r="T16" i="133"/>
  <c r="S17" i="129" s="1"/>
  <c r="W14" i="133"/>
  <c r="V15" i="129" s="1"/>
  <c r="O13" i="133"/>
  <c r="N14" i="129" s="1"/>
  <c r="H187" i="133"/>
  <c r="G188" i="129" s="1"/>
  <c r="AI182" i="129"/>
  <c r="AJ182" i="129"/>
  <c r="AX182" i="129"/>
  <c r="BW182" i="129"/>
  <c r="U176" i="133"/>
  <c r="T177" i="129" s="1"/>
  <c r="Z187" i="133"/>
  <c r="Y188" i="129" s="1"/>
  <c r="J186" i="133"/>
  <c r="I187" i="129" s="1"/>
  <c r="V152" i="133"/>
  <c r="U153" i="129" s="1"/>
  <c r="G152" i="133"/>
  <c r="F153" i="129" s="1"/>
  <c r="M142" i="133"/>
  <c r="L143" i="129" s="1"/>
  <c r="AI138" i="129"/>
  <c r="BM138" i="129"/>
  <c r="BN138" i="129"/>
  <c r="BR138" i="129"/>
  <c r="BS138" i="129"/>
  <c r="AC138" i="129"/>
  <c r="BX138" i="129"/>
  <c r="AL138" i="129"/>
  <c r="AP138" i="129"/>
  <c r="AR138" i="129"/>
  <c r="BZ138" i="129"/>
  <c r="CL138" i="129"/>
  <c r="AF138" i="129"/>
  <c r="AN138" i="129"/>
  <c r="AD138" i="129"/>
  <c r="AX138" i="129"/>
  <c r="AA126" i="133"/>
  <c r="Z127" i="129" s="1"/>
  <c r="N126" i="133"/>
  <c r="M127" i="129" s="1"/>
  <c r="N122" i="133"/>
  <c r="M123" i="129" s="1"/>
  <c r="O118" i="133"/>
  <c r="N119" i="129" s="1"/>
  <c r="AB117" i="133"/>
  <c r="AA118" i="129" s="1"/>
  <c r="Q113" i="133"/>
  <c r="P114" i="129" s="1"/>
  <c r="S112" i="133"/>
  <c r="R113" i="129" s="1"/>
  <c r="D112" i="133"/>
  <c r="C113" i="129" s="1"/>
  <c r="AL111" i="129"/>
  <c r="CA111" i="129"/>
  <c r="AN111" i="129"/>
  <c r="CL111" i="129"/>
  <c r="AO111" i="129"/>
  <c r="AP111" i="129"/>
  <c r="AR111" i="129"/>
  <c r="AX111" i="129"/>
  <c r="AF111" i="129"/>
  <c r="BW111" i="129"/>
  <c r="AI111" i="129"/>
  <c r="BX111" i="129"/>
  <c r="AJ111" i="129"/>
  <c r="BZ111" i="129"/>
  <c r="BS111" i="129"/>
  <c r="BM111" i="129"/>
  <c r="BV111" i="129"/>
  <c r="K109" i="133"/>
  <c r="J110" i="129" s="1"/>
  <c r="P106" i="133"/>
  <c r="O107" i="129" s="1"/>
  <c r="BV105" i="129"/>
  <c r="AD105" i="129"/>
  <c r="AJ105" i="129"/>
  <c r="AL105" i="129"/>
  <c r="BR105" i="129"/>
  <c r="BS105" i="129"/>
  <c r="BX105" i="129"/>
  <c r="BS103" i="129"/>
  <c r="Z100" i="133"/>
  <c r="Y101" i="129" s="1"/>
  <c r="C194" i="133"/>
  <c r="B195" i="129" s="1"/>
  <c r="CL195" i="129" s="1"/>
  <c r="L191" i="133"/>
  <c r="K192" i="129" s="1"/>
  <c r="Q190" i="133"/>
  <c r="P191" i="129" s="1"/>
  <c r="C190" i="133"/>
  <c r="B191" i="129" s="1"/>
  <c r="BV191" i="129" s="1"/>
  <c r="Q187" i="133"/>
  <c r="P188" i="129" s="1"/>
  <c r="BM186" i="129"/>
  <c r="AP186" i="129"/>
  <c r="AR186" i="129"/>
  <c r="AX186" i="129"/>
  <c r="BN186" i="129"/>
  <c r="AC186" i="129"/>
  <c r="BR186" i="129"/>
  <c r="AD186" i="129"/>
  <c r="BS186" i="129"/>
  <c r="AF186" i="129"/>
  <c r="BV186" i="129"/>
  <c r="AI186" i="129"/>
  <c r="BW186" i="129"/>
  <c r="AJ186" i="129"/>
  <c r="BX186" i="129"/>
  <c r="AL186" i="129"/>
  <c r="BZ186" i="129"/>
  <c r="AN186" i="129"/>
  <c r="CA186" i="129"/>
  <c r="AO186" i="129"/>
  <c r="CL186" i="129"/>
  <c r="V181" i="133"/>
  <c r="U182" i="129" s="1"/>
  <c r="G181" i="133"/>
  <c r="F182" i="129" s="1"/>
  <c r="D180" i="133"/>
  <c r="C181" i="129" s="1"/>
  <c r="M179" i="133"/>
  <c r="L180" i="129" s="1"/>
  <c r="Z176" i="133"/>
  <c r="Y177" i="129" s="1"/>
  <c r="H176" i="133"/>
  <c r="G177" i="129" s="1"/>
  <c r="Q175" i="133"/>
  <c r="P176" i="129" s="1"/>
  <c r="Z174" i="133"/>
  <c r="Y175" i="129" s="1"/>
  <c r="K174" i="133"/>
  <c r="J175" i="129" s="1"/>
  <c r="K171" i="133"/>
  <c r="J172" i="129" s="1"/>
  <c r="O170" i="133"/>
  <c r="N171" i="129" s="1"/>
  <c r="V168" i="133"/>
  <c r="U169" i="129" s="1"/>
  <c r="W167" i="133"/>
  <c r="V168" i="129" s="1"/>
  <c r="AA165" i="133"/>
  <c r="Z166" i="129" s="1"/>
  <c r="M165" i="133"/>
  <c r="L166" i="129" s="1"/>
  <c r="V164" i="133"/>
  <c r="U165" i="129" s="1"/>
  <c r="W160" i="133"/>
  <c r="V161" i="129" s="1"/>
  <c r="D160" i="133"/>
  <c r="C161" i="129" s="1"/>
  <c r="N157" i="133"/>
  <c r="M158" i="129" s="1"/>
  <c r="V154" i="133"/>
  <c r="U155" i="129" s="1"/>
  <c r="AA153" i="133"/>
  <c r="Z154" i="129" s="1"/>
  <c r="T152" i="133"/>
  <c r="S153" i="129" s="1"/>
  <c r="F152" i="133"/>
  <c r="E153" i="129" s="1"/>
  <c r="AL150" i="129"/>
  <c r="BN150" i="129"/>
  <c r="BX150" i="129"/>
  <c r="BZ150" i="129"/>
  <c r="P148" i="133"/>
  <c r="O149" i="129" s="1"/>
  <c r="C148" i="133"/>
  <c r="B149" i="129" s="1"/>
  <c r="AR149" i="129" s="1"/>
  <c r="Z146" i="133"/>
  <c r="Y147" i="129" s="1"/>
  <c r="L146" i="133"/>
  <c r="K147" i="129" s="1"/>
  <c r="K145" i="133"/>
  <c r="J146" i="129" s="1"/>
  <c r="L142" i="133"/>
  <c r="K143" i="129" s="1"/>
  <c r="O139" i="133"/>
  <c r="N140" i="129" s="1"/>
  <c r="G138" i="133"/>
  <c r="F139" i="129" s="1"/>
  <c r="F130" i="133"/>
  <c r="E131" i="129" s="1"/>
  <c r="S128" i="133"/>
  <c r="R129" i="129" s="1"/>
  <c r="D128" i="133"/>
  <c r="C129" i="129" s="1"/>
  <c r="Z126" i="133"/>
  <c r="Y127" i="129" s="1"/>
  <c r="M126" i="133"/>
  <c r="L127" i="129" s="1"/>
  <c r="G123" i="133"/>
  <c r="F124" i="129" s="1"/>
  <c r="M122" i="133"/>
  <c r="L123" i="129" s="1"/>
  <c r="AB118" i="133"/>
  <c r="AA119" i="129" s="1"/>
  <c r="N118" i="133"/>
  <c r="M119" i="129" s="1"/>
  <c r="AA117" i="133"/>
  <c r="Z118" i="129" s="1"/>
  <c r="F116" i="133"/>
  <c r="E117" i="129" s="1"/>
  <c r="P113" i="133"/>
  <c r="O114" i="129" s="1"/>
  <c r="R112" i="133"/>
  <c r="Q113" i="129" s="1"/>
  <c r="C112" i="133"/>
  <c r="B113" i="129" s="1"/>
  <c r="AO113" i="129" s="1"/>
  <c r="O111" i="133"/>
  <c r="N112" i="129" s="1"/>
  <c r="H109" i="133"/>
  <c r="G110" i="129" s="1"/>
  <c r="I108" i="133"/>
  <c r="H109" i="129" s="1"/>
  <c r="M106" i="133"/>
  <c r="L107" i="129" s="1"/>
  <c r="U100" i="133"/>
  <c r="T101" i="129" s="1"/>
  <c r="BN100" i="129"/>
  <c r="BZ100" i="129"/>
  <c r="CA100" i="129"/>
  <c r="CL100" i="129"/>
  <c r="AC100" i="129"/>
  <c r="AN100" i="129"/>
  <c r="AR100" i="129"/>
  <c r="BM100" i="129"/>
  <c r="AO100" i="129"/>
  <c r="AP100" i="129"/>
  <c r="AX100" i="129"/>
  <c r="Q97" i="133"/>
  <c r="P98" i="129" s="1"/>
  <c r="AB96" i="133"/>
  <c r="AA97" i="129" s="1"/>
  <c r="K96" i="133"/>
  <c r="J97" i="129" s="1"/>
  <c r="W95" i="133"/>
  <c r="V96" i="129" s="1"/>
  <c r="H95" i="133"/>
  <c r="G96" i="129" s="1"/>
  <c r="U94" i="133"/>
  <c r="T95" i="129" s="1"/>
  <c r="E94" i="133"/>
  <c r="D95" i="129" s="1"/>
  <c r="M93" i="133"/>
  <c r="L94" i="129" s="1"/>
  <c r="V91" i="133"/>
  <c r="U92" i="129" s="1"/>
  <c r="Z90" i="133"/>
  <c r="Y91" i="129" s="1"/>
  <c r="X89" i="133"/>
  <c r="W90" i="129" s="1"/>
  <c r="T86" i="133"/>
  <c r="S87" i="129" s="1"/>
  <c r="C86" i="133"/>
  <c r="B87" i="129" s="1"/>
  <c r="AP83" i="129"/>
  <c r="BR83" i="129"/>
  <c r="AC83" i="129"/>
  <c r="BS83" i="129"/>
  <c r="AD83" i="129"/>
  <c r="BV83" i="129"/>
  <c r="AF83" i="129"/>
  <c r="BW83" i="129"/>
  <c r="AI83" i="129"/>
  <c r="BX83" i="129"/>
  <c r="AJ83" i="129"/>
  <c r="BZ83" i="129"/>
  <c r="AL83" i="129"/>
  <c r="CA83" i="129"/>
  <c r="AX83" i="129"/>
  <c r="BN83" i="129"/>
  <c r="AN83" i="129"/>
  <c r="BM83" i="129"/>
  <c r="AO83" i="129"/>
  <c r="U80" i="133"/>
  <c r="T81" i="129" s="1"/>
  <c r="C80" i="133"/>
  <c r="B81" i="129" s="1"/>
  <c r="BZ81" i="129" s="1"/>
  <c r="P78" i="133"/>
  <c r="O79" i="129" s="1"/>
  <c r="AI78" i="129"/>
  <c r="BN78" i="129"/>
  <c r="BR78" i="129"/>
  <c r="BS78" i="129"/>
  <c r="AF78" i="129"/>
  <c r="AX78" i="129"/>
  <c r="AC78" i="129"/>
  <c r="AR78" i="129"/>
  <c r="AD78" i="129"/>
  <c r="AF77" i="129"/>
  <c r="BN77" i="129"/>
  <c r="BR77" i="129"/>
  <c r="BZ77" i="129"/>
  <c r="CA77" i="129"/>
  <c r="AC77" i="129"/>
  <c r="CL77" i="129"/>
  <c r="AD77" i="129"/>
  <c r="AN77" i="129"/>
  <c r="AR77" i="129"/>
  <c r="BM77" i="129"/>
  <c r="AO77" i="129"/>
  <c r="AP77" i="129"/>
  <c r="AX77" i="129"/>
  <c r="G75" i="133"/>
  <c r="F76" i="129" s="1"/>
  <c r="J74" i="133"/>
  <c r="I75" i="129" s="1"/>
  <c r="Y72" i="133"/>
  <c r="X73" i="129" s="1"/>
  <c r="L72" i="133"/>
  <c r="K73" i="129" s="1"/>
  <c r="P67" i="133"/>
  <c r="O68" i="129" s="1"/>
  <c r="Y65" i="133"/>
  <c r="X66" i="129" s="1"/>
  <c r="K65" i="133"/>
  <c r="J66" i="129" s="1"/>
  <c r="Y63" i="133"/>
  <c r="X64" i="129" s="1"/>
  <c r="H63" i="133"/>
  <c r="G64" i="129" s="1"/>
  <c r="T62" i="133"/>
  <c r="S63" i="129" s="1"/>
  <c r="S60" i="133"/>
  <c r="R61" i="129" s="1"/>
  <c r="Z59" i="133"/>
  <c r="Y60" i="129" s="1"/>
  <c r="M58" i="133"/>
  <c r="L59" i="129" s="1"/>
  <c r="P57" i="133"/>
  <c r="O58" i="129" s="1"/>
  <c r="O56" i="133"/>
  <c r="N57" i="129" s="1"/>
  <c r="U55" i="133"/>
  <c r="T56" i="129" s="1"/>
  <c r="G55" i="133"/>
  <c r="F56" i="129" s="1"/>
  <c r="G53" i="133"/>
  <c r="F54" i="129" s="1"/>
  <c r="Q51" i="133"/>
  <c r="P52" i="129" s="1"/>
  <c r="C51" i="133"/>
  <c r="B52" i="129" s="1"/>
  <c r="M50" i="133"/>
  <c r="L51" i="129" s="1"/>
  <c r="U49" i="133"/>
  <c r="T50" i="129" s="1"/>
  <c r="X48" i="133"/>
  <c r="W49" i="129" s="1"/>
  <c r="P47" i="133"/>
  <c r="O48" i="129" s="1"/>
  <c r="U45" i="133"/>
  <c r="T46" i="129" s="1"/>
  <c r="AB43" i="133"/>
  <c r="AA44" i="129" s="1"/>
  <c r="P42" i="133"/>
  <c r="O43" i="129" s="1"/>
  <c r="AB41" i="133"/>
  <c r="AA42" i="129" s="1"/>
  <c r="K41" i="133"/>
  <c r="J42" i="129" s="1"/>
  <c r="O40" i="133"/>
  <c r="N41" i="129" s="1"/>
  <c r="T37" i="133"/>
  <c r="S38" i="129" s="1"/>
  <c r="T33" i="133"/>
  <c r="S34" i="129" s="1"/>
  <c r="F32" i="133"/>
  <c r="E33" i="129" s="1"/>
  <c r="Q25" i="133"/>
  <c r="P26" i="129" s="1"/>
  <c r="P24" i="133"/>
  <c r="O25" i="129" s="1"/>
  <c r="P21" i="133"/>
  <c r="O22" i="129" s="1"/>
  <c r="Z18" i="133"/>
  <c r="Y19" i="129" s="1"/>
  <c r="O17" i="133"/>
  <c r="N18" i="129" s="1"/>
  <c r="Q16" i="133"/>
  <c r="P17" i="129" s="1"/>
  <c r="T14" i="133"/>
  <c r="S15" i="129" s="1"/>
  <c r="M13" i="133"/>
  <c r="L14" i="129" s="1"/>
  <c r="F5" i="133"/>
  <c r="E6" i="129" s="1"/>
  <c r="T5" i="133"/>
  <c r="S6" i="129" s="1"/>
  <c r="C5" i="133"/>
  <c r="B6" i="129" s="1"/>
  <c r="AN6" i="129" s="1"/>
  <c r="Y5" i="133"/>
  <c r="X6" i="129" s="1"/>
  <c r="E5" i="133"/>
  <c r="D6" i="129" s="1"/>
  <c r="Z5" i="133"/>
  <c r="Y6" i="129" s="1"/>
  <c r="G5" i="133"/>
  <c r="F6" i="129" s="1"/>
  <c r="AA5" i="133"/>
  <c r="Z6" i="129" s="1"/>
  <c r="H5" i="133"/>
  <c r="G6" i="129" s="1"/>
  <c r="K5" i="133"/>
  <c r="J6" i="129" s="1"/>
  <c r="N5" i="133"/>
  <c r="M6" i="129" s="1"/>
  <c r="O5" i="133"/>
  <c r="N6" i="129" s="1"/>
  <c r="AX201" i="129"/>
  <c r="BM187" i="129"/>
  <c r="BV187" i="129"/>
  <c r="BW187" i="129"/>
  <c r="AF187" i="129"/>
  <c r="BX187" i="129"/>
  <c r="AI187" i="129"/>
  <c r="BZ187" i="129"/>
  <c r="AJ187" i="129"/>
  <c r="CA187" i="129"/>
  <c r="AL187" i="129"/>
  <c r="CL187" i="129"/>
  <c r="AN187" i="129"/>
  <c r="AO187" i="129"/>
  <c r="AP187" i="129"/>
  <c r="AR187" i="129"/>
  <c r="AX187" i="129"/>
  <c r="BS187" i="129"/>
  <c r="X181" i="133"/>
  <c r="W182" i="129" s="1"/>
  <c r="H181" i="133"/>
  <c r="G182" i="129" s="1"/>
  <c r="N179" i="133"/>
  <c r="M180" i="129" s="1"/>
  <c r="J179" i="133"/>
  <c r="I180" i="129" s="1"/>
  <c r="Y176" i="133"/>
  <c r="X177" i="129" s="1"/>
  <c r="G176" i="133"/>
  <c r="F177" i="129" s="1"/>
  <c r="Y174" i="133"/>
  <c r="X175" i="129" s="1"/>
  <c r="J174" i="133"/>
  <c r="I175" i="129" s="1"/>
  <c r="AB171" i="133"/>
  <c r="AA172" i="129" s="1"/>
  <c r="H171" i="133"/>
  <c r="G172" i="129" s="1"/>
  <c r="N170" i="133"/>
  <c r="M171" i="129" s="1"/>
  <c r="R164" i="133"/>
  <c r="Q165" i="129" s="1"/>
  <c r="T160" i="133"/>
  <c r="S161" i="129" s="1"/>
  <c r="J142" i="133"/>
  <c r="I143" i="129" s="1"/>
  <c r="AP95" i="129"/>
  <c r="AL95" i="129"/>
  <c r="CA95" i="129"/>
  <c r="AN95" i="129"/>
  <c r="AO95" i="129"/>
  <c r="AX95" i="129"/>
  <c r="BM95" i="129"/>
  <c r="BN95" i="129"/>
  <c r="BR95" i="129"/>
  <c r="AF95" i="129"/>
  <c r="BW95" i="129"/>
  <c r="AJ95" i="129"/>
  <c r="BZ95" i="129"/>
  <c r="AC95" i="129"/>
  <c r="AD95" i="129"/>
  <c r="AI95" i="129"/>
  <c r="BS95" i="129"/>
  <c r="BV95" i="129"/>
  <c r="BX95" i="129"/>
  <c r="L93" i="133"/>
  <c r="K94" i="129" s="1"/>
  <c r="X90" i="133"/>
  <c r="W91" i="129" s="1"/>
  <c r="AA75" i="133"/>
  <c r="Z76" i="129" s="1"/>
  <c r="F75" i="133"/>
  <c r="E76" i="129" s="1"/>
  <c r="I74" i="133"/>
  <c r="H75" i="129" s="1"/>
  <c r="X65" i="133"/>
  <c r="W66" i="129" s="1"/>
  <c r="J65" i="133"/>
  <c r="I66" i="129" s="1"/>
  <c r="W63" i="133"/>
  <c r="V64" i="129" s="1"/>
  <c r="G63" i="133"/>
  <c r="F64" i="129" s="1"/>
  <c r="R60" i="133"/>
  <c r="Q61" i="129" s="1"/>
  <c r="J59" i="133"/>
  <c r="I60" i="129" s="1"/>
  <c r="K58" i="133"/>
  <c r="J59" i="129" s="1"/>
  <c r="O57" i="133"/>
  <c r="N58" i="129" s="1"/>
  <c r="M56" i="133"/>
  <c r="L57" i="129" s="1"/>
  <c r="T55" i="133"/>
  <c r="S56" i="129" s="1"/>
  <c r="F55" i="133"/>
  <c r="E56" i="129" s="1"/>
  <c r="K50" i="133"/>
  <c r="J51" i="129" s="1"/>
  <c r="S49" i="133"/>
  <c r="R50" i="129" s="1"/>
  <c r="W48" i="133"/>
  <c r="V49" i="129" s="1"/>
  <c r="O47" i="133"/>
  <c r="N48" i="129" s="1"/>
  <c r="R45" i="133"/>
  <c r="Q46" i="129" s="1"/>
  <c r="Y41" i="133"/>
  <c r="X42" i="129" s="1"/>
  <c r="I41" i="133"/>
  <c r="H42" i="129" s="1"/>
  <c r="M40" i="133"/>
  <c r="L41" i="129" s="1"/>
  <c r="D30" i="133"/>
  <c r="C31" i="129" s="1"/>
  <c r="E30" i="133"/>
  <c r="D31" i="129" s="1"/>
  <c r="E29" i="133"/>
  <c r="D30" i="129" s="1"/>
  <c r="D29" i="133"/>
  <c r="C30" i="129" s="1"/>
  <c r="O25" i="133"/>
  <c r="N26" i="129" s="1"/>
  <c r="N24" i="133"/>
  <c r="M25" i="129" s="1"/>
  <c r="AB22" i="133"/>
  <c r="AA23" i="129" s="1"/>
  <c r="N21" i="133"/>
  <c r="M22" i="129" s="1"/>
  <c r="W18" i="133"/>
  <c r="V19" i="129" s="1"/>
  <c r="N17" i="133"/>
  <c r="M18" i="129" s="1"/>
  <c r="N16" i="133"/>
  <c r="M17" i="129" s="1"/>
  <c r="P14" i="133"/>
  <c r="O15" i="129" s="1"/>
  <c r="K13" i="133"/>
  <c r="J14" i="129" s="1"/>
  <c r="X118" i="133"/>
  <c r="W119" i="129" s="1"/>
  <c r="J118" i="133"/>
  <c r="I119" i="129" s="1"/>
  <c r="W152" i="133"/>
  <c r="V153" i="129" s="1"/>
  <c r="H152" i="133"/>
  <c r="G153" i="129" s="1"/>
  <c r="S142" i="133"/>
  <c r="R143" i="129" s="1"/>
  <c r="AB126" i="133"/>
  <c r="AA127" i="129" s="1"/>
  <c r="P190" i="133"/>
  <c r="O191" i="129" s="1"/>
  <c r="T181" i="133"/>
  <c r="S182" i="129" s="1"/>
  <c r="F181" i="133"/>
  <c r="E182" i="129" s="1"/>
  <c r="Y146" i="133"/>
  <c r="X147" i="129" s="1"/>
  <c r="K146" i="133"/>
  <c r="J147" i="129" s="1"/>
  <c r="M111" i="133"/>
  <c r="L112" i="129" s="1"/>
  <c r="AA109" i="133"/>
  <c r="Z110" i="129" s="1"/>
  <c r="G109" i="133"/>
  <c r="F110" i="129" s="1"/>
  <c r="J106" i="133"/>
  <c r="I107" i="129" s="1"/>
  <c r="T100" i="133"/>
  <c r="S101" i="129" s="1"/>
  <c r="AB98" i="133"/>
  <c r="AA99" i="129" s="1"/>
  <c r="T94" i="133"/>
  <c r="S95" i="129" s="1"/>
  <c r="K187" i="133"/>
  <c r="J188" i="129" s="1"/>
  <c r="S181" i="133"/>
  <c r="R182" i="129" s="1"/>
  <c r="E181" i="133"/>
  <c r="D182" i="129" s="1"/>
  <c r="AB179" i="133"/>
  <c r="AA180" i="129" s="1"/>
  <c r="I179" i="133"/>
  <c r="H180" i="129" s="1"/>
  <c r="W176" i="133"/>
  <c r="V177" i="129" s="1"/>
  <c r="D176" i="133"/>
  <c r="C177" i="129" s="1"/>
  <c r="X174" i="133"/>
  <c r="W175" i="129" s="1"/>
  <c r="I174" i="133"/>
  <c r="H175" i="129" s="1"/>
  <c r="S172" i="133"/>
  <c r="R173" i="129" s="1"/>
  <c r="Z171" i="133"/>
  <c r="Y172" i="129" s="1"/>
  <c r="G171" i="133"/>
  <c r="F172" i="129" s="1"/>
  <c r="M170" i="133"/>
  <c r="L171" i="129" s="1"/>
  <c r="P168" i="133"/>
  <c r="O169" i="129" s="1"/>
  <c r="Q167" i="133"/>
  <c r="P168" i="129" s="1"/>
  <c r="Y165" i="133"/>
  <c r="X166" i="129" s="1"/>
  <c r="J165" i="133"/>
  <c r="I166" i="129" s="1"/>
  <c r="P164" i="133"/>
  <c r="O165" i="129" s="1"/>
  <c r="S160" i="133"/>
  <c r="R161" i="129" s="1"/>
  <c r="Q154" i="133"/>
  <c r="P155" i="129" s="1"/>
  <c r="P153" i="133"/>
  <c r="O154" i="129" s="1"/>
  <c r="R152" i="133"/>
  <c r="Q153" i="129" s="1"/>
  <c r="D152" i="133"/>
  <c r="C153" i="129" s="1"/>
  <c r="AA148" i="133"/>
  <c r="Z149" i="129" s="1"/>
  <c r="N148" i="133"/>
  <c r="M149" i="129" s="1"/>
  <c r="X146" i="133"/>
  <c r="W147" i="129" s="1"/>
  <c r="J146" i="133"/>
  <c r="I147" i="129" s="1"/>
  <c r="I122" i="133"/>
  <c r="H123" i="129" s="1"/>
  <c r="Z118" i="133"/>
  <c r="Y119" i="129" s="1"/>
  <c r="H113" i="133"/>
  <c r="G114" i="129" s="1"/>
  <c r="P112" i="133"/>
  <c r="O113" i="129" s="1"/>
  <c r="Z111" i="133"/>
  <c r="Y112" i="129" s="1"/>
  <c r="Z109" i="133"/>
  <c r="Y110" i="129" s="1"/>
  <c r="I106" i="133"/>
  <c r="H107" i="129" s="1"/>
  <c r="AA101" i="133"/>
  <c r="Z102" i="129" s="1"/>
  <c r="S100" i="133"/>
  <c r="R101" i="129" s="1"/>
  <c r="AA98" i="133"/>
  <c r="Z99" i="129" s="1"/>
  <c r="O97" i="133"/>
  <c r="N98" i="129" s="1"/>
  <c r="X96" i="133"/>
  <c r="W97" i="129" s="1"/>
  <c r="I96" i="133"/>
  <c r="H97" i="129" s="1"/>
  <c r="U95" i="133"/>
  <c r="T96" i="129" s="1"/>
  <c r="F95" i="133"/>
  <c r="E96" i="129" s="1"/>
  <c r="R94" i="133"/>
  <c r="Q95" i="129" s="1"/>
  <c r="AB93" i="133"/>
  <c r="AA94" i="129" s="1"/>
  <c r="K93" i="133"/>
  <c r="J94" i="129" s="1"/>
  <c r="O91" i="133"/>
  <c r="N92" i="129" s="1"/>
  <c r="W90" i="133"/>
  <c r="V91" i="129" s="1"/>
  <c r="AB85" i="133"/>
  <c r="AA86" i="129" s="1"/>
  <c r="S81" i="133"/>
  <c r="R82" i="129" s="1"/>
  <c r="AA79" i="133"/>
  <c r="Z80" i="129" s="1"/>
  <c r="Y75" i="133"/>
  <c r="X76" i="129" s="1"/>
  <c r="E75" i="133"/>
  <c r="D76" i="129" s="1"/>
  <c r="H74" i="133"/>
  <c r="G75" i="129" s="1"/>
  <c r="W72" i="133"/>
  <c r="V73" i="129" s="1"/>
  <c r="AO70" i="129"/>
  <c r="BN70" i="129"/>
  <c r="BR70" i="129"/>
  <c r="AC70" i="129"/>
  <c r="BS70" i="129"/>
  <c r="AD70" i="129"/>
  <c r="BV70" i="129"/>
  <c r="AF70" i="129"/>
  <c r="BW70" i="129"/>
  <c r="AI70" i="129"/>
  <c r="BX70" i="129"/>
  <c r="AJ70" i="129"/>
  <c r="BZ70" i="129"/>
  <c r="AR70" i="129"/>
  <c r="BM70" i="129"/>
  <c r="AL70" i="129"/>
  <c r="AN70" i="129"/>
  <c r="AX70" i="129"/>
  <c r="W65" i="133"/>
  <c r="V66" i="129" s="1"/>
  <c r="I65" i="133"/>
  <c r="H66" i="129" s="1"/>
  <c r="V63" i="133"/>
  <c r="U64" i="129" s="1"/>
  <c r="F63" i="133"/>
  <c r="E64" i="129" s="1"/>
  <c r="P60" i="133"/>
  <c r="O61" i="129" s="1"/>
  <c r="I59" i="133"/>
  <c r="H60" i="129" s="1"/>
  <c r="H58" i="133"/>
  <c r="G59" i="129" s="1"/>
  <c r="L57" i="133"/>
  <c r="K58" i="129" s="1"/>
  <c r="L56" i="133"/>
  <c r="K57" i="129" s="1"/>
  <c r="S55" i="133"/>
  <c r="R56" i="129" s="1"/>
  <c r="E55" i="133"/>
  <c r="D56" i="129" s="1"/>
  <c r="O51" i="133"/>
  <c r="N52" i="129" s="1"/>
  <c r="AB50" i="133"/>
  <c r="AA51" i="129" s="1"/>
  <c r="I50" i="133"/>
  <c r="H51" i="129" s="1"/>
  <c r="V48" i="133"/>
  <c r="U49" i="129" s="1"/>
  <c r="N47" i="133"/>
  <c r="M48" i="129" s="1"/>
  <c r="N45" i="133"/>
  <c r="M46" i="129" s="1"/>
  <c r="X41" i="133"/>
  <c r="W42" i="129" s="1"/>
  <c r="G40" i="133"/>
  <c r="F41" i="129" s="1"/>
  <c r="Q37" i="133"/>
  <c r="P38" i="129" s="1"/>
  <c r="Q33" i="133"/>
  <c r="P34" i="129" s="1"/>
  <c r="M31" i="133"/>
  <c r="L32" i="129" s="1"/>
  <c r="AB29" i="133"/>
  <c r="AA30" i="129" s="1"/>
  <c r="J28" i="133"/>
  <c r="I29" i="129" s="1"/>
  <c r="N25" i="133"/>
  <c r="M26" i="129" s="1"/>
  <c r="J24" i="133"/>
  <c r="I25" i="129" s="1"/>
  <c r="Y22" i="133"/>
  <c r="X23" i="129" s="1"/>
  <c r="H21" i="133"/>
  <c r="G22" i="129" s="1"/>
  <c r="T18" i="133"/>
  <c r="S19" i="129" s="1"/>
  <c r="K17" i="133"/>
  <c r="J18" i="129" s="1"/>
  <c r="K16" i="133"/>
  <c r="J17" i="129" s="1"/>
  <c r="L14" i="133"/>
  <c r="K15" i="129" s="1"/>
  <c r="E13" i="133"/>
  <c r="D14" i="129" s="1"/>
  <c r="V4" i="133"/>
  <c r="U5" i="129" s="1"/>
  <c r="AB2" i="133"/>
  <c r="AA3" i="129" s="1"/>
  <c r="W9" i="133"/>
  <c r="V10" i="129" s="1"/>
  <c r="W6" i="133"/>
  <c r="V7" i="129" s="1"/>
  <c r="T4" i="133"/>
  <c r="S5" i="129" s="1"/>
  <c r="Z2" i="133"/>
  <c r="Y3" i="129" s="1"/>
  <c r="O9" i="133"/>
  <c r="N10" i="129" s="1"/>
  <c r="N6" i="133"/>
  <c r="M7" i="129" s="1"/>
  <c r="P4" i="133"/>
  <c r="O5" i="129" s="1"/>
  <c r="V2" i="133"/>
  <c r="U3" i="129" s="1"/>
  <c r="N4" i="133"/>
  <c r="M5" i="129" s="1"/>
  <c r="Q2" i="133"/>
  <c r="P3" i="129" s="1"/>
  <c r="BS3" i="129" s="1"/>
  <c r="W12" i="133"/>
  <c r="V13" i="129" s="1"/>
  <c r="C9" i="133"/>
  <c r="B10" i="129" s="1"/>
  <c r="AR10" i="129" s="1"/>
  <c r="K4" i="133"/>
  <c r="J5" i="129" s="1"/>
  <c r="P2" i="133"/>
  <c r="O3" i="129" s="1"/>
  <c r="BV3" i="129" s="1"/>
  <c r="J4" i="133"/>
  <c r="I5" i="129" s="1"/>
  <c r="N2" i="133"/>
  <c r="M3" i="129" s="1"/>
  <c r="H4" i="133"/>
  <c r="G5" i="129" s="1"/>
  <c r="J2" i="133"/>
  <c r="I3" i="129" s="1"/>
  <c r="AD3" i="129" s="1"/>
  <c r="K12" i="133"/>
  <c r="J13" i="129" s="1"/>
  <c r="Q7" i="133"/>
  <c r="P8" i="129" s="1"/>
  <c r="AB4" i="133"/>
  <c r="AA5" i="129" s="1"/>
  <c r="D4" i="133"/>
  <c r="C5" i="129" s="1"/>
  <c r="BW201" i="129"/>
  <c r="BN201" i="129"/>
  <c r="AC201" i="129"/>
  <c r="BN189" i="129"/>
  <c r="AC189" i="129"/>
  <c r="BZ183" i="129"/>
  <c r="AN183" i="129"/>
  <c r="BX182" i="129"/>
  <c r="AL182" i="129"/>
  <c r="BZ171" i="129"/>
  <c r="AN171" i="129"/>
  <c r="BN165" i="129"/>
  <c r="AC165" i="129"/>
  <c r="AC135" i="129"/>
  <c r="BN135" i="129"/>
  <c r="AD135" i="129"/>
  <c r="BR135" i="129"/>
  <c r="AF135" i="129"/>
  <c r="BS135" i="129"/>
  <c r="AI135" i="129"/>
  <c r="BV135" i="129"/>
  <c r="AJ135" i="129"/>
  <c r="BW135" i="129"/>
  <c r="AL135" i="129"/>
  <c r="BX135" i="129"/>
  <c r="AN135" i="129"/>
  <c r="BZ135" i="129"/>
  <c r="AO135" i="129"/>
  <c r="CA135" i="129"/>
  <c r="AP135" i="129"/>
  <c r="CL135" i="129"/>
  <c r="BM135" i="129"/>
  <c r="AR201" i="129"/>
  <c r="AR189" i="129"/>
  <c r="BV183" i="129"/>
  <c r="AI183" i="129"/>
  <c r="BS182" i="129"/>
  <c r="AF182" i="129"/>
  <c r="BV171" i="129"/>
  <c r="AI171" i="129"/>
  <c r="AR165" i="129"/>
  <c r="AP164" i="129"/>
  <c r="AJ103" i="129"/>
  <c r="BX103" i="129"/>
  <c r="AD103" i="129"/>
  <c r="AI103" i="129"/>
  <c r="AR103" i="129"/>
  <c r="BN103" i="129"/>
  <c r="CL201" i="129"/>
  <c r="AP201" i="129"/>
  <c r="CL189" i="129"/>
  <c r="AP189" i="129"/>
  <c r="BS183" i="129"/>
  <c r="AF183" i="129"/>
  <c r="BR182" i="129"/>
  <c r="AD182" i="129"/>
  <c r="AP177" i="129"/>
  <c r="BZ175" i="129"/>
  <c r="AN175" i="129"/>
  <c r="BS171" i="129"/>
  <c r="AF171" i="129"/>
  <c r="CL165" i="129"/>
  <c r="AP165" i="129"/>
  <c r="AF161" i="129"/>
  <c r="BS161" i="129"/>
  <c r="AI161" i="129"/>
  <c r="BV161" i="129"/>
  <c r="AN161" i="129"/>
  <c r="BZ161" i="129"/>
  <c r="AD88" i="129"/>
  <c r="BR88" i="129"/>
  <c r="AF88" i="129"/>
  <c r="BS88" i="129"/>
  <c r="AI88" i="129"/>
  <c r="BV88" i="129"/>
  <c r="AJ88" i="129"/>
  <c r="BW88" i="129"/>
  <c r="AL88" i="129"/>
  <c r="BX88" i="129"/>
  <c r="AN88" i="129"/>
  <c r="BZ88" i="129"/>
  <c r="AO88" i="129"/>
  <c r="CA88" i="129"/>
  <c r="AP88" i="129"/>
  <c r="CL88" i="129"/>
  <c r="AR88" i="129"/>
  <c r="AC88" i="129"/>
  <c r="AX88" i="129"/>
  <c r="BM88" i="129"/>
  <c r="BN88" i="129"/>
  <c r="CA201" i="129"/>
  <c r="AO201" i="129"/>
  <c r="CA189" i="129"/>
  <c r="AO189" i="129"/>
  <c r="BR183" i="129"/>
  <c r="AD183" i="129"/>
  <c r="BN182" i="129"/>
  <c r="AC182" i="129"/>
  <c r="CA177" i="129"/>
  <c r="AO177" i="129"/>
  <c r="BX175" i="129"/>
  <c r="AL175" i="129"/>
  <c r="BR171" i="129"/>
  <c r="AD171" i="129"/>
  <c r="AP166" i="129"/>
  <c r="CA165" i="129"/>
  <c r="AO165" i="129"/>
  <c r="BN161" i="129"/>
  <c r="BM136" i="129"/>
  <c r="BZ201" i="129"/>
  <c r="AN201" i="129"/>
  <c r="BZ189" i="129"/>
  <c r="AN189" i="129"/>
  <c r="BN183" i="129"/>
  <c r="AC183" i="129"/>
  <c r="BM182" i="129"/>
  <c r="BW175" i="129"/>
  <c r="AJ175" i="129"/>
  <c r="BN171" i="129"/>
  <c r="AC171" i="129"/>
  <c r="BZ165" i="129"/>
  <c r="AN165" i="129"/>
  <c r="BM161" i="129"/>
  <c r="AO154" i="129"/>
  <c r="CA154" i="129"/>
  <c r="AP154" i="129"/>
  <c r="CL154" i="129"/>
  <c r="BM154" i="129"/>
  <c r="AC154" i="129"/>
  <c r="BN154" i="129"/>
  <c r="AD154" i="129"/>
  <c r="BR154" i="129"/>
  <c r="AF154" i="129"/>
  <c r="BS154" i="129"/>
  <c r="AI154" i="129"/>
  <c r="BV154" i="129"/>
  <c r="AN154" i="129"/>
  <c r="BZ154" i="129"/>
  <c r="AL201" i="129"/>
  <c r="BX189" i="129"/>
  <c r="AL189" i="129"/>
  <c r="BX177" i="129"/>
  <c r="BX165" i="129"/>
  <c r="AL165" i="129"/>
  <c r="AC147" i="129"/>
  <c r="BN147" i="129"/>
  <c r="AD147" i="129"/>
  <c r="BR147" i="129"/>
  <c r="AF147" i="129"/>
  <c r="BS147" i="129"/>
  <c r="AI147" i="129"/>
  <c r="BV147" i="129"/>
  <c r="AJ147" i="129"/>
  <c r="BW147" i="129"/>
  <c r="AL147" i="129"/>
  <c r="BX147" i="129"/>
  <c r="AN147" i="129"/>
  <c r="BZ147" i="129"/>
  <c r="AO147" i="129"/>
  <c r="CA147" i="129"/>
  <c r="AP147" i="129"/>
  <c r="CL147" i="129"/>
  <c r="BM147" i="129"/>
  <c r="AJ189" i="129"/>
  <c r="BW165" i="129"/>
  <c r="AJ165" i="129"/>
  <c r="AD136" i="129"/>
  <c r="BR136" i="129"/>
  <c r="AF136" i="129"/>
  <c r="BS136" i="129"/>
  <c r="AI136" i="129"/>
  <c r="BV136" i="129"/>
  <c r="AJ136" i="129"/>
  <c r="BW136" i="129"/>
  <c r="AL136" i="129"/>
  <c r="BX136" i="129"/>
  <c r="AN136" i="129"/>
  <c r="BZ136" i="129"/>
  <c r="AO136" i="129"/>
  <c r="CA136" i="129"/>
  <c r="AP136" i="129"/>
  <c r="CL136" i="129"/>
  <c r="AR136" i="129"/>
  <c r="AC136" i="129"/>
  <c r="BN136" i="129"/>
  <c r="BX201" i="129"/>
  <c r="BV201" i="129"/>
  <c r="AI201" i="129"/>
  <c r="BR199" i="129"/>
  <c r="AD199" i="129"/>
  <c r="BZ192" i="129"/>
  <c r="AL191" i="129"/>
  <c r="BV189" i="129"/>
  <c r="AI189" i="129"/>
  <c r="BR187" i="129"/>
  <c r="AD187" i="129"/>
  <c r="AR183" i="129"/>
  <c r="CL182" i="129"/>
  <c r="AP182" i="129"/>
  <c r="BR175" i="129"/>
  <c r="AD175" i="129"/>
  <c r="AR171" i="129"/>
  <c r="BV165" i="129"/>
  <c r="AI165" i="129"/>
  <c r="AP161" i="129"/>
  <c r="CA148" i="129"/>
  <c r="AX135" i="129"/>
  <c r="BS201" i="129"/>
  <c r="AF201" i="129"/>
  <c r="BN199" i="129"/>
  <c r="AC199" i="129"/>
  <c r="BX192" i="129"/>
  <c r="AJ191" i="129"/>
  <c r="BS189" i="129"/>
  <c r="AF189" i="129"/>
  <c r="BN187" i="129"/>
  <c r="AC187" i="129"/>
  <c r="CL183" i="129"/>
  <c r="AP183" i="129"/>
  <c r="CA182" i="129"/>
  <c r="AO182" i="129"/>
  <c r="BN175" i="129"/>
  <c r="AC175" i="129"/>
  <c r="CL171" i="129"/>
  <c r="AP171" i="129"/>
  <c r="BS165" i="129"/>
  <c r="AF165" i="129"/>
  <c r="AO161" i="129"/>
  <c r="AX147" i="129"/>
  <c r="AR135" i="129"/>
  <c r="AJ201" i="129"/>
  <c r="BW189" i="129"/>
  <c r="AR182" i="129"/>
  <c r="BR201" i="129"/>
  <c r="CA195" i="129"/>
  <c r="BR189" i="129"/>
  <c r="CA183" i="129"/>
  <c r="BZ182" i="129"/>
  <c r="CA171" i="129"/>
  <c r="BX169" i="129"/>
  <c r="BS166" i="129"/>
  <c r="BR165" i="129"/>
  <c r="AL161" i="129"/>
  <c r="BX154" i="129"/>
  <c r="AR147" i="129"/>
  <c r="AD124" i="129"/>
  <c r="BR124" i="129"/>
  <c r="AF124" i="129"/>
  <c r="BS124" i="129"/>
  <c r="AI124" i="129"/>
  <c r="BV124" i="129"/>
  <c r="AJ124" i="129"/>
  <c r="BW124" i="129"/>
  <c r="AL124" i="129"/>
  <c r="BX124" i="129"/>
  <c r="AN124" i="129"/>
  <c r="BZ124" i="129"/>
  <c r="AO124" i="129"/>
  <c r="CA124" i="129"/>
  <c r="AP124" i="129"/>
  <c r="CL124" i="129"/>
  <c r="AR124" i="129"/>
  <c r="AC124" i="129"/>
  <c r="BN124" i="129"/>
  <c r="CA143" i="129"/>
  <c r="AO143" i="129"/>
  <c r="BZ142" i="129"/>
  <c r="AN142" i="129"/>
  <c r="CA131" i="129"/>
  <c r="AO131" i="129"/>
  <c r="BV127" i="129"/>
  <c r="AI127" i="129"/>
  <c r="BR125" i="129"/>
  <c r="AD125" i="129"/>
  <c r="CA119" i="129"/>
  <c r="AO119" i="129"/>
  <c r="BV115" i="129"/>
  <c r="AI115" i="129"/>
  <c r="AF112" i="129"/>
  <c r="BS112" i="129"/>
  <c r="AX105" i="129"/>
  <c r="BW143" i="129"/>
  <c r="AJ143" i="129"/>
  <c r="BV142" i="129"/>
  <c r="AI142" i="129"/>
  <c r="BW131" i="129"/>
  <c r="AJ131" i="129"/>
  <c r="AI105" i="129"/>
  <c r="BV143" i="129"/>
  <c r="AI143" i="129"/>
  <c r="BS142" i="129"/>
  <c r="AF142" i="129"/>
  <c r="BV131" i="129"/>
  <c r="AI131" i="129"/>
  <c r="BM127" i="129"/>
  <c r="AR125" i="129"/>
  <c r="BV119" i="129"/>
  <c r="AI119" i="129"/>
  <c r="BM115" i="129"/>
  <c r="AF105" i="129"/>
  <c r="BM98" i="129"/>
  <c r="AC98" i="129"/>
  <c r="BN98" i="129"/>
  <c r="AD98" i="129"/>
  <c r="BR98" i="129"/>
  <c r="AF98" i="129"/>
  <c r="BS98" i="129"/>
  <c r="AI98" i="129"/>
  <c r="BV98" i="129"/>
  <c r="AJ98" i="129"/>
  <c r="BW98" i="129"/>
  <c r="AO98" i="129"/>
  <c r="CA98" i="129"/>
  <c r="AP149" i="129"/>
  <c r="BS143" i="129"/>
  <c r="AF143" i="129"/>
  <c r="BR142" i="129"/>
  <c r="AD142" i="129"/>
  <c r="AC87" i="129"/>
  <c r="BN87" i="129"/>
  <c r="AD87" i="129"/>
  <c r="BR87" i="129"/>
  <c r="AF87" i="129"/>
  <c r="BS87" i="129"/>
  <c r="AI87" i="129"/>
  <c r="BV87" i="129"/>
  <c r="AJ87" i="129"/>
  <c r="BW87" i="129"/>
  <c r="AL87" i="129"/>
  <c r="BX87" i="129"/>
  <c r="AN87" i="129"/>
  <c r="BZ87" i="129"/>
  <c r="AO87" i="129"/>
  <c r="CA87" i="129"/>
  <c r="AP87" i="129"/>
  <c r="CL87" i="129"/>
  <c r="BM87" i="129"/>
  <c r="CL150" i="129"/>
  <c r="CA149" i="129"/>
  <c r="BR143" i="129"/>
  <c r="AD143" i="129"/>
  <c r="BN142" i="129"/>
  <c r="AC142" i="129"/>
  <c r="BR131" i="129"/>
  <c r="AD131" i="129"/>
  <c r="AR127" i="129"/>
  <c r="CA125" i="129"/>
  <c r="AO125" i="129"/>
  <c r="BR119" i="129"/>
  <c r="AD119" i="129"/>
  <c r="AR115" i="129"/>
  <c r="CA113" i="129"/>
  <c r="BW105" i="129"/>
  <c r="AC105" i="129"/>
  <c r="AF101" i="129"/>
  <c r="BS101" i="129"/>
  <c r="AI101" i="129"/>
  <c r="BV101" i="129"/>
  <c r="AJ101" i="129"/>
  <c r="BW101" i="129"/>
  <c r="AL101" i="129"/>
  <c r="BX101" i="129"/>
  <c r="AN101" i="129"/>
  <c r="BZ101" i="129"/>
  <c r="AD76" i="129"/>
  <c r="BR76" i="129"/>
  <c r="AF76" i="129"/>
  <c r="BS76" i="129"/>
  <c r="AI76" i="129"/>
  <c r="BV76" i="129"/>
  <c r="AJ76" i="129"/>
  <c r="BW76" i="129"/>
  <c r="AL76" i="129"/>
  <c r="BX76" i="129"/>
  <c r="AN76" i="129"/>
  <c r="BZ76" i="129"/>
  <c r="AO76" i="129"/>
  <c r="CA76" i="129"/>
  <c r="AP76" i="129"/>
  <c r="CL76" i="129"/>
  <c r="AR76" i="129"/>
  <c r="AC76" i="129"/>
  <c r="BN76" i="129"/>
  <c r="CA150" i="129"/>
  <c r="BZ149" i="129"/>
  <c r="BN143" i="129"/>
  <c r="AC143" i="129"/>
  <c r="BM142" i="129"/>
  <c r="AR140" i="129"/>
  <c r="CA138" i="129"/>
  <c r="AO138" i="129"/>
  <c r="BS133" i="129"/>
  <c r="BN131" i="129"/>
  <c r="AC131" i="129"/>
  <c r="AR128" i="129"/>
  <c r="CL127" i="129"/>
  <c r="AP127" i="129"/>
  <c r="BZ125" i="129"/>
  <c r="AN125" i="129"/>
  <c r="BV122" i="129"/>
  <c r="AI122" i="129"/>
  <c r="BS121" i="129"/>
  <c r="BN119" i="129"/>
  <c r="AC119" i="129"/>
  <c r="CL115" i="129"/>
  <c r="AP115" i="129"/>
  <c r="CA114" i="129"/>
  <c r="AO114" i="129"/>
  <c r="BX112" i="129"/>
  <c r="AJ112" i="129"/>
  <c r="AC111" i="129"/>
  <c r="BN111" i="129"/>
  <c r="AD111" i="129"/>
  <c r="BR111" i="129"/>
  <c r="CA101" i="129"/>
  <c r="AD100" i="129"/>
  <c r="BR100" i="129"/>
  <c r="AF100" i="129"/>
  <c r="BS100" i="129"/>
  <c r="AI100" i="129"/>
  <c r="BV100" i="129"/>
  <c r="AJ100" i="129"/>
  <c r="BW100" i="129"/>
  <c r="AL100" i="129"/>
  <c r="BX100" i="129"/>
  <c r="CL98" i="129"/>
  <c r="BM131" i="129"/>
  <c r="AN105" i="129"/>
  <c r="BZ105" i="129"/>
  <c r="AO105" i="129"/>
  <c r="CA105" i="129"/>
  <c r="AP105" i="129"/>
  <c r="CL105" i="129"/>
  <c r="AR105" i="129"/>
  <c r="AR143" i="129"/>
  <c r="CL142" i="129"/>
  <c r="AP142" i="129"/>
  <c r="BZ140" i="129"/>
  <c r="AN140" i="129"/>
  <c r="BW138" i="129"/>
  <c r="AJ138" i="129"/>
  <c r="AR131" i="129"/>
  <c r="BZ128" i="129"/>
  <c r="AN128" i="129"/>
  <c r="BX127" i="129"/>
  <c r="AL127" i="129"/>
  <c r="BV125" i="129"/>
  <c r="AI125" i="129"/>
  <c r="BN122" i="129"/>
  <c r="AC122" i="129"/>
  <c r="AR119" i="129"/>
  <c r="BX115" i="129"/>
  <c r="AL115" i="129"/>
  <c r="BW114" i="129"/>
  <c r="AJ114" i="129"/>
  <c r="BR112" i="129"/>
  <c r="AC112" i="129"/>
  <c r="BN105" i="129"/>
  <c r="BM101" i="129"/>
  <c r="AX98" i="129"/>
  <c r="AC75" i="129"/>
  <c r="BN75" i="129"/>
  <c r="AD75" i="129"/>
  <c r="BR75" i="129"/>
  <c r="AF75" i="129"/>
  <c r="BS75" i="129"/>
  <c r="AI75" i="129"/>
  <c r="BV75" i="129"/>
  <c r="AJ75" i="129"/>
  <c r="BW75" i="129"/>
  <c r="AL75" i="129"/>
  <c r="BX75" i="129"/>
  <c r="AN75" i="129"/>
  <c r="BZ75" i="129"/>
  <c r="AO75" i="129"/>
  <c r="CA75" i="129"/>
  <c r="AP75" i="129"/>
  <c r="CL75" i="129"/>
  <c r="BM75" i="129"/>
  <c r="BV150" i="129"/>
  <c r="CL143" i="129"/>
  <c r="CA142" i="129"/>
  <c r="BX140" i="129"/>
  <c r="BV138" i="129"/>
  <c r="CL131" i="129"/>
  <c r="BX128" i="129"/>
  <c r="BW127" i="129"/>
  <c r="BS125" i="129"/>
  <c r="CL119" i="129"/>
  <c r="BW115" i="129"/>
  <c r="BV114" i="129"/>
  <c r="BN112" i="129"/>
  <c r="BM105" i="129"/>
  <c r="AL104" i="129"/>
  <c r="BX104" i="129"/>
  <c r="AN104" i="129"/>
  <c r="BZ104" i="129"/>
  <c r="AO104" i="129"/>
  <c r="CA104" i="129"/>
  <c r="AP104" i="129"/>
  <c r="CL104" i="129"/>
  <c r="AX101" i="129"/>
  <c r="AR98" i="129"/>
  <c r="BV67" i="129"/>
  <c r="AI67" i="129"/>
  <c r="BR92" i="129"/>
  <c r="AD92" i="129"/>
  <c r="BN91" i="129"/>
  <c r="AC91" i="129"/>
  <c r="BR80" i="129"/>
  <c r="AD80" i="129"/>
  <c r="BN79" i="129"/>
  <c r="AC79" i="129"/>
  <c r="BM78" i="129"/>
  <c r="CA74" i="129"/>
  <c r="AO74" i="129"/>
  <c r="BS69" i="129"/>
  <c r="AF69" i="129"/>
  <c r="BR68" i="129"/>
  <c r="AD68" i="129"/>
  <c r="BN67" i="129"/>
  <c r="AC67" i="129"/>
  <c r="BM79" i="129"/>
  <c r="BZ74" i="129"/>
  <c r="AN74" i="129"/>
  <c r="BM67" i="129"/>
  <c r="AL74" i="129"/>
  <c r="AR91" i="129"/>
  <c r="AR79" i="129"/>
  <c r="CL78" i="129"/>
  <c r="AP78" i="129"/>
  <c r="BW74" i="129"/>
  <c r="AJ74" i="129"/>
  <c r="AR67" i="129"/>
  <c r="AD18" i="129"/>
  <c r="BR18" i="129"/>
  <c r="AF18" i="129"/>
  <c r="BS18" i="129"/>
  <c r="AI18" i="129"/>
  <c r="BV18" i="129"/>
  <c r="AJ18" i="129"/>
  <c r="BW18" i="129"/>
  <c r="AL18" i="129"/>
  <c r="BX18" i="129"/>
  <c r="AN18" i="129"/>
  <c r="BZ18" i="129"/>
  <c r="AO18" i="129"/>
  <c r="CA18" i="129"/>
  <c r="AP18" i="129"/>
  <c r="CL18" i="129"/>
  <c r="AC18" i="129"/>
  <c r="BN18" i="129"/>
  <c r="AR92" i="129"/>
  <c r="CL91" i="129"/>
  <c r="AP91" i="129"/>
  <c r="AR80" i="129"/>
  <c r="CL79" i="129"/>
  <c r="AP79" i="129"/>
  <c r="CA78" i="129"/>
  <c r="AO78" i="129"/>
  <c r="BV74" i="129"/>
  <c r="AI74" i="129"/>
  <c r="AR68" i="129"/>
  <c r="CL67" i="129"/>
  <c r="AP67" i="129"/>
  <c r="CL92" i="129"/>
  <c r="AP92" i="129"/>
  <c r="CA91" i="129"/>
  <c r="AO91" i="129"/>
  <c r="BX89" i="129"/>
  <c r="AL89" i="129"/>
  <c r="CL80" i="129"/>
  <c r="AP80" i="129"/>
  <c r="CA79" i="129"/>
  <c r="AO79" i="129"/>
  <c r="BZ78" i="129"/>
  <c r="AN78" i="129"/>
  <c r="BX77" i="129"/>
  <c r="AL77" i="129"/>
  <c r="BS74" i="129"/>
  <c r="AF74" i="129"/>
  <c r="AR69" i="129"/>
  <c r="CL68" i="129"/>
  <c r="AP68" i="129"/>
  <c r="CA67" i="129"/>
  <c r="AO67" i="129"/>
  <c r="CA92" i="129"/>
  <c r="AO92" i="129"/>
  <c r="BZ91" i="129"/>
  <c r="AN91" i="129"/>
  <c r="BW89" i="129"/>
  <c r="AJ89" i="129"/>
  <c r="CA80" i="129"/>
  <c r="AO80" i="129"/>
  <c r="BZ79" i="129"/>
  <c r="AN79" i="129"/>
  <c r="BX78" i="129"/>
  <c r="AL78" i="129"/>
  <c r="BW77" i="129"/>
  <c r="AJ77" i="129"/>
  <c r="BR74" i="129"/>
  <c r="AD74" i="129"/>
  <c r="CL69" i="129"/>
  <c r="AP69" i="129"/>
  <c r="CA68" i="129"/>
  <c r="AO68" i="129"/>
  <c r="BZ67" i="129"/>
  <c r="AN67" i="129"/>
  <c r="AF43" i="129"/>
  <c r="BS43" i="129"/>
  <c r="AI43" i="129"/>
  <c r="BV43" i="129"/>
  <c r="AJ43" i="129"/>
  <c r="BW43" i="129"/>
  <c r="AN43" i="129"/>
  <c r="BZ43" i="129"/>
  <c r="AO43" i="129"/>
  <c r="CA43" i="129"/>
  <c r="AP43" i="129"/>
  <c r="CL43" i="129"/>
  <c r="AR43" i="129"/>
  <c r="AD43" i="129"/>
  <c r="BR43" i="129"/>
  <c r="AR95" i="129"/>
  <c r="CL94" i="129"/>
  <c r="AP94" i="129"/>
  <c r="BZ92" i="129"/>
  <c r="AN92" i="129"/>
  <c r="BX91" i="129"/>
  <c r="AL91" i="129"/>
  <c r="BV89" i="129"/>
  <c r="AI89" i="129"/>
  <c r="AR83" i="129"/>
  <c r="CL82" i="129"/>
  <c r="AP82" i="129"/>
  <c r="BZ80" i="129"/>
  <c r="AN80" i="129"/>
  <c r="BX79" i="129"/>
  <c r="AL79" i="129"/>
  <c r="BW78" i="129"/>
  <c r="AJ78" i="129"/>
  <c r="BV77" i="129"/>
  <c r="AI77" i="129"/>
  <c r="BN74" i="129"/>
  <c r="AC74" i="129"/>
  <c r="CL70" i="129"/>
  <c r="AP70" i="129"/>
  <c r="CA69" i="129"/>
  <c r="AO69" i="129"/>
  <c r="BZ68" i="129"/>
  <c r="AN68" i="129"/>
  <c r="BX67" i="129"/>
  <c r="AL67" i="129"/>
  <c r="AD30" i="129"/>
  <c r="BR30" i="129"/>
  <c r="AF30" i="129"/>
  <c r="BS30" i="129"/>
  <c r="AI30" i="129"/>
  <c r="BV30" i="129"/>
  <c r="AJ30" i="129"/>
  <c r="BW30" i="129"/>
  <c r="AL30" i="129"/>
  <c r="BX30" i="129"/>
  <c r="AN30" i="129"/>
  <c r="BZ30" i="129"/>
  <c r="AO30" i="129"/>
  <c r="CA30" i="129"/>
  <c r="AP30" i="129"/>
  <c r="CL30" i="129"/>
  <c r="AC30" i="129"/>
  <c r="BN30" i="129"/>
  <c r="CL95" i="129"/>
  <c r="CA94" i="129"/>
  <c r="BX92" i="129"/>
  <c r="BW91" i="129"/>
  <c r="BS89" i="129"/>
  <c r="CL83" i="129"/>
  <c r="CA82" i="129"/>
  <c r="BX80" i="129"/>
  <c r="BW79" i="129"/>
  <c r="BV78" i="129"/>
  <c r="BS77" i="129"/>
  <c r="CA70" i="129"/>
  <c r="BZ69" i="129"/>
  <c r="BX68" i="129"/>
  <c r="BW67" i="129"/>
  <c r="AL65" i="129"/>
  <c r="BX65" i="129"/>
  <c r="AN65" i="129"/>
  <c r="BZ65" i="129"/>
  <c r="AP48" i="129"/>
  <c r="BZ48" i="129"/>
  <c r="BX47" i="129"/>
  <c r="AL47" i="129"/>
  <c r="BV45" i="129"/>
  <c r="AI45" i="129"/>
  <c r="CL38" i="129"/>
  <c r="AP38" i="129"/>
  <c r="BW34" i="129"/>
  <c r="AJ34" i="129"/>
  <c r="BW22" i="129"/>
  <c r="AJ22" i="129"/>
  <c r="CL14" i="129"/>
  <c r="AP14" i="129"/>
  <c r="BN22" i="129"/>
  <c r="AC22" i="129"/>
  <c r="BW14" i="129"/>
  <c r="AJ14" i="129"/>
  <c r="AC10" i="129"/>
  <c r="BS61" i="129"/>
  <c r="AR56" i="129"/>
  <c r="AC47" i="129"/>
  <c r="CL56" i="129"/>
  <c r="AP56" i="129"/>
  <c r="BM47" i="129"/>
  <c r="AR45" i="129"/>
  <c r="AR22" i="129"/>
  <c r="AD14" i="129"/>
  <c r="BX56" i="129"/>
  <c r="CL47" i="129"/>
  <c r="BZ45" i="129"/>
  <c r="CA34" i="129"/>
  <c r="CA22" i="129"/>
  <c r="AO22" i="129"/>
  <c r="BZ22" i="129"/>
  <c r="AN10" i="129"/>
  <c r="L192" i="133"/>
  <c r="K193" i="129" s="1"/>
  <c r="X192" i="133"/>
  <c r="W193" i="129" s="1"/>
  <c r="F192" i="133"/>
  <c r="E193" i="129" s="1"/>
  <c r="S192" i="133"/>
  <c r="R193" i="129" s="1"/>
  <c r="N192" i="133"/>
  <c r="M193" i="129" s="1"/>
  <c r="AA192" i="133"/>
  <c r="Z193" i="129" s="1"/>
  <c r="AA185" i="133"/>
  <c r="Z186" i="129" s="1"/>
  <c r="J185" i="133"/>
  <c r="I186" i="129" s="1"/>
  <c r="R184" i="133"/>
  <c r="Q185" i="129" s="1"/>
  <c r="I193" i="133"/>
  <c r="H194" i="129" s="1"/>
  <c r="U193" i="133"/>
  <c r="T194" i="129" s="1"/>
  <c r="E193" i="133"/>
  <c r="D194" i="129" s="1"/>
  <c r="R193" i="133"/>
  <c r="Q194" i="129" s="1"/>
  <c r="M193" i="133"/>
  <c r="L194" i="129" s="1"/>
  <c r="Z193" i="133"/>
  <c r="Y194" i="129" s="1"/>
  <c r="M192" i="133"/>
  <c r="L193" i="129" s="1"/>
  <c r="X191" i="133"/>
  <c r="W192" i="129" s="1"/>
  <c r="I191" i="133"/>
  <c r="H192" i="129" s="1"/>
  <c r="S189" i="133"/>
  <c r="R190" i="129" s="1"/>
  <c r="AB188" i="133"/>
  <c r="AA189" i="129" s="1"/>
  <c r="K188" i="133"/>
  <c r="J189" i="129" s="1"/>
  <c r="U187" i="133"/>
  <c r="T188" i="129" s="1"/>
  <c r="W201" i="133"/>
  <c r="V202" i="129" s="1"/>
  <c r="H201" i="133"/>
  <c r="G202" i="129" s="1"/>
  <c r="U200" i="133"/>
  <c r="T201" i="129" s="1"/>
  <c r="F200" i="133"/>
  <c r="E201" i="129" s="1"/>
  <c r="S199" i="133"/>
  <c r="R200" i="129" s="1"/>
  <c r="E199" i="133"/>
  <c r="D200" i="129" s="1"/>
  <c r="Q198" i="133"/>
  <c r="P199" i="129" s="1"/>
  <c r="N196" i="133"/>
  <c r="M197" i="129" s="1"/>
  <c r="Y195" i="133"/>
  <c r="X196" i="129" s="1"/>
  <c r="I195" i="133"/>
  <c r="H196" i="129" s="1"/>
  <c r="U194" i="133"/>
  <c r="T195" i="129" s="1"/>
  <c r="P193" i="133"/>
  <c r="O194" i="129" s="1"/>
  <c r="AB192" i="133"/>
  <c r="AA193" i="129" s="1"/>
  <c r="K192" i="133"/>
  <c r="J193" i="129" s="1"/>
  <c r="W191" i="133"/>
  <c r="V192" i="129" s="1"/>
  <c r="H191" i="133"/>
  <c r="G192" i="129" s="1"/>
  <c r="R189" i="133"/>
  <c r="Q190" i="129" s="1"/>
  <c r="AA188" i="133"/>
  <c r="Z189" i="129" s="1"/>
  <c r="J188" i="133"/>
  <c r="I189" i="129" s="1"/>
  <c r="T187" i="133"/>
  <c r="S188" i="129" s="1"/>
  <c r="AB186" i="133"/>
  <c r="AA187" i="129" s="1"/>
  <c r="L186" i="133"/>
  <c r="K187" i="129" s="1"/>
  <c r="V185" i="133"/>
  <c r="U186" i="129" s="1"/>
  <c r="N184" i="133"/>
  <c r="M185" i="129" s="1"/>
  <c r="W183" i="133"/>
  <c r="V184" i="129" s="1"/>
  <c r="E183" i="133"/>
  <c r="D184" i="129" s="1"/>
  <c r="O182" i="133"/>
  <c r="N183" i="129" s="1"/>
  <c r="V180" i="133"/>
  <c r="U181" i="129" s="1"/>
  <c r="X178" i="133"/>
  <c r="W179" i="129" s="1"/>
  <c r="G178" i="133"/>
  <c r="F179" i="129" s="1"/>
  <c r="L177" i="133"/>
  <c r="K178" i="129" s="1"/>
  <c r="N173" i="133"/>
  <c r="M174" i="129" s="1"/>
  <c r="V169" i="133"/>
  <c r="U170" i="129" s="1"/>
  <c r="X166" i="133"/>
  <c r="W167" i="129" s="1"/>
  <c r="I185" i="133"/>
  <c r="H186" i="129" s="1"/>
  <c r="U185" i="133"/>
  <c r="T186" i="129" s="1"/>
  <c r="L185" i="133"/>
  <c r="K186" i="129" s="1"/>
  <c r="Y185" i="133"/>
  <c r="X186" i="129" s="1"/>
  <c r="F185" i="133"/>
  <c r="E186" i="129" s="1"/>
  <c r="S185" i="133"/>
  <c r="R186" i="129" s="1"/>
  <c r="G185" i="133"/>
  <c r="F186" i="129" s="1"/>
  <c r="T185" i="133"/>
  <c r="S186" i="129" s="1"/>
  <c r="K184" i="133"/>
  <c r="J185" i="129" s="1"/>
  <c r="T183" i="133"/>
  <c r="S184" i="129" s="1"/>
  <c r="D183" i="133"/>
  <c r="C184" i="129" s="1"/>
  <c r="M182" i="133"/>
  <c r="L183" i="129" s="1"/>
  <c r="W178" i="133"/>
  <c r="V179" i="129" s="1"/>
  <c r="K177" i="133"/>
  <c r="J178" i="129" s="1"/>
  <c r="M173" i="133"/>
  <c r="L174" i="129" s="1"/>
  <c r="R169" i="133"/>
  <c r="Q170" i="129" s="1"/>
  <c r="U166" i="133"/>
  <c r="T167" i="129" s="1"/>
  <c r="L163" i="133"/>
  <c r="K164" i="129" s="1"/>
  <c r="X163" i="133"/>
  <c r="W164" i="129" s="1"/>
  <c r="C163" i="133"/>
  <c r="B164" i="129" s="1"/>
  <c r="AC164" i="129" s="1"/>
  <c r="O163" i="133"/>
  <c r="N164" i="129" s="1"/>
  <c r="AA163" i="133"/>
  <c r="Z164" i="129" s="1"/>
  <c r="K163" i="133"/>
  <c r="J164" i="129" s="1"/>
  <c r="Z163" i="133"/>
  <c r="Y164" i="129" s="1"/>
  <c r="M163" i="133"/>
  <c r="L164" i="129" s="1"/>
  <c r="AB163" i="133"/>
  <c r="AA164" i="129" s="1"/>
  <c r="N163" i="133"/>
  <c r="M164" i="129" s="1"/>
  <c r="P163" i="133"/>
  <c r="O164" i="129" s="1"/>
  <c r="D163" i="133"/>
  <c r="C164" i="129" s="1"/>
  <c r="R163" i="133"/>
  <c r="Q164" i="129" s="1"/>
  <c r="E163" i="133"/>
  <c r="D164" i="129" s="1"/>
  <c r="S163" i="133"/>
  <c r="R164" i="129" s="1"/>
  <c r="G163" i="133"/>
  <c r="F164" i="129" s="1"/>
  <c r="U163" i="133"/>
  <c r="T164" i="129" s="1"/>
  <c r="H163" i="133"/>
  <c r="G164" i="129" s="1"/>
  <c r="V163" i="133"/>
  <c r="U164" i="129" s="1"/>
  <c r="F198" i="133"/>
  <c r="E199" i="129" s="1"/>
  <c r="R198" i="133"/>
  <c r="Q199" i="129" s="1"/>
  <c r="I198" i="133"/>
  <c r="H199" i="129" s="1"/>
  <c r="V198" i="133"/>
  <c r="U199" i="129" s="1"/>
  <c r="W195" i="133"/>
  <c r="V196" i="129" s="1"/>
  <c r="H195" i="133"/>
  <c r="G196" i="129" s="1"/>
  <c r="Z192" i="133"/>
  <c r="Y193" i="129" s="1"/>
  <c r="J192" i="133"/>
  <c r="I193" i="129" s="1"/>
  <c r="R185" i="133"/>
  <c r="Q186" i="129" s="1"/>
  <c r="T201" i="133"/>
  <c r="S202" i="129" s="1"/>
  <c r="E201" i="133"/>
  <c r="D202" i="129" s="1"/>
  <c r="R200" i="133"/>
  <c r="Q201" i="129" s="1"/>
  <c r="D200" i="133"/>
  <c r="C201" i="129" s="1"/>
  <c r="F194" i="133"/>
  <c r="E195" i="129" s="1"/>
  <c r="R194" i="133"/>
  <c r="Q195" i="129" s="1"/>
  <c r="D194" i="133"/>
  <c r="C195" i="129" s="1"/>
  <c r="Q194" i="133"/>
  <c r="P195" i="129" s="1"/>
  <c r="L194" i="133"/>
  <c r="K195" i="129" s="1"/>
  <c r="Y194" i="133"/>
  <c r="X195" i="129" s="1"/>
  <c r="N193" i="133"/>
  <c r="M194" i="129" s="1"/>
  <c r="Y192" i="133"/>
  <c r="X193" i="129" s="1"/>
  <c r="I192" i="133"/>
  <c r="H193" i="129" s="1"/>
  <c r="U191" i="133"/>
  <c r="T192" i="129" s="1"/>
  <c r="E191" i="133"/>
  <c r="D192" i="129" s="1"/>
  <c r="Y188" i="133"/>
  <c r="X189" i="129" s="1"/>
  <c r="G188" i="133"/>
  <c r="F189" i="129" s="1"/>
  <c r="Z186" i="133"/>
  <c r="Y187" i="129" s="1"/>
  <c r="I186" i="133"/>
  <c r="H187" i="129" s="1"/>
  <c r="Q185" i="133"/>
  <c r="P186" i="129" s="1"/>
  <c r="AB184" i="133"/>
  <c r="AA185" i="129" s="1"/>
  <c r="J184" i="133"/>
  <c r="I185" i="129" s="1"/>
  <c r="F178" i="133"/>
  <c r="E179" i="129" s="1"/>
  <c r="R178" i="133"/>
  <c r="Q179" i="129" s="1"/>
  <c r="C178" i="133"/>
  <c r="B179" i="129" s="1"/>
  <c r="BV179" i="129" s="1"/>
  <c r="P178" i="133"/>
  <c r="O179" i="129" s="1"/>
  <c r="D178" i="133"/>
  <c r="C179" i="129" s="1"/>
  <c r="Q178" i="133"/>
  <c r="P179" i="129" s="1"/>
  <c r="L178" i="133"/>
  <c r="K179" i="129" s="1"/>
  <c r="Y178" i="133"/>
  <c r="X179" i="129" s="1"/>
  <c r="M178" i="133"/>
  <c r="L179" i="129" s="1"/>
  <c r="Z178" i="133"/>
  <c r="Y179" i="129" s="1"/>
  <c r="J177" i="133"/>
  <c r="I178" i="129" s="1"/>
  <c r="L173" i="133"/>
  <c r="K174" i="129" s="1"/>
  <c r="O169" i="133"/>
  <c r="N170" i="129" s="1"/>
  <c r="Q166" i="133"/>
  <c r="P167" i="129" s="1"/>
  <c r="C199" i="133"/>
  <c r="B200" i="129" s="1"/>
  <c r="BX200" i="129" s="1"/>
  <c r="O199" i="133"/>
  <c r="N200" i="129" s="1"/>
  <c r="AA199" i="133"/>
  <c r="Z200" i="129" s="1"/>
  <c r="H199" i="133"/>
  <c r="G200" i="129" s="1"/>
  <c r="U199" i="133"/>
  <c r="T200" i="129" s="1"/>
  <c r="O198" i="133"/>
  <c r="N199" i="129" s="1"/>
  <c r="AA196" i="133"/>
  <c r="Z197" i="129" s="1"/>
  <c r="K196" i="133"/>
  <c r="J197" i="129" s="1"/>
  <c r="V195" i="133"/>
  <c r="U196" i="129" s="1"/>
  <c r="G195" i="133"/>
  <c r="F196" i="129" s="1"/>
  <c r="S194" i="133"/>
  <c r="R195" i="129" s="1"/>
  <c r="C183" i="133"/>
  <c r="B184" i="129" s="1"/>
  <c r="AR184" i="129" s="1"/>
  <c r="O183" i="133"/>
  <c r="N184" i="129" s="1"/>
  <c r="AA183" i="133"/>
  <c r="Z184" i="129" s="1"/>
  <c r="M183" i="133"/>
  <c r="L184" i="129" s="1"/>
  <c r="Z183" i="133"/>
  <c r="Y184" i="129" s="1"/>
  <c r="H183" i="133"/>
  <c r="G184" i="129" s="1"/>
  <c r="U183" i="133"/>
  <c r="T184" i="129" s="1"/>
  <c r="I183" i="133"/>
  <c r="H184" i="129" s="1"/>
  <c r="V183" i="133"/>
  <c r="U184" i="129" s="1"/>
  <c r="L182" i="133"/>
  <c r="K183" i="129" s="1"/>
  <c r="V178" i="133"/>
  <c r="U179" i="129" s="1"/>
  <c r="R201" i="133"/>
  <c r="Q202" i="129" s="1"/>
  <c r="Q200" i="133"/>
  <c r="P201" i="129" s="1"/>
  <c r="P199" i="133"/>
  <c r="O200" i="129" s="1"/>
  <c r="AB198" i="133"/>
  <c r="AA199" i="129" s="1"/>
  <c r="N198" i="133"/>
  <c r="M199" i="129" s="1"/>
  <c r="Z196" i="133"/>
  <c r="Y197" i="129" s="1"/>
  <c r="I196" i="133"/>
  <c r="H197" i="129" s="1"/>
  <c r="U195" i="133"/>
  <c r="T196" i="129" s="1"/>
  <c r="F195" i="133"/>
  <c r="E196" i="129" s="1"/>
  <c r="P194" i="133"/>
  <c r="O195" i="129" s="1"/>
  <c r="AB193" i="133"/>
  <c r="AA194" i="129" s="1"/>
  <c r="L193" i="133"/>
  <c r="K194" i="129" s="1"/>
  <c r="W192" i="133"/>
  <c r="V193" i="129" s="1"/>
  <c r="H192" i="133"/>
  <c r="G193" i="129" s="1"/>
  <c r="S191" i="133"/>
  <c r="R192" i="129" s="1"/>
  <c r="M189" i="133"/>
  <c r="L190" i="129" s="1"/>
  <c r="W188" i="133"/>
  <c r="V189" i="129" s="1"/>
  <c r="F188" i="133"/>
  <c r="E189" i="129" s="1"/>
  <c r="N187" i="133"/>
  <c r="M188" i="129" s="1"/>
  <c r="Y186" i="133"/>
  <c r="X187" i="129" s="1"/>
  <c r="H186" i="133"/>
  <c r="G187" i="129" s="1"/>
  <c r="P185" i="133"/>
  <c r="O186" i="129" s="1"/>
  <c r="AA184" i="133"/>
  <c r="Z185" i="129" s="1"/>
  <c r="I184" i="133"/>
  <c r="H185" i="129" s="1"/>
  <c r="R183" i="133"/>
  <c r="Q184" i="129" s="1"/>
  <c r="AB182" i="133"/>
  <c r="AA183" i="129" s="1"/>
  <c r="K182" i="133"/>
  <c r="J183" i="129" s="1"/>
  <c r="L180" i="133"/>
  <c r="K181" i="129" s="1"/>
  <c r="X180" i="133"/>
  <c r="W181" i="129" s="1"/>
  <c r="C180" i="133"/>
  <c r="B181" i="129" s="1"/>
  <c r="BX181" i="129" s="1"/>
  <c r="P180" i="133"/>
  <c r="O181" i="129" s="1"/>
  <c r="J180" i="133"/>
  <c r="I181" i="129" s="1"/>
  <c r="W180" i="133"/>
  <c r="V181" i="129" s="1"/>
  <c r="K180" i="133"/>
  <c r="J181" i="129" s="1"/>
  <c r="Y180" i="133"/>
  <c r="X181" i="129" s="1"/>
  <c r="U178" i="133"/>
  <c r="T179" i="129" s="1"/>
  <c r="AB177" i="133"/>
  <c r="AA178" i="129" s="1"/>
  <c r="H177" i="133"/>
  <c r="G178" i="129" s="1"/>
  <c r="AB173" i="133"/>
  <c r="AA174" i="129" s="1"/>
  <c r="K173" i="133"/>
  <c r="J174" i="129" s="1"/>
  <c r="N169" i="133"/>
  <c r="M170" i="129" s="1"/>
  <c r="O166" i="133"/>
  <c r="N167" i="129" s="1"/>
  <c r="L200" i="133"/>
  <c r="K201" i="129" s="1"/>
  <c r="X200" i="133"/>
  <c r="W201" i="129" s="1"/>
  <c r="G200" i="133"/>
  <c r="F201" i="129" s="1"/>
  <c r="T200" i="133"/>
  <c r="S201" i="129" s="1"/>
  <c r="N199" i="133"/>
  <c r="M200" i="129" s="1"/>
  <c r="AA198" i="133"/>
  <c r="Z199" i="129" s="1"/>
  <c r="M198" i="133"/>
  <c r="L199" i="129" s="1"/>
  <c r="Y196" i="133"/>
  <c r="X197" i="129" s="1"/>
  <c r="H196" i="133"/>
  <c r="G197" i="129" s="1"/>
  <c r="T195" i="133"/>
  <c r="S196" i="129" s="1"/>
  <c r="E195" i="133"/>
  <c r="D196" i="129" s="1"/>
  <c r="O194" i="133"/>
  <c r="N195" i="129" s="1"/>
  <c r="AA193" i="133"/>
  <c r="Z194" i="129" s="1"/>
  <c r="K193" i="133"/>
  <c r="J194" i="129" s="1"/>
  <c r="V192" i="133"/>
  <c r="U193" i="129" s="1"/>
  <c r="G192" i="133"/>
  <c r="F193" i="129" s="1"/>
  <c r="C191" i="133"/>
  <c r="B192" i="129" s="1"/>
  <c r="AN192" i="129" s="1"/>
  <c r="O191" i="133"/>
  <c r="N192" i="129" s="1"/>
  <c r="AA191" i="133"/>
  <c r="Z192" i="129" s="1"/>
  <c r="G191" i="133"/>
  <c r="F192" i="129" s="1"/>
  <c r="T191" i="133"/>
  <c r="S192" i="129" s="1"/>
  <c r="N191" i="133"/>
  <c r="M192" i="129" s="1"/>
  <c r="AB191" i="133"/>
  <c r="AA192" i="129" s="1"/>
  <c r="AB189" i="133"/>
  <c r="AA190" i="129" s="1"/>
  <c r="U188" i="133"/>
  <c r="T189" i="129" s="1"/>
  <c r="M187" i="133"/>
  <c r="L188" i="129" s="1"/>
  <c r="W186" i="133"/>
  <c r="V187" i="129" s="1"/>
  <c r="D186" i="133"/>
  <c r="C187" i="129" s="1"/>
  <c r="O185" i="133"/>
  <c r="N186" i="129" s="1"/>
  <c r="Y184" i="133"/>
  <c r="X185" i="129" s="1"/>
  <c r="F184" i="133"/>
  <c r="E185" i="129" s="1"/>
  <c r="Q183" i="133"/>
  <c r="P184" i="129" s="1"/>
  <c r="Z182" i="133"/>
  <c r="Y183" i="129" s="1"/>
  <c r="H182" i="133"/>
  <c r="G183" i="129" s="1"/>
  <c r="R180" i="133"/>
  <c r="Q181" i="129" s="1"/>
  <c r="T178" i="133"/>
  <c r="S179" i="129" s="1"/>
  <c r="Y177" i="133"/>
  <c r="X178" i="129" s="1"/>
  <c r="G177" i="133"/>
  <c r="F178" i="129" s="1"/>
  <c r="AA173" i="133"/>
  <c r="Z174" i="129" s="1"/>
  <c r="J173" i="133"/>
  <c r="I174" i="129" s="1"/>
  <c r="M169" i="133"/>
  <c r="L170" i="129" s="1"/>
  <c r="L166" i="133"/>
  <c r="K167" i="129" s="1"/>
  <c r="I201" i="133"/>
  <c r="H202" i="129" s="1"/>
  <c r="U201" i="133"/>
  <c r="T202" i="129" s="1"/>
  <c r="F201" i="133"/>
  <c r="E202" i="129" s="1"/>
  <c r="S201" i="133"/>
  <c r="R202" i="129" s="1"/>
  <c r="O200" i="133"/>
  <c r="N201" i="129" s="1"/>
  <c r="AB199" i="133"/>
  <c r="AA200" i="129" s="1"/>
  <c r="M199" i="133"/>
  <c r="L200" i="129" s="1"/>
  <c r="Z198" i="133"/>
  <c r="Y199" i="129" s="1"/>
  <c r="L198" i="133"/>
  <c r="K199" i="129" s="1"/>
  <c r="V196" i="133"/>
  <c r="U197" i="129" s="1"/>
  <c r="G196" i="133"/>
  <c r="F197" i="129" s="1"/>
  <c r="L188" i="133"/>
  <c r="K189" i="129" s="1"/>
  <c r="X188" i="133"/>
  <c r="W189" i="129" s="1"/>
  <c r="I188" i="133"/>
  <c r="H189" i="129" s="1"/>
  <c r="V188" i="133"/>
  <c r="U189" i="129" s="1"/>
  <c r="D188" i="133"/>
  <c r="C189" i="129" s="1"/>
  <c r="Q188" i="133"/>
  <c r="P189" i="129" s="1"/>
  <c r="E188" i="133"/>
  <c r="D189" i="129" s="1"/>
  <c r="R188" i="133"/>
  <c r="Q189" i="129" s="1"/>
  <c r="L187" i="133"/>
  <c r="K188" i="129" s="1"/>
  <c r="V186" i="133"/>
  <c r="U187" i="129" s="1"/>
  <c r="N185" i="133"/>
  <c r="M186" i="129" s="1"/>
  <c r="W184" i="133"/>
  <c r="V185" i="129" s="1"/>
  <c r="E184" i="133"/>
  <c r="D185" i="129" s="1"/>
  <c r="P183" i="133"/>
  <c r="O184" i="129" s="1"/>
  <c r="Y182" i="133"/>
  <c r="X183" i="129" s="1"/>
  <c r="G182" i="133"/>
  <c r="F183" i="129" s="1"/>
  <c r="Q180" i="133"/>
  <c r="P181" i="129" s="1"/>
  <c r="S178" i="133"/>
  <c r="R179" i="129" s="1"/>
  <c r="X177" i="133"/>
  <c r="W178" i="129" s="1"/>
  <c r="F177" i="133"/>
  <c r="E178" i="129" s="1"/>
  <c r="Z173" i="133"/>
  <c r="Y174" i="129" s="1"/>
  <c r="F173" i="133"/>
  <c r="E174" i="129" s="1"/>
  <c r="J169" i="133"/>
  <c r="I170" i="129" s="1"/>
  <c r="K166" i="133"/>
  <c r="J167" i="129" s="1"/>
  <c r="C195" i="133"/>
  <c r="B196" i="129" s="1"/>
  <c r="CL196" i="129" s="1"/>
  <c r="O195" i="133"/>
  <c r="N196" i="129" s="1"/>
  <c r="AA195" i="133"/>
  <c r="Z196" i="129" s="1"/>
  <c r="D195" i="133"/>
  <c r="C196" i="129" s="1"/>
  <c r="Q195" i="133"/>
  <c r="P196" i="129" s="1"/>
  <c r="K195" i="133"/>
  <c r="J196" i="129" s="1"/>
  <c r="X195" i="133"/>
  <c r="W196" i="129" s="1"/>
  <c r="N194" i="133"/>
  <c r="M195" i="129" s="1"/>
  <c r="Y193" i="133"/>
  <c r="X194" i="129" s="1"/>
  <c r="J193" i="133"/>
  <c r="I194" i="129" s="1"/>
  <c r="U192" i="133"/>
  <c r="T193" i="129" s="1"/>
  <c r="E192" i="133"/>
  <c r="D193" i="129" s="1"/>
  <c r="Q191" i="133"/>
  <c r="P192" i="129" s="1"/>
  <c r="T188" i="133"/>
  <c r="S189" i="129" s="1"/>
  <c r="O201" i="133"/>
  <c r="N202" i="129" s="1"/>
  <c r="AB200" i="133"/>
  <c r="AA201" i="129" s="1"/>
  <c r="N200" i="133"/>
  <c r="M201" i="129" s="1"/>
  <c r="Z199" i="133"/>
  <c r="Y200" i="129" s="1"/>
  <c r="L199" i="133"/>
  <c r="K200" i="129" s="1"/>
  <c r="Y198" i="133"/>
  <c r="X199" i="129" s="1"/>
  <c r="K198" i="133"/>
  <c r="J199" i="129" s="1"/>
  <c r="U196" i="133"/>
  <c r="T197" i="129" s="1"/>
  <c r="F196" i="133"/>
  <c r="E197" i="129" s="1"/>
  <c r="R195" i="133"/>
  <c r="Q196" i="129" s="1"/>
  <c r="AB194" i="133"/>
  <c r="AA195" i="129" s="1"/>
  <c r="M194" i="133"/>
  <c r="L195" i="129" s="1"/>
  <c r="X193" i="133"/>
  <c r="W194" i="129" s="1"/>
  <c r="H193" i="133"/>
  <c r="G194" i="129" s="1"/>
  <c r="T192" i="133"/>
  <c r="S193" i="129" s="1"/>
  <c r="D192" i="133"/>
  <c r="C193" i="129" s="1"/>
  <c r="P191" i="133"/>
  <c r="O192" i="129" s="1"/>
  <c r="S188" i="133"/>
  <c r="R189" i="129" s="1"/>
  <c r="F186" i="133"/>
  <c r="E187" i="129" s="1"/>
  <c r="R186" i="133"/>
  <c r="Q187" i="129" s="1"/>
  <c r="K186" i="133"/>
  <c r="J187" i="129" s="1"/>
  <c r="X186" i="133"/>
  <c r="W187" i="129" s="1"/>
  <c r="E186" i="133"/>
  <c r="D187" i="129" s="1"/>
  <c r="S186" i="133"/>
  <c r="R187" i="129" s="1"/>
  <c r="G186" i="133"/>
  <c r="F187" i="129" s="1"/>
  <c r="T186" i="133"/>
  <c r="S187" i="129" s="1"/>
  <c r="M185" i="133"/>
  <c r="L186" i="129" s="1"/>
  <c r="V184" i="133"/>
  <c r="U185" i="129" s="1"/>
  <c r="N183" i="133"/>
  <c r="M184" i="129" s="1"/>
  <c r="X182" i="133"/>
  <c r="W183" i="129" s="1"/>
  <c r="E182" i="133"/>
  <c r="D183" i="129" s="1"/>
  <c r="O180" i="133"/>
  <c r="N181" i="129" s="1"/>
  <c r="O178" i="133"/>
  <c r="N179" i="129" s="1"/>
  <c r="W177" i="133"/>
  <c r="V178" i="129" s="1"/>
  <c r="C177" i="133"/>
  <c r="B178" i="129" s="1"/>
  <c r="AR178" i="129" s="1"/>
  <c r="Y173" i="133"/>
  <c r="X174" i="129" s="1"/>
  <c r="H169" i="133"/>
  <c r="G170" i="129" s="1"/>
  <c r="H166" i="133"/>
  <c r="G167" i="129" s="1"/>
  <c r="Y163" i="133"/>
  <c r="X164" i="129" s="1"/>
  <c r="I173" i="133"/>
  <c r="H174" i="129" s="1"/>
  <c r="U173" i="133"/>
  <c r="T174" i="129" s="1"/>
  <c r="G173" i="133"/>
  <c r="F174" i="129" s="1"/>
  <c r="T173" i="133"/>
  <c r="S174" i="129" s="1"/>
  <c r="H173" i="133"/>
  <c r="G174" i="129" s="1"/>
  <c r="V173" i="133"/>
  <c r="U174" i="129" s="1"/>
  <c r="C173" i="133"/>
  <c r="B174" i="129" s="1"/>
  <c r="P173" i="133"/>
  <c r="O174" i="129" s="1"/>
  <c r="D173" i="133"/>
  <c r="C174" i="129" s="1"/>
  <c r="Q173" i="133"/>
  <c r="P174" i="129" s="1"/>
  <c r="E169" i="133"/>
  <c r="D170" i="129" s="1"/>
  <c r="C144" i="133"/>
  <c r="B145" i="129" s="1"/>
  <c r="O144" i="133"/>
  <c r="N145" i="129" s="1"/>
  <c r="AA144" i="133"/>
  <c r="Z145" i="129" s="1"/>
  <c r="I144" i="133"/>
  <c r="H145" i="129" s="1"/>
  <c r="V144" i="133"/>
  <c r="U145" i="129" s="1"/>
  <c r="D144" i="133"/>
  <c r="C145" i="129" s="1"/>
  <c r="Q144" i="133"/>
  <c r="P145" i="129" s="1"/>
  <c r="G144" i="133"/>
  <c r="F145" i="129" s="1"/>
  <c r="T144" i="133"/>
  <c r="S145" i="129" s="1"/>
  <c r="E144" i="133"/>
  <c r="D145" i="129" s="1"/>
  <c r="W144" i="133"/>
  <c r="V145" i="129" s="1"/>
  <c r="F144" i="133"/>
  <c r="E145" i="129" s="1"/>
  <c r="X144" i="133"/>
  <c r="W145" i="129" s="1"/>
  <c r="H144" i="133"/>
  <c r="G145" i="129" s="1"/>
  <c r="Y144" i="133"/>
  <c r="X145" i="129" s="1"/>
  <c r="J144" i="133"/>
  <c r="I145" i="129" s="1"/>
  <c r="Z144" i="133"/>
  <c r="Y145" i="129" s="1"/>
  <c r="K144" i="133"/>
  <c r="J145" i="129" s="1"/>
  <c r="AB144" i="133"/>
  <c r="AA145" i="129" s="1"/>
  <c r="L144" i="133"/>
  <c r="K145" i="129" s="1"/>
  <c r="M144" i="133"/>
  <c r="L145" i="129" s="1"/>
  <c r="N144" i="133"/>
  <c r="M145" i="129" s="1"/>
  <c r="P144" i="133"/>
  <c r="O145" i="129" s="1"/>
  <c r="R144" i="133"/>
  <c r="Q145" i="129" s="1"/>
  <c r="S144" i="133"/>
  <c r="R145" i="129" s="1"/>
  <c r="L184" i="133"/>
  <c r="K185" i="129" s="1"/>
  <c r="X184" i="133"/>
  <c r="W185" i="129" s="1"/>
  <c r="M184" i="133"/>
  <c r="L185" i="129" s="1"/>
  <c r="Z184" i="133"/>
  <c r="Y185" i="129" s="1"/>
  <c r="G184" i="133"/>
  <c r="F185" i="129" s="1"/>
  <c r="T184" i="133"/>
  <c r="S185" i="129" s="1"/>
  <c r="H184" i="133"/>
  <c r="G185" i="129" s="1"/>
  <c r="U184" i="133"/>
  <c r="T185" i="129" s="1"/>
  <c r="K183" i="133"/>
  <c r="J184" i="129" s="1"/>
  <c r="T182" i="133"/>
  <c r="S183" i="129" s="1"/>
  <c r="W173" i="133"/>
  <c r="V174" i="129" s="1"/>
  <c r="AB169" i="133"/>
  <c r="AA170" i="129" s="1"/>
  <c r="F166" i="133"/>
  <c r="E167" i="129" s="1"/>
  <c r="R166" i="133"/>
  <c r="Q167" i="129" s="1"/>
  <c r="M166" i="133"/>
  <c r="L167" i="129" s="1"/>
  <c r="Z166" i="133"/>
  <c r="Y167" i="129" s="1"/>
  <c r="N166" i="133"/>
  <c r="M167" i="129" s="1"/>
  <c r="AA166" i="133"/>
  <c r="Z167" i="129" s="1"/>
  <c r="C166" i="133"/>
  <c r="B167" i="129" s="1"/>
  <c r="AR167" i="129" s="1"/>
  <c r="P166" i="133"/>
  <c r="O167" i="129" s="1"/>
  <c r="E166" i="133"/>
  <c r="D167" i="129" s="1"/>
  <c r="S166" i="133"/>
  <c r="R167" i="129" s="1"/>
  <c r="G166" i="133"/>
  <c r="F167" i="129" s="1"/>
  <c r="T166" i="133"/>
  <c r="S167" i="129" s="1"/>
  <c r="I166" i="133"/>
  <c r="H167" i="129" s="1"/>
  <c r="V166" i="133"/>
  <c r="U167" i="129" s="1"/>
  <c r="J166" i="133"/>
  <c r="I167" i="129" s="1"/>
  <c r="W166" i="133"/>
  <c r="V167" i="129" s="1"/>
  <c r="T163" i="133"/>
  <c r="S164" i="129" s="1"/>
  <c r="I177" i="133"/>
  <c r="H178" i="129" s="1"/>
  <c r="U177" i="133"/>
  <c r="T178" i="129" s="1"/>
  <c r="D177" i="133"/>
  <c r="C178" i="129" s="1"/>
  <c r="Q177" i="133"/>
  <c r="P178" i="129" s="1"/>
  <c r="E177" i="133"/>
  <c r="D178" i="129" s="1"/>
  <c r="R177" i="133"/>
  <c r="Q178" i="129" s="1"/>
  <c r="M177" i="133"/>
  <c r="L178" i="129" s="1"/>
  <c r="Z177" i="133"/>
  <c r="Y178" i="129" s="1"/>
  <c r="N177" i="133"/>
  <c r="M178" i="129" s="1"/>
  <c r="AA177" i="133"/>
  <c r="Z178" i="129" s="1"/>
  <c r="X173" i="133"/>
  <c r="W174" i="129" s="1"/>
  <c r="AA201" i="133"/>
  <c r="Z202" i="129" s="1"/>
  <c r="M201" i="133"/>
  <c r="L202" i="129" s="1"/>
  <c r="Z200" i="133"/>
  <c r="Y201" i="129" s="1"/>
  <c r="K200" i="133"/>
  <c r="J201" i="129" s="1"/>
  <c r="X199" i="133"/>
  <c r="W200" i="129" s="1"/>
  <c r="J199" i="133"/>
  <c r="I200" i="129" s="1"/>
  <c r="W198" i="133"/>
  <c r="V199" i="129" s="1"/>
  <c r="H198" i="133"/>
  <c r="G199" i="129" s="1"/>
  <c r="S196" i="133"/>
  <c r="R197" i="129" s="1"/>
  <c r="N195" i="133"/>
  <c r="M196" i="129" s="1"/>
  <c r="Z194" i="133"/>
  <c r="Y195" i="129" s="1"/>
  <c r="J194" i="133"/>
  <c r="I195" i="129" s="1"/>
  <c r="Q192" i="133"/>
  <c r="P193" i="129" s="1"/>
  <c r="F182" i="133"/>
  <c r="E183" i="129" s="1"/>
  <c r="R182" i="133"/>
  <c r="Q183" i="129" s="1"/>
  <c r="N182" i="133"/>
  <c r="M183" i="129" s="1"/>
  <c r="AA182" i="133"/>
  <c r="Z183" i="129" s="1"/>
  <c r="I182" i="133"/>
  <c r="H183" i="129" s="1"/>
  <c r="V182" i="133"/>
  <c r="U183" i="129" s="1"/>
  <c r="J182" i="133"/>
  <c r="I183" i="129" s="1"/>
  <c r="W182" i="133"/>
  <c r="V183" i="129" s="1"/>
  <c r="AB180" i="133"/>
  <c r="AA181" i="129" s="1"/>
  <c r="I180" i="133"/>
  <c r="H181" i="129" s="1"/>
  <c r="J178" i="133"/>
  <c r="I179" i="129" s="1"/>
  <c r="S177" i="133"/>
  <c r="R178" i="129" s="1"/>
  <c r="S173" i="133"/>
  <c r="R174" i="129" s="1"/>
  <c r="AA169" i="133"/>
  <c r="Z170" i="129" s="1"/>
  <c r="Q163" i="133"/>
  <c r="P164" i="129" s="1"/>
  <c r="V201" i="133"/>
  <c r="U202" i="129" s="1"/>
  <c r="G201" i="133"/>
  <c r="F202" i="129" s="1"/>
  <c r="S200" i="133"/>
  <c r="R201" i="129" s="1"/>
  <c r="E200" i="133"/>
  <c r="D201" i="129" s="1"/>
  <c r="R199" i="133"/>
  <c r="Q200" i="129" s="1"/>
  <c r="D199" i="133"/>
  <c r="C200" i="129" s="1"/>
  <c r="P198" i="133"/>
  <c r="O199" i="129" s="1"/>
  <c r="Q201" i="133"/>
  <c r="P202" i="129" s="1"/>
  <c r="C201" i="133"/>
  <c r="B202" i="129" s="1"/>
  <c r="BS202" i="129" s="1"/>
  <c r="P200" i="133"/>
  <c r="O201" i="129" s="1"/>
  <c r="P201" i="133"/>
  <c r="O202" i="129" s="1"/>
  <c r="AB201" i="133"/>
  <c r="AA202" i="129" s="1"/>
  <c r="N201" i="133"/>
  <c r="M202" i="129" s="1"/>
  <c r="AA200" i="133"/>
  <c r="Z201" i="129" s="1"/>
  <c r="M200" i="133"/>
  <c r="L201" i="129" s="1"/>
  <c r="Y199" i="133"/>
  <c r="X200" i="129" s="1"/>
  <c r="K199" i="133"/>
  <c r="J200" i="129" s="1"/>
  <c r="X198" i="133"/>
  <c r="W199" i="129" s="1"/>
  <c r="J198" i="133"/>
  <c r="I199" i="129" s="1"/>
  <c r="P195" i="133"/>
  <c r="O196" i="129" s="1"/>
  <c r="R192" i="133"/>
  <c r="Q193" i="129" s="1"/>
  <c r="C192" i="133"/>
  <c r="B193" i="129" s="1"/>
  <c r="BZ193" i="129" s="1"/>
  <c r="AB185" i="133"/>
  <c r="AA186" i="129" s="1"/>
  <c r="K185" i="133"/>
  <c r="J186" i="129" s="1"/>
  <c r="S184" i="133"/>
  <c r="R185" i="129" s="1"/>
  <c r="C184" i="133"/>
  <c r="B185" i="129" s="1"/>
  <c r="V177" i="133"/>
  <c r="U178" i="129" s="1"/>
  <c r="L196" i="133"/>
  <c r="K197" i="129" s="1"/>
  <c r="X196" i="133"/>
  <c r="W197" i="129" s="1"/>
  <c r="C196" i="133"/>
  <c r="B197" i="129" s="1"/>
  <c r="P196" i="133"/>
  <c r="O197" i="129" s="1"/>
  <c r="J196" i="133"/>
  <c r="I197" i="129" s="1"/>
  <c r="W196" i="133"/>
  <c r="V197" i="129" s="1"/>
  <c r="M195" i="133"/>
  <c r="L196" i="129" s="1"/>
  <c r="X194" i="133"/>
  <c r="W195" i="129" s="1"/>
  <c r="I194" i="133"/>
  <c r="H195" i="129" s="1"/>
  <c r="T193" i="133"/>
  <c r="S194" i="129" s="1"/>
  <c r="D193" i="133"/>
  <c r="C194" i="129" s="1"/>
  <c r="P192" i="133"/>
  <c r="O193" i="129" s="1"/>
  <c r="Z191" i="133"/>
  <c r="Y192" i="129" s="1"/>
  <c r="K191" i="133"/>
  <c r="J192" i="129" s="1"/>
  <c r="N188" i="133"/>
  <c r="M189" i="129" s="1"/>
  <c r="X187" i="133"/>
  <c r="W188" i="129" s="1"/>
  <c r="G187" i="133"/>
  <c r="F188" i="129" s="1"/>
  <c r="O186" i="133"/>
  <c r="N187" i="129" s="1"/>
  <c r="Z185" i="133"/>
  <c r="Y186" i="129" s="1"/>
  <c r="H185" i="133"/>
  <c r="G186" i="129" s="1"/>
  <c r="Q184" i="133"/>
  <c r="P185" i="129" s="1"/>
  <c r="AB183" i="133"/>
  <c r="AA184" i="129" s="1"/>
  <c r="J183" i="133"/>
  <c r="I184" i="129" s="1"/>
  <c r="S182" i="133"/>
  <c r="R183" i="129" s="1"/>
  <c r="Y201" i="133"/>
  <c r="X202" i="129" s="1"/>
  <c r="K201" i="133"/>
  <c r="J202" i="129" s="1"/>
  <c r="W200" i="133"/>
  <c r="V201" i="129" s="1"/>
  <c r="I200" i="133"/>
  <c r="H201" i="129" s="1"/>
  <c r="V199" i="133"/>
  <c r="U200" i="129" s="1"/>
  <c r="G199" i="133"/>
  <c r="F200" i="129" s="1"/>
  <c r="T198" i="133"/>
  <c r="S199" i="129" s="1"/>
  <c r="E198" i="133"/>
  <c r="D199" i="129" s="1"/>
  <c r="Q196" i="133"/>
  <c r="P197" i="129" s="1"/>
  <c r="AB195" i="133"/>
  <c r="AA196" i="129" s="1"/>
  <c r="L195" i="133"/>
  <c r="K196" i="129" s="1"/>
  <c r="W194" i="133"/>
  <c r="V195" i="129" s="1"/>
  <c r="H194" i="133"/>
  <c r="G195" i="129" s="1"/>
  <c r="S193" i="133"/>
  <c r="R194" i="129" s="1"/>
  <c r="C193" i="133"/>
  <c r="B194" i="129" s="1"/>
  <c r="AD194" i="129" s="1"/>
  <c r="O192" i="133"/>
  <c r="N193" i="129" s="1"/>
  <c r="Y191" i="133"/>
  <c r="X192" i="129" s="1"/>
  <c r="J191" i="133"/>
  <c r="I192" i="129" s="1"/>
  <c r="I189" i="133"/>
  <c r="H190" i="129" s="1"/>
  <c r="U189" i="133"/>
  <c r="T190" i="129" s="1"/>
  <c r="H189" i="133"/>
  <c r="G190" i="129" s="1"/>
  <c r="V189" i="133"/>
  <c r="U190" i="129" s="1"/>
  <c r="C189" i="133"/>
  <c r="B190" i="129" s="1"/>
  <c r="CL190" i="129" s="1"/>
  <c r="P189" i="133"/>
  <c r="O190" i="129" s="1"/>
  <c r="D189" i="133"/>
  <c r="C190" i="129" s="1"/>
  <c r="Q189" i="133"/>
  <c r="P190" i="129" s="1"/>
  <c r="M188" i="133"/>
  <c r="L189" i="129" s="1"/>
  <c r="V187" i="133"/>
  <c r="U188" i="129" s="1"/>
  <c r="N186" i="133"/>
  <c r="M187" i="129" s="1"/>
  <c r="X185" i="133"/>
  <c r="W186" i="129" s="1"/>
  <c r="E185" i="133"/>
  <c r="D186" i="129" s="1"/>
  <c r="P184" i="133"/>
  <c r="O185" i="129" s="1"/>
  <c r="Y183" i="133"/>
  <c r="X184" i="129" s="1"/>
  <c r="G183" i="133"/>
  <c r="F184" i="129" s="1"/>
  <c r="Q182" i="133"/>
  <c r="P183" i="129" s="1"/>
  <c r="AA180" i="133"/>
  <c r="Z181" i="129" s="1"/>
  <c r="H180" i="133"/>
  <c r="G181" i="129" s="1"/>
  <c r="AB178" i="133"/>
  <c r="AA179" i="129" s="1"/>
  <c r="I178" i="133"/>
  <c r="H179" i="129" s="1"/>
  <c r="P177" i="133"/>
  <c r="O178" i="129" s="1"/>
  <c r="R173" i="133"/>
  <c r="Q174" i="129" s="1"/>
  <c r="AB166" i="133"/>
  <c r="AA167" i="129" s="1"/>
  <c r="J163" i="133"/>
  <c r="I164" i="129" s="1"/>
  <c r="I169" i="133"/>
  <c r="H170" i="129" s="1"/>
  <c r="U169" i="133"/>
  <c r="T170" i="129" s="1"/>
  <c r="K169" i="133"/>
  <c r="J170" i="129" s="1"/>
  <c r="X169" i="133"/>
  <c r="W170" i="129" s="1"/>
  <c r="L169" i="133"/>
  <c r="K170" i="129" s="1"/>
  <c r="Y169" i="133"/>
  <c r="X170" i="129" s="1"/>
  <c r="C169" i="133"/>
  <c r="B170" i="129" s="1"/>
  <c r="P169" i="133"/>
  <c r="O170" i="129" s="1"/>
  <c r="D169" i="133"/>
  <c r="C170" i="129" s="1"/>
  <c r="Q169" i="133"/>
  <c r="P170" i="129" s="1"/>
  <c r="F169" i="133"/>
  <c r="E170" i="129" s="1"/>
  <c r="S169" i="133"/>
  <c r="R170" i="129" s="1"/>
  <c r="G169" i="133"/>
  <c r="F170" i="129" s="1"/>
  <c r="T169" i="133"/>
  <c r="S170" i="129" s="1"/>
  <c r="Z201" i="133"/>
  <c r="Y202" i="129" s="1"/>
  <c r="L201" i="133"/>
  <c r="K202" i="129" s="1"/>
  <c r="Y200" i="133"/>
  <c r="X201" i="129" s="1"/>
  <c r="J200" i="133"/>
  <c r="I201" i="129" s="1"/>
  <c r="W199" i="133"/>
  <c r="V200" i="129" s="1"/>
  <c r="I199" i="133"/>
  <c r="H200" i="129" s="1"/>
  <c r="U198" i="133"/>
  <c r="T199" i="129" s="1"/>
  <c r="G198" i="133"/>
  <c r="F199" i="129" s="1"/>
  <c r="R196" i="133"/>
  <c r="Q197" i="129" s="1"/>
  <c r="X201" i="133"/>
  <c r="W202" i="129" s="1"/>
  <c r="J201" i="133"/>
  <c r="I202" i="129" s="1"/>
  <c r="V200" i="133"/>
  <c r="U201" i="129" s="1"/>
  <c r="H200" i="133"/>
  <c r="G201" i="129" s="1"/>
  <c r="T199" i="133"/>
  <c r="S200" i="129" s="1"/>
  <c r="F199" i="133"/>
  <c r="E200" i="129" s="1"/>
  <c r="S198" i="133"/>
  <c r="R199" i="129" s="1"/>
  <c r="D198" i="133"/>
  <c r="C199" i="129" s="1"/>
  <c r="O196" i="133"/>
  <c r="N197" i="129" s="1"/>
  <c r="Z195" i="133"/>
  <c r="Y196" i="129" s="1"/>
  <c r="J195" i="133"/>
  <c r="I196" i="129" s="1"/>
  <c r="V194" i="133"/>
  <c r="U195" i="129" s="1"/>
  <c r="G194" i="133"/>
  <c r="F195" i="129" s="1"/>
  <c r="Q193" i="133"/>
  <c r="P194" i="129" s="1"/>
  <c r="C187" i="133"/>
  <c r="B188" i="129" s="1"/>
  <c r="AC188" i="129" s="1"/>
  <c r="O187" i="133"/>
  <c r="N188" i="129" s="1"/>
  <c r="AA187" i="133"/>
  <c r="Z188" i="129" s="1"/>
  <c r="J187" i="133"/>
  <c r="I188" i="129" s="1"/>
  <c r="W187" i="133"/>
  <c r="V188" i="129" s="1"/>
  <c r="E187" i="133"/>
  <c r="D188" i="129" s="1"/>
  <c r="R187" i="133"/>
  <c r="Q188" i="129" s="1"/>
  <c r="F187" i="133"/>
  <c r="E188" i="129" s="1"/>
  <c r="S187" i="133"/>
  <c r="R188" i="129" s="1"/>
  <c r="M186" i="133"/>
  <c r="L187" i="129" s="1"/>
  <c r="W185" i="133"/>
  <c r="V186" i="129" s="1"/>
  <c r="D185" i="133"/>
  <c r="C186" i="129" s="1"/>
  <c r="O184" i="133"/>
  <c r="N185" i="129" s="1"/>
  <c r="X183" i="133"/>
  <c r="W184" i="129" s="1"/>
  <c r="F183" i="133"/>
  <c r="E184" i="129" s="1"/>
  <c r="P182" i="133"/>
  <c r="O183" i="129" s="1"/>
  <c r="Z180" i="133"/>
  <c r="Y181" i="129" s="1"/>
  <c r="G180" i="133"/>
  <c r="F181" i="129" s="1"/>
  <c r="AA178" i="133"/>
  <c r="Z179" i="129" s="1"/>
  <c r="H178" i="133"/>
  <c r="G179" i="129" s="1"/>
  <c r="O177" i="133"/>
  <c r="N178" i="129" s="1"/>
  <c r="O173" i="133"/>
  <c r="N174" i="129" s="1"/>
  <c r="W169" i="133"/>
  <c r="V170" i="129" s="1"/>
  <c r="Y166" i="133"/>
  <c r="X167" i="129" s="1"/>
  <c r="I163" i="133"/>
  <c r="H164" i="129" s="1"/>
  <c r="H133" i="133"/>
  <c r="G134" i="129" s="1"/>
  <c r="T133" i="133"/>
  <c r="S134" i="129" s="1"/>
  <c r="I133" i="133"/>
  <c r="H134" i="129" s="1"/>
  <c r="V133" i="133"/>
  <c r="U134" i="129" s="1"/>
  <c r="C133" i="133"/>
  <c r="B134" i="129" s="1"/>
  <c r="Q133" i="133"/>
  <c r="P134" i="129" s="1"/>
  <c r="E133" i="133"/>
  <c r="D134" i="129" s="1"/>
  <c r="S133" i="133"/>
  <c r="R134" i="129" s="1"/>
  <c r="F133" i="133"/>
  <c r="E134" i="129" s="1"/>
  <c r="U133" i="133"/>
  <c r="T134" i="129" s="1"/>
  <c r="L133" i="133"/>
  <c r="K134" i="129" s="1"/>
  <c r="Z133" i="133"/>
  <c r="Y134" i="129" s="1"/>
  <c r="O133" i="133"/>
  <c r="N134" i="129" s="1"/>
  <c r="D131" i="133"/>
  <c r="C132" i="129" s="1"/>
  <c r="P131" i="133"/>
  <c r="O132" i="129" s="1"/>
  <c r="AB131" i="133"/>
  <c r="AA132" i="129" s="1"/>
  <c r="K131" i="133"/>
  <c r="J132" i="129" s="1"/>
  <c r="X131" i="133"/>
  <c r="W132" i="129" s="1"/>
  <c r="G131" i="133"/>
  <c r="F132" i="129" s="1"/>
  <c r="U131" i="133"/>
  <c r="T132" i="129" s="1"/>
  <c r="L131" i="133"/>
  <c r="K132" i="129" s="1"/>
  <c r="AA131" i="133"/>
  <c r="Z132" i="129" s="1"/>
  <c r="M131" i="133"/>
  <c r="L132" i="129" s="1"/>
  <c r="N131" i="133"/>
  <c r="M132" i="129" s="1"/>
  <c r="O131" i="133"/>
  <c r="N132" i="129" s="1"/>
  <c r="E131" i="133"/>
  <c r="D132" i="129" s="1"/>
  <c r="T131" i="133"/>
  <c r="S132" i="129" s="1"/>
  <c r="I131" i="133"/>
  <c r="H132" i="129" s="1"/>
  <c r="Y131" i="133"/>
  <c r="X132" i="129" s="1"/>
  <c r="D119" i="133"/>
  <c r="C120" i="129" s="1"/>
  <c r="P119" i="133"/>
  <c r="O120" i="129" s="1"/>
  <c r="AB119" i="133"/>
  <c r="AA120" i="129" s="1"/>
  <c r="H119" i="133"/>
  <c r="G120" i="129" s="1"/>
  <c r="U119" i="133"/>
  <c r="T120" i="129" s="1"/>
  <c r="E119" i="133"/>
  <c r="D120" i="129" s="1"/>
  <c r="S119" i="133"/>
  <c r="R120" i="129" s="1"/>
  <c r="F119" i="133"/>
  <c r="E120" i="129" s="1"/>
  <c r="T119" i="133"/>
  <c r="S120" i="129" s="1"/>
  <c r="L119" i="133"/>
  <c r="K120" i="129" s="1"/>
  <c r="M119" i="133"/>
  <c r="L120" i="129" s="1"/>
  <c r="N119" i="133"/>
  <c r="M120" i="129" s="1"/>
  <c r="O119" i="133"/>
  <c r="N120" i="129" s="1"/>
  <c r="Q119" i="133"/>
  <c r="P120" i="129" s="1"/>
  <c r="C119" i="133"/>
  <c r="B120" i="129" s="1"/>
  <c r="BR120" i="129" s="1"/>
  <c r="W119" i="133"/>
  <c r="V120" i="129" s="1"/>
  <c r="G119" i="133"/>
  <c r="F120" i="129" s="1"/>
  <c r="X119" i="133"/>
  <c r="W120" i="129" s="1"/>
  <c r="I119" i="133"/>
  <c r="H120" i="129" s="1"/>
  <c r="Y119" i="133"/>
  <c r="X120" i="129" s="1"/>
  <c r="K119" i="133"/>
  <c r="J120" i="129" s="1"/>
  <c r="AA119" i="133"/>
  <c r="Z120" i="129" s="1"/>
  <c r="L159" i="133"/>
  <c r="K160" i="129" s="1"/>
  <c r="X159" i="133"/>
  <c r="W160" i="129" s="1"/>
  <c r="C159" i="133"/>
  <c r="B160" i="129" s="1"/>
  <c r="O159" i="133"/>
  <c r="N160" i="129" s="1"/>
  <c r="AA159" i="133"/>
  <c r="Z160" i="129" s="1"/>
  <c r="N158" i="133"/>
  <c r="M159" i="129" s="1"/>
  <c r="Z156" i="133"/>
  <c r="Y157" i="129" s="1"/>
  <c r="K156" i="133"/>
  <c r="J157" i="129" s="1"/>
  <c r="W155" i="133"/>
  <c r="V156" i="129" s="1"/>
  <c r="I155" i="133"/>
  <c r="H156" i="129" s="1"/>
  <c r="T153" i="133"/>
  <c r="S154" i="129" s="1"/>
  <c r="E153" i="133"/>
  <c r="D154" i="129" s="1"/>
  <c r="P151" i="133"/>
  <c r="O152" i="129" s="1"/>
  <c r="Z150" i="133"/>
  <c r="Y151" i="129" s="1"/>
  <c r="K150" i="133"/>
  <c r="J151" i="129" s="1"/>
  <c r="E147" i="133"/>
  <c r="D148" i="129" s="1"/>
  <c r="Q147" i="133"/>
  <c r="P148" i="129" s="1"/>
  <c r="L147" i="133"/>
  <c r="K148" i="129" s="1"/>
  <c r="X147" i="133"/>
  <c r="W148" i="129" s="1"/>
  <c r="C147" i="133"/>
  <c r="B148" i="129" s="1"/>
  <c r="AN148" i="129" s="1"/>
  <c r="O147" i="133"/>
  <c r="N148" i="129" s="1"/>
  <c r="AA147" i="133"/>
  <c r="Z148" i="129" s="1"/>
  <c r="AA145" i="133"/>
  <c r="Z146" i="129" s="1"/>
  <c r="J145" i="133"/>
  <c r="I146" i="129" s="1"/>
  <c r="AB143" i="133"/>
  <c r="AA144" i="129" s="1"/>
  <c r="L143" i="133"/>
  <c r="K144" i="129" s="1"/>
  <c r="T142" i="133"/>
  <c r="S143" i="129" s="1"/>
  <c r="N141" i="133"/>
  <c r="M142" i="129" s="1"/>
  <c r="T138" i="133"/>
  <c r="S139" i="129" s="1"/>
  <c r="Y133" i="133"/>
  <c r="X134" i="129" s="1"/>
  <c r="X129" i="133"/>
  <c r="W130" i="129" s="1"/>
  <c r="Y179" i="133"/>
  <c r="X180" i="129" s="1"/>
  <c r="L179" i="133"/>
  <c r="K180" i="129" s="1"/>
  <c r="AB176" i="133"/>
  <c r="AA177" i="129" s="1"/>
  <c r="C175" i="133"/>
  <c r="B176" i="129" s="1"/>
  <c r="AC176" i="129" s="1"/>
  <c r="O175" i="133"/>
  <c r="N176" i="129" s="1"/>
  <c r="AA175" i="133"/>
  <c r="Z176" i="129" s="1"/>
  <c r="P174" i="133"/>
  <c r="O175" i="129" s="1"/>
  <c r="R172" i="133"/>
  <c r="Q173" i="129" s="1"/>
  <c r="E172" i="133"/>
  <c r="D173" i="129" s="1"/>
  <c r="S171" i="133"/>
  <c r="R172" i="129" s="1"/>
  <c r="F171" i="133"/>
  <c r="E172" i="129" s="1"/>
  <c r="T170" i="133"/>
  <c r="S171" i="129" s="1"/>
  <c r="G170" i="133"/>
  <c r="F171" i="129" s="1"/>
  <c r="U168" i="133"/>
  <c r="T169" i="129" s="1"/>
  <c r="H168" i="133"/>
  <c r="G169" i="129" s="1"/>
  <c r="V167" i="133"/>
  <c r="U168" i="129" s="1"/>
  <c r="I167" i="133"/>
  <c r="H168" i="129" s="1"/>
  <c r="X165" i="133"/>
  <c r="W166" i="129" s="1"/>
  <c r="Y164" i="133"/>
  <c r="X165" i="129" s="1"/>
  <c r="J164" i="133"/>
  <c r="I165" i="129" s="1"/>
  <c r="U162" i="133"/>
  <c r="T163" i="129" s="1"/>
  <c r="G162" i="133"/>
  <c r="F163" i="129" s="1"/>
  <c r="S161" i="133"/>
  <c r="R162" i="129" s="1"/>
  <c r="D161" i="133"/>
  <c r="C162" i="129" s="1"/>
  <c r="Q160" i="133"/>
  <c r="P161" i="129" s="1"/>
  <c r="P159" i="133"/>
  <c r="O160" i="129" s="1"/>
  <c r="AB158" i="133"/>
  <c r="AA159" i="129" s="1"/>
  <c r="M158" i="133"/>
  <c r="L159" i="129" s="1"/>
  <c r="Y156" i="133"/>
  <c r="X157" i="129" s="1"/>
  <c r="J156" i="133"/>
  <c r="I157" i="129" s="1"/>
  <c r="V155" i="133"/>
  <c r="U156" i="129" s="1"/>
  <c r="H155" i="133"/>
  <c r="G156" i="129" s="1"/>
  <c r="U154" i="133"/>
  <c r="T155" i="129" s="1"/>
  <c r="G154" i="133"/>
  <c r="F155" i="129" s="1"/>
  <c r="S153" i="133"/>
  <c r="R154" i="129" s="1"/>
  <c r="D153" i="133"/>
  <c r="C154" i="129" s="1"/>
  <c r="N151" i="133"/>
  <c r="M152" i="129" s="1"/>
  <c r="Y150" i="133"/>
  <c r="X151" i="129" s="1"/>
  <c r="J150" i="133"/>
  <c r="I151" i="129" s="1"/>
  <c r="T149" i="133"/>
  <c r="S150" i="129" s="1"/>
  <c r="D149" i="133"/>
  <c r="C150" i="129" s="1"/>
  <c r="R147" i="133"/>
  <c r="Q148" i="129" s="1"/>
  <c r="Z145" i="133"/>
  <c r="Y146" i="129" s="1"/>
  <c r="I145" i="133"/>
  <c r="H146" i="129" s="1"/>
  <c r="AA143" i="133"/>
  <c r="Z144" i="129" s="1"/>
  <c r="K143" i="133"/>
  <c r="J144" i="129" s="1"/>
  <c r="I142" i="133"/>
  <c r="H143" i="129" s="1"/>
  <c r="U142" i="133"/>
  <c r="T143" i="129" s="1"/>
  <c r="K142" i="133"/>
  <c r="J143" i="129" s="1"/>
  <c r="X142" i="133"/>
  <c r="W143" i="129" s="1"/>
  <c r="E142" i="133"/>
  <c r="D143" i="129" s="1"/>
  <c r="R142" i="133"/>
  <c r="Q143" i="129" s="1"/>
  <c r="H142" i="133"/>
  <c r="G143" i="129" s="1"/>
  <c r="V142" i="133"/>
  <c r="U143" i="129" s="1"/>
  <c r="M141" i="133"/>
  <c r="L142" i="129" s="1"/>
  <c r="S138" i="133"/>
  <c r="R139" i="129" s="1"/>
  <c r="X133" i="133"/>
  <c r="W134" i="129" s="1"/>
  <c r="Z131" i="133"/>
  <c r="Y132" i="129" s="1"/>
  <c r="Q129" i="133"/>
  <c r="P130" i="129" s="1"/>
  <c r="AA125" i="133"/>
  <c r="Z126" i="129" s="1"/>
  <c r="L176" i="133"/>
  <c r="K177" i="129" s="1"/>
  <c r="X176" i="133"/>
  <c r="W177" i="129" s="1"/>
  <c r="P175" i="133"/>
  <c r="O176" i="129" s="1"/>
  <c r="W197" i="133"/>
  <c r="V198" i="129" s="1"/>
  <c r="F190" i="133"/>
  <c r="E191" i="129" s="1"/>
  <c r="R190" i="133"/>
  <c r="Q191" i="129" s="1"/>
  <c r="W181" i="133"/>
  <c r="V182" i="129" s="1"/>
  <c r="X179" i="133"/>
  <c r="W180" i="129" s="1"/>
  <c r="K179" i="133"/>
  <c r="J180" i="129" s="1"/>
  <c r="AA176" i="133"/>
  <c r="Z177" i="129" s="1"/>
  <c r="N176" i="133"/>
  <c r="M177" i="129" s="1"/>
  <c r="AB175" i="133"/>
  <c r="AA176" i="129" s="1"/>
  <c r="N175" i="133"/>
  <c r="M176" i="129" s="1"/>
  <c r="F174" i="133"/>
  <c r="E175" i="129" s="1"/>
  <c r="R174" i="133"/>
  <c r="Q175" i="129" s="1"/>
  <c r="Q172" i="133"/>
  <c r="P173" i="129" s="1"/>
  <c r="R171" i="133"/>
  <c r="Q172" i="129" s="1"/>
  <c r="S170" i="133"/>
  <c r="R171" i="129" s="1"/>
  <c r="E170" i="133"/>
  <c r="D171" i="129" s="1"/>
  <c r="T168" i="133"/>
  <c r="S169" i="129" s="1"/>
  <c r="G168" i="133"/>
  <c r="F169" i="129" s="1"/>
  <c r="U167" i="133"/>
  <c r="T168" i="129" s="1"/>
  <c r="H167" i="133"/>
  <c r="G168" i="129" s="1"/>
  <c r="W164" i="133"/>
  <c r="V165" i="129" s="1"/>
  <c r="H164" i="133"/>
  <c r="G165" i="129" s="1"/>
  <c r="T162" i="133"/>
  <c r="S163" i="129" s="1"/>
  <c r="Q161" i="133"/>
  <c r="P162" i="129" s="1"/>
  <c r="I160" i="133"/>
  <c r="H161" i="129" s="1"/>
  <c r="U160" i="133"/>
  <c r="T161" i="129" s="1"/>
  <c r="L160" i="133"/>
  <c r="K161" i="129" s="1"/>
  <c r="X160" i="133"/>
  <c r="W161" i="129" s="1"/>
  <c r="N159" i="133"/>
  <c r="M160" i="129" s="1"/>
  <c r="Z158" i="133"/>
  <c r="Y159" i="129" s="1"/>
  <c r="L158" i="133"/>
  <c r="K159" i="129" s="1"/>
  <c r="Y157" i="133"/>
  <c r="X158" i="129" s="1"/>
  <c r="W156" i="133"/>
  <c r="V157" i="129" s="1"/>
  <c r="H156" i="133"/>
  <c r="G157" i="129" s="1"/>
  <c r="U155" i="133"/>
  <c r="T156" i="129" s="1"/>
  <c r="G155" i="133"/>
  <c r="F156" i="129" s="1"/>
  <c r="T154" i="133"/>
  <c r="S155" i="129" s="1"/>
  <c r="Q153" i="133"/>
  <c r="P154" i="129" s="1"/>
  <c r="M151" i="133"/>
  <c r="L152" i="129" s="1"/>
  <c r="X150" i="133"/>
  <c r="W151" i="129" s="1"/>
  <c r="I150" i="133"/>
  <c r="H151" i="129" s="1"/>
  <c r="S149" i="133"/>
  <c r="R150" i="129" s="1"/>
  <c r="P147" i="133"/>
  <c r="O148" i="129" s="1"/>
  <c r="Y145" i="133"/>
  <c r="X146" i="129" s="1"/>
  <c r="G145" i="133"/>
  <c r="F146" i="129" s="1"/>
  <c r="Z143" i="133"/>
  <c r="Y144" i="129" s="1"/>
  <c r="I143" i="133"/>
  <c r="H144" i="129" s="1"/>
  <c r="Q142" i="133"/>
  <c r="P143" i="129" s="1"/>
  <c r="AB141" i="133"/>
  <c r="AA142" i="129" s="1"/>
  <c r="J141" i="133"/>
  <c r="I142" i="129" s="1"/>
  <c r="R138" i="133"/>
  <c r="Q139" i="129" s="1"/>
  <c r="W133" i="133"/>
  <c r="V134" i="129" s="1"/>
  <c r="W131" i="133"/>
  <c r="V132" i="129" s="1"/>
  <c r="O129" i="133"/>
  <c r="N130" i="129" s="1"/>
  <c r="U125" i="133"/>
  <c r="T126" i="129" s="1"/>
  <c r="F161" i="133"/>
  <c r="E162" i="129" s="1"/>
  <c r="R161" i="133"/>
  <c r="Q162" i="129" s="1"/>
  <c r="I161" i="133"/>
  <c r="H162" i="129" s="1"/>
  <c r="U161" i="133"/>
  <c r="T162" i="129" s="1"/>
  <c r="AB159" i="133"/>
  <c r="AA160" i="129" s="1"/>
  <c r="M159" i="133"/>
  <c r="L160" i="129" s="1"/>
  <c r="Y158" i="133"/>
  <c r="X159" i="129" s="1"/>
  <c r="K158" i="133"/>
  <c r="J159" i="129" s="1"/>
  <c r="V156" i="133"/>
  <c r="U157" i="129" s="1"/>
  <c r="G156" i="133"/>
  <c r="F157" i="129" s="1"/>
  <c r="T155" i="133"/>
  <c r="S156" i="129" s="1"/>
  <c r="F155" i="133"/>
  <c r="E156" i="129" s="1"/>
  <c r="F153" i="133"/>
  <c r="E154" i="129" s="1"/>
  <c r="R153" i="133"/>
  <c r="Q154" i="129" s="1"/>
  <c r="I153" i="133"/>
  <c r="H154" i="129" s="1"/>
  <c r="U153" i="133"/>
  <c r="T154" i="129" s="1"/>
  <c r="AB151" i="133"/>
  <c r="AA152" i="129" s="1"/>
  <c r="K151" i="133"/>
  <c r="J152" i="129" s="1"/>
  <c r="W150" i="133"/>
  <c r="V151" i="129" s="1"/>
  <c r="G150" i="133"/>
  <c r="F151" i="129" s="1"/>
  <c r="K149" i="133"/>
  <c r="J150" i="129" s="1"/>
  <c r="W149" i="133"/>
  <c r="V150" i="129" s="1"/>
  <c r="F149" i="133"/>
  <c r="E150" i="129" s="1"/>
  <c r="R149" i="133"/>
  <c r="Q150" i="129" s="1"/>
  <c r="I149" i="133"/>
  <c r="H150" i="129" s="1"/>
  <c r="U149" i="133"/>
  <c r="T150" i="129" s="1"/>
  <c r="N147" i="133"/>
  <c r="M148" i="129" s="1"/>
  <c r="W145" i="133"/>
  <c r="V146" i="129" s="1"/>
  <c r="E145" i="133"/>
  <c r="D146" i="129" s="1"/>
  <c r="Y143" i="133"/>
  <c r="X144" i="129" s="1"/>
  <c r="G143" i="133"/>
  <c r="F144" i="129" s="1"/>
  <c r="P142" i="133"/>
  <c r="O143" i="129" s="1"/>
  <c r="AA141" i="133"/>
  <c r="Z142" i="129" s="1"/>
  <c r="H141" i="133"/>
  <c r="G142" i="129" s="1"/>
  <c r="O138" i="133"/>
  <c r="N139" i="129" s="1"/>
  <c r="R133" i="133"/>
  <c r="Q134" i="129" s="1"/>
  <c r="V131" i="133"/>
  <c r="U132" i="129" s="1"/>
  <c r="K129" i="133"/>
  <c r="J130" i="129" s="1"/>
  <c r="S125" i="133"/>
  <c r="R126" i="129" s="1"/>
  <c r="AA115" i="133"/>
  <c r="Z116" i="129" s="1"/>
  <c r="L172" i="133"/>
  <c r="K173" i="129" s="1"/>
  <c r="X172" i="133"/>
  <c r="W173" i="129" s="1"/>
  <c r="C171" i="133"/>
  <c r="B172" i="129" s="1"/>
  <c r="O171" i="133"/>
  <c r="N172" i="129" s="1"/>
  <c r="AA171" i="133"/>
  <c r="Z172" i="129" s="1"/>
  <c r="P170" i="133"/>
  <c r="O171" i="129" s="1"/>
  <c r="R168" i="133"/>
  <c r="Q169" i="129" s="1"/>
  <c r="E168" i="133"/>
  <c r="D169" i="129" s="1"/>
  <c r="S167" i="133"/>
  <c r="R168" i="129" s="1"/>
  <c r="F167" i="133"/>
  <c r="E168" i="129" s="1"/>
  <c r="T164" i="133"/>
  <c r="S165" i="129" s="1"/>
  <c r="F164" i="133"/>
  <c r="E165" i="129" s="1"/>
  <c r="C162" i="133"/>
  <c r="B163" i="129" s="1"/>
  <c r="BW163" i="129" s="1"/>
  <c r="O162" i="133"/>
  <c r="N163" i="129" s="1"/>
  <c r="AA162" i="133"/>
  <c r="Z163" i="129" s="1"/>
  <c r="F162" i="133"/>
  <c r="E163" i="129" s="1"/>
  <c r="R162" i="133"/>
  <c r="Q163" i="129" s="1"/>
  <c r="O161" i="133"/>
  <c r="N162" i="129" s="1"/>
  <c r="AB160" i="133"/>
  <c r="AA161" i="129" s="1"/>
  <c r="N160" i="133"/>
  <c r="M161" i="129" s="1"/>
  <c r="Z159" i="133"/>
  <c r="Y160" i="129" s="1"/>
  <c r="K159" i="133"/>
  <c r="J160" i="129" s="1"/>
  <c r="X158" i="133"/>
  <c r="W159" i="129" s="1"/>
  <c r="J158" i="133"/>
  <c r="I159" i="129" s="1"/>
  <c r="T156" i="133"/>
  <c r="S157" i="129" s="1"/>
  <c r="F156" i="133"/>
  <c r="E157" i="129" s="1"/>
  <c r="S155" i="133"/>
  <c r="R156" i="129" s="1"/>
  <c r="E155" i="133"/>
  <c r="D156" i="129" s="1"/>
  <c r="C154" i="133"/>
  <c r="B155" i="129" s="1"/>
  <c r="AP155" i="129" s="1"/>
  <c r="O154" i="133"/>
  <c r="N155" i="129" s="1"/>
  <c r="AA154" i="133"/>
  <c r="Z155" i="129" s="1"/>
  <c r="F154" i="133"/>
  <c r="E155" i="129" s="1"/>
  <c r="R154" i="133"/>
  <c r="Q155" i="129" s="1"/>
  <c r="O153" i="133"/>
  <c r="N154" i="129" s="1"/>
  <c r="Z151" i="133"/>
  <c r="Y152" i="129" s="1"/>
  <c r="J151" i="133"/>
  <c r="I152" i="129" s="1"/>
  <c r="V150" i="133"/>
  <c r="U151" i="129" s="1"/>
  <c r="E150" i="133"/>
  <c r="D151" i="129" s="1"/>
  <c r="P149" i="133"/>
  <c r="O150" i="129" s="1"/>
  <c r="M147" i="133"/>
  <c r="L148" i="129" s="1"/>
  <c r="V145" i="133"/>
  <c r="U146" i="129" s="1"/>
  <c r="X143" i="133"/>
  <c r="W144" i="129" s="1"/>
  <c r="E143" i="133"/>
  <c r="D144" i="129" s="1"/>
  <c r="O142" i="133"/>
  <c r="N143" i="129" s="1"/>
  <c r="Z141" i="133"/>
  <c r="Y142" i="129" s="1"/>
  <c r="G141" i="133"/>
  <c r="F142" i="129" s="1"/>
  <c r="M138" i="133"/>
  <c r="L139" i="129" s="1"/>
  <c r="P133" i="133"/>
  <c r="O134" i="129" s="1"/>
  <c r="S131" i="133"/>
  <c r="R132" i="129" s="1"/>
  <c r="I129" i="133"/>
  <c r="H130" i="129" s="1"/>
  <c r="L125" i="133"/>
  <c r="K126" i="129" s="1"/>
  <c r="Z115" i="133"/>
  <c r="Y116" i="129" s="1"/>
  <c r="F170" i="133"/>
  <c r="E171" i="129" s="1"/>
  <c r="R170" i="133"/>
  <c r="Q171" i="129" s="1"/>
  <c r="Q168" i="133"/>
  <c r="P169" i="129" s="1"/>
  <c r="R167" i="133"/>
  <c r="Q168" i="129" s="1"/>
  <c r="S164" i="133"/>
  <c r="R165" i="129" s="1"/>
  <c r="E164" i="133"/>
  <c r="D165" i="129" s="1"/>
  <c r="P162" i="133"/>
  <c r="O163" i="129" s="1"/>
  <c r="AB161" i="133"/>
  <c r="AA162" i="129" s="1"/>
  <c r="N161" i="133"/>
  <c r="M162" i="129" s="1"/>
  <c r="Y159" i="133"/>
  <c r="X160" i="129" s="1"/>
  <c r="J159" i="133"/>
  <c r="I160" i="129" s="1"/>
  <c r="W158" i="133"/>
  <c r="V159" i="129" s="1"/>
  <c r="I158" i="133"/>
  <c r="H159" i="129" s="1"/>
  <c r="S156" i="133"/>
  <c r="R157" i="129" s="1"/>
  <c r="E156" i="133"/>
  <c r="D157" i="129" s="1"/>
  <c r="R155" i="133"/>
  <c r="Q156" i="129" s="1"/>
  <c r="AB153" i="133"/>
  <c r="AA154" i="129" s="1"/>
  <c r="N153" i="133"/>
  <c r="M154" i="129" s="1"/>
  <c r="Y151" i="133"/>
  <c r="X152" i="129" s="1"/>
  <c r="I151" i="133"/>
  <c r="H152" i="129" s="1"/>
  <c r="U150" i="133"/>
  <c r="T151" i="129" s="1"/>
  <c r="O149" i="133"/>
  <c r="N150" i="129" s="1"/>
  <c r="AB147" i="133"/>
  <c r="AA148" i="129" s="1"/>
  <c r="K147" i="133"/>
  <c r="J148" i="129" s="1"/>
  <c r="L145" i="133"/>
  <c r="K146" i="129" s="1"/>
  <c r="X145" i="133"/>
  <c r="W146" i="129" s="1"/>
  <c r="H145" i="133"/>
  <c r="G146" i="129" s="1"/>
  <c r="U145" i="133"/>
  <c r="T146" i="129" s="1"/>
  <c r="C145" i="133"/>
  <c r="B146" i="129" s="1"/>
  <c r="BN146" i="129" s="1"/>
  <c r="P145" i="133"/>
  <c r="O146" i="129" s="1"/>
  <c r="F145" i="133"/>
  <c r="E146" i="129" s="1"/>
  <c r="S145" i="133"/>
  <c r="R146" i="129" s="1"/>
  <c r="V143" i="133"/>
  <c r="U144" i="129" s="1"/>
  <c r="N142" i="133"/>
  <c r="M143" i="129" s="1"/>
  <c r="W141" i="133"/>
  <c r="V142" i="129" s="1"/>
  <c r="E141" i="133"/>
  <c r="D142" i="129" s="1"/>
  <c r="K138" i="133"/>
  <c r="J139" i="129" s="1"/>
  <c r="N133" i="133"/>
  <c r="M134" i="129" s="1"/>
  <c r="R131" i="133"/>
  <c r="Q132" i="129" s="1"/>
  <c r="K125" i="133"/>
  <c r="J126" i="129" s="1"/>
  <c r="M115" i="133"/>
  <c r="L116" i="129" s="1"/>
  <c r="L155" i="133"/>
  <c r="K156" i="129" s="1"/>
  <c r="X155" i="133"/>
  <c r="W156" i="129" s="1"/>
  <c r="C155" i="133"/>
  <c r="B156" i="129" s="1"/>
  <c r="O155" i="133"/>
  <c r="N156" i="129" s="1"/>
  <c r="AA155" i="133"/>
  <c r="Z156" i="129" s="1"/>
  <c r="H150" i="133"/>
  <c r="G151" i="129" s="1"/>
  <c r="T150" i="133"/>
  <c r="S151" i="129" s="1"/>
  <c r="C150" i="133"/>
  <c r="B151" i="129" s="1"/>
  <c r="AP151" i="129" s="1"/>
  <c r="O150" i="133"/>
  <c r="N151" i="129" s="1"/>
  <c r="AA150" i="133"/>
  <c r="Z151" i="129" s="1"/>
  <c r="F150" i="133"/>
  <c r="E151" i="129" s="1"/>
  <c r="R150" i="133"/>
  <c r="Q151" i="129" s="1"/>
  <c r="F143" i="133"/>
  <c r="E144" i="129" s="1"/>
  <c r="R143" i="133"/>
  <c r="Q144" i="129" s="1"/>
  <c r="J143" i="133"/>
  <c r="I144" i="129" s="1"/>
  <c r="W143" i="133"/>
  <c r="V144" i="129" s="1"/>
  <c r="D143" i="133"/>
  <c r="C144" i="129" s="1"/>
  <c r="Q143" i="133"/>
  <c r="P144" i="129" s="1"/>
  <c r="H143" i="133"/>
  <c r="G144" i="129" s="1"/>
  <c r="U143" i="133"/>
  <c r="T144" i="129" s="1"/>
  <c r="U141" i="133"/>
  <c r="T142" i="129" s="1"/>
  <c r="M133" i="133"/>
  <c r="L134" i="129" s="1"/>
  <c r="Q131" i="133"/>
  <c r="P132" i="129" s="1"/>
  <c r="J129" i="133"/>
  <c r="I130" i="129" s="1"/>
  <c r="V129" i="133"/>
  <c r="U130" i="129" s="1"/>
  <c r="M129" i="133"/>
  <c r="L130" i="129" s="1"/>
  <c r="Z129" i="133"/>
  <c r="Y130" i="129" s="1"/>
  <c r="D129" i="133"/>
  <c r="C130" i="129" s="1"/>
  <c r="R129" i="133"/>
  <c r="Q130" i="129" s="1"/>
  <c r="C129" i="133"/>
  <c r="B130" i="129" s="1"/>
  <c r="BN130" i="129" s="1"/>
  <c r="S129" i="133"/>
  <c r="R130" i="129" s="1"/>
  <c r="E129" i="133"/>
  <c r="D130" i="129" s="1"/>
  <c r="T129" i="133"/>
  <c r="S130" i="129" s="1"/>
  <c r="F129" i="133"/>
  <c r="E130" i="129" s="1"/>
  <c r="U129" i="133"/>
  <c r="T130" i="129" s="1"/>
  <c r="G129" i="133"/>
  <c r="F130" i="129" s="1"/>
  <c r="W129" i="133"/>
  <c r="V130" i="129" s="1"/>
  <c r="L129" i="133"/>
  <c r="K130" i="129" s="1"/>
  <c r="AB129" i="133"/>
  <c r="AA130" i="129" s="1"/>
  <c r="N129" i="133"/>
  <c r="M130" i="129" s="1"/>
  <c r="P129" i="133"/>
  <c r="O130" i="129" s="1"/>
  <c r="L168" i="133"/>
  <c r="K169" i="129" s="1"/>
  <c r="X168" i="133"/>
  <c r="W169" i="129" s="1"/>
  <c r="C167" i="133"/>
  <c r="B168" i="129" s="1"/>
  <c r="BW168" i="129" s="1"/>
  <c r="O167" i="133"/>
  <c r="N168" i="129" s="1"/>
  <c r="AA167" i="133"/>
  <c r="Z168" i="129" s="1"/>
  <c r="Q164" i="133"/>
  <c r="P165" i="129" s="1"/>
  <c r="Z161" i="133"/>
  <c r="Y162" i="129" s="1"/>
  <c r="L161" i="133"/>
  <c r="K162" i="129" s="1"/>
  <c r="V159" i="133"/>
  <c r="U160" i="129" s="1"/>
  <c r="H159" i="133"/>
  <c r="G160" i="129" s="1"/>
  <c r="U158" i="133"/>
  <c r="T159" i="129" s="1"/>
  <c r="G158" i="133"/>
  <c r="F159" i="129" s="1"/>
  <c r="Q156" i="133"/>
  <c r="P157" i="129" s="1"/>
  <c r="P155" i="133"/>
  <c r="O156" i="129" s="1"/>
  <c r="Z153" i="133"/>
  <c r="Y154" i="129" s="1"/>
  <c r="L153" i="133"/>
  <c r="K154" i="129" s="1"/>
  <c r="Q150" i="133"/>
  <c r="P151" i="129" s="1"/>
  <c r="S143" i="133"/>
  <c r="R144" i="129" s="1"/>
  <c r="K133" i="133"/>
  <c r="J134" i="129" s="1"/>
  <c r="J131" i="133"/>
  <c r="I132" i="129" s="1"/>
  <c r="J125" i="133"/>
  <c r="I126" i="129" s="1"/>
  <c r="V125" i="133"/>
  <c r="U126" i="129" s="1"/>
  <c r="C125" i="133"/>
  <c r="B126" i="129" s="1"/>
  <c r="CA126" i="129" s="1"/>
  <c r="P125" i="133"/>
  <c r="O126" i="129" s="1"/>
  <c r="N125" i="133"/>
  <c r="M126" i="129" s="1"/>
  <c r="AB125" i="133"/>
  <c r="AA126" i="129" s="1"/>
  <c r="O125" i="133"/>
  <c r="N126" i="129" s="1"/>
  <c r="F125" i="133"/>
  <c r="E126" i="129" s="1"/>
  <c r="W125" i="133"/>
  <c r="V126" i="129" s="1"/>
  <c r="G125" i="133"/>
  <c r="F126" i="129" s="1"/>
  <c r="X125" i="133"/>
  <c r="W126" i="129" s="1"/>
  <c r="H125" i="133"/>
  <c r="G126" i="129" s="1"/>
  <c r="Y125" i="133"/>
  <c r="X126" i="129" s="1"/>
  <c r="I125" i="133"/>
  <c r="H126" i="129" s="1"/>
  <c r="Z125" i="133"/>
  <c r="Y126" i="129" s="1"/>
  <c r="M125" i="133"/>
  <c r="L126" i="129" s="1"/>
  <c r="Q125" i="133"/>
  <c r="P126" i="129" s="1"/>
  <c r="R125" i="133"/>
  <c r="Q126" i="129" s="1"/>
  <c r="D125" i="133"/>
  <c r="C126" i="129" s="1"/>
  <c r="T125" i="133"/>
  <c r="S126" i="129" s="1"/>
  <c r="Z119" i="133"/>
  <c r="Y120" i="129" s="1"/>
  <c r="D115" i="133"/>
  <c r="C116" i="129" s="1"/>
  <c r="P115" i="133"/>
  <c r="O116" i="129" s="1"/>
  <c r="AB115" i="133"/>
  <c r="AA116" i="129" s="1"/>
  <c r="K115" i="133"/>
  <c r="J116" i="129" s="1"/>
  <c r="X115" i="133"/>
  <c r="W116" i="129" s="1"/>
  <c r="L115" i="133"/>
  <c r="K116" i="129" s="1"/>
  <c r="Y115" i="133"/>
  <c r="X116" i="129" s="1"/>
  <c r="E115" i="133"/>
  <c r="D116" i="129" s="1"/>
  <c r="R115" i="133"/>
  <c r="Q116" i="129" s="1"/>
  <c r="C115" i="133"/>
  <c r="B116" i="129" s="1"/>
  <c r="BZ116" i="129" s="1"/>
  <c r="U115" i="133"/>
  <c r="T116" i="129" s="1"/>
  <c r="F115" i="133"/>
  <c r="E116" i="129" s="1"/>
  <c r="V115" i="133"/>
  <c r="U116" i="129" s="1"/>
  <c r="Q115" i="133"/>
  <c r="P116" i="129" s="1"/>
  <c r="S115" i="133"/>
  <c r="R116" i="129" s="1"/>
  <c r="T115" i="133"/>
  <c r="S116" i="129" s="1"/>
  <c r="W115" i="133"/>
  <c r="V116" i="129" s="1"/>
  <c r="H115" i="133"/>
  <c r="G116" i="129" s="1"/>
  <c r="I115" i="133"/>
  <c r="H116" i="129" s="1"/>
  <c r="J115" i="133"/>
  <c r="I116" i="129" s="1"/>
  <c r="N115" i="133"/>
  <c r="M116" i="129" s="1"/>
  <c r="O115" i="133"/>
  <c r="N116" i="129" s="1"/>
  <c r="I164" i="133"/>
  <c r="H165" i="129" s="1"/>
  <c r="U164" i="133"/>
  <c r="T165" i="129" s="1"/>
  <c r="L164" i="133"/>
  <c r="K165" i="129" s="1"/>
  <c r="X164" i="133"/>
  <c r="W165" i="129" s="1"/>
  <c r="Y161" i="133"/>
  <c r="X162" i="129" s="1"/>
  <c r="K161" i="133"/>
  <c r="J162" i="129" s="1"/>
  <c r="U159" i="133"/>
  <c r="T160" i="129" s="1"/>
  <c r="G159" i="133"/>
  <c r="F160" i="129" s="1"/>
  <c r="T158" i="133"/>
  <c r="S159" i="129" s="1"/>
  <c r="E158" i="133"/>
  <c r="D159" i="129" s="1"/>
  <c r="I156" i="133"/>
  <c r="H157" i="129" s="1"/>
  <c r="U156" i="133"/>
  <c r="T157" i="129" s="1"/>
  <c r="L156" i="133"/>
  <c r="K157" i="129" s="1"/>
  <c r="X156" i="133"/>
  <c r="W157" i="129" s="1"/>
  <c r="N155" i="133"/>
  <c r="M156" i="129" s="1"/>
  <c r="Y153" i="133"/>
  <c r="X154" i="129" s="1"/>
  <c r="K153" i="133"/>
  <c r="J154" i="129" s="1"/>
  <c r="U151" i="133"/>
  <c r="T152" i="129" s="1"/>
  <c r="F151" i="133"/>
  <c r="E152" i="129" s="1"/>
  <c r="P150" i="133"/>
  <c r="O151" i="129" s="1"/>
  <c r="AA149" i="133"/>
  <c r="Z150" i="129" s="1"/>
  <c r="L149" i="133"/>
  <c r="K150" i="129" s="1"/>
  <c r="W147" i="133"/>
  <c r="V148" i="129" s="1"/>
  <c r="H147" i="133"/>
  <c r="G148" i="129" s="1"/>
  <c r="O145" i="133"/>
  <c r="N146" i="129" s="1"/>
  <c r="P143" i="133"/>
  <c r="O144" i="129" s="1"/>
  <c r="L141" i="133"/>
  <c r="K142" i="129" s="1"/>
  <c r="X141" i="133"/>
  <c r="W142" i="129" s="1"/>
  <c r="K141" i="133"/>
  <c r="J142" i="129" s="1"/>
  <c r="Y141" i="133"/>
  <c r="X142" i="129" s="1"/>
  <c r="F141" i="133"/>
  <c r="E142" i="129" s="1"/>
  <c r="S141" i="133"/>
  <c r="R142" i="129" s="1"/>
  <c r="I141" i="133"/>
  <c r="H142" i="129" s="1"/>
  <c r="V141" i="133"/>
  <c r="U142" i="129" s="1"/>
  <c r="AB138" i="133"/>
  <c r="AA139" i="129" s="1"/>
  <c r="F138" i="133"/>
  <c r="E139" i="129" s="1"/>
  <c r="J133" i="133"/>
  <c r="I134" i="129" s="1"/>
  <c r="H131" i="133"/>
  <c r="G132" i="129" s="1"/>
  <c r="V119" i="133"/>
  <c r="U120" i="129" s="1"/>
  <c r="I197" i="133"/>
  <c r="H198" i="129" s="1"/>
  <c r="U197" i="133"/>
  <c r="T198" i="129" s="1"/>
  <c r="U190" i="133"/>
  <c r="T191" i="129" s="1"/>
  <c r="H190" i="133"/>
  <c r="G191" i="129" s="1"/>
  <c r="I181" i="133"/>
  <c r="H182" i="129" s="1"/>
  <c r="U181" i="133"/>
  <c r="T182" i="129" s="1"/>
  <c r="Q179" i="133"/>
  <c r="P180" i="129" s="1"/>
  <c r="S176" i="133"/>
  <c r="R177" i="129" s="1"/>
  <c r="F176" i="133"/>
  <c r="E177" i="129" s="1"/>
  <c r="T175" i="133"/>
  <c r="S176" i="129" s="1"/>
  <c r="G175" i="133"/>
  <c r="F176" i="129" s="1"/>
  <c r="U174" i="133"/>
  <c r="T175" i="129" s="1"/>
  <c r="H174" i="133"/>
  <c r="G175" i="129" s="1"/>
  <c r="V172" i="133"/>
  <c r="U173" i="129" s="1"/>
  <c r="I172" i="133"/>
  <c r="H173" i="129" s="1"/>
  <c r="W171" i="133"/>
  <c r="V172" i="129" s="1"/>
  <c r="J171" i="133"/>
  <c r="I172" i="129" s="1"/>
  <c r="X170" i="133"/>
  <c r="W171" i="129" s="1"/>
  <c r="K170" i="133"/>
  <c r="J171" i="129" s="1"/>
  <c r="Z168" i="133"/>
  <c r="Y169" i="129" s="1"/>
  <c r="M168" i="133"/>
  <c r="L169" i="129" s="1"/>
  <c r="Z167" i="133"/>
  <c r="Y168" i="129" s="1"/>
  <c r="M167" i="133"/>
  <c r="L168" i="129" s="1"/>
  <c r="I165" i="133"/>
  <c r="H166" i="129" s="1"/>
  <c r="U165" i="133"/>
  <c r="T166" i="129" s="1"/>
  <c r="O164" i="133"/>
  <c r="N165" i="129" s="1"/>
  <c r="Y162" i="133"/>
  <c r="X163" i="129" s="1"/>
  <c r="K162" i="133"/>
  <c r="J163" i="129" s="1"/>
  <c r="X161" i="133"/>
  <c r="W162" i="129" s="1"/>
  <c r="J161" i="133"/>
  <c r="I162" i="129" s="1"/>
  <c r="V160" i="133"/>
  <c r="U161" i="129" s="1"/>
  <c r="G160" i="133"/>
  <c r="F161" i="129" s="1"/>
  <c r="T159" i="133"/>
  <c r="S160" i="129" s="1"/>
  <c r="F159" i="133"/>
  <c r="E160" i="129" s="1"/>
  <c r="S158" i="133"/>
  <c r="R159" i="129" s="1"/>
  <c r="F157" i="133"/>
  <c r="E158" i="129" s="1"/>
  <c r="R157" i="133"/>
  <c r="Q158" i="129" s="1"/>
  <c r="I157" i="133"/>
  <c r="H158" i="129" s="1"/>
  <c r="U157" i="133"/>
  <c r="T158" i="129" s="1"/>
  <c r="O156" i="133"/>
  <c r="N157" i="129" s="1"/>
  <c r="AB155" i="133"/>
  <c r="AA156" i="129" s="1"/>
  <c r="M155" i="133"/>
  <c r="L156" i="129" s="1"/>
  <c r="Y154" i="133"/>
  <c r="X155" i="129" s="1"/>
  <c r="K154" i="133"/>
  <c r="J155" i="129" s="1"/>
  <c r="X153" i="133"/>
  <c r="W154" i="129" s="1"/>
  <c r="J153" i="133"/>
  <c r="I154" i="129" s="1"/>
  <c r="T151" i="133"/>
  <c r="S152" i="129" s="1"/>
  <c r="N150" i="133"/>
  <c r="M151" i="129" s="1"/>
  <c r="Z149" i="133"/>
  <c r="Y150" i="129" s="1"/>
  <c r="J149" i="133"/>
  <c r="I150" i="129" s="1"/>
  <c r="V147" i="133"/>
  <c r="U148" i="129" s="1"/>
  <c r="G147" i="133"/>
  <c r="F148" i="129" s="1"/>
  <c r="N145" i="133"/>
  <c r="M146" i="129" s="1"/>
  <c r="O143" i="133"/>
  <c r="N144" i="129" s="1"/>
  <c r="Z142" i="133"/>
  <c r="Y143" i="129" s="1"/>
  <c r="G142" i="133"/>
  <c r="F143" i="129" s="1"/>
  <c r="Q141" i="133"/>
  <c r="P142" i="129" s="1"/>
  <c r="Z138" i="133"/>
  <c r="Y139" i="129" s="1"/>
  <c r="G133" i="133"/>
  <c r="F134" i="129" s="1"/>
  <c r="F131" i="133"/>
  <c r="E132" i="129" s="1"/>
  <c r="R119" i="133"/>
  <c r="Q120" i="129" s="1"/>
  <c r="C179" i="133"/>
  <c r="B180" i="129" s="1"/>
  <c r="BX180" i="129" s="1"/>
  <c r="O179" i="133"/>
  <c r="N180" i="129" s="1"/>
  <c r="AA179" i="133"/>
  <c r="Z180" i="129" s="1"/>
  <c r="R176" i="133"/>
  <c r="Q177" i="129" s="1"/>
  <c r="E176" i="133"/>
  <c r="D177" i="129" s="1"/>
  <c r="S175" i="133"/>
  <c r="R176" i="129" s="1"/>
  <c r="F175" i="133"/>
  <c r="E176" i="129" s="1"/>
  <c r="U172" i="133"/>
  <c r="T173" i="129" s="1"/>
  <c r="H172" i="133"/>
  <c r="G173" i="129" s="1"/>
  <c r="V171" i="133"/>
  <c r="U172" i="129" s="1"/>
  <c r="I171" i="133"/>
  <c r="H172" i="129" s="1"/>
  <c r="W170" i="133"/>
  <c r="V171" i="129" s="1"/>
  <c r="J170" i="133"/>
  <c r="I171" i="129" s="1"/>
  <c r="Y168" i="133"/>
  <c r="X169" i="129" s="1"/>
  <c r="K168" i="133"/>
  <c r="J169" i="129" s="1"/>
  <c r="Y167" i="133"/>
  <c r="X168" i="129" s="1"/>
  <c r="L167" i="133"/>
  <c r="K168" i="129" s="1"/>
  <c r="AB164" i="133"/>
  <c r="AA165" i="129" s="1"/>
  <c r="N164" i="133"/>
  <c r="M165" i="129" s="1"/>
  <c r="W161" i="133"/>
  <c r="V162" i="129" s="1"/>
  <c r="H161" i="133"/>
  <c r="G162" i="129" s="1"/>
  <c r="S159" i="133"/>
  <c r="R160" i="129" s="1"/>
  <c r="E159" i="133"/>
  <c r="D160" i="129" s="1"/>
  <c r="C158" i="133"/>
  <c r="B159" i="129" s="1"/>
  <c r="AJ159" i="129" s="1"/>
  <c r="O158" i="133"/>
  <c r="N159" i="129" s="1"/>
  <c r="AA158" i="133"/>
  <c r="Z159" i="129" s="1"/>
  <c r="F158" i="133"/>
  <c r="E159" i="129" s="1"/>
  <c r="R158" i="133"/>
  <c r="Q159" i="129" s="1"/>
  <c r="AB156" i="133"/>
  <c r="AA157" i="129" s="1"/>
  <c r="N156" i="133"/>
  <c r="M157" i="129" s="1"/>
  <c r="Z155" i="133"/>
  <c r="Y156" i="129" s="1"/>
  <c r="K155" i="133"/>
  <c r="J156" i="129" s="1"/>
  <c r="W153" i="133"/>
  <c r="V154" i="129" s="1"/>
  <c r="H153" i="133"/>
  <c r="G154" i="129" s="1"/>
  <c r="E151" i="133"/>
  <c r="D152" i="129" s="1"/>
  <c r="Q151" i="133"/>
  <c r="P152" i="129" s="1"/>
  <c r="L151" i="133"/>
  <c r="K152" i="129" s="1"/>
  <c r="X151" i="133"/>
  <c r="W152" i="129" s="1"/>
  <c r="C151" i="133"/>
  <c r="B152" i="129" s="1"/>
  <c r="AR152" i="129" s="1"/>
  <c r="O151" i="133"/>
  <c r="N152" i="129" s="1"/>
  <c r="AA151" i="133"/>
  <c r="Z152" i="129" s="1"/>
  <c r="M150" i="133"/>
  <c r="L151" i="129" s="1"/>
  <c r="Y149" i="133"/>
  <c r="X150" i="129" s="1"/>
  <c r="H149" i="133"/>
  <c r="G150" i="129" s="1"/>
  <c r="U147" i="133"/>
  <c r="T148" i="129" s="1"/>
  <c r="F147" i="133"/>
  <c r="E148" i="129" s="1"/>
  <c r="M145" i="133"/>
  <c r="L146" i="129" s="1"/>
  <c r="N143" i="133"/>
  <c r="M144" i="129" s="1"/>
  <c r="P141" i="133"/>
  <c r="O142" i="129" s="1"/>
  <c r="I138" i="133"/>
  <c r="H139" i="129" s="1"/>
  <c r="U138" i="133"/>
  <c r="T139" i="129" s="1"/>
  <c r="N138" i="133"/>
  <c r="M139" i="129" s="1"/>
  <c r="AA138" i="133"/>
  <c r="Z139" i="129" s="1"/>
  <c r="C138" i="133"/>
  <c r="B139" i="129" s="1"/>
  <c r="BX139" i="129" s="1"/>
  <c r="P138" i="133"/>
  <c r="O139" i="129" s="1"/>
  <c r="D138" i="133"/>
  <c r="C139" i="129" s="1"/>
  <c r="Q138" i="133"/>
  <c r="P139" i="129" s="1"/>
  <c r="H138" i="133"/>
  <c r="G139" i="129" s="1"/>
  <c r="V138" i="133"/>
  <c r="U139" i="129" s="1"/>
  <c r="L138" i="133"/>
  <c r="K139" i="129" s="1"/>
  <c r="Y138" i="133"/>
  <c r="X139" i="129" s="1"/>
  <c r="AB133" i="133"/>
  <c r="AA134" i="129" s="1"/>
  <c r="D133" i="133"/>
  <c r="C134" i="129" s="1"/>
  <c r="C131" i="133"/>
  <c r="B132" i="129" s="1"/>
  <c r="AA129" i="133"/>
  <c r="Z130" i="129" s="1"/>
  <c r="J119" i="133"/>
  <c r="I120" i="129" s="1"/>
  <c r="J117" i="133"/>
  <c r="I118" i="129" s="1"/>
  <c r="V117" i="133"/>
  <c r="U118" i="129" s="1"/>
  <c r="I117" i="133"/>
  <c r="H118" i="129" s="1"/>
  <c r="W117" i="133"/>
  <c r="V118" i="129" s="1"/>
  <c r="C117" i="133"/>
  <c r="B118" i="129" s="1"/>
  <c r="AF118" i="129" s="1"/>
  <c r="P117" i="133"/>
  <c r="O118" i="129" s="1"/>
  <c r="O117" i="133"/>
  <c r="N118" i="129" s="1"/>
  <c r="Q117" i="133"/>
  <c r="P118" i="129" s="1"/>
  <c r="V114" i="133"/>
  <c r="U115" i="129" s="1"/>
  <c r="J105" i="133"/>
  <c r="I106" i="129" s="1"/>
  <c r="V105" i="133"/>
  <c r="U106" i="129" s="1"/>
  <c r="F105" i="133"/>
  <c r="E106" i="129" s="1"/>
  <c r="S105" i="133"/>
  <c r="R106" i="129" s="1"/>
  <c r="G105" i="133"/>
  <c r="F106" i="129" s="1"/>
  <c r="T105" i="133"/>
  <c r="S106" i="129" s="1"/>
  <c r="M105" i="133"/>
  <c r="L106" i="129" s="1"/>
  <c r="Z105" i="133"/>
  <c r="Y106" i="129" s="1"/>
  <c r="O105" i="133"/>
  <c r="N106" i="129" s="1"/>
  <c r="P105" i="133"/>
  <c r="O106" i="129" s="1"/>
  <c r="E105" i="133"/>
  <c r="D106" i="129" s="1"/>
  <c r="X105" i="133"/>
  <c r="W106" i="129" s="1"/>
  <c r="D104" i="133"/>
  <c r="C105" i="129" s="1"/>
  <c r="J103" i="133"/>
  <c r="I104" i="129" s="1"/>
  <c r="Q99" i="133"/>
  <c r="P100" i="129" s="1"/>
  <c r="O98" i="133"/>
  <c r="N99" i="129" s="1"/>
  <c r="Z92" i="133"/>
  <c r="Y93" i="129" s="1"/>
  <c r="AA84" i="133"/>
  <c r="Z85" i="129" s="1"/>
  <c r="X152" i="133"/>
  <c r="W153" i="129" s="1"/>
  <c r="L152" i="133"/>
  <c r="K153" i="129" s="1"/>
  <c r="X148" i="133"/>
  <c r="W149" i="129" s="1"/>
  <c r="R146" i="133"/>
  <c r="Q147" i="129" s="1"/>
  <c r="E146" i="133"/>
  <c r="D147" i="129" s="1"/>
  <c r="W140" i="133"/>
  <c r="V141" i="129" s="1"/>
  <c r="J140" i="133"/>
  <c r="I141" i="129" s="1"/>
  <c r="X139" i="133"/>
  <c r="W140" i="129" s="1"/>
  <c r="K139" i="133"/>
  <c r="J140" i="129" s="1"/>
  <c r="Z137" i="133"/>
  <c r="Y138" i="129" s="1"/>
  <c r="E134" i="133"/>
  <c r="D135" i="129" s="1"/>
  <c r="Q134" i="133"/>
  <c r="P135" i="129" s="1"/>
  <c r="H134" i="133"/>
  <c r="G135" i="129" s="1"/>
  <c r="U134" i="133"/>
  <c r="T135" i="129" s="1"/>
  <c r="AB132" i="133"/>
  <c r="AA133" i="129" s="1"/>
  <c r="N132" i="133"/>
  <c r="M133" i="129" s="1"/>
  <c r="U130" i="133"/>
  <c r="T131" i="129" s="1"/>
  <c r="W127" i="133"/>
  <c r="V128" i="129" s="1"/>
  <c r="G127" i="133"/>
  <c r="F128" i="129" s="1"/>
  <c r="V123" i="133"/>
  <c r="U124" i="129" s="1"/>
  <c r="Z121" i="133"/>
  <c r="Y122" i="129" s="1"/>
  <c r="G121" i="133"/>
  <c r="F122" i="129" s="1"/>
  <c r="Q120" i="133"/>
  <c r="P121" i="129" s="1"/>
  <c r="S117" i="133"/>
  <c r="R118" i="129" s="1"/>
  <c r="Z116" i="133"/>
  <c r="Y117" i="129" s="1"/>
  <c r="G116" i="133"/>
  <c r="F117" i="129" s="1"/>
  <c r="U114" i="133"/>
  <c r="T115" i="129" s="1"/>
  <c r="AB113" i="133"/>
  <c r="AA114" i="129" s="1"/>
  <c r="K108" i="133"/>
  <c r="J109" i="129" s="1"/>
  <c r="O107" i="133"/>
  <c r="N108" i="129" s="1"/>
  <c r="Q106" i="133"/>
  <c r="P107" i="129" s="1"/>
  <c r="W105" i="133"/>
  <c r="V106" i="129" s="1"/>
  <c r="AB104" i="133"/>
  <c r="AA105" i="129" s="1"/>
  <c r="F103" i="133"/>
  <c r="E104" i="129" s="1"/>
  <c r="N99" i="133"/>
  <c r="M100" i="129" s="1"/>
  <c r="N98" i="133"/>
  <c r="M99" i="129" s="1"/>
  <c r="X92" i="133"/>
  <c r="W93" i="129" s="1"/>
  <c r="AA89" i="133"/>
  <c r="Z90" i="129" s="1"/>
  <c r="P84" i="133"/>
  <c r="O85" i="129" s="1"/>
  <c r="U82" i="133"/>
  <c r="T83" i="129" s="1"/>
  <c r="M104" i="133"/>
  <c r="L105" i="129" s="1"/>
  <c r="Y104" i="133"/>
  <c r="X105" i="129" s="1"/>
  <c r="G104" i="133"/>
  <c r="F105" i="129" s="1"/>
  <c r="T104" i="133"/>
  <c r="S105" i="129" s="1"/>
  <c r="H104" i="133"/>
  <c r="G105" i="129" s="1"/>
  <c r="U104" i="133"/>
  <c r="T105" i="129" s="1"/>
  <c r="N104" i="133"/>
  <c r="M105" i="129" s="1"/>
  <c r="AA104" i="133"/>
  <c r="Z105" i="129" s="1"/>
  <c r="F104" i="133"/>
  <c r="E105" i="129" s="1"/>
  <c r="X104" i="133"/>
  <c r="W105" i="129" s="1"/>
  <c r="I104" i="133"/>
  <c r="H105" i="129" s="1"/>
  <c r="Z104" i="133"/>
  <c r="Y105" i="129" s="1"/>
  <c r="P104" i="133"/>
  <c r="O105" i="129" s="1"/>
  <c r="E103" i="133"/>
  <c r="D104" i="129" s="1"/>
  <c r="M99" i="133"/>
  <c r="L100" i="129" s="1"/>
  <c r="K98" i="133"/>
  <c r="J99" i="129" s="1"/>
  <c r="V92" i="133"/>
  <c r="U93" i="129" s="1"/>
  <c r="M88" i="133"/>
  <c r="L89" i="129" s="1"/>
  <c r="Y88" i="133"/>
  <c r="X89" i="129" s="1"/>
  <c r="D88" i="133"/>
  <c r="C89" i="129" s="1"/>
  <c r="Q88" i="133"/>
  <c r="P89" i="129" s="1"/>
  <c r="E88" i="133"/>
  <c r="D89" i="129" s="1"/>
  <c r="R88" i="133"/>
  <c r="Q89" i="129" s="1"/>
  <c r="F88" i="133"/>
  <c r="E89" i="129" s="1"/>
  <c r="S88" i="133"/>
  <c r="R89" i="129" s="1"/>
  <c r="G88" i="133"/>
  <c r="F89" i="129" s="1"/>
  <c r="T88" i="133"/>
  <c r="S89" i="129" s="1"/>
  <c r="H88" i="133"/>
  <c r="G89" i="129" s="1"/>
  <c r="U88" i="133"/>
  <c r="T89" i="129" s="1"/>
  <c r="I88" i="133"/>
  <c r="H89" i="129" s="1"/>
  <c r="V88" i="133"/>
  <c r="U89" i="129" s="1"/>
  <c r="N88" i="133"/>
  <c r="M89" i="129" s="1"/>
  <c r="AA88" i="133"/>
  <c r="Z89" i="129" s="1"/>
  <c r="L88" i="133"/>
  <c r="K89" i="129" s="1"/>
  <c r="O88" i="133"/>
  <c r="N89" i="129" s="1"/>
  <c r="W88" i="133"/>
  <c r="V89" i="129" s="1"/>
  <c r="AB88" i="133"/>
  <c r="AA89" i="129" s="1"/>
  <c r="O84" i="133"/>
  <c r="N85" i="129" s="1"/>
  <c r="P82" i="133"/>
  <c r="O83" i="129" s="1"/>
  <c r="G130" i="133"/>
  <c r="F131" i="129" s="1"/>
  <c r="S130" i="133"/>
  <c r="R131" i="129" s="1"/>
  <c r="L130" i="133"/>
  <c r="K131" i="129" s="1"/>
  <c r="Y130" i="133"/>
  <c r="X131" i="129" s="1"/>
  <c r="E130" i="133"/>
  <c r="D131" i="129" s="1"/>
  <c r="T130" i="133"/>
  <c r="S131" i="129" s="1"/>
  <c r="U127" i="133"/>
  <c r="T128" i="129" s="1"/>
  <c r="E127" i="133"/>
  <c r="D128" i="129" s="1"/>
  <c r="D123" i="133"/>
  <c r="C124" i="129" s="1"/>
  <c r="P123" i="133"/>
  <c r="O124" i="129" s="1"/>
  <c r="AB123" i="133"/>
  <c r="AA124" i="129" s="1"/>
  <c r="E123" i="133"/>
  <c r="D124" i="129" s="1"/>
  <c r="R123" i="133"/>
  <c r="Q124" i="129" s="1"/>
  <c r="K123" i="133"/>
  <c r="J124" i="129" s="1"/>
  <c r="Y123" i="133"/>
  <c r="X124" i="129" s="1"/>
  <c r="L123" i="133"/>
  <c r="K124" i="129" s="1"/>
  <c r="Z123" i="133"/>
  <c r="Y124" i="129" s="1"/>
  <c r="U121" i="133"/>
  <c r="T122" i="129" s="1"/>
  <c r="D121" i="133"/>
  <c r="C122" i="129" s="1"/>
  <c r="O120" i="133"/>
  <c r="N121" i="129" s="1"/>
  <c r="N117" i="133"/>
  <c r="M118" i="129" s="1"/>
  <c r="V116" i="133"/>
  <c r="U117" i="129" s="1"/>
  <c r="Q114" i="133"/>
  <c r="P115" i="129" s="1"/>
  <c r="J113" i="133"/>
  <c r="I114" i="129" s="1"/>
  <c r="V113" i="133"/>
  <c r="U114" i="129" s="1"/>
  <c r="M113" i="133"/>
  <c r="L114" i="129" s="1"/>
  <c r="Z113" i="133"/>
  <c r="Y114" i="129" s="1"/>
  <c r="N113" i="133"/>
  <c r="M114" i="129" s="1"/>
  <c r="AA113" i="133"/>
  <c r="Z114" i="129" s="1"/>
  <c r="F113" i="133"/>
  <c r="E114" i="129" s="1"/>
  <c r="S113" i="133"/>
  <c r="R114" i="129" s="1"/>
  <c r="E113" i="133"/>
  <c r="D114" i="129" s="1"/>
  <c r="W113" i="133"/>
  <c r="V114" i="129" s="1"/>
  <c r="G113" i="133"/>
  <c r="F114" i="129" s="1"/>
  <c r="X113" i="133"/>
  <c r="W114" i="129" s="1"/>
  <c r="J107" i="133"/>
  <c r="I108" i="129" s="1"/>
  <c r="O106" i="133"/>
  <c r="N107" i="129" s="1"/>
  <c r="R105" i="133"/>
  <c r="Q106" i="129" s="1"/>
  <c r="V104" i="133"/>
  <c r="U105" i="129" s="1"/>
  <c r="Z103" i="133"/>
  <c r="Y104" i="129" s="1"/>
  <c r="J101" i="133"/>
  <c r="I102" i="129" s="1"/>
  <c r="V101" i="133"/>
  <c r="U102" i="129" s="1"/>
  <c r="I101" i="133"/>
  <c r="H102" i="129" s="1"/>
  <c r="W101" i="133"/>
  <c r="V102" i="129" s="1"/>
  <c r="K101" i="133"/>
  <c r="J102" i="129" s="1"/>
  <c r="X101" i="133"/>
  <c r="W102" i="129" s="1"/>
  <c r="C101" i="133"/>
  <c r="B102" i="129" s="1"/>
  <c r="AL102" i="129" s="1"/>
  <c r="P101" i="133"/>
  <c r="O102" i="129" s="1"/>
  <c r="E101" i="133"/>
  <c r="D102" i="129" s="1"/>
  <c r="U101" i="133"/>
  <c r="T102" i="129" s="1"/>
  <c r="F101" i="133"/>
  <c r="E102" i="129" s="1"/>
  <c r="Y101" i="133"/>
  <c r="X102" i="129" s="1"/>
  <c r="N101" i="133"/>
  <c r="M102" i="129" s="1"/>
  <c r="I99" i="133"/>
  <c r="H100" i="129" s="1"/>
  <c r="J98" i="133"/>
  <c r="I99" i="129" s="1"/>
  <c r="T92" i="133"/>
  <c r="S93" i="129" s="1"/>
  <c r="N89" i="133"/>
  <c r="M90" i="129" s="1"/>
  <c r="Z87" i="133"/>
  <c r="Y88" i="129" s="1"/>
  <c r="N84" i="133"/>
  <c r="M85" i="129" s="1"/>
  <c r="F82" i="133"/>
  <c r="E83" i="129" s="1"/>
  <c r="U152" i="133"/>
  <c r="T153" i="129" s="1"/>
  <c r="T140" i="133"/>
  <c r="S141" i="129" s="1"/>
  <c r="U139" i="133"/>
  <c r="T140" i="129" s="1"/>
  <c r="H139" i="133"/>
  <c r="G140" i="129" s="1"/>
  <c r="Y132" i="133"/>
  <c r="X133" i="129" s="1"/>
  <c r="I132" i="133"/>
  <c r="H133" i="129" s="1"/>
  <c r="P130" i="133"/>
  <c r="O131" i="129" s="1"/>
  <c r="T127" i="133"/>
  <c r="S128" i="129" s="1"/>
  <c r="T121" i="133"/>
  <c r="S122" i="129" s="1"/>
  <c r="N120" i="133"/>
  <c r="M121" i="129" s="1"/>
  <c r="M117" i="133"/>
  <c r="L118" i="129" s="1"/>
  <c r="P114" i="133"/>
  <c r="O115" i="129" s="1"/>
  <c r="I107" i="133"/>
  <c r="H108" i="129" s="1"/>
  <c r="Q105" i="133"/>
  <c r="P106" i="129" s="1"/>
  <c r="S104" i="133"/>
  <c r="R105" i="129" s="1"/>
  <c r="D103" i="133"/>
  <c r="C104" i="129" s="1"/>
  <c r="P103" i="133"/>
  <c r="O104" i="129" s="1"/>
  <c r="AB103" i="133"/>
  <c r="AA104" i="129" s="1"/>
  <c r="H103" i="133"/>
  <c r="G104" i="129" s="1"/>
  <c r="U103" i="133"/>
  <c r="T104" i="129" s="1"/>
  <c r="I103" i="133"/>
  <c r="H104" i="129" s="1"/>
  <c r="V103" i="133"/>
  <c r="U104" i="129" s="1"/>
  <c r="N103" i="133"/>
  <c r="M104" i="129" s="1"/>
  <c r="AA103" i="133"/>
  <c r="Z104" i="129" s="1"/>
  <c r="Q103" i="133"/>
  <c r="P104" i="129" s="1"/>
  <c r="R103" i="133"/>
  <c r="Q104" i="129" s="1"/>
  <c r="G103" i="133"/>
  <c r="F104" i="129" s="1"/>
  <c r="Y103" i="133"/>
  <c r="X104" i="129" s="1"/>
  <c r="Z101" i="133"/>
  <c r="Y102" i="129" s="1"/>
  <c r="F99" i="133"/>
  <c r="E100" i="129" s="1"/>
  <c r="I98" i="133"/>
  <c r="H99" i="129" s="1"/>
  <c r="O92" i="133"/>
  <c r="N93" i="129" s="1"/>
  <c r="L89" i="133"/>
  <c r="K90" i="129" s="1"/>
  <c r="X87" i="133"/>
  <c r="W88" i="129" s="1"/>
  <c r="F84" i="133"/>
  <c r="E85" i="129" s="1"/>
  <c r="D82" i="133"/>
  <c r="C83" i="129" s="1"/>
  <c r="D127" i="133"/>
  <c r="C128" i="129" s="1"/>
  <c r="P127" i="133"/>
  <c r="O128" i="129" s="1"/>
  <c r="AB127" i="133"/>
  <c r="AA128" i="129" s="1"/>
  <c r="N127" i="133"/>
  <c r="M128" i="129" s="1"/>
  <c r="AA127" i="133"/>
  <c r="Z128" i="129" s="1"/>
  <c r="M127" i="133"/>
  <c r="L128" i="129" s="1"/>
  <c r="O127" i="133"/>
  <c r="N128" i="129" s="1"/>
  <c r="J121" i="133"/>
  <c r="I122" i="129" s="1"/>
  <c r="V121" i="133"/>
  <c r="U122" i="129" s="1"/>
  <c r="F121" i="133"/>
  <c r="E122" i="129" s="1"/>
  <c r="S121" i="133"/>
  <c r="R122" i="129" s="1"/>
  <c r="H121" i="133"/>
  <c r="G122" i="129" s="1"/>
  <c r="W121" i="133"/>
  <c r="V122" i="129" s="1"/>
  <c r="I121" i="133"/>
  <c r="H122" i="129" s="1"/>
  <c r="X121" i="133"/>
  <c r="W122" i="129" s="1"/>
  <c r="L120" i="133"/>
  <c r="K121" i="129" s="1"/>
  <c r="L117" i="133"/>
  <c r="K118" i="129" s="1"/>
  <c r="M116" i="133"/>
  <c r="L117" i="129" s="1"/>
  <c r="Y116" i="133"/>
  <c r="X117" i="129" s="1"/>
  <c r="J116" i="133"/>
  <c r="I117" i="129" s="1"/>
  <c r="W116" i="133"/>
  <c r="V117" i="129" s="1"/>
  <c r="D116" i="133"/>
  <c r="C117" i="129" s="1"/>
  <c r="Q116" i="133"/>
  <c r="P117" i="129" s="1"/>
  <c r="K116" i="133"/>
  <c r="J117" i="129" s="1"/>
  <c r="AA116" i="133"/>
  <c r="Z117" i="129" s="1"/>
  <c r="L116" i="133"/>
  <c r="K117" i="129" s="1"/>
  <c r="AB116" i="133"/>
  <c r="AA117" i="129" s="1"/>
  <c r="K114" i="133"/>
  <c r="J115" i="129" s="1"/>
  <c r="R113" i="133"/>
  <c r="Q114" i="129" s="1"/>
  <c r="M108" i="133"/>
  <c r="L109" i="129" s="1"/>
  <c r="Y108" i="133"/>
  <c r="X109" i="129" s="1"/>
  <c r="D108" i="133"/>
  <c r="C109" i="129" s="1"/>
  <c r="Q108" i="133"/>
  <c r="P109" i="129" s="1"/>
  <c r="E108" i="133"/>
  <c r="D109" i="129" s="1"/>
  <c r="R108" i="133"/>
  <c r="Q109" i="129" s="1"/>
  <c r="J108" i="133"/>
  <c r="I109" i="129" s="1"/>
  <c r="W108" i="133"/>
  <c r="V109" i="129" s="1"/>
  <c r="C108" i="133"/>
  <c r="B109" i="129" s="1"/>
  <c r="U108" i="133"/>
  <c r="T109" i="129" s="1"/>
  <c r="F108" i="133"/>
  <c r="E109" i="129" s="1"/>
  <c r="V108" i="133"/>
  <c r="U109" i="129" s="1"/>
  <c r="L108" i="133"/>
  <c r="K109" i="129" s="1"/>
  <c r="N105" i="133"/>
  <c r="M106" i="129" s="1"/>
  <c r="R104" i="133"/>
  <c r="Q105" i="129" s="1"/>
  <c r="W103" i="133"/>
  <c r="V104" i="129" s="1"/>
  <c r="T101" i="133"/>
  <c r="S102" i="129" s="1"/>
  <c r="L92" i="133"/>
  <c r="K93" i="129" s="1"/>
  <c r="Q87" i="133"/>
  <c r="P88" i="129" s="1"/>
  <c r="D99" i="133"/>
  <c r="C100" i="129" s="1"/>
  <c r="P99" i="133"/>
  <c r="O100" i="129" s="1"/>
  <c r="AB99" i="133"/>
  <c r="AA100" i="129" s="1"/>
  <c r="K99" i="133"/>
  <c r="J100" i="129" s="1"/>
  <c r="X99" i="133"/>
  <c r="W100" i="129" s="1"/>
  <c r="L99" i="133"/>
  <c r="K100" i="129" s="1"/>
  <c r="Y99" i="133"/>
  <c r="X100" i="129" s="1"/>
  <c r="E99" i="133"/>
  <c r="D100" i="129" s="1"/>
  <c r="R99" i="133"/>
  <c r="Q100" i="129" s="1"/>
  <c r="G99" i="133"/>
  <c r="F100" i="129" s="1"/>
  <c r="W99" i="133"/>
  <c r="V100" i="129" s="1"/>
  <c r="H99" i="133"/>
  <c r="G100" i="129" s="1"/>
  <c r="Z99" i="133"/>
  <c r="Y100" i="129" s="1"/>
  <c r="J99" i="133"/>
  <c r="I100" i="129" s="1"/>
  <c r="O99" i="133"/>
  <c r="N100" i="129" s="1"/>
  <c r="H92" i="133"/>
  <c r="G93" i="129" s="1"/>
  <c r="M84" i="133"/>
  <c r="L85" i="129" s="1"/>
  <c r="Y84" i="133"/>
  <c r="X85" i="129" s="1"/>
  <c r="G84" i="133"/>
  <c r="F85" i="129" s="1"/>
  <c r="T84" i="133"/>
  <c r="S85" i="129" s="1"/>
  <c r="H84" i="133"/>
  <c r="G85" i="129" s="1"/>
  <c r="U84" i="133"/>
  <c r="T85" i="129" s="1"/>
  <c r="I84" i="133"/>
  <c r="H85" i="129" s="1"/>
  <c r="V84" i="133"/>
  <c r="U85" i="129" s="1"/>
  <c r="J84" i="133"/>
  <c r="I85" i="129" s="1"/>
  <c r="W84" i="133"/>
  <c r="V85" i="129" s="1"/>
  <c r="K84" i="133"/>
  <c r="J85" i="129" s="1"/>
  <c r="X84" i="133"/>
  <c r="W85" i="129" s="1"/>
  <c r="L84" i="133"/>
  <c r="K85" i="129" s="1"/>
  <c r="Z84" i="133"/>
  <c r="Y85" i="129" s="1"/>
  <c r="D84" i="133"/>
  <c r="C85" i="129" s="1"/>
  <c r="Q84" i="133"/>
  <c r="P85" i="129" s="1"/>
  <c r="R84" i="133"/>
  <c r="Q85" i="129" s="1"/>
  <c r="S84" i="133"/>
  <c r="R85" i="129" s="1"/>
  <c r="AB84" i="133"/>
  <c r="AA85" i="129" s="1"/>
  <c r="C84" i="133"/>
  <c r="B85" i="129" s="1"/>
  <c r="G82" i="133"/>
  <c r="F83" i="129" s="1"/>
  <c r="S82" i="133"/>
  <c r="R83" i="129" s="1"/>
  <c r="I82" i="133"/>
  <c r="H83" i="129" s="1"/>
  <c r="V82" i="133"/>
  <c r="U83" i="129" s="1"/>
  <c r="J82" i="133"/>
  <c r="I83" i="129" s="1"/>
  <c r="W82" i="133"/>
  <c r="V83" i="129" s="1"/>
  <c r="K82" i="133"/>
  <c r="J83" i="129" s="1"/>
  <c r="X82" i="133"/>
  <c r="W83" i="129" s="1"/>
  <c r="L82" i="133"/>
  <c r="K83" i="129" s="1"/>
  <c r="Y82" i="133"/>
  <c r="X83" i="129" s="1"/>
  <c r="M82" i="133"/>
  <c r="L83" i="129" s="1"/>
  <c r="Z82" i="133"/>
  <c r="Y83" i="129" s="1"/>
  <c r="N82" i="133"/>
  <c r="M83" i="129" s="1"/>
  <c r="AA82" i="133"/>
  <c r="Z83" i="129" s="1"/>
  <c r="E82" i="133"/>
  <c r="D83" i="129" s="1"/>
  <c r="R82" i="133"/>
  <c r="Q83" i="129" s="1"/>
  <c r="H82" i="133"/>
  <c r="G83" i="129" s="1"/>
  <c r="O82" i="133"/>
  <c r="N83" i="129" s="1"/>
  <c r="Q82" i="133"/>
  <c r="P83" i="129" s="1"/>
  <c r="T82" i="133"/>
  <c r="S83" i="129" s="1"/>
  <c r="AB82" i="133"/>
  <c r="AA83" i="129" s="1"/>
  <c r="D107" i="133"/>
  <c r="C108" i="129" s="1"/>
  <c r="P107" i="133"/>
  <c r="O108" i="129" s="1"/>
  <c r="AB107" i="133"/>
  <c r="AA108" i="129" s="1"/>
  <c r="E107" i="133"/>
  <c r="D108" i="129" s="1"/>
  <c r="R107" i="133"/>
  <c r="Q108" i="129" s="1"/>
  <c r="F107" i="133"/>
  <c r="E108" i="129" s="1"/>
  <c r="S107" i="133"/>
  <c r="R108" i="129" s="1"/>
  <c r="K107" i="133"/>
  <c r="J108" i="129" s="1"/>
  <c r="X107" i="133"/>
  <c r="W108" i="129" s="1"/>
  <c r="M107" i="133"/>
  <c r="L108" i="129" s="1"/>
  <c r="N107" i="133"/>
  <c r="M108" i="129" s="1"/>
  <c r="C107" i="133"/>
  <c r="B108" i="129" s="1"/>
  <c r="V107" i="133"/>
  <c r="U108" i="129" s="1"/>
  <c r="K105" i="133"/>
  <c r="J106" i="129" s="1"/>
  <c r="O104" i="133"/>
  <c r="N105" i="129" s="1"/>
  <c r="S103" i="133"/>
  <c r="R104" i="129" s="1"/>
  <c r="AA99" i="133"/>
  <c r="Z100" i="129" s="1"/>
  <c r="G98" i="133"/>
  <c r="F99" i="129" s="1"/>
  <c r="S98" i="133"/>
  <c r="R99" i="129" s="1"/>
  <c r="L98" i="133"/>
  <c r="K99" i="129" s="1"/>
  <c r="Y98" i="133"/>
  <c r="X99" i="129" s="1"/>
  <c r="M98" i="133"/>
  <c r="L99" i="129" s="1"/>
  <c r="Z98" i="133"/>
  <c r="Y99" i="129" s="1"/>
  <c r="E98" i="133"/>
  <c r="D99" i="129" s="1"/>
  <c r="R98" i="133"/>
  <c r="Q99" i="129" s="1"/>
  <c r="P98" i="133"/>
  <c r="O99" i="129" s="1"/>
  <c r="Q98" i="133"/>
  <c r="P99" i="129" s="1"/>
  <c r="C98" i="133"/>
  <c r="B99" i="129" s="1"/>
  <c r="BW99" i="129" s="1"/>
  <c r="U98" i="133"/>
  <c r="T99" i="129" s="1"/>
  <c r="H98" i="133"/>
  <c r="G99" i="129" s="1"/>
  <c r="X98" i="133"/>
  <c r="W99" i="129" s="1"/>
  <c r="J89" i="133"/>
  <c r="I90" i="129" s="1"/>
  <c r="V89" i="133"/>
  <c r="U90" i="129" s="1"/>
  <c r="C89" i="133"/>
  <c r="B90" i="129" s="1"/>
  <c r="AR90" i="129" s="1"/>
  <c r="P89" i="133"/>
  <c r="O90" i="129" s="1"/>
  <c r="D89" i="133"/>
  <c r="C90" i="129" s="1"/>
  <c r="Q89" i="133"/>
  <c r="P90" i="129" s="1"/>
  <c r="E89" i="133"/>
  <c r="D90" i="129" s="1"/>
  <c r="R89" i="133"/>
  <c r="Q90" i="129" s="1"/>
  <c r="F89" i="133"/>
  <c r="E90" i="129" s="1"/>
  <c r="S89" i="133"/>
  <c r="R90" i="129" s="1"/>
  <c r="G89" i="133"/>
  <c r="F90" i="129" s="1"/>
  <c r="T89" i="133"/>
  <c r="S90" i="129" s="1"/>
  <c r="H89" i="133"/>
  <c r="G90" i="129" s="1"/>
  <c r="U89" i="133"/>
  <c r="T90" i="129" s="1"/>
  <c r="M89" i="133"/>
  <c r="L90" i="129" s="1"/>
  <c r="Z89" i="133"/>
  <c r="Y90" i="129" s="1"/>
  <c r="O89" i="133"/>
  <c r="N90" i="129" s="1"/>
  <c r="W89" i="133"/>
  <c r="V90" i="129" s="1"/>
  <c r="Y89" i="133"/>
  <c r="X90" i="129" s="1"/>
  <c r="S83" i="133"/>
  <c r="R84" i="129" s="1"/>
  <c r="C140" i="133"/>
  <c r="B141" i="129" s="1"/>
  <c r="O140" i="133"/>
  <c r="N141" i="129" s="1"/>
  <c r="AA140" i="133"/>
  <c r="Z141" i="129" s="1"/>
  <c r="P139" i="133"/>
  <c r="O140" i="129" s="1"/>
  <c r="S132" i="133"/>
  <c r="R133" i="129" s="1"/>
  <c r="D132" i="133"/>
  <c r="C133" i="129" s="1"/>
  <c r="AA130" i="133"/>
  <c r="Z131" i="129" s="1"/>
  <c r="K130" i="133"/>
  <c r="J131" i="129" s="1"/>
  <c r="L127" i="133"/>
  <c r="K128" i="129" s="1"/>
  <c r="O121" i="133"/>
  <c r="N122" i="129" s="1"/>
  <c r="Z120" i="133"/>
  <c r="Y121" i="129" s="1"/>
  <c r="I120" i="133"/>
  <c r="H121" i="129" s="1"/>
  <c r="Z117" i="133"/>
  <c r="Y118" i="129" s="1"/>
  <c r="G117" i="133"/>
  <c r="F118" i="129" s="1"/>
  <c r="AB114" i="133"/>
  <c r="AA115" i="129" s="1"/>
  <c r="H114" i="133"/>
  <c r="G115" i="129" s="1"/>
  <c r="Y107" i="133"/>
  <c r="X108" i="129" s="1"/>
  <c r="L104" i="133"/>
  <c r="K105" i="129" s="1"/>
  <c r="V99" i="133"/>
  <c r="U100" i="129" s="1"/>
  <c r="M92" i="133"/>
  <c r="L93" i="129" s="1"/>
  <c r="Y92" i="133"/>
  <c r="X93" i="129" s="1"/>
  <c r="C92" i="133"/>
  <c r="B93" i="129" s="1"/>
  <c r="AR93" i="129" s="1"/>
  <c r="P92" i="133"/>
  <c r="O93" i="129" s="1"/>
  <c r="D92" i="133"/>
  <c r="C93" i="129" s="1"/>
  <c r="Q92" i="133"/>
  <c r="P93" i="129" s="1"/>
  <c r="E92" i="133"/>
  <c r="D93" i="129" s="1"/>
  <c r="R92" i="133"/>
  <c r="Q93" i="129" s="1"/>
  <c r="F92" i="133"/>
  <c r="E93" i="129" s="1"/>
  <c r="S92" i="133"/>
  <c r="R93" i="129" s="1"/>
  <c r="J92" i="133"/>
  <c r="I93" i="129" s="1"/>
  <c r="W92" i="133"/>
  <c r="V93" i="129" s="1"/>
  <c r="I92" i="133"/>
  <c r="H93" i="129" s="1"/>
  <c r="K92" i="133"/>
  <c r="J93" i="129" s="1"/>
  <c r="N92" i="133"/>
  <c r="M93" i="129" s="1"/>
  <c r="U92" i="133"/>
  <c r="T93" i="129" s="1"/>
  <c r="Z88" i="133"/>
  <c r="Y89" i="129" s="1"/>
  <c r="D87" i="133"/>
  <c r="C88" i="129" s="1"/>
  <c r="P87" i="133"/>
  <c r="O88" i="129" s="1"/>
  <c r="AB87" i="133"/>
  <c r="AA88" i="129" s="1"/>
  <c r="E87" i="133"/>
  <c r="D88" i="129" s="1"/>
  <c r="R87" i="133"/>
  <c r="Q88" i="129" s="1"/>
  <c r="F87" i="133"/>
  <c r="E88" i="129" s="1"/>
  <c r="S87" i="133"/>
  <c r="R88" i="129" s="1"/>
  <c r="G87" i="133"/>
  <c r="F88" i="129" s="1"/>
  <c r="T87" i="133"/>
  <c r="S88" i="129" s="1"/>
  <c r="H87" i="133"/>
  <c r="G88" i="129" s="1"/>
  <c r="U87" i="133"/>
  <c r="T88" i="129" s="1"/>
  <c r="I87" i="133"/>
  <c r="H88" i="129" s="1"/>
  <c r="V87" i="133"/>
  <c r="U88" i="129" s="1"/>
  <c r="J87" i="133"/>
  <c r="I88" i="129" s="1"/>
  <c r="W87" i="133"/>
  <c r="V88" i="129" s="1"/>
  <c r="N87" i="133"/>
  <c r="M88" i="129" s="1"/>
  <c r="AA87" i="133"/>
  <c r="Z88" i="129" s="1"/>
  <c r="K87" i="133"/>
  <c r="J88" i="129" s="1"/>
  <c r="L87" i="133"/>
  <c r="K88" i="129" s="1"/>
  <c r="O87" i="133"/>
  <c r="N88" i="129" s="1"/>
  <c r="Y87" i="133"/>
  <c r="X88" i="129" s="1"/>
  <c r="N83" i="133"/>
  <c r="M84" i="129" s="1"/>
  <c r="F139" i="133"/>
  <c r="E140" i="129" s="1"/>
  <c r="R139" i="133"/>
  <c r="Q140" i="129" s="1"/>
  <c r="R132" i="133"/>
  <c r="Q133" i="129" s="1"/>
  <c r="Z130" i="133"/>
  <c r="Y131" i="129" s="1"/>
  <c r="J130" i="133"/>
  <c r="I131" i="129" s="1"/>
  <c r="K127" i="133"/>
  <c r="J128" i="129" s="1"/>
  <c r="M124" i="133"/>
  <c r="L125" i="129" s="1"/>
  <c r="Y124" i="133"/>
  <c r="X125" i="129" s="1"/>
  <c r="D124" i="133"/>
  <c r="C125" i="129" s="1"/>
  <c r="Q124" i="133"/>
  <c r="P125" i="129" s="1"/>
  <c r="L124" i="133"/>
  <c r="K125" i="129" s="1"/>
  <c r="AA124" i="133"/>
  <c r="Z125" i="129" s="1"/>
  <c r="N124" i="133"/>
  <c r="M125" i="129" s="1"/>
  <c r="AB124" i="133"/>
  <c r="AA125" i="129" s="1"/>
  <c r="J123" i="133"/>
  <c r="I124" i="129" s="1"/>
  <c r="N121" i="133"/>
  <c r="M122" i="129" s="1"/>
  <c r="X120" i="133"/>
  <c r="W121" i="129" s="1"/>
  <c r="E120" i="133"/>
  <c r="D121" i="129" s="1"/>
  <c r="Y117" i="133"/>
  <c r="X118" i="129" s="1"/>
  <c r="F117" i="133"/>
  <c r="E118" i="129" s="1"/>
  <c r="O116" i="133"/>
  <c r="N117" i="129" s="1"/>
  <c r="AA114" i="133"/>
  <c r="Z115" i="129" s="1"/>
  <c r="F114" i="133"/>
  <c r="E115" i="129" s="1"/>
  <c r="L113" i="133"/>
  <c r="K114" i="129" s="1"/>
  <c r="W107" i="133"/>
  <c r="V108" i="129" s="1"/>
  <c r="G106" i="133"/>
  <c r="F107" i="129" s="1"/>
  <c r="S106" i="133"/>
  <c r="R107" i="129" s="1"/>
  <c r="E106" i="133"/>
  <c r="D107" i="129" s="1"/>
  <c r="R106" i="133"/>
  <c r="Q107" i="129" s="1"/>
  <c r="F106" i="133"/>
  <c r="E107" i="129" s="1"/>
  <c r="T106" i="133"/>
  <c r="S107" i="129" s="1"/>
  <c r="L106" i="133"/>
  <c r="K107" i="129" s="1"/>
  <c r="Y106" i="133"/>
  <c r="X107" i="129" s="1"/>
  <c r="D106" i="133"/>
  <c r="C107" i="129" s="1"/>
  <c r="W106" i="133"/>
  <c r="V107" i="129" s="1"/>
  <c r="H106" i="133"/>
  <c r="G107" i="129" s="1"/>
  <c r="X106" i="133"/>
  <c r="W107" i="129" s="1"/>
  <c r="N106" i="133"/>
  <c r="M107" i="129" s="1"/>
  <c r="H105" i="133"/>
  <c r="G106" i="129" s="1"/>
  <c r="K104" i="133"/>
  <c r="J105" i="129" s="1"/>
  <c r="M103" i="133"/>
  <c r="L104" i="129" s="1"/>
  <c r="O101" i="133"/>
  <c r="N102" i="129" s="1"/>
  <c r="U99" i="133"/>
  <c r="T100" i="129" s="1"/>
  <c r="W98" i="133"/>
  <c r="V99" i="129" s="1"/>
  <c r="X88" i="133"/>
  <c r="W89" i="129" s="1"/>
  <c r="G83" i="133"/>
  <c r="F84" i="129" s="1"/>
  <c r="M132" i="133"/>
  <c r="L133" i="129" s="1"/>
  <c r="J132" i="133"/>
  <c r="I133" i="129" s="1"/>
  <c r="W132" i="133"/>
  <c r="V133" i="129" s="1"/>
  <c r="H132" i="133"/>
  <c r="G133" i="129" s="1"/>
  <c r="V132" i="133"/>
  <c r="U133" i="129" s="1"/>
  <c r="X130" i="133"/>
  <c r="W131" i="129" s="1"/>
  <c r="I130" i="133"/>
  <c r="H131" i="129" s="1"/>
  <c r="Z127" i="133"/>
  <c r="Y128" i="129" s="1"/>
  <c r="J127" i="133"/>
  <c r="I128" i="129" s="1"/>
  <c r="R124" i="133"/>
  <c r="Q125" i="129" s="1"/>
  <c r="AA123" i="133"/>
  <c r="Z124" i="129" s="1"/>
  <c r="I123" i="133"/>
  <c r="H124" i="129" s="1"/>
  <c r="G122" i="133"/>
  <c r="F123" i="129" s="1"/>
  <c r="S122" i="133"/>
  <c r="R123" i="129" s="1"/>
  <c r="E122" i="133"/>
  <c r="D123" i="129" s="1"/>
  <c r="R122" i="133"/>
  <c r="Q123" i="129" s="1"/>
  <c r="J122" i="133"/>
  <c r="I123" i="129" s="1"/>
  <c r="X122" i="133"/>
  <c r="W123" i="129" s="1"/>
  <c r="K122" i="133"/>
  <c r="J123" i="129" s="1"/>
  <c r="Y122" i="133"/>
  <c r="X123" i="129" s="1"/>
  <c r="M121" i="133"/>
  <c r="L122" i="129" s="1"/>
  <c r="W120" i="133"/>
  <c r="V121" i="129" s="1"/>
  <c r="D120" i="133"/>
  <c r="C121" i="129" s="1"/>
  <c r="X117" i="133"/>
  <c r="W118" i="129" s="1"/>
  <c r="E117" i="133"/>
  <c r="D118" i="129" s="1"/>
  <c r="N116" i="133"/>
  <c r="M117" i="129" s="1"/>
  <c r="X114" i="133"/>
  <c r="W115" i="129" s="1"/>
  <c r="D114" i="133"/>
  <c r="C115" i="129" s="1"/>
  <c r="K113" i="133"/>
  <c r="J114" i="129" s="1"/>
  <c r="P108" i="133"/>
  <c r="O109" i="129" s="1"/>
  <c r="U107" i="133"/>
  <c r="T108" i="129" s="1"/>
  <c r="Z106" i="133"/>
  <c r="Y107" i="129" s="1"/>
  <c r="AB105" i="133"/>
  <c r="AA106" i="129" s="1"/>
  <c r="D105" i="133"/>
  <c r="C106" i="129" s="1"/>
  <c r="J104" i="133"/>
  <c r="I105" i="129" s="1"/>
  <c r="L103" i="133"/>
  <c r="K104" i="129" s="1"/>
  <c r="M101" i="133"/>
  <c r="L102" i="129" s="1"/>
  <c r="T99" i="133"/>
  <c r="S100" i="129" s="1"/>
  <c r="V98" i="133"/>
  <c r="U99" i="129" s="1"/>
  <c r="AB92" i="133"/>
  <c r="AA93" i="129" s="1"/>
  <c r="P88" i="133"/>
  <c r="O89" i="129" s="1"/>
  <c r="F83" i="133"/>
  <c r="E84" i="129" s="1"/>
  <c r="T146" i="133"/>
  <c r="S147" i="129" s="1"/>
  <c r="G146" i="133"/>
  <c r="F147" i="129" s="1"/>
  <c r="Y140" i="133"/>
  <c r="X141" i="129" s="1"/>
  <c r="L140" i="133"/>
  <c r="K141" i="129" s="1"/>
  <c r="Z139" i="133"/>
  <c r="Y140" i="129" s="1"/>
  <c r="M139" i="133"/>
  <c r="L140" i="129" s="1"/>
  <c r="L137" i="133"/>
  <c r="K138" i="129" s="1"/>
  <c r="X137" i="133"/>
  <c r="W138" i="129" s="1"/>
  <c r="C136" i="133"/>
  <c r="B137" i="129" s="1"/>
  <c r="AD137" i="129" s="1"/>
  <c r="O136" i="133"/>
  <c r="N137" i="129" s="1"/>
  <c r="AA136" i="133"/>
  <c r="Z137" i="129" s="1"/>
  <c r="S134" i="133"/>
  <c r="R135" i="129" s="1"/>
  <c r="D134" i="133"/>
  <c r="C135" i="129" s="1"/>
  <c r="P132" i="133"/>
  <c r="O133" i="129" s="1"/>
  <c r="W130" i="133"/>
  <c r="V131" i="129" s="1"/>
  <c r="H130" i="133"/>
  <c r="G131" i="129" s="1"/>
  <c r="Y127" i="133"/>
  <c r="X128" i="129" s="1"/>
  <c r="I127" i="133"/>
  <c r="H128" i="129" s="1"/>
  <c r="P124" i="133"/>
  <c r="O125" i="129" s="1"/>
  <c r="X123" i="133"/>
  <c r="W124" i="129" s="1"/>
  <c r="H123" i="133"/>
  <c r="G124" i="129" s="1"/>
  <c r="Q122" i="133"/>
  <c r="P123" i="129" s="1"/>
  <c r="AB121" i="133"/>
  <c r="AA122" i="129" s="1"/>
  <c r="L121" i="133"/>
  <c r="K122" i="129" s="1"/>
  <c r="S120" i="133"/>
  <c r="R121" i="129" s="1"/>
  <c r="U117" i="133"/>
  <c r="T118" i="129" s="1"/>
  <c r="D117" i="133"/>
  <c r="C118" i="129" s="1"/>
  <c r="I116" i="133"/>
  <c r="H117" i="129" s="1"/>
  <c r="W114" i="133"/>
  <c r="V115" i="129" s="1"/>
  <c r="I113" i="133"/>
  <c r="H114" i="129" s="1"/>
  <c r="O108" i="133"/>
  <c r="N109" i="129" s="1"/>
  <c r="T107" i="133"/>
  <c r="S108" i="129" s="1"/>
  <c r="V106" i="133"/>
  <c r="U107" i="129" s="1"/>
  <c r="AA105" i="133"/>
  <c r="Z106" i="129" s="1"/>
  <c r="C105" i="133"/>
  <c r="B106" i="129" s="1"/>
  <c r="E104" i="133"/>
  <c r="D105" i="129" s="1"/>
  <c r="K103" i="133"/>
  <c r="J104" i="129" s="1"/>
  <c r="L101" i="133"/>
  <c r="K102" i="129" s="1"/>
  <c r="S99" i="133"/>
  <c r="R100" i="129" s="1"/>
  <c r="T98" i="133"/>
  <c r="S99" i="129" s="1"/>
  <c r="AA92" i="133"/>
  <c r="Z93" i="129" s="1"/>
  <c r="K88" i="133"/>
  <c r="J89" i="129" s="1"/>
  <c r="M120" i="133"/>
  <c r="L121" i="129" s="1"/>
  <c r="Y120" i="133"/>
  <c r="X121" i="129" s="1"/>
  <c r="G120" i="133"/>
  <c r="F121" i="129" s="1"/>
  <c r="T120" i="133"/>
  <c r="S121" i="129" s="1"/>
  <c r="F120" i="133"/>
  <c r="E121" i="129" s="1"/>
  <c r="U120" i="133"/>
  <c r="T121" i="129" s="1"/>
  <c r="H120" i="133"/>
  <c r="G121" i="129" s="1"/>
  <c r="V120" i="133"/>
  <c r="U121" i="129" s="1"/>
  <c r="T117" i="133"/>
  <c r="S118" i="129" s="1"/>
  <c r="G114" i="133"/>
  <c r="F115" i="129" s="1"/>
  <c r="S114" i="133"/>
  <c r="R115" i="129" s="1"/>
  <c r="L114" i="133"/>
  <c r="K115" i="129" s="1"/>
  <c r="Y114" i="133"/>
  <c r="X115" i="129" s="1"/>
  <c r="M114" i="133"/>
  <c r="L115" i="129" s="1"/>
  <c r="Z114" i="133"/>
  <c r="Y115" i="129" s="1"/>
  <c r="E114" i="133"/>
  <c r="D115" i="129" s="1"/>
  <c r="R114" i="133"/>
  <c r="Q115" i="129" s="1"/>
  <c r="N114" i="133"/>
  <c r="M115" i="129" s="1"/>
  <c r="O114" i="133"/>
  <c r="N115" i="129" s="1"/>
  <c r="Q107" i="133"/>
  <c r="P108" i="129" s="1"/>
  <c r="Y105" i="133"/>
  <c r="X106" i="129" s="1"/>
  <c r="D83" i="133"/>
  <c r="C84" i="129" s="1"/>
  <c r="P83" i="133"/>
  <c r="O84" i="129" s="1"/>
  <c r="AB83" i="133"/>
  <c r="AA84" i="129" s="1"/>
  <c r="H83" i="133"/>
  <c r="G84" i="129" s="1"/>
  <c r="U83" i="133"/>
  <c r="T84" i="129" s="1"/>
  <c r="I83" i="133"/>
  <c r="H84" i="129" s="1"/>
  <c r="V83" i="133"/>
  <c r="U84" i="129" s="1"/>
  <c r="J83" i="133"/>
  <c r="I84" i="129" s="1"/>
  <c r="W83" i="133"/>
  <c r="V84" i="129" s="1"/>
  <c r="K83" i="133"/>
  <c r="J84" i="129" s="1"/>
  <c r="X83" i="133"/>
  <c r="W84" i="129" s="1"/>
  <c r="L83" i="133"/>
  <c r="K84" i="129" s="1"/>
  <c r="Y83" i="133"/>
  <c r="X84" i="129" s="1"/>
  <c r="M83" i="133"/>
  <c r="L84" i="129" s="1"/>
  <c r="Z83" i="133"/>
  <c r="Y84" i="129" s="1"/>
  <c r="E83" i="133"/>
  <c r="D84" i="129" s="1"/>
  <c r="R83" i="133"/>
  <c r="Q84" i="129" s="1"/>
  <c r="O83" i="133"/>
  <c r="N84" i="129" s="1"/>
  <c r="Q83" i="133"/>
  <c r="P84" i="129" s="1"/>
  <c r="T83" i="133"/>
  <c r="S84" i="129" s="1"/>
  <c r="AA83" i="133"/>
  <c r="Z84" i="129" s="1"/>
  <c r="J109" i="133"/>
  <c r="I110" i="129" s="1"/>
  <c r="V109" i="133"/>
  <c r="U110" i="129" s="1"/>
  <c r="C109" i="133"/>
  <c r="B110" i="129" s="1"/>
  <c r="AJ110" i="129" s="1"/>
  <c r="P109" i="133"/>
  <c r="O110" i="129" s="1"/>
  <c r="D109" i="133"/>
  <c r="C110" i="129" s="1"/>
  <c r="Q109" i="133"/>
  <c r="P110" i="129" s="1"/>
  <c r="I109" i="133"/>
  <c r="H110" i="129" s="1"/>
  <c r="W109" i="133"/>
  <c r="V110" i="129" s="1"/>
  <c r="V100" i="133"/>
  <c r="U101" i="129" s="1"/>
  <c r="J71" i="133"/>
  <c r="I72" i="129" s="1"/>
  <c r="V71" i="133"/>
  <c r="U72" i="129" s="1"/>
  <c r="C71" i="133"/>
  <c r="B72" i="129" s="1"/>
  <c r="P71" i="133"/>
  <c r="O72" i="129" s="1"/>
  <c r="G71" i="133"/>
  <c r="F72" i="129" s="1"/>
  <c r="U71" i="133"/>
  <c r="T72" i="129" s="1"/>
  <c r="H71" i="133"/>
  <c r="G72" i="129" s="1"/>
  <c r="W71" i="133"/>
  <c r="V72" i="129" s="1"/>
  <c r="I71" i="133"/>
  <c r="H72" i="129" s="1"/>
  <c r="X71" i="133"/>
  <c r="W72" i="129" s="1"/>
  <c r="K71" i="133"/>
  <c r="J72" i="129" s="1"/>
  <c r="Y71" i="133"/>
  <c r="X72" i="129" s="1"/>
  <c r="L71" i="133"/>
  <c r="K72" i="129" s="1"/>
  <c r="Z71" i="133"/>
  <c r="Y72" i="129" s="1"/>
  <c r="M71" i="133"/>
  <c r="L72" i="129" s="1"/>
  <c r="AA71" i="133"/>
  <c r="Z72" i="129" s="1"/>
  <c r="N71" i="133"/>
  <c r="M72" i="129" s="1"/>
  <c r="AB71" i="133"/>
  <c r="AA72" i="129" s="1"/>
  <c r="O71" i="133"/>
  <c r="N72" i="129" s="1"/>
  <c r="E71" i="133"/>
  <c r="D72" i="129" s="1"/>
  <c r="S71" i="133"/>
  <c r="R72" i="129" s="1"/>
  <c r="F71" i="133"/>
  <c r="E72" i="129" s="1"/>
  <c r="T71" i="133"/>
  <c r="S72" i="129" s="1"/>
  <c r="J85" i="133"/>
  <c r="I86" i="129" s="1"/>
  <c r="V85" i="133"/>
  <c r="U86" i="129" s="1"/>
  <c r="F85" i="133"/>
  <c r="E86" i="129" s="1"/>
  <c r="S85" i="133"/>
  <c r="R86" i="129" s="1"/>
  <c r="G85" i="133"/>
  <c r="F86" i="129" s="1"/>
  <c r="T85" i="133"/>
  <c r="S86" i="129" s="1"/>
  <c r="H85" i="133"/>
  <c r="G86" i="129" s="1"/>
  <c r="U85" i="133"/>
  <c r="T86" i="129" s="1"/>
  <c r="I85" i="133"/>
  <c r="H86" i="129" s="1"/>
  <c r="W85" i="133"/>
  <c r="V86" i="129" s="1"/>
  <c r="K85" i="133"/>
  <c r="J86" i="129" s="1"/>
  <c r="X85" i="133"/>
  <c r="W86" i="129" s="1"/>
  <c r="L85" i="133"/>
  <c r="K86" i="129" s="1"/>
  <c r="Y85" i="133"/>
  <c r="X86" i="129" s="1"/>
  <c r="C85" i="133"/>
  <c r="B86" i="129" s="1"/>
  <c r="BN86" i="129" s="1"/>
  <c r="P85" i="133"/>
  <c r="O86" i="129" s="1"/>
  <c r="P70" i="133"/>
  <c r="O71" i="129" s="1"/>
  <c r="M100" i="133"/>
  <c r="L101" i="129" s="1"/>
  <c r="Y100" i="133"/>
  <c r="X101" i="129" s="1"/>
  <c r="J100" i="133"/>
  <c r="I101" i="129" s="1"/>
  <c r="W100" i="133"/>
  <c r="V101" i="129" s="1"/>
  <c r="K100" i="133"/>
  <c r="J101" i="129" s="1"/>
  <c r="X100" i="133"/>
  <c r="W101" i="129" s="1"/>
  <c r="D100" i="133"/>
  <c r="C101" i="129" s="1"/>
  <c r="Q100" i="133"/>
  <c r="P101" i="129" s="1"/>
  <c r="M70" i="133"/>
  <c r="L71" i="129" s="1"/>
  <c r="Y70" i="133"/>
  <c r="X71" i="129" s="1"/>
  <c r="D70" i="133"/>
  <c r="C71" i="129" s="1"/>
  <c r="Q70" i="133"/>
  <c r="P71" i="129" s="1"/>
  <c r="F70" i="133"/>
  <c r="E71" i="129" s="1"/>
  <c r="T70" i="133"/>
  <c r="S71" i="129" s="1"/>
  <c r="G70" i="133"/>
  <c r="F71" i="129" s="1"/>
  <c r="U70" i="133"/>
  <c r="T71" i="129" s="1"/>
  <c r="H70" i="133"/>
  <c r="G71" i="129" s="1"/>
  <c r="V70" i="133"/>
  <c r="U71" i="129" s="1"/>
  <c r="I70" i="133"/>
  <c r="H71" i="129" s="1"/>
  <c r="W70" i="133"/>
  <c r="V71" i="129" s="1"/>
  <c r="J70" i="133"/>
  <c r="I71" i="129" s="1"/>
  <c r="X70" i="133"/>
  <c r="W71" i="129" s="1"/>
  <c r="K70" i="133"/>
  <c r="J71" i="129" s="1"/>
  <c r="Z70" i="133"/>
  <c r="Y71" i="129" s="1"/>
  <c r="L70" i="133"/>
  <c r="K71" i="129" s="1"/>
  <c r="AA70" i="133"/>
  <c r="Z71" i="129" s="1"/>
  <c r="N70" i="133"/>
  <c r="M71" i="129" s="1"/>
  <c r="AB70" i="133"/>
  <c r="AA71" i="129" s="1"/>
  <c r="C70" i="133"/>
  <c r="B71" i="129" s="1"/>
  <c r="CL71" i="129" s="1"/>
  <c r="R70" i="133"/>
  <c r="Q71" i="129" s="1"/>
  <c r="E70" i="133"/>
  <c r="D71" i="129" s="1"/>
  <c r="S70" i="133"/>
  <c r="R71" i="129" s="1"/>
  <c r="Q128" i="133"/>
  <c r="P129" i="129" s="1"/>
  <c r="M109" i="133"/>
  <c r="L110" i="129" s="1"/>
  <c r="P100" i="133"/>
  <c r="O101" i="129" s="1"/>
  <c r="AA85" i="133"/>
  <c r="Z86" i="129" s="1"/>
  <c r="R73" i="133"/>
  <c r="Q74" i="129" s="1"/>
  <c r="M128" i="133"/>
  <c r="L129" i="129" s="1"/>
  <c r="Y128" i="133"/>
  <c r="X129" i="129" s="1"/>
  <c r="N128" i="133"/>
  <c r="M129" i="129" s="1"/>
  <c r="AA128" i="133"/>
  <c r="Z129" i="129" s="1"/>
  <c r="AB109" i="133"/>
  <c r="AA110" i="129" s="1"/>
  <c r="L109" i="133"/>
  <c r="K110" i="129" s="1"/>
  <c r="O100" i="133"/>
  <c r="N101" i="129" s="1"/>
  <c r="Z85" i="133"/>
  <c r="Y86" i="129" s="1"/>
  <c r="D73" i="133"/>
  <c r="C74" i="129" s="1"/>
  <c r="P73" i="133"/>
  <c r="O74" i="129" s="1"/>
  <c r="AB73" i="133"/>
  <c r="AA74" i="129" s="1"/>
  <c r="N73" i="133"/>
  <c r="M74" i="129" s="1"/>
  <c r="AA73" i="133"/>
  <c r="Z74" i="129" s="1"/>
  <c r="G73" i="133"/>
  <c r="F74" i="129" s="1"/>
  <c r="U73" i="133"/>
  <c r="T74" i="129" s="1"/>
  <c r="H73" i="133"/>
  <c r="G74" i="129" s="1"/>
  <c r="V73" i="133"/>
  <c r="U74" i="129" s="1"/>
  <c r="I73" i="133"/>
  <c r="H74" i="129" s="1"/>
  <c r="W73" i="133"/>
  <c r="V74" i="129" s="1"/>
  <c r="J73" i="133"/>
  <c r="I74" i="129" s="1"/>
  <c r="X73" i="133"/>
  <c r="W74" i="129" s="1"/>
  <c r="K73" i="133"/>
  <c r="J74" i="129" s="1"/>
  <c r="Y73" i="133"/>
  <c r="X74" i="129" s="1"/>
  <c r="L73" i="133"/>
  <c r="K74" i="129" s="1"/>
  <c r="Z73" i="133"/>
  <c r="Y74" i="129" s="1"/>
  <c r="M73" i="133"/>
  <c r="L74" i="129" s="1"/>
  <c r="O73" i="133"/>
  <c r="N74" i="129" s="1"/>
  <c r="E73" i="133"/>
  <c r="D74" i="129" s="1"/>
  <c r="S73" i="133"/>
  <c r="R74" i="129" s="1"/>
  <c r="F73" i="133"/>
  <c r="E74" i="129" s="1"/>
  <c r="T73" i="133"/>
  <c r="S74" i="129" s="1"/>
  <c r="G118" i="133"/>
  <c r="F119" i="129" s="1"/>
  <c r="S118" i="133"/>
  <c r="R119" i="129" s="1"/>
  <c r="T112" i="133"/>
  <c r="S113" i="129" s="1"/>
  <c r="G102" i="133"/>
  <c r="F103" i="129" s="1"/>
  <c r="S102" i="133"/>
  <c r="R103" i="129" s="1"/>
  <c r="S97" i="133"/>
  <c r="R98" i="129" s="1"/>
  <c r="W93" i="133"/>
  <c r="V94" i="129" s="1"/>
  <c r="I93" i="133"/>
  <c r="H94" i="129" s="1"/>
  <c r="X91" i="133"/>
  <c r="W92" i="129" s="1"/>
  <c r="K91" i="133"/>
  <c r="J92" i="129" s="1"/>
  <c r="Y90" i="133"/>
  <c r="X91" i="129" s="1"/>
  <c r="L90" i="133"/>
  <c r="K91" i="129" s="1"/>
  <c r="G86" i="133"/>
  <c r="F87" i="129" s="1"/>
  <c r="S86" i="133"/>
  <c r="R87" i="129" s="1"/>
  <c r="R81" i="133"/>
  <c r="Q82" i="129" s="1"/>
  <c r="G80" i="133"/>
  <c r="F81" i="129" s="1"/>
  <c r="S80" i="133"/>
  <c r="R81" i="129" s="1"/>
  <c r="I80" i="133"/>
  <c r="H81" i="129" s="1"/>
  <c r="V80" i="133"/>
  <c r="U81" i="129" s="1"/>
  <c r="O79" i="133"/>
  <c r="N80" i="129" s="1"/>
  <c r="AB78" i="133"/>
  <c r="AA79" i="129" s="1"/>
  <c r="N78" i="133"/>
  <c r="M79" i="129" s="1"/>
  <c r="Z77" i="133"/>
  <c r="Y78" i="129" s="1"/>
  <c r="L77" i="133"/>
  <c r="K78" i="129" s="1"/>
  <c r="X76" i="133"/>
  <c r="W77" i="129" s="1"/>
  <c r="J76" i="133"/>
  <c r="I77" i="129" s="1"/>
  <c r="W75" i="133"/>
  <c r="V76" i="129" s="1"/>
  <c r="H75" i="133"/>
  <c r="G76" i="129" s="1"/>
  <c r="U74" i="133"/>
  <c r="T75" i="129" s="1"/>
  <c r="G74" i="133"/>
  <c r="F75" i="129" s="1"/>
  <c r="D69" i="133"/>
  <c r="C70" i="129" s="1"/>
  <c r="P69" i="133"/>
  <c r="O70" i="129" s="1"/>
  <c r="AB69" i="133"/>
  <c r="AA70" i="129" s="1"/>
  <c r="E69" i="133"/>
  <c r="D70" i="129" s="1"/>
  <c r="R69" i="133"/>
  <c r="Q70" i="129" s="1"/>
  <c r="O68" i="133"/>
  <c r="N69" i="129" s="1"/>
  <c r="AB67" i="133"/>
  <c r="AA68" i="129" s="1"/>
  <c r="N67" i="133"/>
  <c r="M68" i="129" s="1"/>
  <c r="AA66" i="133"/>
  <c r="Z67" i="129" s="1"/>
  <c r="L66" i="133"/>
  <c r="K67" i="129" s="1"/>
  <c r="W64" i="133"/>
  <c r="V65" i="129" s="1"/>
  <c r="E64" i="133"/>
  <c r="D65" i="129" s="1"/>
  <c r="V61" i="133"/>
  <c r="U62" i="129" s="1"/>
  <c r="K59" i="133"/>
  <c r="J60" i="129" s="1"/>
  <c r="G54" i="133"/>
  <c r="F55" i="129" s="1"/>
  <c r="T52" i="133"/>
  <c r="S53" i="129" s="1"/>
  <c r="D81" i="133"/>
  <c r="C82" i="129" s="1"/>
  <c r="P81" i="133"/>
  <c r="O82" i="129" s="1"/>
  <c r="AB81" i="133"/>
  <c r="AA82" i="129" s="1"/>
  <c r="H81" i="133"/>
  <c r="G82" i="129" s="1"/>
  <c r="U81" i="133"/>
  <c r="T82" i="129" s="1"/>
  <c r="AB79" i="133"/>
  <c r="AA80" i="129" s="1"/>
  <c r="N79" i="133"/>
  <c r="M80" i="129" s="1"/>
  <c r="AA78" i="133"/>
  <c r="Z79" i="129" s="1"/>
  <c r="L78" i="133"/>
  <c r="K79" i="129" s="1"/>
  <c r="Y77" i="133"/>
  <c r="X78" i="129" s="1"/>
  <c r="J77" i="133"/>
  <c r="I78" i="129" s="1"/>
  <c r="W76" i="133"/>
  <c r="V77" i="129" s="1"/>
  <c r="I76" i="133"/>
  <c r="H77" i="129" s="1"/>
  <c r="AB68" i="133"/>
  <c r="AA69" i="129" s="1"/>
  <c r="N68" i="133"/>
  <c r="M69" i="129" s="1"/>
  <c r="AA67" i="133"/>
  <c r="Z68" i="129" s="1"/>
  <c r="M67" i="133"/>
  <c r="L68" i="129" s="1"/>
  <c r="Z66" i="133"/>
  <c r="Y67" i="129" s="1"/>
  <c r="K66" i="133"/>
  <c r="J67" i="129" s="1"/>
  <c r="V64" i="133"/>
  <c r="U65" i="129" s="1"/>
  <c r="M52" i="133"/>
  <c r="L53" i="129" s="1"/>
  <c r="L46" i="133"/>
  <c r="K47" i="129" s="1"/>
  <c r="X46" i="133"/>
  <c r="W47" i="129" s="1"/>
  <c r="F46" i="133"/>
  <c r="E47" i="129" s="1"/>
  <c r="S46" i="133"/>
  <c r="R47" i="129" s="1"/>
  <c r="I46" i="133"/>
  <c r="H47" i="129" s="1"/>
  <c r="V46" i="133"/>
  <c r="U47" i="129" s="1"/>
  <c r="H46" i="133"/>
  <c r="G47" i="129" s="1"/>
  <c r="Y46" i="133"/>
  <c r="X47" i="129" s="1"/>
  <c r="N46" i="133"/>
  <c r="M47" i="129" s="1"/>
  <c r="P46" i="133"/>
  <c r="O47" i="129" s="1"/>
  <c r="D46" i="133"/>
  <c r="C47" i="129" s="1"/>
  <c r="T46" i="133"/>
  <c r="S47" i="129" s="1"/>
  <c r="E46" i="133"/>
  <c r="D47" i="129" s="1"/>
  <c r="U46" i="133"/>
  <c r="T47" i="129" s="1"/>
  <c r="AA46" i="133"/>
  <c r="Z47" i="129" s="1"/>
  <c r="G46" i="133"/>
  <c r="F47" i="129" s="1"/>
  <c r="K46" i="133"/>
  <c r="J47" i="129" s="1"/>
  <c r="M46" i="133"/>
  <c r="L47" i="129" s="1"/>
  <c r="O46" i="133"/>
  <c r="N47" i="129" s="1"/>
  <c r="Q46" i="133"/>
  <c r="P47" i="129" s="1"/>
  <c r="R46" i="133"/>
  <c r="Q47" i="129" s="1"/>
  <c r="Z46" i="133"/>
  <c r="Y47" i="129" s="1"/>
  <c r="I64" i="133"/>
  <c r="H65" i="129" s="1"/>
  <c r="U64" i="133"/>
  <c r="T65" i="129" s="1"/>
  <c r="D64" i="133"/>
  <c r="C65" i="129" s="1"/>
  <c r="Q64" i="133"/>
  <c r="P65" i="129" s="1"/>
  <c r="O64" i="133"/>
  <c r="N65" i="129" s="1"/>
  <c r="F64" i="133"/>
  <c r="E65" i="129" s="1"/>
  <c r="T64" i="133"/>
  <c r="S65" i="129" s="1"/>
  <c r="L54" i="133"/>
  <c r="K55" i="129" s="1"/>
  <c r="X54" i="133"/>
  <c r="W55" i="129" s="1"/>
  <c r="M54" i="133"/>
  <c r="L55" i="129" s="1"/>
  <c r="Z54" i="133"/>
  <c r="Y55" i="129" s="1"/>
  <c r="C54" i="133"/>
  <c r="B55" i="129" s="1"/>
  <c r="AI55" i="129" s="1"/>
  <c r="P54" i="133"/>
  <c r="O55" i="129" s="1"/>
  <c r="H54" i="133"/>
  <c r="G55" i="129" s="1"/>
  <c r="W54" i="133"/>
  <c r="V55" i="129" s="1"/>
  <c r="E54" i="133"/>
  <c r="D55" i="129" s="1"/>
  <c r="T54" i="133"/>
  <c r="S55" i="129" s="1"/>
  <c r="S54" i="133"/>
  <c r="R55" i="129" s="1"/>
  <c r="F54" i="133"/>
  <c r="E55" i="129" s="1"/>
  <c r="Y54" i="133"/>
  <c r="X55" i="129" s="1"/>
  <c r="I54" i="133"/>
  <c r="H55" i="129" s="1"/>
  <c r="AB54" i="133"/>
  <c r="AA55" i="129" s="1"/>
  <c r="J54" i="133"/>
  <c r="I55" i="129" s="1"/>
  <c r="K54" i="133"/>
  <c r="J55" i="129" s="1"/>
  <c r="O54" i="133"/>
  <c r="N55" i="129" s="1"/>
  <c r="R54" i="133"/>
  <c r="Q55" i="129" s="1"/>
  <c r="F52" i="133"/>
  <c r="E53" i="129" s="1"/>
  <c r="R52" i="133"/>
  <c r="Q53" i="129" s="1"/>
  <c r="N52" i="133"/>
  <c r="M53" i="129" s="1"/>
  <c r="AA52" i="133"/>
  <c r="Z53" i="129" s="1"/>
  <c r="D52" i="133"/>
  <c r="C53" i="129" s="1"/>
  <c r="Q52" i="133"/>
  <c r="P53" i="129" s="1"/>
  <c r="O52" i="133"/>
  <c r="N53" i="129" s="1"/>
  <c r="K52" i="133"/>
  <c r="J53" i="129" s="1"/>
  <c r="Z52" i="133"/>
  <c r="Y53" i="129" s="1"/>
  <c r="S52" i="133"/>
  <c r="R53" i="129" s="1"/>
  <c r="C52" i="133"/>
  <c r="B53" i="129" s="1"/>
  <c r="BR53" i="129" s="1"/>
  <c r="V52" i="133"/>
  <c r="U53" i="129" s="1"/>
  <c r="G52" i="133"/>
  <c r="F53" i="129" s="1"/>
  <c r="X52" i="133"/>
  <c r="W53" i="129" s="1"/>
  <c r="H52" i="133"/>
  <c r="G53" i="129" s="1"/>
  <c r="Y52" i="133"/>
  <c r="X53" i="129" s="1"/>
  <c r="I52" i="133"/>
  <c r="H53" i="129" s="1"/>
  <c r="AB52" i="133"/>
  <c r="AA53" i="129" s="1"/>
  <c r="J52" i="133"/>
  <c r="I53" i="129" s="1"/>
  <c r="L52" i="133"/>
  <c r="K53" i="129" s="1"/>
  <c r="P52" i="133"/>
  <c r="O53" i="129" s="1"/>
  <c r="J97" i="133"/>
  <c r="I98" i="129" s="1"/>
  <c r="V97" i="133"/>
  <c r="U98" i="129" s="1"/>
  <c r="P96" i="133"/>
  <c r="O97" i="129" s="1"/>
  <c r="Q95" i="133"/>
  <c r="P96" i="129" s="1"/>
  <c r="Q94" i="133"/>
  <c r="P95" i="129" s="1"/>
  <c r="D94" i="133"/>
  <c r="C95" i="129" s="1"/>
  <c r="R93" i="133"/>
  <c r="Q94" i="129" s="1"/>
  <c r="E93" i="133"/>
  <c r="D94" i="129" s="1"/>
  <c r="T91" i="133"/>
  <c r="S92" i="129" s="1"/>
  <c r="G91" i="133"/>
  <c r="F92" i="129" s="1"/>
  <c r="U90" i="133"/>
  <c r="T91" i="129" s="1"/>
  <c r="H90" i="133"/>
  <c r="G91" i="129" s="1"/>
  <c r="X86" i="133"/>
  <c r="W87" i="129" s="1"/>
  <c r="K86" i="133"/>
  <c r="J87" i="129" s="1"/>
  <c r="AA81" i="133"/>
  <c r="Z82" i="129" s="1"/>
  <c r="M81" i="133"/>
  <c r="L82" i="129" s="1"/>
  <c r="Z80" i="133"/>
  <c r="Y81" i="129" s="1"/>
  <c r="L80" i="133"/>
  <c r="K81" i="129" s="1"/>
  <c r="Y79" i="133"/>
  <c r="X80" i="129" s="1"/>
  <c r="K79" i="133"/>
  <c r="J80" i="129" s="1"/>
  <c r="V78" i="133"/>
  <c r="U79" i="129" s="1"/>
  <c r="H78" i="133"/>
  <c r="G79" i="129" s="1"/>
  <c r="U77" i="133"/>
  <c r="T78" i="129" s="1"/>
  <c r="G77" i="133"/>
  <c r="F78" i="129" s="1"/>
  <c r="T76" i="133"/>
  <c r="S77" i="129" s="1"/>
  <c r="E76" i="133"/>
  <c r="D77" i="129" s="1"/>
  <c r="R75" i="133"/>
  <c r="Q76" i="129" s="1"/>
  <c r="Q74" i="133"/>
  <c r="P75" i="129" s="1"/>
  <c r="Z69" i="133"/>
  <c r="Y70" i="129" s="1"/>
  <c r="L69" i="133"/>
  <c r="K70" i="129" s="1"/>
  <c r="Y68" i="133"/>
  <c r="X69" i="129" s="1"/>
  <c r="K68" i="133"/>
  <c r="J69" i="129" s="1"/>
  <c r="X67" i="133"/>
  <c r="W68" i="129" s="1"/>
  <c r="I67" i="133"/>
  <c r="H68" i="129" s="1"/>
  <c r="V66" i="133"/>
  <c r="U67" i="129" s="1"/>
  <c r="H66" i="133"/>
  <c r="G67" i="129" s="1"/>
  <c r="P64" i="133"/>
  <c r="O65" i="129" s="1"/>
  <c r="O61" i="133"/>
  <c r="N62" i="129" s="1"/>
  <c r="AA59" i="133"/>
  <c r="Z60" i="129" s="1"/>
  <c r="M112" i="133"/>
  <c r="L113" i="129" s="1"/>
  <c r="Y112" i="133"/>
  <c r="X113" i="129" s="1"/>
  <c r="D111" i="133"/>
  <c r="C112" i="129" s="1"/>
  <c r="P111" i="133"/>
  <c r="O112" i="129" s="1"/>
  <c r="AB111" i="133"/>
  <c r="AA112" i="129" s="1"/>
  <c r="W102" i="133"/>
  <c r="V103" i="129" s="1"/>
  <c r="J102" i="133"/>
  <c r="I103" i="129" s="1"/>
  <c r="AA97" i="133"/>
  <c r="Z98" i="129" s="1"/>
  <c r="N97" i="133"/>
  <c r="M98" i="129" s="1"/>
  <c r="M96" i="133"/>
  <c r="L97" i="129" s="1"/>
  <c r="Y96" i="133"/>
  <c r="X97" i="129" s="1"/>
  <c r="D95" i="133"/>
  <c r="C96" i="129" s="1"/>
  <c r="P95" i="133"/>
  <c r="O96" i="129" s="1"/>
  <c r="AB95" i="133"/>
  <c r="AA96" i="129" s="1"/>
  <c r="P94" i="133"/>
  <c r="O95" i="129" s="1"/>
  <c r="Q93" i="133"/>
  <c r="P94" i="129" s="1"/>
  <c r="D93" i="133"/>
  <c r="C94" i="129" s="1"/>
  <c r="S91" i="133"/>
  <c r="R92" i="129" s="1"/>
  <c r="F91" i="133"/>
  <c r="E92" i="129" s="1"/>
  <c r="T90" i="133"/>
  <c r="S91" i="129" s="1"/>
  <c r="F90" i="133"/>
  <c r="E91" i="129" s="1"/>
  <c r="W86" i="133"/>
  <c r="V87" i="129" s="1"/>
  <c r="J86" i="133"/>
  <c r="I87" i="129" s="1"/>
  <c r="Z81" i="133"/>
  <c r="Y82" i="129" s="1"/>
  <c r="L81" i="133"/>
  <c r="K82" i="129" s="1"/>
  <c r="Y80" i="133"/>
  <c r="X81" i="129" s="1"/>
  <c r="K80" i="133"/>
  <c r="J81" i="129" s="1"/>
  <c r="X79" i="133"/>
  <c r="W80" i="129" s="1"/>
  <c r="H79" i="133"/>
  <c r="G80" i="129" s="1"/>
  <c r="U78" i="133"/>
  <c r="T79" i="129" s="1"/>
  <c r="G78" i="133"/>
  <c r="F79" i="129" s="1"/>
  <c r="T77" i="133"/>
  <c r="S78" i="129" s="1"/>
  <c r="F77" i="133"/>
  <c r="E78" i="129" s="1"/>
  <c r="R76" i="133"/>
  <c r="Q77" i="129" s="1"/>
  <c r="D76" i="133"/>
  <c r="C77" i="129" s="1"/>
  <c r="M74" i="133"/>
  <c r="L75" i="129" s="1"/>
  <c r="Y74" i="133"/>
  <c r="X75" i="129" s="1"/>
  <c r="N74" i="133"/>
  <c r="M75" i="129" s="1"/>
  <c r="AA74" i="133"/>
  <c r="Z75" i="129" s="1"/>
  <c r="X68" i="133"/>
  <c r="W69" i="129" s="1"/>
  <c r="J68" i="133"/>
  <c r="I69" i="129" s="1"/>
  <c r="W67" i="133"/>
  <c r="V68" i="129" s="1"/>
  <c r="H67" i="133"/>
  <c r="G68" i="129" s="1"/>
  <c r="U66" i="133"/>
  <c r="T67" i="129" s="1"/>
  <c r="F66" i="133"/>
  <c r="E67" i="129" s="1"/>
  <c r="N64" i="133"/>
  <c r="M65" i="129" s="1"/>
  <c r="M61" i="133"/>
  <c r="L62" i="129" s="1"/>
  <c r="L59" i="133"/>
  <c r="K60" i="129" s="1"/>
  <c r="X59" i="133"/>
  <c r="W60" i="129" s="1"/>
  <c r="H59" i="133"/>
  <c r="G60" i="129" s="1"/>
  <c r="U59" i="133"/>
  <c r="T60" i="129" s="1"/>
  <c r="E59" i="133"/>
  <c r="D60" i="129" s="1"/>
  <c r="R59" i="133"/>
  <c r="Q60" i="129" s="1"/>
  <c r="N59" i="133"/>
  <c r="M60" i="129" s="1"/>
  <c r="P59" i="133"/>
  <c r="O60" i="129" s="1"/>
  <c r="C59" i="133"/>
  <c r="B60" i="129" s="1"/>
  <c r="AC60" i="129" s="1"/>
  <c r="S59" i="133"/>
  <c r="R60" i="129" s="1"/>
  <c r="F59" i="133"/>
  <c r="E60" i="129" s="1"/>
  <c r="V59" i="133"/>
  <c r="U60" i="129" s="1"/>
  <c r="G126" i="133"/>
  <c r="F127" i="129" s="1"/>
  <c r="S126" i="133"/>
  <c r="R127" i="129" s="1"/>
  <c r="V118" i="133"/>
  <c r="U119" i="129" s="1"/>
  <c r="I118" i="133"/>
  <c r="H119" i="129" s="1"/>
  <c r="AA112" i="133"/>
  <c r="Z113" i="129" s="1"/>
  <c r="N112" i="133"/>
  <c r="M113" i="129" s="1"/>
  <c r="AA111" i="133"/>
  <c r="Z112" i="129" s="1"/>
  <c r="N111" i="133"/>
  <c r="M112" i="129" s="1"/>
  <c r="G110" i="133"/>
  <c r="F111" i="129" s="1"/>
  <c r="S110" i="133"/>
  <c r="R111" i="129" s="1"/>
  <c r="V102" i="133"/>
  <c r="U103" i="129" s="1"/>
  <c r="I102" i="133"/>
  <c r="H103" i="129" s="1"/>
  <c r="Z97" i="133"/>
  <c r="Y98" i="129" s="1"/>
  <c r="M97" i="133"/>
  <c r="L98" i="129" s="1"/>
  <c r="AA96" i="133"/>
  <c r="Z97" i="129" s="1"/>
  <c r="N96" i="133"/>
  <c r="M97" i="129" s="1"/>
  <c r="AA95" i="133"/>
  <c r="Z96" i="129" s="1"/>
  <c r="N95" i="133"/>
  <c r="M96" i="129" s="1"/>
  <c r="G94" i="133"/>
  <c r="F95" i="129" s="1"/>
  <c r="S94" i="133"/>
  <c r="R95" i="129" s="1"/>
  <c r="P93" i="133"/>
  <c r="O94" i="129" s="1"/>
  <c r="R91" i="133"/>
  <c r="Q92" i="129" s="1"/>
  <c r="E91" i="133"/>
  <c r="D92" i="129" s="1"/>
  <c r="R90" i="133"/>
  <c r="Q91" i="129" s="1"/>
  <c r="E90" i="133"/>
  <c r="D91" i="129" s="1"/>
  <c r="V86" i="133"/>
  <c r="U87" i="129" s="1"/>
  <c r="I86" i="133"/>
  <c r="H87" i="129" s="1"/>
  <c r="Y81" i="133"/>
  <c r="X82" i="129" s="1"/>
  <c r="K81" i="133"/>
  <c r="J82" i="129" s="1"/>
  <c r="X80" i="133"/>
  <c r="W81" i="129" s="1"/>
  <c r="J80" i="133"/>
  <c r="I81" i="129" s="1"/>
  <c r="U79" i="133"/>
  <c r="T80" i="129" s="1"/>
  <c r="G79" i="133"/>
  <c r="F80" i="129" s="1"/>
  <c r="T78" i="133"/>
  <c r="S79" i="129" s="1"/>
  <c r="F78" i="133"/>
  <c r="E79" i="129" s="1"/>
  <c r="S77" i="133"/>
  <c r="R78" i="129" s="1"/>
  <c r="E77" i="133"/>
  <c r="D78" i="129" s="1"/>
  <c r="Q76" i="133"/>
  <c r="P77" i="129" s="1"/>
  <c r="J75" i="133"/>
  <c r="I76" i="129" s="1"/>
  <c r="V75" i="133"/>
  <c r="U76" i="129" s="1"/>
  <c r="M75" i="133"/>
  <c r="L76" i="129" s="1"/>
  <c r="Z75" i="133"/>
  <c r="Y76" i="129" s="1"/>
  <c r="O74" i="133"/>
  <c r="N75" i="129" s="1"/>
  <c r="X69" i="133"/>
  <c r="W70" i="129" s="1"/>
  <c r="J69" i="133"/>
  <c r="I70" i="129" s="1"/>
  <c r="W68" i="133"/>
  <c r="V69" i="129" s="1"/>
  <c r="I68" i="133"/>
  <c r="H69" i="129" s="1"/>
  <c r="U67" i="133"/>
  <c r="T68" i="129" s="1"/>
  <c r="G67" i="133"/>
  <c r="F68" i="129" s="1"/>
  <c r="S66" i="133"/>
  <c r="R67" i="129" s="1"/>
  <c r="E66" i="133"/>
  <c r="D67" i="129" s="1"/>
  <c r="M64" i="133"/>
  <c r="L65" i="129" s="1"/>
  <c r="K61" i="133"/>
  <c r="J62" i="129" s="1"/>
  <c r="Y59" i="133"/>
  <c r="X60" i="129" s="1"/>
  <c r="J93" i="133"/>
  <c r="I94" i="129" s="1"/>
  <c r="V93" i="133"/>
  <c r="U94" i="129" s="1"/>
  <c r="Q91" i="133"/>
  <c r="P92" i="129" s="1"/>
  <c r="Q90" i="133"/>
  <c r="P91" i="129" s="1"/>
  <c r="D90" i="133"/>
  <c r="C91" i="129" s="1"/>
  <c r="X81" i="133"/>
  <c r="W82" i="129" s="1"/>
  <c r="J81" i="133"/>
  <c r="I82" i="129" s="1"/>
  <c r="T79" i="133"/>
  <c r="S80" i="129" s="1"/>
  <c r="F79" i="133"/>
  <c r="E80" i="129" s="1"/>
  <c r="S78" i="133"/>
  <c r="R79" i="129" s="1"/>
  <c r="E78" i="133"/>
  <c r="D79" i="129" s="1"/>
  <c r="R77" i="133"/>
  <c r="Q78" i="129" s="1"/>
  <c r="G76" i="133"/>
  <c r="F77" i="129" s="1"/>
  <c r="S76" i="133"/>
  <c r="R77" i="129" s="1"/>
  <c r="L76" i="133"/>
  <c r="K77" i="129" s="1"/>
  <c r="Y76" i="133"/>
  <c r="X77" i="129" s="1"/>
  <c r="O75" i="133"/>
  <c r="N76" i="129" s="1"/>
  <c r="AB74" i="133"/>
  <c r="AA75" i="129" s="1"/>
  <c r="L74" i="133"/>
  <c r="K75" i="129" s="1"/>
  <c r="W69" i="133"/>
  <c r="V70" i="129" s="1"/>
  <c r="I69" i="133"/>
  <c r="H70" i="129" s="1"/>
  <c r="V68" i="133"/>
  <c r="U69" i="129" s="1"/>
  <c r="H68" i="133"/>
  <c r="G69" i="129" s="1"/>
  <c r="T67" i="133"/>
  <c r="S68" i="129" s="1"/>
  <c r="E67" i="133"/>
  <c r="D68" i="129" s="1"/>
  <c r="R66" i="133"/>
  <c r="Q67" i="129" s="1"/>
  <c r="D66" i="133"/>
  <c r="C67" i="129" s="1"/>
  <c r="AB64" i="133"/>
  <c r="AA65" i="129" s="1"/>
  <c r="L64" i="133"/>
  <c r="K65" i="129" s="1"/>
  <c r="I61" i="133"/>
  <c r="H62" i="129" s="1"/>
  <c r="W59" i="133"/>
  <c r="V60" i="129" s="1"/>
  <c r="AA54" i="133"/>
  <c r="Z55" i="129" s="1"/>
  <c r="D91" i="133"/>
  <c r="C92" i="129" s="1"/>
  <c r="P91" i="133"/>
  <c r="O92" i="129" s="1"/>
  <c r="AB91" i="133"/>
  <c r="AA92" i="129" s="1"/>
  <c r="P90" i="133"/>
  <c r="O91" i="129" s="1"/>
  <c r="W81" i="133"/>
  <c r="V82" i="129" s="1"/>
  <c r="I81" i="133"/>
  <c r="H82" i="129" s="1"/>
  <c r="S79" i="133"/>
  <c r="R80" i="129" s="1"/>
  <c r="E79" i="133"/>
  <c r="D80" i="129" s="1"/>
  <c r="R78" i="133"/>
  <c r="Q79" i="129" s="1"/>
  <c r="D78" i="133"/>
  <c r="C79" i="129" s="1"/>
  <c r="D77" i="133"/>
  <c r="C78" i="129" s="1"/>
  <c r="P77" i="133"/>
  <c r="O78" i="129" s="1"/>
  <c r="AB77" i="133"/>
  <c r="AA78" i="129" s="1"/>
  <c r="K77" i="133"/>
  <c r="J78" i="129" s="1"/>
  <c r="X77" i="133"/>
  <c r="W78" i="129" s="1"/>
  <c r="O76" i="133"/>
  <c r="N77" i="129" s="1"/>
  <c r="AB75" i="133"/>
  <c r="AA76" i="129" s="1"/>
  <c r="N75" i="133"/>
  <c r="M76" i="129" s="1"/>
  <c r="Z74" i="133"/>
  <c r="Y75" i="129" s="1"/>
  <c r="K74" i="133"/>
  <c r="J75" i="129" s="1"/>
  <c r="V69" i="133"/>
  <c r="U70" i="129" s="1"/>
  <c r="H69" i="133"/>
  <c r="G70" i="129" s="1"/>
  <c r="U68" i="133"/>
  <c r="T69" i="129" s="1"/>
  <c r="F68" i="133"/>
  <c r="E69" i="129" s="1"/>
  <c r="R67" i="133"/>
  <c r="Q68" i="129" s="1"/>
  <c r="D67" i="133"/>
  <c r="C68" i="129" s="1"/>
  <c r="Q66" i="133"/>
  <c r="P67" i="129" s="1"/>
  <c r="AA64" i="133"/>
  <c r="Z65" i="129" s="1"/>
  <c r="K64" i="133"/>
  <c r="J65" i="129" s="1"/>
  <c r="AB61" i="133"/>
  <c r="AA62" i="129" s="1"/>
  <c r="H61" i="133"/>
  <c r="G62" i="129" s="1"/>
  <c r="T59" i="133"/>
  <c r="S60" i="129" s="1"/>
  <c r="V54" i="133"/>
  <c r="U55" i="129" s="1"/>
  <c r="G90" i="133"/>
  <c r="F91" i="129" s="1"/>
  <c r="S90" i="133"/>
  <c r="R91" i="129" s="1"/>
  <c r="V81" i="133"/>
  <c r="U82" i="129" s="1"/>
  <c r="G81" i="133"/>
  <c r="F82" i="129" s="1"/>
  <c r="R79" i="133"/>
  <c r="Q80" i="129" s="1"/>
  <c r="Q78" i="133"/>
  <c r="P79" i="129" s="1"/>
  <c r="O77" i="133"/>
  <c r="N78" i="129" s="1"/>
  <c r="T68" i="133"/>
  <c r="S69" i="129" s="1"/>
  <c r="D68" i="133"/>
  <c r="C69" i="129" s="1"/>
  <c r="Q67" i="133"/>
  <c r="P68" i="129" s="1"/>
  <c r="M66" i="133"/>
  <c r="L67" i="129" s="1"/>
  <c r="Y66" i="133"/>
  <c r="X67" i="129" s="1"/>
  <c r="G66" i="133"/>
  <c r="F67" i="129" s="1"/>
  <c r="T66" i="133"/>
  <c r="S67" i="129" s="1"/>
  <c r="Z64" i="133"/>
  <c r="Y65" i="129" s="1"/>
  <c r="J64" i="133"/>
  <c r="I65" i="129" s="1"/>
  <c r="Z61" i="133"/>
  <c r="Y62" i="129" s="1"/>
  <c r="E61" i="133"/>
  <c r="D62" i="129" s="1"/>
  <c r="Q59" i="133"/>
  <c r="P60" i="129" s="1"/>
  <c r="U54" i="133"/>
  <c r="T55" i="129" s="1"/>
  <c r="AB46" i="133"/>
  <c r="AA47" i="129" s="1"/>
  <c r="M78" i="133"/>
  <c r="L79" i="129" s="1"/>
  <c r="Y78" i="133"/>
  <c r="X79" i="129" s="1"/>
  <c r="J78" i="133"/>
  <c r="I79" i="129" s="1"/>
  <c r="W78" i="133"/>
  <c r="V79" i="129" s="1"/>
  <c r="Q68" i="133"/>
  <c r="P69" i="129" s="1"/>
  <c r="J67" i="133"/>
  <c r="I68" i="129" s="1"/>
  <c r="V67" i="133"/>
  <c r="U68" i="129" s="1"/>
  <c r="F67" i="133"/>
  <c r="E68" i="129" s="1"/>
  <c r="S67" i="133"/>
  <c r="R68" i="129" s="1"/>
  <c r="O66" i="133"/>
  <c r="N67" i="129" s="1"/>
  <c r="Y64" i="133"/>
  <c r="X65" i="129" s="1"/>
  <c r="H64" i="133"/>
  <c r="G65" i="129" s="1"/>
  <c r="X61" i="133"/>
  <c r="W62" i="129" s="1"/>
  <c r="O59" i="133"/>
  <c r="N60" i="129" s="1"/>
  <c r="Q54" i="133"/>
  <c r="P55" i="129" s="1"/>
  <c r="W52" i="133"/>
  <c r="V53" i="129" s="1"/>
  <c r="W46" i="133"/>
  <c r="V47" i="129" s="1"/>
  <c r="J79" i="133"/>
  <c r="I80" i="129" s="1"/>
  <c r="V79" i="133"/>
  <c r="U80" i="129" s="1"/>
  <c r="I79" i="133"/>
  <c r="H80" i="129" s="1"/>
  <c r="W79" i="133"/>
  <c r="V80" i="129" s="1"/>
  <c r="O78" i="133"/>
  <c r="N79" i="129" s="1"/>
  <c r="G68" i="133"/>
  <c r="F69" i="129" s="1"/>
  <c r="S68" i="133"/>
  <c r="R69" i="129" s="1"/>
  <c r="E68" i="133"/>
  <c r="D69" i="129" s="1"/>
  <c r="R68" i="133"/>
  <c r="Q69" i="129" s="1"/>
  <c r="O67" i="133"/>
  <c r="N68" i="129" s="1"/>
  <c r="AB66" i="133"/>
  <c r="AA67" i="129" s="1"/>
  <c r="N66" i="133"/>
  <c r="M67" i="129" s="1"/>
  <c r="X64" i="133"/>
  <c r="W65" i="129" s="1"/>
  <c r="G64" i="133"/>
  <c r="F65" i="129" s="1"/>
  <c r="F61" i="133"/>
  <c r="E62" i="129" s="1"/>
  <c r="R61" i="133"/>
  <c r="Q62" i="129" s="1"/>
  <c r="G61" i="133"/>
  <c r="F62" i="129" s="1"/>
  <c r="T61" i="133"/>
  <c r="S62" i="129" s="1"/>
  <c r="C61" i="133"/>
  <c r="B62" i="129" s="1"/>
  <c r="P61" i="133"/>
  <c r="O62" i="129" s="1"/>
  <c r="J61" i="133"/>
  <c r="I62" i="129" s="1"/>
  <c r="Y61" i="133"/>
  <c r="X62" i="129" s="1"/>
  <c r="L61" i="133"/>
  <c r="K62" i="129" s="1"/>
  <c r="AA61" i="133"/>
  <c r="Z62" i="129" s="1"/>
  <c r="N61" i="133"/>
  <c r="M62" i="129" s="1"/>
  <c r="M59" i="133"/>
  <c r="L60" i="129" s="1"/>
  <c r="N54" i="133"/>
  <c r="M55" i="129" s="1"/>
  <c r="U52" i="133"/>
  <c r="T53" i="129" s="1"/>
  <c r="J46" i="133"/>
  <c r="I47" i="129" s="1"/>
  <c r="G72" i="133"/>
  <c r="F73" i="129" s="1"/>
  <c r="S72" i="133"/>
  <c r="R73" i="129" s="1"/>
  <c r="U65" i="133"/>
  <c r="T66" i="129" s="1"/>
  <c r="S63" i="133"/>
  <c r="R64" i="129" s="1"/>
  <c r="Z60" i="133"/>
  <c r="Y61" i="129" s="1"/>
  <c r="K60" i="133"/>
  <c r="J61" i="129" s="1"/>
  <c r="Q58" i="133"/>
  <c r="P59" i="129" s="1"/>
  <c r="AB57" i="133"/>
  <c r="AA58" i="129" s="1"/>
  <c r="M57" i="133"/>
  <c r="L58" i="129" s="1"/>
  <c r="Y56" i="133"/>
  <c r="X57" i="129" s="1"/>
  <c r="H56" i="133"/>
  <c r="G57" i="129" s="1"/>
  <c r="Y53" i="133"/>
  <c r="X54" i="129" s="1"/>
  <c r="H53" i="133"/>
  <c r="G54" i="129" s="1"/>
  <c r="S48" i="133"/>
  <c r="R49" i="129" s="1"/>
  <c r="Y44" i="133"/>
  <c r="X45" i="129" s="1"/>
  <c r="S43" i="133"/>
  <c r="R44" i="129" s="1"/>
  <c r="W39" i="133"/>
  <c r="V40" i="129" s="1"/>
  <c r="C34" i="133"/>
  <c r="B35" i="129" s="1"/>
  <c r="CL35" i="129" s="1"/>
  <c r="O34" i="133"/>
  <c r="N35" i="129" s="1"/>
  <c r="AA34" i="133"/>
  <c r="Z35" i="129" s="1"/>
  <c r="F34" i="133"/>
  <c r="E35" i="129" s="1"/>
  <c r="R34" i="133"/>
  <c r="Q35" i="129" s="1"/>
  <c r="G34" i="133"/>
  <c r="F35" i="129" s="1"/>
  <c r="S34" i="133"/>
  <c r="R35" i="129" s="1"/>
  <c r="I34" i="133"/>
  <c r="H35" i="129" s="1"/>
  <c r="U34" i="133"/>
  <c r="T35" i="129" s="1"/>
  <c r="P34" i="133"/>
  <c r="O35" i="129" s="1"/>
  <c r="D34" i="133"/>
  <c r="C35" i="129" s="1"/>
  <c r="X34" i="133"/>
  <c r="W35" i="129" s="1"/>
  <c r="J34" i="133"/>
  <c r="I35" i="129" s="1"/>
  <c r="AB34" i="133"/>
  <c r="AA35" i="129" s="1"/>
  <c r="M34" i="133"/>
  <c r="L35" i="129" s="1"/>
  <c r="Q34" i="133"/>
  <c r="P35" i="129" s="1"/>
  <c r="W34" i="133"/>
  <c r="V35" i="129" s="1"/>
  <c r="Y34" i="133"/>
  <c r="X35" i="129" s="1"/>
  <c r="E34" i="133"/>
  <c r="D35" i="129" s="1"/>
  <c r="H34" i="133"/>
  <c r="G35" i="129" s="1"/>
  <c r="K34" i="133"/>
  <c r="J35" i="129" s="1"/>
  <c r="T34" i="133"/>
  <c r="S35" i="129" s="1"/>
  <c r="V34" i="133"/>
  <c r="U35" i="129" s="1"/>
  <c r="L63" i="133"/>
  <c r="K64" i="129" s="1"/>
  <c r="X63" i="133"/>
  <c r="W64" i="129" s="1"/>
  <c r="E63" i="133"/>
  <c r="D64" i="129" s="1"/>
  <c r="R63" i="133"/>
  <c r="Q64" i="129" s="1"/>
  <c r="X60" i="133"/>
  <c r="W61" i="129" s="1"/>
  <c r="H60" i="133"/>
  <c r="G61" i="129" s="1"/>
  <c r="N58" i="133"/>
  <c r="M59" i="129" s="1"/>
  <c r="Z57" i="133"/>
  <c r="Y58" i="129" s="1"/>
  <c r="K57" i="133"/>
  <c r="J58" i="129" s="1"/>
  <c r="V56" i="133"/>
  <c r="U57" i="129" s="1"/>
  <c r="E56" i="133"/>
  <c r="D57" i="129" s="1"/>
  <c r="W53" i="133"/>
  <c r="V54" i="129" s="1"/>
  <c r="L48" i="133"/>
  <c r="K49" i="129" s="1"/>
  <c r="S44" i="133"/>
  <c r="R45" i="129" s="1"/>
  <c r="O43" i="133"/>
  <c r="N44" i="129" s="1"/>
  <c r="L39" i="133"/>
  <c r="K40" i="129" s="1"/>
  <c r="C53" i="133"/>
  <c r="B54" i="129" s="1"/>
  <c r="AF54" i="129" s="1"/>
  <c r="O53" i="133"/>
  <c r="N54" i="129" s="1"/>
  <c r="AA53" i="133"/>
  <c r="Z54" i="129" s="1"/>
  <c r="M53" i="133"/>
  <c r="L54" i="129" s="1"/>
  <c r="Z53" i="133"/>
  <c r="Y54" i="129" s="1"/>
  <c r="D53" i="133"/>
  <c r="C54" i="129" s="1"/>
  <c r="Q53" i="133"/>
  <c r="P54" i="129" s="1"/>
  <c r="E53" i="133"/>
  <c r="D54" i="129" s="1"/>
  <c r="T53" i="133"/>
  <c r="S54" i="129" s="1"/>
  <c r="P53" i="133"/>
  <c r="O54" i="129" s="1"/>
  <c r="K48" i="133"/>
  <c r="J49" i="129" s="1"/>
  <c r="Q44" i="133"/>
  <c r="P45" i="129" s="1"/>
  <c r="N43" i="133"/>
  <c r="M44" i="129" s="1"/>
  <c r="F65" i="133"/>
  <c r="E66" i="129" s="1"/>
  <c r="C65" i="133"/>
  <c r="B66" i="129" s="1"/>
  <c r="CA66" i="129" s="1"/>
  <c r="P65" i="133"/>
  <c r="O66" i="129" s="1"/>
  <c r="AB65" i="133"/>
  <c r="AA66" i="129" s="1"/>
  <c r="AB63" i="133"/>
  <c r="AA64" i="129" s="1"/>
  <c r="N63" i="133"/>
  <c r="M64" i="129" s="1"/>
  <c r="V60" i="133"/>
  <c r="U61" i="129" s="1"/>
  <c r="AB58" i="133"/>
  <c r="AA59" i="129" s="1"/>
  <c r="L58" i="133"/>
  <c r="K59" i="129" s="1"/>
  <c r="X57" i="133"/>
  <c r="W58" i="129" s="1"/>
  <c r="H57" i="133"/>
  <c r="G58" i="129" s="1"/>
  <c r="R56" i="133"/>
  <c r="Q57" i="129" s="1"/>
  <c r="U53" i="133"/>
  <c r="T54" i="129" s="1"/>
  <c r="P44" i="133"/>
  <c r="O45" i="129" s="1"/>
  <c r="M43" i="133"/>
  <c r="L44" i="129" s="1"/>
  <c r="C39" i="133"/>
  <c r="B40" i="129" s="1"/>
  <c r="D39" i="133"/>
  <c r="C40" i="129" s="1"/>
  <c r="P39" i="133"/>
  <c r="O40" i="129" s="1"/>
  <c r="F39" i="133"/>
  <c r="E40" i="129" s="1"/>
  <c r="R39" i="133"/>
  <c r="Q40" i="129" s="1"/>
  <c r="G39" i="133"/>
  <c r="F40" i="129" s="1"/>
  <c r="U39" i="133"/>
  <c r="T40" i="129" s="1"/>
  <c r="J39" i="133"/>
  <c r="I40" i="129" s="1"/>
  <c r="Y39" i="133"/>
  <c r="X40" i="129" s="1"/>
  <c r="M39" i="133"/>
  <c r="L40" i="129" s="1"/>
  <c r="AB39" i="133"/>
  <c r="AA40" i="129" s="1"/>
  <c r="O39" i="133"/>
  <c r="N40" i="129" s="1"/>
  <c r="T39" i="133"/>
  <c r="S40" i="129" s="1"/>
  <c r="V39" i="133"/>
  <c r="U40" i="129" s="1"/>
  <c r="H39" i="133"/>
  <c r="G40" i="129" s="1"/>
  <c r="AA39" i="133"/>
  <c r="Z40" i="129" s="1"/>
  <c r="I39" i="133"/>
  <c r="H40" i="129" s="1"/>
  <c r="K39" i="133"/>
  <c r="J40" i="129" s="1"/>
  <c r="Q39" i="133"/>
  <c r="P40" i="129" s="1"/>
  <c r="S39" i="133"/>
  <c r="R40" i="129" s="1"/>
  <c r="I56" i="133"/>
  <c r="H57" i="129" s="1"/>
  <c r="U56" i="133"/>
  <c r="T57" i="129" s="1"/>
  <c r="K56" i="133"/>
  <c r="J57" i="129" s="1"/>
  <c r="X56" i="133"/>
  <c r="W57" i="129" s="1"/>
  <c r="G56" i="133"/>
  <c r="F57" i="129" s="1"/>
  <c r="T56" i="133"/>
  <c r="S57" i="129" s="1"/>
  <c r="S53" i="133"/>
  <c r="R54" i="129" s="1"/>
  <c r="G48" i="133"/>
  <c r="F49" i="129" s="1"/>
  <c r="J44" i="133"/>
  <c r="I45" i="129" s="1"/>
  <c r="E43" i="133"/>
  <c r="D44" i="129" s="1"/>
  <c r="AB38" i="133"/>
  <c r="AA39" i="129" s="1"/>
  <c r="I60" i="133"/>
  <c r="H61" i="129" s="1"/>
  <c r="U60" i="133"/>
  <c r="T61" i="129" s="1"/>
  <c r="G60" i="133"/>
  <c r="F61" i="129" s="1"/>
  <c r="T60" i="133"/>
  <c r="S61" i="129" s="1"/>
  <c r="D60" i="133"/>
  <c r="C61" i="129" s="1"/>
  <c r="Q60" i="133"/>
  <c r="P61" i="129" s="1"/>
  <c r="Y58" i="133"/>
  <c r="X59" i="129" s="1"/>
  <c r="U57" i="133"/>
  <c r="T58" i="129" s="1"/>
  <c r="P56" i="133"/>
  <c r="O57" i="129" s="1"/>
  <c r="R53" i="133"/>
  <c r="Q54" i="129" s="1"/>
  <c r="AA48" i="133"/>
  <c r="Z49" i="129" s="1"/>
  <c r="I44" i="133"/>
  <c r="H45" i="129" s="1"/>
  <c r="Q38" i="133"/>
  <c r="P39" i="129" s="1"/>
  <c r="I43" i="133"/>
  <c r="H44" i="129" s="1"/>
  <c r="U43" i="133"/>
  <c r="T44" i="129" s="1"/>
  <c r="H43" i="133"/>
  <c r="G44" i="129" s="1"/>
  <c r="V43" i="133"/>
  <c r="U44" i="129" s="1"/>
  <c r="L43" i="133"/>
  <c r="K44" i="129" s="1"/>
  <c r="Y43" i="133"/>
  <c r="X44" i="129" s="1"/>
  <c r="J43" i="133"/>
  <c r="I44" i="129" s="1"/>
  <c r="Z43" i="133"/>
  <c r="Y44" i="129" s="1"/>
  <c r="K43" i="133"/>
  <c r="J44" i="129" s="1"/>
  <c r="AA43" i="133"/>
  <c r="Z44" i="129" s="1"/>
  <c r="P43" i="133"/>
  <c r="O44" i="129" s="1"/>
  <c r="C43" i="133"/>
  <c r="B44" i="129" s="1"/>
  <c r="BS44" i="129" s="1"/>
  <c r="R43" i="133"/>
  <c r="Q44" i="129" s="1"/>
  <c r="F43" i="133"/>
  <c r="E44" i="129" s="1"/>
  <c r="W43" i="133"/>
  <c r="V44" i="129" s="1"/>
  <c r="G43" i="133"/>
  <c r="F44" i="129" s="1"/>
  <c r="X43" i="133"/>
  <c r="W44" i="129" s="1"/>
  <c r="N38" i="133"/>
  <c r="M39" i="129" s="1"/>
  <c r="F57" i="133"/>
  <c r="E58" i="129" s="1"/>
  <c r="R57" i="133"/>
  <c r="Q58" i="129" s="1"/>
  <c r="J57" i="133"/>
  <c r="I58" i="129" s="1"/>
  <c r="W57" i="133"/>
  <c r="V58" i="129" s="1"/>
  <c r="G57" i="133"/>
  <c r="F58" i="129" s="1"/>
  <c r="T57" i="133"/>
  <c r="S58" i="129" s="1"/>
  <c r="N56" i="133"/>
  <c r="M57" i="129" s="1"/>
  <c r="L53" i="133"/>
  <c r="K54" i="129" s="1"/>
  <c r="F48" i="133"/>
  <c r="E49" i="129" s="1"/>
  <c r="R48" i="133"/>
  <c r="Q49" i="129" s="1"/>
  <c r="D48" i="133"/>
  <c r="C49" i="129" s="1"/>
  <c r="Q48" i="133"/>
  <c r="P49" i="129" s="1"/>
  <c r="H48" i="133"/>
  <c r="G49" i="129" s="1"/>
  <c r="U48" i="133"/>
  <c r="T49" i="129" s="1"/>
  <c r="P48" i="133"/>
  <c r="O49" i="129" s="1"/>
  <c r="J48" i="133"/>
  <c r="I49" i="129" s="1"/>
  <c r="Y48" i="133"/>
  <c r="X49" i="129" s="1"/>
  <c r="M48" i="133"/>
  <c r="L49" i="129" s="1"/>
  <c r="AB48" i="133"/>
  <c r="AA49" i="129" s="1"/>
  <c r="N48" i="133"/>
  <c r="M49" i="129" s="1"/>
  <c r="J38" i="133"/>
  <c r="I39" i="129" s="1"/>
  <c r="F44" i="133"/>
  <c r="E45" i="129" s="1"/>
  <c r="R44" i="133"/>
  <c r="Q45" i="129" s="1"/>
  <c r="H44" i="133"/>
  <c r="G45" i="129" s="1"/>
  <c r="U44" i="133"/>
  <c r="T45" i="129" s="1"/>
  <c r="K44" i="133"/>
  <c r="J45" i="129" s="1"/>
  <c r="X44" i="133"/>
  <c r="W45" i="129" s="1"/>
  <c r="N44" i="133"/>
  <c r="M45" i="129" s="1"/>
  <c r="O44" i="133"/>
  <c r="N45" i="129" s="1"/>
  <c r="D44" i="133"/>
  <c r="C45" i="129" s="1"/>
  <c r="T44" i="133"/>
  <c r="S45" i="129" s="1"/>
  <c r="G44" i="133"/>
  <c r="F45" i="129" s="1"/>
  <c r="W44" i="133"/>
  <c r="V45" i="129" s="1"/>
  <c r="L44" i="133"/>
  <c r="K45" i="129" s="1"/>
  <c r="AA44" i="133"/>
  <c r="Z45" i="129" s="1"/>
  <c r="M44" i="133"/>
  <c r="L45" i="129" s="1"/>
  <c r="AB44" i="133"/>
  <c r="AA45" i="129" s="1"/>
  <c r="C38" i="133"/>
  <c r="B39" i="129" s="1"/>
  <c r="BV39" i="129" s="1"/>
  <c r="O38" i="133"/>
  <c r="N39" i="129" s="1"/>
  <c r="F38" i="133"/>
  <c r="E39" i="129" s="1"/>
  <c r="R38" i="133"/>
  <c r="Q39" i="129" s="1"/>
  <c r="G38" i="133"/>
  <c r="F39" i="129" s="1"/>
  <c r="S38" i="133"/>
  <c r="R39" i="129" s="1"/>
  <c r="I38" i="133"/>
  <c r="H39" i="129" s="1"/>
  <c r="U38" i="133"/>
  <c r="T39" i="129" s="1"/>
  <c r="P38" i="133"/>
  <c r="O39" i="129" s="1"/>
  <c r="T38" i="133"/>
  <c r="S39" i="129" s="1"/>
  <c r="D38" i="133"/>
  <c r="C39" i="129" s="1"/>
  <c r="X38" i="133"/>
  <c r="W39" i="129" s="1"/>
  <c r="H38" i="133"/>
  <c r="G39" i="129" s="1"/>
  <c r="Z38" i="133"/>
  <c r="Y39" i="129" s="1"/>
  <c r="Y38" i="133"/>
  <c r="X39" i="129" s="1"/>
  <c r="AA38" i="133"/>
  <c r="Z39" i="129" s="1"/>
  <c r="K38" i="133"/>
  <c r="J39" i="129" s="1"/>
  <c r="L38" i="133"/>
  <c r="K39" i="129" s="1"/>
  <c r="M38" i="133"/>
  <c r="L39" i="129" s="1"/>
  <c r="V38" i="133"/>
  <c r="U39" i="129" s="1"/>
  <c r="W38" i="133"/>
  <c r="V39" i="129" s="1"/>
  <c r="Z34" i="133"/>
  <c r="Y35" i="129" s="1"/>
  <c r="C58" i="133"/>
  <c r="B59" i="129" s="1"/>
  <c r="O58" i="133"/>
  <c r="N59" i="129" s="1"/>
  <c r="AA58" i="133"/>
  <c r="Z59" i="129" s="1"/>
  <c r="I58" i="133"/>
  <c r="H59" i="129" s="1"/>
  <c r="V58" i="133"/>
  <c r="U59" i="129" s="1"/>
  <c r="F58" i="133"/>
  <c r="E59" i="129" s="1"/>
  <c r="S58" i="133"/>
  <c r="R59" i="129" s="1"/>
  <c r="N57" i="133"/>
  <c r="M58" i="129" s="1"/>
  <c r="Z56" i="133"/>
  <c r="Y57" i="129" s="1"/>
  <c r="J56" i="133"/>
  <c r="I57" i="129" s="1"/>
  <c r="AB53" i="133"/>
  <c r="AA54" i="129" s="1"/>
  <c r="I53" i="133"/>
  <c r="H54" i="129" s="1"/>
  <c r="T48" i="133"/>
  <c r="S49" i="129" s="1"/>
  <c r="Z44" i="133"/>
  <c r="Y45" i="129" s="1"/>
  <c r="T43" i="133"/>
  <c r="S44" i="129" s="1"/>
  <c r="X39" i="133"/>
  <c r="W40" i="129" s="1"/>
  <c r="N34" i="133"/>
  <c r="M35" i="129" s="1"/>
  <c r="C49" i="133"/>
  <c r="B50" i="129" s="1"/>
  <c r="AF50" i="129" s="1"/>
  <c r="O49" i="133"/>
  <c r="N50" i="129" s="1"/>
  <c r="AA49" i="133"/>
  <c r="Z50" i="129" s="1"/>
  <c r="D49" i="133"/>
  <c r="C50" i="129" s="1"/>
  <c r="Q49" i="133"/>
  <c r="P50" i="129" s="1"/>
  <c r="G49" i="133"/>
  <c r="F50" i="129" s="1"/>
  <c r="T49" i="133"/>
  <c r="S50" i="129" s="1"/>
  <c r="Z47" i="133"/>
  <c r="Y48" i="129" s="1"/>
  <c r="K47" i="133"/>
  <c r="J48" i="129" s="1"/>
  <c r="Q45" i="133"/>
  <c r="P46" i="129" s="1"/>
  <c r="Z40" i="133"/>
  <c r="Y41" i="129" s="1"/>
  <c r="I40" i="133"/>
  <c r="H41" i="129" s="1"/>
  <c r="Z36" i="133"/>
  <c r="Y37" i="129" s="1"/>
  <c r="V35" i="133"/>
  <c r="U36" i="129" s="1"/>
  <c r="V32" i="133"/>
  <c r="U33" i="129" s="1"/>
  <c r="U31" i="133"/>
  <c r="T32" i="129" s="1"/>
  <c r="P28" i="133"/>
  <c r="O29" i="129" s="1"/>
  <c r="K27" i="133"/>
  <c r="J28" i="129" s="1"/>
  <c r="C26" i="133"/>
  <c r="B27" i="129" s="1"/>
  <c r="AR27" i="129" s="1"/>
  <c r="O26" i="133"/>
  <c r="N27" i="129" s="1"/>
  <c r="AA26" i="133"/>
  <c r="Z27" i="129" s="1"/>
  <c r="F26" i="133"/>
  <c r="E27" i="129" s="1"/>
  <c r="R26" i="133"/>
  <c r="Q27" i="129" s="1"/>
  <c r="G26" i="133"/>
  <c r="F27" i="129" s="1"/>
  <c r="S26" i="133"/>
  <c r="R27" i="129" s="1"/>
  <c r="I26" i="133"/>
  <c r="H27" i="129" s="1"/>
  <c r="U26" i="133"/>
  <c r="T27" i="129" s="1"/>
  <c r="P26" i="133"/>
  <c r="O27" i="129" s="1"/>
  <c r="D26" i="133"/>
  <c r="C27" i="129" s="1"/>
  <c r="X26" i="133"/>
  <c r="W27" i="129" s="1"/>
  <c r="J26" i="133"/>
  <c r="I27" i="129" s="1"/>
  <c r="AB26" i="133"/>
  <c r="AA27" i="129" s="1"/>
  <c r="L26" i="133"/>
  <c r="K27" i="129" s="1"/>
  <c r="M26" i="133"/>
  <c r="L27" i="129" s="1"/>
  <c r="Q26" i="133"/>
  <c r="P27" i="129" s="1"/>
  <c r="T19" i="133"/>
  <c r="S20" i="129" s="1"/>
  <c r="C62" i="133"/>
  <c r="B63" i="129" s="1"/>
  <c r="BR63" i="129" s="1"/>
  <c r="O62" i="133"/>
  <c r="N63" i="129" s="1"/>
  <c r="AA62" i="133"/>
  <c r="Z63" i="129" s="1"/>
  <c r="V50" i="133"/>
  <c r="U51" i="129" s="1"/>
  <c r="R49" i="133"/>
  <c r="Q50" i="129" s="1"/>
  <c r="Y47" i="133"/>
  <c r="X48" i="129" s="1"/>
  <c r="J47" i="133"/>
  <c r="I48" i="129" s="1"/>
  <c r="P45" i="133"/>
  <c r="O46" i="129" s="1"/>
  <c r="Y40" i="133"/>
  <c r="X41" i="129" s="1"/>
  <c r="H40" i="133"/>
  <c r="G41" i="129" s="1"/>
  <c r="W36" i="133"/>
  <c r="V37" i="129" s="1"/>
  <c r="T35" i="133"/>
  <c r="S36" i="129" s="1"/>
  <c r="T32" i="133"/>
  <c r="S33" i="129" s="1"/>
  <c r="S31" i="133"/>
  <c r="R32" i="129" s="1"/>
  <c r="K28" i="133"/>
  <c r="J29" i="129" s="1"/>
  <c r="N19" i="133"/>
  <c r="M20" i="129" s="1"/>
  <c r="L27" i="133"/>
  <c r="K28" i="129" s="1"/>
  <c r="X27" i="133"/>
  <c r="W28" i="129" s="1"/>
  <c r="C27" i="133"/>
  <c r="B28" i="129" s="1"/>
  <c r="O27" i="133"/>
  <c r="N28" i="129" s="1"/>
  <c r="AA27" i="133"/>
  <c r="Z28" i="129" s="1"/>
  <c r="D27" i="133"/>
  <c r="C28" i="129" s="1"/>
  <c r="P27" i="133"/>
  <c r="O28" i="129" s="1"/>
  <c r="AB27" i="133"/>
  <c r="AA28" i="129" s="1"/>
  <c r="F27" i="133"/>
  <c r="E28" i="129" s="1"/>
  <c r="R27" i="133"/>
  <c r="Q28" i="129" s="1"/>
  <c r="H27" i="133"/>
  <c r="G28" i="129" s="1"/>
  <c r="Y27" i="133"/>
  <c r="X28" i="129" s="1"/>
  <c r="Q27" i="133"/>
  <c r="P28" i="129" s="1"/>
  <c r="U27" i="133"/>
  <c r="T28" i="129" s="1"/>
  <c r="E27" i="133"/>
  <c r="D28" i="129" s="1"/>
  <c r="W27" i="133"/>
  <c r="V28" i="129" s="1"/>
  <c r="G27" i="133"/>
  <c r="F28" i="129" s="1"/>
  <c r="Z27" i="133"/>
  <c r="Y28" i="129" s="1"/>
  <c r="J27" i="133"/>
  <c r="I28" i="129" s="1"/>
  <c r="L19" i="133"/>
  <c r="K20" i="129" s="1"/>
  <c r="X19" i="133"/>
  <c r="W20" i="129" s="1"/>
  <c r="C19" i="133"/>
  <c r="B20" i="129" s="1"/>
  <c r="O19" i="133"/>
  <c r="N20" i="129" s="1"/>
  <c r="AA19" i="133"/>
  <c r="Z20" i="129" s="1"/>
  <c r="D19" i="133"/>
  <c r="C20" i="129" s="1"/>
  <c r="P19" i="133"/>
  <c r="O20" i="129" s="1"/>
  <c r="AB19" i="133"/>
  <c r="AA20" i="129" s="1"/>
  <c r="F19" i="133"/>
  <c r="E20" i="129" s="1"/>
  <c r="R19" i="133"/>
  <c r="Q20" i="129" s="1"/>
  <c r="H19" i="133"/>
  <c r="G20" i="129" s="1"/>
  <c r="Y19" i="133"/>
  <c r="X20" i="129" s="1"/>
  <c r="Q19" i="133"/>
  <c r="P20" i="129" s="1"/>
  <c r="S19" i="133"/>
  <c r="R20" i="129" s="1"/>
  <c r="U19" i="133"/>
  <c r="T20" i="129" s="1"/>
  <c r="E19" i="133"/>
  <c r="D20" i="129" s="1"/>
  <c r="W19" i="133"/>
  <c r="V20" i="129" s="1"/>
  <c r="G19" i="133"/>
  <c r="F20" i="129" s="1"/>
  <c r="Z19" i="133"/>
  <c r="Y20" i="129" s="1"/>
  <c r="I19" i="133"/>
  <c r="H20" i="129" s="1"/>
  <c r="J19" i="133"/>
  <c r="I20" i="129" s="1"/>
  <c r="M19" i="133"/>
  <c r="L20" i="129" s="1"/>
  <c r="L50" i="133"/>
  <c r="K51" i="129" s="1"/>
  <c r="X50" i="133"/>
  <c r="W51" i="129" s="1"/>
  <c r="C50" i="133"/>
  <c r="B51" i="129" s="1"/>
  <c r="BW51" i="129" s="1"/>
  <c r="P50" i="133"/>
  <c r="O51" i="129" s="1"/>
  <c r="F50" i="133"/>
  <c r="E51" i="129" s="1"/>
  <c r="S50" i="133"/>
  <c r="R51" i="129" s="1"/>
  <c r="M49" i="133"/>
  <c r="L50" i="129" s="1"/>
  <c r="T47" i="133"/>
  <c r="S48" i="129" s="1"/>
  <c r="AB45" i="133"/>
  <c r="AA46" i="129" s="1"/>
  <c r="L45" i="133"/>
  <c r="K46" i="129" s="1"/>
  <c r="U40" i="133"/>
  <c r="T41" i="129" s="1"/>
  <c r="P36" i="133"/>
  <c r="O37" i="129" s="1"/>
  <c r="M35" i="133"/>
  <c r="L36" i="129" s="1"/>
  <c r="N32" i="133"/>
  <c r="M33" i="129" s="1"/>
  <c r="J31" i="133"/>
  <c r="I32" i="129" s="1"/>
  <c r="F28" i="133"/>
  <c r="E29" i="129" s="1"/>
  <c r="Y26" i="133"/>
  <c r="X27" i="129" s="1"/>
  <c r="F40" i="133"/>
  <c r="E41" i="129" s="1"/>
  <c r="R40" i="133"/>
  <c r="Q41" i="129" s="1"/>
  <c r="K40" i="133"/>
  <c r="J41" i="129" s="1"/>
  <c r="X40" i="133"/>
  <c r="W41" i="129" s="1"/>
  <c r="N40" i="133"/>
  <c r="M41" i="129" s="1"/>
  <c r="AA40" i="133"/>
  <c r="Z41" i="129" s="1"/>
  <c r="C40" i="133"/>
  <c r="B41" i="129" s="1"/>
  <c r="CL41" i="129" s="1"/>
  <c r="P40" i="133"/>
  <c r="O41" i="129" s="1"/>
  <c r="K36" i="133"/>
  <c r="J37" i="129" s="1"/>
  <c r="K35" i="133"/>
  <c r="J36" i="129" s="1"/>
  <c r="J32" i="133"/>
  <c r="I33" i="129" s="1"/>
  <c r="I31" i="133"/>
  <c r="H32" i="129" s="1"/>
  <c r="W26" i="133"/>
  <c r="V27" i="129" s="1"/>
  <c r="I47" i="133"/>
  <c r="H48" i="129" s="1"/>
  <c r="U47" i="133"/>
  <c r="T48" i="129" s="1"/>
  <c r="E47" i="133"/>
  <c r="D48" i="129" s="1"/>
  <c r="R47" i="133"/>
  <c r="Q48" i="129" s="1"/>
  <c r="H47" i="133"/>
  <c r="G48" i="129" s="1"/>
  <c r="V47" i="133"/>
  <c r="U48" i="129" s="1"/>
  <c r="Y45" i="133"/>
  <c r="X46" i="129" s="1"/>
  <c r="I45" i="133"/>
  <c r="H46" i="129" s="1"/>
  <c r="S40" i="133"/>
  <c r="R41" i="129" s="1"/>
  <c r="G32" i="133"/>
  <c r="F33" i="129" s="1"/>
  <c r="I28" i="133"/>
  <c r="H29" i="129" s="1"/>
  <c r="U28" i="133"/>
  <c r="T29" i="129" s="1"/>
  <c r="L28" i="133"/>
  <c r="K29" i="129" s="1"/>
  <c r="X28" i="133"/>
  <c r="W29" i="129" s="1"/>
  <c r="M28" i="133"/>
  <c r="L29" i="129" s="1"/>
  <c r="Y28" i="133"/>
  <c r="X29" i="129" s="1"/>
  <c r="C28" i="133"/>
  <c r="B29" i="129" s="1"/>
  <c r="BX29" i="129" s="1"/>
  <c r="O28" i="133"/>
  <c r="N29" i="129" s="1"/>
  <c r="AA28" i="133"/>
  <c r="Z29" i="129" s="1"/>
  <c r="Q28" i="133"/>
  <c r="P29" i="129" s="1"/>
  <c r="H28" i="133"/>
  <c r="G29" i="129" s="1"/>
  <c r="N28" i="133"/>
  <c r="M29" i="129" s="1"/>
  <c r="R28" i="133"/>
  <c r="Q29" i="129" s="1"/>
  <c r="S28" i="133"/>
  <c r="R29" i="129" s="1"/>
  <c r="D28" i="133"/>
  <c r="C29" i="129" s="1"/>
  <c r="V28" i="133"/>
  <c r="U29" i="129" s="1"/>
  <c r="V26" i="133"/>
  <c r="U27" i="129" s="1"/>
  <c r="L31" i="133"/>
  <c r="K32" i="129" s="1"/>
  <c r="X31" i="133"/>
  <c r="W32" i="129" s="1"/>
  <c r="C31" i="133"/>
  <c r="B32" i="129" s="1"/>
  <c r="O31" i="133"/>
  <c r="N32" i="129" s="1"/>
  <c r="AA31" i="133"/>
  <c r="Z32" i="129" s="1"/>
  <c r="D31" i="133"/>
  <c r="C32" i="129" s="1"/>
  <c r="P31" i="133"/>
  <c r="O32" i="129" s="1"/>
  <c r="AB31" i="133"/>
  <c r="AA32" i="129" s="1"/>
  <c r="F31" i="133"/>
  <c r="E32" i="129" s="1"/>
  <c r="R31" i="133"/>
  <c r="Q32" i="129" s="1"/>
  <c r="H31" i="133"/>
  <c r="G32" i="129" s="1"/>
  <c r="Y31" i="133"/>
  <c r="X32" i="129" s="1"/>
  <c r="G31" i="133"/>
  <c r="F32" i="129" s="1"/>
  <c r="Z31" i="133"/>
  <c r="Y32" i="129" s="1"/>
  <c r="K31" i="133"/>
  <c r="J32" i="129" s="1"/>
  <c r="Q31" i="133"/>
  <c r="P32" i="129" s="1"/>
  <c r="T31" i="133"/>
  <c r="S32" i="129" s="1"/>
  <c r="V27" i="133"/>
  <c r="U28" i="129" s="1"/>
  <c r="T26" i="133"/>
  <c r="S27" i="129" s="1"/>
  <c r="L35" i="133"/>
  <c r="K36" i="129" s="1"/>
  <c r="X35" i="133"/>
  <c r="W36" i="129" s="1"/>
  <c r="C35" i="133"/>
  <c r="B36" i="129" s="1"/>
  <c r="BM36" i="129" s="1"/>
  <c r="O35" i="133"/>
  <c r="N36" i="129" s="1"/>
  <c r="AA35" i="133"/>
  <c r="Z36" i="129" s="1"/>
  <c r="D35" i="133"/>
  <c r="C36" i="129" s="1"/>
  <c r="P35" i="133"/>
  <c r="O36" i="129" s="1"/>
  <c r="AB35" i="133"/>
  <c r="AA36" i="129" s="1"/>
  <c r="F35" i="133"/>
  <c r="E36" i="129" s="1"/>
  <c r="R35" i="133"/>
  <c r="Q36" i="129" s="1"/>
  <c r="H35" i="133"/>
  <c r="G36" i="129" s="1"/>
  <c r="Y35" i="133"/>
  <c r="X36" i="129" s="1"/>
  <c r="Q35" i="133"/>
  <c r="P36" i="129" s="1"/>
  <c r="U35" i="133"/>
  <c r="T36" i="129" s="1"/>
  <c r="G35" i="133"/>
  <c r="F36" i="129" s="1"/>
  <c r="Z35" i="133"/>
  <c r="Y36" i="129" s="1"/>
  <c r="J35" i="133"/>
  <c r="I36" i="129" s="1"/>
  <c r="AB28" i="133"/>
  <c r="AA29" i="129" s="1"/>
  <c r="T27" i="133"/>
  <c r="S28" i="129" s="1"/>
  <c r="N26" i="133"/>
  <c r="M27" i="129" s="1"/>
  <c r="I32" i="133"/>
  <c r="H33" i="129" s="1"/>
  <c r="U32" i="133"/>
  <c r="T33" i="129" s="1"/>
  <c r="L32" i="133"/>
  <c r="K33" i="129" s="1"/>
  <c r="X32" i="133"/>
  <c r="W33" i="129" s="1"/>
  <c r="M32" i="133"/>
  <c r="L33" i="129" s="1"/>
  <c r="Y32" i="133"/>
  <c r="X33" i="129" s="1"/>
  <c r="C32" i="133"/>
  <c r="B33" i="129" s="1"/>
  <c r="AI33" i="129" s="1"/>
  <c r="O32" i="133"/>
  <c r="N33" i="129" s="1"/>
  <c r="AA32" i="133"/>
  <c r="Z33" i="129" s="1"/>
  <c r="Q32" i="133"/>
  <c r="P33" i="129" s="1"/>
  <c r="S32" i="133"/>
  <c r="R33" i="129" s="1"/>
  <c r="E32" i="133"/>
  <c r="D33" i="129" s="1"/>
  <c r="W32" i="133"/>
  <c r="V33" i="129" s="1"/>
  <c r="H32" i="133"/>
  <c r="G33" i="129" s="1"/>
  <c r="K32" i="133"/>
  <c r="J33" i="129" s="1"/>
  <c r="Z28" i="133"/>
  <c r="Y29" i="129" s="1"/>
  <c r="S27" i="133"/>
  <c r="R28" i="129" s="1"/>
  <c r="K26" i="133"/>
  <c r="J27" i="129" s="1"/>
  <c r="S62" i="133"/>
  <c r="R63" i="129" s="1"/>
  <c r="F62" i="133"/>
  <c r="E63" i="129" s="1"/>
  <c r="Z50" i="133"/>
  <c r="Y51" i="129" s="1"/>
  <c r="J50" i="133"/>
  <c r="I51" i="129" s="1"/>
  <c r="V49" i="133"/>
  <c r="U50" i="129" s="1"/>
  <c r="F49" i="133"/>
  <c r="E50" i="129" s="1"/>
  <c r="AB47" i="133"/>
  <c r="AA48" i="129" s="1"/>
  <c r="M47" i="133"/>
  <c r="L48" i="129" s="1"/>
  <c r="S45" i="133"/>
  <c r="R46" i="129" s="1"/>
  <c r="L40" i="133"/>
  <c r="K41" i="129" s="1"/>
  <c r="I36" i="133"/>
  <c r="H37" i="129" s="1"/>
  <c r="U36" i="133"/>
  <c r="T37" i="129" s="1"/>
  <c r="L36" i="133"/>
  <c r="K37" i="129" s="1"/>
  <c r="X36" i="133"/>
  <c r="W37" i="129" s="1"/>
  <c r="M36" i="133"/>
  <c r="L37" i="129" s="1"/>
  <c r="Y36" i="133"/>
  <c r="X37" i="129" s="1"/>
  <c r="C36" i="133"/>
  <c r="B37" i="129" s="1"/>
  <c r="O36" i="133"/>
  <c r="N37" i="129" s="1"/>
  <c r="AA36" i="133"/>
  <c r="Z37" i="129" s="1"/>
  <c r="Q36" i="133"/>
  <c r="P37" i="129" s="1"/>
  <c r="H36" i="133"/>
  <c r="G37" i="129" s="1"/>
  <c r="N36" i="133"/>
  <c r="M37" i="129" s="1"/>
  <c r="S36" i="133"/>
  <c r="R37" i="129" s="1"/>
  <c r="D36" i="133"/>
  <c r="C37" i="129" s="1"/>
  <c r="V36" i="133"/>
  <c r="U37" i="129" s="1"/>
  <c r="AB32" i="133"/>
  <c r="AA33" i="129" s="1"/>
  <c r="W31" i="133"/>
  <c r="V32" i="129" s="1"/>
  <c r="W28" i="133"/>
  <c r="V29" i="129" s="1"/>
  <c r="N27" i="133"/>
  <c r="M28" i="129" s="1"/>
  <c r="H26" i="133"/>
  <c r="G27" i="129" s="1"/>
  <c r="C45" i="133"/>
  <c r="B46" i="129" s="1"/>
  <c r="O45" i="133"/>
  <c r="N46" i="129" s="1"/>
  <c r="AA45" i="133"/>
  <c r="Z46" i="129" s="1"/>
  <c r="G45" i="133"/>
  <c r="F46" i="129" s="1"/>
  <c r="T45" i="133"/>
  <c r="S46" i="129" s="1"/>
  <c r="J45" i="133"/>
  <c r="I46" i="129" s="1"/>
  <c r="W45" i="133"/>
  <c r="V46" i="129" s="1"/>
  <c r="AB40" i="133"/>
  <c r="AA41" i="129" s="1"/>
  <c r="J40" i="133"/>
  <c r="I41" i="129" s="1"/>
  <c r="AB36" i="133"/>
  <c r="AA37" i="129" s="1"/>
  <c r="W35" i="133"/>
  <c r="V36" i="129" s="1"/>
  <c r="Z32" i="133"/>
  <c r="Y33" i="129" s="1"/>
  <c r="V31" i="133"/>
  <c r="U32" i="129" s="1"/>
  <c r="T28" i="133"/>
  <c r="S29" i="129" s="1"/>
  <c r="M27" i="133"/>
  <c r="L28" i="129" s="1"/>
  <c r="E26" i="133"/>
  <c r="D27" i="129" s="1"/>
  <c r="V19" i="133"/>
  <c r="U20" i="129" s="1"/>
  <c r="C18" i="133"/>
  <c r="B19" i="129" s="1"/>
  <c r="AO19" i="129" s="1"/>
  <c r="O18" i="133"/>
  <c r="N19" i="129" s="1"/>
  <c r="AA18" i="133"/>
  <c r="Z19" i="129" s="1"/>
  <c r="F18" i="133"/>
  <c r="E19" i="129" s="1"/>
  <c r="R18" i="133"/>
  <c r="Q19" i="129" s="1"/>
  <c r="G18" i="133"/>
  <c r="F19" i="129" s="1"/>
  <c r="S18" i="133"/>
  <c r="R19" i="129" s="1"/>
  <c r="I18" i="133"/>
  <c r="H19" i="129" s="1"/>
  <c r="U18" i="133"/>
  <c r="T19" i="129" s="1"/>
  <c r="P18" i="133"/>
  <c r="O19" i="129" s="1"/>
  <c r="S15" i="133"/>
  <c r="R16" i="129" s="1"/>
  <c r="L11" i="133"/>
  <c r="K12" i="129" s="1"/>
  <c r="X11" i="133"/>
  <c r="W12" i="129" s="1"/>
  <c r="C11" i="133"/>
  <c r="B12" i="129" s="1"/>
  <c r="BS12" i="129" s="1"/>
  <c r="O11" i="133"/>
  <c r="N12" i="129" s="1"/>
  <c r="AA11" i="133"/>
  <c r="Z12" i="129" s="1"/>
  <c r="D11" i="133"/>
  <c r="C12" i="129" s="1"/>
  <c r="P11" i="133"/>
  <c r="O12" i="129" s="1"/>
  <c r="AB11" i="133"/>
  <c r="AA12" i="129" s="1"/>
  <c r="F11" i="133"/>
  <c r="E12" i="129" s="1"/>
  <c r="R11" i="133"/>
  <c r="Q12" i="129" s="1"/>
  <c r="J11" i="133"/>
  <c r="I12" i="129" s="1"/>
  <c r="V11" i="133"/>
  <c r="U12" i="129" s="1"/>
  <c r="H11" i="133"/>
  <c r="G12" i="129" s="1"/>
  <c r="M11" i="133"/>
  <c r="L12" i="129" s="1"/>
  <c r="N11" i="133"/>
  <c r="M12" i="129" s="1"/>
  <c r="T11" i="133"/>
  <c r="S12" i="129" s="1"/>
  <c r="U11" i="133"/>
  <c r="T12" i="129" s="1"/>
  <c r="G11" i="133"/>
  <c r="F12" i="129" s="1"/>
  <c r="Z11" i="133"/>
  <c r="Y12" i="129" s="1"/>
  <c r="L23" i="133"/>
  <c r="K24" i="129" s="1"/>
  <c r="X23" i="133"/>
  <c r="W24" i="129" s="1"/>
  <c r="C23" i="133"/>
  <c r="B24" i="129" s="1"/>
  <c r="AF24" i="129" s="1"/>
  <c r="O23" i="133"/>
  <c r="N24" i="129" s="1"/>
  <c r="AA23" i="133"/>
  <c r="Z24" i="129" s="1"/>
  <c r="D23" i="133"/>
  <c r="C24" i="129" s="1"/>
  <c r="P23" i="133"/>
  <c r="O24" i="129" s="1"/>
  <c r="AB23" i="133"/>
  <c r="AA24" i="129" s="1"/>
  <c r="F23" i="133"/>
  <c r="E24" i="129" s="1"/>
  <c r="R23" i="133"/>
  <c r="Q24" i="129" s="1"/>
  <c r="H23" i="133"/>
  <c r="G24" i="129" s="1"/>
  <c r="Y23" i="133"/>
  <c r="X24" i="129" s="1"/>
  <c r="K22" i="133"/>
  <c r="J23" i="129" s="1"/>
  <c r="Q21" i="133"/>
  <c r="P22" i="129" s="1"/>
  <c r="Z20" i="133"/>
  <c r="Y21" i="129" s="1"/>
  <c r="F20" i="133"/>
  <c r="E21" i="129" s="1"/>
  <c r="V18" i="133"/>
  <c r="U19" i="129" s="1"/>
  <c r="Q15" i="133"/>
  <c r="P16" i="129" s="1"/>
  <c r="L3" i="133"/>
  <c r="K4" i="129" s="1"/>
  <c r="X3" i="133"/>
  <c r="W4" i="129" s="1"/>
  <c r="C3" i="133"/>
  <c r="B4" i="129" s="1"/>
  <c r="O3" i="133"/>
  <c r="N4" i="129" s="1"/>
  <c r="AA3" i="133"/>
  <c r="Z4" i="129" s="1"/>
  <c r="D3" i="133"/>
  <c r="C4" i="129" s="1"/>
  <c r="P3" i="133"/>
  <c r="O4" i="129" s="1"/>
  <c r="AB3" i="133"/>
  <c r="AA4" i="129" s="1"/>
  <c r="E3" i="133"/>
  <c r="D4" i="129" s="1"/>
  <c r="Q3" i="133"/>
  <c r="P4" i="129" s="1"/>
  <c r="F3" i="133"/>
  <c r="E4" i="129" s="1"/>
  <c r="R3" i="133"/>
  <c r="Q4" i="129" s="1"/>
  <c r="H3" i="133"/>
  <c r="G4" i="129" s="1"/>
  <c r="T3" i="133"/>
  <c r="S4" i="129" s="1"/>
  <c r="J3" i="133"/>
  <c r="I4" i="129" s="1"/>
  <c r="V3" i="133"/>
  <c r="U4" i="129" s="1"/>
  <c r="K3" i="133"/>
  <c r="J4" i="129" s="1"/>
  <c r="M3" i="133"/>
  <c r="L4" i="129" s="1"/>
  <c r="N3" i="133"/>
  <c r="M4" i="129" s="1"/>
  <c r="S3" i="133"/>
  <c r="R4" i="129" s="1"/>
  <c r="U3" i="133"/>
  <c r="T4" i="129" s="1"/>
  <c r="W3" i="133"/>
  <c r="V4" i="129" s="1"/>
  <c r="Y3" i="133"/>
  <c r="X4" i="129" s="1"/>
  <c r="Z3" i="133"/>
  <c r="Y4" i="129" s="1"/>
  <c r="I3" i="133"/>
  <c r="H4" i="129" s="1"/>
  <c r="L42" i="133"/>
  <c r="K43" i="129" s="1"/>
  <c r="X42" i="133"/>
  <c r="W43" i="129" s="1"/>
  <c r="C41" i="133"/>
  <c r="B42" i="129" s="1"/>
  <c r="AO42" i="129" s="1"/>
  <c r="O41" i="133"/>
  <c r="N42" i="129" s="1"/>
  <c r="AA41" i="133"/>
  <c r="Z42" i="129" s="1"/>
  <c r="O37" i="133"/>
  <c r="N38" i="129" s="1"/>
  <c r="Y33" i="133"/>
  <c r="X34" i="129" s="1"/>
  <c r="Z30" i="133"/>
  <c r="Y31" i="129" s="1"/>
  <c r="H30" i="133"/>
  <c r="G31" i="129" s="1"/>
  <c r="O29" i="133"/>
  <c r="N30" i="129" s="1"/>
  <c r="Y25" i="133"/>
  <c r="X26" i="129" s="1"/>
  <c r="K24" i="133"/>
  <c r="J25" i="129" s="1"/>
  <c r="T23" i="133"/>
  <c r="S24" i="129" s="1"/>
  <c r="Z22" i="133"/>
  <c r="Y23" i="129" s="1"/>
  <c r="H22" i="133"/>
  <c r="G23" i="129" s="1"/>
  <c r="O21" i="133"/>
  <c r="N22" i="129" s="1"/>
  <c r="V20" i="133"/>
  <c r="U21" i="129" s="1"/>
  <c r="Q18" i="133"/>
  <c r="P19" i="129" s="1"/>
  <c r="K15" i="133"/>
  <c r="J16" i="129" s="1"/>
  <c r="I20" i="133"/>
  <c r="H21" i="129" s="1"/>
  <c r="U20" i="133"/>
  <c r="T21" i="129" s="1"/>
  <c r="L20" i="133"/>
  <c r="K21" i="129" s="1"/>
  <c r="X20" i="133"/>
  <c r="W21" i="129" s="1"/>
  <c r="M20" i="133"/>
  <c r="L21" i="129" s="1"/>
  <c r="Y20" i="133"/>
  <c r="X21" i="129" s="1"/>
  <c r="C20" i="133"/>
  <c r="B21" i="129" s="1"/>
  <c r="BZ21" i="129" s="1"/>
  <c r="O20" i="133"/>
  <c r="N21" i="129" s="1"/>
  <c r="AA20" i="133"/>
  <c r="Z21" i="129" s="1"/>
  <c r="Q20" i="133"/>
  <c r="P21" i="129" s="1"/>
  <c r="N18" i="133"/>
  <c r="M19" i="129" s="1"/>
  <c r="I15" i="133"/>
  <c r="H16" i="129" s="1"/>
  <c r="W8" i="133"/>
  <c r="V9" i="129" s="1"/>
  <c r="R51" i="133"/>
  <c r="Q52" i="129" s="1"/>
  <c r="Z42" i="133"/>
  <c r="Y43" i="129" s="1"/>
  <c r="M42" i="133"/>
  <c r="L43" i="129" s="1"/>
  <c r="Z41" i="133"/>
  <c r="Y42" i="129" s="1"/>
  <c r="M41" i="133"/>
  <c r="L42" i="129" s="1"/>
  <c r="M37" i="133"/>
  <c r="L38" i="129" s="1"/>
  <c r="F33" i="133"/>
  <c r="E34" i="129" s="1"/>
  <c r="R33" i="133"/>
  <c r="Q34" i="129" s="1"/>
  <c r="I33" i="133"/>
  <c r="H34" i="129" s="1"/>
  <c r="U33" i="133"/>
  <c r="T34" i="129" s="1"/>
  <c r="J33" i="133"/>
  <c r="I34" i="129" s="1"/>
  <c r="V33" i="133"/>
  <c r="U34" i="129" s="1"/>
  <c r="L33" i="133"/>
  <c r="K34" i="129" s="1"/>
  <c r="X33" i="133"/>
  <c r="W34" i="129" s="1"/>
  <c r="G33" i="133"/>
  <c r="F34" i="129" s="1"/>
  <c r="Z33" i="133"/>
  <c r="Y34" i="129" s="1"/>
  <c r="X30" i="133"/>
  <c r="W31" i="129" s="1"/>
  <c r="M29" i="133"/>
  <c r="L30" i="129" s="1"/>
  <c r="F25" i="133"/>
  <c r="E26" i="129" s="1"/>
  <c r="R25" i="133"/>
  <c r="Q26" i="129" s="1"/>
  <c r="I25" i="133"/>
  <c r="H26" i="129" s="1"/>
  <c r="U25" i="133"/>
  <c r="T26" i="129" s="1"/>
  <c r="J25" i="133"/>
  <c r="I26" i="129" s="1"/>
  <c r="V25" i="133"/>
  <c r="U26" i="129" s="1"/>
  <c r="L25" i="133"/>
  <c r="K26" i="129" s="1"/>
  <c r="X25" i="133"/>
  <c r="W26" i="129" s="1"/>
  <c r="G25" i="133"/>
  <c r="F26" i="129" s="1"/>
  <c r="Z25" i="133"/>
  <c r="Y26" i="129" s="1"/>
  <c r="H24" i="133"/>
  <c r="G25" i="129" s="1"/>
  <c r="Q23" i="133"/>
  <c r="P24" i="129" s="1"/>
  <c r="X22" i="133"/>
  <c r="W23" i="129" s="1"/>
  <c r="M21" i="133"/>
  <c r="L22" i="129" s="1"/>
  <c r="S20" i="133"/>
  <c r="R21" i="129" s="1"/>
  <c r="M18" i="133"/>
  <c r="L19" i="129" s="1"/>
  <c r="G15" i="133"/>
  <c r="F16" i="129" s="1"/>
  <c r="Y11" i="133"/>
  <c r="X12" i="129" s="1"/>
  <c r="V8" i="133"/>
  <c r="U9" i="129" s="1"/>
  <c r="C30" i="133"/>
  <c r="B31" i="129" s="1"/>
  <c r="BX31" i="129" s="1"/>
  <c r="O30" i="133"/>
  <c r="N31" i="129" s="1"/>
  <c r="AA30" i="133"/>
  <c r="Z31" i="129" s="1"/>
  <c r="F30" i="133"/>
  <c r="E31" i="129" s="1"/>
  <c r="R30" i="133"/>
  <c r="Q31" i="129" s="1"/>
  <c r="G30" i="133"/>
  <c r="F31" i="129" s="1"/>
  <c r="S30" i="133"/>
  <c r="R31" i="129" s="1"/>
  <c r="I30" i="133"/>
  <c r="H31" i="129" s="1"/>
  <c r="U30" i="133"/>
  <c r="T31" i="129" s="1"/>
  <c r="P30" i="133"/>
  <c r="O31" i="129" s="1"/>
  <c r="AB24" i="133"/>
  <c r="AA25" i="129" s="1"/>
  <c r="G24" i="133"/>
  <c r="F25" i="129" s="1"/>
  <c r="N23" i="133"/>
  <c r="M24" i="129" s="1"/>
  <c r="C22" i="133"/>
  <c r="B23" i="129" s="1"/>
  <c r="O22" i="133"/>
  <c r="N23" i="129" s="1"/>
  <c r="AA22" i="133"/>
  <c r="Z23" i="129" s="1"/>
  <c r="F22" i="133"/>
  <c r="E23" i="129" s="1"/>
  <c r="R22" i="133"/>
  <c r="Q23" i="129" s="1"/>
  <c r="G22" i="133"/>
  <c r="F23" i="129" s="1"/>
  <c r="S22" i="133"/>
  <c r="R23" i="129" s="1"/>
  <c r="I22" i="133"/>
  <c r="H23" i="129" s="1"/>
  <c r="U22" i="133"/>
  <c r="T23" i="129" s="1"/>
  <c r="P22" i="133"/>
  <c r="O23" i="129" s="1"/>
  <c r="K21" i="133"/>
  <c r="J22" i="129" s="1"/>
  <c r="R20" i="133"/>
  <c r="Q21" i="129" s="1"/>
  <c r="L18" i="133"/>
  <c r="K19" i="129" s="1"/>
  <c r="W11" i="133"/>
  <c r="V12" i="129" s="1"/>
  <c r="Q8" i="133"/>
  <c r="P9" i="129" s="1"/>
  <c r="L15" i="133"/>
  <c r="K16" i="129" s="1"/>
  <c r="X15" i="133"/>
  <c r="W16" i="129" s="1"/>
  <c r="C15" i="133"/>
  <c r="B16" i="129" s="1"/>
  <c r="O15" i="133"/>
  <c r="N16" i="129" s="1"/>
  <c r="AA15" i="133"/>
  <c r="Z16" i="129" s="1"/>
  <c r="D15" i="133"/>
  <c r="C16" i="129" s="1"/>
  <c r="P15" i="133"/>
  <c r="O16" i="129" s="1"/>
  <c r="AB15" i="133"/>
  <c r="AA16" i="129" s="1"/>
  <c r="F15" i="133"/>
  <c r="E16" i="129" s="1"/>
  <c r="R15" i="133"/>
  <c r="Q16" i="129" s="1"/>
  <c r="J15" i="133"/>
  <c r="I16" i="129" s="1"/>
  <c r="V15" i="133"/>
  <c r="U16" i="129" s="1"/>
  <c r="H15" i="133"/>
  <c r="G16" i="129" s="1"/>
  <c r="N15" i="133"/>
  <c r="M16" i="129" s="1"/>
  <c r="U15" i="133"/>
  <c r="T16" i="129" s="1"/>
  <c r="S11" i="133"/>
  <c r="R12" i="129" s="1"/>
  <c r="J8" i="133"/>
  <c r="I9" i="129" s="1"/>
  <c r="X55" i="133"/>
  <c r="W56" i="129" s="1"/>
  <c r="L55" i="133"/>
  <c r="K56" i="129" s="1"/>
  <c r="I51" i="133"/>
  <c r="H52" i="129" s="1"/>
  <c r="U51" i="133"/>
  <c r="T52" i="129" s="1"/>
  <c r="V42" i="133"/>
  <c r="U43" i="129" s="1"/>
  <c r="I42" i="133"/>
  <c r="H43" i="129" s="1"/>
  <c r="W41" i="133"/>
  <c r="V42" i="129" s="1"/>
  <c r="J41" i="133"/>
  <c r="I42" i="129" s="1"/>
  <c r="AA37" i="133"/>
  <c r="Z38" i="129" s="1"/>
  <c r="P33" i="133"/>
  <c r="O34" i="129" s="1"/>
  <c r="T30" i="133"/>
  <c r="S31" i="129" s="1"/>
  <c r="AA29" i="133"/>
  <c r="Z30" i="129" s="1"/>
  <c r="P25" i="133"/>
  <c r="O26" i="129" s="1"/>
  <c r="W24" i="133"/>
  <c r="V25" i="129" s="1"/>
  <c r="K23" i="133"/>
  <c r="J24" i="129" s="1"/>
  <c r="T22" i="133"/>
  <c r="S23" i="129" s="1"/>
  <c r="AA21" i="133"/>
  <c r="Z22" i="129" s="1"/>
  <c r="E21" i="133"/>
  <c r="D22" i="129" s="1"/>
  <c r="N20" i="133"/>
  <c r="M21" i="129" s="1"/>
  <c r="AB18" i="133"/>
  <c r="AA19" i="129" s="1"/>
  <c r="J18" i="133"/>
  <c r="I19" i="129" s="1"/>
  <c r="Z15" i="133"/>
  <c r="Y16" i="129" s="1"/>
  <c r="Q11" i="133"/>
  <c r="P12" i="129" s="1"/>
  <c r="I8" i="133"/>
  <c r="H9" i="129" s="1"/>
  <c r="U8" i="133"/>
  <c r="T9" i="129" s="1"/>
  <c r="L8" i="133"/>
  <c r="K9" i="129" s="1"/>
  <c r="X8" i="133"/>
  <c r="W9" i="129" s="1"/>
  <c r="M8" i="133"/>
  <c r="L9" i="129" s="1"/>
  <c r="Y8" i="133"/>
  <c r="X9" i="129" s="1"/>
  <c r="C8" i="133"/>
  <c r="B9" i="129" s="1"/>
  <c r="BZ9" i="129" s="1"/>
  <c r="O8" i="133"/>
  <c r="N9" i="129" s="1"/>
  <c r="AA8" i="133"/>
  <c r="Z9" i="129" s="1"/>
  <c r="G8" i="133"/>
  <c r="F9" i="129" s="1"/>
  <c r="S8" i="133"/>
  <c r="R9" i="129" s="1"/>
  <c r="F8" i="133"/>
  <c r="E9" i="129" s="1"/>
  <c r="AB8" i="133"/>
  <c r="AA9" i="129" s="1"/>
  <c r="H8" i="133"/>
  <c r="G9" i="129" s="1"/>
  <c r="K8" i="133"/>
  <c r="J9" i="129" s="1"/>
  <c r="N8" i="133"/>
  <c r="M9" i="129" s="1"/>
  <c r="P8" i="133"/>
  <c r="O9" i="129" s="1"/>
  <c r="R8" i="133"/>
  <c r="Q9" i="129" s="1"/>
  <c r="T8" i="133"/>
  <c r="S9" i="129" s="1"/>
  <c r="E8" i="133"/>
  <c r="D9" i="129" s="1"/>
  <c r="Z8" i="133"/>
  <c r="Y9" i="129" s="1"/>
  <c r="I24" i="133"/>
  <c r="H25" i="129" s="1"/>
  <c r="U24" i="133"/>
  <c r="T25" i="129" s="1"/>
  <c r="L24" i="133"/>
  <c r="K25" i="129" s="1"/>
  <c r="X24" i="133"/>
  <c r="W25" i="129" s="1"/>
  <c r="M24" i="133"/>
  <c r="L25" i="129" s="1"/>
  <c r="Y24" i="133"/>
  <c r="X25" i="129" s="1"/>
  <c r="C24" i="133"/>
  <c r="B25" i="129" s="1"/>
  <c r="O24" i="133"/>
  <c r="N25" i="129" s="1"/>
  <c r="AA24" i="133"/>
  <c r="Z25" i="129" s="1"/>
  <c r="Q24" i="133"/>
  <c r="P25" i="129" s="1"/>
  <c r="I23" i="133"/>
  <c r="H24" i="129" s="1"/>
  <c r="N22" i="133"/>
  <c r="M23" i="129" s="1"/>
  <c r="W21" i="133"/>
  <c r="V22" i="129" s="1"/>
  <c r="J20" i="133"/>
  <c r="I21" i="129" s="1"/>
  <c r="Y18" i="133"/>
  <c r="X19" i="129" s="1"/>
  <c r="E18" i="133"/>
  <c r="D19" i="129" s="1"/>
  <c r="W15" i="133"/>
  <c r="V16" i="129" s="1"/>
  <c r="I11" i="133"/>
  <c r="H12" i="129" s="1"/>
  <c r="F37" i="133"/>
  <c r="E38" i="129" s="1"/>
  <c r="R37" i="133"/>
  <c r="Q38" i="129" s="1"/>
  <c r="I37" i="133"/>
  <c r="H38" i="129" s="1"/>
  <c r="U37" i="133"/>
  <c r="T38" i="129" s="1"/>
  <c r="J37" i="133"/>
  <c r="I38" i="129" s="1"/>
  <c r="V37" i="133"/>
  <c r="U38" i="129" s="1"/>
  <c r="L37" i="133"/>
  <c r="K38" i="129" s="1"/>
  <c r="X37" i="133"/>
  <c r="W38" i="129" s="1"/>
  <c r="G37" i="133"/>
  <c r="F38" i="129" s="1"/>
  <c r="Z37" i="133"/>
  <c r="Y38" i="129" s="1"/>
  <c r="M30" i="133"/>
  <c r="L31" i="129" s="1"/>
  <c r="F29" i="133"/>
  <c r="E30" i="129" s="1"/>
  <c r="R29" i="133"/>
  <c r="Q30" i="129" s="1"/>
  <c r="I29" i="133"/>
  <c r="H30" i="129" s="1"/>
  <c r="U29" i="133"/>
  <c r="T30" i="129" s="1"/>
  <c r="J29" i="133"/>
  <c r="I30" i="129" s="1"/>
  <c r="V29" i="133"/>
  <c r="U30" i="129" s="1"/>
  <c r="L29" i="133"/>
  <c r="K30" i="129" s="1"/>
  <c r="X29" i="133"/>
  <c r="W30" i="129" s="1"/>
  <c r="G29" i="133"/>
  <c r="F30" i="129" s="1"/>
  <c r="Z29" i="133"/>
  <c r="Y30" i="129" s="1"/>
  <c r="S24" i="133"/>
  <c r="R25" i="129" s="1"/>
  <c r="Z23" i="133"/>
  <c r="Y24" i="129" s="1"/>
  <c r="G23" i="133"/>
  <c r="F24" i="129" s="1"/>
  <c r="M22" i="133"/>
  <c r="L23" i="129" s="1"/>
  <c r="F21" i="133"/>
  <c r="E22" i="129" s="1"/>
  <c r="R21" i="133"/>
  <c r="Q22" i="129" s="1"/>
  <c r="I21" i="133"/>
  <c r="H22" i="129" s="1"/>
  <c r="U21" i="133"/>
  <c r="T22" i="129" s="1"/>
  <c r="J21" i="133"/>
  <c r="I22" i="129" s="1"/>
  <c r="V21" i="133"/>
  <c r="U22" i="129" s="1"/>
  <c r="L21" i="133"/>
  <c r="K22" i="129" s="1"/>
  <c r="X21" i="133"/>
  <c r="W22" i="129" s="1"/>
  <c r="G21" i="133"/>
  <c r="F22" i="129" s="1"/>
  <c r="Z21" i="133"/>
  <c r="Y22" i="129" s="1"/>
  <c r="H20" i="133"/>
  <c r="G21" i="129" s="1"/>
  <c r="X18" i="133"/>
  <c r="W19" i="129" s="1"/>
  <c r="D18" i="133"/>
  <c r="C19" i="129" s="1"/>
  <c r="T15" i="133"/>
  <c r="S16" i="129" s="1"/>
  <c r="E11" i="133"/>
  <c r="D12" i="129" s="1"/>
  <c r="Z17" i="133"/>
  <c r="Y18" i="129" s="1"/>
  <c r="P16" i="133"/>
  <c r="O17" i="129" s="1"/>
  <c r="AB14" i="133"/>
  <c r="AA15" i="129" s="1"/>
  <c r="N13" i="133"/>
  <c r="M14" i="129" s="1"/>
  <c r="T12" i="133"/>
  <c r="S13" i="129" s="1"/>
  <c r="L10" i="133"/>
  <c r="K11" i="129" s="1"/>
  <c r="S9" i="133"/>
  <c r="R10" i="129" s="1"/>
  <c r="K7" i="133"/>
  <c r="J8" i="129" s="1"/>
  <c r="Q6" i="133"/>
  <c r="P7" i="129" s="1"/>
  <c r="C14" i="133"/>
  <c r="B15" i="129" s="1"/>
  <c r="BX15" i="129" s="1"/>
  <c r="O14" i="133"/>
  <c r="N15" i="129" s="1"/>
  <c r="AA14" i="133"/>
  <c r="Z15" i="129" s="1"/>
  <c r="F14" i="133"/>
  <c r="E15" i="129" s="1"/>
  <c r="R14" i="133"/>
  <c r="Q15" i="129" s="1"/>
  <c r="G14" i="133"/>
  <c r="F15" i="129" s="1"/>
  <c r="S14" i="133"/>
  <c r="R15" i="129" s="1"/>
  <c r="I14" i="133"/>
  <c r="H15" i="129" s="1"/>
  <c r="U14" i="133"/>
  <c r="T15" i="129" s="1"/>
  <c r="M14" i="133"/>
  <c r="L15" i="129" s="1"/>
  <c r="Y14" i="133"/>
  <c r="X15" i="129" s="1"/>
  <c r="H13" i="133"/>
  <c r="G14" i="129" s="1"/>
  <c r="P12" i="133"/>
  <c r="O13" i="129" s="1"/>
  <c r="AB10" i="133"/>
  <c r="AA11" i="129" s="1"/>
  <c r="H10" i="133"/>
  <c r="G11" i="129" s="1"/>
  <c r="N9" i="133"/>
  <c r="M10" i="129" s="1"/>
  <c r="Z7" i="133"/>
  <c r="Y8" i="129" s="1"/>
  <c r="G7" i="133"/>
  <c r="F8" i="129" s="1"/>
  <c r="L6" i="133"/>
  <c r="K7" i="129" s="1"/>
  <c r="F17" i="133"/>
  <c r="E18" i="129" s="1"/>
  <c r="R17" i="133"/>
  <c r="Q18" i="129" s="1"/>
  <c r="I17" i="133"/>
  <c r="H18" i="129" s="1"/>
  <c r="U17" i="133"/>
  <c r="T18" i="129" s="1"/>
  <c r="J17" i="133"/>
  <c r="I18" i="129" s="1"/>
  <c r="V17" i="133"/>
  <c r="U18" i="129" s="1"/>
  <c r="L17" i="133"/>
  <c r="K18" i="129" s="1"/>
  <c r="X17" i="133"/>
  <c r="W18" i="129" s="1"/>
  <c r="V14" i="133"/>
  <c r="U15" i="129" s="1"/>
  <c r="AA13" i="133"/>
  <c r="Z14" i="129" s="1"/>
  <c r="N12" i="133"/>
  <c r="M13" i="129" s="1"/>
  <c r="Z10" i="133"/>
  <c r="Y11" i="129" s="1"/>
  <c r="M9" i="133"/>
  <c r="L10" i="129" s="1"/>
  <c r="AX10" i="129" s="1"/>
  <c r="Y7" i="133"/>
  <c r="X8" i="129" s="1"/>
  <c r="K6" i="133"/>
  <c r="J7" i="129" s="1"/>
  <c r="L7" i="133"/>
  <c r="K8" i="129" s="1"/>
  <c r="X7" i="133"/>
  <c r="W8" i="129" s="1"/>
  <c r="C7" i="133"/>
  <c r="B8" i="129" s="1"/>
  <c r="O7" i="133"/>
  <c r="N8" i="129" s="1"/>
  <c r="AA7" i="133"/>
  <c r="Z8" i="129" s="1"/>
  <c r="D7" i="133"/>
  <c r="C8" i="129" s="1"/>
  <c r="P7" i="133"/>
  <c r="O8" i="129" s="1"/>
  <c r="AB7" i="133"/>
  <c r="AA8" i="129" s="1"/>
  <c r="F7" i="133"/>
  <c r="E8" i="129" s="1"/>
  <c r="R7" i="133"/>
  <c r="Q8" i="129" s="1"/>
  <c r="J7" i="133"/>
  <c r="I8" i="129" s="1"/>
  <c r="V7" i="133"/>
  <c r="U8" i="129" s="1"/>
  <c r="J6" i="133"/>
  <c r="I7" i="129" s="1"/>
  <c r="C10" i="133"/>
  <c r="B11" i="129" s="1"/>
  <c r="O10" i="133"/>
  <c r="N11" i="129" s="1"/>
  <c r="AA10" i="133"/>
  <c r="Z11" i="129" s="1"/>
  <c r="F10" i="133"/>
  <c r="E11" i="129" s="1"/>
  <c r="R10" i="133"/>
  <c r="Q11" i="129" s="1"/>
  <c r="G10" i="133"/>
  <c r="F11" i="129" s="1"/>
  <c r="S10" i="133"/>
  <c r="R11" i="129" s="1"/>
  <c r="I10" i="133"/>
  <c r="H11" i="129" s="1"/>
  <c r="U10" i="133"/>
  <c r="T11" i="129" s="1"/>
  <c r="M10" i="133"/>
  <c r="L11" i="129" s="1"/>
  <c r="Y10" i="133"/>
  <c r="X11" i="129" s="1"/>
  <c r="H9" i="133"/>
  <c r="G10" i="129" s="1"/>
  <c r="U7" i="133"/>
  <c r="T8" i="129" s="1"/>
  <c r="AB6" i="133"/>
  <c r="AA7" i="129" s="1"/>
  <c r="H6" i="133"/>
  <c r="G7" i="129" s="1"/>
  <c r="F13" i="133"/>
  <c r="E14" i="129" s="1"/>
  <c r="R13" i="133"/>
  <c r="Q14" i="129" s="1"/>
  <c r="I13" i="133"/>
  <c r="H14" i="129" s="1"/>
  <c r="U13" i="133"/>
  <c r="T14" i="129" s="1"/>
  <c r="J13" i="133"/>
  <c r="I14" i="129" s="1"/>
  <c r="V13" i="133"/>
  <c r="U14" i="129" s="1"/>
  <c r="L13" i="133"/>
  <c r="K14" i="129" s="1"/>
  <c r="X13" i="133"/>
  <c r="W14" i="129" s="1"/>
  <c r="D13" i="133"/>
  <c r="C14" i="129" s="1"/>
  <c r="P13" i="133"/>
  <c r="O14" i="129" s="1"/>
  <c r="AB13" i="133"/>
  <c r="AA14" i="129" s="1"/>
  <c r="H12" i="133"/>
  <c r="G13" i="129" s="1"/>
  <c r="V10" i="133"/>
  <c r="U11" i="129" s="1"/>
  <c r="AA9" i="133"/>
  <c r="Z10" i="129" s="1"/>
  <c r="BX10" i="129" s="1"/>
  <c r="G9" i="133"/>
  <c r="F10" i="129" s="1"/>
  <c r="T7" i="133"/>
  <c r="S8" i="129" s="1"/>
  <c r="Z6" i="133"/>
  <c r="Y7" i="129" s="1"/>
  <c r="E6" i="133"/>
  <c r="D7" i="129" s="1"/>
  <c r="I16" i="133"/>
  <c r="H17" i="129" s="1"/>
  <c r="U16" i="133"/>
  <c r="T17" i="129" s="1"/>
  <c r="L16" i="133"/>
  <c r="K17" i="129" s="1"/>
  <c r="X16" i="133"/>
  <c r="W17" i="129" s="1"/>
  <c r="M16" i="133"/>
  <c r="L17" i="129" s="1"/>
  <c r="Y16" i="133"/>
  <c r="X17" i="129" s="1"/>
  <c r="C16" i="133"/>
  <c r="B17" i="129" s="1"/>
  <c r="BS17" i="129" s="1"/>
  <c r="O16" i="133"/>
  <c r="N17" i="129" s="1"/>
  <c r="AA16" i="133"/>
  <c r="Z17" i="129" s="1"/>
  <c r="G16" i="133"/>
  <c r="F17" i="129" s="1"/>
  <c r="S16" i="133"/>
  <c r="R17" i="129" s="1"/>
  <c r="N14" i="133"/>
  <c r="M15" i="129" s="1"/>
  <c r="T13" i="133"/>
  <c r="S14" i="129" s="1"/>
  <c r="AB12" i="133"/>
  <c r="AA13" i="129" s="1"/>
  <c r="T10" i="133"/>
  <c r="S11" i="129" s="1"/>
  <c r="Z9" i="133"/>
  <c r="Y10" i="129" s="1"/>
  <c r="S7" i="133"/>
  <c r="R8" i="129" s="1"/>
  <c r="X6" i="133"/>
  <c r="W7" i="129" s="1"/>
  <c r="C6" i="133"/>
  <c r="B7" i="129" s="1"/>
  <c r="BV7" i="129" s="1"/>
  <c r="O6" i="133"/>
  <c r="N7" i="129" s="1"/>
  <c r="AA6" i="133"/>
  <c r="Z7" i="129" s="1"/>
  <c r="F6" i="133"/>
  <c r="E7" i="129" s="1"/>
  <c r="R6" i="133"/>
  <c r="Q7" i="129" s="1"/>
  <c r="G6" i="133"/>
  <c r="F7" i="129" s="1"/>
  <c r="S6" i="133"/>
  <c r="R7" i="129" s="1"/>
  <c r="I6" i="133"/>
  <c r="H7" i="129" s="1"/>
  <c r="U6" i="133"/>
  <c r="T7" i="129" s="1"/>
  <c r="M6" i="133"/>
  <c r="L7" i="129" s="1"/>
  <c r="Y6" i="133"/>
  <c r="X7" i="129" s="1"/>
  <c r="F9" i="133"/>
  <c r="E10" i="129" s="1"/>
  <c r="AO10" i="129" s="1"/>
  <c r="R9" i="133"/>
  <c r="Q10" i="129" s="1"/>
  <c r="I9" i="133"/>
  <c r="H10" i="129" s="1"/>
  <c r="BZ10" i="129" s="1"/>
  <c r="U9" i="133"/>
  <c r="T10" i="129" s="1"/>
  <c r="J9" i="133"/>
  <c r="I10" i="129" s="1"/>
  <c r="V9" i="133"/>
  <c r="U10" i="129" s="1"/>
  <c r="L9" i="133"/>
  <c r="K10" i="129" s="1"/>
  <c r="X9" i="133"/>
  <c r="W10" i="129" s="1"/>
  <c r="D9" i="133"/>
  <c r="C10" i="129" s="1"/>
  <c r="P9" i="133"/>
  <c r="O10" i="129" s="1"/>
  <c r="AB9" i="133"/>
  <c r="AA10" i="129" s="1"/>
  <c r="N7" i="133"/>
  <c r="M8" i="129" s="1"/>
  <c r="V6" i="133"/>
  <c r="U7" i="129" s="1"/>
  <c r="I12" i="133"/>
  <c r="H13" i="129" s="1"/>
  <c r="U12" i="133"/>
  <c r="T13" i="129" s="1"/>
  <c r="L12" i="133"/>
  <c r="K13" i="129" s="1"/>
  <c r="X12" i="133"/>
  <c r="W13" i="129" s="1"/>
  <c r="M12" i="133"/>
  <c r="L13" i="129" s="1"/>
  <c r="Y12" i="133"/>
  <c r="X13" i="129" s="1"/>
  <c r="C12" i="133"/>
  <c r="B13" i="129" s="1"/>
  <c r="O12" i="133"/>
  <c r="N13" i="129" s="1"/>
  <c r="AA12" i="133"/>
  <c r="Z13" i="129" s="1"/>
  <c r="G12" i="133"/>
  <c r="F13" i="129" s="1"/>
  <c r="S12" i="133"/>
  <c r="R13" i="129" s="1"/>
  <c r="N10" i="133"/>
  <c r="M11" i="129" s="1"/>
  <c r="T9" i="133"/>
  <c r="S10" i="129" s="1"/>
  <c r="M7" i="133"/>
  <c r="L8" i="129" s="1"/>
  <c r="T6" i="133"/>
  <c r="S7" i="129" s="1"/>
  <c r="AB5" i="133"/>
  <c r="AA6" i="129" s="1"/>
  <c r="P5" i="133"/>
  <c r="O6" i="129" s="1"/>
  <c r="D5" i="133"/>
  <c r="C6" i="129" s="1"/>
  <c r="S4" i="133"/>
  <c r="R5" i="129" s="1"/>
  <c r="G4" i="133"/>
  <c r="F5" i="129" s="1"/>
  <c r="Y2" i="133"/>
  <c r="X3" i="129" s="1"/>
  <c r="AR3" i="129" s="1"/>
  <c r="M2" i="133"/>
  <c r="L3" i="129" s="1"/>
  <c r="AX3" i="129" s="1"/>
  <c r="L2" i="133"/>
  <c r="K3" i="129" s="1"/>
  <c r="Q4" i="133"/>
  <c r="P5" i="129" s="1"/>
  <c r="E4" i="133"/>
  <c r="D5" i="129" s="1"/>
  <c r="W2" i="133"/>
  <c r="V3" i="129" s="1"/>
  <c r="CA3" i="129" s="1"/>
  <c r="K2" i="133"/>
  <c r="J3" i="129" s="1"/>
  <c r="X5" i="133"/>
  <c r="W6" i="129" s="1"/>
  <c r="L5" i="133"/>
  <c r="K6" i="129" s="1"/>
  <c r="AA4" i="133"/>
  <c r="Z5" i="129" s="1"/>
  <c r="O4" i="133"/>
  <c r="N5" i="129" s="1"/>
  <c r="C4" i="133"/>
  <c r="B5" i="129" s="1"/>
  <c r="BX5" i="129" s="1"/>
  <c r="U2" i="133"/>
  <c r="T3" i="129" s="1"/>
  <c r="I2" i="133"/>
  <c r="H3" i="129" s="1"/>
  <c r="BZ3" i="129" s="1"/>
  <c r="T2" i="133"/>
  <c r="S3" i="129" s="1"/>
  <c r="H2" i="133"/>
  <c r="G3" i="129" s="1"/>
  <c r="V5" i="133"/>
  <c r="U6" i="129" s="1"/>
  <c r="J5" i="133"/>
  <c r="I6" i="129" s="1"/>
  <c r="Y4" i="133"/>
  <c r="X5" i="129" s="1"/>
  <c r="M4" i="133"/>
  <c r="L5" i="129" s="1"/>
  <c r="S2" i="133"/>
  <c r="R3" i="129" s="1"/>
  <c r="G2" i="133"/>
  <c r="F3" i="129" s="1"/>
  <c r="AI3" i="129" s="1"/>
  <c r="CL3" i="129" s="1"/>
  <c r="U5" i="133"/>
  <c r="T6" i="129" s="1"/>
  <c r="I5" i="133"/>
  <c r="H6" i="129" s="1"/>
  <c r="X4" i="133"/>
  <c r="W5" i="129" s="1"/>
  <c r="L4" i="133"/>
  <c r="K5" i="129" s="1"/>
  <c r="R2" i="133"/>
  <c r="Q3" i="129" s="1"/>
  <c r="BM3" i="129" s="1"/>
  <c r="F2" i="133"/>
  <c r="E3" i="129" s="1"/>
  <c r="AO3" i="129" s="1"/>
  <c r="E2" i="133"/>
  <c r="D3" i="129" s="1"/>
  <c r="D2" i="133"/>
  <c r="C3" i="129" s="1"/>
  <c r="AP3" i="129" s="1"/>
  <c r="R5" i="133"/>
  <c r="Q6" i="129" s="1"/>
  <c r="U4" i="133"/>
  <c r="T5" i="129" s="1"/>
  <c r="AA2" i="133"/>
  <c r="Z3" i="129" s="1"/>
  <c r="BX3" i="129" s="1"/>
  <c r="O2" i="133"/>
  <c r="N3" i="129" s="1"/>
  <c r="AP150" i="129" l="1"/>
  <c r="BW191" i="129"/>
  <c r="BX191" i="129"/>
  <c r="AO164" i="129"/>
  <c r="AP103" i="129"/>
  <c r="BX123" i="129"/>
  <c r="AC150" i="129"/>
  <c r="AX34" i="129"/>
  <c r="BX49" i="129"/>
  <c r="BM49" i="129"/>
  <c r="BS49" i="129"/>
  <c r="AR49" i="129"/>
  <c r="CA130" i="129"/>
  <c r="BV178" i="129"/>
  <c r="CA193" i="129"/>
  <c r="AF195" i="129"/>
  <c r="AF103" i="129"/>
  <c r="BR150" i="129"/>
  <c r="BV103" i="129"/>
  <c r="BR49" i="129"/>
  <c r="CL49" i="129"/>
  <c r="AC130" i="129"/>
  <c r="CA103" i="129"/>
  <c r="AN195" i="129"/>
  <c r="BM150" i="129"/>
  <c r="AF34" i="129"/>
  <c r="CL34" i="129"/>
  <c r="BW49" i="129"/>
  <c r="CA49" i="129"/>
  <c r="AX4" i="129"/>
  <c r="AR64" i="129"/>
  <c r="BW180" i="129"/>
  <c r="BN158" i="129"/>
  <c r="CL103" i="129"/>
  <c r="AO103" i="129"/>
  <c r="BZ195" i="129"/>
  <c r="AX150" i="129"/>
  <c r="BV49" i="129"/>
  <c r="AO49" i="129"/>
  <c r="BR64" i="129"/>
  <c r="AJ150" i="129"/>
  <c r="AI202" i="129"/>
  <c r="AC103" i="129"/>
  <c r="BZ103" i="129"/>
  <c r="AR150" i="129"/>
  <c r="BV34" i="129"/>
  <c r="BZ34" i="129"/>
  <c r="AX49" i="129"/>
  <c r="BZ49" i="129"/>
  <c r="BS113" i="129"/>
  <c r="BW150" i="129"/>
  <c r="AJ202" i="129"/>
  <c r="BR103" i="129"/>
  <c r="AN103" i="129"/>
  <c r="AN150" i="129"/>
  <c r="AD34" i="129"/>
  <c r="AI34" i="129"/>
  <c r="AL49" i="129"/>
  <c r="AN49" i="129"/>
  <c r="BS34" i="129"/>
  <c r="AJ49" i="129"/>
  <c r="AN169" i="129"/>
  <c r="BM103" i="129"/>
  <c r="AL103" i="129"/>
  <c r="BS150" i="129"/>
  <c r="AF150" i="129"/>
  <c r="AI49" i="129"/>
  <c r="AO150" i="129"/>
  <c r="BW146" i="129"/>
  <c r="AD163" i="129"/>
  <c r="AX103" i="129"/>
  <c r="AD150" i="129"/>
  <c r="AF49" i="129"/>
  <c r="AR4" i="129"/>
  <c r="AC49" i="129"/>
  <c r="CA10" i="129"/>
  <c r="AX41" i="129"/>
  <c r="CL66" i="129"/>
  <c r="BN29" i="129"/>
  <c r="BZ110" i="129"/>
  <c r="AN149" i="129"/>
  <c r="AP110" i="129"/>
  <c r="AN118" i="129"/>
  <c r="BR164" i="129"/>
  <c r="BR148" i="129"/>
  <c r="BV164" i="129"/>
  <c r="BV182" i="129"/>
  <c r="BR3" i="129"/>
  <c r="AF131" i="129"/>
  <c r="BN15" i="129"/>
  <c r="BM9" i="129"/>
  <c r="BV42" i="129"/>
  <c r="BZ118" i="129"/>
  <c r="AD6" i="129"/>
  <c r="BV15" i="129"/>
  <c r="BR51" i="129"/>
  <c r="CA93" i="129"/>
  <c r="AP81" i="129"/>
  <c r="AO5" i="129"/>
  <c r="BZ54" i="129"/>
  <c r="AJ10" i="129"/>
  <c r="AO9" i="129"/>
  <c r="AP44" i="129"/>
  <c r="BN10" i="129"/>
  <c r="AN36" i="129"/>
  <c r="BM60" i="129"/>
  <c r="AO81" i="129"/>
  <c r="CL81" i="129"/>
  <c r="AR81" i="129"/>
  <c r="AD5" i="129"/>
  <c r="BX6" i="129"/>
  <c r="AI149" i="129"/>
  <c r="AD149" i="129"/>
  <c r="BN164" i="129"/>
  <c r="AF164" i="129"/>
  <c r="CA164" i="129"/>
  <c r="BM164" i="129"/>
  <c r="BX194" i="129"/>
  <c r="BZ11" i="129"/>
  <c r="AO8" i="129"/>
  <c r="BZ36" i="129"/>
  <c r="AR60" i="129"/>
  <c r="CA81" i="129"/>
  <c r="CA17" i="129"/>
  <c r="BV149" i="129"/>
  <c r="BM118" i="129"/>
  <c r="BR149" i="129"/>
  <c r="AI8" i="129"/>
  <c r="CL8" i="129" s="1"/>
  <c r="BR17" i="129"/>
  <c r="BV8" i="129"/>
  <c r="BR4" i="129"/>
  <c r="AR36" i="129"/>
  <c r="BZ90" i="129"/>
  <c r="BW41" i="129"/>
  <c r="AP130" i="129"/>
  <c r="AO149" i="129"/>
  <c r="BV167" i="129"/>
  <c r="AP190" i="129"/>
  <c r="AR190" i="129"/>
  <c r="BN19" i="129"/>
  <c r="AN131" i="129"/>
  <c r="AP118" i="129"/>
  <c r="CA53" i="129"/>
  <c r="CL148" i="129"/>
  <c r="AN19" i="129"/>
  <c r="BM10" i="129"/>
  <c r="CA36" i="129"/>
  <c r="BR12" i="129"/>
  <c r="BV9" i="129"/>
  <c r="BW66" i="129"/>
  <c r="BR31" i="129"/>
  <c r="BX110" i="129"/>
  <c r="CL118" i="129"/>
  <c r="AO53" i="129"/>
  <c r="AP148" i="129"/>
  <c r="AO193" i="129"/>
  <c r="CL164" i="129"/>
  <c r="AD178" i="129"/>
  <c r="BV90" i="129"/>
  <c r="CA51" i="129"/>
  <c r="AJ31" i="129"/>
  <c r="BM90" i="129"/>
  <c r="AX102" i="129"/>
  <c r="BZ131" i="129"/>
  <c r="BS4" i="129"/>
  <c r="AI50" i="129"/>
  <c r="AL51" i="129"/>
  <c r="AJ179" i="129"/>
  <c r="AN193" i="129"/>
  <c r="BS148" i="129"/>
  <c r="AJ163" i="129"/>
  <c r="CA176" i="129"/>
  <c r="BX33" i="129"/>
  <c r="BM42" i="129"/>
  <c r="AN66" i="129"/>
  <c r="AO7" i="129"/>
  <c r="BZ29" i="129"/>
  <c r="BS149" i="129"/>
  <c r="CL99" i="129"/>
  <c r="AD164" i="129"/>
  <c r="AF148" i="129"/>
  <c r="AI164" i="129"/>
  <c r="AJ164" i="129"/>
  <c r="AL164" i="129"/>
  <c r="AN170" i="129"/>
  <c r="AX170" i="129"/>
  <c r="BV170" i="129"/>
  <c r="BW170" i="129"/>
  <c r="AI170" i="129"/>
  <c r="AJ170" i="129"/>
  <c r="AF137" i="129"/>
  <c r="BX137" i="129"/>
  <c r="CL137" i="129"/>
  <c r="AC137" i="129"/>
  <c r="AP137" i="129"/>
  <c r="BM137" i="129"/>
  <c r="BN137" i="129"/>
  <c r="AL137" i="129"/>
  <c r="AX137" i="129"/>
  <c r="AJ137" i="129"/>
  <c r="BW137" i="129"/>
  <c r="BN11" i="129"/>
  <c r="BS11" i="129"/>
  <c r="BV11" i="129"/>
  <c r="AC11" i="129"/>
  <c r="BW11" i="129"/>
  <c r="AF11" i="129"/>
  <c r="BX11" i="129"/>
  <c r="AI11" i="129"/>
  <c r="CL11" i="129" s="1"/>
  <c r="CA11" i="129"/>
  <c r="AJ11" i="129"/>
  <c r="AO11" i="129"/>
  <c r="AR11" i="129"/>
  <c r="AL11" i="129"/>
  <c r="AN11" i="129"/>
  <c r="AX11" i="129"/>
  <c r="AO25" i="129"/>
  <c r="AD25" i="129"/>
  <c r="BS25" i="129"/>
  <c r="AF25" i="129"/>
  <c r="BV25" i="129"/>
  <c r="AI25" i="129"/>
  <c r="BW25" i="129"/>
  <c r="AJ25" i="129"/>
  <c r="BX25" i="129"/>
  <c r="AL25" i="129"/>
  <c r="BZ25" i="129"/>
  <c r="AN25" i="129"/>
  <c r="CL25" i="129"/>
  <c r="AP25" i="129"/>
  <c r="BM25" i="129"/>
  <c r="BN25" i="129"/>
  <c r="AR25" i="129"/>
  <c r="AX25" i="129"/>
  <c r="BR25" i="129"/>
  <c r="AC25" i="129"/>
  <c r="AN51" i="129"/>
  <c r="AD51" i="129"/>
  <c r="AO51" i="129"/>
  <c r="AP51" i="129"/>
  <c r="AX51" i="129"/>
  <c r="AP35" i="129"/>
  <c r="AX35" i="129"/>
  <c r="BM35" i="129"/>
  <c r="BN35" i="129"/>
  <c r="BR35" i="129"/>
  <c r="AC35" i="129"/>
  <c r="BS35" i="129"/>
  <c r="AD35" i="129"/>
  <c r="BV35" i="129"/>
  <c r="AF35" i="129"/>
  <c r="BW35" i="129"/>
  <c r="AI35" i="129"/>
  <c r="BZ35" i="129"/>
  <c r="AN35" i="129"/>
  <c r="AO35" i="129"/>
  <c r="AJ35" i="129"/>
  <c r="AR35" i="129"/>
  <c r="CA35" i="129"/>
  <c r="AF110" i="129"/>
  <c r="AN110" i="129"/>
  <c r="AR110" i="129"/>
  <c r="BR110" i="129"/>
  <c r="BS110" i="129"/>
  <c r="BV110" i="129"/>
  <c r="CA110" i="129"/>
  <c r="AD110" i="129"/>
  <c r="AL110" i="129"/>
  <c r="CL110" i="129"/>
  <c r="AR160" i="129"/>
  <c r="AX160" i="129"/>
  <c r="BV160" i="129"/>
  <c r="BW160" i="129"/>
  <c r="BZ160" i="129"/>
  <c r="CA160" i="129"/>
  <c r="AC160" i="129"/>
  <c r="CL160" i="129"/>
  <c r="AI160" i="129"/>
  <c r="AN160" i="129"/>
  <c r="AO160" i="129"/>
  <c r="AJ160" i="129"/>
  <c r="AP160" i="129"/>
  <c r="AN194" i="129"/>
  <c r="AI194" i="129"/>
  <c r="AJ194" i="129"/>
  <c r="AX194" i="129"/>
  <c r="BV194" i="129"/>
  <c r="BW194" i="129"/>
  <c r="BM197" i="129"/>
  <c r="AC197" i="129"/>
  <c r="BN197" i="129"/>
  <c r="AD197" i="129"/>
  <c r="BR197" i="129"/>
  <c r="AF197" i="129"/>
  <c r="BS197" i="129"/>
  <c r="AI197" i="129"/>
  <c r="BV197" i="129"/>
  <c r="AJ197" i="129"/>
  <c r="BW197" i="129"/>
  <c r="AL197" i="129"/>
  <c r="BX197" i="129"/>
  <c r="AN197" i="129"/>
  <c r="BZ197" i="129"/>
  <c r="AP197" i="129"/>
  <c r="CL197" i="129"/>
  <c r="AR197" i="129"/>
  <c r="AX197" i="129"/>
  <c r="AO197" i="129"/>
  <c r="CA197" i="129"/>
  <c r="AL181" i="129"/>
  <c r="AD181" i="129"/>
  <c r="BV181" i="129"/>
  <c r="AF181" i="129"/>
  <c r="BW181" i="129"/>
  <c r="AI181" i="129"/>
  <c r="CA181" i="129"/>
  <c r="AJ181" i="129"/>
  <c r="CL181" i="129"/>
  <c r="AO181" i="129"/>
  <c r="AP181" i="129"/>
  <c r="AR181" i="129"/>
  <c r="AX181" i="129"/>
  <c r="BM181" i="129"/>
  <c r="BN181" i="129"/>
  <c r="BR181" i="129"/>
  <c r="AC181" i="129"/>
  <c r="BS181" i="129"/>
  <c r="CA24" i="129"/>
  <c r="AP24" i="129"/>
  <c r="AC15" i="129"/>
  <c r="AF4" i="129"/>
  <c r="AI15" i="129"/>
  <c r="AD12" i="129"/>
  <c r="BZ4" i="129"/>
  <c r="BM21" i="129"/>
  <c r="AI9" i="129"/>
  <c r="CL9" i="129" s="1"/>
  <c r="BX35" i="129"/>
  <c r="CL29" i="129"/>
  <c r="AJ66" i="129"/>
  <c r="AO93" i="129"/>
  <c r="BX66" i="129"/>
  <c r="BX90" i="129"/>
  <c r="BW54" i="129"/>
  <c r="AN90" i="129"/>
  <c r="CA7" i="129"/>
  <c r="CL17" i="129"/>
  <c r="AJ55" i="129"/>
  <c r="CA5" i="129"/>
  <c r="BR5" i="129"/>
  <c r="BX51" i="129"/>
  <c r="AP66" i="129"/>
  <c r="BW31" i="129"/>
  <c r="AO29" i="129"/>
  <c r="AD29" i="129"/>
  <c r="AL42" i="129"/>
  <c r="AO54" i="129"/>
  <c r="CA86" i="129"/>
  <c r="BZ6" i="129"/>
  <c r="BM17" i="129"/>
  <c r="AF17" i="129"/>
  <c r="AL41" i="129"/>
  <c r="BM99" i="129"/>
  <c r="AI110" i="129"/>
  <c r="BX152" i="129"/>
  <c r="AL151" i="129"/>
  <c r="BM53" i="129"/>
  <c r="AD53" i="129"/>
  <c r="AO110" i="129"/>
  <c r="BZ137" i="129"/>
  <c r="AC99" i="129"/>
  <c r="AJ146" i="129"/>
  <c r="BZ194" i="129"/>
  <c r="AR188" i="129"/>
  <c r="AD155" i="129"/>
  <c r="BN163" i="129"/>
  <c r="AI178" i="129"/>
  <c r="AR148" i="129"/>
  <c r="AI148" i="129"/>
  <c r="AD160" i="129"/>
  <c r="AP170" i="129"/>
  <c r="AL177" i="129"/>
  <c r="AP159" i="129"/>
  <c r="BM170" i="129"/>
  <c r="BZ176" i="129"/>
  <c r="BZ163" i="129"/>
  <c r="AO176" i="129"/>
  <c r="AN123" i="129"/>
  <c r="BZ19" i="129"/>
  <c r="AC159" i="129"/>
  <c r="AL194" i="129"/>
  <c r="BS8" i="129"/>
  <c r="AF113" i="129"/>
  <c r="AX113" i="129"/>
  <c r="BM113" i="129"/>
  <c r="BN113" i="129"/>
  <c r="BW113" i="129"/>
  <c r="BX113" i="129"/>
  <c r="CL113" i="129"/>
  <c r="AJ113" i="129"/>
  <c r="AL113" i="129"/>
  <c r="AP113" i="129"/>
  <c r="AC113" i="129"/>
  <c r="AO195" i="129"/>
  <c r="BM195" i="129"/>
  <c r="BW195" i="129"/>
  <c r="BX195" i="129"/>
  <c r="AJ195" i="129"/>
  <c r="AL195" i="129"/>
  <c r="AR73" i="129"/>
  <c r="AX73" i="129"/>
  <c r="BM73" i="129"/>
  <c r="AC73" i="129"/>
  <c r="BN73" i="129"/>
  <c r="AD73" i="129"/>
  <c r="BR73" i="129"/>
  <c r="AF73" i="129"/>
  <c r="BS73" i="129"/>
  <c r="AI73" i="129"/>
  <c r="BV73" i="129"/>
  <c r="AN73" i="129"/>
  <c r="BZ73" i="129"/>
  <c r="AP73" i="129"/>
  <c r="CL73" i="129"/>
  <c r="AJ73" i="129"/>
  <c r="AL73" i="129"/>
  <c r="AO73" i="129"/>
  <c r="BW73" i="129"/>
  <c r="CA73" i="129"/>
  <c r="BX73" i="129"/>
  <c r="BW3" i="129"/>
  <c r="AF158" i="129"/>
  <c r="AL158" i="129"/>
  <c r="AR158" i="129"/>
  <c r="AX158" i="129"/>
  <c r="BX158" i="129"/>
  <c r="BZ158" i="129"/>
  <c r="CA158" i="129"/>
  <c r="CL158" i="129"/>
  <c r="AD158" i="129"/>
  <c r="AX123" i="129"/>
  <c r="AR123" i="129"/>
  <c r="BV64" i="129"/>
  <c r="BS64" i="129"/>
  <c r="BZ64" i="129"/>
  <c r="CA64" i="129"/>
  <c r="CL64" i="129"/>
  <c r="AF64" i="129"/>
  <c r="AI64" i="129"/>
  <c r="BN64" i="129"/>
  <c r="AC64" i="129"/>
  <c r="AP107" i="129"/>
  <c r="AO107" i="129"/>
  <c r="AX107" i="129"/>
  <c r="BM107" i="129"/>
  <c r="BN107" i="129"/>
  <c r="BR107" i="129"/>
  <c r="AC107" i="129"/>
  <c r="AD107" i="129"/>
  <c r="AL107" i="129"/>
  <c r="AN107" i="129"/>
  <c r="BS107" i="129"/>
  <c r="BV107" i="129"/>
  <c r="BW107" i="129"/>
  <c r="BX107" i="129"/>
  <c r="AF107" i="129"/>
  <c r="AI107" i="129"/>
  <c r="AJ107" i="129"/>
  <c r="BZ107" i="129"/>
  <c r="CA107" i="129"/>
  <c r="AP145" i="129"/>
  <c r="CL145" i="129"/>
  <c r="AR145" i="129"/>
  <c r="AX145" i="129"/>
  <c r="BM145" i="129"/>
  <c r="AC145" i="129"/>
  <c r="BN145" i="129"/>
  <c r="AI145" i="129"/>
  <c r="BV145" i="129"/>
  <c r="AL145" i="129"/>
  <c r="BX145" i="129"/>
  <c r="AN145" i="129"/>
  <c r="BZ145" i="129"/>
  <c r="AD145" i="129"/>
  <c r="AF145" i="129"/>
  <c r="AJ145" i="129"/>
  <c r="AO145" i="129"/>
  <c r="BS145" i="129"/>
  <c r="BW145" i="129"/>
  <c r="BR145" i="129"/>
  <c r="CA145" i="129"/>
  <c r="AC4" i="129"/>
  <c r="AN21" i="129"/>
  <c r="AI4" i="129"/>
  <c r="CL4" i="129" s="1"/>
  <c r="AF27" i="129"/>
  <c r="AR21" i="129"/>
  <c r="AJ15" i="129"/>
  <c r="BV50" i="129"/>
  <c r="BZ24" i="129"/>
  <c r="AC86" i="129"/>
  <c r="BZ7" i="129"/>
  <c r="BR55" i="129"/>
  <c r="BZ5" i="129"/>
  <c r="BN5" i="129"/>
  <c r="AD31" i="129"/>
  <c r="BV31" i="129"/>
  <c r="AN29" i="129"/>
  <c r="AC29" i="129"/>
  <c r="AI42" i="129"/>
  <c r="AN54" i="129"/>
  <c r="AD64" i="129"/>
  <c r="AO17" i="129"/>
  <c r="AD17" i="129"/>
  <c r="AJ41" i="129"/>
  <c r="AP102" i="129"/>
  <c r="AN152" i="129"/>
  <c r="BM102" i="129"/>
  <c r="AP99" i="129"/>
  <c r="BZ102" i="129"/>
  <c r="AC102" i="129"/>
  <c r="BR137" i="129"/>
  <c r="AC155" i="129"/>
  <c r="CA170" i="129"/>
  <c r="AJ188" i="129"/>
  <c r="AL188" i="129"/>
  <c r="AC158" i="129"/>
  <c r="AL123" i="129"/>
  <c r="BM19" i="129"/>
  <c r="BX19" i="129"/>
  <c r="BR178" i="129"/>
  <c r="AD52" i="129"/>
  <c r="AF52" i="129"/>
  <c r="CA52" i="129"/>
  <c r="AI52" i="129"/>
  <c r="CL52" i="129"/>
  <c r="AN52" i="129"/>
  <c r="AO52" i="129"/>
  <c r="AP52" i="129"/>
  <c r="AR52" i="129"/>
  <c r="BS52" i="129"/>
  <c r="BV52" i="129"/>
  <c r="AX52" i="129"/>
  <c r="BM52" i="129"/>
  <c r="BN52" i="129"/>
  <c r="BZ52" i="129"/>
  <c r="AC52" i="129"/>
  <c r="AF166" i="129"/>
  <c r="AC166" i="129"/>
  <c r="AL166" i="129"/>
  <c r="AN166" i="129"/>
  <c r="AX166" i="129"/>
  <c r="BM166" i="129"/>
  <c r="BN166" i="129"/>
  <c r="BX166" i="129"/>
  <c r="BZ166" i="129"/>
  <c r="BV48" i="129"/>
  <c r="BW48" i="129"/>
  <c r="BX48" i="129"/>
  <c r="CA48" i="129"/>
  <c r="AI48" i="129"/>
  <c r="AJ48" i="129"/>
  <c r="AL48" i="129"/>
  <c r="AO48" i="129"/>
  <c r="AX48" i="129"/>
  <c r="AD177" i="129"/>
  <c r="AX177" i="129"/>
  <c r="BM177" i="129"/>
  <c r="AL55" i="129"/>
  <c r="AF55" i="129"/>
  <c r="AX55" i="129"/>
  <c r="BM55" i="129"/>
  <c r="BN55" i="129"/>
  <c r="AC55" i="129"/>
  <c r="BM134" i="129"/>
  <c r="AP134" i="129"/>
  <c r="AR134" i="129"/>
  <c r="AX134" i="129"/>
  <c r="BR134" i="129"/>
  <c r="BS134" i="129"/>
  <c r="AF134" i="129"/>
  <c r="BZ134" i="129"/>
  <c r="AL134" i="129"/>
  <c r="CL134" i="129"/>
  <c r="AN134" i="129"/>
  <c r="AD134" i="129"/>
  <c r="AJ134" i="129"/>
  <c r="AO134" i="129"/>
  <c r="BW134" i="129"/>
  <c r="BX134" i="129"/>
  <c r="CA134" i="129"/>
  <c r="BM24" i="129"/>
  <c r="BV55" i="129"/>
  <c r="AO46" i="129"/>
  <c r="AP46" i="129"/>
  <c r="AR46" i="129"/>
  <c r="AX46" i="129"/>
  <c r="BM46" i="129"/>
  <c r="BN46" i="129"/>
  <c r="AC46" i="129"/>
  <c r="BR46" i="129"/>
  <c r="AD46" i="129"/>
  <c r="BS46" i="129"/>
  <c r="BV46" i="129"/>
  <c r="BW46" i="129"/>
  <c r="BX46" i="129"/>
  <c r="BZ46" i="129"/>
  <c r="CL46" i="129"/>
  <c r="AJ46" i="129"/>
  <c r="AL46" i="129"/>
  <c r="AF46" i="129"/>
  <c r="AI46" i="129"/>
  <c r="AN46" i="129"/>
  <c r="BM39" i="129"/>
  <c r="AD39" i="129"/>
  <c r="AN39" i="129"/>
  <c r="AO39" i="129"/>
  <c r="AP39" i="129"/>
  <c r="AX39" i="129"/>
  <c r="BZ39" i="129"/>
  <c r="CA39" i="129"/>
  <c r="CL39" i="129"/>
  <c r="BR39" i="129"/>
  <c r="AO13" i="129"/>
  <c r="CA13" i="129"/>
  <c r="AP13" i="129"/>
  <c r="CL13" i="129"/>
  <c r="AR13" i="129"/>
  <c r="AX13" i="129"/>
  <c r="BM13" i="129"/>
  <c r="AC13" i="129"/>
  <c r="BN13" i="129"/>
  <c r="AD13" i="129"/>
  <c r="BR13" i="129"/>
  <c r="AJ13" i="129"/>
  <c r="BW13" i="129"/>
  <c r="AL13" i="129"/>
  <c r="BX13" i="129"/>
  <c r="AF13" i="129"/>
  <c r="AI13" i="129"/>
  <c r="BS13" i="129"/>
  <c r="BV13" i="129"/>
  <c r="AN13" i="129"/>
  <c r="BZ13" i="129"/>
  <c r="AL32" i="129"/>
  <c r="BR32" i="129"/>
  <c r="BV32" i="129"/>
  <c r="AC32" i="129"/>
  <c r="BW32" i="129"/>
  <c r="AD32" i="129"/>
  <c r="BZ32" i="129"/>
  <c r="AI32" i="129"/>
  <c r="CA32" i="129"/>
  <c r="AJ32" i="129"/>
  <c r="CL32" i="129"/>
  <c r="AN32" i="129"/>
  <c r="AO32" i="129"/>
  <c r="AX32" i="129"/>
  <c r="BM32" i="129"/>
  <c r="AR32" i="129"/>
  <c r="BN32" i="129"/>
  <c r="CA60" i="129"/>
  <c r="AI60" i="129"/>
  <c r="AJ60" i="129"/>
  <c r="BV60" i="129"/>
  <c r="BW60" i="129"/>
  <c r="AL60" i="129"/>
  <c r="AO60" i="129"/>
  <c r="AX60" i="129"/>
  <c r="BX60" i="129"/>
  <c r="AR72" i="129"/>
  <c r="AO72" i="129"/>
  <c r="CL72" i="129"/>
  <c r="AP72" i="129"/>
  <c r="AX72" i="129"/>
  <c r="BM72" i="129"/>
  <c r="BN72" i="129"/>
  <c r="AC72" i="129"/>
  <c r="BR72" i="129"/>
  <c r="AD72" i="129"/>
  <c r="BS72" i="129"/>
  <c r="AJ72" i="129"/>
  <c r="BX72" i="129"/>
  <c r="AN72" i="129"/>
  <c r="CA72" i="129"/>
  <c r="AF72" i="129"/>
  <c r="AI72" i="129"/>
  <c r="AL72" i="129"/>
  <c r="BV72" i="129"/>
  <c r="BW72" i="129"/>
  <c r="BZ72" i="129"/>
  <c r="AD109" i="129"/>
  <c r="BR109" i="129"/>
  <c r="AF109" i="129"/>
  <c r="BS109" i="129"/>
  <c r="AI109" i="129"/>
  <c r="BV109" i="129"/>
  <c r="AJ109" i="129"/>
  <c r="BW109" i="129"/>
  <c r="AL109" i="129"/>
  <c r="BX109" i="129"/>
  <c r="AN109" i="129"/>
  <c r="BZ109" i="129"/>
  <c r="AX109" i="129"/>
  <c r="BM109" i="129"/>
  <c r="AC109" i="129"/>
  <c r="BN109" i="129"/>
  <c r="CA109" i="129"/>
  <c r="CL109" i="129"/>
  <c r="AO109" i="129"/>
  <c r="AP109" i="129"/>
  <c r="AR109" i="129"/>
  <c r="AJ139" i="129"/>
  <c r="AO139" i="129"/>
  <c r="AX139" i="129"/>
  <c r="BR139" i="129"/>
  <c r="BS139" i="129"/>
  <c r="BZ139" i="129"/>
  <c r="AD139" i="129"/>
  <c r="AF139" i="129"/>
  <c r="CA139" i="129"/>
  <c r="AN139" i="129"/>
  <c r="AO130" i="129"/>
  <c r="BX130" i="129"/>
  <c r="AI130" i="129"/>
  <c r="AR130" i="129"/>
  <c r="BR130" i="129"/>
  <c r="BV130" i="129"/>
  <c r="AL130" i="129"/>
  <c r="AX130" i="129"/>
  <c r="AJ130" i="129"/>
  <c r="BW130" i="129"/>
  <c r="AP172" i="129"/>
  <c r="BR172" i="129"/>
  <c r="AC172" i="129"/>
  <c r="BS172" i="129"/>
  <c r="AD172" i="129"/>
  <c r="BV172" i="129"/>
  <c r="AF172" i="129"/>
  <c r="BW172" i="129"/>
  <c r="AI172" i="129"/>
  <c r="BX172" i="129"/>
  <c r="AJ172" i="129"/>
  <c r="BZ172" i="129"/>
  <c r="AL172" i="129"/>
  <c r="CA172" i="129"/>
  <c r="AN172" i="129"/>
  <c r="AO172" i="129"/>
  <c r="AX172" i="129"/>
  <c r="BM172" i="129"/>
  <c r="BN172" i="129"/>
  <c r="AC200" i="129"/>
  <c r="AX200" i="129"/>
  <c r="AI179" i="129"/>
  <c r="AF179" i="129"/>
  <c r="CA179" i="129"/>
  <c r="AN179" i="129"/>
  <c r="CL179" i="129"/>
  <c r="AO179" i="129"/>
  <c r="AP179" i="129"/>
  <c r="AR179" i="129"/>
  <c r="AX179" i="129"/>
  <c r="BM179" i="129"/>
  <c r="BN179" i="129"/>
  <c r="BR179" i="129"/>
  <c r="BS179" i="129"/>
  <c r="AC179" i="129"/>
  <c r="BX179" i="129"/>
  <c r="AD179" i="129"/>
  <c r="BZ179" i="129"/>
  <c r="BN4" i="129"/>
  <c r="AP36" i="129"/>
  <c r="AC39" i="129"/>
  <c r="BV4" i="129"/>
  <c r="BS27" i="129"/>
  <c r="AC24" i="129"/>
  <c r="BW15" i="129"/>
  <c r="AL52" i="129"/>
  <c r="BW10" i="129"/>
  <c r="CA25" i="129"/>
  <c r="AN48" i="129"/>
  <c r="AX54" i="129"/>
  <c r="CL60" i="129"/>
  <c r="BR54" i="129"/>
  <c r="BZ66" i="129"/>
  <c r="AN7" i="129"/>
  <c r="AD55" i="129"/>
  <c r="AX64" i="129"/>
  <c r="AN5" i="129"/>
  <c r="AC5" i="129"/>
  <c r="AJ51" i="129"/>
  <c r="AR31" i="129"/>
  <c r="AI31" i="129"/>
  <c r="BN42" i="129"/>
  <c r="BS42" i="129"/>
  <c r="BX54" i="129"/>
  <c r="AL6" i="129"/>
  <c r="BZ17" i="129"/>
  <c r="BN17" i="129"/>
  <c r="BS41" i="129"/>
  <c r="BS137" i="129"/>
  <c r="CL130" i="129"/>
  <c r="BZ152" i="129"/>
  <c r="BZ53" i="129"/>
  <c r="AP139" i="129"/>
  <c r="AN102" i="129"/>
  <c r="AF130" i="129"/>
  <c r="CL102" i="129"/>
  <c r="AI139" i="129"/>
  <c r="BN200" i="129"/>
  <c r="CA155" i="129"/>
  <c r="AR155" i="129"/>
  <c r="BW179" i="129"/>
  <c r="AD188" i="129"/>
  <c r="AO194" i="129"/>
  <c r="BV202" i="129"/>
  <c r="BR163" i="129"/>
  <c r="BW202" i="129"/>
  <c r="BW188" i="129"/>
  <c r="BX188" i="129"/>
  <c r="AO202" i="129"/>
  <c r="CL166" i="129"/>
  <c r="AP178" i="129"/>
  <c r="AC194" i="129"/>
  <c r="BM158" i="129"/>
  <c r="CL177" i="129"/>
  <c r="BR194" i="129"/>
  <c r="BW123" i="129"/>
  <c r="AP188" i="129"/>
  <c r="AX19" i="129"/>
  <c r="AL19" i="129"/>
  <c r="BM11" i="129"/>
  <c r="AO24" i="129"/>
  <c r="AI24" i="129"/>
  <c r="AJ24" i="129"/>
  <c r="AL24" i="129"/>
  <c r="AX24" i="129"/>
  <c r="BV24" i="129"/>
  <c r="BW24" i="129"/>
  <c r="BX24" i="129"/>
  <c r="AL116" i="129"/>
  <c r="BR116" i="129"/>
  <c r="BS116" i="129"/>
  <c r="AC116" i="129"/>
  <c r="BV116" i="129"/>
  <c r="AD116" i="129"/>
  <c r="BW116" i="129"/>
  <c r="AF116" i="129"/>
  <c r="CA116" i="129"/>
  <c r="AI116" i="129"/>
  <c r="CL116" i="129"/>
  <c r="AX116" i="129"/>
  <c r="BM116" i="129"/>
  <c r="BN116" i="129"/>
  <c r="AO116" i="129"/>
  <c r="AJ116" i="129"/>
  <c r="AP116" i="129"/>
  <c r="AJ151" i="129"/>
  <c r="BV151" i="129"/>
  <c r="AC151" i="129"/>
  <c r="BZ151" i="129"/>
  <c r="AD151" i="129"/>
  <c r="CA151" i="129"/>
  <c r="AF151" i="129"/>
  <c r="AI151" i="129"/>
  <c r="AN151" i="129"/>
  <c r="AO151" i="129"/>
  <c r="AX151" i="129"/>
  <c r="BN151" i="129"/>
  <c r="BR151" i="129"/>
  <c r="BM151" i="129"/>
  <c r="BS151" i="129"/>
  <c r="AO170" i="129"/>
  <c r="AJ37" i="129"/>
  <c r="BW37" i="129"/>
  <c r="AL37" i="129"/>
  <c r="BX37" i="129"/>
  <c r="AN37" i="129"/>
  <c r="BZ37" i="129"/>
  <c r="AO37" i="129"/>
  <c r="CA37" i="129"/>
  <c r="AP37" i="129"/>
  <c r="CL37" i="129"/>
  <c r="AR37" i="129"/>
  <c r="AX37" i="129"/>
  <c r="BM37" i="129"/>
  <c r="AD37" i="129"/>
  <c r="BR37" i="129"/>
  <c r="AF37" i="129"/>
  <c r="BS37" i="129"/>
  <c r="AC37" i="129"/>
  <c r="AI37" i="129"/>
  <c r="BN37" i="129"/>
  <c r="BV37" i="129"/>
  <c r="AP29" i="129"/>
  <c r="AR29" i="129"/>
  <c r="AX29" i="129"/>
  <c r="AP59" i="129"/>
  <c r="AI59" i="129"/>
  <c r="BZ59" i="129"/>
  <c r="AJ59" i="129"/>
  <c r="CA59" i="129"/>
  <c r="AL59" i="129"/>
  <c r="AN59" i="129"/>
  <c r="AO59" i="129"/>
  <c r="AR59" i="129"/>
  <c r="BV59" i="129"/>
  <c r="AD59" i="129"/>
  <c r="BW59" i="129"/>
  <c r="AF59" i="129"/>
  <c r="AX59" i="129"/>
  <c r="BR59" i="129"/>
  <c r="BS59" i="129"/>
  <c r="BX59" i="129"/>
  <c r="BM62" i="129"/>
  <c r="AC62" i="129"/>
  <c r="BX62" i="129"/>
  <c r="AD62" i="129"/>
  <c r="BZ62" i="129"/>
  <c r="AJ62" i="129"/>
  <c r="CA62" i="129"/>
  <c r="AL62" i="129"/>
  <c r="CL62" i="129"/>
  <c r="AN62" i="129"/>
  <c r="AO62" i="129"/>
  <c r="BN62" i="129"/>
  <c r="BR62" i="129"/>
  <c r="AR62" i="129"/>
  <c r="BW62" i="129"/>
  <c r="AP62" i="129"/>
  <c r="AX62" i="129"/>
  <c r="BM86" i="129"/>
  <c r="AP86" i="129"/>
  <c r="AR86" i="129"/>
  <c r="AX86" i="129"/>
  <c r="CL86" i="129"/>
  <c r="AO106" i="129"/>
  <c r="AF106" i="129"/>
  <c r="BW106" i="129"/>
  <c r="AI106" i="129"/>
  <c r="BX106" i="129"/>
  <c r="AJ106" i="129"/>
  <c r="BZ106" i="129"/>
  <c r="AL106" i="129"/>
  <c r="AN106" i="129"/>
  <c r="AR106" i="129"/>
  <c r="AX106" i="129"/>
  <c r="AD106" i="129"/>
  <c r="BV106" i="129"/>
  <c r="BS106" i="129"/>
  <c r="BM106" i="129"/>
  <c r="BN106" i="129"/>
  <c r="BR106" i="129"/>
  <c r="AC106" i="129"/>
  <c r="AX141" i="129"/>
  <c r="BM141" i="129"/>
  <c r="AC141" i="129"/>
  <c r="BN141" i="129"/>
  <c r="AD141" i="129"/>
  <c r="BR141" i="129"/>
  <c r="AF141" i="129"/>
  <c r="BS141" i="129"/>
  <c r="AL141" i="129"/>
  <c r="BX141" i="129"/>
  <c r="AO141" i="129"/>
  <c r="CA141" i="129"/>
  <c r="AP141" i="129"/>
  <c r="CL141" i="129"/>
  <c r="AI141" i="129"/>
  <c r="AJ141" i="129"/>
  <c r="AN141" i="129"/>
  <c r="AR141" i="129"/>
  <c r="BV141" i="129"/>
  <c r="BW141" i="129"/>
  <c r="BZ141" i="129"/>
  <c r="AX99" i="129"/>
  <c r="BZ99" i="129"/>
  <c r="CA99" i="129"/>
  <c r="AN99" i="129"/>
  <c r="AR99" i="129"/>
  <c r="AL99" i="129"/>
  <c r="AO99" i="129"/>
  <c r="AF190" i="129"/>
  <c r="AC190" i="129"/>
  <c r="AL190" i="129"/>
  <c r="AN190" i="129"/>
  <c r="AX190" i="129"/>
  <c r="BM190" i="129"/>
  <c r="BN190" i="129"/>
  <c r="BZ190" i="129"/>
  <c r="BX190" i="129"/>
  <c r="AO185" i="129"/>
  <c r="CA185" i="129"/>
  <c r="AP185" i="129"/>
  <c r="CL185" i="129"/>
  <c r="AR185" i="129"/>
  <c r="AX185" i="129"/>
  <c r="BM185" i="129"/>
  <c r="AC185" i="129"/>
  <c r="BN185" i="129"/>
  <c r="AD185" i="129"/>
  <c r="BR185" i="129"/>
  <c r="AF185" i="129"/>
  <c r="BS185" i="129"/>
  <c r="AI185" i="129"/>
  <c r="BV185" i="129"/>
  <c r="AJ185" i="129"/>
  <c r="BW185" i="129"/>
  <c r="AL185" i="129"/>
  <c r="BX185" i="129"/>
  <c r="AN185" i="129"/>
  <c r="BZ185" i="129"/>
  <c r="AP184" i="129"/>
  <c r="AI184" i="129"/>
  <c r="BX184" i="129"/>
  <c r="AJ184" i="129"/>
  <c r="BZ184" i="129"/>
  <c r="AL184" i="129"/>
  <c r="CA184" i="129"/>
  <c r="AN184" i="129"/>
  <c r="AO184" i="129"/>
  <c r="AX184" i="129"/>
  <c r="BM184" i="129"/>
  <c r="BN184" i="129"/>
  <c r="BR184" i="129"/>
  <c r="AC184" i="129"/>
  <c r="BS184" i="129"/>
  <c r="AD184" i="129"/>
  <c r="BV184" i="129"/>
  <c r="AF184" i="129"/>
  <c r="BW184" i="129"/>
  <c r="AL9" i="129"/>
  <c r="CL36" i="129"/>
  <c r="BN39" i="129"/>
  <c r="AP9" i="129"/>
  <c r="AP33" i="129"/>
  <c r="BN24" i="129"/>
  <c r="AD24" i="129"/>
  <c r="BX52" i="129"/>
  <c r="BR11" i="129"/>
  <c r="BS24" i="129"/>
  <c r="AN12" i="129"/>
  <c r="BS48" i="129"/>
  <c r="BS55" i="129"/>
  <c r="AP60" i="129"/>
  <c r="BZ93" i="129"/>
  <c r="BW63" i="129"/>
  <c r="BX7" i="129"/>
  <c r="AR55" i="129"/>
  <c r="AO66" i="129"/>
  <c r="AI86" i="129"/>
  <c r="BV51" i="129"/>
  <c r="CL31" i="129"/>
  <c r="BS31" i="129"/>
  <c r="AL29" i="129"/>
  <c r="AC42" i="129"/>
  <c r="AF42" i="129"/>
  <c r="AL54" i="129"/>
  <c r="BW6" i="129"/>
  <c r="AN17" i="129"/>
  <c r="AC17" i="129"/>
  <c r="AF41" i="129"/>
  <c r="AC53" i="129"/>
  <c r="AN53" i="129"/>
  <c r="BM130" i="129"/>
  <c r="CL139" i="129"/>
  <c r="CL151" i="129"/>
  <c r="AJ99" i="129"/>
  <c r="BX102" i="129"/>
  <c r="BS130" i="129"/>
  <c r="AO102" i="129"/>
  <c r="BV139" i="129"/>
  <c r="AO155" i="129"/>
  <c r="CL155" i="129"/>
  <c r="AL180" i="129"/>
  <c r="BR188" i="129"/>
  <c r="CA194" i="129"/>
  <c r="AR194" i="129"/>
  <c r="AO148" i="129"/>
  <c r="AD148" i="129"/>
  <c r="AR170" i="129"/>
  <c r="CL178" i="129"/>
  <c r="BN194" i="129"/>
  <c r="AX159" i="129"/>
  <c r="AJ123" i="129"/>
  <c r="AF170" i="129"/>
  <c r="CL188" i="129"/>
  <c r="AC19" i="129"/>
  <c r="BW19" i="129"/>
  <c r="AD166" i="129"/>
  <c r="BM200" i="129"/>
  <c r="AL80" i="129"/>
  <c r="AC80" i="129"/>
  <c r="AF80" i="129"/>
  <c r="AI80" i="129"/>
  <c r="AJ80" i="129"/>
  <c r="AX80" i="129"/>
  <c r="BS80" i="129"/>
  <c r="BW80" i="129"/>
  <c r="BM80" i="129"/>
  <c r="BN80" i="129"/>
  <c r="BV80" i="129"/>
  <c r="AP11" i="129"/>
  <c r="AJ168" i="129"/>
  <c r="AN168" i="129"/>
  <c r="CL168" i="129"/>
  <c r="AO168" i="129"/>
  <c r="AP168" i="129"/>
  <c r="AR168" i="129"/>
  <c r="AX168" i="129"/>
  <c r="BM168" i="129"/>
  <c r="BN168" i="129"/>
  <c r="BR168" i="129"/>
  <c r="AC168" i="129"/>
  <c r="BS168" i="129"/>
  <c r="AD168" i="129"/>
  <c r="BV168" i="129"/>
  <c r="AF168" i="129"/>
  <c r="BZ168" i="129"/>
  <c r="AI168" i="129"/>
  <c r="CA168" i="129"/>
  <c r="AP5" i="129"/>
  <c r="AR5" i="129"/>
  <c r="AX5" i="129"/>
  <c r="AO28" i="129"/>
  <c r="CA28" i="129"/>
  <c r="AP28" i="129"/>
  <c r="CL28" i="129"/>
  <c r="AR28" i="129"/>
  <c r="AX28" i="129"/>
  <c r="BM28" i="129"/>
  <c r="AC28" i="129"/>
  <c r="BN28" i="129"/>
  <c r="AD28" i="129"/>
  <c r="BR28" i="129"/>
  <c r="AL28" i="129"/>
  <c r="BS28" i="129"/>
  <c r="BV28" i="129"/>
  <c r="BW28" i="129"/>
  <c r="BX28" i="129"/>
  <c r="BZ28" i="129"/>
  <c r="AI28" i="129"/>
  <c r="AJ28" i="129"/>
  <c r="AF28" i="129"/>
  <c r="AN28" i="129"/>
  <c r="BM27" i="129"/>
  <c r="BZ27" i="129"/>
  <c r="CA27" i="129"/>
  <c r="CL27" i="129"/>
  <c r="AD27" i="129"/>
  <c r="AP27" i="129"/>
  <c r="AX27" i="129"/>
  <c r="AN27" i="129"/>
  <c r="AO27" i="129"/>
  <c r="BR27" i="129"/>
  <c r="AX40" i="129"/>
  <c r="BM40" i="129"/>
  <c r="AC40" i="129"/>
  <c r="BN40" i="129"/>
  <c r="AD40" i="129"/>
  <c r="BR40" i="129"/>
  <c r="AF40" i="129"/>
  <c r="BS40" i="129"/>
  <c r="AI40" i="129"/>
  <c r="BV40" i="129"/>
  <c r="AJ40" i="129"/>
  <c r="BW40" i="129"/>
  <c r="AL40" i="129"/>
  <c r="BX40" i="129"/>
  <c r="AO40" i="129"/>
  <c r="CA40" i="129"/>
  <c r="AP40" i="129"/>
  <c r="CL40" i="129"/>
  <c r="AN40" i="129"/>
  <c r="AR40" i="129"/>
  <c r="BZ40" i="129"/>
  <c r="AJ85" i="129"/>
  <c r="BW85" i="129"/>
  <c r="AL85" i="129"/>
  <c r="BX85" i="129"/>
  <c r="AN85" i="129"/>
  <c r="BZ85" i="129"/>
  <c r="AO85" i="129"/>
  <c r="CA85" i="129"/>
  <c r="AP85" i="129"/>
  <c r="CL85" i="129"/>
  <c r="AR85" i="129"/>
  <c r="AX85" i="129"/>
  <c r="BM85" i="129"/>
  <c r="BN85" i="129"/>
  <c r="BR85" i="129"/>
  <c r="BS85" i="129"/>
  <c r="BV85" i="129"/>
  <c r="AD85" i="129"/>
  <c r="AI85" i="129"/>
  <c r="AC85" i="129"/>
  <c r="AF85" i="129"/>
  <c r="AD132" i="129"/>
  <c r="AC132" i="129"/>
  <c r="BS132" i="129"/>
  <c r="AF132" i="129"/>
  <c r="BV132" i="129"/>
  <c r="AI132" i="129"/>
  <c r="BW132" i="129"/>
  <c r="AJ132" i="129"/>
  <c r="BX132" i="129"/>
  <c r="AL132" i="129"/>
  <c r="BZ132" i="129"/>
  <c r="AP132" i="129"/>
  <c r="AX132" i="129"/>
  <c r="BM132" i="129"/>
  <c r="CA132" i="129"/>
  <c r="CL132" i="129"/>
  <c r="AO132" i="129"/>
  <c r="AR132" i="129"/>
  <c r="AN132" i="129"/>
  <c r="BN132" i="129"/>
  <c r="AI126" i="129"/>
  <c r="BR126" i="129"/>
  <c r="BS126" i="129"/>
  <c r="AC126" i="129"/>
  <c r="BX126" i="129"/>
  <c r="AD126" i="129"/>
  <c r="BZ126" i="129"/>
  <c r="AF126" i="129"/>
  <c r="CL126" i="129"/>
  <c r="AL126" i="129"/>
  <c r="AX126" i="129"/>
  <c r="BM126" i="129"/>
  <c r="BN126" i="129"/>
  <c r="AP126" i="129"/>
  <c r="AN126" i="129"/>
  <c r="AR126" i="129"/>
  <c r="BM163" i="129"/>
  <c r="AX163" i="129"/>
  <c r="BS163" i="129"/>
  <c r="BV163" i="129"/>
  <c r="CA163" i="129"/>
  <c r="CL163" i="129"/>
  <c r="AF163" i="129"/>
  <c r="AO163" i="129"/>
  <c r="AP163" i="129"/>
  <c r="AI163" i="129"/>
  <c r="AR163" i="129"/>
  <c r="BX9" i="129"/>
  <c r="AD4" i="129"/>
  <c r="BX44" i="129"/>
  <c r="CL33" i="129"/>
  <c r="AI27" i="129"/>
  <c r="AJ52" i="129"/>
  <c r="BR24" i="129"/>
  <c r="AF12" i="129"/>
  <c r="AL27" i="129"/>
  <c r="BZ12" i="129"/>
  <c r="AF32" i="129"/>
  <c r="AR39" i="129"/>
  <c r="AF48" i="129"/>
  <c r="BZ60" i="129"/>
  <c r="BM63" i="129"/>
  <c r="AI41" i="129"/>
  <c r="AP106" i="129"/>
  <c r="AJ63" i="129"/>
  <c r="AP93" i="129"/>
  <c r="AL7" i="129"/>
  <c r="CL55" i="129"/>
  <c r="BV86" i="129"/>
  <c r="AL5" i="129"/>
  <c r="AI51" i="129"/>
  <c r="AP31" i="129"/>
  <c r="AF31" i="129"/>
  <c r="BW29" i="129"/>
  <c r="CL42" i="129"/>
  <c r="BR42" i="129"/>
  <c r="BV54" i="129"/>
  <c r="AJ6" i="129"/>
  <c r="BX17" i="129"/>
  <c r="BN31" i="129"/>
  <c r="BR41" i="129"/>
  <c r="BW139" i="129"/>
  <c r="AI113" i="129"/>
  <c r="AC134" i="129"/>
  <c r="CL53" i="129"/>
  <c r="BX53" i="129"/>
  <c r="BV99" i="129"/>
  <c r="AO137" i="129"/>
  <c r="BN110" i="129"/>
  <c r="CL184" i="129"/>
  <c r="BW155" i="129"/>
  <c r="AI166" i="129"/>
  <c r="AR172" i="129"/>
  <c r="AP195" i="129"/>
  <c r="AX195" i="129"/>
  <c r="BZ148" i="129"/>
  <c r="AP158" i="129"/>
  <c r="BS164" i="129"/>
  <c r="AF176" i="129"/>
  <c r="AF188" i="129"/>
  <c r="AP194" i="129"/>
  <c r="AI176" i="129"/>
  <c r="AX188" i="129"/>
  <c r="BX164" i="129"/>
  <c r="AL176" i="129"/>
  <c r="BS158" i="129"/>
  <c r="AC170" i="129"/>
  <c r="AD195" i="129"/>
  <c r="AR166" i="129"/>
  <c r="BS195" i="129"/>
  <c r="BV123" i="129"/>
  <c r="BS170" i="129"/>
  <c r="BR19" i="129"/>
  <c r="AJ19" i="129"/>
  <c r="BX159" i="129"/>
  <c r="BR166" i="129"/>
  <c r="BM43" i="129"/>
  <c r="BN43" i="129"/>
  <c r="BX43" i="129"/>
  <c r="AX43" i="129"/>
  <c r="AC43" i="129"/>
  <c r="AL43" i="129"/>
  <c r="AP119" i="129"/>
  <c r="BM119" i="129"/>
  <c r="BS119" i="129"/>
  <c r="BW119" i="129"/>
  <c r="BX119" i="129"/>
  <c r="BZ119" i="129"/>
  <c r="AL119" i="129"/>
  <c r="AN119" i="129"/>
  <c r="AX119" i="129"/>
  <c r="AF119" i="129"/>
  <c r="AJ119" i="129"/>
  <c r="AL169" i="129"/>
  <c r="BM169" i="129"/>
  <c r="BN169" i="129"/>
  <c r="BR169" i="129"/>
  <c r="AC169" i="129"/>
  <c r="BS169" i="129"/>
  <c r="AD169" i="129"/>
  <c r="BV169" i="129"/>
  <c r="AF169" i="129"/>
  <c r="BW169" i="129"/>
  <c r="AI169" i="129"/>
  <c r="CA169" i="129"/>
  <c r="AJ169" i="129"/>
  <c r="CL169" i="129"/>
  <c r="AO169" i="129"/>
  <c r="AP169" i="129"/>
  <c r="AR169" i="129"/>
  <c r="AX169" i="129"/>
  <c r="AL155" i="129"/>
  <c r="AN155" i="129"/>
  <c r="AX155" i="129"/>
  <c r="BX155" i="129"/>
  <c r="BZ155" i="129"/>
  <c r="BM155" i="129"/>
  <c r="CL24" i="129"/>
  <c r="CA102" i="129"/>
  <c r="AD102" i="129"/>
  <c r="AF102" i="129"/>
  <c r="BS102" i="129"/>
  <c r="AL152" i="129"/>
  <c r="AX152" i="129"/>
  <c r="BM152" i="129"/>
  <c r="BN152" i="129"/>
  <c r="BR152" i="129"/>
  <c r="BS152" i="129"/>
  <c r="AC152" i="129"/>
  <c r="BV152" i="129"/>
  <c r="AD152" i="129"/>
  <c r="BW152" i="129"/>
  <c r="AF152" i="129"/>
  <c r="CA152" i="129"/>
  <c r="AJ152" i="129"/>
  <c r="AO152" i="129"/>
  <c r="AI152" i="129"/>
  <c r="AP152" i="129"/>
  <c r="CL152" i="129"/>
  <c r="BM156" i="129"/>
  <c r="AC156" i="129"/>
  <c r="BN156" i="129"/>
  <c r="AD156" i="129"/>
  <c r="BR156" i="129"/>
  <c r="AF156" i="129"/>
  <c r="BS156" i="129"/>
  <c r="AI156" i="129"/>
  <c r="BV156" i="129"/>
  <c r="AJ156" i="129"/>
  <c r="BW156" i="129"/>
  <c r="AL156" i="129"/>
  <c r="BX156" i="129"/>
  <c r="AN156" i="129"/>
  <c r="BZ156" i="129"/>
  <c r="AP156" i="129"/>
  <c r="CL156" i="129"/>
  <c r="AR156" i="129"/>
  <c r="CA156" i="129"/>
  <c r="AO156" i="129"/>
  <c r="AX156" i="129"/>
  <c r="AF178" i="129"/>
  <c r="AC178" i="129"/>
  <c r="AL178" i="129"/>
  <c r="AN178" i="129"/>
  <c r="AX178" i="129"/>
  <c r="BM178" i="129"/>
  <c r="BN178" i="129"/>
  <c r="BX178" i="129"/>
  <c r="BZ178" i="129"/>
  <c r="AP196" i="129"/>
  <c r="AO196" i="129"/>
  <c r="AX196" i="129"/>
  <c r="BM196" i="129"/>
  <c r="BN196" i="129"/>
  <c r="BR196" i="129"/>
  <c r="AC196" i="129"/>
  <c r="BS196" i="129"/>
  <c r="AD196" i="129"/>
  <c r="BV196" i="129"/>
  <c r="AF196" i="129"/>
  <c r="BW196" i="129"/>
  <c r="AJ196" i="129"/>
  <c r="BZ196" i="129"/>
  <c r="AL196" i="129"/>
  <c r="CA196" i="129"/>
  <c r="AN196" i="129"/>
  <c r="AI196" i="129"/>
  <c r="BX196" i="129"/>
  <c r="AR24" i="129"/>
  <c r="BM12" i="129"/>
  <c r="BV27" i="129"/>
  <c r="BW52" i="129"/>
  <c r="AJ27" i="129"/>
  <c r="AC59" i="129"/>
  <c r="BX27" i="129"/>
  <c r="BS32" i="129"/>
  <c r="AF44" i="129"/>
  <c r="BR48" i="129"/>
  <c r="AN60" i="129"/>
  <c r="AN64" i="129"/>
  <c r="BW42" i="129"/>
  <c r="AJ90" i="129"/>
  <c r="CL106" i="129"/>
  <c r="BV63" i="129"/>
  <c r="CL93" i="129"/>
  <c r="BW7" i="129"/>
  <c r="AP55" i="129"/>
  <c r="AO90" i="129"/>
  <c r="BW5" i="129"/>
  <c r="BS51" i="129"/>
  <c r="CA31" i="129"/>
  <c r="AJ29" i="129"/>
  <c r="AP42" i="129"/>
  <c r="AD42" i="129"/>
  <c r="AI54" i="129"/>
  <c r="BN6" i="129"/>
  <c r="BV6" i="129"/>
  <c r="AL17" i="129"/>
  <c r="BM41" i="129"/>
  <c r="AD41" i="129"/>
  <c r="BX116" i="129"/>
  <c r="BV113" i="129"/>
  <c r="BN134" i="129"/>
  <c r="AC146" i="129"/>
  <c r="BV53" i="129"/>
  <c r="AL53" i="129"/>
  <c r="AI99" i="129"/>
  <c r="AC118" i="129"/>
  <c r="CA137" i="129"/>
  <c r="AR151" i="129"/>
  <c r="BW102" i="129"/>
  <c r="AX110" i="129"/>
  <c r="AC110" i="129"/>
  <c r="BW110" i="129"/>
  <c r="BZ170" i="129"/>
  <c r="BN188" i="129"/>
  <c r="BW177" i="129"/>
  <c r="AJ155" i="129"/>
  <c r="AO158" i="129"/>
  <c r="BV166" i="129"/>
  <c r="AN181" i="129"/>
  <c r="BV200" i="129"/>
  <c r="AI159" i="129"/>
  <c r="BS176" i="129"/>
  <c r="BS188" i="129"/>
  <c r="CL194" i="129"/>
  <c r="BV176" i="129"/>
  <c r="BX176" i="129"/>
  <c r="AO190" i="129"/>
  <c r="AR159" i="129"/>
  <c r="BN170" i="129"/>
  <c r="BR195" i="129"/>
  <c r="AD170" i="129"/>
  <c r="AO200" i="129"/>
  <c r="BM123" i="129"/>
  <c r="AI123" i="129"/>
  <c r="AF194" i="129"/>
  <c r="AD19" i="129"/>
  <c r="BV19" i="129"/>
  <c r="AL159" i="129"/>
  <c r="AL170" i="129"/>
  <c r="AN93" i="129"/>
  <c r="AJ93" i="129"/>
  <c r="AL93" i="129"/>
  <c r="AX93" i="129"/>
  <c r="BM93" i="129"/>
  <c r="BN93" i="129"/>
  <c r="BR93" i="129"/>
  <c r="BS93" i="129"/>
  <c r="AD93" i="129"/>
  <c r="BX93" i="129"/>
  <c r="AI93" i="129"/>
  <c r="BV93" i="129"/>
  <c r="BW93" i="129"/>
  <c r="AC93" i="129"/>
  <c r="AF93" i="129"/>
  <c r="BM148" i="129"/>
  <c r="AX148" i="129"/>
  <c r="AI167" i="129"/>
  <c r="BM167" i="129"/>
  <c r="BN167" i="129"/>
  <c r="BR167" i="129"/>
  <c r="BS167" i="129"/>
  <c r="BZ167" i="129"/>
  <c r="CA167" i="129"/>
  <c r="AC167" i="129"/>
  <c r="AD167" i="129"/>
  <c r="AF167" i="129"/>
  <c r="AN167" i="129"/>
  <c r="AO167" i="129"/>
  <c r="AX167" i="129"/>
  <c r="BM174" i="129"/>
  <c r="AJ174" i="129"/>
  <c r="BX174" i="129"/>
  <c r="AL174" i="129"/>
  <c r="BZ174" i="129"/>
  <c r="AN174" i="129"/>
  <c r="CA174" i="129"/>
  <c r="AO174" i="129"/>
  <c r="CL174" i="129"/>
  <c r="AP174" i="129"/>
  <c r="AR174" i="129"/>
  <c r="AX174" i="129"/>
  <c r="BN174" i="129"/>
  <c r="AC174" i="129"/>
  <c r="BR174" i="129"/>
  <c r="AD174" i="129"/>
  <c r="BS174" i="129"/>
  <c r="AF174" i="129"/>
  <c r="BV174" i="129"/>
  <c r="AI174" i="129"/>
  <c r="BW174" i="129"/>
  <c r="AJ192" i="129"/>
  <c r="AX192" i="129"/>
  <c r="BM192" i="129"/>
  <c r="BN192" i="129"/>
  <c r="BR192" i="129"/>
  <c r="BS192" i="129"/>
  <c r="AC192" i="129"/>
  <c r="BV192" i="129"/>
  <c r="AD192" i="129"/>
  <c r="CA192" i="129"/>
  <c r="AF192" i="129"/>
  <c r="CL192" i="129"/>
  <c r="AO192" i="129"/>
  <c r="AP192" i="129"/>
  <c r="AR192" i="129"/>
  <c r="AI192" i="129"/>
  <c r="AN9" i="129"/>
  <c r="AC27" i="129"/>
  <c r="CA46" i="129"/>
  <c r="AF39" i="129"/>
  <c r="AP32" i="129"/>
  <c r="BW27" i="129"/>
  <c r="BN59" i="129"/>
  <c r="BM33" i="129"/>
  <c r="AD48" i="129"/>
  <c r="BS60" i="129"/>
  <c r="CA106" i="129"/>
  <c r="BZ51" i="129"/>
  <c r="BW90" i="129"/>
  <c r="AR107" i="129"/>
  <c r="AI63" i="129"/>
  <c r="AD86" i="129"/>
  <c r="BM6" i="129"/>
  <c r="BR7" i="129"/>
  <c r="AJ7" i="129"/>
  <c r="CA55" i="129"/>
  <c r="CA90" i="129"/>
  <c r="AJ5" i="129"/>
  <c r="AF51" i="129"/>
  <c r="AO31" i="129"/>
  <c r="AL86" i="129"/>
  <c r="BV29" i="129"/>
  <c r="CA42" i="129"/>
  <c r="BN54" i="129"/>
  <c r="BS54" i="129"/>
  <c r="AN86" i="129"/>
  <c r="AC6" i="129"/>
  <c r="AI6" i="129"/>
  <c r="CL6" i="129" s="1"/>
  <c r="BW17" i="129"/>
  <c r="CA41" i="129"/>
  <c r="BN41" i="129"/>
  <c r="CA118" i="129"/>
  <c r="AI137" i="129"/>
  <c r="BN53" i="129"/>
  <c r="BW53" i="129"/>
  <c r="AN113" i="129"/>
  <c r="BR132" i="129"/>
  <c r="BS99" i="129"/>
  <c r="BN118" i="129"/>
  <c r="AR139" i="129"/>
  <c r="AJ102" i="129"/>
  <c r="AR113" i="129"/>
  <c r="AR137" i="129"/>
  <c r="BM110" i="129"/>
  <c r="BV155" i="129"/>
  <c r="AF159" i="129"/>
  <c r="AJ167" i="129"/>
  <c r="BZ181" i="129"/>
  <c r="AI190" i="129"/>
  <c r="AR196" i="129"/>
  <c r="BW200" i="129"/>
  <c r="BX148" i="129"/>
  <c r="BX160" i="129"/>
  <c r="AI177" i="129"/>
  <c r="AR195" i="129"/>
  <c r="AJ177" i="129"/>
  <c r="BW164" i="129"/>
  <c r="AR200" i="129"/>
  <c r="AN177" i="129"/>
  <c r="CA190" i="129"/>
  <c r="AN200" i="129"/>
  <c r="BR170" i="129"/>
  <c r="CA200" i="129"/>
  <c r="CL123" i="129"/>
  <c r="BS123" i="129"/>
  <c r="BS194" i="129"/>
  <c r="AR19" i="129"/>
  <c r="AI19" i="129"/>
  <c r="BW159" i="129"/>
  <c r="BX170" i="129"/>
  <c r="BM188" i="129"/>
  <c r="AI200" i="129"/>
  <c r="AR87" i="129"/>
  <c r="AX87" i="129"/>
  <c r="AD11" i="129"/>
  <c r="AX76" i="129"/>
  <c r="BM76" i="129"/>
  <c r="AD153" i="129"/>
  <c r="BR153" i="129"/>
  <c r="AF153" i="129"/>
  <c r="BS153" i="129"/>
  <c r="AI153" i="129"/>
  <c r="BV153" i="129"/>
  <c r="AJ153" i="129"/>
  <c r="BW153" i="129"/>
  <c r="AL153" i="129"/>
  <c r="BX153" i="129"/>
  <c r="AN153" i="129"/>
  <c r="BZ153" i="129"/>
  <c r="AO153" i="129"/>
  <c r="CA153" i="129"/>
  <c r="AP153" i="129"/>
  <c r="CL153" i="129"/>
  <c r="AX153" i="129"/>
  <c r="BM153" i="129"/>
  <c r="AC153" i="129"/>
  <c r="AR153" i="129"/>
  <c r="BN153" i="129"/>
  <c r="AN24" i="129"/>
  <c r="AN16" i="129"/>
  <c r="AJ16" i="129"/>
  <c r="BX16" i="129"/>
  <c r="AL16" i="129"/>
  <c r="CA16" i="129"/>
  <c r="AO16" i="129"/>
  <c r="CL16" i="129"/>
  <c r="AP16" i="129"/>
  <c r="AR16" i="129"/>
  <c r="AX16" i="129"/>
  <c r="BM16" i="129"/>
  <c r="AD16" i="129"/>
  <c r="BS16" i="129"/>
  <c r="AF16" i="129"/>
  <c r="BV16" i="129"/>
  <c r="AC16" i="129"/>
  <c r="AI16" i="129"/>
  <c r="BN16" i="129"/>
  <c r="BR16" i="129"/>
  <c r="BW16" i="129"/>
  <c r="AL21" i="129"/>
  <c r="AC21" i="129"/>
  <c r="AD21" i="129"/>
  <c r="AF21" i="129"/>
  <c r="AJ21" i="129"/>
  <c r="AO21" i="129"/>
  <c r="AX21" i="129"/>
  <c r="BN21" i="129"/>
  <c r="BW21" i="129"/>
  <c r="CA21" i="129"/>
  <c r="BR21" i="129"/>
  <c r="BS21" i="129"/>
  <c r="BM4" i="129"/>
  <c r="BX4" i="129"/>
  <c r="CA4" i="129"/>
  <c r="AO4" i="129"/>
  <c r="AP4" i="129"/>
  <c r="AL4" i="129"/>
  <c r="BW4" i="129"/>
  <c r="AI66" i="129"/>
  <c r="AC66" i="129"/>
  <c r="AD66" i="129"/>
  <c r="AF66" i="129"/>
  <c r="AR66" i="129"/>
  <c r="AX66" i="129"/>
  <c r="BN66" i="129"/>
  <c r="BR66" i="129"/>
  <c r="BS66" i="129"/>
  <c r="AX8" i="129"/>
  <c r="AP8" i="129"/>
  <c r="AO12" i="129"/>
  <c r="BV12" i="129"/>
  <c r="BW12" i="129"/>
  <c r="BX12" i="129"/>
  <c r="AJ12" i="129"/>
  <c r="AL12" i="129"/>
  <c r="AI12" i="129"/>
  <c r="AX12" i="129"/>
  <c r="AL33" i="129"/>
  <c r="AO33" i="129"/>
  <c r="AX33" i="129"/>
  <c r="BN33" i="129"/>
  <c r="BR33" i="129"/>
  <c r="BS33" i="129"/>
  <c r="BW33" i="129"/>
  <c r="CA33" i="129"/>
  <c r="AD33" i="129"/>
  <c r="AF33" i="129"/>
  <c r="AC33" i="129"/>
  <c r="AJ33" i="129"/>
  <c r="AO36" i="129"/>
  <c r="AJ36" i="129"/>
  <c r="AL36" i="129"/>
  <c r="AX36" i="129"/>
  <c r="BV36" i="129"/>
  <c r="BW36" i="129"/>
  <c r="BX36" i="129"/>
  <c r="AI36" i="129"/>
  <c r="AD108" i="129"/>
  <c r="BN108" i="129"/>
  <c r="AC108" i="129"/>
  <c r="BR108" i="129"/>
  <c r="AF108" i="129"/>
  <c r="BS108" i="129"/>
  <c r="AI108" i="129"/>
  <c r="BV108" i="129"/>
  <c r="AJ108" i="129"/>
  <c r="BW108" i="129"/>
  <c r="AL108" i="129"/>
  <c r="BX108" i="129"/>
  <c r="AR108" i="129"/>
  <c r="AX108" i="129"/>
  <c r="BM108" i="129"/>
  <c r="BZ108" i="129"/>
  <c r="CA108" i="129"/>
  <c r="CL108" i="129"/>
  <c r="AN108" i="129"/>
  <c r="AO108" i="129"/>
  <c r="AP108" i="129"/>
  <c r="AJ180" i="129"/>
  <c r="AX180" i="129"/>
  <c r="BM180" i="129"/>
  <c r="BN180" i="129"/>
  <c r="BR180" i="129"/>
  <c r="AC180" i="129"/>
  <c r="BS180" i="129"/>
  <c r="AD180" i="129"/>
  <c r="BV180" i="129"/>
  <c r="AF180" i="129"/>
  <c r="BZ180" i="129"/>
  <c r="AI180" i="129"/>
  <c r="CA180" i="129"/>
  <c r="AN180" i="129"/>
  <c r="CL180" i="129"/>
  <c r="AO180" i="129"/>
  <c r="AP180" i="129"/>
  <c r="AR180" i="129"/>
  <c r="AL193" i="129"/>
  <c r="AF193" i="129"/>
  <c r="CL193" i="129"/>
  <c r="AI193" i="129"/>
  <c r="AJ193" i="129"/>
  <c r="AP193" i="129"/>
  <c r="AR193" i="129"/>
  <c r="AX193" i="129"/>
  <c r="BM193" i="129"/>
  <c r="BN193" i="129"/>
  <c r="BS193" i="129"/>
  <c r="AC193" i="129"/>
  <c r="BV193" i="129"/>
  <c r="AD193" i="129"/>
  <c r="BW193" i="129"/>
  <c r="BR193" i="129"/>
  <c r="AP12" i="129"/>
  <c r="BN27" i="129"/>
  <c r="AF15" i="129"/>
  <c r="BS39" i="129"/>
  <c r="AR33" i="129"/>
  <c r="AD36" i="129"/>
  <c r="AF36" i="129"/>
  <c r="AR15" i="129"/>
  <c r="BV33" i="129"/>
  <c r="BN48" i="129"/>
  <c r="AF60" i="129"/>
  <c r="CL107" i="129"/>
  <c r="BM54" i="129"/>
  <c r="AX6" i="129"/>
  <c r="BN63" i="129"/>
  <c r="BR86" i="129"/>
  <c r="AF86" i="129"/>
  <c r="AD7" i="129"/>
  <c r="AO55" i="129"/>
  <c r="BV5" i="129"/>
  <c r="BN51" i="129"/>
  <c r="AJ86" i="129"/>
  <c r="BZ31" i="129"/>
  <c r="BX86" i="129"/>
  <c r="AI29" i="129"/>
  <c r="AC54" i="129"/>
  <c r="BZ86" i="129"/>
  <c r="BS6" i="129"/>
  <c r="AJ17" i="129"/>
  <c r="AO41" i="129"/>
  <c r="AC41" i="129"/>
  <c r="AJ126" i="129"/>
  <c r="BV137" i="129"/>
  <c r="AX53" i="129"/>
  <c r="AJ53" i="129"/>
  <c r="BZ113" i="129"/>
  <c r="AF99" i="129"/>
  <c r="BV102" i="129"/>
  <c r="BM139" i="129"/>
  <c r="AN158" i="129"/>
  <c r="CL172" i="129"/>
  <c r="BS190" i="129"/>
  <c r="BV188" i="129"/>
  <c r="AI155" i="129"/>
  <c r="CL159" i="129"/>
  <c r="BW167" i="129"/>
  <c r="AD176" i="129"/>
  <c r="BV190" i="129"/>
  <c r="AX164" i="129"/>
  <c r="AL148" i="129"/>
  <c r="AL160" i="129"/>
  <c r="AJ166" i="129"/>
  <c r="BV177" i="129"/>
  <c r="AI188" i="129"/>
  <c r="AO166" i="129"/>
  <c r="BZ177" i="129"/>
  <c r="BM194" i="129"/>
  <c r="AL163" i="129"/>
  <c r="BZ200" i="129"/>
  <c r="AP123" i="129"/>
  <c r="AF123" i="129"/>
  <c r="AP176" i="129"/>
  <c r="AI195" i="129"/>
  <c r="CL19" i="129"/>
  <c r="BS19" i="129"/>
  <c r="AL10" i="129"/>
  <c r="BV10" i="129"/>
  <c r="AD10" i="129"/>
  <c r="AP10" i="129"/>
  <c r="BR10" i="129"/>
  <c r="AF10" i="129"/>
  <c r="AI10" i="129"/>
  <c r="CL10" i="129" s="1"/>
  <c r="BS10" i="129"/>
  <c r="AF149" i="129"/>
  <c r="AJ149" i="129"/>
  <c r="AL149" i="129"/>
  <c r="AX149" i="129"/>
  <c r="BM149" i="129"/>
  <c r="BN149" i="129"/>
  <c r="BW149" i="129"/>
  <c r="BX149" i="129"/>
  <c r="CL149" i="129"/>
  <c r="AC149" i="129"/>
  <c r="AJ42" i="129"/>
  <c r="AR42" i="129"/>
  <c r="AX42" i="129"/>
  <c r="BM7" i="129"/>
  <c r="AX7" i="129"/>
  <c r="BN7" i="129"/>
  <c r="AC7" i="129"/>
  <c r="AJ9" i="129"/>
  <c r="BN9" i="129"/>
  <c r="BR9" i="129"/>
  <c r="BS9" i="129"/>
  <c r="CA9" i="129"/>
  <c r="AD9" i="129"/>
  <c r="AF9" i="129"/>
  <c r="AC9" i="129"/>
  <c r="AX9" i="129"/>
  <c r="AJ4" i="129"/>
  <c r="AJ54" i="129"/>
  <c r="AR54" i="129"/>
  <c r="AD54" i="129"/>
  <c r="AP71" i="129"/>
  <c r="AI71" i="129"/>
  <c r="BX71" i="129"/>
  <c r="AJ71" i="129"/>
  <c r="BZ71" i="129"/>
  <c r="AL71" i="129"/>
  <c r="CA71" i="129"/>
  <c r="AN71" i="129"/>
  <c r="AO71" i="129"/>
  <c r="AX71" i="129"/>
  <c r="BM71" i="129"/>
  <c r="AC71" i="129"/>
  <c r="BS71" i="129"/>
  <c r="AF71" i="129"/>
  <c r="BW71" i="129"/>
  <c r="AD71" i="129"/>
  <c r="BN71" i="129"/>
  <c r="BR71" i="129"/>
  <c r="BV71" i="129"/>
  <c r="BM159" i="129"/>
  <c r="BS159" i="129"/>
  <c r="BV159" i="129"/>
  <c r="BZ159" i="129"/>
  <c r="AN159" i="129"/>
  <c r="AO159" i="129"/>
  <c r="BM146" i="129"/>
  <c r="BS146" i="129"/>
  <c r="BX146" i="129"/>
  <c r="BZ146" i="129"/>
  <c r="AD146" i="129"/>
  <c r="CA146" i="129"/>
  <c r="AF146" i="129"/>
  <c r="CL146" i="129"/>
  <c r="AO146" i="129"/>
  <c r="AR146" i="129"/>
  <c r="AX146" i="129"/>
  <c r="AN146" i="129"/>
  <c r="AP146" i="129"/>
  <c r="AL146" i="129"/>
  <c r="BR146" i="129"/>
  <c r="AF202" i="129"/>
  <c r="AC202" i="129"/>
  <c r="CA202" i="129"/>
  <c r="AD202" i="129"/>
  <c r="CL202" i="129"/>
  <c r="AL202" i="129"/>
  <c r="AN202" i="129"/>
  <c r="AP202" i="129"/>
  <c r="AR202" i="129"/>
  <c r="AX202" i="129"/>
  <c r="BM202" i="129"/>
  <c r="BR202" i="129"/>
  <c r="BX202" i="129"/>
  <c r="BZ202" i="129"/>
  <c r="BN202" i="129"/>
  <c r="BW9" i="129"/>
  <c r="CL12" i="129"/>
  <c r="BX32" i="129"/>
  <c r="BR52" i="129"/>
  <c r="BS15" i="129"/>
  <c r="AR9" i="129"/>
  <c r="AC36" i="129"/>
  <c r="BM59" i="129"/>
  <c r="BR36" i="129"/>
  <c r="AI62" i="129"/>
  <c r="AL15" i="129"/>
  <c r="BS36" i="129"/>
  <c r="AI21" i="129"/>
  <c r="AC48" i="129"/>
  <c r="BR60" i="129"/>
  <c r="AR6" i="129"/>
  <c r="BX55" i="129"/>
  <c r="AR17" i="129"/>
  <c r="AC63" i="129"/>
  <c r="AX17" i="129"/>
  <c r="BS86" i="129"/>
  <c r="AR7" i="129"/>
  <c r="AI7" i="129"/>
  <c r="CL7" i="129" s="1"/>
  <c r="BZ55" i="129"/>
  <c r="AI5" i="129"/>
  <c r="CL5" i="129" s="1"/>
  <c r="AC51" i="129"/>
  <c r="BW86" i="129"/>
  <c r="AN31" i="129"/>
  <c r="BS29" i="129"/>
  <c r="BZ42" i="129"/>
  <c r="CL54" i="129"/>
  <c r="BX64" i="129"/>
  <c r="BM66" i="129"/>
  <c r="AP6" i="129"/>
  <c r="AF6" i="129"/>
  <c r="BV17" i="129"/>
  <c r="BZ41" i="129"/>
  <c r="BX99" i="129"/>
  <c r="BW126" i="129"/>
  <c r="AR53" i="129"/>
  <c r="BS53" i="129"/>
  <c r="AI134" i="129"/>
  <c r="AI146" i="129"/>
  <c r="BR99" i="129"/>
  <c r="AI102" i="129"/>
  <c r="AD113" i="129"/>
  <c r="AN130" i="129"/>
  <c r="CA159" i="129"/>
  <c r="BN176" i="129"/>
  <c r="BS155" i="129"/>
  <c r="BN160" i="129"/>
  <c r="AL168" i="129"/>
  <c r="BR176" i="129"/>
  <c r="BW148" i="129"/>
  <c r="BS160" i="129"/>
  <c r="BW166" i="129"/>
  <c r="AJ178" i="129"/>
  <c r="AJ190" i="129"/>
  <c r="CA166" i="129"/>
  <c r="AO178" i="129"/>
  <c r="AC195" i="129"/>
  <c r="BX163" i="129"/>
  <c r="AN188" i="129"/>
  <c r="BW158" i="129"/>
  <c r="AO188" i="129"/>
  <c r="CA123" i="129"/>
  <c r="BR123" i="129"/>
  <c r="CL176" i="129"/>
  <c r="BV195" i="129"/>
  <c r="AP19" i="129"/>
  <c r="AF19" i="129"/>
  <c r="BR159" i="129"/>
  <c r="AX176" i="129"/>
  <c r="AI191" i="129"/>
  <c r="AC191" i="129"/>
  <c r="BZ191" i="129"/>
  <c r="AD191" i="129"/>
  <c r="CA191" i="129"/>
  <c r="AF191" i="129"/>
  <c r="CL191" i="129"/>
  <c r="AN191" i="129"/>
  <c r="AO191" i="129"/>
  <c r="AP191" i="129"/>
  <c r="AR191" i="129"/>
  <c r="AX191" i="129"/>
  <c r="BN191" i="129"/>
  <c r="BR191" i="129"/>
  <c r="BS191" i="129"/>
  <c r="BM191" i="129"/>
  <c r="BR101" i="129"/>
  <c r="CL101" i="129"/>
  <c r="AC101" i="129"/>
  <c r="AP101" i="129"/>
  <c r="BN101" i="129"/>
  <c r="AD101" i="129"/>
  <c r="AO101" i="129"/>
  <c r="AR101" i="129"/>
  <c r="AN22" i="129"/>
  <c r="CL22" i="129"/>
  <c r="AD22" i="129"/>
  <c r="AF22" i="129"/>
  <c r="AI22" i="129"/>
  <c r="AL22" i="129"/>
  <c r="AP22" i="129"/>
  <c r="AX22" i="129"/>
  <c r="BS22" i="129"/>
  <c r="BV22" i="129"/>
  <c r="BM22" i="129"/>
  <c r="BR22" i="129"/>
  <c r="BX22" i="129"/>
  <c r="AI114" i="129"/>
  <c r="AN114" i="129"/>
  <c r="AP114" i="129"/>
  <c r="AR114" i="129"/>
  <c r="AX114" i="129"/>
  <c r="BM114" i="129"/>
  <c r="BN114" i="129"/>
  <c r="AD114" i="129"/>
  <c r="BZ114" i="129"/>
  <c r="AF114" i="129"/>
  <c r="CL114" i="129"/>
  <c r="AL114" i="129"/>
  <c r="BR114" i="129"/>
  <c r="BS114" i="129"/>
  <c r="BX114" i="129"/>
  <c r="AC114" i="129"/>
  <c r="AR23" i="129"/>
  <c r="AX23" i="129"/>
  <c r="BM23" i="129"/>
  <c r="AC23" i="129"/>
  <c r="BN23" i="129"/>
  <c r="AD23" i="129"/>
  <c r="BR23" i="129"/>
  <c r="AF23" i="129"/>
  <c r="BS23" i="129"/>
  <c r="AI23" i="129"/>
  <c r="BV23" i="129"/>
  <c r="AN23" i="129"/>
  <c r="BZ23" i="129"/>
  <c r="AO23" i="129"/>
  <c r="CA23" i="129"/>
  <c r="AJ23" i="129"/>
  <c r="AL23" i="129"/>
  <c r="AP23" i="129"/>
  <c r="BW23" i="129"/>
  <c r="BX23" i="129"/>
  <c r="CL23" i="129"/>
  <c r="BM20" i="129"/>
  <c r="AC20" i="129"/>
  <c r="BN20" i="129"/>
  <c r="AD20" i="129"/>
  <c r="BR20" i="129"/>
  <c r="AF20" i="129"/>
  <c r="BS20" i="129"/>
  <c r="AI20" i="129"/>
  <c r="BV20" i="129"/>
  <c r="AJ20" i="129"/>
  <c r="BW20" i="129"/>
  <c r="AL20" i="129"/>
  <c r="BX20" i="129"/>
  <c r="AP20" i="129"/>
  <c r="CL20" i="129"/>
  <c r="AR20" i="129"/>
  <c r="BZ20" i="129"/>
  <c r="CA20" i="129"/>
  <c r="AN20" i="129"/>
  <c r="AO20" i="129"/>
  <c r="AX20" i="129"/>
  <c r="AL44" i="129"/>
  <c r="AX44" i="129"/>
  <c r="BM44" i="129"/>
  <c r="BN44" i="129"/>
  <c r="BR44" i="129"/>
  <c r="BV44" i="129"/>
  <c r="AC44" i="129"/>
  <c r="BW44" i="129"/>
  <c r="AD44" i="129"/>
  <c r="BZ44" i="129"/>
  <c r="AR44" i="129"/>
  <c r="CA44" i="129"/>
  <c r="CL44" i="129"/>
  <c r="AJ44" i="129"/>
  <c r="AN44" i="129"/>
  <c r="AI44" i="129"/>
  <c r="AO44" i="129"/>
  <c r="AI90" i="129"/>
  <c r="AC90" i="129"/>
  <c r="AD90" i="129"/>
  <c r="AF90" i="129"/>
  <c r="AX90" i="129"/>
  <c r="BN90" i="129"/>
  <c r="BR90" i="129"/>
  <c r="BS90" i="129"/>
  <c r="AO118" i="129"/>
  <c r="AX118" i="129"/>
  <c r="BR118" i="129"/>
  <c r="BV118" i="129"/>
  <c r="BW118" i="129"/>
  <c r="BX118" i="129"/>
  <c r="AJ118" i="129"/>
  <c r="AL118" i="129"/>
  <c r="AR118" i="129"/>
  <c r="AD118" i="129"/>
  <c r="AI118" i="129"/>
  <c r="AD120" i="129"/>
  <c r="AN120" i="129"/>
  <c r="CA120" i="129"/>
  <c r="AO120" i="129"/>
  <c r="CL120" i="129"/>
  <c r="AP120" i="129"/>
  <c r="AR120" i="129"/>
  <c r="AX120" i="129"/>
  <c r="BM120" i="129"/>
  <c r="AI120" i="129"/>
  <c r="BW120" i="129"/>
  <c r="AJ120" i="129"/>
  <c r="BX120" i="129"/>
  <c r="AL120" i="129"/>
  <c r="BZ120" i="129"/>
  <c r="BN120" i="129"/>
  <c r="BS120" i="129"/>
  <c r="BV120" i="129"/>
  <c r="AC120" i="129"/>
  <c r="AF120" i="129"/>
  <c r="BX21" i="129"/>
  <c r="AN33" i="129"/>
  <c r="AP21" i="129"/>
  <c r="AC12" i="129"/>
  <c r="BN36" i="129"/>
  <c r="AF62" i="129"/>
  <c r="AJ39" i="129"/>
  <c r="BV62" i="129"/>
  <c r="AL39" i="129"/>
  <c r="BV21" i="129"/>
  <c r="BM48" i="129"/>
  <c r="AD60" i="129"/>
  <c r="AP17" i="129"/>
  <c r="AR71" i="129"/>
  <c r="AP41" i="129"/>
  <c r="AP64" i="129"/>
  <c r="AR41" i="129"/>
  <c r="BS7" i="129"/>
  <c r="AN55" i="129"/>
  <c r="BS5" i="129"/>
  <c r="BV41" i="129"/>
  <c r="BM51" i="129"/>
  <c r="AP90" i="129"/>
  <c r="BM29" i="129"/>
  <c r="AF29" i="129"/>
  <c r="AN42" i="129"/>
  <c r="AP54" i="129"/>
  <c r="AL64" i="129"/>
  <c r="CA6" i="129"/>
  <c r="BR6" i="129"/>
  <c r="AI17" i="129"/>
  <c r="AN41" i="129"/>
  <c r="BV126" i="129"/>
  <c r="AP53" i="129"/>
  <c r="AF53" i="129"/>
  <c r="BV134" i="129"/>
  <c r="BV146" i="129"/>
  <c r="AD99" i="129"/>
  <c r="AD130" i="129"/>
  <c r="BS118" i="129"/>
  <c r="AC139" i="129"/>
  <c r="BR113" i="129"/>
  <c r="BZ130" i="129"/>
  <c r="BM160" i="129"/>
  <c r="BR177" i="129"/>
  <c r="BW192" i="129"/>
  <c r="AF155" i="129"/>
  <c r="BX168" i="129"/>
  <c r="AF177" i="129"/>
  <c r="AD200" i="129"/>
  <c r="BN148" i="129"/>
  <c r="AJ148" i="129"/>
  <c r="AF160" i="129"/>
  <c r="AL167" i="129"/>
  <c r="BW178" i="129"/>
  <c r="BW190" i="129"/>
  <c r="AF200" i="129"/>
  <c r="AJ176" i="129"/>
  <c r="AP167" i="129"/>
  <c r="CA178" i="129"/>
  <c r="BN195" i="129"/>
  <c r="AN164" i="129"/>
  <c r="BZ188" i="129"/>
  <c r="AJ158" i="129"/>
  <c r="CA188" i="129"/>
  <c r="AR164" i="129"/>
  <c r="AO123" i="129"/>
  <c r="AD123" i="129"/>
  <c r="AR177" i="129"/>
  <c r="AP200" i="129"/>
  <c r="CA19" i="129"/>
  <c r="AD159" i="129"/>
  <c r="BM176" i="129"/>
  <c r="AD190" i="129"/>
  <c r="AN81" i="129"/>
  <c r="BS81" i="129"/>
  <c r="BV81" i="129"/>
  <c r="AC81" i="129"/>
  <c r="BW81" i="129"/>
  <c r="AD81" i="129"/>
  <c r="BX81" i="129"/>
  <c r="AF81" i="129"/>
  <c r="AI81" i="129"/>
  <c r="AJ81" i="129"/>
  <c r="BM81" i="129"/>
  <c r="BR81" i="129"/>
  <c r="AL81" i="129"/>
  <c r="AX81" i="129"/>
  <c r="BN81" i="129"/>
  <c r="AF61" i="129"/>
  <c r="AX61" i="129"/>
  <c r="BM61" i="129"/>
  <c r="BN61" i="129"/>
  <c r="AC61" i="129"/>
  <c r="BR61" i="129"/>
  <c r="AD61" i="129"/>
  <c r="BV61" i="129"/>
  <c r="AI61" i="129"/>
  <c r="BW61" i="129"/>
  <c r="AO61" i="129"/>
  <c r="CL61" i="129"/>
  <c r="AP61" i="129"/>
  <c r="AJ61" i="129"/>
  <c r="AL61" i="129"/>
  <c r="AN61" i="129"/>
  <c r="BZ61" i="129"/>
  <c r="AR61" i="129"/>
  <c r="CA61" i="129"/>
  <c r="BX61" i="129"/>
  <c r="AJ127" i="129"/>
  <c r="AX127" i="129"/>
  <c r="BN127" i="129"/>
  <c r="BR127" i="129"/>
  <c r="BS127" i="129"/>
  <c r="BZ127" i="129"/>
  <c r="AC127" i="129"/>
  <c r="AN127" i="129"/>
  <c r="CA127" i="129"/>
  <c r="AD127" i="129"/>
  <c r="AF127" i="129"/>
  <c r="AO127" i="129"/>
  <c r="BX151" i="129"/>
  <c r="AR116" i="129"/>
  <c r="BN155" i="129"/>
  <c r="CL170" i="129"/>
  <c r="AJ3" i="129"/>
  <c r="BN8" i="129"/>
  <c r="BR8" i="129"/>
  <c r="BW8" i="129"/>
  <c r="BX8" i="129"/>
  <c r="AC8" i="129"/>
  <c r="BZ8" i="129"/>
  <c r="AD8" i="129"/>
  <c r="CA8" i="129"/>
  <c r="AF8" i="129"/>
  <c r="AN8" i="129"/>
  <c r="AR8" i="129"/>
  <c r="AJ8" i="129"/>
  <c r="AL8" i="129"/>
  <c r="BM8" i="129"/>
  <c r="BM15" i="129"/>
  <c r="AP15" i="129"/>
  <c r="AX15" i="129"/>
  <c r="BR15" i="129"/>
  <c r="BZ15" i="129"/>
  <c r="CA15" i="129"/>
  <c r="CL15" i="129"/>
  <c r="AD15" i="129"/>
  <c r="AN15" i="129"/>
  <c r="AO15" i="129"/>
  <c r="AC31" i="129"/>
  <c r="AX31" i="129"/>
  <c r="BM31" i="129"/>
  <c r="BX63" i="129"/>
  <c r="AR63" i="129"/>
  <c r="AX63" i="129"/>
  <c r="BS63" i="129"/>
  <c r="BZ63" i="129"/>
  <c r="CA63" i="129"/>
  <c r="CL63" i="129"/>
  <c r="AN63" i="129"/>
  <c r="AO63" i="129"/>
  <c r="AF63" i="129"/>
  <c r="AP63" i="129"/>
  <c r="AD63" i="129"/>
  <c r="AL63" i="129"/>
  <c r="BM50" i="129"/>
  <c r="AJ50" i="129"/>
  <c r="BZ50" i="129"/>
  <c r="AL50" i="129"/>
  <c r="CA50" i="129"/>
  <c r="AN50" i="129"/>
  <c r="CL50" i="129"/>
  <c r="AO50" i="129"/>
  <c r="AP50" i="129"/>
  <c r="AR50" i="129"/>
  <c r="BS50" i="129"/>
  <c r="AC50" i="129"/>
  <c r="BW50" i="129"/>
  <c r="AX50" i="129"/>
  <c r="BN50" i="129"/>
  <c r="BR50" i="129"/>
  <c r="BX50" i="129"/>
  <c r="AD50" i="129"/>
  <c r="CA12" i="129"/>
  <c r="AR12" i="129"/>
  <c r="BZ33" i="129"/>
  <c r="CL59" i="129"/>
  <c r="CL21" i="129"/>
  <c r="BN12" i="129"/>
  <c r="AI39" i="129"/>
  <c r="BS62" i="129"/>
  <c r="BW39" i="129"/>
  <c r="AN4" i="129"/>
  <c r="BZ16" i="129"/>
  <c r="BX39" i="129"/>
  <c r="AL35" i="129"/>
  <c r="AR48" i="129"/>
  <c r="BN60" i="129"/>
  <c r="BV66" i="129"/>
  <c r="AO64" i="129"/>
  <c r="AL66" i="129"/>
  <c r="AL90" i="129"/>
  <c r="CL51" i="129"/>
  <c r="AP7" i="129"/>
  <c r="AF7" i="129"/>
  <c r="BW55" i="129"/>
  <c r="BM5" i="129"/>
  <c r="AF5" i="129"/>
  <c r="AR51" i="129"/>
  <c r="BM64" i="129"/>
  <c r="CL90" i="129"/>
  <c r="AL31" i="129"/>
  <c r="CA29" i="129"/>
  <c r="BR29" i="129"/>
  <c r="BX42" i="129"/>
  <c r="CA54" i="129"/>
  <c r="BW64" i="129"/>
  <c r="AO86" i="129"/>
  <c r="AO6" i="129"/>
  <c r="BX41" i="129"/>
  <c r="BW151" i="129"/>
  <c r="AR102" i="129"/>
  <c r="AN116" i="129"/>
  <c r="AL139" i="129"/>
  <c r="AI53" i="129"/>
  <c r="BN102" i="129"/>
  <c r="AO126" i="129"/>
  <c r="AN137" i="129"/>
  <c r="BN99" i="129"/>
  <c r="BR102" i="129"/>
  <c r="BN139" i="129"/>
  <c r="BS178" i="129"/>
  <c r="BX193" i="129"/>
  <c r="AJ200" i="129"/>
  <c r="BR155" i="129"/>
  <c r="AC163" i="129"/>
  <c r="BS177" i="129"/>
  <c r="AL192" i="129"/>
  <c r="BR200" i="129"/>
  <c r="AC148" i="129"/>
  <c r="BV148" i="129"/>
  <c r="BR160" i="129"/>
  <c r="BX167" i="129"/>
  <c r="AL179" i="129"/>
  <c r="BS200" i="129"/>
  <c r="BW176" i="129"/>
  <c r="BR158" i="129"/>
  <c r="CL167" i="129"/>
  <c r="AL200" i="129"/>
  <c r="BZ164" i="129"/>
  <c r="AN176" i="129"/>
  <c r="AR176" i="129"/>
  <c r="BV158" i="129"/>
  <c r="AN163" i="129"/>
  <c r="BZ123" i="129"/>
  <c r="BN123" i="129"/>
  <c r="CL200" i="129"/>
  <c r="BN159" i="129"/>
  <c r="AC177" i="129"/>
  <c r="BR190" i="129"/>
</calcChain>
</file>

<file path=xl/sharedStrings.xml><?xml version="1.0" encoding="utf-8"?>
<sst xmlns="http://schemas.openxmlformats.org/spreadsheetml/2006/main" count="6838" uniqueCount="2868">
  <si>
    <t>POD</t>
    <phoneticPr fontId="18" type="noConversion"/>
  </si>
  <si>
    <t>선사코드</t>
    <phoneticPr fontId="18" type="noConversion"/>
  </si>
  <si>
    <t>S013_EZN</t>
  </si>
  <si>
    <t>S013_EZM</t>
  </si>
  <si>
    <t>코드</t>
  </si>
  <si>
    <t>S013_EZA</t>
  </si>
  <si>
    <t>S013_EZB</t>
  </si>
  <si>
    <t>S013_EZJ</t>
  </si>
  <si>
    <t>S013_TEM</t>
  </si>
  <si>
    <t>S013_EZP</t>
  </si>
  <si>
    <t>S009_H01</t>
  </si>
  <si>
    <t>S009_H06</t>
  </si>
  <si>
    <t>S009_H08</t>
  </si>
  <si>
    <t>S009_H11</t>
  </si>
  <si>
    <t>S009_H12</t>
  </si>
  <si>
    <t>S009_H15</t>
  </si>
  <si>
    <t>S009_H16</t>
  </si>
  <si>
    <t>S009_H17</t>
  </si>
  <si>
    <t>S009_H19</t>
  </si>
  <si>
    <t>S009_H20</t>
  </si>
  <si>
    <t>S009_H21</t>
  </si>
  <si>
    <t>S009_H22</t>
  </si>
  <si>
    <t>S013_EZU</t>
  </si>
  <si>
    <t>S013_EZI</t>
  </si>
  <si>
    <t>S013_ATR</t>
  </si>
  <si>
    <t>Location Description</t>
  </si>
  <si>
    <t>이름</t>
    <phoneticPr fontId="18" type="noConversion"/>
  </si>
  <si>
    <t>016120002</t>
  </si>
  <si>
    <t>평택당진항내항동부두(#1,2,3)CY</t>
  </si>
  <si>
    <t>01612002</t>
  </si>
  <si>
    <t>평택아이포트 (PNCT)</t>
  </si>
  <si>
    <t>01612033</t>
  </si>
  <si>
    <t>평택컨테이너터미널CY (PCTC)</t>
  </si>
  <si>
    <t>01612040</t>
  </si>
  <si>
    <t>평택항카페리화물터미널</t>
  </si>
  <si>
    <t>02011219</t>
  </si>
  <si>
    <t>진아(주) 보세창고</t>
  </si>
  <si>
    <t>02012001</t>
  </si>
  <si>
    <t>선광종합물류</t>
  </si>
  <si>
    <t>02012012</t>
  </si>
  <si>
    <t>에스엠상선경인터미널(주)</t>
  </si>
  <si>
    <t>02012016</t>
  </si>
  <si>
    <t>한진인천컨테이너터미널(주)</t>
  </si>
  <si>
    <t>02077002</t>
  </si>
  <si>
    <t>인천컨테이너터미널</t>
  </si>
  <si>
    <t>아산서영</t>
  </si>
  <si>
    <t>02077130</t>
  </si>
  <si>
    <t>우련CY</t>
  </si>
  <si>
    <t>02077178</t>
  </si>
  <si>
    <t>인천항8부두주식회사</t>
  </si>
  <si>
    <t>03002009</t>
  </si>
  <si>
    <t>부산항국제여객터미널장치장</t>
  </si>
  <si>
    <t>상세주소</t>
  </si>
  <si>
    <t>03002010</t>
  </si>
  <si>
    <t>제 1 부두 (부산)</t>
  </si>
  <si>
    <t>B015_SBIGS</t>
  </si>
  <si>
    <t>03002199</t>
  </si>
  <si>
    <t>제8부두 지정장치장</t>
  </si>
  <si>
    <t>B015_SBCHW</t>
  </si>
  <si>
    <t>03012003</t>
  </si>
  <si>
    <t>부산진역철도보세창고</t>
  </si>
  <si>
    <t>03012226</t>
  </si>
  <si>
    <t>부산항터미널(주)감만 (BPT감만)</t>
  </si>
  <si>
    <t>B015_SBSWH</t>
  </si>
  <si>
    <t>03012240</t>
  </si>
  <si>
    <t>한국허치슨터미널 (HBCT)</t>
  </si>
  <si>
    <t>03077003</t>
  </si>
  <si>
    <t>부산신항다목적터미날(주)</t>
  </si>
  <si>
    <t>B015_SB2CY</t>
  </si>
  <si>
    <t>03077006</t>
  </si>
  <si>
    <t>B015_SBCAM</t>
  </si>
  <si>
    <t>B015_SBUNG</t>
  </si>
  <si>
    <t>SB웅동</t>
  </si>
  <si>
    <t>03077011</t>
  </si>
  <si>
    <t>B015_KOSEN</t>
  </si>
  <si>
    <t>코센코물류</t>
  </si>
  <si>
    <t>부산신항국제터미널 (PNIT)</t>
  </si>
  <si>
    <t>B015_SEJEN</t>
  </si>
  <si>
    <t>부산항터미널(주)신선대 (BPT신선대)</t>
  </si>
  <si>
    <t>B015_SBNSC</t>
  </si>
  <si>
    <t>03077026</t>
  </si>
  <si>
    <t>BUSAN NEW CONTAINER TERMINAL (BNCT)</t>
  </si>
  <si>
    <t>B015_SBNPC</t>
  </si>
  <si>
    <t>03077061</t>
  </si>
  <si>
    <t>천일용당CY</t>
  </si>
  <si>
    <t>03077102</t>
  </si>
  <si>
    <t>부산신항만 주식회사(PNC)</t>
  </si>
  <si>
    <t>06277033</t>
  </si>
  <si>
    <t>한국국제터미널 주식회사</t>
  </si>
  <si>
    <t>06277057</t>
  </si>
  <si>
    <t>광양대한통운</t>
  </si>
  <si>
    <t>06277064</t>
  </si>
  <si>
    <t>08012025</t>
  </si>
  <si>
    <t>군산항컨테이너터미널운영(주)</t>
  </si>
  <si>
    <t>유엔씨티 주식회사</t>
  </si>
  <si>
    <t>포항영일신항만(주)</t>
  </si>
  <si>
    <t>코레일로지스주식회사</t>
  </si>
  <si>
    <t>03012312</t>
    <phoneticPr fontId="18" type="noConversion"/>
  </si>
  <si>
    <t>동부부산컨테이너터미널 (DPCT)</t>
    <phoneticPr fontId="18" type="noConversion"/>
  </si>
  <si>
    <t>선광 인천 터미널 (ISCT</t>
    <phoneticPr fontId="18" type="noConversion"/>
  </si>
  <si>
    <t>KMMG</t>
  </si>
  <si>
    <t>USSAV</t>
  </si>
  <si>
    <t>IDTPP</t>
  </si>
  <si>
    <t>INKAT</t>
  </si>
  <si>
    <t>SIKOP</t>
  </si>
  <si>
    <t>조지아</t>
    <phoneticPr fontId="28" type="noConversion"/>
  </si>
  <si>
    <t>인니</t>
    <phoneticPr fontId="28" type="noConversion"/>
  </si>
  <si>
    <t>인도</t>
    <phoneticPr fontId="28" type="noConversion"/>
  </si>
  <si>
    <t>코퍼</t>
    <phoneticPr fontId="28" type="noConversion"/>
  </si>
  <si>
    <t>SGSIN</t>
  </si>
  <si>
    <t>USMOB</t>
  </si>
  <si>
    <t>싱가폴</t>
    <phoneticPr fontId="28" type="noConversion"/>
  </si>
  <si>
    <t>모빌</t>
    <phoneticPr fontId="28" type="noConversion"/>
  </si>
  <si>
    <t>브라질</t>
    <phoneticPr fontId="28" type="noConversion"/>
  </si>
  <si>
    <t>터키</t>
    <phoneticPr fontId="28" type="noConversion"/>
  </si>
  <si>
    <t>GA2557</t>
  </si>
  <si>
    <t>HMMA</t>
  </si>
  <si>
    <t>BH03</t>
  </si>
  <si>
    <t>SK02</t>
  </si>
  <si>
    <t>HMMC</t>
  </si>
  <si>
    <t>운송사</t>
    <phoneticPr fontId="28" type="noConversion"/>
  </si>
  <si>
    <t>비고</t>
    <phoneticPr fontId="28" type="noConversion"/>
  </si>
  <si>
    <t>H000_GA</t>
    <phoneticPr fontId="28" type="noConversion"/>
  </si>
  <si>
    <t>H000_GB</t>
    <phoneticPr fontId="28" type="noConversion"/>
  </si>
  <si>
    <t>H000_GC</t>
    <phoneticPr fontId="28" type="noConversion"/>
  </si>
  <si>
    <t>KAC</t>
    <phoneticPr fontId="28" type="noConversion"/>
  </si>
  <si>
    <t>금호타이어</t>
    <phoneticPr fontId="28" type="noConversion"/>
  </si>
  <si>
    <t>경북 경주시 외동읍 문산공단길 84-200</t>
    <phoneticPr fontId="28" type="noConversion"/>
  </si>
  <si>
    <t>베바스토</t>
    <phoneticPr fontId="28" type="noConversion"/>
  </si>
  <si>
    <t>HAOS</t>
  </si>
  <si>
    <t>충남 아산시 인주면 인주산단로 75-60</t>
    <phoneticPr fontId="28" type="noConversion"/>
  </si>
  <si>
    <t>충청남도 아산시 음봉면 아산밸리로388번길 186</t>
    <phoneticPr fontId="28" type="noConversion"/>
  </si>
  <si>
    <t>세종특별자치시 전의면 산단길 134</t>
    <phoneticPr fontId="28" type="noConversion"/>
  </si>
  <si>
    <t>H000_GG</t>
    <phoneticPr fontId="28" type="noConversion"/>
  </si>
  <si>
    <t>울산광역시 울주군 두서면 활천산업로 100</t>
    <phoneticPr fontId="28" type="noConversion"/>
  </si>
  <si>
    <t>울산광역시 울주군 두서면 활천산업로 160</t>
    <phoneticPr fontId="28" type="noConversion"/>
  </si>
  <si>
    <t>울산광역시 울주군 두서면 활천산업로 76</t>
    <phoneticPr fontId="28" type="noConversion"/>
  </si>
  <si>
    <t>울산광역시 울주군 온산읍 처용산업로 6</t>
    <phoneticPr fontId="28" type="noConversion"/>
  </si>
  <si>
    <t>경북 김천시 공단로 258-45</t>
    <phoneticPr fontId="28" type="noConversion"/>
  </si>
  <si>
    <t>CODE</t>
    <phoneticPr fontId="28" type="noConversion"/>
  </si>
  <si>
    <t>CONSIGNEE</t>
    <phoneticPr fontId="28" type="noConversion"/>
  </si>
  <si>
    <t>TEAM</t>
    <phoneticPr fontId="28" type="noConversion"/>
  </si>
  <si>
    <t>PIC</t>
    <phoneticPr fontId="28" type="noConversion"/>
  </si>
  <si>
    <t>부산북항</t>
  </si>
  <si>
    <t>부산신항</t>
  </si>
  <si>
    <t>KRPTK</t>
  </si>
  <si>
    <t>평택항</t>
  </si>
  <si>
    <t>인천항</t>
  </si>
  <si>
    <t>의왕(부곡)</t>
  </si>
  <si>
    <t>광양항</t>
  </si>
  <si>
    <t>금호타이어</t>
  </si>
  <si>
    <t>HMI</t>
  </si>
  <si>
    <t>HMMI</t>
  </si>
  <si>
    <t>HMMR</t>
  </si>
  <si>
    <t>현대모비스㈜ 김천공장</t>
  </si>
  <si>
    <t>CAOA</t>
  </si>
  <si>
    <t>TRAMB</t>
    <phoneticPr fontId="28" type="noConversion"/>
  </si>
  <si>
    <t>AMBARLI</t>
    <phoneticPr fontId="28" type="noConversion"/>
  </si>
  <si>
    <t>DEBRV</t>
    <phoneticPr fontId="28" type="noConversion"/>
  </si>
  <si>
    <t>BREMERHAVEN</t>
    <phoneticPr fontId="28" type="noConversion"/>
  </si>
  <si>
    <t>MYBTW</t>
    <phoneticPr fontId="28" type="noConversion"/>
  </si>
  <si>
    <t>USCHS</t>
    <phoneticPr fontId="28" type="noConversion"/>
  </si>
  <si>
    <t>CHARLESTON, SC</t>
    <phoneticPr fontId="28" type="noConversion"/>
  </si>
  <si>
    <t>BDCGP</t>
    <phoneticPr fontId="28" type="noConversion"/>
  </si>
  <si>
    <t>CHATTOGRAM</t>
    <phoneticPr fontId="28" type="noConversion"/>
  </si>
  <si>
    <t>INMAA</t>
    <phoneticPr fontId="28" type="noConversion"/>
  </si>
  <si>
    <t>VNC8Q</t>
    <phoneticPr fontId="28" type="noConversion"/>
  </si>
  <si>
    <t>CHU LAI</t>
    <phoneticPr fontId="28" type="noConversion"/>
  </si>
  <si>
    <t>VNDAD</t>
    <phoneticPr fontId="28" type="noConversion"/>
  </si>
  <si>
    <t>DA NANG</t>
    <phoneticPr fontId="28" type="noConversion"/>
  </si>
  <si>
    <t>BDDAC</t>
    <phoneticPr fontId="28" type="noConversion"/>
  </si>
  <si>
    <t>DHAKA</t>
    <phoneticPr fontId="28" type="noConversion"/>
  </si>
  <si>
    <t>DZDJE</t>
    <phoneticPr fontId="28" type="noConversion"/>
  </si>
  <si>
    <t>DJEN-DJEN</t>
    <phoneticPr fontId="28" type="noConversion"/>
  </si>
  <si>
    <t>INENR</t>
    <phoneticPr fontId="28" type="noConversion"/>
  </si>
  <si>
    <t>ENNORE</t>
    <phoneticPr fontId="28" type="noConversion"/>
  </si>
  <si>
    <t>MXESE</t>
    <phoneticPr fontId="28" type="noConversion"/>
  </si>
  <si>
    <t>ENSENADA</t>
    <phoneticPr fontId="28" type="noConversion"/>
  </si>
  <si>
    <t>VNHPH</t>
    <phoneticPr fontId="28" type="noConversion"/>
  </si>
  <si>
    <t>HAIPHONG</t>
    <phoneticPr fontId="28" type="noConversion"/>
  </si>
  <si>
    <t>DEHAM</t>
    <phoneticPr fontId="28" type="noConversion"/>
  </si>
  <si>
    <t>HAMBURG</t>
    <phoneticPr fontId="28" type="noConversion"/>
  </si>
  <si>
    <t>CNHUA</t>
    <phoneticPr fontId="28" type="noConversion"/>
  </si>
  <si>
    <t>HUANGPU PT</t>
    <phoneticPr fontId="28" type="noConversion"/>
  </si>
  <si>
    <t>CLIQQ</t>
    <phoneticPr fontId="28" type="noConversion"/>
  </si>
  <si>
    <t>IQUIQUE</t>
    <phoneticPr fontId="28" type="noConversion"/>
  </si>
  <si>
    <t>TRIST</t>
    <phoneticPr fontId="28" type="noConversion"/>
  </si>
  <si>
    <t>ISTANBUL</t>
    <phoneticPr fontId="28" type="noConversion"/>
  </si>
  <si>
    <t>TRIZT</t>
    <phoneticPr fontId="28" type="noConversion"/>
  </si>
  <si>
    <t>IZMIT KORFEZI, TURKEY</t>
    <phoneticPr fontId="28" type="noConversion"/>
  </si>
  <si>
    <t>JAKAR</t>
    <phoneticPr fontId="28" type="noConversion"/>
  </si>
  <si>
    <t>JAKARTA</t>
    <phoneticPr fontId="28" type="noConversion"/>
  </si>
  <si>
    <t>AEJEA</t>
    <phoneticPr fontId="28" type="noConversion"/>
  </si>
  <si>
    <t>JEBEL ALI</t>
    <phoneticPr fontId="28" type="noConversion"/>
  </si>
  <si>
    <t>UZJIZ</t>
    <phoneticPr fontId="28" type="noConversion"/>
  </si>
  <si>
    <t>JIZZAKH(To-Be Checked)</t>
    <phoneticPr fontId="28" type="noConversion"/>
  </si>
  <si>
    <t>INKAT</t>
    <phoneticPr fontId="28" type="noConversion"/>
  </si>
  <si>
    <t>SIKOP</t>
    <phoneticPr fontId="28" type="noConversion"/>
  </si>
  <si>
    <t>KOPER</t>
    <phoneticPr fontId="28" type="noConversion"/>
  </si>
  <si>
    <t>THLCH</t>
    <phoneticPr fontId="28" type="noConversion"/>
  </si>
  <si>
    <t>LAEM CHABANG</t>
    <phoneticPr fontId="28" type="noConversion"/>
  </si>
  <si>
    <t>MXLZC</t>
    <phoneticPr fontId="28" type="noConversion"/>
  </si>
  <si>
    <t>LAZARO CARDENAS</t>
    <phoneticPr fontId="28" type="noConversion"/>
  </si>
  <si>
    <t>CNLYG</t>
    <phoneticPr fontId="28" type="noConversion"/>
  </si>
  <si>
    <t>LIANYUNGANG</t>
    <phoneticPr fontId="28" type="noConversion"/>
  </si>
  <si>
    <t>USLGB</t>
    <phoneticPr fontId="28" type="noConversion"/>
  </si>
  <si>
    <t>USLAX</t>
    <phoneticPr fontId="28" type="noConversion"/>
  </si>
  <si>
    <t>CNLZU</t>
    <phoneticPr fontId="28" type="noConversion"/>
  </si>
  <si>
    <t>LUZHOU</t>
    <phoneticPr fontId="28" type="noConversion"/>
  </si>
  <si>
    <t>PLMAA</t>
    <phoneticPr fontId="28" type="noConversion"/>
  </si>
  <si>
    <t>MXZLO</t>
    <phoneticPr fontId="28" type="noConversion"/>
  </si>
  <si>
    <t>CDMAT</t>
    <phoneticPr fontId="28" type="noConversion"/>
  </si>
  <si>
    <t>MATADI</t>
    <phoneticPr fontId="28" type="noConversion"/>
  </si>
  <si>
    <t>USMOB</t>
    <phoneticPr fontId="28" type="noConversion"/>
  </si>
  <si>
    <t>CNNTG</t>
    <phoneticPr fontId="28" type="noConversion"/>
  </si>
  <si>
    <t>MRNKC</t>
    <phoneticPr fontId="28" type="noConversion"/>
  </si>
  <si>
    <t>NOUAKCHOTT</t>
    <phoneticPr fontId="28" type="noConversion"/>
  </si>
  <si>
    <t>JPOSA</t>
    <phoneticPr fontId="28" type="noConversion"/>
  </si>
  <si>
    <t>OSAKA</t>
    <phoneticPr fontId="28" type="noConversion"/>
  </si>
  <si>
    <t>MYPEN</t>
    <phoneticPr fontId="28" type="noConversion"/>
  </si>
  <si>
    <t>MYPKG</t>
    <phoneticPr fontId="28" type="noConversion"/>
  </si>
  <si>
    <t>PKBQM</t>
    <phoneticPr fontId="28" type="noConversion"/>
  </si>
  <si>
    <t>PORT QASIM</t>
    <phoneticPr fontId="28" type="noConversion"/>
  </si>
  <si>
    <t>SCPOV</t>
    <phoneticPr fontId="28" type="noConversion"/>
  </si>
  <si>
    <t>PORT VICTORIA</t>
    <phoneticPr fontId="28" type="noConversion"/>
  </si>
  <si>
    <t>CRCAL</t>
    <phoneticPr fontId="28" type="noConversion"/>
  </si>
  <si>
    <t>PUERTO CALDERA</t>
    <phoneticPr fontId="28" type="noConversion"/>
  </si>
  <si>
    <t>GTPRQ</t>
    <phoneticPr fontId="28" type="noConversion"/>
  </si>
  <si>
    <t>PUERTO QUETZAL</t>
    <phoneticPr fontId="28" type="noConversion"/>
  </si>
  <si>
    <t>CNTAO</t>
    <phoneticPr fontId="28" type="noConversion"/>
  </si>
  <si>
    <t>UARNI</t>
    <phoneticPr fontId="28" type="noConversion"/>
  </si>
  <si>
    <t>RENI</t>
    <phoneticPr fontId="28" type="noConversion"/>
  </si>
  <si>
    <t>BRSSZ</t>
    <phoneticPr fontId="28" type="noConversion"/>
  </si>
  <si>
    <t>SANTOS</t>
    <phoneticPr fontId="28" type="noConversion"/>
  </si>
  <si>
    <t>USSAV</t>
    <phoneticPr fontId="28" type="noConversion"/>
  </si>
  <si>
    <t>CNSHA</t>
    <phoneticPr fontId="28" type="noConversion"/>
  </si>
  <si>
    <t>SGSIN</t>
    <phoneticPr fontId="28" type="noConversion"/>
  </si>
  <si>
    <t>SINGAPORE</t>
    <phoneticPr fontId="28" type="noConversion"/>
  </si>
  <si>
    <t>TWTPE</t>
    <phoneticPr fontId="28" type="noConversion"/>
  </si>
  <si>
    <t>TAIPEI</t>
    <phoneticPr fontId="28" type="noConversion"/>
  </si>
  <si>
    <t>IDTPP</t>
    <phoneticPr fontId="28" type="noConversion"/>
  </si>
  <si>
    <t>TANJUNG PRIOK</t>
    <phoneticPr fontId="28" type="noConversion"/>
  </si>
  <si>
    <t>GHTEM</t>
    <phoneticPr fontId="28" type="noConversion"/>
  </si>
  <si>
    <t>TEMA</t>
    <phoneticPr fontId="28" type="noConversion"/>
  </si>
  <si>
    <t>NGTIN</t>
    <phoneticPr fontId="28" type="noConversion"/>
  </si>
  <si>
    <t>TINCAN/LAGOS</t>
    <phoneticPr fontId="28" type="noConversion"/>
  </si>
  <si>
    <t>CNWEI</t>
    <phoneticPr fontId="28" type="noConversion"/>
  </si>
  <si>
    <t>CNXGA</t>
    <phoneticPr fontId="28" type="noConversion"/>
  </si>
  <si>
    <t>XINGANG</t>
    <phoneticPr fontId="28" type="noConversion"/>
  </si>
  <si>
    <t>CNXGG</t>
    <phoneticPr fontId="28" type="noConversion"/>
  </si>
  <si>
    <t>XINGANG, CHINA</t>
    <phoneticPr fontId="28" type="noConversion"/>
  </si>
  <si>
    <t>MMRGN</t>
    <phoneticPr fontId="28" type="noConversion"/>
  </si>
  <si>
    <t>YANGON</t>
    <phoneticPr fontId="28" type="noConversion"/>
  </si>
  <si>
    <t>TRYAR</t>
    <phoneticPr fontId="28" type="noConversion"/>
  </si>
  <si>
    <t>YARIMCA</t>
    <phoneticPr fontId="28" type="noConversion"/>
  </si>
  <si>
    <t>CNZJG</t>
    <phoneticPr fontId="28" type="noConversion"/>
  </si>
  <si>
    <t>ZHANGJIAGANG</t>
    <phoneticPr fontId="28" type="noConversion"/>
  </si>
  <si>
    <t>CHARLESTON</t>
    <phoneticPr fontId="28" type="noConversion"/>
  </si>
  <si>
    <t>IZMIT KORFEZI</t>
    <phoneticPr fontId="28" type="noConversion"/>
  </si>
  <si>
    <t>CHENNAI</t>
    <phoneticPr fontId="28" type="noConversion"/>
  </si>
  <si>
    <t>JIZZAKH</t>
    <phoneticPr fontId="28" type="noConversion"/>
  </si>
  <si>
    <t>KATTUPALLI</t>
    <phoneticPr fontId="28" type="noConversion"/>
  </si>
  <si>
    <t>LONG BEACH</t>
    <phoneticPr fontId="28" type="noConversion"/>
  </si>
  <si>
    <t>LOS ANGELES</t>
    <phoneticPr fontId="28" type="noConversion"/>
  </si>
  <si>
    <t>MALASZEWICZE</t>
    <phoneticPr fontId="28" type="noConversion"/>
  </si>
  <si>
    <t>MANZANILLO</t>
    <phoneticPr fontId="28" type="noConversion"/>
  </si>
  <si>
    <t>PENANG</t>
    <phoneticPr fontId="28" type="noConversion"/>
  </si>
  <si>
    <t>QINGDAO</t>
    <phoneticPr fontId="28" type="noConversion"/>
  </si>
  <si>
    <t>SAVANNAH</t>
    <phoneticPr fontId="28" type="noConversion"/>
  </si>
  <si>
    <t>SHANGHAI</t>
    <phoneticPr fontId="28" type="noConversion"/>
  </si>
  <si>
    <t>WEIHAI</t>
    <phoneticPr fontId="28" type="noConversion"/>
  </si>
  <si>
    <t>H000_KC</t>
    <phoneticPr fontId="28" type="noConversion"/>
  </si>
  <si>
    <t>H000_SM</t>
    <phoneticPr fontId="28" type="noConversion"/>
  </si>
  <si>
    <t>H000_YK</t>
    <phoneticPr fontId="28" type="noConversion"/>
  </si>
  <si>
    <t>H000_JB</t>
    <phoneticPr fontId="28" type="noConversion"/>
  </si>
  <si>
    <t>H000_KG</t>
    <phoneticPr fontId="28" type="noConversion"/>
  </si>
  <si>
    <t>H000_KY</t>
    <phoneticPr fontId="28" type="noConversion"/>
  </si>
  <si>
    <t>H000_U1</t>
    <phoneticPr fontId="28" type="noConversion"/>
  </si>
  <si>
    <t>H000_U2</t>
    <phoneticPr fontId="28" type="noConversion"/>
  </si>
  <si>
    <t>H000_YH</t>
    <phoneticPr fontId="28" type="noConversion"/>
  </si>
  <si>
    <t>H000_YP</t>
    <phoneticPr fontId="28" type="noConversion"/>
  </si>
  <si>
    <t>H000_YW</t>
    <phoneticPr fontId="28" type="noConversion"/>
  </si>
  <si>
    <t>H000_KA</t>
    <phoneticPr fontId="28" type="noConversion"/>
  </si>
  <si>
    <t>H000_BB</t>
    <phoneticPr fontId="28" type="noConversion"/>
  </si>
  <si>
    <t>H000_MK</t>
    <phoneticPr fontId="28" type="noConversion"/>
  </si>
  <si>
    <t>BUSAN(NEW)</t>
  </si>
  <si>
    <t>LONG BEACH, CA</t>
  </si>
  <si>
    <t>MONTEVIDEO</t>
  </si>
  <si>
    <t>유니팩(봉계)</t>
  </si>
  <si>
    <t>울산시 울주군 두서면 활천산업로 136</t>
  </si>
  <si>
    <t>유니팩_봉계(차체 및 의장)</t>
  </si>
  <si>
    <t>유니팩_직대통합포장장</t>
  </si>
  <si>
    <t>S013_EZC</t>
  </si>
  <si>
    <t>현대성우캐스팅(충주)</t>
  </si>
  <si>
    <t>충북 충주시 충주산단2로 83</t>
  </si>
  <si>
    <t>S013_M13</t>
  </si>
  <si>
    <t>충남 아산시 영인면 윤보선로 67</t>
  </si>
  <si>
    <t>경북 경주시 외동읍 제내사일길 59-49</t>
  </si>
  <si>
    <t>S009_H23</t>
  </si>
  <si>
    <t>파텍스(서산)</t>
  </si>
  <si>
    <t>충남 서산시 지곡면 무장길 29</t>
  </si>
  <si>
    <t>대한포장(현곡)</t>
  </si>
  <si>
    <t>M011_001</t>
  </si>
  <si>
    <t>S009_H28</t>
  </si>
  <si>
    <t>파텍스(익산)</t>
  </si>
  <si>
    <t>전북 익산시 석암로3길 17-26(용제동)</t>
  </si>
  <si>
    <t>S013_M01</t>
  </si>
  <si>
    <t>경주 IHL</t>
  </si>
  <si>
    <t>S013_M07</t>
  </si>
  <si>
    <t>김해 대호</t>
  </si>
  <si>
    <t>S013_M20</t>
  </si>
  <si>
    <t>S013_M12</t>
  </si>
  <si>
    <t>S013_M10</t>
  </si>
  <si>
    <t>아산 PNP</t>
  </si>
  <si>
    <t>S013_M17</t>
  </si>
  <si>
    <t>창원 하나비전</t>
  </si>
  <si>
    <t>S013_M15</t>
  </si>
  <si>
    <t>S013_M19</t>
  </si>
  <si>
    <t>S013_M030</t>
  </si>
  <si>
    <t>태양수출포장</t>
  </si>
  <si>
    <t>코드</t>
    <phoneticPr fontId="28" type="noConversion"/>
  </si>
  <si>
    <t>KELANG</t>
  </si>
  <si>
    <t>ContainerNo.</t>
  </si>
  <si>
    <t>SealNumber1</t>
  </si>
  <si>
    <t>ELS솔루션</t>
    <phoneticPr fontId="30" type="noConversion"/>
  </si>
  <si>
    <t>담당자</t>
  </si>
  <si>
    <t>GA1405</t>
  </si>
  <si>
    <t>KRKUV</t>
  </si>
  <si>
    <t>KRKAN</t>
  </si>
  <si>
    <t>HMGICS</t>
    <phoneticPr fontId="28" type="noConversion"/>
  </si>
  <si>
    <t>CAOA</t>
    <phoneticPr fontId="28" type="noConversion"/>
  </si>
  <si>
    <t>ULSAN(NEW)</t>
  </si>
  <si>
    <t>울산신항</t>
  </si>
  <si>
    <t>울산정일</t>
  </si>
  <si>
    <t>GUNSAN</t>
  </si>
  <si>
    <t>군산</t>
  </si>
  <si>
    <t>KRINC</t>
  </si>
  <si>
    <t>인천항국제여객터미널</t>
  </si>
  <si>
    <t>인천신항</t>
  </si>
  <si>
    <t>LAZARO CARDENAS</t>
  </si>
  <si>
    <t>02012014</t>
  </si>
  <si>
    <t>02012007</t>
  </si>
  <si>
    <t>02012018</t>
  </si>
  <si>
    <t>광양항관세자유지역(B015)</t>
  </si>
  <si>
    <t>FTL</t>
    <phoneticPr fontId="30" type="noConversion"/>
  </si>
  <si>
    <t>03077126</t>
  </si>
  <si>
    <t>HTWO</t>
  </si>
  <si>
    <t>S013_EZX</t>
  </si>
  <si>
    <t>동원글로벌터미널부산(DGT)</t>
    <phoneticPr fontId="18" type="noConversion"/>
  </si>
  <si>
    <t>경상북도 경주시 현곡면 안현로 464</t>
  </si>
  <si>
    <t>알트론</t>
  </si>
  <si>
    <t>우성(아산)</t>
  </si>
  <si>
    <t>모비스 AS아산센터</t>
  </si>
  <si>
    <t>주소</t>
    <phoneticPr fontId="28" type="noConversion"/>
  </si>
  <si>
    <t>인터지스 감만 터미널 (BGCT)</t>
    <phoneticPr fontId="18" type="noConversion"/>
  </si>
  <si>
    <t>KCTC-우암터미널 (UTC)</t>
    <phoneticPr fontId="18" type="noConversion"/>
  </si>
  <si>
    <t>인터지스 CY 7부두</t>
    <phoneticPr fontId="18" type="noConversion"/>
  </si>
  <si>
    <t>지역</t>
    <phoneticPr fontId="30" type="noConversion"/>
  </si>
  <si>
    <t>광양</t>
    <phoneticPr fontId="30" type="noConversion"/>
  </si>
  <si>
    <t>군산</t>
    <phoneticPr fontId="30" type="noConversion"/>
  </si>
  <si>
    <t>울산신항</t>
    <phoneticPr fontId="30" type="noConversion"/>
  </si>
  <si>
    <t>울산항</t>
    <phoneticPr fontId="30" type="noConversion"/>
  </si>
  <si>
    <t>포항</t>
    <phoneticPr fontId="30" type="noConversion"/>
  </si>
  <si>
    <t>의왕</t>
    <phoneticPr fontId="30" type="noConversion"/>
  </si>
  <si>
    <t>특이사항</t>
    <phoneticPr fontId="30" type="noConversion"/>
  </si>
  <si>
    <t>부산컨테이너터미널 (BCT)</t>
    <phoneticPr fontId="30" type="noConversion"/>
  </si>
  <si>
    <t>선광신컨테이너터미널 보세창고</t>
  </si>
  <si>
    <t>E1 컨테이너터미널 (북항)</t>
  </si>
  <si>
    <t>인천 국제여객터미널 보세창고 (북항)</t>
  </si>
  <si>
    <t>인천/북항</t>
    <phoneticPr fontId="30" type="noConversion"/>
  </si>
  <si>
    <t>부산 북항</t>
    <phoneticPr fontId="30" type="noConversion"/>
  </si>
  <si>
    <t>부산 신항</t>
    <phoneticPr fontId="30" type="noConversion"/>
  </si>
  <si>
    <t>평택당진항내항동부두(#1,2,3)CY</t>
    <phoneticPr fontId="30" type="noConversion"/>
  </si>
  <si>
    <t xml:space="preserve">
북항</t>
    <phoneticPr fontId="30" type="noConversion"/>
  </si>
  <si>
    <t>광주광역시 북구 첨단연신로 279 (안전운임상 양산동 / 연제동)</t>
    <phoneticPr fontId="28" type="noConversion"/>
  </si>
  <si>
    <t>광주광역시 광산구 어등대로 658 (어룡동 / 소촌동 센터 단가동일)</t>
    <phoneticPr fontId="28" type="noConversion"/>
  </si>
  <si>
    <t>경기도 평택시 팽성읍 추팔산단 1길 64</t>
    <phoneticPr fontId="28" type="noConversion"/>
  </si>
  <si>
    <t>경기도 평택시 오성면 오성서로 168</t>
    <phoneticPr fontId="28" type="noConversion"/>
  </si>
  <si>
    <t>GA1453</t>
  </si>
  <si>
    <t>GA2668</t>
  </si>
  <si>
    <t>FTL</t>
  </si>
  <si>
    <t>03012010</t>
    <phoneticPr fontId="30" type="noConversion"/>
  </si>
  <si>
    <t>신감만 한국허치슨(주)컨테이너</t>
    <phoneticPr fontId="30" type="noConversion"/>
  </si>
  <si>
    <r>
      <t>H000_SM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</si>
  <si>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H000_YK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</si>
  <si>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H000_YW</t>
    </r>
    <r>
      <rPr>
        <b/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</si>
  <si>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 xml:space="preserve">경북 경주시 </t>
    </r>
    <r>
      <rPr>
        <b/>
        <sz val="10"/>
        <color theme="1"/>
        <rFont val="맑은 고딕"/>
        <family val="3"/>
        <charset val="129"/>
        <scheme val="minor"/>
      </rPr>
      <t>외동읍</t>
    </r>
    <r>
      <rPr>
        <sz val="10"/>
        <color theme="1"/>
        <rFont val="맑은 고딕"/>
        <family val="3"/>
        <charset val="129"/>
        <scheme val="minor"/>
      </rPr>
      <t xml:space="preserve"> 구어리 1414-2 (구어리)
경북경주시 외동읍 구어2산단로 1길 161</t>
    </r>
    <phoneticPr fontId="28" type="noConversion"/>
  </si>
  <si>
    <t>IH01</t>
  </si>
  <si>
    <t>UM07</t>
  </si>
  <si>
    <t>B000007246</t>
    <phoneticPr fontId="30" type="noConversion"/>
  </si>
  <si>
    <t>포장장</t>
    <phoneticPr fontId="28" type="noConversion"/>
  </si>
  <si>
    <t>POSORJA</t>
  </si>
  <si>
    <t>KARACHI</t>
  </si>
  <si>
    <t>7부두</t>
    <phoneticPr fontId="30" type="noConversion"/>
  </si>
  <si>
    <t>신선대</t>
    <phoneticPr fontId="30" type="noConversion"/>
  </si>
  <si>
    <t>감만</t>
    <phoneticPr fontId="30" type="noConversion"/>
  </si>
  <si>
    <t>오부두</t>
    <phoneticPr fontId="30" type="noConversion"/>
  </si>
  <si>
    <t>동부감만</t>
    <phoneticPr fontId="30" type="noConversion"/>
  </si>
  <si>
    <t>BCT</t>
    <phoneticPr fontId="30" type="noConversion"/>
  </si>
  <si>
    <t>한진</t>
    <phoneticPr fontId="30" type="noConversion"/>
  </si>
  <si>
    <t>현대</t>
    <phoneticPr fontId="30" type="noConversion"/>
  </si>
  <si>
    <t>국제</t>
    <phoneticPr fontId="30" type="noConversion"/>
  </si>
  <si>
    <t>고려</t>
    <phoneticPr fontId="30" type="noConversion"/>
  </si>
  <si>
    <t>부산</t>
    <phoneticPr fontId="30" type="noConversion"/>
  </si>
  <si>
    <t>다목적</t>
    <phoneticPr fontId="30" type="noConversion"/>
  </si>
  <si>
    <t>동원</t>
    <phoneticPr fontId="30" type="noConversion"/>
  </si>
  <si>
    <t>부산 남구 우암로 225</t>
  </si>
  <si>
    <t>신감만오부두</t>
    <phoneticPr fontId="30" type="noConversion"/>
  </si>
  <si>
    <t>GA0233</t>
  </si>
  <si>
    <t>EA03</t>
  </si>
  <si>
    <t>평택</t>
    <phoneticPr fontId="30" type="noConversion"/>
  </si>
  <si>
    <t>한진부산컨테이너터미널 (HJNC)</t>
    <phoneticPr fontId="30" type="noConversion"/>
  </si>
  <si>
    <t>현대부산신항만 (HPNT)</t>
    <phoneticPr fontId="30" type="noConversion"/>
  </si>
  <si>
    <t>포장장</t>
  </si>
  <si>
    <r>
      <t xml:space="preserve">충남 아산시 신창면 서부북로 397-8 </t>
    </r>
    <r>
      <rPr>
        <sz val="10"/>
        <color rgb="FFFF0000"/>
        <rFont val="맑은 고딕"/>
        <family val="3"/>
        <charset val="129"/>
        <scheme val="minor"/>
      </rPr>
      <t xml:space="preserve">(3공장) </t>
    </r>
    <phoneticPr fontId="28" type="noConversion"/>
  </si>
  <si>
    <r>
      <t xml:space="preserve">충남 아산시 신창면 서부북로 82  </t>
    </r>
    <r>
      <rPr>
        <b/>
        <sz val="10"/>
        <color rgb="FFFF0000"/>
        <rFont val="맑은 고딕"/>
        <family val="3"/>
        <charset val="129"/>
        <scheme val="minor"/>
      </rPr>
      <t>(2공장)</t>
    </r>
    <phoneticPr fontId="28" type="noConversion"/>
  </si>
  <si>
    <t>파키스탄</t>
    <phoneticPr fontId="28" type="noConversion"/>
  </si>
  <si>
    <t>PKPCT</t>
    <phoneticPr fontId="28" type="noConversion"/>
  </si>
  <si>
    <t>이집트</t>
    <phoneticPr fontId="28" type="noConversion"/>
  </si>
  <si>
    <t xml:space="preserve">EGDAM </t>
    <phoneticPr fontId="28" type="noConversion"/>
  </si>
  <si>
    <t>두바이</t>
    <phoneticPr fontId="28" type="noConversion"/>
  </si>
  <si>
    <t>AEDXB</t>
    <phoneticPr fontId="28" type="noConversion"/>
  </si>
  <si>
    <t>시드니</t>
    <phoneticPr fontId="28" type="noConversion"/>
  </si>
  <si>
    <t xml:space="preserve">AUSYD </t>
    <phoneticPr fontId="28" type="noConversion"/>
  </si>
  <si>
    <t>러시아</t>
    <phoneticPr fontId="28" type="noConversion"/>
  </si>
  <si>
    <t>SAINT PETERSBURG</t>
    <phoneticPr fontId="28" type="noConversion"/>
  </si>
  <si>
    <t>RULED</t>
    <phoneticPr fontId="28" type="noConversion"/>
  </si>
  <si>
    <t>아틀란타</t>
    <phoneticPr fontId="28" type="noConversion"/>
  </si>
  <si>
    <t>ATL</t>
    <phoneticPr fontId="28" type="noConversion"/>
  </si>
  <si>
    <t>라오스</t>
    <phoneticPr fontId="28" type="noConversion"/>
  </si>
  <si>
    <t>LASAV</t>
    <phoneticPr fontId="28" type="noConversion"/>
  </si>
  <si>
    <t>멀캄</t>
    <phoneticPr fontId="28" type="noConversion"/>
  </si>
  <si>
    <t>CAMAK</t>
    <phoneticPr fontId="28" type="noConversion"/>
  </si>
  <si>
    <t>USMIA</t>
    <phoneticPr fontId="28" type="noConversion"/>
  </si>
  <si>
    <t>오하이오</t>
    <phoneticPr fontId="28" type="noConversion"/>
  </si>
  <si>
    <t>FOH</t>
    <phoneticPr fontId="28" type="noConversion"/>
  </si>
  <si>
    <t>함부르크, 독일</t>
    <phoneticPr fontId="28" type="noConversion"/>
  </si>
  <si>
    <t xml:space="preserve">DEHAM </t>
    <phoneticPr fontId="28" type="noConversion"/>
  </si>
  <si>
    <t>GBSOU</t>
    <phoneticPr fontId="28" type="noConversion"/>
  </si>
  <si>
    <t>USTIW</t>
    <phoneticPr fontId="28" type="noConversion"/>
  </si>
  <si>
    <t>스페인</t>
    <phoneticPr fontId="28" type="noConversion"/>
  </si>
  <si>
    <t>ESVLC</t>
    <phoneticPr fontId="28" type="noConversion"/>
  </si>
  <si>
    <t>USRCH</t>
    <phoneticPr fontId="28" type="noConversion"/>
  </si>
  <si>
    <t>영국</t>
    <phoneticPr fontId="28" type="noConversion"/>
  </si>
  <si>
    <t>ITGOA</t>
    <phoneticPr fontId="28" type="noConversion"/>
  </si>
  <si>
    <t>AUFRE</t>
    <phoneticPr fontId="28" type="noConversion"/>
  </si>
  <si>
    <t>HUBUD</t>
    <phoneticPr fontId="28" type="noConversion"/>
  </si>
  <si>
    <t>달라스</t>
    <phoneticPr fontId="28" type="noConversion"/>
  </si>
  <si>
    <t>USDAL</t>
    <phoneticPr fontId="28" type="noConversion"/>
  </si>
  <si>
    <t>더반</t>
    <phoneticPr fontId="28" type="noConversion"/>
  </si>
  <si>
    <t>ZADUR</t>
    <phoneticPr fontId="28" type="noConversion"/>
  </si>
  <si>
    <t>카자흐스탄</t>
    <phoneticPr fontId="28" type="noConversion"/>
  </si>
  <si>
    <t>KZPRA</t>
    <phoneticPr fontId="28" type="noConversion"/>
  </si>
  <si>
    <t>이스라엘</t>
    <phoneticPr fontId="28" type="noConversion"/>
  </si>
  <si>
    <t>ILMSP</t>
    <phoneticPr fontId="28" type="noConversion"/>
  </si>
  <si>
    <t>체코</t>
    <phoneticPr fontId="28" type="noConversion"/>
  </si>
  <si>
    <t>시카고</t>
    <phoneticPr fontId="28" type="noConversion"/>
  </si>
  <si>
    <t>USCHI</t>
    <phoneticPr fontId="28" type="noConversion"/>
  </si>
  <si>
    <t>뉴욕(사우스윈져, 제임스버그)</t>
    <phoneticPr fontId="28" type="noConversion"/>
  </si>
  <si>
    <t>USJFK</t>
    <phoneticPr fontId="28" type="noConversion"/>
  </si>
  <si>
    <t>브레머하벤</t>
    <phoneticPr fontId="28" type="noConversion"/>
  </si>
  <si>
    <t>MONTEVIDEO</t>
    <phoneticPr fontId="28" type="noConversion"/>
  </si>
  <si>
    <t>UYMVD</t>
    <phoneticPr fontId="28" type="noConversion"/>
  </si>
  <si>
    <t>타지키스탄</t>
    <phoneticPr fontId="28" type="noConversion"/>
  </si>
  <si>
    <t>TJDUS</t>
    <phoneticPr fontId="28" type="noConversion"/>
  </si>
  <si>
    <t>Tadzhikistan</t>
    <phoneticPr fontId="28" type="noConversion"/>
  </si>
  <si>
    <t>NANTONG</t>
    <phoneticPr fontId="28" type="noConversion"/>
  </si>
  <si>
    <t>POSORJA</t>
    <phoneticPr fontId="28" type="noConversion"/>
  </si>
  <si>
    <t>ECPSJ</t>
    <phoneticPr fontId="28" type="noConversion"/>
  </si>
  <si>
    <t>NHAVA SHEVA</t>
    <phoneticPr fontId="28" type="noConversion"/>
  </si>
  <si>
    <t>INNSA</t>
    <phoneticPr fontId="28" type="noConversion"/>
  </si>
  <si>
    <t>Chittagong</t>
    <phoneticPr fontId="28" type="noConversion"/>
  </si>
  <si>
    <t>GUAYAQUIL</t>
    <phoneticPr fontId="28" type="noConversion"/>
  </si>
  <si>
    <t>ECGYE</t>
    <phoneticPr fontId="28" type="noConversion"/>
  </si>
  <si>
    <t>KARACHI</t>
    <phoneticPr fontId="28" type="noConversion"/>
  </si>
  <si>
    <t>KLMKA</t>
    <phoneticPr fontId="28" type="noConversion"/>
  </si>
  <si>
    <t>Chile</t>
    <phoneticPr fontId="28" type="noConversion"/>
  </si>
  <si>
    <t>칠레</t>
    <phoneticPr fontId="28" type="noConversion"/>
  </si>
  <si>
    <t>DAMIETTA</t>
    <phoneticPr fontId="28" type="noConversion"/>
  </si>
  <si>
    <t>EGDAM</t>
    <phoneticPr fontId="28" type="noConversion"/>
  </si>
  <si>
    <t>ALMATY</t>
    <phoneticPr fontId="28" type="noConversion"/>
  </si>
  <si>
    <t>KZALA</t>
    <phoneticPr fontId="28" type="noConversion"/>
  </si>
  <si>
    <t>EVYAP</t>
    <phoneticPr fontId="28" type="noConversion"/>
  </si>
  <si>
    <t>IZMIT</t>
    <phoneticPr fontId="28" type="noConversion"/>
  </si>
  <si>
    <t>CLSAI</t>
  </si>
  <si>
    <t>KRONSHTADT</t>
    <phoneticPr fontId="28" type="noConversion"/>
  </si>
  <si>
    <t xml:space="preserve">RUKDT </t>
    <phoneticPr fontId="28" type="noConversion"/>
  </si>
  <si>
    <t>BRONKA</t>
    <phoneticPr fontId="28" type="noConversion"/>
  </si>
  <si>
    <t>RUBNK</t>
    <phoneticPr fontId="28" type="noConversion"/>
  </si>
  <si>
    <t>VLADIVOSTOK</t>
    <phoneticPr fontId="28" type="noConversion"/>
  </si>
  <si>
    <t xml:space="preserve">RUVVO </t>
    <phoneticPr fontId="28" type="noConversion"/>
  </si>
  <si>
    <t>RUVYP</t>
    <phoneticPr fontId="28" type="noConversion"/>
  </si>
  <si>
    <t>VOSTOCHNIY</t>
    <phoneticPr fontId="28" type="noConversion"/>
  </si>
  <si>
    <t>인천여객</t>
    <phoneticPr fontId="30" type="noConversion"/>
  </si>
  <si>
    <t>H000_JC</t>
    <phoneticPr fontId="28" type="noConversion"/>
  </si>
  <si>
    <t>울산광역시 울주군 두서면 활천 산업로 136 (활천리)</t>
    <phoneticPr fontId="28" type="noConversion"/>
  </si>
  <si>
    <t>PROCON</t>
  </si>
  <si>
    <t>Webasto Mexico</t>
  </si>
  <si>
    <t>F000018979</t>
  </si>
  <si>
    <t>UH03</t>
  </si>
  <si>
    <t>MH03</t>
  </si>
  <si>
    <t>S0091</t>
  </si>
  <si>
    <t>GA0196</t>
  </si>
  <si>
    <t>GA1302</t>
  </si>
  <si>
    <t>USHS</t>
  </si>
  <si>
    <t>GA0011</t>
  </si>
  <si>
    <t>GA2982</t>
  </si>
  <si>
    <t>GA2717</t>
  </si>
  <si>
    <t>HMB</t>
  </si>
  <si>
    <t>HMCIST</t>
  </si>
  <si>
    <t>VH07</t>
  </si>
  <si>
    <t>VNHPH</t>
  </si>
  <si>
    <t>F000018228</t>
  </si>
  <si>
    <t>GA0151</t>
  </si>
  <si>
    <t>G001</t>
  </si>
  <si>
    <t>CC54</t>
  </si>
  <si>
    <t>GLAPS</t>
    <phoneticPr fontId="30" type="noConversion"/>
  </si>
  <si>
    <t>KRBNP</t>
    <phoneticPr fontId="30" type="noConversion"/>
  </si>
  <si>
    <t>GENOA</t>
    <phoneticPr fontId="28" type="noConversion"/>
  </si>
  <si>
    <t>운송사</t>
  </si>
  <si>
    <t>배차시간</t>
  </si>
  <si>
    <t>구분(오전,오후)</t>
  </si>
  <si>
    <t>실출하지</t>
  </si>
  <si>
    <t>고객사</t>
  </si>
  <si>
    <t>선사</t>
  </si>
  <si>
    <t>사이즈</t>
  </si>
  <si>
    <t>국가(도착항)</t>
  </si>
  <si>
    <t>40HC</t>
  </si>
  <si>
    <t>편성넘버</t>
  </si>
  <si>
    <t>오더구분</t>
    <phoneticPr fontId="18" type="noConversion"/>
  </si>
  <si>
    <t>선사명</t>
    <phoneticPr fontId="18" type="noConversion"/>
  </si>
  <si>
    <t>화주사 코드</t>
    <phoneticPr fontId="18" type="noConversion"/>
  </si>
  <si>
    <t>화주사명</t>
    <phoneticPr fontId="18" type="noConversion"/>
  </si>
  <si>
    <t xml:space="preserve">반출지(출발)코드 </t>
    <phoneticPr fontId="18" type="noConversion"/>
  </si>
  <si>
    <t>작업지(하차지)코드</t>
    <phoneticPr fontId="18" type="noConversion"/>
  </si>
  <si>
    <t>반입지(도착)코드</t>
    <phoneticPr fontId="18" type="noConversion"/>
  </si>
  <si>
    <t>운송경로 코드</t>
    <phoneticPr fontId="18" type="noConversion"/>
  </si>
  <si>
    <t xml:space="preserve">운송서비스 코드 </t>
    <phoneticPr fontId="18" type="noConversion"/>
  </si>
  <si>
    <t>운송서비스명</t>
    <phoneticPr fontId="18" type="noConversion"/>
  </si>
  <si>
    <t>운송사 코드</t>
    <phoneticPr fontId="18" type="noConversion"/>
  </si>
  <si>
    <t>운송사명</t>
    <phoneticPr fontId="18" type="noConversion"/>
  </si>
  <si>
    <t>부킹번호</t>
    <phoneticPr fontId="18" type="noConversion"/>
  </si>
  <si>
    <t>B/L</t>
    <phoneticPr fontId="18" type="noConversion"/>
  </si>
  <si>
    <t>컨테이너 번호</t>
    <phoneticPr fontId="18" type="noConversion"/>
  </si>
  <si>
    <t>MRN</t>
    <phoneticPr fontId="18" type="noConversion"/>
  </si>
  <si>
    <t>POL</t>
    <phoneticPr fontId="18" type="noConversion"/>
  </si>
  <si>
    <t>최종목적지</t>
    <phoneticPr fontId="18" type="noConversion"/>
  </si>
  <si>
    <t>ETA</t>
    <phoneticPr fontId="18" type="noConversion"/>
  </si>
  <si>
    <t>ETD</t>
    <phoneticPr fontId="18" type="noConversion"/>
  </si>
  <si>
    <t xml:space="preserve">DOC </t>
    <phoneticPr fontId="18" type="noConversion"/>
  </si>
  <si>
    <t xml:space="preserve">CGO </t>
    <phoneticPr fontId="18" type="noConversion"/>
  </si>
  <si>
    <t>실화주사 코드</t>
    <phoneticPr fontId="18" type="noConversion"/>
  </si>
  <si>
    <t>실화주사명</t>
    <phoneticPr fontId="18" type="noConversion"/>
  </si>
  <si>
    <t>포워더 코드</t>
    <phoneticPr fontId="18" type="noConversion"/>
  </si>
  <si>
    <t>포워더명</t>
    <phoneticPr fontId="18" type="noConversion"/>
  </si>
  <si>
    <t>선사항차</t>
    <phoneticPr fontId="18" type="noConversion"/>
  </si>
  <si>
    <t>모선코드</t>
    <phoneticPr fontId="18" type="noConversion"/>
  </si>
  <si>
    <t>반출기한</t>
    <phoneticPr fontId="18" type="noConversion"/>
  </si>
  <si>
    <t>모선항차</t>
    <phoneticPr fontId="18" type="noConversion"/>
  </si>
  <si>
    <t>모선명</t>
    <phoneticPr fontId="18" type="noConversion"/>
  </si>
  <si>
    <t>선적지</t>
    <phoneticPr fontId="18" type="noConversion"/>
  </si>
  <si>
    <t>터미널</t>
    <phoneticPr fontId="18" type="noConversion"/>
  </si>
  <si>
    <t>양하터미널</t>
    <phoneticPr fontId="18" type="noConversion"/>
  </si>
  <si>
    <t>반출예약</t>
    <phoneticPr fontId="18" type="noConversion"/>
  </si>
  <si>
    <t>냉동 여부</t>
    <phoneticPr fontId="18" type="noConversion"/>
  </si>
  <si>
    <t xml:space="preserve">위험물 여부 </t>
    <phoneticPr fontId="18" type="noConversion"/>
  </si>
  <si>
    <t>FREE TIME</t>
    <phoneticPr fontId="18" type="noConversion"/>
  </si>
  <si>
    <t>공컨반납기한</t>
    <phoneticPr fontId="18" type="noConversion"/>
  </si>
  <si>
    <t>반출CY</t>
    <phoneticPr fontId="18" type="noConversion"/>
  </si>
  <si>
    <t>반입CY</t>
    <phoneticPr fontId="18" type="noConversion"/>
  </si>
  <si>
    <t>ODCY업체코드</t>
    <phoneticPr fontId="18" type="noConversion"/>
  </si>
  <si>
    <t>선픽업</t>
    <phoneticPr fontId="18" type="noConversion"/>
  </si>
  <si>
    <t>컨사이니</t>
    <phoneticPr fontId="28" type="noConversion"/>
  </si>
  <si>
    <t>할증 1</t>
    <phoneticPr fontId="28" type="noConversion"/>
  </si>
  <si>
    <t>할증 2</t>
  </si>
  <si>
    <t>할증 3</t>
  </si>
  <si>
    <t>할증 4</t>
  </si>
  <si>
    <t>할증 5</t>
  </si>
  <si>
    <t>오더등록자명</t>
    <phoneticPr fontId="18" type="noConversion"/>
  </si>
  <si>
    <t>오더등록자연락처</t>
    <phoneticPr fontId="18" type="noConversion"/>
  </si>
  <si>
    <t>오더등록업체코드</t>
    <phoneticPr fontId="18" type="noConversion"/>
  </si>
  <si>
    <t>오더등록자이메일</t>
    <phoneticPr fontId="18" type="noConversion"/>
  </si>
  <si>
    <t>통지사항</t>
    <phoneticPr fontId="18" type="noConversion"/>
  </si>
  <si>
    <t>CKD</t>
    <phoneticPr fontId="28" type="noConversion"/>
  </si>
  <si>
    <t>아산1센터</t>
    <phoneticPr fontId="28" type="noConversion"/>
  </si>
  <si>
    <t>아산2센터</t>
    <phoneticPr fontId="28" type="noConversion"/>
  </si>
  <si>
    <t>3공장</t>
    <phoneticPr fontId="28" type="noConversion"/>
  </si>
  <si>
    <t>2공장</t>
    <phoneticPr fontId="28" type="noConversion"/>
  </si>
  <si>
    <t>팽성공장</t>
    <phoneticPr fontId="28" type="noConversion"/>
  </si>
  <si>
    <t>오성공장</t>
    <phoneticPr fontId="28" type="noConversion"/>
  </si>
  <si>
    <t>전북 완주군 봉동읍 완주산단7로 107</t>
    <phoneticPr fontId="28" type="noConversion"/>
  </si>
  <si>
    <t>뷰텍2포장장</t>
    <phoneticPr fontId="28" type="noConversion"/>
  </si>
  <si>
    <t>전라북도 완주군 봉동읍 완주산단2로 268</t>
    <phoneticPr fontId="28" type="noConversion"/>
  </si>
  <si>
    <t>뷰텍1포장장</t>
    <phoneticPr fontId="28" type="noConversion"/>
  </si>
  <si>
    <t>광주광역시 평동산단10번로 19</t>
    <phoneticPr fontId="28" type="noConversion"/>
  </si>
  <si>
    <t>MIP</t>
    <phoneticPr fontId="28" type="noConversion"/>
  </si>
  <si>
    <t>서영(경주)</t>
  </si>
  <si>
    <t>경북 경주시 외동읍 문산리282</t>
  </si>
  <si>
    <t>　</t>
  </si>
  <si>
    <t>서영(아산)</t>
  </si>
  <si>
    <t>충남 아산시 인주면 걸매리 1020</t>
  </si>
  <si>
    <t>울산공장</t>
  </si>
  <si>
    <t>울산광역시 북구 효문동 염포로 700</t>
  </si>
  <si>
    <t>아산공장</t>
  </si>
  <si>
    <t>충남 아산시 인주면 현대로 1077</t>
  </si>
  <si>
    <t>아산 대한</t>
  </si>
  <si>
    <t>충남 아산시 인주면 아산호로 95</t>
  </si>
  <si>
    <t>충남 아산시 선장면 삽교천로 2-24</t>
  </si>
  <si>
    <t>아산 우성테크</t>
  </si>
  <si>
    <t>동우(모화)</t>
  </si>
  <si>
    <t>S009_H14</t>
  </si>
  <si>
    <t>경북 경주시 외동읍 모화산단길 114</t>
  </si>
  <si>
    <t>동우(문산)</t>
  </si>
  <si>
    <t>경북 경주시 외동읍 문산공단길 84-105</t>
  </si>
  <si>
    <t>동우(메탈)</t>
  </si>
  <si>
    <t>경북 경주시 외동읍 문산공단길 84-202</t>
  </si>
  <si>
    <t>동우(입실)</t>
  </si>
  <si>
    <t>경북 경주시 외동읍 입실리 1172-8</t>
  </si>
  <si>
    <t>동우(명성)</t>
  </si>
  <si>
    <t>경북 경주시 외동읍 문산공단길 84-250</t>
  </si>
  <si>
    <t>동우(세웅)</t>
  </si>
  <si>
    <t>경북 경주시 외동읍 문산공단 안길 7-10</t>
  </si>
  <si>
    <t>대한포장(울산1공장)</t>
  </si>
  <si>
    <t>울산광역시 울주군 청량읍 처용산업3길 74(용암리 933)</t>
  </si>
  <si>
    <t>대한포장(울산2공장)</t>
  </si>
  <si>
    <t>울산광역시 울주군 온산읍 처용산업 3길 30-27</t>
  </si>
  <si>
    <t>대한포장(울산3공장)</t>
  </si>
  <si>
    <t>울산광역시 울주군 온산읍 처용산업 3길 30-36</t>
  </si>
  <si>
    <t>경북 경주시 외동읍 외남로 1704-39 </t>
  </si>
  <si>
    <t>대한포장(경주2공장_봉계)</t>
  </si>
  <si>
    <t>울산광역시 울주군 두동면 봉계농공길 41</t>
  </si>
  <si>
    <t>유니팩봉계, 직대포장장</t>
  </si>
  <si>
    <t>유니팩경주</t>
  </si>
  <si>
    <t>유니팩(경주)</t>
  </si>
  <si>
    <t>경주시 외동읍 문산공단길 84-206</t>
  </si>
  <si>
    <t>유니팩(경주,외동,문산,입실)</t>
  </si>
  <si>
    <t>유니팩(입실)</t>
  </si>
  <si>
    <t>유니팩(문산)</t>
  </si>
  <si>
    <t>유니팩(외동)</t>
  </si>
  <si>
    <t>대한포장(경주)</t>
  </si>
  <si>
    <t>S009_H18</t>
  </si>
  <si>
    <t>경주대한(경주,외동,문산,입실)</t>
  </si>
  <si>
    <t>핸즈코퍼레이션</t>
  </si>
  <si>
    <t>경북 경주시 외동읍 문산공단길 84-206 신뢰기업 경주공장</t>
  </si>
  <si>
    <t>경기도 평택시 포승읍 평택항로 156번길 87</t>
  </si>
  <si>
    <t>서영(용연)</t>
  </si>
  <si>
    <t>울산광역시 남구 선암동 186-3</t>
  </si>
  <si>
    <t>용연서영</t>
  </si>
  <si>
    <t>서영(여천)</t>
  </si>
  <si>
    <t>울산광역시 남구 여천동 426-27</t>
  </si>
  <si>
    <t>여천서영</t>
  </si>
  <si>
    <t>대호물류(아산)</t>
  </si>
  <si>
    <t>대호물류(경주)</t>
  </si>
  <si>
    <t>S013_M03</t>
  </si>
  <si>
    <t>S009_H27</t>
  </si>
  <si>
    <t>넥센타이어</t>
  </si>
  <si>
    <t>S009_H29</t>
  </si>
  <si>
    <t>울산광역시 울주군 삼남면 하방로 77 (주)넥센</t>
  </si>
  <si>
    <t>서영(전주)</t>
  </si>
  <si>
    <t>전북 완주군 봉동읍 테크노밸리1로 49</t>
  </si>
  <si>
    <t>서영(부산)</t>
  </si>
  <si>
    <t>부산광역시 강서구 생곡산단1로 24번길 51</t>
  </si>
  <si>
    <t>서영(익산)</t>
  </si>
  <si>
    <t>서영(용연)-파텍스(서산)</t>
  </si>
  <si>
    <t>S009_H21_23</t>
  </si>
  <si>
    <t>파텍스(서산)-의왕ICD</t>
  </si>
  <si>
    <t>S009_H23_UW</t>
  </si>
  <si>
    <t>서양(아산)-의왕ICD</t>
  </si>
  <si>
    <t>S009_H02_UW</t>
  </si>
  <si>
    <t>대한포장(청량)-서산파텍스</t>
  </si>
  <si>
    <t>S009_H17_23</t>
  </si>
  <si>
    <t>S009_H14_23</t>
  </si>
  <si>
    <t>동우(경주)-서산파텍스</t>
  </si>
  <si>
    <t>유니팩(봉계)-서산파텍스</t>
  </si>
  <si>
    <t>S009_H15_23</t>
  </si>
  <si>
    <t>경림(아산)-의왕ICD</t>
  </si>
  <si>
    <t>H000_YK_UW</t>
  </si>
  <si>
    <t>대한포장(아산)-의왕ICD</t>
  </si>
  <si>
    <t>S009_H11_UW</t>
  </si>
  <si>
    <t>유니팩(경주)-서산파텍스</t>
  </si>
  <si>
    <t>S009_H16_23</t>
  </si>
  <si>
    <t>현대모비스 (AS,모듈)</t>
    <phoneticPr fontId="28" type="noConversion"/>
  </si>
  <si>
    <t>김제 PMI 코리아 산업</t>
  </si>
  <si>
    <t>전라북도 김제시 만경읍 대동리 1137</t>
  </si>
  <si>
    <t>충청남도 아산시 영인면 신봉리 840-2</t>
  </si>
  <si>
    <t>천안수출물류센터</t>
  </si>
  <si>
    <t>충남 천안시 서북구 입장면 용정리 235-11</t>
  </si>
  <si>
    <t>경주 SDP</t>
    <phoneticPr fontId="29" type="noConversion"/>
  </si>
  <si>
    <t>경상북도 경주시 외동읍 구어리 12-53</t>
  </si>
  <si>
    <t>모비스 AS울산1센터</t>
  </si>
  <si>
    <t>울산광역시 북구 염포동 265</t>
  </si>
  <si>
    <t>울산2 도크</t>
  </si>
  <si>
    <t>울산광역시 남구 매암동 393번지(야음장생포동)</t>
  </si>
  <si>
    <t>울산2 임시창고</t>
  </si>
  <si>
    <t>울산광역시 남구 황성동 842-2(선암동)</t>
  </si>
  <si>
    <t>울산2 범퍼</t>
  </si>
  <si>
    <t>모비스 AS울산3센터</t>
  </si>
  <si>
    <t>울산광역시 남구 장생포동 323(야음장생포동)</t>
  </si>
  <si>
    <t>울산(서영)</t>
    <phoneticPr fontId="29" type="noConversion"/>
  </si>
  <si>
    <t>울산광역시 남구 성암동 186-3</t>
  </si>
  <si>
    <t>닷썸</t>
    <phoneticPr fontId="29" type="noConversion"/>
  </si>
  <si>
    <t>S013_PAT</t>
  </si>
  <si>
    <t xml:space="preserve">경기도 파주시 탄현면 웅지로 44-78 </t>
  </si>
  <si>
    <t>경상북도 경주시 외동읍 문산공단길 215</t>
  </si>
  <si>
    <t>아산 서영</t>
  </si>
  <si>
    <t>충청남도 아산시 인주면 인주산단로 151</t>
  </si>
  <si>
    <t>울산 서영(울산 여천)</t>
  </si>
  <si>
    <t>울산광역시 남구 야음장생포동</t>
  </si>
  <si>
    <t>경주 대호</t>
  </si>
  <si>
    <t>경상북도 경주시 외동읍 제내리 903-26</t>
  </si>
  <si>
    <t>울산 서영(울산 용연)</t>
  </si>
  <si>
    <t>울산광역시 남구 성암동 186-3(선암동)</t>
  </si>
  <si>
    <t>경상남도 창원시 성산구 성산동 43(웅남동)</t>
  </si>
  <si>
    <t>김천 모비스</t>
  </si>
  <si>
    <t>S013_M06</t>
  </si>
  <si>
    <t>경상북도 김천시 대신동 1020 번지</t>
  </si>
  <si>
    <t>경상남도 김해시 진례면 고모리 1562-14</t>
  </si>
  <si>
    <t>김해 대호(신규공장)</t>
  </si>
  <si>
    <t>경남 김해시 풍유동 1006-14</t>
  </si>
  <si>
    <t>서산 서영</t>
    <phoneticPr fontId="29" type="noConversion"/>
  </si>
  <si>
    <t xml:space="preserve">충남 서산시 지곡면 무장산업로 201-100 </t>
  </si>
  <si>
    <t>충남 아산시 둔포면 석곡길 40-49</t>
  </si>
  <si>
    <t>아산 대호</t>
  </si>
  <si>
    <t>충청남도 아산시 영인면 신봉리 80-1</t>
  </si>
  <si>
    <t>전라북도 완주군 봉동읍 완주산단8로 45</t>
  </si>
  <si>
    <t>울산시 울주군 웅촌면 당고개1길 42-32</t>
  </si>
  <si>
    <t>성력</t>
  </si>
  <si>
    <t>S013_M031</t>
  </si>
  <si>
    <t>천안친환경물류센터</t>
  </si>
  <si>
    <t>EEA(H)</t>
    <phoneticPr fontId="28" type="noConversion"/>
  </si>
  <si>
    <t>충남 천안시 서북구 성환읍 율금리 775-7</t>
    <phoneticPr fontId="28" type="noConversion"/>
  </si>
  <si>
    <t>7/1일부 출하발생 예정</t>
    <phoneticPr fontId="28" type="noConversion"/>
  </si>
  <si>
    <t>EEK(K)</t>
    <phoneticPr fontId="28" type="noConversion"/>
  </si>
  <si>
    <t>지역</t>
    <phoneticPr fontId="28" type="noConversion"/>
  </si>
  <si>
    <t>GA3067</t>
  </si>
  <si>
    <t>F000018551</t>
  </si>
  <si>
    <t>I584</t>
  </si>
  <si>
    <t>DH02</t>
  </si>
  <si>
    <t>GA2327</t>
  </si>
  <si>
    <t>GA2355</t>
  </si>
  <si>
    <t>MC09</t>
  </si>
  <si>
    <t>LA4080</t>
  </si>
  <si>
    <t>GA1328</t>
  </si>
  <si>
    <t>GA2797</t>
  </si>
  <si>
    <t>GA1111</t>
  </si>
  <si>
    <t>YSIND</t>
  </si>
  <si>
    <t>GA2993</t>
  </si>
  <si>
    <t>GA2814</t>
  </si>
  <si>
    <t>F000018555</t>
  </si>
  <si>
    <t>SJAL</t>
  </si>
  <si>
    <t>GA2704</t>
  </si>
  <si>
    <t>GA2678</t>
  </si>
  <si>
    <t>F000018379</t>
  </si>
  <si>
    <t>F000018140</t>
  </si>
  <si>
    <t>GA0030</t>
  </si>
  <si>
    <t>GA0225</t>
  </si>
  <si>
    <t>GA1670</t>
  </si>
  <si>
    <t>BM08</t>
  </si>
  <si>
    <t>GA0491</t>
  </si>
  <si>
    <t>MY01</t>
  </si>
  <si>
    <t>GA2445</t>
  </si>
  <si>
    <t>브라질</t>
  </si>
  <si>
    <t>인니</t>
  </si>
  <si>
    <t>Z000</t>
  </si>
  <si>
    <t>싱가폴</t>
  </si>
  <si>
    <t>터키</t>
  </si>
  <si>
    <t>체코</t>
  </si>
  <si>
    <t>인도</t>
  </si>
  <si>
    <t>미국</t>
  </si>
  <si>
    <t>DUMMY</t>
  </si>
  <si>
    <t>스리랑카</t>
  </si>
  <si>
    <t>HNMPL</t>
  </si>
  <si>
    <t>파키스탄</t>
  </si>
  <si>
    <t>F000018361</t>
  </si>
  <si>
    <t>광저우</t>
  </si>
  <si>
    <t>천베트남</t>
  </si>
  <si>
    <t>베트남</t>
  </si>
  <si>
    <t>대만</t>
  </si>
  <si>
    <t>인도네시아</t>
  </si>
  <si>
    <t>방글라데시</t>
  </si>
  <si>
    <t>CNSHA</t>
  </si>
  <si>
    <t>중국북경</t>
  </si>
  <si>
    <t>에콰도르</t>
  </si>
  <si>
    <t>라오스</t>
  </si>
  <si>
    <t>PT</t>
  </si>
  <si>
    <t>HTK</t>
  </si>
  <si>
    <t>카자흐스탄</t>
  </si>
  <si>
    <t>TWTPE</t>
  </si>
  <si>
    <t>이집트</t>
  </si>
  <si>
    <t>BHMC</t>
  </si>
  <si>
    <t>중국</t>
  </si>
  <si>
    <t>INOKOM</t>
  </si>
  <si>
    <t>말레이시아</t>
  </si>
  <si>
    <t>CNXCG</t>
  </si>
  <si>
    <t>북경</t>
  </si>
  <si>
    <t>베이징</t>
  </si>
  <si>
    <t>모비스</t>
    <phoneticPr fontId="28" type="noConversion"/>
  </si>
  <si>
    <t>북미</t>
    <phoneticPr fontId="28" type="noConversion"/>
  </si>
  <si>
    <t>아태</t>
    <phoneticPr fontId="28" type="noConversion"/>
  </si>
  <si>
    <t>유럽</t>
    <phoneticPr fontId="28" type="noConversion"/>
  </si>
  <si>
    <t>중남미</t>
    <phoneticPr fontId="28" type="noConversion"/>
  </si>
  <si>
    <t>POD코드</t>
    <phoneticPr fontId="18" type="noConversion"/>
  </si>
  <si>
    <t>국가</t>
    <phoneticPr fontId="18" type="noConversion"/>
  </si>
  <si>
    <t>DUBAI</t>
    <phoneticPr fontId="28" type="noConversion"/>
  </si>
  <si>
    <t>Belgium</t>
    <phoneticPr fontId="28" type="noConversion"/>
  </si>
  <si>
    <t>ATLANTA</t>
    <phoneticPr fontId="28" type="noConversion"/>
  </si>
  <si>
    <t>FREMANTLE</t>
    <phoneticPr fontId="28" type="noConversion"/>
  </si>
  <si>
    <t>SYDNEY</t>
    <phoneticPr fontId="28" type="noConversion"/>
  </si>
  <si>
    <t>치타공</t>
    <phoneticPr fontId="28" type="noConversion"/>
  </si>
  <si>
    <t>다카</t>
    <phoneticPr fontId="28" type="noConversion"/>
  </si>
  <si>
    <t>산토스</t>
    <phoneticPr fontId="28" type="noConversion"/>
  </si>
  <si>
    <t>MARKHAM</t>
    <phoneticPr fontId="28" type="noConversion"/>
  </si>
  <si>
    <t>마타다이</t>
    <phoneticPr fontId="28" type="noConversion"/>
  </si>
  <si>
    <t>황푸</t>
    <phoneticPr fontId="28" type="noConversion"/>
  </si>
  <si>
    <t>린양강</t>
    <phoneticPr fontId="28" type="noConversion"/>
  </si>
  <si>
    <t>VALENCIA</t>
    <phoneticPr fontId="28" type="noConversion"/>
  </si>
  <si>
    <t xml:space="preserve">PAKISTAN </t>
    <phoneticPr fontId="28" type="noConversion"/>
  </si>
  <si>
    <t>DALLAS</t>
    <phoneticPr fontId="28" type="noConversion"/>
  </si>
  <si>
    <t>뉴욕</t>
    <phoneticPr fontId="28" type="noConversion"/>
  </si>
  <si>
    <t>미국 LONG BEACH, CA</t>
    <phoneticPr fontId="28" type="noConversion"/>
  </si>
  <si>
    <t>마이애미</t>
    <phoneticPr fontId="28" type="noConversion"/>
  </si>
  <si>
    <t>JEFFERSON(현대)</t>
    <phoneticPr fontId="28" type="noConversion"/>
  </si>
  <si>
    <t>JEFFERSON(현대 별곤)</t>
    <phoneticPr fontId="28" type="noConversion"/>
  </si>
  <si>
    <t>MONTGOMERY</t>
    <phoneticPr fontId="28" type="noConversion"/>
  </si>
  <si>
    <t>스리랑카</t>
    <phoneticPr fontId="28" type="noConversion"/>
  </si>
  <si>
    <t>네팔</t>
    <phoneticPr fontId="28" type="noConversion"/>
  </si>
  <si>
    <t>광저우</t>
    <phoneticPr fontId="28" type="noConversion"/>
  </si>
  <si>
    <t>BEANR</t>
    <phoneticPr fontId="28" type="noConversion"/>
  </si>
  <si>
    <t>ANTWERP</t>
    <phoneticPr fontId="28" type="noConversion"/>
  </si>
  <si>
    <t>CLSAI</t>
    <phoneticPr fontId="28" type="noConversion"/>
  </si>
  <si>
    <t>GROVEPORT</t>
    <phoneticPr fontId="28" type="noConversion"/>
  </si>
  <si>
    <t>Southampton</t>
    <phoneticPr fontId="28" type="noConversion"/>
  </si>
  <si>
    <t>BUTTERWORTH, MALAYSIA</t>
    <phoneticPr fontId="28" type="noConversion"/>
  </si>
  <si>
    <t>PORT KELANG,MALAYSIA</t>
    <phoneticPr fontId="28" type="noConversion"/>
  </si>
  <si>
    <t>KOPER, SLOVENIA (체코슬로베니아)</t>
    <phoneticPr fontId="28" type="noConversion"/>
  </si>
  <si>
    <t>AURORA</t>
    <phoneticPr fontId="28" type="noConversion"/>
  </si>
  <si>
    <t>Miami, United States of America</t>
    <phoneticPr fontId="28" type="noConversion"/>
  </si>
  <si>
    <t>Mobile, United States</t>
    <phoneticPr fontId="28" type="noConversion"/>
  </si>
  <si>
    <t>Richmond, United States</t>
    <phoneticPr fontId="28" type="noConversion"/>
  </si>
  <si>
    <t>Tacoma, United States</t>
    <phoneticPr fontId="28" type="noConversion"/>
  </si>
  <si>
    <t>DURBAN</t>
    <phoneticPr fontId="28" type="noConversion"/>
  </si>
  <si>
    <t>DAMIETTA, EGYPT</t>
    <phoneticPr fontId="28" type="noConversion"/>
  </si>
  <si>
    <t>AUSYD</t>
    <phoneticPr fontId="28" type="noConversion"/>
  </si>
  <si>
    <t>SYDNEY, AUSTRALIA</t>
    <phoneticPr fontId="28" type="noConversion"/>
  </si>
  <si>
    <t>RUBNK - BRONKA</t>
    <phoneticPr fontId="28" type="noConversion"/>
  </si>
  <si>
    <t>RBRONKA</t>
    <phoneticPr fontId="28" type="noConversion"/>
  </si>
  <si>
    <t>RUKDT - KRONSHTADT</t>
    <phoneticPr fontId="28" type="noConversion"/>
  </si>
  <si>
    <t>RULED - SAINT PETERSBURG (LENINGRAD)</t>
    <phoneticPr fontId="28" type="noConversion"/>
  </si>
  <si>
    <t>SAINT PETERSBURG (LENINGRAD)</t>
    <phoneticPr fontId="28" type="noConversion"/>
  </si>
  <si>
    <t>RUVVO - VLADIVOSTOK</t>
    <phoneticPr fontId="28" type="noConversion"/>
  </si>
  <si>
    <t>RUVYP - VOSTOCHNY</t>
    <phoneticPr fontId="28" type="noConversion"/>
  </si>
  <si>
    <t>VOSTOCHNY</t>
    <phoneticPr fontId="28" type="noConversion"/>
  </si>
  <si>
    <t>LAWRENCEVILLE</t>
    <phoneticPr fontId="28" type="noConversion"/>
  </si>
  <si>
    <t>LKCMB</t>
    <phoneticPr fontId="28" type="noConversion"/>
  </si>
  <si>
    <t>COLOMBO</t>
    <phoneticPr fontId="28" type="noConversion"/>
  </si>
  <si>
    <t>INCCU</t>
    <phoneticPr fontId="28" type="noConversion"/>
  </si>
  <si>
    <t>CALCUTTA</t>
    <phoneticPr fontId="28" type="noConversion"/>
  </si>
  <si>
    <t>ESBCN</t>
    <phoneticPr fontId="28" type="noConversion"/>
  </si>
  <si>
    <t>BARCELONA, SPAIN</t>
    <phoneticPr fontId="28" type="noConversion"/>
  </si>
  <si>
    <t>JEFFERSON</t>
    <phoneticPr fontId="28" type="noConversion"/>
  </si>
  <si>
    <t>USEWR</t>
    <phoneticPr fontId="28" type="noConversion"/>
  </si>
  <si>
    <t>SOUTH WINDSOR</t>
    <phoneticPr fontId="28" type="noConversion"/>
  </si>
  <si>
    <t>JAMESBURG</t>
    <phoneticPr fontId="28" type="noConversion"/>
  </si>
  <si>
    <t>ONTARIO</t>
    <phoneticPr fontId="28" type="noConversion"/>
  </si>
  <si>
    <t>RIVERSIDE</t>
    <phoneticPr fontId="28" type="noConversion"/>
  </si>
  <si>
    <t>LANCASTER</t>
    <phoneticPr fontId="28" type="noConversion"/>
  </si>
  <si>
    <t>SUMNER</t>
    <phoneticPr fontId="28" type="noConversion"/>
  </si>
  <si>
    <t>USTPA</t>
    <phoneticPr fontId="28" type="noConversion"/>
  </si>
  <si>
    <t>ABURNDALE</t>
    <phoneticPr fontId="28" type="noConversion"/>
  </si>
  <si>
    <t>-</t>
    <phoneticPr fontId="28" type="noConversion"/>
  </si>
  <si>
    <t>CAPRR</t>
    <phoneticPr fontId="28" type="noConversion"/>
  </si>
  <si>
    <t>CALGARY</t>
    <phoneticPr fontId="28" type="noConversion"/>
  </si>
  <si>
    <t>CAVAN</t>
    <phoneticPr fontId="28" type="noConversion"/>
  </si>
  <si>
    <t>DELTA</t>
    <phoneticPr fontId="28" type="noConversion"/>
  </si>
  <si>
    <t>BERHNA</t>
    <phoneticPr fontId="28" type="noConversion"/>
  </si>
  <si>
    <t>TAMWORTH</t>
    <phoneticPr fontId="28" type="noConversion"/>
  </si>
  <si>
    <t>SEGOT</t>
    <phoneticPr fontId="28" type="noConversion"/>
  </si>
  <si>
    <t>JONKOPING</t>
    <phoneticPr fontId="28" type="noConversion"/>
  </si>
  <si>
    <t>SAN FERNANDOS</t>
    <phoneticPr fontId="28" type="noConversion"/>
  </si>
  <si>
    <t>PREGNANA MILANESE</t>
    <phoneticPr fontId="28" type="noConversion"/>
  </si>
  <si>
    <t>RUVVO</t>
    <phoneticPr fontId="28" type="noConversion"/>
  </si>
  <si>
    <t>Moscow</t>
    <phoneticPr fontId="28" type="noConversion"/>
  </si>
  <si>
    <t>Ekaterinburg</t>
    <phoneticPr fontId="28" type="noConversion"/>
  </si>
  <si>
    <t>Kazan</t>
    <phoneticPr fontId="28" type="noConversion"/>
  </si>
  <si>
    <t>Rostov</t>
    <phoneticPr fontId="28" type="noConversion"/>
  </si>
  <si>
    <t>St.Petersburg</t>
    <phoneticPr fontId="28" type="noConversion"/>
  </si>
  <si>
    <t>EGALY</t>
    <phoneticPr fontId="28" type="noConversion"/>
  </si>
  <si>
    <t>ALEXANDRIA (OLD)</t>
    <phoneticPr fontId="28" type="noConversion"/>
  </si>
  <si>
    <t>NZAKL</t>
    <phoneticPr fontId="28" type="noConversion"/>
  </si>
  <si>
    <t>AUCKLAND</t>
    <phoneticPr fontId="28" type="noConversion"/>
  </si>
  <si>
    <t>PFPPT</t>
    <phoneticPr fontId="28" type="noConversion"/>
  </si>
  <si>
    <t>PAPEETE</t>
    <phoneticPr fontId="28" type="noConversion"/>
  </si>
  <si>
    <t>NCNOU</t>
    <phoneticPr fontId="28" type="noConversion"/>
  </si>
  <si>
    <t>NOUMEA</t>
    <phoneticPr fontId="28" type="noConversion"/>
  </si>
  <si>
    <t>PGPOM</t>
    <phoneticPr fontId="28" type="noConversion"/>
  </si>
  <si>
    <t>PT.MORESBY</t>
    <phoneticPr fontId="28" type="noConversion"/>
  </si>
  <si>
    <t>HKHKG</t>
    <phoneticPr fontId="28" type="noConversion"/>
  </si>
  <si>
    <t>HONGKONG</t>
    <phoneticPr fontId="28" type="noConversion"/>
  </si>
  <si>
    <t>PHMNN</t>
    <phoneticPr fontId="28" type="noConversion"/>
  </si>
  <si>
    <t>SOUTH MANILA</t>
    <phoneticPr fontId="28" type="noConversion"/>
  </si>
  <si>
    <t>BNMUA</t>
    <phoneticPr fontId="28" type="noConversion"/>
  </si>
  <si>
    <t>MUARA</t>
    <phoneticPr fontId="28" type="noConversion"/>
  </si>
  <si>
    <t>JPYOK</t>
    <phoneticPr fontId="28" type="noConversion"/>
  </si>
  <si>
    <t>YOKOHAMA</t>
    <phoneticPr fontId="28" type="noConversion"/>
  </si>
  <si>
    <t>PKKRC</t>
    <phoneticPr fontId="28" type="noConversion"/>
  </si>
  <si>
    <t>ARBUE</t>
    <phoneticPr fontId="28" type="noConversion"/>
  </si>
  <si>
    <t>BUENOS AIRES</t>
    <phoneticPr fontId="28" type="noConversion"/>
  </si>
  <si>
    <t>PYASU</t>
    <phoneticPr fontId="28" type="noConversion"/>
  </si>
  <si>
    <t>ASUNCION</t>
    <phoneticPr fontId="28" type="noConversion"/>
  </si>
  <si>
    <t>PECLL</t>
    <phoneticPr fontId="28" type="noConversion"/>
  </si>
  <si>
    <t>CALLAO</t>
    <phoneticPr fontId="28" type="noConversion"/>
  </si>
  <si>
    <t>SAN ANTONIO</t>
    <phoneticPr fontId="28" type="noConversion"/>
  </si>
  <si>
    <t>LAZARO</t>
    <phoneticPr fontId="28" type="noConversion"/>
  </si>
  <si>
    <t>천일</t>
    <phoneticPr fontId="18" type="noConversion"/>
  </si>
  <si>
    <t>B050</t>
    <phoneticPr fontId="18" type="noConversion"/>
  </si>
  <si>
    <t>광미로지스</t>
    <phoneticPr fontId="18" type="noConversion"/>
  </si>
  <si>
    <t>G002</t>
    <phoneticPr fontId="18" type="noConversion"/>
  </si>
  <si>
    <t>B590</t>
    <phoneticPr fontId="18" type="noConversion"/>
  </si>
  <si>
    <t>B675</t>
    <phoneticPr fontId="18" type="noConversion"/>
  </si>
  <si>
    <t>E1487</t>
    <phoneticPr fontId="18" type="noConversion"/>
  </si>
  <si>
    <t>B124</t>
    <phoneticPr fontId="18" type="noConversion"/>
  </si>
  <si>
    <t>B414</t>
    <phoneticPr fontId="18" type="noConversion"/>
  </si>
  <si>
    <t>현대모비스</t>
    <phoneticPr fontId="18" type="noConversion"/>
  </si>
  <si>
    <t>S013</t>
    <phoneticPr fontId="18" type="noConversion"/>
  </si>
  <si>
    <t>한백뉴로텍</t>
    <phoneticPr fontId="18" type="noConversion"/>
  </si>
  <si>
    <t>N078</t>
    <phoneticPr fontId="18" type="noConversion"/>
  </si>
  <si>
    <t>I022</t>
  </si>
  <si>
    <t>E922</t>
  </si>
  <si>
    <t>BP</t>
    <phoneticPr fontId="28" type="noConversion"/>
  </si>
  <si>
    <t>B000016649</t>
  </si>
  <si>
    <t>AS</t>
  </si>
  <si>
    <t>1.터미널 코드</t>
    <phoneticPr fontId="18" type="noConversion"/>
  </si>
  <si>
    <t>Location CODE</t>
    <phoneticPr fontId="18" type="noConversion"/>
  </si>
  <si>
    <t>인천/신항</t>
    <phoneticPr fontId="18" type="noConversion"/>
  </si>
  <si>
    <t>02012230</t>
    <phoneticPr fontId="18" type="noConversion"/>
  </si>
  <si>
    <t>03012219</t>
    <phoneticPr fontId="18" type="noConversion"/>
  </si>
  <si>
    <t>03012257</t>
    <phoneticPr fontId="18" type="noConversion"/>
  </si>
  <si>
    <t>03012343</t>
    <phoneticPr fontId="18" type="noConversion"/>
  </si>
  <si>
    <t>03077016</t>
    <phoneticPr fontId="18" type="noConversion"/>
  </si>
  <si>
    <t>03077076</t>
    <phoneticPr fontId="18" type="noConversion"/>
  </si>
  <si>
    <t>(주)국보CY</t>
    <phoneticPr fontId="18" type="noConversion"/>
  </si>
  <si>
    <t>03077013</t>
    <phoneticPr fontId="18" type="noConversion"/>
  </si>
  <si>
    <t>03077135</t>
    <phoneticPr fontId="18" type="noConversion"/>
  </si>
  <si>
    <t>울산신항컨테이너터미널</t>
    <phoneticPr fontId="18" type="noConversion"/>
  </si>
  <si>
    <t>정일부두</t>
    <phoneticPr fontId="18" type="noConversion"/>
  </si>
  <si>
    <t>신항</t>
    <phoneticPr fontId="30" type="noConversion"/>
  </si>
  <si>
    <t>MOBILE</t>
  </si>
  <si>
    <t>KOPER</t>
  </si>
  <si>
    <t>KATTUPALLI</t>
  </si>
  <si>
    <t>SAVANNAH</t>
  </si>
  <si>
    <t>LONG BEACH</t>
  </si>
  <si>
    <t>ENSENADA</t>
  </si>
  <si>
    <t>LA</t>
  </si>
  <si>
    <t>CHULAI</t>
  </si>
  <si>
    <t>MXLZC</t>
  </si>
  <si>
    <t>USLGB</t>
  </si>
  <si>
    <t>MXESE</t>
  </si>
  <si>
    <t>USLAX</t>
  </si>
  <si>
    <t>VNC8Q</t>
  </si>
  <si>
    <t>TANJUNG PRIOK</t>
  </si>
  <si>
    <t>SANTOS</t>
  </si>
  <si>
    <t>IZMIT</t>
  </si>
  <si>
    <t>YARIMCA</t>
  </si>
  <si>
    <t>SINGAPORE</t>
  </si>
  <si>
    <t>HAIPHONG</t>
  </si>
  <si>
    <t>BRSSZ</t>
  </si>
  <si>
    <t>TRIZT</t>
  </si>
  <si>
    <t>TRYAR</t>
  </si>
  <si>
    <t>INNSA</t>
  </si>
  <si>
    <t>LUZHOU</t>
  </si>
  <si>
    <t>PORT QASIM</t>
  </si>
  <si>
    <t>MALASZEWICZE</t>
  </si>
  <si>
    <t>CNLZU</t>
  </si>
  <si>
    <t>PKBQM</t>
  </si>
  <si>
    <t>UYMVD</t>
  </si>
  <si>
    <t>PLMAA</t>
  </si>
  <si>
    <t>NHAVA SHEVA</t>
  </si>
  <si>
    <t>현대글로비스</t>
    <phoneticPr fontId="30" type="noConversion"/>
  </si>
  <si>
    <t>KR10</t>
    <phoneticPr fontId="30" type="noConversion"/>
  </si>
  <si>
    <t>화주</t>
    <phoneticPr fontId="28" type="noConversion"/>
  </si>
  <si>
    <t>LIANYUNGANG</t>
  </si>
  <si>
    <t>NANTONG</t>
  </si>
  <si>
    <t>MANZANILLO</t>
  </si>
  <si>
    <t>WEIHAI</t>
  </si>
  <si>
    <t>재밸알리</t>
    <phoneticPr fontId="28" type="noConversion"/>
  </si>
  <si>
    <t>벨기애</t>
    <phoneticPr fontId="28" type="noConversion"/>
  </si>
  <si>
    <t>앤트워프</t>
    <phoneticPr fontId="28" type="noConversion"/>
  </si>
  <si>
    <t>프리맨탈</t>
    <phoneticPr fontId="28" type="noConversion"/>
  </si>
  <si>
    <t>난퉁</t>
    <phoneticPr fontId="28" type="noConversion"/>
  </si>
  <si>
    <t>상하이</t>
    <phoneticPr fontId="28" type="noConversion"/>
  </si>
  <si>
    <t>칭따오</t>
    <phoneticPr fontId="28" type="noConversion"/>
  </si>
  <si>
    <t>웨이하이</t>
    <phoneticPr fontId="28" type="noConversion"/>
  </si>
  <si>
    <t>신강</t>
    <phoneticPr fontId="28" type="noConversion"/>
  </si>
  <si>
    <t>신강,차이나</t>
    <phoneticPr fontId="28" type="noConversion"/>
  </si>
  <si>
    <t>장지강</t>
    <phoneticPr fontId="28" type="noConversion"/>
  </si>
  <si>
    <t>과야킬</t>
    <phoneticPr fontId="28" type="noConversion"/>
  </si>
  <si>
    <t>탄정프리옥</t>
    <phoneticPr fontId="28" type="noConversion"/>
  </si>
  <si>
    <t>카투팔리</t>
    <phoneticPr fontId="28" type="noConversion"/>
  </si>
  <si>
    <t>첸나이</t>
    <phoneticPr fontId="28" type="noConversion"/>
  </si>
  <si>
    <t>나바샤바</t>
    <phoneticPr fontId="28" type="noConversion"/>
  </si>
  <si>
    <t>제노아</t>
    <phoneticPr fontId="28" type="noConversion"/>
  </si>
  <si>
    <t>자카르타</t>
    <phoneticPr fontId="28" type="noConversion"/>
  </si>
  <si>
    <t>카라치</t>
    <phoneticPr fontId="28" type="noConversion"/>
  </si>
  <si>
    <t>알마티</t>
    <phoneticPr fontId="28" type="noConversion"/>
  </si>
  <si>
    <t>양곤</t>
    <phoneticPr fontId="28" type="noConversion"/>
  </si>
  <si>
    <t>만자닐로</t>
    <phoneticPr fontId="28" type="noConversion"/>
  </si>
  <si>
    <t>라자루</t>
    <phoneticPr fontId="28" type="noConversion"/>
  </si>
  <si>
    <t>까와</t>
    <phoneticPr fontId="28" type="noConversion"/>
  </si>
  <si>
    <t>슬로박</t>
    <phoneticPr fontId="28" type="noConversion"/>
  </si>
  <si>
    <t>재퍼슨</t>
    <phoneticPr fontId="28" type="noConversion"/>
  </si>
  <si>
    <t>LA</t>
    <phoneticPr fontId="28" type="noConversion"/>
  </si>
  <si>
    <t>이즈미트</t>
    <phoneticPr fontId="28" type="noConversion"/>
  </si>
  <si>
    <t>TREVY</t>
  </si>
  <si>
    <t>배차요청일자</t>
    <phoneticPr fontId="18" type="noConversion"/>
  </si>
  <si>
    <t>배차요청시간</t>
    <phoneticPr fontId="18" type="noConversion"/>
  </si>
  <si>
    <t>KR10</t>
  </si>
  <si>
    <t>KMS</t>
  </si>
  <si>
    <t>아산 1포장장</t>
    <phoneticPr fontId="28" type="noConversion"/>
  </si>
  <si>
    <t>아산 2포장장</t>
    <phoneticPr fontId="28" type="noConversion"/>
  </si>
  <si>
    <t>아산 3포장장</t>
    <phoneticPr fontId="28" type="noConversion"/>
  </si>
  <si>
    <t>KCC 글라스</t>
    <phoneticPr fontId="28" type="noConversion"/>
  </si>
  <si>
    <t>경림 3공장</t>
    <phoneticPr fontId="28" type="noConversion"/>
  </si>
  <si>
    <t>경림 2공장</t>
    <phoneticPr fontId="28" type="noConversion"/>
  </si>
  <si>
    <t>셀맥 오성</t>
    <phoneticPr fontId="28" type="noConversion"/>
  </si>
  <si>
    <t>경주 유니팩(냉천,구어,외동)</t>
  </si>
  <si>
    <t>경주 유니팩</t>
    <phoneticPr fontId="28" type="noConversion"/>
  </si>
  <si>
    <t>울산 유니팩</t>
    <phoneticPr fontId="28" type="noConversion"/>
  </si>
  <si>
    <t>현대모비스 김천</t>
    <phoneticPr fontId="28" type="noConversion"/>
  </si>
  <si>
    <t>BUSAN</t>
    <phoneticPr fontId="30" type="noConversion"/>
  </si>
  <si>
    <t>PYONGTAEK</t>
  </si>
  <si>
    <t>KWANGYANG</t>
  </si>
  <si>
    <t>BUSAN(NEW)</t>
    <phoneticPr fontId="30" type="noConversion"/>
  </si>
  <si>
    <t>국가</t>
  </si>
  <si>
    <t>POD코드</t>
  </si>
  <si>
    <t>모빌</t>
  </si>
  <si>
    <t>코퍼</t>
  </si>
  <si>
    <t>조지아</t>
  </si>
  <si>
    <t>슬로박</t>
  </si>
  <si>
    <t>AMBARLI</t>
  </si>
  <si>
    <t>TRAMB</t>
  </si>
  <si>
    <t>BREMERHAVEN</t>
  </si>
  <si>
    <t>DEBRV</t>
  </si>
  <si>
    <t>BUTTERWORTH</t>
  </si>
  <si>
    <t>MYBTW</t>
  </si>
  <si>
    <t>CHARLESTON</t>
  </si>
  <si>
    <t>USCHS</t>
  </si>
  <si>
    <t>CHATTOGRAM</t>
  </si>
  <si>
    <t>BDCGP</t>
  </si>
  <si>
    <t>CHENNAI</t>
  </si>
  <si>
    <t>INMAA</t>
  </si>
  <si>
    <t>CHU LAI</t>
  </si>
  <si>
    <t>DA NANG</t>
  </si>
  <si>
    <t>VNDAD</t>
  </si>
  <si>
    <t>DHAKA</t>
  </si>
  <si>
    <t>BDDAC</t>
  </si>
  <si>
    <t>DJEN-DJEN</t>
  </si>
  <si>
    <t>DZDJE</t>
  </si>
  <si>
    <t>ENNORE</t>
  </si>
  <si>
    <t>INENR</t>
  </si>
  <si>
    <t>HAMBURG</t>
  </si>
  <si>
    <t>DEHAM</t>
  </si>
  <si>
    <t>HUANGPU PT</t>
  </si>
  <si>
    <t>CNHUA</t>
  </si>
  <si>
    <t>IQUIQUE</t>
  </si>
  <si>
    <t>CLIQQ</t>
  </si>
  <si>
    <t>ISTANBUL</t>
  </si>
  <si>
    <t>TRIST</t>
  </si>
  <si>
    <t>IZMIT KORFEZI</t>
  </si>
  <si>
    <t>JAKARTA</t>
  </si>
  <si>
    <t>JAKAR</t>
  </si>
  <si>
    <t>JEBEL ALI</t>
  </si>
  <si>
    <t>AEJEA</t>
  </si>
  <si>
    <t>JIZZAKH</t>
  </si>
  <si>
    <t>UZJIZ</t>
  </si>
  <si>
    <t>LAEM CHABANG</t>
  </si>
  <si>
    <t>THLCH</t>
  </si>
  <si>
    <t>CNLYG</t>
  </si>
  <si>
    <t>LOS ANGELES</t>
  </si>
  <si>
    <t>MXZLO</t>
  </si>
  <si>
    <t>멕시코</t>
  </si>
  <si>
    <t>MATADI</t>
  </si>
  <si>
    <t>CDMAT</t>
  </si>
  <si>
    <t>NANTONG PT</t>
  </si>
  <si>
    <t>CNNTG</t>
  </si>
  <si>
    <t>NOUAKCHOTT</t>
  </si>
  <si>
    <t>MRNKC</t>
  </si>
  <si>
    <t>OSAKA</t>
  </si>
  <si>
    <t>JPOSA</t>
  </si>
  <si>
    <t>PENANG</t>
  </si>
  <si>
    <t>MYPEN</t>
  </si>
  <si>
    <t>PORT KLANG</t>
  </si>
  <si>
    <t>MYPKG</t>
  </si>
  <si>
    <t>PORT VICTORIA</t>
  </si>
  <si>
    <t>SCPOV</t>
  </si>
  <si>
    <t>PUERTO CALDERA</t>
  </si>
  <si>
    <t>CRCAL</t>
  </si>
  <si>
    <t>PUERTO QUETZAL</t>
  </si>
  <si>
    <t>GTPRQ</t>
  </si>
  <si>
    <t>QINGDAO</t>
  </si>
  <si>
    <t>CNTAO</t>
  </si>
  <si>
    <t>RENI</t>
  </si>
  <si>
    <t>UARNI</t>
  </si>
  <si>
    <t>SHANGHAI</t>
  </si>
  <si>
    <t>TAIPEI</t>
  </si>
  <si>
    <t>TEMA</t>
  </si>
  <si>
    <t>GHTEM</t>
  </si>
  <si>
    <t>TINCAN/LAGOS</t>
  </si>
  <si>
    <t>NGTIN</t>
  </si>
  <si>
    <t>CNWEI</t>
  </si>
  <si>
    <t>XINGANG</t>
  </si>
  <si>
    <t>CNXGA</t>
  </si>
  <si>
    <t>XINGANG, CHINA</t>
  </si>
  <si>
    <t>CNXGG</t>
  </si>
  <si>
    <t>YANGON</t>
  </si>
  <si>
    <t>MMRGN</t>
  </si>
  <si>
    <t>ZHANGJIAGANG</t>
  </si>
  <si>
    <t>CNZJG</t>
  </si>
  <si>
    <t>PKPCT</t>
  </si>
  <si>
    <t xml:space="preserve">EGDAM </t>
  </si>
  <si>
    <t>두바이</t>
  </si>
  <si>
    <t>AEDXB</t>
  </si>
  <si>
    <t>시드니</t>
  </si>
  <si>
    <t xml:space="preserve">AUSYD </t>
  </si>
  <si>
    <t>벨지움</t>
  </si>
  <si>
    <t>ANR</t>
  </si>
  <si>
    <t>BRONKA</t>
  </si>
  <si>
    <t>RUBNK</t>
  </si>
  <si>
    <t>KRONSHTADT</t>
  </si>
  <si>
    <t xml:space="preserve">RUKDT </t>
  </si>
  <si>
    <t>SAINT PETERSBURG</t>
  </si>
  <si>
    <t>RULED</t>
  </si>
  <si>
    <t>VLADIVOSTOK</t>
  </si>
  <si>
    <t xml:space="preserve">RUVVO </t>
  </si>
  <si>
    <t>VOSTOCHNIY</t>
  </si>
  <si>
    <t>RUVYP</t>
  </si>
  <si>
    <t>아틀란타</t>
  </si>
  <si>
    <t>ATL</t>
  </si>
  <si>
    <t>LASAV</t>
  </si>
  <si>
    <t>멀캄</t>
  </si>
  <si>
    <t>CAMAK</t>
  </si>
  <si>
    <t>마이에미</t>
  </si>
  <si>
    <t>USMIA</t>
  </si>
  <si>
    <t>오하이오</t>
  </si>
  <si>
    <t>FOH</t>
  </si>
  <si>
    <t>함부르크, 독일</t>
  </si>
  <si>
    <t xml:space="preserve">DEHAM </t>
  </si>
  <si>
    <t>사우스햄튼, 영국</t>
  </si>
  <si>
    <t>GBSOU</t>
  </si>
  <si>
    <t>타코마</t>
  </si>
  <si>
    <t>USTIW</t>
  </si>
  <si>
    <t>스페인</t>
  </si>
  <si>
    <t>ESVLC</t>
  </si>
  <si>
    <t>리치몬드</t>
  </si>
  <si>
    <t>USRCH</t>
  </si>
  <si>
    <t>영국</t>
  </si>
  <si>
    <t>GENOA</t>
  </si>
  <si>
    <t>ITGOA</t>
  </si>
  <si>
    <t>프리멘탈</t>
  </si>
  <si>
    <t>AUFRE</t>
  </si>
  <si>
    <t>헝가리</t>
  </si>
  <si>
    <t>HUBUD</t>
  </si>
  <si>
    <t>달라스</t>
  </si>
  <si>
    <t>USDAL</t>
  </si>
  <si>
    <t>더반</t>
  </si>
  <si>
    <t>ZADUR</t>
  </si>
  <si>
    <t>제퍼슨(사바나)</t>
  </si>
  <si>
    <t>사바나</t>
  </si>
  <si>
    <t>페어번(사바나)</t>
  </si>
  <si>
    <t>KZPRA</t>
  </si>
  <si>
    <t>이스라엘</t>
  </si>
  <si>
    <t>ILMSP</t>
  </si>
  <si>
    <t>알라바마(모빌)</t>
  </si>
  <si>
    <t>체코BSA</t>
  </si>
  <si>
    <t>미국 모빌</t>
  </si>
  <si>
    <t>시카고</t>
  </si>
  <si>
    <t>USCHI</t>
  </si>
  <si>
    <t>뉴욕(사우스윈져, 제임스버그)</t>
  </si>
  <si>
    <t>USJFK</t>
  </si>
  <si>
    <t>브레머하벤</t>
  </si>
  <si>
    <t>CHARLESTON, SC</t>
  </si>
  <si>
    <t>CHENNAI, INDIA</t>
  </si>
  <si>
    <t>IZMIT KORFEZI, TURKEY</t>
  </si>
  <si>
    <t>JIZZAKH(To-Be Checked)</t>
  </si>
  <si>
    <t>LOS ANGELES, CA</t>
  </si>
  <si>
    <t>PENANG (GEORGETOWN)</t>
  </si>
  <si>
    <t>QASIM</t>
  </si>
  <si>
    <t>QINGDAO, CHINA</t>
  </si>
  <si>
    <t>SHANGHAI, CHINA</t>
  </si>
  <si>
    <t>WEIHAI, CHINA</t>
  </si>
  <si>
    <t>PORTKELANG</t>
  </si>
  <si>
    <t>타지키스탄</t>
  </si>
  <si>
    <t>TJDUS</t>
  </si>
  <si>
    <t>Tadzhikistan</t>
  </si>
  <si>
    <t>PORTQASIM</t>
  </si>
  <si>
    <t>LAZARO CARDENS</t>
  </si>
  <si>
    <t>TANJUNGPRIOK</t>
  </si>
  <si>
    <t>LAZAROCARDENAS</t>
  </si>
  <si>
    <t>ECPSJ</t>
  </si>
  <si>
    <t>Chittagong</t>
  </si>
  <si>
    <t>GUAYAQUIL</t>
  </si>
  <si>
    <t>롱비치</t>
  </si>
  <si>
    <t>KLMKA</t>
  </si>
  <si>
    <t>Chile</t>
  </si>
  <si>
    <t>칠레</t>
  </si>
  <si>
    <t>DAMIETTA</t>
  </si>
  <si>
    <t>EGDAM</t>
  </si>
  <si>
    <t>ALMATY</t>
  </si>
  <si>
    <t>KZALA</t>
  </si>
  <si>
    <t>EVYAP</t>
  </si>
  <si>
    <t>배차
요청일</t>
    <phoneticPr fontId="30" type="noConversion"/>
  </si>
  <si>
    <t>B000016289</t>
    <phoneticPr fontId="30" type="noConversion"/>
  </si>
  <si>
    <t>B000034663</t>
    <phoneticPr fontId="30" type="noConversion"/>
  </si>
  <si>
    <t>선진TLS</t>
    <phoneticPr fontId="30" type="noConversion"/>
  </si>
  <si>
    <t>B000032574</t>
    <phoneticPr fontId="30" type="noConversion"/>
  </si>
  <si>
    <t>공성운수(주)</t>
    <phoneticPr fontId="30" type="noConversion"/>
  </si>
  <si>
    <t>B000007122</t>
    <phoneticPr fontId="30" type="noConversion"/>
  </si>
  <si>
    <t>B000011469</t>
    <phoneticPr fontId="30" type="noConversion"/>
  </si>
  <si>
    <t>B000004409</t>
    <phoneticPr fontId="30" type="noConversion"/>
  </si>
  <si>
    <t>B000029339</t>
    <phoneticPr fontId="30" type="noConversion"/>
  </si>
  <si>
    <t>유니팩</t>
    <phoneticPr fontId="30" type="noConversion"/>
  </si>
  <si>
    <t>B000005189</t>
    <phoneticPr fontId="30" type="noConversion"/>
  </si>
  <si>
    <t>B000003280</t>
  </si>
  <si>
    <t>B000026065</t>
  </si>
  <si>
    <t>B000034432</t>
  </si>
  <si>
    <t>세방</t>
    <phoneticPr fontId="30" type="noConversion"/>
  </si>
  <si>
    <t>B015</t>
    <phoneticPr fontId="18" type="noConversion"/>
  </si>
  <si>
    <t>Y132</t>
    <phoneticPr fontId="18" type="noConversion"/>
  </si>
  <si>
    <t>현성로지스틱</t>
    <phoneticPr fontId="30" type="noConversion"/>
  </si>
  <si>
    <t>U415</t>
    <phoneticPr fontId="18" type="noConversion"/>
  </si>
  <si>
    <t>K587</t>
    <phoneticPr fontId="18" type="noConversion"/>
  </si>
  <si>
    <t>구산물류</t>
    <phoneticPr fontId="30" type="noConversion"/>
  </si>
  <si>
    <t>성보</t>
    <phoneticPr fontId="30" type="noConversion"/>
  </si>
  <si>
    <t>오더(KD기준)</t>
    <phoneticPr fontId="30" type="noConversion"/>
  </si>
  <si>
    <t>KD용~</t>
    <phoneticPr fontId="30" type="noConversion"/>
  </si>
  <si>
    <t>할증</t>
    <phoneticPr fontId="30" type="noConversion"/>
  </si>
  <si>
    <t>KRBNX</t>
    <phoneticPr fontId="30" type="noConversion"/>
  </si>
  <si>
    <t>현대자동차</t>
    <phoneticPr fontId="30" type="noConversion"/>
  </si>
  <si>
    <t>S009_H31</t>
  </si>
  <si>
    <t>KIA URUGUAY</t>
  </si>
  <si>
    <t>B000032220</t>
  </si>
  <si>
    <t>머스크</t>
    <phoneticPr fontId="28" type="noConversion"/>
  </si>
  <si>
    <t>E866</t>
    <phoneticPr fontId="30" type="noConversion"/>
  </si>
  <si>
    <t>GA0704</t>
  </si>
  <si>
    <t>F000019156</t>
  </si>
  <si>
    <t>ADIENT US LLC</t>
  </si>
  <si>
    <t>GA3079</t>
  </si>
  <si>
    <t>INALFA USA</t>
  </si>
  <si>
    <t>KASK</t>
  </si>
  <si>
    <t>ADM</t>
  </si>
  <si>
    <t>Kia Kazakhstan</t>
  </si>
  <si>
    <t>DWI</t>
  </si>
  <si>
    <t>HMTR</t>
  </si>
  <si>
    <t>HMSG</t>
  </si>
  <si>
    <t>AGR</t>
  </si>
  <si>
    <t>HMID</t>
  </si>
  <si>
    <t>GII</t>
  </si>
  <si>
    <t>CMC</t>
  </si>
  <si>
    <t>SMT</t>
  </si>
  <si>
    <t>EGY</t>
  </si>
  <si>
    <t>EVMC</t>
  </si>
  <si>
    <t>PKT</t>
  </si>
  <si>
    <t>CM Industries</t>
  </si>
  <si>
    <t>HTCV</t>
  </si>
  <si>
    <t>HTMV</t>
  </si>
  <si>
    <t>HTC</t>
  </si>
  <si>
    <t>HMGICS</t>
  </si>
  <si>
    <t>DYK</t>
  </si>
  <si>
    <t>HTBC</t>
  </si>
  <si>
    <t>TENNECO</t>
  </si>
  <si>
    <t>KCN</t>
  </si>
  <si>
    <t>KIN</t>
  </si>
  <si>
    <t>HMI PUNE</t>
  </si>
  <si>
    <t>YONGSAN</t>
  </si>
  <si>
    <t>Garrett Motion</t>
  </si>
  <si>
    <t>BEIJING SEJONG</t>
  </si>
  <si>
    <t>KIA LUCKY MOTORS</t>
  </si>
  <si>
    <t>FAIR TECH</t>
  </si>
  <si>
    <t>KAGA</t>
  </si>
  <si>
    <t>SAMBO A&amp;T</t>
  </si>
  <si>
    <t>HANON ALABAMA</t>
  </si>
  <si>
    <t>HSAA</t>
  </si>
  <si>
    <t>SEJONG ALABAMA</t>
  </si>
  <si>
    <t>SEJONG GEORGIA</t>
  </si>
  <si>
    <t>DSA</t>
  </si>
  <si>
    <t>SEOYON E-HWA AL</t>
  </si>
  <si>
    <t>서연이화</t>
  </si>
  <si>
    <t>PHA</t>
  </si>
  <si>
    <t>ECOPLASTIC AMERICA</t>
  </si>
  <si>
    <t>DSC SAVANNAH</t>
  </si>
  <si>
    <t>HMGMA</t>
  </si>
  <si>
    <t>ALABAMA(HB)</t>
  </si>
  <si>
    <t>SEOYON E-HWA BRAZIL</t>
  </si>
  <si>
    <t>AYMESA</t>
  </si>
  <si>
    <t>FAURECIA MEX</t>
  </si>
  <si>
    <t>KMM</t>
  </si>
  <si>
    <t>KMX</t>
  </si>
  <si>
    <t>LEEHAN AMERICA</t>
  </si>
  <si>
    <t>MAGNETI</t>
  </si>
  <si>
    <t>MONTICH</t>
  </si>
  <si>
    <t>SOMIL</t>
  </si>
  <si>
    <t>SEJONG MEX</t>
  </si>
  <si>
    <t>TRANSLEAD</t>
  </si>
  <si>
    <t>YONGSAN(M)</t>
  </si>
  <si>
    <t>DUAL MEXICO</t>
  </si>
  <si>
    <t>LA3030</t>
  </si>
  <si>
    <t>GA2409</t>
  </si>
  <si>
    <t>F000019162</t>
  </si>
  <si>
    <t>GA2751</t>
  </si>
  <si>
    <t>S009_H02</t>
    <phoneticPr fontId="30" type="noConversion"/>
  </si>
  <si>
    <t>J007_J001</t>
    <phoneticPr fontId="30" type="noConversion"/>
  </si>
  <si>
    <t>차량번호</t>
    <phoneticPr fontId="18" type="noConversion"/>
  </si>
  <si>
    <t>공휴일-10
위험물-30</t>
    <phoneticPr fontId="30" type="noConversion"/>
  </si>
  <si>
    <t>컨테이너 
수량</t>
    <phoneticPr fontId="18" type="noConversion"/>
  </si>
  <si>
    <t>컨테이너 
규격</t>
    <phoneticPr fontId="18" type="noConversion"/>
  </si>
  <si>
    <t>ITAMCO</t>
    <phoneticPr fontId="30" type="noConversion"/>
  </si>
  <si>
    <t>KOLAO</t>
    <phoneticPr fontId="30" type="noConversion"/>
  </si>
  <si>
    <t>FOB</t>
    <phoneticPr fontId="30" type="noConversion"/>
  </si>
  <si>
    <t>카자흐스탄</t>
    <phoneticPr fontId="30" type="noConversion"/>
  </si>
  <si>
    <t>광양 금호타이어</t>
    <phoneticPr fontId="28" type="noConversion"/>
  </si>
  <si>
    <t>H000_GG1</t>
    <phoneticPr fontId="28" type="noConversion"/>
  </si>
  <si>
    <t>유럽</t>
  </si>
  <si>
    <t>GDANSK</t>
  </si>
  <si>
    <t>PLGDN</t>
  </si>
  <si>
    <t>광양시 광양읍 초남공단3길 2</t>
    <phoneticPr fontId="30" type="noConversion"/>
  </si>
  <si>
    <t>기아 슬로바키아</t>
  </si>
  <si>
    <t>ADM JIZZAKH</t>
  </si>
  <si>
    <t>INALFA EUROPE</t>
  </si>
  <si>
    <t>F000019206</t>
  </si>
  <si>
    <t>Inalfa Roof Systems BV</t>
  </si>
  <si>
    <t>기아 카자흐스탄</t>
  </si>
  <si>
    <t>주식회사 포스코인터내셔널</t>
  </si>
  <si>
    <t>Hyundai Motor Manufactiring Czech</t>
  </si>
  <si>
    <t>HYUNDAI ASSAN OTOMOTIV SANAYI VE TICARET</t>
  </si>
  <si>
    <t>HAOS-&gt;HMTR 명칭변경</t>
  </si>
  <si>
    <t>Hyundai MotorSport GmbH</t>
  </si>
  <si>
    <t>LLC"HYUNDAI MOTOR MANUFACTURING RUS"LIT.</t>
  </si>
  <si>
    <t>(구 HMMR)</t>
  </si>
  <si>
    <t>Hyundai Trans Kazakhstan L.L.P</t>
  </si>
  <si>
    <t>아태</t>
  </si>
  <si>
    <t>HYUNDAI MOTORS INDONESIA</t>
  </si>
  <si>
    <t>(주) 현대자동차 인도네시아</t>
  </si>
  <si>
    <t>PT GLOVIS INDONESIA INTERNATIONAL</t>
  </si>
  <si>
    <t>C.N.A Manufacturing Sdn. Bhd.</t>
  </si>
  <si>
    <t>수성특장㈜</t>
  </si>
  <si>
    <t>PKT CONSOLIDATION SERVICE</t>
  </si>
  <si>
    <t>씨엠인더스트리 유한회사(영업소)</t>
  </si>
  <si>
    <t>HYUNDAI THANH CONG COMMERCIAL VEHIC</t>
  </si>
  <si>
    <t>Hyundai Thanh Cong Viet Nam Auto Ma</t>
  </si>
  <si>
    <t>현대 탄콩 베트남 주식회사</t>
  </si>
  <si>
    <t>HTBC(사천현대)</t>
  </si>
  <si>
    <t>테네코</t>
  </si>
  <si>
    <t>기아차 인도공장</t>
  </si>
  <si>
    <t>PROCON ENGINEERING PVT LTD</t>
  </si>
  <si>
    <t>비계열 KARACHI SPOT</t>
  </si>
  <si>
    <t>현대자동차(주)인디아</t>
  </si>
  <si>
    <t>HMI 3공장</t>
  </si>
  <si>
    <t>용산 인디아</t>
  </si>
  <si>
    <t>가렛모션</t>
  </si>
  <si>
    <t>BEIJING SEJONG AUTO PARTS CO., LTD.</t>
  </si>
  <si>
    <t>Lucky Motor Corporation Limited</t>
  </si>
  <si>
    <t>북미</t>
  </si>
  <si>
    <t>Adient US LLC</t>
  </si>
  <si>
    <t>인알파USA</t>
  </si>
  <si>
    <t>기아자동차 조지아공장</t>
  </si>
  <si>
    <t>삼보A&amp;T 아메리카</t>
  </si>
  <si>
    <t>한온 알라바마</t>
  </si>
  <si>
    <t>에이치에스 오토모티브 알라바마</t>
  </si>
  <si>
    <t>SEJONG ALABAMA LLC</t>
  </si>
  <si>
    <t>세종조지아</t>
  </si>
  <si>
    <t>DAEHAN SOLUTION ALABAMA</t>
  </si>
  <si>
    <t>Seoyon E-Hwa Interior Systems Alabama</t>
  </si>
  <si>
    <t>PHA Alabama, LLC</t>
  </si>
  <si>
    <t>ECOPLASTIC AMERICA CORP</t>
  </si>
  <si>
    <t>현대자동차 알라바마공장</t>
  </si>
  <si>
    <t>중남미</t>
  </si>
  <si>
    <t>HYUNDAI MOTOR BRASIL MONTADORA DE A</t>
  </si>
  <si>
    <t>서연이화 브라질</t>
  </si>
  <si>
    <t>AYMESA SA</t>
  </si>
  <si>
    <t>CAOA Montadora de Veiculos Ltda.</t>
  </si>
  <si>
    <t>베바스토 멕시코</t>
  </si>
  <si>
    <t>멕시코포레시아</t>
  </si>
  <si>
    <t>기아자동차 멕시코</t>
  </si>
  <si>
    <t>리한 아메리카</t>
  </si>
  <si>
    <t>Magneti Marelli Sistemas Automotivo</t>
  </si>
  <si>
    <t>MONTICH URUGUAY</t>
  </si>
  <si>
    <t>기아 주식회사</t>
  </si>
  <si>
    <t>SOMIL S.A.</t>
  </si>
  <si>
    <t>세종멕시코</t>
  </si>
  <si>
    <t>HYUNDAI TR</t>
  </si>
  <si>
    <t>YONG SAN AUTOMOTIVE MEXICO</t>
  </si>
  <si>
    <t>DUAL BORGSTENA TRIM MEXICO</t>
  </si>
  <si>
    <t>서연써밋오토모티브</t>
  </si>
  <si>
    <t>B000005273</t>
    <phoneticPr fontId="28" type="noConversion"/>
  </si>
  <si>
    <t>B000017449</t>
    <phoneticPr fontId="28" type="noConversion"/>
  </si>
  <si>
    <t>KRUWN</t>
    <phoneticPr fontId="28" type="noConversion"/>
  </si>
  <si>
    <t>비고</t>
    <phoneticPr fontId="30" type="noConversion"/>
  </si>
  <si>
    <t>CKD</t>
    <phoneticPr fontId="30" type="noConversion"/>
  </si>
  <si>
    <t>하나 TPS</t>
  </si>
  <si>
    <t>경상북도</t>
  </si>
  <si>
    <t>충청남도</t>
  </si>
  <si>
    <t>전라북도</t>
  </si>
  <si>
    <t>경기도</t>
  </si>
  <si>
    <t>U001</t>
    <phoneticPr fontId="28" type="noConversion"/>
  </si>
  <si>
    <t>기존코드</t>
    <phoneticPr fontId="28" type="noConversion"/>
  </si>
  <si>
    <t>웅동</t>
  </si>
  <si>
    <t>녹산</t>
  </si>
  <si>
    <t>ADM JIZZAKH</t>
    <phoneticPr fontId="28" type="noConversion"/>
  </si>
  <si>
    <t>F000018806</t>
    <phoneticPr fontId="28" type="noConversion"/>
  </si>
  <si>
    <t>MENANG (기아)</t>
    <phoneticPr fontId="28" type="noConversion"/>
  </si>
  <si>
    <t>현대차 말레이시아 공장 (메낭 현차)</t>
    <phoneticPr fontId="28" type="noConversion"/>
  </si>
  <si>
    <t>MENANG(HMC)</t>
    <phoneticPr fontId="28" type="noConversion"/>
  </si>
  <si>
    <t>CA0241</t>
    <phoneticPr fontId="28" type="noConversion"/>
  </si>
  <si>
    <t>ECGAL</t>
  </si>
  <si>
    <t>A (입력값)</t>
  </si>
  <si>
    <t>B (결과코드)</t>
  </si>
  <si>
    <t>KRPUS</t>
  </si>
  <si>
    <t>BUSAN</t>
  </si>
  <si>
    <t>KRUSN</t>
  </si>
  <si>
    <t>KRONS</t>
  </si>
  <si>
    <t>KRINC_FRY</t>
  </si>
  <si>
    <t>INCHEON</t>
  </si>
  <si>
    <t>KRINC_NEW</t>
  </si>
  <si>
    <t>SEOYON SUMMIT AUTO</t>
    <phoneticPr fontId="28" type="noConversion"/>
  </si>
  <si>
    <t>F000019385(본사 직정산?확인할 것)</t>
    <phoneticPr fontId="28" type="noConversion"/>
  </si>
  <si>
    <t>현재 기아만 발생~</t>
    <phoneticPr fontId="28" type="noConversion"/>
  </si>
  <si>
    <t>KRONS</t>
    <phoneticPr fontId="30" type="noConversion"/>
  </si>
  <si>
    <t>KRONS</t>
    <phoneticPr fontId="28" type="noConversion"/>
  </si>
  <si>
    <t>한솔로지스틱스</t>
    <phoneticPr fontId="28" type="noConversion"/>
  </si>
  <si>
    <t>B000032695</t>
  </si>
  <si>
    <t>S210</t>
  </si>
  <si>
    <t>LOCATION</t>
    <phoneticPr fontId="45" type="noConversion"/>
  </si>
  <si>
    <t>DESCRIPTION</t>
    <phoneticPr fontId="45" type="noConversion"/>
  </si>
  <si>
    <t>구분</t>
    <phoneticPr fontId="45" type="noConversion"/>
  </si>
  <si>
    <r>
      <t>KD</t>
    </r>
    <r>
      <rPr>
        <sz val="10"/>
        <rFont val="맑은 고딕"/>
        <family val="3"/>
        <charset val="129"/>
      </rPr>
      <t>보낼값</t>
    </r>
    <phoneticPr fontId="45" type="noConversion"/>
  </si>
  <si>
    <t>03002007</t>
  </si>
  <si>
    <t>부산세관 신항지정장치장</t>
  </si>
  <si>
    <t>KRBNP_ZONE</t>
    <phoneticPr fontId="45" type="noConversion"/>
  </si>
  <si>
    <t>[KRBNP]BUSAN(NEW)</t>
    <phoneticPr fontId="45" type="noConversion"/>
  </si>
  <si>
    <t>[KRBNP]BUSAN(NEW)</t>
  </si>
  <si>
    <t>한진부산컨테이너터미널 (HJNC)</t>
  </si>
  <si>
    <t>03077007</t>
  </si>
  <si>
    <t>한진해운신항만㈜자유무역지역</t>
  </si>
  <si>
    <t>현대부산신항만 (HPNT)</t>
  </si>
  <si>
    <t>03077012</t>
  </si>
  <si>
    <t>현대부산신항만㈜CFS</t>
  </si>
  <si>
    <t>03077013</t>
  </si>
  <si>
    <t>부산컨테이너터미널(주)</t>
  </si>
  <si>
    <t>03077135</t>
  </si>
  <si>
    <t>동원글로벌컨테이너부산</t>
  </si>
  <si>
    <t>03078001</t>
  </si>
  <si>
    <t>씨스테인웨그</t>
  </si>
  <si>
    <t>B015_KOSENAG</t>
  </si>
  <si>
    <t>코센코안골 CY</t>
  </si>
  <si>
    <t>B015_SB1CY</t>
  </si>
  <si>
    <t>SB1CY(세방)</t>
  </si>
  <si>
    <t>SB2CY(세방)</t>
  </si>
  <si>
    <t>SB청암신항</t>
  </si>
  <si>
    <t>천우(세방)</t>
  </si>
  <si>
    <t>이지스 두동(세방)</t>
  </si>
  <si>
    <t>세방신항쿨스</t>
  </si>
  <si>
    <t>세방녹산쿨스</t>
  </si>
  <si>
    <t>송정(세방)</t>
  </si>
  <si>
    <t>세방&amp;제니스CY</t>
  </si>
  <si>
    <t>B590_HTBCT</t>
  </si>
  <si>
    <t>BCT(한타)</t>
  </si>
  <si>
    <t>B590_HTBGDC</t>
  </si>
  <si>
    <t>BGDC(한타)</t>
  </si>
  <si>
    <t>B590_HTJS</t>
  </si>
  <si>
    <t>지사물류(한타)</t>
  </si>
  <si>
    <t>B590_HTNS</t>
  </si>
  <si>
    <t>녹산CY(한타)</t>
  </si>
  <si>
    <t>B590_HTSH</t>
  </si>
  <si>
    <t>신항CY(한타)</t>
  </si>
  <si>
    <t>E922_DAEWOO</t>
    <phoneticPr fontId="45" type="noConversion"/>
  </si>
  <si>
    <t>대우로지스 CY</t>
  </si>
  <si>
    <t>E922_DGT</t>
  </si>
  <si>
    <t>동원글로벌터미널</t>
  </si>
  <si>
    <t>KRBNP</t>
  </si>
  <si>
    <t>BUSAN NEW PORT</t>
  </si>
  <si>
    <t>KRPUS_NEW</t>
  </si>
  <si>
    <t>S004_LOTNS</t>
  </si>
  <si>
    <t>롯데녹산CY</t>
  </si>
  <si>
    <t>SDR_NEW</t>
  </si>
  <si>
    <t>신대륙 (신항)</t>
  </si>
  <si>
    <t>YDF</t>
  </si>
  <si>
    <t>웅동CY</t>
  </si>
  <si>
    <t>03912047</t>
  </si>
  <si>
    <t>고려우암콘테이너</t>
  </si>
  <si>
    <t>KRPUS_ZONE</t>
  </si>
  <si>
    <t>[KRPUS]BUSAN</t>
  </si>
  <si>
    <t>KRPUS_ZONE</t>
    <phoneticPr fontId="45" type="noConversion"/>
  </si>
  <si>
    <t>03012010</t>
  </si>
  <si>
    <t>신감만 한국허치슨(주)컨테이너</t>
  </si>
  <si>
    <t>03012219</t>
  </si>
  <si>
    <t>인터지스 감만 터미널 (BGCT)</t>
  </si>
  <si>
    <t>03012257</t>
  </si>
  <si>
    <t>KCTC-우암터미널 (UTC)</t>
  </si>
  <si>
    <t>03012312</t>
  </si>
  <si>
    <t>동부부산컨테이너터미널 (DPCT)</t>
  </si>
  <si>
    <t>03012343</t>
  </si>
  <si>
    <t>인터지스7부두 (부산항 제7부두)</t>
  </si>
  <si>
    <t>03077016</t>
  </si>
  <si>
    <t>03077076</t>
  </si>
  <si>
    <t>(주)국보CY</t>
  </si>
  <si>
    <t>B015_SBEZY</t>
  </si>
  <si>
    <t>이지콘(세방)</t>
  </si>
  <si>
    <t>B590_DNK</t>
  </si>
  <si>
    <t>디엔케이물류</t>
  </si>
  <si>
    <t>B590_HTYJ</t>
  </si>
  <si>
    <t>영진CY(한타)</t>
  </si>
  <si>
    <t>BEST_F</t>
  </si>
  <si>
    <t>베스트우암(북항)</t>
  </si>
  <si>
    <t>BUSAN, KOREA</t>
  </si>
  <si>
    <t>KRPUS_OLD</t>
  </si>
  <si>
    <t>BUSAN PORT (OLD)</t>
  </si>
  <si>
    <t>KUKDONG_F</t>
  </si>
  <si>
    <t>극동 CY</t>
  </si>
  <si>
    <t>NDW_CY</t>
  </si>
  <si>
    <t>뉴대원 CY</t>
  </si>
  <si>
    <t>SGUM_CY</t>
  </si>
  <si>
    <t>SB청암</t>
  </si>
  <si>
    <t>KRKAN_ZONE</t>
    <phoneticPr fontId="45" type="noConversion"/>
  </si>
  <si>
    <t>[KRKY] KWANGYANG</t>
  </si>
  <si>
    <t>KRKAN_ZONE</t>
  </si>
  <si>
    <t>광양항관세자유지역(세방)</t>
  </si>
  <si>
    <t>KWANGYANG, REPUBLIC OF KOREA</t>
  </si>
  <si>
    <t>KRPTK_ZONE</t>
    <phoneticPr fontId="45" type="noConversion"/>
  </si>
  <si>
    <t>[KRPTK] PYONGTAEK</t>
  </si>
  <si>
    <t>KRPTK_ZONE</t>
  </si>
  <si>
    <t>KRINC_OLD_ZONE</t>
    <phoneticPr fontId="45" type="noConversion"/>
  </si>
  <si>
    <t>[KRINC] INCHEON</t>
  </si>
  <si>
    <t>E1 컨테이너 터미널</t>
  </si>
  <si>
    <t>KRINC_OLD_ZONE</t>
  </si>
  <si>
    <t>INCHEON, KOREA</t>
  </si>
  <si>
    <t>KRINC_OLD</t>
  </si>
  <si>
    <t>인천 구항</t>
  </si>
  <si>
    <t>선광신컨테이너터미널보세창고</t>
  </si>
  <si>
    <t>KRINC_NEW_ZONE</t>
    <phoneticPr fontId="45" type="noConversion"/>
  </si>
  <si>
    <t>KRINC_NEW_ZONE</t>
  </si>
  <si>
    <t>02012230</t>
  </si>
  <si>
    <t>선광 인천 터미널 (ISCT)</t>
  </si>
  <si>
    <t>인천 신항</t>
  </si>
  <si>
    <t>LA4104</t>
  </si>
  <si>
    <t>THE LOGIS_CY</t>
  </si>
  <si>
    <t>더로지스 CY</t>
  </si>
  <si>
    <t>KRINC_FRY_ZONE</t>
    <phoneticPr fontId="45" type="noConversion"/>
  </si>
  <si>
    <t>인천항국제여객부두 컨테이너 보세창고</t>
  </si>
  <si>
    <t>KRINC_FRY_ZONE</t>
  </si>
  <si>
    <t>11012030</t>
  </si>
  <si>
    <t>정일부두</t>
  </si>
  <si>
    <t>KRUSN_OLD_ZONE</t>
    <phoneticPr fontId="45" type="noConversion"/>
  </si>
  <si>
    <t>[KRONS] ONSAN</t>
  </si>
  <si>
    <t>KRUSN_OLD</t>
  </si>
  <si>
    <t>11012002</t>
  </si>
  <si>
    <t>울산신항컨테이너터미널</t>
  </si>
  <si>
    <t>KRUSN_NEW_ZONE</t>
    <phoneticPr fontId="45" type="noConversion"/>
  </si>
  <si>
    <t>[KRUSN] ULSAN</t>
  </si>
  <si>
    <t>11012003</t>
  </si>
  <si>
    <t>KRUSN_NEW_ZONE</t>
  </si>
  <si>
    <t>ULSAN, KOREA</t>
  </si>
  <si>
    <t>KRUSN_NEW</t>
  </si>
  <si>
    <t>S103</t>
    <phoneticPr fontId="28" type="noConversion"/>
  </si>
  <si>
    <t>QINGDAO, XINGANG
김장훈 KIA</t>
    <phoneticPr fontId="28" type="noConversion"/>
  </si>
  <si>
    <t>KIA(PENANG)</t>
    <phoneticPr fontId="28" type="noConversion"/>
  </si>
  <si>
    <t>곡성 금호타이어</t>
    <phoneticPr fontId="28" type="noConversion"/>
  </si>
  <si>
    <t>H000_GG2</t>
    <phoneticPr fontId="28" type="noConversion"/>
  </si>
  <si>
    <t>전라남도 곡성군 입면 금호길 85-63 금호타이어</t>
    <phoneticPr fontId="30" type="noConversion"/>
  </si>
  <si>
    <t>F000018792</t>
    <phoneticPr fontId="28" type="noConversion"/>
  </si>
  <si>
    <t>MAGNA</t>
    <phoneticPr fontId="28" type="noConversion"/>
  </si>
  <si>
    <t>마그나 오토모티브</t>
  </si>
  <si>
    <t>기아㈜</t>
    <phoneticPr fontId="28" type="noConversion"/>
  </si>
  <si>
    <t>MC09</t>
    <phoneticPr fontId="28" type="noConversion"/>
  </si>
  <si>
    <t>CNA</t>
    <phoneticPr fontId="28" type="noConversion"/>
  </si>
  <si>
    <t>S106</t>
  </si>
  <si>
    <t>S258</t>
  </si>
  <si>
    <t>LA0317</t>
  </si>
  <si>
    <t>S024</t>
  </si>
  <si>
    <t>E234</t>
  </si>
  <si>
    <t>S199</t>
  </si>
  <si>
    <t>S101</t>
  </si>
  <si>
    <t>S056</t>
  </si>
  <si>
    <t>S071</t>
  </si>
  <si>
    <t>S028</t>
  </si>
  <si>
    <t>S010</t>
  </si>
  <si>
    <t>GA2650</t>
  </si>
  <si>
    <t>I216</t>
  </si>
  <si>
    <t>S667</t>
  </si>
  <si>
    <t>E1669</t>
  </si>
  <si>
    <t>LA2574</t>
  </si>
  <si>
    <t>S117</t>
  </si>
  <si>
    <t>LA1082</t>
  </si>
  <si>
    <t>S682</t>
  </si>
  <si>
    <t>S897</t>
  </si>
  <si>
    <t>S094</t>
  </si>
  <si>
    <t>LA3632</t>
  </si>
  <si>
    <t>B000118982</t>
  </si>
  <si>
    <t>E299</t>
  </si>
  <si>
    <t>S669</t>
  </si>
  <si>
    <t>E659</t>
  </si>
  <si>
    <t>F000018181</t>
  </si>
  <si>
    <t>S147</t>
  </si>
  <si>
    <t>GLPAS선사(해당 코드만 사용!!)  I/F</t>
    <phoneticPr fontId="28" type="noConversion"/>
  </si>
  <si>
    <t>GLOVE 선사코드</t>
    <phoneticPr fontId="28" type="noConversion"/>
  </si>
  <si>
    <r>
      <t xml:space="preserve">GLPAS선사
</t>
    </r>
    <r>
      <rPr>
        <b/>
        <sz val="9"/>
        <color rgb="FFFF0000"/>
        <rFont val="harmony"/>
        <family val="3"/>
        <charset val="129"/>
      </rPr>
      <t>(해당 코드만 사용!!)</t>
    </r>
    <r>
      <rPr>
        <sz val="9"/>
        <rFont val="harmony"/>
        <family val="3"/>
        <charset val="129"/>
      </rPr>
      <t xml:space="preserve">  I/F</t>
    </r>
    <phoneticPr fontId="28" type="noConversion"/>
  </si>
  <si>
    <t>KMD</t>
    <phoneticPr fontId="28" type="noConversion"/>
  </si>
  <si>
    <t>[KM] KMTC</t>
    <phoneticPr fontId="28" type="noConversion"/>
  </si>
  <si>
    <t>EMA</t>
    <phoneticPr fontId="28" type="noConversion"/>
  </si>
  <si>
    <t>[EG] EVERGREEN</t>
    <phoneticPr fontId="28" type="noConversion"/>
  </si>
  <si>
    <t>ONE</t>
    <phoneticPr fontId="28" type="noConversion"/>
  </si>
  <si>
    <t>[ON] ONE</t>
    <phoneticPr fontId="28" type="noConversion"/>
  </si>
  <si>
    <t>MAE</t>
    <phoneticPr fontId="28" type="noConversion"/>
  </si>
  <si>
    <t>[MA] MAERSK</t>
    <phoneticPr fontId="28" type="noConversion"/>
  </si>
  <si>
    <t>CMA</t>
    <phoneticPr fontId="28" type="noConversion"/>
  </si>
  <si>
    <t>[CM] CMA</t>
    <phoneticPr fontId="28" type="noConversion"/>
  </si>
  <si>
    <t>WHL</t>
    <phoneticPr fontId="28" type="noConversion"/>
  </si>
  <si>
    <t>[WL] WANHAI LINE</t>
    <phoneticPr fontId="28" type="noConversion"/>
  </si>
  <si>
    <t>CNC</t>
    <phoneticPr fontId="28" type="noConversion"/>
  </si>
  <si>
    <t>[CN] CNC</t>
    <phoneticPr fontId="28" type="noConversion"/>
  </si>
  <si>
    <t>COH</t>
    <phoneticPr fontId="28" type="noConversion"/>
  </si>
  <si>
    <t>[CH] CO HEUNG</t>
    <phoneticPr fontId="28" type="noConversion"/>
  </si>
  <si>
    <t>NSL</t>
    <phoneticPr fontId="28" type="noConversion"/>
  </si>
  <si>
    <t>[NS] 남성해운</t>
    <phoneticPr fontId="28" type="noConversion"/>
  </si>
  <si>
    <t>SKR</t>
    <phoneticPr fontId="28" type="noConversion"/>
  </si>
  <si>
    <t>[JS] 장금상선</t>
    <phoneticPr fontId="28" type="noConversion"/>
  </si>
  <si>
    <t>MSC</t>
    <phoneticPr fontId="28" type="noConversion"/>
  </si>
  <si>
    <t>[MS] MSC</t>
    <phoneticPr fontId="28" type="noConversion"/>
  </si>
  <si>
    <t>HLC</t>
    <phoneticPr fontId="28" type="noConversion"/>
  </si>
  <si>
    <t>[HL] HAPAG LLOYD</t>
    <phoneticPr fontId="28" type="noConversion"/>
  </si>
  <si>
    <t>HMM</t>
    <phoneticPr fontId="28" type="noConversion"/>
  </si>
  <si>
    <t>[HS] 현대상선</t>
    <phoneticPr fontId="28" type="noConversion"/>
  </si>
  <si>
    <t>[CG] 성도글로비스</t>
    <phoneticPr fontId="28" type="noConversion"/>
  </si>
  <si>
    <t>FERRY</t>
    <phoneticPr fontId="28" type="noConversion"/>
  </si>
  <si>
    <t>[PE] FERRY</t>
    <phoneticPr fontId="28" type="noConversion"/>
  </si>
  <si>
    <t>SLK</t>
    <phoneticPr fontId="28" type="noConversion"/>
  </si>
  <si>
    <t>[SL] SEALEAD</t>
    <phoneticPr fontId="28" type="noConversion"/>
  </si>
  <si>
    <t>SIT</t>
    <phoneticPr fontId="28" type="noConversion"/>
  </si>
  <si>
    <t>[SI] SITC</t>
    <phoneticPr fontId="28" type="noConversion"/>
  </si>
  <si>
    <t>DYS</t>
    <phoneticPr fontId="28" type="noConversion"/>
  </si>
  <si>
    <t>[DY] 동영해운</t>
    <phoneticPr fontId="28" type="noConversion"/>
  </si>
  <si>
    <t>HAS</t>
    <phoneticPr fontId="28" type="noConversion"/>
  </si>
  <si>
    <t>[HA] 흥아해운</t>
    <phoneticPr fontId="28" type="noConversion"/>
  </si>
  <si>
    <t>OOL</t>
    <phoneticPr fontId="28" type="noConversion"/>
  </si>
  <si>
    <t>[OC] OOCL</t>
    <phoneticPr fontId="28" type="noConversion"/>
  </si>
  <si>
    <t>SML</t>
    <phoneticPr fontId="28" type="noConversion"/>
  </si>
  <si>
    <t>[SM] SM상선</t>
    <phoneticPr fontId="28" type="noConversion"/>
  </si>
  <si>
    <t>COS</t>
    <phoneticPr fontId="28" type="noConversion"/>
  </si>
  <si>
    <t>[CO] COSCO</t>
    <phoneticPr fontId="28" type="noConversion"/>
  </si>
  <si>
    <t>HSL</t>
    <phoneticPr fontId="28" type="noConversion"/>
  </si>
  <si>
    <t>[HG] 한성라인</t>
    <phoneticPr fontId="28" type="noConversion"/>
  </si>
  <si>
    <t>DWS</t>
    <phoneticPr fontId="28" type="noConversion"/>
  </si>
  <si>
    <t>[OO] DOOWOO</t>
    <phoneticPr fontId="28" type="noConversion"/>
  </si>
  <si>
    <t>IAL</t>
    <phoneticPr fontId="28" type="noConversion"/>
  </si>
  <si>
    <t>[IA] IAL</t>
    <phoneticPr fontId="28" type="noConversion"/>
  </si>
  <si>
    <t>JP</t>
    <phoneticPr fontId="28" type="noConversion"/>
  </si>
  <si>
    <t>[JP] JP</t>
    <phoneticPr fontId="28" type="noConversion"/>
  </si>
  <si>
    <t>YML</t>
    <phoneticPr fontId="28" type="noConversion"/>
  </si>
  <si>
    <t>[YM] YANG MING</t>
    <phoneticPr fontId="28" type="noConversion"/>
  </si>
  <si>
    <t>WDF</t>
    <phoneticPr fontId="28" type="noConversion"/>
  </si>
  <si>
    <t>[WD] 위동항운</t>
    <phoneticPr fontId="28" type="noConversion"/>
  </si>
  <si>
    <t>TSL</t>
    <phoneticPr fontId="28" type="noConversion"/>
  </si>
  <si>
    <t>[TL] TS LINES</t>
    <phoneticPr fontId="28" type="noConversion"/>
  </si>
  <si>
    <t>반출지</t>
    <phoneticPr fontId="30" type="noConversion"/>
  </si>
  <si>
    <t>터미널명칭</t>
    <phoneticPr fontId="28" type="noConversion"/>
  </si>
  <si>
    <t>PNCT</t>
    <phoneticPr fontId="28" type="noConversion"/>
  </si>
  <si>
    <t>한진인천</t>
    <phoneticPr fontId="28" type="noConversion"/>
  </si>
  <si>
    <t>다목적</t>
    <phoneticPr fontId="28" type="noConversion"/>
  </si>
  <si>
    <t>HJNC</t>
    <phoneticPr fontId="28" type="noConversion"/>
  </si>
  <si>
    <t>HPNT</t>
    <phoneticPr fontId="28" type="noConversion"/>
  </si>
  <si>
    <t>PNIT</t>
    <phoneticPr fontId="28" type="noConversion"/>
  </si>
  <si>
    <t>BNCT</t>
    <phoneticPr fontId="28" type="noConversion"/>
  </si>
  <si>
    <t>PNC</t>
    <phoneticPr fontId="28" type="noConversion"/>
  </si>
  <si>
    <t>BCT</t>
    <phoneticPr fontId="28" type="noConversion"/>
  </si>
  <si>
    <t>DGT</t>
    <phoneticPr fontId="28" type="noConversion"/>
  </si>
  <si>
    <t>울산신항</t>
    <phoneticPr fontId="28" type="noConversion"/>
  </si>
  <si>
    <t>울산정일</t>
    <phoneticPr fontId="28" type="noConversion"/>
  </si>
  <si>
    <t>군산항</t>
    <phoneticPr fontId="28" type="noConversion"/>
  </si>
  <si>
    <t>한국국제</t>
    <phoneticPr fontId="28" type="noConversion"/>
  </si>
  <si>
    <t>의왕</t>
    <phoneticPr fontId="28" type="noConversion"/>
  </si>
  <si>
    <t>포항신항</t>
    <phoneticPr fontId="28" type="noConversion"/>
  </si>
  <si>
    <t>PCTC</t>
    <phoneticPr fontId="28" type="noConversion"/>
  </si>
  <si>
    <t>선광신인천</t>
    <phoneticPr fontId="28" type="noConversion"/>
  </si>
  <si>
    <t>선광인천</t>
    <phoneticPr fontId="28" type="noConversion"/>
  </si>
  <si>
    <t>선광종합</t>
    <phoneticPr fontId="28" type="noConversion"/>
  </si>
  <si>
    <t>인천항</t>
    <phoneticPr fontId="28" type="noConversion"/>
  </si>
  <si>
    <t>BPT신선대</t>
    <phoneticPr fontId="28" type="noConversion"/>
  </si>
  <si>
    <t>BPT감만</t>
    <phoneticPr fontId="28" type="noConversion"/>
  </si>
  <si>
    <t>HBCT</t>
    <phoneticPr fontId="28" type="noConversion"/>
  </si>
  <si>
    <t>인천여객</t>
    <phoneticPr fontId="28" type="noConversion"/>
  </si>
  <si>
    <t>E1</t>
    <phoneticPr fontId="28" type="noConversion"/>
  </si>
  <si>
    <t>KCTC우암</t>
    <phoneticPr fontId="28" type="noConversion"/>
  </si>
  <si>
    <t>7부두</t>
    <phoneticPr fontId="28" type="noConversion"/>
  </si>
  <si>
    <t>DPCT</t>
    <phoneticPr fontId="28" type="noConversion"/>
  </si>
  <si>
    <t>신감만</t>
    <phoneticPr fontId="28" type="noConversion"/>
  </si>
  <si>
    <t xml:space="preserve">배후단지
</t>
    <phoneticPr fontId="28" type="noConversion"/>
  </si>
  <si>
    <t>SB송정CY</t>
  </si>
  <si>
    <t>부산 강서구 송정동 870-5, 송정W/H</t>
  </si>
  <si>
    <t>이지스녹산</t>
  </si>
  <si>
    <t>부산시 강서구 녹산산업북로 119 이지스녹산</t>
  </si>
  <si>
    <t>서측CY</t>
  </si>
  <si>
    <t>경상남도 창원시 진해구 수도동 301번지</t>
  </si>
  <si>
    <t>제니스</t>
  </si>
  <si>
    <t>부산광역시 강서구 송정동 1711-4 세방제니스CY</t>
  </si>
  <si>
    <t>부산 강서구 송정동1196-1 SB청암신항</t>
  </si>
  <si>
    <t>코센코안골</t>
  </si>
  <si>
    <t>경상남도 창원시 진해구 안골로89번길 106 코센코안골CY</t>
  </si>
  <si>
    <t>청암북항</t>
  </si>
  <si>
    <t>부산광역시 남구 우암로 127 SB청암북항</t>
  </si>
  <si>
    <t>북항</t>
  </si>
  <si>
    <t>이지콘CY</t>
  </si>
  <si>
    <t>부산 동구 성남로 27 이지콘CY</t>
  </si>
  <si>
    <t>한타송정CY</t>
  </si>
  <si>
    <t>부산광역시 강서구 송정동 1190-32</t>
  </si>
  <si>
    <t>B590_HTSJ</t>
  </si>
  <si>
    <t>신항CY</t>
  </si>
  <si>
    <t>경남 창원시 진해구 용원동 1337-7</t>
  </si>
  <si>
    <t>BGDC</t>
  </si>
  <si>
    <t>경상남도 창원시 진해구 신항4로 15-77</t>
  </si>
  <si>
    <t>DWL(대우로지스)</t>
  </si>
  <si>
    <t>경남 창원시 진해구 신항9로 136</t>
  </si>
  <si>
    <t>B590_HTDWL</t>
  </si>
  <si>
    <t>대우로지스</t>
  </si>
  <si>
    <t>경남 창원시 진해구 남문동 1190-1</t>
  </si>
  <si>
    <t>E922_DAEWOO</t>
  </si>
  <si>
    <t>경상남도 창원시 진해구 신항로 633</t>
  </si>
  <si>
    <t>셀맥 팽성</t>
    <phoneticPr fontId="28" type="noConversion"/>
  </si>
  <si>
    <t>반입지</t>
    <phoneticPr fontId="30" type="noConversion"/>
  </si>
  <si>
    <t>청암신항</t>
    <phoneticPr fontId="28" type="noConversion"/>
  </si>
  <si>
    <t>KRINC</t>
    <phoneticPr fontId="28" type="noConversion"/>
  </si>
  <si>
    <t>ULSAN</t>
    <phoneticPr fontId="28" type="noConversion"/>
  </si>
  <si>
    <t>공휴일,
위험물,중량</t>
    <phoneticPr fontId="30" type="noConversion"/>
  </si>
  <si>
    <t>KWANGYANG</t>
    <phoneticPr fontId="28" type="noConversion"/>
  </si>
  <si>
    <t>GUNSAN</t>
    <phoneticPr fontId="28" type="noConversion"/>
  </si>
  <si>
    <t>PYONGTAEK</t>
    <phoneticPr fontId="28" type="noConversion"/>
  </si>
  <si>
    <t>세방</t>
  </si>
  <si>
    <t>세방</t>
    <phoneticPr fontId="28" type="noConversion"/>
  </si>
  <si>
    <t>..=IF(OR(K3="BUSAN(NEW)",K3="BUSAN"),IF(W3="세방",IF(K3="BUSAN(NEW)","03077102","03077016"),IFERROR(VLOOKUP(W3,GLAPS정리!AE42:AF50,2,FALSE),"")),"")</t>
  </si>
  <si>
    <t>..=IF(W3="세방",IF(K3="BUSAN(NEW)","03077102",IF(K3="BUSAN","03077016","")),IFERROR(VLOOKUP(W3,GLAPS정리!AE3:AF50,2,FALSE),""))</t>
  </si>
  <si>
    <t>반입지함수참고</t>
  </si>
  <si>
    <t>상차지</t>
    <phoneticPr fontId="28" type="noConversion"/>
  </si>
  <si>
    <t>반입일
(ODCY/터미널)</t>
    <phoneticPr fontId="30" type="noConversion"/>
  </si>
  <si>
    <t>ODCY
세부명칭</t>
    <phoneticPr fontId="30" type="noConversion"/>
  </si>
  <si>
    <t>목록외 작성금지</t>
  </si>
  <si>
    <t>목록외 작성금지</t>
    <phoneticPr fontId="30" type="noConversion"/>
  </si>
  <si>
    <t>CKD선사(시스템)</t>
    <phoneticPr fontId="28" type="noConversion"/>
  </si>
  <si>
    <t>CKD선사(메일오더)</t>
    <phoneticPr fontId="28" type="noConversion"/>
  </si>
  <si>
    <t>KMTC</t>
    <phoneticPr fontId="28" type="noConversion"/>
  </si>
  <si>
    <t>EVERGREEN</t>
    <phoneticPr fontId="28" type="noConversion"/>
  </si>
  <si>
    <t>MAERSK</t>
    <phoneticPr fontId="28" type="noConversion"/>
  </si>
  <si>
    <t>WANHAI LINE</t>
    <phoneticPr fontId="28" type="noConversion"/>
  </si>
  <si>
    <t>CO HEUNG</t>
    <phoneticPr fontId="28" type="noConversion"/>
  </si>
  <si>
    <t>남성해운</t>
    <phoneticPr fontId="28" type="noConversion"/>
  </si>
  <si>
    <t>장금상선</t>
    <phoneticPr fontId="28" type="noConversion"/>
  </si>
  <si>
    <t>HAPAG LLOYD</t>
    <phoneticPr fontId="28" type="noConversion"/>
  </si>
  <si>
    <t>현대상선</t>
    <phoneticPr fontId="28" type="noConversion"/>
  </si>
  <si>
    <t>성도글로비스</t>
    <phoneticPr fontId="28" type="noConversion"/>
  </si>
  <si>
    <t>SEALEAD</t>
    <phoneticPr fontId="28" type="noConversion"/>
  </si>
  <si>
    <t>SITC</t>
    <phoneticPr fontId="28" type="noConversion"/>
  </si>
  <si>
    <t>흥아해운</t>
    <phoneticPr fontId="28" type="noConversion"/>
  </si>
  <si>
    <t>동영해운</t>
    <phoneticPr fontId="28" type="noConversion"/>
  </si>
  <si>
    <t>OOCL</t>
    <phoneticPr fontId="28" type="noConversion"/>
  </si>
  <si>
    <t>SM상선</t>
    <phoneticPr fontId="28" type="noConversion"/>
  </si>
  <si>
    <t>COSCO</t>
    <phoneticPr fontId="28" type="noConversion"/>
  </si>
  <si>
    <t>한성라인</t>
    <phoneticPr fontId="28" type="noConversion"/>
  </si>
  <si>
    <t>DOOWOO</t>
    <phoneticPr fontId="28" type="noConversion"/>
  </si>
  <si>
    <t>YANG MING</t>
    <phoneticPr fontId="28" type="noConversion"/>
  </si>
  <si>
    <t>위동항운</t>
    <phoneticPr fontId="28" type="noConversion"/>
  </si>
  <si>
    <t>TS LINES</t>
    <phoneticPr fontId="28" type="noConversion"/>
  </si>
  <si>
    <t>EAS</t>
  </si>
  <si>
    <t>PORT KLENG</t>
  </si>
  <si>
    <t>MENANG</t>
    <phoneticPr fontId="28" type="noConversion"/>
  </si>
  <si>
    <t>F000018889/미발생</t>
    <phoneticPr fontId="28" type="noConversion"/>
  </si>
  <si>
    <t>GGJ</t>
  </si>
  <si>
    <t>ODCY(세방)
반입터미널</t>
    <phoneticPr fontId="30" type="noConversion"/>
  </si>
  <si>
    <t>GLS(첨단)</t>
  </si>
  <si>
    <t>KIA(PENANG)</t>
    <phoneticPr fontId="30" type="noConversion"/>
  </si>
  <si>
    <t>전주 뷰텍 2포장장</t>
  </si>
  <si>
    <t>FJJ</t>
  </si>
  <si>
    <t>리퍼 ,위험물
위험물리퍼</t>
    <phoneticPr fontId="30" type="noConversion"/>
  </si>
  <si>
    <t>KIA-실 고객사 확인 수정</t>
    <phoneticPr fontId="30" type="noConversion"/>
  </si>
  <si>
    <t>전주 뷰텍 1포장장</t>
    <phoneticPr fontId="28" type="noConversion"/>
  </si>
  <si>
    <t>광주 YSP</t>
    <phoneticPr fontId="28" type="noConversion"/>
  </si>
  <si>
    <t>울산 1포장장</t>
    <phoneticPr fontId="28" type="noConversion"/>
  </si>
  <si>
    <t>울산 2포장장</t>
    <phoneticPr fontId="28" type="noConversion"/>
  </si>
  <si>
    <t>울산 PLS</t>
    <phoneticPr fontId="28" type="noConversion"/>
  </si>
  <si>
    <t>울산 하나TPS</t>
    <phoneticPr fontId="28" type="noConversion"/>
  </si>
  <si>
    <t>모듈</t>
  </si>
  <si>
    <t>GA1588</t>
  </si>
  <si>
    <t>MOBBEL</t>
  </si>
  <si>
    <t>한타</t>
    <phoneticPr fontId="28" type="noConversion"/>
  </si>
  <si>
    <t>평택당진항</t>
    <phoneticPr fontId="28" type="noConversion"/>
  </si>
  <si>
    <t>컨테이너
종류
 (위험물,리퍼)</t>
    <phoneticPr fontId="30" type="noConversion"/>
  </si>
  <si>
    <t>S013</t>
  </si>
  <si>
    <t>부킹</t>
    <phoneticPr fontId="30" type="noConversion"/>
  </si>
  <si>
    <t>반입지(DESTI~) 함수</t>
  </si>
  <si>
    <t>입력X</t>
    <phoneticPr fontId="30" type="noConversion"/>
  </si>
  <si>
    <t>KRKUV</t>
    <phoneticPr fontId="28" type="noConversion"/>
  </si>
  <si>
    <r>
      <t xml:space="preserve">GLAPS </t>
    </r>
    <r>
      <rPr>
        <sz val="10"/>
        <rFont val="맑은 고딕"/>
        <family val="3"/>
        <charset val="129"/>
      </rPr>
      <t>코드</t>
    </r>
    <phoneticPr fontId="44" type="noConversion"/>
  </si>
  <si>
    <r>
      <t xml:space="preserve">GLAPS </t>
    </r>
    <r>
      <rPr>
        <sz val="10"/>
        <rFont val="맑은 고딕"/>
        <family val="2"/>
        <charset val="129"/>
      </rPr>
      <t>포트</t>
    </r>
    <phoneticPr fontId="44" type="noConversion"/>
  </si>
  <si>
    <t>비고</t>
    <phoneticPr fontId="45" type="noConversion"/>
  </si>
  <si>
    <t xml:space="preserve">임시 시행업체 </t>
    <phoneticPr fontId="45" type="noConversion"/>
  </si>
  <si>
    <t>로케이션</t>
    <phoneticPr fontId="45" type="noConversion"/>
  </si>
  <si>
    <t>KCTDC</t>
  </si>
  <si>
    <r>
      <rPr>
        <sz val="10"/>
        <rFont val="맑은 고딕"/>
        <family val="3"/>
        <charset val="129"/>
      </rPr>
      <t>부산세관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신항지정장치장</t>
    </r>
    <phoneticPr fontId="45" type="noConversion"/>
  </si>
  <si>
    <t>PNDKC</t>
  </si>
  <si>
    <t>03077003</t>
    <phoneticPr fontId="45" type="noConversion"/>
  </si>
  <si>
    <t>HJNCP</t>
  </si>
  <si>
    <r>
      <rPr>
        <sz val="10"/>
        <rFont val="맑은 고딕"/>
        <family val="3"/>
        <charset val="129"/>
      </rPr>
      <t>한진부산컨테이너터미널</t>
    </r>
    <r>
      <rPr>
        <sz val="10"/>
        <rFont val="Arial"/>
        <family val="2"/>
      </rPr>
      <t xml:space="preserve"> (HJNC)</t>
    </r>
    <phoneticPr fontId="45" type="noConversion"/>
  </si>
  <si>
    <t>03077006</t>
    <phoneticPr fontId="45" type="noConversion"/>
  </si>
  <si>
    <t>HJNCF</t>
  </si>
  <si>
    <t>HPNTC</t>
  </si>
  <si>
    <t>HMMCY</t>
  </si>
  <si>
    <t>PNITC</t>
  </si>
  <si>
    <t>BNCTC</t>
  </si>
  <si>
    <t>PNCOC</t>
  </si>
  <si>
    <t>BCTHD</t>
  </si>
  <si>
    <t>DGTBC</t>
  </si>
  <si>
    <t>창고&amp;영업소</t>
    <phoneticPr fontId="45" type="noConversion"/>
  </si>
  <si>
    <t>B015KOSEN</t>
  </si>
  <si>
    <t>B015KOSENAG</t>
  </si>
  <si>
    <r>
      <rPr>
        <sz val="10"/>
        <rFont val="맑은 고딕"/>
        <family val="3"/>
        <charset val="129"/>
      </rPr>
      <t>코센코안골</t>
    </r>
    <r>
      <rPr>
        <sz val="10"/>
        <rFont val="Arial"/>
        <family val="2"/>
      </rPr>
      <t xml:space="preserve"> CY</t>
    </r>
    <phoneticPr fontId="45" type="noConversion"/>
  </si>
  <si>
    <t>B015SB1CY</t>
  </si>
  <si>
    <t>B015SB2CY</t>
  </si>
  <si>
    <t>B015SBCAM</t>
  </si>
  <si>
    <r>
      <t>SB</t>
    </r>
    <r>
      <rPr>
        <sz val="10"/>
        <rFont val="맑은 고딕"/>
        <family val="3"/>
        <charset val="129"/>
      </rPr>
      <t>청암신항</t>
    </r>
    <phoneticPr fontId="45" type="noConversion"/>
  </si>
  <si>
    <t>B015SBCHW</t>
  </si>
  <si>
    <t>B015SBIGS</t>
  </si>
  <si>
    <t>B015SBNPC</t>
  </si>
  <si>
    <t>B015SBNSC</t>
  </si>
  <si>
    <t>B015SBSWH</t>
  </si>
  <si>
    <r>
      <rPr>
        <sz val="10"/>
        <rFont val="맑은 고딕"/>
        <family val="3"/>
        <charset val="129"/>
      </rPr>
      <t>송정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세방</t>
    </r>
    <r>
      <rPr>
        <sz val="10"/>
        <rFont val="Arial"/>
        <family val="2"/>
      </rPr>
      <t>)</t>
    </r>
    <phoneticPr fontId="45" type="noConversion"/>
  </si>
  <si>
    <t>B015SBUNG</t>
  </si>
  <si>
    <t>B015SEJEN</t>
  </si>
  <si>
    <t>B590HTBCT</t>
  </si>
  <si>
    <t>B590HTBGDC</t>
  </si>
  <si>
    <t>B590HTJS</t>
  </si>
  <si>
    <t>B590HTNS</t>
  </si>
  <si>
    <t>B590HTSH</t>
  </si>
  <si>
    <t>B000004717</t>
  </si>
  <si>
    <t>E922_DGT</t>
    <phoneticPr fontId="45" type="noConversion"/>
  </si>
  <si>
    <t>미등록</t>
    <phoneticPr fontId="45" type="noConversion"/>
  </si>
  <si>
    <t>S004LOTNS</t>
  </si>
  <si>
    <t>추가</t>
    <phoneticPr fontId="45" type="noConversion"/>
  </si>
  <si>
    <t>B590HTDWL</t>
  </si>
  <si>
    <t>대우로지스(한타)</t>
  </si>
  <si>
    <t>KRBNP_ZONE</t>
  </si>
  <si>
    <t>KCTCC</t>
  </si>
  <si>
    <t/>
  </si>
  <si>
    <t>PPMLC</t>
  </si>
  <si>
    <t>BS1OC</t>
  </si>
  <si>
    <r>
      <rPr>
        <sz val="10"/>
        <rFont val="맑은 고딕"/>
        <family val="3"/>
        <charset val="129"/>
      </rPr>
      <t>제</t>
    </r>
    <r>
      <rPr>
        <sz val="10"/>
        <rFont val="Arial"/>
        <family val="2"/>
      </rPr>
      <t xml:space="preserve"> 1 </t>
    </r>
    <r>
      <rPr>
        <sz val="10"/>
        <rFont val="맑은 고딕"/>
        <family val="3"/>
        <charset val="129"/>
      </rPr>
      <t>부두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부산</t>
    </r>
    <r>
      <rPr>
        <sz val="10"/>
        <rFont val="Arial"/>
        <family val="2"/>
      </rPr>
      <t>)</t>
    </r>
    <phoneticPr fontId="45" type="noConversion"/>
  </si>
  <si>
    <t>03002010</t>
    <phoneticPr fontId="45" type="noConversion"/>
  </si>
  <si>
    <t>PPMEC</t>
  </si>
  <si>
    <t>KOPUC</t>
  </si>
  <si>
    <t>GCTOC</t>
  </si>
  <si>
    <t>KJTCC</t>
  </si>
  <si>
    <t>BICTC</t>
  </si>
  <si>
    <t>BCTOC</t>
  </si>
  <si>
    <t>PPMKC</t>
  </si>
  <si>
    <t>폐업</t>
    <phoneticPr fontId="45" type="noConversion"/>
  </si>
  <si>
    <t>GPDBC</t>
  </si>
  <si>
    <t>BS7OC</t>
  </si>
  <si>
    <t>PECTC</t>
  </si>
  <si>
    <t>CITBC</t>
  </si>
  <si>
    <t>KBKSC</t>
  </si>
  <si>
    <t>B015SBEZY</t>
  </si>
  <si>
    <t>B590DNK</t>
  </si>
  <si>
    <t>B590HTYJ</t>
  </si>
  <si>
    <t>BESTF</t>
  </si>
  <si>
    <t>KUKDONGF</t>
  </si>
  <si>
    <t>SMKRC</t>
  </si>
  <si>
    <r>
      <rPr>
        <sz val="10"/>
        <rFont val="맑은 고딕"/>
        <family val="3"/>
        <charset val="129"/>
      </rPr>
      <t>뉴대원</t>
    </r>
    <r>
      <rPr>
        <sz val="10"/>
        <rFont val="Arial"/>
        <family val="2"/>
      </rPr>
      <t xml:space="preserve"> CY</t>
    </r>
    <phoneticPr fontId="45" type="noConversion"/>
  </si>
  <si>
    <t>SGUMCY</t>
  </si>
  <si>
    <t>KITKC</t>
  </si>
  <si>
    <t>KEGWC</t>
  </si>
  <si>
    <t>GICTC</t>
  </si>
  <si>
    <t>PNCTC</t>
  </si>
  <si>
    <t>PCTCC</t>
  </si>
  <si>
    <t>E1CTC</t>
  </si>
  <si>
    <t>02012007</t>
    <phoneticPr fontId="45" type="noConversion"/>
  </si>
  <si>
    <t>HJGIC</t>
  </si>
  <si>
    <t>ICTPC</t>
  </si>
  <si>
    <t>WOOYC</t>
  </si>
  <si>
    <t>SNCTC</t>
    <phoneticPr fontId="45" type="noConversion"/>
  </si>
  <si>
    <t>HJITC</t>
  </si>
  <si>
    <t>SICTC</t>
  </si>
  <si>
    <t>02012230</t>
    <phoneticPr fontId="45" type="noConversion"/>
  </si>
  <si>
    <t>미사용</t>
    <phoneticPr fontId="45" type="noConversion"/>
  </si>
  <si>
    <t>LOGIC</t>
  </si>
  <si>
    <t>SLCLC</t>
  </si>
  <si>
    <t>IFPCC</t>
  </si>
  <si>
    <t>JUCTC</t>
  </si>
  <si>
    <t>UDITC</t>
  </si>
  <si>
    <t>11012003</t>
    <phoneticPr fontId="45" type="noConversion"/>
  </si>
  <si>
    <t>엑셀 입력값</t>
    <phoneticPr fontId="44" type="noConversion"/>
  </si>
  <si>
    <t>세방청암(북)</t>
    <phoneticPr fontId="28" type="noConversion"/>
  </si>
  <si>
    <t>세방청암(신)</t>
    <phoneticPr fontId="28" type="noConversion"/>
  </si>
  <si>
    <t>SDRNEW</t>
    <phoneticPr fontId="45" type="noConversion"/>
  </si>
  <si>
    <t>동원</t>
    <phoneticPr fontId="28" type="noConversion"/>
  </si>
  <si>
    <t>E922DAEWOO</t>
    <phoneticPr fontId="45" type="noConversion"/>
  </si>
  <si>
    <t>E922_DAEWOO</t>
    <phoneticPr fontId="28" type="noConversion"/>
  </si>
  <si>
    <t xml:space="preserve">GLAPS 코드 </t>
    <phoneticPr fontId="30" type="noConversion"/>
  </si>
  <si>
    <t>GLAPS 포트</t>
    <phoneticPr fontId="30" type="noConversion"/>
  </si>
  <si>
    <t>직반입 이트란스IF 또는 수기입력
,ODCY보관은 보관소 또는  I/F</t>
    <phoneticPr fontId="30" type="noConversion"/>
  </si>
  <si>
    <t>KRINC</t>
    <phoneticPr fontId="30" type="noConversion"/>
  </si>
  <si>
    <t>KRINF</t>
  </si>
  <si>
    <t>KRINF</t>
    <phoneticPr fontId="30" type="noConversion"/>
  </si>
  <si>
    <t>KRINN</t>
  </si>
  <si>
    <t>KRINN</t>
    <phoneticPr fontId="30" type="noConversion"/>
  </si>
  <si>
    <t>KRINC_FRY</t>
    <phoneticPr fontId="28" type="noConversion"/>
  </si>
  <si>
    <t>KRINC_NEW</t>
    <phoneticPr fontId="28" type="noConversion"/>
  </si>
  <si>
    <t>ULSAN, INCHEON
실 반입코드 변경!!</t>
    <phoneticPr fontId="30" type="noConversion"/>
  </si>
  <si>
    <t>INCHEON</t>
    <phoneticPr fontId="28" type="noConversion"/>
  </si>
  <si>
    <t>KRINC(인천항) ,KRINF(여객), KRINN(신항) 수기정정</t>
    <phoneticPr fontId="30" type="noConversion"/>
  </si>
  <si>
    <t>KRUSN(신항) ,KRONS(정일) 수기정정</t>
    <phoneticPr fontId="30" type="noConversion"/>
  </si>
  <si>
    <t>한타</t>
    <phoneticPr fontId="18" type="noConversion"/>
  </si>
  <si>
    <t>B000034432</t>
    <phoneticPr fontId="28" type="noConversion"/>
  </si>
  <si>
    <t>모비스</t>
    <phoneticPr fontId="30" type="noConversion"/>
  </si>
  <si>
    <t>KCTDC(신)</t>
    <phoneticPr fontId="28" type="noConversion"/>
  </si>
  <si>
    <t>다목적(신)</t>
    <phoneticPr fontId="28" type="noConversion"/>
  </si>
  <si>
    <t>HJNC(신)</t>
    <phoneticPr fontId="28" type="noConversion"/>
  </si>
  <si>
    <t>HPNT(신)</t>
    <phoneticPr fontId="28" type="noConversion"/>
  </si>
  <si>
    <t>PNIT(신)</t>
    <phoneticPr fontId="28" type="noConversion"/>
  </si>
  <si>
    <t>BNCT(신)</t>
    <phoneticPr fontId="28" type="noConversion"/>
  </si>
  <si>
    <t>PNC(신)</t>
    <phoneticPr fontId="28" type="noConversion"/>
  </si>
  <si>
    <t>BCT(신)</t>
    <phoneticPr fontId="28" type="noConversion"/>
  </si>
  <si>
    <t>DGT(신)</t>
    <phoneticPr fontId="28" type="noConversion"/>
  </si>
  <si>
    <t>씨스테인(신)</t>
    <phoneticPr fontId="28" type="noConversion"/>
  </si>
  <si>
    <t>코센코(신)</t>
    <phoneticPr fontId="28" type="noConversion"/>
  </si>
  <si>
    <t>코센코안골(신)</t>
    <phoneticPr fontId="28" type="noConversion"/>
  </si>
  <si>
    <t>세방1CY(신)</t>
    <phoneticPr fontId="28" type="noConversion"/>
  </si>
  <si>
    <t>세방2CY(신)</t>
    <phoneticPr fontId="28" type="noConversion"/>
  </si>
  <si>
    <t>세방천우(신)</t>
    <phoneticPr fontId="28" type="noConversion"/>
  </si>
  <si>
    <t>세방이지스(신)</t>
    <phoneticPr fontId="28" type="noConversion"/>
  </si>
  <si>
    <t>세방신항쿨스(신)</t>
    <phoneticPr fontId="28" type="noConversion"/>
  </si>
  <si>
    <t>세방녹산쿨스(신)</t>
    <phoneticPr fontId="28" type="noConversion"/>
  </si>
  <si>
    <t>세방송정(신)</t>
    <phoneticPr fontId="28" type="noConversion"/>
  </si>
  <si>
    <t>세방웅동(신)</t>
    <phoneticPr fontId="28" type="noConversion"/>
  </si>
  <si>
    <t>세방제니스(신)</t>
    <phoneticPr fontId="28" type="noConversion"/>
  </si>
  <si>
    <t>한타BCT(신)</t>
    <phoneticPr fontId="28" type="noConversion"/>
  </si>
  <si>
    <t>한타BGDC(신)</t>
    <phoneticPr fontId="28" type="noConversion"/>
  </si>
  <si>
    <t>힌타지사물류(신)</t>
    <phoneticPr fontId="28" type="noConversion"/>
  </si>
  <si>
    <t>한타녹산(신)</t>
    <phoneticPr fontId="28" type="noConversion"/>
  </si>
  <si>
    <t>한타신항(신)</t>
    <phoneticPr fontId="28" type="noConversion"/>
  </si>
  <si>
    <t>동원보관소(신)</t>
    <phoneticPr fontId="28" type="noConversion"/>
  </si>
  <si>
    <t>롯데녹산(신)</t>
    <phoneticPr fontId="28" type="noConversion"/>
  </si>
  <si>
    <t>신대륙(신)</t>
    <phoneticPr fontId="45" type="noConversion"/>
  </si>
  <si>
    <t>웅동(신)</t>
    <phoneticPr fontId="28" type="noConversion"/>
  </si>
  <si>
    <t>한타대우(신)</t>
    <phoneticPr fontId="28" type="noConversion"/>
  </si>
  <si>
    <t>고려우암(북)</t>
    <phoneticPr fontId="28" type="noConversion"/>
  </si>
  <si>
    <t>부산항국제여객(북)</t>
    <phoneticPr fontId="28" type="noConversion"/>
  </si>
  <si>
    <t>제1부두(북)</t>
    <phoneticPr fontId="28" type="noConversion"/>
  </si>
  <si>
    <t>PPMEC(북)</t>
    <phoneticPr fontId="28" type="noConversion"/>
  </si>
  <si>
    <t>부산진철도(북)</t>
    <phoneticPr fontId="28" type="noConversion"/>
  </si>
  <si>
    <t>신감만(북)</t>
    <phoneticPr fontId="28" type="noConversion"/>
  </si>
  <si>
    <t>인터지스감만(북)</t>
    <phoneticPr fontId="28" type="noConversion"/>
  </si>
  <si>
    <t>BPT감만(북)</t>
    <phoneticPr fontId="28" type="noConversion"/>
  </si>
  <si>
    <t>허치슨(북)</t>
    <phoneticPr fontId="28" type="noConversion"/>
  </si>
  <si>
    <t>KCTC우암(북)</t>
    <phoneticPr fontId="28" type="noConversion"/>
  </si>
  <si>
    <t>DPCT(북)</t>
    <phoneticPr fontId="28" type="noConversion"/>
  </si>
  <si>
    <t>7부두(북)</t>
    <phoneticPr fontId="28" type="noConversion"/>
  </si>
  <si>
    <t>BPT신선대(북)</t>
    <phoneticPr fontId="28" type="noConversion"/>
  </si>
  <si>
    <t>천일용당(북)</t>
    <phoneticPr fontId="28" type="noConversion"/>
  </si>
  <si>
    <t>국보(북)</t>
    <phoneticPr fontId="28" type="noConversion"/>
  </si>
  <si>
    <t>세방이지콘(북)</t>
    <phoneticPr fontId="28" type="noConversion"/>
  </si>
  <si>
    <t>한타디엔케이(북)</t>
    <phoneticPr fontId="28" type="noConversion"/>
  </si>
  <si>
    <t>한타영진(북)</t>
    <phoneticPr fontId="28" type="noConversion"/>
  </si>
  <si>
    <t>베스트우암(북)</t>
    <phoneticPr fontId="28" type="noConversion"/>
  </si>
  <si>
    <t>극동(북)</t>
    <phoneticPr fontId="28" type="noConversion"/>
  </si>
  <si>
    <t>뉴대원(북)</t>
    <phoneticPr fontId="28" type="noConversion"/>
  </si>
  <si>
    <t>광양국제(광양)</t>
    <phoneticPr fontId="28" type="noConversion"/>
  </si>
  <si>
    <t>광양대한통운(광양)</t>
    <phoneticPr fontId="28" type="noConversion"/>
  </si>
  <si>
    <t>GICTC(광양)</t>
    <phoneticPr fontId="28" type="noConversion"/>
  </si>
  <si>
    <t>평택아이포트(평택)</t>
    <phoneticPr fontId="28" type="noConversion"/>
  </si>
  <si>
    <t>평택컨테이너CY(평택)</t>
    <phoneticPr fontId="28" type="noConversion"/>
  </si>
  <si>
    <t>인천진아(인천항)</t>
    <phoneticPr fontId="28" type="noConversion"/>
  </si>
  <si>
    <t>인천E1(인천항)</t>
    <phoneticPr fontId="28" type="noConversion"/>
  </si>
  <si>
    <t>인천SM경인터미널(인천항)</t>
    <phoneticPr fontId="28" type="noConversion"/>
  </si>
  <si>
    <t>인천항(인천항)</t>
    <phoneticPr fontId="28" type="noConversion"/>
  </si>
  <si>
    <t>인천우련(인천항)</t>
    <phoneticPr fontId="28" type="noConversion"/>
  </si>
  <si>
    <t>인천항8부두(인천항)</t>
    <phoneticPr fontId="28" type="noConversion"/>
  </si>
  <si>
    <t>선광인천보세(인천신)</t>
  </si>
  <si>
    <t>선광인천보세(인천신)</t>
    <phoneticPr fontId="45" type="noConversion"/>
  </si>
  <si>
    <t>한진인천(인천신)</t>
  </si>
  <si>
    <t>한진인천(인천신)</t>
    <phoneticPr fontId="28" type="noConversion"/>
  </si>
  <si>
    <t>선광인천신항(인천신)</t>
  </si>
  <si>
    <t>선광인천신항(인천신)</t>
    <phoneticPr fontId="28" type="noConversion"/>
  </si>
  <si>
    <t>인천더로지스(인천신)</t>
  </si>
  <si>
    <t>인천더로지스(인천신)</t>
    <phoneticPr fontId="28" type="noConversion"/>
  </si>
  <si>
    <t>선광종합물류(인천여객)</t>
  </si>
  <si>
    <t>선광종합물류(인천여객)</t>
    <phoneticPr fontId="28" type="noConversion"/>
  </si>
  <si>
    <t>인천여객(인천여객)</t>
  </si>
  <si>
    <t>인천여객(인천여객)</t>
    <phoneticPr fontId="28" type="noConversion"/>
  </si>
  <si>
    <t>KRBNX</t>
  </si>
  <si>
    <t>H000_YK</t>
  </si>
  <si>
    <t>충청남도(1센터)</t>
  </si>
  <si>
    <t>아산 1포장장 (공성실업)</t>
  </si>
  <si>
    <t>H000_GA</t>
  </si>
  <si>
    <t>GA</t>
  </si>
  <si>
    <t>아산 2포장장 (오토쎌)</t>
  </si>
  <si>
    <t>H000_GB</t>
  </si>
  <si>
    <t>GB</t>
  </si>
  <si>
    <t>충청남도(2센터)</t>
  </si>
  <si>
    <t>아산 3포장장 (아산YSP)</t>
  </si>
  <si>
    <t>H000_GC</t>
  </si>
  <si>
    <t>GC</t>
  </si>
  <si>
    <t>EAS1</t>
  </si>
  <si>
    <t>KAC (KCC글라스세종)</t>
  </si>
  <si>
    <t>H000_KC</t>
  </si>
  <si>
    <t>KC</t>
  </si>
  <si>
    <t>KAC</t>
  </si>
  <si>
    <t>경림 3공장</t>
  </si>
  <si>
    <t>EGL</t>
  </si>
  <si>
    <t>경림 2공장</t>
  </si>
  <si>
    <t>H000_YK2</t>
  </si>
  <si>
    <t>셀맥 팽성</t>
  </si>
  <si>
    <t>H000_SM</t>
  </si>
  <si>
    <t>ESM</t>
  </si>
  <si>
    <t>셀맥 오성</t>
  </si>
  <si>
    <t>H000_SM2</t>
  </si>
  <si>
    <t>전주 뷰텍(2포장장)</t>
  </si>
  <si>
    <t>H000_JB</t>
  </si>
  <si>
    <t>JB</t>
  </si>
  <si>
    <t>전주 뷰텍(1포장장)</t>
  </si>
  <si>
    <t>H000_JC</t>
  </si>
  <si>
    <t>JC</t>
  </si>
  <si>
    <t>전라남도</t>
  </si>
  <si>
    <t>H000_GG</t>
  </si>
  <si>
    <t>광양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</si>
  <si>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1</t>
    </r>
  </si>
  <si>
    <t>IH</t>
  </si>
  <si>
    <t>HKY</t>
  </si>
  <si>
    <t>곡성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</si>
  <si>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2</t>
    </r>
  </si>
  <si>
    <t>KMH</t>
  </si>
  <si>
    <t>GLS</t>
  </si>
  <si>
    <t>H000_KG</t>
  </si>
  <si>
    <t>KG</t>
  </si>
  <si>
    <t>YSP</t>
  </si>
  <si>
    <t>H000_KY</t>
  </si>
  <si>
    <t>KY</t>
  </si>
  <si>
    <t>경상</t>
  </si>
  <si>
    <t>울산 1포장장 (다원)</t>
  </si>
  <si>
    <t>H000_U1</t>
  </si>
  <si>
    <t>U1</t>
  </si>
  <si>
    <t>UUS</t>
  </si>
  <si>
    <t>울산 2포장장 (리바트)</t>
  </si>
  <si>
    <t>H000_U2</t>
  </si>
  <si>
    <t>U2</t>
  </si>
  <si>
    <t>H000_YH</t>
  </si>
  <si>
    <t>YH</t>
  </si>
  <si>
    <t>PLS</t>
  </si>
  <si>
    <t>H000_YP</t>
  </si>
  <si>
    <t>YP</t>
  </si>
  <si>
    <t>LGJ</t>
  </si>
  <si>
    <r>
      <t>H000_YW</t>
    </r>
    <r>
      <rPr>
        <b/>
        <sz val="11"/>
        <color theme="1"/>
        <rFont val="맑은 고딕"/>
        <family val="3"/>
        <charset val="129"/>
        <scheme val="minor"/>
      </rPr>
      <t>2</t>
    </r>
  </si>
  <si>
    <t>YW</t>
  </si>
  <si>
    <t>울산 유니팩(울산)</t>
  </si>
  <si>
    <t>H000_YW</t>
  </si>
  <si>
    <t>KAC(KCC글라스 울산)</t>
  </si>
  <si>
    <t>H000_KA</t>
  </si>
  <si>
    <t>UKA</t>
  </si>
  <si>
    <t>베바스토</t>
  </si>
  <si>
    <t>H000_BB</t>
  </si>
  <si>
    <t>UBB</t>
  </si>
  <si>
    <t>H000_MK</t>
  </si>
  <si>
    <t>LKC</t>
  </si>
  <si>
    <t>동원대우보관소(신)</t>
    <phoneticPr fontId="45" type="noConversion"/>
  </si>
  <si>
    <t>E922DGT</t>
    <phoneticPr fontId="28" type="noConversion"/>
  </si>
  <si>
    <t>창고&amp;영업소</t>
  </si>
  <si>
    <t>KASK</t>
    <phoneticPr fontId="30" type="noConversion"/>
  </si>
  <si>
    <t>유럽</t>
    <phoneticPr fontId="30" type="noConversion"/>
  </si>
  <si>
    <t>기아 슬로바키아</t>
    <phoneticPr fontId="30" type="noConversion"/>
  </si>
  <si>
    <t>[KS]</t>
  </si>
  <si>
    <t>KIA LUCKY MOTORS</t>
    <phoneticPr fontId="30" type="noConversion"/>
  </si>
  <si>
    <t>KMS</t>
    <phoneticPr fontId="30" type="noConversion"/>
  </si>
  <si>
    <t>ADM</t>
    <phoneticPr fontId="30" type="noConversion"/>
  </si>
  <si>
    <t>ADM JIZZAKH</t>
    <phoneticPr fontId="30" type="noConversion"/>
  </si>
  <si>
    <t>[AB]</t>
    <phoneticPr fontId="30" type="noConversion"/>
  </si>
  <si>
    <t>AYMESA</t>
    <phoneticPr fontId="30" type="noConversion"/>
  </si>
  <si>
    <t>ADM JIZZAHK</t>
    <phoneticPr fontId="30" type="noConversion"/>
  </si>
  <si>
    <t>QINGDAO, XINGANG</t>
    <phoneticPr fontId="30" type="noConversion"/>
  </si>
  <si>
    <t>[AZ]</t>
  </si>
  <si>
    <t>INALFA EUROPE</t>
    <phoneticPr fontId="30" type="noConversion"/>
  </si>
  <si>
    <t>Inalfa Roof Systems BV</t>
    <phoneticPr fontId="30" type="noConversion"/>
  </si>
  <si>
    <t>[IE]</t>
  </si>
  <si>
    <t>SOMIL</t>
    <phoneticPr fontId="30" type="noConversion"/>
  </si>
  <si>
    <t>Kia Kazakhstan</t>
    <phoneticPr fontId="30" type="noConversion"/>
  </si>
  <si>
    <t>기아 카자흐스탄</t>
    <phoneticPr fontId="30" type="noConversion"/>
  </si>
  <si>
    <t>[KZ]</t>
    <phoneticPr fontId="30" type="noConversion"/>
  </si>
  <si>
    <t>DWI</t>
    <phoneticPr fontId="30" type="noConversion"/>
  </si>
  <si>
    <t>주식회사 포스코인터내셔널</t>
    <phoneticPr fontId="30" type="noConversion"/>
  </si>
  <si>
    <t>[DW]</t>
    <phoneticPr fontId="30" type="noConversion"/>
  </si>
  <si>
    <t>HMMC</t>
    <phoneticPr fontId="30" type="noConversion"/>
  </si>
  <si>
    <t>Hyundai Motor Manufactiring Czech</t>
    <phoneticPr fontId="30" type="noConversion"/>
  </si>
  <si>
    <t>[HC]</t>
  </si>
  <si>
    <t>SMT</t>
    <phoneticPr fontId="30" type="noConversion"/>
  </si>
  <si>
    <t>F000018792</t>
    <phoneticPr fontId="30" type="noConversion"/>
  </si>
  <si>
    <t>MAGNA</t>
    <phoneticPr fontId="30" type="noConversion"/>
  </si>
  <si>
    <t>마그나 오토모티브</t>
    <phoneticPr fontId="30" type="noConversion"/>
  </si>
  <si>
    <t>[MS]</t>
    <phoneticPr fontId="30" type="noConversion"/>
  </si>
  <si>
    <t>HAOS</t>
    <phoneticPr fontId="30" type="noConversion"/>
  </si>
  <si>
    <t>HYUNDAI ASSAN OTOMOTIV SANAYI VE TICARET</t>
    <phoneticPr fontId="30" type="noConversion"/>
  </si>
  <si>
    <t>HMTR</t>
    <phoneticPr fontId="30" type="noConversion"/>
  </si>
  <si>
    <t>HAOS-&gt;HMTR 명칭변경</t>
    <phoneticPr fontId="30" type="noConversion"/>
  </si>
  <si>
    <t>[HA]</t>
  </si>
  <si>
    <t>포장장 고객사  - KIA</t>
    <phoneticPr fontId="30" type="noConversion"/>
  </si>
  <si>
    <t>HMSG</t>
    <phoneticPr fontId="30" type="noConversion"/>
  </si>
  <si>
    <t>Hyundai MotorSport GmbH</t>
    <phoneticPr fontId="30" type="noConversion"/>
  </si>
  <si>
    <t>[HM]</t>
    <phoneticPr fontId="30" type="noConversion"/>
  </si>
  <si>
    <t>POD</t>
    <phoneticPr fontId="30" type="noConversion"/>
  </si>
  <si>
    <t>HMMR</t>
    <phoneticPr fontId="30" type="noConversion"/>
  </si>
  <si>
    <t>LLC"HYUNDAI MOTOR MANUFACTURING RUS"LIT.</t>
    <phoneticPr fontId="30" type="noConversion"/>
  </si>
  <si>
    <t>[HF]</t>
    <phoneticPr fontId="30" type="noConversion"/>
  </si>
  <si>
    <t>[KK]</t>
    <phoneticPr fontId="30" type="noConversion"/>
  </si>
  <si>
    <t>AGR</t>
    <phoneticPr fontId="30" type="noConversion"/>
  </si>
  <si>
    <t>(구 HMMR)</t>
    <phoneticPr fontId="30" type="noConversion"/>
  </si>
  <si>
    <t>S103</t>
    <phoneticPr fontId="30" type="noConversion"/>
  </si>
  <si>
    <t>KIA</t>
    <phoneticPr fontId="30" type="noConversion"/>
  </si>
  <si>
    <t>아태</t>
    <phoneticPr fontId="30" type="noConversion"/>
  </si>
  <si>
    <t>PENANG</t>
    <phoneticPr fontId="30" type="noConversion"/>
  </si>
  <si>
    <t>HTK</t>
    <phoneticPr fontId="30" type="noConversion"/>
  </si>
  <si>
    <t>Hyundai Trans Kazakhstan L.L.P</t>
    <phoneticPr fontId="30" type="noConversion"/>
  </si>
  <si>
    <t>[HK]</t>
    <phoneticPr fontId="30" type="noConversion"/>
  </si>
  <si>
    <t>GA2557</t>
    <phoneticPr fontId="30" type="noConversion"/>
  </si>
  <si>
    <t>HMGICS</t>
    <phoneticPr fontId="30" type="noConversion"/>
  </si>
  <si>
    <t>SINGAPORE</t>
    <phoneticPr fontId="30" type="noConversion"/>
  </si>
  <si>
    <t>F000019385</t>
    <phoneticPr fontId="30" type="noConversion"/>
  </si>
  <si>
    <t>SEOYON SUMMIT AUTO IND</t>
    <phoneticPr fontId="30" type="noConversion"/>
  </si>
  <si>
    <t>서연써밋오토모티브</t>
    <phoneticPr fontId="30" type="noConversion"/>
  </si>
  <si>
    <t>[SR]</t>
  </si>
  <si>
    <t>KCN</t>
    <phoneticPr fontId="30" type="noConversion"/>
  </si>
  <si>
    <t>HMID</t>
    <phoneticPr fontId="30" type="noConversion"/>
  </si>
  <si>
    <t>HYUNDAI MOTORS INDONESIA</t>
    <phoneticPr fontId="30" type="noConversion"/>
  </si>
  <si>
    <t>[HQ]</t>
  </si>
  <si>
    <t>HMMI</t>
    <phoneticPr fontId="30" type="noConversion"/>
  </si>
  <si>
    <t>(주) 현대자동차 인도네시아</t>
    <phoneticPr fontId="30" type="noConversion"/>
  </si>
  <si>
    <t>[HI]</t>
  </si>
  <si>
    <t>KIA URUGUAY</t>
    <phoneticPr fontId="30" type="noConversion"/>
  </si>
  <si>
    <t>중남미</t>
    <phoneticPr fontId="30" type="noConversion"/>
  </si>
  <si>
    <t>MONTEVIDEO (SOMIL , MONTICH -포장장에서 구분)</t>
    <phoneticPr fontId="30" type="noConversion"/>
  </si>
  <si>
    <t>GII</t>
    <phoneticPr fontId="30" type="noConversion"/>
  </si>
  <si>
    <t>PT GLOVIS INDONESIA INTERNATIONAL</t>
    <phoneticPr fontId="30" type="noConversion"/>
  </si>
  <si>
    <t>[ID]</t>
  </si>
  <si>
    <t>CMC</t>
    <phoneticPr fontId="30" type="noConversion"/>
  </si>
  <si>
    <t>C.N.A Manufacturing Sdn. Bhd.</t>
    <phoneticPr fontId="30" type="noConversion"/>
  </si>
  <si>
    <t>박성현책임 변경</t>
    <phoneticPr fontId="30" type="noConversion"/>
  </si>
  <si>
    <t>[AC]</t>
    <phoneticPr fontId="30" type="noConversion"/>
  </si>
  <si>
    <t>S013</t>
    <phoneticPr fontId="30" type="noConversion"/>
  </si>
  <si>
    <t>기아㈜</t>
    <phoneticPr fontId="30" type="noConversion"/>
  </si>
  <si>
    <t>LA3030</t>
    <phoneticPr fontId="28" type="noConversion"/>
  </si>
  <si>
    <t>수성특장㈜</t>
    <phoneticPr fontId="30" type="noConversion"/>
  </si>
  <si>
    <t>[VS]</t>
  </si>
  <si>
    <t>EGY</t>
    <phoneticPr fontId="30" type="noConversion"/>
  </si>
  <si>
    <t>EVMC</t>
    <phoneticPr fontId="30" type="noConversion"/>
  </si>
  <si>
    <t>[EM]</t>
  </si>
  <si>
    <t>GA2409</t>
    <phoneticPr fontId="28" type="noConversion"/>
  </si>
  <si>
    <t>PKT</t>
    <phoneticPr fontId="30" type="noConversion"/>
  </si>
  <si>
    <t>PKT CONSOLIDATION SERVICE</t>
    <phoneticPr fontId="30" type="noConversion"/>
  </si>
  <si>
    <t>[PK]</t>
  </si>
  <si>
    <t>CM Industries</t>
    <phoneticPr fontId="30" type="noConversion"/>
  </si>
  <si>
    <t>씨엠인더스트리 유한회사(영업소)</t>
    <phoneticPr fontId="30" type="noConversion"/>
  </si>
  <si>
    <t>[CI]</t>
  </si>
  <si>
    <t>HTCV</t>
    <phoneticPr fontId="30" type="noConversion"/>
  </si>
  <si>
    <t>HYUNDAI THANH CONG COMMERCIAL VEHIC</t>
    <phoneticPr fontId="30" type="noConversion"/>
  </si>
  <si>
    <t>[HV]</t>
  </si>
  <si>
    <t>HTMV</t>
    <phoneticPr fontId="30" type="noConversion"/>
  </si>
  <si>
    <t>Hyundai Thanh Cong Viet Nam Auto Ma</t>
    <phoneticPr fontId="30" type="noConversion"/>
  </si>
  <si>
    <t>[HT]</t>
  </si>
  <si>
    <t>HTC</t>
    <phoneticPr fontId="30" type="noConversion"/>
  </si>
  <si>
    <t>현대 탄콩 베트남 주식회사</t>
    <phoneticPr fontId="30" type="noConversion"/>
  </si>
  <si>
    <t>[TC]</t>
    <phoneticPr fontId="30" type="noConversion"/>
  </si>
  <si>
    <t>[HE]</t>
  </si>
  <si>
    <t>DYK</t>
    <phoneticPr fontId="30" type="noConversion"/>
  </si>
  <si>
    <t>HTBC</t>
    <phoneticPr fontId="30" type="noConversion"/>
  </si>
  <si>
    <t>HTBC(사천현대)</t>
    <phoneticPr fontId="30" type="noConversion"/>
  </si>
  <si>
    <t>[HS]</t>
  </si>
  <si>
    <t>TENNECO</t>
    <phoneticPr fontId="30" type="noConversion"/>
  </si>
  <si>
    <t>테네코</t>
    <phoneticPr fontId="30" type="noConversion"/>
  </si>
  <si>
    <t>[TN]</t>
    <phoneticPr fontId="30" type="noConversion"/>
  </si>
  <si>
    <t>[PY]</t>
  </si>
  <si>
    <t>KIN</t>
    <phoneticPr fontId="30" type="noConversion"/>
  </si>
  <si>
    <t>기아차 인도공장</t>
    <phoneticPr fontId="30" type="noConversion"/>
  </si>
  <si>
    <t>[KD]</t>
  </si>
  <si>
    <t>F000018889</t>
    <phoneticPr fontId="30" type="noConversion"/>
  </si>
  <si>
    <t>MENANG (현대)</t>
    <phoneticPr fontId="30" type="noConversion"/>
  </si>
  <si>
    <t>현대차 말레이시아 공장 (현차)</t>
    <phoneticPr fontId="30" type="noConversion"/>
  </si>
  <si>
    <t>CKD구분 불가능</t>
    <phoneticPr fontId="30" type="noConversion"/>
  </si>
  <si>
    <t>[MC]</t>
    <phoneticPr fontId="30" type="noConversion"/>
  </si>
  <si>
    <t>F000018806</t>
    <phoneticPr fontId="30" type="noConversion"/>
  </si>
  <si>
    <t>MENANG (기아)</t>
    <phoneticPr fontId="30" type="noConversion"/>
  </si>
  <si>
    <t>GA1111</t>
    <phoneticPr fontId="30" type="noConversion"/>
  </si>
  <si>
    <t>PROCON ENGINEERING PVT LTD</t>
    <phoneticPr fontId="30" type="noConversion"/>
  </si>
  <si>
    <t>비계열 KARACHI SPOT</t>
    <phoneticPr fontId="30" type="noConversion"/>
  </si>
  <si>
    <t>[PR]</t>
    <phoneticPr fontId="30" type="noConversion"/>
  </si>
  <si>
    <t>HMI</t>
    <phoneticPr fontId="30" type="noConversion"/>
  </si>
  <si>
    <t>현대자동차(주)인디아</t>
    <phoneticPr fontId="30" type="noConversion"/>
  </si>
  <si>
    <t>[HD]</t>
  </si>
  <si>
    <t>IH01</t>
    <phoneticPr fontId="28" type="noConversion"/>
  </si>
  <si>
    <t>HMI PUNE</t>
    <phoneticPr fontId="30" type="noConversion"/>
  </si>
  <si>
    <t>HMI 3공장</t>
    <phoneticPr fontId="30" type="noConversion"/>
  </si>
  <si>
    <t>[HO]</t>
  </si>
  <si>
    <t>YONGSAN</t>
    <phoneticPr fontId="30" type="noConversion"/>
  </si>
  <si>
    <t>용산 인디아</t>
    <phoneticPr fontId="30" type="noConversion"/>
  </si>
  <si>
    <t>[AY]</t>
    <phoneticPr fontId="30" type="noConversion"/>
  </si>
  <si>
    <t>Garrett Motion</t>
    <phoneticPr fontId="30" type="noConversion"/>
  </si>
  <si>
    <t>가렛모션</t>
    <phoneticPr fontId="30" type="noConversion"/>
  </si>
  <si>
    <t>[GR]</t>
  </si>
  <si>
    <t>BEIJING SEJONG</t>
    <phoneticPr fontId="30" type="noConversion"/>
  </si>
  <si>
    <t>BEIJING SEJONG AUTO PARTS CO., LTD.</t>
    <phoneticPr fontId="30" type="noConversion"/>
  </si>
  <si>
    <t>[BS]</t>
    <phoneticPr fontId="30" type="noConversion"/>
  </si>
  <si>
    <t>Lucky Motor Corporation Limited</t>
    <phoneticPr fontId="30" type="noConversion"/>
  </si>
  <si>
    <t>[KL]</t>
    <phoneticPr fontId="30" type="noConversion"/>
  </si>
  <si>
    <t>FAIR TECH</t>
    <phoneticPr fontId="30" type="noConversion"/>
  </si>
  <si>
    <t>[FT]</t>
    <phoneticPr fontId="30" type="noConversion"/>
  </si>
  <si>
    <t>CA0241</t>
    <phoneticPr fontId="30" type="noConversion"/>
  </si>
  <si>
    <t>[BD]</t>
    <phoneticPr fontId="30" type="noConversion"/>
  </si>
  <si>
    <t>MC09</t>
    <phoneticPr fontId="30" type="noConversion"/>
  </si>
  <si>
    <t>CNA</t>
    <phoneticPr fontId="30" type="noConversion"/>
  </si>
  <si>
    <t>[AN]</t>
  </si>
  <si>
    <t>북미</t>
    <phoneticPr fontId="30" type="noConversion"/>
  </si>
  <si>
    <t>Adient US LLC</t>
    <phoneticPr fontId="30" type="noConversion"/>
  </si>
  <si>
    <t>[AI]</t>
  </si>
  <si>
    <t>인알파USA</t>
    <phoneticPr fontId="30" type="noConversion"/>
  </si>
  <si>
    <t>[IU]</t>
    <phoneticPr fontId="30" type="noConversion"/>
  </si>
  <si>
    <t>KAGA</t>
    <phoneticPr fontId="30" type="noConversion"/>
  </si>
  <si>
    <t>기아자동차 조지아공장</t>
    <phoneticPr fontId="30" type="noConversion"/>
  </si>
  <si>
    <t>[KG]</t>
  </si>
  <si>
    <t>SAMBO A&amp;T</t>
    <phoneticPr fontId="30" type="noConversion"/>
  </si>
  <si>
    <t>삼보A&amp;T 아메리카</t>
    <phoneticPr fontId="30" type="noConversion"/>
  </si>
  <si>
    <t>[SI]</t>
  </si>
  <si>
    <t>HANON ALABAMA</t>
    <phoneticPr fontId="30" type="noConversion"/>
  </si>
  <si>
    <t>한온 알라바마</t>
    <phoneticPr fontId="30" type="noConversion"/>
  </si>
  <si>
    <t>[HU]</t>
  </si>
  <si>
    <t>HSAA</t>
    <phoneticPr fontId="30" type="noConversion"/>
  </si>
  <si>
    <t>에이치에스 오토모티브 알라바마</t>
    <phoneticPr fontId="30" type="noConversion"/>
  </si>
  <si>
    <t>[NR]</t>
  </si>
  <si>
    <t>SEJONG ALABAMA</t>
    <phoneticPr fontId="30" type="noConversion"/>
  </si>
  <si>
    <t>SEJONG ALABAMA LLC</t>
    <phoneticPr fontId="30" type="noConversion"/>
  </si>
  <si>
    <t>[NA]</t>
  </si>
  <si>
    <t>SEJONG GEORGIA</t>
    <phoneticPr fontId="30" type="noConversion"/>
  </si>
  <si>
    <t>세종조지아</t>
    <phoneticPr fontId="30" type="noConversion"/>
  </si>
  <si>
    <t>[NG]</t>
  </si>
  <si>
    <t>DSA</t>
    <phoneticPr fontId="30" type="noConversion"/>
  </si>
  <si>
    <t>DAEHAN SOLUTION ALABAMA</t>
    <phoneticPr fontId="30" type="noConversion"/>
  </si>
  <si>
    <t>[DS]</t>
    <phoneticPr fontId="30" type="noConversion"/>
  </si>
  <si>
    <t>SEOYON E-HWA AL</t>
    <phoneticPr fontId="30" type="noConversion"/>
  </si>
  <si>
    <t>Seoyon E-Hwa Interior Systems Alabama</t>
    <phoneticPr fontId="30" type="noConversion"/>
  </si>
  <si>
    <t>[SW]</t>
  </si>
  <si>
    <t>서연이화</t>
    <phoneticPr fontId="30" type="noConversion"/>
  </si>
  <si>
    <t>[SW]</t>
    <phoneticPr fontId="30" type="noConversion"/>
  </si>
  <si>
    <t>PHA</t>
    <phoneticPr fontId="30" type="noConversion"/>
  </si>
  <si>
    <t>PHA Alabama, LLC</t>
    <phoneticPr fontId="30" type="noConversion"/>
  </si>
  <si>
    <t>[PA]</t>
    <phoneticPr fontId="30" type="noConversion"/>
  </si>
  <si>
    <t>ECOPLASTIC AMERICA</t>
    <phoneticPr fontId="30" type="noConversion"/>
  </si>
  <si>
    <t>ECOPLASTIC AMERICA CORP</t>
    <phoneticPr fontId="30" type="noConversion"/>
  </si>
  <si>
    <t>[ES]</t>
    <phoneticPr fontId="30" type="noConversion"/>
  </si>
  <si>
    <t>DSC SAVANNAH</t>
    <phoneticPr fontId="30" type="noConversion"/>
  </si>
  <si>
    <t>[DF]</t>
    <phoneticPr fontId="30" type="noConversion"/>
  </si>
  <si>
    <t>HMGMA</t>
    <phoneticPr fontId="30" type="noConversion"/>
  </si>
  <si>
    <t>[HP]</t>
  </si>
  <si>
    <t>ALABAMA(HB)</t>
    <phoneticPr fontId="30" type="noConversion"/>
  </si>
  <si>
    <t>현대자동차 알라바마공장</t>
    <phoneticPr fontId="30" type="noConversion"/>
  </si>
  <si>
    <t>HMMA</t>
    <phoneticPr fontId="30" type="noConversion"/>
  </si>
  <si>
    <t>[HB]</t>
  </si>
  <si>
    <t>HMB</t>
    <phoneticPr fontId="30" type="noConversion"/>
  </si>
  <si>
    <t>HYUNDAI MOTOR BRASIL MONTADORA DE A</t>
    <phoneticPr fontId="30" type="noConversion"/>
  </si>
  <si>
    <t>[HW]</t>
  </si>
  <si>
    <t>F000019162</t>
    <phoneticPr fontId="30" type="noConversion"/>
  </si>
  <si>
    <t>SEOYON E-HWA BRAZIL</t>
    <phoneticPr fontId="30" type="noConversion"/>
  </si>
  <si>
    <t>서연이화 브라질</t>
    <phoneticPr fontId="30" type="noConversion"/>
  </si>
  <si>
    <t>[BE]</t>
    <phoneticPr fontId="30" type="noConversion"/>
  </si>
  <si>
    <t>AYMESA SA</t>
    <phoneticPr fontId="30" type="noConversion"/>
  </si>
  <si>
    <t>GUAYAQUIL 에콰도르</t>
    <phoneticPr fontId="30" type="noConversion"/>
  </si>
  <si>
    <t>[NV]</t>
    <phoneticPr fontId="30" type="noConversion"/>
  </si>
  <si>
    <t>CAOA</t>
    <phoneticPr fontId="30" type="noConversion"/>
  </si>
  <si>
    <t>CAOA Montadora de Veiculos Ltda.</t>
    <phoneticPr fontId="30" type="noConversion"/>
  </si>
  <si>
    <t>[CA]</t>
    <phoneticPr fontId="30" type="noConversion"/>
  </si>
  <si>
    <t>F000018979</t>
    <phoneticPr fontId="30" type="noConversion"/>
  </si>
  <si>
    <t>Webasto Mexico</t>
    <phoneticPr fontId="30" type="noConversion"/>
  </si>
  <si>
    <t>베바스토 멕시코</t>
    <phoneticPr fontId="30" type="noConversion"/>
  </si>
  <si>
    <t>[WM]</t>
  </si>
  <si>
    <t>FAURECIA MEX</t>
    <phoneticPr fontId="30" type="noConversion"/>
  </si>
  <si>
    <t>멕시코포레시아</t>
    <phoneticPr fontId="30" type="noConversion"/>
  </si>
  <si>
    <t>[FM]</t>
    <phoneticPr fontId="30" type="noConversion"/>
  </si>
  <si>
    <t>KMM</t>
    <phoneticPr fontId="30" type="noConversion"/>
  </si>
  <si>
    <t>기아자동차 멕시코</t>
    <phoneticPr fontId="30" type="noConversion"/>
  </si>
  <si>
    <t>KMX</t>
    <phoneticPr fontId="30" type="noConversion"/>
  </si>
  <si>
    <t>[KM]</t>
  </si>
  <si>
    <t>LEEHAN AMERICA</t>
    <phoneticPr fontId="30" type="noConversion"/>
  </si>
  <si>
    <t>리한 아메리카</t>
    <phoneticPr fontId="30" type="noConversion"/>
  </si>
  <si>
    <t>[LH]</t>
    <phoneticPr fontId="30" type="noConversion"/>
  </si>
  <si>
    <t>MAGNETI</t>
    <phoneticPr fontId="30" type="noConversion"/>
  </si>
  <si>
    <t>Magneti Marelli Sistemas Automotivo</t>
    <phoneticPr fontId="30" type="noConversion"/>
  </si>
  <si>
    <t>[MM]</t>
    <phoneticPr fontId="30" type="noConversion"/>
  </si>
  <si>
    <t>MONTICH</t>
    <phoneticPr fontId="30" type="noConversion"/>
  </si>
  <si>
    <t>MONTICH URUGUAY</t>
    <phoneticPr fontId="30" type="noConversion"/>
  </si>
  <si>
    <t>[S3]</t>
  </si>
  <si>
    <t>기아 주식회사</t>
    <phoneticPr fontId="30" type="noConversion"/>
  </si>
  <si>
    <t>국가 재확인</t>
    <phoneticPr fontId="30" type="noConversion"/>
  </si>
  <si>
    <t>GA2751</t>
    <phoneticPr fontId="30" type="noConversion"/>
  </si>
  <si>
    <t>SOMIL S.A.</t>
    <phoneticPr fontId="30" type="noConversion"/>
  </si>
  <si>
    <t>[SO]</t>
  </si>
  <si>
    <t>SEJONG MEX</t>
    <phoneticPr fontId="30" type="noConversion"/>
  </si>
  <si>
    <t>세종멕시코</t>
    <phoneticPr fontId="30" type="noConversion"/>
  </si>
  <si>
    <t>[ME]</t>
  </si>
  <si>
    <t>TRANSLEAD</t>
    <phoneticPr fontId="30" type="noConversion"/>
  </si>
  <si>
    <t>HYUNDAI TR</t>
    <phoneticPr fontId="30" type="noConversion"/>
  </si>
  <si>
    <t>[SN]</t>
  </si>
  <si>
    <t>YONGSAN(M)</t>
    <phoneticPr fontId="30" type="noConversion"/>
  </si>
  <si>
    <t>YONG SAN AUTOMOTIVE MEXICO</t>
    <phoneticPr fontId="30" type="noConversion"/>
  </si>
  <si>
    <t>DUAL MEXICO</t>
    <phoneticPr fontId="30" type="noConversion"/>
  </si>
  <si>
    <t>DUAL BORGSTENA TRIM MEXICO</t>
    <phoneticPr fontId="30" type="noConversion"/>
  </si>
  <si>
    <t>[DL]</t>
  </si>
  <si>
    <t>실출하지</t>
    <phoneticPr fontId="18" type="noConversion"/>
  </si>
  <si>
    <t>권역</t>
    <phoneticPr fontId="45" type="noConversion"/>
  </si>
  <si>
    <t>포장협력사</t>
    <phoneticPr fontId="45" type="noConversion"/>
  </si>
  <si>
    <t>GLOVE 코드</t>
    <phoneticPr fontId="45" type="noConversion"/>
  </si>
  <si>
    <t>CKD시스템 코드</t>
    <phoneticPr fontId="45" type="noConversion"/>
  </si>
  <si>
    <t>CKD시스템</t>
    <phoneticPr fontId="45" type="noConversion"/>
  </si>
  <si>
    <t>실출하지 코드</t>
    <phoneticPr fontId="45" type="noConversion"/>
  </si>
  <si>
    <t>CKD /KIA</t>
    <phoneticPr fontId="28" type="noConversion"/>
  </si>
  <si>
    <t>CKD사업팀 김시온M
PENANG</t>
    <phoneticPr fontId="28" type="noConversion"/>
  </si>
  <si>
    <t>KIA</t>
    <phoneticPr fontId="28" type="noConversion"/>
  </si>
  <si>
    <t>S103</t>
  </si>
  <si>
    <t>기아 통합</t>
    <phoneticPr fontId="28" type="noConversion"/>
  </si>
  <si>
    <t>[KRPTK] PYONGTAEK</t>
    <phoneticPr fontId="45" type="noConversion"/>
  </si>
  <si>
    <t>!U001,!GA1588,!MOBBEL</t>
    <phoneticPr fontId="30" type="noConversion"/>
  </si>
  <si>
    <t>MAE</t>
  </si>
  <si>
    <t>ONE</t>
  </si>
  <si>
    <t>CMA</t>
  </si>
  <si>
    <t>HLC</t>
  </si>
  <si>
    <t>의왕ICD</t>
  </si>
  <si>
    <t>D713CJ044</t>
  </si>
  <si>
    <t>040600302750</t>
  </si>
  <si>
    <t>SECLC</t>
  </si>
  <si>
    <t>13112002</t>
  </si>
  <si>
    <t>미사용</t>
  </si>
  <si>
    <t>[KRKY] KWANGYANG</t>
    <phoneticPr fontId="45" type="noConversion"/>
  </si>
  <si>
    <t>CG</t>
    <phoneticPr fontId="28" type="noConversion"/>
  </si>
  <si>
    <t>의왕ICD</t>
    <phoneticPr fontId="28" type="noConversion"/>
  </si>
  <si>
    <t>KRUWN</t>
  </si>
  <si>
    <t>성도글로비스</t>
  </si>
  <si>
    <t>차량넘버</t>
    <phoneticPr fontId="30" type="noConversion"/>
  </si>
  <si>
    <t>스타국제물류㈜</t>
  </si>
  <si>
    <t>005GX17204</t>
  </si>
  <si>
    <t>ODCY명</t>
  </si>
  <si>
    <t>번호</t>
  </si>
  <si>
    <t>배차</t>
  </si>
  <si>
    <t>운송</t>
  </si>
  <si>
    <t>오더번호(TMS)</t>
  </si>
  <si>
    <t>편성번호</t>
  </si>
  <si>
    <t>배차번호</t>
  </si>
  <si>
    <t>진행상태</t>
  </si>
  <si>
    <t>정산상태</t>
  </si>
  <si>
    <t>오더구분</t>
  </si>
  <si>
    <t>작업지(하차지)도착요청일</t>
  </si>
  <si>
    <t>작업지(하차지)도착요청시간</t>
  </si>
  <si>
    <t>픽업부킹번호</t>
  </si>
  <si>
    <t>반입부킹번호</t>
  </si>
  <si>
    <t>선사코드</t>
  </si>
  <si>
    <t>선사명</t>
  </si>
  <si>
    <t>POL</t>
  </si>
  <si>
    <t>Pod</t>
  </si>
  <si>
    <t>최종목적지</t>
  </si>
  <si>
    <t>작업지(하차지)명</t>
  </si>
  <si>
    <t>컨샤이니명</t>
  </si>
  <si>
    <t>선적지</t>
  </si>
  <si>
    <t>화주사</t>
  </si>
  <si>
    <t>컨테이너 번호</t>
  </si>
  <si>
    <t>컨규격</t>
  </si>
  <si>
    <t>봉인번호</t>
  </si>
  <si>
    <t>컨테이너 사진</t>
  </si>
  <si>
    <t>차량번호</t>
  </si>
  <si>
    <t>운전원명</t>
  </si>
  <si>
    <t>기사전화번호</t>
  </si>
  <si>
    <t>차량아이디</t>
  </si>
  <si>
    <t>ATD</t>
  </si>
  <si>
    <t>ETD</t>
  </si>
  <si>
    <t>ETA</t>
  </si>
  <si>
    <t>냉동</t>
  </si>
  <si>
    <t>온도</t>
  </si>
  <si>
    <t>위험물</t>
  </si>
  <si>
    <t>위험물코드</t>
  </si>
  <si>
    <t>위험물 Free Time</t>
  </si>
  <si>
    <t>공컨반납기한</t>
  </si>
  <si>
    <t>반납기한초과</t>
  </si>
  <si>
    <t>철송여부</t>
  </si>
  <si>
    <t>오더등급</t>
  </si>
  <si>
    <t>하차지등급</t>
  </si>
  <si>
    <t>운송구분</t>
  </si>
  <si>
    <t>직계약여부</t>
  </si>
  <si>
    <t>모바일배정</t>
  </si>
  <si>
    <t>운전원매입금액</t>
  </si>
  <si>
    <t>운전원배차여부</t>
  </si>
  <si>
    <t>GMMS 등록</t>
  </si>
  <si>
    <t>운송사코드</t>
  </si>
  <si>
    <t>수기배정사유</t>
  </si>
  <si>
    <t>수기배정사유내용</t>
  </si>
  <si>
    <t>판매시장</t>
  </si>
  <si>
    <t>판매구분</t>
  </si>
  <si>
    <t>매출구분</t>
  </si>
  <si>
    <t>직계약 차량</t>
  </si>
  <si>
    <t>입차영업소</t>
  </si>
  <si>
    <t>입차일자</t>
  </si>
  <si>
    <t>COPINO</t>
  </si>
  <si>
    <t>COPINO전송일시</t>
  </si>
  <si>
    <t>COPINO응답여부</t>
  </si>
  <si>
    <t>COPINO응답메시지</t>
  </si>
  <si>
    <t>운송경로코드</t>
  </si>
  <si>
    <t>운송경로명</t>
  </si>
  <si>
    <t>운송경로 기준거리(KM)</t>
  </si>
  <si>
    <t>반출가능여부</t>
  </si>
  <si>
    <t>반출지 코드</t>
  </si>
  <si>
    <t>반출지명(출발)</t>
  </si>
  <si>
    <t>반출지 주소</t>
  </si>
  <si>
    <t>파손컨 여부</t>
  </si>
  <si>
    <t>파손사진</t>
  </si>
  <si>
    <t>파손신고일</t>
  </si>
  <si>
    <t>파손신고시간</t>
  </si>
  <si>
    <t>반출완료일시</t>
  </si>
  <si>
    <t>작업지 코드</t>
  </si>
  <si>
    <t>작업지(하차지) 주소</t>
  </si>
  <si>
    <t>작업(하차)완료일시</t>
  </si>
  <si>
    <t>경유지코드</t>
  </si>
  <si>
    <t>경유지명</t>
  </si>
  <si>
    <t>경유지주소</t>
  </si>
  <si>
    <t>선픽업여부</t>
  </si>
  <si>
    <t>선픽업정산방식</t>
  </si>
  <si>
    <t>선픽업창고명</t>
  </si>
  <si>
    <t>선픽업시작일</t>
  </si>
  <si>
    <t>선픽업종료일</t>
  </si>
  <si>
    <t>선픽업보관일수</t>
  </si>
  <si>
    <t>ODCY 여부</t>
  </si>
  <si>
    <t>ODCY 코드</t>
  </si>
  <si>
    <t>ODCY창고명</t>
  </si>
  <si>
    <t>보관일수</t>
  </si>
  <si>
    <t>선픽업 보관일수</t>
  </si>
  <si>
    <t>반출CY</t>
  </si>
  <si>
    <t>반출CY일치여부</t>
  </si>
  <si>
    <t>반출일시</t>
  </si>
  <si>
    <t>반입CY</t>
  </si>
  <si>
    <t>반입CY일치여부</t>
  </si>
  <si>
    <t>반입일시</t>
  </si>
  <si>
    <t>컨테이너 중량</t>
  </si>
  <si>
    <t>VGM</t>
  </si>
  <si>
    <t>화물설명</t>
  </si>
  <si>
    <t>화주 구분</t>
  </si>
  <si>
    <t>산업군</t>
  </si>
  <si>
    <t>오더일시</t>
  </si>
  <si>
    <t>배정일시</t>
  </si>
  <si>
    <t>배차일시</t>
  </si>
  <si>
    <t>배차취소시간</t>
  </si>
  <si>
    <t>정산기준일자</t>
  </si>
  <si>
    <t>통지사항</t>
  </si>
  <si>
    <t>메모</t>
  </si>
  <si>
    <t>매입금액</t>
  </si>
  <si>
    <t>할증1</t>
  </si>
  <si>
    <t>할증2</t>
  </si>
  <si>
    <t>할증3</t>
  </si>
  <si>
    <t>할증4</t>
  </si>
  <si>
    <t>할증5</t>
  </si>
  <si>
    <t>매입할증 합계</t>
  </si>
  <si>
    <t>선픽업료</t>
  </si>
  <si>
    <t>공컨상차비여부</t>
  </si>
  <si>
    <t>정산정보</t>
  </si>
  <si>
    <t>오더등록업체</t>
  </si>
  <si>
    <t>오더등록자명</t>
  </si>
  <si>
    <t>오더등록자 연락처</t>
  </si>
  <si>
    <t>오더등록자 이메일</t>
  </si>
  <si>
    <t>운송서비스</t>
  </si>
  <si>
    <t>운송서비스코드</t>
  </si>
  <si>
    <t>공차중량</t>
  </si>
  <si>
    <t>193</t>
  </si>
  <si>
    <t>W260602-00000423</t>
  </si>
  <si>
    <t>X260602-001956</t>
  </si>
  <si>
    <t>Y260602-001956</t>
  </si>
  <si>
    <t>배정</t>
  </si>
  <si>
    <t>미생성</t>
  </si>
  <si>
    <t>수출</t>
  </si>
  <si>
    <t>18:00</t>
  </si>
  <si>
    <t>SELG82813400</t>
  </si>
  <si>
    <t>오션네트워크익스프레스</t>
  </si>
  <si>
    <t>[GB]아산 2포장장 (오토쎌)</t>
  </si>
  <si>
    <t>네슬리</t>
  </si>
  <si>
    <t>현대글로비스주식회사</t>
  </si>
  <si>
    <t>4510</t>
  </si>
  <si>
    <t>N</t>
  </si>
  <si>
    <t>D</t>
  </si>
  <si>
    <t>주선</t>
  </si>
  <si>
    <t>1011</t>
  </si>
  <si>
    <t>㈜이엘에스솔루션</t>
  </si>
  <si>
    <t>반제품</t>
  </si>
  <si>
    <t>운송료</t>
  </si>
  <si>
    <t>AAAAAAAAA</t>
  </si>
  <si>
    <t>컨테이너 미정의</t>
  </si>
  <si>
    <t>AAA</t>
  </si>
  <si>
    <t>미정의</t>
  </si>
  <si>
    <t>__:__</t>
  </si>
  <si>
    <t>0</t>
  </si>
  <si>
    <t>계열</t>
  </si>
  <si>
    <t>02)16:51</t>
  </si>
  <si>
    <t>박승기</t>
  </si>
  <si>
    <t>컨테이너_수출</t>
  </si>
  <si>
    <t>5010001</t>
  </si>
  <si>
    <t>192</t>
  </si>
  <si>
    <t>W260602-00000422</t>
  </si>
  <si>
    <t>X260602-001957</t>
  </si>
  <si>
    <t>Y260602-001957</t>
  </si>
  <si>
    <t>13:00</t>
  </si>
  <si>
    <t>머스크</t>
  </si>
  <si>
    <t>셔틀</t>
  </si>
  <si>
    <t>191</t>
  </si>
  <si>
    <t>W260602-00000421</t>
  </si>
  <si>
    <t>X260602-002072</t>
  </si>
  <si>
    <t>Y260602-002072</t>
  </si>
  <si>
    <t>대신</t>
  </si>
  <si>
    <t>02)17:35</t>
  </si>
  <si>
    <t>190</t>
  </si>
  <si>
    <t>X260602-002071</t>
  </si>
  <si>
    <t>Y260602-002071</t>
  </si>
  <si>
    <t>19:00</t>
  </si>
  <si>
    <t>02)17:34</t>
  </si>
  <si>
    <t>189</t>
  </si>
  <si>
    <t>X260602-002070</t>
  </si>
  <si>
    <t>Y260602-002070</t>
  </si>
  <si>
    <t>14:00</t>
  </si>
  <si>
    <t>02)17:33</t>
  </si>
  <si>
    <t>188</t>
  </si>
  <si>
    <t>X260602-001958</t>
  </si>
  <si>
    <t>Y260602-001958</t>
  </si>
  <si>
    <t>미배정</t>
  </si>
  <si>
    <t>187</t>
  </si>
  <si>
    <t>W260602-00000417</t>
  </si>
  <si>
    <t>X260602-001962</t>
  </si>
  <si>
    <t>Y260602-001962</t>
  </si>
  <si>
    <t>15:00</t>
  </si>
  <si>
    <t>186</t>
  </si>
  <si>
    <t>W260602-00000416</t>
  </si>
  <si>
    <t>X260602-001963</t>
  </si>
  <si>
    <t>Y260602-001963</t>
  </si>
  <si>
    <t>09:00</t>
  </si>
  <si>
    <t>이지</t>
  </si>
  <si>
    <t>185</t>
  </si>
  <si>
    <t>W260602-00000415</t>
  </si>
  <si>
    <t>X260602-001964</t>
  </si>
  <si>
    <t>Y260602-001964</t>
  </si>
  <si>
    <t>11:00</t>
  </si>
  <si>
    <t>184</t>
  </si>
  <si>
    <t>W260602-00000414</t>
  </si>
  <si>
    <t>X260602-001965</t>
  </si>
  <si>
    <t>Y260602-001965</t>
  </si>
  <si>
    <t>16:00</t>
  </si>
  <si>
    <t>WHL</t>
  </si>
  <si>
    <t>Wanhai라인</t>
  </si>
  <si>
    <t>HMI/HMI PUNE</t>
  </si>
  <si>
    <t>GLC00263</t>
  </si>
  <si>
    <t>부산신항 [GB]아산 2포장장 부산신항</t>
  </si>
  <si>
    <t>183</t>
  </si>
  <si>
    <t>W260602-00000413</t>
  </si>
  <si>
    <t>X260602-001966</t>
  </si>
  <si>
    <t>Y260602-001966</t>
  </si>
  <si>
    <t>배차확정</t>
  </si>
  <si>
    <t>08:00</t>
  </si>
  <si>
    <t>자차</t>
  </si>
  <si>
    <t>WHSU6549777</t>
  </si>
  <si>
    <t>WHA3168605</t>
  </si>
  <si>
    <t>보기</t>
  </si>
  <si>
    <t>부산99바7157</t>
  </si>
  <si>
    <t>현우진</t>
  </si>
  <si>
    <t>01062228360</t>
  </si>
  <si>
    <t>DSDS7157</t>
  </si>
  <si>
    <t>2026-06-02 17:21:28</t>
  </si>
  <si>
    <t>02)16:55</t>
  </si>
  <si>
    <t>182</t>
  </si>
  <si>
    <t>W260602-00000412</t>
  </si>
  <si>
    <t>X260602-001967</t>
  </si>
  <si>
    <t>Y260602-001967</t>
  </si>
  <si>
    <t>WHSU5174357</t>
  </si>
  <si>
    <t>WHA3168615</t>
  </si>
  <si>
    <t>경북98사1145</t>
  </si>
  <si>
    <t>김현수</t>
  </si>
  <si>
    <t>01074705405</t>
  </si>
  <si>
    <t>KDBE1145</t>
  </si>
  <si>
    <t>2026-06-02 17:17:11</t>
  </si>
  <si>
    <t>181</t>
  </si>
  <si>
    <t>W260602-00000411</t>
  </si>
  <si>
    <t>X260602-001968</t>
  </si>
  <si>
    <t>Y260602-001968</t>
  </si>
  <si>
    <t>10:00</t>
  </si>
  <si>
    <t>칸</t>
  </si>
  <si>
    <t>180</t>
  </si>
  <si>
    <t>W260602-00000410</t>
  </si>
  <si>
    <t>X260602-001969</t>
  </si>
  <si>
    <t>Y260602-001969</t>
  </si>
  <si>
    <t>신승</t>
  </si>
  <si>
    <t>179</t>
  </si>
  <si>
    <t>W260602-00000409</t>
  </si>
  <si>
    <t>X260602-001970</t>
  </si>
  <si>
    <t>Y260602-001970</t>
  </si>
  <si>
    <t>178</t>
  </si>
  <si>
    <t>W260602-00000408</t>
  </si>
  <si>
    <t>X260602-001971</t>
  </si>
  <si>
    <t>Y260602-001971</t>
  </si>
  <si>
    <t>HLAKRGLOVKDPUS</t>
  </si>
  <si>
    <t>하파그로이드</t>
  </si>
  <si>
    <t>177</t>
  </si>
  <si>
    <t>W260602-00000407</t>
  </si>
  <si>
    <t>X260602-001972</t>
  </si>
  <si>
    <t>Y260602-001972</t>
  </si>
  <si>
    <t>176</t>
  </si>
  <si>
    <t>W260602-00000406</t>
  </si>
  <si>
    <t>X260602-001973</t>
  </si>
  <si>
    <t>Y260602-001973</t>
  </si>
  <si>
    <t>운송완료</t>
  </si>
  <si>
    <t>정산실적생성</t>
  </si>
  <si>
    <t>CMA2606010011</t>
  </si>
  <si>
    <t>CMA-CGM</t>
  </si>
  <si>
    <t>[GA]아산 1포장장 (공성실업)</t>
  </si>
  <si>
    <t>CMAU7117159</t>
  </si>
  <si>
    <t>M6412892</t>
  </si>
  <si>
    <t>경남99바4922</t>
  </si>
  <si>
    <t>이명열</t>
  </si>
  <si>
    <t>01053830311</t>
  </si>
  <si>
    <t>FSFS4922</t>
  </si>
  <si>
    <t>GLC00003</t>
  </si>
  <si>
    <t>부산신항 [GA]아산 1포장장 (공성실업) 부산신항</t>
  </si>
  <si>
    <t>02)16:54</t>
  </si>
  <si>
    <t>175</t>
  </si>
  <si>
    <t>W260602-00000405</t>
  </si>
  <si>
    <t>X260602-001974</t>
  </si>
  <si>
    <t>Y260602-001974</t>
  </si>
  <si>
    <t>BMOU5643070</t>
  </si>
  <si>
    <t>M6519509</t>
  </si>
  <si>
    <t>대구98바2977</t>
  </si>
  <si>
    <t>이성수</t>
  </si>
  <si>
    <t>01064842977</t>
  </si>
  <si>
    <t>GJEW2977</t>
  </si>
  <si>
    <t>2026-06-02 21:40:29</t>
  </si>
  <si>
    <t>170</t>
  </si>
  <si>
    <t>W260602-00000400</t>
  </si>
  <si>
    <t>X260602-001979</t>
  </si>
  <si>
    <t>Y260602-001979</t>
  </si>
  <si>
    <t>10:30</t>
  </si>
  <si>
    <t>169</t>
  </si>
  <si>
    <t>W260602-00000399</t>
  </si>
  <si>
    <t>X260602-001980</t>
  </si>
  <si>
    <t>Y260602-001980</t>
  </si>
  <si>
    <t>168</t>
  </si>
  <si>
    <t>W260602-00000398</t>
  </si>
  <si>
    <t>X260602-001981</t>
  </si>
  <si>
    <t>Y260602-001981</t>
  </si>
  <si>
    <t>167</t>
  </si>
  <si>
    <t>W260602-00000397</t>
  </si>
  <si>
    <t>X260602-001982</t>
  </si>
  <si>
    <t>Y260602-001982</t>
  </si>
  <si>
    <t>BEAU4767641</t>
  </si>
  <si>
    <t>M6412856</t>
  </si>
  <si>
    <t>대구98바3558</t>
  </si>
  <si>
    <t>문성진</t>
  </si>
  <si>
    <t>01036465666</t>
  </si>
  <si>
    <t>SYSY3558</t>
  </si>
  <si>
    <t>2026-06-02 17:12:45</t>
  </si>
  <si>
    <t>166</t>
  </si>
  <si>
    <t>W260602-00000396</t>
  </si>
  <si>
    <t>X260602-001983</t>
  </si>
  <si>
    <t>Y260602-001983</t>
  </si>
  <si>
    <t>ECMU5193316</t>
  </si>
  <si>
    <t>M6427485</t>
  </si>
  <si>
    <t>경기99사1487</t>
  </si>
  <si>
    <t>박준일</t>
  </si>
  <si>
    <t>01052330030</t>
  </si>
  <si>
    <t>LOVE1487</t>
  </si>
  <si>
    <t>2026-06-02 18:53:29</t>
  </si>
  <si>
    <t>164</t>
  </si>
  <si>
    <t>W260602-00000394</t>
  </si>
  <si>
    <t>X260602-001985</t>
  </si>
  <si>
    <t>Y260602-001985</t>
  </si>
  <si>
    <t>포유</t>
  </si>
  <si>
    <t>ECMU5790944</t>
  </si>
  <si>
    <t>M6412845</t>
  </si>
  <si>
    <t>경남99사8337</t>
  </si>
  <si>
    <t>박상무</t>
  </si>
  <si>
    <t>01085064681</t>
  </si>
  <si>
    <t>FYOU8337</t>
  </si>
  <si>
    <t>2026-06-03 09:44:56</t>
  </si>
  <si>
    <t>03)09:44</t>
  </si>
  <si>
    <t>163</t>
  </si>
  <si>
    <t>W260602-00000393</t>
  </si>
  <si>
    <t>X260602-001986</t>
  </si>
  <si>
    <t>Y260602-001986</t>
  </si>
  <si>
    <t>162</t>
  </si>
  <si>
    <t>W260602-00000392</t>
  </si>
  <si>
    <t>X260602-002069</t>
  </si>
  <si>
    <t>Y260602-002069</t>
  </si>
  <si>
    <t>[GC]아산 3포장장 (아산YSP)</t>
  </si>
  <si>
    <t>KMX/KMM</t>
  </si>
  <si>
    <t>02)17:29</t>
  </si>
  <si>
    <t>161</t>
  </si>
  <si>
    <t>X260602-001987</t>
  </si>
  <si>
    <t>Y260602-001987</t>
  </si>
  <si>
    <t>160</t>
  </si>
  <si>
    <t>W260602-00000391</t>
  </si>
  <si>
    <t>X260602-001988</t>
  </si>
  <si>
    <t>Y260602-001988</t>
  </si>
  <si>
    <t>CSS</t>
  </si>
  <si>
    <t>159</t>
  </si>
  <si>
    <t>W260602-00000390</t>
  </si>
  <si>
    <t>X260602-001989</t>
  </si>
  <si>
    <t>Y260602-001989</t>
  </si>
  <si>
    <t>158</t>
  </si>
  <si>
    <t>W260602-00000389</t>
  </si>
  <si>
    <t>X260602-001990</t>
  </si>
  <si>
    <t>Y260602-001990</t>
  </si>
  <si>
    <t>157</t>
  </si>
  <si>
    <t>W260602-00000388</t>
  </si>
  <si>
    <t>X260602-001991</t>
  </si>
  <si>
    <t>Y260602-001991</t>
  </si>
  <si>
    <t>156</t>
  </si>
  <si>
    <t>W260602-00000387</t>
  </si>
  <si>
    <t>X260602-001992</t>
  </si>
  <si>
    <t>Y260602-001992</t>
  </si>
  <si>
    <t>부산98사6411</t>
  </si>
  <si>
    <t>강동현</t>
  </si>
  <si>
    <t>01039029092</t>
  </si>
  <si>
    <t>LSLS6411</t>
  </si>
  <si>
    <t>GLC00022</t>
  </si>
  <si>
    <t>부산신항 [GC]아산 3포장장 (아산YSP) 부산신항</t>
  </si>
  <si>
    <t>155</t>
  </si>
  <si>
    <t>W260602-00000386</t>
  </si>
  <si>
    <t>X260602-001993</t>
  </si>
  <si>
    <t>Y260602-001993</t>
  </si>
  <si>
    <t>EMC</t>
  </si>
  <si>
    <t>에버그린</t>
  </si>
  <si>
    <t>154</t>
  </si>
  <si>
    <t>W260602-00000385</t>
  </si>
  <si>
    <t>X260602-001994</t>
  </si>
  <si>
    <t>Y260602-001994</t>
  </si>
  <si>
    <t>CMA2606010011-1</t>
  </si>
  <si>
    <t>유엘피</t>
  </si>
  <si>
    <t>2210</t>
  </si>
  <si>
    <t>153</t>
  </si>
  <si>
    <t>W260602-00000384</t>
  </si>
  <si>
    <t>X260602-001995</t>
  </si>
  <si>
    <t>Y260602-001995</t>
  </si>
  <si>
    <t>152</t>
  </si>
  <si>
    <t>W260602-00000383</t>
  </si>
  <si>
    <t>X260602-001996</t>
  </si>
  <si>
    <t>Y260602-001996</t>
  </si>
  <si>
    <t>ONEU0621719</t>
  </si>
  <si>
    <t>KRAX14757</t>
  </si>
  <si>
    <t>경북98사7570</t>
  </si>
  <si>
    <t>김수환</t>
  </si>
  <si>
    <t>01062730440</t>
  </si>
  <si>
    <t>KDBE7570</t>
  </si>
  <si>
    <t>2026-06-02 22:00:46</t>
  </si>
  <si>
    <t>151</t>
  </si>
  <si>
    <t>W260602-00000382</t>
  </si>
  <si>
    <t>X260602-001997</t>
  </si>
  <si>
    <t>Y260602-001997</t>
  </si>
  <si>
    <t>삼익</t>
  </si>
  <si>
    <t>150</t>
  </si>
  <si>
    <t>W260602-00000381</t>
  </si>
  <si>
    <t>X260602-001998</t>
  </si>
  <si>
    <t>Y260602-001998</t>
  </si>
  <si>
    <t>동원</t>
  </si>
  <si>
    <t>149</t>
  </si>
  <si>
    <t>W260602-00000380</t>
  </si>
  <si>
    <t>X260602-001999</t>
  </si>
  <si>
    <t>Y260602-001999</t>
  </si>
  <si>
    <t>14:50</t>
  </si>
  <si>
    <t>[KC]KCC 글라스</t>
  </si>
  <si>
    <t>148</t>
  </si>
  <si>
    <t>W260602-00000379</t>
  </si>
  <si>
    <t>X260602-002000</t>
  </si>
  <si>
    <t>Y260602-002000</t>
  </si>
  <si>
    <t>13:30</t>
  </si>
  <si>
    <t>GLC00035</t>
  </si>
  <si>
    <t>부산신항 [KC]KCC 글라스 부산신항</t>
  </si>
  <si>
    <t>147</t>
  </si>
  <si>
    <t>W260602-00000378</t>
  </si>
  <si>
    <t>X260602-002001</t>
  </si>
  <si>
    <t>Y260602-002001</t>
  </si>
  <si>
    <t>13:50</t>
  </si>
  <si>
    <t>146</t>
  </si>
  <si>
    <t>W260602-00000377</t>
  </si>
  <si>
    <t>X260602-002002</t>
  </si>
  <si>
    <t>Y260602-002002</t>
  </si>
  <si>
    <t>14:10</t>
  </si>
  <si>
    <t>145</t>
  </si>
  <si>
    <t>W260602-00000376</t>
  </si>
  <si>
    <t>X260602-002003</t>
  </si>
  <si>
    <t>Y260602-002003</t>
  </si>
  <si>
    <t>14:30</t>
  </si>
  <si>
    <t>CMA2605290012</t>
  </si>
  <si>
    <t>TGBU5280738</t>
  </si>
  <si>
    <t>M6412832</t>
  </si>
  <si>
    <t>경남99바4895</t>
  </si>
  <si>
    <t>전성환</t>
  </si>
  <si>
    <t>01026260220</t>
  </si>
  <si>
    <t>GJEW4895</t>
  </si>
  <si>
    <t>2026-06-02 17:30:19</t>
  </si>
  <si>
    <t>02)16:53</t>
  </si>
  <si>
    <t>144</t>
  </si>
  <si>
    <t>W260602-00000375</t>
  </si>
  <si>
    <t>X260602-002004</t>
  </si>
  <si>
    <t>Y260602-002004</t>
  </si>
  <si>
    <t>174</t>
  </si>
  <si>
    <t>W260602-00000404</t>
  </si>
  <si>
    <t>X260602-001975</t>
  </si>
  <si>
    <t>Y260602-001975</t>
  </si>
  <si>
    <t>인천98자2508</t>
  </si>
  <si>
    <t>한명훈</t>
  </si>
  <si>
    <t>01024773035</t>
  </si>
  <si>
    <t>HMHM2508</t>
  </si>
  <si>
    <t>Y</t>
  </si>
  <si>
    <t>2026-06-03 09:23:24</t>
  </si>
  <si>
    <t>173</t>
  </si>
  <si>
    <t>W260602-00000403</t>
  </si>
  <si>
    <t>X260602-001976</t>
  </si>
  <si>
    <t>Y260602-001976</t>
  </si>
  <si>
    <t>경북98아8163</t>
  </si>
  <si>
    <t>피재갑</t>
  </si>
  <si>
    <t>01044534566</t>
  </si>
  <si>
    <t>KDBE8163</t>
  </si>
  <si>
    <t>2026-06-03 09:22:53</t>
  </si>
  <si>
    <t>172</t>
  </si>
  <si>
    <t>W260602-00000402</t>
  </si>
  <si>
    <t>X260602-001977</t>
  </si>
  <si>
    <t>Y260602-001977</t>
  </si>
  <si>
    <t>경남99바3256</t>
  </si>
  <si>
    <t>박병희</t>
  </si>
  <si>
    <t>01035373253</t>
  </si>
  <si>
    <t>SYSY3256</t>
  </si>
  <si>
    <t>2026-06-03 09:25:35</t>
  </si>
  <si>
    <t>2026-06-02 20:48:51</t>
  </si>
  <si>
    <t>171</t>
  </si>
  <si>
    <t>W260602-00000401</t>
  </si>
  <si>
    <t>X260602-001978</t>
  </si>
  <si>
    <t>Y260602-001978</t>
  </si>
  <si>
    <t>울산99바9676</t>
  </si>
  <si>
    <t>장성운</t>
  </si>
  <si>
    <t>01035114690</t>
  </si>
  <si>
    <t>FSFS9676</t>
  </si>
  <si>
    <t>2026-06-03 09:25:05</t>
  </si>
  <si>
    <t>2026-06-03 00:04:35</t>
  </si>
  <si>
    <t>165</t>
  </si>
  <si>
    <t>W260602-00000395</t>
  </si>
  <si>
    <t>X260602-001984</t>
  </si>
  <si>
    <t>Y260602-001984</t>
  </si>
  <si>
    <t>경기99바3976</t>
  </si>
  <si>
    <t>윤대식</t>
  </si>
  <si>
    <t>01090907883</t>
  </si>
  <si>
    <t>GOLD3976</t>
  </si>
  <si>
    <t>2026-06-03 09:24:25</t>
  </si>
  <si>
    <t>2026-06-02 18:13:22</t>
  </si>
  <si>
    <t>순번</t>
  </si>
  <si>
    <t>원본행</t>
  </si>
  <si>
    <t>배차 요청일</t>
  </si>
  <si>
    <t>반입지</t>
  </si>
  <si>
    <t>비고</t>
  </si>
  <si>
    <t>차량넘버</t>
  </si>
  <si>
    <t>반출지</t>
  </si>
  <si>
    <t>컨테이너 종류  (위험물,리퍼)</t>
  </si>
  <si>
    <t>할증</t>
  </si>
  <si>
    <t>부킹</t>
  </si>
  <si>
    <t>반입일 (ODCY/터미널)</t>
  </si>
  <si>
    <t>ODCY(세방) 반입터미널</t>
  </si>
  <si>
    <t>ODCY 세부명칭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</si>
</sst>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_ "/>
    <numFmt numFmtId="177" formatCode="mm&quot;월&quot;\ dd&quot;일&quot;"/>
    <numFmt numFmtId="178" formatCode="0_);\(0\)"/>
    <numFmt numFmtId="179" formatCode="h:mm;@"/>
    <numFmt numFmtId="180" formatCode="[$-412]yyyy\-mm\-dd"/>
    <numFmt numFmtId="181" formatCode="[$-412]yyyy\-mm\-dd\ ddd"/>
    <numFmt numFmtId="182" formatCode="#,###,###,###,##0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21212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Arial"/>
      <family val="2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</font>
    <font>
      <sz val="10"/>
      <color rgb="FFFF0000"/>
      <name val="맑은 고딕"/>
      <family val="3"/>
    </font>
    <font>
      <sz val="10"/>
      <name val="맑은 고딕"/>
      <family val="3"/>
      <charset val="129"/>
    </font>
    <font>
      <sz val="11"/>
      <color rgb="FF000000"/>
      <name val="맑은 고딕"/>
      <family val="3"/>
    </font>
    <font>
      <sz val="10"/>
      <color rgb="FF333333"/>
      <name val="맑은 고딕"/>
      <family val="3"/>
    </font>
    <font>
      <sz val="9"/>
      <name val="harmony"/>
      <family val="3"/>
      <charset val="129"/>
    </font>
    <font>
      <sz val="7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Segoe UI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9"/>
      <color rgb="FFFF0000"/>
      <name val="harmony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color theme="3" tint="0.499984740745262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C2CBD4"/>
      </right>
      <top style="thin">
        <color rgb="FFC2CBD4"/>
      </top>
      <bottom style="thin">
        <color rgb="FFC2CBD4"/>
      </bottom>
      <diagonal/>
    </border>
    <border>
      <left/>
      <right style="thin">
        <color rgb="FFC2CBD4"/>
      </right>
      <top/>
      <bottom style="thin">
        <color rgb="FFC2CBD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indexed="64"/>
      </right>
      <top/>
      <bottom/>
      <diagonal/>
    </border>
    <border>
      <left style="thin">
        <color rgb="FFC2CBD4"/>
      </left>
      <right style="thin">
        <color rgb="FFC2CBD4"/>
      </right>
      <top style="thin">
        <color rgb="FFC2CBD4"/>
      </top>
      <bottom style="thin">
        <color rgb="FFC2CBD4"/>
      </bottom>
      <diagonal/>
    </border>
    <border>
      <left style="thin">
        <color rgb="FFC2CBD4"/>
      </left>
      <right style="thin">
        <color rgb="FFC2CBD4"/>
      </right>
      <top/>
      <bottom style="thin">
        <color rgb="FFC2CBD4"/>
      </bottom>
      <diagonal/>
    </border>
    <border>
      <left/>
      <right style="thin">
        <color rgb="FFC2CBD4"/>
      </right>
      <top/>
      <bottom/>
      <diagonal/>
    </border>
    <border>
      <left style="thin">
        <color rgb="FFADC0ED"/>
      </left>
      <right style="thin">
        <color rgb="FFADC0ED"/>
      </right>
      <top style="thin">
        <color rgb="FFADC0ED"/>
      </top>
      <bottom style="thin">
        <color rgb="FFADC0ED"/>
      </bottom>
      <diagonal/>
    </border>
  </borders>
  <cellStyleXfs count="25">
    <xf numFmtId="0" fontId="0" fillId="0" borderId="0">
      <alignment vertical="center"/>
    </xf>
    <xf numFmtId="0" fontId="20" fillId="0" borderId="0"/>
    <xf numFmtId="0" fontId="19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3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8" fontId="21" fillId="0" borderId="0" xfId="0" applyNumberFormat="1" applyFont="1">
      <alignment vertical="center"/>
    </xf>
    <xf numFmtId="0" fontId="0" fillId="0" borderId="1" xfId="0" applyBorder="1">
      <alignment vertical="center"/>
    </xf>
    <xf numFmtId="0" fontId="21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1" fillId="7" borderId="1" xfId="3" applyFont="1" applyFill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179" fontId="21" fillId="0" borderId="0" xfId="0" applyNumberFormat="1" applyFont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 readingOrder="1"/>
    </xf>
    <xf numFmtId="0" fontId="21" fillId="11" borderId="3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178" fontId="21" fillId="11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34" fillId="14" borderId="10" xfId="0" applyFont="1" applyFill="1" applyBorder="1">
      <alignment vertical="center"/>
    </xf>
    <xf numFmtId="0" fontId="21" fillId="6" borderId="1" xfId="3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 wrapText="1"/>
    </xf>
    <xf numFmtId="0" fontId="35" fillId="14" borderId="10" xfId="0" applyFont="1" applyFill="1" applyBorder="1">
      <alignment vertical="center"/>
    </xf>
    <xf numFmtId="0" fontId="36" fillId="14" borderId="10" xfId="0" applyFont="1" applyFill="1" applyBorder="1">
      <alignment vertical="center"/>
    </xf>
    <xf numFmtId="0" fontId="34" fillId="14" borderId="11" xfId="0" applyFont="1" applyFill="1" applyBorder="1">
      <alignment vertical="center"/>
    </xf>
    <xf numFmtId="0" fontId="37" fillId="14" borderId="11" xfId="0" applyFont="1" applyFill="1" applyBorder="1">
      <alignment vertical="center"/>
    </xf>
    <xf numFmtId="0" fontId="35" fillId="14" borderId="12" xfId="0" applyFont="1" applyFill="1" applyBorder="1">
      <alignment vertical="center"/>
    </xf>
    <xf numFmtId="0" fontId="35" fillId="14" borderId="13" xfId="0" applyFont="1" applyFill="1" applyBorder="1">
      <alignment vertical="center"/>
    </xf>
    <xf numFmtId="0" fontId="35" fillId="14" borderId="14" xfId="0" applyFont="1" applyFill="1" applyBorder="1">
      <alignment vertical="center"/>
    </xf>
    <xf numFmtId="0" fontId="35" fillId="14" borderId="15" xfId="0" applyFont="1" applyFill="1" applyBorder="1">
      <alignment vertical="center"/>
    </xf>
    <xf numFmtId="0" fontId="38" fillId="14" borderId="14" xfId="0" applyFont="1" applyFill="1" applyBorder="1">
      <alignment vertical="center"/>
    </xf>
    <xf numFmtId="0" fontId="39" fillId="14" borderId="10" xfId="0" applyFont="1" applyFill="1" applyBorder="1">
      <alignment vertical="center"/>
    </xf>
    <xf numFmtId="0" fontId="39" fillId="14" borderId="13" xfId="0" applyFont="1" applyFill="1" applyBorder="1">
      <alignment vertical="center"/>
    </xf>
    <xf numFmtId="0" fontId="35" fillId="14" borderId="11" xfId="0" applyFont="1" applyFill="1" applyBorder="1">
      <alignment vertical="center"/>
    </xf>
    <xf numFmtId="0" fontId="21" fillId="6" borderId="1" xfId="3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10" borderId="1" xfId="3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6" borderId="1" xfId="0" applyFont="1" applyFill="1" applyBorder="1">
      <alignment vertical="center"/>
    </xf>
    <xf numFmtId="0" fontId="19" fillId="0" borderId="1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1" xfId="0" applyFont="1" applyBorder="1" applyAlignment="1">
      <alignment vertical="top"/>
    </xf>
    <xf numFmtId="0" fontId="22" fillId="0" borderId="0" xfId="0" applyFont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 wrapText="1"/>
    </xf>
    <xf numFmtId="0" fontId="26" fillId="12" borderId="1" xfId="0" applyFont="1" applyFill="1" applyBorder="1" applyAlignment="1">
      <alignment horizontal="center" vertical="center"/>
    </xf>
    <xf numFmtId="0" fontId="21" fillId="0" borderId="1" xfId="3" applyFont="1" applyBorder="1">
      <alignment vertical="center"/>
    </xf>
    <xf numFmtId="0" fontId="21" fillId="7" borderId="1" xfId="3" applyFont="1" applyFill="1" applyBorder="1">
      <alignment vertical="center"/>
    </xf>
    <xf numFmtId="49" fontId="40" fillId="0" borderId="20" xfId="0" applyNumberFormat="1" applyFont="1" applyBorder="1" applyAlignment="1">
      <alignment horizontal="center" vertical="center" wrapText="1"/>
    </xf>
    <xf numFmtId="0" fontId="0" fillId="0" borderId="20" xfId="0" applyBorder="1">
      <alignment vertical="center"/>
    </xf>
    <xf numFmtId="49" fontId="40" fillId="0" borderId="0" xfId="0" applyNumberFormat="1" applyFont="1" applyAlignment="1">
      <alignment horizontal="center" vertical="center" wrapText="1"/>
    </xf>
    <xf numFmtId="14" fontId="21" fillId="0" borderId="0" xfId="0" applyNumberFormat="1" applyFont="1">
      <alignment vertical="center"/>
    </xf>
    <xf numFmtId="0" fontId="0" fillId="6" borderId="1" xfId="0" applyFill="1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49" fontId="27" fillId="7" borderId="2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21" fillId="15" borderId="1" xfId="0" applyFont="1" applyFill="1" applyBorder="1" applyAlignment="1">
      <alignment horizontal="left" vertical="top" wrapText="1"/>
    </xf>
    <xf numFmtId="0" fontId="43" fillId="16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4" fillId="0" borderId="1" xfId="0" applyFont="1" applyBorder="1" applyAlignment="1">
      <alignment vertical="top"/>
    </xf>
    <xf numFmtId="0" fontId="37" fillId="0" borderId="1" xfId="0" applyFont="1" applyBorder="1" applyAlignment="1">
      <alignment vertical="top"/>
    </xf>
    <xf numFmtId="0" fontId="21" fillId="10" borderId="1" xfId="3" applyFont="1" applyFill="1" applyBorder="1" applyAlignment="1">
      <alignment horizontal="center" vertical="center" wrapText="1"/>
    </xf>
    <xf numFmtId="49" fontId="40" fillId="3" borderId="19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21" fillId="11" borderId="0" xfId="0" applyFont="1" applyFill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1" fillId="11" borderId="0" xfId="0" applyNumberFormat="1" applyFont="1" applyFill="1" applyAlignment="1">
      <alignment horizontal="center" vertical="center" wrapText="1"/>
    </xf>
    <xf numFmtId="0" fontId="24" fillId="3" borderId="1" xfId="3" applyFont="1" applyFill="1" applyBorder="1" applyAlignment="1">
      <alignment horizontal="left" vertical="center"/>
    </xf>
    <xf numFmtId="14" fontId="21" fillId="11" borderId="0" xfId="0" applyNumberFormat="1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4" fillId="3" borderId="0" xfId="0" applyFont="1" applyFill="1">
      <alignment vertical="center"/>
    </xf>
    <xf numFmtId="0" fontId="47" fillId="11" borderId="4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vertical="center" wrapText="1"/>
    </xf>
    <xf numFmtId="0" fontId="48" fillId="3" borderId="21" xfId="0" applyFont="1" applyFill="1" applyBorder="1" applyAlignment="1">
      <alignment vertical="center" wrapText="1"/>
    </xf>
    <xf numFmtId="0" fontId="21" fillId="7" borderId="1" xfId="3" applyFont="1" applyFill="1" applyBorder="1" applyAlignment="1">
      <alignment horizontal="center" vertical="center" wrapText="1"/>
    </xf>
    <xf numFmtId="0" fontId="21" fillId="3" borderId="0" xfId="0" applyFont="1" applyFill="1">
      <alignment vertical="center"/>
    </xf>
    <xf numFmtId="0" fontId="21" fillId="3" borderId="0" xfId="0" applyFont="1" applyFill="1" applyAlignment="1">
      <alignment vertical="center" wrapText="1"/>
    </xf>
    <xf numFmtId="0" fontId="44" fillId="18" borderId="0" xfId="0" applyFont="1" applyFill="1" applyAlignment="1">
      <alignment horizontal="center" vertical="center"/>
    </xf>
    <xf numFmtId="49" fontId="44" fillId="18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44" fillId="3" borderId="0" xfId="0" applyNumberFormat="1" applyFont="1" applyFill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49" fontId="44" fillId="0" borderId="0" xfId="0" quotePrefix="1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49" fontId="44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49" fontId="53" fillId="8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9" fontId="49" fillId="3" borderId="0" xfId="0" applyNumberFormat="1" applyFont="1" applyFill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4" fillId="3" borderId="0" xfId="0" applyFont="1" applyFill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0" fontId="54" fillId="6" borderId="5" xfId="3" applyFont="1" applyFill="1" applyBorder="1" applyAlignment="1">
      <alignment horizontal="center" vertical="center"/>
    </xf>
    <xf numFmtId="0" fontId="54" fillId="4" borderId="5" xfId="3" applyFont="1" applyFill="1" applyBorder="1" applyAlignment="1">
      <alignment horizontal="center" vertical="center"/>
    </xf>
    <xf numFmtId="0" fontId="55" fillId="2" borderId="1" xfId="3" applyFont="1" applyFill="1" applyBorder="1" applyAlignment="1">
      <alignment horizontal="center" vertical="center"/>
    </xf>
    <xf numFmtId="0" fontId="56" fillId="2" borderId="1" xfId="3" applyFont="1" applyFill="1" applyBorder="1" applyAlignment="1">
      <alignment horizontal="center" vertical="center"/>
    </xf>
    <xf numFmtId="0" fontId="56" fillId="4" borderId="1" xfId="3" applyFont="1" applyFill="1" applyBorder="1" applyAlignment="1">
      <alignment horizontal="center" vertical="center"/>
    </xf>
    <xf numFmtId="0" fontId="57" fillId="2" borderId="1" xfId="3" applyFont="1" applyFill="1" applyBorder="1" applyAlignment="1">
      <alignment horizontal="center" vertical="center"/>
    </xf>
    <xf numFmtId="0" fontId="55" fillId="3" borderId="1" xfId="3" applyFont="1" applyFill="1" applyBorder="1" applyAlignment="1">
      <alignment horizontal="center" vertical="center"/>
    </xf>
    <xf numFmtId="0" fontId="56" fillId="6" borderId="1" xfId="3" applyFont="1" applyFill="1" applyBorder="1" applyAlignment="1">
      <alignment horizontal="center" vertical="center"/>
    </xf>
    <xf numFmtId="0" fontId="54" fillId="6" borderId="1" xfId="3" applyFont="1" applyFill="1" applyBorder="1" applyAlignment="1">
      <alignment horizontal="center" vertical="center"/>
    </xf>
    <xf numFmtId="0" fontId="58" fillId="2" borderId="1" xfId="3" applyFont="1" applyFill="1" applyBorder="1" applyAlignment="1">
      <alignment horizontal="center" vertical="center"/>
    </xf>
    <xf numFmtId="0" fontId="58" fillId="10" borderId="1" xfId="3" applyFont="1" applyFill="1" applyBorder="1" applyAlignment="1">
      <alignment horizontal="center" vertical="center"/>
    </xf>
    <xf numFmtId="0" fontId="56" fillId="10" borderId="1" xfId="3" applyFont="1" applyFill="1" applyBorder="1" applyAlignment="1">
      <alignment horizontal="center" vertical="center"/>
    </xf>
    <xf numFmtId="0" fontId="55" fillId="10" borderId="1" xfId="3" applyFont="1" applyFill="1" applyBorder="1" applyAlignment="1">
      <alignment horizontal="center" vertical="center"/>
    </xf>
    <xf numFmtId="0" fontId="55" fillId="4" borderId="1" xfId="3" applyFont="1" applyFill="1" applyBorder="1" applyAlignment="1">
      <alignment horizontal="center" vertical="center"/>
    </xf>
    <xf numFmtId="0" fontId="58" fillId="4" borderId="1" xfId="3" applyFont="1" applyFill="1" applyBorder="1" applyAlignment="1">
      <alignment horizontal="center" vertical="center"/>
    </xf>
    <xf numFmtId="0" fontId="59" fillId="10" borderId="1" xfId="3" applyFont="1" applyFill="1" applyBorder="1" applyAlignment="1">
      <alignment horizontal="center" vertical="center"/>
    </xf>
    <xf numFmtId="0" fontId="56" fillId="10" borderId="22" xfId="3" applyFont="1" applyFill="1" applyBorder="1" applyAlignment="1">
      <alignment horizontal="center" vertical="center"/>
    </xf>
    <xf numFmtId="0" fontId="56" fillId="3" borderId="1" xfId="3" applyFont="1" applyFill="1" applyBorder="1" applyAlignment="1">
      <alignment horizontal="center" vertical="center"/>
    </xf>
    <xf numFmtId="0" fontId="60" fillId="10" borderId="1" xfId="3" applyFont="1" applyFill="1" applyBorder="1" applyAlignment="1">
      <alignment horizontal="center" vertical="center"/>
    </xf>
    <xf numFmtId="0" fontId="61" fillId="10" borderId="1" xfId="3" applyFont="1" applyFill="1" applyBorder="1" applyAlignment="1">
      <alignment horizontal="center" vertical="center"/>
    </xf>
    <xf numFmtId="0" fontId="55" fillId="8" borderId="1" xfId="3" applyFont="1" applyFill="1" applyBorder="1" applyAlignment="1">
      <alignment horizontal="center" vertical="center"/>
    </xf>
    <xf numFmtId="0" fontId="56" fillId="8" borderId="1" xfId="3" applyFont="1" applyFill="1" applyBorder="1" applyAlignment="1">
      <alignment horizontal="center" vertical="center"/>
    </xf>
    <xf numFmtId="0" fontId="56" fillId="15" borderId="1" xfId="3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2" fillId="7" borderId="8" xfId="3" applyFont="1" applyFill="1" applyBorder="1" applyAlignment="1">
      <alignment horizontal="center" vertical="center"/>
    </xf>
    <xf numFmtId="0" fontId="22" fillId="7" borderId="8" xfId="3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62" fillId="7" borderId="10" xfId="0" applyFont="1" applyFill="1" applyBorder="1" applyAlignment="1">
      <alignment horizontal="center" vertical="center"/>
    </xf>
    <xf numFmtId="0" fontId="21" fillId="7" borderId="10" xfId="0" applyFont="1" applyFill="1" applyBorder="1">
      <alignment vertical="center"/>
    </xf>
    <xf numFmtId="0" fontId="21" fillId="7" borderId="10" xfId="0" applyFont="1" applyFill="1" applyBorder="1" applyAlignment="1">
      <alignment horizontal="left" vertical="center"/>
    </xf>
    <xf numFmtId="0" fontId="62" fillId="7" borderId="12" xfId="0" applyFont="1" applyFill="1" applyBorder="1" applyAlignment="1">
      <alignment horizontal="center" vertical="center"/>
    </xf>
    <xf numFmtId="0" fontId="21" fillId="7" borderId="12" xfId="0" applyFont="1" applyFill="1" applyBorder="1">
      <alignment vertical="center"/>
    </xf>
    <xf numFmtId="0" fontId="62" fillId="7" borderId="11" xfId="0" applyFont="1" applyFill="1" applyBorder="1" applyAlignment="1">
      <alignment horizontal="center" vertical="center"/>
    </xf>
    <xf numFmtId="0" fontId="21" fillId="7" borderId="11" xfId="0" applyFont="1" applyFill="1" applyBorder="1">
      <alignment vertical="center"/>
    </xf>
    <xf numFmtId="0" fontId="21" fillId="19" borderId="0" xfId="0" applyFont="1" applyFill="1" applyAlignment="1">
      <alignment horizontal="center" vertical="center"/>
    </xf>
    <xf numFmtId="49" fontId="37" fillId="3" borderId="0" xfId="0" applyNumberFormat="1" applyFont="1" applyFill="1" applyAlignment="1">
      <alignment horizontal="center" vertical="center"/>
    </xf>
    <xf numFmtId="49" fontId="50" fillId="3" borderId="0" xfId="0" applyNumberFormat="1" applyFont="1" applyFill="1" applyAlignment="1">
      <alignment horizontal="center" vertical="center"/>
    </xf>
    <xf numFmtId="0" fontId="22" fillId="7" borderId="16" xfId="3" applyFont="1" applyFill="1" applyBorder="1" applyAlignment="1">
      <alignment horizontal="center" vertical="center"/>
    </xf>
    <xf numFmtId="0" fontId="22" fillId="7" borderId="17" xfId="3" applyFont="1" applyFill="1" applyBorder="1" applyAlignment="1">
      <alignment horizontal="center" vertical="center"/>
    </xf>
    <xf numFmtId="0" fontId="22" fillId="7" borderId="18" xfId="3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7" borderId="5" xfId="0" applyFont="1" applyFill="1" applyBorder="1" applyAlignment="1">
      <alignment horizontal="left" vertical="center"/>
    </xf>
    <xf numFmtId="0" fontId="21" fillId="7" borderId="8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2" fillId="7" borderId="6" xfId="3" applyFont="1" applyFill="1" applyBorder="1" applyAlignment="1">
      <alignment horizontal="center" vertical="center"/>
    </xf>
    <xf numFmtId="0" fontId="22" fillId="7" borderId="9" xfId="3" applyFont="1" applyFill="1" applyBorder="1" applyAlignment="1">
      <alignment horizontal="center" vertical="center"/>
    </xf>
    <xf numFmtId="0" fontId="22" fillId="7" borderId="7" xfId="3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/>
    </xf>
    <xf numFmtId="0" fontId="40" fillId="0" borderId="26" xfId="5" applyFont="1" applyBorder="1" applyAlignment="1">
      <alignment horizontal="center" vertical="center" wrapText="1"/>
    </xf>
    <xf numFmtId="49" fontId="40" fillId="0" borderId="19" xfId="5" applyNumberFormat="1" applyFont="1" applyBorder="1" applyAlignment="1">
      <alignment horizontal="center" vertical="center" wrapText="1"/>
    </xf>
    <xf numFmtId="0" fontId="40" fillId="0" borderId="19" xfId="5" applyFont="1" applyBorder="1" applyAlignment="1">
      <alignment horizontal="center" vertical="center" wrapText="1"/>
    </xf>
    <xf numFmtId="0" fontId="31" fillId="0" borderId="0" xfId="5">
      <alignment vertical="center"/>
    </xf>
    <xf numFmtId="0" fontId="40" fillId="0" borderId="27" xfId="5" applyFont="1" applyBorder="1" applyAlignment="1">
      <alignment horizontal="left" vertical="center" wrapText="1"/>
    </xf>
    <xf numFmtId="49" fontId="40" fillId="0" borderId="20" xfId="5" applyNumberFormat="1" applyFont="1" applyBorder="1" applyAlignment="1">
      <alignment horizontal="center" vertical="top" wrapText="1"/>
    </xf>
    <xf numFmtId="49" fontId="40" fillId="0" borderId="20" xfId="5" applyNumberFormat="1" applyFont="1" applyBorder="1" applyAlignment="1">
      <alignment horizontal="center" vertical="center" wrapText="1"/>
    </xf>
    <xf numFmtId="0" fontId="40" fillId="0" borderId="20" xfId="5" applyFont="1" applyBorder="1" applyAlignment="1">
      <alignment horizontal="center" vertical="center" wrapText="1"/>
    </xf>
    <xf numFmtId="180" fontId="40" fillId="0" borderId="20" xfId="5" applyNumberFormat="1" applyFont="1" applyBorder="1" applyAlignment="1">
      <alignment horizontal="center" vertical="center" wrapText="1"/>
    </xf>
    <xf numFmtId="0" fontId="40" fillId="0" borderId="20" xfId="5" applyFont="1" applyBorder="1" applyAlignment="1">
      <alignment horizontal="left" vertical="center" wrapText="1"/>
    </xf>
    <xf numFmtId="3" fontId="40" fillId="0" borderId="20" xfId="5" applyNumberFormat="1" applyFont="1" applyBorder="1" applyAlignment="1">
      <alignment horizontal="right" vertical="center" wrapText="1"/>
    </xf>
    <xf numFmtId="181" fontId="40" fillId="0" borderId="20" xfId="5" applyNumberFormat="1" applyFont="1" applyBorder="1" applyAlignment="1">
      <alignment horizontal="center" vertical="center" wrapText="1"/>
    </xf>
    <xf numFmtId="0" fontId="40" fillId="0" borderId="20" xfId="5" applyFont="1" applyBorder="1" applyAlignment="1">
      <alignment horizontal="right" vertical="center" wrapText="1"/>
    </xf>
    <xf numFmtId="49" fontId="40" fillId="0" borderId="20" xfId="5" applyNumberFormat="1" applyFont="1" applyBorder="1" applyAlignment="1">
      <alignment horizontal="right" vertical="center" wrapText="1"/>
    </xf>
    <xf numFmtId="49" fontId="40" fillId="0" borderId="20" xfId="5" applyNumberFormat="1" applyFont="1" applyBorder="1" applyAlignment="1">
      <alignment horizontal="left" vertical="center" wrapText="1"/>
    </xf>
    <xf numFmtId="182" fontId="40" fillId="0" borderId="20" xfId="5" applyNumberFormat="1" applyFont="1" applyBorder="1" applyAlignment="1">
      <alignment horizontal="right" vertical="center" wrapText="1"/>
    </xf>
    <xf numFmtId="49" fontId="40" fillId="0" borderId="28" xfId="5" applyNumberFormat="1" applyFont="1" applyBorder="1" applyAlignment="1">
      <alignment horizontal="center" vertical="top" wrapText="1"/>
    </xf>
    <xf numFmtId="49" fontId="40" fillId="0" borderId="28" xfId="5" applyNumberFormat="1" applyFont="1" applyBorder="1" applyAlignment="1">
      <alignment horizontal="center" vertical="center" wrapText="1"/>
    </xf>
    <xf numFmtId="49" fontId="40" fillId="0" borderId="20" xfId="5" applyNumberFormat="1" applyFont="1" applyBorder="1" applyAlignment="1">
      <alignment horizontal="center" vertical="center" wrapText="1"/>
    </xf>
    <xf numFmtId="0" fontId="40" fillId="0" borderId="29" xfId="5" applyFont="1" applyBorder="1" applyAlignment="1">
      <alignment horizontal="center" vertical="center" wrapText="1"/>
    </xf>
    <xf numFmtId="0" fontId="42" fillId="0" borderId="0" xfId="0" applyFont="1">
      <alignment vertical="center"/>
    </xf>
  </cellXfs>
  <cellStyles count="25">
    <cellStyle name="Hyperlink" xfId="6" xr:uid="{20B5AB0E-E31F-4442-81B4-EE27E44CD975}"/>
    <cellStyle name="쉼표 [0] 2" xfId="15" xr:uid="{6A5331F4-81B2-47F1-A7CB-CF7C4F41F75D}"/>
    <cellStyle name="쉼표 [0] 3" xfId="18" xr:uid="{873EECB7-F0DE-45D6-9997-A42E0864718B}"/>
    <cellStyle name="표준" xfId="0" builtinId="0"/>
    <cellStyle name="표준 10" xfId="14" xr:uid="{2533E786-794B-4335-9998-E973C40BACCE}"/>
    <cellStyle name="표준 11" xfId="16" xr:uid="{C68C90C8-AD7C-43F8-BC54-D01B475A5CAA}"/>
    <cellStyle name="표준 11 2" xfId="20" xr:uid="{4CF54C7E-DC51-4261-B345-3847C39EB69F}"/>
    <cellStyle name="표준 11 3" xfId="21" xr:uid="{E1E100A8-0529-4D52-BE5E-3DEB776985E1}"/>
    <cellStyle name="표준 12" xfId="17" xr:uid="{2005B87A-639F-4D7D-BC0C-FFC39FD671EB}"/>
    <cellStyle name="표준 13" xfId="22" xr:uid="{C966D1F0-277B-4AFF-BF51-FFEF175BD959}"/>
    <cellStyle name="표준 2" xfId="1" xr:uid="{00000000-0005-0000-0000-000002000000}"/>
    <cellStyle name="표준 2 2" xfId="5" xr:uid="{BA2CF668-AB31-4FAA-B285-1BA5C4DDC8A7}"/>
    <cellStyle name="표준 3" xfId="2" xr:uid="{00000000-0005-0000-0000-000003000000}"/>
    <cellStyle name="표준 4" xfId="4" xr:uid="{1B487ED4-EF49-4450-9FB1-C1A165FF7B38}"/>
    <cellStyle name="표준 4 2" xfId="13" xr:uid="{77D38E5F-41FF-4DAF-894C-2690B090A46D}"/>
    <cellStyle name="표준 5" xfId="3" xr:uid="{FA20E8C1-4403-49DB-90EE-0B2E9B2FCAFF}"/>
    <cellStyle name="표준 5 2" xfId="8" xr:uid="{65D2AC04-2E41-406E-BB7E-A2EE965D2914}"/>
    <cellStyle name="표준 5 3" xfId="12" xr:uid="{04A9683C-1E9A-4B56-93C7-A0B60845BE67}"/>
    <cellStyle name="표준 5 4" xfId="23" xr:uid="{59444FDC-83D6-4435-A88D-1EBABF529B54}"/>
    <cellStyle name="표준 5 5" xfId="24" xr:uid="{2F9CD717-453A-451F-86FA-0F0A3A3FD76C}"/>
    <cellStyle name="표준 6" xfId="7" xr:uid="{ABCA7ADB-8597-4FC4-9A04-ACB2521C1A59}"/>
    <cellStyle name="표준 7" xfId="9" xr:uid="{58D17566-9F5E-4E08-B8EE-20A1B78DA49A}"/>
    <cellStyle name="표준 8" xfId="10" xr:uid="{67613007-948C-41E1-830D-8D1DEB3443D0}"/>
    <cellStyle name="표준 8 2" xfId="19" xr:uid="{6C5B5DDA-88E5-4448-A518-C5D36D1B6E1C}"/>
    <cellStyle name="표준 9" xfId="11" xr:uid="{C0C68E53-AB0F-48E0-A673-11C258077921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C8E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3F1-2D24-41C6-BD8C-D7FDBDA7195F}">
  <sheetPr codeName="Sheet3">
    <tabColor rgb="FF7030A0"/>
  </sheetPr>
  <dimension ref="A1:CL892"/>
  <sheetViews>
    <sheetView zoomScale="70" zoomScaleNormal="70" workbookViewId="0">
      <pane xSplit="1" ySplit="2" topLeftCell="B95" activePane="bottomRight" state="frozen"/>
      <selection activeCell="F18" sqref="F18"/>
      <selection pane="topRight" activeCell="F18" sqref="F18"/>
      <selection pane="bottomLeft" activeCell="F18" sqref="F18"/>
      <selection pane="bottomRight" activeCell="J108" sqref="J108"/>
    </sheetView>
  </sheetViews>
  <sheetFormatPr defaultColWidth="8.75" defaultRowHeight="20.45" customHeight="1"/>
  <cols>
    <col min="1" max="1" width="3.75" style="2" customWidth="1"/>
    <col min="2" max="2" width="9.125" style="11" bestFit="1" customWidth="1"/>
    <col min="3" max="3" width="10.75" style="3" customWidth="1"/>
    <col min="4" max="4" width="9.375" style="16" bestFit="1" customWidth="1"/>
    <col min="5" max="5" width="5.375" style="11" customWidth="1"/>
    <col min="6" max="6" width="10.375" style="3" bestFit="1" customWidth="1"/>
    <col min="7" max="7" width="7.25" style="11" customWidth="1"/>
    <col min="8" max="8" width="9.375" style="3" customWidth="1"/>
    <col min="9" max="9" width="9.375" style="3" bestFit="1" customWidth="1"/>
    <col min="10" max="10" width="9.25" style="11" customWidth="1"/>
    <col min="11" max="11" width="16.75" style="3" bestFit="1" customWidth="1"/>
    <col min="12" max="12" width="13.125" style="3" customWidth="1"/>
    <col min="13" max="14" width="10.875" style="3" customWidth="1"/>
    <col min="15" max="15" width="17.25" style="3" customWidth="1"/>
    <col min="16" max="16" width="9.875" style="2" customWidth="1"/>
    <col min="17" max="18" width="5.75" style="3" customWidth="1"/>
    <col min="19" max="19" width="5.875" style="3" bestFit="1" customWidth="1"/>
    <col min="20" max="20" width="12.75" style="3" bestFit="1" customWidth="1"/>
    <col min="21" max="21" width="12.625" style="3" bestFit="1" customWidth="1"/>
    <col min="22" max="22" width="9.625" style="3" customWidth="1"/>
    <col min="23" max="23" width="16.125" style="14" customWidth="1"/>
    <col min="24" max="25" width="11.75" style="95" customWidth="1"/>
    <col min="26" max="26" width="9.875" style="3" bestFit="1" customWidth="1"/>
    <col min="27" max="27" width="10.25" style="14" customWidth="1"/>
    <col min="28" max="28" width="1.5" style="90" customWidth="1"/>
    <col min="29" max="29" width="4" style="2" customWidth="1"/>
    <col min="30" max="30" width="5.375" style="2" customWidth="1"/>
    <col min="31" max="31" width="0.5" style="2" customWidth="1"/>
    <col min="32" max="33" width="4.25" style="2" customWidth="1"/>
    <col min="34" max="34" width="11.875" style="2" customWidth="1"/>
    <col min="35" max="35" width="8.75" style="2"/>
    <col min="36" max="36" width="15.875" style="2" customWidth="1"/>
    <col min="37" max="37" width="0.5" style="2" customWidth="1"/>
    <col min="38" max="38" width="8.125" style="2" customWidth="1"/>
    <col min="39" max="39" width="0.5" style="2" customWidth="1"/>
    <col min="40" max="40" width="11.625" style="70" bestFit="1" customWidth="1"/>
    <col min="41" max="41" width="5.125" style="2" customWidth="1"/>
    <col min="42" max="42" width="10.625" style="2" bestFit="1" customWidth="1"/>
    <col min="43" max="43" width="0.5" style="2" customWidth="1"/>
    <col min="44" max="44" width="10" style="2" customWidth="1"/>
    <col min="45" max="45" width="0.625" style="2" customWidth="1"/>
    <col min="46" max="48" width="0.5" style="2" customWidth="1"/>
    <col min="49" max="49" width="2" style="2" customWidth="1"/>
    <col min="50" max="53" width="6.625" style="2" customWidth="1"/>
    <col min="54" max="64" width="0.25" style="2" customWidth="1"/>
    <col min="65" max="66" width="5.125" style="2" customWidth="1"/>
    <col min="67" max="69" width="0.375" style="2" customWidth="1"/>
    <col min="70" max="70" width="4.75" style="2" customWidth="1"/>
    <col min="71" max="71" width="4.5" style="2" customWidth="1"/>
    <col min="72" max="72" width="0.25" style="2" customWidth="1"/>
    <col min="73" max="73" width="4.375" style="2" customWidth="1"/>
    <col min="74" max="74" width="16.625" style="2" customWidth="1"/>
    <col min="75" max="75" width="33.5" style="2" customWidth="1"/>
    <col min="76" max="76" width="12.875" style="2" customWidth="1"/>
    <col min="77" max="77" width="0.375" style="2" hidden="1" customWidth="1"/>
    <col min="78" max="78" width="7" style="2" customWidth="1"/>
    <col min="79" max="79" width="9.125" style="2" customWidth="1"/>
    <col min="80" max="88" width="0.625" style="2" customWidth="1"/>
    <col min="89" max="90" width="10.125" style="2" customWidth="1"/>
    <col min="91" max="16384" width="8.75" style="2"/>
  </cols>
  <sheetData>
    <row r="1" spans="1:90" ht="37.5" customHeight="1" thickBot="1">
      <c r="B1" s="2" t="s">
        <v>2326</v>
      </c>
      <c r="C1" s="2"/>
      <c r="D1" s="2"/>
      <c r="E1" s="2"/>
      <c r="F1" s="96" t="s">
        <v>1741</v>
      </c>
      <c r="G1" s="2"/>
      <c r="H1" s="96" t="s">
        <v>1778</v>
      </c>
      <c r="I1" s="2"/>
      <c r="J1" s="2"/>
      <c r="K1" s="133" t="s">
        <v>1910</v>
      </c>
      <c r="L1" s="2"/>
      <c r="M1" s="2"/>
      <c r="N1" s="2"/>
      <c r="O1" s="96" t="s">
        <v>1742</v>
      </c>
      <c r="P1" s="98" t="s">
        <v>1777</v>
      </c>
      <c r="Q1" s="2"/>
      <c r="R1" s="2"/>
      <c r="S1" s="2"/>
      <c r="T1" s="75"/>
      <c r="U1" s="2"/>
      <c r="V1" s="99" t="s">
        <v>1729</v>
      </c>
      <c r="W1" s="2"/>
      <c r="X1" s="70"/>
      <c r="Y1" s="70"/>
      <c r="Z1" s="96" t="s">
        <v>1742</v>
      </c>
      <c r="AA1" s="2"/>
      <c r="AC1" s="2">
        <v>20</v>
      </c>
      <c r="AF1" s="2" t="s">
        <v>1015</v>
      </c>
      <c r="AH1" s="101" t="s">
        <v>1794</v>
      </c>
      <c r="AJ1" s="102" t="s">
        <v>1901</v>
      </c>
      <c r="AL1" s="2">
        <v>5010001</v>
      </c>
      <c r="AN1" s="2"/>
      <c r="BN1" s="2">
        <v>1</v>
      </c>
      <c r="BV1" s="101" t="s">
        <v>1900</v>
      </c>
      <c r="BW1" s="102" t="s">
        <v>1902</v>
      </c>
      <c r="CA1" s="75" t="s">
        <v>1311</v>
      </c>
    </row>
    <row r="2" spans="1:90" ht="31.5" customHeight="1" thickBot="1">
      <c r="A2" s="7"/>
      <c r="B2" s="17" t="s">
        <v>1209</v>
      </c>
      <c r="C2" s="9" t="s">
        <v>519</v>
      </c>
      <c r="D2" s="18" t="s">
        <v>520</v>
      </c>
      <c r="E2" s="18" t="s">
        <v>521</v>
      </c>
      <c r="F2" s="10" t="s">
        <v>413</v>
      </c>
      <c r="G2" s="10" t="s">
        <v>522</v>
      </c>
      <c r="H2" s="10" t="s">
        <v>523</v>
      </c>
      <c r="I2" s="10" t="s">
        <v>524</v>
      </c>
      <c r="J2" s="10" t="s">
        <v>525</v>
      </c>
      <c r="K2" s="18" t="s">
        <v>1725</v>
      </c>
      <c r="L2" s="9" t="s">
        <v>526</v>
      </c>
      <c r="M2" s="9" t="s">
        <v>1395</v>
      </c>
      <c r="N2" s="9" t="s">
        <v>2342</v>
      </c>
      <c r="O2" s="20" t="s">
        <v>1661</v>
      </c>
      <c r="P2" s="97" t="s">
        <v>1790</v>
      </c>
      <c r="Q2" s="19">
        <v>20</v>
      </c>
      <c r="R2" s="19">
        <v>40</v>
      </c>
      <c r="S2" s="19" t="s">
        <v>527</v>
      </c>
      <c r="T2" s="20" t="s">
        <v>322</v>
      </c>
      <c r="U2" s="21" t="s">
        <v>323</v>
      </c>
      <c r="V2" s="21" t="s">
        <v>1234</v>
      </c>
      <c r="W2" s="22" t="s">
        <v>528</v>
      </c>
      <c r="X2" s="94" t="s">
        <v>1792</v>
      </c>
      <c r="Y2" s="94" t="s">
        <v>1739</v>
      </c>
      <c r="Z2" s="89" t="s">
        <v>1772</v>
      </c>
      <c r="AA2" s="92" t="s">
        <v>1740</v>
      </c>
      <c r="AC2" s="64" t="s">
        <v>529</v>
      </c>
      <c r="AD2" s="64" t="s">
        <v>1</v>
      </c>
      <c r="AE2" s="64" t="s">
        <v>530</v>
      </c>
      <c r="AF2" s="64" t="s">
        <v>531</v>
      </c>
      <c r="AG2" s="64" t="s">
        <v>532</v>
      </c>
      <c r="AH2" s="64" t="s">
        <v>533</v>
      </c>
      <c r="AI2" s="64" t="s">
        <v>534</v>
      </c>
      <c r="AJ2" s="134" t="s">
        <v>535</v>
      </c>
      <c r="AK2" s="64" t="s">
        <v>536</v>
      </c>
      <c r="AL2" s="64" t="s">
        <v>537</v>
      </c>
      <c r="AM2" s="64" t="s">
        <v>538</v>
      </c>
      <c r="AN2" s="64" t="s">
        <v>1013</v>
      </c>
      <c r="AO2" s="64" t="s">
        <v>1014</v>
      </c>
      <c r="AP2" s="64" t="s">
        <v>539</v>
      </c>
      <c r="AQ2" s="64" t="s">
        <v>540</v>
      </c>
      <c r="AR2" s="64" t="s">
        <v>541</v>
      </c>
      <c r="AS2" s="64" t="s">
        <v>542</v>
      </c>
      <c r="AT2" s="64" t="s">
        <v>543</v>
      </c>
      <c r="AU2" s="64" t="s">
        <v>544</v>
      </c>
      <c r="AV2" s="64" t="s">
        <v>545</v>
      </c>
      <c r="AW2" s="64" t="s">
        <v>0</v>
      </c>
      <c r="AX2" s="64" t="s">
        <v>546</v>
      </c>
      <c r="AY2" s="64" t="s">
        <v>547</v>
      </c>
      <c r="AZ2" s="64" t="s">
        <v>548</v>
      </c>
      <c r="BA2" s="64" t="s">
        <v>549</v>
      </c>
      <c r="BB2" s="64" t="s">
        <v>550</v>
      </c>
      <c r="BC2" s="64" t="s">
        <v>551</v>
      </c>
      <c r="BD2" s="64" t="s">
        <v>552</v>
      </c>
      <c r="BE2" s="64" t="s">
        <v>553</v>
      </c>
      <c r="BF2" s="64" t="s">
        <v>554</v>
      </c>
      <c r="BG2" s="64" t="s">
        <v>555</v>
      </c>
      <c r="BH2" s="64" t="s">
        <v>556</v>
      </c>
      <c r="BI2" s="64" t="s">
        <v>557</v>
      </c>
      <c r="BJ2" s="64" t="s">
        <v>558</v>
      </c>
      <c r="BK2" s="64" t="s">
        <v>559</v>
      </c>
      <c r="BL2" s="64" t="s">
        <v>560</v>
      </c>
      <c r="BM2" s="64" t="s">
        <v>1313</v>
      </c>
      <c r="BN2" s="64" t="s">
        <v>1312</v>
      </c>
      <c r="BO2" s="64" t="s">
        <v>561</v>
      </c>
      <c r="BP2" s="64" t="s">
        <v>562</v>
      </c>
      <c r="BQ2" s="64" t="s">
        <v>563</v>
      </c>
      <c r="BR2" s="64" t="s">
        <v>564</v>
      </c>
      <c r="BS2" s="64" t="s">
        <v>565</v>
      </c>
      <c r="BT2" s="64" t="s">
        <v>566</v>
      </c>
      <c r="BU2" s="64" t="s">
        <v>567</v>
      </c>
      <c r="BV2" s="134" t="s">
        <v>568</v>
      </c>
      <c r="BW2" s="64" t="s">
        <v>569</v>
      </c>
      <c r="BX2" s="64" t="s">
        <v>570</v>
      </c>
      <c r="BY2" s="64" t="s">
        <v>571</v>
      </c>
      <c r="BZ2" s="64" t="s">
        <v>572</v>
      </c>
      <c r="CA2" s="64" t="s">
        <v>573</v>
      </c>
      <c r="CB2" s="64" t="s">
        <v>574</v>
      </c>
      <c r="CC2" s="64" t="s">
        <v>575</v>
      </c>
      <c r="CD2" s="64" t="s">
        <v>576</v>
      </c>
      <c r="CE2" s="64" t="s">
        <v>577</v>
      </c>
      <c r="CF2" s="64" t="s">
        <v>578</v>
      </c>
      <c r="CG2" s="64" t="s">
        <v>579</v>
      </c>
      <c r="CH2" s="64" t="s">
        <v>580</v>
      </c>
      <c r="CI2" s="64" t="s">
        <v>581</v>
      </c>
      <c r="CJ2" s="64" t="s">
        <v>582</v>
      </c>
      <c r="CK2" s="64" t="s">
        <v>1310</v>
      </c>
      <c r="CL2" s="64" t="s">
        <v>2313</v>
      </c>
    </row>
    <row r="3" spans="1:90" ht="20.45" customHeight="1">
      <c r="B3" s="13">
        <f>IF(GLAPS자동계산!C2="","",GLAPS자동계산!C2)</f>
        <v>46177</v>
      </c>
      <c r="C3" s="3" t="str">
        <f>IF(GLAPS자동계산!D2="","",GLAPS자동계산!D2)</f>
        <v>ELS솔루션</v>
      </c>
      <c r="D3" s="16" t="str">
        <f>IF(GLAPS자동계산!E2="","",GLAPS자동계산!E2)</f>
        <v>08:00</v>
      </c>
      <c r="E3" s="11" t="str">
        <f>IF(GLAPS자동계산!F2="","",GLAPS자동계산!F2)</f>
        <v>오전</v>
      </c>
      <c r="F3" s="3" t="str">
        <f>IF(GLAPS자동계산!G2="","",GLAPS자동계산!G2)</f>
        <v>아산 2포장장</v>
      </c>
      <c r="G3" s="3" t="str">
        <f>IF(GLAPS자동계산!H2="","",GLAPS자동계산!H2)</f>
        <v>EAS</v>
      </c>
      <c r="H3" s="3" t="str">
        <f>IF(GLAPS자동계산!I2="","",GLAPS자동계산!I2)</f>
        <v>KIN</v>
      </c>
      <c r="I3" s="3" t="str">
        <f>IF(GLAPS자동계산!J2="","",GLAPS자동계산!J2)</f>
        <v>WHL</v>
      </c>
      <c r="J3" s="3" t="str">
        <f>IF(GLAPS자동계산!K2="","",GLAPS자동계산!K2)</f>
        <v>40 Feet H</v>
      </c>
      <c r="K3" s="3" t="str">
        <f>IF(GLAPS자동계산!L2="","",GLAPS자동계산!L2)</f>
        <v>BUSAN(NEW)</v>
      </c>
      <c r="L3" s="3" t="str">
        <f>IF(GLAPS자동계산!M2="","",GLAPS자동계산!M2)</f>
        <v>인도</v>
      </c>
      <c r="M3" s="3" t="str">
        <f>IF(GLAPS자동계산!N2="","",GLAPS자동계산!N2)</f>
        <v/>
      </c>
      <c r="N3" s="3" t="str">
        <f>IF(GLAPS자동계산!O2="","",GLAPS자동계산!O2)</f>
        <v>부산99바7157</v>
      </c>
      <c r="O3" s="3" t="str">
        <f>IF(GLAPS자동계산!P2="","",GLAPS자동계산!P2)</f>
        <v/>
      </c>
      <c r="P3" s="2" t="str">
        <f>IF(GLAPS자동계산!Q2="","",GLAPS자동계산!Q2)</f>
        <v/>
      </c>
      <c r="Q3" s="3" t="str">
        <f>IF(GLAPS자동계산!R2="","",GLAPS자동계산!R2)</f>
        <v/>
      </c>
      <c r="R3" s="3" t="str">
        <f>IF(GLAPS자동계산!S2="","",GLAPS자동계산!S2)</f>
        <v/>
      </c>
      <c r="S3" s="3">
        <f>IF(GLAPS자동계산!T2="","",GLAPS자동계산!T2)</f>
        <v>1</v>
      </c>
      <c r="T3" s="3" t="str">
        <f>IF(GLAPS자동계산!U2="","",GLAPS자동계산!U2)</f>
        <v>WHSU6549777</v>
      </c>
      <c r="U3" s="3" t="str">
        <f>IF(GLAPS자동계산!V2="","",GLAPS자동계산!V2)</f>
        <v>WHA3168605</v>
      </c>
      <c r="V3" s="3" t="str">
        <f>IF(GLAPS자동계산!W2="","",GLAPS자동계산!W2)</f>
        <v/>
      </c>
      <c r="W3" s="14" t="str">
        <f>IF(GLAPS자동계산!X2="","",GLAPS자동계산!X2)</f>
        <v>X260602-001966</v>
      </c>
      <c r="X3" s="13" t="str">
        <f>IF(GLAPS자동계산!Y2="","",GLAPS자동계산!Y2)</f>
        <v>005GX17204</v>
      </c>
      <c r="Y3" s="13" t="str">
        <f>IF(GLAPS자동계산!Z2="","",GLAPS자동계산!Z2)</f>
        <v/>
      </c>
      <c r="Z3" s="91" t="str">
        <f>IF(GLAPS자동계산!AA2="","",GLAPS자동계산!AA2)</f>
        <v/>
      </c>
      <c r="AA3" s="14" t="str">
        <f>IF(GLAPS자동계산!AB2="","",GLAPS자동계산!AB2)</f>
        <v/>
      </c>
      <c r="AC3" s="2">
        <f>IF($B3="","",$AC$1)</f>
        <v>20</v>
      </c>
      <c r="AD3" s="2" t="str">
        <f>IF($B3="","",IFERROR(INDEX(GLAPS정리!$D$2:$D$50,MATCH(I3,GLAPS정리!$A$2:$A$50,0)),IFERROR(INDEX(GLAPS정리!$D$2:$D$50,MATCH(I3,GLAPS정리!$B$2:$B$50,0)),"")))</f>
        <v>WHL</v>
      </c>
      <c r="AF3" s="2" t="str">
        <f>IF($B3="","",$AF$1)</f>
        <v>KR10</v>
      </c>
      <c r="AI3" s="2" t="str">
        <f>IF($B3="","",IF(F3="","",VLOOKUP(F3,GLAPS정리!$G$3:$J$114,2,0)))</f>
        <v>H000_GB</v>
      </c>
      <c r="AJ3" s="2" t="str">
        <f>IF($B3="","",IF(Z3="울산정일","KRONS",IF(Z3="울산신항","KRUSN",IF(OR(Z3="선광종합물류(인천여객)",Z3="인천여객(인천여객)"),"KRINF",IF(OR(Z3="선광인천보세(인천신)",Z3="한진인천(인천신)",Z3="선광인천신항(인천신)",Z3="인천더로지스(인천신)"),"KRINN",IF(OR(Z3="인천진아(인천항)",Z3="인천E1(인천항)",Z3="인천SM경인터미널(인천항)",Z3="인천항(인천항)",Z3="인천우련(인천항)",Z3="인천항8부두(인천항)"),"KRINC",VLOOKUP(K3,GLAPS정리!$BB$2:$BC$33,2,0)))))))</f>
        <v>KRBNP</v>
      </c>
      <c r="AL3" s="2">
        <f>IF($B3="","",$AL$1)</f>
        <v>5010001</v>
      </c>
      <c r="AN3" s="70" t="str">
        <f>IF($B3="","",TEXT(B3,"YYYY-MM-DD"))</f>
        <v>2026-06-04</v>
      </c>
      <c r="AO3" s="2" t="str">
        <f>IF($B3="","",IF(E3="오전", "0800", IF(E3="오후", "1300", IF(E3="잔업", "1800", ""))))</f>
        <v>0800</v>
      </c>
      <c r="AP3" s="2" t="str">
        <f>IF($B3="","",IF(C3="","",VLOOKUP(C3,GLAPS정리!$AX$2:$AZ$17,3,0)))</f>
        <v>B000005273</v>
      </c>
      <c r="AR3" s="2" t="str">
        <f>IF($B3="","",IF(X3="","",X3))</f>
        <v>005GX17204</v>
      </c>
      <c r="AX3" s="2" t="str">
        <f>IF($B3="","",IF(L3="","",VLOOKUP(L3,GLAPS정리!$V$3:$W$180,2,0)))</f>
        <v>INKAT</v>
      </c>
      <c r="BM3" s="2" t="str">
        <f>IF($B3="","",IF(AND(Q3=1,OR(P3="",P3="위험물")), "2210", IF(AND(Q3=1,OR(P3="리퍼",P3="위험물리퍼")), "2230", IF(AND(S3=1,OR(P3="",P3="위험물")), "4510", IF(AND(S3=1,OR(P3="리퍼",P3="위험물리퍼")), "4530", IF(AND(R3=1,OR(P3="",P3="위험물")), "4210", IF(AND(R3=1,P3="리퍼"), "4230", " ")))))))</f>
        <v>4510</v>
      </c>
      <c r="BN3" s="2">
        <f>IF($B3="","",$BN$1)</f>
        <v>1</v>
      </c>
      <c r="BR3" s="2" t="str">
        <f>IF($B3="","",IF(OR(P3="리퍼",P3="위험물리퍼"),"Y",""))</f>
        <v/>
      </c>
      <c r="BS3" s="2" t="str">
        <f>IF($B3="","",IF(OR(P3="위험물",P3="위험물리퍼"),"Y",""))</f>
        <v/>
      </c>
      <c r="BV3" s="2" t="str">
        <f>IF($B3="","",IF(O3="","",VLOOKUP(O3,GLAPS정리!$BH$2:$BI$94,2,0)))</f>
        <v/>
      </c>
      <c r="BW3" s="2" t="str">
        <f>IF($B3="","",IF(OR(Z3="동원",Z3="세방",Z3="한타"),"",IFERROR(INDEX(GLAPS정리!$BI$2:$BI$101,MATCH(Z3,GLAPS정리!$BH$2:$BH$101,0)),"")))</f>
        <v/>
      </c>
      <c r="BX3" s="2" t="str">
        <f>IF($B3="","",IF(Z3="","",IFERROR(VLOOKUP(Z3,GLAPS정리!$AX$2:$AZ$17,3,0),"")))</f>
        <v/>
      </c>
      <c r="BZ3" s="2" t="str">
        <f>IF($B3="","",IF(H3="","",VLOOKUP(H3,GLAPS정리!$L$3:$O$133,2,0)))</f>
        <v>GA0196</v>
      </c>
      <c r="CA3" s="2" t="str">
        <f>IF($B3="","",IF(V3="공휴일", 10, IF(V3="야간", 20, IF(V3="위험물", 30, IF(V3="중량", 40, "")))))</f>
        <v/>
      </c>
      <c r="CL3" s="2" t="str">
        <f>IF($B3="","",IF(AI3="","",VLOOKUP(AI3,GLAPS정리!$BT$3:$BV$26,3,0)))</f>
        <v>EAS</v>
      </c>
    </row>
    <row r="4" spans="1:90" ht="20.45" customHeight="1">
      <c r="B4" s="13">
        <f>IF(GLAPS자동계산!C3="","",GLAPS자동계산!C3)</f>
        <v>46177</v>
      </c>
      <c r="C4" s="3" t="str">
        <f>IF(GLAPS자동계산!D3="","",GLAPS자동계산!D3)</f>
        <v>ELS솔루션</v>
      </c>
      <c r="D4" s="16" t="str">
        <f>IF(GLAPS자동계산!E3="","",GLAPS자동계산!E3)</f>
        <v>09:00</v>
      </c>
      <c r="E4" s="11" t="str">
        <f>IF(GLAPS자동계산!F3="","",GLAPS자동계산!F3)</f>
        <v>오전</v>
      </c>
      <c r="F4" s="3" t="str">
        <f>IF(GLAPS자동계산!G3="","",GLAPS자동계산!G3)</f>
        <v>아산 2포장장</v>
      </c>
      <c r="G4" s="3" t="str">
        <f>IF(GLAPS자동계산!H3="","",GLAPS자동계산!H3)</f>
        <v>EAS</v>
      </c>
      <c r="H4" s="3" t="str">
        <f>IF(GLAPS자동계산!I3="","",GLAPS자동계산!I3)</f>
        <v>KIN</v>
      </c>
      <c r="I4" s="3" t="str">
        <f>IF(GLAPS자동계산!J3="","",GLAPS자동계산!J3)</f>
        <v>WHL</v>
      </c>
      <c r="J4" s="3" t="str">
        <f>IF(GLAPS자동계산!K3="","",GLAPS자동계산!K3)</f>
        <v>40 Feet H</v>
      </c>
      <c r="K4" s="3" t="str">
        <f>IF(GLAPS자동계산!L3="","",GLAPS자동계산!L3)</f>
        <v>BUSAN(NEW)</v>
      </c>
      <c r="L4" s="3" t="str">
        <f>IF(GLAPS자동계산!M3="","",GLAPS자동계산!M3)</f>
        <v>인도</v>
      </c>
      <c r="M4" s="3" t="str">
        <f>IF(GLAPS자동계산!N3="","",GLAPS자동계산!N3)</f>
        <v/>
      </c>
      <c r="N4" s="3" t="str">
        <f>IF(GLAPS자동계산!O3="","",GLAPS자동계산!O3)</f>
        <v>경북98사1145</v>
      </c>
      <c r="O4" s="3" t="str">
        <f>IF(GLAPS자동계산!P3="","",GLAPS자동계산!P3)</f>
        <v/>
      </c>
      <c r="P4" s="2" t="str">
        <f>IF(GLAPS자동계산!Q3="","",GLAPS자동계산!Q3)</f>
        <v/>
      </c>
      <c r="Q4" s="3" t="str">
        <f>IF(GLAPS자동계산!R3="","",GLAPS자동계산!R3)</f>
        <v/>
      </c>
      <c r="R4" s="3" t="str">
        <f>IF(GLAPS자동계산!S3="","",GLAPS자동계산!S3)</f>
        <v/>
      </c>
      <c r="S4" s="3">
        <f>IF(GLAPS자동계산!T3="","",GLAPS자동계산!T3)</f>
        <v>1</v>
      </c>
      <c r="T4" s="3" t="str">
        <f>IF(GLAPS자동계산!U3="","",GLAPS자동계산!U3)</f>
        <v>WHSU5174357</v>
      </c>
      <c r="U4" s="3" t="str">
        <f>IF(GLAPS자동계산!V3="","",GLAPS자동계산!V3)</f>
        <v>WHA3168615</v>
      </c>
      <c r="V4" s="3" t="str">
        <f>IF(GLAPS자동계산!W3="","",GLAPS자동계산!W3)</f>
        <v/>
      </c>
      <c r="W4" s="14" t="str">
        <f>IF(GLAPS자동계산!X3="","",GLAPS자동계산!X3)</f>
        <v>X260602-001967</v>
      </c>
      <c r="X4" s="13" t="str">
        <f>IF(GLAPS자동계산!Y3="","",GLAPS자동계산!Y3)</f>
        <v>005GX17204</v>
      </c>
      <c r="Y4" s="13" t="str">
        <f>IF(GLAPS자동계산!Z3="","",GLAPS자동계산!Z3)</f>
        <v/>
      </c>
      <c r="Z4" s="91" t="str">
        <f>IF(GLAPS자동계산!AA3="","",GLAPS자동계산!AA3)</f>
        <v/>
      </c>
      <c r="AA4" s="14" t="str">
        <f>IF(GLAPS자동계산!AB3="","",GLAPS자동계산!AB3)</f>
        <v/>
      </c>
      <c r="AC4" s="2">
        <f>IF($B4="","",$AC$1)</f>
        <v>20</v>
      </c>
      <c r="AD4" s="2" t="str">
        <f>IF($B4="","",IFERROR(INDEX(GLAPS정리!$D$2:$D$50,MATCH(I4,GLAPS정리!$A$2:$A$50,0)),IFERROR(INDEX(GLAPS정리!$D$2:$D$50,MATCH(I4,GLAPS정리!$B$2:$B$50,0)),"")))</f>
        <v>WHL</v>
      </c>
      <c r="AF4" s="2" t="str">
        <f>IF($B4="","",$AF$1)</f>
        <v>KR10</v>
      </c>
      <c r="AI4" s="2" t="str">
        <f>IF($B4="","",IF(F4="","",VLOOKUP(F4,GLAPS정리!$G$3:$J$114,2,0)))</f>
        <v>H000_GB</v>
      </c>
      <c r="AJ4" s="2" t="str">
        <f>IF($B4="","",IF(Z4="울산정일","KRONS",IF(Z4="울산신항","KRUSN",IF(OR(Z4="선광종합물류(인천여객)",Z4="인천여객(인천여객)"),"KRINF",IF(OR(Z4="선광인천보세(인천신)",Z4="한진인천(인천신)",Z4="선광인천신항(인천신)",Z4="인천더로지스(인천신)"),"KRINN",IF(OR(Z4="인천진아(인천항)",Z4="인천E1(인천항)",Z4="인천SM경인터미널(인천항)",Z4="인천항(인천항)",Z4="인천우련(인천항)",Z4="인천항8부두(인천항)"),"KRINC",VLOOKUP(K4,GLAPS정리!$BB$2:$BC$33,2,0)))))))</f>
        <v>KRBNP</v>
      </c>
      <c r="AL4" s="2">
        <f>IF($B4="","",$AL$1)</f>
        <v>5010001</v>
      </c>
      <c r="AN4" s="70" t="str">
        <f>IF($B4="","",TEXT(B4,"YYYY-MM-DD"))</f>
        <v>2026-06-04</v>
      </c>
      <c r="AO4" s="2" t="str">
        <f>IF($B4="","",IF(E4="오전", "0800", IF(E4="오후", "1300", IF(E4="잔업", "1800", ""))))</f>
        <v>0800</v>
      </c>
      <c r="AP4" s="2" t="str">
        <f>IF($B4="","",IF(C4="","",VLOOKUP(C4,GLAPS정리!$AX$2:$AZ$17,3,0)))</f>
        <v>B000005273</v>
      </c>
      <c r="AR4" s="2" t="str">
        <f>IF($B4="","",IF(X4="","",X4))</f>
        <v>005GX17204</v>
      </c>
      <c r="AX4" s="2" t="str">
        <f>IF($B4="","",IF(L4="","",VLOOKUP(L4,GLAPS정리!$V$3:$W$180,2,0)))</f>
        <v>INKAT</v>
      </c>
      <c r="BM4" s="2" t="str">
        <f>IF($B4="","",IF(AND(Q4=1,OR(P4="",P4="위험물")), "2210", IF(AND(Q4=1,OR(P4="리퍼",P4="위험물리퍼")), "2230", IF(AND(S4=1,OR(P4="",P4="위험물")), "4510", IF(AND(S4=1,OR(P4="리퍼",P4="위험물리퍼")), "4530", IF(AND(R4=1,OR(P4="",P4="위험물")), "4210", IF(AND(R4=1,P4="리퍼"), "4230", " ")))))))</f>
        <v>4510</v>
      </c>
      <c r="BN4" s="2">
        <f>IF($B4="","",$BN$1)</f>
        <v>1</v>
      </c>
      <c r="BR4" s="2" t="str">
        <f>IF($B4="","",IF(OR(P4="리퍼",P4="위험물리퍼"),"Y",""))</f>
        <v/>
      </c>
      <c r="BS4" s="2" t="str">
        <f>IF($B4="","",IF(OR(P4="위험물",P4="위험물리퍼"),"Y",""))</f>
        <v/>
      </c>
      <c r="BV4" s="2" t="str">
        <f>IF($B4="","",IF(O4="","",VLOOKUP(O4,GLAPS정리!$BH$2:$BI$94,2,0)))</f>
        <v/>
      </c>
      <c r="BW4" s="2" t="str">
        <f>IF($B4="","",IF(OR(Z4="동원",Z4="세방",Z4="한타"),"",IFERROR(INDEX(GLAPS정리!$BI$2:$BI$101,MATCH(Z4,GLAPS정리!$BH$2:$BH$101,0)),"")))</f>
        <v/>
      </c>
      <c r="BX4" s="2" t="str">
        <f>IF($B4="","",IF(Z4="","",IFERROR(VLOOKUP(Z4,GLAPS정리!$AX$2:$AZ$17,3,0),"")))</f>
        <v/>
      </c>
      <c r="BZ4" s="2" t="str">
        <f>IF($B4="","",IF(H4="","",VLOOKUP(H4,GLAPS정리!$L$3:$O$133,2,0)))</f>
        <v>GA0196</v>
      </c>
      <c r="CA4" s="2" t="str">
        <f>IF($B4="","",IF(V4="공휴일", 10, IF(V4="야간", 20, IF(V4="위험물", 30, IF(V4="중량", 40, "")))))</f>
        <v/>
      </c>
      <c r="CL4" s="2" t="str">
        <f>IF($B4="","",IF(AI4="","",VLOOKUP(AI4,GLAPS정리!$BT$3:$BV$26,3,0)))</f>
        <v>EAS</v>
      </c>
    </row>
    <row r="5" spans="1:90" ht="20.45" customHeight="1">
      <c r="B5" s="13">
        <f>IF(GLAPS자동계산!C4="","",GLAPS자동계산!C4)</f>
        <v>46177</v>
      </c>
      <c r="C5" s="3" t="str">
        <f>IF(GLAPS자동계산!D4="","",GLAPS자동계산!D4)</f>
        <v>ELS솔루션</v>
      </c>
      <c r="D5" s="16" t="str">
        <f>IF(GLAPS자동계산!E4="","",GLAPS자동계산!E4)</f>
        <v>08:00</v>
      </c>
      <c r="E5" s="11" t="str">
        <f>IF(GLAPS자동계산!F4="","",GLAPS자동계산!F4)</f>
        <v>오전</v>
      </c>
      <c r="F5" s="3" t="str">
        <f>IF(GLAPS자동계산!G4="","",GLAPS자동계산!G4)</f>
        <v>아산 1포장장</v>
      </c>
      <c r="G5" s="3" t="str">
        <f>IF(GLAPS자동계산!H4="","",GLAPS자동계산!H4)</f>
        <v>EAS</v>
      </c>
      <c r="H5" s="3" t="str">
        <f>IF(GLAPS자동계산!I4="","",GLAPS자동계산!I4)</f>
        <v>KASK</v>
      </c>
      <c r="I5" s="3" t="str">
        <f>IF(GLAPS자동계산!J4="","",GLAPS자동계산!J4)</f>
        <v>CMA</v>
      </c>
      <c r="J5" s="3" t="str">
        <f>IF(GLAPS자동계산!K4="","",GLAPS자동계산!K4)</f>
        <v>40 Feet H</v>
      </c>
      <c r="K5" s="3" t="str">
        <f>IF(GLAPS자동계산!L4="","",GLAPS자동계산!L4)</f>
        <v>BUSAN(NEW)</v>
      </c>
      <c r="L5" s="3" t="str">
        <f>IF(GLAPS자동계산!M4="","",GLAPS자동계산!M4)</f>
        <v>코퍼</v>
      </c>
      <c r="M5" s="3" t="str">
        <f>IF(GLAPS자동계산!N4="","",GLAPS자동계산!N4)</f>
        <v/>
      </c>
      <c r="N5" s="3" t="str">
        <f>IF(GLAPS자동계산!O4="","",GLAPS자동계산!O4)</f>
        <v>경남99바4922</v>
      </c>
      <c r="O5" s="3" t="str">
        <f>IF(GLAPS자동계산!P4="","",GLAPS자동계산!P4)</f>
        <v/>
      </c>
      <c r="P5" s="2" t="str">
        <f>IF(GLAPS자동계산!Q4="","",GLAPS자동계산!Q4)</f>
        <v/>
      </c>
      <c r="Q5" s="3" t="str">
        <f>IF(GLAPS자동계산!R4="","",GLAPS자동계산!R4)</f>
        <v/>
      </c>
      <c r="R5" s="3" t="str">
        <f>IF(GLAPS자동계산!S4="","",GLAPS자동계산!S4)</f>
        <v/>
      </c>
      <c r="S5" s="3">
        <f>IF(GLAPS자동계산!T4="","",GLAPS자동계산!T4)</f>
        <v>1</v>
      </c>
      <c r="T5" s="3" t="str">
        <f>IF(GLAPS자동계산!U4="","",GLAPS자동계산!U4)</f>
        <v>CMAU7117159</v>
      </c>
      <c r="U5" s="3" t="str">
        <f>IF(GLAPS자동계산!V4="","",GLAPS자동계산!V4)</f>
        <v>M6412892</v>
      </c>
      <c r="V5" s="3" t="str">
        <f>IF(GLAPS자동계산!W4="","",GLAPS자동계산!W4)</f>
        <v/>
      </c>
      <c r="W5" s="14" t="str">
        <f>IF(GLAPS자동계산!X4="","",GLAPS자동계산!X4)</f>
        <v>X260602-001973</v>
      </c>
      <c r="X5" s="13" t="str">
        <f>IF(GLAPS자동계산!Y4="","",GLAPS자동계산!Y4)</f>
        <v>CMA2606010011</v>
      </c>
      <c r="Y5" s="13" t="str">
        <f>IF(GLAPS자동계산!Z4="","",GLAPS자동계산!Z4)</f>
        <v/>
      </c>
      <c r="Z5" s="91" t="str">
        <f>IF(GLAPS자동계산!AA4="","",GLAPS자동계산!AA4)</f>
        <v/>
      </c>
      <c r="AA5" s="14" t="str">
        <f>IF(GLAPS자동계산!AB4="","",GLAPS자동계산!AB4)</f>
        <v/>
      </c>
      <c r="AC5" s="2">
        <f>IF($B5="","",$AC$1)</f>
        <v>20</v>
      </c>
      <c r="AD5" s="2" t="str">
        <f>IF($B5="","",IFERROR(INDEX(GLAPS정리!$D$2:$D$50,MATCH(I5,GLAPS정리!$A$2:$A$50,0)),IFERROR(INDEX(GLAPS정리!$D$2:$D$50,MATCH(I5,GLAPS정리!$B$2:$B$50,0)),"")))</f>
        <v>CMA</v>
      </c>
      <c r="AF5" s="2" t="str">
        <f>IF($B5="","",$AF$1)</f>
        <v>KR10</v>
      </c>
      <c r="AI5" s="2" t="str">
        <f>IF($B5="","",IF(F5="","",VLOOKUP(F5,GLAPS정리!$G$3:$J$114,2,0)))</f>
        <v>H000_GA</v>
      </c>
      <c r="AJ5" s="2" t="str">
        <f>IF($B5="","",IF(Z5="울산정일","KRONS",IF(Z5="울산신항","KRUSN",IF(OR(Z5="선광종합물류(인천여객)",Z5="인천여객(인천여객)"),"KRINF",IF(OR(Z5="선광인천보세(인천신)",Z5="한진인천(인천신)",Z5="선광인천신항(인천신)",Z5="인천더로지스(인천신)"),"KRINN",IF(OR(Z5="인천진아(인천항)",Z5="인천E1(인천항)",Z5="인천SM경인터미널(인천항)",Z5="인천항(인천항)",Z5="인천우련(인천항)",Z5="인천항8부두(인천항)"),"KRINC",VLOOKUP(K5,GLAPS정리!$BB$2:$BC$33,2,0)))))))</f>
        <v>KRBNP</v>
      </c>
      <c r="AL5" s="2">
        <f>IF($B5="","",$AL$1)</f>
        <v>5010001</v>
      </c>
      <c r="AN5" s="70" t="str">
        <f>IF($B5="","",TEXT(B5,"YYYY-MM-DD"))</f>
        <v>2026-06-04</v>
      </c>
      <c r="AO5" s="2" t="str">
        <f>IF($B5="","",IF(E5="오전", "0800", IF(E5="오후", "1300", IF(E5="잔업", "1800", ""))))</f>
        <v>0800</v>
      </c>
      <c r="AP5" s="2" t="str">
        <f>IF($B5="","",IF(C5="","",VLOOKUP(C5,GLAPS정리!$AX$2:$AZ$17,3,0)))</f>
        <v>B000005273</v>
      </c>
      <c r="AR5" s="2" t="str">
        <f>IF($B5="","",IF(X5="","",X5))</f>
        <v>CMA2606010011</v>
      </c>
      <c r="AX5" s="2" t="str">
        <f>IF($B5="","",IF(L5="","",VLOOKUP(L5,GLAPS정리!$V$3:$W$180,2,0)))</f>
        <v>SIKOP</v>
      </c>
      <c r="BM5" s="2" t="str">
        <f>IF($B5="","",IF(AND(Q5=1,OR(P5="",P5="위험물")), "2210", IF(AND(Q5=1,OR(P5="리퍼",P5="위험물리퍼")), "2230", IF(AND(S5=1,OR(P5="",P5="위험물")), "4510", IF(AND(S5=1,OR(P5="리퍼",P5="위험물리퍼")), "4530", IF(AND(R5=1,OR(P5="",P5="위험물")), "4210", IF(AND(R5=1,P5="리퍼"), "4230", " ")))))))</f>
        <v>4510</v>
      </c>
      <c r="BN5" s="2">
        <f>IF($B5="","",$BN$1)</f>
        <v>1</v>
      </c>
      <c r="BR5" s="2" t="str">
        <f>IF($B5="","",IF(OR(P5="리퍼",P5="위험물리퍼"),"Y",""))</f>
        <v/>
      </c>
      <c r="BS5" s="2" t="str">
        <f>IF($B5="","",IF(OR(P5="위험물",P5="위험물리퍼"),"Y",""))</f>
        <v/>
      </c>
      <c r="BV5" s="2" t="str">
        <f>IF($B5="","",IF(O5="","",VLOOKUP(O5,GLAPS정리!$BH$2:$BI$94,2,0)))</f>
        <v/>
      </c>
      <c r="BW5" s="2" t="str">
        <f>IF($B5="","",IF(OR(Z5="동원",Z5="세방",Z5="한타"),"",IFERROR(INDEX(GLAPS정리!$BI$2:$BI$101,MATCH(Z5,GLAPS정리!$BH$2:$BH$101,0)),"")))</f>
        <v/>
      </c>
      <c r="BX5" s="2" t="str">
        <f>IF($B5="","",IF(Z5="","",IFERROR(VLOOKUP(Z5,GLAPS정리!$AX$2:$AZ$17,3,0),"")))</f>
        <v/>
      </c>
      <c r="BZ5" s="2" t="str">
        <f>IF($B5="","",IF(H5="","",VLOOKUP(H5,GLAPS정리!$L$3:$O$133,2,0)))</f>
        <v>SK02</v>
      </c>
      <c r="CA5" s="2" t="str">
        <f>IF($B5="","",IF(V5="공휴일", 10, IF(V5="야간", 20, IF(V5="위험물", 30, IF(V5="중량", 40, "")))))</f>
        <v/>
      </c>
      <c r="CL5" s="2" t="str">
        <f>IF($B5="","",IF(AI5="","",VLOOKUP(AI5,GLAPS정리!$BT$3:$BV$26,3,0)))</f>
        <v>EAS</v>
      </c>
    </row>
    <row r="6" spans="1:90" ht="20.45" customHeight="1">
      <c r="B6" s="13">
        <f>IF(GLAPS자동계산!C5="","",GLAPS자동계산!C5)</f>
        <v>46177</v>
      </c>
      <c r="C6" s="3" t="str">
        <f>IF(GLAPS자동계산!D5="","",GLAPS자동계산!D5)</f>
        <v>ELS솔루션</v>
      </c>
      <c r="D6" s="16" t="str">
        <f>IF(GLAPS자동계산!E5="","",GLAPS자동계산!E5)</f>
        <v>09:00</v>
      </c>
      <c r="E6" s="11" t="str">
        <f>IF(GLAPS자동계산!F5="","",GLAPS자동계산!F5)</f>
        <v>오전</v>
      </c>
      <c r="F6" s="3" t="str">
        <f>IF(GLAPS자동계산!G5="","",GLAPS자동계산!G5)</f>
        <v>아산 1포장장</v>
      </c>
      <c r="G6" s="3" t="str">
        <f>IF(GLAPS자동계산!H5="","",GLAPS자동계산!H5)</f>
        <v>EAS</v>
      </c>
      <c r="H6" s="3" t="str">
        <f>IF(GLAPS자동계산!I5="","",GLAPS자동계산!I5)</f>
        <v>KASK</v>
      </c>
      <c r="I6" s="3" t="str">
        <f>IF(GLAPS자동계산!J5="","",GLAPS자동계산!J5)</f>
        <v>CMA</v>
      </c>
      <c r="J6" s="3" t="str">
        <f>IF(GLAPS자동계산!K5="","",GLAPS자동계산!K5)</f>
        <v>40 Feet H</v>
      </c>
      <c r="K6" s="3" t="str">
        <f>IF(GLAPS자동계산!L5="","",GLAPS자동계산!L5)</f>
        <v>BUSAN(NEW)</v>
      </c>
      <c r="L6" s="3" t="str">
        <f>IF(GLAPS자동계산!M5="","",GLAPS자동계산!M5)</f>
        <v>코퍼</v>
      </c>
      <c r="M6" s="3" t="str">
        <f>IF(GLAPS자동계산!N5="","",GLAPS자동계산!N5)</f>
        <v/>
      </c>
      <c r="N6" s="3" t="str">
        <f>IF(GLAPS자동계산!O5="","",GLAPS자동계산!O5)</f>
        <v>대구98바2977</v>
      </c>
      <c r="O6" s="3" t="str">
        <f>IF(GLAPS자동계산!P5="","",GLAPS자동계산!P5)</f>
        <v/>
      </c>
      <c r="P6" s="2" t="str">
        <f>IF(GLAPS자동계산!Q5="","",GLAPS자동계산!Q5)</f>
        <v/>
      </c>
      <c r="Q6" s="3" t="str">
        <f>IF(GLAPS자동계산!R5="","",GLAPS자동계산!R5)</f>
        <v/>
      </c>
      <c r="R6" s="3" t="str">
        <f>IF(GLAPS자동계산!S5="","",GLAPS자동계산!S5)</f>
        <v/>
      </c>
      <c r="S6" s="3">
        <f>IF(GLAPS자동계산!T5="","",GLAPS자동계산!T5)</f>
        <v>1</v>
      </c>
      <c r="T6" s="3" t="str">
        <f>IF(GLAPS자동계산!U5="","",GLAPS자동계산!U5)</f>
        <v>BMOU5643070</v>
      </c>
      <c r="U6" s="132" t="str">
        <f>IF(GLAPS자동계산!V5="","",GLAPS자동계산!V5)</f>
        <v>M6519509</v>
      </c>
      <c r="V6" s="3" t="str">
        <f>IF(GLAPS자동계산!W5="","",GLAPS자동계산!W5)</f>
        <v/>
      </c>
      <c r="W6" s="14" t="str">
        <f>IF(GLAPS자동계산!X5="","",GLAPS자동계산!X5)</f>
        <v>X260602-001974</v>
      </c>
      <c r="X6" s="13" t="str">
        <f>IF(GLAPS자동계산!Y5="","",GLAPS자동계산!Y5)</f>
        <v>CMA2606010011</v>
      </c>
      <c r="Y6" s="13" t="str">
        <f>IF(GLAPS자동계산!Z5="","",GLAPS자동계산!Z5)</f>
        <v/>
      </c>
      <c r="Z6" s="91" t="str">
        <f>IF(GLAPS자동계산!AA5="","",GLAPS자동계산!AA5)</f>
        <v/>
      </c>
      <c r="AA6" s="14" t="str">
        <f>IF(GLAPS자동계산!AB5="","",GLAPS자동계산!AB5)</f>
        <v/>
      </c>
      <c r="AC6" s="2">
        <f>IF($B6="","",$AC$1)</f>
        <v>20</v>
      </c>
      <c r="AD6" s="2" t="str">
        <f>IF($B6="","",IFERROR(INDEX(GLAPS정리!$D$2:$D$50,MATCH(I6,GLAPS정리!$A$2:$A$50,0)),IFERROR(INDEX(GLAPS정리!$D$2:$D$50,MATCH(I6,GLAPS정리!$B$2:$B$50,0)),"")))</f>
        <v>CMA</v>
      </c>
      <c r="AF6" s="2" t="str">
        <f>IF($B6="","",$AF$1)</f>
        <v>KR10</v>
      </c>
      <c r="AI6" s="2" t="str">
        <f>IF($B6="","",IF(F6="","",VLOOKUP(F6,GLAPS정리!$G$3:$J$114,2,0)))</f>
        <v>H000_GA</v>
      </c>
      <c r="AJ6" s="2" t="str">
        <f>IF($B6="","",IF(Z6="울산정일","KRONS",IF(Z6="울산신항","KRUSN",IF(OR(Z6="선광종합물류(인천여객)",Z6="인천여객(인천여객)"),"KRINF",IF(OR(Z6="선광인천보세(인천신)",Z6="한진인천(인천신)",Z6="선광인천신항(인천신)",Z6="인천더로지스(인천신)"),"KRINN",IF(OR(Z6="인천진아(인천항)",Z6="인천E1(인천항)",Z6="인천SM경인터미널(인천항)",Z6="인천항(인천항)",Z6="인천우련(인천항)",Z6="인천항8부두(인천항)"),"KRINC",VLOOKUP(K6,GLAPS정리!$BB$2:$BC$33,2,0)))))))</f>
        <v>KRBNP</v>
      </c>
      <c r="AL6" s="2">
        <f>IF($B6="","",$AL$1)</f>
        <v>5010001</v>
      </c>
      <c r="AN6" s="70" t="str">
        <f>IF($B6="","",TEXT(B6,"YYYY-MM-DD"))</f>
        <v>2026-06-04</v>
      </c>
      <c r="AO6" s="2" t="str">
        <f>IF($B6="","",IF(E6="오전", "0800", IF(E6="오후", "1300", IF(E6="잔업", "1800", ""))))</f>
        <v>0800</v>
      </c>
      <c r="AP6" s="2" t="str">
        <f>IF($B6="","",IF(C6="","",VLOOKUP(C6,GLAPS정리!$AX$2:$AZ$17,3,0)))</f>
        <v>B000005273</v>
      </c>
      <c r="AR6" s="2" t="str">
        <f>IF($B6="","",IF(X6="","",X6))</f>
        <v>CMA2606010011</v>
      </c>
      <c r="AX6" s="2" t="str">
        <f>IF($B6="","",IF(L6="","",VLOOKUP(L6,GLAPS정리!$V$3:$W$180,2,0)))</f>
        <v>SIKOP</v>
      </c>
      <c r="BM6" s="2" t="str">
        <f>IF($B6="","",IF(AND(Q6=1,OR(P6="",P6="위험물")), "2210", IF(AND(Q6=1,OR(P6="리퍼",P6="위험물리퍼")), "2230", IF(AND(S6=1,OR(P6="",P6="위험물")), "4510", IF(AND(S6=1,OR(P6="리퍼",P6="위험물리퍼")), "4530", IF(AND(R6=1,OR(P6="",P6="위험물")), "4210", IF(AND(R6=1,P6="리퍼"), "4230", " ")))))))</f>
        <v>4510</v>
      </c>
      <c r="BN6" s="2">
        <f>IF($B6="","",$BN$1)</f>
        <v>1</v>
      </c>
      <c r="BR6" s="2" t="str">
        <f>IF($B6="","",IF(OR(P6="리퍼",P6="위험물리퍼"),"Y",""))</f>
        <v/>
      </c>
      <c r="BS6" s="2" t="str">
        <f>IF($B6="","",IF(OR(P6="위험물",P6="위험물리퍼"),"Y",""))</f>
        <v/>
      </c>
      <c r="BV6" s="2" t="str">
        <f>IF($B6="","",IF(O6="","",VLOOKUP(O6,GLAPS정리!$BH$2:$BI$94,2,0)))</f>
        <v/>
      </c>
      <c r="BW6" s="2" t="str">
        <f>IF($B6="","",IF(OR(Z6="동원",Z6="세방",Z6="한타"),"",IFERROR(INDEX(GLAPS정리!$BI$2:$BI$101,MATCH(Z6,GLAPS정리!$BH$2:$BH$101,0)),"")))</f>
        <v/>
      </c>
      <c r="BX6" s="2" t="str">
        <f>IF($B6="","",IF(Z6="","",IFERROR(VLOOKUP(Z6,GLAPS정리!$AX$2:$AZ$17,3,0),"")))</f>
        <v/>
      </c>
      <c r="BZ6" s="2" t="str">
        <f>IF($B6="","",IF(H6="","",VLOOKUP(H6,GLAPS정리!$L$3:$O$133,2,0)))</f>
        <v>SK02</v>
      </c>
      <c r="CA6" s="2" t="str">
        <f>IF($B6="","",IF(V6="공휴일", 10, IF(V6="야간", 20, IF(V6="위험물", 30, IF(V6="중량", 40, "")))))</f>
        <v/>
      </c>
      <c r="CL6" s="2" t="str">
        <f>IF($B6="","",IF(AI6="","",VLOOKUP(AI6,GLAPS정리!$BT$3:$BV$26,3,0)))</f>
        <v>EAS</v>
      </c>
    </row>
    <row r="7" spans="1:90" ht="20.45" customHeight="1">
      <c r="B7" s="13">
        <f>IF(GLAPS자동계산!C6="","",GLAPS자동계산!C6)</f>
        <v>46177</v>
      </c>
      <c r="C7" s="3" t="str">
        <f>IF(GLAPS자동계산!D6="","",GLAPS자동계산!D6)</f>
        <v>ELS솔루션</v>
      </c>
      <c r="D7" s="16" t="str">
        <f>IF(GLAPS자동계산!E6="","",GLAPS자동계산!E6)</f>
        <v>08:00</v>
      </c>
      <c r="E7" s="11" t="str">
        <f>IF(GLAPS자동계산!F6="","",GLAPS자동계산!F6)</f>
        <v>오전</v>
      </c>
      <c r="F7" s="3" t="str">
        <f>IF(GLAPS자동계산!G6="","",GLAPS자동계산!G6)</f>
        <v>아산 1포장장</v>
      </c>
      <c r="G7" s="3" t="str">
        <f>IF(GLAPS자동계산!H6="","",GLAPS자동계산!H6)</f>
        <v>EAS</v>
      </c>
      <c r="H7" s="3" t="str">
        <f>IF(GLAPS자동계산!I6="","",GLAPS자동계산!I6)</f>
        <v>HMMC</v>
      </c>
      <c r="I7" s="3" t="str">
        <f>IF(GLAPS자동계산!J6="","",GLAPS자동계산!J6)</f>
        <v>CMA</v>
      </c>
      <c r="J7" s="3" t="str">
        <f>IF(GLAPS자동계산!K6="","",GLAPS자동계산!K6)</f>
        <v>40 Feet H</v>
      </c>
      <c r="K7" s="3" t="str">
        <f>IF(GLAPS자동계산!L6="","",GLAPS자동계산!L6)</f>
        <v>BUSAN(NEW)</v>
      </c>
      <c r="L7" s="3" t="str">
        <f>IF(GLAPS자동계산!M6="","",GLAPS자동계산!M6)</f>
        <v>코퍼</v>
      </c>
      <c r="M7" s="3" t="str">
        <f>IF(GLAPS자동계산!N6="","",GLAPS자동계산!N6)</f>
        <v/>
      </c>
      <c r="N7" s="3" t="str">
        <f>IF(GLAPS자동계산!O6="","",GLAPS자동계산!O6)</f>
        <v>대구98바3558</v>
      </c>
      <c r="O7" s="3" t="str">
        <f>IF(GLAPS자동계산!P6="","",GLAPS자동계산!P6)</f>
        <v/>
      </c>
      <c r="P7" s="2" t="str">
        <f>IF(GLAPS자동계산!Q6="","",GLAPS자동계산!Q6)</f>
        <v/>
      </c>
      <c r="Q7" s="3" t="str">
        <f>IF(GLAPS자동계산!R6="","",GLAPS자동계산!R6)</f>
        <v/>
      </c>
      <c r="R7" s="3" t="str">
        <f>IF(GLAPS자동계산!S6="","",GLAPS자동계산!S6)</f>
        <v/>
      </c>
      <c r="S7" s="3">
        <f>IF(GLAPS자동계산!T6="","",GLAPS자동계산!T6)</f>
        <v>1</v>
      </c>
      <c r="T7" s="3" t="str">
        <f>IF(GLAPS자동계산!U6="","",GLAPS자동계산!U6)</f>
        <v>BEAU4767641</v>
      </c>
      <c r="U7" s="3" t="str">
        <f>IF(GLAPS자동계산!V6="","",GLAPS자동계산!V6)</f>
        <v>M6412856</v>
      </c>
      <c r="V7" s="3" t="str">
        <f>IF(GLAPS자동계산!W6="","",GLAPS자동계산!W6)</f>
        <v/>
      </c>
      <c r="W7" s="14" t="str">
        <f>IF(GLAPS자동계산!X6="","",GLAPS자동계산!X6)</f>
        <v>X260602-001982</v>
      </c>
      <c r="X7" s="13" t="str">
        <f>IF(GLAPS자동계산!Y6="","",GLAPS자동계산!Y6)</f>
        <v>CMA2606010011</v>
      </c>
      <c r="Y7" s="13" t="str">
        <f>IF(GLAPS자동계산!Z6="","",GLAPS자동계산!Z6)</f>
        <v/>
      </c>
      <c r="Z7" s="91" t="str">
        <f>IF(GLAPS자동계산!AA6="","",GLAPS자동계산!AA6)</f>
        <v/>
      </c>
      <c r="AA7" s="14" t="str">
        <f>IF(GLAPS자동계산!AB6="","",GLAPS자동계산!AB6)</f>
        <v/>
      </c>
      <c r="AC7" s="2">
        <f>IF($B7="","",$AC$1)</f>
        <v>20</v>
      </c>
      <c r="AD7" s="2" t="str">
        <f>IF($B7="","",IFERROR(INDEX(GLAPS정리!$D$2:$D$50,MATCH(I7,GLAPS정리!$A$2:$A$50,0)),IFERROR(INDEX(GLAPS정리!$D$2:$D$50,MATCH(I7,GLAPS정리!$B$2:$B$50,0)),"")))</f>
        <v>CMA</v>
      </c>
      <c r="AF7" s="2" t="str">
        <f>IF($B7="","",$AF$1)</f>
        <v>KR10</v>
      </c>
      <c r="AI7" s="2" t="str">
        <f>IF($B7="","",IF(F7="","",VLOOKUP(F7,GLAPS정리!$G$3:$J$114,2,0)))</f>
        <v>H000_GA</v>
      </c>
      <c r="AJ7" s="2" t="str">
        <f>IF($B7="","",IF(Z7="울산정일","KRONS",IF(Z7="울산신항","KRUSN",IF(OR(Z7="선광종합물류(인천여객)",Z7="인천여객(인천여객)"),"KRINF",IF(OR(Z7="선광인천보세(인천신)",Z7="한진인천(인천신)",Z7="선광인천신항(인천신)",Z7="인천더로지스(인천신)"),"KRINN",IF(OR(Z7="인천진아(인천항)",Z7="인천E1(인천항)",Z7="인천SM경인터미널(인천항)",Z7="인천항(인천항)",Z7="인천우련(인천항)",Z7="인천항8부두(인천항)"),"KRINC",VLOOKUP(K7,GLAPS정리!$BB$2:$BC$33,2,0)))))))</f>
        <v>KRBNP</v>
      </c>
      <c r="AL7" s="2">
        <f>IF($B7="","",$AL$1)</f>
        <v>5010001</v>
      </c>
      <c r="AN7" s="70" t="str">
        <f>IF($B7="","",TEXT(B7,"YYYY-MM-DD"))</f>
        <v>2026-06-04</v>
      </c>
      <c r="AO7" s="2" t="str">
        <f>IF($B7="","",IF(E7="오전", "0800", IF(E7="오후", "1300", IF(E7="잔업", "1800", ""))))</f>
        <v>0800</v>
      </c>
      <c r="AP7" s="2" t="str">
        <f>IF($B7="","",IF(C7="","",VLOOKUP(C7,GLAPS정리!$AX$2:$AZ$17,3,0)))</f>
        <v>B000005273</v>
      </c>
      <c r="AR7" s="2" t="str">
        <f>IF($B7="","",IF(X7="","",X7))</f>
        <v>CMA2606010011</v>
      </c>
      <c r="AX7" s="2" t="str">
        <f>IF($B7="","",IF(L7="","",VLOOKUP(L7,GLAPS정리!$V$3:$W$180,2,0)))</f>
        <v>SIKOP</v>
      </c>
      <c r="BM7" s="2" t="str">
        <f>IF($B7="","",IF(AND(Q7=1,OR(P7="",P7="위험물")), "2210", IF(AND(Q7=1,OR(P7="리퍼",P7="위험물리퍼")), "2230", IF(AND(S7=1,OR(P7="",P7="위험물")), "4510", IF(AND(S7=1,OR(P7="리퍼",P7="위험물리퍼")), "4530", IF(AND(R7=1,OR(P7="",P7="위험물")), "4210", IF(AND(R7=1,P7="리퍼"), "4230", " ")))))))</f>
        <v>4510</v>
      </c>
      <c r="BN7" s="2">
        <f>IF($B7="","",$BN$1)</f>
        <v>1</v>
      </c>
      <c r="BR7" s="2" t="str">
        <f>IF($B7="","",IF(OR(P7="리퍼",P7="위험물리퍼"),"Y",""))</f>
        <v/>
      </c>
      <c r="BS7" s="2" t="str">
        <f>IF($B7="","",IF(OR(P7="위험물",P7="위험물리퍼"),"Y",""))</f>
        <v/>
      </c>
      <c r="BV7" s="2" t="str">
        <f>IF($B7="","",IF(O7="","",VLOOKUP(O7,GLAPS정리!$BH$2:$BI$94,2,0)))</f>
        <v/>
      </c>
      <c r="BW7" s="2" t="str">
        <f>IF($B7="","",IF(OR(Z7="동원",Z7="세방",Z7="한타"),"",IFERROR(INDEX(GLAPS정리!$BI$2:$BI$101,MATCH(Z7,GLAPS정리!$BH$2:$BH$101,0)),"")))</f>
        <v/>
      </c>
      <c r="BX7" s="2" t="str">
        <f>IF($B7="","",IF(Z7="","",IFERROR(VLOOKUP(Z7,GLAPS정리!$AX$2:$AZ$17,3,0),"")))</f>
        <v/>
      </c>
      <c r="BZ7" s="2" t="str">
        <f>IF($B7="","",IF(H7="","",VLOOKUP(H7,GLAPS정리!$L$3:$O$133,2,0)))</f>
        <v>HMMC</v>
      </c>
      <c r="CA7" s="2" t="str">
        <f>IF($B7="","",IF(V7="공휴일", 10, IF(V7="야간", 20, IF(V7="위험물", 30, IF(V7="중량", 40, "")))))</f>
        <v/>
      </c>
      <c r="CL7" s="2" t="str">
        <f>IF($B7="","",IF(AI7="","",VLOOKUP(AI7,GLAPS정리!$BT$3:$BV$26,3,0)))</f>
        <v>EAS</v>
      </c>
    </row>
    <row r="8" spans="1:90" ht="20.45" customHeight="1">
      <c r="B8" s="13">
        <f>IF(GLAPS자동계산!C7="","",GLAPS자동계산!C7)</f>
        <v>46177</v>
      </c>
      <c r="C8" s="13" t="str">
        <f>IF(GLAPS자동계산!D7="","",GLAPS자동계산!D7)</f>
        <v>ELS솔루션</v>
      </c>
      <c r="D8" s="16" t="str">
        <f>IF(GLAPS자동계산!E7="","",GLAPS자동계산!E7)</f>
        <v>09:00</v>
      </c>
      <c r="E8" s="13" t="str">
        <f>IF(GLAPS자동계산!F7="","",GLAPS자동계산!F7)</f>
        <v>오전</v>
      </c>
      <c r="F8" s="13" t="str">
        <f>IF(GLAPS자동계산!G7="","",GLAPS자동계산!G7)</f>
        <v>아산 1포장장</v>
      </c>
      <c r="G8" s="13" t="str">
        <f>IF(GLAPS자동계산!H7="","",GLAPS자동계산!H7)</f>
        <v>EAS</v>
      </c>
      <c r="H8" s="13" t="str">
        <f>IF(GLAPS자동계산!I7="","",GLAPS자동계산!I7)</f>
        <v>HMMC</v>
      </c>
      <c r="I8" s="13" t="str">
        <f>IF(GLAPS자동계산!J7="","",GLAPS자동계산!J7)</f>
        <v>CMA</v>
      </c>
      <c r="J8" s="13" t="str">
        <f>IF(GLAPS자동계산!K7="","",GLAPS자동계산!K7)</f>
        <v>40 Feet H</v>
      </c>
      <c r="K8" s="13" t="str">
        <f>IF(GLAPS자동계산!L7="","",GLAPS자동계산!L7)</f>
        <v>BUSAN(NEW)</v>
      </c>
      <c r="L8" s="13" t="str">
        <f>IF(GLAPS자동계산!M7="","",GLAPS자동계산!M7)</f>
        <v>코퍼</v>
      </c>
      <c r="M8" s="13" t="str">
        <f>IF(GLAPS자동계산!N7="","",GLAPS자동계산!N7)</f>
        <v/>
      </c>
      <c r="N8" s="13" t="str">
        <f>IF(GLAPS자동계산!O7="","",GLAPS자동계산!O7)</f>
        <v>경기99사1487</v>
      </c>
      <c r="O8" s="3" t="str">
        <f>IF(GLAPS자동계산!P7="","",GLAPS자동계산!P7)</f>
        <v/>
      </c>
      <c r="P8" s="2" t="str">
        <f>IF(GLAPS자동계산!Q7="","",GLAPS자동계산!Q7)</f>
        <v/>
      </c>
      <c r="Q8" s="3" t="str">
        <f>IF(GLAPS자동계산!R7="","",GLAPS자동계산!R7)</f>
        <v/>
      </c>
      <c r="R8" s="3" t="str">
        <f>IF(GLAPS자동계산!S7="","",GLAPS자동계산!S7)</f>
        <v/>
      </c>
      <c r="S8" s="3">
        <f>IF(GLAPS자동계산!T7="","",GLAPS자동계산!T7)</f>
        <v>1</v>
      </c>
      <c r="T8" s="3" t="str">
        <f>IF(GLAPS자동계산!U7="","",GLAPS자동계산!U7)</f>
        <v>ECMU5193316</v>
      </c>
      <c r="U8" s="3" t="str">
        <f>IF(GLAPS자동계산!V7="","",GLAPS자동계산!V7)</f>
        <v>M6427485</v>
      </c>
      <c r="V8" s="3" t="str">
        <f>IF(GLAPS자동계산!W7="","",GLAPS자동계산!W7)</f>
        <v/>
      </c>
      <c r="W8" s="14" t="str">
        <f>IF(GLAPS자동계산!X7="","",GLAPS자동계산!X7)</f>
        <v>X260602-001983</v>
      </c>
      <c r="X8" s="13" t="str">
        <f>IF(GLAPS자동계산!Y7="","",GLAPS자동계산!Y7)</f>
        <v>CMA2606010011</v>
      </c>
      <c r="Y8" s="13" t="str">
        <f>IF(GLAPS자동계산!Z7="","",GLAPS자동계산!Z7)</f>
        <v/>
      </c>
      <c r="Z8" s="91" t="str">
        <f>IF(GLAPS자동계산!AA7="","",GLAPS자동계산!AA7)</f>
        <v/>
      </c>
      <c r="AA8" s="14" t="str">
        <f>IF(GLAPS자동계산!AB7="","",GLAPS자동계산!AB7)</f>
        <v/>
      </c>
      <c r="AC8" s="2">
        <f>IF($B8="","",$AC$1)</f>
        <v>20</v>
      </c>
      <c r="AD8" s="2" t="str">
        <f>IF($B8="","",IFERROR(INDEX(GLAPS정리!$D$2:$D$50,MATCH(I8,GLAPS정리!$A$2:$A$50,0)),IFERROR(INDEX(GLAPS정리!$D$2:$D$50,MATCH(I8,GLAPS정리!$B$2:$B$50,0)),"")))</f>
        <v>CMA</v>
      </c>
      <c r="AF8" s="2" t="str">
        <f>IF($B8="","",$AF$1)</f>
        <v>KR10</v>
      </c>
      <c r="AI8" s="2" t="str">
        <f>IF($B8="","",IF(F8="","",VLOOKUP(F8,GLAPS정리!$G$3:$J$114,2,0)))</f>
        <v>H000_GA</v>
      </c>
      <c r="AJ8" s="2" t="str">
        <f>IF($B8="","",IF(Z8="울산정일","KRONS",IF(Z8="울산신항","KRUSN",IF(OR(Z8="선광종합물류(인천여객)",Z8="인천여객(인천여객)"),"KRINF",IF(OR(Z8="선광인천보세(인천신)",Z8="한진인천(인천신)",Z8="선광인천신항(인천신)",Z8="인천더로지스(인천신)"),"KRINN",IF(OR(Z8="인천진아(인천항)",Z8="인천E1(인천항)",Z8="인천SM경인터미널(인천항)",Z8="인천항(인천항)",Z8="인천우련(인천항)",Z8="인천항8부두(인천항)"),"KRINC",VLOOKUP(K8,GLAPS정리!$BB$2:$BC$33,2,0)))))))</f>
        <v>KRBNP</v>
      </c>
      <c r="AL8" s="2">
        <f>IF($B8="","",$AL$1)</f>
        <v>5010001</v>
      </c>
      <c r="AN8" s="70" t="str">
        <f>IF($B8="","",TEXT(B8,"YYYY-MM-DD"))</f>
        <v>2026-06-04</v>
      </c>
      <c r="AO8" s="2" t="str">
        <f>IF($B8="","",IF(E8="오전", "0800", IF(E8="오후", "1300", IF(E8="잔업", "1800", ""))))</f>
        <v>0800</v>
      </c>
      <c r="AP8" s="2" t="str">
        <f>IF($B8="","",IF(C8="","",VLOOKUP(C8,GLAPS정리!$AX$2:$AZ$17,3,0)))</f>
        <v>B000005273</v>
      </c>
      <c r="AR8" s="2" t="str">
        <f>IF($B8="","",IF(X8="","",X8))</f>
        <v>CMA2606010011</v>
      </c>
      <c r="AX8" s="2" t="str">
        <f>IF($B8="","",IF(L8="","",VLOOKUP(L8,GLAPS정리!$V$3:$W$180,2,0)))</f>
        <v>SIKOP</v>
      </c>
      <c r="BM8" s="2" t="str">
        <f>IF($B8="","",IF(AND(Q8=1,OR(P8="",P8="위험물")), "2210", IF(AND(Q8=1,OR(P8="리퍼",P8="위험물리퍼")), "2230", IF(AND(S8=1,OR(P8="",P8="위험물")), "4510", IF(AND(S8=1,OR(P8="리퍼",P8="위험물리퍼")), "4530", IF(AND(R8=1,OR(P8="",P8="위험물")), "4210", IF(AND(R8=1,P8="리퍼"), "4230", " ")))))))</f>
        <v>4510</v>
      </c>
      <c r="BN8" s="2">
        <f>IF($B8="","",$BN$1)</f>
        <v>1</v>
      </c>
      <c r="BR8" s="2" t="str">
        <f>IF($B8="","",IF(OR(P8="리퍼",P8="위험물리퍼"),"Y",""))</f>
        <v/>
      </c>
      <c r="BS8" s="2" t="str">
        <f>IF($B8="","",IF(OR(P8="위험물",P8="위험물리퍼"),"Y",""))</f>
        <v/>
      </c>
      <c r="BV8" s="2" t="str">
        <f>IF($B8="","",IF(O8="","",VLOOKUP(O8,GLAPS정리!$BH$2:$BI$94,2,0)))</f>
        <v/>
      </c>
      <c r="BW8" s="2" t="str">
        <f>IF($B8="","",IF(OR(Z8="동원",Z8="세방",Z8="한타"),"",IFERROR(INDEX(GLAPS정리!$BI$2:$BI$101,MATCH(Z8,GLAPS정리!$BH$2:$BH$101,0)),"")))</f>
        <v/>
      </c>
      <c r="BX8" s="2" t="str">
        <f>IF($B8="","",IF(Z8="","",IFERROR(VLOOKUP(Z8,GLAPS정리!$AX$2:$AZ$17,3,0),"")))</f>
        <v/>
      </c>
      <c r="BZ8" s="2" t="str">
        <f>IF($B8="","",IF(H8="","",VLOOKUP(H8,GLAPS정리!$L$3:$O$133,2,0)))</f>
        <v>HMMC</v>
      </c>
      <c r="CA8" s="2" t="str">
        <f>IF($B8="","",IF(V8="공휴일", 10, IF(V8="야간", 20, IF(V8="위험물", 30, IF(V8="중량", 40, "")))))</f>
        <v/>
      </c>
      <c r="CL8" s="2" t="str">
        <f>IF($B8="","",IF(AI8="","",VLOOKUP(AI8,GLAPS정리!$BT$3:$BV$26,3,0)))</f>
        <v>EAS</v>
      </c>
    </row>
    <row r="9" spans="1:90" ht="20.45" customHeight="1">
      <c r="B9" s="13">
        <f>IF(GLAPS자동계산!C8="","",GLAPS자동계산!C8)</f>
        <v>46177</v>
      </c>
      <c r="C9" s="13" t="str">
        <f>IF(GLAPS자동계산!D8="","",GLAPS자동계산!D8)</f>
        <v>ELS솔루션</v>
      </c>
      <c r="D9" s="16" t="str">
        <f>IF(GLAPS자동계산!E8="","",GLAPS자동계산!E8)</f>
        <v>10:30</v>
      </c>
      <c r="E9" s="13" t="str">
        <f>IF(GLAPS자동계산!F8="","",GLAPS자동계산!F8)</f>
        <v>오전</v>
      </c>
      <c r="F9" s="13" t="str">
        <f>IF(GLAPS자동계산!G8="","",GLAPS자동계산!G8)</f>
        <v>아산 1포장장</v>
      </c>
      <c r="G9" s="13" t="str">
        <f>IF(GLAPS자동계산!H8="","",GLAPS자동계산!H8)</f>
        <v>EAS</v>
      </c>
      <c r="H9" s="13" t="str">
        <f>IF(GLAPS자동계산!I8="","",GLAPS자동계산!I8)</f>
        <v>HMMC</v>
      </c>
      <c r="I9" s="13" t="str">
        <f>IF(GLAPS자동계산!J8="","",GLAPS자동계산!J8)</f>
        <v>CMA</v>
      </c>
      <c r="J9" s="13" t="str">
        <f>IF(GLAPS자동계산!K8="","",GLAPS자동계산!K8)</f>
        <v>40 Feet H</v>
      </c>
      <c r="K9" s="13" t="str">
        <f>IF(GLAPS자동계산!L8="","",GLAPS자동계산!L8)</f>
        <v>BUSAN(NEW)</v>
      </c>
      <c r="L9" s="13" t="str">
        <f>IF(GLAPS자동계산!M8="","",GLAPS자동계산!M8)</f>
        <v>코퍼</v>
      </c>
      <c r="M9" s="13" t="str">
        <f>IF(GLAPS자동계산!N8="","",GLAPS자동계산!N8)</f>
        <v/>
      </c>
      <c r="N9" s="13" t="str">
        <f>IF(GLAPS자동계산!O8="","",GLAPS자동계산!O8)</f>
        <v>경남99사8337</v>
      </c>
      <c r="O9" s="3" t="str">
        <f>IF(GLAPS자동계산!P8="","",GLAPS자동계산!P8)</f>
        <v/>
      </c>
      <c r="P9" s="2" t="str">
        <f>IF(GLAPS자동계산!Q8="","",GLAPS자동계산!Q8)</f>
        <v/>
      </c>
      <c r="Q9" s="3" t="str">
        <f>IF(GLAPS자동계산!R8="","",GLAPS자동계산!R8)</f>
        <v/>
      </c>
      <c r="R9" s="3" t="str">
        <f>IF(GLAPS자동계산!S8="","",GLAPS자동계산!S8)</f>
        <v/>
      </c>
      <c r="S9" s="3">
        <f>IF(GLAPS자동계산!T8="","",GLAPS자동계산!T8)</f>
        <v>1</v>
      </c>
      <c r="T9" s="3" t="str">
        <f>IF(GLAPS자동계산!U8="","",GLAPS자동계산!U8)</f>
        <v>ECMU5790944</v>
      </c>
      <c r="U9" s="3" t="str">
        <f>IF(GLAPS자동계산!V8="","",GLAPS자동계산!V8)</f>
        <v>M6412845</v>
      </c>
      <c r="V9" s="3" t="str">
        <f>IF(GLAPS자동계산!W8="","",GLAPS자동계산!W8)</f>
        <v/>
      </c>
      <c r="W9" s="14" t="str">
        <f>IF(GLAPS자동계산!X8="","",GLAPS자동계산!X8)</f>
        <v>X260602-001985</v>
      </c>
      <c r="X9" s="13" t="str">
        <f>IF(GLAPS자동계산!Y8="","",GLAPS자동계산!Y8)</f>
        <v>CMA2606010011</v>
      </c>
      <c r="Y9" s="13" t="str">
        <f>IF(GLAPS자동계산!Z8="","",GLAPS자동계산!Z8)</f>
        <v/>
      </c>
      <c r="Z9" s="91" t="str">
        <f>IF(GLAPS자동계산!AA8="","",GLAPS자동계산!AA8)</f>
        <v/>
      </c>
      <c r="AA9" s="14" t="str">
        <f>IF(GLAPS자동계산!AB8="","",GLAPS자동계산!AB8)</f>
        <v/>
      </c>
      <c r="AC9" s="2">
        <f>IF($B9="","",$AC$1)</f>
        <v>20</v>
      </c>
      <c r="AD9" s="2" t="str">
        <f>IF($B9="","",IFERROR(INDEX(GLAPS정리!$D$2:$D$50,MATCH(I9,GLAPS정리!$A$2:$A$50,0)),IFERROR(INDEX(GLAPS정리!$D$2:$D$50,MATCH(I9,GLAPS정리!$B$2:$B$50,0)),"")))</f>
        <v>CMA</v>
      </c>
      <c r="AF9" s="2" t="str">
        <f>IF($B9="","",$AF$1)</f>
        <v>KR10</v>
      </c>
      <c r="AI9" s="2" t="str">
        <f>IF($B9="","",IF(F9="","",VLOOKUP(F9,GLAPS정리!$G$3:$J$114,2,0)))</f>
        <v>H000_GA</v>
      </c>
      <c r="AJ9" s="2" t="str">
        <f>IF($B9="","",IF(Z9="울산정일","KRONS",IF(Z9="울산신항","KRUSN",IF(OR(Z9="선광종합물류(인천여객)",Z9="인천여객(인천여객)"),"KRINF",IF(OR(Z9="선광인천보세(인천신)",Z9="한진인천(인천신)",Z9="선광인천신항(인천신)",Z9="인천더로지스(인천신)"),"KRINN",IF(OR(Z9="인천진아(인천항)",Z9="인천E1(인천항)",Z9="인천SM경인터미널(인천항)",Z9="인천항(인천항)",Z9="인천우련(인천항)",Z9="인천항8부두(인천항)"),"KRINC",VLOOKUP(K9,GLAPS정리!$BB$2:$BC$33,2,0)))))))</f>
        <v>KRBNP</v>
      </c>
      <c r="AL9" s="2">
        <f>IF($B9="","",$AL$1)</f>
        <v>5010001</v>
      </c>
      <c r="AN9" s="70" t="str">
        <f>IF($B9="","",TEXT(B9,"YYYY-MM-DD"))</f>
        <v>2026-06-04</v>
      </c>
      <c r="AO9" s="2" t="str">
        <f>IF($B9="","",IF(E9="오전", "0800", IF(E9="오후", "1300", IF(E9="잔업", "1800", ""))))</f>
        <v>0800</v>
      </c>
      <c r="AP9" s="2" t="str">
        <f>IF($B9="","",IF(C9="","",VLOOKUP(C9,GLAPS정리!$AX$2:$AZ$17,3,0)))</f>
        <v>B000005273</v>
      </c>
      <c r="AR9" s="2" t="str">
        <f>IF($B9="","",IF(X9="","",X9))</f>
        <v>CMA2606010011</v>
      </c>
      <c r="AX9" s="2" t="str">
        <f>IF($B9="","",IF(L9="","",VLOOKUP(L9,GLAPS정리!$V$3:$W$180,2,0)))</f>
        <v>SIKOP</v>
      </c>
      <c r="BM9" s="2" t="str">
        <f>IF($B9="","",IF(AND(Q9=1,OR(P9="",P9="위험물")), "2210", IF(AND(Q9=1,OR(P9="리퍼",P9="위험물리퍼")), "2230", IF(AND(S9=1,OR(P9="",P9="위험물")), "4510", IF(AND(S9=1,OR(P9="리퍼",P9="위험물리퍼")), "4530", IF(AND(R9=1,OR(P9="",P9="위험물")), "4210", IF(AND(R9=1,P9="리퍼"), "4230", " ")))))))</f>
        <v>4510</v>
      </c>
      <c r="BN9" s="2">
        <f>IF($B9="","",$BN$1)</f>
        <v>1</v>
      </c>
      <c r="BR9" s="2" t="str">
        <f>IF($B9="","",IF(OR(P9="리퍼",P9="위험물리퍼"),"Y",""))</f>
        <v/>
      </c>
      <c r="BS9" s="2" t="str">
        <f>IF($B9="","",IF(OR(P9="위험물",P9="위험물리퍼"),"Y",""))</f>
        <v/>
      </c>
      <c r="BV9" s="2" t="str">
        <f>IF($B9="","",IF(O9="","",VLOOKUP(O9,GLAPS정리!$BH$2:$BI$94,2,0)))</f>
        <v/>
      </c>
      <c r="BW9" s="2" t="str">
        <f>IF($B9="","",IF(OR(Z9="동원",Z9="세방",Z9="한타"),"",IFERROR(INDEX(GLAPS정리!$BI$2:$BI$101,MATCH(Z9,GLAPS정리!$BH$2:$BH$101,0)),"")))</f>
        <v/>
      </c>
      <c r="BX9" s="2" t="str">
        <f>IF($B9="","",IF(Z9="","",IFERROR(VLOOKUP(Z9,GLAPS정리!$AX$2:$AZ$17,3,0),"")))</f>
        <v/>
      </c>
      <c r="BZ9" s="2" t="str">
        <f>IF($B9="","",IF(H9="","",VLOOKUP(H9,GLAPS정리!$L$3:$O$133,2,0)))</f>
        <v>HMMC</v>
      </c>
      <c r="CA9" s="2" t="str">
        <f>IF($B9="","",IF(V9="공휴일", 10, IF(V9="야간", 20, IF(V9="위험물", 30, IF(V9="중량", 40, "")))))</f>
        <v/>
      </c>
      <c r="CL9" s="2" t="str">
        <f>IF($B9="","",IF(AI9="","",VLOOKUP(AI9,GLAPS정리!$BT$3:$BV$26,3,0)))</f>
        <v>EAS</v>
      </c>
    </row>
    <row r="10" spans="1:90" ht="20.45" customHeight="1">
      <c r="B10" s="13">
        <f>IF(GLAPS자동계산!C9="","",GLAPS자동계산!C9)</f>
        <v>46177</v>
      </c>
      <c r="C10" s="13" t="str">
        <f>IF(GLAPS자동계산!D9="","",GLAPS자동계산!D9)</f>
        <v>ELS솔루션</v>
      </c>
      <c r="D10" s="16" t="str">
        <f>IF(GLAPS자동계산!E9="","",GLAPS자동계산!E9)</f>
        <v>09:00</v>
      </c>
      <c r="E10" s="13" t="str">
        <f>IF(GLAPS자동계산!F9="","",GLAPS자동계산!F9)</f>
        <v>오전</v>
      </c>
      <c r="F10" s="13" t="str">
        <f>IF(GLAPS자동계산!G9="","",GLAPS자동계산!G9)</f>
        <v>아산 3포장장</v>
      </c>
      <c r="G10" s="13" t="str">
        <f>IF(GLAPS자동계산!H9="","",GLAPS자동계산!H9)</f>
        <v>EAS1</v>
      </c>
      <c r="H10" s="13" t="str">
        <f>IF(GLAPS자동계산!I9="","",GLAPS자동계산!I9)</f>
        <v>HMMA</v>
      </c>
      <c r="I10" s="13" t="str">
        <f>IF(GLAPS자동계산!J9="","",GLAPS자동계산!J9)</f>
        <v>ONE</v>
      </c>
      <c r="J10" s="13" t="str">
        <f>IF(GLAPS자동계산!K9="","",GLAPS자동계산!K9)</f>
        <v>40 Feet H</v>
      </c>
      <c r="K10" s="13" t="str">
        <f>IF(GLAPS자동계산!L9="","",GLAPS자동계산!L9)</f>
        <v>BUSAN(NEW)</v>
      </c>
      <c r="L10" s="13" t="str">
        <f>IF(GLAPS자동계산!M9="","",GLAPS자동계산!M9)</f>
        <v>LA</v>
      </c>
      <c r="M10" s="13" t="str">
        <f>IF(GLAPS자동계산!N9="","",GLAPS자동계산!N9)</f>
        <v/>
      </c>
      <c r="N10" s="13" t="str">
        <f>IF(GLAPS자동계산!O9="","",GLAPS자동계산!O9)</f>
        <v>경북98사7570</v>
      </c>
      <c r="O10" s="3" t="str">
        <f>IF(GLAPS자동계산!P9="","",GLAPS자동계산!P9)</f>
        <v/>
      </c>
      <c r="P10" s="2" t="str">
        <f>IF(GLAPS자동계산!Q9="","",GLAPS자동계산!Q9)</f>
        <v/>
      </c>
      <c r="Q10" s="3" t="str">
        <f>IF(GLAPS자동계산!R9="","",GLAPS자동계산!R9)</f>
        <v/>
      </c>
      <c r="R10" s="3" t="str">
        <f>IF(GLAPS자동계산!S9="","",GLAPS자동계산!S9)</f>
        <v/>
      </c>
      <c r="S10" s="3">
        <f>IF(GLAPS자동계산!T9="","",GLAPS자동계산!T9)</f>
        <v>1</v>
      </c>
      <c r="T10" s="3" t="str">
        <f>IF(GLAPS자동계산!U9="","",GLAPS자동계산!U9)</f>
        <v>ONEU0621719</v>
      </c>
      <c r="U10" s="3" t="str">
        <f>IF(GLAPS자동계산!V9="","",GLAPS자동계산!V9)</f>
        <v>KRAX14757</v>
      </c>
      <c r="V10" s="3" t="str">
        <f>IF(GLAPS자동계산!W9="","",GLAPS자동계산!W9)</f>
        <v/>
      </c>
      <c r="W10" s="14" t="str">
        <f>IF(GLAPS자동계산!X9="","",GLAPS자동계산!X9)</f>
        <v>X260602-001996</v>
      </c>
      <c r="X10" s="13" t="str">
        <f>IF(GLAPS자동계산!Y9="","",GLAPS자동계산!Y9)</f>
        <v>SELG82813400</v>
      </c>
      <c r="Y10" s="13" t="str">
        <f>IF(GLAPS자동계산!Z9="","",GLAPS자동계산!Z9)</f>
        <v/>
      </c>
      <c r="Z10" s="91" t="str">
        <f>IF(GLAPS자동계산!AA9="","",GLAPS자동계산!AA9)</f>
        <v/>
      </c>
      <c r="AA10" s="14" t="str">
        <f>IF(GLAPS자동계산!AB9="","",GLAPS자동계산!AB9)</f>
        <v/>
      </c>
      <c r="AC10" s="2">
        <f>IF($B10="","",$AC$1)</f>
        <v>20</v>
      </c>
      <c r="AD10" s="2" t="str">
        <f>IF($B10="","",IFERROR(INDEX(GLAPS정리!$D$2:$D$50,MATCH(I10,GLAPS정리!$A$2:$A$50,0)),IFERROR(INDEX(GLAPS정리!$D$2:$D$50,MATCH(I10,GLAPS정리!$B$2:$B$50,0)),"")))</f>
        <v>ONE</v>
      </c>
      <c r="AF10" s="2" t="str">
        <f>IF($B10="","",$AF$1)</f>
        <v>KR10</v>
      </c>
      <c r="AI10" s="2" t="str">
        <f>IF($B10="","",IF(F10="","",VLOOKUP(F10,GLAPS정리!$G$3:$J$114,2,0)))</f>
        <v>H000_GC</v>
      </c>
      <c r="AJ10" s="2" t="str">
        <f>IF($B10="","",IF(Z10="울산정일","KRONS",IF(Z10="울산신항","KRUSN",IF(OR(Z10="선광종합물류(인천여객)",Z10="인천여객(인천여객)"),"KRINF",IF(OR(Z10="선광인천보세(인천신)",Z10="한진인천(인천신)",Z10="선광인천신항(인천신)",Z10="인천더로지스(인천신)"),"KRINN",IF(OR(Z10="인천진아(인천항)",Z10="인천E1(인천항)",Z10="인천SM경인터미널(인천항)",Z10="인천항(인천항)",Z10="인천우련(인천항)",Z10="인천항8부두(인천항)"),"KRINC",VLOOKUP(K10,GLAPS정리!$BB$2:$BC$33,2,0)))))))</f>
        <v>KRBNP</v>
      </c>
      <c r="AL10" s="2">
        <f>IF($B10="","",$AL$1)</f>
        <v>5010001</v>
      </c>
      <c r="AN10" s="70" t="str">
        <f>IF($B10="","",TEXT(B10,"YYYY-MM-DD"))</f>
        <v>2026-06-04</v>
      </c>
      <c r="AO10" s="2" t="str">
        <f>IF($B10="","",IF(E10="오전", "0800", IF(E10="오후", "1300", IF(E10="잔업", "1800", ""))))</f>
        <v>0800</v>
      </c>
      <c r="AP10" s="2" t="str">
        <f>IF($B10="","",IF(C10="","",VLOOKUP(C10,GLAPS정리!$AX$2:$AZ$17,3,0)))</f>
        <v>B000005273</v>
      </c>
      <c r="AR10" s="2" t="str">
        <f>IF($B10="","",IF(X10="","",X10))</f>
        <v>SELG82813400</v>
      </c>
      <c r="AX10" s="2" t="str">
        <f>IF($B10="","",IF(L10="","",VLOOKUP(L10,GLAPS정리!$V$3:$W$180,2,0)))</f>
        <v>USLAX</v>
      </c>
      <c r="BM10" s="2" t="str">
        <f>IF($B10="","",IF(AND(Q10=1,OR(P10="",P10="위험물")), "2210", IF(AND(Q10=1,OR(P10="리퍼",P10="위험물리퍼")), "2230", IF(AND(S10=1,OR(P10="",P10="위험물")), "4510", IF(AND(S10=1,OR(P10="리퍼",P10="위험물리퍼")), "4530", IF(AND(R10=1,OR(P10="",P10="위험물")), "4210", IF(AND(R10=1,P10="리퍼"), "4230", " ")))))))</f>
        <v>4510</v>
      </c>
      <c r="BN10" s="2">
        <f>IF($B10="","",$BN$1)</f>
        <v>1</v>
      </c>
      <c r="BR10" s="2" t="str">
        <f>IF($B10="","",IF(OR(P10="리퍼",P10="위험물리퍼"),"Y",""))</f>
        <v/>
      </c>
      <c r="BS10" s="2" t="str">
        <f>IF($B10="","",IF(OR(P10="위험물",P10="위험물리퍼"),"Y",""))</f>
        <v/>
      </c>
      <c r="BV10" s="2" t="str">
        <f>IF($B10="","",IF(O10="","",VLOOKUP(O10,GLAPS정리!$BH$2:$BI$94,2,0)))</f>
        <v/>
      </c>
      <c r="BW10" s="2" t="str">
        <f>IF($B10="","",IF(OR(Z10="동원",Z10="세방",Z10="한타"),"",IFERROR(INDEX(GLAPS정리!$BI$2:$BI$101,MATCH(Z10,GLAPS정리!$BH$2:$BH$101,0)),"")))</f>
        <v/>
      </c>
      <c r="BX10" s="2" t="str">
        <f>IF($B10="","",IF(Z10="","",IFERROR(VLOOKUP(Z10,GLAPS정리!$AX$2:$AZ$17,3,0),"")))</f>
        <v/>
      </c>
      <c r="BZ10" s="2" t="str">
        <f>IF($B10="","",IF(H10="","",VLOOKUP(H10,GLAPS정리!$L$3:$O$133,2,0)))</f>
        <v>UH03</v>
      </c>
      <c r="CA10" s="2" t="str">
        <f>IF($B10="","",IF(V10="공휴일", 10, IF(V10="야간", 20, IF(V10="위험물", 30, IF(V10="중량", 40, "")))))</f>
        <v/>
      </c>
      <c r="CL10" s="2" t="str">
        <f>IF($B10="","",IF(AI10="","",VLOOKUP(AI10,GLAPS정리!$BT$3:$BV$26,3,0)))</f>
        <v>EAS1</v>
      </c>
    </row>
    <row r="11" spans="1:90" ht="20.45" customHeight="1">
      <c r="B11" s="13">
        <f>IF(GLAPS자동계산!C10="","",GLAPS자동계산!C10)</f>
        <v>46177</v>
      </c>
      <c r="C11" s="13" t="str">
        <f>IF(GLAPS자동계산!D10="","",GLAPS자동계산!D10)</f>
        <v>ELS솔루션</v>
      </c>
      <c r="D11" s="16" t="str">
        <f>IF(GLAPS자동계산!E10="","",GLAPS자동계산!E10)</f>
        <v>14:30</v>
      </c>
      <c r="E11" s="13" t="str">
        <f>IF(GLAPS자동계산!F10="","",GLAPS자동계산!F10)</f>
        <v>오후</v>
      </c>
      <c r="F11" s="13" t="str">
        <f>IF(GLAPS자동계산!G10="","",GLAPS자동계산!G10)</f>
        <v>KCC 글라스</v>
      </c>
      <c r="G11" s="13" t="str">
        <f>IF(GLAPS자동계산!H10="","",GLAPS자동계산!H10)</f>
        <v>KAC</v>
      </c>
      <c r="H11" s="13" t="str">
        <f>IF(GLAPS자동계산!I10="","",GLAPS자동계산!I10)</f>
        <v>HMGMA</v>
      </c>
      <c r="I11" s="13" t="str">
        <f>IF(GLAPS자동계산!J10="","",GLAPS자동계산!J10)</f>
        <v>CMA</v>
      </c>
      <c r="J11" s="13" t="str">
        <f>IF(GLAPS자동계산!K10="","",GLAPS자동계산!K10)</f>
        <v>40 Feet H</v>
      </c>
      <c r="K11" s="13" t="str">
        <f>IF(GLAPS자동계산!L10="","",GLAPS자동계산!L10)</f>
        <v>BUSAN(NEW)</v>
      </c>
      <c r="L11" s="13" t="str">
        <f>IF(GLAPS자동계산!M10="","",GLAPS자동계산!M10)</f>
        <v>조지아</v>
      </c>
      <c r="M11" s="13" t="str">
        <f>IF(GLAPS자동계산!N10="","",GLAPS자동계산!N10)</f>
        <v/>
      </c>
      <c r="N11" s="13" t="str">
        <f>IF(GLAPS자동계산!O10="","",GLAPS자동계산!O10)</f>
        <v>경남99바4895</v>
      </c>
      <c r="O11" s="3" t="str">
        <f>IF(GLAPS자동계산!P10="","",GLAPS자동계산!P10)</f>
        <v/>
      </c>
      <c r="P11" s="2" t="str">
        <f>IF(GLAPS자동계산!Q10="","",GLAPS자동계산!Q10)</f>
        <v/>
      </c>
      <c r="Q11" s="3" t="str">
        <f>IF(GLAPS자동계산!R10="","",GLAPS자동계산!R10)</f>
        <v/>
      </c>
      <c r="R11" s="3" t="str">
        <f>IF(GLAPS자동계산!S10="","",GLAPS자동계산!S10)</f>
        <v/>
      </c>
      <c r="S11" s="3">
        <f>IF(GLAPS자동계산!T10="","",GLAPS자동계산!T10)</f>
        <v>1</v>
      </c>
      <c r="T11" s="3" t="str">
        <f>IF(GLAPS자동계산!U10="","",GLAPS자동계산!U10)</f>
        <v>TGBU5280738</v>
      </c>
      <c r="U11" s="3" t="str">
        <f>IF(GLAPS자동계산!V10="","",GLAPS자동계산!V10)</f>
        <v>M6412832</v>
      </c>
      <c r="V11" s="3" t="str">
        <f>IF(GLAPS자동계산!W10="","",GLAPS자동계산!W10)</f>
        <v/>
      </c>
      <c r="W11" s="14" t="str">
        <f>IF(GLAPS자동계산!X10="","",GLAPS자동계산!X10)</f>
        <v>X260602-002003</v>
      </c>
      <c r="X11" s="13" t="str">
        <f>IF(GLAPS자동계산!Y10="","",GLAPS자동계산!Y10)</f>
        <v>CMA2605290012</v>
      </c>
      <c r="Y11" s="13" t="str">
        <f>IF(GLAPS자동계산!Z10="","",GLAPS자동계산!Z10)</f>
        <v/>
      </c>
      <c r="Z11" s="91" t="str">
        <f>IF(GLAPS자동계산!AA10="","",GLAPS자동계산!AA10)</f>
        <v/>
      </c>
      <c r="AA11" s="14" t="str">
        <f>IF(GLAPS자동계산!AB10="","",GLAPS자동계산!AB10)</f>
        <v/>
      </c>
      <c r="AC11" s="2">
        <f>IF($B11="","",$AC$1)</f>
        <v>20</v>
      </c>
      <c r="AD11" s="2" t="str">
        <f>IF($B11="","",IFERROR(INDEX(GLAPS정리!$D$2:$D$50,MATCH(I11,GLAPS정리!$A$2:$A$50,0)),IFERROR(INDEX(GLAPS정리!$D$2:$D$50,MATCH(I11,GLAPS정리!$B$2:$B$50,0)),"")))</f>
        <v>CMA</v>
      </c>
      <c r="AF11" s="2" t="str">
        <f>IF($B11="","",$AF$1)</f>
        <v>KR10</v>
      </c>
      <c r="AI11" s="2" t="str">
        <f>IF($B11="","",IF(F11="","",VLOOKUP(F11,GLAPS정리!$G$3:$J$114,2,0)))</f>
        <v>H000_KC</v>
      </c>
      <c r="AJ11" s="2" t="str">
        <f>IF($B11="","",IF(Z11="울산정일","KRONS",IF(Z11="울산신항","KRUSN",IF(OR(Z11="선광종합물류(인천여객)",Z11="인천여객(인천여객)"),"KRINF",IF(OR(Z11="선광인천보세(인천신)",Z11="한진인천(인천신)",Z11="선광인천신항(인천신)",Z11="인천더로지스(인천신)"),"KRINN",IF(OR(Z11="인천진아(인천항)",Z11="인천E1(인천항)",Z11="인천SM경인터미널(인천항)",Z11="인천항(인천항)",Z11="인천우련(인천항)",Z11="인천항8부두(인천항)"),"KRINC",VLOOKUP(K11,GLAPS정리!$BB$2:$BC$33,2,0)))))))</f>
        <v>KRBNP</v>
      </c>
      <c r="AL11" s="2">
        <f>IF($B11="","",$AL$1)</f>
        <v>5010001</v>
      </c>
      <c r="AN11" s="70" t="str">
        <f>IF($B11="","",TEXT(B11,"YYYY-MM-DD"))</f>
        <v>2026-06-04</v>
      </c>
      <c r="AO11" s="2" t="str">
        <f>IF($B11="","",IF(E11="오전", "0800", IF(E11="오후", "1300", IF(E11="잔업", "1800", ""))))</f>
        <v>1300</v>
      </c>
      <c r="AP11" s="2" t="str">
        <f>IF($B11="","",IF(C11="","",VLOOKUP(C11,GLAPS정리!$AX$2:$AZ$17,3,0)))</f>
        <v>B000005273</v>
      </c>
      <c r="AR11" s="2" t="str">
        <f>IF($B11="","",IF(X11="","",X11))</f>
        <v>CMA2605290012</v>
      </c>
      <c r="AX11" s="2" t="str">
        <f>IF($B11="","",IF(L11="","",VLOOKUP(L11,GLAPS정리!$V$3:$W$180,2,0)))</f>
        <v>USSAV</v>
      </c>
      <c r="BM11" s="2" t="str">
        <f>IF($B11="","",IF(AND(Q11=1,OR(P11="",P11="위험물")), "2210", IF(AND(Q11=1,OR(P11="리퍼",P11="위험물리퍼")), "2230", IF(AND(S11=1,OR(P11="",P11="위험물")), "4510", IF(AND(S11=1,OR(P11="리퍼",P11="위험물리퍼")), "4530", IF(AND(R11=1,OR(P11="",P11="위험물")), "4210", IF(AND(R11=1,P11="리퍼"), "4230", " ")))))))</f>
        <v>4510</v>
      </c>
      <c r="BN11" s="2">
        <f>IF($B11="","",$BN$1)</f>
        <v>1</v>
      </c>
      <c r="BR11" s="2" t="str">
        <f>IF($B11="","",IF(OR(P11="리퍼",P11="위험물리퍼"),"Y",""))</f>
        <v/>
      </c>
      <c r="BS11" s="2" t="str">
        <f>IF($B11="","",IF(OR(P11="위험물",P11="위험물리퍼"),"Y",""))</f>
        <v/>
      </c>
      <c r="BV11" s="2" t="str">
        <f>IF($B11="","",IF(O11="","",VLOOKUP(O11,GLAPS정리!$BH$2:$BI$94,2,0)))</f>
        <v/>
      </c>
      <c r="BW11" s="2" t="str">
        <f>IF($B11="","",IF(OR(Z11="동원",Z11="세방",Z11="한타"),"",IFERROR(INDEX(GLAPS정리!$BI$2:$BI$101,MATCH(Z11,GLAPS정리!$BH$2:$BH$101,0)),"")))</f>
        <v/>
      </c>
      <c r="BX11" s="2" t="str">
        <f>IF($B11="","",IF(Z11="","",IFERROR(VLOOKUP(Z11,GLAPS정리!$AX$2:$AZ$17,3,0),"")))</f>
        <v/>
      </c>
      <c r="BZ11" s="2" t="str">
        <f>IF($B11="","",IF(H11="","",VLOOKUP(H11,GLAPS정리!$L$3:$O$133,2,0)))</f>
        <v>GA2982</v>
      </c>
      <c r="CA11" s="2" t="str">
        <f>IF($B11="","",IF(V11="공휴일", 10, IF(V11="야간", 20, IF(V11="위험물", 30, IF(V11="중량", 40, "")))))</f>
        <v/>
      </c>
      <c r="CL11" s="2" t="str">
        <f>IF($B11="","",IF(AI11="","",VLOOKUP(AI11,GLAPS정리!$BT$3:$BV$26,3,0)))</f>
        <v>KAC</v>
      </c>
    </row>
    <row r="12" spans="1:90" ht="20.45" customHeight="1">
      <c r="B12" s="13" t="str">
        <f>IF(GLAPS자동계산!C11="","",GLAPS자동계산!C11)</f>
        <v/>
      </c>
      <c r="C12" s="13" t="str">
        <f>IF(GLAPS자동계산!D11="","",GLAPS자동계산!D11)</f>
        <v/>
      </c>
      <c r="D12" s="16" t="str">
        <f>IF(GLAPS자동계산!E11="","",GLAPS자동계산!E11)</f>
        <v/>
      </c>
      <c r="E12" s="13" t="str">
        <f>IF(GLAPS자동계산!F11="","",GLAPS자동계산!F11)</f>
        <v/>
      </c>
      <c r="F12" s="13" t="str">
        <f>IF(GLAPS자동계산!G11="","",GLAPS자동계산!G11)</f>
        <v/>
      </c>
      <c r="G12" s="13" t="str">
        <f>IF(GLAPS자동계산!H11="","",GLAPS자동계산!H11)</f>
        <v/>
      </c>
      <c r="H12" s="13" t="str">
        <f>IF(GLAPS자동계산!I11="","",GLAPS자동계산!I11)</f>
        <v/>
      </c>
      <c r="I12" s="13" t="str">
        <f>IF(GLAPS자동계산!J11="","",GLAPS자동계산!J11)</f>
        <v/>
      </c>
      <c r="J12" s="13" t="str">
        <f>IF(GLAPS자동계산!K11="","",GLAPS자동계산!K11)</f>
        <v/>
      </c>
      <c r="K12" s="13" t="str">
        <f>IF(GLAPS자동계산!L11="","",GLAPS자동계산!L11)</f>
        <v/>
      </c>
      <c r="L12" s="13" t="str">
        <f>IF(GLAPS자동계산!M11="","",GLAPS자동계산!M11)</f>
        <v/>
      </c>
      <c r="M12" s="13" t="str">
        <f>IF(GLAPS자동계산!N11="","",GLAPS자동계산!N11)</f>
        <v/>
      </c>
      <c r="N12" s="13" t="str">
        <f>IF(GLAPS자동계산!O11="","",GLAPS자동계산!O11)</f>
        <v/>
      </c>
      <c r="O12" s="3" t="str">
        <f>IF(GLAPS자동계산!P11="","",GLAPS자동계산!P11)</f>
        <v/>
      </c>
      <c r="P12" s="2" t="str">
        <f>IF(GLAPS자동계산!Q11="","",GLAPS자동계산!Q11)</f>
        <v/>
      </c>
      <c r="Q12" s="3" t="str">
        <f>IF(GLAPS자동계산!R11="","",GLAPS자동계산!R11)</f>
        <v/>
      </c>
      <c r="R12" s="3" t="str">
        <f>IF(GLAPS자동계산!S11="","",GLAPS자동계산!S11)</f>
        <v/>
      </c>
      <c r="S12" s="3" t="str">
        <f>IF(GLAPS자동계산!T11="","",GLAPS자동계산!T11)</f>
        <v/>
      </c>
      <c r="T12" s="3" t="str">
        <f>IF(GLAPS자동계산!U11="","",GLAPS자동계산!U11)</f>
        <v/>
      </c>
      <c r="U12" s="3" t="str">
        <f>IF(GLAPS자동계산!V11="","",GLAPS자동계산!V11)</f>
        <v/>
      </c>
      <c r="V12" s="3" t="str">
        <f>IF(GLAPS자동계산!W11="","",GLAPS자동계산!W11)</f>
        <v/>
      </c>
      <c r="W12" s="14" t="str">
        <f>IF(GLAPS자동계산!X11="","",GLAPS자동계산!X11)</f>
        <v/>
      </c>
      <c r="X12" s="13" t="str">
        <f>IF(GLAPS자동계산!Y11="","",GLAPS자동계산!Y11)</f>
        <v/>
      </c>
      <c r="Y12" s="13" t="str">
        <f>IF(GLAPS자동계산!Z11="","",GLAPS자동계산!Z11)</f>
        <v/>
      </c>
      <c r="Z12" s="91" t="str">
        <f>IF(GLAPS자동계산!AA11="","",GLAPS자동계산!AA11)</f>
        <v/>
      </c>
      <c r="AA12" s="14" t="str">
        <f>IF(GLAPS자동계산!AB11="","",GLAPS자동계산!AB11)</f>
        <v/>
      </c>
      <c r="AC12" s="2" t="str">
        <f>IF($B12="","",$AC$1)</f>
        <v/>
      </c>
      <c r="AD12" s="2" t="str">
        <f>IF($B12="","",IFERROR(INDEX(GLAPS정리!$D$2:$D$50,MATCH(I12,GLAPS정리!$A$2:$A$50,0)),IFERROR(INDEX(GLAPS정리!$D$2:$D$50,MATCH(I12,GLAPS정리!$B$2:$B$50,0)),"")))</f>
        <v/>
      </c>
      <c r="AF12" s="2" t="str">
        <f>IF($B12="","",$AF$1)</f>
        <v/>
      </c>
      <c r="AI12" s="2" t="str">
        <f>IF($B12="","",IF(F12="","",VLOOKUP(F12,GLAPS정리!$G$3:$J$114,2,0)))</f>
        <v/>
      </c>
      <c r="AJ12" s="2" t="str">
        <f>IF($B12="","",IF(Z12="울산정일","KRONS",IF(Z12="울산신항","KRUSN",IF(OR(Z12="선광종합물류(인천여객)",Z12="인천여객(인천여객)"),"KRINF",IF(OR(Z12="선광인천보세(인천신)",Z12="한진인천(인천신)",Z12="선광인천신항(인천신)",Z12="인천더로지스(인천신)"),"KRINN",IF(OR(Z12="인천진아(인천항)",Z12="인천E1(인천항)",Z12="인천SM경인터미널(인천항)",Z12="인천항(인천항)",Z12="인천우련(인천항)",Z12="인천항8부두(인천항)"),"KRINC",VLOOKUP(K12,GLAPS정리!$BB$2:$BC$33,2,0)))))))</f>
        <v/>
      </c>
      <c r="AL12" s="2" t="str">
        <f>IF($B12="","",$AL$1)</f>
        <v/>
      </c>
      <c r="AN12" s="70" t="str">
        <f>IF($B12="","",TEXT(B12,"YYYY-MM-DD"))</f>
        <v/>
      </c>
      <c r="AO12" s="2" t="str">
        <f>IF($B12="","",IF(E12="오전", "0800", IF(E12="오후", "1300", IF(E12="잔업", "1800", ""))))</f>
        <v/>
      </c>
      <c r="AP12" s="2" t="str">
        <f>IF($B12="","",IF(C12="","",VLOOKUP(C12,GLAPS정리!$AX$2:$AZ$17,3,0)))</f>
        <v/>
      </c>
      <c r="AR12" s="2" t="str">
        <f>IF($B12="","",IF(X12="","",X12))</f>
        <v/>
      </c>
      <c r="AX12" s="2" t="str">
        <f>IF($B12="","",IF(L12="","",VLOOKUP(L12,GLAPS정리!$V$3:$W$180,2,0)))</f>
        <v/>
      </c>
      <c r="BM12" s="2" t="str">
        <f>IF($B12="","",IF(AND(Q12=1,OR(P12="",P12="위험물")), "2210", IF(AND(Q12=1,OR(P12="리퍼",P12="위험물리퍼")), "2230", IF(AND(S12=1,OR(P12="",P12="위험물")), "4510", IF(AND(S12=1,OR(P12="리퍼",P12="위험물리퍼")), "4530", IF(AND(R12=1,OR(P12="",P12="위험물")), "4210", IF(AND(R12=1,P12="리퍼"), "4230", " ")))))))</f>
        <v/>
      </c>
      <c r="BN12" s="2" t="str">
        <f>IF($B12="","",$BN$1)</f>
        <v/>
      </c>
      <c r="BR12" s="2" t="str">
        <f>IF($B12="","",IF(OR(P12="리퍼",P12="위험물리퍼"),"Y",""))</f>
        <v/>
      </c>
      <c r="BS12" s="2" t="str">
        <f>IF($B12="","",IF(OR(P12="위험물",P12="위험물리퍼"),"Y",""))</f>
        <v/>
      </c>
      <c r="BV12" s="2" t="str">
        <f>IF($B12="","",IF(O12="","",VLOOKUP(O12,GLAPS정리!$BH$2:$BI$94,2,0)))</f>
        <v/>
      </c>
      <c r="BW12" s="2" t="str">
        <f>IF($B12="","",IF(OR(Z12="동원",Z12="세방",Z12="한타"),"",IFERROR(INDEX(GLAPS정리!$BI$2:$BI$101,MATCH(Z12,GLAPS정리!$BH$2:$BH$101,0)),"")))</f>
        <v/>
      </c>
      <c r="BX12" s="2" t="str">
        <f>IF($B12="","",IF(Z12="","",IFERROR(VLOOKUP(Z12,GLAPS정리!$AX$2:$AZ$17,3,0),"")))</f>
        <v/>
      </c>
      <c r="BZ12" s="2" t="str">
        <f>IF($B12="","",IF(H12="","",VLOOKUP(H12,GLAPS정리!$L$3:$O$133,2,0)))</f>
        <v/>
      </c>
      <c r="CA12" s="2" t="str">
        <f>IF($B12="","",IF(V12="공휴일", 10, IF(V12="야간", 20, IF(V12="위험물", 30, IF(V12="중량", 40, "")))))</f>
        <v/>
      </c>
      <c r="CL12" s="2" t="str">
        <f>IF($B12="","",IF(AI12="","",VLOOKUP(AI12,GLAPS정리!$BT$3:$BV$26,3,0)))</f>
        <v/>
      </c>
    </row>
    <row r="13" spans="1:90" ht="20.45" customHeight="1">
      <c r="B13" s="13" t="str">
        <f>IF(GLAPS자동계산!C12="","",GLAPS자동계산!C12)</f>
        <v/>
      </c>
      <c r="C13" s="13" t="str">
        <f>IF(GLAPS자동계산!D12="","",GLAPS자동계산!D12)</f>
        <v/>
      </c>
      <c r="D13" s="16" t="str">
        <f>IF(GLAPS자동계산!E12="","",GLAPS자동계산!E12)</f>
        <v/>
      </c>
      <c r="E13" s="13" t="str">
        <f>IF(GLAPS자동계산!F12="","",GLAPS자동계산!F12)</f>
        <v/>
      </c>
      <c r="F13" s="13" t="str">
        <f>IF(GLAPS자동계산!G12="","",GLAPS자동계산!G12)</f>
        <v/>
      </c>
      <c r="G13" s="13" t="str">
        <f>IF(GLAPS자동계산!H12="","",GLAPS자동계산!H12)</f>
        <v/>
      </c>
      <c r="H13" s="13" t="str">
        <f>IF(GLAPS자동계산!I12="","",GLAPS자동계산!I12)</f>
        <v/>
      </c>
      <c r="I13" s="13" t="str">
        <f>IF(GLAPS자동계산!J12="","",GLAPS자동계산!J12)</f>
        <v/>
      </c>
      <c r="J13" s="13" t="str">
        <f>IF(GLAPS자동계산!K12="","",GLAPS자동계산!K12)</f>
        <v/>
      </c>
      <c r="K13" s="13" t="str">
        <f>IF(GLAPS자동계산!L12="","",GLAPS자동계산!L12)</f>
        <v/>
      </c>
      <c r="L13" s="13" t="str">
        <f>IF(GLAPS자동계산!M12="","",GLAPS자동계산!M12)</f>
        <v/>
      </c>
      <c r="M13" s="13" t="str">
        <f>IF(GLAPS자동계산!N12="","",GLAPS자동계산!N12)</f>
        <v/>
      </c>
      <c r="N13" s="13" t="str">
        <f>IF(GLAPS자동계산!O12="","",GLAPS자동계산!O12)</f>
        <v/>
      </c>
      <c r="O13" s="3" t="str">
        <f>IF(GLAPS자동계산!P12="","",GLAPS자동계산!P12)</f>
        <v/>
      </c>
      <c r="P13" s="2" t="str">
        <f>IF(GLAPS자동계산!Q12="","",GLAPS자동계산!Q12)</f>
        <v/>
      </c>
      <c r="Q13" s="3" t="str">
        <f>IF(GLAPS자동계산!R12="","",GLAPS자동계산!R12)</f>
        <v/>
      </c>
      <c r="R13" s="3" t="str">
        <f>IF(GLAPS자동계산!S12="","",GLAPS자동계산!S12)</f>
        <v/>
      </c>
      <c r="S13" s="3" t="str">
        <f>IF(GLAPS자동계산!T12="","",GLAPS자동계산!T12)</f>
        <v/>
      </c>
      <c r="T13" s="3" t="str">
        <f>IF(GLAPS자동계산!U12="","",GLAPS자동계산!U12)</f>
        <v/>
      </c>
      <c r="U13" s="3" t="str">
        <f>IF(GLAPS자동계산!V12="","",GLAPS자동계산!V12)</f>
        <v/>
      </c>
      <c r="V13" s="3" t="str">
        <f>IF(GLAPS자동계산!W12="","",GLAPS자동계산!W12)</f>
        <v/>
      </c>
      <c r="W13" s="14" t="str">
        <f>IF(GLAPS자동계산!X12="","",GLAPS자동계산!X12)</f>
        <v/>
      </c>
      <c r="X13" s="13" t="str">
        <f>IF(GLAPS자동계산!Y12="","",GLAPS자동계산!Y12)</f>
        <v/>
      </c>
      <c r="Y13" s="13" t="str">
        <f>IF(GLAPS자동계산!Z12="","",GLAPS자동계산!Z12)</f>
        <v/>
      </c>
      <c r="Z13" s="91" t="str">
        <f>IF(GLAPS자동계산!AA12="","",GLAPS자동계산!AA12)</f>
        <v/>
      </c>
      <c r="AA13" s="14" t="str">
        <f>IF(GLAPS자동계산!AB12="","",GLAPS자동계산!AB12)</f>
        <v/>
      </c>
      <c r="AC13" s="2" t="str">
        <f>IF($B13="","",$AC$1)</f>
        <v/>
      </c>
      <c r="AD13" s="2" t="str">
        <f>IF($B13="","",IFERROR(INDEX(GLAPS정리!$D$2:$D$50,MATCH(I13,GLAPS정리!$A$2:$A$50,0)),IFERROR(INDEX(GLAPS정리!$D$2:$D$50,MATCH(I13,GLAPS정리!$B$2:$B$50,0)),"")))</f>
        <v/>
      </c>
      <c r="AF13" s="2" t="str">
        <f>IF($B13="","",$AF$1)</f>
        <v/>
      </c>
      <c r="AI13" s="2" t="str">
        <f>IF($B13="","",IF(F13="","",VLOOKUP(F13,GLAPS정리!$G$3:$J$114,2,0)))</f>
        <v/>
      </c>
      <c r="AJ13" s="2" t="str">
        <f>IF($B13="","",IF(Z13="울산정일","KRONS",IF(Z13="울산신항","KRUSN",IF(OR(Z13="선광종합물류(인천여객)",Z13="인천여객(인천여객)"),"KRINF",IF(OR(Z13="선광인천보세(인천신)",Z13="한진인천(인천신)",Z13="선광인천신항(인천신)",Z13="인천더로지스(인천신)"),"KRINN",IF(OR(Z13="인천진아(인천항)",Z13="인천E1(인천항)",Z13="인천SM경인터미널(인천항)",Z13="인천항(인천항)",Z13="인천우련(인천항)",Z13="인천항8부두(인천항)"),"KRINC",VLOOKUP(K13,GLAPS정리!$BB$2:$BC$33,2,0)))))))</f>
        <v/>
      </c>
      <c r="AL13" s="2" t="str">
        <f>IF($B13="","",$AL$1)</f>
        <v/>
      </c>
      <c r="AN13" s="70" t="str">
        <f>IF($B13="","",TEXT(B13,"YYYY-MM-DD"))</f>
        <v/>
      </c>
      <c r="AO13" s="2" t="str">
        <f>IF($B13="","",IF(E13="오전", "0800", IF(E13="오후", "1300", IF(E13="잔업", "1800", ""))))</f>
        <v/>
      </c>
      <c r="AP13" s="2" t="str">
        <f>IF($B13="","",IF(C13="","",VLOOKUP(C13,GLAPS정리!$AX$2:$AZ$17,3,0)))</f>
        <v/>
      </c>
      <c r="AR13" s="2" t="str">
        <f>IF($B13="","",IF(X13="","",X13))</f>
        <v/>
      </c>
      <c r="AX13" s="2" t="str">
        <f>IF($B13="","",IF(L13="","",VLOOKUP(L13,GLAPS정리!$V$3:$W$180,2,0)))</f>
        <v/>
      </c>
      <c r="BM13" s="2" t="str">
        <f>IF($B13="","",IF(AND(Q13=1,OR(P13="",P13="위험물")), "2210", IF(AND(Q13=1,OR(P13="리퍼",P13="위험물리퍼")), "2230", IF(AND(S13=1,OR(P13="",P13="위험물")), "4510", IF(AND(S13=1,OR(P13="리퍼",P13="위험물리퍼")), "4530", IF(AND(R13=1,OR(P13="",P13="위험물")), "4210", IF(AND(R13=1,P13="리퍼"), "4230", " ")))))))</f>
        <v/>
      </c>
      <c r="BN13" s="2" t="str">
        <f>IF($B13="","",$BN$1)</f>
        <v/>
      </c>
      <c r="BR13" s="2" t="str">
        <f>IF($B13="","",IF(OR(P13="리퍼",P13="위험물리퍼"),"Y",""))</f>
        <v/>
      </c>
      <c r="BS13" s="2" t="str">
        <f>IF($B13="","",IF(OR(P13="위험물",P13="위험물리퍼"),"Y",""))</f>
        <v/>
      </c>
      <c r="BV13" s="2" t="str">
        <f>IF($B13="","",IF(O13="","",VLOOKUP(O13,GLAPS정리!$BH$2:$BI$94,2,0)))</f>
        <v/>
      </c>
      <c r="BW13" s="2" t="str">
        <f>IF($B13="","",IF(OR(Z13="동원",Z13="세방",Z13="한타"),"",IFERROR(INDEX(GLAPS정리!$BI$2:$BI$101,MATCH(Z13,GLAPS정리!$BH$2:$BH$101,0)),"")))</f>
        <v/>
      </c>
      <c r="BX13" s="2" t="str">
        <f>IF($B13="","",IF(Z13="","",IFERROR(VLOOKUP(Z13,GLAPS정리!$AX$2:$AZ$17,3,0),"")))</f>
        <v/>
      </c>
      <c r="BZ13" s="2" t="str">
        <f>IF($B13="","",IF(H13="","",VLOOKUP(H13,GLAPS정리!$L$3:$O$133,2,0)))</f>
        <v/>
      </c>
      <c r="CA13" s="2" t="str">
        <f>IF($B13="","",IF(V13="공휴일", 10, IF(V13="야간", 20, IF(V13="위험물", 30, IF(V13="중량", 40, "")))))</f>
        <v/>
      </c>
      <c r="CL13" s="2" t="str">
        <f>IF($B13="","",IF(AI13="","",VLOOKUP(AI13,GLAPS정리!$BT$3:$BV$26,3,0)))</f>
        <v/>
      </c>
    </row>
    <row r="14" spans="1:90" ht="20.45" customHeight="1">
      <c r="B14" s="13" t="str">
        <f>IF(GLAPS자동계산!C13="","",GLAPS자동계산!C13)</f>
        <v/>
      </c>
      <c r="C14" s="13" t="str">
        <f>IF(GLAPS자동계산!D13="","",GLAPS자동계산!D13)</f>
        <v/>
      </c>
      <c r="D14" s="16" t="str">
        <f>IF(GLAPS자동계산!E13="","",GLAPS자동계산!E13)</f>
        <v/>
      </c>
      <c r="E14" s="13" t="str">
        <f>IF(GLAPS자동계산!F13="","",GLAPS자동계산!F13)</f>
        <v/>
      </c>
      <c r="F14" s="13" t="str">
        <f>IF(GLAPS자동계산!G13="","",GLAPS자동계산!G13)</f>
        <v/>
      </c>
      <c r="G14" s="13" t="str">
        <f>IF(GLAPS자동계산!H13="","",GLAPS자동계산!H13)</f>
        <v/>
      </c>
      <c r="H14" s="13" t="str">
        <f>IF(GLAPS자동계산!I13="","",GLAPS자동계산!I13)</f>
        <v/>
      </c>
      <c r="I14" s="13" t="str">
        <f>IF(GLAPS자동계산!J13="","",GLAPS자동계산!J13)</f>
        <v/>
      </c>
      <c r="J14" s="13" t="str">
        <f>IF(GLAPS자동계산!K13="","",GLAPS자동계산!K13)</f>
        <v/>
      </c>
      <c r="K14" s="13" t="str">
        <f>IF(GLAPS자동계산!L13="","",GLAPS자동계산!L13)</f>
        <v/>
      </c>
      <c r="L14" s="13" t="str">
        <f>IF(GLAPS자동계산!M13="","",GLAPS자동계산!M13)</f>
        <v/>
      </c>
      <c r="M14" s="13" t="str">
        <f>IF(GLAPS자동계산!N13="","",GLAPS자동계산!N13)</f>
        <v/>
      </c>
      <c r="N14" s="13" t="str">
        <f>IF(GLAPS자동계산!O13="","",GLAPS자동계산!O13)</f>
        <v/>
      </c>
      <c r="O14" s="3" t="str">
        <f>IF(GLAPS자동계산!P13="","",GLAPS자동계산!P13)</f>
        <v/>
      </c>
      <c r="P14" s="2" t="str">
        <f>IF(GLAPS자동계산!Q13="","",GLAPS자동계산!Q13)</f>
        <v/>
      </c>
      <c r="Q14" s="3" t="str">
        <f>IF(GLAPS자동계산!R13="","",GLAPS자동계산!R13)</f>
        <v/>
      </c>
      <c r="R14" s="3" t="str">
        <f>IF(GLAPS자동계산!S13="","",GLAPS자동계산!S13)</f>
        <v/>
      </c>
      <c r="S14" s="3" t="str">
        <f>IF(GLAPS자동계산!T13="","",GLAPS자동계산!T13)</f>
        <v/>
      </c>
      <c r="T14" s="3" t="str">
        <f>IF(GLAPS자동계산!U13="","",GLAPS자동계산!U13)</f>
        <v/>
      </c>
      <c r="U14" s="3" t="str">
        <f>IF(GLAPS자동계산!V13="","",GLAPS자동계산!V13)</f>
        <v/>
      </c>
      <c r="V14" s="3" t="str">
        <f>IF(GLAPS자동계산!W13="","",GLAPS자동계산!W13)</f>
        <v/>
      </c>
      <c r="W14" s="14" t="str">
        <f>IF(GLAPS자동계산!X13="","",GLAPS자동계산!X13)</f>
        <v/>
      </c>
      <c r="X14" s="13" t="str">
        <f>IF(GLAPS자동계산!Y13="","",GLAPS자동계산!Y13)</f>
        <v/>
      </c>
      <c r="Y14" s="13" t="str">
        <f>IF(GLAPS자동계산!Z13="","",GLAPS자동계산!Z13)</f>
        <v/>
      </c>
      <c r="Z14" s="91" t="str">
        <f>IF(GLAPS자동계산!AA13="","",GLAPS자동계산!AA13)</f>
        <v/>
      </c>
      <c r="AA14" s="14" t="str">
        <f>IF(GLAPS자동계산!AB13="","",GLAPS자동계산!AB13)</f>
        <v/>
      </c>
      <c r="AC14" s="2" t="str">
        <f>IF($B14="","",$AC$1)</f>
        <v/>
      </c>
      <c r="AD14" s="2" t="str">
        <f>IF($B14="","",IFERROR(INDEX(GLAPS정리!$D$2:$D$50,MATCH(I14,GLAPS정리!$A$2:$A$50,0)),IFERROR(INDEX(GLAPS정리!$D$2:$D$50,MATCH(I14,GLAPS정리!$B$2:$B$50,0)),"")))</f>
        <v/>
      </c>
      <c r="AF14" s="2" t="str">
        <f>IF($B14="","",$AF$1)</f>
        <v/>
      </c>
      <c r="AI14" s="2" t="str">
        <f>IF($B14="","",IF(F14="","",VLOOKUP(F14,GLAPS정리!$G$3:$J$114,2,0)))</f>
        <v/>
      </c>
      <c r="AJ14" s="2" t="str">
        <f>IF($B14="","",IF(Z14="울산정일","KRONS",IF(Z14="울산신항","KRUSN",IF(OR(Z14="선광종합물류(인천여객)",Z14="인천여객(인천여객)"),"KRINF",IF(OR(Z14="선광인천보세(인천신)",Z14="한진인천(인천신)",Z14="선광인천신항(인천신)",Z14="인천더로지스(인천신)"),"KRINN",IF(OR(Z14="인천진아(인천항)",Z14="인천E1(인천항)",Z14="인천SM경인터미널(인천항)",Z14="인천항(인천항)",Z14="인천우련(인천항)",Z14="인천항8부두(인천항)"),"KRINC",VLOOKUP(K14,GLAPS정리!$BB$2:$BC$33,2,0)))))))</f>
        <v/>
      </c>
      <c r="AL14" s="2" t="str">
        <f>IF($B14="","",$AL$1)</f>
        <v/>
      </c>
      <c r="AN14" s="70" t="str">
        <f>IF($B14="","",TEXT(B14,"YYYY-MM-DD"))</f>
        <v/>
      </c>
      <c r="AO14" s="2" t="str">
        <f>IF($B14="","",IF(E14="오전", "0800", IF(E14="오후", "1300", IF(E14="잔업", "1800", ""))))</f>
        <v/>
      </c>
      <c r="AP14" s="2" t="str">
        <f>IF($B14="","",IF(C14="","",VLOOKUP(C14,GLAPS정리!$AX$2:$AZ$17,3,0)))</f>
        <v/>
      </c>
      <c r="AR14" s="2" t="str">
        <f>IF($B14="","",IF(X14="","",X14))</f>
        <v/>
      </c>
      <c r="AX14" s="2" t="str">
        <f>IF($B14="","",IF(L14="","",VLOOKUP(L14,GLAPS정리!$V$3:$W$180,2,0)))</f>
        <v/>
      </c>
      <c r="BM14" s="2" t="str">
        <f>IF($B14="","",IF(AND(Q14=1,OR(P14="",P14="위험물")), "2210", IF(AND(Q14=1,OR(P14="리퍼",P14="위험물리퍼")), "2230", IF(AND(S14=1,OR(P14="",P14="위험물")), "4510", IF(AND(S14=1,OR(P14="리퍼",P14="위험물리퍼")), "4530", IF(AND(R14=1,OR(P14="",P14="위험물")), "4210", IF(AND(R14=1,P14="리퍼"), "4230", " ")))))))</f>
        <v/>
      </c>
      <c r="BN14" s="2" t="str">
        <f>IF($B14="","",$BN$1)</f>
        <v/>
      </c>
      <c r="BR14" s="2" t="str">
        <f>IF($B14="","",IF(OR(P14="리퍼",P14="위험물리퍼"),"Y",""))</f>
        <v/>
      </c>
      <c r="BS14" s="2" t="str">
        <f>IF($B14="","",IF(OR(P14="위험물",P14="위험물리퍼"),"Y",""))</f>
        <v/>
      </c>
      <c r="BV14" s="2" t="str">
        <f>IF($B14="","",IF(O14="","",VLOOKUP(O14,GLAPS정리!$BH$2:$BI$94,2,0)))</f>
        <v/>
      </c>
      <c r="BW14" s="2" t="str">
        <f>IF($B14="","",IF(OR(Z14="동원",Z14="세방",Z14="한타"),"",IFERROR(INDEX(GLAPS정리!$BI$2:$BI$101,MATCH(Z14,GLAPS정리!$BH$2:$BH$101,0)),"")))</f>
        <v/>
      </c>
      <c r="BX14" s="2" t="str">
        <f>IF($B14="","",IF(Z14="","",IFERROR(VLOOKUP(Z14,GLAPS정리!$AX$2:$AZ$17,3,0),"")))</f>
        <v/>
      </c>
      <c r="BZ14" s="2" t="str">
        <f>IF($B14="","",IF(H14="","",VLOOKUP(H14,GLAPS정리!$L$3:$O$133,2,0)))</f>
        <v/>
      </c>
      <c r="CA14" s="2" t="str">
        <f>IF($B14="","",IF(V14="공휴일", 10, IF(V14="야간", 20, IF(V14="위험물", 30, IF(V14="중량", 40, "")))))</f>
        <v/>
      </c>
      <c r="CL14" s="2" t="str">
        <f>IF($B14="","",IF(AI14="","",VLOOKUP(AI14,GLAPS정리!$BT$3:$BV$26,3,0)))</f>
        <v/>
      </c>
    </row>
    <row r="15" spans="1:90" ht="20.45" customHeight="1">
      <c r="A15" s="70"/>
      <c r="B15" s="13" t="str">
        <f>IF(GLAPS자동계산!C14="","",GLAPS자동계산!C14)</f>
        <v/>
      </c>
      <c r="C15" s="13" t="str">
        <f>IF(GLAPS자동계산!D14="","",GLAPS자동계산!D14)</f>
        <v/>
      </c>
      <c r="D15" s="16" t="str">
        <f>IF(GLAPS자동계산!E14="","",GLAPS자동계산!E14)</f>
        <v/>
      </c>
      <c r="E15" s="13" t="str">
        <f>IF(GLAPS자동계산!F14="","",GLAPS자동계산!F14)</f>
        <v/>
      </c>
      <c r="F15" s="13" t="str">
        <f>IF(GLAPS자동계산!G14="","",GLAPS자동계산!G14)</f>
        <v/>
      </c>
      <c r="G15" s="13" t="str">
        <f>IF(GLAPS자동계산!H14="","",GLAPS자동계산!H14)</f>
        <v/>
      </c>
      <c r="H15" s="13" t="str">
        <f>IF(GLAPS자동계산!I14="","",GLAPS자동계산!I14)</f>
        <v/>
      </c>
      <c r="I15" s="13" t="str">
        <f>IF(GLAPS자동계산!J14="","",GLAPS자동계산!J14)</f>
        <v/>
      </c>
      <c r="J15" s="13" t="str">
        <f>IF(GLAPS자동계산!K14="","",GLAPS자동계산!K14)</f>
        <v/>
      </c>
      <c r="K15" s="13" t="str">
        <f>IF(GLAPS자동계산!L14="","",GLAPS자동계산!L14)</f>
        <v/>
      </c>
      <c r="L15" s="13" t="str">
        <f>IF(GLAPS자동계산!M14="","",GLAPS자동계산!M14)</f>
        <v/>
      </c>
      <c r="M15" s="13" t="str">
        <f>IF(GLAPS자동계산!N14="","",GLAPS자동계산!N14)</f>
        <v/>
      </c>
      <c r="N15" s="13" t="str">
        <f>IF(GLAPS자동계산!O14="","",GLAPS자동계산!O14)</f>
        <v/>
      </c>
      <c r="O15" s="3" t="str">
        <f>IF(GLAPS자동계산!P14="","",GLAPS자동계산!P14)</f>
        <v/>
      </c>
      <c r="P15" s="2" t="str">
        <f>IF(GLAPS자동계산!Q14="","",GLAPS자동계산!Q14)</f>
        <v/>
      </c>
      <c r="Q15" s="3" t="str">
        <f>IF(GLAPS자동계산!R14="","",GLAPS자동계산!R14)</f>
        <v/>
      </c>
      <c r="R15" s="3" t="str">
        <f>IF(GLAPS자동계산!S14="","",GLAPS자동계산!S14)</f>
        <v/>
      </c>
      <c r="S15" s="3" t="str">
        <f>IF(GLAPS자동계산!T14="","",GLAPS자동계산!T14)</f>
        <v/>
      </c>
      <c r="T15" s="3" t="str">
        <f>IF(GLAPS자동계산!U14="","",GLAPS자동계산!U14)</f>
        <v/>
      </c>
      <c r="U15" s="3" t="str">
        <f>IF(GLAPS자동계산!V14="","",GLAPS자동계산!V14)</f>
        <v/>
      </c>
      <c r="V15" s="3" t="str">
        <f>IF(GLAPS자동계산!W14="","",GLAPS자동계산!W14)</f>
        <v/>
      </c>
      <c r="W15" s="14" t="str">
        <f>IF(GLAPS자동계산!X14="","",GLAPS자동계산!X14)</f>
        <v/>
      </c>
      <c r="X15" s="13" t="str">
        <f>IF(GLAPS자동계산!Y14="","",GLAPS자동계산!Y14)</f>
        <v/>
      </c>
      <c r="Y15" s="13" t="str">
        <f>IF(GLAPS자동계산!Z14="","",GLAPS자동계산!Z14)</f>
        <v/>
      </c>
      <c r="Z15" s="91" t="str">
        <f>IF(GLAPS자동계산!AA14="","",GLAPS자동계산!AA14)</f>
        <v/>
      </c>
      <c r="AA15" s="14" t="str">
        <f>IF(GLAPS자동계산!AB14="","",GLAPS자동계산!AB14)</f>
        <v/>
      </c>
      <c r="AC15" s="2" t="str">
        <f>IF($B15="","",$AC$1)</f>
        <v/>
      </c>
      <c r="AD15" s="2" t="str">
        <f>IF($B15="","",IFERROR(INDEX(GLAPS정리!$D$2:$D$50,MATCH(I15,GLAPS정리!$A$2:$A$50,0)),IFERROR(INDEX(GLAPS정리!$D$2:$D$50,MATCH(I15,GLAPS정리!$B$2:$B$50,0)),"")))</f>
        <v/>
      </c>
      <c r="AF15" s="2" t="str">
        <f>IF($B15="","",$AF$1)</f>
        <v/>
      </c>
      <c r="AI15" s="2" t="str">
        <f>IF($B15="","",IF(F15="","",VLOOKUP(F15,GLAPS정리!$G$3:$J$114,2,0)))</f>
        <v/>
      </c>
      <c r="AJ15" s="2" t="str">
        <f>IF($B15="","",IF(Z15="울산정일","KRONS",IF(Z15="울산신항","KRUSN",IF(OR(Z15="선광종합물류(인천여객)",Z15="인천여객(인천여객)"),"KRINF",IF(OR(Z15="선광인천보세(인천신)",Z15="한진인천(인천신)",Z15="선광인천신항(인천신)",Z15="인천더로지스(인천신)"),"KRINN",IF(OR(Z15="인천진아(인천항)",Z15="인천E1(인천항)",Z15="인천SM경인터미널(인천항)",Z15="인천항(인천항)",Z15="인천우련(인천항)",Z15="인천항8부두(인천항)"),"KRINC",VLOOKUP(K15,GLAPS정리!$BB$2:$BC$33,2,0)))))))</f>
        <v/>
      </c>
      <c r="AL15" s="2" t="str">
        <f>IF($B15="","",$AL$1)</f>
        <v/>
      </c>
      <c r="AN15" s="70" t="str">
        <f>IF($B15="","",TEXT(B15,"YYYY-MM-DD"))</f>
        <v/>
      </c>
      <c r="AO15" s="2" t="str">
        <f>IF($B15="","",IF(E15="오전", "0800", IF(E15="오후", "1300", IF(E15="잔업", "1800", ""))))</f>
        <v/>
      </c>
      <c r="AP15" s="2" t="str">
        <f>IF($B15="","",IF(C15="","",VLOOKUP(C15,GLAPS정리!$AX$2:$AZ$17,3,0)))</f>
        <v/>
      </c>
      <c r="AR15" s="2" t="str">
        <f>IF($B15="","",IF(X15="","",X15))</f>
        <v/>
      </c>
      <c r="AX15" s="2" t="str">
        <f>IF($B15="","",IF(L15="","",VLOOKUP(L15,GLAPS정리!$V$3:$W$180,2,0)))</f>
        <v/>
      </c>
      <c r="BM15" s="2" t="str">
        <f>IF($B15="","",IF(AND(Q15=1,OR(P15="",P15="위험물")), "2210", IF(AND(Q15=1,OR(P15="리퍼",P15="위험물리퍼")), "2230", IF(AND(S15=1,OR(P15="",P15="위험물")), "4510", IF(AND(S15=1,OR(P15="리퍼",P15="위험물리퍼")), "4530", IF(AND(R15=1,OR(P15="",P15="위험물")), "4210", IF(AND(R15=1,P15="리퍼"), "4230", " ")))))))</f>
        <v/>
      </c>
      <c r="BN15" s="2" t="str">
        <f>IF($B15="","",$BN$1)</f>
        <v/>
      </c>
      <c r="BR15" s="2" t="str">
        <f>IF($B15="","",IF(OR(P15="리퍼",P15="위험물리퍼"),"Y",""))</f>
        <v/>
      </c>
      <c r="BS15" s="2" t="str">
        <f>IF($B15="","",IF(OR(P15="위험물",P15="위험물리퍼"),"Y",""))</f>
        <v/>
      </c>
      <c r="BV15" s="2" t="str">
        <f>IF($B15="","",IF(O15="","",VLOOKUP(O15,GLAPS정리!$BH$2:$BI$94,2,0)))</f>
        <v/>
      </c>
      <c r="BW15" s="2" t="str">
        <f>IF($B15="","",IF(OR(Z15="동원",Z15="세방",Z15="한타"),"",IFERROR(INDEX(GLAPS정리!$BI$2:$BI$101,MATCH(Z15,GLAPS정리!$BH$2:$BH$101,0)),"")))</f>
        <v/>
      </c>
      <c r="BX15" s="2" t="str">
        <f>IF($B15="","",IF(Z15="","",IFERROR(VLOOKUP(Z15,GLAPS정리!$AX$2:$AZ$17,3,0),"")))</f>
        <v/>
      </c>
      <c r="BZ15" s="2" t="str">
        <f>IF($B15="","",IF(H15="","",VLOOKUP(H15,GLAPS정리!$L$3:$O$133,2,0)))</f>
        <v/>
      </c>
      <c r="CA15" s="2" t="str">
        <f>IF($B15="","",IF(V15="공휴일", 10, IF(V15="야간", 20, IF(V15="위험물", 30, IF(V15="중량", 40, "")))))</f>
        <v/>
      </c>
      <c r="CL15" s="2" t="str">
        <f>IF($B15="","",IF(AI15="","",VLOOKUP(AI15,GLAPS정리!$BT$3:$BV$26,3,0)))</f>
        <v/>
      </c>
    </row>
    <row r="16" spans="1:90" ht="20.45" customHeight="1">
      <c r="A16" s="70"/>
      <c r="B16" s="13" t="str">
        <f>IF(GLAPS자동계산!C15="","",GLAPS자동계산!C15)</f>
        <v/>
      </c>
      <c r="C16" s="13" t="str">
        <f>IF(GLAPS자동계산!D15="","",GLAPS자동계산!D15)</f>
        <v/>
      </c>
      <c r="D16" s="16" t="str">
        <f>IF(GLAPS자동계산!E15="","",GLAPS자동계산!E15)</f>
        <v/>
      </c>
      <c r="E16" s="13" t="str">
        <f>IF(GLAPS자동계산!F15="","",GLAPS자동계산!F15)</f>
        <v/>
      </c>
      <c r="F16" s="13" t="str">
        <f>IF(GLAPS자동계산!G15="","",GLAPS자동계산!G15)</f>
        <v/>
      </c>
      <c r="G16" s="13" t="str">
        <f>IF(GLAPS자동계산!H15="","",GLAPS자동계산!H15)</f>
        <v/>
      </c>
      <c r="H16" s="13" t="str">
        <f>IF(GLAPS자동계산!I15="","",GLAPS자동계산!I15)</f>
        <v/>
      </c>
      <c r="I16" s="13" t="str">
        <f>IF(GLAPS자동계산!J15="","",GLAPS자동계산!J15)</f>
        <v/>
      </c>
      <c r="J16" s="13" t="str">
        <f>IF(GLAPS자동계산!K15="","",GLAPS자동계산!K15)</f>
        <v/>
      </c>
      <c r="K16" s="13" t="str">
        <f>IF(GLAPS자동계산!L15="","",GLAPS자동계산!L15)</f>
        <v/>
      </c>
      <c r="L16" s="13" t="str">
        <f>IF(GLAPS자동계산!M15="","",GLAPS자동계산!M15)</f>
        <v/>
      </c>
      <c r="M16" s="13" t="str">
        <f>IF(GLAPS자동계산!N15="","",GLAPS자동계산!N15)</f>
        <v/>
      </c>
      <c r="N16" s="13" t="str">
        <f>IF(GLAPS자동계산!O15="","",GLAPS자동계산!O15)</f>
        <v/>
      </c>
      <c r="O16" s="3" t="str">
        <f>IF(GLAPS자동계산!P15="","",GLAPS자동계산!P15)</f>
        <v/>
      </c>
      <c r="P16" s="2" t="str">
        <f>IF(GLAPS자동계산!Q15="","",GLAPS자동계산!Q15)</f>
        <v/>
      </c>
      <c r="Q16" s="3" t="str">
        <f>IF(GLAPS자동계산!R15="","",GLAPS자동계산!R15)</f>
        <v/>
      </c>
      <c r="R16" s="3" t="str">
        <f>IF(GLAPS자동계산!S15="","",GLAPS자동계산!S15)</f>
        <v/>
      </c>
      <c r="S16" s="3" t="str">
        <f>IF(GLAPS자동계산!T15="","",GLAPS자동계산!T15)</f>
        <v/>
      </c>
      <c r="T16" s="3" t="str">
        <f>IF(GLAPS자동계산!U15="","",GLAPS자동계산!U15)</f>
        <v/>
      </c>
      <c r="U16" s="3" t="str">
        <f>IF(GLAPS자동계산!V15="","",GLAPS자동계산!V15)</f>
        <v/>
      </c>
      <c r="V16" s="3" t="str">
        <f>IF(GLAPS자동계산!W15="","",GLAPS자동계산!W15)</f>
        <v/>
      </c>
      <c r="W16" s="14" t="str">
        <f>IF(GLAPS자동계산!X15="","",GLAPS자동계산!X15)</f>
        <v/>
      </c>
      <c r="X16" s="13" t="str">
        <f>IF(GLAPS자동계산!Y15="","",GLAPS자동계산!Y15)</f>
        <v/>
      </c>
      <c r="Y16" s="13" t="str">
        <f>IF(GLAPS자동계산!Z15="","",GLAPS자동계산!Z15)</f>
        <v/>
      </c>
      <c r="Z16" s="91" t="str">
        <f>IF(GLAPS자동계산!AA15="","",GLAPS자동계산!AA15)</f>
        <v/>
      </c>
      <c r="AA16" s="14" t="str">
        <f>IF(GLAPS자동계산!AB15="","",GLAPS자동계산!AB15)</f>
        <v/>
      </c>
      <c r="AC16" s="2" t="str">
        <f>IF($B16="","",$AC$1)</f>
        <v/>
      </c>
      <c r="AD16" s="2" t="str">
        <f>IF($B16="","",IFERROR(INDEX(GLAPS정리!$D$2:$D$50,MATCH(I16,GLAPS정리!$A$2:$A$50,0)),IFERROR(INDEX(GLAPS정리!$D$2:$D$50,MATCH(I16,GLAPS정리!$B$2:$B$50,0)),"")))</f>
        <v/>
      </c>
      <c r="AF16" s="2" t="str">
        <f>IF($B16="","",$AF$1)</f>
        <v/>
      </c>
      <c r="AI16" s="2" t="str">
        <f>IF($B16="","",IF(F16="","",VLOOKUP(F16,GLAPS정리!$G$3:$J$114,2,0)))</f>
        <v/>
      </c>
      <c r="AJ16" s="2" t="str">
        <f>IF($B16="","",IF(Z16="울산정일","KRONS",IF(Z16="울산신항","KRUSN",IF(OR(Z16="선광종합물류(인천여객)",Z16="인천여객(인천여객)"),"KRINF",IF(OR(Z16="선광인천보세(인천신)",Z16="한진인천(인천신)",Z16="선광인천신항(인천신)",Z16="인천더로지스(인천신)"),"KRINN",IF(OR(Z16="인천진아(인천항)",Z16="인천E1(인천항)",Z16="인천SM경인터미널(인천항)",Z16="인천항(인천항)",Z16="인천우련(인천항)",Z16="인천항8부두(인천항)"),"KRINC",VLOOKUP(K16,GLAPS정리!$BB$2:$BC$33,2,0)))))))</f>
        <v/>
      </c>
      <c r="AL16" s="2" t="str">
        <f>IF($B16="","",$AL$1)</f>
        <v/>
      </c>
      <c r="AN16" s="70" t="str">
        <f>IF($B16="","",TEXT(B16,"YYYY-MM-DD"))</f>
        <v/>
      </c>
      <c r="AO16" s="2" t="str">
        <f>IF($B16="","",IF(E16="오전", "0800", IF(E16="오후", "1300", IF(E16="잔업", "1800", ""))))</f>
        <v/>
      </c>
      <c r="AP16" s="2" t="str">
        <f>IF($B16="","",IF(C16="","",VLOOKUP(C16,GLAPS정리!$AX$2:$AZ$17,3,0)))</f>
        <v/>
      </c>
      <c r="AR16" s="2" t="str">
        <f>IF($B16="","",IF(X16="","",X16))</f>
        <v/>
      </c>
      <c r="AX16" s="2" t="str">
        <f>IF($B16="","",IF(L16="","",VLOOKUP(L16,GLAPS정리!$V$3:$W$180,2,0)))</f>
        <v/>
      </c>
      <c r="BM16" s="2" t="str">
        <f>IF($B16="","",IF(AND(Q16=1,OR(P16="",P16="위험물")), "2210", IF(AND(Q16=1,OR(P16="리퍼",P16="위험물리퍼")), "2230", IF(AND(S16=1,OR(P16="",P16="위험물")), "4510", IF(AND(S16=1,OR(P16="리퍼",P16="위험물리퍼")), "4530", IF(AND(R16=1,OR(P16="",P16="위험물")), "4210", IF(AND(R16=1,P16="리퍼"), "4230", " ")))))))</f>
        <v/>
      </c>
      <c r="BN16" s="2" t="str">
        <f>IF($B16="","",$BN$1)</f>
        <v/>
      </c>
      <c r="BR16" s="2" t="str">
        <f>IF($B16="","",IF(OR(P16="리퍼",P16="위험물리퍼"),"Y",""))</f>
        <v/>
      </c>
      <c r="BS16" s="2" t="str">
        <f>IF($B16="","",IF(OR(P16="위험물",P16="위험물리퍼"),"Y",""))</f>
        <v/>
      </c>
      <c r="BV16" s="2" t="str">
        <f>IF($B16="","",IF(O16="","",VLOOKUP(O16,GLAPS정리!$BH$2:$BI$94,2,0)))</f>
        <v/>
      </c>
      <c r="BW16" s="2" t="str">
        <f>IF($B16="","",IF(OR(Z16="동원",Z16="세방",Z16="한타"),"",IFERROR(INDEX(GLAPS정리!$BI$2:$BI$101,MATCH(Z16,GLAPS정리!$BH$2:$BH$101,0)),"")))</f>
        <v/>
      </c>
      <c r="BX16" s="2" t="str">
        <f>IF($B16="","",IF(Z16="","",IFERROR(VLOOKUP(Z16,GLAPS정리!$AX$2:$AZ$17,3,0),"")))</f>
        <v/>
      </c>
      <c r="BZ16" s="2" t="str">
        <f>IF($B16="","",IF(H16="","",VLOOKUP(H16,GLAPS정리!$L$3:$O$133,2,0)))</f>
        <v/>
      </c>
      <c r="CA16" s="2" t="str">
        <f>IF($B16="","",IF(V16="공휴일", 10, IF(V16="야간", 20, IF(V16="위험물", 30, IF(V16="중량", 40, "")))))</f>
        <v/>
      </c>
      <c r="CL16" s="2" t="str">
        <f>IF($B16="","",IF(AI16="","",VLOOKUP(AI16,GLAPS정리!$BT$3:$BV$26,3,0)))</f>
        <v/>
      </c>
    </row>
    <row r="17" spans="1:90" ht="20.45" customHeight="1">
      <c r="A17" s="70"/>
      <c r="B17" s="13" t="str">
        <f>IF(GLAPS자동계산!C16="","",GLAPS자동계산!C16)</f>
        <v/>
      </c>
      <c r="C17" s="13" t="str">
        <f>IF(GLAPS자동계산!D16="","",GLAPS자동계산!D16)</f>
        <v/>
      </c>
      <c r="D17" s="16" t="str">
        <f>IF(GLAPS자동계산!E16="","",GLAPS자동계산!E16)</f>
        <v/>
      </c>
      <c r="E17" s="13" t="str">
        <f>IF(GLAPS자동계산!F16="","",GLAPS자동계산!F16)</f>
        <v/>
      </c>
      <c r="F17" s="13" t="str">
        <f>IF(GLAPS자동계산!G16="","",GLAPS자동계산!G16)</f>
        <v/>
      </c>
      <c r="G17" s="13" t="str">
        <f>IF(GLAPS자동계산!H16="","",GLAPS자동계산!H16)</f>
        <v/>
      </c>
      <c r="H17" s="13" t="str">
        <f>IF(GLAPS자동계산!I16="","",GLAPS자동계산!I16)</f>
        <v/>
      </c>
      <c r="I17" s="13" t="str">
        <f>IF(GLAPS자동계산!J16="","",GLAPS자동계산!J16)</f>
        <v/>
      </c>
      <c r="J17" s="13" t="str">
        <f>IF(GLAPS자동계산!K16="","",GLAPS자동계산!K16)</f>
        <v/>
      </c>
      <c r="K17" s="13" t="str">
        <f>IF(GLAPS자동계산!L16="","",GLAPS자동계산!L16)</f>
        <v/>
      </c>
      <c r="L17" s="13" t="str">
        <f>IF(GLAPS자동계산!M16="","",GLAPS자동계산!M16)</f>
        <v/>
      </c>
      <c r="M17" s="13" t="str">
        <f>IF(GLAPS자동계산!N16="","",GLAPS자동계산!N16)</f>
        <v/>
      </c>
      <c r="N17" s="13" t="str">
        <f>IF(GLAPS자동계산!O16="","",GLAPS자동계산!O16)</f>
        <v/>
      </c>
      <c r="O17" s="3" t="str">
        <f>IF(GLAPS자동계산!P16="","",GLAPS자동계산!P16)</f>
        <v/>
      </c>
      <c r="P17" s="2" t="str">
        <f>IF(GLAPS자동계산!Q16="","",GLAPS자동계산!Q16)</f>
        <v/>
      </c>
      <c r="Q17" s="3" t="str">
        <f>IF(GLAPS자동계산!R16="","",GLAPS자동계산!R16)</f>
        <v/>
      </c>
      <c r="R17" s="3" t="str">
        <f>IF(GLAPS자동계산!S16="","",GLAPS자동계산!S16)</f>
        <v/>
      </c>
      <c r="S17" s="3" t="str">
        <f>IF(GLAPS자동계산!T16="","",GLAPS자동계산!T16)</f>
        <v/>
      </c>
      <c r="T17" s="3" t="str">
        <f>IF(GLAPS자동계산!U16="","",GLAPS자동계산!U16)</f>
        <v/>
      </c>
      <c r="U17" s="3" t="str">
        <f>IF(GLAPS자동계산!V16="","",GLAPS자동계산!V16)</f>
        <v/>
      </c>
      <c r="V17" s="3" t="str">
        <f>IF(GLAPS자동계산!W16="","",GLAPS자동계산!W16)</f>
        <v/>
      </c>
      <c r="W17" s="14" t="str">
        <f>IF(GLAPS자동계산!X16="","",GLAPS자동계산!X16)</f>
        <v/>
      </c>
      <c r="X17" s="13" t="str">
        <f>IF(GLAPS자동계산!Y16="","",GLAPS자동계산!Y16)</f>
        <v/>
      </c>
      <c r="Y17" s="13" t="str">
        <f>IF(GLAPS자동계산!Z16="","",GLAPS자동계산!Z16)</f>
        <v/>
      </c>
      <c r="Z17" s="91" t="str">
        <f>IF(GLAPS자동계산!AA16="","",GLAPS자동계산!AA16)</f>
        <v/>
      </c>
      <c r="AA17" s="14" t="str">
        <f>IF(GLAPS자동계산!AB16="","",GLAPS자동계산!AB16)</f>
        <v/>
      </c>
      <c r="AC17" s="2" t="str">
        <f>IF($B17="","",$AC$1)</f>
        <v/>
      </c>
      <c r="AD17" s="2" t="str">
        <f>IF($B17="","",IFERROR(INDEX(GLAPS정리!$D$2:$D$50,MATCH(I17,GLAPS정리!$A$2:$A$50,0)),IFERROR(INDEX(GLAPS정리!$D$2:$D$50,MATCH(I17,GLAPS정리!$B$2:$B$50,0)),"")))</f>
        <v/>
      </c>
      <c r="AF17" s="2" t="str">
        <f>IF($B17="","",$AF$1)</f>
        <v/>
      </c>
      <c r="AI17" s="2" t="str">
        <f>IF($B17="","",IF(F17="","",VLOOKUP(F17,GLAPS정리!$G$3:$J$114,2,0)))</f>
        <v/>
      </c>
      <c r="AJ17" s="2" t="str">
        <f>IF($B17="","",IF(Z17="울산정일","KRONS",IF(Z17="울산신항","KRUSN",IF(OR(Z17="선광종합물류(인천여객)",Z17="인천여객(인천여객)"),"KRINF",IF(OR(Z17="선광인천보세(인천신)",Z17="한진인천(인천신)",Z17="선광인천신항(인천신)",Z17="인천더로지스(인천신)"),"KRINN",IF(OR(Z17="인천진아(인천항)",Z17="인천E1(인천항)",Z17="인천SM경인터미널(인천항)",Z17="인천항(인천항)",Z17="인천우련(인천항)",Z17="인천항8부두(인천항)"),"KRINC",VLOOKUP(K17,GLAPS정리!$BB$2:$BC$33,2,0)))))))</f>
        <v/>
      </c>
      <c r="AL17" s="2" t="str">
        <f>IF($B17="","",$AL$1)</f>
        <v/>
      </c>
      <c r="AN17" s="70" t="str">
        <f>IF($B17="","",TEXT(B17,"YYYY-MM-DD"))</f>
        <v/>
      </c>
      <c r="AO17" s="2" t="str">
        <f>IF($B17="","",IF(E17="오전", "0800", IF(E17="오후", "1300", IF(E17="잔업", "1800", ""))))</f>
        <v/>
      </c>
      <c r="AP17" s="2" t="str">
        <f>IF($B17="","",IF(C17="","",VLOOKUP(C17,GLAPS정리!$AX$2:$AZ$17,3,0)))</f>
        <v/>
      </c>
      <c r="AR17" s="2" t="str">
        <f>IF($B17="","",IF(X17="","",X17))</f>
        <v/>
      </c>
      <c r="AX17" s="2" t="str">
        <f>IF($B17="","",IF(L17="","",VLOOKUP(L17,GLAPS정리!$V$3:$W$180,2,0)))</f>
        <v/>
      </c>
      <c r="BM17" s="2" t="str">
        <f>IF($B17="","",IF(AND(Q17=1,OR(P17="",P17="위험물")), "2210", IF(AND(Q17=1,OR(P17="리퍼",P17="위험물리퍼")), "2230", IF(AND(S17=1,OR(P17="",P17="위험물")), "4510", IF(AND(S17=1,OR(P17="리퍼",P17="위험물리퍼")), "4530", IF(AND(R17=1,OR(P17="",P17="위험물")), "4210", IF(AND(R17=1,P17="리퍼"), "4230", " ")))))))</f>
        <v/>
      </c>
      <c r="BN17" s="2" t="str">
        <f>IF($B17="","",$BN$1)</f>
        <v/>
      </c>
      <c r="BR17" s="2" t="str">
        <f>IF($B17="","",IF(OR(P17="리퍼",P17="위험물리퍼"),"Y",""))</f>
        <v/>
      </c>
      <c r="BS17" s="2" t="str">
        <f>IF($B17="","",IF(OR(P17="위험물",P17="위험물리퍼"),"Y",""))</f>
        <v/>
      </c>
      <c r="BV17" s="2" t="str">
        <f>IF($B17="","",IF(O17="","",VLOOKUP(O17,GLAPS정리!$BH$2:$BI$94,2,0)))</f>
        <v/>
      </c>
      <c r="BW17" s="2" t="str">
        <f>IF($B17="","",IF(OR(Z17="동원",Z17="세방",Z17="한타"),"",IFERROR(INDEX(GLAPS정리!$BI$2:$BI$101,MATCH(Z17,GLAPS정리!$BH$2:$BH$101,0)),"")))</f>
        <v/>
      </c>
      <c r="BX17" s="2" t="str">
        <f>IF($B17="","",IF(Z17="","",IFERROR(VLOOKUP(Z17,GLAPS정리!$AX$2:$AZ$17,3,0),"")))</f>
        <v/>
      </c>
      <c r="BZ17" s="2" t="str">
        <f>IF($B17="","",IF(H17="","",VLOOKUP(H17,GLAPS정리!$L$3:$O$133,2,0)))</f>
        <v/>
      </c>
      <c r="CA17" s="2" t="str">
        <f>IF($B17="","",IF(V17="공휴일", 10, IF(V17="야간", 20, IF(V17="위험물", 30, IF(V17="중량", 40, "")))))</f>
        <v/>
      </c>
      <c r="CL17" s="2" t="str">
        <f>IF($B17="","",IF(AI17="","",VLOOKUP(AI17,GLAPS정리!$BT$3:$BV$26,3,0)))</f>
        <v/>
      </c>
    </row>
    <row r="18" spans="1:90" ht="20.45" customHeight="1">
      <c r="A18" s="70"/>
      <c r="B18" s="13" t="str">
        <f>IF(GLAPS자동계산!C17="","",GLAPS자동계산!C17)</f>
        <v/>
      </c>
      <c r="C18" s="13" t="str">
        <f>IF(GLAPS자동계산!D17="","",GLAPS자동계산!D17)</f>
        <v/>
      </c>
      <c r="D18" s="16" t="str">
        <f>IF(GLAPS자동계산!E17="","",GLAPS자동계산!E17)</f>
        <v/>
      </c>
      <c r="E18" s="13" t="str">
        <f>IF(GLAPS자동계산!F17="","",GLAPS자동계산!F17)</f>
        <v/>
      </c>
      <c r="F18" s="13" t="str">
        <f>IF(GLAPS자동계산!G17="","",GLAPS자동계산!G17)</f>
        <v/>
      </c>
      <c r="G18" s="13" t="str">
        <f>IF(GLAPS자동계산!H17="","",GLAPS자동계산!H17)</f>
        <v/>
      </c>
      <c r="H18" s="13" t="str">
        <f>IF(GLAPS자동계산!I17="","",GLAPS자동계산!I17)</f>
        <v/>
      </c>
      <c r="I18" s="13" t="str">
        <f>IF(GLAPS자동계산!J17="","",GLAPS자동계산!J17)</f>
        <v/>
      </c>
      <c r="J18" s="13" t="str">
        <f>IF(GLAPS자동계산!K17="","",GLAPS자동계산!K17)</f>
        <v/>
      </c>
      <c r="K18" s="13" t="str">
        <f>IF(GLAPS자동계산!L17="","",GLAPS자동계산!L17)</f>
        <v/>
      </c>
      <c r="L18" s="13" t="str">
        <f>IF(GLAPS자동계산!M17="","",GLAPS자동계산!M17)</f>
        <v/>
      </c>
      <c r="M18" s="13" t="str">
        <f>IF(GLAPS자동계산!N17="","",GLAPS자동계산!N17)</f>
        <v/>
      </c>
      <c r="N18" s="13" t="str">
        <f>IF(GLAPS자동계산!O17="","",GLAPS자동계산!O17)</f>
        <v/>
      </c>
      <c r="O18" s="3" t="str">
        <f>IF(GLAPS자동계산!P17="","",GLAPS자동계산!P17)</f>
        <v/>
      </c>
      <c r="P18" s="2" t="str">
        <f>IF(GLAPS자동계산!Q17="","",GLAPS자동계산!Q17)</f>
        <v/>
      </c>
      <c r="Q18" s="3" t="str">
        <f>IF(GLAPS자동계산!R17="","",GLAPS자동계산!R17)</f>
        <v/>
      </c>
      <c r="R18" s="3" t="str">
        <f>IF(GLAPS자동계산!S17="","",GLAPS자동계산!S17)</f>
        <v/>
      </c>
      <c r="S18" s="3" t="str">
        <f>IF(GLAPS자동계산!T17="","",GLAPS자동계산!T17)</f>
        <v/>
      </c>
      <c r="T18" s="3" t="str">
        <f>IF(GLAPS자동계산!U17="","",GLAPS자동계산!U17)</f>
        <v/>
      </c>
      <c r="U18" s="3" t="str">
        <f>IF(GLAPS자동계산!V17="","",GLAPS자동계산!V17)</f>
        <v/>
      </c>
      <c r="V18" s="3" t="str">
        <f>IF(GLAPS자동계산!W17="","",GLAPS자동계산!W17)</f>
        <v/>
      </c>
      <c r="W18" s="14" t="str">
        <f>IF(GLAPS자동계산!X17="","",GLAPS자동계산!X17)</f>
        <v/>
      </c>
      <c r="X18" s="13" t="str">
        <f>IF(GLAPS자동계산!Y17="","",GLAPS자동계산!Y17)</f>
        <v/>
      </c>
      <c r="Y18" s="13" t="str">
        <f>IF(GLAPS자동계산!Z17="","",GLAPS자동계산!Z17)</f>
        <v/>
      </c>
      <c r="Z18" s="91" t="str">
        <f>IF(GLAPS자동계산!AA17="","",GLAPS자동계산!AA17)</f>
        <v/>
      </c>
      <c r="AA18" s="14" t="str">
        <f>IF(GLAPS자동계산!AB17="","",GLAPS자동계산!AB17)</f>
        <v/>
      </c>
      <c r="AC18" s="2" t="str">
        <f>IF($B18="","",$AC$1)</f>
        <v/>
      </c>
      <c r="AD18" s="2" t="str">
        <f>IF($B18="","",IFERROR(INDEX(GLAPS정리!$D$2:$D$50,MATCH(I18,GLAPS정리!$A$2:$A$50,0)),IFERROR(INDEX(GLAPS정리!$D$2:$D$50,MATCH(I18,GLAPS정리!$B$2:$B$50,0)),"")))</f>
        <v/>
      </c>
      <c r="AF18" s="2" t="str">
        <f>IF($B18="","",$AF$1)</f>
        <v/>
      </c>
      <c r="AI18" s="2" t="str">
        <f>IF($B18="","",IF(F18="","",VLOOKUP(F18,GLAPS정리!$G$3:$J$114,2,0)))</f>
        <v/>
      </c>
      <c r="AJ18" s="2" t="str">
        <f>IF($B18="","",IF(Z18="울산정일","KRONS",IF(Z18="울산신항","KRUSN",IF(OR(Z18="선광종합물류(인천여객)",Z18="인천여객(인천여객)"),"KRINF",IF(OR(Z18="선광인천보세(인천신)",Z18="한진인천(인천신)",Z18="선광인천신항(인천신)",Z18="인천더로지스(인천신)"),"KRINN",IF(OR(Z18="인천진아(인천항)",Z18="인천E1(인천항)",Z18="인천SM경인터미널(인천항)",Z18="인천항(인천항)",Z18="인천우련(인천항)",Z18="인천항8부두(인천항)"),"KRINC",VLOOKUP(K18,GLAPS정리!$BB$2:$BC$33,2,0)))))))</f>
        <v/>
      </c>
      <c r="AL18" s="2" t="str">
        <f>IF($B18="","",$AL$1)</f>
        <v/>
      </c>
      <c r="AN18" s="70" t="str">
        <f>IF($B18="","",TEXT(B18,"YYYY-MM-DD"))</f>
        <v/>
      </c>
      <c r="AO18" s="2" t="str">
        <f>IF($B18="","",IF(E18="오전", "0800", IF(E18="오후", "1300", IF(E18="잔업", "1800", ""))))</f>
        <v/>
      </c>
      <c r="AP18" s="2" t="str">
        <f>IF($B18="","",IF(C18="","",VLOOKUP(C18,GLAPS정리!$AX$2:$AZ$17,3,0)))</f>
        <v/>
      </c>
      <c r="AR18" s="2" t="str">
        <f>IF($B18="","",IF(X18="","",X18))</f>
        <v/>
      </c>
      <c r="AX18" s="2" t="str">
        <f>IF($B18="","",IF(L18="","",VLOOKUP(L18,GLAPS정리!$V$3:$W$180,2,0)))</f>
        <v/>
      </c>
      <c r="BM18" s="2" t="str">
        <f>IF($B18="","",IF(AND(Q18=1,OR(P18="",P18="위험물")), "2210", IF(AND(Q18=1,OR(P18="리퍼",P18="위험물리퍼")), "2230", IF(AND(S18=1,OR(P18="",P18="위험물")), "4510", IF(AND(S18=1,OR(P18="리퍼",P18="위험물리퍼")), "4530", IF(AND(R18=1,OR(P18="",P18="위험물")), "4210", IF(AND(R18=1,P18="리퍼"), "4230", " ")))))))</f>
        <v/>
      </c>
      <c r="BN18" s="2" t="str">
        <f>IF($B18="","",$BN$1)</f>
        <v/>
      </c>
      <c r="BR18" s="2" t="str">
        <f>IF($B18="","",IF(OR(P18="리퍼",P18="위험물리퍼"),"Y",""))</f>
        <v/>
      </c>
      <c r="BS18" s="2" t="str">
        <f>IF($B18="","",IF(OR(P18="위험물",P18="위험물리퍼"),"Y",""))</f>
        <v/>
      </c>
      <c r="BV18" s="2" t="str">
        <f>IF($B18="","",IF(O18="","",VLOOKUP(O18,GLAPS정리!$BH$2:$BI$94,2,0)))</f>
        <v/>
      </c>
      <c r="BW18" s="2" t="str">
        <f>IF($B18="","",IF(OR(Z18="동원",Z18="세방",Z18="한타"),"",IFERROR(INDEX(GLAPS정리!$BI$2:$BI$101,MATCH(Z18,GLAPS정리!$BH$2:$BH$101,0)),"")))</f>
        <v/>
      </c>
      <c r="BX18" s="2" t="str">
        <f>IF($B18="","",IF(Z18="","",IFERROR(VLOOKUP(Z18,GLAPS정리!$AX$2:$AZ$17,3,0),"")))</f>
        <v/>
      </c>
      <c r="BZ18" s="2" t="str">
        <f>IF($B18="","",IF(H18="","",VLOOKUP(H18,GLAPS정리!$L$3:$O$133,2,0)))</f>
        <v/>
      </c>
      <c r="CA18" s="2" t="str">
        <f>IF($B18="","",IF(V18="공휴일", 10, IF(V18="야간", 20, IF(V18="위험물", 30, IF(V18="중량", 40, "")))))</f>
        <v/>
      </c>
      <c r="CL18" s="2" t="str">
        <f>IF($B18="","",IF(AI18="","",VLOOKUP(AI18,GLAPS정리!$BT$3:$BV$26,3,0)))</f>
        <v/>
      </c>
    </row>
    <row r="19" spans="1:90" ht="20.45" customHeight="1">
      <c r="B19" s="13" t="str">
        <f>IF(GLAPS자동계산!C18="","",GLAPS자동계산!C18)</f>
        <v/>
      </c>
      <c r="C19" s="13" t="str">
        <f>IF(GLAPS자동계산!D18="","",GLAPS자동계산!D18)</f>
        <v/>
      </c>
      <c r="D19" s="16" t="str">
        <f>IF(GLAPS자동계산!E18="","",GLAPS자동계산!E18)</f>
        <v/>
      </c>
      <c r="E19" s="13" t="str">
        <f>IF(GLAPS자동계산!F18="","",GLAPS자동계산!F18)</f>
        <v/>
      </c>
      <c r="F19" s="13" t="str">
        <f>IF(GLAPS자동계산!G18="","",GLAPS자동계산!G18)</f>
        <v/>
      </c>
      <c r="G19" s="13" t="str">
        <f>IF(GLAPS자동계산!H18="","",GLAPS자동계산!H18)</f>
        <v/>
      </c>
      <c r="H19" s="13" t="str">
        <f>IF(GLAPS자동계산!I18="","",GLAPS자동계산!I18)</f>
        <v/>
      </c>
      <c r="I19" s="13" t="str">
        <f>IF(GLAPS자동계산!J18="","",GLAPS자동계산!J18)</f>
        <v/>
      </c>
      <c r="J19" s="13" t="str">
        <f>IF(GLAPS자동계산!K18="","",GLAPS자동계산!K18)</f>
        <v/>
      </c>
      <c r="K19" s="13" t="str">
        <f>IF(GLAPS자동계산!L18="","",GLAPS자동계산!L18)</f>
        <v/>
      </c>
      <c r="L19" s="13" t="str">
        <f>IF(GLAPS자동계산!M18="","",GLAPS자동계산!M18)</f>
        <v/>
      </c>
      <c r="M19" s="13" t="str">
        <f>IF(GLAPS자동계산!N18="","",GLAPS자동계산!N18)</f>
        <v/>
      </c>
      <c r="N19" s="13" t="str">
        <f>IF(GLAPS자동계산!O18="","",GLAPS자동계산!O18)</f>
        <v/>
      </c>
      <c r="O19" s="3" t="str">
        <f>IF(GLAPS자동계산!P18="","",GLAPS자동계산!P18)</f>
        <v/>
      </c>
      <c r="P19" s="2" t="str">
        <f>IF(GLAPS자동계산!Q18="","",GLAPS자동계산!Q18)</f>
        <v/>
      </c>
      <c r="Q19" s="3" t="str">
        <f>IF(GLAPS자동계산!R18="","",GLAPS자동계산!R18)</f>
        <v/>
      </c>
      <c r="R19" s="3" t="str">
        <f>IF(GLAPS자동계산!S18="","",GLAPS자동계산!S18)</f>
        <v/>
      </c>
      <c r="S19" s="3" t="str">
        <f>IF(GLAPS자동계산!T18="","",GLAPS자동계산!T18)</f>
        <v/>
      </c>
      <c r="T19" s="3" t="str">
        <f>IF(GLAPS자동계산!U18="","",GLAPS자동계산!U18)</f>
        <v/>
      </c>
      <c r="U19" s="3" t="str">
        <f>IF(GLAPS자동계산!V18="","",GLAPS자동계산!V18)</f>
        <v/>
      </c>
      <c r="V19" s="3" t="str">
        <f>IF(GLAPS자동계산!W18="","",GLAPS자동계산!W18)</f>
        <v/>
      </c>
      <c r="W19" s="14" t="str">
        <f>IF(GLAPS자동계산!X18="","",GLAPS자동계산!X18)</f>
        <v/>
      </c>
      <c r="X19" s="13" t="str">
        <f>IF(GLAPS자동계산!Y18="","",GLAPS자동계산!Y18)</f>
        <v/>
      </c>
      <c r="Y19" s="13" t="str">
        <f>IF(GLAPS자동계산!Z18="","",GLAPS자동계산!Z18)</f>
        <v/>
      </c>
      <c r="Z19" s="91" t="str">
        <f>IF(GLAPS자동계산!AA18="","",GLAPS자동계산!AA18)</f>
        <v/>
      </c>
      <c r="AA19" s="14" t="str">
        <f>IF(GLAPS자동계산!AB18="","",GLAPS자동계산!AB18)</f>
        <v/>
      </c>
      <c r="AC19" s="2" t="str">
        <f>IF($B19="","",$AC$1)</f>
        <v/>
      </c>
      <c r="AD19" s="2" t="str">
        <f>IF($B19="","",IFERROR(INDEX(GLAPS정리!$D$2:$D$50,MATCH(I19,GLAPS정리!$A$2:$A$50,0)),IFERROR(INDEX(GLAPS정리!$D$2:$D$50,MATCH(I19,GLAPS정리!$B$2:$B$50,0)),"")))</f>
        <v/>
      </c>
      <c r="AF19" s="2" t="str">
        <f>IF($B19="","",$AF$1)</f>
        <v/>
      </c>
      <c r="AI19" s="2" t="str">
        <f>IF($B19="","",IF(F19="","",VLOOKUP(F19,GLAPS정리!$G$3:$J$114,2,0)))</f>
        <v/>
      </c>
      <c r="AJ19" s="2" t="str">
        <f>IF($B19="","",IF(Z19="울산정일","KRONS",IF(Z19="울산신항","KRUSN",IF(OR(Z19="선광종합물류(인천여객)",Z19="인천여객(인천여객)"),"KRINF",IF(OR(Z19="선광인천보세(인천신)",Z19="한진인천(인천신)",Z19="선광인천신항(인천신)",Z19="인천더로지스(인천신)"),"KRINN",IF(OR(Z19="인천진아(인천항)",Z19="인천E1(인천항)",Z19="인천SM경인터미널(인천항)",Z19="인천항(인천항)",Z19="인천우련(인천항)",Z19="인천항8부두(인천항)"),"KRINC",VLOOKUP(K19,GLAPS정리!$BB$2:$BC$33,2,0)))))))</f>
        <v/>
      </c>
      <c r="AL19" s="2" t="str">
        <f>IF($B19="","",$AL$1)</f>
        <v/>
      </c>
      <c r="AN19" s="70" t="str">
        <f>IF($B19="","",TEXT(B19,"YYYY-MM-DD"))</f>
        <v/>
      </c>
      <c r="AO19" s="2" t="str">
        <f>IF($B19="","",IF(E19="오전", "0800", IF(E19="오후", "1300", IF(E19="잔업", "1800", ""))))</f>
        <v/>
      </c>
      <c r="AP19" s="2" t="str">
        <f>IF($B19="","",IF(C19="","",VLOOKUP(C19,GLAPS정리!$AX$2:$AZ$17,3,0)))</f>
        <v/>
      </c>
      <c r="AR19" s="2" t="str">
        <f>IF($B19="","",IF(X19="","",X19))</f>
        <v/>
      </c>
      <c r="AX19" s="2" t="str">
        <f>IF($B19="","",IF(L19="","",VLOOKUP(L19,GLAPS정리!$V$3:$W$180,2,0)))</f>
        <v/>
      </c>
      <c r="BM19" s="2" t="str">
        <f>IF($B19="","",IF(AND(Q19=1,OR(P19="",P19="위험물")), "2210", IF(AND(Q19=1,OR(P19="리퍼",P19="위험물리퍼")), "2230", IF(AND(S19=1,OR(P19="",P19="위험물")), "4510", IF(AND(S19=1,OR(P19="리퍼",P19="위험물리퍼")), "4530", IF(AND(R19=1,OR(P19="",P19="위험물")), "4210", IF(AND(R19=1,P19="리퍼"), "4230", " ")))))))</f>
        <v/>
      </c>
      <c r="BN19" s="2" t="str">
        <f>IF($B19="","",$BN$1)</f>
        <v/>
      </c>
      <c r="BR19" s="2" t="str">
        <f>IF($B19="","",IF(OR(P19="리퍼",P19="위험물리퍼"),"Y",""))</f>
        <v/>
      </c>
      <c r="BS19" s="2" t="str">
        <f>IF($B19="","",IF(OR(P19="위험물",P19="위험물리퍼"),"Y",""))</f>
        <v/>
      </c>
      <c r="BV19" s="2" t="str">
        <f>IF($B19="","",IF(O19="","",VLOOKUP(O19,GLAPS정리!$BH$2:$BI$94,2,0)))</f>
        <v/>
      </c>
      <c r="BW19" s="2" t="str">
        <f>IF($B19="","",IF(OR(Z19="동원",Z19="세방",Z19="한타"),"",IFERROR(INDEX(GLAPS정리!$BI$2:$BI$101,MATCH(Z19,GLAPS정리!$BH$2:$BH$101,0)),"")))</f>
        <v/>
      </c>
      <c r="BX19" s="2" t="str">
        <f>IF($B19="","",IF(Z19="","",IFERROR(VLOOKUP(Z19,GLAPS정리!$AX$2:$AZ$17,3,0),"")))</f>
        <v/>
      </c>
      <c r="BZ19" s="2" t="str">
        <f>IF($B19="","",IF(H19="","",VLOOKUP(H19,GLAPS정리!$L$3:$O$133,2,0)))</f>
        <v/>
      </c>
      <c r="CA19" s="2" t="str">
        <f>IF($B19="","",IF(V19="공휴일", 10, IF(V19="야간", 20, IF(V19="위험물", 30, IF(V19="중량", 40, "")))))</f>
        <v/>
      </c>
      <c r="CL19" s="2" t="str">
        <f>IF($B19="","",IF(AI19="","",VLOOKUP(AI19,GLAPS정리!$BT$3:$BV$26,3,0)))</f>
        <v/>
      </c>
    </row>
    <row r="20" spans="1:90" ht="20.45" customHeight="1">
      <c r="B20" s="13" t="str">
        <f>IF(GLAPS자동계산!C19="","",GLAPS자동계산!C19)</f>
        <v/>
      </c>
      <c r="C20" s="13" t="str">
        <f>IF(GLAPS자동계산!D19="","",GLAPS자동계산!D19)</f>
        <v/>
      </c>
      <c r="D20" s="16" t="str">
        <f>IF(GLAPS자동계산!E19="","",GLAPS자동계산!E19)</f>
        <v/>
      </c>
      <c r="E20" s="13" t="str">
        <f>IF(GLAPS자동계산!F19="","",GLAPS자동계산!F19)</f>
        <v/>
      </c>
      <c r="F20" s="13" t="str">
        <f>IF(GLAPS자동계산!G19="","",GLAPS자동계산!G19)</f>
        <v/>
      </c>
      <c r="G20" s="13" t="str">
        <f>IF(GLAPS자동계산!H19="","",GLAPS자동계산!H19)</f>
        <v/>
      </c>
      <c r="H20" s="13" t="str">
        <f>IF(GLAPS자동계산!I19="","",GLAPS자동계산!I19)</f>
        <v/>
      </c>
      <c r="I20" s="13" t="str">
        <f>IF(GLAPS자동계산!J19="","",GLAPS자동계산!J19)</f>
        <v/>
      </c>
      <c r="J20" s="13" t="str">
        <f>IF(GLAPS자동계산!K19="","",GLAPS자동계산!K19)</f>
        <v/>
      </c>
      <c r="K20" s="13" t="str">
        <f>IF(GLAPS자동계산!L19="","",GLAPS자동계산!L19)</f>
        <v/>
      </c>
      <c r="L20" s="13" t="str">
        <f>IF(GLAPS자동계산!M19="","",GLAPS자동계산!M19)</f>
        <v/>
      </c>
      <c r="M20" s="13" t="str">
        <f>IF(GLAPS자동계산!N19="","",GLAPS자동계산!N19)</f>
        <v/>
      </c>
      <c r="N20" s="13" t="str">
        <f>IF(GLAPS자동계산!O19="","",GLAPS자동계산!O19)</f>
        <v/>
      </c>
      <c r="O20" s="3" t="str">
        <f>IF(GLAPS자동계산!P19="","",GLAPS자동계산!P19)</f>
        <v/>
      </c>
      <c r="P20" s="2" t="str">
        <f>IF(GLAPS자동계산!Q19="","",GLAPS자동계산!Q19)</f>
        <v/>
      </c>
      <c r="Q20" s="3" t="str">
        <f>IF(GLAPS자동계산!R19="","",GLAPS자동계산!R19)</f>
        <v/>
      </c>
      <c r="R20" s="3" t="str">
        <f>IF(GLAPS자동계산!S19="","",GLAPS자동계산!S19)</f>
        <v/>
      </c>
      <c r="S20" s="3" t="str">
        <f>IF(GLAPS자동계산!T19="","",GLAPS자동계산!T19)</f>
        <v/>
      </c>
      <c r="T20" s="3" t="str">
        <f>IF(GLAPS자동계산!U19="","",GLAPS자동계산!U19)</f>
        <v/>
      </c>
      <c r="U20" s="3" t="str">
        <f>IF(GLAPS자동계산!V19="","",GLAPS자동계산!V19)</f>
        <v/>
      </c>
      <c r="V20" s="3" t="str">
        <f>IF(GLAPS자동계산!W19="","",GLAPS자동계산!W19)</f>
        <v/>
      </c>
      <c r="W20" s="14" t="str">
        <f>IF(GLAPS자동계산!X19="","",GLAPS자동계산!X19)</f>
        <v/>
      </c>
      <c r="X20" s="13" t="str">
        <f>IF(GLAPS자동계산!Y19="","",GLAPS자동계산!Y19)</f>
        <v/>
      </c>
      <c r="Y20" s="13" t="str">
        <f>IF(GLAPS자동계산!Z19="","",GLAPS자동계산!Z19)</f>
        <v/>
      </c>
      <c r="Z20" s="91" t="str">
        <f>IF(GLAPS자동계산!AA19="","",GLAPS자동계산!AA19)</f>
        <v/>
      </c>
      <c r="AA20" s="14" t="str">
        <f>IF(GLAPS자동계산!AB19="","",GLAPS자동계산!AB19)</f>
        <v/>
      </c>
      <c r="AC20" s="2" t="str">
        <f>IF($B20="","",$AC$1)</f>
        <v/>
      </c>
      <c r="AD20" s="2" t="str">
        <f>IF($B20="","",IFERROR(INDEX(GLAPS정리!$D$2:$D$50,MATCH(I20,GLAPS정리!$A$2:$A$50,0)),IFERROR(INDEX(GLAPS정리!$D$2:$D$50,MATCH(I20,GLAPS정리!$B$2:$B$50,0)),"")))</f>
        <v/>
      </c>
      <c r="AF20" s="2" t="str">
        <f>IF($B20="","",$AF$1)</f>
        <v/>
      </c>
      <c r="AI20" s="2" t="str">
        <f>IF($B20="","",IF(F20="","",VLOOKUP(F20,GLAPS정리!$G$3:$J$114,2,0)))</f>
        <v/>
      </c>
      <c r="AJ20" s="2" t="str">
        <f>IF($B20="","",IF(Z20="울산정일","KRONS",IF(Z20="울산신항","KRUSN",IF(OR(Z20="선광종합물류(인천여객)",Z20="인천여객(인천여객)"),"KRINF",IF(OR(Z20="선광인천보세(인천신)",Z20="한진인천(인천신)",Z20="선광인천신항(인천신)",Z20="인천더로지스(인천신)"),"KRINN",IF(OR(Z20="인천진아(인천항)",Z20="인천E1(인천항)",Z20="인천SM경인터미널(인천항)",Z20="인천항(인천항)",Z20="인천우련(인천항)",Z20="인천항8부두(인천항)"),"KRINC",VLOOKUP(K20,GLAPS정리!$BB$2:$BC$33,2,0)))))))</f>
        <v/>
      </c>
      <c r="AL20" s="2" t="str">
        <f>IF($B20="","",$AL$1)</f>
        <v/>
      </c>
      <c r="AN20" s="70" t="str">
        <f>IF($B20="","",TEXT(B20,"YYYY-MM-DD"))</f>
        <v/>
      </c>
      <c r="AO20" s="2" t="str">
        <f>IF($B20="","",IF(E20="오전", "0800", IF(E20="오후", "1300", IF(E20="잔업", "1800", ""))))</f>
        <v/>
      </c>
      <c r="AP20" s="2" t="str">
        <f>IF($B20="","",IF(C20="","",VLOOKUP(C20,GLAPS정리!$AX$2:$AZ$17,3,0)))</f>
        <v/>
      </c>
      <c r="AR20" s="2" t="str">
        <f>IF($B20="","",IF(X20="","",X20))</f>
        <v/>
      </c>
      <c r="AX20" s="2" t="str">
        <f>IF($B20="","",IF(L20="","",VLOOKUP(L20,GLAPS정리!$V$3:$W$180,2,0)))</f>
        <v/>
      </c>
      <c r="BM20" s="2" t="str">
        <f>IF($B20="","",IF(AND(Q20=1,OR(P20="",P20="위험물")), "2210", IF(AND(Q20=1,OR(P20="리퍼",P20="위험물리퍼")), "2230", IF(AND(S20=1,OR(P20="",P20="위험물")), "4510", IF(AND(S20=1,OR(P20="리퍼",P20="위험물리퍼")), "4530", IF(AND(R20=1,OR(P20="",P20="위험물")), "4210", IF(AND(R20=1,P20="리퍼"), "4230", " ")))))))</f>
        <v/>
      </c>
      <c r="BN20" s="2" t="str">
        <f>IF($B20="","",$BN$1)</f>
        <v/>
      </c>
      <c r="BR20" s="2" t="str">
        <f>IF($B20="","",IF(OR(P20="리퍼",P20="위험물리퍼"),"Y",""))</f>
        <v/>
      </c>
      <c r="BS20" s="2" t="str">
        <f>IF($B20="","",IF(OR(P20="위험물",P20="위험물리퍼"),"Y",""))</f>
        <v/>
      </c>
      <c r="BV20" s="2" t="str">
        <f>IF($B20="","",IF(O20="","",VLOOKUP(O20,GLAPS정리!$BH$2:$BI$94,2,0)))</f>
        <v/>
      </c>
      <c r="BW20" s="2" t="str">
        <f>IF($B20="","",IF(OR(Z20="동원",Z20="세방",Z20="한타"),"",IFERROR(INDEX(GLAPS정리!$BI$2:$BI$101,MATCH(Z20,GLAPS정리!$BH$2:$BH$101,0)),"")))</f>
        <v/>
      </c>
      <c r="BX20" s="2" t="str">
        <f>IF($B20="","",IF(Z20="","",IFERROR(VLOOKUP(Z20,GLAPS정리!$AX$2:$AZ$17,3,0),"")))</f>
        <v/>
      </c>
      <c r="BZ20" s="2" t="str">
        <f>IF($B20="","",IF(H20="","",VLOOKUP(H20,GLAPS정리!$L$3:$O$133,2,0)))</f>
        <v/>
      </c>
      <c r="CA20" s="2" t="str">
        <f>IF($B20="","",IF(V20="공휴일", 10, IF(V20="야간", 20, IF(V20="위험물", 30, IF(V20="중량", 40, "")))))</f>
        <v/>
      </c>
      <c r="CL20" s="2" t="str">
        <f>IF($B20="","",IF(AI20="","",VLOOKUP(AI20,GLAPS정리!$BT$3:$BV$26,3,0)))</f>
        <v/>
      </c>
    </row>
    <row r="21" spans="1:90" ht="20.45" customHeight="1">
      <c r="A21" s="70"/>
      <c r="B21" s="13" t="str">
        <f>IF(GLAPS자동계산!C20="","",GLAPS자동계산!C20)</f>
        <v/>
      </c>
      <c r="C21" s="13" t="str">
        <f>IF(GLAPS자동계산!D20="","",GLAPS자동계산!D20)</f>
        <v/>
      </c>
      <c r="D21" s="16" t="str">
        <f>IF(GLAPS자동계산!E20="","",GLAPS자동계산!E20)</f>
        <v/>
      </c>
      <c r="E21" s="13" t="str">
        <f>IF(GLAPS자동계산!F20="","",GLAPS자동계산!F20)</f>
        <v/>
      </c>
      <c r="F21" s="13" t="str">
        <f>IF(GLAPS자동계산!G20="","",GLAPS자동계산!G20)</f>
        <v/>
      </c>
      <c r="G21" s="13" t="str">
        <f>IF(GLAPS자동계산!H20="","",GLAPS자동계산!H20)</f>
        <v/>
      </c>
      <c r="H21" s="13" t="str">
        <f>IF(GLAPS자동계산!I20="","",GLAPS자동계산!I20)</f>
        <v/>
      </c>
      <c r="I21" s="13" t="str">
        <f>IF(GLAPS자동계산!J20="","",GLAPS자동계산!J20)</f>
        <v/>
      </c>
      <c r="J21" s="13" t="str">
        <f>IF(GLAPS자동계산!K20="","",GLAPS자동계산!K20)</f>
        <v/>
      </c>
      <c r="K21" s="13" t="str">
        <f>IF(GLAPS자동계산!L20="","",GLAPS자동계산!L20)</f>
        <v/>
      </c>
      <c r="L21" s="13" t="str">
        <f>IF(GLAPS자동계산!M20="","",GLAPS자동계산!M20)</f>
        <v/>
      </c>
      <c r="M21" s="13" t="str">
        <f>IF(GLAPS자동계산!N20="","",GLAPS자동계산!N20)</f>
        <v/>
      </c>
      <c r="N21" s="13" t="str">
        <f>IF(GLAPS자동계산!O20="","",GLAPS자동계산!O20)</f>
        <v/>
      </c>
      <c r="O21" s="3" t="str">
        <f>IF(GLAPS자동계산!P20="","",GLAPS자동계산!P20)</f>
        <v/>
      </c>
      <c r="P21" s="2" t="str">
        <f>IF(GLAPS자동계산!Q20="","",GLAPS자동계산!Q20)</f>
        <v/>
      </c>
      <c r="Q21" s="3" t="str">
        <f>IF(GLAPS자동계산!R20="","",GLAPS자동계산!R20)</f>
        <v/>
      </c>
      <c r="R21" s="3" t="str">
        <f>IF(GLAPS자동계산!S20="","",GLAPS자동계산!S20)</f>
        <v/>
      </c>
      <c r="S21" s="3" t="str">
        <f>IF(GLAPS자동계산!T20="","",GLAPS자동계산!T20)</f>
        <v/>
      </c>
      <c r="T21" s="3" t="str">
        <f>IF(GLAPS자동계산!U20="","",GLAPS자동계산!U20)</f>
        <v/>
      </c>
      <c r="U21" s="3" t="str">
        <f>IF(GLAPS자동계산!V20="","",GLAPS자동계산!V20)</f>
        <v/>
      </c>
      <c r="V21" s="3" t="str">
        <f>IF(GLAPS자동계산!W20="","",GLAPS자동계산!W20)</f>
        <v/>
      </c>
      <c r="W21" s="14" t="str">
        <f>IF(GLAPS자동계산!X20="","",GLAPS자동계산!X20)</f>
        <v/>
      </c>
      <c r="X21" s="13" t="str">
        <f>IF(GLAPS자동계산!Y20="","",GLAPS자동계산!Y20)</f>
        <v/>
      </c>
      <c r="Y21" s="13" t="str">
        <f>IF(GLAPS자동계산!Z20="","",GLAPS자동계산!Z20)</f>
        <v/>
      </c>
      <c r="Z21" s="91" t="str">
        <f>IF(GLAPS자동계산!AA20="","",GLAPS자동계산!AA20)</f>
        <v/>
      </c>
      <c r="AA21" s="14" t="str">
        <f>IF(GLAPS자동계산!AB20="","",GLAPS자동계산!AB20)</f>
        <v/>
      </c>
      <c r="AC21" s="2" t="str">
        <f>IF($B21="","",$AC$1)</f>
        <v/>
      </c>
      <c r="AD21" s="2" t="str">
        <f>IF($B21="","",IFERROR(INDEX(GLAPS정리!$D$2:$D$50,MATCH(I21,GLAPS정리!$A$2:$A$50,0)),IFERROR(INDEX(GLAPS정리!$D$2:$D$50,MATCH(I21,GLAPS정리!$B$2:$B$50,0)),"")))</f>
        <v/>
      </c>
      <c r="AF21" s="2" t="str">
        <f>IF($B21="","",$AF$1)</f>
        <v/>
      </c>
      <c r="AI21" s="2" t="str">
        <f>IF($B21="","",IF(F21="","",VLOOKUP(F21,GLAPS정리!$G$3:$J$114,2,0)))</f>
        <v/>
      </c>
      <c r="AJ21" s="2" t="str">
        <f>IF($B21="","",IF(Z21="울산정일","KRONS",IF(Z21="울산신항","KRUSN",IF(OR(Z21="선광종합물류(인천여객)",Z21="인천여객(인천여객)"),"KRINF",IF(OR(Z21="선광인천보세(인천신)",Z21="한진인천(인천신)",Z21="선광인천신항(인천신)",Z21="인천더로지스(인천신)"),"KRINN",IF(OR(Z21="인천진아(인천항)",Z21="인천E1(인천항)",Z21="인천SM경인터미널(인천항)",Z21="인천항(인천항)",Z21="인천우련(인천항)",Z21="인천항8부두(인천항)"),"KRINC",VLOOKUP(K21,GLAPS정리!$BB$2:$BC$33,2,0)))))))</f>
        <v/>
      </c>
      <c r="AL21" s="2" t="str">
        <f>IF($B21="","",$AL$1)</f>
        <v/>
      </c>
      <c r="AN21" s="70" t="str">
        <f>IF($B21="","",TEXT(B21,"YYYY-MM-DD"))</f>
        <v/>
      </c>
      <c r="AO21" s="2" t="str">
        <f>IF($B21="","",IF(E21="오전", "0800", IF(E21="오후", "1300", IF(E21="잔업", "1800", ""))))</f>
        <v/>
      </c>
      <c r="AP21" s="2" t="str">
        <f>IF($B21="","",IF(C21="","",VLOOKUP(C21,GLAPS정리!$AX$2:$AZ$17,3,0)))</f>
        <v/>
      </c>
      <c r="AR21" s="2" t="str">
        <f>IF($B21="","",IF(X21="","",X21))</f>
        <v/>
      </c>
      <c r="AX21" s="2" t="str">
        <f>IF($B21="","",IF(L21="","",VLOOKUP(L21,GLAPS정리!$V$3:$W$180,2,0)))</f>
        <v/>
      </c>
      <c r="BM21" s="2" t="str">
        <f>IF($B21="","",IF(AND(Q21=1,OR(P21="",P21="위험물")), "2210", IF(AND(Q21=1,OR(P21="리퍼",P21="위험물리퍼")), "2230", IF(AND(S21=1,OR(P21="",P21="위험물")), "4510", IF(AND(S21=1,OR(P21="리퍼",P21="위험물리퍼")), "4530", IF(AND(R21=1,OR(P21="",P21="위험물")), "4210", IF(AND(R21=1,P21="리퍼"), "4230", " ")))))))</f>
        <v/>
      </c>
      <c r="BN21" s="2" t="str">
        <f>IF($B21="","",$BN$1)</f>
        <v/>
      </c>
      <c r="BR21" s="2" t="str">
        <f>IF($B21="","",IF(OR(P21="리퍼",P21="위험물리퍼"),"Y",""))</f>
        <v/>
      </c>
      <c r="BS21" s="2" t="str">
        <f>IF($B21="","",IF(OR(P21="위험물",P21="위험물리퍼"),"Y",""))</f>
        <v/>
      </c>
      <c r="BV21" s="2" t="str">
        <f>IF($B21="","",IF(O21="","",VLOOKUP(O21,GLAPS정리!$BH$2:$BI$94,2,0)))</f>
        <v/>
      </c>
      <c r="BW21" s="2" t="str">
        <f>IF($B21="","",IF(OR(Z21="동원",Z21="세방",Z21="한타"),"",IFERROR(INDEX(GLAPS정리!$BI$2:$BI$101,MATCH(Z21,GLAPS정리!$BH$2:$BH$101,0)),"")))</f>
        <v/>
      </c>
      <c r="BX21" s="2" t="str">
        <f>IF($B21="","",IF(Z21="","",IFERROR(VLOOKUP(Z21,GLAPS정리!$AX$2:$AZ$17,3,0),"")))</f>
        <v/>
      </c>
      <c r="BZ21" s="2" t="str">
        <f>IF($B21="","",IF(H21="","",VLOOKUP(H21,GLAPS정리!$L$3:$O$133,2,0)))</f>
        <v/>
      </c>
      <c r="CA21" s="2" t="str">
        <f>IF($B21="","",IF(V21="공휴일", 10, IF(V21="야간", 20, IF(V21="위험물", 30, IF(V21="중량", 40, "")))))</f>
        <v/>
      </c>
      <c r="CL21" s="2" t="str">
        <f>IF($B21="","",IF(AI21="","",VLOOKUP(AI21,GLAPS정리!$BT$3:$BV$26,3,0)))</f>
        <v/>
      </c>
    </row>
    <row r="22" spans="1:90" ht="20.45" customHeight="1">
      <c r="A22" s="70"/>
      <c r="B22" s="13" t="str">
        <f>IF(GLAPS자동계산!C21="","",GLAPS자동계산!C21)</f>
        <v/>
      </c>
      <c r="C22" s="13" t="str">
        <f>IF(GLAPS자동계산!D21="","",GLAPS자동계산!D21)</f>
        <v/>
      </c>
      <c r="D22" s="16" t="str">
        <f>IF(GLAPS자동계산!E21="","",GLAPS자동계산!E21)</f>
        <v/>
      </c>
      <c r="E22" s="13" t="str">
        <f>IF(GLAPS자동계산!F21="","",GLAPS자동계산!F21)</f>
        <v/>
      </c>
      <c r="F22" s="13" t="str">
        <f>IF(GLAPS자동계산!G21="","",GLAPS자동계산!G21)</f>
        <v/>
      </c>
      <c r="G22" s="13" t="str">
        <f>IF(GLAPS자동계산!H21="","",GLAPS자동계산!H21)</f>
        <v/>
      </c>
      <c r="H22" s="13" t="str">
        <f>IF(GLAPS자동계산!I21="","",GLAPS자동계산!I21)</f>
        <v/>
      </c>
      <c r="I22" s="13" t="str">
        <f>IF(GLAPS자동계산!J21="","",GLAPS자동계산!J21)</f>
        <v/>
      </c>
      <c r="J22" s="13" t="str">
        <f>IF(GLAPS자동계산!K21="","",GLAPS자동계산!K21)</f>
        <v/>
      </c>
      <c r="K22" s="13" t="str">
        <f>IF(GLAPS자동계산!L21="","",GLAPS자동계산!L21)</f>
        <v/>
      </c>
      <c r="L22" s="13" t="str">
        <f>IF(GLAPS자동계산!M21="","",GLAPS자동계산!M21)</f>
        <v/>
      </c>
      <c r="M22" s="13" t="str">
        <f>IF(GLAPS자동계산!N21="","",GLAPS자동계산!N21)</f>
        <v/>
      </c>
      <c r="N22" s="13" t="str">
        <f>IF(GLAPS자동계산!O21="","",GLAPS자동계산!O21)</f>
        <v/>
      </c>
      <c r="O22" s="3" t="str">
        <f>IF(GLAPS자동계산!P21="","",GLAPS자동계산!P21)</f>
        <v/>
      </c>
      <c r="P22" s="2" t="str">
        <f>IF(GLAPS자동계산!Q21="","",GLAPS자동계산!Q21)</f>
        <v/>
      </c>
      <c r="Q22" s="3" t="str">
        <f>IF(GLAPS자동계산!R21="","",GLAPS자동계산!R21)</f>
        <v/>
      </c>
      <c r="R22" s="3" t="str">
        <f>IF(GLAPS자동계산!S21="","",GLAPS자동계산!S21)</f>
        <v/>
      </c>
      <c r="S22" s="3" t="str">
        <f>IF(GLAPS자동계산!T21="","",GLAPS자동계산!T21)</f>
        <v/>
      </c>
      <c r="T22" s="3" t="str">
        <f>IF(GLAPS자동계산!U21="","",GLAPS자동계산!U21)</f>
        <v/>
      </c>
      <c r="U22" s="3" t="str">
        <f>IF(GLAPS자동계산!V21="","",GLAPS자동계산!V21)</f>
        <v/>
      </c>
      <c r="V22" s="3" t="str">
        <f>IF(GLAPS자동계산!W21="","",GLAPS자동계산!W21)</f>
        <v/>
      </c>
      <c r="W22" s="14" t="str">
        <f>IF(GLAPS자동계산!X21="","",GLAPS자동계산!X21)</f>
        <v/>
      </c>
      <c r="X22" s="13" t="str">
        <f>IF(GLAPS자동계산!Y21="","",GLAPS자동계산!Y21)</f>
        <v/>
      </c>
      <c r="Y22" s="13" t="str">
        <f>IF(GLAPS자동계산!Z21="","",GLAPS자동계산!Z21)</f>
        <v/>
      </c>
      <c r="Z22" s="91" t="str">
        <f>IF(GLAPS자동계산!AA21="","",GLAPS자동계산!AA21)</f>
        <v/>
      </c>
      <c r="AA22" s="14" t="str">
        <f>IF(GLAPS자동계산!AB21="","",GLAPS자동계산!AB21)</f>
        <v/>
      </c>
      <c r="AC22" s="2" t="str">
        <f>IF($B22="","",$AC$1)</f>
        <v/>
      </c>
      <c r="AD22" s="2" t="str">
        <f>IF($B22="","",IFERROR(INDEX(GLAPS정리!$D$2:$D$50,MATCH(I22,GLAPS정리!$A$2:$A$50,0)),IFERROR(INDEX(GLAPS정리!$D$2:$D$50,MATCH(I22,GLAPS정리!$B$2:$B$50,0)),"")))</f>
        <v/>
      </c>
      <c r="AF22" s="2" t="str">
        <f>IF($B22="","",$AF$1)</f>
        <v/>
      </c>
      <c r="AI22" s="2" t="str">
        <f>IF($B22="","",IF(F22="","",VLOOKUP(F22,GLAPS정리!$G$3:$J$114,2,0)))</f>
        <v/>
      </c>
      <c r="AJ22" s="2" t="str">
        <f>IF($B22="","",IF(Z22="울산정일","KRONS",IF(Z22="울산신항","KRUSN",IF(OR(Z22="선광종합물류(인천여객)",Z22="인천여객(인천여객)"),"KRINF",IF(OR(Z22="선광인천보세(인천신)",Z22="한진인천(인천신)",Z22="선광인천신항(인천신)",Z22="인천더로지스(인천신)"),"KRINN",IF(OR(Z22="인천진아(인천항)",Z22="인천E1(인천항)",Z22="인천SM경인터미널(인천항)",Z22="인천항(인천항)",Z22="인천우련(인천항)",Z22="인천항8부두(인천항)"),"KRINC",VLOOKUP(K22,GLAPS정리!$BB$2:$BC$33,2,0)))))))</f>
        <v/>
      </c>
      <c r="AL22" s="2" t="str">
        <f>IF($B22="","",$AL$1)</f>
        <v/>
      </c>
      <c r="AN22" s="70" t="str">
        <f>IF($B22="","",TEXT(B22,"YYYY-MM-DD"))</f>
        <v/>
      </c>
      <c r="AO22" s="2" t="str">
        <f>IF($B22="","",IF(E22="오전", "0800", IF(E22="오후", "1300", IF(E22="잔업", "1800", ""))))</f>
        <v/>
      </c>
      <c r="AP22" s="2" t="str">
        <f>IF($B22="","",IF(C22="","",VLOOKUP(C22,GLAPS정리!$AX$2:$AZ$17,3,0)))</f>
        <v/>
      </c>
      <c r="AR22" s="2" t="str">
        <f>IF($B22="","",IF(X22="","",X22))</f>
        <v/>
      </c>
      <c r="AX22" s="2" t="str">
        <f>IF($B22="","",IF(L22="","",VLOOKUP(L22,GLAPS정리!$V$3:$W$180,2,0)))</f>
        <v/>
      </c>
      <c r="BM22" s="2" t="str">
        <f>IF($B22="","",IF(AND(Q22=1,OR(P22="",P22="위험물")), "2210", IF(AND(Q22=1,OR(P22="리퍼",P22="위험물리퍼")), "2230", IF(AND(S22=1,OR(P22="",P22="위험물")), "4510", IF(AND(S22=1,OR(P22="리퍼",P22="위험물리퍼")), "4530", IF(AND(R22=1,OR(P22="",P22="위험물")), "4210", IF(AND(R22=1,P22="리퍼"), "4230", " ")))))))</f>
        <v/>
      </c>
      <c r="BN22" s="2" t="str">
        <f>IF($B22="","",$BN$1)</f>
        <v/>
      </c>
      <c r="BR22" s="2" t="str">
        <f>IF($B22="","",IF(OR(P22="리퍼",P22="위험물리퍼"),"Y",""))</f>
        <v/>
      </c>
      <c r="BS22" s="2" t="str">
        <f>IF($B22="","",IF(OR(P22="위험물",P22="위험물리퍼"),"Y",""))</f>
        <v/>
      </c>
      <c r="BV22" s="2" t="str">
        <f>IF($B22="","",IF(O22="","",VLOOKUP(O22,GLAPS정리!$BH$2:$BI$94,2,0)))</f>
        <v/>
      </c>
      <c r="BW22" s="2" t="str">
        <f>IF($B22="","",IF(OR(Z22="동원",Z22="세방",Z22="한타"),"",IFERROR(INDEX(GLAPS정리!$BI$2:$BI$101,MATCH(Z22,GLAPS정리!$BH$2:$BH$101,0)),"")))</f>
        <v/>
      </c>
      <c r="BX22" s="2" t="str">
        <f>IF($B22="","",IF(Z22="","",IFERROR(VLOOKUP(Z22,GLAPS정리!$AX$2:$AZ$17,3,0),"")))</f>
        <v/>
      </c>
      <c r="BZ22" s="2" t="str">
        <f>IF($B22="","",IF(H22="","",VLOOKUP(H22,GLAPS정리!$L$3:$O$133,2,0)))</f>
        <v/>
      </c>
      <c r="CA22" s="2" t="str">
        <f>IF($B22="","",IF(V22="공휴일", 10, IF(V22="야간", 20, IF(V22="위험물", 30, IF(V22="중량", 40, "")))))</f>
        <v/>
      </c>
      <c r="CL22" s="2" t="str">
        <f>IF($B22="","",IF(AI22="","",VLOOKUP(AI22,GLAPS정리!$BT$3:$BV$26,3,0)))</f>
        <v/>
      </c>
    </row>
    <row r="23" spans="1:90" ht="20.45" customHeight="1">
      <c r="A23" s="70"/>
      <c r="B23" s="13" t="str">
        <f>IF(GLAPS자동계산!C22="","",GLAPS자동계산!C22)</f>
        <v/>
      </c>
      <c r="C23" s="13" t="str">
        <f>IF(GLAPS자동계산!D22="","",GLAPS자동계산!D22)</f>
        <v/>
      </c>
      <c r="D23" s="16" t="str">
        <f>IF(GLAPS자동계산!E22="","",GLAPS자동계산!E22)</f>
        <v/>
      </c>
      <c r="E23" s="13" t="str">
        <f>IF(GLAPS자동계산!F22="","",GLAPS자동계산!F22)</f>
        <v/>
      </c>
      <c r="F23" s="13" t="str">
        <f>IF(GLAPS자동계산!G22="","",GLAPS자동계산!G22)</f>
        <v/>
      </c>
      <c r="G23" s="13" t="str">
        <f>IF(GLAPS자동계산!H22="","",GLAPS자동계산!H22)</f>
        <v/>
      </c>
      <c r="H23" s="13" t="str">
        <f>IF(GLAPS자동계산!I22="","",GLAPS자동계산!I22)</f>
        <v/>
      </c>
      <c r="I23" s="13" t="str">
        <f>IF(GLAPS자동계산!J22="","",GLAPS자동계산!J22)</f>
        <v/>
      </c>
      <c r="J23" s="13" t="str">
        <f>IF(GLAPS자동계산!K22="","",GLAPS자동계산!K22)</f>
        <v/>
      </c>
      <c r="K23" s="13" t="str">
        <f>IF(GLAPS자동계산!L22="","",GLAPS자동계산!L22)</f>
        <v/>
      </c>
      <c r="L23" s="13" t="str">
        <f>IF(GLAPS자동계산!M22="","",GLAPS자동계산!M22)</f>
        <v/>
      </c>
      <c r="M23" s="13" t="str">
        <f>IF(GLAPS자동계산!N22="","",GLAPS자동계산!N22)</f>
        <v/>
      </c>
      <c r="N23" s="13" t="str">
        <f>IF(GLAPS자동계산!O22="","",GLAPS자동계산!O22)</f>
        <v/>
      </c>
      <c r="O23" s="3" t="str">
        <f>IF(GLAPS자동계산!P22="","",GLAPS자동계산!P22)</f>
        <v/>
      </c>
      <c r="P23" s="2" t="str">
        <f>IF(GLAPS자동계산!Q22="","",GLAPS자동계산!Q22)</f>
        <v/>
      </c>
      <c r="Q23" s="3" t="str">
        <f>IF(GLAPS자동계산!R22="","",GLAPS자동계산!R22)</f>
        <v/>
      </c>
      <c r="R23" s="3" t="str">
        <f>IF(GLAPS자동계산!S22="","",GLAPS자동계산!S22)</f>
        <v/>
      </c>
      <c r="S23" s="3" t="str">
        <f>IF(GLAPS자동계산!T22="","",GLAPS자동계산!T22)</f>
        <v/>
      </c>
      <c r="T23" s="3" t="str">
        <f>IF(GLAPS자동계산!U22="","",GLAPS자동계산!U22)</f>
        <v/>
      </c>
      <c r="U23" s="3" t="str">
        <f>IF(GLAPS자동계산!V22="","",GLAPS자동계산!V22)</f>
        <v/>
      </c>
      <c r="V23" s="3" t="str">
        <f>IF(GLAPS자동계산!W22="","",GLAPS자동계산!W22)</f>
        <v/>
      </c>
      <c r="W23" s="14" t="str">
        <f>IF(GLAPS자동계산!X22="","",GLAPS자동계산!X22)</f>
        <v/>
      </c>
      <c r="X23" s="13" t="str">
        <f>IF(GLAPS자동계산!Y22="","",GLAPS자동계산!Y22)</f>
        <v/>
      </c>
      <c r="Y23" s="13" t="str">
        <f>IF(GLAPS자동계산!Z22="","",GLAPS자동계산!Z22)</f>
        <v/>
      </c>
      <c r="Z23" s="91" t="str">
        <f>IF(GLAPS자동계산!AA22="","",GLAPS자동계산!AA22)</f>
        <v/>
      </c>
      <c r="AA23" s="14" t="str">
        <f>IF(GLAPS자동계산!AB22="","",GLAPS자동계산!AB22)</f>
        <v/>
      </c>
      <c r="AC23" s="2" t="str">
        <f>IF($B23="","",$AC$1)</f>
        <v/>
      </c>
      <c r="AD23" s="2" t="str">
        <f>IF($B23="","",IFERROR(INDEX(GLAPS정리!$D$2:$D$50,MATCH(I23,GLAPS정리!$A$2:$A$50,0)),IFERROR(INDEX(GLAPS정리!$D$2:$D$50,MATCH(I23,GLAPS정리!$B$2:$B$50,0)),"")))</f>
        <v/>
      </c>
      <c r="AF23" s="2" t="str">
        <f>IF($B23="","",$AF$1)</f>
        <v/>
      </c>
      <c r="AI23" s="2" t="str">
        <f>IF($B23="","",IF(F23="","",VLOOKUP(F23,GLAPS정리!$G$3:$J$114,2,0)))</f>
        <v/>
      </c>
      <c r="AJ23" s="2" t="str">
        <f>IF($B23="","",IF(Z23="울산정일","KRONS",IF(Z23="울산신항","KRUSN",IF(OR(Z23="선광종합물류(인천여객)",Z23="인천여객(인천여객)"),"KRINF",IF(OR(Z23="선광인천보세(인천신)",Z23="한진인천(인천신)",Z23="선광인천신항(인천신)",Z23="인천더로지스(인천신)"),"KRINN",IF(OR(Z23="인천진아(인천항)",Z23="인천E1(인천항)",Z23="인천SM경인터미널(인천항)",Z23="인천항(인천항)",Z23="인천우련(인천항)",Z23="인천항8부두(인천항)"),"KRINC",VLOOKUP(K23,GLAPS정리!$BB$2:$BC$33,2,0)))))))</f>
        <v/>
      </c>
      <c r="AL23" s="2" t="str">
        <f>IF($B23="","",$AL$1)</f>
        <v/>
      </c>
      <c r="AN23" s="70" t="str">
        <f>IF($B23="","",TEXT(B23,"YYYY-MM-DD"))</f>
        <v/>
      </c>
      <c r="AO23" s="2" t="str">
        <f>IF($B23="","",IF(E23="오전", "0800", IF(E23="오후", "1300", IF(E23="잔업", "1800", ""))))</f>
        <v/>
      </c>
      <c r="AP23" s="2" t="str">
        <f>IF($B23="","",IF(C23="","",VLOOKUP(C23,GLAPS정리!$AX$2:$AZ$17,3,0)))</f>
        <v/>
      </c>
      <c r="AR23" s="2" t="str">
        <f>IF($B23="","",IF(X23="","",X23))</f>
        <v/>
      </c>
      <c r="AX23" s="2" t="str">
        <f>IF($B23="","",IF(L23="","",VLOOKUP(L23,GLAPS정리!$V$3:$W$180,2,0)))</f>
        <v/>
      </c>
      <c r="BM23" s="2" t="str">
        <f>IF($B23="","",IF(AND(Q23=1,OR(P23="",P23="위험물")), "2210", IF(AND(Q23=1,OR(P23="리퍼",P23="위험물리퍼")), "2230", IF(AND(S23=1,OR(P23="",P23="위험물")), "4510", IF(AND(S23=1,OR(P23="리퍼",P23="위험물리퍼")), "4530", IF(AND(R23=1,OR(P23="",P23="위험물")), "4210", IF(AND(R23=1,P23="리퍼"), "4230", " ")))))))</f>
        <v/>
      </c>
      <c r="BN23" s="2" t="str">
        <f>IF($B23="","",$BN$1)</f>
        <v/>
      </c>
      <c r="BR23" s="2" t="str">
        <f>IF($B23="","",IF(OR(P23="리퍼",P23="위험물리퍼"),"Y",""))</f>
        <v/>
      </c>
      <c r="BS23" s="2" t="str">
        <f>IF($B23="","",IF(OR(P23="위험물",P23="위험물리퍼"),"Y",""))</f>
        <v/>
      </c>
      <c r="BV23" s="2" t="str">
        <f>IF($B23="","",IF(O23="","",VLOOKUP(O23,GLAPS정리!$BH$2:$BI$94,2,0)))</f>
        <v/>
      </c>
      <c r="BW23" s="2" t="str">
        <f>IF($B23="","",IF(OR(Z23="동원",Z23="세방",Z23="한타"),"",IFERROR(INDEX(GLAPS정리!$BI$2:$BI$101,MATCH(Z23,GLAPS정리!$BH$2:$BH$101,0)),"")))</f>
        <v/>
      </c>
      <c r="BX23" s="2" t="str">
        <f>IF($B23="","",IF(Z23="","",IFERROR(VLOOKUP(Z23,GLAPS정리!$AX$2:$AZ$17,3,0),"")))</f>
        <v/>
      </c>
      <c r="BZ23" s="2" t="str">
        <f>IF($B23="","",IF(H23="","",VLOOKUP(H23,GLAPS정리!$L$3:$O$133,2,0)))</f>
        <v/>
      </c>
      <c r="CA23" s="2" t="str">
        <f>IF($B23="","",IF(V23="공휴일", 10, IF(V23="야간", 20, IF(V23="위험물", 30, IF(V23="중량", 40, "")))))</f>
        <v/>
      </c>
      <c r="CL23" s="2" t="str">
        <f>IF($B23="","",IF(AI23="","",VLOOKUP(AI23,GLAPS정리!$BT$3:$BV$26,3,0)))</f>
        <v/>
      </c>
    </row>
    <row r="24" spans="1:90" ht="20.45" customHeight="1">
      <c r="A24" s="70"/>
      <c r="B24" s="13" t="str">
        <f>IF(GLAPS자동계산!C23="","",GLAPS자동계산!C23)</f>
        <v/>
      </c>
      <c r="C24" s="13" t="str">
        <f>IF(GLAPS자동계산!D23="","",GLAPS자동계산!D23)</f>
        <v/>
      </c>
      <c r="D24" s="16" t="str">
        <f>IF(GLAPS자동계산!E23="","",GLAPS자동계산!E23)</f>
        <v/>
      </c>
      <c r="E24" s="13" t="str">
        <f>IF(GLAPS자동계산!F23="","",GLAPS자동계산!F23)</f>
        <v/>
      </c>
      <c r="F24" s="13" t="str">
        <f>IF(GLAPS자동계산!G23="","",GLAPS자동계산!G23)</f>
        <v/>
      </c>
      <c r="G24" s="13" t="str">
        <f>IF(GLAPS자동계산!H23="","",GLAPS자동계산!H23)</f>
        <v/>
      </c>
      <c r="H24" s="13" t="str">
        <f>IF(GLAPS자동계산!I23="","",GLAPS자동계산!I23)</f>
        <v/>
      </c>
      <c r="I24" s="13" t="str">
        <f>IF(GLAPS자동계산!J23="","",GLAPS자동계산!J23)</f>
        <v/>
      </c>
      <c r="J24" s="13" t="str">
        <f>IF(GLAPS자동계산!K23="","",GLAPS자동계산!K23)</f>
        <v/>
      </c>
      <c r="K24" s="13" t="str">
        <f>IF(GLAPS자동계산!L23="","",GLAPS자동계산!L23)</f>
        <v/>
      </c>
      <c r="L24" s="13" t="str">
        <f>IF(GLAPS자동계산!M23="","",GLAPS자동계산!M23)</f>
        <v/>
      </c>
      <c r="M24" s="13" t="str">
        <f>IF(GLAPS자동계산!N23="","",GLAPS자동계산!N23)</f>
        <v/>
      </c>
      <c r="N24" s="13" t="str">
        <f>IF(GLAPS자동계산!O23="","",GLAPS자동계산!O23)</f>
        <v/>
      </c>
      <c r="O24" s="3" t="str">
        <f>IF(GLAPS자동계산!P23="","",GLAPS자동계산!P23)</f>
        <v/>
      </c>
      <c r="P24" s="2" t="str">
        <f>IF(GLAPS자동계산!Q23="","",GLAPS자동계산!Q23)</f>
        <v/>
      </c>
      <c r="Q24" s="3" t="str">
        <f>IF(GLAPS자동계산!R23="","",GLAPS자동계산!R23)</f>
        <v/>
      </c>
      <c r="R24" s="3" t="str">
        <f>IF(GLAPS자동계산!S23="","",GLAPS자동계산!S23)</f>
        <v/>
      </c>
      <c r="S24" s="3" t="str">
        <f>IF(GLAPS자동계산!T23="","",GLAPS자동계산!T23)</f>
        <v/>
      </c>
      <c r="T24" s="3" t="str">
        <f>IF(GLAPS자동계산!U23="","",GLAPS자동계산!U23)</f>
        <v/>
      </c>
      <c r="U24" s="3" t="str">
        <f>IF(GLAPS자동계산!V23="","",GLAPS자동계산!V23)</f>
        <v/>
      </c>
      <c r="V24" s="3" t="str">
        <f>IF(GLAPS자동계산!W23="","",GLAPS자동계산!W23)</f>
        <v/>
      </c>
      <c r="W24" s="14" t="str">
        <f>IF(GLAPS자동계산!X23="","",GLAPS자동계산!X23)</f>
        <v/>
      </c>
      <c r="X24" s="13" t="str">
        <f>IF(GLAPS자동계산!Y23="","",GLAPS자동계산!Y23)</f>
        <v/>
      </c>
      <c r="Y24" s="13" t="str">
        <f>IF(GLAPS자동계산!Z23="","",GLAPS자동계산!Z23)</f>
        <v/>
      </c>
      <c r="Z24" s="91" t="str">
        <f>IF(GLAPS자동계산!AA23="","",GLAPS자동계산!AA23)</f>
        <v/>
      </c>
      <c r="AA24" s="14" t="str">
        <f>IF(GLAPS자동계산!AB23="","",GLAPS자동계산!AB23)</f>
        <v/>
      </c>
      <c r="AC24" s="2" t="str">
        <f>IF($B24="","",$AC$1)</f>
        <v/>
      </c>
      <c r="AD24" s="2" t="str">
        <f>IF($B24="","",IFERROR(INDEX(GLAPS정리!$D$2:$D$50,MATCH(I24,GLAPS정리!$A$2:$A$50,0)),IFERROR(INDEX(GLAPS정리!$D$2:$D$50,MATCH(I24,GLAPS정리!$B$2:$B$50,0)),"")))</f>
        <v/>
      </c>
      <c r="AF24" s="2" t="str">
        <f>IF($B24="","",$AF$1)</f>
        <v/>
      </c>
      <c r="AI24" s="2" t="str">
        <f>IF($B24="","",IF(F24="","",VLOOKUP(F24,GLAPS정리!$G$3:$J$114,2,0)))</f>
        <v/>
      </c>
      <c r="AJ24" s="2" t="str">
        <f>IF($B24="","",IF(Z24="울산정일","KRONS",IF(Z24="울산신항","KRUSN",IF(OR(Z24="선광종합물류(인천여객)",Z24="인천여객(인천여객)"),"KRINF",IF(OR(Z24="선광인천보세(인천신)",Z24="한진인천(인천신)",Z24="선광인천신항(인천신)",Z24="인천더로지스(인천신)"),"KRINN",IF(OR(Z24="인천진아(인천항)",Z24="인천E1(인천항)",Z24="인천SM경인터미널(인천항)",Z24="인천항(인천항)",Z24="인천우련(인천항)",Z24="인천항8부두(인천항)"),"KRINC",VLOOKUP(K24,GLAPS정리!$BB$2:$BC$33,2,0)))))))</f>
        <v/>
      </c>
      <c r="AL24" s="2" t="str">
        <f>IF($B24="","",$AL$1)</f>
        <v/>
      </c>
      <c r="AN24" s="70" t="str">
        <f>IF($B24="","",TEXT(B24,"YYYY-MM-DD"))</f>
        <v/>
      </c>
      <c r="AO24" s="2" t="str">
        <f>IF($B24="","",IF(E24="오전", "0800", IF(E24="오후", "1300", IF(E24="잔업", "1800", ""))))</f>
        <v/>
      </c>
      <c r="AP24" s="2" t="str">
        <f>IF($B24="","",IF(C24="","",VLOOKUP(C24,GLAPS정리!$AX$2:$AZ$17,3,0)))</f>
        <v/>
      </c>
      <c r="AR24" s="2" t="str">
        <f>IF($B24="","",IF(X24="","",X24))</f>
        <v/>
      </c>
      <c r="AX24" s="2" t="str">
        <f>IF($B24="","",IF(L24="","",VLOOKUP(L24,GLAPS정리!$V$3:$W$180,2,0)))</f>
        <v/>
      </c>
      <c r="BM24" s="2" t="str">
        <f>IF($B24="","",IF(AND(Q24=1,OR(P24="",P24="위험물")), "2210", IF(AND(Q24=1,OR(P24="리퍼",P24="위험물리퍼")), "2230", IF(AND(S24=1,OR(P24="",P24="위험물")), "4510", IF(AND(S24=1,OR(P24="리퍼",P24="위험물리퍼")), "4530", IF(AND(R24=1,OR(P24="",P24="위험물")), "4210", IF(AND(R24=1,P24="리퍼"), "4230", " ")))))))</f>
        <v/>
      </c>
      <c r="BN24" s="2" t="str">
        <f>IF($B24="","",$BN$1)</f>
        <v/>
      </c>
      <c r="BR24" s="2" t="str">
        <f>IF($B24="","",IF(OR(P24="리퍼",P24="위험물리퍼"),"Y",""))</f>
        <v/>
      </c>
      <c r="BS24" s="2" t="str">
        <f>IF($B24="","",IF(OR(P24="위험물",P24="위험물리퍼"),"Y",""))</f>
        <v/>
      </c>
      <c r="BV24" s="2" t="str">
        <f>IF($B24="","",IF(O24="","",VLOOKUP(O24,GLAPS정리!$BH$2:$BI$94,2,0)))</f>
        <v/>
      </c>
      <c r="BW24" s="2" t="str">
        <f>IF($B24="","",IF(OR(Z24="동원",Z24="세방",Z24="한타"),"",IFERROR(INDEX(GLAPS정리!$BI$2:$BI$101,MATCH(Z24,GLAPS정리!$BH$2:$BH$101,0)),"")))</f>
        <v/>
      </c>
      <c r="BX24" s="2" t="str">
        <f>IF($B24="","",IF(Z24="","",IFERROR(VLOOKUP(Z24,GLAPS정리!$AX$2:$AZ$17,3,0),"")))</f>
        <v/>
      </c>
      <c r="BZ24" s="2" t="str">
        <f>IF($B24="","",IF(H24="","",VLOOKUP(H24,GLAPS정리!$L$3:$O$133,2,0)))</f>
        <v/>
      </c>
      <c r="CA24" s="2" t="str">
        <f>IF($B24="","",IF(V24="공휴일", 10, IF(V24="야간", 20, IF(V24="위험물", 30, IF(V24="중량", 40, "")))))</f>
        <v/>
      </c>
      <c r="CL24" s="2" t="str">
        <f>IF($B24="","",IF(AI24="","",VLOOKUP(AI24,GLAPS정리!$BT$3:$BV$26,3,0)))</f>
        <v/>
      </c>
    </row>
    <row r="25" spans="1:90" ht="20.45" customHeight="1">
      <c r="A25" s="70"/>
      <c r="B25" s="13" t="str">
        <f>IF(GLAPS자동계산!C24="","",GLAPS자동계산!C24)</f>
        <v/>
      </c>
      <c r="C25" s="13" t="str">
        <f>IF(GLAPS자동계산!D24="","",GLAPS자동계산!D24)</f>
        <v/>
      </c>
      <c r="D25" s="16" t="str">
        <f>IF(GLAPS자동계산!E24="","",GLAPS자동계산!E24)</f>
        <v/>
      </c>
      <c r="E25" s="13" t="str">
        <f>IF(GLAPS자동계산!F24="","",GLAPS자동계산!F24)</f>
        <v/>
      </c>
      <c r="F25" s="13" t="str">
        <f>IF(GLAPS자동계산!G24="","",GLAPS자동계산!G24)</f>
        <v/>
      </c>
      <c r="G25" s="13" t="str">
        <f>IF(GLAPS자동계산!H24="","",GLAPS자동계산!H24)</f>
        <v/>
      </c>
      <c r="H25" s="13" t="str">
        <f>IF(GLAPS자동계산!I24="","",GLAPS자동계산!I24)</f>
        <v/>
      </c>
      <c r="I25" s="13" t="str">
        <f>IF(GLAPS자동계산!J24="","",GLAPS자동계산!J24)</f>
        <v/>
      </c>
      <c r="J25" s="13" t="str">
        <f>IF(GLAPS자동계산!K24="","",GLAPS자동계산!K24)</f>
        <v/>
      </c>
      <c r="K25" s="13" t="str">
        <f>IF(GLAPS자동계산!L24="","",GLAPS자동계산!L24)</f>
        <v/>
      </c>
      <c r="L25" s="13" t="str">
        <f>IF(GLAPS자동계산!M24="","",GLAPS자동계산!M24)</f>
        <v/>
      </c>
      <c r="M25" s="13" t="str">
        <f>IF(GLAPS자동계산!N24="","",GLAPS자동계산!N24)</f>
        <v/>
      </c>
      <c r="N25" s="13" t="str">
        <f>IF(GLAPS자동계산!O24="","",GLAPS자동계산!O24)</f>
        <v/>
      </c>
      <c r="O25" s="3" t="str">
        <f>IF(GLAPS자동계산!P24="","",GLAPS자동계산!P24)</f>
        <v/>
      </c>
      <c r="P25" s="2" t="str">
        <f>IF(GLAPS자동계산!Q24="","",GLAPS자동계산!Q24)</f>
        <v/>
      </c>
      <c r="Q25" s="3" t="str">
        <f>IF(GLAPS자동계산!R24="","",GLAPS자동계산!R24)</f>
        <v/>
      </c>
      <c r="R25" s="3" t="str">
        <f>IF(GLAPS자동계산!S24="","",GLAPS자동계산!S24)</f>
        <v/>
      </c>
      <c r="S25" s="3" t="str">
        <f>IF(GLAPS자동계산!T24="","",GLAPS자동계산!T24)</f>
        <v/>
      </c>
      <c r="T25" s="3" t="str">
        <f>IF(GLAPS자동계산!U24="","",GLAPS자동계산!U24)</f>
        <v/>
      </c>
      <c r="U25" s="3" t="str">
        <f>IF(GLAPS자동계산!V24="","",GLAPS자동계산!V24)</f>
        <v/>
      </c>
      <c r="V25" s="3" t="str">
        <f>IF(GLAPS자동계산!W24="","",GLAPS자동계산!W24)</f>
        <v/>
      </c>
      <c r="W25" s="14" t="str">
        <f>IF(GLAPS자동계산!X24="","",GLAPS자동계산!X24)</f>
        <v/>
      </c>
      <c r="X25" s="13" t="str">
        <f>IF(GLAPS자동계산!Y24="","",GLAPS자동계산!Y24)</f>
        <v/>
      </c>
      <c r="Y25" s="13" t="str">
        <f>IF(GLAPS자동계산!Z24="","",GLAPS자동계산!Z24)</f>
        <v/>
      </c>
      <c r="Z25" s="91" t="str">
        <f>IF(GLAPS자동계산!AA24="","",GLAPS자동계산!AA24)</f>
        <v/>
      </c>
      <c r="AA25" s="14" t="str">
        <f>IF(GLAPS자동계산!AB24="","",GLAPS자동계산!AB24)</f>
        <v/>
      </c>
      <c r="AC25" s="2" t="str">
        <f>IF($B25="","",$AC$1)</f>
        <v/>
      </c>
      <c r="AD25" s="2" t="str">
        <f>IF($B25="","",IFERROR(INDEX(GLAPS정리!$D$2:$D$50,MATCH(I25,GLAPS정리!$A$2:$A$50,0)),IFERROR(INDEX(GLAPS정리!$D$2:$D$50,MATCH(I25,GLAPS정리!$B$2:$B$50,0)),"")))</f>
        <v/>
      </c>
      <c r="AF25" s="2" t="str">
        <f>IF($B25="","",$AF$1)</f>
        <v/>
      </c>
      <c r="AI25" s="2" t="str">
        <f>IF($B25="","",IF(F25="","",VLOOKUP(F25,GLAPS정리!$G$3:$J$114,2,0)))</f>
        <v/>
      </c>
      <c r="AJ25" s="2" t="str">
        <f>IF($B25="","",IF(Z25="울산정일","KRONS",IF(Z25="울산신항","KRUSN",IF(OR(Z25="선광종합물류(인천여객)",Z25="인천여객(인천여객)"),"KRINF",IF(OR(Z25="선광인천보세(인천신)",Z25="한진인천(인천신)",Z25="선광인천신항(인천신)",Z25="인천더로지스(인천신)"),"KRINN",IF(OR(Z25="인천진아(인천항)",Z25="인천E1(인천항)",Z25="인천SM경인터미널(인천항)",Z25="인천항(인천항)",Z25="인천우련(인천항)",Z25="인천항8부두(인천항)"),"KRINC",VLOOKUP(K25,GLAPS정리!$BB$2:$BC$33,2,0)))))))</f>
        <v/>
      </c>
      <c r="AL25" s="2" t="str">
        <f>IF($B25="","",$AL$1)</f>
        <v/>
      </c>
      <c r="AN25" s="70" t="str">
        <f>IF($B25="","",TEXT(B25,"YYYY-MM-DD"))</f>
        <v/>
      </c>
      <c r="AO25" s="2" t="str">
        <f>IF($B25="","",IF(E25="오전", "0800", IF(E25="오후", "1300", IF(E25="잔업", "1800", ""))))</f>
        <v/>
      </c>
      <c r="AP25" s="2" t="str">
        <f>IF($B25="","",IF(C25="","",VLOOKUP(C25,GLAPS정리!$AX$2:$AZ$17,3,0)))</f>
        <v/>
      </c>
      <c r="AR25" s="2" t="str">
        <f>IF($B25="","",IF(X25="","",X25))</f>
        <v/>
      </c>
      <c r="AX25" s="2" t="str">
        <f>IF($B25="","",IF(L25="","",VLOOKUP(L25,GLAPS정리!$V$3:$W$180,2,0)))</f>
        <v/>
      </c>
      <c r="BM25" s="2" t="str">
        <f>IF($B25="","",IF(AND(Q25=1,OR(P25="",P25="위험물")), "2210", IF(AND(Q25=1,OR(P25="리퍼",P25="위험물리퍼")), "2230", IF(AND(S25=1,OR(P25="",P25="위험물")), "4510", IF(AND(S25=1,OR(P25="리퍼",P25="위험물리퍼")), "4530", IF(AND(R25=1,OR(P25="",P25="위험물")), "4210", IF(AND(R25=1,P25="리퍼"), "4230", " ")))))))</f>
        <v/>
      </c>
      <c r="BN25" s="2" t="str">
        <f>IF($B25="","",$BN$1)</f>
        <v/>
      </c>
      <c r="BR25" s="2" t="str">
        <f>IF($B25="","",IF(OR(P25="리퍼",P25="위험물리퍼"),"Y",""))</f>
        <v/>
      </c>
      <c r="BS25" s="2" t="str">
        <f>IF($B25="","",IF(OR(P25="위험물",P25="위험물리퍼"),"Y",""))</f>
        <v/>
      </c>
      <c r="BV25" s="2" t="str">
        <f>IF($B25="","",IF(O25="","",VLOOKUP(O25,GLAPS정리!$BH$2:$BI$94,2,0)))</f>
        <v/>
      </c>
      <c r="BW25" s="2" t="str">
        <f>IF($B25="","",IF(OR(Z25="동원",Z25="세방",Z25="한타"),"",IFERROR(INDEX(GLAPS정리!$BI$2:$BI$101,MATCH(Z25,GLAPS정리!$BH$2:$BH$101,0)),"")))</f>
        <v/>
      </c>
      <c r="BX25" s="2" t="str">
        <f>IF($B25="","",IF(Z25="","",IFERROR(VLOOKUP(Z25,GLAPS정리!$AX$2:$AZ$17,3,0),"")))</f>
        <v/>
      </c>
      <c r="BZ25" s="2" t="str">
        <f>IF($B25="","",IF(H25="","",VLOOKUP(H25,GLAPS정리!$L$3:$O$133,2,0)))</f>
        <v/>
      </c>
      <c r="CA25" s="2" t="str">
        <f>IF($B25="","",IF(V25="공휴일", 10, IF(V25="야간", 20, IF(V25="위험물", 30, IF(V25="중량", 40, "")))))</f>
        <v/>
      </c>
      <c r="CL25" s="2" t="str">
        <f>IF($B25="","",IF(AI25="","",VLOOKUP(AI25,GLAPS정리!$BT$3:$BV$26,3,0)))</f>
        <v/>
      </c>
    </row>
    <row r="26" spans="1:90" ht="20.45" customHeight="1">
      <c r="A26" s="70"/>
      <c r="B26" s="13" t="str">
        <f>IF(GLAPS자동계산!C25="","",GLAPS자동계산!C25)</f>
        <v/>
      </c>
      <c r="C26" s="13" t="str">
        <f>IF(GLAPS자동계산!D25="","",GLAPS자동계산!D25)</f>
        <v/>
      </c>
      <c r="D26" s="16" t="str">
        <f>IF(GLAPS자동계산!E25="","",GLAPS자동계산!E25)</f>
        <v/>
      </c>
      <c r="E26" s="13" t="str">
        <f>IF(GLAPS자동계산!F25="","",GLAPS자동계산!F25)</f>
        <v/>
      </c>
      <c r="F26" s="13" t="str">
        <f>IF(GLAPS자동계산!G25="","",GLAPS자동계산!G25)</f>
        <v/>
      </c>
      <c r="G26" s="13" t="str">
        <f>IF(GLAPS자동계산!H25="","",GLAPS자동계산!H25)</f>
        <v/>
      </c>
      <c r="H26" s="13" t="str">
        <f>IF(GLAPS자동계산!I25="","",GLAPS자동계산!I25)</f>
        <v/>
      </c>
      <c r="I26" s="13" t="str">
        <f>IF(GLAPS자동계산!J25="","",GLAPS자동계산!J25)</f>
        <v/>
      </c>
      <c r="J26" s="13" t="str">
        <f>IF(GLAPS자동계산!K25="","",GLAPS자동계산!K25)</f>
        <v/>
      </c>
      <c r="K26" s="13" t="str">
        <f>IF(GLAPS자동계산!L25="","",GLAPS자동계산!L25)</f>
        <v/>
      </c>
      <c r="L26" s="13" t="str">
        <f>IF(GLAPS자동계산!M25="","",GLAPS자동계산!M25)</f>
        <v/>
      </c>
      <c r="M26" s="13" t="str">
        <f>IF(GLAPS자동계산!N25="","",GLAPS자동계산!N25)</f>
        <v/>
      </c>
      <c r="N26" s="13" t="str">
        <f>IF(GLAPS자동계산!O25="","",GLAPS자동계산!O25)</f>
        <v/>
      </c>
      <c r="O26" s="3" t="str">
        <f>IF(GLAPS자동계산!P25="","",GLAPS자동계산!P25)</f>
        <v/>
      </c>
      <c r="P26" s="2" t="str">
        <f>IF(GLAPS자동계산!Q25="","",GLAPS자동계산!Q25)</f>
        <v/>
      </c>
      <c r="Q26" s="3" t="str">
        <f>IF(GLAPS자동계산!R25="","",GLAPS자동계산!R25)</f>
        <v/>
      </c>
      <c r="R26" s="3" t="str">
        <f>IF(GLAPS자동계산!S25="","",GLAPS자동계산!S25)</f>
        <v/>
      </c>
      <c r="S26" s="3" t="str">
        <f>IF(GLAPS자동계산!T25="","",GLAPS자동계산!T25)</f>
        <v/>
      </c>
      <c r="T26" s="3" t="str">
        <f>IF(GLAPS자동계산!U25="","",GLAPS자동계산!U25)</f>
        <v/>
      </c>
      <c r="U26" s="3" t="str">
        <f>IF(GLAPS자동계산!V25="","",GLAPS자동계산!V25)</f>
        <v/>
      </c>
      <c r="V26" s="3" t="str">
        <f>IF(GLAPS자동계산!W25="","",GLAPS자동계산!W25)</f>
        <v/>
      </c>
      <c r="W26" s="14" t="str">
        <f>IF(GLAPS자동계산!X25="","",GLAPS자동계산!X25)</f>
        <v/>
      </c>
      <c r="X26" s="13" t="str">
        <f>IF(GLAPS자동계산!Y25="","",GLAPS자동계산!Y25)</f>
        <v/>
      </c>
      <c r="Y26" s="13" t="str">
        <f>IF(GLAPS자동계산!Z25="","",GLAPS자동계산!Z25)</f>
        <v/>
      </c>
      <c r="Z26" s="91" t="str">
        <f>IF(GLAPS자동계산!AA25="","",GLAPS자동계산!AA25)</f>
        <v/>
      </c>
      <c r="AA26" s="14" t="str">
        <f>IF(GLAPS자동계산!AB25="","",GLAPS자동계산!AB25)</f>
        <v/>
      </c>
      <c r="AC26" s="2" t="str">
        <f>IF($B26="","",$AC$1)</f>
        <v/>
      </c>
      <c r="AD26" s="2" t="str">
        <f>IF($B26="","",IFERROR(INDEX(GLAPS정리!$D$2:$D$50,MATCH(I26,GLAPS정리!$A$2:$A$50,0)),IFERROR(INDEX(GLAPS정리!$D$2:$D$50,MATCH(I26,GLAPS정리!$B$2:$B$50,0)),"")))</f>
        <v/>
      </c>
      <c r="AF26" s="2" t="str">
        <f>IF($B26="","",$AF$1)</f>
        <v/>
      </c>
      <c r="AI26" s="2" t="str">
        <f>IF($B26="","",IF(F26="","",VLOOKUP(F26,GLAPS정리!$G$3:$J$114,2,0)))</f>
        <v/>
      </c>
      <c r="AJ26" s="2" t="str">
        <f>IF($B26="","",IF(Z26="울산정일","KRONS",IF(Z26="울산신항","KRUSN",IF(OR(Z26="선광종합물류(인천여객)",Z26="인천여객(인천여객)"),"KRINF",IF(OR(Z26="선광인천보세(인천신)",Z26="한진인천(인천신)",Z26="선광인천신항(인천신)",Z26="인천더로지스(인천신)"),"KRINN",IF(OR(Z26="인천진아(인천항)",Z26="인천E1(인천항)",Z26="인천SM경인터미널(인천항)",Z26="인천항(인천항)",Z26="인천우련(인천항)",Z26="인천항8부두(인천항)"),"KRINC",VLOOKUP(K26,GLAPS정리!$BB$2:$BC$33,2,0)))))))</f>
        <v/>
      </c>
      <c r="AL26" s="2" t="str">
        <f>IF($B26="","",$AL$1)</f>
        <v/>
      </c>
      <c r="AN26" s="70" t="str">
        <f>IF($B26="","",TEXT(B26,"YYYY-MM-DD"))</f>
        <v/>
      </c>
      <c r="AO26" s="2" t="str">
        <f>IF($B26="","",IF(E26="오전", "0800", IF(E26="오후", "1300", IF(E26="잔업", "1800", ""))))</f>
        <v/>
      </c>
      <c r="AP26" s="2" t="str">
        <f>IF($B26="","",IF(C26="","",VLOOKUP(C26,GLAPS정리!$AX$2:$AZ$17,3,0)))</f>
        <v/>
      </c>
      <c r="AR26" s="2" t="str">
        <f>IF($B26="","",IF(X26="","",X26))</f>
        <v/>
      </c>
      <c r="AX26" s="2" t="str">
        <f>IF($B26="","",IF(L26="","",VLOOKUP(L26,GLAPS정리!$V$3:$W$180,2,0)))</f>
        <v/>
      </c>
      <c r="BM26" s="2" t="str">
        <f>IF($B26="","",IF(AND(Q26=1,OR(P26="",P26="위험물")), "2210", IF(AND(Q26=1,OR(P26="리퍼",P26="위험물리퍼")), "2230", IF(AND(S26=1,OR(P26="",P26="위험물")), "4510", IF(AND(S26=1,OR(P26="리퍼",P26="위험물리퍼")), "4530", IF(AND(R26=1,OR(P26="",P26="위험물")), "4210", IF(AND(R26=1,P26="리퍼"), "4230", " ")))))))</f>
        <v/>
      </c>
      <c r="BN26" s="2" t="str">
        <f>IF($B26="","",$BN$1)</f>
        <v/>
      </c>
      <c r="BR26" s="2" t="str">
        <f>IF($B26="","",IF(OR(P26="리퍼",P26="위험물리퍼"),"Y",""))</f>
        <v/>
      </c>
      <c r="BS26" s="2" t="str">
        <f>IF($B26="","",IF(OR(P26="위험물",P26="위험물리퍼"),"Y",""))</f>
        <v/>
      </c>
      <c r="BV26" s="2" t="str">
        <f>IF($B26="","",IF(O26="","",VLOOKUP(O26,GLAPS정리!$BH$2:$BI$94,2,0)))</f>
        <v/>
      </c>
      <c r="BW26" s="2" t="str">
        <f>IF($B26="","",IF(OR(Z26="동원",Z26="세방",Z26="한타"),"",IFERROR(INDEX(GLAPS정리!$BI$2:$BI$101,MATCH(Z26,GLAPS정리!$BH$2:$BH$101,0)),"")))</f>
        <v/>
      </c>
      <c r="BX26" s="2" t="str">
        <f>IF($B26="","",IF(Z26="","",IFERROR(VLOOKUP(Z26,GLAPS정리!$AX$2:$AZ$17,3,0),"")))</f>
        <v/>
      </c>
      <c r="BZ26" s="2" t="str">
        <f>IF($B26="","",IF(H26="","",VLOOKUP(H26,GLAPS정리!$L$3:$O$133,2,0)))</f>
        <v/>
      </c>
      <c r="CA26" s="2" t="str">
        <f>IF($B26="","",IF(V26="공휴일", 10, IF(V26="야간", 20, IF(V26="위험물", 30, IF(V26="중량", 40, "")))))</f>
        <v/>
      </c>
      <c r="CL26" s="2" t="str">
        <f>IF($B26="","",IF(AI26="","",VLOOKUP(AI26,GLAPS정리!$BT$3:$BV$26,3,0)))</f>
        <v/>
      </c>
    </row>
    <row r="27" spans="1:90" ht="20.45" customHeight="1">
      <c r="B27" s="13" t="str">
        <f>IF(GLAPS자동계산!C26="","",GLAPS자동계산!C26)</f>
        <v/>
      </c>
      <c r="C27" s="13" t="str">
        <f>IF(GLAPS자동계산!D26="","",GLAPS자동계산!D26)</f>
        <v/>
      </c>
      <c r="D27" s="16" t="str">
        <f>IF(GLAPS자동계산!E26="","",GLAPS자동계산!E26)</f>
        <v/>
      </c>
      <c r="E27" s="13" t="str">
        <f>IF(GLAPS자동계산!F26="","",GLAPS자동계산!F26)</f>
        <v/>
      </c>
      <c r="F27" s="13" t="str">
        <f>IF(GLAPS자동계산!G26="","",GLAPS자동계산!G26)</f>
        <v/>
      </c>
      <c r="G27" s="13" t="str">
        <f>IF(GLAPS자동계산!H26="","",GLAPS자동계산!H26)</f>
        <v/>
      </c>
      <c r="H27" s="13" t="str">
        <f>IF(GLAPS자동계산!I26="","",GLAPS자동계산!I26)</f>
        <v/>
      </c>
      <c r="I27" s="13" t="str">
        <f>IF(GLAPS자동계산!J26="","",GLAPS자동계산!J26)</f>
        <v/>
      </c>
      <c r="J27" s="13" t="str">
        <f>IF(GLAPS자동계산!K26="","",GLAPS자동계산!K26)</f>
        <v/>
      </c>
      <c r="K27" s="13" t="str">
        <f>IF(GLAPS자동계산!L26="","",GLAPS자동계산!L26)</f>
        <v/>
      </c>
      <c r="L27" s="13" t="str">
        <f>IF(GLAPS자동계산!M26="","",GLAPS자동계산!M26)</f>
        <v/>
      </c>
      <c r="M27" s="13" t="str">
        <f>IF(GLAPS자동계산!N26="","",GLAPS자동계산!N26)</f>
        <v/>
      </c>
      <c r="N27" s="13" t="str">
        <f>IF(GLAPS자동계산!O26="","",GLAPS자동계산!O26)</f>
        <v/>
      </c>
      <c r="O27" s="3" t="str">
        <f>IF(GLAPS자동계산!P26="","",GLAPS자동계산!P26)</f>
        <v/>
      </c>
      <c r="P27" s="2" t="str">
        <f>IF(GLAPS자동계산!Q26="","",GLAPS자동계산!Q26)</f>
        <v/>
      </c>
      <c r="Q27" s="3" t="str">
        <f>IF(GLAPS자동계산!R26="","",GLAPS자동계산!R26)</f>
        <v/>
      </c>
      <c r="R27" s="3" t="str">
        <f>IF(GLAPS자동계산!S26="","",GLAPS자동계산!S26)</f>
        <v/>
      </c>
      <c r="S27" s="3" t="str">
        <f>IF(GLAPS자동계산!T26="","",GLAPS자동계산!T26)</f>
        <v/>
      </c>
      <c r="T27" s="3" t="str">
        <f>IF(GLAPS자동계산!U26="","",GLAPS자동계산!U26)</f>
        <v/>
      </c>
      <c r="U27" s="3" t="str">
        <f>IF(GLAPS자동계산!V26="","",GLAPS자동계산!V26)</f>
        <v/>
      </c>
      <c r="V27" s="3" t="str">
        <f>IF(GLAPS자동계산!W26="","",GLAPS자동계산!W26)</f>
        <v/>
      </c>
      <c r="W27" s="14" t="str">
        <f>IF(GLAPS자동계산!X26="","",GLAPS자동계산!X26)</f>
        <v/>
      </c>
      <c r="X27" s="13" t="str">
        <f>IF(GLAPS자동계산!Y26="","",GLAPS자동계산!Y26)</f>
        <v/>
      </c>
      <c r="Y27" s="13" t="str">
        <f>IF(GLAPS자동계산!Z26="","",GLAPS자동계산!Z26)</f>
        <v/>
      </c>
      <c r="Z27" s="91" t="str">
        <f>IF(GLAPS자동계산!AA26="","",GLAPS자동계산!AA26)</f>
        <v/>
      </c>
      <c r="AA27" s="14" t="str">
        <f>IF(GLAPS자동계산!AB26="","",GLAPS자동계산!AB26)</f>
        <v/>
      </c>
      <c r="AC27" s="2" t="str">
        <f>IF($B27="","",$AC$1)</f>
        <v/>
      </c>
      <c r="AD27" s="2" t="str">
        <f>IF($B27="","",IFERROR(INDEX(GLAPS정리!$D$2:$D$50,MATCH(I27,GLAPS정리!$A$2:$A$50,0)),IFERROR(INDEX(GLAPS정리!$D$2:$D$50,MATCH(I27,GLAPS정리!$B$2:$B$50,0)),"")))</f>
        <v/>
      </c>
      <c r="AF27" s="2" t="str">
        <f>IF($B27="","",$AF$1)</f>
        <v/>
      </c>
      <c r="AI27" s="2" t="str">
        <f>IF($B27="","",IF(F27="","",VLOOKUP(F27,GLAPS정리!$G$3:$J$114,2,0)))</f>
        <v/>
      </c>
      <c r="AJ27" s="2" t="str">
        <f>IF($B27="","",IF(Z27="울산정일","KRONS",IF(Z27="울산신항","KRUSN",IF(OR(Z27="선광종합물류(인천여객)",Z27="인천여객(인천여객)"),"KRINF",IF(OR(Z27="선광인천보세(인천신)",Z27="한진인천(인천신)",Z27="선광인천신항(인천신)",Z27="인천더로지스(인천신)"),"KRINN",IF(OR(Z27="인천진아(인천항)",Z27="인천E1(인천항)",Z27="인천SM경인터미널(인천항)",Z27="인천항(인천항)",Z27="인천우련(인천항)",Z27="인천항8부두(인천항)"),"KRINC",VLOOKUP(K27,GLAPS정리!$BB$2:$BC$33,2,0)))))))</f>
        <v/>
      </c>
      <c r="AL27" s="2" t="str">
        <f>IF($B27="","",$AL$1)</f>
        <v/>
      </c>
      <c r="AN27" s="70" t="str">
        <f>IF($B27="","",TEXT(B27,"YYYY-MM-DD"))</f>
        <v/>
      </c>
      <c r="AO27" s="2" t="str">
        <f>IF($B27="","",IF(E27="오전", "0800", IF(E27="오후", "1300", IF(E27="잔업", "1800", ""))))</f>
        <v/>
      </c>
      <c r="AP27" s="2" t="str">
        <f>IF($B27="","",IF(C27="","",VLOOKUP(C27,GLAPS정리!$AX$2:$AZ$17,3,0)))</f>
        <v/>
      </c>
      <c r="AR27" s="2" t="str">
        <f>IF($B27="","",IF(X27="","",X27))</f>
        <v/>
      </c>
      <c r="AX27" s="2" t="str">
        <f>IF($B27="","",IF(L27="","",VLOOKUP(L27,GLAPS정리!$V$3:$W$180,2,0)))</f>
        <v/>
      </c>
      <c r="BM27" s="2" t="str">
        <f>IF($B27="","",IF(AND(Q27=1,OR(P27="",P27="위험물")), "2210", IF(AND(Q27=1,OR(P27="리퍼",P27="위험물리퍼")), "2230", IF(AND(S27=1,OR(P27="",P27="위험물")), "4510", IF(AND(S27=1,OR(P27="리퍼",P27="위험물리퍼")), "4530", IF(AND(R27=1,OR(P27="",P27="위험물")), "4210", IF(AND(R27=1,P27="리퍼"), "4230", " ")))))))</f>
        <v/>
      </c>
      <c r="BN27" s="2" t="str">
        <f>IF($B27="","",$BN$1)</f>
        <v/>
      </c>
      <c r="BR27" s="2" t="str">
        <f>IF($B27="","",IF(OR(P27="리퍼",P27="위험물리퍼"),"Y",""))</f>
        <v/>
      </c>
      <c r="BS27" s="2" t="str">
        <f>IF($B27="","",IF(OR(P27="위험물",P27="위험물리퍼"),"Y",""))</f>
        <v/>
      </c>
      <c r="BV27" s="2" t="str">
        <f>IF($B27="","",IF(O27="","",VLOOKUP(O27,GLAPS정리!$BH$2:$BI$94,2,0)))</f>
        <v/>
      </c>
      <c r="BW27" s="2" t="str">
        <f>IF($B27="","",IF(OR(Z27="동원",Z27="세방",Z27="한타"),"",IFERROR(INDEX(GLAPS정리!$BI$2:$BI$101,MATCH(Z27,GLAPS정리!$BH$2:$BH$101,0)),"")))</f>
        <v/>
      </c>
      <c r="BX27" s="2" t="str">
        <f>IF($B27="","",IF(Z27="","",IFERROR(VLOOKUP(Z27,GLAPS정리!$AX$2:$AZ$17,3,0),"")))</f>
        <v/>
      </c>
      <c r="BZ27" s="2" t="str">
        <f>IF($B27="","",IF(H27="","",VLOOKUP(H27,GLAPS정리!$L$3:$O$133,2,0)))</f>
        <v/>
      </c>
      <c r="CA27" s="2" t="str">
        <f>IF($B27="","",IF(V27="공휴일", 10, IF(V27="야간", 20, IF(V27="위험물", 30, IF(V27="중량", 40, "")))))</f>
        <v/>
      </c>
      <c r="CL27" s="2" t="str">
        <f>IF($B27="","",IF(AI27="","",VLOOKUP(AI27,GLAPS정리!$BT$3:$BV$26,3,0)))</f>
        <v/>
      </c>
    </row>
    <row r="28" spans="1:90" ht="20.45" customHeight="1">
      <c r="B28" s="13" t="str">
        <f>IF(GLAPS자동계산!C27="","",GLAPS자동계산!C27)</f>
        <v/>
      </c>
      <c r="C28" s="13" t="str">
        <f>IF(GLAPS자동계산!D27="","",GLAPS자동계산!D27)</f>
        <v/>
      </c>
      <c r="D28" s="16" t="str">
        <f>IF(GLAPS자동계산!E27="","",GLAPS자동계산!E27)</f>
        <v/>
      </c>
      <c r="E28" s="13" t="str">
        <f>IF(GLAPS자동계산!F27="","",GLAPS자동계산!F27)</f>
        <v/>
      </c>
      <c r="F28" s="13" t="str">
        <f>IF(GLAPS자동계산!G27="","",GLAPS자동계산!G27)</f>
        <v/>
      </c>
      <c r="G28" s="13" t="str">
        <f>IF(GLAPS자동계산!H27="","",GLAPS자동계산!H27)</f>
        <v/>
      </c>
      <c r="H28" s="13" t="str">
        <f>IF(GLAPS자동계산!I27="","",GLAPS자동계산!I27)</f>
        <v/>
      </c>
      <c r="I28" s="13" t="str">
        <f>IF(GLAPS자동계산!J27="","",GLAPS자동계산!J27)</f>
        <v/>
      </c>
      <c r="J28" s="13" t="str">
        <f>IF(GLAPS자동계산!K27="","",GLAPS자동계산!K27)</f>
        <v/>
      </c>
      <c r="K28" s="13" t="str">
        <f>IF(GLAPS자동계산!L27="","",GLAPS자동계산!L27)</f>
        <v/>
      </c>
      <c r="L28" s="13" t="str">
        <f>IF(GLAPS자동계산!M27="","",GLAPS자동계산!M27)</f>
        <v/>
      </c>
      <c r="M28" s="13" t="str">
        <f>IF(GLAPS자동계산!N27="","",GLAPS자동계산!N27)</f>
        <v/>
      </c>
      <c r="N28" s="13" t="str">
        <f>IF(GLAPS자동계산!O27="","",GLAPS자동계산!O27)</f>
        <v/>
      </c>
      <c r="O28" s="3" t="str">
        <f>IF(GLAPS자동계산!P27="","",GLAPS자동계산!P27)</f>
        <v/>
      </c>
      <c r="P28" s="2" t="str">
        <f>IF(GLAPS자동계산!Q27="","",GLAPS자동계산!Q27)</f>
        <v/>
      </c>
      <c r="Q28" s="3" t="str">
        <f>IF(GLAPS자동계산!R27="","",GLAPS자동계산!R27)</f>
        <v/>
      </c>
      <c r="R28" s="3" t="str">
        <f>IF(GLAPS자동계산!S27="","",GLAPS자동계산!S27)</f>
        <v/>
      </c>
      <c r="S28" s="3" t="str">
        <f>IF(GLAPS자동계산!T27="","",GLAPS자동계산!T27)</f>
        <v/>
      </c>
      <c r="T28" s="3" t="str">
        <f>IF(GLAPS자동계산!U27="","",GLAPS자동계산!U27)</f>
        <v/>
      </c>
      <c r="U28" s="3" t="str">
        <f>IF(GLAPS자동계산!V27="","",GLAPS자동계산!V27)</f>
        <v/>
      </c>
      <c r="V28" s="3" t="str">
        <f>IF(GLAPS자동계산!W27="","",GLAPS자동계산!W27)</f>
        <v/>
      </c>
      <c r="W28" s="14" t="str">
        <f>IF(GLAPS자동계산!X27="","",GLAPS자동계산!X27)</f>
        <v/>
      </c>
      <c r="X28" s="13" t="str">
        <f>IF(GLAPS자동계산!Y27="","",GLAPS자동계산!Y27)</f>
        <v/>
      </c>
      <c r="Y28" s="13" t="str">
        <f>IF(GLAPS자동계산!Z27="","",GLAPS자동계산!Z27)</f>
        <v/>
      </c>
      <c r="Z28" s="91" t="str">
        <f>IF(GLAPS자동계산!AA27="","",GLAPS자동계산!AA27)</f>
        <v/>
      </c>
      <c r="AA28" s="14" t="str">
        <f>IF(GLAPS자동계산!AB27="","",GLAPS자동계산!AB27)</f>
        <v/>
      </c>
      <c r="AC28" s="2" t="str">
        <f>IF($B28="","",$AC$1)</f>
        <v/>
      </c>
      <c r="AD28" s="2" t="str">
        <f>IF($B28="","",IFERROR(INDEX(GLAPS정리!$D$2:$D$50,MATCH(I28,GLAPS정리!$A$2:$A$50,0)),IFERROR(INDEX(GLAPS정리!$D$2:$D$50,MATCH(I28,GLAPS정리!$B$2:$B$50,0)),"")))</f>
        <v/>
      </c>
      <c r="AF28" s="2" t="str">
        <f>IF($B28="","",$AF$1)</f>
        <v/>
      </c>
      <c r="AI28" s="2" t="str">
        <f>IF($B28="","",IF(F28="","",VLOOKUP(F28,GLAPS정리!$G$3:$J$114,2,0)))</f>
        <v/>
      </c>
      <c r="AJ28" s="2" t="str">
        <f>IF($B28="","",IF(Z28="울산정일","KRONS",IF(Z28="울산신항","KRUSN",IF(OR(Z28="선광종합물류(인천여객)",Z28="인천여객(인천여객)"),"KRINF",IF(OR(Z28="선광인천보세(인천신)",Z28="한진인천(인천신)",Z28="선광인천신항(인천신)",Z28="인천더로지스(인천신)"),"KRINN",IF(OR(Z28="인천진아(인천항)",Z28="인천E1(인천항)",Z28="인천SM경인터미널(인천항)",Z28="인천항(인천항)",Z28="인천우련(인천항)",Z28="인천항8부두(인천항)"),"KRINC",VLOOKUP(K28,GLAPS정리!$BB$2:$BC$33,2,0)))))))</f>
        <v/>
      </c>
      <c r="AL28" s="2" t="str">
        <f>IF($B28="","",$AL$1)</f>
        <v/>
      </c>
      <c r="AN28" s="70" t="str">
        <f>IF($B28="","",TEXT(B28,"YYYY-MM-DD"))</f>
        <v/>
      </c>
      <c r="AO28" s="2" t="str">
        <f>IF($B28="","",IF(E28="오전", "0800", IF(E28="오후", "1300", IF(E28="잔업", "1800", ""))))</f>
        <v/>
      </c>
      <c r="AP28" s="2" t="str">
        <f>IF($B28="","",IF(C28="","",VLOOKUP(C28,GLAPS정리!$AX$2:$AZ$17,3,0)))</f>
        <v/>
      </c>
      <c r="AR28" s="2" t="str">
        <f>IF($B28="","",IF(X28="","",X28))</f>
        <v/>
      </c>
      <c r="AX28" s="2" t="str">
        <f>IF($B28="","",IF(L28="","",VLOOKUP(L28,GLAPS정리!$V$3:$W$180,2,0)))</f>
        <v/>
      </c>
      <c r="BM28" s="2" t="str">
        <f>IF($B28="","",IF(AND(Q28=1,OR(P28="",P28="위험물")), "2210", IF(AND(Q28=1,OR(P28="리퍼",P28="위험물리퍼")), "2230", IF(AND(S28=1,OR(P28="",P28="위험물")), "4510", IF(AND(S28=1,OR(P28="리퍼",P28="위험물리퍼")), "4530", IF(AND(R28=1,OR(P28="",P28="위험물")), "4210", IF(AND(R28=1,P28="리퍼"), "4230", " ")))))))</f>
        <v/>
      </c>
      <c r="BN28" s="2" t="str">
        <f>IF($B28="","",$BN$1)</f>
        <v/>
      </c>
      <c r="BR28" s="2" t="str">
        <f>IF($B28="","",IF(OR(P28="리퍼",P28="위험물리퍼"),"Y",""))</f>
        <v/>
      </c>
      <c r="BS28" s="2" t="str">
        <f>IF($B28="","",IF(OR(P28="위험물",P28="위험물리퍼"),"Y",""))</f>
        <v/>
      </c>
      <c r="BV28" s="2" t="str">
        <f>IF($B28="","",IF(O28="","",VLOOKUP(O28,GLAPS정리!$BH$2:$BI$94,2,0)))</f>
        <v/>
      </c>
      <c r="BW28" s="2" t="str">
        <f>IF($B28="","",IF(OR(Z28="동원",Z28="세방",Z28="한타"),"",IFERROR(INDEX(GLAPS정리!$BI$2:$BI$101,MATCH(Z28,GLAPS정리!$BH$2:$BH$101,0)),"")))</f>
        <v/>
      </c>
      <c r="BX28" s="2" t="str">
        <f>IF($B28="","",IF(Z28="","",IFERROR(VLOOKUP(Z28,GLAPS정리!$AX$2:$AZ$17,3,0),"")))</f>
        <v/>
      </c>
      <c r="BZ28" s="2" t="str">
        <f>IF($B28="","",IF(H28="","",VLOOKUP(H28,GLAPS정리!$L$3:$O$133,2,0)))</f>
        <v/>
      </c>
      <c r="CA28" s="2" t="str">
        <f>IF($B28="","",IF(V28="공휴일", 10, IF(V28="야간", 20, IF(V28="위험물", 30, IF(V28="중량", 40, "")))))</f>
        <v/>
      </c>
      <c r="CL28" s="2" t="str">
        <f>IF($B28="","",IF(AI28="","",VLOOKUP(AI28,GLAPS정리!$BT$3:$BV$26,3,0)))</f>
        <v/>
      </c>
    </row>
    <row r="29" spans="1:90" ht="20.45" customHeight="1">
      <c r="A29" s="70"/>
      <c r="B29" s="13" t="str">
        <f>IF(GLAPS자동계산!C28="","",GLAPS자동계산!C28)</f>
        <v/>
      </c>
      <c r="C29" s="13" t="str">
        <f>IF(GLAPS자동계산!D28="","",GLAPS자동계산!D28)</f>
        <v/>
      </c>
      <c r="D29" s="16" t="str">
        <f>IF(GLAPS자동계산!E28="","",GLAPS자동계산!E28)</f>
        <v/>
      </c>
      <c r="E29" s="13" t="str">
        <f>IF(GLAPS자동계산!F28="","",GLAPS자동계산!F28)</f>
        <v/>
      </c>
      <c r="F29" s="13" t="str">
        <f>IF(GLAPS자동계산!G28="","",GLAPS자동계산!G28)</f>
        <v/>
      </c>
      <c r="G29" s="13" t="str">
        <f>IF(GLAPS자동계산!H28="","",GLAPS자동계산!H28)</f>
        <v/>
      </c>
      <c r="H29" s="13" t="str">
        <f>IF(GLAPS자동계산!I28="","",GLAPS자동계산!I28)</f>
        <v/>
      </c>
      <c r="I29" s="13" t="str">
        <f>IF(GLAPS자동계산!J28="","",GLAPS자동계산!J28)</f>
        <v/>
      </c>
      <c r="J29" s="13" t="str">
        <f>IF(GLAPS자동계산!K28="","",GLAPS자동계산!K28)</f>
        <v/>
      </c>
      <c r="K29" s="13" t="str">
        <f>IF(GLAPS자동계산!L28="","",GLAPS자동계산!L28)</f>
        <v/>
      </c>
      <c r="L29" s="13" t="str">
        <f>IF(GLAPS자동계산!M28="","",GLAPS자동계산!M28)</f>
        <v/>
      </c>
      <c r="M29" s="13" t="str">
        <f>IF(GLAPS자동계산!N28="","",GLAPS자동계산!N28)</f>
        <v/>
      </c>
      <c r="N29" s="13" t="str">
        <f>IF(GLAPS자동계산!O28="","",GLAPS자동계산!O28)</f>
        <v/>
      </c>
      <c r="O29" s="3" t="str">
        <f>IF(GLAPS자동계산!P28="","",GLAPS자동계산!P28)</f>
        <v/>
      </c>
      <c r="P29" s="2" t="str">
        <f>IF(GLAPS자동계산!Q28="","",GLAPS자동계산!Q28)</f>
        <v/>
      </c>
      <c r="Q29" s="3" t="str">
        <f>IF(GLAPS자동계산!R28="","",GLAPS자동계산!R28)</f>
        <v/>
      </c>
      <c r="R29" s="3" t="str">
        <f>IF(GLAPS자동계산!S28="","",GLAPS자동계산!S28)</f>
        <v/>
      </c>
      <c r="S29" s="3" t="str">
        <f>IF(GLAPS자동계산!T28="","",GLAPS자동계산!T28)</f>
        <v/>
      </c>
      <c r="T29" s="3" t="str">
        <f>IF(GLAPS자동계산!U28="","",GLAPS자동계산!U28)</f>
        <v/>
      </c>
      <c r="U29" s="87" t="str">
        <f>IF(GLAPS자동계산!V28="","",GLAPS자동계산!V28)</f>
        <v/>
      </c>
      <c r="V29" s="3" t="str">
        <f>IF(GLAPS자동계산!W28="","",GLAPS자동계산!W28)</f>
        <v/>
      </c>
      <c r="W29" s="14" t="str">
        <f>IF(GLAPS자동계산!X28="","",GLAPS자동계산!X28)</f>
        <v/>
      </c>
      <c r="X29" s="13" t="str">
        <f>IF(GLAPS자동계산!Y28="","",GLAPS자동계산!Y28)</f>
        <v/>
      </c>
      <c r="Y29" s="13" t="str">
        <f>IF(GLAPS자동계산!Z28="","",GLAPS자동계산!Z28)</f>
        <v/>
      </c>
      <c r="Z29" s="91" t="str">
        <f>IF(GLAPS자동계산!AA28="","",GLAPS자동계산!AA28)</f>
        <v/>
      </c>
      <c r="AA29" s="14" t="str">
        <f>IF(GLAPS자동계산!AB28="","",GLAPS자동계산!AB28)</f>
        <v/>
      </c>
      <c r="AC29" s="2" t="str">
        <f>IF($B29="","",$AC$1)</f>
        <v/>
      </c>
      <c r="AD29" s="2" t="str">
        <f>IF($B29="","",IFERROR(INDEX(GLAPS정리!$D$2:$D$50,MATCH(I29,GLAPS정리!$A$2:$A$50,0)),IFERROR(INDEX(GLAPS정리!$D$2:$D$50,MATCH(I29,GLAPS정리!$B$2:$B$50,0)),"")))</f>
        <v/>
      </c>
      <c r="AF29" s="2" t="str">
        <f>IF($B29="","",$AF$1)</f>
        <v/>
      </c>
      <c r="AI29" s="2" t="str">
        <f>IF($B29="","",IF(F29="","",VLOOKUP(F29,GLAPS정리!$G$3:$J$114,2,0)))</f>
        <v/>
      </c>
      <c r="AJ29" s="2" t="str">
        <f>IF($B29="","",IF(Z29="울산정일","KRONS",IF(Z29="울산신항","KRUSN",IF(OR(Z29="선광종합물류(인천여객)",Z29="인천여객(인천여객)"),"KRINF",IF(OR(Z29="선광인천보세(인천신)",Z29="한진인천(인천신)",Z29="선광인천신항(인천신)",Z29="인천더로지스(인천신)"),"KRINN",IF(OR(Z29="인천진아(인천항)",Z29="인천E1(인천항)",Z29="인천SM경인터미널(인천항)",Z29="인천항(인천항)",Z29="인천우련(인천항)",Z29="인천항8부두(인천항)"),"KRINC",VLOOKUP(K29,GLAPS정리!$BB$2:$BC$33,2,0)))))))</f>
        <v/>
      </c>
      <c r="AL29" s="2" t="str">
        <f>IF($B29="","",$AL$1)</f>
        <v/>
      </c>
      <c r="AN29" s="70" t="str">
        <f>IF($B29="","",TEXT(B29,"YYYY-MM-DD"))</f>
        <v/>
      </c>
      <c r="AO29" s="2" t="str">
        <f>IF($B29="","",IF(E29="오전", "0800", IF(E29="오후", "1300", IF(E29="잔업", "1800", ""))))</f>
        <v/>
      </c>
      <c r="AP29" s="2" t="str">
        <f>IF($B29="","",IF(C29="","",VLOOKUP(C29,GLAPS정리!$AX$2:$AZ$17,3,0)))</f>
        <v/>
      </c>
      <c r="AR29" s="2" t="str">
        <f>IF($B29="","",IF(X29="","",X29))</f>
        <v/>
      </c>
      <c r="AX29" s="2" t="str">
        <f>IF($B29="","",IF(L29="","",VLOOKUP(L29,GLAPS정리!$V$3:$W$180,2,0)))</f>
        <v/>
      </c>
      <c r="BM29" s="2" t="str">
        <f>IF($B29="","",IF(AND(Q29=1,OR(P29="",P29="위험물")), "2210", IF(AND(Q29=1,OR(P29="리퍼",P29="위험물리퍼")), "2230", IF(AND(S29=1,OR(P29="",P29="위험물")), "4510", IF(AND(S29=1,OR(P29="리퍼",P29="위험물리퍼")), "4530", IF(AND(R29=1,OR(P29="",P29="위험물")), "4210", IF(AND(R29=1,P29="리퍼"), "4230", " ")))))))</f>
        <v/>
      </c>
      <c r="BN29" s="2" t="str">
        <f>IF($B29="","",$BN$1)</f>
        <v/>
      </c>
      <c r="BR29" s="2" t="str">
        <f>IF($B29="","",IF(OR(P29="리퍼",P29="위험물리퍼"),"Y",""))</f>
        <v/>
      </c>
      <c r="BS29" s="2" t="str">
        <f>IF($B29="","",IF(OR(P29="위험물",P29="위험물리퍼"),"Y",""))</f>
        <v/>
      </c>
      <c r="BV29" s="2" t="str">
        <f>IF($B29="","",IF(O29="","",VLOOKUP(O29,GLAPS정리!$BH$2:$BI$94,2,0)))</f>
        <v/>
      </c>
      <c r="BW29" s="2" t="str">
        <f>IF($B29="","",IF(OR(Z29="동원",Z29="세방",Z29="한타"),"",IFERROR(INDEX(GLAPS정리!$BI$2:$BI$101,MATCH(Z29,GLAPS정리!$BH$2:$BH$101,0)),"")))</f>
        <v/>
      </c>
      <c r="BX29" s="2" t="str">
        <f>IF($B29="","",IF(Z29="","",IFERROR(VLOOKUP(Z29,GLAPS정리!$AX$2:$AZ$17,3,0),"")))</f>
        <v/>
      </c>
      <c r="BZ29" s="2" t="str">
        <f>IF($B29="","",IF(H29="","",VLOOKUP(H29,GLAPS정리!$L$3:$O$133,2,0)))</f>
        <v/>
      </c>
      <c r="CA29" s="2" t="str">
        <f>IF($B29="","",IF(V29="공휴일", 10, IF(V29="야간", 20, IF(V29="위험물", 30, IF(V29="중량", 40, "")))))</f>
        <v/>
      </c>
      <c r="CL29" s="2" t="str">
        <f>IF($B29="","",IF(AI29="","",VLOOKUP(AI29,GLAPS정리!$BT$3:$BV$26,3,0)))</f>
        <v/>
      </c>
    </row>
    <row r="30" spans="1:90" ht="20.45" customHeight="1">
      <c r="A30" s="70"/>
      <c r="B30" s="13" t="str">
        <f>IF(GLAPS자동계산!C29="","",GLAPS자동계산!C29)</f>
        <v/>
      </c>
      <c r="C30" s="13" t="str">
        <f>IF(GLAPS자동계산!D29="","",GLAPS자동계산!D29)</f>
        <v/>
      </c>
      <c r="D30" s="16" t="str">
        <f>IF(GLAPS자동계산!E29="","",GLAPS자동계산!E29)</f>
        <v/>
      </c>
      <c r="E30" s="13" t="str">
        <f>IF(GLAPS자동계산!F29="","",GLAPS자동계산!F29)</f>
        <v/>
      </c>
      <c r="F30" s="13" t="str">
        <f>IF(GLAPS자동계산!G29="","",GLAPS자동계산!G29)</f>
        <v/>
      </c>
      <c r="G30" s="13" t="str">
        <f>IF(GLAPS자동계산!H29="","",GLAPS자동계산!H29)</f>
        <v/>
      </c>
      <c r="H30" s="13" t="str">
        <f>IF(GLAPS자동계산!I29="","",GLAPS자동계산!I29)</f>
        <v/>
      </c>
      <c r="I30" s="13" t="str">
        <f>IF(GLAPS자동계산!J29="","",GLAPS자동계산!J29)</f>
        <v/>
      </c>
      <c r="J30" s="13" t="str">
        <f>IF(GLAPS자동계산!K29="","",GLAPS자동계산!K29)</f>
        <v/>
      </c>
      <c r="K30" s="13" t="str">
        <f>IF(GLAPS자동계산!L29="","",GLAPS자동계산!L29)</f>
        <v/>
      </c>
      <c r="L30" s="13" t="str">
        <f>IF(GLAPS자동계산!M29="","",GLAPS자동계산!M29)</f>
        <v/>
      </c>
      <c r="M30" s="13" t="str">
        <f>IF(GLAPS자동계산!N29="","",GLAPS자동계산!N29)</f>
        <v/>
      </c>
      <c r="N30" s="13" t="str">
        <f>IF(GLAPS자동계산!O29="","",GLAPS자동계산!O29)</f>
        <v/>
      </c>
      <c r="O30" s="3" t="str">
        <f>IF(GLAPS자동계산!P29="","",GLAPS자동계산!P29)</f>
        <v/>
      </c>
      <c r="P30" s="2" t="str">
        <f>IF(GLAPS자동계산!Q29="","",GLAPS자동계산!Q29)</f>
        <v/>
      </c>
      <c r="Q30" s="3" t="str">
        <f>IF(GLAPS자동계산!R29="","",GLAPS자동계산!R29)</f>
        <v/>
      </c>
      <c r="R30" s="3" t="str">
        <f>IF(GLAPS자동계산!S29="","",GLAPS자동계산!S29)</f>
        <v/>
      </c>
      <c r="S30" s="3" t="str">
        <f>IF(GLAPS자동계산!T29="","",GLAPS자동계산!T29)</f>
        <v/>
      </c>
      <c r="T30" s="3" t="str">
        <f>IF(GLAPS자동계산!U29="","",GLAPS자동계산!U29)</f>
        <v/>
      </c>
      <c r="U30" s="3" t="str">
        <f>IF(GLAPS자동계산!V29="","",GLAPS자동계산!V29)</f>
        <v/>
      </c>
      <c r="V30" s="3" t="str">
        <f>IF(GLAPS자동계산!W29="","",GLAPS자동계산!W29)</f>
        <v/>
      </c>
      <c r="W30" s="14" t="str">
        <f>IF(GLAPS자동계산!X29="","",GLAPS자동계산!X29)</f>
        <v/>
      </c>
      <c r="X30" s="13" t="str">
        <f>IF(GLAPS자동계산!Y29="","",GLAPS자동계산!Y29)</f>
        <v/>
      </c>
      <c r="Y30" s="13" t="str">
        <f>IF(GLAPS자동계산!Z29="","",GLAPS자동계산!Z29)</f>
        <v/>
      </c>
      <c r="Z30" s="91" t="str">
        <f>IF(GLAPS자동계산!AA29="","",GLAPS자동계산!AA29)</f>
        <v/>
      </c>
      <c r="AA30" s="14" t="str">
        <f>IF(GLAPS자동계산!AB29="","",GLAPS자동계산!AB29)</f>
        <v/>
      </c>
      <c r="AC30" s="2" t="str">
        <f>IF($B30="","",$AC$1)</f>
        <v/>
      </c>
      <c r="AD30" s="2" t="str">
        <f>IF($B30="","",IFERROR(INDEX(GLAPS정리!$D$2:$D$50,MATCH(I30,GLAPS정리!$A$2:$A$50,0)),IFERROR(INDEX(GLAPS정리!$D$2:$D$50,MATCH(I30,GLAPS정리!$B$2:$B$50,0)),"")))</f>
        <v/>
      </c>
      <c r="AF30" s="2" t="str">
        <f>IF($B30="","",$AF$1)</f>
        <v/>
      </c>
      <c r="AI30" s="2" t="str">
        <f>IF($B30="","",IF(F30="","",VLOOKUP(F30,GLAPS정리!$G$3:$J$114,2,0)))</f>
        <v/>
      </c>
      <c r="AJ30" s="2" t="str">
        <f>IF($B30="","",IF(Z30="울산정일","KRONS",IF(Z30="울산신항","KRUSN",IF(OR(Z30="선광종합물류(인천여객)",Z30="인천여객(인천여객)"),"KRINF",IF(OR(Z30="선광인천보세(인천신)",Z30="한진인천(인천신)",Z30="선광인천신항(인천신)",Z30="인천더로지스(인천신)"),"KRINN",IF(OR(Z30="인천진아(인천항)",Z30="인천E1(인천항)",Z30="인천SM경인터미널(인천항)",Z30="인천항(인천항)",Z30="인천우련(인천항)",Z30="인천항8부두(인천항)"),"KRINC",VLOOKUP(K30,GLAPS정리!$BB$2:$BC$33,2,0)))))))</f>
        <v/>
      </c>
      <c r="AL30" s="2" t="str">
        <f>IF($B30="","",$AL$1)</f>
        <v/>
      </c>
      <c r="AN30" s="70" t="str">
        <f>IF($B30="","",TEXT(B30,"YYYY-MM-DD"))</f>
        <v/>
      </c>
      <c r="AO30" s="2" t="str">
        <f>IF($B30="","",IF(E30="오전", "0800", IF(E30="오후", "1300", IF(E30="잔업", "1800", ""))))</f>
        <v/>
      </c>
      <c r="AP30" s="2" t="str">
        <f>IF($B30="","",IF(C30="","",VLOOKUP(C30,GLAPS정리!$AX$2:$AZ$17,3,0)))</f>
        <v/>
      </c>
      <c r="AR30" s="2" t="str">
        <f>IF($B30="","",IF(X30="","",X30))</f>
        <v/>
      </c>
      <c r="AX30" s="2" t="str">
        <f>IF($B30="","",IF(L30="","",VLOOKUP(L30,GLAPS정리!$V$3:$W$180,2,0)))</f>
        <v/>
      </c>
      <c r="BM30" s="2" t="str">
        <f>IF($B30="","",IF(AND(Q30=1,OR(P30="",P30="위험물")), "2210", IF(AND(Q30=1,OR(P30="리퍼",P30="위험물리퍼")), "2230", IF(AND(S30=1,OR(P30="",P30="위험물")), "4510", IF(AND(S30=1,OR(P30="리퍼",P30="위험물리퍼")), "4530", IF(AND(R30=1,OR(P30="",P30="위험물")), "4210", IF(AND(R30=1,P30="리퍼"), "4230", " ")))))))</f>
        <v/>
      </c>
      <c r="BN30" s="2" t="str">
        <f>IF($B30="","",$BN$1)</f>
        <v/>
      </c>
      <c r="BR30" s="2" t="str">
        <f>IF($B30="","",IF(OR(P30="리퍼",P30="위험물리퍼"),"Y",""))</f>
        <v/>
      </c>
      <c r="BS30" s="2" t="str">
        <f>IF($B30="","",IF(OR(P30="위험물",P30="위험물리퍼"),"Y",""))</f>
        <v/>
      </c>
      <c r="BV30" s="2" t="str">
        <f>IF($B30="","",IF(O30="","",VLOOKUP(O30,GLAPS정리!$BH$2:$BI$94,2,0)))</f>
        <v/>
      </c>
      <c r="BW30" s="2" t="str">
        <f>IF($B30="","",IF(OR(Z30="동원",Z30="세방",Z30="한타"),"",IFERROR(INDEX(GLAPS정리!$BI$2:$BI$101,MATCH(Z30,GLAPS정리!$BH$2:$BH$101,0)),"")))</f>
        <v/>
      </c>
      <c r="BX30" s="2" t="str">
        <f>IF($B30="","",IF(Z30="","",IFERROR(VLOOKUP(Z30,GLAPS정리!$AX$2:$AZ$17,3,0),"")))</f>
        <v/>
      </c>
      <c r="BZ30" s="2" t="str">
        <f>IF($B30="","",IF(H30="","",VLOOKUP(H30,GLAPS정리!$L$3:$O$133,2,0)))</f>
        <v/>
      </c>
      <c r="CA30" s="2" t="str">
        <f>IF($B30="","",IF(V30="공휴일", 10, IF(V30="야간", 20, IF(V30="위험물", 30, IF(V30="중량", 40, "")))))</f>
        <v/>
      </c>
      <c r="CL30" s="2" t="str">
        <f>IF($B30="","",IF(AI30="","",VLOOKUP(AI30,GLAPS정리!$BT$3:$BV$26,3,0)))</f>
        <v/>
      </c>
    </row>
    <row r="31" spans="1:90" ht="20.45" customHeight="1">
      <c r="B31" s="13" t="str">
        <f>IF(GLAPS자동계산!C30="","",GLAPS자동계산!C30)</f>
        <v/>
      </c>
      <c r="C31" s="13" t="str">
        <f>IF(GLAPS자동계산!D30="","",GLAPS자동계산!D30)</f>
        <v/>
      </c>
      <c r="D31" s="16" t="str">
        <f>IF(GLAPS자동계산!E30="","",GLAPS자동계산!E30)</f>
        <v/>
      </c>
      <c r="E31" s="13" t="str">
        <f>IF(GLAPS자동계산!F30="","",GLAPS자동계산!F30)</f>
        <v/>
      </c>
      <c r="F31" s="13" t="str">
        <f>IF(GLAPS자동계산!G30="","",GLAPS자동계산!G30)</f>
        <v/>
      </c>
      <c r="G31" s="13" t="str">
        <f>IF(GLAPS자동계산!H30="","",GLAPS자동계산!H30)</f>
        <v/>
      </c>
      <c r="H31" s="13" t="str">
        <f>IF(GLAPS자동계산!I30="","",GLAPS자동계산!I30)</f>
        <v/>
      </c>
      <c r="I31" s="13" t="str">
        <f>IF(GLAPS자동계산!J30="","",GLAPS자동계산!J30)</f>
        <v/>
      </c>
      <c r="J31" s="13" t="str">
        <f>IF(GLAPS자동계산!K30="","",GLAPS자동계산!K30)</f>
        <v/>
      </c>
      <c r="K31" s="13" t="str">
        <f>IF(GLAPS자동계산!L30="","",GLAPS자동계산!L30)</f>
        <v/>
      </c>
      <c r="L31" s="13" t="str">
        <f>IF(GLAPS자동계산!M30="","",GLAPS자동계산!M30)</f>
        <v/>
      </c>
      <c r="M31" s="13" t="str">
        <f>IF(GLAPS자동계산!N30="","",GLAPS자동계산!N30)</f>
        <v/>
      </c>
      <c r="N31" s="13" t="str">
        <f>IF(GLAPS자동계산!O30="","",GLAPS자동계산!O30)</f>
        <v/>
      </c>
      <c r="O31" s="3" t="str">
        <f>IF(GLAPS자동계산!P30="","",GLAPS자동계산!P30)</f>
        <v/>
      </c>
      <c r="P31" s="2" t="str">
        <f>IF(GLAPS자동계산!Q30="","",GLAPS자동계산!Q30)</f>
        <v/>
      </c>
      <c r="Q31" s="3" t="str">
        <f>IF(GLAPS자동계산!R30="","",GLAPS자동계산!R30)</f>
        <v/>
      </c>
      <c r="R31" s="3" t="str">
        <f>IF(GLAPS자동계산!S30="","",GLAPS자동계산!S30)</f>
        <v/>
      </c>
      <c r="S31" s="3" t="str">
        <f>IF(GLAPS자동계산!T30="","",GLAPS자동계산!T30)</f>
        <v/>
      </c>
      <c r="T31" s="3" t="str">
        <f>IF(GLAPS자동계산!U30="","",GLAPS자동계산!U30)</f>
        <v/>
      </c>
      <c r="U31" s="87" t="str">
        <f>IF(GLAPS자동계산!V30="","",GLAPS자동계산!V30)</f>
        <v/>
      </c>
      <c r="V31" s="3" t="str">
        <f>IF(GLAPS자동계산!W30="","",GLAPS자동계산!W30)</f>
        <v/>
      </c>
      <c r="W31" s="14" t="str">
        <f>IF(GLAPS자동계산!X30="","",GLAPS자동계산!X30)</f>
        <v/>
      </c>
      <c r="X31" s="13" t="str">
        <f>IF(GLAPS자동계산!Y30="","",GLAPS자동계산!Y30)</f>
        <v/>
      </c>
      <c r="Y31" s="13" t="str">
        <f>IF(GLAPS자동계산!Z30="","",GLAPS자동계산!Z30)</f>
        <v/>
      </c>
      <c r="Z31" s="91" t="str">
        <f>IF(GLAPS자동계산!AA30="","",GLAPS자동계산!AA30)</f>
        <v/>
      </c>
      <c r="AA31" s="14" t="str">
        <f>IF(GLAPS자동계산!AB30="","",GLAPS자동계산!AB30)</f>
        <v/>
      </c>
      <c r="AC31" s="2" t="str">
        <f>IF($B31="","",$AC$1)</f>
        <v/>
      </c>
      <c r="AD31" s="2" t="str">
        <f>IF($B31="","",IFERROR(INDEX(GLAPS정리!$D$2:$D$50,MATCH(I31,GLAPS정리!$A$2:$A$50,0)),IFERROR(INDEX(GLAPS정리!$D$2:$D$50,MATCH(I31,GLAPS정리!$B$2:$B$50,0)),"")))</f>
        <v/>
      </c>
      <c r="AF31" s="2" t="str">
        <f>IF($B31="","",$AF$1)</f>
        <v/>
      </c>
      <c r="AI31" s="2" t="str">
        <f>IF($B31="","",IF(F31="","",VLOOKUP(F31,GLAPS정리!$G$3:$J$114,2,0)))</f>
        <v/>
      </c>
      <c r="AJ31" s="2" t="str">
        <f>IF($B31="","",IF(Z31="울산정일","KRONS",IF(Z31="울산신항","KRUSN",IF(OR(Z31="선광종합물류(인천여객)",Z31="인천여객(인천여객)"),"KRINF",IF(OR(Z31="선광인천보세(인천신)",Z31="한진인천(인천신)",Z31="선광인천신항(인천신)",Z31="인천더로지스(인천신)"),"KRINN",IF(OR(Z31="인천진아(인천항)",Z31="인천E1(인천항)",Z31="인천SM경인터미널(인천항)",Z31="인천항(인천항)",Z31="인천우련(인천항)",Z31="인천항8부두(인천항)"),"KRINC",VLOOKUP(K31,GLAPS정리!$BB$2:$BC$33,2,0)))))))</f>
        <v/>
      </c>
      <c r="AL31" s="2" t="str">
        <f>IF($B31="","",$AL$1)</f>
        <v/>
      </c>
      <c r="AN31" s="70" t="str">
        <f>IF($B31="","",TEXT(B31,"YYYY-MM-DD"))</f>
        <v/>
      </c>
      <c r="AO31" s="2" t="str">
        <f>IF($B31="","",IF(E31="오전", "0800", IF(E31="오후", "1300", IF(E31="잔업", "1800", ""))))</f>
        <v/>
      </c>
      <c r="AP31" s="2" t="str">
        <f>IF($B31="","",IF(C31="","",VLOOKUP(C31,GLAPS정리!$AX$2:$AZ$17,3,0)))</f>
        <v/>
      </c>
      <c r="AR31" s="2" t="str">
        <f>IF($B31="","",IF(X31="","",X31))</f>
        <v/>
      </c>
      <c r="AX31" s="2" t="str">
        <f>IF($B31="","",IF(L31="","",VLOOKUP(L31,GLAPS정리!$V$3:$W$180,2,0)))</f>
        <v/>
      </c>
      <c r="BM31" s="2" t="str">
        <f>IF($B31="","",IF(AND(Q31=1,OR(P31="",P31="위험물")), "2210", IF(AND(Q31=1,OR(P31="리퍼",P31="위험물리퍼")), "2230", IF(AND(S31=1,OR(P31="",P31="위험물")), "4510", IF(AND(S31=1,OR(P31="리퍼",P31="위험물리퍼")), "4530", IF(AND(R31=1,OR(P31="",P31="위험물")), "4210", IF(AND(R31=1,P31="리퍼"), "4230", " ")))))))</f>
        <v/>
      </c>
      <c r="BN31" s="2" t="str">
        <f>IF($B31="","",$BN$1)</f>
        <v/>
      </c>
      <c r="BR31" s="2" t="str">
        <f>IF($B31="","",IF(OR(P31="리퍼",P31="위험물리퍼"),"Y",""))</f>
        <v/>
      </c>
      <c r="BS31" s="2" t="str">
        <f>IF($B31="","",IF(OR(P31="위험물",P31="위험물리퍼"),"Y",""))</f>
        <v/>
      </c>
      <c r="BV31" s="2" t="str">
        <f>IF($B31="","",IF(O31="","",VLOOKUP(O31,GLAPS정리!$BH$2:$BI$94,2,0)))</f>
        <v/>
      </c>
      <c r="BW31" s="2" t="str">
        <f>IF($B31="","",IF(OR(Z31="동원",Z31="세방",Z31="한타"),"",IFERROR(INDEX(GLAPS정리!$BI$2:$BI$101,MATCH(Z31,GLAPS정리!$BH$2:$BH$101,0)),"")))</f>
        <v/>
      </c>
      <c r="BX31" s="2" t="str">
        <f>IF($B31="","",IF(Z31="","",IFERROR(VLOOKUP(Z31,GLAPS정리!$AX$2:$AZ$17,3,0),"")))</f>
        <v/>
      </c>
      <c r="BZ31" s="2" t="str">
        <f>IF($B31="","",IF(H31="","",VLOOKUP(H31,GLAPS정리!$L$3:$O$133,2,0)))</f>
        <v/>
      </c>
      <c r="CA31" s="2" t="str">
        <f>IF($B31="","",IF(V31="공휴일", 10, IF(V31="야간", 20, IF(V31="위험물", 30, IF(V31="중량", 40, "")))))</f>
        <v/>
      </c>
      <c r="CL31" s="2" t="str">
        <f>IF($B31="","",IF(AI31="","",VLOOKUP(AI31,GLAPS정리!$BT$3:$BV$26,3,0)))</f>
        <v/>
      </c>
    </row>
    <row r="32" spans="1:90" ht="20.45" customHeight="1">
      <c r="A32" s="70"/>
      <c r="B32" s="13" t="str">
        <f>IF(GLAPS자동계산!C31="","",GLAPS자동계산!C31)</f>
        <v/>
      </c>
      <c r="C32" s="13" t="str">
        <f>IF(GLAPS자동계산!D31="","",GLAPS자동계산!D31)</f>
        <v/>
      </c>
      <c r="D32" s="16" t="str">
        <f>IF(GLAPS자동계산!E31="","",GLAPS자동계산!E31)</f>
        <v/>
      </c>
      <c r="E32" s="13" t="str">
        <f>IF(GLAPS자동계산!F31="","",GLAPS자동계산!F31)</f>
        <v/>
      </c>
      <c r="F32" s="13" t="str">
        <f>IF(GLAPS자동계산!G31="","",GLAPS자동계산!G31)</f>
        <v/>
      </c>
      <c r="G32" s="13" t="str">
        <f>IF(GLAPS자동계산!H31="","",GLAPS자동계산!H31)</f>
        <v/>
      </c>
      <c r="H32" s="13" t="str">
        <f>IF(GLAPS자동계산!I31="","",GLAPS자동계산!I31)</f>
        <v/>
      </c>
      <c r="I32" s="13" t="str">
        <f>IF(GLAPS자동계산!J31="","",GLAPS자동계산!J31)</f>
        <v/>
      </c>
      <c r="J32" s="13" t="str">
        <f>IF(GLAPS자동계산!K31="","",GLAPS자동계산!K31)</f>
        <v/>
      </c>
      <c r="K32" s="13" t="str">
        <f>IF(GLAPS자동계산!L31="","",GLAPS자동계산!L31)</f>
        <v/>
      </c>
      <c r="L32" s="13" t="str">
        <f>IF(GLAPS자동계산!M31="","",GLAPS자동계산!M31)</f>
        <v/>
      </c>
      <c r="M32" s="13" t="str">
        <f>IF(GLAPS자동계산!N31="","",GLAPS자동계산!N31)</f>
        <v/>
      </c>
      <c r="N32" s="13" t="str">
        <f>IF(GLAPS자동계산!O31="","",GLAPS자동계산!O31)</f>
        <v/>
      </c>
      <c r="O32" s="3" t="str">
        <f>IF(GLAPS자동계산!P31="","",GLAPS자동계산!P31)</f>
        <v/>
      </c>
      <c r="P32" s="2" t="str">
        <f>IF(GLAPS자동계산!Q31="","",GLAPS자동계산!Q31)</f>
        <v/>
      </c>
      <c r="Q32" s="3" t="str">
        <f>IF(GLAPS자동계산!R31="","",GLAPS자동계산!R31)</f>
        <v/>
      </c>
      <c r="R32" s="3" t="str">
        <f>IF(GLAPS자동계산!S31="","",GLAPS자동계산!S31)</f>
        <v/>
      </c>
      <c r="S32" s="3" t="str">
        <f>IF(GLAPS자동계산!T31="","",GLAPS자동계산!T31)</f>
        <v/>
      </c>
      <c r="T32" s="3" t="str">
        <f>IF(GLAPS자동계산!U31="","",GLAPS자동계산!U31)</f>
        <v/>
      </c>
      <c r="U32" s="3" t="str">
        <f>IF(GLAPS자동계산!V31="","",GLAPS자동계산!V31)</f>
        <v/>
      </c>
      <c r="V32" s="3" t="str">
        <f>IF(GLAPS자동계산!W31="","",GLAPS자동계산!W31)</f>
        <v/>
      </c>
      <c r="W32" s="14" t="str">
        <f>IF(GLAPS자동계산!X31="","",GLAPS자동계산!X31)</f>
        <v/>
      </c>
      <c r="X32" s="13" t="str">
        <f>IF(GLAPS자동계산!Y31="","",GLAPS자동계산!Y31)</f>
        <v/>
      </c>
      <c r="Y32" s="13" t="str">
        <f>IF(GLAPS자동계산!Z31="","",GLAPS자동계산!Z31)</f>
        <v/>
      </c>
      <c r="Z32" s="91" t="str">
        <f>IF(GLAPS자동계산!AA31="","",GLAPS자동계산!AA31)</f>
        <v/>
      </c>
      <c r="AA32" s="14" t="str">
        <f>IF(GLAPS자동계산!AB31="","",GLAPS자동계산!AB31)</f>
        <v/>
      </c>
      <c r="AC32" s="2" t="str">
        <f>IF($B32="","",$AC$1)</f>
        <v/>
      </c>
      <c r="AD32" s="2" t="str">
        <f>IF($B32="","",IFERROR(INDEX(GLAPS정리!$D$2:$D$50,MATCH(I32,GLAPS정리!$A$2:$A$50,0)),IFERROR(INDEX(GLAPS정리!$D$2:$D$50,MATCH(I32,GLAPS정리!$B$2:$B$50,0)),"")))</f>
        <v/>
      </c>
      <c r="AF32" s="2" t="str">
        <f>IF($B32="","",$AF$1)</f>
        <v/>
      </c>
      <c r="AI32" s="2" t="str">
        <f>IF($B32="","",IF(F32="","",VLOOKUP(F32,GLAPS정리!$G$3:$J$114,2,0)))</f>
        <v/>
      </c>
      <c r="AJ32" s="2" t="str">
        <f>IF($B32="","",IF(Z32="울산정일","KRONS",IF(Z32="울산신항","KRUSN",IF(OR(Z32="선광종합물류(인천여객)",Z32="인천여객(인천여객)"),"KRINF",IF(OR(Z32="선광인천보세(인천신)",Z32="한진인천(인천신)",Z32="선광인천신항(인천신)",Z32="인천더로지스(인천신)"),"KRINN",IF(OR(Z32="인천진아(인천항)",Z32="인천E1(인천항)",Z32="인천SM경인터미널(인천항)",Z32="인천항(인천항)",Z32="인천우련(인천항)",Z32="인천항8부두(인천항)"),"KRINC",VLOOKUP(K32,GLAPS정리!$BB$2:$BC$33,2,0)))))))</f>
        <v/>
      </c>
      <c r="AL32" s="2" t="str">
        <f>IF($B32="","",$AL$1)</f>
        <v/>
      </c>
      <c r="AN32" s="70" t="str">
        <f>IF($B32="","",TEXT(B32,"YYYY-MM-DD"))</f>
        <v/>
      </c>
      <c r="AO32" s="2" t="str">
        <f>IF($B32="","",IF(E32="오전", "0800", IF(E32="오후", "1300", IF(E32="잔업", "1800", ""))))</f>
        <v/>
      </c>
      <c r="AP32" s="2" t="str">
        <f>IF($B32="","",IF(C32="","",VLOOKUP(C32,GLAPS정리!$AX$2:$AZ$17,3,0)))</f>
        <v/>
      </c>
      <c r="AR32" s="2" t="str">
        <f>IF($B32="","",IF(X32="","",X32))</f>
        <v/>
      </c>
      <c r="AX32" s="2" t="str">
        <f>IF($B32="","",IF(L32="","",VLOOKUP(L32,GLAPS정리!$V$3:$W$180,2,0)))</f>
        <v/>
      </c>
      <c r="BM32" s="2" t="str">
        <f>IF($B32="","",IF(AND(Q32=1,OR(P32="",P32="위험물")), "2210", IF(AND(Q32=1,OR(P32="리퍼",P32="위험물리퍼")), "2230", IF(AND(S32=1,OR(P32="",P32="위험물")), "4510", IF(AND(S32=1,OR(P32="리퍼",P32="위험물리퍼")), "4530", IF(AND(R32=1,OR(P32="",P32="위험물")), "4210", IF(AND(R32=1,P32="리퍼"), "4230", " ")))))))</f>
        <v/>
      </c>
      <c r="BN32" s="2" t="str">
        <f>IF($B32="","",$BN$1)</f>
        <v/>
      </c>
      <c r="BR32" s="2" t="str">
        <f>IF($B32="","",IF(OR(P32="리퍼",P32="위험물리퍼"),"Y",""))</f>
        <v/>
      </c>
      <c r="BS32" s="2" t="str">
        <f>IF($B32="","",IF(OR(P32="위험물",P32="위험물리퍼"),"Y",""))</f>
        <v/>
      </c>
      <c r="BV32" s="2" t="str">
        <f>IF($B32="","",IF(O32="","",VLOOKUP(O32,GLAPS정리!$BH$2:$BI$94,2,0)))</f>
        <v/>
      </c>
      <c r="BW32" s="2" t="str">
        <f>IF($B32="","",IF(OR(Z32="동원",Z32="세방",Z32="한타"),"",IFERROR(INDEX(GLAPS정리!$BI$2:$BI$101,MATCH(Z32,GLAPS정리!$BH$2:$BH$101,0)),"")))</f>
        <v/>
      </c>
      <c r="BX32" s="2" t="str">
        <f>IF($B32="","",IF(Z32="","",IFERROR(VLOOKUP(Z32,GLAPS정리!$AX$2:$AZ$17,3,0),"")))</f>
        <v/>
      </c>
      <c r="BZ32" s="2" t="str">
        <f>IF($B32="","",IF(H32="","",VLOOKUP(H32,GLAPS정리!$L$3:$O$133,2,0)))</f>
        <v/>
      </c>
      <c r="CA32" s="2" t="str">
        <f>IF($B32="","",IF(V32="공휴일", 10, IF(V32="야간", 20, IF(V32="위험물", 30, IF(V32="중량", 40, "")))))</f>
        <v/>
      </c>
      <c r="CL32" s="2" t="str">
        <f>IF($B32="","",IF(AI32="","",VLOOKUP(AI32,GLAPS정리!$BT$3:$BV$26,3,0)))</f>
        <v/>
      </c>
    </row>
    <row r="33" spans="1:90" ht="20.45" customHeight="1">
      <c r="B33" s="13" t="str">
        <f>IF(GLAPS자동계산!C32="","",GLAPS자동계산!C32)</f>
        <v/>
      </c>
      <c r="C33" s="13" t="str">
        <f>IF(GLAPS자동계산!D32="","",GLAPS자동계산!D32)</f>
        <v/>
      </c>
      <c r="D33" s="16" t="str">
        <f>IF(GLAPS자동계산!E32="","",GLAPS자동계산!E32)</f>
        <v/>
      </c>
      <c r="E33" s="13" t="str">
        <f>IF(GLAPS자동계산!F32="","",GLAPS자동계산!F32)</f>
        <v/>
      </c>
      <c r="F33" s="13" t="str">
        <f>IF(GLAPS자동계산!G32="","",GLAPS자동계산!G32)</f>
        <v/>
      </c>
      <c r="G33" s="13" t="str">
        <f>IF(GLAPS자동계산!H32="","",GLAPS자동계산!H32)</f>
        <v/>
      </c>
      <c r="H33" s="13" t="str">
        <f>IF(GLAPS자동계산!I32="","",GLAPS자동계산!I32)</f>
        <v/>
      </c>
      <c r="I33" s="13" t="str">
        <f>IF(GLAPS자동계산!J32="","",GLAPS자동계산!J32)</f>
        <v/>
      </c>
      <c r="J33" s="13" t="str">
        <f>IF(GLAPS자동계산!K32="","",GLAPS자동계산!K32)</f>
        <v/>
      </c>
      <c r="K33" s="13" t="str">
        <f>IF(GLAPS자동계산!L32="","",GLAPS자동계산!L32)</f>
        <v/>
      </c>
      <c r="L33" s="13" t="str">
        <f>IF(GLAPS자동계산!M32="","",GLAPS자동계산!M32)</f>
        <v/>
      </c>
      <c r="M33" s="13" t="str">
        <f>IF(GLAPS자동계산!N32="","",GLAPS자동계산!N32)</f>
        <v/>
      </c>
      <c r="N33" s="13" t="str">
        <f>IF(GLAPS자동계산!O32="","",GLAPS자동계산!O32)</f>
        <v/>
      </c>
      <c r="O33" s="3" t="str">
        <f>IF(GLAPS자동계산!P32="","",GLAPS자동계산!P32)</f>
        <v/>
      </c>
      <c r="P33" s="2" t="str">
        <f>IF(GLAPS자동계산!Q32="","",GLAPS자동계산!Q32)</f>
        <v/>
      </c>
      <c r="Q33" s="3" t="str">
        <f>IF(GLAPS자동계산!R32="","",GLAPS자동계산!R32)</f>
        <v/>
      </c>
      <c r="R33" s="3" t="str">
        <f>IF(GLAPS자동계산!S32="","",GLAPS자동계산!S32)</f>
        <v/>
      </c>
      <c r="S33" s="3" t="str">
        <f>IF(GLAPS자동계산!T32="","",GLAPS자동계산!T32)</f>
        <v/>
      </c>
      <c r="T33" s="3" t="str">
        <f>IF(GLAPS자동계산!U32="","",GLAPS자동계산!U32)</f>
        <v/>
      </c>
      <c r="U33" s="3" t="str">
        <f>IF(GLAPS자동계산!V32="","",GLAPS자동계산!V32)</f>
        <v/>
      </c>
      <c r="V33" s="3" t="str">
        <f>IF(GLAPS자동계산!W32="","",GLAPS자동계산!W32)</f>
        <v/>
      </c>
      <c r="W33" s="14" t="str">
        <f>IF(GLAPS자동계산!X32="","",GLAPS자동계산!X32)</f>
        <v/>
      </c>
      <c r="X33" s="13" t="str">
        <f>IF(GLAPS자동계산!Y32="","",GLAPS자동계산!Y32)</f>
        <v/>
      </c>
      <c r="Y33" s="13" t="str">
        <f>IF(GLAPS자동계산!Z32="","",GLAPS자동계산!Z32)</f>
        <v/>
      </c>
      <c r="Z33" s="91" t="str">
        <f>IF(GLAPS자동계산!AA32="","",GLAPS자동계산!AA32)</f>
        <v/>
      </c>
      <c r="AA33" s="14" t="str">
        <f>IF(GLAPS자동계산!AB32="","",GLAPS자동계산!AB32)</f>
        <v/>
      </c>
      <c r="AC33" s="2" t="str">
        <f>IF($B33="","",$AC$1)</f>
        <v/>
      </c>
      <c r="AD33" s="2" t="str">
        <f>IF($B33="","",IFERROR(INDEX(GLAPS정리!$D$2:$D$50,MATCH(I33,GLAPS정리!$A$2:$A$50,0)),IFERROR(INDEX(GLAPS정리!$D$2:$D$50,MATCH(I33,GLAPS정리!$B$2:$B$50,0)),"")))</f>
        <v/>
      </c>
      <c r="AF33" s="2" t="str">
        <f>IF($B33="","",$AF$1)</f>
        <v/>
      </c>
      <c r="AI33" s="2" t="str">
        <f>IF($B33="","",IF(F33="","",VLOOKUP(F33,GLAPS정리!$G$3:$J$114,2,0)))</f>
        <v/>
      </c>
      <c r="AJ33" s="2" t="str">
        <f>IF($B33="","",IF(Z33="울산정일","KRONS",IF(Z33="울산신항","KRUSN",IF(OR(Z33="선광종합물류(인천여객)",Z33="인천여객(인천여객)"),"KRINF",IF(OR(Z33="선광인천보세(인천신)",Z33="한진인천(인천신)",Z33="선광인천신항(인천신)",Z33="인천더로지스(인천신)"),"KRINN",IF(OR(Z33="인천진아(인천항)",Z33="인천E1(인천항)",Z33="인천SM경인터미널(인천항)",Z33="인천항(인천항)",Z33="인천우련(인천항)",Z33="인천항8부두(인천항)"),"KRINC",VLOOKUP(K33,GLAPS정리!$BB$2:$BC$33,2,0)))))))</f>
        <v/>
      </c>
      <c r="AL33" s="2" t="str">
        <f>IF($B33="","",$AL$1)</f>
        <v/>
      </c>
      <c r="AN33" s="70" t="str">
        <f>IF($B33="","",TEXT(B33,"YYYY-MM-DD"))</f>
        <v/>
      </c>
      <c r="AO33" s="2" t="str">
        <f>IF($B33="","",IF(E33="오전", "0800", IF(E33="오후", "1300", IF(E33="잔업", "1800", ""))))</f>
        <v/>
      </c>
      <c r="AP33" s="2" t="str">
        <f>IF($B33="","",IF(C33="","",VLOOKUP(C33,GLAPS정리!$AX$2:$AZ$17,3,0)))</f>
        <v/>
      </c>
      <c r="AR33" s="2" t="str">
        <f>IF($B33="","",IF(X33="","",X33))</f>
        <v/>
      </c>
      <c r="AX33" s="2" t="str">
        <f>IF($B33="","",IF(L33="","",VLOOKUP(L33,GLAPS정리!$V$3:$W$180,2,0)))</f>
        <v/>
      </c>
      <c r="BM33" s="2" t="str">
        <f>IF($B33="","",IF(AND(Q33=1,OR(P33="",P33="위험물")), "2210", IF(AND(Q33=1,OR(P33="리퍼",P33="위험물리퍼")), "2230", IF(AND(S33=1,OR(P33="",P33="위험물")), "4510", IF(AND(S33=1,OR(P33="리퍼",P33="위험물리퍼")), "4530", IF(AND(R33=1,OR(P33="",P33="위험물")), "4210", IF(AND(R33=1,P33="리퍼"), "4230", " ")))))))</f>
        <v/>
      </c>
      <c r="BN33" s="2" t="str">
        <f>IF($B33="","",$BN$1)</f>
        <v/>
      </c>
      <c r="BR33" s="2" t="str">
        <f>IF($B33="","",IF(OR(P33="리퍼",P33="위험물리퍼"),"Y",""))</f>
        <v/>
      </c>
      <c r="BS33" s="2" t="str">
        <f>IF($B33="","",IF(OR(P33="위험물",P33="위험물리퍼"),"Y",""))</f>
        <v/>
      </c>
      <c r="BV33" s="2" t="str">
        <f>IF($B33="","",IF(O33="","",VLOOKUP(O33,GLAPS정리!$BH$2:$BI$94,2,0)))</f>
        <v/>
      </c>
      <c r="BW33" s="2" t="str">
        <f>IF($B33="","",IF(OR(Z33="동원",Z33="세방",Z33="한타"),"",IFERROR(INDEX(GLAPS정리!$BI$2:$BI$101,MATCH(Z33,GLAPS정리!$BH$2:$BH$101,0)),"")))</f>
        <v/>
      </c>
      <c r="BX33" s="2" t="str">
        <f>IF($B33="","",IF(Z33="","",IFERROR(VLOOKUP(Z33,GLAPS정리!$AX$2:$AZ$17,3,0),"")))</f>
        <v/>
      </c>
      <c r="BZ33" s="2" t="str">
        <f>IF($B33="","",IF(H33="","",VLOOKUP(H33,GLAPS정리!$L$3:$O$133,2,0)))</f>
        <v/>
      </c>
      <c r="CA33" s="2" t="str">
        <f>IF($B33="","",IF(V33="공휴일", 10, IF(V33="야간", 20, IF(V33="위험물", 30, IF(V33="중량", 40, "")))))</f>
        <v/>
      </c>
      <c r="CL33" s="2" t="str">
        <f>IF($B33="","",IF(AI33="","",VLOOKUP(AI33,GLAPS정리!$BT$3:$BV$26,3,0)))</f>
        <v/>
      </c>
    </row>
    <row r="34" spans="1:90" ht="20.45" customHeight="1">
      <c r="A34" s="70"/>
      <c r="B34" s="13" t="str">
        <f>IF(GLAPS자동계산!C33="","",GLAPS자동계산!C33)</f>
        <v/>
      </c>
      <c r="C34" s="13" t="str">
        <f>IF(GLAPS자동계산!D33="","",GLAPS자동계산!D33)</f>
        <v/>
      </c>
      <c r="D34" s="16" t="str">
        <f>IF(GLAPS자동계산!E33="","",GLAPS자동계산!E33)</f>
        <v/>
      </c>
      <c r="E34" s="13" t="str">
        <f>IF(GLAPS자동계산!F33="","",GLAPS자동계산!F33)</f>
        <v/>
      </c>
      <c r="F34" s="13" t="str">
        <f>IF(GLAPS자동계산!G33="","",GLAPS자동계산!G33)</f>
        <v/>
      </c>
      <c r="G34" s="13" t="str">
        <f>IF(GLAPS자동계산!H33="","",GLAPS자동계산!H33)</f>
        <v/>
      </c>
      <c r="H34" s="13" t="str">
        <f>IF(GLAPS자동계산!I33="","",GLAPS자동계산!I33)</f>
        <v/>
      </c>
      <c r="I34" s="13" t="str">
        <f>IF(GLAPS자동계산!J33="","",GLAPS자동계산!J33)</f>
        <v/>
      </c>
      <c r="J34" s="13" t="str">
        <f>IF(GLAPS자동계산!K33="","",GLAPS자동계산!K33)</f>
        <v/>
      </c>
      <c r="K34" s="13" t="str">
        <f>IF(GLAPS자동계산!L33="","",GLAPS자동계산!L33)</f>
        <v/>
      </c>
      <c r="L34" s="13" t="str">
        <f>IF(GLAPS자동계산!M33="","",GLAPS자동계산!M33)</f>
        <v/>
      </c>
      <c r="M34" s="13" t="str">
        <f>IF(GLAPS자동계산!N33="","",GLAPS자동계산!N33)</f>
        <v/>
      </c>
      <c r="N34" s="13" t="str">
        <f>IF(GLAPS자동계산!O33="","",GLAPS자동계산!O33)</f>
        <v/>
      </c>
      <c r="O34" s="3" t="str">
        <f>IF(GLAPS자동계산!P33="","",GLAPS자동계산!P33)</f>
        <v/>
      </c>
      <c r="P34" s="2" t="str">
        <f>IF(GLAPS자동계산!Q33="","",GLAPS자동계산!Q33)</f>
        <v/>
      </c>
      <c r="Q34" s="3" t="str">
        <f>IF(GLAPS자동계산!R33="","",GLAPS자동계산!R33)</f>
        <v/>
      </c>
      <c r="R34" s="3" t="str">
        <f>IF(GLAPS자동계산!S33="","",GLAPS자동계산!S33)</f>
        <v/>
      </c>
      <c r="S34" s="3" t="str">
        <f>IF(GLAPS자동계산!T33="","",GLAPS자동계산!T33)</f>
        <v/>
      </c>
      <c r="T34" s="3" t="str">
        <f>IF(GLAPS자동계산!U33="","",GLAPS자동계산!U33)</f>
        <v/>
      </c>
      <c r="U34" s="3" t="str">
        <f>IF(GLAPS자동계산!V33="","",GLAPS자동계산!V33)</f>
        <v/>
      </c>
      <c r="V34" s="3" t="str">
        <f>IF(GLAPS자동계산!W33="","",GLAPS자동계산!W33)</f>
        <v/>
      </c>
      <c r="W34" s="14" t="str">
        <f>IF(GLAPS자동계산!X33="","",GLAPS자동계산!X33)</f>
        <v/>
      </c>
      <c r="X34" s="13" t="str">
        <f>IF(GLAPS자동계산!Y33="","",GLAPS자동계산!Y33)</f>
        <v/>
      </c>
      <c r="Y34" s="13" t="str">
        <f>IF(GLAPS자동계산!Z33="","",GLAPS자동계산!Z33)</f>
        <v/>
      </c>
      <c r="Z34" s="91" t="str">
        <f>IF(GLAPS자동계산!AA33="","",GLAPS자동계산!AA33)</f>
        <v/>
      </c>
      <c r="AA34" s="14" t="str">
        <f>IF(GLAPS자동계산!AB33="","",GLAPS자동계산!AB33)</f>
        <v/>
      </c>
      <c r="AC34" s="2" t="str">
        <f>IF($B34="","",$AC$1)</f>
        <v/>
      </c>
      <c r="AD34" s="2" t="str">
        <f>IF($B34="","",IFERROR(INDEX(GLAPS정리!$D$2:$D$50,MATCH(I34,GLAPS정리!$A$2:$A$50,0)),IFERROR(INDEX(GLAPS정리!$D$2:$D$50,MATCH(I34,GLAPS정리!$B$2:$B$50,0)),"")))</f>
        <v/>
      </c>
      <c r="AF34" s="2" t="str">
        <f>IF($B34="","",$AF$1)</f>
        <v/>
      </c>
      <c r="AI34" s="2" t="str">
        <f>IF($B34="","",IF(F34="","",VLOOKUP(F34,GLAPS정리!$G$3:$J$114,2,0)))</f>
        <v/>
      </c>
      <c r="AJ34" s="2" t="str">
        <f>IF($B34="","",IF(Z34="울산정일","KRONS",IF(Z34="울산신항","KRUSN",IF(OR(Z34="선광종합물류(인천여객)",Z34="인천여객(인천여객)"),"KRINF",IF(OR(Z34="선광인천보세(인천신)",Z34="한진인천(인천신)",Z34="선광인천신항(인천신)",Z34="인천더로지스(인천신)"),"KRINN",IF(OR(Z34="인천진아(인천항)",Z34="인천E1(인천항)",Z34="인천SM경인터미널(인천항)",Z34="인천항(인천항)",Z34="인천우련(인천항)",Z34="인천항8부두(인천항)"),"KRINC",VLOOKUP(K34,GLAPS정리!$BB$2:$BC$33,2,0)))))))</f>
        <v/>
      </c>
      <c r="AL34" s="2" t="str">
        <f>IF($B34="","",$AL$1)</f>
        <v/>
      </c>
      <c r="AN34" s="70" t="str">
        <f>IF($B34="","",TEXT(B34,"YYYY-MM-DD"))</f>
        <v/>
      </c>
      <c r="AO34" s="2" t="str">
        <f>IF($B34="","",IF(E34="오전", "0800", IF(E34="오후", "1300", IF(E34="잔업", "1800", ""))))</f>
        <v/>
      </c>
      <c r="AP34" s="2" t="str">
        <f>IF($B34="","",IF(C34="","",VLOOKUP(C34,GLAPS정리!$AX$2:$AZ$17,3,0)))</f>
        <v/>
      </c>
      <c r="AR34" s="2" t="str">
        <f>IF($B34="","",IF(X34="","",X34))</f>
        <v/>
      </c>
      <c r="AX34" s="2" t="str">
        <f>IF($B34="","",IF(L34="","",VLOOKUP(L34,GLAPS정리!$V$3:$W$180,2,0)))</f>
        <v/>
      </c>
      <c r="BM34" s="2" t="str">
        <f>IF($B34="","",IF(AND(Q34=1,OR(P34="",P34="위험물")), "2210", IF(AND(Q34=1,OR(P34="리퍼",P34="위험물리퍼")), "2230", IF(AND(S34=1,OR(P34="",P34="위험물")), "4510", IF(AND(S34=1,OR(P34="리퍼",P34="위험물리퍼")), "4530", IF(AND(R34=1,OR(P34="",P34="위험물")), "4210", IF(AND(R34=1,P34="리퍼"), "4230", " ")))))))</f>
        <v/>
      </c>
      <c r="BN34" s="2" t="str">
        <f>IF($B34="","",$BN$1)</f>
        <v/>
      </c>
      <c r="BR34" s="2" t="str">
        <f>IF($B34="","",IF(OR(P34="리퍼",P34="위험물리퍼"),"Y",""))</f>
        <v/>
      </c>
      <c r="BS34" s="2" t="str">
        <f>IF($B34="","",IF(OR(P34="위험물",P34="위험물리퍼"),"Y",""))</f>
        <v/>
      </c>
      <c r="BV34" s="2" t="str">
        <f>IF($B34="","",IF(O34="","",VLOOKUP(O34,GLAPS정리!$BH$2:$BI$94,2,0)))</f>
        <v/>
      </c>
      <c r="BW34" s="2" t="str">
        <f>IF($B34="","",IF(OR(Z34="동원",Z34="세방",Z34="한타"),"",IFERROR(INDEX(GLAPS정리!$BI$2:$BI$101,MATCH(Z34,GLAPS정리!$BH$2:$BH$101,0)),"")))</f>
        <v/>
      </c>
      <c r="BX34" s="2" t="str">
        <f>IF($B34="","",IF(Z34="","",IFERROR(VLOOKUP(Z34,GLAPS정리!$AX$2:$AZ$17,3,0),"")))</f>
        <v/>
      </c>
      <c r="BZ34" s="2" t="str">
        <f>IF($B34="","",IF(H34="","",VLOOKUP(H34,GLAPS정리!$L$3:$O$133,2,0)))</f>
        <v/>
      </c>
      <c r="CA34" s="2" t="str">
        <f>IF($B34="","",IF(V34="공휴일", 10, IF(V34="야간", 20, IF(V34="위험물", 30, IF(V34="중량", 40, "")))))</f>
        <v/>
      </c>
      <c r="CL34" s="2" t="str">
        <f>IF($B34="","",IF(AI34="","",VLOOKUP(AI34,GLAPS정리!$BT$3:$BV$26,3,0)))</f>
        <v/>
      </c>
    </row>
    <row r="35" spans="1:90" ht="20.45" customHeight="1">
      <c r="B35" s="13" t="str">
        <f>IF(GLAPS자동계산!C34="","",GLAPS자동계산!C34)</f>
        <v/>
      </c>
      <c r="C35" s="13" t="str">
        <f>IF(GLAPS자동계산!D34="","",GLAPS자동계산!D34)</f>
        <v/>
      </c>
      <c r="D35" s="16" t="str">
        <f>IF(GLAPS자동계산!E34="","",GLAPS자동계산!E34)</f>
        <v/>
      </c>
      <c r="E35" s="13" t="str">
        <f>IF(GLAPS자동계산!F34="","",GLAPS자동계산!F34)</f>
        <v/>
      </c>
      <c r="F35" s="13" t="str">
        <f>IF(GLAPS자동계산!G34="","",GLAPS자동계산!G34)</f>
        <v/>
      </c>
      <c r="G35" s="13" t="str">
        <f>IF(GLAPS자동계산!H34="","",GLAPS자동계산!H34)</f>
        <v/>
      </c>
      <c r="H35" s="13" t="str">
        <f>IF(GLAPS자동계산!I34="","",GLAPS자동계산!I34)</f>
        <v/>
      </c>
      <c r="I35" s="13" t="str">
        <f>IF(GLAPS자동계산!J34="","",GLAPS자동계산!J34)</f>
        <v/>
      </c>
      <c r="J35" s="13" t="str">
        <f>IF(GLAPS자동계산!K34="","",GLAPS자동계산!K34)</f>
        <v/>
      </c>
      <c r="K35" s="13" t="str">
        <f>IF(GLAPS자동계산!L34="","",GLAPS자동계산!L34)</f>
        <v/>
      </c>
      <c r="L35" s="13" t="str">
        <f>IF(GLAPS자동계산!M34="","",GLAPS자동계산!M34)</f>
        <v/>
      </c>
      <c r="M35" s="13" t="str">
        <f>IF(GLAPS자동계산!N34="","",GLAPS자동계산!N34)</f>
        <v/>
      </c>
      <c r="N35" s="13" t="str">
        <f>IF(GLAPS자동계산!O34="","",GLAPS자동계산!O34)</f>
        <v/>
      </c>
      <c r="O35" s="3" t="str">
        <f>IF(GLAPS자동계산!P34="","",GLAPS자동계산!P34)</f>
        <v/>
      </c>
      <c r="P35" s="2" t="str">
        <f>IF(GLAPS자동계산!Q34="","",GLAPS자동계산!Q34)</f>
        <v/>
      </c>
      <c r="Q35" s="3" t="str">
        <f>IF(GLAPS자동계산!R34="","",GLAPS자동계산!R34)</f>
        <v/>
      </c>
      <c r="R35" s="3" t="str">
        <f>IF(GLAPS자동계산!S34="","",GLAPS자동계산!S34)</f>
        <v/>
      </c>
      <c r="S35" s="3" t="str">
        <f>IF(GLAPS자동계산!T34="","",GLAPS자동계산!T34)</f>
        <v/>
      </c>
      <c r="T35" s="3" t="str">
        <f>IF(GLAPS자동계산!U34="","",GLAPS자동계산!U34)</f>
        <v/>
      </c>
      <c r="U35" s="3" t="str">
        <f>IF(GLAPS자동계산!V34="","",GLAPS자동계산!V34)</f>
        <v/>
      </c>
      <c r="V35" s="3" t="str">
        <f>IF(GLAPS자동계산!W34="","",GLAPS자동계산!W34)</f>
        <v/>
      </c>
      <c r="W35" s="14" t="str">
        <f>IF(GLAPS자동계산!X34="","",GLAPS자동계산!X34)</f>
        <v/>
      </c>
      <c r="X35" s="13" t="str">
        <f>IF(GLAPS자동계산!Y34="","",GLAPS자동계산!Y34)</f>
        <v/>
      </c>
      <c r="Y35" s="13" t="str">
        <f>IF(GLAPS자동계산!Z34="","",GLAPS자동계산!Z34)</f>
        <v/>
      </c>
      <c r="Z35" s="91" t="str">
        <f>IF(GLAPS자동계산!AA34="","",GLAPS자동계산!AA34)</f>
        <v/>
      </c>
      <c r="AA35" s="14" t="str">
        <f>IF(GLAPS자동계산!AB34="","",GLAPS자동계산!AB34)</f>
        <v/>
      </c>
      <c r="AC35" s="2" t="str">
        <f>IF($B35="","",$AC$1)</f>
        <v/>
      </c>
      <c r="AD35" s="2" t="str">
        <f>IF($B35="","",IFERROR(INDEX(GLAPS정리!$D$2:$D$50,MATCH(I35,GLAPS정리!$A$2:$A$50,0)),IFERROR(INDEX(GLAPS정리!$D$2:$D$50,MATCH(I35,GLAPS정리!$B$2:$B$50,0)),"")))</f>
        <v/>
      </c>
      <c r="AF35" s="2" t="str">
        <f>IF($B35="","",$AF$1)</f>
        <v/>
      </c>
      <c r="AI35" s="2" t="str">
        <f>IF($B35="","",IF(F35="","",VLOOKUP(F35,GLAPS정리!$G$3:$J$114,2,0)))</f>
        <v/>
      </c>
      <c r="AJ35" s="2" t="str">
        <f>IF($B35="","",IF(Z35="울산정일","KRONS",IF(Z35="울산신항","KRUSN",IF(OR(Z35="선광종합물류(인천여객)",Z35="인천여객(인천여객)"),"KRINF",IF(OR(Z35="선광인천보세(인천신)",Z35="한진인천(인천신)",Z35="선광인천신항(인천신)",Z35="인천더로지스(인천신)"),"KRINN",IF(OR(Z35="인천진아(인천항)",Z35="인천E1(인천항)",Z35="인천SM경인터미널(인천항)",Z35="인천항(인천항)",Z35="인천우련(인천항)",Z35="인천항8부두(인천항)"),"KRINC",VLOOKUP(K35,GLAPS정리!$BB$2:$BC$33,2,0)))))))</f>
        <v/>
      </c>
      <c r="AL35" s="2" t="str">
        <f>IF($B35="","",$AL$1)</f>
        <v/>
      </c>
      <c r="AN35" s="70" t="str">
        <f>IF($B35="","",TEXT(B35,"YYYY-MM-DD"))</f>
        <v/>
      </c>
      <c r="AO35" s="2" t="str">
        <f>IF($B35="","",IF(E35="오전", "0800", IF(E35="오후", "1300", IF(E35="잔업", "1800", ""))))</f>
        <v/>
      </c>
      <c r="AP35" s="2" t="str">
        <f>IF($B35="","",IF(C35="","",VLOOKUP(C35,GLAPS정리!$AX$2:$AZ$17,3,0)))</f>
        <v/>
      </c>
      <c r="AR35" s="2" t="str">
        <f>IF($B35="","",IF(X35="","",X35))</f>
        <v/>
      </c>
      <c r="AX35" s="2" t="str">
        <f>IF($B35="","",IF(L35="","",VLOOKUP(L35,GLAPS정리!$V$3:$W$180,2,0)))</f>
        <v/>
      </c>
      <c r="BM35" s="2" t="str">
        <f>IF($B35="","",IF(AND(Q35=1,OR(P35="",P35="위험물")), "2210", IF(AND(Q35=1,OR(P35="리퍼",P35="위험물리퍼")), "2230", IF(AND(S35=1,OR(P35="",P35="위험물")), "4510", IF(AND(S35=1,OR(P35="리퍼",P35="위험물리퍼")), "4530", IF(AND(R35=1,OR(P35="",P35="위험물")), "4210", IF(AND(R35=1,P35="리퍼"), "4230", " ")))))))</f>
        <v/>
      </c>
      <c r="BN35" s="2" t="str">
        <f>IF($B35="","",$BN$1)</f>
        <v/>
      </c>
      <c r="BR35" s="2" t="str">
        <f>IF($B35="","",IF(OR(P35="리퍼",P35="위험물리퍼"),"Y",""))</f>
        <v/>
      </c>
      <c r="BS35" s="2" t="str">
        <f>IF($B35="","",IF(OR(P35="위험물",P35="위험물리퍼"),"Y",""))</f>
        <v/>
      </c>
      <c r="BV35" s="2" t="str">
        <f>IF($B35="","",IF(O35="","",VLOOKUP(O35,GLAPS정리!$BH$2:$BI$94,2,0)))</f>
        <v/>
      </c>
      <c r="BW35" s="2" t="str">
        <f>IF($B35="","",IF(OR(Z35="동원",Z35="세방",Z35="한타"),"",IFERROR(INDEX(GLAPS정리!$BI$2:$BI$101,MATCH(Z35,GLAPS정리!$BH$2:$BH$101,0)),"")))</f>
        <v/>
      </c>
      <c r="BX35" s="2" t="str">
        <f>IF($B35="","",IF(Z35="","",IFERROR(VLOOKUP(Z35,GLAPS정리!$AX$2:$AZ$17,3,0),"")))</f>
        <v/>
      </c>
      <c r="BZ35" s="2" t="str">
        <f>IF($B35="","",IF(H35="","",VLOOKUP(H35,GLAPS정리!$L$3:$O$133,2,0)))</f>
        <v/>
      </c>
      <c r="CA35" s="2" t="str">
        <f>IF($B35="","",IF(V35="공휴일", 10, IF(V35="야간", 20, IF(V35="위험물", 30, IF(V35="중량", 40, "")))))</f>
        <v/>
      </c>
      <c r="CL35" s="2" t="str">
        <f>IF($B35="","",IF(AI35="","",VLOOKUP(AI35,GLAPS정리!$BT$3:$BV$26,3,0)))</f>
        <v/>
      </c>
    </row>
    <row r="36" spans="1:90" ht="20.45" customHeight="1">
      <c r="B36" s="13" t="str">
        <f>IF(GLAPS자동계산!C35="","",GLAPS자동계산!C35)</f>
        <v/>
      </c>
      <c r="C36" s="3" t="str">
        <f>IF(GLAPS자동계산!D35="","",GLAPS자동계산!D35)</f>
        <v/>
      </c>
      <c r="D36" s="16" t="str">
        <f>IF(GLAPS자동계산!E35="","",GLAPS자동계산!E35)</f>
        <v/>
      </c>
      <c r="E36" s="11" t="str">
        <f>IF(GLAPS자동계산!F35="","",GLAPS자동계산!F35)</f>
        <v/>
      </c>
      <c r="F36" s="3" t="str">
        <f>IF(GLAPS자동계산!G35="","",GLAPS자동계산!G35)</f>
        <v/>
      </c>
      <c r="G36" s="3" t="str">
        <f>IF(GLAPS자동계산!H35="","",GLAPS자동계산!H35)</f>
        <v/>
      </c>
      <c r="H36" s="3" t="str">
        <f>IF(GLAPS자동계산!I35="","",GLAPS자동계산!I35)</f>
        <v/>
      </c>
      <c r="I36" s="3" t="str">
        <f>IF(GLAPS자동계산!J35="","",GLAPS자동계산!J35)</f>
        <v/>
      </c>
      <c r="J36" s="3" t="str">
        <f>IF(GLAPS자동계산!K35="","",GLAPS자동계산!K35)</f>
        <v/>
      </c>
      <c r="K36" s="3" t="str">
        <f>IF(GLAPS자동계산!L35="","",GLAPS자동계산!L35)</f>
        <v/>
      </c>
      <c r="L36" s="3" t="str">
        <f>IF(GLAPS자동계산!M35="","",GLAPS자동계산!M35)</f>
        <v/>
      </c>
      <c r="M36" s="3" t="str">
        <f>IF(GLAPS자동계산!N35="","",GLAPS자동계산!N35)</f>
        <v/>
      </c>
      <c r="N36" s="3" t="str">
        <f>IF(GLAPS자동계산!O35="","",GLAPS자동계산!O35)</f>
        <v/>
      </c>
      <c r="O36" s="3" t="str">
        <f>IF(GLAPS자동계산!P35="","",GLAPS자동계산!P35)</f>
        <v/>
      </c>
      <c r="P36" s="2" t="str">
        <f>IF(GLAPS자동계산!Q35="","",GLAPS자동계산!Q35)</f>
        <v/>
      </c>
      <c r="Q36" s="3" t="str">
        <f>IF(GLAPS자동계산!R35="","",GLAPS자동계산!R35)</f>
        <v/>
      </c>
      <c r="R36" s="3" t="str">
        <f>IF(GLAPS자동계산!S35="","",GLAPS자동계산!S35)</f>
        <v/>
      </c>
      <c r="S36" s="3" t="str">
        <f>IF(GLAPS자동계산!T35="","",GLAPS자동계산!T35)</f>
        <v/>
      </c>
      <c r="T36" s="3" t="str">
        <f>IF(GLAPS자동계산!U35="","",GLAPS자동계산!U35)</f>
        <v/>
      </c>
      <c r="U36" s="3" t="str">
        <f>IF(GLAPS자동계산!V35="","",GLAPS자동계산!V35)</f>
        <v/>
      </c>
      <c r="V36" s="3" t="str">
        <f>IF(GLAPS자동계산!W35="","",GLAPS자동계산!W35)</f>
        <v/>
      </c>
      <c r="W36" s="14" t="str">
        <f>IF(GLAPS자동계산!X35="","",GLAPS자동계산!X35)</f>
        <v/>
      </c>
      <c r="X36" s="13" t="str">
        <f>IF(GLAPS자동계산!Y35="","",GLAPS자동계산!Y35)</f>
        <v/>
      </c>
      <c r="Y36" s="13" t="str">
        <f>IF(GLAPS자동계산!Z35="","",GLAPS자동계산!Z35)</f>
        <v/>
      </c>
      <c r="Z36" s="91" t="str">
        <f>IF(GLAPS자동계산!AA35="","",GLAPS자동계산!AA35)</f>
        <v/>
      </c>
      <c r="AA36" s="14" t="str">
        <f>IF(GLAPS자동계산!AB35="","",GLAPS자동계산!AB35)</f>
        <v/>
      </c>
      <c r="AC36" s="2" t="str">
        <f>IF($B36="","",$AC$1)</f>
        <v/>
      </c>
      <c r="AD36" s="2" t="str">
        <f>IF($B36="","",IFERROR(INDEX(GLAPS정리!$D$2:$D$50,MATCH(I36,GLAPS정리!$A$2:$A$50,0)),IFERROR(INDEX(GLAPS정리!$D$2:$D$50,MATCH(I36,GLAPS정리!$B$2:$B$50,0)),"")))</f>
        <v/>
      </c>
      <c r="AF36" s="2" t="str">
        <f>IF($B36="","",$AF$1)</f>
        <v/>
      </c>
      <c r="AI36" s="2" t="str">
        <f>IF($B36="","",IF(F36="","",VLOOKUP(F36,GLAPS정리!$G$3:$J$114,2,0)))</f>
        <v/>
      </c>
      <c r="AJ36" s="2" t="str">
        <f>IF($B36="","",IF(Z36="울산정일","KRONS",IF(Z36="울산신항","KRUSN",IF(OR(Z36="선광종합물류(인천여객)",Z36="인천여객(인천여객)"),"KRINF",IF(OR(Z36="선광인천보세(인천신)",Z36="한진인천(인천신)",Z36="선광인천신항(인천신)",Z36="인천더로지스(인천신)"),"KRINN",IF(OR(Z36="인천진아(인천항)",Z36="인천E1(인천항)",Z36="인천SM경인터미널(인천항)",Z36="인천항(인천항)",Z36="인천우련(인천항)",Z36="인천항8부두(인천항)"),"KRINC",VLOOKUP(K36,GLAPS정리!$BB$2:$BC$33,2,0)))))))</f>
        <v/>
      </c>
      <c r="AL36" s="2" t="str">
        <f>IF($B36="","",$AL$1)</f>
        <v/>
      </c>
      <c r="AN36" s="70" t="str">
        <f>IF($B36="","",TEXT(B36,"YYYY-MM-DD"))</f>
        <v/>
      </c>
      <c r="AO36" s="2" t="str">
        <f>IF($B36="","",IF(E36="오전", "0800", IF(E36="오후", "1300", IF(E36="잔업", "1800", ""))))</f>
        <v/>
      </c>
      <c r="AP36" s="2" t="str">
        <f>IF($B36="","",IF(C36="","",VLOOKUP(C36,GLAPS정리!$AX$2:$AZ$17,3,0)))</f>
        <v/>
      </c>
      <c r="AR36" s="2" t="str">
        <f>IF($B36="","",IF(X36="","",X36))</f>
        <v/>
      </c>
      <c r="AX36" s="2" t="str">
        <f>IF($B36="","",IF(L36="","",VLOOKUP(L36,GLAPS정리!$V$3:$W$180,2,0)))</f>
        <v/>
      </c>
      <c r="BM36" s="2" t="str">
        <f>IF($B36="","",IF(AND(Q36=1,OR(P36="",P36="위험물")), "2210", IF(AND(Q36=1,OR(P36="리퍼",P36="위험물리퍼")), "2230", IF(AND(S36=1,OR(P36="",P36="위험물")), "4510", IF(AND(S36=1,OR(P36="리퍼",P36="위험물리퍼")), "4530", IF(AND(R36=1,OR(P36="",P36="위험물")), "4210", IF(AND(R36=1,P36="리퍼"), "4230", " ")))))))</f>
        <v/>
      </c>
      <c r="BN36" s="2" t="str">
        <f>IF($B36="","",$BN$1)</f>
        <v/>
      </c>
      <c r="BR36" s="2" t="str">
        <f>IF($B36="","",IF(OR(P36="리퍼",P36="위험물리퍼"),"Y",""))</f>
        <v/>
      </c>
      <c r="BS36" s="2" t="str">
        <f>IF($B36="","",IF(OR(P36="위험물",P36="위험물리퍼"),"Y",""))</f>
        <v/>
      </c>
      <c r="BV36" s="2" t="str">
        <f>IF($B36="","",IF(O36="","",VLOOKUP(O36,GLAPS정리!$BH$2:$BI$94,2,0)))</f>
        <v/>
      </c>
      <c r="BW36" s="2" t="str">
        <f>IF($B36="","",IF(OR(Z36="동원",Z36="세방",Z36="한타"),"",IFERROR(INDEX(GLAPS정리!$BI$2:$BI$101,MATCH(Z36,GLAPS정리!$BH$2:$BH$101,0)),"")))</f>
        <v/>
      </c>
      <c r="BX36" s="2" t="str">
        <f>IF($B36="","",IF(Z36="","",IFERROR(VLOOKUP(Z36,GLAPS정리!$AX$2:$AZ$17,3,0),"")))</f>
        <v/>
      </c>
      <c r="BZ36" s="2" t="str">
        <f>IF($B36="","",IF(H36="","",VLOOKUP(H36,GLAPS정리!$L$3:$O$133,2,0)))</f>
        <v/>
      </c>
      <c r="CA36" s="2" t="str">
        <f>IF($B36="","",IF(V36="공휴일", 10, IF(V36="야간", 20, IF(V36="위험물", 30, IF(V36="중량", 40, "")))))</f>
        <v/>
      </c>
      <c r="CL36" s="2" t="str">
        <f>IF($B36="","",IF(AI36="","",VLOOKUP(AI36,GLAPS정리!$BT$3:$BV$26,3,0)))</f>
        <v/>
      </c>
    </row>
    <row r="37" spans="1:90" ht="20.45" customHeight="1">
      <c r="B37" s="13" t="str">
        <f>IF(GLAPS자동계산!C36="","",GLAPS자동계산!C36)</f>
        <v/>
      </c>
      <c r="C37" s="3" t="str">
        <f>IF(GLAPS자동계산!D36="","",GLAPS자동계산!D36)</f>
        <v/>
      </c>
      <c r="D37" s="16" t="str">
        <f>IF(GLAPS자동계산!E36="","",GLAPS자동계산!E36)</f>
        <v/>
      </c>
      <c r="E37" s="11" t="str">
        <f>IF(GLAPS자동계산!F36="","",GLAPS자동계산!F36)</f>
        <v/>
      </c>
      <c r="F37" s="3" t="str">
        <f>IF(GLAPS자동계산!G36="","",GLAPS자동계산!G36)</f>
        <v/>
      </c>
      <c r="G37" s="3" t="str">
        <f>IF(GLAPS자동계산!H36="","",GLAPS자동계산!H36)</f>
        <v/>
      </c>
      <c r="H37" s="3" t="str">
        <f>IF(GLAPS자동계산!I36="","",GLAPS자동계산!I36)</f>
        <v/>
      </c>
      <c r="I37" s="3" t="str">
        <f>IF(GLAPS자동계산!J36="","",GLAPS자동계산!J36)</f>
        <v/>
      </c>
      <c r="J37" s="3" t="str">
        <f>IF(GLAPS자동계산!K36="","",GLAPS자동계산!K36)</f>
        <v/>
      </c>
      <c r="K37" s="3" t="str">
        <f>IF(GLAPS자동계산!L36="","",GLAPS자동계산!L36)</f>
        <v/>
      </c>
      <c r="L37" s="3" t="str">
        <f>IF(GLAPS자동계산!M36="","",GLAPS자동계산!M36)</f>
        <v/>
      </c>
      <c r="M37" s="3" t="str">
        <f>IF(GLAPS자동계산!N36="","",GLAPS자동계산!N36)</f>
        <v/>
      </c>
      <c r="N37" s="3" t="str">
        <f>IF(GLAPS자동계산!O36="","",GLAPS자동계산!O36)</f>
        <v/>
      </c>
      <c r="O37" s="3" t="str">
        <f>IF(GLAPS자동계산!P36="","",GLAPS자동계산!P36)</f>
        <v/>
      </c>
      <c r="P37" s="2" t="str">
        <f>IF(GLAPS자동계산!Q36="","",GLAPS자동계산!Q36)</f>
        <v/>
      </c>
      <c r="Q37" s="3" t="str">
        <f>IF(GLAPS자동계산!R36="","",GLAPS자동계산!R36)</f>
        <v/>
      </c>
      <c r="R37" s="3" t="str">
        <f>IF(GLAPS자동계산!S36="","",GLAPS자동계산!S36)</f>
        <v/>
      </c>
      <c r="S37" s="3" t="str">
        <f>IF(GLAPS자동계산!T36="","",GLAPS자동계산!T36)</f>
        <v/>
      </c>
      <c r="T37" s="3" t="str">
        <f>IF(GLAPS자동계산!U36="","",GLAPS자동계산!U36)</f>
        <v/>
      </c>
      <c r="U37" t="str">
        <f>IF(GLAPS자동계산!V36="","",GLAPS자동계산!V36)</f>
        <v/>
      </c>
      <c r="V37" s="14" t="str">
        <f>IF(GLAPS자동계산!W36="","",GLAPS자동계산!W36)</f>
        <v/>
      </c>
      <c r="W37" s="14" t="str">
        <f>IF(GLAPS자동계산!X36="","",GLAPS자동계산!X36)</f>
        <v/>
      </c>
      <c r="X37" s="13" t="str">
        <f>IF(GLAPS자동계산!Y36="","",GLAPS자동계산!Y36)</f>
        <v/>
      </c>
      <c r="Y37" s="13" t="str">
        <f>IF(GLAPS자동계산!Z36="","",GLAPS자동계산!Z36)</f>
        <v/>
      </c>
      <c r="Z37" s="91" t="str">
        <f>IF(GLAPS자동계산!AA36="","",GLAPS자동계산!AA36)</f>
        <v/>
      </c>
      <c r="AA37" s="14" t="str">
        <f>IF(GLAPS자동계산!AB36="","",GLAPS자동계산!AB36)</f>
        <v/>
      </c>
      <c r="AC37" s="2" t="str">
        <f>IF($B37="","",$AC$1)</f>
        <v/>
      </c>
      <c r="AD37" s="2" t="str">
        <f>IF($B37="","",IFERROR(INDEX(GLAPS정리!$D$2:$D$50,MATCH(I37,GLAPS정리!$A$2:$A$50,0)),IFERROR(INDEX(GLAPS정리!$D$2:$D$50,MATCH(I37,GLAPS정리!$B$2:$B$50,0)),"")))</f>
        <v/>
      </c>
      <c r="AF37" s="2" t="str">
        <f>IF($B37="","",$AF$1)</f>
        <v/>
      </c>
      <c r="AI37" s="2" t="str">
        <f>IF($B37="","",IF(F37="","",VLOOKUP(F37,GLAPS정리!$G$3:$J$114,2,0)))</f>
        <v/>
      </c>
      <c r="AJ37" s="2" t="str">
        <f>IF($B37="","",IF(Z37="울산정일","KRONS",IF(Z37="울산신항","KRUSN",IF(OR(Z37="선광종합물류(인천여객)",Z37="인천여객(인천여객)"),"KRINF",IF(OR(Z37="선광인천보세(인천신)",Z37="한진인천(인천신)",Z37="선광인천신항(인천신)",Z37="인천더로지스(인천신)"),"KRINN",IF(OR(Z37="인천진아(인천항)",Z37="인천E1(인천항)",Z37="인천SM경인터미널(인천항)",Z37="인천항(인천항)",Z37="인천우련(인천항)",Z37="인천항8부두(인천항)"),"KRINC",VLOOKUP(K37,GLAPS정리!$BB$2:$BC$33,2,0)))))))</f>
        <v/>
      </c>
      <c r="AL37" s="2" t="str">
        <f>IF($B37="","",$AL$1)</f>
        <v/>
      </c>
      <c r="AN37" s="70" t="str">
        <f>IF($B37="","",TEXT(B37,"YYYY-MM-DD"))</f>
        <v/>
      </c>
      <c r="AO37" s="2" t="str">
        <f>IF($B37="","",IF(E37="오전", "0800", IF(E37="오후", "1300", IF(E37="잔업", "1800", ""))))</f>
        <v/>
      </c>
      <c r="AP37" s="2" t="str">
        <f>IF($B37="","",IF(C37="","",VLOOKUP(C37,GLAPS정리!$AX$2:$AZ$17,3,0)))</f>
        <v/>
      </c>
      <c r="AR37" s="2" t="str">
        <f>IF($B37="","",IF(X37="","",X37))</f>
        <v/>
      </c>
      <c r="AX37" s="2" t="str">
        <f>IF($B37="","",IF(L37="","",VLOOKUP(L37,GLAPS정리!$V$3:$W$180,2,0)))</f>
        <v/>
      </c>
      <c r="BM37" s="2" t="str">
        <f>IF($B37="","",IF(AND(Q37=1,OR(P37="",P37="위험물")), "2210", IF(AND(Q37=1,OR(P37="리퍼",P37="위험물리퍼")), "2230", IF(AND(S37=1,OR(P37="",P37="위험물")), "4510", IF(AND(S37=1,OR(P37="리퍼",P37="위험물리퍼")), "4530", IF(AND(R37=1,OR(P37="",P37="위험물")), "4210", IF(AND(R37=1,P37="리퍼"), "4230", " ")))))))</f>
        <v/>
      </c>
      <c r="BN37" s="2" t="str">
        <f>IF($B37="","",$BN$1)</f>
        <v/>
      </c>
      <c r="BR37" s="2" t="str">
        <f>IF($B37="","",IF(OR(P37="리퍼",P37="위험물리퍼"),"Y",""))</f>
        <v/>
      </c>
      <c r="BS37" s="2" t="str">
        <f>IF($B37="","",IF(OR(P37="위험물",P37="위험물리퍼"),"Y",""))</f>
        <v/>
      </c>
      <c r="BV37" s="2" t="str">
        <f>IF($B37="","",IF(O37="","",VLOOKUP(O37,GLAPS정리!$BH$2:$BI$94,2,0)))</f>
        <v/>
      </c>
      <c r="BW37" s="2" t="str">
        <f>IF($B37="","",IF(OR(Z37="동원",Z37="세방",Z37="한타"),"",IFERROR(INDEX(GLAPS정리!$BI$2:$BI$101,MATCH(Z37,GLAPS정리!$BH$2:$BH$101,0)),"")))</f>
        <v/>
      </c>
      <c r="BX37" s="2" t="str">
        <f>IF($B37="","",IF(Z37="","",IFERROR(VLOOKUP(Z37,GLAPS정리!$AX$2:$AZ$17,3,0),"")))</f>
        <v/>
      </c>
      <c r="BZ37" s="2" t="str">
        <f>IF($B37="","",IF(H37="","",VLOOKUP(H37,GLAPS정리!$L$3:$O$133,2,0)))</f>
        <v/>
      </c>
      <c r="CA37" s="2" t="str">
        <f>IF($B37="","",IF(V37="공휴일", 10, IF(V37="야간", 20, IF(V37="위험물", 30, IF(V37="중량", 40, "")))))</f>
        <v/>
      </c>
      <c r="CL37" s="2" t="str">
        <f>IF($B37="","",IF(AI37="","",VLOOKUP(AI37,GLAPS정리!$BT$3:$BV$26,3,0)))</f>
        <v/>
      </c>
    </row>
    <row r="38" spans="1:90" ht="20.45" customHeight="1">
      <c r="B38" s="13" t="str">
        <f>IF(GLAPS자동계산!C37="","",GLAPS자동계산!C37)</f>
        <v/>
      </c>
      <c r="C38" s="3" t="str">
        <f>IF(GLAPS자동계산!D37="","",GLAPS자동계산!D37)</f>
        <v/>
      </c>
      <c r="D38" s="16" t="str">
        <f>IF(GLAPS자동계산!E37="","",GLAPS자동계산!E37)</f>
        <v/>
      </c>
      <c r="E38" s="11" t="str">
        <f>IF(GLAPS자동계산!F37="","",GLAPS자동계산!F37)</f>
        <v/>
      </c>
      <c r="F38" s="3" t="str">
        <f>IF(GLAPS자동계산!G37="","",GLAPS자동계산!G37)</f>
        <v/>
      </c>
      <c r="G38" s="3" t="str">
        <f>IF(GLAPS자동계산!H37="","",GLAPS자동계산!H37)</f>
        <v/>
      </c>
      <c r="H38" s="3" t="str">
        <f>IF(GLAPS자동계산!I37="","",GLAPS자동계산!I37)</f>
        <v/>
      </c>
      <c r="I38" s="3" t="str">
        <f>IF(GLAPS자동계산!J37="","",GLAPS자동계산!J37)</f>
        <v/>
      </c>
      <c r="J38" s="3" t="str">
        <f>IF(GLAPS자동계산!K37="","",GLAPS자동계산!K37)</f>
        <v/>
      </c>
      <c r="K38" s="3" t="str">
        <f>IF(GLAPS자동계산!L37="","",GLAPS자동계산!L37)</f>
        <v/>
      </c>
      <c r="L38" s="3" t="str">
        <f>IF(GLAPS자동계산!M37="","",GLAPS자동계산!M37)</f>
        <v/>
      </c>
      <c r="M38" s="3" t="str">
        <f>IF(GLAPS자동계산!N37="","",GLAPS자동계산!N37)</f>
        <v/>
      </c>
      <c r="N38" s="3" t="str">
        <f>IF(GLAPS자동계산!O37="","",GLAPS자동계산!O37)</f>
        <v/>
      </c>
      <c r="O38" s="3" t="str">
        <f>IF(GLAPS자동계산!P37="","",GLAPS자동계산!P37)</f>
        <v/>
      </c>
      <c r="P38" s="2" t="str">
        <f>IF(GLAPS자동계산!Q37="","",GLAPS자동계산!Q37)</f>
        <v/>
      </c>
      <c r="Q38" s="3" t="str">
        <f>IF(GLAPS자동계산!R37="","",GLAPS자동계산!R37)</f>
        <v/>
      </c>
      <c r="R38" s="3" t="str">
        <f>IF(GLAPS자동계산!S37="","",GLAPS자동계산!S37)</f>
        <v/>
      </c>
      <c r="S38" s="3" t="str">
        <f>IF(GLAPS자동계산!T37="","",GLAPS자동계산!T37)</f>
        <v/>
      </c>
      <c r="T38" s="3" t="str">
        <f>IF(GLAPS자동계산!U37="","",GLAPS자동계산!U37)</f>
        <v/>
      </c>
      <c r="U38" s="3" t="str">
        <f>IF(GLAPS자동계산!V37="","",GLAPS자동계산!V37)</f>
        <v/>
      </c>
      <c r="V38" s="14" t="str">
        <f>IF(GLAPS자동계산!W37="","",GLAPS자동계산!W37)</f>
        <v/>
      </c>
      <c r="W38" s="14" t="str">
        <f>IF(GLAPS자동계산!X37="","",GLAPS자동계산!X37)</f>
        <v/>
      </c>
      <c r="X38" s="13" t="str">
        <f>IF(GLAPS자동계산!Y37="","",GLAPS자동계산!Y37)</f>
        <v/>
      </c>
      <c r="Y38" s="13" t="str">
        <f>IF(GLAPS자동계산!Z37="","",GLAPS자동계산!Z37)</f>
        <v/>
      </c>
      <c r="Z38" s="91" t="str">
        <f>IF(GLAPS자동계산!AA37="","",GLAPS자동계산!AA37)</f>
        <v/>
      </c>
      <c r="AA38" s="14" t="str">
        <f>IF(GLAPS자동계산!AB37="","",GLAPS자동계산!AB37)</f>
        <v/>
      </c>
      <c r="AC38" s="2" t="str">
        <f>IF($B38="","",$AC$1)</f>
        <v/>
      </c>
      <c r="AD38" s="2" t="str">
        <f>IF($B38="","",IFERROR(INDEX(GLAPS정리!$D$2:$D$50,MATCH(I38,GLAPS정리!$A$2:$A$50,0)),IFERROR(INDEX(GLAPS정리!$D$2:$D$50,MATCH(I38,GLAPS정리!$B$2:$B$50,0)),"")))</f>
        <v/>
      </c>
      <c r="AF38" s="2" t="str">
        <f>IF($B38="","",$AF$1)</f>
        <v/>
      </c>
      <c r="AI38" s="2" t="str">
        <f>IF($B38="","",IF(F38="","",VLOOKUP(F38,GLAPS정리!$G$3:$J$114,2,0)))</f>
        <v/>
      </c>
      <c r="AJ38" s="2" t="str">
        <f>IF($B38="","",IF(Z38="울산정일","KRONS",IF(Z38="울산신항","KRUSN",IF(OR(Z38="선광종합물류(인천여객)",Z38="인천여객(인천여객)"),"KRINF",IF(OR(Z38="선광인천보세(인천신)",Z38="한진인천(인천신)",Z38="선광인천신항(인천신)",Z38="인천더로지스(인천신)"),"KRINN",IF(OR(Z38="인천진아(인천항)",Z38="인천E1(인천항)",Z38="인천SM경인터미널(인천항)",Z38="인천항(인천항)",Z38="인천우련(인천항)",Z38="인천항8부두(인천항)"),"KRINC",VLOOKUP(K38,GLAPS정리!$BB$2:$BC$33,2,0)))))))</f>
        <v/>
      </c>
      <c r="AL38" s="2" t="str">
        <f>IF($B38="","",$AL$1)</f>
        <v/>
      </c>
      <c r="AN38" s="70" t="str">
        <f>IF($B38="","",TEXT(B38,"YYYY-MM-DD"))</f>
        <v/>
      </c>
      <c r="AO38" s="2" t="str">
        <f>IF($B38="","",IF(E38="오전", "0800", IF(E38="오후", "1300", IF(E38="잔업", "1800", ""))))</f>
        <v/>
      </c>
      <c r="AP38" s="2" t="str">
        <f>IF($B38="","",IF(C38="","",VLOOKUP(C38,GLAPS정리!$AX$2:$AZ$17,3,0)))</f>
        <v/>
      </c>
      <c r="AR38" s="2" t="str">
        <f>IF($B38="","",IF(X38="","",X38))</f>
        <v/>
      </c>
      <c r="AX38" s="2" t="str">
        <f>IF($B38="","",IF(L38="","",VLOOKUP(L38,GLAPS정리!$V$3:$W$180,2,0)))</f>
        <v/>
      </c>
      <c r="BM38" s="2" t="str">
        <f>IF($B38="","",IF(AND(Q38=1,OR(P38="",P38="위험물")), "2210", IF(AND(Q38=1,OR(P38="리퍼",P38="위험물리퍼")), "2230", IF(AND(S38=1,OR(P38="",P38="위험물")), "4510", IF(AND(S38=1,OR(P38="리퍼",P38="위험물리퍼")), "4530", IF(AND(R38=1,OR(P38="",P38="위험물")), "4210", IF(AND(R38=1,P38="리퍼"), "4230", " ")))))))</f>
        <v/>
      </c>
      <c r="BN38" s="2" t="str">
        <f>IF($B38="","",$BN$1)</f>
        <v/>
      </c>
      <c r="BR38" s="2" t="str">
        <f>IF($B38="","",IF(OR(P38="리퍼",P38="위험물리퍼"),"Y",""))</f>
        <v/>
      </c>
      <c r="BS38" s="2" t="str">
        <f>IF($B38="","",IF(OR(P38="위험물",P38="위험물리퍼"),"Y",""))</f>
        <v/>
      </c>
      <c r="BV38" s="2" t="str">
        <f>IF($B38="","",IF(O38="","",VLOOKUP(O38,GLAPS정리!$BH$2:$BI$94,2,0)))</f>
        <v/>
      </c>
      <c r="BW38" s="2" t="str">
        <f>IF($B38="","",IF(OR(Z38="동원",Z38="세방",Z38="한타"),"",IFERROR(INDEX(GLAPS정리!$BI$2:$BI$101,MATCH(Z38,GLAPS정리!$BH$2:$BH$101,0)),"")))</f>
        <v/>
      </c>
      <c r="BX38" s="2" t="str">
        <f>IF($B38="","",IF(Z38="","",IFERROR(VLOOKUP(Z38,GLAPS정리!$AX$2:$AZ$17,3,0),"")))</f>
        <v/>
      </c>
      <c r="BZ38" s="2" t="str">
        <f>IF($B38="","",IF(H38="","",VLOOKUP(H38,GLAPS정리!$L$3:$O$133,2,0)))</f>
        <v/>
      </c>
      <c r="CA38" s="2" t="str">
        <f>IF($B38="","",IF(V38="공휴일", 10, IF(V38="야간", 20, IF(V38="위험물", 30, IF(V38="중량", 40, "")))))</f>
        <v/>
      </c>
      <c r="CL38" s="2" t="str">
        <f>IF($B38="","",IF(AI38="","",VLOOKUP(AI38,GLAPS정리!$BT$3:$BV$26,3,0)))</f>
        <v/>
      </c>
    </row>
    <row r="39" spans="1:90" ht="20.45" customHeight="1">
      <c r="B39" s="13" t="str">
        <f>IF(GLAPS자동계산!C38="","",GLAPS자동계산!C38)</f>
        <v/>
      </c>
      <c r="C39" s="3" t="str">
        <f>IF(GLAPS자동계산!D38="","",GLAPS자동계산!D38)</f>
        <v/>
      </c>
      <c r="D39" s="16" t="str">
        <f>IF(GLAPS자동계산!E38="","",GLAPS자동계산!E38)</f>
        <v/>
      </c>
      <c r="E39" s="11" t="str">
        <f>IF(GLAPS자동계산!F38="","",GLAPS자동계산!F38)</f>
        <v/>
      </c>
      <c r="F39" s="3" t="str">
        <f>IF(GLAPS자동계산!G38="","",GLAPS자동계산!G38)</f>
        <v/>
      </c>
      <c r="G39" s="3" t="str">
        <f>IF(GLAPS자동계산!H38="","",GLAPS자동계산!H38)</f>
        <v/>
      </c>
      <c r="H39" s="3" t="str">
        <f>IF(GLAPS자동계산!I38="","",GLAPS자동계산!I38)</f>
        <v/>
      </c>
      <c r="I39" s="3" t="str">
        <f>IF(GLAPS자동계산!J38="","",GLAPS자동계산!J38)</f>
        <v/>
      </c>
      <c r="J39" s="3" t="str">
        <f>IF(GLAPS자동계산!K38="","",GLAPS자동계산!K38)</f>
        <v/>
      </c>
      <c r="K39" s="3" t="str">
        <f>IF(GLAPS자동계산!L38="","",GLAPS자동계산!L38)</f>
        <v/>
      </c>
      <c r="L39" s="3" t="str">
        <f>IF(GLAPS자동계산!M38="","",GLAPS자동계산!M38)</f>
        <v/>
      </c>
      <c r="M39" s="3" t="str">
        <f>IF(GLAPS자동계산!N38="","",GLAPS자동계산!N38)</f>
        <v/>
      </c>
      <c r="N39" s="3" t="str">
        <f>IF(GLAPS자동계산!O38="","",GLAPS자동계산!O38)</f>
        <v/>
      </c>
      <c r="O39" s="3" t="str">
        <f>IF(GLAPS자동계산!P38="","",GLAPS자동계산!P38)</f>
        <v/>
      </c>
      <c r="P39" s="2" t="str">
        <f>IF(GLAPS자동계산!Q38="","",GLAPS자동계산!Q38)</f>
        <v/>
      </c>
      <c r="Q39" s="3" t="str">
        <f>IF(GLAPS자동계산!R38="","",GLAPS자동계산!R38)</f>
        <v/>
      </c>
      <c r="R39" s="3" t="str">
        <f>IF(GLAPS자동계산!S38="","",GLAPS자동계산!S38)</f>
        <v/>
      </c>
      <c r="S39" s="3" t="str">
        <f>IF(GLAPS자동계산!T38="","",GLAPS자동계산!T38)</f>
        <v/>
      </c>
      <c r="T39" s="3" t="str">
        <f>IF(GLAPS자동계산!U38="","",GLAPS자동계산!U38)</f>
        <v/>
      </c>
      <c r="U39" s="3" t="str">
        <f>IF(GLAPS자동계산!V38="","",GLAPS자동계산!V38)</f>
        <v/>
      </c>
      <c r="V39" s="14" t="str">
        <f>IF(GLAPS자동계산!W38="","",GLAPS자동계산!W38)</f>
        <v/>
      </c>
      <c r="W39" s="14" t="str">
        <f>IF(GLAPS자동계산!X38="","",GLAPS자동계산!X38)</f>
        <v/>
      </c>
      <c r="X39" s="13" t="str">
        <f>IF(GLAPS자동계산!Y38="","",GLAPS자동계산!Y38)</f>
        <v/>
      </c>
      <c r="Y39" s="13" t="str">
        <f>IF(GLAPS자동계산!Z38="","",GLAPS자동계산!Z38)</f>
        <v/>
      </c>
      <c r="Z39" s="91" t="str">
        <f>IF(GLAPS자동계산!AA38="","",GLAPS자동계산!AA38)</f>
        <v/>
      </c>
      <c r="AA39" s="14" t="str">
        <f>IF(GLAPS자동계산!AB38="","",GLAPS자동계산!AB38)</f>
        <v/>
      </c>
      <c r="AC39" s="2" t="str">
        <f>IF($B39="","",$AC$1)</f>
        <v/>
      </c>
      <c r="AD39" s="2" t="str">
        <f>IF($B39="","",IFERROR(INDEX(GLAPS정리!$D$2:$D$50,MATCH(I39,GLAPS정리!$A$2:$A$50,0)),IFERROR(INDEX(GLAPS정리!$D$2:$D$50,MATCH(I39,GLAPS정리!$B$2:$B$50,0)),"")))</f>
        <v/>
      </c>
      <c r="AF39" s="2" t="str">
        <f>IF($B39="","",$AF$1)</f>
        <v/>
      </c>
      <c r="AI39" s="2" t="str">
        <f>IF($B39="","",IF(F39="","",VLOOKUP(F39,GLAPS정리!$G$3:$J$114,2,0)))</f>
        <v/>
      </c>
      <c r="AJ39" s="2" t="str">
        <f>IF($B39="","",IF(Z39="울산정일","KRONS",IF(Z39="울산신항","KRUSN",IF(OR(Z39="선광종합물류(인천여객)",Z39="인천여객(인천여객)"),"KRINF",IF(OR(Z39="선광인천보세(인천신)",Z39="한진인천(인천신)",Z39="선광인천신항(인천신)",Z39="인천더로지스(인천신)"),"KRINN",IF(OR(Z39="인천진아(인천항)",Z39="인천E1(인천항)",Z39="인천SM경인터미널(인천항)",Z39="인천항(인천항)",Z39="인천우련(인천항)",Z39="인천항8부두(인천항)"),"KRINC",VLOOKUP(K39,GLAPS정리!$BB$2:$BC$33,2,0)))))))</f>
        <v/>
      </c>
      <c r="AL39" s="2" t="str">
        <f>IF($B39="","",$AL$1)</f>
        <v/>
      </c>
      <c r="AN39" s="70" t="str">
        <f>IF($B39="","",TEXT(B39,"YYYY-MM-DD"))</f>
        <v/>
      </c>
      <c r="AO39" s="2" t="str">
        <f>IF($B39="","",IF(E39="오전", "0800", IF(E39="오후", "1300", IF(E39="잔업", "1800", ""))))</f>
        <v/>
      </c>
      <c r="AP39" s="2" t="str">
        <f>IF($B39="","",IF(C39="","",VLOOKUP(C39,GLAPS정리!$AX$2:$AZ$17,3,0)))</f>
        <v/>
      </c>
      <c r="AR39" s="2" t="str">
        <f>IF($B39="","",IF(X39="","",X39))</f>
        <v/>
      </c>
      <c r="AX39" s="2" t="str">
        <f>IF($B39="","",IF(L39="","",VLOOKUP(L39,GLAPS정리!$V$3:$W$180,2,0)))</f>
        <v/>
      </c>
      <c r="BM39" s="2" t="str">
        <f>IF($B39="","",IF(AND(Q39=1,OR(P39="",P39="위험물")), "2210", IF(AND(Q39=1,OR(P39="리퍼",P39="위험물리퍼")), "2230", IF(AND(S39=1,OR(P39="",P39="위험물")), "4510", IF(AND(S39=1,OR(P39="리퍼",P39="위험물리퍼")), "4530", IF(AND(R39=1,OR(P39="",P39="위험물")), "4210", IF(AND(R39=1,P39="리퍼"), "4230", " ")))))))</f>
        <v/>
      </c>
      <c r="BN39" s="2" t="str">
        <f>IF($B39="","",$BN$1)</f>
        <v/>
      </c>
      <c r="BR39" s="2" t="str">
        <f>IF($B39="","",IF(OR(P39="리퍼",P39="위험물리퍼"),"Y",""))</f>
        <v/>
      </c>
      <c r="BS39" s="2" t="str">
        <f>IF($B39="","",IF(OR(P39="위험물",P39="위험물리퍼"),"Y",""))</f>
        <v/>
      </c>
      <c r="BV39" s="2" t="str">
        <f>IF($B39="","",IF(O39="","",VLOOKUP(O39,GLAPS정리!$BH$2:$BI$94,2,0)))</f>
        <v/>
      </c>
      <c r="BW39" s="2" t="str">
        <f>IF($B39="","",IF(OR(Z39="동원",Z39="세방",Z39="한타"),"",IFERROR(INDEX(GLAPS정리!$BI$2:$BI$101,MATCH(Z39,GLAPS정리!$BH$2:$BH$101,0)),"")))</f>
        <v/>
      </c>
      <c r="BX39" s="2" t="str">
        <f>IF($B39="","",IF(Z39="","",IFERROR(VLOOKUP(Z39,GLAPS정리!$AX$2:$AZ$17,3,0),"")))</f>
        <v/>
      </c>
      <c r="BZ39" s="2" t="str">
        <f>IF($B39="","",IF(H39="","",VLOOKUP(H39,GLAPS정리!$L$3:$O$133,2,0)))</f>
        <v/>
      </c>
      <c r="CA39" s="2" t="str">
        <f>IF($B39="","",IF(V39="공휴일", 10, IF(V39="야간", 20, IF(V39="위험물", 30, IF(V39="중량", 40, "")))))</f>
        <v/>
      </c>
      <c r="CL39" s="2" t="str">
        <f>IF($B39="","",IF(AI39="","",VLOOKUP(AI39,GLAPS정리!$BT$3:$BV$26,3,0)))</f>
        <v/>
      </c>
    </row>
    <row r="40" spans="1:90" ht="20.45" customHeight="1">
      <c r="B40" s="13" t="str">
        <f>IF(GLAPS자동계산!C39="","",GLAPS자동계산!C39)</f>
        <v/>
      </c>
      <c r="C40" s="3" t="str">
        <f>IF(GLAPS자동계산!D39="","",GLAPS자동계산!D39)</f>
        <v/>
      </c>
      <c r="D40" s="16" t="str">
        <f>IF(GLAPS자동계산!E39="","",GLAPS자동계산!E39)</f>
        <v/>
      </c>
      <c r="E40" s="11" t="str">
        <f>IF(GLAPS자동계산!F39="","",GLAPS자동계산!F39)</f>
        <v/>
      </c>
      <c r="F40" s="3" t="str">
        <f>IF(GLAPS자동계산!G39="","",GLAPS자동계산!G39)</f>
        <v/>
      </c>
      <c r="G40" s="3" t="str">
        <f>IF(GLAPS자동계산!H39="","",GLAPS자동계산!H39)</f>
        <v/>
      </c>
      <c r="H40" s="3" t="str">
        <f>IF(GLAPS자동계산!I39="","",GLAPS자동계산!I39)</f>
        <v/>
      </c>
      <c r="I40" s="3" t="str">
        <f>IF(GLAPS자동계산!J39="","",GLAPS자동계산!J39)</f>
        <v/>
      </c>
      <c r="J40" s="3" t="str">
        <f>IF(GLAPS자동계산!K39="","",GLAPS자동계산!K39)</f>
        <v/>
      </c>
      <c r="K40" s="3" t="str">
        <f>IF(GLAPS자동계산!L39="","",GLAPS자동계산!L39)</f>
        <v/>
      </c>
      <c r="L40" s="3" t="str">
        <f>IF(GLAPS자동계산!M39="","",GLAPS자동계산!M39)</f>
        <v/>
      </c>
      <c r="M40" s="3" t="str">
        <f>IF(GLAPS자동계산!N39="","",GLAPS자동계산!N39)</f>
        <v/>
      </c>
      <c r="N40" s="3" t="str">
        <f>IF(GLAPS자동계산!O39="","",GLAPS자동계산!O39)</f>
        <v/>
      </c>
      <c r="O40" s="3" t="str">
        <f>IF(GLAPS자동계산!P39="","",GLAPS자동계산!P39)</f>
        <v/>
      </c>
      <c r="P40" s="2" t="str">
        <f>IF(GLAPS자동계산!Q39="","",GLAPS자동계산!Q39)</f>
        <v/>
      </c>
      <c r="Q40" s="3" t="str">
        <f>IF(GLAPS자동계산!R39="","",GLAPS자동계산!R39)</f>
        <v/>
      </c>
      <c r="R40" s="3" t="str">
        <f>IF(GLAPS자동계산!S39="","",GLAPS자동계산!S39)</f>
        <v/>
      </c>
      <c r="S40" s="3" t="str">
        <f>IF(GLAPS자동계산!T39="","",GLAPS자동계산!T39)</f>
        <v/>
      </c>
      <c r="T40" s="3" t="str">
        <f>IF(GLAPS자동계산!U39="","",GLAPS자동계산!U39)</f>
        <v/>
      </c>
      <c r="U40" s="3" t="str">
        <f>IF(GLAPS자동계산!V39="","",GLAPS자동계산!V39)</f>
        <v/>
      </c>
      <c r="V40" s="14" t="str">
        <f>IF(GLAPS자동계산!W39="","",GLAPS자동계산!W39)</f>
        <v/>
      </c>
      <c r="W40" s="14" t="str">
        <f>IF(GLAPS자동계산!X39="","",GLAPS자동계산!X39)</f>
        <v/>
      </c>
      <c r="X40" s="13" t="str">
        <f>IF(GLAPS자동계산!Y39="","",GLAPS자동계산!Y39)</f>
        <v/>
      </c>
      <c r="Y40" s="13" t="str">
        <f>IF(GLAPS자동계산!Z39="","",GLAPS자동계산!Z39)</f>
        <v/>
      </c>
      <c r="Z40" s="91" t="str">
        <f>IF(GLAPS자동계산!AA39="","",GLAPS자동계산!AA39)</f>
        <v/>
      </c>
      <c r="AA40" s="14" t="str">
        <f>IF(GLAPS자동계산!AB39="","",GLAPS자동계산!AB39)</f>
        <v/>
      </c>
      <c r="AC40" s="2" t="str">
        <f>IF($B40="","",$AC$1)</f>
        <v/>
      </c>
      <c r="AD40" s="2" t="str">
        <f>IF($B40="","",IFERROR(INDEX(GLAPS정리!$D$2:$D$50,MATCH(I40,GLAPS정리!$A$2:$A$50,0)),IFERROR(INDEX(GLAPS정리!$D$2:$D$50,MATCH(I40,GLAPS정리!$B$2:$B$50,0)),"")))</f>
        <v/>
      </c>
      <c r="AF40" s="2" t="str">
        <f>IF($B40="","",$AF$1)</f>
        <v/>
      </c>
      <c r="AI40" s="2" t="str">
        <f>IF($B40="","",IF(F40="","",VLOOKUP(F40,GLAPS정리!$G$3:$J$114,2,0)))</f>
        <v/>
      </c>
      <c r="AJ40" s="2" t="str">
        <f>IF($B40="","",IF(Z40="울산정일","KRONS",IF(Z40="울산신항","KRUSN",IF(OR(Z40="선광종합물류(인천여객)",Z40="인천여객(인천여객)"),"KRINF",IF(OR(Z40="선광인천보세(인천신)",Z40="한진인천(인천신)",Z40="선광인천신항(인천신)",Z40="인천더로지스(인천신)"),"KRINN",IF(OR(Z40="인천진아(인천항)",Z40="인천E1(인천항)",Z40="인천SM경인터미널(인천항)",Z40="인천항(인천항)",Z40="인천우련(인천항)",Z40="인천항8부두(인천항)"),"KRINC",VLOOKUP(K40,GLAPS정리!$BB$2:$BC$33,2,0)))))))</f>
        <v/>
      </c>
      <c r="AL40" s="2" t="str">
        <f>IF($B40="","",$AL$1)</f>
        <v/>
      </c>
      <c r="AN40" s="70" t="str">
        <f>IF($B40="","",TEXT(B40,"YYYY-MM-DD"))</f>
        <v/>
      </c>
      <c r="AO40" s="2" t="str">
        <f>IF($B40="","",IF(E40="오전", "0800", IF(E40="오후", "1300", IF(E40="잔업", "1800", ""))))</f>
        <v/>
      </c>
      <c r="AP40" s="2" t="str">
        <f>IF($B40="","",IF(C40="","",VLOOKUP(C40,GLAPS정리!$AX$2:$AZ$17,3,0)))</f>
        <v/>
      </c>
      <c r="AR40" s="2" t="str">
        <f>IF($B40="","",IF(X40="","",X40))</f>
        <v/>
      </c>
      <c r="AX40" s="2" t="str">
        <f>IF($B40="","",IF(L40="","",VLOOKUP(L40,GLAPS정리!$V$3:$W$180,2,0)))</f>
        <v/>
      </c>
      <c r="BM40" s="2" t="str">
        <f>IF($B40="","",IF(AND(Q40=1,OR(P40="",P40="위험물")), "2210", IF(AND(Q40=1,OR(P40="리퍼",P40="위험물리퍼")), "2230", IF(AND(S40=1,OR(P40="",P40="위험물")), "4510", IF(AND(S40=1,OR(P40="리퍼",P40="위험물리퍼")), "4530", IF(AND(R40=1,OR(P40="",P40="위험물")), "4210", IF(AND(R40=1,P40="리퍼"), "4230", " ")))))))</f>
        <v/>
      </c>
      <c r="BN40" s="2" t="str">
        <f>IF($B40="","",$BN$1)</f>
        <v/>
      </c>
      <c r="BR40" s="2" t="str">
        <f>IF($B40="","",IF(OR(P40="리퍼",P40="위험물리퍼"),"Y",""))</f>
        <v/>
      </c>
      <c r="BS40" s="2" t="str">
        <f>IF($B40="","",IF(OR(P40="위험물",P40="위험물리퍼"),"Y",""))</f>
        <v/>
      </c>
      <c r="BV40" s="2" t="str">
        <f>IF($B40="","",IF(O40="","",VLOOKUP(O40,GLAPS정리!$BH$2:$BI$94,2,0)))</f>
        <v/>
      </c>
      <c r="BW40" s="2" t="str">
        <f>IF($B40="","",IF(OR(Z40="동원",Z40="세방",Z40="한타"),"",IFERROR(INDEX(GLAPS정리!$BI$2:$BI$101,MATCH(Z40,GLAPS정리!$BH$2:$BH$101,0)),"")))</f>
        <v/>
      </c>
      <c r="BX40" s="2" t="str">
        <f>IF($B40="","",IF(Z40="","",IFERROR(VLOOKUP(Z40,GLAPS정리!$AX$2:$AZ$17,3,0),"")))</f>
        <v/>
      </c>
      <c r="BZ40" s="2" t="str">
        <f>IF($B40="","",IF(H40="","",VLOOKUP(H40,GLAPS정리!$L$3:$O$133,2,0)))</f>
        <v/>
      </c>
      <c r="CA40" s="2" t="str">
        <f>IF($B40="","",IF(V40="공휴일", 10, IF(V40="야간", 20, IF(V40="위험물", 30, IF(V40="중량", 40, "")))))</f>
        <v/>
      </c>
      <c r="CL40" s="2" t="str">
        <f>IF($B40="","",IF(AI40="","",VLOOKUP(AI40,GLAPS정리!$BT$3:$BV$26,3,0)))</f>
        <v/>
      </c>
    </row>
    <row r="41" spans="1:90" ht="20.45" customHeight="1">
      <c r="B41" s="13" t="str">
        <f>IF(GLAPS자동계산!C40="","",GLAPS자동계산!C40)</f>
        <v/>
      </c>
      <c r="C41" s="3" t="str">
        <f>IF(GLAPS자동계산!D40="","",GLAPS자동계산!D40)</f>
        <v/>
      </c>
      <c r="D41" s="16" t="str">
        <f>IF(GLAPS자동계산!E40="","",GLAPS자동계산!E40)</f>
        <v/>
      </c>
      <c r="E41" s="11" t="str">
        <f>IF(GLAPS자동계산!F40="","",GLAPS자동계산!F40)</f>
        <v/>
      </c>
      <c r="F41" s="3" t="str">
        <f>IF(GLAPS자동계산!G40="","",GLAPS자동계산!G40)</f>
        <v/>
      </c>
      <c r="G41" s="3" t="str">
        <f>IF(GLAPS자동계산!H40="","",GLAPS자동계산!H40)</f>
        <v/>
      </c>
      <c r="H41" s="3" t="str">
        <f>IF(GLAPS자동계산!I40="","",GLAPS자동계산!I40)</f>
        <v/>
      </c>
      <c r="I41" s="3" t="str">
        <f>IF(GLAPS자동계산!J40="","",GLAPS자동계산!J40)</f>
        <v/>
      </c>
      <c r="J41" s="3" t="str">
        <f>IF(GLAPS자동계산!K40="","",GLAPS자동계산!K40)</f>
        <v/>
      </c>
      <c r="K41" s="3" t="str">
        <f>IF(GLAPS자동계산!L40="","",GLAPS자동계산!L40)</f>
        <v/>
      </c>
      <c r="L41" s="3" t="str">
        <f>IF(GLAPS자동계산!M40="","",GLAPS자동계산!M40)</f>
        <v/>
      </c>
      <c r="M41" s="3" t="str">
        <f>IF(GLAPS자동계산!N40="","",GLAPS자동계산!N40)</f>
        <v/>
      </c>
      <c r="N41" s="3" t="str">
        <f>IF(GLAPS자동계산!O40="","",GLAPS자동계산!O40)</f>
        <v/>
      </c>
      <c r="O41" s="3" t="str">
        <f>IF(GLAPS자동계산!P40="","",GLAPS자동계산!P40)</f>
        <v/>
      </c>
      <c r="P41" s="2" t="str">
        <f>IF(GLAPS자동계산!Q40="","",GLAPS자동계산!Q40)</f>
        <v/>
      </c>
      <c r="Q41" s="3" t="str">
        <f>IF(GLAPS자동계산!R40="","",GLAPS자동계산!R40)</f>
        <v/>
      </c>
      <c r="R41" s="3" t="str">
        <f>IF(GLAPS자동계산!S40="","",GLAPS자동계산!S40)</f>
        <v/>
      </c>
      <c r="S41" s="3" t="str">
        <f>IF(GLAPS자동계산!T40="","",GLAPS자동계산!T40)</f>
        <v/>
      </c>
      <c r="T41" s="3" t="str">
        <f>IF(GLAPS자동계산!U40="","",GLAPS자동계산!U40)</f>
        <v/>
      </c>
      <c r="U41" s="3" t="str">
        <f>IF(GLAPS자동계산!V40="","",GLAPS자동계산!V40)</f>
        <v/>
      </c>
      <c r="V41" s="14" t="str">
        <f>IF(GLAPS자동계산!W40="","",GLAPS자동계산!W40)</f>
        <v/>
      </c>
      <c r="W41" s="14" t="str">
        <f>IF(GLAPS자동계산!X40="","",GLAPS자동계산!X40)</f>
        <v/>
      </c>
      <c r="X41" s="13" t="str">
        <f>IF(GLAPS자동계산!Y40="","",GLAPS자동계산!Y40)</f>
        <v/>
      </c>
      <c r="Y41" s="13" t="str">
        <f>IF(GLAPS자동계산!Z40="","",GLAPS자동계산!Z40)</f>
        <v/>
      </c>
      <c r="Z41" s="91" t="str">
        <f>IF(GLAPS자동계산!AA40="","",GLAPS자동계산!AA40)</f>
        <v/>
      </c>
      <c r="AA41" s="14" t="str">
        <f>IF(GLAPS자동계산!AB40="","",GLAPS자동계산!AB40)</f>
        <v/>
      </c>
      <c r="AC41" s="2" t="str">
        <f>IF($B41="","",$AC$1)</f>
        <v/>
      </c>
      <c r="AD41" s="2" t="str">
        <f>IF($B41="","",IFERROR(INDEX(GLAPS정리!$D$2:$D$50,MATCH(I41,GLAPS정리!$A$2:$A$50,0)),IFERROR(INDEX(GLAPS정리!$D$2:$D$50,MATCH(I41,GLAPS정리!$B$2:$B$50,0)),"")))</f>
        <v/>
      </c>
      <c r="AF41" s="2" t="str">
        <f>IF($B41="","",$AF$1)</f>
        <v/>
      </c>
      <c r="AI41" s="2" t="str">
        <f>IF($B41="","",IF(F41="","",VLOOKUP(F41,GLAPS정리!$G$3:$J$114,2,0)))</f>
        <v/>
      </c>
      <c r="AJ41" s="2" t="str">
        <f>IF($B41="","",IF(Z41="울산정일","KRONS",IF(Z41="울산신항","KRUSN",IF(OR(Z41="선광종합물류(인천여객)",Z41="인천여객(인천여객)"),"KRINF",IF(OR(Z41="선광인천보세(인천신)",Z41="한진인천(인천신)",Z41="선광인천신항(인천신)",Z41="인천더로지스(인천신)"),"KRINN",IF(OR(Z41="인천진아(인천항)",Z41="인천E1(인천항)",Z41="인천SM경인터미널(인천항)",Z41="인천항(인천항)",Z41="인천우련(인천항)",Z41="인천항8부두(인천항)"),"KRINC",VLOOKUP(K41,GLAPS정리!$BB$2:$BC$33,2,0)))))))</f>
        <v/>
      </c>
      <c r="AL41" s="2" t="str">
        <f>IF($B41="","",$AL$1)</f>
        <v/>
      </c>
      <c r="AN41" s="70" t="str">
        <f>IF($B41="","",TEXT(B41,"YYYY-MM-DD"))</f>
        <v/>
      </c>
      <c r="AO41" s="2" t="str">
        <f>IF($B41="","",IF(E41="오전", "0800", IF(E41="오후", "1300", IF(E41="잔업", "1800", ""))))</f>
        <v/>
      </c>
      <c r="AP41" s="2" t="str">
        <f>IF($B41="","",IF(C41="","",VLOOKUP(C41,GLAPS정리!$AX$2:$AZ$17,3,0)))</f>
        <v/>
      </c>
      <c r="AR41" s="2" t="str">
        <f>IF($B41="","",IF(X41="","",X41))</f>
        <v/>
      </c>
      <c r="AX41" s="2" t="str">
        <f>IF($B41="","",IF(L41="","",VLOOKUP(L41,GLAPS정리!$V$3:$W$180,2,0)))</f>
        <v/>
      </c>
      <c r="BM41" s="2" t="str">
        <f>IF($B41="","",IF(AND(Q41=1,OR(P41="",P41="위험물")), "2210", IF(AND(Q41=1,OR(P41="리퍼",P41="위험물리퍼")), "2230", IF(AND(S41=1,OR(P41="",P41="위험물")), "4510", IF(AND(S41=1,OR(P41="리퍼",P41="위험물리퍼")), "4530", IF(AND(R41=1,OR(P41="",P41="위험물")), "4210", IF(AND(R41=1,P41="리퍼"), "4230", " ")))))))</f>
        <v/>
      </c>
      <c r="BN41" s="2" t="str">
        <f>IF($B41="","",$BN$1)</f>
        <v/>
      </c>
      <c r="BR41" s="2" t="str">
        <f>IF($B41="","",IF(OR(P41="리퍼",P41="위험물리퍼"),"Y",""))</f>
        <v/>
      </c>
      <c r="BS41" s="2" t="str">
        <f>IF($B41="","",IF(OR(P41="위험물",P41="위험물리퍼"),"Y",""))</f>
        <v/>
      </c>
      <c r="BV41" s="2" t="str">
        <f>IF($B41="","",IF(O41="","",VLOOKUP(O41,GLAPS정리!$BH$2:$BI$94,2,0)))</f>
        <v/>
      </c>
      <c r="BW41" s="2" t="str">
        <f>IF($B41="","",IF(OR(Z41="동원",Z41="세방",Z41="한타"),"",IFERROR(INDEX(GLAPS정리!$BI$2:$BI$101,MATCH(Z41,GLAPS정리!$BH$2:$BH$101,0)),"")))</f>
        <v/>
      </c>
      <c r="BX41" s="2" t="str">
        <f>IF($B41="","",IF(Z41="","",IFERROR(VLOOKUP(Z41,GLAPS정리!$AX$2:$AZ$17,3,0),"")))</f>
        <v/>
      </c>
      <c r="BZ41" s="2" t="str">
        <f>IF($B41="","",IF(H41="","",VLOOKUP(H41,GLAPS정리!$L$3:$O$133,2,0)))</f>
        <v/>
      </c>
      <c r="CA41" s="2" t="str">
        <f>IF($B41="","",IF(V41="공휴일", 10, IF(V41="야간", 20, IF(V41="위험물", 30, IF(V41="중량", 40, "")))))</f>
        <v/>
      </c>
      <c r="CL41" s="2" t="str">
        <f>IF($B41="","",IF(AI41="","",VLOOKUP(AI41,GLAPS정리!$BT$3:$BV$26,3,0)))</f>
        <v/>
      </c>
    </row>
    <row r="42" spans="1:90" ht="20.45" customHeight="1">
      <c r="B42" s="13" t="str">
        <f>IF(GLAPS자동계산!C41="","",GLAPS자동계산!C41)</f>
        <v/>
      </c>
      <c r="C42" s="3" t="str">
        <f>IF(GLAPS자동계산!D41="","",GLAPS자동계산!D41)</f>
        <v/>
      </c>
      <c r="D42" s="16" t="str">
        <f>IF(GLAPS자동계산!E41="","",GLAPS자동계산!E41)</f>
        <v/>
      </c>
      <c r="E42" s="11" t="str">
        <f>IF(GLAPS자동계산!F41="","",GLAPS자동계산!F41)</f>
        <v/>
      </c>
      <c r="F42" s="3" t="str">
        <f>IF(GLAPS자동계산!G41="","",GLAPS자동계산!G41)</f>
        <v/>
      </c>
      <c r="G42" s="3" t="str">
        <f>IF(GLAPS자동계산!H41="","",GLAPS자동계산!H41)</f>
        <v/>
      </c>
      <c r="H42" s="3" t="str">
        <f>IF(GLAPS자동계산!I41="","",GLAPS자동계산!I41)</f>
        <v/>
      </c>
      <c r="I42" s="3" t="str">
        <f>IF(GLAPS자동계산!J41="","",GLAPS자동계산!J41)</f>
        <v/>
      </c>
      <c r="J42" s="3" t="str">
        <f>IF(GLAPS자동계산!K41="","",GLAPS자동계산!K41)</f>
        <v/>
      </c>
      <c r="K42" s="3" t="str">
        <f>IF(GLAPS자동계산!L41="","",GLAPS자동계산!L41)</f>
        <v/>
      </c>
      <c r="L42" s="3" t="str">
        <f>IF(GLAPS자동계산!M41="","",GLAPS자동계산!M41)</f>
        <v/>
      </c>
      <c r="M42" s="3" t="str">
        <f>IF(GLAPS자동계산!N41="","",GLAPS자동계산!N41)</f>
        <v/>
      </c>
      <c r="N42" s="3" t="str">
        <f>IF(GLAPS자동계산!O41="","",GLAPS자동계산!O41)</f>
        <v/>
      </c>
      <c r="O42" s="3" t="str">
        <f>IF(GLAPS자동계산!P41="","",GLAPS자동계산!P41)</f>
        <v/>
      </c>
      <c r="P42" s="2" t="str">
        <f>IF(GLAPS자동계산!Q41="","",GLAPS자동계산!Q41)</f>
        <v/>
      </c>
      <c r="Q42" s="3" t="str">
        <f>IF(GLAPS자동계산!R41="","",GLAPS자동계산!R41)</f>
        <v/>
      </c>
      <c r="R42" s="3" t="str">
        <f>IF(GLAPS자동계산!S41="","",GLAPS자동계산!S41)</f>
        <v/>
      </c>
      <c r="S42" s="3" t="str">
        <f>IF(GLAPS자동계산!T41="","",GLAPS자동계산!T41)</f>
        <v/>
      </c>
      <c r="T42" s="3" t="str">
        <f>IF(GLAPS자동계산!U41="","",GLAPS자동계산!U41)</f>
        <v/>
      </c>
      <c r="U42" s="3" t="str">
        <f>IF(GLAPS자동계산!V41="","",GLAPS자동계산!V41)</f>
        <v/>
      </c>
      <c r="V42" s="14" t="str">
        <f>IF(GLAPS자동계산!W41="","",GLAPS자동계산!W41)</f>
        <v/>
      </c>
      <c r="W42" s="14" t="str">
        <f>IF(GLAPS자동계산!X41="","",GLAPS자동계산!X41)</f>
        <v/>
      </c>
      <c r="X42" s="13" t="str">
        <f>IF(GLAPS자동계산!Y41="","",GLAPS자동계산!Y41)</f>
        <v/>
      </c>
      <c r="Y42" s="13" t="str">
        <f>IF(GLAPS자동계산!Z41="","",GLAPS자동계산!Z41)</f>
        <v/>
      </c>
      <c r="Z42" s="91" t="str">
        <f>IF(GLAPS자동계산!AA41="","",GLAPS자동계산!AA41)</f>
        <v/>
      </c>
      <c r="AA42" s="14" t="str">
        <f>IF(GLAPS자동계산!AB41="","",GLAPS자동계산!AB41)</f>
        <v/>
      </c>
      <c r="AC42" s="2" t="str">
        <f>IF($B42="","",$AC$1)</f>
        <v/>
      </c>
      <c r="AD42" s="2" t="str">
        <f>IF($B42="","",IFERROR(INDEX(GLAPS정리!$D$2:$D$50,MATCH(I42,GLAPS정리!$A$2:$A$50,0)),IFERROR(INDEX(GLAPS정리!$D$2:$D$50,MATCH(I42,GLAPS정리!$B$2:$B$50,0)),"")))</f>
        <v/>
      </c>
      <c r="AF42" s="2" t="str">
        <f>IF($B42="","",$AF$1)</f>
        <v/>
      </c>
      <c r="AI42" s="2" t="str">
        <f>IF($B42="","",IF(F42="","",VLOOKUP(F42,GLAPS정리!$G$3:$J$114,2,0)))</f>
        <v/>
      </c>
      <c r="AJ42" s="2" t="str">
        <f>IF($B42="","",IF(Z42="울산정일","KRONS",IF(Z42="울산신항","KRUSN",IF(OR(Z42="선광종합물류(인천여객)",Z42="인천여객(인천여객)"),"KRINF",IF(OR(Z42="선광인천보세(인천신)",Z42="한진인천(인천신)",Z42="선광인천신항(인천신)",Z42="인천더로지스(인천신)"),"KRINN",IF(OR(Z42="인천진아(인천항)",Z42="인천E1(인천항)",Z42="인천SM경인터미널(인천항)",Z42="인천항(인천항)",Z42="인천우련(인천항)",Z42="인천항8부두(인천항)"),"KRINC",VLOOKUP(K42,GLAPS정리!$BB$2:$BC$33,2,0)))))))</f>
        <v/>
      </c>
      <c r="AL42" s="2" t="str">
        <f>IF($B42="","",$AL$1)</f>
        <v/>
      </c>
      <c r="AN42" s="70" t="str">
        <f>IF($B42="","",TEXT(B42,"YYYY-MM-DD"))</f>
        <v/>
      </c>
      <c r="AO42" s="2" t="str">
        <f>IF($B42="","",IF(E42="오전", "0800", IF(E42="오후", "1300", IF(E42="잔업", "1800", ""))))</f>
        <v/>
      </c>
      <c r="AP42" s="2" t="str">
        <f>IF($B42="","",IF(C42="","",VLOOKUP(C42,GLAPS정리!$AX$2:$AZ$17,3,0)))</f>
        <v/>
      </c>
      <c r="AR42" s="2" t="str">
        <f>IF($B42="","",IF(X42="","",X42))</f>
        <v/>
      </c>
      <c r="AX42" s="2" t="str">
        <f>IF($B42="","",IF(L42="","",VLOOKUP(L42,GLAPS정리!$V$3:$W$180,2,0)))</f>
        <v/>
      </c>
      <c r="BM42" s="2" t="str">
        <f>IF($B42="","",IF(AND(Q42=1,OR(P42="",P42="위험물")), "2210", IF(AND(Q42=1,OR(P42="리퍼",P42="위험물리퍼")), "2230", IF(AND(S42=1,OR(P42="",P42="위험물")), "4510", IF(AND(S42=1,OR(P42="리퍼",P42="위험물리퍼")), "4530", IF(AND(R42=1,OR(P42="",P42="위험물")), "4210", IF(AND(R42=1,P42="리퍼"), "4230", " ")))))))</f>
        <v/>
      </c>
      <c r="BN42" s="2" t="str">
        <f>IF($B42="","",$BN$1)</f>
        <v/>
      </c>
      <c r="BR42" s="2" t="str">
        <f>IF($B42="","",IF(OR(P42="리퍼",P42="위험물리퍼"),"Y",""))</f>
        <v/>
      </c>
      <c r="BS42" s="2" t="str">
        <f>IF($B42="","",IF(OR(P42="위험물",P42="위험물리퍼"),"Y",""))</f>
        <v/>
      </c>
      <c r="BV42" s="2" t="str">
        <f>IF($B42="","",IF(O42="","",VLOOKUP(O42,GLAPS정리!$BH$2:$BI$94,2,0)))</f>
        <v/>
      </c>
      <c r="BW42" s="2" t="str">
        <f>IF($B42="","",IF(OR(Z42="동원",Z42="세방",Z42="한타"),"",IFERROR(INDEX(GLAPS정리!$BI$2:$BI$101,MATCH(Z42,GLAPS정리!$BH$2:$BH$101,0)),"")))</f>
        <v/>
      </c>
      <c r="BX42" s="2" t="str">
        <f>IF($B42="","",IF(Z42="","",IFERROR(VLOOKUP(Z42,GLAPS정리!$AX$2:$AZ$17,3,0),"")))</f>
        <v/>
      </c>
      <c r="BZ42" s="2" t="str">
        <f>IF($B42="","",IF(H42="","",VLOOKUP(H42,GLAPS정리!$L$3:$O$133,2,0)))</f>
        <v/>
      </c>
      <c r="CA42" s="2" t="str">
        <f>IF($B42="","",IF(V42="공휴일", 10, IF(V42="야간", 20, IF(V42="위험물", 30, IF(V42="중량", 40, "")))))</f>
        <v/>
      </c>
      <c r="CL42" s="2" t="str">
        <f>IF($B42="","",IF(AI42="","",VLOOKUP(AI42,GLAPS정리!$BT$3:$BV$26,3,0)))</f>
        <v/>
      </c>
    </row>
    <row r="43" spans="1:90" ht="20.45" customHeight="1">
      <c r="B43" s="13" t="str">
        <f>IF(GLAPS자동계산!C42="","",GLAPS자동계산!C42)</f>
        <v/>
      </c>
      <c r="C43" s="3" t="str">
        <f>IF(GLAPS자동계산!D42="","",GLAPS자동계산!D42)</f>
        <v/>
      </c>
      <c r="D43" s="16" t="str">
        <f>IF(GLAPS자동계산!E42="","",GLAPS자동계산!E42)</f>
        <v/>
      </c>
      <c r="E43" s="11" t="str">
        <f>IF(GLAPS자동계산!F42="","",GLAPS자동계산!F42)</f>
        <v/>
      </c>
      <c r="F43" s="3" t="str">
        <f>IF(GLAPS자동계산!G42="","",GLAPS자동계산!G42)</f>
        <v/>
      </c>
      <c r="G43" s="3" t="str">
        <f>IF(GLAPS자동계산!H42="","",GLAPS자동계산!H42)</f>
        <v/>
      </c>
      <c r="H43" s="3" t="str">
        <f>IF(GLAPS자동계산!I42="","",GLAPS자동계산!I42)</f>
        <v/>
      </c>
      <c r="I43" s="3" t="str">
        <f>IF(GLAPS자동계산!J42="","",GLAPS자동계산!J42)</f>
        <v/>
      </c>
      <c r="J43" s="3" t="str">
        <f>IF(GLAPS자동계산!K42="","",GLAPS자동계산!K42)</f>
        <v/>
      </c>
      <c r="K43" s="3" t="str">
        <f>IF(GLAPS자동계산!L42="","",GLAPS자동계산!L42)</f>
        <v/>
      </c>
      <c r="L43" s="3" t="str">
        <f>IF(GLAPS자동계산!M42="","",GLAPS자동계산!M42)</f>
        <v/>
      </c>
      <c r="M43" s="3" t="str">
        <f>IF(GLAPS자동계산!N42="","",GLAPS자동계산!N42)</f>
        <v/>
      </c>
      <c r="N43" s="3" t="str">
        <f>IF(GLAPS자동계산!O42="","",GLAPS자동계산!O42)</f>
        <v/>
      </c>
      <c r="O43" s="3" t="str">
        <f>IF(GLAPS자동계산!P42="","",GLAPS자동계산!P42)</f>
        <v/>
      </c>
      <c r="P43" s="2" t="str">
        <f>IF(GLAPS자동계산!Q42="","",GLAPS자동계산!Q42)</f>
        <v/>
      </c>
      <c r="Q43" s="3" t="str">
        <f>IF(GLAPS자동계산!R42="","",GLAPS자동계산!R42)</f>
        <v/>
      </c>
      <c r="R43" s="3" t="str">
        <f>IF(GLAPS자동계산!S42="","",GLAPS자동계산!S42)</f>
        <v/>
      </c>
      <c r="S43" s="3" t="str">
        <f>IF(GLAPS자동계산!T42="","",GLAPS자동계산!T42)</f>
        <v/>
      </c>
      <c r="T43" s="3" t="str">
        <f>IF(GLAPS자동계산!U42="","",GLAPS자동계산!U42)</f>
        <v/>
      </c>
      <c r="U43" s="3" t="str">
        <f>IF(GLAPS자동계산!V42="","",GLAPS자동계산!V42)</f>
        <v/>
      </c>
      <c r="V43" s="3" t="str">
        <f>IF(GLAPS자동계산!W42="","",GLAPS자동계산!W42)</f>
        <v/>
      </c>
      <c r="W43" s="14" t="str">
        <f>IF(GLAPS자동계산!X42="","",GLAPS자동계산!X42)</f>
        <v/>
      </c>
      <c r="X43" s="13" t="str">
        <f>IF(GLAPS자동계산!Y42="","",GLAPS자동계산!Y42)</f>
        <v/>
      </c>
      <c r="Y43" s="13" t="str">
        <f>IF(GLAPS자동계산!Z42="","",GLAPS자동계산!Z42)</f>
        <v/>
      </c>
      <c r="Z43" s="91" t="str">
        <f>IF(GLAPS자동계산!AA42="","",GLAPS자동계산!AA42)</f>
        <v/>
      </c>
      <c r="AA43" s="14" t="str">
        <f>IF(GLAPS자동계산!AB42="","",GLAPS자동계산!AB42)</f>
        <v/>
      </c>
      <c r="AC43" s="2" t="str">
        <f>IF($B43="","",$AC$1)</f>
        <v/>
      </c>
      <c r="AD43" s="2" t="str">
        <f>IF($B43="","",IFERROR(INDEX(GLAPS정리!$D$2:$D$50,MATCH(I43,GLAPS정리!$A$2:$A$50,0)),IFERROR(INDEX(GLAPS정리!$D$2:$D$50,MATCH(I43,GLAPS정리!$B$2:$B$50,0)),"")))</f>
        <v/>
      </c>
      <c r="AF43" s="2" t="str">
        <f>IF($B43="","",$AF$1)</f>
        <v/>
      </c>
      <c r="AI43" s="2" t="str">
        <f>IF($B43="","",IF(F43="","",VLOOKUP(F43,GLAPS정리!$G$3:$J$114,2,0)))</f>
        <v/>
      </c>
      <c r="AJ43" s="2" t="str">
        <f>IF($B43="","",IF(Z43="울산정일","KRONS",IF(Z43="울산신항","KRUSN",IF(OR(Z43="선광종합물류(인천여객)",Z43="인천여객(인천여객)"),"KRINF",IF(OR(Z43="선광인천보세(인천신)",Z43="한진인천(인천신)",Z43="선광인천신항(인천신)",Z43="인천더로지스(인천신)"),"KRINN",IF(OR(Z43="인천진아(인천항)",Z43="인천E1(인천항)",Z43="인천SM경인터미널(인천항)",Z43="인천항(인천항)",Z43="인천우련(인천항)",Z43="인천항8부두(인천항)"),"KRINC",VLOOKUP(K43,GLAPS정리!$BB$2:$BC$33,2,0)))))))</f>
        <v/>
      </c>
      <c r="AL43" s="2" t="str">
        <f>IF($B43="","",$AL$1)</f>
        <v/>
      </c>
      <c r="AN43" s="70" t="str">
        <f>IF($B43="","",TEXT(B43,"YYYY-MM-DD"))</f>
        <v/>
      </c>
      <c r="AO43" s="2" t="str">
        <f>IF($B43="","",IF(E43="오전", "0800", IF(E43="오후", "1300", IF(E43="잔업", "1800", ""))))</f>
        <v/>
      </c>
      <c r="AP43" s="2" t="str">
        <f>IF($B43="","",IF(C43="","",VLOOKUP(C43,GLAPS정리!$AX$2:$AZ$17,3,0)))</f>
        <v/>
      </c>
      <c r="AR43" s="2" t="str">
        <f>IF($B43="","",IF(X43="","",X43))</f>
        <v/>
      </c>
      <c r="AX43" s="2" t="str">
        <f>IF($B43="","",IF(L43="","",VLOOKUP(L43,GLAPS정리!$V$3:$W$180,2,0)))</f>
        <v/>
      </c>
      <c r="BM43" s="2" t="str">
        <f>IF($B43="","",IF(AND(Q43=1,OR(P43="",P43="위험물")), "2210", IF(AND(Q43=1,OR(P43="리퍼",P43="위험물리퍼")), "2230", IF(AND(S43=1,OR(P43="",P43="위험물")), "4510", IF(AND(S43=1,OR(P43="리퍼",P43="위험물리퍼")), "4530", IF(AND(R43=1,OR(P43="",P43="위험물")), "4210", IF(AND(R43=1,P43="리퍼"), "4230", " ")))))))</f>
        <v/>
      </c>
      <c r="BN43" s="2" t="str">
        <f>IF($B43="","",$BN$1)</f>
        <v/>
      </c>
      <c r="BR43" s="2" t="str">
        <f>IF($B43="","",IF(OR(P43="리퍼",P43="위험물리퍼"),"Y",""))</f>
        <v/>
      </c>
      <c r="BS43" s="2" t="str">
        <f>IF($B43="","",IF(OR(P43="위험물",P43="위험물리퍼"),"Y",""))</f>
        <v/>
      </c>
      <c r="BV43" s="2" t="str">
        <f>IF($B43="","",IF(O43="","",VLOOKUP(O43,GLAPS정리!$BH$2:$BI$94,2,0)))</f>
        <v/>
      </c>
      <c r="BW43" s="2" t="str">
        <f>IF($B43="","",IF(OR(Z43="동원",Z43="세방",Z43="한타"),"",IFERROR(INDEX(GLAPS정리!$BI$2:$BI$101,MATCH(Z43,GLAPS정리!$BH$2:$BH$101,0)),"")))</f>
        <v/>
      </c>
      <c r="BX43" s="2" t="str">
        <f>IF($B43="","",IF(Z43="","",IFERROR(VLOOKUP(Z43,GLAPS정리!$AX$2:$AZ$17,3,0),"")))</f>
        <v/>
      </c>
      <c r="BZ43" s="2" t="str">
        <f>IF($B43="","",IF(H43="","",VLOOKUP(H43,GLAPS정리!$L$3:$O$133,2,0)))</f>
        <v/>
      </c>
      <c r="CA43" s="2" t="str">
        <f>IF($B43="","",IF(V43="공휴일", 10, IF(V43="야간", 20, IF(V43="위험물", 30, IF(V43="중량", 40, "")))))</f>
        <v/>
      </c>
      <c r="CL43" s="2" t="str">
        <f>IF($B43="","",IF(AI43="","",VLOOKUP(AI43,GLAPS정리!$BT$3:$BV$26,3,0)))</f>
        <v/>
      </c>
    </row>
    <row r="44" spans="1:90" ht="20.45" customHeight="1">
      <c r="B44" s="13" t="str">
        <f>IF(GLAPS자동계산!C43="","",GLAPS자동계산!C43)</f>
        <v/>
      </c>
      <c r="C44" s="3" t="str">
        <f>IF(GLAPS자동계산!D43="","",GLAPS자동계산!D43)</f>
        <v/>
      </c>
      <c r="D44" s="16" t="str">
        <f>IF(GLAPS자동계산!E43="","",GLAPS자동계산!E43)</f>
        <v/>
      </c>
      <c r="E44" s="11" t="str">
        <f>IF(GLAPS자동계산!F43="","",GLAPS자동계산!F43)</f>
        <v/>
      </c>
      <c r="F44" s="3" t="str">
        <f>IF(GLAPS자동계산!G43="","",GLAPS자동계산!G43)</f>
        <v/>
      </c>
      <c r="G44" s="3" t="str">
        <f>IF(GLAPS자동계산!H43="","",GLAPS자동계산!H43)</f>
        <v/>
      </c>
      <c r="H44" s="3" t="str">
        <f>IF(GLAPS자동계산!I43="","",GLAPS자동계산!I43)</f>
        <v/>
      </c>
      <c r="I44" s="3" t="str">
        <f>IF(GLAPS자동계산!J43="","",GLAPS자동계산!J43)</f>
        <v/>
      </c>
      <c r="J44" s="3" t="str">
        <f>IF(GLAPS자동계산!K43="","",GLAPS자동계산!K43)</f>
        <v/>
      </c>
      <c r="K44" s="3" t="str">
        <f>IF(GLAPS자동계산!L43="","",GLAPS자동계산!L43)</f>
        <v/>
      </c>
      <c r="L44" s="3" t="str">
        <f>IF(GLAPS자동계산!M43="","",GLAPS자동계산!M43)</f>
        <v/>
      </c>
      <c r="M44" s="3" t="str">
        <f>IF(GLAPS자동계산!N43="","",GLAPS자동계산!N43)</f>
        <v/>
      </c>
      <c r="N44" s="3" t="str">
        <f>IF(GLAPS자동계산!O43="","",GLAPS자동계산!O43)</f>
        <v/>
      </c>
      <c r="O44" s="3" t="str">
        <f>IF(GLAPS자동계산!P43="","",GLAPS자동계산!P43)</f>
        <v/>
      </c>
      <c r="P44" s="2" t="str">
        <f>IF(GLAPS자동계산!Q43="","",GLAPS자동계산!Q43)</f>
        <v/>
      </c>
      <c r="Q44" s="3" t="str">
        <f>IF(GLAPS자동계산!R43="","",GLAPS자동계산!R43)</f>
        <v/>
      </c>
      <c r="R44" s="3" t="str">
        <f>IF(GLAPS자동계산!S43="","",GLAPS자동계산!S43)</f>
        <v/>
      </c>
      <c r="S44" s="3" t="str">
        <f>IF(GLAPS자동계산!T43="","",GLAPS자동계산!T43)</f>
        <v/>
      </c>
      <c r="T44" s="3" t="str">
        <f>IF(GLAPS자동계산!U43="","",GLAPS자동계산!U43)</f>
        <v/>
      </c>
      <c r="U44" s="3" t="str">
        <f>IF(GLAPS자동계산!V43="","",GLAPS자동계산!V43)</f>
        <v/>
      </c>
      <c r="V44" s="3" t="str">
        <f>IF(GLAPS자동계산!W43="","",GLAPS자동계산!W43)</f>
        <v/>
      </c>
      <c r="W44" s="14" t="str">
        <f>IF(GLAPS자동계산!X43="","",GLAPS자동계산!X43)</f>
        <v/>
      </c>
      <c r="X44" s="13" t="str">
        <f>IF(GLAPS자동계산!Y43="","",GLAPS자동계산!Y43)</f>
        <v/>
      </c>
      <c r="Y44" s="13" t="str">
        <f>IF(GLAPS자동계산!Z43="","",GLAPS자동계산!Z43)</f>
        <v/>
      </c>
      <c r="Z44" s="91" t="str">
        <f>IF(GLAPS자동계산!AA43="","",GLAPS자동계산!AA43)</f>
        <v/>
      </c>
      <c r="AA44" s="14" t="str">
        <f>IF(GLAPS자동계산!AB43="","",GLAPS자동계산!AB43)</f>
        <v/>
      </c>
      <c r="AC44" s="2" t="str">
        <f>IF($B44="","",$AC$1)</f>
        <v/>
      </c>
      <c r="AD44" s="2" t="str">
        <f>IF($B44="","",IFERROR(INDEX(GLAPS정리!$D$2:$D$50,MATCH(I44,GLAPS정리!$A$2:$A$50,0)),IFERROR(INDEX(GLAPS정리!$D$2:$D$50,MATCH(I44,GLAPS정리!$B$2:$B$50,0)),"")))</f>
        <v/>
      </c>
      <c r="AF44" s="2" t="str">
        <f>IF($B44="","",$AF$1)</f>
        <v/>
      </c>
      <c r="AI44" s="2" t="str">
        <f>IF($B44="","",IF(F44="","",VLOOKUP(F44,GLAPS정리!$G$3:$J$114,2,0)))</f>
        <v/>
      </c>
      <c r="AJ44" s="2" t="str">
        <f>IF($B44="","",IF(Z44="울산정일","KRONS",IF(Z44="울산신항","KRUSN",IF(OR(Z44="선광종합물류(인천여객)",Z44="인천여객(인천여객)"),"KRINF",IF(OR(Z44="선광인천보세(인천신)",Z44="한진인천(인천신)",Z44="선광인천신항(인천신)",Z44="인천더로지스(인천신)"),"KRINN",IF(OR(Z44="인천진아(인천항)",Z44="인천E1(인천항)",Z44="인천SM경인터미널(인천항)",Z44="인천항(인천항)",Z44="인천우련(인천항)",Z44="인천항8부두(인천항)"),"KRINC",VLOOKUP(K44,GLAPS정리!$BB$2:$BC$33,2,0)))))))</f>
        <v/>
      </c>
      <c r="AL44" s="2" t="str">
        <f>IF($B44="","",$AL$1)</f>
        <v/>
      </c>
      <c r="AN44" s="70" t="str">
        <f>IF($B44="","",TEXT(B44,"YYYY-MM-DD"))</f>
        <v/>
      </c>
      <c r="AO44" s="2" t="str">
        <f>IF($B44="","",IF(E44="오전", "0800", IF(E44="오후", "1300", IF(E44="잔업", "1800", ""))))</f>
        <v/>
      </c>
      <c r="AP44" s="2" t="str">
        <f>IF($B44="","",IF(C44="","",VLOOKUP(C44,GLAPS정리!$AX$2:$AZ$17,3,0)))</f>
        <v/>
      </c>
      <c r="AR44" s="2" t="str">
        <f>IF($B44="","",IF(X44="","",X44))</f>
        <v/>
      </c>
      <c r="AX44" s="2" t="str">
        <f>IF($B44="","",IF(L44="","",VLOOKUP(L44,GLAPS정리!$V$3:$W$180,2,0)))</f>
        <v/>
      </c>
      <c r="BM44" s="2" t="str">
        <f>IF($B44="","",IF(AND(Q44=1,OR(P44="",P44="위험물")), "2210", IF(AND(Q44=1,OR(P44="리퍼",P44="위험물리퍼")), "2230", IF(AND(S44=1,OR(P44="",P44="위험물")), "4510", IF(AND(S44=1,OR(P44="리퍼",P44="위험물리퍼")), "4530", IF(AND(R44=1,OR(P44="",P44="위험물")), "4210", IF(AND(R44=1,P44="리퍼"), "4230", " ")))))))</f>
        <v/>
      </c>
      <c r="BN44" s="2" t="str">
        <f>IF($B44="","",$BN$1)</f>
        <v/>
      </c>
      <c r="BR44" s="2" t="str">
        <f>IF($B44="","",IF(OR(P44="리퍼",P44="위험물리퍼"),"Y",""))</f>
        <v/>
      </c>
      <c r="BS44" s="2" t="str">
        <f>IF($B44="","",IF(OR(P44="위험물",P44="위험물리퍼"),"Y",""))</f>
        <v/>
      </c>
      <c r="BV44" s="2" t="str">
        <f>IF($B44="","",IF(O44="","",VLOOKUP(O44,GLAPS정리!$BH$2:$BI$94,2,0)))</f>
        <v/>
      </c>
      <c r="BW44" s="2" t="str">
        <f>IF($B44="","",IF(OR(Z44="동원",Z44="세방",Z44="한타"),"",IFERROR(INDEX(GLAPS정리!$BI$2:$BI$101,MATCH(Z44,GLAPS정리!$BH$2:$BH$101,0)),"")))</f>
        <v/>
      </c>
      <c r="BX44" s="2" t="str">
        <f>IF($B44="","",IF(Z44="","",IFERROR(VLOOKUP(Z44,GLAPS정리!$AX$2:$AZ$17,3,0),"")))</f>
        <v/>
      </c>
      <c r="BZ44" s="2" t="str">
        <f>IF($B44="","",IF(H44="","",VLOOKUP(H44,GLAPS정리!$L$3:$O$133,2,0)))</f>
        <v/>
      </c>
      <c r="CA44" s="2" t="str">
        <f>IF($B44="","",IF(V44="공휴일", 10, IF(V44="야간", 20, IF(V44="위험물", 30, IF(V44="중량", 40, "")))))</f>
        <v/>
      </c>
      <c r="CL44" s="2" t="str">
        <f>IF($B44="","",IF(AI44="","",VLOOKUP(AI44,GLAPS정리!$BT$3:$BV$26,3,0)))</f>
        <v/>
      </c>
    </row>
    <row r="45" spans="1:90" ht="20.45" customHeight="1">
      <c r="B45" s="13" t="str">
        <f>IF(GLAPS자동계산!C44="","",GLAPS자동계산!C44)</f>
        <v/>
      </c>
      <c r="C45" s="3" t="str">
        <f>IF(GLAPS자동계산!D44="","",GLAPS자동계산!D44)</f>
        <v/>
      </c>
      <c r="D45" s="16" t="str">
        <f>IF(GLAPS자동계산!E44="","",GLAPS자동계산!E44)</f>
        <v/>
      </c>
      <c r="E45" s="11" t="str">
        <f>IF(GLAPS자동계산!F44="","",GLAPS자동계산!F44)</f>
        <v/>
      </c>
      <c r="F45" s="3" t="str">
        <f>IF(GLAPS자동계산!G44="","",GLAPS자동계산!G44)</f>
        <v/>
      </c>
      <c r="G45" s="3" t="str">
        <f>IF(GLAPS자동계산!H44="","",GLAPS자동계산!H44)</f>
        <v/>
      </c>
      <c r="H45" s="3" t="str">
        <f>IF(GLAPS자동계산!I44="","",GLAPS자동계산!I44)</f>
        <v/>
      </c>
      <c r="I45" s="3" t="str">
        <f>IF(GLAPS자동계산!J44="","",GLAPS자동계산!J44)</f>
        <v/>
      </c>
      <c r="J45" s="3" t="str">
        <f>IF(GLAPS자동계산!K44="","",GLAPS자동계산!K44)</f>
        <v/>
      </c>
      <c r="K45" s="3" t="str">
        <f>IF(GLAPS자동계산!L44="","",GLAPS자동계산!L44)</f>
        <v/>
      </c>
      <c r="L45" s="3" t="str">
        <f>IF(GLAPS자동계산!M44="","",GLAPS자동계산!M44)</f>
        <v/>
      </c>
      <c r="M45" s="3" t="str">
        <f>IF(GLAPS자동계산!N44="","",GLAPS자동계산!N44)</f>
        <v/>
      </c>
      <c r="N45" s="3" t="str">
        <f>IF(GLAPS자동계산!O44="","",GLAPS자동계산!O44)</f>
        <v/>
      </c>
      <c r="O45" s="3" t="str">
        <f>IF(GLAPS자동계산!P44="","",GLAPS자동계산!P44)</f>
        <v/>
      </c>
      <c r="P45" s="2" t="str">
        <f>IF(GLAPS자동계산!Q44="","",GLAPS자동계산!Q44)</f>
        <v/>
      </c>
      <c r="Q45" s="3" t="str">
        <f>IF(GLAPS자동계산!R44="","",GLAPS자동계산!R44)</f>
        <v/>
      </c>
      <c r="R45" s="3" t="str">
        <f>IF(GLAPS자동계산!S44="","",GLAPS자동계산!S44)</f>
        <v/>
      </c>
      <c r="S45" s="3" t="str">
        <f>IF(GLAPS자동계산!T44="","",GLAPS자동계산!T44)</f>
        <v/>
      </c>
      <c r="T45" s="3" t="str">
        <f>IF(GLAPS자동계산!U44="","",GLAPS자동계산!U44)</f>
        <v/>
      </c>
      <c r="U45" s="3" t="str">
        <f>IF(GLAPS자동계산!V44="","",GLAPS자동계산!V44)</f>
        <v/>
      </c>
      <c r="V45" s="3" t="str">
        <f>IF(GLAPS자동계산!W44="","",GLAPS자동계산!W44)</f>
        <v/>
      </c>
      <c r="W45" s="14" t="str">
        <f>IF(GLAPS자동계산!X44="","",GLAPS자동계산!X44)</f>
        <v/>
      </c>
      <c r="X45" s="13" t="str">
        <f>IF(GLAPS자동계산!Y44="","",GLAPS자동계산!Y44)</f>
        <v/>
      </c>
      <c r="Y45" s="13" t="str">
        <f>IF(GLAPS자동계산!Z44="","",GLAPS자동계산!Z44)</f>
        <v/>
      </c>
      <c r="Z45" s="91" t="str">
        <f>IF(GLAPS자동계산!AA44="","",GLAPS자동계산!AA44)</f>
        <v/>
      </c>
      <c r="AA45" s="14" t="str">
        <f>IF(GLAPS자동계산!AB44="","",GLAPS자동계산!AB44)</f>
        <v/>
      </c>
      <c r="AC45" s="2" t="str">
        <f>IF($B45="","",$AC$1)</f>
        <v/>
      </c>
      <c r="AD45" s="2" t="str">
        <f>IF($B45="","",IFERROR(INDEX(GLAPS정리!$D$2:$D$50,MATCH(I45,GLAPS정리!$A$2:$A$50,0)),IFERROR(INDEX(GLAPS정리!$D$2:$D$50,MATCH(I45,GLAPS정리!$B$2:$B$50,0)),"")))</f>
        <v/>
      </c>
      <c r="AF45" s="2" t="str">
        <f>IF($B45="","",$AF$1)</f>
        <v/>
      </c>
      <c r="AI45" s="2" t="str">
        <f>IF($B45="","",IF(F45="","",VLOOKUP(F45,GLAPS정리!$G$3:$J$114,2,0)))</f>
        <v/>
      </c>
      <c r="AJ45" s="2" t="str">
        <f>IF($B45="","",IF(Z45="울산정일","KRONS",IF(Z45="울산신항","KRUSN",IF(OR(Z45="선광종합물류(인천여객)",Z45="인천여객(인천여객)"),"KRINF",IF(OR(Z45="선광인천보세(인천신)",Z45="한진인천(인천신)",Z45="선광인천신항(인천신)",Z45="인천더로지스(인천신)"),"KRINN",IF(OR(Z45="인천진아(인천항)",Z45="인천E1(인천항)",Z45="인천SM경인터미널(인천항)",Z45="인천항(인천항)",Z45="인천우련(인천항)",Z45="인천항8부두(인천항)"),"KRINC",VLOOKUP(K45,GLAPS정리!$BB$2:$BC$33,2,0)))))))</f>
        <v/>
      </c>
      <c r="AL45" s="2" t="str">
        <f>IF($B45="","",$AL$1)</f>
        <v/>
      </c>
      <c r="AN45" s="70" t="str">
        <f>IF($B45="","",TEXT(B45,"YYYY-MM-DD"))</f>
        <v/>
      </c>
      <c r="AO45" s="2" t="str">
        <f>IF($B45="","",IF(E45="오전", "0800", IF(E45="오후", "1300", IF(E45="잔업", "1800", ""))))</f>
        <v/>
      </c>
      <c r="AP45" s="2" t="str">
        <f>IF($B45="","",IF(C45="","",VLOOKUP(C45,GLAPS정리!$AX$2:$AZ$17,3,0)))</f>
        <v/>
      </c>
      <c r="AR45" s="2" t="str">
        <f>IF($B45="","",IF(X45="","",X45))</f>
        <v/>
      </c>
      <c r="AX45" s="2" t="str">
        <f>IF($B45="","",IF(L45="","",VLOOKUP(L45,GLAPS정리!$V$3:$W$180,2,0)))</f>
        <v/>
      </c>
      <c r="BM45" s="2" t="str">
        <f>IF($B45="","",IF(AND(Q45=1,OR(P45="",P45="위험물")), "2210", IF(AND(Q45=1,OR(P45="리퍼",P45="위험물리퍼")), "2230", IF(AND(S45=1,OR(P45="",P45="위험물")), "4510", IF(AND(S45=1,OR(P45="리퍼",P45="위험물리퍼")), "4530", IF(AND(R45=1,OR(P45="",P45="위험물")), "4210", IF(AND(R45=1,P45="리퍼"), "4230", " ")))))))</f>
        <v/>
      </c>
      <c r="BN45" s="2" t="str">
        <f>IF($B45="","",$BN$1)</f>
        <v/>
      </c>
      <c r="BR45" s="2" t="str">
        <f>IF($B45="","",IF(OR(P45="리퍼",P45="위험물리퍼"),"Y",""))</f>
        <v/>
      </c>
      <c r="BS45" s="2" t="str">
        <f>IF($B45="","",IF(OR(P45="위험물",P45="위험물리퍼"),"Y",""))</f>
        <v/>
      </c>
      <c r="BV45" s="2" t="str">
        <f>IF($B45="","",IF(O45="","",VLOOKUP(O45,GLAPS정리!$BH$2:$BI$94,2,0)))</f>
        <v/>
      </c>
      <c r="BW45" s="2" t="str">
        <f>IF($B45="","",IF(OR(Z45="동원",Z45="세방",Z45="한타"),"",IFERROR(INDEX(GLAPS정리!$BI$2:$BI$101,MATCH(Z45,GLAPS정리!$BH$2:$BH$101,0)),"")))</f>
        <v/>
      </c>
      <c r="BX45" s="2" t="str">
        <f>IF($B45="","",IF(Z45="","",IFERROR(VLOOKUP(Z45,GLAPS정리!$AX$2:$AZ$17,3,0),"")))</f>
        <v/>
      </c>
      <c r="BZ45" s="2" t="str">
        <f>IF($B45="","",IF(H45="","",VLOOKUP(H45,GLAPS정리!$L$3:$O$133,2,0)))</f>
        <v/>
      </c>
      <c r="CA45" s="2" t="str">
        <f>IF($B45="","",IF(V45="공휴일", 10, IF(V45="야간", 20, IF(V45="위험물", 30, IF(V45="중량", 40, "")))))</f>
        <v/>
      </c>
      <c r="CL45" s="2" t="str">
        <f>IF($B45="","",IF(AI45="","",VLOOKUP(AI45,GLAPS정리!$BT$3:$BV$26,3,0)))</f>
        <v/>
      </c>
    </row>
    <row r="46" spans="1:90" ht="20.45" customHeight="1">
      <c r="B46" s="13" t="str">
        <f>IF(GLAPS자동계산!C45="","",GLAPS자동계산!C45)</f>
        <v/>
      </c>
      <c r="C46" s="3" t="str">
        <f>IF(GLAPS자동계산!D45="","",GLAPS자동계산!D45)</f>
        <v/>
      </c>
      <c r="D46" s="16" t="str">
        <f>IF(GLAPS자동계산!E45="","",GLAPS자동계산!E45)</f>
        <v/>
      </c>
      <c r="E46" s="11" t="str">
        <f>IF(GLAPS자동계산!F45="","",GLAPS자동계산!F45)</f>
        <v/>
      </c>
      <c r="F46" s="3" t="str">
        <f>IF(GLAPS자동계산!G45="","",GLAPS자동계산!G45)</f>
        <v/>
      </c>
      <c r="G46" s="3" t="str">
        <f>IF(GLAPS자동계산!H45="","",GLAPS자동계산!H45)</f>
        <v/>
      </c>
      <c r="H46" s="3" t="str">
        <f>IF(GLAPS자동계산!I45="","",GLAPS자동계산!I45)</f>
        <v/>
      </c>
      <c r="I46" s="3" t="str">
        <f>IF(GLAPS자동계산!J45="","",GLAPS자동계산!J45)</f>
        <v/>
      </c>
      <c r="J46" s="3" t="str">
        <f>IF(GLAPS자동계산!K45="","",GLAPS자동계산!K45)</f>
        <v/>
      </c>
      <c r="K46" s="3" t="str">
        <f>IF(GLAPS자동계산!L45="","",GLAPS자동계산!L45)</f>
        <v/>
      </c>
      <c r="L46" s="3" t="str">
        <f>IF(GLAPS자동계산!M45="","",GLAPS자동계산!M45)</f>
        <v/>
      </c>
      <c r="M46" s="3" t="str">
        <f>IF(GLAPS자동계산!N45="","",GLAPS자동계산!N45)</f>
        <v/>
      </c>
      <c r="N46" s="3" t="str">
        <f>IF(GLAPS자동계산!O45="","",GLAPS자동계산!O45)</f>
        <v/>
      </c>
      <c r="O46" s="3" t="str">
        <f>IF(GLAPS자동계산!P45="","",GLAPS자동계산!P45)</f>
        <v/>
      </c>
      <c r="P46" s="2" t="str">
        <f>IF(GLAPS자동계산!Q45="","",GLAPS자동계산!Q45)</f>
        <v/>
      </c>
      <c r="Q46" s="3" t="str">
        <f>IF(GLAPS자동계산!R45="","",GLAPS자동계산!R45)</f>
        <v/>
      </c>
      <c r="R46" s="3" t="str">
        <f>IF(GLAPS자동계산!S45="","",GLAPS자동계산!S45)</f>
        <v/>
      </c>
      <c r="S46" s="3" t="str">
        <f>IF(GLAPS자동계산!T45="","",GLAPS자동계산!T45)</f>
        <v/>
      </c>
      <c r="T46" s="3" t="str">
        <f>IF(GLAPS자동계산!U45="","",GLAPS자동계산!U45)</f>
        <v/>
      </c>
      <c r="U46" s="3" t="str">
        <f>IF(GLAPS자동계산!V45="","",GLAPS자동계산!V45)</f>
        <v/>
      </c>
      <c r="V46" s="3" t="str">
        <f>IF(GLAPS자동계산!W45="","",GLAPS자동계산!W45)</f>
        <v/>
      </c>
      <c r="W46" s="14" t="str">
        <f>IF(GLAPS자동계산!X45="","",GLAPS자동계산!X45)</f>
        <v/>
      </c>
      <c r="X46" s="13" t="str">
        <f>IF(GLAPS자동계산!Y45="","",GLAPS자동계산!Y45)</f>
        <v/>
      </c>
      <c r="Y46" s="13" t="str">
        <f>IF(GLAPS자동계산!Z45="","",GLAPS자동계산!Z45)</f>
        <v/>
      </c>
      <c r="Z46" s="91" t="str">
        <f>IF(GLAPS자동계산!AA45="","",GLAPS자동계산!AA45)</f>
        <v/>
      </c>
      <c r="AA46" s="14" t="str">
        <f>IF(GLAPS자동계산!AB45="","",GLAPS자동계산!AB45)</f>
        <v/>
      </c>
      <c r="AC46" s="2" t="str">
        <f>IF($B46="","",$AC$1)</f>
        <v/>
      </c>
      <c r="AD46" s="2" t="str">
        <f>IF($B46="","",IFERROR(INDEX(GLAPS정리!$D$2:$D$50,MATCH(I46,GLAPS정리!$A$2:$A$50,0)),IFERROR(INDEX(GLAPS정리!$D$2:$D$50,MATCH(I46,GLAPS정리!$B$2:$B$50,0)),"")))</f>
        <v/>
      </c>
      <c r="AF46" s="2" t="str">
        <f>IF($B46="","",$AF$1)</f>
        <v/>
      </c>
      <c r="AI46" s="2" t="str">
        <f>IF($B46="","",IF(F46="","",VLOOKUP(F46,GLAPS정리!$G$3:$J$114,2,0)))</f>
        <v/>
      </c>
      <c r="AJ46" s="2" t="str">
        <f>IF($B46="","",IF(Z46="울산정일","KRONS",IF(Z46="울산신항","KRUSN",IF(OR(Z46="선광종합물류(인천여객)",Z46="인천여객(인천여객)"),"KRINF",IF(OR(Z46="선광인천보세(인천신)",Z46="한진인천(인천신)",Z46="선광인천신항(인천신)",Z46="인천더로지스(인천신)"),"KRINN",IF(OR(Z46="인천진아(인천항)",Z46="인천E1(인천항)",Z46="인천SM경인터미널(인천항)",Z46="인천항(인천항)",Z46="인천우련(인천항)",Z46="인천항8부두(인천항)"),"KRINC",VLOOKUP(K46,GLAPS정리!$BB$2:$BC$33,2,0)))))))</f>
        <v/>
      </c>
      <c r="AL46" s="2" t="str">
        <f>IF($B46="","",$AL$1)</f>
        <v/>
      </c>
      <c r="AN46" s="70" t="str">
        <f>IF($B46="","",TEXT(B46,"YYYY-MM-DD"))</f>
        <v/>
      </c>
      <c r="AO46" s="2" t="str">
        <f>IF($B46="","",IF(E46="오전", "0800", IF(E46="오후", "1300", IF(E46="잔업", "1800", ""))))</f>
        <v/>
      </c>
      <c r="AP46" s="2" t="str">
        <f>IF($B46="","",IF(C46="","",VLOOKUP(C46,GLAPS정리!$AX$2:$AZ$17,3,0)))</f>
        <v/>
      </c>
      <c r="AR46" s="2" t="str">
        <f>IF($B46="","",IF(X46="","",X46))</f>
        <v/>
      </c>
      <c r="AX46" s="2" t="str">
        <f>IF($B46="","",IF(L46="","",VLOOKUP(L46,GLAPS정리!$V$3:$W$180,2,0)))</f>
        <v/>
      </c>
      <c r="BM46" s="2" t="str">
        <f>IF($B46="","",IF(AND(Q46=1,OR(P46="",P46="위험물")), "2210", IF(AND(Q46=1,OR(P46="리퍼",P46="위험물리퍼")), "2230", IF(AND(S46=1,OR(P46="",P46="위험물")), "4510", IF(AND(S46=1,OR(P46="리퍼",P46="위험물리퍼")), "4530", IF(AND(R46=1,OR(P46="",P46="위험물")), "4210", IF(AND(R46=1,P46="리퍼"), "4230", " ")))))))</f>
        <v/>
      </c>
      <c r="BN46" s="2" t="str">
        <f>IF($B46="","",$BN$1)</f>
        <v/>
      </c>
      <c r="BR46" s="2" t="str">
        <f>IF($B46="","",IF(OR(P46="리퍼",P46="위험물리퍼"),"Y",""))</f>
        <v/>
      </c>
      <c r="BS46" s="2" t="str">
        <f>IF($B46="","",IF(OR(P46="위험물",P46="위험물리퍼"),"Y",""))</f>
        <v/>
      </c>
      <c r="BV46" s="2" t="str">
        <f>IF($B46="","",IF(O46="","",VLOOKUP(O46,GLAPS정리!$BH$2:$BI$94,2,0)))</f>
        <v/>
      </c>
      <c r="BW46" s="2" t="str">
        <f>IF($B46="","",IF(OR(Z46="동원",Z46="세방",Z46="한타"),"",IFERROR(INDEX(GLAPS정리!$BI$2:$BI$101,MATCH(Z46,GLAPS정리!$BH$2:$BH$101,0)),"")))</f>
        <v/>
      </c>
      <c r="BX46" s="2" t="str">
        <f>IF($B46="","",IF(Z46="","",IFERROR(VLOOKUP(Z46,GLAPS정리!$AX$2:$AZ$17,3,0),"")))</f>
        <v/>
      </c>
      <c r="BZ46" s="2" t="str">
        <f>IF($B46="","",IF(H46="","",VLOOKUP(H46,GLAPS정리!$L$3:$O$133,2,0)))</f>
        <v/>
      </c>
      <c r="CA46" s="2" t="str">
        <f>IF($B46="","",IF(V46="공휴일", 10, IF(V46="야간", 20, IF(V46="위험물", 30, IF(V46="중량", 40, "")))))</f>
        <v/>
      </c>
      <c r="CL46" s="2" t="str">
        <f>IF($B46="","",IF(AI46="","",VLOOKUP(AI46,GLAPS정리!$BT$3:$BV$26,3,0)))</f>
        <v/>
      </c>
    </row>
    <row r="47" spans="1:90" ht="20.45" customHeight="1">
      <c r="B47" s="13" t="str">
        <f>IF(GLAPS자동계산!C46="","",GLAPS자동계산!C46)</f>
        <v/>
      </c>
      <c r="C47" s="3" t="str">
        <f>IF(GLAPS자동계산!D46="","",GLAPS자동계산!D46)</f>
        <v/>
      </c>
      <c r="D47" s="16" t="str">
        <f>IF(GLAPS자동계산!E46="","",GLAPS자동계산!E46)</f>
        <v/>
      </c>
      <c r="E47" s="11" t="str">
        <f>IF(GLAPS자동계산!F46="","",GLAPS자동계산!F46)</f>
        <v/>
      </c>
      <c r="F47" s="3" t="str">
        <f>IF(GLAPS자동계산!G46="","",GLAPS자동계산!G46)</f>
        <v/>
      </c>
      <c r="G47" s="3" t="str">
        <f>IF(GLAPS자동계산!H46="","",GLAPS자동계산!H46)</f>
        <v/>
      </c>
      <c r="H47" s="3" t="str">
        <f>IF(GLAPS자동계산!I46="","",GLAPS자동계산!I46)</f>
        <v/>
      </c>
      <c r="I47" s="3" t="str">
        <f>IF(GLAPS자동계산!J46="","",GLAPS자동계산!J46)</f>
        <v/>
      </c>
      <c r="J47" s="3" t="str">
        <f>IF(GLAPS자동계산!K46="","",GLAPS자동계산!K46)</f>
        <v/>
      </c>
      <c r="K47" s="3" t="str">
        <f>IF(GLAPS자동계산!L46="","",GLAPS자동계산!L46)</f>
        <v/>
      </c>
      <c r="L47" s="3" t="str">
        <f>IF(GLAPS자동계산!M46="","",GLAPS자동계산!M46)</f>
        <v/>
      </c>
      <c r="M47" s="3" t="str">
        <f>IF(GLAPS자동계산!N46="","",GLAPS자동계산!N46)</f>
        <v/>
      </c>
      <c r="N47" s="3" t="str">
        <f>IF(GLAPS자동계산!O46="","",GLAPS자동계산!O46)</f>
        <v/>
      </c>
      <c r="O47" s="3" t="str">
        <f>IF(GLAPS자동계산!P46="","",GLAPS자동계산!P46)</f>
        <v/>
      </c>
      <c r="P47" s="2" t="str">
        <f>IF(GLAPS자동계산!Q46="","",GLAPS자동계산!Q46)</f>
        <v/>
      </c>
      <c r="Q47" s="3" t="str">
        <f>IF(GLAPS자동계산!R46="","",GLAPS자동계산!R46)</f>
        <v/>
      </c>
      <c r="R47" s="3" t="str">
        <f>IF(GLAPS자동계산!S46="","",GLAPS자동계산!S46)</f>
        <v/>
      </c>
      <c r="S47" s="3" t="str">
        <f>IF(GLAPS자동계산!T46="","",GLAPS자동계산!T46)</f>
        <v/>
      </c>
      <c r="T47" s="3" t="str">
        <f>IF(GLAPS자동계산!U46="","",GLAPS자동계산!U46)</f>
        <v/>
      </c>
      <c r="U47" s="3" t="str">
        <f>IF(GLAPS자동계산!V46="","",GLAPS자동계산!V46)</f>
        <v/>
      </c>
      <c r="V47" s="3" t="str">
        <f>IF(GLAPS자동계산!W46="","",GLAPS자동계산!W46)</f>
        <v/>
      </c>
      <c r="W47" s="14" t="str">
        <f>IF(GLAPS자동계산!X46="","",GLAPS자동계산!X46)</f>
        <v/>
      </c>
      <c r="X47" s="13" t="str">
        <f>IF(GLAPS자동계산!Y46="","",GLAPS자동계산!Y46)</f>
        <v/>
      </c>
      <c r="Y47" s="13" t="str">
        <f>IF(GLAPS자동계산!Z46="","",GLAPS자동계산!Z46)</f>
        <v/>
      </c>
      <c r="Z47" s="91" t="str">
        <f>IF(GLAPS자동계산!AA46="","",GLAPS자동계산!AA46)</f>
        <v/>
      </c>
      <c r="AA47" s="14" t="str">
        <f>IF(GLAPS자동계산!AB46="","",GLAPS자동계산!AB46)</f>
        <v/>
      </c>
      <c r="AC47" s="2" t="str">
        <f>IF($B47="","",$AC$1)</f>
        <v/>
      </c>
      <c r="AD47" s="2" t="str">
        <f>IF($B47="","",IFERROR(INDEX(GLAPS정리!$D$2:$D$50,MATCH(I47,GLAPS정리!$A$2:$A$50,0)),IFERROR(INDEX(GLAPS정리!$D$2:$D$50,MATCH(I47,GLAPS정리!$B$2:$B$50,0)),"")))</f>
        <v/>
      </c>
      <c r="AF47" s="2" t="str">
        <f>IF($B47="","",$AF$1)</f>
        <v/>
      </c>
      <c r="AI47" s="2" t="str">
        <f>IF($B47="","",IF(F47="","",VLOOKUP(F47,GLAPS정리!$G$3:$J$114,2,0)))</f>
        <v/>
      </c>
      <c r="AJ47" s="2" t="str">
        <f>IF($B47="","",IF(Z47="울산정일","KRONS",IF(Z47="울산신항","KRUSN",IF(OR(Z47="선광종합물류(인천여객)",Z47="인천여객(인천여객)"),"KRINF",IF(OR(Z47="선광인천보세(인천신)",Z47="한진인천(인천신)",Z47="선광인천신항(인천신)",Z47="인천더로지스(인천신)"),"KRINN",IF(OR(Z47="인천진아(인천항)",Z47="인천E1(인천항)",Z47="인천SM경인터미널(인천항)",Z47="인천항(인천항)",Z47="인천우련(인천항)",Z47="인천항8부두(인천항)"),"KRINC",VLOOKUP(K47,GLAPS정리!$BB$2:$BC$33,2,0)))))))</f>
        <v/>
      </c>
      <c r="AL47" s="2" t="str">
        <f>IF($B47="","",$AL$1)</f>
        <v/>
      </c>
      <c r="AN47" s="70" t="str">
        <f>IF($B47="","",TEXT(B47,"YYYY-MM-DD"))</f>
        <v/>
      </c>
      <c r="AO47" s="2" t="str">
        <f>IF($B47="","",IF(E47="오전", "0800", IF(E47="오후", "1300", IF(E47="잔업", "1800", ""))))</f>
        <v/>
      </c>
      <c r="AP47" s="2" t="str">
        <f>IF($B47="","",IF(C47="","",VLOOKUP(C47,GLAPS정리!$AX$2:$AZ$17,3,0)))</f>
        <v/>
      </c>
      <c r="AR47" s="2" t="str">
        <f>IF($B47="","",IF(X47="","",X47))</f>
        <v/>
      </c>
      <c r="AX47" s="2" t="str">
        <f>IF($B47="","",IF(L47="","",VLOOKUP(L47,GLAPS정리!$V$3:$W$180,2,0)))</f>
        <v/>
      </c>
      <c r="BM47" s="2" t="str">
        <f>IF($B47="","",IF(AND(Q47=1,OR(P47="",P47="위험물")), "2210", IF(AND(Q47=1,OR(P47="리퍼",P47="위험물리퍼")), "2230", IF(AND(S47=1,OR(P47="",P47="위험물")), "4510", IF(AND(S47=1,OR(P47="리퍼",P47="위험물리퍼")), "4530", IF(AND(R47=1,OR(P47="",P47="위험물")), "4210", IF(AND(R47=1,P47="리퍼"), "4230", " ")))))))</f>
        <v/>
      </c>
      <c r="BN47" s="2" t="str">
        <f>IF($B47="","",$BN$1)</f>
        <v/>
      </c>
      <c r="BR47" s="2" t="str">
        <f>IF($B47="","",IF(OR(P47="리퍼",P47="위험물리퍼"),"Y",""))</f>
        <v/>
      </c>
      <c r="BS47" s="2" t="str">
        <f>IF($B47="","",IF(OR(P47="위험물",P47="위험물리퍼"),"Y",""))</f>
        <v/>
      </c>
      <c r="BV47" s="2" t="str">
        <f>IF($B47="","",IF(O47="","",VLOOKUP(O47,GLAPS정리!$BH$2:$BI$94,2,0)))</f>
        <v/>
      </c>
      <c r="BW47" s="2" t="str">
        <f>IF($B47="","",IF(OR(Z47="동원",Z47="세방",Z47="한타"),"",IFERROR(INDEX(GLAPS정리!$BI$2:$BI$101,MATCH(Z47,GLAPS정리!$BH$2:$BH$101,0)),"")))</f>
        <v/>
      </c>
      <c r="BX47" s="2" t="str">
        <f>IF($B47="","",IF(Z47="","",IFERROR(VLOOKUP(Z47,GLAPS정리!$AX$2:$AZ$17,3,0),"")))</f>
        <v/>
      </c>
      <c r="BZ47" s="2" t="str">
        <f>IF($B47="","",IF(H47="","",VLOOKUP(H47,GLAPS정리!$L$3:$O$133,2,0)))</f>
        <v/>
      </c>
      <c r="CA47" s="2" t="str">
        <f>IF($B47="","",IF(V47="공휴일", 10, IF(V47="야간", 20, IF(V47="위험물", 30, IF(V47="중량", 40, "")))))</f>
        <v/>
      </c>
      <c r="CL47" s="2" t="str">
        <f>IF($B47="","",IF(AI47="","",VLOOKUP(AI47,GLAPS정리!$BT$3:$BV$26,3,0)))</f>
        <v/>
      </c>
    </row>
    <row r="48" spans="1:90" ht="20.45" customHeight="1">
      <c r="B48" s="13" t="str">
        <f>IF(GLAPS자동계산!C47="","",GLAPS자동계산!C47)</f>
        <v/>
      </c>
      <c r="C48" s="3" t="str">
        <f>IF(GLAPS자동계산!D47="","",GLAPS자동계산!D47)</f>
        <v/>
      </c>
      <c r="D48" s="16" t="str">
        <f>IF(GLAPS자동계산!E47="","",GLAPS자동계산!E47)</f>
        <v/>
      </c>
      <c r="E48" s="11" t="str">
        <f>IF(GLAPS자동계산!F47="","",GLAPS자동계산!F47)</f>
        <v/>
      </c>
      <c r="F48" s="3" t="str">
        <f>IF(GLAPS자동계산!G47="","",GLAPS자동계산!G47)</f>
        <v/>
      </c>
      <c r="G48" s="3" t="str">
        <f>IF(GLAPS자동계산!H47="","",GLAPS자동계산!H47)</f>
        <v/>
      </c>
      <c r="H48" s="3" t="str">
        <f>IF(GLAPS자동계산!I47="","",GLAPS자동계산!I47)</f>
        <v/>
      </c>
      <c r="I48" s="3" t="str">
        <f>IF(GLAPS자동계산!J47="","",GLAPS자동계산!J47)</f>
        <v/>
      </c>
      <c r="J48" s="3" t="str">
        <f>IF(GLAPS자동계산!K47="","",GLAPS자동계산!K47)</f>
        <v/>
      </c>
      <c r="K48" s="3" t="str">
        <f>IF(GLAPS자동계산!L47="","",GLAPS자동계산!L47)</f>
        <v/>
      </c>
      <c r="L48" s="3" t="str">
        <f>IF(GLAPS자동계산!M47="","",GLAPS자동계산!M47)</f>
        <v/>
      </c>
      <c r="M48" s="3" t="str">
        <f>IF(GLAPS자동계산!N47="","",GLAPS자동계산!N47)</f>
        <v/>
      </c>
      <c r="N48" s="3" t="str">
        <f>IF(GLAPS자동계산!O47="","",GLAPS자동계산!O47)</f>
        <v/>
      </c>
      <c r="O48" s="3" t="str">
        <f>IF(GLAPS자동계산!P47="","",GLAPS자동계산!P47)</f>
        <v/>
      </c>
      <c r="P48" s="2" t="str">
        <f>IF(GLAPS자동계산!Q47="","",GLAPS자동계산!Q47)</f>
        <v/>
      </c>
      <c r="Q48" s="3" t="str">
        <f>IF(GLAPS자동계산!R47="","",GLAPS자동계산!R47)</f>
        <v/>
      </c>
      <c r="R48" s="3" t="str">
        <f>IF(GLAPS자동계산!S47="","",GLAPS자동계산!S47)</f>
        <v/>
      </c>
      <c r="S48" s="3" t="str">
        <f>IF(GLAPS자동계산!T47="","",GLAPS자동계산!T47)</f>
        <v/>
      </c>
      <c r="T48" s="3" t="str">
        <f>IF(GLAPS자동계산!U47="","",GLAPS자동계산!U47)</f>
        <v/>
      </c>
      <c r="U48" s="3" t="str">
        <f>IF(GLAPS자동계산!V47="","",GLAPS자동계산!V47)</f>
        <v/>
      </c>
      <c r="V48" s="3" t="str">
        <f>IF(GLAPS자동계산!W47="","",GLAPS자동계산!W47)</f>
        <v/>
      </c>
      <c r="W48" s="14" t="str">
        <f>IF(GLAPS자동계산!X47="","",GLAPS자동계산!X47)</f>
        <v/>
      </c>
      <c r="X48" s="13" t="str">
        <f>IF(GLAPS자동계산!Y47="","",GLAPS자동계산!Y47)</f>
        <v/>
      </c>
      <c r="Y48" s="13" t="str">
        <f>IF(GLAPS자동계산!Z47="","",GLAPS자동계산!Z47)</f>
        <v/>
      </c>
      <c r="Z48" s="91" t="str">
        <f>IF(GLAPS자동계산!AA47="","",GLAPS자동계산!AA47)</f>
        <v/>
      </c>
      <c r="AA48" s="14" t="str">
        <f>IF(GLAPS자동계산!AB47="","",GLAPS자동계산!AB47)</f>
        <v/>
      </c>
      <c r="AC48" s="2" t="str">
        <f>IF($B48="","",$AC$1)</f>
        <v/>
      </c>
      <c r="AD48" s="2" t="str">
        <f>IF($B48="","",IFERROR(INDEX(GLAPS정리!$D$2:$D$50,MATCH(I48,GLAPS정리!$A$2:$A$50,0)),IFERROR(INDEX(GLAPS정리!$D$2:$D$50,MATCH(I48,GLAPS정리!$B$2:$B$50,0)),"")))</f>
        <v/>
      </c>
      <c r="AF48" s="2" t="str">
        <f>IF($B48="","",$AF$1)</f>
        <v/>
      </c>
      <c r="AI48" s="2" t="str">
        <f>IF($B48="","",IF(F48="","",VLOOKUP(F48,GLAPS정리!$G$3:$J$114,2,0)))</f>
        <v/>
      </c>
      <c r="AJ48" s="2" t="str">
        <f>IF($B48="","",IF(Z48="울산정일","KRONS",IF(Z48="울산신항","KRUSN",IF(OR(Z48="선광종합물류(인천여객)",Z48="인천여객(인천여객)"),"KRINF",IF(OR(Z48="선광인천보세(인천신)",Z48="한진인천(인천신)",Z48="선광인천신항(인천신)",Z48="인천더로지스(인천신)"),"KRINN",IF(OR(Z48="인천진아(인천항)",Z48="인천E1(인천항)",Z48="인천SM경인터미널(인천항)",Z48="인천항(인천항)",Z48="인천우련(인천항)",Z48="인천항8부두(인천항)"),"KRINC",VLOOKUP(K48,GLAPS정리!$BB$2:$BC$33,2,0)))))))</f>
        <v/>
      </c>
      <c r="AL48" s="2" t="str">
        <f>IF($B48="","",$AL$1)</f>
        <v/>
      </c>
      <c r="AN48" s="70" t="str">
        <f>IF($B48="","",TEXT(B48,"YYYY-MM-DD"))</f>
        <v/>
      </c>
      <c r="AO48" s="2" t="str">
        <f>IF($B48="","",IF(E48="오전", "0800", IF(E48="오후", "1300", IF(E48="잔업", "1800", ""))))</f>
        <v/>
      </c>
      <c r="AP48" s="2" t="str">
        <f>IF($B48="","",IF(C48="","",VLOOKUP(C48,GLAPS정리!$AX$2:$AZ$17,3,0)))</f>
        <v/>
      </c>
      <c r="AR48" s="2" t="str">
        <f>IF($B48="","",IF(X48="","",X48))</f>
        <v/>
      </c>
      <c r="AX48" s="2" t="str">
        <f>IF($B48="","",IF(L48="","",VLOOKUP(L48,GLAPS정리!$V$3:$W$180,2,0)))</f>
        <v/>
      </c>
      <c r="BM48" s="2" t="str">
        <f>IF($B48="","",IF(AND(Q48=1,OR(P48="",P48="위험물")), "2210", IF(AND(Q48=1,OR(P48="리퍼",P48="위험물리퍼")), "2230", IF(AND(S48=1,OR(P48="",P48="위험물")), "4510", IF(AND(S48=1,OR(P48="리퍼",P48="위험물리퍼")), "4530", IF(AND(R48=1,OR(P48="",P48="위험물")), "4210", IF(AND(R48=1,P48="리퍼"), "4230", " ")))))))</f>
        <v/>
      </c>
      <c r="BN48" s="2" t="str">
        <f>IF($B48="","",$BN$1)</f>
        <v/>
      </c>
      <c r="BR48" s="2" t="str">
        <f>IF($B48="","",IF(OR(P48="리퍼",P48="위험물리퍼"),"Y",""))</f>
        <v/>
      </c>
      <c r="BS48" s="2" t="str">
        <f>IF($B48="","",IF(OR(P48="위험물",P48="위험물리퍼"),"Y",""))</f>
        <v/>
      </c>
      <c r="BV48" s="2" t="str">
        <f>IF($B48="","",IF(O48="","",VLOOKUP(O48,GLAPS정리!$BH$2:$BI$94,2,0)))</f>
        <v/>
      </c>
      <c r="BW48" s="2" t="str">
        <f>IF($B48="","",IF(OR(Z48="동원",Z48="세방",Z48="한타"),"",IFERROR(INDEX(GLAPS정리!$BI$2:$BI$101,MATCH(Z48,GLAPS정리!$BH$2:$BH$101,0)),"")))</f>
        <v/>
      </c>
      <c r="BX48" s="2" t="str">
        <f>IF($B48="","",IF(Z48="","",IFERROR(VLOOKUP(Z48,GLAPS정리!$AX$2:$AZ$17,3,0),"")))</f>
        <v/>
      </c>
      <c r="BZ48" s="2" t="str">
        <f>IF($B48="","",IF(H48="","",VLOOKUP(H48,GLAPS정리!$L$3:$O$133,2,0)))</f>
        <v/>
      </c>
      <c r="CA48" s="2" t="str">
        <f>IF($B48="","",IF(V48="공휴일", 10, IF(V48="야간", 20, IF(V48="위험물", 30, IF(V48="중량", 40, "")))))</f>
        <v/>
      </c>
      <c r="CL48" s="2" t="str">
        <f>IF($B48="","",IF(AI48="","",VLOOKUP(AI48,GLAPS정리!$BT$3:$BV$26,3,0)))</f>
        <v/>
      </c>
    </row>
    <row r="49" spans="2:90" ht="20.45" customHeight="1">
      <c r="B49" s="13" t="str">
        <f>IF(GLAPS자동계산!C48="","",GLAPS자동계산!C48)</f>
        <v/>
      </c>
      <c r="C49" s="3" t="str">
        <f>IF(GLAPS자동계산!D48="","",GLAPS자동계산!D48)</f>
        <v/>
      </c>
      <c r="D49" s="16" t="str">
        <f>IF(GLAPS자동계산!E48="","",GLAPS자동계산!E48)</f>
        <v/>
      </c>
      <c r="E49" s="11" t="str">
        <f>IF(GLAPS자동계산!F48="","",GLAPS자동계산!F48)</f>
        <v/>
      </c>
      <c r="F49" s="3" t="str">
        <f>IF(GLAPS자동계산!G48="","",GLAPS자동계산!G48)</f>
        <v/>
      </c>
      <c r="G49" s="3" t="str">
        <f>IF(GLAPS자동계산!H48="","",GLAPS자동계산!H48)</f>
        <v/>
      </c>
      <c r="H49" s="3" t="str">
        <f>IF(GLAPS자동계산!I48="","",GLAPS자동계산!I48)</f>
        <v/>
      </c>
      <c r="I49" s="3" t="str">
        <f>IF(GLAPS자동계산!J48="","",GLAPS자동계산!J48)</f>
        <v/>
      </c>
      <c r="J49" s="3" t="str">
        <f>IF(GLAPS자동계산!K48="","",GLAPS자동계산!K48)</f>
        <v/>
      </c>
      <c r="K49" s="3" t="str">
        <f>IF(GLAPS자동계산!L48="","",GLAPS자동계산!L48)</f>
        <v/>
      </c>
      <c r="L49" s="3" t="str">
        <f>IF(GLAPS자동계산!M48="","",GLAPS자동계산!M48)</f>
        <v/>
      </c>
      <c r="M49" s="3" t="str">
        <f>IF(GLAPS자동계산!N48="","",GLAPS자동계산!N48)</f>
        <v/>
      </c>
      <c r="N49" s="3" t="str">
        <f>IF(GLAPS자동계산!O48="","",GLAPS자동계산!O48)</f>
        <v/>
      </c>
      <c r="O49" s="3" t="str">
        <f>IF(GLAPS자동계산!P48="","",GLAPS자동계산!P48)</f>
        <v/>
      </c>
      <c r="P49" s="2" t="str">
        <f>IF(GLAPS자동계산!Q48="","",GLAPS자동계산!Q48)</f>
        <v/>
      </c>
      <c r="Q49" s="3" t="str">
        <f>IF(GLAPS자동계산!R48="","",GLAPS자동계산!R48)</f>
        <v/>
      </c>
      <c r="R49" s="3" t="str">
        <f>IF(GLAPS자동계산!S48="","",GLAPS자동계산!S48)</f>
        <v/>
      </c>
      <c r="S49" s="3" t="str">
        <f>IF(GLAPS자동계산!T48="","",GLAPS자동계산!T48)</f>
        <v/>
      </c>
      <c r="T49" s="3" t="str">
        <f>IF(GLAPS자동계산!U48="","",GLAPS자동계산!U48)</f>
        <v/>
      </c>
      <c r="U49" s="3" t="str">
        <f>IF(GLAPS자동계산!V48="","",GLAPS자동계산!V48)</f>
        <v/>
      </c>
      <c r="V49" s="3" t="str">
        <f>IF(GLAPS자동계산!W48="","",GLAPS자동계산!W48)</f>
        <v/>
      </c>
      <c r="W49" s="14" t="str">
        <f>IF(GLAPS자동계산!X48="","",GLAPS자동계산!X48)</f>
        <v/>
      </c>
      <c r="X49" s="13" t="str">
        <f>IF(GLAPS자동계산!Y48="","",GLAPS자동계산!Y48)</f>
        <v/>
      </c>
      <c r="Y49" s="13" t="str">
        <f>IF(GLAPS자동계산!Z48="","",GLAPS자동계산!Z48)</f>
        <v/>
      </c>
      <c r="Z49" s="91" t="str">
        <f>IF(GLAPS자동계산!AA48="","",GLAPS자동계산!AA48)</f>
        <v/>
      </c>
      <c r="AA49" s="14" t="str">
        <f>IF(GLAPS자동계산!AB48="","",GLAPS자동계산!AB48)</f>
        <v/>
      </c>
      <c r="AC49" s="2" t="str">
        <f>IF($B49="","",$AC$1)</f>
        <v/>
      </c>
      <c r="AD49" s="2" t="str">
        <f>IF($B49="","",IFERROR(INDEX(GLAPS정리!$D$2:$D$50,MATCH(I49,GLAPS정리!$A$2:$A$50,0)),IFERROR(INDEX(GLAPS정리!$D$2:$D$50,MATCH(I49,GLAPS정리!$B$2:$B$50,0)),"")))</f>
        <v/>
      </c>
      <c r="AF49" s="2" t="str">
        <f>IF($B49="","",$AF$1)</f>
        <v/>
      </c>
      <c r="AI49" s="2" t="str">
        <f>IF($B49="","",IF(F49="","",VLOOKUP(F49,GLAPS정리!$G$3:$J$114,2,0)))</f>
        <v/>
      </c>
      <c r="AJ49" s="2" t="str">
        <f>IF($B49="","",IF(Z49="울산정일","KRONS",IF(Z49="울산신항","KRUSN",IF(OR(Z49="선광종합물류(인천여객)",Z49="인천여객(인천여객)"),"KRINF",IF(OR(Z49="선광인천보세(인천신)",Z49="한진인천(인천신)",Z49="선광인천신항(인천신)",Z49="인천더로지스(인천신)"),"KRINN",IF(OR(Z49="인천진아(인천항)",Z49="인천E1(인천항)",Z49="인천SM경인터미널(인천항)",Z49="인천항(인천항)",Z49="인천우련(인천항)",Z49="인천항8부두(인천항)"),"KRINC",VLOOKUP(K49,GLAPS정리!$BB$2:$BC$33,2,0)))))))</f>
        <v/>
      </c>
      <c r="AL49" s="2" t="str">
        <f>IF($B49="","",$AL$1)</f>
        <v/>
      </c>
      <c r="AN49" s="70" t="str">
        <f>IF($B49="","",TEXT(B49,"YYYY-MM-DD"))</f>
        <v/>
      </c>
      <c r="AO49" s="2" t="str">
        <f>IF($B49="","",IF(E49="오전", "0800", IF(E49="오후", "1300", IF(E49="잔업", "1800", ""))))</f>
        <v/>
      </c>
      <c r="AP49" s="2" t="str">
        <f>IF($B49="","",IF(C49="","",VLOOKUP(C49,GLAPS정리!$AX$2:$AZ$17,3,0)))</f>
        <v/>
      </c>
      <c r="AR49" s="2" t="str">
        <f>IF($B49="","",IF(X49="","",X49))</f>
        <v/>
      </c>
      <c r="AX49" s="2" t="str">
        <f>IF($B49="","",IF(L49="","",VLOOKUP(L49,GLAPS정리!$V$3:$W$180,2,0)))</f>
        <v/>
      </c>
      <c r="BM49" s="2" t="str">
        <f>IF($B49="","",IF(AND(Q49=1,OR(P49="",P49="위험물")), "2210", IF(AND(Q49=1,OR(P49="리퍼",P49="위험물리퍼")), "2230", IF(AND(S49=1,OR(P49="",P49="위험물")), "4510", IF(AND(S49=1,OR(P49="리퍼",P49="위험물리퍼")), "4530", IF(AND(R49=1,OR(P49="",P49="위험물")), "4210", IF(AND(R49=1,P49="리퍼"), "4230", " ")))))))</f>
        <v/>
      </c>
      <c r="BN49" s="2" t="str">
        <f>IF($B49="","",$BN$1)</f>
        <v/>
      </c>
      <c r="BR49" s="2" t="str">
        <f>IF($B49="","",IF(OR(P49="리퍼",P49="위험물리퍼"),"Y",""))</f>
        <v/>
      </c>
      <c r="BS49" s="2" t="str">
        <f>IF($B49="","",IF(OR(P49="위험물",P49="위험물리퍼"),"Y",""))</f>
        <v/>
      </c>
      <c r="BV49" s="2" t="str">
        <f>IF($B49="","",IF(O49="","",VLOOKUP(O49,GLAPS정리!$BH$2:$BI$94,2,0)))</f>
        <v/>
      </c>
      <c r="BW49" s="2" t="str">
        <f>IF($B49="","",IF(OR(Z49="동원",Z49="세방",Z49="한타"),"",IFERROR(INDEX(GLAPS정리!$BI$2:$BI$101,MATCH(Z49,GLAPS정리!$BH$2:$BH$101,0)),"")))</f>
        <v/>
      </c>
      <c r="BX49" s="2" t="str">
        <f>IF($B49="","",IF(Z49="","",IFERROR(VLOOKUP(Z49,GLAPS정리!$AX$2:$AZ$17,3,0),"")))</f>
        <v/>
      </c>
      <c r="BZ49" s="2" t="str">
        <f>IF($B49="","",IF(H49="","",VLOOKUP(H49,GLAPS정리!$L$3:$O$133,2,0)))</f>
        <v/>
      </c>
      <c r="CA49" s="2" t="str">
        <f>IF($B49="","",IF(V49="공휴일", 10, IF(V49="야간", 20, IF(V49="위험물", 30, IF(V49="중량", 40, "")))))</f>
        <v/>
      </c>
      <c r="CL49" s="2" t="str">
        <f>IF($B49="","",IF(AI49="","",VLOOKUP(AI49,GLAPS정리!$BT$3:$BV$26,3,0)))</f>
        <v/>
      </c>
    </row>
    <row r="50" spans="2:90" ht="20.45" customHeight="1">
      <c r="B50" s="13" t="str">
        <f>IF(GLAPS자동계산!C49="","",GLAPS자동계산!C49)</f>
        <v/>
      </c>
      <c r="C50" s="3" t="str">
        <f>IF(GLAPS자동계산!D49="","",GLAPS자동계산!D49)</f>
        <v/>
      </c>
      <c r="D50" s="16" t="str">
        <f>IF(GLAPS자동계산!E49="","",GLAPS자동계산!E49)</f>
        <v/>
      </c>
      <c r="E50" s="11" t="str">
        <f>IF(GLAPS자동계산!F49="","",GLAPS자동계산!F49)</f>
        <v/>
      </c>
      <c r="F50" s="3" t="str">
        <f>IF(GLAPS자동계산!G49="","",GLAPS자동계산!G49)</f>
        <v/>
      </c>
      <c r="G50" s="3" t="str">
        <f>IF(GLAPS자동계산!H49="","",GLAPS자동계산!H49)</f>
        <v/>
      </c>
      <c r="H50" s="3" t="str">
        <f>IF(GLAPS자동계산!I49="","",GLAPS자동계산!I49)</f>
        <v/>
      </c>
      <c r="I50" s="3" t="str">
        <f>IF(GLAPS자동계산!J49="","",GLAPS자동계산!J49)</f>
        <v/>
      </c>
      <c r="J50" s="3" t="str">
        <f>IF(GLAPS자동계산!K49="","",GLAPS자동계산!K49)</f>
        <v/>
      </c>
      <c r="K50" s="3" t="str">
        <f>IF(GLAPS자동계산!L49="","",GLAPS자동계산!L49)</f>
        <v/>
      </c>
      <c r="L50" s="3" t="str">
        <f>IF(GLAPS자동계산!M49="","",GLAPS자동계산!M49)</f>
        <v/>
      </c>
      <c r="M50" s="3" t="str">
        <f>IF(GLAPS자동계산!N49="","",GLAPS자동계산!N49)</f>
        <v/>
      </c>
      <c r="N50" s="3" t="str">
        <f>IF(GLAPS자동계산!O49="","",GLAPS자동계산!O49)</f>
        <v/>
      </c>
      <c r="O50" s="3" t="str">
        <f>IF(GLAPS자동계산!P49="","",GLAPS자동계산!P49)</f>
        <v/>
      </c>
      <c r="P50" s="2" t="str">
        <f>IF(GLAPS자동계산!Q49="","",GLAPS자동계산!Q49)</f>
        <v/>
      </c>
      <c r="Q50" s="3" t="str">
        <f>IF(GLAPS자동계산!R49="","",GLAPS자동계산!R49)</f>
        <v/>
      </c>
      <c r="R50" s="3" t="str">
        <f>IF(GLAPS자동계산!S49="","",GLAPS자동계산!S49)</f>
        <v/>
      </c>
      <c r="S50" s="3" t="str">
        <f>IF(GLAPS자동계산!T49="","",GLAPS자동계산!T49)</f>
        <v/>
      </c>
      <c r="T50" s="3" t="str">
        <f>IF(GLAPS자동계산!U49="","",GLAPS자동계산!U49)</f>
        <v/>
      </c>
      <c r="U50" s="3" t="str">
        <f>IF(GLAPS자동계산!V49="","",GLAPS자동계산!V49)</f>
        <v/>
      </c>
      <c r="V50" s="3" t="str">
        <f>IF(GLAPS자동계산!W49="","",GLAPS자동계산!W49)</f>
        <v/>
      </c>
      <c r="W50" s="14" t="str">
        <f>IF(GLAPS자동계산!X49="","",GLAPS자동계산!X49)</f>
        <v/>
      </c>
      <c r="X50" s="13" t="str">
        <f>IF(GLAPS자동계산!Y49="","",GLAPS자동계산!Y49)</f>
        <v/>
      </c>
      <c r="Y50" s="13" t="str">
        <f>IF(GLAPS자동계산!Z49="","",GLAPS자동계산!Z49)</f>
        <v/>
      </c>
      <c r="Z50" s="91" t="str">
        <f>IF(GLAPS자동계산!AA49="","",GLAPS자동계산!AA49)</f>
        <v/>
      </c>
      <c r="AA50" s="14" t="str">
        <f>IF(GLAPS자동계산!AB49="","",GLAPS자동계산!AB49)</f>
        <v/>
      </c>
      <c r="AC50" s="2" t="str">
        <f>IF($B50="","",$AC$1)</f>
        <v/>
      </c>
      <c r="AD50" s="2" t="str">
        <f>IF($B50="","",IFERROR(INDEX(GLAPS정리!$D$2:$D$50,MATCH(I50,GLAPS정리!$A$2:$A$50,0)),IFERROR(INDEX(GLAPS정리!$D$2:$D$50,MATCH(I50,GLAPS정리!$B$2:$B$50,0)),"")))</f>
        <v/>
      </c>
      <c r="AF50" s="2" t="str">
        <f>IF($B50="","",$AF$1)</f>
        <v/>
      </c>
      <c r="AI50" s="2" t="str">
        <f>IF($B50="","",IF(F50="","",VLOOKUP(F50,GLAPS정리!$G$3:$J$114,2,0)))</f>
        <v/>
      </c>
      <c r="AJ50" s="2" t="str">
        <f>IF($B50="","",IF(Z50="울산정일","KRONS",IF(Z50="울산신항","KRUSN",IF(OR(Z50="선광종합물류(인천여객)",Z50="인천여객(인천여객)"),"KRINF",IF(OR(Z50="선광인천보세(인천신)",Z50="한진인천(인천신)",Z50="선광인천신항(인천신)",Z50="인천더로지스(인천신)"),"KRINN",IF(OR(Z50="인천진아(인천항)",Z50="인천E1(인천항)",Z50="인천SM경인터미널(인천항)",Z50="인천항(인천항)",Z50="인천우련(인천항)",Z50="인천항8부두(인천항)"),"KRINC",VLOOKUP(K50,GLAPS정리!$BB$2:$BC$33,2,0)))))))</f>
        <v/>
      </c>
      <c r="AL50" s="2" t="str">
        <f>IF($B50="","",$AL$1)</f>
        <v/>
      </c>
      <c r="AN50" s="70" t="str">
        <f>IF($B50="","",TEXT(B50,"YYYY-MM-DD"))</f>
        <v/>
      </c>
      <c r="AO50" s="2" t="str">
        <f>IF($B50="","",IF(E50="오전", "0800", IF(E50="오후", "1300", IF(E50="잔업", "1800", ""))))</f>
        <v/>
      </c>
      <c r="AP50" s="2" t="str">
        <f>IF($B50="","",IF(C50="","",VLOOKUP(C50,GLAPS정리!$AX$2:$AZ$17,3,0)))</f>
        <v/>
      </c>
      <c r="AR50" s="2" t="str">
        <f>IF($B50="","",IF(X50="","",X50))</f>
        <v/>
      </c>
      <c r="AX50" s="2" t="str">
        <f>IF($B50="","",IF(L50="","",VLOOKUP(L50,GLAPS정리!$V$3:$W$180,2,0)))</f>
        <v/>
      </c>
      <c r="BM50" s="2" t="str">
        <f>IF($B50="","",IF(AND(Q50=1,OR(P50="",P50="위험물")), "2210", IF(AND(Q50=1,OR(P50="리퍼",P50="위험물리퍼")), "2230", IF(AND(S50=1,OR(P50="",P50="위험물")), "4510", IF(AND(S50=1,OR(P50="리퍼",P50="위험물리퍼")), "4530", IF(AND(R50=1,OR(P50="",P50="위험물")), "4210", IF(AND(R50=1,P50="리퍼"), "4230", " ")))))))</f>
        <v/>
      </c>
      <c r="BN50" s="2" t="str">
        <f>IF($B50="","",$BN$1)</f>
        <v/>
      </c>
      <c r="BR50" s="2" t="str">
        <f>IF($B50="","",IF(OR(P50="리퍼",P50="위험물리퍼"),"Y",""))</f>
        <v/>
      </c>
      <c r="BS50" s="2" t="str">
        <f>IF($B50="","",IF(OR(P50="위험물",P50="위험물리퍼"),"Y",""))</f>
        <v/>
      </c>
      <c r="BV50" s="2" t="str">
        <f>IF($B50="","",IF(O50="","",VLOOKUP(O50,GLAPS정리!$BH$2:$BI$94,2,0)))</f>
        <v/>
      </c>
      <c r="BW50" s="2" t="str">
        <f>IF($B50="","",IF(OR(Z50="동원",Z50="세방",Z50="한타"),"",IFERROR(INDEX(GLAPS정리!$BI$2:$BI$101,MATCH(Z50,GLAPS정리!$BH$2:$BH$101,0)),"")))</f>
        <v/>
      </c>
      <c r="BX50" s="2" t="str">
        <f>IF($B50="","",IF(Z50="","",IFERROR(VLOOKUP(Z50,GLAPS정리!$AX$2:$AZ$17,3,0),"")))</f>
        <v/>
      </c>
      <c r="BZ50" s="2" t="str">
        <f>IF($B50="","",IF(H50="","",VLOOKUP(H50,GLAPS정리!$L$3:$O$133,2,0)))</f>
        <v/>
      </c>
      <c r="CA50" s="2" t="str">
        <f>IF($B50="","",IF(V50="공휴일", 10, IF(V50="야간", 20, IF(V50="위험물", 30, IF(V50="중량", 40, "")))))</f>
        <v/>
      </c>
      <c r="CL50" s="2" t="str">
        <f>IF($B50="","",IF(AI50="","",VLOOKUP(AI50,GLAPS정리!$BT$3:$BV$26,3,0)))</f>
        <v/>
      </c>
    </row>
    <row r="51" spans="2:90" ht="20.45" customHeight="1">
      <c r="B51" s="13" t="str">
        <f>IF(GLAPS자동계산!C50="","",GLAPS자동계산!C50)</f>
        <v/>
      </c>
      <c r="C51" s="3" t="str">
        <f>IF(GLAPS자동계산!D50="","",GLAPS자동계산!D50)</f>
        <v/>
      </c>
      <c r="D51" s="16" t="str">
        <f>IF(GLAPS자동계산!E50="","",GLAPS자동계산!E50)</f>
        <v/>
      </c>
      <c r="E51" s="11" t="str">
        <f>IF(GLAPS자동계산!F50="","",GLAPS자동계산!F50)</f>
        <v/>
      </c>
      <c r="F51" s="3" t="str">
        <f>IF(GLAPS자동계산!G50="","",GLAPS자동계산!G50)</f>
        <v/>
      </c>
      <c r="G51" s="3" t="str">
        <f>IF(GLAPS자동계산!H50="","",GLAPS자동계산!H50)</f>
        <v/>
      </c>
      <c r="H51" s="3" t="str">
        <f>IF(GLAPS자동계산!I50="","",GLAPS자동계산!I50)</f>
        <v/>
      </c>
      <c r="I51" s="3" t="str">
        <f>IF(GLAPS자동계산!J50="","",GLAPS자동계산!J50)</f>
        <v/>
      </c>
      <c r="J51" s="3" t="str">
        <f>IF(GLAPS자동계산!K50="","",GLAPS자동계산!K50)</f>
        <v/>
      </c>
      <c r="K51" s="3" t="str">
        <f>IF(GLAPS자동계산!L50="","",GLAPS자동계산!L50)</f>
        <v/>
      </c>
      <c r="L51" s="3" t="str">
        <f>IF(GLAPS자동계산!M50="","",GLAPS자동계산!M50)</f>
        <v/>
      </c>
      <c r="M51" s="3" t="str">
        <f>IF(GLAPS자동계산!N50="","",GLAPS자동계산!N50)</f>
        <v/>
      </c>
      <c r="N51" s="3" t="str">
        <f>IF(GLAPS자동계산!O50="","",GLAPS자동계산!O50)</f>
        <v/>
      </c>
      <c r="O51" s="3" t="str">
        <f>IF(GLAPS자동계산!P50="","",GLAPS자동계산!P50)</f>
        <v/>
      </c>
      <c r="P51" s="2" t="str">
        <f>IF(GLAPS자동계산!Q50="","",GLAPS자동계산!Q50)</f>
        <v/>
      </c>
      <c r="Q51" s="3" t="str">
        <f>IF(GLAPS자동계산!R50="","",GLAPS자동계산!R50)</f>
        <v/>
      </c>
      <c r="R51" s="3" t="str">
        <f>IF(GLAPS자동계산!S50="","",GLAPS자동계산!S50)</f>
        <v/>
      </c>
      <c r="S51" s="3" t="str">
        <f>IF(GLAPS자동계산!T50="","",GLAPS자동계산!T50)</f>
        <v/>
      </c>
      <c r="T51" s="3" t="str">
        <f>IF(GLAPS자동계산!U50="","",GLAPS자동계산!U50)</f>
        <v/>
      </c>
      <c r="U51" s="3" t="str">
        <f>IF(GLAPS자동계산!V50="","",GLAPS자동계산!V50)</f>
        <v/>
      </c>
      <c r="V51" s="3" t="str">
        <f>IF(GLAPS자동계산!W50="","",GLAPS자동계산!W50)</f>
        <v/>
      </c>
      <c r="W51" s="14" t="str">
        <f>IF(GLAPS자동계산!X50="","",GLAPS자동계산!X50)</f>
        <v/>
      </c>
      <c r="X51" s="13" t="str">
        <f>IF(GLAPS자동계산!Y50="","",GLAPS자동계산!Y50)</f>
        <v/>
      </c>
      <c r="Y51" s="13" t="str">
        <f>IF(GLAPS자동계산!Z50="","",GLAPS자동계산!Z50)</f>
        <v/>
      </c>
      <c r="Z51" s="91" t="str">
        <f>IF(GLAPS자동계산!AA50="","",GLAPS자동계산!AA50)</f>
        <v/>
      </c>
      <c r="AA51" s="14" t="str">
        <f>IF(GLAPS자동계산!AB50="","",GLAPS자동계산!AB50)</f>
        <v/>
      </c>
      <c r="AC51" s="2" t="str">
        <f>IF($B51="","",$AC$1)</f>
        <v/>
      </c>
      <c r="AD51" s="2" t="str">
        <f>IF($B51="","",IFERROR(INDEX(GLAPS정리!$D$2:$D$50,MATCH(I51,GLAPS정리!$A$2:$A$50,0)),IFERROR(INDEX(GLAPS정리!$D$2:$D$50,MATCH(I51,GLAPS정리!$B$2:$B$50,0)),"")))</f>
        <v/>
      </c>
      <c r="AF51" s="2" t="str">
        <f>IF($B51="","",$AF$1)</f>
        <v/>
      </c>
      <c r="AI51" s="2" t="str">
        <f>IF($B51="","",IF(F51="","",VLOOKUP(F51,GLAPS정리!$G$3:$J$114,2,0)))</f>
        <v/>
      </c>
      <c r="AJ51" s="2" t="str">
        <f>IF($B51="","",IF(Z51="울산정일","KRONS",IF(Z51="울산신항","KRUSN",IF(OR(Z51="선광종합물류(인천여객)",Z51="인천여객(인천여객)"),"KRINF",IF(OR(Z51="선광인천보세(인천신)",Z51="한진인천(인천신)",Z51="선광인천신항(인천신)",Z51="인천더로지스(인천신)"),"KRINN",IF(OR(Z51="인천진아(인천항)",Z51="인천E1(인천항)",Z51="인천SM경인터미널(인천항)",Z51="인천항(인천항)",Z51="인천우련(인천항)",Z51="인천항8부두(인천항)"),"KRINC",VLOOKUP(K51,GLAPS정리!$BB$2:$BC$33,2,0)))))))</f>
        <v/>
      </c>
      <c r="AL51" s="2" t="str">
        <f>IF($B51="","",$AL$1)</f>
        <v/>
      </c>
      <c r="AN51" s="70" t="str">
        <f>IF($B51="","",TEXT(B51,"YYYY-MM-DD"))</f>
        <v/>
      </c>
      <c r="AO51" s="2" t="str">
        <f>IF($B51="","",IF(E51="오전", "0800", IF(E51="오후", "1300", IF(E51="잔업", "1800", ""))))</f>
        <v/>
      </c>
      <c r="AP51" s="2" t="str">
        <f>IF($B51="","",IF(C51="","",VLOOKUP(C51,GLAPS정리!$AX$2:$AZ$17,3,0)))</f>
        <v/>
      </c>
      <c r="AR51" s="2" t="str">
        <f>IF($B51="","",IF(X51="","",X51))</f>
        <v/>
      </c>
      <c r="AX51" s="2" t="str">
        <f>IF($B51="","",IF(L51="","",VLOOKUP(L51,GLAPS정리!$V$3:$W$180,2,0)))</f>
        <v/>
      </c>
      <c r="BM51" s="2" t="str">
        <f>IF($B51="","",IF(AND(Q51=1,OR(P51="",P51="위험물")), "2210", IF(AND(Q51=1,OR(P51="리퍼",P51="위험물리퍼")), "2230", IF(AND(S51=1,OR(P51="",P51="위험물")), "4510", IF(AND(S51=1,OR(P51="리퍼",P51="위험물리퍼")), "4530", IF(AND(R51=1,OR(P51="",P51="위험물")), "4210", IF(AND(R51=1,P51="리퍼"), "4230", " ")))))))</f>
        <v/>
      </c>
      <c r="BN51" s="2" t="str">
        <f>IF($B51="","",$BN$1)</f>
        <v/>
      </c>
      <c r="BR51" s="2" t="str">
        <f>IF($B51="","",IF(OR(P51="리퍼",P51="위험물리퍼"),"Y",""))</f>
        <v/>
      </c>
      <c r="BS51" s="2" t="str">
        <f>IF($B51="","",IF(OR(P51="위험물",P51="위험물리퍼"),"Y",""))</f>
        <v/>
      </c>
      <c r="BV51" s="2" t="str">
        <f>IF($B51="","",IF(O51="","",VLOOKUP(O51,GLAPS정리!$BH$2:$BI$94,2,0)))</f>
        <v/>
      </c>
      <c r="BW51" s="2" t="str">
        <f>IF($B51="","",IF(OR(Z51="동원",Z51="세방",Z51="한타"),"",IFERROR(INDEX(GLAPS정리!$BI$2:$BI$101,MATCH(Z51,GLAPS정리!$BH$2:$BH$101,0)),"")))</f>
        <v/>
      </c>
      <c r="BX51" s="2" t="str">
        <f>IF($B51="","",IF(Z51="","",IFERROR(VLOOKUP(Z51,GLAPS정리!$AX$2:$AZ$17,3,0),"")))</f>
        <v/>
      </c>
      <c r="BZ51" s="2" t="str">
        <f>IF($B51="","",IF(H51="","",VLOOKUP(H51,GLAPS정리!$L$3:$O$133,2,0)))</f>
        <v/>
      </c>
      <c r="CA51" s="2" t="str">
        <f>IF($B51="","",IF(V51="공휴일", 10, IF(V51="야간", 20, IF(V51="위험물", 30, IF(V51="중량", 40, "")))))</f>
        <v/>
      </c>
      <c r="CL51" s="2" t="str">
        <f>IF($B51="","",IF(AI51="","",VLOOKUP(AI51,GLAPS정리!$BT$3:$BV$26,3,0)))</f>
        <v/>
      </c>
    </row>
    <row r="52" spans="2:90" ht="20.45" customHeight="1">
      <c r="B52" s="13" t="str">
        <f>IF(GLAPS자동계산!C51="","",GLAPS자동계산!C51)</f>
        <v/>
      </c>
      <c r="C52" s="3" t="str">
        <f>IF(GLAPS자동계산!D51="","",GLAPS자동계산!D51)</f>
        <v/>
      </c>
      <c r="D52" s="16" t="str">
        <f>IF(GLAPS자동계산!E51="","",GLAPS자동계산!E51)</f>
        <v/>
      </c>
      <c r="E52" s="11" t="str">
        <f>IF(GLAPS자동계산!F51="","",GLAPS자동계산!F51)</f>
        <v/>
      </c>
      <c r="F52" s="3" t="str">
        <f>IF(GLAPS자동계산!G51="","",GLAPS자동계산!G51)</f>
        <v/>
      </c>
      <c r="G52" s="3" t="str">
        <f>IF(GLAPS자동계산!H51="","",GLAPS자동계산!H51)</f>
        <v/>
      </c>
      <c r="H52" s="3" t="str">
        <f>IF(GLAPS자동계산!I51="","",GLAPS자동계산!I51)</f>
        <v/>
      </c>
      <c r="I52" s="3" t="str">
        <f>IF(GLAPS자동계산!J51="","",GLAPS자동계산!J51)</f>
        <v/>
      </c>
      <c r="J52" s="3" t="str">
        <f>IF(GLAPS자동계산!K51="","",GLAPS자동계산!K51)</f>
        <v/>
      </c>
      <c r="K52" s="3" t="str">
        <f>IF(GLAPS자동계산!L51="","",GLAPS자동계산!L51)</f>
        <v/>
      </c>
      <c r="L52" s="3" t="str">
        <f>IF(GLAPS자동계산!M51="","",GLAPS자동계산!M51)</f>
        <v/>
      </c>
      <c r="M52" s="3" t="str">
        <f>IF(GLAPS자동계산!N51="","",GLAPS자동계산!N51)</f>
        <v/>
      </c>
      <c r="N52" s="3" t="str">
        <f>IF(GLAPS자동계산!O51="","",GLAPS자동계산!O51)</f>
        <v/>
      </c>
      <c r="O52" s="3" t="str">
        <f>IF(GLAPS자동계산!P51="","",GLAPS자동계산!P51)</f>
        <v/>
      </c>
      <c r="P52" s="2" t="str">
        <f>IF(GLAPS자동계산!Q51="","",GLAPS자동계산!Q51)</f>
        <v/>
      </c>
      <c r="Q52" s="3" t="str">
        <f>IF(GLAPS자동계산!R51="","",GLAPS자동계산!R51)</f>
        <v/>
      </c>
      <c r="R52" s="3" t="str">
        <f>IF(GLAPS자동계산!S51="","",GLAPS자동계산!S51)</f>
        <v/>
      </c>
      <c r="S52" s="3" t="str">
        <f>IF(GLAPS자동계산!T51="","",GLAPS자동계산!T51)</f>
        <v/>
      </c>
      <c r="T52" s="3" t="str">
        <f>IF(GLAPS자동계산!U51="","",GLAPS자동계산!U51)</f>
        <v/>
      </c>
      <c r="U52" s="3" t="str">
        <f>IF(GLAPS자동계산!V51="","",GLAPS자동계산!V51)</f>
        <v/>
      </c>
      <c r="V52" s="3" t="str">
        <f>IF(GLAPS자동계산!W51="","",GLAPS자동계산!W51)</f>
        <v/>
      </c>
      <c r="W52" s="14" t="str">
        <f>IF(GLAPS자동계산!X51="","",GLAPS자동계산!X51)</f>
        <v/>
      </c>
      <c r="X52" s="13" t="str">
        <f>IF(GLAPS자동계산!Y51="","",GLAPS자동계산!Y51)</f>
        <v/>
      </c>
      <c r="Y52" s="13" t="str">
        <f>IF(GLAPS자동계산!Z51="","",GLAPS자동계산!Z51)</f>
        <v/>
      </c>
      <c r="Z52" s="91" t="str">
        <f>IF(GLAPS자동계산!AA51="","",GLAPS자동계산!AA51)</f>
        <v/>
      </c>
      <c r="AA52" s="14" t="str">
        <f>IF(GLAPS자동계산!AB51="","",GLAPS자동계산!AB51)</f>
        <v/>
      </c>
      <c r="AC52" s="2" t="str">
        <f>IF($B52="","",$AC$1)</f>
        <v/>
      </c>
      <c r="AD52" s="2" t="str">
        <f>IF($B52="","",IFERROR(INDEX(GLAPS정리!$D$2:$D$50,MATCH(I52,GLAPS정리!$A$2:$A$50,0)),IFERROR(INDEX(GLAPS정리!$D$2:$D$50,MATCH(I52,GLAPS정리!$B$2:$B$50,0)),"")))</f>
        <v/>
      </c>
      <c r="AF52" s="2" t="str">
        <f>IF($B52="","",$AF$1)</f>
        <v/>
      </c>
      <c r="AI52" s="2" t="str">
        <f>IF($B52="","",IF(F52="","",VLOOKUP(F52,GLAPS정리!$G$3:$J$114,2,0)))</f>
        <v/>
      </c>
      <c r="AJ52" s="2" t="str">
        <f>IF($B52="","",IF(Z52="울산정일","KRONS",IF(Z52="울산신항","KRUSN",IF(OR(Z52="선광종합물류(인천여객)",Z52="인천여객(인천여객)"),"KRINF",IF(OR(Z52="선광인천보세(인천신)",Z52="한진인천(인천신)",Z52="선광인천신항(인천신)",Z52="인천더로지스(인천신)"),"KRINN",IF(OR(Z52="인천진아(인천항)",Z52="인천E1(인천항)",Z52="인천SM경인터미널(인천항)",Z52="인천항(인천항)",Z52="인천우련(인천항)",Z52="인천항8부두(인천항)"),"KRINC",VLOOKUP(K52,GLAPS정리!$BB$2:$BC$33,2,0)))))))</f>
        <v/>
      </c>
      <c r="AL52" s="2" t="str">
        <f>IF($B52="","",$AL$1)</f>
        <v/>
      </c>
      <c r="AN52" s="70" t="str">
        <f>IF($B52="","",TEXT(B52,"YYYY-MM-DD"))</f>
        <v/>
      </c>
      <c r="AO52" s="2" t="str">
        <f>IF($B52="","",IF(E52="오전", "0800", IF(E52="오후", "1300", IF(E52="잔업", "1800", ""))))</f>
        <v/>
      </c>
      <c r="AP52" s="2" t="str">
        <f>IF($B52="","",IF(C52="","",VLOOKUP(C52,GLAPS정리!$AX$2:$AZ$17,3,0)))</f>
        <v/>
      </c>
      <c r="AR52" s="2" t="str">
        <f>IF($B52="","",IF(X52="","",X52))</f>
        <v/>
      </c>
      <c r="AX52" s="2" t="str">
        <f>IF($B52="","",IF(L52="","",VLOOKUP(L52,GLAPS정리!$V$3:$W$180,2,0)))</f>
        <v/>
      </c>
      <c r="BM52" s="2" t="str">
        <f>IF($B52="","",IF(AND(Q52=1,OR(P52="",P52="위험물")), "2210", IF(AND(Q52=1,OR(P52="리퍼",P52="위험물리퍼")), "2230", IF(AND(S52=1,OR(P52="",P52="위험물")), "4510", IF(AND(S52=1,OR(P52="리퍼",P52="위험물리퍼")), "4530", IF(AND(R52=1,OR(P52="",P52="위험물")), "4210", IF(AND(R52=1,P52="리퍼"), "4230", " ")))))))</f>
        <v/>
      </c>
      <c r="BN52" s="2" t="str">
        <f>IF($B52="","",$BN$1)</f>
        <v/>
      </c>
      <c r="BR52" s="2" t="str">
        <f>IF($B52="","",IF(OR(P52="리퍼",P52="위험물리퍼"),"Y",""))</f>
        <v/>
      </c>
      <c r="BS52" s="2" t="str">
        <f>IF($B52="","",IF(OR(P52="위험물",P52="위험물리퍼"),"Y",""))</f>
        <v/>
      </c>
      <c r="BV52" s="2" t="str">
        <f>IF($B52="","",IF(O52="","",VLOOKUP(O52,GLAPS정리!$BH$2:$BI$94,2,0)))</f>
        <v/>
      </c>
      <c r="BW52" s="2" t="str">
        <f>IF($B52="","",IF(OR(Z52="동원",Z52="세방",Z52="한타"),"",IFERROR(INDEX(GLAPS정리!$BI$2:$BI$101,MATCH(Z52,GLAPS정리!$BH$2:$BH$101,0)),"")))</f>
        <v/>
      </c>
      <c r="BX52" s="2" t="str">
        <f>IF($B52="","",IF(Z52="","",IFERROR(VLOOKUP(Z52,GLAPS정리!$AX$2:$AZ$17,3,0),"")))</f>
        <v/>
      </c>
      <c r="BZ52" s="2" t="str">
        <f>IF($B52="","",IF(H52="","",VLOOKUP(H52,GLAPS정리!$L$3:$O$133,2,0)))</f>
        <v/>
      </c>
      <c r="CA52" s="2" t="str">
        <f>IF($B52="","",IF(V52="공휴일", 10, IF(V52="야간", 20, IF(V52="위험물", 30, IF(V52="중량", 40, "")))))</f>
        <v/>
      </c>
      <c r="CL52" s="2" t="str">
        <f>IF($B52="","",IF(AI52="","",VLOOKUP(AI52,GLAPS정리!$BT$3:$BV$26,3,0)))</f>
        <v/>
      </c>
    </row>
    <row r="53" spans="2:90" ht="20.45" customHeight="1">
      <c r="B53" s="13" t="str">
        <f>IF(GLAPS자동계산!C52="","",GLAPS자동계산!C52)</f>
        <v/>
      </c>
      <c r="C53" s="3" t="str">
        <f>IF(GLAPS자동계산!D52="","",GLAPS자동계산!D52)</f>
        <v/>
      </c>
      <c r="D53" s="16" t="str">
        <f>IF(GLAPS자동계산!E52="","",GLAPS자동계산!E52)</f>
        <v/>
      </c>
      <c r="E53" s="11" t="str">
        <f>IF(GLAPS자동계산!F52="","",GLAPS자동계산!F52)</f>
        <v/>
      </c>
      <c r="F53" s="3" t="str">
        <f>IF(GLAPS자동계산!G52="","",GLAPS자동계산!G52)</f>
        <v/>
      </c>
      <c r="G53" s="3" t="str">
        <f>IF(GLAPS자동계산!H52="","",GLAPS자동계산!H52)</f>
        <v/>
      </c>
      <c r="H53" s="3" t="str">
        <f>IF(GLAPS자동계산!I52="","",GLAPS자동계산!I52)</f>
        <v/>
      </c>
      <c r="I53" s="3" t="str">
        <f>IF(GLAPS자동계산!J52="","",GLAPS자동계산!J52)</f>
        <v/>
      </c>
      <c r="J53" s="3" t="str">
        <f>IF(GLAPS자동계산!K52="","",GLAPS자동계산!K52)</f>
        <v/>
      </c>
      <c r="K53" s="3" t="str">
        <f>IF(GLAPS자동계산!L52="","",GLAPS자동계산!L52)</f>
        <v/>
      </c>
      <c r="L53" s="3" t="str">
        <f>IF(GLAPS자동계산!M52="","",GLAPS자동계산!M52)</f>
        <v/>
      </c>
      <c r="M53" s="3" t="str">
        <f>IF(GLAPS자동계산!N52="","",GLAPS자동계산!N52)</f>
        <v/>
      </c>
      <c r="N53" s="3" t="str">
        <f>IF(GLAPS자동계산!O52="","",GLAPS자동계산!O52)</f>
        <v/>
      </c>
      <c r="O53" s="3" t="str">
        <f>IF(GLAPS자동계산!P52="","",GLAPS자동계산!P52)</f>
        <v/>
      </c>
      <c r="P53" s="2" t="str">
        <f>IF(GLAPS자동계산!Q52="","",GLAPS자동계산!Q52)</f>
        <v/>
      </c>
      <c r="Q53" s="3" t="str">
        <f>IF(GLAPS자동계산!R52="","",GLAPS자동계산!R52)</f>
        <v/>
      </c>
      <c r="R53" s="3" t="str">
        <f>IF(GLAPS자동계산!S52="","",GLAPS자동계산!S52)</f>
        <v/>
      </c>
      <c r="S53" s="3" t="str">
        <f>IF(GLAPS자동계산!T52="","",GLAPS자동계산!T52)</f>
        <v/>
      </c>
      <c r="T53" s="3" t="str">
        <f>IF(GLAPS자동계산!U52="","",GLAPS자동계산!U52)</f>
        <v/>
      </c>
      <c r="U53" s="3" t="str">
        <f>IF(GLAPS자동계산!V52="","",GLAPS자동계산!V52)</f>
        <v/>
      </c>
      <c r="V53" s="3" t="str">
        <f>IF(GLAPS자동계산!W52="","",GLAPS자동계산!W52)</f>
        <v/>
      </c>
      <c r="W53" s="14" t="str">
        <f>IF(GLAPS자동계산!X52="","",GLAPS자동계산!X52)</f>
        <v/>
      </c>
      <c r="X53" s="13" t="str">
        <f>IF(GLAPS자동계산!Y52="","",GLAPS자동계산!Y52)</f>
        <v/>
      </c>
      <c r="Y53" s="13" t="str">
        <f>IF(GLAPS자동계산!Z52="","",GLAPS자동계산!Z52)</f>
        <v/>
      </c>
      <c r="Z53" s="91" t="str">
        <f>IF(GLAPS자동계산!AA52="","",GLAPS자동계산!AA52)</f>
        <v/>
      </c>
      <c r="AA53" s="14" t="str">
        <f>IF(GLAPS자동계산!AB52="","",GLAPS자동계산!AB52)</f>
        <v/>
      </c>
      <c r="AC53" s="2" t="str">
        <f>IF($B53="","",$AC$1)</f>
        <v/>
      </c>
      <c r="AD53" s="2" t="str">
        <f>IF($B53="","",IFERROR(INDEX(GLAPS정리!$D$2:$D$50,MATCH(I53,GLAPS정리!$A$2:$A$50,0)),IFERROR(INDEX(GLAPS정리!$D$2:$D$50,MATCH(I53,GLAPS정리!$B$2:$B$50,0)),"")))</f>
        <v/>
      </c>
      <c r="AF53" s="2" t="str">
        <f>IF($B53="","",$AF$1)</f>
        <v/>
      </c>
      <c r="AI53" s="2" t="str">
        <f>IF($B53="","",IF(F53="","",VLOOKUP(F53,GLAPS정리!$G$3:$J$114,2,0)))</f>
        <v/>
      </c>
      <c r="AJ53" s="2" t="str">
        <f>IF($B53="","",IF(Z53="울산정일","KRONS",IF(Z53="울산신항","KRUSN",IF(OR(Z53="선광종합물류(인천여객)",Z53="인천여객(인천여객)"),"KRINF",IF(OR(Z53="선광인천보세(인천신)",Z53="한진인천(인천신)",Z53="선광인천신항(인천신)",Z53="인천더로지스(인천신)"),"KRINN",IF(OR(Z53="인천진아(인천항)",Z53="인천E1(인천항)",Z53="인천SM경인터미널(인천항)",Z53="인천항(인천항)",Z53="인천우련(인천항)",Z53="인천항8부두(인천항)"),"KRINC",VLOOKUP(K53,GLAPS정리!$BB$2:$BC$33,2,0)))))))</f>
        <v/>
      </c>
      <c r="AL53" s="2" t="str">
        <f>IF($B53="","",$AL$1)</f>
        <v/>
      </c>
      <c r="AN53" s="70" t="str">
        <f>IF($B53="","",TEXT(B53,"YYYY-MM-DD"))</f>
        <v/>
      </c>
      <c r="AO53" s="2" t="str">
        <f>IF($B53="","",IF(E53="오전", "0800", IF(E53="오후", "1300", IF(E53="잔업", "1800", ""))))</f>
        <v/>
      </c>
      <c r="AP53" s="2" t="str">
        <f>IF($B53="","",IF(C53="","",VLOOKUP(C53,GLAPS정리!$AX$2:$AZ$17,3,0)))</f>
        <v/>
      </c>
      <c r="AR53" s="2" t="str">
        <f>IF($B53="","",IF(X53="","",X53))</f>
        <v/>
      </c>
      <c r="AX53" s="2" t="str">
        <f>IF($B53="","",IF(L53="","",VLOOKUP(L53,GLAPS정리!$V$3:$W$180,2,0)))</f>
        <v/>
      </c>
      <c r="BM53" s="2" t="str">
        <f>IF($B53="","",IF(AND(Q53=1,OR(P53="",P53="위험물")), "2210", IF(AND(Q53=1,OR(P53="리퍼",P53="위험물리퍼")), "2230", IF(AND(S53=1,OR(P53="",P53="위험물")), "4510", IF(AND(S53=1,OR(P53="리퍼",P53="위험물리퍼")), "4530", IF(AND(R53=1,OR(P53="",P53="위험물")), "4210", IF(AND(R53=1,P53="리퍼"), "4230", " ")))))))</f>
        <v/>
      </c>
      <c r="BN53" s="2" t="str">
        <f>IF($B53="","",$BN$1)</f>
        <v/>
      </c>
      <c r="BR53" s="2" t="str">
        <f>IF($B53="","",IF(OR(P53="리퍼",P53="위험물리퍼"),"Y",""))</f>
        <v/>
      </c>
      <c r="BS53" s="2" t="str">
        <f>IF($B53="","",IF(OR(P53="위험물",P53="위험물리퍼"),"Y",""))</f>
        <v/>
      </c>
      <c r="BV53" s="2" t="str">
        <f>IF($B53="","",IF(O53="","",VLOOKUP(O53,GLAPS정리!$BH$2:$BI$94,2,0)))</f>
        <v/>
      </c>
      <c r="BW53" s="2" t="str">
        <f>IF($B53="","",IF(OR(Z53="동원",Z53="세방",Z53="한타"),"",IFERROR(INDEX(GLAPS정리!$BI$2:$BI$101,MATCH(Z53,GLAPS정리!$BH$2:$BH$101,0)),"")))</f>
        <v/>
      </c>
      <c r="BX53" s="2" t="str">
        <f>IF($B53="","",IF(Z53="","",IFERROR(VLOOKUP(Z53,GLAPS정리!$AX$2:$AZ$17,3,0),"")))</f>
        <v/>
      </c>
      <c r="BZ53" s="2" t="str">
        <f>IF($B53="","",IF(H53="","",VLOOKUP(H53,GLAPS정리!$L$3:$O$133,2,0)))</f>
        <v/>
      </c>
      <c r="CA53" s="2" t="str">
        <f>IF($B53="","",IF(V53="공휴일", 10, IF(V53="야간", 20, IF(V53="위험물", 30, IF(V53="중량", 40, "")))))</f>
        <v/>
      </c>
      <c r="CL53" s="2" t="str">
        <f>IF($B53="","",IF(AI53="","",VLOOKUP(AI53,GLAPS정리!$BT$3:$BV$26,3,0)))</f>
        <v/>
      </c>
    </row>
    <row r="54" spans="2:90" ht="20.45" customHeight="1">
      <c r="B54" s="13" t="str">
        <f>IF(GLAPS자동계산!C53="","",GLAPS자동계산!C53)</f>
        <v/>
      </c>
      <c r="C54" s="3" t="str">
        <f>IF(GLAPS자동계산!D53="","",GLAPS자동계산!D53)</f>
        <v/>
      </c>
      <c r="D54" s="16" t="str">
        <f>IF(GLAPS자동계산!E53="","",GLAPS자동계산!E53)</f>
        <v/>
      </c>
      <c r="E54" s="11" t="str">
        <f>IF(GLAPS자동계산!F53="","",GLAPS자동계산!F53)</f>
        <v/>
      </c>
      <c r="F54" s="3" t="str">
        <f>IF(GLAPS자동계산!G53="","",GLAPS자동계산!G53)</f>
        <v/>
      </c>
      <c r="G54" s="3" t="str">
        <f>IF(GLAPS자동계산!H53="","",GLAPS자동계산!H53)</f>
        <v/>
      </c>
      <c r="H54" s="3" t="str">
        <f>IF(GLAPS자동계산!I53="","",GLAPS자동계산!I53)</f>
        <v/>
      </c>
      <c r="I54" s="3" t="str">
        <f>IF(GLAPS자동계산!J53="","",GLAPS자동계산!J53)</f>
        <v/>
      </c>
      <c r="J54" s="3" t="str">
        <f>IF(GLAPS자동계산!K53="","",GLAPS자동계산!K53)</f>
        <v/>
      </c>
      <c r="K54" s="3" t="str">
        <f>IF(GLAPS자동계산!L53="","",GLAPS자동계산!L53)</f>
        <v/>
      </c>
      <c r="L54" s="3" t="str">
        <f>IF(GLAPS자동계산!M53="","",GLAPS자동계산!M53)</f>
        <v/>
      </c>
      <c r="M54" s="3" t="str">
        <f>IF(GLAPS자동계산!N53="","",GLAPS자동계산!N53)</f>
        <v/>
      </c>
      <c r="N54" s="3" t="str">
        <f>IF(GLAPS자동계산!O53="","",GLAPS자동계산!O53)</f>
        <v/>
      </c>
      <c r="O54" s="3" t="str">
        <f>IF(GLAPS자동계산!P53="","",GLAPS자동계산!P53)</f>
        <v/>
      </c>
      <c r="P54" s="2" t="str">
        <f>IF(GLAPS자동계산!Q53="","",GLAPS자동계산!Q53)</f>
        <v/>
      </c>
      <c r="Q54" s="3" t="str">
        <f>IF(GLAPS자동계산!R53="","",GLAPS자동계산!R53)</f>
        <v/>
      </c>
      <c r="R54" s="3" t="str">
        <f>IF(GLAPS자동계산!S53="","",GLAPS자동계산!S53)</f>
        <v/>
      </c>
      <c r="S54" s="3" t="str">
        <f>IF(GLAPS자동계산!T53="","",GLAPS자동계산!T53)</f>
        <v/>
      </c>
      <c r="T54" s="3" t="str">
        <f>IF(GLAPS자동계산!U53="","",GLAPS자동계산!U53)</f>
        <v/>
      </c>
      <c r="U54" s="3" t="str">
        <f>IF(GLAPS자동계산!V53="","",GLAPS자동계산!V53)</f>
        <v/>
      </c>
      <c r="V54" s="3" t="str">
        <f>IF(GLAPS자동계산!W53="","",GLAPS자동계산!W53)</f>
        <v/>
      </c>
      <c r="W54" s="14" t="str">
        <f>IF(GLAPS자동계산!X53="","",GLAPS자동계산!X53)</f>
        <v/>
      </c>
      <c r="X54" s="13" t="str">
        <f>IF(GLAPS자동계산!Y53="","",GLAPS자동계산!Y53)</f>
        <v/>
      </c>
      <c r="Y54" s="13" t="str">
        <f>IF(GLAPS자동계산!Z53="","",GLAPS자동계산!Z53)</f>
        <v/>
      </c>
      <c r="Z54" s="91" t="str">
        <f>IF(GLAPS자동계산!AA53="","",GLAPS자동계산!AA53)</f>
        <v/>
      </c>
      <c r="AA54" s="14" t="str">
        <f>IF(GLAPS자동계산!AB53="","",GLAPS자동계산!AB53)</f>
        <v/>
      </c>
      <c r="AC54" s="2" t="str">
        <f>IF($B54="","",$AC$1)</f>
        <v/>
      </c>
      <c r="AD54" s="2" t="str">
        <f>IF($B54="","",IFERROR(INDEX(GLAPS정리!$D$2:$D$50,MATCH(I54,GLAPS정리!$A$2:$A$50,0)),IFERROR(INDEX(GLAPS정리!$D$2:$D$50,MATCH(I54,GLAPS정리!$B$2:$B$50,0)),"")))</f>
        <v/>
      </c>
      <c r="AF54" s="2" t="str">
        <f>IF($B54="","",$AF$1)</f>
        <v/>
      </c>
      <c r="AI54" s="2" t="str">
        <f>IF($B54="","",IF(F54="","",VLOOKUP(F54,GLAPS정리!$G$3:$J$114,2,0)))</f>
        <v/>
      </c>
      <c r="AJ54" s="2" t="str">
        <f>IF($B54="","",IF(Z54="울산정일","KRONS",IF(Z54="울산신항","KRUSN",IF(OR(Z54="선광종합물류(인천여객)",Z54="인천여객(인천여객)"),"KRINF",IF(OR(Z54="선광인천보세(인천신)",Z54="한진인천(인천신)",Z54="선광인천신항(인천신)",Z54="인천더로지스(인천신)"),"KRINN",IF(OR(Z54="인천진아(인천항)",Z54="인천E1(인천항)",Z54="인천SM경인터미널(인천항)",Z54="인천항(인천항)",Z54="인천우련(인천항)",Z54="인천항8부두(인천항)"),"KRINC",VLOOKUP(K54,GLAPS정리!$BB$2:$BC$33,2,0)))))))</f>
        <v/>
      </c>
      <c r="AL54" s="2" t="str">
        <f>IF($B54="","",$AL$1)</f>
        <v/>
      </c>
      <c r="AN54" s="70" t="str">
        <f>IF($B54="","",TEXT(B54,"YYYY-MM-DD"))</f>
        <v/>
      </c>
      <c r="AO54" s="2" t="str">
        <f>IF($B54="","",IF(E54="오전", "0800", IF(E54="오후", "1300", IF(E54="잔업", "1800", ""))))</f>
        <v/>
      </c>
      <c r="AP54" s="2" t="str">
        <f>IF($B54="","",IF(C54="","",VLOOKUP(C54,GLAPS정리!$AX$2:$AZ$17,3,0)))</f>
        <v/>
      </c>
      <c r="AR54" s="2" t="str">
        <f>IF($B54="","",IF(X54="","",X54))</f>
        <v/>
      </c>
      <c r="AX54" s="2" t="str">
        <f>IF($B54="","",IF(L54="","",VLOOKUP(L54,GLAPS정리!$V$3:$W$180,2,0)))</f>
        <v/>
      </c>
      <c r="BM54" s="2" t="str">
        <f>IF($B54="","",IF(AND(Q54=1,OR(P54="",P54="위험물")), "2210", IF(AND(Q54=1,OR(P54="리퍼",P54="위험물리퍼")), "2230", IF(AND(S54=1,OR(P54="",P54="위험물")), "4510", IF(AND(S54=1,OR(P54="리퍼",P54="위험물리퍼")), "4530", IF(AND(R54=1,OR(P54="",P54="위험물")), "4210", IF(AND(R54=1,P54="리퍼"), "4230", " ")))))))</f>
        <v/>
      </c>
      <c r="BN54" s="2" t="str">
        <f>IF($B54="","",$BN$1)</f>
        <v/>
      </c>
      <c r="BR54" s="2" t="str">
        <f>IF($B54="","",IF(OR(P54="리퍼",P54="위험물리퍼"),"Y",""))</f>
        <v/>
      </c>
      <c r="BS54" s="2" t="str">
        <f>IF($B54="","",IF(OR(P54="위험물",P54="위험물리퍼"),"Y",""))</f>
        <v/>
      </c>
      <c r="BV54" s="2" t="str">
        <f>IF($B54="","",IF(O54="","",VLOOKUP(O54,GLAPS정리!$BH$2:$BI$94,2,0)))</f>
        <v/>
      </c>
      <c r="BW54" s="2" t="str">
        <f>IF($B54="","",IF(OR(Z54="동원",Z54="세방",Z54="한타"),"",IFERROR(INDEX(GLAPS정리!$BI$2:$BI$101,MATCH(Z54,GLAPS정리!$BH$2:$BH$101,0)),"")))</f>
        <v/>
      </c>
      <c r="BX54" s="2" t="str">
        <f>IF($B54="","",IF(Z54="","",IFERROR(VLOOKUP(Z54,GLAPS정리!$AX$2:$AZ$17,3,0),"")))</f>
        <v/>
      </c>
      <c r="BZ54" s="2" t="str">
        <f>IF($B54="","",IF(H54="","",VLOOKUP(H54,GLAPS정리!$L$3:$O$133,2,0)))</f>
        <v/>
      </c>
      <c r="CA54" s="2" t="str">
        <f>IF($B54="","",IF(V54="공휴일", 10, IF(V54="야간", 20, IF(V54="위험물", 30, IF(V54="중량", 40, "")))))</f>
        <v/>
      </c>
      <c r="CL54" s="2" t="str">
        <f>IF($B54="","",IF(AI54="","",VLOOKUP(AI54,GLAPS정리!$BT$3:$BV$26,3,0)))</f>
        <v/>
      </c>
    </row>
    <row r="55" spans="2:90" ht="20.45" customHeight="1">
      <c r="B55" s="13" t="str">
        <f>IF(GLAPS자동계산!C54="","",GLAPS자동계산!C54)</f>
        <v/>
      </c>
      <c r="C55" s="3" t="str">
        <f>IF(GLAPS자동계산!D54="","",GLAPS자동계산!D54)</f>
        <v/>
      </c>
      <c r="D55" s="16" t="str">
        <f>IF(GLAPS자동계산!E54="","",GLAPS자동계산!E54)</f>
        <v/>
      </c>
      <c r="E55" s="11" t="str">
        <f>IF(GLAPS자동계산!F54="","",GLAPS자동계산!F54)</f>
        <v/>
      </c>
      <c r="F55" s="3" t="str">
        <f>IF(GLAPS자동계산!G54="","",GLAPS자동계산!G54)</f>
        <v/>
      </c>
      <c r="G55" s="3" t="str">
        <f>IF(GLAPS자동계산!H54="","",GLAPS자동계산!H54)</f>
        <v/>
      </c>
      <c r="H55" s="3" t="str">
        <f>IF(GLAPS자동계산!I54="","",GLAPS자동계산!I54)</f>
        <v/>
      </c>
      <c r="I55" s="3" t="str">
        <f>IF(GLAPS자동계산!J54="","",GLAPS자동계산!J54)</f>
        <v/>
      </c>
      <c r="J55" s="3" t="str">
        <f>IF(GLAPS자동계산!K54="","",GLAPS자동계산!K54)</f>
        <v/>
      </c>
      <c r="K55" s="3" t="str">
        <f>IF(GLAPS자동계산!L54="","",GLAPS자동계산!L54)</f>
        <v/>
      </c>
      <c r="L55" s="3" t="str">
        <f>IF(GLAPS자동계산!M54="","",GLAPS자동계산!M54)</f>
        <v/>
      </c>
      <c r="M55" s="3" t="str">
        <f>IF(GLAPS자동계산!N54="","",GLAPS자동계산!N54)</f>
        <v/>
      </c>
      <c r="N55" s="3" t="str">
        <f>IF(GLAPS자동계산!O54="","",GLAPS자동계산!O54)</f>
        <v/>
      </c>
      <c r="O55" s="3" t="str">
        <f>IF(GLAPS자동계산!P54="","",GLAPS자동계산!P54)</f>
        <v/>
      </c>
      <c r="P55" s="2" t="str">
        <f>IF(GLAPS자동계산!Q54="","",GLAPS자동계산!Q54)</f>
        <v/>
      </c>
      <c r="Q55" s="3" t="str">
        <f>IF(GLAPS자동계산!R54="","",GLAPS자동계산!R54)</f>
        <v/>
      </c>
      <c r="R55" s="3" t="str">
        <f>IF(GLAPS자동계산!S54="","",GLAPS자동계산!S54)</f>
        <v/>
      </c>
      <c r="S55" s="3" t="str">
        <f>IF(GLAPS자동계산!T54="","",GLAPS자동계산!T54)</f>
        <v/>
      </c>
      <c r="T55" s="3" t="str">
        <f>IF(GLAPS자동계산!U54="","",GLAPS자동계산!U54)</f>
        <v/>
      </c>
      <c r="U55" s="3" t="str">
        <f>IF(GLAPS자동계산!V54="","",GLAPS자동계산!V54)</f>
        <v/>
      </c>
      <c r="V55" s="3" t="str">
        <f>IF(GLAPS자동계산!W54="","",GLAPS자동계산!W54)</f>
        <v/>
      </c>
      <c r="W55" s="14" t="str">
        <f>IF(GLAPS자동계산!X54="","",GLAPS자동계산!X54)</f>
        <v/>
      </c>
      <c r="X55" s="13" t="str">
        <f>IF(GLAPS자동계산!Y54="","",GLAPS자동계산!Y54)</f>
        <v/>
      </c>
      <c r="Y55" s="13" t="str">
        <f>IF(GLAPS자동계산!Z54="","",GLAPS자동계산!Z54)</f>
        <v/>
      </c>
      <c r="Z55" s="91" t="str">
        <f>IF(GLAPS자동계산!AA54="","",GLAPS자동계산!AA54)</f>
        <v/>
      </c>
      <c r="AA55" s="14" t="str">
        <f>IF(GLAPS자동계산!AB54="","",GLAPS자동계산!AB54)</f>
        <v/>
      </c>
      <c r="AC55" s="2" t="str">
        <f>IF($B55="","",$AC$1)</f>
        <v/>
      </c>
      <c r="AD55" s="2" t="str">
        <f>IF($B55="","",IFERROR(INDEX(GLAPS정리!$D$2:$D$50,MATCH(I55,GLAPS정리!$A$2:$A$50,0)),IFERROR(INDEX(GLAPS정리!$D$2:$D$50,MATCH(I55,GLAPS정리!$B$2:$B$50,0)),"")))</f>
        <v/>
      </c>
      <c r="AF55" s="2" t="str">
        <f>IF($B55="","",$AF$1)</f>
        <v/>
      </c>
      <c r="AI55" s="2" t="str">
        <f>IF($B55="","",IF(F55="","",VLOOKUP(F55,GLAPS정리!$G$3:$J$114,2,0)))</f>
        <v/>
      </c>
      <c r="AJ55" s="2" t="str">
        <f>IF($B55="","",IF(Z55="울산정일","KRONS",IF(Z55="울산신항","KRUSN",IF(OR(Z55="선광종합물류(인천여객)",Z55="인천여객(인천여객)"),"KRINF",IF(OR(Z55="선광인천보세(인천신)",Z55="한진인천(인천신)",Z55="선광인천신항(인천신)",Z55="인천더로지스(인천신)"),"KRINN",IF(OR(Z55="인천진아(인천항)",Z55="인천E1(인천항)",Z55="인천SM경인터미널(인천항)",Z55="인천항(인천항)",Z55="인천우련(인천항)",Z55="인천항8부두(인천항)"),"KRINC",VLOOKUP(K55,GLAPS정리!$BB$2:$BC$33,2,0)))))))</f>
        <v/>
      </c>
      <c r="AL55" s="2" t="str">
        <f>IF($B55="","",$AL$1)</f>
        <v/>
      </c>
      <c r="AN55" s="70" t="str">
        <f>IF($B55="","",TEXT(B55,"YYYY-MM-DD"))</f>
        <v/>
      </c>
      <c r="AO55" s="2" t="str">
        <f>IF($B55="","",IF(E55="오전", "0800", IF(E55="오후", "1300", IF(E55="잔업", "1800", ""))))</f>
        <v/>
      </c>
      <c r="AP55" s="2" t="str">
        <f>IF($B55="","",IF(C55="","",VLOOKUP(C55,GLAPS정리!$AX$2:$AZ$17,3,0)))</f>
        <v/>
      </c>
      <c r="AR55" s="2" t="str">
        <f>IF($B55="","",IF(X55="","",X55))</f>
        <v/>
      </c>
      <c r="AX55" s="2" t="str">
        <f>IF($B55="","",IF(L55="","",VLOOKUP(L55,GLAPS정리!$V$3:$W$180,2,0)))</f>
        <v/>
      </c>
      <c r="BM55" s="2" t="str">
        <f>IF($B55="","",IF(AND(Q55=1,OR(P55="",P55="위험물")), "2210", IF(AND(Q55=1,OR(P55="리퍼",P55="위험물리퍼")), "2230", IF(AND(S55=1,OR(P55="",P55="위험물")), "4510", IF(AND(S55=1,OR(P55="리퍼",P55="위험물리퍼")), "4530", IF(AND(R55=1,OR(P55="",P55="위험물")), "4210", IF(AND(R55=1,P55="리퍼"), "4230", " ")))))))</f>
        <v/>
      </c>
      <c r="BN55" s="2" t="str">
        <f>IF($B55="","",$BN$1)</f>
        <v/>
      </c>
      <c r="BR55" s="2" t="str">
        <f>IF($B55="","",IF(OR(P55="리퍼",P55="위험물리퍼"),"Y",""))</f>
        <v/>
      </c>
      <c r="BS55" s="2" t="str">
        <f>IF($B55="","",IF(OR(P55="위험물",P55="위험물리퍼"),"Y",""))</f>
        <v/>
      </c>
      <c r="BV55" s="2" t="str">
        <f>IF($B55="","",IF(O55="","",VLOOKUP(O55,GLAPS정리!$BH$2:$BI$94,2,0)))</f>
        <v/>
      </c>
      <c r="BW55" s="2" t="str">
        <f>IF($B55="","",IF(OR(Z55="동원",Z55="세방",Z55="한타"),"",IFERROR(INDEX(GLAPS정리!$BI$2:$BI$101,MATCH(Z55,GLAPS정리!$BH$2:$BH$101,0)),"")))</f>
        <v/>
      </c>
      <c r="BX55" s="2" t="str">
        <f>IF($B55="","",IF(Z55="","",IFERROR(VLOOKUP(Z55,GLAPS정리!$AX$2:$AZ$17,3,0),"")))</f>
        <v/>
      </c>
      <c r="BZ55" s="2" t="str">
        <f>IF($B55="","",IF(H55="","",VLOOKUP(H55,GLAPS정리!$L$3:$O$133,2,0)))</f>
        <v/>
      </c>
      <c r="CA55" s="2" t="str">
        <f>IF($B55="","",IF(V55="공휴일", 10, IF(V55="야간", 20, IF(V55="위험물", 30, IF(V55="중량", 40, "")))))</f>
        <v/>
      </c>
      <c r="CL55" s="2" t="str">
        <f>IF($B55="","",IF(AI55="","",VLOOKUP(AI55,GLAPS정리!$BT$3:$BV$26,3,0)))</f>
        <v/>
      </c>
    </row>
    <row r="56" spans="2:90" ht="20.45" customHeight="1">
      <c r="B56" s="13" t="str">
        <f>IF(GLAPS자동계산!C55="","",GLAPS자동계산!C55)</f>
        <v/>
      </c>
      <c r="C56" s="3" t="str">
        <f>IF(GLAPS자동계산!D55="","",GLAPS자동계산!D55)</f>
        <v/>
      </c>
      <c r="D56" s="16" t="str">
        <f>IF(GLAPS자동계산!E55="","",GLAPS자동계산!E55)</f>
        <v/>
      </c>
      <c r="E56" s="11" t="str">
        <f>IF(GLAPS자동계산!F55="","",GLAPS자동계산!F55)</f>
        <v/>
      </c>
      <c r="F56" s="3" t="str">
        <f>IF(GLAPS자동계산!G55="","",GLAPS자동계산!G55)</f>
        <v/>
      </c>
      <c r="G56" s="3" t="str">
        <f>IF(GLAPS자동계산!H55="","",GLAPS자동계산!H55)</f>
        <v/>
      </c>
      <c r="H56" s="3" t="str">
        <f>IF(GLAPS자동계산!I55="","",GLAPS자동계산!I55)</f>
        <v/>
      </c>
      <c r="I56" s="3" t="str">
        <f>IF(GLAPS자동계산!J55="","",GLAPS자동계산!J55)</f>
        <v/>
      </c>
      <c r="J56" s="3" t="str">
        <f>IF(GLAPS자동계산!K55="","",GLAPS자동계산!K55)</f>
        <v/>
      </c>
      <c r="K56" s="3" t="str">
        <f>IF(GLAPS자동계산!L55="","",GLAPS자동계산!L55)</f>
        <v/>
      </c>
      <c r="L56" s="3" t="str">
        <f>IF(GLAPS자동계산!M55="","",GLAPS자동계산!M55)</f>
        <v/>
      </c>
      <c r="M56" s="3" t="str">
        <f>IF(GLAPS자동계산!N55="","",GLAPS자동계산!N55)</f>
        <v/>
      </c>
      <c r="N56" s="3" t="str">
        <f>IF(GLAPS자동계산!O55="","",GLAPS자동계산!O55)</f>
        <v/>
      </c>
      <c r="O56" s="3" t="str">
        <f>IF(GLAPS자동계산!P55="","",GLAPS자동계산!P55)</f>
        <v/>
      </c>
      <c r="P56" s="2" t="str">
        <f>IF(GLAPS자동계산!Q55="","",GLAPS자동계산!Q55)</f>
        <v/>
      </c>
      <c r="Q56" s="3" t="str">
        <f>IF(GLAPS자동계산!R55="","",GLAPS자동계산!R55)</f>
        <v/>
      </c>
      <c r="R56" s="3" t="str">
        <f>IF(GLAPS자동계산!S55="","",GLAPS자동계산!S55)</f>
        <v/>
      </c>
      <c r="S56" s="3" t="str">
        <f>IF(GLAPS자동계산!T55="","",GLAPS자동계산!T55)</f>
        <v/>
      </c>
      <c r="T56" s="3" t="str">
        <f>IF(GLAPS자동계산!U55="","",GLAPS자동계산!U55)</f>
        <v/>
      </c>
      <c r="U56" s="3" t="str">
        <f>IF(GLAPS자동계산!V55="","",GLAPS자동계산!V55)</f>
        <v/>
      </c>
      <c r="V56" s="3" t="str">
        <f>IF(GLAPS자동계산!W55="","",GLAPS자동계산!W55)</f>
        <v/>
      </c>
      <c r="W56" s="14" t="str">
        <f>IF(GLAPS자동계산!X55="","",GLAPS자동계산!X55)</f>
        <v/>
      </c>
      <c r="X56" s="13" t="str">
        <f>IF(GLAPS자동계산!Y55="","",GLAPS자동계산!Y55)</f>
        <v/>
      </c>
      <c r="Y56" s="13" t="str">
        <f>IF(GLAPS자동계산!Z55="","",GLAPS자동계산!Z55)</f>
        <v/>
      </c>
      <c r="Z56" s="91" t="str">
        <f>IF(GLAPS자동계산!AA55="","",GLAPS자동계산!AA55)</f>
        <v/>
      </c>
      <c r="AA56" s="14" t="str">
        <f>IF(GLAPS자동계산!AB55="","",GLAPS자동계산!AB55)</f>
        <v/>
      </c>
      <c r="AC56" s="2" t="str">
        <f>IF($B56="","",$AC$1)</f>
        <v/>
      </c>
      <c r="AD56" s="2" t="str">
        <f>IF($B56="","",IFERROR(INDEX(GLAPS정리!$D$2:$D$50,MATCH(I56,GLAPS정리!$A$2:$A$50,0)),IFERROR(INDEX(GLAPS정리!$D$2:$D$50,MATCH(I56,GLAPS정리!$B$2:$B$50,0)),"")))</f>
        <v/>
      </c>
      <c r="AF56" s="2" t="str">
        <f>IF($B56="","",$AF$1)</f>
        <v/>
      </c>
      <c r="AI56" s="2" t="str">
        <f>IF($B56="","",IF(F56="","",VLOOKUP(F56,GLAPS정리!$G$3:$J$114,2,0)))</f>
        <v/>
      </c>
      <c r="AJ56" s="2" t="str">
        <f>IF($B56="","",IF(Z56="울산정일","KRONS",IF(Z56="울산신항","KRUSN",IF(OR(Z56="선광종합물류(인천여객)",Z56="인천여객(인천여객)"),"KRINF",IF(OR(Z56="선광인천보세(인천신)",Z56="한진인천(인천신)",Z56="선광인천신항(인천신)",Z56="인천더로지스(인천신)"),"KRINN",IF(OR(Z56="인천진아(인천항)",Z56="인천E1(인천항)",Z56="인천SM경인터미널(인천항)",Z56="인천항(인천항)",Z56="인천우련(인천항)",Z56="인천항8부두(인천항)"),"KRINC",VLOOKUP(K56,GLAPS정리!$BB$2:$BC$33,2,0)))))))</f>
        <v/>
      </c>
      <c r="AL56" s="2" t="str">
        <f>IF($B56="","",$AL$1)</f>
        <v/>
      </c>
      <c r="AN56" s="70" t="str">
        <f>IF($B56="","",TEXT(B56,"YYYY-MM-DD"))</f>
        <v/>
      </c>
      <c r="AO56" s="2" t="str">
        <f>IF($B56="","",IF(E56="오전", "0800", IF(E56="오후", "1300", IF(E56="잔업", "1800", ""))))</f>
        <v/>
      </c>
      <c r="AP56" s="2" t="str">
        <f>IF($B56="","",IF(C56="","",VLOOKUP(C56,GLAPS정리!$AX$2:$AZ$17,3,0)))</f>
        <v/>
      </c>
      <c r="AR56" s="2" t="str">
        <f>IF($B56="","",IF(X56="","",X56))</f>
        <v/>
      </c>
      <c r="AX56" s="2" t="str">
        <f>IF($B56="","",IF(L56="","",VLOOKUP(L56,GLAPS정리!$V$3:$W$180,2,0)))</f>
        <v/>
      </c>
      <c r="BM56" s="2" t="str">
        <f>IF($B56="","",IF(AND(Q56=1,OR(P56="",P56="위험물")), "2210", IF(AND(Q56=1,OR(P56="리퍼",P56="위험물리퍼")), "2230", IF(AND(S56=1,OR(P56="",P56="위험물")), "4510", IF(AND(S56=1,OR(P56="리퍼",P56="위험물리퍼")), "4530", IF(AND(R56=1,OR(P56="",P56="위험물")), "4210", IF(AND(R56=1,P56="리퍼"), "4230", " ")))))))</f>
        <v/>
      </c>
      <c r="BN56" s="2" t="str">
        <f>IF($B56="","",$BN$1)</f>
        <v/>
      </c>
      <c r="BR56" s="2" t="str">
        <f>IF($B56="","",IF(OR(P56="리퍼",P56="위험물리퍼"),"Y",""))</f>
        <v/>
      </c>
      <c r="BS56" s="2" t="str">
        <f>IF($B56="","",IF(OR(P56="위험물",P56="위험물리퍼"),"Y",""))</f>
        <v/>
      </c>
      <c r="BV56" s="2" t="str">
        <f>IF($B56="","",IF(O56="","",VLOOKUP(O56,GLAPS정리!$BH$2:$BI$94,2,0)))</f>
        <v/>
      </c>
      <c r="BW56" s="2" t="str">
        <f>IF($B56="","",IF(OR(Z56="동원",Z56="세방",Z56="한타"),"",IFERROR(INDEX(GLAPS정리!$BI$2:$BI$101,MATCH(Z56,GLAPS정리!$BH$2:$BH$101,0)),"")))</f>
        <v/>
      </c>
      <c r="BX56" s="2" t="str">
        <f>IF($B56="","",IF(Z56="","",IFERROR(VLOOKUP(Z56,GLAPS정리!$AX$2:$AZ$17,3,0),"")))</f>
        <v/>
      </c>
      <c r="BZ56" s="2" t="str">
        <f>IF($B56="","",IF(H56="","",VLOOKUP(H56,GLAPS정리!$L$3:$O$133,2,0)))</f>
        <v/>
      </c>
      <c r="CA56" s="2" t="str">
        <f>IF($B56="","",IF(V56="공휴일", 10, IF(V56="야간", 20, IF(V56="위험물", 30, IF(V56="중량", 40, "")))))</f>
        <v/>
      </c>
      <c r="CL56" s="2" t="str">
        <f>IF($B56="","",IF(AI56="","",VLOOKUP(AI56,GLAPS정리!$BT$3:$BV$26,3,0)))</f>
        <v/>
      </c>
    </row>
    <row r="57" spans="2:90" ht="20.45" customHeight="1">
      <c r="B57" s="13" t="str">
        <f>IF(GLAPS자동계산!C56="","",GLAPS자동계산!C56)</f>
        <v/>
      </c>
      <c r="C57" s="3" t="str">
        <f>IF(GLAPS자동계산!D56="","",GLAPS자동계산!D56)</f>
        <v/>
      </c>
      <c r="D57" s="16" t="str">
        <f>IF(GLAPS자동계산!E56="","",GLAPS자동계산!E56)</f>
        <v/>
      </c>
      <c r="E57" s="11" t="str">
        <f>IF(GLAPS자동계산!F56="","",GLAPS자동계산!F56)</f>
        <v/>
      </c>
      <c r="F57" s="3" t="str">
        <f>IF(GLAPS자동계산!G56="","",GLAPS자동계산!G56)</f>
        <v/>
      </c>
      <c r="G57" s="3" t="str">
        <f>IF(GLAPS자동계산!H56="","",GLAPS자동계산!H56)</f>
        <v/>
      </c>
      <c r="H57" s="3" t="str">
        <f>IF(GLAPS자동계산!I56="","",GLAPS자동계산!I56)</f>
        <v/>
      </c>
      <c r="I57" s="3" t="str">
        <f>IF(GLAPS자동계산!J56="","",GLAPS자동계산!J56)</f>
        <v/>
      </c>
      <c r="J57" s="3" t="str">
        <f>IF(GLAPS자동계산!K56="","",GLAPS자동계산!K56)</f>
        <v/>
      </c>
      <c r="K57" s="3" t="str">
        <f>IF(GLAPS자동계산!L56="","",GLAPS자동계산!L56)</f>
        <v/>
      </c>
      <c r="L57" s="3" t="str">
        <f>IF(GLAPS자동계산!M56="","",GLAPS자동계산!M56)</f>
        <v/>
      </c>
      <c r="M57" s="3" t="str">
        <f>IF(GLAPS자동계산!N56="","",GLAPS자동계산!N56)</f>
        <v/>
      </c>
      <c r="N57" s="3" t="str">
        <f>IF(GLAPS자동계산!O56="","",GLAPS자동계산!O56)</f>
        <v/>
      </c>
      <c r="O57" s="3" t="str">
        <f>IF(GLAPS자동계산!P56="","",GLAPS자동계산!P56)</f>
        <v/>
      </c>
      <c r="P57" s="2" t="str">
        <f>IF(GLAPS자동계산!Q56="","",GLAPS자동계산!Q56)</f>
        <v/>
      </c>
      <c r="Q57" s="3" t="str">
        <f>IF(GLAPS자동계산!R56="","",GLAPS자동계산!R56)</f>
        <v/>
      </c>
      <c r="R57" s="3" t="str">
        <f>IF(GLAPS자동계산!S56="","",GLAPS자동계산!S56)</f>
        <v/>
      </c>
      <c r="S57" s="3" t="str">
        <f>IF(GLAPS자동계산!T56="","",GLAPS자동계산!T56)</f>
        <v/>
      </c>
      <c r="T57" s="3" t="str">
        <f>IF(GLAPS자동계산!U56="","",GLAPS자동계산!U56)</f>
        <v/>
      </c>
      <c r="U57" s="3" t="str">
        <f>IF(GLAPS자동계산!V56="","",GLAPS자동계산!V56)</f>
        <v/>
      </c>
      <c r="V57" s="3" t="str">
        <f>IF(GLAPS자동계산!W56="","",GLAPS자동계산!W56)</f>
        <v/>
      </c>
      <c r="W57" s="14" t="str">
        <f>IF(GLAPS자동계산!X56="","",GLAPS자동계산!X56)</f>
        <v/>
      </c>
      <c r="X57" s="13" t="str">
        <f>IF(GLAPS자동계산!Y56="","",GLAPS자동계산!Y56)</f>
        <v/>
      </c>
      <c r="Y57" s="13" t="str">
        <f>IF(GLAPS자동계산!Z56="","",GLAPS자동계산!Z56)</f>
        <v/>
      </c>
      <c r="Z57" s="91" t="str">
        <f>IF(GLAPS자동계산!AA56="","",GLAPS자동계산!AA56)</f>
        <v/>
      </c>
      <c r="AA57" s="14" t="str">
        <f>IF(GLAPS자동계산!AB56="","",GLAPS자동계산!AB56)</f>
        <v/>
      </c>
      <c r="AC57" s="2" t="str">
        <f>IF($B57="","",$AC$1)</f>
        <v/>
      </c>
      <c r="AD57" s="2" t="str">
        <f>IF($B57="","",IFERROR(INDEX(GLAPS정리!$D$2:$D$50,MATCH(I57,GLAPS정리!$A$2:$A$50,0)),IFERROR(INDEX(GLAPS정리!$D$2:$D$50,MATCH(I57,GLAPS정리!$B$2:$B$50,0)),"")))</f>
        <v/>
      </c>
      <c r="AF57" s="2" t="str">
        <f>IF($B57="","",$AF$1)</f>
        <v/>
      </c>
      <c r="AI57" s="2" t="str">
        <f>IF($B57="","",IF(F57="","",VLOOKUP(F57,GLAPS정리!$G$3:$J$114,2,0)))</f>
        <v/>
      </c>
      <c r="AJ57" s="2" t="str">
        <f>IF($B57="","",IF(Z57="울산정일","KRONS",IF(Z57="울산신항","KRUSN",IF(OR(Z57="선광종합물류(인천여객)",Z57="인천여객(인천여객)"),"KRINF",IF(OR(Z57="선광인천보세(인천신)",Z57="한진인천(인천신)",Z57="선광인천신항(인천신)",Z57="인천더로지스(인천신)"),"KRINN",IF(OR(Z57="인천진아(인천항)",Z57="인천E1(인천항)",Z57="인천SM경인터미널(인천항)",Z57="인천항(인천항)",Z57="인천우련(인천항)",Z57="인천항8부두(인천항)"),"KRINC",VLOOKUP(K57,GLAPS정리!$BB$2:$BC$33,2,0)))))))</f>
        <v/>
      </c>
      <c r="AL57" s="2" t="str">
        <f>IF($B57="","",$AL$1)</f>
        <v/>
      </c>
      <c r="AN57" s="70" t="str">
        <f>IF($B57="","",TEXT(B57,"YYYY-MM-DD"))</f>
        <v/>
      </c>
      <c r="AO57" s="2" t="str">
        <f>IF($B57="","",IF(E57="오전", "0800", IF(E57="오후", "1300", IF(E57="잔업", "1800", ""))))</f>
        <v/>
      </c>
      <c r="AP57" s="2" t="str">
        <f>IF($B57="","",IF(C57="","",VLOOKUP(C57,GLAPS정리!$AX$2:$AZ$17,3,0)))</f>
        <v/>
      </c>
      <c r="AR57" s="2" t="str">
        <f>IF($B57="","",IF(X57="","",X57))</f>
        <v/>
      </c>
      <c r="AX57" s="2" t="str">
        <f>IF($B57="","",IF(L57="","",VLOOKUP(L57,GLAPS정리!$V$3:$W$180,2,0)))</f>
        <v/>
      </c>
      <c r="BM57" s="2" t="str">
        <f>IF($B57="","",IF(AND(Q57=1,OR(P57="",P57="위험물")), "2210", IF(AND(Q57=1,OR(P57="리퍼",P57="위험물리퍼")), "2230", IF(AND(S57=1,OR(P57="",P57="위험물")), "4510", IF(AND(S57=1,OR(P57="리퍼",P57="위험물리퍼")), "4530", IF(AND(R57=1,OR(P57="",P57="위험물")), "4210", IF(AND(R57=1,P57="리퍼"), "4230", " ")))))))</f>
        <v/>
      </c>
      <c r="BN57" s="2" t="str">
        <f>IF($B57="","",$BN$1)</f>
        <v/>
      </c>
      <c r="BR57" s="2" t="str">
        <f>IF($B57="","",IF(OR(P57="리퍼",P57="위험물리퍼"),"Y",""))</f>
        <v/>
      </c>
      <c r="BS57" s="2" t="str">
        <f>IF($B57="","",IF(OR(P57="위험물",P57="위험물리퍼"),"Y",""))</f>
        <v/>
      </c>
      <c r="BV57" s="2" t="str">
        <f>IF($B57="","",IF(O57="","",VLOOKUP(O57,GLAPS정리!$BH$2:$BI$94,2,0)))</f>
        <v/>
      </c>
      <c r="BW57" s="2" t="str">
        <f>IF($B57="","",IF(OR(Z57="동원",Z57="세방",Z57="한타"),"",IFERROR(INDEX(GLAPS정리!$BI$2:$BI$101,MATCH(Z57,GLAPS정리!$BH$2:$BH$101,0)),"")))</f>
        <v/>
      </c>
      <c r="BX57" s="2" t="str">
        <f>IF($B57="","",IF(Z57="","",IFERROR(VLOOKUP(Z57,GLAPS정리!$AX$2:$AZ$17,3,0),"")))</f>
        <v/>
      </c>
      <c r="BZ57" s="2" t="str">
        <f>IF($B57="","",IF(H57="","",VLOOKUP(H57,GLAPS정리!$L$3:$O$133,2,0)))</f>
        <v/>
      </c>
      <c r="CA57" s="2" t="str">
        <f>IF($B57="","",IF(V57="공휴일", 10, IF(V57="야간", 20, IF(V57="위험물", 30, IF(V57="중량", 40, "")))))</f>
        <v/>
      </c>
      <c r="CL57" s="2" t="str">
        <f>IF($B57="","",IF(AI57="","",VLOOKUP(AI57,GLAPS정리!$BT$3:$BV$26,3,0)))</f>
        <v/>
      </c>
    </row>
    <row r="58" spans="2:90" ht="20.45" customHeight="1">
      <c r="B58" s="13" t="str">
        <f>IF(GLAPS자동계산!C57="","",GLAPS자동계산!C57)</f>
        <v/>
      </c>
      <c r="C58" s="3" t="str">
        <f>IF(GLAPS자동계산!D57="","",GLAPS자동계산!D57)</f>
        <v/>
      </c>
      <c r="D58" s="16" t="str">
        <f>IF(GLAPS자동계산!E57="","",GLAPS자동계산!E57)</f>
        <v/>
      </c>
      <c r="E58" s="11" t="str">
        <f>IF(GLAPS자동계산!F57="","",GLAPS자동계산!F57)</f>
        <v/>
      </c>
      <c r="F58" s="3" t="str">
        <f>IF(GLAPS자동계산!G57="","",GLAPS자동계산!G57)</f>
        <v/>
      </c>
      <c r="G58" s="3" t="str">
        <f>IF(GLAPS자동계산!H57="","",GLAPS자동계산!H57)</f>
        <v/>
      </c>
      <c r="H58" s="3" t="str">
        <f>IF(GLAPS자동계산!I57="","",GLAPS자동계산!I57)</f>
        <v/>
      </c>
      <c r="I58" s="3" t="str">
        <f>IF(GLAPS자동계산!J57="","",GLAPS자동계산!J57)</f>
        <v/>
      </c>
      <c r="J58" s="3" t="str">
        <f>IF(GLAPS자동계산!K57="","",GLAPS자동계산!K57)</f>
        <v/>
      </c>
      <c r="K58" s="3" t="str">
        <f>IF(GLAPS자동계산!L57="","",GLAPS자동계산!L57)</f>
        <v/>
      </c>
      <c r="L58" s="3" t="str">
        <f>IF(GLAPS자동계산!M57="","",GLAPS자동계산!M57)</f>
        <v/>
      </c>
      <c r="M58" s="3" t="str">
        <f>IF(GLAPS자동계산!N57="","",GLAPS자동계산!N57)</f>
        <v/>
      </c>
      <c r="N58" s="3" t="str">
        <f>IF(GLAPS자동계산!O57="","",GLAPS자동계산!O57)</f>
        <v/>
      </c>
      <c r="O58" s="3" t="str">
        <f>IF(GLAPS자동계산!P57="","",GLAPS자동계산!P57)</f>
        <v/>
      </c>
      <c r="P58" s="2" t="str">
        <f>IF(GLAPS자동계산!Q57="","",GLAPS자동계산!Q57)</f>
        <v/>
      </c>
      <c r="Q58" s="3" t="str">
        <f>IF(GLAPS자동계산!R57="","",GLAPS자동계산!R57)</f>
        <v/>
      </c>
      <c r="R58" s="3" t="str">
        <f>IF(GLAPS자동계산!S57="","",GLAPS자동계산!S57)</f>
        <v/>
      </c>
      <c r="S58" s="3" t="str">
        <f>IF(GLAPS자동계산!T57="","",GLAPS자동계산!T57)</f>
        <v/>
      </c>
      <c r="T58" s="3" t="str">
        <f>IF(GLAPS자동계산!U57="","",GLAPS자동계산!U57)</f>
        <v/>
      </c>
      <c r="U58" s="3" t="str">
        <f>IF(GLAPS자동계산!V57="","",GLAPS자동계산!V57)</f>
        <v/>
      </c>
      <c r="V58" s="3" t="str">
        <f>IF(GLAPS자동계산!W57="","",GLAPS자동계산!W57)</f>
        <v/>
      </c>
      <c r="W58" s="14" t="str">
        <f>IF(GLAPS자동계산!X57="","",GLAPS자동계산!X57)</f>
        <v/>
      </c>
      <c r="X58" s="13" t="str">
        <f>IF(GLAPS자동계산!Y57="","",GLAPS자동계산!Y57)</f>
        <v/>
      </c>
      <c r="Y58" s="13" t="str">
        <f>IF(GLAPS자동계산!Z57="","",GLAPS자동계산!Z57)</f>
        <v/>
      </c>
      <c r="Z58" s="91" t="str">
        <f>IF(GLAPS자동계산!AA57="","",GLAPS자동계산!AA57)</f>
        <v/>
      </c>
      <c r="AA58" s="14" t="str">
        <f>IF(GLAPS자동계산!AB57="","",GLAPS자동계산!AB57)</f>
        <v/>
      </c>
      <c r="AC58" s="2" t="str">
        <f>IF($B58="","",$AC$1)</f>
        <v/>
      </c>
      <c r="AD58" s="2" t="str">
        <f>IF($B58="","",IFERROR(INDEX(GLAPS정리!$D$2:$D$50,MATCH(I58,GLAPS정리!$A$2:$A$50,0)),IFERROR(INDEX(GLAPS정리!$D$2:$D$50,MATCH(I58,GLAPS정리!$B$2:$B$50,0)),"")))</f>
        <v/>
      </c>
      <c r="AF58" s="2" t="str">
        <f>IF($B58="","",$AF$1)</f>
        <v/>
      </c>
      <c r="AI58" s="2" t="str">
        <f>IF($B58="","",IF(F58="","",VLOOKUP(F58,GLAPS정리!$G$3:$J$114,2,0)))</f>
        <v/>
      </c>
      <c r="AJ58" s="2" t="str">
        <f>IF($B58="","",IF(Z58="울산정일","KRONS",IF(Z58="울산신항","KRUSN",IF(OR(Z58="선광종합물류(인천여객)",Z58="인천여객(인천여객)"),"KRINF",IF(OR(Z58="선광인천보세(인천신)",Z58="한진인천(인천신)",Z58="선광인천신항(인천신)",Z58="인천더로지스(인천신)"),"KRINN",IF(OR(Z58="인천진아(인천항)",Z58="인천E1(인천항)",Z58="인천SM경인터미널(인천항)",Z58="인천항(인천항)",Z58="인천우련(인천항)",Z58="인천항8부두(인천항)"),"KRINC",VLOOKUP(K58,GLAPS정리!$BB$2:$BC$33,2,0)))))))</f>
        <v/>
      </c>
      <c r="AL58" s="2" t="str">
        <f>IF($B58="","",$AL$1)</f>
        <v/>
      </c>
      <c r="AN58" s="70" t="str">
        <f>IF($B58="","",TEXT(B58,"YYYY-MM-DD"))</f>
        <v/>
      </c>
      <c r="AO58" s="2" t="str">
        <f>IF($B58="","",IF(E58="오전", "0800", IF(E58="오후", "1300", IF(E58="잔업", "1800", ""))))</f>
        <v/>
      </c>
      <c r="AP58" s="2" t="str">
        <f>IF($B58="","",IF(C58="","",VLOOKUP(C58,GLAPS정리!$AX$2:$AZ$17,3,0)))</f>
        <v/>
      </c>
      <c r="AR58" s="2" t="str">
        <f>IF($B58="","",IF(X58="","",X58))</f>
        <v/>
      </c>
      <c r="AX58" s="2" t="str">
        <f>IF($B58="","",IF(L58="","",VLOOKUP(L58,GLAPS정리!$V$3:$W$180,2,0)))</f>
        <v/>
      </c>
      <c r="BM58" s="2" t="str">
        <f>IF($B58="","",IF(AND(Q58=1,OR(P58="",P58="위험물")), "2210", IF(AND(Q58=1,OR(P58="리퍼",P58="위험물리퍼")), "2230", IF(AND(S58=1,OR(P58="",P58="위험물")), "4510", IF(AND(S58=1,OR(P58="리퍼",P58="위험물리퍼")), "4530", IF(AND(R58=1,OR(P58="",P58="위험물")), "4210", IF(AND(R58=1,P58="리퍼"), "4230", " ")))))))</f>
        <v/>
      </c>
      <c r="BN58" s="2" t="str">
        <f>IF($B58="","",$BN$1)</f>
        <v/>
      </c>
      <c r="BR58" s="2" t="str">
        <f>IF($B58="","",IF(OR(P58="리퍼",P58="위험물리퍼"),"Y",""))</f>
        <v/>
      </c>
      <c r="BS58" s="2" t="str">
        <f>IF($B58="","",IF(OR(P58="위험물",P58="위험물리퍼"),"Y",""))</f>
        <v/>
      </c>
      <c r="BV58" s="2" t="str">
        <f>IF($B58="","",IF(O58="","",VLOOKUP(O58,GLAPS정리!$BH$2:$BI$94,2,0)))</f>
        <v/>
      </c>
      <c r="BW58" s="2" t="str">
        <f>IF($B58="","",IF(OR(Z58="동원",Z58="세방",Z58="한타"),"",IFERROR(INDEX(GLAPS정리!$BI$2:$BI$101,MATCH(Z58,GLAPS정리!$BH$2:$BH$101,0)),"")))</f>
        <v/>
      </c>
      <c r="BX58" s="2" t="str">
        <f>IF($B58="","",IF(Z58="","",IFERROR(VLOOKUP(Z58,GLAPS정리!$AX$2:$AZ$17,3,0),"")))</f>
        <v/>
      </c>
      <c r="BZ58" s="2" t="str">
        <f>IF($B58="","",IF(H58="","",VLOOKUP(H58,GLAPS정리!$L$3:$O$133,2,0)))</f>
        <v/>
      </c>
      <c r="CA58" s="2" t="str">
        <f>IF($B58="","",IF(V58="공휴일", 10, IF(V58="야간", 20, IF(V58="위험물", 30, IF(V58="중량", 40, "")))))</f>
        <v/>
      </c>
      <c r="CL58" s="2" t="str">
        <f>IF($B58="","",IF(AI58="","",VLOOKUP(AI58,GLAPS정리!$BT$3:$BV$26,3,0)))</f>
        <v/>
      </c>
    </row>
    <row r="59" spans="2:90" ht="20.45" customHeight="1">
      <c r="B59" s="13" t="str">
        <f>IF(GLAPS자동계산!C58="","",GLAPS자동계산!C58)</f>
        <v/>
      </c>
      <c r="C59" s="3" t="str">
        <f>IF(GLAPS자동계산!D58="","",GLAPS자동계산!D58)</f>
        <v/>
      </c>
      <c r="D59" s="16" t="str">
        <f>IF(GLAPS자동계산!E58="","",GLAPS자동계산!E58)</f>
        <v/>
      </c>
      <c r="E59" s="11" t="str">
        <f>IF(GLAPS자동계산!F58="","",GLAPS자동계산!F58)</f>
        <v/>
      </c>
      <c r="F59" s="3" t="str">
        <f>IF(GLAPS자동계산!G58="","",GLAPS자동계산!G58)</f>
        <v/>
      </c>
      <c r="G59" s="3" t="str">
        <f>IF(GLAPS자동계산!H58="","",GLAPS자동계산!H58)</f>
        <v/>
      </c>
      <c r="H59" s="3" t="str">
        <f>IF(GLAPS자동계산!I58="","",GLAPS자동계산!I58)</f>
        <v/>
      </c>
      <c r="I59" s="3" t="str">
        <f>IF(GLAPS자동계산!J58="","",GLAPS자동계산!J58)</f>
        <v/>
      </c>
      <c r="J59" s="3" t="str">
        <f>IF(GLAPS자동계산!K58="","",GLAPS자동계산!K58)</f>
        <v/>
      </c>
      <c r="K59" s="3" t="str">
        <f>IF(GLAPS자동계산!L58="","",GLAPS자동계산!L58)</f>
        <v/>
      </c>
      <c r="L59" s="3" t="str">
        <f>IF(GLAPS자동계산!M58="","",GLAPS자동계산!M58)</f>
        <v/>
      </c>
      <c r="M59" s="3" t="str">
        <f>IF(GLAPS자동계산!N58="","",GLAPS자동계산!N58)</f>
        <v/>
      </c>
      <c r="N59" s="3" t="str">
        <f>IF(GLAPS자동계산!O58="","",GLAPS자동계산!O58)</f>
        <v/>
      </c>
      <c r="O59" s="3" t="str">
        <f>IF(GLAPS자동계산!P58="","",GLAPS자동계산!P58)</f>
        <v/>
      </c>
      <c r="P59" s="2" t="str">
        <f>IF(GLAPS자동계산!Q58="","",GLAPS자동계산!Q58)</f>
        <v/>
      </c>
      <c r="Q59" s="3" t="str">
        <f>IF(GLAPS자동계산!R58="","",GLAPS자동계산!R58)</f>
        <v/>
      </c>
      <c r="R59" s="3" t="str">
        <f>IF(GLAPS자동계산!S58="","",GLAPS자동계산!S58)</f>
        <v/>
      </c>
      <c r="S59" s="3" t="str">
        <f>IF(GLAPS자동계산!T58="","",GLAPS자동계산!T58)</f>
        <v/>
      </c>
      <c r="T59" s="3" t="str">
        <f>IF(GLAPS자동계산!U58="","",GLAPS자동계산!U58)</f>
        <v/>
      </c>
      <c r="U59" s="3" t="str">
        <f>IF(GLAPS자동계산!V58="","",GLAPS자동계산!V58)</f>
        <v/>
      </c>
      <c r="V59" s="3" t="str">
        <f>IF(GLAPS자동계산!W58="","",GLAPS자동계산!W58)</f>
        <v/>
      </c>
      <c r="W59" s="14" t="str">
        <f>IF(GLAPS자동계산!X58="","",GLAPS자동계산!X58)</f>
        <v/>
      </c>
      <c r="X59" s="13" t="str">
        <f>IF(GLAPS자동계산!Y58="","",GLAPS자동계산!Y58)</f>
        <v/>
      </c>
      <c r="Y59" s="13" t="str">
        <f>IF(GLAPS자동계산!Z58="","",GLAPS자동계산!Z58)</f>
        <v/>
      </c>
      <c r="Z59" s="91" t="str">
        <f>IF(GLAPS자동계산!AA58="","",GLAPS자동계산!AA58)</f>
        <v/>
      </c>
      <c r="AA59" s="14" t="str">
        <f>IF(GLAPS자동계산!AB58="","",GLAPS자동계산!AB58)</f>
        <v/>
      </c>
      <c r="AC59" s="2" t="str">
        <f>IF($B59="","",$AC$1)</f>
        <v/>
      </c>
      <c r="AD59" s="2" t="str">
        <f>IF($B59="","",IFERROR(INDEX(GLAPS정리!$D$2:$D$50,MATCH(I59,GLAPS정리!$A$2:$A$50,0)),IFERROR(INDEX(GLAPS정리!$D$2:$D$50,MATCH(I59,GLAPS정리!$B$2:$B$50,0)),"")))</f>
        <v/>
      </c>
      <c r="AF59" s="2" t="str">
        <f>IF($B59="","",$AF$1)</f>
        <v/>
      </c>
      <c r="AI59" s="2" t="str">
        <f>IF($B59="","",IF(F59="","",VLOOKUP(F59,GLAPS정리!$G$3:$J$114,2,0)))</f>
        <v/>
      </c>
      <c r="AJ59" s="2" t="str">
        <f>IF($B59="","",IF(Z59="울산정일","KRONS",IF(Z59="울산신항","KRUSN",IF(OR(Z59="선광종합물류(인천여객)",Z59="인천여객(인천여객)"),"KRINF",IF(OR(Z59="선광인천보세(인천신)",Z59="한진인천(인천신)",Z59="선광인천신항(인천신)",Z59="인천더로지스(인천신)"),"KRINN",IF(OR(Z59="인천진아(인천항)",Z59="인천E1(인천항)",Z59="인천SM경인터미널(인천항)",Z59="인천항(인천항)",Z59="인천우련(인천항)",Z59="인천항8부두(인천항)"),"KRINC",VLOOKUP(K59,GLAPS정리!$BB$2:$BC$33,2,0)))))))</f>
        <v/>
      </c>
      <c r="AL59" s="2" t="str">
        <f>IF($B59="","",$AL$1)</f>
        <v/>
      </c>
      <c r="AN59" s="70" t="str">
        <f>IF($B59="","",TEXT(B59,"YYYY-MM-DD"))</f>
        <v/>
      </c>
      <c r="AO59" s="2" t="str">
        <f>IF($B59="","",IF(E59="오전", "0800", IF(E59="오후", "1300", IF(E59="잔업", "1800", ""))))</f>
        <v/>
      </c>
      <c r="AP59" s="2" t="str">
        <f>IF($B59="","",IF(C59="","",VLOOKUP(C59,GLAPS정리!$AX$2:$AZ$17,3,0)))</f>
        <v/>
      </c>
      <c r="AR59" s="2" t="str">
        <f>IF($B59="","",IF(X59="","",X59))</f>
        <v/>
      </c>
      <c r="AX59" s="2" t="str">
        <f>IF($B59="","",IF(L59="","",VLOOKUP(L59,GLAPS정리!$V$3:$W$180,2,0)))</f>
        <v/>
      </c>
      <c r="BM59" s="2" t="str">
        <f>IF($B59="","",IF(AND(Q59=1,OR(P59="",P59="위험물")), "2210", IF(AND(Q59=1,OR(P59="리퍼",P59="위험물리퍼")), "2230", IF(AND(S59=1,OR(P59="",P59="위험물")), "4510", IF(AND(S59=1,OR(P59="리퍼",P59="위험물리퍼")), "4530", IF(AND(R59=1,OR(P59="",P59="위험물")), "4210", IF(AND(R59=1,P59="리퍼"), "4230", " ")))))))</f>
        <v/>
      </c>
      <c r="BN59" s="2" t="str">
        <f>IF($B59="","",$BN$1)</f>
        <v/>
      </c>
      <c r="BR59" s="2" t="str">
        <f>IF($B59="","",IF(OR(P59="리퍼",P59="위험물리퍼"),"Y",""))</f>
        <v/>
      </c>
      <c r="BS59" s="2" t="str">
        <f>IF($B59="","",IF(OR(P59="위험물",P59="위험물리퍼"),"Y",""))</f>
        <v/>
      </c>
      <c r="BV59" s="2" t="str">
        <f>IF($B59="","",IF(O59="","",VLOOKUP(O59,GLAPS정리!$BH$2:$BI$94,2,0)))</f>
        <v/>
      </c>
      <c r="BW59" s="2" t="str">
        <f>IF($B59="","",IF(OR(Z59="동원",Z59="세방",Z59="한타"),"",IFERROR(INDEX(GLAPS정리!$BI$2:$BI$101,MATCH(Z59,GLAPS정리!$BH$2:$BH$101,0)),"")))</f>
        <v/>
      </c>
      <c r="BX59" s="2" t="str">
        <f>IF($B59="","",IF(Z59="","",IFERROR(VLOOKUP(Z59,GLAPS정리!$AX$2:$AZ$17,3,0),"")))</f>
        <v/>
      </c>
      <c r="BZ59" s="2" t="str">
        <f>IF($B59="","",IF(H59="","",VLOOKUP(H59,GLAPS정리!$L$3:$O$133,2,0)))</f>
        <v/>
      </c>
      <c r="CA59" s="2" t="str">
        <f>IF($B59="","",IF(V59="공휴일", 10, IF(V59="야간", 20, IF(V59="위험물", 30, IF(V59="중량", 40, "")))))</f>
        <v/>
      </c>
      <c r="CL59" s="2" t="str">
        <f>IF($B59="","",IF(AI59="","",VLOOKUP(AI59,GLAPS정리!$BT$3:$BV$26,3,0)))</f>
        <v/>
      </c>
    </row>
    <row r="60" spans="2:90" ht="20.45" customHeight="1">
      <c r="B60" s="13" t="str">
        <f>IF(GLAPS자동계산!C59="","",GLAPS자동계산!C59)</f>
        <v/>
      </c>
      <c r="C60" s="3" t="str">
        <f>IF(GLAPS자동계산!D59="","",GLAPS자동계산!D59)</f>
        <v/>
      </c>
      <c r="D60" s="16" t="str">
        <f>IF(GLAPS자동계산!E59="","",GLAPS자동계산!E59)</f>
        <v/>
      </c>
      <c r="E60" s="11" t="str">
        <f>IF(GLAPS자동계산!F59="","",GLAPS자동계산!F59)</f>
        <v/>
      </c>
      <c r="F60" s="3" t="str">
        <f>IF(GLAPS자동계산!G59="","",GLAPS자동계산!G59)</f>
        <v/>
      </c>
      <c r="G60" s="3" t="str">
        <f>IF(GLAPS자동계산!H59="","",GLAPS자동계산!H59)</f>
        <v/>
      </c>
      <c r="H60" s="3" t="str">
        <f>IF(GLAPS자동계산!I59="","",GLAPS자동계산!I59)</f>
        <v/>
      </c>
      <c r="I60" s="3" t="str">
        <f>IF(GLAPS자동계산!J59="","",GLAPS자동계산!J59)</f>
        <v/>
      </c>
      <c r="J60" s="3" t="str">
        <f>IF(GLAPS자동계산!K59="","",GLAPS자동계산!K59)</f>
        <v/>
      </c>
      <c r="K60" s="3" t="str">
        <f>IF(GLAPS자동계산!L59="","",GLAPS자동계산!L59)</f>
        <v/>
      </c>
      <c r="L60" s="3" t="str">
        <f>IF(GLAPS자동계산!M59="","",GLAPS자동계산!M59)</f>
        <v/>
      </c>
      <c r="M60" s="3" t="str">
        <f>IF(GLAPS자동계산!N59="","",GLAPS자동계산!N59)</f>
        <v/>
      </c>
      <c r="N60" s="3" t="str">
        <f>IF(GLAPS자동계산!O59="","",GLAPS자동계산!O59)</f>
        <v/>
      </c>
      <c r="O60" s="3" t="str">
        <f>IF(GLAPS자동계산!P59="","",GLAPS자동계산!P59)</f>
        <v/>
      </c>
      <c r="P60" s="2" t="str">
        <f>IF(GLAPS자동계산!Q59="","",GLAPS자동계산!Q59)</f>
        <v/>
      </c>
      <c r="Q60" s="3" t="str">
        <f>IF(GLAPS자동계산!R59="","",GLAPS자동계산!R59)</f>
        <v/>
      </c>
      <c r="R60" s="3" t="str">
        <f>IF(GLAPS자동계산!S59="","",GLAPS자동계산!S59)</f>
        <v/>
      </c>
      <c r="S60" s="3" t="str">
        <f>IF(GLAPS자동계산!T59="","",GLAPS자동계산!T59)</f>
        <v/>
      </c>
      <c r="T60" s="3" t="str">
        <f>IF(GLAPS자동계산!U59="","",GLAPS자동계산!U59)</f>
        <v/>
      </c>
      <c r="U60" s="3" t="str">
        <f>IF(GLAPS자동계산!V59="","",GLAPS자동계산!V59)</f>
        <v/>
      </c>
      <c r="V60" s="3" t="str">
        <f>IF(GLAPS자동계산!W59="","",GLAPS자동계산!W59)</f>
        <v/>
      </c>
      <c r="W60" s="14" t="str">
        <f>IF(GLAPS자동계산!X59="","",GLAPS자동계산!X59)</f>
        <v/>
      </c>
      <c r="X60" s="13" t="str">
        <f>IF(GLAPS자동계산!Y59="","",GLAPS자동계산!Y59)</f>
        <v/>
      </c>
      <c r="Y60" s="13" t="str">
        <f>IF(GLAPS자동계산!Z59="","",GLAPS자동계산!Z59)</f>
        <v/>
      </c>
      <c r="Z60" s="91" t="str">
        <f>IF(GLAPS자동계산!AA59="","",GLAPS자동계산!AA59)</f>
        <v/>
      </c>
      <c r="AA60" s="14" t="str">
        <f>IF(GLAPS자동계산!AB59="","",GLAPS자동계산!AB59)</f>
        <v/>
      </c>
      <c r="AC60" s="2" t="str">
        <f>IF($B60="","",$AC$1)</f>
        <v/>
      </c>
      <c r="AD60" s="2" t="str">
        <f>IF($B60="","",IFERROR(INDEX(GLAPS정리!$D$2:$D$50,MATCH(I60,GLAPS정리!$A$2:$A$50,0)),IFERROR(INDEX(GLAPS정리!$D$2:$D$50,MATCH(I60,GLAPS정리!$B$2:$B$50,0)),"")))</f>
        <v/>
      </c>
      <c r="AF60" s="2" t="str">
        <f>IF($B60="","",$AF$1)</f>
        <v/>
      </c>
      <c r="AI60" s="2" t="str">
        <f>IF($B60="","",IF(F60="","",VLOOKUP(F60,GLAPS정리!$G$3:$J$114,2,0)))</f>
        <v/>
      </c>
      <c r="AJ60" s="2" t="str">
        <f>IF($B60="","",IF(Z60="울산정일","KRONS",IF(Z60="울산신항","KRUSN",IF(OR(Z60="선광종합물류(인천여객)",Z60="인천여객(인천여객)"),"KRINF",IF(OR(Z60="선광인천보세(인천신)",Z60="한진인천(인천신)",Z60="선광인천신항(인천신)",Z60="인천더로지스(인천신)"),"KRINN",IF(OR(Z60="인천진아(인천항)",Z60="인천E1(인천항)",Z60="인천SM경인터미널(인천항)",Z60="인천항(인천항)",Z60="인천우련(인천항)",Z60="인천항8부두(인천항)"),"KRINC",VLOOKUP(K60,GLAPS정리!$BB$2:$BC$33,2,0)))))))</f>
        <v/>
      </c>
      <c r="AL60" s="2" t="str">
        <f>IF($B60="","",$AL$1)</f>
        <v/>
      </c>
      <c r="AN60" s="70" t="str">
        <f>IF($B60="","",TEXT(B60,"YYYY-MM-DD"))</f>
        <v/>
      </c>
      <c r="AO60" s="2" t="str">
        <f>IF($B60="","",IF(E60="오전", "0800", IF(E60="오후", "1300", IF(E60="잔업", "1800", ""))))</f>
        <v/>
      </c>
      <c r="AP60" s="2" t="str">
        <f>IF($B60="","",IF(C60="","",VLOOKUP(C60,GLAPS정리!$AX$2:$AZ$17,3,0)))</f>
        <v/>
      </c>
      <c r="AR60" s="2" t="str">
        <f>IF($B60="","",IF(X60="","",X60))</f>
        <v/>
      </c>
      <c r="AX60" s="2" t="str">
        <f>IF($B60="","",IF(L60="","",VLOOKUP(L60,GLAPS정리!$V$3:$W$180,2,0)))</f>
        <v/>
      </c>
      <c r="BM60" s="2" t="str">
        <f>IF($B60="","",IF(AND(Q60=1,OR(P60="",P60="위험물")), "2210", IF(AND(Q60=1,OR(P60="리퍼",P60="위험물리퍼")), "2230", IF(AND(S60=1,OR(P60="",P60="위험물")), "4510", IF(AND(S60=1,OR(P60="리퍼",P60="위험물리퍼")), "4530", IF(AND(R60=1,OR(P60="",P60="위험물")), "4210", IF(AND(R60=1,P60="리퍼"), "4230", " ")))))))</f>
        <v/>
      </c>
      <c r="BN60" s="2" t="str">
        <f>IF($B60="","",$BN$1)</f>
        <v/>
      </c>
      <c r="BR60" s="2" t="str">
        <f>IF($B60="","",IF(OR(P60="리퍼",P60="위험물리퍼"),"Y",""))</f>
        <v/>
      </c>
      <c r="BS60" s="2" t="str">
        <f>IF($B60="","",IF(OR(P60="위험물",P60="위험물리퍼"),"Y",""))</f>
        <v/>
      </c>
      <c r="BV60" s="2" t="str">
        <f>IF($B60="","",IF(O60="","",VLOOKUP(O60,GLAPS정리!$BH$2:$BI$94,2,0)))</f>
        <v/>
      </c>
      <c r="BW60" s="2" t="str">
        <f>IF($B60="","",IF(OR(Z60="동원",Z60="세방",Z60="한타"),"",IFERROR(INDEX(GLAPS정리!$BI$2:$BI$101,MATCH(Z60,GLAPS정리!$BH$2:$BH$101,0)),"")))</f>
        <v/>
      </c>
      <c r="BX60" s="2" t="str">
        <f>IF($B60="","",IF(Z60="","",IFERROR(VLOOKUP(Z60,GLAPS정리!$AX$2:$AZ$17,3,0),"")))</f>
        <v/>
      </c>
      <c r="BZ60" s="2" t="str">
        <f>IF($B60="","",IF(H60="","",VLOOKUP(H60,GLAPS정리!$L$3:$O$133,2,0)))</f>
        <v/>
      </c>
      <c r="CA60" s="2" t="str">
        <f>IF($B60="","",IF(V60="공휴일", 10, IF(V60="야간", 20, IF(V60="위험물", 30, IF(V60="중량", 40, "")))))</f>
        <v/>
      </c>
      <c r="CL60" s="2" t="str">
        <f>IF($B60="","",IF(AI60="","",VLOOKUP(AI60,GLAPS정리!$BT$3:$BV$26,3,0)))</f>
        <v/>
      </c>
    </row>
    <row r="61" spans="2:90" ht="20.45" customHeight="1">
      <c r="B61" s="13" t="str">
        <f>IF(GLAPS자동계산!C60="","",GLAPS자동계산!C60)</f>
        <v/>
      </c>
      <c r="C61" s="3" t="str">
        <f>IF(GLAPS자동계산!D60="","",GLAPS자동계산!D60)</f>
        <v/>
      </c>
      <c r="D61" s="16" t="str">
        <f>IF(GLAPS자동계산!E60="","",GLAPS자동계산!E60)</f>
        <v/>
      </c>
      <c r="E61" s="11" t="str">
        <f>IF(GLAPS자동계산!F60="","",GLAPS자동계산!F60)</f>
        <v/>
      </c>
      <c r="F61" s="3" t="str">
        <f>IF(GLAPS자동계산!G60="","",GLAPS자동계산!G60)</f>
        <v/>
      </c>
      <c r="G61" s="3" t="str">
        <f>IF(GLAPS자동계산!H60="","",GLAPS자동계산!H60)</f>
        <v/>
      </c>
      <c r="H61" s="3" t="str">
        <f>IF(GLAPS자동계산!I60="","",GLAPS자동계산!I60)</f>
        <v/>
      </c>
      <c r="I61" s="3" t="str">
        <f>IF(GLAPS자동계산!J60="","",GLAPS자동계산!J60)</f>
        <v/>
      </c>
      <c r="J61" s="3" t="str">
        <f>IF(GLAPS자동계산!K60="","",GLAPS자동계산!K60)</f>
        <v/>
      </c>
      <c r="K61" s="3" t="str">
        <f>IF(GLAPS자동계산!L60="","",GLAPS자동계산!L60)</f>
        <v/>
      </c>
      <c r="L61" s="3" t="str">
        <f>IF(GLAPS자동계산!M60="","",GLAPS자동계산!M60)</f>
        <v/>
      </c>
      <c r="M61" s="3" t="str">
        <f>IF(GLAPS자동계산!N60="","",GLAPS자동계산!N60)</f>
        <v/>
      </c>
      <c r="N61" s="3" t="str">
        <f>IF(GLAPS자동계산!O60="","",GLAPS자동계산!O60)</f>
        <v/>
      </c>
      <c r="O61" s="3" t="str">
        <f>IF(GLAPS자동계산!P60="","",GLAPS자동계산!P60)</f>
        <v/>
      </c>
      <c r="P61" s="2" t="str">
        <f>IF(GLAPS자동계산!Q60="","",GLAPS자동계산!Q60)</f>
        <v/>
      </c>
      <c r="Q61" s="3" t="str">
        <f>IF(GLAPS자동계산!R60="","",GLAPS자동계산!R60)</f>
        <v/>
      </c>
      <c r="R61" s="3" t="str">
        <f>IF(GLAPS자동계산!S60="","",GLAPS자동계산!S60)</f>
        <v/>
      </c>
      <c r="S61" s="3" t="str">
        <f>IF(GLAPS자동계산!T60="","",GLAPS자동계산!T60)</f>
        <v/>
      </c>
      <c r="T61" s="3" t="str">
        <f>IF(GLAPS자동계산!U60="","",GLAPS자동계산!U60)</f>
        <v/>
      </c>
      <c r="U61" s="3" t="str">
        <f>IF(GLAPS자동계산!V60="","",GLAPS자동계산!V60)</f>
        <v/>
      </c>
      <c r="V61" s="3" t="str">
        <f>IF(GLAPS자동계산!W60="","",GLAPS자동계산!W60)</f>
        <v/>
      </c>
      <c r="W61" s="14" t="str">
        <f>IF(GLAPS자동계산!X60="","",GLAPS자동계산!X60)</f>
        <v/>
      </c>
      <c r="X61" s="13" t="str">
        <f>IF(GLAPS자동계산!Y60="","",GLAPS자동계산!Y60)</f>
        <v/>
      </c>
      <c r="Y61" s="13" t="str">
        <f>IF(GLAPS자동계산!Z60="","",GLAPS자동계산!Z60)</f>
        <v/>
      </c>
      <c r="Z61" s="91" t="str">
        <f>IF(GLAPS자동계산!AA60="","",GLAPS자동계산!AA60)</f>
        <v/>
      </c>
      <c r="AA61" s="14" t="str">
        <f>IF(GLAPS자동계산!AB60="","",GLAPS자동계산!AB60)</f>
        <v/>
      </c>
      <c r="AC61" s="2" t="str">
        <f>IF($B61="","",$AC$1)</f>
        <v/>
      </c>
      <c r="AD61" s="2" t="str">
        <f>IF($B61="","",IFERROR(INDEX(GLAPS정리!$D$2:$D$50,MATCH(I61,GLAPS정리!$A$2:$A$50,0)),IFERROR(INDEX(GLAPS정리!$D$2:$D$50,MATCH(I61,GLAPS정리!$B$2:$B$50,0)),"")))</f>
        <v/>
      </c>
      <c r="AF61" s="2" t="str">
        <f>IF($B61="","",$AF$1)</f>
        <v/>
      </c>
      <c r="AI61" s="2" t="str">
        <f>IF($B61="","",IF(F61="","",VLOOKUP(F61,GLAPS정리!$G$3:$J$114,2,0)))</f>
        <v/>
      </c>
      <c r="AJ61" s="2" t="str">
        <f>IF($B61="","",IF(Z61="울산정일","KRONS",IF(Z61="울산신항","KRUSN",IF(OR(Z61="선광종합물류(인천여객)",Z61="인천여객(인천여객)"),"KRINF",IF(OR(Z61="선광인천보세(인천신)",Z61="한진인천(인천신)",Z61="선광인천신항(인천신)",Z61="인천더로지스(인천신)"),"KRINN",IF(OR(Z61="인천진아(인천항)",Z61="인천E1(인천항)",Z61="인천SM경인터미널(인천항)",Z61="인천항(인천항)",Z61="인천우련(인천항)",Z61="인천항8부두(인천항)"),"KRINC",VLOOKUP(K61,GLAPS정리!$BB$2:$BC$33,2,0)))))))</f>
        <v/>
      </c>
      <c r="AL61" s="2" t="str">
        <f>IF($B61="","",$AL$1)</f>
        <v/>
      </c>
      <c r="AN61" s="70" t="str">
        <f>IF($B61="","",TEXT(B61,"YYYY-MM-DD"))</f>
        <v/>
      </c>
      <c r="AO61" s="2" t="str">
        <f>IF($B61="","",IF(E61="오전", "0800", IF(E61="오후", "1300", IF(E61="잔업", "1800", ""))))</f>
        <v/>
      </c>
      <c r="AP61" s="2" t="str">
        <f>IF($B61="","",IF(C61="","",VLOOKUP(C61,GLAPS정리!$AX$2:$AZ$17,3,0)))</f>
        <v/>
      </c>
      <c r="AR61" s="2" t="str">
        <f>IF($B61="","",IF(X61="","",X61))</f>
        <v/>
      </c>
      <c r="AX61" s="2" t="str">
        <f>IF($B61="","",IF(L61="","",VLOOKUP(L61,GLAPS정리!$V$3:$W$180,2,0)))</f>
        <v/>
      </c>
      <c r="BM61" s="2" t="str">
        <f>IF($B61="","",IF(AND(Q61=1,OR(P61="",P61="위험물")), "2210", IF(AND(Q61=1,OR(P61="리퍼",P61="위험물리퍼")), "2230", IF(AND(S61=1,OR(P61="",P61="위험물")), "4510", IF(AND(S61=1,OR(P61="리퍼",P61="위험물리퍼")), "4530", IF(AND(R61=1,OR(P61="",P61="위험물")), "4210", IF(AND(R61=1,P61="리퍼"), "4230", " ")))))))</f>
        <v/>
      </c>
      <c r="BN61" s="2" t="str">
        <f>IF($B61="","",$BN$1)</f>
        <v/>
      </c>
      <c r="BR61" s="2" t="str">
        <f>IF($B61="","",IF(OR(P61="리퍼",P61="위험물리퍼"),"Y",""))</f>
        <v/>
      </c>
      <c r="BS61" s="2" t="str">
        <f>IF($B61="","",IF(OR(P61="위험물",P61="위험물리퍼"),"Y",""))</f>
        <v/>
      </c>
      <c r="BV61" s="2" t="str">
        <f>IF($B61="","",IF(O61="","",VLOOKUP(O61,GLAPS정리!$BH$2:$BI$94,2,0)))</f>
        <v/>
      </c>
      <c r="BW61" s="2" t="str">
        <f>IF($B61="","",IF(OR(Z61="동원",Z61="세방",Z61="한타"),"",IFERROR(INDEX(GLAPS정리!$BI$2:$BI$101,MATCH(Z61,GLAPS정리!$BH$2:$BH$101,0)),"")))</f>
        <v/>
      </c>
      <c r="BX61" s="2" t="str">
        <f>IF($B61="","",IF(Z61="","",IFERROR(VLOOKUP(Z61,GLAPS정리!$AX$2:$AZ$17,3,0),"")))</f>
        <v/>
      </c>
      <c r="BZ61" s="2" t="str">
        <f>IF($B61="","",IF(H61="","",VLOOKUP(H61,GLAPS정리!$L$3:$O$133,2,0)))</f>
        <v/>
      </c>
      <c r="CA61" s="2" t="str">
        <f>IF($B61="","",IF(V61="공휴일", 10, IF(V61="야간", 20, IF(V61="위험물", 30, IF(V61="중량", 40, "")))))</f>
        <v/>
      </c>
      <c r="CL61" s="2" t="str">
        <f>IF($B61="","",IF(AI61="","",VLOOKUP(AI61,GLAPS정리!$BT$3:$BV$26,3,0)))</f>
        <v/>
      </c>
    </row>
    <row r="62" spans="2:90" ht="20.45" customHeight="1">
      <c r="B62" s="13" t="str">
        <f>IF(GLAPS자동계산!C61="","",GLAPS자동계산!C61)</f>
        <v/>
      </c>
      <c r="C62" s="3" t="str">
        <f>IF(GLAPS자동계산!D61="","",GLAPS자동계산!D61)</f>
        <v/>
      </c>
      <c r="D62" s="16" t="str">
        <f>IF(GLAPS자동계산!E61="","",GLAPS자동계산!E61)</f>
        <v/>
      </c>
      <c r="E62" s="11" t="str">
        <f>IF(GLAPS자동계산!F61="","",GLAPS자동계산!F61)</f>
        <v/>
      </c>
      <c r="F62" s="3" t="str">
        <f>IF(GLAPS자동계산!G61="","",GLAPS자동계산!G61)</f>
        <v/>
      </c>
      <c r="G62" s="3" t="str">
        <f>IF(GLAPS자동계산!H61="","",GLAPS자동계산!H61)</f>
        <v/>
      </c>
      <c r="H62" s="3" t="str">
        <f>IF(GLAPS자동계산!I61="","",GLAPS자동계산!I61)</f>
        <v/>
      </c>
      <c r="I62" s="3" t="str">
        <f>IF(GLAPS자동계산!J61="","",GLAPS자동계산!J61)</f>
        <v/>
      </c>
      <c r="J62" s="3" t="str">
        <f>IF(GLAPS자동계산!K61="","",GLAPS자동계산!K61)</f>
        <v/>
      </c>
      <c r="K62" s="3" t="str">
        <f>IF(GLAPS자동계산!L61="","",GLAPS자동계산!L61)</f>
        <v/>
      </c>
      <c r="L62" s="3" t="str">
        <f>IF(GLAPS자동계산!M61="","",GLAPS자동계산!M61)</f>
        <v/>
      </c>
      <c r="M62" s="3" t="str">
        <f>IF(GLAPS자동계산!N61="","",GLAPS자동계산!N61)</f>
        <v/>
      </c>
      <c r="N62" s="3" t="str">
        <f>IF(GLAPS자동계산!O61="","",GLAPS자동계산!O61)</f>
        <v/>
      </c>
      <c r="O62" s="3" t="str">
        <f>IF(GLAPS자동계산!P61="","",GLAPS자동계산!P61)</f>
        <v/>
      </c>
      <c r="P62" s="2" t="str">
        <f>IF(GLAPS자동계산!Q61="","",GLAPS자동계산!Q61)</f>
        <v/>
      </c>
      <c r="Q62" s="3" t="str">
        <f>IF(GLAPS자동계산!R61="","",GLAPS자동계산!R61)</f>
        <v/>
      </c>
      <c r="R62" s="3" t="str">
        <f>IF(GLAPS자동계산!S61="","",GLAPS자동계산!S61)</f>
        <v/>
      </c>
      <c r="S62" s="3" t="str">
        <f>IF(GLAPS자동계산!T61="","",GLAPS자동계산!T61)</f>
        <v/>
      </c>
      <c r="T62" s="3" t="str">
        <f>IF(GLAPS자동계산!U61="","",GLAPS자동계산!U61)</f>
        <v/>
      </c>
      <c r="U62" s="3" t="str">
        <f>IF(GLAPS자동계산!V61="","",GLAPS자동계산!V61)</f>
        <v/>
      </c>
      <c r="V62" s="3" t="str">
        <f>IF(GLAPS자동계산!W61="","",GLAPS자동계산!W61)</f>
        <v/>
      </c>
      <c r="W62" s="14" t="str">
        <f>IF(GLAPS자동계산!X61="","",GLAPS자동계산!X61)</f>
        <v/>
      </c>
      <c r="X62" s="13" t="str">
        <f>IF(GLAPS자동계산!Y61="","",GLAPS자동계산!Y61)</f>
        <v/>
      </c>
      <c r="Y62" s="13" t="str">
        <f>IF(GLAPS자동계산!Z61="","",GLAPS자동계산!Z61)</f>
        <v/>
      </c>
      <c r="Z62" s="91" t="str">
        <f>IF(GLAPS자동계산!AA61="","",GLAPS자동계산!AA61)</f>
        <v/>
      </c>
      <c r="AA62" s="14" t="str">
        <f>IF(GLAPS자동계산!AB61="","",GLAPS자동계산!AB61)</f>
        <v/>
      </c>
      <c r="AC62" s="2" t="str">
        <f>IF($B62="","",$AC$1)</f>
        <v/>
      </c>
      <c r="AD62" s="2" t="str">
        <f>IF($B62="","",IFERROR(INDEX(GLAPS정리!$D$2:$D$50,MATCH(I62,GLAPS정리!$A$2:$A$50,0)),IFERROR(INDEX(GLAPS정리!$D$2:$D$50,MATCH(I62,GLAPS정리!$B$2:$B$50,0)),"")))</f>
        <v/>
      </c>
      <c r="AF62" s="2" t="str">
        <f>IF($B62="","",$AF$1)</f>
        <v/>
      </c>
      <c r="AI62" s="2" t="str">
        <f>IF($B62="","",IF(F62="","",VLOOKUP(F62,GLAPS정리!$G$3:$J$114,2,0)))</f>
        <v/>
      </c>
      <c r="AJ62" s="2" t="str">
        <f>IF($B62="","",IF(Z62="울산정일","KRONS",IF(Z62="울산신항","KRUSN",IF(OR(Z62="선광종합물류(인천여객)",Z62="인천여객(인천여객)"),"KRINF",IF(OR(Z62="선광인천보세(인천신)",Z62="한진인천(인천신)",Z62="선광인천신항(인천신)",Z62="인천더로지스(인천신)"),"KRINN",IF(OR(Z62="인천진아(인천항)",Z62="인천E1(인천항)",Z62="인천SM경인터미널(인천항)",Z62="인천항(인천항)",Z62="인천우련(인천항)",Z62="인천항8부두(인천항)"),"KRINC",VLOOKUP(K62,GLAPS정리!$BB$2:$BC$33,2,0)))))))</f>
        <v/>
      </c>
      <c r="AL62" s="2" t="str">
        <f>IF($B62="","",$AL$1)</f>
        <v/>
      </c>
      <c r="AN62" s="70" t="str">
        <f>IF($B62="","",TEXT(B62,"YYYY-MM-DD"))</f>
        <v/>
      </c>
      <c r="AO62" s="2" t="str">
        <f>IF($B62="","",IF(E62="오전", "0800", IF(E62="오후", "1300", IF(E62="잔업", "1800", ""))))</f>
        <v/>
      </c>
      <c r="AP62" s="2" t="str">
        <f>IF($B62="","",IF(C62="","",VLOOKUP(C62,GLAPS정리!$AX$2:$AZ$17,3,0)))</f>
        <v/>
      </c>
      <c r="AR62" s="2" t="str">
        <f>IF($B62="","",IF(X62="","",X62))</f>
        <v/>
      </c>
      <c r="AX62" s="2" t="str">
        <f>IF($B62="","",IF(L62="","",VLOOKUP(L62,GLAPS정리!$V$3:$W$180,2,0)))</f>
        <v/>
      </c>
      <c r="BM62" s="2" t="str">
        <f>IF($B62="","",IF(AND(Q62=1,OR(P62="",P62="위험물")), "2210", IF(AND(Q62=1,OR(P62="리퍼",P62="위험물리퍼")), "2230", IF(AND(S62=1,OR(P62="",P62="위험물")), "4510", IF(AND(S62=1,OR(P62="리퍼",P62="위험물리퍼")), "4530", IF(AND(R62=1,OR(P62="",P62="위험물")), "4210", IF(AND(R62=1,P62="리퍼"), "4230", " ")))))))</f>
        <v/>
      </c>
      <c r="BN62" s="2" t="str">
        <f>IF($B62="","",$BN$1)</f>
        <v/>
      </c>
      <c r="BR62" s="2" t="str">
        <f>IF($B62="","",IF(OR(P62="리퍼",P62="위험물리퍼"),"Y",""))</f>
        <v/>
      </c>
      <c r="BS62" s="2" t="str">
        <f>IF($B62="","",IF(OR(P62="위험물",P62="위험물리퍼"),"Y",""))</f>
        <v/>
      </c>
      <c r="BV62" s="2" t="str">
        <f>IF($B62="","",IF(O62="","",VLOOKUP(O62,GLAPS정리!$BH$2:$BI$94,2,0)))</f>
        <v/>
      </c>
      <c r="BW62" s="2" t="str">
        <f>IF($B62="","",IF(OR(Z62="동원",Z62="세방",Z62="한타"),"",IFERROR(INDEX(GLAPS정리!$BI$2:$BI$101,MATCH(Z62,GLAPS정리!$BH$2:$BH$101,0)),"")))</f>
        <v/>
      </c>
      <c r="BX62" s="2" t="str">
        <f>IF($B62="","",IF(Z62="","",IFERROR(VLOOKUP(Z62,GLAPS정리!$AX$2:$AZ$17,3,0),"")))</f>
        <v/>
      </c>
      <c r="BZ62" s="2" t="str">
        <f>IF($B62="","",IF(H62="","",VLOOKUP(H62,GLAPS정리!$L$3:$O$133,2,0)))</f>
        <v/>
      </c>
      <c r="CA62" s="2" t="str">
        <f>IF($B62="","",IF(V62="공휴일", 10, IF(V62="야간", 20, IF(V62="위험물", 30, IF(V62="중량", 40, "")))))</f>
        <v/>
      </c>
      <c r="CL62" s="2" t="str">
        <f>IF($B62="","",IF(AI62="","",VLOOKUP(AI62,GLAPS정리!$BT$3:$BV$26,3,0)))</f>
        <v/>
      </c>
    </row>
    <row r="63" spans="2:90" ht="20.45" customHeight="1">
      <c r="B63" s="13" t="str">
        <f>IF(GLAPS자동계산!C62="","",GLAPS자동계산!C62)</f>
        <v/>
      </c>
      <c r="C63" s="3" t="str">
        <f>IF(GLAPS자동계산!D62="","",GLAPS자동계산!D62)</f>
        <v/>
      </c>
      <c r="D63" s="16" t="str">
        <f>IF(GLAPS자동계산!E62="","",GLAPS자동계산!E62)</f>
        <v/>
      </c>
      <c r="E63" s="11" t="str">
        <f>IF(GLAPS자동계산!F62="","",GLAPS자동계산!F62)</f>
        <v/>
      </c>
      <c r="F63" s="3" t="str">
        <f>IF(GLAPS자동계산!G62="","",GLAPS자동계산!G62)</f>
        <v/>
      </c>
      <c r="G63" s="3" t="str">
        <f>IF(GLAPS자동계산!H62="","",GLAPS자동계산!H62)</f>
        <v/>
      </c>
      <c r="H63" s="3" t="str">
        <f>IF(GLAPS자동계산!I62="","",GLAPS자동계산!I62)</f>
        <v/>
      </c>
      <c r="I63" s="3" t="str">
        <f>IF(GLAPS자동계산!J62="","",GLAPS자동계산!J62)</f>
        <v/>
      </c>
      <c r="J63" s="3" t="str">
        <f>IF(GLAPS자동계산!K62="","",GLAPS자동계산!K62)</f>
        <v/>
      </c>
      <c r="K63" s="3" t="str">
        <f>IF(GLAPS자동계산!L62="","",GLAPS자동계산!L62)</f>
        <v/>
      </c>
      <c r="L63" s="3" t="str">
        <f>IF(GLAPS자동계산!M62="","",GLAPS자동계산!M62)</f>
        <v/>
      </c>
      <c r="M63" s="3" t="str">
        <f>IF(GLAPS자동계산!N62="","",GLAPS자동계산!N62)</f>
        <v/>
      </c>
      <c r="N63" s="3" t="str">
        <f>IF(GLAPS자동계산!O62="","",GLAPS자동계산!O62)</f>
        <v/>
      </c>
      <c r="O63" s="3" t="str">
        <f>IF(GLAPS자동계산!P62="","",GLAPS자동계산!P62)</f>
        <v/>
      </c>
      <c r="P63" s="2" t="str">
        <f>IF(GLAPS자동계산!Q62="","",GLAPS자동계산!Q62)</f>
        <v/>
      </c>
      <c r="Q63" s="3" t="str">
        <f>IF(GLAPS자동계산!R62="","",GLAPS자동계산!R62)</f>
        <v/>
      </c>
      <c r="R63" s="3" t="str">
        <f>IF(GLAPS자동계산!S62="","",GLAPS자동계산!S62)</f>
        <v/>
      </c>
      <c r="S63" s="3" t="str">
        <f>IF(GLAPS자동계산!T62="","",GLAPS자동계산!T62)</f>
        <v/>
      </c>
      <c r="T63" s="3" t="str">
        <f>IF(GLAPS자동계산!U62="","",GLAPS자동계산!U62)</f>
        <v/>
      </c>
      <c r="U63" s="3" t="str">
        <f>IF(GLAPS자동계산!V62="","",GLAPS자동계산!V62)</f>
        <v/>
      </c>
      <c r="V63" s="3" t="str">
        <f>IF(GLAPS자동계산!W62="","",GLAPS자동계산!W62)</f>
        <v/>
      </c>
      <c r="W63" s="14" t="str">
        <f>IF(GLAPS자동계산!X62="","",GLAPS자동계산!X62)</f>
        <v/>
      </c>
      <c r="X63" s="13" t="str">
        <f>IF(GLAPS자동계산!Y62="","",GLAPS자동계산!Y62)</f>
        <v/>
      </c>
      <c r="Y63" s="13" t="str">
        <f>IF(GLAPS자동계산!Z62="","",GLAPS자동계산!Z62)</f>
        <v/>
      </c>
      <c r="Z63" s="91" t="str">
        <f>IF(GLAPS자동계산!AA62="","",GLAPS자동계산!AA62)</f>
        <v/>
      </c>
      <c r="AA63" s="14" t="str">
        <f>IF(GLAPS자동계산!AB62="","",GLAPS자동계산!AB62)</f>
        <v/>
      </c>
      <c r="AC63" s="2" t="str">
        <f>IF($B63="","",$AC$1)</f>
        <v/>
      </c>
      <c r="AD63" s="2" t="str">
        <f>IF($B63="","",IFERROR(INDEX(GLAPS정리!$D$2:$D$50,MATCH(I63,GLAPS정리!$A$2:$A$50,0)),IFERROR(INDEX(GLAPS정리!$D$2:$D$50,MATCH(I63,GLAPS정리!$B$2:$B$50,0)),"")))</f>
        <v/>
      </c>
      <c r="AF63" s="2" t="str">
        <f>IF($B63="","",$AF$1)</f>
        <v/>
      </c>
      <c r="AI63" s="2" t="str">
        <f>IF($B63="","",IF(F63="","",VLOOKUP(F63,GLAPS정리!$G$3:$J$114,2,0)))</f>
        <v/>
      </c>
      <c r="AJ63" s="2" t="str">
        <f>IF($B63="","",IF(Z63="울산정일","KRONS",IF(Z63="울산신항","KRUSN",IF(OR(Z63="선광종합물류(인천여객)",Z63="인천여객(인천여객)"),"KRINF",IF(OR(Z63="선광인천보세(인천신)",Z63="한진인천(인천신)",Z63="선광인천신항(인천신)",Z63="인천더로지스(인천신)"),"KRINN",IF(OR(Z63="인천진아(인천항)",Z63="인천E1(인천항)",Z63="인천SM경인터미널(인천항)",Z63="인천항(인천항)",Z63="인천우련(인천항)",Z63="인천항8부두(인천항)"),"KRINC",VLOOKUP(K63,GLAPS정리!$BB$2:$BC$33,2,0)))))))</f>
        <v/>
      </c>
      <c r="AL63" s="2" t="str">
        <f>IF($B63="","",$AL$1)</f>
        <v/>
      </c>
      <c r="AN63" s="70" t="str">
        <f>IF($B63="","",TEXT(B63,"YYYY-MM-DD"))</f>
        <v/>
      </c>
      <c r="AO63" s="2" t="str">
        <f>IF($B63="","",IF(E63="오전", "0800", IF(E63="오후", "1300", IF(E63="잔업", "1800", ""))))</f>
        <v/>
      </c>
      <c r="AP63" s="2" t="str">
        <f>IF($B63="","",IF(C63="","",VLOOKUP(C63,GLAPS정리!$AX$2:$AZ$17,3,0)))</f>
        <v/>
      </c>
      <c r="AR63" s="2" t="str">
        <f>IF($B63="","",IF(X63="","",X63))</f>
        <v/>
      </c>
      <c r="AX63" s="2" t="str">
        <f>IF($B63="","",IF(L63="","",VLOOKUP(L63,GLAPS정리!$V$3:$W$180,2,0)))</f>
        <v/>
      </c>
      <c r="BM63" s="2" t="str">
        <f>IF($B63="","",IF(AND(Q63=1,OR(P63="",P63="위험물")), "2210", IF(AND(Q63=1,OR(P63="리퍼",P63="위험물리퍼")), "2230", IF(AND(S63=1,OR(P63="",P63="위험물")), "4510", IF(AND(S63=1,OR(P63="리퍼",P63="위험물리퍼")), "4530", IF(AND(R63=1,OR(P63="",P63="위험물")), "4210", IF(AND(R63=1,P63="리퍼"), "4230", " ")))))))</f>
        <v/>
      </c>
      <c r="BN63" s="2" t="str">
        <f>IF($B63="","",$BN$1)</f>
        <v/>
      </c>
      <c r="BR63" s="2" t="str">
        <f>IF($B63="","",IF(OR(P63="리퍼",P63="위험물리퍼"),"Y",""))</f>
        <v/>
      </c>
      <c r="BS63" s="2" t="str">
        <f>IF($B63="","",IF(OR(P63="위험물",P63="위험물리퍼"),"Y",""))</f>
        <v/>
      </c>
      <c r="BV63" s="2" t="str">
        <f>IF($B63="","",IF(O63="","",VLOOKUP(O63,GLAPS정리!$BH$2:$BI$94,2,0)))</f>
        <v/>
      </c>
      <c r="BW63" s="2" t="str">
        <f>IF($B63="","",IF(OR(Z63="동원",Z63="세방",Z63="한타"),"",IFERROR(INDEX(GLAPS정리!$BI$2:$BI$101,MATCH(Z63,GLAPS정리!$BH$2:$BH$101,0)),"")))</f>
        <v/>
      </c>
      <c r="BX63" s="2" t="str">
        <f>IF($B63="","",IF(Z63="","",IFERROR(VLOOKUP(Z63,GLAPS정리!$AX$2:$AZ$17,3,0),"")))</f>
        <v/>
      </c>
      <c r="BZ63" s="2" t="str">
        <f>IF($B63="","",IF(H63="","",VLOOKUP(H63,GLAPS정리!$L$3:$O$133,2,0)))</f>
        <v/>
      </c>
      <c r="CA63" s="2" t="str">
        <f>IF($B63="","",IF(V63="공휴일", 10, IF(V63="야간", 20, IF(V63="위험물", 30, IF(V63="중량", 40, "")))))</f>
        <v/>
      </c>
      <c r="CL63" s="2" t="str">
        <f>IF($B63="","",IF(AI63="","",VLOOKUP(AI63,GLAPS정리!$BT$3:$BV$26,3,0)))</f>
        <v/>
      </c>
    </row>
    <row r="64" spans="2:90" ht="20.45" customHeight="1">
      <c r="B64" s="13" t="str">
        <f>IF(GLAPS자동계산!C63="","",GLAPS자동계산!C63)</f>
        <v/>
      </c>
      <c r="C64" s="3" t="str">
        <f>IF(GLAPS자동계산!D63="","",GLAPS자동계산!D63)</f>
        <v/>
      </c>
      <c r="D64" s="16" t="str">
        <f>IF(GLAPS자동계산!E63="","",GLAPS자동계산!E63)</f>
        <v/>
      </c>
      <c r="E64" s="11" t="str">
        <f>IF(GLAPS자동계산!F63="","",GLAPS자동계산!F63)</f>
        <v/>
      </c>
      <c r="F64" s="3" t="str">
        <f>IF(GLAPS자동계산!G63="","",GLAPS자동계산!G63)</f>
        <v/>
      </c>
      <c r="G64" s="3" t="str">
        <f>IF(GLAPS자동계산!H63="","",GLAPS자동계산!H63)</f>
        <v/>
      </c>
      <c r="H64" s="3" t="str">
        <f>IF(GLAPS자동계산!I63="","",GLAPS자동계산!I63)</f>
        <v/>
      </c>
      <c r="I64" s="3" t="str">
        <f>IF(GLAPS자동계산!J63="","",GLAPS자동계산!J63)</f>
        <v/>
      </c>
      <c r="J64" s="3" t="str">
        <f>IF(GLAPS자동계산!K63="","",GLAPS자동계산!K63)</f>
        <v/>
      </c>
      <c r="K64" s="3" t="str">
        <f>IF(GLAPS자동계산!L63="","",GLAPS자동계산!L63)</f>
        <v/>
      </c>
      <c r="L64" s="3" t="str">
        <f>IF(GLAPS자동계산!M63="","",GLAPS자동계산!M63)</f>
        <v/>
      </c>
      <c r="M64" s="3" t="str">
        <f>IF(GLAPS자동계산!N63="","",GLAPS자동계산!N63)</f>
        <v/>
      </c>
      <c r="N64" s="3" t="str">
        <f>IF(GLAPS자동계산!O63="","",GLAPS자동계산!O63)</f>
        <v/>
      </c>
      <c r="O64" s="3" t="str">
        <f>IF(GLAPS자동계산!P63="","",GLAPS자동계산!P63)</f>
        <v/>
      </c>
      <c r="P64" s="2" t="str">
        <f>IF(GLAPS자동계산!Q63="","",GLAPS자동계산!Q63)</f>
        <v/>
      </c>
      <c r="Q64" s="3" t="str">
        <f>IF(GLAPS자동계산!R63="","",GLAPS자동계산!R63)</f>
        <v/>
      </c>
      <c r="R64" s="3" t="str">
        <f>IF(GLAPS자동계산!S63="","",GLAPS자동계산!S63)</f>
        <v/>
      </c>
      <c r="S64" s="3" t="str">
        <f>IF(GLAPS자동계산!T63="","",GLAPS자동계산!T63)</f>
        <v/>
      </c>
      <c r="T64" s="3" t="str">
        <f>IF(GLAPS자동계산!U63="","",GLAPS자동계산!U63)</f>
        <v/>
      </c>
      <c r="U64" s="3" t="str">
        <f>IF(GLAPS자동계산!V63="","",GLAPS자동계산!V63)</f>
        <v/>
      </c>
      <c r="V64" s="3" t="str">
        <f>IF(GLAPS자동계산!W63="","",GLAPS자동계산!W63)</f>
        <v/>
      </c>
      <c r="W64" s="14" t="str">
        <f>IF(GLAPS자동계산!X63="","",GLAPS자동계산!X63)</f>
        <v/>
      </c>
      <c r="X64" s="13" t="str">
        <f>IF(GLAPS자동계산!Y63="","",GLAPS자동계산!Y63)</f>
        <v/>
      </c>
      <c r="Y64" s="13" t="str">
        <f>IF(GLAPS자동계산!Z63="","",GLAPS자동계산!Z63)</f>
        <v/>
      </c>
      <c r="Z64" s="91" t="str">
        <f>IF(GLAPS자동계산!AA63="","",GLAPS자동계산!AA63)</f>
        <v/>
      </c>
      <c r="AA64" s="14" t="str">
        <f>IF(GLAPS자동계산!AB63="","",GLAPS자동계산!AB63)</f>
        <v/>
      </c>
      <c r="AC64" s="2" t="str">
        <f>IF($B64="","",$AC$1)</f>
        <v/>
      </c>
      <c r="AD64" s="2" t="str">
        <f>IF($B64="","",IFERROR(INDEX(GLAPS정리!$D$2:$D$50,MATCH(I64,GLAPS정리!$A$2:$A$50,0)),IFERROR(INDEX(GLAPS정리!$D$2:$D$50,MATCH(I64,GLAPS정리!$B$2:$B$50,0)),"")))</f>
        <v/>
      </c>
      <c r="AF64" s="2" t="str">
        <f>IF($B64="","",$AF$1)</f>
        <v/>
      </c>
      <c r="AI64" s="2" t="str">
        <f>IF($B64="","",IF(F64="","",VLOOKUP(F64,GLAPS정리!$G$3:$J$114,2,0)))</f>
        <v/>
      </c>
      <c r="AJ64" s="2" t="str">
        <f>IF($B64="","",IF(Z64="울산정일","KRONS",IF(Z64="울산신항","KRUSN",IF(OR(Z64="선광종합물류(인천여객)",Z64="인천여객(인천여객)"),"KRINF",IF(OR(Z64="선광인천보세(인천신)",Z64="한진인천(인천신)",Z64="선광인천신항(인천신)",Z64="인천더로지스(인천신)"),"KRINN",IF(OR(Z64="인천진아(인천항)",Z64="인천E1(인천항)",Z64="인천SM경인터미널(인천항)",Z64="인천항(인천항)",Z64="인천우련(인천항)",Z64="인천항8부두(인천항)"),"KRINC",VLOOKUP(K64,GLAPS정리!$BB$2:$BC$33,2,0)))))))</f>
        <v/>
      </c>
      <c r="AL64" s="2" t="str">
        <f>IF($B64="","",$AL$1)</f>
        <v/>
      </c>
      <c r="AN64" s="70" t="str">
        <f>IF($B64="","",TEXT(B64,"YYYY-MM-DD"))</f>
        <v/>
      </c>
      <c r="AO64" s="2" t="str">
        <f>IF($B64="","",IF(E64="오전", "0800", IF(E64="오후", "1300", IF(E64="잔업", "1800", ""))))</f>
        <v/>
      </c>
      <c r="AP64" s="2" t="str">
        <f>IF($B64="","",IF(C64="","",VLOOKUP(C64,GLAPS정리!$AX$2:$AZ$17,3,0)))</f>
        <v/>
      </c>
      <c r="AR64" s="2" t="str">
        <f>IF($B64="","",IF(X64="","",X64))</f>
        <v/>
      </c>
      <c r="AX64" s="2" t="str">
        <f>IF($B64="","",IF(L64="","",VLOOKUP(L64,GLAPS정리!$V$3:$W$180,2,0)))</f>
        <v/>
      </c>
      <c r="BM64" s="2" t="str">
        <f>IF($B64="","",IF(AND(Q64=1,OR(P64="",P64="위험물")), "2210", IF(AND(Q64=1,OR(P64="리퍼",P64="위험물리퍼")), "2230", IF(AND(S64=1,OR(P64="",P64="위험물")), "4510", IF(AND(S64=1,OR(P64="리퍼",P64="위험물리퍼")), "4530", IF(AND(R64=1,OR(P64="",P64="위험물")), "4210", IF(AND(R64=1,P64="리퍼"), "4230", " ")))))))</f>
        <v/>
      </c>
      <c r="BN64" s="2" t="str">
        <f>IF($B64="","",$BN$1)</f>
        <v/>
      </c>
      <c r="BR64" s="2" t="str">
        <f>IF($B64="","",IF(OR(P64="리퍼",P64="위험물리퍼"),"Y",""))</f>
        <v/>
      </c>
      <c r="BS64" s="2" t="str">
        <f>IF($B64="","",IF(OR(P64="위험물",P64="위험물리퍼"),"Y",""))</f>
        <v/>
      </c>
      <c r="BV64" s="2" t="str">
        <f>IF($B64="","",IF(O64="","",VLOOKUP(O64,GLAPS정리!$BH$2:$BI$94,2,0)))</f>
        <v/>
      </c>
      <c r="BW64" s="2" t="str">
        <f>IF($B64="","",IF(OR(Z64="동원",Z64="세방",Z64="한타"),"",IFERROR(INDEX(GLAPS정리!$BI$2:$BI$101,MATCH(Z64,GLAPS정리!$BH$2:$BH$101,0)),"")))</f>
        <v/>
      </c>
      <c r="BX64" s="2" t="str">
        <f>IF($B64="","",IF(Z64="","",IFERROR(VLOOKUP(Z64,GLAPS정리!$AX$2:$AZ$17,3,0),"")))</f>
        <v/>
      </c>
      <c r="BZ64" s="2" t="str">
        <f>IF($B64="","",IF(H64="","",VLOOKUP(H64,GLAPS정리!$L$3:$O$133,2,0)))</f>
        <v/>
      </c>
      <c r="CA64" s="2" t="str">
        <f>IF($B64="","",IF(V64="공휴일", 10, IF(V64="야간", 20, IF(V64="위험물", 30, IF(V64="중량", 40, "")))))</f>
        <v/>
      </c>
      <c r="CL64" s="2" t="str">
        <f>IF($B64="","",IF(AI64="","",VLOOKUP(AI64,GLAPS정리!$BT$3:$BV$26,3,0)))</f>
        <v/>
      </c>
    </row>
    <row r="65" spans="2:90" ht="20.45" customHeight="1">
      <c r="B65" s="13" t="str">
        <f>IF(GLAPS자동계산!C64="","",GLAPS자동계산!C64)</f>
        <v/>
      </c>
      <c r="C65" s="3" t="str">
        <f>IF(GLAPS자동계산!D64="","",GLAPS자동계산!D64)</f>
        <v/>
      </c>
      <c r="D65" s="16" t="str">
        <f>IF(GLAPS자동계산!E64="","",GLAPS자동계산!E64)</f>
        <v/>
      </c>
      <c r="E65" s="11" t="str">
        <f>IF(GLAPS자동계산!F64="","",GLAPS자동계산!F64)</f>
        <v/>
      </c>
      <c r="F65" s="3" t="str">
        <f>IF(GLAPS자동계산!G64="","",GLAPS자동계산!G64)</f>
        <v/>
      </c>
      <c r="G65" s="3" t="str">
        <f>IF(GLAPS자동계산!H64="","",GLAPS자동계산!H64)</f>
        <v/>
      </c>
      <c r="H65" s="3" t="str">
        <f>IF(GLAPS자동계산!I64="","",GLAPS자동계산!I64)</f>
        <v/>
      </c>
      <c r="I65" s="3" t="str">
        <f>IF(GLAPS자동계산!J64="","",GLAPS자동계산!J64)</f>
        <v/>
      </c>
      <c r="J65" s="3" t="str">
        <f>IF(GLAPS자동계산!K64="","",GLAPS자동계산!K64)</f>
        <v/>
      </c>
      <c r="K65" s="3" t="str">
        <f>IF(GLAPS자동계산!L64="","",GLAPS자동계산!L64)</f>
        <v/>
      </c>
      <c r="L65" s="3" t="str">
        <f>IF(GLAPS자동계산!M64="","",GLAPS자동계산!M64)</f>
        <v/>
      </c>
      <c r="M65" s="3" t="str">
        <f>IF(GLAPS자동계산!N64="","",GLAPS자동계산!N64)</f>
        <v/>
      </c>
      <c r="N65" s="3" t="str">
        <f>IF(GLAPS자동계산!O64="","",GLAPS자동계산!O64)</f>
        <v/>
      </c>
      <c r="O65" s="3" t="str">
        <f>IF(GLAPS자동계산!P64="","",GLAPS자동계산!P64)</f>
        <v/>
      </c>
      <c r="P65" s="2" t="str">
        <f>IF(GLAPS자동계산!Q64="","",GLAPS자동계산!Q64)</f>
        <v/>
      </c>
      <c r="Q65" s="3" t="str">
        <f>IF(GLAPS자동계산!R64="","",GLAPS자동계산!R64)</f>
        <v/>
      </c>
      <c r="R65" s="3" t="str">
        <f>IF(GLAPS자동계산!S64="","",GLAPS자동계산!S64)</f>
        <v/>
      </c>
      <c r="S65" s="3" t="str">
        <f>IF(GLAPS자동계산!T64="","",GLAPS자동계산!T64)</f>
        <v/>
      </c>
      <c r="T65" s="3" t="str">
        <f>IF(GLAPS자동계산!U64="","",GLAPS자동계산!U64)</f>
        <v/>
      </c>
      <c r="U65" s="3" t="str">
        <f>IF(GLAPS자동계산!V64="","",GLAPS자동계산!V64)</f>
        <v/>
      </c>
      <c r="V65" s="3" t="str">
        <f>IF(GLAPS자동계산!W64="","",GLAPS자동계산!W64)</f>
        <v/>
      </c>
      <c r="W65" s="14" t="str">
        <f>IF(GLAPS자동계산!X64="","",GLAPS자동계산!X64)</f>
        <v/>
      </c>
      <c r="X65" s="13" t="str">
        <f>IF(GLAPS자동계산!Y64="","",GLAPS자동계산!Y64)</f>
        <v/>
      </c>
      <c r="Y65" s="13" t="str">
        <f>IF(GLAPS자동계산!Z64="","",GLAPS자동계산!Z64)</f>
        <v/>
      </c>
      <c r="Z65" s="91" t="str">
        <f>IF(GLAPS자동계산!AA64="","",GLAPS자동계산!AA64)</f>
        <v/>
      </c>
      <c r="AA65" s="14" t="str">
        <f>IF(GLAPS자동계산!AB64="","",GLAPS자동계산!AB64)</f>
        <v/>
      </c>
      <c r="AC65" s="2" t="str">
        <f>IF($B65="","",$AC$1)</f>
        <v/>
      </c>
      <c r="AD65" s="2" t="str">
        <f>IF($B65="","",IFERROR(INDEX(GLAPS정리!$D$2:$D$50,MATCH(I65,GLAPS정리!$A$2:$A$50,0)),IFERROR(INDEX(GLAPS정리!$D$2:$D$50,MATCH(I65,GLAPS정리!$B$2:$B$50,0)),"")))</f>
        <v/>
      </c>
      <c r="AF65" s="2" t="str">
        <f>IF($B65="","",$AF$1)</f>
        <v/>
      </c>
      <c r="AI65" s="2" t="str">
        <f>IF($B65="","",IF(F65="","",VLOOKUP(F65,GLAPS정리!$G$3:$J$114,2,0)))</f>
        <v/>
      </c>
      <c r="AJ65" s="2" t="str">
        <f>IF($B65="","",IF(Z65="울산정일","KRONS",IF(Z65="울산신항","KRUSN",IF(OR(Z65="선광종합물류(인천여객)",Z65="인천여객(인천여객)"),"KRINF",IF(OR(Z65="선광인천보세(인천신)",Z65="한진인천(인천신)",Z65="선광인천신항(인천신)",Z65="인천더로지스(인천신)"),"KRINN",IF(OR(Z65="인천진아(인천항)",Z65="인천E1(인천항)",Z65="인천SM경인터미널(인천항)",Z65="인천항(인천항)",Z65="인천우련(인천항)",Z65="인천항8부두(인천항)"),"KRINC",VLOOKUP(K65,GLAPS정리!$BB$2:$BC$33,2,0)))))))</f>
        <v/>
      </c>
      <c r="AL65" s="2" t="str">
        <f>IF($B65="","",$AL$1)</f>
        <v/>
      </c>
      <c r="AN65" s="70" t="str">
        <f>IF($B65="","",TEXT(B65,"YYYY-MM-DD"))</f>
        <v/>
      </c>
      <c r="AO65" s="2" t="str">
        <f>IF($B65="","",IF(E65="오전", "0800", IF(E65="오후", "1300", IF(E65="잔업", "1800", ""))))</f>
        <v/>
      </c>
      <c r="AP65" s="2" t="str">
        <f>IF($B65="","",IF(C65="","",VLOOKUP(C65,GLAPS정리!$AX$2:$AZ$17,3,0)))</f>
        <v/>
      </c>
      <c r="AR65" s="2" t="str">
        <f>IF($B65="","",IF(X65="","",X65))</f>
        <v/>
      </c>
      <c r="AX65" s="2" t="str">
        <f>IF($B65="","",IF(L65="","",VLOOKUP(L65,GLAPS정리!$V$3:$W$180,2,0)))</f>
        <v/>
      </c>
      <c r="BM65" s="2" t="str">
        <f>IF($B65="","",IF(AND(Q65=1,OR(P65="",P65="위험물")), "2210", IF(AND(Q65=1,OR(P65="리퍼",P65="위험물리퍼")), "2230", IF(AND(S65=1,OR(P65="",P65="위험물")), "4510", IF(AND(S65=1,OR(P65="리퍼",P65="위험물리퍼")), "4530", IF(AND(R65=1,OR(P65="",P65="위험물")), "4210", IF(AND(R65=1,P65="리퍼"), "4230", " ")))))))</f>
        <v/>
      </c>
      <c r="BN65" s="2" t="str">
        <f>IF($B65="","",$BN$1)</f>
        <v/>
      </c>
      <c r="BR65" s="2" t="str">
        <f>IF($B65="","",IF(OR(P65="리퍼",P65="위험물리퍼"),"Y",""))</f>
        <v/>
      </c>
      <c r="BS65" s="2" t="str">
        <f>IF($B65="","",IF(OR(P65="위험물",P65="위험물리퍼"),"Y",""))</f>
        <v/>
      </c>
      <c r="BV65" s="2" t="str">
        <f>IF($B65="","",IF(O65="","",VLOOKUP(O65,GLAPS정리!$BH$2:$BI$94,2,0)))</f>
        <v/>
      </c>
      <c r="BW65" s="2" t="str">
        <f>IF($B65="","",IF(OR(Z65="동원",Z65="세방",Z65="한타"),"",IFERROR(INDEX(GLAPS정리!$BI$2:$BI$101,MATCH(Z65,GLAPS정리!$BH$2:$BH$101,0)),"")))</f>
        <v/>
      </c>
      <c r="BX65" s="2" t="str">
        <f>IF($B65="","",IF(Z65="","",IFERROR(VLOOKUP(Z65,GLAPS정리!$AX$2:$AZ$17,3,0),"")))</f>
        <v/>
      </c>
      <c r="BZ65" s="2" t="str">
        <f>IF($B65="","",IF(H65="","",VLOOKUP(H65,GLAPS정리!$L$3:$O$133,2,0)))</f>
        <v/>
      </c>
      <c r="CA65" s="2" t="str">
        <f>IF($B65="","",IF(V65="공휴일", 10, IF(V65="야간", 20, IF(V65="위험물", 30, IF(V65="중량", 40, "")))))</f>
        <v/>
      </c>
      <c r="CL65" s="2" t="str">
        <f>IF($B65="","",IF(AI65="","",VLOOKUP(AI65,GLAPS정리!$BT$3:$BV$26,3,0)))</f>
        <v/>
      </c>
    </row>
    <row r="66" spans="2:90" ht="20.45" customHeight="1">
      <c r="B66" s="13" t="str">
        <f>IF(GLAPS자동계산!C65="","",GLAPS자동계산!C65)</f>
        <v/>
      </c>
      <c r="C66" s="3" t="str">
        <f>IF(GLAPS자동계산!D65="","",GLAPS자동계산!D65)</f>
        <v/>
      </c>
      <c r="D66" s="16" t="str">
        <f>IF(GLAPS자동계산!E65="","",GLAPS자동계산!E65)</f>
        <v/>
      </c>
      <c r="E66" s="11" t="str">
        <f>IF(GLAPS자동계산!F65="","",GLAPS자동계산!F65)</f>
        <v/>
      </c>
      <c r="F66" s="3" t="str">
        <f>IF(GLAPS자동계산!G65="","",GLAPS자동계산!G65)</f>
        <v/>
      </c>
      <c r="G66" s="3" t="str">
        <f>IF(GLAPS자동계산!H65="","",GLAPS자동계산!H65)</f>
        <v/>
      </c>
      <c r="H66" s="3" t="str">
        <f>IF(GLAPS자동계산!I65="","",GLAPS자동계산!I65)</f>
        <v/>
      </c>
      <c r="I66" s="3" t="str">
        <f>IF(GLAPS자동계산!J65="","",GLAPS자동계산!J65)</f>
        <v/>
      </c>
      <c r="J66" s="3" t="str">
        <f>IF(GLAPS자동계산!K65="","",GLAPS자동계산!K65)</f>
        <v/>
      </c>
      <c r="K66" s="3" t="str">
        <f>IF(GLAPS자동계산!L65="","",GLAPS자동계산!L65)</f>
        <v/>
      </c>
      <c r="L66" s="3" t="str">
        <f>IF(GLAPS자동계산!M65="","",GLAPS자동계산!M65)</f>
        <v/>
      </c>
      <c r="M66" s="3" t="str">
        <f>IF(GLAPS자동계산!N65="","",GLAPS자동계산!N65)</f>
        <v/>
      </c>
      <c r="N66" s="3" t="str">
        <f>IF(GLAPS자동계산!O65="","",GLAPS자동계산!O65)</f>
        <v/>
      </c>
      <c r="O66" s="3" t="str">
        <f>IF(GLAPS자동계산!P65="","",GLAPS자동계산!P65)</f>
        <v/>
      </c>
      <c r="P66" s="2" t="str">
        <f>IF(GLAPS자동계산!Q65="","",GLAPS자동계산!Q65)</f>
        <v/>
      </c>
      <c r="Q66" s="3" t="str">
        <f>IF(GLAPS자동계산!R65="","",GLAPS자동계산!R65)</f>
        <v/>
      </c>
      <c r="R66" s="3" t="str">
        <f>IF(GLAPS자동계산!S65="","",GLAPS자동계산!S65)</f>
        <v/>
      </c>
      <c r="S66" s="3" t="str">
        <f>IF(GLAPS자동계산!T65="","",GLAPS자동계산!T65)</f>
        <v/>
      </c>
      <c r="T66" s="3" t="str">
        <f>IF(GLAPS자동계산!U65="","",GLAPS자동계산!U65)</f>
        <v/>
      </c>
      <c r="U66" s="3" t="str">
        <f>IF(GLAPS자동계산!V65="","",GLAPS자동계산!V65)</f>
        <v/>
      </c>
      <c r="V66" s="3" t="str">
        <f>IF(GLAPS자동계산!W65="","",GLAPS자동계산!W65)</f>
        <v/>
      </c>
      <c r="W66" s="14" t="str">
        <f>IF(GLAPS자동계산!X65="","",GLAPS자동계산!X65)</f>
        <v/>
      </c>
      <c r="X66" s="13" t="str">
        <f>IF(GLAPS자동계산!Y65="","",GLAPS자동계산!Y65)</f>
        <v/>
      </c>
      <c r="Y66" s="13" t="str">
        <f>IF(GLAPS자동계산!Z65="","",GLAPS자동계산!Z65)</f>
        <v/>
      </c>
      <c r="Z66" s="91" t="str">
        <f>IF(GLAPS자동계산!AA65="","",GLAPS자동계산!AA65)</f>
        <v/>
      </c>
      <c r="AA66" s="14" t="str">
        <f>IF(GLAPS자동계산!AB65="","",GLAPS자동계산!AB65)</f>
        <v/>
      </c>
      <c r="AC66" s="2" t="str">
        <f>IF($B66="","",$AC$1)</f>
        <v/>
      </c>
      <c r="AD66" s="2" t="str">
        <f>IF($B66="","",IFERROR(INDEX(GLAPS정리!$D$2:$D$50,MATCH(I66,GLAPS정리!$A$2:$A$50,0)),IFERROR(INDEX(GLAPS정리!$D$2:$D$50,MATCH(I66,GLAPS정리!$B$2:$B$50,0)),"")))</f>
        <v/>
      </c>
      <c r="AF66" s="2" t="str">
        <f>IF($B66="","",$AF$1)</f>
        <v/>
      </c>
      <c r="AI66" s="2" t="str">
        <f>IF($B66="","",IF(F66="","",VLOOKUP(F66,GLAPS정리!$G$3:$J$114,2,0)))</f>
        <v/>
      </c>
      <c r="AJ66" s="2" t="str">
        <f>IF($B66="","",IF(Z66="울산정일","KRONS",IF(Z66="울산신항","KRUSN",IF(OR(Z66="선광종합물류(인천여객)",Z66="인천여객(인천여객)"),"KRINF",IF(OR(Z66="선광인천보세(인천신)",Z66="한진인천(인천신)",Z66="선광인천신항(인천신)",Z66="인천더로지스(인천신)"),"KRINN",IF(OR(Z66="인천진아(인천항)",Z66="인천E1(인천항)",Z66="인천SM경인터미널(인천항)",Z66="인천항(인천항)",Z66="인천우련(인천항)",Z66="인천항8부두(인천항)"),"KRINC",VLOOKUP(K66,GLAPS정리!$BB$2:$BC$33,2,0)))))))</f>
        <v/>
      </c>
      <c r="AL66" s="2" t="str">
        <f>IF($B66="","",$AL$1)</f>
        <v/>
      </c>
      <c r="AN66" s="70" t="str">
        <f>IF($B66="","",TEXT(B66,"YYYY-MM-DD"))</f>
        <v/>
      </c>
      <c r="AO66" s="2" t="str">
        <f>IF($B66="","",IF(E66="오전", "0800", IF(E66="오후", "1300", IF(E66="잔업", "1800", ""))))</f>
        <v/>
      </c>
      <c r="AP66" s="2" t="str">
        <f>IF($B66="","",IF(C66="","",VLOOKUP(C66,GLAPS정리!$AX$2:$AZ$17,3,0)))</f>
        <v/>
      </c>
      <c r="AR66" s="2" t="str">
        <f>IF($B66="","",IF(X66="","",X66))</f>
        <v/>
      </c>
      <c r="AX66" s="2" t="str">
        <f>IF($B66="","",IF(L66="","",VLOOKUP(L66,GLAPS정리!$V$3:$W$180,2,0)))</f>
        <v/>
      </c>
      <c r="BM66" s="2" t="str">
        <f>IF($B66="","",IF(AND(Q66=1,OR(P66="",P66="위험물")), "2210", IF(AND(Q66=1,OR(P66="리퍼",P66="위험물리퍼")), "2230", IF(AND(S66=1,OR(P66="",P66="위험물")), "4510", IF(AND(S66=1,OR(P66="리퍼",P66="위험물리퍼")), "4530", IF(AND(R66=1,OR(P66="",P66="위험물")), "4210", IF(AND(R66=1,P66="리퍼"), "4230", " ")))))))</f>
        <v/>
      </c>
      <c r="BN66" s="2" t="str">
        <f>IF($B66="","",$BN$1)</f>
        <v/>
      </c>
      <c r="BR66" s="2" t="str">
        <f>IF($B66="","",IF(OR(P66="리퍼",P66="위험물리퍼"),"Y",""))</f>
        <v/>
      </c>
      <c r="BS66" s="2" t="str">
        <f>IF($B66="","",IF(OR(P66="위험물",P66="위험물리퍼"),"Y",""))</f>
        <v/>
      </c>
      <c r="BV66" s="2" t="str">
        <f>IF($B66="","",IF(O66="","",VLOOKUP(O66,GLAPS정리!$BH$2:$BI$94,2,0)))</f>
        <v/>
      </c>
      <c r="BW66" s="2" t="str">
        <f>IF($B66="","",IF(OR(Z66="동원",Z66="세방",Z66="한타"),"",IFERROR(INDEX(GLAPS정리!$BI$2:$BI$101,MATCH(Z66,GLAPS정리!$BH$2:$BH$101,0)),"")))</f>
        <v/>
      </c>
      <c r="BX66" s="2" t="str">
        <f>IF($B66="","",IF(Z66="","",IFERROR(VLOOKUP(Z66,GLAPS정리!$AX$2:$AZ$17,3,0),"")))</f>
        <v/>
      </c>
      <c r="BZ66" s="2" t="str">
        <f>IF($B66="","",IF(H66="","",VLOOKUP(H66,GLAPS정리!$L$3:$O$133,2,0)))</f>
        <v/>
      </c>
      <c r="CA66" s="2" t="str">
        <f>IF($B66="","",IF(V66="공휴일", 10, IF(V66="야간", 20, IF(V66="위험물", 30, IF(V66="중량", 40, "")))))</f>
        <v/>
      </c>
      <c r="CL66" s="2" t="str">
        <f>IF($B66="","",IF(AI66="","",VLOOKUP(AI66,GLAPS정리!$BT$3:$BV$26,3,0)))</f>
        <v/>
      </c>
    </row>
    <row r="67" spans="2:90" ht="20.45" customHeight="1">
      <c r="B67" s="13" t="str">
        <f>IF(GLAPS자동계산!C66="","",GLAPS자동계산!C66)</f>
        <v/>
      </c>
      <c r="C67" s="3" t="str">
        <f>IF(GLAPS자동계산!D66="","",GLAPS자동계산!D66)</f>
        <v/>
      </c>
      <c r="D67" s="16" t="str">
        <f>IF(GLAPS자동계산!E66="","",GLAPS자동계산!E66)</f>
        <v/>
      </c>
      <c r="E67" s="11" t="str">
        <f>IF(GLAPS자동계산!F66="","",GLAPS자동계산!F66)</f>
        <v/>
      </c>
      <c r="F67" s="3" t="str">
        <f>IF(GLAPS자동계산!G66="","",GLAPS자동계산!G66)</f>
        <v/>
      </c>
      <c r="G67" s="3" t="str">
        <f>IF(GLAPS자동계산!H66="","",GLAPS자동계산!H66)</f>
        <v/>
      </c>
      <c r="H67" s="3" t="str">
        <f>IF(GLAPS자동계산!I66="","",GLAPS자동계산!I66)</f>
        <v/>
      </c>
      <c r="I67" s="3" t="str">
        <f>IF(GLAPS자동계산!J66="","",GLAPS자동계산!J66)</f>
        <v/>
      </c>
      <c r="J67" s="3" t="str">
        <f>IF(GLAPS자동계산!K66="","",GLAPS자동계산!K66)</f>
        <v/>
      </c>
      <c r="K67" s="3" t="str">
        <f>IF(GLAPS자동계산!L66="","",GLAPS자동계산!L66)</f>
        <v/>
      </c>
      <c r="L67" s="3" t="str">
        <f>IF(GLAPS자동계산!M66="","",GLAPS자동계산!M66)</f>
        <v/>
      </c>
      <c r="M67" s="3" t="str">
        <f>IF(GLAPS자동계산!N66="","",GLAPS자동계산!N66)</f>
        <v/>
      </c>
      <c r="N67" s="3" t="str">
        <f>IF(GLAPS자동계산!O66="","",GLAPS자동계산!O66)</f>
        <v/>
      </c>
      <c r="O67" s="3" t="str">
        <f>IF(GLAPS자동계산!P66="","",GLAPS자동계산!P66)</f>
        <v/>
      </c>
      <c r="P67" s="2" t="str">
        <f>IF(GLAPS자동계산!Q66="","",GLAPS자동계산!Q66)</f>
        <v/>
      </c>
      <c r="Q67" s="3" t="str">
        <f>IF(GLAPS자동계산!R66="","",GLAPS자동계산!R66)</f>
        <v/>
      </c>
      <c r="R67" s="3" t="str">
        <f>IF(GLAPS자동계산!S66="","",GLAPS자동계산!S66)</f>
        <v/>
      </c>
      <c r="S67" s="3" t="str">
        <f>IF(GLAPS자동계산!T66="","",GLAPS자동계산!T66)</f>
        <v/>
      </c>
      <c r="T67" s="3" t="str">
        <f>IF(GLAPS자동계산!U66="","",GLAPS자동계산!U66)</f>
        <v/>
      </c>
      <c r="U67" s="3" t="str">
        <f>IF(GLAPS자동계산!V66="","",GLAPS자동계산!V66)</f>
        <v/>
      </c>
      <c r="V67" s="3" t="str">
        <f>IF(GLAPS자동계산!W66="","",GLAPS자동계산!W66)</f>
        <v/>
      </c>
      <c r="W67" s="14" t="str">
        <f>IF(GLAPS자동계산!X66="","",GLAPS자동계산!X66)</f>
        <v/>
      </c>
      <c r="X67" s="13" t="str">
        <f>IF(GLAPS자동계산!Y66="","",GLAPS자동계산!Y66)</f>
        <v/>
      </c>
      <c r="Y67" s="13" t="str">
        <f>IF(GLAPS자동계산!Z66="","",GLAPS자동계산!Z66)</f>
        <v/>
      </c>
      <c r="Z67" s="91" t="str">
        <f>IF(GLAPS자동계산!AA66="","",GLAPS자동계산!AA66)</f>
        <v/>
      </c>
      <c r="AA67" s="14" t="str">
        <f>IF(GLAPS자동계산!AB66="","",GLAPS자동계산!AB66)</f>
        <v/>
      </c>
      <c r="AC67" s="2" t="str">
        <f>IF($B67="","",$AC$1)</f>
        <v/>
      </c>
      <c r="AD67" s="2" t="str">
        <f>IF($B67="","",IFERROR(INDEX(GLAPS정리!$D$2:$D$50,MATCH(I67,GLAPS정리!$A$2:$A$50,0)),IFERROR(INDEX(GLAPS정리!$D$2:$D$50,MATCH(I67,GLAPS정리!$B$2:$B$50,0)),"")))</f>
        <v/>
      </c>
      <c r="AF67" s="2" t="str">
        <f>IF($B67="","",$AF$1)</f>
        <v/>
      </c>
      <c r="AI67" s="2" t="str">
        <f>IF($B67="","",IF(F67="","",VLOOKUP(F67,GLAPS정리!$G$3:$J$114,2,0)))</f>
        <v/>
      </c>
      <c r="AJ67" s="2" t="str">
        <f>IF($B67="","",IF(Z67="울산정일","KRONS",IF(Z67="울산신항","KRUSN",IF(OR(Z67="선광종합물류(인천여객)",Z67="인천여객(인천여객)"),"KRINF",IF(OR(Z67="선광인천보세(인천신)",Z67="한진인천(인천신)",Z67="선광인천신항(인천신)",Z67="인천더로지스(인천신)"),"KRINN",IF(OR(Z67="인천진아(인천항)",Z67="인천E1(인천항)",Z67="인천SM경인터미널(인천항)",Z67="인천항(인천항)",Z67="인천우련(인천항)",Z67="인천항8부두(인천항)"),"KRINC",VLOOKUP(K67,GLAPS정리!$BB$2:$BC$33,2,0)))))))</f>
        <v/>
      </c>
      <c r="AL67" s="2" t="str">
        <f>IF($B67="","",$AL$1)</f>
        <v/>
      </c>
      <c r="AN67" s="70" t="str">
        <f>IF($B67="","",TEXT(B67,"YYYY-MM-DD"))</f>
        <v/>
      </c>
      <c r="AO67" s="2" t="str">
        <f>IF($B67="","",IF(E67="오전", "0800", IF(E67="오후", "1300", IF(E67="잔업", "1800", ""))))</f>
        <v/>
      </c>
      <c r="AP67" s="2" t="str">
        <f>IF($B67="","",IF(C67="","",VLOOKUP(C67,GLAPS정리!$AX$2:$AZ$17,3,0)))</f>
        <v/>
      </c>
      <c r="AR67" s="2" t="str">
        <f>IF($B67="","",IF(X67="","",X67))</f>
        <v/>
      </c>
      <c r="AX67" s="2" t="str">
        <f>IF($B67="","",IF(L67="","",VLOOKUP(L67,GLAPS정리!$V$3:$W$180,2,0)))</f>
        <v/>
      </c>
      <c r="BM67" s="2" t="str">
        <f>IF($B67="","",IF(AND(Q67=1,OR(P67="",P67="위험물")), "2210", IF(AND(Q67=1,OR(P67="리퍼",P67="위험물리퍼")), "2230", IF(AND(S67=1,OR(P67="",P67="위험물")), "4510", IF(AND(S67=1,OR(P67="리퍼",P67="위험물리퍼")), "4530", IF(AND(R67=1,OR(P67="",P67="위험물")), "4210", IF(AND(R67=1,P67="리퍼"), "4230", " ")))))))</f>
        <v/>
      </c>
      <c r="BN67" s="2" t="str">
        <f>IF($B67="","",$BN$1)</f>
        <v/>
      </c>
      <c r="BR67" s="2" t="str">
        <f>IF($B67="","",IF(OR(P67="리퍼",P67="위험물리퍼"),"Y",""))</f>
        <v/>
      </c>
      <c r="BS67" s="2" t="str">
        <f>IF($B67="","",IF(OR(P67="위험물",P67="위험물리퍼"),"Y",""))</f>
        <v/>
      </c>
      <c r="BV67" s="2" t="str">
        <f>IF($B67="","",IF(O67="","",VLOOKUP(O67,GLAPS정리!$BH$2:$BI$94,2,0)))</f>
        <v/>
      </c>
      <c r="BW67" s="2" t="str">
        <f>IF($B67="","",IF(OR(Z67="동원",Z67="세방",Z67="한타"),"",IFERROR(INDEX(GLAPS정리!$BI$2:$BI$101,MATCH(Z67,GLAPS정리!$BH$2:$BH$101,0)),"")))</f>
        <v/>
      </c>
      <c r="BX67" s="2" t="str">
        <f>IF($B67="","",IF(Z67="","",IFERROR(VLOOKUP(Z67,GLAPS정리!$AX$2:$AZ$17,3,0),"")))</f>
        <v/>
      </c>
      <c r="BZ67" s="2" t="str">
        <f>IF($B67="","",IF(H67="","",VLOOKUP(H67,GLAPS정리!$L$3:$O$133,2,0)))</f>
        <v/>
      </c>
      <c r="CA67" s="2" t="str">
        <f>IF($B67="","",IF(V67="공휴일", 10, IF(V67="야간", 20, IF(V67="위험물", 30, IF(V67="중량", 40, "")))))</f>
        <v/>
      </c>
      <c r="CL67" s="2" t="str">
        <f>IF($B67="","",IF(AI67="","",VLOOKUP(AI67,GLAPS정리!$BT$3:$BV$26,3,0)))</f>
        <v/>
      </c>
    </row>
    <row r="68" spans="2:90" ht="20.45" customHeight="1">
      <c r="B68" s="13" t="str">
        <f>IF(GLAPS자동계산!C67="","",GLAPS자동계산!C67)</f>
        <v/>
      </c>
      <c r="C68" s="3" t="str">
        <f>IF(GLAPS자동계산!D67="","",GLAPS자동계산!D67)</f>
        <v/>
      </c>
      <c r="D68" s="16" t="str">
        <f>IF(GLAPS자동계산!E67="","",GLAPS자동계산!E67)</f>
        <v/>
      </c>
      <c r="E68" s="11" t="str">
        <f>IF(GLAPS자동계산!F67="","",GLAPS자동계산!F67)</f>
        <v/>
      </c>
      <c r="F68" s="3" t="str">
        <f>IF(GLAPS자동계산!G67="","",GLAPS자동계산!G67)</f>
        <v/>
      </c>
      <c r="G68" s="3" t="str">
        <f>IF(GLAPS자동계산!H67="","",GLAPS자동계산!H67)</f>
        <v/>
      </c>
      <c r="H68" s="3" t="str">
        <f>IF(GLAPS자동계산!I67="","",GLAPS자동계산!I67)</f>
        <v/>
      </c>
      <c r="I68" s="3" t="str">
        <f>IF(GLAPS자동계산!J67="","",GLAPS자동계산!J67)</f>
        <v/>
      </c>
      <c r="J68" s="3" t="str">
        <f>IF(GLAPS자동계산!K67="","",GLAPS자동계산!K67)</f>
        <v/>
      </c>
      <c r="K68" s="3" t="str">
        <f>IF(GLAPS자동계산!L67="","",GLAPS자동계산!L67)</f>
        <v/>
      </c>
      <c r="L68" s="3" t="str">
        <f>IF(GLAPS자동계산!M67="","",GLAPS자동계산!M67)</f>
        <v/>
      </c>
      <c r="M68" s="3" t="str">
        <f>IF(GLAPS자동계산!N67="","",GLAPS자동계산!N67)</f>
        <v/>
      </c>
      <c r="N68" s="3" t="str">
        <f>IF(GLAPS자동계산!O67="","",GLAPS자동계산!O67)</f>
        <v/>
      </c>
      <c r="O68" s="3" t="str">
        <f>IF(GLAPS자동계산!P67="","",GLAPS자동계산!P67)</f>
        <v/>
      </c>
      <c r="P68" s="2" t="str">
        <f>IF(GLAPS자동계산!Q67="","",GLAPS자동계산!Q67)</f>
        <v/>
      </c>
      <c r="Q68" s="3" t="str">
        <f>IF(GLAPS자동계산!R67="","",GLAPS자동계산!R67)</f>
        <v/>
      </c>
      <c r="R68" s="3" t="str">
        <f>IF(GLAPS자동계산!S67="","",GLAPS자동계산!S67)</f>
        <v/>
      </c>
      <c r="S68" s="3" t="str">
        <f>IF(GLAPS자동계산!T67="","",GLAPS자동계산!T67)</f>
        <v/>
      </c>
      <c r="T68" s="3" t="str">
        <f>IF(GLAPS자동계산!U67="","",GLAPS자동계산!U67)</f>
        <v/>
      </c>
      <c r="U68" s="3" t="str">
        <f>IF(GLAPS자동계산!V67="","",GLAPS자동계산!V67)</f>
        <v/>
      </c>
      <c r="V68" s="3" t="str">
        <f>IF(GLAPS자동계산!W67="","",GLAPS자동계산!W67)</f>
        <v/>
      </c>
      <c r="W68" s="14" t="str">
        <f>IF(GLAPS자동계산!X67="","",GLAPS자동계산!X67)</f>
        <v/>
      </c>
      <c r="X68" s="13" t="str">
        <f>IF(GLAPS자동계산!Y67="","",GLAPS자동계산!Y67)</f>
        <v/>
      </c>
      <c r="Y68" s="13" t="str">
        <f>IF(GLAPS자동계산!Z67="","",GLAPS자동계산!Z67)</f>
        <v/>
      </c>
      <c r="Z68" s="91" t="str">
        <f>IF(GLAPS자동계산!AA67="","",GLAPS자동계산!AA67)</f>
        <v/>
      </c>
      <c r="AA68" s="14" t="str">
        <f>IF(GLAPS자동계산!AB67="","",GLAPS자동계산!AB67)</f>
        <v/>
      </c>
      <c r="AC68" s="2" t="str">
        <f>IF($B68="","",$AC$1)</f>
        <v/>
      </c>
      <c r="AD68" s="2" t="str">
        <f>IF($B68="","",IFERROR(INDEX(GLAPS정리!$D$2:$D$50,MATCH(I68,GLAPS정리!$A$2:$A$50,0)),IFERROR(INDEX(GLAPS정리!$D$2:$D$50,MATCH(I68,GLAPS정리!$B$2:$B$50,0)),"")))</f>
        <v/>
      </c>
      <c r="AF68" s="2" t="str">
        <f>IF($B68="","",$AF$1)</f>
        <v/>
      </c>
      <c r="AI68" s="2" t="str">
        <f>IF($B68="","",IF(F68="","",VLOOKUP(F68,GLAPS정리!$G$3:$J$114,2,0)))</f>
        <v/>
      </c>
      <c r="AJ68" s="2" t="str">
        <f>IF($B68="","",IF(Z68="울산정일","KRONS",IF(Z68="울산신항","KRUSN",IF(OR(Z68="선광종합물류(인천여객)",Z68="인천여객(인천여객)"),"KRINF",IF(OR(Z68="선광인천보세(인천신)",Z68="한진인천(인천신)",Z68="선광인천신항(인천신)",Z68="인천더로지스(인천신)"),"KRINN",IF(OR(Z68="인천진아(인천항)",Z68="인천E1(인천항)",Z68="인천SM경인터미널(인천항)",Z68="인천항(인천항)",Z68="인천우련(인천항)",Z68="인천항8부두(인천항)"),"KRINC",VLOOKUP(K68,GLAPS정리!$BB$2:$BC$33,2,0)))))))</f>
        <v/>
      </c>
      <c r="AL68" s="2" t="str">
        <f>IF($B68="","",$AL$1)</f>
        <v/>
      </c>
      <c r="AN68" s="70" t="str">
        <f>IF($B68="","",TEXT(B68,"YYYY-MM-DD"))</f>
        <v/>
      </c>
      <c r="AO68" s="2" t="str">
        <f>IF($B68="","",IF(E68="오전", "0800", IF(E68="오후", "1300", IF(E68="잔업", "1800", ""))))</f>
        <v/>
      </c>
      <c r="AP68" s="2" t="str">
        <f>IF($B68="","",IF(C68="","",VLOOKUP(C68,GLAPS정리!$AX$2:$AZ$17,3,0)))</f>
        <v/>
      </c>
      <c r="AR68" s="2" t="str">
        <f>IF($B68="","",IF(X68="","",X68))</f>
        <v/>
      </c>
      <c r="AX68" s="2" t="str">
        <f>IF($B68="","",IF(L68="","",VLOOKUP(L68,GLAPS정리!$V$3:$W$180,2,0)))</f>
        <v/>
      </c>
      <c r="BM68" s="2" t="str">
        <f>IF($B68="","",IF(AND(Q68=1,OR(P68="",P68="위험물")), "2210", IF(AND(Q68=1,OR(P68="리퍼",P68="위험물리퍼")), "2230", IF(AND(S68=1,OR(P68="",P68="위험물")), "4510", IF(AND(S68=1,OR(P68="리퍼",P68="위험물리퍼")), "4530", IF(AND(R68=1,OR(P68="",P68="위험물")), "4210", IF(AND(R68=1,P68="리퍼"), "4230", " ")))))))</f>
        <v/>
      </c>
      <c r="BN68" s="2" t="str">
        <f>IF($B68="","",$BN$1)</f>
        <v/>
      </c>
      <c r="BR68" s="2" t="str">
        <f>IF($B68="","",IF(OR(P68="리퍼",P68="위험물리퍼"),"Y",""))</f>
        <v/>
      </c>
      <c r="BS68" s="2" t="str">
        <f>IF($B68="","",IF(OR(P68="위험물",P68="위험물리퍼"),"Y",""))</f>
        <v/>
      </c>
      <c r="BV68" s="2" t="str">
        <f>IF($B68="","",IF(O68="","",VLOOKUP(O68,GLAPS정리!$BH$2:$BI$94,2,0)))</f>
        <v/>
      </c>
      <c r="BW68" s="2" t="str">
        <f>IF($B68="","",IF(OR(Z68="동원",Z68="세방",Z68="한타"),"",IFERROR(INDEX(GLAPS정리!$BI$2:$BI$101,MATCH(Z68,GLAPS정리!$BH$2:$BH$101,0)),"")))</f>
        <v/>
      </c>
      <c r="BX68" s="2" t="str">
        <f>IF($B68="","",IF(Z68="","",IFERROR(VLOOKUP(Z68,GLAPS정리!$AX$2:$AZ$17,3,0),"")))</f>
        <v/>
      </c>
      <c r="BZ68" s="2" t="str">
        <f>IF($B68="","",IF(H68="","",VLOOKUP(H68,GLAPS정리!$L$3:$O$133,2,0)))</f>
        <v/>
      </c>
      <c r="CA68" s="2" t="str">
        <f>IF($B68="","",IF(V68="공휴일", 10, IF(V68="야간", 20, IF(V68="위험물", 30, IF(V68="중량", 40, "")))))</f>
        <v/>
      </c>
      <c r="CL68" s="2" t="str">
        <f>IF($B68="","",IF(AI68="","",VLOOKUP(AI68,GLAPS정리!$BT$3:$BV$26,3,0)))</f>
        <v/>
      </c>
    </row>
    <row r="69" spans="2:90" ht="20.45" customHeight="1">
      <c r="B69" s="13" t="str">
        <f>IF(GLAPS자동계산!C68="","",GLAPS자동계산!C68)</f>
        <v/>
      </c>
      <c r="C69" s="3" t="str">
        <f>IF(GLAPS자동계산!D68="","",GLAPS자동계산!D68)</f>
        <v/>
      </c>
      <c r="D69" s="16" t="str">
        <f>IF(GLAPS자동계산!E68="","",GLAPS자동계산!E68)</f>
        <v/>
      </c>
      <c r="E69" s="11" t="str">
        <f>IF(GLAPS자동계산!F68="","",GLAPS자동계산!F68)</f>
        <v/>
      </c>
      <c r="F69" s="3" t="str">
        <f>IF(GLAPS자동계산!G68="","",GLAPS자동계산!G68)</f>
        <v/>
      </c>
      <c r="G69" s="3" t="str">
        <f>IF(GLAPS자동계산!H68="","",GLAPS자동계산!H68)</f>
        <v/>
      </c>
      <c r="H69" s="3" t="str">
        <f>IF(GLAPS자동계산!I68="","",GLAPS자동계산!I68)</f>
        <v/>
      </c>
      <c r="I69" s="3" t="str">
        <f>IF(GLAPS자동계산!J68="","",GLAPS자동계산!J68)</f>
        <v/>
      </c>
      <c r="J69" s="3" t="str">
        <f>IF(GLAPS자동계산!K68="","",GLAPS자동계산!K68)</f>
        <v/>
      </c>
      <c r="K69" s="3" t="str">
        <f>IF(GLAPS자동계산!L68="","",GLAPS자동계산!L68)</f>
        <v/>
      </c>
      <c r="L69" s="3" t="str">
        <f>IF(GLAPS자동계산!M68="","",GLAPS자동계산!M68)</f>
        <v/>
      </c>
      <c r="M69" s="3" t="str">
        <f>IF(GLAPS자동계산!N68="","",GLAPS자동계산!N68)</f>
        <v/>
      </c>
      <c r="N69" s="3" t="str">
        <f>IF(GLAPS자동계산!O68="","",GLAPS자동계산!O68)</f>
        <v/>
      </c>
      <c r="O69" s="3" t="str">
        <f>IF(GLAPS자동계산!P68="","",GLAPS자동계산!P68)</f>
        <v/>
      </c>
      <c r="P69" s="2" t="str">
        <f>IF(GLAPS자동계산!Q68="","",GLAPS자동계산!Q68)</f>
        <v/>
      </c>
      <c r="Q69" s="3" t="str">
        <f>IF(GLAPS자동계산!R68="","",GLAPS자동계산!R68)</f>
        <v/>
      </c>
      <c r="R69" s="3" t="str">
        <f>IF(GLAPS자동계산!S68="","",GLAPS자동계산!S68)</f>
        <v/>
      </c>
      <c r="S69" s="3" t="str">
        <f>IF(GLAPS자동계산!T68="","",GLAPS자동계산!T68)</f>
        <v/>
      </c>
      <c r="T69" s="3" t="str">
        <f>IF(GLAPS자동계산!U68="","",GLAPS자동계산!U68)</f>
        <v/>
      </c>
      <c r="U69" s="3" t="str">
        <f>IF(GLAPS자동계산!V68="","",GLAPS자동계산!V68)</f>
        <v/>
      </c>
      <c r="V69" s="3" t="str">
        <f>IF(GLAPS자동계산!W68="","",GLAPS자동계산!W68)</f>
        <v/>
      </c>
      <c r="W69" s="14" t="str">
        <f>IF(GLAPS자동계산!X68="","",GLAPS자동계산!X68)</f>
        <v/>
      </c>
      <c r="X69" s="13" t="str">
        <f>IF(GLAPS자동계산!Y68="","",GLAPS자동계산!Y68)</f>
        <v/>
      </c>
      <c r="Y69" s="13" t="str">
        <f>IF(GLAPS자동계산!Z68="","",GLAPS자동계산!Z68)</f>
        <v/>
      </c>
      <c r="Z69" s="91" t="str">
        <f>IF(GLAPS자동계산!AA68="","",GLAPS자동계산!AA68)</f>
        <v/>
      </c>
      <c r="AA69" s="14" t="str">
        <f>IF(GLAPS자동계산!AB68="","",GLAPS자동계산!AB68)</f>
        <v/>
      </c>
      <c r="AC69" s="2" t="str">
        <f>IF($B69="","",$AC$1)</f>
        <v/>
      </c>
      <c r="AD69" s="2" t="str">
        <f>IF($B69="","",IFERROR(INDEX(GLAPS정리!$D$2:$D$50,MATCH(I69,GLAPS정리!$A$2:$A$50,0)),IFERROR(INDEX(GLAPS정리!$D$2:$D$50,MATCH(I69,GLAPS정리!$B$2:$B$50,0)),"")))</f>
        <v/>
      </c>
      <c r="AF69" s="2" t="str">
        <f>IF($B69="","",$AF$1)</f>
        <v/>
      </c>
      <c r="AI69" s="2" t="str">
        <f>IF($B69="","",IF(F69="","",VLOOKUP(F69,GLAPS정리!$G$3:$J$114,2,0)))</f>
        <v/>
      </c>
      <c r="AJ69" s="2" t="str">
        <f>IF($B69="","",IF(Z69="울산정일","KRONS",IF(Z69="울산신항","KRUSN",IF(OR(Z69="선광종합물류(인천여객)",Z69="인천여객(인천여객)"),"KRINF",IF(OR(Z69="선광인천보세(인천신)",Z69="한진인천(인천신)",Z69="선광인천신항(인천신)",Z69="인천더로지스(인천신)"),"KRINN",IF(OR(Z69="인천진아(인천항)",Z69="인천E1(인천항)",Z69="인천SM경인터미널(인천항)",Z69="인천항(인천항)",Z69="인천우련(인천항)",Z69="인천항8부두(인천항)"),"KRINC",VLOOKUP(K69,GLAPS정리!$BB$2:$BC$33,2,0)))))))</f>
        <v/>
      </c>
      <c r="AL69" s="2" t="str">
        <f>IF($B69="","",$AL$1)</f>
        <v/>
      </c>
      <c r="AN69" s="70" t="str">
        <f>IF($B69="","",TEXT(B69,"YYYY-MM-DD"))</f>
        <v/>
      </c>
      <c r="AO69" s="2" t="str">
        <f>IF($B69="","",IF(E69="오전", "0800", IF(E69="오후", "1300", IF(E69="잔업", "1800", ""))))</f>
        <v/>
      </c>
      <c r="AP69" s="2" t="str">
        <f>IF($B69="","",IF(C69="","",VLOOKUP(C69,GLAPS정리!$AX$2:$AZ$17,3,0)))</f>
        <v/>
      </c>
      <c r="AR69" s="2" t="str">
        <f>IF($B69="","",IF(X69="","",X69))</f>
        <v/>
      </c>
      <c r="AX69" s="2" t="str">
        <f>IF($B69="","",IF(L69="","",VLOOKUP(L69,GLAPS정리!$V$3:$W$180,2,0)))</f>
        <v/>
      </c>
      <c r="BM69" s="2" t="str">
        <f>IF($B69="","",IF(AND(Q69=1,OR(P69="",P69="위험물")), "2210", IF(AND(Q69=1,OR(P69="리퍼",P69="위험물리퍼")), "2230", IF(AND(S69=1,OR(P69="",P69="위험물")), "4510", IF(AND(S69=1,OR(P69="리퍼",P69="위험물리퍼")), "4530", IF(AND(R69=1,OR(P69="",P69="위험물")), "4210", IF(AND(R69=1,P69="리퍼"), "4230", " ")))))))</f>
        <v/>
      </c>
      <c r="BN69" s="2" t="str">
        <f>IF($B69="","",$BN$1)</f>
        <v/>
      </c>
      <c r="BR69" s="2" t="str">
        <f>IF($B69="","",IF(OR(P69="리퍼",P69="위험물리퍼"),"Y",""))</f>
        <v/>
      </c>
      <c r="BS69" s="2" t="str">
        <f>IF($B69="","",IF(OR(P69="위험물",P69="위험물리퍼"),"Y",""))</f>
        <v/>
      </c>
      <c r="BV69" s="2" t="str">
        <f>IF($B69="","",IF(O69="","",VLOOKUP(O69,GLAPS정리!$BH$2:$BI$94,2,0)))</f>
        <v/>
      </c>
      <c r="BW69" s="2" t="str">
        <f>IF($B69="","",IF(OR(Z69="동원",Z69="세방",Z69="한타"),"",IFERROR(INDEX(GLAPS정리!$BI$2:$BI$101,MATCH(Z69,GLAPS정리!$BH$2:$BH$101,0)),"")))</f>
        <v/>
      </c>
      <c r="BX69" s="2" t="str">
        <f>IF($B69="","",IF(Z69="","",IFERROR(VLOOKUP(Z69,GLAPS정리!$AX$2:$AZ$17,3,0),"")))</f>
        <v/>
      </c>
      <c r="BZ69" s="2" t="str">
        <f>IF($B69="","",IF(H69="","",VLOOKUP(H69,GLAPS정리!$L$3:$O$133,2,0)))</f>
        <v/>
      </c>
      <c r="CA69" s="2" t="str">
        <f>IF($B69="","",IF(V69="공휴일", 10, IF(V69="야간", 20, IF(V69="위험물", 30, IF(V69="중량", 40, "")))))</f>
        <v/>
      </c>
      <c r="CL69" s="2" t="str">
        <f>IF($B69="","",IF(AI69="","",VLOOKUP(AI69,GLAPS정리!$BT$3:$BV$26,3,0)))</f>
        <v/>
      </c>
    </row>
    <row r="70" spans="2:90" ht="20.45" customHeight="1">
      <c r="B70" s="13" t="str">
        <f>IF(GLAPS자동계산!C69="","",GLAPS자동계산!C69)</f>
        <v/>
      </c>
      <c r="C70" s="3" t="str">
        <f>IF(GLAPS자동계산!D69="","",GLAPS자동계산!D69)</f>
        <v/>
      </c>
      <c r="D70" s="16" t="str">
        <f>IF(GLAPS자동계산!E69="","",GLAPS자동계산!E69)</f>
        <v/>
      </c>
      <c r="E70" s="11" t="str">
        <f>IF(GLAPS자동계산!F69="","",GLAPS자동계산!F69)</f>
        <v/>
      </c>
      <c r="F70" s="3" t="str">
        <f>IF(GLAPS자동계산!G69="","",GLAPS자동계산!G69)</f>
        <v/>
      </c>
      <c r="G70" s="3" t="str">
        <f>IF(GLAPS자동계산!H69="","",GLAPS자동계산!H69)</f>
        <v/>
      </c>
      <c r="H70" s="3" t="str">
        <f>IF(GLAPS자동계산!I69="","",GLAPS자동계산!I69)</f>
        <v/>
      </c>
      <c r="I70" s="3" t="str">
        <f>IF(GLAPS자동계산!J69="","",GLAPS자동계산!J69)</f>
        <v/>
      </c>
      <c r="J70" s="3" t="str">
        <f>IF(GLAPS자동계산!K69="","",GLAPS자동계산!K69)</f>
        <v/>
      </c>
      <c r="K70" s="3" t="str">
        <f>IF(GLAPS자동계산!L69="","",GLAPS자동계산!L69)</f>
        <v/>
      </c>
      <c r="L70" s="3" t="str">
        <f>IF(GLAPS자동계산!M69="","",GLAPS자동계산!M69)</f>
        <v/>
      </c>
      <c r="M70" s="3" t="str">
        <f>IF(GLAPS자동계산!N69="","",GLAPS자동계산!N69)</f>
        <v/>
      </c>
      <c r="N70" s="3" t="str">
        <f>IF(GLAPS자동계산!O69="","",GLAPS자동계산!O69)</f>
        <v/>
      </c>
      <c r="O70" s="3" t="str">
        <f>IF(GLAPS자동계산!P69="","",GLAPS자동계산!P69)</f>
        <v/>
      </c>
      <c r="P70" s="2" t="str">
        <f>IF(GLAPS자동계산!Q69="","",GLAPS자동계산!Q69)</f>
        <v/>
      </c>
      <c r="Q70" s="3" t="str">
        <f>IF(GLAPS자동계산!R69="","",GLAPS자동계산!R69)</f>
        <v/>
      </c>
      <c r="R70" s="3" t="str">
        <f>IF(GLAPS자동계산!S69="","",GLAPS자동계산!S69)</f>
        <v/>
      </c>
      <c r="S70" s="3" t="str">
        <f>IF(GLAPS자동계산!T69="","",GLAPS자동계산!T69)</f>
        <v/>
      </c>
      <c r="T70" s="3" t="str">
        <f>IF(GLAPS자동계산!U69="","",GLAPS자동계산!U69)</f>
        <v/>
      </c>
      <c r="U70" s="3" t="str">
        <f>IF(GLAPS자동계산!V69="","",GLAPS자동계산!V69)</f>
        <v/>
      </c>
      <c r="V70" s="3" t="str">
        <f>IF(GLAPS자동계산!W69="","",GLAPS자동계산!W69)</f>
        <v/>
      </c>
      <c r="W70" s="14" t="str">
        <f>IF(GLAPS자동계산!X69="","",GLAPS자동계산!X69)</f>
        <v/>
      </c>
      <c r="X70" s="13" t="str">
        <f>IF(GLAPS자동계산!Y69="","",GLAPS자동계산!Y69)</f>
        <v/>
      </c>
      <c r="Y70" s="13" t="str">
        <f>IF(GLAPS자동계산!Z69="","",GLAPS자동계산!Z69)</f>
        <v/>
      </c>
      <c r="Z70" s="91" t="str">
        <f>IF(GLAPS자동계산!AA69="","",GLAPS자동계산!AA69)</f>
        <v/>
      </c>
      <c r="AA70" s="14" t="str">
        <f>IF(GLAPS자동계산!AB69="","",GLAPS자동계산!AB69)</f>
        <v/>
      </c>
      <c r="AC70" s="2" t="str">
        <f>IF($B70="","",$AC$1)</f>
        <v/>
      </c>
      <c r="AD70" s="2" t="str">
        <f>IF($B70="","",IFERROR(INDEX(GLAPS정리!$D$2:$D$50,MATCH(I70,GLAPS정리!$A$2:$A$50,0)),IFERROR(INDEX(GLAPS정리!$D$2:$D$50,MATCH(I70,GLAPS정리!$B$2:$B$50,0)),"")))</f>
        <v/>
      </c>
      <c r="AF70" s="2" t="str">
        <f>IF($B70="","",$AF$1)</f>
        <v/>
      </c>
      <c r="AI70" s="2" t="str">
        <f>IF($B70="","",IF(F70="","",VLOOKUP(F70,GLAPS정리!$G$3:$J$114,2,0)))</f>
        <v/>
      </c>
      <c r="AJ70" s="2" t="str">
        <f>IF($B70="","",IF(Z70="울산정일","KRONS",IF(Z70="울산신항","KRUSN",IF(OR(Z70="선광종합물류(인천여객)",Z70="인천여객(인천여객)"),"KRINF",IF(OR(Z70="선광인천보세(인천신)",Z70="한진인천(인천신)",Z70="선광인천신항(인천신)",Z70="인천더로지스(인천신)"),"KRINN",IF(OR(Z70="인천진아(인천항)",Z70="인천E1(인천항)",Z70="인천SM경인터미널(인천항)",Z70="인천항(인천항)",Z70="인천우련(인천항)",Z70="인천항8부두(인천항)"),"KRINC",VLOOKUP(K70,GLAPS정리!$BB$2:$BC$33,2,0)))))))</f>
        <v/>
      </c>
      <c r="AL70" s="2" t="str">
        <f>IF($B70="","",$AL$1)</f>
        <v/>
      </c>
      <c r="AN70" s="70" t="str">
        <f>IF($B70="","",TEXT(B70,"YYYY-MM-DD"))</f>
        <v/>
      </c>
      <c r="AO70" s="2" t="str">
        <f>IF($B70="","",IF(E70="오전", "0800", IF(E70="오후", "1300", IF(E70="잔업", "1800", ""))))</f>
        <v/>
      </c>
      <c r="AP70" s="2" t="str">
        <f>IF($B70="","",IF(C70="","",VLOOKUP(C70,GLAPS정리!$AX$2:$AZ$17,3,0)))</f>
        <v/>
      </c>
      <c r="AR70" s="2" t="str">
        <f>IF($B70="","",IF(X70="","",X70))</f>
        <v/>
      </c>
      <c r="AX70" s="2" t="str">
        <f>IF($B70="","",IF(L70="","",VLOOKUP(L70,GLAPS정리!$V$3:$W$180,2,0)))</f>
        <v/>
      </c>
      <c r="BM70" s="2" t="str">
        <f>IF($B70="","",IF(AND(Q70=1,OR(P70="",P70="위험물")), "2210", IF(AND(Q70=1,OR(P70="리퍼",P70="위험물리퍼")), "2230", IF(AND(S70=1,OR(P70="",P70="위험물")), "4510", IF(AND(S70=1,OR(P70="리퍼",P70="위험물리퍼")), "4530", IF(AND(R70=1,OR(P70="",P70="위험물")), "4210", IF(AND(R70=1,P70="리퍼"), "4230", " ")))))))</f>
        <v/>
      </c>
      <c r="BN70" s="2" t="str">
        <f>IF($B70="","",$BN$1)</f>
        <v/>
      </c>
      <c r="BR70" s="2" t="str">
        <f>IF($B70="","",IF(OR(P70="리퍼",P70="위험물리퍼"),"Y",""))</f>
        <v/>
      </c>
      <c r="BS70" s="2" t="str">
        <f>IF($B70="","",IF(OR(P70="위험물",P70="위험물리퍼"),"Y",""))</f>
        <v/>
      </c>
      <c r="BV70" s="2" t="str">
        <f>IF($B70="","",IF(O70="","",VLOOKUP(O70,GLAPS정리!$BH$2:$BI$94,2,0)))</f>
        <v/>
      </c>
      <c r="BW70" s="2" t="str">
        <f>IF($B70="","",IF(OR(Z70="동원",Z70="세방",Z70="한타"),"",IFERROR(INDEX(GLAPS정리!$BI$2:$BI$101,MATCH(Z70,GLAPS정리!$BH$2:$BH$101,0)),"")))</f>
        <v/>
      </c>
      <c r="BX70" s="2" t="str">
        <f>IF($B70="","",IF(Z70="","",IFERROR(VLOOKUP(Z70,GLAPS정리!$AX$2:$AZ$17,3,0),"")))</f>
        <v/>
      </c>
      <c r="BZ70" s="2" t="str">
        <f>IF($B70="","",IF(H70="","",VLOOKUP(H70,GLAPS정리!$L$3:$O$133,2,0)))</f>
        <v/>
      </c>
      <c r="CA70" s="2" t="str">
        <f>IF($B70="","",IF(V70="공휴일", 10, IF(V70="야간", 20, IF(V70="위험물", 30, IF(V70="중량", 40, "")))))</f>
        <v/>
      </c>
      <c r="CL70" s="2" t="str">
        <f>IF($B70="","",IF(AI70="","",VLOOKUP(AI70,GLAPS정리!$BT$3:$BV$26,3,0)))</f>
        <v/>
      </c>
    </row>
    <row r="71" spans="2:90" ht="20.45" customHeight="1">
      <c r="B71" s="13" t="str">
        <f>IF(GLAPS자동계산!C70="","",GLAPS자동계산!C70)</f>
        <v/>
      </c>
      <c r="C71" s="3" t="str">
        <f>IF(GLAPS자동계산!D70="","",GLAPS자동계산!D70)</f>
        <v/>
      </c>
      <c r="D71" s="16" t="str">
        <f>IF(GLAPS자동계산!E70="","",GLAPS자동계산!E70)</f>
        <v/>
      </c>
      <c r="E71" s="11" t="str">
        <f>IF(GLAPS자동계산!F70="","",GLAPS자동계산!F70)</f>
        <v/>
      </c>
      <c r="F71" s="3" t="str">
        <f>IF(GLAPS자동계산!G70="","",GLAPS자동계산!G70)</f>
        <v/>
      </c>
      <c r="G71" s="3" t="str">
        <f>IF(GLAPS자동계산!H70="","",GLAPS자동계산!H70)</f>
        <v/>
      </c>
      <c r="H71" s="3" t="str">
        <f>IF(GLAPS자동계산!I70="","",GLAPS자동계산!I70)</f>
        <v/>
      </c>
      <c r="I71" s="3" t="str">
        <f>IF(GLAPS자동계산!J70="","",GLAPS자동계산!J70)</f>
        <v/>
      </c>
      <c r="J71" s="3" t="str">
        <f>IF(GLAPS자동계산!K70="","",GLAPS자동계산!K70)</f>
        <v/>
      </c>
      <c r="K71" s="3" t="str">
        <f>IF(GLAPS자동계산!L70="","",GLAPS자동계산!L70)</f>
        <v/>
      </c>
      <c r="L71" s="3" t="str">
        <f>IF(GLAPS자동계산!M70="","",GLAPS자동계산!M70)</f>
        <v/>
      </c>
      <c r="M71" s="3" t="str">
        <f>IF(GLAPS자동계산!N70="","",GLAPS자동계산!N70)</f>
        <v/>
      </c>
      <c r="N71" s="3" t="str">
        <f>IF(GLAPS자동계산!O70="","",GLAPS자동계산!O70)</f>
        <v/>
      </c>
      <c r="O71" s="3" t="str">
        <f>IF(GLAPS자동계산!P70="","",GLAPS자동계산!P70)</f>
        <v/>
      </c>
      <c r="P71" s="2" t="str">
        <f>IF(GLAPS자동계산!Q70="","",GLAPS자동계산!Q70)</f>
        <v/>
      </c>
      <c r="Q71" s="3" t="str">
        <f>IF(GLAPS자동계산!R70="","",GLAPS자동계산!R70)</f>
        <v/>
      </c>
      <c r="R71" s="3" t="str">
        <f>IF(GLAPS자동계산!S70="","",GLAPS자동계산!S70)</f>
        <v/>
      </c>
      <c r="S71" s="3" t="str">
        <f>IF(GLAPS자동계산!T70="","",GLAPS자동계산!T70)</f>
        <v/>
      </c>
      <c r="T71" s="3" t="str">
        <f>IF(GLAPS자동계산!U70="","",GLAPS자동계산!U70)</f>
        <v/>
      </c>
      <c r="U71" s="3" t="str">
        <f>IF(GLAPS자동계산!V70="","",GLAPS자동계산!V70)</f>
        <v/>
      </c>
      <c r="V71" s="3" t="str">
        <f>IF(GLAPS자동계산!W70="","",GLAPS자동계산!W70)</f>
        <v/>
      </c>
      <c r="W71" s="14" t="str">
        <f>IF(GLAPS자동계산!X70="","",GLAPS자동계산!X70)</f>
        <v/>
      </c>
      <c r="X71" s="13" t="str">
        <f>IF(GLAPS자동계산!Y70="","",GLAPS자동계산!Y70)</f>
        <v/>
      </c>
      <c r="Y71" s="13" t="str">
        <f>IF(GLAPS자동계산!Z70="","",GLAPS자동계산!Z70)</f>
        <v/>
      </c>
      <c r="Z71" s="91" t="str">
        <f>IF(GLAPS자동계산!AA70="","",GLAPS자동계산!AA70)</f>
        <v/>
      </c>
      <c r="AA71" s="14" t="str">
        <f>IF(GLAPS자동계산!AB70="","",GLAPS자동계산!AB70)</f>
        <v/>
      </c>
      <c r="AC71" s="2" t="str">
        <f>IF($B71="","",$AC$1)</f>
        <v/>
      </c>
      <c r="AD71" s="2" t="str">
        <f>IF($B71="","",IFERROR(INDEX(GLAPS정리!$D$2:$D$50,MATCH(I71,GLAPS정리!$A$2:$A$50,0)),IFERROR(INDEX(GLAPS정리!$D$2:$D$50,MATCH(I71,GLAPS정리!$B$2:$B$50,0)),"")))</f>
        <v/>
      </c>
      <c r="AF71" s="2" t="str">
        <f>IF($B71="","",$AF$1)</f>
        <v/>
      </c>
      <c r="AI71" s="2" t="str">
        <f>IF($B71="","",IF(F71="","",VLOOKUP(F71,GLAPS정리!$G$3:$J$114,2,0)))</f>
        <v/>
      </c>
      <c r="AJ71" s="2" t="str">
        <f>IF($B71="","",IF(Z71="울산정일","KRONS",IF(Z71="울산신항","KRUSN",IF(OR(Z71="선광종합물류(인천여객)",Z71="인천여객(인천여객)"),"KRINF",IF(OR(Z71="선광인천보세(인천신)",Z71="한진인천(인천신)",Z71="선광인천신항(인천신)",Z71="인천더로지스(인천신)"),"KRINN",IF(OR(Z71="인천진아(인천항)",Z71="인천E1(인천항)",Z71="인천SM경인터미널(인천항)",Z71="인천항(인천항)",Z71="인천우련(인천항)",Z71="인천항8부두(인천항)"),"KRINC",VLOOKUP(K71,GLAPS정리!$BB$2:$BC$33,2,0)))))))</f>
        <v/>
      </c>
      <c r="AL71" s="2" t="str">
        <f>IF($B71="","",$AL$1)</f>
        <v/>
      </c>
      <c r="AN71" s="70" t="str">
        <f>IF($B71="","",TEXT(B71,"YYYY-MM-DD"))</f>
        <v/>
      </c>
      <c r="AO71" s="2" t="str">
        <f>IF($B71="","",IF(E71="오전", "0800", IF(E71="오후", "1300", IF(E71="잔업", "1800", ""))))</f>
        <v/>
      </c>
      <c r="AP71" s="2" t="str">
        <f>IF($B71="","",IF(C71="","",VLOOKUP(C71,GLAPS정리!$AX$2:$AZ$17,3,0)))</f>
        <v/>
      </c>
      <c r="AR71" s="2" t="str">
        <f>IF($B71="","",IF(X71="","",X71))</f>
        <v/>
      </c>
      <c r="AX71" s="2" t="str">
        <f>IF($B71="","",IF(L71="","",VLOOKUP(L71,GLAPS정리!$V$3:$W$180,2,0)))</f>
        <v/>
      </c>
      <c r="BM71" s="2" t="str">
        <f>IF($B71="","",IF(AND(Q71=1,OR(P71="",P71="위험물")), "2210", IF(AND(Q71=1,OR(P71="리퍼",P71="위험물리퍼")), "2230", IF(AND(S71=1,OR(P71="",P71="위험물")), "4510", IF(AND(S71=1,OR(P71="리퍼",P71="위험물리퍼")), "4530", IF(AND(R71=1,OR(P71="",P71="위험물")), "4210", IF(AND(R71=1,P71="리퍼"), "4230", " ")))))))</f>
        <v/>
      </c>
      <c r="BN71" s="2" t="str">
        <f>IF($B71="","",$BN$1)</f>
        <v/>
      </c>
      <c r="BR71" s="2" t="str">
        <f>IF($B71="","",IF(OR(P71="리퍼",P71="위험물리퍼"),"Y",""))</f>
        <v/>
      </c>
      <c r="BS71" s="2" t="str">
        <f>IF($B71="","",IF(OR(P71="위험물",P71="위험물리퍼"),"Y",""))</f>
        <v/>
      </c>
      <c r="BV71" s="2" t="str">
        <f>IF($B71="","",IF(O71="","",VLOOKUP(O71,GLAPS정리!$BH$2:$BI$94,2,0)))</f>
        <v/>
      </c>
      <c r="BW71" s="2" t="str">
        <f>IF($B71="","",IF(OR(Z71="동원",Z71="세방",Z71="한타"),"",IFERROR(INDEX(GLAPS정리!$BI$2:$BI$101,MATCH(Z71,GLAPS정리!$BH$2:$BH$101,0)),"")))</f>
        <v/>
      </c>
      <c r="BX71" s="2" t="str">
        <f>IF($B71="","",IF(Z71="","",IFERROR(VLOOKUP(Z71,GLAPS정리!$AX$2:$AZ$17,3,0),"")))</f>
        <v/>
      </c>
      <c r="BZ71" s="2" t="str">
        <f>IF($B71="","",IF(H71="","",VLOOKUP(H71,GLAPS정리!$L$3:$O$133,2,0)))</f>
        <v/>
      </c>
      <c r="CA71" s="2" t="str">
        <f>IF($B71="","",IF(V71="공휴일", 10, IF(V71="야간", 20, IF(V71="위험물", 30, IF(V71="중량", 40, "")))))</f>
        <v/>
      </c>
      <c r="CL71" s="2" t="str">
        <f>IF($B71="","",IF(AI71="","",VLOOKUP(AI71,GLAPS정리!$BT$3:$BV$26,3,0)))</f>
        <v/>
      </c>
    </row>
    <row r="72" spans="2:90" ht="20.45" customHeight="1">
      <c r="B72" s="13" t="str">
        <f>IF(GLAPS자동계산!C71="","",GLAPS자동계산!C71)</f>
        <v/>
      </c>
      <c r="C72" s="3" t="str">
        <f>IF(GLAPS자동계산!D71="","",GLAPS자동계산!D71)</f>
        <v/>
      </c>
      <c r="D72" s="16" t="str">
        <f>IF(GLAPS자동계산!E71="","",GLAPS자동계산!E71)</f>
        <v/>
      </c>
      <c r="E72" s="11" t="str">
        <f>IF(GLAPS자동계산!F71="","",GLAPS자동계산!F71)</f>
        <v/>
      </c>
      <c r="F72" s="3" t="str">
        <f>IF(GLAPS자동계산!G71="","",GLAPS자동계산!G71)</f>
        <v/>
      </c>
      <c r="G72" s="3" t="str">
        <f>IF(GLAPS자동계산!H71="","",GLAPS자동계산!H71)</f>
        <v/>
      </c>
      <c r="H72" s="3" t="str">
        <f>IF(GLAPS자동계산!I71="","",GLAPS자동계산!I71)</f>
        <v/>
      </c>
      <c r="I72" s="3" t="str">
        <f>IF(GLAPS자동계산!J71="","",GLAPS자동계산!J71)</f>
        <v/>
      </c>
      <c r="J72" s="3" t="str">
        <f>IF(GLAPS자동계산!K71="","",GLAPS자동계산!K71)</f>
        <v/>
      </c>
      <c r="K72" s="3" t="str">
        <f>IF(GLAPS자동계산!L71="","",GLAPS자동계산!L71)</f>
        <v/>
      </c>
      <c r="L72" s="3" t="str">
        <f>IF(GLAPS자동계산!M71="","",GLAPS자동계산!M71)</f>
        <v/>
      </c>
      <c r="M72" s="3" t="str">
        <f>IF(GLAPS자동계산!N71="","",GLAPS자동계산!N71)</f>
        <v/>
      </c>
      <c r="N72" s="3" t="str">
        <f>IF(GLAPS자동계산!O71="","",GLAPS자동계산!O71)</f>
        <v/>
      </c>
      <c r="O72" s="3" t="str">
        <f>IF(GLAPS자동계산!P71="","",GLAPS자동계산!P71)</f>
        <v/>
      </c>
      <c r="P72" s="2" t="str">
        <f>IF(GLAPS자동계산!Q71="","",GLAPS자동계산!Q71)</f>
        <v/>
      </c>
      <c r="Q72" s="3" t="str">
        <f>IF(GLAPS자동계산!R71="","",GLAPS자동계산!R71)</f>
        <v/>
      </c>
      <c r="R72" s="3" t="str">
        <f>IF(GLAPS자동계산!S71="","",GLAPS자동계산!S71)</f>
        <v/>
      </c>
      <c r="S72" s="3" t="str">
        <f>IF(GLAPS자동계산!T71="","",GLAPS자동계산!T71)</f>
        <v/>
      </c>
      <c r="T72" s="3" t="str">
        <f>IF(GLAPS자동계산!U71="","",GLAPS자동계산!U71)</f>
        <v/>
      </c>
      <c r="U72" s="3" t="str">
        <f>IF(GLAPS자동계산!V71="","",GLAPS자동계산!V71)</f>
        <v/>
      </c>
      <c r="V72" s="3" t="str">
        <f>IF(GLAPS자동계산!W71="","",GLAPS자동계산!W71)</f>
        <v/>
      </c>
      <c r="W72" s="14" t="str">
        <f>IF(GLAPS자동계산!X71="","",GLAPS자동계산!X71)</f>
        <v/>
      </c>
      <c r="X72" s="13" t="str">
        <f>IF(GLAPS자동계산!Y71="","",GLAPS자동계산!Y71)</f>
        <v/>
      </c>
      <c r="Y72" s="13" t="str">
        <f>IF(GLAPS자동계산!Z71="","",GLAPS자동계산!Z71)</f>
        <v/>
      </c>
      <c r="Z72" s="91" t="str">
        <f>IF(GLAPS자동계산!AA71="","",GLAPS자동계산!AA71)</f>
        <v/>
      </c>
      <c r="AA72" s="14" t="str">
        <f>IF(GLAPS자동계산!AB71="","",GLAPS자동계산!AB71)</f>
        <v/>
      </c>
      <c r="AC72" s="2" t="str">
        <f>IF($B72="","",$AC$1)</f>
        <v/>
      </c>
      <c r="AD72" s="2" t="str">
        <f>IF($B72="","",IFERROR(INDEX(GLAPS정리!$D$2:$D$50,MATCH(I72,GLAPS정리!$A$2:$A$50,0)),IFERROR(INDEX(GLAPS정리!$D$2:$D$50,MATCH(I72,GLAPS정리!$B$2:$B$50,0)),"")))</f>
        <v/>
      </c>
      <c r="AF72" s="2" t="str">
        <f>IF($B72="","",$AF$1)</f>
        <v/>
      </c>
      <c r="AI72" s="2" t="str">
        <f>IF($B72="","",IF(F72="","",VLOOKUP(F72,GLAPS정리!$G$3:$J$114,2,0)))</f>
        <v/>
      </c>
      <c r="AJ72" s="2" t="str">
        <f>IF($B72="","",IF(Z72="울산정일","KRONS",IF(Z72="울산신항","KRUSN",IF(OR(Z72="선광종합물류(인천여객)",Z72="인천여객(인천여객)"),"KRINF",IF(OR(Z72="선광인천보세(인천신)",Z72="한진인천(인천신)",Z72="선광인천신항(인천신)",Z72="인천더로지스(인천신)"),"KRINN",IF(OR(Z72="인천진아(인천항)",Z72="인천E1(인천항)",Z72="인천SM경인터미널(인천항)",Z72="인천항(인천항)",Z72="인천우련(인천항)",Z72="인천항8부두(인천항)"),"KRINC",VLOOKUP(K72,GLAPS정리!$BB$2:$BC$33,2,0)))))))</f>
        <v/>
      </c>
      <c r="AL72" s="2" t="str">
        <f>IF($B72="","",$AL$1)</f>
        <v/>
      </c>
      <c r="AN72" s="70" t="str">
        <f>IF($B72="","",TEXT(B72,"YYYY-MM-DD"))</f>
        <v/>
      </c>
      <c r="AO72" s="2" t="str">
        <f>IF($B72="","",IF(E72="오전", "0800", IF(E72="오후", "1300", IF(E72="잔업", "1800", ""))))</f>
        <v/>
      </c>
      <c r="AP72" s="2" t="str">
        <f>IF($B72="","",IF(C72="","",VLOOKUP(C72,GLAPS정리!$AX$2:$AZ$17,3,0)))</f>
        <v/>
      </c>
      <c r="AR72" s="2" t="str">
        <f>IF($B72="","",IF(X72="","",X72))</f>
        <v/>
      </c>
      <c r="AX72" s="2" t="str">
        <f>IF($B72="","",IF(L72="","",VLOOKUP(L72,GLAPS정리!$V$3:$W$180,2,0)))</f>
        <v/>
      </c>
      <c r="BM72" s="2" t="str">
        <f>IF($B72="","",IF(AND(Q72=1,OR(P72="",P72="위험물")), "2210", IF(AND(Q72=1,OR(P72="리퍼",P72="위험물리퍼")), "2230", IF(AND(S72=1,OR(P72="",P72="위험물")), "4510", IF(AND(S72=1,OR(P72="리퍼",P72="위험물리퍼")), "4530", IF(AND(R72=1,OR(P72="",P72="위험물")), "4210", IF(AND(R72=1,P72="리퍼"), "4230", " ")))))))</f>
        <v/>
      </c>
      <c r="BN72" s="2" t="str">
        <f>IF($B72="","",$BN$1)</f>
        <v/>
      </c>
      <c r="BR72" s="2" t="str">
        <f>IF($B72="","",IF(OR(P72="리퍼",P72="위험물리퍼"),"Y",""))</f>
        <v/>
      </c>
      <c r="BS72" s="2" t="str">
        <f>IF($B72="","",IF(OR(P72="위험물",P72="위험물리퍼"),"Y",""))</f>
        <v/>
      </c>
      <c r="BV72" s="2" t="str">
        <f>IF($B72="","",IF(O72="","",VLOOKUP(O72,GLAPS정리!$BH$2:$BI$94,2,0)))</f>
        <v/>
      </c>
      <c r="BW72" s="2" t="str">
        <f>IF($B72="","",IF(OR(Z72="동원",Z72="세방",Z72="한타"),"",IFERROR(INDEX(GLAPS정리!$BI$2:$BI$101,MATCH(Z72,GLAPS정리!$BH$2:$BH$101,0)),"")))</f>
        <v/>
      </c>
      <c r="BX72" s="2" t="str">
        <f>IF($B72="","",IF(Z72="","",IFERROR(VLOOKUP(Z72,GLAPS정리!$AX$2:$AZ$17,3,0),"")))</f>
        <v/>
      </c>
      <c r="BZ72" s="2" t="str">
        <f>IF($B72="","",IF(H72="","",VLOOKUP(H72,GLAPS정리!$L$3:$O$133,2,0)))</f>
        <v/>
      </c>
      <c r="CA72" s="2" t="str">
        <f>IF($B72="","",IF(V72="공휴일", 10, IF(V72="야간", 20, IF(V72="위험물", 30, IF(V72="중량", 40, "")))))</f>
        <v/>
      </c>
      <c r="CL72" s="2" t="str">
        <f>IF($B72="","",IF(AI72="","",VLOOKUP(AI72,GLAPS정리!$BT$3:$BV$26,3,0)))</f>
        <v/>
      </c>
    </row>
    <row r="73" spans="2:90" ht="20.45" customHeight="1">
      <c r="B73" s="13" t="str">
        <f>IF(GLAPS자동계산!C72="","",GLAPS자동계산!C72)</f>
        <v/>
      </c>
      <c r="C73" s="3" t="str">
        <f>IF(GLAPS자동계산!D72="","",GLAPS자동계산!D72)</f>
        <v/>
      </c>
      <c r="D73" s="16" t="str">
        <f>IF(GLAPS자동계산!E72="","",GLAPS자동계산!E72)</f>
        <v/>
      </c>
      <c r="E73" s="11" t="str">
        <f>IF(GLAPS자동계산!F72="","",GLAPS자동계산!F72)</f>
        <v/>
      </c>
      <c r="F73" s="3" t="str">
        <f>IF(GLAPS자동계산!G72="","",GLAPS자동계산!G72)</f>
        <v/>
      </c>
      <c r="G73" s="3" t="str">
        <f>IF(GLAPS자동계산!H72="","",GLAPS자동계산!H72)</f>
        <v/>
      </c>
      <c r="H73" s="3" t="str">
        <f>IF(GLAPS자동계산!I72="","",GLAPS자동계산!I72)</f>
        <v/>
      </c>
      <c r="I73" s="3" t="str">
        <f>IF(GLAPS자동계산!J72="","",GLAPS자동계산!J72)</f>
        <v/>
      </c>
      <c r="J73" s="3" t="str">
        <f>IF(GLAPS자동계산!K72="","",GLAPS자동계산!K72)</f>
        <v/>
      </c>
      <c r="K73" s="3" t="str">
        <f>IF(GLAPS자동계산!L72="","",GLAPS자동계산!L72)</f>
        <v/>
      </c>
      <c r="L73" s="3" t="str">
        <f>IF(GLAPS자동계산!M72="","",GLAPS자동계산!M72)</f>
        <v/>
      </c>
      <c r="M73" s="3" t="str">
        <f>IF(GLAPS자동계산!N72="","",GLAPS자동계산!N72)</f>
        <v/>
      </c>
      <c r="N73" s="3" t="str">
        <f>IF(GLAPS자동계산!O72="","",GLAPS자동계산!O72)</f>
        <v/>
      </c>
      <c r="O73" s="3" t="str">
        <f>IF(GLAPS자동계산!P72="","",GLAPS자동계산!P72)</f>
        <v/>
      </c>
      <c r="P73" s="2" t="str">
        <f>IF(GLAPS자동계산!Q72="","",GLAPS자동계산!Q72)</f>
        <v/>
      </c>
      <c r="Q73" s="3" t="str">
        <f>IF(GLAPS자동계산!R72="","",GLAPS자동계산!R72)</f>
        <v/>
      </c>
      <c r="R73" s="3" t="str">
        <f>IF(GLAPS자동계산!S72="","",GLAPS자동계산!S72)</f>
        <v/>
      </c>
      <c r="S73" s="3" t="str">
        <f>IF(GLAPS자동계산!T72="","",GLAPS자동계산!T72)</f>
        <v/>
      </c>
      <c r="T73" s="3" t="str">
        <f>IF(GLAPS자동계산!U72="","",GLAPS자동계산!U72)</f>
        <v/>
      </c>
      <c r="U73" s="3" t="str">
        <f>IF(GLAPS자동계산!V72="","",GLAPS자동계산!V72)</f>
        <v/>
      </c>
      <c r="V73" s="3" t="str">
        <f>IF(GLAPS자동계산!W72="","",GLAPS자동계산!W72)</f>
        <v/>
      </c>
      <c r="W73" s="14" t="str">
        <f>IF(GLAPS자동계산!X72="","",GLAPS자동계산!X72)</f>
        <v/>
      </c>
      <c r="X73" s="13" t="str">
        <f>IF(GLAPS자동계산!Y72="","",GLAPS자동계산!Y72)</f>
        <v/>
      </c>
      <c r="Y73" s="13" t="str">
        <f>IF(GLAPS자동계산!Z72="","",GLAPS자동계산!Z72)</f>
        <v/>
      </c>
      <c r="Z73" s="91" t="str">
        <f>IF(GLAPS자동계산!AA72="","",GLAPS자동계산!AA72)</f>
        <v/>
      </c>
      <c r="AA73" s="14" t="str">
        <f>IF(GLAPS자동계산!AB72="","",GLAPS자동계산!AB72)</f>
        <v/>
      </c>
      <c r="AC73" s="2" t="str">
        <f>IF($B73="","",$AC$1)</f>
        <v/>
      </c>
      <c r="AD73" s="2" t="str">
        <f>IF($B73="","",IFERROR(INDEX(GLAPS정리!$D$2:$D$50,MATCH(I73,GLAPS정리!$A$2:$A$50,0)),IFERROR(INDEX(GLAPS정리!$D$2:$D$50,MATCH(I73,GLAPS정리!$B$2:$B$50,0)),"")))</f>
        <v/>
      </c>
      <c r="AF73" s="2" t="str">
        <f>IF($B73="","",$AF$1)</f>
        <v/>
      </c>
      <c r="AI73" s="2" t="str">
        <f>IF($B73="","",IF(F73="","",VLOOKUP(F73,GLAPS정리!$G$3:$J$114,2,0)))</f>
        <v/>
      </c>
      <c r="AJ73" s="2" t="str">
        <f>IF($B73="","",IF(Z73="울산정일","KRONS",IF(Z73="울산신항","KRUSN",IF(OR(Z73="선광종합물류(인천여객)",Z73="인천여객(인천여객)"),"KRINF",IF(OR(Z73="선광인천보세(인천신)",Z73="한진인천(인천신)",Z73="선광인천신항(인천신)",Z73="인천더로지스(인천신)"),"KRINN",IF(OR(Z73="인천진아(인천항)",Z73="인천E1(인천항)",Z73="인천SM경인터미널(인천항)",Z73="인천항(인천항)",Z73="인천우련(인천항)",Z73="인천항8부두(인천항)"),"KRINC",VLOOKUP(K73,GLAPS정리!$BB$2:$BC$33,2,0)))))))</f>
        <v/>
      </c>
      <c r="AL73" s="2" t="str">
        <f>IF($B73="","",$AL$1)</f>
        <v/>
      </c>
      <c r="AN73" s="70" t="str">
        <f>IF($B73="","",TEXT(B73,"YYYY-MM-DD"))</f>
        <v/>
      </c>
      <c r="AO73" s="2" t="str">
        <f>IF($B73="","",IF(E73="오전", "0800", IF(E73="오후", "1300", IF(E73="잔업", "1800", ""))))</f>
        <v/>
      </c>
      <c r="AP73" s="2" t="str">
        <f>IF($B73="","",IF(C73="","",VLOOKUP(C73,GLAPS정리!$AX$2:$AZ$17,3,0)))</f>
        <v/>
      </c>
      <c r="AR73" s="2" t="str">
        <f>IF($B73="","",IF(X73="","",X73))</f>
        <v/>
      </c>
      <c r="AX73" s="2" t="str">
        <f>IF($B73="","",IF(L73="","",VLOOKUP(L73,GLAPS정리!$V$3:$W$180,2,0)))</f>
        <v/>
      </c>
      <c r="BM73" s="2" t="str">
        <f>IF($B73="","",IF(AND(Q73=1,OR(P73="",P73="위험물")), "2210", IF(AND(Q73=1,OR(P73="리퍼",P73="위험물리퍼")), "2230", IF(AND(S73=1,OR(P73="",P73="위험물")), "4510", IF(AND(S73=1,OR(P73="리퍼",P73="위험물리퍼")), "4530", IF(AND(R73=1,OR(P73="",P73="위험물")), "4210", IF(AND(R73=1,P73="리퍼"), "4230", " ")))))))</f>
        <v/>
      </c>
      <c r="BN73" s="2" t="str">
        <f>IF($B73="","",$BN$1)</f>
        <v/>
      </c>
      <c r="BR73" s="2" t="str">
        <f>IF($B73="","",IF(OR(P73="리퍼",P73="위험물리퍼"),"Y",""))</f>
        <v/>
      </c>
      <c r="BS73" s="2" t="str">
        <f>IF($B73="","",IF(OR(P73="위험물",P73="위험물리퍼"),"Y",""))</f>
        <v/>
      </c>
      <c r="BV73" s="2" t="str">
        <f>IF($B73="","",IF(O73="","",VLOOKUP(O73,GLAPS정리!$BH$2:$BI$94,2,0)))</f>
        <v/>
      </c>
      <c r="BW73" s="2" t="str">
        <f>IF($B73="","",IF(OR(Z73="동원",Z73="세방",Z73="한타"),"",IFERROR(INDEX(GLAPS정리!$BI$2:$BI$101,MATCH(Z73,GLAPS정리!$BH$2:$BH$101,0)),"")))</f>
        <v/>
      </c>
      <c r="BX73" s="2" t="str">
        <f>IF($B73="","",IF(Z73="","",IFERROR(VLOOKUP(Z73,GLAPS정리!$AX$2:$AZ$17,3,0),"")))</f>
        <v/>
      </c>
      <c r="BZ73" s="2" t="str">
        <f>IF($B73="","",IF(H73="","",VLOOKUP(H73,GLAPS정리!$L$3:$O$133,2,0)))</f>
        <v/>
      </c>
      <c r="CA73" s="2" t="str">
        <f>IF($B73="","",IF(V73="공휴일", 10, IF(V73="야간", 20, IF(V73="위험물", 30, IF(V73="중량", 40, "")))))</f>
        <v/>
      </c>
      <c r="CL73" s="2" t="str">
        <f>IF($B73="","",IF(AI73="","",VLOOKUP(AI73,GLAPS정리!$BT$3:$BV$26,3,0)))</f>
        <v/>
      </c>
    </row>
    <row r="74" spans="2:90" ht="20.45" customHeight="1">
      <c r="B74" s="13" t="str">
        <f>IF(GLAPS자동계산!C73="","",GLAPS자동계산!C73)</f>
        <v/>
      </c>
      <c r="C74" s="3" t="str">
        <f>IF(GLAPS자동계산!D73="","",GLAPS자동계산!D73)</f>
        <v/>
      </c>
      <c r="D74" s="16" t="str">
        <f>IF(GLAPS자동계산!E73="","",GLAPS자동계산!E73)</f>
        <v/>
      </c>
      <c r="E74" s="11" t="str">
        <f>IF(GLAPS자동계산!F73="","",GLAPS자동계산!F73)</f>
        <v/>
      </c>
      <c r="F74" s="3" t="str">
        <f>IF(GLAPS자동계산!G73="","",GLAPS자동계산!G73)</f>
        <v/>
      </c>
      <c r="G74" s="3" t="str">
        <f>IF(GLAPS자동계산!H73="","",GLAPS자동계산!H73)</f>
        <v/>
      </c>
      <c r="H74" s="3" t="str">
        <f>IF(GLAPS자동계산!I73="","",GLAPS자동계산!I73)</f>
        <v/>
      </c>
      <c r="I74" s="3" t="str">
        <f>IF(GLAPS자동계산!J73="","",GLAPS자동계산!J73)</f>
        <v/>
      </c>
      <c r="J74" s="3" t="str">
        <f>IF(GLAPS자동계산!K73="","",GLAPS자동계산!K73)</f>
        <v/>
      </c>
      <c r="K74" s="3" t="str">
        <f>IF(GLAPS자동계산!L73="","",GLAPS자동계산!L73)</f>
        <v/>
      </c>
      <c r="L74" s="3" t="str">
        <f>IF(GLAPS자동계산!M73="","",GLAPS자동계산!M73)</f>
        <v/>
      </c>
      <c r="M74" s="3" t="str">
        <f>IF(GLAPS자동계산!N73="","",GLAPS자동계산!N73)</f>
        <v/>
      </c>
      <c r="N74" s="3" t="str">
        <f>IF(GLAPS자동계산!O73="","",GLAPS자동계산!O73)</f>
        <v/>
      </c>
      <c r="O74" s="3" t="str">
        <f>IF(GLAPS자동계산!P73="","",GLAPS자동계산!P73)</f>
        <v/>
      </c>
      <c r="P74" s="2" t="str">
        <f>IF(GLAPS자동계산!Q73="","",GLAPS자동계산!Q73)</f>
        <v/>
      </c>
      <c r="Q74" s="3" t="str">
        <f>IF(GLAPS자동계산!R73="","",GLAPS자동계산!R73)</f>
        <v/>
      </c>
      <c r="R74" s="3" t="str">
        <f>IF(GLAPS자동계산!S73="","",GLAPS자동계산!S73)</f>
        <v/>
      </c>
      <c r="S74" s="3" t="str">
        <f>IF(GLAPS자동계산!T73="","",GLAPS자동계산!T73)</f>
        <v/>
      </c>
      <c r="T74" s="3" t="str">
        <f>IF(GLAPS자동계산!U73="","",GLAPS자동계산!U73)</f>
        <v/>
      </c>
      <c r="U74" s="3" t="str">
        <f>IF(GLAPS자동계산!V73="","",GLAPS자동계산!V73)</f>
        <v/>
      </c>
      <c r="V74" s="3" t="str">
        <f>IF(GLAPS자동계산!W73="","",GLAPS자동계산!W73)</f>
        <v/>
      </c>
      <c r="W74" s="14" t="str">
        <f>IF(GLAPS자동계산!X73="","",GLAPS자동계산!X73)</f>
        <v/>
      </c>
      <c r="X74" s="13" t="str">
        <f>IF(GLAPS자동계산!Y73="","",GLAPS자동계산!Y73)</f>
        <v/>
      </c>
      <c r="Y74" s="13" t="str">
        <f>IF(GLAPS자동계산!Z73="","",GLAPS자동계산!Z73)</f>
        <v/>
      </c>
      <c r="Z74" s="91" t="str">
        <f>IF(GLAPS자동계산!AA73="","",GLAPS자동계산!AA73)</f>
        <v/>
      </c>
      <c r="AA74" s="14" t="str">
        <f>IF(GLAPS자동계산!AB73="","",GLAPS자동계산!AB73)</f>
        <v/>
      </c>
      <c r="AC74" s="2" t="str">
        <f>IF($B74="","",$AC$1)</f>
        <v/>
      </c>
      <c r="AD74" s="2" t="str">
        <f>IF($B74="","",IFERROR(INDEX(GLAPS정리!$D$2:$D$50,MATCH(I74,GLAPS정리!$A$2:$A$50,0)),IFERROR(INDEX(GLAPS정리!$D$2:$D$50,MATCH(I74,GLAPS정리!$B$2:$B$50,0)),"")))</f>
        <v/>
      </c>
      <c r="AF74" s="2" t="str">
        <f>IF($B74="","",$AF$1)</f>
        <v/>
      </c>
      <c r="AI74" s="2" t="str">
        <f>IF($B74="","",IF(F74="","",VLOOKUP(F74,GLAPS정리!$G$3:$J$114,2,0)))</f>
        <v/>
      </c>
      <c r="AJ74" s="2" t="str">
        <f>IF($B74="","",IF(Z74="울산정일","KRONS",IF(Z74="울산신항","KRUSN",IF(OR(Z74="선광종합물류(인천여객)",Z74="인천여객(인천여객)"),"KRINF",IF(OR(Z74="선광인천보세(인천신)",Z74="한진인천(인천신)",Z74="선광인천신항(인천신)",Z74="인천더로지스(인천신)"),"KRINN",IF(OR(Z74="인천진아(인천항)",Z74="인천E1(인천항)",Z74="인천SM경인터미널(인천항)",Z74="인천항(인천항)",Z74="인천우련(인천항)",Z74="인천항8부두(인천항)"),"KRINC",VLOOKUP(K74,GLAPS정리!$BB$2:$BC$33,2,0)))))))</f>
        <v/>
      </c>
      <c r="AL74" s="2" t="str">
        <f>IF($B74="","",$AL$1)</f>
        <v/>
      </c>
      <c r="AN74" s="70" t="str">
        <f>IF($B74="","",TEXT(B74,"YYYY-MM-DD"))</f>
        <v/>
      </c>
      <c r="AO74" s="2" t="str">
        <f>IF($B74="","",IF(E74="오전", "0800", IF(E74="오후", "1300", IF(E74="잔업", "1800", ""))))</f>
        <v/>
      </c>
      <c r="AP74" s="2" t="str">
        <f>IF($B74="","",IF(C74="","",VLOOKUP(C74,GLAPS정리!$AX$2:$AZ$17,3,0)))</f>
        <v/>
      </c>
      <c r="AR74" s="2" t="str">
        <f>IF($B74="","",IF(X74="","",X74))</f>
        <v/>
      </c>
      <c r="AX74" s="2" t="str">
        <f>IF($B74="","",IF(L74="","",VLOOKUP(L74,GLAPS정리!$V$3:$W$180,2,0)))</f>
        <v/>
      </c>
      <c r="BM74" s="2" t="str">
        <f>IF($B74="","",IF(AND(Q74=1,OR(P74="",P74="위험물")), "2210", IF(AND(Q74=1,OR(P74="리퍼",P74="위험물리퍼")), "2230", IF(AND(S74=1,OR(P74="",P74="위험물")), "4510", IF(AND(S74=1,OR(P74="리퍼",P74="위험물리퍼")), "4530", IF(AND(R74=1,OR(P74="",P74="위험물")), "4210", IF(AND(R74=1,P74="리퍼"), "4230", " ")))))))</f>
        <v/>
      </c>
      <c r="BN74" s="2" t="str">
        <f>IF($B74="","",$BN$1)</f>
        <v/>
      </c>
      <c r="BR74" s="2" t="str">
        <f>IF($B74="","",IF(OR(P74="리퍼",P74="위험물리퍼"),"Y",""))</f>
        <v/>
      </c>
      <c r="BS74" s="2" t="str">
        <f>IF($B74="","",IF(OR(P74="위험물",P74="위험물리퍼"),"Y",""))</f>
        <v/>
      </c>
      <c r="BV74" s="2" t="str">
        <f>IF($B74="","",IF(O74="","",VLOOKUP(O74,GLAPS정리!$BH$2:$BI$94,2,0)))</f>
        <v/>
      </c>
      <c r="BW74" s="2" t="str">
        <f>IF($B74="","",IF(OR(Z74="동원",Z74="세방",Z74="한타"),"",IFERROR(INDEX(GLAPS정리!$BI$2:$BI$101,MATCH(Z74,GLAPS정리!$BH$2:$BH$101,0)),"")))</f>
        <v/>
      </c>
      <c r="BX74" s="2" t="str">
        <f>IF($B74="","",IF(Z74="","",IFERROR(VLOOKUP(Z74,GLAPS정리!$AX$2:$AZ$17,3,0),"")))</f>
        <v/>
      </c>
      <c r="BZ74" s="2" t="str">
        <f>IF($B74="","",IF(H74="","",VLOOKUP(H74,GLAPS정리!$L$3:$O$133,2,0)))</f>
        <v/>
      </c>
      <c r="CA74" s="2" t="str">
        <f>IF($B74="","",IF(V74="공휴일", 10, IF(V74="야간", 20, IF(V74="위험물", 30, IF(V74="중량", 40, "")))))</f>
        <v/>
      </c>
      <c r="CL74" s="2" t="str">
        <f>IF($B74="","",IF(AI74="","",VLOOKUP(AI74,GLAPS정리!$BT$3:$BV$26,3,0)))</f>
        <v/>
      </c>
    </row>
    <row r="75" spans="2:90" ht="20.45" customHeight="1">
      <c r="B75" s="13" t="str">
        <f>IF(GLAPS자동계산!C74="","",GLAPS자동계산!C74)</f>
        <v/>
      </c>
      <c r="C75" s="3" t="str">
        <f>IF(GLAPS자동계산!D74="","",GLAPS자동계산!D74)</f>
        <v/>
      </c>
      <c r="D75" s="16" t="str">
        <f>IF(GLAPS자동계산!E74="","",GLAPS자동계산!E74)</f>
        <v/>
      </c>
      <c r="E75" s="11" t="str">
        <f>IF(GLAPS자동계산!F74="","",GLAPS자동계산!F74)</f>
        <v/>
      </c>
      <c r="F75" s="3" t="str">
        <f>IF(GLAPS자동계산!G74="","",GLAPS자동계산!G74)</f>
        <v/>
      </c>
      <c r="G75" s="3" t="str">
        <f>IF(GLAPS자동계산!H74="","",GLAPS자동계산!H74)</f>
        <v/>
      </c>
      <c r="H75" s="3" t="str">
        <f>IF(GLAPS자동계산!I74="","",GLAPS자동계산!I74)</f>
        <v/>
      </c>
      <c r="I75" s="3" t="str">
        <f>IF(GLAPS자동계산!J74="","",GLAPS자동계산!J74)</f>
        <v/>
      </c>
      <c r="J75" s="3" t="str">
        <f>IF(GLAPS자동계산!K74="","",GLAPS자동계산!K74)</f>
        <v/>
      </c>
      <c r="K75" s="3" t="str">
        <f>IF(GLAPS자동계산!L74="","",GLAPS자동계산!L74)</f>
        <v/>
      </c>
      <c r="L75" s="3" t="str">
        <f>IF(GLAPS자동계산!M74="","",GLAPS자동계산!M74)</f>
        <v/>
      </c>
      <c r="M75" s="3" t="str">
        <f>IF(GLAPS자동계산!N74="","",GLAPS자동계산!N74)</f>
        <v/>
      </c>
      <c r="N75" s="3" t="str">
        <f>IF(GLAPS자동계산!O74="","",GLAPS자동계산!O74)</f>
        <v/>
      </c>
      <c r="O75" s="3" t="str">
        <f>IF(GLAPS자동계산!P74="","",GLAPS자동계산!P74)</f>
        <v/>
      </c>
      <c r="P75" s="2" t="str">
        <f>IF(GLAPS자동계산!Q74="","",GLAPS자동계산!Q74)</f>
        <v/>
      </c>
      <c r="Q75" s="3" t="str">
        <f>IF(GLAPS자동계산!R74="","",GLAPS자동계산!R74)</f>
        <v/>
      </c>
      <c r="R75" s="3" t="str">
        <f>IF(GLAPS자동계산!S74="","",GLAPS자동계산!S74)</f>
        <v/>
      </c>
      <c r="S75" s="3" t="str">
        <f>IF(GLAPS자동계산!T74="","",GLAPS자동계산!T74)</f>
        <v/>
      </c>
      <c r="T75" s="3" t="str">
        <f>IF(GLAPS자동계산!U74="","",GLAPS자동계산!U74)</f>
        <v/>
      </c>
      <c r="U75" s="3" t="str">
        <f>IF(GLAPS자동계산!V74="","",GLAPS자동계산!V74)</f>
        <v/>
      </c>
      <c r="V75" s="3" t="str">
        <f>IF(GLAPS자동계산!W74="","",GLAPS자동계산!W74)</f>
        <v/>
      </c>
      <c r="W75" s="14" t="str">
        <f>IF(GLAPS자동계산!X74="","",GLAPS자동계산!X74)</f>
        <v/>
      </c>
      <c r="X75" s="13" t="str">
        <f>IF(GLAPS자동계산!Y74="","",GLAPS자동계산!Y74)</f>
        <v/>
      </c>
      <c r="Y75" s="13" t="str">
        <f>IF(GLAPS자동계산!Z74="","",GLAPS자동계산!Z74)</f>
        <v/>
      </c>
      <c r="Z75" s="91" t="str">
        <f>IF(GLAPS자동계산!AA74="","",GLAPS자동계산!AA74)</f>
        <v/>
      </c>
      <c r="AA75" s="14" t="str">
        <f>IF(GLAPS자동계산!AB74="","",GLAPS자동계산!AB74)</f>
        <v/>
      </c>
      <c r="AC75" s="2" t="str">
        <f>IF($B75="","",$AC$1)</f>
        <v/>
      </c>
      <c r="AD75" s="2" t="str">
        <f>IF($B75="","",IFERROR(INDEX(GLAPS정리!$D$2:$D$50,MATCH(I75,GLAPS정리!$A$2:$A$50,0)),IFERROR(INDEX(GLAPS정리!$D$2:$D$50,MATCH(I75,GLAPS정리!$B$2:$B$50,0)),"")))</f>
        <v/>
      </c>
      <c r="AF75" s="2" t="str">
        <f>IF($B75="","",$AF$1)</f>
        <v/>
      </c>
      <c r="AI75" s="2" t="str">
        <f>IF($B75="","",IF(F75="","",VLOOKUP(F75,GLAPS정리!$G$3:$J$114,2,0)))</f>
        <v/>
      </c>
      <c r="AJ75" s="2" t="str">
        <f>IF($B75="","",IF(Z75="울산정일","KRONS",IF(Z75="울산신항","KRUSN",IF(OR(Z75="선광종합물류(인천여객)",Z75="인천여객(인천여객)"),"KRINF",IF(OR(Z75="선광인천보세(인천신)",Z75="한진인천(인천신)",Z75="선광인천신항(인천신)",Z75="인천더로지스(인천신)"),"KRINN",IF(OR(Z75="인천진아(인천항)",Z75="인천E1(인천항)",Z75="인천SM경인터미널(인천항)",Z75="인천항(인천항)",Z75="인천우련(인천항)",Z75="인천항8부두(인천항)"),"KRINC",VLOOKUP(K75,GLAPS정리!$BB$2:$BC$33,2,0)))))))</f>
        <v/>
      </c>
      <c r="AL75" s="2" t="str">
        <f>IF($B75="","",$AL$1)</f>
        <v/>
      </c>
      <c r="AN75" s="70" t="str">
        <f>IF($B75="","",TEXT(B75,"YYYY-MM-DD"))</f>
        <v/>
      </c>
      <c r="AO75" s="2" t="str">
        <f>IF($B75="","",IF(E75="오전", "0800", IF(E75="오후", "1300", IF(E75="잔업", "1800", ""))))</f>
        <v/>
      </c>
      <c r="AP75" s="2" t="str">
        <f>IF($B75="","",IF(C75="","",VLOOKUP(C75,GLAPS정리!$AX$2:$AZ$17,3,0)))</f>
        <v/>
      </c>
      <c r="AR75" s="2" t="str">
        <f>IF($B75="","",IF(X75="","",X75))</f>
        <v/>
      </c>
      <c r="AX75" s="2" t="str">
        <f>IF($B75="","",IF(L75="","",VLOOKUP(L75,GLAPS정리!$V$3:$W$180,2,0)))</f>
        <v/>
      </c>
      <c r="BM75" s="2" t="str">
        <f>IF($B75="","",IF(AND(Q75=1,OR(P75="",P75="위험물")), "2210", IF(AND(Q75=1,OR(P75="리퍼",P75="위험물리퍼")), "2230", IF(AND(S75=1,OR(P75="",P75="위험물")), "4510", IF(AND(S75=1,OR(P75="리퍼",P75="위험물리퍼")), "4530", IF(AND(R75=1,OR(P75="",P75="위험물")), "4210", IF(AND(R75=1,P75="리퍼"), "4230", " ")))))))</f>
        <v/>
      </c>
      <c r="BN75" s="2" t="str">
        <f>IF($B75="","",$BN$1)</f>
        <v/>
      </c>
      <c r="BR75" s="2" t="str">
        <f>IF($B75="","",IF(OR(P75="리퍼",P75="위험물리퍼"),"Y",""))</f>
        <v/>
      </c>
      <c r="BS75" s="2" t="str">
        <f>IF($B75="","",IF(OR(P75="위험물",P75="위험물리퍼"),"Y",""))</f>
        <v/>
      </c>
      <c r="BV75" s="2" t="str">
        <f>IF($B75="","",IF(O75="","",VLOOKUP(O75,GLAPS정리!$BH$2:$BI$94,2,0)))</f>
        <v/>
      </c>
      <c r="BW75" s="2" t="str">
        <f>IF($B75="","",IF(OR(Z75="동원",Z75="세방",Z75="한타"),"",IFERROR(INDEX(GLAPS정리!$BI$2:$BI$101,MATCH(Z75,GLAPS정리!$BH$2:$BH$101,0)),"")))</f>
        <v/>
      </c>
      <c r="BX75" s="2" t="str">
        <f>IF($B75="","",IF(Z75="","",IFERROR(VLOOKUP(Z75,GLAPS정리!$AX$2:$AZ$17,3,0),"")))</f>
        <v/>
      </c>
      <c r="BZ75" s="2" t="str">
        <f>IF($B75="","",IF(H75="","",VLOOKUP(H75,GLAPS정리!$L$3:$O$133,2,0)))</f>
        <v/>
      </c>
      <c r="CA75" s="2" t="str">
        <f>IF($B75="","",IF(V75="공휴일", 10, IF(V75="야간", 20, IF(V75="위험물", 30, IF(V75="중량", 40, "")))))</f>
        <v/>
      </c>
      <c r="CL75" s="2" t="str">
        <f>IF($B75="","",IF(AI75="","",VLOOKUP(AI75,GLAPS정리!$BT$3:$BV$26,3,0)))</f>
        <v/>
      </c>
    </row>
    <row r="76" spans="2:90" ht="20.45" customHeight="1">
      <c r="B76" s="13" t="str">
        <f>IF(GLAPS자동계산!C75="","",GLAPS자동계산!C75)</f>
        <v/>
      </c>
      <c r="C76" s="3" t="str">
        <f>IF(GLAPS자동계산!D75="","",GLAPS자동계산!D75)</f>
        <v/>
      </c>
      <c r="D76" s="16" t="str">
        <f>IF(GLAPS자동계산!E75="","",GLAPS자동계산!E75)</f>
        <v/>
      </c>
      <c r="E76" s="11" t="str">
        <f>IF(GLAPS자동계산!F75="","",GLAPS자동계산!F75)</f>
        <v/>
      </c>
      <c r="F76" s="3" t="str">
        <f>IF(GLAPS자동계산!G75="","",GLAPS자동계산!G75)</f>
        <v/>
      </c>
      <c r="G76" s="3" t="str">
        <f>IF(GLAPS자동계산!H75="","",GLAPS자동계산!H75)</f>
        <v/>
      </c>
      <c r="H76" s="3" t="str">
        <f>IF(GLAPS자동계산!I75="","",GLAPS자동계산!I75)</f>
        <v/>
      </c>
      <c r="I76" s="3" t="str">
        <f>IF(GLAPS자동계산!J75="","",GLAPS자동계산!J75)</f>
        <v/>
      </c>
      <c r="J76" s="3" t="str">
        <f>IF(GLAPS자동계산!K75="","",GLAPS자동계산!K75)</f>
        <v/>
      </c>
      <c r="K76" s="3" t="str">
        <f>IF(GLAPS자동계산!L75="","",GLAPS자동계산!L75)</f>
        <v/>
      </c>
      <c r="L76" s="3" t="str">
        <f>IF(GLAPS자동계산!M75="","",GLAPS자동계산!M75)</f>
        <v/>
      </c>
      <c r="M76" s="3" t="str">
        <f>IF(GLAPS자동계산!N75="","",GLAPS자동계산!N75)</f>
        <v/>
      </c>
      <c r="N76" s="3" t="str">
        <f>IF(GLAPS자동계산!O75="","",GLAPS자동계산!O75)</f>
        <v/>
      </c>
      <c r="O76" s="3" t="str">
        <f>IF(GLAPS자동계산!P75="","",GLAPS자동계산!P75)</f>
        <v/>
      </c>
      <c r="P76" s="2" t="str">
        <f>IF(GLAPS자동계산!Q75="","",GLAPS자동계산!Q75)</f>
        <v/>
      </c>
      <c r="Q76" s="3" t="str">
        <f>IF(GLAPS자동계산!R75="","",GLAPS자동계산!R75)</f>
        <v/>
      </c>
      <c r="R76" s="3" t="str">
        <f>IF(GLAPS자동계산!S75="","",GLAPS자동계산!S75)</f>
        <v/>
      </c>
      <c r="S76" s="3" t="str">
        <f>IF(GLAPS자동계산!T75="","",GLAPS자동계산!T75)</f>
        <v/>
      </c>
      <c r="T76" s="3" t="str">
        <f>IF(GLAPS자동계산!U75="","",GLAPS자동계산!U75)</f>
        <v/>
      </c>
      <c r="U76" s="3" t="str">
        <f>IF(GLAPS자동계산!V75="","",GLAPS자동계산!V75)</f>
        <v/>
      </c>
      <c r="V76" s="3" t="str">
        <f>IF(GLAPS자동계산!W75="","",GLAPS자동계산!W75)</f>
        <v/>
      </c>
      <c r="W76" s="14" t="str">
        <f>IF(GLAPS자동계산!X75="","",GLAPS자동계산!X75)</f>
        <v/>
      </c>
      <c r="X76" s="13" t="str">
        <f>IF(GLAPS자동계산!Y75="","",GLAPS자동계산!Y75)</f>
        <v/>
      </c>
      <c r="Y76" s="13" t="str">
        <f>IF(GLAPS자동계산!Z75="","",GLAPS자동계산!Z75)</f>
        <v/>
      </c>
      <c r="Z76" s="91" t="str">
        <f>IF(GLAPS자동계산!AA75="","",GLAPS자동계산!AA75)</f>
        <v/>
      </c>
      <c r="AA76" s="14" t="str">
        <f>IF(GLAPS자동계산!AB75="","",GLAPS자동계산!AB75)</f>
        <v/>
      </c>
      <c r="AC76" s="2" t="str">
        <f>IF($B76="","",$AC$1)</f>
        <v/>
      </c>
      <c r="AD76" s="2" t="str">
        <f>IF($B76="","",IFERROR(INDEX(GLAPS정리!$D$2:$D$50,MATCH(I76,GLAPS정리!$A$2:$A$50,0)),IFERROR(INDEX(GLAPS정리!$D$2:$D$50,MATCH(I76,GLAPS정리!$B$2:$B$50,0)),"")))</f>
        <v/>
      </c>
      <c r="AF76" s="2" t="str">
        <f>IF($B76="","",$AF$1)</f>
        <v/>
      </c>
      <c r="AI76" s="2" t="str">
        <f>IF($B76="","",IF(F76="","",VLOOKUP(F76,GLAPS정리!$G$3:$J$114,2,0)))</f>
        <v/>
      </c>
      <c r="AJ76" s="2" t="str">
        <f>IF($B76="","",IF(Z76="울산정일","KRONS",IF(Z76="울산신항","KRUSN",IF(OR(Z76="선광종합물류(인천여객)",Z76="인천여객(인천여객)"),"KRINF",IF(OR(Z76="선광인천보세(인천신)",Z76="한진인천(인천신)",Z76="선광인천신항(인천신)",Z76="인천더로지스(인천신)"),"KRINN",IF(OR(Z76="인천진아(인천항)",Z76="인천E1(인천항)",Z76="인천SM경인터미널(인천항)",Z76="인천항(인천항)",Z76="인천우련(인천항)",Z76="인천항8부두(인천항)"),"KRINC",VLOOKUP(K76,GLAPS정리!$BB$2:$BC$33,2,0)))))))</f>
        <v/>
      </c>
      <c r="AL76" s="2" t="str">
        <f>IF($B76="","",$AL$1)</f>
        <v/>
      </c>
      <c r="AN76" s="70" t="str">
        <f>IF($B76="","",TEXT(B76,"YYYY-MM-DD"))</f>
        <v/>
      </c>
      <c r="AO76" s="2" t="str">
        <f>IF($B76="","",IF(E76="오전", "0800", IF(E76="오후", "1300", IF(E76="잔업", "1800", ""))))</f>
        <v/>
      </c>
      <c r="AP76" s="2" t="str">
        <f>IF($B76="","",IF(C76="","",VLOOKUP(C76,GLAPS정리!$AX$2:$AZ$17,3,0)))</f>
        <v/>
      </c>
      <c r="AR76" s="2" t="str">
        <f>IF($B76="","",IF(X76="","",X76))</f>
        <v/>
      </c>
      <c r="AX76" s="2" t="str">
        <f>IF($B76="","",IF(L76="","",VLOOKUP(L76,GLAPS정리!$V$3:$W$180,2,0)))</f>
        <v/>
      </c>
      <c r="BM76" s="2" t="str">
        <f>IF($B76="","",IF(AND(Q76=1,OR(P76="",P76="위험물")), "2210", IF(AND(Q76=1,OR(P76="리퍼",P76="위험물리퍼")), "2230", IF(AND(S76=1,OR(P76="",P76="위험물")), "4510", IF(AND(S76=1,OR(P76="리퍼",P76="위험물리퍼")), "4530", IF(AND(R76=1,OR(P76="",P76="위험물")), "4210", IF(AND(R76=1,P76="리퍼"), "4230", " ")))))))</f>
        <v/>
      </c>
      <c r="BN76" s="2" t="str">
        <f>IF($B76="","",$BN$1)</f>
        <v/>
      </c>
      <c r="BR76" s="2" t="str">
        <f>IF($B76="","",IF(OR(P76="리퍼",P76="위험물리퍼"),"Y",""))</f>
        <v/>
      </c>
      <c r="BS76" s="2" t="str">
        <f>IF($B76="","",IF(OR(P76="위험물",P76="위험물리퍼"),"Y",""))</f>
        <v/>
      </c>
      <c r="BV76" s="2" t="str">
        <f>IF($B76="","",IF(O76="","",VLOOKUP(O76,GLAPS정리!$BH$2:$BI$94,2,0)))</f>
        <v/>
      </c>
      <c r="BW76" s="2" t="str">
        <f>IF($B76="","",IF(OR(Z76="동원",Z76="세방",Z76="한타"),"",IFERROR(INDEX(GLAPS정리!$BI$2:$BI$101,MATCH(Z76,GLAPS정리!$BH$2:$BH$101,0)),"")))</f>
        <v/>
      </c>
      <c r="BX76" s="2" t="str">
        <f>IF($B76="","",IF(Z76="","",IFERROR(VLOOKUP(Z76,GLAPS정리!$AX$2:$AZ$17,3,0),"")))</f>
        <v/>
      </c>
      <c r="BZ76" s="2" t="str">
        <f>IF($B76="","",IF(H76="","",VLOOKUP(H76,GLAPS정리!$L$3:$O$133,2,0)))</f>
        <v/>
      </c>
      <c r="CA76" s="2" t="str">
        <f>IF($B76="","",IF(V76="공휴일", 10, IF(V76="야간", 20, IF(V76="위험물", 30, IF(V76="중량", 40, "")))))</f>
        <v/>
      </c>
      <c r="CL76" s="2" t="str">
        <f>IF($B76="","",IF(AI76="","",VLOOKUP(AI76,GLAPS정리!$BT$3:$BV$26,3,0)))</f>
        <v/>
      </c>
    </row>
    <row r="77" spans="2:90" ht="20.45" customHeight="1">
      <c r="B77" s="13" t="str">
        <f>IF(GLAPS자동계산!C76="","",GLAPS자동계산!C76)</f>
        <v/>
      </c>
      <c r="C77" s="3" t="str">
        <f>IF(GLAPS자동계산!D76="","",GLAPS자동계산!D76)</f>
        <v/>
      </c>
      <c r="D77" s="16" t="str">
        <f>IF(GLAPS자동계산!E76="","",GLAPS자동계산!E76)</f>
        <v/>
      </c>
      <c r="E77" s="11" t="str">
        <f>IF(GLAPS자동계산!F76="","",GLAPS자동계산!F76)</f>
        <v/>
      </c>
      <c r="F77" s="3" t="str">
        <f>IF(GLAPS자동계산!G76="","",GLAPS자동계산!G76)</f>
        <v/>
      </c>
      <c r="G77" s="3" t="str">
        <f>IF(GLAPS자동계산!H76="","",GLAPS자동계산!H76)</f>
        <v/>
      </c>
      <c r="H77" s="3" t="str">
        <f>IF(GLAPS자동계산!I76="","",GLAPS자동계산!I76)</f>
        <v/>
      </c>
      <c r="I77" s="3" t="str">
        <f>IF(GLAPS자동계산!J76="","",GLAPS자동계산!J76)</f>
        <v/>
      </c>
      <c r="J77" s="3" t="str">
        <f>IF(GLAPS자동계산!K76="","",GLAPS자동계산!K76)</f>
        <v/>
      </c>
      <c r="K77" s="3" t="str">
        <f>IF(GLAPS자동계산!L76="","",GLAPS자동계산!L76)</f>
        <v/>
      </c>
      <c r="L77" s="3" t="str">
        <f>IF(GLAPS자동계산!M76="","",GLAPS자동계산!M76)</f>
        <v/>
      </c>
      <c r="M77" s="3" t="str">
        <f>IF(GLAPS자동계산!N76="","",GLAPS자동계산!N76)</f>
        <v/>
      </c>
      <c r="N77" s="3" t="str">
        <f>IF(GLAPS자동계산!O76="","",GLAPS자동계산!O76)</f>
        <v/>
      </c>
      <c r="O77" s="3" t="str">
        <f>IF(GLAPS자동계산!P76="","",GLAPS자동계산!P76)</f>
        <v/>
      </c>
      <c r="P77" s="2" t="str">
        <f>IF(GLAPS자동계산!Q76="","",GLAPS자동계산!Q76)</f>
        <v/>
      </c>
      <c r="Q77" s="3" t="str">
        <f>IF(GLAPS자동계산!R76="","",GLAPS자동계산!R76)</f>
        <v/>
      </c>
      <c r="R77" s="3" t="str">
        <f>IF(GLAPS자동계산!S76="","",GLAPS자동계산!S76)</f>
        <v/>
      </c>
      <c r="S77" s="3" t="str">
        <f>IF(GLAPS자동계산!T76="","",GLAPS자동계산!T76)</f>
        <v/>
      </c>
      <c r="T77" s="3" t="str">
        <f>IF(GLAPS자동계산!U76="","",GLAPS자동계산!U76)</f>
        <v/>
      </c>
      <c r="U77" s="3" t="str">
        <f>IF(GLAPS자동계산!V76="","",GLAPS자동계산!V76)</f>
        <v/>
      </c>
      <c r="V77" s="3" t="str">
        <f>IF(GLAPS자동계산!W76="","",GLAPS자동계산!W76)</f>
        <v/>
      </c>
      <c r="W77" s="14" t="str">
        <f>IF(GLAPS자동계산!X76="","",GLAPS자동계산!X76)</f>
        <v/>
      </c>
      <c r="X77" s="13" t="str">
        <f>IF(GLAPS자동계산!Y76="","",GLAPS자동계산!Y76)</f>
        <v/>
      </c>
      <c r="Y77" s="13" t="str">
        <f>IF(GLAPS자동계산!Z76="","",GLAPS자동계산!Z76)</f>
        <v/>
      </c>
      <c r="Z77" s="91" t="str">
        <f>IF(GLAPS자동계산!AA76="","",GLAPS자동계산!AA76)</f>
        <v/>
      </c>
      <c r="AA77" s="14" t="str">
        <f>IF(GLAPS자동계산!AB76="","",GLAPS자동계산!AB76)</f>
        <v/>
      </c>
      <c r="AC77" s="2" t="str">
        <f>IF($B77="","",$AC$1)</f>
        <v/>
      </c>
      <c r="AD77" s="2" t="str">
        <f>IF($B77="","",IFERROR(INDEX(GLAPS정리!$D$2:$D$50,MATCH(I77,GLAPS정리!$A$2:$A$50,0)),IFERROR(INDEX(GLAPS정리!$D$2:$D$50,MATCH(I77,GLAPS정리!$B$2:$B$50,0)),"")))</f>
        <v/>
      </c>
      <c r="AF77" s="2" t="str">
        <f>IF($B77="","",$AF$1)</f>
        <v/>
      </c>
      <c r="AI77" s="2" t="str">
        <f>IF($B77="","",IF(F77="","",VLOOKUP(F77,GLAPS정리!$G$3:$J$114,2,0)))</f>
        <v/>
      </c>
      <c r="AJ77" s="2" t="str">
        <f>IF($B77="","",IF(Z77="울산정일","KRONS",IF(Z77="울산신항","KRUSN",IF(OR(Z77="선광종합물류(인천여객)",Z77="인천여객(인천여객)"),"KRINF",IF(OR(Z77="선광인천보세(인천신)",Z77="한진인천(인천신)",Z77="선광인천신항(인천신)",Z77="인천더로지스(인천신)"),"KRINN",IF(OR(Z77="인천진아(인천항)",Z77="인천E1(인천항)",Z77="인천SM경인터미널(인천항)",Z77="인천항(인천항)",Z77="인천우련(인천항)",Z77="인천항8부두(인천항)"),"KRINC",VLOOKUP(K77,GLAPS정리!$BB$2:$BC$33,2,0)))))))</f>
        <v/>
      </c>
      <c r="AL77" s="2" t="str">
        <f>IF($B77="","",$AL$1)</f>
        <v/>
      </c>
      <c r="AN77" s="70" t="str">
        <f>IF($B77="","",TEXT(B77,"YYYY-MM-DD"))</f>
        <v/>
      </c>
      <c r="AO77" s="2" t="str">
        <f>IF($B77="","",IF(E77="오전", "0800", IF(E77="오후", "1300", IF(E77="잔업", "1800", ""))))</f>
        <v/>
      </c>
      <c r="AP77" s="2" t="str">
        <f>IF($B77="","",IF(C77="","",VLOOKUP(C77,GLAPS정리!$AX$2:$AZ$17,3,0)))</f>
        <v/>
      </c>
      <c r="AR77" s="2" t="str">
        <f>IF($B77="","",IF(X77="","",X77))</f>
        <v/>
      </c>
      <c r="AX77" s="2" t="str">
        <f>IF($B77="","",IF(L77="","",VLOOKUP(L77,GLAPS정리!$V$3:$W$180,2,0)))</f>
        <v/>
      </c>
      <c r="BM77" s="2" t="str">
        <f>IF($B77="","",IF(AND(Q77=1,OR(P77="",P77="위험물")), "2210", IF(AND(Q77=1,OR(P77="리퍼",P77="위험물리퍼")), "2230", IF(AND(S77=1,OR(P77="",P77="위험물")), "4510", IF(AND(S77=1,OR(P77="리퍼",P77="위험물리퍼")), "4530", IF(AND(R77=1,OR(P77="",P77="위험물")), "4210", IF(AND(R77=1,P77="리퍼"), "4230", " ")))))))</f>
        <v/>
      </c>
      <c r="BN77" s="2" t="str">
        <f>IF($B77="","",$BN$1)</f>
        <v/>
      </c>
      <c r="BR77" s="2" t="str">
        <f>IF($B77="","",IF(OR(P77="리퍼",P77="위험물리퍼"),"Y",""))</f>
        <v/>
      </c>
      <c r="BS77" s="2" t="str">
        <f>IF($B77="","",IF(OR(P77="위험물",P77="위험물리퍼"),"Y",""))</f>
        <v/>
      </c>
      <c r="BV77" s="2" t="str">
        <f>IF($B77="","",IF(O77="","",VLOOKUP(O77,GLAPS정리!$BH$2:$BI$94,2,0)))</f>
        <v/>
      </c>
      <c r="BW77" s="2" t="str">
        <f>IF($B77="","",IF(OR(Z77="동원",Z77="세방",Z77="한타"),"",IFERROR(INDEX(GLAPS정리!$BI$2:$BI$101,MATCH(Z77,GLAPS정리!$BH$2:$BH$101,0)),"")))</f>
        <v/>
      </c>
      <c r="BX77" s="2" t="str">
        <f>IF($B77="","",IF(Z77="","",IFERROR(VLOOKUP(Z77,GLAPS정리!$AX$2:$AZ$17,3,0),"")))</f>
        <v/>
      </c>
      <c r="BZ77" s="2" t="str">
        <f>IF($B77="","",IF(H77="","",VLOOKUP(H77,GLAPS정리!$L$3:$O$133,2,0)))</f>
        <v/>
      </c>
      <c r="CA77" s="2" t="str">
        <f>IF($B77="","",IF(V77="공휴일", 10, IF(V77="야간", 20, IF(V77="위험물", 30, IF(V77="중량", 40, "")))))</f>
        <v/>
      </c>
      <c r="CL77" s="2" t="str">
        <f>IF($B77="","",IF(AI77="","",VLOOKUP(AI77,GLAPS정리!$BT$3:$BV$26,3,0)))</f>
        <v/>
      </c>
    </row>
    <row r="78" spans="2:90" ht="20.45" customHeight="1">
      <c r="B78" s="13" t="str">
        <f>IF(GLAPS자동계산!C77="","",GLAPS자동계산!C77)</f>
        <v/>
      </c>
      <c r="C78" s="3" t="str">
        <f>IF(GLAPS자동계산!D77="","",GLAPS자동계산!D77)</f>
        <v/>
      </c>
      <c r="D78" s="16" t="str">
        <f>IF(GLAPS자동계산!E77="","",GLAPS자동계산!E77)</f>
        <v/>
      </c>
      <c r="E78" s="11" t="str">
        <f>IF(GLAPS자동계산!F77="","",GLAPS자동계산!F77)</f>
        <v/>
      </c>
      <c r="F78" s="171" t="str">
        <f>IF(GLAPS자동계산!G77="","",GLAPS자동계산!G77)</f>
        <v/>
      </c>
      <c r="G78" s="3" t="str">
        <f>IF(GLAPS자동계산!H77="","",GLAPS자동계산!H77)</f>
        <v/>
      </c>
      <c r="H78" s="3" t="str">
        <f>IF(GLAPS자동계산!I77="","",GLAPS자동계산!I77)</f>
        <v/>
      </c>
      <c r="I78" s="3" t="str">
        <f>IF(GLAPS자동계산!J77="","",GLAPS자동계산!J77)</f>
        <v/>
      </c>
      <c r="J78" s="3" t="str">
        <f>IF(GLAPS자동계산!K77="","",GLAPS자동계산!K77)</f>
        <v/>
      </c>
      <c r="K78" s="3" t="str">
        <f>IF(GLAPS자동계산!L77="","",GLAPS자동계산!L77)</f>
        <v/>
      </c>
      <c r="L78" s="3" t="str">
        <f>IF(GLAPS자동계산!M77="","",GLAPS자동계산!M77)</f>
        <v/>
      </c>
      <c r="M78" s="3" t="str">
        <f>IF(GLAPS자동계산!N77="","",GLAPS자동계산!N77)</f>
        <v/>
      </c>
      <c r="N78" s="3" t="str">
        <f>IF(GLAPS자동계산!O77="","",GLAPS자동계산!O77)</f>
        <v/>
      </c>
      <c r="O78" s="3" t="str">
        <f>IF(GLAPS자동계산!P77="","",GLAPS자동계산!P77)</f>
        <v/>
      </c>
      <c r="P78" s="2" t="str">
        <f>IF(GLAPS자동계산!Q77="","",GLAPS자동계산!Q77)</f>
        <v/>
      </c>
      <c r="Q78" s="3" t="str">
        <f>IF(GLAPS자동계산!R77="","",GLAPS자동계산!R77)</f>
        <v/>
      </c>
      <c r="R78" s="3" t="str">
        <f>IF(GLAPS자동계산!S77="","",GLAPS자동계산!S77)</f>
        <v/>
      </c>
      <c r="S78" s="3" t="str">
        <f>IF(GLAPS자동계산!T77="","",GLAPS자동계산!T77)</f>
        <v/>
      </c>
      <c r="T78" s="3" t="str">
        <f>IF(GLAPS자동계산!U77="","",GLAPS자동계산!U77)</f>
        <v/>
      </c>
      <c r="U78" s="3" t="str">
        <f>IF(GLAPS자동계산!V77="","",GLAPS자동계산!V77)</f>
        <v/>
      </c>
      <c r="V78" s="3" t="str">
        <f>IF(GLAPS자동계산!W77="","",GLAPS자동계산!W77)</f>
        <v/>
      </c>
      <c r="W78" s="14" t="str">
        <f>IF(GLAPS자동계산!X77="","",GLAPS자동계산!X77)</f>
        <v/>
      </c>
      <c r="X78" s="13" t="str">
        <f>IF(GLAPS자동계산!Y77="","",GLAPS자동계산!Y77)</f>
        <v/>
      </c>
      <c r="Y78" s="13" t="str">
        <f>IF(GLAPS자동계산!Z77="","",GLAPS자동계산!Z77)</f>
        <v/>
      </c>
      <c r="Z78" s="91" t="str">
        <f>IF(GLAPS자동계산!AA77="","",GLAPS자동계산!AA77)</f>
        <v/>
      </c>
      <c r="AA78" s="14" t="str">
        <f>IF(GLAPS자동계산!AB77="","",GLAPS자동계산!AB77)</f>
        <v/>
      </c>
      <c r="AC78" s="2" t="str">
        <f>IF($B78="","",$AC$1)</f>
        <v/>
      </c>
      <c r="AD78" s="2" t="str">
        <f>IF($B78="","",IFERROR(INDEX(GLAPS정리!$D$2:$D$50,MATCH(I78,GLAPS정리!$A$2:$A$50,0)),IFERROR(INDEX(GLAPS정리!$D$2:$D$50,MATCH(I78,GLAPS정리!$B$2:$B$50,0)),"")))</f>
        <v/>
      </c>
      <c r="AF78" s="2" t="str">
        <f>IF($B78="","",$AF$1)</f>
        <v/>
      </c>
      <c r="AI78" s="2" t="str">
        <f>IF($B78="","",IF(F78="","",VLOOKUP(F78,GLAPS정리!$G$3:$J$114,2,0)))</f>
        <v/>
      </c>
      <c r="AJ78" s="2" t="str">
        <f>IF($B78="","",IF(Z78="울산정일","KRONS",IF(Z78="울산신항","KRUSN",IF(OR(Z78="선광종합물류(인천여객)",Z78="인천여객(인천여객)"),"KRINF",IF(OR(Z78="선광인천보세(인천신)",Z78="한진인천(인천신)",Z78="선광인천신항(인천신)",Z78="인천더로지스(인천신)"),"KRINN",IF(OR(Z78="인천진아(인천항)",Z78="인천E1(인천항)",Z78="인천SM경인터미널(인천항)",Z78="인천항(인천항)",Z78="인천우련(인천항)",Z78="인천항8부두(인천항)"),"KRINC",VLOOKUP(K78,GLAPS정리!$BB$2:$BC$33,2,0)))))))</f>
        <v/>
      </c>
      <c r="AL78" s="2" t="str">
        <f>IF($B78="","",$AL$1)</f>
        <v/>
      </c>
      <c r="AN78" s="70" t="str">
        <f>IF($B78="","",TEXT(B78,"YYYY-MM-DD"))</f>
        <v/>
      </c>
      <c r="AO78" s="2" t="str">
        <f>IF($B78="","",IF(E78="오전", "0800", IF(E78="오후", "1300", IF(E78="잔업", "1800", ""))))</f>
        <v/>
      </c>
      <c r="AP78" s="2" t="str">
        <f>IF($B78="","",IF(C78="","",VLOOKUP(C78,GLAPS정리!$AX$2:$AZ$17,3,0)))</f>
        <v/>
      </c>
      <c r="AR78" s="2" t="str">
        <f>IF($B78="","",IF(X78="","",X78))</f>
        <v/>
      </c>
      <c r="AX78" s="2" t="str">
        <f>IF($B78="","",IF(L78="","",VLOOKUP(L78,GLAPS정리!$V$3:$W$180,2,0)))</f>
        <v/>
      </c>
      <c r="BM78" s="2" t="str">
        <f>IF($B78="","",IF(AND(Q78=1,OR(P78="",P78="위험물")), "2210", IF(AND(Q78=1,OR(P78="리퍼",P78="위험물리퍼")), "2230", IF(AND(S78=1,OR(P78="",P78="위험물")), "4510", IF(AND(S78=1,OR(P78="리퍼",P78="위험물리퍼")), "4530", IF(AND(R78=1,OR(P78="",P78="위험물")), "4210", IF(AND(R78=1,P78="리퍼"), "4230", " ")))))))</f>
        <v/>
      </c>
      <c r="BN78" s="2" t="str">
        <f>IF($B78="","",$BN$1)</f>
        <v/>
      </c>
      <c r="BR78" s="2" t="str">
        <f>IF($B78="","",IF(OR(P78="리퍼",P78="위험물리퍼"),"Y",""))</f>
        <v/>
      </c>
      <c r="BS78" s="2" t="str">
        <f>IF($B78="","",IF(OR(P78="위험물",P78="위험물리퍼"),"Y",""))</f>
        <v/>
      </c>
      <c r="BV78" s="2" t="str">
        <f>IF($B78="","",IF(O78="","",VLOOKUP(O78,GLAPS정리!$BH$2:$BI$94,2,0)))</f>
        <v/>
      </c>
      <c r="BW78" s="2" t="str">
        <f>IF($B78="","",IF(OR(Z78="동원",Z78="세방",Z78="한타"),"",IFERROR(INDEX(GLAPS정리!$BI$2:$BI$101,MATCH(Z78,GLAPS정리!$BH$2:$BH$101,0)),"")))</f>
        <v/>
      </c>
      <c r="BX78" s="2" t="str">
        <f>IF($B78="","",IF(Z78="","",IFERROR(VLOOKUP(Z78,GLAPS정리!$AX$2:$AZ$17,3,0),"")))</f>
        <v/>
      </c>
      <c r="BZ78" s="2" t="str">
        <f>IF($B78="","",IF(H78="","",VLOOKUP(H78,GLAPS정리!$L$3:$O$133,2,0)))</f>
        <v/>
      </c>
      <c r="CA78" s="2" t="str">
        <f>IF($B78="","",IF(V78="공휴일", 10, IF(V78="야간", 20, IF(V78="위험물", 30, IF(V78="중량", 40, "")))))</f>
        <v/>
      </c>
      <c r="CL78" s="2" t="str">
        <f>IF($B78="","",IF(AI78="","",VLOOKUP(AI78,GLAPS정리!$BT$3:$BV$26,3,0)))</f>
        <v/>
      </c>
    </row>
    <row r="79" spans="2:90" ht="20.45" customHeight="1">
      <c r="B79" s="13" t="str">
        <f>IF(GLAPS자동계산!C78="","",GLAPS자동계산!C78)</f>
        <v/>
      </c>
      <c r="C79" s="3" t="str">
        <f>IF(GLAPS자동계산!D78="","",GLAPS자동계산!D78)</f>
        <v/>
      </c>
      <c r="D79" s="16" t="str">
        <f>IF(GLAPS자동계산!E78="","",GLAPS자동계산!E78)</f>
        <v/>
      </c>
      <c r="E79" s="11" t="str">
        <f>IF(GLAPS자동계산!F78="","",GLAPS자동계산!F78)</f>
        <v/>
      </c>
      <c r="F79" s="171" t="str">
        <f>IF(GLAPS자동계산!G78="","",GLAPS자동계산!G78)</f>
        <v/>
      </c>
      <c r="G79" s="3" t="str">
        <f>IF(GLAPS자동계산!H78="","",GLAPS자동계산!H78)</f>
        <v/>
      </c>
      <c r="H79" s="3" t="str">
        <f>IF(GLAPS자동계산!I78="","",GLAPS자동계산!I78)</f>
        <v/>
      </c>
      <c r="I79" s="3" t="str">
        <f>IF(GLAPS자동계산!J78="","",GLAPS자동계산!J78)</f>
        <v/>
      </c>
      <c r="J79" s="3" t="str">
        <f>IF(GLAPS자동계산!K78="","",GLAPS자동계산!K78)</f>
        <v/>
      </c>
      <c r="K79" s="3" t="str">
        <f>IF(GLAPS자동계산!L78="","",GLAPS자동계산!L78)</f>
        <v/>
      </c>
      <c r="L79" s="3" t="str">
        <f>IF(GLAPS자동계산!M78="","",GLAPS자동계산!M78)</f>
        <v/>
      </c>
      <c r="M79" s="3" t="str">
        <f>IF(GLAPS자동계산!N78="","",GLAPS자동계산!N78)</f>
        <v/>
      </c>
      <c r="N79" s="3" t="str">
        <f>IF(GLAPS자동계산!O78="","",GLAPS자동계산!O78)</f>
        <v/>
      </c>
      <c r="O79" s="3" t="str">
        <f>IF(GLAPS자동계산!P78="","",GLAPS자동계산!P78)</f>
        <v/>
      </c>
      <c r="P79" s="2" t="str">
        <f>IF(GLAPS자동계산!Q78="","",GLAPS자동계산!Q78)</f>
        <v/>
      </c>
      <c r="Q79" s="3" t="str">
        <f>IF(GLAPS자동계산!R78="","",GLAPS자동계산!R78)</f>
        <v/>
      </c>
      <c r="R79" s="3" t="str">
        <f>IF(GLAPS자동계산!S78="","",GLAPS자동계산!S78)</f>
        <v/>
      </c>
      <c r="S79" s="3" t="str">
        <f>IF(GLAPS자동계산!T78="","",GLAPS자동계산!T78)</f>
        <v/>
      </c>
      <c r="T79" s="3" t="str">
        <f>IF(GLAPS자동계산!U78="","",GLAPS자동계산!U78)</f>
        <v/>
      </c>
      <c r="U79" s="3" t="str">
        <f>IF(GLAPS자동계산!V78="","",GLAPS자동계산!V78)</f>
        <v/>
      </c>
      <c r="V79" s="3" t="str">
        <f>IF(GLAPS자동계산!W78="","",GLAPS자동계산!W78)</f>
        <v/>
      </c>
      <c r="W79" s="14" t="str">
        <f>IF(GLAPS자동계산!X78="","",GLAPS자동계산!X78)</f>
        <v/>
      </c>
      <c r="X79" s="13" t="str">
        <f>IF(GLAPS자동계산!Y78="","",GLAPS자동계산!Y78)</f>
        <v/>
      </c>
      <c r="Y79" s="13" t="str">
        <f>IF(GLAPS자동계산!Z78="","",GLAPS자동계산!Z78)</f>
        <v/>
      </c>
      <c r="Z79" s="91" t="str">
        <f>IF(GLAPS자동계산!AA78="","",GLAPS자동계산!AA78)</f>
        <v/>
      </c>
      <c r="AA79" s="14" t="str">
        <f>IF(GLAPS자동계산!AB78="","",GLAPS자동계산!AB78)</f>
        <v/>
      </c>
      <c r="AC79" s="2" t="str">
        <f>IF($B79="","",$AC$1)</f>
        <v/>
      </c>
      <c r="AD79" s="2" t="str">
        <f>IF($B79="","",IFERROR(INDEX(GLAPS정리!$D$2:$D$50,MATCH(I79,GLAPS정리!$A$2:$A$50,0)),IFERROR(INDEX(GLAPS정리!$D$2:$D$50,MATCH(I79,GLAPS정리!$B$2:$B$50,0)),"")))</f>
        <v/>
      </c>
      <c r="AF79" s="2" t="str">
        <f>IF($B79="","",$AF$1)</f>
        <v/>
      </c>
      <c r="AI79" s="2" t="str">
        <f>IF($B79="","",IF(F79="","",VLOOKUP(F79,GLAPS정리!$G$3:$J$114,2,0)))</f>
        <v/>
      </c>
      <c r="AJ79" s="2" t="str">
        <f>IF($B79="","",IF(Z79="울산정일","KRONS",IF(Z79="울산신항","KRUSN",IF(OR(Z79="선광종합물류(인천여객)",Z79="인천여객(인천여객)"),"KRINF",IF(OR(Z79="선광인천보세(인천신)",Z79="한진인천(인천신)",Z79="선광인천신항(인천신)",Z79="인천더로지스(인천신)"),"KRINN",IF(OR(Z79="인천진아(인천항)",Z79="인천E1(인천항)",Z79="인천SM경인터미널(인천항)",Z79="인천항(인천항)",Z79="인천우련(인천항)",Z79="인천항8부두(인천항)"),"KRINC",VLOOKUP(K79,GLAPS정리!$BB$2:$BC$33,2,0)))))))</f>
        <v/>
      </c>
      <c r="AL79" s="2" t="str">
        <f>IF($B79="","",$AL$1)</f>
        <v/>
      </c>
      <c r="AN79" s="70" t="str">
        <f>IF($B79="","",TEXT(B79,"YYYY-MM-DD"))</f>
        <v/>
      </c>
      <c r="AO79" s="2" t="str">
        <f>IF($B79="","",IF(E79="오전", "0800", IF(E79="오후", "1300", IF(E79="잔업", "1800", ""))))</f>
        <v/>
      </c>
      <c r="AP79" s="2" t="str">
        <f>IF($B79="","",IF(C79="","",VLOOKUP(C79,GLAPS정리!$AX$2:$AZ$17,3,0)))</f>
        <v/>
      </c>
      <c r="AR79" s="2" t="str">
        <f>IF($B79="","",IF(X79="","",X79))</f>
        <v/>
      </c>
      <c r="AX79" s="2" t="str">
        <f>IF($B79="","",IF(L79="","",VLOOKUP(L79,GLAPS정리!$V$3:$W$180,2,0)))</f>
        <v/>
      </c>
      <c r="BM79" s="2" t="str">
        <f>IF($B79="","",IF(AND(Q79=1,OR(P79="",P79="위험물")), "2210", IF(AND(Q79=1,OR(P79="리퍼",P79="위험물리퍼")), "2230", IF(AND(S79=1,OR(P79="",P79="위험물")), "4510", IF(AND(S79=1,OR(P79="리퍼",P79="위험물리퍼")), "4530", IF(AND(R79=1,OR(P79="",P79="위험물")), "4210", IF(AND(R79=1,P79="리퍼"), "4230", " ")))))))</f>
        <v/>
      </c>
      <c r="BN79" s="2" t="str">
        <f>IF($B79="","",$BN$1)</f>
        <v/>
      </c>
      <c r="BR79" s="2" t="str">
        <f>IF($B79="","",IF(OR(P79="리퍼",P79="위험물리퍼"),"Y",""))</f>
        <v/>
      </c>
      <c r="BS79" s="2" t="str">
        <f>IF($B79="","",IF(OR(P79="위험물",P79="위험물리퍼"),"Y",""))</f>
        <v/>
      </c>
      <c r="BV79" s="2" t="str">
        <f>IF($B79="","",IF(O79="","",VLOOKUP(O79,GLAPS정리!$BH$2:$BI$94,2,0)))</f>
        <v/>
      </c>
      <c r="BW79" s="2" t="str">
        <f>IF($B79="","",IF(OR(Z79="동원",Z79="세방",Z79="한타"),"",IFERROR(INDEX(GLAPS정리!$BI$2:$BI$101,MATCH(Z79,GLAPS정리!$BH$2:$BH$101,0)),"")))</f>
        <v/>
      </c>
      <c r="BX79" s="2" t="str">
        <f>IF($B79="","",IF(Z79="","",IFERROR(VLOOKUP(Z79,GLAPS정리!$AX$2:$AZ$17,3,0),"")))</f>
        <v/>
      </c>
      <c r="BZ79" s="2" t="str">
        <f>IF($B79="","",IF(H79="","",VLOOKUP(H79,GLAPS정리!$L$3:$O$133,2,0)))</f>
        <v/>
      </c>
      <c r="CA79" s="2" t="str">
        <f>IF($B79="","",IF(V79="공휴일", 10, IF(V79="야간", 20, IF(V79="위험물", 30, IF(V79="중량", 40, "")))))</f>
        <v/>
      </c>
      <c r="CL79" s="2" t="str">
        <f>IF($B79="","",IF(AI79="","",VLOOKUP(AI79,GLAPS정리!$BT$3:$BV$26,3,0)))</f>
        <v/>
      </c>
    </row>
    <row r="80" spans="2:90" ht="20.45" customHeight="1">
      <c r="B80" s="13" t="str">
        <f>IF(GLAPS자동계산!C79="","",GLAPS자동계산!C79)</f>
        <v/>
      </c>
      <c r="C80" s="3" t="str">
        <f>IF(GLAPS자동계산!D79="","",GLAPS자동계산!D79)</f>
        <v/>
      </c>
      <c r="D80" s="16" t="str">
        <f>IF(GLAPS자동계산!E79="","",GLAPS자동계산!E79)</f>
        <v/>
      </c>
      <c r="E80" s="11" t="str">
        <f>IF(GLAPS자동계산!F79="","",GLAPS자동계산!F79)</f>
        <v/>
      </c>
      <c r="F80" s="171" t="str">
        <f>IF(GLAPS자동계산!G79="","",GLAPS자동계산!G79)</f>
        <v/>
      </c>
      <c r="G80" s="3" t="str">
        <f>IF(GLAPS자동계산!H79="","",GLAPS자동계산!H79)</f>
        <v/>
      </c>
      <c r="H80" s="3" t="str">
        <f>IF(GLAPS자동계산!I79="","",GLAPS자동계산!I79)</f>
        <v/>
      </c>
      <c r="I80" s="3" t="str">
        <f>IF(GLAPS자동계산!J79="","",GLAPS자동계산!J79)</f>
        <v/>
      </c>
      <c r="J80" s="3" t="str">
        <f>IF(GLAPS자동계산!K79="","",GLAPS자동계산!K79)</f>
        <v/>
      </c>
      <c r="K80" s="3" t="str">
        <f>IF(GLAPS자동계산!L79="","",GLAPS자동계산!L79)</f>
        <v/>
      </c>
      <c r="L80" s="3" t="str">
        <f>IF(GLAPS자동계산!M79="","",GLAPS자동계산!M79)</f>
        <v/>
      </c>
      <c r="M80" s="3" t="str">
        <f>IF(GLAPS자동계산!N79="","",GLAPS자동계산!N79)</f>
        <v/>
      </c>
      <c r="N80" s="3" t="str">
        <f>IF(GLAPS자동계산!O79="","",GLAPS자동계산!O79)</f>
        <v/>
      </c>
      <c r="O80" s="3" t="str">
        <f>IF(GLAPS자동계산!P79="","",GLAPS자동계산!P79)</f>
        <v/>
      </c>
      <c r="P80" s="2" t="str">
        <f>IF(GLAPS자동계산!Q79="","",GLAPS자동계산!Q79)</f>
        <v/>
      </c>
      <c r="Q80" s="3" t="str">
        <f>IF(GLAPS자동계산!R79="","",GLAPS자동계산!R79)</f>
        <v/>
      </c>
      <c r="R80" s="3" t="str">
        <f>IF(GLAPS자동계산!S79="","",GLAPS자동계산!S79)</f>
        <v/>
      </c>
      <c r="S80" s="3" t="str">
        <f>IF(GLAPS자동계산!T79="","",GLAPS자동계산!T79)</f>
        <v/>
      </c>
      <c r="T80" s="3" t="str">
        <f>IF(GLAPS자동계산!U79="","",GLAPS자동계산!U79)</f>
        <v/>
      </c>
      <c r="U80" s="3" t="str">
        <f>IF(GLAPS자동계산!V79="","",GLAPS자동계산!V79)</f>
        <v/>
      </c>
      <c r="V80" s="3" t="str">
        <f>IF(GLAPS자동계산!W79="","",GLAPS자동계산!W79)</f>
        <v/>
      </c>
      <c r="W80" s="14" t="str">
        <f>IF(GLAPS자동계산!X79="","",GLAPS자동계산!X79)</f>
        <v/>
      </c>
      <c r="X80" s="13" t="str">
        <f>IF(GLAPS자동계산!Y79="","",GLAPS자동계산!Y79)</f>
        <v/>
      </c>
      <c r="Y80" s="13" t="str">
        <f>IF(GLAPS자동계산!Z79="","",GLAPS자동계산!Z79)</f>
        <v/>
      </c>
      <c r="Z80" s="91" t="str">
        <f>IF(GLAPS자동계산!AA79="","",GLAPS자동계산!AA79)</f>
        <v/>
      </c>
      <c r="AA80" s="14" t="str">
        <f>IF(GLAPS자동계산!AB79="","",GLAPS자동계산!AB79)</f>
        <v/>
      </c>
      <c r="AC80" s="2" t="str">
        <f>IF($B80="","",$AC$1)</f>
        <v/>
      </c>
      <c r="AD80" s="2" t="str">
        <f>IF($B80="","",IFERROR(INDEX(GLAPS정리!$D$2:$D$50,MATCH(I80,GLAPS정리!$A$2:$A$50,0)),IFERROR(INDEX(GLAPS정리!$D$2:$D$50,MATCH(I80,GLAPS정리!$B$2:$B$50,0)),"")))</f>
        <v/>
      </c>
      <c r="AF80" s="2" t="str">
        <f>IF($B80="","",$AF$1)</f>
        <v/>
      </c>
      <c r="AI80" s="2" t="str">
        <f>IF($B80="","",IF(F80="","",VLOOKUP(F80,GLAPS정리!$G$3:$J$114,2,0)))</f>
        <v/>
      </c>
      <c r="AJ80" s="2" t="str">
        <f>IF($B80="","",IF(Z80="울산정일","KRONS",IF(Z80="울산신항","KRUSN",IF(OR(Z80="선광종합물류(인천여객)",Z80="인천여객(인천여객)"),"KRINF",IF(OR(Z80="선광인천보세(인천신)",Z80="한진인천(인천신)",Z80="선광인천신항(인천신)",Z80="인천더로지스(인천신)"),"KRINN",IF(OR(Z80="인천진아(인천항)",Z80="인천E1(인천항)",Z80="인천SM경인터미널(인천항)",Z80="인천항(인천항)",Z80="인천우련(인천항)",Z80="인천항8부두(인천항)"),"KRINC",VLOOKUP(K80,GLAPS정리!$BB$2:$BC$33,2,0)))))))</f>
        <v/>
      </c>
      <c r="AL80" s="2" t="str">
        <f>IF($B80="","",$AL$1)</f>
        <v/>
      </c>
      <c r="AN80" s="70" t="str">
        <f>IF($B80="","",TEXT(B80,"YYYY-MM-DD"))</f>
        <v/>
      </c>
      <c r="AO80" s="2" t="str">
        <f>IF($B80="","",IF(E80="오전", "0800", IF(E80="오후", "1300", IF(E80="잔업", "1800", ""))))</f>
        <v/>
      </c>
      <c r="AP80" s="2" t="str">
        <f>IF($B80="","",IF(C80="","",VLOOKUP(C80,GLAPS정리!$AX$2:$AZ$17,3,0)))</f>
        <v/>
      </c>
      <c r="AR80" s="2" t="str">
        <f>IF($B80="","",IF(X80="","",X80))</f>
        <v/>
      </c>
      <c r="AX80" s="2" t="str">
        <f>IF($B80="","",IF(L80="","",VLOOKUP(L80,GLAPS정리!$V$3:$W$180,2,0)))</f>
        <v/>
      </c>
      <c r="BM80" s="2" t="str">
        <f>IF($B80="","",IF(AND(Q80=1,OR(P80="",P80="위험물")), "2210", IF(AND(Q80=1,OR(P80="리퍼",P80="위험물리퍼")), "2230", IF(AND(S80=1,OR(P80="",P80="위험물")), "4510", IF(AND(S80=1,OR(P80="리퍼",P80="위험물리퍼")), "4530", IF(AND(R80=1,OR(P80="",P80="위험물")), "4210", IF(AND(R80=1,P80="리퍼"), "4230", " ")))))))</f>
        <v/>
      </c>
      <c r="BN80" s="2" t="str">
        <f>IF($B80="","",$BN$1)</f>
        <v/>
      </c>
      <c r="BR80" s="2" t="str">
        <f>IF($B80="","",IF(OR(P80="리퍼",P80="위험물리퍼"),"Y",""))</f>
        <v/>
      </c>
      <c r="BS80" s="2" t="str">
        <f>IF($B80="","",IF(OR(P80="위험물",P80="위험물리퍼"),"Y",""))</f>
        <v/>
      </c>
      <c r="BV80" s="2" t="str">
        <f>IF($B80="","",IF(O80="","",VLOOKUP(O80,GLAPS정리!$BH$2:$BI$94,2,0)))</f>
        <v/>
      </c>
      <c r="BW80" s="2" t="str">
        <f>IF($B80="","",IF(OR(Z80="동원",Z80="세방",Z80="한타"),"",IFERROR(INDEX(GLAPS정리!$BI$2:$BI$101,MATCH(Z80,GLAPS정리!$BH$2:$BH$101,0)),"")))</f>
        <v/>
      </c>
      <c r="BX80" s="2" t="str">
        <f>IF($B80="","",IF(Z80="","",IFERROR(VLOOKUP(Z80,GLAPS정리!$AX$2:$AZ$17,3,0),"")))</f>
        <v/>
      </c>
      <c r="BZ80" s="2" t="str">
        <f>IF($B80="","",IF(H80="","",VLOOKUP(H80,GLAPS정리!$L$3:$O$133,2,0)))</f>
        <v/>
      </c>
      <c r="CA80" s="2" t="str">
        <f>IF($B80="","",IF(V80="공휴일", 10, IF(V80="야간", 20, IF(V80="위험물", 30, IF(V80="중량", 40, "")))))</f>
        <v/>
      </c>
      <c r="CL80" s="2" t="str">
        <f>IF($B80="","",IF(AI80="","",VLOOKUP(AI80,GLAPS정리!$BT$3:$BV$26,3,0)))</f>
        <v/>
      </c>
    </row>
    <row r="81" spans="2:90" ht="20.45" customHeight="1">
      <c r="B81" s="13" t="str">
        <f>IF(GLAPS자동계산!C80="","",GLAPS자동계산!C80)</f>
        <v/>
      </c>
      <c r="C81" s="3" t="str">
        <f>IF(GLAPS자동계산!D80="","",GLAPS자동계산!D80)</f>
        <v/>
      </c>
      <c r="D81" s="16" t="str">
        <f>IF(GLAPS자동계산!E80="","",GLAPS자동계산!E80)</f>
        <v/>
      </c>
      <c r="E81" s="11" t="str">
        <f>IF(GLAPS자동계산!F80="","",GLAPS자동계산!F80)</f>
        <v/>
      </c>
      <c r="F81" s="171" t="str">
        <f>IF(GLAPS자동계산!G80="","",GLAPS자동계산!G80)</f>
        <v/>
      </c>
      <c r="G81" s="3" t="str">
        <f>IF(GLAPS자동계산!H80="","",GLAPS자동계산!H80)</f>
        <v/>
      </c>
      <c r="H81" s="3" t="str">
        <f>IF(GLAPS자동계산!I80="","",GLAPS자동계산!I80)</f>
        <v/>
      </c>
      <c r="I81" s="3" t="str">
        <f>IF(GLAPS자동계산!J80="","",GLAPS자동계산!J80)</f>
        <v/>
      </c>
      <c r="J81" s="3" t="str">
        <f>IF(GLAPS자동계산!K80="","",GLAPS자동계산!K80)</f>
        <v/>
      </c>
      <c r="K81" s="3" t="str">
        <f>IF(GLAPS자동계산!L80="","",GLAPS자동계산!L80)</f>
        <v/>
      </c>
      <c r="L81" s="3" t="str">
        <f>IF(GLAPS자동계산!M80="","",GLAPS자동계산!M80)</f>
        <v/>
      </c>
      <c r="M81" s="3" t="str">
        <f>IF(GLAPS자동계산!N80="","",GLAPS자동계산!N80)</f>
        <v/>
      </c>
      <c r="N81" s="3" t="str">
        <f>IF(GLAPS자동계산!O80="","",GLAPS자동계산!O80)</f>
        <v/>
      </c>
      <c r="O81" s="3" t="str">
        <f>IF(GLAPS자동계산!P80="","",GLAPS자동계산!P80)</f>
        <v/>
      </c>
      <c r="P81" s="2" t="str">
        <f>IF(GLAPS자동계산!Q80="","",GLAPS자동계산!Q80)</f>
        <v/>
      </c>
      <c r="Q81" s="3" t="str">
        <f>IF(GLAPS자동계산!R80="","",GLAPS자동계산!R80)</f>
        <v/>
      </c>
      <c r="R81" s="3" t="str">
        <f>IF(GLAPS자동계산!S80="","",GLAPS자동계산!S80)</f>
        <v/>
      </c>
      <c r="S81" s="3" t="str">
        <f>IF(GLAPS자동계산!T80="","",GLAPS자동계산!T80)</f>
        <v/>
      </c>
      <c r="T81" s="3" t="str">
        <f>IF(GLAPS자동계산!U80="","",GLAPS자동계산!U80)</f>
        <v/>
      </c>
      <c r="U81" s="3" t="str">
        <f>IF(GLAPS자동계산!V80="","",GLAPS자동계산!V80)</f>
        <v/>
      </c>
      <c r="V81" s="3" t="str">
        <f>IF(GLAPS자동계산!W80="","",GLAPS자동계산!W80)</f>
        <v/>
      </c>
      <c r="W81" s="14" t="str">
        <f>IF(GLAPS자동계산!X80="","",GLAPS자동계산!X80)</f>
        <v/>
      </c>
      <c r="X81" s="13" t="str">
        <f>IF(GLAPS자동계산!Y80="","",GLAPS자동계산!Y80)</f>
        <v/>
      </c>
      <c r="Y81" s="13" t="str">
        <f>IF(GLAPS자동계산!Z80="","",GLAPS자동계산!Z80)</f>
        <v/>
      </c>
      <c r="Z81" s="91" t="str">
        <f>IF(GLAPS자동계산!AA80="","",GLAPS자동계산!AA80)</f>
        <v/>
      </c>
      <c r="AA81" s="14" t="str">
        <f>IF(GLAPS자동계산!AB80="","",GLAPS자동계산!AB80)</f>
        <v/>
      </c>
      <c r="AC81" s="2" t="str">
        <f>IF($B81="","",$AC$1)</f>
        <v/>
      </c>
      <c r="AD81" s="2" t="str">
        <f>IF($B81="","",IFERROR(INDEX(GLAPS정리!$D$2:$D$50,MATCH(I81,GLAPS정리!$A$2:$A$50,0)),IFERROR(INDEX(GLAPS정리!$D$2:$D$50,MATCH(I81,GLAPS정리!$B$2:$B$50,0)),"")))</f>
        <v/>
      </c>
      <c r="AF81" s="2" t="str">
        <f>IF($B81="","",$AF$1)</f>
        <v/>
      </c>
      <c r="AI81" s="2" t="str">
        <f>IF($B81="","",IF(F81="","",VLOOKUP(F81,GLAPS정리!$G$3:$J$114,2,0)))</f>
        <v/>
      </c>
      <c r="AJ81" s="2" t="str">
        <f>IF($B81="","",IF(Z81="울산정일","KRONS",IF(Z81="울산신항","KRUSN",IF(OR(Z81="선광종합물류(인천여객)",Z81="인천여객(인천여객)"),"KRINF",IF(OR(Z81="선광인천보세(인천신)",Z81="한진인천(인천신)",Z81="선광인천신항(인천신)",Z81="인천더로지스(인천신)"),"KRINN",IF(OR(Z81="인천진아(인천항)",Z81="인천E1(인천항)",Z81="인천SM경인터미널(인천항)",Z81="인천항(인천항)",Z81="인천우련(인천항)",Z81="인천항8부두(인천항)"),"KRINC",VLOOKUP(K81,GLAPS정리!$BB$2:$BC$33,2,0)))))))</f>
        <v/>
      </c>
      <c r="AL81" s="2" t="str">
        <f>IF($B81="","",$AL$1)</f>
        <v/>
      </c>
      <c r="AN81" s="70" t="str">
        <f>IF($B81="","",TEXT(B81,"YYYY-MM-DD"))</f>
        <v/>
      </c>
      <c r="AO81" s="2" t="str">
        <f>IF($B81="","",IF(E81="오전", "0800", IF(E81="오후", "1300", IF(E81="잔업", "1800", ""))))</f>
        <v/>
      </c>
      <c r="AP81" s="2" t="str">
        <f>IF($B81="","",IF(C81="","",VLOOKUP(C81,GLAPS정리!$AX$2:$AZ$17,3,0)))</f>
        <v/>
      </c>
      <c r="AR81" s="2" t="str">
        <f>IF($B81="","",IF(X81="","",X81))</f>
        <v/>
      </c>
      <c r="AX81" s="2" t="str">
        <f>IF($B81="","",IF(L81="","",VLOOKUP(L81,GLAPS정리!$V$3:$W$180,2,0)))</f>
        <v/>
      </c>
      <c r="BM81" s="2" t="str">
        <f>IF($B81="","",IF(AND(Q81=1,OR(P81="",P81="위험물")), "2210", IF(AND(Q81=1,OR(P81="리퍼",P81="위험물리퍼")), "2230", IF(AND(S81=1,OR(P81="",P81="위험물")), "4510", IF(AND(S81=1,OR(P81="리퍼",P81="위험물리퍼")), "4530", IF(AND(R81=1,OR(P81="",P81="위험물")), "4210", IF(AND(R81=1,P81="리퍼"), "4230", " ")))))))</f>
        <v/>
      </c>
      <c r="BN81" s="2" t="str">
        <f>IF($B81="","",$BN$1)</f>
        <v/>
      </c>
      <c r="BR81" s="2" t="str">
        <f>IF($B81="","",IF(OR(P81="리퍼",P81="위험물리퍼"),"Y",""))</f>
        <v/>
      </c>
      <c r="BS81" s="2" t="str">
        <f>IF($B81="","",IF(OR(P81="위험물",P81="위험물리퍼"),"Y",""))</f>
        <v/>
      </c>
      <c r="BV81" s="2" t="str">
        <f>IF($B81="","",IF(O81="","",VLOOKUP(O81,GLAPS정리!$BH$2:$BI$94,2,0)))</f>
        <v/>
      </c>
      <c r="BW81" s="2" t="str">
        <f>IF($B81="","",IF(OR(Z81="동원",Z81="세방",Z81="한타"),"",IFERROR(INDEX(GLAPS정리!$BI$2:$BI$101,MATCH(Z81,GLAPS정리!$BH$2:$BH$101,0)),"")))</f>
        <v/>
      </c>
      <c r="BX81" s="2" t="str">
        <f>IF($B81="","",IF(Z81="","",IFERROR(VLOOKUP(Z81,GLAPS정리!$AX$2:$AZ$17,3,0),"")))</f>
        <v/>
      </c>
      <c r="BZ81" s="2" t="str">
        <f>IF($B81="","",IF(H81="","",VLOOKUP(H81,GLAPS정리!$L$3:$O$133,2,0)))</f>
        <v/>
      </c>
      <c r="CA81" s="2" t="str">
        <f>IF($B81="","",IF(V81="공휴일", 10, IF(V81="야간", 20, IF(V81="위험물", 30, IF(V81="중량", 40, "")))))</f>
        <v/>
      </c>
      <c r="CL81" s="2" t="str">
        <f>IF($B81="","",IF(AI81="","",VLOOKUP(AI81,GLAPS정리!$BT$3:$BV$26,3,0)))</f>
        <v/>
      </c>
    </row>
    <row r="82" spans="2:90" ht="20.45" customHeight="1">
      <c r="B82" s="13" t="str">
        <f>IF(GLAPS자동계산!C81="","",GLAPS자동계산!C81)</f>
        <v/>
      </c>
      <c r="C82" s="3" t="str">
        <f>IF(GLAPS자동계산!D81="","",GLAPS자동계산!D81)</f>
        <v/>
      </c>
      <c r="D82" s="16" t="str">
        <f>IF(GLAPS자동계산!E81="","",GLAPS자동계산!E81)</f>
        <v/>
      </c>
      <c r="E82" s="11" t="str">
        <f>IF(GLAPS자동계산!F81="","",GLAPS자동계산!F81)</f>
        <v/>
      </c>
      <c r="F82" s="171" t="str">
        <f>IF(GLAPS자동계산!G81="","",GLAPS자동계산!G81)</f>
        <v/>
      </c>
      <c r="G82" s="3" t="str">
        <f>IF(GLAPS자동계산!H81="","",GLAPS자동계산!H81)</f>
        <v/>
      </c>
      <c r="H82" s="3" t="str">
        <f>IF(GLAPS자동계산!I81="","",GLAPS자동계산!I81)</f>
        <v/>
      </c>
      <c r="I82" s="3" t="str">
        <f>IF(GLAPS자동계산!J81="","",GLAPS자동계산!J81)</f>
        <v/>
      </c>
      <c r="J82" s="3" t="str">
        <f>IF(GLAPS자동계산!K81="","",GLAPS자동계산!K81)</f>
        <v/>
      </c>
      <c r="K82" s="3" t="str">
        <f>IF(GLAPS자동계산!L81="","",GLAPS자동계산!L81)</f>
        <v/>
      </c>
      <c r="L82" s="3" t="str">
        <f>IF(GLAPS자동계산!M81="","",GLAPS자동계산!M81)</f>
        <v/>
      </c>
      <c r="M82" s="3" t="str">
        <f>IF(GLAPS자동계산!N81="","",GLAPS자동계산!N81)</f>
        <v/>
      </c>
      <c r="N82" s="3" t="str">
        <f>IF(GLAPS자동계산!O81="","",GLAPS자동계산!O81)</f>
        <v/>
      </c>
      <c r="O82" s="3" t="str">
        <f>IF(GLAPS자동계산!P81="","",GLAPS자동계산!P81)</f>
        <v/>
      </c>
      <c r="P82" s="2" t="str">
        <f>IF(GLAPS자동계산!Q81="","",GLAPS자동계산!Q81)</f>
        <v/>
      </c>
      <c r="Q82" s="3" t="str">
        <f>IF(GLAPS자동계산!R81="","",GLAPS자동계산!R81)</f>
        <v/>
      </c>
      <c r="R82" s="3" t="str">
        <f>IF(GLAPS자동계산!S81="","",GLAPS자동계산!S81)</f>
        <v/>
      </c>
      <c r="S82" s="3" t="str">
        <f>IF(GLAPS자동계산!T81="","",GLAPS자동계산!T81)</f>
        <v/>
      </c>
      <c r="T82" s="3" t="str">
        <f>IF(GLAPS자동계산!U81="","",GLAPS자동계산!U81)</f>
        <v/>
      </c>
      <c r="U82" s="3" t="str">
        <f>IF(GLAPS자동계산!V81="","",GLAPS자동계산!V81)</f>
        <v/>
      </c>
      <c r="V82" s="3" t="str">
        <f>IF(GLAPS자동계산!W81="","",GLAPS자동계산!W81)</f>
        <v/>
      </c>
      <c r="W82" s="14" t="str">
        <f>IF(GLAPS자동계산!X81="","",GLAPS자동계산!X81)</f>
        <v/>
      </c>
      <c r="X82" s="13" t="str">
        <f>IF(GLAPS자동계산!Y81="","",GLAPS자동계산!Y81)</f>
        <v/>
      </c>
      <c r="Y82" s="13" t="str">
        <f>IF(GLAPS자동계산!Z81="","",GLAPS자동계산!Z81)</f>
        <v/>
      </c>
      <c r="Z82" s="91" t="str">
        <f>IF(GLAPS자동계산!AA81="","",GLAPS자동계산!AA81)</f>
        <v/>
      </c>
      <c r="AA82" s="14" t="str">
        <f>IF(GLAPS자동계산!AB81="","",GLAPS자동계산!AB81)</f>
        <v/>
      </c>
      <c r="AC82" s="2" t="str">
        <f>IF($B82="","",$AC$1)</f>
        <v/>
      </c>
      <c r="AD82" s="2" t="str">
        <f>IF($B82="","",IFERROR(INDEX(GLAPS정리!$D$2:$D$50,MATCH(I82,GLAPS정리!$A$2:$A$50,0)),IFERROR(INDEX(GLAPS정리!$D$2:$D$50,MATCH(I82,GLAPS정리!$B$2:$B$50,0)),"")))</f>
        <v/>
      </c>
      <c r="AF82" s="2" t="str">
        <f>IF($B82="","",$AF$1)</f>
        <v/>
      </c>
      <c r="AI82" s="2" t="str">
        <f>IF($B82="","",IF(F82="","",VLOOKUP(F82,GLAPS정리!$G$3:$J$114,2,0)))</f>
        <v/>
      </c>
      <c r="AJ82" s="2" t="str">
        <f>IF($B82="","",IF(Z82="울산정일","KRONS",IF(Z82="울산신항","KRUSN",IF(OR(Z82="선광종합물류(인천여객)",Z82="인천여객(인천여객)"),"KRINF",IF(OR(Z82="선광인천보세(인천신)",Z82="한진인천(인천신)",Z82="선광인천신항(인천신)",Z82="인천더로지스(인천신)"),"KRINN",IF(OR(Z82="인천진아(인천항)",Z82="인천E1(인천항)",Z82="인천SM경인터미널(인천항)",Z82="인천항(인천항)",Z82="인천우련(인천항)",Z82="인천항8부두(인천항)"),"KRINC",VLOOKUP(K82,GLAPS정리!$BB$2:$BC$33,2,0)))))))</f>
        <v/>
      </c>
      <c r="AL82" s="2" t="str">
        <f>IF($B82="","",$AL$1)</f>
        <v/>
      </c>
      <c r="AN82" s="70" t="str">
        <f>IF($B82="","",TEXT(B82,"YYYY-MM-DD"))</f>
        <v/>
      </c>
      <c r="AO82" s="2" t="str">
        <f>IF($B82="","",IF(E82="오전", "0800", IF(E82="오후", "1300", IF(E82="잔업", "1800", ""))))</f>
        <v/>
      </c>
      <c r="AP82" s="2" t="str">
        <f>IF($B82="","",IF(C82="","",VLOOKUP(C82,GLAPS정리!$AX$2:$AZ$17,3,0)))</f>
        <v/>
      </c>
      <c r="AR82" s="2" t="str">
        <f>IF($B82="","",IF(X82="","",X82))</f>
        <v/>
      </c>
      <c r="AX82" s="2" t="str">
        <f>IF($B82="","",IF(L82="","",VLOOKUP(L82,GLAPS정리!$V$3:$W$180,2,0)))</f>
        <v/>
      </c>
      <c r="BM82" s="2" t="str">
        <f>IF($B82="","",IF(AND(Q82=1,OR(P82="",P82="위험물")), "2210", IF(AND(Q82=1,OR(P82="리퍼",P82="위험물리퍼")), "2230", IF(AND(S82=1,OR(P82="",P82="위험물")), "4510", IF(AND(S82=1,OR(P82="리퍼",P82="위험물리퍼")), "4530", IF(AND(R82=1,OR(P82="",P82="위험물")), "4210", IF(AND(R82=1,P82="리퍼"), "4230", " ")))))))</f>
        <v/>
      </c>
      <c r="BN82" s="2" t="str">
        <f>IF($B82="","",$BN$1)</f>
        <v/>
      </c>
      <c r="BR82" s="2" t="str">
        <f>IF($B82="","",IF(OR(P82="리퍼",P82="위험물리퍼"),"Y",""))</f>
        <v/>
      </c>
      <c r="BS82" s="2" t="str">
        <f>IF($B82="","",IF(OR(P82="위험물",P82="위험물리퍼"),"Y",""))</f>
        <v/>
      </c>
      <c r="BV82" s="2" t="str">
        <f>IF($B82="","",IF(O82="","",VLOOKUP(O82,GLAPS정리!$BH$2:$BI$94,2,0)))</f>
        <v/>
      </c>
      <c r="BW82" s="2" t="str">
        <f>IF($B82="","",IF(OR(Z82="동원",Z82="세방",Z82="한타"),"",IFERROR(INDEX(GLAPS정리!$BI$2:$BI$101,MATCH(Z82,GLAPS정리!$BH$2:$BH$101,0)),"")))</f>
        <v/>
      </c>
      <c r="BX82" s="2" t="str">
        <f>IF($B82="","",IF(Z82="","",IFERROR(VLOOKUP(Z82,GLAPS정리!$AX$2:$AZ$17,3,0),"")))</f>
        <v/>
      </c>
      <c r="BZ82" s="2" t="str">
        <f>IF($B82="","",IF(H82="","",VLOOKUP(H82,GLAPS정리!$L$3:$O$133,2,0)))</f>
        <v/>
      </c>
      <c r="CA82" s="2" t="str">
        <f>IF($B82="","",IF(V82="공휴일", 10, IF(V82="야간", 20, IF(V82="위험물", 30, IF(V82="중량", 40, "")))))</f>
        <v/>
      </c>
      <c r="CL82" s="2" t="str">
        <f>IF($B82="","",IF(AI82="","",VLOOKUP(AI82,GLAPS정리!$BT$3:$BV$26,3,0)))</f>
        <v/>
      </c>
    </row>
    <row r="83" spans="2:90" ht="20.45" customHeight="1">
      <c r="B83" s="13" t="str">
        <f>IF(GLAPS자동계산!C82="","",GLAPS자동계산!C82)</f>
        <v/>
      </c>
      <c r="C83" s="3" t="str">
        <f>IF(GLAPS자동계산!D82="","",GLAPS자동계산!D82)</f>
        <v/>
      </c>
      <c r="D83" s="16" t="str">
        <f>IF(GLAPS자동계산!E82="","",GLAPS자동계산!E82)</f>
        <v/>
      </c>
      <c r="E83" s="11" t="str">
        <f>IF(GLAPS자동계산!F82="","",GLAPS자동계산!F82)</f>
        <v/>
      </c>
      <c r="F83" s="171" t="str">
        <f>IF(GLAPS자동계산!G82="","",GLAPS자동계산!G82)</f>
        <v/>
      </c>
      <c r="G83" s="3" t="str">
        <f>IF(GLAPS자동계산!H82="","",GLAPS자동계산!H82)</f>
        <v/>
      </c>
      <c r="H83" s="3" t="str">
        <f>IF(GLAPS자동계산!I82="","",GLAPS자동계산!I82)</f>
        <v/>
      </c>
      <c r="I83" s="3" t="str">
        <f>IF(GLAPS자동계산!J82="","",GLAPS자동계산!J82)</f>
        <v/>
      </c>
      <c r="J83" s="3" t="str">
        <f>IF(GLAPS자동계산!K82="","",GLAPS자동계산!K82)</f>
        <v/>
      </c>
      <c r="K83" s="3" t="str">
        <f>IF(GLAPS자동계산!L82="","",GLAPS자동계산!L82)</f>
        <v/>
      </c>
      <c r="L83" s="3" t="str">
        <f>IF(GLAPS자동계산!M82="","",GLAPS자동계산!M82)</f>
        <v/>
      </c>
      <c r="M83" s="3" t="str">
        <f>IF(GLAPS자동계산!N82="","",GLAPS자동계산!N82)</f>
        <v/>
      </c>
      <c r="N83" s="3" t="str">
        <f>IF(GLAPS자동계산!O82="","",GLAPS자동계산!O82)</f>
        <v/>
      </c>
      <c r="O83" s="3" t="str">
        <f>IF(GLAPS자동계산!P82="","",GLAPS자동계산!P82)</f>
        <v/>
      </c>
      <c r="P83" s="2" t="str">
        <f>IF(GLAPS자동계산!Q82="","",GLAPS자동계산!Q82)</f>
        <v/>
      </c>
      <c r="Q83" s="3" t="str">
        <f>IF(GLAPS자동계산!R82="","",GLAPS자동계산!R82)</f>
        <v/>
      </c>
      <c r="R83" s="3" t="str">
        <f>IF(GLAPS자동계산!S82="","",GLAPS자동계산!S82)</f>
        <v/>
      </c>
      <c r="S83" s="3" t="str">
        <f>IF(GLAPS자동계산!T82="","",GLAPS자동계산!T82)</f>
        <v/>
      </c>
      <c r="T83" s="3" t="str">
        <f>IF(GLAPS자동계산!U82="","",GLAPS자동계산!U82)</f>
        <v/>
      </c>
      <c r="U83" s="3" t="str">
        <f>IF(GLAPS자동계산!V82="","",GLAPS자동계산!V82)</f>
        <v/>
      </c>
      <c r="V83" s="3" t="str">
        <f>IF(GLAPS자동계산!W82="","",GLAPS자동계산!W82)</f>
        <v/>
      </c>
      <c r="W83" s="14" t="str">
        <f>IF(GLAPS자동계산!X82="","",GLAPS자동계산!X82)</f>
        <v/>
      </c>
      <c r="X83" s="13" t="str">
        <f>IF(GLAPS자동계산!Y82="","",GLAPS자동계산!Y82)</f>
        <v/>
      </c>
      <c r="Y83" s="13" t="str">
        <f>IF(GLAPS자동계산!Z82="","",GLAPS자동계산!Z82)</f>
        <v/>
      </c>
      <c r="Z83" s="91" t="str">
        <f>IF(GLAPS자동계산!AA82="","",GLAPS자동계산!AA82)</f>
        <v/>
      </c>
      <c r="AA83" s="14" t="str">
        <f>IF(GLAPS자동계산!AB82="","",GLAPS자동계산!AB82)</f>
        <v/>
      </c>
      <c r="AC83" s="2" t="str">
        <f>IF($B83="","",$AC$1)</f>
        <v/>
      </c>
      <c r="AD83" s="2" t="str">
        <f>IF($B83="","",IFERROR(INDEX(GLAPS정리!$D$2:$D$50,MATCH(I83,GLAPS정리!$A$2:$A$50,0)),IFERROR(INDEX(GLAPS정리!$D$2:$D$50,MATCH(I83,GLAPS정리!$B$2:$B$50,0)),"")))</f>
        <v/>
      </c>
      <c r="AF83" s="2" t="str">
        <f>IF($B83="","",$AF$1)</f>
        <v/>
      </c>
      <c r="AI83" s="2" t="str">
        <f>IF($B83="","",IF(F83="","",VLOOKUP(F83,GLAPS정리!$G$3:$J$114,2,0)))</f>
        <v/>
      </c>
      <c r="AJ83" s="2" t="str">
        <f>IF($B83="","",IF(Z83="울산정일","KRONS",IF(Z83="울산신항","KRUSN",IF(OR(Z83="선광종합물류(인천여객)",Z83="인천여객(인천여객)"),"KRINF",IF(OR(Z83="선광인천보세(인천신)",Z83="한진인천(인천신)",Z83="선광인천신항(인천신)",Z83="인천더로지스(인천신)"),"KRINN",IF(OR(Z83="인천진아(인천항)",Z83="인천E1(인천항)",Z83="인천SM경인터미널(인천항)",Z83="인천항(인천항)",Z83="인천우련(인천항)",Z83="인천항8부두(인천항)"),"KRINC",VLOOKUP(K83,GLAPS정리!$BB$2:$BC$33,2,0)))))))</f>
        <v/>
      </c>
      <c r="AL83" s="2" t="str">
        <f>IF($B83="","",$AL$1)</f>
        <v/>
      </c>
      <c r="AN83" s="70" t="str">
        <f>IF($B83="","",TEXT(B83,"YYYY-MM-DD"))</f>
        <v/>
      </c>
      <c r="AO83" s="2" t="str">
        <f>IF($B83="","",IF(E83="오전", "0800", IF(E83="오후", "1300", IF(E83="잔업", "1800", ""))))</f>
        <v/>
      </c>
      <c r="AP83" s="2" t="str">
        <f>IF($B83="","",IF(C83="","",VLOOKUP(C83,GLAPS정리!$AX$2:$AZ$17,3,0)))</f>
        <v/>
      </c>
      <c r="AR83" s="2" t="str">
        <f>IF($B83="","",IF(X83="","",X83))</f>
        <v/>
      </c>
      <c r="AX83" s="2" t="str">
        <f>IF($B83="","",IF(L83="","",VLOOKUP(L83,GLAPS정리!$V$3:$W$180,2,0)))</f>
        <v/>
      </c>
      <c r="BM83" s="2" t="str">
        <f>IF($B83="","",IF(AND(Q83=1,OR(P83="",P83="위험물")), "2210", IF(AND(Q83=1,OR(P83="리퍼",P83="위험물리퍼")), "2230", IF(AND(S83=1,OR(P83="",P83="위험물")), "4510", IF(AND(S83=1,OR(P83="리퍼",P83="위험물리퍼")), "4530", IF(AND(R83=1,OR(P83="",P83="위험물")), "4210", IF(AND(R83=1,P83="리퍼"), "4230", " ")))))))</f>
        <v/>
      </c>
      <c r="BN83" s="2" t="str">
        <f>IF($B83="","",$BN$1)</f>
        <v/>
      </c>
      <c r="BR83" s="2" t="str">
        <f>IF($B83="","",IF(OR(P83="리퍼",P83="위험물리퍼"),"Y",""))</f>
        <v/>
      </c>
      <c r="BS83" s="2" t="str">
        <f>IF($B83="","",IF(OR(P83="위험물",P83="위험물리퍼"),"Y",""))</f>
        <v/>
      </c>
      <c r="BV83" s="2" t="str">
        <f>IF($B83="","",IF(O83="","",VLOOKUP(O83,GLAPS정리!$BH$2:$BI$94,2,0)))</f>
        <v/>
      </c>
      <c r="BW83" s="2" t="str">
        <f>IF($B83="","",IF(OR(Z83="동원",Z83="세방",Z83="한타"),"",IFERROR(INDEX(GLAPS정리!$BI$2:$BI$101,MATCH(Z83,GLAPS정리!$BH$2:$BH$101,0)),"")))</f>
        <v/>
      </c>
      <c r="BX83" s="2" t="str">
        <f>IF($B83="","",IF(Z83="","",IFERROR(VLOOKUP(Z83,GLAPS정리!$AX$2:$AZ$17,3,0),"")))</f>
        <v/>
      </c>
      <c r="BZ83" s="2" t="str">
        <f>IF($B83="","",IF(H83="","",VLOOKUP(H83,GLAPS정리!$L$3:$O$133,2,0)))</f>
        <v/>
      </c>
      <c r="CA83" s="2" t="str">
        <f>IF($B83="","",IF(V83="공휴일", 10, IF(V83="야간", 20, IF(V83="위험물", 30, IF(V83="중량", 40, "")))))</f>
        <v/>
      </c>
      <c r="CL83" s="2" t="str">
        <f>IF($B83="","",IF(AI83="","",VLOOKUP(AI83,GLAPS정리!$BT$3:$BV$26,3,0)))</f>
        <v/>
      </c>
    </row>
    <row r="84" spans="2:90" ht="20.45" customHeight="1">
      <c r="B84" s="13" t="str">
        <f>IF(GLAPS자동계산!C83="","",GLAPS자동계산!C83)</f>
        <v/>
      </c>
      <c r="C84" s="3" t="str">
        <f>IF(GLAPS자동계산!D83="","",GLAPS자동계산!D83)</f>
        <v/>
      </c>
      <c r="D84" s="16" t="str">
        <f>IF(GLAPS자동계산!E83="","",GLAPS자동계산!E83)</f>
        <v/>
      </c>
      <c r="E84" s="11" t="str">
        <f>IF(GLAPS자동계산!F83="","",GLAPS자동계산!F83)</f>
        <v/>
      </c>
      <c r="F84" s="171" t="str">
        <f>IF(GLAPS자동계산!G83="","",GLAPS자동계산!G83)</f>
        <v/>
      </c>
      <c r="G84" s="3" t="str">
        <f>IF(GLAPS자동계산!H83="","",GLAPS자동계산!H83)</f>
        <v/>
      </c>
      <c r="H84" s="3" t="str">
        <f>IF(GLAPS자동계산!I83="","",GLAPS자동계산!I83)</f>
        <v/>
      </c>
      <c r="I84" s="3" t="str">
        <f>IF(GLAPS자동계산!J83="","",GLAPS자동계산!J83)</f>
        <v/>
      </c>
      <c r="J84" s="3" t="str">
        <f>IF(GLAPS자동계산!K83="","",GLAPS자동계산!K83)</f>
        <v/>
      </c>
      <c r="K84" s="3" t="str">
        <f>IF(GLAPS자동계산!L83="","",GLAPS자동계산!L83)</f>
        <v/>
      </c>
      <c r="L84" s="3" t="str">
        <f>IF(GLAPS자동계산!M83="","",GLAPS자동계산!M83)</f>
        <v/>
      </c>
      <c r="M84" s="3" t="str">
        <f>IF(GLAPS자동계산!N83="","",GLAPS자동계산!N83)</f>
        <v/>
      </c>
      <c r="N84" s="3" t="str">
        <f>IF(GLAPS자동계산!O83="","",GLAPS자동계산!O83)</f>
        <v/>
      </c>
      <c r="O84" s="3" t="str">
        <f>IF(GLAPS자동계산!P83="","",GLAPS자동계산!P83)</f>
        <v/>
      </c>
      <c r="P84" s="2" t="str">
        <f>IF(GLAPS자동계산!Q83="","",GLAPS자동계산!Q83)</f>
        <v/>
      </c>
      <c r="Q84" s="3" t="str">
        <f>IF(GLAPS자동계산!R83="","",GLAPS자동계산!R83)</f>
        <v/>
      </c>
      <c r="R84" s="3" t="str">
        <f>IF(GLAPS자동계산!S83="","",GLAPS자동계산!S83)</f>
        <v/>
      </c>
      <c r="S84" s="3" t="str">
        <f>IF(GLAPS자동계산!T83="","",GLAPS자동계산!T83)</f>
        <v/>
      </c>
      <c r="T84" s="3" t="str">
        <f>IF(GLAPS자동계산!U83="","",GLAPS자동계산!U83)</f>
        <v/>
      </c>
      <c r="U84" s="3" t="str">
        <f>IF(GLAPS자동계산!V83="","",GLAPS자동계산!V83)</f>
        <v/>
      </c>
      <c r="V84" s="3" t="str">
        <f>IF(GLAPS자동계산!W83="","",GLAPS자동계산!W83)</f>
        <v/>
      </c>
      <c r="W84" s="14" t="str">
        <f>IF(GLAPS자동계산!X83="","",GLAPS자동계산!X83)</f>
        <v/>
      </c>
      <c r="X84" s="13" t="str">
        <f>IF(GLAPS자동계산!Y83="","",GLAPS자동계산!Y83)</f>
        <v/>
      </c>
      <c r="Y84" s="13" t="str">
        <f>IF(GLAPS자동계산!Z83="","",GLAPS자동계산!Z83)</f>
        <v/>
      </c>
      <c r="Z84" s="91" t="str">
        <f>IF(GLAPS자동계산!AA83="","",GLAPS자동계산!AA83)</f>
        <v/>
      </c>
      <c r="AA84" s="14" t="str">
        <f>IF(GLAPS자동계산!AB83="","",GLAPS자동계산!AB83)</f>
        <v/>
      </c>
      <c r="AC84" s="2" t="str">
        <f>IF($B84="","",$AC$1)</f>
        <v/>
      </c>
      <c r="AD84" s="2" t="str">
        <f>IF($B84="","",IFERROR(INDEX(GLAPS정리!$D$2:$D$50,MATCH(I84,GLAPS정리!$A$2:$A$50,0)),IFERROR(INDEX(GLAPS정리!$D$2:$D$50,MATCH(I84,GLAPS정리!$B$2:$B$50,0)),"")))</f>
        <v/>
      </c>
      <c r="AF84" s="2" t="str">
        <f>IF($B84="","",$AF$1)</f>
        <v/>
      </c>
      <c r="AI84" s="2" t="str">
        <f>IF($B84="","",IF(F84="","",VLOOKUP(F84,GLAPS정리!$G$3:$J$114,2,0)))</f>
        <v/>
      </c>
      <c r="AJ84" s="2" t="str">
        <f>IF($B84="","",IF(Z84="울산정일","KRONS",IF(Z84="울산신항","KRUSN",IF(OR(Z84="선광종합물류(인천여객)",Z84="인천여객(인천여객)"),"KRINF",IF(OR(Z84="선광인천보세(인천신)",Z84="한진인천(인천신)",Z84="선광인천신항(인천신)",Z84="인천더로지스(인천신)"),"KRINN",IF(OR(Z84="인천진아(인천항)",Z84="인천E1(인천항)",Z84="인천SM경인터미널(인천항)",Z84="인천항(인천항)",Z84="인천우련(인천항)",Z84="인천항8부두(인천항)"),"KRINC",VLOOKUP(K84,GLAPS정리!$BB$2:$BC$33,2,0)))))))</f>
        <v/>
      </c>
      <c r="AL84" s="2" t="str">
        <f>IF($B84="","",$AL$1)</f>
        <v/>
      </c>
      <c r="AN84" s="70" t="str">
        <f>IF($B84="","",TEXT(B84,"YYYY-MM-DD"))</f>
        <v/>
      </c>
      <c r="AO84" s="2" t="str">
        <f>IF($B84="","",IF(E84="오전", "0800", IF(E84="오후", "1300", IF(E84="잔업", "1800", ""))))</f>
        <v/>
      </c>
      <c r="AP84" s="2" t="str">
        <f>IF($B84="","",IF(C84="","",VLOOKUP(C84,GLAPS정리!$AX$2:$AZ$17,3,0)))</f>
        <v/>
      </c>
      <c r="AR84" s="2" t="str">
        <f>IF($B84="","",IF(X84="","",X84))</f>
        <v/>
      </c>
      <c r="AX84" s="2" t="str">
        <f>IF($B84="","",IF(L84="","",VLOOKUP(L84,GLAPS정리!$V$3:$W$180,2,0)))</f>
        <v/>
      </c>
      <c r="BM84" s="2" t="str">
        <f>IF($B84="","",IF(AND(Q84=1,OR(P84="",P84="위험물")), "2210", IF(AND(Q84=1,OR(P84="리퍼",P84="위험물리퍼")), "2230", IF(AND(S84=1,OR(P84="",P84="위험물")), "4510", IF(AND(S84=1,OR(P84="리퍼",P84="위험물리퍼")), "4530", IF(AND(R84=1,OR(P84="",P84="위험물")), "4210", IF(AND(R84=1,P84="리퍼"), "4230", " ")))))))</f>
        <v/>
      </c>
      <c r="BN84" s="2" t="str">
        <f>IF($B84="","",$BN$1)</f>
        <v/>
      </c>
      <c r="BR84" s="2" t="str">
        <f>IF($B84="","",IF(OR(P84="리퍼",P84="위험물리퍼"),"Y",""))</f>
        <v/>
      </c>
      <c r="BS84" s="2" t="str">
        <f>IF($B84="","",IF(OR(P84="위험물",P84="위험물리퍼"),"Y",""))</f>
        <v/>
      </c>
      <c r="BV84" s="2" t="str">
        <f>IF($B84="","",IF(O84="","",VLOOKUP(O84,GLAPS정리!$BH$2:$BI$94,2,0)))</f>
        <v/>
      </c>
      <c r="BW84" s="2" t="str">
        <f>IF($B84="","",IF(OR(Z84="동원",Z84="세방",Z84="한타"),"",IFERROR(INDEX(GLAPS정리!$BI$2:$BI$101,MATCH(Z84,GLAPS정리!$BH$2:$BH$101,0)),"")))</f>
        <v/>
      </c>
      <c r="BX84" s="2" t="str">
        <f>IF($B84="","",IF(Z84="","",IFERROR(VLOOKUP(Z84,GLAPS정리!$AX$2:$AZ$17,3,0),"")))</f>
        <v/>
      </c>
      <c r="BZ84" s="2" t="str">
        <f>IF($B84="","",IF(H84="","",VLOOKUP(H84,GLAPS정리!$L$3:$O$133,2,0)))</f>
        <v/>
      </c>
      <c r="CA84" s="2" t="str">
        <f>IF($B84="","",IF(V84="공휴일", 10, IF(V84="야간", 20, IF(V84="위험물", 30, IF(V84="중량", 40, "")))))</f>
        <v/>
      </c>
      <c r="CL84" s="2" t="str">
        <f>IF($B84="","",IF(AI84="","",VLOOKUP(AI84,GLAPS정리!$BT$3:$BV$26,3,0)))</f>
        <v/>
      </c>
    </row>
    <row r="85" spans="2:90" ht="20.45" customHeight="1">
      <c r="B85" s="13" t="str">
        <f>IF(GLAPS자동계산!C84="","",GLAPS자동계산!C84)</f>
        <v/>
      </c>
      <c r="C85" s="3" t="str">
        <f>IF(GLAPS자동계산!D84="","",GLAPS자동계산!D84)</f>
        <v/>
      </c>
      <c r="D85" s="16" t="str">
        <f>IF(GLAPS자동계산!E84="","",GLAPS자동계산!E84)</f>
        <v/>
      </c>
      <c r="E85" s="11" t="str">
        <f>IF(GLAPS자동계산!F84="","",GLAPS자동계산!F84)</f>
        <v/>
      </c>
      <c r="F85" s="171" t="str">
        <f>IF(GLAPS자동계산!G84="","",GLAPS자동계산!G84)</f>
        <v/>
      </c>
      <c r="G85" s="3" t="str">
        <f>IF(GLAPS자동계산!H84="","",GLAPS자동계산!H84)</f>
        <v/>
      </c>
      <c r="H85" s="3" t="str">
        <f>IF(GLAPS자동계산!I84="","",GLAPS자동계산!I84)</f>
        <v/>
      </c>
      <c r="I85" s="3" t="str">
        <f>IF(GLAPS자동계산!J84="","",GLAPS자동계산!J84)</f>
        <v/>
      </c>
      <c r="J85" s="3" t="str">
        <f>IF(GLAPS자동계산!K84="","",GLAPS자동계산!K84)</f>
        <v/>
      </c>
      <c r="K85" s="3" t="str">
        <f>IF(GLAPS자동계산!L84="","",GLAPS자동계산!L84)</f>
        <v/>
      </c>
      <c r="L85" s="3" t="str">
        <f>IF(GLAPS자동계산!M84="","",GLAPS자동계산!M84)</f>
        <v/>
      </c>
      <c r="M85" s="3" t="str">
        <f>IF(GLAPS자동계산!N84="","",GLAPS자동계산!N84)</f>
        <v/>
      </c>
      <c r="N85" s="3" t="str">
        <f>IF(GLAPS자동계산!O84="","",GLAPS자동계산!O84)</f>
        <v/>
      </c>
      <c r="O85" s="3" t="str">
        <f>IF(GLAPS자동계산!P84="","",GLAPS자동계산!P84)</f>
        <v/>
      </c>
      <c r="P85" s="2" t="str">
        <f>IF(GLAPS자동계산!Q84="","",GLAPS자동계산!Q84)</f>
        <v/>
      </c>
      <c r="Q85" s="3" t="str">
        <f>IF(GLAPS자동계산!R84="","",GLAPS자동계산!R84)</f>
        <v/>
      </c>
      <c r="R85" s="3" t="str">
        <f>IF(GLAPS자동계산!S84="","",GLAPS자동계산!S84)</f>
        <v/>
      </c>
      <c r="S85" s="3" t="str">
        <f>IF(GLAPS자동계산!T84="","",GLAPS자동계산!T84)</f>
        <v/>
      </c>
      <c r="T85" s="3" t="str">
        <f>IF(GLAPS자동계산!U84="","",GLAPS자동계산!U84)</f>
        <v/>
      </c>
      <c r="U85" s="3" t="str">
        <f>IF(GLAPS자동계산!V84="","",GLAPS자동계산!V84)</f>
        <v/>
      </c>
      <c r="V85" s="3" t="str">
        <f>IF(GLAPS자동계산!W84="","",GLAPS자동계산!W84)</f>
        <v/>
      </c>
      <c r="W85" s="14" t="str">
        <f>IF(GLAPS자동계산!X84="","",GLAPS자동계산!X84)</f>
        <v/>
      </c>
      <c r="X85" s="13" t="str">
        <f>IF(GLAPS자동계산!Y84="","",GLAPS자동계산!Y84)</f>
        <v/>
      </c>
      <c r="Y85" s="13" t="str">
        <f>IF(GLAPS자동계산!Z84="","",GLAPS자동계산!Z84)</f>
        <v/>
      </c>
      <c r="Z85" s="91" t="str">
        <f>IF(GLAPS자동계산!AA84="","",GLAPS자동계산!AA84)</f>
        <v/>
      </c>
      <c r="AA85" s="14" t="str">
        <f>IF(GLAPS자동계산!AB84="","",GLAPS자동계산!AB84)</f>
        <v/>
      </c>
      <c r="AC85" s="2" t="str">
        <f>IF($B85="","",$AC$1)</f>
        <v/>
      </c>
      <c r="AD85" s="2" t="str">
        <f>IF($B85="","",IFERROR(INDEX(GLAPS정리!$D$2:$D$50,MATCH(I85,GLAPS정리!$A$2:$A$50,0)),IFERROR(INDEX(GLAPS정리!$D$2:$D$50,MATCH(I85,GLAPS정리!$B$2:$B$50,0)),"")))</f>
        <v/>
      </c>
      <c r="AF85" s="2" t="str">
        <f>IF($B85="","",$AF$1)</f>
        <v/>
      </c>
      <c r="AI85" s="2" t="str">
        <f>IF($B85="","",IF(F85="","",VLOOKUP(F85,GLAPS정리!$G$3:$J$114,2,0)))</f>
        <v/>
      </c>
      <c r="AJ85" s="2" t="str">
        <f>IF($B85="","",IF(Z85="울산정일","KRONS",IF(Z85="울산신항","KRUSN",IF(OR(Z85="선광종합물류(인천여객)",Z85="인천여객(인천여객)"),"KRINF",IF(OR(Z85="선광인천보세(인천신)",Z85="한진인천(인천신)",Z85="선광인천신항(인천신)",Z85="인천더로지스(인천신)"),"KRINN",IF(OR(Z85="인천진아(인천항)",Z85="인천E1(인천항)",Z85="인천SM경인터미널(인천항)",Z85="인천항(인천항)",Z85="인천우련(인천항)",Z85="인천항8부두(인천항)"),"KRINC",VLOOKUP(K85,GLAPS정리!$BB$2:$BC$33,2,0)))))))</f>
        <v/>
      </c>
      <c r="AL85" s="2" t="str">
        <f>IF($B85="","",$AL$1)</f>
        <v/>
      </c>
      <c r="AN85" s="70" t="str">
        <f>IF($B85="","",TEXT(B85,"YYYY-MM-DD"))</f>
        <v/>
      </c>
      <c r="AO85" s="2" t="str">
        <f>IF($B85="","",IF(E85="오전", "0800", IF(E85="오후", "1300", IF(E85="잔업", "1800", ""))))</f>
        <v/>
      </c>
      <c r="AP85" s="2" t="str">
        <f>IF($B85="","",IF(C85="","",VLOOKUP(C85,GLAPS정리!$AX$2:$AZ$17,3,0)))</f>
        <v/>
      </c>
      <c r="AR85" s="2" t="str">
        <f>IF($B85="","",IF(X85="","",X85))</f>
        <v/>
      </c>
      <c r="AX85" s="2" t="str">
        <f>IF($B85="","",IF(L85="","",VLOOKUP(L85,GLAPS정리!$V$3:$W$180,2,0)))</f>
        <v/>
      </c>
      <c r="BM85" s="2" t="str">
        <f>IF($B85="","",IF(AND(Q85=1,OR(P85="",P85="위험물")), "2210", IF(AND(Q85=1,OR(P85="리퍼",P85="위험물리퍼")), "2230", IF(AND(S85=1,OR(P85="",P85="위험물")), "4510", IF(AND(S85=1,OR(P85="리퍼",P85="위험물리퍼")), "4530", IF(AND(R85=1,OR(P85="",P85="위험물")), "4210", IF(AND(R85=1,P85="리퍼"), "4230", " ")))))))</f>
        <v/>
      </c>
      <c r="BN85" s="2" t="str">
        <f>IF($B85="","",$BN$1)</f>
        <v/>
      </c>
      <c r="BR85" s="2" t="str">
        <f>IF($B85="","",IF(OR(P85="리퍼",P85="위험물리퍼"),"Y",""))</f>
        <v/>
      </c>
      <c r="BS85" s="2" t="str">
        <f>IF($B85="","",IF(OR(P85="위험물",P85="위험물리퍼"),"Y",""))</f>
        <v/>
      </c>
      <c r="BV85" s="2" t="str">
        <f>IF($B85="","",IF(O85="","",VLOOKUP(O85,GLAPS정리!$BH$2:$BI$94,2,0)))</f>
        <v/>
      </c>
      <c r="BW85" s="2" t="str">
        <f>IF($B85="","",IF(OR(Z85="동원",Z85="세방",Z85="한타"),"",IFERROR(INDEX(GLAPS정리!$BI$2:$BI$101,MATCH(Z85,GLAPS정리!$BH$2:$BH$101,0)),"")))</f>
        <v/>
      </c>
      <c r="BX85" s="2" t="str">
        <f>IF($B85="","",IF(Z85="","",IFERROR(VLOOKUP(Z85,GLAPS정리!$AX$2:$AZ$17,3,0),"")))</f>
        <v/>
      </c>
      <c r="BZ85" s="2" t="str">
        <f>IF($B85="","",IF(H85="","",VLOOKUP(H85,GLAPS정리!$L$3:$O$133,2,0)))</f>
        <v/>
      </c>
      <c r="CA85" s="2" t="str">
        <f>IF($B85="","",IF(V85="공휴일", 10, IF(V85="야간", 20, IF(V85="위험물", 30, IF(V85="중량", 40, "")))))</f>
        <v/>
      </c>
      <c r="CL85" s="2" t="str">
        <f>IF($B85="","",IF(AI85="","",VLOOKUP(AI85,GLAPS정리!$BT$3:$BV$26,3,0)))</f>
        <v/>
      </c>
    </row>
    <row r="86" spans="2:90" ht="20.45" customHeight="1">
      <c r="B86" s="13" t="str">
        <f>IF(GLAPS자동계산!C85="","",GLAPS자동계산!C85)</f>
        <v/>
      </c>
      <c r="C86" s="3" t="str">
        <f>IF(GLAPS자동계산!D85="","",GLAPS자동계산!D85)</f>
        <v/>
      </c>
      <c r="D86" s="16" t="str">
        <f>IF(GLAPS자동계산!E85="","",GLAPS자동계산!E85)</f>
        <v/>
      </c>
      <c r="E86" s="11" t="str">
        <f>IF(GLAPS자동계산!F85="","",GLAPS자동계산!F85)</f>
        <v/>
      </c>
      <c r="F86" s="171" t="str">
        <f>IF(GLAPS자동계산!G85="","",GLAPS자동계산!G85)</f>
        <v/>
      </c>
      <c r="G86" s="3" t="str">
        <f>IF(GLAPS자동계산!H85="","",GLAPS자동계산!H85)</f>
        <v/>
      </c>
      <c r="H86" s="3" t="str">
        <f>IF(GLAPS자동계산!I85="","",GLAPS자동계산!I85)</f>
        <v/>
      </c>
      <c r="I86" s="3" t="str">
        <f>IF(GLAPS자동계산!J85="","",GLAPS자동계산!J85)</f>
        <v/>
      </c>
      <c r="J86" s="3" t="str">
        <f>IF(GLAPS자동계산!K85="","",GLAPS자동계산!K85)</f>
        <v/>
      </c>
      <c r="K86" s="3" t="str">
        <f>IF(GLAPS자동계산!L85="","",GLAPS자동계산!L85)</f>
        <v/>
      </c>
      <c r="L86" s="3" t="str">
        <f>IF(GLAPS자동계산!M85="","",GLAPS자동계산!M85)</f>
        <v/>
      </c>
      <c r="M86" s="3" t="str">
        <f>IF(GLAPS자동계산!N85="","",GLAPS자동계산!N85)</f>
        <v/>
      </c>
      <c r="N86" s="3" t="str">
        <f>IF(GLAPS자동계산!O85="","",GLAPS자동계산!O85)</f>
        <v/>
      </c>
      <c r="O86" s="3" t="str">
        <f>IF(GLAPS자동계산!P85="","",GLAPS자동계산!P85)</f>
        <v/>
      </c>
      <c r="P86" s="2" t="str">
        <f>IF(GLAPS자동계산!Q85="","",GLAPS자동계산!Q85)</f>
        <v/>
      </c>
      <c r="Q86" s="3" t="str">
        <f>IF(GLAPS자동계산!R85="","",GLAPS자동계산!R85)</f>
        <v/>
      </c>
      <c r="R86" s="3" t="str">
        <f>IF(GLAPS자동계산!S85="","",GLAPS자동계산!S85)</f>
        <v/>
      </c>
      <c r="S86" s="3" t="str">
        <f>IF(GLAPS자동계산!T85="","",GLAPS자동계산!T85)</f>
        <v/>
      </c>
      <c r="T86" s="3" t="str">
        <f>IF(GLAPS자동계산!U85="","",GLAPS자동계산!U85)</f>
        <v/>
      </c>
      <c r="U86" s="3" t="str">
        <f>IF(GLAPS자동계산!V85="","",GLAPS자동계산!V85)</f>
        <v/>
      </c>
      <c r="V86" s="3" t="str">
        <f>IF(GLAPS자동계산!W85="","",GLAPS자동계산!W85)</f>
        <v/>
      </c>
      <c r="W86" s="14" t="str">
        <f>IF(GLAPS자동계산!X85="","",GLAPS자동계산!X85)</f>
        <v/>
      </c>
      <c r="X86" s="13" t="str">
        <f>IF(GLAPS자동계산!Y85="","",GLAPS자동계산!Y85)</f>
        <v/>
      </c>
      <c r="Y86" s="13" t="str">
        <f>IF(GLAPS자동계산!Z85="","",GLAPS자동계산!Z85)</f>
        <v/>
      </c>
      <c r="Z86" s="91" t="str">
        <f>IF(GLAPS자동계산!AA85="","",GLAPS자동계산!AA85)</f>
        <v/>
      </c>
      <c r="AA86" s="14" t="str">
        <f>IF(GLAPS자동계산!AB85="","",GLAPS자동계산!AB85)</f>
        <v/>
      </c>
      <c r="AC86" s="2" t="str">
        <f>IF($B86="","",$AC$1)</f>
        <v/>
      </c>
      <c r="AD86" s="2" t="str">
        <f>IF($B86="","",IFERROR(INDEX(GLAPS정리!$D$2:$D$50,MATCH(I86,GLAPS정리!$A$2:$A$50,0)),IFERROR(INDEX(GLAPS정리!$D$2:$D$50,MATCH(I86,GLAPS정리!$B$2:$B$50,0)),"")))</f>
        <v/>
      </c>
      <c r="AF86" s="2" t="str">
        <f>IF($B86="","",$AF$1)</f>
        <v/>
      </c>
      <c r="AI86" s="2" t="str">
        <f>IF($B86="","",IF(F86="","",VLOOKUP(F86,GLAPS정리!$G$3:$J$114,2,0)))</f>
        <v/>
      </c>
      <c r="AJ86" s="2" t="str">
        <f>IF($B86="","",IF(Z86="울산정일","KRONS",IF(Z86="울산신항","KRUSN",IF(OR(Z86="선광종합물류(인천여객)",Z86="인천여객(인천여객)"),"KRINF",IF(OR(Z86="선광인천보세(인천신)",Z86="한진인천(인천신)",Z86="선광인천신항(인천신)",Z86="인천더로지스(인천신)"),"KRINN",IF(OR(Z86="인천진아(인천항)",Z86="인천E1(인천항)",Z86="인천SM경인터미널(인천항)",Z86="인천항(인천항)",Z86="인천우련(인천항)",Z86="인천항8부두(인천항)"),"KRINC",VLOOKUP(K86,GLAPS정리!$BB$2:$BC$33,2,0)))))))</f>
        <v/>
      </c>
      <c r="AL86" s="2" t="str">
        <f>IF($B86="","",$AL$1)</f>
        <v/>
      </c>
      <c r="AN86" s="70" t="str">
        <f>IF($B86="","",TEXT(B86,"YYYY-MM-DD"))</f>
        <v/>
      </c>
      <c r="AO86" s="2" t="str">
        <f>IF($B86="","",IF(E86="오전", "0800", IF(E86="오후", "1300", IF(E86="잔업", "1800", ""))))</f>
        <v/>
      </c>
      <c r="AP86" s="2" t="str">
        <f>IF($B86="","",IF(C86="","",VLOOKUP(C86,GLAPS정리!$AX$2:$AZ$17,3,0)))</f>
        <v/>
      </c>
      <c r="AR86" s="2" t="str">
        <f>IF($B86="","",IF(X86="","",X86))</f>
        <v/>
      </c>
      <c r="AX86" s="2" t="str">
        <f>IF($B86="","",IF(L86="","",VLOOKUP(L86,GLAPS정리!$V$3:$W$180,2,0)))</f>
        <v/>
      </c>
      <c r="BM86" s="2" t="str">
        <f>IF($B86="","",IF(AND(Q86=1,OR(P86="",P86="위험물")), "2210", IF(AND(Q86=1,OR(P86="리퍼",P86="위험물리퍼")), "2230", IF(AND(S86=1,OR(P86="",P86="위험물")), "4510", IF(AND(S86=1,OR(P86="리퍼",P86="위험물리퍼")), "4530", IF(AND(R86=1,OR(P86="",P86="위험물")), "4210", IF(AND(R86=1,P86="리퍼"), "4230", " ")))))))</f>
        <v/>
      </c>
      <c r="BN86" s="2" t="str">
        <f>IF($B86="","",$BN$1)</f>
        <v/>
      </c>
      <c r="BR86" s="2" t="str">
        <f>IF($B86="","",IF(OR(P86="리퍼",P86="위험물리퍼"),"Y",""))</f>
        <v/>
      </c>
      <c r="BS86" s="2" t="str">
        <f>IF($B86="","",IF(OR(P86="위험물",P86="위험물리퍼"),"Y",""))</f>
        <v/>
      </c>
      <c r="BV86" s="2" t="str">
        <f>IF($B86="","",IF(O86="","",VLOOKUP(O86,GLAPS정리!$BH$2:$BI$94,2,0)))</f>
        <v/>
      </c>
      <c r="BW86" s="2" t="str">
        <f>IF($B86="","",IF(OR(Z86="동원",Z86="세방",Z86="한타"),"",IFERROR(INDEX(GLAPS정리!$BI$2:$BI$101,MATCH(Z86,GLAPS정리!$BH$2:$BH$101,0)),"")))</f>
        <v/>
      </c>
      <c r="BX86" s="2" t="str">
        <f>IF($B86="","",IF(Z86="","",IFERROR(VLOOKUP(Z86,GLAPS정리!$AX$2:$AZ$17,3,0),"")))</f>
        <v/>
      </c>
      <c r="BZ86" s="2" t="str">
        <f>IF($B86="","",IF(H86="","",VLOOKUP(H86,GLAPS정리!$L$3:$O$133,2,0)))</f>
        <v/>
      </c>
      <c r="CA86" s="2" t="str">
        <f>IF($B86="","",IF(V86="공휴일", 10, IF(V86="야간", 20, IF(V86="위험물", 30, IF(V86="중량", 40, "")))))</f>
        <v/>
      </c>
      <c r="CL86" s="2" t="str">
        <f>IF($B86="","",IF(AI86="","",VLOOKUP(AI86,GLAPS정리!$BT$3:$BV$26,3,0)))</f>
        <v/>
      </c>
    </row>
    <row r="87" spans="2:90" ht="20.45" customHeight="1">
      <c r="B87" s="13" t="str">
        <f>IF(GLAPS자동계산!C86="","",GLAPS자동계산!C86)</f>
        <v/>
      </c>
      <c r="C87" s="3" t="str">
        <f>IF(GLAPS자동계산!D86="","",GLAPS자동계산!D86)</f>
        <v/>
      </c>
      <c r="D87" s="16" t="str">
        <f>IF(GLAPS자동계산!E86="","",GLAPS자동계산!E86)</f>
        <v/>
      </c>
      <c r="E87" s="11" t="str">
        <f>IF(GLAPS자동계산!F86="","",GLAPS자동계산!F86)</f>
        <v/>
      </c>
      <c r="F87" s="171" t="str">
        <f>IF(GLAPS자동계산!G86="","",GLAPS자동계산!G86)</f>
        <v/>
      </c>
      <c r="G87" s="3" t="str">
        <f>IF(GLAPS자동계산!H86="","",GLAPS자동계산!H86)</f>
        <v/>
      </c>
      <c r="H87" s="3" t="str">
        <f>IF(GLAPS자동계산!I86="","",GLAPS자동계산!I86)</f>
        <v/>
      </c>
      <c r="I87" s="3" t="str">
        <f>IF(GLAPS자동계산!J86="","",GLAPS자동계산!J86)</f>
        <v/>
      </c>
      <c r="J87" s="3" t="str">
        <f>IF(GLAPS자동계산!K86="","",GLAPS자동계산!K86)</f>
        <v/>
      </c>
      <c r="K87" s="3" t="str">
        <f>IF(GLAPS자동계산!L86="","",GLAPS자동계산!L86)</f>
        <v/>
      </c>
      <c r="L87" s="3" t="str">
        <f>IF(GLAPS자동계산!M86="","",GLAPS자동계산!M86)</f>
        <v/>
      </c>
      <c r="M87" s="3" t="str">
        <f>IF(GLAPS자동계산!N86="","",GLAPS자동계산!N86)</f>
        <v/>
      </c>
      <c r="N87" s="3" t="str">
        <f>IF(GLAPS자동계산!O86="","",GLAPS자동계산!O86)</f>
        <v/>
      </c>
      <c r="O87" s="3" t="str">
        <f>IF(GLAPS자동계산!P86="","",GLAPS자동계산!P86)</f>
        <v/>
      </c>
      <c r="P87" s="2" t="str">
        <f>IF(GLAPS자동계산!Q86="","",GLAPS자동계산!Q86)</f>
        <v/>
      </c>
      <c r="Q87" s="3" t="str">
        <f>IF(GLAPS자동계산!R86="","",GLAPS자동계산!R86)</f>
        <v/>
      </c>
      <c r="R87" s="3" t="str">
        <f>IF(GLAPS자동계산!S86="","",GLAPS자동계산!S86)</f>
        <v/>
      </c>
      <c r="S87" s="3" t="str">
        <f>IF(GLAPS자동계산!T86="","",GLAPS자동계산!T86)</f>
        <v/>
      </c>
      <c r="T87" s="3" t="str">
        <f>IF(GLAPS자동계산!U86="","",GLAPS자동계산!U86)</f>
        <v/>
      </c>
      <c r="U87" s="3" t="str">
        <f>IF(GLAPS자동계산!V86="","",GLAPS자동계산!V86)</f>
        <v/>
      </c>
      <c r="V87" s="3" t="str">
        <f>IF(GLAPS자동계산!W86="","",GLAPS자동계산!W86)</f>
        <v/>
      </c>
      <c r="W87" s="14" t="str">
        <f>IF(GLAPS자동계산!X86="","",GLAPS자동계산!X86)</f>
        <v/>
      </c>
      <c r="X87" s="13" t="str">
        <f>IF(GLAPS자동계산!Y86="","",GLAPS자동계산!Y86)</f>
        <v/>
      </c>
      <c r="Y87" s="13" t="str">
        <f>IF(GLAPS자동계산!Z86="","",GLAPS자동계산!Z86)</f>
        <v/>
      </c>
      <c r="Z87" s="91" t="str">
        <f>IF(GLAPS자동계산!AA86="","",GLAPS자동계산!AA86)</f>
        <v/>
      </c>
      <c r="AA87" s="14" t="str">
        <f>IF(GLAPS자동계산!AB86="","",GLAPS자동계산!AB86)</f>
        <v/>
      </c>
      <c r="AC87" s="2" t="str">
        <f>IF($B87="","",$AC$1)</f>
        <v/>
      </c>
      <c r="AD87" s="2" t="str">
        <f>IF($B87="","",IFERROR(INDEX(GLAPS정리!$D$2:$D$50,MATCH(I87,GLAPS정리!$A$2:$A$50,0)),IFERROR(INDEX(GLAPS정리!$D$2:$D$50,MATCH(I87,GLAPS정리!$B$2:$B$50,0)),"")))</f>
        <v/>
      </c>
      <c r="AF87" s="2" t="str">
        <f>IF($B87="","",$AF$1)</f>
        <v/>
      </c>
      <c r="AI87" s="2" t="str">
        <f>IF($B87="","",IF(F87="","",VLOOKUP(F87,GLAPS정리!$G$3:$J$114,2,0)))</f>
        <v/>
      </c>
      <c r="AJ87" s="2" t="str">
        <f>IF($B87="","",IF(Z87="울산정일","KRONS",IF(Z87="울산신항","KRUSN",IF(OR(Z87="선광종합물류(인천여객)",Z87="인천여객(인천여객)"),"KRINF",IF(OR(Z87="선광인천보세(인천신)",Z87="한진인천(인천신)",Z87="선광인천신항(인천신)",Z87="인천더로지스(인천신)"),"KRINN",IF(OR(Z87="인천진아(인천항)",Z87="인천E1(인천항)",Z87="인천SM경인터미널(인천항)",Z87="인천항(인천항)",Z87="인천우련(인천항)",Z87="인천항8부두(인천항)"),"KRINC",VLOOKUP(K87,GLAPS정리!$BB$2:$BC$33,2,0)))))))</f>
        <v/>
      </c>
      <c r="AL87" s="2" t="str">
        <f>IF($B87="","",$AL$1)</f>
        <v/>
      </c>
      <c r="AN87" s="70" t="str">
        <f>IF($B87="","",TEXT(B87,"YYYY-MM-DD"))</f>
        <v/>
      </c>
      <c r="AO87" s="2" t="str">
        <f>IF($B87="","",IF(E87="오전", "0800", IF(E87="오후", "1300", IF(E87="잔업", "1800", ""))))</f>
        <v/>
      </c>
      <c r="AP87" s="2" t="str">
        <f>IF($B87="","",IF(C87="","",VLOOKUP(C87,GLAPS정리!$AX$2:$AZ$17,3,0)))</f>
        <v/>
      </c>
      <c r="AR87" s="2" t="str">
        <f>IF($B87="","",IF(X87="","",X87))</f>
        <v/>
      </c>
      <c r="AX87" s="2" t="str">
        <f>IF($B87="","",IF(L87="","",VLOOKUP(L87,GLAPS정리!$V$3:$W$180,2,0)))</f>
        <v/>
      </c>
      <c r="BM87" s="2" t="str">
        <f>IF($B87="","",IF(AND(Q87=1,OR(P87="",P87="위험물")), "2210", IF(AND(Q87=1,OR(P87="리퍼",P87="위험물리퍼")), "2230", IF(AND(S87=1,OR(P87="",P87="위험물")), "4510", IF(AND(S87=1,OR(P87="리퍼",P87="위험물리퍼")), "4530", IF(AND(R87=1,OR(P87="",P87="위험물")), "4210", IF(AND(R87=1,P87="리퍼"), "4230", " ")))))))</f>
        <v/>
      </c>
      <c r="BN87" s="2" t="str">
        <f>IF($B87="","",$BN$1)</f>
        <v/>
      </c>
      <c r="BR87" s="2" t="str">
        <f>IF($B87="","",IF(OR(P87="리퍼",P87="위험물리퍼"),"Y",""))</f>
        <v/>
      </c>
      <c r="BS87" s="2" t="str">
        <f>IF($B87="","",IF(OR(P87="위험물",P87="위험물리퍼"),"Y",""))</f>
        <v/>
      </c>
      <c r="BV87" s="2" t="str">
        <f>IF($B87="","",IF(O87="","",VLOOKUP(O87,GLAPS정리!$BH$2:$BI$94,2,0)))</f>
        <v/>
      </c>
      <c r="BW87" s="2" t="str">
        <f>IF($B87="","",IF(OR(Z87="동원",Z87="세방",Z87="한타"),"",IFERROR(INDEX(GLAPS정리!$BI$2:$BI$101,MATCH(Z87,GLAPS정리!$BH$2:$BH$101,0)),"")))</f>
        <v/>
      </c>
      <c r="BX87" s="2" t="str">
        <f>IF($B87="","",IF(Z87="","",IFERROR(VLOOKUP(Z87,GLAPS정리!$AX$2:$AZ$17,3,0),"")))</f>
        <v/>
      </c>
      <c r="BZ87" s="2" t="str">
        <f>IF($B87="","",IF(H87="","",VLOOKUP(H87,GLAPS정리!$L$3:$O$133,2,0)))</f>
        <v/>
      </c>
      <c r="CA87" s="2" t="str">
        <f>IF($B87="","",IF(V87="공휴일", 10, IF(V87="야간", 20, IF(V87="위험물", 30, IF(V87="중량", 40, "")))))</f>
        <v/>
      </c>
      <c r="CL87" s="2" t="str">
        <f>IF($B87="","",IF(AI87="","",VLOOKUP(AI87,GLAPS정리!$BT$3:$BV$26,3,0)))</f>
        <v/>
      </c>
    </row>
    <row r="88" spans="2:90" ht="20.45" customHeight="1">
      <c r="B88" s="13" t="str">
        <f>IF(GLAPS자동계산!C87="","",GLAPS자동계산!C87)</f>
        <v/>
      </c>
      <c r="C88" s="3" t="str">
        <f>IF(GLAPS자동계산!D87="","",GLAPS자동계산!D87)</f>
        <v/>
      </c>
      <c r="D88" s="16" t="str">
        <f>IF(GLAPS자동계산!E87="","",GLAPS자동계산!E87)</f>
        <v/>
      </c>
      <c r="E88" s="11" t="str">
        <f>IF(GLAPS자동계산!F87="","",GLAPS자동계산!F87)</f>
        <v/>
      </c>
      <c r="F88" s="171" t="str">
        <f>IF(GLAPS자동계산!G87="","",GLAPS자동계산!G87)</f>
        <v/>
      </c>
      <c r="G88" s="3" t="str">
        <f>IF(GLAPS자동계산!H87="","",GLAPS자동계산!H87)</f>
        <v/>
      </c>
      <c r="H88" s="3" t="str">
        <f>IF(GLAPS자동계산!I87="","",GLAPS자동계산!I87)</f>
        <v/>
      </c>
      <c r="I88" s="3" t="str">
        <f>IF(GLAPS자동계산!J87="","",GLAPS자동계산!J87)</f>
        <v/>
      </c>
      <c r="J88" s="3" t="str">
        <f>IF(GLAPS자동계산!K87="","",GLAPS자동계산!K87)</f>
        <v/>
      </c>
      <c r="K88" s="3" t="str">
        <f>IF(GLAPS자동계산!L87="","",GLAPS자동계산!L87)</f>
        <v/>
      </c>
      <c r="L88" s="3" t="str">
        <f>IF(GLAPS자동계산!M87="","",GLAPS자동계산!M87)</f>
        <v/>
      </c>
      <c r="M88" s="3" t="str">
        <f>IF(GLAPS자동계산!N87="","",GLAPS자동계산!N87)</f>
        <v/>
      </c>
      <c r="N88" s="3" t="str">
        <f>IF(GLAPS자동계산!O87="","",GLAPS자동계산!O87)</f>
        <v/>
      </c>
      <c r="O88" s="3" t="str">
        <f>IF(GLAPS자동계산!P87="","",GLAPS자동계산!P87)</f>
        <v/>
      </c>
      <c r="P88" s="2" t="str">
        <f>IF(GLAPS자동계산!Q87="","",GLAPS자동계산!Q87)</f>
        <v/>
      </c>
      <c r="Q88" s="3" t="str">
        <f>IF(GLAPS자동계산!R87="","",GLAPS자동계산!R87)</f>
        <v/>
      </c>
      <c r="R88" s="3" t="str">
        <f>IF(GLAPS자동계산!S87="","",GLAPS자동계산!S87)</f>
        <v/>
      </c>
      <c r="S88" s="3" t="str">
        <f>IF(GLAPS자동계산!T87="","",GLAPS자동계산!T87)</f>
        <v/>
      </c>
      <c r="T88" s="3" t="str">
        <f>IF(GLAPS자동계산!U87="","",GLAPS자동계산!U87)</f>
        <v/>
      </c>
      <c r="U88" s="3" t="str">
        <f>IF(GLAPS자동계산!V87="","",GLAPS자동계산!V87)</f>
        <v/>
      </c>
      <c r="V88" s="3" t="str">
        <f>IF(GLAPS자동계산!W87="","",GLAPS자동계산!W87)</f>
        <v/>
      </c>
      <c r="W88" s="14" t="str">
        <f>IF(GLAPS자동계산!X87="","",GLAPS자동계산!X87)</f>
        <v/>
      </c>
      <c r="X88" s="13" t="str">
        <f>IF(GLAPS자동계산!Y87="","",GLAPS자동계산!Y87)</f>
        <v/>
      </c>
      <c r="Y88" s="13" t="str">
        <f>IF(GLAPS자동계산!Z87="","",GLAPS자동계산!Z87)</f>
        <v/>
      </c>
      <c r="Z88" s="91" t="str">
        <f>IF(GLAPS자동계산!AA87="","",GLAPS자동계산!AA87)</f>
        <v/>
      </c>
      <c r="AA88" s="14" t="str">
        <f>IF(GLAPS자동계산!AB87="","",GLAPS자동계산!AB87)</f>
        <v/>
      </c>
      <c r="AC88" s="2" t="str">
        <f>IF($B88="","",$AC$1)</f>
        <v/>
      </c>
      <c r="AD88" s="2" t="str">
        <f>IF($B88="","",IFERROR(INDEX(GLAPS정리!$D$2:$D$50,MATCH(I88,GLAPS정리!$A$2:$A$50,0)),IFERROR(INDEX(GLAPS정리!$D$2:$D$50,MATCH(I88,GLAPS정리!$B$2:$B$50,0)),"")))</f>
        <v/>
      </c>
      <c r="AF88" s="2" t="str">
        <f>IF($B88="","",$AF$1)</f>
        <v/>
      </c>
      <c r="AI88" s="2" t="str">
        <f>IF($B88="","",IF(F88="","",VLOOKUP(F88,GLAPS정리!$G$3:$J$114,2,0)))</f>
        <v/>
      </c>
      <c r="AJ88" s="2" t="str">
        <f>IF($B88="","",IF(Z88="울산정일","KRONS",IF(Z88="울산신항","KRUSN",IF(OR(Z88="선광종합물류(인천여객)",Z88="인천여객(인천여객)"),"KRINF",IF(OR(Z88="선광인천보세(인천신)",Z88="한진인천(인천신)",Z88="선광인천신항(인천신)",Z88="인천더로지스(인천신)"),"KRINN",IF(OR(Z88="인천진아(인천항)",Z88="인천E1(인천항)",Z88="인천SM경인터미널(인천항)",Z88="인천항(인천항)",Z88="인천우련(인천항)",Z88="인천항8부두(인천항)"),"KRINC",VLOOKUP(K88,GLAPS정리!$BB$2:$BC$33,2,0)))))))</f>
        <v/>
      </c>
      <c r="AL88" s="2" t="str">
        <f>IF($B88="","",$AL$1)</f>
        <v/>
      </c>
      <c r="AN88" s="70" t="str">
        <f>IF($B88="","",TEXT(B88,"YYYY-MM-DD"))</f>
        <v/>
      </c>
      <c r="AO88" s="2" t="str">
        <f>IF($B88="","",IF(E88="오전", "0800", IF(E88="오후", "1300", IF(E88="잔업", "1800", ""))))</f>
        <v/>
      </c>
      <c r="AP88" s="2" t="str">
        <f>IF($B88="","",IF(C88="","",VLOOKUP(C88,GLAPS정리!$AX$2:$AZ$17,3,0)))</f>
        <v/>
      </c>
      <c r="AR88" s="2" t="str">
        <f>IF($B88="","",IF(X88="","",X88))</f>
        <v/>
      </c>
      <c r="AX88" s="2" t="str">
        <f>IF($B88="","",IF(L88="","",VLOOKUP(L88,GLAPS정리!$V$3:$W$180,2,0)))</f>
        <v/>
      </c>
      <c r="BM88" s="2" t="str">
        <f>IF($B88="","",IF(AND(Q88=1,OR(P88="",P88="위험물")), "2210", IF(AND(Q88=1,OR(P88="리퍼",P88="위험물리퍼")), "2230", IF(AND(S88=1,OR(P88="",P88="위험물")), "4510", IF(AND(S88=1,OR(P88="리퍼",P88="위험물리퍼")), "4530", IF(AND(R88=1,OR(P88="",P88="위험물")), "4210", IF(AND(R88=1,P88="리퍼"), "4230", " ")))))))</f>
        <v/>
      </c>
      <c r="BN88" s="2" t="str">
        <f>IF($B88="","",$BN$1)</f>
        <v/>
      </c>
      <c r="BR88" s="2" t="str">
        <f>IF($B88="","",IF(OR(P88="리퍼",P88="위험물리퍼"),"Y",""))</f>
        <v/>
      </c>
      <c r="BS88" s="2" t="str">
        <f>IF($B88="","",IF(OR(P88="위험물",P88="위험물리퍼"),"Y",""))</f>
        <v/>
      </c>
      <c r="BV88" s="2" t="str">
        <f>IF($B88="","",IF(O88="","",VLOOKUP(O88,GLAPS정리!$BH$2:$BI$94,2,0)))</f>
        <v/>
      </c>
      <c r="BW88" s="2" t="str">
        <f>IF($B88="","",IF(OR(Z88="동원",Z88="세방",Z88="한타"),"",IFERROR(INDEX(GLAPS정리!$BI$2:$BI$101,MATCH(Z88,GLAPS정리!$BH$2:$BH$101,0)),"")))</f>
        <v/>
      </c>
      <c r="BX88" s="2" t="str">
        <f>IF($B88="","",IF(Z88="","",IFERROR(VLOOKUP(Z88,GLAPS정리!$AX$2:$AZ$17,3,0),"")))</f>
        <v/>
      </c>
      <c r="BZ88" s="2" t="str">
        <f>IF($B88="","",IF(H88="","",VLOOKUP(H88,GLAPS정리!$L$3:$O$133,2,0)))</f>
        <v/>
      </c>
      <c r="CA88" s="2" t="str">
        <f>IF($B88="","",IF(V88="공휴일", 10, IF(V88="야간", 20, IF(V88="위험물", 30, IF(V88="중량", 40, "")))))</f>
        <v/>
      </c>
      <c r="CL88" s="2" t="str">
        <f>IF($B88="","",IF(AI88="","",VLOOKUP(AI88,GLAPS정리!$BT$3:$BV$26,3,0)))</f>
        <v/>
      </c>
    </row>
    <row r="89" spans="2:90" ht="20.45" customHeight="1">
      <c r="B89" s="13" t="str">
        <f>IF(GLAPS자동계산!C88="","",GLAPS자동계산!C88)</f>
        <v/>
      </c>
      <c r="C89" s="3" t="str">
        <f>IF(GLAPS자동계산!D88="","",GLAPS자동계산!D88)</f>
        <v/>
      </c>
      <c r="D89" s="16" t="str">
        <f>IF(GLAPS자동계산!E88="","",GLAPS자동계산!E88)</f>
        <v/>
      </c>
      <c r="E89" s="11" t="str">
        <f>IF(GLAPS자동계산!F88="","",GLAPS자동계산!F88)</f>
        <v/>
      </c>
      <c r="F89" s="171" t="str">
        <f>IF(GLAPS자동계산!G88="","",GLAPS자동계산!G88)</f>
        <v/>
      </c>
      <c r="G89" s="3" t="str">
        <f>IF(GLAPS자동계산!H88="","",GLAPS자동계산!H88)</f>
        <v/>
      </c>
      <c r="H89" s="3" t="str">
        <f>IF(GLAPS자동계산!I88="","",GLAPS자동계산!I88)</f>
        <v/>
      </c>
      <c r="I89" s="3" t="str">
        <f>IF(GLAPS자동계산!J88="","",GLAPS자동계산!J88)</f>
        <v/>
      </c>
      <c r="J89" s="3" t="str">
        <f>IF(GLAPS자동계산!K88="","",GLAPS자동계산!K88)</f>
        <v/>
      </c>
      <c r="K89" s="3" t="str">
        <f>IF(GLAPS자동계산!L88="","",GLAPS자동계산!L88)</f>
        <v/>
      </c>
      <c r="L89" s="3" t="str">
        <f>IF(GLAPS자동계산!M88="","",GLAPS자동계산!M88)</f>
        <v/>
      </c>
      <c r="M89" s="3" t="str">
        <f>IF(GLAPS자동계산!N88="","",GLAPS자동계산!N88)</f>
        <v/>
      </c>
      <c r="N89" s="3" t="str">
        <f>IF(GLAPS자동계산!O88="","",GLAPS자동계산!O88)</f>
        <v/>
      </c>
      <c r="O89" s="3" t="str">
        <f>IF(GLAPS자동계산!P88="","",GLAPS자동계산!P88)</f>
        <v/>
      </c>
      <c r="P89" s="2" t="str">
        <f>IF(GLAPS자동계산!Q88="","",GLAPS자동계산!Q88)</f>
        <v/>
      </c>
      <c r="Q89" s="3" t="str">
        <f>IF(GLAPS자동계산!R88="","",GLAPS자동계산!R88)</f>
        <v/>
      </c>
      <c r="R89" s="3" t="str">
        <f>IF(GLAPS자동계산!S88="","",GLAPS자동계산!S88)</f>
        <v/>
      </c>
      <c r="S89" s="3" t="str">
        <f>IF(GLAPS자동계산!T88="","",GLAPS자동계산!T88)</f>
        <v/>
      </c>
      <c r="T89" s="3" t="str">
        <f>IF(GLAPS자동계산!U88="","",GLAPS자동계산!U88)</f>
        <v/>
      </c>
      <c r="U89" s="3" t="str">
        <f>IF(GLAPS자동계산!V88="","",GLAPS자동계산!V88)</f>
        <v/>
      </c>
      <c r="V89" s="3" t="str">
        <f>IF(GLAPS자동계산!W88="","",GLAPS자동계산!W88)</f>
        <v/>
      </c>
      <c r="W89" s="14" t="str">
        <f>IF(GLAPS자동계산!X88="","",GLAPS자동계산!X88)</f>
        <v/>
      </c>
      <c r="X89" s="13" t="str">
        <f>IF(GLAPS자동계산!Y88="","",GLAPS자동계산!Y88)</f>
        <v/>
      </c>
      <c r="Y89" s="13" t="str">
        <f>IF(GLAPS자동계산!Z88="","",GLAPS자동계산!Z88)</f>
        <v/>
      </c>
      <c r="Z89" s="91" t="str">
        <f>IF(GLAPS자동계산!AA88="","",GLAPS자동계산!AA88)</f>
        <v/>
      </c>
      <c r="AA89" s="14" t="str">
        <f>IF(GLAPS자동계산!AB88="","",GLAPS자동계산!AB88)</f>
        <v/>
      </c>
      <c r="AC89" s="2" t="str">
        <f>IF($B89="","",$AC$1)</f>
        <v/>
      </c>
      <c r="AD89" s="2" t="str">
        <f>IF($B89="","",IFERROR(INDEX(GLAPS정리!$D$2:$D$50,MATCH(I89,GLAPS정리!$A$2:$A$50,0)),IFERROR(INDEX(GLAPS정리!$D$2:$D$50,MATCH(I89,GLAPS정리!$B$2:$B$50,0)),"")))</f>
        <v/>
      </c>
      <c r="AF89" s="2" t="str">
        <f>IF($B89="","",$AF$1)</f>
        <v/>
      </c>
      <c r="AI89" s="2" t="str">
        <f>IF($B89="","",IF(F89="","",VLOOKUP(F89,GLAPS정리!$G$3:$J$114,2,0)))</f>
        <v/>
      </c>
      <c r="AJ89" s="2" t="str">
        <f>IF($B89="","",IF(Z89="울산정일","KRONS",IF(Z89="울산신항","KRUSN",IF(OR(Z89="선광종합물류(인천여객)",Z89="인천여객(인천여객)"),"KRINF",IF(OR(Z89="선광인천보세(인천신)",Z89="한진인천(인천신)",Z89="선광인천신항(인천신)",Z89="인천더로지스(인천신)"),"KRINN",IF(OR(Z89="인천진아(인천항)",Z89="인천E1(인천항)",Z89="인천SM경인터미널(인천항)",Z89="인천항(인천항)",Z89="인천우련(인천항)",Z89="인천항8부두(인천항)"),"KRINC",VLOOKUP(K89,GLAPS정리!$BB$2:$BC$33,2,0)))))))</f>
        <v/>
      </c>
      <c r="AL89" s="2" t="str">
        <f>IF($B89="","",$AL$1)</f>
        <v/>
      </c>
      <c r="AN89" s="70" t="str">
        <f>IF($B89="","",TEXT(B89,"YYYY-MM-DD"))</f>
        <v/>
      </c>
      <c r="AO89" s="2" t="str">
        <f>IF($B89="","",IF(E89="오전", "0800", IF(E89="오후", "1300", IF(E89="잔업", "1800", ""))))</f>
        <v/>
      </c>
      <c r="AP89" s="2" t="str">
        <f>IF($B89="","",IF(C89="","",VLOOKUP(C89,GLAPS정리!$AX$2:$AZ$17,3,0)))</f>
        <v/>
      </c>
      <c r="AR89" s="2" t="str">
        <f>IF($B89="","",IF(X89="","",X89))</f>
        <v/>
      </c>
      <c r="AX89" s="2" t="str">
        <f>IF($B89="","",IF(L89="","",VLOOKUP(L89,GLAPS정리!$V$3:$W$180,2,0)))</f>
        <v/>
      </c>
      <c r="BM89" s="2" t="str">
        <f>IF($B89="","",IF(AND(Q89=1,OR(P89="",P89="위험물")), "2210", IF(AND(Q89=1,OR(P89="리퍼",P89="위험물리퍼")), "2230", IF(AND(S89=1,OR(P89="",P89="위험물")), "4510", IF(AND(S89=1,OR(P89="리퍼",P89="위험물리퍼")), "4530", IF(AND(R89=1,OR(P89="",P89="위험물")), "4210", IF(AND(R89=1,P89="리퍼"), "4230", " ")))))))</f>
        <v/>
      </c>
      <c r="BN89" s="2" t="str">
        <f>IF($B89="","",$BN$1)</f>
        <v/>
      </c>
      <c r="BR89" s="2" t="str">
        <f>IF($B89="","",IF(OR(P89="리퍼",P89="위험물리퍼"),"Y",""))</f>
        <v/>
      </c>
      <c r="BS89" s="2" t="str">
        <f>IF($B89="","",IF(OR(P89="위험물",P89="위험물리퍼"),"Y",""))</f>
        <v/>
      </c>
      <c r="BV89" s="2" t="str">
        <f>IF($B89="","",IF(O89="","",VLOOKUP(O89,GLAPS정리!$BH$2:$BI$94,2,0)))</f>
        <v/>
      </c>
      <c r="BW89" s="2" t="str">
        <f>IF($B89="","",IF(OR(Z89="동원",Z89="세방",Z89="한타"),"",IFERROR(INDEX(GLAPS정리!$BI$2:$BI$101,MATCH(Z89,GLAPS정리!$BH$2:$BH$101,0)),"")))</f>
        <v/>
      </c>
      <c r="BX89" s="2" t="str">
        <f>IF($B89="","",IF(Z89="","",IFERROR(VLOOKUP(Z89,GLAPS정리!$AX$2:$AZ$17,3,0),"")))</f>
        <v/>
      </c>
      <c r="BZ89" s="2" t="str">
        <f>IF($B89="","",IF(H89="","",VLOOKUP(H89,GLAPS정리!$L$3:$O$133,2,0)))</f>
        <v/>
      </c>
      <c r="CA89" s="2" t="str">
        <f>IF($B89="","",IF(V89="공휴일", 10, IF(V89="야간", 20, IF(V89="위험물", 30, IF(V89="중량", 40, "")))))</f>
        <v/>
      </c>
      <c r="CL89" s="2" t="str">
        <f>IF($B89="","",IF(AI89="","",VLOOKUP(AI89,GLAPS정리!$BT$3:$BV$26,3,0)))</f>
        <v/>
      </c>
    </row>
    <row r="90" spans="2:90" ht="20.45" customHeight="1">
      <c r="B90" s="13" t="str">
        <f>IF(GLAPS자동계산!C89="","",GLAPS자동계산!C89)</f>
        <v/>
      </c>
      <c r="C90" s="3" t="str">
        <f>IF(GLAPS자동계산!D89="","",GLAPS자동계산!D89)</f>
        <v/>
      </c>
      <c r="D90" s="16" t="str">
        <f>IF(GLAPS자동계산!E89="","",GLAPS자동계산!E89)</f>
        <v/>
      </c>
      <c r="E90" s="11" t="str">
        <f>IF(GLAPS자동계산!F89="","",GLAPS자동계산!F89)</f>
        <v/>
      </c>
      <c r="F90" s="171" t="str">
        <f>IF(GLAPS자동계산!G89="","",GLAPS자동계산!G89)</f>
        <v/>
      </c>
      <c r="G90" s="3" t="str">
        <f>IF(GLAPS자동계산!H89="","",GLAPS자동계산!H89)</f>
        <v/>
      </c>
      <c r="H90" s="3" t="str">
        <f>IF(GLAPS자동계산!I89="","",GLAPS자동계산!I89)</f>
        <v/>
      </c>
      <c r="I90" s="3" t="str">
        <f>IF(GLAPS자동계산!J89="","",GLAPS자동계산!J89)</f>
        <v/>
      </c>
      <c r="J90" s="3" t="str">
        <f>IF(GLAPS자동계산!K89="","",GLAPS자동계산!K89)</f>
        <v/>
      </c>
      <c r="K90" s="3" t="str">
        <f>IF(GLAPS자동계산!L89="","",GLAPS자동계산!L89)</f>
        <v/>
      </c>
      <c r="L90" s="3" t="str">
        <f>IF(GLAPS자동계산!M89="","",GLAPS자동계산!M89)</f>
        <v/>
      </c>
      <c r="M90" s="3" t="str">
        <f>IF(GLAPS자동계산!N89="","",GLAPS자동계산!N89)</f>
        <v/>
      </c>
      <c r="N90" s="3" t="str">
        <f>IF(GLAPS자동계산!O89="","",GLAPS자동계산!O89)</f>
        <v/>
      </c>
      <c r="O90" s="3" t="str">
        <f>IF(GLAPS자동계산!P89="","",GLAPS자동계산!P89)</f>
        <v/>
      </c>
      <c r="P90" s="2" t="str">
        <f>IF(GLAPS자동계산!Q89="","",GLAPS자동계산!Q89)</f>
        <v/>
      </c>
      <c r="Q90" s="3" t="str">
        <f>IF(GLAPS자동계산!R89="","",GLAPS자동계산!R89)</f>
        <v/>
      </c>
      <c r="R90" s="3" t="str">
        <f>IF(GLAPS자동계산!S89="","",GLAPS자동계산!S89)</f>
        <v/>
      </c>
      <c r="S90" s="3" t="str">
        <f>IF(GLAPS자동계산!T89="","",GLAPS자동계산!T89)</f>
        <v/>
      </c>
      <c r="T90" s="3" t="str">
        <f>IF(GLAPS자동계산!U89="","",GLAPS자동계산!U89)</f>
        <v/>
      </c>
      <c r="U90" s="3" t="str">
        <f>IF(GLAPS자동계산!V89="","",GLAPS자동계산!V89)</f>
        <v/>
      </c>
      <c r="V90" s="3" t="str">
        <f>IF(GLAPS자동계산!W89="","",GLAPS자동계산!W89)</f>
        <v/>
      </c>
      <c r="W90" s="14" t="str">
        <f>IF(GLAPS자동계산!X89="","",GLAPS자동계산!X89)</f>
        <v/>
      </c>
      <c r="X90" s="13" t="str">
        <f>IF(GLAPS자동계산!Y89="","",GLAPS자동계산!Y89)</f>
        <v/>
      </c>
      <c r="Y90" s="13" t="str">
        <f>IF(GLAPS자동계산!Z89="","",GLAPS자동계산!Z89)</f>
        <v/>
      </c>
      <c r="Z90" s="91" t="str">
        <f>IF(GLAPS자동계산!AA89="","",GLAPS자동계산!AA89)</f>
        <v/>
      </c>
      <c r="AA90" s="14" t="str">
        <f>IF(GLAPS자동계산!AB89="","",GLAPS자동계산!AB89)</f>
        <v/>
      </c>
      <c r="AC90" s="2" t="str">
        <f>IF($B90="","",$AC$1)</f>
        <v/>
      </c>
      <c r="AD90" s="2" t="str">
        <f>IF($B90="","",IFERROR(INDEX(GLAPS정리!$D$2:$D$50,MATCH(I90,GLAPS정리!$A$2:$A$50,0)),IFERROR(INDEX(GLAPS정리!$D$2:$D$50,MATCH(I90,GLAPS정리!$B$2:$B$50,0)),"")))</f>
        <v/>
      </c>
      <c r="AF90" s="2" t="str">
        <f>IF($B90="","",$AF$1)</f>
        <v/>
      </c>
      <c r="AI90" s="2" t="str">
        <f>IF($B90="","",IF(F90="","",VLOOKUP(F90,GLAPS정리!$G$3:$J$114,2,0)))</f>
        <v/>
      </c>
      <c r="AJ90" s="2" t="str">
        <f>IF($B90="","",IF(Z90="울산정일","KRONS",IF(Z90="울산신항","KRUSN",IF(OR(Z90="선광종합물류(인천여객)",Z90="인천여객(인천여객)"),"KRINF",IF(OR(Z90="선광인천보세(인천신)",Z90="한진인천(인천신)",Z90="선광인천신항(인천신)",Z90="인천더로지스(인천신)"),"KRINN",IF(OR(Z90="인천진아(인천항)",Z90="인천E1(인천항)",Z90="인천SM경인터미널(인천항)",Z90="인천항(인천항)",Z90="인천우련(인천항)",Z90="인천항8부두(인천항)"),"KRINC",VLOOKUP(K90,GLAPS정리!$BB$2:$BC$33,2,0)))))))</f>
        <v/>
      </c>
      <c r="AL90" s="2" t="str">
        <f>IF($B90="","",$AL$1)</f>
        <v/>
      </c>
      <c r="AN90" s="70" t="str">
        <f>IF($B90="","",TEXT(B90,"YYYY-MM-DD"))</f>
        <v/>
      </c>
      <c r="AO90" s="2" t="str">
        <f>IF($B90="","",IF(E90="오전", "0800", IF(E90="오후", "1300", IF(E90="잔업", "1800", ""))))</f>
        <v/>
      </c>
      <c r="AP90" s="2" t="str">
        <f>IF($B90="","",IF(C90="","",VLOOKUP(C90,GLAPS정리!$AX$2:$AZ$17,3,0)))</f>
        <v/>
      </c>
      <c r="AR90" s="2" t="str">
        <f>IF($B90="","",IF(X90="","",X90))</f>
        <v/>
      </c>
      <c r="AX90" s="2" t="str">
        <f>IF($B90="","",IF(L90="","",VLOOKUP(L90,GLAPS정리!$V$3:$W$180,2,0)))</f>
        <v/>
      </c>
      <c r="BM90" s="2" t="str">
        <f>IF($B90="","",IF(AND(Q90=1,OR(P90="",P90="위험물")), "2210", IF(AND(Q90=1,OR(P90="리퍼",P90="위험물리퍼")), "2230", IF(AND(S90=1,OR(P90="",P90="위험물")), "4510", IF(AND(S90=1,OR(P90="리퍼",P90="위험물리퍼")), "4530", IF(AND(R90=1,OR(P90="",P90="위험물")), "4210", IF(AND(R90=1,P90="리퍼"), "4230", " ")))))))</f>
        <v/>
      </c>
      <c r="BN90" s="2" t="str">
        <f>IF($B90="","",$BN$1)</f>
        <v/>
      </c>
      <c r="BR90" s="2" t="str">
        <f>IF($B90="","",IF(OR(P90="리퍼",P90="위험물리퍼"),"Y",""))</f>
        <v/>
      </c>
      <c r="BS90" s="2" t="str">
        <f>IF($B90="","",IF(OR(P90="위험물",P90="위험물리퍼"),"Y",""))</f>
        <v/>
      </c>
      <c r="BV90" s="2" t="str">
        <f>IF($B90="","",IF(O90="","",VLOOKUP(O90,GLAPS정리!$BH$2:$BI$94,2,0)))</f>
        <v/>
      </c>
      <c r="BW90" s="2" t="str">
        <f>IF($B90="","",IF(OR(Z90="동원",Z90="세방",Z90="한타"),"",IFERROR(INDEX(GLAPS정리!$BI$2:$BI$101,MATCH(Z90,GLAPS정리!$BH$2:$BH$101,0)),"")))</f>
        <v/>
      </c>
      <c r="BX90" s="2" t="str">
        <f>IF($B90="","",IF(Z90="","",IFERROR(VLOOKUP(Z90,GLAPS정리!$AX$2:$AZ$17,3,0),"")))</f>
        <v/>
      </c>
      <c r="BZ90" s="2" t="str">
        <f>IF($B90="","",IF(H90="","",VLOOKUP(H90,GLAPS정리!$L$3:$O$133,2,0)))</f>
        <v/>
      </c>
      <c r="CA90" s="2" t="str">
        <f>IF($B90="","",IF(V90="공휴일", 10, IF(V90="야간", 20, IF(V90="위험물", 30, IF(V90="중량", 40, "")))))</f>
        <v/>
      </c>
      <c r="CL90" s="2" t="str">
        <f>IF($B90="","",IF(AI90="","",VLOOKUP(AI90,GLAPS정리!$BT$3:$BV$26,3,0)))</f>
        <v/>
      </c>
    </row>
    <row r="91" spans="2:90" ht="20.45" customHeight="1">
      <c r="B91" s="13" t="str">
        <f>IF(GLAPS자동계산!C90="","",GLAPS자동계산!C90)</f>
        <v/>
      </c>
      <c r="C91" s="3" t="str">
        <f>IF(GLAPS자동계산!D90="","",GLAPS자동계산!D90)</f>
        <v/>
      </c>
      <c r="D91" s="16" t="str">
        <f>IF(GLAPS자동계산!E90="","",GLAPS자동계산!E90)</f>
        <v/>
      </c>
      <c r="E91" s="11" t="str">
        <f>IF(GLAPS자동계산!F90="","",GLAPS자동계산!F90)</f>
        <v/>
      </c>
      <c r="F91" s="171" t="str">
        <f>IF(GLAPS자동계산!G90="","",GLAPS자동계산!G90)</f>
        <v/>
      </c>
      <c r="G91" s="3" t="str">
        <f>IF(GLAPS자동계산!H90="","",GLAPS자동계산!H90)</f>
        <v/>
      </c>
      <c r="H91" s="3" t="str">
        <f>IF(GLAPS자동계산!I90="","",GLAPS자동계산!I90)</f>
        <v/>
      </c>
      <c r="I91" s="3" t="str">
        <f>IF(GLAPS자동계산!J90="","",GLAPS자동계산!J90)</f>
        <v/>
      </c>
      <c r="J91" s="3" t="str">
        <f>IF(GLAPS자동계산!K90="","",GLAPS자동계산!K90)</f>
        <v/>
      </c>
      <c r="K91" s="3" t="str">
        <f>IF(GLAPS자동계산!L90="","",GLAPS자동계산!L90)</f>
        <v/>
      </c>
      <c r="L91" s="3" t="str">
        <f>IF(GLAPS자동계산!M90="","",GLAPS자동계산!M90)</f>
        <v/>
      </c>
      <c r="M91" s="3" t="str">
        <f>IF(GLAPS자동계산!N90="","",GLAPS자동계산!N90)</f>
        <v/>
      </c>
      <c r="N91" s="3" t="str">
        <f>IF(GLAPS자동계산!O90="","",GLAPS자동계산!O90)</f>
        <v/>
      </c>
      <c r="O91" s="3" t="str">
        <f>IF(GLAPS자동계산!P90="","",GLAPS자동계산!P90)</f>
        <v/>
      </c>
      <c r="P91" s="2" t="str">
        <f>IF(GLAPS자동계산!Q90="","",GLAPS자동계산!Q90)</f>
        <v/>
      </c>
      <c r="Q91" s="3" t="str">
        <f>IF(GLAPS자동계산!R90="","",GLAPS자동계산!R90)</f>
        <v/>
      </c>
      <c r="R91" s="3" t="str">
        <f>IF(GLAPS자동계산!S90="","",GLAPS자동계산!S90)</f>
        <v/>
      </c>
      <c r="S91" s="3" t="str">
        <f>IF(GLAPS자동계산!T90="","",GLAPS자동계산!T90)</f>
        <v/>
      </c>
      <c r="T91" s="3" t="str">
        <f>IF(GLAPS자동계산!U90="","",GLAPS자동계산!U90)</f>
        <v/>
      </c>
      <c r="U91" s="3" t="str">
        <f>IF(GLAPS자동계산!V90="","",GLAPS자동계산!V90)</f>
        <v/>
      </c>
      <c r="V91" s="3" t="str">
        <f>IF(GLAPS자동계산!W90="","",GLAPS자동계산!W90)</f>
        <v/>
      </c>
      <c r="W91" s="14" t="str">
        <f>IF(GLAPS자동계산!X90="","",GLAPS자동계산!X90)</f>
        <v/>
      </c>
      <c r="X91" s="13" t="str">
        <f>IF(GLAPS자동계산!Y90="","",GLAPS자동계산!Y90)</f>
        <v/>
      </c>
      <c r="Y91" s="13" t="str">
        <f>IF(GLAPS자동계산!Z90="","",GLAPS자동계산!Z90)</f>
        <v/>
      </c>
      <c r="Z91" s="91" t="str">
        <f>IF(GLAPS자동계산!AA90="","",GLAPS자동계산!AA90)</f>
        <v/>
      </c>
      <c r="AA91" s="14" t="str">
        <f>IF(GLAPS자동계산!AB90="","",GLAPS자동계산!AB90)</f>
        <v/>
      </c>
      <c r="AC91" s="2" t="str">
        <f>IF($B91="","",$AC$1)</f>
        <v/>
      </c>
      <c r="AD91" s="2" t="str">
        <f>IF($B91="","",IFERROR(INDEX(GLAPS정리!$D$2:$D$50,MATCH(I91,GLAPS정리!$A$2:$A$50,0)),IFERROR(INDEX(GLAPS정리!$D$2:$D$50,MATCH(I91,GLAPS정리!$B$2:$B$50,0)),"")))</f>
        <v/>
      </c>
      <c r="AF91" s="2" t="str">
        <f>IF($B91="","",$AF$1)</f>
        <v/>
      </c>
      <c r="AI91" s="2" t="str">
        <f>IF($B91="","",IF(F91="","",VLOOKUP(F91,GLAPS정리!$G$3:$J$114,2,0)))</f>
        <v/>
      </c>
      <c r="AJ91" s="2" t="str">
        <f>IF($B91="","",IF(Z91="울산정일","KRONS",IF(Z91="울산신항","KRUSN",IF(OR(Z91="선광종합물류(인천여객)",Z91="인천여객(인천여객)"),"KRINF",IF(OR(Z91="선광인천보세(인천신)",Z91="한진인천(인천신)",Z91="선광인천신항(인천신)",Z91="인천더로지스(인천신)"),"KRINN",IF(OR(Z91="인천진아(인천항)",Z91="인천E1(인천항)",Z91="인천SM경인터미널(인천항)",Z91="인천항(인천항)",Z91="인천우련(인천항)",Z91="인천항8부두(인천항)"),"KRINC",VLOOKUP(K91,GLAPS정리!$BB$2:$BC$33,2,0)))))))</f>
        <v/>
      </c>
      <c r="AL91" s="2" t="str">
        <f>IF($B91="","",$AL$1)</f>
        <v/>
      </c>
      <c r="AN91" s="70" t="str">
        <f>IF($B91="","",TEXT(B91,"YYYY-MM-DD"))</f>
        <v/>
      </c>
      <c r="AO91" s="2" t="str">
        <f>IF($B91="","",IF(E91="오전", "0800", IF(E91="오후", "1300", IF(E91="잔업", "1800", ""))))</f>
        <v/>
      </c>
      <c r="AP91" s="2" t="str">
        <f>IF($B91="","",IF(C91="","",VLOOKUP(C91,GLAPS정리!$AX$2:$AZ$17,3,0)))</f>
        <v/>
      </c>
      <c r="AR91" s="2" t="str">
        <f>IF($B91="","",IF(X91="","",X91))</f>
        <v/>
      </c>
      <c r="AX91" s="2" t="str">
        <f>IF($B91="","",IF(L91="","",VLOOKUP(L91,GLAPS정리!$V$3:$W$180,2,0)))</f>
        <v/>
      </c>
      <c r="BM91" s="2" t="str">
        <f>IF($B91="","",IF(AND(Q91=1,OR(P91="",P91="위험물")), "2210", IF(AND(Q91=1,OR(P91="리퍼",P91="위험물리퍼")), "2230", IF(AND(S91=1,OR(P91="",P91="위험물")), "4510", IF(AND(S91=1,OR(P91="리퍼",P91="위험물리퍼")), "4530", IF(AND(R91=1,OR(P91="",P91="위험물")), "4210", IF(AND(R91=1,P91="리퍼"), "4230", " ")))))))</f>
        <v/>
      </c>
      <c r="BN91" s="2" t="str">
        <f>IF($B91="","",$BN$1)</f>
        <v/>
      </c>
      <c r="BR91" s="2" t="str">
        <f>IF($B91="","",IF(OR(P91="리퍼",P91="위험물리퍼"),"Y",""))</f>
        <v/>
      </c>
      <c r="BS91" s="2" t="str">
        <f>IF($B91="","",IF(OR(P91="위험물",P91="위험물리퍼"),"Y",""))</f>
        <v/>
      </c>
      <c r="BV91" s="2" t="str">
        <f>IF($B91="","",IF(O91="","",VLOOKUP(O91,GLAPS정리!$BH$2:$BI$94,2,0)))</f>
        <v/>
      </c>
      <c r="BW91" s="2" t="str">
        <f>IF($B91="","",IF(OR(Z91="동원",Z91="세방",Z91="한타"),"",IFERROR(INDEX(GLAPS정리!$BI$2:$BI$101,MATCH(Z91,GLAPS정리!$BH$2:$BH$101,0)),"")))</f>
        <v/>
      </c>
      <c r="BX91" s="2" t="str">
        <f>IF($B91="","",IF(Z91="","",IFERROR(VLOOKUP(Z91,GLAPS정리!$AX$2:$AZ$17,3,0),"")))</f>
        <v/>
      </c>
      <c r="BZ91" s="2" t="str">
        <f>IF($B91="","",IF(H91="","",VLOOKUP(H91,GLAPS정리!$L$3:$O$133,2,0)))</f>
        <v/>
      </c>
      <c r="CA91" s="2" t="str">
        <f>IF($B91="","",IF(V91="공휴일", 10, IF(V91="야간", 20, IF(V91="위험물", 30, IF(V91="중량", 40, "")))))</f>
        <v/>
      </c>
      <c r="CL91" s="2" t="str">
        <f>IF($B91="","",IF(AI91="","",VLOOKUP(AI91,GLAPS정리!$BT$3:$BV$26,3,0)))</f>
        <v/>
      </c>
    </row>
    <row r="92" spans="2:90" ht="20.45" customHeight="1">
      <c r="B92" s="13" t="str">
        <f>IF(GLAPS자동계산!C91="","",GLAPS자동계산!C91)</f>
        <v/>
      </c>
      <c r="C92" s="3" t="str">
        <f>IF(GLAPS자동계산!D91="","",GLAPS자동계산!D91)</f>
        <v/>
      </c>
      <c r="D92" s="16" t="str">
        <f>IF(GLAPS자동계산!E91="","",GLAPS자동계산!E91)</f>
        <v/>
      </c>
      <c r="E92" s="11" t="str">
        <f>IF(GLAPS자동계산!F91="","",GLAPS자동계산!F91)</f>
        <v/>
      </c>
      <c r="F92" s="171" t="str">
        <f>IF(GLAPS자동계산!G91="","",GLAPS자동계산!G91)</f>
        <v/>
      </c>
      <c r="G92" s="3" t="str">
        <f>IF(GLAPS자동계산!H91="","",GLAPS자동계산!H91)</f>
        <v/>
      </c>
      <c r="H92" s="3" t="str">
        <f>IF(GLAPS자동계산!I91="","",GLAPS자동계산!I91)</f>
        <v/>
      </c>
      <c r="I92" s="3" t="str">
        <f>IF(GLAPS자동계산!J91="","",GLAPS자동계산!J91)</f>
        <v/>
      </c>
      <c r="J92" s="3" t="str">
        <f>IF(GLAPS자동계산!K91="","",GLAPS자동계산!K91)</f>
        <v/>
      </c>
      <c r="K92" s="3" t="str">
        <f>IF(GLAPS자동계산!L91="","",GLAPS자동계산!L91)</f>
        <v/>
      </c>
      <c r="L92" s="3" t="str">
        <f>IF(GLAPS자동계산!M91="","",GLAPS자동계산!M91)</f>
        <v/>
      </c>
      <c r="M92" s="3" t="str">
        <f>IF(GLAPS자동계산!N91="","",GLAPS자동계산!N91)</f>
        <v/>
      </c>
      <c r="N92" s="3" t="str">
        <f>IF(GLAPS자동계산!O91="","",GLAPS자동계산!O91)</f>
        <v/>
      </c>
      <c r="O92" s="3" t="str">
        <f>IF(GLAPS자동계산!P91="","",GLAPS자동계산!P91)</f>
        <v/>
      </c>
      <c r="P92" s="2" t="str">
        <f>IF(GLAPS자동계산!Q91="","",GLAPS자동계산!Q91)</f>
        <v/>
      </c>
      <c r="Q92" s="3" t="str">
        <f>IF(GLAPS자동계산!R91="","",GLAPS자동계산!R91)</f>
        <v/>
      </c>
      <c r="R92" s="3" t="str">
        <f>IF(GLAPS자동계산!S91="","",GLAPS자동계산!S91)</f>
        <v/>
      </c>
      <c r="S92" s="3" t="str">
        <f>IF(GLAPS자동계산!T91="","",GLAPS자동계산!T91)</f>
        <v/>
      </c>
      <c r="T92" s="3" t="str">
        <f>IF(GLAPS자동계산!U91="","",GLAPS자동계산!U91)</f>
        <v/>
      </c>
      <c r="U92" s="3" t="str">
        <f>IF(GLAPS자동계산!V91="","",GLAPS자동계산!V91)</f>
        <v/>
      </c>
      <c r="V92" s="3" t="str">
        <f>IF(GLAPS자동계산!W91="","",GLAPS자동계산!W91)</f>
        <v/>
      </c>
      <c r="W92" s="14" t="str">
        <f>IF(GLAPS자동계산!X91="","",GLAPS자동계산!X91)</f>
        <v/>
      </c>
      <c r="X92" s="13" t="str">
        <f>IF(GLAPS자동계산!Y91="","",GLAPS자동계산!Y91)</f>
        <v/>
      </c>
      <c r="Y92" s="13" t="str">
        <f>IF(GLAPS자동계산!Z91="","",GLAPS자동계산!Z91)</f>
        <v/>
      </c>
      <c r="Z92" s="91" t="str">
        <f>IF(GLAPS자동계산!AA91="","",GLAPS자동계산!AA91)</f>
        <v/>
      </c>
      <c r="AA92" s="14" t="str">
        <f>IF(GLAPS자동계산!AB91="","",GLAPS자동계산!AB91)</f>
        <v/>
      </c>
      <c r="AC92" s="2" t="str">
        <f>IF($B92="","",$AC$1)</f>
        <v/>
      </c>
      <c r="AD92" s="2" t="str">
        <f>IF($B92="","",IFERROR(INDEX(GLAPS정리!$D$2:$D$50,MATCH(I92,GLAPS정리!$A$2:$A$50,0)),IFERROR(INDEX(GLAPS정리!$D$2:$D$50,MATCH(I92,GLAPS정리!$B$2:$B$50,0)),"")))</f>
        <v/>
      </c>
      <c r="AF92" s="2" t="str">
        <f>IF($B92="","",$AF$1)</f>
        <v/>
      </c>
      <c r="AI92" s="2" t="str">
        <f>IF($B92="","",IF(F92="","",VLOOKUP(F92,GLAPS정리!$G$3:$J$114,2,0)))</f>
        <v/>
      </c>
      <c r="AJ92" s="2" t="str">
        <f>IF($B92="","",IF(Z92="울산정일","KRONS",IF(Z92="울산신항","KRUSN",IF(OR(Z92="선광종합물류(인천여객)",Z92="인천여객(인천여객)"),"KRINF",IF(OR(Z92="선광인천보세(인천신)",Z92="한진인천(인천신)",Z92="선광인천신항(인천신)",Z92="인천더로지스(인천신)"),"KRINN",IF(OR(Z92="인천진아(인천항)",Z92="인천E1(인천항)",Z92="인천SM경인터미널(인천항)",Z92="인천항(인천항)",Z92="인천우련(인천항)",Z92="인천항8부두(인천항)"),"KRINC",VLOOKUP(K92,GLAPS정리!$BB$2:$BC$33,2,0)))))))</f>
        <v/>
      </c>
      <c r="AL92" s="2" t="str">
        <f>IF($B92="","",$AL$1)</f>
        <v/>
      </c>
      <c r="AN92" s="70" t="str">
        <f>IF($B92="","",TEXT(B92,"YYYY-MM-DD"))</f>
        <v/>
      </c>
      <c r="AO92" s="2" t="str">
        <f>IF($B92="","",IF(E92="오전", "0800", IF(E92="오후", "1300", IF(E92="잔업", "1800", ""))))</f>
        <v/>
      </c>
      <c r="AP92" s="2" t="str">
        <f>IF($B92="","",IF(C92="","",VLOOKUP(C92,GLAPS정리!$AX$2:$AZ$17,3,0)))</f>
        <v/>
      </c>
      <c r="AR92" s="2" t="str">
        <f>IF($B92="","",IF(X92="","",X92))</f>
        <v/>
      </c>
      <c r="AX92" s="2" t="str">
        <f>IF($B92="","",IF(L92="","",VLOOKUP(L92,GLAPS정리!$V$3:$W$180,2,0)))</f>
        <v/>
      </c>
      <c r="BM92" s="2" t="str">
        <f>IF($B92="","",IF(AND(Q92=1,OR(P92="",P92="위험물")), "2210", IF(AND(Q92=1,OR(P92="리퍼",P92="위험물리퍼")), "2230", IF(AND(S92=1,OR(P92="",P92="위험물")), "4510", IF(AND(S92=1,OR(P92="리퍼",P92="위험물리퍼")), "4530", IF(AND(R92=1,OR(P92="",P92="위험물")), "4210", IF(AND(R92=1,P92="리퍼"), "4230", " ")))))))</f>
        <v/>
      </c>
      <c r="BN92" s="2" t="str">
        <f>IF($B92="","",$BN$1)</f>
        <v/>
      </c>
      <c r="BR92" s="2" t="str">
        <f>IF($B92="","",IF(OR(P92="리퍼",P92="위험물리퍼"),"Y",""))</f>
        <v/>
      </c>
      <c r="BS92" s="2" t="str">
        <f>IF($B92="","",IF(OR(P92="위험물",P92="위험물리퍼"),"Y",""))</f>
        <v/>
      </c>
      <c r="BV92" s="2" t="str">
        <f>IF($B92="","",IF(O92="","",VLOOKUP(O92,GLAPS정리!$BH$2:$BI$94,2,0)))</f>
        <v/>
      </c>
      <c r="BW92" s="2" t="str">
        <f>IF($B92="","",IF(OR(Z92="동원",Z92="세방",Z92="한타"),"",IFERROR(INDEX(GLAPS정리!$BI$2:$BI$101,MATCH(Z92,GLAPS정리!$BH$2:$BH$101,0)),"")))</f>
        <v/>
      </c>
      <c r="BX92" s="2" t="str">
        <f>IF($B92="","",IF(Z92="","",IFERROR(VLOOKUP(Z92,GLAPS정리!$AX$2:$AZ$17,3,0),"")))</f>
        <v/>
      </c>
      <c r="BZ92" s="2" t="str">
        <f>IF($B92="","",IF(H92="","",VLOOKUP(H92,GLAPS정리!$L$3:$O$133,2,0)))</f>
        <v/>
      </c>
      <c r="CA92" s="2" t="str">
        <f>IF($B92="","",IF(V92="공휴일", 10, IF(V92="야간", 20, IF(V92="위험물", 30, IF(V92="중량", 40, "")))))</f>
        <v/>
      </c>
      <c r="CL92" s="2" t="str">
        <f>IF($B92="","",IF(AI92="","",VLOOKUP(AI92,GLAPS정리!$BT$3:$BV$26,3,0)))</f>
        <v/>
      </c>
    </row>
    <row r="93" spans="2:90" ht="20.45" customHeight="1">
      <c r="B93" s="13" t="str">
        <f>IF(GLAPS자동계산!C92="","",GLAPS자동계산!C92)</f>
        <v/>
      </c>
      <c r="C93" s="3" t="str">
        <f>IF(GLAPS자동계산!D92="","",GLAPS자동계산!D92)</f>
        <v/>
      </c>
      <c r="D93" s="16" t="str">
        <f>IF(GLAPS자동계산!E92="","",GLAPS자동계산!E92)</f>
        <v/>
      </c>
      <c r="E93" s="11" t="str">
        <f>IF(GLAPS자동계산!F92="","",GLAPS자동계산!F92)</f>
        <v/>
      </c>
      <c r="F93" s="171" t="str">
        <f>IF(GLAPS자동계산!G92="","",GLAPS자동계산!G92)</f>
        <v/>
      </c>
      <c r="G93" s="3" t="str">
        <f>IF(GLAPS자동계산!H92="","",GLAPS자동계산!H92)</f>
        <v/>
      </c>
      <c r="H93" s="3" t="str">
        <f>IF(GLAPS자동계산!I92="","",GLAPS자동계산!I92)</f>
        <v/>
      </c>
      <c r="I93" s="3" t="str">
        <f>IF(GLAPS자동계산!J92="","",GLAPS자동계산!J92)</f>
        <v/>
      </c>
      <c r="J93" s="3" t="str">
        <f>IF(GLAPS자동계산!K92="","",GLAPS자동계산!K92)</f>
        <v/>
      </c>
      <c r="K93" s="3" t="str">
        <f>IF(GLAPS자동계산!L92="","",GLAPS자동계산!L92)</f>
        <v/>
      </c>
      <c r="L93" s="3" t="str">
        <f>IF(GLAPS자동계산!M92="","",GLAPS자동계산!M92)</f>
        <v/>
      </c>
      <c r="M93" s="3" t="str">
        <f>IF(GLAPS자동계산!N92="","",GLAPS자동계산!N92)</f>
        <v/>
      </c>
      <c r="N93" s="3" t="str">
        <f>IF(GLAPS자동계산!O92="","",GLAPS자동계산!O92)</f>
        <v/>
      </c>
      <c r="O93" s="3" t="str">
        <f>IF(GLAPS자동계산!P92="","",GLAPS자동계산!P92)</f>
        <v/>
      </c>
      <c r="P93" s="2" t="str">
        <f>IF(GLAPS자동계산!Q92="","",GLAPS자동계산!Q92)</f>
        <v/>
      </c>
      <c r="Q93" s="3" t="str">
        <f>IF(GLAPS자동계산!R92="","",GLAPS자동계산!R92)</f>
        <v/>
      </c>
      <c r="R93" s="3" t="str">
        <f>IF(GLAPS자동계산!S92="","",GLAPS자동계산!S92)</f>
        <v/>
      </c>
      <c r="S93" s="3" t="str">
        <f>IF(GLAPS자동계산!T92="","",GLAPS자동계산!T92)</f>
        <v/>
      </c>
      <c r="T93" s="3" t="str">
        <f>IF(GLAPS자동계산!U92="","",GLAPS자동계산!U92)</f>
        <v/>
      </c>
      <c r="U93" s="3" t="str">
        <f>IF(GLAPS자동계산!V92="","",GLAPS자동계산!V92)</f>
        <v/>
      </c>
      <c r="V93" s="3" t="str">
        <f>IF(GLAPS자동계산!W92="","",GLAPS자동계산!W92)</f>
        <v/>
      </c>
      <c r="W93" s="14" t="str">
        <f>IF(GLAPS자동계산!X92="","",GLAPS자동계산!X92)</f>
        <v/>
      </c>
      <c r="X93" s="13" t="str">
        <f>IF(GLAPS자동계산!Y92="","",GLAPS자동계산!Y92)</f>
        <v/>
      </c>
      <c r="Y93" s="13" t="str">
        <f>IF(GLAPS자동계산!Z92="","",GLAPS자동계산!Z92)</f>
        <v/>
      </c>
      <c r="Z93" s="91" t="str">
        <f>IF(GLAPS자동계산!AA92="","",GLAPS자동계산!AA92)</f>
        <v/>
      </c>
      <c r="AA93" s="14" t="str">
        <f>IF(GLAPS자동계산!AB92="","",GLAPS자동계산!AB92)</f>
        <v/>
      </c>
      <c r="AC93" s="2" t="str">
        <f>IF($B93="","",$AC$1)</f>
        <v/>
      </c>
      <c r="AD93" s="2" t="str">
        <f>IF($B93="","",IFERROR(INDEX(GLAPS정리!$D$2:$D$50,MATCH(I93,GLAPS정리!$A$2:$A$50,0)),IFERROR(INDEX(GLAPS정리!$D$2:$D$50,MATCH(I93,GLAPS정리!$B$2:$B$50,0)),"")))</f>
        <v/>
      </c>
      <c r="AF93" s="2" t="str">
        <f>IF($B93="","",$AF$1)</f>
        <v/>
      </c>
      <c r="AI93" s="2" t="str">
        <f>IF($B93="","",IF(F93="","",VLOOKUP(F93,GLAPS정리!$G$3:$J$114,2,0)))</f>
        <v/>
      </c>
      <c r="AJ93" s="2" t="str">
        <f>IF($B93="","",IF(Z93="울산정일","KRONS",IF(Z93="울산신항","KRUSN",IF(OR(Z93="선광종합물류(인천여객)",Z93="인천여객(인천여객)"),"KRINF",IF(OR(Z93="선광인천보세(인천신)",Z93="한진인천(인천신)",Z93="선광인천신항(인천신)",Z93="인천더로지스(인천신)"),"KRINN",IF(OR(Z93="인천진아(인천항)",Z93="인천E1(인천항)",Z93="인천SM경인터미널(인천항)",Z93="인천항(인천항)",Z93="인천우련(인천항)",Z93="인천항8부두(인천항)"),"KRINC",VLOOKUP(K93,GLAPS정리!$BB$2:$BC$33,2,0)))))))</f>
        <v/>
      </c>
      <c r="AL93" s="2" t="str">
        <f>IF($B93="","",$AL$1)</f>
        <v/>
      </c>
      <c r="AN93" s="70" t="str">
        <f>IF($B93="","",TEXT(B93,"YYYY-MM-DD"))</f>
        <v/>
      </c>
      <c r="AO93" s="2" t="str">
        <f>IF($B93="","",IF(E93="오전", "0800", IF(E93="오후", "1300", IF(E93="잔업", "1800", ""))))</f>
        <v/>
      </c>
      <c r="AP93" s="2" t="str">
        <f>IF($B93="","",IF(C93="","",VLOOKUP(C93,GLAPS정리!$AX$2:$AZ$17,3,0)))</f>
        <v/>
      </c>
      <c r="AR93" s="2" t="str">
        <f>IF($B93="","",IF(X93="","",X93))</f>
        <v/>
      </c>
      <c r="AX93" s="2" t="str">
        <f>IF($B93="","",IF(L93="","",VLOOKUP(L93,GLAPS정리!$V$3:$W$180,2,0)))</f>
        <v/>
      </c>
      <c r="BM93" s="2" t="str">
        <f>IF($B93="","",IF(AND(Q93=1,OR(P93="",P93="위험물")), "2210", IF(AND(Q93=1,OR(P93="리퍼",P93="위험물리퍼")), "2230", IF(AND(S93=1,OR(P93="",P93="위험물")), "4510", IF(AND(S93=1,OR(P93="리퍼",P93="위험물리퍼")), "4530", IF(AND(R93=1,OR(P93="",P93="위험물")), "4210", IF(AND(R93=1,P93="리퍼"), "4230", " ")))))))</f>
        <v/>
      </c>
      <c r="BN93" s="2" t="str">
        <f>IF($B93="","",$BN$1)</f>
        <v/>
      </c>
      <c r="BR93" s="2" t="str">
        <f>IF($B93="","",IF(OR(P93="리퍼",P93="위험물리퍼"),"Y",""))</f>
        <v/>
      </c>
      <c r="BS93" s="2" t="str">
        <f>IF($B93="","",IF(OR(P93="위험물",P93="위험물리퍼"),"Y",""))</f>
        <v/>
      </c>
      <c r="BV93" s="2" t="str">
        <f>IF($B93="","",IF(O93="","",VLOOKUP(O93,GLAPS정리!$BH$2:$BI$94,2,0)))</f>
        <v/>
      </c>
      <c r="BW93" s="2" t="str">
        <f>IF($B93="","",IF(OR(Z93="동원",Z93="세방",Z93="한타"),"",IFERROR(INDEX(GLAPS정리!$BI$2:$BI$101,MATCH(Z93,GLAPS정리!$BH$2:$BH$101,0)),"")))</f>
        <v/>
      </c>
      <c r="BX93" s="2" t="str">
        <f>IF($B93="","",IF(Z93="","",IFERROR(VLOOKUP(Z93,GLAPS정리!$AX$2:$AZ$17,3,0),"")))</f>
        <v/>
      </c>
      <c r="BZ93" s="2" t="str">
        <f>IF($B93="","",IF(H93="","",VLOOKUP(H93,GLAPS정리!$L$3:$O$133,2,0)))</f>
        <v/>
      </c>
      <c r="CA93" s="2" t="str">
        <f>IF($B93="","",IF(V93="공휴일", 10, IF(V93="야간", 20, IF(V93="위험물", 30, IF(V93="중량", 40, "")))))</f>
        <v/>
      </c>
      <c r="CL93" s="2" t="str">
        <f>IF($B93="","",IF(AI93="","",VLOOKUP(AI93,GLAPS정리!$BT$3:$BV$26,3,0)))</f>
        <v/>
      </c>
    </row>
    <row r="94" spans="2:90" ht="20.45" customHeight="1">
      <c r="B94" s="13" t="str">
        <f>IF(GLAPS자동계산!C93="","",GLAPS자동계산!C93)</f>
        <v/>
      </c>
      <c r="C94" s="3" t="str">
        <f>IF(GLAPS자동계산!D93="","",GLAPS자동계산!D93)</f>
        <v/>
      </c>
      <c r="D94" s="16" t="str">
        <f>IF(GLAPS자동계산!E93="","",GLAPS자동계산!E93)</f>
        <v/>
      </c>
      <c r="E94" s="11" t="str">
        <f>IF(GLAPS자동계산!F93="","",GLAPS자동계산!F93)</f>
        <v/>
      </c>
      <c r="F94" s="171" t="str">
        <f>IF(GLAPS자동계산!G93="","",GLAPS자동계산!G93)</f>
        <v/>
      </c>
      <c r="G94" s="3" t="str">
        <f>IF(GLAPS자동계산!H93="","",GLAPS자동계산!H93)</f>
        <v/>
      </c>
      <c r="H94" s="3" t="str">
        <f>IF(GLAPS자동계산!I93="","",GLAPS자동계산!I93)</f>
        <v/>
      </c>
      <c r="I94" s="3" t="str">
        <f>IF(GLAPS자동계산!J93="","",GLAPS자동계산!J93)</f>
        <v/>
      </c>
      <c r="J94" s="3" t="str">
        <f>IF(GLAPS자동계산!K93="","",GLAPS자동계산!K93)</f>
        <v/>
      </c>
      <c r="K94" s="3" t="str">
        <f>IF(GLAPS자동계산!L93="","",GLAPS자동계산!L93)</f>
        <v/>
      </c>
      <c r="L94" s="3" t="str">
        <f>IF(GLAPS자동계산!M93="","",GLAPS자동계산!M93)</f>
        <v/>
      </c>
      <c r="M94" s="3" t="str">
        <f>IF(GLAPS자동계산!N93="","",GLAPS자동계산!N93)</f>
        <v/>
      </c>
      <c r="N94" s="3" t="str">
        <f>IF(GLAPS자동계산!O93="","",GLAPS자동계산!O93)</f>
        <v/>
      </c>
      <c r="O94" s="3" t="str">
        <f>IF(GLAPS자동계산!P93="","",GLAPS자동계산!P93)</f>
        <v/>
      </c>
      <c r="P94" s="2" t="str">
        <f>IF(GLAPS자동계산!Q93="","",GLAPS자동계산!Q93)</f>
        <v/>
      </c>
      <c r="Q94" s="3" t="str">
        <f>IF(GLAPS자동계산!R93="","",GLAPS자동계산!R93)</f>
        <v/>
      </c>
      <c r="R94" s="3" t="str">
        <f>IF(GLAPS자동계산!S93="","",GLAPS자동계산!S93)</f>
        <v/>
      </c>
      <c r="S94" s="3" t="str">
        <f>IF(GLAPS자동계산!T93="","",GLAPS자동계산!T93)</f>
        <v/>
      </c>
      <c r="T94" s="3" t="str">
        <f>IF(GLAPS자동계산!U93="","",GLAPS자동계산!U93)</f>
        <v/>
      </c>
      <c r="U94" s="3" t="str">
        <f>IF(GLAPS자동계산!V93="","",GLAPS자동계산!V93)</f>
        <v/>
      </c>
      <c r="V94" s="3" t="str">
        <f>IF(GLAPS자동계산!W93="","",GLAPS자동계산!W93)</f>
        <v/>
      </c>
      <c r="W94" s="14" t="str">
        <f>IF(GLAPS자동계산!X93="","",GLAPS자동계산!X93)</f>
        <v/>
      </c>
      <c r="X94" s="13" t="str">
        <f>IF(GLAPS자동계산!Y93="","",GLAPS자동계산!Y93)</f>
        <v/>
      </c>
      <c r="Y94" s="13" t="str">
        <f>IF(GLAPS자동계산!Z93="","",GLAPS자동계산!Z93)</f>
        <v/>
      </c>
      <c r="Z94" s="91" t="str">
        <f>IF(GLAPS자동계산!AA93="","",GLAPS자동계산!AA93)</f>
        <v/>
      </c>
      <c r="AA94" s="14" t="str">
        <f>IF(GLAPS자동계산!AB93="","",GLAPS자동계산!AB93)</f>
        <v/>
      </c>
      <c r="AC94" s="2" t="str">
        <f>IF($B94="","",$AC$1)</f>
        <v/>
      </c>
      <c r="AD94" s="2" t="str">
        <f>IF($B94="","",IFERROR(INDEX(GLAPS정리!$D$2:$D$50,MATCH(I94,GLAPS정리!$A$2:$A$50,0)),IFERROR(INDEX(GLAPS정리!$D$2:$D$50,MATCH(I94,GLAPS정리!$B$2:$B$50,0)),"")))</f>
        <v/>
      </c>
      <c r="AF94" s="2" t="str">
        <f>IF($B94="","",$AF$1)</f>
        <v/>
      </c>
      <c r="AI94" s="2" t="str">
        <f>IF($B94="","",IF(F94="","",VLOOKUP(F94,GLAPS정리!$G$3:$J$114,2,0)))</f>
        <v/>
      </c>
      <c r="AJ94" s="2" t="str">
        <f>IF($B94="","",IF(Z94="울산정일","KRONS",IF(Z94="울산신항","KRUSN",IF(OR(Z94="선광종합물류(인천여객)",Z94="인천여객(인천여객)"),"KRINF",IF(OR(Z94="선광인천보세(인천신)",Z94="한진인천(인천신)",Z94="선광인천신항(인천신)",Z94="인천더로지스(인천신)"),"KRINN",IF(OR(Z94="인천진아(인천항)",Z94="인천E1(인천항)",Z94="인천SM경인터미널(인천항)",Z94="인천항(인천항)",Z94="인천우련(인천항)",Z94="인천항8부두(인천항)"),"KRINC",VLOOKUP(K94,GLAPS정리!$BB$2:$BC$33,2,0)))))))</f>
        <v/>
      </c>
      <c r="AL94" s="2" t="str">
        <f>IF($B94="","",$AL$1)</f>
        <v/>
      </c>
      <c r="AN94" s="70" t="str">
        <f>IF($B94="","",TEXT(B94,"YYYY-MM-DD"))</f>
        <v/>
      </c>
      <c r="AO94" s="2" t="str">
        <f>IF($B94="","",IF(E94="오전", "0800", IF(E94="오후", "1300", IF(E94="잔업", "1800", ""))))</f>
        <v/>
      </c>
      <c r="AP94" s="2" t="str">
        <f>IF($B94="","",IF(C94="","",VLOOKUP(C94,GLAPS정리!$AX$2:$AZ$17,3,0)))</f>
        <v/>
      </c>
      <c r="AR94" s="2" t="str">
        <f>IF($B94="","",IF(X94="","",X94))</f>
        <v/>
      </c>
      <c r="AX94" s="2" t="str">
        <f>IF($B94="","",IF(L94="","",VLOOKUP(L94,GLAPS정리!$V$3:$W$180,2,0)))</f>
        <v/>
      </c>
      <c r="BM94" s="2" t="str">
        <f>IF($B94="","",IF(AND(Q94=1,OR(P94="",P94="위험물")), "2210", IF(AND(Q94=1,OR(P94="리퍼",P94="위험물리퍼")), "2230", IF(AND(S94=1,OR(P94="",P94="위험물")), "4510", IF(AND(S94=1,OR(P94="리퍼",P94="위험물리퍼")), "4530", IF(AND(R94=1,OR(P94="",P94="위험물")), "4210", IF(AND(R94=1,P94="리퍼"), "4230", " ")))))))</f>
        <v/>
      </c>
      <c r="BN94" s="2" t="str">
        <f>IF($B94="","",$BN$1)</f>
        <v/>
      </c>
      <c r="BR94" s="2" t="str">
        <f>IF($B94="","",IF(OR(P94="리퍼",P94="위험물리퍼"),"Y",""))</f>
        <v/>
      </c>
      <c r="BS94" s="2" t="str">
        <f>IF($B94="","",IF(OR(P94="위험물",P94="위험물리퍼"),"Y",""))</f>
        <v/>
      </c>
      <c r="BV94" s="2" t="str">
        <f>IF($B94="","",IF(O94="","",VLOOKUP(O94,GLAPS정리!$BH$2:$BI$94,2,0)))</f>
        <v/>
      </c>
      <c r="BW94" s="2" t="str">
        <f>IF($B94="","",IF(OR(Z94="동원",Z94="세방",Z94="한타"),"",IFERROR(INDEX(GLAPS정리!$BI$2:$BI$101,MATCH(Z94,GLAPS정리!$BH$2:$BH$101,0)),"")))</f>
        <v/>
      </c>
      <c r="BX94" s="2" t="str">
        <f>IF($B94="","",IF(Z94="","",IFERROR(VLOOKUP(Z94,GLAPS정리!$AX$2:$AZ$17,3,0),"")))</f>
        <v/>
      </c>
      <c r="BZ94" s="2" t="str">
        <f>IF($B94="","",IF(H94="","",VLOOKUP(H94,GLAPS정리!$L$3:$O$133,2,0)))</f>
        <v/>
      </c>
      <c r="CA94" s="2" t="str">
        <f>IF($B94="","",IF(V94="공휴일", 10, IF(V94="야간", 20, IF(V94="위험물", 30, IF(V94="중량", 40, "")))))</f>
        <v/>
      </c>
      <c r="CL94" s="2" t="str">
        <f>IF($B94="","",IF(AI94="","",VLOOKUP(AI94,GLAPS정리!$BT$3:$BV$26,3,0)))</f>
        <v/>
      </c>
    </row>
    <row r="95" spans="2:90" ht="20.45" customHeight="1">
      <c r="B95" s="13" t="str">
        <f>IF(GLAPS자동계산!C94="","",GLAPS자동계산!C94)</f>
        <v/>
      </c>
      <c r="C95" s="3" t="str">
        <f>IF(GLAPS자동계산!D94="","",GLAPS자동계산!D94)</f>
        <v/>
      </c>
      <c r="D95" s="16" t="str">
        <f>IF(GLAPS자동계산!E94="","",GLAPS자동계산!E94)</f>
        <v/>
      </c>
      <c r="E95" s="11" t="str">
        <f>IF(GLAPS자동계산!F94="","",GLAPS자동계산!F94)</f>
        <v/>
      </c>
      <c r="F95" s="171" t="str">
        <f>IF(GLAPS자동계산!G94="","",GLAPS자동계산!G94)</f>
        <v/>
      </c>
      <c r="G95" s="3" t="str">
        <f>IF(GLAPS자동계산!H94="","",GLAPS자동계산!H94)</f>
        <v/>
      </c>
      <c r="H95" s="3" t="str">
        <f>IF(GLAPS자동계산!I94="","",GLAPS자동계산!I94)</f>
        <v/>
      </c>
      <c r="I95" s="3" t="str">
        <f>IF(GLAPS자동계산!J94="","",GLAPS자동계산!J94)</f>
        <v/>
      </c>
      <c r="J95" s="3" t="str">
        <f>IF(GLAPS자동계산!K94="","",GLAPS자동계산!K94)</f>
        <v/>
      </c>
      <c r="K95" s="3" t="str">
        <f>IF(GLAPS자동계산!L94="","",GLAPS자동계산!L94)</f>
        <v/>
      </c>
      <c r="L95" s="3" t="str">
        <f>IF(GLAPS자동계산!M94="","",GLAPS자동계산!M94)</f>
        <v/>
      </c>
      <c r="M95" s="3" t="str">
        <f>IF(GLAPS자동계산!N94="","",GLAPS자동계산!N94)</f>
        <v/>
      </c>
      <c r="N95" s="3" t="str">
        <f>IF(GLAPS자동계산!O94="","",GLAPS자동계산!O94)</f>
        <v/>
      </c>
      <c r="O95" s="3" t="str">
        <f>IF(GLAPS자동계산!P94="","",GLAPS자동계산!P94)</f>
        <v/>
      </c>
      <c r="P95" s="2" t="str">
        <f>IF(GLAPS자동계산!Q94="","",GLAPS자동계산!Q94)</f>
        <v/>
      </c>
      <c r="Q95" s="3" t="str">
        <f>IF(GLAPS자동계산!R94="","",GLAPS자동계산!R94)</f>
        <v/>
      </c>
      <c r="R95" s="3" t="str">
        <f>IF(GLAPS자동계산!S94="","",GLAPS자동계산!S94)</f>
        <v/>
      </c>
      <c r="S95" s="3" t="str">
        <f>IF(GLAPS자동계산!T94="","",GLAPS자동계산!T94)</f>
        <v/>
      </c>
      <c r="T95" s="3" t="str">
        <f>IF(GLAPS자동계산!U94="","",GLAPS자동계산!U94)</f>
        <v/>
      </c>
      <c r="U95" s="3" t="str">
        <f>IF(GLAPS자동계산!V94="","",GLAPS자동계산!V94)</f>
        <v/>
      </c>
      <c r="V95" s="3" t="str">
        <f>IF(GLAPS자동계산!W94="","",GLAPS자동계산!W94)</f>
        <v/>
      </c>
      <c r="W95" s="14" t="str">
        <f>IF(GLAPS자동계산!X94="","",GLAPS자동계산!X94)</f>
        <v/>
      </c>
      <c r="X95" s="13" t="str">
        <f>IF(GLAPS자동계산!Y94="","",GLAPS자동계산!Y94)</f>
        <v/>
      </c>
      <c r="Y95" s="13" t="str">
        <f>IF(GLAPS자동계산!Z94="","",GLAPS자동계산!Z94)</f>
        <v/>
      </c>
      <c r="Z95" s="91" t="str">
        <f>IF(GLAPS자동계산!AA94="","",GLAPS자동계산!AA94)</f>
        <v/>
      </c>
      <c r="AA95" s="14" t="str">
        <f>IF(GLAPS자동계산!AB94="","",GLAPS자동계산!AB94)</f>
        <v/>
      </c>
      <c r="AC95" s="2" t="str">
        <f>IF($B95="","",$AC$1)</f>
        <v/>
      </c>
      <c r="AD95" s="2" t="str">
        <f>IF($B95="","",IFERROR(INDEX(GLAPS정리!$D$2:$D$50,MATCH(I95,GLAPS정리!$A$2:$A$50,0)),IFERROR(INDEX(GLAPS정리!$D$2:$D$50,MATCH(I95,GLAPS정리!$B$2:$B$50,0)),"")))</f>
        <v/>
      </c>
      <c r="AF95" s="2" t="str">
        <f>IF($B95="","",$AF$1)</f>
        <v/>
      </c>
      <c r="AI95" s="2" t="str">
        <f>IF($B95="","",IF(F95="","",VLOOKUP(F95,GLAPS정리!$G$3:$J$114,2,0)))</f>
        <v/>
      </c>
      <c r="AJ95" s="2" t="str">
        <f>IF($B95="","",IF(Z95="울산정일","KRONS",IF(Z95="울산신항","KRUSN",IF(OR(Z95="선광종합물류(인천여객)",Z95="인천여객(인천여객)"),"KRINF",IF(OR(Z95="선광인천보세(인천신)",Z95="한진인천(인천신)",Z95="선광인천신항(인천신)",Z95="인천더로지스(인천신)"),"KRINN",IF(OR(Z95="인천진아(인천항)",Z95="인천E1(인천항)",Z95="인천SM경인터미널(인천항)",Z95="인천항(인천항)",Z95="인천우련(인천항)",Z95="인천항8부두(인천항)"),"KRINC",VLOOKUP(K95,GLAPS정리!$BB$2:$BC$33,2,0)))))))</f>
        <v/>
      </c>
      <c r="AL95" s="2" t="str">
        <f>IF($B95="","",$AL$1)</f>
        <v/>
      </c>
      <c r="AN95" s="70" t="str">
        <f>IF($B95="","",TEXT(B95,"YYYY-MM-DD"))</f>
        <v/>
      </c>
      <c r="AO95" s="2" t="str">
        <f>IF($B95="","",IF(E95="오전", "0800", IF(E95="오후", "1300", IF(E95="잔업", "1800", ""))))</f>
        <v/>
      </c>
      <c r="AP95" s="2" t="str">
        <f>IF($B95="","",IF(C95="","",VLOOKUP(C95,GLAPS정리!$AX$2:$AZ$17,3,0)))</f>
        <v/>
      </c>
      <c r="AR95" s="2" t="str">
        <f>IF($B95="","",IF(X95="","",X95))</f>
        <v/>
      </c>
      <c r="AX95" s="2" t="str">
        <f>IF($B95="","",IF(L95="","",VLOOKUP(L95,GLAPS정리!$V$3:$W$180,2,0)))</f>
        <v/>
      </c>
      <c r="BM95" s="2" t="str">
        <f>IF($B95="","",IF(AND(Q95=1,OR(P95="",P95="위험물")), "2210", IF(AND(Q95=1,OR(P95="리퍼",P95="위험물리퍼")), "2230", IF(AND(S95=1,OR(P95="",P95="위험물")), "4510", IF(AND(S95=1,OR(P95="리퍼",P95="위험물리퍼")), "4530", IF(AND(R95=1,OR(P95="",P95="위험물")), "4210", IF(AND(R95=1,P95="리퍼"), "4230", " ")))))))</f>
        <v/>
      </c>
      <c r="BN95" s="2" t="str">
        <f>IF($B95="","",$BN$1)</f>
        <v/>
      </c>
      <c r="BR95" s="2" t="str">
        <f>IF($B95="","",IF(OR(P95="리퍼",P95="위험물리퍼"),"Y",""))</f>
        <v/>
      </c>
      <c r="BS95" s="2" t="str">
        <f>IF($B95="","",IF(OR(P95="위험물",P95="위험물리퍼"),"Y",""))</f>
        <v/>
      </c>
      <c r="BV95" s="2" t="str">
        <f>IF($B95="","",IF(O95="","",VLOOKUP(O95,GLAPS정리!$BH$2:$BI$94,2,0)))</f>
        <v/>
      </c>
      <c r="BW95" s="2" t="str">
        <f>IF($B95="","",IF(OR(Z95="동원",Z95="세방",Z95="한타"),"",IFERROR(INDEX(GLAPS정리!$BI$2:$BI$101,MATCH(Z95,GLAPS정리!$BH$2:$BH$101,0)),"")))</f>
        <v/>
      </c>
      <c r="BX95" s="2" t="str">
        <f>IF($B95="","",IF(Z95="","",IFERROR(VLOOKUP(Z95,GLAPS정리!$AX$2:$AZ$17,3,0),"")))</f>
        <v/>
      </c>
      <c r="BZ95" s="2" t="str">
        <f>IF($B95="","",IF(H95="","",VLOOKUP(H95,GLAPS정리!$L$3:$O$133,2,0)))</f>
        <v/>
      </c>
      <c r="CA95" s="2" t="str">
        <f>IF($B95="","",IF(V95="공휴일", 10, IF(V95="야간", 20, IF(V95="위험물", 30, IF(V95="중량", 40, "")))))</f>
        <v/>
      </c>
      <c r="CL95" s="2" t="str">
        <f>IF($B95="","",IF(AI95="","",VLOOKUP(AI95,GLAPS정리!$BT$3:$BV$26,3,0)))</f>
        <v/>
      </c>
    </row>
    <row r="96" spans="2:90" ht="20.45" customHeight="1">
      <c r="B96" s="13" t="str">
        <f>IF(GLAPS자동계산!C95="","",GLAPS자동계산!C95)</f>
        <v/>
      </c>
      <c r="C96" s="3" t="str">
        <f>IF(GLAPS자동계산!D95="","",GLAPS자동계산!D95)</f>
        <v/>
      </c>
      <c r="D96" s="16" t="str">
        <f>IF(GLAPS자동계산!E95="","",GLAPS자동계산!E95)</f>
        <v/>
      </c>
      <c r="E96" s="11" t="str">
        <f>IF(GLAPS자동계산!F95="","",GLAPS자동계산!F95)</f>
        <v/>
      </c>
      <c r="F96" s="171" t="str">
        <f>IF(GLAPS자동계산!G95="","",GLAPS자동계산!G95)</f>
        <v/>
      </c>
      <c r="G96" s="3" t="str">
        <f>IF(GLAPS자동계산!H95="","",GLAPS자동계산!H95)</f>
        <v/>
      </c>
      <c r="H96" s="3" t="str">
        <f>IF(GLAPS자동계산!I95="","",GLAPS자동계산!I95)</f>
        <v/>
      </c>
      <c r="I96" s="3" t="str">
        <f>IF(GLAPS자동계산!J95="","",GLAPS자동계산!J95)</f>
        <v/>
      </c>
      <c r="J96" s="3" t="str">
        <f>IF(GLAPS자동계산!K95="","",GLAPS자동계산!K95)</f>
        <v/>
      </c>
      <c r="K96" s="3" t="str">
        <f>IF(GLAPS자동계산!L95="","",GLAPS자동계산!L95)</f>
        <v/>
      </c>
      <c r="L96" s="3" t="str">
        <f>IF(GLAPS자동계산!M95="","",GLAPS자동계산!M95)</f>
        <v/>
      </c>
      <c r="M96" s="3" t="str">
        <f>IF(GLAPS자동계산!N95="","",GLAPS자동계산!N95)</f>
        <v/>
      </c>
      <c r="N96" s="3" t="str">
        <f>IF(GLAPS자동계산!O95="","",GLAPS자동계산!O95)</f>
        <v/>
      </c>
      <c r="O96" s="3" t="str">
        <f>IF(GLAPS자동계산!P95="","",GLAPS자동계산!P95)</f>
        <v/>
      </c>
      <c r="P96" s="2" t="str">
        <f>IF(GLAPS자동계산!Q95="","",GLAPS자동계산!Q95)</f>
        <v/>
      </c>
      <c r="Q96" s="3" t="str">
        <f>IF(GLAPS자동계산!R95="","",GLAPS자동계산!R95)</f>
        <v/>
      </c>
      <c r="R96" s="3" t="str">
        <f>IF(GLAPS자동계산!S95="","",GLAPS자동계산!S95)</f>
        <v/>
      </c>
      <c r="S96" s="3" t="str">
        <f>IF(GLAPS자동계산!T95="","",GLAPS자동계산!T95)</f>
        <v/>
      </c>
      <c r="T96" s="3" t="str">
        <f>IF(GLAPS자동계산!U95="","",GLAPS자동계산!U95)</f>
        <v/>
      </c>
      <c r="U96" s="3" t="str">
        <f>IF(GLAPS자동계산!V95="","",GLAPS자동계산!V95)</f>
        <v/>
      </c>
      <c r="V96" s="3" t="str">
        <f>IF(GLAPS자동계산!W95="","",GLAPS자동계산!W95)</f>
        <v/>
      </c>
      <c r="W96" s="14" t="str">
        <f>IF(GLAPS자동계산!X95="","",GLAPS자동계산!X95)</f>
        <v/>
      </c>
      <c r="X96" s="13" t="str">
        <f>IF(GLAPS자동계산!Y95="","",GLAPS자동계산!Y95)</f>
        <v/>
      </c>
      <c r="Y96" s="13" t="str">
        <f>IF(GLAPS자동계산!Z95="","",GLAPS자동계산!Z95)</f>
        <v/>
      </c>
      <c r="Z96" s="91" t="str">
        <f>IF(GLAPS자동계산!AA95="","",GLAPS자동계산!AA95)</f>
        <v/>
      </c>
      <c r="AA96" s="14" t="str">
        <f>IF(GLAPS자동계산!AB95="","",GLAPS자동계산!AB95)</f>
        <v/>
      </c>
      <c r="AC96" s="2" t="str">
        <f>IF($B96="","",$AC$1)</f>
        <v/>
      </c>
      <c r="AD96" s="2" t="str">
        <f>IF($B96="","",IFERROR(INDEX(GLAPS정리!$D$2:$D$50,MATCH(I96,GLAPS정리!$A$2:$A$50,0)),IFERROR(INDEX(GLAPS정리!$D$2:$D$50,MATCH(I96,GLAPS정리!$B$2:$B$50,0)),"")))</f>
        <v/>
      </c>
      <c r="AF96" s="2" t="str">
        <f>IF($B96="","",$AF$1)</f>
        <v/>
      </c>
      <c r="AI96" s="2" t="str">
        <f>IF($B96="","",IF(F96="","",VLOOKUP(F96,GLAPS정리!$G$3:$J$114,2,0)))</f>
        <v/>
      </c>
      <c r="AJ96" s="2" t="str">
        <f>IF($B96="","",IF(Z96="울산정일","KRONS",IF(Z96="울산신항","KRUSN",IF(OR(Z96="선광종합물류(인천여객)",Z96="인천여객(인천여객)"),"KRINF",IF(OR(Z96="선광인천보세(인천신)",Z96="한진인천(인천신)",Z96="선광인천신항(인천신)",Z96="인천더로지스(인천신)"),"KRINN",IF(OR(Z96="인천진아(인천항)",Z96="인천E1(인천항)",Z96="인천SM경인터미널(인천항)",Z96="인천항(인천항)",Z96="인천우련(인천항)",Z96="인천항8부두(인천항)"),"KRINC",VLOOKUP(K96,GLAPS정리!$BB$2:$BC$33,2,0)))))))</f>
        <v/>
      </c>
      <c r="AL96" s="2" t="str">
        <f>IF($B96="","",$AL$1)</f>
        <v/>
      </c>
      <c r="AN96" s="70" t="str">
        <f>IF($B96="","",TEXT(B96,"YYYY-MM-DD"))</f>
        <v/>
      </c>
      <c r="AO96" s="2" t="str">
        <f>IF($B96="","",IF(E96="오전", "0800", IF(E96="오후", "1300", IF(E96="잔업", "1800", ""))))</f>
        <v/>
      </c>
      <c r="AP96" s="2" t="str">
        <f>IF($B96="","",IF(C96="","",VLOOKUP(C96,GLAPS정리!$AX$2:$AZ$17,3,0)))</f>
        <v/>
      </c>
      <c r="AR96" s="2" t="str">
        <f>IF($B96="","",IF(X96="","",X96))</f>
        <v/>
      </c>
      <c r="AX96" s="2" t="str">
        <f>IF($B96="","",IF(L96="","",VLOOKUP(L96,GLAPS정리!$V$3:$W$180,2,0)))</f>
        <v/>
      </c>
      <c r="BM96" s="2" t="str">
        <f>IF($B96="","",IF(AND(Q96=1,OR(P96="",P96="위험물")), "2210", IF(AND(Q96=1,OR(P96="리퍼",P96="위험물리퍼")), "2230", IF(AND(S96=1,OR(P96="",P96="위험물")), "4510", IF(AND(S96=1,OR(P96="리퍼",P96="위험물리퍼")), "4530", IF(AND(R96=1,OR(P96="",P96="위험물")), "4210", IF(AND(R96=1,P96="리퍼"), "4230", " ")))))))</f>
        <v/>
      </c>
      <c r="BN96" s="2" t="str">
        <f>IF($B96="","",$BN$1)</f>
        <v/>
      </c>
      <c r="BR96" s="2" t="str">
        <f>IF($B96="","",IF(OR(P96="리퍼",P96="위험물리퍼"),"Y",""))</f>
        <v/>
      </c>
      <c r="BS96" s="2" t="str">
        <f>IF($B96="","",IF(OR(P96="위험물",P96="위험물리퍼"),"Y",""))</f>
        <v/>
      </c>
      <c r="BV96" s="2" t="str">
        <f>IF($B96="","",IF(O96="","",VLOOKUP(O96,GLAPS정리!$BH$2:$BI$94,2,0)))</f>
        <v/>
      </c>
      <c r="BW96" s="2" t="str">
        <f>IF($B96="","",IF(OR(Z96="동원",Z96="세방",Z96="한타"),"",IFERROR(INDEX(GLAPS정리!$BI$2:$BI$101,MATCH(Z96,GLAPS정리!$BH$2:$BH$101,0)),"")))</f>
        <v/>
      </c>
      <c r="BX96" s="2" t="str">
        <f>IF($B96="","",IF(Z96="","",IFERROR(VLOOKUP(Z96,GLAPS정리!$AX$2:$AZ$17,3,0),"")))</f>
        <v/>
      </c>
      <c r="BZ96" s="2" t="str">
        <f>IF($B96="","",IF(H96="","",VLOOKUP(H96,GLAPS정리!$L$3:$O$133,2,0)))</f>
        <v/>
      </c>
      <c r="CA96" s="2" t="str">
        <f>IF($B96="","",IF(V96="공휴일", 10, IF(V96="야간", 20, IF(V96="위험물", 30, IF(V96="중량", 40, "")))))</f>
        <v/>
      </c>
      <c r="CL96" s="2" t="str">
        <f>IF($B96="","",IF(AI96="","",VLOOKUP(AI96,GLAPS정리!$BT$3:$BV$26,3,0)))</f>
        <v/>
      </c>
    </row>
    <row r="97" spans="2:90" ht="20.45" customHeight="1">
      <c r="B97" s="13" t="str">
        <f>IF(GLAPS자동계산!C96="","",GLAPS자동계산!C96)</f>
        <v/>
      </c>
      <c r="C97" s="3" t="str">
        <f>IF(GLAPS자동계산!D96="","",GLAPS자동계산!D96)</f>
        <v/>
      </c>
      <c r="D97" s="16" t="str">
        <f>IF(GLAPS자동계산!E96="","",GLAPS자동계산!E96)</f>
        <v/>
      </c>
      <c r="E97" s="11" t="str">
        <f>IF(GLAPS자동계산!F96="","",GLAPS자동계산!F96)</f>
        <v/>
      </c>
      <c r="F97" s="171" t="str">
        <f>IF(GLAPS자동계산!G96="","",GLAPS자동계산!G96)</f>
        <v/>
      </c>
      <c r="G97" s="3" t="str">
        <f>IF(GLAPS자동계산!H96="","",GLAPS자동계산!H96)</f>
        <v/>
      </c>
      <c r="H97" s="3" t="str">
        <f>IF(GLAPS자동계산!I96="","",GLAPS자동계산!I96)</f>
        <v/>
      </c>
      <c r="I97" s="3" t="str">
        <f>IF(GLAPS자동계산!J96="","",GLAPS자동계산!J96)</f>
        <v/>
      </c>
      <c r="J97" s="3" t="str">
        <f>IF(GLAPS자동계산!K96="","",GLAPS자동계산!K96)</f>
        <v/>
      </c>
      <c r="K97" s="3" t="str">
        <f>IF(GLAPS자동계산!L96="","",GLAPS자동계산!L96)</f>
        <v/>
      </c>
      <c r="L97" s="3" t="str">
        <f>IF(GLAPS자동계산!M96="","",GLAPS자동계산!M96)</f>
        <v/>
      </c>
      <c r="M97" s="3" t="str">
        <f>IF(GLAPS자동계산!N96="","",GLAPS자동계산!N96)</f>
        <v/>
      </c>
      <c r="N97" s="3" t="str">
        <f>IF(GLAPS자동계산!O96="","",GLAPS자동계산!O96)</f>
        <v/>
      </c>
      <c r="O97" s="3" t="str">
        <f>IF(GLAPS자동계산!P96="","",GLAPS자동계산!P96)</f>
        <v/>
      </c>
      <c r="P97" s="2" t="str">
        <f>IF(GLAPS자동계산!Q96="","",GLAPS자동계산!Q96)</f>
        <v/>
      </c>
      <c r="Q97" s="3" t="str">
        <f>IF(GLAPS자동계산!R96="","",GLAPS자동계산!R96)</f>
        <v/>
      </c>
      <c r="R97" s="3" t="str">
        <f>IF(GLAPS자동계산!S96="","",GLAPS자동계산!S96)</f>
        <v/>
      </c>
      <c r="S97" s="3" t="str">
        <f>IF(GLAPS자동계산!T96="","",GLAPS자동계산!T96)</f>
        <v/>
      </c>
      <c r="T97" s="3" t="str">
        <f>IF(GLAPS자동계산!U96="","",GLAPS자동계산!U96)</f>
        <v/>
      </c>
      <c r="U97" s="3" t="str">
        <f>IF(GLAPS자동계산!V96="","",GLAPS자동계산!V96)</f>
        <v/>
      </c>
      <c r="V97" s="3" t="str">
        <f>IF(GLAPS자동계산!W96="","",GLAPS자동계산!W96)</f>
        <v/>
      </c>
      <c r="W97" s="14" t="str">
        <f>IF(GLAPS자동계산!X96="","",GLAPS자동계산!X96)</f>
        <v/>
      </c>
      <c r="X97" s="13" t="str">
        <f>IF(GLAPS자동계산!Y96="","",GLAPS자동계산!Y96)</f>
        <v/>
      </c>
      <c r="Y97" s="13" t="str">
        <f>IF(GLAPS자동계산!Z96="","",GLAPS자동계산!Z96)</f>
        <v/>
      </c>
      <c r="Z97" s="91" t="str">
        <f>IF(GLAPS자동계산!AA96="","",GLAPS자동계산!AA96)</f>
        <v/>
      </c>
      <c r="AA97" s="14" t="str">
        <f>IF(GLAPS자동계산!AB96="","",GLAPS자동계산!AB96)</f>
        <v/>
      </c>
      <c r="AC97" s="2" t="str">
        <f>IF($B97="","",$AC$1)</f>
        <v/>
      </c>
      <c r="AD97" s="2" t="str">
        <f>IF($B97="","",IFERROR(INDEX(GLAPS정리!$D$2:$D$50,MATCH(I97,GLAPS정리!$A$2:$A$50,0)),IFERROR(INDEX(GLAPS정리!$D$2:$D$50,MATCH(I97,GLAPS정리!$B$2:$B$50,0)),"")))</f>
        <v/>
      </c>
      <c r="AF97" s="2" t="str">
        <f>IF($B97="","",$AF$1)</f>
        <v/>
      </c>
      <c r="AI97" s="2" t="str">
        <f>IF($B97="","",IF(F97="","",VLOOKUP(F97,GLAPS정리!$G$3:$J$114,2,0)))</f>
        <v/>
      </c>
      <c r="AJ97" s="2" t="str">
        <f>IF($B97="","",IF(Z97="울산정일","KRONS",IF(Z97="울산신항","KRUSN",IF(OR(Z97="선광종합물류(인천여객)",Z97="인천여객(인천여객)"),"KRINF",IF(OR(Z97="선광인천보세(인천신)",Z97="한진인천(인천신)",Z97="선광인천신항(인천신)",Z97="인천더로지스(인천신)"),"KRINN",IF(OR(Z97="인천진아(인천항)",Z97="인천E1(인천항)",Z97="인천SM경인터미널(인천항)",Z97="인천항(인천항)",Z97="인천우련(인천항)",Z97="인천항8부두(인천항)"),"KRINC",VLOOKUP(K97,GLAPS정리!$BB$2:$BC$33,2,0)))))))</f>
        <v/>
      </c>
      <c r="AL97" s="2" t="str">
        <f>IF($B97="","",$AL$1)</f>
        <v/>
      </c>
      <c r="AN97" s="70" t="str">
        <f>IF($B97="","",TEXT(B97,"YYYY-MM-DD"))</f>
        <v/>
      </c>
      <c r="AO97" s="2" t="str">
        <f>IF($B97="","",IF(E97="오전", "0800", IF(E97="오후", "1300", IF(E97="잔업", "1800", ""))))</f>
        <v/>
      </c>
      <c r="AP97" s="2" t="str">
        <f>IF($B97="","",IF(C97="","",VLOOKUP(C97,GLAPS정리!$AX$2:$AZ$17,3,0)))</f>
        <v/>
      </c>
      <c r="AR97" s="2" t="str">
        <f>IF($B97="","",IF(X97="","",X97))</f>
        <v/>
      </c>
      <c r="AX97" s="2" t="str">
        <f>IF($B97="","",IF(L97="","",VLOOKUP(L97,GLAPS정리!$V$3:$W$180,2,0)))</f>
        <v/>
      </c>
      <c r="BM97" s="2" t="str">
        <f>IF($B97="","",IF(AND(Q97=1,OR(P97="",P97="위험물")), "2210", IF(AND(Q97=1,OR(P97="리퍼",P97="위험물리퍼")), "2230", IF(AND(S97=1,OR(P97="",P97="위험물")), "4510", IF(AND(S97=1,OR(P97="리퍼",P97="위험물리퍼")), "4530", IF(AND(R97=1,OR(P97="",P97="위험물")), "4210", IF(AND(R97=1,P97="리퍼"), "4230", " ")))))))</f>
        <v/>
      </c>
      <c r="BN97" s="2" t="str">
        <f>IF($B97="","",$BN$1)</f>
        <v/>
      </c>
      <c r="BR97" s="2" t="str">
        <f>IF($B97="","",IF(OR(P97="리퍼",P97="위험물리퍼"),"Y",""))</f>
        <v/>
      </c>
      <c r="BS97" s="2" t="str">
        <f>IF($B97="","",IF(OR(P97="위험물",P97="위험물리퍼"),"Y",""))</f>
        <v/>
      </c>
      <c r="BV97" s="2" t="str">
        <f>IF($B97="","",IF(O97="","",VLOOKUP(O97,GLAPS정리!$BH$2:$BI$94,2,0)))</f>
        <v/>
      </c>
      <c r="BW97" s="2" t="str">
        <f>IF($B97="","",IF(OR(Z97="동원",Z97="세방",Z97="한타"),"",IFERROR(INDEX(GLAPS정리!$BI$2:$BI$101,MATCH(Z97,GLAPS정리!$BH$2:$BH$101,0)),"")))</f>
        <v/>
      </c>
      <c r="BX97" s="2" t="str">
        <f>IF($B97="","",IF(Z97="","",IFERROR(VLOOKUP(Z97,GLAPS정리!$AX$2:$AZ$17,3,0),"")))</f>
        <v/>
      </c>
      <c r="BZ97" s="2" t="str">
        <f>IF($B97="","",IF(H97="","",VLOOKUP(H97,GLAPS정리!$L$3:$O$133,2,0)))</f>
        <v/>
      </c>
      <c r="CA97" s="2" t="str">
        <f>IF($B97="","",IF(V97="공휴일", 10, IF(V97="야간", 20, IF(V97="위험물", 30, IF(V97="중량", 40, "")))))</f>
        <v/>
      </c>
      <c r="CL97" s="2" t="str">
        <f>IF($B97="","",IF(AI97="","",VLOOKUP(AI97,GLAPS정리!$BT$3:$BV$26,3,0)))</f>
        <v/>
      </c>
    </row>
    <row r="98" spans="2:90" ht="20.45" customHeight="1">
      <c r="B98" s="13" t="str">
        <f>IF(GLAPS자동계산!C97="","",GLAPS자동계산!C97)</f>
        <v/>
      </c>
      <c r="C98" s="3" t="str">
        <f>IF(GLAPS자동계산!D97="","",GLAPS자동계산!D97)</f>
        <v/>
      </c>
      <c r="D98" s="16" t="str">
        <f>IF(GLAPS자동계산!E97="","",GLAPS자동계산!E97)</f>
        <v/>
      </c>
      <c r="E98" s="11" t="str">
        <f>IF(GLAPS자동계산!F97="","",GLAPS자동계산!F97)</f>
        <v/>
      </c>
      <c r="F98" s="171" t="str">
        <f>IF(GLAPS자동계산!G97="","",GLAPS자동계산!G97)</f>
        <v/>
      </c>
      <c r="G98" s="3" t="str">
        <f>IF(GLAPS자동계산!H97="","",GLAPS자동계산!H97)</f>
        <v/>
      </c>
      <c r="H98" s="3" t="str">
        <f>IF(GLAPS자동계산!I97="","",GLAPS자동계산!I97)</f>
        <v/>
      </c>
      <c r="I98" s="3" t="str">
        <f>IF(GLAPS자동계산!J97="","",GLAPS자동계산!J97)</f>
        <v/>
      </c>
      <c r="J98" s="3" t="str">
        <f>IF(GLAPS자동계산!K97="","",GLAPS자동계산!K97)</f>
        <v/>
      </c>
      <c r="K98" s="3" t="str">
        <f>IF(GLAPS자동계산!L97="","",GLAPS자동계산!L97)</f>
        <v/>
      </c>
      <c r="L98" s="3" t="str">
        <f>IF(GLAPS자동계산!M97="","",GLAPS자동계산!M97)</f>
        <v/>
      </c>
      <c r="M98" s="3" t="str">
        <f>IF(GLAPS자동계산!N97="","",GLAPS자동계산!N97)</f>
        <v/>
      </c>
      <c r="N98" s="3" t="str">
        <f>IF(GLAPS자동계산!O97="","",GLAPS자동계산!O97)</f>
        <v/>
      </c>
      <c r="O98" s="3" t="str">
        <f>IF(GLAPS자동계산!P97="","",GLAPS자동계산!P97)</f>
        <v/>
      </c>
      <c r="P98" s="2" t="str">
        <f>IF(GLAPS자동계산!Q97="","",GLAPS자동계산!Q97)</f>
        <v/>
      </c>
      <c r="Q98" s="3" t="str">
        <f>IF(GLAPS자동계산!R97="","",GLAPS자동계산!R97)</f>
        <v/>
      </c>
      <c r="R98" s="3" t="str">
        <f>IF(GLAPS자동계산!S97="","",GLAPS자동계산!S97)</f>
        <v/>
      </c>
      <c r="S98" s="3" t="str">
        <f>IF(GLAPS자동계산!T97="","",GLAPS자동계산!T97)</f>
        <v/>
      </c>
      <c r="T98" s="3" t="str">
        <f>IF(GLAPS자동계산!U97="","",GLAPS자동계산!U97)</f>
        <v/>
      </c>
      <c r="U98" s="3" t="str">
        <f>IF(GLAPS자동계산!V97="","",GLAPS자동계산!V97)</f>
        <v/>
      </c>
      <c r="V98" s="3" t="str">
        <f>IF(GLAPS자동계산!W97="","",GLAPS자동계산!W97)</f>
        <v/>
      </c>
      <c r="W98" s="14" t="str">
        <f>IF(GLAPS자동계산!X97="","",GLAPS자동계산!X97)</f>
        <v/>
      </c>
      <c r="X98" s="13" t="str">
        <f>IF(GLAPS자동계산!Y97="","",GLAPS자동계산!Y97)</f>
        <v/>
      </c>
      <c r="Y98" s="13" t="str">
        <f>IF(GLAPS자동계산!Z97="","",GLAPS자동계산!Z97)</f>
        <v/>
      </c>
      <c r="Z98" s="91" t="str">
        <f>IF(GLAPS자동계산!AA97="","",GLAPS자동계산!AA97)</f>
        <v/>
      </c>
      <c r="AA98" s="14" t="str">
        <f>IF(GLAPS자동계산!AB97="","",GLAPS자동계산!AB97)</f>
        <v/>
      </c>
      <c r="AC98" s="2" t="str">
        <f>IF($B98="","",$AC$1)</f>
        <v/>
      </c>
      <c r="AD98" s="2" t="str">
        <f>IF($B98="","",IFERROR(INDEX(GLAPS정리!$D$2:$D$50,MATCH(I98,GLAPS정리!$A$2:$A$50,0)),IFERROR(INDEX(GLAPS정리!$D$2:$D$50,MATCH(I98,GLAPS정리!$B$2:$B$50,0)),"")))</f>
        <v/>
      </c>
      <c r="AF98" s="2" t="str">
        <f>IF($B98="","",$AF$1)</f>
        <v/>
      </c>
      <c r="AI98" s="2" t="str">
        <f>IF($B98="","",IF(F98="","",VLOOKUP(F98,GLAPS정리!$G$3:$J$114,2,0)))</f>
        <v/>
      </c>
      <c r="AJ98" s="2" t="str">
        <f>IF($B98="","",IF(Z98="울산정일","KRONS",IF(Z98="울산신항","KRUSN",IF(OR(Z98="선광종합물류(인천여객)",Z98="인천여객(인천여객)"),"KRINF",IF(OR(Z98="선광인천보세(인천신)",Z98="한진인천(인천신)",Z98="선광인천신항(인천신)",Z98="인천더로지스(인천신)"),"KRINN",IF(OR(Z98="인천진아(인천항)",Z98="인천E1(인천항)",Z98="인천SM경인터미널(인천항)",Z98="인천항(인천항)",Z98="인천우련(인천항)",Z98="인천항8부두(인천항)"),"KRINC",VLOOKUP(K98,GLAPS정리!$BB$2:$BC$33,2,0)))))))</f>
        <v/>
      </c>
      <c r="AL98" s="2" t="str">
        <f>IF($B98="","",$AL$1)</f>
        <v/>
      </c>
      <c r="AN98" s="70" t="str">
        <f>IF($B98="","",TEXT(B98,"YYYY-MM-DD"))</f>
        <v/>
      </c>
      <c r="AO98" s="2" t="str">
        <f>IF($B98="","",IF(E98="오전", "0800", IF(E98="오후", "1300", IF(E98="잔업", "1800", ""))))</f>
        <v/>
      </c>
      <c r="AP98" s="2" t="str">
        <f>IF($B98="","",IF(C98="","",VLOOKUP(C98,GLAPS정리!$AX$2:$AZ$17,3,0)))</f>
        <v/>
      </c>
      <c r="AR98" s="2" t="str">
        <f>IF($B98="","",IF(X98="","",X98))</f>
        <v/>
      </c>
      <c r="AX98" s="2" t="str">
        <f>IF($B98="","",IF(L98="","",VLOOKUP(L98,GLAPS정리!$V$3:$W$180,2,0)))</f>
        <v/>
      </c>
      <c r="BM98" s="2" t="str">
        <f>IF($B98="","",IF(AND(Q98=1,OR(P98="",P98="위험물")), "2210", IF(AND(Q98=1,OR(P98="리퍼",P98="위험물리퍼")), "2230", IF(AND(S98=1,OR(P98="",P98="위험물")), "4510", IF(AND(S98=1,OR(P98="리퍼",P98="위험물리퍼")), "4530", IF(AND(R98=1,OR(P98="",P98="위험물")), "4210", IF(AND(R98=1,P98="리퍼"), "4230", " ")))))))</f>
        <v/>
      </c>
      <c r="BN98" s="2" t="str">
        <f>IF($B98="","",$BN$1)</f>
        <v/>
      </c>
      <c r="BR98" s="2" t="str">
        <f>IF($B98="","",IF(OR(P98="리퍼",P98="위험물리퍼"),"Y",""))</f>
        <v/>
      </c>
      <c r="BS98" s="2" t="str">
        <f>IF($B98="","",IF(OR(P98="위험물",P98="위험물리퍼"),"Y",""))</f>
        <v/>
      </c>
      <c r="BV98" s="2" t="str">
        <f>IF($B98="","",IF(O98="","",VLOOKUP(O98,GLAPS정리!$BH$2:$BI$94,2,0)))</f>
        <v/>
      </c>
      <c r="BW98" s="2" t="str">
        <f>IF($B98="","",IF(OR(Z98="동원",Z98="세방",Z98="한타"),"",IFERROR(INDEX(GLAPS정리!$BI$2:$BI$101,MATCH(Z98,GLAPS정리!$BH$2:$BH$101,0)),"")))</f>
        <v/>
      </c>
      <c r="BX98" s="2" t="str">
        <f>IF($B98="","",IF(Z98="","",IFERROR(VLOOKUP(Z98,GLAPS정리!$AX$2:$AZ$17,3,0),"")))</f>
        <v/>
      </c>
      <c r="BZ98" s="2" t="str">
        <f>IF($B98="","",IF(H98="","",VLOOKUP(H98,GLAPS정리!$L$3:$O$133,2,0)))</f>
        <v/>
      </c>
      <c r="CA98" s="2" t="str">
        <f>IF($B98="","",IF(V98="공휴일", 10, IF(V98="야간", 20, IF(V98="위험물", 30, IF(V98="중량", 40, "")))))</f>
        <v/>
      </c>
      <c r="CL98" s="2" t="str">
        <f>IF($B98="","",IF(AI98="","",VLOOKUP(AI98,GLAPS정리!$BT$3:$BV$26,3,0)))</f>
        <v/>
      </c>
    </row>
    <row r="99" spans="2:90" ht="20.45" customHeight="1">
      <c r="B99" s="13" t="str">
        <f>IF(GLAPS자동계산!C98="","",GLAPS자동계산!C98)</f>
        <v/>
      </c>
      <c r="C99" s="3" t="str">
        <f>IF(GLAPS자동계산!D98="","",GLAPS자동계산!D98)</f>
        <v/>
      </c>
      <c r="D99" s="16" t="str">
        <f>IF(GLAPS자동계산!E98="","",GLAPS자동계산!E98)</f>
        <v/>
      </c>
      <c r="E99" s="11" t="str">
        <f>IF(GLAPS자동계산!F98="","",GLAPS자동계산!F98)</f>
        <v/>
      </c>
      <c r="F99" s="171" t="str">
        <f>IF(GLAPS자동계산!G98="","",GLAPS자동계산!G98)</f>
        <v/>
      </c>
      <c r="G99" s="3" t="str">
        <f>IF(GLAPS자동계산!H98="","",GLAPS자동계산!H98)</f>
        <v/>
      </c>
      <c r="H99" s="3" t="str">
        <f>IF(GLAPS자동계산!I98="","",GLAPS자동계산!I98)</f>
        <v/>
      </c>
      <c r="I99" s="3" t="str">
        <f>IF(GLAPS자동계산!J98="","",GLAPS자동계산!J98)</f>
        <v/>
      </c>
      <c r="J99" s="3" t="str">
        <f>IF(GLAPS자동계산!K98="","",GLAPS자동계산!K98)</f>
        <v/>
      </c>
      <c r="K99" s="3" t="str">
        <f>IF(GLAPS자동계산!L98="","",GLAPS자동계산!L98)</f>
        <v/>
      </c>
      <c r="L99" s="3" t="str">
        <f>IF(GLAPS자동계산!M98="","",GLAPS자동계산!M98)</f>
        <v/>
      </c>
      <c r="M99" s="3" t="str">
        <f>IF(GLAPS자동계산!N98="","",GLAPS자동계산!N98)</f>
        <v/>
      </c>
      <c r="N99" s="3" t="str">
        <f>IF(GLAPS자동계산!O98="","",GLAPS자동계산!O98)</f>
        <v/>
      </c>
      <c r="O99" s="3" t="str">
        <f>IF(GLAPS자동계산!P98="","",GLAPS자동계산!P98)</f>
        <v/>
      </c>
      <c r="P99" s="2" t="str">
        <f>IF(GLAPS자동계산!Q98="","",GLAPS자동계산!Q98)</f>
        <v/>
      </c>
      <c r="Q99" s="3" t="str">
        <f>IF(GLAPS자동계산!R98="","",GLAPS자동계산!R98)</f>
        <v/>
      </c>
      <c r="R99" s="3" t="str">
        <f>IF(GLAPS자동계산!S98="","",GLAPS자동계산!S98)</f>
        <v/>
      </c>
      <c r="S99" s="3" t="str">
        <f>IF(GLAPS자동계산!T98="","",GLAPS자동계산!T98)</f>
        <v/>
      </c>
      <c r="T99" s="3" t="str">
        <f>IF(GLAPS자동계산!U98="","",GLAPS자동계산!U98)</f>
        <v/>
      </c>
      <c r="U99" s="3" t="str">
        <f>IF(GLAPS자동계산!V98="","",GLAPS자동계산!V98)</f>
        <v/>
      </c>
      <c r="V99" s="3" t="str">
        <f>IF(GLAPS자동계산!W98="","",GLAPS자동계산!W98)</f>
        <v/>
      </c>
      <c r="W99" s="14" t="str">
        <f>IF(GLAPS자동계산!X98="","",GLAPS자동계산!X98)</f>
        <v/>
      </c>
      <c r="X99" s="13" t="str">
        <f>IF(GLAPS자동계산!Y98="","",GLAPS자동계산!Y98)</f>
        <v/>
      </c>
      <c r="Y99" s="13" t="str">
        <f>IF(GLAPS자동계산!Z98="","",GLAPS자동계산!Z98)</f>
        <v/>
      </c>
      <c r="Z99" s="91" t="str">
        <f>IF(GLAPS자동계산!AA98="","",GLAPS자동계산!AA98)</f>
        <v/>
      </c>
      <c r="AA99" s="14" t="str">
        <f>IF(GLAPS자동계산!AB98="","",GLAPS자동계산!AB98)</f>
        <v/>
      </c>
      <c r="AC99" s="2" t="str">
        <f>IF($B99="","",$AC$1)</f>
        <v/>
      </c>
      <c r="AD99" s="2" t="str">
        <f>IF($B99="","",IFERROR(INDEX(GLAPS정리!$D$2:$D$50,MATCH(I99,GLAPS정리!$A$2:$A$50,0)),IFERROR(INDEX(GLAPS정리!$D$2:$D$50,MATCH(I99,GLAPS정리!$B$2:$B$50,0)),"")))</f>
        <v/>
      </c>
      <c r="AF99" s="2" t="str">
        <f>IF($B99="","",$AF$1)</f>
        <v/>
      </c>
      <c r="AI99" s="2" t="str">
        <f>IF($B99="","",IF(F99="","",VLOOKUP(F99,GLAPS정리!$G$3:$J$114,2,0)))</f>
        <v/>
      </c>
      <c r="AJ99" s="2" t="str">
        <f>IF($B99="","",IF(Z99="울산정일","KRONS",IF(Z99="울산신항","KRUSN",IF(OR(Z99="선광종합물류(인천여객)",Z99="인천여객(인천여객)"),"KRINF",IF(OR(Z99="선광인천보세(인천신)",Z99="한진인천(인천신)",Z99="선광인천신항(인천신)",Z99="인천더로지스(인천신)"),"KRINN",IF(OR(Z99="인천진아(인천항)",Z99="인천E1(인천항)",Z99="인천SM경인터미널(인천항)",Z99="인천항(인천항)",Z99="인천우련(인천항)",Z99="인천항8부두(인천항)"),"KRINC",VLOOKUP(K99,GLAPS정리!$BB$2:$BC$33,2,0)))))))</f>
        <v/>
      </c>
      <c r="AL99" s="2" t="str">
        <f>IF($B99="","",$AL$1)</f>
        <v/>
      </c>
      <c r="AN99" s="70" t="str">
        <f>IF($B99="","",TEXT(B99,"YYYY-MM-DD"))</f>
        <v/>
      </c>
      <c r="AO99" s="2" t="str">
        <f>IF($B99="","",IF(E99="오전", "0800", IF(E99="오후", "1300", IF(E99="잔업", "1800", ""))))</f>
        <v/>
      </c>
      <c r="AP99" s="2" t="str">
        <f>IF($B99="","",IF(C99="","",VLOOKUP(C99,GLAPS정리!$AX$2:$AZ$17,3,0)))</f>
        <v/>
      </c>
      <c r="AR99" s="2" t="str">
        <f>IF($B99="","",IF(X99="","",X99))</f>
        <v/>
      </c>
      <c r="AX99" s="2" t="str">
        <f>IF($B99="","",IF(L99="","",VLOOKUP(L99,GLAPS정리!$V$3:$W$180,2,0)))</f>
        <v/>
      </c>
      <c r="BM99" s="2" t="str">
        <f>IF($B99="","",IF(AND(Q99=1,OR(P99="",P99="위험물")), "2210", IF(AND(Q99=1,OR(P99="리퍼",P99="위험물리퍼")), "2230", IF(AND(S99=1,OR(P99="",P99="위험물")), "4510", IF(AND(S99=1,OR(P99="리퍼",P99="위험물리퍼")), "4530", IF(AND(R99=1,OR(P99="",P99="위험물")), "4210", IF(AND(R99=1,P99="리퍼"), "4230", " ")))))))</f>
        <v/>
      </c>
      <c r="BN99" s="2" t="str">
        <f>IF($B99="","",$BN$1)</f>
        <v/>
      </c>
      <c r="BR99" s="2" t="str">
        <f>IF($B99="","",IF(OR(P99="리퍼",P99="위험물리퍼"),"Y",""))</f>
        <v/>
      </c>
      <c r="BS99" s="2" t="str">
        <f>IF($B99="","",IF(OR(P99="위험물",P99="위험물리퍼"),"Y",""))</f>
        <v/>
      </c>
      <c r="BV99" s="2" t="str">
        <f>IF($B99="","",IF(O99="","",VLOOKUP(O99,GLAPS정리!$BH$2:$BI$94,2,0)))</f>
        <v/>
      </c>
      <c r="BW99" s="2" t="str">
        <f>IF($B99="","",IF(OR(Z99="동원",Z99="세방",Z99="한타"),"",IFERROR(INDEX(GLAPS정리!$BI$2:$BI$101,MATCH(Z99,GLAPS정리!$BH$2:$BH$101,0)),"")))</f>
        <v/>
      </c>
      <c r="BX99" s="2" t="str">
        <f>IF($B99="","",IF(Z99="","",IFERROR(VLOOKUP(Z99,GLAPS정리!$AX$2:$AZ$17,3,0),"")))</f>
        <v/>
      </c>
      <c r="BZ99" s="2" t="str">
        <f>IF($B99="","",IF(H99="","",VLOOKUP(H99,GLAPS정리!$L$3:$O$133,2,0)))</f>
        <v/>
      </c>
      <c r="CA99" s="2" t="str">
        <f>IF($B99="","",IF(V99="공휴일", 10, IF(V99="야간", 20, IF(V99="위험물", 30, IF(V99="중량", 40, "")))))</f>
        <v/>
      </c>
      <c r="CL99" s="2" t="str">
        <f>IF($B99="","",IF(AI99="","",VLOOKUP(AI99,GLAPS정리!$BT$3:$BV$26,3,0)))</f>
        <v/>
      </c>
    </row>
    <row r="100" spans="2:90" ht="20.45" customHeight="1">
      <c r="B100" s="13" t="str">
        <f>IF(GLAPS자동계산!C99="","",GLAPS자동계산!C99)</f>
        <v/>
      </c>
      <c r="C100" s="3" t="str">
        <f>IF(GLAPS자동계산!D99="","",GLAPS자동계산!D99)</f>
        <v/>
      </c>
      <c r="D100" s="16" t="str">
        <f>IF(GLAPS자동계산!E99="","",GLAPS자동계산!E99)</f>
        <v/>
      </c>
      <c r="E100" s="11" t="str">
        <f>IF(GLAPS자동계산!F99="","",GLAPS자동계산!F99)</f>
        <v/>
      </c>
      <c r="F100" s="171" t="str">
        <f>IF(GLAPS자동계산!G99="","",GLAPS자동계산!G99)</f>
        <v/>
      </c>
      <c r="G100" s="3" t="str">
        <f>IF(GLAPS자동계산!H99="","",GLAPS자동계산!H99)</f>
        <v/>
      </c>
      <c r="H100" s="3" t="str">
        <f>IF(GLAPS자동계산!I99="","",GLAPS자동계산!I99)</f>
        <v/>
      </c>
      <c r="I100" s="3" t="str">
        <f>IF(GLAPS자동계산!J99="","",GLAPS자동계산!J99)</f>
        <v/>
      </c>
      <c r="J100" s="3" t="str">
        <f>IF(GLAPS자동계산!K99="","",GLAPS자동계산!K99)</f>
        <v/>
      </c>
      <c r="K100" s="3" t="str">
        <f>IF(GLAPS자동계산!L99="","",GLAPS자동계산!L99)</f>
        <v/>
      </c>
      <c r="L100" s="3" t="str">
        <f>IF(GLAPS자동계산!M99="","",GLAPS자동계산!M99)</f>
        <v/>
      </c>
      <c r="M100" s="3" t="str">
        <f>IF(GLAPS자동계산!N99="","",GLAPS자동계산!N99)</f>
        <v/>
      </c>
      <c r="N100" s="3" t="str">
        <f>IF(GLAPS자동계산!O99="","",GLAPS자동계산!O99)</f>
        <v/>
      </c>
      <c r="O100" s="3" t="str">
        <f>IF(GLAPS자동계산!P99="","",GLAPS자동계산!P99)</f>
        <v/>
      </c>
      <c r="P100" s="2" t="str">
        <f>IF(GLAPS자동계산!Q99="","",GLAPS자동계산!Q99)</f>
        <v/>
      </c>
      <c r="Q100" s="3" t="str">
        <f>IF(GLAPS자동계산!R99="","",GLAPS자동계산!R99)</f>
        <v/>
      </c>
      <c r="R100" s="3" t="str">
        <f>IF(GLAPS자동계산!S99="","",GLAPS자동계산!S99)</f>
        <v/>
      </c>
      <c r="S100" s="3" t="str">
        <f>IF(GLAPS자동계산!T99="","",GLAPS자동계산!T99)</f>
        <v/>
      </c>
      <c r="T100" s="3" t="str">
        <f>IF(GLAPS자동계산!U99="","",GLAPS자동계산!U99)</f>
        <v/>
      </c>
      <c r="U100" s="3" t="str">
        <f>IF(GLAPS자동계산!V99="","",GLAPS자동계산!V99)</f>
        <v/>
      </c>
      <c r="V100" s="3" t="str">
        <f>IF(GLAPS자동계산!W99="","",GLAPS자동계산!W99)</f>
        <v/>
      </c>
      <c r="W100" s="14" t="str">
        <f>IF(GLAPS자동계산!X99="","",GLAPS자동계산!X99)</f>
        <v/>
      </c>
      <c r="X100" s="13" t="str">
        <f>IF(GLAPS자동계산!Y99="","",GLAPS자동계산!Y99)</f>
        <v/>
      </c>
      <c r="Y100" s="13" t="str">
        <f>IF(GLAPS자동계산!Z99="","",GLAPS자동계산!Z99)</f>
        <v/>
      </c>
      <c r="Z100" s="91" t="str">
        <f>IF(GLAPS자동계산!AA99="","",GLAPS자동계산!AA99)</f>
        <v/>
      </c>
      <c r="AA100" s="14" t="str">
        <f>IF(GLAPS자동계산!AB99="","",GLAPS자동계산!AB99)</f>
        <v/>
      </c>
      <c r="AC100" s="2" t="str">
        <f>IF($B100="","",$AC$1)</f>
        <v/>
      </c>
      <c r="AD100" s="2" t="str">
        <f>IF($B100="","",IFERROR(INDEX(GLAPS정리!$D$2:$D$50,MATCH(I100,GLAPS정리!$A$2:$A$50,0)),IFERROR(INDEX(GLAPS정리!$D$2:$D$50,MATCH(I100,GLAPS정리!$B$2:$B$50,0)),"")))</f>
        <v/>
      </c>
      <c r="AF100" s="2" t="str">
        <f>IF($B100="","",$AF$1)</f>
        <v/>
      </c>
      <c r="AI100" s="2" t="str">
        <f>IF($B100="","",IF(F100="","",VLOOKUP(F100,GLAPS정리!$G$3:$J$114,2,0)))</f>
        <v/>
      </c>
      <c r="AJ100" s="2" t="str">
        <f>IF($B100="","",IF(Z100="울산정일","KRONS",IF(Z100="울산신항","KRUSN",IF(OR(Z100="선광종합물류(인천여객)",Z100="인천여객(인천여객)"),"KRINF",IF(OR(Z100="선광인천보세(인천신)",Z100="한진인천(인천신)",Z100="선광인천신항(인천신)",Z100="인천더로지스(인천신)"),"KRINN",IF(OR(Z100="인천진아(인천항)",Z100="인천E1(인천항)",Z100="인천SM경인터미널(인천항)",Z100="인천항(인천항)",Z100="인천우련(인천항)",Z100="인천항8부두(인천항)"),"KRINC",VLOOKUP(K100,GLAPS정리!$BB$2:$BC$33,2,0)))))))</f>
        <v/>
      </c>
      <c r="AL100" s="2" t="str">
        <f>IF($B100="","",$AL$1)</f>
        <v/>
      </c>
      <c r="AN100" s="70" t="str">
        <f>IF($B100="","",TEXT(B100,"YYYY-MM-DD"))</f>
        <v/>
      </c>
      <c r="AO100" s="2" t="str">
        <f>IF($B100="","",IF(E100="오전", "0800", IF(E100="오후", "1300", IF(E100="잔업", "1800", ""))))</f>
        <v/>
      </c>
      <c r="AP100" s="2" t="str">
        <f>IF($B100="","",IF(C100="","",VLOOKUP(C100,GLAPS정리!$AX$2:$AZ$17,3,0)))</f>
        <v/>
      </c>
      <c r="AR100" s="2" t="str">
        <f>IF($B100="","",IF(X100="","",X100))</f>
        <v/>
      </c>
      <c r="AX100" s="2" t="str">
        <f>IF($B100="","",IF(L100="","",VLOOKUP(L100,GLAPS정리!$V$3:$W$180,2,0)))</f>
        <v/>
      </c>
      <c r="BM100" s="2" t="str">
        <f>IF($B100="","",IF(AND(Q100=1,OR(P100="",P100="위험물")), "2210", IF(AND(Q100=1,OR(P100="리퍼",P100="위험물리퍼")), "2230", IF(AND(S100=1,OR(P100="",P100="위험물")), "4510", IF(AND(S100=1,OR(P100="리퍼",P100="위험물리퍼")), "4530", IF(AND(R100=1,OR(P100="",P100="위험물")), "4210", IF(AND(R100=1,P100="리퍼"), "4230", " ")))))))</f>
        <v/>
      </c>
      <c r="BN100" s="2" t="str">
        <f>IF($B100="","",$BN$1)</f>
        <v/>
      </c>
      <c r="BR100" s="2" t="str">
        <f>IF($B100="","",IF(OR(P100="리퍼",P100="위험물리퍼"),"Y",""))</f>
        <v/>
      </c>
      <c r="BS100" s="2" t="str">
        <f>IF($B100="","",IF(OR(P100="위험물",P100="위험물리퍼"),"Y",""))</f>
        <v/>
      </c>
      <c r="BV100" s="2" t="str">
        <f>IF($B100="","",IF(O100="","",VLOOKUP(O100,GLAPS정리!$BH$2:$BI$94,2,0)))</f>
        <v/>
      </c>
      <c r="BW100" s="2" t="str">
        <f>IF($B100="","",IF(OR(Z100="동원",Z100="세방",Z100="한타"),"",IFERROR(INDEX(GLAPS정리!$BI$2:$BI$101,MATCH(Z100,GLAPS정리!$BH$2:$BH$101,0)),"")))</f>
        <v/>
      </c>
      <c r="BX100" s="2" t="str">
        <f>IF($B100="","",IF(Z100="","",IFERROR(VLOOKUP(Z100,GLAPS정리!$AX$2:$AZ$17,3,0),"")))</f>
        <v/>
      </c>
      <c r="BZ100" s="2" t="str">
        <f>IF($B100="","",IF(H100="","",VLOOKUP(H100,GLAPS정리!$L$3:$O$133,2,0)))</f>
        <v/>
      </c>
      <c r="CA100" s="2" t="str">
        <f>IF($B100="","",IF(V100="공휴일", 10, IF(V100="야간", 20, IF(V100="위험물", 30, IF(V100="중량", 40, "")))))</f>
        <v/>
      </c>
      <c r="CL100" s="2" t="str">
        <f>IF($B100="","",IF(AI100="","",VLOOKUP(AI100,GLAPS정리!$BT$3:$BV$26,3,0)))</f>
        <v/>
      </c>
    </row>
    <row r="101" spans="2:90" ht="20.45" customHeight="1">
      <c r="B101" s="13" t="str">
        <f>IF(GLAPS자동계산!C100="","",GLAPS자동계산!C100)</f>
        <v/>
      </c>
      <c r="C101" s="3" t="str">
        <f>IF(GLAPS자동계산!D100="","",GLAPS자동계산!D100)</f>
        <v/>
      </c>
      <c r="D101" s="16" t="str">
        <f>IF(GLAPS자동계산!E100="","",GLAPS자동계산!E100)</f>
        <v/>
      </c>
      <c r="E101" s="11" t="str">
        <f>IF(GLAPS자동계산!F100="","",GLAPS자동계산!F100)</f>
        <v/>
      </c>
      <c r="F101" s="3" t="str">
        <f>IF(GLAPS자동계산!G100="","",GLAPS자동계산!G100)</f>
        <v/>
      </c>
      <c r="G101" s="3" t="str">
        <f>IF(GLAPS자동계산!H100="","",GLAPS자동계산!H100)</f>
        <v/>
      </c>
      <c r="H101" s="3" t="str">
        <f>IF(GLAPS자동계산!I100="","",GLAPS자동계산!I100)</f>
        <v/>
      </c>
      <c r="I101" s="3" t="str">
        <f>IF(GLAPS자동계산!J100="","",GLAPS자동계산!J100)</f>
        <v/>
      </c>
      <c r="J101" s="3" t="str">
        <f>IF(GLAPS자동계산!K100="","",GLAPS자동계산!K100)</f>
        <v/>
      </c>
      <c r="K101" s="3" t="str">
        <f>IF(GLAPS자동계산!L100="","",GLAPS자동계산!L100)</f>
        <v/>
      </c>
      <c r="L101" s="3" t="str">
        <f>IF(GLAPS자동계산!M100="","",GLAPS자동계산!M100)</f>
        <v/>
      </c>
      <c r="M101" s="3" t="str">
        <f>IF(GLAPS자동계산!N100="","",GLAPS자동계산!N100)</f>
        <v/>
      </c>
      <c r="N101" s="3" t="str">
        <f>IF(GLAPS자동계산!O100="","",GLAPS자동계산!O100)</f>
        <v/>
      </c>
      <c r="O101" s="3" t="str">
        <f>IF(GLAPS자동계산!P100="","",GLAPS자동계산!P100)</f>
        <v/>
      </c>
      <c r="P101" s="2" t="str">
        <f>IF(GLAPS자동계산!Q100="","",GLAPS자동계산!Q100)</f>
        <v/>
      </c>
      <c r="Q101" s="3" t="str">
        <f>IF(GLAPS자동계산!R100="","",GLAPS자동계산!R100)</f>
        <v/>
      </c>
      <c r="R101" s="3" t="str">
        <f>IF(GLAPS자동계산!S100="","",GLAPS자동계산!S100)</f>
        <v/>
      </c>
      <c r="S101" s="3" t="str">
        <f>IF(GLAPS자동계산!T100="","",GLAPS자동계산!T100)</f>
        <v/>
      </c>
      <c r="T101" s="3" t="str">
        <f>IF(GLAPS자동계산!U100="","",GLAPS자동계산!U100)</f>
        <v/>
      </c>
      <c r="U101" s="3" t="str">
        <f>IF(GLAPS자동계산!V100="","",GLAPS자동계산!V100)</f>
        <v/>
      </c>
      <c r="V101" s="3" t="str">
        <f>IF(GLAPS자동계산!W100="","",GLAPS자동계산!W100)</f>
        <v/>
      </c>
      <c r="W101" s="14" t="str">
        <f>IF(GLAPS자동계산!X100="","",GLAPS자동계산!X100)</f>
        <v/>
      </c>
      <c r="X101" s="13" t="str">
        <f>IF(GLAPS자동계산!Y100="","",GLAPS자동계산!Y100)</f>
        <v/>
      </c>
      <c r="Y101" s="13" t="str">
        <f>IF(GLAPS자동계산!Z100="","",GLAPS자동계산!Z100)</f>
        <v/>
      </c>
      <c r="Z101" s="91" t="str">
        <f>IF(GLAPS자동계산!AA100="","",GLAPS자동계산!AA100)</f>
        <v/>
      </c>
      <c r="AA101" s="14" t="str">
        <f>IF(GLAPS자동계산!AB100="","",GLAPS자동계산!AB100)</f>
        <v/>
      </c>
      <c r="AC101" s="2" t="str">
        <f>IF($B101="","",$AC$1)</f>
        <v/>
      </c>
      <c r="AD101" s="2" t="str">
        <f>IF($B101="","",IFERROR(INDEX(GLAPS정리!$D$2:$D$50,MATCH(I101,GLAPS정리!$A$2:$A$50,0)),IFERROR(INDEX(GLAPS정리!$D$2:$D$50,MATCH(I101,GLAPS정리!$B$2:$B$50,0)),"")))</f>
        <v/>
      </c>
      <c r="AF101" s="2" t="str">
        <f>IF($B101="","",$AF$1)</f>
        <v/>
      </c>
      <c r="AI101" s="2" t="str">
        <f>IF($B101="","",IF(F101="","",VLOOKUP(F101,GLAPS정리!$G$3:$J$114,2,0)))</f>
        <v/>
      </c>
      <c r="AJ101" s="2" t="str">
        <f>IF($B101="","",IF(Z101="울산정일","KRONS",IF(Z101="울산신항","KRUSN",IF(OR(Z101="선광종합물류(인천여객)",Z101="인천여객(인천여객)"),"KRINF",IF(OR(Z101="선광인천보세(인천신)",Z101="한진인천(인천신)",Z101="선광인천신항(인천신)",Z101="인천더로지스(인천신)"),"KRINN",IF(OR(Z101="인천진아(인천항)",Z101="인천E1(인천항)",Z101="인천SM경인터미널(인천항)",Z101="인천항(인천항)",Z101="인천우련(인천항)",Z101="인천항8부두(인천항)"),"KRINC",VLOOKUP(K101,GLAPS정리!$BB$2:$BC$33,2,0)))))))</f>
        <v/>
      </c>
      <c r="AL101" s="2" t="str">
        <f>IF($B101="","",$AL$1)</f>
        <v/>
      </c>
      <c r="AN101" s="70" t="str">
        <f>IF($B101="","",TEXT(B101,"YYYY-MM-DD"))</f>
        <v/>
      </c>
      <c r="AO101" s="2" t="str">
        <f>IF($B101="","",IF(E101="오전", "0800", IF(E101="오후", "1300", IF(E101="잔업", "1800", ""))))</f>
        <v/>
      </c>
      <c r="AP101" s="2" t="str">
        <f>IF($B101="","",IF(C101="","",VLOOKUP(C101,GLAPS정리!$AX$2:$AZ$17,3,0)))</f>
        <v/>
      </c>
      <c r="AR101" s="2" t="str">
        <f>IF($B101="","",IF(X101="","",X101))</f>
        <v/>
      </c>
      <c r="AX101" s="2" t="str">
        <f>IF($B101="","",IF(L101="","",VLOOKUP(L101,GLAPS정리!$V$3:$W$180,2,0)))</f>
        <v/>
      </c>
      <c r="BM101" s="2" t="str">
        <f>IF($B101="","",IF(AND(Q101=1,OR(P101="",P101="위험물")), "2210", IF(AND(Q101=1,OR(P101="리퍼",P101="위험물리퍼")), "2230", IF(AND(S101=1,OR(P101="",P101="위험물")), "4510", IF(AND(S101=1,OR(P101="리퍼",P101="위험물리퍼")), "4530", IF(AND(R101=1,OR(P101="",P101="위험물")), "4210", IF(AND(R101=1,P101="리퍼"), "4230", " ")))))))</f>
        <v/>
      </c>
      <c r="BN101" s="2" t="str">
        <f>IF($B101="","",$BN$1)</f>
        <v/>
      </c>
      <c r="BR101" s="2" t="str">
        <f>IF($B101="","",IF(OR(P101="리퍼",P101="위험물리퍼"),"Y",""))</f>
        <v/>
      </c>
      <c r="BS101" s="2" t="str">
        <f>IF($B101="","",IF(OR(P101="위험물",P101="위험물리퍼"),"Y",""))</f>
        <v/>
      </c>
      <c r="BV101" s="2" t="str">
        <f>IF($B101="","",IF(O101="","",VLOOKUP(O101,GLAPS정리!$BH$2:$BI$94,2,0)))</f>
        <v/>
      </c>
      <c r="BW101" s="2" t="str">
        <f>IF($B101="","",IF(OR(Z101="동원",Z101="세방",Z101="한타"),"",IFERROR(INDEX(GLAPS정리!$BI$2:$BI$101,MATCH(Z101,GLAPS정리!$BH$2:$BH$101,0)),"")))</f>
        <v/>
      </c>
      <c r="BX101" s="2" t="str">
        <f>IF($B101="","",IF(Z101="","",IFERROR(VLOOKUP(Z101,GLAPS정리!$AX$2:$AZ$17,3,0),"")))</f>
        <v/>
      </c>
      <c r="BZ101" s="2" t="str">
        <f>IF($B101="","",IF(H101="","",VLOOKUP(H101,GLAPS정리!$L$3:$O$133,2,0)))</f>
        <v/>
      </c>
      <c r="CA101" s="2" t="str">
        <f>IF($B101="","",IF(V101="공휴일", 10, IF(V101="야간", 20, IF(V101="위험물", 30, IF(V101="중량", 40, "")))))</f>
        <v/>
      </c>
      <c r="CL101" s="2" t="str">
        <f>IF($B101="","",IF(AI101="","",VLOOKUP(AI101,GLAPS정리!$BT$3:$BV$26,3,0)))</f>
        <v/>
      </c>
    </row>
    <row r="102" spans="2:90" ht="20.45" customHeight="1">
      <c r="B102" s="13" t="str">
        <f>IF(GLAPS자동계산!C101="","",GLAPS자동계산!C101)</f>
        <v/>
      </c>
      <c r="C102" s="3" t="str">
        <f>IF(GLAPS자동계산!D101="","",GLAPS자동계산!D101)</f>
        <v/>
      </c>
      <c r="D102" s="16" t="str">
        <f>IF(GLAPS자동계산!E101="","",GLAPS자동계산!E101)</f>
        <v/>
      </c>
      <c r="E102" s="11" t="str">
        <f>IF(GLAPS자동계산!F101="","",GLAPS자동계산!F101)</f>
        <v/>
      </c>
      <c r="F102" s="3" t="str">
        <f>IF(GLAPS자동계산!G101="","",GLAPS자동계산!G101)</f>
        <v/>
      </c>
      <c r="G102" s="3" t="str">
        <f>IF(GLAPS자동계산!H101="","",GLAPS자동계산!H101)</f>
        <v/>
      </c>
      <c r="H102" s="3" t="str">
        <f>IF(GLAPS자동계산!I101="","",GLAPS자동계산!I101)</f>
        <v/>
      </c>
      <c r="I102" s="3" t="str">
        <f>IF(GLAPS자동계산!J101="","",GLAPS자동계산!J101)</f>
        <v/>
      </c>
      <c r="J102" s="3" t="str">
        <f>IF(GLAPS자동계산!K101="","",GLAPS자동계산!K101)</f>
        <v/>
      </c>
      <c r="K102" s="3" t="str">
        <f>IF(GLAPS자동계산!L101="","",GLAPS자동계산!L101)</f>
        <v/>
      </c>
      <c r="L102" s="3" t="str">
        <f>IF(GLAPS자동계산!M101="","",GLAPS자동계산!M101)</f>
        <v/>
      </c>
      <c r="M102" s="3" t="str">
        <f>IF(GLAPS자동계산!N101="","",GLAPS자동계산!N101)</f>
        <v/>
      </c>
      <c r="N102" s="3" t="str">
        <f>IF(GLAPS자동계산!O101="","",GLAPS자동계산!O101)</f>
        <v/>
      </c>
      <c r="O102" s="3" t="str">
        <f>IF(GLAPS자동계산!P101="","",GLAPS자동계산!P101)</f>
        <v/>
      </c>
      <c r="P102" s="2" t="str">
        <f>IF(GLAPS자동계산!Q101="","",GLAPS자동계산!Q101)</f>
        <v/>
      </c>
      <c r="Q102" s="3" t="str">
        <f>IF(GLAPS자동계산!R101="","",GLAPS자동계산!R101)</f>
        <v/>
      </c>
      <c r="R102" s="3" t="str">
        <f>IF(GLAPS자동계산!S101="","",GLAPS자동계산!S101)</f>
        <v/>
      </c>
      <c r="S102" s="3" t="str">
        <f>IF(GLAPS자동계산!T101="","",GLAPS자동계산!T101)</f>
        <v/>
      </c>
      <c r="T102" s="3" t="str">
        <f>IF(GLAPS자동계산!U101="","",GLAPS자동계산!U101)</f>
        <v/>
      </c>
      <c r="U102" s="3" t="str">
        <f>IF(GLAPS자동계산!V101="","",GLAPS자동계산!V101)</f>
        <v/>
      </c>
      <c r="V102" s="3" t="str">
        <f>IF(GLAPS자동계산!W101="","",GLAPS자동계산!W101)</f>
        <v/>
      </c>
      <c r="W102" s="14" t="str">
        <f>IF(GLAPS자동계산!X101="","",GLAPS자동계산!X101)</f>
        <v/>
      </c>
      <c r="X102" s="13" t="str">
        <f>IF(GLAPS자동계산!Y101="","",GLAPS자동계산!Y101)</f>
        <v/>
      </c>
      <c r="Y102" s="13" t="str">
        <f>IF(GLAPS자동계산!Z101="","",GLAPS자동계산!Z101)</f>
        <v/>
      </c>
      <c r="Z102" s="91" t="str">
        <f>IF(GLAPS자동계산!AA101="","",GLAPS자동계산!AA101)</f>
        <v/>
      </c>
      <c r="AA102" s="14" t="str">
        <f>IF(GLAPS자동계산!AB101="","",GLAPS자동계산!AB101)</f>
        <v/>
      </c>
      <c r="AC102" s="2" t="str">
        <f>IF($B102="","",$AC$1)</f>
        <v/>
      </c>
      <c r="AD102" s="2" t="str">
        <f>IF($B102="","",IFERROR(INDEX(GLAPS정리!$D$2:$D$50,MATCH(I102,GLAPS정리!$A$2:$A$50,0)),IFERROR(INDEX(GLAPS정리!$D$2:$D$50,MATCH(I102,GLAPS정리!$B$2:$B$50,0)),"")))</f>
        <v/>
      </c>
      <c r="AF102" s="2" t="str">
        <f>IF($B102="","",$AF$1)</f>
        <v/>
      </c>
      <c r="AI102" s="2" t="str">
        <f>IF($B102="","",IF(F102="","",VLOOKUP(F102,GLAPS정리!$G$3:$J$114,2,0)))</f>
        <v/>
      </c>
      <c r="AJ102" s="2" t="str">
        <f>IF($B102="","",IF(Z102="울산정일","KRONS",IF(Z102="울산신항","KRUSN",IF(OR(Z102="선광종합물류(인천여객)",Z102="인천여객(인천여객)"),"KRINF",IF(OR(Z102="선광인천보세(인천신)",Z102="한진인천(인천신)",Z102="선광인천신항(인천신)",Z102="인천더로지스(인천신)"),"KRINN",IF(OR(Z102="인천진아(인천항)",Z102="인천E1(인천항)",Z102="인천SM경인터미널(인천항)",Z102="인천항(인천항)",Z102="인천우련(인천항)",Z102="인천항8부두(인천항)"),"KRINC",VLOOKUP(K102,GLAPS정리!$BB$2:$BC$33,2,0)))))))</f>
        <v/>
      </c>
      <c r="AL102" s="2" t="str">
        <f>IF($B102="","",$AL$1)</f>
        <v/>
      </c>
      <c r="AN102" s="70" t="str">
        <f>IF($B102="","",TEXT(B102,"YYYY-MM-DD"))</f>
        <v/>
      </c>
      <c r="AO102" s="2" t="str">
        <f>IF($B102="","",IF(E102="오전", "0800", IF(E102="오후", "1300", IF(E102="잔업", "1800", ""))))</f>
        <v/>
      </c>
      <c r="AP102" s="2" t="str">
        <f>IF($B102="","",IF(C102="","",VLOOKUP(C102,GLAPS정리!$AX$2:$AZ$17,3,0)))</f>
        <v/>
      </c>
      <c r="AR102" s="2" t="str">
        <f>IF($B102="","",IF(X102="","",X102))</f>
        <v/>
      </c>
      <c r="AX102" s="2" t="str">
        <f>IF($B102="","",IF(L102="","",VLOOKUP(L102,GLAPS정리!$V$3:$W$180,2,0)))</f>
        <v/>
      </c>
      <c r="BM102" s="2" t="str">
        <f>IF($B102="","",IF(AND(Q102=1,OR(P102="",P102="위험물")), "2210", IF(AND(Q102=1,OR(P102="리퍼",P102="위험물리퍼")), "2230", IF(AND(S102=1,OR(P102="",P102="위험물")), "4510", IF(AND(S102=1,OR(P102="리퍼",P102="위험물리퍼")), "4530", IF(AND(R102=1,OR(P102="",P102="위험물")), "4210", IF(AND(R102=1,P102="리퍼"), "4230", " ")))))))</f>
        <v/>
      </c>
      <c r="BN102" s="2" t="str">
        <f>IF($B102="","",$BN$1)</f>
        <v/>
      </c>
      <c r="BR102" s="2" t="str">
        <f>IF($B102="","",IF(OR(P102="리퍼",P102="위험물리퍼"),"Y",""))</f>
        <v/>
      </c>
      <c r="BS102" s="2" t="str">
        <f>IF($B102="","",IF(OR(P102="위험물",P102="위험물리퍼"),"Y",""))</f>
        <v/>
      </c>
      <c r="BV102" s="2" t="str">
        <f>IF($B102="","",IF(O102="","",VLOOKUP(O102,GLAPS정리!$BH$2:$BI$94,2,0)))</f>
        <v/>
      </c>
      <c r="BW102" s="2" t="str">
        <f>IF($B102="","",IF(OR(Z102="동원",Z102="세방",Z102="한타"),"",IFERROR(INDEX(GLAPS정리!$BI$2:$BI$101,MATCH(Z102,GLAPS정리!$BH$2:$BH$101,0)),"")))</f>
        <v/>
      </c>
      <c r="BX102" s="2" t="str">
        <f>IF($B102="","",IF(Z102="","",IFERROR(VLOOKUP(Z102,GLAPS정리!$AX$2:$AZ$17,3,0),"")))</f>
        <v/>
      </c>
      <c r="BZ102" s="2" t="str">
        <f>IF($B102="","",IF(H102="","",VLOOKUP(H102,GLAPS정리!$L$3:$O$133,2,0)))</f>
        <v/>
      </c>
      <c r="CA102" s="2" t="str">
        <f>IF($B102="","",IF(V102="공휴일", 10, IF(V102="야간", 20, IF(V102="위험물", 30, IF(V102="중량", 40, "")))))</f>
        <v/>
      </c>
      <c r="CL102" s="2" t="str">
        <f>IF($B102="","",IF(AI102="","",VLOOKUP(AI102,GLAPS정리!$BT$3:$BV$26,3,0)))</f>
        <v/>
      </c>
    </row>
    <row r="103" spans="2:90" ht="20.45" customHeight="1">
      <c r="B103" s="13" t="str">
        <f>IF(GLAPS자동계산!C102="","",GLAPS자동계산!C102)</f>
        <v/>
      </c>
      <c r="C103" s="3" t="str">
        <f>IF(GLAPS자동계산!D102="","",GLAPS자동계산!D102)</f>
        <v/>
      </c>
      <c r="D103" s="16" t="str">
        <f>IF(GLAPS자동계산!E102="","",GLAPS자동계산!E102)</f>
        <v/>
      </c>
      <c r="E103" s="11" t="str">
        <f>IF(GLAPS자동계산!F102="","",GLAPS자동계산!F102)</f>
        <v/>
      </c>
      <c r="F103" s="3" t="str">
        <f>IF(GLAPS자동계산!G102="","",GLAPS자동계산!G102)</f>
        <v/>
      </c>
      <c r="G103" s="3" t="str">
        <f>IF(GLAPS자동계산!H102="","",GLAPS자동계산!H102)</f>
        <v/>
      </c>
      <c r="H103" s="3" t="str">
        <f>IF(GLAPS자동계산!I102="","",GLAPS자동계산!I102)</f>
        <v/>
      </c>
      <c r="I103" s="3" t="str">
        <f>IF(GLAPS자동계산!J102="","",GLAPS자동계산!J102)</f>
        <v/>
      </c>
      <c r="J103" s="3" t="str">
        <f>IF(GLAPS자동계산!K102="","",GLAPS자동계산!K102)</f>
        <v/>
      </c>
      <c r="K103" s="3" t="str">
        <f>IF(GLAPS자동계산!L102="","",GLAPS자동계산!L102)</f>
        <v/>
      </c>
      <c r="L103" s="3" t="str">
        <f>IF(GLAPS자동계산!M102="","",GLAPS자동계산!M102)</f>
        <v/>
      </c>
      <c r="M103" s="3" t="str">
        <f>IF(GLAPS자동계산!N102="","",GLAPS자동계산!N102)</f>
        <v/>
      </c>
      <c r="N103" s="3" t="str">
        <f>IF(GLAPS자동계산!O102="","",GLAPS자동계산!O102)</f>
        <v/>
      </c>
      <c r="O103" s="3" t="str">
        <f>IF(GLAPS자동계산!P102="","",GLAPS자동계산!P102)</f>
        <v/>
      </c>
      <c r="P103" s="2" t="str">
        <f>IF(GLAPS자동계산!Q102="","",GLAPS자동계산!Q102)</f>
        <v/>
      </c>
      <c r="Q103" s="3" t="str">
        <f>IF(GLAPS자동계산!R102="","",GLAPS자동계산!R102)</f>
        <v/>
      </c>
      <c r="R103" s="3" t="str">
        <f>IF(GLAPS자동계산!S102="","",GLAPS자동계산!S102)</f>
        <v/>
      </c>
      <c r="S103" s="3" t="str">
        <f>IF(GLAPS자동계산!T102="","",GLAPS자동계산!T102)</f>
        <v/>
      </c>
      <c r="T103" s="3" t="str">
        <f>IF(GLAPS자동계산!U102="","",GLAPS자동계산!U102)</f>
        <v/>
      </c>
      <c r="U103" s="3" t="str">
        <f>IF(GLAPS자동계산!V102="","",GLAPS자동계산!V102)</f>
        <v/>
      </c>
      <c r="V103" s="3" t="str">
        <f>IF(GLAPS자동계산!W102="","",GLAPS자동계산!W102)</f>
        <v/>
      </c>
      <c r="W103" s="14" t="str">
        <f>IF(GLAPS자동계산!X102="","",GLAPS자동계산!X102)</f>
        <v/>
      </c>
      <c r="X103" s="13" t="str">
        <f>IF(GLAPS자동계산!Y102="","",GLAPS자동계산!Y102)</f>
        <v/>
      </c>
      <c r="Y103" s="13" t="str">
        <f>IF(GLAPS자동계산!Z102="","",GLAPS자동계산!Z102)</f>
        <v/>
      </c>
      <c r="Z103" s="91" t="str">
        <f>IF(GLAPS자동계산!AA102="","",GLAPS자동계산!AA102)</f>
        <v/>
      </c>
      <c r="AA103" s="14" t="str">
        <f>IF(GLAPS자동계산!AB102="","",GLAPS자동계산!AB102)</f>
        <v/>
      </c>
      <c r="AC103" s="2" t="str">
        <f>IF($B103="","",$AC$1)</f>
        <v/>
      </c>
      <c r="AD103" s="2" t="str">
        <f>IF($B103="","",IFERROR(INDEX(GLAPS정리!$D$2:$D$50,MATCH(I103,GLAPS정리!$A$2:$A$50,0)),IFERROR(INDEX(GLAPS정리!$D$2:$D$50,MATCH(I103,GLAPS정리!$B$2:$B$50,0)),"")))</f>
        <v/>
      </c>
      <c r="AF103" s="2" t="str">
        <f>IF($B103="","",$AF$1)</f>
        <v/>
      </c>
      <c r="AI103" s="2" t="str">
        <f>IF($B103="","",IF(F103="","",VLOOKUP(F103,GLAPS정리!$G$3:$J$114,2,0)))</f>
        <v/>
      </c>
      <c r="AJ103" s="2" t="str">
        <f>IF($B103="","",IF(Z103="울산정일","KRONS",IF(Z103="울산신항","KRUSN",IF(OR(Z103="선광종합물류(인천여객)",Z103="인천여객(인천여객)"),"KRINF",IF(OR(Z103="선광인천보세(인천신)",Z103="한진인천(인천신)",Z103="선광인천신항(인천신)",Z103="인천더로지스(인천신)"),"KRINN",IF(OR(Z103="인천진아(인천항)",Z103="인천E1(인천항)",Z103="인천SM경인터미널(인천항)",Z103="인천항(인천항)",Z103="인천우련(인천항)",Z103="인천항8부두(인천항)"),"KRINC",VLOOKUP(K103,GLAPS정리!$BB$2:$BC$33,2,0)))))))</f>
        <v/>
      </c>
      <c r="AL103" s="2" t="str">
        <f>IF($B103="","",$AL$1)</f>
        <v/>
      </c>
      <c r="AN103" s="70" t="str">
        <f>IF($B103="","",TEXT(B103,"YYYY-MM-DD"))</f>
        <v/>
      </c>
      <c r="AO103" s="2" t="str">
        <f>IF($B103="","",IF(E103="오전", "0800", IF(E103="오후", "1300", IF(E103="잔업", "1800", ""))))</f>
        <v/>
      </c>
      <c r="AP103" s="2" t="str">
        <f>IF($B103="","",IF(C103="","",VLOOKUP(C103,GLAPS정리!$AX$2:$AZ$17,3,0)))</f>
        <v/>
      </c>
      <c r="AR103" s="2" t="str">
        <f>IF($B103="","",IF(X103="","",X103))</f>
        <v/>
      </c>
      <c r="AX103" s="2" t="str">
        <f>IF($B103="","",IF(L103="","",VLOOKUP(L103,GLAPS정리!$V$3:$W$180,2,0)))</f>
        <v/>
      </c>
      <c r="BM103" s="2" t="str">
        <f>IF($B103="","",IF(AND(Q103=1,OR(P103="",P103="위험물")), "2210", IF(AND(Q103=1,OR(P103="리퍼",P103="위험물리퍼")), "2230", IF(AND(S103=1,OR(P103="",P103="위험물")), "4510", IF(AND(S103=1,OR(P103="리퍼",P103="위험물리퍼")), "4530", IF(AND(R103=1,OR(P103="",P103="위험물")), "4210", IF(AND(R103=1,P103="리퍼"), "4230", " ")))))))</f>
        <v/>
      </c>
      <c r="BN103" s="2" t="str">
        <f>IF($B103="","",$BN$1)</f>
        <v/>
      </c>
      <c r="BR103" s="2" t="str">
        <f>IF($B103="","",IF(OR(P103="리퍼",P103="위험물리퍼"),"Y",""))</f>
        <v/>
      </c>
      <c r="BS103" s="2" t="str">
        <f>IF($B103="","",IF(OR(P103="위험물",P103="위험물리퍼"),"Y",""))</f>
        <v/>
      </c>
      <c r="BV103" s="2" t="str">
        <f>IF($B103="","",IF(O103="","",VLOOKUP(O103,GLAPS정리!$BH$2:$BI$94,2,0)))</f>
        <v/>
      </c>
      <c r="BW103" s="2" t="str">
        <f>IF($B103="","",IF(OR(Z103="동원",Z103="세방",Z103="한타"),"",IFERROR(INDEX(GLAPS정리!$BI$2:$BI$101,MATCH(Z103,GLAPS정리!$BH$2:$BH$101,0)),"")))</f>
        <v/>
      </c>
      <c r="BX103" s="2" t="str">
        <f>IF($B103="","",IF(Z103="","",IFERROR(VLOOKUP(Z103,GLAPS정리!$AX$2:$AZ$17,3,0),"")))</f>
        <v/>
      </c>
      <c r="BZ103" s="2" t="str">
        <f>IF($B103="","",IF(H103="","",VLOOKUP(H103,GLAPS정리!$L$3:$O$133,2,0)))</f>
        <v/>
      </c>
      <c r="CA103" s="2" t="str">
        <f>IF($B103="","",IF(V103="공휴일", 10, IF(V103="야간", 20, IF(V103="위험물", 30, IF(V103="중량", 40, "")))))</f>
        <v/>
      </c>
      <c r="CL103" s="2" t="str">
        <f>IF($B103="","",IF(AI103="","",VLOOKUP(AI103,GLAPS정리!$BT$3:$BV$26,3,0)))</f>
        <v/>
      </c>
    </row>
    <row r="104" spans="2:90" ht="20.45" customHeight="1">
      <c r="B104" s="13" t="str">
        <f>IF(GLAPS자동계산!C103="","",GLAPS자동계산!C103)</f>
        <v/>
      </c>
      <c r="C104" s="3" t="str">
        <f>IF(GLAPS자동계산!D103="","",GLAPS자동계산!D103)</f>
        <v/>
      </c>
      <c r="D104" s="16" t="str">
        <f>IF(GLAPS자동계산!E103="","",GLAPS자동계산!E103)</f>
        <v/>
      </c>
      <c r="E104" s="11" t="str">
        <f>IF(GLAPS자동계산!F103="","",GLAPS자동계산!F103)</f>
        <v/>
      </c>
      <c r="F104" s="3" t="str">
        <f>IF(GLAPS자동계산!G103="","",GLAPS자동계산!G103)</f>
        <v/>
      </c>
      <c r="G104" s="3" t="str">
        <f>IF(GLAPS자동계산!H103="","",GLAPS자동계산!H103)</f>
        <v/>
      </c>
      <c r="H104" s="3" t="str">
        <f>IF(GLAPS자동계산!I103="","",GLAPS자동계산!I103)</f>
        <v/>
      </c>
      <c r="I104" s="3" t="str">
        <f>IF(GLAPS자동계산!J103="","",GLAPS자동계산!J103)</f>
        <v/>
      </c>
      <c r="J104" s="3" t="str">
        <f>IF(GLAPS자동계산!K103="","",GLAPS자동계산!K103)</f>
        <v/>
      </c>
      <c r="K104" s="3" t="str">
        <f>IF(GLAPS자동계산!L103="","",GLAPS자동계산!L103)</f>
        <v/>
      </c>
      <c r="L104" s="3" t="str">
        <f>IF(GLAPS자동계산!M103="","",GLAPS자동계산!M103)</f>
        <v/>
      </c>
      <c r="M104" s="3" t="str">
        <f>IF(GLAPS자동계산!N103="","",GLAPS자동계산!N103)</f>
        <v/>
      </c>
      <c r="N104" s="3" t="str">
        <f>IF(GLAPS자동계산!O103="","",GLAPS자동계산!O103)</f>
        <v/>
      </c>
      <c r="O104" s="3" t="str">
        <f>IF(GLAPS자동계산!P103="","",GLAPS자동계산!P103)</f>
        <v/>
      </c>
      <c r="P104" s="2" t="str">
        <f>IF(GLAPS자동계산!Q103="","",GLAPS자동계산!Q103)</f>
        <v/>
      </c>
      <c r="Q104" s="3" t="str">
        <f>IF(GLAPS자동계산!R103="","",GLAPS자동계산!R103)</f>
        <v/>
      </c>
      <c r="R104" s="3" t="str">
        <f>IF(GLAPS자동계산!S103="","",GLAPS자동계산!S103)</f>
        <v/>
      </c>
      <c r="S104" s="3" t="str">
        <f>IF(GLAPS자동계산!T103="","",GLAPS자동계산!T103)</f>
        <v/>
      </c>
      <c r="T104" s="3" t="str">
        <f>IF(GLAPS자동계산!U103="","",GLAPS자동계산!U103)</f>
        <v/>
      </c>
      <c r="U104" s="3" t="str">
        <f>IF(GLAPS자동계산!V103="","",GLAPS자동계산!V103)</f>
        <v/>
      </c>
      <c r="V104" s="3" t="str">
        <f>IF(GLAPS자동계산!W103="","",GLAPS자동계산!W103)</f>
        <v/>
      </c>
      <c r="W104" s="14" t="str">
        <f>IF(GLAPS자동계산!X103="","",GLAPS자동계산!X103)</f>
        <v/>
      </c>
      <c r="X104" s="13" t="str">
        <f>IF(GLAPS자동계산!Y103="","",GLAPS자동계산!Y103)</f>
        <v/>
      </c>
      <c r="Y104" s="13" t="str">
        <f>IF(GLAPS자동계산!Z103="","",GLAPS자동계산!Z103)</f>
        <v/>
      </c>
      <c r="Z104" s="91" t="str">
        <f>IF(GLAPS자동계산!AA103="","",GLAPS자동계산!AA103)</f>
        <v/>
      </c>
      <c r="AA104" s="14" t="str">
        <f>IF(GLAPS자동계산!AB103="","",GLAPS자동계산!AB103)</f>
        <v/>
      </c>
      <c r="AC104" s="2" t="str">
        <f>IF($B104="","",$AC$1)</f>
        <v/>
      </c>
      <c r="AD104" s="2" t="str">
        <f>IF($B104="","",IFERROR(INDEX(GLAPS정리!$D$2:$D$50,MATCH(I104,GLAPS정리!$A$2:$A$50,0)),IFERROR(INDEX(GLAPS정리!$D$2:$D$50,MATCH(I104,GLAPS정리!$B$2:$B$50,0)),"")))</f>
        <v/>
      </c>
      <c r="AF104" s="2" t="str">
        <f>IF($B104="","",$AF$1)</f>
        <v/>
      </c>
      <c r="AI104" s="2" t="str">
        <f>IF($B104="","",IF(F104="","",VLOOKUP(F104,GLAPS정리!$G$3:$J$114,2,0)))</f>
        <v/>
      </c>
      <c r="AJ104" s="2" t="str">
        <f>IF($B104="","",IF(Z104="울산정일","KRONS",IF(Z104="울산신항","KRUSN",IF(OR(Z104="선광종합물류(인천여객)",Z104="인천여객(인천여객)"),"KRINF",IF(OR(Z104="선광인천보세(인천신)",Z104="한진인천(인천신)",Z104="선광인천신항(인천신)",Z104="인천더로지스(인천신)"),"KRINN",IF(OR(Z104="인천진아(인천항)",Z104="인천E1(인천항)",Z104="인천SM경인터미널(인천항)",Z104="인천항(인천항)",Z104="인천우련(인천항)",Z104="인천항8부두(인천항)"),"KRINC",VLOOKUP(K104,GLAPS정리!$BB$2:$BC$33,2,0)))))))</f>
        <v/>
      </c>
      <c r="AL104" s="2" t="str">
        <f>IF($B104="","",$AL$1)</f>
        <v/>
      </c>
      <c r="AN104" s="70" t="str">
        <f>IF($B104="","",TEXT(B104,"YYYY-MM-DD"))</f>
        <v/>
      </c>
      <c r="AO104" s="2" t="str">
        <f>IF($B104="","",IF(E104="오전", "0800", IF(E104="오후", "1300", IF(E104="잔업", "1800", ""))))</f>
        <v/>
      </c>
      <c r="AP104" s="2" t="str">
        <f>IF($B104="","",IF(C104="","",VLOOKUP(C104,GLAPS정리!$AX$2:$AZ$17,3,0)))</f>
        <v/>
      </c>
      <c r="AR104" s="2" t="str">
        <f>IF($B104="","",IF(X104="","",X104))</f>
        <v/>
      </c>
      <c r="AX104" s="2" t="str">
        <f>IF($B104="","",IF(L104="","",VLOOKUP(L104,GLAPS정리!$V$3:$W$180,2,0)))</f>
        <v/>
      </c>
      <c r="BM104" s="2" t="str">
        <f>IF($B104="","",IF(AND(Q104=1,OR(P104="",P104="위험물")), "2210", IF(AND(Q104=1,OR(P104="리퍼",P104="위험물리퍼")), "2230", IF(AND(S104=1,OR(P104="",P104="위험물")), "4510", IF(AND(S104=1,OR(P104="리퍼",P104="위험물리퍼")), "4530", IF(AND(R104=1,OR(P104="",P104="위험물")), "4210", IF(AND(R104=1,P104="리퍼"), "4230", " ")))))))</f>
        <v/>
      </c>
      <c r="BN104" s="2" t="str">
        <f>IF($B104="","",$BN$1)</f>
        <v/>
      </c>
      <c r="BR104" s="2" t="str">
        <f>IF($B104="","",IF(OR(P104="리퍼",P104="위험물리퍼"),"Y",""))</f>
        <v/>
      </c>
      <c r="BS104" s="2" t="str">
        <f>IF($B104="","",IF(OR(P104="위험물",P104="위험물리퍼"),"Y",""))</f>
        <v/>
      </c>
      <c r="BV104" s="2" t="str">
        <f>IF($B104="","",IF(O104="","",VLOOKUP(O104,GLAPS정리!$BH$2:$BI$94,2,0)))</f>
        <v/>
      </c>
      <c r="BW104" s="2" t="str">
        <f>IF($B104="","",IF(OR(Z104="동원",Z104="세방",Z104="한타"),"",IFERROR(INDEX(GLAPS정리!$BI$2:$BI$101,MATCH(Z104,GLAPS정리!$BH$2:$BH$101,0)),"")))</f>
        <v/>
      </c>
      <c r="BX104" s="2" t="str">
        <f>IF($B104="","",IF(Z104="","",IFERROR(VLOOKUP(Z104,GLAPS정리!$AX$2:$AZ$17,3,0),"")))</f>
        <v/>
      </c>
      <c r="BZ104" s="2" t="str">
        <f>IF($B104="","",IF(H104="","",VLOOKUP(H104,GLAPS정리!$L$3:$O$133,2,0)))</f>
        <v/>
      </c>
      <c r="CA104" s="2" t="str">
        <f>IF($B104="","",IF(V104="공휴일", 10, IF(V104="야간", 20, IF(V104="위험물", 30, IF(V104="중량", 40, "")))))</f>
        <v/>
      </c>
      <c r="CL104" s="2" t="str">
        <f>IF($B104="","",IF(AI104="","",VLOOKUP(AI104,GLAPS정리!$BT$3:$BV$26,3,0)))</f>
        <v/>
      </c>
    </row>
    <row r="105" spans="2:90" ht="20.45" customHeight="1">
      <c r="B105" s="13" t="str">
        <f>IF(GLAPS자동계산!C104="","",GLAPS자동계산!C104)</f>
        <v/>
      </c>
      <c r="C105" s="3" t="str">
        <f>IF(GLAPS자동계산!D104="","",GLAPS자동계산!D104)</f>
        <v/>
      </c>
      <c r="D105" s="16" t="str">
        <f>IF(GLAPS자동계산!E104="","",GLAPS자동계산!E104)</f>
        <v/>
      </c>
      <c r="E105" s="11" t="str">
        <f>IF(GLAPS자동계산!F104="","",GLAPS자동계산!F104)</f>
        <v/>
      </c>
      <c r="F105" s="3" t="str">
        <f>IF(GLAPS자동계산!G104="","",GLAPS자동계산!G104)</f>
        <v/>
      </c>
      <c r="G105" s="3" t="str">
        <f>IF(GLAPS자동계산!H104="","",GLAPS자동계산!H104)</f>
        <v/>
      </c>
      <c r="H105" s="3" t="str">
        <f>IF(GLAPS자동계산!I104="","",GLAPS자동계산!I104)</f>
        <v/>
      </c>
      <c r="I105" s="3" t="str">
        <f>IF(GLAPS자동계산!J104="","",GLAPS자동계산!J104)</f>
        <v/>
      </c>
      <c r="J105" s="3" t="str">
        <f>IF(GLAPS자동계산!K104="","",GLAPS자동계산!K104)</f>
        <v/>
      </c>
      <c r="K105" s="3" t="str">
        <f>IF(GLAPS자동계산!L104="","",GLAPS자동계산!L104)</f>
        <v/>
      </c>
      <c r="L105" s="3" t="str">
        <f>IF(GLAPS자동계산!M104="","",GLAPS자동계산!M104)</f>
        <v/>
      </c>
      <c r="M105" s="3" t="str">
        <f>IF(GLAPS자동계산!N104="","",GLAPS자동계산!N104)</f>
        <v/>
      </c>
      <c r="N105" s="3" t="str">
        <f>IF(GLAPS자동계산!O104="","",GLAPS자동계산!O104)</f>
        <v/>
      </c>
      <c r="O105" s="3" t="str">
        <f>IF(GLAPS자동계산!P104="","",GLAPS자동계산!P104)</f>
        <v/>
      </c>
      <c r="P105" s="2" t="str">
        <f>IF(GLAPS자동계산!Q104="","",GLAPS자동계산!Q104)</f>
        <v/>
      </c>
      <c r="Q105" s="3" t="str">
        <f>IF(GLAPS자동계산!R104="","",GLAPS자동계산!R104)</f>
        <v/>
      </c>
      <c r="R105" s="3" t="str">
        <f>IF(GLAPS자동계산!S104="","",GLAPS자동계산!S104)</f>
        <v/>
      </c>
      <c r="S105" s="3" t="str">
        <f>IF(GLAPS자동계산!T104="","",GLAPS자동계산!T104)</f>
        <v/>
      </c>
      <c r="T105" s="3" t="str">
        <f>IF(GLAPS자동계산!U104="","",GLAPS자동계산!U104)</f>
        <v/>
      </c>
      <c r="U105" s="3" t="str">
        <f>IF(GLAPS자동계산!V104="","",GLAPS자동계산!V104)</f>
        <v/>
      </c>
      <c r="V105" s="3" t="str">
        <f>IF(GLAPS자동계산!W104="","",GLAPS자동계산!W104)</f>
        <v/>
      </c>
      <c r="W105" s="14" t="str">
        <f>IF(GLAPS자동계산!X104="","",GLAPS자동계산!X104)</f>
        <v/>
      </c>
      <c r="X105" s="13" t="str">
        <f>IF(GLAPS자동계산!Y104="","",GLAPS자동계산!Y104)</f>
        <v/>
      </c>
      <c r="Y105" s="13" t="str">
        <f>IF(GLAPS자동계산!Z104="","",GLAPS자동계산!Z104)</f>
        <v/>
      </c>
      <c r="Z105" s="91" t="str">
        <f>IF(GLAPS자동계산!AA104="","",GLAPS자동계산!AA104)</f>
        <v/>
      </c>
      <c r="AA105" s="14" t="str">
        <f>IF(GLAPS자동계산!AB104="","",GLAPS자동계산!AB104)</f>
        <v/>
      </c>
      <c r="AC105" s="2" t="str">
        <f>IF($B105="","",$AC$1)</f>
        <v/>
      </c>
      <c r="AD105" s="2" t="str">
        <f>IF($B105="","",IFERROR(INDEX(GLAPS정리!$D$2:$D$50,MATCH(I105,GLAPS정리!$A$2:$A$50,0)),IFERROR(INDEX(GLAPS정리!$D$2:$D$50,MATCH(I105,GLAPS정리!$B$2:$B$50,0)),"")))</f>
        <v/>
      </c>
      <c r="AF105" s="2" t="str">
        <f>IF($B105="","",$AF$1)</f>
        <v/>
      </c>
      <c r="AI105" s="2" t="str">
        <f>IF($B105="","",IF(F105="","",VLOOKUP(F105,GLAPS정리!$G$3:$J$114,2,0)))</f>
        <v/>
      </c>
      <c r="AJ105" s="2" t="str">
        <f>IF($B105="","",IF(Z105="울산정일","KRONS",IF(Z105="울산신항","KRUSN",IF(OR(Z105="선광종합물류(인천여객)",Z105="인천여객(인천여객)"),"KRINF",IF(OR(Z105="선광인천보세(인천신)",Z105="한진인천(인천신)",Z105="선광인천신항(인천신)",Z105="인천더로지스(인천신)"),"KRINN",IF(OR(Z105="인천진아(인천항)",Z105="인천E1(인천항)",Z105="인천SM경인터미널(인천항)",Z105="인천항(인천항)",Z105="인천우련(인천항)",Z105="인천항8부두(인천항)"),"KRINC",VLOOKUP(K105,GLAPS정리!$BB$2:$BC$33,2,0)))))))</f>
        <v/>
      </c>
      <c r="AL105" s="2" t="str">
        <f>IF($B105="","",$AL$1)</f>
        <v/>
      </c>
      <c r="AN105" s="70" t="str">
        <f>IF($B105="","",TEXT(B105,"YYYY-MM-DD"))</f>
        <v/>
      </c>
      <c r="AO105" s="2" t="str">
        <f>IF($B105="","",IF(E105="오전", "0800", IF(E105="오후", "1300", IF(E105="잔업", "1800", ""))))</f>
        <v/>
      </c>
      <c r="AP105" s="2" t="str">
        <f>IF($B105="","",IF(C105="","",VLOOKUP(C105,GLAPS정리!$AX$2:$AZ$17,3,0)))</f>
        <v/>
      </c>
      <c r="AR105" s="2" t="str">
        <f>IF($B105="","",IF(X105="","",X105))</f>
        <v/>
      </c>
      <c r="AX105" s="2" t="str">
        <f>IF($B105="","",IF(L105="","",VLOOKUP(L105,GLAPS정리!$V$3:$W$180,2,0)))</f>
        <v/>
      </c>
      <c r="BM105" s="2" t="str">
        <f>IF($B105="","",IF(AND(Q105=1,OR(P105="",P105="위험물")), "2210", IF(AND(Q105=1,OR(P105="리퍼",P105="위험물리퍼")), "2230", IF(AND(S105=1,OR(P105="",P105="위험물")), "4510", IF(AND(S105=1,OR(P105="리퍼",P105="위험물리퍼")), "4530", IF(AND(R105=1,OR(P105="",P105="위험물")), "4210", IF(AND(R105=1,P105="리퍼"), "4230", " ")))))))</f>
        <v/>
      </c>
      <c r="BN105" s="2" t="str">
        <f>IF($B105="","",$BN$1)</f>
        <v/>
      </c>
      <c r="BR105" s="2" t="str">
        <f>IF($B105="","",IF(OR(P105="리퍼",P105="위험물리퍼"),"Y",""))</f>
        <v/>
      </c>
      <c r="BS105" s="2" t="str">
        <f>IF($B105="","",IF(OR(P105="위험물",P105="위험물리퍼"),"Y",""))</f>
        <v/>
      </c>
      <c r="BV105" s="2" t="str">
        <f>IF($B105="","",IF(O105="","",VLOOKUP(O105,GLAPS정리!$BH$2:$BI$94,2,0)))</f>
        <v/>
      </c>
      <c r="BW105" s="2" t="str">
        <f>IF($B105="","",IF(OR(Z105="동원",Z105="세방",Z105="한타"),"",IFERROR(INDEX(GLAPS정리!$BI$2:$BI$101,MATCH(Z105,GLAPS정리!$BH$2:$BH$101,0)),"")))</f>
        <v/>
      </c>
      <c r="BX105" s="2" t="str">
        <f>IF($B105="","",IF(Z105="","",IFERROR(VLOOKUP(Z105,GLAPS정리!$AX$2:$AZ$17,3,0),"")))</f>
        <v/>
      </c>
      <c r="BZ105" s="2" t="str">
        <f>IF($B105="","",IF(H105="","",VLOOKUP(H105,GLAPS정리!$L$3:$O$133,2,0)))</f>
        <v/>
      </c>
      <c r="CA105" s="2" t="str">
        <f>IF($B105="","",IF(V105="공휴일", 10, IF(V105="야간", 20, IF(V105="위험물", 30, IF(V105="중량", 40, "")))))</f>
        <v/>
      </c>
      <c r="CL105" s="2" t="str">
        <f>IF($B105="","",IF(AI105="","",VLOOKUP(AI105,GLAPS정리!$BT$3:$BV$26,3,0)))</f>
        <v/>
      </c>
    </row>
    <row r="106" spans="2:90" ht="20.45" customHeight="1">
      <c r="B106" s="13" t="str">
        <f>IF(GLAPS자동계산!C105="","",GLAPS자동계산!C105)</f>
        <v/>
      </c>
      <c r="C106" s="3" t="str">
        <f>IF(GLAPS자동계산!D105="","",GLAPS자동계산!D105)</f>
        <v/>
      </c>
      <c r="D106" s="16" t="str">
        <f>IF(GLAPS자동계산!E105="","",GLAPS자동계산!E105)</f>
        <v/>
      </c>
      <c r="E106" s="11" t="str">
        <f>IF(GLAPS자동계산!F105="","",GLAPS자동계산!F105)</f>
        <v/>
      </c>
      <c r="F106" s="3" t="str">
        <f>IF(GLAPS자동계산!G105="","",GLAPS자동계산!G105)</f>
        <v/>
      </c>
      <c r="G106" s="3" t="str">
        <f>IF(GLAPS자동계산!H105="","",GLAPS자동계산!H105)</f>
        <v/>
      </c>
      <c r="H106" s="3" t="str">
        <f>IF(GLAPS자동계산!I105="","",GLAPS자동계산!I105)</f>
        <v/>
      </c>
      <c r="I106" s="3" t="str">
        <f>IF(GLAPS자동계산!J105="","",GLAPS자동계산!J105)</f>
        <v/>
      </c>
      <c r="J106" s="3" t="str">
        <f>IF(GLAPS자동계산!K105="","",GLAPS자동계산!K105)</f>
        <v/>
      </c>
      <c r="K106" s="3" t="str">
        <f>IF(GLAPS자동계산!L105="","",GLAPS자동계산!L105)</f>
        <v/>
      </c>
      <c r="L106" s="3" t="str">
        <f>IF(GLAPS자동계산!M105="","",GLAPS자동계산!M105)</f>
        <v/>
      </c>
      <c r="M106" s="3" t="str">
        <f>IF(GLAPS자동계산!N105="","",GLAPS자동계산!N105)</f>
        <v/>
      </c>
      <c r="N106" s="3" t="str">
        <f>IF(GLAPS자동계산!O105="","",GLAPS자동계산!O105)</f>
        <v/>
      </c>
      <c r="O106" s="3" t="str">
        <f>IF(GLAPS자동계산!P105="","",GLAPS자동계산!P105)</f>
        <v/>
      </c>
      <c r="P106" s="2" t="str">
        <f>IF(GLAPS자동계산!Q105="","",GLAPS자동계산!Q105)</f>
        <v/>
      </c>
      <c r="Q106" s="3" t="str">
        <f>IF(GLAPS자동계산!R105="","",GLAPS자동계산!R105)</f>
        <v/>
      </c>
      <c r="R106" s="3" t="str">
        <f>IF(GLAPS자동계산!S105="","",GLAPS자동계산!S105)</f>
        <v/>
      </c>
      <c r="S106" s="3" t="str">
        <f>IF(GLAPS자동계산!T105="","",GLAPS자동계산!T105)</f>
        <v/>
      </c>
      <c r="T106" s="3" t="str">
        <f>IF(GLAPS자동계산!U105="","",GLAPS자동계산!U105)</f>
        <v/>
      </c>
      <c r="U106" s="3" t="str">
        <f>IF(GLAPS자동계산!V105="","",GLAPS자동계산!V105)</f>
        <v/>
      </c>
      <c r="V106" s="3" t="str">
        <f>IF(GLAPS자동계산!W105="","",GLAPS자동계산!W105)</f>
        <v/>
      </c>
      <c r="W106" s="14" t="str">
        <f>IF(GLAPS자동계산!X105="","",GLAPS자동계산!X105)</f>
        <v/>
      </c>
      <c r="X106" s="13" t="str">
        <f>IF(GLAPS자동계산!Y105="","",GLAPS자동계산!Y105)</f>
        <v/>
      </c>
      <c r="Y106" s="13" t="str">
        <f>IF(GLAPS자동계산!Z105="","",GLAPS자동계산!Z105)</f>
        <v/>
      </c>
      <c r="Z106" s="91" t="str">
        <f>IF(GLAPS자동계산!AA105="","",GLAPS자동계산!AA105)</f>
        <v/>
      </c>
      <c r="AA106" s="14" t="str">
        <f>IF(GLAPS자동계산!AB105="","",GLAPS자동계산!AB105)</f>
        <v/>
      </c>
      <c r="AC106" s="2" t="str">
        <f>IF($B106="","",$AC$1)</f>
        <v/>
      </c>
      <c r="AD106" s="2" t="str">
        <f>IF($B106="","",IFERROR(INDEX(GLAPS정리!$D$2:$D$50,MATCH(I106,GLAPS정리!$A$2:$A$50,0)),IFERROR(INDEX(GLAPS정리!$D$2:$D$50,MATCH(I106,GLAPS정리!$B$2:$B$50,0)),"")))</f>
        <v/>
      </c>
      <c r="AF106" s="2" t="str">
        <f>IF($B106="","",$AF$1)</f>
        <v/>
      </c>
      <c r="AI106" s="2" t="str">
        <f>IF($B106="","",IF(F106="","",VLOOKUP(F106,GLAPS정리!$G$3:$J$114,2,0)))</f>
        <v/>
      </c>
      <c r="AJ106" s="2" t="str">
        <f>IF($B106="","",IF(Z106="울산정일","KRONS",IF(Z106="울산신항","KRUSN",IF(OR(Z106="선광종합물류(인천여객)",Z106="인천여객(인천여객)"),"KRINF",IF(OR(Z106="선광인천보세(인천신)",Z106="한진인천(인천신)",Z106="선광인천신항(인천신)",Z106="인천더로지스(인천신)"),"KRINN",IF(OR(Z106="인천진아(인천항)",Z106="인천E1(인천항)",Z106="인천SM경인터미널(인천항)",Z106="인천항(인천항)",Z106="인천우련(인천항)",Z106="인천항8부두(인천항)"),"KRINC",VLOOKUP(K106,GLAPS정리!$BB$2:$BC$33,2,0)))))))</f>
        <v/>
      </c>
      <c r="AL106" s="2" t="str">
        <f>IF($B106="","",$AL$1)</f>
        <v/>
      </c>
      <c r="AN106" s="70" t="str">
        <f>IF($B106="","",TEXT(B106,"YYYY-MM-DD"))</f>
        <v/>
      </c>
      <c r="AO106" s="2" t="str">
        <f>IF($B106="","",IF(E106="오전", "0800", IF(E106="오후", "1300", IF(E106="잔업", "1800", ""))))</f>
        <v/>
      </c>
      <c r="AP106" s="2" t="str">
        <f>IF($B106="","",IF(C106="","",VLOOKUP(C106,GLAPS정리!$AX$2:$AZ$17,3,0)))</f>
        <v/>
      </c>
      <c r="AR106" s="2" t="str">
        <f>IF($B106="","",IF(X106="","",X106))</f>
        <v/>
      </c>
      <c r="AX106" s="2" t="str">
        <f>IF($B106="","",IF(L106="","",VLOOKUP(L106,GLAPS정리!$V$3:$W$180,2,0)))</f>
        <v/>
      </c>
      <c r="BM106" s="2" t="str">
        <f>IF($B106="","",IF(AND(Q106=1,OR(P106="",P106="위험물")), "2210", IF(AND(Q106=1,OR(P106="리퍼",P106="위험물리퍼")), "2230", IF(AND(S106=1,OR(P106="",P106="위험물")), "4510", IF(AND(S106=1,OR(P106="리퍼",P106="위험물리퍼")), "4530", IF(AND(R106=1,OR(P106="",P106="위험물")), "4210", IF(AND(R106=1,P106="리퍼"), "4230", " ")))))))</f>
        <v/>
      </c>
      <c r="BN106" s="2" t="str">
        <f>IF($B106="","",$BN$1)</f>
        <v/>
      </c>
      <c r="BR106" s="2" t="str">
        <f>IF($B106="","",IF(OR(P106="리퍼",P106="위험물리퍼"),"Y",""))</f>
        <v/>
      </c>
      <c r="BS106" s="2" t="str">
        <f>IF($B106="","",IF(OR(P106="위험물",P106="위험물리퍼"),"Y",""))</f>
        <v/>
      </c>
      <c r="BV106" s="2" t="str">
        <f>IF($B106="","",IF(O106="","",VLOOKUP(O106,GLAPS정리!$BH$2:$BI$94,2,0)))</f>
        <v/>
      </c>
      <c r="BW106" s="2" t="str">
        <f>IF($B106="","",IF(OR(Z106="동원",Z106="세방",Z106="한타"),"",IFERROR(INDEX(GLAPS정리!$BI$2:$BI$101,MATCH(Z106,GLAPS정리!$BH$2:$BH$101,0)),"")))</f>
        <v/>
      </c>
      <c r="BX106" s="2" t="str">
        <f>IF($B106="","",IF(Z106="","",IFERROR(VLOOKUP(Z106,GLAPS정리!$AX$2:$AZ$17,3,0),"")))</f>
        <v/>
      </c>
      <c r="BZ106" s="2" t="str">
        <f>IF($B106="","",IF(H106="","",VLOOKUP(H106,GLAPS정리!$L$3:$O$133,2,0)))</f>
        <v/>
      </c>
      <c r="CA106" s="2" t="str">
        <f>IF($B106="","",IF(V106="공휴일", 10, IF(V106="야간", 20, IF(V106="위험물", 30, IF(V106="중량", 40, "")))))</f>
        <v/>
      </c>
      <c r="CL106" s="2" t="str">
        <f>IF($B106="","",IF(AI106="","",VLOOKUP(AI106,GLAPS정리!$BT$3:$BV$26,3,0)))</f>
        <v/>
      </c>
    </row>
    <row r="107" spans="2:90" ht="20.45" customHeight="1">
      <c r="B107" s="13" t="str">
        <f>IF(GLAPS자동계산!C106="","",GLAPS자동계산!C106)</f>
        <v/>
      </c>
      <c r="C107" s="3" t="str">
        <f>IF(GLAPS자동계산!D106="","",GLAPS자동계산!D106)</f>
        <v/>
      </c>
      <c r="D107" s="16" t="str">
        <f>IF(GLAPS자동계산!E106="","",GLAPS자동계산!E106)</f>
        <v/>
      </c>
      <c r="E107" s="11" t="str">
        <f>IF(GLAPS자동계산!F106="","",GLAPS자동계산!F106)</f>
        <v/>
      </c>
      <c r="F107" s="3" t="str">
        <f>IF(GLAPS자동계산!G106="","",GLAPS자동계산!G106)</f>
        <v/>
      </c>
      <c r="G107" s="3" t="str">
        <f>IF(GLAPS자동계산!H106="","",GLAPS자동계산!H106)</f>
        <v/>
      </c>
      <c r="H107" s="3" t="str">
        <f>IF(GLAPS자동계산!I106="","",GLAPS자동계산!I106)</f>
        <v/>
      </c>
      <c r="I107" s="3" t="str">
        <f>IF(GLAPS자동계산!J106="","",GLAPS자동계산!J106)</f>
        <v/>
      </c>
      <c r="J107" s="3" t="str">
        <f>IF(GLAPS자동계산!K106="","",GLAPS자동계산!K106)</f>
        <v/>
      </c>
      <c r="K107" s="3" t="str">
        <f>IF(GLAPS자동계산!L106="","",GLAPS자동계산!L106)</f>
        <v/>
      </c>
      <c r="L107" s="3" t="str">
        <f>IF(GLAPS자동계산!M106="","",GLAPS자동계산!M106)</f>
        <v/>
      </c>
      <c r="M107" s="3" t="str">
        <f>IF(GLAPS자동계산!N106="","",GLAPS자동계산!N106)</f>
        <v/>
      </c>
      <c r="N107" s="3" t="str">
        <f>IF(GLAPS자동계산!O106="","",GLAPS자동계산!O106)</f>
        <v/>
      </c>
      <c r="O107" s="3" t="str">
        <f>IF(GLAPS자동계산!P106="","",GLAPS자동계산!P106)</f>
        <v/>
      </c>
      <c r="P107" s="2" t="str">
        <f>IF(GLAPS자동계산!Q106="","",GLAPS자동계산!Q106)</f>
        <v/>
      </c>
      <c r="Q107" s="3" t="str">
        <f>IF(GLAPS자동계산!R106="","",GLAPS자동계산!R106)</f>
        <v/>
      </c>
      <c r="R107" s="3" t="str">
        <f>IF(GLAPS자동계산!S106="","",GLAPS자동계산!S106)</f>
        <v/>
      </c>
      <c r="S107" s="3" t="str">
        <f>IF(GLAPS자동계산!T106="","",GLAPS자동계산!T106)</f>
        <v/>
      </c>
      <c r="T107" s="3" t="str">
        <f>IF(GLAPS자동계산!U106="","",GLAPS자동계산!U106)</f>
        <v/>
      </c>
      <c r="U107" s="3" t="str">
        <f>IF(GLAPS자동계산!V106="","",GLAPS자동계산!V106)</f>
        <v/>
      </c>
      <c r="V107" s="3" t="str">
        <f>IF(GLAPS자동계산!W106="","",GLAPS자동계산!W106)</f>
        <v/>
      </c>
      <c r="W107" s="14" t="str">
        <f>IF(GLAPS자동계산!X106="","",GLAPS자동계산!X106)</f>
        <v/>
      </c>
      <c r="X107" s="13" t="str">
        <f>IF(GLAPS자동계산!Y106="","",GLAPS자동계산!Y106)</f>
        <v/>
      </c>
      <c r="Y107" s="13" t="str">
        <f>IF(GLAPS자동계산!Z106="","",GLAPS자동계산!Z106)</f>
        <v/>
      </c>
      <c r="Z107" s="91" t="str">
        <f>IF(GLAPS자동계산!AA106="","",GLAPS자동계산!AA106)</f>
        <v/>
      </c>
      <c r="AA107" s="14" t="str">
        <f>IF(GLAPS자동계산!AB106="","",GLAPS자동계산!AB106)</f>
        <v/>
      </c>
      <c r="AC107" s="2" t="str">
        <f>IF($B107="","",$AC$1)</f>
        <v/>
      </c>
      <c r="AD107" s="2" t="str">
        <f>IF($B107="","",IFERROR(INDEX(GLAPS정리!$D$2:$D$50,MATCH(I107,GLAPS정리!$A$2:$A$50,0)),IFERROR(INDEX(GLAPS정리!$D$2:$D$50,MATCH(I107,GLAPS정리!$B$2:$B$50,0)),"")))</f>
        <v/>
      </c>
      <c r="AF107" s="2" t="str">
        <f>IF($B107="","",$AF$1)</f>
        <v/>
      </c>
      <c r="AI107" s="2" t="str">
        <f>IF($B107="","",IF(F107="","",VLOOKUP(F107,GLAPS정리!$G$3:$J$114,2,0)))</f>
        <v/>
      </c>
      <c r="AJ107" s="2" t="str">
        <f>IF($B107="","",IF(Z107="울산정일","KRONS",IF(Z107="울산신항","KRUSN",IF(OR(Z107="선광종합물류(인천여객)",Z107="인천여객(인천여객)"),"KRINF",IF(OR(Z107="선광인천보세(인천신)",Z107="한진인천(인천신)",Z107="선광인천신항(인천신)",Z107="인천더로지스(인천신)"),"KRINN",IF(OR(Z107="인천진아(인천항)",Z107="인천E1(인천항)",Z107="인천SM경인터미널(인천항)",Z107="인천항(인천항)",Z107="인천우련(인천항)",Z107="인천항8부두(인천항)"),"KRINC",VLOOKUP(K107,GLAPS정리!$BB$2:$BC$33,2,0)))))))</f>
        <v/>
      </c>
      <c r="AL107" s="2" t="str">
        <f>IF($B107="","",$AL$1)</f>
        <v/>
      </c>
      <c r="AN107" s="70" t="str">
        <f>IF($B107="","",TEXT(B107,"YYYY-MM-DD"))</f>
        <v/>
      </c>
      <c r="AO107" s="2" t="str">
        <f>IF($B107="","",IF(E107="오전", "0800", IF(E107="오후", "1300", IF(E107="잔업", "1800", ""))))</f>
        <v/>
      </c>
      <c r="AP107" s="2" t="str">
        <f>IF($B107="","",IF(C107="","",VLOOKUP(C107,GLAPS정리!$AX$2:$AZ$17,3,0)))</f>
        <v/>
      </c>
      <c r="AR107" s="2" t="str">
        <f>IF($B107="","",IF(X107="","",X107))</f>
        <v/>
      </c>
      <c r="AX107" s="2" t="str">
        <f>IF($B107="","",IF(L107="","",VLOOKUP(L107,GLAPS정리!$V$3:$W$180,2,0)))</f>
        <v/>
      </c>
      <c r="BM107" s="2" t="str">
        <f>IF($B107="","",IF(AND(Q107=1,OR(P107="",P107="위험물")), "2210", IF(AND(Q107=1,OR(P107="리퍼",P107="위험물리퍼")), "2230", IF(AND(S107=1,OR(P107="",P107="위험물")), "4510", IF(AND(S107=1,OR(P107="리퍼",P107="위험물리퍼")), "4530", IF(AND(R107=1,OR(P107="",P107="위험물")), "4210", IF(AND(R107=1,P107="리퍼"), "4230", " ")))))))</f>
        <v/>
      </c>
      <c r="BN107" s="2" t="str">
        <f>IF($B107="","",$BN$1)</f>
        <v/>
      </c>
      <c r="BR107" s="2" t="str">
        <f>IF($B107="","",IF(OR(P107="리퍼",P107="위험물리퍼"),"Y",""))</f>
        <v/>
      </c>
      <c r="BS107" s="2" t="str">
        <f>IF($B107="","",IF(OR(P107="위험물",P107="위험물리퍼"),"Y",""))</f>
        <v/>
      </c>
      <c r="BV107" s="2" t="str">
        <f>IF($B107="","",IF(O107="","",VLOOKUP(O107,GLAPS정리!$BH$2:$BI$94,2,0)))</f>
        <v/>
      </c>
      <c r="BW107" s="2" t="str">
        <f>IF($B107="","",IF(OR(Z107="동원",Z107="세방",Z107="한타"),"",IFERROR(INDEX(GLAPS정리!$BI$2:$BI$101,MATCH(Z107,GLAPS정리!$BH$2:$BH$101,0)),"")))</f>
        <v/>
      </c>
      <c r="BX107" s="2" t="str">
        <f>IF($B107="","",IF(Z107="","",IFERROR(VLOOKUP(Z107,GLAPS정리!$AX$2:$AZ$17,3,0),"")))</f>
        <v/>
      </c>
      <c r="BZ107" s="2" t="str">
        <f>IF($B107="","",IF(H107="","",VLOOKUP(H107,GLAPS정리!$L$3:$O$133,2,0)))</f>
        <v/>
      </c>
      <c r="CA107" s="2" t="str">
        <f>IF($B107="","",IF(V107="공휴일", 10, IF(V107="야간", 20, IF(V107="위험물", 30, IF(V107="중량", 40, "")))))</f>
        <v/>
      </c>
      <c r="CL107" s="2" t="str">
        <f>IF($B107="","",IF(AI107="","",VLOOKUP(AI107,GLAPS정리!$BT$3:$BV$26,3,0)))</f>
        <v/>
      </c>
    </row>
    <row r="108" spans="2:90" ht="20.45" customHeight="1">
      <c r="B108" s="13" t="str">
        <f>IF(GLAPS자동계산!C107="","",GLAPS자동계산!C107)</f>
        <v/>
      </c>
      <c r="C108" s="3" t="str">
        <f>IF(GLAPS자동계산!D107="","",GLAPS자동계산!D107)</f>
        <v/>
      </c>
      <c r="D108" s="16" t="str">
        <f>IF(GLAPS자동계산!E107="","",GLAPS자동계산!E107)</f>
        <v/>
      </c>
      <c r="E108" s="11" t="str">
        <f>IF(GLAPS자동계산!F107="","",GLAPS자동계산!F107)</f>
        <v/>
      </c>
      <c r="F108" s="3" t="str">
        <f>IF(GLAPS자동계산!G107="","",GLAPS자동계산!G107)</f>
        <v/>
      </c>
      <c r="G108" s="3" t="str">
        <f>IF(GLAPS자동계산!H107="","",GLAPS자동계산!H107)</f>
        <v/>
      </c>
      <c r="H108" s="3" t="str">
        <f>IF(GLAPS자동계산!I107="","",GLAPS자동계산!I107)</f>
        <v/>
      </c>
      <c r="I108" s="3" t="str">
        <f>IF(GLAPS자동계산!J107="","",GLAPS자동계산!J107)</f>
        <v/>
      </c>
      <c r="J108" s="3" t="str">
        <f>IF(GLAPS자동계산!K107="","",GLAPS자동계산!K107)</f>
        <v/>
      </c>
      <c r="K108" s="3" t="str">
        <f>IF(GLAPS자동계산!L107="","",GLAPS자동계산!L107)</f>
        <v/>
      </c>
      <c r="L108" s="3" t="str">
        <f>IF(GLAPS자동계산!M107="","",GLAPS자동계산!M107)</f>
        <v/>
      </c>
      <c r="M108" s="3" t="str">
        <f>IF(GLAPS자동계산!N107="","",GLAPS자동계산!N107)</f>
        <v/>
      </c>
      <c r="N108" s="3" t="str">
        <f>IF(GLAPS자동계산!O107="","",GLAPS자동계산!O107)</f>
        <v/>
      </c>
      <c r="O108" s="3" t="str">
        <f>IF(GLAPS자동계산!P107="","",GLAPS자동계산!P107)</f>
        <v/>
      </c>
      <c r="P108" s="2" t="str">
        <f>IF(GLAPS자동계산!Q107="","",GLAPS자동계산!Q107)</f>
        <v/>
      </c>
      <c r="Q108" s="3" t="str">
        <f>IF(GLAPS자동계산!R107="","",GLAPS자동계산!R107)</f>
        <v/>
      </c>
      <c r="R108" s="3" t="str">
        <f>IF(GLAPS자동계산!S107="","",GLAPS자동계산!S107)</f>
        <v/>
      </c>
      <c r="S108" s="3" t="str">
        <f>IF(GLAPS자동계산!T107="","",GLAPS자동계산!T107)</f>
        <v/>
      </c>
      <c r="T108" s="3" t="str">
        <f>IF(GLAPS자동계산!U107="","",GLAPS자동계산!U107)</f>
        <v/>
      </c>
      <c r="U108" s="3" t="str">
        <f>IF(GLAPS자동계산!V107="","",GLAPS자동계산!V107)</f>
        <v/>
      </c>
      <c r="V108" s="3" t="str">
        <f>IF(GLAPS자동계산!W107="","",GLAPS자동계산!W107)</f>
        <v/>
      </c>
      <c r="W108" s="14" t="str">
        <f>IF(GLAPS자동계산!X107="","",GLAPS자동계산!X107)</f>
        <v/>
      </c>
      <c r="X108" s="13" t="str">
        <f>IF(GLAPS자동계산!Y107="","",GLAPS자동계산!Y107)</f>
        <v/>
      </c>
      <c r="Y108" s="13" t="str">
        <f>IF(GLAPS자동계산!Z107="","",GLAPS자동계산!Z107)</f>
        <v/>
      </c>
      <c r="Z108" s="91" t="str">
        <f>IF(GLAPS자동계산!AA107="","",GLAPS자동계산!AA107)</f>
        <v/>
      </c>
      <c r="AA108" s="14" t="str">
        <f>IF(GLAPS자동계산!AB107="","",GLAPS자동계산!AB107)</f>
        <v/>
      </c>
      <c r="AC108" s="2" t="str">
        <f>IF($B108="","",$AC$1)</f>
        <v/>
      </c>
      <c r="AD108" s="2" t="str">
        <f>IF($B108="","",IFERROR(INDEX(GLAPS정리!$D$2:$D$50,MATCH(I108,GLAPS정리!$A$2:$A$50,0)),IFERROR(INDEX(GLAPS정리!$D$2:$D$50,MATCH(I108,GLAPS정리!$B$2:$B$50,0)),"")))</f>
        <v/>
      </c>
      <c r="AF108" s="2" t="str">
        <f>IF($B108="","",$AF$1)</f>
        <v/>
      </c>
      <c r="AI108" s="2" t="str">
        <f>IF($B108="","",IF(F108="","",VLOOKUP(F108,GLAPS정리!$G$3:$J$114,2,0)))</f>
        <v/>
      </c>
      <c r="AJ108" s="2" t="str">
        <f>IF($B108="","",IF(Z108="울산정일","KRONS",IF(Z108="울산신항","KRUSN",IF(OR(Z108="선광종합물류(인천여객)",Z108="인천여객(인천여객)"),"KRINF",IF(OR(Z108="선광인천보세(인천신)",Z108="한진인천(인천신)",Z108="선광인천신항(인천신)",Z108="인천더로지스(인천신)"),"KRINN",IF(OR(Z108="인천진아(인천항)",Z108="인천E1(인천항)",Z108="인천SM경인터미널(인천항)",Z108="인천항(인천항)",Z108="인천우련(인천항)",Z108="인천항8부두(인천항)"),"KRINC",VLOOKUP(K108,GLAPS정리!$BB$2:$BC$33,2,0)))))))</f>
        <v/>
      </c>
      <c r="AL108" s="2" t="str">
        <f>IF($B108="","",$AL$1)</f>
        <v/>
      </c>
      <c r="AN108" s="70" t="str">
        <f>IF($B108="","",TEXT(B108,"YYYY-MM-DD"))</f>
        <v/>
      </c>
      <c r="AO108" s="2" t="str">
        <f>IF($B108="","",IF(E108="오전", "0800", IF(E108="오후", "1300", IF(E108="잔업", "1800", ""))))</f>
        <v/>
      </c>
      <c r="AP108" s="2" t="str">
        <f>IF($B108="","",IF(C108="","",VLOOKUP(C108,GLAPS정리!$AX$2:$AZ$17,3,0)))</f>
        <v/>
      </c>
      <c r="AR108" s="2" t="str">
        <f>IF($B108="","",IF(X108="","",X108))</f>
        <v/>
      </c>
      <c r="AX108" s="2" t="str">
        <f>IF($B108="","",IF(L108="","",VLOOKUP(L108,GLAPS정리!$V$3:$W$180,2,0)))</f>
        <v/>
      </c>
      <c r="BM108" s="2" t="str">
        <f>IF($B108="","",IF(AND(Q108=1,OR(P108="",P108="위험물")), "2210", IF(AND(Q108=1,OR(P108="리퍼",P108="위험물리퍼")), "2230", IF(AND(S108=1,OR(P108="",P108="위험물")), "4510", IF(AND(S108=1,OR(P108="리퍼",P108="위험물리퍼")), "4530", IF(AND(R108=1,OR(P108="",P108="위험물")), "4210", IF(AND(R108=1,P108="리퍼"), "4230", " ")))))))</f>
        <v/>
      </c>
      <c r="BN108" s="2" t="str">
        <f>IF($B108="","",$BN$1)</f>
        <v/>
      </c>
      <c r="BR108" s="2" t="str">
        <f>IF($B108="","",IF(OR(P108="리퍼",P108="위험물리퍼"),"Y",""))</f>
        <v/>
      </c>
      <c r="BS108" s="2" t="str">
        <f>IF($B108="","",IF(OR(P108="위험물",P108="위험물리퍼"),"Y",""))</f>
        <v/>
      </c>
      <c r="BV108" s="2" t="str">
        <f>IF($B108="","",IF(O108="","",VLOOKUP(O108,GLAPS정리!$BH$2:$BI$94,2,0)))</f>
        <v/>
      </c>
      <c r="BW108" s="2" t="str">
        <f>IF($B108="","",IF(OR(Z108="동원",Z108="세방",Z108="한타"),"",IFERROR(INDEX(GLAPS정리!$BI$2:$BI$101,MATCH(Z108,GLAPS정리!$BH$2:$BH$101,0)),"")))</f>
        <v/>
      </c>
      <c r="BX108" s="2" t="str">
        <f>IF($B108="","",IF(Z108="","",IFERROR(VLOOKUP(Z108,GLAPS정리!$AX$2:$AZ$17,3,0),"")))</f>
        <v/>
      </c>
      <c r="BZ108" s="2" t="str">
        <f>IF($B108="","",IF(H108="","",VLOOKUP(H108,GLAPS정리!$L$3:$O$133,2,0)))</f>
        <v/>
      </c>
      <c r="CA108" s="2" t="str">
        <f>IF($B108="","",IF(V108="공휴일", 10, IF(V108="야간", 20, IF(V108="위험물", 30, IF(V108="중량", 40, "")))))</f>
        <v/>
      </c>
      <c r="CL108" s="2" t="str">
        <f>IF($B108="","",IF(AI108="","",VLOOKUP(AI108,GLAPS정리!$BT$3:$BV$26,3,0)))</f>
        <v/>
      </c>
    </row>
    <row r="109" spans="2:90" ht="20.45" customHeight="1">
      <c r="B109" s="13" t="str">
        <f>IF(GLAPS자동계산!C108="","",GLAPS자동계산!C108)</f>
        <v/>
      </c>
      <c r="C109" s="3" t="str">
        <f>IF(GLAPS자동계산!D108="","",GLAPS자동계산!D108)</f>
        <v/>
      </c>
      <c r="D109" s="16" t="str">
        <f>IF(GLAPS자동계산!E108="","",GLAPS자동계산!E108)</f>
        <v/>
      </c>
      <c r="E109" s="11" t="str">
        <f>IF(GLAPS자동계산!F108="","",GLAPS자동계산!F108)</f>
        <v/>
      </c>
      <c r="F109" s="3" t="str">
        <f>IF(GLAPS자동계산!G108="","",GLAPS자동계산!G108)</f>
        <v/>
      </c>
      <c r="G109" s="3" t="str">
        <f>IF(GLAPS자동계산!H108="","",GLAPS자동계산!H108)</f>
        <v/>
      </c>
      <c r="H109" s="3" t="str">
        <f>IF(GLAPS자동계산!I108="","",GLAPS자동계산!I108)</f>
        <v/>
      </c>
      <c r="I109" s="3" t="str">
        <f>IF(GLAPS자동계산!J108="","",GLAPS자동계산!J108)</f>
        <v/>
      </c>
      <c r="J109" s="3" t="str">
        <f>IF(GLAPS자동계산!K108="","",GLAPS자동계산!K108)</f>
        <v/>
      </c>
      <c r="K109" s="3" t="str">
        <f>IF(GLAPS자동계산!L108="","",GLAPS자동계산!L108)</f>
        <v/>
      </c>
      <c r="L109" s="3" t="str">
        <f>IF(GLAPS자동계산!M108="","",GLAPS자동계산!M108)</f>
        <v/>
      </c>
      <c r="M109" s="3" t="str">
        <f>IF(GLAPS자동계산!N108="","",GLAPS자동계산!N108)</f>
        <v/>
      </c>
      <c r="N109" s="3" t="str">
        <f>IF(GLAPS자동계산!O108="","",GLAPS자동계산!O108)</f>
        <v/>
      </c>
      <c r="O109" s="3" t="str">
        <f>IF(GLAPS자동계산!P108="","",GLAPS자동계산!P108)</f>
        <v/>
      </c>
      <c r="P109" s="2" t="str">
        <f>IF(GLAPS자동계산!Q108="","",GLAPS자동계산!Q108)</f>
        <v/>
      </c>
      <c r="Q109" s="3" t="str">
        <f>IF(GLAPS자동계산!R108="","",GLAPS자동계산!R108)</f>
        <v/>
      </c>
      <c r="R109" s="3" t="str">
        <f>IF(GLAPS자동계산!S108="","",GLAPS자동계산!S108)</f>
        <v/>
      </c>
      <c r="S109" s="3" t="str">
        <f>IF(GLAPS자동계산!T108="","",GLAPS자동계산!T108)</f>
        <v/>
      </c>
      <c r="T109" s="3" t="str">
        <f>IF(GLAPS자동계산!U108="","",GLAPS자동계산!U108)</f>
        <v/>
      </c>
      <c r="U109" s="3" t="str">
        <f>IF(GLAPS자동계산!V108="","",GLAPS자동계산!V108)</f>
        <v/>
      </c>
      <c r="V109" s="3" t="str">
        <f>IF(GLAPS자동계산!W108="","",GLAPS자동계산!W108)</f>
        <v/>
      </c>
      <c r="W109" s="14" t="str">
        <f>IF(GLAPS자동계산!X108="","",GLAPS자동계산!X108)</f>
        <v/>
      </c>
      <c r="X109" s="13" t="str">
        <f>IF(GLAPS자동계산!Y108="","",GLAPS자동계산!Y108)</f>
        <v/>
      </c>
      <c r="Y109" s="13" t="str">
        <f>IF(GLAPS자동계산!Z108="","",GLAPS자동계산!Z108)</f>
        <v/>
      </c>
      <c r="Z109" s="91" t="str">
        <f>IF(GLAPS자동계산!AA108="","",GLAPS자동계산!AA108)</f>
        <v/>
      </c>
      <c r="AA109" s="14" t="str">
        <f>IF(GLAPS자동계산!AB108="","",GLAPS자동계산!AB108)</f>
        <v/>
      </c>
      <c r="AC109" s="2" t="str">
        <f>IF($B109="","",$AC$1)</f>
        <v/>
      </c>
      <c r="AD109" s="2" t="str">
        <f>IF($B109="","",IFERROR(INDEX(GLAPS정리!$D$2:$D$50,MATCH(I109,GLAPS정리!$A$2:$A$50,0)),IFERROR(INDEX(GLAPS정리!$D$2:$D$50,MATCH(I109,GLAPS정리!$B$2:$B$50,0)),"")))</f>
        <v/>
      </c>
      <c r="AF109" s="2" t="str">
        <f>IF($B109="","",$AF$1)</f>
        <v/>
      </c>
      <c r="AI109" s="2" t="str">
        <f>IF($B109="","",IF(F109="","",VLOOKUP(F109,GLAPS정리!$G$3:$J$114,2,0)))</f>
        <v/>
      </c>
      <c r="AJ109" s="2" t="str">
        <f>IF($B109="","",IF(Z109="울산정일","KRONS",IF(Z109="울산신항","KRUSN",IF(OR(Z109="선광종합물류(인천여객)",Z109="인천여객(인천여객)"),"KRINF",IF(OR(Z109="선광인천보세(인천신)",Z109="한진인천(인천신)",Z109="선광인천신항(인천신)",Z109="인천더로지스(인천신)"),"KRINN",IF(OR(Z109="인천진아(인천항)",Z109="인천E1(인천항)",Z109="인천SM경인터미널(인천항)",Z109="인천항(인천항)",Z109="인천우련(인천항)",Z109="인천항8부두(인천항)"),"KRINC",VLOOKUP(K109,GLAPS정리!$BB$2:$BC$33,2,0)))))))</f>
        <v/>
      </c>
      <c r="AL109" s="2" t="str">
        <f>IF($B109="","",$AL$1)</f>
        <v/>
      </c>
      <c r="AN109" s="70" t="str">
        <f>IF($B109="","",TEXT(B109,"YYYY-MM-DD"))</f>
        <v/>
      </c>
      <c r="AO109" s="2" t="str">
        <f>IF($B109="","",IF(E109="오전", "0800", IF(E109="오후", "1300", IF(E109="잔업", "1800", ""))))</f>
        <v/>
      </c>
      <c r="AP109" s="2" t="str">
        <f>IF($B109="","",IF(C109="","",VLOOKUP(C109,GLAPS정리!$AX$2:$AZ$17,3,0)))</f>
        <v/>
      </c>
      <c r="AR109" s="2" t="str">
        <f>IF($B109="","",IF(X109="","",X109))</f>
        <v/>
      </c>
      <c r="AX109" s="2" t="str">
        <f>IF($B109="","",IF(L109="","",VLOOKUP(L109,GLAPS정리!$V$3:$W$180,2,0)))</f>
        <v/>
      </c>
      <c r="BM109" s="2" t="str">
        <f>IF($B109="","",IF(AND(Q109=1,OR(P109="",P109="위험물")), "2210", IF(AND(Q109=1,OR(P109="리퍼",P109="위험물리퍼")), "2230", IF(AND(S109=1,OR(P109="",P109="위험물")), "4510", IF(AND(S109=1,OR(P109="리퍼",P109="위험물리퍼")), "4530", IF(AND(R109=1,OR(P109="",P109="위험물")), "4210", IF(AND(R109=1,P109="리퍼"), "4230", " ")))))))</f>
        <v/>
      </c>
      <c r="BN109" s="2" t="str">
        <f>IF($B109="","",$BN$1)</f>
        <v/>
      </c>
      <c r="BR109" s="2" t="str">
        <f>IF($B109="","",IF(OR(P109="리퍼",P109="위험물리퍼"),"Y",""))</f>
        <v/>
      </c>
      <c r="BS109" s="2" t="str">
        <f>IF($B109="","",IF(OR(P109="위험물",P109="위험물리퍼"),"Y",""))</f>
        <v/>
      </c>
      <c r="BV109" s="2" t="str">
        <f>IF($B109="","",IF(O109="","",VLOOKUP(O109,GLAPS정리!$BH$2:$BI$94,2,0)))</f>
        <v/>
      </c>
      <c r="BW109" s="2" t="str">
        <f>IF($B109="","",IF(OR(Z109="동원",Z109="세방",Z109="한타"),"",IFERROR(INDEX(GLAPS정리!$BI$2:$BI$101,MATCH(Z109,GLAPS정리!$BH$2:$BH$101,0)),"")))</f>
        <v/>
      </c>
      <c r="BX109" s="2" t="str">
        <f>IF($B109="","",IF(Z109="","",IFERROR(VLOOKUP(Z109,GLAPS정리!$AX$2:$AZ$17,3,0),"")))</f>
        <v/>
      </c>
      <c r="BZ109" s="2" t="str">
        <f>IF($B109="","",IF(H109="","",VLOOKUP(H109,GLAPS정리!$L$3:$O$133,2,0)))</f>
        <v/>
      </c>
      <c r="CA109" s="2" t="str">
        <f>IF($B109="","",IF(V109="공휴일", 10, IF(V109="야간", 20, IF(V109="위험물", 30, IF(V109="중량", 40, "")))))</f>
        <v/>
      </c>
      <c r="CL109" s="2" t="str">
        <f>IF($B109="","",IF(AI109="","",VLOOKUP(AI109,GLAPS정리!$BT$3:$BV$26,3,0)))</f>
        <v/>
      </c>
    </row>
    <row r="110" spans="2:90" ht="20.45" customHeight="1">
      <c r="B110" s="13" t="str">
        <f>IF(GLAPS자동계산!C109="","",GLAPS자동계산!C109)</f>
        <v/>
      </c>
      <c r="C110" s="3" t="str">
        <f>IF(GLAPS자동계산!D109="","",GLAPS자동계산!D109)</f>
        <v/>
      </c>
      <c r="D110" s="16" t="str">
        <f>IF(GLAPS자동계산!E109="","",GLAPS자동계산!E109)</f>
        <v/>
      </c>
      <c r="E110" s="11" t="str">
        <f>IF(GLAPS자동계산!F109="","",GLAPS자동계산!F109)</f>
        <v/>
      </c>
      <c r="F110" s="3" t="str">
        <f>IF(GLAPS자동계산!G109="","",GLAPS자동계산!G109)</f>
        <v/>
      </c>
      <c r="G110" s="3" t="str">
        <f>IF(GLAPS자동계산!H109="","",GLAPS자동계산!H109)</f>
        <v/>
      </c>
      <c r="H110" s="3" t="str">
        <f>IF(GLAPS자동계산!I109="","",GLAPS자동계산!I109)</f>
        <v/>
      </c>
      <c r="I110" s="3" t="str">
        <f>IF(GLAPS자동계산!J109="","",GLAPS자동계산!J109)</f>
        <v/>
      </c>
      <c r="J110" s="3" t="str">
        <f>IF(GLAPS자동계산!K109="","",GLAPS자동계산!K109)</f>
        <v/>
      </c>
      <c r="K110" s="3" t="str">
        <f>IF(GLAPS자동계산!L109="","",GLAPS자동계산!L109)</f>
        <v/>
      </c>
      <c r="L110" s="3" t="str">
        <f>IF(GLAPS자동계산!M109="","",GLAPS자동계산!M109)</f>
        <v/>
      </c>
      <c r="M110" s="3" t="str">
        <f>IF(GLAPS자동계산!N109="","",GLAPS자동계산!N109)</f>
        <v/>
      </c>
      <c r="N110" s="3" t="str">
        <f>IF(GLAPS자동계산!O109="","",GLAPS자동계산!O109)</f>
        <v/>
      </c>
      <c r="O110" s="3" t="str">
        <f>IF(GLAPS자동계산!P109="","",GLAPS자동계산!P109)</f>
        <v/>
      </c>
      <c r="P110" s="2" t="str">
        <f>IF(GLAPS자동계산!Q109="","",GLAPS자동계산!Q109)</f>
        <v/>
      </c>
      <c r="Q110" s="3" t="str">
        <f>IF(GLAPS자동계산!R109="","",GLAPS자동계산!R109)</f>
        <v/>
      </c>
      <c r="R110" s="3" t="str">
        <f>IF(GLAPS자동계산!S109="","",GLAPS자동계산!S109)</f>
        <v/>
      </c>
      <c r="S110" s="3" t="str">
        <f>IF(GLAPS자동계산!T109="","",GLAPS자동계산!T109)</f>
        <v/>
      </c>
      <c r="T110" s="3" t="str">
        <f>IF(GLAPS자동계산!U109="","",GLAPS자동계산!U109)</f>
        <v/>
      </c>
      <c r="U110" s="3" t="str">
        <f>IF(GLAPS자동계산!V109="","",GLAPS자동계산!V109)</f>
        <v/>
      </c>
      <c r="V110" s="3" t="str">
        <f>IF(GLAPS자동계산!W109="","",GLAPS자동계산!W109)</f>
        <v/>
      </c>
      <c r="W110" s="14" t="str">
        <f>IF(GLAPS자동계산!X109="","",GLAPS자동계산!X109)</f>
        <v/>
      </c>
      <c r="X110" s="13" t="str">
        <f>IF(GLAPS자동계산!Y109="","",GLAPS자동계산!Y109)</f>
        <v/>
      </c>
      <c r="Y110" s="13" t="str">
        <f>IF(GLAPS자동계산!Z109="","",GLAPS자동계산!Z109)</f>
        <v/>
      </c>
      <c r="Z110" s="91" t="str">
        <f>IF(GLAPS자동계산!AA109="","",GLAPS자동계산!AA109)</f>
        <v/>
      </c>
      <c r="AA110" s="14" t="str">
        <f>IF(GLAPS자동계산!AB109="","",GLAPS자동계산!AB109)</f>
        <v/>
      </c>
      <c r="AC110" s="2" t="str">
        <f>IF($B110="","",$AC$1)</f>
        <v/>
      </c>
      <c r="AD110" s="2" t="str">
        <f>IF($B110="","",IFERROR(INDEX(GLAPS정리!$D$2:$D$50,MATCH(I110,GLAPS정리!$A$2:$A$50,0)),IFERROR(INDEX(GLAPS정리!$D$2:$D$50,MATCH(I110,GLAPS정리!$B$2:$B$50,0)),"")))</f>
        <v/>
      </c>
      <c r="AF110" s="2" t="str">
        <f>IF($B110="","",$AF$1)</f>
        <v/>
      </c>
      <c r="AI110" s="2" t="str">
        <f>IF($B110="","",IF(F110="","",VLOOKUP(F110,GLAPS정리!$G$3:$J$114,2,0)))</f>
        <v/>
      </c>
      <c r="AJ110" s="2" t="str">
        <f>IF($B110="","",IF(Z110="울산정일","KRONS",IF(Z110="울산신항","KRUSN",IF(OR(Z110="선광종합물류(인천여객)",Z110="인천여객(인천여객)"),"KRINF",IF(OR(Z110="선광인천보세(인천신)",Z110="한진인천(인천신)",Z110="선광인천신항(인천신)",Z110="인천더로지스(인천신)"),"KRINN",IF(OR(Z110="인천진아(인천항)",Z110="인천E1(인천항)",Z110="인천SM경인터미널(인천항)",Z110="인천항(인천항)",Z110="인천우련(인천항)",Z110="인천항8부두(인천항)"),"KRINC",VLOOKUP(K110,GLAPS정리!$BB$2:$BC$33,2,0)))))))</f>
        <v/>
      </c>
      <c r="AL110" s="2" t="str">
        <f>IF($B110="","",$AL$1)</f>
        <v/>
      </c>
      <c r="AN110" s="70" t="str">
        <f>IF($B110="","",TEXT(B110,"YYYY-MM-DD"))</f>
        <v/>
      </c>
      <c r="AO110" s="2" t="str">
        <f>IF($B110="","",IF(E110="오전", "0800", IF(E110="오후", "1300", IF(E110="잔업", "1800", ""))))</f>
        <v/>
      </c>
      <c r="AP110" s="2" t="str">
        <f>IF($B110="","",IF(C110="","",VLOOKUP(C110,GLAPS정리!$AX$2:$AZ$17,3,0)))</f>
        <v/>
      </c>
      <c r="AR110" s="2" t="str">
        <f>IF($B110="","",IF(X110="","",X110))</f>
        <v/>
      </c>
      <c r="AX110" s="2" t="str">
        <f>IF($B110="","",IF(L110="","",VLOOKUP(L110,GLAPS정리!$V$3:$W$180,2,0)))</f>
        <v/>
      </c>
      <c r="BM110" s="2" t="str">
        <f>IF($B110="","",IF(AND(Q110=1,OR(P110="",P110="위험물")), "2210", IF(AND(Q110=1,OR(P110="리퍼",P110="위험물리퍼")), "2230", IF(AND(S110=1,OR(P110="",P110="위험물")), "4510", IF(AND(S110=1,OR(P110="리퍼",P110="위험물리퍼")), "4530", IF(AND(R110=1,OR(P110="",P110="위험물")), "4210", IF(AND(R110=1,P110="리퍼"), "4230", " ")))))))</f>
        <v/>
      </c>
      <c r="BN110" s="2" t="str">
        <f>IF($B110="","",$BN$1)</f>
        <v/>
      </c>
      <c r="BR110" s="2" t="str">
        <f>IF($B110="","",IF(OR(P110="리퍼",P110="위험물리퍼"),"Y",""))</f>
        <v/>
      </c>
      <c r="BS110" s="2" t="str">
        <f>IF($B110="","",IF(OR(P110="위험물",P110="위험물리퍼"),"Y",""))</f>
        <v/>
      </c>
      <c r="BV110" s="2" t="str">
        <f>IF($B110="","",IF(O110="","",VLOOKUP(O110,GLAPS정리!$BH$2:$BI$94,2,0)))</f>
        <v/>
      </c>
      <c r="BW110" s="2" t="str">
        <f>IF($B110="","",IF(OR(Z110="동원",Z110="세방",Z110="한타"),"",IFERROR(INDEX(GLAPS정리!$BI$2:$BI$101,MATCH(Z110,GLAPS정리!$BH$2:$BH$101,0)),"")))</f>
        <v/>
      </c>
      <c r="BX110" s="2" t="str">
        <f>IF($B110="","",IF(Z110="","",IFERROR(VLOOKUP(Z110,GLAPS정리!$AX$2:$AZ$17,3,0),"")))</f>
        <v/>
      </c>
      <c r="BZ110" s="2" t="str">
        <f>IF($B110="","",IF(H110="","",VLOOKUP(H110,GLAPS정리!$L$3:$O$133,2,0)))</f>
        <v/>
      </c>
      <c r="CA110" s="2" t="str">
        <f>IF($B110="","",IF(V110="공휴일", 10, IF(V110="야간", 20, IF(V110="위험물", 30, IF(V110="중량", 40, "")))))</f>
        <v/>
      </c>
      <c r="CL110" s="2" t="str">
        <f>IF($B110="","",IF(AI110="","",VLOOKUP(AI110,GLAPS정리!$BT$3:$BV$26,3,0)))</f>
        <v/>
      </c>
    </row>
    <row r="111" spans="2:90" ht="20.45" customHeight="1">
      <c r="B111" s="13" t="str">
        <f>IF(GLAPS자동계산!C110="","",GLAPS자동계산!C110)</f>
        <v/>
      </c>
      <c r="C111" s="3" t="str">
        <f>IF(GLAPS자동계산!D110="","",GLAPS자동계산!D110)</f>
        <v/>
      </c>
      <c r="D111" s="16" t="str">
        <f>IF(GLAPS자동계산!E110="","",GLAPS자동계산!E110)</f>
        <v/>
      </c>
      <c r="E111" s="11" t="str">
        <f>IF(GLAPS자동계산!F110="","",GLAPS자동계산!F110)</f>
        <v/>
      </c>
      <c r="F111" s="3" t="str">
        <f>IF(GLAPS자동계산!G110="","",GLAPS자동계산!G110)</f>
        <v/>
      </c>
      <c r="G111" s="3" t="str">
        <f>IF(GLAPS자동계산!H110="","",GLAPS자동계산!H110)</f>
        <v/>
      </c>
      <c r="H111" s="3" t="str">
        <f>IF(GLAPS자동계산!I110="","",GLAPS자동계산!I110)</f>
        <v/>
      </c>
      <c r="I111" s="3" t="str">
        <f>IF(GLAPS자동계산!J110="","",GLAPS자동계산!J110)</f>
        <v/>
      </c>
      <c r="J111" s="3" t="str">
        <f>IF(GLAPS자동계산!K110="","",GLAPS자동계산!K110)</f>
        <v/>
      </c>
      <c r="K111" s="3" t="str">
        <f>IF(GLAPS자동계산!L110="","",GLAPS자동계산!L110)</f>
        <v/>
      </c>
      <c r="L111" s="3" t="str">
        <f>IF(GLAPS자동계산!M110="","",GLAPS자동계산!M110)</f>
        <v/>
      </c>
      <c r="M111" s="3" t="str">
        <f>IF(GLAPS자동계산!N110="","",GLAPS자동계산!N110)</f>
        <v/>
      </c>
      <c r="N111" s="3" t="str">
        <f>IF(GLAPS자동계산!O110="","",GLAPS자동계산!O110)</f>
        <v/>
      </c>
      <c r="O111" s="3" t="str">
        <f>IF(GLAPS자동계산!P110="","",GLAPS자동계산!P110)</f>
        <v/>
      </c>
      <c r="P111" s="2" t="str">
        <f>IF(GLAPS자동계산!Q110="","",GLAPS자동계산!Q110)</f>
        <v/>
      </c>
      <c r="Q111" s="3" t="str">
        <f>IF(GLAPS자동계산!R110="","",GLAPS자동계산!R110)</f>
        <v/>
      </c>
      <c r="R111" s="3" t="str">
        <f>IF(GLAPS자동계산!S110="","",GLAPS자동계산!S110)</f>
        <v/>
      </c>
      <c r="S111" s="3" t="str">
        <f>IF(GLAPS자동계산!T110="","",GLAPS자동계산!T110)</f>
        <v/>
      </c>
      <c r="T111" s="3" t="str">
        <f>IF(GLAPS자동계산!U110="","",GLAPS자동계산!U110)</f>
        <v/>
      </c>
      <c r="U111" s="3" t="str">
        <f>IF(GLAPS자동계산!V110="","",GLAPS자동계산!V110)</f>
        <v/>
      </c>
      <c r="V111" s="3" t="str">
        <f>IF(GLAPS자동계산!W110="","",GLAPS자동계산!W110)</f>
        <v/>
      </c>
      <c r="W111" s="14" t="str">
        <f>IF(GLAPS자동계산!X110="","",GLAPS자동계산!X110)</f>
        <v/>
      </c>
      <c r="X111" s="13" t="str">
        <f>IF(GLAPS자동계산!Y110="","",GLAPS자동계산!Y110)</f>
        <v/>
      </c>
      <c r="Y111" s="13" t="str">
        <f>IF(GLAPS자동계산!Z110="","",GLAPS자동계산!Z110)</f>
        <v/>
      </c>
      <c r="Z111" s="91" t="str">
        <f>IF(GLAPS자동계산!AA110="","",GLAPS자동계산!AA110)</f>
        <v/>
      </c>
      <c r="AA111" s="14" t="str">
        <f>IF(GLAPS자동계산!AB110="","",GLAPS자동계산!AB110)</f>
        <v/>
      </c>
      <c r="AC111" s="2" t="str">
        <f>IF($B111="","",$AC$1)</f>
        <v/>
      </c>
      <c r="AD111" s="2" t="str">
        <f>IF($B111="","",IFERROR(INDEX(GLAPS정리!$D$2:$D$50,MATCH(I111,GLAPS정리!$A$2:$A$50,0)),IFERROR(INDEX(GLAPS정리!$D$2:$D$50,MATCH(I111,GLAPS정리!$B$2:$B$50,0)),"")))</f>
        <v/>
      </c>
      <c r="AF111" s="2" t="str">
        <f>IF($B111="","",$AF$1)</f>
        <v/>
      </c>
      <c r="AI111" s="2" t="str">
        <f>IF($B111="","",IF(F111="","",VLOOKUP(F111,GLAPS정리!$G$3:$J$114,2,0)))</f>
        <v/>
      </c>
      <c r="AJ111" s="2" t="str">
        <f>IF($B111="","",IF(Z111="울산정일","KRONS",IF(Z111="울산신항","KRUSN",IF(OR(Z111="선광종합물류(인천여객)",Z111="인천여객(인천여객)"),"KRINF",IF(OR(Z111="선광인천보세(인천신)",Z111="한진인천(인천신)",Z111="선광인천신항(인천신)",Z111="인천더로지스(인천신)"),"KRINN",IF(OR(Z111="인천진아(인천항)",Z111="인천E1(인천항)",Z111="인천SM경인터미널(인천항)",Z111="인천항(인천항)",Z111="인천우련(인천항)",Z111="인천항8부두(인천항)"),"KRINC",VLOOKUP(K111,GLAPS정리!$BB$2:$BC$33,2,0)))))))</f>
        <v/>
      </c>
      <c r="AL111" s="2" t="str">
        <f>IF($B111="","",$AL$1)</f>
        <v/>
      </c>
      <c r="AN111" s="70" t="str">
        <f>IF($B111="","",TEXT(B111,"YYYY-MM-DD"))</f>
        <v/>
      </c>
      <c r="AO111" s="2" t="str">
        <f>IF($B111="","",IF(E111="오전", "0800", IF(E111="오후", "1300", IF(E111="잔업", "1800", ""))))</f>
        <v/>
      </c>
      <c r="AP111" s="2" t="str">
        <f>IF($B111="","",IF(C111="","",VLOOKUP(C111,GLAPS정리!$AX$2:$AZ$17,3,0)))</f>
        <v/>
      </c>
      <c r="AR111" s="2" t="str">
        <f>IF($B111="","",IF(X111="","",X111))</f>
        <v/>
      </c>
      <c r="AX111" s="2" t="str">
        <f>IF($B111="","",IF(L111="","",VLOOKUP(L111,GLAPS정리!$V$3:$W$180,2,0)))</f>
        <v/>
      </c>
      <c r="BM111" s="2" t="str">
        <f>IF($B111="","",IF(AND(Q111=1,OR(P111="",P111="위험물")), "2210", IF(AND(Q111=1,OR(P111="리퍼",P111="위험물리퍼")), "2230", IF(AND(S111=1,OR(P111="",P111="위험물")), "4510", IF(AND(S111=1,OR(P111="리퍼",P111="위험물리퍼")), "4530", IF(AND(R111=1,OR(P111="",P111="위험물")), "4210", IF(AND(R111=1,P111="리퍼"), "4230", " ")))))))</f>
        <v/>
      </c>
      <c r="BN111" s="2" t="str">
        <f>IF($B111="","",$BN$1)</f>
        <v/>
      </c>
      <c r="BR111" s="2" t="str">
        <f>IF($B111="","",IF(OR(P111="리퍼",P111="위험물리퍼"),"Y",""))</f>
        <v/>
      </c>
      <c r="BS111" s="2" t="str">
        <f>IF($B111="","",IF(OR(P111="위험물",P111="위험물리퍼"),"Y",""))</f>
        <v/>
      </c>
      <c r="BV111" s="2" t="str">
        <f>IF($B111="","",IF(O111="","",VLOOKUP(O111,GLAPS정리!$BH$2:$BI$94,2,0)))</f>
        <v/>
      </c>
      <c r="BW111" s="2" t="str">
        <f>IF($B111="","",IF(OR(Z111="동원",Z111="세방",Z111="한타"),"",IFERROR(INDEX(GLAPS정리!$BI$2:$BI$101,MATCH(Z111,GLAPS정리!$BH$2:$BH$101,0)),"")))</f>
        <v/>
      </c>
      <c r="BX111" s="2" t="str">
        <f>IF($B111="","",IF(Z111="","",IFERROR(VLOOKUP(Z111,GLAPS정리!$AX$2:$AZ$17,3,0),"")))</f>
        <v/>
      </c>
      <c r="BZ111" s="2" t="str">
        <f>IF($B111="","",IF(H111="","",VLOOKUP(H111,GLAPS정리!$L$3:$O$133,2,0)))</f>
        <v/>
      </c>
      <c r="CA111" s="2" t="str">
        <f>IF($B111="","",IF(V111="공휴일", 10, IF(V111="야간", 20, IF(V111="위험물", 30, IF(V111="중량", 40, "")))))</f>
        <v/>
      </c>
      <c r="CL111" s="2" t="str">
        <f>IF($B111="","",IF(AI111="","",VLOOKUP(AI111,GLAPS정리!$BT$3:$BV$26,3,0)))</f>
        <v/>
      </c>
    </row>
    <row r="112" spans="2:90" ht="20.45" customHeight="1">
      <c r="B112" s="13" t="str">
        <f>IF(GLAPS자동계산!C111="","",GLAPS자동계산!C111)</f>
        <v/>
      </c>
      <c r="C112" s="3" t="str">
        <f>IF(GLAPS자동계산!D111="","",GLAPS자동계산!D111)</f>
        <v/>
      </c>
      <c r="D112" s="16" t="str">
        <f>IF(GLAPS자동계산!E111="","",GLAPS자동계산!E111)</f>
        <v/>
      </c>
      <c r="E112" s="11" t="str">
        <f>IF(GLAPS자동계산!F111="","",GLAPS자동계산!F111)</f>
        <v/>
      </c>
      <c r="F112" s="3" t="str">
        <f>IF(GLAPS자동계산!G111="","",GLAPS자동계산!G111)</f>
        <v/>
      </c>
      <c r="G112" s="3" t="str">
        <f>IF(GLAPS자동계산!H111="","",GLAPS자동계산!H111)</f>
        <v/>
      </c>
      <c r="H112" s="3" t="str">
        <f>IF(GLAPS자동계산!I111="","",GLAPS자동계산!I111)</f>
        <v/>
      </c>
      <c r="I112" s="3" t="str">
        <f>IF(GLAPS자동계산!J111="","",GLAPS자동계산!J111)</f>
        <v/>
      </c>
      <c r="J112" s="3" t="str">
        <f>IF(GLAPS자동계산!K111="","",GLAPS자동계산!K111)</f>
        <v/>
      </c>
      <c r="K112" s="3" t="str">
        <f>IF(GLAPS자동계산!L111="","",GLAPS자동계산!L111)</f>
        <v/>
      </c>
      <c r="L112" s="3" t="str">
        <f>IF(GLAPS자동계산!M111="","",GLAPS자동계산!M111)</f>
        <v/>
      </c>
      <c r="M112" s="3" t="str">
        <f>IF(GLAPS자동계산!N111="","",GLAPS자동계산!N111)</f>
        <v/>
      </c>
      <c r="N112" s="3" t="str">
        <f>IF(GLAPS자동계산!O111="","",GLAPS자동계산!O111)</f>
        <v/>
      </c>
      <c r="O112" s="3" t="str">
        <f>IF(GLAPS자동계산!P111="","",GLAPS자동계산!P111)</f>
        <v/>
      </c>
      <c r="P112" s="2" t="str">
        <f>IF(GLAPS자동계산!Q111="","",GLAPS자동계산!Q111)</f>
        <v/>
      </c>
      <c r="Q112" s="3" t="str">
        <f>IF(GLAPS자동계산!R111="","",GLAPS자동계산!R111)</f>
        <v/>
      </c>
      <c r="R112" s="3" t="str">
        <f>IF(GLAPS자동계산!S111="","",GLAPS자동계산!S111)</f>
        <v/>
      </c>
      <c r="S112" s="3" t="str">
        <f>IF(GLAPS자동계산!T111="","",GLAPS자동계산!T111)</f>
        <v/>
      </c>
      <c r="T112" s="3" t="str">
        <f>IF(GLAPS자동계산!U111="","",GLAPS자동계산!U111)</f>
        <v/>
      </c>
      <c r="U112" s="3" t="str">
        <f>IF(GLAPS자동계산!V111="","",GLAPS자동계산!V111)</f>
        <v/>
      </c>
      <c r="V112" s="3" t="str">
        <f>IF(GLAPS자동계산!W111="","",GLAPS자동계산!W111)</f>
        <v/>
      </c>
      <c r="W112" s="14" t="str">
        <f>IF(GLAPS자동계산!X111="","",GLAPS자동계산!X111)</f>
        <v/>
      </c>
      <c r="X112" s="13" t="str">
        <f>IF(GLAPS자동계산!Y111="","",GLAPS자동계산!Y111)</f>
        <v/>
      </c>
      <c r="Y112" s="13" t="str">
        <f>IF(GLAPS자동계산!Z111="","",GLAPS자동계산!Z111)</f>
        <v/>
      </c>
      <c r="Z112" s="91" t="str">
        <f>IF(GLAPS자동계산!AA111="","",GLAPS자동계산!AA111)</f>
        <v/>
      </c>
      <c r="AA112" s="14" t="str">
        <f>IF(GLAPS자동계산!AB111="","",GLAPS자동계산!AB111)</f>
        <v/>
      </c>
      <c r="AC112" s="2" t="str">
        <f>IF($B112="","",$AC$1)</f>
        <v/>
      </c>
      <c r="AD112" s="2" t="str">
        <f>IF($B112="","",IFERROR(INDEX(GLAPS정리!$D$2:$D$50,MATCH(I112,GLAPS정리!$A$2:$A$50,0)),IFERROR(INDEX(GLAPS정리!$D$2:$D$50,MATCH(I112,GLAPS정리!$B$2:$B$50,0)),"")))</f>
        <v/>
      </c>
      <c r="AF112" s="2" t="str">
        <f>IF($B112="","",$AF$1)</f>
        <v/>
      </c>
      <c r="AI112" s="2" t="str">
        <f>IF($B112="","",IF(F112="","",VLOOKUP(F112,GLAPS정리!$G$3:$J$114,2,0)))</f>
        <v/>
      </c>
      <c r="AJ112" s="2" t="str">
        <f>IF($B112="","",IF(Z112="울산정일","KRONS",IF(Z112="울산신항","KRUSN",IF(OR(Z112="선광종합물류(인천여객)",Z112="인천여객(인천여객)"),"KRINF",IF(OR(Z112="선광인천보세(인천신)",Z112="한진인천(인천신)",Z112="선광인천신항(인천신)",Z112="인천더로지스(인천신)"),"KRINN",IF(OR(Z112="인천진아(인천항)",Z112="인천E1(인천항)",Z112="인천SM경인터미널(인천항)",Z112="인천항(인천항)",Z112="인천우련(인천항)",Z112="인천항8부두(인천항)"),"KRINC",VLOOKUP(K112,GLAPS정리!$BB$2:$BC$33,2,0)))))))</f>
        <v/>
      </c>
      <c r="AL112" s="2" t="str">
        <f>IF($B112="","",$AL$1)</f>
        <v/>
      </c>
      <c r="AN112" s="70" t="str">
        <f>IF($B112="","",TEXT(B112,"YYYY-MM-DD"))</f>
        <v/>
      </c>
      <c r="AO112" s="2" t="str">
        <f>IF($B112="","",IF(E112="오전", "0800", IF(E112="오후", "1300", IF(E112="잔업", "1800", ""))))</f>
        <v/>
      </c>
      <c r="AP112" s="2" t="str">
        <f>IF($B112="","",IF(C112="","",VLOOKUP(C112,GLAPS정리!$AX$2:$AZ$17,3,0)))</f>
        <v/>
      </c>
      <c r="AR112" s="2" t="str">
        <f>IF($B112="","",IF(X112="","",X112))</f>
        <v/>
      </c>
      <c r="AX112" s="2" t="str">
        <f>IF($B112="","",IF(L112="","",VLOOKUP(L112,GLAPS정리!$V$3:$W$180,2,0)))</f>
        <v/>
      </c>
      <c r="BM112" s="2" t="str">
        <f>IF($B112="","",IF(AND(Q112=1,OR(P112="",P112="위험물")), "2210", IF(AND(Q112=1,OR(P112="리퍼",P112="위험물리퍼")), "2230", IF(AND(S112=1,OR(P112="",P112="위험물")), "4510", IF(AND(S112=1,OR(P112="리퍼",P112="위험물리퍼")), "4530", IF(AND(R112=1,OR(P112="",P112="위험물")), "4210", IF(AND(R112=1,P112="리퍼"), "4230", " ")))))))</f>
        <v/>
      </c>
      <c r="BN112" s="2" t="str">
        <f>IF($B112="","",$BN$1)</f>
        <v/>
      </c>
      <c r="BR112" s="2" t="str">
        <f>IF($B112="","",IF(OR(P112="리퍼",P112="위험물리퍼"),"Y",""))</f>
        <v/>
      </c>
      <c r="BS112" s="2" t="str">
        <f>IF($B112="","",IF(OR(P112="위험물",P112="위험물리퍼"),"Y",""))</f>
        <v/>
      </c>
      <c r="BV112" s="2" t="str">
        <f>IF($B112="","",IF(O112="","",VLOOKUP(O112,GLAPS정리!$BH$2:$BI$94,2,0)))</f>
        <v/>
      </c>
      <c r="BW112" s="2" t="str">
        <f>IF($B112="","",IF(OR(Z112="동원",Z112="세방",Z112="한타"),"",IFERROR(INDEX(GLAPS정리!$BI$2:$BI$101,MATCH(Z112,GLAPS정리!$BH$2:$BH$101,0)),"")))</f>
        <v/>
      </c>
      <c r="BX112" s="2" t="str">
        <f>IF($B112="","",IF(Z112="","",IFERROR(VLOOKUP(Z112,GLAPS정리!$AX$2:$AZ$17,3,0),"")))</f>
        <v/>
      </c>
      <c r="BZ112" s="2" t="str">
        <f>IF($B112="","",IF(H112="","",VLOOKUP(H112,GLAPS정리!$L$3:$O$133,2,0)))</f>
        <v/>
      </c>
      <c r="CA112" s="2" t="str">
        <f>IF($B112="","",IF(V112="공휴일", 10, IF(V112="야간", 20, IF(V112="위험물", 30, IF(V112="중량", 40, "")))))</f>
        <v/>
      </c>
      <c r="CL112" s="2" t="str">
        <f>IF($B112="","",IF(AI112="","",VLOOKUP(AI112,GLAPS정리!$BT$3:$BV$26,3,0)))</f>
        <v/>
      </c>
    </row>
    <row r="113" spans="2:90" ht="20.45" customHeight="1">
      <c r="B113" s="13" t="str">
        <f>IF(GLAPS자동계산!C112="","",GLAPS자동계산!C112)</f>
        <v/>
      </c>
      <c r="C113" s="3" t="str">
        <f>IF(GLAPS자동계산!D112="","",GLAPS자동계산!D112)</f>
        <v/>
      </c>
      <c r="D113" s="16" t="str">
        <f>IF(GLAPS자동계산!E112="","",GLAPS자동계산!E112)</f>
        <v/>
      </c>
      <c r="E113" s="11" t="str">
        <f>IF(GLAPS자동계산!F112="","",GLAPS자동계산!F112)</f>
        <v/>
      </c>
      <c r="F113" s="3" t="str">
        <f>IF(GLAPS자동계산!G112="","",GLAPS자동계산!G112)</f>
        <v/>
      </c>
      <c r="G113" s="3" t="str">
        <f>IF(GLAPS자동계산!H112="","",GLAPS자동계산!H112)</f>
        <v/>
      </c>
      <c r="H113" s="3" t="str">
        <f>IF(GLAPS자동계산!I112="","",GLAPS자동계산!I112)</f>
        <v/>
      </c>
      <c r="I113" s="3" t="str">
        <f>IF(GLAPS자동계산!J112="","",GLAPS자동계산!J112)</f>
        <v/>
      </c>
      <c r="J113" s="3" t="str">
        <f>IF(GLAPS자동계산!K112="","",GLAPS자동계산!K112)</f>
        <v/>
      </c>
      <c r="K113" s="3" t="str">
        <f>IF(GLAPS자동계산!L112="","",GLAPS자동계산!L112)</f>
        <v/>
      </c>
      <c r="L113" s="3" t="str">
        <f>IF(GLAPS자동계산!M112="","",GLAPS자동계산!M112)</f>
        <v/>
      </c>
      <c r="M113" s="3" t="str">
        <f>IF(GLAPS자동계산!N112="","",GLAPS자동계산!N112)</f>
        <v/>
      </c>
      <c r="N113" s="3" t="str">
        <f>IF(GLAPS자동계산!O112="","",GLAPS자동계산!O112)</f>
        <v/>
      </c>
      <c r="O113" s="3" t="str">
        <f>IF(GLAPS자동계산!P112="","",GLAPS자동계산!P112)</f>
        <v/>
      </c>
      <c r="P113" s="2" t="str">
        <f>IF(GLAPS자동계산!Q112="","",GLAPS자동계산!Q112)</f>
        <v/>
      </c>
      <c r="Q113" s="3" t="str">
        <f>IF(GLAPS자동계산!R112="","",GLAPS자동계산!R112)</f>
        <v/>
      </c>
      <c r="R113" s="3" t="str">
        <f>IF(GLAPS자동계산!S112="","",GLAPS자동계산!S112)</f>
        <v/>
      </c>
      <c r="S113" s="3" t="str">
        <f>IF(GLAPS자동계산!T112="","",GLAPS자동계산!T112)</f>
        <v/>
      </c>
      <c r="T113" s="3" t="str">
        <f>IF(GLAPS자동계산!U112="","",GLAPS자동계산!U112)</f>
        <v/>
      </c>
      <c r="U113" s="3" t="str">
        <f>IF(GLAPS자동계산!V112="","",GLAPS자동계산!V112)</f>
        <v/>
      </c>
      <c r="V113" s="3" t="str">
        <f>IF(GLAPS자동계산!W112="","",GLAPS자동계산!W112)</f>
        <v/>
      </c>
      <c r="W113" s="14" t="str">
        <f>IF(GLAPS자동계산!X112="","",GLAPS자동계산!X112)</f>
        <v/>
      </c>
      <c r="X113" s="13" t="str">
        <f>IF(GLAPS자동계산!Y112="","",GLAPS자동계산!Y112)</f>
        <v/>
      </c>
      <c r="Y113" s="13" t="str">
        <f>IF(GLAPS자동계산!Z112="","",GLAPS자동계산!Z112)</f>
        <v/>
      </c>
      <c r="Z113" s="91" t="str">
        <f>IF(GLAPS자동계산!AA112="","",GLAPS자동계산!AA112)</f>
        <v/>
      </c>
      <c r="AA113" s="14" t="str">
        <f>IF(GLAPS자동계산!AB112="","",GLAPS자동계산!AB112)</f>
        <v/>
      </c>
      <c r="AC113" s="2" t="str">
        <f>IF($B113="","",$AC$1)</f>
        <v/>
      </c>
      <c r="AD113" s="2" t="str">
        <f>IF($B113="","",IFERROR(INDEX(GLAPS정리!$D$2:$D$50,MATCH(I113,GLAPS정리!$A$2:$A$50,0)),IFERROR(INDEX(GLAPS정리!$D$2:$D$50,MATCH(I113,GLAPS정리!$B$2:$B$50,0)),"")))</f>
        <v/>
      </c>
      <c r="AF113" s="2" t="str">
        <f>IF($B113="","",$AF$1)</f>
        <v/>
      </c>
      <c r="AI113" s="2" t="str">
        <f>IF($B113="","",IF(F113="","",VLOOKUP(F113,GLAPS정리!$G$3:$J$114,2,0)))</f>
        <v/>
      </c>
      <c r="AJ113" s="2" t="str">
        <f>IF($B113="","",IF(Z113="울산정일","KRONS",IF(Z113="울산신항","KRUSN",IF(OR(Z113="선광종합물류(인천여객)",Z113="인천여객(인천여객)"),"KRINF",IF(OR(Z113="선광인천보세(인천신)",Z113="한진인천(인천신)",Z113="선광인천신항(인천신)",Z113="인천더로지스(인천신)"),"KRINN",IF(OR(Z113="인천진아(인천항)",Z113="인천E1(인천항)",Z113="인천SM경인터미널(인천항)",Z113="인천항(인천항)",Z113="인천우련(인천항)",Z113="인천항8부두(인천항)"),"KRINC",VLOOKUP(K113,GLAPS정리!$BB$2:$BC$33,2,0)))))))</f>
        <v/>
      </c>
      <c r="AL113" s="2" t="str">
        <f>IF($B113="","",$AL$1)</f>
        <v/>
      </c>
      <c r="AN113" s="70" t="str">
        <f>IF($B113="","",TEXT(B113,"YYYY-MM-DD"))</f>
        <v/>
      </c>
      <c r="AO113" s="2" t="str">
        <f>IF($B113="","",IF(E113="오전", "0800", IF(E113="오후", "1300", IF(E113="잔업", "1800", ""))))</f>
        <v/>
      </c>
      <c r="AP113" s="2" t="str">
        <f>IF($B113="","",IF(C113="","",VLOOKUP(C113,GLAPS정리!$AX$2:$AZ$17,3,0)))</f>
        <v/>
      </c>
      <c r="AR113" s="2" t="str">
        <f>IF($B113="","",IF(X113="","",X113))</f>
        <v/>
      </c>
      <c r="AX113" s="2" t="str">
        <f>IF($B113="","",IF(L113="","",VLOOKUP(L113,GLAPS정리!$V$3:$W$180,2,0)))</f>
        <v/>
      </c>
      <c r="BM113" s="2" t="str">
        <f>IF($B113="","",IF(AND(Q113=1,OR(P113="",P113="위험물")), "2210", IF(AND(Q113=1,OR(P113="리퍼",P113="위험물리퍼")), "2230", IF(AND(S113=1,OR(P113="",P113="위험물")), "4510", IF(AND(S113=1,OR(P113="리퍼",P113="위험물리퍼")), "4530", IF(AND(R113=1,OR(P113="",P113="위험물")), "4210", IF(AND(R113=1,P113="리퍼"), "4230", " ")))))))</f>
        <v/>
      </c>
      <c r="BN113" s="2" t="str">
        <f>IF($B113="","",$BN$1)</f>
        <v/>
      </c>
      <c r="BR113" s="2" t="str">
        <f>IF($B113="","",IF(OR(P113="리퍼",P113="위험물리퍼"),"Y",""))</f>
        <v/>
      </c>
      <c r="BS113" s="2" t="str">
        <f>IF($B113="","",IF(OR(P113="위험물",P113="위험물리퍼"),"Y",""))</f>
        <v/>
      </c>
      <c r="BV113" s="2" t="str">
        <f>IF($B113="","",IF(O113="","",VLOOKUP(O113,GLAPS정리!$BH$2:$BI$94,2,0)))</f>
        <v/>
      </c>
      <c r="BW113" s="2" t="str">
        <f>IF($B113="","",IF(OR(Z113="동원",Z113="세방",Z113="한타"),"",IFERROR(INDEX(GLAPS정리!$BI$2:$BI$101,MATCH(Z113,GLAPS정리!$BH$2:$BH$101,0)),"")))</f>
        <v/>
      </c>
      <c r="BX113" s="2" t="str">
        <f>IF($B113="","",IF(Z113="","",IFERROR(VLOOKUP(Z113,GLAPS정리!$AX$2:$AZ$17,3,0),"")))</f>
        <v/>
      </c>
      <c r="BZ113" s="2" t="str">
        <f>IF($B113="","",IF(H113="","",VLOOKUP(H113,GLAPS정리!$L$3:$O$133,2,0)))</f>
        <v/>
      </c>
      <c r="CA113" s="2" t="str">
        <f>IF($B113="","",IF(V113="공휴일", 10, IF(V113="야간", 20, IF(V113="위험물", 30, IF(V113="중량", 40, "")))))</f>
        <v/>
      </c>
      <c r="CL113" s="2" t="str">
        <f>IF($B113="","",IF(AI113="","",VLOOKUP(AI113,GLAPS정리!$BT$3:$BV$26,3,0)))</f>
        <v/>
      </c>
    </row>
    <row r="114" spans="2:90" ht="20.45" customHeight="1">
      <c r="B114" s="13" t="str">
        <f>IF(GLAPS자동계산!C113="","",GLAPS자동계산!C113)</f>
        <v/>
      </c>
      <c r="C114" s="3" t="str">
        <f>IF(GLAPS자동계산!D113="","",GLAPS자동계산!D113)</f>
        <v/>
      </c>
      <c r="D114" s="16" t="str">
        <f>IF(GLAPS자동계산!E113="","",GLAPS자동계산!E113)</f>
        <v/>
      </c>
      <c r="E114" s="11" t="str">
        <f>IF(GLAPS자동계산!F113="","",GLAPS자동계산!F113)</f>
        <v/>
      </c>
      <c r="F114" s="3" t="str">
        <f>IF(GLAPS자동계산!G113="","",GLAPS자동계산!G113)</f>
        <v/>
      </c>
      <c r="G114" s="3" t="str">
        <f>IF(GLAPS자동계산!H113="","",GLAPS자동계산!H113)</f>
        <v/>
      </c>
      <c r="H114" s="3" t="str">
        <f>IF(GLAPS자동계산!I113="","",GLAPS자동계산!I113)</f>
        <v/>
      </c>
      <c r="I114" s="3" t="str">
        <f>IF(GLAPS자동계산!J113="","",GLAPS자동계산!J113)</f>
        <v/>
      </c>
      <c r="J114" s="3" t="str">
        <f>IF(GLAPS자동계산!K113="","",GLAPS자동계산!K113)</f>
        <v/>
      </c>
      <c r="K114" s="3" t="str">
        <f>IF(GLAPS자동계산!L113="","",GLAPS자동계산!L113)</f>
        <v/>
      </c>
      <c r="L114" s="3" t="str">
        <f>IF(GLAPS자동계산!M113="","",GLAPS자동계산!M113)</f>
        <v/>
      </c>
      <c r="M114" s="3" t="str">
        <f>IF(GLAPS자동계산!N113="","",GLAPS자동계산!N113)</f>
        <v/>
      </c>
      <c r="N114" s="3" t="str">
        <f>IF(GLAPS자동계산!O113="","",GLAPS자동계산!O113)</f>
        <v/>
      </c>
      <c r="O114" s="3" t="str">
        <f>IF(GLAPS자동계산!P113="","",GLAPS자동계산!P113)</f>
        <v/>
      </c>
      <c r="P114" s="2" t="str">
        <f>IF(GLAPS자동계산!Q113="","",GLAPS자동계산!Q113)</f>
        <v/>
      </c>
      <c r="Q114" s="3" t="str">
        <f>IF(GLAPS자동계산!R113="","",GLAPS자동계산!R113)</f>
        <v/>
      </c>
      <c r="R114" s="3" t="str">
        <f>IF(GLAPS자동계산!S113="","",GLAPS자동계산!S113)</f>
        <v/>
      </c>
      <c r="S114" s="3" t="str">
        <f>IF(GLAPS자동계산!T113="","",GLAPS자동계산!T113)</f>
        <v/>
      </c>
      <c r="T114" s="3" t="str">
        <f>IF(GLAPS자동계산!U113="","",GLAPS자동계산!U113)</f>
        <v/>
      </c>
      <c r="U114" s="3" t="str">
        <f>IF(GLAPS자동계산!V113="","",GLAPS자동계산!V113)</f>
        <v/>
      </c>
      <c r="V114" s="3" t="str">
        <f>IF(GLAPS자동계산!W113="","",GLAPS자동계산!W113)</f>
        <v/>
      </c>
      <c r="W114" s="14" t="str">
        <f>IF(GLAPS자동계산!X113="","",GLAPS자동계산!X113)</f>
        <v/>
      </c>
      <c r="X114" s="13" t="str">
        <f>IF(GLAPS자동계산!Y113="","",GLAPS자동계산!Y113)</f>
        <v/>
      </c>
      <c r="Y114" s="13" t="str">
        <f>IF(GLAPS자동계산!Z113="","",GLAPS자동계산!Z113)</f>
        <v/>
      </c>
      <c r="Z114" s="91" t="str">
        <f>IF(GLAPS자동계산!AA113="","",GLAPS자동계산!AA113)</f>
        <v/>
      </c>
      <c r="AA114" s="14" t="str">
        <f>IF(GLAPS자동계산!AB113="","",GLAPS자동계산!AB113)</f>
        <v/>
      </c>
      <c r="AC114" s="2" t="str">
        <f>IF($B114="","",$AC$1)</f>
        <v/>
      </c>
      <c r="AD114" s="2" t="str">
        <f>IF($B114="","",IFERROR(INDEX(GLAPS정리!$D$2:$D$50,MATCH(I114,GLAPS정리!$A$2:$A$50,0)),IFERROR(INDEX(GLAPS정리!$D$2:$D$50,MATCH(I114,GLAPS정리!$B$2:$B$50,0)),"")))</f>
        <v/>
      </c>
      <c r="AF114" s="2" t="str">
        <f>IF($B114="","",$AF$1)</f>
        <v/>
      </c>
      <c r="AI114" s="2" t="str">
        <f>IF($B114="","",IF(F114="","",VLOOKUP(F114,GLAPS정리!$G$3:$J$114,2,0)))</f>
        <v/>
      </c>
      <c r="AJ114" s="2" t="str">
        <f>IF($B114="","",IF(Z114="울산정일","KRONS",IF(Z114="울산신항","KRUSN",IF(OR(Z114="선광종합물류(인천여객)",Z114="인천여객(인천여객)"),"KRINF",IF(OR(Z114="선광인천보세(인천신)",Z114="한진인천(인천신)",Z114="선광인천신항(인천신)",Z114="인천더로지스(인천신)"),"KRINN",IF(OR(Z114="인천진아(인천항)",Z114="인천E1(인천항)",Z114="인천SM경인터미널(인천항)",Z114="인천항(인천항)",Z114="인천우련(인천항)",Z114="인천항8부두(인천항)"),"KRINC",VLOOKUP(K114,GLAPS정리!$BB$2:$BC$33,2,0)))))))</f>
        <v/>
      </c>
      <c r="AL114" s="2" t="str">
        <f>IF($B114="","",$AL$1)</f>
        <v/>
      </c>
      <c r="AN114" s="70" t="str">
        <f>IF($B114="","",TEXT(B114,"YYYY-MM-DD"))</f>
        <v/>
      </c>
      <c r="AO114" s="2" t="str">
        <f>IF($B114="","",IF(E114="오전", "0800", IF(E114="오후", "1300", IF(E114="잔업", "1800", ""))))</f>
        <v/>
      </c>
      <c r="AP114" s="2" t="str">
        <f>IF($B114="","",IF(C114="","",VLOOKUP(C114,GLAPS정리!$AX$2:$AZ$17,3,0)))</f>
        <v/>
      </c>
      <c r="AR114" s="2" t="str">
        <f>IF($B114="","",IF(X114="","",X114))</f>
        <v/>
      </c>
      <c r="AX114" s="2" t="str">
        <f>IF($B114="","",IF(L114="","",VLOOKUP(L114,GLAPS정리!$V$3:$W$180,2,0)))</f>
        <v/>
      </c>
      <c r="BM114" s="2" t="str">
        <f>IF($B114="","",IF(AND(Q114=1,OR(P114="",P114="위험물")), "2210", IF(AND(Q114=1,OR(P114="리퍼",P114="위험물리퍼")), "2230", IF(AND(S114=1,OR(P114="",P114="위험물")), "4510", IF(AND(S114=1,OR(P114="리퍼",P114="위험물리퍼")), "4530", IF(AND(R114=1,OR(P114="",P114="위험물")), "4210", IF(AND(R114=1,P114="리퍼"), "4230", " ")))))))</f>
        <v/>
      </c>
      <c r="BN114" s="2" t="str">
        <f>IF($B114="","",$BN$1)</f>
        <v/>
      </c>
      <c r="BR114" s="2" t="str">
        <f>IF($B114="","",IF(OR(P114="리퍼",P114="위험물리퍼"),"Y",""))</f>
        <v/>
      </c>
      <c r="BS114" s="2" t="str">
        <f>IF($B114="","",IF(OR(P114="위험물",P114="위험물리퍼"),"Y",""))</f>
        <v/>
      </c>
      <c r="BV114" s="2" t="str">
        <f>IF($B114="","",IF(O114="","",VLOOKUP(O114,GLAPS정리!$BH$2:$BI$94,2,0)))</f>
        <v/>
      </c>
      <c r="BW114" s="2" t="str">
        <f>IF($B114="","",IF(OR(Z114="동원",Z114="세방",Z114="한타"),"",IFERROR(INDEX(GLAPS정리!$BI$2:$BI$101,MATCH(Z114,GLAPS정리!$BH$2:$BH$101,0)),"")))</f>
        <v/>
      </c>
      <c r="BX114" s="2" t="str">
        <f>IF($B114="","",IF(Z114="","",IFERROR(VLOOKUP(Z114,GLAPS정리!$AX$2:$AZ$17,3,0),"")))</f>
        <v/>
      </c>
      <c r="BZ114" s="2" t="str">
        <f>IF($B114="","",IF(H114="","",VLOOKUP(H114,GLAPS정리!$L$3:$O$133,2,0)))</f>
        <v/>
      </c>
      <c r="CA114" s="2" t="str">
        <f>IF($B114="","",IF(V114="공휴일", 10, IF(V114="야간", 20, IF(V114="위험물", 30, IF(V114="중량", 40, "")))))</f>
        <v/>
      </c>
      <c r="CL114" s="2" t="str">
        <f>IF($B114="","",IF(AI114="","",VLOOKUP(AI114,GLAPS정리!$BT$3:$BV$26,3,0)))</f>
        <v/>
      </c>
    </row>
    <row r="115" spans="2:90" ht="20.45" customHeight="1">
      <c r="B115" s="13" t="str">
        <f>IF(GLAPS자동계산!C114="","",GLAPS자동계산!C114)</f>
        <v/>
      </c>
      <c r="C115" s="3" t="str">
        <f>IF(GLAPS자동계산!D114="","",GLAPS자동계산!D114)</f>
        <v/>
      </c>
      <c r="D115" s="16" t="str">
        <f>IF(GLAPS자동계산!E114="","",GLAPS자동계산!E114)</f>
        <v/>
      </c>
      <c r="E115" s="11" t="str">
        <f>IF(GLAPS자동계산!F114="","",GLAPS자동계산!F114)</f>
        <v/>
      </c>
      <c r="F115" s="3" t="str">
        <f>IF(GLAPS자동계산!G114="","",GLAPS자동계산!G114)</f>
        <v/>
      </c>
      <c r="G115" s="3" t="str">
        <f>IF(GLAPS자동계산!H114="","",GLAPS자동계산!H114)</f>
        <v/>
      </c>
      <c r="H115" s="3" t="str">
        <f>IF(GLAPS자동계산!I114="","",GLAPS자동계산!I114)</f>
        <v/>
      </c>
      <c r="I115" s="3" t="str">
        <f>IF(GLAPS자동계산!J114="","",GLAPS자동계산!J114)</f>
        <v/>
      </c>
      <c r="J115" s="3" t="str">
        <f>IF(GLAPS자동계산!K114="","",GLAPS자동계산!K114)</f>
        <v/>
      </c>
      <c r="K115" s="3" t="str">
        <f>IF(GLAPS자동계산!L114="","",GLAPS자동계산!L114)</f>
        <v/>
      </c>
      <c r="L115" s="3" t="str">
        <f>IF(GLAPS자동계산!M114="","",GLAPS자동계산!M114)</f>
        <v/>
      </c>
      <c r="M115" s="3" t="str">
        <f>IF(GLAPS자동계산!N114="","",GLAPS자동계산!N114)</f>
        <v/>
      </c>
      <c r="N115" s="3" t="str">
        <f>IF(GLAPS자동계산!O114="","",GLAPS자동계산!O114)</f>
        <v/>
      </c>
      <c r="O115" s="3" t="str">
        <f>IF(GLAPS자동계산!P114="","",GLAPS자동계산!P114)</f>
        <v/>
      </c>
      <c r="P115" s="2" t="str">
        <f>IF(GLAPS자동계산!Q114="","",GLAPS자동계산!Q114)</f>
        <v/>
      </c>
      <c r="Q115" s="3" t="str">
        <f>IF(GLAPS자동계산!R114="","",GLAPS자동계산!R114)</f>
        <v/>
      </c>
      <c r="R115" s="3" t="str">
        <f>IF(GLAPS자동계산!S114="","",GLAPS자동계산!S114)</f>
        <v/>
      </c>
      <c r="S115" s="3" t="str">
        <f>IF(GLAPS자동계산!T114="","",GLAPS자동계산!T114)</f>
        <v/>
      </c>
      <c r="T115" s="3" t="str">
        <f>IF(GLAPS자동계산!U114="","",GLAPS자동계산!U114)</f>
        <v/>
      </c>
      <c r="U115" s="3" t="str">
        <f>IF(GLAPS자동계산!V114="","",GLAPS자동계산!V114)</f>
        <v/>
      </c>
      <c r="V115" s="3" t="str">
        <f>IF(GLAPS자동계산!W114="","",GLAPS자동계산!W114)</f>
        <v/>
      </c>
      <c r="W115" s="14" t="str">
        <f>IF(GLAPS자동계산!X114="","",GLAPS자동계산!X114)</f>
        <v/>
      </c>
      <c r="X115" s="13" t="str">
        <f>IF(GLAPS자동계산!Y114="","",GLAPS자동계산!Y114)</f>
        <v/>
      </c>
      <c r="Y115" s="13" t="str">
        <f>IF(GLAPS자동계산!Z114="","",GLAPS자동계산!Z114)</f>
        <v/>
      </c>
      <c r="Z115" s="91" t="str">
        <f>IF(GLAPS자동계산!AA114="","",GLAPS자동계산!AA114)</f>
        <v/>
      </c>
      <c r="AA115" s="14" t="str">
        <f>IF(GLAPS자동계산!AB114="","",GLAPS자동계산!AB114)</f>
        <v/>
      </c>
      <c r="AC115" s="2" t="str">
        <f>IF($B115="","",$AC$1)</f>
        <v/>
      </c>
      <c r="AD115" s="2" t="str">
        <f>IF($B115="","",IFERROR(INDEX(GLAPS정리!$D$2:$D$50,MATCH(I115,GLAPS정리!$A$2:$A$50,0)),IFERROR(INDEX(GLAPS정리!$D$2:$D$50,MATCH(I115,GLAPS정리!$B$2:$B$50,0)),"")))</f>
        <v/>
      </c>
      <c r="AF115" s="2" t="str">
        <f>IF($B115="","",$AF$1)</f>
        <v/>
      </c>
      <c r="AI115" s="2" t="str">
        <f>IF($B115="","",IF(F115="","",VLOOKUP(F115,GLAPS정리!$G$3:$J$114,2,0)))</f>
        <v/>
      </c>
      <c r="AJ115" s="2" t="str">
        <f>IF($B115="","",IF(Z115="울산정일","KRONS",IF(Z115="울산신항","KRUSN",IF(OR(Z115="선광종합물류(인천여객)",Z115="인천여객(인천여객)"),"KRINF",IF(OR(Z115="선광인천보세(인천신)",Z115="한진인천(인천신)",Z115="선광인천신항(인천신)",Z115="인천더로지스(인천신)"),"KRINN",IF(OR(Z115="인천진아(인천항)",Z115="인천E1(인천항)",Z115="인천SM경인터미널(인천항)",Z115="인천항(인천항)",Z115="인천우련(인천항)",Z115="인천항8부두(인천항)"),"KRINC",VLOOKUP(K115,GLAPS정리!$BB$2:$BC$33,2,0)))))))</f>
        <v/>
      </c>
      <c r="AL115" s="2" t="str">
        <f>IF($B115="","",$AL$1)</f>
        <v/>
      </c>
      <c r="AN115" s="70" t="str">
        <f>IF($B115="","",TEXT(B115,"YYYY-MM-DD"))</f>
        <v/>
      </c>
      <c r="AO115" s="2" t="str">
        <f>IF($B115="","",IF(E115="오전", "0800", IF(E115="오후", "1300", IF(E115="잔업", "1800", ""))))</f>
        <v/>
      </c>
      <c r="AP115" s="2" t="str">
        <f>IF($B115="","",IF(C115="","",VLOOKUP(C115,GLAPS정리!$AX$2:$AZ$17,3,0)))</f>
        <v/>
      </c>
      <c r="AR115" s="2" t="str">
        <f>IF($B115="","",IF(X115="","",X115))</f>
        <v/>
      </c>
      <c r="AX115" s="2" t="str">
        <f>IF($B115="","",IF(L115="","",VLOOKUP(L115,GLAPS정리!$V$3:$W$180,2,0)))</f>
        <v/>
      </c>
      <c r="BM115" s="2" t="str">
        <f>IF($B115="","",IF(AND(Q115=1,OR(P115="",P115="위험물")), "2210", IF(AND(Q115=1,OR(P115="리퍼",P115="위험물리퍼")), "2230", IF(AND(S115=1,OR(P115="",P115="위험물")), "4510", IF(AND(S115=1,OR(P115="리퍼",P115="위험물리퍼")), "4530", IF(AND(R115=1,OR(P115="",P115="위험물")), "4210", IF(AND(R115=1,P115="리퍼"), "4230", " ")))))))</f>
        <v/>
      </c>
      <c r="BN115" s="2" t="str">
        <f>IF($B115="","",$BN$1)</f>
        <v/>
      </c>
      <c r="BR115" s="2" t="str">
        <f>IF($B115="","",IF(OR(P115="리퍼",P115="위험물리퍼"),"Y",""))</f>
        <v/>
      </c>
      <c r="BS115" s="2" t="str">
        <f>IF($B115="","",IF(OR(P115="위험물",P115="위험물리퍼"),"Y",""))</f>
        <v/>
      </c>
      <c r="BV115" s="2" t="str">
        <f>IF($B115="","",IF(O115="","",VLOOKUP(O115,GLAPS정리!$BH$2:$BI$94,2,0)))</f>
        <v/>
      </c>
      <c r="BW115" s="2" t="str">
        <f>IF($B115="","",IF(OR(Z115="동원",Z115="세방",Z115="한타"),"",IFERROR(INDEX(GLAPS정리!$BI$2:$BI$101,MATCH(Z115,GLAPS정리!$BH$2:$BH$101,0)),"")))</f>
        <v/>
      </c>
      <c r="BX115" s="2" t="str">
        <f>IF($B115="","",IF(Z115="","",IFERROR(VLOOKUP(Z115,GLAPS정리!$AX$2:$AZ$17,3,0),"")))</f>
        <v/>
      </c>
      <c r="BZ115" s="2" t="str">
        <f>IF($B115="","",IF(H115="","",VLOOKUP(H115,GLAPS정리!$L$3:$O$133,2,0)))</f>
        <v/>
      </c>
      <c r="CA115" s="2" t="str">
        <f>IF($B115="","",IF(V115="공휴일", 10, IF(V115="야간", 20, IF(V115="위험물", 30, IF(V115="중량", 40, "")))))</f>
        <v/>
      </c>
      <c r="CL115" s="2" t="str">
        <f>IF($B115="","",IF(AI115="","",VLOOKUP(AI115,GLAPS정리!$BT$3:$BV$26,3,0)))</f>
        <v/>
      </c>
    </row>
    <row r="116" spans="2:90" ht="20.45" customHeight="1">
      <c r="B116" s="13" t="str">
        <f>IF(GLAPS자동계산!C115="","",GLAPS자동계산!C115)</f>
        <v/>
      </c>
      <c r="C116" s="3" t="str">
        <f>IF(GLAPS자동계산!D115="","",GLAPS자동계산!D115)</f>
        <v/>
      </c>
      <c r="D116" s="16" t="str">
        <f>IF(GLAPS자동계산!E115="","",GLAPS자동계산!E115)</f>
        <v/>
      </c>
      <c r="E116" s="11" t="str">
        <f>IF(GLAPS자동계산!F115="","",GLAPS자동계산!F115)</f>
        <v/>
      </c>
      <c r="F116" s="3" t="str">
        <f>IF(GLAPS자동계산!G115="","",GLAPS자동계산!G115)</f>
        <v/>
      </c>
      <c r="G116" s="3" t="str">
        <f>IF(GLAPS자동계산!H115="","",GLAPS자동계산!H115)</f>
        <v/>
      </c>
      <c r="H116" s="3" t="str">
        <f>IF(GLAPS자동계산!I115="","",GLAPS자동계산!I115)</f>
        <v/>
      </c>
      <c r="I116" s="3" t="str">
        <f>IF(GLAPS자동계산!J115="","",GLAPS자동계산!J115)</f>
        <v/>
      </c>
      <c r="J116" s="3" t="str">
        <f>IF(GLAPS자동계산!K115="","",GLAPS자동계산!K115)</f>
        <v/>
      </c>
      <c r="K116" s="3" t="str">
        <f>IF(GLAPS자동계산!L115="","",GLAPS자동계산!L115)</f>
        <v/>
      </c>
      <c r="L116" s="3" t="str">
        <f>IF(GLAPS자동계산!M115="","",GLAPS자동계산!M115)</f>
        <v/>
      </c>
      <c r="M116" s="3" t="str">
        <f>IF(GLAPS자동계산!N115="","",GLAPS자동계산!N115)</f>
        <v/>
      </c>
      <c r="N116" s="3" t="str">
        <f>IF(GLAPS자동계산!O115="","",GLAPS자동계산!O115)</f>
        <v/>
      </c>
      <c r="O116" s="3" t="str">
        <f>IF(GLAPS자동계산!P115="","",GLAPS자동계산!P115)</f>
        <v/>
      </c>
      <c r="P116" s="2" t="str">
        <f>IF(GLAPS자동계산!Q115="","",GLAPS자동계산!Q115)</f>
        <v/>
      </c>
      <c r="Q116" s="3" t="str">
        <f>IF(GLAPS자동계산!R115="","",GLAPS자동계산!R115)</f>
        <v/>
      </c>
      <c r="R116" s="3" t="str">
        <f>IF(GLAPS자동계산!S115="","",GLAPS자동계산!S115)</f>
        <v/>
      </c>
      <c r="S116" s="3" t="str">
        <f>IF(GLAPS자동계산!T115="","",GLAPS자동계산!T115)</f>
        <v/>
      </c>
      <c r="T116" s="3" t="str">
        <f>IF(GLAPS자동계산!U115="","",GLAPS자동계산!U115)</f>
        <v/>
      </c>
      <c r="U116" s="3" t="str">
        <f>IF(GLAPS자동계산!V115="","",GLAPS자동계산!V115)</f>
        <v/>
      </c>
      <c r="V116" s="3" t="str">
        <f>IF(GLAPS자동계산!W115="","",GLAPS자동계산!W115)</f>
        <v/>
      </c>
      <c r="W116" s="14" t="str">
        <f>IF(GLAPS자동계산!X115="","",GLAPS자동계산!X115)</f>
        <v/>
      </c>
      <c r="X116" s="13" t="str">
        <f>IF(GLAPS자동계산!Y115="","",GLAPS자동계산!Y115)</f>
        <v/>
      </c>
      <c r="Y116" s="13" t="str">
        <f>IF(GLAPS자동계산!Z115="","",GLAPS자동계산!Z115)</f>
        <v/>
      </c>
      <c r="Z116" s="91" t="str">
        <f>IF(GLAPS자동계산!AA115="","",GLAPS자동계산!AA115)</f>
        <v/>
      </c>
      <c r="AA116" s="14" t="str">
        <f>IF(GLAPS자동계산!AB115="","",GLAPS자동계산!AB115)</f>
        <v/>
      </c>
      <c r="AC116" s="2" t="str">
        <f>IF($B116="","",$AC$1)</f>
        <v/>
      </c>
      <c r="AD116" s="2" t="str">
        <f>IF($B116="","",IFERROR(INDEX(GLAPS정리!$D$2:$D$50,MATCH(I116,GLAPS정리!$A$2:$A$50,0)),IFERROR(INDEX(GLAPS정리!$D$2:$D$50,MATCH(I116,GLAPS정리!$B$2:$B$50,0)),"")))</f>
        <v/>
      </c>
      <c r="AF116" s="2" t="str">
        <f>IF($B116="","",$AF$1)</f>
        <v/>
      </c>
      <c r="AI116" s="2" t="str">
        <f>IF($B116="","",IF(F116="","",VLOOKUP(F116,GLAPS정리!$G$3:$J$114,2,0)))</f>
        <v/>
      </c>
      <c r="AJ116" s="2" t="str">
        <f>IF($B116="","",IF(Z116="울산정일","KRONS",IF(Z116="울산신항","KRUSN",IF(OR(Z116="선광종합물류(인천여객)",Z116="인천여객(인천여객)"),"KRINF",IF(OR(Z116="선광인천보세(인천신)",Z116="한진인천(인천신)",Z116="선광인천신항(인천신)",Z116="인천더로지스(인천신)"),"KRINN",IF(OR(Z116="인천진아(인천항)",Z116="인천E1(인천항)",Z116="인천SM경인터미널(인천항)",Z116="인천항(인천항)",Z116="인천우련(인천항)",Z116="인천항8부두(인천항)"),"KRINC",VLOOKUP(K116,GLAPS정리!$BB$2:$BC$33,2,0)))))))</f>
        <v/>
      </c>
      <c r="AL116" s="2" t="str">
        <f>IF($B116="","",$AL$1)</f>
        <v/>
      </c>
      <c r="AN116" s="70" t="str">
        <f>IF($B116="","",TEXT(B116,"YYYY-MM-DD"))</f>
        <v/>
      </c>
      <c r="AO116" s="2" t="str">
        <f>IF($B116="","",IF(E116="오전", "0800", IF(E116="오후", "1300", IF(E116="잔업", "1800", ""))))</f>
        <v/>
      </c>
      <c r="AP116" s="2" t="str">
        <f>IF($B116="","",IF(C116="","",VLOOKUP(C116,GLAPS정리!$AX$2:$AZ$17,3,0)))</f>
        <v/>
      </c>
      <c r="AR116" s="2" t="str">
        <f>IF($B116="","",IF(X116="","",X116))</f>
        <v/>
      </c>
      <c r="AX116" s="2" t="str">
        <f>IF($B116="","",IF(L116="","",VLOOKUP(L116,GLAPS정리!$V$3:$W$180,2,0)))</f>
        <v/>
      </c>
      <c r="BM116" s="2" t="str">
        <f>IF($B116="","",IF(AND(Q116=1,OR(P116="",P116="위험물")), "2210", IF(AND(Q116=1,OR(P116="리퍼",P116="위험물리퍼")), "2230", IF(AND(S116=1,OR(P116="",P116="위험물")), "4510", IF(AND(S116=1,OR(P116="리퍼",P116="위험물리퍼")), "4530", IF(AND(R116=1,OR(P116="",P116="위험물")), "4210", IF(AND(R116=1,P116="리퍼"), "4230", " ")))))))</f>
        <v/>
      </c>
      <c r="BN116" s="2" t="str">
        <f>IF($B116="","",$BN$1)</f>
        <v/>
      </c>
      <c r="BR116" s="2" t="str">
        <f>IF($B116="","",IF(OR(P116="리퍼",P116="위험물리퍼"),"Y",""))</f>
        <v/>
      </c>
      <c r="BS116" s="2" t="str">
        <f>IF($B116="","",IF(OR(P116="위험물",P116="위험물리퍼"),"Y",""))</f>
        <v/>
      </c>
      <c r="BV116" s="2" t="str">
        <f>IF($B116="","",IF(O116="","",VLOOKUP(O116,GLAPS정리!$BH$2:$BI$94,2,0)))</f>
        <v/>
      </c>
      <c r="BW116" s="2" t="str">
        <f>IF($B116="","",IF(OR(Z116="동원",Z116="세방",Z116="한타"),"",IFERROR(INDEX(GLAPS정리!$BI$2:$BI$101,MATCH(Z116,GLAPS정리!$BH$2:$BH$101,0)),"")))</f>
        <v/>
      </c>
      <c r="BX116" s="2" t="str">
        <f>IF($B116="","",IF(Z116="","",IFERROR(VLOOKUP(Z116,GLAPS정리!$AX$2:$AZ$17,3,0),"")))</f>
        <v/>
      </c>
      <c r="BZ116" s="2" t="str">
        <f>IF($B116="","",IF(H116="","",VLOOKUP(H116,GLAPS정리!$L$3:$O$133,2,0)))</f>
        <v/>
      </c>
      <c r="CA116" s="2" t="str">
        <f>IF($B116="","",IF(V116="공휴일", 10, IF(V116="야간", 20, IF(V116="위험물", 30, IF(V116="중량", 40, "")))))</f>
        <v/>
      </c>
      <c r="CL116" s="2" t="str">
        <f>IF($B116="","",IF(AI116="","",VLOOKUP(AI116,GLAPS정리!$BT$3:$BV$26,3,0)))</f>
        <v/>
      </c>
    </row>
    <row r="117" spans="2:90" ht="20.45" customHeight="1">
      <c r="B117" s="13" t="str">
        <f>IF(GLAPS자동계산!C116="","",GLAPS자동계산!C116)</f>
        <v/>
      </c>
      <c r="C117" s="3" t="str">
        <f>IF(GLAPS자동계산!D116="","",GLAPS자동계산!D116)</f>
        <v/>
      </c>
      <c r="D117" s="16" t="str">
        <f>IF(GLAPS자동계산!E116="","",GLAPS자동계산!E116)</f>
        <v/>
      </c>
      <c r="E117" s="11" t="str">
        <f>IF(GLAPS자동계산!F116="","",GLAPS자동계산!F116)</f>
        <v/>
      </c>
      <c r="F117" s="3" t="str">
        <f>IF(GLAPS자동계산!G116="","",GLAPS자동계산!G116)</f>
        <v/>
      </c>
      <c r="G117" s="3" t="str">
        <f>IF(GLAPS자동계산!H116="","",GLAPS자동계산!H116)</f>
        <v/>
      </c>
      <c r="H117" s="3" t="str">
        <f>IF(GLAPS자동계산!I116="","",GLAPS자동계산!I116)</f>
        <v/>
      </c>
      <c r="I117" s="3" t="str">
        <f>IF(GLAPS자동계산!J116="","",GLAPS자동계산!J116)</f>
        <v/>
      </c>
      <c r="J117" s="3" t="str">
        <f>IF(GLAPS자동계산!K116="","",GLAPS자동계산!K116)</f>
        <v/>
      </c>
      <c r="K117" s="3" t="str">
        <f>IF(GLAPS자동계산!L116="","",GLAPS자동계산!L116)</f>
        <v/>
      </c>
      <c r="L117" s="3" t="str">
        <f>IF(GLAPS자동계산!M116="","",GLAPS자동계산!M116)</f>
        <v/>
      </c>
      <c r="M117" s="3" t="str">
        <f>IF(GLAPS자동계산!N116="","",GLAPS자동계산!N116)</f>
        <v/>
      </c>
      <c r="N117" s="3" t="str">
        <f>IF(GLAPS자동계산!O116="","",GLAPS자동계산!O116)</f>
        <v/>
      </c>
      <c r="O117" s="3" t="str">
        <f>IF(GLAPS자동계산!P116="","",GLAPS자동계산!P116)</f>
        <v/>
      </c>
      <c r="P117" s="2" t="str">
        <f>IF(GLAPS자동계산!Q116="","",GLAPS자동계산!Q116)</f>
        <v/>
      </c>
      <c r="Q117" s="3" t="str">
        <f>IF(GLAPS자동계산!R116="","",GLAPS자동계산!R116)</f>
        <v/>
      </c>
      <c r="R117" s="3" t="str">
        <f>IF(GLAPS자동계산!S116="","",GLAPS자동계산!S116)</f>
        <v/>
      </c>
      <c r="S117" s="3" t="str">
        <f>IF(GLAPS자동계산!T116="","",GLAPS자동계산!T116)</f>
        <v/>
      </c>
      <c r="T117" s="3" t="str">
        <f>IF(GLAPS자동계산!U116="","",GLAPS자동계산!U116)</f>
        <v/>
      </c>
      <c r="U117" s="3" t="str">
        <f>IF(GLAPS자동계산!V116="","",GLAPS자동계산!V116)</f>
        <v/>
      </c>
      <c r="V117" s="3" t="str">
        <f>IF(GLAPS자동계산!W116="","",GLAPS자동계산!W116)</f>
        <v/>
      </c>
      <c r="W117" s="14" t="str">
        <f>IF(GLAPS자동계산!X116="","",GLAPS자동계산!X116)</f>
        <v/>
      </c>
      <c r="X117" s="13" t="str">
        <f>IF(GLAPS자동계산!Y116="","",GLAPS자동계산!Y116)</f>
        <v/>
      </c>
      <c r="Y117" s="13" t="str">
        <f>IF(GLAPS자동계산!Z116="","",GLAPS자동계산!Z116)</f>
        <v/>
      </c>
      <c r="Z117" s="91" t="str">
        <f>IF(GLAPS자동계산!AA116="","",GLAPS자동계산!AA116)</f>
        <v/>
      </c>
      <c r="AA117" s="14" t="str">
        <f>IF(GLAPS자동계산!AB116="","",GLAPS자동계산!AB116)</f>
        <v/>
      </c>
      <c r="AC117" s="2" t="str">
        <f>IF($B117="","",$AC$1)</f>
        <v/>
      </c>
      <c r="AD117" s="2" t="str">
        <f>IF($B117="","",IFERROR(INDEX(GLAPS정리!$D$2:$D$50,MATCH(I117,GLAPS정리!$A$2:$A$50,0)),IFERROR(INDEX(GLAPS정리!$D$2:$D$50,MATCH(I117,GLAPS정리!$B$2:$B$50,0)),"")))</f>
        <v/>
      </c>
      <c r="AF117" s="2" t="str">
        <f>IF($B117="","",$AF$1)</f>
        <v/>
      </c>
      <c r="AI117" s="2" t="str">
        <f>IF($B117="","",IF(F117="","",VLOOKUP(F117,GLAPS정리!$G$3:$J$114,2,0)))</f>
        <v/>
      </c>
      <c r="AJ117" s="2" t="str">
        <f>IF($B117="","",IF(Z117="울산정일","KRONS",IF(Z117="울산신항","KRUSN",IF(OR(Z117="선광종합물류(인천여객)",Z117="인천여객(인천여객)"),"KRINF",IF(OR(Z117="선광인천보세(인천신)",Z117="한진인천(인천신)",Z117="선광인천신항(인천신)",Z117="인천더로지스(인천신)"),"KRINN",IF(OR(Z117="인천진아(인천항)",Z117="인천E1(인천항)",Z117="인천SM경인터미널(인천항)",Z117="인천항(인천항)",Z117="인천우련(인천항)",Z117="인천항8부두(인천항)"),"KRINC",VLOOKUP(K117,GLAPS정리!$BB$2:$BC$33,2,0)))))))</f>
        <v/>
      </c>
      <c r="AL117" s="2" t="str">
        <f>IF($B117="","",$AL$1)</f>
        <v/>
      </c>
      <c r="AN117" s="70" t="str">
        <f>IF($B117="","",TEXT(B117,"YYYY-MM-DD"))</f>
        <v/>
      </c>
      <c r="AO117" s="2" t="str">
        <f>IF($B117="","",IF(E117="오전", "0800", IF(E117="오후", "1300", IF(E117="잔업", "1800", ""))))</f>
        <v/>
      </c>
      <c r="AP117" s="2" t="str">
        <f>IF($B117="","",IF(C117="","",VLOOKUP(C117,GLAPS정리!$AX$2:$AZ$17,3,0)))</f>
        <v/>
      </c>
      <c r="AR117" s="2" t="str">
        <f>IF($B117="","",IF(X117="","",X117))</f>
        <v/>
      </c>
      <c r="AX117" s="2" t="str">
        <f>IF($B117="","",IF(L117="","",VLOOKUP(L117,GLAPS정리!$V$3:$W$180,2,0)))</f>
        <v/>
      </c>
      <c r="BM117" s="2" t="str">
        <f>IF($B117="","",IF(AND(Q117=1,OR(P117="",P117="위험물")), "2210", IF(AND(Q117=1,OR(P117="리퍼",P117="위험물리퍼")), "2230", IF(AND(S117=1,OR(P117="",P117="위험물")), "4510", IF(AND(S117=1,OR(P117="리퍼",P117="위험물리퍼")), "4530", IF(AND(R117=1,OR(P117="",P117="위험물")), "4210", IF(AND(R117=1,P117="리퍼"), "4230", " ")))))))</f>
        <v/>
      </c>
      <c r="BN117" s="2" t="str">
        <f>IF($B117="","",$BN$1)</f>
        <v/>
      </c>
      <c r="BR117" s="2" t="str">
        <f>IF($B117="","",IF(OR(P117="리퍼",P117="위험물리퍼"),"Y",""))</f>
        <v/>
      </c>
      <c r="BS117" s="2" t="str">
        <f>IF($B117="","",IF(OR(P117="위험물",P117="위험물리퍼"),"Y",""))</f>
        <v/>
      </c>
      <c r="BV117" s="2" t="str">
        <f>IF($B117="","",IF(O117="","",VLOOKUP(O117,GLAPS정리!$BH$2:$BI$94,2,0)))</f>
        <v/>
      </c>
      <c r="BW117" s="2" t="str">
        <f>IF($B117="","",IF(OR(Z117="동원",Z117="세방",Z117="한타"),"",IFERROR(INDEX(GLAPS정리!$BI$2:$BI$101,MATCH(Z117,GLAPS정리!$BH$2:$BH$101,0)),"")))</f>
        <v/>
      </c>
      <c r="BX117" s="2" t="str">
        <f>IF($B117="","",IF(Z117="","",IFERROR(VLOOKUP(Z117,GLAPS정리!$AX$2:$AZ$17,3,0),"")))</f>
        <v/>
      </c>
      <c r="BZ117" s="2" t="str">
        <f>IF($B117="","",IF(H117="","",VLOOKUP(H117,GLAPS정리!$L$3:$O$133,2,0)))</f>
        <v/>
      </c>
      <c r="CA117" s="2" t="str">
        <f>IF($B117="","",IF(V117="공휴일", 10, IF(V117="야간", 20, IF(V117="위험물", 30, IF(V117="중량", 40, "")))))</f>
        <v/>
      </c>
      <c r="CL117" s="2" t="str">
        <f>IF($B117="","",IF(AI117="","",VLOOKUP(AI117,GLAPS정리!$BT$3:$BV$26,3,0)))</f>
        <v/>
      </c>
    </row>
    <row r="118" spans="2:90" ht="20.45" customHeight="1">
      <c r="B118" s="13" t="str">
        <f>IF(GLAPS자동계산!C117="","",GLAPS자동계산!C117)</f>
        <v/>
      </c>
      <c r="C118" s="3" t="str">
        <f>IF(GLAPS자동계산!D117="","",GLAPS자동계산!D117)</f>
        <v/>
      </c>
      <c r="D118" s="16" t="str">
        <f>IF(GLAPS자동계산!E117="","",GLAPS자동계산!E117)</f>
        <v/>
      </c>
      <c r="E118" s="11" t="str">
        <f>IF(GLAPS자동계산!F117="","",GLAPS자동계산!F117)</f>
        <v/>
      </c>
      <c r="F118" s="3" t="str">
        <f>IF(GLAPS자동계산!G117="","",GLAPS자동계산!G117)</f>
        <v/>
      </c>
      <c r="G118" s="3" t="str">
        <f>IF(GLAPS자동계산!H117="","",GLAPS자동계산!H117)</f>
        <v/>
      </c>
      <c r="H118" s="3" t="str">
        <f>IF(GLAPS자동계산!I117="","",GLAPS자동계산!I117)</f>
        <v/>
      </c>
      <c r="I118" s="3" t="str">
        <f>IF(GLAPS자동계산!J117="","",GLAPS자동계산!J117)</f>
        <v/>
      </c>
      <c r="J118" s="3" t="str">
        <f>IF(GLAPS자동계산!K117="","",GLAPS자동계산!K117)</f>
        <v/>
      </c>
      <c r="K118" s="3" t="str">
        <f>IF(GLAPS자동계산!L117="","",GLAPS자동계산!L117)</f>
        <v/>
      </c>
      <c r="L118" s="3" t="str">
        <f>IF(GLAPS자동계산!M117="","",GLAPS자동계산!M117)</f>
        <v/>
      </c>
      <c r="M118" s="3" t="str">
        <f>IF(GLAPS자동계산!N117="","",GLAPS자동계산!N117)</f>
        <v/>
      </c>
      <c r="N118" s="3" t="str">
        <f>IF(GLAPS자동계산!O117="","",GLAPS자동계산!O117)</f>
        <v/>
      </c>
      <c r="O118" s="3" t="str">
        <f>IF(GLAPS자동계산!P117="","",GLAPS자동계산!P117)</f>
        <v/>
      </c>
      <c r="P118" s="2" t="str">
        <f>IF(GLAPS자동계산!Q117="","",GLAPS자동계산!Q117)</f>
        <v/>
      </c>
      <c r="Q118" s="3" t="str">
        <f>IF(GLAPS자동계산!R117="","",GLAPS자동계산!R117)</f>
        <v/>
      </c>
      <c r="R118" s="3" t="str">
        <f>IF(GLAPS자동계산!S117="","",GLAPS자동계산!S117)</f>
        <v/>
      </c>
      <c r="S118" s="3" t="str">
        <f>IF(GLAPS자동계산!T117="","",GLAPS자동계산!T117)</f>
        <v/>
      </c>
      <c r="T118" s="3" t="str">
        <f>IF(GLAPS자동계산!U117="","",GLAPS자동계산!U117)</f>
        <v/>
      </c>
      <c r="U118" s="3" t="str">
        <f>IF(GLAPS자동계산!V117="","",GLAPS자동계산!V117)</f>
        <v/>
      </c>
      <c r="V118" s="3" t="str">
        <f>IF(GLAPS자동계산!W117="","",GLAPS자동계산!W117)</f>
        <v/>
      </c>
      <c r="W118" s="14" t="str">
        <f>IF(GLAPS자동계산!X117="","",GLAPS자동계산!X117)</f>
        <v/>
      </c>
      <c r="X118" s="13" t="str">
        <f>IF(GLAPS자동계산!Y117="","",GLAPS자동계산!Y117)</f>
        <v/>
      </c>
      <c r="Y118" s="13" t="str">
        <f>IF(GLAPS자동계산!Z117="","",GLAPS자동계산!Z117)</f>
        <v/>
      </c>
      <c r="Z118" s="91" t="str">
        <f>IF(GLAPS자동계산!AA117="","",GLAPS자동계산!AA117)</f>
        <v/>
      </c>
      <c r="AA118" s="14" t="str">
        <f>IF(GLAPS자동계산!AB117="","",GLAPS자동계산!AB117)</f>
        <v/>
      </c>
      <c r="AC118" s="2" t="str">
        <f>IF($B118="","",$AC$1)</f>
        <v/>
      </c>
      <c r="AD118" s="2" t="str">
        <f>IF($B118="","",IFERROR(INDEX(GLAPS정리!$D$2:$D$50,MATCH(I118,GLAPS정리!$A$2:$A$50,0)),IFERROR(INDEX(GLAPS정리!$D$2:$D$50,MATCH(I118,GLAPS정리!$B$2:$B$50,0)),"")))</f>
        <v/>
      </c>
      <c r="AF118" s="2" t="str">
        <f>IF($B118="","",$AF$1)</f>
        <v/>
      </c>
      <c r="AI118" s="2" t="str">
        <f>IF($B118="","",IF(F118="","",VLOOKUP(F118,GLAPS정리!$G$3:$J$114,2,0)))</f>
        <v/>
      </c>
      <c r="AJ118" s="2" t="str">
        <f>IF($B118="","",IF(Z118="울산정일","KRONS",IF(Z118="울산신항","KRUSN",IF(OR(Z118="선광종합물류(인천여객)",Z118="인천여객(인천여객)"),"KRINF",IF(OR(Z118="선광인천보세(인천신)",Z118="한진인천(인천신)",Z118="선광인천신항(인천신)",Z118="인천더로지스(인천신)"),"KRINN",IF(OR(Z118="인천진아(인천항)",Z118="인천E1(인천항)",Z118="인천SM경인터미널(인천항)",Z118="인천항(인천항)",Z118="인천우련(인천항)",Z118="인천항8부두(인천항)"),"KRINC",VLOOKUP(K118,GLAPS정리!$BB$2:$BC$33,2,0)))))))</f>
        <v/>
      </c>
      <c r="AL118" s="2" t="str">
        <f>IF($B118="","",$AL$1)</f>
        <v/>
      </c>
      <c r="AN118" s="70" t="str">
        <f>IF($B118="","",TEXT(B118,"YYYY-MM-DD"))</f>
        <v/>
      </c>
      <c r="AO118" s="2" t="str">
        <f>IF($B118="","",IF(E118="오전", "0800", IF(E118="오후", "1300", IF(E118="잔업", "1800", ""))))</f>
        <v/>
      </c>
      <c r="AP118" s="2" t="str">
        <f>IF($B118="","",IF(C118="","",VLOOKUP(C118,GLAPS정리!$AX$2:$AZ$17,3,0)))</f>
        <v/>
      </c>
      <c r="AR118" s="2" t="str">
        <f>IF($B118="","",IF(X118="","",X118))</f>
        <v/>
      </c>
      <c r="AX118" s="2" t="str">
        <f>IF($B118="","",IF(L118="","",VLOOKUP(L118,GLAPS정리!$V$3:$W$180,2,0)))</f>
        <v/>
      </c>
      <c r="BM118" s="2" t="str">
        <f>IF($B118="","",IF(AND(Q118=1,OR(P118="",P118="위험물")), "2210", IF(AND(Q118=1,OR(P118="리퍼",P118="위험물리퍼")), "2230", IF(AND(S118=1,OR(P118="",P118="위험물")), "4510", IF(AND(S118=1,OR(P118="리퍼",P118="위험물리퍼")), "4530", IF(AND(R118=1,OR(P118="",P118="위험물")), "4210", IF(AND(R118=1,P118="리퍼"), "4230", " ")))))))</f>
        <v/>
      </c>
      <c r="BN118" s="2" t="str">
        <f>IF($B118="","",$BN$1)</f>
        <v/>
      </c>
      <c r="BR118" s="2" t="str">
        <f>IF($B118="","",IF(OR(P118="리퍼",P118="위험물리퍼"),"Y",""))</f>
        <v/>
      </c>
      <c r="BS118" s="2" t="str">
        <f>IF($B118="","",IF(OR(P118="위험물",P118="위험물리퍼"),"Y",""))</f>
        <v/>
      </c>
      <c r="BV118" s="2" t="str">
        <f>IF($B118="","",IF(O118="","",VLOOKUP(O118,GLAPS정리!$BH$2:$BI$94,2,0)))</f>
        <v/>
      </c>
      <c r="BW118" s="2" t="str">
        <f>IF($B118="","",IF(OR(Z118="동원",Z118="세방",Z118="한타"),"",IFERROR(INDEX(GLAPS정리!$BI$2:$BI$101,MATCH(Z118,GLAPS정리!$BH$2:$BH$101,0)),"")))</f>
        <v/>
      </c>
      <c r="BX118" s="2" t="str">
        <f>IF($B118="","",IF(Z118="","",IFERROR(VLOOKUP(Z118,GLAPS정리!$AX$2:$AZ$17,3,0),"")))</f>
        <v/>
      </c>
      <c r="BZ118" s="2" t="str">
        <f>IF($B118="","",IF(H118="","",VLOOKUP(H118,GLAPS정리!$L$3:$O$133,2,0)))</f>
        <v/>
      </c>
      <c r="CA118" s="2" t="str">
        <f>IF($B118="","",IF(V118="공휴일", 10, IF(V118="야간", 20, IF(V118="위험물", 30, IF(V118="중량", 40, "")))))</f>
        <v/>
      </c>
      <c r="CL118" s="2" t="str">
        <f>IF($B118="","",IF(AI118="","",VLOOKUP(AI118,GLAPS정리!$BT$3:$BV$26,3,0)))</f>
        <v/>
      </c>
    </row>
    <row r="119" spans="2:90" ht="20.45" customHeight="1">
      <c r="B119" s="13" t="str">
        <f>IF(GLAPS자동계산!C118="","",GLAPS자동계산!C118)</f>
        <v/>
      </c>
      <c r="C119" s="3" t="str">
        <f>IF(GLAPS자동계산!D118="","",GLAPS자동계산!D118)</f>
        <v/>
      </c>
      <c r="D119" s="16" t="str">
        <f>IF(GLAPS자동계산!E118="","",GLAPS자동계산!E118)</f>
        <v/>
      </c>
      <c r="E119" s="11" t="str">
        <f>IF(GLAPS자동계산!F118="","",GLAPS자동계산!F118)</f>
        <v/>
      </c>
      <c r="F119" s="3" t="str">
        <f>IF(GLAPS자동계산!G118="","",GLAPS자동계산!G118)</f>
        <v/>
      </c>
      <c r="G119" s="3" t="str">
        <f>IF(GLAPS자동계산!H118="","",GLAPS자동계산!H118)</f>
        <v/>
      </c>
      <c r="H119" s="3" t="str">
        <f>IF(GLAPS자동계산!I118="","",GLAPS자동계산!I118)</f>
        <v/>
      </c>
      <c r="I119" s="3" t="str">
        <f>IF(GLAPS자동계산!J118="","",GLAPS자동계산!J118)</f>
        <v/>
      </c>
      <c r="J119" s="3" t="str">
        <f>IF(GLAPS자동계산!K118="","",GLAPS자동계산!K118)</f>
        <v/>
      </c>
      <c r="K119" s="3" t="str">
        <f>IF(GLAPS자동계산!L118="","",GLAPS자동계산!L118)</f>
        <v/>
      </c>
      <c r="L119" s="3" t="str">
        <f>IF(GLAPS자동계산!M118="","",GLAPS자동계산!M118)</f>
        <v/>
      </c>
      <c r="M119" s="3" t="str">
        <f>IF(GLAPS자동계산!N118="","",GLAPS자동계산!N118)</f>
        <v/>
      </c>
      <c r="N119" s="3" t="str">
        <f>IF(GLAPS자동계산!O118="","",GLAPS자동계산!O118)</f>
        <v/>
      </c>
      <c r="O119" s="3" t="str">
        <f>IF(GLAPS자동계산!P118="","",GLAPS자동계산!P118)</f>
        <v/>
      </c>
      <c r="P119" s="2" t="str">
        <f>IF(GLAPS자동계산!Q118="","",GLAPS자동계산!Q118)</f>
        <v/>
      </c>
      <c r="Q119" s="3" t="str">
        <f>IF(GLAPS자동계산!R118="","",GLAPS자동계산!R118)</f>
        <v/>
      </c>
      <c r="R119" s="3" t="str">
        <f>IF(GLAPS자동계산!S118="","",GLAPS자동계산!S118)</f>
        <v/>
      </c>
      <c r="S119" s="3" t="str">
        <f>IF(GLAPS자동계산!T118="","",GLAPS자동계산!T118)</f>
        <v/>
      </c>
      <c r="T119" s="3" t="str">
        <f>IF(GLAPS자동계산!U118="","",GLAPS자동계산!U118)</f>
        <v/>
      </c>
      <c r="U119" s="3" t="str">
        <f>IF(GLAPS자동계산!V118="","",GLAPS자동계산!V118)</f>
        <v/>
      </c>
      <c r="V119" s="3" t="str">
        <f>IF(GLAPS자동계산!W118="","",GLAPS자동계산!W118)</f>
        <v/>
      </c>
      <c r="W119" s="14" t="str">
        <f>IF(GLAPS자동계산!X118="","",GLAPS자동계산!X118)</f>
        <v/>
      </c>
      <c r="X119" s="13" t="str">
        <f>IF(GLAPS자동계산!Y118="","",GLAPS자동계산!Y118)</f>
        <v/>
      </c>
      <c r="Y119" s="13" t="str">
        <f>IF(GLAPS자동계산!Z118="","",GLAPS자동계산!Z118)</f>
        <v/>
      </c>
      <c r="Z119" s="91" t="str">
        <f>IF(GLAPS자동계산!AA118="","",GLAPS자동계산!AA118)</f>
        <v/>
      </c>
      <c r="AA119" s="14" t="str">
        <f>IF(GLAPS자동계산!AB118="","",GLAPS자동계산!AB118)</f>
        <v/>
      </c>
      <c r="AC119" s="2" t="str">
        <f>IF($B119="","",$AC$1)</f>
        <v/>
      </c>
      <c r="AD119" s="2" t="str">
        <f>IF($B119="","",IFERROR(INDEX(GLAPS정리!$D$2:$D$50,MATCH(I119,GLAPS정리!$A$2:$A$50,0)),IFERROR(INDEX(GLAPS정리!$D$2:$D$50,MATCH(I119,GLAPS정리!$B$2:$B$50,0)),"")))</f>
        <v/>
      </c>
      <c r="AF119" s="2" t="str">
        <f>IF($B119="","",$AF$1)</f>
        <v/>
      </c>
      <c r="AI119" s="2" t="str">
        <f>IF($B119="","",IF(F119="","",VLOOKUP(F119,GLAPS정리!$G$3:$J$114,2,0)))</f>
        <v/>
      </c>
      <c r="AJ119" s="2" t="str">
        <f>IF($B119="","",IF(Z119="울산정일","KRONS",IF(Z119="울산신항","KRUSN",IF(OR(Z119="선광종합물류(인천여객)",Z119="인천여객(인천여객)"),"KRINF",IF(OR(Z119="선광인천보세(인천신)",Z119="한진인천(인천신)",Z119="선광인천신항(인천신)",Z119="인천더로지스(인천신)"),"KRINN",IF(OR(Z119="인천진아(인천항)",Z119="인천E1(인천항)",Z119="인천SM경인터미널(인천항)",Z119="인천항(인천항)",Z119="인천우련(인천항)",Z119="인천항8부두(인천항)"),"KRINC",VLOOKUP(K119,GLAPS정리!$BB$2:$BC$33,2,0)))))))</f>
        <v/>
      </c>
      <c r="AL119" s="2" t="str">
        <f>IF($B119="","",$AL$1)</f>
        <v/>
      </c>
      <c r="AN119" s="70" t="str">
        <f>IF($B119="","",TEXT(B119,"YYYY-MM-DD"))</f>
        <v/>
      </c>
      <c r="AO119" s="2" t="str">
        <f>IF($B119="","",IF(E119="오전", "0800", IF(E119="오후", "1300", IF(E119="잔업", "1800", ""))))</f>
        <v/>
      </c>
      <c r="AP119" s="2" t="str">
        <f>IF($B119="","",IF(C119="","",VLOOKUP(C119,GLAPS정리!$AX$2:$AZ$17,3,0)))</f>
        <v/>
      </c>
      <c r="AR119" s="2" t="str">
        <f>IF($B119="","",IF(X119="","",X119))</f>
        <v/>
      </c>
      <c r="AX119" s="2" t="str">
        <f>IF($B119="","",IF(L119="","",VLOOKUP(L119,GLAPS정리!$V$3:$W$180,2,0)))</f>
        <v/>
      </c>
      <c r="BM119" s="2" t="str">
        <f>IF($B119="","",IF(AND(Q119=1,OR(P119="",P119="위험물")), "2210", IF(AND(Q119=1,OR(P119="리퍼",P119="위험물리퍼")), "2230", IF(AND(S119=1,OR(P119="",P119="위험물")), "4510", IF(AND(S119=1,OR(P119="리퍼",P119="위험물리퍼")), "4530", IF(AND(R119=1,OR(P119="",P119="위험물")), "4210", IF(AND(R119=1,P119="리퍼"), "4230", " ")))))))</f>
        <v/>
      </c>
      <c r="BN119" s="2" t="str">
        <f>IF($B119="","",$BN$1)</f>
        <v/>
      </c>
      <c r="BR119" s="2" t="str">
        <f>IF($B119="","",IF(OR(P119="리퍼",P119="위험물리퍼"),"Y",""))</f>
        <v/>
      </c>
      <c r="BS119" s="2" t="str">
        <f>IF($B119="","",IF(OR(P119="위험물",P119="위험물리퍼"),"Y",""))</f>
        <v/>
      </c>
      <c r="BV119" s="2" t="str">
        <f>IF($B119="","",IF(O119="","",VLOOKUP(O119,GLAPS정리!$BH$2:$BI$94,2,0)))</f>
        <v/>
      </c>
      <c r="BW119" s="2" t="str">
        <f>IF($B119="","",IF(OR(Z119="동원",Z119="세방",Z119="한타"),"",IFERROR(INDEX(GLAPS정리!$BI$2:$BI$101,MATCH(Z119,GLAPS정리!$BH$2:$BH$101,0)),"")))</f>
        <v/>
      </c>
      <c r="BX119" s="2" t="str">
        <f>IF($B119="","",IF(Z119="","",IFERROR(VLOOKUP(Z119,GLAPS정리!$AX$2:$AZ$17,3,0),"")))</f>
        <v/>
      </c>
      <c r="BZ119" s="2" t="str">
        <f>IF($B119="","",IF(H119="","",VLOOKUP(H119,GLAPS정리!$L$3:$O$133,2,0)))</f>
        <v/>
      </c>
      <c r="CA119" s="2" t="str">
        <f>IF($B119="","",IF(V119="공휴일", 10, IF(V119="야간", 20, IF(V119="위험물", 30, IF(V119="중량", 40, "")))))</f>
        <v/>
      </c>
      <c r="CL119" s="2" t="str">
        <f>IF($B119="","",IF(AI119="","",VLOOKUP(AI119,GLAPS정리!$BT$3:$BV$26,3,0)))</f>
        <v/>
      </c>
    </row>
    <row r="120" spans="2:90" ht="20.45" customHeight="1">
      <c r="B120" s="13" t="str">
        <f>IF(GLAPS자동계산!C119="","",GLAPS자동계산!C119)</f>
        <v/>
      </c>
      <c r="C120" s="3" t="str">
        <f>IF(GLAPS자동계산!D119="","",GLAPS자동계산!D119)</f>
        <v/>
      </c>
      <c r="D120" s="16" t="str">
        <f>IF(GLAPS자동계산!E119="","",GLAPS자동계산!E119)</f>
        <v/>
      </c>
      <c r="E120" s="11" t="str">
        <f>IF(GLAPS자동계산!F119="","",GLAPS자동계산!F119)</f>
        <v/>
      </c>
      <c r="F120" s="3" t="str">
        <f>IF(GLAPS자동계산!G119="","",GLAPS자동계산!G119)</f>
        <v/>
      </c>
      <c r="G120" s="3" t="str">
        <f>IF(GLAPS자동계산!H119="","",GLAPS자동계산!H119)</f>
        <v/>
      </c>
      <c r="H120" s="3" t="str">
        <f>IF(GLAPS자동계산!I119="","",GLAPS자동계산!I119)</f>
        <v/>
      </c>
      <c r="I120" s="3" t="str">
        <f>IF(GLAPS자동계산!J119="","",GLAPS자동계산!J119)</f>
        <v/>
      </c>
      <c r="J120" s="3" t="str">
        <f>IF(GLAPS자동계산!K119="","",GLAPS자동계산!K119)</f>
        <v/>
      </c>
      <c r="K120" s="3" t="str">
        <f>IF(GLAPS자동계산!L119="","",GLAPS자동계산!L119)</f>
        <v/>
      </c>
      <c r="L120" s="3" t="str">
        <f>IF(GLAPS자동계산!M119="","",GLAPS자동계산!M119)</f>
        <v/>
      </c>
      <c r="M120" s="3" t="str">
        <f>IF(GLAPS자동계산!N119="","",GLAPS자동계산!N119)</f>
        <v/>
      </c>
      <c r="N120" s="3" t="str">
        <f>IF(GLAPS자동계산!O119="","",GLAPS자동계산!O119)</f>
        <v/>
      </c>
      <c r="O120" s="3" t="str">
        <f>IF(GLAPS자동계산!P119="","",GLAPS자동계산!P119)</f>
        <v/>
      </c>
      <c r="P120" s="2" t="str">
        <f>IF(GLAPS자동계산!Q119="","",GLAPS자동계산!Q119)</f>
        <v/>
      </c>
      <c r="Q120" s="3" t="str">
        <f>IF(GLAPS자동계산!R119="","",GLAPS자동계산!R119)</f>
        <v/>
      </c>
      <c r="R120" s="3" t="str">
        <f>IF(GLAPS자동계산!S119="","",GLAPS자동계산!S119)</f>
        <v/>
      </c>
      <c r="S120" s="3" t="str">
        <f>IF(GLAPS자동계산!T119="","",GLAPS자동계산!T119)</f>
        <v/>
      </c>
      <c r="T120" s="3" t="str">
        <f>IF(GLAPS자동계산!U119="","",GLAPS자동계산!U119)</f>
        <v/>
      </c>
      <c r="U120" s="3" t="str">
        <f>IF(GLAPS자동계산!V119="","",GLAPS자동계산!V119)</f>
        <v/>
      </c>
      <c r="V120" s="3" t="str">
        <f>IF(GLAPS자동계산!W119="","",GLAPS자동계산!W119)</f>
        <v/>
      </c>
      <c r="W120" s="14" t="str">
        <f>IF(GLAPS자동계산!X119="","",GLAPS자동계산!X119)</f>
        <v/>
      </c>
      <c r="X120" s="13" t="str">
        <f>IF(GLAPS자동계산!Y119="","",GLAPS자동계산!Y119)</f>
        <v/>
      </c>
      <c r="Y120" s="13" t="str">
        <f>IF(GLAPS자동계산!Z119="","",GLAPS자동계산!Z119)</f>
        <v/>
      </c>
      <c r="Z120" s="91" t="str">
        <f>IF(GLAPS자동계산!AA119="","",GLAPS자동계산!AA119)</f>
        <v/>
      </c>
      <c r="AA120" s="14" t="str">
        <f>IF(GLAPS자동계산!AB119="","",GLAPS자동계산!AB119)</f>
        <v/>
      </c>
      <c r="AC120" s="2" t="str">
        <f>IF($B120="","",$AC$1)</f>
        <v/>
      </c>
      <c r="AD120" s="2" t="str">
        <f>IF($B120="","",IFERROR(INDEX(GLAPS정리!$D$2:$D$50,MATCH(I120,GLAPS정리!$A$2:$A$50,0)),IFERROR(INDEX(GLAPS정리!$D$2:$D$50,MATCH(I120,GLAPS정리!$B$2:$B$50,0)),"")))</f>
        <v/>
      </c>
      <c r="AF120" s="2" t="str">
        <f>IF($B120="","",$AF$1)</f>
        <v/>
      </c>
      <c r="AI120" s="2" t="str">
        <f>IF($B120="","",IF(F120="","",VLOOKUP(F120,GLAPS정리!$G$3:$J$114,2,0)))</f>
        <v/>
      </c>
      <c r="AJ120" s="2" t="str">
        <f>IF($B120="","",IF(Z120="울산정일","KRONS",IF(Z120="울산신항","KRUSN",IF(OR(Z120="선광종합물류(인천여객)",Z120="인천여객(인천여객)"),"KRINF",IF(OR(Z120="선광인천보세(인천신)",Z120="한진인천(인천신)",Z120="선광인천신항(인천신)",Z120="인천더로지스(인천신)"),"KRINN",IF(OR(Z120="인천진아(인천항)",Z120="인천E1(인천항)",Z120="인천SM경인터미널(인천항)",Z120="인천항(인천항)",Z120="인천우련(인천항)",Z120="인천항8부두(인천항)"),"KRINC",VLOOKUP(K120,GLAPS정리!$BB$2:$BC$33,2,0)))))))</f>
        <v/>
      </c>
      <c r="AL120" s="2" t="str">
        <f>IF($B120="","",$AL$1)</f>
        <v/>
      </c>
      <c r="AN120" s="70" t="str">
        <f>IF($B120="","",TEXT(B120,"YYYY-MM-DD"))</f>
        <v/>
      </c>
      <c r="AO120" s="2" t="str">
        <f>IF($B120="","",IF(E120="오전", "0800", IF(E120="오후", "1300", IF(E120="잔업", "1800", ""))))</f>
        <v/>
      </c>
      <c r="AP120" s="2" t="str">
        <f>IF($B120="","",IF(C120="","",VLOOKUP(C120,GLAPS정리!$AX$2:$AZ$17,3,0)))</f>
        <v/>
      </c>
      <c r="AR120" s="2" t="str">
        <f>IF($B120="","",IF(X120="","",X120))</f>
        <v/>
      </c>
      <c r="AX120" s="2" t="str">
        <f>IF($B120="","",IF(L120="","",VLOOKUP(L120,GLAPS정리!$V$3:$W$180,2,0)))</f>
        <v/>
      </c>
      <c r="BM120" s="2" t="str">
        <f>IF($B120="","",IF(AND(Q120=1,OR(P120="",P120="위험물")), "2210", IF(AND(Q120=1,OR(P120="리퍼",P120="위험물리퍼")), "2230", IF(AND(S120=1,OR(P120="",P120="위험물")), "4510", IF(AND(S120=1,OR(P120="리퍼",P120="위험물리퍼")), "4530", IF(AND(R120=1,OR(P120="",P120="위험물")), "4210", IF(AND(R120=1,P120="리퍼"), "4230", " ")))))))</f>
        <v/>
      </c>
      <c r="BN120" s="2" t="str">
        <f>IF($B120="","",$BN$1)</f>
        <v/>
      </c>
      <c r="BR120" s="2" t="str">
        <f>IF($B120="","",IF(OR(P120="리퍼",P120="위험물리퍼"),"Y",""))</f>
        <v/>
      </c>
      <c r="BS120" s="2" t="str">
        <f>IF($B120="","",IF(OR(P120="위험물",P120="위험물리퍼"),"Y",""))</f>
        <v/>
      </c>
      <c r="BV120" s="2" t="str">
        <f>IF($B120="","",IF(O120="","",VLOOKUP(O120,GLAPS정리!$BH$2:$BI$94,2,0)))</f>
        <v/>
      </c>
      <c r="BW120" s="2" t="str">
        <f>IF($B120="","",IF(OR(Z120="동원",Z120="세방",Z120="한타"),"",IFERROR(INDEX(GLAPS정리!$BI$2:$BI$101,MATCH(Z120,GLAPS정리!$BH$2:$BH$101,0)),"")))</f>
        <v/>
      </c>
      <c r="BX120" s="2" t="str">
        <f>IF($B120="","",IF(Z120="","",IFERROR(VLOOKUP(Z120,GLAPS정리!$AX$2:$AZ$17,3,0),"")))</f>
        <v/>
      </c>
      <c r="BZ120" s="2" t="str">
        <f>IF($B120="","",IF(H120="","",VLOOKUP(H120,GLAPS정리!$L$3:$O$133,2,0)))</f>
        <v/>
      </c>
      <c r="CA120" s="2" t="str">
        <f>IF($B120="","",IF(V120="공휴일", 10, IF(V120="야간", 20, IF(V120="위험물", 30, IF(V120="중량", 40, "")))))</f>
        <v/>
      </c>
      <c r="CL120" s="2" t="str">
        <f>IF($B120="","",IF(AI120="","",VLOOKUP(AI120,GLAPS정리!$BT$3:$BV$26,3,0)))</f>
        <v/>
      </c>
    </row>
    <row r="121" spans="2:90" ht="20.45" customHeight="1">
      <c r="B121" s="13" t="str">
        <f>IF(GLAPS자동계산!C120="","",GLAPS자동계산!C120)</f>
        <v/>
      </c>
      <c r="C121" s="3" t="str">
        <f>IF(GLAPS자동계산!D120="","",GLAPS자동계산!D120)</f>
        <v/>
      </c>
      <c r="D121" s="16" t="str">
        <f>IF(GLAPS자동계산!E120="","",GLAPS자동계산!E120)</f>
        <v/>
      </c>
      <c r="E121" s="11" t="str">
        <f>IF(GLAPS자동계산!F120="","",GLAPS자동계산!F120)</f>
        <v/>
      </c>
      <c r="F121" s="3" t="str">
        <f>IF(GLAPS자동계산!G120="","",GLAPS자동계산!G120)</f>
        <v/>
      </c>
      <c r="G121" s="1" t="str">
        <f>IF(GLAPS자동계산!H120="","",GLAPS자동계산!H120)</f>
        <v/>
      </c>
      <c r="H121" s="3" t="str">
        <f>IF(GLAPS자동계산!I120="","",GLAPS자동계산!I120)</f>
        <v/>
      </c>
      <c r="I121" s="3" t="str">
        <f>IF(GLAPS자동계산!J120="","",GLAPS자동계산!J120)</f>
        <v/>
      </c>
      <c r="J121" s="3" t="str">
        <f>IF(GLAPS자동계산!K120="","",GLAPS자동계산!K120)</f>
        <v/>
      </c>
      <c r="K121" s="3" t="str">
        <f>IF(GLAPS자동계산!L120="","",GLAPS자동계산!L120)</f>
        <v/>
      </c>
      <c r="L121" s="3" t="str">
        <f>IF(GLAPS자동계산!M120="","",GLAPS자동계산!M120)</f>
        <v/>
      </c>
      <c r="M121" s="3" t="str">
        <f>IF(GLAPS자동계산!N120="","",GLAPS자동계산!N120)</f>
        <v/>
      </c>
      <c r="N121" s="3" t="str">
        <f>IF(GLAPS자동계산!O120="","",GLAPS자동계산!O120)</f>
        <v/>
      </c>
      <c r="O121" s="3" t="str">
        <f>IF(GLAPS자동계산!P120="","",GLAPS자동계산!P120)</f>
        <v/>
      </c>
      <c r="P121" s="2" t="str">
        <f>IF(GLAPS자동계산!Q120="","",GLAPS자동계산!Q120)</f>
        <v/>
      </c>
      <c r="Q121" s="3" t="str">
        <f>IF(GLAPS자동계산!R120="","",GLAPS자동계산!R120)</f>
        <v/>
      </c>
      <c r="R121" s="3" t="str">
        <f>IF(GLAPS자동계산!S120="","",GLAPS자동계산!S120)</f>
        <v/>
      </c>
      <c r="S121" s="3" t="str">
        <f>IF(GLAPS자동계산!T120="","",GLAPS자동계산!T120)</f>
        <v/>
      </c>
      <c r="T121" s="3" t="str">
        <f>IF(GLAPS자동계산!U120="","",GLAPS자동계산!U120)</f>
        <v/>
      </c>
      <c r="U121" s="3" t="str">
        <f>IF(GLAPS자동계산!V120="","",GLAPS자동계산!V120)</f>
        <v/>
      </c>
      <c r="V121" s="3" t="str">
        <f>IF(GLAPS자동계산!W120="","",GLAPS자동계산!W120)</f>
        <v/>
      </c>
      <c r="W121" s="14" t="str">
        <f>IF(GLAPS자동계산!X120="","",GLAPS자동계산!X120)</f>
        <v/>
      </c>
      <c r="X121" s="13" t="str">
        <f>IF(GLAPS자동계산!Y120="","",GLAPS자동계산!Y120)</f>
        <v/>
      </c>
      <c r="Y121" s="13" t="str">
        <f>IF(GLAPS자동계산!Z120="","",GLAPS자동계산!Z120)</f>
        <v/>
      </c>
      <c r="Z121" s="91" t="str">
        <f>IF(GLAPS자동계산!AA120="","",GLAPS자동계산!AA120)</f>
        <v/>
      </c>
      <c r="AA121" s="14" t="str">
        <f>IF(GLAPS자동계산!AB120="","",GLAPS자동계산!AB120)</f>
        <v/>
      </c>
      <c r="AC121" s="2" t="str">
        <f>IF($B121="","",$AC$1)</f>
        <v/>
      </c>
      <c r="AD121" s="2" t="str">
        <f>IF($B121="","",IFERROR(INDEX(GLAPS정리!$D$2:$D$50,MATCH(I121,GLAPS정리!$A$2:$A$50,0)),IFERROR(INDEX(GLAPS정리!$D$2:$D$50,MATCH(I121,GLAPS정리!$B$2:$B$50,0)),"")))</f>
        <v/>
      </c>
      <c r="AF121" s="2" t="str">
        <f>IF($B121="","",$AF$1)</f>
        <v/>
      </c>
      <c r="AI121" s="2" t="str">
        <f>IF($B121="","",IF(F121="","",VLOOKUP(F121,GLAPS정리!$G$3:$J$114,2,0)))</f>
        <v/>
      </c>
      <c r="AJ121" s="2" t="str">
        <f>IF($B121="","",IF(Z121="울산정일","KRONS",IF(Z121="울산신항","KRUSN",IF(OR(Z121="선광종합물류(인천여객)",Z121="인천여객(인천여객)"),"KRINF",IF(OR(Z121="선광인천보세(인천신)",Z121="한진인천(인천신)",Z121="선광인천신항(인천신)",Z121="인천더로지스(인천신)"),"KRINN",IF(OR(Z121="인천진아(인천항)",Z121="인천E1(인천항)",Z121="인천SM경인터미널(인천항)",Z121="인천항(인천항)",Z121="인천우련(인천항)",Z121="인천항8부두(인천항)"),"KRINC",VLOOKUP(K121,GLAPS정리!$BB$2:$BC$33,2,0)))))))</f>
        <v/>
      </c>
      <c r="AL121" s="2" t="str">
        <f>IF($B121="","",$AL$1)</f>
        <v/>
      </c>
      <c r="AN121" s="70" t="str">
        <f>IF($B121="","",TEXT(B121,"YYYY-MM-DD"))</f>
        <v/>
      </c>
      <c r="AO121" s="2" t="str">
        <f>IF($B121="","",IF(E121="오전", "0800", IF(E121="오후", "1300", IF(E121="잔업", "1800", ""))))</f>
        <v/>
      </c>
      <c r="AP121" s="2" t="str">
        <f>IF($B121="","",IF(C121="","",VLOOKUP(C121,GLAPS정리!$AX$2:$AZ$17,3,0)))</f>
        <v/>
      </c>
      <c r="AR121" s="2" t="str">
        <f>IF($B121="","",IF(X121="","",X121))</f>
        <v/>
      </c>
      <c r="AX121" s="2" t="str">
        <f>IF($B121="","",IF(L121="","",VLOOKUP(L121,GLAPS정리!$V$3:$W$180,2,0)))</f>
        <v/>
      </c>
      <c r="BM121" s="2" t="str">
        <f>IF($B121="","",IF(AND(Q121=1,OR(P121="",P121="위험물")), "2210", IF(AND(Q121=1,OR(P121="리퍼",P121="위험물리퍼")), "2230", IF(AND(S121=1,OR(P121="",P121="위험물")), "4510", IF(AND(S121=1,OR(P121="리퍼",P121="위험물리퍼")), "4530", IF(AND(R121=1,OR(P121="",P121="위험물")), "4210", IF(AND(R121=1,P121="리퍼"), "4230", " ")))))))</f>
        <v/>
      </c>
      <c r="BN121" s="2" t="str">
        <f>IF($B121="","",$BN$1)</f>
        <v/>
      </c>
      <c r="BR121" s="2" t="str">
        <f>IF($B121="","",IF(OR(P121="리퍼",P121="위험물리퍼"),"Y",""))</f>
        <v/>
      </c>
      <c r="BS121" s="2" t="str">
        <f>IF($B121="","",IF(OR(P121="위험물",P121="위험물리퍼"),"Y",""))</f>
        <v/>
      </c>
      <c r="BV121" s="2" t="str">
        <f>IF($B121="","",IF(O121="","",VLOOKUP(O121,GLAPS정리!$BH$2:$BI$94,2,0)))</f>
        <v/>
      </c>
      <c r="BW121" s="2" t="str">
        <f>IF($B121="","",IF(OR(Z121="동원",Z121="세방",Z121="한타"),"",IFERROR(INDEX(GLAPS정리!$BI$2:$BI$101,MATCH(Z121,GLAPS정리!$BH$2:$BH$101,0)),"")))</f>
        <v/>
      </c>
      <c r="BX121" s="2" t="str">
        <f>IF($B121="","",IF(Z121="","",IFERROR(VLOOKUP(Z121,GLAPS정리!$AX$2:$AZ$17,3,0),"")))</f>
        <v/>
      </c>
      <c r="BZ121" s="2" t="str">
        <f>IF($B121="","",IF(H121="","",VLOOKUP(H121,GLAPS정리!$L$3:$O$133,2,0)))</f>
        <v/>
      </c>
      <c r="CA121" s="2" t="str">
        <f>IF($B121="","",IF(V121="공휴일", 10, IF(V121="야간", 20, IF(V121="위험물", 30, IF(V121="중량", 40, "")))))</f>
        <v/>
      </c>
      <c r="CL121" s="2" t="str">
        <f>IF($B121="","",IF(AI121="","",VLOOKUP(AI121,GLAPS정리!$BT$3:$BV$26,3,0)))</f>
        <v/>
      </c>
    </row>
    <row r="122" spans="2:90" ht="20.45" customHeight="1">
      <c r="B122" s="13" t="str">
        <f>IF(GLAPS자동계산!C121="","",GLAPS자동계산!C121)</f>
        <v/>
      </c>
      <c r="C122" s="3" t="str">
        <f>IF(GLAPS자동계산!D121="","",GLAPS자동계산!D121)</f>
        <v/>
      </c>
      <c r="D122" s="16" t="str">
        <f>IF(GLAPS자동계산!E121="","",GLAPS자동계산!E121)</f>
        <v/>
      </c>
      <c r="E122" s="11" t="str">
        <f>IF(GLAPS자동계산!F121="","",GLAPS자동계산!F121)</f>
        <v/>
      </c>
      <c r="F122" s="3" t="str">
        <f>IF(GLAPS자동계산!G121="","",GLAPS자동계산!G121)</f>
        <v/>
      </c>
      <c r="G122" s="1" t="str">
        <f>IF(GLAPS자동계산!H121="","",GLAPS자동계산!H121)</f>
        <v/>
      </c>
      <c r="H122" s="3" t="str">
        <f>IF(GLAPS자동계산!I121="","",GLAPS자동계산!I121)</f>
        <v/>
      </c>
      <c r="I122" s="3" t="str">
        <f>IF(GLAPS자동계산!J121="","",GLAPS자동계산!J121)</f>
        <v/>
      </c>
      <c r="J122" s="3" t="str">
        <f>IF(GLAPS자동계산!K121="","",GLAPS자동계산!K121)</f>
        <v/>
      </c>
      <c r="K122" s="3" t="str">
        <f>IF(GLAPS자동계산!L121="","",GLAPS자동계산!L121)</f>
        <v/>
      </c>
      <c r="L122" s="3" t="str">
        <f>IF(GLAPS자동계산!M121="","",GLAPS자동계산!M121)</f>
        <v/>
      </c>
      <c r="M122" s="3" t="str">
        <f>IF(GLAPS자동계산!N121="","",GLAPS자동계산!N121)</f>
        <v/>
      </c>
      <c r="N122" s="3" t="str">
        <f>IF(GLAPS자동계산!O121="","",GLAPS자동계산!O121)</f>
        <v/>
      </c>
      <c r="O122" s="3" t="str">
        <f>IF(GLAPS자동계산!P121="","",GLAPS자동계산!P121)</f>
        <v/>
      </c>
      <c r="P122" s="2" t="str">
        <f>IF(GLAPS자동계산!Q121="","",GLAPS자동계산!Q121)</f>
        <v/>
      </c>
      <c r="Q122" s="3" t="str">
        <f>IF(GLAPS자동계산!R121="","",GLAPS자동계산!R121)</f>
        <v/>
      </c>
      <c r="R122" s="3" t="str">
        <f>IF(GLAPS자동계산!S121="","",GLAPS자동계산!S121)</f>
        <v/>
      </c>
      <c r="S122" s="3" t="str">
        <f>IF(GLAPS자동계산!T121="","",GLAPS자동계산!T121)</f>
        <v/>
      </c>
      <c r="T122" s="3" t="str">
        <f>IF(GLAPS자동계산!U121="","",GLAPS자동계산!U121)</f>
        <v/>
      </c>
      <c r="U122" s="3" t="str">
        <f>IF(GLAPS자동계산!V121="","",GLAPS자동계산!V121)</f>
        <v/>
      </c>
      <c r="V122" s="3" t="str">
        <f>IF(GLAPS자동계산!W121="","",GLAPS자동계산!W121)</f>
        <v/>
      </c>
      <c r="W122" s="14" t="str">
        <f>IF(GLAPS자동계산!X121="","",GLAPS자동계산!X121)</f>
        <v/>
      </c>
      <c r="X122" s="13" t="str">
        <f>IF(GLAPS자동계산!Y121="","",GLAPS자동계산!Y121)</f>
        <v/>
      </c>
      <c r="Y122" s="13" t="str">
        <f>IF(GLAPS자동계산!Z121="","",GLAPS자동계산!Z121)</f>
        <v/>
      </c>
      <c r="Z122" s="91" t="str">
        <f>IF(GLAPS자동계산!AA121="","",GLAPS자동계산!AA121)</f>
        <v/>
      </c>
      <c r="AA122" s="14" t="str">
        <f>IF(GLAPS자동계산!AB121="","",GLAPS자동계산!AB121)</f>
        <v/>
      </c>
      <c r="AC122" s="2" t="str">
        <f>IF($B122="","",$AC$1)</f>
        <v/>
      </c>
      <c r="AD122" s="2" t="str">
        <f>IF($B122="","",IFERROR(INDEX(GLAPS정리!$D$2:$D$50,MATCH(I122,GLAPS정리!$A$2:$A$50,0)),IFERROR(INDEX(GLAPS정리!$D$2:$D$50,MATCH(I122,GLAPS정리!$B$2:$B$50,0)),"")))</f>
        <v/>
      </c>
      <c r="AF122" s="2" t="str">
        <f>IF($B122="","",$AF$1)</f>
        <v/>
      </c>
      <c r="AI122" s="2" t="str">
        <f>IF($B122="","",IF(F122="","",VLOOKUP(F122,GLAPS정리!$G$3:$J$114,2,0)))</f>
        <v/>
      </c>
      <c r="AJ122" s="2" t="str">
        <f>IF($B122="","",IF(Z122="울산정일","KRONS",IF(Z122="울산신항","KRUSN",IF(OR(Z122="선광종합물류(인천여객)",Z122="인천여객(인천여객)"),"KRINF",IF(OR(Z122="선광인천보세(인천신)",Z122="한진인천(인천신)",Z122="선광인천신항(인천신)",Z122="인천더로지스(인천신)"),"KRINN",IF(OR(Z122="인천진아(인천항)",Z122="인천E1(인천항)",Z122="인천SM경인터미널(인천항)",Z122="인천항(인천항)",Z122="인천우련(인천항)",Z122="인천항8부두(인천항)"),"KRINC",VLOOKUP(K122,GLAPS정리!$BB$2:$BC$33,2,0)))))))</f>
        <v/>
      </c>
      <c r="AL122" s="2" t="str">
        <f>IF($B122="","",$AL$1)</f>
        <v/>
      </c>
      <c r="AN122" s="70" t="str">
        <f>IF($B122="","",TEXT(B122,"YYYY-MM-DD"))</f>
        <v/>
      </c>
      <c r="AO122" s="2" t="str">
        <f>IF($B122="","",IF(E122="오전", "0800", IF(E122="오후", "1300", IF(E122="잔업", "1800", ""))))</f>
        <v/>
      </c>
      <c r="AP122" s="2" t="str">
        <f>IF($B122="","",IF(C122="","",VLOOKUP(C122,GLAPS정리!$AX$2:$AZ$17,3,0)))</f>
        <v/>
      </c>
      <c r="AR122" s="2" t="str">
        <f>IF($B122="","",IF(X122="","",X122))</f>
        <v/>
      </c>
      <c r="AX122" s="2" t="str">
        <f>IF($B122="","",IF(L122="","",VLOOKUP(L122,GLAPS정리!$V$3:$W$180,2,0)))</f>
        <v/>
      </c>
      <c r="BM122" s="2" t="str">
        <f>IF($B122="","",IF(AND(Q122=1,OR(P122="",P122="위험물")), "2210", IF(AND(Q122=1,OR(P122="리퍼",P122="위험물리퍼")), "2230", IF(AND(S122=1,OR(P122="",P122="위험물")), "4510", IF(AND(S122=1,OR(P122="리퍼",P122="위험물리퍼")), "4530", IF(AND(R122=1,OR(P122="",P122="위험물")), "4210", IF(AND(R122=1,P122="리퍼"), "4230", " ")))))))</f>
        <v/>
      </c>
      <c r="BN122" s="2" t="str">
        <f>IF($B122="","",$BN$1)</f>
        <v/>
      </c>
      <c r="BR122" s="2" t="str">
        <f>IF($B122="","",IF(OR(P122="리퍼",P122="위험물리퍼"),"Y",""))</f>
        <v/>
      </c>
      <c r="BS122" s="2" t="str">
        <f>IF($B122="","",IF(OR(P122="위험물",P122="위험물리퍼"),"Y",""))</f>
        <v/>
      </c>
      <c r="BV122" s="2" t="str">
        <f>IF($B122="","",IF(O122="","",VLOOKUP(O122,GLAPS정리!$BH$2:$BI$94,2,0)))</f>
        <v/>
      </c>
      <c r="BW122" s="2" t="str">
        <f>IF($B122="","",IF(OR(Z122="동원",Z122="세방",Z122="한타"),"",IFERROR(INDEX(GLAPS정리!$BI$2:$BI$101,MATCH(Z122,GLAPS정리!$BH$2:$BH$101,0)),"")))</f>
        <v/>
      </c>
      <c r="BX122" s="2" t="str">
        <f>IF($B122="","",IF(Z122="","",IFERROR(VLOOKUP(Z122,GLAPS정리!$AX$2:$AZ$17,3,0),"")))</f>
        <v/>
      </c>
      <c r="BZ122" s="2" t="str">
        <f>IF($B122="","",IF(H122="","",VLOOKUP(H122,GLAPS정리!$L$3:$O$133,2,0)))</f>
        <v/>
      </c>
      <c r="CA122" s="2" t="str">
        <f>IF($B122="","",IF(V122="공휴일", 10, IF(V122="야간", 20, IF(V122="위험물", 30, IF(V122="중량", 40, "")))))</f>
        <v/>
      </c>
      <c r="CL122" s="2" t="str">
        <f>IF($B122="","",IF(AI122="","",VLOOKUP(AI122,GLAPS정리!$BT$3:$BV$26,3,0)))</f>
        <v/>
      </c>
    </row>
    <row r="123" spans="2:90" ht="20.45" customHeight="1">
      <c r="B123" s="13" t="str">
        <f>IF(GLAPS자동계산!C122="","",GLAPS자동계산!C122)</f>
        <v/>
      </c>
      <c r="C123" s="3" t="str">
        <f>IF(GLAPS자동계산!D122="","",GLAPS자동계산!D122)</f>
        <v/>
      </c>
      <c r="D123" s="16" t="str">
        <f>IF(GLAPS자동계산!E122="","",GLAPS자동계산!E122)</f>
        <v/>
      </c>
      <c r="E123" s="11" t="str">
        <f>IF(GLAPS자동계산!F122="","",GLAPS자동계산!F122)</f>
        <v/>
      </c>
      <c r="F123" s="3" t="str">
        <f>IF(GLAPS자동계산!G122="","",GLAPS자동계산!G122)</f>
        <v/>
      </c>
      <c r="G123" s="1" t="str">
        <f>IF(GLAPS자동계산!H122="","",GLAPS자동계산!H122)</f>
        <v/>
      </c>
      <c r="H123" s="3" t="str">
        <f>IF(GLAPS자동계산!I122="","",GLAPS자동계산!I122)</f>
        <v/>
      </c>
      <c r="I123" s="3" t="str">
        <f>IF(GLAPS자동계산!J122="","",GLAPS자동계산!J122)</f>
        <v/>
      </c>
      <c r="J123" s="3" t="str">
        <f>IF(GLAPS자동계산!K122="","",GLAPS자동계산!K122)</f>
        <v/>
      </c>
      <c r="K123" s="3" t="str">
        <f>IF(GLAPS자동계산!L122="","",GLAPS자동계산!L122)</f>
        <v/>
      </c>
      <c r="L123" s="3" t="str">
        <f>IF(GLAPS자동계산!M122="","",GLAPS자동계산!M122)</f>
        <v/>
      </c>
      <c r="M123" s="3" t="str">
        <f>IF(GLAPS자동계산!N122="","",GLAPS자동계산!N122)</f>
        <v/>
      </c>
      <c r="N123" s="3" t="str">
        <f>IF(GLAPS자동계산!O122="","",GLAPS자동계산!O122)</f>
        <v/>
      </c>
      <c r="O123" s="3" t="str">
        <f>IF(GLAPS자동계산!P122="","",GLAPS자동계산!P122)</f>
        <v/>
      </c>
      <c r="P123" s="2" t="str">
        <f>IF(GLAPS자동계산!Q122="","",GLAPS자동계산!Q122)</f>
        <v/>
      </c>
      <c r="Q123" s="3" t="str">
        <f>IF(GLAPS자동계산!R122="","",GLAPS자동계산!R122)</f>
        <v/>
      </c>
      <c r="R123" s="3" t="str">
        <f>IF(GLAPS자동계산!S122="","",GLAPS자동계산!S122)</f>
        <v/>
      </c>
      <c r="S123" s="3" t="str">
        <f>IF(GLAPS자동계산!T122="","",GLAPS자동계산!T122)</f>
        <v/>
      </c>
      <c r="T123" s="3" t="str">
        <f>IF(GLAPS자동계산!U122="","",GLAPS자동계산!U122)</f>
        <v/>
      </c>
      <c r="U123" s="3" t="str">
        <f>IF(GLAPS자동계산!V122="","",GLAPS자동계산!V122)</f>
        <v/>
      </c>
      <c r="V123" s="3" t="str">
        <f>IF(GLAPS자동계산!W122="","",GLAPS자동계산!W122)</f>
        <v/>
      </c>
      <c r="W123" s="14" t="str">
        <f>IF(GLAPS자동계산!X122="","",GLAPS자동계산!X122)</f>
        <v/>
      </c>
      <c r="X123" s="13" t="str">
        <f>IF(GLAPS자동계산!Y122="","",GLAPS자동계산!Y122)</f>
        <v/>
      </c>
      <c r="Y123" s="13" t="str">
        <f>IF(GLAPS자동계산!Z122="","",GLAPS자동계산!Z122)</f>
        <v/>
      </c>
      <c r="Z123" s="91" t="str">
        <f>IF(GLAPS자동계산!AA122="","",GLAPS자동계산!AA122)</f>
        <v/>
      </c>
      <c r="AA123" s="14" t="str">
        <f>IF(GLAPS자동계산!AB122="","",GLAPS자동계산!AB122)</f>
        <v/>
      </c>
      <c r="AC123" s="2" t="str">
        <f>IF($B123="","",$AC$1)</f>
        <v/>
      </c>
      <c r="AD123" s="2" t="str">
        <f>IF($B123="","",IFERROR(INDEX(GLAPS정리!$D$2:$D$50,MATCH(I123,GLAPS정리!$A$2:$A$50,0)),IFERROR(INDEX(GLAPS정리!$D$2:$D$50,MATCH(I123,GLAPS정리!$B$2:$B$50,0)),"")))</f>
        <v/>
      </c>
      <c r="AF123" s="2" t="str">
        <f>IF($B123="","",$AF$1)</f>
        <v/>
      </c>
      <c r="AI123" s="2" t="str">
        <f>IF($B123="","",IF(F123="","",VLOOKUP(F123,GLAPS정리!$G$3:$J$114,2,0)))</f>
        <v/>
      </c>
      <c r="AJ123" s="2" t="str">
        <f>IF($B123="","",IF(Z123="울산정일","KRONS",IF(Z123="울산신항","KRUSN",IF(OR(Z123="선광종합물류(인천여객)",Z123="인천여객(인천여객)"),"KRINF",IF(OR(Z123="선광인천보세(인천신)",Z123="한진인천(인천신)",Z123="선광인천신항(인천신)",Z123="인천더로지스(인천신)"),"KRINN",IF(OR(Z123="인천진아(인천항)",Z123="인천E1(인천항)",Z123="인천SM경인터미널(인천항)",Z123="인천항(인천항)",Z123="인천우련(인천항)",Z123="인천항8부두(인천항)"),"KRINC",VLOOKUP(K123,GLAPS정리!$BB$2:$BC$33,2,0)))))))</f>
        <v/>
      </c>
      <c r="AL123" s="2" t="str">
        <f>IF($B123="","",$AL$1)</f>
        <v/>
      </c>
      <c r="AN123" s="70" t="str">
        <f>IF($B123="","",TEXT(B123,"YYYY-MM-DD"))</f>
        <v/>
      </c>
      <c r="AO123" s="2" t="str">
        <f>IF($B123="","",IF(E123="오전", "0800", IF(E123="오후", "1300", IF(E123="잔업", "1800", ""))))</f>
        <v/>
      </c>
      <c r="AP123" s="2" t="str">
        <f>IF($B123="","",IF(C123="","",VLOOKUP(C123,GLAPS정리!$AX$2:$AZ$17,3,0)))</f>
        <v/>
      </c>
      <c r="AR123" s="2" t="str">
        <f>IF($B123="","",IF(X123="","",X123))</f>
        <v/>
      </c>
      <c r="AX123" s="2" t="str">
        <f>IF($B123="","",IF(L123="","",VLOOKUP(L123,GLAPS정리!$V$3:$W$180,2,0)))</f>
        <v/>
      </c>
      <c r="BM123" s="2" t="str">
        <f>IF($B123="","",IF(AND(Q123=1,OR(P123="",P123="위험물")), "2210", IF(AND(Q123=1,OR(P123="리퍼",P123="위험물리퍼")), "2230", IF(AND(S123=1,OR(P123="",P123="위험물")), "4510", IF(AND(S123=1,OR(P123="리퍼",P123="위험물리퍼")), "4530", IF(AND(R123=1,OR(P123="",P123="위험물")), "4210", IF(AND(R123=1,P123="리퍼"), "4230", " ")))))))</f>
        <v/>
      </c>
      <c r="BN123" s="2" t="str">
        <f>IF($B123="","",$BN$1)</f>
        <v/>
      </c>
      <c r="BR123" s="2" t="str">
        <f>IF($B123="","",IF(OR(P123="리퍼",P123="위험물리퍼"),"Y",""))</f>
        <v/>
      </c>
      <c r="BS123" s="2" t="str">
        <f>IF($B123="","",IF(OR(P123="위험물",P123="위험물리퍼"),"Y",""))</f>
        <v/>
      </c>
      <c r="BV123" s="2" t="str">
        <f>IF($B123="","",IF(O123="","",VLOOKUP(O123,GLAPS정리!$BH$2:$BI$94,2,0)))</f>
        <v/>
      </c>
      <c r="BW123" s="2" t="str">
        <f>IF($B123="","",IF(OR(Z123="동원",Z123="세방",Z123="한타"),"",IFERROR(INDEX(GLAPS정리!$BI$2:$BI$101,MATCH(Z123,GLAPS정리!$BH$2:$BH$101,0)),"")))</f>
        <v/>
      </c>
      <c r="BX123" s="2" t="str">
        <f>IF($B123="","",IF(Z123="","",IFERROR(VLOOKUP(Z123,GLAPS정리!$AX$2:$AZ$17,3,0),"")))</f>
        <v/>
      </c>
      <c r="BZ123" s="2" t="str">
        <f>IF($B123="","",IF(H123="","",VLOOKUP(H123,GLAPS정리!$L$3:$O$133,2,0)))</f>
        <v/>
      </c>
      <c r="CA123" s="2" t="str">
        <f>IF($B123="","",IF(V123="공휴일", 10, IF(V123="야간", 20, IF(V123="위험물", 30, IF(V123="중량", 40, "")))))</f>
        <v/>
      </c>
      <c r="CL123" s="2" t="str">
        <f>IF($B123="","",IF(AI123="","",VLOOKUP(AI123,GLAPS정리!$BT$3:$BV$26,3,0)))</f>
        <v/>
      </c>
    </row>
    <row r="124" spans="2:90" ht="20.45" customHeight="1">
      <c r="B124" s="13" t="str">
        <f>IF(GLAPS자동계산!C123="","",GLAPS자동계산!C123)</f>
        <v/>
      </c>
      <c r="C124" s="3" t="str">
        <f>IF(GLAPS자동계산!D123="","",GLAPS자동계산!D123)</f>
        <v/>
      </c>
      <c r="D124" s="16" t="str">
        <f>IF(GLAPS자동계산!E123="","",GLAPS자동계산!E123)</f>
        <v/>
      </c>
      <c r="E124" s="11" t="str">
        <f>IF(GLAPS자동계산!F123="","",GLAPS자동계산!F123)</f>
        <v/>
      </c>
      <c r="F124" s="3" t="str">
        <f>IF(GLAPS자동계산!G123="","",GLAPS자동계산!G123)</f>
        <v/>
      </c>
      <c r="G124" s="1" t="str">
        <f>IF(GLAPS자동계산!H123="","",GLAPS자동계산!H123)</f>
        <v/>
      </c>
      <c r="H124" s="3" t="str">
        <f>IF(GLAPS자동계산!I123="","",GLAPS자동계산!I123)</f>
        <v/>
      </c>
      <c r="I124" s="3" t="str">
        <f>IF(GLAPS자동계산!J123="","",GLAPS자동계산!J123)</f>
        <v/>
      </c>
      <c r="J124" s="3" t="str">
        <f>IF(GLAPS자동계산!K123="","",GLAPS자동계산!K123)</f>
        <v/>
      </c>
      <c r="K124" s="3" t="str">
        <f>IF(GLAPS자동계산!L123="","",GLAPS자동계산!L123)</f>
        <v/>
      </c>
      <c r="L124" s="3" t="str">
        <f>IF(GLAPS자동계산!M123="","",GLAPS자동계산!M123)</f>
        <v/>
      </c>
      <c r="M124" s="3" t="str">
        <f>IF(GLAPS자동계산!N123="","",GLAPS자동계산!N123)</f>
        <v/>
      </c>
      <c r="N124" s="3" t="str">
        <f>IF(GLAPS자동계산!O123="","",GLAPS자동계산!O123)</f>
        <v/>
      </c>
      <c r="O124" s="3" t="str">
        <f>IF(GLAPS자동계산!P123="","",GLAPS자동계산!P123)</f>
        <v/>
      </c>
      <c r="P124" s="2" t="str">
        <f>IF(GLAPS자동계산!Q123="","",GLAPS자동계산!Q123)</f>
        <v/>
      </c>
      <c r="Q124" s="3" t="str">
        <f>IF(GLAPS자동계산!R123="","",GLAPS자동계산!R123)</f>
        <v/>
      </c>
      <c r="R124" s="3" t="str">
        <f>IF(GLAPS자동계산!S123="","",GLAPS자동계산!S123)</f>
        <v/>
      </c>
      <c r="S124" s="3" t="str">
        <f>IF(GLAPS자동계산!T123="","",GLAPS자동계산!T123)</f>
        <v/>
      </c>
      <c r="T124" s="3" t="str">
        <f>IF(GLAPS자동계산!U123="","",GLAPS자동계산!U123)</f>
        <v/>
      </c>
      <c r="U124" s="3" t="str">
        <f>IF(GLAPS자동계산!V123="","",GLAPS자동계산!V123)</f>
        <v/>
      </c>
      <c r="V124" s="3" t="str">
        <f>IF(GLAPS자동계산!W123="","",GLAPS자동계산!W123)</f>
        <v/>
      </c>
      <c r="W124" s="14" t="str">
        <f>IF(GLAPS자동계산!X123="","",GLAPS자동계산!X123)</f>
        <v/>
      </c>
      <c r="X124" s="13" t="str">
        <f>IF(GLAPS자동계산!Y123="","",GLAPS자동계산!Y123)</f>
        <v/>
      </c>
      <c r="Y124" s="13" t="str">
        <f>IF(GLAPS자동계산!Z123="","",GLAPS자동계산!Z123)</f>
        <v/>
      </c>
      <c r="Z124" s="91" t="str">
        <f>IF(GLAPS자동계산!AA123="","",GLAPS자동계산!AA123)</f>
        <v/>
      </c>
      <c r="AA124" s="14" t="str">
        <f>IF(GLAPS자동계산!AB123="","",GLAPS자동계산!AB123)</f>
        <v/>
      </c>
      <c r="AC124" s="2" t="str">
        <f>IF($B124="","",$AC$1)</f>
        <v/>
      </c>
      <c r="AD124" s="2" t="str">
        <f>IF($B124="","",IFERROR(INDEX(GLAPS정리!$D$2:$D$50,MATCH(I124,GLAPS정리!$A$2:$A$50,0)),IFERROR(INDEX(GLAPS정리!$D$2:$D$50,MATCH(I124,GLAPS정리!$B$2:$B$50,0)),"")))</f>
        <v/>
      </c>
      <c r="AF124" s="2" t="str">
        <f>IF($B124="","",$AF$1)</f>
        <v/>
      </c>
      <c r="AI124" s="2" t="str">
        <f>IF($B124="","",IF(F124="","",VLOOKUP(F124,GLAPS정리!$G$3:$J$114,2,0)))</f>
        <v/>
      </c>
      <c r="AJ124" s="2" t="str">
        <f>IF($B124="","",IF(Z124="울산정일","KRONS",IF(Z124="울산신항","KRUSN",IF(OR(Z124="선광종합물류(인천여객)",Z124="인천여객(인천여객)"),"KRINF",IF(OR(Z124="선광인천보세(인천신)",Z124="한진인천(인천신)",Z124="선광인천신항(인천신)",Z124="인천더로지스(인천신)"),"KRINN",IF(OR(Z124="인천진아(인천항)",Z124="인천E1(인천항)",Z124="인천SM경인터미널(인천항)",Z124="인천항(인천항)",Z124="인천우련(인천항)",Z124="인천항8부두(인천항)"),"KRINC",VLOOKUP(K124,GLAPS정리!$BB$2:$BC$33,2,0)))))))</f>
        <v/>
      </c>
      <c r="AL124" s="2" t="str">
        <f>IF($B124="","",$AL$1)</f>
        <v/>
      </c>
      <c r="AN124" s="70" t="str">
        <f>IF($B124="","",TEXT(B124,"YYYY-MM-DD"))</f>
        <v/>
      </c>
      <c r="AO124" s="2" t="str">
        <f>IF($B124="","",IF(E124="오전", "0800", IF(E124="오후", "1300", IF(E124="잔업", "1800", ""))))</f>
        <v/>
      </c>
      <c r="AP124" s="2" t="str">
        <f>IF($B124="","",IF(C124="","",VLOOKUP(C124,GLAPS정리!$AX$2:$AZ$17,3,0)))</f>
        <v/>
      </c>
      <c r="AR124" s="2" t="str">
        <f>IF($B124="","",IF(X124="","",X124))</f>
        <v/>
      </c>
      <c r="AX124" s="2" t="str">
        <f>IF($B124="","",IF(L124="","",VLOOKUP(L124,GLAPS정리!$V$3:$W$180,2,0)))</f>
        <v/>
      </c>
      <c r="BM124" s="2" t="str">
        <f>IF($B124="","",IF(AND(Q124=1,OR(P124="",P124="위험물")), "2210", IF(AND(Q124=1,OR(P124="리퍼",P124="위험물리퍼")), "2230", IF(AND(S124=1,OR(P124="",P124="위험물")), "4510", IF(AND(S124=1,OR(P124="리퍼",P124="위험물리퍼")), "4530", IF(AND(R124=1,OR(P124="",P124="위험물")), "4210", IF(AND(R124=1,P124="리퍼"), "4230", " ")))))))</f>
        <v/>
      </c>
      <c r="BN124" s="2" t="str">
        <f>IF($B124="","",$BN$1)</f>
        <v/>
      </c>
      <c r="BR124" s="2" t="str">
        <f>IF($B124="","",IF(OR(P124="리퍼",P124="위험물리퍼"),"Y",""))</f>
        <v/>
      </c>
      <c r="BS124" s="2" t="str">
        <f>IF($B124="","",IF(OR(P124="위험물",P124="위험물리퍼"),"Y",""))</f>
        <v/>
      </c>
      <c r="BV124" s="2" t="str">
        <f>IF($B124="","",IF(O124="","",VLOOKUP(O124,GLAPS정리!$BH$2:$BI$94,2,0)))</f>
        <v/>
      </c>
      <c r="BW124" s="2" t="str">
        <f>IF($B124="","",IF(OR(Z124="동원",Z124="세방",Z124="한타"),"",IFERROR(INDEX(GLAPS정리!$BI$2:$BI$101,MATCH(Z124,GLAPS정리!$BH$2:$BH$101,0)),"")))</f>
        <v/>
      </c>
      <c r="BX124" s="2" t="str">
        <f>IF($B124="","",IF(Z124="","",IFERROR(VLOOKUP(Z124,GLAPS정리!$AX$2:$AZ$17,3,0),"")))</f>
        <v/>
      </c>
      <c r="BZ124" s="2" t="str">
        <f>IF($B124="","",IF(H124="","",VLOOKUP(H124,GLAPS정리!$L$3:$O$133,2,0)))</f>
        <v/>
      </c>
      <c r="CA124" s="2" t="str">
        <f>IF($B124="","",IF(V124="공휴일", 10, IF(V124="야간", 20, IF(V124="위험물", 30, IF(V124="중량", 40, "")))))</f>
        <v/>
      </c>
      <c r="CL124" s="2" t="str">
        <f>IF($B124="","",IF(AI124="","",VLOOKUP(AI124,GLAPS정리!$BT$3:$BV$26,3,0)))</f>
        <v/>
      </c>
    </row>
    <row r="125" spans="2:90" ht="20.45" customHeight="1">
      <c r="B125" s="13" t="str">
        <f>IF(GLAPS자동계산!C124="","",GLAPS자동계산!C124)</f>
        <v/>
      </c>
      <c r="C125" s="3" t="str">
        <f>IF(GLAPS자동계산!D124="","",GLAPS자동계산!D124)</f>
        <v/>
      </c>
      <c r="D125" s="16" t="str">
        <f>IF(GLAPS자동계산!E124="","",GLAPS자동계산!E124)</f>
        <v/>
      </c>
      <c r="E125" s="11" t="str">
        <f>IF(GLAPS자동계산!F124="","",GLAPS자동계산!F124)</f>
        <v/>
      </c>
      <c r="F125" s="3" t="str">
        <f>IF(GLAPS자동계산!G124="","",GLAPS자동계산!G124)</f>
        <v/>
      </c>
      <c r="G125" s="1" t="str">
        <f>IF(GLAPS자동계산!H124="","",GLAPS자동계산!H124)</f>
        <v/>
      </c>
      <c r="H125" s="3" t="str">
        <f>IF(GLAPS자동계산!I124="","",GLAPS자동계산!I124)</f>
        <v/>
      </c>
      <c r="I125" s="3" t="str">
        <f>IF(GLAPS자동계산!J124="","",GLAPS자동계산!J124)</f>
        <v/>
      </c>
      <c r="J125" s="3" t="str">
        <f>IF(GLAPS자동계산!K124="","",GLAPS자동계산!K124)</f>
        <v/>
      </c>
      <c r="K125" s="3" t="str">
        <f>IF(GLAPS자동계산!L124="","",GLAPS자동계산!L124)</f>
        <v/>
      </c>
      <c r="L125" s="3" t="str">
        <f>IF(GLAPS자동계산!M124="","",GLAPS자동계산!M124)</f>
        <v/>
      </c>
      <c r="M125" s="3" t="str">
        <f>IF(GLAPS자동계산!N124="","",GLAPS자동계산!N124)</f>
        <v/>
      </c>
      <c r="N125" s="3" t="str">
        <f>IF(GLAPS자동계산!O124="","",GLAPS자동계산!O124)</f>
        <v/>
      </c>
      <c r="O125" s="3" t="str">
        <f>IF(GLAPS자동계산!P124="","",GLAPS자동계산!P124)</f>
        <v/>
      </c>
      <c r="P125" s="2" t="str">
        <f>IF(GLAPS자동계산!Q124="","",GLAPS자동계산!Q124)</f>
        <v/>
      </c>
      <c r="Q125" s="3" t="str">
        <f>IF(GLAPS자동계산!R124="","",GLAPS자동계산!R124)</f>
        <v/>
      </c>
      <c r="R125" s="3" t="str">
        <f>IF(GLAPS자동계산!S124="","",GLAPS자동계산!S124)</f>
        <v/>
      </c>
      <c r="S125" s="3" t="str">
        <f>IF(GLAPS자동계산!T124="","",GLAPS자동계산!T124)</f>
        <v/>
      </c>
      <c r="T125" s="3" t="str">
        <f>IF(GLAPS자동계산!U124="","",GLAPS자동계산!U124)</f>
        <v/>
      </c>
      <c r="U125" s="3" t="str">
        <f>IF(GLAPS자동계산!V124="","",GLAPS자동계산!V124)</f>
        <v/>
      </c>
      <c r="V125" s="3" t="str">
        <f>IF(GLAPS자동계산!W124="","",GLAPS자동계산!W124)</f>
        <v/>
      </c>
      <c r="W125" s="14" t="str">
        <f>IF(GLAPS자동계산!X124="","",GLAPS자동계산!X124)</f>
        <v/>
      </c>
      <c r="X125" s="13" t="str">
        <f>IF(GLAPS자동계산!Y124="","",GLAPS자동계산!Y124)</f>
        <v/>
      </c>
      <c r="Y125" s="13" t="str">
        <f>IF(GLAPS자동계산!Z124="","",GLAPS자동계산!Z124)</f>
        <v/>
      </c>
      <c r="Z125" s="91" t="str">
        <f>IF(GLAPS자동계산!AA124="","",GLAPS자동계산!AA124)</f>
        <v/>
      </c>
      <c r="AA125" s="14" t="str">
        <f>IF(GLAPS자동계산!AB124="","",GLAPS자동계산!AB124)</f>
        <v/>
      </c>
      <c r="AC125" s="2" t="str">
        <f>IF($B125="","",$AC$1)</f>
        <v/>
      </c>
      <c r="AD125" s="2" t="str">
        <f>IF($B125="","",IFERROR(INDEX(GLAPS정리!$D$2:$D$50,MATCH(I125,GLAPS정리!$A$2:$A$50,0)),IFERROR(INDEX(GLAPS정리!$D$2:$D$50,MATCH(I125,GLAPS정리!$B$2:$B$50,0)),"")))</f>
        <v/>
      </c>
      <c r="AF125" s="2" t="str">
        <f>IF($B125="","",$AF$1)</f>
        <v/>
      </c>
      <c r="AI125" s="2" t="str">
        <f>IF($B125="","",IF(F125="","",VLOOKUP(F125,GLAPS정리!$G$3:$J$114,2,0)))</f>
        <v/>
      </c>
      <c r="AJ125" s="2" t="str">
        <f>IF($B125="","",IF(Z125="울산정일","KRONS",IF(Z125="울산신항","KRUSN",IF(OR(Z125="선광종합물류(인천여객)",Z125="인천여객(인천여객)"),"KRINF",IF(OR(Z125="선광인천보세(인천신)",Z125="한진인천(인천신)",Z125="선광인천신항(인천신)",Z125="인천더로지스(인천신)"),"KRINN",IF(OR(Z125="인천진아(인천항)",Z125="인천E1(인천항)",Z125="인천SM경인터미널(인천항)",Z125="인천항(인천항)",Z125="인천우련(인천항)",Z125="인천항8부두(인천항)"),"KRINC",VLOOKUP(K125,GLAPS정리!$BB$2:$BC$33,2,0)))))))</f>
        <v/>
      </c>
      <c r="AL125" s="2" t="str">
        <f>IF($B125="","",$AL$1)</f>
        <v/>
      </c>
      <c r="AN125" s="70" t="str">
        <f>IF($B125="","",TEXT(B125,"YYYY-MM-DD"))</f>
        <v/>
      </c>
      <c r="AO125" s="2" t="str">
        <f>IF($B125="","",IF(E125="오전", "0800", IF(E125="오후", "1300", IF(E125="잔업", "1800", ""))))</f>
        <v/>
      </c>
      <c r="AP125" s="2" t="str">
        <f>IF($B125="","",IF(C125="","",VLOOKUP(C125,GLAPS정리!$AX$2:$AZ$17,3,0)))</f>
        <v/>
      </c>
      <c r="AR125" s="2" t="str">
        <f>IF($B125="","",IF(X125="","",X125))</f>
        <v/>
      </c>
      <c r="AX125" s="2" t="str">
        <f>IF($B125="","",IF(L125="","",VLOOKUP(L125,GLAPS정리!$V$3:$W$180,2,0)))</f>
        <v/>
      </c>
      <c r="BM125" s="2" t="str">
        <f>IF($B125="","",IF(AND(Q125=1,OR(P125="",P125="위험물")), "2210", IF(AND(Q125=1,OR(P125="리퍼",P125="위험물리퍼")), "2230", IF(AND(S125=1,OR(P125="",P125="위험물")), "4510", IF(AND(S125=1,OR(P125="리퍼",P125="위험물리퍼")), "4530", IF(AND(R125=1,OR(P125="",P125="위험물")), "4210", IF(AND(R125=1,P125="리퍼"), "4230", " ")))))))</f>
        <v/>
      </c>
      <c r="BN125" s="2" t="str">
        <f>IF($B125="","",$BN$1)</f>
        <v/>
      </c>
      <c r="BR125" s="2" t="str">
        <f>IF($B125="","",IF(OR(P125="리퍼",P125="위험물리퍼"),"Y",""))</f>
        <v/>
      </c>
      <c r="BS125" s="2" t="str">
        <f>IF($B125="","",IF(OR(P125="위험물",P125="위험물리퍼"),"Y",""))</f>
        <v/>
      </c>
      <c r="BV125" s="2" t="str">
        <f>IF($B125="","",IF(O125="","",VLOOKUP(O125,GLAPS정리!$BH$2:$BI$94,2,0)))</f>
        <v/>
      </c>
      <c r="BW125" s="2" t="str">
        <f>IF($B125="","",IF(OR(Z125="동원",Z125="세방",Z125="한타"),"",IFERROR(INDEX(GLAPS정리!$BI$2:$BI$101,MATCH(Z125,GLAPS정리!$BH$2:$BH$101,0)),"")))</f>
        <v/>
      </c>
      <c r="BX125" s="2" t="str">
        <f>IF($B125="","",IF(Z125="","",IFERROR(VLOOKUP(Z125,GLAPS정리!$AX$2:$AZ$17,3,0),"")))</f>
        <v/>
      </c>
      <c r="BZ125" s="2" t="str">
        <f>IF($B125="","",IF(H125="","",VLOOKUP(H125,GLAPS정리!$L$3:$O$133,2,0)))</f>
        <v/>
      </c>
      <c r="CA125" s="2" t="str">
        <f>IF($B125="","",IF(V125="공휴일", 10, IF(V125="야간", 20, IF(V125="위험물", 30, IF(V125="중량", 40, "")))))</f>
        <v/>
      </c>
      <c r="CL125" s="2" t="str">
        <f>IF($B125="","",IF(AI125="","",VLOOKUP(AI125,GLAPS정리!$BT$3:$BV$26,3,0)))</f>
        <v/>
      </c>
    </row>
    <row r="126" spans="2:90" ht="20.45" customHeight="1">
      <c r="B126" s="13" t="str">
        <f>IF(GLAPS자동계산!C125="","",GLAPS자동계산!C125)</f>
        <v/>
      </c>
      <c r="C126" s="3" t="str">
        <f>IF(GLAPS자동계산!D125="","",GLAPS자동계산!D125)</f>
        <v/>
      </c>
      <c r="D126" s="16" t="str">
        <f>IF(GLAPS자동계산!E125="","",GLAPS자동계산!E125)</f>
        <v/>
      </c>
      <c r="E126" s="11" t="str">
        <f>IF(GLAPS자동계산!F125="","",GLAPS자동계산!F125)</f>
        <v/>
      </c>
      <c r="F126" s="3" t="str">
        <f>IF(GLAPS자동계산!G125="","",GLAPS자동계산!G125)</f>
        <v/>
      </c>
      <c r="G126" s="3" t="str">
        <f>IF(GLAPS자동계산!H125="","",GLAPS자동계산!H125)</f>
        <v/>
      </c>
      <c r="H126" s="3" t="str">
        <f>IF(GLAPS자동계산!I125="","",GLAPS자동계산!I125)</f>
        <v/>
      </c>
      <c r="I126" s="3" t="str">
        <f>IF(GLAPS자동계산!J125="","",GLAPS자동계산!J125)</f>
        <v/>
      </c>
      <c r="J126" s="3" t="str">
        <f>IF(GLAPS자동계산!K125="","",GLAPS자동계산!K125)</f>
        <v/>
      </c>
      <c r="K126" s="3" t="str">
        <f>IF(GLAPS자동계산!L125="","",GLAPS자동계산!L125)</f>
        <v/>
      </c>
      <c r="L126" s="3" t="str">
        <f>IF(GLAPS자동계산!M125="","",GLAPS자동계산!M125)</f>
        <v/>
      </c>
      <c r="M126" s="3" t="str">
        <f>IF(GLAPS자동계산!N125="","",GLAPS자동계산!N125)</f>
        <v/>
      </c>
      <c r="N126" s="3" t="str">
        <f>IF(GLAPS자동계산!O125="","",GLAPS자동계산!O125)</f>
        <v/>
      </c>
      <c r="O126" s="3" t="str">
        <f>IF(GLAPS자동계산!P125="","",GLAPS자동계산!P125)</f>
        <v/>
      </c>
      <c r="P126" s="2" t="str">
        <f>IF(GLAPS자동계산!Q125="","",GLAPS자동계산!Q125)</f>
        <v/>
      </c>
      <c r="Q126" s="3" t="str">
        <f>IF(GLAPS자동계산!R125="","",GLAPS자동계산!R125)</f>
        <v/>
      </c>
      <c r="R126" s="3" t="str">
        <f>IF(GLAPS자동계산!S125="","",GLAPS자동계산!S125)</f>
        <v/>
      </c>
      <c r="S126" s="3" t="str">
        <f>IF(GLAPS자동계산!T125="","",GLAPS자동계산!T125)</f>
        <v/>
      </c>
      <c r="T126" s="3" t="str">
        <f>IF(GLAPS자동계산!U125="","",GLAPS자동계산!U125)</f>
        <v/>
      </c>
      <c r="U126" s="3" t="str">
        <f>IF(GLAPS자동계산!V125="","",GLAPS자동계산!V125)</f>
        <v/>
      </c>
      <c r="V126" s="3" t="str">
        <f>IF(GLAPS자동계산!W125="","",GLAPS자동계산!W125)</f>
        <v/>
      </c>
      <c r="W126" s="14" t="str">
        <f>IF(GLAPS자동계산!X125="","",GLAPS자동계산!X125)</f>
        <v/>
      </c>
      <c r="X126" s="13" t="str">
        <f>IF(GLAPS자동계산!Y125="","",GLAPS자동계산!Y125)</f>
        <v/>
      </c>
      <c r="Y126" s="13" t="str">
        <f>IF(GLAPS자동계산!Z125="","",GLAPS자동계산!Z125)</f>
        <v/>
      </c>
      <c r="Z126" s="91" t="str">
        <f>IF(GLAPS자동계산!AA125="","",GLAPS자동계산!AA125)</f>
        <v/>
      </c>
      <c r="AA126" s="14" t="str">
        <f>IF(GLAPS자동계산!AB125="","",GLAPS자동계산!AB125)</f>
        <v/>
      </c>
      <c r="AC126" s="2" t="str">
        <f>IF($B126="","",$AC$1)</f>
        <v/>
      </c>
      <c r="AD126" s="2" t="str">
        <f>IF($B126="","",IFERROR(INDEX(GLAPS정리!$D$2:$D$50,MATCH(I126,GLAPS정리!$A$2:$A$50,0)),IFERROR(INDEX(GLAPS정리!$D$2:$D$50,MATCH(I126,GLAPS정리!$B$2:$B$50,0)),"")))</f>
        <v/>
      </c>
      <c r="AF126" s="2" t="str">
        <f>IF($B126="","",$AF$1)</f>
        <v/>
      </c>
      <c r="AI126" s="2" t="str">
        <f>IF($B126="","",IF(F126="","",VLOOKUP(F126,GLAPS정리!$G$3:$J$114,2,0)))</f>
        <v/>
      </c>
      <c r="AJ126" s="2" t="str">
        <f>IF($B126="","",IF(Z126="울산정일","KRONS",IF(Z126="울산신항","KRUSN",IF(OR(Z126="선광종합물류(인천여객)",Z126="인천여객(인천여객)"),"KRINF",IF(OR(Z126="선광인천보세(인천신)",Z126="한진인천(인천신)",Z126="선광인천신항(인천신)",Z126="인천더로지스(인천신)"),"KRINN",IF(OR(Z126="인천진아(인천항)",Z126="인천E1(인천항)",Z126="인천SM경인터미널(인천항)",Z126="인천항(인천항)",Z126="인천우련(인천항)",Z126="인천항8부두(인천항)"),"KRINC",VLOOKUP(K126,GLAPS정리!$BB$2:$BC$33,2,0)))))))</f>
        <v/>
      </c>
      <c r="AL126" s="2" t="str">
        <f>IF($B126="","",$AL$1)</f>
        <v/>
      </c>
      <c r="AN126" s="70" t="str">
        <f>IF($B126="","",TEXT(B126,"YYYY-MM-DD"))</f>
        <v/>
      </c>
      <c r="AO126" s="2" t="str">
        <f>IF($B126="","",IF(E126="오전", "0800", IF(E126="오후", "1300", IF(E126="잔업", "1800", ""))))</f>
        <v/>
      </c>
      <c r="AP126" s="2" t="str">
        <f>IF($B126="","",IF(C126="","",VLOOKUP(C126,GLAPS정리!$AX$2:$AZ$17,3,0)))</f>
        <v/>
      </c>
      <c r="AR126" s="2" t="str">
        <f>IF($B126="","",IF(X126="","",X126))</f>
        <v/>
      </c>
      <c r="AX126" s="2" t="str">
        <f>IF($B126="","",IF(L126="","",VLOOKUP(L126,GLAPS정리!$V$3:$W$180,2,0)))</f>
        <v/>
      </c>
      <c r="BM126" s="2" t="str">
        <f>IF($B126="","",IF(AND(Q126=1,OR(P126="",P126="위험물")), "2210", IF(AND(Q126=1,OR(P126="리퍼",P126="위험물리퍼")), "2230", IF(AND(S126=1,OR(P126="",P126="위험물")), "4510", IF(AND(S126=1,OR(P126="리퍼",P126="위험물리퍼")), "4530", IF(AND(R126=1,OR(P126="",P126="위험물")), "4210", IF(AND(R126=1,P126="리퍼"), "4230", " ")))))))</f>
        <v/>
      </c>
      <c r="BN126" s="2" t="str">
        <f>IF($B126="","",$BN$1)</f>
        <v/>
      </c>
      <c r="BR126" s="2" t="str">
        <f>IF($B126="","",IF(OR(P126="리퍼",P126="위험물리퍼"),"Y",""))</f>
        <v/>
      </c>
      <c r="BS126" s="2" t="str">
        <f>IF($B126="","",IF(OR(P126="위험물",P126="위험물리퍼"),"Y",""))</f>
        <v/>
      </c>
      <c r="BV126" s="2" t="str">
        <f>IF($B126="","",IF(O126="","",VLOOKUP(O126,GLAPS정리!$BH$2:$BI$94,2,0)))</f>
        <v/>
      </c>
      <c r="BW126" s="2" t="str">
        <f>IF($B126="","",IF(OR(Z126="동원",Z126="세방",Z126="한타"),"",IFERROR(INDEX(GLAPS정리!$BI$2:$BI$101,MATCH(Z126,GLAPS정리!$BH$2:$BH$101,0)),"")))</f>
        <v/>
      </c>
      <c r="BX126" s="2" t="str">
        <f>IF($B126="","",IF(Z126="","",IFERROR(VLOOKUP(Z126,GLAPS정리!$AX$2:$AZ$17,3,0),"")))</f>
        <v/>
      </c>
      <c r="BZ126" s="2" t="str">
        <f>IF($B126="","",IF(H126="","",VLOOKUP(H126,GLAPS정리!$L$3:$O$133,2,0)))</f>
        <v/>
      </c>
      <c r="CA126" s="2" t="str">
        <f>IF($B126="","",IF(V126="공휴일", 10, IF(V126="야간", 20, IF(V126="위험물", 30, IF(V126="중량", 40, "")))))</f>
        <v/>
      </c>
      <c r="CL126" s="2" t="str">
        <f>IF($B126="","",IF(AI126="","",VLOOKUP(AI126,GLAPS정리!$BT$3:$BV$26,3,0)))</f>
        <v/>
      </c>
    </row>
    <row r="127" spans="2:90" ht="20.45" customHeight="1">
      <c r="B127" s="13" t="str">
        <f>IF(GLAPS자동계산!C126="","",GLAPS자동계산!C126)</f>
        <v/>
      </c>
      <c r="C127" s="3" t="str">
        <f>IF(GLAPS자동계산!D126="","",GLAPS자동계산!D126)</f>
        <v/>
      </c>
      <c r="D127" s="16" t="str">
        <f>IF(GLAPS자동계산!E126="","",GLAPS자동계산!E126)</f>
        <v/>
      </c>
      <c r="E127" s="11" t="str">
        <f>IF(GLAPS자동계산!F126="","",GLAPS자동계산!F126)</f>
        <v/>
      </c>
      <c r="F127" s="3" t="str">
        <f>IF(GLAPS자동계산!G126="","",GLAPS자동계산!G126)</f>
        <v/>
      </c>
      <c r="G127" s="3" t="str">
        <f>IF(GLAPS자동계산!H126="","",GLAPS자동계산!H126)</f>
        <v/>
      </c>
      <c r="H127" s="3" t="str">
        <f>IF(GLAPS자동계산!I126="","",GLAPS자동계산!I126)</f>
        <v/>
      </c>
      <c r="I127" s="3" t="str">
        <f>IF(GLAPS자동계산!J126="","",GLAPS자동계산!J126)</f>
        <v/>
      </c>
      <c r="J127" s="3" t="str">
        <f>IF(GLAPS자동계산!K126="","",GLAPS자동계산!K126)</f>
        <v/>
      </c>
      <c r="K127" s="3" t="str">
        <f>IF(GLAPS자동계산!L126="","",GLAPS자동계산!L126)</f>
        <v/>
      </c>
      <c r="L127" s="3" t="str">
        <f>IF(GLAPS자동계산!M126="","",GLAPS자동계산!M126)</f>
        <v/>
      </c>
      <c r="M127" s="3" t="str">
        <f>IF(GLAPS자동계산!N126="","",GLAPS자동계산!N126)</f>
        <v/>
      </c>
      <c r="N127" s="3" t="str">
        <f>IF(GLAPS자동계산!O126="","",GLAPS자동계산!O126)</f>
        <v/>
      </c>
      <c r="O127" s="3" t="str">
        <f>IF(GLAPS자동계산!P126="","",GLAPS자동계산!P126)</f>
        <v/>
      </c>
      <c r="P127" s="2" t="str">
        <f>IF(GLAPS자동계산!Q126="","",GLAPS자동계산!Q126)</f>
        <v/>
      </c>
      <c r="Q127" s="3" t="str">
        <f>IF(GLAPS자동계산!R126="","",GLAPS자동계산!R126)</f>
        <v/>
      </c>
      <c r="R127" s="3" t="str">
        <f>IF(GLAPS자동계산!S126="","",GLAPS자동계산!S126)</f>
        <v/>
      </c>
      <c r="S127" s="3" t="str">
        <f>IF(GLAPS자동계산!T126="","",GLAPS자동계산!T126)</f>
        <v/>
      </c>
      <c r="T127" s="3" t="str">
        <f>IF(GLAPS자동계산!U126="","",GLAPS자동계산!U126)</f>
        <v/>
      </c>
      <c r="U127" s="3" t="str">
        <f>IF(GLAPS자동계산!V126="","",GLAPS자동계산!V126)</f>
        <v/>
      </c>
      <c r="V127" s="3" t="str">
        <f>IF(GLAPS자동계산!W126="","",GLAPS자동계산!W126)</f>
        <v/>
      </c>
      <c r="W127" s="14" t="str">
        <f>IF(GLAPS자동계산!X126="","",GLAPS자동계산!X126)</f>
        <v/>
      </c>
      <c r="X127" s="13" t="str">
        <f>IF(GLAPS자동계산!Y126="","",GLAPS자동계산!Y126)</f>
        <v/>
      </c>
      <c r="Y127" s="13" t="str">
        <f>IF(GLAPS자동계산!Z126="","",GLAPS자동계산!Z126)</f>
        <v/>
      </c>
      <c r="Z127" s="91" t="str">
        <f>IF(GLAPS자동계산!AA126="","",GLAPS자동계산!AA126)</f>
        <v/>
      </c>
      <c r="AA127" s="14" t="str">
        <f>IF(GLAPS자동계산!AB126="","",GLAPS자동계산!AB126)</f>
        <v/>
      </c>
      <c r="AC127" s="2" t="str">
        <f>IF($B127="","",$AC$1)</f>
        <v/>
      </c>
      <c r="AD127" s="2" t="str">
        <f>IF($B127="","",IFERROR(INDEX(GLAPS정리!$D$2:$D$50,MATCH(I127,GLAPS정리!$A$2:$A$50,0)),IFERROR(INDEX(GLAPS정리!$D$2:$D$50,MATCH(I127,GLAPS정리!$B$2:$B$50,0)),"")))</f>
        <v/>
      </c>
      <c r="AF127" s="2" t="str">
        <f>IF($B127="","",$AF$1)</f>
        <v/>
      </c>
      <c r="AI127" s="2" t="str">
        <f>IF($B127="","",IF(F127="","",VLOOKUP(F127,GLAPS정리!$G$3:$J$114,2,0)))</f>
        <v/>
      </c>
      <c r="AJ127" s="2" t="str">
        <f>IF($B127="","",IF(Z127="울산정일","KRONS",IF(Z127="울산신항","KRUSN",IF(OR(Z127="선광종합물류(인천여객)",Z127="인천여객(인천여객)"),"KRINF",IF(OR(Z127="선광인천보세(인천신)",Z127="한진인천(인천신)",Z127="선광인천신항(인천신)",Z127="인천더로지스(인천신)"),"KRINN",IF(OR(Z127="인천진아(인천항)",Z127="인천E1(인천항)",Z127="인천SM경인터미널(인천항)",Z127="인천항(인천항)",Z127="인천우련(인천항)",Z127="인천항8부두(인천항)"),"KRINC",VLOOKUP(K127,GLAPS정리!$BB$2:$BC$33,2,0)))))))</f>
        <v/>
      </c>
      <c r="AL127" s="2" t="str">
        <f>IF($B127="","",$AL$1)</f>
        <v/>
      </c>
      <c r="AN127" s="70" t="str">
        <f>IF($B127="","",TEXT(B127,"YYYY-MM-DD"))</f>
        <v/>
      </c>
      <c r="AO127" s="2" t="str">
        <f>IF($B127="","",IF(E127="오전", "0800", IF(E127="오후", "1300", IF(E127="잔업", "1800", ""))))</f>
        <v/>
      </c>
      <c r="AP127" s="2" t="str">
        <f>IF($B127="","",IF(C127="","",VLOOKUP(C127,GLAPS정리!$AX$2:$AZ$17,3,0)))</f>
        <v/>
      </c>
      <c r="AR127" s="2" t="str">
        <f>IF($B127="","",IF(X127="","",X127))</f>
        <v/>
      </c>
      <c r="AX127" s="2" t="str">
        <f>IF($B127="","",IF(L127="","",VLOOKUP(L127,GLAPS정리!$V$3:$W$180,2,0)))</f>
        <v/>
      </c>
      <c r="BM127" s="2" t="str">
        <f>IF($B127="","",IF(AND(Q127=1,OR(P127="",P127="위험물")), "2210", IF(AND(Q127=1,OR(P127="리퍼",P127="위험물리퍼")), "2230", IF(AND(S127=1,OR(P127="",P127="위험물")), "4510", IF(AND(S127=1,OR(P127="리퍼",P127="위험물리퍼")), "4530", IF(AND(R127=1,OR(P127="",P127="위험물")), "4210", IF(AND(R127=1,P127="리퍼"), "4230", " ")))))))</f>
        <v/>
      </c>
      <c r="BN127" s="2" t="str">
        <f>IF($B127="","",$BN$1)</f>
        <v/>
      </c>
      <c r="BR127" s="2" t="str">
        <f>IF($B127="","",IF(OR(P127="리퍼",P127="위험물리퍼"),"Y",""))</f>
        <v/>
      </c>
      <c r="BS127" s="2" t="str">
        <f>IF($B127="","",IF(OR(P127="위험물",P127="위험물리퍼"),"Y",""))</f>
        <v/>
      </c>
      <c r="BV127" s="2" t="str">
        <f>IF($B127="","",IF(O127="","",VLOOKUP(O127,GLAPS정리!$BH$2:$BI$94,2,0)))</f>
        <v/>
      </c>
      <c r="BW127" s="2" t="str">
        <f>IF($B127="","",IF(OR(Z127="동원",Z127="세방",Z127="한타"),"",IFERROR(INDEX(GLAPS정리!$BI$2:$BI$101,MATCH(Z127,GLAPS정리!$BH$2:$BH$101,0)),"")))</f>
        <v/>
      </c>
      <c r="BX127" s="2" t="str">
        <f>IF($B127="","",IF(Z127="","",IFERROR(VLOOKUP(Z127,GLAPS정리!$AX$2:$AZ$17,3,0),"")))</f>
        <v/>
      </c>
      <c r="BZ127" s="2" t="str">
        <f>IF($B127="","",IF(H127="","",VLOOKUP(H127,GLAPS정리!$L$3:$O$133,2,0)))</f>
        <v/>
      </c>
      <c r="CA127" s="2" t="str">
        <f>IF($B127="","",IF(V127="공휴일", 10, IF(V127="야간", 20, IF(V127="위험물", 30, IF(V127="중량", 40, "")))))</f>
        <v/>
      </c>
      <c r="CL127" s="2" t="str">
        <f>IF($B127="","",IF(AI127="","",VLOOKUP(AI127,GLAPS정리!$BT$3:$BV$26,3,0)))</f>
        <v/>
      </c>
    </row>
    <row r="128" spans="2:90" ht="20.45" customHeight="1">
      <c r="B128" s="13" t="str">
        <f>IF(GLAPS자동계산!C127="","",GLAPS자동계산!C127)</f>
        <v/>
      </c>
      <c r="C128" s="3" t="str">
        <f>IF(GLAPS자동계산!D127="","",GLAPS자동계산!D127)</f>
        <v/>
      </c>
      <c r="D128" s="16" t="str">
        <f>IF(GLAPS자동계산!E127="","",GLAPS자동계산!E127)</f>
        <v/>
      </c>
      <c r="E128" s="11" t="str">
        <f>IF(GLAPS자동계산!F127="","",GLAPS자동계산!F127)</f>
        <v/>
      </c>
      <c r="F128" s="3" t="str">
        <f>IF(GLAPS자동계산!G127="","",GLAPS자동계산!G127)</f>
        <v/>
      </c>
      <c r="G128" s="3" t="str">
        <f>IF(GLAPS자동계산!H127="","",GLAPS자동계산!H127)</f>
        <v/>
      </c>
      <c r="H128" s="3" t="str">
        <f>IF(GLAPS자동계산!I127="","",GLAPS자동계산!I127)</f>
        <v/>
      </c>
      <c r="I128" s="3" t="str">
        <f>IF(GLAPS자동계산!J127="","",GLAPS자동계산!J127)</f>
        <v/>
      </c>
      <c r="J128" s="3" t="str">
        <f>IF(GLAPS자동계산!K127="","",GLAPS자동계산!K127)</f>
        <v/>
      </c>
      <c r="K128" s="3" t="str">
        <f>IF(GLAPS자동계산!L127="","",GLAPS자동계산!L127)</f>
        <v/>
      </c>
      <c r="L128" s="3" t="str">
        <f>IF(GLAPS자동계산!M127="","",GLAPS자동계산!M127)</f>
        <v/>
      </c>
      <c r="M128" s="3" t="str">
        <f>IF(GLAPS자동계산!N127="","",GLAPS자동계산!N127)</f>
        <v/>
      </c>
      <c r="N128" s="3" t="str">
        <f>IF(GLAPS자동계산!O127="","",GLAPS자동계산!O127)</f>
        <v/>
      </c>
      <c r="O128" s="3" t="str">
        <f>IF(GLAPS자동계산!P127="","",GLAPS자동계산!P127)</f>
        <v/>
      </c>
      <c r="P128" s="2" t="str">
        <f>IF(GLAPS자동계산!Q127="","",GLAPS자동계산!Q127)</f>
        <v/>
      </c>
      <c r="Q128" s="3" t="str">
        <f>IF(GLAPS자동계산!R127="","",GLAPS자동계산!R127)</f>
        <v/>
      </c>
      <c r="R128" s="3" t="str">
        <f>IF(GLAPS자동계산!S127="","",GLAPS자동계산!S127)</f>
        <v/>
      </c>
      <c r="S128" s="3" t="str">
        <f>IF(GLAPS자동계산!T127="","",GLAPS자동계산!T127)</f>
        <v/>
      </c>
      <c r="T128" s="3" t="str">
        <f>IF(GLAPS자동계산!U127="","",GLAPS자동계산!U127)</f>
        <v/>
      </c>
      <c r="U128" s="3" t="str">
        <f>IF(GLAPS자동계산!V127="","",GLAPS자동계산!V127)</f>
        <v/>
      </c>
      <c r="V128" s="3" t="str">
        <f>IF(GLAPS자동계산!W127="","",GLAPS자동계산!W127)</f>
        <v/>
      </c>
      <c r="W128" s="14" t="str">
        <f>IF(GLAPS자동계산!X127="","",GLAPS자동계산!X127)</f>
        <v/>
      </c>
      <c r="X128" s="13" t="str">
        <f>IF(GLAPS자동계산!Y127="","",GLAPS자동계산!Y127)</f>
        <v/>
      </c>
      <c r="Y128" s="13" t="str">
        <f>IF(GLAPS자동계산!Z127="","",GLAPS자동계산!Z127)</f>
        <v/>
      </c>
      <c r="Z128" s="91" t="str">
        <f>IF(GLAPS자동계산!AA127="","",GLAPS자동계산!AA127)</f>
        <v/>
      </c>
      <c r="AA128" s="14" t="str">
        <f>IF(GLAPS자동계산!AB127="","",GLAPS자동계산!AB127)</f>
        <v/>
      </c>
      <c r="AC128" s="2" t="str">
        <f>IF($B128="","",$AC$1)</f>
        <v/>
      </c>
      <c r="AD128" s="2" t="str">
        <f>IF($B128="","",IFERROR(INDEX(GLAPS정리!$D$2:$D$50,MATCH(I128,GLAPS정리!$A$2:$A$50,0)),IFERROR(INDEX(GLAPS정리!$D$2:$D$50,MATCH(I128,GLAPS정리!$B$2:$B$50,0)),"")))</f>
        <v/>
      </c>
      <c r="AF128" s="2" t="str">
        <f>IF($B128="","",$AF$1)</f>
        <v/>
      </c>
      <c r="AI128" s="2" t="str">
        <f>IF($B128="","",IF(F128="","",VLOOKUP(F128,GLAPS정리!$G$3:$J$114,2,0)))</f>
        <v/>
      </c>
      <c r="AJ128" s="2" t="str">
        <f>IF($B128="","",IF(Z128="울산정일","KRONS",IF(Z128="울산신항","KRUSN",IF(OR(Z128="선광종합물류(인천여객)",Z128="인천여객(인천여객)"),"KRINF",IF(OR(Z128="선광인천보세(인천신)",Z128="한진인천(인천신)",Z128="선광인천신항(인천신)",Z128="인천더로지스(인천신)"),"KRINN",IF(OR(Z128="인천진아(인천항)",Z128="인천E1(인천항)",Z128="인천SM경인터미널(인천항)",Z128="인천항(인천항)",Z128="인천우련(인천항)",Z128="인천항8부두(인천항)"),"KRINC",VLOOKUP(K128,GLAPS정리!$BB$2:$BC$33,2,0)))))))</f>
        <v/>
      </c>
      <c r="AL128" s="2" t="str">
        <f>IF($B128="","",$AL$1)</f>
        <v/>
      </c>
      <c r="AN128" s="70" t="str">
        <f>IF($B128="","",TEXT(B128,"YYYY-MM-DD"))</f>
        <v/>
      </c>
      <c r="AO128" s="2" t="str">
        <f>IF($B128="","",IF(E128="오전", "0800", IF(E128="오후", "1300", IF(E128="잔업", "1800", ""))))</f>
        <v/>
      </c>
      <c r="AP128" s="2" t="str">
        <f>IF($B128="","",IF(C128="","",VLOOKUP(C128,GLAPS정리!$AX$2:$AZ$17,3,0)))</f>
        <v/>
      </c>
      <c r="AR128" s="2" t="str">
        <f>IF($B128="","",IF(X128="","",X128))</f>
        <v/>
      </c>
      <c r="AX128" s="2" t="str">
        <f>IF($B128="","",IF(L128="","",VLOOKUP(L128,GLAPS정리!$V$3:$W$180,2,0)))</f>
        <v/>
      </c>
      <c r="BM128" s="2" t="str">
        <f>IF($B128="","",IF(AND(Q128=1,OR(P128="",P128="위험물")), "2210", IF(AND(Q128=1,OR(P128="리퍼",P128="위험물리퍼")), "2230", IF(AND(S128=1,OR(P128="",P128="위험물")), "4510", IF(AND(S128=1,OR(P128="리퍼",P128="위험물리퍼")), "4530", IF(AND(R128=1,OR(P128="",P128="위험물")), "4210", IF(AND(R128=1,P128="리퍼"), "4230", " ")))))))</f>
        <v/>
      </c>
      <c r="BN128" s="2" t="str">
        <f>IF($B128="","",$BN$1)</f>
        <v/>
      </c>
      <c r="BR128" s="2" t="str">
        <f>IF($B128="","",IF(OR(P128="리퍼",P128="위험물리퍼"),"Y",""))</f>
        <v/>
      </c>
      <c r="BS128" s="2" t="str">
        <f>IF($B128="","",IF(OR(P128="위험물",P128="위험물리퍼"),"Y",""))</f>
        <v/>
      </c>
      <c r="BV128" s="2" t="str">
        <f>IF($B128="","",IF(O128="","",VLOOKUP(O128,GLAPS정리!$BH$2:$BI$94,2,0)))</f>
        <v/>
      </c>
      <c r="BW128" s="2" t="str">
        <f>IF($B128="","",IF(OR(Z128="동원",Z128="세방",Z128="한타"),"",IFERROR(INDEX(GLAPS정리!$BI$2:$BI$101,MATCH(Z128,GLAPS정리!$BH$2:$BH$101,0)),"")))</f>
        <v/>
      </c>
      <c r="BX128" s="2" t="str">
        <f>IF($B128="","",IF(Z128="","",IFERROR(VLOOKUP(Z128,GLAPS정리!$AX$2:$AZ$17,3,0),"")))</f>
        <v/>
      </c>
      <c r="BZ128" s="2" t="str">
        <f>IF($B128="","",IF(H128="","",VLOOKUP(H128,GLAPS정리!$L$3:$O$133,2,0)))</f>
        <v/>
      </c>
      <c r="CA128" s="2" t="str">
        <f>IF($B128="","",IF(V128="공휴일", 10, IF(V128="야간", 20, IF(V128="위험물", 30, IF(V128="중량", 40, "")))))</f>
        <v/>
      </c>
      <c r="CL128" s="2" t="str">
        <f>IF($B128="","",IF(AI128="","",VLOOKUP(AI128,GLAPS정리!$BT$3:$BV$26,3,0)))</f>
        <v/>
      </c>
    </row>
    <row r="129" spans="2:90" ht="20.45" customHeight="1">
      <c r="B129" s="13" t="str">
        <f>IF(GLAPS자동계산!C128="","",GLAPS자동계산!C128)</f>
        <v/>
      </c>
      <c r="C129" s="3" t="str">
        <f>IF(GLAPS자동계산!D128="","",GLAPS자동계산!D128)</f>
        <v/>
      </c>
      <c r="D129" s="16" t="str">
        <f>IF(GLAPS자동계산!E128="","",GLAPS자동계산!E128)</f>
        <v/>
      </c>
      <c r="E129" s="11" t="str">
        <f>IF(GLAPS자동계산!F128="","",GLAPS자동계산!F128)</f>
        <v/>
      </c>
      <c r="F129" s="3" t="str">
        <f>IF(GLAPS자동계산!G128="","",GLAPS자동계산!G128)</f>
        <v/>
      </c>
      <c r="G129" s="3" t="str">
        <f>IF(GLAPS자동계산!H128="","",GLAPS자동계산!H128)</f>
        <v/>
      </c>
      <c r="H129" s="3" t="str">
        <f>IF(GLAPS자동계산!I128="","",GLAPS자동계산!I128)</f>
        <v/>
      </c>
      <c r="I129" s="3" t="str">
        <f>IF(GLAPS자동계산!J128="","",GLAPS자동계산!J128)</f>
        <v/>
      </c>
      <c r="J129" s="3" t="str">
        <f>IF(GLAPS자동계산!K128="","",GLAPS자동계산!K128)</f>
        <v/>
      </c>
      <c r="K129" s="3" t="str">
        <f>IF(GLAPS자동계산!L128="","",GLAPS자동계산!L128)</f>
        <v/>
      </c>
      <c r="L129" s="3" t="str">
        <f>IF(GLAPS자동계산!M128="","",GLAPS자동계산!M128)</f>
        <v/>
      </c>
      <c r="M129" s="3" t="str">
        <f>IF(GLAPS자동계산!N128="","",GLAPS자동계산!N128)</f>
        <v/>
      </c>
      <c r="N129" s="3" t="str">
        <f>IF(GLAPS자동계산!O128="","",GLAPS자동계산!O128)</f>
        <v/>
      </c>
      <c r="O129" s="3" t="str">
        <f>IF(GLAPS자동계산!P128="","",GLAPS자동계산!P128)</f>
        <v/>
      </c>
      <c r="P129" s="2" t="str">
        <f>IF(GLAPS자동계산!Q128="","",GLAPS자동계산!Q128)</f>
        <v/>
      </c>
      <c r="Q129" s="3" t="str">
        <f>IF(GLAPS자동계산!R128="","",GLAPS자동계산!R128)</f>
        <v/>
      </c>
      <c r="R129" s="3" t="str">
        <f>IF(GLAPS자동계산!S128="","",GLAPS자동계산!S128)</f>
        <v/>
      </c>
      <c r="S129" s="3" t="str">
        <f>IF(GLAPS자동계산!T128="","",GLAPS자동계산!T128)</f>
        <v/>
      </c>
      <c r="T129" s="3" t="str">
        <f>IF(GLAPS자동계산!U128="","",GLAPS자동계산!U128)</f>
        <v/>
      </c>
      <c r="U129" s="3" t="str">
        <f>IF(GLAPS자동계산!V128="","",GLAPS자동계산!V128)</f>
        <v/>
      </c>
      <c r="V129" s="3" t="str">
        <f>IF(GLAPS자동계산!W128="","",GLAPS자동계산!W128)</f>
        <v/>
      </c>
      <c r="W129" s="14" t="str">
        <f>IF(GLAPS자동계산!X128="","",GLAPS자동계산!X128)</f>
        <v/>
      </c>
      <c r="X129" s="13" t="str">
        <f>IF(GLAPS자동계산!Y128="","",GLAPS자동계산!Y128)</f>
        <v/>
      </c>
      <c r="Y129" s="13" t="str">
        <f>IF(GLAPS자동계산!Z128="","",GLAPS자동계산!Z128)</f>
        <v/>
      </c>
      <c r="Z129" s="91" t="str">
        <f>IF(GLAPS자동계산!AA128="","",GLAPS자동계산!AA128)</f>
        <v/>
      </c>
      <c r="AA129" s="14" t="str">
        <f>IF(GLAPS자동계산!AB128="","",GLAPS자동계산!AB128)</f>
        <v/>
      </c>
      <c r="AC129" s="2" t="str">
        <f>IF($B129="","",$AC$1)</f>
        <v/>
      </c>
      <c r="AD129" s="2" t="str">
        <f>IF($B129="","",IFERROR(INDEX(GLAPS정리!$D$2:$D$50,MATCH(I129,GLAPS정리!$A$2:$A$50,0)),IFERROR(INDEX(GLAPS정리!$D$2:$D$50,MATCH(I129,GLAPS정리!$B$2:$B$50,0)),"")))</f>
        <v/>
      </c>
      <c r="AF129" s="2" t="str">
        <f>IF($B129="","",$AF$1)</f>
        <v/>
      </c>
      <c r="AI129" s="2" t="str">
        <f>IF($B129="","",IF(F129="","",VLOOKUP(F129,GLAPS정리!$G$3:$J$114,2,0)))</f>
        <v/>
      </c>
      <c r="AJ129" s="2" t="str">
        <f>IF($B129="","",IF(Z129="울산정일","KRONS",IF(Z129="울산신항","KRUSN",IF(OR(Z129="선광종합물류(인천여객)",Z129="인천여객(인천여객)"),"KRINF",IF(OR(Z129="선광인천보세(인천신)",Z129="한진인천(인천신)",Z129="선광인천신항(인천신)",Z129="인천더로지스(인천신)"),"KRINN",IF(OR(Z129="인천진아(인천항)",Z129="인천E1(인천항)",Z129="인천SM경인터미널(인천항)",Z129="인천항(인천항)",Z129="인천우련(인천항)",Z129="인천항8부두(인천항)"),"KRINC",VLOOKUP(K129,GLAPS정리!$BB$2:$BC$33,2,0)))))))</f>
        <v/>
      </c>
      <c r="AL129" s="2" t="str">
        <f>IF($B129="","",$AL$1)</f>
        <v/>
      </c>
      <c r="AN129" s="70" t="str">
        <f>IF($B129="","",TEXT(B129,"YYYY-MM-DD"))</f>
        <v/>
      </c>
      <c r="AO129" s="2" t="str">
        <f>IF($B129="","",IF(E129="오전", "0800", IF(E129="오후", "1300", IF(E129="잔업", "1800", ""))))</f>
        <v/>
      </c>
      <c r="AP129" s="2" t="str">
        <f>IF($B129="","",IF(C129="","",VLOOKUP(C129,GLAPS정리!$AX$2:$AZ$17,3,0)))</f>
        <v/>
      </c>
      <c r="AR129" s="2" t="str">
        <f>IF($B129="","",IF(X129="","",X129))</f>
        <v/>
      </c>
      <c r="AX129" s="2" t="str">
        <f>IF($B129="","",IF(L129="","",VLOOKUP(L129,GLAPS정리!$V$3:$W$180,2,0)))</f>
        <v/>
      </c>
      <c r="BM129" s="2" t="str">
        <f>IF($B129="","",IF(AND(Q129=1,OR(P129="",P129="위험물")), "2210", IF(AND(Q129=1,OR(P129="리퍼",P129="위험물리퍼")), "2230", IF(AND(S129=1,OR(P129="",P129="위험물")), "4510", IF(AND(S129=1,OR(P129="리퍼",P129="위험물리퍼")), "4530", IF(AND(R129=1,OR(P129="",P129="위험물")), "4210", IF(AND(R129=1,P129="리퍼"), "4230", " ")))))))</f>
        <v/>
      </c>
      <c r="BN129" s="2" t="str">
        <f>IF($B129="","",$BN$1)</f>
        <v/>
      </c>
      <c r="BR129" s="2" t="str">
        <f>IF($B129="","",IF(OR(P129="리퍼",P129="위험물리퍼"),"Y",""))</f>
        <v/>
      </c>
      <c r="BS129" s="2" t="str">
        <f>IF($B129="","",IF(OR(P129="위험물",P129="위험물리퍼"),"Y",""))</f>
        <v/>
      </c>
      <c r="BV129" s="2" t="str">
        <f>IF($B129="","",IF(O129="","",VLOOKUP(O129,GLAPS정리!$BH$2:$BI$94,2,0)))</f>
        <v/>
      </c>
      <c r="BW129" s="2" t="str">
        <f>IF($B129="","",IF(OR(Z129="동원",Z129="세방",Z129="한타"),"",IFERROR(INDEX(GLAPS정리!$BI$2:$BI$101,MATCH(Z129,GLAPS정리!$BH$2:$BH$101,0)),"")))</f>
        <v/>
      </c>
      <c r="BX129" s="2" t="str">
        <f>IF($B129="","",IF(Z129="","",IFERROR(VLOOKUP(Z129,GLAPS정리!$AX$2:$AZ$17,3,0),"")))</f>
        <v/>
      </c>
      <c r="BZ129" s="2" t="str">
        <f>IF($B129="","",IF(H129="","",VLOOKUP(H129,GLAPS정리!$L$3:$O$133,2,0)))</f>
        <v/>
      </c>
      <c r="CA129" s="2" t="str">
        <f>IF($B129="","",IF(V129="공휴일", 10, IF(V129="야간", 20, IF(V129="위험물", 30, IF(V129="중량", 40, "")))))</f>
        <v/>
      </c>
      <c r="CL129" s="2" t="str">
        <f>IF($B129="","",IF(AI129="","",VLOOKUP(AI129,GLAPS정리!$BT$3:$BV$26,3,0)))</f>
        <v/>
      </c>
    </row>
    <row r="130" spans="2:90" ht="20.45" customHeight="1">
      <c r="B130" s="13" t="str">
        <f>IF(GLAPS자동계산!C129="","",GLAPS자동계산!C129)</f>
        <v/>
      </c>
      <c r="C130" s="3" t="str">
        <f>IF(GLAPS자동계산!D129="","",GLAPS자동계산!D129)</f>
        <v/>
      </c>
      <c r="D130" s="16" t="str">
        <f>IF(GLAPS자동계산!E129="","",GLAPS자동계산!E129)</f>
        <v/>
      </c>
      <c r="E130" s="11" t="str">
        <f>IF(GLAPS자동계산!F129="","",GLAPS자동계산!F129)</f>
        <v/>
      </c>
      <c r="F130" s="3" t="str">
        <f>IF(GLAPS자동계산!G129="","",GLAPS자동계산!G129)</f>
        <v/>
      </c>
      <c r="G130" s="3" t="str">
        <f>IF(GLAPS자동계산!H129="","",GLAPS자동계산!H129)</f>
        <v/>
      </c>
      <c r="H130" s="3" t="str">
        <f>IF(GLAPS자동계산!I129="","",GLAPS자동계산!I129)</f>
        <v/>
      </c>
      <c r="I130" s="3" t="str">
        <f>IF(GLAPS자동계산!J129="","",GLAPS자동계산!J129)</f>
        <v/>
      </c>
      <c r="J130" s="3" t="str">
        <f>IF(GLAPS자동계산!K129="","",GLAPS자동계산!K129)</f>
        <v/>
      </c>
      <c r="K130" s="3" t="str">
        <f>IF(GLAPS자동계산!L129="","",GLAPS자동계산!L129)</f>
        <v/>
      </c>
      <c r="L130" s="3" t="str">
        <f>IF(GLAPS자동계산!M129="","",GLAPS자동계산!M129)</f>
        <v/>
      </c>
      <c r="M130" s="3" t="str">
        <f>IF(GLAPS자동계산!N129="","",GLAPS자동계산!N129)</f>
        <v/>
      </c>
      <c r="N130" s="3" t="str">
        <f>IF(GLAPS자동계산!O129="","",GLAPS자동계산!O129)</f>
        <v/>
      </c>
      <c r="O130" s="3" t="str">
        <f>IF(GLAPS자동계산!P129="","",GLAPS자동계산!P129)</f>
        <v/>
      </c>
      <c r="P130" s="2" t="str">
        <f>IF(GLAPS자동계산!Q129="","",GLAPS자동계산!Q129)</f>
        <v/>
      </c>
      <c r="Q130" s="3" t="str">
        <f>IF(GLAPS자동계산!R129="","",GLAPS자동계산!R129)</f>
        <v/>
      </c>
      <c r="R130" s="3" t="str">
        <f>IF(GLAPS자동계산!S129="","",GLAPS자동계산!S129)</f>
        <v/>
      </c>
      <c r="S130" s="3" t="str">
        <f>IF(GLAPS자동계산!T129="","",GLAPS자동계산!T129)</f>
        <v/>
      </c>
      <c r="T130" s="3" t="str">
        <f>IF(GLAPS자동계산!U129="","",GLAPS자동계산!U129)</f>
        <v/>
      </c>
      <c r="U130" s="3" t="str">
        <f>IF(GLAPS자동계산!V129="","",GLAPS자동계산!V129)</f>
        <v/>
      </c>
      <c r="V130" s="3" t="str">
        <f>IF(GLAPS자동계산!W129="","",GLAPS자동계산!W129)</f>
        <v/>
      </c>
      <c r="W130" s="14" t="str">
        <f>IF(GLAPS자동계산!X129="","",GLAPS자동계산!X129)</f>
        <v/>
      </c>
      <c r="X130" s="13" t="str">
        <f>IF(GLAPS자동계산!Y129="","",GLAPS자동계산!Y129)</f>
        <v/>
      </c>
      <c r="Y130" s="13" t="str">
        <f>IF(GLAPS자동계산!Z129="","",GLAPS자동계산!Z129)</f>
        <v/>
      </c>
      <c r="Z130" s="91" t="str">
        <f>IF(GLAPS자동계산!AA129="","",GLAPS자동계산!AA129)</f>
        <v/>
      </c>
      <c r="AA130" s="14" t="str">
        <f>IF(GLAPS자동계산!AB129="","",GLAPS자동계산!AB129)</f>
        <v/>
      </c>
      <c r="AC130" s="2" t="str">
        <f>IF($B130="","",$AC$1)</f>
        <v/>
      </c>
      <c r="AD130" s="2" t="str">
        <f>IF($B130="","",IFERROR(INDEX(GLAPS정리!$D$2:$D$50,MATCH(I130,GLAPS정리!$A$2:$A$50,0)),IFERROR(INDEX(GLAPS정리!$D$2:$D$50,MATCH(I130,GLAPS정리!$B$2:$B$50,0)),"")))</f>
        <v/>
      </c>
      <c r="AF130" s="2" t="str">
        <f>IF($B130="","",$AF$1)</f>
        <v/>
      </c>
      <c r="AI130" s="2" t="str">
        <f>IF($B130="","",IF(F130="","",VLOOKUP(F130,GLAPS정리!$G$3:$J$114,2,0)))</f>
        <v/>
      </c>
      <c r="AJ130" s="2" t="str">
        <f>IF($B130="","",IF(Z130="울산정일","KRONS",IF(Z130="울산신항","KRUSN",IF(OR(Z130="선광종합물류(인천여객)",Z130="인천여객(인천여객)"),"KRINF",IF(OR(Z130="선광인천보세(인천신)",Z130="한진인천(인천신)",Z130="선광인천신항(인천신)",Z130="인천더로지스(인천신)"),"KRINN",IF(OR(Z130="인천진아(인천항)",Z130="인천E1(인천항)",Z130="인천SM경인터미널(인천항)",Z130="인천항(인천항)",Z130="인천우련(인천항)",Z130="인천항8부두(인천항)"),"KRINC",VLOOKUP(K130,GLAPS정리!$BB$2:$BC$33,2,0)))))))</f>
        <v/>
      </c>
      <c r="AL130" s="2" t="str">
        <f>IF($B130="","",$AL$1)</f>
        <v/>
      </c>
      <c r="AN130" s="70" t="str">
        <f>IF($B130="","",TEXT(B130,"YYYY-MM-DD"))</f>
        <v/>
      </c>
      <c r="AO130" s="2" t="str">
        <f>IF($B130="","",IF(E130="오전", "0800", IF(E130="오후", "1300", IF(E130="잔업", "1800", ""))))</f>
        <v/>
      </c>
      <c r="AP130" s="2" t="str">
        <f>IF($B130="","",IF(C130="","",VLOOKUP(C130,GLAPS정리!$AX$2:$AZ$17,3,0)))</f>
        <v/>
      </c>
      <c r="AR130" s="2" t="str">
        <f>IF($B130="","",IF(X130="","",X130))</f>
        <v/>
      </c>
      <c r="AX130" s="2" t="str">
        <f>IF($B130="","",IF(L130="","",VLOOKUP(L130,GLAPS정리!$V$3:$W$180,2,0)))</f>
        <v/>
      </c>
      <c r="BM130" s="2" t="str">
        <f>IF($B130="","",IF(AND(Q130=1,OR(P130="",P130="위험물")), "2210", IF(AND(Q130=1,OR(P130="리퍼",P130="위험물리퍼")), "2230", IF(AND(S130=1,OR(P130="",P130="위험물")), "4510", IF(AND(S130=1,OR(P130="리퍼",P130="위험물리퍼")), "4530", IF(AND(R130=1,OR(P130="",P130="위험물")), "4210", IF(AND(R130=1,P130="리퍼"), "4230", " ")))))))</f>
        <v/>
      </c>
      <c r="BN130" s="2" t="str">
        <f>IF($B130="","",$BN$1)</f>
        <v/>
      </c>
      <c r="BR130" s="2" t="str">
        <f>IF($B130="","",IF(OR(P130="리퍼",P130="위험물리퍼"),"Y",""))</f>
        <v/>
      </c>
      <c r="BS130" s="2" t="str">
        <f>IF($B130="","",IF(OR(P130="위험물",P130="위험물리퍼"),"Y",""))</f>
        <v/>
      </c>
      <c r="BV130" s="2" t="str">
        <f>IF($B130="","",IF(O130="","",VLOOKUP(O130,GLAPS정리!$BH$2:$BI$94,2,0)))</f>
        <v/>
      </c>
      <c r="BW130" s="2" t="str">
        <f>IF($B130="","",IF(OR(Z130="동원",Z130="세방",Z130="한타"),"",IFERROR(INDEX(GLAPS정리!$BI$2:$BI$101,MATCH(Z130,GLAPS정리!$BH$2:$BH$101,0)),"")))</f>
        <v/>
      </c>
      <c r="BX130" s="2" t="str">
        <f>IF($B130="","",IF(Z130="","",IFERROR(VLOOKUP(Z130,GLAPS정리!$AX$2:$AZ$17,3,0),"")))</f>
        <v/>
      </c>
      <c r="BZ130" s="2" t="str">
        <f>IF($B130="","",IF(H130="","",VLOOKUP(H130,GLAPS정리!$L$3:$O$133,2,0)))</f>
        <v/>
      </c>
      <c r="CA130" s="2" t="str">
        <f>IF($B130="","",IF(V130="공휴일", 10, IF(V130="야간", 20, IF(V130="위험물", 30, IF(V130="중량", 40, "")))))</f>
        <v/>
      </c>
      <c r="CL130" s="2" t="str">
        <f>IF($B130="","",IF(AI130="","",VLOOKUP(AI130,GLAPS정리!$BT$3:$BV$26,3,0)))</f>
        <v/>
      </c>
    </row>
    <row r="131" spans="2:90" ht="20.45" customHeight="1">
      <c r="B131" s="13" t="str">
        <f>IF(GLAPS자동계산!C130="","",GLAPS자동계산!C130)</f>
        <v/>
      </c>
      <c r="C131" s="3" t="str">
        <f>IF(GLAPS자동계산!D130="","",GLAPS자동계산!D130)</f>
        <v/>
      </c>
      <c r="D131" s="16" t="str">
        <f>IF(GLAPS자동계산!E130="","",GLAPS자동계산!E130)</f>
        <v/>
      </c>
      <c r="E131" s="11" t="str">
        <f>IF(GLAPS자동계산!F130="","",GLAPS자동계산!F130)</f>
        <v/>
      </c>
      <c r="F131" s="3" t="str">
        <f>IF(GLAPS자동계산!G130="","",GLAPS자동계산!G130)</f>
        <v/>
      </c>
      <c r="G131" s="3" t="str">
        <f>IF(GLAPS자동계산!H130="","",GLAPS자동계산!H130)</f>
        <v/>
      </c>
      <c r="H131" s="3" t="str">
        <f>IF(GLAPS자동계산!I130="","",GLAPS자동계산!I130)</f>
        <v/>
      </c>
      <c r="I131" s="3" t="str">
        <f>IF(GLAPS자동계산!J130="","",GLAPS자동계산!J130)</f>
        <v/>
      </c>
      <c r="J131" s="3" t="str">
        <f>IF(GLAPS자동계산!K130="","",GLAPS자동계산!K130)</f>
        <v/>
      </c>
      <c r="K131" s="3" t="str">
        <f>IF(GLAPS자동계산!L130="","",GLAPS자동계산!L130)</f>
        <v/>
      </c>
      <c r="L131" s="3" t="str">
        <f>IF(GLAPS자동계산!M130="","",GLAPS자동계산!M130)</f>
        <v/>
      </c>
      <c r="M131" s="3" t="str">
        <f>IF(GLAPS자동계산!N130="","",GLAPS자동계산!N130)</f>
        <v/>
      </c>
      <c r="N131" s="3" t="str">
        <f>IF(GLAPS자동계산!O130="","",GLAPS자동계산!O130)</f>
        <v/>
      </c>
      <c r="O131" s="3" t="str">
        <f>IF(GLAPS자동계산!P130="","",GLAPS자동계산!P130)</f>
        <v/>
      </c>
      <c r="P131" s="2" t="str">
        <f>IF(GLAPS자동계산!Q130="","",GLAPS자동계산!Q130)</f>
        <v/>
      </c>
      <c r="Q131" s="3" t="str">
        <f>IF(GLAPS자동계산!R130="","",GLAPS자동계산!R130)</f>
        <v/>
      </c>
      <c r="R131" s="3" t="str">
        <f>IF(GLAPS자동계산!S130="","",GLAPS자동계산!S130)</f>
        <v/>
      </c>
      <c r="S131" s="3" t="str">
        <f>IF(GLAPS자동계산!T130="","",GLAPS자동계산!T130)</f>
        <v/>
      </c>
      <c r="T131" s="3" t="str">
        <f>IF(GLAPS자동계산!U130="","",GLAPS자동계산!U130)</f>
        <v/>
      </c>
      <c r="U131" s="3" t="str">
        <f>IF(GLAPS자동계산!V130="","",GLAPS자동계산!V130)</f>
        <v/>
      </c>
      <c r="V131" s="3" t="str">
        <f>IF(GLAPS자동계산!W130="","",GLAPS자동계산!W130)</f>
        <v/>
      </c>
      <c r="W131" s="14" t="str">
        <f>IF(GLAPS자동계산!X130="","",GLAPS자동계산!X130)</f>
        <v/>
      </c>
      <c r="X131" s="13" t="str">
        <f>IF(GLAPS자동계산!Y130="","",GLAPS자동계산!Y130)</f>
        <v/>
      </c>
      <c r="Y131" s="13" t="str">
        <f>IF(GLAPS자동계산!Z130="","",GLAPS자동계산!Z130)</f>
        <v/>
      </c>
      <c r="Z131" s="91" t="str">
        <f>IF(GLAPS자동계산!AA130="","",GLAPS자동계산!AA130)</f>
        <v/>
      </c>
      <c r="AA131" s="14" t="str">
        <f>IF(GLAPS자동계산!AB130="","",GLAPS자동계산!AB130)</f>
        <v/>
      </c>
      <c r="AC131" s="2" t="str">
        <f>IF($B131="","",$AC$1)</f>
        <v/>
      </c>
      <c r="AD131" s="2" t="str">
        <f>IF($B131="","",IFERROR(INDEX(GLAPS정리!$D$2:$D$50,MATCH(I131,GLAPS정리!$A$2:$A$50,0)),IFERROR(INDEX(GLAPS정리!$D$2:$D$50,MATCH(I131,GLAPS정리!$B$2:$B$50,0)),"")))</f>
        <v/>
      </c>
      <c r="AF131" s="2" t="str">
        <f>IF($B131="","",$AF$1)</f>
        <v/>
      </c>
      <c r="AI131" s="2" t="str">
        <f>IF($B131="","",IF(F131="","",VLOOKUP(F131,GLAPS정리!$G$3:$J$114,2,0)))</f>
        <v/>
      </c>
      <c r="AJ131" s="2" t="str">
        <f>IF($B131="","",IF(Z131="울산정일","KRONS",IF(Z131="울산신항","KRUSN",IF(OR(Z131="선광종합물류(인천여객)",Z131="인천여객(인천여객)"),"KRINF",IF(OR(Z131="선광인천보세(인천신)",Z131="한진인천(인천신)",Z131="선광인천신항(인천신)",Z131="인천더로지스(인천신)"),"KRINN",IF(OR(Z131="인천진아(인천항)",Z131="인천E1(인천항)",Z131="인천SM경인터미널(인천항)",Z131="인천항(인천항)",Z131="인천우련(인천항)",Z131="인천항8부두(인천항)"),"KRINC",VLOOKUP(K131,GLAPS정리!$BB$2:$BC$33,2,0)))))))</f>
        <v/>
      </c>
      <c r="AL131" s="2" t="str">
        <f>IF($B131="","",$AL$1)</f>
        <v/>
      </c>
      <c r="AN131" s="70" t="str">
        <f>IF($B131="","",TEXT(B131,"YYYY-MM-DD"))</f>
        <v/>
      </c>
      <c r="AO131" s="2" t="str">
        <f>IF($B131="","",IF(E131="오전", "0800", IF(E131="오후", "1300", IF(E131="잔업", "1800", ""))))</f>
        <v/>
      </c>
      <c r="AP131" s="2" t="str">
        <f>IF($B131="","",IF(C131="","",VLOOKUP(C131,GLAPS정리!$AX$2:$AZ$17,3,0)))</f>
        <v/>
      </c>
      <c r="AR131" s="2" t="str">
        <f>IF($B131="","",IF(X131="","",X131))</f>
        <v/>
      </c>
      <c r="AX131" s="2" t="str">
        <f>IF($B131="","",IF(L131="","",VLOOKUP(L131,GLAPS정리!$V$3:$W$180,2,0)))</f>
        <v/>
      </c>
      <c r="BM131" s="2" t="str">
        <f>IF($B131="","",IF(AND(Q131=1,OR(P131="",P131="위험물")), "2210", IF(AND(Q131=1,OR(P131="리퍼",P131="위험물리퍼")), "2230", IF(AND(S131=1,OR(P131="",P131="위험물")), "4510", IF(AND(S131=1,OR(P131="리퍼",P131="위험물리퍼")), "4530", IF(AND(R131=1,OR(P131="",P131="위험물")), "4210", IF(AND(R131=1,P131="리퍼"), "4230", " ")))))))</f>
        <v/>
      </c>
      <c r="BN131" s="2" t="str">
        <f>IF($B131="","",$BN$1)</f>
        <v/>
      </c>
      <c r="BR131" s="2" t="str">
        <f>IF($B131="","",IF(OR(P131="리퍼",P131="위험물리퍼"),"Y",""))</f>
        <v/>
      </c>
      <c r="BS131" s="2" t="str">
        <f>IF($B131="","",IF(OR(P131="위험물",P131="위험물리퍼"),"Y",""))</f>
        <v/>
      </c>
      <c r="BV131" s="2" t="str">
        <f>IF($B131="","",IF(O131="","",VLOOKUP(O131,GLAPS정리!$BH$2:$BI$94,2,0)))</f>
        <v/>
      </c>
      <c r="BW131" s="2" t="str">
        <f>IF($B131="","",IF(OR(Z131="동원",Z131="세방",Z131="한타"),"",IFERROR(INDEX(GLAPS정리!$BI$2:$BI$101,MATCH(Z131,GLAPS정리!$BH$2:$BH$101,0)),"")))</f>
        <v/>
      </c>
      <c r="BX131" s="2" t="str">
        <f>IF($B131="","",IF(Z131="","",IFERROR(VLOOKUP(Z131,GLAPS정리!$AX$2:$AZ$17,3,0),"")))</f>
        <v/>
      </c>
      <c r="BZ131" s="2" t="str">
        <f>IF($B131="","",IF(H131="","",VLOOKUP(H131,GLAPS정리!$L$3:$O$133,2,0)))</f>
        <v/>
      </c>
      <c r="CA131" s="2" t="str">
        <f>IF($B131="","",IF(V131="공휴일", 10, IF(V131="야간", 20, IF(V131="위험물", 30, IF(V131="중량", 40, "")))))</f>
        <v/>
      </c>
      <c r="CL131" s="2" t="str">
        <f>IF($B131="","",IF(AI131="","",VLOOKUP(AI131,GLAPS정리!$BT$3:$BV$26,3,0)))</f>
        <v/>
      </c>
    </row>
    <row r="132" spans="2:90" ht="20.45" customHeight="1">
      <c r="B132" s="13" t="str">
        <f>IF(GLAPS자동계산!C131="","",GLAPS자동계산!C131)</f>
        <v/>
      </c>
      <c r="C132" s="3" t="str">
        <f>IF(GLAPS자동계산!D131="","",GLAPS자동계산!D131)</f>
        <v/>
      </c>
      <c r="D132" s="16" t="str">
        <f>IF(GLAPS자동계산!E131="","",GLAPS자동계산!E131)</f>
        <v/>
      </c>
      <c r="E132" s="11" t="str">
        <f>IF(GLAPS자동계산!F131="","",GLAPS자동계산!F131)</f>
        <v/>
      </c>
      <c r="F132" s="3" t="str">
        <f>IF(GLAPS자동계산!G131="","",GLAPS자동계산!G131)</f>
        <v/>
      </c>
      <c r="G132" s="3" t="str">
        <f>IF(GLAPS자동계산!H131="","",GLAPS자동계산!H131)</f>
        <v/>
      </c>
      <c r="H132" s="3" t="str">
        <f>IF(GLAPS자동계산!I131="","",GLAPS자동계산!I131)</f>
        <v/>
      </c>
      <c r="I132" s="3" t="str">
        <f>IF(GLAPS자동계산!J131="","",GLAPS자동계산!J131)</f>
        <v/>
      </c>
      <c r="J132" s="3" t="str">
        <f>IF(GLAPS자동계산!K131="","",GLAPS자동계산!K131)</f>
        <v/>
      </c>
      <c r="K132" s="3" t="str">
        <f>IF(GLAPS자동계산!L131="","",GLAPS자동계산!L131)</f>
        <v/>
      </c>
      <c r="L132" s="3" t="str">
        <f>IF(GLAPS자동계산!M131="","",GLAPS자동계산!M131)</f>
        <v/>
      </c>
      <c r="M132" s="3" t="str">
        <f>IF(GLAPS자동계산!N131="","",GLAPS자동계산!N131)</f>
        <v/>
      </c>
      <c r="N132" s="3" t="str">
        <f>IF(GLAPS자동계산!O131="","",GLAPS자동계산!O131)</f>
        <v/>
      </c>
      <c r="O132" s="3" t="str">
        <f>IF(GLAPS자동계산!P131="","",GLAPS자동계산!P131)</f>
        <v/>
      </c>
      <c r="P132" s="2" t="str">
        <f>IF(GLAPS자동계산!Q131="","",GLAPS자동계산!Q131)</f>
        <v/>
      </c>
      <c r="Q132" s="3" t="str">
        <f>IF(GLAPS자동계산!R131="","",GLAPS자동계산!R131)</f>
        <v/>
      </c>
      <c r="R132" s="3" t="str">
        <f>IF(GLAPS자동계산!S131="","",GLAPS자동계산!S131)</f>
        <v/>
      </c>
      <c r="S132" s="3" t="str">
        <f>IF(GLAPS자동계산!T131="","",GLAPS자동계산!T131)</f>
        <v/>
      </c>
      <c r="T132" s="3" t="str">
        <f>IF(GLAPS자동계산!U131="","",GLAPS자동계산!U131)</f>
        <v/>
      </c>
      <c r="U132" s="3" t="str">
        <f>IF(GLAPS자동계산!V131="","",GLAPS자동계산!V131)</f>
        <v/>
      </c>
      <c r="V132" s="3" t="str">
        <f>IF(GLAPS자동계산!W131="","",GLAPS자동계산!W131)</f>
        <v/>
      </c>
      <c r="W132" s="14" t="str">
        <f>IF(GLAPS자동계산!X131="","",GLAPS자동계산!X131)</f>
        <v/>
      </c>
      <c r="X132" s="13" t="str">
        <f>IF(GLAPS자동계산!Y131="","",GLAPS자동계산!Y131)</f>
        <v/>
      </c>
      <c r="Y132" s="13" t="str">
        <f>IF(GLAPS자동계산!Z131="","",GLAPS자동계산!Z131)</f>
        <v/>
      </c>
      <c r="Z132" s="91" t="str">
        <f>IF(GLAPS자동계산!AA131="","",GLAPS자동계산!AA131)</f>
        <v/>
      </c>
      <c r="AA132" s="14" t="str">
        <f>IF(GLAPS자동계산!AB131="","",GLAPS자동계산!AB131)</f>
        <v/>
      </c>
      <c r="AC132" s="2" t="str">
        <f>IF($B132="","",$AC$1)</f>
        <v/>
      </c>
      <c r="AD132" s="2" t="str">
        <f>IF($B132="","",IFERROR(INDEX(GLAPS정리!$D$2:$D$50,MATCH(I132,GLAPS정리!$A$2:$A$50,0)),IFERROR(INDEX(GLAPS정리!$D$2:$D$50,MATCH(I132,GLAPS정리!$B$2:$B$50,0)),"")))</f>
        <v/>
      </c>
      <c r="AF132" s="2" t="str">
        <f>IF($B132="","",$AF$1)</f>
        <v/>
      </c>
      <c r="AI132" s="2" t="str">
        <f>IF($B132="","",IF(F132="","",VLOOKUP(F132,GLAPS정리!$G$3:$J$114,2,0)))</f>
        <v/>
      </c>
      <c r="AJ132" s="2" t="str">
        <f>IF($B132="","",IF(Z132="울산정일","KRONS",IF(Z132="울산신항","KRUSN",IF(OR(Z132="선광종합물류(인천여객)",Z132="인천여객(인천여객)"),"KRINF",IF(OR(Z132="선광인천보세(인천신)",Z132="한진인천(인천신)",Z132="선광인천신항(인천신)",Z132="인천더로지스(인천신)"),"KRINN",IF(OR(Z132="인천진아(인천항)",Z132="인천E1(인천항)",Z132="인천SM경인터미널(인천항)",Z132="인천항(인천항)",Z132="인천우련(인천항)",Z132="인천항8부두(인천항)"),"KRINC",VLOOKUP(K132,GLAPS정리!$BB$2:$BC$33,2,0)))))))</f>
        <v/>
      </c>
      <c r="AL132" s="2" t="str">
        <f>IF($B132="","",$AL$1)</f>
        <v/>
      </c>
      <c r="AN132" s="70" t="str">
        <f>IF($B132="","",TEXT(B132,"YYYY-MM-DD"))</f>
        <v/>
      </c>
      <c r="AO132" s="2" t="str">
        <f>IF($B132="","",IF(E132="오전", "0800", IF(E132="오후", "1300", IF(E132="잔업", "1800", ""))))</f>
        <v/>
      </c>
      <c r="AP132" s="2" t="str">
        <f>IF($B132="","",IF(C132="","",VLOOKUP(C132,GLAPS정리!$AX$2:$AZ$17,3,0)))</f>
        <v/>
      </c>
      <c r="AR132" s="2" t="str">
        <f>IF($B132="","",IF(X132="","",X132))</f>
        <v/>
      </c>
      <c r="AX132" s="2" t="str">
        <f>IF($B132="","",IF(L132="","",VLOOKUP(L132,GLAPS정리!$V$3:$W$180,2,0)))</f>
        <v/>
      </c>
      <c r="BM132" s="2" t="str">
        <f>IF($B132="","",IF(AND(Q132=1,OR(P132="",P132="위험물")), "2210", IF(AND(Q132=1,OR(P132="리퍼",P132="위험물리퍼")), "2230", IF(AND(S132=1,OR(P132="",P132="위험물")), "4510", IF(AND(S132=1,OR(P132="리퍼",P132="위험물리퍼")), "4530", IF(AND(R132=1,OR(P132="",P132="위험물")), "4210", IF(AND(R132=1,P132="리퍼"), "4230", " ")))))))</f>
        <v/>
      </c>
      <c r="BN132" s="2" t="str">
        <f>IF($B132="","",$BN$1)</f>
        <v/>
      </c>
      <c r="BR132" s="2" t="str">
        <f>IF($B132="","",IF(OR(P132="리퍼",P132="위험물리퍼"),"Y",""))</f>
        <v/>
      </c>
      <c r="BS132" s="2" t="str">
        <f>IF($B132="","",IF(OR(P132="위험물",P132="위험물리퍼"),"Y",""))</f>
        <v/>
      </c>
      <c r="BV132" s="2" t="str">
        <f>IF($B132="","",IF(O132="","",VLOOKUP(O132,GLAPS정리!$BH$2:$BI$94,2,0)))</f>
        <v/>
      </c>
      <c r="BW132" s="2" t="str">
        <f>IF($B132="","",IF(OR(Z132="동원",Z132="세방",Z132="한타"),"",IFERROR(INDEX(GLAPS정리!$BI$2:$BI$101,MATCH(Z132,GLAPS정리!$BH$2:$BH$101,0)),"")))</f>
        <v/>
      </c>
      <c r="BX132" s="2" t="str">
        <f>IF($B132="","",IF(Z132="","",IFERROR(VLOOKUP(Z132,GLAPS정리!$AX$2:$AZ$17,3,0),"")))</f>
        <v/>
      </c>
      <c r="BZ132" s="2" t="str">
        <f>IF($B132="","",IF(H132="","",VLOOKUP(H132,GLAPS정리!$L$3:$O$133,2,0)))</f>
        <v/>
      </c>
      <c r="CA132" s="2" t="str">
        <f>IF($B132="","",IF(V132="공휴일", 10, IF(V132="야간", 20, IF(V132="위험물", 30, IF(V132="중량", 40, "")))))</f>
        <v/>
      </c>
      <c r="CL132" s="2" t="str">
        <f>IF($B132="","",IF(AI132="","",VLOOKUP(AI132,GLAPS정리!$BT$3:$BV$26,3,0)))</f>
        <v/>
      </c>
    </row>
    <row r="133" spans="2:90" ht="20.45" customHeight="1">
      <c r="B133" s="13" t="str">
        <f>IF(GLAPS자동계산!C132="","",GLAPS자동계산!C132)</f>
        <v/>
      </c>
      <c r="C133" s="3" t="str">
        <f>IF(GLAPS자동계산!D132="","",GLAPS자동계산!D132)</f>
        <v/>
      </c>
      <c r="D133" s="16" t="str">
        <f>IF(GLAPS자동계산!E132="","",GLAPS자동계산!E132)</f>
        <v/>
      </c>
      <c r="E133" s="11" t="str">
        <f>IF(GLAPS자동계산!F132="","",GLAPS자동계산!F132)</f>
        <v/>
      </c>
      <c r="F133" s="3" t="str">
        <f>IF(GLAPS자동계산!G132="","",GLAPS자동계산!G132)</f>
        <v/>
      </c>
      <c r="G133" s="3" t="str">
        <f>IF(GLAPS자동계산!H132="","",GLAPS자동계산!H132)</f>
        <v/>
      </c>
      <c r="H133" s="3" t="str">
        <f>IF(GLAPS자동계산!I132="","",GLAPS자동계산!I132)</f>
        <v/>
      </c>
      <c r="I133" s="3" t="str">
        <f>IF(GLAPS자동계산!J132="","",GLAPS자동계산!J132)</f>
        <v/>
      </c>
      <c r="J133" s="3" t="str">
        <f>IF(GLAPS자동계산!K132="","",GLAPS자동계산!K132)</f>
        <v/>
      </c>
      <c r="K133" s="3" t="str">
        <f>IF(GLAPS자동계산!L132="","",GLAPS자동계산!L132)</f>
        <v/>
      </c>
      <c r="L133" s="3" t="str">
        <f>IF(GLAPS자동계산!M132="","",GLAPS자동계산!M132)</f>
        <v/>
      </c>
      <c r="M133" s="3" t="str">
        <f>IF(GLAPS자동계산!N132="","",GLAPS자동계산!N132)</f>
        <v/>
      </c>
      <c r="N133" s="3" t="str">
        <f>IF(GLAPS자동계산!O132="","",GLAPS자동계산!O132)</f>
        <v/>
      </c>
      <c r="O133" s="3" t="str">
        <f>IF(GLAPS자동계산!P132="","",GLAPS자동계산!P132)</f>
        <v/>
      </c>
      <c r="P133" s="2" t="str">
        <f>IF(GLAPS자동계산!Q132="","",GLAPS자동계산!Q132)</f>
        <v/>
      </c>
      <c r="Q133" s="3" t="str">
        <f>IF(GLAPS자동계산!R132="","",GLAPS자동계산!R132)</f>
        <v/>
      </c>
      <c r="R133" s="3" t="str">
        <f>IF(GLAPS자동계산!S132="","",GLAPS자동계산!S132)</f>
        <v/>
      </c>
      <c r="S133" s="3" t="str">
        <f>IF(GLAPS자동계산!T132="","",GLAPS자동계산!T132)</f>
        <v/>
      </c>
      <c r="T133" s="3" t="str">
        <f>IF(GLAPS자동계산!U132="","",GLAPS자동계산!U132)</f>
        <v/>
      </c>
      <c r="U133" s="3" t="str">
        <f>IF(GLAPS자동계산!V132="","",GLAPS자동계산!V132)</f>
        <v/>
      </c>
      <c r="V133" s="3" t="str">
        <f>IF(GLAPS자동계산!W132="","",GLAPS자동계산!W132)</f>
        <v/>
      </c>
      <c r="W133" s="14" t="str">
        <f>IF(GLAPS자동계산!X132="","",GLAPS자동계산!X132)</f>
        <v/>
      </c>
      <c r="X133" s="13" t="str">
        <f>IF(GLAPS자동계산!Y132="","",GLAPS자동계산!Y132)</f>
        <v/>
      </c>
      <c r="Y133" s="13" t="str">
        <f>IF(GLAPS자동계산!Z132="","",GLAPS자동계산!Z132)</f>
        <v/>
      </c>
      <c r="Z133" s="91" t="str">
        <f>IF(GLAPS자동계산!AA132="","",GLAPS자동계산!AA132)</f>
        <v/>
      </c>
      <c r="AA133" s="14" t="str">
        <f>IF(GLAPS자동계산!AB132="","",GLAPS자동계산!AB132)</f>
        <v/>
      </c>
      <c r="AC133" s="2" t="str">
        <f>IF($B133="","",$AC$1)</f>
        <v/>
      </c>
      <c r="AD133" s="2" t="str">
        <f>IF($B133="","",IFERROR(INDEX(GLAPS정리!$D$2:$D$50,MATCH(I133,GLAPS정리!$A$2:$A$50,0)),IFERROR(INDEX(GLAPS정리!$D$2:$D$50,MATCH(I133,GLAPS정리!$B$2:$B$50,0)),"")))</f>
        <v/>
      </c>
      <c r="AF133" s="2" t="str">
        <f>IF($B133="","",$AF$1)</f>
        <v/>
      </c>
      <c r="AI133" s="2" t="str">
        <f>IF($B133="","",IF(F133="","",VLOOKUP(F133,GLAPS정리!$G$3:$J$114,2,0)))</f>
        <v/>
      </c>
      <c r="AJ133" s="2" t="str">
        <f>IF($B133="","",IF(Z133="울산정일","KRONS",IF(Z133="울산신항","KRUSN",IF(OR(Z133="선광종합물류(인천여객)",Z133="인천여객(인천여객)"),"KRINF",IF(OR(Z133="선광인천보세(인천신)",Z133="한진인천(인천신)",Z133="선광인천신항(인천신)",Z133="인천더로지스(인천신)"),"KRINN",IF(OR(Z133="인천진아(인천항)",Z133="인천E1(인천항)",Z133="인천SM경인터미널(인천항)",Z133="인천항(인천항)",Z133="인천우련(인천항)",Z133="인천항8부두(인천항)"),"KRINC",VLOOKUP(K133,GLAPS정리!$BB$2:$BC$33,2,0)))))))</f>
        <v/>
      </c>
      <c r="AL133" s="2" t="str">
        <f>IF($B133="","",$AL$1)</f>
        <v/>
      </c>
      <c r="AN133" s="70" t="str">
        <f>IF($B133="","",TEXT(B133,"YYYY-MM-DD"))</f>
        <v/>
      </c>
      <c r="AO133" s="2" t="str">
        <f>IF($B133="","",IF(E133="오전", "0800", IF(E133="오후", "1300", IF(E133="잔업", "1800", ""))))</f>
        <v/>
      </c>
      <c r="AP133" s="2" t="str">
        <f>IF($B133="","",IF(C133="","",VLOOKUP(C133,GLAPS정리!$AX$2:$AZ$17,3,0)))</f>
        <v/>
      </c>
      <c r="AR133" s="2" t="str">
        <f>IF($B133="","",IF(X133="","",X133))</f>
        <v/>
      </c>
      <c r="AX133" s="2" t="str">
        <f>IF($B133="","",IF(L133="","",VLOOKUP(L133,GLAPS정리!$V$3:$W$180,2,0)))</f>
        <v/>
      </c>
      <c r="BM133" s="2" t="str">
        <f>IF($B133="","",IF(AND(Q133=1,OR(P133="",P133="위험물")), "2210", IF(AND(Q133=1,OR(P133="리퍼",P133="위험물리퍼")), "2230", IF(AND(S133=1,OR(P133="",P133="위험물")), "4510", IF(AND(S133=1,OR(P133="리퍼",P133="위험물리퍼")), "4530", IF(AND(R133=1,OR(P133="",P133="위험물")), "4210", IF(AND(R133=1,P133="리퍼"), "4230", " ")))))))</f>
        <v/>
      </c>
      <c r="BN133" s="2" t="str">
        <f>IF($B133="","",$BN$1)</f>
        <v/>
      </c>
      <c r="BR133" s="2" t="str">
        <f>IF($B133="","",IF(OR(P133="리퍼",P133="위험물리퍼"),"Y",""))</f>
        <v/>
      </c>
      <c r="BS133" s="2" t="str">
        <f>IF($B133="","",IF(OR(P133="위험물",P133="위험물리퍼"),"Y",""))</f>
        <v/>
      </c>
      <c r="BV133" s="2" t="str">
        <f>IF($B133="","",IF(O133="","",VLOOKUP(O133,GLAPS정리!$BH$2:$BI$94,2,0)))</f>
        <v/>
      </c>
      <c r="BW133" s="2" t="str">
        <f>IF($B133="","",IF(OR(Z133="동원",Z133="세방",Z133="한타"),"",IFERROR(INDEX(GLAPS정리!$BI$2:$BI$101,MATCH(Z133,GLAPS정리!$BH$2:$BH$101,0)),"")))</f>
        <v/>
      </c>
      <c r="BX133" s="2" t="str">
        <f>IF($B133="","",IF(Z133="","",IFERROR(VLOOKUP(Z133,GLAPS정리!$AX$2:$AZ$17,3,0),"")))</f>
        <v/>
      </c>
      <c r="BZ133" s="2" t="str">
        <f>IF($B133="","",IF(H133="","",VLOOKUP(H133,GLAPS정리!$L$3:$O$133,2,0)))</f>
        <v/>
      </c>
      <c r="CA133" s="2" t="str">
        <f>IF($B133="","",IF(V133="공휴일", 10, IF(V133="야간", 20, IF(V133="위험물", 30, IF(V133="중량", 40, "")))))</f>
        <v/>
      </c>
      <c r="CL133" s="2" t="str">
        <f>IF($B133="","",IF(AI133="","",VLOOKUP(AI133,GLAPS정리!$BT$3:$BV$26,3,0)))</f>
        <v/>
      </c>
    </row>
    <row r="134" spans="2:90" ht="20.45" customHeight="1">
      <c r="B134" s="13" t="str">
        <f>IF(GLAPS자동계산!C133="","",GLAPS자동계산!C133)</f>
        <v/>
      </c>
      <c r="C134" s="3" t="str">
        <f>IF(GLAPS자동계산!D133="","",GLAPS자동계산!D133)</f>
        <v/>
      </c>
      <c r="D134" s="16" t="str">
        <f>IF(GLAPS자동계산!E133="","",GLAPS자동계산!E133)</f>
        <v/>
      </c>
      <c r="E134" s="11" t="str">
        <f>IF(GLAPS자동계산!F133="","",GLAPS자동계산!F133)</f>
        <v/>
      </c>
      <c r="F134" s="3" t="str">
        <f>IF(GLAPS자동계산!G133="","",GLAPS자동계산!G133)</f>
        <v/>
      </c>
      <c r="G134" s="3" t="str">
        <f>IF(GLAPS자동계산!H133="","",GLAPS자동계산!H133)</f>
        <v/>
      </c>
      <c r="H134" s="3" t="str">
        <f>IF(GLAPS자동계산!I133="","",GLAPS자동계산!I133)</f>
        <v/>
      </c>
      <c r="I134" s="3" t="str">
        <f>IF(GLAPS자동계산!J133="","",GLAPS자동계산!J133)</f>
        <v/>
      </c>
      <c r="J134" s="3" t="str">
        <f>IF(GLAPS자동계산!K133="","",GLAPS자동계산!K133)</f>
        <v/>
      </c>
      <c r="K134" s="3" t="str">
        <f>IF(GLAPS자동계산!L133="","",GLAPS자동계산!L133)</f>
        <v/>
      </c>
      <c r="L134" s="3" t="str">
        <f>IF(GLAPS자동계산!M133="","",GLAPS자동계산!M133)</f>
        <v/>
      </c>
      <c r="M134" s="3" t="str">
        <f>IF(GLAPS자동계산!N133="","",GLAPS자동계산!N133)</f>
        <v/>
      </c>
      <c r="N134" s="3" t="str">
        <f>IF(GLAPS자동계산!O133="","",GLAPS자동계산!O133)</f>
        <v/>
      </c>
      <c r="O134" s="3" t="str">
        <f>IF(GLAPS자동계산!P133="","",GLAPS자동계산!P133)</f>
        <v/>
      </c>
      <c r="P134" s="2" t="str">
        <f>IF(GLAPS자동계산!Q133="","",GLAPS자동계산!Q133)</f>
        <v/>
      </c>
      <c r="Q134" s="3" t="str">
        <f>IF(GLAPS자동계산!R133="","",GLAPS자동계산!R133)</f>
        <v/>
      </c>
      <c r="R134" s="3" t="str">
        <f>IF(GLAPS자동계산!S133="","",GLAPS자동계산!S133)</f>
        <v/>
      </c>
      <c r="S134" s="3" t="str">
        <f>IF(GLAPS자동계산!T133="","",GLAPS자동계산!T133)</f>
        <v/>
      </c>
      <c r="T134" s="3" t="str">
        <f>IF(GLAPS자동계산!U133="","",GLAPS자동계산!U133)</f>
        <v/>
      </c>
      <c r="U134" s="3" t="str">
        <f>IF(GLAPS자동계산!V133="","",GLAPS자동계산!V133)</f>
        <v/>
      </c>
      <c r="V134" s="3" t="str">
        <f>IF(GLAPS자동계산!W133="","",GLAPS자동계산!W133)</f>
        <v/>
      </c>
      <c r="W134" s="14" t="str">
        <f>IF(GLAPS자동계산!X133="","",GLAPS자동계산!X133)</f>
        <v/>
      </c>
      <c r="X134" s="13" t="str">
        <f>IF(GLAPS자동계산!Y133="","",GLAPS자동계산!Y133)</f>
        <v/>
      </c>
      <c r="Y134" s="13" t="str">
        <f>IF(GLAPS자동계산!Z133="","",GLAPS자동계산!Z133)</f>
        <v/>
      </c>
      <c r="Z134" s="91" t="str">
        <f>IF(GLAPS자동계산!AA133="","",GLAPS자동계산!AA133)</f>
        <v/>
      </c>
      <c r="AA134" s="14" t="str">
        <f>IF(GLAPS자동계산!AB133="","",GLAPS자동계산!AB133)</f>
        <v/>
      </c>
      <c r="AC134" s="2" t="str">
        <f>IF($B134="","",$AC$1)</f>
        <v/>
      </c>
      <c r="AD134" s="2" t="str">
        <f>IF($B134="","",IFERROR(INDEX(GLAPS정리!$D$2:$D$50,MATCH(I134,GLAPS정리!$A$2:$A$50,0)),IFERROR(INDEX(GLAPS정리!$D$2:$D$50,MATCH(I134,GLAPS정리!$B$2:$B$50,0)),"")))</f>
        <v/>
      </c>
      <c r="AF134" s="2" t="str">
        <f>IF($B134="","",$AF$1)</f>
        <v/>
      </c>
      <c r="AI134" s="2" t="str">
        <f>IF($B134="","",IF(F134="","",VLOOKUP(F134,GLAPS정리!$G$3:$J$114,2,0)))</f>
        <v/>
      </c>
      <c r="AJ134" s="2" t="str">
        <f>IF($B134="","",IF(Z134="울산정일","KRONS",IF(Z134="울산신항","KRUSN",IF(OR(Z134="선광종합물류(인천여객)",Z134="인천여객(인천여객)"),"KRINF",IF(OR(Z134="선광인천보세(인천신)",Z134="한진인천(인천신)",Z134="선광인천신항(인천신)",Z134="인천더로지스(인천신)"),"KRINN",IF(OR(Z134="인천진아(인천항)",Z134="인천E1(인천항)",Z134="인천SM경인터미널(인천항)",Z134="인천항(인천항)",Z134="인천우련(인천항)",Z134="인천항8부두(인천항)"),"KRINC",VLOOKUP(K134,GLAPS정리!$BB$2:$BC$33,2,0)))))))</f>
        <v/>
      </c>
      <c r="AL134" s="2" t="str">
        <f>IF($B134="","",$AL$1)</f>
        <v/>
      </c>
      <c r="AN134" s="70" t="str">
        <f>IF($B134="","",TEXT(B134,"YYYY-MM-DD"))</f>
        <v/>
      </c>
      <c r="AO134" s="2" t="str">
        <f>IF($B134="","",IF(E134="오전", "0800", IF(E134="오후", "1300", IF(E134="잔업", "1800", ""))))</f>
        <v/>
      </c>
      <c r="AP134" s="2" t="str">
        <f>IF($B134="","",IF(C134="","",VLOOKUP(C134,GLAPS정리!$AX$2:$AZ$17,3,0)))</f>
        <v/>
      </c>
      <c r="AR134" s="2" t="str">
        <f>IF($B134="","",IF(X134="","",X134))</f>
        <v/>
      </c>
      <c r="AX134" s="2" t="str">
        <f>IF($B134="","",IF(L134="","",VLOOKUP(L134,GLAPS정리!$V$3:$W$180,2,0)))</f>
        <v/>
      </c>
      <c r="BM134" s="2" t="str">
        <f>IF($B134="","",IF(AND(Q134=1,OR(P134="",P134="위험물")), "2210", IF(AND(Q134=1,OR(P134="리퍼",P134="위험물리퍼")), "2230", IF(AND(S134=1,OR(P134="",P134="위험물")), "4510", IF(AND(S134=1,OR(P134="리퍼",P134="위험물리퍼")), "4530", IF(AND(R134=1,OR(P134="",P134="위험물")), "4210", IF(AND(R134=1,P134="리퍼"), "4230", " ")))))))</f>
        <v/>
      </c>
      <c r="BN134" s="2" t="str">
        <f>IF($B134="","",$BN$1)</f>
        <v/>
      </c>
      <c r="BR134" s="2" t="str">
        <f>IF($B134="","",IF(OR(P134="리퍼",P134="위험물리퍼"),"Y",""))</f>
        <v/>
      </c>
      <c r="BS134" s="2" t="str">
        <f>IF($B134="","",IF(OR(P134="위험물",P134="위험물리퍼"),"Y",""))</f>
        <v/>
      </c>
      <c r="BV134" s="2" t="str">
        <f>IF($B134="","",IF(O134="","",VLOOKUP(O134,GLAPS정리!$BH$2:$BI$94,2,0)))</f>
        <v/>
      </c>
      <c r="BW134" s="2" t="str">
        <f>IF($B134="","",IF(OR(Z134="동원",Z134="세방",Z134="한타"),"",IFERROR(INDEX(GLAPS정리!$BI$2:$BI$101,MATCH(Z134,GLAPS정리!$BH$2:$BH$101,0)),"")))</f>
        <v/>
      </c>
      <c r="BX134" s="2" t="str">
        <f>IF($B134="","",IF(Z134="","",IFERROR(VLOOKUP(Z134,GLAPS정리!$AX$2:$AZ$17,3,0),"")))</f>
        <v/>
      </c>
      <c r="BZ134" s="2" t="str">
        <f>IF($B134="","",IF(H134="","",VLOOKUP(H134,GLAPS정리!$L$3:$O$133,2,0)))</f>
        <v/>
      </c>
      <c r="CA134" s="2" t="str">
        <f>IF($B134="","",IF(V134="공휴일", 10, IF(V134="야간", 20, IF(V134="위험물", 30, IF(V134="중량", 40, "")))))</f>
        <v/>
      </c>
      <c r="CL134" s="2" t="str">
        <f>IF($B134="","",IF(AI134="","",VLOOKUP(AI134,GLAPS정리!$BT$3:$BV$26,3,0)))</f>
        <v/>
      </c>
    </row>
    <row r="135" spans="2:90" ht="20.45" customHeight="1">
      <c r="B135" s="13" t="str">
        <f>IF(GLAPS자동계산!C134="","",GLAPS자동계산!C134)</f>
        <v/>
      </c>
      <c r="C135" s="3" t="str">
        <f>IF(GLAPS자동계산!D134="","",GLAPS자동계산!D134)</f>
        <v/>
      </c>
      <c r="D135" s="16" t="str">
        <f>IF(GLAPS자동계산!E134="","",GLAPS자동계산!E134)</f>
        <v/>
      </c>
      <c r="E135" s="11" t="str">
        <f>IF(GLAPS자동계산!F134="","",GLAPS자동계산!F134)</f>
        <v/>
      </c>
      <c r="F135" s="3" t="str">
        <f>IF(GLAPS자동계산!G134="","",GLAPS자동계산!G134)</f>
        <v/>
      </c>
      <c r="G135" s="3" t="str">
        <f>IF(GLAPS자동계산!H134="","",GLAPS자동계산!H134)</f>
        <v/>
      </c>
      <c r="H135" s="3" t="str">
        <f>IF(GLAPS자동계산!I134="","",GLAPS자동계산!I134)</f>
        <v/>
      </c>
      <c r="I135" s="3" t="str">
        <f>IF(GLAPS자동계산!J134="","",GLAPS자동계산!J134)</f>
        <v/>
      </c>
      <c r="J135" s="3" t="str">
        <f>IF(GLAPS자동계산!K134="","",GLAPS자동계산!K134)</f>
        <v/>
      </c>
      <c r="K135" s="3" t="str">
        <f>IF(GLAPS자동계산!L134="","",GLAPS자동계산!L134)</f>
        <v/>
      </c>
      <c r="L135" s="3" t="str">
        <f>IF(GLAPS자동계산!M134="","",GLAPS자동계산!M134)</f>
        <v/>
      </c>
      <c r="M135" s="3" t="str">
        <f>IF(GLAPS자동계산!N134="","",GLAPS자동계산!N134)</f>
        <v/>
      </c>
      <c r="N135" s="3" t="str">
        <f>IF(GLAPS자동계산!O134="","",GLAPS자동계산!O134)</f>
        <v/>
      </c>
      <c r="O135" s="3" t="str">
        <f>IF(GLAPS자동계산!P134="","",GLAPS자동계산!P134)</f>
        <v/>
      </c>
      <c r="P135" s="2" t="str">
        <f>IF(GLAPS자동계산!Q134="","",GLAPS자동계산!Q134)</f>
        <v/>
      </c>
      <c r="Q135" s="3" t="str">
        <f>IF(GLAPS자동계산!R134="","",GLAPS자동계산!R134)</f>
        <v/>
      </c>
      <c r="R135" s="3" t="str">
        <f>IF(GLAPS자동계산!S134="","",GLAPS자동계산!S134)</f>
        <v/>
      </c>
      <c r="S135" s="3" t="str">
        <f>IF(GLAPS자동계산!T134="","",GLAPS자동계산!T134)</f>
        <v/>
      </c>
      <c r="T135" s="3" t="str">
        <f>IF(GLAPS자동계산!U134="","",GLAPS자동계산!U134)</f>
        <v/>
      </c>
      <c r="U135" s="3" t="str">
        <f>IF(GLAPS자동계산!V134="","",GLAPS자동계산!V134)</f>
        <v/>
      </c>
      <c r="V135" s="3" t="str">
        <f>IF(GLAPS자동계산!W134="","",GLAPS자동계산!W134)</f>
        <v/>
      </c>
      <c r="W135" s="14" t="str">
        <f>IF(GLAPS자동계산!X134="","",GLAPS자동계산!X134)</f>
        <v/>
      </c>
      <c r="X135" s="13" t="str">
        <f>IF(GLAPS자동계산!Y134="","",GLAPS자동계산!Y134)</f>
        <v/>
      </c>
      <c r="Y135" s="13" t="str">
        <f>IF(GLAPS자동계산!Z134="","",GLAPS자동계산!Z134)</f>
        <v/>
      </c>
      <c r="Z135" s="91" t="str">
        <f>IF(GLAPS자동계산!AA134="","",GLAPS자동계산!AA134)</f>
        <v/>
      </c>
      <c r="AA135" s="14" t="str">
        <f>IF(GLAPS자동계산!AB134="","",GLAPS자동계산!AB134)</f>
        <v/>
      </c>
      <c r="AC135" s="2" t="str">
        <f>IF($B135="","",$AC$1)</f>
        <v/>
      </c>
      <c r="AD135" s="2" t="str">
        <f>IF($B135="","",IFERROR(INDEX(GLAPS정리!$D$2:$D$50,MATCH(I135,GLAPS정리!$A$2:$A$50,0)),IFERROR(INDEX(GLAPS정리!$D$2:$D$50,MATCH(I135,GLAPS정리!$B$2:$B$50,0)),"")))</f>
        <v/>
      </c>
      <c r="AF135" s="2" t="str">
        <f>IF($B135="","",$AF$1)</f>
        <v/>
      </c>
      <c r="AI135" s="2" t="str">
        <f>IF($B135="","",IF(F135="","",VLOOKUP(F135,GLAPS정리!$G$3:$J$114,2,0)))</f>
        <v/>
      </c>
      <c r="AJ135" s="2" t="str">
        <f>IF($B135="","",IF(Z135="울산정일","KRONS",IF(Z135="울산신항","KRUSN",IF(OR(Z135="선광종합물류(인천여객)",Z135="인천여객(인천여객)"),"KRINF",IF(OR(Z135="선광인천보세(인천신)",Z135="한진인천(인천신)",Z135="선광인천신항(인천신)",Z135="인천더로지스(인천신)"),"KRINN",IF(OR(Z135="인천진아(인천항)",Z135="인천E1(인천항)",Z135="인천SM경인터미널(인천항)",Z135="인천항(인천항)",Z135="인천우련(인천항)",Z135="인천항8부두(인천항)"),"KRINC",VLOOKUP(K135,GLAPS정리!$BB$2:$BC$33,2,0)))))))</f>
        <v/>
      </c>
      <c r="AL135" s="2" t="str">
        <f>IF($B135="","",$AL$1)</f>
        <v/>
      </c>
      <c r="AN135" s="70" t="str">
        <f>IF($B135="","",TEXT(B135,"YYYY-MM-DD"))</f>
        <v/>
      </c>
      <c r="AO135" s="2" t="str">
        <f>IF($B135="","",IF(E135="오전", "0800", IF(E135="오후", "1300", IF(E135="잔업", "1800", ""))))</f>
        <v/>
      </c>
      <c r="AP135" s="2" t="str">
        <f>IF($B135="","",IF(C135="","",VLOOKUP(C135,GLAPS정리!$AX$2:$AZ$17,3,0)))</f>
        <v/>
      </c>
      <c r="AR135" s="2" t="str">
        <f>IF($B135="","",IF(X135="","",X135))</f>
        <v/>
      </c>
      <c r="AX135" s="2" t="str">
        <f>IF($B135="","",IF(L135="","",VLOOKUP(L135,GLAPS정리!$V$3:$W$180,2,0)))</f>
        <v/>
      </c>
      <c r="BM135" s="2" t="str">
        <f>IF($B135="","",IF(AND(Q135=1,OR(P135="",P135="위험물")), "2210", IF(AND(Q135=1,OR(P135="리퍼",P135="위험물리퍼")), "2230", IF(AND(S135=1,OR(P135="",P135="위험물")), "4510", IF(AND(S135=1,OR(P135="리퍼",P135="위험물리퍼")), "4530", IF(AND(R135=1,OR(P135="",P135="위험물")), "4210", IF(AND(R135=1,P135="리퍼"), "4230", " ")))))))</f>
        <v/>
      </c>
      <c r="BN135" s="2" t="str">
        <f>IF($B135="","",$BN$1)</f>
        <v/>
      </c>
      <c r="BR135" s="2" t="str">
        <f>IF($B135="","",IF(OR(P135="리퍼",P135="위험물리퍼"),"Y",""))</f>
        <v/>
      </c>
      <c r="BS135" s="2" t="str">
        <f>IF($B135="","",IF(OR(P135="위험물",P135="위험물리퍼"),"Y",""))</f>
        <v/>
      </c>
      <c r="BV135" s="2" t="str">
        <f>IF($B135="","",IF(O135="","",VLOOKUP(O135,GLAPS정리!$BH$2:$BI$94,2,0)))</f>
        <v/>
      </c>
      <c r="BW135" s="2" t="str">
        <f>IF($B135="","",IF(OR(Z135="동원",Z135="세방",Z135="한타"),"",IFERROR(INDEX(GLAPS정리!$BI$2:$BI$101,MATCH(Z135,GLAPS정리!$BH$2:$BH$101,0)),"")))</f>
        <v/>
      </c>
      <c r="BX135" s="2" t="str">
        <f>IF($B135="","",IF(Z135="","",IFERROR(VLOOKUP(Z135,GLAPS정리!$AX$2:$AZ$17,3,0),"")))</f>
        <v/>
      </c>
      <c r="BZ135" s="2" t="str">
        <f>IF($B135="","",IF(H135="","",VLOOKUP(H135,GLAPS정리!$L$3:$O$133,2,0)))</f>
        <v/>
      </c>
      <c r="CA135" s="2" t="str">
        <f>IF($B135="","",IF(V135="공휴일", 10, IF(V135="야간", 20, IF(V135="위험물", 30, IF(V135="중량", 40, "")))))</f>
        <v/>
      </c>
      <c r="CL135" s="2" t="str">
        <f>IF($B135="","",IF(AI135="","",VLOOKUP(AI135,GLAPS정리!$BT$3:$BV$26,3,0)))</f>
        <v/>
      </c>
    </row>
    <row r="136" spans="2:90" ht="20.45" customHeight="1">
      <c r="B136" s="13" t="str">
        <f>IF(GLAPS자동계산!C135="","",GLAPS자동계산!C135)</f>
        <v/>
      </c>
      <c r="C136" s="3" t="str">
        <f>IF(GLAPS자동계산!D135="","",GLAPS자동계산!D135)</f>
        <v/>
      </c>
      <c r="D136" s="16" t="str">
        <f>IF(GLAPS자동계산!E135="","",GLAPS자동계산!E135)</f>
        <v/>
      </c>
      <c r="E136" s="11" t="str">
        <f>IF(GLAPS자동계산!F135="","",GLAPS자동계산!F135)</f>
        <v/>
      </c>
      <c r="F136" s="3" t="str">
        <f>IF(GLAPS자동계산!G135="","",GLAPS자동계산!G135)</f>
        <v/>
      </c>
      <c r="G136" s="3" t="str">
        <f>IF(GLAPS자동계산!H135="","",GLAPS자동계산!H135)</f>
        <v/>
      </c>
      <c r="H136" s="3" t="str">
        <f>IF(GLAPS자동계산!I135="","",GLAPS자동계산!I135)</f>
        <v/>
      </c>
      <c r="I136" s="3" t="str">
        <f>IF(GLAPS자동계산!J135="","",GLAPS자동계산!J135)</f>
        <v/>
      </c>
      <c r="J136" s="3" t="str">
        <f>IF(GLAPS자동계산!K135="","",GLAPS자동계산!K135)</f>
        <v/>
      </c>
      <c r="K136" s="3" t="str">
        <f>IF(GLAPS자동계산!L135="","",GLAPS자동계산!L135)</f>
        <v/>
      </c>
      <c r="L136" s="3" t="str">
        <f>IF(GLAPS자동계산!M135="","",GLAPS자동계산!M135)</f>
        <v/>
      </c>
      <c r="M136" s="3" t="str">
        <f>IF(GLAPS자동계산!N135="","",GLAPS자동계산!N135)</f>
        <v/>
      </c>
      <c r="N136" s="3" t="str">
        <f>IF(GLAPS자동계산!O135="","",GLAPS자동계산!O135)</f>
        <v/>
      </c>
      <c r="O136" s="3" t="str">
        <f>IF(GLAPS자동계산!P135="","",GLAPS자동계산!P135)</f>
        <v/>
      </c>
      <c r="P136" s="2" t="str">
        <f>IF(GLAPS자동계산!Q135="","",GLAPS자동계산!Q135)</f>
        <v/>
      </c>
      <c r="Q136" s="3" t="str">
        <f>IF(GLAPS자동계산!R135="","",GLAPS자동계산!R135)</f>
        <v/>
      </c>
      <c r="R136" s="3" t="str">
        <f>IF(GLAPS자동계산!S135="","",GLAPS자동계산!S135)</f>
        <v/>
      </c>
      <c r="S136" s="3" t="str">
        <f>IF(GLAPS자동계산!T135="","",GLAPS자동계산!T135)</f>
        <v/>
      </c>
      <c r="T136" s="3" t="str">
        <f>IF(GLAPS자동계산!U135="","",GLAPS자동계산!U135)</f>
        <v/>
      </c>
      <c r="U136" s="3" t="str">
        <f>IF(GLAPS자동계산!V135="","",GLAPS자동계산!V135)</f>
        <v/>
      </c>
      <c r="V136" s="3" t="str">
        <f>IF(GLAPS자동계산!W135="","",GLAPS자동계산!W135)</f>
        <v/>
      </c>
      <c r="W136" s="14" t="str">
        <f>IF(GLAPS자동계산!X135="","",GLAPS자동계산!X135)</f>
        <v/>
      </c>
      <c r="X136" s="13" t="str">
        <f>IF(GLAPS자동계산!Y135="","",GLAPS자동계산!Y135)</f>
        <v/>
      </c>
      <c r="Y136" s="13" t="str">
        <f>IF(GLAPS자동계산!Z135="","",GLAPS자동계산!Z135)</f>
        <v/>
      </c>
      <c r="Z136" s="91" t="str">
        <f>IF(GLAPS자동계산!AA135="","",GLAPS자동계산!AA135)</f>
        <v/>
      </c>
      <c r="AA136" s="14" t="str">
        <f>IF(GLAPS자동계산!AB135="","",GLAPS자동계산!AB135)</f>
        <v/>
      </c>
      <c r="AC136" s="2" t="str">
        <f>IF($B136="","",$AC$1)</f>
        <v/>
      </c>
      <c r="AD136" s="2" t="str">
        <f>IF($B136="","",IFERROR(INDEX(GLAPS정리!$D$2:$D$50,MATCH(I136,GLAPS정리!$A$2:$A$50,0)),IFERROR(INDEX(GLAPS정리!$D$2:$D$50,MATCH(I136,GLAPS정리!$B$2:$B$50,0)),"")))</f>
        <v/>
      </c>
      <c r="AF136" s="2" t="str">
        <f>IF($B136="","",$AF$1)</f>
        <v/>
      </c>
      <c r="AI136" s="2" t="str">
        <f>IF($B136="","",IF(F136="","",VLOOKUP(F136,GLAPS정리!$G$3:$J$114,2,0)))</f>
        <v/>
      </c>
      <c r="AJ136" s="2" t="str">
        <f>IF($B136="","",IF(Z136="울산정일","KRONS",IF(Z136="울산신항","KRUSN",IF(OR(Z136="선광종합물류(인천여객)",Z136="인천여객(인천여객)"),"KRINF",IF(OR(Z136="선광인천보세(인천신)",Z136="한진인천(인천신)",Z136="선광인천신항(인천신)",Z136="인천더로지스(인천신)"),"KRINN",IF(OR(Z136="인천진아(인천항)",Z136="인천E1(인천항)",Z136="인천SM경인터미널(인천항)",Z136="인천항(인천항)",Z136="인천우련(인천항)",Z136="인천항8부두(인천항)"),"KRINC",VLOOKUP(K136,GLAPS정리!$BB$2:$BC$33,2,0)))))))</f>
        <v/>
      </c>
      <c r="AL136" s="2" t="str">
        <f>IF($B136="","",$AL$1)</f>
        <v/>
      </c>
      <c r="AN136" s="70" t="str">
        <f>IF($B136="","",TEXT(B136,"YYYY-MM-DD"))</f>
        <v/>
      </c>
      <c r="AO136" s="2" t="str">
        <f>IF($B136="","",IF(E136="오전", "0800", IF(E136="오후", "1300", IF(E136="잔업", "1800", ""))))</f>
        <v/>
      </c>
      <c r="AP136" s="2" t="str">
        <f>IF($B136="","",IF(C136="","",VLOOKUP(C136,GLAPS정리!$AX$2:$AZ$17,3,0)))</f>
        <v/>
      </c>
      <c r="AR136" s="2" t="str">
        <f>IF($B136="","",IF(X136="","",X136))</f>
        <v/>
      </c>
      <c r="AX136" s="2" t="str">
        <f>IF($B136="","",IF(L136="","",VLOOKUP(L136,GLAPS정리!$V$3:$W$180,2,0)))</f>
        <v/>
      </c>
      <c r="BM136" s="2" t="str">
        <f>IF($B136="","",IF(AND(Q136=1,OR(P136="",P136="위험물")), "2210", IF(AND(Q136=1,OR(P136="리퍼",P136="위험물리퍼")), "2230", IF(AND(S136=1,OR(P136="",P136="위험물")), "4510", IF(AND(S136=1,OR(P136="리퍼",P136="위험물리퍼")), "4530", IF(AND(R136=1,OR(P136="",P136="위험물")), "4210", IF(AND(R136=1,P136="리퍼"), "4230", " ")))))))</f>
        <v/>
      </c>
      <c r="BN136" s="2" t="str">
        <f>IF($B136="","",$BN$1)</f>
        <v/>
      </c>
      <c r="BR136" s="2" t="str">
        <f>IF($B136="","",IF(OR(P136="리퍼",P136="위험물리퍼"),"Y",""))</f>
        <v/>
      </c>
      <c r="BS136" s="2" t="str">
        <f>IF($B136="","",IF(OR(P136="위험물",P136="위험물리퍼"),"Y",""))</f>
        <v/>
      </c>
      <c r="BV136" s="2" t="str">
        <f>IF($B136="","",IF(O136="","",VLOOKUP(O136,GLAPS정리!$BH$2:$BI$94,2,0)))</f>
        <v/>
      </c>
      <c r="BW136" s="2" t="str">
        <f>IF($B136="","",IF(OR(Z136="동원",Z136="세방",Z136="한타"),"",IFERROR(INDEX(GLAPS정리!$BI$2:$BI$101,MATCH(Z136,GLAPS정리!$BH$2:$BH$101,0)),"")))</f>
        <v/>
      </c>
      <c r="BX136" s="2" t="str">
        <f>IF($B136="","",IF(Z136="","",IFERROR(VLOOKUP(Z136,GLAPS정리!$AX$2:$AZ$17,3,0),"")))</f>
        <v/>
      </c>
      <c r="BZ136" s="2" t="str">
        <f>IF($B136="","",IF(H136="","",VLOOKUP(H136,GLAPS정리!$L$3:$O$133,2,0)))</f>
        <v/>
      </c>
      <c r="CA136" s="2" t="str">
        <f>IF($B136="","",IF(V136="공휴일", 10, IF(V136="야간", 20, IF(V136="위험물", 30, IF(V136="중량", 40, "")))))</f>
        <v/>
      </c>
      <c r="CL136" s="2" t="str">
        <f>IF($B136="","",IF(AI136="","",VLOOKUP(AI136,GLAPS정리!$BT$3:$BV$26,3,0)))</f>
        <v/>
      </c>
    </row>
    <row r="137" spans="2:90" ht="20.45" customHeight="1">
      <c r="B137" s="13" t="str">
        <f>IF(GLAPS자동계산!C136="","",GLAPS자동계산!C136)</f>
        <v/>
      </c>
      <c r="C137" s="3" t="str">
        <f>IF(GLAPS자동계산!D136="","",GLAPS자동계산!D136)</f>
        <v/>
      </c>
      <c r="D137" s="16" t="str">
        <f>IF(GLAPS자동계산!E136="","",GLAPS자동계산!E136)</f>
        <v/>
      </c>
      <c r="E137" s="11" t="str">
        <f>IF(GLAPS자동계산!F136="","",GLAPS자동계산!F136)</f>
        <v/>
      </c>
      <c r="F137" s="3" t="str">
        <f>IF(GLAPS자동계산!G136="","",GLAPS자동계산!G136)</f>
        <v/>
      </c>
      <c r="G137" s="3" t="str">
        <f>IF(GLAPS자동계산!H136="","",GLAPS자동계산!H136)</f>
        <v/>
      </c>
      <c r="H137" s="3" t="str">
        <f>IF(GLAPS자동계산!I136="","",GLAPS자동계산!I136)</f>
        <v/>
      </c>
      <c r="I137" s="3" t="str">
        <f>IF(GLAPS자동계산!J136="","",GLAPS자동계산!J136)</f>
        <v/>
      </c>
      <c r="J137" s="3" t="str">
        <f>IF(GLAPS자동계산!K136="","",GLAPS자동계산!K136)</f>
        <v/>
      </c>
      <c r="K137" s="3" t="str">
        <f>IF(GLAPS자동계산!L136="","",GLAPS자동계산!L136)</f>
        <v/>
      </c>
      <c r="L137" s="3" t="str">
        <f>IF(GLAPS자동계산!M136="","",GLAPS자동계산!M136)</f>
        <v/>
      </c>
      <c r="M137" s="3" t="str">
        <f>IF(GLAPS자동계산!N136="","",GLAPS자동계산!N136)</f>
        <v/>
      </c>
      <c r="N137" s="3" t="str">
        <f>IF(GLAPS자동계산!O136="","",GLAPS자동계산!O136)</f>
        <v/>
      </c>
      <c r="O137" s="3" t="str">
        <f>IF(GLAPS자동계산!P136="","",GLAPS자동계산!P136)</f>
        <v/>
      </c>
      <c r="P137" s="2" t="str">
        <f>IF(GLAPS자동계산!Q136="","",GLAPS자동계산!Q136)</f>
        <v/>
      </c>
      <c r="Q137" s="3" t="str">
        <f>IF(GLAPS자동계산!R136="","",GLAPS자동계산!R136)</f>
        <v/>
      </c>
      <c r="R137" s="3" t="str">
        <f>IF(GLAPS자동계산!S136="","",GLAPS자동계산!S136)</f>
        <v/>
      </c>
      <c r="S137" s="3" t="str">
        <f>IF(GLAPS자동계산!T136="","",GLAPS자동계산!T136)</f>
        <v/>
      </c>
      <c r="T137" s="3" t="str">
        <f>IF(GLAPS자동계산!U136="","",GLAPS자동계산!U136)</f>
        <v/>
      </c>
      <c r="U137" s="3" t="str">
        <f>IF(GLAPS자동계산!V136="","",GLAPS자동계산!V136)</f>
        <v/>
      </c>
      <c r="V137" s="3" t="str">
        <f>IF(GLAPS자동계산!W136="","",GLAPS자동계산!W136)</f>
        <v/>
      </c>
      <c r="W137" s="14" t="str">
        <f>IF(GLAPS자동계산!X136="","",GLAPS자동계산!X136)</f>
        <v/>
      </c>
      <c r="X137" s="13" t="str">
        <f>IF(GLAPS자동계산!Y136="","",GLAPS자동계산!Y136)</f>
        <v/>
      </c>
      <c r="Y137" s="13" t="str">
        <f>IF(GLAPS자동계산!Z136="","",GLAPS자동계산!Z136)</f>
        <v/>
      </c>
      <c r="Z137" s="91" t="str">
        <f>IF(GLAPS자동계산!AA136="","",GLAPS자동계산!AA136)</f>
        <v/>
      </c>
      <c r="AA137" s="14" t="str">
        <f>IF(GLAPS자동계산!AB136="","",GLAPS자동계산!AB136)</f>
        <v/>
      </c>
      <c r="AC137" s="2" t="str">
        <f>IF($B137="","",$AC$1)</f>
        <v/>
      </c>
      <c r="AD137" s="2" t="str">
        <f>IF($B137="","",IFERROR(INDEX(GLAPS정리!$D$2:$D$50,MATCH(I137,GLAPS정리!$A$2:$A$50,0)),IFERROR(INDEX(GLAPS정리!$D$2:$D$50,MATCH(I137,GLAPS정리!$B$2:$B$50,0)),"")))</f>
        <v/>
      </c>
      <c r="AF137" s="2" t="str">
        <f>IF($B137="","",$AF$1)</f>
        <v/>
      </c>
      <c r="AI137" s="2" t="str">
        <f>IF($B137="","",IF(F137="","",VLOOKUP(F137,GLAPS정리!$G$3:$J$114,2,0)))</f>
        <v/>
      </c>
      <c r="AJ137" s="2" t="str">
        <f>IF($B137="","",IF(Z137="울산정일","KRONS",IF(Z137="울산신항","KRUSN",IF(OR(Z137="선광종합물류(인천여객)",Z137="인천여객(인천여객)"),"KRINF",IF(OR(Z137="선광인천보세(인천신)",Z137="한진인천(인천신)",Z137="선광인천신항(인천신)",Z137="인천더로지스(인천신)"),"KRINN",IF(OR(Z137="인천진아(인천항)",Z137="인천E1(인천항)",Z137="인천SM경인터미널(인천항)",Z137="인천항(인천항)",Z137="인천우련(인천항)",Z137="인천항8부두(인천항)"),"KRINC",VLOOKUP(K137,GLAPS정리!$BB$2:$BC$33,2,0)))))))</f>
        <v/>
      </c>
      <c r="AL137" s="2" t="str">
        <f>IF($B137="","",$AL$1)</f>
        <v/>
      </c>
      <c r="AN137" s="70" t="str">
        <f>IF($B137="","",TEXT(B137,"YYYY-MM-DD"))</f>
        <v/>
      </c>
      <c r="AO137" s="2" t="str">
        <f>IF($B137="","",IF(E137="오전", "0800", IF(E137="오후", "1300", IF(E137="잔업", "1800", ""))))</f>
        <v/>
      </c>
      <c r="AP137" s="2" t="str">
        <f>IF($B137="","",IF(C137="","",VLOOKUP(C137,GLAPS정리!$AX$2:$AZ$17,3,0)))</f>
        <v/>
      </c>
      <c r="AR137" s="2" t="str">
        <f>IF($B137="","",IF(X137="","",X137))</f>
        <v/>
      </c>
      <c r="AX137" s="2" t="str">
        <f>IF($B137="","",IF(L137="","",VLOOKUP(L137,GLAPS정리!$V$3:$W$180,2,0)))</f>
        <v/>
      </c>
      <c r="BM137" s="2" t="str">
        <f>IF($B137="","",IF(AND(Q137=1,OR(P137="",P137="위험물")), "2210", IF(AND(Q137=1,OR(P137="리퍼",P137="위험물리퍼")), "2230", IF(AND(S137=1,OR(P137="",P137="위험물")), "4510", IF(AND(S137=1,OR(P137="리퍼",P137="위험물리퍼")), "4530", IF(AND(R137=1,OR(P137="",P137="위험물")), "4210", IF(AND(R137=1,P137="리퍼"), "4230", " ")))))))</f>
        <v/>
      </c>
      <c r="BN137" s="2" t="str">
        <f>IF($B137="","",$BN$1)</f>
        <v/>
      </c>
      <c r="BR137" s="2" t="str">
        <f>IF($B137="","",IF(OR(P137="리퍼",P137="위험물리퍼"),"Y",""))</f>
        <v/>
      </c>
      <c r="BS137" s="2" t="str">
        <f>IF($B137="","",IF(OR(P137="위험물",P137="위험물리퍼"),"Y",""))</f>
        <v/>
      </c>
      <c r="BV137" s="2" t="str">
        <f>IF($B137="","",IF(O137="","",VLOOKUP(O137,GLAPS정리!$BH$2:$BI$94,2,0)))</f>
        <v/>
      </c>
      <c r="BW137" s="2" t="str">
        <f>IF($B137="","",IF(OR(Z137="동원",Z137="세방",Z137="한타"),"",IFERROR(INDEX(GLAPS정리!$BI$2:$BI$101,MATCH(Z137,GLAPS정리!$BH$2:$BH$101,0)),"")))</f>
        <v/>
      </c>
      <c r="BX137" s="2" t="str">
        <f>IF($B137="","",IF(Z137="","",IFERROR(VLOOKUP(Z137,GLAPS정리!$AX$2:$AZ$17,3,0),"")))</f>
        <v/>
      </c>
      <c r="BZ137" s="2" t="str">
        <f>IF($B137="","",IF(H137="","",VLOOKUP(H137,GLAPS정리!$L$3:$O$133,2,0)))</f>
        <v/>
      </c>
      <c r="CA137" s="2" t="str">
        <f>IF($B137="","",IF(V137="공휴일", 10, IF(V137="야간", 20, IF(V137="위험물", 30, IF(V137="중량", 40, "")))))</f>
        <v/>
      </c>
      <c r="CL137" s="2" t="str">
        <f>IF($B137="","",IF(AI137="","",VLOOKUP(AI137,GLAPS정리!$BT$3:$BV$26,3,0)))</f>
        <v/>
      </c>
    </row>
    <row r="138" spans="2:90" ht="20.45" customHeight="1">
      <c r="B138" s="13" t="str">
        <f>IF(GLAPS자동계산!C137="","",GLAPS자동계산!C137)</f>
        <v/>
      </c>
      <c r="C138" s="3" t="str">
        <f>IF(GLAPS자동계산!D137="","",GLAPS자동계산!D137)</f>
        <v/>
      </c>
      <c r="D138" s="16" t="str">
        <f>IF(GLAPS자동계산!E137="","",GLAPS자동계산!E137)</f>
        <v/>
      </c>
      <c r="E138" s="11" t="str">
        <f>IF(GLAPS자동계산!F137="","",GLAPS자동계산!F137)</f>
        <v/>
      </c>
      <c r="F138" s="3" t="str">
        <f>IF(GLAPS자동계산!G137="","",GLAPS자동계산!G137)</f>
        <v/>
      </c>
      <c r="G138" s="3" t="str">
        <f>IF(GLAPS자동계산!H137="","",GLAPS자동계산!H137)</f>
        <v/>
      </c>
      <c r="H138" s="3" t="str">
        <f>IF(GLAPS자동계산!I137="","",GLAPS자동계산!I137)</f>
        <v/>
      </c>
      <c r="I138" s="3" t="str">
        <f>IF(GLAPS자동계산!J137="","",GLAPS자동계산!J137)</f>
        <v/>
      </c>
      <c r="J138" s="3" t="str">
        <f>IF(GLAPS자동계산!K137="","",GLAPS자동계산!K137)</f>
        <v/>
      </c>
      <c r="K138" s="3" t="str">
        <f>IF(GLAPS자동계산!L137="","",GLAPS자동계산!L137)</f>
        <v/>
      </c>
      <c r="L138" s="3" t="str">
        <f>IF(GLAPS자동계산!M137="","",GLAPS자동계산!M137)</f>
        <v/>
      </c>
      <c r="M138" s="3" t="str">
        <f>IF(GLAPS자동계산!N137="","",GLAPS자동계산!N137)</f>
        <v/>
      </c>
      <c r="N138" s="3" t="str">
        <f>IF(GLAPS자동계산!O137="","",GLAPS자동계산!O137)</f>
        <v/>
      </c>
      <c r="O138" s="3" t="str">
        <f>IF(GLAPS자동계산!P137="","",GLAPS자동계산!P137)</f>
        <v/>
      </c>
      <c r="P138" s="2" t="str">
        <f>IF(GLAPS자동계산!Q137="","",GLAPS자동계산!Q137)</f>
        <v/>
      </c>
      <c r="Q138" s="3" t="str">
        <f>IF(GLAPS자동계산!R137="","",GLAPS자동계산!R137)</f>
        <v/>
      </c>
      <c r="R138" s="3" t="str">
        <f>IF(GLAPS자동계산!S137="","",GLAPS자동계산!S137)</f>
        <v/>
      </c>
      <c r="S138" s="3" t="str">
        <f>IF(GLAPS자동계산!T137="","",GLAPS자동계산!T137)</f>
        <v/>
      </c>
      <c r="T138" s="3" t="str">
        <f>IF(GLAPS자동계산!U137="","",GLAPS자동계산!U137)</f>
        <v/>
      </c>
      <c r="U138" s="3" t="str">
        <f>IF(GLAPS자동계산!V137="","",GLAPS자동계산!V137)</f>
        <v/>
      </c>
      <c r="V138" s="3" t="str">
        <f>IF(GLAPS자동계산!W137="","",GLAPS자동계산!W137)</f>
        <v/>
      </c>
      <c r="W138" s="14" t="str">
        <f>IF(GLAPS자동계산!X137="","",GLAPS자동계산!X137)</f>
        <v/>
      </c>
      <c r="X138" s="13" t="str">
        <f>IF(GLAPS자동계산!Y137="","",GLAPS자동계산!Y137)</f>
        <v/>
      </c>
      <c r="Y138" s="13" t="str">
        <f>IF(GLAPS자동계산!Z137="","",GLAPS자동계산!Z137)</f>
        <v/>
      </c>
      <c r="Z138" s="91" t="str">
        <f>IF(GLAPS자동계산!AA137="","",GLAPS자동계산!AA137)</f>
        <v/>
      </c>
      <c r="AA138" s="14" t="str">
        <f>IF(GLAPS자동계산!AB137="","",GLAPS자동계산!AB137)</f>
        <v/>
      </c>
      <c r="AC138" s="2" t="str">
        <f>IF($B138="","",$AC$1)</f>
        <v/>
      </c>
      <c r="AD138" s="2" t="str">
        <f>IF($B138="","",IFERROR(INDEX(GLAPS정리!$D$2:$D$50,MATCH(I138,GLAPS정리!$A$2:$A$50,0)),IFERROR(INDEX(GLAPS정리!$D$2:$D$50,MATCH(I138,GLAPS정리!$B$2:$B$50,0)),"")))</f>
        <v/>
      </c>
      <c r="AF138" s="2" t="str">
        <f>IF($B138="","",$AF$1)</f>
        <v/>
      </c>
      <c r="AI138" s="2" t="str">
        <f>IF($B138="","",IF(F138="","",VLOOKUP(F138,GLAPS정리!$G$3:$J$114,2,0)))</f>
        <v/>
      </c>
      <c r="AJ138" s="2" t="str">
        <f>IF($B138="","",IF(Z138="울산정일","KRONS",IF(Z138="울산신항","KRUSN",IF(OR(Z138="선광종합물류(인천여객)",Z138="인천여객(인천여객)"),"KRINF",IF(OR(Z138="선광인천보세(인천신)",Z138="한진인천(인천신)",Z138="선광인천신항(인천신)",Z138="인천더로지스(인천신)"),"KRINN",IF(OR(Z138="인천진아(인천항)",Z138="인천E1(인천항)",Z138="인천SM경인터미널(인천항)",Z138="인천항(인천항)",Z138="인천우련(인천항)",Z138="인천항8부두(인천항)"),"KRINC",VLOOKUP(K138,GLAPS정리!$BB$2:$BC$33,2,0)))))))</f>
        <v/>
      </c>
      <c r="AL138" s="2" t="str">
        <f>IF($B138="","",$AL$1)</f>
        <v/>
      </c>
      <c r="AN138" s="70" t="str">
        <f>IF($B138="","",TEXT(B138,"YYYY-MM-DD"))</f>
        <v/>
      </c>
      <c r="AO138" s="2" t="str">
        <f>IF($B138="","",IF(E138="오전", "0800", IF(E138="오후", "1300", IF(E138="잔업", "1800", ""))))</f>
        <v/>
      </c>
      <c r="AP138" s="2" t="str">
        <f>IF($B138="","",IF(C138="","",VLOOKUP(C138,GLAPS정리!$AX$2:$AZ$17,3,0)))</f>
        <v/>
      </c>
      <c r="AR138" s="2" t="str">
        <f>IF($B138="","",IF(X138="","",X138))</f>
        <v/>
      </c>
      <c r="AX138" s="2" t="str">
        <f>IF($B138="","",IF(L138="","",VLOOKUP(L138,GLAPS정리!$V$3:$W$180,2,0)))</f>
        <v/>
      </c>
      <c r="BM138" s="2" t="str">
        <f>IF($B138="","",IF(AND(Q138=1,OR(P138="",P138="위험물")), "2210", IF(AND(Q138=1,OR(P138="리퍼",P138="위험물리퍼")), "2230", IF(AND(S138=1,OR(P138="",P138="위험물")), "4510", IF(AND(S138=1,OR(P138="리퍼",P138="위험물리퍼")), "4530", IF(AND(R138=1,OR(P138="",P138="위험물")), "4210", IF(AND(R138=1,P138="리퍼"), "4230", " ")))))))</f>
        <v/>
      </c>
      <c r="BN138" s="2" t="str">
        <f>IF($B138="","",$BN$1)</f>
        <v/>
      </c>
      <c r="BR138" s="2" t="str">
        <f>IF($B138="","",IF(OR(P138="리퍼",P138="위험물리퍼"),"Y",""))</f>
        <v/>
      </c>
      <c r="BS138" s="2" t="str">
        <f>IF($B138="","",IF(OR(P138="위험물",P138="위험물리퍼"),"Y",""))</f>
        <v/>
      </c>
      <c r="BV138" s="2" t="str">
        <f>IF($B138="","",IF(O138="","",VLOOKUP(O138,GLAPS정리!$BH$2:$BI$94,2,0)))</f>
        <v/>
      </c>
      <c r="BW138" s="2" t="str">
        <f>IF($B138="","",IF(OR(Z138="동원",Z138="세방",Z138="한타"),"",IFERROR(INDEX(GLAPS정리!$BI$2:$BI$101,MATCH(Z138,GLAPS정리!$BH$2:$BH$101,0)),"")))</f>
        <v/>
      </c>
      <c r="BX138" s="2" t="str">
        <f>IF($B138="","",IF(Z138="","",IFERROR(VLOOKUP(Z138,GLAPS정리!$AX$2:$AZ$17,3,0),"")))</f>
        <v/>
      </c>
      <c r="BZ138" s="2" t="str">
        <f>IF($B138="","",IF(H138="","",VLOOKUP(H138,GLAPS정리!$L$3:$O$133,2,0)))</f>
        <v/>
      </c>
      <c r="CA138" s="2" t="str">
        <f>IF($B138="","",IF(V138="공휴일", 10, IF(V138="야간", 20, IF(V138="위험물", 30, IF(V138="중량", 40, "")))))</f>
        <v/>
      </c>
      <c r="CL138" s="2" t="str">
        <f>IF($B138="","",IF(AI138="","",VLOOKUP(AI138,GLAPS정리!$BT$3:$BV$26,3,0)))</f>
        <v/>
      </c>
    </row>
    <row r="139" spans="2:90" ht="20.45" customHeight="1">
      <c r="B139" s="13" t="str">
        <f>IF(GLAPS자동계산!C138="","",GLAPS자동계산!C138)</f>
        <v/>
      </c>
      <c r="C139" s="3" t="str">
        <f>IF(GLAPS자동계산!D138="","",GLAPS자동계산!D138)</f>
        <v/>
      </c>
      <c r="D139" s="16" t="str">
        <f>IF(GLAPS자동계산!E138="","",GLAPS자동계산!E138)</f>
        <v/>
      </c>
      <c r="E139" s="11" t="str">
        <f>IF(GLAPS자동계산!F138="","",GLAPS자동계산!F138)</f>
        <v/>
      </c>
      <c r="F139" s="3" t="str">
        <f>IF(GLAPS자동계산!G138="","",GLAPS자동계산!G138)</f>
        <v/>
      </c>
      <c r="G139" s="3" t="str">
        <f>IF(GLAPS자동계산!H138="","",GLAPS자동계산!H138)</f>
        <v/>
      </c>
      <c r="H139" s="3" t="str">
        <f>IF(GLAPS자동계산!I138="","",GLAPS자동계산!I138)</f>
        <v/>
      </c>
      <c r="I139" s="3" t="str">
        <f>IF(GLAPS자동계산!J138="","",GLAPS자동계산!J138)</f>
        <v/>
      </c>
      <c r="J139" s="3" t="str">
        <f>IF(GLAPS자동계산!K138="","",GLAPS자동계산!K138)</f>
        <v/>
      </c>
      <c r="K139" s="3" t="str">
        <f>IF(GLAPS자동계산!L138="","",GLAPS자동계산!L138)</f>
        <v/>
      </c>
      <c r="L139" s="3" t="str">
        <f>IF(GLAPS자동계산!M138="","",GLAPS자동계산!M138)</f>
        <v/>
      </c>
      <c r="M139" s="3" t="str">
        <f>IF(GLAPS자동계산!N138="","",GLAPS자동계산!N138)</f>
        <v/>
      </c>
      <c r="N139" s="3" t="str">
        <f>IF(GLAPS자동계산!O138="","",GLAPS자동계산!O138)</f>
        <v/>
      </c>
      <c r="O139" s="3" t="str">
        <f>IF(GLAPS자동계산!P138="","",GLAPS자동계산!P138)</f>
        <v/>
      </c>
      <c r="P139" s="2" t="str">
        <f>IF(GLAPS자동계산!Q138="","",GLAPS자동계산!Q138)</f>
        <v/>
      </c>
      <c r="Q139" s="3" t="str">
        <f>IF(GLAPS자동계산!R138="","",GLAPS자동계산!R138)</f>
        <v/>
      </c>
      <c r="R139" s="3" t="str">
        <f>IF(GLAPS자동계산!S138="","",GLAPS자동계산!S138)</f>
        <v/>
      </c>
      <c r="S139" s="3" t="str">
        <f>IF(GLAPS자동계산!T138="","",GLAPS자동계산!T138)</f>
        <v/>
      </c>
      <c r="T139" s="3" t="str">
        <f>IF(GLAPS자동계산!U138="","",GLAPS자동계산!U138)</f>
        <v/>
      </c>
      <c r="U139" s="3" t="str">
        <f>IF(GLAPS자동계산!V138="","",GLAPS자동계산!V138)</f>
        <v/>
      </c>
      <c r="V139" s="3" t="str">
        <f>IF(GLAPS자동계산!W138="","",GLAPS자동계산!W138)</f>
        <v/>
      </c>
      <c r="W139" s="14" t="str">
        <f>IF(GLAPS자동계산!X138="","",GLAPS자동계산!X138)</f>
        <v/>
      </c>
      <c r="X139" s="13" t="str">
        <f>IF(GLAPS자동계산!Y138="","",GLAPS자동계산!Y138)</f>
        <v/>
      </c>
      <c r="Y139" s="13" t="str">
        <f>IF(GLAPS자동계산!Z138="","",GLAPS자동계산!Z138)</f>
        <v/>
      </c>
      <c r="Z139" s="91" t="str">
        <f>IF(GLAPS자동계산!AA138="","",GLAPS자동계산!AA138)</f>
        <v/>
      </c>
      <c r="AA139" s="14" t="str">
        <f>IF(GLAPS자동계산!AB138="","",GLAPS자동계산!AB138)</f>
        <v/>
      </c>
      <c r="AC139" s="2" t="str">
        <f>IF($B139="","",$AC$1)</f>
        <v/>
      </c>
      <c r="AD139" s="2" t="str">
        <f>IF($B139="","",IFERROR(INDEX(GLAPS정리!$D$2:$D$50,MATCH(I139,GLAPS정리!$A$2:$A$50,0)),IFERROR(INDEX(GLAPS정리!$D$2:$D$50,MATCH(I139,GLAPS정리!$B$2:$B$50,0)),"")))</f>
        <v/>
      </c>
      <c r="AF139" s="2" t="str">
        <f>IF($B139="","",$AF$1)</f>
        <v/>
      </c>
      <c r="AI139" s="2" t="str">
        <f>IF($B139="","",IF(F139="","",VLOOKUP(F139,GLAPS정리!$G$3:$J$114,2,0)))</f>
        <v/>
      </c>
      <c r="AJ139" s="2" t="str">
        <f>IF($B139="","",IF(Z139="울산정일","KRONS",IF(Z139="울산신항","KRUSN",IF(OR(Z139="선광종합물류(인천여객)",Z139="인천여객(인천여객)"),"KRINF",IF(OR(Z139="선광인천보세(인천신)",Z139="한진인천(인천신)",Z139="선광인천신항(인천신)",Z139="인천더로지스(인천신)"),"KRINN",IF(OR(Z139="인천진아(인천항)",Z139="인천E1(인천항)",Z139="인천SM경인터미널(인천항)",Z139="인천항(인천항)",Z139="인천우련(인천항)",Z139="인천항8부두(인천항)"),"KRINC",VLOOKUP(K139,GLAPS정리!$BB$2:$BC$33,2,0)))))))</f>
        <v/>
      </c>
      <c r="AL139" s="2" t="str">
        <f>IF($B139="","",$AL$1)</f>
        <v/>
      </c>
      <c r="AN139" s="70" t="str">
        <f>IF($B139="","",TEXT(B139,"YYYY-MM-DD"))</f>
        <v/>
      </c>
      <c r="AO139" s="2" t="str">
        <f>IF($B139="","",IF(E139="오전", "0800", IF(E139="오후", "1300", IF(E139="잔업", "1800", ""))))</f>
        <v/>
      </c>
      <c r="AP139" s="2" t="str">
        <f>IF($B139="","",IF(C139="","",VLOOKUP(C139,GLAPS정리!$AX$2:$AZ$17,3,0)))</f>
        <v/>
      </c>
      <c r="AR139" s="2" t="str">
        <f>IF($B139="","",IF(X139="","",X139))</f>
        <v/>
      </c>
      <c r="AX139" s="2" t="str">
        <f>IF($B139="","",IF(L139="","",VLOOKUP(L139,GLAPS정리!$V$3:$W$180,2,0)))</f>
        <v/>
      </c>
      <c r="BM139" s="2" t="str">
        <f>IF($B139="","",IF(AND(Q139=1,OR(P139="",P139="위험물")), "2210", IF(AND(Q139=1,OR(P139="리퍼",P139="위험물리퍼")), "2230", IF(AND(S139=1,OR(P139="",P139="위험물")), "4510", IF(AND(S139=1,OR(P139="리퍼",P139="위험물리퍼")), "4530", IF(AND(R139=1,OR(P139="",P139="위험물")), "4210", IF(AND(R139=1,P139="리퍼"), "4230", " ")))))))</f>
        <v/>
      </c>
      <c r="BN139" s="2" t="str">
        <f>IF($B139="","",$BN$1)</f>
        <v/>
      </c>
      <c r="BR139" s="2" t="str">
        <f>IF($B139="","",IF(OR(P139="리퍼",P139="위험물리퍼"),"Y",""))</f>
        <v/>
      </c>
      <c r="BS139" s="2" t="str">
        <f>IF($B139="","",IF(OR(P139="위험물",P139="위험물리퍼"),"Y",""))</f>
        <v/>
      </c>
      <c r="BV139" s="2" t="str">
        <f>IF($B139="","",IF(O139="","",VLOOKUP(O139,GLAPS정리!$BH$2:$BI$94,2,0)))</f>
        <v/>
      </c>
      <c r="BW139" s="2" t="str">
        <f>IF($B139="","",IF(OR(Z139="동원",Z139="세방",Z139="한타"),"",IFERROR(INDEX(GLAPS정리!$BI$2:$BI$101,MATCH(Z139,GLAPS정리!$BH$2:$BH$101,0)),"")))</f>
        <v/>
      </c>
      <c r="BX139" s="2" t="str">
        <f>IF($B139="","",IF(Z139="","",IFERROR(VLOOKUP(Z139,GLAPS정리!$AX$2:$AZ$17,3,0),"")))</f>
        <v/>
      </c>
      <c r="BZ139" s="2" t="str">
        <f>IF($B139="","",IF(H139="","",VLOOKUP(H139,GLAPS정리!$L$3:$O$133,2,0)))</f>
        <v/>
      </c>
      <c r="CA139" s="2" t="str">
        <f>IF($B139="","",IF(V139="공휴일", 10, IF(V139="야간", 20, IF(V139="위험물", 30, IF(V139="중량", 40, "")))))</f>
        <v/>
      </c>
      <c r="CL139" s="2" t="str">
        <f>IF($B139="","",IF(AI139="","",VLOOKUP(AI139,GLAPS정리!$BT$3:$BV$26,3,0)))</f>
        <v/>
      </c>
    </row>
    <row r="140" spans="2:90" ht="20.45" customHeight="1">
      <c r="B140" s="13" t="str">
        <f>IF(GLAPS자동계산!C139="","",GLAPS자동계산!C139)</f>
        <v/>
      </c>
      <c r="C140" s="3" t="str">
        <f>IF(GLAPS자동계산!D139="","",GLAPS자동계산!D139)</f>
        <v/>
      </c>
      <c r="D140" s="16" t="str">
        <f>IF(GLAPS자동계산!E139="","",GLAPS자동계산!E139)</f>
        <v/>
      </c>
      <c r="E140" s="11" t="str">
        <f>IF(GLAPS자동계산!F139="","",GLAPS자동계산!F139)</f>
        <v/>
      </c>
      <c r="F140" s="3" t="str">
        <f>IF(GLAPS자동계산!G139="","",GLAPS자동계산!G139)</f>
        <v/>
      </c>
      <c r="G140" s="3" t="str">
        <f>IF(GLAPS자동계산!H139="","",GLAPS자동계산!H139)</f>
        <v/>
      </c>
      <c r="H140" s="3" t="str">
        <f>IF(GLAPS자동계산!I139="","",GLAPS자동계산!I139)</f>
        <v/>
      </c>
      <c r="I140" s="3" t="str">
        <f>IF(GLAPS자동계산!J139="","",GLAPS자동계산!J139)</f>
        <v/>
      </c>
      <c r="J140" s="3" t="str">
        <f>IF(GLAPS자동계산!K139="","",GLAPS자동계산!K139)</f>
        <v/>
      </c>
      <c r="K140" s="3" t="str">
        <f>IF(GLAPS자동계산!L139="","",GLAPS자동계산!L139)</f>
        <v/>
      </c>
      <c r="L140" s="3" t="str">
        <f>IF(GLAPS자동계산!M139="","",GLAPS자동계산!M139)</f>
        <v/>
      </c>
      <c r="M140" s="3" t="str">
        <f>IF(GLAPS자동계산!N139="","",GLAPS자동계산!N139)</f>
        <v/>
      </c>
      <c r="N140" s="3" t="str">
        <f>IF(GLAPS자동계산!O139="","",GLAPS자동계산!O139)</f>
        <v/>
      </c>
      <c r="O140" s="3" t="str">
        <f>IF(GLAPS자동계산!P139="","",GLAPS자동계산!P139)</f>
        <v/>
      </c>
      <c r="P140" s="2" t="str">
        <f>IF(GLAPS자동계산!Q139="","",GLAPS자동계산!Q139)</f>
        <v/>
      </c>
      <c r="Q140" s="3" t="str">
        <f>IF(GLAPS자동계산!R139="","",GLAPS자동계산!R139)</f>
        <v/>
      </c>
      <c r="R140" s="3" t="str">
        <f>IF(GLAPS자동계산!S139="","",GLAPS자동계산!S139)</f>
        <v/>
      </c>
      <c r="S140" s="3" t="str">
        <f>IF(GLAPS자동계산!T139="","",GLAPS자동계산!T139)</f>
        <v/>
      </c>
      <c r="T140" s="3" t="str">
        <f>IF(GLAPS자동계산!U139="","",GLAPS자동계산!U139)</f>
        <v/>
      </c>
      <c r="U140" s="3" t="str">
        <f>IF(GLAPS자동계산!V139="","",GLAPS자동계산!V139)</f>
        <v/>
      </c>
      <c r="V140" s="3" t="str">
        <f>IF(GLAPS자동계산!W139="","",GLAPS자동계산!W139)</f>
        <v/>
      </c>
      <c r="W140" s="14" t="str">
        <f>IF(GLAPS자동계산!X139="","",GLAPS자동계산!X139)</f>
        <v/>
      </c>
      <c r="X140" s="13" t="str">
        <f>IF(GLAPS자동계산!Y139="","",GLAPS자동계산!Y139)</f>
        <v/>
      </c>
      <c r="Y140" s="13" t="str">
        <f>IF(GLAPS자동계산!Z139="","",GLAPS자동계산!Z139)</f>
        <v/>
      </c>
      <c r="Z140" s="91" t="str">
        <f>IF(GLAPS자동계산!AA139="","",GLAPS자동계산!AA139)</f>
        <v/>
      </c>
      <c r="AA140" s="14" t="str">
        <f>IF(GLAPS자동계산!AB139="","",GLAPS자동계산!AB139)</f>
        <v/>
      </c>
      <c r="AC140" s="2" t="str">
        <f>IF($B140="","",$AC$1)</f>
        <v/>
      </c>
      <c r="AD140" s="2" t="str">
        <f>IF($B140="","",IFERROR(INDEX(GLAPS정리!$D$2:$D$50,MATCH(I140,GLAPS정리!$A$2:$A$50,0)),IFERROR(INDEX(GLAPS정리!$D$2:$D$50,MATCH(I140,GLAPS정리!$B$2:$B$50,0)),"")))</f>
        <v/>
      </c>
      <c r="AF140" s="2" t="str">
        <f>IF($B140="","",$AF$1)</f>
        <v/>
      </c>
      <c r="AI140" s="2" t="str">
        <f>IF($B140="","",IF(F140="","",VLOOKUP(F140,GLAPS정리!$G$3:$J$114,2,0)))</f>
        <v/>
      </c>
      <c r="AJ140" s="2" t="str">
        <f>IF($B140="","",IF(Z140="울산정일","KRONS",IF(Z140="울산신항","KRUSN",IF(OR(Z140="선광종합물류(인천여객)",Z140="인천여객(인천여객)"),"KRINF",IF(OR(Z140="선광인천보세(인천신)",Z140="한진인천(인천신)",Z140="선광인천신항(인천신)",Z140="인천더로지스(인천신)"),"KRINN",IF(OR(Z140="인천진아(인천항)",Z140="인천E1(인천항)",Z140="인천SM경인터미널(인천항)",Z140="인천항(인천항)",Z140="인천우련(인천항)",Z140="인천항8부두(인천항)"),"KRINC",VLOOKUP(K140,GLAPS정리!$BB$2:$BC$33,2,0)))))))</f>
        <v/>
      </c>
      <c r="AL140" s="2" t="str">
        <f>IF($B140="","",$AL$1)</f>
        <v/>
      </c>
      <c r="AN140" s="70" t="str">
        <f>IF($B140="","",TEXT(B140,"YYYY-MM-DD"))</f>
        <v/>
      </c>
      <c r="AO140" s="2" t="str">
        <f>IF($B140="","",IF(E140="오전", "0800", IF(E140="오후", "1300", IF(E140="잔업", "1800", ""))))</f>
        <v/>
      </c>
      <c r="AP140" s="2" t="str">
        <f>IF($B140="","",IF(C140="","",VLOOKUP(C140,GLAPS정리!$AX$2:$AZ$17,3,0)))</f>
        <v/>
      </c>
      <c r="AR140" s="2" t="str">
        <f>IF($B140="","",IF(X140="","",X140))</f>
        <v/>
      </c>
      <c r="AX140" s="2" t="str">
        <f>IF($B140="","",IF(L140="","",VLOOKUP(L140,GLAPS정리!$V$3:$W$180,2,0)))</f>
        <v/>
      </c>
      <c r="BM140" s="2" t="str">
        <f>IF($B140="","",IF(AND(Q140=1,OR(P140="",P140="위험물")), "2210", IF(AND(Q140=1,OR(P140="리퍼",P140="위험물리퍼")), "2230", IF(AND(S140=1,OR(P140="",P140="위험물")), "4510", IF(AND(S140=1,OR(P140="리퍼",P140="위험물리퍼")), "4530", IF(AND(R140=1,OR(P140="",P140="위험물")), "4210", IF(AND(R140=1,P140="리퍼"), "4230", " ")))))))</f>
        <v/>
      </c>
      <c r="BN140" s="2" t="str">
        <f>IF($B140="","",$BN$1)</f>
        <v/>
      </c>
      <c r="BR140" s="2" t="str">
        <f>IF($B140="","",IF(OR(P140="리퍼",P140="위험물리퍼"),"Y",""))</f>
        <v/>
      </c>
      <c r="BS140" s="2" t="str">
        <f>IF($B140="","",IF(OR(P140="위험물",P140="위험물리퍼"),"Y",""))</f>
        <v/>
      </c>
      <c r="BV140" s="2" t="str">
        <f>IF($B140="","",IF(O140="","",VLOOKUP(O140,GLAPS정리!$BH$2:$BI$94,2,0)))</f>
        <v/>
      </c>
      <c r="BW140" s="2" t="str">
        <f>IF($B140="","",IF(OR(Z140="동원",Z140="세방",Z140="한타"),"",IFERROR(INDEX(GLAPS정리!$BI$2:$BI$101,MATCH(Z140,GLAPS정리!$BH$2:$BH$101,0)),"")))</f>
        <v/>
      </c>
      <c r="BX140" s="2" t="str">
        <f>IF($B140="","",IF(Z140="","",IFERROR(VLOOKUP(Z140,GLAPS정리!$AX$2:$AZ$17,3,0),"")))</f>
        <v/>
      </c>
      <c r="BZ140" s="2" t="str">
        <f>IF($B140="","",IF(H140="","",VLOOKUP(H140,GLAPS정리!$L$3:$O$133,2,0)))</f>
        <v/>
      </c>
      <c r="CA140" s="2" t="str">
        <f>IF($B140="","",IF(V140="공휴일", 10, IF(V140="야간", 20, IF(V140="위험물", 30, IF(V140="중량", 40, "")))))</f>
        <v/>
      </c>
      <c r="CL140" s="2" t="str">
        <f>IF($B140="","",IF(AI140="","",VLOOKUP(AI140,GLAPS정리!$BT$3:$BV$26,3,0)))</f>
        <v/>
      </c>
    </row>
    <row r="141" spans="2:90" ht="20.45" customHeight="1">
      <c r="B141" s="13" t="str">
        <f>IF(GLAPS자동계산!C140="","",GLAPS자동계산!C140)</f>
        <v/>
      </c>
      <c r="C141" s="3" t="str">
        <f>IF(GLAPS자동계산!D140="","",GLAPS자동계산!D140)</f>
        <v/>
      </c>
      <c r="D141" s="16" t="str">
        <f>IF(GLAPS자동계산!E140="","",GLAPS자동계산!E140)</f>
        <v/>
      </c>
      <c r="E141" s="11" t="str">
        <f>IF(GLAPS자동계산!F140="","",GLAPS자동계산!F140)</f>
        <v/>
      </c>
      <c r="F141" s="3" t="str">
        <f>IF(GLAPS자동계산!G140="","",GLAPS자동계산!G140)</f>
        <v/>
      </c>
      <c r="G141" s="3" t="str">
        <f>IF(GLAPS자동계산!H140="","",GLAPS자동계산!H140)</f>
        <v/>
      </c>
      <c r="H141" s="3" t="str">
        <f>IF(GLAPS자동계산!I140="","",GLAPS자동계산!I140)</f>
        <v/>
      </c>
      <c r="I141" s="3" t="str">
        <f>IF(GLAPS자동계산!J140="","",GLAPS자동계산!J140)</f>
        <v/>
      </c>
      <c r="J141" s="3" t="str">
        <f>IF(GLAPS자동계산!K140="","",GLAPS자동계산!K140)</f>
        <v/>
      </c>
      <c r="K141" s="3" t="str">
        <f>IF(GLAPS자동계산!L140="","",GLAPS자동계산!L140)</f>
        <v/>
      </c>
      <c r="L141" s="3" t="str">
        <f>IF(GLAPS자동계산!M140="","",GLAPS자동계산!M140)</f>
        <v/>
      </c>
      <c r="M141" s="3" t="str">
        <f>IF(GLAPS자동계산!N140="","",GLAPS자동계산!N140)</f>
        <v/>
      </c>
      <c r="N141" s="3" t="str">
        <f>IF(GLAPS자동계산!O140="","",GLAPS자동계산!O140)</f>
        <v/>
      </c>
      <c r="O141" s="3" t="str">
        <f>IF(GLAPS자동계산!P140="","",GLAPS자동계산!P140)</f>
        <v/>
      </c>
      <c r="P141" s="2" t="str">
        <f>IF(GLAPS자동계산!Q140="","",GLAPS자동계산!Q140)</f>
        <v/>
      </c>
      <c r="Q141" s="3" t="str">
        <f>IF(GLAPS자동계산!R140="","",GLAPS자동계산!R140)</f>
        <v/>
      </c>
      <c r="R141" s="3" t="str">
        <f>IF(GLAPS자동계산!S140="","",GLAPS자동계산!S140)</f>
        <v/>
      </c>
      <c r="S141" s="3" t="str">
        <f>IF(GLAPS자동계산!T140="","",GLAPS자동계산!T140)</f>
        <v/>
      </c>
      <c r="T141" s="3" t="str">
        <f>IF(GLAPS자동계산!U140="","",GLAPS자동계산!U140)</f>
        <v/>
      </c>
      <c r="U141" s="3" t="str">
        <f>IF(GLAPS자동계산!V140="","",GLAPS자동계산!V140)</f>
        <v/>
      </c>
      <c r="V141" s="3" t="str">
        <f>IF(GLAPS자동계산!W140="","",GLAPS자동계산!W140)</f>
        <v/>
      </c>
      <c r="W141" s="14" t="str">
        <f>IF(GLAPS자동계산!X140="","",GLAPS자동계산!X140)</f>
        <v/>
      </c>
      <c r="X141" s="13" t="str">
        <f>IF(GLAPS자동계산!Y140="","",GLAPS자동계산!Y140)</f>
        <v/>
      </c>
      <c r="Y141" s="13" t="str">
        <f>IF(GLAPS자동계산!Z140="","",GLAPS자동계산!Z140)</f>
        <v/>
      </c>
      <c r="Z141" s="91" t="str">
        <f>IF(GLAPS자동계산!AA140="","",GLAPS자동계산!AA140)</f>
        <v/>
      </c>
      <c r="AA141" s="14" t="str">
        <f>IF(GLAPS자동계산!AB140="","",GLAPS자동계산!AB140)</f>
        <v/>
      </c>
      <c r="AC141" s="2" t="str">
        <f>IF($B141="","",$AC$1)</f>
        <v/>
      </c>
      <c r="AD141" s="2" t="str">
        <f>IF($B141="","",IFERROR(INDEX(GLAPS정리!$D$2:$D$50,MATCH(I141,GLAPS정리!$A$2:$A$50,0)),IFERROR(INDEX(GLAPS정리!$D$2:$D$50,MATCH(I141,GLAPS정리!$B$2:$B$50,0)),"")))</f>
        <v/>
      </c>
      <c r="AF141" s="2" t="str">
        <f>IF($B141="","",$AF$1)</f>
        <v/>
      </c>
      <c r="AI141" s="2" t="str">
        <f>IF($B141="","",IF(F141="","",VLOOKUP(F141,GLAPS정리!$G$3:$J$114,2,0)))</f>
        <v/>
      </c>
      <c r="AJ141" s="2" t="str">
        <f>IF($B141="","",IF(Z141="울산정일","KRONS",IF(Z141="울산신항","KRUSN",IF(OR(Z141="선광종합물류(인천여객)",Z141="인천여객(인천여객)"),"KRINF",IF(OR(Z141="선광인천보세(인천신)",Z141="한진인천(인천신)",Z141="선광인천신항(인천신)",Z141="인천더로지스(인천신)"),"KRINN",IF(OR(Z141="인천진아(인천항)",Z141="인천E1(인천항)",Z141="인천SM경인터미널(인천항)",Z141="인천항(인천항)",Z141="인천우련(인천항)",Z141="인천항8부두(인천항)"),"KRINC",VLOOKUP(K141,GLAPS정리!$BB$2:$BC$33,2,0)))))))</f>
        <v/>
      </c>
      <c r="AL141" s="2" t="str">
        <f>IF($B141="","",$AL$1)</f>
        <v/>
      </c>
      <c r="AN141" s="70" t="str">
        <f>IF($B141="","",TEXT(B141,"YYYY-MM-DD"))</f>
        <v/>
      </c>
      <c r="AO141" s="2" t="str">
        <f>IF($B141="","",IF(E141="오전", "0800", IF(E141="오후", "1300", IF(E141="잔업", "1800", ""))))</f>
        <v/>
      </c>
      <c r="AP141" s="2" t="str">
        <f>IF($B141="","",IF(C141="","",VLOOKUP(C141,GLAPS정리!$AX$2:$AZ$17,3,0)))</f>
        <v/>
      </c>
      <c r="AR141" s="2" t="str">
        <f>IF($B141="","",IF(X141="","",X141))</f>
        <v/>
      </c>
      <c r="AX141" s="2" t="str">
        <f>IF($B141="","",IF(L141="","",VLOOKUP(L141,GLAPS정리!$V$3:$W$180,2,0)))</f>
        <v/>
      </c>
      <c r="BM141" s="2" t="str">
        <f>IF($B141="","",IF(AND(Q141=1,OR(P141="",P141="위험물")), "2210", IF(AND(Q141=1,OR(P141="리퍼",P141="위험물리퍼")), "2230", IF(AND(S141=1,OR(P141="",P141="위험물")), "4510", IF(AND(S141=1,OR(P141="리퍼",P141="위험물리퍼")), "4530", IF(AND(R141=1,OR(P141="",P141="위험물")), "4210", IF(AND(R141=1,P141="리퍼"), "4230", " ")))))))</f>
        <v/>
      </c>
      <c r="BN141" s="2" t="str">
        <f>IF($B141="","",$BN$1)</f>
        <v/>
      </c>
      <c r="BR141" s="2" t="str">
        <f>IF($B141="","",IF(OR(P141="리퍼",P141="위험물리퍼"),"Y",""))</f>
        <v/>
      </c>
      <c r="BS141" s="2" t="str">
        <f>IF($B141="","",IF(OR(P141="위험물",P141="위험물리퍼"),"Y",""))</f>
        <v/>
      </c>
      <c r="BV141" s="2" t="str">
        <f>IF($B141="","",IF(O141="","",VLOOKUP(O141,GLAPS정리!$BH$2:$BI$94,2,0)))</f>
        <v/>
      </c>
      <c r="BW141" s="2" t="str">
        <f>IF($B141="","",IF(OR(Z141="동원",Z141="세방",Z141="한타"),"",IFERROR(INDEX(GLAPS정리!$BI$2:$BI$101,MATCH(Z141,GLAPS정리!$BH$2:$BH$101,0)),"")))</f>
        <v/>
      </c>
      <c r="BX141" s="2" t="str">
        <f>IF($B141="","",IF(Z141="","",IFERROR(VLOOKUP(Z141,GLAPS정리!$AX$2:$AZ$17,3,0),"")))</f>
        <v/>
      </c>
      <c r="BZ141" s="2" t="str">
        <f>IF($B141="","",IF(H141="","",VLOOKUP(H141,GLAPS정리!$L$3:$O$133,2,0)))</f>
        <v/>
      </c>
      <c r="CA141" s="2" t="str">
        <f>IF($B141="","",IF(V141="공휴일", 10, IF(V141="야간", 20, IF(V141="위험물", 30, IF(V141="중량", 40, "")))))</f>
        <v/>
      </c>
      <c r="CL141" s="2" t="str">
        <f>IF($B141="","",IF(AI141="","",VLOOKUP(AI141,GLAPS정리!$BT$3:$BV$26,3,0)))</f>
        <v/>
      </c>
    </row>
    <row r="142" spans="2:90" ht="20.45" customHeight="1">
      <c r="B142" s="13" t="str">
        <f>IF(GLAPS자동계산!C141="","",GLAPS자동계산!C141)</f>
        <v/>
      </c>
      <c r="C142" s="3" t="str">
        <f>IF(GLAPS자동계산!D141="","",GLAPS자동계산!D141)</f>
        <v/>
      </c>
      <c r="D142" s="16" t="str">
        <f>IF(GLAPS자동계산!E141="","",GLAPS자동계산!E141)</f>
        <v/>
      </c>
      <c r="E142" s="11" t="str">
        <f>IF(GLAPS자동계산!F141="","",GLAPS자동계산!F141)</f>
        <v/>
      </c>
      <c r="F142" s="3" t="str">
        <f>IF(GLAPS자동계산!G141="","",GLAPS자동계산!G141)</f>
        <v/>
      </c>
      <c r="G142" s="3" t="str">
        <f>IF(GLAPS자동계산!H141="","",GLAPS자동계산!H141)</f>
        <v/>
      </c>
      <c r="H142" s="3" t="str">
        <f>IF(GLAPS자동계산!I141="","",GLAPS자동계산!I141)</f>
        <v/>
      </c>
      <c r="I142" s="3" t="str">
        <f>IF(GLAPS자동계산!J141="","",GLAPS자동계산!J141)</f>
        <v/>
      </c>
      <c r="J142" s="3" t="str">
        <f>IF(GLAPS자동계산!K141="","",GLAPS자동계산!K141)</f>
        <v/>
      </c>
      <c r="K142" s="3" t="str">
        <f>IF(GLAPS자동계산!L141="","",GLAPS자동계산!L141)</f>
        <v/>
      </c>
      <c r="L142" s="3" t="str">
        <f>IF(GLAPS자동계산!M141="","",GLAPS자동계산!M141)</f>
        <v/>
      </c>
      <c r="M142" s="3" t="str">
        <f>IF(GLAPS자동계산!N141="","",GLAPS자동계산!N141)</f>
        <v/>
      </c>
      <c r="N142" s="3" t="str">
        <f>IF(GLAPS자동계산!O141="","",GLAPS자동계산!O141)</f>
        <v/>
      </c>
      <c r="O142" s="3" t="str">
        <f>IF(GLAPS자동계산!P141="","",GLAPS자동계산!P141)</f>
        <v/>
      </c>
      <c r="P142" s="2" t="str">
        <f>IF(GLAPS자동계산!Q141="","",GLAPS자동계산!Q141)</f>
        <v/>
      </c>
      <c r="Q142" s="3" t="str">
        <f>IF(GLAPS자동계산!R141="","",GLAPS자동계산!R141)</f>
        <v/>
      </c>
      <c r="R142" s="3" t="str">
        <f>IF(GLAPS자동계산!S141="","",GLAPS자동계산!S141)</f>
        <v/>
      </c>
      <c r="S142" s="3" t="str">
        <f>IF(GLAPS자동계산!T141="","",GLAPS자동계산!T141)</f>
        <v/>
      </c>
      <c r="T142" s="3" t="str">
        <f>IF(GLAPS자동계산!U141="","",GLAPS자동계산!U141)</f>
        <v/>
      </c>
      <c r="U142" s="3" t="str">
        <f>IF(GLAPS자동계산!V141="","",GLAPS자동계산!V141)</f>
        <v/>
      </c>
      <c r="V142" s="3" t="str">
        <f>IF(GLAPS자동계산!W141="","",GLAPS자동계산!W141)</f>
        <v/>
      </c>
      <c r="W142" s="14" t="str">
        <f>IF(GLAPS자동계산!X141="","",GLAPS자동계산!X141)</f>
        <v/>
      </c>
      <c r="X142" s="13" t="str">
        <f>IF(GLAPS자동계산!Y141="","",GLAPS자동계산!Y141)</f>
        <v/>
      </c>
      <c r="Y142" s="13" t="str">
        <f>IF(GLAPS자동계산!Z141="","",GLAPS자동계산!Z141)</f>
        <v/>
      </c>
      <c r="Z142" s="91" t="str">
        <f>IF(GLAPS자동계산!AA141="","",GLAPS자동계산!AA141)</f>
        <v/>
      </c>
      <c r="AA142" s="14" t="str">
        <f>IF(GLAPS자동계산!AB141="","",GLAPS자동계산!AB141)</f>
        <v/>
      </c>
      <c r="AC142" s="2" t="str">
        <f>IF($B142="","",$AC$1)</f>
        <v/>
      </c>
      <c r="AD142" s="2" t="str">
        <f>IF($B142="","",IFERROR(INDEX(GLAPS정리!$D$2:$D$50,MATCH(I142,GLAPS정리!$A$2:$A$50,0)),IFERROR(INDEX(GLAPS정리!$D$2:$D$50,MATCH(I142,GLAPS정리!$B$2:$B$50,0)),"")))</f>
        <v/>
      </c>
      <c r="AF142" s="2" t="str">
        <f>IF($B142="","",$AF$1)</f>
        <v/>
      </c>
      <c r="AI142" s="2" t="str">
        <f>IF($B142="","",IF(F142="","",VLOOKUP(F142,GLAPS정리!$G$3:$J$114,2,0)))</f>
        <v/>
      </c>
      <c r="AJ142" s="2" t="str">
        <f>IF($B142="","",IF(Z142="울산정일","KRONS",IF(Z142="울산신항","KRUSN",IF(OR(Z142="선광종합물류(인천여객)",Z142="인천여객(인천여객)"),"KRINF",IF(OR(Z142="선광인천보세(인천신)",Z142="한진인천(인천신)",Z142="선광인천신항(인천신)",Z142="인천더로지스(인천신)"),"KRINN",IF(OR(Z142="인천진아(인천항)",Z142="인천E1(인천항)",Z142="인천SM경인터미널(인천항)",Z142="인천항(인천항)",Z142="인천우련(인천항)",Z142="인천항8부두(인천항)"),"KRINC",VLOOKUP(K142,GLAPS정리!$BB$2:$BC$33,2,0)))))))</f>
        <v/>
      </c>
      <c r="AL142" s="2" t="str">
        <f>IF($B142="","",$AL$1)</f>
        <v/>
      </c>
      <c r="AN142" s="70" t="str">
        <f>IF($B142="","",TEXT(B142,"YYYY-MM-DD"))</f>
        <v/>
      </c>
      <c r="AO142" s="2" t="str">
        <f>IF($B142="","",IF(E142="오전", "0800", IF(E142="오후", "1300", IF(E142="잔업", "1800", ""))))</f>
        <v/>
      </c>
      <c r="AP142" s="2" t="str">
        <f>IF($B142="","",IF(C142="","",VLOOKUP(C142,GLAPS정리!$AX$2:$AZ$17,3,0)))</f>
        <v/>
      </c>
      <c r="AR142" s="2" t="str">
        <f>IF($B142="","",IF(X142="","",X142))</f>
        <v/>
      </c>
      <c r="AX142" s="2" t="str">
        <f>IF($B142="","",IF(L142="","",VLOOKUP(L142,GLAPS정리!$V$3:$W$180,2,0)))</f>
        <v/>
      </c>
      <c r="BM142" s="2" t="str">
        <f>IF($B142="","",IF(AND(Q142=1,OR(P142="",P142="위험물")), "2210", IF(AND(Q142=1,OR(P142="리퍼",P142="위험물리퍼")), "2230", IF(AND(S142=1,OR(P142="",P142="위험물")), "4510", IF(AND(S142=1,OR(P142="리퍼",P142="위험물리퍼")), "4530", IF(AND(R142=1,OR(P142="",P142="위험물")), "4210", IF(AND(R142=1,P142="리퍼"), "4230", " ")))))))</f>
        <v/>
      </c>
      <c r="BN142" s="2" t="str">
        <f>IF($B142="","",$BN$1)</f>
        <v/>
      </c>
      <c r="BR142" s="2" t="str">
        <f>IF($B142="","",IF(OR(P142="리퍼",P142="위험물리퍼"),"Y",""))</f>
        <v/>
      </c>
      <c r="BS142" s="2" t="str">
        <f>IF($B142="","",IF(OR(P142="위험물",P142="위험물리퍼"),"Y",""))</f>
        <v/>
      </c>
      <c r="BV142" s="2" t="str">
        <f>IF($B142="","",IF(O142="","",VLOOKUP(O142,GLAPS정리!$BH$2:$BI$94,2,0)))</f>
        <v/>
      </c>
      <c r="BW142" s="2" t="str">
        <f>IF($B142="","",IF(OR(Z142="동원",Z142="세방",Z142="한타"),"",IFERROR(INDEX(GLAPS정리!$BI$2:$BI$101,MATCH(Z142,GLAPS정리!$BH$2:$BH$101,0)),"")))</f>
        <v/>
      </c>
      <c r="BX142" s="2" t="str">
        <f>IF($B142="","",IF(Z142="","",IFERROR(VLOOKUP(Z142,GLAPS정리!$AX$2:$AZ$17,3,0),"")))</f>
        <v/>
      </c>
      <c r="BZ142" s="2" t="str">
        <f>IF($B142="","",IF(H142="","",VLOOKUP(H142,GLAPS정리!$L$3:$O$133,2,0)))</f>
        <v/>
      </c>
      <c r="CA142" s="2" t="str">
        <f>IF($B142="","",IF(V142="공휴일", 10, IF(V142="야간", 20, IF(V142="위험물", 30, IF(V142="중량", 40, "")))))</f>
        <v/>
      </c>
      <c r="CL142" s="2" t="str">
        <f>IF($B142="","",IF(AI142="","",VLOOKUP(AI142,GLAPS정리!$BT$3:$BV$26,3,0)))</f>
        <v/>
      </c>
    </row>
    <row r="143" spans="2:90" ht="20.45" customHeight="1">
      <c r="B143" s="13" t="str">
        <f>IF(GLAPS자동계산!C142="","",GLAPS자동계산!C142)</f>
        <v/>
      </c>
      <c r="C143" s="3" t="str">
        <f>IF(GLAPS자동계산!D142="","",GLAPS자동계산!D142)</f>
        <v/>
      </c>
      <c r="D143" s="16" t="str">
        <f>IF(GLAPS자동계산!E142="","",GLAPS자동계산!E142)</f>
        <v/>
      </c>
      <c r="E143" s="11" t="str">
        <f>IF(GLAPS자동계산!F142="","",GLAPS자동계산!F142)</f>
        <v/>
      </c>
      <c r="F143" s="3" t="str">
        <f>IF(GLAPS자동계산!G142="","",GLAPS자동계산!G142)</f>
        <v/>
      </c>
      <c r="G143" s="3" t="str">
        <f>IF(GLAPS자동계산!H142="","",GLAPS자동계산!H142)</f>
        <v/>
      </c>
      <c r="H143" s="3" t="str">
        <f>IF(GLAPS자동계산!I142="","",GLAPS자동계산!I142)</f>
        <v/>
      </c>
      <c r="I143" s="3" t="str">
        <f>IF(GLAPS자동계산!J142="","",GLAPS자동계산!J142)</f>
        <v/>
      </c>
      <c r="J143" s="3" t="str">
        <f>IF(GLAPS자동계산!K142="","",GLAPS자동계산!K142)</f>
        <v/>
      </c>
      <c r="K143" s="3" t="str">
        <f>IF(GLAPS자동계산!L142="","",GLAPS자동계산!L142)</f>
        <v/>
      </c>
      <c r="L143" s="3" t="str">
        <f>IF(GLAPS자동계산!M142="","",GLAPS자동계산!M142)</f>
        <v/>
      </c>
      <c r="M143" s="3" t="str">
        <f>IF(GLAPS자동계산!N142="","",GLAPS자동계산!N142)</f>
        <v/>
      </c>
      <c r="N143" s="3" t="str">
        <f>IF(GLAPS자동계산!O142="","",GLAPS자동계산!O142)</f>
        <v/>
      </c>
      <c r="O143" s="3" t="str">
        <f>IF(GLAPS자동계산!P142="","",GLAPS자동계산!P142)</f>
        <v/>
      </c>
      <c r="P143" s="2" t="str">
        <f>IF(GLAPS자동계산!Q142="","",GLAPS자동계산!Q142)</f>
        <v/>
      </c>
      <c r="Q143" s="3" t="str">
        <f>IF(GLAPS자동계산!R142="","",GLAPS자동계산!R142)</f>
        <v/>
      </c>
      <c r="R143" s="3" t="str">
        <f>IF(GLAPS자동계산!S142="","",GLAPS자동계산!S142)</f>
        <v/>
      </c>
      <c r="S143" s="3" t="str">
        <f>IF(GLAPS자동계산!T142="","",GLAPS자동계산!T142)</f>
        <v/>
      </c>
      <c r="T143" s="3" t="str">
        <f>IF(GLAPS자동계산!U142="","",GLAPS자동계산!U142)</f>
        <v/>
      </c>
      <c r="U143" s="3" t="str">
        <f>IF(GLAPS자동계산!V142="","",GLAPS자동계산!V142)</f>
        <v/>
      </c>
      <c r="V143" s="3" t="str">
        <f>IF(GLAPS자동계산!W142="","",GLAPS자동계산!W142)</f>
        <v/>
      </c>
      <c r="W143" s="14" t="str">
        <f>IF(GLAPS자동계산!X142="","",GLAPS자동계산!X142)</f>
        <v/>
      </c>
      <c r="X143" s="13" t="str">
        <f>IF(GLAPS자동계산!Y142="","",GLAPS자동계산!Y142)</f>
        <v/>
      </c>
      <c r="Y143" s="13" t="str">
        <f>IF(GLAPS자동계산!Z142="","",GLAPS자동계산!Z142)</f>
        <v/>
      </c>
      <c r="Z143" s="91" t="str">
        <f>IF(GLAPS자동계산!AA142="","",GLAPS자동계산!AA142)</f>
        <v/>
      </c>
      <c r="AA143" s="14" t="str">
        <f>IF(GLAPS자동계산!AB142="","",GLAPS자동계산!AB142)</f>
        <v/>
      </c>
      <c r="AC143" s="2" t="str">
        <f>IF($B143="","",$AC$1)</f>
        <v/>
      </c>
      <c r="AD143" s="2" t="str">
        <f>IF($B143="","",IFERROR(INDEX(GLAPS정리!$D$2:$D$50,MATCH(I143,GLAPS정리!$A$2:$A$50,0)),IFERROR(INDEX(GLAPS정리!$D$2:$D$50,MATCH(I143,GLAPS정리!$B$2:$B$50,0)),"")))</f>
        <v/>
      </c>
      <c r="AF143" s="2" t="str">
        <f>IF($B143="","",$AF$1)</f>
        <v/>
      </c>
      <c r="AI143" s="2" t="str">
        <f>IF($B143="","",IF(F143="","",VLOOKUP(F143,GLAPS정리!$G$3:$J$114,2,0)))</f>
        <v/>
      </c>
      <c r="AJ143" s="2" t="str">
        <f>IF($B143="","",IF(Z143="울산정일","KRONS",IF(Z143="울산신항","KRUSN",IF(OR(Z143="선광종합물류(인천여객)",Z143="인천여객(인천여객)"),"KRINF",IF(OR(Z143="선광인천보세(인천신)",Z143="한진인천(인천신)",Z143="선광인천신항(인천신)",Z143="인천더로지스(인천신)"),"KRINN",IF(OR(Z143="인천진아(인천항)",Z143="인천E1(인천항)",Z143="인천SM경인터미널(인천항)",Z143="인천항(인천항)",Z143="인천우련(인천항)",Z143="인천항8부두(인천항)"),"KRINC",VLOOKUP(K143,GLAPS정리!$BB$2:$BC$33,2,0)))))))</f>
        <v/>
      </c>
      <c r="AL143" s="2" t="str">
        <f>IF($B143="","",$AL$1)</f>
        <v/>
      </c>
      <c r="AN143" s="70" t="str">
        <f>IF($B143="","",TEXT(B143,"YYYY-MM-DD"))</f>
        <v/>
      </c>
      <c r="AO143" s="2" t="str">
        <f>IF($B143="","",IF(E143="오전", "0800", IF(E143="오후", "1300", IF(E143="잔업", "1800", ""))))</f>
        <v/>
      </c>
      <c r="AP143" s="2" t="str">
        <f>IF($B143="","",IF(C143="","",VLOOKUP(C143,GLAPS정리!$AX$2:$AZ$17,3,0)))</f>
        <v/>
      </c>
      <c r="AR143" s="2" t="str">
        <f>IF($B143="","",IF(X143="","",X143))</f>
        <v/>
      </c>
      <c r="AX143" s="2" t="str">
        <f>IF($B143="","",IF(L143="","",VLOOKUP(L143,GLAPS정리!$V$3:$W$180,2,0)))</f>
        <v/>
      </c>
      <c r="BM143" s="2" t="str">
        <f>IF($B143="","",IF(AND(Q143=1,OR(P143="",P143="위험물")), "2210", IF(AND(Q143=1,OR(P143="리퍼",P143="위험물리퍼")), "2230", IF(AND(S143=1,OR(P143="",P143="위험물")), "4510", IF(AND(S143=1,OR(P143="리퍼",P143="위험물리퍼")), "4530", IF(AND(R143=1,OR(P143="",P143="위험물")), "4210", IF(AND(R143=1,P143="리퍼"), "4230", " ")))))))</f>
        <v/>
      </c>
      <c r="BN143" s="2" t="str">
        <f>IF($B143="","",$BN$1)</f>
        <v/>
      </c>
      <c r="BR143" s="2" t="str">
        <f>IF($B143="","",IF(OR(P143="리퍼",P143="위험물리퍼"),"Y",""))</f>
        <v/>
      </c>
      <c r="BS143" s="2" t="str">
        <f>IF($B143="","",IF(OR(P143="위험물",P143="위험물리퍼"),"Y",""))</f>
        <v/>
      </c>
      <c r="BV143" s="2" t="str">
        <f>IF($B143="","",IF(O143="","",VLOOKUP(O143,GLAPS정리!$BH$2:$BI$94,2,0)))</f>
        <v/>
      </c>
      <c r="BW143" s="2" t="str">
        <f>IF($B143="","",IF(OR(Z143="동원",Z143="세방",Z143="한타"),"",IFERROR(INDEX(GLAPS정리!$BI$2:$BI$101,MATCH(Z143,GLAPS정리!$BH$2:$BH$101,0)),"")))</f>
        <v/>
      </c>
      <c r="BX143" s="2" t="str">
        <f>IF($B143="","",IF(Z143="","",IFERROR(VLOOKUP(Z143,GLAPS정리!$AX$2:$AZ$17,3,0),"")))</f>
        <v/>
      </c>
      <c r="BZ143" s="2" t="str">
        <f>IF($B143="","",IF(H143="","",VLOOKUP(H143,GLAPS정리!$L$3:$O$133,2,0)))</f>
        <v/>
      </c>
      <c r="CA143" s="2" t="str">
        <f>IF($B143="","",IF(V143="공휴일", 10, IF(V143="야간", 20, IF(V143="위험물", 30, IF(V143="중량", 40, "")))))</f>
        <v/>
      </c>
      <c r="CL143" s="2" t="str">
        <f>IF($B143="","",IF(AI143="","",VLOOKUP(AI143,GLAPS정리!$BT$3:$BV$26,3,0)))</f>
        <v/>
      </c>
    </row>
    <row r="144" spans="2:90" ht="20.45" customHeight="1">
      <c r="B144" s="13" t="str">
        <f>IF(GLAPS자동계산!C143="","",GLAPS자동계산!C143)</f>
        <v/>
      </c>
      <c r="C144" s="3" t="str">
        <f>IF(GLAPS자동계산!D143="","",GLAPS자동계산!D143)</f>
        <v/>
      </c>
      <c r="D144" s="16" t="str">
        <f>IF(GLAPS자동계산!E143="","",GLAPS자동계산!E143)</f>
        <v/>
      </c>
      <c r="E144" s="11" t="str">
        <f>IF(GLAPS자동계산!F143="","",GLAPS자동계산!F143)</f>
        <v/>
      </c>
      <c r="F144" s="3" t="str">
        <f>IF(GLAPS자동계산!G143="","",GLAPS자동계산!G143)</f>
        <v/>
      </c>
      <c r="G144" s="3" t="str">
        <f>IF(GLAPS자동계산!H143="","",GLAPS자동계산!H143)</f>
        <v/>
      </c>
      <c r="H144" s="3" t="str">
        <f>IF(GLAPS자동계산!I143="","",GLAPS자동계산!I143)</f>
        <v/>
      </c>
      <c r="I144" s="3" t="str">
        <f>IF(GLAPS자동계산!J143="","",GLAPS자동계산!J143)</f>
        <v/>
      </c>
      <c r="J144" s="3" t="str">
        <f>IF(GLAPS자동계산!K143="","",GLAPS자동계산!K143)</f>
        <v/>
      </c>
      <c r="K144" s="3" t="str">
        <f>IF(GLAPS자동계산!L143="","",GLAPS자동계산!L143)</f>
        <v/>
      </c>
      <c r="L144" s="3" t="str">
        <f>IF(GLAPS자동계산!M143="","",GLAPS자동계산!M143)</f>
        <v/>
      </c>
      <c r="M144" s="3" t="str">
        <f>IF(GLAPS자동계산!N143="","",GLAPS자동계산!N143)</f>
        <v/>
      </c>
      <c r="N144" s="3" t="str">
        <f>IF(GLAPS자동계산!O143="","",GLAPS자동계산!O143)</f>
        <v/>
      </c>
      <c r="O144" s="3" t="str">
        <f>IF(GLAPS자동계산!P143="","",GLAPS자동계산!P143)</f>
        <v/>
      </c>
      <c r="P144" s="2" t="str">
        <f>IF(GLAPS자동계산!Q143="","",GLAPS자동계산!Q143)</f>
        <v/>
      </c>
      <c r="Q144" s="3" t="str">
        <f>IF(GLAPS자동계산!R143="","",GLAPS자동계산!R143)</f>
        <v/>
      </c>
      <c r="R144" s="3" t="str">
        <f>IF(GLAPS자동계산!S143="","",GLAPS자동계산!S143)</f>
        <v/>
      </c>
      <c r="S144" s="3" t="str">
        <f>IF(GLAPS자동계산!T143="","",GLAPS자동계산!T143)</f>
        <v/>
      </c>
      <c r="T144" s="3" t="str">
        <f>IF(GLAPS자동계산!U143="","",GLAPS자동계산!U143)</f>
        <v/>
      </c>
      <c r="U144" s="3" t="str">
        <f>IF(GLAPS자동계산!V143="","",GLAPS자동계산!V143)</f>
        <v/>
      </c>
      <c r="V144" s="3" t="str">
        <f>IF(GLAPS자동계산!W143="","",GLAPS자동계산!W143)</f>
        <v/>
      </c>
      <c r="W144" s="14" t="str">
        <f>IF(GLAPS자동계산!X143="","",GLAPS자동계산!X143)</f>
        <v/>
      </c>
      <c r="X144" s="13" t="str">
        <f>IF(GLAPS자동계산!Y143="","",GLAPS자동계산!Y143)</f>
        <v/>
      </c>
      <c r="Y144" s="13" t="str">
        <f>IF(GLAPS자동계산!Z143="","",GLAPS자동계산!Z143)</f>
        <v/>
      </c>
      <c r="Z144" s="91" t="str">
        <f>IF(GLAPS자동계산!AA143="","",GLAPS자동계산!AA143)</f>
        <v/>
      </c>
      <c r="AA144" s="14" t="str">
        <f>IF(GLAPS자동계산!AB143="","",GLAPS자동계산!AB143)</f>
        <v/>
      </c>
      <c r="AC144" s="2" t="str">
        <f>IF($B144="","",$AC$1)</f>
        <v/>
      </c>
      <c r="AD144" s="2" t="str">
        <f>IF($B144="","",IFERROR(INDEX(GLAPS정리!$D$2:$D$50,MATCH(I144,GLAPS정리!$A$2:$A$50,0)),IFERROR(INDEX(GLAPS정리!$D$2:$D$50,MATCH(I144,GLAPS정리!$B$2:$B$50,0)),"")))</f>
        <v/>
      </c>
      <c r="AF144" s="2" t="str">
        <f>IF($B144="","",$AF$1)</f>
        <v/>
      </c>
      <c r="AI144" s="2" t="str">
        <f>IF($B144="","",IF(F144="","",VLOOKUP(F144,GLAPS정리!$G$3:$J$114,2,0)))</f>
        <v/>
      </c>
      <c r="AJ144" s="2" t="str">
        <f>IF($B144="","",IF(Z144="울산정일","KRONS",IF(Z144="울산신항","KRUSN",IF(OR(Z144="선광종합물류(인천여객)",Z144="인천여객(인천여객)"),"KRINF",IF(OR(Z144="선광인천보세(인천신)",Z144="한진인천(인천신)",Z144="선광인천신항(인천신)",Z144="인천더로지스(인천신)"),"KRINN",IF(OR(Z144="인천진아(인천항)",Z144="인천E1(인천항)",Z144="인천SM경인터미널(인천항)",Z144="인천항(인천항)",Z144="인천우련(인천항)",Z144="인천항8부두(인천항)"),"KRINC",VLOOKUP(K144,GLAPS정리!$BB$2:$BC$33,2,0)))))))</f>
        <v/>
      </c>
      <c r="AL144" s="2" t="str">
        <f>IF($B144="","",$AL$1)</f>
        <v/>
      </c>
      <c r="AN144" s="70" t="str">
        <f>IF($B144="","",TEXT(B144,"YYYY-MM-DD"))</f>
        <v/>
      </c>
      <c r="AO144" s="2" t="str">
        <f>IF($B144="","",IF(E144="오전", "0800", IF(E144="오후", "1300", IF(E144="잔업", "1800", ""))))</f>
        <v/>
      </c>
      <c r="AP144" s="2" t="str">
        <f>IF($B144="","",IF(C144="","",VLOOKUP(C144,GLAPS정리!$AX$2:$AZ$17,3,0)))</f>
        <v/>
      </c>
      <c r="AR144" s="2" t="str">
        <f>IF($B144="","",IF(X144="","",X144))</f>
        <v/>
      </c>
      <c r="AX144" s="2" t="str">
        <f>IF($B144="","",IF(L144="","",VLOOKUP(L144,GLAPS정리!$V$3:$W$180,2,0)))</f>
        <v/>
      </c>
      <c r="BM144" s="2" t="str">
        <f>IF($B144="","",IF(AND(Q144=1,OR(P144="",P144="위험물")), "2210", IF(AND(Q144=1,OR(P144="리퍼",P144="위험물리퍼")), "2230", IF(AND(S144=1,OR(P144="",P144="위험물")), "4510", IF(AND(S144=1,OR(P144="리퍼",P144="위험물리퍼")), "4530", IF(AND(R144=1,OR(P144="",P144="위험물")), "4210", IF(AND(R144=1,P144="리퍼"), "4230", " ")))))))</f>
        <v/>
      </c>
      <c r="BN144" s="2" t="str">
        <f>IF($B144="","",$BN$1)</f>
        <v/>
      </c>
      <c r="BR144" s="2" t="str">
        <f>IF($B144="","",IF(OR(P144="리퍼",P144="위험물리퍼"),"Y",""))</f>
        <v/>
      </c>
      <c r="BS144" s="2" t="str">
        <f>IF($B144="","",IF(OR(P144="위험물",P144="위험물리퍼"),"Y",""))</f>
        <v/>
      </c>
      <c r="BV144" s="2" t="str">
        <f>IF($B144="","",IF(O144="","",VLOOKUP(O144,GLAPS정리!$BH$2:$BI$94,2,0)))</f>
        <v/>
      </c>
      <c r="BW144" s="2" t="str">
        <f>IF($B144="","",IF(OR(Z144="동원",Z144="세방",Z144="한타"),"",IFERROR(INDEX(GLAPS정리!$BI$2:$BI$101,MATCH(Z144,GLAPS정리!$BH$2:$BH$101,0)),"")))</f>
        <v/>
      </c>
      <c r="BX144" s="2" t="str">
        <f>IF($B144="","",IF(Z144="","",IFERROR(VLOOKUP(Z144,GLAPS정리!$AX$2:$AZ$17,3,0),"")))</f>
        <v/>
      </c>
      <c r="BZ144" s="2" t="str">
        <f>IF($B144="","",IF(H144="","",VLOOKUP(H144,GLAPS정리!$L$3:$O$133,2,0)))</f>
        <v/>
      </c>
      <c r="CA144" s="2" t="str">
        <f>IF($B144="","",IF(V144="공휴일", 10, IF(V144="야간", 20, IF(V144="위험물", 30, IF(V144="중량", 40, "")))))</f>
        <v/>
      </c>
      <c r="CL144" s="2" t="str">
        <f>IF($B144="","",IF(AI144="","",VLOOKUP(AI144,GLAPS정리!$BT$3:$BV$26,3,0)))</f>
        <v/>
      </c>
    </row>
    <row r="145" spans="2:90" ht="20.45" customHeight="1">
      <c r="B145" s="13" t="str">
        <f>IF(GLAPS자동계산!C144="","",GLAPS자동계산!C144)</f>
        <v/>
      </c>
      <c r="C145" s="3" t="str">
        <f>IF(GLAPS자동계산!D144="","",GLAPS자동계산!D144)</f>
        <v/>
      </c>
      <c r="D145" s="16" t="str">
        <f>IF(GLAPS자동계산!E144="","",GLAPS자동계산!E144)</f>
        <v/>
      </c>
      <c r="E145" s="11" t="str">
        <f>IF(GLAPS자동계산!F144="","",GLAPS자동계산!F144)</f>
        <v/>
      </c>
      <c r="F145" s="3" t="str">
        <f>IF(GLAPS자동계산!G144="","",GLAPS자동계산!G144)</f>
        <v/>
      </c>
      <c r="G145" s="3" t="str">
        <f>IF(GLAPS자동계산!H144="","",GLAPS자동계산!H144)</f>
        <v/>
      </c>
      <c r="H145" s="3" t="str">
        <f>IF(GLAPS자동계산!I144="","",GLAPS자동계산!I144)</f>
        <v/>
      </c>
      <c r="I145" s="3" t="str">
        <f>IF(GLAPS자동계산!J144="","",GLAPS자동계산!J144)</f>
        <v/>
      </c>
      <c r="J145" s="3" t="str">
        <f>IF(GLAPS자동계산!K144="","",GLAPS자동계산!K144)</f>
        <v/>
      </c>
      <c r="K145" s="3" t="str">
        <f>IF(GLAPS자동계산!L144="","",GLAPS자동계산!L144)</f>
        <v/>
      </c>
      <c r="L145" s="3" t="str">
        <f>IF(GLAPS자동계산!M144="","",GLAPS자동계산!M144)</f>
        <v/>
      </c>
      <c r="M145" s="3" t="str">
        <f>IF(GLAPS자동계산!N144="","",GLAPS자동계산!N144)</f>
        <v/>
      </c>
      <c r="N145" s="3" t="str">
        <f>IF(GLAPS자동계산!O144="","",GLAPS자동계산!O144)</f>
        <v/>
      </c>
      <c r="O145" s="3" t="str">
        <f>IF(GLAPS자동계산!P144="","",GLAPS자동계산!P144)</f>
        <v/>
      </c>
      <c r="P145" s="2" t="str">
        <f>IF(GLAPS자동계산!Q144="","",GLAPS자동계산!Q144)</f>
        <v/>
      </c>
      <c r="Q145" s="3" t="str">
        <f>IF(GLAPS자동계산!R144="","",GLAPS자동계산!R144)</f>
        <v/>
      </c>
      <c r="R145" s="3" t="str">
        <f>IF(GLAPS자동계산!S144="","",GLAPS자동계산!S144)</f>
        <v/>
      </c>
      <c r="S145" s="3" t="str">
        <f>IF(GLAPS자동계산!T144="","",GLAPS자동계산!T144)</f>
        <v/>
      </c>
      <c r="T145" s="3" t="str">
        <f>IF(GLAPS자동계산!U144="","",GLAPS자동계산!U144)</f>
        <v/>
      </c>
      <c r="U145" s="3" t="str">
        <f>IF(GLAPS자동계산!V144="","",GLAPS자동계산!V144)</f>
        <v/>
      </c>
      <c r="V145" s="3" t="str">
        <f>IF(GLAPS자동계산!W144="","",GLAPS자동계산!W144)</f>
        <v/>
      </c>
      <c r="W145" s="14" t="str">
        <f>IF(GLAPS자동계산!X144="","",GLAPS자동계산!X144)</f>
        <v/>
      </c>
      <c r="X145" s="13" t="str">
        <f>IF(GLAPS자동계산!Y144="","",GLAPS자동계산!Y144)</f>
        <v/>
      </c>
      <c r="Y145" s="13" t="str">
        <f>IF(GLAPS자동계산!Z144="","",GLAPS자동계산!Z144)</f>
        <v/>
      </c>
      <c r="Z145" s="91" t="str">
        <f>IF(GLAPS자동계산!AA144="","",GLAPS자동계산!AA144)</f>
        <v/>
      </c>
      <c r="AA145" s="14" t="str">
        <f>IF(GLAPS자동계산!AB144="","",GLAPS자동계산!AB144)</f>
        <v/>
      </c>
      <c r="AC145" s="2" t="str">
        <f>IF($B145="","",$AC$1)</f>
        <v/>
      </c>
      <c r="AD145" s="2" t="str">
        <f>IF($B145="","",IFERROR(INDEX(GLAPS정리!$D$2:$D$50,MATCH(I145,GLAPS정리!$A$2:$A$50,0)),IFERROR(INDEX(GLAPS정리!$D$2:$D$50,MATCH(I145,GLAPS정리!$B$2:$B$50,0)),"")))</f>
        <v/>
      </c>
      <c r="AF145" s="2" t="str">
        <f>IF($B145="","",$AF$1)</f>
        <v/>
      </c>
      <c r="AI145" s="2" t="str">
        <f>IF($B145="","",IF(F145="","",VLOOKUP(F145,GLAPS정리!$G$3:$J$114,2,0)))</f>
        <v/>
      </c>
      <c r="AJ145" s="2" t="str">
        <f>IF($B145="","",IF(Z145="울산정일","KRONS",IF(Z145="울산신항","KRUSN",IF(OR(Z145="선광종합물류(인천여객)",Z145="인천여객(인천여객)"),"KRINF",IF(OR(Z145="선광인천보세(인천신)",Z145="한진인천(인천신)",Z145="선광인천신항(인천신)",Z145="인천더로지스(인천신)"),"KRINN",IF(OR(Z145="인천진아(인천항)",Z145="인천E1(인천항)",Z145="인천SM경인터미널(인천항)",Z145="인천항(인천항)",Z145="인천우련(인천항)",Z145="인천항8부두(인천항)"),"KRINC",VLOOKUP(K145,GLAPS정리!$BB$2:$BC$33,2,0)))))))</f>
        <v/>
      </c>
      <c r="AL145" s="2" t="str">
        <f>IF($B145="","",$AL$1)</f>
        <v/>
      </c>
      <c r="AN145" s="70" t="str">
        <f>IF($B145="","",TEXT(B145,"YYYY-MM-DD"))</f>
        <v/>
      </c>
      <c r="AO145" s="2" t="str">
        <f>IF($B145="","",IF(E145="오전", "0800", IF(E145="오후", "1300", IF(E145="잔업", "1800", ""))))</f>
        <v/>
      </c>
      <c r="AP145" s="2" t="str">
        <f>IF($B145="","",IF(C145="","",VLOOKUP(C145,GLAPS정리!$AX$2:$AZ$17,3,0)))</f>
        <v/>
      </c>
      <c r="AR145" s="2" t="str">
        <f>IF($B145="","",IF(X145="","",X145))</f>
        <v/>
      </c>
      <c r="AX145" s="2" t="str">
        <f>IF($B145="","",IF(L145="","",VLOOKUP(L145,GLAPS정리!$V$3:$W$180,2,0)))</f>
        <v/>
      </c>
      <c r="BM145" s="2" t="str">
        <f>IF($B145="","",IF(AND(Q145=1,OR(P145="",P145="위험물")), "2210", IF(AND(Q145=1,OR(P145="리퍼",P145="위험물리퍼")), "2230", IF(AND(S145=1,OR(P145="",P145="위험물")), "4510", IF(AND(S145=1,OR(P145="리퍼",P145="위험물리퍼")), "4530", IF(AND(R145=1,OR(P145="",P145="위험물")), "4210", IF(AND(R145=1,P145="리퍼"), "4230", " ")))))))</f>
        <v/>
      </c>
      <c r="BN145" s="2" t="str">
        <f>IF($B145="","",$BN$1)</f>
        <v/>
      </c>
      <c r="BR145" s="2" t="str">
        <f>IF($B145="","",IF(OR(P145="리퍼",P145="위험물리퍼"),"Y",""))</f>
        <v/>
      </c>
      <c r="BS145" s="2" t="str">
        <f>IF($B145="","",IF(OR(P145="위험물",P145="위험물리퍼"),"Y",""))</f>
        <v/>
      </c>
      <c r="BV145" s="2" t="str">
        <f>IF($B145="","",IF(O145="","",VLOOKUP(O145,GLAPS정리!$BH$2:$BI$94,2,0)))</f>
        <v/>
      </c>
      <c r="BW145" s="2" t="str">
        <f>IF($B145="","",IF(OR(Z145="동원",Z145="세방",Z145="한타"),"",IFERROR(INDEX(GLAPS정리!$BI$2:$BI$101,MATCH(Z145,GLAPS정리!$BH$2:$BH$101,0)),"")))</f>
        <v/>
      </c>
      <c r="BX145" s="2" t="str">
        <f>IF($B145="","",IF(Z145="","",IFERROR(VLOOKUP(Z145,GLAPS정리!$AX$2:$AZ$17,3,0),"")))</f>
        <v/>
      </c>
      <c r="BZ145" s="2" t="str">
        <f>IF($B145="","",IF(H145="","",VLOOKUP(H145,GLAPS정리!$L$3:$O$133,2,0)))</f>
        <v/>
      </c>
      <c r="CA145" s="2" t="str">
        <f>IF($B145="","",IF(V145="공휴일", 10, IF(V145="야간", 20, IF(V145="위험물", 30, IF(V145="중량", 40, "")))))</f>
        <v/>
      </c>
      <c r="CL145" s="2" t="str">
        <f>IF($B145="","",IF(AI145="","",VLOOKUP(AI145,GLAPS정리!$BT$3:$BV$26,3,0)))</f>
        <v/>
      </c>
    </row>
    <row r="146" spans="2:90" ht="20.45" customHeight="1">
      <c r="B146" s="13" t="str">
        <f>IF(GLAPS자동계산!C145="","",GLAPS자동계산!C145)</f>
        <v/>
      </c>
      <c r="C146" s="3" t="str">
        <f>IF(GLAPS자동계산!D145="","",GLAPS자동계산!D145)</f>
        <v/>
      </c>
      <c r="D146" s="16" t="str">
        <f>IF(GLAPS자동계산!E145="","",GLAPS자동계산!E145)</f>
        <v/>
      </c>
      <c r="E146" s="11" t="str">
        <f>IF(GLAPS자동계산!F145="","",GLAPS자동계산!F145)</f>
        <v/>
      </c>
      <c r="F146" s="3" t="str">
        <f>IF(GLAPS자동계산!G145="","",GLAPS자동계산!G145)</f>
        <v/>
      </c>
      <c r="G146" s="3" t="str">
        <f>IF(GLAPS자동계산!H145="","",GLAPS자동계산!H145)</f>
        <v/>
      </c>
      <c r="H146" s="3" t="str">
        <f>IF(GLAPS자동계산!I145="","",GLAPS자동계산!I145)</f>
        <v/>
      </c>
      <c r="I146" s="3" t="str">
        <f>IF(GLAPS자동계산!J145="","",GLAPS자동계산!J145)</f>
        <v/>
      </c>
      <c r="J146" s="3" t="str">
        <f>IF(GLAPS자동계산!K145="","",GLAPS자동계산!K145)</f>
        <v/>
      </c>
      <c r="K146" s="3" t="str">
        <f>IF(GLAPS자동계산!L145="","",GLAPS자동계산!L145)</f>
        <v/>
      </c>
      <c r="L146" s="3" t="str">
        <f>IF(GLAPS자동계산!M145="","",GLAPS자동계산!M145)</f>
        <v/>
      </c>
      <c r="M146" s="3" t="str">
        <f>IF(GLAPS자동계산!N145="","",GLAPS자동계산!N145)</f>
        <v/>
      </c>
      <c r="N146" s="3" t="str">
        <f>IF(GLAPS자동계산!O145="","",GLAPS자동계산!O145)</f>
        <v/>
      </c>
      <c r="O146" s="3" t="str">
        <f>IF(GLAPS자동계산!P145="","",GLAPS자동계산!P145)</f>
        <v/>
      </c>
      <c r="P146" s="2" t="str">
        <f>IF(GLAPS자동계산!Q145="","",GLAPS자동계산!Q145)</f>
        <v/>
      </c>
      <c r="Q146" s="3" t="str">
        <f>IF(GLAPS자동계산!R145="","",GLAPS자동계산!R145)</f>
        <v/>
      </c>
      <c r="R146" s="3" t="str">
        <f>IF(GLAPS자동계산!S145="","",GLAPS자동계산!S145)</f>
        <v/>
      </c>
      <c r="S146" s="3" t="str">
        <f>IF(GLAPS자동계산!T145="","",GLAPS자동계산!T145)</f>
        <v/>
      </c>
      <c r="T146" s="3" t="str">
        <f>IF(GLAPS자동계산!U145="","",GLAPS자동계산!U145)</f>
        <v/>
      </c>
      <c r="U146" s="3" t="str">
        <f>IF(GLAPS자동계산!V145="","",GLAPS자동계산!V145)</f>
        <v/>
      </c>
      <c r="V146" s="3" t="str">
        <f>IF(GLAPS자동계산!W145="","",GLAPS자동계산!W145)</f>
        <v/>
      </c>
      <c r="W146" s="14" t="str">
        <f>IF(GLAPS자동계산!X145="","",GLAPS자동계산!X145)</f>
        <v/>
      </c>
      <c r="X146" s="13" t="str">
        <f>IF(GLAPS자동계산!Y145="","",GLAPS자동계산!Y145)</f>
        <v/>
      </c>
      <c r="Y146" s="13" t="str">
        <f>IF(GLAPS자동계산!Z145="","",GLAPS자동계산!Z145)</f>
        <v/>
      </c>
      <c r="Z146" s="91" t="str">
        <f>IF(GLAPS자동계산!AA145="","",GLAPS자동계산!AA145)</f>
        <v/>
      </c>
      <c r="AA146" s="14" t="str">
        <f>IF(GLAPS자동계산!AB145="","",GLAPS자동계산!AB145)</f>
        <v/>
      </c>
      <c r="AC146" s="2" t="str">
        <f>IF($B146="","",$AC$1)</f>
        <v/>
      </c>
      <c r="AD146" s="2" t="str">
        <f>IF($B146="","",IFERROR(INDEX(GLAPS정리!$D$2:$D$50,MATCH(I146,GLAPS정리!$A$2:$A$50,0)),IFERROR(INDEX(GLAPS정리!$D$2:$D$50,MATCH(I146,GLAPS정리!$B$2:$B$50,0)),"")))</f>
        <v/>
      </c>
      <c r="AF146" s="2" t="str">
        <f>IF($B146="","",$AF$1)</f>
        <v/>
      </c>
      <c r="AI146" s="2" t="str">
        <f>IF($B146="","",IF(F146="","",VLOOKUP(F146,GLAPS정리!$G$3:$J$114,2,0)))</f>
        <v/>
      </c>
      <c r="AJ146" s="2" t="str">
        <f>IF($B146="","",IF(Z146="울산정일","KRONS",IF(Z146="울산신항","KRUSN",IF(OR(Z146="선광종합물류(인천여객)",Z146="인천여객(인천여객)"),"KRINF",IF(OR(Z146="선광인천보세(인천신)",Z146="한진인천(인천신)",Z146="선광인천신항(인천신)",Z146="인천더로지스(인천신)"),"KRINN",IF(OR(Z146="인천진아(인천항)",Z146="인천E1(인천항)",Z146="인천SM경인터미널(인천항)",Z146="인천항(인천항)",Z146="인천우련(인천항)",Z146="인천항8부두(인천항)"),"KRINC",VLOOKUP(K146,GLAPS정리!$BB$2:$BC$33,2,0)))))))</f>
        <v/>
      </c>
      <c r="AL146" s="2" t="str">
        <f>IF($B146="","",$AL$1)</f>
        <v/>
      </c>
      <c r="AN146" s="70" t="str">
        <f>IF($B146="","",TEXT(B146,"YYYY-MM-DD"))</f>
        <v/>
      </c>
      <c r="AO146" s="2" t="str">
        <f>IF($B146="","",IF(E146="오전", "0800", IF(E146="오후", "1300", IF(E146="잔업", "1800", ""))))</f>
        <v/>
      </c>
      <c r="AP146" s="2" t="str">
        <f>IF($B146="","",IF(C146="","",VLOOKUP(C146,GLAPS정리!$AX$2:$AZ$17,3,0)))</f>
        <v/>
      </c>
      <c r="AR146" s="2" t="str">
        <f>IF($B146="","",IF(X146="","",X146))</f>
        <v/>
      </c>
      <c r="AX146" s="2" t="str">
        <f>IF($B146="","",IF(L146="","",VLOOKUP(L146,GLAPS정리!$V$3:$W$180,2,0)))</f>
        <v/>
      </c>
      <c r="BM146" s="2" t="str">
        <f>IF($B146="","",IF(AND(Q146=1,OR(P146="",P146="위험물")), "2210", IF(AND(Q146=1,OR(P146="리퍼",P146="위험물리퍼")), "2230", IF(AND(S146=1,OR(P146="",P146="위험물")), "4510", IF(AND(S146=1,OR(P146="리퍼",P146="위험물리퍼")), "4530", IF(AND(R146=1,OR(P146="",P146="위험물")), "4210", IF(AND(R146=1,P146="리퍼"), "4230", " ")))))))</f>
        <v/>
      </c>
      <c r="BN146" s="2" t="str">
        <f>IF($B146="","",$BN$1)</f>
        <v/>
      </c>
      <c r="BR146" s="2" t="str">
        <f>IF($B146="","",IF(OR(P146="리퍼",P146="위험물리퍼"),"Y",""))</f>
        <v/>
      </c>
      <c r="BS146" s="2" t="str">
        <f>IF($B146="","",IF(OR(P146="위험물",P146="위험물리퍼"),"Y",""))</f>
        <v/>
      </c>
      <c r="BV146" s="2" t="str">
        <f>IF($B146="","",IF(O146="","",VLOOKUP(O146,GLAPS정리!$BH$2:$BI$94,2,0)))</f>
        <v/>
      </c>
      <c r="BW146" s="2" t="str">
        <f>IF($B146="","",IF(OR(Z146="동원",Z146="세방",Z146="한타"),"",IFERROR(INDEX(GLAPS정리!$BI$2:$BI$101,MATCH(Z146,GLAPS정리!$BH$2:$BH$101,0)),"")))</f>
        <v/>
      </c>
      <c r="BX146" s="2" t="str">
        <f>IF($B146="","",IF(Z146="","",IFERROR(VLOOKUP(Z146,GLAPS정리!$AX$2:$AZ$17,3,0),"")))</f>
        <v/>
      </c>
      <c r="BZ146" s="2" t="str">
        <f>IF($B146="","",IF(H146="","",VLOOKUP(H146,GLAPS정리!$L$3:$O$133,2,0)))</f>
        <v/>
      </c>
      <c r="CA146" s="2" t="str">
        <f>IF($B146="","",IF(V146="공휴일", 10, IF(V146="야간", 20, IF(V146="위험물", 30, IF(V146="중량", 40, "")))))</f>
        <v/>
      </c>
      <c r="CL146" s="2" t="str">
        <f>IF($B146="","",IF(AI146="","",VLOOKUP(AI146,GLAPS정리!$BT$3:$BV$26,3,0)))</f>
        <v/>
      </c>
    </row>
    <row r="147" spans="2:90" ht="20.45" customHeight="1">
      <c r="B147" s="13" t="str">
        <f>IF(GLAPS자동계산!C146="","",GLAPS자동계산!C146)</f>
        <v/>
      </c>
      <c r="C147" s="3" t="str">
        <f>IF(GLAPS자동계산!D146="","",GLAPS자동계산!D146)</f>
        <v/>
      </c>
      <c r="D147" s="16" t="str">
        <f>IF(GLAPS자동계산!E146="","",GLAPS자동계산!E146)</f>
        <v/>
      </c>
      <c r="E147" s="11" t="str">
        <f>IF(GLAPS자동계산!F146="","",GLAPS자동계산!F146)</f>
        <v/>
      </c>
      <c r="F147" s="3" t="str">
        <f>IF(GLAPS자동계산!G146="","",GLAPS자동계산!G146)</f>
        <v/>
      </c>
      <c r="G147" s="3" t="str">
        <f>IF(GLAPS자동계산!H146="","",GLAPS자동계산!H146)</f>
        <v/>
      </c>
      <c r="H147" s="3" t="str">
        <f>IF(GLAPS자동계산!I146="","",GLAPS자동계산!I146)</f>
        <v/>
      </c>
      <c r="I147" s="3" t="str">
        <f>IF(GLAPS자동계산!J146="","",GLAPS자동계산!J146)</f>
        <v/>
      </c>
      <c r="J147" s="3" t="str">
        <f>IF(GLAPS자동계산!K146="","",GLAPS자동계산!K146)</f>
        <v/>
      </c>
      <c r="K147" s="3" t="str">
        <f>IF(GLAPS자동계산!L146="","",GLAPS자동계산!L146)</f>
        <v/>
      </c>
      <c r="L147" s="3" t="str">
        <f>IF(GLAPS자동계산!M146="","",GLAPS자동계산!M146)</f>
        <v/>
      </c>
      <c r="M147" s="3" t="str">
        <f>IF(GLAPS자동계산!N146="","",GLAPS자동계산!N146)</f>
        <v/>
      </c>
      <c r="N147" s="3" t="str">
        <f>IF(GLAPS자동계산!O146="","",GLAPS자동계산!O146)</f>
        <v/>
      </c>
      <c r="O147" s="3" t="str">
        <f>IF(GLAPS자동계산!P146="","",GLAPS자동계산!P146)</f>
        <v/>
      </c>
      <c r="P147" s="2" t="str">
        <f>IF(GLAPS자동계산!Q146="","",GLAPS자동계산!Q146)</f>
        <v/>
      </c>
      <c r="Q147" s="3" t="str">
        <f>IF(GLAPS자동계산!R146="","",GLAPS자동계산!R146)</f>
        <v/>
      </c>
      <c r="R147" s="3" t="str">
        <f>IF(GLAPS자동계산!S146="","",GLAPS자동계산!S146)</f>
        <v/>
      </c>
      <c r="S147" s="3" t="str">
        <f>IF(GLAPS자동계산!T146="","",GLAPS자동계산!T146)</f>
        <v/>
      </c>
      <c r="T147" s="3" t="str">
        <f>IF(GLAPS자동계산!U146="","",GLAPS자동계산!U146)</f>
        <v/>
      </c>
      <c r="U147" s="3" t="str">
        <f>IF(GLAPS자동계산!V146="","",GLAPS자동계산!V146)</f>
        <v/>
      </c>
      <c r="V147" s="3" t="str">
        <f>IF(GLAPS자동계산!W146="","",GLAPS자동계산!W146)</f>
        <v/>
      </c>
      <c r="W147" s="14" t="str">
        <f>IF(GLAPS자동계산!X146="","",GLAPS자동계산!X146)</f>
        <v/>
      </c>
      <c r="X147" s="13" t="str">
        <f>IF(GLAPS자동계산!Y146="","",GLAPS자동계산!Y146)</f>
        <v/>
      </c>
      <c r="Y147" s="13" t="str">
        <f>IF(GLAPS자동계산!Z146="","",GLAPS자동계산!Z146)</f>
        <v/>
      </c>
      <c r="Z147" s="91" t="str">
        <f>IF(GLAPS자동계산!AA146="","",GLAPS자동계산!AA146)</f>
        <v/>
      </c>
      <c r="AA147" s="14" t="str">
        <f>IF(GLAPS자동계산!AB146="","",GLAPS자동계산!AB146)</f>
        <v/>
      </c>
      <c r="AC147" s="2" t="str">
        <f>IF($B147="","",$AC$1)</f>
        <v/>
      </c>
      <c r="AD147" s="2" t="str">
        <f>IF($B147="","",IFERROR(INDEX(GLAPS정리!$D$2:$D$50,MATCH(I147,GLAPS정리!$A$2:$A$50,0)),IFERROR(INDEX(GLAPS정리!$D$2:$D$50,MATCH(I147,GLAPS정리!$B$2:$B$50,0)),"")))</f>
        <v/>
      </c>
      <c r="AF147" s="2" t="str">
        <f>IF($B147="","",$AF$1)</f>
        <v/>
      </c>
      <c r="AI147" s="2" t="str">
        <f>IF($B147="","",IF(F147="","",VLOOKUP(F147,GLAPS정리!$G$3:$J$114,2,0)))</f>
        <v/>
      </c>
      <c r="AJ147" s="2" t="str">
        <f>IF($B147="","",IF(Z147="울산정일","KRONS",IF(Z147="울산신항","KRUSN",IF(OR(Z147="선광종합물류(인천여객)",Z147="인천여객(인천여객)"),"KRINF",IF(OR(Z147="선광인천보세(인천신)",Z147="한진인천(인천신)",Z147="선광인천신항(인천신)",Z147="인천더로지스(인천신)"),"KRINN",IF(OR(Z147="인천진아(인천항)",Z147="인천E1(인천항)",Z147="인천SM경인터미널(인천항)",Z147="인천항(인천항)",Z147="인천우련(인천항)",Z147="인천항8부두(인천항)"),"KRINC",VLOOKUP(K147,GLAPS정리!$BB$2:$BC$33,2,0)))))))</f>
        <v/>
      </c>
      <c r="AL147" s="2" t="str">
        <f>IF($B147="","",$AL$1)</f>
        <v/>
      </c>
      <c r="AN147" s="70" t="str">
        <f>IF($B147="","",TEXT(B147,"YYYY-MM-DD"))</f>
        <v/>
      </c>
      <c r="AO147" s="2" t="str">
        <f>IF($B147="","",IF(E147="오전", "0800", IF(E147="오후", "1300", IF(E147="잔업", "1800", ""))))</f>
        <v/>
      </c>
      <c r="AP147" s="2" t="str">
        <f>IF($B147="","",IF(C147="","",VLOOKUP(C147,GLAPS정리!$AX$2:$AZ$17,3,0)))</f>
        <v/>
      </c>
      <c r="AR147" s="2" t="str">
        <f>IF($B147="","",IF(X147="","",X147))</f>
        <v/>
      </c>
      <c r="AX147" s="2" t="str">
        <f>IF($B147="","",IF(L147="","",VLOOKUP(L147,GLAPS정리!$V$3:$W$180,2,0)))</f>
        <v/>
      </c>
      <c r="BM147" s="2" t="str">
        <f>IF($B147="","",IF(AND(Q147=1,OR(P147="",P147="위험물")), "2210", IF(AND(Q147=1,OR(P147="리퍼",P147="위험물리퍼")), "2230", IF(AND(S147=1,OR(P147="",P147="위험물")), "4510", IF(AND(S147=1,OR(P147="리퍼",P147="위험물리퍼")), "4530", IF(AND(R147=1,OR(P147="",P147="위험물")), "4210", IF(AND(R147=1,P147="리퍼"), "4230", " ")))))))</f>
        <v/>
      </c>
      <c r="BN147" s="2" t="str">
        <f>IF($B147="","",$BN$1)</f>
        <v/>
      </c>
      <c r="BR147" s="2" t="str">
        <f>IF($B147="","",IF(OR(P147="리퍼",P147="위험물리퍼"),"Y",""))</f>
        <v/>
      </c>
      <c r="BS147" s="2" t="str">
        <f>IF($B147="","",IF(OR(P147="위험물",P147="위험물리퍼"),"Y",""))</f>
        <v/>
      </c>
      <c r="BV147" s="2" t="str">
        <f>IF($B147="","",IF(O147="","",VLOOKUP(O147,GLAPS정리!$BH$2:$BI$94,2,0)))</f>
        <v/>
      </c>
      <c r="BW147" s="2" t="str">
        <f>IF($B147="","",IF(OR(Z147="동원",Z147="세방",Z147="한타"),"",IFERROR(INDEX(GLAPS정리!$BI$2:$BI$101,MATCH(Z147,GLAPS정리!$BH$2:$BH$101,0)),"")))</f>
        <v/>
      </c>
      <c r="BX147" s="2" t="str">
        <f>IF($B147="","",IF(Z147="","",IFERROR(VLOOKUP(Z147,GLAPS정리!$AX$2:$AZ$17,3,0),"")))</f>
        <v/>
      </c>
      <c r="BZ147" s="2" t="str">
        <f>IF($B147="","",IF(H147="","",VLOOKUP(H147,GLAPS정리!$L$3:$O$133,2,0)))</f>
        <v/>
      </c>
      <c r="CA147" s="2" t="str">
        <f>IF($B147="","",IF(V147="공휴일", 10, IF(V147="야간", 20, IF(V147="위험물", 30, IF(V147="중량", 40, "")))))</f>
        <v/>
      </c>
      <c r="CL147" s="2" t="str">
        <f>IF($B147="","",IF(AI147="","",VLOOKUP(AI147,GLAPS정리!$BT$3:$BV$26,3,0)))</f>
        <v/>
      </c>
    </row>
    <row r="148" spans="2:90" ht="20.45" customHeight="1">
      <c r="B148" s="13" t="str">
        <f>IF(GLAPS자동계산!C147="","",GLAPS자동계산!C147)</f>
        <v/>
      </c>
      <c r="C148" s="3" t="str">
        <f>IF(GLAPS자동계산!D147="","",GLAPS자동계산!D147)</f>
        <v/>
      </c>
      <c r="D148" s="16" t="str">
        <f>IF(GLAPS자동계산!E147="","",GLAPS자동계산!E147)</f>
        <v/>
      </c>
      <c r="E148" s="11" t="str">
        <f>IF(GLAPS자동계산!F147="","",GLAPS자동계산!F147)</f>
        <v/>
      </c>
      <c r="F148" s="3" t="str">
        <f>IF(GLAPS자동계산!G147="","",GLAPS자동계산!G147)</f>
        <v/>
      </c>
      <c r="G148" s="3" t="str">
        <f>IF(GLAPS자동계산!H147="","",GLAPS자동계산!H147)</f>
        <v/>
      </c>
      <c r="H148" s="3" t="str">
        <f>IF(GLAPS자동계산!I147="","",GLAPS자동계산!I147)</f>
        <v/>
      </c>
      <c r="I148" s="3" t="str">
        <f>IF(GLAPS자동계산!J147="","",GLAPS자동계산!J147)</f>
        <v/>
      </c>
      <c r="J148" s="3" t="str">
        <f>IF(GLAPS자동계산!K147="","",GLAPS자동계산!K147)</f>
        <v/>
      </c>
      <c r="K148" s="3" t="str">
        <f>IF(GLAPS자동계산!L147="","",GLAPS자동계산!L147)</f>
        <v/>
      </c>
      <c r="L148" s="3" t="str">
        <f>IF(GLAPS자동계산!M147="","",GLAPS자동계산!M147)</f>
        <v/>
      </c>
      <c r="M148" s="3" t="str">
        <f>IF(GLAPS자동계산!N147="","",GLAPS자동계산!N147)</f>
        <v/>
      </c>
      <c r="N148" s="3" t="str">
        <f>IF(GLAPS자동계산!O147="","",GLAPS자동계산!O147)</f>
        <v/>
      </c>
      <c r="O148" s="3" t="str">
        <f>IF(GLAPS자동계산!P147="","",GLAPS자동계산!P147)</f>
        <v/>
      </c>
      <c r="P148" s="2" t="str">
        <f>IF(GLAPS자동계산!Q147="","",GLAPS자동계산!Q147)</f>
        <v/>
      </c>
      <c r="Q148" s="3" t="str">
        <f>IF(GLAPS자동계산!R147="","",GLAPS자동계산!R147)</f>
        <v/>
      </c>
      <c r="R148" s="3" t="str">
        <f>IF(GLAPS자동계산!S147="","",GLAPS자동계산!S147)</f>
        <v/>
      </c>
      <c r="S148" s="3" t="str">
        <f>IF(GLAPS자동계산!T147="","",GLAPS자동계산!T147)</f>
        <v/>
      </c>
      <c r="T148" s="3" t="str">
        <f>IF(GLAPS자동계산!U147="","",GLAPS자동계산!U147)</f>
        <v/>
      </c>
      <c r="U148" s="3" t="str">
        <f>IF(GLAPS자동계산!V147="","",GLAPS자동계산!V147)</f>
        <v/>
      </c>
      <c r="V148" s="3" t="str">
        <f>IF(GLAPS자동계산!W147="","",GLAPS자동계산!W147)</f>
        <v/>
      </c>
      <c r="W148" s="14" t="str">
        <f>IF(GLAPS자동계산!X147="","",GLAPS자동계산!X147)</f>
        <v/>
      </c>
      <c r="X148" s="13" t="str">
        <f>IF(GLAPS자동계산!Y147="","",GLAPS자동계산!Y147)</f>
        <v/>
      </c>
      <c r="Y148" s="13" t="str">
        <f>IF(GLAPS자동계산!Z147="","",GLAPS자동계산!Z147)</f>
        <v/>
      </c>
      <c r="Z148" s="91" t="str">
        <f>IF(GLAPS자동계산!AA147="","",GLAPS자동계산!AA147)</f>
        <v/>
      </c>
      <c r="AA148" s="14" t="str">
        <f>IF(GLAPS자동계산!AB147="","",GLAPS자동계산!AB147)</f>
        <v/>
      </c>
      <c r="AC148" s="2" t="str">
        <f>IF($B148="","",$AC$1)</f>
        <v/>
      </c>
      <c r="AD148" s="2" t="str">
        <f>IF($B148="","",IFERROR(INDEX(GLAPS정리!$D$2:$D$50,MATCH(I148,GLAPS정리!$A$2:$A$50,0)),IFERROR(INDEX(GLAPS정리!$D$2:$D$50,MATCH(I148,GLAPS정리!$B$2:$B$50,0)),"")))</f>
        <v/>
      </c>
      <c r="AF148" s="2" t="str">
        <f>IF($B148="","",$AF$1)</f>
        <v/>
      </c>
      <c r="AI148" s="2" t="str">
        <f>IF($B148="","",IF(F148="","",VLOOKUP(F148,GLAPS정리!$G$3:$J$114,2,0)))</f>
        <v/>
      </c>
      <c r="AJ148" s="2" t="str">
        <f>IF($B148="","",IF(Z148="울산정일","KRONS",IF(Z148="울산신항","KRUSN",IF(OR(Z148="선광종합물류(인천여객)",Z148="인천여객(인천여객)"),"KRINF",IF(OR(Z148="선광인천보세(인천신)",Z148="한진인천(인천신)",Z148="선광인천신항(인천신)",Z148="인천더로지스(인천신)"),"KRINN",IF(OR(Z148="인천진아(인천항)",Z148="인천E1(인천항)",Z148="인천SM경인터미널(인천항)",Z148="인천항(인천항)",Z148="인천우련(인천항)",Z148="인천항8부두(인천항)"),"KRINC",VLOOKUP(K148,GLAPS정리!$BB$2:$BC$33,2,0)))))))</f>
        <v/>
      </c>
      <c r="AL148" s="2" t="str">
        <f>IF($B148="","",$AL$1)</f>
        <v/>
      </c>
      <c r="AN148" s="70" t="str">
        <f>IF($B148="","",TEXT(B148,"YYYY-MM-DD"))</f>
        <v/>
      </c>
      <c r="AO148" s="2" t="str">
        <f>IF($B148="","",IF(E148="오전", "0800", IF(E148="오후", "1300", IF(E148="잔업", "1800", ""))))</f>
        <v/>
      </c>
      <c r="AP148" s="2" t="str">
        <f>IF($B148="","",IF(C148="","",VLOOKUP(C148,GLAPS정리!$AX$2:$AZ$17,3,0)))</f>
        <v/>
      </c>
      <c r="AR148" s="2" t="str">
        <f>IF($B148="","",IF(X148="","",X148))</f>
        <v/>
      </c>
      <c r="AX148" s="2" t="str">
        <f>IF($B148="","",IF(L148="","",VLOOKUP(L148,GLAPS정리!$V$3:$W$180,2,0)))</f>
        <v/>
      </c>
      <c r="BM148" s="2" t="str">
        <f>IF($B148="","",IF(AND(Q148=1,OR(P148="",P148="위험물")), "2210", IF(AND(Q148=1,OR(P148="리퍼",P148="위험물리퍼")), "2230", IF(AND(S148=1,OR(P148="",P148="위험물")), "4510", IF(AND(S148=1,OR(P148="리퍼",P148="위험물리퍼")), "4530", IF(AND(R148=1,OR(P148="",P148="위험물")), "4210", IF(AND(R148=1,P148="리퍼"), "4230", " ")))))))</f>
        <v/>
      </c>
      <c r="BN148" s="2" t="str">
        <f>IF($B148="","",$BN$1)</f>
        <v/>
      </c>
      <c r="BR148" s="2" t="str">
        <f>IF($B148="","",IF(OR(P148="리퍼",P148="위험물리퍼"),"Y",""))</f>
        <v/>
      </c>
      <c r="BS148" s="2" t="str">
        <f>IF($B148="","",IF(OR(P148="위험물",P148="위험물리퍼"),"Y",""))</f>
        <v/>
      </c>
      <c r="BV148" s="2" t="str">
        <f>IF($B148="","",IF(O148="","",VLOOKUP(O148,GLAPS정리!$BH$2:$BI$94,2,0)))</f>
        <v/>
      </c>
      <c r="BW148" s="2" t="str">
        <f>IF($B148="","",IF(OR(Z148="동원",Z148="세방",Z148="한타"),"",IFERROR(INDEX(GLAPS정리!$BI$2:$BI$101,MATCH(Z148,GLAPS정리!$BH$2:$BH$101,0)),"")))</f>
        <v/>
      </c>
      <c r="BX148" s="2" t="str">
        <f>IF($B148="","",IF(Z148="","",IFERROR(VLOOKUP(Z148,GLAPS정리!$AX$2:$AZ$17,3,0),"")))</f>
        <v/>
      </c>
      <c r="BZ148" s="2" t="str">
        <f>IF($B148="","",IF(H148="","",VLOOKUP(H148,GLAPS정리!$L$3:$O$133,2,0)))</f>
        <v/>
      </c>
      <c r="CA148" s="2" t="str">
        <f>IF($B148="","",IF(V148="공휴일", 10, IF(V148="야간", 20, IF(V148="위험물", 30, IF(V148="중량", 40, "")))))</f>
        <v/>
      </c>
      <c r="CL148" s="2" t="str">
        <f>IF($B148="","",IF(AI148="","",VLOOKUP(AI148,GLAPS정리!$BT$3:$BV$26,3,0)))</f>
        <v/>
      </c>
    </row>
    <row r="149" spans="2:90" ht="20.45" customHeight="1">
      <c r="B149" s="13" t="str">
        <f>IF(GLAPS자동계산!C148="","",GLAPS자동계산!C148)</f>
        <v/>
      </c>
      <c r="C149" s="3" t="str">
        <f>IF(GLAPS자동계산!D148="","",GLAPS자동계산!D148)</f>
        <v/>
      </c>
      <c r="D149" s="16" t="str">
        <f>IF(GLAPS자동계산!E148="","",GLAPS자동계산!E148)</f>
        <v/>
      </c>
      <c r="E149" s="11" t="str">
        <f>IF(GLAPS자동계산!F148="","",GLAPS자동계산!F148)</f>
        <v/>
      </c>
      <c r="F149" s="3" t="str">
        <f>IF(GLAPS자동계산!G148="","",GLAPS자동계산!G148)</f>
        <v/>
      </c>
      <c r="G149" s="3" t="str">
        <f>IF(GLAPS자동계산!H148="","",GLAPS자동계산!H148)</f>
        <v/>
      </c>
      <c r="H149" s="3" t="str">
        <f>IF(GLAPS자동계산!I148="","",GLAPS자동계산!I148)</f>
        <v/>
      </c>
      <c r="I149" s="3" t="str">
        <f>IF(GLAPS자동계산!J148="","",GLAPS자동계산!J148)</f>
        <v/>
      </c>
      <c r="J149" s="3" t="str">
        <f>IF(GLAPS자동계산!K148="","",GLAPS자동계산!K148)</f>
        <v/>
      </c>
      <c r="K149" s="3" t="str">
        <f>IF(GLAPS자동계산!L148="","",GLAPS자동계산!L148)</f>
        <v/>
      </c>
      <c r="L149" s="3" t="str">
        <f>IF(GLAPS자동계산!M148="","",GLAPS자동계산!M148)</f>
        <v/>
      </c>
      <c r="M149" s="3" t="str">
        <f>IF(GLAPS자동계산!N148="","",GLAPS자동계산!N148)</f>
        <v/>
      </c>
      <c r="N149" s="3" t="str">
        <f>IF(GLAPS자동계산!O148="","",GLAPS자동계산!O148)</f>
        <v/>
      </c>
      <c r="O149" s="3" t="str">
        <f>IF(GLAPS자동계산!P148="","",GLAPS자동계산!P148)</f>
        <v/>
      </c>
      <c r="P149" s="2" t="str">
        <f>IF(GLAPS자동계산!Q148="","",GLAPS자동계산!Q148)</f>
        <v/>
      </c>
      <c r="Q149" s="3" t="str">
        <f>IF(GLAPS자동계산!R148="","",GLAPS자동계산!R148)</f>
        <v/>
      </c>
      <c r="R149" s="3" t="str">
        <f>IF(GLAPS자동계산!S148="","",GLAPS자동계산!S148)</f>
        <v/>
      </c>
      <c r="S149" s="3" t="str">
        <f>IF(GLAPS자동계산!T148="","",GLAPS자동계산!T148)</f>
        <v/>
      </c>
      <c r="T149" s="3" t="str">
        <f>IF(GLAPS자동계산!U148="","",GLAPS자동계산!U148)</f>
        <v/>
      </c>
      <c r="U149" s="3" t="str">
        <f>IF(GLAPS자동계산!V148="","",GLAPS자동계산!V148)</f>
        <v/>
      </c>
      <c r="V149" s="3" t="str">
        <f>IF(GLAPS자동계산!W148="","",GLAPS자동계산!W148)</f>
        <v/>
      </c>
      <c r="W149" s="14" t="str">
        <f>IF(GLAPS자동계산!X148="","",GLAPS자동계산!X148)</f>
        <v/>
      </c>
      <c r="X149" s="13" t="str">
        <f>IF(GLAPS자동계산!Y148="","",GLAPS자동계산!Y148)</f>
        <v/>
      </c>
      <c r="Y149" s="13" t="str">
        <f>IF(GLAPS자동계산!Z148="","",GLAPS자동계산!Z148)</f>
        <v/>
      </c>
      <c r="Z149" s="91" t="str">
        <f>IF(GLAPS자동계산!AA148="","",GLAPS자동계산!AA148)</f>
        <v/>
      </c>
      <c r="AA149" s="14" t="str">
        <f>IF(GLAPS자동계산!AB148="","",GLAPS자동계산!AB148)</f>
        <v/>
      </c>
      <c r="AC149" s="2" t="str">
        <f>IF($B149="","",$AC$1)</f>
        <v/>
      </c>
      <c r="AD149" s="2" t="str">
        <f>IF($B149="","",IFERROR(INDEX(GLAPS정리!$D$2:$D$50,MATCH(I149,GLAPS정리!$A$2:$A$50,0)),IFERROR(INDEX(GLAPS정리!$D$2:$D$50,MATCH(I149,GLAPS정리!$B$2:$B$50,0)),"")))</f>
        <v/>
      </c>
      <c r="AF149" s="2" t="str">
        <f>IF($B149="","",$AF$1)</f>
        <v/>
      </c>
      <c r="AI149" s="2" t="str">
        <f>IF($B149="","",IF(F149="","",VLOOKUP(F149,GLAPS정리!$G$3:$J$114,2,0)))</f>
        <v/>
      </c>
      <c r="AJ149" s="2" t="str">
        <f>IF($B149="","",IF(Z149="울산정일","KRONS",IF(Z149="울산신항","KRUSN",IF(OR(Z149="선광종합물류(인천여객)",Z149="인천여객(인천여객)"),"KRINF",IF(OR(Z149="선광인천보세(인천신)",Z149="한진인천(인천신)",Z149="선광인천신항(인천신)",Z149="인천더로지스(인천신)"),"KRINN",IF(OR(Z149="인천진아(인천항)",Z149="인천E1(인천항)",Z149="인천SM경인터미널(인천항)",Z149="인천항(인천항)",Z149="인천우련(인천항)",Z149="인천항8부두(인천항)"),"KRINC",VLOOKUP(K149,GLAPS정리!$BB$2:$BC$33,2,0)))))))</f>
        <v/>
      </c>
      <c r="AL149" s="2" t="str">
        <f>IF($B149="","",$AL$1)</f>
        <v/>
      </c>
      <c r="AN149" s="70" t="str">
        <f>IF($B149="","",TEXT(B149,"YYYY-MM-DD"))</f>
        <v/>
      </c>
      <c r="AO149" s="2" t="str">
        <f>IF($B149="","",IF(E149="오전", "0800", IF(E149="오후", "1300", IF(E149="잔업", "1800", ""))))</f>
        <v/>
      </c>
      <c r="AP149" s="2" t="str">
        <f>IF($B149="","",IF(C149="","",VLOOKUP(C149,GLAPS정리!$AX$2:$AZ$17,3,0)))</f>
        <v/>
      </c>
      <c r="AR149" s="2" t="str">
        <f>IF($B149="","",IF(X149="","",X149))</f>
        <v/>
      </c>
      <c r="AX149" s="2" t="str">
        <f>IF($B149="","",IF(L149="","",VLOOKUP(L149,GLAPS정리!$V$3:$W$180,2,0)))</f>
        <v/>
      </c>
      <c r="BM149" s="2" t="str">
        <f>IF($B149="","",IF(AND(Q149=1,OR(P149="",P149="위험물")), "2210", IF(AND(Q149=1,OR(P149="리퍼",P149="위험물리퍼")), "2230", IF(AND(S149=1,OR(P149="",P149="위험물")), "4510", IF(AND(S149=1,OR(P149="리퍼",P149="위험물리퍼")), "4530", IF(AND(R149=1,OR(P149="",P149="위험물")), "4210", IF(AND(R149=1,P149="리퍼"), "4230", " ")))))))</f>
        <v/>
      </c>
      <c r="BN149" s="2" t="str">
        <f>IF($B149="","",$BN$1)</f>
        <v/>
      </c>
      <c r="BR149" s="2" t="str">
        <f>IF($B149="","",IF(OR(P149="리퍼",P149="위험물리퍼"),"Y",""))</f>
        <v/>
      </c>
      <c r="BS149" s="2" t="str">
        <f>IF($B149="","",IF(OR(P149="위험물",P149="위험물리퍼"),"Y",""))</f>
        <v/>
      </c>
      <c r="BV149" s="2" t="str">
        <f>IF($B149="","",IF(O149="","",VLOOKUP(O149,GLAPS정리!$BH$2:$BI$94,2,0)))</f>
        <v/>
      </c>
      <c r="BW149" s="2" t="str">
        <f>IF($B149="","",IF(OR(Z149="동원",Z149="세방",Z149="한타"),"",IFERROR(INDEX(GLAPS정리!$BI$2:$BI$101,MATCH(Z149,GLAPS정리!$BH$2:$BH$101,0)),"")))</f>
        <v/>
      </c>
      <c r="BX149" s="2" t="str">
        <f>IF($B149="","",IF(Z149="","",IFERROR(VLOOKUP(Z149,GLAPS정리!$AX$2:$AZ$17,3,0),"")))</f>
        <v/>
      </c>
      <c r="BZ149" s="2" t="str">
        <f>IF($B149="","",IF(H149="","",VLOOKUP(H149,GLAPS정리!$L$3:$O$133,2,0)))</f>
        <v/>
      </c>
      <c r="CA149" s="2" t="str">
        <f>IF($B149="","",IF(V149="공휴일", 10, IF(V149="야간", 20, IF(V149="위험물", 30, IF(V149="중량", 40, "")))))</f>
        <v/>
      </c>
      <c r="CL149" s="2" t="str">
        <f>IF($B149="","",IF(AI149="","",VLOOKUP(AI149,GLAPS정리!$BT$3:$BV$26,3,0)))</f>
        <v/>
      </c>
    </row>
    <row r="150" spans="2:90" ht="20.45" customHeight="1">
      <c r="B150" s="13" t="str">
        <f>IF(GLAPS자동계산!C149="","",GLAPS자동계산!C149)</f>
        <v/>
      </c>
      <c r="C150" s="3" t="str">
        <f>IF(GLAPS자동계산!D149="","",GLAPS자동계산!D149)</f>
        <v/>
      </c>
      <c r="D150" s="16" t="str">
        <f>IF(GLAPS자동계산!E149="","",GLAPS자동계산!E149)</f>
        <v/>
      </c>
      <c r="E150" s="11" t="str">
        <f>IF(GLAPS자동계산!F149="","",GLAPS자동계산!F149)</f>
        <v/>
      </c>
      <c r="F150" s="3" t="str">
        <f>IF(GLAPS자동계산!G149="","",GLAPS자동계산!G149)</f>
        <v/>
      </c>
      <c r="G150" s="3" t="str">
        <f>IF(GLAPS자동계산!H149="","",GLAPS자동계산!H149)</f>
        <v/>
      </c>
      <c r="H150" s="3" t="str">
        <f>IF(GLAPS자동계산!I149="","",GLAPS자동계산!I149)</f>
        <v/>
      </c>
      <c r="I150" s="3" t="str">
        <f>IF(GLAPS자동계산!J149="","",GLAPS자동계산!J149)</f>
        <v/>
      </c>
      <c r="J150" s="3" t="str">
        <f>IF(GLAPS자동계산!K149="","",GLAPS자동계산!K149)</f>
        <v/>
      </c>
      <c r="K150" s="3" t="str">
        <f>IF(GLAPS자동계산!L149="","",GLAPS자동계산!L149)</f>
        <v/>
      </c>
      <c r="L150" s="3" t="str">
        <f>IF(GLAPS자동계산!M149="","",GLAPS자동계산!M149)</f>
        <v/>
      </c>
      <c r="M150" s="3" t="str">
        <f>IF(GLAPS자동계산!N149="","",GLAPS자동계산!N149)</f>
        <v/>
      </c>
      <c r="N150" s="3" t="str">
        <f>IF(GLAPS자동계산!O149="","",GLAPS자동계산!O149)</f>
        <v/>
      </c>
      <c r="O150" s="3" t="str">
        <f>IF(GLAPS자동계산!P149="","",GLAPS자동계산!P149)</f>
        <v/>
      </c>
      <c r="P150" s="2" t="str">
        <f>IF(GLAPS자동계산!Q149="","",GLAPS자동계산!Q149)</f>
        <v/>
      </c>
      <c r="Q150" s="3" t="str">
        <f>IF(GLAPS자동계산!R149="","",GLAPS자동계산!R149)</f>
        <v/>
      </c>
      <c r="R150" s="3" t="str">
        <f>IF(GLAPS자동계산!S149="","",GLAPS자동계산!S149)</f>
        <v/>
      </c>
      <c r="S150" s="3" t="str">
        <f>IF(GLAPS자동계산!T149="","",GLAPS자동계산!T149)</f>
        <v/>
      </c>
      <c r="T150" s="3" t="str">
        <f>IF(GLAPS자동계산!U149="","",GLAPS자동계산!U149)</f>
        <v/>
      </c>
      <c r="U150" s="3" t="str">
        <f>IF(GLAPS자동계산!V149="","",GLAPS자동계산!V149)</f>
        <v/>
      </c>
      <c r="V150" s="3" t="str">
        <f>IF(GLAPS자동계산!W149="","",GLAPS자동계산!W149)</f>
        <v/>
      </c>
      <c r="W150" s="14" t="str">
        <f>IF(GLAPS자동계산!X149="","",GLAPS자동계산!X149)</f>
        <v/>
      </c>
      <c r="X150" s="13" t="str">
        <f>IF(GLAPS자동계산!Y149="","",GLAPS자동계산!Y149)</f>
        <v/>
      </c>
      <c r="Y150" s="13" t="str">
        <f>IF(GLAPS자동계산!Z149="","",GLAPS자동계산!Z149)</f>
        <v/>
      </c>
      <c r="Z150" s="91" t="str">
        <f>IF(GLAPS자동계산!AA149="","",GLAPS자동계산!AA149)</f>
        <v/>
      </c>
      <c r="AA150" s="14" t="str">
        <f>IF(GLAPS자동계산!AB149="","",GLAPS자동계산!AB149)</f>
        <v/>
      </c>
      <c r="AC150" s="2" t="str">
        <f>IF($B150="","",$AC$1)</f>
        <v/>
      </c>
      <c r="AD150" s="2" t="str">
        <f>IF($B150="","",IFERROR(INDEX(GLAPS정리!$D$2:$D$50,MATCH(I150,GLAPS정리!$A$2:$A$50,0)),IFERROR(INDEX(GLAPS정리!$D$2:$D$50,MATCH(I150,GLAPS정리!$B$2:$B$50,0)),"")))</f>
        <v/>
      </c>
      <c r="AF150" s="2" t="str">
        <f>IF($B150="","",$AF$1)</f>
        <v/>
      </c>
      <c r="AI150" s="2" t="str">
        <f>IF($B150="","",IF(F150="","",VLOOKUP(F150,GLAPS정리!$G$3:$J$114,2,0)))</f>
        <v/>
      </c>
      <c r="AJ150" s="2" t="str">
        <f>IF($B150="","",IF(Z150="울산정일","KRONS",IF(Z150="울산신항","KRUSN",IF(OR(Z150="선광종합물류(인천여객)",Z150="인천여객(인천여객)"),"KRINF",IF(OR(Z150="선광인천보세(인천신)",Z150="한진인천(인천신)",Z150="선광인천신항(인천신)",Z150="인천더로지스(인천신)"),"KRINN",IF(OR(Z150="인천진아(인천항)",Z150="인천E1(인천항)",Z150="인천SM경인터미널(인천항)",Z150="인천항(인천항)",Z150="인천우련(인천항)",Z150="인천항8부두(인천항)"),"KRINC",VLOOKUP(K150,GLAPS정리!$BB$2:$BC$33,2,0)))))))</f>
        <v/>
      </c>
      <c r="AL150" s="2" t="str">
        <f>IF($B150="","",$AL$1)</f>
        <v/>
      </c>
      <c r="AN150" s="70" t="str">
        <f>IF($B150="","",TEXT(B150,"YYYY-MM-DD"))</f>
        <v/>
      </c>
      <c r="AO150" s="2" t="str">
        <f>IF($B150="","",IF(E150="오전", "0800", IF(E150="오후", "1300", IF(E150="잔업", "1800", ""))))</f>
        <v/>
      </c>
      <c r="AP150" s="2" t="str">
        <f>IF($B150="","",IF(C150="","",VLOOKUP(C150,GLAPS정리!$AX$2:$AZ$17,3,0)))</f>
        <v/>
      </c>
      <c r="AR150" s="2" t="str">
        <f>IF($B150="","",IF(X150="","",X150))</f>
        <v/>
      </c>
      <c r="AX150" s="2" t="str">
        <f>IF($B150="","",IF(L150="","",VLOOKUP(L150,GLAPS정리!$V$3:$W$180,2,0)))</f>
        <v/>
      </c>
      <c r="BM150" s="2" t="str">
        <f>IF($B150="","",IF(AND(Q150=1,OR(P150="",P150="위험물")), "2210", IF(AND(Q150=1,OR(P150="리퍼",P150="위험물리퍼")), "2230", IF(AND(S150=1,OR(P150="",P150="위험물")), "4510", IF(AND(S150=1,OR(P150="리퍼",P150="위험물리퍼")), "4530", IF(AND(R150=1,OR(P150="",P150="위험물")), "4210", IF(AND(R150=1,P150="리퍼"), "4230", " ")))))))</f>
        <v/>
      </c>
      <c r="BN150" s="2" t="str">
        <f>IF($B150="","",$BN$1)</f>
        <v/>
      </c>
      <c r="BR150" s="2" t="str">
        <f>IF($B150="","",IF(OR(P150="리퍼",P150="위험물리퍼"),"Y",""))</f>
        <v/>
      </c>
      <c r="BS150" s="2" t="str">
        <f>IF($B150="","",IF(OR(P150="위험물",P150="위험물리퍼"),"Y",""))</f>
        <v/>
      </c>
      <c r="BV150" s="2" t="str">
        <f>IF($B150="","",IF(O150="","",VLOOKUP(O150,GLAPS정리!$BH$2:$BI$94,2,0)))</f>
        <v/>
      </c>
      <c r="BW150" s="2" t="str">
        <f>IF($B150="","",IF(OR(Z150="동원",Z150="세방",Z150="한타"),"",IFERROR(INDEX(GLAPS정리!$BI$2:$BI$101,MATCH(Z150,GLAPS정리!$BH$2:$BH$101,0)),"")))</f>
        <v/>
      </c>
      <c r="BX150" s="2" t="str">
        <f>IF($B150="","",IF(Z150="","",IFERROR(VLOOKUP(Z150,GLAPS정리!$AX$2:$AZ$17,3,0),"")))</f>
        <v/>
      </c>
      <c r="BZ150" s="2" t="str">
        <f>IF($B150="","",IF(H150="","",VLOOKUP(H150,GLAPS정리!$L$3:$O$133,2,0)))</f>
        <v/>
      </c>
      <c r="CA150" s="2" t="str">
        <f>IF($B150="","",IF(V150="공휴일", 10, IF(V150="야간", 20, IF(V150="위험물", 30, IF(V150="중량", 40, "")))))</f>
        <v/>
      </c>
      <c r="CL150" s="2" t="str">
        <f>IF($B150="","",IF(AI150="","",VLOOKUP(AI150,GLAPS정리!$BT$3:$BV$26,3,0)))</f>
        <v/>
      </c>
    </row>
    <row r="151" spans="2:90" ht="20.45" customHeight="1">
      <c r="B151" s="13" t="str">
        <f>IF(GLAPS자동계산!C150="","",GLAPS자동계산!C150)</f>
        <v/>
      </c>
      <c r="C151" s="3" t="str">
        <f>IF(GLAPS자동계산!D150="","",GLAPS자동계산!D150)</f>
        <v/>
      </c>
      <c r="D151" s="16" t="str">
        <f>IF(GLAPS자동계산!E150="","",GLAPS자동계산!E150)</f>
        <v/>
      </c>
      <c r="E151" s="11" t="str">
        <f>IF(GLAPS자동계산!F150="","",GLAPS자동계산!F150)</f>
        <v/>
      </c>
      <c r="F151" s="3" t="str">
        <f>IF(GLAPS자동계산!G150="","",GLAPS자동계산!G150)</f>
        <v/>
      </c>
      <c r="G151" s="3" t="str">
        <f>IF(GLAPS자동계산!H150="","",GLAPS자동계산!H150)</f>
        <v/>
      </c>
      <c r="H151" s="3" t="str">
        <f>IF(GLAPS자동계산!I150="","",GLAPS자동계산!I150)</f>
        <v/>
      </c>
      <c r="I151" s="3" t="str">
        <f>IF(GLAPS자동계산!J150="","",GLAPS자동계산!J150)</f>
        <v/>
      </c>
      <c r="J151" s="3" t="str">
        <f>IF(GLAPS자동계산!K150="","",GLAPS자동계산!K150)</f>
        <v/>
      </c>
      <c r="K151" s="3" t="str">
        <f>IF(GLAPS자동계산!L150="","",GLAPS자동계산!L150)</f>
        <v/>
      </c>
      <c r="L151" s="3" t="str">
        <f>IF(GLAPS자동계산!M150="","",GLAPS자동계산!M150)</f>
        <v/>
      </c>
      <c r="M151" s="3" t="str">
        <f>IF(GLAPS자동계산!N150="","",GLAPS자동계산!N150)</f>
        <v/>
      </c>
      <c r="N151" s="3" t="str">
        <f>IF(GLAPS자동계산!O150="","",GLAPS자동계산!O150)</f>
        <v/>
      </c>
      <c r="O151" s="3" t="str">
        <f>IF(GLAPS자동계산!P150="","",GLAPS자동계산!P150)</f>
        <v/>
      </c>
      <c r="P151" s="2" t="str">
        <f>IF(GLAPS자동계산!Q150="","",GLAPS자동계산!Q150)</f>
        <v/>
      </c>
      <c r="Q151" s="3" t="str">
        <f>IF(GLAPS자동계산!R150="","",GLAPS자동계산!R150)</f>
        <v/>
      </c>
      <c r="R151" s="3" t="str">
        <f>IF(GLAPS자동계산!S150="","",GLAPS자동계산!S150)</f>
        <v/>
      </c>
      <c r="S151" s="3" t="str">
        <f>IF(GLAPS자동계산!T150="","",GLAPS자동계산!T150)</f>
        <v/>
      </c>
      <c r="T151" s="3" t="str">
        <f>IF(GLAPS자동계산!U150="","",GLAPS자동계산!U150)</f>
        <v/>
      </c>
      <c r="U151" s="3" t="str">
        <f>IF(GLAPS자동계산!V150="","",GLAPS자동계산!V150)</f>
        <v/>
      </c>
      <c r="V151" s="3" t="str">
        <f>IF(GLAPS자동계산!W150="","",GLAPS자동계산!W150)</f>
        <v/>
      </c>
      <c r="W151" s="14" t="str">
        <f>IF(GLAPS자동계산!X150="","",GLAPS자동계산!X150)</f>
        <v/>
      </c>
      <c r="X151" s="13" t="str">
        <f>IF(GLAPS자동계산!Y150="","",GLAPS자동계산!Y150)</f>
        <v/>
      </c>
      <c r="Y151" s="13" t="str">
        <f>IF(GLAPS자동계산!Z150="","",GLAPS자동계산!Z150)</f>
        <v/>
      </c>
      <c r="Z151" s="91" t="str">
        <f>IF(GLAPS자동계산!AA150="","",GLAPS자동계산!AA150)</f>
        <v/>
      </c>
      <c r="AA151" s="14" t="str">
        <f>IF(GLAPS자동계산!AB150="","",GLAPS자동계산!AB150)</f>
        <v/>
      </c>
      <c r="AC151" s="2" t="str">
        <f>IF($B151="","",$AC$1)</f>
        <v/>
      </c>
      <c r="AD151" s="2" t="str">
        <f>IF($B151="","",IFERROR(INDEX(GLAPS정리!$D$2:$D$50,MATCH(I151,GLAPS정리!$A$2:$A$50,0)),IFERROR(INDEX(GLAPS정리!$D$2:$D$50,MATCH(I151,GLAPS정리!$B$2:$B$50,0)),"")))</f>
        <v/>
      </c>
      <c r="AF151" s="2" t="str">
        <f>IF($B151="","",$AF$1)</f>
        <v/>
      </c>
      <c r="AI151" s="2" t="str">
        <f>IF($B151="","",IF(F151="","",VLOOKUP(F151,GLAPS정리!$G$3:$J$114,2,0)))</f>
        <v/>
      </c>
      <c r="AJ151" s="2" t="str">
        <f>IF($B151="","",IF(Z151="울산정일","KRONS",IF(Z151="울산신항","KRUSN",IF(OR(Z151="선광종합물류(인천여객)",Z151="인천여객(인천여객)"),"KRINF",IF(OR(Z151="선광인천보세(인천신)",Z151="한진인천(인천신)",Z151="선광인천신항(인천신)",Z151="인천더로지스(인천신)"),"KRINN",IF(OR(Z151="인천진아(인천항)",Z151="인천E1(인천항)",Z151="인천SM경인터미널(인천항)",Z151="인천항(인천항)",Z151="인천우련(인천항)",Z151="인천항8부두(인천항)"),"KRINC",VLOOKUP(K151,GLAPS정리!$BB$2:$BC$33,2,0)))))))</f>
        <v/>
      </c>
      <c r="AL151" s="2" t="str">
        <f>IF($B151="","",$AL$1)</f>
        <v/>
      </c>
      <c r="AN151" s="70" t="str">
        <f>IF($B151="","",TEXT(B151,"YYYY-MM-DD"))</f>
        <v/>
      </c>
      <c r="AO151" s="2" t="str">
        <f>IF($B151="","",IF(E151="오전", "0800", IF(E151="오후", "1300", IF(E151="잔업", "1800", ""))))</f>
        <v/>
      </c>
      <c r="AP151" s="2" t="str">
        <f>IF($B151="","",IF(C151="","",VLOOKUP(C151,GLAPS정리!$AX$2:$AZ$17,3,0)))</f>
        <v/>
      </c>
      <c r="AR151" s="2" t="str">
        <f>IF($B151="","",IF(X151="","",X151))</f>
        <v/>
      </c>
      <c r="AX151" s="2" t="str">
        <f>IF($B151="","",IF(L151="","",VLOOKUP(L151,GLAPS정리!$V$3:$W$180,2,0)))</f>
        <v/>
      </c>
      <c r="BM151" s="2" t="str">
        <f>IF($B151="","",IF(AND(Q151=1,OR(P151="",P151="위험물")), "2210", IF(AND(Q151=1,OR(P151="리퍼",P151="위험물리퍼")), "2230", IF(AND(S151=1,OR(P151="",P151="위험물")), "4510", IF(AND(S151=1,OR(P151="리퍼",P151="위험물리퍼")), "4530", IF(AND(R151=1,OR(P151="",P151="위험물")), "4210", IF(AND(R151=1,P151="리퍼"), "4230", " ")))))))</f>
        <v/>
      </c>
      <c r="BN151" s="2" t="str">
        <f>IF($B151="","",$BN$1)</f>
        <v/>
      </c>
      <c r="BR151" s="2" t="str">
        <f>IF($B151="","",IF(OR(P151="리퍼",P151="위험물리퍼"),"Y",""))</f>
        <v/>
      </c>
      <c r="BS151" s="2" t="str">
        <f>IF($B151="","",IF(OR(P151="위험물",P151="위험물리퍼"),"Y",""))</f>
        <v/>
      </c>
      <c r="BV151" s="2" t="str">
        <f>IF($B151="","",IF(O151="","",VLOOKUP(O151,GLAPS정리!$BH$2:$BI$94,2,0)))</f>
        <v/>
      </c>
      <c r="BW151" s="2" t="str">
        <f>IF($B151="","",IF(OR(Z151="동원",Z151="세방",Z151="한타"),"",IFERROR(INDEX(GLAPS정리!$BI$2:$BI$101,MATCH(Z151,GLAPS정리!$BH$2:$BH$101,0)),"")))</f>
        <v/>
      </c>
      <c r="BX151" s="2" t="str">
        <f>IF($B151="","",IF(Z151="","",IFERROR(VLOOKUP(Z151,GLAPS정리!$AX$2:$AZ$17,3,0),"")))</f>
        <v/>
      </c>
      <c r="BZ151" s="2" t="str">
        <f>IF($B151="","",IF(H151="","",VLOOKUP(H151,GLAPS정리!$L$3:$O$133,2,0)))</f>
        <v/>
      </c>
      <c r="CA151" s="2" t="str">
        <f>IF($B151="","",IF(V151="공휴일", 10, IF(V151="야간", 20, IF(V151="위험물", 30, IF(V151="중량", 40, "")))))</f>
        <v/>
      </c>
      <c r="CL151" s="2" t="str">
        <f>IF($B151="","",IF(AI151="","",VLOOKUP(AI151,GLAPS정리!$BT$3:$BV$26,3,0)))</f>
        <v/>
      </c>
    </row>
    <row r="152" spans="2:90" ht="20.45" customHeight="1">
      <c r="B152" s="13" t="str">
        <f>IF(GLAPS자동계산!C151="","",GLAPS자동계산!C151)</f>
        <v/>
      </c>
      <c r="C152" s="3" t="str">
        <f>IF(GLAPS자동계산!D151="","",GLAPS자동계산!D151)</f>
        <v/>
      </c>
      <c r="D152" s="16" t="str">
        <f>IF(GLAPS자동계산!E151="","",GLAPS자동계산!E151)</f>
        <v/>
      </c>
      <c r="E152" s="11" t="str">
        <f>IF(GLAPS자동계산!F151="","",GLAPS자동계산!F151)</f>
        <v/>
      </c>
      <c r="F152" s="3" t="str">
        <f>IF(GLAPS자동계산!G151="","",GLAPS자동계산!G151)</f>
        <v/>
      </c>
      <c r="G152" s="3" t="str">
        <f>IF(GLAPS자동계산!H151="","",GLAPS자동계산!H151)</f>
        <v/>
      </c>
      <c r="H152" s="3" t="str">
        <f>IF(GLAPS자동계산!I151="","",GLAPS자동계산!I151)</f>
        <v/>
      </c>
      <c r="I152" s="3" t="str">
        <f>IF(GLAPS자동계산!J151="","",GLAPS자동계산!J151)</f>
        <v/>
      </c>
      <c r="J152" s="3" t="str">
        <f>IF(GLAPS자동계산!K151="","",GLAPS자동계산!K151)</f>
        <v/>
      </c>
      <c r="K152" s="3" t="str">
        <f>IF(GLAPS자동계산!L151="","",GLAPS자동계산!L151)</f>
        <v/>
      </c>
      <c r="L152" s="3" t="str">
        <f>IF(GLAPS자동계산!M151="","",GLAPS자동계산!M151)</f>
        <v/>
      </c>
      <c r="M152" s="3" t="str">
        <f>IF(GLAPS자동계산!N151="","",GLAPS자동계산!N151)</f>
        <v/>
      </c>
      <c r="N152" s="3" t="str">
        <f>IF(GLAPS자동계산!O151="","",GLAPS자동계산!O151)</f>
        <v/>
      </c>
      <c r="O152" s="3" t="str">
        <f>IF(GLAPS자동계산!P151="","",GLAPS자동계산!P151)</f>
        <v/>
      </c>
      <c r="P152" s="2" t="str">
        <f>IF(GLAPS자동계산!Q151="","",GLAPS자동계산!Q151)</f>
        <v/>
      </c>
      <c r="Q152" s="3" t="str">
        <f>IF(GLAPS자동계산!R151="","",GLAPS자동계산!R151)</f>
        <v/>
      </c>
      <c r="R152" s="3" t="str">
        <f>IF(GLAPS자동계산!S151="","",GLAPS자동계산!S151)</f>
        <v/>
      </c>
      <c r="S152" s="3" t="str">
        <f>IF(GLAPS자동계산!T151="","",GLAPS자동계산!T151)</f>
        <v/>
      </c>
      <c r="T152" s="3" t="str">
        <f>IF(GLAPS자동계산!U151="","",GLAPS자동계산!U151)</f>
        <v/>
      </c>
      <c r="U152" s="3" t="str">
        <f>IF(GLAPS자동계산!V151="","",GLAPS자동계산!V151)</f>
        <v/>
      </c>
      <c r="V152" s="3" t="str">
        <f>IF(GLAPS자동계산!W151="","",GLAPS자동계산!W151)</f>
        <v/>
      </c>
      <c r="W152" s="14" t="str">
        <f>IF(GLAPS자동계산!X151="","",GLAPS자동계산!X151)</f>
        <v/>
      </c>
      <c r="X152" s="13" t="str">
        <f>IF(GLAPS자동계산!Y151="","",GLAPS자동계산!Y151)</f>
        <v/>
      </c>
      <c r="Y152" s="13" t="str">
        <f>IF(GLAPS자동계산!Z151="","",GLAPS자동계산!Z151)</f>
        <v/>
      </c>
      <c r="Z152" s="91" t="str">
        <f>IF(GLAPS자동계산!AA151="","",GLAPS자동계산!AA151)</f>
        <v/>
      </c>
      <c r="AA152" s="14" t="str">
        <f>IF(GLAPS자동계산!AB151="","",GLAPS자동계산!AB151)</f>
        <v/>
      </c>
      <c r="AC152" s="2" t="str">
        <f>IF($B152="","",$AC$1)</f>
        <v/>
      </c>
      <c r="AD152" s="2" t="str">
        <f>IF($B152="","",IFERROR(INDEX(GLAPS정리!$D$2:$D$50,MATCH(I152,GLAPS정리!$A$2:$A$50,0)),IFERROR(INDEX(GLAPS정리!$D$2:$D$50,MATCH(I152,GLAPS정리!$B$2:$B$50,0)),"")))</f>
        <v/>
      </c>
      <c r="AF152" s="2" t="str">
        <f>IF($B152="","",$AF$1)</f>
        <v/>
      </c>
      <c r="AI152" s="2" t="str">
        <f>IF($B152="","",IF(F152="","",VLOOKUP(F152,GLAPS정리!$G$3:$J$114,2,0)))</f>
        <v/>
      </c>
      <c r="AJ152" s="2" t="str">
        <f>IF($B152="","",IF(Z152="울산정일","KRONS",IF(Z152="울산신항","KRUSN",IF(OR(Z152="선광종합물류(인천여객)",Z152="인천여객(인천여객)"),"KRINF",IF(OR(Z152="선광인천보세(인천신)",Z152="한진인천(인천신)",Z152="선광인천신항(인천신)",Z152="인천더로지스(인천신)"),"KRINN",IF(OR(Z152="인천진아(인천항)",Z152="인천E1(인천항)",Z152="인천SM경인터미널(인천항)",Z152="인천항(인천항)",Z152="인천우련(인천항)",Z152="인천항8부두(인천항)"),"KRINC",VLOOKUP(K152,GLAPS정리!$BB$2:$BC$33,2,0)))))))</f>
        <v/>
      </c>
      <c r="AL152" s="2" t="str">
        <f>IF($B152="","",$AL$1)</f>
        <v/>
      </c>
      <c r="AN152" s="70" t="str">
        <f>IF($B152="","",TEXT(B152,"YYYY-MM-DD"))</f>
        <v/>
      </c>
      <c r="AO152" s="2" t="str">
        <f>IF($B152="","",IF(E152="오전", "0800", IF(E152="오후", "1300", IF(E152="잔업", "1800", ""))))</f>
        <v/>
      </c>
      <c r="AP152" s="2" t="str">
        <f>IF($B152="","",IF(C152="","",VLOOKUP(C152,GLAPS정리!$AX$2:$AZ$17,3,0)))</f>
        <v/>
      </c>
      <c r="AR152" s="2" t="str">
        <f>IF($B152="","",IF(X152="","",X152))</f>
        <v/>
      </c>
      <c r="AX152" s="2" t="str">
        <f>IF($B152="","",IF(L152="","",VLOOKUP(L152,GLAPS정리!$V$3:$W$180,2,0)))</f>
        <v/>
      </c>
      <c r="BM152" s="2" t="str">
        <f>IF($B152="","",IF(AND(Q152=1,OR(P152="",P152="위험물")), "2210", IF(AND(Q152=1,OR(P152="리퍼",P152="위험물리퍼")), "2230", IF(AND(S152=1,OR(P152="",P152="위험물")), "4510", IF(AND(S152=1,OR(P152="리퍼",P152="위험물리퍼")), "4530", IF(AND(R152=1,OR(P152="",P152="위험물")), "4210", IF(AND(R152=1,P152="리퍼"), "4230", " ")))))))</f>
        <v/>
      </c>
      <c r="BN152" s="2" t="str">
        <f>IF($B152="","",$BN$1)</f>
        <v/>
      </c>
      <c r="BR152" s="2" t="str">
        <f>IF($B152="","",IF(OR(P152="리퍼",P152="위험물리퍼"),"Y",""))</f>
        <v/>
      </c>
      <c r="BS152" s="2" t="str">
        <f>IF($B152="","",IF(OR(P152="위험물",P152="위험물리퍼"),"Y",""))</f>
        <v/>
      </c>
      <c r="BV152" s="2" t="str">
        <f>IF($B152="","",IF(O152="","",VLOOKUP(O152,GLAPS정리!$BH$2:$BI$94,2,0)))</f>
        <v/>
      </c>
      <c r="BW152" s="2" t="str">
        <f>IF($B152="","",IF(OR(Z152="동원",Z152="세방",Z152="한타"),"",IFERROR(INDEX(GLAPS정리!$BI$2:$BI$101,MATCH(Z152,GLAPS정리!$BH$2:$BH$101,0)),"")))</f>
        <v/>
      </c>
      <c r="BX152" s="2" t="str">
        <f>IF($B152="","",IF(Z152="","",IFERROR(VLOOKUP(Z152,GLAPS정리!$AX$2:$AZ$17,3,0),"")))</f>
        <v/>
      </c>
      <c r="BZ152" s="2" t="str">
        <f>IF($B152="","",IF(H152="","",VLOOKUP(H152,GLAPS정리!$L$3:$O$133,2,0)))</f>
        <v/>
      </c>
      <c r="CA152" s="2" t="str">
        <f>IF($B152="","",IF(V152="공휴일", 10, IF(V152="야간", 20, IF(V152="위험물", 30, IF(V152="중량", 40, "")))))</f>
        <v/>
      </c>
      <c r="CL152" s="2" t="str">
        <f>IF($B152="","",IF(AI152="","",VLOOKUP(AI152,GLAPS정리!$BT$3:$BV$26,3,0)))</f>
        <v/>
      </c>
    </row>
    <row r="153" spans="2:90" ht="20.45" customHeight="1">
      <c r="B153" s="13" t="str">
        <f>IF(GLAPS자동계산!C152="","",GLAPS자동계산!C152)</f>
        <v/>
      </c>
      <c r="C153" s="3" t="str">
        <f>IF(GLAPS자동계산!D152="","",GLAPS자동계산!D152)</f>
        <v/>
      </c>
      <c r="D153" s="16" t="str">
        <f>IF(GLAPS자동계산!E152="","",GLAPS자동계산!E152)</f>
        <v/>
      </c>
      <c r="E153" s="11" t="str">
        <f>IF(GLAPS자동계산!F152="","",GLAPS자동계산!F152)</f>
        <v/>
      </c>
      <c r="F153" s="3" t="str">
        <f>IF(GLAPS자동계산!G152="","",GLAPS자동계산!G152)</f>
        <v/>
      </c>
      <c r="G153" s="3" t="str">
        <f>IF(GLAPS자동계산!H152="","",GLAPS자동계산!H152)</f>
        <v/>
      </c>
      <c r="H153" s="3" t="str">
        <f>IF(GLAPS자동계산!I152="","",GLAPS자동계산!I152)</f>
        <v/>
      </c>
      <c r="I153" s="3" t="str">
        <f>IF(GLAPS자동계산!J152="","",GLAPS자동계산!J152)</f>
        <v/>
      </c>
      <c r="J153" s="3" t="str">
        <f>IF(GLAPS자동계산!K152="","",GLAPS자동계산!K152)</f>
        <v/>
      </c>
      <c r="K153" s="3" t="str">
        <f>IF(GLAPS자동계산!L152="","",GLAPS자동계산!L152)</f>
        <v/>
      </c>
      <c r="L153" s="3" t="str">
        <f>IF(GLAPS자동계산!M152="","",GLAPS자동계산!M152)</f>
        <v/>
      </c>
      <c r="M153" s="3" t="str">
        <f>IF(GLAPS자동계산!N152="","",GLAPS자동계산!N152)</f>
        <v/>
      </c>
      <c r="N153" s="3" t="str">
        <f>IF(GLAPS자동계산!O152="","",GLAPS자동계산!O152)</f>
        <v/>
      </c>
      <c r="O153" s="3" t="str">
        <f>IF(GLAPS자동계산!P152="","",GLAPS자동계산!P152)</f>
        <v/>
      </c>
      <c r="P153" s="2" t="str">
        <f>IF(GLAPS자동계산!Q152="","",GLAPS자동계산!Q152)</f>
        <v/>
      </c>
      <c r="Q153" s="3" t="str">
        <f>IF(GLAPS자동계산!R152="","",GLAPS자동계산!R152)</f>
        <v/>
      </c>
      <c r="R153" s="3" t="str">
        <f>IF(GLAPS자동계산!S152="","",GLAPS자동계산!S152)</f>
        <v/>
      </c>
      <c r="S153" s="3" t="str">
        <f>IF(GLAPS자동계산!T152="","",GLAPS자동계산!T152)</f>
        <v/>
      </c>
      <c r="T153" s="3" t="str">
        <f>IF(GLAPS자동계산!U152="","",GLAPS자동계산!U152)</f>
        <v/>
      </c>
      <c r="U153" s="3" t="str">
        <f>IF(GLAPS자동계산!V152="","",GLAPS자동계산!V152)</f>
        <v/>
      </c>
      <c r="V153" s="3" t="str">
        <f>IF(GLAPS자동계산!W152="","",GLAPS자동계산!W152)</f>
        <v/>
      </c>
      <c r="W153" s="14" t="str">
        <f>IF(GLAPS자동계산!X152="","",GLAPS자동계산!X152)</f>
        <v/>
      </c>
      <c r="X153" s="13" t="str">
        <f>IF(GLAPS자동계산!Y152="","",GLAPS자동계산!Y152)</f>
        <v/>
      </c>
      <c r="Y153" s="13" t="str">
        <f>IF(GLAPS자동계산!Z152="","",GLAPS자동계산!Z152)</f>
        <v/>
      </c>
      <c r="Z153" s="91" t="str">
        <f>IF(GLAPS자동계산!AA152="","",GLAPS자동계산!AA152)</f>
        <v/>
      </c>
      <c r="AA153" s="14" t="str">
        <f>IF(GLAPS자동계산!AB152="","",GLAPS자동계산!AB152)</f>
        <v/>
      </c>
      <c r="AC153" s="2" t="str">
        <f>IF($B153="","",$AC$1)</f>
        <v/>
      </c>
      <c r="AD153" s="2" t="str">
        <f>IF($B153="","",IFERROR(INDEX(GLAPS정리!$D$2:$D$50,MATCH(I153,GLAPS정리!$A$2:$A$50,0)),IFERROR(INDEX(GLAPS정리!$D$2:$D$50,MATCH(I153,GLAPS정리!$B$2:$B$50,0)),"")))</f>
        <v/>
      </c>
      <c r="AF153" s="2" t="str">
        <f>IF($B153="","",$AF$1)</f>
        <v/>
      </c>
      <c r="AI153" s="2" t="str">
        <f>IF($B153="","",IF(F153="","",VLOOKUP(F153,GLAPS정리!$G$3:$J$114,2,0)))</f>
        <v/>
      </c>
      <c r="AJ153" s="2" t="str">
        <f>IF($B153="","",IF(Z153="울산정일","KRONS",IF(Z153="울산신항","KRUSN",IF(OR(Z153="선광종합물류(인천여객)",Z153="인천여객(인천여객)"),"KRINF",IF(OR(Z153="선광인천보세(인천신)",Z153="한진인천(인천신)",Z153="선광인천신항(인천신)",Z153="인천더로지스(인천신)"),"KRINN",IF(OR(Z153="인천진아(인천항)",Z153="인천E1(인천항)",Z153="인천SM경인터미널(인천항)",Z153="인천항(인천항)",Z153="인천우련(인천항)",Z153="인천항8부두(인천항)"),"KRINC",VLOOKUP(K153,GLAPS정리!$BB$2:$BC$33,2,0)))))))</f>
        <v/>
      </c>
      <c r="AL153" s="2" t="str">
        <f>IF($B153="","",$AL$1)</f>
        <v/>
      </c>
      <c r="AN153" s="70" t="str">
        <f>IF($B153="","",TEXT(B153,"YYYY-MM-DD"))</f>
        <v/>
      </c>
      <c r="AO153" s="2" t="str">
        <f>IF($B153="","",IF(E153="오전", "0800", IF(E153="오후", "1300", IF(E153="잔업", "1800", ""))))</f>
        <v/>
      </c>
      <c r="AP153" s="2" t="str">
        <f>IF($B153="","",IF(C153="","",VLOOKUP(C153,GLAPS정리!$AX$2:$AZ$17,3,0)))</f>
        <v/>
      </c>
      <c r="AR153" s="2" t="str">
        <f>IF($B153="","",IF(X153="","",X153))</f>
        <v/>
      </c>
      <c r="AX153" s="2" t="str">
        <f>IF($B153="","",IF(L153="","",VLOOKUP(L153,GLAPS정리!$V$3:$W$180,2,0)))</f>
        <v/>
      </c>
      <c r="BM153" s="2" t="str">
        <f>IF($B153="","",IF(AND(Q153=1,OR(P153="",P153="위험물")), "2210", IF(AND(Q153=1,OR(P153="리퍼",P153="위험물리퍼")), "2230", IF(AND(S153=1,OR(P153="",P153="위험물")), "4510", IF(AND(S153=1,OR(P153="리퍼",P153="위험물리퍼")), "4530", IF(AND(R153=1,OR(P153="",P153="위험물")), "4210", IF(AND(R153=1,P153="리퍼"), "4230", " ")))))))</f>
        <v/>
      </c>
      <c r="BN153" s="2" t="str">
        <f>IF($B153="","",$BN$1)</f>
        <v/>
      </c>
      <c r="BR153" s="2" t="str">
        <f>IF($B153="","",IF(OR(P153="리퍼",P153="위험물리퍼"),"Y",""))</f>
        <v/>
      </c>
      <c r="BS153" s="2" t="str">
        <f>IF($B153="","",IF(OR(P153="위험물",P153="위험물리퍼"),"Y",""))</f>
        <v/>
      </c>
      <c r="BV153" s="2" t="str">
        <f>IF($B153="","",IF(O153="","",VLOOKUP(O153,GLAPS정리!$BH$2:$BI$94,2,0)))</f>
        <v/>
      </c>
      <c r="BW153" s="2" t="str">
        <f>IF($B153="","",IF(OR(Z153="동원",Z153="세방",Z153="한타"),"",IFERROR(INDEX(GLAPS정리!$BI$2:$BI$101,MATCH(Z153,GLAPS정리!$BH$2:$BH$101,0)),"")))</f>
        <v/>
      </c>
      <c r="BX153" s="2" t="str">
        <f>IF($B153="","",IF(Z153="","",IFERROR(VLOOKUP(Z153,GLAPS정리!$AX$2:$AZ$17,3,0),"")))</f>
        <v/>
      </c>
      <c r="BZ153" s="2" t="str">
        <f>IF($B153="","",IF(H153="","",VLOOKUP(H153,GLAPS정리!$L$3:$O$133,2,0)))</f>
        <v/>
      </c>
      <c r="CA153" s="2" t="str">
        <f>IF($B153="","",IF(V153="공휴일", 10, IF(V153="야간", 20, IF(V153="위험물", 30, IF(V153="중량", 40, "")))))</f>
        <v/>
      </c>
      <c r="CL153" s="2" t="str">
        <f>IF($B153="","",IF(AI153="","",VLOOKUP(AI153,GLAPS정리!$BT$3:$BV$26,3,0)))</f>
        <v/>
      </c>
    </row>
    <row r="154" spans="2:90" ht="20.45" customHeight="1">
      <c r="B154" s="13" t="str">
        <f>IF(GLAPS자동계산!C153="","",GLAPS자동계산!C153)</f>
        <v/>
      </c>
      <c r="C154" s="3" t="str">
        <f>IF(GLAPS자동계산!D153="","",GLAPS자동계산!D153)</f>
        <v/>
      </c>
      <c r="D154" s="16" t="str">
        <f>IF(GLAPS자동계산!E153="","",GLAPS자동계산!E153)</f>
        <v/>
      </c>
      <c r="E154" s="11" t="str">
        <f>IF(GLAPS자동계산!F153="","",GLAPS자동계산!F153)</f>
        <v/>
      </c>
      <c r="F154" s="3" t="str">
        <f>IF(GLAPS자동계산!G153="","",GLAPS자동계산!G153)</f>
        <v/>
      </c>
      <c r="G154" s="3" t="str">
        <f>IF(GLAPS자동계산!H153="","",GLAPS자동계산!H153)</f>
        <v/>
      </c>
      <c r="H154" s="3" t="str">
        <f>IF(GLAPS자동계산!I153="","",GLAPS자동계산!I153)</f>
        <v/>
      </c>
      <c r="I154" s="3" t="str">
        <f>IF(GLAPS자동계산!J153="","",GLAPS자동계산!J153)</f>
        <v/>
      </c>
      <c r="J154" s="3" t="str">
        <f>IF(GLAPS자동계산!K153="","",GLAPS자동계산!K153)</f>
        <v/>
      </c>
      <c r="K154" s="3" t="str">
        <f>IF(GLAPS자동계산!L153="","",GLAPS자동계산!L153)</f>
        <v/>
      </c>
      <c r="L154" s="3" t="str">
        <f>IF(GLAPS자동계산!M153="","",GLAPS자동계산!M153)</f>
        <v/>
      </c>
      <c r="M154" s="3" t="str">
        <f>IF(GLAPS자동계산!N153="","",GLAPS자동계산!N153)</f>
        <v/>
      </c>
      <c r="N154" s="3" t="str">
        <f>IF(GLAPS자동계산!O153="","",GLAPS자동계산!O153)</f>
        <v/>
      </c>
      <c r="O154" s="3" t="str">
        <f>IF(GLAPS자동계산!P153="","",GLAPS자동계산!P153)</f>
        <v/>
      </c>
      <c r="P154" s="2" t="str">
        <f>IF(GLAPS자동계산!Q153="","",GLAPS자동계산!Q153)</f>
        <v/>
      </c>
      <c r="Q154" s="3" t="str">
        <f>IF(GLAPS자동계산!R153="","",GLAPS자동계산!R153)</f>
        <v/>
      </c>
      <c r="R154" s="3" t="str">
        <f>IF(GLAPS자동계산!S153="","",GLAPS자동계산!S153)</f>
        <v/>
      </c>
      <c r="S154" s="3" t="str">
        <f>IF(GLAPS자동계산!T153="","",GLAPS자동계산!T153)</f>
        <v/>
      </c>
      <c r="T154" s="3" t="str">
        <f>IF(GLAPS자동계산!U153="","",GLAPS자동계산!U153)</f>
        <v/>
      </c>
      <c r="U154" s="3" t="str">
        <f>IF(GLAPS자동계산!V153="","",GLAPS자동계산!V153)</f>
        <v/>
      </c>
      <c r="V154" s="3" t="str">
        <f>IF(GLAPS자동계산!W153="","",GLAPS자동계산!W153)</f>
        <v/>
      </c>
      <c r="W154" s="14" t="str">
        <f>IF(GLAPS자동계산!X153="","",GLAPS자동계산!X153)</f>
        <v/>
      </c>
      <c r="X154" s="13" t="str">
        <f>IF(GLAPS자동계산!Y153="","",GLAPS자동계산!Y153)</f>
        <v/>
      </c>
      <c r="Y154" s="13" t="str">
        <f>IF(GLAPS자동계산!Z153="","",GLAPS자동계산!Z153)</f>
        <v/>
      </c>
      <c r="Z154" s="91" t="str">
        <f>IF(GLAPS자동계산!AA153="","",GLAPS자동계산!AA153)</f>
        <v/>
      </c>
      <c r="AA154" s="14" t="str">
        <f>IF(GLAPS자동계산!AB153="","",GLAPS자동계산!AB153)</f>
        <v/>
      </c>
      <c r="AC154" s="2" t="str">
        <f>IF($B154="","",$AC$1)</f>
        <v/>
      </c>
      <c r="AD154" s="2" t="str">
        <f>IF($B154="","",IFERROR(INDEX(GLAPS정리!$D$2:$D$50,MATCH(I154,GLAPS정리!$A$2:$A$50,0)),IFERROR(INDEX(GLAPS정리!$D$2:$D$50,MATCH(I154,GLAPS정리!$B$2:$B$50,0)),"")))</f>
        <v/>
      </c>
      <c r="AF154" s="2" t="str">
        <f>IF($B154="","",$AF$1)</f>
        <v/>
      </c>
      <c r="AI154" s="2" t="str">
        <f>IF($B154="","",IF(F154="","",VLOOKUP(F154,GLAPS정리!$G$3:$J$114,2,0)))</f>
        <v/>
      </c>
      <c r="AJ154" s="2" t="str">
        <f>IF($B154="","",IF(Z154="울산정일","KRONS",IF(Z154="울산신항","KRUSN",IF(OR(Z154="선광종합물류(인천여객)",Z154="인천여객(인천여객)"),"KRINF",IF(OR(Z154="선광인천보세(인천신)",Z154="한진인천(인천신)",Z154="선광인천신항(인천신)",Z154="인천더로지스(인천신)"),"KRINN",IF(OR(Z154="인천진아(인천항)",Z154="인천E1(인천항)",Z154="인천SM경인터미널(인천항)",Z154="인천항(인천항)",Z154="인천우련(인천항)",Z154="인천항8부두(인천항)"),"KRINC",VLOOKUP(K154,GLAPS정리!$BB$2:$BC$33,2,0)))))))</f>
        <v/>
      </c>
      <c r="AL154" s="2" t="str">
        <f>IF($B154="","",$AL$1)</f>
        <v/>
      </c>
      <c r="AN154" s="70" t="str">
        <f>IF($B154="","",TEXT(B154,"YYYY-MM-DD"))</f>
        <v/>
      </c>
      <c r="AO154" s="2" t="str">
        <f>IF($B154="","",IF(E154="오전", "0800", IF(E154="오후", "1300", IF(E154="잔업", "1800", ""))))</f>
        <v/>
      </c>
      <c r="AP154" s="2" t="str">
        <f>IF($B154="","",IF(C154="","",VLOOKUP(C154,GLAPS정리!$AX$2:$AZ$17,3,0)))</f>
        <v/>
      </c>
      <c r="AR154" s="2" t="str">
        <f>IF($B154="","",IF(X154="","",X154))</f>
        <v/>
      </c>
      <c r="AX154" s="2" t="str">
        <f>IF($B154="","",IF(L154="","",VLOOKUP(L154,GLAPS정리!$V$3:$W$180,2,0)))</f>
        <v/>
      </c>
      <c r="BM154" s="2" t="str">
        <f>IF($B154="","",IF(AND(Q154=1,OR(P154="",P154="위험물")), "2210", IF(AND(Q154=1,OR(P154="리퍼",P154="위험물리퍼")), "2230", IF(AND(S154=1,OR(P154="",P154="위험물")), "4510", IF(AND(S154=1,OR(P154="리퍼",P154="위험물리퍼")), "4530", IF(AND(R154=1,OR(P154="",P154="위험물")), "4210", IF(AND(R154=1,P154="리퍼"), "4230", " ")))))))</f>
        <v/>
      </c>
      <c r="BN154" s="2" t="str">
        <f>IF($B154="","",$BN$1)</f>
        <v/>
      </c>
      <c r="BR154" s="2" t="str">
        <f>IF($B154="","",IF(OR(P154="리퍼",P154="위험물리퍼"),"Y",""))</f>
        <v/>
      </c>
      <c r="BS154" s="2" t="str">
        <f>IF($B154="","",IF(OR(P154="위험물",P154="위험물리퍼"),"Y",""))</f>
        <v/>
      </c>
      <c r="BV154" s="2" t="str">
        <f>IF($B154="","",IF(O154="","",VLOOKUP(O154,GLAPS정리!$BH$2:$BI$94,2,0)))</f>
        <v/>
      </c>
      <c r="BW154" s="2" t="str">
        <f>IF($B154="","",IF(OR(Z154="동원",Z154="세방",Z154="한타"),"",IFERROR(INDEX(GLAPS정리!$BI$2:$BI$101,MATCH(Z154,GLAPS정리!$BH$2:$BH$101,0)),"")))</f>
        <v/>
      </c>
      <c r="BX154" s="2" t="str">
        <f>IF($B154="","",IF(Z154="","",IFERROR(VLOOKUP(Z154,GLAPS정리!$AX$2:$AZ$17,3,0),"")))</f>
        <v/>
      </c>
      <c r="BZ154" s="2" t="str">
        <f>IF($B154="","",IF(H154="","",VLOOKUP(H154,GLAPS정리!$L$3:$O$133,2,0)))</f>
        <v/>
      </c>
      <c r="CA154" s="2" t="str">
        <f>IF($B154="","",IF(V154="공휴일", 10, IF(V154="야간", 20, IF(V154="위험물", 30, IF(V154="중량", 40, "")))))</f>
        <v/>
      </c>
      <c r="CL154" s="2" t="str">
        <f>IF($B154="","",IF(AI154="","",VLOOKUP(AI154,GLAPS정리!$BT$3:$BV$26,3,0)))</f>
        <v/>
      </c>
    </row>
    <row r="155" spans="2:90" ht="20.45" customHeight="1">
      <c r="B155" s="13" t="str">
        <f>IF(GLAPS자동계산!C154="","",GLAPS자동계산!C154)</f>
        <v/>
      </c>
      <c r="C155" s="3" t="str">
        <f>IF(GLAPS자동계산!D154="","",GLAPS자동계산!D154)</f>
        <v/>
      </c>
      <c r="D155" s="16" t="str">
        <f>IF(GLAPS자동계산!E154="","",GLAPS자동계산!E154)</f>
        <v/>
      </c>
      <c r="E155" s="11" t="str">
        <f>IF(GLAPS자동계산!F154="","",GLAPS자동계산!F154)</f>
        <v/>
      </c>
      <c r="F155" s="3" t="str">
        <f>IF(GLAPS자동계산!G154="","",GLAPS자동계산!G154)</f>
        <v/>
      </c>
      <c r="G155" s="3" t="str">
        <f>IF(GLAPS자동계산!H154="","",GLAPS자동계산!H154)</f>
        <v/>
      </c>
      <c r="H155" s="3" t="str">
        <f>IF(GLAPS자동계산!I154="","",GLAPS자동계산!I154)</f>
        <v/>
      </c>
      <c r="I155" s="3" t="str">
        <f>IF(GLAPS자동계산!J154="","",GLAPS자동계산!J154)</f>
        <v/>
      </c>
      <c r="J155" s="3" t="str">
        <f>IF(GLAPS자동계산!K154="","",GLAPS자동계산!K154)</f>
        <v/>
      </c>
      <c r="K155" s="3" t="str">
        <f>IF(GLAPS자동계산!L154="","",GLAPS자동계산!L154)</f>
        <v/>
      </c>
      <c r="L155" s="3" t="str">
        <f>IF(GLAPS자동계산!M154="","",GLAPS자동계산!M154)</f>
        <v/>
      </c>
      <c r="M155" s="3" t="str">
        <f>IF(GLAPS자동계산!N154="","",GLAPS자동계산!N154)</f>
        <v/>
      </c>
      <c r="N155" s="3" t="str">
        <f>IF(GLAPS자동계산!O154="","",GLAPS자동계산!O154)</f>
        <v/>
      </c>
      <c r="O155" s="3" t="str">
        <f>IF(GLAPS자동계산!P154="","",GLAPS자동계산!P154)</f>
        <v/>
      </c>
      <c r="P155" s="2" t="str">
        <f>IF(GLAPS자동계산!Q154="","",GLAPS자동계산!Q154)</f>
        <v/>
      </c>
      <c r="Q155" s="3" t="str">
        <f>IF(GLAPS자동계산!R154="","",GLAPS자동계산!R154)</f>
        <v/>
      </c>
      <c r="R155" s="3" t="str">
        <f>IF(GLAPS자동계산!S154="","",GLAPS자동계산!S154)</f>
        <v/>
      </c>
      <c r="S155" s="3" t="str">
        <f>IF(GLAPS자동계산!T154="","",GLAPS자동계산!T154)</f>
        <v/>
      </c>
      <c r="T155" s="3" t="str">
        <f>IF(GLAPS자동계산!U154="","",GLAPS자동계산!U154)</f>
        <v/>
      </c>
      <c r="U155" s="3" t="str">
        <f>IF(GLAPS자동계산!V154="","",GLAPS자동계산!V154)</f>
        <v/>
      </c>
      <c r="V155" s="3" t="str">
        <f>IF(GLAPS자동계산!W154="","",GLAPS자동계산!W154)</f>
        <v/>
      </c>
      <c r="W155" s="14" t="str">
        <f>IF(GLAPS자동계산!X154="","",GLAPS자동계산!X154)</f>
        <v/>
      </c>
      <c r="X155" s="13" t="str">
        <f>IF(GLAPS자동계산!Y154="","",GLAPS자동계산!Y154)</f>
        <v/>
      </c>
      <c r="Y155" s="13" t="str">
        <f>IF(GLAPS자동계산!Z154="","",GLAPS자동계산!Z154)</f>
        <v/>
      </c>
      <c r="Z155" s="91" t="str">
        <f>IF(GLAPS자동계산!AA154="","",GLAPS자동계산!AA154)</f>
        <v/>
      </c>
      <c r="AA155" s="14" t="str">
        <f>IF(GLAPS자동계산!AB154="","",GLAPS자동계산!AB154)</f>
        <v/>
      </c>
      <c r="AC155" s="2" t="str">
        <f>IF($B155="","",$AC$1)</f>
        <v/>
      </c>
      <c r="AD155" s="2" t="str">
        <f>IF($B155="","",IFERROR(INDEX(GLAPS정리!$D$2:$D$50,MATCH(I155,GLAPS정리!$A$2:$A$50,0)),IFERROR(INDEX(GLAPS정리!$D$2:$D$50,MATCH(I155,GLAPS정리!$B$2:$B$50,0)),"")))</f>
        <v/>
      </c>
      <c r="AF155" s="2" t="str">
        <f>IF($B155="","",$AF$1)</f>
        <v/>
      </c>
      <c r="AI155" s="2" t="str">
        <f>IF($B155="","",IF(F155="","",VLOOKUP(F155,GLAPS정리!$G$3:$J$114,2,0)))</f>
        <v/>
      </c>
      <c r="AJ155" s="2" t="str">
        <f>IF($B155="","",IF(Z155="울산정일","KRONS",IF(Z155="울산신항","KRUSN",IF(OR(Z155="선광종합물류(인천여객)",Z155="인천여객(인천여객)"),"KRINF",IF(OR(Z155="선광인천보세(인천신)",Z155="한진인천(인천신)",Z155="선광인천신항(인천신)",Z155="인천더로지스(인천신)"),"KRINN",IF(OR(Z155="인천진아(인천항)",Z155="인천E1(인천항)",Z155="인천SM경인터미널(인천항)",Z155="인천항(인천항)",Z155="인천우련(인천항)",Z155="인천항8부두(인천항)"),"KRINC",VLOOKUP(K155,GLAPS정리!$BB$2:$BC$33,2,0)))))))</f>
        <v/>
      </c>
      <c r="AL155" s="2" t="str">
        <f>IF($B155="","",$AL$1)</f>
        <v/>
      </c>
      <c r="AN155" s="70" t="str">
        <f>IF($B155="","",TEXT(B155,"YYYY-MM-DD"))</f>
        <v/>
      </c>
      <c r="AO155" s="2" t="str">
        <f>IF($B155="","",IF(E155="오전", "0800", IF(E155="오후", "1300", IF(E155="잔업", "1800", ""))))</f>
        <v/>
      </c>
      <c r="AP155" s="2" t="str">
        <f>IF($B155="","",IF(C155="","",VLOOKUP(C155,GLAPS정리!$AX$2:$AZ$17,3,0)))</f>
        <v/>
      </c>
      <c r="AR155" s="2" t="str">
        <f>IF($B155="","",IF(X155="","",X155))</f>
        <v/>
      </c>
      <c r="AX155" s="2" t="str">
        <f>IF($B155="","",IF(L155="","",VLOOKUP(L155,GLAPS정리!$V$3:$W$180,2,0)))</f>
        <v/>
      </c>
      <c r="BM155" s="2" t="str">
        <f>IF($B155="","",IF(AND(Q155=1,OR(P155="",P155="위험물")), "2210", IF(AND(Q155=1,OR(P155="리퍼",P155="위험물리퍼")), "2230", IF(AND(S155=1,OR(P155="",P155="위험물")), "4510", IF(AND(S155=1,OR(P155="리퍼",P155="위험물리퍼")), "4530", IF(AND(R155=1,OR(P155="",P155="위험물")), "4210", IF(AND(R155=1,P155="리퍼"), "4230", " ")))))))</f>
        <v/>
      </c>
      <c r="BN155" s="2" t="str">
        <f>IF($B155="","",$BN$1)</f>
        <v/>
      </c>
      <c r="BR155" s="2" t="str">
        <f>IF($B155="","",IF(OR(P155="리퍼",P155="위험물리퍼"),"Y",""))</f>
        <v/>
      </c>
      <c r="BS155" s="2" t="str">
        <f>IF($B155="","",IF(OR(P155="위험물",P155="위험물리퍼"),"Y",""))</f>
        <v/>
      </c>
      <c r="BV155" s="2" t="str">
        <f>IF($B155="","",IF(O155="","",VLOOKUP(O155,GLAPS정리!$BH$2:$BI$94,2,0)))</f>
        <v/>
      </c>
      <c r="BW155" s="2" t="str">
        <f>IF($B155="","",IF(OR(Z155="동원",Z155="세방",Z155="한타"),"",IFERROR(INDEX(GLAPS정리!$BI$2:$BI$101,MATCH(Z155,GLAPS정리!$BH$2:$BH$101,0)),"")))</f>
        <v/>
      </c>
      <c r="BX155" s="2" t="str">
        <f>IF($B155="","",IF(Z155="","",IFERROR(VLOOKUP(Z155,GLAPS정리!$AX$2:$AZ$17,3,0),"")))</f>
        <v/>
      </c>
      <c r="BZ155" s="2" t="str">
        <f>IF($B155="","",IF(H155="","",VLOOKUP(H155,GLAPS정리!$L$3:$O$133,2,0)))</f>
        <v/>
      </c>
      <c r="CA155" s="2" t="str">
        <f>IF($B155="","",IF(V155="공휴일", 10, IF(V155="야간", 20, IF(V155="위험물", 30, IF(V155="중량", 40, "")))))</f>
        <v/>
      </c>
      <c r="CL155" s="2" t="str">
        <f>IF($B155="","",IF(AI155="","",VLOOKUP(AI155,GLAPS정리!$BT$3:$BV$26,3,0)))</f>
        <v/>
      </c>
    </row>
    <row r="156" spans="2:90" ht="20.45" customHeight="1">
      <c r="B156" s="13" t="str">
        <f>IF(GLAPS자동계산!C155="","",GLAPS자동계산!C155)</f>
        <v/>
      </c>
      <c r="C156" s="3" t="str">
        <f>IF(GLAPS자동계산!D155="","",GLAPS자동계산!D155)</f>
        <v/>
      </c>
      <c r="D156" s="16" t="str">
        <f>IF(GLAPS자동계산!E155="","",GLAPS자동계산!E155)</f>
        <v/>
      </c>
      <c r="E156" s="11" t="str">
        <f>IF(GLAPS자동계산!F155="","",GLAPS자동계산!F155)</f>
        <v/>
      </c>
      <c r="F156" s="3" t="str">
        <f>IF(GLAPS자동계산!G155="","",GLAPS자동계산!G155)</f>
        <v/>
      </c>
      <c r="G156" s="3" t="str">
        <f>IF(GLAPS자동계산!H155="","",GLAPS자동계산!H155)</f>
        <v/>
      </c>
      <c r="H156" s="3" t="str">
        <f>IF(GLAPS자동계산!I155="","",GLAPS자동계산!I155)</f>
        <v/>
      </c>
      <c r="I156" s="3" t="str">
        <f>IF(GLAPS자동계산!J155="","",GLAPS자동계산!J155)</f>
        <v/>
      </c>
      <c r="J156" s="3" t="str">
        <f>IF(GLAPS자동계산!K155="","",GLAPS자동계산!K155)</f>
        <v/>
      </c>
      <c r="K156" s="3" t="str">
        <f>IF(GLAPS자동계산!L155="","",GLAPS자동계산!L155)</f>
        <v/>
      </c>
      <c r="L156" s="3" t="str">
        <f>IF(GLAPS자동계산!M155="","",GLAPS자동계산!M155)</f>
        <v/>
      </c>
      <c r="M156" s="3" t="str">
        <f>IF(GLAPS자동계산!N155="","",GLAPS자동계산!N155)</f>
        <v/>
      </c>
      <c r="N156" s="3" t="str">
        <f>IF(GLAPS자동계산!O155="","",GLAPS자동계산!O155)</f>
        <v/>
      </c>
      <c r="O156" s="3" t="str">
        <f>IF(GLAPS자동계산!P155="","",GLAPS자동계산!P155)</f>
        <v/>
      </c>
      <c r="P156" s="2" t="str">
        <f>IF(GLAPS자동계산!Q155="","",GLAPS자동계산!Q155)</f>
        <v/>
      </c>
      <c r="Q156" s="3" t="str">
        <f>IF(GLAPS자동계산!R155="","",GLAPS자동계산!R155)</f>
        <v/>
      </c>
      <c r="R156" s="3" t="str">
        <f>IF(GLAPS자동계산!S155="","",GLAPS자동계산!S155)</f>
        <v/>
      </c>
      <c r="S156" s="3" t="str">
        <f>IF(GLAPS자동계산!T155="","",GLAPS자동계산!T155)</f>
        <v/>
      </c>
      <c r="T156" s="3" t="str">
        <f>IF(GLAPS자동계산!U155="","",GLAPS자동계산!U155)</f>
        <v/>
      </c>
      <c r="U156" s="3" t="str">
        <f>IF(GLAPS자동계산!V155="","",GLAPS자동계산!V155)</f>
        <v/>
      </c>
      <c r="V156" s="3" t="str">
        <f>IF(GLAPS자동계산!W155="","",GLAPS자동계산!W155)</f>
        <v/>
      </c>
      <c r="W156" s="14" t="str">
        <f>IF(GLAPS자동계산!X155="","",GLAPS자동계산!X155)</f>
        <v/>
      </c>
      <c r="X156" s="13" t="str">
        <f>IF(GLAPS자동계산!Y155="","",GLAPS자동계산!Y155)</f>
        <v/>
      </c>
      <c r="Y156" s="13" t="str">
        <f>IF(GLAPS자동계산!Z155="","",GLAPS자동계산!Z155)</f>
        <v/>
      </c>
      <c r="Z156" s="91" t="str">
        <f>IF(GLAPS자동계산!AA155="","",GLAPS자동계산!AA155)</f>
        <v/>
      </c>
      <c r="AA156" s="14" t="str">
        <f>IF(GLAPS자동계산!AB155="","",GLAPS자동계산!AB155)</f>
        <v/>
      </c>
      <c r="AC156" s="2" t="str">
        <f>IF($B156="","",$AC$1)</f>
        <v/>
      </c>
      <c r="AD156" s="2" t="str">
        <f>IF($B156="","",IFERROR(INDEX(GLAPS정리!$D$2:$D$50,MATCH(I156,GLAPS정리!$A$2:$A$50,0)),IFERROR(INDEX(GLAPS정리!$D$2:$D$50,MATCH(I156,GLAPS정리!$B$2:$B$50,0)),"")))</f>
        <v/>
      </c>
      <c r="AF156" s="2" t="str">
        <f>IF($B156="","",$AF$1)</f>
        <v/>
      </c>
      <c r="AI156" s="2" t="str">
        <f>IF($B156="","",IF(F156="","",VLOOKUP(F156,GLAPS정리!$G$3:$J$114,2,0)))</f>
        <v/>
      </c>
      <c r="AJ156" s="2" t="str">
        <f>IF($B156="","",IF(Z156="울산정일","KRONS",IF(Z156="울산신항","KRUSN",IF(OR(Z156="선광종합물류(인천여객)",Z156="인천여객(인천여객)"),"KRINF",IF(OR(Z156="선광인천보세(인천신)",Z156="한진인천(인천신)",Z156="선광인천신항(인천신)",Z156="인천더로지스(인천신)"),"KRINN",IF(OR(Z156="인천진아(인천항)",Z156="인천E1(인천항)",Z156="인천SM경인터미널(인천항)",Z156="인천항(인천항)",Z156="인천우련(인천항)",Z156="인천항8부두(인천항)"),"KRINC",VLOOKUP(K156,GLAPS정리!$BB$2:$BC$33,2,0)))))))</f>
        <v/>
      </c>
      <c r="AL156" s="2" t="str">
        <f>IF($B156="","",$AL$1)</f>
        <v/>
      </c>
      <c r="AN156" s="70" t="str">
        <f>IF($B156="","",TEXT(B156,"YYYY-MM-DD"))</f>
        <v/>
      </c>
      <c r="AO156" s="2" t="str">
        <f>IF($B156="","",IF(E156="오전", "0800", IF(E156="오후", "1300", IF(E156="잔업", "1800", ""))))</f>
        <v/>
      </c>
      <c r="AP156" s="2" t="str">
        <f>IF($B156="","",IF(C156="","",VLOOKUP(C156,GLAPS정리!$AX$2:$AZ$17,3,0)))</f>
        <v/>
      </c>
      <c r="AR156" s="2" t="str">
        <f>IF($B156="","",IF(X156="","",X156))</f>
        <v/>
      </c>
      <c r="AX156" s="2" t="str">
        <f>IF($B156="","",IF(L156="","",VLOOKUP(L156,GLAPS정리!$V$3:$W$180,2,0)))</f>
        <v/>
      </c>
      <c r="BM156" s="2" t="str">
        <f>IF($B156="","",IF(AND(Q156=1,OR(P156="",P156="위험물")), "2210", IF(AND(Q156=1,OR(P156="리퍼",P156="위험물리퍼")), "2230", IF(AND(S156=1,OR(P156="",P156="위험물")), "4510", IF(AND(S156=1,OR(P156="리퍼",P156="위험물리퍼")), "4530", IF(AND(R156=1,OR(P156="",P156="위험물")), "4210", IF(AND(R156=1,P156="리퍼"), "4230", " ")))))))</f>
        <v/>
      </c>
      <c r="BN156" s="2" t="str">
        <f>IF($B156="","",$BN$1)</f>
        <v/>
      </c>
      <c r="BR156" s="2" t="str">
        <f>IF($B156="","",IF(OR(P156="리퍼",P156="위험물리퍼"),"Y",""))</f>
        <v/>
      </c>
      <c r="BS156" s="2" t="str">
        <f>IF($B156="","",IF(OR(P156="위험물",P156="위험물리퍼"),"Y",""))</f>
        <v/>
      </c>
      <c r="BV156" s="2" t="str">
        <f>IF($B156="","",IF(O156="","",VLOOKUP(O156,GLAPS정리!$BH$2:$BI$94,2,0)))</f>
        <v/>
      </c>
      <c r="BW156" s="2" t="str">
        <f>IF($B156="","",IF(OR(Z156="동원",Z156="세방",Z156="한타"),"",IFERROR(INDEX(GLAPS정리!$BI$2:$BI$101,MATCH(Z156,GLAPS정리!$BH$2:$BH$101,0)),"")))</f>
        <v/>
      </c>
      <c r="BX156" s="2" t="str">
        <f>IF($B156="","",IF(Z156="","",IFERROR(VLOOKUP(Z156,GLAPS정리!$AX$2:$AZ$17,3,0),"")))</f>
        <v/>
      </c>
      <c r="BZ156" s="2" t="str">
        <f>IF($B156="","",IF(H156="","",VLOOKUP(H156,GLAPS정리!$L$3:$O$133,2,0)))</f>
        <v/>
      </c>
      <c r="CA156" s="2" t="str">
        <f>IF($B156="","",IF(V156="공휴일", 10, IF(V156="야간", 20, IF(V156="위험물", 30, IF(V156="중량", 40, "")))))</f>
        <v/>
      </c>
      <c r="CL156" s="2" t="str">
        <f>IF($B156="","",IF(AI156="","",VLOOKUP(AI156,GLAPS정리!$BT$3:$BV$26,3,0)))</f>
        <v/>
      </c>
    </row>
    <row r="157" spans="2:90" ht="20.45" customHeight="1">
      <c r="B157" s="13" t="str">
        <f>IF(GLAPS자동계산!C156="","",GLAPS자동계산!C156)</f>
        <v/>
      </c>
      <c r="C157" s="3" t="str">
        <f>IF(GLAPS자동계산!D156="","",GLAPS자동계산!D156)</f>
        <v/>
      </c>
      <c r="D157" s="16" t="str">
        <f>IF(GLAPS자동계산!E156="","",GLAPS자동계산!E156)</f>
        <v/>
      </c>
      <c r="E157" s="11" t="str">
        <f>IF(GLAPS자동계산!F156="","",GLAPS자동계산!F156)</f>
        <v/>
      </c>
      <c r="F157" s="3" t="str">
        <f>IF(GLAPS자동계산!G156="","",GLAPS자동계산!G156)</f>
        <v/>
      </c>
      <c r="G157" s="3" t="str">
        <f>IF(GLAPS자동계산!H156="","",GLAPS자동계산!H156)</f>
        <v/>
      </c>
      <c r="H157" s="3" t="str">
        <f>IF(GLAPS자동계산!I156="","",GLAPS자동계산!I156)</f>
        <v/>
      </c>
      <c r="I157" s="3" t="str">
        <f>IF(GLAPS자동계산!J156="","",GLAPS자동계산!J156)</f>
        <v/>
      </c>
      <c r="J157" s="3" t="str">
        <f>IF(GLAPS자동계산!K156="","",GLAPS자동계산!K156)</f>
        <v/>
      </c>
      <c r="K157" s="3" t="str">
        <f>IF(GLAPS자동계산!L156="","",GLAPS자동계산!L156)</f>
        <v/>
      </c>
      <c r="L157" s="3" t="str">
        <f>IF(GLAPS자동계산!M156="","",GLAPS자동계산!M156)</f>
        <v/>
      </c>
      <c r="M157" s="3" t="str">
        <f>IF(GLAPS자동계산!N156="","",GLAPS자동계산!N156)</f>
        <v/>
      </c>
      <c r="N157" s="3" t="str">
        <f>IF(GLAPS자동계산!O156="","",GLAPS자동계산!O156)</f>
        <v/>
      </c>
      <c r="O157" s="3" t="str">
        <f>IF(GLAPS자동계산!P156="","",GLAPS자동계산!P156)</f>
        <v/>
      </c>
      <c r="P157" s="2" t="str">
        <f>IF(GLAPS자동계산!Q156="","",GLAPS자동계산!Q156)</f>
        <v/>
      </c>
      <c r="Q157" s="3" t="str">
        <f>IF(GLAPS자동계산!R156="","",GLAPS자동계산!R156)</f>
        <v/>
      </c>
      <c r="R157" s="3" t="str">
        <f>IF(GLAPS자동계산!S156="","",GLAPS자동계산!S156)</f>
        <v/>
      </c>
      <c r="S157" s="3" t="str">
        <f>IF(GLAPS자동계산!T156="","",GLAPS자동계산!T156)</f>
        <v/>
      </c>
      <c r="T157" s="3" t="str">
        <f>IF(GLAPS자동계산!U156="","",GLAPS자동계산!U156)</f>
        <v/>
      </c>
      <c r="U157" s="3" t="str">
        <f>IF(GLAPS자동계산!V156="","",GLAPS자동계산!V156)</f>
        <v/>
      </c>
      <c r="V157" s="3" t="str">
        <f>IF(GLAPS자동계산!W156="","",GLAPS자동계산!W156)</f>
        <v/>
      </c>
      <c r="W157" s="14" t="str">
        <f>IF(GLAPS자동계산!X156="","",GLAPS자동계산!X156)</f>
        <v/>
      </c>
      <c r="X157" s="13" t="str">
        <f>IF(GLAPS자동계산!Y156="","",GLAPS자동계산!Y156)</f>
        <v/>
      </c>
      <c r="Y157" s="13" t="str">
        <f>IF(GLAPS자동계산!Z156="","",GLAPS자동계산!Z156)</f>
        <v/>
      </c>
      <c r="Z157" s="91" t="str">
        <f>IF(GLAPS자동계산!AA156="","",GLAPS자동계산!AA156)</f>
        <v/>
      </c>
      <c r="AA157" s="14" t="str">
        <f>IF(GLAPS자동계산!AB156="","",GLAPS자동계산!AB156)</f>
        <v/>
      </c>
      <c r="AC157" s="2" t="str">
        <f>IF($B157="","",$AC$1)</f>
        <v/>
      </c>
      <c r="AD157" s="2" t="str">
        <f>IF($B157="","",IFERROR(INDEX(GLAPS정리!$D$2:$D$50,MATCH(I157,GLAPS정리!$A$2:$A$50,0)),IFERROR(INDEX(GLAPS정리!$D$2:$D$50,MATCH(I157,GLAPS정리!$B$2:$B$50,0)),"")))</f>
        <v/>
      </c>
      <c r="AF157" s="2" t="str">
        <f>IF($B157="","",$AF$1)</f>
        <v/>
      </c>
      <c r="AI157" s="2" t="str">
        <f>IF($B157="","",IF(F157="","",VLOOKUP(F157,GLAPS정리!$G$3:$J$114,2,0)))</f>
        <v/>
      </c>
      <c r="AJ157" s="2" t="str">
        <f>IF($B157="","",IF(Z157="울산정일","KRONS",IF(Z157="울산신항","KRUSN",IF(OR(Z157="선광종합물류(인천여객)",Z157="인천여객(인천여객)"),"KRINF",IF(OR(Z157="선광인천보세(인천신)",Z157="한진인천(인천신)",Z157="선광인천신항(인천신)",Z157="인천더로지스(인천신)"),"KRINN",IF(OR(Z157="인천진아(인천항)",Z157="인천E1(인천항)",Z157="인천SM경인터미널(인천항)",Z157="인천항(인천항)",Z157="인천우련(인천항)",Z157="인천항8부두(인천항)"),"KRINC",VLOOKUP(K157,GLAPS정리!$BB$2:$BC$33,2,0)))))))</f>
        <v/>
      </c>
      <c r="AL157" s="2" t="str">
        <f>IF($B157="","",$AL$1)</f>
        <v/>
      </c>
      <c r="AN157" s="70" t="str">
        <f>IF($B157="","",TEXT(B157,"YYYY-MM-DD"))</f>
        <v/>
      </c>
      <c r="AO157" s="2" t="str">
        <f>IF($B157="","",IF(E157="오전", "0800", IF(E157="오후", "1300", IF(E157="잔업", "1800", ""))))</f>
        <v/>
      </c>
      <c r="AP157" s="2" t="str">
        <f>IF($B157="","",IF(C157="","",VLOOKUP(C157,GLAPS정리!$AX$2:$AZ$17,3,0)))</f>
        <v/>
      </c>
      <c r="AR157" s="2" t="str">
        <f>IF($B157="","",IF(X157="","",X157))</f>
        <v/>
      </c>
      <c r="AX157" s="2" t="str">
        <f>IF($B157="","",IF(L157="","",VLOOKUP(L157,GLAPS정리!$V$3:$W$180,2,0)))</f>
        <v/>
      </c>
      <c r="BM157" s="2" t="str">
        <f>IF($B157="","",IF(AND(Q157=1,OR(P157="",P157="위험물")), "2210", IF(AND(Q157=1,OR(P157="리퍼",P157="위험물리퍼")), "2230", IF(AND(S157=1,OR(P157="",P157="위험물")), "4510", IF(AND(S157=1,OR(P157="리퍼",P157="위험물리퍼")), "4530", IF(AND(R157=1,OR(P157="",P157="위험물")), "4210", IF(AND(R157=1,P157="리퍼"), "4230", " ")))))))</f>
        <v/>
      </c>
      <c r="BN157" s="2" t="str">
        <f>IF($B157="","",$BN$1)</f>
        <v/>
      </c>
      <c r="BR157" s="2" t="str">
        <f>IF($B157="","",IF(OR(P157="리퍼",P157="위험물리퍼"),"Y",""))</f>
        <v/>
      </c>
      <c r="BS157" s="2" t="str">
        <f>IF($B157="","",IF(OR(P157="위험물",P157="위험물리퍼"),"Y",""))</f>
        <v/>
      </c>
      <c r="BV157" s="2" t="str">
        <f>IF($B157="","",IF(O157="","",VLOOKUP(O157,GLAPS정리!$BH$2:$BI$94,2,0)))</f>
        <v/>
      </c>
      <c r="BW157" s="2" t="str">
        <f>IF($B157="","",IF(OR(Z157="동원",Z157="세방",Z157="한타"),"",IFERROR(INDEX(GLAPS정리!$BI$2:$BI$101,MATCH(Z157,GLAPS정리!$BH$2:$BH$101,0)),"")))</f>
        <v/>
      </c>
      <c r="BX157" s="2" t="str">
        <f>IF($B157="","",IF(Z157="","",IFERROR(VLOOKUP(Z157,GLAPS정리!$AX$2:$AZ$17,3,0),"")))</f>
        <v/>
      </c>
      <c r="BZ157" s="2" t="str">
        <f>IF($B157="","",IF(H157="","",VLOOKUP(H157,GLAPS정리!$L$3:$O$133,2,0)))</f>
        <v/>
      </c>
      <c r="CA157" s="2" t="str">
        <f>IF($B157="","",IF(V157="공휴일", 10, IF(V157="야간", 20, IF(V157="위험물", 30, IF(V157="중량", 40, "")))))</f>
        <v/>
      </c>
      <c r="CL157" s="2" t="str">
        <f>IF($B157="","",IF(AI157="","",VLOOKUP(AI157,GLAPS정리!$BT$3:$BV$26,3,0)))</f>
        <v/>
      </c>
    </row>
    <row r="158" spans="2:90" ht="20.45" customHeight="1">
      <c r="B158" s="13" t="str">
        <f>IF(GLAPS자동계산!C157="","",GLAPS자동계산!C157)</f>
        <v/>
      </c>
      <c r="C158" s="3" t="str">
        <f>IF(GLAPS자동계산!D157="","",GLAPS자동계산!D157)</f>
        <v/>
      </c>
      <c r="D158" s="16" t="str">
        <f>IF(GLAPS자동계산!E157="","",GLAPS자동계산!E157)</f>
        <v/>
      </c>
      <c r="E158" s="11" t="str">
        <f>IF(GLAPS자동계산!F157="","",GLAPS자동계산!F157)</f>
        <v/>
      </c>
      <c r="F158" s="3" t="str">
        <f>IF(GLAPS자동계산!G157="","",GLAPS자동계산!G157)</f>
        <v/>
      </c>
      <c r="G158" s="3" t="str">
        <f>IF(GLAPS자동계산!H157="","",GLAPS자동계산!H157)</f>
        <v/>
      </c>
      <c r="H158" s="3" t="str">
        <f>IF(GLAPS자동계산!I157="","",GLAPS자동계산!I157)</f>
        <v/>
      </c>
      <c r="I158" s="3" t="str">
        <f>IF(GLAPS자동계산!J157="","",GLAPS자동계산!J157)</f>
        <v/>
      </c>
      <c r="J158" s="3" t="str">
        <f>IF(GLAPS자동계산!K157="","",GLAPS자동계산!K157)</f>
        <v/>
      </c>
      <c r="K158" s="3" t="str">
        <f>IF(GLAPS자동계산!L157="","",GLAPS자동계산!L157)</f>
        <v/>
      </c>
      <c r="L158" s="3" t="str">
        <f>IF(GLAPS자동계산!M157="","",GLAPS자동계산!M157)</f>
        <v/>
      </c>
      <c r="M158" s="3" t="str">
        <f>IF(GLAPS자동계산!N157="","",GLAPS자동계산!N157)</f>
        <v/>
      </c>
      <c r="N158" s="3" t="str">
        <f>IF(GLAPS자동계산!O157="","",GLAPS자동계산!O157)</f>
        <v/>
      </c>
      <c r="O158" s="3" t="str">
        <f>IF(GLAPS자동계산!P157="","",GLAPS자동계산!P157)</f>
        <v/>
      </c>
      <c r="P158" s="2" t="str">
        <f>IF(GLAPS자동계산!Q157="","",GLAPS자동계산!Q157)</f>
        <v/>
      </c>
      <c r="Q158" s="3" t="str">
        <f>IF(GLAPS자동계산!R157="","",GLAPS자동계산!R157)</f>
        <v/>
      </c>
      <c r="R158" s="3" t="str">
        <f>IF(GLAPS자동계산!S157="","",GLAPS자동계산!S157)</f>
        <v/>
      </c>
      <c r="S158" s="3" t="str">
        <f>IF(GLAPS자동계산!T157="","",GLAPS자동계산!T157)</f>
        <v/>
      </c>
      <c r="T158" s="3" t="str">
        <f>IF(GLAPS자동계산!U157="","",GLAPS자동계산!U157)</f>
        <v/>
      </c>
      <c r="U158" s="3" t="str">
        <f>IF(GLAPS자동계산!V157="","",GLAPS자동계산!V157)</f>
        <v/>
      </c>
      <c r="V158" s="3" t="str">
        <f>IF(GLAPS자동계산!W157="","",GLAPS자동계산!W157)</f>
        <v/>
      </c>
      <c r="W158" s="14" t="str">
        <f>IF(GLAPS자동계산!X157="","",GLAPS자동계산!X157)</f>
        <v/>
      </c>
      <c r="X158" s="13" t="str">
        <f>IF(GLAPS자동계산!Y157="","",GLAPS자동계산!Y157)</f>
        <v/>
      </c>
      <c r="Y158" s="13" t="str">
        <f>IF(GLAPS자동계산!Z157="","",GLAPS자동계산!Z157)</f>
        <v/>
      </c>
      <c r="Z158" s="91" t="str">
        <f>IF(GLAPS자동계산!AA157="","",GLAPS자동계산!AA157)</f>
        <v/>
      </c>
      <c r="AA158" s="14" t="str">
        <f>IF(GLAPS자동계산!AB157="","",GLAPS자동계산!AB157)</f>
        <v/>
      </c>
      <c r="AC158" s="2" t="str">
        <f>IF($B158="","",$AC$1)</f>
        <v/>
      </c>
      <c r="AD158" s="2" t="str">
        <f>IF($B158="","",IFERROR(INDEX(GLAPS정리!$D$2:$D$50,MATCH(I158,GLAPS정리!$A$2:$A$50,0)),IFERROR(INDEX(GLAPS정리!$D$2:$D$50,MATCH(I158,GLAPS정리!$B$2:$B$50,0)),"")))</f>
        <v/>
      </c>
      <c r="AF158" s="2" t="str">
        <f>IF($B158="","",$AF$1)</f>
        <v/>
      </c>
      <c r="AI158" s="2" t="str">
        <f>IF($B158="","",IF(F158="","",VLOOKUP(F158,GLAPS정리!$G$3:$J$114,2,0)))</f>
        <v/>
      </c>
      <c r="AJ158" s="2" t="str">
        <f>IF($B158="","",IF(Z158="울산정일","KRONS",IF(Z158="울산신항","KRUSN",IF(OR(Z158="선광종합물류(인천여객)",Z158="인천여객(인천여객)"),"KRINF",IF(OR(Z158="선광인천보세(인천신)",Z158="한진인천(인천신)",Z158="선광인천신항(인천신)",Z158="인천더로지스(인천신)"),"KRINN",IF(OR(Z158="인천진아(인천항)",Z158="인천E1(인천항)",Z158="인천SM경인터미널(인천항)",Z158="인천항(인천항)",Z158="인천우련(인천항)",Z158="인천항8부두(인천항)"),"KRINC",VLOOKUP(K158,GLAPS정리!$BB$2:$BC$33,2,0)))))))</f>
        <v/>
      </c>
      <c r="AL158" s="2" t="str">
        <f>IF($B158="","",$AL$1)</f>
        <v/>
      </c>
      <c r="AN158" s="70" t="str">
        <f>IF($B158="","",TEXT(B158,"YYYY-MM-DD"))</f>
        <v/>
      </c>
      <c r="AO158" s="2" t="str">
        <f>IF($B158="","",IF(E158="오전", "0800", IF(E158="오후", "1300", IF(E158="잔업", "1800", ""))))</f>
        <v/>
      </c>
      <c r="AP158" s="2" t="str">
        <f>IF($B158="","",IF(C158="","",VLOOKUP(C158,GLAPS정리!$AX$2:$AZ$17,3,0)))</f>
        <v/>
      </c>
      <c r="AR158" s="2" t="str">
        <f>IF($B158="","",IF(X158="","",X158))</f>
        <v/>
      </c>
      <c r="AX158" s="2" t="str">
        <f>IF($B158="","",IF(L158="","",VLOOKUP(L158,GLAPS정리!$V$3:$W$180,2,0)))</f>
        <v/>
      </c>
      <c r="BM158" s="2" t="str">
        <f>IF($B158="","",IF(AND(Q158=1,OR(P158="",P158="위험물")), "2210", IF(AND(Q158=1,OR(P158="리퍼",P158="위험물리퍼")), "2230", IF(AND(S158=1,OR(P158="",P158="위험물")), "4510", IF(AND(S158=1,OR(P158="리퍼",P158="위험물리퍼")), "4530", IF(AND(R158=1,OR(P158="",P158="위험물")), "4210", IF(AND(R158=1,P158="리퍼"), "4230", " ")))))))</f>
        <v/>
      </c>
      <c r="BN158" s="2" t="str">
        <f>IF($B158="","",$BN$1)</f>
        <v/>
      </c>
      <c r="BR158" s="2" t="str">
        <f>IF($B158="","",IF(OR(P158="리퍼",P158="위험물리퍼"),"Y",""))</f>
        <v/>
      </c>
      <c r="BS158" s="2" t="str">
        <f>IF($B158="","",IF(OR(P158="위험물",P158="위험물리퍼"),"Y",""))</f>
        <v/>
      </c>
      <c r="BV158" s="2" t="str">
        <f>IF($B158="","",IF(O158="","",VLOOKUP(O158,GLAPS정리!$BH$2:$BI$94,2,0)))</f>
        <v/>
      </c>
      <c r="BW158" s="2" t="str">
        <f>IF($B158="","",IF(OR(Z158="동원",Z158="세방",Z158="한타"),"",IFERROR(INDEX(GLAPS정리!$BI$2:$BI$101,MATCH(Z158,GLAPS정리!$BH$2:$BH$101,0)),"")))</f>
        <v/>
      </c>
      <c r="BX158" s="2" t="str">
        <f>IF($B158="","",IF(Z158="","",IFERROR(VLOOKUP(Z158,GLAPS정리!$AX$2:$AZ$17,3,0),"")))</f>
        <v/>
      </c>
      <c r="BZ158" s="2" t="str">
        <f>IF($B158="","",IF(H158="","",VLOOKUP(H158,GLAPS정리!$L$3:$O$133,2,0)))</f>
        <v/>
      </c>
      <c r="CA158" s="2" t="str">
        <f>IF($B158="","",IF(V158="공휴일", 10, IF(V158="야간", 20, IF(V158="위험물", 30, IF(V158="중량", 40, "")))))</f>
        <v/>
      </c>
      <c r="CL158" s="2" t="str">
        <f>IF($B158="","",IF(AI158="","",VLOOKUP(AI158,GLAPS정리!$BT$3:$BV$26,3,0)))</f>
        <v/>
      </c>
    </row>
    <row r="159" spans="2:90" ht="20.45" customHeight="1">
      <c r="B159" s="13" t="str">
        <f>IF(GLAPS자동계산!C158="","",GLAPS자동계산!C158)</f>
        <v/>
      </c>
      <c r="C159" s="3" t="str">
        <f>IF(GLAPS자동계산!D158="","",GLAPS자동계산!D158)</f>
        <v/>
      </c>
      <c r="D159" s="16" t="str">
        <f>IF(GLAPS자동계산!E158="","",GLAPS자동계산!E158)</f>
        <v/>
      </c>
      <c r="E159" s="11" t="str">
        <f>IF(GLAPS자동계산!F158="","",GLAPS자동계산!F158)</f>
        <v/>
      </c>
      <c r="F159" s="3" t="str">
        <f>IF(GLAPS자동계산!G158="","",GLAPS자동계산!G158)</f>
        <v/>
      </c>
      <c r="G159" s="3" t="str">
        <f>IF(GLAPS자동계산!H158="","",GLAPS자동계산!H158)</f>
        <v/>
      </c>
      <c r="H159" s="3" t="str">
        <f>IF(GLAPS자동계산!I158="","",GLAPS자동계산!I158)</f>
        <v/>
      </c>
      <c r="I159" s="3" t="str">
        <f>IF(GLAPS자동계산!J158="","",GLAPS자동계산!J158)</f>
        <v/>
      </c>
      <c r="J159" s="3" t="str">
        <f>IF(GLAPS자동계산!K158="","",GLAPS자동계산!K158)</f>
        <v/>
      </c>
      <c r="K159" s="3" t="str">
        <f>IF(GLAPS자동계산!L158="","",GLAPS자동계산!L158)</f>
        <v/>
      </c>
      <c r="L159" s="3" t="str">
        <f>IF(GLAPS자동계산!M158="","",GLAPS자동계산!M158)</f>
        <v/>
      </c>
      <c r="M159" s="3" t="str">
        <f>IF(GLAPS자동계산!N158="","",GLAPS자동계산!N158)</f>
        <v/>
      </c>
      <c r="N159" s="3" t="str">
        <f>IF(GLAPS자동계산!O158="","",GLAPS자동계산!O158)</f>
        <v/>
      </c>
      <c r="O159" s="3" t="str">
        <f>IF(GLAPS자동계산!P158="","",GLAPS자동계산!P158)</f>
        <v/>
      </c>
      <c r="P159" s="2" t="str">
        <f>IF(GLAPS자동계산!Q158="","",GLAPS자동계산!Q158)</f>
        <v/>
      </c>
      <c r="Q159" s="3" t="str">
        <f>IF(GLAPS자동계산!R158="","",GLAPS자동계산!R158)</f>
        <v/>
      </c>
      <c r="R159" s="3" t="str">
        <f>IF(GLAPS자동계산!S158="","",GLAPS자동계산!S158)</f>
        <v/>
      </c>
      <c r="S159" s="3" t="str">
        <f>IF(GLAPS자동계산!T158="","",GLAPS자동계산!T158)</f>
        <v/>
      </c>
      <c r="T159" s="3" t="str">
        <f>IF(GLAPS자동계산!U158="","",GLAPS자동계산!U158)</f>
        <v/>
      </c>
      <c r="U159" s="3" t="str">
        <f>IF(GLAPS자동계산!V158="","",GLAPS자동계산!V158)</f>
        <v/>
      </c>
      <c r="V159" s="3" t="str">
        <f>IF(GLAPS자동계산!W158="","",GLAPS자동계산!W158)</f>
        <v/>
      </c>
      <c r="W159" s="14" t="str">
        <f>IF(GLAPS자동계산!X158="","",GLAPS자동계산!X158)</f>
        <v/>
      </c>
      <c r="X159" s="13" t="str">
        <f>IF(GLAPS자동계산!Y158="","",GLAPS자동계산!Y158)</f>
        <v/>
      </c>
      <c r="Y159" s="13" t="str">
        <f>IF(GLAPS자동계산!Z158="","",GLAPS자동계산!Z158)</f>
        <v/>
      </c>
      <c r="Z159" s="91" t="str">
        <f>IF(GLAPS자동계산!AA158="","",GLAPS자동계산!AA158)</f>
        <v/>
      </c>
      <c r="AA159" s="14" t="str">
        <f>IF(GLAPS자동계산!AB158="","",GLAPS자동계산!AB158)</f>
        <v/>
      </c>
      <c r="AC159" s="2" t="str">
        <f>IF($B159="","",$AC$1)</f>
        <v/>
      </c>
      <c r="AD159" s="2" t="str">
        <f>IF($B159="","",IFERROR(INDEX(GLAPS정리!$D$2:$D$50,MATCH(I159,GLAPS정리!$A$2:$A$50,0)),IFERROR(INDEX(GLAPS정리!$D$2:$D$50,MATCH(I159,GLAPS정리!$B$2:$B$50,0)),"")))</f>
        <v/>
      </c>
      <c r="AF159" s="2" t="str">
        <f>IF($B159="","",$AF$1)</f>
        <v/>
      </c>
      <c r="AI159" s="2" t="str">
        <f>IF($B159="","",IF(F159="","",VLOOKUP(F159,GLAPS정리!$G$3:$J$114,2,0)))</f>
        <v/>
      </c>
      <c r="AJ159" s="2" t="str">
        <f>IF($B159="","",IF(Z159="울산정일","KRONS",IF(Z159="울산신항","KRUSN",IF(OR(Z159="선광종합물류(인천여객)",Z159="인천여객(인천여객)"),"KRINF",IF(OR(Z159="선광인천보세(인천신)",Z159="한진인천(인천신)",Z159="선광인천신항(인천신)",Z159="인천더로지스(인천신)"),"KRINN",IF(OR(Z159="인천진아(인천항)",Z159="인천E1(인천항)",Z159="인천SM경인터미널(인천항)",Z159="인천항(인천항)",Z159="인천우련(인천항)",Z159="인천항8부두(인천항)"),"KRINC",VLOOKUP(K159,GLAPS정리!$BB$2:$BC$33,2,0)))))))</f>
        <v/>
      </c>
      <c r="AL159" s="2" t="str">
        <f>IF($B159="","",$AL$1)</f>
        <v/>
      </c>
      <c r="AN159" s="70" t="str">
        <f>IF($B159="","",TEXT(B159,"YYYY-MM-DD"))</f>
        <v/>
      </c>
      <c r="AO159" s="2" t="str">
        <f>IF($B159="","",IF(E159="오전", "0800", IF(E159="오후", "1300", IF(E159="잔업", "1800", ""))))</f>
        <v/>
      </c>
      <c r="AP159" s="2" t="str">
        <f>IF($B159="","",IF(C159="","",VLOOKUP(C159,GLAPS정리!$AX$2:$AZ$17,3,0)))</f>
        <v/>
      </c>
      <c r="AR159" s="2" t="str">
        <f>IF($B159="","",IF(X159="","",X159))</f>
        <v/>
      </c>
      <c r="AX159" s="2" t="str">
        <f>IF($B159="","",IF(L159="","",VLOOKUP(L159,GLAPS정리!$V$3:$W$180,2,0)))</f>
        <v/>
      </c>
      <c r="BM159" s="2" t="str">
        <f>IF($B159="","",IF(AND(Q159=1,OR(P159="",P159="위험물")), "2210", IF(AND(Q159=1,OR(P159="리퍼",P159="위험물리퍼")), "2230", IF(AND(S159=1,OR(P159="",P159="위험물")), "4510", IF(AND(S159=1,OR(P159="리퍼",P159="위험물리퍼")), "4530", IF(AND(R159=1,OR(P159="",P159="위험물")), "4210", IF(AND(R159=1,P159="리퍼"), "4230", " ")))))))</f>
        <v/>
      </c>
      <c r="BN159" s="2" t="str">
        <f>IF($B159="","",$BN$1)</f>
        <v/>
      </c>
      <c r="BR159" s="2" t="str">
        <f>IF($B159="","",IF(OR(P159="리퍼",P159="위험물리퍼"),"Y",""))</f>
        <v/>
      </c>
      <c r="BS159" s="2" t="str">
        <f>IF($B159="","",IF(OR(P159="위험물",P159="위험물리퍼"),"Y",""))</f>
        <v/>
      </c>
      <c r="BV159" s="2" t="str">
        <f>IF($B159="","",IF(O159="","",VLOOKUP(O159,GLAPS정리!$BH$2:$BI$94,2,0)))</f>
        <v/>
      </c>
      <c r="BW159" s="2" t="str">
        <f>IF($B159="","",IF(OR(Z159="동원",Z159="세방",Z159="한타"),"",IFERROR(INDEX(GLAPS정리!$BI$2:$BI$101,MATCH(Z159,GLAPS정리!$BH$2:$BH$101,0)),"")))</f>
        <v/>
      </c>
      <c r="BX159" s="2" t="str">
        <f>IF($B159="","",IF(Z159="","",IFERROR(VLOOKUP(Z159,GLAPS정리!$AX$2:$AZ$17,3,0),"")))</f>
        <v/>
      </c>
      <c r="BZ159" s="2" t="str">
        <f>IF($B159="","",IF(H159="","",VLOOKUP(H159,GLAPS정리!$L$3:$O$133,2,0)))</f>
        <v/>
      </c>
      <c r="CA159" s="2" t="str">
        <f>IF($B159="","",IF(V159="공휴일", 10, IF(V159="야간", 20, IF(V159="위험물", 30, IF(V159="중량", 40, "")))))</f>
        <v/>
      </c>
      <c r="CL159" s="2" t="str">
        <f>IF($B159="","",IF(AI159="","",VLOOKUP(AI159,GLAPS정리!$BT$3:$BV$26,3,0)))</f>
        <v/>
      </c>
    </row>
    <row r="160" spans="2:90" ht="20.45" customHeight="1">
      <c r="B160" s="13" t="str">
        <f>IF(GLAPS자동계산!C159="","",GLAPS자동계산!C159)</f>
        <v/>
      </c>
      <c r="C160" s="3" t="str">
        <f>IF(GLAPS자동계산!D159="","",GLAPS자동계산!D159)</f>
        <v/>
      </c>
      <c r="D160" s="16" t="str">
        <f>IF(GLAPS자동계산!E159="","",GLAPS자동계산!E159)</f>
        <v/>
      </c>
      <c r="E160" s="11" t="str">
        <f>IF(GLAPS자동계산!F159="","",GLAPS자동계산!F159)</f>
        <v/>
      </c>
      <c r="F160" s="3" t="str">
        <f>IF(GLAPS자동계산!G159="","",GLAPS자동계산!G159)</f>
        <v/>
      </c>
      <c r="G160" s="3" t="str">
        <f>IF(GLAPS자동계산!H159="","",GLAPS자동계산!H159)</f>
        <v/>
      </c>
      <c r="H160" s="3" t="str">
        <f>IF(GLAPS자동계산!I159="","",GLAPS자동계산!I159)</f>
        <v/>
      </c>
      <c r="I160" s="3" t="str">
        <f>IF(GLAPS자동계산!J159="","",GLAPS자동계산!J159)</f>
        <v/>
      </c>
      <c r="J160" s="3" t="str">
        <f>IF(GLAPS자동계산!K159="","",GLAPS자동계산!K159)</f>
        <v/>
      </c>
      <c r="K160" s="3" t="str">
        <f>IF(GLAPS자동계산!L159="","",GLAPS자동계산!L159)</f>
        <v/>
      </c>
      <c r="L160" s="3" t="str">
        <f>IF(GLAPS자동계산!M159="","",GLAPS자동계산!M159)</f>
        <v/>
      </c>
      <c r="M160" s="3" t="str">
        <f>IF(GLAPS자동계산!N159="","",GLAPS자동계산!N159)</f>
        <v/>
      </c>
      <c r="N160" s="3" t="str">
        <f>IF(GLAPS자동계산!O159="","",GLAPS자동계산!O159)</f>
        <v/>
      </c>
      <c r="O160" s="3" t="str">
        <f>IF(GLAPS자동계산!P159="","",GLAPS자동계산!P159)</f>
        <v/>
      </c>
      <c r="P160" s="2" t="str">
        <f>IF(GLAPS자동계산!Q159="","",GLAPS자동계산!Q159)</f>
        <v/>
      </c>
      <c r="Q160" s="3" t="str">
        <f>IF(GLAPS자동계산!R159="","",GLAPS자동계산!R159)</f>
        <v/>
      </c>
      <c r="R160" s="3" t="str">
        <f>IF(GLAPS자동계산!S159="","",GLAPS자동계산!S159)</f>
        <v/>
      </c>
      <c r="S160" s="3" t="str">
        <f>IF(GLAPS자동계산!T159="","",GLAPS자동계산!T159)</f>
        <v/>
      </c>
      <c r="T160" s="3" t="str">
        <f>IF(GLAPS자동계산!U159="","",GLAPS자동계산!U159)</f>
        <v/>
      </c>
      <c r="U160" s="3" t="str">
        <f>IF(GLAPS자동계산!V159="","",GLAPS자동계산!V159)</f>
        <v/>
      </c>
      <c r="V160" s="3" t="str">
        <f>IF(GLAPS자동계산!W159="","",GLAPS자동계산!W159)</f>
        <v/>
      </c>
      <c r="W160" s="14" t="str">
        <f>IF(GLAPS자동계산!X159="","",GLAPS자동계산!X159)</f>
        <v/>
      </c>
      <c r="X160" s="13" t="str">
        <f>IF(GLAPS자동계산!Y159="","",GLAPS자동계산!Y159)</f>
        <v/>
      </c>
      <c r="Y160" s="13" t="str">
        <f>IF(GLAPS자동계산!Z159="","",GLAPS자동계산!Z159)</f>
        <v/>
      </c>
      <c r="Z160" s="91" t="str">
        <f>IF(GLAPS자동계산!AA159="","",GLAPS자동계산!AA159)</f>
        <v/>
      </c>
      <c r="AA160" s="14" t="str">
        <f>IF(GLAPS자동계산!AB159="","",GLAPS자동계산!AB159)</f>
        <v/>
      </c>
      <c r="AC160" s="2" t="str">
        <f>IF($B160="","",$AC$1)</f>
        <v/>
      </c>
      <c r="AD160" s="2" t="str">
        <f>IF($B160="","",IFERROR(INDEX(GLAPS정리!$D$2:$D$50,MATCH(I160,GLAPS정리!$A$2:$A$50,0)),IFERROR(INDEX(GLAPS정리!$D$2:$D$50,MATCH(I160,GLAPS정리!$B$2:$B$50,0)),"")))</f>
        <v/>
      </c>
      <c r="AF160" s="2" t="str">
        <f>IF($B160="","",$AF$1)</f>
        <v/>
      </c>
      <c r="AI160" s="2" t="str">
        <f>IF($B160="","",IF(F160="","",VLOOKUP(F160,GLAPS정리!$G$3:$J$114,2,0)))</f>
        <v/>
      </c>
      <c r="AJ160" s="2" t="str">
        <f>IF($B160="","",IF(Z160="울산정일","KRONS",IF(Z160="울산신항","KRUSN",IF(OR(Z160="선광종합물류(인천여객)",Z160="인천여객(인천여객)"),"KRINF",IF(OR(Z160="선광인천보세(인천신)",Z160="한진인천(인천신)",Z160="선광인천신항(인천신)",Z160="인천더로지스(인천신)"),"KRINN",IF(OR(Z160="인천진아(인천항)",Z160="인천E1(인천항)",Z160="인천SM경인터미널(인천항)",Z160="인천항(인천항)",Z160="인천우련(인천항)",Z160="인천항8부두(인천항)"),"KRINC",VLOOKUP(K160,GLAPS정리!$BB$2:$BC$33,2,0)))))))</f>
        <v/>
      </c>
      <c r="AL160" s="2" t="str">
        <f>IF($B160="","",$AL$1)</f>
        <v/>
      </c>
      <c r="AN160" s="70" t="str">
        <f>IF($B160="","",TEXT(B160,"YYYY-MM-DD"))</f>
        <v/>
      </c>
      <c r="AO160" s="2" t="str">
        <f>IF($B160="","",IF(E160="오전", "0800", IF(E160="오후", "1300", IF(E160="잔업", "1800", ""))))</f>
        <v/>
      </c>
      <c r="AP160" s="2" t="str">
        <f>IF($B160="","",IF(C160="","",VLOOKUP(C160,GLAPS정리!$AX$2:$AZ$17,3,0)))</f>
        <v/>
      </c>
      <c r="AR160" s="2" t="str">
        <f>IF($B160="","",IF(X160="","",X160))</f>
        <v/>
      </c>
      <c r="AX160" s="2" t="str">
        <f>IF($B160="","",IF(L160="","",VLOOKUP(L160,GLAPS정리!$V$3:$W$180,2,0)))</f>
        <v/>
      </c>
      <c r="BM160" s="2" t="str">
        <f>IF($B160="","",IF(AND(Q160=1,OR(P160="",P160="위험물")), "2210", IF(AND(Q160=1,OR(P160="리퍼",P160="위험물리퍼")), "2230", IF(AND(S160=1,OR(P160="",P160="위험물")), "4510", IF(AND(S160=1,OR(P160="리퍼",P160="위험물리퍼")), "4530", IF(AND(R160=1,OR(P160="",P160="위험물")), "4210", IF(AND(R160=1,P160="리퍼"), "4230", " ")))))))</f>
        <v/>
      </c>
      <c r="BN160" s="2" t="str">
        <f>IF($B160="","",$BN$1)</f>
        <v/>
      </c>
      <c r="BR160" s="2" t="str">
        <f>IF($B160="","",IF(OR(P160="리퍼",P160="위험물리퍼"),"Y",""))</f>
        <v/>
      </c>
      <c r="BS160" s="2" t="str">
        <f>IF($B160="","",IF(OR(P160="위험물",P160="위험물리퍼"),"Y",""))</f>
        <v/>
      </c>
      <c r="BV160" s="2" t="str">
        <f>IF($B160="","",IF(O160="","",VLOOKUP(O160,GLAPS정리!$BH$2:$BI$94,2,0)))</f>
        <v/>
      </c>
      <c r="BW160" s="2" t="str">
        <f>IF($B160="","",IF(OR(Z160="동원",Z160="세방",Z160="한타"),"",IFERROR(INDEX(GLAPS정리!$BI$2:$BI$101,MATCH(Z160,GLAPS정리!$BH$2:$BH$101,0)),"")))</f>
        <v/>
      </c>
      <c r="BX160" s="2" t="str">
        <f>IF($B160="","",IF(Z160="","",IFERROR(VLOOKUP(Z160,GLAPS정리!$AX$2:$AZ$17,3,0),"")))</f>
        <v/>
      </c>
      <c r="BZ160" s="2" t="str">
        <f>IF($B160="","",IF(H160="","",VLOOKUP(H160,GLAPS정리!$L$3:$O$133,2,0)))</f>
        <v/>
      </c>
      <c r="CA160" s="2" t="str">
        <f>IF($B160="","",IF(V160="공휴일", 10, IF(V160="야간", 20, IF(V160="위험물", 30, IF(V160="중량", 40, "")))))</f>
        <v/>
      </c>
      <c r="CL160" s="2" t="str">
        <f>IF($B160="","",IF(AI160="","",VLOOKUP(AI160,GLAPS정리!$BT$3:$BV$26,3,0)))</f>
        <v/>
      </c>
    </row>
    <row r="161" spans="2:90" ht="20.45" customHeight="1">
      <c r="B161" s="13" t="str">
        <f>IF(GLAPS자동계산!C160="","",GLAPS자동계산!C160)</f>
        <v/>
      </c>
      <c r="C161" s="3" t="str">
        <f>IF(GLAPS자동계산!D160="","",GLAPS자동계산!D160)</f>
        <v/>
      </c>
      <c r="D161" s="16" t="str">
        <f>IF(GLAPS자동계산!E160="","",GLAPS자동계산!E160)</f>
        <v/>
      </c>
      <c r="E161" s="11" t="str">
        <f>IF(GLAPS자동계산!F160="","",GLAPS자동계산!F160)</f>
        <v/>
      </c>
      <c r="F161" s="3" t="str">
        <f>IF(GLAPS자동계산!G160="","",GLAPS자동계산!G160)</f>
        <v/>
      </c>
      <c r="G161" s="3" t="str">
        <f>IF(GLAPS자동계산!H160="","",GLAPS자동계산!H160)</f>
        <v/>
      </c>
      <c r="H161" s="3" t="str">
        <f>IF(GLAPS자동계산!I160="","",GLAPS자동계산!I160)</f>
        <v/>
      </c>
      <c r="I161" s="3" t="str">
        <f>IF(GLAPS자동계산!J160="","",GLAPS자동계산!J160)</f>
        <v/>
      </c>
      <c r="J161" s="3" t="str">
        <f>IF(GLAPS자동계산!K160="","",GLAPS자동계산!K160)</f>
        <v/>
      </c>
      <c r="K161" s="3" t="str">
        <f>IF(GLAPS자동계산!L160="","",GLAPS자동계산!L160)</f>
        <v/>
      </c>
      <c r="L161" s="3" t="str">
        <f>IF(GLAPS자동계산!M160="","",GLAPS자동계산!M160)</f>
        <v/>
      </c>
      <c r="M161" s="3" t="str">
        <f>IF(GLAPS자동계산!N160="","",GLAPS자동계산!N160)</f>
        <v/>
      </c>
      <c r="N161" s="3" t="str">
        <f>IF(GLAPS자동계산!O160="","",GLAPS자동계산!O160)</f>
        <v/>
      </c>
      <c r="O161" s="3" t="str">
        <f>IF(GLAPS자동계산!P160="","",GLAPS자동계산!P160)</f>
        <v/>
      </c>
      <c r="P161" s="2" t="str">
        <f>IF(GLAPS자동계산!Q160="","",GLAPS자동계산!Q160)</f>
        <v/>
      </c>
      <c r="Q161" s="3" t="str">
        <f>IF(GLAPS자동계산!R160="","",GLAPS자동계산!R160)</f>
        <v/>
      </c>
      <c r="R161" s="3" t="str">
        <f>IF(GLAPS자동계산!S160="","",GLAPS자동계산!S160)</f>
        <v/>
      </c>
      <c r="S161" s="3" t="str">
        <f>IF(GLAPS자동계산!T160="","",GLAPS자동계산!T160)</f>
        <v/>
      </c>
      <c r="T161" s="3" t="str">
        <f>IF(GLAPS자동계산!U160="","",GLAPS자동계산!U160)</f>
        <v/>
      </c>
      <c r="U161" s="3" t="str">
        <f>IF(GLAPS자동계산!V160="","",GLAPS자동계산!V160)</f>
        <v/>
      </c>
      <c r="V161" s="3" t="str">
        <f>IF(GLAPS자동계산!W160="","",GLAPS자동계산!W160)</f>
        <v/>
      </c>
      <c r="W161" s="14" t="str">
        <f>IF(GLAPS자동계산!X160="","",GLAPS자동계산!X160)</f>
        <v/>
      </c>
      <c r="X161" s="13" t="str">
        <f>IF(GLAPS자동계산!Y160="","",GLAPS자동계산!Y160)</f>
        <v/>
      </c>
      <c r="Y161" s="13" t="str">
        <f>IF(GLAPS자동계산!Z160="","",GLAPS자동계산!Z160)</f>
        <v/>
      </c>
      <c r="Z161" s="91" t="str">
        <f>IF(GLAPS자동계산!AA160="","",GLAPS자동계산!AA160)</f>
        <v/>
      </c>
      <c r="AA161" s="14" t="str">
        <f>IF(GLAPS자동계산!AB160="","",GLAPS자동계산!AB160)</f>
        <v/>
      </c>
      <c r="AC161" s="2" t="str">
        <f>IF($B161="","",$AC$1)</f>
        <v/>
      </c>
      <c r="AD161" s="2" t="str">
        <f>IF($B161="","",IFERROR(INDEX(GLAPS정리!$D$2:$D$50,MATCH(I161,GLAPS정리!$A$2:$A$50,0)),IFERROR(INDEX(GLAPS정리!$D$2:$D$50,MATCH(I161,GLAPS정리!$B$2:$B$50,0)),"")))</f>
        <v/>
      </c>
      <c r="AF161" s="2" t="str">
        <f>IF($B161="","",$AF$1)</f>
        <v/>
      </c>
      <c r="AI161" s="2" t="str">
        <f>IF($B161="","",IF(F161="","",VLOOKUP(F161,GLAPS정리!$G$3:$J$114,2,0)))</f>
        <v/>
      </c>
      <c r="AJ161" s="2" t="str">
        <f>IF($B161="","",IF(Z161="울산정일","KRONS",IF(Z161="울산신항","KRUSN",IF(OR(Z161="선광종합물류(인천여객)",Z161="인천여객(인천여객)"),"KRINF",IF(OR(Z161="선광인천보세(인천신)",Z161="한진인천(인천신)",Z161="선광인천신항(인천신)",Z161="인천더로지스(인천신)"),"KRINN",IF(OR(Z161="인천진아(인천항)",Z161="인천E1(인천항)",Z161="인천SM경인터미널(인천항)",Z161="인천항(인천항)",Z161="인천우련(인천항)",Z161="인천항8부두(인천항)"),"KRINC",VLOOKUP(K161,GLAPS정리!$BB$2:$BC$33,2,0)))))))</f>
        <v/>
      </c>
      <c r="AL161" s="2" t="str">
        <f>IF($B161="","",$AL$1)</f>
        <v/>
      </c>
      <c r="AN161" s="70" t="str">
        <f>IF($B161="","",TEXT(B161,"YYYY-MM-DD"))</f>
        <v/>
      </c>
      <c r="AO161" s="2" t="str">
        <f>IF($B161="","",IF(E161="오전", "0800", IF(E161="오후", "1300", IF(E161="잔업", "1800", ""))))</f>
        <v/>
      </c>
      <c r="AP161" s="2" t="str">
        <f>IF($B161="","",IF(C161="","",VLOOKUP(C161,GLAPS정리!$AX$2:$AZ$17,3,0)))</f>
        <v/>
      </c>
      <c r="AR161" s="2" t="str">
        <f>IF($B161="","",IF(X161="","",X161))</f>
        <v/>
      </c>
      <c r="AX161" s="2" t="str">
        <f>IF($B161="","",IF(L161="","",VLOOKUP(L161,GLAPS정리!$V$3:$W$180,2,0)))</f>
        <v/>
      </c>
      <c r="BM161" s="2" t="str">
        <f>IF($B161="","",IF(AND(Q161=1,OR(P161="",P161="위험물")), "2210", IF(AND(Q161=1,OR(P161="리퍼",P161="위험물리퍼")), "2230", IF(AND(S161=1,OR(P161="",P161="위험물")), "4510", IF(AND(S161=1,OR(P161="리퍼",P161="위험물리퍼")), "4530", IF(AND(R161=1,OR(P161="",P161="위험물")), "4210", IF(AND(R161=1,P161="리퍼"), "4230", " ")))))))</f>
        <v/>
      </c>
      <c r="BN161" s="2" t="str">
        <f>IF($B161="","",$BN$1)</f>
        <v/>
      </c>
      <c r="BR161" s="2" t="str">
        <f>IF($B161="","",IF(OR(P161="리퍼",P161="위험물리퍼"),"Y",""))</f>
        <v/>
      </c>
      <c r="BS161" s="2" t="str">
        <f>IF($B161="","",IF(OR(P161="위험물",P161="위험물리퍼"),"Y",""))</f>
        <v/>
      </c>
      <c r="BV161" s="2" t="str">
        <f>IF($B161="","",IF(O161="","",VLOOKUP(O161,GLAPS정리!$BH$2:$BI$94,2,0)))</f>
        <v/>
      </c>
      <c r="BW161" s="2" t="str">
        <f>IF($B161="","",IF(OR(Z161="동원",Z161="세방",Z161="한타"),"",IFERROR(INDEX(GLAPS정리!$BI$2:$BI$101,MATCH(Z161,GLAPS정리!$BH$2:$BH$101,0)),"")))</f>
        <v/>
      </c>
      <c r="BX161" s="2" t="str">
        <f>IF($B161="","",IF(Z161="","",IFERROR(VLOOKUP(Z161,GLAPS정리!$AX$2:$AZ$17,3,0),"")))</f>
        <v/>
      </c>
      <c r="BZ161" s="2" t="str">
        <f>IF($B161="","",IF(H161="","",VLOOKUP(H161,GLAPS정리!$L$3:$O$133,2,0)))</f>
        <v/>
      </c>
      <c r="CA161" s="2" t="str">
        <f>IF($B161="","",IF(V161="공휴일", 10, IF(V161="야간", 20, IF(V161="위험물", 30, IF(V161="중량", 40, "")))))</f>
        <v/>
      </c>
      <c r="CL161" s="2" t="str">
        <f>IF($B161="","",IF(AI161="","",VLOOKUP(AI161,GLAPS정리!$BT$3:$BV$26,3,0)))</f>
        <v/>
      </c>
    </row>
    <row r="162" spans="2:90" ht="20.45" customHeight="1">
      <c r="B162" s="13" t="str">
        <f>IF(GLAPS자동계산!C161="","",GLAPS자동계산!C161)</f>
        <v/>
      </c>
      <c r="C162" s="3" t="str">
        <f>IF(GLAPS자동계산!D161="","",GLAPS자동계산!D161)</f>
        <v/>
      </c>
      <c r="D162" s="16" t="str">
        <f>IF(GLAPS자동계산!E161="","",GLAPS자동계산!E161)</f>
        <v/>
      </c>
      <c r="E162" s="11" t="str">
        <f>IF(GLAPS자동계산!F161="","",GLAPS자동계산!F161)</f>
        <v/>
      </c>
      <c r="F162" s="3" t="str">
        <f>IF(GLAPS자동계산!G161="","",GLAPS자동계산!G161)</f>
        <v/>
      </c>
      <c r="G162" s="3" t="str">
        <f>IF(GLAPS자동계산!H161="","",GLAPS자동계산!H161)</f>
        <v/>
      </c>
      <c r="H162" s="3" t="str">
        <f>IF(GLAPS자동계산!I161="","",GLAPS자동계산!I161)</f>
        <v/>
      </c>
      <c r="I162" s="3" t="str">
        <f>IF(GLAPS자동계산!J161="","",GLAPS자동계산!J161)</f>
        <v/>
      </c>
      <c r="J162" s="3" t="str">
        <f>IF(GLAPS자동계산!K161="","",GLAPS자동계산!K161)</f>
        <v/>
      </c>
      <c r="K162" s="3" t="str">
        <f>IF(GLAPS자동계산!L161="","",GLAPS자동계산!L161)</f>
        <v/>
      </c>
      <c r="L162" s="3" t="str">
        <f>IF(GLAPS자동계산!M161="","",GLAPS자동계산!M161)</f>
        <v/>
      </c>
      <c r="M162" s="3" t="str">
        <f>IF(GLAPS자동계산!N161="","",GLAPS자동계산!N161)</f>
        <v/>
      </c>
      <c r="N162" s="3" t="str">
        <f>IF(GLAPS자동계산!O161="","",GLAPS자동계산!O161)</f>
        <v/>
      </c>
      <c r="O162" s="3" t="str">
        <f>IF(GLAPS자동계산!P161="","",GLAPS자동계산!P161)</f>
        <v/>
      </c>
      <c r="P162" s="2" t="str">
        <f>IF(GLAPS자동계산!Q161="","",GLAPS자동계산!Q161)</f>
        <v/>
      </c>
      <c r="Q162" s="3" t="str">
        <f>IF(GLAPS자동계산!R161="","",GLAPS자동계산!R161)</f>
        <v/>
      </c>
      <c r="R162" s="3" t="str">
        <f>IF(GLAPS자동계산!S161="","",GLAPS자동계산!S161)</f>
        <v/>
      </c>
      <c r="S162" s="3" t="str">
        <f>IF(GLAPS자동계산!T161="","",GLAPS자동계산!T161)</f>
        <v/>
      </c>
      <c r="T162" s="3" t="str">
        <f>IF(GLAPS자동계산!U161="","",GLAPS자동계산!U161)</f>
        <v/>
      </c>
      <c r="U162" s="3" t="str">
        <f>IF(GLAPS자동계산!V161="","",GLAPS자동계산!V161)</f>
        <v/>
      </c>
      <c r="V162" s="3" t="str">
        <f>IF(GLAPS자동계산!W161="","",GLAPS자동계산!W161)</f>
        <v/>
      </c>
      <c r="W162" s="14" t="str">
        <f>IF(GLAPS자동계산!X161="","",GLAPS자동계산!X161)</f>
        <v/>
      </c>
      <c r="X162" s="13" t="str">
        <f>IF(GLAPS자동계산!Y161="","",GLAPS자동계산!Y161)</f>
        <v/>
      </c>
      <c r="Y162" s="13" t="str">
        <f>IF(GLAPS자동계산!Z161="","",GLAPS자동계산!Z161)</f>
        <v/>
      </c>
      <c r="Z162" s="91" t="str">
        <f>IF(GLAPS자동계산!AA161="","",GLAPS자동계산!AA161)</f>
        <v/>
      </c>
      <c r="AA162" s="14" t="str">
        <f>IF(GLAPS자동계산!AB161="","",GLAPS자동계산!AB161)</f>
        <v/>
      </c>
      <c r="AC162" s="2" t="str">
        <f>IF($B162="","",$AC$1)</f>
        <v/>
      </c>
      <c r="AD162" s="2" t="str">
        <f>IF($B162="","",IFERROR(INDEX(GLAPS정리!$D$2:$D$50,MATCH(I162,GLAPS정리!$A$2:$A$50,0)),IFERROR(INDEX(GLAPS정리!$D$2:$D$50,MATCH(I162,GLAPS정리!$B$2:$B$50,0)),"")))</f>
        <v/>
      </c>
      <c r="AF162" s="2" t="str">
        <f>IF($B162="","",$AF$1)</f>
        <v/>
      </c>
      <c r="AI162" s="2" t="str">
        <f>IF($B162="","",IF(F162="","",VLOOKUP(F162,GLAPS정리!$G$3:$J$114,2,0)))</f>
        <v/>
      </c>
      <c r="AJ162" s="2" t="str">
        <f>IF($B162="","",IF(Z162="울산정일","KRONS",IF(Z162="울산신항","KRUSN",IF(OR(Z162="선광종합물류(인천여객)",Z162="인천여객(인천여객)"),"KRINF",IF(OR(Z162="선광인천보세(인천신)",Z162="한진인천(인천신)",Z162="선광인천신항(인천신)",Z162="인천더로지스(인천신)"),"KRINN",IF(OR(Z162="인천진아(인천항)",Z162="인천E1(인천항)",Z162="인천SM경인터미널(인천항)",Z162="인천항(인천항)",Z162="인천우련(인천항)",Z162="인천항8부두(인천항)"),"KRINC",VLOOKUP(K162,GLAPS정리!$BB$2:$BC$33,2,0)))))))</f>
        <v/>
      </c>
      <c r="AL162" s="2" t="str">
        <f>IF($B162="","",$AL$1)</f>
        <v/>
      </c>
      <c r="AN162" s="70" t="str">
        <f>IF($B162="","",TEXT(B162,"YYYY-MM-DD"))</f>
        <v/>
      </c>
      <c r="AO162" s="2" t="str">
        <f>IF($B162="","",IF(E162="오전", "0800", IF(E162="오후", "1300", IF(E162="잔업", "1800", ""))))</f>
        <v/>
      </c>
      <c r="AP162" s="2" t="str">
        <f>IF($B162="","",IF(C162="","",VLOOKUP(C162,GLAPS정리!$AX$2:$AZ$17,3,0)))</f>
        <v/>
      </c>
      <c r="AR162" s="2" t="str">
        <f>IF($B162="","",IF(X162="","",X162))</f>
        <v/>
      </c>
      <c r="AX162" s="2" t="str">
        <f>IF($B162="","",IF(L162="","",VLOOKUP(L162,GLAPS정리!$V$3:$W$180,2,0)))</f>
        <v/>
      </c>
      <c r="BM162" s="2" t="str">
        <f>IF($B162="","",IF(AND(Q162=1,OR(P162="",P162="위험물")), "2210", IF(AND(Q162=1,OR(P162="리퍼",P162="위험물리퍼")), "2230", IF(AND(S162=1,OR(P162="",P162="위험물")), "4510", IF(AND(S162=1,OR(P162="리퍼",P162="위험물리퍼")), "4530", IF(AND(R162=1,OR(P162="",P162="위험물")), "4210", IF(AND(R162=1,P162="리퍼"), "4230", " ")))))))</f>
        <v/>
      </c>
      <c r="BN162" s="2" t="str">
        <f>IF($B162="","",$BN$1)</f>
        <v/>
      </c>
      <c r="BR162" s="2" t="str">
        <f>IF($B162="","",IF(OR(P162="리퍼",P162="위험물리퍼"),"Y",""))</f>
        <v/>
      </c>
      <c r="BS162" s="2" t="str">
        <f>IF($B162="","",IF(OR(P162="위험물",P162="위험물리퍼"),"Y",""))</f>
        <v/>
      </c>
      <c r="BV162" s="2" t="str">
        <f>IF($B162="","",IF(O162="","",VLOOKUP(O162,GLAPS정리!$BH$2:$BI$94,2,0)))</f>
        <v/>
      </c>
      <c r="BW162" s="2" t="str">
        <f>IF($B162="","",IF(OR(Z162="동원",Z162="세방",Z162="한타"),"",IFERROR(INDEX(GLAPS정리!$BI$2:$BI$101,MATCH(Z162,GLAPS정리!$BH$2:$BH$101,0)),"")))</f>
        <v/>
      </c>
      <c r="BX162" s="2" t="str">
        <f>IF($B162="","",IF(Z162="","",IFERROR(VLOOKUP(Z162,GLAPS정리!$AX$2:$AZ$17,3,0),"")))</f>
        <v/>
      </c>
      <c r="BZ162" s="2" t="str">
        <f>IF($B162="","",IF(H162="","",VLOOKUP(H162,GLAPS정리!$L$3:$O$133,2,0)))</f>
        <v/>
      </c>
      <c r="CA162" s="2" t="str">
        <f>IF($B162="","",IF(V162="공휴일", 10, IF(V162="야간", 20, IF(V162="위험물", 30, IF(V162="중량", 40, "")))))</f>
        <v/>
      </c>
      <c r="CL162" s="2" t="str">
        <f>IF($B162="","",IF(AI162="","",VLOOKUP(AI162,GLAPS정리!$BT$3:$BV$26,3,0)))</f>
        <v/>
      </c>
    </row>
    <row r="163" spans="2:90" ht="20.45" customHeight="1">
      <c r="B163" s="13" t="str">
        <f>IF(GLAPS자동계산!C162="","",GLAPS자동계산!C162)</f>
        <v/>
      </c>
      <c r="C163" s="3" t="str">
        <f>IF(GLAPS자동계산!D162="","",GLAPS자동계산!D162)</f>
        <v/>
      </c>
      <c r="D163" s="16" t="str">
        <f>IF(GLAPS자동계산!E162="","",GLAPS자동계산!E162)</f>
        <v/>
      </c>
      <c r="E163" s="11" t="str">
        <f>IF(GLAPS자동계산!F162="","",GLAPS자동계산!F162)</f>
        <v/>
      </c>
      <c r="F163" s="3" t="str">
        <f>IF(GLAPS자동계산!G162="","",GLAPS자동계산!G162)</f>
        <v/>
      </c>
      <c r="G163" s="3" t="str">
        <f>IF(GLAPS자동계산!H162="","",GLAPS자동계산!H162)</f>
        <v/>
      </c>
      <c r="H163" s="3" t="str">
        <f>IF(GLAPS자동계산!I162="","",GLAPS자동계산!I162)</f>
        <v/>
      </c>
      <c r="I163" s="3" t="str">
        <f>IF(GLAPS자동계산!J162="","",GLAPS자동계산!J162)</f>
        <v/>
      </c>
      <c r="J163" s="3" t="str">
        <f>IF(GLAPS자동계산!K162="","",GLAPS자동계산!K162)</f>
        <v/>
      </c>
      <c r="K163" s="3" t="str">
        <f>IF(GLAPS자동계산!L162="","",GLAPS자동계산!L162)</f>
        <v/>
      </c>
      <c r="L163" s="3" t="str">
        <f>IF(GLAPS자동계산!M162="","",GLAPS자동계산!M162)</f>
        <v/>
      </c>
      <c r="M163" s="3" t="str">
        <f>IF(GLAPS자동계산!N162="","",GLAPS자동계산!N162)</f>
        <v/>
      </c>
      <c r="N163" s="3" t="str">
        <f>IF(GLAPS자동계산!O162="","",GLAPS자동계산!O162)</f>
        <v/>
      </c>
      <c r="O163" s="3" t="str">
        <f>IF(GLAPS자동계산!P162="","",GLAPS자동계산!P162)</f>
        <v/>
      </c>
      <c r="P163" s="2" t="str">
        <f>IF(GLAPS자동계산!Q162="","",GLAPS자동계산!Q162)</f>
        <v/>
      </c>
      <c r="Q163" s="3" t="str">
        <f>IF(GLAPS자동계산!R162="","",GLAPS자동계산!R162)</f>
        <v/>
      </c>
      <c r="R163" s="3" t="str">
        <f>IF(GLAPS자동계산!S162="","",GLAPS자동계산!S162)</f>
        <v/>
      </c>
      <c r="S163" s="3" t="str">
        <f>IF(GLAPS자동계산!T162="","",GLAPS자동계산!T162)</f>
        <v/>
      </c>
      <c r="T163" s="3" t="str">
        <f>IF(GLAPS자동계산!U162="","",GLAPS자동계산!U162)</f>
        <v/>
      </c>
      <c r="U163" s="3" t="str">
        <f>IF(GLAPS자동계산!V162="","",GLAPS자동계산!V162)</f>
        <v/>
      </c>
      <c r="V163" s="3" t="str">
        <f>IF(GLAPS자동계산!W162="","",GLAPS자동계산!W162)</f>
        <v/>
      </c>
      <c r="W163" s="14" t="str">
        <f>IF(GLAPS자동계산!X162="","",GLAPS자동계산!X162)</f>
        <v/>
      </c>
      <c r="X163" s="13" t="str">
        <f>IF(GLAPS자동계산!Y162="","",GLAPS자동계산!Y162)</f>
        <v/>
      </c>
      <c r="Y163" s="13" t="str">
        <f>IF(GLAPS자동계산!Z162="","",GLAPS자동계산!Z162)</f>
        <v/>
      </c>
      <c r="Z163" s="91" t="str">
        <f>IF(GLAPS자동계산!AA162="","",GLAPS자동계산!AA162)</f>
        <v/>
      </c>
      <c r="AA163" s="14" t="str">
        <f>IF(GLAPS자동계산!AB162="","",GLAPS자동계산!AB162)</f>
        <v/>
      </c>
      <c r="AC163" s="2" t="str">
        <f>IF($B163="","",$AC$1)</f>
        <v/>
      </c>
      <c r="AD163" s="2" t="str">
        <f>IF($B163="","",IFERROR(INDEX(GLAPS정리!$D$2:$D$50,MATCH(I163,GLAPS정리!$A$2:$A$50,0)),IFERROR(INDEX(GLAPS정리!$D$2:$D$50,MATCH(I163,GLAPS정리!$B$2:$B$50,0)),"")))</f>
        <v/>
      </c>
      <c r="AF163" s="2" t="str">
        <f>IF($B163="","",$AF$1)</f>
        <v/>
      </c>
      <c r="AI163" s="2" t="str">
        <f>IF($B163="","",IF(F163="","",VLOOKUP(F163,GLAPS정리!$G$3:$J$114,2,0)))</f>
        <v/>
      </c>
      <c r="AJ163" s="2" t="str">
        <f>IF($B163="","",IF(Z163="울산정일","KRONS",IF(Z163="울산신항","KRUSN",IF(OR(Z163="선광종합물류(인천여객)",Z163="인천여객(인천여객)"),"KRINF",IF(OR(Z163="선광인천보세(인천신)",Z163="한진인천(인천신)",Z163="선광인천신항(인천신)",Z163="인천더로지스(인천신)"),"KRINN",IF(OR(Z163="인천진아(인천항)",Z163="인천E1(인천항)",Z163="인천SM경인터미널(인천항)",Z163="인천항(인천항)",Z163="인천우련(인천항)",Z163="인천항8부두(인천항)"),"KRINC",VLOOKUP(K163,GLAPS정리!$BB$2:$BC$33,2,0)))))))</f>
        <v/>
      </c>
      <c r="AL163" s="2" t="str">
        <f>IF($B163="","",$AL$1)</f>
        <v/>
      </c>
      <c r="AN163" s="70" t="str">
        <f>IF($B163="","",TEXT(B163,"YYYY-MM-DD"))</f>
        <v/>
      </c>
      <c r="AO163" s="2" t="str">
        <f>IF($B163="","",IF(E163="오전", "0800", IF(E163="오후", "1300", IF(E163="잔업", "1800", ""))))</f>
        <v/>
      </c>
      <c r="AP163" s="2" t="str">
        <f>IF($B163="","",IF(C163="","",VLOOKUP(C163,GLAPS정리!$AX$2:$AZ$17,3,0)))</f>
        <v/>
      </c>
      <c r="AR163" s="2" t="str">
        <f>IF($B163="","",IF(X163="","",X163))</f>
        <v/>
      </c>
      <c r="AX163" s="2" t="str">
        <f>IF($B163="","",IF(L163="","",VLOOKUP(L163,GLAPS정리!$V$3:$W$180,2,0)))</f>
        <v/>
      </c>
      <c r="BM163" s="2" t="str">
        <f>IF($B163="","",IF(AND(Q163=1,OR(P163="",P163="위험물")), "2210", IF(AND(Q163=1,OR(P163="리퍼",P163="위험물리퍼")), "2230", IF(AND(S163=1,OR(P163="",P163="위험물")), "4510", IF(AND(S163=1,OR(P163="리퍼",P163="위험물리퍼")), "4530", IF(AND(R163=1,OR(P163="",P163="위험물")), "4210", IF(AND(R163=1,P163="리퍼"), "4230", " ")))))))</f>
        <v/>
      </c>
      <c r="BN163" s="2" t="str">
        <f>IF($B163="","",$BN$1)</f>
        <v/>
      </c>
      <c r="BR163" s="2" t="str">
        <f>IF($B163="","",IF(OR(P163="리퍼",P163="위험물리퍼"),"Y",""))</f>
        <v/>
      </c>
      <c r="BS163" s="2" t="str">
        <f>IF($B163="","",IF(OR(P163="위험물",P163="위험물리퍼"),"Y",""))</f>
        <v/>
      </c>
      <c r="BV163" s="2" t="str">
        <f>IF($B163="","",IF(O163="","",VLOOKUP(O163,GLAPS정리!$BH$2:$BI$94,2,0)))</f>
        <v/>
      </c>
      <c r="BW163" s="2" t="str">
        <f>IF($B163="","",IF(OR(Z163="동원",Z163="세방",Z163="한타"),"",IFERROR(INDEX(GLAPS정리!$BI$2:$BI$101,MATCH(Z163,GLAPS정리!$BH$2:$BH$101,0)),"")))</f>
        <v/>
      </c>
      <c r="BX163" s="2" t="str">
        <f>IF($B163="","",IF(Z163="","",IFERROR(VLOOKUP(Z163,GLAPS정리!$AX$2:$AZ$17,3,0),"")))</f>
        <v/>
      </c>
      <c r="BZ163" s="2" t="str">
        <f>IF($B163="","",IF(H163="","",VLOOKUP(H163,GLAPS정리!$L$3:$O$133,2,0)))</f>
        <v/>
      </c>
      <c r="CA163" s="2" t="str">
        <f>IF($B163="","",IF(V163="공휴일", 10, IF(V163="야간", 20, IF(V163="위험물", 30, IF(V163="중량", 40, "")))))</f>
        <v/>
      </c>
      <c r="CL163" s="2" t="str">
        <f>IF($B163="","",IF(AI163="","",VLOOKUP(AI163,GLAPS정리!$BT$3:$BV$26,3,0)))</f>
        <v/>
      </c>
    </row>
    <row r="164" spans="2:90" ht="20.45" customHeight="1">
      <c r="B164" s="13" t="str">
        <f>IF(GLAPS자동계산!C163="","",GLAPS자동계산!C163)</f>
        <v/>
      </c>
      <c r="C164" s="3" t="str">
        <f>IF(GLAPS자동계산!D163="","",GLAPS자동계산!D163)</f>
        <v/>
      </c>
      <c r="D164" s="16" t="str">
        <f>IF(GLAPS자동계산!E163="","",GLAPS자동계산!E163)</f>
        <v/>
      </c>
      <c r="E164" s="11" t="str">
        <f>IF(GLAPS자동계산!F163="","",GLAPS자동계산!F163)</f>
        <v/>
      </c>
      <c r="F164" s="3" t="str">
        <f>IF(GLAPS자동계산!G163="","",GLAPS자동계산!G163)</f>
        <v/>
      </c>
      <c r="G164" s="3" t="str">
        <f>IF(GLAPS자동계산!H163="","",GLAPS자동계산!H163)</f>
        <v/>
      </c>
      <c r="H164" s="3" t="str">
        <f>IF(GLAPS자동계산!I163="","",GLAPS자동계산!I163)</f>
        <v/>
      </c>
      <c r="I164" s="3" t="str">
        <f>IF(GLAPS자동계산!J163="","",GLAPS자동계산!J163)</f>
        <v/>
      </c>
      <c r="J164" s="3" t="str">
        <f>IF(GLAPS자동계산!K163="","",GLAPS자동계산!K163)</f>
        <v/>
      </c>
      <c r="K164" s="3" t="str">
        <f>IF(GLAPS자동계산!L163="","",GLAPS자동계산!L163)</f>
        <v/>
      </c>
      <c r="L164" s="3" t="str">
        <f>IF(GLAPS자동계산!M163="","",GLAPS자동계산!M163)</f>
        <v/>
      </c>
      <c r="M164" s="3" t="str">
        <f>IF(GLAPS자동계산!N163="","",GLAPS자동계산!N163)</f>
        <v/>
      </c>
      <c r="N164" s="3" t="str">
        <f>IF(GLAPS자동계산!O163="","",GLAPS자동계산!O163)</f>
        <v/>
      </c>
      <c r="O164" s="3" t="str">
        <f>IF(GLAPS자동계산!P163="","",GLAPS자동계산!P163)</f>
        <v/>
      </c>
      <c r="P164" s="2" t="str">
        <f>IF(GLAPS자동계산!Q163="","",GLAPS자동계산!Q163)</f>
        <v/>
      </c>
      <c r="Q164" s="3" t="str">
        <f>IF(GLAPS자동계산!R163="","",GLAPS자동계산!R163)</f>
        <v/>
      </c>
      <c r="R164" s="3" t="str">
        <f>IF(GLAPS자동계산!S163="","",GLAPS자동계산!S163)</f>
        <v/>
      </c>
      <c r="S164" s="3" t="str">
        <f>IF(GLAPS자동계산!T163="","",GLAPS자동계산!T163)</f>
        <v/>
      </c>
      <c r="T164" s="3" t="str">
        <f>IF(GLAPS자동계산!U163="","",GLAPS자동계산!U163)</f>
        <v/>
      </c>
      <c r="U164" s="3" t="str">
        <f>IF(GLAPS자동계산!V163="","",GLAPS자동계산!V163)</f>
        <v/>
      </c>
      <c r="V164" s="3" t="str">
        <f>IF(GLAPS자동계산!W163="","",GLAPS자동계산!W163)</f>
        <v/>
      </c>
      <c r="W164" s="14" t="str">
        <f>IF(GLAPS자동계산!X163="","",GLAPS자동계산!X163)</f>
        <v/>
      </c>
      <c r="X164" s="13" t="str">
        <f>IF(GLAPS자동계산!Y163="","",GLAPS자동계산!Y163)</f>
        <v/>
      </c>
      <c r="Y164" s="13" t="str">
        <f>IF(GLAPS자동계산!Z163="","",GLAPS자동계산!Z163)</f>
        <v/>
      </c>
      <c r="Z164" s="91" t="str">
        <f>IF(GLAPS자동계산!AA163="","",GLAPS자동계산!AA163)</f>
        <v/>
      </c>
      <c r="AA164" s="14" t="str">
        <f>IF(GLAPS자동계산!AB163="","",GLAPS자동계산!AB163)</f>
        <v/>
      </c>
      <c r="AC164" s="2" t="str">
        <f>IF($B164="","",$AC$1)</f>
        <v/>
      </c>
      <c r="AD164" s="2" t="str">
        <f>IF($B164="","",IFERROR(INDEX(GLAPS정리!$D$2:$D$50,MATCH(I164,GLAPS정리!$A$2:$A$50,0)),IFERROR(INDEX(GLAPS정리!$D$2:$D$50,MATCH(I164,GLAPS정리!$B$2:$B$50,0)),"")))</f>
        <v/>
      </c>
      <c r="AF164" s="2" t="str">
        <f>IF($B164="","",$AF$1)</f>
        <v/>
      </c>
      <c r="AI164" s="2" t="str">
        <f>IF($B164="","",IF(F164="","",VLOOKUP(F164,GLAPS정리!$G$3:$J$114,2,0)))</f>
        <v/>
      </c>
      <c r="AJ164" s="2" t="str">
        <f>IF($B164="","",IF(Z164="울산정일","KRONS",IF(Z164="울산신항","KRUSN",IF(OR(Z164="선광종합물류(인천여객)",Z164="인천여객(인천여객)"),"KRINF",IF(OR(Z164="선광인천보세(인천신)",Z164="한진인천(인천신)",Z164="선광인천신항(인천신)",Z164="인천더로지스(인천신)"),"KRINN",IF(OR(Z164="인천진아(인천항)",Z164="인천E1(인천항)",Z164="인천SM경인터미널(인천항)",Z164="인천항(인천항)",Z164="인천우련(인천항)",Z164="인천항8부두(인천항)"),"KRINC",VLOOKUP(K164,GLAPS정리!$BB$2:$BC$33,2,0)))))))</f>
        <v/>
      </c>
      <c r="AL164" s="2" t="str">
        <f>IF($B164="","",$AL$1)</f>
        <v/>
      </c>
      <c r="AN164" s="70" t="str">
        <f>IF($B164="","",TEXT(B164,"YYYY-MM-DD"))</f>
        <v/>
      </c>
      <c r="AO164" s="2" t="str">
        <f>IF($B164="","",IF(E164="오전", "0800", IF(E164="오후", "1300", IF(E164="잔업", "1800", ""))))</f>
        <v/>
      </c>
      <c r="AP164" s="2" t="str">
        <f>IF($B164="","",IF(C164="","",VLOOKUP(C164,GLAPS정리!$AX$2:$AZ$17,3,0)))</f>
        <v/>
      </c>
      <c r="AR164" s="2" t="str">
        <f>IF($B164="","",IF(X164="","",X164))</f>
        <v/>
      </c>
      <c r="AX164" s="2" t="str">
        <f>IF($B164="","",IF(L164="","",VLOOKUP(L164,GLAPS정리!$V$3:$W$180,2,0)))</f>
        <v/>
      </c>
      <c r="BM164" s="2" t="str">
        <f>IF($B164="","",IF(AND(Q164=1,OR(P164="",P164="위험물")), "2210", IF(AND(Q164=1,OR(P164="리퍼",P164="위험물리퍼")), "2230", IF(AND(S164=1,OR(P164="",P164="위험물")), "4510", IF(AND(S164=1,OR(P164="리퍼",P164="위험물리퍼")), "4530", IF(AND(R164=1,OR(P164="",P164="위험물")), "4210", IF(AND(R164=1,P164="리퍼"), "4230", " ")))))))</f>
        <v/>
      </c>
      <c r="BN164" s="2" t="str">
        <f>IF($B164="","",$BN$1)</f>
        <v/>
      </c>
      <c r="BR164" s="2" t="str">
        <f>IF($B164="","",IF(OR(P164="리퍼",P164="위험물리퍼"),"Y",""))</f>
        <v/>
      </c>
      <c r="BS164" s="2" t="str">
        <f>IF($B164="","",IF(OR(P164="위험물",P164="위험물리퍼"),"Y",""))</f>
        <v/>
      </c>
      <c r="BV164" s="2" t="str">
        <f>IF($B164="","",IF(O164="","",VLOOKUP(O164,GLAPS정리!$BH$2:$BI$94,2,0)))</f>
        <v/>
      </c>
      <c r="BW164" s="2" t="str">
        <f>IF($B164="","",IF(OR(Z164="동원",Z164="세방",Z164="한타"),"",IFERROR(INDEX(GLAPS정리!$BI$2:$BI$101,MATCH(Z164,GLAPS정리!$BH$2:$BH$101,0)),"")))</f>
        <v/>
      </c>
      <c r="BX164" s="2" t="str">
        <f>IF($B164="","",IF(Z164="","",IFERROR(VLOOKUP(Z164,GLAPS정리!$AX$2:$AZ$17,3,0),"")))</f>
        <v/>
      </c>
      <c r="BZ164" s="2" t="str">
        <f>IF($B164="","",IF(H164="","",VLOOKUP(H164,GLAPS정리!$L$3:$O$133,2,0)))</f>
        <v/>
      </c>
      <c r="CA164" s="2" t="str">
        <f>IF($B164="","",IF(V164="공휴일", 10, IF(V164="야간", 20, IF(V164="위험물", 30, IF(V164="중량", 40, "")))))</f>
        <v/>
      </c>
      <c r="CL164" s="2" t="str">
        <f>IF($B164="","",IF(AI164="","",VLOOKUP(AI164,GLAPS정리!$BT$3:$BV$26,3,0)))</f>
        <v/>
      </c>
    </row>
    <row r="165" spans="2:90" ht="20.45" customHeight="1">
      <c r="B165" s="13" t="str">
        <f>IF(GLAPS자동계산!C164="","",GLAPS자동계산!C164)</f>
        <v/>
      </c>
      <c r="C165" s="3" t="str">
        <f>IF(GLAPS자동계산!D164="","",GLAPS자동계산!D164)</f>
        <v/>
      </c>
      <c r="D165" s="16" t="str">
        <f>IF(GLAPS자동계산!E164="","",GLAPS자동계산!E164)</f>
        <v/>
      </c>
      <c r="E165" s="11" t="str">
        <f>IF(GLAPS자동계산!F164="","",GLAPS자동계산!F164)</f>
        <v/>
      </c>
      <c r="F165" s="3" t="str">
        <f>IF(GLAPS자동계산!G164="","",GLAPS자동계산!G164)</f>
        <v/>
      </c>
      <c r="G165" s="3" t="str">
        <f>IF(GLAPS자동계산!H164="","",GLAPS자동계산!H164)</f>
        <v/>
      </c>
      <c r="H165" s="3" t="str">
        <f>IF(GLAPS자동계산!I164="","",GLAPS자동계산!I164)</f>
        <v/>
      </c>
      <c r="I165" s="3" t="str">
        <f>IF(GLAPS자동계산!J164="","",GLAPS자동계산!J164)</f>
        <v/>
      </c>
      <c r="J165" s="3" t="str">
        <f>IF(GLAPS자동계산!K164="","",GLAPS자동계산!K164)</f>
        <v/>
      </c>
      <c r="K165" s="3" t="str">
        <f>IF(GLAPS자동계산!L164="","",GLAPS자동계산!L164)</f>
        <v/>
      </c>
      <c r="L165" s="3" t="str">
        <f>IF(GLAPS자동계산!M164="","",GLAPS자동계산!M164)</f>
        <v/>
      </c>
      <c r="M165" s="3" t="str">
        <f>IF(GLAPS자동계산!N164="","",GLAPS자동계산!N164)</f>
        <v/>
      </c>
      <c r="N165" s="3" t="str">
        <f>IF(GLAPS자동계산!O164="","",GLAPS자동계산!O164)</f>
        <v/>
      </c>
      <c r="O165" s="3" t="str">
        <f>IF(GLAPS자동계산!P164="","",GLAPS자동계산!P164)</f>
        <v/>
      </c>
      <c r="P165" s="2" t="str">
        <f>IF(GLAPS자동계산!Q164="","",GLAPS자동계산!Q164)</f>
        <v/>
      </c>
      <c r="Q165" s="3" t="str">
        <f>IF(GLAPS자동계산!R164="","",GLAPS자동계산!R164)</f>
        <v/>
      </c>
      <c r="R165" s="3" t="str">
        <f>IF(GLAPS자동계산!S164="","",GLAPS자동계산!S164)</f>
        <v/>
      </c>
      <c r="S165" s="3" t="str">
        <f>IF(GLAPS자동계산!T164="","",GLAPS자동계산!T164)</f>
        <v/>
      </c>
      <c r="T165" s="3" t="str">
        <f>IF(GLAPS자동계산!U164="","",GLAPS자동계산!U164)</f>
        <v/>
      </c>
      <c r="U165" s="3" t="str">
        <f>IF(GLAPS자동계산!V164="","",GLAPS자동계산!V164)</f>
        <v/>
      </c>
      <c r="V165" s="3" t="str">
        <f>IF(GLAPS자동계산!W164="","",GLAPS자동계산!W164)</f>
        <v/>
      </c>
      <c r="W165" s="14" t="str">
        <f>IF(GLAPS자동계산!X164="","",GLAPS자동계산!X164)</f>
        <v/>
      </c>
      <c r="X165" s="13" t="str">
        <f>IF(GLAPS자동계산!Y164="","",GLAPS자동계산!Y164)</f>
        <v/>
      </c>
      <c r="Y165" s="13" t="str">
        <f>IF(GLAPS자동계산!Z164="","",GLAPS자동계산!Z164)</f>
        <v/>
      </c>
      <c r="Z165" s="91" t="str">
        <f>IF(GLAPS자동계산!AA164="","",GLAPS자동계산!AA164)</f>
        <v/>
      </c>
      <c r="AA165" s="14" t="str">
        <f>IF(GLAPS자동계산!AB164="","",GLAPS자동계산!AB164)</f>
        <v/>
      </c>
      <c r="AC165" s="2" t="str">
        <f>IF($B165="","",$AC$1)</f>
        <v/>
      </c>
      <c r="AD165" s="2" t="str">
        <f>IF($B165="","",IFERROR(INDEX(GLAPS정리!$D$2:$D$50,MATCH(I165,GLAPS정리!$A$2:$A$50,0)),IFERROR(INDEX(GLAPS정리!$D$2:$D$50,MATCH(I165,GLAPS정리!$B$2:$B$50,0)),"")))</f>
        <v/>
      </c>
      <c r="AF165" s="2" t="str">
        <f>IF($B165="","",$AF$1)</f>
        <v/>
      </c>
      <c r="AI165" s="2" t="str">
        <f>IF($B165="","",IF(F165="","",VLOOKUP(F165,GLAPS정리!$G$3:$J$114,2,0)))</f>
        <v/>
      </c>
      <c r="AJ165" s="2" t="str">
        <f>IF($B165="","",IF(Z165="울산정일","KRONS",IF(Z165="울산신항","KRUSN",IF(OR(Z165="선광종합물류(인천여객)",Z165="인천여객(인천여객)"),"KRINF",IF(OR(Z165="선광인천보세(인천신)",Z165="한진인천(인천신)",Z165="선광인천신항(인천신)",Z165="인천더로지스(인천신)"),"KRINN",IF(OR(Z165="인천진아(인천항)",Z165="인천E1(인천항)",Z165="인천SM경인터미널(인천항)",Z165="인천항(인천항)",Z165="인천우련(인천항)",Z165="인천항8부두(인천항)"),"KRINC",VLOOKUP(K165,GLAPS정리!$BB$2:$BC$33,2,0)))))))</f>
        <v/>
      </c>
      <c r="AL165" s="2" t="str">
        <f>IF($B165="","",$AL$1)</f>
        <v/>
      </c>
      <c r="AN165" s="70" t="str">
        <f>IF($B165="","",TEXT(B165,"YYYY-MM-DD"))</f>
        <v/>
      </c>
      <c r="AO165" s="2" t="str">
        <f>IF($B165="","",IF(E165="오전", "0800", IF(E165="오후", "1300", IF(E165="잔업", "1800", ""))))</f>
        <v/>
      </c>
      <c r="AP165" s="2" t="str">
        <f>IF($B165="","",IF(C165="","",VLOOKUP(C165,GLAPS정리!$AX$2:$AZ$17,3,0)))</f>
        <v/>
      </c>
      <c r="AR165" s="2" t="str">
        <f>IF($B165="","",IF(X165="","",X165))</f>
        <v/>
      </c>
      <c r="AX165" s="2" t="str">
        <f>IF($B165="","",IF(L165="","",VLOOKUP(L165,GLAPS정리!$V$3:$W$180,2,0)))</f>
        <v/>
      </c>
      <c r="BM165" s="2" t="str">
        <f>IF($B165="","",IF(AND(Q165=1,OR(P165="",P165="위험물")), "2210", IF(AND(Q165=1,OR(P165="리퍼",P165="위험물리퍼")), "2230", IF(AND(S165=1,OR(P165="",P165="위험물")), "4510", IF(AND(S165=1,OR(P165="리퍼",P165="위험물리퍼")), "4530", IF(AND(R165=1,OR(P165="",P165="위험물")), "4210", IF(AND(R165=1,P165="리퍼"), "4230", " ")))))))</f>
        <v/>
      </c>
      <c r="BN165" s="2" t="str">
        <f>IF($B165="","",$BN$1)</f>
        <v/>
      </c>
      <c r="BR165" s="2" t="str">
        <f>IF($B165="","",IF(OR(P165="리퍼",P165="위험물리퍼"),"Y",""))</f>
        <v/>
      </c>
      <c r="BS165" s="2" t="str">
        <f>IF($B165="","",IF(OR(P165="위험물",P165="위험물리퍼"),"Y",""))</f>
        <v/>
      </c>
      <c r="BV165" s="2" t="str">
        <f>IF($B165="","",IF(O165="","",VLOOKUP(O165,GLAPS정리!$BH$2:$BI$94,2,0)))</f>
        <v/>
      </c>
      <c r="BW165" s="2" t="str">
        <f>IF($B165="","",IF(OR(Z165="동원",Z165="세방",Z165="한타"),"",IFERROR(INDEX(GLAPS정리!$BI$2:$BI$101,MATCH(Z165,GLAPS정리!$BH$2:$BH$101,0)),"")))</f>
        <v/>
      </c>
      <c r="BX165" s="2" t="str">
        <f>IF($B165="","",IF(Z165="","",IFERROR(VLOOKUP(Z165,GLAPS정리!$AX$2:$AZ$17,3,0),"")))</f>
        <v/>
      </c>
      <c r="BZ165" s="2" t="str">
        <f>IF($B165="","",IF(H165="","",VLOOKUP(H165,GLAPS정리!$L$3:$O$133,2,0)))</f>
        <v/>
      </c>
      <c r="CA165" s="2" t="str">
        <f>IF($B165="","",IF(V165="공휴일", 10, IF(V165="야간", 20, IF(V165="위험물", 30, IF(V165="중량", 40, "")))))</f>
        <v/>
      </c>
      <c r="CL165" s="2" t="str">
        <f>IF($B165="","",IF(AI165="","",VLOOKUP(AI165,GLAPS정리!$BT$3:$BV$26,3,0)))</f>
        <v/>
      </c>
    </row>
    <row r="166" spans="2:90" ht="20.45" customHeight="1">
      <c r="B166" s="13" t="str">
        <f>IF(GLAPS자동계산!C165="","",GLAPS자동계산!C165)</f>
        <v/>
      </c>
      <c r="C166" s="3" t="str">
        <f>IF(GLAPS자동계산!D165="","",GLAPS자동계산!D165)</f>
        <v/>
      </c>
      <c r="D166" s="16" t="str">
        <f>IF(GLAPS자동계산!E165="","",GLAPS자동계산!E165)</f>
        <v/>
      </c>
      <c r="E166" s="11" t="str">
        <f>IF(GLAPS자동계산!F165="","",GLAPS자동계산!F165)</f>
        <v/>
      </c>
      <c r="F166" s="3" t="str">
        <f>IF(GLAPS자동계산!G165="","",GLAPS자동계산!G165)</f>
        <v/>
      </c>
      <c r="G166" s="3" t="str">
        <f>IF(GLAPS자동계산!H165="","",GLAPS자동계산!H165)</f>
        <v/>
      </c>
      <c r="H166" s="3" t="str">
        <f>IF(GLAPS자동계산!I165="","",GLAPS자동계산!I165)</f>
        <v/>
      </c>
      <c r="I166" s="3" t="str">
        <f>IF(GLAPS자동계산!J165="","",GLAPS자동계산!J165)</f>
        <v/>
      </c>
      <c r="J166" s="3" t="str">
        <f>IF(GLAPS자동계산!K165="","",GLAPS자동계산!K165)</f>
        <v/>
      </c>
      <c r="K166" s="3" t="str">
        <f>IF(GLAPS자동계산!L165="","",GLAPS자동계산!L165)</f>
        <v/>
      </c>
      <c r="L166" s="3" t="str">
        <f>IF(GLAPS자동계산!M165="","",GLAPS자동계산!M165)</f>
        <v/>
      </c>
      <c r="M166" s="3" t="str">
        <f>IF(GLAPS자동계산!N165="","",GLAPS자동계산!N165)</f>
        <v/>
      </c>
      <c r="N166" s="3" t="str">
        <f>IF(GLAPS자동계산!O165="","",GLAPS자동계산!O165)</f>
        <v/>
      </c>
      <c r="O166" s="3" t="str">
        <f>IF(GLAPS자동계산!P165="","",GLAPS자동계산!P165)</f>
        <v/>
      </c>
      <c r="P166" s="2" t="str">
        <f>IF(GLAPS자동계산!Q165="","",GLAPS자동계산!Q165)</f>
        <v/>
      </c>
      <c r="Q166" s="3" t="str">
        <f>IF(GLAPS자동계산!R165="","",GLAPS자동계산!R165)</f>
        <v/>
      </c>
      <c r="R166" s="3" t="str">
        <f>IF(GLAPS자동계산!S165="","",GLAPS자동계산!S165)</f>
        <v/>
      </c>
      <c r="S166" s="3" t="str">
        <f>IF(GLAPS자동계산!T165="","",GLAPS자동계산!T165)</f>
        <v/>
      </c>
      <c r="T166" s="3" t="str">
        <f>IF(GLAPS자동계산!U165="","",GLAPS자동계산!U165)</f>
        <v/>
      </c>
      <c r="U166" s="3" t="str">
        <f>IF(GLAPS자동계산!V165="","",GLAPS자동계산!V165)</f>
        <v/>
      </c>
      <c r="V166" s="3" t="str">
        <f>IF(GLAPS자동계산!W165="","",GLAPS자동계산!W165)</f>
        <v/>
      </c>
      <c r="W166" s="14" t="str">
        <f>IF(GLAPS자동계산!X165="","",GLAPS자동계산!X165)</f>
        <v/>
      </c>
      <c r="X166" s="13" t="str">
        <f>IF(GLAPS자동계산!Y165="","",GLAPS자동계산!Y165)</f>
        <v/>
      </c>
      <c r="Y166" s="13" t="str">
        <f>IF(GLAPS자동계산!Z165="","",GLAPS자동계산!Z165)</f>
        <v/>
      </c>
      <c r="Z166" s="91" t="str">
        <f>IF(GLAPS자동계산!AA165="","",GLAPS자동계산!AA165)</f>
        <v/>
      </c>
      <c r="AA166" s="14" t="str">
        <f>IF(GLAPS자동계산!AB165="","",GLAPS자동계산!AB165)</f>
        <v/>
      </c>
      <c r="AC166" s="2" t="str">
        <f>IF($B166="","",$AC$1)</f>
        <v/>
      </c>
      <c r="AD166" s="2" t="str">
        <f>IF($B166="","",IFERROR(INDEX(GLAPS정리!$D$2:$D$50,MATCH(I166,GLAPS정리!$A$2:$A$50,0)),IFERROR(INDEX(GLAPS정리!$D$2:$D$50,MATCH(I166,GLAPS정리!$B$2:$B$50,0)),"")))</f>
        <v/>
      </c>
      <c r="AF166" s="2" t="str">
        <f>IF($B166="","",$AF$1)</f>
        <v/>
      </c>
      <c r="AI166" s="2" t="str">
        <f>IF($B166="","",IF(F166="","",VLOOKUP(F166,GLAPS정리!$G$3:$J$114,2,0)))</f>
        <v/>
      </c>
      <c r="AJ166" s="2" t="str">
        <f>IF($B166="","",IF(Z166="울산정일","KRONS",IF(Z166="울산신항","KRUSN",IF(OR(Z166="선광종합물류(인천여객)",Z166="인천여객(인천여객)"),"KRINF",IF(OR(Z166="선광인천보세(인천신)",Z166="한진인천(인천신)",Z166="선광인천신항(인천신)",Z166="인천더로지스(인천신)"),"KRINN",IF(OR(Z166="인천진아(인천항)",Z166="인천E1(인천항)",Z166="인천SM경인터미널(인천항)",Z166="인천항(인천항)",Z166="인천우련(인천항)",Z166="인천항8부두(인천항)"),"KRINC",VLOOKUP(K166,GLAPS정리!$BB$2:$BC$33,2,0)))))))</f>
        <v/>
      </c>
      <c r="AL166" s="2" t="str">
        <f>IF($B166="","",$AL$1)</f>
        <v/>
      </c>
      <c r="AN166" s="70" t="str">
        <f>IF($B166="","",TEXT(B166,"YYYY-MM-DD"))</f>
        <v/>
      </c>
      <c r="AO166" s="2" t="str">
        <f>IF($B166="","",IF(E166="오전", "0800", IF(E166="오후", "1300", IF(E166="잔업", "1800", ""))))</f>
        <v/>
      </c>
      <c r="AP166" s="2" t="str">
        <f>IF($B166="","",IF(C166="","",VLOOKUP(C166,GLAPS정리!$AX$2:$AZ$17,3,0)))</f>
        <v/>
      </c>
      <c r="AR166" s="2" t="str">
        <f>IF($B166="","",IF(X166="","",X166))</f>
        <v/>
      </c>
      <c r="AX166" s="2" t="str">
        <f>IF($B166="","",IF(L166="","",VLOOKUP(L166,GLAPS정리!$V$3:$W$180,2,0)))</f>
        <v/>
      </c>
      <c r="BM166" s="2" t="str">
        <f>IF($B166="","",IF(AND(Q166=1,OR(P166="",P166="위험물")), "2210", IF(AND(Q166=1,OR(P166="리퍼",P166="위험물리퍼")), "2230", IF(AND(S166=1,OR(P166="",P166="위험물")), "4510", IF(AND(S166=1,OR(P166="리퍼",P166="위험물리퍼")), "4530", IF(AND(R166=1,OR(P166="",P166="위험물")), "4210", IF(AND(R166=1,P166="리퍼"), "4230", " ")))))))</f>
        <v/>
      </c>
      <c r="BN166" s="2" t="str">
        <f>IF($B166="","",$BN$1)</f>
        <v/>
      </c>
      <c r="BR166" s="2" t="str">
        <f>IF($B166="","",IF(OR(P166="리퍼",P166="위험물리퍼"),"Y",""))</f>
        <v/>
      </c>
      <c r="BS166" s="2" t="str">
        <f>IF($B166="","",IF(OR(P166="위험물",P166="위험물리퍼"),"Y",""))</f>
        <v/>
      </c>
      <c r="BV166" s="2" t="str">
        <f>IF($B166="","",IF(O166="","",VLOOKUP(O166,GLAPS정리!$BH$2:$BI$94,2,0)))</f>
        <v/>
      </c>
      <c r="BW166" s="2" t="str">
        <f>IF($B166="","",IF(OR(Z166="동원",Z166="세방",Z166="한타"),"",IFERROR(INDEX(GLAPS정리!$BI$2:$BI$101,MATCH(Z166,GLAPS정리!$BH$2:$BH$101,0)),"")))</f>
        <v/>
      </c>
      <c r="BX166" s="2" t="str">
        <f>IF($B166="","",IF(Z166="","",IFERROR(VLOOKUP(Z166,GLAPS정리!$AX$2:$AZ$17,3,0),"")))</f>
        <v/>
      </c>
      <c r="BZ166" s="2" t="str">
        <f>IF($B166="","",IF(H166="","",VLOOKUP(H166,GLAPS정리!$L$3:$O$133,2,0)))</f>
        <v/>
      </c>
      <c r="CA166" s="2" t="str">
        <f>IF($B166="","",IF(V166="공휴일", 10, IF(V166="야간", 20, IF(V166="위험물", 30, IF(V166="중량", 40, "")))))</f>
        <v/>
      </c>
      <c r="CL166" s="2" t="str">
        <f>IF($B166="","",IF(AI166="","",VLOOKUP(AI166,GLAPS정리!$BT$3:$BV$26,3,0)))</f>
        <v/>
      </c>
    </row>
    <row r="167" spans="2:90" ht="20.45" customHeight="1">
      <c r="B167" s="13" t="str">
        <f>IF(GLAPS자동계산!C166="","",GLAPS자동계산!C166)</f>
        <v/>
      </c>
      <c r="C167" s="3" t="str">
        <f>IF(GLAPS자동계산!D166="","",GLAPS자동계산!D166)</f>
        <v/>
      </c>
      <c r="D167" s="16" t="str">
        <f>IF(GLAPS자동계산!E166="","",GLAPS자동계산!E166)</f>
        <v/>
      </c>
      <c r="E167" s="11" t="str">
        <f>IF(GLAPS자동계산!F166="","",GLAPS자동계산!F166)</f>
        <v/>
      </c>
      <c r="F167" s="3" t="str">
        <f>IF(GLAPS자동계산!G166="","",GLAPS자동계산!G166)</f>
        <v/>
      </c>
      <c r="G167" s="3" t="str">
        <f>IF(GLAPS자동계산!H166="","",GLAPS자동계산!H166)</f>
        <v/>
      </c>
      <c r="H167" s="3" t="str">
        <f>IF(GLAPS자동계산!I166="","",GLAPS자동계산!I166)</f>
        <v/>
      </c>
      <c r="I167" s="3" t="str">
        <f>IF(GLAPS자동계산!J166="","",GLAPS자동계산!J166)</f>
        <v/>
      </c>
      <c r="J167" s="3" t="str">
        <f>IF(GLAPS자동계산!K166="","",GLAPS자동계산!K166)</f>
        <v/>
      </c>
      <c r="K167" s="3" t="str">
        <f>IF(GLAPS자동계산!L166="","",GLAPS자동계산!L166)</f>
        <v/>
      </c>
      <c r="L167" s="3" t="str">
        <f>IF(GLAPS자동계산!M166="","",GLAPS자동계산!M166)</f>
        <v/>
      </c>
      <c r="M167" s="3" t="str">
        <f>IF(GLAPS자동계산!N166="","",GLAPS자동계산!N166)</f>
        <v/>
      </c>
      <c r="N167" s="3" t="str">
        <f>IF(GLAPS자동계산!O166="","",GLAPS자동계산!O166)</f>
        <v/>
      </c>
      <c r="O167" s="3" t="str">
        <f>IF(GLAPS자동계산!P166="","",GLAPS자동계산!P166)</f>
        <v/>
      </c>
      <c r="P167" s="2" t="str">
        <f>IF(GLAPS자동계산!Q166="","",GLAPS자동계산!Q166)</f>
        <v/>
      </c>
      <c r="Q167" s="3" t="str">
        <f>IF(GLAPS자동계산!R166="","",GLAPS자동계산!R166)</f>
        <v/>
      </c>
      <c r="R167" s="3" t="str">
        <f>IF(GLAPS자동계산!S166="","",GLAPS자동계산!S166)</f>
        <v/>
      </c>
      <c r="S167" s="3" t="str">
        <f>IF(GLAPS자동계산!T166="","",GLAPS자동계산!T166)</f>
        <v/>
      </c>
      <c r="T167" s="3" t="str">
        <f>IF(GLAPS자동계산!U166="","",GLAPS자동계산!U166)</f>
        <v/>
      </c>
      <c r="U167" s="3" t="str">
        <f>IF(GLAPS자동계산!V166="","",GLAPS자동계산!V166)</f>
        <v/>
      </c>
      <c r="V167" s="3" t="str">
        <f>IF(GLAPS자동계산!W166="","",GLAPS자동계산!W166)</f>
        <v/>
      </c>
      <c r="W167" s="14" t="str">
        <f>IF(GLAPS자동계산!X166="","",GLAPS자동계산!X166)</f>
        <v/>
      </c>
      <c r="X167" s="13" t="str">
        <f>IF(GLAPS자동계산!Y166="","",GLAPS자동계산!Y166)</f>
        <v/>
      </c>
      <c r="Y167" s="13" t="str">
        <f>IF(GLAPS자동계산!Z166="","",GLAPS자동계산!Z166)</f>
        <v/>
      </c>
      <c r="Z167" s="91" t="str">
        <f>IF(GLAPS자동계산!AA166="","",GLAPS자동계산!AA166)</f>
        <v/>
      </c>
      <c r="AA167" s="14" t="str">
        <f>IF(GLAPS자동계산!AB166="","",GLAPS자동계산!AB166)</f>
        <v/>
      </c>
      <c r="AC167" s="2" t="str">
        <f>IF($B167="","",$AC$1)</f>
        <v/>
      </c>
      <c r="AD167" s="2" t="str">
        <f>IF($B167="","",IFERROR(INDEX(GLAPS정리!$D$2:$D$50,MATCH(I167,GLAPS정리!$A$2:$A$50,0)),IFERROR(INDEX(GLAPS정리!$D$2:$D$50,MATCH(I167,GLAPS정리!$B$2:$B$50,0)),"")))</f>
        <v/>
      </c>
      <c r="AF167" s="2" t="str">
        <f>IF($B167="","",$AF$1)</f>
        <v/>
      </c>
      <c r="AI167" s="2" t="str">
        <f>IF($B167="","",IF(F167="","",VLOOKUP(F167,GLAPS정리!$G$3:$J$114,2,0)))</f>
        <v/>
      </c>
      <c r="AJ167" s="2" t="str">
        <f>IF($B167="","",IF(Z167="울산정일","KRONS",IF(Z167="울산신항","KRUSN",IF(OR(Z167="선광종합물류(인천여객)",Z167="인천여객(인천여객)"),"KRINF",IF(OR(Z167="선광인천보세(인천신)",Z167="한진인천(인천신)",Z167="선광인천신항(인천신)",Z167="인천더로지스(인천신)"),"KRINN",IF(OR(Z167="인천진아(인천항)",Z167="인천E1(인천항)",Z167="인천SM경인터미널(인천항)",Z167="인천항(인천항)",Z167="인천우련(인천항)",Z167="인천항8부두(인천항)"),"KRINC",VLOOKUP(K167,GLAPS정리!$BB$2:$BC$33,2,0)))))))</f>
        <v/>
      </c>
      <c r="AL167" s="2" t="str">
        <f>IF($B167="","",$AL$1)</f>
        <v/>
      </c>
      <c r="AN167" s="70" t="str">
        <f>IF($B167="","",TEXT(B167,"YYYY-MM-DD"))</f>
        <v/>
      </c>
      <c r="AO167" s="2" t="str">
        <f>IF($B167="","",IF(E167="오전", "0800", IF(E167="오후", "1300", IF(E167="잔업", "1800", ""))))</f>
        <v/>
      </c>
      <c r="AP167" s="2" t="str">
        <f>IF($B167="","",IF(C167="","",VLOOKUP(C167,GLAPS정리!$AX$2:$AZ$17,3,0)))</f>
        <v/>
      </c>
      <c r="AR167" s="2" t="str">
        <f>IF($B167="","",IF(X167="","",X167))</f>
        <v/>
      </c>
      <c r="AX167" s="2" t="str">
        <f>IF($B167="","",IF(L167="","",VLOOKUP(L167,GLAPS정리!$V$3:$W$180,2,0)))</f>
        <v/>
      </c>
      <c r="BM167" s="2" t="str">
        <f>IF($B167="","",IF(AND(Q167=1,OR(P167="",P167="위험물")), "2210", IF(AND(Q167=1,OR(P167="리퍼",P167="위험물리퍼")), "2230", IF(AND(S167=1,OR(P167="",P167="위험물")), "4510", IF(AND(S167=1,OR(P167="리퍼",P167="위험물리퍼")), "4530", IF(AND(R167=1,OR(P167="",P167="위험물")), "4210", IF(AND(R167=1,P167="리퍼"), "4230", " ")))))))</f>
        <v/>
      </c>
      <c r="BN167" s="2" t="str">
        <f>IF($B167="","",$BN$1)</f>
        <v/>
      </c>
      <c r="BR167" s="2" t="str">
        <f>IF($B167="","",IF(OR(P167="리퍼",P167="위험물리퍼"),"Y",""))</f>
        <v/>
      </c>
      <c r="BS167" s="2" t="str">
        <f>IF($B167="","",IF(OR(P167="위험물",P167="위험물리퍼"),"Y",""))</f>
        <v/>
      </c>
      <c r="BV167" s="2" t="str">
        <f>IF($B167="","",IF(O167="","",VLOOKUP(O167,GLAPS정리!$BH$2:$BI$94,2,0)))</f>
        <v/>
      </c>
      <c r="BW167" s="2" t="str">
        <f>IF($B167="","",IF(OR(Z167="동원",Z167="세방",Z167="한타"),"",IFERROR(INDEX(GLAPS정리!$BI$2:$BI$101,MATCH(Z167,GLAPS정리!$BH$2:$BH$101,0)),"")))</f>
        <v/>
      </c>
      <c r="BX167" s="2" t="str">
        <f>IF($B167="","",IF(Z167="","",IFERROR(VLOOKUP(Z167,GLAPS정리!$AX$2:$AZ$17,3,0),"")))</f>
        <v/>
      </c>
      <c r="BZ167" s="2" t="str">
        <f>IF($B167="","",IF(H167="","",VLOOKUP(H167,GLAPS정리!$L$3:$O$133,2,0)))</f>
        <v/>
      </c>
      <c r="CA167" s="2" t="str">
        <f>IF($B167="","",IF(V167="공휴일", 10, IF(V167="야간", 20, IF(V167="위험물", 30, IF(V167="중량", 40, "")))))</f>
        <v/>
      </c>
      <c r="CL167" s="2" t="str">
        <f>IF($B167="","",IF(AI167="","",VLOOKUP(AI167,GLAPS정리!$BT$3:$BV$26,3,0)))</f>
        <v/>
      </c>
    </row>
    <row r="168" spans="2:90" ht="20.45" customHeight="1">
      <c r="B168" s="13" t="str">
        <f>IF(GLAPS자동계산!C167="","",GLAPS자동계산!C167)</f>
        <v/>
      </c>
      <c r="C168" s="3" t="str">
        <f>IF(GLAPS자동계산!D167="","",GLAPS자동계산!D167)</f>
        <v/>
      </c>
      <c r="D168" s="16" t="str">
        <f>IF(GLAPS자동계산!E167="","",GLAPS자동계산!E167)</f>
        <v/>
      </c>
      <c r="E168" s="11" t="str">
        <f>IF(GLAPS자동계산!F167="","",GLAPS자동계산!F167)</f>
        <v/>
      </c>
      <c r="F168" s="3" t="str">
        <f>IF(GLAPS자동계산!G167="","",GLAPS자동계산!G167)</f>
        <v/>
      </c>
      <c r="G168" s="3" t="str">
        <f>IF(GLAPS자동계산!H167="","",GLAPS자동계산!H167)</f>
        <v/>
      </c>
      <c r="H168" s="3" t="str">
        <f>IF(GLAPS자동계산!I167="","",GLAPS자동계산!I167)</f>
        <v/>
      </c>
      <c r="I168" s="3" t="str">
        <f>IF(GLAPS자동계산!J167="","",GLAPS자동계산!J167)</f>
        <v/>
      </c>
      <c r="J168" s="3" t="str">
        <f>IF(GLAPS자동계산!K167="","",GLAPS자동계산!K167)</f>
        <v/>
      </c>
      <c r="K168" s="3" t="str">
        <f>IF(GLAPS자동계산!L167="","",GLAPS자동계산!L167)</f>
        <v/>
      </c>
      <c r="L168" s="3" t="str">
        <f>IF(GLAPS자동계산!M167="","",GLAPS자동계산!M167)</f>
        <v/>
      </c>
      <c r="M168" s="3" t="str">
        <f>IF(GLAPS자동계산!N167="","",GLAPS자동계산!N167)</f>
        <v/>
      </c>
      <c r="N168" s="3" t="str">
        <f>IF(GLAPS자동계산!O167="","",GLAPS자동계산!O167)</f>
        <v/>
      </c>
      <c r="O168" s="3" t="str">
        <f>IF(GLAPS자동계산!P167="","",GLAPS자동계산!P167)</f>
        <v/>
      </c>
      <c r="P168" s="2" t="str">
        <f>IF(GLAPS자동계산!Q167="","",GLAPS자동계산!Q167)</f>
        <v/>
      </c>
      <c r="Q168" s="3" t="str">
        <f>IF(GLAPS자동계산!R167="","",GLAPS자동계산!R167)</f>
        <v/>
      </c>
      <c r="R168" s="3" t="str">
        <f>IF(GLAPS자동계산!S167="","",GLAPS자동계산!S167)</f>
        <v/>
      </c>
      <c r="S168" s="3" t="str">
        <f>IF(GLAPS자동계산!T167="","",GLAPS자동계산!T167)</f>
        <v/>
      </c>
      <c r="T168" s="3" t="str">
        <f>IF(GLAPS자동계산!U167="","",GLAPS자동계산!U167)</f>
        <v/>
      </c>
      <c r="U168" s="3" t="str">
        <f>IF(GLAPS자동계산!V167="","",GLAPS자동계산!V167)</f>
        <v/>
      </c>
      <c r="V168" s="3" t="str">
        <f>IF(GLAPS자동계산!W167="","",GLAPS자동계산!W167)</f>
        <v/>
      </c>
      <c r="W168" s="14" t="str">
        <f>IF(GLAPS자동계산!X167="","",GLAPS자동계산!X167)</f>
        <v/>
      </c>
      <c r="X168" s="13" t="str">
        <f>IF(GLAPS자동계산!Y167="","",GLAPS자동계산!Y167)</f>
        <v/>
      </c>
      <c r="Y168" s="13" t="str">
        <f>IF(GLAPS자동계산!Z167="","",GLAPS자동계산!Z167)</f>
        <v/>
      </c>
      <c r="Z168" s="91" t="str">
        <f>IF(GLAPS자동계산!AA167="","",GLAPS자동계산!AA167)</f>
        <v/>
      </c>
      <c r="AA168" s="14" t="str">
        <f>IF(GLAPS자동계산!AB167="","",GLAPS자동계산!AB167)</f>
        <v/>
      </c>
      <c r="AC168" s="2" t="str">
        <f>IF($B168="","",$AC$1)</f>
        <v/>
      </c>
      <c r="AD168" s="2" t="str">
        <f>IF($B168="","",IFERROR(INDEX(GLAPS정리!$D$2:$D$50,MATCH(I168,GLAPS정리!$A$2:$A$50,0)),IFERROR(INDEX(GLAPS정리!$D$2:$D$50,MATCH(I168,GLAPS정리!$B$2:$B$50,0)),"")))</f>
        <v/>
      </c>
      <c r="AF168" s="2" t="str">
        <f>IF($B168="","",$AF$1)</f>
        <v/>
      </c>
      <c r="AI168" s="2" t="str">
        <f>IF($B168="","",IF(F168="","",VLOOKUP(F168,GLAPS정리!$G$3:$J$114,2,0)))</f>
        <v/>
      </c>
      <c r="AJ168" s="2" t="str">
        <f>IF($B168="","",IF(Z168="울산정일","KRONS",IF(Z168="울산신항","KRUSN",IF(OR(Z168="선광종합물류(인천여객)",Z168="인천여객(인천여객)"),"KRINF",IF(OR(Z168="선광인천보세(인천신)",Z168="한진인천(인천신)",Z168="선광인천신항(인천신)",Z168="인천더로지스(인천신)"),"KRINN",IF(OR(Z168="인천진아(인천항)",Z168="인천E1(인천항)",Z168="인천SM경인터미널(인천항)",Z168="인천항(인천항)",Z168="인천우련(인천항)",Z168="인천항8부두(인천항)"),"KRINC",VLOOKUP(K168,GLAPS정리!$BB$2:$BC$33,2,0)))))))</f>
        <v/>
      </c>
      <c r="AL168" s="2" t="str">
        <f>IF($B168="","",$AL$1)</f>
        <v/>
      </c>
      <c r="AN168" s="70" t="str">
        <f>IF($B168="","",TEXT(B168,"YYYY-MM-DD"))</f>
        <v/>
      </c>
      <c r="AO168" s="2" t="str">
        <f>IF($B168="","",IF(E168="오전", "0800", IF(E168="오후", "1300", IF(E168="잔업", "1800", ""))))</f>
        <v/>
      </c>
      <c r="AP168" s="2" t="str">
        <f>IF($B168="","",IF(C168="","",VLOOKUP(C168,GLAPS정리!$AX$2:$AZ$17,3,0)))</f>
        <v/>
      </c>
      <c r="AR168" s="2" t="str">
        <f>IF($B168="","",IF(X168="","",X168))</f>
        <v/>
      </c>
      <c r="AX168" s="2" t="str">
        <f>IF($B168="","",IF(L168="","",VLOOKUP(L168,GLAPS정리!$V$3:$W$180,2,0)))</f>
        <v/>
      </c>
      <c r="BM168" s="2" t="str">
        <f>IF($B168="","",IF(AND(Q168=1,OR(P168="",P168="위험물")), "2210", IF(AND(Q168=1,OR(P168="리퍼",P168="위험물리퍼")), "2230", IF(AND(S168=1,OR(P168="",P168="위험물")), "4510", IF(AND(S168=1,OR(P168="리퍼",P168="위험물리퍼")), "4530", IF(AND(R168=1,OR(P168="",P168="위험물")), "4210", IF(AND(R168=1,P168="리퍼"), "4230", " ")))))))</f>
        <v/>
      </c>
      <c r="BN168" s="2" t="str">
        <f>IF($B168="","",$BN$1)</f>
        <v/>
      </c>
      <c r="BR168" s="2" t="str">
        <f>IF($B168="","",IF(OR(P168="리퍼",P168="위험물리퍼"),"Y",""))</f>
        <v/>
      </c>
      <c r="BS168" s="2" t="str">
        <f>IF($B168="","",IF(OR(P168="위험물",P168="위험물리퍼"),"Y",""))</f>
        <v/>
      </c>
      <c r="BV168" s="2" t="str">
        <f>IF($B168="","",IF(O168="","",VLOOKUP(O168,GLAPS정리!$BH$2:$BI$94,2,0)))</f>
        <v/>
      </c>
      <c r="BW168" s="2" t="str">
        <f>IF($B168="","",IF(OR(Z168="동원",Z168="세방",Z168="한타"),"",IFERROR(INDEX(GLAPS정리!$BI$2:$BI$101,MATCH(Z168,GLAPS정리!$BH$2:$BH$101,0)),"")))</f>
        <v/>
      </c>
      <c r="BX168" s="2" t="str">
        <f>IF($B168="","",IF(Z168="","",IFERROR(VLOOKUP(Z168,GLAPS정리!$AX$2:$AZ$17,3,0),"")))</f>
        <v/>
      </c>
      <c r="BZ168" s="2" t="str">
        <f>IF($B168="","",IF(H168="","",VLOOKUP(H168,GLAPS정리!$L$3:$O$133,2,0)))</f>
        <v/>
      </c>
      <c r="CA168" s="2" t="str">
        <f>IF($B168="","",IF(V168="공휴일", 10, IF(V168="야간", 20, IF(V168="위험물", 30, IF(V168="중량", 40, "")))))</f>
        <v/>
      </c>
      <c r="CL168" s="2" t="str">
        <f>IF($B168="","",IF(AI168="","",VLOOKUP(AI168,GLAPS정리!$BT$3:$BV$26,3,0)))</f>
        <v/>
      </c>
    </row>
    <row r="169" spans="2:90" ht="20.45" customHeight="1">
      <c r="B169" s="13" t="str">
        <f>IF(GLAPS자동계산!C168="","",GLAPS자동계산!C168)</f>
        <v/>
      </c>
      <c r="C169" s="3" t="str">
        <f>IF(GLAPS자동계산!D168="","",GLAPS자동계산!D168)</f>
        <v/>
      </c>
      <c r="D169" s="16" t="str">
        <f>IF(GLAPS자동계산!E168="","",GLAPS자동계산!E168)</f>
        <v/>
      </c>
      <c r="E169" s="11" t="str">
        <f>IF(GLAPS자동계산!F168="","",GLAPS자동계산!F168)</f>
        <v/>
      </c>
      <c r="F169" s="3" t="str">
        <f>IF(GLAPS자동계산!G168="","",GLAPS자동계산!G168)</f>
        <v/>
      </c>
      <c r="G169" s="3" t="str">
        <f>IF(GLAPS자동계산!H168="","",GLAPS자동계산!H168)</f>
        <v/>
      </c>
      <c r="H169" s="3" t="str">
        <f>IF(GLAPS자동계산!I168="","",GLAPS자동계산!I168)</f>
        <v/>
      </c>
      <c r="I169" s="3" t="str">
        <f>IF(GLAPS자동계산!J168="","",GLAPS자동계산!J168)</f>
        <v/>
      </c>
      <c r="J169" s="3" t="str">
        <f>IF(GLAPS자동계산!K168="","",GLAPS자동계산!K168)</f>
        <v/>
      </c>
      <c r="K169" s="3" t="str">
        <f>IF(GLAPS자동계산!L168="","",GLAPS자동계산!L168)</f>
        <v/>
      </c>
      <c r="L169" s="3" t="str">
        <f>IF(GLAPS자동계산!M168="","",GLAPS자동계산!M168)</f>
        <v/>
      </c>
      <c r="M169" s="3" t="str">
        <f>IF(GLAPS자동계산!N168="","",GLAPS자동계산!N168)</f>
        <v/>
      </c>
      <c r="N169" s="3" t="str">
        <f>IF(GLAPS자동계산!O168="","",GLAPS자동계산!O168)</f>
        <v/>
      </c>
      <c r="O169" s="3" t="str">
        <f>IF(GLAPS자동계산!P168="","",GLAPS자동계산!P168)</f>
        <v/>
      </c>
      <c r="P169" s="2" t="str">
        <f>IF(GLAPS자동계산!Q168="","",GLAPS자동계산!Q168)</f>
        <v/>
      </c>
      <c r="Q169" s="3" t="str">
        <f>IF(GLAPS자동계산!R168="","",GLAPS자동계산!R168)</f>
        <v/>
      </c>
      <c r="R169" s="3" t="str">
        <f>IF(GLAPS자동계산!S168="","",GLAPS자동계산!S168)</f>
        <v/>
      </c>
      <c r="S169" s="3" t="str">
        <f>IF(GLAPS자동계산!T168="","",GLAPS자동계산!T168)</f>
        <v/>
      </c>
      <c r="T169" s="3" t="str">
        <f>IF(GLAPS자동계산!U168="","",GLAPS자동계산!U168)</f>
        <v/>
      </c>
      <c r="U169" s="3" t="str">
        <f>IF(GLAPS자동계산!V168="","",GLAPS자동계산!V168)</f>
        <v/>
      </c>
      <c r="V169" s="3" t="str">
        <f>IF(GLAPS자동계산!W168="","",GLAPS자동계산!W168)</f>
        <v/>
      </c>
      <c r="W169" s="14" t="str">
        <f>IF(GLAPS자동계산!X168="","",GLAPS자동계산!X168)</f>
        <v/>
      </c>
      <c r="X169" s="13" t="str">
        <f>IF(GLAPS자동계산!Y168="","",GLAPS자동계산!Y168)</f>
        <v/>
      </c>
      <c r="Y169" s="13" t="str">
        <f>IF(GLAPS자동계산!Z168="","",GLAPS자동계산!Z168)</f>
        <v/>
      </c>
      <c r="Z169" s="91" t="str">
        <f>IF(GLAPS자동계산!AA168="","",GLAPS자동계산!AA168)</f>
        <v/>
      </c>
      <c r="AA169" s="14" t="str">
        <f>IF(GLAPS자동계산!AB168="","",GLAPS자동계산!AB168)</f>
        <v/>
      </c>
      <c r="AC169" s="2" t="str">
        <f>IF($B169="","",$AC$1)</f>
        <v/>
      </c>
      <c r="AD169" s="2" t="str">
        <f>IF($B169="","",IFERROR(INDEX(GLAPS정리!$D$2:$D$50,MATCH(I169,GLAPS정리!$A$2:$A$50,0)),IFERROR(INDEX(GLAPS정리!$D$2:$D$50,MATCH(I169,GLAPS정리!$B$2:$B$50,0)),"")))</f>
        <v/>
      </c>
      <c r="AF169" s="2" t="str">
        <f>IF($B169="","",$AF$1)</f>
        <v/>
      </c>
      <c r="AI169" s="2" t="str">
        <f>IF($B169="","",IF(F169="","",VLOOKUP(F169,GLAPS정리!$G$3:$J$114,2,0)))</f>
        <v/>
      </c>
      <c r="AJ169" s="2" t="str">
        <f>IF($B169="","",IF(Z169="울산정일","KRONS",IF(Z169="울산신항","KRUSN",IF(OR(Z169="선광종합물류(인천여객)",Z169="인천여객(인천여객)"),"KRINF",IF(OR(Z169="선광인천보세(인천신)",Z169="한진인천(인천신)",Z169="선광인천신항(인천신)",Z169="인천더로지스(인천신)"),"KRINN",IF(OR(Z169="인천진아(인천항)",Z169="인천E1(인천항)",Z169="인천SM경인터미널(인천항)",Z169="인천항(인천항)",Z169="인천우련(인천항)",Z169="인천항8부두(인천항)"),"KRINC",VLOOKUP(K169,GLAPS정리!$BB$2:$BC$33,2,0)))))))</f>
        <v/>
      </c>
      <c r="AL169" s="2" t="str">
        <f>IF($B169="","",$AL$1)</f>
        <v/>
      </c>
      <c r="AN169" s="70" t="str">
        <f>IF($B169="","",TEXT(B169,"YYYY-MM-DD"))</f>
        <v/>
      </c>
      <c r="AO169" s="2" t="str">
        <f>IF($B169="","",IF(E169="오전", "0800", IF(E169="오후", "1300", IF(E169="잔업", "1800", ""))))</f>
        <v/>
      </c>
      <c r="AP169" s="2" t="str">
        <f>IF($B169="","",IF(C169="","",VLOOKUP(C169,GLAPS정리!$AX$2:$AZ$17,3,0)))</f>
        <v/>
      </c>
      <c r="AR169" s="2" t="str">
        <f>IF($B169="","",IF(X169="","",X169))</f>
        <v/>
      </c>
      <c r="AX169" s="2" t="str">
        <f>IF($B169="","",IF(L169="","",VLOOKUP(L169,GLAPS정리!$V$3:$W$180,2,0)))</f>
        <v/>
      </c>
      <c r="BM169" s="2" t="str">
        <f>IF($B169="","",IF(AND(Q169=1,OR(P169="",P169="위험물")), "2210", IF(AND(Q169=1,OR(P169="리퍼",P169="위험물리퍼")), "2230", IF(AND(S169=1,OR(P169="",P169="위험물")), "4510", IF(AND(S169=1,OR(P169="리퍼",P169="위험물리퍼")), "4530", IF(AND(R169=1,OR(P169="",P169="위험물")), "4210", IF(AND(R169=1,P169="리퍼"), "4230", " ")))))))</f>
        <v/>
      </c>
      <c r="BN169" s="2" t="str">
        <f>IF($B169="","",$BN$1)</f>
        <v/>
      </c>
      <c r="BR169" s="2" t="str">
        <f>IF($B169="","",IF(OR(P169="리퍼",P169="위험물리퍼"),"Y",""))</f>
        <v/>
      </c>
      <c r="BS169" s="2" t="str">
        <f>IF($B169="","",IF(OR(P169="위험물",P169="위험물리퍼"),"Y",""))</f>
        <v/>
      </c>
      <c r="BV169" s="2" t="str">
        <f>IF($B169="","",IF(O169="","",VLOOKUP(O169,GLAPS정리!$BH$2:$BI$94,2,0)))</f>
        <v/>
      </c>
      <c r="BW169" s="2" t="str">
        <f>IF($B169="","",IF(OR(Z169="동원",Z169="세방",Z169="한타"),"",IFERROR(INDEX(GLAPS정리!$BI$2:$BI$101,MATCH(Z169,GLAPS정리!$BH$2:$BH$101,0)),"")))</f>
        <v/>
      </c>
      <c r="BX169" s="2" t="str">
        <f>IF($B169="","",IF(Z169="","",IFERROR(VLOOKUP(Z169,GLAPS정리!$AX$2:$AZ$17,3,0),"")))</f>
        <v/>
      </c>
      <c r="BZ169" s="2" t="str">
        <f>IF($B169="","",IF(H169="","",VLOOKUP(H169,GLAPS정리!$L$3:$O$133,2,0)))</f>
        <v/>
      </c>
      <c r="CA169" s="2" t="str">
        <f>IF($B169="","",IF(V169="공휴일", 10, IF(V169="야간", 20, IF(V169="위험물", 30, IF(V169="중량", 40, "")))))</f>
        <v/>
      </c>
      <c r="CL169" s="2" t="str">
        <f>IF($B169="","",IF(AI169="","",VLOOKUP(AI169,GLAPS정리!$BT$3:$BV$26,3,0)))</f>
        <v/>
      </c>
    </row>
    <row r="170" spans="2:90" ht="20.45" customHeight="1">
      <c r="B170" s="13" t="str">
        <f>IF(GLAPS자동계산!C169="","",GLAPS자동계산!C169)</f>
        <v/>
      </c>
      <c r="C170" s="3" t="str">
        <f>IF(GLAPS자동계산!D169="","",GLAPS자동계산!D169)</f>
        <v/>
      </c>
      <c r="D170" s="16" t="str">
        <f>IF(GLAPS자동계산!E169="","",GLAPS자동계산!E169)</f>
        <v/>
      </c>
      <c r="E170" s="11" t="str">
        <f>IF(GLAPS자동계산!F169="","",GLAPS자동계산!F169)</f>
        <v/>
      </c>
      <c r="F170" s="3" t="str">
        <f>IF(GLAPS자동계산!G169="","",GLAPS자동계산!G169)</f>
        <v/>
      </c>
      <c r="G170" s="3" t="str">
        <f>IF(GLAPS자동계산!H169="","",GLAPS자동계산!H169)</f>
        <v/>
      </c>
      <c r="H170" s="3" t="str">
        <f>IF(GLAPS자동계산!I169="","",GLAPS자동계산!I169)</f>
        <v/>
      </c>
      <c r="I170" s="3" t="str">
        <f>IF(GLAPS자동계산!J169="","",GLAPS자동계산!J169)</f>
        <v/>
      </c>
      <c r="J170" s="3" t="str">
        <f>IF(GLAPS자동계산!K169="","",GLAPS자동계산!K169)</f>
        <v/>
      </c>
      <c r="K170" s="3" t="str">
        <f>IF(GLAPS자동계산!L169="","",GLAPS자동계산!L169)</f>
        <v/>
      </c>
      <c r="L170" s="3" t="str">
        <f>IF(GLAPS자동계산!M169="","",GLAPS자동계산!M169)</f>
        <v/>
      </c>
      <c r="M170" s="3" t="str">
        <f>IF(GLAPS자동계산!N169="","",GLAPS자동계산!N169)</f>
        <v/>
      </c>
      <c r="N170" s="3" t="str">
        <f>IF(GLAPS자동계산!O169="","",GLAPS자동계산!O169)</f>
        <v/>
      </c>
      <c r="O170" s="3" t="str">
        <f>IF(GLAPS자동계산!P169="","",GLAPS자동계산!P169)</f>
        <v/>
      </c>
      <c r="P170" s="2" t="str">
        <f>IF(GLAPS자동계산!Q169="","",GLAPS자동계산!Q169)</f>
        <v/>
      </c>
      <c r="Q170" s="3" t="str">
        <f>IF(GLAPS자동계산!R169="","",GLAPS자동계산!R169)</f>
        <v/>
      </c>
      <c r="R170" s="3" t="str">
        <f>IF(GLAPS자동계산!S169="","",GLAPS자동계산!S169)</f>
        <v/>
      </c>
      <c r="S170" s="3" t="str">
        <f>IF(GLAPS자동계산!T169="","",GLAPS자동계산!T169)</f>
        <v/>
      </c>
      <c r="T170" s="3" t="str">
        <f>IF(GLAPS자동계산!U169="","",GLAPS자동계산!U169)</f>
        <v/>
      </c>
      <c r="U170" s="3" t="str">
        <f>IF(GLAPS자동계산!V169="","",GLAPS자동계산!V169)</f>
        <v/>
      </c>
      <c r="V170" s="3" t="str">
        <f>IF(GLAPS자동계산!W169="","",GLAPS자동계산!W169)</f>
        <v/>
      </c>
      <c r="W170" s="14" t="str">
        <f>IF(GLAPS자동계산!X169="","",GLAPS자동계산!X169)</f>
        <v/>
      </c>
      <c r="X170" s="13" t="str">
        <f>IF(GLAPS자동계산!Y169="","",GLAPS자동계산!Y169)</f>
        <v/>
      </c>
      <c r="Y170" s="13" t="str">
        <f>IF(GLAPS자동계산!Z169="","",GLAPS자동계산!Z169)</f>
        <v/>
      </c>
      <c r="Z170" s="91" t="str">
        <f>IF(GLAPS자동계산!AA169="","",GLAPS자동계산!AA169)</f>
        <v/>
      </c>
      <c r="AA170" s="14" t="str">
        <f>IF(GLAPS자동계산!AB169="","",GLAPS자동계산!AB169)</f>
        <v/>
      </c>
      <c r="AC170" s="2" t="str">
        <f>IF($B170="","",$AC$1)</f>
        <v/>
      </c>
      <c r="AD170" s="2" t="str">
        <f>IF($B170="","",IFERROR(INDEX(GLAPS정리!$D$2:$D$50,MATCH(I170,GLAPS정리!$A$2:$A$50,0)),IFERROR(INDEX(GLAPS정리!$D$2:$D$50,MATCH(I170,GLAPS정리!$B$2:$B$50,0)),"")))</f>
        <v/>
      </c>
      <c r="AF170" s="2" t="str">
        <f>IF($B170="","",$AF$1)</f>
        <v/>
      </c>
      <c r="AI170" s="2" t="str">
        <f>IF($B170="","",IF(F170="","",VLOOKUP(F170,GLAPS정리!$G$3:$J$114,2,0)))</f>
        <v/>
      </c>
      <c r="AJ170" s="2" t="str">
        <f>IF($B170="","",IF(Z170="울산정일","KRONS",IF(Z170="울산신항","KRUSN",IF(OR(Z170="선광종합물류(인천여객)",Z170="인천여객(인천여객)"),"KRINF",IF(OR(Z170="선광인천보세(인천신)",Z170="한진인천(인천신)",Z170="선광인천신항(인천신)",Z170="인천더로지스(인천신)"),"KRINN",IF(OR(Z170="인천진아(인천항)",Z170="인천E1(인천항)",Z170="인천SM경인터미널(인천항)",Z170="인천항(인천항)",Z170="인천우련(인천항)",Z170="인천항8부두(인천항)"),"KRINC",VLOOKUP(K170,GLAPS정리!$BB$2:$BC$33,2,0)))))))</f>
        <v/>
      </c>
      <c r="AL170" s="2" t="str">
        <f>IF($B170="","",$AL$1)</f>
        <v/>
      </c>
      <c r="AN170" s="70" t="str">
        <f>IF($B170="","",TEXT(B170,"YYYY-MM-DD"))</f>
        <v/>
      </c>
      <c r="AO170" s="2" t="str">
        <f>IF($B170="","",IF(E170="오전", "0800", IF(E170="오후", "1300", IF(E170="잔업", "1800", ""))))</f>
        <v/>
      </c>
      <c r="AP170" s="2" t="str">
        <f>IF($B170="","",IF(C170="","",VLOOKUP(C170,GLAPS정리!$AX$2:$AZ$17,3,0)))</f>
        <v/>
      </c>
      <c r="AR170" s="2" t="str">
        <f>IF($B170="","",IF(X170="","",X170))</f>
        <v/>
      </c>
      <c r="AX170" s="2" t="str">
        <f>IF($B170="","",IF(L170="","",VLOOKUP(L170,GLAPS정리!$V$3:$W$180,2,0)))</f>
        <v/>
      </c>
      <c r="BM170" s="2" t="str">
        <f>IF($B170="","",IF(AND(Q170=1,OR(P170="",P170="위험물")), "2210", IF(AND(Q170=1,OR(P170="리퍼",P170="위험물리퍼")), "2230", IF(AND(S170=1,OR(P170="",P170="위험물")), "4510", IF(AND(S170=1,OR(P170="리퍼",P170="위험물리퍼")), "4530", IF(AND(R170=1,OR(P170="",P170="위험물")), "4210", IF(AND(R170=1,P170="리퍼"), "4230", " ")))))))</f>
        <v/>
      </c>
      <c r="BN170" s="2" t="str">
        <f>IF($B170="","",$BN$1)</f>
        <v/>
      </c>
      <c r="BR170" s="2" t="str">
        <f>IF($B170="","",IF(OR(P170="리퍼",P170="위험물리퍼"),"Y",""))</f>
        <v/>
      </c>
      <c r="BS170" s="2" t="str">
        <f>IF($B170="","",IF(OR(P170="위험물",P170="위험물리퍼"),"Y",""))</f>
        <v/>
      </c>
      <c r="BV170" s="2" t="str">
        <f>IF($B170="","",IF(O170="","",VLOOKUP(O170,GLAPS정리!$BH$2:$BI$94,2,0)))</f>
        <v/>
      </c>
      <c r="BW170" s="2" t="str">
        <f>IF($B170="","",IF(OR(Z170="동원",Z170="세방",Z170="한타"),"",IFERROR(INDEX(GLAPS정리!$BI$2:$BI$101,MATCH(Z170,GLAPS정리!$BH$2:$BH$101,0)),"")))</f>
        <v/>
      </c>
      <c r="BX170" s="2" t="str">
        <f>IF($B170="","",IF(Z170="","",IFERROR(VLOOKUP(Z170,GLAPS정리!$AX$2:$AZ$17,3,0),"")))</f>
        <v/>
      </c>
      <c r="BZ170" s="2" t="str">
        <f>IF($B170="","",IF(H170="","",VLOOKUP(H170,GLAPS정리!$L$3:$O$133,2,0)))</f>
        <v/>
      </c>
      <c r="CA170" s="2" t="str">
        <f>IF($B170="","",IF(V170="공휴일", 10, IF(V170="야간", 20, IF(V170="위험물", 30, IF(V170="중량", 40, "")))))</f>
        <v/>
      </c>
      <c r="CL170" s="2" t="str">
        <f>IF($B170="","",IF(AI170="","",VLOOKUP(AI170,GLAPS정리!$BT$3:$BV$26,3,0)))</f>
        <v/>
      </c>
    </row>
    <row r="171" spans="2:90" ht="20.45" customHeight="1">
      <c r="B171" s="13" t="str">
        <f>IF(GLAPS자동계산!C170="","",GLAPS자동계산!C170)</f>
        <v/>
      </c>
      <c r="C171" s="3" t="str">
        <f>IF(GLAPS자동계산!D170="","",GLAPS자동계산!D170)</f>
        <v/>
      </c>
      <c r="D171" s="16" t="str">
        <f>IF(GLAPS자동계산!E170="","",GLAPS자동계산!E170)</f>
        <v/>
      </c>
      <c r="E171" s="11" t="str">
        <f>IF(GLAPS자동계산!F170="","",GLAPS자동계산!F170)</f>
        <v/>
      </c>
      <c r="F171" s="3" t="str">
        <f>IF(GLAPS자동계산!G170="","",GLAPS자동계산!G170)</f>
        <v/>
      </c>
      <c r="G171" s="3" t="str">
        <f>IF(GLAPS자동계산!H170="","",GLAPS자동계산!H170)</f>
        <v/>
      </c>
      <c r="H171" s="3" t="str">
        <f>IF(GLAPS자동계산!I170="","",GLAPS자동계산!I170)</f>
        <v/>
      </c>
      <c r="I171" s="3" t="str">
        <f>IF(GLAPS자동계산!J170="","",GLAPS자동계산!J170)</f>
        <v/>
      </c>
      <c r="J171" s="3" t="str">
        <f>IF(GLAPS자동계산!K170="","",GLAPS자동계산!K170)</f>
        <v/>
      </c>
      <c r="K171" s="3" t="str">
        <f>IF(GLAPS자동계산!L170="","",GLAPS자동계산!L170)</f>
        <v/>
      </c>
      <c r="L171" s="3" t="str">
        <f>IF(GLAPS자동계산!M170="","",GLAPS자동계산!M170)</f>
        <v/>
      </c>
      <c r="M171" s="3" t="str">
        <f>IF(GLAPS자동계산!N170="","",GLAPS자동계산!N170)</f>
        <v/>
      </c>
      <c r="N171" s="3" t="str">
        <f>IF(GLAPS자동계산!O170="","",GLAPS자동계산!O170)</f>
        <v/>
      </c>
      <c r="O171" s="3" t="str">
        <f>IF(GLAPS자동계산!P170="","",GLAPS자동계산!P170)</f>
        <v/>
      </c>
      <c r="P171" s="2" t="str">
        <f>IF(GLAPS자동계산!Q170="","",GLAPS자동계산!Q170)</f>
        <v/>
      </c>
      <c r="Q171" s="3" t="str">
        <f>IF(GLAPS자동계산!R170="","",GLAPS자동계산!R170)</f>
        <v/>
      </c>
      <c r="R171" s="3" t="str">
        <f>IF(GLAPS자동계산!S170="","",GLAPS자동계산!S170)</f>
        <v/>
      </c>
      <c r="S171" s="3" t="str">
        <f>IF(GLAPS자동계산!T170="","",GLAPS자동계산!T170)</f>
        <v/>
      </c>
      <c r="T171" s="3" t="str">
        <f>IF(GLAPS자동계산!U170="","",GLAPS자동계산!U170)</f>
        <v/>
      </c>
      <c r="U171" s="3" t="str">
        <f>IF(GLAPS자동계산!V170="","",GLAPS자동계산!V170)</f>
        <v/>
      </c>
      <c r="V171" s="3" t="str">
        <f>IF(GLAPS자동계산!W170="","",GLAPS자동계산!W170)</f>
        <v/>
      </c>
      <c r="W171" s="14" t="str">
        <f>IF(GLAPS자동계산!X170="","",GLAPS자동계산!X170)</f>
        <v/>
      </c>
      <c r="X171" s="13" t="str">
        <f>IF(GLAPS자동계산!Y170="","",GLAPS자동계산!Y170)</f>
        <v/>
      </c>
      <c r="Y171" s="13" t="str">
        <f>IF(GLAPS자동계산!Z170="","",GLAPS자동계산!Z170)</f>
        <v/>
      </c>
      <c r="Z171" s="91" t="str">
        <f>IF(GLAPS자동계산!AA170="","",GLAPS자동계산!AA170)</f>
        <v/>
      </c>
      <c r="AA171" s="14" t="str">
        <f>IF(GLAPS자동계산!AB170="","",GLAPS자동계산!AB170)</f>
        <v/>
      </c>
      <c r="AC171" s="2" t="str">
        <f>IF($B171="","",$AC$1)</f>
        <v/>
      </c>
      <c r="AD171" s="2" t="str">
        <f>IF($B171="","",IFERROR(INDEX(GLAPS정리!$D$2:$D$50,MATCH(I171,GLAPS정리!$A$2:$A$50,0)),IFERROR(INDEX(GLAPS정리!$D$2:$D$50,MATCH(I171,GLAPS정리!$B$2:$B$50,0)),"")))</f>
        <v/>
      </c>
      <c r="AF171" s="2" t="str">
        <f>IF($B171="","",$AF$1)</f>
        <v/>
      </c>
      <c r="AI171" s="2" t="str">
        <f>IF($B171="","",IF(F171="","",VLOOKUP(F171,GLAPS정리!$G$3:$J$114,2,0)))</f>
        <v/>
      </c>
      <c r="AJ171" s="2" t="str">
        <f>IF($B171="","",IF(Z171="울산정일","KRONS",IF(Z171="울산신항","KRUSN",IF(OR(Z171="선광종합물류(인천여객)",Z171="인천여객(인천여객)"),"KRINF",IF(OR(Z171="선광인천보세(인천신)",Z171="한진인천(인천신)",Z171="선광인천신항(인천신)",Z171="인천더로지스(인천신)"),"KRINN",IF(OR(Z171="인천진아(인천항)",Z171="인천E1(인천항)",Z171="인천SM경인터미널(인천항)",Z171="인천항(인천항)",Z171="인천우련(인천항)",Z171="인천항8부두(인천항)"),"KRINC",VLOOKUP(K171,GLAPS정리!$BB$2:$BC$33,2,0)))))))</f>
        <v/>
      </c>
      <c r="AL171" s="2" t="str">
        <f>IF($B171="","",$AL$1)</f>
        <v/>
      </c>
      <c r="AN171" s="70" t="str">
        <f>IF($B171="","",TEXT(B171,"YYYY-MM-DD"))</f>
        <v/>
      </c>
      <c r="AO171" s="2" t="str">
        <f>IF($B171="","",IF(E171="오전", "0800", IF(E171="오후", "1300", IF(E171="잔업", "1800", ""))))</f>
        <v/>
      </c>
      <c r="AP171" s="2" t="str">
        <f>IF($B171="","",IF(C171="","",VLOOKUP(C171,GLAPS정리!$AX$2:$AZ$17,3,0)))</f>
        <v/>
      </c>
      <c r="AR171" s="2" t="str">
        <f>IF($B171="","",IF(X171="","",X171))</f>
        <v/>
      </c>
      <c r="AX171" s="2" t="str">
        <f>IF($B171="","",IF(L171="","",VLOOKUP(L171,GLAPS정리!$V$3:$W$180,2,0)))</f>
        <v/>
      </c>
      <c r="BM171" s="2" t="str">
        <f>IF($B171="","",IF(AND(Q171=1,OR(P171="",P171="위험물")), "2210", IF(AND(Q171=1,OR(P171="리퍼",P171="위험물리퍼")), "2230", IF(AND(S171=1,OR(P171="",P171="위험물")), "4510", IF(AND(S171=1,OR(P171="리퍼",P171="위험물리퍼")), "4530", IF(AND(R171=1,OR(P171="",P171="위험물")), "4210", IF(AND(R171=1,P171="리퍼"), "4230", " ")))))))</f>
        <v/>
      </c>
      <c r="BN171" s="2" t="str">
        <f>IF($B171="","",$BN$1)</f>
        <v/>
      </c>
      <c r="BR171" s="2" t="str">
        <f>IF($B171="","",IF(OR(P171="리퍼",P171="위험물리퍼"),"Y",""))</f>
        <v/>
      </c>
      <c r="BS171" s="2" t="str">
        <f>IF($B171="","",IF(OR(P171="위험물",P171="위험물리퍼"),"Y",""))</f>
        <v/>
      </c>
      <c r="BV171" s="2" t="str">
        <f>IF($B171="","",IF(O171="","",VLOOKUP(O171,GLAPS정리!$BH$2:$BI$94,2,0)))</f>
        <v/>
      </c>
      <c r="BW171" s="2" t="str">
        <f>IF($B171="","",IF(OR(Z171="동원",Z171="세방",Z171="한타"),"",IFERROR(INDEX(GLAPS정리!$BI$2:$BI$101,MATCH(Z171,GLAPS정리!$BH$2:$BH$101,0)),"")))</f>
        <v/>
      </c>
      <c r="BX171" s="2" t="str">
        <f>IF($B171="","",IF(Z171="","",IFERROR(VLOOKUP(Z171,GLAPS정리!$AX$2:$AZ$17,3,0),"")))</f>
        <v/>
      </c>
      <c r="BZ171" s="2" t="str">
        <f>IF($B171="","",IF(H171="","",VLOOKUP(H171,GLAPS정리!$L$3:$O$133,2,0)))</f>
        <v/>
      </c>
      <c r="CA171" s="2" t="str">
        <f>IF($B171="","",IF(V171="공휴일", 10, IF(V171="야간", 20, IF(V171="위험물", 30, IF(V171="중량", 40, "")))))</f>
        <v/>
      </c>
      <c r="CL171" s="2" t="str">
        <f>IF($B171="","",IF(AI171="","",VLOOKUP(AI171,GLAPS정리!$BT$3:$BV$26,3,0)))</f>
        <v/>
      </c>
    </row>
    <row r="172" spans="2:90" ht="20.45" customHeight="1">
      <c r="B172" s="13" t="str">
        <f>IF(GLAPS자동계산!C171="","",GLAPS자동계산!C171)</f>
        <v/>
      </c>
      <c r="C172" s="3" t="str">
        <f>IF(GLAPS자동계산!D171="","",GLAPS자동계산!D171)</f>
        <v/>
      </c>
      <c r="D172" s="16" t="str">
        <f>IF(GLAPS자동계산!E171="","",GLAPS자동계산!E171)</f>
        <v/>
      </c>
      <c r="E172" s="11" t="str">
        <f>IF(GLAPS자동계산!F171="","",GLAPS자동계산!F171)</f>
        <v/>
      </c>
      <c r="F172" s="3" t="str">
        <f>IF(GLAPS자동계산!G171="","",GLAPS자동계산!G171)</f>
        <v/>
      </c>
      <c r="G172" s="3" t="str">
        <f>IF(GLAPS자동계산!H171="","",GLAPS자동계산!H171)</f>
        <v/>
      </c>
      <c r="H172" s="3" t="str">
        <f>IF(GLAPS자동계산!I171="","",GLAPS자동계산!I171)</f>
        <v/>
      </c>
      <c r="I172" s="3" t="str">
        <f>IF(GLAPS자동계산!J171="","",GLAPS자동계산!J171)</f>
        <v/>
      </c>
      <c r="J172" s="3" t="str">
        <f>IF(GLAPS자동계산!K171="","",GLAPS자동계산!K171)</f>
        <v/>
      </c>
      <c r="K172" s="3" t="str">
        <f>IF(GLAPS자동계산!L171="","",GLAPS자동계산!L171)</f>
        <v/>
      </c>
      <c r="L172" s="3" t="str">
        <f>IF(GLAPS자동계산!M171="","",GLAPS자동계산!M171)</f>
        <v/>
      </c>
      <c r="M172" s="3" t="str">
        <f>IF(GLAPS자동계산!N171="","",GLAPS자동계산!N171)</f>
        <v/>
      </c>
      <c r="N172" s="3" t="str">
        <f>IF(GLAPS자동계산!O171="","",GLAPS자동계산!O171)</f>
        <v/>
      </c>
      <c r="O172" s="3" t="str">
        <f>IF(GLAPS자동계산!P171="","",GLAPS자동계산!P171)</f>
        <v/>
      </c>
      <c r="P172" s="2" t="str">
        <f>IF(GLAPS자동계산!Q171="","",GLAPS자동계산!Q171)</f>
        <v/>
      </c>
      <c r="Q172" s="3" t="str">
        <f>IF(GLAPS자동계산!R171="","",GLAPS자동계산!R171)</f>
        <v/>
      </c>
      <c r="R172" s="3" t="str">
        <f>IF(GLAPS자동계산!S171="","",GLAPS자동계산!S171)</f>
        <v/>
      </c>
      <c r="S172" s="3" t="str">
        <f>IF(GLAPS자동계산!T171="","",GLAPS자동계산!T171)</f>
        <v/>
      </c>
      <c r="T172" s="3" t="str">
        <f>IF(GLAPS자동계산!U171="","",GLAPS자동계산!U171)</f>
        <v/>
      </c>
      <c r="U172" s="3" t="str">
        <f>IF(GLAPS자동계산!V171="","",GLAPS자동계산!V171)</f>
        <v/>
      </c>
      <c r="V172" s="3" t="str">
        <f>IF(GLAPS자동계산!W171="","",GLAPS자동계산!W171)</f>
        <v/>
      </c>
      <c r="W172" s="14" t="str">
        <f>IF(GLAPS자동계산!X171="","",GLAPS자동계산!X171)</f>
        <v/>
      </c>
      <c r="X172" s="13" t="str">
        <f>IF(GLAPS자동계산!Y171="","",GLAPS자동계산!Y171)</f>
        <v/>
      </c>
      <c r="Y172" s="13" t="str">
        <f>IF(GLAPS자동계산!Z171="","",GLAPS자동계산!Z171)</f>
        <v/>
      </c>
      <c r="Z172" s="91" t="str">
        <f>IF(GLAPS자동계산!AA171="","",GLAPS자동계산!AA171)</f>
        <v/>
      </c>
      <c r="AA172" s="14" t="str">
        <f>IF(GLAPS자동계산!AB171="","",GLAPS자동계산!AB171)</f>
        <v/>
      </c>
      <c r="AC172" s="2" t="str">
        <f>IF($B172="","",$AC$1)</f>
        <v/>
      </c>
      <c r="AD172" s="2" t="str">
        <f>IF($B172="","",IFERROR(INDEX(GLAPS정리!$D$2:$D$50,MATCH(I172,GLAPS정리!$A$2:$A$50,0)),IFERROR(INDEX(GLAPS정리!$D$2:$D$50,MATCH(I172,GLAPS정리!$B$2:$B$50,0)),"")))</f>
        <v/>
      </c>
      <c r="AF172" s="2" t="str">
        <f>IF($B172="","",$AF$1)</f>
        <v/>
      </c>
      <c r="AI172" s="2" t="str">
        <f>IF($B172="","",IF(F172="","",VLOOKUP(F172,GLAPS정리!$G$3:$J$114,2,0)))</f>
        <v/>
      </c>
      <c r="AJ172" s="2" t="str">
        <f>IF($B172="","",IF(Z172="울산정일","KRONS",IF(Z172="울산신항","KRUSN",IF(OR(Z172="선광종합물류(인천여객)",Z172="인천여객(인천여객)"),"KRINF",IF(OR(Z172="선광인천보세(인천신)",Z172="한진인천(인천신)",Z172="선광인천신항(인천신)",Z172="인천더로지스(인천신)"),"KRINN",IF(OR(Z172="인천진아(인천항)",Z172="인천E1(인천항)",Z172="인천SM경인터미널(인천항)",Z172="인천항(인천항)",Z172="인천우련(인천항)",Z172="인천항8부두(인천항)"),"KRINC",VLOOKUP(K172,GLAPS정리!$BB$2:$BC$33,2,0)))))))</f>
        <v/>
      </c>
      <c r="AL172" s="2" t="str">
        <f>IF($B172="","",$AL$1)</f>
        <v/>
      </c>
      <c r="AN172" s="70" t="str">
        <f>IF($B172="","",TEXT(B172,"YYYY-MM-DD"))</f>
        <v/>
      </c>
      <c r="AO172" s="2" t="str">
        <f>IF($B172="","",IF(E172="오전", "0800", IF(E172="오후", "1300", IF(E172="잔업", "1800", ""))))</f>
        <v/>
      </c>
      <c r="AP172" s="2" t="str">
        <f>IF($B172="","",IF(C172="","",VLOOKUP(C172,GLAPS정리!$AX$2:$AZ$17,3,0)))</f>
        <v/>
      </c>
      <c r="AR172" s="2" t="str">
        <f>IF($B172="","",IF(X172="","",X172))</f>
        <v/>
      </c>
      <c r="AX172" s="2" t="str">
        <f>IF($B172="","",IF(L172="","",VLOOKUP(L172,GLAPS정리!$V$3:$W$180,2,0)))</f>
        <v/>
      </c>
      <c r="BM172" s="2" t="str">
        <f>IF($B172="","",IF(AND(Q172=1,OR(P172="",P172="위험물")), "2210", IF(AND(Q172=1,OR(P172="리퍼",P172="위험물리퍼")), "2230", IF(AND(S172=1,OR(P172="",P172="위험물")), "4510", IF(AND(S172=1,OR(P172="리퍼",P172="위험물리퍼")), "4530", IF(AND(R172=1,OR(P172="",P172="위험물")), "4210", IF(AND(R172=1,P172="리퍼"), "4230", " ")))))))</f>
        <v/>
      </c>
      <c r="BN172" s="2" t="str">
        <f>IF($B172="","",$BN$1)</f>
        <v/>
      </c>
      <c r="BR172" s="2" t="str">
        <f>IF($B172="","",IF(OR(P172="리퍼",P172="위험물리퍼"),"Y",""))</f>
        <v/>
      </c>
      <c r="BS172" s="2" t="str">
        <f>IF($B172="","",IF(OR(P172="위험물",P172="위험물리퍼"),"Y",""))</f>
        <v/>
      </c>
      <c r="BV172" s="2" t="str">
        <f>IF($B172="","",IF(O172="","",VLOOKUP(O172,GLAPS정리!$BH$2:$BI$94,2,0)))</f>
        <v/>
      </c>
      <c r="BW172" s="2" t="str">
        <f>IF($B172="","",IF(OR(Z172="동원",Z172="세방",Z172="한타"),"",IFERROR(INDEX(GLAPS정리!$BI$2:$BI$101,MATCH(Z172,GLAPS정리!$BH$2:$BH$101,0)),"")))</f>
        <v/>
      </c>
      <c r="BX172" s="2" t="str">
        <f>IF($B172="","",IF(Z172="","",IFERROR(VLOOKUP(Z172,GLAPS정리!$AX$2:$AZ$17,3,0),"")))</f>
        <v/>
      </c>
      <c r="BZ172" s="2" t="str">
        <f>IF($B172="","",IF(H172="","",VLOOKUP(H172,GLAPS정리!$L$3:$O$133,2,0)))</f>
        <v/>
      </c>
      <c r="CA172" s="2" t="str">
        <f>IF($B172="","",IF(V172="공휴일", 10, IF(V172="야간", 20, IF(V172="위험물", 30, IF(V172="중량", 40, "")))))</f>
        <v/>
      </c>
      <c r="CL172" s="2" t="str">
        <f>IF($B172="","",IF(AI172="","",VLOOKUP(AI172,GLAPS정리!$BT$3:$BV$26,3,0)))</f>
        <v/>
      </c>
    </row>
    <row r="173" spans="2:90" ht="20.45" customHeight="1">
      <c r="B173" s="13" t="str">
        <f>IF(GLAPS자동계산!C172="","",GLAPS자동계산!C172)</f>
        <v/>
      </c>
      <c r="C173" s="3" t="str">
        <f>IF(GLAPS자동계산!D172="","",GLAPS자동계산!D172)</f>
        <v/>
      </c>
      <c r="D173" s="16" t="str">
        <f>IF(GLAPS자동계산!E172="","",GLAPS자동계산!E172)</f>
        <v/>
      </c>
      <c r="E173" s="11" t="str">
        <f>IF(GLAPS자동계산!F172="","",GLAPS자동계산!F172)</f>
        <v/>
      </c>
      <c r="F173" s="3" t="str">
        <f>IF(GLAPS자동계산!G172="","",GLAPS자동계산!G172)</f>
        <v/>
      </c>
      <c r="G173" s="3" t="str">
        <f>IF(GLAPS자동계산!H172="","",GLAPS자동계산!H172)</f>
        <v/>
      </c>
      <c r="H173" s="3" t="str">
        <f>IF(GLAPS자동계산!I172="","",GLAPS자동계산!I172)</f>
        <v/>
      </c>
      <c r="I173" s="3" t="str">
        <f>IF(GLAPS자동계산!J172="","",GLAPS자동계산!J172)</f>
        <v/>
      </c>
      <c r="J173" s="3" t="str">
        <f>IF(GLAPS자동계산!K172="","",GLAPS자동계산!K172)</f>
        <v/>
      </c>
      <c r="K173" s="3" t="str">
        <f>IF(GLAPS자동계산!L172="","",GLAPS자동계산!L172)</f>
        <v/>
      </c>
      <c r="L173" s="3" t="str">
        <f>IF(GLAPS자동계산!M172="","",GLAPS자동계산!M172)</f>
        <v/>
      </c>
      <c r="M173" s="3" t="str">
        <f>IF(GLAPS자동계산!N172="","",GLAPS자동계산!N172)</f>
        <v/>
      </c>
      <c r="N173" s="3" t="str">
        <f>IF(GLAPS자동계산!O172="","",GLAPS자동계산!O172)</f>
        <v/>
      </c>
      <c r="O173" s="3" t="str">
        <f>IF(GLAPS자동계산!P172="","",GLAPS자동계산!P172)</f>
        <v/>
      </c>
      <c r="P173" s="2" t="str">
        <f>IF(GLAPS자동계산!Q172="","",GLAPS자동계산!Q172)</f>
        <v/>
      </c>
      <c r="Q173" s="3" t="str">
        <f>IF(GLAPS자동계산!R172="","",GLAPS자동계산!R172)</f>
        <v/>
      </c>
      <c r="R173" s="3" t="str">
        <f>IF(GLAPS자동계산!S172="","",GLAPS자동계산!S172)</f>
        <v/>
      </c>
      <c r="S173" s="3" t="str">
        <f>IF(GLAPS자동계산!T172="","",GLAPS자동계산!T172)</f>
        <v/>
      </c>
      <c r="T173" s="3" t="str">
        <f>IF(GLAPS자동계산!U172="","",GLAPS자동계산!U172)</f>
        <v/>
      </c>
      <c r="U173" s="3" t="str">
        <f>IF(GLAPS자동계산!V172="","",GLAPS자동계산!V172)</f>
        <v/>
      </c>
      <c r="V173" s="3" t="str">
        <f>IF(GLAPS자동계산!W172="","",GLAPS자동계산!W172)</f>
        <v/>
      </c>
      <c r="W173" s="14" t="str">
        <f>IF(GLAPS자동계산!X172="","",GLAPS자동계산!X172)</f>
        <v/>
      </c>
      <c r="X173" s="13" t="str">
        <f>IF(GLAPS자동계산!Y172="","",GLAPS자동계산!Y172)</f>
        <v/>
      </c>
      <c r="Y173" s="13" t="str">
        <f>IF(GLAPS자동계산!Z172="","",GLAPS자동계산!Z172)</f>
        <v/>
      </c>
      <c r="Z173" s="91" t="str">
        <f>IF(GLAPS자동계산!AA172="","",GLAPS자동계산!AA172)</f>
        <v/>
      </c>
      <c r="AA173" s="14" t="str">
        <f>IF(GLAPS자동계산!AB172="","",GLAPS자동계산!AB172)</f>
        <v/>
      </c>
      <c r="AC173" s="2" t="str">
        <f>IF($B173="","",$AC$1)</f>
        <v/>
      </c>
      <c r="AD173" s="2" t="str">
        <f>IF($B173="","",IFERROR(INDEX(GLAPS정리!$D$2:$D$50,MATCH(I173,GLAPS정리!$A$2:$A$50,0)),IFERROR(INDEX(GLAPS정리!$D$2:$D$50,MATCH(I173,GLAPS정리!$B$2:$B$50,0)),"")))</f>
        <v/>
      </c>
      <c r="AF173" s="2" t="str">
        <f>IF($B173="","",$AF$1)</f>
        <v/>
      </c>
      <c r="AI173" s="2" t="str">
        <f>IF($B173="","",IF(F173="","",VLOOKUP(F173,GLAPS정리!$G$3:$J$114,2,0)))</f>
        <v/>
      </c>
      <c r="AJ173" s="2" t="str">
        <f>IF($B173="","",IF(Z173="울산정일","KRONS",IF(Z173="울산신항","KRUSN",IF(OR(Z173="선광종합물류(인천여객)",Z173="인천여객(인천여객)"),"KRINF",IF(OR(Z173="선광인천보세(인천신)",Z173="한진인천(인천신)",Z173="선광인천신항(인천신)",Z173="인천더로지스(인천신)"),"KRINN",IF(OR(Z173="인천진아(인천항)",Z173="인천E1(인천항)",Z173="인천SM경인터미널(인천항)",Z173="인천항(인천항)",Z173="인천우련(인천항)",Z173="인천항8부두(인천항)"),"KRINC",VLOOKUP(K173,GLAPS정리!$BB$2:$BC$33,2,0)))))))</f>
        <v/>
      </c>
      <c r="AL173" s="2" t="str">
        <f>IF($B173="","",$AL$1)</f>
        <v/>
      </c>
      <c r="AN173" s="70" t="str">
        <f>IF($B173="","",TEXT(B173,"YYYY-MM-DD"))</f>
        <v/>
      </c>
      <c r="AO173" s="2" t="str">
        <f>IF($B173="","",IF(E173="오전", "0800", IF(E173="오후", "1300", IF(E173="잔업", "1800", ""))))</f>
        <v/>
      </c>
      <c r="AP173" s="2" t="str">
        <f>IF($B173="","",IF(C173="","",VLOOKUP(C173,GLAPS정리!$AX$2:$AZ$17,3,0)))</f>
        <v/>
      </c>
      <c r="AR173" s="2" t="str">
        <f>IF($B173="","",IF(X173="","",X173))</f>
        <v/>
      </c>
      <c r="AX173" s="2" t="str">
        <f>IF($B173="","",IF(L173="","",VLOOKUP(L173,GLAPS정리!$V$3:$W$180,2,0)))</f>
        <v/>
      </c>
      <c r="BM173" s="2" t="str">
        <f>IF($B173="","",IF(AND(Q173=1,OR(P173="",P173="위험물")), "2210", IF(AND(Q173=1,OR(P173="리퍼",P173="위험물리퍼")), "2230", IF(AND(S173=1,OR(P173="",P173="위험물")), "4510", IF(AND(S173=1,OR(P173="리퍼",P173="위험물리퍼")), "4530", IF(AND(R173=1,OR(P173="",P173="위험물")), "4210", IF(AND(R173=1,P173="리퍼"), "4230", " ")))))))</f>
        <v/>
      </c>
      <c r="BN173" s="2" t="str">
        <f>IF($B173="","",$BN$1)</f>
        <v/>
      </c>
      <c r="BR173" s="2" t="str">
        <f>IF($B173="","",IF(OR(P173="리퍼",P173="위험물리퍼"),"Y",""))</f>
        <v/>
      </c>
      <c r="BS173" s="2" t="str">
        <f>IF($B173="","",IF(OR(P173="위험물",P173="위험물리퍼"),"Y",""))</f>
        <v/>
      </c>
      <c r="BV173" s="2" t="str">
        <f>IF($B173="","",IF(O173="","",VLOOKUP(O173,GLAPS정리!$BH$2:$BI$94,2,0)))</f>
        <v/>
      </c>
      <c r="BW173" s="2" t="str">
        <f>IF($B173="","",IF(OR(Z173="동원",Z173="세방",Z173="한타"),"",IFERROR(INDEX(GLAPS정리!$BI$2:$BI$101,MATCH(Z173,GLAPS정리!$BH$2:$BH$101,0)),"")))</f>
        <v/>
      </c>
      <c r="BX173" s="2" t="str">
        <f>IF($B173="","",IF(Z173="","",IFERROR(VLOOKUP(Z173,GLAPS정리!$AX$2:$AZ$17,3,0),"")))</f>
        <v/>
      </c>
      <c r="BZ173" s="2" t="str">
        <f>IF($B173="","",IF(H173="","",VLOOKUP(H173,GLAPS정리!$L$3:$O$133,2,0)))</f>
        <v/>
      </c>
      <c r="CA173" s="2" t="str">
        <f>IF($B173="","",IF(V173="공휴일", 10, IF(V173="야간", 20, IF(V173="위험물", 30, IF(V173="중량", 40, "")))))</f>
        <v/>
      </c>
      <c r="CL173" s="2" t="str">
        <f>IF($B173="","",IF(AI173="","",VLOOKUP(AI173,GLAPS정리!$BT$3:$BV$26,3,0)))</f>
        <v/>
      </c>
    </row>
    <row r="174" spans="2:90" ht="20.45" customHeight="1">
      <c r="B174" s="13" t="str">
        <f>IF(GLAPS자동계산!C173="","",GLAPS자동계산!C173)</f>
        <v/>
      </c>
      <c r="C174" s="3" t="str">
        <f>IF(GLAPS자동계산!D173="","",GLAPS자동계산!D173)</f>
        <v/>
      </c>
      <c r="D174" s="16" t="str">
        <f>IF(GLAPS자동계산!E173="","",GLAPS자동계산!E173)</f>
        <v/>
      </c>
      <c r="E174" s="11" t="str">
        <f>IF(GLAPS자동계산!F173="","",GLAPS자동계산!F173)</f>
        <v/>
      </c>
      <c r="F174" s="3" t="str">
        <f>IF(GLAPS자동계산!G173="","",GLAPS자동계산!G173)</f>
        <v/>
      </c>
      <c r="G174" s="3" t="str">
        <f>IF(GLAPS자동계산!H173="","",GLAPS자동계산!H173)</f>
        <v/>
      </c>
      <c r="H174" s="3" t="str">
        <f>IF(GLAPS자동계산!I173="","",GLAPS자동계산!I173)</f>
        <v/>
      </c>
      <c r="I174" s="3" t="str">
        <f>IF(GLAPS자동계산!J173="","",GLAPS자동계산!J173)</f>
        <v/>
      </c>
      <c r="J174" s="3" t="str">
        <f>IF(GLAPS자동계산!K173="","",GLAPS자동계산!K173)</f>
        <v/>
      </c>
      <c r="K174" s="3" t="str">
        <f>IF(GLAPS자동계산!L173="","",GLAPS자동계산!L173)</f>
        <v/>
      </c>
      <c r="L174" s="3" t="str">
        <f>IF(GLAPS자동계산!M173="","",GLAPS자동계산!M173)</f>
        <v/>
      </c>
      <c r="M174" s="3" t="str">
        <f>IF(GLAPS자동계산!N173="","",GLAPS자동계산!N173)</f>
        <v/>
      </c>
      <c r="N174" s="3" t="str">
        <f>IF(GLAPS자동계산!O173="","",GLAPS자동계산!O173)</f>
        <v/>
      </c>
      <c r="O174" s="3" t="str">
        <f>IF(GLAPS자동계산!P173="","",GLAPS자동계산!P173)</f>
        <v/>
      </c>
      <c r="P174" s="2" t="str">
        <f>IF(GLAPS자동계산!Q173="","",GLAPS자동계산!Q173)</f>
        <v/>
      </c>
      <c r="Q174" s="3" t="str">
        <f>IF(GLAPS자동계산!R173="","",GLAPS자동계산!R173)</f>
        <v/>
      </c>
      <c r="R174" s="3" t="str">
        <f>IF(GLAPS자동계산!S173="","",GLAPS자동계산!S173)</f>
        <v/>
      </c>
      <c r="S174" s="3" t="str">
        <f>IF(GLAPS자동계산!T173="","",GLAPS자동계산!T173)</f>
        <v/>
      </c>
      <c r="T174" s="3" t="str">
        <f>IF(GLAPS자동계산!U173="","",GLAPS자동계산!U173)</f>
        <v/>
      </c>
      <c r="U174" s="3" t="str">
        <f>IF(GLAPS자동계산!V173="","",GLAPS자동계산!V173)</f>
        <v/>
      </c>
      <c r="V174" s="3" t="str">
        <f>IF(GLAPS자동계산!W173="","",GLAPS자동계산!W173)</f>
        <v/>
      </c>
      <c r="W174" s="14" t="str">
        <f>IF(GLAPS자동계산!X173="","",GLAPS자동계산!X173)</f>
        <v/>
      </c>
      <c r="X174" s="13" t="str">
        <f>IF(GLAPS자동계산!Y173="","",GLAPS자동계산!Y173)</f>
        <v/>
      </c>
      <c r="Y174" s="13" t="str">
        <f>IF(GLAPS자동계산!Z173="","",GLAPS자동계산!Z173)</f>
        <v/>
      </c>
      <c r="Z174" s="91" t="str">
        <f>IF(GLAPS자동계산!AA173="","",GLAPS자동계산!AA173)</f>
        <v/>
      </c>
      <c r="AA174" s="14" t="str">
        <f>IF(GLAPS자동계산!AB173="","",GLAPS자동계산!AB173)</f>
        <v/>
      </c>
      <c r="AC174" s="2" t="str">
        <f>IF($B174="","",$AC$1)</f>
        <v/>
      </c>
      <c r="AD174" s="2" t="str">
        <f>IF($B174="","",IFERROR(INDEX(GLAPS정리!$D$2:$D$50,MATCH(I174,GLAPS정리!$A$2:$A$50,0)),IFERROR(INDEX(GLAPS정리!$D$2:$D$50,MATCH(I174,GLAPS정리!$B$2:$B$50,0)),"")))</f>
        <v/>
      </c>
      <c r="AF174" s="2" t="str">
        <f>IF($B174="","",$AF$1)</f>
        <v/>
      </c>
      <c r="AI174" s="2" t="str">
        <f>IF($B174="","",IF(F174="","",VLOOKUP(F174,GLAPS정리!$G$3:$J$114,2,0)))</f>
        <v/>
      </c>
      <c r="AJ174" s="2" t="str">
        <f>IF($B174="","",IF(Z174="울산정일","KRONS",IF(Z174="울산신항","KRUSN",IF(OR(Z174="선광종합물류(인천여객)",Z174="인천여객(인천여객)"),"KRINF",IF(OR(Z174="선광인천보세(인천신)",Z174="한진인천(인천신)",Z174="선광인천신항(인천신)",Z174="인천더로지스(인천신)"),"KRINN",IF(OR(Z174="인천진아(인천항)",Z174="인천E1(인천항)",Z174="인천SM경인터미널(인천항)",Z174="인천항(인천항)",Z174="인천우련(인천항)",Z174="인천항8부두(인천항)"),"KRINC",VLOOKUP(K174,GLAPS정리!$BB$2:$BC$33,2,0)))))))</f>
        <v/>
      </c>
      <c r="AL174" s="2" t="str">
        <f>IF($B174="","",$AL$1)</f>
        <v/>
      </c>
      <c r="AN174" s="70" t="str">
        <f>IF($B174="","",TEXT(B174,"YYYY-MM-DD"))</f>
        <v/>
      </c>
      <c r="AO174" s="2" t="str">
        <f>IF($B174="","",IF(E174="오전", "0800", IF(E174="오후", "1300", IF(E174="잔업", "1800", ""))))</f>
        <v/>
      </c>
      <c r="AP174" s="2" t="str">
        <f>IF($B174="","",IF(C174="","",VLOOKUP(C174,GLAPS정리!$AX$2:$AZ$17,3,0)))</f>
        <v/>
      </c>
      <c r="AR174" s="2" t="str">
        <f>IF($B174="","",IF(X174="","",X174))</f>
        <v/>
      </c>
      <c r="AX174" s="2" t="str">
        <f>IF($B174="","",IF(L174="","",VLOOKUP(L174,GLAPS정리!$V$3:$W$180,2,0)))</f>
        <v/>
      </c>
      <c r="BM174" s="2" t="str">
        <f>IF($B174="","",IF(AND(Q174=1,OR(P174="",P174="위험물")), "2210", IF(AND(Q174=1,OR(P174="리퍼",P174="위험물리퍼")), "2230", IF(AND(S174=1,OR(P174="",P174="위험물")), "4510", IF(AND(S174=1,OR(P174="리퍼",P174="위험물리퍼")), "4530", IF(AND(R174=1,OR(P174="",P174="위험물")), "4210", IF(AND(R174=1,P174="리퍼"), "4230", " ")))))))</f>
        <v/>
      </c>
      <c r="BN174" s="2" t="str">
        <f>IF($B174="","",$BN$1)</f>
        <v/>
      </c>
      <c r="BR174" s="2" t="str">
        <f>IF($B174="","",IF(OR(P174="리퍼",P174="위험물리퍼"),"Y",""))</f>
        <v/>
      </c>
      <c r="BS174" s="2" t="str">
        <f>IF($B174="","",IF(OR(P174="위험물",P174="위험물리퍼"),"Y",""))</f>
        <v/>
      </c>
      <c r="BV174" s="2" t="str">
        <f>IF($B174="","",IF(O174="","",VLOOKUP(O174,GLAPS정리!$BH$2:$BI$94,2,0)))</f>
        <v/>
      </c>
      <c r="BW174" s="2" t="str">
        <f>IF($B174="","",IF(OR(Z174="동원",Z174="세방",Z174="한타"),"",IFERROR(INDEX(GLAPS정리!$BI$2:$BI$101,MATCH(Z174,GLAPS정리!$BH$2:$BH$101,0)),"")))</f>
        <v/>
      </c>
      <c r="BX174" s="2" t="str">
        <f>IF($B174="","",IF(Z174="","",IFERROR(VLOOKUP(Z174,GLAPS정리!$AX$2:$AZ$17,3,0),"")))</f>
        <v/>
      </c>
      <c r="BZ174" s="2" t="str">
        <f>IF($B174="","",IF(H174="","",VLOOKUP(H174,GLAPS정리!$L$3:$O$133,2,0)))</f>
        <v/>
      </c>
      <c r="CA174" s="2" t="str">
        <f>IF($B174="","",IF(V174="공휴일", 10, IF(V174="야간", 20, IF(V174="위험물", 30, IF(V174="중량", 40, "")))))</f>
        <v/>
      </c>
      <c r="CL174" s="2" t="str">
        <f>IF($B174="","",IF(AI174="","",VLOOKUP(AI174,GLAPS정리!$BT$3:$BV$26,3,0)))</f>
        <v/>
      </c>
    </row>
    <row r="175" spans="2:90" ht="20.45" customHeight="1">
      <c r="B175" s="13" t="str">
        <f>IF(GLAPS자동계산!C174="","",GLAPS자동계산!C174)</f>
        <v/>
      </c>
      <c r="C175" s="3" t="str">
        <f>IF(GLAPS자동계산!D174="","",GLAPS자동계산!D174)</f>
        <v/>
      </c>
      <c r="D175" s="16" t="str">
        <f>IF(GLAPS자동계산!E174="","",GLAPS자동계산!E174)</f>
        <v/>
      </c>
      <c r="E175" s="11" t="str">
        <f>IF(GLAPS자동계산!F174="","",GLAPS자동계산!F174)</f>
        <v/>
      </c>
      <c r="F175" s="3" t="str">
        <f>IF(GLAPS자동계산!G174="","",GLAPS자동계산!G174)</f>
        <v/>
      </c>
      <c r="G175" s="3" t="str">
        <f>IF(GLAPS자동계산!H174="","",GLAPS자동계산!H174)</f>
        <v/>
      </c>
      <c r="H175" s="3" t="str">
        <f>IF(GLAPS자동계산!I174="","",GLAPS자동계산!I174)</f>
        <v/>
      </c>
      <c r="I175" s="3" t="str">
        <f>IF(GLAPS자동계산!J174="","",GLAPS자동계산!J174)</f>
        <v/>
      </c>
      <c r="J175" s="3" t="str">
        <f>IF(GLAPS자동계산!K174="","",GLAPS자동계산!K174)</f>
        <v/>
      </c>
      <c r="K175" s="3" t="str">
        <f>IF(GLAPS자동계산!L174="","",GLAPS자동계산!L174)</f>
        <v/>
      </c>
      <c r="L175" s="3" t="str">
        <f>IF(GLAPS자동계산!M174="","",GLAPS자동계산!M174)</f>
        <v/>
      </c>
      <c r="M175" s="3" t="str">
        <f>IF(GLAPS자동계산!N174="","",GLAPS자동계산!N174)</f>
        <v/>
      </c>
      <c r="N175" s="3" t="str">
        <f>IF(GLAPS자동계산!O174="","",GLAPS자동계산!O174)</f>
        <v/>
      </c>
      <c r="O175" s="3" t="str">
        <f>IF(GLAPS자동계산!P174="","",GLAPS자동계산!P174)</f>
        <v/>
      </c>
      <c r="P175" s="2" t="str">
        <f>IF(GLAPS자동계산!Q174="","",GLAPS자동계산!Q174)</f>
        <v/>
      </c>
      <c r="Q175" s="3" t="str">
        <f>IF(GLAPS자동계산!R174="","",GLAPS자동계산!R174)</f>
        <v/>
      </c>
      <c r="R175" s="3" t="str">
        <f>IF(GLAPS자동계산!S174="","",GLAPS자동계산!S174)</f>
        <v/>
      </c>
      <c r="S175" s="3" t="str">
        <f>IF(GLAPS자동계산!T174="","",GLAPS자동계산!T174)</f>
        <v/>
      </c>
      <c r="T175" s="3" t="str">
        <f>IF(GLAPS자동계산!U174="","",GLAPS자동계산!U174)</f>
        <v/>
      </c>
      <c r="U175" s="3" t="str">
        <f>IF(GLAPS자동계산!V174="","",GLAPS자동계산!V174)</f>
        <v/>
      </c>
      <c r="V175" s="3" t="str">
        <f>IF(GLAPS자동계산!W174="","",GLAPS자동계산!W174)</f>
        <v/>
      </c>
      <c r="W175" s="14" t="str">
        <f>IF(GLAPS자동계산!X174="","",GLAPS자동계산!X174)</f>
        <v/>
      </c>
      <c r="X175" s="13" t="str">
        <f>IF(GLAPS자동계산!Y174="","",GLAPS자동계산!Y174)</f>
        <v/>
      </c>
      <c r="Y175" s="13" t="str">
        <f>IF(GLAPS자동계산!Z174="","",GLAPS자동계산!Z174)</f>
        <v/>
      </c>
      <c r="Z175" s="91" t="str">
        <f>IF(GLAPS자동계산!AA174="","",GLAPS자동계산!AA174)</f>
        <v/>
      </c>
      <c r="AA175" s="14" t="str">
        <f>IF(GLAPS자동계산!AB174="","",GLAPS자동계산!AB174)</f>
        <v/>
      </c>
      <c r="AC175" s="2" t="str">
        <f>IF($B175="","",$AC$1)</f>
        <v/>
      </c>
      <c r="AD175" s="2" t="str">
        <f>IF($B175="","",IFERROR(INDEX(GLAPS정리!$D$2:$D$50,MATCH(I175,GLAPS정리!$A$2:$A$50,0)),IFERROR(INDEX(GLAPS정리!$D$2:$D$50,MATCH(I175,GLAPS정리!$B$2:$B$50,0)),"")))</f>
        <v/>
      </c>
      <c r="AF175" s="2" t="str">
        <f>IF($B175="","",$AF$1)</f>
        <v/>
      </c>
      <c r="AI175" s="2" t="str">
        <f>IF($B175="","",IF(F175="","",VLOOKUP(F175,GLAPS정리!$G$3:$J$114,2,0)))</f>
        <v/>
      </c>
      <c r="AJ175" s="2" t="str">
        <f>IF($B175="","",IF(Z175="울산정일","KRONS",IF(Z175="울산신항","KRUSN",IF(OR(Z175="선광종합물류(인천여객)",Z175="인천여객(인천여객)"),"KRINF",IF(OR(Z175="선광인천보세(인천신)",Z175="한진인천(인천신)",Z175="선광인천신항(인천신)",Z175="인천더로지스(인천신)"),"KRINN",IF(OR(Z175="인천진아(인천항)",Z175="인천E1(인천항)",Z175="인천SM경인터미널(인천항)",Z175="인천항(인천항)",Z175="인천우련(인천항)",Z175="인천항8부두(인천항)"),"KRINC",VLOOKUP(K175,GLAPS정리!$BB$2:$BC$33,2,0)))))))</f>
        <v/>
      </c>
      <c r="AL175" s="2" t="str">
        <f>IF($B175="","",$AL$1)</f>
        <v/>
      </c>
      <c r="AN175" s="70" t="str">
        <f>IF($B175="","",TEXT(B175,"YYYY-MM-DD"))</f>
        <v/>
      </c>
      <c r="AO175" s="2" t="str">
        <f>IF($B175="","",IF(E175="오전", "0800", IF(E175="오후", "1300", IF(E175="잔업", "1800", ""))))</f>
        <v/>
      </c>
      <c r="AP175" s="2" t="str">
        <f>IF($B175="","",IF(C175="","",VLOOKUP(C175,GLAPS정리!$AX$2:$AZ$17,3,0)))</f>
        <v/>
      </c>
      <c r="AR175" s="2" t="str">
        <f>IF($B175="","",IF(X175="","",X175))</f>
        <v/>
      </c>
      <c r="AX175" s="2" t="str">
        <f>IF($B175="","",IF(L175="","",VLOOKUP(L175,GLAPS정리!$V$3:$W$180,2,0)))</f>
        <v/>
      </c>
      <c r="BM175" s="2" t="str">
        <f>IF($B175="","",IF(AND(Q175=1,OR(P175="",P175="위험물")), "2210", IF(AND(Q175=1,OR(P175="리퍼",P175="위험물리퍼")), "2230", IF(AND(S175=1,OR(P175="",P175="위험물")), "4510", IF(AND(S175=1,OR(P175="리퍼",P175="위험물리퍼")), "4530", IF(AND(R175=1,OR(P175="",P175="위험물")), "4210", IF(AND(R175=1,P175="리퍼"), "4230", " ")))))))</f>
        <v/>
      </c>
      <c r="BN175" s="2" t="str">
        <f>IF($B175="","",$BN$1)</f>
        <v/>
      </c>
      <c r="BR175" s="2" t="str">
        <f>IF($B175="","",IF(OR(P175="리퍼",P175="위험물리퍼"),"Y",""))</f>
        <v/>
      </c>
      <c r="BS175" s="2" t="str">
        <f>IF($B175="","",IF(OR(P175="위험물",P175="위험물리퍼"),"Y",""))</f>
        <v/>
      </c>
      <c r="BV175" s="2" t="str">
        <f>IF($B175="","",IF(O175="","",VLOOKUP(O175,GLAPS정리!$BH$2:$BI$94,2,0)))</f>
        <v/>
      </c>
      <c r="BW175" s="2" t="str">
        <f>IF($B175="","",IF(OR(Z175="동원",Z175="세방",Z175="한타"),"",IFERROR(INDEX(GLAPS정리!$BI$2:$BI$101,MATCH(Z175,GLAPS정리!$BH$2:$BH$101,0)),"")))</f>
        <v/>
      </c>
      <c r="BX175" s="2" t="str">
        <f>IF($B175="","",IF(Z175="","",IFERROR(VLOOKUP(Z175,GLAPS정리!$AX$2:$AZ$17,3,0),"")))</f>
        <v/>
      </c>
      <c r="BZ175" s="2" t="str">
        <f>IF($B175="","",IF(H175="","",VLOOKUP(H175,GLAPS정리!$L$3:$O$133,2,0)))</f>
        <v/>
      </c>
      <c r="CA175" s="2" t="str">
        <f>IF($B175="","",IF(V175="공휴일", 10, IF(V175="야간", 20, IF(V175="위험물", 30, IF(V175="중량", 40, "")))))</f>
        <v/>
      </c>
      <c r="CL175" s="2" t="str">
        <f>IF($B175="","",IF(AI175="","",VLOOKUP(AI175,GLAPS정리!$BT$3:$BV$26,3,0)))</f>
        <v/>
      </c>
    </row>
    <row r="176" spans="2:90" ht="20.45" customHeight="1">
      <c r="B176" s="13" t="str">
        <f>IF(GLAPS자동계산!C175="","",GLAPS자동계산!C175)</f>
        <v/>
      </c>
      <c r="C176" s="3" t="str">
        <f>IF(GLAPS자동계산!D175="","",GLAPS자동계산!D175)</f>
        <v/>
      </c>
      <c r="D176" s="16" t="str">
        <f>IF(GLAPS자동계산!E175="","",GLAPS자동계산!E175)</f>
        <v/>
      </c>
      <c r="E176" s="11" t="str">
        <f>IF(GLAPS자동계산!F175="","",GLAPS자동계산!F175)</f>
        <v/>
      </c>
      <c r="F176" s="3" t="str">
        <f>IF(GLAPS자동계산!G175="","",GLAPS자동계산!G175)</f>
        <v/>
      </c>
      <c r="G176" s="3" t="str">
        <f>IF(GLAPS자동계산!H175="","",GLAPS자동계산!H175)</f>
        <v/>
      </c>
      <c r="H176" s="3" t="str">
        <f>IF(GLAPS자동계산!I175="","",GLAPS자동계산!I175)</f>
        <v/>
      </c>
      <c r="I176" s="3" t="str">
        <f>IF(GLAPS자동계산!J175="","",GLAPS자동계산!J175)</f>
        <v/>
      </c>
      <c r="J176" s="3" t="str">
        <f>IF(GLAPS자동계산!K175="","",GLAPS자동계산!K175)</f>
        <v/>
      </c>
      <c r="K176" s="3" t="str">
        <f>IF(GLAPS자동계산!L175="","",GLAPS자동계산!L175)</f>
        <v/>
      </c>
      <c r="L176" s="3" t="str">
        <f>IF(GLAPS자동계산!M175="","",GLAPS자동계산!M175)</f>
        <v/>
      </c>
      <c r="M176" s="3" t="str">
        <f>IF(GLAPS자동계산!N175="","",GLAPS자동계산!N175)</f>
        <v/>
      </c>
      <c r="N176" s="3" t="str">
        <f>IF(GLAPS자동계산!O175="","",GLAPS자동계산!O175)</f>
        <v/>
      </c>
      <c r="O176" s="3" t="str">
        <f>IF(GLAPS자동계산!P175="","",GLAPS자동계산!P175)</f>
        <v/>
      </c>
      <c r="P176" s="2" t="str">
        <f>IF(GLAPS자동계산!Q175="","",GLAPS자동계산!Q175)</f>
        <v/>
      </c>
      <c r="Q176" s="3" t="str">
        <f>IF(GLAPS자동계산!R175="","",GLAPS자동계산!R175)</f>
        <v/>
      </c>
      <c r="R176" s="3" t="str">
        <f>IF(GLAPS자동계산!S175="","",GLAPS자동계산!S175)</f>
        <v/>
      </c>
      <c r="S176" s="3" t="str">
        <f>IF(GLAPS자동계산!T175="","",GLAPS자동계산!T175)</f>
        <v/>
      </c>
      <c r="T176" s="3" t="str">
        <f>IF(GLAPS자동계산!U175="","",GLAPS자동계산!U175)</f>
        <v/>
      </c>
      <c r="U176" s="3" t="str">
        <f>IF(GLAPS자동계산!V175="","",GLAPS자동계산!V175)</f>
        <v/>
      </c>
      <c r="V176" s="3" t="str">
        <f>IF(GLAPS자동계산!W175="","",GLAPS자동계산!W175)</f>
        <v/>
      </c>
      <c r="W176" s="14" t="str">
        <f>IF(GLAPS자동계산!X175="","",GLAPS자동계산!X175)</f>
        <v/>
      </c>
      <c r="X176" s="13" t="str">
        <f>IF(GLAPS자동계산!Y175="","",GLAPS자동계산!Y175)</f>
        <v/>
      </c>
      <c r="Y176" s="13" t="str">
        <f>IF(GLAPS자동계산!Z175="","",GLAPS자동계산!Z175)</f>
        <v/>
      </c>
      <c r="Z176" s="91" t="str">
        <f>IF(GLAPS자동계산!AA175="","",GLAPS자동계산!AA175)</f>
        <v/>
      </c>
      <c r="AA176" s="14" t="str">
        <f>IF(GLAPS자동계산!AB175="","",GLAPS자동계산!AB175)</f>
        <v/>
      </c>
      <c r="AC176" s="2" t="str">
        <f>IF($B176="","",$AC$1)</f>
        <v/>
      </c>
      <c r="AD176" s="2" t="str">
        <f>IF($B176="","",IFERROR(INDEX(GLAPS정리!$D$2:$D$50,MATCH(I176,GLAPS정리!$A$2:$A$50,0)),IFERROR(INDEX(GLAPS정리!$D$2:$D$50,MATCH(I176,GLAPS정리!$B$2:$B$50,0)),"")))</f>
        <v/>
      </c>
      <c r="AF176" s="2" t="str">
        <f>IF($B176="","",$AF$1)</f>
        <v/>
      </c>
      <c r="AI176" s="2" t="str">
        <f>IF($B176="","",IF(F176="","",VLOOKUP(F176,GLAPS정리!$G$3:$J$114,2,0)))</f>
        <v/>
      </c>
      <c r="AJ176" s="2" t="str">
        <f>IF($B176="","",IF(Z176="울산정일","KRONS",IF(Z176="울산신항","KRUSN",IF(OR(Z176="선광종합물류(인천여객)",Z176="인천여객(인천여객)"),"KRINF",IF(OR(Z176="선광인천보세(인천신)",Z176="한진인천(인천신)",Z176="선광인천신항(인천신)",Z176="인천더로지스(인천신)"),"KRINN",IF(OR(Z176="인천진아(인천항)",Z176="인천E1(인천항)",Z176="인천SM경인터미널(인천항)",Z176="인천항(인천항)",Z176="인천우련(인천항)",Z176="인천항8부두(인천항)"),"KRINC",VLOOKUP(K176,GLAPS정리!$BB$2:$BC$33,2,0)))))))</f>
        <v/>
      </c>
      <c r="AL176" s="2" t="str">
        <f>IF($B176="","",$AL$1)</f>
        <v/>
      </c>
      <c r="AN176" s="70" t="str">
        <f>IF($B176="","",TEXT(B176,"YYYY-MM-DD"))</f>
        <v/>
      </c>
      <c r="AO176" s="2" t="str">
        <f>IF($B176="","",IF(E176="오전", "0800", IF(E176="오후", "1300", IF(E176="잔업", "1800", ""))))</f>
        <v/>
      </c>
      <c r="AP176" s="2" t="str">
        <f>IF($B176="","",IF(C176="","",VLOOKUP(C176,GLAPS정리!$AX$2:$AZ$17,3,0)))</f>
        <v/>
      </c>
      <c r="AR176" s="2" t="str">
        <f>IF($B176="","",IF(X176="","",X176))</f>
        <v/>
      </c>
      <c r="AX176" s="2" t="str">
        <f>IF($B176="","",IF(L176="","",VLOOKUP(L176,GLAPS정리!$V$3:$W$180,2,0)))</f>
        <v/>
      </c>
      <c r="BM176" s="2" t="str">
        <f>IF($B176="","",IF(AND(Q176=1,OR(P176="",P176="위험물")), "2210", IF(AND(Q176=1,OR(P176="리퍼",P176="위험물리퍼")), "2230", IF(AND(S176=1,OR(P176="",P176="위험물")), "4510", IF(AND(S176=1,OR(P176="리퍼",P176="위험물리퍼")), "4530", IF(AND(R176=1,OR(P176="",P176="위험물")), "4210", IF(AND(R176=1,P176="리퍼"), "4230", " ")))))))</f>
        <v/>
      </c>
      <c r="BN176" s="2" t="str">
        <f>IF($B176="","",$BN$1)</f>
        <v/>
      </c>
      <c r="BR176" s="2" t="str">
        <f>IF($B176="","",IF(OR(P176="리퍼",P176="위험물리퍼"),"Y",""))</f>
        <v/>
      </c>
      <c r="BS176" s="2" t="str">
        <f>IF($B176="","",IF(OR(P176="위험물",P176="위험물리퍼"),"Y",""))</f>
        <v/>
      </c>
      <c r="BV176" s="2" t="str">
        <f>IF($B176="","",IF(O176="","",VLOOKUP(O176,GLAPS정리!$BH$2:$BI$94,2,0)))</f>
        <v/>
      </c>
      <c r="BW176" s="2" t="str">
        <f>IF($B176="","",IF(OR(Z176="동원",Z176="세방",Z176="한타"),"",IFERROR(INDEX(GLAPS정리!$BI$2:$BI$101,MATCH(Z176,GLAPS정리!$BH$2:$BH$101,0)),"")))</f>
        <v/>
      </c>
      <c r="BX176" s="2" t="str">
        <f>IF($B176="","",IF(Z176="","",IFERROR(VLOOKUP(Z176,GLAPS정리!$AX$2:$AZ$17,3,0),"")))</f>
        <v/>
      </c>
      <c r="BZ176" s="2" t="str">
        <f>IF($B176="","",IF(H176="","",VLOOKUP(H176,GLAPS정리!$L$3:$O$133,2,0)))</f>
        <v/>
      </c>
      <c r="CA176" s="2" t="str">
        <f>IF($B176="","",IF(V176="공휴일", 10, IF(V176="야간", 20, IF(V176="위험물", 30, IF(V176="중량", 40, "")))))</f>
        <v/>
      </c>
      <c r="CL176" s="2" t="str">
        <f>IF($B176="","",IF(AI176="","",VLOOKUP(AI176,GLAPS정리!$BT$3:$BV$26,3,0)))</f>
        <v/>
      </c>
    </row>
    <row r="177" spans="2:90" ht="20.45" customHeight="1">
      <c r="B177" s="13" t="str">
        <f>IF(GLAPS자동계산!C176="","",GLAPS자동계산!C176)</f>
        <v/>
      </c>
      <c r="C177" s="3" t="str">
        <f>IF(GLAPS자동계산!D176="","",GLAPS자동계산!D176)</f>
        <v/>
      </c>
      <c r="D177" s="16" t="str">
        <f>IF(GLAPS자동계산!E176="","",GLAPS자동계산!E176)</f>
        <v/>
      </c>
      <c r="E177" s="11" t="str">
        <f>IF(GLAPS자동계산!F176="","",GLAPS자동계산!F176)</f>
        <v/>
      </c>
      <c r="F177" s="3" t="str">
        <f>IF(GLAPS자동계산!G176="","",GLAPS자동계산!G176)</f>
        <v/>
      </c>
      <c r="G177" s="3" t="str">
        <f>IF(GLAPS자동계산!H176="","",GLAPS자동계산!H176)</f>
        <v/>
      </c>
      <c r="H177" s="3" t="str">
        <f>IF(GLAPS자동계산!I176="","",GLAPS자동계산!I176)</f>
        <v/>
      </c>
      <c r="I177" s="3" t="str">
        <f>IF(GLAPS자동계산!J176="","",GLAPS자동계산!J176)</f>
        <v/>
      </c>
      <c r="J177" s="3" t="str">
        <f>IF(GLAPS자동계산!K176="","",GLAPS자동계산!K176)</f>
        <v/>
      </c>
      <c r="K177" s="3" t="str">
        <f>IF(GLAPS자동계산!L176="","",GLAPS자동계산!L176)</f>
        <v/>
      </c>
      <c r="L177" s="3" t="str">
        <f>IF(GLAPS자동계산!M176="","",GLAPS자동계산!M176)</f>
        <v/>
      </c>
      <c r="M177" s="3" t="str">
        <f>IF(GLAPS자동계산!N176="","",GLAPS자동계산!N176)</f>
        <v/>
      </c>
      <c r="N177" s="3" t="str">
        <f>IF(GLAPS자동계산!O176="","",GLAPS자동계산!O176)</f>
        <v/>
      </c>
      <c r="O177" s="3" t="str">
        <f>IF(GLAPS자동계산!P176="","",GLAPS자동계산!P176)</f>
        <v/>
      </c>
      <c r="P177" s="2" t="str">
        <f>IF(GLAPS자동계산!Q176="","",GLAPS자동계산!Q176)</f>
        <v/>
      </c>
      <c r="Q177" s="3" t="str">
        <f>IF(GLAPS자동계산!R176="","",GLAPS자동계산!R176)</f>
        <v/>
      </c>
      <c r="R177" s="3" t="str">
        <f>IF(GLAPS자동계산!S176="","",GLAPS자동계산!S176)</f>
        <v/>
      </c>
      <c r="S177" s="3" t="str">
        <f>IF(GLAPS자동계산!T176="","",GLAPS자동계산!T176)</f>
        <v/>
      </c>
      <c r="T177" s="3" t="str">
        <f>IF(GLAPS자동계산!U176="","",GLAPS자동계산!U176)</f>
        <v/>
      </c>
      <c r="U177" s="3" t="str">
        <f>IF(GLAPS자동계산!V176="","",GLAPS자동계산!V176)</f>
        <v/>
      </c>
      <c r="V177" s="3" t="str">
        <f>IF(GLAPS자동계산!W176="","",GLAPS자동계산!W176)</f>
        <v/>
      </c>
      <c r="W177" s="14" t="str">
        <f>IF(GLAPS자동계산!X176="","",GLAPS자동계산!X176)</f>
        <v/>
      </c>
      <c r="X177" s="13" t="str">
        <f>IF(GLAPS자동계산!Y176="","",GLAPS자동계산!Y176)</f>
        <v/>
      </c>
      <c r="Y177" s="13" t="str">
        <f>IF(GLAPS자동계산!Z176="","",GLAPS자동계산!Z176)</f>
        <v/>
      </c>
      <c r="Z177" s="91" t="str">
        <f>IF(GLAPS자동계산!AA176="","",GLAPS자동계산!AA176)</f>
        <v/>
      </c>
      <c r="AA177" s="14" t="str">
        <f>IF(GLAPS자동계산!AB176="","",GLAPS자동계산!AB176)</f>
        <v/>
      </c>
      <c r="AC177" s="2" t="str">
        <f>IF($B177="","",$AC$1)</f>
        <v/>
      </c>
      <c r="AD177" s="2" t="str">
        <f>IF($B177="","",IFERROR(INDEX(GLAPS정리!$D$2:$D$50,MATCH(I177,GLAPS정리!$A$2:$A$50,0)),IFERROR(INDEX(GLAPS정리!$D$2:$D$50,MATCH(I177,GLAPS정리!$B$2:$B$50,0)),"")))</f>
        <v/>
      </c>
      <c r="AF177" s="2" t="str">
        <f>IF($B177="","",$AF$1)</f>
        <v/>
      </c>
      <c r="AI177" s="2" t="str">
        <f>IF($B177="","",IF(F177="","",VLOOKUP(F177,GLAPS정리!$G$3:$J$114,2,0)))</f>
        <v/>
      </c>
      <c r="AJ177" s="2" t="str">
        <f>IF($B177="","",IF(Z177="울산정일","KRONS",IF(Z177="울산신항","KRUSN",IF(OR(Z177="선광종합물류(인천여객)",Z177="인천여객(인천여객)"),"KRINF",IF(OR(Z177="선광인천보세(인천신)",Z177="한진인천(인천신)",Z177="선광인천신항(인천신)",Z177="인천더로지스(인천신)"),"KRINN",IF(OR(Z177="인천진아(인천항)",Z177="인천E1(인천항)",Z177="인천SM경인터미널(인천항)",Z177="인천항(인천항)",Z177="인천우련(인천항)",Z177="인천항8부두(인천항)"),"KRINC",VLOOKUP(K177,GLAPS정리!$BB$2:$BC$33,2,0)))))))</f>
        <v/>
      </c>
      <c r="AL177" s="2" t="str">
        <f>IF($B177="","",$AL$1)</f>
        <v/>
      </c>
      <c r="AN177" s="70" t="str">
        <f>IF($B177="","",TEXT(B177,"YYYY-MM-DD"))</f>
        <v/>
      </c>
      <c r="AO177" s="2" t="str">
        <f>IF($B177="","",IF(E177="오전", "0800", IF(E177="오후", "1300", IF(E177="잔업", "1800", ""))))</f>
        <v/>
      </c>
      <c r="AP177" s="2" t="str">
        <f>IF($B177="","",IF(C177="","",VLOOKUP(C177,GLAPS정리!$AX$2:$AZ$17,3,0)))</f>
        <v/>
      </c>
      <c r="AR177" s="2" t="str">
        <f>IF($B177="","",IF(X177="","",X177))</f>
        <v/>
      </c>
      <c r="AX177" s="2" t="str">
        <f>IF($B177="","",IF(L177="","",VLOOKUP(L177,GLAPS정리!$V$3:$W$180,2,0)))</f>
        <v/>
      </c>
      <c r="BM177" s="2" t="str">
        <f>IF($B177="","",IF(AND(Q177=1,OR(P177="",P177="위험물")), "2210", IF(AND(Q177=1,OR(P177="리퍼",P177="위험물리퍼")), "2230", IF(AND(S177=1,OR(P177="",P177="위험물")), "4510", IF(AND(S177=1,OR(P177="리퍼",P177="위험물리퍼")), "4530", IF(AND(R177=1,OR(P177="",P177="위험물")), "4210", IF(AND(R177=1,P177="리퍼"), "4230", " ")))))))</f>
        <v/>
      </c>
      <c r="BN177" s="2" t="str">
        <f>IF($B177="","",$BN$1)</f>
        <v/>
      </c>
      <c r="BR177" s="2" t="str">
        <f>IF($B177="","",IF(OR(P177="리퍼",P177="위험물리퍼"),"Y",""))</f>
        <v/>
      </c>
      <c r="BS177" s="2" t="str">
        <f>IF($B177="","",IF(OR(P177="위험물",P177="위험물리퍼"),"Y",""))</f>
        <v/>
      </c>
      <c r="BV177" s="2" t="str">
        <f>IF($B177="","",IF(O177="","",VLOOKUP(O177,GLAPS정리!$BH$2:$BI$94,2,0)))</f>
        <v/>
      </c>
      <c r="BW177" s="2" t="str">
        <f>IF($B177="","",IF(OR(Z177="동원",Z177="세방",Z177="한타"),"",IFERROR(INDEX(GLAPS정리!$BI$2:$BI$101,MATCH(Z177,GLAPS정리!$BH$2:$BH$101,0)),"")))</f>
        <v/>
      </c>
      <c r="BX177" s="2" t="str">
        <f>IF($B177="","",IF(Z177="","",IFERROR(VLOOKUP(Z177,GLAPS정리!$AX$2:$AZ$17,3,0),"")))</f>
        <v/>
      </c>
      <c r="BZ177" s="2" t="str">
        <f>IF($B177="","",IF(H177="","",VLOOKUP(H177,GLAPS정리!$L$3:$O$133,2,0)))</f>
        <v/>
      </c>
      <c r="CA177" s="2" t="str">
        <f>IF($B177="","",IF(V177="공휴일", 10, IF(V177="야간", 20, IF(V177="위험물", 30, IF(V177="중량", 40, "")))))</f>
        <v/>
      </c>
      <c r="CL177" s="2" t="str">
        <f>IF($B177="","",IF(AI177="","",VLOOKUP(AI177,GLAPS정리!$BT$3:$BV$26,3,0)))</f>
        <v/>
      </c>
    </row>
    <row r="178" spans="2:90" ht="20.45" customHeight="1">
      <c r="B178" s="13" t="str">
        <f>IF(GLAPS자동계산!C177="","",GLAPS자동계산!C177)</f>
        <v/>
      </c>
      <c r="C178" s="3" t="str">
        <f>IF(GLAPS자동계산!D177="","",GLAPS자동계산!D177)</f>
        <v/>
      </c>
      <c r="D178" s="16" t="str">
        <f>IF(GLAPS자동계산!E177="","",GLAPS자동계산!E177)</f>
        <v/>
      </c>
      <c r="E178" s="11" t="str">
        <f>IF(GLAPS자동계산!F177="","",GLAPS자동계산!F177)</f>
        <v/>
      </c>
      <c r="F178" s="3" t="str">
        <f>IF(GLAPS자동계산!G177="","",GLAPS자동계산!G177)</f>
        <v/>
      </c>
      <c r="G178" s="3" t="str">
        <f>IF(GLAPS자동계산!H177="","",GLAPS자동계산!H177)</f>
        <v/>
      </c>
      <c r="H178" s="3" t="str">
        <f>IF(GLAPS자동계산!I177="","",GLAPS자동계산!I177)</f>
        <v/>
      </c>
      <c r="I178" s="3" t="str">
        <f>IF(GLAPS자동계산!J177="","",GLAPS자동계산!J177)</f>
        <v/>
      </c>
      <c r="J178" s="3" t="str">
        <f>IF(GLAPS자동계산!K177="","",GLAPS자동계산!K177)</f>
        <v/>
      </c>
      <c r="K178" s="3" t="str">
        <f>IF(GLAPS자동계산!L177="","",GLAPS자동계산!L177)</f>
        <v/>
      </c>
      <c r="L178" s="3" t="str">
        <f>IF(GLAPS자동계산!M177="","",GLAPS자동계산!M177)</f>
        <v/>
      </c>
      <c r="M178" s="3" t="str">
        <f>IF(GLAPS자동계산!N177="","",GLAPS자동계산!N177)</f>
        <v/>
      </c>
      <c r="N178" s="3" t="str">
        <f>IF(GLAPS자동계산!O177="","",GLAPS자동계산!O177)</f>
        <v/>
      </c>
      <c r="O178" s="3" t="str">
        <f>IF(GLAPS자동계산!P177="","",GLAPS자동계산!P177)</f>
        <v/>
      </c>
      <c r="P178" s="2" t="str">
        <f>IF(GLAPS자동계산!Q177="","",GLAPS자동계산!Q177)</f>
        <v/>
      </c>
      <c r="Q178" s="3" t="str">
        <f>IF(GLAPS자동계산!R177="","",GLAPS자동계산!R177)</f>
        <v/>
      </c>
      <c r="R178" s="3" t="str">
        <f>IF(GLAPS자동계산!S177="","",GLAPS자동계산!S177)</f>
        <v/>
      </c>
      <c r="S178" s="3" t="str">
        <f>IF(GLAPS자동계산!T177="","",GLAPS자동계산!T177)</f>
        <v/>
      </c>
      <c r="T178" s="3" t="str">
        <f>IF(GLAPS자동계산!U177="","",GLAPS자동계산!U177)</f>
        <v/>
      </c>
      <c r="U178" s="3" t="str">
        <f>IF(GLAPS자동계산!V177="","",GLAPS자동계산!V177)</f>
        <v/>
      </c>
      <c r="V178" s="3" t="str">
        <f>IF(GLAPS자동계산!W177="","",GLAPS자동계산!W177)</f>
        <v/>
      </c>
      <c r="W178" s="14" t="str">
        <f>IF(GLAPS자동계산!X177="","",GLAPS자동계산!X177)</f>
        <v/>
      </c>
      <c r="X178" s="13" t="str">
        <f>IF(GLAPS자동계산!Y177="","",GLAPS자동계산!Y177)</f>
        <v/>
      </c>
      <c r="Y178" s="13" t="str">
        <f>IF(GLAPS자동계산!Z177="","",GLAPS자동계산!Z177)</f>
        <v/>
      </c>
      <c r="Z178" s="91" t="str">
        <f>IF(GLAPS자동계산!AA177="","",GLAPS자동계산!AA177)</f>
        <v/>
      </c>
      <c r="AA178" s="14" t="str">
        <f>IF(GLAPS자동계산!AB177="","",GLAPS자동계산!AB177)</f>
        <v/>
      </c>
      <c r="AC178" s="2" t="str">
        <f>IF($B178="","",$AC$1)</f>
        <v/>
      </c>
      <c r="AD178" s="2" t="str">
        <f>IF($B178="","",IFERROR(INDEX(GLAPS정리!$D$2:$D$50,MATCH(I178,GLAPS정리!$A$2:$A$50,0)),IFERROR(INDEX(GLAPS정리!$D$2:$D$50,MATCH(I178,GLAPS정리!$B$2:$B$50,0)),"")))</f>
        <v/>
      </c>
      <c r="AF178" s="2" t="str">
        <f>IF($B178="","",$AF$1)</f>
        <v/>
      </c>
      <c r="AI178" s="2" t="str">
        <f>IF($B178="","",IF(F178="","",VLOOKUP(F178,GLAPS정리!$G$3:$J$114,2,0)))</f>
        <v/>
      </c>
      <c r="AJ178" s="2" t="str">
        <f>IF($B178="","",IF(Z178="울산정일","KRONS",IF(Z178="울산신항","KRUSN",IF(OR(Z178="선광종합물류(인천여객)",Z178="인천여객(인천여객)"),"KRINF",IF(OR(Z178="선광인천보세(인천신)",Z178="한진인천(인천신)",Z178="선광인천신항(인천신)",Z178="인천더로지스(인천신)"),"KRINN",IF(OR(Z178="인천진아(인천항)",Z178="인천E1(인천항)",Z178="인천SM경인터미널(인천항)",Z178="인천항(인천항)",Z178="인천우련(인천항)",Z178="인천항8부두(인천항)"),"KRINC",VLOOKUP(K178,GLAPS정리!$BB$2:$BC$33,2,0)))))))</f>
        <v/>
      </c>
      <c r="AL178" s="2" t="str">
        <f>IF($B178="","",$AL$1)</f>
        <v/>
      </c>
      <c r="AN178" s="70" t="str">
        <f>IF($B178="","",TEXT(B178,"YYYY-MM-DD"))</f>
        <v/>
      </c>
      <c r="AO178" s="2" t="str">
        <f>IF($B178="","",IF(E178="오전", "0800", IF(E178="오후", "1300", IF(E178="잔업", "1800", ""))))</f>
        <v/>
      </c>
      <c r="AP178" s="2" t="str">
        <f>IF($B178="","",IF(C178="","",VLOOKUP(C178,GLAPS정리!$AX$2:$AZ$17,3,0)))</f>
        <v/>
      </c>
      <c r="AR178" s="2" t="str">
        <f>IF($B178="","",IF(X178="","",X178))</f>
        <v/>
      </c>
      <c r="AX178" s="2" t="str">
        <f>IF($B178="","",IF(L178="","",VLOOKUP(L178,GLAPS정리!$V$3:$W$180,2,0)))</f>
        <v/>
      </c>
      <c r="BM178" s="2" t="str">
        <f>IF($B178="","",IF(AND(Q178=1,OR(P178="",P178="위험물")), "2210", IF(AND(Q178=1,OR(P178="리퍼",P178="위험물리퍼")), "2230", IF(AND(S178=1,OR(P178="",P178="위험물")), "4510", IF(AND(S178=1,OR(P178="리퍼",P178="위험물리퍼")), "4530", IF(AND(R178=1,OR(P178="",P178="위험물")), "4210", IF(AND(R178=1,P178="리퍼"), "4230", " ")))))))</f>
        <v/>
      </c>
      <c r="BN178" s="2" t="str">
        <f>IF($B178="","",$BN$1)</f>
        <v/>
      </c>
      <c r="BR178" s="2" t="str">
        <f>IF($B178="","",IF(OR(P178="리퍼",P178="위험물리퍼"),"Y",""))</f>
        <v/>
      </c>
      <c r="BS178" s="2" t="str">
        <f>IF($B178="","",IF(OR(P178="위험물",P178="위험물리퍼"),"Y",""))</f>
        <v/>
      </c>
      <c r="BV178" s="2" t="str">
        <f>IF($B178="","",IF(O178="","",VLOOKUP(O178,GLAPS정리!$BH$2:$BI$94,2,0)))</f>
        <v/>
      </c>
      <c r="BW178" s="2" t="str">
        <f>IF($B178="","",IF(OR(Z178="동원",Z178="세방",Z178="한타"),"",IFERROR(INDEX(GLAPS정리!$BI$2:$BI$101,MATCH(Z178,GLAPS정리!$BH$2:$BH$101,0)),"")))</f>
        <v/>
      </c>
      <c r="BX178" s="2" t="str">
        <f>IF($B178="","",IF(Z178="","",IFERROR(VLOOKUP(Z178,GLAPS정리!$AX$2:$AZ$17,3,0),"")))</f>
        <v/>
      </c>
      <c r="BZ178" s="2" t="str">
        <f>IF($B178="","",IF(H178="","",VLOOKUP(H178,GLAPS정리!$L$3:$O$133,2,0)))</f>
        <v/>
      </c>
      <c r="CA178" s="2" t="str">
        <f>IF($B178="","",IF(V178="공휴일", 10, IF(V178="야간", 20, IF(V178="위험물", 30, IF(V178="중량", 40, "")))))</f>
        <v/>
      </c>
      <c r="CL178" s="2" t="str">
        <f>IF($B178="","",IF(AI178="","",VLOOKUP(AI178,GLAPS정리!$BT$3:$BV$26,3,0)))</f>
        <v/>
      </c>
    </row>
    <row r="179" spans="2:90" ht="20.45" customHeight="1">
      <c r="B179" s="13" t="str">
        <f>IF(GLAPS자동계산!C178="","",GLAPS자동계산!C178)</f>
        <v/>
      </c>
      <c r="C179" s="3" t="str">
        <f>IF(GLAPS자동계산!D178="","",GLAPS자동계산!D178)</f>
        <v/>
      </c>
      <c r="D179" s="16" t="str">
        <f>IF(GLAPS자동계산!E178="","",GLAPS자동계산!E178)</f>
        <v/>
      </c>
      <c r="E179" s="11" t="str">
        <f>IF(GLAPS자동계산!F178="","",GLAPS자동계산!F178)</f>
        <v/>
      </c>
      <c r="F179" s="3" t="str">
        <f>IF(GLAPS자동계산!G178="","",GLAPS자동계산!G178)</f>
        <v/>
      </c>
      <c r="G179" s="3" t="str">
        <f>IF(GLAPS자동계산!H178="","",GLAPS자동계산!H178)</f>
        <v/>
      </c>
      <c r="H179" s="3" t="str">
        <f>IF(GLAPS자동계산!I178="","",GLAPS자동계산!I178)</f>
        <v/>
      </c>
      <c r="I179" s="3" t="str">
        <f>IF(GLAPS자동계산!J178="","",GLAPS자동계산!J178)</f>
        <v/>
      </c>
      <c r="J179" s="3" t="str">
        <f>IF(GLAPS자동계산!K178="","",GLAPS자동계산!K178)</f>
        <v/>
      </c>
      <c r="K179" s="3" t="str">
        <f>IF(GLAPS자동계산!L178="","",GLAPS자동계산!L178)</f>
        <v/>
      </c>
      <c r="L179" s="3" t="str">
        <f>IF(GLAPS자동계산!M178="","",GLAPS자동계산!M178)</f>
        <v/>
      </c>
      <c r="M179" s="3" t="str">
        <f>IF(GLAPS자동계산!N178="","",GLAPS자동계산!N178)</f>
        <v/>
      </c>
      <c r="N179" s="3" t="str">
        <f>IF(GLAPS자동계산!O178="","",GLAPS자동계산!O178)</f>
        <v/>
      </c>
      <c r="O179" s="3" t="str">
        <f>IF(GLAPS자동계산!P178="","",GLAPS자동계산!P178)</f>
        <v/>
      </c>
      <c r="P179" s="2" t="str">
        <f>IF(GLAPS자동계산!Q178="","",GLAPS자동계산!Q178)</f>
        <v/>
      </c>
      <c r="Q179" s="3" t="str">
        <f>IF(GLAPS자동계산!R178="","",GLAPS자동계산!R178)</f>
        <v/>
      </c>
      <c r="R179" s="3" t="str">
        <f>IF(GLAPS자동계산!S178="","",GLAPS자동계산!S178)</f>
        <v/>
      </c>
      <c r="S179" s="3" t="str">
        <f>IF(GLAPS자동계산!T178="","",GLAPS자동계산!T178)</f>
        <v/>
      </c>
      <c r="T179" s="3" t="str">
        <f>IF(GLAPS자동계산!U178="","",GLAPS자동계산!U178)</f>
        <v/>
      </c>
      <c r="U179" s="3" t="str">
        <f>IF(GLAPS자동계산!V178="","",GLAPS자동계산!V178)</f>
        <v/>
      </c>
      <c r="V179" s="3" t="str">
        <f>IF(GLAPS자동계산!W178="","",GLAPS자동계산!W178)</f>
        <v/>
      </c>
      <c r="W179" s="14" t="str">
        <f>IF(GLAPS자동계산!X178="","",GLAPS자동계산!X178)</f>
        <v/>
      </c>
      <c r="X179" s="13" t="str">
        <f>IF(GLAPS자동계산!Y178="","",GLAPS자동계산!Y178)</f>
        <v/>
      </c>
      <c r="Y179" s="13" t="str">
        <f>IF(GLAPS자동계산!Z178="","",GLAPS자동계산!Z178)</f>
        <v/>
      </c>
      <c r="Z179" s="91" t="str">
        <f>IF(GLAPS자동계산!AA178="","",GLAPS자동계산!AA178)</f>
        <v/>
      </c>
      <c r="AA179" s="14" t="str">
        <f>IF(GLAPS자동계산!AB178="","",GLAPS자동계산!AB178)</f>
        <v/>
      </c>
      <c r="AC179" s="2" t="str">
        <f>IF($B179="","",$AC$1)</f>
        <v/>
      </c>
      <c r="AD179" s="2" t="str">
        <f>IF($B179="","",IFERROR(INDEX(GLAPS정리!$D$2:$D$50,MATCH(I179,GLAPS정리!$A$2:$A$50,0)),IFERROR(INDEX(GLAPS정리!$D$2:$D$50,MATCH(I179,GLAPS정리!$B$2:$B$50,0)),"")))</f>
        <v/>
      </c>
      <c r="AF179" s="2" t="str">
        <f>IF($B179="","",$AF$1)</f>
        <v/>
      </c>
      <c r="AI179" s="2" t="str">
        <f>IF($B179="","",IF(F179="","",VLOOKUP(F179,GLAPS정리!$G$3:$J$114,2,0)))</f>
        <v/>
      </c>
      <c r="AJ179" s="2" t="str">
        <f>IF($B179="","",IF(Z179="울산정일","KRONS",IF(Z179="울산신항","KRUSN",IF(OR(Z179="선광종합물류(인천여객)",Z179="인천여객(인천여객)"),"KRINF",IF(OR(Z179="선광인천보세(인천신)",Z179="한진인천(인천신)",Z179="선광인천신항(인천신)",Z179="인천더로지스(인천신)"),"KRINN",IF(OR(Z179="인천진아(인천항)",Z179="인천E1(인천항)",Z179="인천SM경인터미널(인천항)",Z179="인천항(인천항)",Z179="인천우련(인천항)",Z179="인천항8부두(인천항)"),"KRINC",VLOOKUP(K179,GLAPS정리!$BB$2:$BC$33,2,0)))))))</f>
        <v/>
      </c>
      <c r="AL179" s="2" t="str">
        <f>IF($B179="","",$AL$1)</f>
        <v/>
      </c>
      <c r="AN179" s="70" t="str">
        <f>IF($B179="","",TEXT(B179,"YYYY-MM-DD"))</f>
        <v/>
      </c>
      <c r="AO179" s="2" t="str">
        <f>IF($B179="","",IF(E179="오전", "0800", IF(E179="오후", "1300", IF(E179="잔업", "1800", ""))))</f>
        <v/>
      </c>
      <c r="AP179" s="2" t="str">
        <f>IF($B179="","",IF(C179="","",VLOOKUP(C179,GLAPS정리!$AX$2:$AZ$17,3,0)))</f>
        <v/>
      </c>
      <c r="AR179" s="2" t="str">
        <f>IF($B179="","",IF(X179="","",X179))</f>
        <v/>
      </c>
      <c r="AX179" s="2" t="str">
        <f>IF($B179="","",IF(L179="","",VLOOKUP(L179,GLAPS정리!$V$3:$W$180,2,0)))</f>
        <v/>
      </c>
      <c r="BM179" s="2" t="str">
        <f>IF($B179="","",IF(AND(Q179=1,OR(P179="",P179="위험물")), "2210", IF(AND(Q179=1,OR(P179="리퍼",P179="위험물리퍼")), "2230", IF(AND(S179=1,OR(P179="",P179="위험물")), "4510", IF(AND(S179=1,OR(P179="리퍼",P179="위험물리퍼")), "4530", IF(AND(R179=1,OR(P179="",P179="위험물")), "4210", IF(AND(R179=1,P179="리퍼"), "4230", " ")))))))</f>
        <v/>
      </c>
      <c r="BN179" s="2" t="str">
        <f>IF($B179="","",$BN$1)</f>
        <v/>
      </c>
      <c r="BR179" s="2" t="str">
        <f>IF($B179="","",IF(OR(P179="리퍼",P179="위험물리퍼"),"Y",""))</f>
        <v/>
      </c>
      <c r="BS179" s="2" t="str">
        <f>IF($B179="","",IF(OR(P179="위험물",P179="위험물리퍼"),"Y",""))</f>
        <v/>
      </c>
      <c r="BV179" s="2" t="str">
        <f>IF($B179="","",IF(O179="","",VLOOKUP(O179,GLAPS정리!$BH$2:$BI$94,2,0)))</f>
        <v/>
      </c>
      <c r="BW179" s="2" t="str">
        <f>IF($B179="","",IF(OR(Z179="동원",Z179="세방",Z179="한타"),"",IFERROR(INDEX(GLAPS정리!$BI$2:$BI$101,MATCH(Z179,GLAPS정리!$BH$2:$BH$101,0)),"")))</f>
        <v/>
      </c>
      <c r="BX179" s="2" t="str">
        <f>IF($B179="","",IF(Z179="","",IFERROR(VLOOKUP(Z179,GLAPS정리!$AX$2:$AZ$17,3,0),"")))</f>
        <v/>
      </c>
      <c r="BZ179" s="2" t="str">
        <f>IF($B179="","",IF(H179="","",VLOOKUP(H179,GLAPS정리!$L$3:$O$133,2,0)))</f>
        <v/>
      </c>
      <c r="CA179" s="2" t="str">
        <f>IF($B179="","",IF(V179="공휴일", 10, IF(V179="야간", 20, IF(V179="위험물", 30, IF(V179="중량", 40, "")))))</f>
        <v/>
      </c>
      <c r="CL179" s="2" t="str">
        <f>IF($B179="","",IF(AI179="","",VLOOKUP(AI179,GLAPS정리!$BT$3:$BV$26,3,0)))</f>
        <v/>
      </c>
    </row>
    <row r="180" spans="2:90" ht="20.45" customHeight="1">
      <c r="B180" s="13" t="str">
        <f>IF(GLAPS자동계산!C179="","",GLAPS자동계산!C179)</f>
        <v/>
      </c>
      <c r="C180" s="3" t="str">
        <f>IF(GLAPS자동계산!D179="","",GLAPS자동계산!D179)</f>
        <v/>
      </c>
      <c r="D180" s="16" t="str">
        <f>IF(GLAPS자동계산!E179="","",GLAPS자동계산!E179)</f>
        <v/>
      </c>
      <c r="E180" s="11" t="str">
        <f>IF(GLAPS자동계산!F179="","",GLAPS자동계산!F179)</f>
        <v/>
      </c>
      <c r="F180" s="3" t="str">
        <f>IF(GLAPS자동계산!G179="","",GLAPS자동계산!G179)</f>
        <v/>
      </c>
      <c r="G180" s="3" t="str">
        <f>IF(GLAPS자동계산!H179="","",GLAPS자동계산!H179)</f>
        <v/>
      </c>
      <c r="H180" s="3" t="str">
        <f>IF(GLAPS자동계산!I179="","",GLAPS자동계산!I179)</f>
        <v/>
      </c>
      <c r="I180" s="3" t="str">
        <f>IF(GLAPS자동계산!J179="","",GLAPS자동계산!J179)</f>
        <v/>
      </c>
      <c r="J180" s="3" t="str">
        <f>IF(GLAPS자동계산!K179="","",GLAPS자동계산!K179)</f>
        <v/>
      </c>
      <c r="K180" s="3" t="str">
        <f>IF(GLAPS자동계산!L179="","",GLAPS자동계산!L179)</f>
        <v/>
      </c>
      <c r="L180" s="3" t="str">
        <f>IF(GLAPS자동계산!M179="","",GLAPS자동계산!M179)</f>
        <v/>
      </c>
      <c r="M180" s="3" t="str">
        <f>IF(GLAPS자동계산!N179="","",GLAPS자동계산!N179)</f>
        <v/>
      </c>
      <c r="N180" s="3" t="str">
        <f>IF(GLAPS자동계산!O179="","",GLAPS자동계산!O179)</f>
        <v/>
      </c>
      <c r="O180" s="3" t="str">
        <f>IF(GLAPS자동계산!P179="","",GLAPS자동계산!P179)</f>
        <v/>
      </c>
      <c r="P180" s="2" t="str">
        <f>IF(GLAPS자동계산!Q179="","",GLAPS자동계산!Q179)</f>
        <v/>
      </c>
      <c r="Q180" s="3" t="str">
        <f>IF(GLAPS자동계산!R179="","",GLAPS자동계산!R179)</f>
        <v/>
      </c>
      <c r="R180" s="3" t="str">
        <f>IF(GLAPS자동계산!S179="","",GLAPS자동계산!S179)</f>
        <v/>
      </c>
      <c r="S180" s="3" t="str">
        <f>IF(GLAPS자동계산!T179="","",GLAPS자동계산!T179)</f>
        <v/>
      </c>
      <c r="T180" s="3" t="str">
        <f>IF(GLAPS자동계산!U179="","",GLAPS자동계산!U179)</f>
        <v/>
      </c>
      <c r="U180" s="3" t="str">
        <f>IF(GLAPS자동계산!V179="","",GLAPS자동계산!V179)</f>
        <v/>
      </c>
      <c r="V180" s="3" t="str">
        <f>IF(GLAPS자동계산!W179="","",GLAPS자동계산!W179)</f>
        <v/>
      </c>
      <c r="W180" s="14" t="str">
        <f>IF(GLAPS자동계산!X179="","",GLAPS자동계산!X179)</f>
        <v/>
      </c>
      <c r="X180" s="13" t="str">
        <f>IF(GLAPS자동계산!Y179="","",GLAPS자동계산!Y179)</f>
        <v/>
      </c>
      <c r="Y180" s="13" t="str">
        <f>IF(GLAPS자동계산!Z179="","",GLAPS자동계산!Z179)</f>
        <v/>
      </c>
      <c r="Z180" s="91" t="str">
        <f>IF(GLAPS자동계산!AA179="","",GLAPS자동계산!AA179)</f>
        <v/>
      </c>
      <c r="AA180" s="14" t="str">
        <f>IF(GLAPS자동계산!AB179="","",GLAPS자동계산!AB179)</f>
        <v/>
      </c>
      <c r="AC180" s="2" t="str">
        <f>IF($B180="","",$AC$1)</f>
        <v/>
      </c>
      <c r="AD180" s="2" t="str">
        <f>IF($B180="","",IFERROR(INDEX(GLAPS정리!$D$2:$D$50,MATCH(I180,GLAPS정리!$A$2:$A$50,0)),IFERROR(INDEX(GLAPS정리!$D$2:$D$50,MATCH(I180,GLAPS정리!$B$2:$B$50,0)),"")))</f>
        <v/>
      </c>
      <c r="AF180" s="2" t="str">
        <f>IF($B180="","",$AF$1)</f>
        <v/>
      </c>
      <c r="AI180" s="2" t="str">
        <f>IF($B180="","",IF(F180="","",VLOOKUP(F180,GLAPS정리!$G$3:$J$114,2,0)))</f>
        <v/>
      </c>
      <c r="AJ180" s="2" t="str">
        <f>IF($B180="","",IF(Z180="울산정일","KRONS",IF(Z180="울산신항","KRUSN",IF(OR(Z180="선광종합물류(인천여객)",Z180="인천여객(인천여객)"),"KRINF",IF(OR(Z180="선광인천보세(인천신)",Z180="한진인천(인천신)",Z180="선광인천신항(인천신)",Z180="인천더로지스(인천신)"),"KRINN",IF(OR(Z180="인천진아(인천항)",Z180="인천E1(인천항)",Z180="인천SM경인터미널(인천항)",Z180="인천항(인천항)",Z180="인천우련(인천항)",Z180="인천항8부두(인천항)"),"KRINC",VLOOKUP(K180,GLAPS정리!$BB$2:$BC$33,2,0)))))))</f>
        <v/>
      </c>
      <c r="AL180" s="2" t="str">
        <f>IF($B180="","",$AL$1)</f>
        <v/>
      </c>
      <c r="AN180" s="70" t="str">
        <f>IF($B180="","",TEXT(B180,"YYYY-MM-DD"))</f>
        <v/>
      </c>
      <c r="AO180" s="2" t="str">
        <f>IF($B180="","",IF(E180="오전", "0800", IF(E180="오후", "1300", IF(E180="잔업", "1800", ""))))</f>
        <v/>
      </c>
      <c r="AP180" s="2" t="str">
        <f>IF($B180="","",IF(C180="","",VLOOKUP(C180,GLAPS정리!$AX$2:$AZ$17,3,0)))</f>
        <v/>
      </c>
      <c r="AR180" s="2" t="str">
        <f>IF($B180="","",IF(X180="","",X180))</f>
        <v/>
      </c>
      <c r="AX180" s="2" t="str">
        <f>IF($B180="","",IF(L180="","",VLOOKUP(L180,GLAPS정리!$V$3:$W$180,2,0)))</f>
        <v/>
      </c>
      <c r="BM180" s="2" t="str">
        <f>IF($B180="","",IF(AND(Q180=1,OR(P180="",P180="위험물")), "2210", IF(AND(Q180=1,OR(P180="리퍼",P180="위험물리퍼")), "2230", IF(AND(S180=1,OR(P180="",P180="위험물")), "4510", IF(AND(S180=1,OR(P180="리퍼",P180="위험물리퍼")), "4530", IF(AND(R180=1,OR(P180="",P180="위험물")), "4210", IF(AND(R180=1,P180="리퍼"), "4230", " ")))))))</f>
        <v/>
      </c>
      <c r="BN180" s="2" t="str">
        <f>IF($B180="","",$BN$1)</f>
        <v/>
      </c>
      <c r="BR180" s="2" t="str">
        <f>IF($B180="","",IF(OR(P180="리퍼",P180="위험물리퍼"),"Y",""))</f>
        <v/>
      </c>
      <c r="BS180" s="2" t="str">
        <f>IF($B180="","",IF(OR(P180="위험물",P180="위험물리퍼"),"Y",""))</f>
        <v/>
      </c>
      <c r="BV180" s="2" t="str">
        <f>IF($B180="","",IF(O180="","",VLOOKUP(O180,GLAPS정리!$BH$2:$BI$94,2,0)))</f>
        <v/>
      </c>
      <c r="BW180" s="2" t="str">
        <f>IF($B180="","",IF(OR(Z180="동원",Z180="세방",Z180="한타"),"",IFERROR(INDEX(GLAPS정리!$BI$2:$BI$101,MATCH(Z180,GLAPS정리!$BH$2:$BH$101,0)),"")))</f>
        <v/>
      </c>
      <c r="BX180" s="2" t="str">
        <f>IF($B180="","",IF(Z180="","",IFERROR(VLOOKUP(Z180,GLAPS정리!$AX$2:$AZ$17,3,0),"")))</f>
        <v/>
      </c>
      <c r="BZ180" s="2" t="str">
        <f>IF($B180="","",IF(H180="","",VLOOKUP(H180,GLAPS정리!$L$3:$O$133,2,0)))</f>
        <v/>
      </c>
      <c r="CA180" s="2" t="str">
        <f>IF($B180="","",IF(V180="공휴일", 10, IF(V180="야간", 20, IF(V180="위험물", 30, IF(V180="중량", 40, "")))))</f>
        <v/>
      </c>
      <c r="CL180" s="2" t="str">
        <f>IF($B180="","",IF(AI180="","",VLOOKUP(AI180,GLAPS정리!$BT$3:$BV$26,3,0)))</f>
        <v/>
      </c>
    </row>
    <row r="181" spans="2:90" ht="20.45" customHeight="1">
      <c r="B181" s="13" t="str">
        <f>IF(GLAPS자동계산!C180="","",GLAPS자동계산!C180)</f>
        <v/>
      </c>
      <c r="C181" s="3" t="str">
        <f>IF(GLAPS자동계산!D180="","",GLAPS자동계산!D180)</f>
        <v/>
      </c>
      <c r="D181" s="16" t="str">
        <f>IF(GLAPS자동계산!E180="","",GLAPS자동계산!E180)</f>
        <v/>
      </c>
      <c r="E181" s="11" t="str">
        <f>IF(GLAPS자동계산!F180="","",GLAPS자동계산!F180)</f>
        <v/>
      </c>
      <c r="F181" s="3" t="str">
        <f>IF(GLAPS자동계산!G180="","",GLAPS자동계산!G180)</f>
        <v/>
      </c>
      <c r="G181" s="3" t="str">
        <f>IF(GLAPS자동계산!H180="","",GLAPS자동계산!H180)</f>
        <v/>
      </c>
      <c r="H181" s="3" t="str">
        <f>IF(GLAPS자동계산!I180="","",GLAPS자동계산!I180)</f>
        <v/>
      </c>
      <c r="I181" s="3" t="str">
        <f>IF(GLAPS자동계산!J180="","",GLAPS자동계산!J180)</f>
        <v/>
      </c>
      <c r="J181" s="3" t="str">
        <f>IF(GLAPS자동계산!K180="","",GLAPS자동계산!K180)</f>
        <v/>
      </c>
      <c r="K181" s="3" t="str">
        <f>IF(GLAPS자동계산!L180="","",GLAPS자동계산!L180)</f>
        <v/>
      </c>
      <c r="L181" s="3" t="str">
        <f>IF(GLAPS자동계산!M180="","",GLAPS자동계산!M180)</f>
        <v/>
      </c>
      <c r="M181" s="3" t="str">
        <f>IF(GLAPS자동계산!N180="","",GLAPS자동계산!N180)</f>
        <v/>
      </c>
      <c r="N181" s="3" t="str">
        <f>IF(GLAPS자동계산!O180="","",GLAPS자동계산!O180)</f>
        <v/>
      </c>
      <c r="O181" s="3" t="str">
        <f>IF(GLAPS자동계산!P180="","",GLAPS자동계산!P180)</f>
        <v/>
      </c>
      <c r="P181" s="2" t="str">
        <f>IF(GLAPS자동계산!Q180="","",GLAPS자동계산!Q180)</f>
        <v/>
      </c>
      <c r="Q181" s="3" t="str">
        <f>IF(GLAPS자동계산!R180="","",GLAPS자동계산!R180)</f>
        <v/>
      </c>
      <c r="R181" s="3" t="str">
        <f>IF(GLAPS자동계산!S180="","",GLAPS자동계산!S180)</f>
        <v/>
      </c>
      <c r="S181" s="3" t="str">
        <f>IF(GLAPS자동계산!T180="","",GLAPS자동계산!T180)</f>
        <v/>
      </c>
      <c r="T181" s="3" t="str">
        <f>IF(GLAPS자동계산!U180="","",GLAPS자동계산!U180)</f>
        <v/>
      </c>
      <c r="U181" s="3" t="str">
        <f>IF(GLAPS자동계산!V180="","",GLAPS자동계산!V180)</f>
        <v/>
      </c>
      <c r="V181" s="3" t="str">
        <f>IF(GLAPS자동계산!W180="","",GLAPS자동계산!W180)</f>
        <v/>
      </c>
      <c r="W181" s="14" t="str">
        <f>IF(GLAPS자동계산!X180="","",GLAPS자동계산!X180)</f>
        <v/>
      </c>
      <c r="X181" s="13" t="str">
        <f>IF(GLAPS자동계산!Y180="","",GLAPS자동계산!Y180)</f>
        <v/>
      </c>
      <c r="Y181" s="13" t="str">
        <f>IF(GLAPS자동계산!Z180="","",GLAPS자동계산!Z180)</f>
        <v/>
      </c>
      <c r="Z181" s="91" t="str">
        <f>IF(GLAPS자동계산!AA180="","",GLAPS자동계산!AA180)</f>
        <v/>
      </c>
      <c r="AA181" s="14" t="str">
        <f>IF(GLAPS자동계산!AB180="","",GLAPS자동계산!AB180)</f>
        <v/>
      </c>
      <c r="AC181" s="2" t="str">
        <f>IF($B181="","",$AC$1)</f>
        <v/>
      </c>
      <c r="AD181" s="2" t="str">
        <f>IF($B181="","",IFERROR(INDEX(GLAPS정리!$D$2:$D$50,MATCH(I181,GLAPS정리!$A$2:$A$50,0)),IFERROR(INDEX(GLAPS정리!$D$2:$D$50,MATCH(I181,GLAPS정리!$B$2:$B$50,0)),"")))</f>
        <v/>
      </c>
      <c r="AF181" s="2" t="str">
        <f>IF($B181="","",$AF$1)</f>
        <v/>
      </c>
      <c r="AI181" s="2" t="str">
        <f>IF($B181="","",IF(F181="","",VLOOKUP(F181,GLAPS정리!$G$3:$J$114,2,0)))</f>
        <v/>
      </c>
      <c r="AJ181" s="2" t="str">
        <f>IF($B181="","",IF(Z181="울산정일","KRONS",IF(Z181="울산신항","KRUSN",IF(OR(Z181="선광종합물류(인천여객)",Z181="인천여객(인천여객)"),"KRINF",IF(OR(Z181="선광인천보세(인천신)",Z181="한진인천(인천신)",Z181="선광인천신항(인천신)",Z181="인천더로지스(인천신)"),"KRINN",IF(OR(Z181="인천진아(인천항)",Z181="인천E1(인천항)",Z181="인천SM경인터미널(인천항)",Z181="인천항(인천항)",Z181="인천우련(인천항)",Z181="인천항8부두(인천항)"),"KRINC",VLOOKUP(K181,GLAPS정리!$BB$2:$BC$33,2,0)))))))</f>
        <v/>
      </c>
      <c r="AL181" s="2" t="str">
        <f>IF($B181="","",$AL$1)</f>
        <v/>
      </c>
      <c r="AN181" s="70" t="str">
        <f>IF($B181="","",TEXT(B181,"YYYY-MM-DD"))</f>
        <v/>
      </c>
      <c r="AO181" s="2" t="str">
        <f>IF($B181="","",IF(E181="오전", "0800", IF(E181="오후", "1300", IF(E181="잔업", "1800", ""))))</f>
        <v/>
      </c>
      <c r="AP181" s="2" t="str">
        <f>IF($B181="","",IF(C181="","",VLOOKUP(C181,GLAPS정리!$AX$2:$AZ$17,3,0)))</f>
        <v/>
      </c>
      <c r="AR181" s="2" t="str">
        <f>IF($B181="","",IF(X181="","",X181))</f>
        <v/>
      </c>
      <c r="AX181" s="2" t="str">
        <f>IF($B181="","",IF(L181="","",VLOOKUP(L181,GLAPS정리!$V$3:$W$180,2,0)))</f>
        <v/>
      </c>
      <c r="BM181" s="2" t="str">
        <f>IF($B181="","",IF(AND(Q181=1,OR(P181="",P181="위험물")), "2210", IF(AND(Q181=1,OR(P181="리퍼",P181="위험물리퍼")), "2230", IF(AND(S181=1,OR(P181="",P181="위험물")), "4510", IF(AND(S181=1,OR(P181="리퍼",P181="위험물리퍼")), "4530", IF(AND(R181=1,OR(P181="",P181="위험물")), "4210", IF(AND(R181=1,P181="리퍼"), "4230", " ")))))))</f>
        <v/>
      </c>
      <c r="BN181" s="2" t="str">
        <f>IF($B181="","",$BN$1)</f>
        <v/>
      </c>
      <c r="BR181" s="2" t="str">
        <f>IF($B181="","",IF(OR(P181="리퍼",P181="위험물리퍼"),"Y",""))</f>
        <v/>
      </c>
      <c r="BS181" s="2" t="str">
        <f>IF($B181="","",IF(OR(P181="위험물",P181="위험물리퍼"),"Y",""))</f>
        <v/>
      </c>
      <c r="BV181" s="2" t="str">
        <f>IF($B181="","",IF(O181="","",VLOOKUP(O181,GLAPS정리!$BH$2:$BI$94,2,0)))</f>
        <v/>
      </c>
      <c r="BW181" s="2" t="str">
        <f>IF($B181="","",IF(OR(Z181="동원",Z181="세방",Z181="한타"),"",IFERROR(INDEX(GLAPS정리!$BI$2:$BI$101,MATCH(Z181,GLAPS정리!$BH$2:$BH$101,0)),"")))</f>
        <v/>
      </c>
      <c r="BX181" s="2" t="str">
        <f>IF($B181="","",IF(Z181="","",IFERROR(VLOOKUP(Z181,GLAPS정리!$AX$2:$AZ$17,3,0),"")))</f>
        <v/>
      </c>
      <c r="BZ181" s="2" t="str">
        <f>IF($B181="","",IF(H181="","",VLOOKUP(H181,GLAPS정리!$L$3:$O$133,2,0)))</f>
        <v/>
      </c>
      <c r="CA181" s="2" t="str">
        <f>IF($B181="","",IF(V181="공휴일", 10, IF(V181="야간", 20, IF(V181="위험물", 30, IF(V181="중량", 40, "")))))</f>
        <v/>
      </c>
      <c r="CL181" s="2" t="str">
        <f>IF($B181="","",IF(AI181="","",VLOOKUP(AI181,GLAPS정리!$BT$3:$BV$26,3,0)))</f>
        <v/>
      </c>
    </row>
    <row r="182" spans="2:90" ht="20.45" customHeight="1">
      <c r="B182" s="13" t="str">
        <f>IF(GLAPS자동계산!C181="","",GLAPS자동계산!C181)</f>
        <v/>
      </c>
      <c r="C182" s="3" t="str">
        <f>IF(GLAPS자동계산!D181="","",GLAPS자동계산!D181)</f>
        <v/>
      </c>
      <c r="D182" s="16" t="str">
        <f>IF(GLAPS자동계산!E181="","",GLAPS자동계산!E181)</f>
        <v/>
      </c>
      <c r="E182" s="11" t="str">
        <f>IF(GLAPS자동계산!F181="","",GLAPS자동계산!F181)</f>
        <v/>
      </c>
      <c r="F182" s="3" t="str">
        <f>IF(GLAPS자동계산!G181="","",GLAPS자동계산!G181)</f>
        <v/>
      </c>
      <c r="G182" s="3" t="str">
        <f>IF(GLAPS자동계산!H181="","",GLAPS자동계산!H181)</f>
        <v/>
      </c>
      <c r="H182" s="3" t="str">
        <f>IF(GLAPS자동계산!I181="","",GLAPS자동계산!I181)</f>
        <v/>
      </c>
      <c r="I182" s="3" t="str">
        <f>IF(GLAPS자동계산!J181="","",GLAPS자동계산!J181)</f>
        <v/>
      </c>
      <c r="J182" s="3" t="str">
        <f>IF(GLAPS자동계산!K181="","",GLAPS자동계산!K181)</f>
        <v/>
      </c>
      <c r="K182" s="3" t="str">
        <f>IF(GLAPS자동계산!L181="","",GLAPS자동계산!L181)</f>
        <v/>
      </c>
      <c r="L182" s="3" t="str">
        <f>IF(GLAPS자동계산!M181="","",GLAPS자동계산!M181)</f>
        <v/>
      </c>
      <c r="M182" s="3" t="str">
        <f>IF(GLAPS자동계산!N181="","",GLAPS자동계산!N181)</f>
        <v/>
      </c>
      <c r="N182" s="3" t="str">
        <f>IF(GLAPS자동계산!O181="","",GLAPS자동계산!O181)</f>
        <v/>
      </c>
      <c r="O182" s="3" t="str">
        <f>IF(GLAPS자동계산!P181="","",GLAPS자동계산!P181)</f>
        <v/>
      </c>
      <c r="P182" s="2" t="str">
        <f>IF(GLAPS자동계산!Q181="","",GLAPS자동계산!Q181)</f>
        <v/>
      </c>
      <c r="Q182" s="3" t="str">
        <f>IF(GLAPS자동계산!R181="","",GLAPS자동계산!R181)</f>
        <v/>
      </c>
      <c r="R182" s="3" t="str">
        <f>IF(GLAPS자동계산!S181="","",GLAPS자동계산!S181)</f>
        <v/>
      </c>
      <c r="S182" s="3" t="str">
        <f>IF(GLAPS자동계산!T181="","",GLAPS자동계산!T181)</f>
        <v/>
      </c>
      <c r="T182" s="3" t="str">
        <f>IF(GLAPS자동계산!U181="","",GLAPS자동계산!U181)</f>
        <v/>
      </c>
      <c r="U182" s="3" t="str">
        <f>IF(GLAPS자동계산!V181="","",GLAPS자동계산!V181)</f>
        <v/>
      </c>
      <c r="V182" s="3" t="str">
        <f>IF(GLAPS자동계산!W181="","",GLAPS자동계산!W181)</f>
        <v/>
      </c>
      <c r="W182" s="14" t="str">
        <f>IF(GLAPS자동계산!X181="","",GLAPS자동계산!X181)</f>
        <v/>
      </c>
      <c r="X182" s="13" t="str">
        <f>IF(GLAPS자동계산!Y181="","",GLAPS자동계산!Y181)</f>
        <v/>
      </c>
      <c r="Y182" s="13" t="str">
        <f>IF(GLAPS자동계산!Z181="","",GLAPS자동계산!Z181)</f>
        <v/>
      </c>
      <c r="Z182" s="91" t="str">
        <f>IF(GLAPS자동계산!AA181="","",GLAPS자동계산!AA181)</f>
        <v/>
      </c>
      <c r="AA182" s="14" t="str">
        <f>IF(GLAPS자동계산!AB181="","",GLAPS자동계산!AB181)</f>
        <v/>
      </c>
      <c r="AC182" s="2" t="str">
        <f>IF($B182="","",$AC$1)</f>
        <v/>
      </c>
      <c r="AD182" s="2" t="str">
        <f>IF($B182="","",IFERROR(INDEX(GLAPS정리!$D$2:$D$50,MATCH(I182,GLAPS정리!$A$2:$A$50,0)),IFERROR(INDEX(GLAPS정리!$D$2:$D$50,MATCH(I182,GLAPS정리!$B$2:$B$50,0)),"")))</f>
        <v/>
      </c>
      <c r="AF182" s="2" t="str">
        <f>IF($B182="","",$AF$1)</f>
        <v/>
      </c>
      <c r="AI182" s="2" t="str">
        <f>IF($B182="","",IF(F182="","",VLOOKUP(F182,GLAPS정리!$G$3:$J$114,2,0)))</f>
        <v/>
      </c>
      <c r="AJ182" s="2" t="str">
        <f>IF($B182="","",IF(Z182="울산정일","KRONS",IF(Z182="울산신항","KRUSN",IF(OR(Z182="선광종합물류(인천여객)",Z182="인천여객(인천여객)"),"KRINF",IF(OR(Z182="선광인천보세(인천신)",Z182="한진인천(인천신)",Z182="선광인천신항(인천신)",Z182="인천더로지스(인천신)"),"KRINN",IF(OR(Z182="인천진아(인천항)",Z182="인천E1(인천항)",Z182="인천SM경인터미널(인천항)",Z182="인천항(인천항)",Z182="인천우련(인천항)",Z182="인천항8부두(인천항)"),"KRINC",VLOOKUP(K182,GLAPS정리!$BB$2:$BC$33,2,0)))))))</f>
        <v/>
      </c>
      <c r="AL182" s="2" t="str">
        <f>IF($B182="","",$AL$1)</f>
        <v/>
      </c>
      <c r="AN182" s="70" t="str">
        <f>IF($B182="","",TEXT(B182,"YYYY-MM-DD"))</f>
        <v/>
      </c>
      <c r="AO182" s="2" t="str">
        <f>IF($B182="","",IF(E182="오전", "0800", IF(E182="오후", "1300", IF(E182="잔업", "1800", ""))))</f>
        <v/>
      </c>
      <c r="AP182" s="2" t="str">
        <f>IF($B182="","",IF(C182="","",VLOOKUP(C182,GLAPS정리!$AX$2:$AZ$17,3,0)))</f>
        <v/>
      </c>
      <c r="AR182" s="2" t="str">
        <f>IF($B182="","",IF(X182="","",X182))</f>
        <v/>
      </c>
      <c r="AX182" s="2" t="str">
        <f>IF($B182="","",IF(L182="","",VLOOKUP(L182,GLAPS정리!$V$3:$W$180,2,0)))</f>
        <v/>
      </c>
      <c r="BM182" s="2" t="str">
        <f>IF($B182="","",IF(AND(Q182=1,OR(P182="",P182="위험물")), "2210", IF(AND(Q182=1,OR(P182="리퍼",P182="위험물리퍼")), "2230", IF(AND(S182=1,OR(P182="",P182="위험물")), "4510", IF(AND(S182=1,OR(P182="리퍼",P182="위험물리퍼")), "4530", IF(AND(R182=1,OR(P182="",P182="위험물")), "4210", IF(AND(R182=1,P182="리퍼"), "4230", " ")))))))</f>
        <v/>
      </c>
      <c r="BN182" s="2" t="str">
        <f>IF($B182="","",$BN$1)</f>
        <v/>
      </c>
      <c r="BR182" s="2" t="str">
        <f>IF($B182="","",IF(OR(P182="리퍼",P182="위험물리퍼"),"Y",""))</f>
        <v/>
      </c>
      <c r="BS182" s="2" t="str">
        <f>IF($B182="","",IF(OR(P182="위험물",P182="위험물리퍼"),"Y",""))</f>
        <v/>
      </c>
      <c r="BV182" s="2" t="str">
        <f>IF($B182="","",IF(O182="","",VLOOKUP(O182,GLAPS정리!$BH$2:$BI$94,2,0)))</f>
        <v/>
      </c>
      <c r="BW182" s="2" t="str">
        <f>IF($B182="","",IF(OR(Z182="동원",Z182="세방",Z182="한타"),"",IFERROR(INDEX(GLAPS정리!$BI$2:$BI$101,MATCH(Z182,GLAPS정리!$BH$2:$BH$101,0)),"")))</f>
        <v/>
      </c>
      <c r="BX182" s="2" t="str">
        <f>IF($B182="","",IF(Z182="","",IFERROR(VLOOKUP(Z182,GLAPS정리!$AX$2:$AZ$17,3,0),"")))</f>
        <v/>
      </c>
      <c r="BZ182" s="2" t="str">
        <f>IF($B182="","",IF(H182="","",VLOOKUP(H182,GLAPS정리!$L$3:$O$133,2,0)))</f>
        <v/>
      </c>
      <c r="CA182" s="2" t="str">
        <f>IF($B182="","",IF(V182="공휴일", 10, IF(V182="야간", 20, IF(V182="위험물", 30, IF(V182="중량", 40, "")))))</f>
        <v/>
      </c>
      <c r="CL182" s="2" t="str">
        <f>IF($B182="","",IF(AI182="","",VLOOKUP(AI182,GLAPS정리!$BT$3:$BV$26,3,0)))</f>
        <v/>
      </c>
    </row>
    <row r="183" spans="2:90" ht="20.45" customHeight="1">
      <c r="B183" s="13" t="str">
        <f>IF(GLAPS자동계산!C182="","",GLAPS자동계산!C182)</f>
        <v/>
      </c>
      <c r="C183" s="3" t="str">
        <f>IF(GLAPS자동계산!D182="","",GLAPS자동계산!D182)</f>
        <v/>
      </c>
      <c r="D183" s="16" t="str">
        <f>IF(GLAPS자동계산!E182="","",GLAPS자동계산!E182)</f>
        <v/>
      </c>
      <c r="E183" s="11" t="str">
        <f>IF(GLAPS자동계산!F182="","",GLAPS자동계산!F182)</f>
        <v/>
      </c>
      <c r="F183" s="3" t="str">
        <f>IF(GLAPS자동계산!G182="","",GLAPS자동계산!G182)</f>
        <v/>
      </c>
      <c r="G183" s="3" t="str">
        <f>IF(GLAPS자동계산!H182="","",GLAPS자동계산!H182)</f>
        <v/>
      </c>
      <c r="H183" s="3" t="str">
        <f>IF(GLAPS자동계산!I182="","",GLAPS자동계산!I182)</f>
        <v/>
      </c>
      <c r="I183" s="3" t="str">
        <f>IF(GLAPS자동계산!J182="","",GLAPS자동계산!J182)</f>
        <v/>
      </c>
      <c r="J183" s="3" t="str">
        <f>IF(GLAPS자동계산!K182="","",GLAPS자동계산!K182)</f>
        <v/>
      </c>
      <c r="K183" s="3" t="str">
        <f>IF(GLAPS자동계산!L182="","",GLAPS자동계산!L182)</f>
        <v/>
      </c>
      <c r="L183" s="3" t="str">
        <f>IF(GLAPS자동계산!M182="","",GLAPS자동계산!M182)</f>
        <v/>
      </c>
      <c r="M183" s="3" t="str">
        <f>IF(GLAPS자동계산!N182="","",GLAPS자동계산!N182)</f>
        <v/>
      </c>
      <c r="N183" s="3" t="str">
        <f>IF(GLAPS자동계산!O182="","",GLAPS자동계산!O182)</f>
        <v/>
      </c>
      <c r="O183" s="3" t="str">
        <f>IF(GLAPS자동계산!P182="","",GLAPS자동계산!P182)</f>
        <v/>
      </c>
      <c r="P183" s="2" t="str">
        <f>IF(GLAPS자동계산!Q182="","",GLAPS자동계산!Q182)</f>
        <v/>
      </c>
      <c r="Q183" s="3" t="str">
        <f>IF(GLAPS자동계산!R182="","",GLAPS자동계산!R182)</f>
        <v/>
      </c>
      <c r="R183" s="3" t="str">
        <f>IF(GLAPS자동계산!S182="","",GLAPS자동계산!S182)</f>
        <v/>
      </c>
      <c r="S183" s="3" t="str">
        <f>IF(GLAPS자동계산!T182="","",GLAPS자동계산!T182)</f>
        <v/>
      </c>
      <c r="T183" s="3" t="str">
        <f>IF(GLAPS자동계산!U182="","",GLAPS자동계산!U182)</f>
        <v/>
      </c>
      <c r="U183" s="3" t="str">
        <f>IF(GLAPS자동계산!V182="","",GLAPS자동계산!V182)</f>
        <v/>
      </c>
      <c r="V183" s="3" t="str">
        <f>IF(GLAPS자동계산!W182="","",GLAPS자동계산!W182)</f>
        <v/>
      </c>
      <c r="W183" s="14" t="str">
        <f>IF(GLAPS자동계산!X182="","",GLAPS자동계산!X182)</f>
        <v/>
      </c>
      <c r="X183" s="13" t="str">
        <f>IF(GLAPS자동계산!Y182="","",GLAPS자동계산!Y182)</f>
        <v/>
      </c>
      <c r="Y183" s="13" t="str">
        <f>IF(GLAPS자동계산!Z182="","",GLAPS자동계산!Z182)</f>
        <v/>
      </c>
      <c r="Z183" s="91" t="str">
        <f>IF(GLAPS자동계산!AA182="","",GLAPS자동계산!AA182)</f>
        <v/>
      </c>
      <c r="AA183" s="14" t="str">
        <f>IF(GLAPS자동계산!AB182="","",GLAPS자동계산!AB182)</f>
        <v/>
      </c>
      <c r="AC183" s="2" t="str">
        <f>IF($B183="","",$AC$1)</f>
        <v/>
      </c>
      <c r="AD183" s="2" t="str">
        <f>IF($B183="","",IFERROR(INDEX(GLAPS정리!$D$2:$D$50,MATCH(I183,GLAPS정리!$A$2:$A$50,0)),IFERROR(INDEX(GLAPS정리!$D$2:$D$50,MATCH(I183,GLAPS정리!$B$2:$B$50,0)),"")))</f>
        <v/>
      </c>
      <c r="AF183" s="2" t="str">
        <f>IF($B183="","",$AF$1)</f>
        <v/>
      </c>
      <c r="AI183" s="2" t="str">
        <f>IF($B183="","",IF(F183="","",VLOOKUP(F183,GLAPS정리!$G$3:$J$114,2,0)))</f>
        <v/>
      </c>
      <c r="AJ183" s="2" t="str">
        <f>IF($B183="","",IF(Z183="울산정일","KRONS",IF(Z183="울산신항","KRUSN",IF(OR(Z183="선광종합물류(인천여객)",Z183="인천여객(인천여객)"),"KRINF",IF(OR(Z183="선광인천보세(인천신)",Z183="한진인천(인천신)",Z183="선광인천신항(인천신)",Z183="인천더로지스(인천신)"),"KRINN",IF(OR(Z183="인천진아(인천항)",Z183="인천E1(인천항)",Z183="인천SM경인터미널(인천항)",Z183="인천항(인천항)",Z183="인천우련(인천항)",Z183="인천항8부두(인천항)"),"KRINC",VLOOKUP(K183,GLAPS정리!$BB$2:$BC$33,2,0)))))))</f>
        <v/>
      </c>
      <c r="AL183" s="2" t="str">
        <f>IF($B183="","",$AL$1)</f>
        <v/>
      </c>
      <c r="AN183" s="70" t="str">
        <f>IF($B183="","",TEXT(B183,"YYYY-MM-DD"))</f>
        <v/>
      </c>
      <c r="AO183" s="2" t="str">
        <f>IF($B183="","",IF(E183="오전", "0800", IF(E183="오후", "1300", IF(E183="잔업", "1800", ""))))</f>
        <v/>
      </c>
      <c r="AP183" s="2" t="str">
        <f>IF($B183="","",IF(C183="","",VLOOKUP(C183,GLAPS정리!$AX$2:$AZ$17,3,0)))</f>
        <v/>
      </c>
      <c r="AR183" s="2" t="str">
        <f>IF($B183="","",IF(X183="","",X183))</f>
        <v/>
      </c>
      <c r="AX183" s="2" t="str">
        <f>IF($B183="","",IF(L183="","",VLOOKUP(L183,GLAPS정리!$V$3:$W$180,2,0)))</f>
        <v/>
      </c>
      <c r="BM183" s="2" t="str">
        <f>IF($B183="","",IF(AND(Q183=1,OR(P183="",P183="위험물")), "2210", IF(AND(Q183=1,OR(P183="리퍼",P183="위험물리퍼")), "2230", IF(AND(S183=1,OR(P183="",P183="위험물")), "4510", IF(AND(S183=1,OR(P183="리퍼",P183="위험물리퍼")), "4530", IF(AND(R183=1,OR(P183="",P183="위험물")), "4210", IF(AND(R183=1,P183="리퍼"), "4230", " ")))))))</f>
        <v/>
      </c>
      <c r="BN183" s="2" t="str">
        <f>IF($B183="","",$BN$1)</f>
        <v/>
      </c>
      <c r="BR183" s="2" t="str">
        <f>IF($B183="","",IF(OR(P183="리퍼",P183="위험물리퍼"),"Y",""))</f>
        <v/>
      </c>
      <c r="BS183" s="2" t="str">
        <f>IF($B183="","",IF(OR(P183="위험물",P183="위험물리퍼"),"Y",""))</f>
        <v/>
      </c>
      <c r="BV183" s="2" t="str">
        <f>IF($B183="","",IF(O183="","",VLOOKUP(O183,GLAPS정리!$BH$2:$BI$94,2,0)))</f>
        <v/>
      </c>
      <c r="BW183" s="2" t="str">
        <f>IF($B183="","",IF(OR(Z183="동원",Z183="세방",Z183="한타"),"",IFERROR(INDEX(GLAPS정리!$BI$2:$BI$101,MATCH(Z183,GLAPS정리!$BH$2:$BH$101,0)),"")))</f>
        <v/>
      </c>
      <c r="BX183" s="2" t="str">
        <f>IF($B183="","",IF(Z183="","",IFERROR(VLOOKUP(Z183,GLAPS정리!$AX$2:$AZ$17,3,0),"")))</f>
        <v/>
      </c>
      <c r="BZ183" s="2" t="str">
        <f>IF($B183="","",IF(H183="","",VLOOKUP(H183,GLAPS정리!$L$3:$O$133,2,0)))</f>
        <v/>
      </c>
      <c r="CA183" s="2" t="str">
        <f>IF($B183="","",IF(V183="공휴일", 10, IF(V183="야간", 20, IF(V183="위험물", 30, IF(V183="중량", 40, "")))))</f>
        <v/>
      </c>
      <c r="CL183" s="2" t="str">
        <f>IF($B183="","",IF(AI183="","",VLOOKUP(AI183,GLAPS정리!$BT$3:$BV$26,3,0)))</f>
        <v/>
      </c>
    </row>
    <row r="184" spans="2:90" ht="20.45" customHeight="1">
      <c r="B184" s="13" t="str">
        <f>IF(GLAPS자동계산!C183="","",GLAPS자동계산!C183)</f>
        <v/>
      </c>
      <c r="C184" s="3" t="str">
        <f>IF(GLAPS자동계산!D183="","",GLAPS자동계산!D183)</f>
        <v/>
      </c>
      <c r="D184" s="16" t="str">
        <f>IF(GLAPS자동계산!E183="","",GLAPS자동계산!E183)</f>
        <v/>
      </c>
      <c r="E184" s="11" t="str">
        <f>IF(GLAPS자동계산!F183="","",GLAPS자동계산!F183)</f>
        <v/>
      </c>
      <c r="F184" s="3" t="str">
        <f>IF(GLAPS자동계산!G183="","",GLAPS자동계산!G183)</f>
        <v/>
      </c>
      <c r="G184" s="3" t="str">
        <f>IF(GLAPS자동계산!H183="","",GLAPS자동계산!H183)</f>
        <v/>
      </c>
      <c r="H184" s="3" t="str">
        <f>IF(GLAPS자동계산!I183="","",GLAPS자동계산!I183)</f>
        <v/>
      </c>
      <c r="I184" s="3" t="str">
        <f>IF(GLAPS자동계산!J183="","",GLAPS자동계산!J183)</f>
        <v/>
      </c>
      <c r="J184" s="3" t="str">
        <f>IF(GLAPS자동계산!K183="","",GLAPS자동계산!K183)</f>
        <v/>
      </c>
      <c r="K184" s="3" t="str">
        <f>IF(GLAPS자동계산!L183="","",GLAPS자동계산!L183)</f>
        <v/>
      </c>
      <c r="L184" s="3" t="str">
        <f>IF(GLAPS자동계산!M183="","",GLAPS자동계산!M183)</f>
        <v/>
      </c>
      <c r="M184" s="3" t="str">
        <f>IF(GLAPS자동계산!N183="","",GLAPS자동계산!N183)</f>
        <v/>
      </c>
      <c r="N184" s="3" t="str">
        <f>IF(GLAPS자동계산!O183="","",GLAPS자동계산!O183)</f>
        <v/>
      </c>
      <c r="O184" s="3" t="str">
        <f>IF(GLAPS자동계산!P183="","",GLAPS자동계산!P183)</f>
        <v/>
      </c>
      <c r="P184" s="2" t="str">
        <f>IF(GLAPS자동계산!Q183="","",GLAPS자동계산!Q183)</f>
        <v/>
      </c>
      <c r="Q184" s="3" t="str">
        <f>IF(GLAPS자동계산!R183="","",GLAPS자동계산!R183)</f>
        <v/>
      </c>
      <c r="R184" s="3" t="str">
        <f>IF(GLAPS자동계산!S183="","",GLAPS자동계산!S183)</f>
        <v/>
      </c>
      <c r="S184" s="3" t="str">
        <f>IF(GLAPS자동계산!T183="","",GLAPS자동계산!T183)</f>
        <v/>
      </c>
      <c r="T184" s="3" t="str">
        <f>IF(GLAPS자동계산!U183="","",GLAPS자동계산!U183)</f>
        <v/>
      </c>
      <c r="U184" s="3" t="str">
        <f>IF(GLAPS자동계산!V183="","",GLAPS자동계산!V183)</f>
        <v/>
      </c>
      <c r="V184" s="3" t="str">
        <f>IF(GLAPS자동계산!W183="","",GLAPS자동계산!W183)</f>
        <v/>
      </c>
      <c r="W184" s="14" t="str">
        <f>IF(GLAPS자동계산!X183="","",GLAPS자동계산!X183)</f>
        <v/>
      </c>
      <c r="X184" s="13" t="str">
        <f>IF(GLAPS자동계산!Y183="","",GLAPS자동계산!Y183)</f>
        <v/>
      </c>
      <c r="Y184" s="13" t="str">
        <f>IF(GLAPS자동계산!Z183="","",GLAPS자동계산!Z183)</f>
        <v/>
      </c>
      <c r="Z184" s="91" t="str">
        <f>IF(GLAPS자동계산!AA183="","",GLAPS자동계산!AA183)</f>
        <v/>
      </c>
      <c r="AA184" s="14" t="str">
        <f>IF(GLAPS자동계산!AB183="","",GLAPS자동계산!AB183)</f>
        <v/>
      </c>
      <c r="AC184" s="2" t="str">
        <f>IF($B184="","",$AC$1)</f>
        <v/>
      </c>
      <c r="AD184" s="2" t="str">
        <f>IF($B184="","",IFERROR(INDEX(GLAPS정리!$D$2:$D$50,MATCH(I184,GLAPS정리!$A$2:$A$50,0)),IFERROR(INDEX(GLAPS정리!$D$2:$D$50,MATCH(I184,GLAPS정리!$B$2:$B$50,0)),"")))</f>
        <v/>
      </c>
      <c r="AF184" s="2" t="str">
        <f>IF($B184="","",$AF$1)</f>
        <v/>
      </c>
      <c r="AI184" s="2" t="str">
        <f>IF($B184="","",IF(F184="","",VLOOKUP(F184,GLAPS정리!$G$3:$J$114,2,0)))</f>
        <v/>
      </c>
      <c r="AJ184" s="2" t="str">
        <f>IF($B184="","",IF(Z184="울산정일","KRONS",IF(Z184="울산신항","KRUSN",IF(OR(Z184="선광종합물류(인천여객)",Z184="인천여객(인천여객)"),"KRINF",IF(OR(Z184="선광인천보세(인천신)",Z184="한진인천(인천신)",Z184="선광인천신항(인천신)",Z184="인천더로지스(인천신)"),"KRINN",IF(OR(Z184="인천진아(인천항)",Z184="인천E1(인천항)",Z184="인천SM경인터미널(인천항)",Z184="인천항(인천항)",Z184="인천우련(인천항)",Z184="인천항8부두(인천항)"),"KRINC",VLOOKUP(K184,GLAPS정리!$BB$2:$BC$33,2,0)))))))</f>
        <v/>
      </c>
      <c r="AL184" s="2" t="str">
        <f>IF($B184="","",$AL$1)</f>
        <v/>
      </c>
      <c r="AN184" s="70" t="str">
        <f>IF($B184="","",TEXT(B184,"YYYY-MM-DD"))</f>
        <v/>
      </c>
      <c r="AO184" s="2" t="str">
        <f>IF($B184="","",IF(E184="오전", "0800", IF(E184="오후", "1300", IF(E184="잔업", "1800", ""))))</f>
        <v/>
      </c>
      <c r="AP184" s="2" t="str">
        <f>IF($B184="","",IF(C184="","",VLOOKUP(C184,GLAPS정리!$AX$2:$AZ$17,3,0)))</f>
        <v/>
      </c>
      <c r="AR184" s="2" t="str">
        <f>IF($B184="","",IF(X184="","",X184))</f>
        <v/>
      </c>
      <c r="AX184" s="2" t="str">
        <f>IF($B184="","",IF(L184="","",VLOOKUP(L184,GLAPS정리!$V$3:$W$180,2,0)))</f>
        <v/>
      </c>
      <c r="BM184" s="2" t="str">
        <f>IF($B184="","",IF(AND(Q184=1,OR(P184="",P184="위험물")), "2210", IF(AND(Q184=1,OR(P184="리퍼",P184="위험물리퍼")), "2230", IF(AND(S184=1,OR(P184="",P184="위험물")), "4510", IF(AND(S184=1,OR(P184="리퍼",P184="위험물리퍼")), "4530", IF(AND(R184=1,OR(P184="",P184="위험물")), "4210", IF(AND(R184=1,P184="리퍼"), "4230", " ")))))))</f>
        <v/>
      </c>
      <c r="BN184" s="2" t="str">
        <f>IF($B184="","",$BN$1)</f>
        <v/>
      </c>
      <c r="BR184" s="2" t="str">
        <f>IF($B184="","",IF(OR(P184="리퍼",P184="위험물리퍼"),"Y",""))</f>
        <v/>
      </c>
      <c r="BS184" s="2" t="str">
        <f>IF($B184="","",IF(OR(P184="위험물",P184="위험물리퍼"),"Y",""))</f>
        <v/>
      </c>
      <c r="BV184" s="2" t="str">
        <f>IF($B184="","",IF(O184="","",VLOOKUP(O184,GLAPS정리!$BH$2:$BI$94,2,0)))</f>
        <v/>
      </c>
      <c r="BW184" s="2" t="str">
        <f>IF($B184="","",IF(OR(Z184="동원",Z184="세방",Z184="한타"),"",IFERROR(INDEX(GLAPS정리!$BI$2:$BI$101,MATCH(Z184,GLAPS정리!$BH$2:$BH$101,0)),"")))</f>
        <v/>
      </c>
      <c r="BX184" s="2" t="str">
        <f>IF($B184="","",IF(Z184="","",IFERROR(VLOOKUP(Z184,GLAPS정리!$AX$2:$AZ$17,3,0),"")))</f>
        <v/>
      </c>
      <c r="BZ184" s="2" t="str">
        <f>IF($B184="","",IF(H184="","",VLOOKUP(H184,GLAPS정리!$L$3:$O$133,2,0)))</f>
        <v/>
      </c>
      <c r="CA184" s="2" t="str">
        <f>IF($B184="","",IF(V184="공휴일", 10, IF(V184="야간", 20, IF(V184="위험물", 30, IF(V184="중량", 40, "")))))</f>
        <v/>
      </c>
      <c r="CL184" s="2" t="str">
        <f>IF($B184="","",IF(AI184="","",VLOOKUP(AI184,GLAPS정리!$BT$3:$BV$26,3,0)))</f>
        <v/>
      </c>
    </row>
    <row r="185" spans="2:90" ht="20.45" customHeight="1">
      <c r="B185" s="13" t="str">
        <f>IF(GLAPS자동계산!C184="","",GLAPS자동계산!C184)</f>
        <v/>
      </c>
      <c r="C185" s="3" t="str">
        <f>IF(GLAPS자동계산!D184="","",GLAPS자동계산!D184)</f>
        <v/>
      </c>
      <c r="D185" s="16" t="str">
        <f>IF(GLAPS자동계산!E184="","",GLAPS자동계산!E184)</f>
        <v/>
      </c>
      <c r="E185" s="11" t="str">
        <f>IF(GLAPS자동계산!F184="","",GLAPS자동계산!F184)</f>
        <v/>
      </c>
      <c r="F185" s="3" t="str">
        <f>IF(GLAPS자동계산!G184="","",GLAPS자동계산!G184)</f>
        <v/>
      </c>
      <c r="G185" s="3" t="str">
        <f>IF(GLAPS자동계산!H184="","",GLAPS자동계산!H184)</f>
        <v/>
      </c>
      <c r="H185" s="3" t="str">
        <f>IF(GLAPS자동계산!I184="","",GLAPS자동계산!I184)</f>
        <v/>
      </c>
      <c r="I185" s="3" t="str">
        <f>IF(GLAPS자동계산!J184="","",GLAPS자동계산!J184)</f>
        <v/>
      </c>
      <c r="J185" s="3" t="str">
        <f>IF(GLAPS자동계산!K184="","",GLAPS자동계산!K184)</f>
        <v/>
      </c>
      <c r="K185" s="3" t="str">
        <f>IF(GLAPS자동계산!L184="","",GLAPS자동계산!L184)</f>
        <v/>
      </c>
      <c r="L185" s="3" t="str">
        <f>IF(GLAPS자동계산!M184="","",GLAPS자동계산!M184)</f>
        <v/>
      </c>
      <c r="M185" s="3" t="str">
        <f>IF(GLAPS자동계산!N184="","",GLAPS자동계산!N184)</f>
        <v/>
      </c>
      <c r="N185" s="3" t="str">
        <f>IF(GLAPS자동계산!O184="","",GLAPS자동계산!O184)</f>
        <v/>
      </c>
      <c r="O185" s="3" t="str">
        <f>IF(GLAPS자동계산!P184="","",GLAPS자동계산!P184)</f>
        <v/>
      </c>
      <c r="P185" s="2" t="str">
        <f>IF(GLAPS자동계산!Q184="","",GLAPS자동계산!Q184)</f>
        <v/>
      </c>
      <c r="Q185" s="3" t="str">
        <f>IF(GLAPS자동계산!R184="","",GLAPS자동계산!R184)</f>
        <v/>
      </c>
      <c r="R185" s="3" t="str">
        <f>IF(GLAPS자동계산!S184="","",GLAPS자동계산!S184)</f>
        <v/>
      </c>
      <c r="S185" s="3" t="str">
        <f>IF(GLAPS자동계산!T184="","",GLAPS자동계산!T184)</f>
        <v/>
      </c>
      <c r="T185" s="3" t="str">
        <f>IF(GLAPS자동계산!U184="","",GLAPS자동계산!U184)</f>
        <v/>
      </c>
      <c r="U185" s="3" t="str">
        <f>IF(GLAPS자동계산!V184="","",GLAPS자동계산!V184)</f>
        <v/>
      </c>
      <c r="V185" s="3" t="str">
        <f>IF(GLAPS자동계산!W184="","",GLAPS자동계산!W184)</f>
        <v/>
      </c>
      <c r="W185" s="14" t="str">
        <f>IF(GLAPS자동계산!X184="","",GLAPS자동계산!X184)</f>
        <v/>
      </c>
      <c r="X185" s="13" t="str">
        <f>IF(GLAPS자동계산!Y184="","",GLAPS자동계산!Y184)</f>
        <v/>
      </c>
      <c r="Y185" s="13" t="str">
        <f>IF(GLAPS자동계산!Z184="","",GLAPS자동계산!Z184)</f>
        <v/>
      </c>
      <c r="Z185" s="91" t="str">
        <f>IF(GLAPS자동계산!AA184="","",GLAPS자동계산!AA184)</f>
        <v/>
      </c>
      <c r="AA185" s="14" t="str">
        <f>IF(GLAPS자동계산!AB184="","",GLAPS자동계산!AB184)</f>
        <v/>
      </c>
      <c r="AC185" s="2" t="str">
        <f>IF($B185="","",$AC$1)</f>
        <v/>
      </c>
      <c r="AD185" s="2" t="str">
        <f>IF($B185="","",IFERROR(INDEX(GLAPS정리!$D$2:$D$50,MATCH(I185,GLAPS정리!$A$2:$A$50,0)),IFERROR(INDEX(GLAPS정리!$D$2:$D$50,MATCH(I185,GLAPS정리!$B$2:$B$50,0)),"")))</f>
        <v/>
      </c>
      <c r="AF185" s="2" t="str">
        <f>IF($B185="","",$AF$1)</f>
        <v/>
      </c>
      <c r="AI185" s="2" t="str">
        <f>IF($B185="","",IF(F185="","",VLOOKUP(F185,GLAPS정리!$G$3:$J$114,2,0)))</f>
        <v/>
      </c>
      <c r="AJ185" s="2" t="str">
        <f>IF($B185="","",IF(Z185="울산정일","KRONS",IF(Z185="울산신항","KRUSN",IF(OR(Z185="선광종합물류(인천여객)",Z185="인천여객(인천여객)"),"KRINF",IF(OR(Z185="선광인천보세(인천신)",Z185="한진인천(인천신)",Z185="선광인천신항(인천신)",Z185="인천더로지스(인천신)"),"KRINN",IF(OR(Z185="인천진아(인천항)",Z185="인천E1(인천항)",Z185="인천SM경인터미널(인천항)",Z185="인천항(인천항)",Z185="인천우련(인천항)",Z185="인천항8부두(인천항)"),"KRINC",VLOOKUP(K185,GLAPS정리!$BB$2:$BC$33,2,0)))))))</f>
        <v/>
      </c>
      <c r="AL185" s="2" t="str">
        <f>IF($B185="","",$AL$1)</f>
        <v/>
      </c>
      <c r="AN185" s="70" t="str">
        <f>IF($B185="","",TEXT(B185,"YYYY-MM-DD"))</f>
        <v/>
      </c>
      <c r="AO185" s="2" t="str">
        <f>IF($B185="","",IF(E185="오전", "0800", IF(E185="오후", "1300", IF(E185="잔업", "1800", ""))))</f>
        <v/>
      </c>
      <c r="AP185" s="2" t="str">
        <f>IF($B185="","",IF(C185="","",VLOOKUP(C185,GLAPS정리!$AX$2:$AZ$17,3,0)))</f>
        <v/>
      </c>
      <c r="AR185" s="2" t="str">
        <f>IF($B185="","",IF(X185="","",X185))</f>
        <v/>
      </c>
      <c r="AX185" s="2" t="str">
        <f>IF($B185="","",IF(L185="","",VLOOKUP(L185,GLAPS정리!$V$3:$W$180,2,0)))</f>
        <v/>
      </c>
      <c r="BM185" s="2" t="str">
        <f>IF($B185="","",IF(AND(Q185=1,OR(P185="",P185="위험물")), "2210", IF(AND(Q185=1,OR(P185="리퍼",P185="위험물리퍼")), "2230", IF(AND(S185=1,OR(P185="",P185="위험물")), "4510", IF(AND(S185=1,OR(P185="리퍼",P185="위험물리퍼")), "4530", IF(AND(R185=1,OR(P185="",P185="위험물")), "4210", IF(AND(R185=1,P185="리퍼"), "4230", " ")))))))</f>
        <v/>
      </c>
      <c r="BN185" s="2" t="str">
        <f>IF($B185="","",$BN$1)</f>
        <v/>
      </c>
      <c r="BR185" s="2" t="str">
        <f>IF($B185="","",IF(OR(P185="리퍼",P185="위험물리퍼"),"Y",""))</f>
        <v/>
      </c>
      <c r="BS185" s="2" t="str">
        <f>IF($B185="","",IF(OR(P185="위험물",P185="위험물리퍼"),"Y",""))</f>
        <v/>
      </c>
      <c r="BV185" s="2" t="str">
        <f>IF($B185="","",IF(O185="","",VLOOKUP(O185,GLAPS정리!$BH$2:$BI$94,2,0)))</f>
        <v/>
      </c>
      <c r="BW185" s="2" t="str">
        <f>IF($B185="","",IF(OR(Z185="동원",Z185="세방",Z185="한타"),"",IFERROR(INDEX(GLAPS정리!$BI$2:$BI$101,MATCH(Z185,GLAPS정리!$BH$2:$BH$101,0)),"")))</f>
        <v/>
      </c>
      <c r="BX185" s="2" t="str">
        <f>IF($B185="","",IF(Z185="","",IFERROR(VLOOKUP(Z185,GLAPS정리!$AX$2:$AZ$17,3,0),"")))</f>
        <v/>
      </c>
      <c r="BZ185" s="2" t="str">
        <f>IF($B185="","",IF(H185="","",VLOOKUP(H185,GLAPS정리!$L$3:$O$133,2,0)))</f>
        <v/>
      </c>
      <c r="CA185" s="2" t="str">
        <f>IF($B185="","",IF(V185="공휴일", 10, IF(V185="야간", 20, IF(V185="위험물", 30, IF(V185="중량", 40, "")))))</f>
        <v/>
      </c>
      <c r="CL185" s="2" t="str">
        <f>IF($B185="","",IF(AI185="","",VLOOKUP(AI185,GLAPS정리!$BT$3:$BV$26,3,0)))</f>
        <v/>
      </c>
    </row>
    <row r="186" spans="2:90" ht="20.45" customHeight="1">
      <c r="B186" s="13" t="str">
        <f>IF(GLAPS자동계산!C185="","",GLAPS자동계산!C185)</f>
        <v/>
      </c>
      <c r="C186" s="3" t="str">
        <f>IF(GLAPS자동계산!D185="","",GLAPS자동계산!D185)</f>
        <v/>
      </c>
      <c r="D186" s="16" t="str">
        <f>IF(GLAPS자동계산!E185="","",GLAPS자동계산!E185)</f>
        <v/>
      </c>
      <c r="E186" s="11" t="str">
        <f>IF(GLAPS자동계산!F185="","",GLAPS자동계산!F185)</f>
        <v/>
      </c>
      <c r="F186" s="3" t="str">
        <f>IF(GLAPS자동계산!G185="","",GLAPS자동계산!G185)</f>
        <v/>
      </c>
      <c r="G186" s="3" t="str">
        <f>IF(GLAPS자동계산!H185="","",GLAPS자동계산!H185)</f>
        <v/>
      </c>
      <c r="H186" s="3" t="str">
        <f>IF(GLAPS자동계산!I185="","",GLAPS자동계산!I185)</f>
        <v/>
      </c>
      <c r="I186" s="3" t="str">
        <f>IF(GLAPS자동계산!J185="","",GLAPS자동계산!J185)</f>
        <v/>
      </c>
      <c r="J186" s="3" t="str">
        <f>IF(GLAPS자동계산!K185="","",GLAPS자동계산!K185)</f>
        <v/>
      </c>
      <c r="K186" s="3" t="str">
        <f>IF(GLAPS자동계산!L185="","",GLAPS자동계산!L185)</f>
        <v/>
      </c>
      <c r="L186" s="3" t="str">
        <f>IF(GLAPS자동계산!M185="","",GLAPS자동계산!M185)</f>
        <v/>
      </c>
      <c r="M186" s="3" t="str">
        <f>IF(GLAPS자동계산!N185="","",GLAPS자동계산!N185)</f>
        <v/>
      </c>
      <c r="N186" s="3" t="str">
        <f>IF(GLAPS자동계산!O185="","",GLAPS자동계산!O185)</f>
        <v/>
      </c>
      <c r="O186" s="3" t="str">
        <f>IF(GLAPS자동계산!P185="","",GLAPS자동계산!P185)</f>
        <v/>
      </c>
      <c r="P186" s="2" t="str">
        <f>IF(GLAPS자동계산!Q185="","",GLAPS자동계산!Q185)</f>
        <v/>
      </c>
      <c r="Q186" s="3" t="str">
        <f>IF(GLAPS자동계산!R185="","",GLAPS자동계산!R185)</f>
        <v/>
      </c>
      <c r="R186" s="3" t="str">
        <f>IF(GLAPS자동계산!S185="","",GLAPS자동계산!S185)</f>
        <v/>
      </c>
      <c r="S186" s="3" t="str">
        <f>IF(GLAPS자동계산!T185="","",GLAPS자동계산!T185)</f>
        <v/>
      </c>
      <c r="T186" s="3" t="str">
        <f>IF(GLAPS자동계산!U185="","",GLAPS자동계산!U185)</f>
        <v/>
      </c>
      <c r="U186" s="3" t="str">
        <f>IF(GLAPS자동계산!V185="","",GLAPS자동계산!V185)</f>
        <v/>
      </c>
      <c r="V186" s="3" t="str">
        <f>IF(GLAPS자동계산!W185="","",GLAPS자동계산!W185)</f>
        <v/>
      </c>
      <c r="W186" s="14" t="str">
        <f>IF(GLAPS자동계산!X185="","",GLAPS자동계산!X185)</f>
        <v/>
      </c>
      <c r="X186" s="13" t="str">
        <f>IF(GLAPS자동계산!Y185="","",GLAPS자동계산!Y185)</f>
        <v/>
      </c>
      <c r="Y186" s="13" t="str">
        <f>IF(GLAPS자동계산!Z185="","",GLAPS자동계산!Z185)</f>
        <v/>
      </c>
      <c r="Z186" s="91" t="str">
        <f>IF(GLAPS자동계산!AA185="","",GLAPS자동계산!AA185)</f>
        <v/>
      </c>
      <c r="AA186" s="14" t="str">
        <f>IF(GLAPS자동계산!AB185="","",GLAPS자동계산!AB185)</f>
        <v/>
      </c>
      <c r="AC186" s="2" t="str">
        <f>IF($B186="","",$AC$1)</f>
        <v/>
      </c>
      <c r="AD186" s="2" t="str">
        <f>IF($B186="","",IFERROR(INDEX(GLAPS정리!$D$2:$D$50,MATCH(I186,GLAPS정리!$A$2:$A$50,0)),IFERROR(INDEX(GLAPS정리!$D$2:$D$50,MATCH(I186,GLAPS정리!$B$2:$B$50,0)),"")))</f>
        <v/>
      </c>
      <c r="AF186" s="2" t="str">
        <f>IF($B186="","",$AF$1)</f>
        <v/>
      </c>
      <c r="AI186" s="2" t="str">
        <f>IF($B186="","",IF(F186="","",VLOOKUP(F186,GLAPS정리!$G$3:$J$114,2,0)))</f>
        <v/>
      </c>
      <c r="AJ186" s="2" t="str">
        <f>IF($B186="","",IF(Z186="울산정일","KRONS",IF(Z186="울산신항","KRUSN",IF(OR(Z186="선광종합물류(인천여객)",Z186="인천여객(인천여객)"),"KRINF",IF(OR(Z186="선광인천보세(인천신)",Z186="한진인천(인천신)",Z186="선광인천신항(인천신)",Z186="인천더로지스(인천신)"),"KRINN",IF(OR(Z186="인천진아(인천항)",Z186="인천E1(인천항)",Z186="인천SM경인터미널(인천항)",Z186="인천항(인천항)",Z186="인천우련(인천항)",Z186="인천항8부두(인천항)"),"KRINC",VLOOKUP(K186,GLAPS정리!$BB$2:$BC$33,2,0)))))))</f>
        <v/>
      </c>
      <c r="AL186" s="2" t="str">
        <f>IF($B186="","",$AL$1)</f>
        <v/>
      </c>
      <c r="AN186" s="70" t="str">
        <f>IF($B186="","",TEXT(B186,"YYYY-MM-DD"))</f>
        <v/>
      </c>
      <c r="AO186" s="2" t="str">
        <f>IF($B186="","",IF(E186="오전", "0800", IF(E186="오후", "1300", IF(E186="잔업", "1800", ""))))</f>
        <v/>
      </c>
      <c r="AP186" s="2" t="str">
        <f>IF($B186="","",IF(C186="","",VLOOKUP(C186,GLAPS정리!$AX$2:$AZ$17,3,0)))</f>
        <v/>
      </c>
      <c r="AR186" s="2" t="str">
        <f>IF($B186="","",IF(X186="","",X186))</f>
        <v/>
      </c>
      <c r="AX186" s="2" t="str">
        <f>IF($B186="","",IF(L186="","",VLOOKUP(L186,GLAPS정리!$V$3:$W$180,2,0)))</f>
        <v/>
      </c>
      <c r="BM186" s="2" t="str">
        <f>IF($B186="","",IF(AND(Q186=1,OR(P186="",P186="위험물")), "2210", IF(AND(Q186=1,OR(P186="리퍼",P186="위험물리퍼")), "2230", IF(AND(S186=1,OR(P186="",P186="위험물")), "4510", IF(AND(S186=1,OR(P186="리퍼",P186="위험물리퍼")), "4530", IF(AND(R186=1,OR(P186="",P186="위험물")), "4210", IF(AND(R186=1,P186="리퍼"), "4230", " ")))))))</f>
        <v/>
      </c>
      <c r="BN186" s="2" t="str">
        <f>IF($B186="","",$BN$1)</f>
        <v/>
      </c>
      <c r="BR186" s="2" t="str">
        <f>IF($B186="","",IF(OR(P186="리퍼",P186="위험물리퍼"),"Y",""))</f>
        <v/>
      </c>
      <c r="BS186" s="2" t="str">
        <f>IF($B186="","",IF(OR(P186="위험물",P186="위험물리퍼"),"Y",""))</f>
        <v/>
      </c>
      <c r="BV186" s="2" t="str">
        <f>IF($B186="","",IF(O186="","",VLOOKUP(O186,GLAPS정리!$BH$2:$BI$94,2,0)))</f>
        <v/>
      </c>
      <c r="BW186" s="2" t="str">
        <f>IF($B186="","",IF(OR(Z186="동원",Z186="세방",Z186="한타"),"",IFERROR(INDEX(GLAPS정리!$BI$2:$BI$101,MATCH(Z186,GLAPS정리!$BH$2:$BH$101,0)),"")))</f>
        <v/>
      </c>
      <c r="BX186" s="2" t="str">
        <f>IF($B186="","",IF(Z186="","",IFERROR(VLOOKUP(Z186,GLAPS정리!$AX$2:$AZ$17,3,0),"")))</f>
        <v/>
      </c>
      <c r="BZ186" s="2" t="str">
        <f>IF($B186="","",IF(H186="","",VLOOKUP(H186,GLAPS정리!$L$3:$O$133,2,0)))</f>
        <v/>
      </c>
      <c r="CA186" s="2" t="str">
        <f>IF($B186="","",IF(V186="공휴일", 10, IF(V186="야간", 20, IF(V186="위험물", 30, IF(V186="중량", 40, "")))))</f>
        <v/>
      </c>
      <c r="CL186" s="2" t="str">
        <f>IF($B186="","",IF(AI186="","",VLOOKUP(AI186,GLAPS정리!$BT$3:$BV$26,3,0)))</f>
        <v/>
      </c>
    </row>
    <row r="187" spans="2:90" ht="20.45" customHeight="1">
      <c r="B187" s="13" t="str">
        <f>IF(GLAPS자동계산!C186="","",GLAPS자동계산!C186)</f>
        <v/>
      </c>
      <c r="C187" s="3" t="str">
        <f>IF(GLAPS자동계산!D186="","",GLAPS자동계산!D186)</f>
        <v/>
      </c>
      <c r="D187" s="16" t="str">
        <f>IF(GLAPS자동계산!E186="","",GLAPS자동계산!E186)</f>
        <v/>
      </c>
      <c r="E187" s="11" t="str">
        <f>IF(GLAPS자동계산!F186="","",GLAPS자동계산!F186)</f>
        <v/>
      </c>
      <c r="F187" s="3" t="str">
        <f>IF(GLAPS자동계산!G186="","",GLAPS자동계산!G186)</f>
        <v/>
      </c>
      <c r="G187" s="3" t="str">
        <f>IF(GLAPS자동계산!H186="","",GLAPS자동계산!H186)</f>
        <v/>
      </c>
      <c r="H187" s="3" t="str">
        <f>IF(GLAPS자동계산!I186="","",GLAPS자동계산!I186)</f>
        <v/>
      </c>
      <c r="I187" s="3" t="str">
        <f>IF(GLAPS자동계산!J186="","",GLAPS자동계산!J186)</f>
        <v/>
      </c>
      <c r="J187" s="3" t="str">
        <f>IF(GLAPS자동계산!K186="","",GLAPS자동계산!K186)</f>
        <v/>
      </c>
      <c r="K187" s="3" t="str">
        <f>IF(GLAPS자동계산!L186="","",GLAPS자동계산!L186)</f>
        <v/>
      </c>
      <c r="L187" s="3" t="str">
        <f>IF(GLAPS자동계산!M186="","",GLAPS자동계산!M186)</f>
        <v/>
      </c>
      <c r="M187" s="3" t="str">
        <f>IF(GLAPS자동계산!N186="","",GLAPS자동계산!N186)</f>
        <v/>
      </c>
      <c r="N187" s="3" t="str">
        <f>IF(GLAPS자동계산!O186="","",GLAPS자동계산!O186)</f>
        <v/>
      </c>
      <c r="O187" s="3" t="str">
        <f>IF(GLAPS자동계산!P186="","",GLAPS자동계산!P186)</f>
        <v/>
      </c>
      <c r="P187" s="2" t="str">
        <f>IF(GLAPS자동계산!Q186="","",GLAPS자동계산!Q186)</f>
        <v/>
      </c>
      <c r="Q187" s="3" t="str">
        <f>IF(GLAPS자동계산!R186="","",GLAPS자동계산!R186)</f>
        <v/>
      </c>
      <c r="R187" s="3" t="str">
        <f>IF(GLAPS자동계산!S186="","",GLAPS자동계산!S186)</f>
        <v/>
      </c>
      <c r="S187" s="3" t="str">
        <f>IF(GLAPS자동계산!T186="","",GLAPS자동계산!T186)</f>
        <v/>
      </c>
      <c r="T187" s="3" t="str">
        <f>IF(GLAPS자동계산!U186="","",GLAPS자동계산!U186)</f>
        <v/>
      </c>
      <c r="U187" s="3" t="str">
        <f>IF(GLAPS자동계산!V186="","",GLAPS자동계산!V186)</f>
        <v/>
      </c>
      <c r="V187" s="3" t="str">
        <f>IF(GLAPS자동계산!W186="","",GLAPS자동계산!W186)</f>
        <v/>
      </c>
      <c r="W187" s="14" t="str">
        <f>IF(GLAPS자동계산!X186="","",GLAPS자동계산!X186)</f>
        <v/>
      </c>
      <c r="X187" s="13" t="str">
        <f>IF(GLAPS자동계산!Y186="","",GLAPS자동계산!Y186)</f>
        <v/>
      </c>
      <c r="Y187" s="13" t="str">
        <f>IF(GLAPS자동계산!Z186="","",GLAPS자동계산!Z186)</f>
        <v/>
      </c>
      <c r="Z187" s="91" t="str">
        <f>IF(GLAPS자동계산!AA186="","",GLAPS자동계산!AA186)</f>
        <v/>
      </c>
      <c r="AA187" s="14" t="str">
        <f>IF(GLAPS자동계산!AB186="","",GLAPS자동계산!AB186)</f>
        <v/>
      </c>
      <c r="AC187" s="2" t="str">
        <f>IF($B187="","",$AC$1)</f>
        <v/>
      </c>
      <c r="AD187" s="2" t="str">
        <f>IF($B187="","",IFERROR(INDEX(GLAPS정리!$D$2:$D$50,MATCH(I187,GLAPS정리!$A$2:$A$50,0)),IFERROR(INDEX(GLAPS정리!$D$2:$D$50,MATCH(I187,GLAPS정리!$B$2:$B$50,0)),"")))</f>
        <v/>
      </c>
      <c r="AF187" s="2" t="str">
        <f>IF($B187="","",$AF$1)</f>
        <v/>
      </c>
      <c r="AI187" s="2" t="str">
        <f>IF($B187="","",IF(F187="","",VLOOKUP(F187,GLAPS정리!$G$3:$J$114,2,0)))</f>
        <v/>
      </c>
      <c r="AJ187" s="2" t="str">
        <f>IF($B187="","",IF(Z187="울산정일","KRONS",IF(Z187="울산신항","KRUSN",IF(OR(Z187="선광종합물류(인천여객)",Z187="인천여객(인천여객)"),"KRINF",IF(OR(Z187="선광인천보세(인천신)",Z187="한진인천(인천신)",Z187="선광인천신항(인천신)",Z187="인천더로지스(인천신)"),"KRINN",IF(OR(Z187="인천진아(인천항)",Z187="인천E1(인천항)",Z187="인천SM경인터미널(인천항)",Z187="인천항(인천항)",Z187="인천우련(인천항)",Z187="인천항8부두(인천항)"),"KRINC",VLOOKUP(K187,GLAPS정리!$BB$2:$BC$33,2,0)))))))</f>
        <v/>
      </c>
      <c r="AL187" s="2" t="str">
        <f>IF($B187="","",$AL$1)</f>
        <v/>
      </c>
      <c r="AN187" s="70" t="str">
        <f>IF($B187="","",TEXT(B187,"YYYY-MM-DD"))</f>
        <v/>
      </c>
      <c r="AO187" s="2" t="str">
        <f>IF($B187="","",IF(E187="오전", "0800", IF(E187="오후", "1300", IF(E187="잔업", "1800", ""))))</f>
        <v/>
      </c>
      <c r="AP187" s="2" t="str">
        <f>IF($B187="","",IF(C187="","",VLOOKUP(C187,GLAPS정리!$AX$2:$AZ$17,3,0)))</f>
        <v/>
      </c>
      <c r="AR187" s="2" t="str">
        <f>IF($B187="","",IF(X187="","",X187))</f>
        <v/>
      </c>
      <c r="AX187" s="2" t="str">
        <f>IF($B187="","",IF(L187="","",VLOOKUP(L187,GLAPS정리!$V$3:$W$180,2,0)))</f>
        <v/>
      </c>
      <c r="BM187" s="2" t="str">
        <f>IF($B187="","",IF(AND(Q187=1,OR(P187="",P187="위험물")), "2210", IF(AND(Q187=1,OR(P187="리퍼",P187="위험물리퍼")), "2230", IF(AND(S187=1,OR(P187="",P187="위험물")), "4510", IF(AND(S187=1,OR(P187="리퍼",P187="위험물리퍼")), "4530", IF(AND(R187=1,OR(P187="",P187="위험물")), "4210", IF(AND(R187=1,P187="리퍼"), "4230", " ")))))))</f>
        <v/>
      </c>
      <c r="BN187" s="2" t="str">
        <f>IF($B187="","",$BN$1)</f>
        <v/>
      </c>
      <c r="BR187" s="2" t="str">
        <f>IF($B187="","",IF(OR(P187="리퍼",P187="위험물리퍼"),"Y",""))</f>
        <v/>
      </c>
      <c r="BS187" s="2" t="str">
        <f>IF($B187="","",IF(OR(P187="위험물",P187="위험물리퍼"),"Y",""))</f>
        <v/>
      </c>
      <c r="BV187" s="2" t="str">
        <f>IF($B187="","",IF(O187="","",VLOOKUP(O187,GLAPS정리!$BH$2:$BI$94,2,0)))</f>
        <v/>
      </c>
      <c r="BW187" s="2" t="str">
        <f>IF($B187="","",IF(OR(Z187="동원",Z187="세방",Z187="한타"),"",IFERROR(INDEX(GLAPS정리!$BI$2:$BI$101,MATCH(Z187,GLAPS정리!$BH$2:$BH$101,0)),"")))</f>
        <v/>
      </c>
      <c r="BX187" s="2" t="str">
        <f>IF($B187="","",IF(Z187="","",IFERROR(VLOOKUP(Z187,GLAPS정리!$AX$2:$AZ$17,3,0),"")))</f>
        <v/>
      </c>
      <c r="BZ187" s="2" t="str">
        <f>IF($B187="","",IF(H187="","",VLOOKUP(H187,GLAPS정리!$L$3:$O$133,2,0)))</f>
        <v/>
      </c>
      <c r="CA187" s="2" t="str">
        <f>IF($B187="","",IF(V187="공휴일", 10, IF(V187="야간", 20, IF(V187="위험물", 30, IF(V187="중량", 40, "")))))</f>
        <v/>
      </c>
      <c r="CL187" s="2" t="str">
        <f>IF($B187="","",IF(AI187="","",VLOOKUP(AI187,GLAPS정리!$BT$3:$BV$26,3,0)))</f>
        <v/>
      </c>
    </row>
    <row r="188" spans="2:90" ht="20.45" customHeight="1">
      <c r="B188" s="13" t="str">
        <f>IF(GLAPS자동계산!C187="","",GLAPS자동계산!C187)</f>
        <v/>
      </c>
      <c r="C188" s="3" t="str">
        <f>IF(GLAPS자동계산!D187="","",GLAPS자동계산!D187)</f>
        <v/>
      </c>
      <c r="D188" s="16" t="str">
        <f>IF(GLAPS자동계산!E187="","",GLAPS자동계산!E187)</f>
        <v/>
      </c>
      <c r="E188" s="11" t="str">
        <f>IF(GLAPS자동계산!F187="","",GLAPS자동계산!F187)</f>
        <v/>
      </c>
      <c r="F188" s="3" t="str">
        <f>IF(GLAPS자동계산!G187="","",GLAPS자동계산!G187)</f>
        <v/>
      </c>
      <c r="G188" s="3" t="str">
        <f>IF(GLAPS자동계산!H187="","",GLAPS자동계산!H187)</f>
        <v/>
      </c>
      <c r="H188" s="3" t="str">
        <f>IF(GLAPS자동계산!I187="","",GLAPS자동계산!I187)</f>
        <v/>
      </c>
      <c r="I188" s="3" t="str">
        <f>IF(GLAPS자동계산!J187="","",GLAPS자동계산!J187)</f>
        <v/>
      </c>
      <c r="J188" s="3" t="str">
        <f>IF(GLAPS자동계산!K187="","",GLAPS자동계산!K187)</f>
        <v/>
      </c>
      <c r="K188" s="3" t="str">
        <f>IF(GLAPS자동계산!L187="","",GLAPS자동계산!L187)</f>
        <v/>
      </c>
      <c r="L188" s="3" t="str">
        <f>IF(GLAPS자동계산!M187="","",GLAPS자동계산!M187)</f>
        <v/>
      </c>
      <c r="M188" s="3" t="str">
        <f>IF(GLAPS자동계산!N187="","",GLAPS자동계산!N187)</f>
        <v/>
      </c>
      <c r="N188" s="3" t="str">
        <f>IF(GLAPS자동계산!O187="","",GLAPS자동계산!O187)</f>
        <v/>
      </c>
      <c r="O188" s="3" t="str">
        <f>IF(GLAPS자동계산!P187="","",GLAPS자동계산!P187)</f>
        <v/>
      </c>
      <c r="P188" s="2" t="str">
        <f>IF(GLAPS자동계산!Q187="","",GLAPS자동계산!Q187)</f>
        <v/>
      </c>
      <c r="Q188" s="3" t="str">
        <f>IF(GLAPS자동계산!R187="","",GLAPS자동계산!R187)</f>
        <v/>
      </c>
      <c r="R188" s="3" t="str">
        <f>IF(GLAPS자동계산!S187="","",GLAPS자동계산!S187)</f>
        <v/>
      </c>
      <c r="S188" s="3" t="str">
        <f>IF(GLAPS자동계산!T187="","",GLAPS자동계산!T187)</f>
        <v/>
      </c>
      <c r="T188" s="3" t="str">
        <f>IF(GLAPS자동계산!U187="","",GLAPS자동계산!U187)</f>
        <v/>
      </c>
      <c r="U188" s="3" t="str">
        <f>IF(GLAPS자동계산!V187="","",GLAPS자동계산!V187)</f>
        <v/>
      </c>
      <c r="V188" s="3" t="str">
        <f>IF(GLAPS자동계산!W187="","",GLAPS자동계산!W187)</f>
        <v/>
      </c>
      <c r="W188" s="14" t="str">
        <f>IF(GLAPS자동계산!X187="","",GLAPS자동계산!X187)</f>
        <v/>
      </c>
      <c r="X188" s="13" t="str">
        <f>IF(GLAPS자동계산!Y187="","",GLAPS자동계산!Y187)</f>
        <v/>
      </c>
      <c r="Y188" s="13" t="str">
        <f>IF(GLAPS자동계산!Z187="","",GLAPS자동계산!Z187)</f>
        <v/>
      </c>
      <c r="Z188" s="91" t="str">
        <f>IF(GLAPS자동계산!AA187="","",GLAPS자동계산!AA187)</f>
        <v/>
      </c>
      <c r="AA188" s="14" t="str">
        <f>IF(GLAPS자동계산!AB187="","",GLAPS자동계산!AB187)</f>
        <v/>
      </c>
      <c r="AC188" s="2" t="str">
        <f>IF($B188="","",$AC$1)</f>
        <v/>
      </c>
      <c r="AD188" s="2" t="str">
        <f>IF($B188="","",IFERROR(INDEX(GLAPS정리!$D$2:$D$50,MATCH(I188,GLAPS정리!$A$2:$A$50,0)),IFERROR(INDEX(GLAPS정리!$D$2:$D$50,MATCH(I188,GLAPS정리!$B$2:$B$50,0)),"")))</f>
        <v/>
      </c>
      <c r="AF188" s="2" t="str">
        <f>IF($B188="","",$AF$1)</f>
        <v/>
      </c>
      <c r="AI188" s="2" t="str">
        <f>IF($B188="","",IF(F188="","",VLOOKUP(F188,GLAPS정리!$G$3:$J$114,2,0)))</f>
        <v/>
      </c>
      <c r="AJ188" s="2" t="str">
        <f>IF($B188="","",IF(Z188="울산정일","KRONS",IF(Z188="울산신항","KRUSN",IF(OR(Z188="선광종합물류(인천여객)",Z188="인천여객(인천여객)"),"KRINF",IF(OR(Z188="선광인천보세(인천신)",Z188="한진인천(인천신)",Z188="선광인천신항(인천신)",Z188="인천더로지스(인천신)"),"KRINN",IF(OR(Z188="인천진아(인천항)",Z188="인천E1(인천항)",Z188="인천SM경인터미널(인천항)",Z188="인천항(인천항)",Z188="인천우련(인천항)",Z188="인천항8부두(인천항)"),"KRINC",VLOOKUP(K188,GLAPS정리!$BB$2:$BC$33,2,0)))))))</f>
        <v/>
      </c>
      <c r="AL188" s="2" t="str">
        <f>IF($B188="","",$AL$1)</f>
        <v/>
      </c>
      <c r="AN188" s="70" t="str">
        <f>IF($B188="","",TEXT(B188,"YYYY-MM-DD"))</f>
        <v/>
      </c>
      <c r="AO188" s="2" t="str">
        <f>IF($B188="","",IF(E188="오전", "0800", IF(E188="오후", "1300", IF(E188="잔업", "1800", ""))))</f>
        <v/>
      </c>
      <c r="AP188" s="2" t="str">
        <f>IF($B188="","",IF(C188="","",VLOOKUP(C188,GLAPS정리!$AX$2:$AZ$17,3,0)))</f>
        <v/>
      </c>
      <c r="AR188" s="2" t="str">
        <f>IF($B188="","",IF(X188="","",X188))</f>
        <v/>
      </c>
      <c r="AX188" s="2" t="str">
        <f>IF($B188="","",IF(L188="","",VLOOKUP(L188,GLAPS정리!$V$3:$W$180,2,0)))</f>
        <v/>
      </c>
      <c r="BM188" s="2" t="str">
        <f>IF($B188="","",IF(AND(Q188=1,OR(P188="",P188="위험물")), "2210", IF(AND(Q188=1,OR(P188="리퍼",P188="위험물리퍼")), "2230", IF(AND(S188=1,OR(P188="",P188="위험물")), "4510", IF(AND(S188=1,OR(P188="리퍼",P188="위험물리퍼")), "4530", IF(AND(R188=1,OR(P188="",P188="위험물")), "4210", IF(AND(R188=1,P188="리퍼"), "4230", " ")))))))</f>
        <v/>
      </c>
      <c r="BN188" s="2" t="str">
        <f>IF($B188="","",$BN$1)</f>
        <v/>
      </c>
      <c r="BR188" s="2" t="str">
        <f>IF($B188="","",IF(OR(P188="리퍼",P188="위험물리퍼"),"Y",""))</f>
        <v/>
      </c>
      <c r="BS188" s="2" t="str">
        <f>IF($B188="","",IF(OR(P188="위험물",P188="위험물리퍼"),"Y",""))</f>
        <v/>
      </c>
      <c r="BV188" s="2" t="str">
        <f>IF($B188="","",IF(O188="","",VLOOKUP(O188,GLAPS정리!$BH$2:$BI$94,2,0)))</f>
        <v/>
      </c>
      <c r="BW188" s="2" t="str">
        <f>IF($B188="","",IF(OR(Z188="동원",Z188="세방",Z188="한타"),"",IFERROR(INDEX(GLAPS정리!$BI$2:$BI$101,MATCH(Z188,GLAPS정리!$BH$2:$BH$101,0)),"")))</f>
        <v/>
      </c>
      <c r="BX188" s="2" t="str">
        <f>IF($B188="","",IF(Z188="","",IFERROR(VLOOKUP(Z188,GLAPS정리!$AX$2:$AZ$17,3,0),"")))</f>
        <v/>
      </c>
      <c r="BZ188" s="2" t="str">
        <f>IF($B188="","",IF(H188="","",VLOOKUP(H188,GLAPS정리!$L$3:$O$133,2,0)))</f>
        <v/>
      </c>
      <c r="CA188" s="2" t="str">
        <f>IF($B188="","",IF(V188="공휴일", 10, IF(V188="야간", 20, IF(V188="위험물", 30, IF(V188="중량", 40, "")))))</f>
        <v/>
      </c>
      <c r="CL188" s="2" t="str">
        <f>IF($B188="","",IF(AI188="","",VLOOKUP(AI188,GLAPS정리!$BT$3:$BV$26,3,0)))</f>
        <v/>
      </c>
    </row>
    <row r="189" spans="2:90" ht="20.45" customHeight="1">
      <c r="B189" s="13" t="str">
        <f>IF(GLAPS자동계산!C188="","",GLAPS자동계산!C188)</f>
        <v/>
      </c>
      <c r="C189" s="3" t="str">
        <f>IF(GLAPS자동계산!D188="","",GLAPS자동계산!D188)</f>
        <v/>
      </c>
      <c r="D189" s="16" t="str">
        <f>IF(GLAPS자동계산!E188="","",GLAPS자동계산!E188)</f>
        <v/>
      </c>
      <c r="E189" s="11" t="str">
        <f>IF(GLAPS자동계산!F188="","",GLAPS자동계산!F188)</f>
        <v/>
      </c>
      <c r="F189" s="3" t="str">
        <f>IF(GLAPS자동계산!G188="","",GLAPS자동계산!G188)</f>
        <v/>
      </c>
      <c r="G189" s="3" t="str">
        <f>IF(GLAPS자동계산!H188="","",GLAPS자동계산!H188)</f>
        <v/>
      </c>
      <c r="H189" s="3" t="str">
        <f>IF(GLAPS자동계산!I188="","",GLAPS자동계산!I188)</f>
        <v/>
      </c>
      <c r="I189" s="3" t="str">
        <f>IF(GLAPS자동계산!J188="","",GLAPS자동계산!J188)</f>
        <v/>
      </c>
      <c r="J189" s="3" t="str">
        <f>IF(GLAPS자동계산!K188="","",GLAPS자동계산!K188)</f>
        <v/>
      </c>
      <c r="K189" s="3" t="str">
        <f>IF(GLAPS자동계산!L188="","",GLAPS자동계산!L188)</f>
        <v/>
      </c>
      <c r="L189" s="3" t="str">
        <f>IF(GLAPS자동계산!M188="","",GLAPS자동계산!M188)</f>
        <v/>
      </c>
      <c r="M189" s="3" t="str">
        <f>IF(GLAPS자동계산!N188="","",GLAPS자동계산!N188)</f>
        <v/>
      </c>
      <c r="N189" s="3" t="str">
        <f>IF(GLAPS자동계산!O188="","",GLAPS자동계산!O188)</f>
        <v/>
      </c>
      <c r="O189" s="3" t="str">
        <f>IF(GLAPS자동계산!P188="","",GLAPS자동계산!P188)</f>
        <v/>
      </c>
      <c r="P189" s="2" t="str">
        <f>IF(GLAPS자동계산!Q188="","",GLAPS자동계산!Q188)</f>
        <v/>
      </c>
      <c r="Q189" s="3" t="str">
        <f>IF(GLAPS자동계산!R188="","",GLAPS자동계산!R188)</f>
        <v/>
      </c>
      <c r="R189" s="3" t="str">
        <f>IF(GLAPS자동계산!S188="","",GLAPS자동계산!S188)</f>
        <v/>
      </c>
      <c r="S189" s="3" t="str">
        <f>IF(GLAPS자동계산!T188="","",GLAPS자동계산!T188)</f>
        <v/>
      </c>
      <c r="T189" s="3" t="str">
        <f>IF(GLAPS자동계산!U188="","",GLAPS자동계산!U188)</f>
        <v/>
      </c>
      <c r="U189" s="3" t="str">
        <f>IF(GLAPS자동계산!V188="","",GLAPS자동계산!V188)</f>
        <v/>
      </c>
      <c r="V189" s="3" t="str">
        <f>IF(GLAPS자동계산!W188="","",GLAPS자동계산!W188)</f>
        <v/>
      </c>
      <c r="W189" s="14" t="str">
        <f>IF(GLAPS자동계산!X188="","",GLAPS자동계산!X188)</f>
        <v/>
      </c>
      <c r="X189" s="13" t="str">
        <f>IF(GLAPS자동계산!Y188="","",GLAPS자동계산!Y188)</f>
        <v/>
      </c>
      <c r="Y189" s="13" t="str">
        <f>IF(GLAPS자동계산!Z188="","",GLAPS자동계산!Z188)</f>
        <v/>
      </c>
      <c r="Z189" s="91" t="str">
        <f>IF(GLAPS자동계산!AA188="","",GLAPS자동계산!AA188)</f>
        <v/>
      </c>
      <c r="AA189" s="14" t="str">
        <f>IF(GLAPS자동계산!AB188="","",GLAPS자동계산!AB188)</f>
        <v/>
      </c>
      <c r="AC189" s="2" t="str">
        <f>IF($B189="","",$AC$1)</f>
        <v/>
      </c>
      <c r="AD189" s="2" t="str">
        <f>IF($B189="","",IFERROR(INDEX(GLAPS정리!$D$2:$D$50,MATCH(I189,GLAPS정리!$A$2:$A$50,0)),IFERROR(INDEX(GLAPS정리!$D$2:$D$50,MATCH(I189,GLAPS정리!$B$2:$B$50,0)),"")))</f>
        <v/>
      </c>
      <c r="AF189" s="2" t="str">
        <f>IF($B189="","",$AF$1)</f>
        <v/>
      </c>
      <c r="AI189" s="2" t="str">
        <f>IF($B189="","",IF(F189="","",VLOOKUP(F189,GLAPS정리!$G$3:$J$114,2,0)))</f>
        <v/>
      </c>
      <c r="AJ189" s="2" t="str">
        <f>IF($B189="","",IF(Z189="울산정일","KRONS",IF(Z189="울산신항","KRUSN",IF(OR(Z189="선광종합물류(인천여객)",Z189="인천여객(인천여객)"),"KRINF",IF(OR(Z189="선광인천보세(인천신)",Z189="한진인천(인천신)",Z189="선광인천신항(인천신)",Z189="인천더로지스(인천신)"),"KRINN",IF(OR(Z189="인천진아(인천항)",Z189="인천E1(인천항)",Z189="인천SM경인터미널(인천항)",Z189="인천항(인천항)",Z189="인천우련(인천항)",Z189="인천항8부두(인천항)"),"KRINC",VLOOKUP(K189,GLAPS정리!$BB$2:$BC$33,2,0)))))))</f>
        <v/>
      </c>
      <c r="AL189" s="2" t="str">
        <f>IF($B189="","",$AL$1)</f>
        <v/>
      </c>
      <c r="AN189" s="70" t="str">
        <f>IF($B189="","",TEXT(B189,"YYYY-MM-DD"))</f>
        <v/>
      </c>
      <c r="AO189" s="2" t="str">
        <f>IF($B189="","",IF(E189="오전", "0800", IF(E189="오후", "1300", IF(E189="잔업", "1800", ""))))</f>
        <v/>
      </c>
      <c r="AP189" s="2" t="str">
        <f>IF($B189="","",IF(C189="","",VLOOKUP(C189,GLAPS정리!$AX$2:$AZ$17,3,0)))</f>
        <v/>
      </c>
      <c r="AR189" s="2" t="str">
        <f>IF($B189="","",IF(X189="","",X189))</f>
        <v/>
      </c>
      <c r="AX189" s="2" t="str">
        <f>IF($B189="","",IF(L189="","",VLOOKUP(L189,GLAPS정리!$V$3:$W$180,2,0)))</f>
        <v/>
      </c>
      <c r="BM189" s="2" t="str">
        <f>IF($B189="","",IF(AND(Q189=1,OR(P189="",P189="위험물")), "2210", IF(AND(Q189=1,OR(P189="리퍼",P189="위험물리퍼")), "2230", IF(AND(S189=1,OR(P189="",P189="위험물")), "4510", IF(AND(S189=1,OR(P189="리퍼",P189="위험물리퍼")), "4530", IF(AND(R189=1,OR(P189="",P189="위험물")), "4210", IF(AND(R189=1,P189="리퍼"), "4230", " ")))))))</f>
        <v/>
      </c>
      <c r="BN189" s="2" t="str">
        <f>IF($B189="","",$BN$1)</f>
        <v/>
      </c>
      <c r="BR189" s="2" t="str">
        <f>IF($B189="","",IF(OR(P189="리퍼",P189="위험물리퍼"),"Y",""))</f>
        <v/>
      </c>
      <c r="BS189" s="2" t="str">
        <f>IF($B189="","",IF(OR(P189="위험물",P189="위험물리퍼"),"Y",""))</f>
        <v/>
      </c>
      <c r="BV189" s="2" t="str">
        <f>IF($B189="","",IF(O189="","",VLOOKUP(O189,GLAPS정리!$BH$2:$BI$94,2,0)))</f>
        <v/>
      </c>
      <c r="BW189" s="2" t="str">
        <f>IF($B189="","",IF(OR(Z189="동원",Z189="세방",Z189="한타"),"",IFERROR(INDEX(GLAPS정리!$BI$2:$BI$101,MATCH(Z189,GLAPS정리!$BH$2:$BH$101,0)),"")))</f>
        <v/>
      </c>
      <c r="BX189" s="2" t="str">
        <f>IF($B189="","",IF(Z189="","",IFERROR(VLOOKUP(Z189,GLAPS정리!$AX$2:$AZ$17,3,0),"")))</f>
        <v/>
      </c>
      <c r="BZ189" s="2" t="str">
        <f>IF($B189="","",IF(H189="","",VLOOKUP(H189,GLAPS정리!$L$3:$O$133,2,0)))</f>
        <v/>
      </c>
      <c r="CA189" s="2" t="str">
        <f>IF($B189="","",IF(V189="공휴일", 10, IF(V189="야간", 20, IF(V189="위험물", 30, IF(V189="중량", 40, "")))))</f>
        <v/>
      </c>
      <c r="CL189" s="2" t="str">
        <f>IF($B189="","",IF(AI189="","",VLOOKUP(AI189,GLAPS정리!$BT$3:$BV$26,3,0)))</f>
        <v/>
      </c>
    </row>
    <row r="190" spans="2:90" ht="20.45" customHeight="1">
      <c r="B190" s="13" t="str">
        <f>IF(GLAPS자동계산!C189="","",GLAPS자동계산!C189)</f>
        <v/>
      </c>
      <c r="C190" s="3" t="str">
        <f>IF(GLAPS자동계산!D189="","",GLAPS자동계산!D189)</f>
        <v/>
      </c>
      <c r="D190" s="16" t="str">
        <f>IF(GLAPS자동계산!E189="","",GLAPS자동계산!E189)</f>
        <v/>
      </c>
      <c r="E190" s="11" t="str">
        <f>IF(GLAPS자동계산!F189="","",GLAPS자동계산!F189)</f>
        <v/>
      </c>
      <c r="F190" s="3" t="str">
        <f>IF(GLAPS자동계산!G189="","",GLAPS자동계산!G189)</f>
        <v/>
      </c>
      <c r="G190" s="3" t="str">
        <f>IF(GLAPS자동계산!H189="","",GLAPS자동계산!H189)</f>
        <v/>
      </c>
      <c r="H190" s="3" t="str">
        <f>IF(GLAPS자동계산!I189="","",GLAPS자동계산!I189)</f>
        <v/>
      </c>
      <c r="I190" s="3" t="str">
        <f>IF(GLAPS자동계산!J189="","",GLAPS자동계산!J189)</f>
        <v/>
      </c>
      <c r="J190" s="3" t="str">
        <f>IF(GLAPS자동계산!K189="","",GLAPS자동계산!K189)</f>
        <v/>
      </c>
      <c r="K190" s="3" t="str">
        <f>IF(GLAPS자동계산!L189="","",GLAPS자동계산!L189)</f>
        <v/>
      </c>
      <c r="L190" s="3" t="str">
        <f>IF(GLAPS자동계산!M189="","",GLAPS자동계산!M189)</f>
        <v/>
      </c>
      <c r="M190" s="3" t="str">
        <f>IF(GLAPS자동계산!N189="","",GLAPS자동계산!N189)</f>
        <v/>
      </c>
      <c r="N190" s="3" t="str">
        <f>IF(GLAPS자동계산!O189="","",GLAPS자동계산!O189)</f>
        <v/>
      </c>
      <c r="O190" s="3" t="str">
        <f>IF(GLAPS자동계산!P189="","",GLAPS자동계산!P189)</f>
        <v/>
      </c>
      <c r="P190" s="2" t="str">
        <f>IF(GLAPS자동계산!Q189="","",GLAPS자동계산!Q189)</f>
        <v/>
      </c>
      <c r="Q190" s="3" t="str">
        <f>IF(GLAPS자동계산!R189="","",GLAPS자동계산!R189)</f>
        <v/>
      </c>
      <c r="R190" s="3" t="str">
        <f>IF(GLAPS자동계산!S189="","",GLAPS자동계산!S189)</f>
        <v/>
      </c>
      <c r="S190" s="3" t="str">
        <f>IF(GLAPS자동계산!T189="","",GLAPS자동계산!T189)</f>
        <v/>
      </c>
      <c r="T190" s="3" t="str">
        <f>IF(GLAPS자동계산!U189="","",GLAPS자동계산!U189)</f>
        <v/>
      </c>
      <c r="U190" s="3" t="str">
        <f>IF(GLAPS자동계산!V189="","",GLAPS자동계산!V189)</f>
        <v/>
      </c>
      <c r="V190" s="3" t="str">
        <f>IF(GLAPS자동계산!W189="","",GLAPS자동계산!W189)</f>
        <v/>
      </c>
      <c r="W190" s="14" t="str">
        <f>IF(GLAPS자동계산!X189="","",GLAPS자동계산!X189)</f>
        <v/>
      </c>
      <c r="X190" s="13" t="str">
        <f>IF(GLAPS자동계산!Y189="","",GLAPS자동계산!Y189)</f>
        <v/>
      </c>
      <c r="Y190" s="13" t="str">
        <f>IF(GLAPS자동계산!Z189="","",GLAPS자동계산!Z189)</f>
        <v/>
      </c>
      <c r="Z190" s="91" t="str">
        <f>IF(GLAPS자동계산!AA189="","",GLAPS자동계산!AA189)</f>
        <v/>
      </c>
      <c r="AA190" s="14" t="str">
        <f>IF(GLAPS자동계산!AB189="","",GLAPS자동계산!AB189)</f>
        <v/>
      </c>
      <c r="AC190" s="2" t="str">
        <f>IF($B190="","",$AC$1)</f>
        <v/>
      </c>
      <c r="AD190" s="2" t="str">
        <f>IF($B190="","",IFERROR(INDEX(GLAPS정리!$D$2:$D$50,MATCH(I190,GLAPS정리!$A$2:$A$50,0)),IFERROR(INDEX(GLAPS정리!$D$2:$D$50,MATCH(I190,GLAPS정리!$B$2:$B$50,0)),"")))</f>
        <v/>
      </c>
      <c r="AF190" s="2" t="str">
        <f>IF($B190="","",$AF$1)</f>
        <v/>
      </c>
      <c r="AI190" s="2" t="str">
        <f>IF($B190="","",IF(F190="","",VLOOKUP(F190,GLAPS정리!$G$3:$J$114,2,0)))</f>
        <v/>
      </c>
      <c r="AJ190" s="2" t="str">
        <f>IF($B190="","",IF(Z190="울산정일","KRONS",IF(Z190="울산신항","KRUSN",IF(OR(Z190="선광종합물류(인천여객)",Z190="인천여객(인천여객)"),"KRINF",IF(OR(Z190="선광인천보세(인천신)",Z190="한진인천(인천신)",Z190="선광인천신항(인천신)",Z190="인천더로지스(인천신)"),"KRINN",IF(OR(Z190="인천진아(인천항)",Z190="인천E1(인천항)",Z190="인천SM경인터미널(인천항)",Z190="인천항(인천항)",Z190="인천우련(인천항)",Z190="인천항8부두(인천항)"),"KRINC",VLOOKUP(K190,GLAPS정리!$BB$2:$BC$33,2,0)))))))</f>
        <v/>
      </c>
      <c r="AL190" s="2" t="str">
        <f>IF($B190="","",$AL$1)</f>
        <v/>
      </c>
      <c r="AN190" s="70" t="str">
        <f>IF($B190="","",TEXT(B190,"YYYY-MM-DD"))</f>
        <v/>
      </c>
      <c r="AO190" s="2" t="str">
        <f>IF($B190="","",IF(E190="오전", "0800", IF(E190="오후", "1300", IF(E190="잔업", "1800", ""))))</f>
        <v/>
      </c>
      <c r="AP190" s="2" t="str">
        <f>IF($B190="","",IF(C190="","",VLOOKUP(C190,GLAPS정리!$AX$2:$AZ$17,3,0)))</f>
        <v/>
      </c>
      <c r="AR190" s="2" t="str">
        <f>IF($B190="","",IF(X190="","",X190))</f>
        <v/>
      </c>
      <c r="AX190" s="2" t="str">
        <f>IF($B190="","",IF(L190="","",VLOOKUP(L190,GLAPS정리!$V$3:$W$180,2,0)))</f>
        <v/>
      </c>
      <c r="BM190" s="2" t="str">
        <f>IF($B190="","",IF(AND(Q190=1,OR(P190="",P190="위험물")), "2210", IF(AND(Q190=1,OR(P190="리퍼",P190="위험물리퍼")), "2230", IF(AND(S190=1,OR(P190="",P190="위험물")), "4510", IF(AND(S190=1,OR(P190="리퍼",P190="위험물리퍼")), "4530", IF(AND(R190=1,OR(P190="",P190="위험물")), "4210", IF(AND(R190=1,P190="리퍼"), "4230", " ")))))))</f>
        <v/>
      </c>
      <c r="BN190" s="2" t="str">
        <f>IF($B190="","",$BN$1)</f>
        <v/>
      </c>
      <c r="BR190" s="2" t="str">
        <f>IF($B190="","",IF(OR(P190="리퍼",P190="위험물리퍼"),"Y",""))</f>
        <v/>
      </c>
      <c r="BS190" s="2" t="str">
        <f>IF($B190="","",IF(OR(P190="위험물",P190="위험물리퍼"),"Y",""))</f>
        <v/>
      </c>
      <c r="BV190" s="2" t="str">
        <f>IF($B190="","",IF(O190="","",VLOOKUP(O190,GLAPS정리!$BH$2:$BI$94,2,0)))</f>
        <v/>
      </c>
      <c r="BW190" s="2" t="str">
        <f>IF($B190="","",IF(OR(Z190="동원",Z190="세방",Z190="한타"),"",IFERROR(INDEX(GLAPS정리!$BI$2:$BI$101,MATCH(Z190,GLAPS정리!$BH$2:$BH$101,0)),"")))</f>
        <v/>
      </c>
      <c r="BX190" s="2" t="str">
        <f>IF($B190="","",IF(Z190="","",IFERROR(VLOOKUP(Z190,GLAPS정리!$AX$2:$AZ$17,3,0),"")))</f>
        <v/>
      </c>
      <c r="BZ190" s="2" t="str">
        <f>IF($B190="","",IF(H190="","",VLOOKUP(H190,GLAPS정리!$L$3:$O$133,2,0)))</f>
        <v/>
      </c>
      <c r="CA190" s="2" t="str">
        <f>IF($B190="","",IF(V190="공휴일", 10, IF(V190="야간", 20, IF(V190="위험물", 30, IF(V190="중량", 40, "")))))</f>
        <v/>
      </c>
      <c r="CL190" s="2" t="str">
        <f>IF($B190="","",IF(AI190="","",VLOOKUP(AI190,GLAPS정리!$BT$3:$BV$26,3,0)))</f>
        <v/>
      </c>
    </row>
    <row r="191" spans="2:90" ht="20.45" customHeight="1">
      <c r="B191" s="13" t="str">
        <f>IF(GLAPS자동계산!C190="","",GLAPS자동계산!C190)</f>
        <v/>
      </c>
      <c r="C191" s="3" t="str">
        <f>IF(GLAPS자동계산!D190="","",GLAPS자동계산!D190)</f>
        <v/>
      </c>
      <c r="D191" s="16" t="str">
        <f>IF(GLAPS자동계산!E190="","",GLAPS자동계산!E190)</f>
        <v/>
      </c>
      <c r="E191" s="11" t="str">
        <f>IF(GLAPS자동계산!F190="","",GLAPS자동계산!F190)</f>
        <v/>
      </c>
      <c r="F191" s="3" t="str">
        <f>IF(GLAPS자동계산!G190="","",GLAPS자동계산!G190)</f>
        <v/>
      </c>
      <c r="G191" s="3" t="str">
        <f>IF(GLAPS자동계산!H190="","",GLAPS자동계산!H190)</f>
        <v/>
      </c>
      <c r="H191" s="3" t="str">
        <f>IF(GLAPS자동계산!I190="","",GLAPS자동계산!I190)</f>
        <v/>
      </c>
      <c r="I191" s="3" t="str">
        <f>IF(GLAPS자동계산!J190="","",GLAPS자동계산!J190)</f>
        <v/>
      </c>
      <c r="J191" s="3" t="str">
        <f>IF(GLAPS자동계산!K190="","",GLAPS자동계산!K190)</f>
        <v/>
      </c>
      <c r="K191" s="3" t="str">
        <f>IF(GLAPS자동계산!L190="","",GLAPS자동계산!L190)</f>
        <v/>
      </c>
      <c r="L191" s="3" t="str">
        <f>IF(GLAPS자동계산!M190="","",GLAPS자동계산!M190)</f>
        <v/>
      </c>
      <c r="M191" s="3" t="str">
        <f>IF(GLAPS자동계산!N190="","",GLAPS자동계산!N190)</f>
        <v/>
      </c>
      <c r="N191" s="3" t="str">
        <f>IF(GLAPS자동계산!O190="","",GLAPS자동계산!O190)</f>
        <v/>
      </c>
      <c r="O191" s="3" t="str">
        <f>IF(GLAPS자동계산!P190="","",GLAPS자동계산!P190)</f>
        <v/>
      </c>
      <c r="P191" s="2" t="str">
        <f>IF(GLAPS자동계산!Q190="","",GLAPS자동계산!Q190)</f>
        <v/>
      </c>
      <c r="Q191" s="3" t="str">
        <f>IF(GLAPS자동계산!R190="","",GLAPS자동계산!R190)</f>
        <v/>
      </c>
      <c r="R191" s="3" t="str">
        <f>IF(GLAPS자동계산!S190="","",GLAPS자동계산!S190)</f>
        <v/>
      </c>
      <c r="S191" s="3" t="str">
        <f>IF(GLAPS자동계산!T190="","",GLAPS자동계산!T190)</f>
        <v/>
      </c>
      <c r="T191" s="3" t="str">
        <f>IF(GLAPS자동계산!U190="","",GLAPS자동계산!U190)</f>
        <v/>
      </c>
      <c r="U191" s="3" t="str">
        <f>IF(GLAPS자동계산!V190="","",GLAPS자동계산!V190)</f>
        <v/>
      </c>
      <c r="V191" s="3" t="str">
        <f>IF(GLAPS자동계산!W190="","",GLAPS자동계산!W190)</f>
        <v/>
      </c>
      <c r="W191" s="14" t="str">
        <f>IF(GLAPS자동계산!X190="","",GLAPS자동계산!X190)</f>
        <v/>
      </c>
      <c r="X191" s="13" t="str">
        <f>IF(GLAPS자동계산!Y190="","",GLAPS자동계산!Y190)</f>
        <v/>
      </c>
      <c r="Y191" s="13" t="str">
        <f>IF(GLAPS자동계산!Z190="","",GLAPS자동계산!Z190)</f>
        <v/>
      </c>
      <c r="Z191" s="91" t="str">
        <f>IF(GLAPS자동계산!AA190="","",GLAPS자동계산!AA190)</f>
        <v/>
      </c>
      <c r="AA191" s="14" t="str">
        <f>IF(GLAPS자동계산!AB190="","",GLAPS자동계산!AB190)</f>
        <v/>
      </c>
      <c r="AC191" s="2" t="str">
        <f>IF($B191="","",$AC$1)</f>
        <v/>
      </c>
      <c r="AD191" s="2" t="str">
        <f>IF($B191="","",IFERROR(INDEX(GLAPS정리!$D$2:$D$50,MATCH(I191,GLAPS정리!$A$2:$A$50,0)),IFERROR(INDEX(GLAPS정리!$D$2:$D$50,MATCH(I191,GLAPS정리!$B$2:$B$50,0)),"")))</f>
        <v/>
      </c>
      <c r="AF191" s="2" t="str">
        <f>IF($B191="","",$AF$1)</f>
        <v/>
      </c>
      <c r="AI191" s="2" t="str">
        <f>IF($B191="","",IF(F191="","",VLOOKUP(F191,GLAPS정리!$G$3:$J$114,2,0)))</f>
        <v/>
      </c>
      <c r="AJ191" s="2" t="str">
        <f>IF($B191="","",IF(Z191="울산정일","KRONS",IF(Z191="울산신항","KRUSN",IF(OR(Z191="선광종합물류(인천여객)",Z191="인천여객(인천여객)"),"KRINF",IF(OR(Z191="선광인천보세(인천신)",Z191="한진인천(인천신)",Z191="선광인천신항(인천신)",Z191="인천더로지스(인천신)"),"KRINN",IF(OR(Z191="인천진아(인천항)",Z191="인천E1(인천항)",Z191="인천SM경인터미널(인천항)",Z191="인천항(인천항)",Z191="인천우련(인천항)",Z191="인천항8부두(인천항)"),"KRINC",VLOOKUP(K191,GLAPS정리!$BB$2:$BC$33,2,0)))))))</f>
        <v/>
      </c>
      <c r="AL191" s="2" t="str">
        <f>IF($B191="","",$AL$1)</f>
        <v/>
      </c>
      <c r="AN191" s="70" t="str">
        <f>IF($B191="","",TEXT(B191,"YYYY-MM-DD"))</f>
        <v/>
      </c>
      <c r="AO191" s="2" t="str">
        <f>IF($B191="","",IF(E191="오전", "0800", IF(E191="오후", "1300", IF(E191="잔업", "1800", ""))))</f>
        <v/>
      </c>
      <c r="AP191" s="2" t="str">
        <f>IF($B191="","",IF(C191="","",VLOOKUP(C191,GLAPS정리!$AX$2:$AZ$17,3,0)))</f>
        <v/>
      </c>
      <c r="AR191" s="2" t="str">
        <f>IF($B191="","",IF(X191="","",X191))</f>
        <v/>
      </c>
      <c r="AX191" s="2" t="str">
        <f>IF($B191="","",IF(L191="","",VLOOKUP(L191,GLAPS정리!$V$3:$W$180,2,0)))</f>
        <v/>
      </c>
      <c r="BM191" s="2" t="str">
        <f>IF($B191="","",IF(AND(Q191=1,OR(P191="",P191="위험물")), "2210", IF(AND(Q191=1,OR(P191="리퍼",P191="위험물리퍼")), "2230", IF(AND(S191=1,OR(P191="",P191="위험물")), "4510", IF(AND(S191=1,OR(P191="리퍼",P191="위험물리퍼")), "4530", IF(AND(R191=1,OR(P191="",P191="위험물")), "4210", IF(AND(R191=1,P191="리퍼"), "4230", " ")))))))</f>
        <v/>
      </c>
      <c r="BN191" s="2" t="str">
        <f>IF($B191="","",$BN$1)</f>
        <v/>
      </c>
      <c r="BR191" s="2" t="str">
        <f>IF($B191="","",IF(OR(P191="리퍼",P191="위험물리퍼"),"Y",""))</f>
        <v/>
      </c>
      <c r="BS191" s="2" t="str">
        <f>IF($B191="","",IF(OR(P191="위험물",P191="위험물리퍼"),"Y",""))</f>
        <v/>
      </c>
      <c r="BV191" s="2" t="str">
        <f>IF($B191="","",IF(O191="","",VLOOKUP(O191,GLAPS정리!$BH$2:$BI$94,2,0)))</f>
        <v/>
      </c>
      <c r="BW191" s="2" t="str">
        <f>IF($B191="","",IF(OR(Z191="동원",Z191="세방",Z191="한타"),"",IFERROR(INDEX(GLAPS정리!$BI$2:$BI$101,MATCH(Z191,GLAPS정리!$BH$2:$BH$101,0)),"")))</f>
        <v/>
      </c>
      <c r="BX191" s="2" t="str">
        <f>IF($B191="","",IF(Z191="","",IFERROR(VLOOKUP(Z191,GLAPS정리!$AX$2:$AZ$17,3,0),"")))</f>
        <v/>
      </c>
      <c r="BZ191" s="2" t="str">
        <f>IF($B191="","",IF(H191="","",VLOOKUP(H191,GLAPS정리!$L$3:$O$133,2,0)))</f>
        <v/>
      </c>
      <c r="CA191" s="2" t="str">
        <f>IF($B191="","",IF(V191="공휴일", 10, IF(V191="야간", 20, IF(V191="위험물", 30, IF(V191="중량", 40, "")))))</f>
        <v/>
      </c>
      <c r="CL191" s="2" t="str">
        <f>IF($B191="","",IF(AI191="","",VLOOKUP(AI191,GLAPS정리!$BT$3:$BV$26,3,0)))</f>
        <v/>
      </c>
    </row>
    <row r="192" spans="2:90" ht="20.45" customHeight="1">
      <c r="B192" s="13" t="str">
        <f>IF(GLAPS자동계산!C191="","",GLAPS자동계산!C191)</f>
        <v/>
      </c>
      <c r="C192" s="3" t="str">
        <f>IF(GLAPS자동계산!D191="","",GLAPS자동계산!D191)</f>
        <v/>
      </c>
      <c r="D192" s="16" t="str">
        <f>IF(GLAPS자동계산!E191="","",GLAPS자동계산!E191)</f>
        <v/>
      </c>
      <c r="E192" s="11" t="str">
        <f>IF(GLAPS자동계산!F191="","",GLAPS자동계산!F191)</f>
        <v/>
      </c>
      <c r="F192" s="3" t="str">
        <f>IF(GLAPS자동계산!G191="","",GLAPS자동계산!G191)</f>
        <v/>
      </c>
      <c r="G192" s="3" t="str">
        <f>IF(GLAPS자동계산!H191="","",GLAPS자동계산!H191)</f>
        <v/>
      </c>
      <c r="H192" s="3" t="str">
        <f>IF(GLAPS자동계산!I191="","",GLAPS자동계산!I191)</f>
        <v/>
      </c>
      <c r="I192" s="3" t="str">
        <f>IF(GLAPS자동계산!J191="","",GLAPS자동계산!J191)</f>
        <v/>
      </c>
      <c r="J192" s="3" t="str">
        <f>IF(GLAPS자동계산!K191="","",GLAPS자동계산!K191)</f>
        <v/>
      </c>
      <c r="K192" s="3" t="str">
        <f>IF(GLAPS자동계산!L191="","",GLAPS자동계산!L191)</f>
        <v/>
      </c>
      <c r="L192" s="3" t="str">
        <f>IF(GLAPS자동계산!M191="","",GLAPS자동계산!M191)</f>
        <v/>
      </c>
      <c r="M192" s="3" t="str">
        <f>IF(GLAPS자동계산!N191="","",GLAPS자동계산!N191)</f>
        <v/>
      </c>
      <c r="N192" s="3" t="str">
        <f>IF(GLAPS자동계산!O191="","",GLAPS자동계산!O191)</f>
        <v/>
      </c>
      <c r="O192" s="3" t="str">
        <f>IF(GLAPS자동계산!P191="","",GLAPS자동계산!P191)</f>
        <v/>
      </c>
      <c r="P192" s="2" t="str">
        <f>IF(GLAPS자동계산!Q191="","",GLAPS자동계산!Q191)</f>
        <v/>
      </c>
      <c r="Q192" s="3" t="str">
        <f>IF(GLAPS자동계산!R191="","",GLAPS자동계산!R191)</f>
        <v/>
      </c>
      <c r="R192" s="3" t="str">
        <f>IF(GLAPS자동계산!S191="","",GLAPS자동계산!S191)</f>
        <v/>
      </c>
      <c r="S192" s="3" t="str">
        <f>IF(GLAPS자동계산!T191="","",GLAPS자동계산!T191)</f>
        <v/>
      </c>
      <c r="T192" s="3" t="str">
        <f>IF(GLAPS자동계산!U191="","",GLAPS자동계산!U191)</f>
        <v/>
      </c>
      <c r="U192" s="3" t="str">
        <f>IF(GLAPS자동계산!V191="","",GLAPS자동계산!V191)</f>
        <v/>
      </c>
      <c r="V192" s="3" t="str">
        <f>IF(GLAPS자동계산!W191="","",GLAPS자동계산!W191)</f>
        <v/>
      </c>
      <c r="W192" s="14" t="str">
        <f>IF(GLAPS자동계산!X191="","",GLAPS자동계산!X191)</f>
        <v/>
      </c>
      <c r="X192" s="13" t="str">
        <f>IF(GLAPS자동계산!Y191="","",GLAPS자동계산!Y191)</f>
        <v/>
      </c>
      <c r="Y192" s="13" t="str">
        <f>IF(GLAPS자동계산!Z191="","",GLAPS자동계산!Z191)</f>
        <v/>
      </c>
      <c r="Z192" s="91" t="str">
        <f>IF(GLAPS자동계산!AA191="","",GLAPS자동계산!AA191)</f>
        <v/>
      </c>
      <c r="AA192" s="14" t="str">
        <f>IF(GLAPS자동계산!AB191="","",GLAPS자동계산!AB191)</f>
        <v/>
      </c>
      <c r="AC192" s="2" t="str">
        <f>IF($B192="","",$AC$1)</f>
        <v/>
      </c>
      <c r="AD192" s="2" t="str">
        <f>IF($B192="","",IFERROR(INDEX(GLAPS정리!$D$2:$D$50,MATCH(I192,GLAPS정리!$A$2:$A$50,0)),IFERROR(INDEX(GLAPS정리!$D$2:$D$50,MATCH(I192,GLAPS정리!$B$2:$B$50,0)),"")))</f>
        <v/>
      </c>
      <c r="AF192" s="2" t="str">
        <f>IF($B192="","",$AF$1)</f>
        <v/>
      </c>
      <c r="AI192" s="2" t="str">
        <f>IF($B192="","",IF(F192="","",VLOOKUP(F192,GLAPS정리!$G$3:$J$114,2,0)))</f>
        <v/>
      </c>
      <c r="AJ192" s="2" t="str">
        <f>IF($B192="","",IF(Z192="울산정일","KRONS",IF(Z192="울산신항","KRUSN",IF(OR(Z192="선광종합물류(인천여객)",Z192="인천여객(인천여객)"),"KRINF",IF(OR(Z192="선광인천보세(인천신)",Z192="한진인천(인천신)",Z192="선광인천신항(인천신)",Z192="인천더로지스(인천신)"),"KRINN",IF(OR(Z192="인천진아(인천항)",Z192="인천E1(인천항)",Z192="인천SM경인터미널(인천항)",Z192="인천항(인천항)",Z192="인천우련(인천항)",Z192="인천항8부두(인천항)"),"KRINC",VLOOKUP(K192,GLAPS정리!$BB$2:$BC$33,2,0)))))))</f>
        <v/>
      </c>
      <c r="AL192" s="2" t="str">
        <f>IF($B192="","",$AL$1)</f>
        <v/>
      </c>
      <c r="AN192" s="70" t="str">
        <f>IF($B192="","",TEXT(B192,"YYYY-MM-DD"))</f>
        <v/>
      </c>
      <c r="AO192" s="2" t="str">
        <f>IF($B192="","",IF(E192="오전", "0800", IF(E192="오후", "1300", IF(E192="잔업", "1800", ""))))</f>
        <v/>
      </c>
      <c r="AP192" s="2" t="str">
        <f>IF($B192="","",IF(C192="","",VLOOKUP(C192,GLAPS정리!$AX$2:$AZ$17,3,0)))</f>
        <v/>
      </c>
      <c r="AR192" s="2" t="str">
        <f>IF($B192="","",IF(X192="","",X192))</f>
        <v/>
      </c>
      <c r="AX192" s="2" t="str">
        <f>IF($B192="","",IF(L192="","",VLOOKUP(L192,GLAPS정리!$V$3:$W$180,2,0)))</f>
        <v/>
      </c>
      <c r="BM192" s="2" t="str">
        <f>IF($B192="","",IF(AND(Q192=1,OR(P192="",P192="위험물")), "2210", IF(AND(Q192=1,OR(P192="리퍼",P192="위험물리퍼")), "2230", IF(AND(S192=1,OR(P192="",P192="위험물")), "4510", IF(AND(S192=1,OR(P192="리퍼",P192="위험물리퍼")), "4530", IF(AND(R192=1,OR(P192="",P192="위험물")), "4210", IF(AND(R192=1,P192="리퍼"), "4230", " ")))))))</f>
        <v/>
      </c>
      <c r="BN192" s="2" t="str">
        <f>IF($B192="","",$BN$1)</f>
        <v/>
      </c>
      <c r="BR192" s="2" t="str">
        <f>IF($B192="","",IF(OR(P192="리퍼",P192="위험물리퍼"),"Y",""))</f>
        <v/>
      </c>
      <c r="BS192" s="2" t="str">
        <f>IF($B192="","",IF(OR(P192="위험물",P192="위험물리퍼"),"Y",""))</f>
        <v/>
      </c>
      <c r="BV192" s="2" t="str">
        <f>IF($B192="","",IF(O192="","",VLOOKUP(O192,GLAPS정리!$BH$2:$BI$94,2,0)))</f>
        <v/>
      </c>
      <c r="BW192" s="2" t="str">
        <f>IF($B192="","",IF(OR(Z192="동원",Z192="세방",Z192="한타"),"",IFERROR(INDEX(GLAPS정리!$BI$2:$BI$101,MATCH(Z192,GLAPS정리!$BH$2:$BH$101,0)),"")))</f>
        <v/>
      </c>
      <c r="BX192" s="2" t="str">
        <f>IF($B192="","",IF(Z192="","",IFERROR(VLOOKUP(Z192,GLAPS정리!$AX$2:$AZ$17,3,0),"")))</f>
        <v/>
      </c>
      <c r="BZ192" s="2" t="str">
        <f>IF($B192="","",IF(H192="","",VLOOKUP(H192,GLAPS정리!$L$3:$O$133,2,0)))</f>
        <v/>
      </c>
      <c r="CA192" s="2" t="str">
        <f>IF($B192="","",IF(V192="공휴일", 10, IF(V192="야간", 20, IF(V192="위험물", 30, IF(V192="중량", 40, "")))))</f>
        <v/>
      </c>
      <c r="CL192" s="2" t="str">
        <f>IF($B192="","",IF(AI192="","",VLOOKUP(AI192,GLAPS정리!$BT$3:$BV$26,3,0)))</f>
        <v/>
      </c>
    </row>
    <row r="193" spans="2:90" ht="20.45" customHeight="1">
      <c r="B193" s="13" t="str">
        <f>IF(GLAPS자동계산!C192="","",GLAPS자동계산!C192)</f>
        <v/>
      </c>
      <c r="C193" s="3" t="str">
        <f>IF(GLAPS자동계산!D192="","",GLAPS자동계산!D192)</f>
        <v/>
      </c>
      <c r="D193" s="16" t="str">
        <f>IF(GLAPS자동계산!E192="","",GLAPS자동계산!E192)</f>
        <v/>
      </c>
      <c r="E193" s="11" t="str">
        <f>IF(GLAPS자동계산!F192="","",GLAPS자동계산!F192)</f>
        <v/>
      </c>
      <c r="F193" s="3" t="str">
        <f>IF(GLAPS자동계산!G192="","",GLAPS자동계산!G192)</f>
        <v/>
      </c>
      <c r="G193" s="3" t="str">
        <f>IF(GLAPS자동계산!H192="","",GLAPS자동계산!H192)</f>
        <v/>
      </c>
      <c r="H193" s="3" t="str">
        <f>IF(GLAPS자동계산!I192="","",GLAPS자동계산!I192)</f>
        <v/>
      </c>
      <c r="I193" s="3" t="str">
        <f>IF(GLAPS자동계산!J192="","",GLAPS자동계산!J192)</f>
        <v/>
      </c>
      <c r="J193" s="3" t="str">
        <f>IF(GLAPS자동계산!K192="","",GLAPS자동계산!K192)</f>
        <v/>
      </c>
      <c r="K193" s="3" t="str">
        <f>IF(GLAPS자동계산!L192="","",GLAPS자동계산!L192)</f>
        <v/>
      </c>
      <c r="L193" s="3" t="str">
        <f>IF(GLAPS자동계산!M192="","",GLAPS자동계산!M192)</f>
        <v/>
      </c>
      <c r="M193" s="3" t="str">
        <f>IF(GLAPS자동계산!N192="","",GLAPS자동계산!N192)</f>
        <v/>
      </c>
      <c r="N193" s="3" t="str">
        <f>IF(GLAPS자동계산!O192="","",GLAPS자동계산!O192)</f>
        <v/>
      </c>
      <c r="O193" s="3" t="str">
        <f>IF(GLAPS자동계산!P192="","",GLAPS자동계산!P192)</f>
        <v/>
      </c>
      <c r="P193" s="2" t="str">
        <f>IF(GLAPS자동계산!Q192="","",GLAPS자동계산!Q192)</f>
        <v/>
      </c>
      <c r="Q193" s="3" t="str">
        <f>IF(GLAPS자동계산!R192="","",GLAPS자동계산!R192)</f>
        <v/>
      </c>
      <c r="R193" s="3" t="str">
        <f>IF(GLAPS자동계산!S192="","",GLAPS자동계산!S192)</f>
        <v/>
      </c>
      <c r="S193" s="3" t="str">
        <f>IF(GLAPS자동계산!T192="","",GLAPS자동계산!T192)</f>
        <v/>
      </c>
      <c r="T193" s="3" t="str">
        <f>IF(GLAPS자동계산!U192="","",GLAPS자동계산!U192)</f>
        <v/>
      </c>
      <c r="U193" s="3" t="str">
        <f>IF(GLAPS자동계산!V192="","",GLAPS자동계산!V192)</f>
        <v/>
      </c>
      <c r="V193" s="3" t="str">
        <f>IF(GLAPS자동계산!W192="","",GLAPS자동계산!W192)</f>
        <v/>
      </c>
      <c r="W193" s="14" t="str">
        <f>IF(GLAPS자동계산!X192="","",GLAPS자동계산!X192)</f>
        <v/>
      </c>
      <c r="X193" s="13" t="str">
        <f>IF(GLAPS자동계산!Y192="","",GLAPS자동계산!Y192)</f>
        <v/>
      </c>
      <c r="Y193" s="13" t="str">
        <f>IF(GLAPS자동계산!Z192="","",GLAPS자동계산!Z192)</f>
        <v/>
      </c>
      <c r="Z193" s="91" t="str">
        <f>IF(GLAPS자동계산!AA192="","",GLAPS자동계산!AA192)</f>
        <v/>
      </c>
      <c r="AA193" s="14" t="str">
        <f>IF(GLAPS자동계산!AB192="","",GLAPS자동계산!AB192)</f>
        <v/>
      </c>
      <c r="AC193" s="2" t="str">
        <f>IF($B193="","",$AC$1)</f>
        <v/>
      </c>
      <c r="AD193" s="2" t="str">
        <f>IF($B193="","",IFERROR(INDEX(GLAPS정리!$D$2:$D$50,MATCH(I193,GLAPS정리!$A$2:$A$50,0)),IFERROR(INDEX(GLAPS정리!$D$2:$D$50,MATCH(I193,GLAPS정리!$B$2:$B$50,0)),"")))</f>
        <v/>
      </c>
      <c r="AF193" s="2" t="str">
        <f>IF($B193="","",$AF$1)</f>
        <v/>
      </c>
      <c r="AI193" s="2" t="str">
        <f>IF($B193="","",IF(F193="","",VLOOKUP(F193,GLAPS정리!$G$3:$J$114,2,0)))</f>
        <v/>
      </c>
      <c r="AJ193" s="2" t="str">
        <f>IF($B193="","",IF(Z193="울산정일","KRONS",IF(Z193="울산신항","KRUSN",IF(OR(Z193="선광종합물류(인천여객)",Z193="인천여객(인천여객)"),"KRINF",IF(OR(Z193="선광인천보세(인천신)",Z193="한진인천(인천신)",Z193="선광인천신항(인천신)",Z193="인천더로지스(인천신)"),"KRINN",IF(OR(Z193="인천진아(인천항)",Z193="인천E1(인천항)",Z193="인천SM경인터미널(인천항)",Z193="인천항(인천항)",Z193="인천우련(인천항)",Z193="인천항8부두(인천항)"),"KRINC",VLOOKUP(K193,GLAPS정리!$BB$2:$BC$33,2,0)))))))</f>
        <v/>
      </c>
      <c r="AL193" s="2" t="str">
        <f>IF($B193="","",$AL$1)</f>
        <v/>
      </c>
      <c r="AN193" s="70" t="str">
        <f>IF($B193="","",TEXT(B193,"YYYY-MM-DD"))</f>
        <v/>
      </c>
      <c r="AO193" s="2" t="str">
        <f>IF($B193="","",IF(E193="오전", "0800", IF(E193="오후", "1300", IF(E193="잔업", "1800", ""))))</f>
        <v/>
      </c>
      <c r="AP193" s="2" t="str">
        <f>IF($B193="","",IF(C193="","",VLOOKUP(C193,GLAPS정리!$AX$2:$AZ$17,3,0)))</f>
        <v/>
      </c>
      <c r="AR193" s="2" t="str">
        <f>IF($B193="","",IF(X193="","",X193))</f>
        <v/>
      </c>
      <c r="AX193" s="2" t="str">
        <f>IF($B193="","",IF(L193="","",VLOOKUP(L193,GLAPS정리!$V$3:$W$180,2,0)))</f>
        <v/>
      </c>
      <c r="BM193" s="2" t="str">
        <f>IF($B193="","",IF(AND(Q193=1,OR(P193="",P193="위험물")), "2210", IF(AND(Q193=1,OR(P193="리퍼",P193="위험물리퍼")), "2230", IF(AND(S193=1,OR(P193="",P193="위험물")), "4510", IF(AND(S193=1,OR(P193="리퍼",P193="위험물리퍼")), "4530", IF(AND(R193=1,OR(P193="",P193="위험물")), "4210", IF(AND(R193=1,P193="리퍼"), "4230", " ")))))))</f>
        <v/>
      </c>
      <c r="BN193" s="2" t="str">
        <f>IF($B193="","",$BN$1)</f>
        <v/>
      </c>
      <c r="BR193" s="2" t="str">
        <f>IF($B193="","",IF(OR(P193="리퍼",P193="위험물리퍼"),"Y",""))</f>
        <v/>
      </c>
      <c r="BS193" s="2" t="str">
        <f>IF($B193="","",IF(OR(P193="위험물",P193="위험물리퍼"),"Y",""))</f>
        <v/>
      </c>
      <c r="BV193" s="2" t="str">
        <f>IF($B193="","",IF(O193="","",VLOOKUP(O193,GLAPS정리!$BH$2:$BI$94,2,0)))</f>
        <v/>
      </c>
      <c r="BW193" s="2" t="str">
        <f>IF($B193="","",IF(OR(Z193="동원",Z193="세방",Z193="한타"),"",IFERROR(INDEX(GLAPS정리!$BI$2:$BI$101,MATCH(Z193,GLAPS정리!$BH$2:$BH$101,0)),"")))</f>
        <v/>
      </c>
      <c r="BX193" s="2" t="str">
        <f>IF($B193="","",IF(Z193="","",IFERROR(VLOOKUP(Z193,GLAPS정리!$AX$2:$AZ$17,3,0),"")))</f>
        <v/>
      </c>
      <c r="BZ193" s="2" t="str">
        <f>IF($B193="","",IF(H193="","",VLOOKUP(H193,GLAPS정리!$L$3:$O$133,2,0)))</f>
        <v/>
      </c>
      <c r="CA193" s="2" t="str">
        <f>IF($B193="","",IF(V193="공휴일", 10, IF(V193="야간", 20, IF(V193="위험물", 30, IF(V193="중량", 40, "")))))</f>
        <v/>
      </c>
      <c r="CL193" s="2" t="str">
        <f>IF($B193="","",IF(AI193="","",VLOOKUP(AI193,GLAPS정리!$BT$3:$BV$26,3,0)))</f>
        <v/>
      </c>
    </row>
    <row r="194" spans="2:90" ht="20.45" customHeight="1">
      <c r="B194" s="13" t="str">
        <f>IF(GLAPS자동계산!C193="","",GLAPS자동계산!C193)</f>
        <v/>
      </c>
      <c r="C194" s="3" t="str">
        <f>IF(GLAPS자동계산!D193="","",GLAPS자동계산!D193)</f>
        <v/>
      </c>
      <c r="D194" s="16" t="str">
        <f>IF(GLAPS자동계산!E193="","",GLAPS자동계산!E193)</f>
        <v/>
      </c>
      <c r="E194" s="11" t="str">
        <f>IF(GLAPS자동계산!F193="","",GLAPS자동계산!F193)</f>
        <v/>
      </c>
      <c r="F194" s="3" t="str">
        <f>IF(GLAPS자동계산!G193="","",GLAPS자동계산!G193)</f>
        <v/>
      </c>
      <c r="G194" s="3" t="str">
        <f>IF(GLAPS자동계산!H193="","",GLAPS자동계산!H193)</f>
        <v/>
      </c>
      <c r="H194" s="3" t="str">
        <f>IF(GLAPS자동계산!I193="","",GLAPS자동계산!I193)</f>
        <v/>
      </c>
      <c r="I194" s="3" t="str">
        <f>IF(GLAPS자동계산!J193="","",GLAPS자동계산!J193)</f>
        <v/>
      </c>
      <c r="J194" s="3" t="str">
        <f>IF(GLAPS자동계산!K193="","",GLAPS자동계산!K193)</f>
        <v/>
      </c>
      <c r="K194" s="3" t="str">
        <f>IF(GLAPS자동계산!L193="","",GLAPS자동계산!L193)</f>
        <v/>
      </c>
      <c r="L194" s="3" t="str">
        <f>IF(GLAPS자동계산!M193="","",GLAPS자동계산!M193)</f>
        <v/>
      </c>
      <c r="M194" s="3" t="str">
        <f>IF(GLAPS자동계산!N193="","",GLAPS자동계산!N193)</f>
        <v/>
      </c>
      <c r="N194" s="3" t="str">
        <f>IF(GLAPS자동계산!O193="","",GLAPS자동계산!O193)</f>
        <v/>
      </c>
      <c r="O194" s="3" t="str">
        <f>IF(GLAPS자동계산!P193="","",GLAPS자동계산!P193)</f>
        <v/>
      </c>
      <c r="P194" s="2" t="str">
        <f>IF(GLAPS자동계산!Q193="","",GLAPS자동계산!Q193)</f>
        <v/>
      </c>
      <c r="Q194" s="3" t="str">
        <f>IF(GLAPS자동계산!R193="","",GLAPS자동계산!R193)</f>
        <v/>
      </c>
      <c r="R194" s="3" t="str">
        <f>IF(GLAPS자동계산!S193="","",GLAPS자동계산!S193)</f>
        <v/>
      </c>
      <c r="S194" s="3" t="str">
        <f>IF(GLAPS자동계산!T193="","",GLAPS자동계산!T193)</f>
        <v/>
      </c>
      <c r="T194" s="3" t="str">
        <f>IF(GLAPS자동계산!U193="","",GLAPS자동계산!U193)</f>
        <v/>
      </c>
      <c r="U194" s="3" t="str">
        <f>IF(GLAPS자동계산!V193="","",GLAPS자동계산!V193)</f>
        <v/>
      </c>
      <c r="V194" s="3" t="str">
        <f>IF(GLAPS자동계산!W193="","",GLAPS자동계산!W193)</f>
        <v/>
      </c>
      <c r="W194" s="14" t="str">
        <f>IF(GLAPS자동계산!X193="","",GLAPS자동계산!X193)</f>
        <v/>
      </c>
      <c r="X194" s="13" t="str">
        <f>IF(GLAPS자동계산!Y193="","",GLAPS자동계산!Y193)</f>
        <v/>
      </c>
      <c r="Y194" s="13" t="str">
        <f>IF(GLAPS자동계산!Z193="","",GLAPS자동계산!Z193)</f>
        <v/>
      </c>
      <c r="Z194" s="91" t="str">
        <f>IF(GLAPS자동계산!AA193="","",GLAPS자동계산!AA193)</f>
        <v/>
      </c>
      <c r="AA194" s="14" t="str">
        <f>IF(GLAPS자동계산!AB193="","",GLAPS자동계산!AB193)</f>
        <v/>
      </c>
      <c r="AC194" s="2" t="str">
        <f>IF($B194="","",$AC$1)</f>
        <v/>
      </c>
      <c r="AD194" s="2" t="str">
        <f>IF($B194="","",IFERROR(INDEX(GLAPS정리!$D$2:$D$50,MATCH(I194,GLAPS정리!$A$2:$A$50,0)),IFERROR(INDEX(GLAPS정리!$D$2:$D$50,MATCH(I194,GLAPS정리!$B$2:$B$50,0)),"")))</f>
        <v/>
      </c>
      <c r="AF194" s="2" t="str">
        <f>IF($B194="","",$AF$1)</f>
        <v/>
      </c>
      <c r="AI194" s="2" t="str">
        <f>IF($B194="","",IF(F194="","",VLOOKUP(F194,GLAPS정리!$G$3:$J$114,2,0)))</f>
        <v/>
      </c>
      <c r="AJ194" s="2" t="str">
        <f>IF($B194="","",IF(Z194="울산정일","KRONS",IF(Z194="울산신항","KRUSN",IF(OR(Z194="선광종합물류(인천여객)",Z194="인천여객(인천여객)"),"KRINF",IF(OR(Z194="선광인천보세(인천신)",Z194="한진인천(인천신)",Z194="선광인천신항(인천신)",Z194="인천더로지스(인천신)"),"KRINN",IF(OR(Z194="인천진아(인천항)",Z194="인천E1(인천항)",Z194="인천SM경인터미널(인천항)",Z194="인천항(인천항)",Z194="인천우련(인천항)",Z194="인천항8부두(인천항)"),"KRINC",VLOOKUP(K194,GLAPS정리!$BB$2:$BC$33,2,0)))))))</f>
        <v/>
      </c>
      <c r="AL194" s="2" t="str">
        <f>IF($B194="","",$AL$1)</f>
        <v/>
      </c>
      <c r="AN194" s="70" t="str">
        <f>IF($B194="","",TEXT(B194,"YYYY-MM-DD"))</f>
        <v/>
      </c>
      <c r="AO194" s="2" t="str">
        <f>IF($B194="","",IF(E194="오전", "0800", IF(E194="오후", "1300", IF(E194="잔업", "1800", ""))))</f>
        <v/>
      </c>
      <c r="AP194" s="2" t="str">
        <f>IF($B194="","",IF(C194="","",VLOOKUP(C194,GLAPS정리!$AX$2:$AZ$17,3,0)))</f>
        <v/>
      </c>
      <c r="AR194" s="2" t="str">
        <f>IF($B194="","",IF(X194="","",X194))</f>
        <v/>
      </c>
      <c r="AX194" s="2" t="str">
        <f>IF($B194="","",IF(L194="","",VLOOKUP(L194,GLAPS정리!$V$3:$W$180,2,0)))</f>
        <v/>
      </c>
      <c r="BM194" s="2" t="str">
        <f>IF($B194="","",IF(AND(Q194=1,OR(P194="",P194="위험물")), "2210", IF(AND(Q194=1,OR(P194="리퍼",P194="위험물리퍼")), "2230", IF(AND(S194=1,OR(P194="",P194="위험물")), "4510", IF(AND(S194=1,OR(P194="리퍼",P194="위험물리퍼")), "4530", IF(AND(R194=1,OR(P194="",P194="위험물")), "4210", IF(AND(R194=1,P194="리퍼"), "4230", " ")))))))</f>
        <v/>
      </c>
      <c r="BN194" s="2" t="str">
        <f>IF($B194="","",$BN$1)</f>
        <v/>
      </c>
      <c r="BR194" s="2" t="str">
        <f>IF($B194="","",IF(OR(P194="리퍼",P194="위험물리퍼"),"Y",""))</f>
        <v/>
      </c>
      <c r="BS194" s="2" t="str">
        <f>IF($B194="","",IF(OR(P194="위험물",P194="위험물리퍼"),"Y",""))</f>
        <v/>
      </c>
      <c r="BV194" s="2" t="str">
        <f>IF($B194="","",IF(O194="","",VLOOKUP(O194,GLAPS정리!$BH$2:$BI$94,2,0)))</f>
        <v/>
      </c>
      <c r="BW194" s="2" t="str">
        <f>IF($B194="","",IF(OR(Z194="동원",Z194="세방",Z194="한타"),"",IFERROR(INDEX(GLAPS정리!$BI$2:$BI$101,MATCH(Z194,GLAPS정리!$BH$2:$BH$101,0)),"")))</f>
        <v/>
      </c>
      <c r="BX194" s="2" t="str">
        <f>IF($B194="","",IF(Z194="","",IFERROR(VLOOKUP(Z194,GLAPS정리!$AX$2:$AZ$17,3,0),"")))</f>
        <v/>
      </c>
      <c r="BZ194" s="2" t="str">
        <f>IF($B194="","",IF(H194="","",VLOOKUP(H194,GLAPS정리!$L$3:$O$133,2,0)))</f>
        <v/>
      </c>
      <c r="CA194" s="2" t="str">
        <f>IF($B194="","",IF(V194="공휴일", 10, IF(V194="야간", 20, IF(V194="위험물", 30, IF(V194="중량", 40, "")))))</f>
        <v/>
      </c>
      <c r="CL194" s="2" t="str">
        <f>IF($B194="","",IF(AI194="","",VLOOKUP(AI194,GLAPS정리!$BT$3:$BV$26,3,0)))</f>
        <v/>
      </c>
    </row>
    <row r="195" spans="2:90" ht="20.45" customHeight="1">
      <c r="B195" s="13" t="str">
        <f>IF(GLAPS자동계산!C194="","",GLAPS자동계산!C194)</f>
        <v/>
      </c>
      <c r="C195" s="3" t="str">
        <f>IF(GLAPS자동계산!D194="","",GLAPS자동계산!D194)</f>
        <v/>
      </c>
      <c r="D195" s="16" t="str">
        <f>IF(GLAPS자동계산!E194="","",GLAPS자동계산!E194)</f>
        <v/>
      </c>
      <c r="E195" s="11" t="str">
        <f>IF(GLAPS자동계산!F194="","",GLAPS자동계산!F194)</f>
        <v/>
      </c>
      <c r="F195" s="3" t="str">
        <f>IF(GLAPS자동계산!G194="","",GLAPS자동계산!G194)</f>
        <v/>
      </c>
      <c r="G195" s="3" t="str">
        <f>IF(GLAPS자동계산!H194="","",GLAPS자동계산!H194)</f>
        <v/>
      </c>
      <c r="H195" s="3" t="str">
        <f>IF(GLAPS자동계산!I194="","",GLAPS자동계산!I194)</f>
        <v/>
      </c>
      <c r="I195" s="3" t="str">
        <f>IF(GLAPS자동계산!J194="","",GLAPS자동계산!J194)</f>
        <v/>
      </c>
      <c r="J195" s="3" t="str">
        <f>IF(GLAPS자동계산!K194="","",GLAPS자동계산!K194)</f>
        <v/>
      </c>
      <c r="K195" s="3" t="str">
        <f>IF(GLAPS자동계산!L194="","",GLAPS자동계산!L194)</f>
        <v/>
      </c>
      <c r="L195" s="3" t="str">
        <f>IF(GLAPS자동계산!M194="","",GLAPS자동계산!M194)</f>
        <v/>
      </c>
      <c r="M195" s="3" t="str">
        <f>IF(GLAPS자동계산!N194="","",GLAPS자동계산!N194)</f>
        <v/>
      </c>
      <c r="N195" s="3" t="str">
        <f>IF(GLAPS자동계산!O194="","",GLAPS자동계산!O194)</f>
        <v/>
      </c>
      <c r="O195" s="3" t="str">
        <f>IF(GLAPS자동계산!P194="","",GLAPS자동계산!P194)</f>
        <v/>
      </c>
      <c r="P195" s="2" t="str">
        <f>IF(GLAPS자동계산!Q194="","",GLAPS자동계산!Q194)</f>
        <v/>
      </c>
      <c r="Q195" s="3" t="str">
        <f>IF(GLAPS자동계산!R194="","",GLAPS자동계산!R194)</f>
        <v/>
      </c>
      <c r="R195" s="3" t="str">
        <f>IF(GLAPS자동계산!S194="","",GLAPS자동계산!S194)</f>
        <v/>
      </c>
      <c r="S195" s="3" t="str">
        <f>IF(GLAPS자동계산!T194="","",GLAPS자동계산!T194)</f>
        <v/>
      </c>
      <c r="T195" s="3" t="str">
        <f>IF(GLAPS자동계산!U194="","",GLAPS자동계산!U194)</f>
        <v/>
      </c>
      <c r="U195" s="3" t="str">
        <f>IF(GLAPS자동계산!V194="","",GLAPS자동계산!V194)</f>
        <v/>
      </c>
      <c r="V195" s="3" t="str">
        <f>IF(GLAPS자동계산!W194="","",GLAPS자동계산!W194)</f>
        <v/>
      </c>
      <c r="W195" s="14" t="str">
        <f>IF(GLAPS자동계산!X194="","",GLAPS자동계산!X194)</f>
        <v/>
      </c>
      <c r="X195" s="13" t="str">
        <f>IF(GLAPS자동계산!Y194="","",GLAPS자동계산!Y194)</f>
        <v/>
      </c>
      <c r="Y195" s="13" t="str">
        <f>IF(GLAPS자동계산!Z194="","",GLAPS자동계산!Z194)</f>
        <v/>
      </c>
      <c r="Z195" s="91" t="str">
        <f>IF(GLAPS자동계산!AA194="","",GLAPS자동계산!AA194)</f>
        <v/>
      </c>
      <c r="AA195" s="14" t="str">
        <f>IF(GLAPS자동계산!AB194="","",GLAPS자동계산!AB194)</f>
        <v/>
      </c>
      <c r="AC195" s="2" t="str">
        <f>IF($B195="","",$AC$1)</f>
        <v/>
      </c>
      <c r="AD195" s="2" t="str">
        <f>IF($B195="","",IFERROR(INDEX(GLAPS정리!$D$2:$D$50,MATCH(I195,GLAPS정리!$A$2:$A$50,0)),IFERROR(INDEX(GLAPS정리!$D$2:$D$50,MATCH(I195,GLAPS정리!$B$2:$B$50,0)),"")))</f>
        <v/>
      </c>
      <c r="AF195" s="2" t="str">
        <f>IF($B195="","",$AF$1)</f>
        <v/>
      </c>
      <c r="AI195" s="2" t="str">
        <f>IF($B195="","",IF(F195="","",VLOOKUP(F195,GLAPS정리!$G$3:$J$114,2,0)))</f>
        <v/>
      </c>
      <c r="AJ195" s="2" t="str">
        <f>IF($B195="","",IF(Z195="울산정일","KRONS",IF(Z195="울산신항","KRUSN",IF(OR(Z195="선광종합물류(인천여객)",Z195="인천여객(인천여객)"),"KRINF",IF(OR(Z195="선광인천보세(인천신)",Z195="한진인천(인천신)",Z195="선광인천신항(인천신)",Z195="인천더로지스(인천신)"),"KRINN",IF(OR(Z195="인천진아(인천항)",Z195="인천E1(인천항)",Z195="인천SM경인터미널(인천항)",Z195="인천항(인천항)",Z195="인천우련(인천항)",Z195="인천항8부두(인천항)"),"KRINC",VLOOKUP(K195,GLAPS정리!$BB$2:$BC$33,2,0)))))))</f>
        <v/>
      </c>
      <c r="AL195" s="2" t="str">
        <f>IF($B195="","",$AL$1)</f>
        <v/>
      </c>
      <c r="AN195" s="70" t="str">
        <f>IF($B195="","",TEXT(B195,"YYYY-MM-DD"))</f>
        <v/>
      </c>
      <c r="AO195" s="2" t="str">
        <f>IF($B195="","",IF(E195="오전", "0800", IF(E195="오후", "1300", IF(E195="잔업", "1800", ""))))</f>
        <v/>
      </c>
      <c r="AP195" s="2" t="str">
        <f>IF($B195="","",IF(C195="","",VLOOKUP(C195,GLAPS정리!$AX$2:$AZ$17,3,0)))</f>
        <v/>
      </c>
      <c r="AR195" s="2" t="str">
        <f>IF($B195="","",IF(X195="","",X195))</f>
        <v/>
      </c>
      <c r="AX195" s="2" t="str">
        <f>IF($B195="","",IF(L195="","",VLOOKUP(L195,GLAPS정리!$V$3:$W$180,2,0)))</f>
        <v/>
      </c>
      <c r="BM195" s="2" t="str">
        <f>IF($B195="","",IF(AND(Q195=1,OR(P195="",P195="위험물")), "2210", IF(AND(Q195=1,OR(P195="리퍼",P195="위험물리퍼")), "2230", IF(AND(S195=1,OR(P195="",P195="위험물")), "4510", IF(AND(S195=1,OR(P195="리퍼",P195="위험물리퍼")), "4530", IF(AND(R195=1,OR(P195="",P195="위험물")), "4210", IF(AND(R195=1,P195="리퍼"), "4230", " ")))))))</f>
        <v/>
      </c>
      <c r="BN195" s="2" t="str">
        <f>IF($B195="","",$BN$1)</f>
        <v/>
      </c>
      <c r="BR195" s="2" t="str">
        <f>IF($B195="","",IF(OR(P195="리퍼",P195="위험물리퍼"),"Y",""))</f>
        <v/>
      </c>
      <c r="BS195" s="2" t="str">
        <f>IF($B195="","",IF(OR(P195="위험물",P195="위험물리퍼"),"Y",""))</f>
        <v/>
      </c>
      <c r="BV195" s="2" t="str">
        <f>IF($B195="","",IF(O195="","",VLOOKUP(O195,GLAPS정리!$BH$2:$BI$94,2,0)))</f>
        <v/>
      </c>
      <c r="BW195" s="2" t="str">
        <f>IF($B195="","",IF(OR(Z195="동원",Z195="세방",Z195="한타"),"",IFERROR(INDEX(GLAPS정리!$BI$2:$BI$101,MATCH(Z195,GLAPS정리!$BH$2:$BH$101,0)),"")))</f>
        <v/>
      </c>
      <c r="BX195" s="2" t="str">
        <f>IF($B195="","",IF(Z195="","",IFERROR(VLOOKUP(Z195,GLAPS정리!$AX$2:$AZ$17,3,0),"")))</f>
        <v/>
      </c>
      <c r="BZ195" s="2" t="str">
        <f>IF($B195="","",IF(H195="","",VLOOKUP(H195,GLAPS정리!$L$3:$O$133,2,0)))</f>
        <v/>
      </c>
      <c r="CA195" s="2" t="str">
        <f>IF($B195="","",IF(V195="공휴일", 10, IF(V195="야간", 20, IF(V195="위험물", 30, IF(V195="중량", 40, "")))))</f>
        <v/>
      </c>
      <c r="CL195" s="2" t="str">
        <f>IF($B195="","",IF(AI195="","",VLOOKUP(AI195,GLAPS정리!$BT$3:$BV$26,3,0)))</f>
        <v/>
      </c>
    </row>
    <row r="196" spans="2:90" ht="20.45" customHeight="1">
      <c r="B196" s="13" t="str">
        <f>IF(GLAPS자동계산!C195="","",GLAPS자동계산!C195)</f>
        <v/>
      </c>
      <c r="C196" s="3" t="str">
        <f>IF(GLAPS자동계산!D195="","",GLAPS자동계산!D195)</f>
        <v/>
      </c>
      <c r="D196" s="16" t="str">
        <f>IF(GLAPS자동계산!E195="","",GLAPS자동계산!E195)</f>
        <v/>
      </c>
      <c r="E196" s="11" t="str">
        <f>IF(GLAPS자동계산!F195="","",GLAPS자동계산!F195)</f>
        <v/>
      </c>
      <c r="F196" s="3" t="str">
        <f>IF(GLAPS자동계산!G195="","",GLAPS자동계산!G195)</f>
        <v/>
      </c>
      <c r="G196" s="3" t="str">
        <f>IF(GLAPS자동계산!H195="","",GLAPS자동계산!H195)</f>
        <v/>
      </c>
      <c r="H196" s="3" t="str">
        <f>IF(GLAPS자동계산!I195="","",GLAPS자동계산!I195)</f>
        <v/>
      </c>
      <c r="I196" s="3" t="str">
        <f>IF(GLAPS자동계산!J195="","",GLAPS자동계산!J195)</f>
        <v/>
      </c>
      <c r="J196" s="3" t="str">
        <f>IF(GLAPS자동계산!K195="","",GLAPS자동계산!K195)</f>
        <v/>
      </c>
      <c r="K196" s="3" t="str">
        <f>IF(GLAPS자동계산!L195="","",GLAPS자동계산!L195)</f>
        <v/>
      </c>
      <c r="L196" s="3" t="str">
        <f>IF(GLAPS자동계산!M195="","",GLAPS자동계산!M195)</f>
        <v/>
      </c>
      <c r="M196" s="3" t="str">
        <f>IF(GLAPS자동계산!N195="","",GLAPS자동계산!N195)</f>
        <v/>
      </c>
      <c r="N196" s="3" t="str">
        <f>IF(GLAPS자동계산!O195="","",GLAPS자동계산!O195)</f>
        <v/>
      </c>
      <c r="O196" s="3" t="str">
        <f>IF(GLAPS자동계산!P195="","",GLAPS자동계산!P195)</f>
        <v/>
      </c>
      <c r="P196" s="2" t="str">
        <f>IF(GLAPS자동계산!Q195="","",GLAPS자동계산!Q195)</f>
        <v/>
      </c>
      <c r="Q196" s="3" t="str">
        <f>IF(GLAPS자동계산!R195="","",GLAPS자동계산!R195)</f>
        <v/>
      </c>
      <c r="R196" s="3" t="str">
        <f>IF(GLAPS자동계산!S195="","",GLAPS자동계산!S195)</f>
        <v/>
      </c>
      <c r="S196" s="3" t="str">
        <f>IF(GLAPS자동계산!T195="","",GLAPS자동계산!T195)</f>
        <v/>
      </c>
      <c r="T196" s="3" t="str">
        <f>IF(GLAPS자동계산!U195="","",GLAPS자동계산!U195)</f>
        <v/>
      </c>
      <c r="U196" s="3" t="str">
        <f>IF(GLAPS자동계산!V195="","",GLAPS자동계산!V195)</f>
        <v/>
      </c>
      <c r="V196" s="3" t="str">
        <f>IF(GLAPS자동계산!W195="","",GLAPS자동계산!W195)</f>
        <v/>
      </c>
      <c r="W196" s="14" t="str">
        <f>IF(GLAPS자동계산!X195="","",GLAPS자동계산!X195)</f>
        <v/>
      </c>
      <c r="X196" s="13" t="str">
        <f>IF(GLAPS자동계산!Y195="","",GLAPS자동계산!Y195)</f>
        <v/>
      </c>
      <c r="Y196" s="13" t="str">
        <f>IF(GLAPS자동계산!Z195="","",GLAPS자동계산!Z195)</f>
        <v/>
      </c>
      <c r="Z196" s="91" t="str">
        <f>IF(GLAPS자동계산!AA195="","",GLAPS자동계산!AA195)</f>
        <v/>
      </c>
      <c r="AA196" s="14" t="str">
        <f>IF(GLAPS자동계산!AB195="","",GLAPS자동계산!AB195)</f>
        <v/>
      </c>
      <c r="AC196" s="2" t="str">
        <f>IF($B196="","",$AC$1)</f>
        <v/>
      </c>
      <c r="AD196" s="2" t="str">
        <f>IF($B196="","",IFERROR(INDEX(GLAPS정리!$D$2:$D$50,MATCH(I196,GLAPS정리!$A$2:$A$50,0)),IFERROR(INDEX(GLAPS정리!$D$2:$D$50,MATCH(I196,GLAPS정리!$B$2:$B$50,0)),"")))</f>
        <v/>
      </c>
      <c r="AF196" s="2" t="str">
        <f>IF($B196="","",$AF$1)</f>
        <v/>
      </c>
      <c r="AI196" s="2" t="str">
        <f>IF($B196="","",IF(F196="","",VLOOKUP(F196,GLAPS정리!$G$3:$J$114,2,0)))</f>
        <v/>
      </c>
      <c r="AJ196" s="2" t="str">
        <f>IF($B196="","",IF(Z196="울산정일","KRONS",IF(Z196="울산신항","KRUSN",IF(OR(Z196="선광종합물류(인천여객)",Z196="인천여객(인천여객)"),"KRINF",IF(OR(Z196="선광인천보세(인천신)",Z196="한진인천(인천신)",Z196="선광인천신항(인천신)",Z196="인천더로지스(인천신)"),"KRINN",IF(OR(Z196="인천진아(인천항)",Z196="인천E1(인천항)",Z196="인천SM경인터미널(인천항)",Z196="인천항(인천항)",Z196="인천우련(인천항)",Z196="인천항8부두(인천항)"),"KRINC",VLOOKUP(K196,GLAPS정리!$BB$2:$BC$33,2,0)))))))</f>
        <v/>
      </c>
      <c r="AL196" s="2" t="str">
        <f>IF($B196="","",$AL$1)</f>
        <v/>
      </c>
      <c r="AN196" s="70" t="str">
        <f>IF($B196="","",TEXT(B196,"YYYY-MM-DD"))</f>
        <v/>
      </c>
      <c r="AO196" s="2" t="str">
        <f>IF($B196="","",IF(E196="오전", "0800", IF(E196="오후", "1300", IF(E196="잔업", "1800", ""))))</f>
        <v/>
      </c>
      <c r="AP196" s="2" t="str">
        <f>IF($B196="","",IF(C196="","",VLOOKUP(C196,GLAPS정리!$AX$2:$AZ$17,3,0)))</f>
        <v/>
      </c>
      <c r="AR196" s="2" t="str">
        <f>IF($B196="","",IF(X196="","",X196))</f>
        <v/>
      </c>
      <c r="AX196" s="2" t="str">
        <f>IF($B196="","",IF(L196="","",VLOOKUP(L196,GLAPS정리!$V$3:$W$180,2,0)))</f>
        <v/>
      </c>
      <c r="BM196" s="2" t="str">
        <f>IF($B196="","",IF(AND(Q196=1,OR(P196="",P196="위험물")), "2210", IF(AND(Q196=1,OR(P196="리퍼",P196="위험물리퍼")), "2230", IF(AND(S196=1,OR(P196="",P196="위험물")), "4510", IF(AND(S196=1,OR(P196="리퍼",P196="위험물리퍼")), "4530", IF(AND(R196=1,OR(P196="",P196="위험물")), "4210", IF(AND(R196=1,P196="리퍼"), "4230", " ")))))))</f>
        <v/>
      </c>
      <c r="BN196" s="2" t="str">
        <f>IF($B196="","",$BN$1)</f>
        <v/>
      </c>
      <c r="BR196" s="2" t="str">
        <f>IF($B196="","",IF(OR(P196="리퍼",P196="위험물리퍼"),"Y",""))</f>
        <v/>
      </c>
      <c r="BS196" s="2" t="str">
        <f>IF($B196="","",IF(OR(P196="위험물",P196="위험물리퍼"),"Y",""))</f>
        <v/>
      </c>
      <c r="BV196" s="2" t="str">
        <f>IF($B196="","",IF(O196="","",VLOOKUP(O196,GLAPS정리!$BH$2:$BI$94,2,0)))</f>
        <v/>
      </c>
      <c r="BW196" s="2" t="str">
        <f>IF($B196="","",IF(OR(Z196="동원",Z196="세방",Z196="한타"),"",IFERROR(INDEX(GLAPS정리!$BI$2:$BI$101,MATCH(Z196,GLAPS정리!$BH$2:$BH$101,0)),"")))</f>
        <v/>
      </c>
      <c r="BX196" s="2" t="str">
        <f>IF($B196="","",IF(Z196="","",IFERROR(VLOOKUP(Z196,GLAPS정리!$AX$2:$AZ$17,3,0),"")))</f>
        <v/>
      </c>
      <c r="BZ196" s="2" t="str">
        <f>IF($B196="","",IF(H196="","",VLOOKUP(H196,GLAPS정리!$L$3:$O$133,2,0)))</f>
        <v/>
      </c>
      <c r="CA196" s="2" t="str">
        <f>IF($B196="","",IF(V196="공휴일", 10, IF(V196="야간", 20, IF(V196="위험물", 30, IF(V196="중량", 40, "")))))</f>
        <v/>
      </c>
      <c r="CL196" s="2" t="str">
        <f>IF($B196="","",IF(AI196="","",VLOOKUP(AI196,GLAPS정리!$BT$3:$BV$26,3,0)))</f>
        <v/>
      </c>
    </row>
    <row r="197" spans="2:90" ht="20.45" customHeight="1">
      <c r="B197" s="13" t="str">
        <f>IF(GLAPS자동계산!C196="","",GLAPS자동계산!C196)</f>
        <v/>
      </c>
      <c r="C197" s="3" t="str">
        <f>IF(GLAPS자동계산!D196="","",GLAPS자동계산!D196)</f>
        <v/>
      </c>
      <c r="D197" s="16" t="str">
        <f>IF(GLAPS자동계산!E196="","",GLAPS자동계산!E196)</f>
        <v/>
      </c>
      <c r="E197" s="11" t="str">
        <f>IF(GLAPS자동계산!F196="","",GLAPS자동계산!F196)</f>
        <v/>
      </c>
      <c r="F197" s="3" t="str">
        <f>IF(GLAPS자동계산!G196="","",GLAPS자동계산!G196)</f>
        <v/>
      </c>
      <c r="G197" s="3" t="str">
        <f>IF(GLAPS자동계산!H196="","",GLAPS자동계산!H196)</f>
        <v/>
      </c>
      <c r="H197" s="3" t="str">
        <f>IF(GLAPS자동계산!I196="","",GLAPS자동계산!I196)</f>
        <v/>
      </c>
      <c r="I197" s="3" t="str">
        <f>IF(GLAPS자동계산!J196="","",GLAPS자동계산!J196)</f>
        <v/>
      </c>
      <c r="J197" s="3" t="str">
        <f>IF(GLAPS자동계산!K196="","",GLAPS자동계산!K196)</f>
        <v/>
      </c>
      <c r="K197" s="3" t="str">
        <f>IF(GLAPS자동계산!L196="","",GLAPS자동계산!L196)</f>
        <v/>
      </c>
      <c r="L197" s="3" t="str">
        <f>IF(GLAPS자동계산!M196="","",GLAPS자동계산!M196)</f>
        <v/>
      </c>
      <c r="M197" s="3" t="str">
        <f>IF(GLAPS자동계산!N196="","",GLAPS자동계산!N196)</f>
        <v/>
      </c>
      <c r="N197" s="3" t="str">
        <f>IF(GLAPS자동계산!O196="","",GLAPS자동계산!O196)</f>
        <v/>
      </c>
      <c r="O197" s="3" t="str">
        <f>IF(GLAPS자동계산!P196="","",GLAPS자동계산!P196)</f>
        <v/>
      </c>
      <c r="P197" s="2" t="str">
        <f>IF(GLAPS자동계산!Q196="","",GLAPS자동계산!Q196)</f>
        <v/>
      </c>
      <c r="Q197" s="3" t="str">
        <f>IF(GLAPS자동계산!R196="","",GLAPS자동계산!R196)</f>
        <v/>
      </c>
      <c r="R197" s="3" t="str">
        <f>IF(GLAPS자동계산!S196="","",GLAPS자동계산!S196)</f>
        <v/>
      </c>
      <c r="S197" s="3" t="str">
        <f>IF(GLAPS자동계산!T196="","",GLAPS자동계산!T196)</f>
        <v/>
      </c>
      <c r="T197" s="3" t="str">
        <f>IF(GLAPS자동계산!U196="","",GLAPS자동계산!U196)</f>
        <v/>
      </c>
      <c r="U197" s="3" t="str">
        <f>IF(GLAPS자동계산!V196="","",GLAPS자동계산!V196)</f>
        <v/>
      </c>
      <c r="V197" s="3" t="str">
        <f>IF(GLAPS자동계산!W196="","",GLAPS자동계산!W196)</f>
        <v/>
      </c>
      <c r="W197" s="14" t="str">
        <f>IF(GLAPS자동계산!X196="","",GLAPS자동계산!X196)</f>
        <v/>
      </c>
      <c r="X197" s="13" t="str">
        <f>IF(GLAPS자동계산!Y196="","",GLAPS자동계산!Y196)</f>
        <v/>
      </c>
      <c r="Y197" s="13" t="str">
        <f>IF(GLAPS자동계산!Z196="","",GLAPS자동계산!Z196)</f>
        <v/>
      </c>
      <c r="Z197" s="91" t="str">
        <f>IF(GLAPS자동계산!AA196="","",GLAPS자동계산!AA196)</f>
        <v/>
      </c>
      <c r="AA197" s="14" t="str">
        <f>IF(GLAPS자동계산!AB196="","",GLAPS자동계산!AB196)</f>
        <v/>
      </c>
      <c r="AC197" s="2" t="str">
        <f>IF($B197="","",$AC$1)</f>
        <v/>
      </c>
      <c r="AD197" s="2" t="str">
        <f>IF($B197="","",IFERROR(INDEX(GLAPS정리!$D$2:$D$50,MATCH(I197,GLAPS정리!$A$2:$A$50,0)),IFERROR(INDEX(GLAPS정리!$D$2:$D$50,MATCH(I197,GLAPS정리!$B$2:$B$50,0)),"")))</f>
        <v/>
      </c>
      <c r="AF197" s="2" t="str">
        <f>IF($B197="","",$AF$1)</f>
        <v/>
      </c>
      <c r="AI197" s="2" t="str">
        <f>IF($B197="","",IF(F197="","",VLOOKUP(F197,GLAPS정리!$G$3:$J$114,2,0)))</f>
        <v/>
      </c>
      <c r="AJ197" s="2" t="str">
        <f>IF($B197="","",IF(Z197="울산정일","KRONS",IF(Z197="울산신항","KRUSN",IF(OR(Z197="선광종합물류(인천여객)",Z197="인천여객(인천여객)"),"KRINF",IF(OR(Z197="선광인천보세(인천신)",Z197="한진인천(인천신)",Z197="선광인천신항(인천신)",Z197="인천더로지스(인천신)"),"KRINN",IF(OR(Z197="인천진아(인천항)",Z197="인천E1(인천항)",Z197="인천SM경인터미널(인천항)",Z197="인천항(인천항)",Z197="인천우련(인천항)",Z197="인천항8부두(인천항)"),"KRINC",VLOOKUP(K197,GLAPS정리!$BB$2:$BC$33,2,0)))))))</f>
        <v/>
      </c>
      <c r="AL197" s="2" t="str">
        <f>IF($B197="","",$AL$1)</f>
        <v/>
      </c>
      <c r="AN197" s="70" t="str">
        <f>IF($B197="","",TEXT(B197,"YYYY-MM-DD"))</f>
        <v/>
      </c>
      <c r="AO197" s="2" t="str">
        <f>IF($B197="","",IF(E197="오전", "0800", IF(E197="오후", "1300", IF(E197="잔업", "1800", ""))))</f>
        <v/>
      </c>
      <c r="AP197" s="2" t="str">
        <f>IF($B197="","",IF(C197="","",VLOOKUP(C197,GLAPS정리!$AX$2:$AZ$17,3,0)))</f>
        <v/>
      </c>
      <c r="AR197" s="2" t="str">
        <f>IF($B197="","",IF(X197="","",X197))</f>
        <v/>
      </c>
      <c r="AX197" s="2" t="str">
        <f>IF($B197="","",IF(L197="","",VLOOKUP(L197,GLAPS정리!$V$3:$W$180,2,0)))</f>
        <v/>
      </c>
      <c r="BM197" s="2" t="str">
        <f>IF($B197="","",IF(AND(Q197=1,OR(P197="",P197="위험물")), "2210", IF(AND(Q197=1,OR(P197="리퍼",P197="위험물리퍼")), "2230", IF(AND(S197=1,OR(P197="",P197="위험물")), "4510", IF(AND(S197=1,OR(P197="리퍼",P197="위험물리퍼")), "4530", IF(AND(R197=1,OR(P197="",P197="위험물")), "4210", IF(AND(R197=1,P197="리퍼"), "4230", " ")))))))</f>
        <v/>
      </c>
      <c r="BN197" s="2" t="str">
        <f>IF($B197="","",$BN$1)</f>
        <v/>
      </c>
      <c r="BR197" s="2" t="str">
        <f>IF($B197="","",IF(OR(P197="리퍼",P197="위험물리퍼"),"Y",""))</f>
        <v/>
      </c>
      <c r="BS197" s="2" t="str">
        <f>IF($B197="","",IF(OR(P197="위험물",P197="위험물리퍼"),"Y",""))</f>
        <v/>
      </c>
      <c r="BV197" s="2" t="str">
        <f>IF($B197="","",IF(O197="","",VLOOKUP(O197,GLAPS정리!$BH$2:$BI$94,2,0)))</f>
        <v/>
      </c>
      <c r="BW197" s="2" t="str">
        <f>IF($B197="","",IF(OR(Z197="동원",Z197="세방",Z197="한타"),"",IFERROR(INDEX(GLAPS정리!$BI$2:$BI$101,MATCH(Z197,GLAPS정리!$BH$2:$BH$101,0)),"")))</f>
        <v/>
      </c>
      <c r="BX197" s="2" t="str">
        <f>IF($B197="","",IF(Z197="","",IFERROR(VLOOKUP(Z197,GLAPS정리!$AX$2:$AZ$17,3,0),"")))</f>
        <v/>
      </c>
      <c r="BZ197" s="2" t="str">
        <f>IF($B197="","",IF(H197="","",VLOOKUP(H197,GLAPS정리!$L$3:$O$133,2,0)))</f>
        <v/>
      </c>
      <c r="CA197" s="2" t="str">
        <f>IF($B197="","",IF(V197="공휴일", 10, IF(V197="야간", 20, IF(V197="위험물", 30, IF(V197="중량", 40, "")))))</f>
        <v/>
      </c>
      <c r="CL197" s="2" t="str">
        <f>IF($B197="","",IF(AI197="","",VLOOKUP(AI197,GLAPS정리!$BT$3:$BV$26,3,0)))</f>
        <v/>
      </c>
    </row>
    <row r="198" spans="2:90" ht="20.45" customHeight="1">
      <c r="B198" s="13" t="str">
        <f>IF(GLAPS자동계산!C197="","",GLAPS자동계산!C197)</f>
        <v/>
      </c>
      <c r="C198" s="3" t="str">
        <f>IF(GLAPS자동계산!D197="","",GLAPS자동계산!D197)</f>
        <v/>
      </c>
      <c r="D198" s="16" t="str">
        <f>IF(GLAPS자동계산!E197="","",GLAPS자동계산!E197)</f>
        <v/>
      </c>
      <c r="E198" s="11" t="str">
        <f>IF(GLAPS자동계산!F197="","",GLAPS자동계산!F197)</f>
        <v/>
      </c>
      <c r="F198" s="3" t="str">
        <f>IF(GLAPS자동계산!G197="","",GLAPS자동계산!G197)</f>
        <v/>
      </c>
      <c r="G198" s="3" t="str">
        <f>IF(GLAPS자동계산!H197="","",GLAPS자동계산!H197)</f>
        <v/>
      </c>
      <c r="H198" s="3" t="str">
        <f>IF(GLAPS자동계산!I197="","",GLAPS자동계산!I197)</f>
        <v/>
      </c>
      <c r="I198" s="3" t="str">
        <f>IF(GLAPS자동계산!J197="","",GLAPS자동계산!J197)</f>
        <v/>
      </c>
      <c r="J198" s="3" t="str">
        <f>IF(GLAPS자동계산!K197="","",GLAPS자동계산!K197)</f>
        <v/>
      </c>
      <c r="K198" s="3" t="str">
        <f>IF(GLAPS자동계산!L197="","",GLAPS자동계산!L197)</f>
        <v/>
      </c>
      <c r="L198" s="3" t="str">
        <f>IF(GLAPS자동계산!M197="","",GLAPS자동계산!M197)</f>
        <v/>
      </c>
      <c r="M198" s="3" t="str">
        <f>IF(GLAPS자동계산!N197="","",GLAPS자동계산!N197)</f>
        <v/>
      </c>
      <c r="N198" s="3" t="str">
        <f>IF(GLAPS자동계산!O197="","",GLAPS자동계산!O197)</f>
        <v/>
      </c>
      <c r="O198" s="3" t="str">
        <f>IF(GLAPS자동계산!P197="","",GLAPS자동계산!P197)</f>
        <v/>
      </c>
      <c r="P198" s="2" t="str">
        <f>IF(GLAPS자동계산!Q197="","",GLAPS자동계산!Q197)</f>
        <v/>
      </c>
      <c r="Q198" s="3" t="str">
        <f>IF(GLAPS자동계산!R197="","",GLAPS자동계산!R197)</f>
        <v/>
      </c>
      <c r="R198" s="3" t="str">
        <f>IF(GLAPS자동계산!S197="","",GLAPS자동계산!S197)</f>
        <v/>
      </c>
      <c r="S198" s="3" t="str">
        <f>IF(GLAPS자동계산!T197="","",GLAPS자동계산!T197)</f>
        <v/>
      </c>
      <c r="T198" s="3" t="str">
        <f>IF(GLAPS자동계산!U197="","",GLAPS자동계산!U197)</f>
        <v/>
      </c>
      <c r="U198" s="3" t="str">
        <f>IF(GLAPS자동계산!V197="","",GLAPS자동계산!V197)</f>
        <v/>
      </c>
      <c r="V198" s="3" t="str">
        <f>IF(GLAPS자동계산!W197="","",GLAPS자동계산!W197)</f>
        <v/>
      </c>
      <c r="W198" s="14" t="str">
        <f>IF(GLAPS자동계산!X197="","",GLAPS자동계산!X197)</f>
        <v/>
      </c>
      <c r="X198" s="13" t="str">
        <f>IF(GLAPS자동계산!Y197="","",GLAPS자동계산!Y197)</f>
        <v/>
      </c>
      <c r="Y198" s="13" t="str">
        <f>IF(GLAPS자동계산!Z197="","",GLAPS자동계산!Z197)</f>
        <v/>
      </c>
      <c r="Z198" s="91" t="str">
        <f>IF(GLAPS자동계산!AA197="","",GLAPS자동계산!AA197)</f>
        <v/>
      </c>
      <c r="AA198" s="14" t="str">
        <f>IF(GLAPS자동계산!AB197="","",GLAPS자동계산!AB197)</f>
        <v/>
      </c>
      <c r="AC198" s="2" t="str">
        <f>IF($B198="","",$AC$1)</f>
        <v/>
      </c>
      <c r="AD198" s="2" t="str">
        <f>IF($B198="","",IFERROR(INDEX(GLAPS정리!$D$2:$D$50,MATCH(I198,GLAPS정리!$A$2:$A$50,0)),IFERROR(INDEX(GLAPS정리!$D$2:$D$50,MATCH(I198,GLAPS정리!$B$2:$B$50,0)),"")))</f>
        <v/>
      </c>
      <c r="AF198" s="2" t="str">
        <f>IF($B198="","",$AF$1)</f>
        <v/>
      </c>
      <c r="AI198" s="2" t="str">
        <f>IF($B198="","",IF(F198="","",VLOOKUP(F198,GLAPS정리!$G$3:$J$114,2,0)))</f>
        <v/>
      </c>
      <c r="AJ198" s="2" t="str">
        <f>IF($B198="","",IF(Z198="울산정일","KRONS",IF(Z198="울산신항","KRUSN",IF(OR(Z198="선광종합물류(인천여객)",Z198="인천여객(인천여객)"),"KRINF",IF(OR(Z198="선광인천보세(인천신)",Z198="한진인천(인천신)",Z198="선광인천신항(인천신)",Z198="인천더로지스(인천신)"),"KRINN",IF(OR(Z198="인천진아(인천항)",Z198="인천E1(인천항)",Z198="인천SM경인터미널(인천항)",Z198="인천항(인천항)",Z198="인천우련(인천항)",Z198="인천항8부두(인천항)"),"KRINC",VLOOKUP(K198,GLAPS정리!$BB$2:$BC$33,2,0)))))))</f>
        <v/>
      </c>
      <c r="AL198" s="2" t="str">
        <f>IF($B198="","",$AL$1)</f>
        <v/>
      </c>
      <c r="AN198" s="70" t="str">
        <f>IF($B198="","",TEXT(B198,"YYYY-MM-DD"))</f>
        <v/>
      </c>
      <c r="AO198" s="2" t="str">
        <f>IF($B198="","",IF(E198="오전", "0800", IF(E198="오후", "1300", IF(E198="잔업", "1800", ""))))</f>
        <v/>
      </c>
      <c r="AP198" s="2" t="str">
        <f>IF($B198="","",IF(C198="","",VLOOKUP(C198,GLAPS정리!$AX$2:$AZ$17,3,0)))</f>
        <v/>
      </c>
      <c r="AR198" s="2" t="str">
        <f>IF($B198="","",IF(X198="","",X198))</f>
        <v/>
      </c>
      <c r="AX198" s="2" t="str">
        <f>IF($B198="","",IF(L198="","",VLOOKUP(L198,GLAPS정리!$V$3:$W$180,2,0)))</f>
        <v/>
      </c>
      <c r="BM198" s="2" t="str">
        <f>IF($B198="","",IF(AND(Q198=1,OR(P198="",P198="위험물")), "2210", IF(AND(Q198=1,OR(P198="리퍼",P198="위험물리퍼")), "2230", IF(AND(S198=1,OR(P198="",P198="위험물")), "4510", IF(AND(S198=1,OR(P198="리퍼",P198="위험물리퍼")), "4530", IF(AND(R198=1,OR(P198="",P198="위험물")), "4210", IF(AND(R198=1,P198="리퍼"), "4230", " ")))))))</f>
        <v/>
      </c>
      <c r="BN198" s="2" t="str">
        <f>IF($B198="","",$BN$1)</f>
        <v/>
      </c>
      <c r="BR198" s="2" t="str">
        <f>IF($B198="","",IF(OR(P198="리퍼",P198="위험물리퍼"),"Y",""))</f>
        <v/>
      </c>
      <c r="BS198" s="2" t="str">
        <f>IF($B198="","",IF(OR(P198="위험물",P198="위험물리퍼"),"Y",""))</f>
        <v/>
      </c>
      <c r="BV198" s="2" t="str">
        <f>IF($B198="","",IF(O198="","",VLOOKUP(O198,GLAPS정리!$BH$2:$BI$94,2,0)))</f>
        <v/>
      </c>
      <c r="BW198" s="2" t="str">
        <f>IF($B198="","",IF(OR(Z198="동원",Z198="세방",Z198="한타"),"",IFERROR(INDEX(GLAPS정리!$BI$2:$BI$101,MATCH(Z198,GLAPS정리!$BH$2:$BH$101,0)),"")))</f>
        <v/>
      </c>
      <c r="BX198" s="2" t="str">
        <f>IF($B198="","",IF(Z198="","",IFERROR(VLOOKUP(Z198,GLAPS정리!$AX$2:$AZ$17,3,0),"")))</f>
        <v/>
      </c>
      <c r="BZ198" s="2" t="str">
        <f>IF($B198="","",IF(H198="","",VLOOKUP(H198,GLAPS정리!$L$3:$O$133,2,0)))</f>
        <v/>
      </c>
      <c r="CA198" s="2" t="str">
        <f>IF($B198="","",IF(V198="공휴일", 10, IF(V198="야간", 20, IF(V198="위험물", 30, IF(V198="중량", 40, "")))))</f>
        <v/>
      </c>
      <c r="CL198" s="2" t="str">
        <f>IF($B198="","",IF(AI198="","",VLOOKUP(AI198,GLAPS정리!$BT$3:$BV$26,3,0)))</f>
        <v/>
      </c>
    </row>
    <row r="199" spans="2:90" ht="20.45" customHeight="1">
      <c r="B199" s="13" t="str">
        <f>IF(GLAPS자동계산!C198="","",GLAPS자동계산!C198)</f>
        <v/>
      </c>
      <c r="C199" s="3" t="str">
        <f>IF(GLAPS자동계산!D198="","",GLAPS자동계산!D198)</f>
        <v/>
      </c>
      <c r="D199" s="16" t="str">
        <f>IF(GLAPS자동계산!E198="","",GLAPS자동계산!E198)</f>
        <v/>
      </c>
      <c r="E199" s="11" t="str">
        <f>IF(GLAPS자동계산!F198="","",GLAPS자동계산!F198)</f>
        <v/>
      </c>
      <c r="F199" s="3" t="str">
        <f>IF(GLAPS자동계산!G198="","",GLAPS자동계산!G198)</f>
        <v/>
      </c>
      <c r="G199" s="3" t="str">
        <f>IF(GLAPS자동계산!H198="","",GLAPS자동계산!H198)</f>
        <v/>
      </c>
      <c r="H199" s="3" t="str">
        <f>IF(GLAPS자동계산!I198="","",GLAPS자동계산!I198)</f>
        <v/>
      </c>
      <c r="I199" s="3" t="str">
        <f>IF(GLAPS자동계산!J198="","",GLAPS자동계산!J198)</f>
        <v/>
      </c>
      <c r="J199" s="3" t="str">
        <f>IF(GLAPS자동계산!K198="","",GLAPS자동계산!K198)</f>
        <v/>
      </c>
      <c r="K199" s="3" t="str">
        <f>IF(GLAPS자동계산!L198="","",GLAPS자동계산!L198)</f>
        <v/>
      </c>
      <c r="L199" s="3" t="str">
        <f>IF(GLAPS자동계산!M198="","",GLAPS자동계산!M198)</f>
        <v/>
      </c>
      <c r="M199" s="3" t="str">
        <f>IF(GLAPS자동계산!N198="","",GLAPS자동계산!N198)</f>
        <v/>
      </c>
      <c r="N199" s="3" t="str">
        <f>IF(GLAPS자동계산!O198="","",GLAPS자동계산!O198)</f>
        <v/>
      </c>
      <c r="O199" s="3" t="str">
        <f>IF(GLAPS자동계산!P198="","",GLAPS자동계산!P198)</f>
        <v/>
      </c>
      <c r="P199" s="2" t="str">
        <f>IF(GLAPS자동계산!Q198="","",GLAPS자동계산!Q198)</f>
        <v/>
      </c>
      <c r="Q199" s="3" t="str">
        <f>IF(GLAPS자동계산!R198="","",GLAPS자동계산!R198)</f>
        <v/>
      </c>
      <c r="R199" s="3" t="str">
        <f>IF(GLAPS자동계산!S198="","",GLAPS자동계산!S198)</f>
        <v/>
      </c>
      <c r="S199" s="3" t="str">
        <f>IF(GLAPS자동계산!T198="","",GLAPS자동계산!T198)</f>
        <v/>
      </c>
      <c r="T199" s="3" t="str">
        <f>IF(GLAPS자동계산!U198="","",GLAPS자동계산!U198)</f>
        <v/>
      </c>
      <c r="U199" s="3" t="str">
        <f>IF(GLAPS자동계산!V198="","",GLAPS자동계산!V198)</f>
        <v/>
      </c>
      <c r="V199" s="3" t="str">
        <f>IF(GLAPS자동계산!W198="","",GLAPS자동계산!W198)</f>
        <v/>
      </c>
      <c r="W199" s="14" t="str">
        <f>IF(GLAPS자동계산!X198="","",GLAPS자동계산!X198)</f>
        <v/>
      </c>
      <c r="X199" s="13" t="str">
        <f>IF(GLAPS자동계산!Y198="","",GLAPS자동계산!Y198)</f>
        <v/>
      </c>
      <c r="Y199" s="13" t="str">
        <f>IF(GLAPS자동계산!Z198="","",GLAPS자동계산!Z198)</f>
        <v/>
      </c>
      <c r="Z199" s="91" t="str">
        <f>IF(GLAPS자동계산!AA198="","",GLAPS자동계산!AA198)</f>
        <v/>
      </c>
      <c r="AA199" s="14" t="str">
        <f>IF(GLAPS자동계산!AB198="","",GLAPS자동계산!AB198)</f>
        <v/>
      </c>
      <c r="AC199" s="2" t="str">
        <f>IF($B199="","",$AC$1)</f>
        <v/>
      </c>
      <c r="AD199" s="2" t="str">
        <f>IF($B199="","",IFERROR(INDEX(GLAPS정리!$D$2:$D$50,MATCH(I199,GLAPS정리!$A$2:$A$50,0)),IFERROR(INDEX(GLAPS정리!$D$2:$D$50,MATCH(I199,GLAPS정리!$B$2:$B$50,0)),"")))</f>
        <v/>
      </c>
      <c r="AF199" s="2" t="str">
        <f>IF($B199="","",$AF$1)</f>
        <v/>
      </c>
      <c r="AI199" s="2" t="str">
        <f>IF($B199="","",IF(F199="","",VLOOKUP(F199,GLAPS정리!$G$3:$J$114,2,0)))</f>
        <v/>
      </c>
      <c r="AJ199" s="2" t="str">
        <f>IF($B199="","",IF(Z199="울산정일","KRONS",IF(Z199="울산신항","KRUSN",IF(OR(Z199="선광종합물류(인천여객)",Z199="인천여객(인천여객)"),"KRINF",IF(OR(Z199="선광인천보세(인천신)",Z199="한진인천(인천신)",Z199="선광인천신항(인천신)",Z199="인천더로지스(인천신)"),"KRINN",IF(OR(Z199="인천진아(인천항)",Z199="인천E1(인천항)",Z199="인천SM경인터미널(인천항)",Z199="인천항(인천항)",Z199="인천우련(인천항)",Z199="인천항8부두(인천항)"),"KRINC",VLOOKUP(K199,GLAPS정리!$BB$2:$BC$33,2,0)))))))</f>
        <v/>
      </c>
      <c r="AL199" s="2" t="str">
        <f>IF($B199="","",$AL$1)</f>
        <v/>
      </c>
      <c r="AN199" s="70" t="str">
        <f>IF($B199="","",TEXT(B199,"YYYY-MM-DD"))</f>
        <v/>
      </c>
      <c r="AO199" s="2" t="str">
        <f>IF($B199="","",IF(E199="오전", "0800", IF(E199="오후", "1300", IF(E199="잔업", "1800", ""))))</f>
        <v/>
      </c>
      <c r="AP199" s="2" t="str">
        <f>IF($B199="","",IF(C199="","",VLOOKUP(C199,GLAPS정리!$AX$2:$AZ$17,3,0)))</f>
        <v/>
      </c>
      <c r="AR199" s="2" t="str">
        <f>IF($B199="","",IF(X199="","",X199))</f>
        <v/>
      </c>
      <c r="AX199" s="2" t="str">
        <f>IF($B199="","",IF(L199="","",VLOOKUP(L199,GLAPS정리!$V$3:$W$180,2,0)))</f>
        <v/>
      </c>
      <c r="BM199" s="2" t="str">
        <f>IF($B199="","",IF(AND(Q199=1,OR(P199="",P199="위험물")), "2210", IF(AND(Q199=1,OR(P199="리퍼",P199="위험물리퍼")), "2230", IF(AND(S199=1,OR(P199="",P199="위험물")), "4510", IF(AND(S199=1,OR(P199="리퍼",P199="위험물리퍼")), "4530", IF(AND(R199=1,OR(P199="",P199="위험물")), "4210", IF(AND(R199=1,P199="리퍼"), "4230", " ")))))))</f>
        <v/>
      </c>
      <c r="BN199" s="2" t="str">
        <f>IF($B199="","",$BN$1)</f>
        <v/>
      </c>
      <c r="BR199" s="2" t="str">
        <f>IF($B199="","",IF(OR(P199="리퍼",P199="위험물리퍼"),"Y",""))</f>
        <v/>
      </c>
      <c r="BS199" s="2" t="str">
        <f>IF($B199="","",IF(OR(P199="위험물",P199="위험물리퍼"),"Y",""))</f>
        <v/>
      </c>
      <c r="BV199" s="2" t="str">
        <f>IF($B199="","",IF(O199="","",VLOOKUP(O199,GLAPS정리!$BH$2:$BI$94,2,0)))</f>
        <v/>
      </c>
      <c r="BW199" s="2" t="str">
        <f>IF($B199="","",IF(OR(Z199="동원",Z199="세방",Z199="한타"),"",IFERROR(INDEX(GLAPS정리!$BI$2:$BI$101,MATCH(Z199,GLAPS정리!$BH$2:$BH$101,0)),"")))</f>
        <v/>
      </c>
      <c r="BX199" s="2" t="str">
        <f>IF($B199="","",IF(Z199="","",IFERROR(VLOOKUP(Z199,GLAPS정리!$AX$2:$AZ$17,3,0),"")))</f>
        <v/>
      </c>
      <c r="BZ199" s="2" t="str">
        <f>IF($B199="","",IF(H199="","",VLOOKUP(H199,GLAPS정리!$L$3:$O$133,2,0)))</f>
        <v/>
      </c>
      <c r="CA199" s="2" t="str">
        <f>IF($B199="","",IF(V199="공휴일", 10, IF(V199="야간", 20, IF(V199="위험물", 30, IF(V199="중량", 40, "")))))</f>
        <v/>
      </c>
      <c r="CL199" s="2" t="str">
        <f>IF($B199="","",IF(AI199="","",VLOOKUP(AI199,GLAPS정리!$BT$3:$BV$26,3,0)))</f>
        <v/>
      </c>
    </row>
    <row r="200" spans="2:90" ht="20.45" customHeight="1">
      <c r="B200" s="13" t="str">
        <f>IF(GLAPS자동계산!C199="","",GLAPS자동계산!C199)</f>
        <v/>
      </c>
      <c r="C200" s="3" t="str">
        <f>IF(GLAPS자동계산!D199="","",GLAPS자동계산!D199)</f>
        <v/>
      </c>
      <c r="D200" s="16" t="str">
        <f>IF(GLAPS자동계산!E199="","",GLAPS자동계산!E199)</f>
        <v/>
      </c>
      <c r="E200" s="11" t="str">
        <f>IF(GLAPS자동계산!F199="","",GLAPS자동계산!F199)</f>
        <v/>
      </c>
      <c r="F200" s="3" t="str">
        <f>IF(GLAPS자동계산!G199="","",GLAPS자동계산!G199)</f>
        <v/>
      </c>
      <c r="G200" s="3" t="str">
        <f>IF(GLAPS자동계산!H199="","",GLAPS자동계산!H199)</f>
        <v/>
      </c>
      <c r="H200" s="3" t="str">
        <f>IF(GLAPS자동계산!I199="","",GLAPS자동계산!I199)</f>
        <v/>
      </c>
      <c r="I200" s="3" t="str">
        <f>IF(GLAPS자동계산!J199="","",GLAPS자동계산!J199)</f>
        <v/>
      </c>
      <c r="J200" s="3" t="str">
        <f>IF(GLAPS자동계산!K199="","",GLAPS자동계산!K199)</f>
        <v/>
      </c>
      <c r="K200" s="3" t="str">
        <f>IF(GLAPS자동계산!L199="","",GLAPS자동계산!L199)</f>
        <v/>
      </c>
      <c r="L200" s="3" t="str">
        <f>IF(GLAPS자동계산!M199="","",GLAPS자동계산!M199)</f>
        <v/>
      </c>
      <c r="M200" s="3" t="str">
        <f>IF(GLAPS자동계산!N199="","",GLAPS자동계산!N199)</f>
        <v/>
      </c>
      <c r="N200" s="3" t="str">
        <f>IF(GLAPS자동계산!O199="","",GLAPS자동계산!O199)</f>
        <v/>
      </c>
      <c r="O200" s="3" t="str">
        <f>IF(GLAPS자동계산!P199="","",GLAPS자동계산!P199)</f>
        <v/>
      </c>
      <c r="P200" s="2" t="str">
        <f>IF(GLAPS자동계산!Q199="","",GLAPS자동계산!Q199)</f>
        <v/>
      </c>
      <c r="Q200" s="3" t="str">
        <f>IF(GLAPS자동계산!R199="","",GLAPS자동계산!R199)</f>
        <v/>
      </c>
      <c r="R200" s="3" t="str">
        <f>IF(GLAPS자동계산!S199="","",GLAPS자동계산!S199)</f>
        <v/>
      </c>
      <c r="S200" s="3" t="str">
        <f>IF(GLAPS자동계산!T199="","",GLAPS자동계산!T199)</f>
        <v/>
      </c>
      <c r="T200" s="3" t="str">
        <f>IF(GLAPS자동계산!U199="","",GLAPS자동계산!U199)</f>
        <v/>
      </c>
      <c r="U200" s="3" t="str">
        <f>IF(GLAPS자동계산!V199="","",GLAPS자동계산!V199)</f>
        <v/>
      </c>
      <c r="V200" s="3" t="str">
        <f>IF(GLAPS자동계산!W199="","",GLAPS자동계산!W199)</f>
        <v/>
      </c>
      <c r="W200" s="14" t="str">
        <f>IF(GLAPS자동계산!X199="","",GLAPS자동계산!X199)</f>
        <v/>
      </c>
      <c r="X200" s="13" t="str">
        <f>IF(GLAPS자동계산!Y199="","",GLAPS자동계산!Y199)</f>
        <v/>
      </c>
      <c r="Y200" s="13" t="str">
        <f>IF(GLAPS자동계산!Z199="","",GLAPS자동계산!Z199)</f>
        <v/>
      </c>
      <c r="Z200" s="91" t="str">
        <f>IF(GLAPS자동계산!AA199="","",GLAPS자동계산!AA199)</f>
        <v/>
      </c>
      <c r="AA200" s="14" t="str">
        <f>IF(GLAPS자동계산!AB199="","",GLAPS자동계산!AB199)</f>
        <v/>
      </c>
      <c r="AC200" s="2" t="str">
        <f>IF($B200="","",$AC$1)</f>
        <v/>
      </c>
      <c r="AD200" s="2" t="str">
        <f>IF($B200="","",IFERROR(INDEX(GLAPS정리!$D$2:$D$50,MATCH(I200,GLAPS정리!$A$2:$A$50,0)),IFERROR(INDEX(GLAPS정리!$D$2:$D$50,MATCH(I200,GLAPS정리!$B$2:$B$50,0)),"")))</f>
        <v/>
      </c>
      <c r="AF200" s="2" t="str">
        <f>IF($B200="","",$AF$1)</f>
        <v/>
      </c>
      <c r="AI200" s="2" t="str">
        <f>IF($B200="","",IF(F200="","",VLOOKUP(F200,GLAPS정리!$G$3:$J$114,2,0)))</f>
        <v/>
      </c>
      <c r="AJ200" s="2" t="str">
        <f>IF($B200="","",IF(Z200="울산정일","KRONS",IF(Z200="울산신항","KRUSN",IF(OR(Z200="선광종합물류(인천여객)",Z200="인천여객(인천여객)"),"KRINF",IF(OR(Z200="선광인천보세(인천신)",Z200="한진인천(인천신)",Z200="선광인천신항(인천신)",Z200="인천더로지스(인천신)"),"KRINN",IF(OR(Z200="인천진아(인천항)",Z200="인천E1(인천항)",Z200="인천SM경인터미널(인천항)",Z200="인천항(인천항)",Z200="인천우련(인천항)",Z200="인천항8부두(인천항)"),"KRINC",VLOOKUP(K200,GLAPS정리!$BB$2:$BC$33,2,0)))))))</f>
        <v/>
      </c>
      <c r="AL200" s="2" t="str">
        <f>IF($B200="","",$AL$1)</f>
        <v/>
      </c>
      <c r="AN200" s="70" t="str">
        <f>IF($B200="","",TEXT(B200,"YYYY-MM-DD"))</f>
        <v/>
      </c>
      <c r="AO200" s="2" t="str">
        <f>IF($B200="","",IF(E200="오전", "0800", IF(E200="오후", "1300", IF(E200="잔업", "1800", ""))))</f>
        <v/>
      </c>
      <c r="AP200" s="2" t="str">
        <f>IF($B200="","",IF(C200="","",VLOOKUP(C200,GLAPS정리!$AX$2:$AZ$17,3,0)))</f>
        <v/>
      </c>
      <c r="AR200" s="2" t="str">
        <f>IF($B200="","",IF(X200="","",X200))</f>
        <v/>
      </c>
      <c r="AX200" s="2" t="str">
        <f>IF($B200="","",IF(L200="","",VLOOKUP(L200,GLAPS정리!$V$3:$W$180,2,0)))</f>
        <v/>
      </c>
      <c r="BM200" s="2" t="str">
        <f>IF($B200="","",IF(AND(Q200=1,OR(P200="",P200="위험물")), "2210", IF(AND(Q200=1,OR(P200="리퍼",P200="위험물리퍼")), "2230", IF(AND(S200=1,OR(P200="",P200="위험물")), "4510", IF(AND(S200=1,OR(P200="리퍼",P200="위험물리퍼")), "4530", IF(AND(R200=1,OR(P200="",P200="위험물")), "4210", IF(AND(R200=1,P200="리퍼"), "4230", " ")))))))</f>
        <v/>
      </c>
      <c r="BN200" s="2" t="str">
        <f>IF($B200="","",$BN$1)</f>
        <v/>
      </c>
      <c r="BR200" s="2" t="str">
        <f>IF($B200="","",IF(OR(P200="리퍼",P200="위험물리퍼"),"Y",""))</f>
        <v/>
      </c>
      <c r="BS200" s="2" t="str">
        <f>IF($B200="","",IF(OR(P200="위험물",P200="위험물리퍼"),"Y",""))</f>
        <v/>
      </c>
      <c r="BV200" s="2" t="str">
        <f>IF($B200="","",IF(O200="","",VLOOKUP(O200,GLAPS정리!$BH$2:$BI$94,2,0)))</f>
        <v/>
      </c>
      <c r="BW200" s="2" t="str">
        <f>IF($B200="","",IF(OR(Z200="동원",Z200="세방",Z200="한타"),"",IFERROR(INDEX(GLAPS정리!$BI$2:$BI$101,MATCH(Z200,GLAPS정리!$BH$2:$BH$101,0)),"")))</f>
        <v/>
      </c>
      <c r="BX200" s="2" t="str">
        <f>IF($B200="","",IF(Z200="","",IFERROR(VLOOKUP(Z200,GLAPS정리!$AX$2:$AZ$17,3,0),"")))</f>
        <v/>
      </c>
      <c r="BZ200" s="2" t="str">
        <f>IF($B200="","",IF(H200="","",VLOOKUP(H200,GLAPS정리!$L$3:$O$133,2,0)))</f>
        <v/>
      </c>
      <c r="CA200" s="2" t="str">
        <f>IF($B200="","",IF(V200="공휴일", 10, IF(V200="야간", 20, IF(V200="위험물", 30, IF(V200="중량", 40, "")))))</f>
        <v/>
      </c>
      <c r="CL200" s="2" t="str">
        <f>IF($B200="","",IF(AI200="","",VLOOKUP(AI200,GLAPS정리!$BT$3:$BV$26,3,0)))</f>
        <v/>
      </c>
    </row>
    <row r="201" spans="2:90" ht="20.45" customHeight="1">
      <c r="B201" s="13" t="str">
        <f>IF(GLAPS자동계산!C200="","",GLAPS자동계산!C200)</f>
        <v/>
      </c>
      <c r="C201" s="3" t="str">
        <f>IF(GLAPS자동계산!D200="","",GLAPS자동계산!D200)</f>
        <v/>
      </c>
      <c r="D201" s="16" t="str">
        <f>IF(GLAPS자동계산!E200="","",GLAPS자동계산!E200)</f>
        <v/>
      </c>
      <c r="E201" s="11" t="str">
        <f>IF(GLAPS자동계산!F200="","",GLAPS자동계산!F200)</f>
        <v/>
      </c>
      <c r="F201" s="3" t="str">
        <f>IF(GLAPS자동계산!G200="","",GLAPS자동계산!G200)</f>
        <v/>
      </c>
      <c r="G201" s="3" t="str">
        <f>IF(GLAPS자동계산!H200="","",GLAPS자동계산!H200)</f>
        <v/>
      </c>
      <c r="H201" s="3" t="str">
        <f>IF(GLAPS자동계산!I200="","",GLAPS자동계산!I200)</f>
        <v/>
      </c>
      <c r="I201" s="3" t="str">
        <f>IF(GLAPS자동계산!J200="","",GLAPS자동계산!J200)</f>
        <v/>
      </c>
      <c r="J201" s="3" t="str">
        <f>IF(GLAPS자동계산!K200="","",GLAPS자동계산!K200)</f>
        <v/>
      </c>
      <c r="K201" s="3" t="str">
        <f>IF(GLAPS자동계산!L200="","",GLAPS자동계산!L200)</f>
        <v/>
      </c>
      <c r="L201" s="3" t="str">
        <f>IF(GLAPS자동계산!M200="","",GLAPS자동계산!M200)</f>
        <v/>
      </c>
      <c r="M201" s="3" t="str">
        <f>IF(GLAPS자동계산!N200="","",GLAPS자동계산!N200)</f>
        <v/>
      </c>
      <c r="N201" s="3" t="str">
        <f>IF(GLAPS자동계산!O200="","",GLAPS자동계산!O200)</f>
        <v/>
      </c>
      <c r="O201" s="3" t="str">
        <f>IF(GLAPS자동계산!P200="","",GLAPS자동계산!P200)</f>
        <v/>
      </c>
      <c r="P201" s="2" t="str">
        <f>IF(GLAPS자동계산!Q200="","",GLAPS자동계산!Q200)</f>
        <v/>
      </c>
      <c r="Q201" s="3" t="str">
        <f>IF(GLAPS자동계산!R200="","",GLAPS자동계산!R200)</f>
        <v/>
      </c>
      <c r="R201" s="3" t="str">
        <f>IF(GLAPS자동계산!S200="","",GLAPS자동계산!S200)</f>
        <v/>
      </c>
      <c r="S201" s="3" t="str">
        <f>IF(GLAPS자동계산!T200="","",GLAPS자동계산!T200)</f>
        <v/>
      </c>
      <c r="T201" s="3" t="str">
        <f>IF(GLAPS자동계산!U200="","",GLAPS자동계산!U200)</f>
        <v/>
      </c>
      <c r="U201" s="3" t="str">
        <f>IF(GLAPS자동계산!V200="","",GLAPS자동계산!V200)</f>
        <v/>
      </c>
      <c r="V201" s="3" t="str">
        <f>IF(GLAPS자동계산!W200="","",GLAPS자동계산!W200)</f>
        <v/>
      </c>
      <c r="W201" s="14" t="str">
        <f>IF(GLAPS자동계산!X200="","",GLAPS자동계산!X200)</f>
        <v/>
      </c>
      <c r="X201" s="13" t="str">
        <f>IF(GLAPS자동계산!Y200="","",GLAPS자동계산!Y200)</f>
        <v/>
      </c>
      <c r="Y201" s="13" t="str">
        <f>IF(GLAPS자동계산!Z200="","",GLAPS자동계산!Z200)</f>
        <v/>
      </c>
      <c r="Z201" s="91" t="str">
        <f>IF(GLAPS자동계산!AA200="","",GLAPS자동계산!AA200)</f>
        <v/>
      </c>
      <c r="AA201" s="14" t="str">
        <f>IF(GLAPS자동계산!AB200="","",GLAPS자동계산!AB200)</f>
        <v/>
      </c>
      <c r="AC201" s="2" t="str">
        <f>IF($B201="","",$AC$1)</f>
        <v/>
      </c>
      <c r="AD201" s="2" t="str">
        <f>IF($B201="","",IFERROR(INDEX(GLAPS정리!$D$2:$D$50,MATCH(I201,GLAPS정리!$A$2:$A$50,0)),IFERROR(INDEX(GLAPS정리!$D$2:$D$50,MATCH(I201,GLAPS정리!$B$2:$B$50,0)),"")))</f>
        <v/>
      </c>
      <c r="AF201" s="2" t="str">
        <f>IF($B201="","",$AF$1)</f>
        <v/>
      </c>
      <c r="AI201" s="2" t="str">
        <f>IF($B201="","",IF(F201="","",VLOOKUP(F201,GLAPS정리!$G$3:$J$114,2,0)))</f>
        <v/>
      </c>
      <c r="AJ201" s="2" t="str">
        <f>IF($B201="","",IF(Z201="울산정일","KRONS",IF(Z201="울산신항","KRUSN",IF(OR(Z201="선광종합물류(인천여객)",Z201="인천여객(인천여객)"),"KRINF",IF(OR(Z201="선광인천보세(인천신)",Z201="한진인천(인천신)",Z201="선광인천신항(인천신)",Z201="인천더로지스(인천신)"),"KRINN",IF(OR(Z201="인천진아(인천항)",Z201="인천E1(인천항)",Z201="인천SM경인터미널(인천항)",Z201="인천항(인천항)",Z201="인천우련(인천항)",Z201="인천항8부두(인천항)"),"KRINC",VLOOKUP(K201,GLAPS정리!$BB$2:$BC$33,2,0)))))))</f>
        <v/>
      </c>
      <c r="AL201" s="2" t="str">
        <f>IF($B201="","",$AL$1)</f>
        <v/>
      </c>
      <c r="AN201" s="70" t="str">
        <f>IF($B201="","",TEXT(B201,"YYYY-MM-DD"))</f>
        <v/>
      </c>
      <c r="AO201" s="2" t="str">
        <f>IF($B201="","",IF(E201="오전", "0800", IF(E201="오후", "1300", IF(E201="잔업", "1800", ""))))</f>
        <v/>
      </c>
      <c r="AP201" s="2" t="str">
        <f>IF($B201="","",IF(C201="","",VLOOKUP(C201,GLAPS정리!$AX$2:$AZ$17,3,0)))</f>
        <v/>
      </c>
      <c r="AR201" s="2" t="str">
        <f>IF($B201="","",IF(X201="","",X201))</f>
        <v/>
      </c>
      <c r="AX201" s="2" t="str">
        <f>IF($B201="","",IF(L201="","",VLOOKUP(L201,GLAPS정리!$V$3:$W$180,2,0)))</f>
        <v/>
      </c>
      <c r="BM201" s="2" t="str">
        <f>IF($B201="","",IF(AND(Q201=1,OR(P201="",P201="위험물")), "2210", IF(AND(Q201=1,OR(P201="리퍼",P201="위험물리퍼")), "2230", IF(AND(S201=1,OR(P201="",P201="위험물")), "4510", IF(AND(S201=1,OR(P201="리퍼",P201="위험물리퍼")), "4530", IF(AND(R201=1,OR(P201="",P201="위험물")), "4210", IF(AND(R201=1,P201="리퍼"), "4230", " ")))))))</f>
        <v/>
      </c>
      <c r="BN201" s="2" t="str">
        <f>IF($B201="","",$BN$1)</f>
        <v/>
      </c>
      <c r="BR201" s="2" t="str">
        <f>IF($B201="","",IF(OR(P201="리퍼",P201="위험물리퍼"),"Y",""))</f>
        <v/>
      </c>
      <c r="BS201" s="2" t="str">
        <f>IF($B201="","",IF(OR(P201="위험물",P201="위험물리퍼"),"Y",""))</f>
        <v/>
      </c>
      <c r="BV201" s="2" t="str">
        <f>IF($B201="","",IF(O201="","",VLOOKUP(O201,GLAPS정리!$BH$2:$BI$94,2,0)))</f>
        <v/>
      </c>
      <c r="BW201" s="2" t="str">
        <f>IF($B201="","",IF(OR(Z201="동원",Z201="세방",Z201="한타"),"",IFERROR(INDEX(GLAPS정리!$BI$2:$BI$101,MATCH(Z201,GLAPS정리!$BH$2:$BH$101,0)),"")))</f>
        <v/>
      </c>
      <c r="BX201" s="2" t="str">
        <f>IF($B201="","",IF(Z201="","",IFERROR(VLOOKUP(Z201,GLAPS정리!$AX$2:$AZ$17,3,0),"")))</f>
        <v/>
      </c>
      <c r="BZ201" s="2" t="str">
        <f>IF($B201="","",IF(H201="","",VLOOKUP(H201,GLAPS정리!$L$3:$O$133,2,0)))</f>
        <v/>
      </c>
      <c r="CA201" s="2" t="str">
        <f>IF($B201="","",IF(V201="공휴일", 10, IF(V201="야간", 20, IF(V201="위험물", 30, IF(V201="중량", 40, "")))))</f>
        <v/>
      </c>
      <c r="CL201" s="2" t="str">
        <f>IF($B201="","",IF(AI201="","",VLOOKUP(AI201,GLAPS정리!$BT$3:$BV$26,3,0)))</f>
        <v/>
      </c>
    </row>
    <row r="202" spans="2:90" ht="20.45" customHeight="1">
      <c r="B202" s="13" t="str">
        <f>IF(GLAPS자동계산!C201="","",GLAPS자동계산!C201)</f>
        <v/>
      </c>
      <c r="C202" s="3" t="str">
        <f>IF(GLAPS자동계산!D201="","",GLAPS자동계산!D201)</f>
        <v/>
      </c>
      <c r="D202" s="16" t="str">
        <f>IF(GLAPS자동계산!E201="","",GLAPS자동계산!E201)</f>
        <v/>
      </c>
      <c r="E202" s="11" t="str">
        <f>IF(GLAPS자동계산!F201="","",GLAPS자동계산!F201)</f>
        <v/>
      </c>
      <c r="F202" s="3" t="str">
        <f>IF(GLAPS자동계산!G201="","",GLAPS자동계산!G201)</f>
        <v/>
      </c>
      <c r="G202" s="3" t="str">
        <f>IF(GLAPS자동계산!H201="","",GLAPS자동계산!H201)</f>
        <v/>
      </c>
      <c r="H202" s="3" t="str">
        <f>IF(GLAPS자동계산!I201="","",GLAPS자동계산!I201)</f>
        <v/>
      </c>
      <c r="I202" s="3" t="str">
        <f>IF(GLAPS자동계산!J201="","",GLAPS자동계산!J201)</f>
        <v/>
      </c>
      <c r="J202" s="3" t="str">
        <f>IF(GLAPS자동계산!K201="","",GLAPS자동계산!K201)</f>
        <v/>
      </c>
      <c r="K202" s="3" t="str">
        <f>IF(GLAPS자동계산!L201="","",GLAPS자동계산!L201)</f>
        <v/>
      </c>
      <c r="L202" s="3" t="str">
        <f>IF(GLAPS자동계산!M201="","",GLAPS자동계산!M201)</f>
        <v/>
      </c>
      <c r="M202" s="3" t="str">
        <f>IF(GLAPS자동계산!N201="","",GLAPS자동계산!N201)</f>
        <v/>
      </c>
      <c r="N202" s="3" t="str">
        <f>IF(GLAPS자동계산!O201="","",GLAPS자동계산!O201)</f>
        <v/>
      </c>
      <c r="O202" s="3" t="str">
        <f>IF(GLAPS자동계산!P201="","",GLAPS자동계산!P201)</f>
        <v/>
      </c>
      <c r="P202" s="2" t="str">
        <f>IF(GLAPS자동계산!Q201="","",GLAPS자동계산!Q201)</f>
        <v/>
      </c>
      <c r="Q202" s="3" t="str">
        <f>IF(GLAPS자동계산!R201="","",GLAPS자동계산!R201)</f>
        <v/>
      </c>
      <c r="R202" s="3" t="str">
        <f>IF(GLAPS자동계산!S201="","",GLAPS자동계산!S201)</f>
        <v/>
      </c>
      <c r="S202" s="3" t="str">
        <f>IF(GLAPS자동계산!T201="","",GLAPS자동계산!T201)</f>
        <v/>
      </c>
      <c r="T202" s="3" t="str">
        <f>IF(GLAPS자동계산!U201="","",GLAPS자동계산!U201)</f>
        <v/>
      </c>
      <c r="U202" s="3" t="str">
        <f>IF(GLAPS자동계산!V201="","",GLAPS자동계산!V201)</f>
        <v/>
      </c>
      <c r="V202" s="3" t="str">
        <f>IF(GLAPS자동계산!W201="","",GLAPS자동계산!W201)</f>
        <v/>
      </c>
      <c r="W202" s="14" t="str">
        <f>IF(GLAPS자동계산!X201="","",GLAPS자동계산!X201)</f>
        <v/>
      </c>
      <c r="X202" s="13" t="str">
        <f>IF(GLAPS자동계산!Y201="","",GLAPS자동계산!Y201)</f>
        <v/>
      </c>
      <c r="Y202" s="13" t="str">
        <f>IF(GLAPS자동계산!Z201="","",GLAPS자동계산!Z201)</f>
        <v/>
      </c>
      <c r="Z202" s="91" t="str">
        <f>IF(GLAPS자동계산!AA201="","",GLAPS자동계산!AA201)</f>
        <v/>
      </c>
      <c r="AA202" s="14" t="str">
        <f>IF(GLAPS자동계산!AB201="","",GLAPS자동계산!AB201)</f>
        <v/>
      </c>
      <c r="AC202" s="2" t="str">
        <f>IF($B202="","",$AC$1)</f>
        <v/>
      </c>
      <c r="AD202" s="2" t="str">
        <f>IF($B202="","",IFERROR(INDEX(GLAPS정리!$D$2:$D$50,MATCH(I202,GLAPS정리!$A$2:$A$50,0)),IFERROR(INDEX(GLAPS정리!$D$2:$D$50,MATCH(I202,GLAPS정리!$B$2:$B$50,0)),"")))</f>
        <v/>
      </c>
      <c r="AF202" s="2" t="str">
        <f>IF($B202="","",$AF$1)</f>
        <v/>
      </c>
      <c r="AI202" s="2" t="str">
        <f>IF($B202="","",IF(F202="","",VLOOKUP(F202,GLAPS정리!$G$3:$J$114,2,0)))</f>
        <v/>
      </c>
      <c r="AJ202" s="2" t="str">
        <f>IF($B202="","",IF(Z202="울산정일","KRONS",IF(Z202="울산신항","KRUSN",IF(OR(Z202="선광종합물류(인천여객)",Z202="인천여객(인천여객)"),"KRINF",IF(OR(Z202="선광인천보세(인천신)",Z202="한진인천(인천신)",Z202="선광인천신항(인천신)",Z202="인천더로지스(인천신)"),"KRINN",IF(OR(Z202="인천진아(인천항)",Z202="인천E1(인천항)",Z202="인천SM경인터미널(인천항)",Z202="인천항(인천항)",Z202="인천우련(인천항)",Z202="인천항8부두(인천항)"),"KRINC",VLOOKUP(K202,GLAPS정리!$BB$2:$BC$33,2,0)))))))</f>
        <v/>
      </c>
      <c r="AL202" s="2" t="str">
        <f>IF($B202="","",$AL$1)</f>
        <v/>
      </c>
      <c r="AN202" s="70" t="str">
        <f>IF($B202="","",TEXT(B202,"YYYY-MM-DD"))</f>
        <v/>
      </c>
      <c r="AO202" s="2" t="str">
        <f>IF($B202="","",IF(E202="오전", "0800", IF(E202="오후", "1300", IF(E202="잔업", "1800", ""))))</f>
        <v/>
      </c>
      <c r="AP202" s="2" t="str">
        <f>IF($B202="","",IF(C202="","",VLOOKUP(C202,GLAPS정리!$AX$2:$AZ$17,3,0)))</f>
        <v/>
      </c>
      <c r="AR202" s="2" t="str">
        <f>IF($B202="","",IF(X202="","",X202))</f>
        <v/>
      </c>
      <c r="AX202" s="2" t="str">
        <f>IF($B202="","",IF(L202="","",VLOOKUP(L202,GLAPS정리!$V$3:$W$180,2,0)))</f>
        <v/>
      </c>
      <c r="BM202" s="2" t="str">
        <f>IF($B202="","",IF(AND(Q202=1,OR(P202="",P202="위험물")), "2210", IF(AND(Q202=1,OR(P202="리퍼",P202="위험물리퍼")), "2230", IF(AND(S202=1,OR(P202="",P202="위험물")), "4510", IF(AND(S202=1,OR(P202="리퍼",P202="위험물리퍼")), "4530", IF(AND(R202=1,OR(P202="",P202="위험물")), "4210", IF(AND(R202=1,P202="리퍼"), "4230", " ")))))))</f>
        <v/>
      </c>
      <c r="BN202" s="2" t="str">
        <f>IF($B202="","",$BN$1)</f>
        <v/>
      </c>
      <c r="BR202" s="2" t="str">
        <f>IF($B202="","",IF(OR(P202="리퍼",P202="위험물리퍼"),"Y",""))</f>
        <v/>
      </c>
      <c r="BS202" s="2" t="str">
        <f>IF($B202="","",IF(OR(P202="위험물",P202="위험물리퍼"),"Y",""))</f>
        <v/>
      </c>
      <c r="BV202" s="2" t="str">
        <f>IF($B202="","",IF(O202="","",VLOOKUP(O202,GLAPS정리!$BH$2:$BI$94,2,0)))</f>
        <v/>
      </c>
      <c r="BW202" s="2" t="str">
        <f>IF($B202="","",IF(OR(Z202="동원",Z202="세방",Z202="한타"),"",IFERROR(INDEX(GLAPS정리!$BI$2:$BI$101,MATCH(Z202,GLAPS정리!$BH$2:$BH$101,0)),"")))</f>
        <v/>
      </c>
      <c r="BX202" s="2" t="str">
        <f>IF($B202="","",IF(Z202="","",IFERROR(VLOOKUP(Z202,GLAPS정리!$AX$2:$AZ$17,3,0),"")))</f>
        <v/>
      </c>
      <c r="BZ202" s="2" t="str">
        <f>IF($B202="","",IF(H202="","",VLOOKUP(H202,GLAPS정리!$L$3:$O$133,2,0)))</f>
        <v/>
      </c>
      <c r="CA202" s="2" t="str">
        <f>IF($B202="","",IF(V202="공휴일", 10, IF(V202="야간", 20, IF(V202="위험물", 30, IF(V202="중량", 40, "")))))</f>
        <v/>
      </c>
      <c r="CL202" s="2" t="str">
        <f>IF($B202="","",IF(AI202="","",VLOOKUP(AI202,GLAPS정리!$BT$3:$BV$26,3,0)))</f>
        <v/>
      </c>
    </row>
    <row r="203" spans="2:90" ht="20.45" customHeight="1">
      <c r="B203" s="13"/>
      <c r="G203" s="3"/>
      <c r="J203" s="3"/>
      <c r="X203" s="13"/>
      <c r="Y203" s="13"/>
      <c r="Z203" s="91"/>
    </row>
    <row r="204" spans="2:90" ht="20.45" customHeight="1">
      <c r="B204" s="13"/>
      <c r="G204" s="3"/>
      <c r="J204" s="3"/>
      <c r="X204" s="13"/>
      <c r="Y204" s="13"/>
      <c r="Z204" s="91"/>
    </row>
    <row r="205" spans="2:90" ht="20.45" customHeight="1">
      <c r="B205" s="13"/>
      <c r="G205" s="3"/>
      <c r="J205" s="3"/>
      <c r="X205" s="13"/>
      <c r="Y205" s="13"/>
      <c r="Z205" s="91"/>
    </row>
    <row r="206" spans="2:90" ht="20.45" customHeight="1">
      <c r="B206" s="13"/>
      <c r="G206" s="3"/>
      <c r="J206" s="3"/>
      <c r="X206" s="13"/>
      <c r="Y206" s="13"/>
      <c r="Z206" s="91"/>
    </row>
    <row r="207" spans="2:90" ht="20.45" customHeight="1">
      <c r="B207" s="13"/>
      <c r="G207" s="3"/>
      <c r="J207" s="3"/>
      <c r="X207" s="13"/>
      <c r="Y207" s="13"/>
      <c r="Z207" s="91"/>
    </row>
    <row r="208" spans="2:90" ht="20.45" customHeight="1">
      <c r="B208" s="13"/>
      <c r="G208" s="3"/>
      <c r="J208" s="3"/>
      <c r="X208" s="13"/>
      <c r="Y208" s="13"/>
      <c r="Z208" s="91"/>
    </row>
    <row r="209" spans="2:26" ht="20.45" customHeight="1">
      <c r="B209" s="13"/>
      <c r="G209" s="3"/>
      <c r="J209" s="3"/>
      <c r="X209" s="13"/>
      <c r="Y209" s="13"/>
      <c r="Z209" s="91"/>
    </row>
    <row r="210" spans="2:26" ht="20.45" customHeight="1">
      <c r="B210" s="13"/>
      <c r="G210" s="3"/>
      <c r="J210" s="3"/>
      <c r="X210" s="13"/>
      <c r="Y210" s="13"/>
      <c r="Z210" s="91"/>
    </row>
    <row r="211" spans="2:26" ht="20.45" customHeight="1">
      <c r="B211" s="13"/>
      <c r="G211" s="3"/>
      <c r="J211" s="3"/>
      <c r="X211" s="13"/>
      <c r="Y211" s="13"/>
      <c r="Z211" s="91"/>
    </row>
    <row r="212" spans="2:26" ht="20.45" customHeight="1">
      <c r="B212" s="13"/>
      <c r="G212" s="3"/>
      <c r="J212" s="3"/>
      <c r="X212" s="13"/>
      <c r="Y212" s="13"/>
      <c r="Z212" s="91"/>
    </row>
    <row r="213" spans="2:26" ht="20.45" customHeight="1">
      <c r="B213" s="13"/>
      <c r="G213" s="3"/>
      <c r="J213" s="3"/>
      <c r="X213" s="13"/>
      <c r="Y213" s="13"/>
      <c r="Z213" s="91"/>
    </row>
    <row r="214" spans="2:26" ht="20.45" customHeight="1">
      <c r="B214" s="13"/>
      <c r="G214" s="3"/>
      <c r="J214" s="3"/>
      <c r="X214" s="13"/>
      <c r="Y214" s="13"/>
      <c r="Z214" s="91"/>
    </row>
    <row r="215" spans="2:26" ht="20.45" customHeight="1">
      <c r="B215" s="13"/>
      <c r="G215" s="3"/>
      <c r="J215" s="3"/>
      <c r="X215" s="13"/>
      <c r="Y215" s="13"/>
      <c r="Z215" s="91"/>
    </row>
    <row r="216" spans="2:26" ht="20.45" customHeight="1">
      <c r="B216" s="13"/>
      <c r="G216" s="3"/>
      <c r="J216" s="3"/>
      <c r="X216" s="13"/>
      <c r="Y216" s="13"/>
      <c r="Z216" s="91"/>
    </row>
    <row r="217" spans="2:26" ht="20.45" customHeight="1">
      <c r="B217" s="13"/>
      <c r="G217" s="3"/>
      <c r="J217" s="3"/>
      <c r="X217" s="13"/>
      <c r="Y217" s="13"/>
      <c r="Z217" s="91"/>
    </row>
    <row r="218" spans="2:26" ht="20.45" customHeight="1">
      <c r="B218" s="13"/>
      <c r="G218" s="3"/>
      <c r="J218" s="3"/>
      <c r="X218" s="13"/>
      <c r="Y218" s="13"/>
      <c r="Z218" s="91"/>
    </row>
    <row r="219" spans="2:26" ht="20.45" customHeight="1">
      <c r="B219" s="13"/>
      <c r="G219" s="3"/>
      <c r="J219" s="3"/>
      <c r="X219" s="13"/>
      <c r="Y219" s="13"/>
      <c r="Z219" s="91"/>
    </row>
    <row r="220" spans="2:26" ht="20.45" customHeight="1">
      <c r="B220" s="13"/>
      <c r="G220" s="3"/>
      <c r="J220" s="3"/>
      <c r="X220" s="13"/>
      <c r="Y220" s="13"/>
      <c r="Z220" s="91"/>
    </row>
    <row r="221" spans="2:26" ht="20.45" customHeight="1">
      <c r="B221" s="13"/>
      <c r="G221" s="3"/>
      <c r="J221" s="3"/>
      <c r="X221" s="13"/>
      <c r="Y221" s="13"/>
      <c r="Z221" s="91"/>
    </row>
    <row r="222" spans="2:26" ht="20.45" customHeight="1">
      <c r="B222" s="13"/>
      <c r="G222" s="3"/>
      <c r="J222" s="3"/>
      <c r="X222" s="13"/>
      <c r="Y222" s="13"/>
      <c r="Z222" s="91"/>
    </row>
    <row r="223" spans="2:26" ht="20.45" customHeight="1">
      <c r="B223" s="13"/>
      <c r="G223" s="3"/>
      <c r="J223" s="3"/>
      <c r="X223" s="13"/>
      <c r="Y223" s="13"/>
      <c r="Z223" s="91"/>
    </row>
    <row r="224" spans="2:26" ht="20.45" customHeight="1">
      <c r="B224" s="13"/>
      <c r="G224" s="3"/>
      <c r="J224" s="3"/>
      <c r="X224" s="13"/>
      <c r="Y224" s="13"/>
      <c r="Z224" s="91"/>
    </row>
    <row r="225" spans="2:26" ht="20.45" customHeight="1">
      <c r="B225" s="13"/>
      <c r="G225" s="3"/>
      <c r="J225" s="3"/>
      <c r="X225" s="13"/>
      <c r="Y225" s="13"/>
      <c r="Z225" s="91"/>
    </row>
    <row r="226" spans="2:26" ht="20.45" customHeight="1">
      <c r="B226" s="13"/>
      <c r="G226" s="3"/>
      <c r="J226" s="3"/>
      <c r="X226" s="13"/>
      <c r="Y226" s="13"/>
      <c r="Z226" s="91"/>
    </row>
    <row r="227" spans="2:26" ht="20.45" customHeight="1">
      <c r="B227" s="13"/>
      <c r="G227" s="3"/>
      <c r="J227" s="3"/>
      <c r="X227" s="13"/>
      <c r="Y227" s="13"/>
      <c r="Z227" s="91"/>
    </row>
    <row r="228" spans="2:26" ht="20.45" customHeight="1">
      <c r="B228" s="13"/>
      <c r="G228" s="3"/>
      <c r="J228" s="3"/>
      <c r="X228" s="13"/>
      <c r="Y228" s="13"/>
      <c r="Z228" s="91"/>
    </row>
    <row r="229" spans="2:26" ht="20.45" customHeight="1">
      <c r="B229" s="13"/>
      <c r="G229" s="3"/>
      <c r="J229" s="3"/>
      <c r="X229" s="13"/>
      <c r="Y229" s="13"/>
      <c r="Z229" s="91"/>
    </row>
    <row r="230" spans="2:26" ht="20.45" customHeight="1">
      <c r="B230" s="13"/>
      <c r="G230" s="3"/>
      <c r="J230" s="3"/>
      <c r="X230" s="13"/>
      <c r="Y230" s="13"/>
      <c r="Z230" s="91"/>
    </row>
    <row r="231" spans="2:26" ht="20.45" customHeight="1">
      <c r="B231" s="13"/>
      <c r="G231" s="3"/>
      <c r="J231" s="3"/>
      <c r="X231" s="13"/>
      <c r="Y231" s="13"/>
      <c r="Z231" s="91"/>
    </row>
    <row r="232" spans="2:26" ht="20.45" customHeight="1">
      <c r="B232" s="13"/>
      <c r="G232" s="3"/>
      <c r="J232" s="3"/>
      <c r="X232" s="13"/>
      <c r="Y232" s="13"/>
      <c r="Z232" s="91"/>
    </row>
    <row r="233" spans="2:26" ht="20.45" customHeight="1">
      <c r="B233" s="13"/>
      <c r="G233" s="3"/>
      <c r="J233" s="3"/>
      <c r="X233" s="13"/>
      <c r="Y233" s="13"/>
      <c r="Z233" s="91"/>
    </row>
    <row r="234" spans="2:26" ht="20.45" customHeight="1">
      <c r="B234" s="13"/>
      <c r="G234" s="3"/>
      <c r="J234" s="3"/>
      <c r="X234" s="13"/>
      <c r="Y234" s="13"/>
      <c r="Z234" s="91"/>
    </row>
    <row r="235" spans="2:26" ht="20.45" customHeight="1">
      <c r="B235" s="13"/>
      <c r="G235" s="3"/>
      <c r="J235" s="3"/>
      <c r="X235" s="13"/>
      <c r="Y235" s="13"/>
      <c r="Z235" s="91"/>
    </row>
    <row r="236" spans="2:26" ht="20.45" customHeight="1">
      <c r="B236" s="13"/>
      <c r="G236" s="3"/>
      <c r="J236" s="3"/>
      <c r="X236" s="13"/>
      <c r="Y236" s="13"/>
      <c r="Z236" s="91"/>
    </row>
    <row r="237" spans="2:26" ht="20.45" customHeight="1">
      <c r="B237" s="13"/>
      <c r="G237" s="3"/>
      <c r="J237" s="3"/>
      <c r="X237" s="13"/>
      <c r="Y237" s="13"/>
      <c r="Z237" s="91"/>
    </row>
    <row r="238" spans="2:26" ht="20.45" customHeight="1">
      <c r="B238" s="13"/>
      <c r="G238" s="3"/>
      <c r="J238" s="3"/>
      <c r="X238" s="13"/>
      <c r="Y238" s="13"/>
      <c r="Z238" s="91"/>
    </row>
    <row r="239" spans="2:26" ht="20.45" customHeight="1">
      <c r="B239" s="13"/>
      <c r="G239" s="3"/>
      <c r="J239" s="3"/>
      <c r="X239" s="13"/>
      <c r="Y239" s="13"/>
      <c r="Z239" s="91"/>
    </row>
    <row r="240" spans="2:26" ht="20.45" customHeight="1">
      <c r="B240" s="13"/>
      <c r="G240" s="3"/>
      <c r="J240" s="3"/>
      <c r="X240" s="13"/>
      <c r="Y240" s="13"/>
      <c r="Z240" s="91"/>
    </row>
    <row r="241" spans="2:26" ht="20.45" customHeight="1">
      <c r="B241" s="13"/>
      <c r="G241" s="3"/>
      <c r="J241" s="3"/>
      <c r="X241" s="13"/>
      <c r="Y241" s="13"/>
      <c r="Z241" s="91"/>
    </row>
    <row r="242" spans="2:26" ht="20.45" customHeight="1">
      <c r="B242" s="13"/>
      <c r="G242" s="3"/>
      <c r="J242" s="3"/>
      <c r="X242" s="13"/>
      <c r="Y242" s="13"/>
      <c r="Z242" s="91"/>
    </row>
    <row r="243" spans="2:26" ht="20.45" customHeight="1">
      <c r="B243" s="13"/>
      <c r="G243" s="3"/>
      <c r="J243" s="3"/>
      <c r="X243" s="13"/>
      <c r="Y243" s="13"/>
      <c r="Z243" s="91"/>
    </row>
    <row r="244" spans="2:26" ht="20.45" customHeight="1">
      <c r="B244" s="13"/>
      <c r="G244" s="3"/>
      <c r="J244" s="3"/>
      <c r="X244" s="13"/>
      <c r="Y244" s="13"/>
      <c r="Z244" s="91"/>
    </row>
    <row r="245" spans="2:26" ht="20.45" customHeight="1">
      <c r="B245" s="13"/>
      <c r="G245" s="3"/>
      <c r="J245" s="3"/>
      <c r="X245" s="13"/>
      <c r="Y245" s="13"/>
      <c r="Z245" s="91"/>
    </row>
    <row r="246" spans="2:26" ht="20.45" customHeight="1">
      <c r="B246" s="13"/>
      <c r="G246" s="3"/>
      <c r="J246" s="3"/>
      <c r="X246" s="13"/>
      <c r="Y246" s="13"/>
      <c r="Z246" s="91"/>
    </row>
    <row r="247" spans="2:26" ht="20.45" customHeight="1">
      <c r="B247" s="13"/>
      <c r="G247" s="3"/>
      <c r="J247" s="3"/>
      <c r="X247" s="13"/>
      <c r="Y247" s="13"/>
      <c r="Z247" s="91"/>
    </row>
    <row r="248" spans="2:26" ht="20.45" customHeight="1">
      <c r="B248" s="13"/>
      <c r="G248" s="3"/>
      <c r="J248" s="3"/>
      <c r="X248" s="13"/>
      <c r="Y248" s="13"/>
      <c r="Z248" s="91"/>
    </row>
    <row r="249" spans="2:26" ht="20.45" customHeight="1">
      <c r="B249" s="13"/>
      <c r="G249" s="3"/>
      <c r="J249" s="3"/>
      <c r="X249" s="13"/>
      <c r="Y249" s="13"/>
      <c r="Z249" s="91"/>
    </row>
    <row r="250" spans="2:26" ht="20.45" customHeight="1">
      <c r="B250" s="13"/>
      <c r="G250" s="3"/>
      <c r="J250" s="3"/>
      <c r="X250" s="13"/>
      <c r="Y250" s="13"/>
      <c r="Z250" s="91"/>
    </row>
    <row r="251" spans="2:26" ht="20.45" customHeight="1">
      <c r="B251" s="13"/>
      <c r="G251" s="3"/>
      <c r="J251" s="3"/>
      <c r="X251" s="13"/>
      <c r="Y251" s="13"/>
      <c r="Z251" s="91"/>
    </row>
    <row r="252" spans="2:26" ht="20.45" customHeight="1">
      <c r="B252" s="13"/>
      <c r="G252" s="3"/>
      <c r="J252" s="3"/>
      <c r="X252" s="13"/>
      <c r="Y252" s="13"/>
      <c r="Z252" s="91"/>
    </row>
    <row r="253" spans="2:26" ht="20.45" customHeight="1">
      <c r="B253" s="13"/>
      <c r="G253" s="3"/>
      <c r="J253" s="3"/>
      <c r="X253" s="13"/>
      <c r="Y253" s="13"/>
      <c r="Z253" s="91"/>
    </row>
    <row r="254" spans="2:26" ht="20.45" customHeight="1">
      <c r="B254" s="13"/>
      <c r="G254" s="3"/>
      <c r="J254" s="3"/>
      <c r="X254" s="13"/>
      <c r="Y254" s="13"/>
      <c r="Z254" s="91"/>
    </row>
    <row r="255" spans="2:26" ht="20.45" customHeight="1">
      <c r="B255" s="13"/>
      <c r="G255" s="3"/>
      <c r="J255" s="3"/>
      <c r="X255" s="13"/>
      <c r="Y255" s="13"/>
      <c r="Z255" s="91"/>
    </row>
    <row r="256" spans="2:26" ht="20.45" customHeight="1">
      <c r="B256" s="13"/>
      <c r="G256" s="3"/>
      <c r="J256" s="3"/>
      <c r="X256" s="13"/>
      <c r="Y256" s="13"/>
      <c r="Z256" s="91"/>
    </row>
    <row r="257" spans="2:26" ht="20.45" customHeight="1">
      <c r="B257" s="13"/>
      <c r="G257" s="3"/>
      <c r="J257" s="3"/>
      <c r="X257" s="13"/>
      <c r="Y257" s="13"/>
      <c r="Z257" s="91"/>
    </row>
    <row r="258" spans="2:26" ht="20.45" customHeight="1">
      <c r="B258" s="13"/>
      <c r="G258" s="3"/>
      <c r="J258" s="3"/>
      <c r="X258" s="13"/>
      <c r="Y258" s="13"/>
      <c r="Z258" s="91"/>
    </row>
    <row r="259" spans="2:26" ht="20.45" customHeight="1">
      <c r="B259" s="13"/>
      <c r="G259" s="3"/>
      <c r="J259" s="3"/>
      <c r="X259" s="13"/>
      <c r="Y259" s="13"/>
      <c r="Z259" s="91"/>
    </row>
    <row r="260" spans="2:26" ht="20.45" customHeight="1">
      <c r="B260" s="13"/>
      <c r="G260" s="3"/>
      <c r="J260" s="3"/>
      <c r="X260" s="13"/>
      <c r="Y260" s="13"/>
      <c r="Z260" s="91"/>
    </row>
    <row r="261" spans="2:26" ht="20.45" customHeight="1">
      <c r="B261" s="13"/>
      <c r="G261" s="3"/>
      <c r="J261" s="3"/>
      <c r="X261" s="13"/>
      <c r="Y261" s="13"/>
      <c r="Z261" s="91"/>
    </row>
    <row r="262" spans="2:26" ht="20.45" customHeight="1">
      <c r="B262" s="13"/>
      <c r="G262" s="3"/>
      <c r="J262" s="3"/>
      <c r="X262" s="13"/>
      <c r="Y262" s="13"/>
      <c r="Z262" s="91"/>
    </row>
    <row r="263" spans="2:26" ht="20.45" customHeight="1">
      <c r="B263" s="13"/>
      <c r="G263" s="3"/>
      <c r="J263" s="3"/>
      <c r="X263" s="13"/>
      <c r="Y263" s="13"/>
      <c r="Z263" s="91"/>
    </row>
    <row r="264" spans="2:26" ht="20.45" customHeight="1">
      <c r="B264" s="13"/>
      <c r="G264" s="3"/>
      <c r="J264" s="3"/>
      <c r="X264" s="13"/>
      <c r="Y264" s="13"/>
      <c r="Z264" s="91"/>
    </row>
    <row r="265" spans="2:26" ht="20.45" customHeight="1">
      <c r="B265" s="13"/>
      <c r="G265" s="3"/>
      <c r="J265" s="3"/>
      <c r="X265" s="13"/>
      <c r="Y265" s="13"/>
      <c r="Z265" s="91"/>
    </row>
    <row r="266" spans="2:26" ht="20.45" customHeight="1">
      <c r="B266" s="13"/>
      <c r="G266" s="3"/>
      <c r="J266" s="3"/>
      <c r="X266" s="13"/>
      <c r="Y266" s="13"/>
      <c r="Z266" s="91"/>
    </row>
    <row r="267" spans="2:26" ht="20.45" customHeight="1">
      <c r="B267" s="13"/>
      <c r="G267" s="3"/>
      <c r="J267" s="3"/>
      <c r="X267" s="13"/>
      <c r="Y267" s="13"/>
      <c r="Z267" s="91"/>
    </row>
    <row r="268" spans="2:26" ht="20.45" customHeight="1">
      <c r="B268" s="13"/>
      <c r="G268" s="3"/>
      <c r="J268" s="3"/>
      <c r="X268" s="13"/>
      <c r="Y268" s="13"/>
      <c r="Z268" s="91"/>
    </row>
    <row r="269" spans="2:26" ht="20.45" customHeight="1">
      <c r="B269" s="13"/>
      <c r="G269" s="3"/>
      <c r="J269" s="3"/>
      <c r="X269" s="13"/>
      <c r="Y269" s="13"/>
      <c r="Z269" s="91"/>
    </row>
    <row r="270" spans="2:26" ht="20.45" customHeight="1">
      <c r="B270" s="13"/>
      <c r="G270" s="3"/>
      <c r="J270" s="3"/>
      <c r="X270" s="13"/>
      <c r="Y270" s="13"/>
      <c r="Z270" s="91"/>
    </row>
    <row r="271" spans="2:26" ht="20.45" customHeight="1">
      <c r="B271" s="13"/>
      <c r="G271" s="3"/>
      <c r="J271" s="3"/>
      <c r="X271" s="13"/>
      <c r="Y271" s="13"/>
      <c r="Z271" s="91"/>
    </row>
    <row r="272" spans="2:26" ht="20.45" customHeight="1">
      <c r="B272" s="13"/>
      <c r="G272" s="3"/>
      <c r="J272" s="3"/>
      <c r="X272" s="13"/>
      <c r="Y272" s="13"/>
      <c r="Z272" s="91"/>
    </row>
    <row r="273" spans="2:26" ht="20.45" customHeight="1">
      <c r="B273" s="13"/>
      <c r="G273" s="3"/>
      <c r="J273" s="3"/>
      <c r="X273" s="13"/>
      <c r="Y273" s="13"/>
      <c r="Z273" s="91"/>
    </row>
    <row r="274" spans="2:26" ht="20.45" customHeight="1">
      <c r="B274" s="13"/>
      <c r="G274" s="3"/>
      <c r="J274" s="3"/>
      <c r="X274" s="13"/>
      <c r="Y274" s="13"/>
      <c r="Z274" s="91"/>
    </row>
    <row r="275" spans="2:26" ht="20.45" customHeight="1">
      <c r="B275" s="13"/>
      <c r="G275" s="3"/>
      <c r="J275" s="3"/>
      <c r="X275" s="13"/>
      <c r="Y275" s="13"/>
      <c r="Z275" s="91"/>
    </row>
    <row r="276" spans="2:26" ht="20.45" customHeight="1">
      <c r="B276" s="13"/>
      <c r="G276" s="3"/>
      <c r="J276" s="3"/>
      <c r="X276" s="13"/>
      <c r="Y276" s="13"/>
      <c r="Z276" s="91"/>
    </row>
    <row r="277" spans="2:26" ht="20.45" customHeight="1">
      <c r="B277" s="13"/>
      <c r="G277" s="3"/>
      <c r="J277" s="3"/>
      <c r="X277" s="13"/>
      <c r="Y277" s="13"/>
      <c r="Z277" s="91"/>
    </row>
    <row r="278" spans="2:26" ht="20.45" customHeight="1">
      <c r="B278" s="13"/>
      <c r="G278" s="3"/>
      <c r="J278" s="3"/>
      <c r="X278" s="13"/>
      <c r="Y278" s="13"/>
      <c r="Z278" s="91"/>
    </row>
    <row r="279" spans="2:26" ht="20.45" customHeight="1">
      <c r="B279" s="13"/>
      <c r="G279" s="3"/>
      <c r="J279" s="3"/>
      <c r="X279" s="13"/>
      <c r="Y279" s="13"/>
      <c r="Z279" s="91"/>
    </row>
    <row r="280" spans="2:26" ht="20.45" customHeight="1">
      <c r="B280" s="13"/>
      <c r="G280" s="3"/>
      <c r="J280" s="3"/>
      <c r="X280" s="13"/>
      <c r="Y280" s="13"/>
      <c r="Z280" s="91"/>
    </row>
    <row r="281" spans="2:26" ht="20.45" customHeight="1">
      <c r="B281" s="13"/>
      <c r="G281" s="3"/>
      <c r="J281" s="3"/>
      <c r="X281" s="13"/>
      <c r="Y281" s="13"/>
      <c r="Z281" s="91"/>
    </row>
    <row r="282" spans="2:26" ht="20.45" customHeight="1">
      <c r="B282" s="13"/>
      <c r="G282" s="3"/>
      <c r="J282" s="3"/>
      <c r="X282" s="13"/>
      <c r="Y282" s="13"/>
      <c r="Z282" s="91"/>
    </row>
    <row r="283" spans="2:26" ht="20.45" customHeight="1">
      <c r="B283" s="13"/>
      <c r="G283" s="3"/>
      <c r="J283" s="3"/>
      <c r="X283" s="13"/>
      <c r="Y283" s="13"/>
      <c r="Z283" s="91"/>
    </row>
    <row r="284" spans="2:26" ht="20.45" customHeight="1">
      <c r="B284" s="13"/>
      <c r="G284" s="3"/>
      <c r="J284" s="3"/>
      <c r="X284" s="13"/>
      <c r="Y284" s="13"/>
      <c r="Z284" s="91"/>
    </row>
    <row r="285" spans="2:26" ht="20.45" customHeight="1">
      <c r="B285" s="13"/>
      <c r="G285" s="3"/>
      <c r="J285" s="3"/>
      <c r="X285" s="13"/>
      <c r="Y285" s="13"/>
      <c r="Z285" s="91"/>
    </row>
    <row r="286" spans="2:26" ht="20.45" customHeight="1">
      <c r="B286" s="13"/>
      <c r="G286" s="3"/>
      <c r="J286" s="3"/>
      <c r="X286" s="13"/>
      <c r="Y286" s="13"/>
      <c r="Z286" s="91"/>
    </row>
    <row r="287" spans="2:26" ht="20.45" customHeight="1">
      <c r="B287" s="13"/>
      <c r="G287" s="3"/>
      <c r="J287" s="3"/>
      <c r="X287" s="13"/>
      <c r="Y287" s="13"/>
      <c r="Z287" s="91"/>
    </row>
    <row r="288" spans="2:26" ht="20.45" customHeight="1">
      <c r="B288" s="13"/>
      <c r="G288" s="3"/>
      <c r="J288" s="3"/>
      <c r="X288" s="13"/>
      <c r="Y288" s="13"/>
      <c r="Z288" s="91"/>
    </row>
    <row r="289" spans="2:26" ht="20.45" customHeight="1">
      <c r="B289" s="13"/>
      <c r="G289" s="3"/>
      <c r="J289" s="3"/>
      <c r="X289" s="13"/>
      <c r="Y289" s="13"/>
      <c r="Z289" s="91"/>
    </row>
    <row r="290" spans="2:26" ht="20.45" customHeight="1">
      <c r="B290" s="13"/>
      <c r="G290" s="3"/>
      <c r="J290" s="3"/>
      <c r="X290" s="13"/>
      <c r="Y290" s="13"/>
      <c r="Z290" s="91"/>
    </row>
    <row r="291" spans="2:26" ht="20.45" customHeight="1">
      <c r="B291" s="13"/>
      <c r="G291" s="3"/>
      <c r="J291" s="3"/>
      <c r="X291" s="13"/>
      <c r="Y291" s="13"/>
      <c r="Z291" s="91"/>
    </row>
    <row r="292" spans="2:26" ht="20.45" customHeight="1">
      <c r="B292" s="13"/>
      <c r="G292" s="3"/>
      <c r="J292" s="3"/>
      <c r="X292" s="13"/>
      <c r="Y292" s="13"/>
      <c r="Z292" s="91"/>
    </row>
    <row r="293" spans="2:26" ht="20.45" customHeight="1">
      <c r="B293" s="13"/>
      <c r="G293" s="3"/>
      <c r="J293" s="3"/>
      <c r="X293" s="13"/>
      <c r="Y293" s="13"/>
      <c r="Z293" s="91"/>
    </row>
    <row r="294" spans="2:26" ht="20.45" customHeight="1">
      <c r="B294" s="13"/>
      <c r="G294" s="3"/>
      <c r="J294" s="3"/>
      <c r="X294" s="13"/>
      <c r="Y294" s="13"/>
      <c r="Z294" s="91"/>
    </row>
    <row r="295" spans="2:26" ht="20.45" customHeight="1">
      <c r="B295" s="13"/>
      <c r="G295" s="3"/>
      <c r="J295" s="3"/>
      <c r="X295" s="13"/>
      <c r="Y295" s="13"/>
      <c r="Z295" s="91"/>
    </row>
    <row r="296" spans="2:26" ht="20.45" customHeight="1">
      <c r="B296" s="13"/>
      <c r="G296" s="3"/>
      <c r="J296" s="3"/>
      <c r="X296" s="13"/>
      <c r="Y296" s="13"/>
      <c r="Z296" s="91"/>
    </row>
    <row r="297" spans="2:26" ht="20.45" customHeight="1">
      <c r="B297" s="13"/>
      <c r="G297" s="3"/>
      <c r="J297" s="3"/>
      <c r="X297" s="13"/>
      <c r="Y297" s="13"/>
      <c r="Z297" s="91"/>
    </row>
    <row r="298" spans="2:26" ht="20.45" customHeight="1">
      <c r="B298" s="13"/>
      <c r="G298" s="3"/>
      <c r="J298" s="3"/>
      <c r="X298" s="13"/>
      <c r="Y298" s="13"/>
      <c r="Z298" s="91"/>
    </row>
    <row r="299" spans="2:26" ht="20.45" customHeight="1">
      <c r="B299" s="13"/>
      <c r="G299" s="3"/>
      <c r="J299" s="3"/>
      <c r="X299" s="13"/>
      <c r="Y299" s="13"/>
      <c r="Z299" s="91"/>
    </row>
    <row r="300" spans="2:26" ht="20.45" customHeight="1">
      <c r="B300" s="13"/>
      <c r="G300" s="3"/>
      <c r="J300" s="3"/>
      <c r="X300" s="13"/>
      <c r="Y300" s="13"/>
      <c r="Z300" s="91"/>
    </row>
    <row r="301" spans="2:26" ht="20.45" customHeight="1">
      <c r="B301" s="13"/>
      <c r="G301" s="3"/>
      <c r="J301" s="3"/>
      <c r="X301" s="13"/>
      <c r="Y301" s="13"/>
      <c r="Z301" s="91"/>
    </row>
    <row r="302" spans="2:26" ht="20.45" customHeight="1">
      <c r="B302" s="13"/>
      <c r="G302" s="3"/>
      <c r="J302" s="3"/>
      <c r="X302" s="13"/>
      <c r="Y302" s="13"/>
      <c r="Z302" s="91"/>
    </row>
    <row r="303" spans="2:26" ht="20.45" customHeight="1">
      <c r="B303" s="13"/>
      <c r="G303" s="3"/>
      <c r="J303" s="3"/>
      <c r="X303" s="13"/>
      <c r="Y303" s="13"/>
      <c r="Z303" s="91"/>
    </row>
    <row r="304" spans="2:26" ht="20.45" customHeight="1">
      <c r="B304" s="13"/>
      <c r="G304" s="3"/>
      <c r="J304" s="3"/>
      <c r="X304" s="13"/>
      <c r="Y304" s="13"/>
      <c r="Z304" s="91"/>
    </row>
    <row r="305" spans="2:26" ht="20.45" customHeight="1">
      <c r="B305" s="13"/>
      <c r="G305" s="3"/>
      <c r="J305" s="3"/>
      <c r="X305" s="13"/>
      <c r="Y305" s="13"/>
      <c r="Z305" s="91"/>
    </row>
    <row r="306" spans="2:26" ht="20.45" customHeight="1">
      <c r="B306" s="13"/>
      <c r="G306" s="3"/>
      <c r="J306" s="3"/>
      <c r="X306" s="13"/>
      <c r="Y306" s="13"/>
      <c r="Z306" s="91"/>
    </row>
    <row r="307" spans="2:26" ht="20.45" customHeight="1">
      <c r="B307" s="13"/>
      <c r="G307" s="3"/>
      <c r="J307" s="3"/>
      <c r="X307" s="13"/>
      <c r="Y307" s="13"/>
      <c r="Z307" s="91"/>
    </row>
    <row r="308" spans="2:26" ht="20.45" customHeight="1">
      <c r="B308" s="13"/>
      <c r="G308" s="3"/>
      <c r="J308" s="3"/>
      <c r="X308" s="13"/>
      <c r="Y308" s="13"/>
      <c r="Z308" s="91"/>
    </row>
    <row r="309" spans="2:26" ht="20.45" customHeight="1">
      <c r="B309" s="13"/>
      <c r="G309" s="3"/>
      <c r="J309" s="3"/>
      <c r="X309" s="13"/>
      <c r="Y309" s="13"/>
      <c r="Z309" s="91"/>
    </row>
    <row r="310" spans="2:26" ht="20.45" customHeight="1">
      <c r="B310" s="13"/>
      <c r="G310" s="3"/>
      <c r="J310" s="3"/>
      <c r="X310" s="13"/>
      <c r="Y310" s="13"/>
      <c r="Z310" s="91"/>
    </row>
    <row r="311" spans="2:26" ht="20.45" customHeight="1">
      <c r="B311" s="13"/>
      <c r="G311" s="3"/>
      <c r="J311" s="3"/>
      <c r="X311" s="13"/>
      <c r="Y311" s="13"/>
      <c r="Z311" s="91"/>
    </row>
    <row r="312" spans="2:26" ht="20.45" customHeight="1">
      <c r="B312" s="13"/>
      <c r="G312" s="3"/>
      <c r="J312" s="3"/>
      <c r="X312" s="13"/>
      <c r="Y312" s="13"/>
      <c r="Z312" s="91"/>
    </row>
    <row r="313" spans="2:26" ht="20.45" customHeight="1">
      <c r="B313" s="13"/>
      <c r="G313" s="3"/>
      <c r="J313" s="3"/>
      <c r="X313" s="13"/>
      <c r="Y313" s="13"/>
      <c r="Z313" s="91"/>
    </row>
    <row r="314" spans="2:26" ht="20.45" customHeight="1">
      <c r="B314" s="13"/>
      <c r="G314" s="3"/>
      <c r="J314" s="3"/>
      <c r="X314" s="13"/>
      <c r="Y314" s="13"/>
      <c r="Z314" s="91"/>
    </row>
    <row r="315" spans="2:26" ht="20.45" customHeight="1">
      <c r="B315" s="13"/>
      <c r="G315" s="3"/>
      <c r="J315" s="3"/>
      <c r="X315" s="13"/>
      <c r="Y315" s="13"/>
      <c r="Z315" s="91"/>
    </row>
    <row r="316" spans="2:26" ht="20.45" customHeight="1">
      <c r="B316" s="13"/>
      <c r="G316" s="3"/>
      <c r="J316" s="3"/>
      <c r="X316" s="13"/>
      <c r="Y316" s="13"/>
      <c r="Z316" s="91"/>
    </row>
    <row r="317" spans="2:26" ht="20.45" customHeight="1">
      <c r="B317" s="13"/>
      <c r="G317" s="3"/>
      <c r="J317" s="3"/>
      <c r="X317" s="13"/>
      <c r="Y317" s="13"/>
      <c r="Z317" s="91"/>
    </row>
    <row r="318" spans="2:26" ht="20.45" customHeight="1">
      <c r="B318" s="13"/>
      <c r="G318" s="3"/>
      <c r="J318" s="3"/>
      <c r="X318" s="13"/>
      <c r="Y318" s="13"/>
      <c r="Z318" s="91"/>
    </row>
    <row r="319" spans="2:26" ht="20.45" customHeight="1">
      <c r="B319" s="13"/>
      <c r="G319" s="3"/>
      <c r="J319" s="3"/>
      <c r="X319" s="13"/>
      <c r="Y319" s="13"/>
      <c r="Z319" s="91"/>
    </row>
    <row r="320" spans="2:26" ht="20.45" customHeight="1">
      <c r="B320" s="13"/>
      <c r="G320" s="3"/>
      <c r="J320" s="3"/>
      <c r="X320" s="13"/>
      <c r="Y320" s="13"/>
      <c r="Z320" s="91"/>
    </row>
    <row r="321" spans="2:26" ht="20.45" customHeight="1">
      <c r="B321" s="13"/>
      <c r="G321" s="3"/>
      <c r="J321" s="3"/>
      <c r="X321" s="13"/>
      <c r="Y321" s="13"/>
      <c r="Z321" s="91"/>
    </row>
    <row r="322" spans="2:26" ht="20.45" customHeight="1">
      <c r="B322" s="13"/>
      <c r="G322" s="3"/>
      <c r="J322" s="3"/>
      <c r="X322" s="13"/>
      <c r="Y322" s="13"/>
      <c r="Z322" s="91"/>
    </row>
    <row r="323" spans="2:26" ht="20.45" customHeight="1">
      <c r="B323" s="13"/>
      <c r="G323" s="3"/>
      <c r="J323" s="3"/>
      <c r="X323" s="13"/>
      <c r="Y323" s="13"/>
      <c r="Z323" s="91"/>
    </row>
    <row r="324" spans="2:26" ht="20.45" customHeight="1">
      <c r="B324" s="13"/>
      <c r="G324" s="3"/>
      <c r="J324" s="3"/>
      <c r="X324" s="13"/>
      <c r="Y324" s="13"/>
      <c r="Z324" s="91"/>
    </row>
    <row r="325" spans="2:26" ht="20.45" customHeight="1">
      <c r="B325" s="13"/>
      <c r="G325" s="3"/>
      <c r="J325" s="3"/>
      <c r="X325" s="13"/>
      <c r="Y325" s="13"/>
      <c r="Z325" s="91"/>
    </row>
    <row r="326" spans="2:26" ht="20.45" customHeight="1">
      <c r="B326" s="13"/>
      <c r="G326" s="3"/>
      <c r="J326" s="3"/>
      <c r="X326" s="13"/>
      <c r="Y326" s="13"/>
      <c r="Z326" s="91"/>
    </row>
    <row r="327" spans="2:26" ht="20.45" customHeight="1">
      <c r="B327" s="13"/>
      <c r="G327" s="3"/>
      <c r="J327" s="3"/>
      <c r="X327" s="13"/>
      <c r="Y327" s="13"/>
      <c r="Z327" s="91"/>
    </row>
    <row r="328" spans="2:26" ht="20.45" customHeight="1">
      <c r="B328" s="13"/>
      <c r="G328" s="3"/>
      <c r="J328" s="3"/>
      <c r="X328" s="13"/>
      <c r="Y328" s="13"/>
      <c r="Z328" s="91"/>
    </row>
    <row r="329" spans="2:26" ht="20.45" customHeight="1">
      <c r="B329" s="13"/>
      <c r="G329" s="3"/>
      <c r="J329" s="3"/>
      <c r="X329" s="13"/>
      <c r="Y329" s="13"/>
      <c r="Z329" s="91"/>
    </row>
    <row r="330" spans="2:26" ht="20.45" customHeight="1">
      <c r="B330" s="13"/>
      <c r="G330" s="3"/>
      <c r="J330" s="3"/>
      <c r="X330" s="13"/>
      <c r="Y330" s="13"/>
      <c r="Z330" s="91"/>
    </row>
    <row r="331" spans="2:26" ht="20.45" customHeight="1">
      <c r="B331" s="13"/>
      <c r="G331" s="3"/>
      <c r="J331" s="3"/>
      <c r="X331" s="13"/>
      <c r="Y331" s="13"/>
      <c r="Z331" s="91"/>
    </row>
    <row r="332" spans="2:26" ht="20.45" customHeight="1">
      <c r="B332" s="13"/>
      <c r="G332" s="3"/>
      <c r="J332" s="3"/>
      <c r="X332" s="13"/>
      <c r="Y332" s="13"/>
      <c r="Z332" s="91"/>
    </row>
    <row r="333" spans="2:26" ht="20.45" customHeight="1">
      <c r="B333" s="13"/>
      <c r="G333" s="3"/>
      <c r="J333" s="3"/>
      <c r="X333" s="13"/>
      <c r="Y333" s="13"/>
      <c r="Z333" s="91"/>
    </row>
    <row r="334" spans="2:26" ht="20.45" customHeight="1">
      <c r="B334" s="13"/>
      <c r="G334" s="3"/>
      <c r="J334" s="3"/>
      <c r="X334" s="13"/>
      <c r="Y334" s="13"/>
      <c r="Z334" s="91"/>
    </row>
    <row r="335" spans="2:26" ht="20.45" customHeight="1">
      <c r="B335" s="13"/>
      <c r="G335" s="3"/>
      <c r="J335" s="3"/>
      <c r="X335" s="13"/>
      <c r="Y335" s="13"/>
      <c r="Z335" s="91"/>
    </row>
    <row r="336" spans="2:26" ht="20.45" customHeight="1">
      <c r="B336" s="13"/>
      <c r="G336" s="3"/>
      <c r="J336" s="3"/>
      <c r="X336" s="13"/>
      <c r="Y336" s="13"/>
      <c r="Z336" s="91"/>
    </row>
    <row r="337" spans="2:26" ht="20.45" customHeight="1">
      <c r="B337" s="13"/>
      <c r="G337" s="3"/>
      <c r="J337" s="3"/>
      <c r="X337" s="13"/>
      <c r="Y337" s="13"/>
      <c r="Z337" s="91"/>
    </row>
    <row r="338" spans="2:26" ht="20.45" customHeight="1">
      <c r="B338" s="13"/>
      <c r="G338" s="3"/>
      <c r="J338" s="3"/>
      <c r="X338" s="13"/>
      <c r="Y338" s="13"/>
      <c r="Z338" s="91"/>
    </row>
    <row r="339" spans="2:26" ht="20.45" customHeight="1">
      <c r="B339" s="13"/>
      <c r="G339" s="3"/>
      <c r="J339" s="3"/>
      <c r="X339" s="13"/>
      <c r="Y339" s="13"/>
      <c r="Z339" s="91"/>
    </row>
    <row r="340" spans="2:26" ht="20.45" customHeight="1">
      <c r="B340" s="13"/>
      <c r="G340" s="3"/>
      <c r="J340" s="3"/>
      <c r="X340" s="13"/>
      <c r="Y340" s="13"/>
      <c r="Z340" s="91"/>
    </row>
    <row r="341" spans="2:26" ht="20.45" customHeight="1">
      <c r="B341" s="13"/>
      <c r="G341" s="3"/>
      <c r="J341" s="3"/>
      <c r="X341" s="13"/>
      <c r="Y341" s="13"/>
      <c r="Z341" s="91"/>
    </row>
    <row r="342" spans="2:26" ht="20.45" customHeight="1">
      <c r="B342" s="13"/>
      <c r="G342" s="3"/>
      <c r="J342" s="3"/>
      <c r="X342" s="13"/>
      <c r="Y342" s="13"/>
      <c r="Z342" s="91"/>
    </row>
    <row r="343" spans="2:26" ht="20.45" customHeight="1">
      <c r="B343" s="13"/>
      <c r="G343" s="3"/>
      <c r="J343" s="3"/>
      <c r="X343" s="13"/>
      <c r="Y343" s="13"/>
      <c r="Z343" s="91"/>
    </row>
    <row r="344" spans="2:26" ht="20.45" customHeight="1">
      <c r="B344" s="13"/>
      <c r="G344" s="3"/>
      <c r="J344" s="3"/>
      <c r="X344" s="13"/>
      <c r="Y344" s="13"/>
      <c r="Z344" s="91"/>
    </row>
    <row r="345" spans="2:26" ht="20.45" customHeight="1">
      <c r="B345" s="13"/>
      <c r="G345" s="3"/>
      <c r="J345" s="3"/>
      <c r="X345" s="13"/>
      <c r="Y345" s="13"/>
      <c r="Z345" s="91"/>
    </row>
    <row r="346" spans="2:26" ht="20.45" customHeight="1">
      <c r="B346" s="13"/>
      <c r="G346" s="3"/>
      <c r="J346" s="3"/>
      <c r="X346" s="13"/>
      <c r="Y346" s="13"/>
      <c r="Z346" s="91"/>
    </row>
    <row r="347" spans="2:26" ht="20.45" customHeight="1">
      <c r="B347" s="13"/>
      <c r="G347" s="3"/>
      <c r="J347" s="3"/>
      <c r="X347" s="13"/>
      <c r="Y347" s="13"/>
      <c r="Z347" s="91"/>
    </row>
    <row r="348" spans="2:26" ht="20.45" customHeight="1">
      <c r="B348" s="13"/>
      <c r="G348" s="3"/>
      <c r="J348" s="3"/>
      <c r="X348" s="13"/>
      <c r="Y348" s="13"/>
      <c r="Z348" s="91"/>
    </row>
    <row r="349" spans="2:26" ht="20.45" customHeight="1">
      <c r="B349" s="13"/>
      <c r="G349" s="3"/>
      <c r="J349" s="3"/>
      <c r="X349" s="13"/>
      <c r="Y349" s="13"/>
      <c r="Z349" s="91"/>
    </row>
    <row r="350" spans="2:26" ht="20.45" customHeight="1">
      <c r="B350" s="13"/>
      <c r="G350" s="3"/>
      <c r="J350" s="3"/>
      <c r="X350" s="13"/>
      <c r="Y350" s="13"/>
      <c r="Z350" s="91"/>
    </row>
    <row r="351" spans="2:26" ht="20.45" customHeight="1">
      <c r="B351" s="13"/>
      <c r="G351" s="3"/>
      <c r="J351" s="3"/>
      <c r="X351" s="13"/>
      <c r="Y351" s="13"/>
      <c r="Z351" s="91"/>
    </row>
    <row r="352" spans="2:26" ht="20.45" customHeight="1">
      <c r="B352" s="13"/>
      <c r="G352" s="3"/>
      <c r="J352" s="3"/>
      <c r="X352" s="13"/>
      <c r="Y352" s="13"/>
      <c r="Z352" s="91"/>
    </row>
    <row r="353" spans="2:26" ht="20.45" customHeight="1">
      <c r="B353" s="13"/>
      <c r="G353" s="3"/>
      <c r="J353" s="3"/>
      <c r="X353" s="13"/>
      <c r="Y353" s="13"/>
      <c r="Z353" s="91"/>
    </row>
    <row r="354" spans="2:26" ht="20.45" customHeight="1">
      <c r="B354" s="13"/>
      <c r="G354" s="3"/>
      <c r="J354" s="3"/>
      <c r="X354" s="13"/>
      <c r="Y354" s="13"/>
      <c r="Z354" s="91"/>
    </row>
    <row r="355" spans="2:26" ht="20.45" customHeight="1">
      <c r="B355" s="13"/>
      <c r="G355" s="3"/>
      <c r="J355" s="3"/>
      <c r="X355" s="13"/>
      <c r="Y355" s="13"/>
      <c r="Z355" s="91"/>
    </row>
    <row r="356" spans="2:26" ht="20.45" customHeight="1">
      <c r="B356" s="13"/>
      <c r="G356" s="3"/>
      <c r="J356" s="3"/>
      <c r="X356" s="13"/>
      <c r="Y356" s="13"/>
      <c r="Z356" s="91"/>
    </row>
    <row r="357" spans="2:26" ht="20.45" customHeight="1">
      <c r="B357" s="13"/>
      <c r="G357" s="3"/>
      <c r="J357" s="3"/>
      <c r="X357" s="13"/>
      <c r="Y357" s="13"/>
      <c r="Z357" s="91"/>
    </row>
    <row r="358" spans="2:26" ht="20.45" customHeight="1">
      <c r="B358" s="13"/>
      <c r="G358" s="3"/>
      <c r="J358" s="3"/>
      <c r="X358" s="13"/>
      <c r="Y358" s="13"/>
      <c r="Z358" s="91"/>
    </row>
    <row r="359" spans="2:26" ht="20.45" customHeight="1">
      <c r="B359" s="13"/>
      <c r="G359" s="3"/>
      <c r="J359" s="3"/>
      <c r="X359" s="13"/>
      <c r="Y359" s="13"/>
      <c r="Z359" s="91"/>
    </row>
    <row r="360" spans="2:26" ht="20.45" customHeight="1">
      <c r="B360" s="13"/>
      <c r="G360" s="3"/>
      <c r="J360" s="3"/>
      <c r="X360" s="13"/>
      <c r="Y360" s="13"/>
      <c r="Z360" s="91"/>
    </row>
    <row r="361" spans="2:26" ht="20.45" customHeight="1">
      <c r="B361" s="13"/>
      <c r="G361" s="3"/>
      <c r="J361" s="3"/>
      <c r="X361" s="13"/>
      <c r="Y361" s="13"/>
      <c r="Z361" s="91"/>
    </row>
    <row r="362" spans="2:26" ht="20.45" customHeight="1">
      <c r="B362" s="13"/>
      <c r="G362" s="3"/>
      <c r="J362" s="3"/>
      <c r="X362" s="13"/>
      <c r="Y362" s="13"/>
      <c r="Z362" s="91"/>
    </row>
    <row r="363" spans="2:26" ht="20.45" customHeight="1">
      <c r="B363" s="13"/>
      <c r="G363" s="3"/>
      <c r="J363" s="3"/>
      <c r="X363" s="13"/>
      <c r="Y363" s="13"/>
      <c r="Z363" s="91"/>
    </row>
    <row r="364" spans="2:26" ht="20.45" customHeight="1">
      <c r="B364" s="13"/>
      <c r="G364" s="3"/>
      <c r="J364" s="3"/>
      <c r="X364" s="13"/>
      <c r="Y364" s="13"/>
      <c r="Z364" s="91"/>
    </row>
    <row r="365" spans="2:26" ht="20.45" customHeight="1">
      <c r="B365" s="13"/>
      <c r="G365" s="3"/>
      <c r="J365" s="3"/>
      <c r="X365" s="13"/>
      <c r="Y365" s="13"/>
      <c r="Z365" s="91"/>
    </row>
    <row r="366" spans="2:26" ht="20.45" customHeight="1">
      <c r="B366" s="13"/>
      <c r="G366" s="3"/>
      <c r="J366" s="3"/>
      <c r="X366" s="13"/>
      <c r="Y366" s="13"/>
      <c r="Z366" s="91"/>
    </row>
    <row r="367" spans="2:26" ht="20.45" customHeight="1">
      <c r="B367" s="13"/>
      <c r="G367" s="3"/>
      <c r="J367" s="3"/>
      <c r="X367" s="13"/>
      <c r="Y367" s="13"/>
      <c r="Z367" s="91"/>
    </row>
    <row r="368" spans="2:26" ht="20.45" customHeight="1">
      <c r="B368" s="13"/>
      <c r="G368" s="3"/>
      <c r="J368" s="3"/>
      <c r="X368" s="13"/>
      <c r="Y368" s="13"/>
      <c r="Z368" s="91"/>
    </row>
    <row r="369" spans="2:26" ht="20.45" customHeight="1">
      <c r="B369" s="13"/>
      <c r="G369" s="3"/>
      <c r="J369" s="3"/>
      <c r="X369" s="13"/>
      <c r="Y369" s="13"/>
      <c r="Z369" s="91"/>
    </row>
    <row r="370" spans="2:26" ht="20.45" customHeight="1">
      <c r="B370" s="13"/>
      <c r="G370" s="3"/>
      <c r="J370" s="3"/>
      <c r="X370" s="13"/>
      <c r="Y370" s="13"/>
      <c r="Z370" s="91"/>
    </row>
    <row r="371" spans="2:26" ht="20.45" customHeight="1">
      <c r="B371" s="13"/>
      <c r="G371" s="3"/>
      <c r="J371" s="3"/>
      <c r="X371" s="13"/>
      <c r="Y371" s="13"/>
      <c r="Z371" s="91"/>
    </row>
    <row r="372" spans="2:26" ht="20.45" customHeight="1">
      <c r="B372" s="13"/>
      <c r="G372" s="3"/>
      <c r="J372" s="3"/>
      <c r="X372" s="13"/>
      <c r="Y372" s="13"/>
      <c r="Z372" s="91"/>
    </row>
    <row r="373" spans="2:26" ht="20.45" customHeight="1">
      <c r="B373" s="13"/>
      <c r="G373" s="3"/>
      <c r="J373" s="3"/>
      <c r="X373" s="13"/>
      <c r="Y373" s="13"/>
      <c r="Z373" s="91"/>
    </row>
    <row r="374" spans="2:26" ht="20.45" customHeight="1">
      <c r="B374" s="13"/>
      <c r="G374" s="3"/>
      <c r="J374" s="3"/>
      <c r="X374" s="13"/>
      <c r="Y374" s="13"/>
      <c r="Z374" s="91"/>
    </row>
    <row r="375" spans="2:26" ht="20.45" customHeight="1">
      <c r="B375" s="13"/>
      <c r="G375" s="3"/>
      <c r="J375" s="3"/>
      <c r="X375" s="13"/>
      <c r="Y375" s="13"/>
      <c r="Z375" s="91"/>
    </row>
    <row r="376" spans="2:26" ht="20.45" customHeight="1">
      <c r="B376" s="13"/>
      <c r="G376" s="3"/>
      <c r="J376" s="3"/>
      <c r="X376" s="13"/>
      <c r="Y376" s="13"/>
      <c r="Z376" s="91"/>
    </row>
    <row r="377" spans="2:26" ht="20.45" customHeight="1">
      <c r="B377" s="13"/>
      <c r="G377" s="3"/>
      <c r="J377" s="3"/>
      <c r="X377" s="13"/>
      <c r="Y377" s="13"/>
      <c r="Z377" s="91"/>
    </row>
    <row r="378" spans="2:26" ht="20.45" customHeight="1">
      <c r="B378" s="13"/>
      <c r="G378" s="3"/>
      <c r="J378" s="3"/>
      <c r="X378" s="13"/>
      <c r="Y378" s="13"/>
      <c r="Z378" s="91"/>
    </row>
    <row r="379" spans="2:26" ht="20.45" customHeight="1">
      <c r="B379" s="13"/>
      <c r="G379" s="3"/>
      <c r="J379" s="3"/>
      <c r="X379" s="13"/>
      <c r="Y379" s="13"/>
      <c r="Z379" s="91"/>
    </row>
    <row r="380" spans="2:26" ht="20.45" customHeight="1">
      <c r="B380" s="13"/>
      <c r="G380" s="3"/>
      <c r="J380" s="3"/>
      <c r="X380" s="13"/>
      <c r="Y380" s="13"/>
      <c r="Z380" s="91"/>
    </row>
    <row r="381" spans="2:26" ht="20.45" customHeight="1">
      <c r="B381" s="13"/>
      <c r="G381" s="3"/>
      <c r="J381" s="3"/>
      <c r="X381" s="13"/>
      <c r="Y381" s="13"/>
      <c r="Z381" s="91"/>
    </row>
    <row r="382" spans="2:26" ht="20.45" customHeight="1">
      <c r="B382" s="13"/>
      <c r="G382" s="3"/>
      <c r="J382" s="3"/>
      <c r="X382" s="13"/>
      <c r="Y382" s="13"/>
      <c r="Z382" s="91"/>
    </row>
    <row r="383" spans="2:26" ht="20.45" customHeight="1">
      <c r="B383" s="13"/>
      <c r="G383" s="3"/>
      <c r="J383" s="3"/>
      <c r="X383" s="13"/>
      <c r="Y383" s="13"/>
      <c r="Z383" s="91"/>
    </row>
    <row r="384" spans="2:26" ht="20.45" customHeight="1">
      <c r="B384" s="13"/>
      <c r="G384" s="3"/>
      <c r="J384" s="3"/>
      <c r="X384" s="13"/>
      <c r="Y384" s="13"/>
      <c r="Z384" s="91"/>
    </row>
    <row r="385" spans="2:26" ht="20.45" customHeight="1">
      <c r="B385" s="13"/>
      <c r="G385" s="3"/>
      <c r="J385" s="3"/>
      <c r="X385" s="13"/>
      <c r="Y385" s="13"/>
      <c r="Z385" s="91"/>
    </row>
    <row r="386" spans="2:26" ht="20.45" customHeight="1">
      <c r="B386" s="13"/>
      <c r="G386" s="3"/>
      <c r="J386" s="3"/>
      <c r="X386" s="13"/>
      <c r="Y386" s="13"/>
      <c r="Z386" s="91"/>
    </row>
    <row r="387" spans="2:26" ht="20.45" customHeight="1">
      <c r="B387" s="13"/>
      <c r="G387" s="3"/>
      <c r="J387" s="3"/>
      <c r="X387" s="13"/>
      <c r="Y387" s="13"/>
      <c r="Z387" s="91"/>
    </row>
    <row r="388" spans="2:26" ht="20.45" customHeight="1">
      <c r="B388" s="13"/>
      <c r="G388" s="3"/>
      <c r="J388" s="3"/>
      <c r="X388" s="13"/>
      <c r="Y388" s="13"/>
      <c r="Z388" s="91"/>
    </row>
    <row r="389" spans="2:26" ht="20.45" customHeight="1">
      <c r="B389" s="13"/>
      <c r="G389" s="3"/>
      <c r="J389" s="3"/>
      <c r="X389" s="13"/>
      <c r="Y389" s="13"/>
      <c r="Z389" s="91"/>
    </row>
    <row r="390" spans="2:26" ht="20.45" customHeight="1">
      <c r="B390" s="13"/>
      <c r="G390" s="3"/>
      <c r="J390" s="3"/>
      <c r="X390" s="13"/>
      <c r="Y390" s="13"/>
      <c r="Z390" s="91"/>
    </row>
    <row r="391" spans="2:26" ht="20.45" customHeight="1">
      <c r="B391" s="13"/>
      <c r="G391" s="3"/>
      <c r="J391" s="3"/>
      <c r="X391" s="13"/>
      <c r="Y391" s="13"/>
      <c r="Z391" s="91"/>
    </row>
    <row r="392" spans="2:26" ht="20.45" customHeight="1">
      <c r="B392" s="13"/>
      <c r="G392" s="3"/>
      <c r="J392" s="3"/>
      <c r="X392" s="13"/>
      <c r="Y392" s="13"/>
      <c r="Z392" s="91"/>
    </row>
    <row r="393" spans="2:26" ht="20.45" customHeight="1">
      <c r="B393" s="13"/>
      <c r="G393" s="3"/>
      <c r="J393" s="3"/>
      <c r="X393" s="13"/>
      <c r="Y393" s="13"/>
      <c r="Z393" s="91"/>
    </row>
    <row r="394" spans="2:26" ht="20.45" customHeight="1">
      <c r="B394" s="13"/>
      <c r="G394" s="3"/>
      <c r="J394" s="3"/>
      <c r="X394" s="13"/>
      <c r="Y394" s="13"/>
      <c r="Z394" s="91"/>
    </row>
    <row r="395" spans="2:26" ht="20.45" customHeight="1">
      <c r="B395" s="13"/>
      <c r="G395" s="3"/>
      <c r="J395" s="3"/>
      <c r="X395" s="13"/>
      <c r="Y395" s="13"/>
      <c r="Z395" s="91"/>
    </row>
    <row r="396" spans="2:26" ht="20.45" customHeight="1">
      <c r="B396" s="13"/>
      <c r="G396" s="3"/>
      <c r="J396" s="3"/>
      <c r="X396" s="13"/>
      <c r="Y396" s="13"/>
      <c r="Z396" s="91"/>
    </row>
    <row r="397" spans="2:26" ht="20.45" customHeight="1">
      <c r="B397" s="13"/>
      <c r="G397" s="3"/>
      <c r="J397" s="3"/>
      <c r="X397" s="13"/>
      <c r="Y397" s="13"/>
      <c r="Z397" s="91"/>
    </row>
    <row r="398" spans="2:26" ht="20.45" customHeight="1">
      <c r="B398" s="13"/>
      <c r="G398" s="3"/>
      <c r="J398" s="3"/>
      <c r="X398" s="13"/>
      <c r="Y398" s="13"/>
      <c r="Z398" s="91"/>
    </row>
    <row r="399" spans="2:26" ht="20.45" customHeight="1">
      <c r="B399" s="13"/>
      <c r="G399" s="3"/>
      <c r="J399" s="3"/>
      <c r="X399" s="13"/>
      <c r="Y399" s="13"/>
      <c r="Z399" s="91"/>
    </row>
    <row r="400" spans="2:26" ht="20.45" customHeight="1">
      <c r="B400" s="13"/>
      <c r="G400" s="3"/>
      <c r="J400" s="3"/>
      <c r="X400" s="13"/>
      <c r="Y400" s="13"/>
      <c r="Z400" s="91"/>
    </row>
    <row r="401" spans="2:26" ht="20.45" customHeight="1">
      <c r="B401" s="13"/>
      <c r="G401" s="3"/>
      <c r="J401" s="3"/>
      <c r="X401" s="13"/>
      <c r="Y401" s="13"/>
      <c r="Z401" s="91"/>
    </row>
    <row r="402" spans="2:26" ht="20.45" customHeight="1">
      <c r="B402" s="13"/>
      <c r="G402" s="3"/>
      <c r="J402" s="3"/>
      <c r="X402" s="13"/>
      <c r="Y402" s="13"/>
      <c r="Z402" s="91"/>
    </row>
    <row r="403" spans="2:26" ht="20.45" customHeight="1">
      <c r="B403" s="13"/>
      <c r="G403" s="3"/>
      <c r="J403" s="3"/>
      <c r="X403" s="13"/>
      <c r="Y403" s="13"/>
      <c r="Z403" s="91"/>
    </row>
    <row r="404" spans="2:26" ht="20.45" customHeight="1">
      <c r="B404" s="13"/>
      <c r="G404" s="3"/>
      <c r="J404" s="3"/>
      <c r="X404" s="13"/>
      <c r="Y404" s="13"/>
      <c r="Z404" s="91"/>
    </row>
    <row r="405" spans="2:26" ht="20.45" customHeight="1">
      <c r="B405" s="13"/>
      <c r="G405" s="3"/>
      <c r="J405" s="3"/>
      <c r="X405" s="13"/>
      <c r="Y405" s="13"/>
      <c r="Z405" s="91"/>
    </row>
    <row r="406" spans="2:26" ht="20.45" customHeight="1">
      <c r="B406" s="13"/>
      <c r="G406" s="3"/>
      <c r="J406" s="3"/>
      <c r="X406" s="13"/>
      <c r="Y406" s="13"/>
      <c r="Z406" s="91"/>
    </row>
    <row r="407" spans="2:26" ht="20.45" customHeight="1">
      <c r="B407" s="13"/>
      <c r="G407" s="3"/>
      <c r="J407" s="3"/>
      <c r="X407" s="13"/>
      <c r="Y407" s="13"/>
      <c r="Z407" s="91"/>
    </row>
    <row r="408" spans="2:26" ht="20.45" customHeight="1">
      <c r="B408" s="13"/>
      <c r="G408" s="3"/>
      <c r="J408" s="3"/>
      <c r="X408" s="13"/>
      <c r="Y408" s="13"/>
      <c r="Z408" s="91"/>
    </row>
    <row r="409" spans="2:26" ht="20.45" customHeight="1">
      <c r="B409" s="13"/>
      <c r="G409" s="3"/>
      <c r="J409" s="3"/>
      <c r="X409" s="13"/>
      <c r="Y409" s="13"/>
      <c r="Z409" s="91"/>
    </row>
    <row r="410" spans="2:26" ht="20.45" customHeight="1">
      <c r="B410" s="13"/>
      <c r="G410" s="3"/>
      <c r="J410" s="3"/>
      <c r="X410" s="13"/>
      <c r="Y410" s="13"/>
      <c r="Z410" s="91"/>
    </row>
    <row r="411" spans="2:26" ht="20.45" customHeight="1">
      <c r="B411" s="13"/>
      <c r="G411" s="3"/>
      <c r="J411" s="3"/>
      <c r="X411" s="13"/>
      <c r="Y411" s="13"/>
      <c r="Z411" s="91"/>
    </row>
    <row r="412" spans="2:26" ht="20.45" customHeight="1">
      <c r="B412" s="13"/>
      <c r="G412" s="3"/>
      <c r="J412" s="3"/>
      <c r="X412" s="13"/>
      <c r="Y412" s="13"/>
      <c r="Z412" s="91"/>
    </row>
    <row r="413" spans="2:26" ht="20.45" customHeight="1">
      <c r="B413" s="13"/>
      <c r="G413" s="3"/>
      <c r="J413" s="3"/>
      <c r="X413" s="13"/>
      <c r="Y413" s="13"/>
      <c r="Z413" s="91"/>
    </row>
    <row r="414" spans="2:26" ht="20.45" customHeight="1">
      <c r="B414" s="13"/>
      <c r="G414" s="3"/>
      <c r="J414" s="3"/>
      <c r="X414" s="13"/>
      <c r="Y414" s="13"/>
      <c r="Z414" s="91"/>
    </row>
    <row r="415" spans="2:26" ht="20.45" customHeight="1">
      <c r="B415" s="13"/>
      <c r="G415" s="3"/>
      <c r="J415" s="3"/>
      <c r="X415" s="13"/>
      <c r="Y415" s="13"/>
      <c r="Z415" s="91"/>
    </row>
    <row r="416" spans="2:26" ht="20.45" customHeight="1">
      <c r="B416" s="13"/>
      <c r="G416" s="3"/>
      <c r="J416" s="3"/>
      <c r="X416" s="13"/>
      <c r="Y416" s="13"/>
      <c r="Z416" s="91"/>
    </row>
    <row r="417" spans="2:26" ht="20.45" customHeight="1">
      <c r="B417" s="13"/>
      <c r="G417" s="3"/>
      <c r="J417" s="3"/>
      <c r="X417" s="13"/>
      <c r="Y417" s="13"/>
      <c r="Z417" s="91"/>
    </row>
    <row r="418" spans="2:26" ht="20.45" customHeight="1">
      <c r="B418" s="13"/>
      <c r="G418" s="3"/>
      <c r="J418" s="3"/>
      <c r="X418" s="13"/>
      <c r="Y418" s="13"/>
      <c r="Z418" s="91"/>
    </row>
    <row r="419" spans="2:26" ht="20.45" customHeight="1">
      <c r="B419" s="13"/>
      <c r="G419" s="3"/>
      <c r="J419" s="3"/>
      <c r="X419" s="13"/>
      <c r="Y419" s="13"/>
      <c r="Z419" s="91"/>
    </row>
    <row r="420" spans="2:26" ht="20.45" customHeight="1">
      <c r="B420" s="13"/>
      <c r="G420" s="3"/>
      <c r="J420" s="3"/>
      <c r="X420" s="13"/>
      <c r="Y420" s="13"/>
      <c r="Z420" s="91"/>
    </row>
    <row r="421" spans="2:26" ht="20.45" customHeight="1">
      <c r="B421" s="13"/>
      <c r="G421" s="3"/>
      <c r="J421" s="3"/>
      <c r="X421" s="13"/>
      <c r="Y421" s="13"/>
      <c r="Z421" s="91"/>
    </row>
    <row r="422" spans="2:26" ht="20.45" customHeight="1">
      <c r="B422" s="13"/>
      <c r="G422" s="3"/>
      <c r="J422" s="3"/>
      <c r="X422" s="13"/>
      <c r="Y422" s="13"/>
      <c r="Z422" s="91"/>
    </row>
    <row r="423" spans="2:26" ht="20.45" customHeight="1">
      <c r="B423" s="13"/>
      <c r="G423" s="3"/>
      <c r="J423" s="3"/>
      <c r="X423" s="13"/>
      <c r="Y423" s="13"/>
      <c r="Z423" s="91"/>
    </row>
    <row r="424" spans="2:26" ht="20.45" customHeight="1">
      <c r="B424" s="13"/>
      <c r="G424" s="3"/>
      <c r="J424" s="3"/>
      <c r="X424" s="13"/>
      <c r="Y424" s="13"/>
      <c r="Z424" s="91"/>
    </row>
    <row r="425" spans="2:26" ht="20.45" customHeight="1">
      <c r="B425" s="13"/>
      <c r="G425" s="3"/>
      <c r="J425" s="3"/>
      <c r="X425" s="13"/>
      <c r="Y425" s="13"/>
      <c r="Z425" s="91"/>
    </row>
    <row r="426" spans="2:26" ht="20.45" customHeight="1">
      <c r="B426" s="13"/>
      <c r="G426" s="3"/>
      <c r="J426" s="3"/>
      <c r="X426" s="13"/>
      <c r="Y426" s="13"/>
      <c r="Z426" s="91"/>
    </row>
    <row r="427" spans="2:26" ht="20.45" customHeight="1">
      <c r="B427" s="13"/>
      <c r="G427" s="3"/>
      <c r="J427" s="3"/>
      <c r="X427" s="13"/>
      <c r="Y427" s="13"/>
      <c r="Z427" s="91"/>
    </row>
    <row r="428" spans="2:26" ht="20.45" customHeight="1">
      <c r="B428" s="13"/>
      <c r="G428" s="3"/>
      <c r="J428" s="3"/>
      <c r="X428" s="13"/>
      <c r="Y428" s="13"/>
      <c r="Z428" s="91"/>
    </row>
    <row r="429" spans="2:26" ht="20.45" customHeight="1">
      <c r="B429" s="13"/>
      <c r="G429" s="3"/>
      <c r="J429" s="3"/>
      <c r="X429" s="13"/>
      <c r="Y429" s="13"/>
      <c r="Z429" s="91"/>
    </row>
    <row r="430" spans="2:26" ht="20.45" customHeight="1">
      <c r="B430" s="13"/>
      <c r="G430" s="3"/>
      <c r="J430" s="3"/>
      <c r="X430" s="13"/>
      <c r="Y430" s="13"/>
      <c r="Z430" s="91"/>
    </row>
    <row r="431" spans="2:26" ht="20.45" customHeight="1">
      <c r="B431" s="13"/>
      <c r="G431" s="3"/>
      <c r="J431" s="3"/>
      <c r="X431" s="13"/>
      <c r="Y431" s="13"/>
      <c r="Z431" s="91"/>
    </row>
    <row r="432" spans="2:26" ht="20.45" customHeight="1">
      <c r="B432" s="13"/>
      <c r="G432" s="3"/>
      <c r="J432" s="3"/>
      <c r="X432" s="13"/>
      <c r="Y432" s="13"/>
      <c r="Z432" s="91"/>
    </row>
    <row r="433" spans="2:26" ht="20.45" customHeight="1">
      <c r="B433" s="13"/>
      <c r="G433" s="3"/>
      <c r="J433" s="3"/>
      <c r="X433" s="13"/>
      <c r="Y433" s="13"/>
      <c r="Z433" s="91"/>
    </row>
    <row r="434" spans="2:26" ht="20.45" customHeight="1">
      <c r="B434" s="13"/>
      <c r="G434" s="3"/>
      <c r="J434" s="3"/>
      <c r="X434" s="13"/>
      <c r="Y434" s="13"/>
      <c r="Z434" s="91"/>
    </row>
    <row r="435" spans="2:26" ht="20.45" customHeight="1">
      <c r="B435" s="13"/>
      <c r="G435" s="3"/>
      <c r="J435" s="3"/>
      <c r="X435" s="13"/>
      <c r="Y435" s="13"/>
      <c r="Z435" s="91"/>
    </row>
    <row r="436" spans="2:26" ht="20.45" customHeight="1">
      <c r="B436" s="13"/>
      <c r="G436" s="3"/>
      <c r="J436" s="3"/>
      <c r="X436" s="13"/>
      <c r="Y436" s="13"/>
      <c r="Z436" s="91"/>
    </row>
    <row r="437" spans="2:26" ht="20.45" customHeight="1">
      <c r="B437" s="13"/>
      <c r="G437" s="3"/>
      <c r="J437" s="3"/>
      <c r="X437" s="13"/>
      <c r="Y437" s="13"/>
      <c r="Z437" s="91"/>
    </row>
    <row r="438" spans="2:26" ht="20.45" customHeight="1">
      <c r="B438" s="13"/>
      <c r="G438" s="3"/>
      <c r="J438" s="3"/>
      <c r="X438" s="13"/>
      <c r="Y438" s="13"/>
      <c r="Z438" s="91"/>
    </row>
    <row r="439" spans="2:26" ht="20.45" customHeight="1">
      <c r="B439" s="13"/>
      <c r="G439" s="3"/>
      <c r="J439" s="3"/>
      <c r="X439" s="13"/>
      <c r="Y439" s="13"/>
      <c r="Z439" s="91"/>
    </row>
    <row r="440" spans="2:26" ht="20.45" customHeight="1">
      <c r="B440" s="13"/>
      <c r="G440" s="3"/>
      <c r="J440" s="3"/>
      <c r="X440" s="13"/>
      <c r="Y440" s="13"/>
      <c r="Z440" s="91"/>
    </row>
    <row r="441" spans="2:26" ht="20.45" customHeight="1">
      <c r="B441" s="13"/>
      <c r="G441" s="3"/>
      <c r="J441" s="3"/>
      <c r="X441" s="13"/>
      <c r="Y441" s="13"/>
      <c r="Z441" s="91"/>
    </row>
    <row r="442" spans="2:26" ht="20.45" customHeight="1">
      <c r="B442" s="13"/>
      <c r="G442" s="3"/>
      <c r="J442" s="3"/>
      <c r="X442" s="13"/>
      <c r="Y442" s="13"/>
      <c r="Z442" s="91"/>
    </row>
    <row r="443" spans="2:26" ht="20.45" customHeight="1">
      <c r="B443" s="13"/>
      <c r="G443" s="3"/>
      <c r="J443" s="3"/>
      <c r="X443" s="13"/>
      <c r="Y443" s="13"/>
      <c r="Z443" s="91"/>
    </row>
    <row r="444" spans="2:26" ht="20.45" customHeight="1">
      <c r="B444" s="13"/>
      <c r="G444" s="3"/>
      <c r="J444" s="3"/>
      <c r="X444" s="13"/>
      <c r="Y444" s="13"/>
      <c r="Z444" s="91"/>
    </row>
    <row r="445" spans="2:26" ht="20.45" customHeight="1">
      <c r="B445" s="13"/>
      <c r="G445" s="3"/>
      <c r="J445" s="3"/>
      <c r="X445" s="13"/>
      <c r="Y445" s="13"/>
      <c r="Z445" s="91"/>
    </row>
    <row r="446" spans="2:26" ht="20.45" customHeight="1">
      <c r="B446" s="13"/>
      <c r="G446" s="3"/>
      <c r="J446" s="3"/>
      <c r="X446" s="13"/>
      <c r="Y446" s="13"/>
      <c r="Z446" s="91"/>
    </row>
    <row r="447" spans="2:26" ht="20.45" customHeight="1">
      <c r="B447" s="13"/>
      <c r="G447" s="3"/>
      <c r="J447" s="3"/>
      <c r="X447" s="13"/>
      <c r="Y447" s="13"/>
      <c r="Z447" s="91"/>
    </row>
    <row r="448" spans="2:26" ht="20.45" customHeight="1">
      <c r="B448" s="13"/>
      <c r="G448" s="3"/>
      <c r="J448" s="3"/>
      <c r="X448" s="13"/>
      <c r="Y448" s="13"/>
      <c r="Z448" s="91"/>
    </row>
    <row r="449" spans="2:26" ht="20.45" customHeight="1">
      <c r="B449" s="13"/>
      <c r="G449" s="3"/>
      <c r="J449" s="3"/>
      <c r="X449" s="13"/>
      <c r="Y449" s="13"/>
      <c r="Z449" s="91"/>
    </row>
    <row r="450" spans="2:26" ht="20.45" customHeight="1">
      <c r="B450" s="13"/>
      <c r="G450" s="3"/>
      <c r="J450" s="3"/>
      <c r="X450" s="13"/>
      <c r="Y450" s="13"/>
      <c r="Z450" s="91"/>
    </row>
    <row r="451" spans="2:26" ht="20.45" customHeight="1">
      <c r="B451" s="13"/>
      <c r="G451" s="3"/>
      <c r="J451" s="3"/>
      <c r="X451" s="13"/>
      <c r="Y451" s="13"/>
      <c r="Z451" s="91"/>
    </row>
    <row r="452" spans="2:26" ht="20.45" customHeight="1">
      <c r="B452" s="13"/>
      <c r="G452" s="3"/>
      <c r="J452" s="3"/>
      <c r="X452" s="13"/>
      <c r="Y452" s="13"/>
      <c r="Z452" s="91"/>
    </row>
    <row r="453" spans="2:26" ht="20.45" customHeight="1">
      <c r="B453" s="13"/>
      <c r="G453" s="3"/>
      <c r="J453" s="3"/>
      <c r="X453" s="13"/>
      <c r="Y453" s="13"/>
      <c r="Z453" s="91"/>
    </row>
    <row r="454" spans="2:26" ht="20.45" customHeight="1">
      <c r="B454" s="13"/>
      <c r="G454" s="3"/>
      <c r="J454" s="3"/>
      <c r="X454" s="13"/>
      <c r="Y454" s="13"/>
      <c r="Z454" s="91"/>
    </row>
    <row r="455" spans="2:26" ht="20.45" customHeight="1">
      <c r="B455" s="13"/>
      <c r="G455" s="3"/>
      <c r="J455" s="3"/>
      <c r="X455" s="13"/>
      <c r="Y455" s="13"/>
      <c r="Z455" s="91"/>
    </row>
    <row r="456" spans="2:26" ht="20.45" customHeight="1">
      <c r="B456" s="13"/>
      <c r="G456" s="3"/>
      <c r="J456" s="3"/>
      <c r="X456" s="13"/>
      <c r="Y456" s="13"/>
      <c r="Z456" s="91"/>
    </row>
    <row r="457" spans="2:26" ht="20.45" customHeight="1">
      <c r="B457" s="13"/>
      <c r="G457" s="3"/>
      <c r="J457" s="3"/>
      <c r="X457" s="13"/>
      <c r="Y457" s="13"/>
      <c r="Z457" s="91"/>
    </row>
    <row r="458" spans="2:26" ht="20.45" customHeight="1">
      <c r="B458" s="13"/>
      <c r="G458" s="3"/>
      <c r="J458" s="3"/>
      <c r="X458" s="13"/>
      <c r="Y458" s="13"/>
      <c r="Z458" s="91"/>
    </row>
    <row r="459" spans="2:26" ht="20.45" customHeight="1">
      <c r="B459" s="13"/>
      <c r="G459" s="3"/>
      <c r="J459" s="3"/>
      <c r="X459" s="13"/>
      <c r="Y459" s="13"/>
      <c r="Z459" s="91"/>
    </row>
    <row r="460" spans="2:26" ht="20.45" customHeight="1">
      <c r="B460" s="13"/>
      <c r="G460" s="3"/>
      <c r="J460" s="3"/>
      <c r="X460" s="13"/>
      <c r="Y460" s="13"/>
      <c r="Z460" s="91"/>
    </row>
    <row r="461" spans="2:26" ht="20.45" customHeight="1">
      <c r="B461" s="13"/>
      <c r="G461" s="3"/>
      <c r="J461" s="3"/>
      <c r="X461" s="13"/>
      <c r="Y461" s="13"/>
      <c r="Z461" s="91"/>
    </row>
    <row r="462" spans="2:26" ht="20.45" customHeight="1">
      <c r="B462" s="13"/>
      <c r="G462" s="3"/>
      <c r="J462" s="3"/>
      <c r="X462" s="13"/>
      <c r="Y462" s="13"/>
      <c r="Z462" s="91"/>
    </row>
    <row r="463" spans="2:26" ht="20.45" customHeight="1">
      <c r="B463" s="13"/>
      <c r="G463" s="3"/>
      <c r="J463" s="3"/>
      <c r="X463" s="13"/>
      <c r="Y463" s="13"/>
      <c r="Z463" s="91"/>
    </row>
    <row r="464" spans="2:26" ht="20.45" customHeight="1">
      <c r="B464" s="13"/>
      <c r="G464" s="3"/>
      <c r="J464" s="3"/>
      <c r="X464" s="13"/>
      <c r="Y464" s="13"/>
      <c r="Z464" s="91"/>
    </row>
    <row r="465" spans="2:26" ht="20.45" customHeight="1">
      <c r="B465" s="13"/>
      <c r="G465" s="3"/>
      <c r="J465" s="3"/>
      <c r="X465" s="13"/>
      <c r="Y465" s="13"/>
      <c r="Z465" s="91"/>
    </row>
    <row r="466" spans="2:26" ht="20.45" customHeight="1">
      <c r="B466" s="13"/>
      <c r="G466" s="3"/>
      <c r="J466" s="3"/>
      <c r="X466" s="13"/>
      <c r="Y466" s="13"/>
      <c r="Z466" s="91"/>
    </row>
    <row r="467" spans="2:26" ht="20.45" customHeight="1">
      <c r="B467" s="13"/>
      <c r="G467" s="3"/>
      <c r="J467" s="3"/>
      <c r="X467" s="13"/>
      <c r="Y467" s="13"/>
      <c r="Z467" s="91"/>
    </row>
    <row r="468" spans="2:26" ht="20.45" customHeight="1">
      <c r="B468" s="13"/>
      <c r="G468" s="3"/>
      <c r="J468" s="3"/>
      <c r="X468" s="13"/>
      <c r="Y468" s="13"/>
      <c r="Z468" s="91"/>
    </row>
    <row r="469" spans="2:26" ht="20.45" customHeight="1">
      <c r="B469" s="13"/>
      <c r="G469" s="3"/>
      <c r="J469" s="3"/>
      <c r="X469" s="13"/>
      <c r="Y469" s="13"/>
      <c r="Z469" s="91"/>
    </row>
    <row r="470" spans="2:26" ht="20.45" customHeight="1">
      <c r="B470" s="13"/>
      <c r="G470" s="3"/>
      <c r="J470" s="3"/>
      <c r="X470" s="13"/>
      <c r="Y470" s="13"/>
      <c r="Z470" s="91"/>
    </row>
    <row r="471" spans="2:26" ht="20.45" customHeight="1">
      <c r="B471" s="13"/>
      <c r="G471" s="3"/>
      <c r="J471" s="3"/>
      <c r="X471" s="13"/>
      <c r="Y471" s="13"/>
      <c r="Z471" s="91"/>
    </row>
    <row r="472" spans="2:26" ht="20.45" customHeight="1">
      <c r="B472" s="13"/>
      <c r="G472" s="3"/>
      <c r="J472" s="3"/>
      <c r="X472" s="13"/>
      <c r="Y472" s="13"/>
      <c r="Z472" s="91"/>
    </row>
    <row r="473" spans="2:26" ht="20.45" customHeight="1">
      <c r="B473" s="13"/>
      <c r="G473" s="3"/>
      <c r="J473" s="3"/>
      <c r="X473" s="13"/>
      <c r="Y473" s="13"/>
      <c r="Z473" s="91"/>
    </row>
    <row r="474" spans="2:26" ht="20.45" customHeight="1">
      <c r="B474" s="13"/>
      <c r="G474" s="3"/>
      <c r="J474" s="3"/>
      <c r="X474" s="13"/>
      <c r="Y474" s="13"/>
      <c r="Z474" s="91"/>
    </row>
    <row r="475" spans="2:26" ht="20.45" customHeight="1">
      <c r="B475" s="13"/>
      <c r="G475" s="3"/>
      <c r="J475" s="3"/>
      <c r="X475" s="13"/>
      <c r="Y475" s="13"/>
      <c r="Z475" s="91"/>
    </row>
    <row r="476" spans="2:26" ht="20.45" customHeight="1">
      <c r="B476" s="13"/>
      <c r="G476" s="3"/>
      <c r="J476" s="3"/>
      <c r="X476" s="13"/>
      <c r="Y476" s="13"/>
      <c r="Z476" s="91"/>
    </row>
    <row r="477" spans="2:26" ht="20.45" customHeight="1">
      <c r="B477" s="13"/>
      <c r="G477" s="3"/>
      <c r="J477" s="3"/>
      <c r="X477" s="13"/>
      <c r="Y477" s="13"/>
      <c r="Z477" s="91"/>
    </row>
    <row r="478" spans="2:26" ht="20.45" customHeight="1">
      <c r="B478" s="13"/>
      <c r="G478" s="3"/>
      <c r="J478" s="3"/>
      <c r="X478" s="13"/>
      <c r="Y478" s="13"/>
      <c r="Z478" s="91"/>
    </row>
    <row r="479" spans="2:26" ht="20.45" customHeight="1">
      <c r="B479" s="13"/>
      <c r="G479" s="3"/>
      <c r="J479" s="3"/>
      <c r="X479" s="13"/>
      <c r="Y479" s="13"/>
      <c r="Z479" s="91"/>
    </row>
    <row r="480" spans="2:26" ht="20.45" customHeight="1">
      <c r="B480" s="13"/>
      <c r="G480" s="3"/>
      <c r="J480" s="3"/>
      <c r="X480" s="13"/>
      <c r="Y480" s="13"/>
      <c r="Z480" s="91"/>
    </row>
    <row r="481" spans="2:26" ht="20.45" customHeight="1">
      <c r="B481" s="13"/>
      <c r="G481" s="3"/>
      <c r="J481" s="3"/>
      <c r="X481" s="13"/>
      <c r="Y481" s="13"/>
      <c r="Z481" s="91"/>
    </row>
    <row r="482" spans="2:26" ht="20.45" customHeight="1">
      <c r="B482" s="13"/>
      <c r="G482" s="3"/>
      <c r="J482" s="3"/>
      <c r="X482" s="13"/>
      <c r="Y482" s="13"/>
      <c r="Z482" s="91"/>
    </row>
    <row r="483" spans="2:26" ht="20.45" customHeight="1">
      <c r="B483" s="13"/>
      <c r="G483" s="3"/>
      <c r="J483" s="3"/>
      <c r="X483" s="13"/>
      <c r="Y483" s="13"/>
      <c r="Z483" s="91"/>
    </row>
    <row r="484" spans="2:26" ht="20.45" customHeight="1">
      <c r="B484" s="13"/>
      <c r="G484" s="3"/>
      <c r="J484" s="3"/>
      <c r="X484" s="13"/>
      <c r="Y484" s="13"/>
      <c r="Z484" s="91"/>
    </row>
    <row r="485" spans="2:26" ht="20.45" customHeight="1">
      <c r="B485" s="13"/>
      <c r="G485" s="3"/>
      <c r="J485" s="3"/>
      <c r="X485" s="13"/>
      <c r="Y485" s="13"/>
      <c r="Z485" s="91"/>
    </row>
    <row r="486" spans="2:26" ht="20.45" customHeight="1">
      <c r="B486" s="13"/>
      <c r="G486" s="3"/>
      <c r="J486" s="3"/>
      <c r="X486" s="13"/>
      <c r="Y486" s="13"/>
      <c r="Z486" s="91"/>
    </row>
    <row r="487" spans="2:26" ht="20.45" customHeight="1">
      <c r="B487" s="13"/>
      <c r="G487" s="3"/>
      <c r="J487" s="3"/>
      <c r="X487" s="13"/>
      <c r="Y487" s="13"/>
      <c r="Z487" s="91"/>
    </row>
    <row r="488" spans="2:26" ht="20.45" customHeight="1">
      <c r="B488" s="13"/>
      <c r="G488" s="3"/>
      <c r="J488" s="3"/>
      <c r="X488" s="13"/>
      <c r="Y488" s="13"/>
      <c r="Z488" s="91"/>
    </row>
    <row r="489" spans="2:26" ht="20.45" customHeight="1">
      <c r="B489" s="13"/>
      <c r="G489" s="3"/>
      <c r="J489" s="3"/>
      <c r="X489" s="13"/>
      <c r="Y489" s="13"/>
      <c r="Z489" s="91"/>
    </row>
    <row r="490" spans="2:26" ht="20.45" customHeight="1">
      <c r="B490" s="13"/>
      <c r="G490" s="3"/>
      <c r="J490" s="3"/>
      <c r="X490" s="13"/>
      <c r="Y490" s="13"/>
      <c r="Z490" s="91"/>
    </row>
    <row r="491" spans="2:26" ht="20.45" customHeight="1">
      <c r="B491" s="13"/>
      <c r="G491" s="3"/>
      <c r="J491" s="3"/>
      <c r="X491" s="13"/>
      <c r="Y491" s="13"/>
      <c r="Z491" s="91"/>
    </row>
    <row r="492" spans="2:26" ht="20.45" customHeight="1">
      <c r="B492" s="13"/>
      <c r="G492" s="3"/>
      <c r="J492" s="3"/>
      <c r="X492" s="13"/>
      <c r="Y492" s="13"/>
      <c r="Z492" s="91"/>
    </row>
    <row r="493" spans="2:26" ht="20.45" customHeight="1">
      <c r="B493" s="13"/>
      <c r="G493" s="3"/>
      <c r="J493" s="3"/>
      <c r="X493" s="13"/>
      <c r="Y493" s="13"/>
      <c r="Z493" s="91"/>
    </row>
    <row r="494" spans="2:26" ht="20.45" customHeight="1">
      <c r="B494" s="13"/>
      <c r="G494" s="3"/>
      <c r="J494" s="3"/>
      <c r="X494" s="13"/>
      <c r="Y494" s="13"/>
      <c r="Z494" s="91"/>
    </row>
    <row r="495" spans="2:26" ht="20.45" customHeight="1">
      <c r="B495" s="13"/>
      <c r="G495" s="3"/>
      <c r="J495" s="3"/>
      <c r="X495" s="13"/>
      <c r="Y495" s="13"/>
      <c r="Z495" s="91"/>
    </row>
    <row r="496" spans="2:26" ht="20.45" customHeight="1">
      <c r="B496" s="13"/>
      <c r="G496" s="3"/>
      <c r="J496" s="3"/>
      <c r="X496" s="13"/>
      <c r="Y496" s="13"/>
      <c r="Z496" s="91"/>
    </row>
    <row r="497" spans="2:26" ht="20.45" customHeight="1">
      <c r="B497" s="13"/>
      <c r="G497" s="3"/>
      <c r="J497" s="3"/>
      <c r="X497" s="13"/>
      <c r="Y497" s="13"/>
      <c r="Z497" s="91"/>
    </row>
    <row r="498" spans="2:26" ht="20.45" customHeight="1">
      <c r="B498" s="13"/>
      <c r="G498" s="3"/>
      <c r="J498" s="3"/>
      <c r="X498" s="13"/>
      <c r="Y498" s="13"/>
      <c r="Z498" s="91"/>
    </row>
    <row r="499" spans="2:26" ht="20.45" customHeight="1">
      <c r="B499" s="13"/>
      <c r="G499" s="3"/>
      <c r="J499" s="3"/>
      <c r="X499" s="13"/>
      <c r="Y499" s="13"/>
      <c r="Z499" s="91"/>
    </row>
    <row r="500" spans="2:26" ht="20.45" customHeight="1">
      <c r="B500" s="13"/>
      <c r="G500" s="3"/>
      <c r="J500" s="3"/>
      <c r="X500" s="13"/>
      <c r="Y500" s="13"/>
      <c r="Z500" s="91"/>
    </row>
    <row r="501" spans="2:26" ht="20.45" customHeight="1">
      <c r="B501" s="13"/>
      <c r="G501" s="3"/>
      <c r="J501" s="3"/>
      <c r="X501" s="13"/>
      <c r="Y501" s="13"/>
      <c r="Z501" s="91"/>
    </row>
    <row r="502" spans="2:26" ht="20.45" customHeight="1">
      <c r="B502" s="13"/>
      <c r="G502" s="3"/>
      <c r="J502" s="3"/>
      <c r="X502" s="13"/>
      <c r="Y502" s="13"/>
      <c r="Z502" s="91"/>
    </row>
    <row r="503" spans="2:26" ht="20.45" customHeight="1">
      <c r="B503" s="13"/>
      <c r="G503" s="3"/>
      <c r="J503" s="3"/>
      <c r="X503" s="13"/>
      <c r="Y503" s="13"/>
      <c r="Z503" s="91"/>
    </row>
    <row r="504" spans="2:26" ht="20.45" customHeight="1">
      <c r="B504" s="13"/>
      <c r="G504" s="3"/>
      <c r="J504" s="3"/>
      <c r="X504" s="13"/>
      <c r="Y504" s="13"/>
      <c r="Z504" s="91"/>
    </row>
    <row r="505" spans="2:26" ht="20.45" customHeight="1">
      <c r="B505" s="13"/>
      <c r="G505" s="3"/>
      <c r="J505" s="3"/>
      <c r="X505" s="13"/>
      <c r="Y505" s="13"/>
      <c r="Z505" s="91"/>
    </row>
    <row r="506" spans="2:26" ht="20.45" customHeight="1">
      <c r="B506" s="13"/>
      <c r="G506" s="3"/>
      <c r="J506" s="3"/>
      <c r="X506" s="13"/>
      <c r="Y506" s="13"/>
      <c r="Z506" s="91"/>
    </row>
    <row r="507" spans="2:26" ht="20.45" customHeight="1">
      <c r="B507" s="13"/>
      <c r="G507" s="3"/>
      <c r="J507" s="3"/>
      <c r="X507" s="13"/>
      <c r="Y507" s="13"/>
      <c r="Z507" s="91"/>
    </row>
    <row r="508" spans="2:26" ht="20.45" customHeight="1">
      <c r="B508" s="13"/>
      <c r="G508" s="3"/>
      <c r="J508" s="3"/>
      <c r="X508" s="13"/>
      <c r="Y508" s="13"/>
      <c r="Z508" s="91"/>
    </row>
    <row r="509" spans="2:26" ht="20.45" customHeight="1">
      <c r="B509" s="13"/>
      <c r="G509" s="3"/>
      <c r="J509" s="3"/>
      <c r="X509" s="13"/>
      <c r="Y509" s="13"/>
      <c r="Z509" s="91"/>
    </row>
    <row r="510" spans="2:26" ht="20.45" customHeight="1">
      <c r="B510" s="13"/>
      <c r="G510" s="3"/>
      <c r="J510" s="3"/>
      <c r="X510" s="13"/>
      <c r="Y510" s="13"/>
      <c r="Z510" s="91"/>
    </row>
    <row r="511" spans="2:26" ht="20.45" customHeight="1">
      <c r="B511" s="13"/>
      <c r="G511" s="3"/>
      <c r="J511" s="3"/>
      <c r="X511" s="13"/>
      <c r="Y511" s="13"/>
      <c r="Z511" s="91"/>
    </row>
    <row r="512" spans="2:26" ht="20.45" customHeight="1">
      <c r="B512" s="13"/>
      <c r="G512" s="3"/>
      <c r="J512" s="3"/>
      <c r="X512" s="13"/>
      <c r="Y512" s="13"/>
      <c r="Z512" s="91"/>
    </row>
    <row r="513" spans="2:26" ht="20.45" customHeight="1">
      <c r="B513" s="13"/>
      <c r="G513" s="3"/>
      <c r="J513" s="3"/>
      <c r="X513" s="13"/>
      <c r="Y513" s="13"/>
      <c r="Z513" s="91"/>
    </row>
    <row r="514" spans="2:26" ht="20.45" customHeight="1">
      <c r="B514" s="13"/>
      <c r="G514" s="3"/>
      <c r="J514" s="3"/>
      <c r="X514" s="13"/>
      <c r="Y514" s="13"/>
      <c r="Z514" s="91"/>
    </row>
    <row r="515" spans="2:26" ht="20.45" customHeight="1">
      <c r="B515" s="13"/>
      <c r="G515" s="3"/>
      <c r="J515" s="3"/>
      <c r="X515" s="13"/>
      <c r="Y515" s="13"/>
      <c r="Z515" s="91"/>
    </row>
    <row r="516" spans="2:26" ht="20.45" customHeight="1">
      <c r="B516" s="13"/>
      <c r="G516" s="3"/>
      <c r="J516" s="3"/>
      <c r="X516" s="13"/>
      <c r="Y516" s="13"/>
      <c r="Z516" s="91"/>
    </row>
    <row r="517" spans="2:26" ht="20.45" customHeight="1">
      <c r="B517" s="13"/>
      <c r="G517" s="3"/>
      <c r="J517" s="3"/>
      <c r="X517" s="13"/>
      <c r="Y517" s="13"/>
      <c r="Z517" s="91"/>
    </row>
    <row r="518" spans="2:26" ht="20.45" customHeight="1">
      <c r="B518" s="13"/>
      <c r="G518" s="3"/>
      <c r="J518" s="3"/>
      <c r="X518" s="13"/>
      <c r="Y518" s="13"/>
      <c r="Z518" s="91"/>
    </row>
    <row r="519" spans="2:26" ht="20.45" customHeight="1">
      <c r="B519" s="13"/>
      <c r="G519" s="3"/>
      <c r="J519" s="3"/>
      <c r="X519" s="13"/>
      <c r="Y519" s="13"/>
      <c r="Z519" s="91"/>
    </row>
    <row r="520" spans="2:26" ht="20.45" customHeight="1">
      <c r="B520" s="13"/>
      <c r="G520" s="3"/>
      <c r="J520" s="3"/>
      <c r="X520" s="13"/>
      <c r="Y520" s="13"/>
      <c r="Z520" s="91"/>
    </row>
    <row r="521" spans="2:26" ht="20.45" customHeight="1">
      <c r="B521" s="13"/>
      <c r="G521" s="3"/>
      <c r="J521" s="3"/>
      <c r="X521" s="13"/>
      <c r="Y521" s="13"/>
      <c r="Z521" s="91"/>
    </row>
    <row r="522" spans="2:26" ht="20.45" customHeight="1">
      <c r="B522" s="13"/>
      <c r="G522" s="3"/>
      <c r="J522" s="3"/>
      <c r="X522" s="13"/>
      <c r="Y522" s="13"/>
      <c r="Z522" s="91"/>
    </row>
    <row r="523" spans="2:26" ht="20.45" customHeight="1">
      <c r="B523" s="13"/>
      <c r="G523" s="3"/>
      <c r="J523" s="3"/>
      <c r="X523" s="13"/>
      <c r="Y523" s="13"/>
      <c r="Z523" s="91"/>
    </row>
    <row r="524" spans="2:26" ht="20.45" customHeight="1">
      <c r="B524" s="13"/>
      <c r="G524" s="3"/>
      <c r="J524" s="3"/>
      <c r="X524" s="13"/>
      <c r="Y524" s="13"/>
      <c r="Z524" s="91"/>
    </row>
    <row r="525" spans="2:26" ht="20.45" customHeight="1">
      <c r="B525" s="13"/>
      <c r="G525" s="3"/>
      <c r="J525" s="3"/>
      <c r="X525" s="13"/>
      <c r="Y525" s="13"/>
      <c r="Z525" s="91"/>
    </row>
    <row r="526" spans="2:26" ht="20.45" customHeight="1">
      <c r="B526" s="13"/>
      <c r="G526" s="3"/>
      <c r="J526" s="3"/>
      <c r="X526" s="13"/>
      <c r="Y526" s="13"/>
      <c r="Z526" s="91"/>
    </row>
    <row r="527" spans="2:26" ht="20.45" customHeight="1">
      <c r="B527" s="13"/>
      <c r="G527" s="3"/>
      <c r="J527" s="3"/>
      <c r="X527" s="13"/>
      <c r="Y527" s="13"/>
      <c r="Z527" s="91"/>
    </row>
    <row r="528" spans="2:26" ht="20.45" customHeight="1">
      <c r="B528" s="13"/>
      <c r="G528" s="3"/>
      <c r="J528" s="3"/>
      <c r="X528" s="13"/>
      <c r="Y528" s="13"/>
      <c r="Z528" s="91"/>
    </row>
    <row r="529" spans="2:26" ht="20.45" customHeight="1">
      <c r="B529" s="13"/>
      <c r="G529" s="3"/>
      <c r="J529" s="3"/>
      <c r="X529" s="13"/>
      <c r="Y529" s="13"/>
      <c r="Z529" s="91"/>
    </row>
    <row r="530" spans="2:26" ht="20.45" customHeight="1">
      <c r="B530" s="13"/>
      <c r="G530" s="3"/>
      <c r="J530" s="3"/>
      <c r="X530" s="13"/>
      <c r="Y530" s="13"/>
      <c r="Z530" s="91"/>
    </row>
    <row r="531" spans="2:26" ht="20.45" customHeight="1">
      <c r="B531" s="13"/>
      <c r="G531" s="3"/>
      <c r="J531" s="3"/>
      <c r="X531" s="13"/>
      <c r="Y531" s="13"/>
      <c r="Z531" s="91"/>
    </row>
    <row r="532" spans="2:26" ht="20.45" customHeight="1">
      <c r="B532" s="13"/>
      <c r="G532" s="3"/>
      <c r="J532" s="3"/>
      <c r="X532" s="13"/>
      <c r="Y532" s="13"/>
      <c r="Z532" s="91"/>
    </row>
    <row r="533" spans="2:26" ht="20.45" customHeight="1">
      <c r="B533" s="13"/>
      <c r="G533" s="3"/>
      <c r="J533" s="3"/>
      <c r="X533" s="13"/>
      <c r="Y533" s="13"/>
      <c r="Z533" s="91"/>
    </row>
    <row r="534" spans="2:26" ht="20.45" customHeight="1">
      <c r="B534" s="13"/>
      <c r="G534" s="3"/>
      <c r="J534" s="3"/>
      <c r="X534" s="13"/>
      <c r="Y534" s="13"/>
      <c r="Z534" s="91"/>
    </row>
    <row r="535" spans="2:26" ht="20.45" customHeight="1">
      <c r="B535" s="13"/>
      <c r="G535" s="3"/>
      <c r="J535" s="3"/>
      <c r="X535" s="13"/>
      <c r="Y535" s="13"/>
      <c r="Z535" s="91"/>
    </row>
    <row r="536" spans="2:26" ht="20.45" customHeight="1">
      <c r="B536" s="13"/>
      <c r="G536" s="3"/>
      <c r="J536" s="3"/>
      <c r="X536" s="13"/>
      <c r="Y536" s="13"/>
      <c r="Z536" s="91"/>
    </row>
    <row r="537" spans="2:26" ht="20.45" customHeight="1">
      <c r="B537" s="13"/>
      <c r="G537" s="3"/>
      <c r="J537" s="3"/>
      <c r="X537" s="13"/>
      <c r="Y537" s="13"/>
      <c r="Z537" s="91"/>
    </row>
    <row r="538" spans="2:26" ht="20.45" customHeight="1">
      <c r="B538" s="13"/>
      <c r="G538" s="3"/>
      <c r="J538" s="3"/>
      <c r="X538" s="13"/>
      <c r="Y538" s="13"/>
      <c r="Z538" s="91"/>
    </row>
    <row r="539" spans="2:26" ht="20.45" customHeight="1">
      <c r="B539" s="13"/>
      <c r="G539" s="3"/>
      <c r="J539" s="3"/>
      <c r="X539" s="13"/>
      <c r="Y539" s="13"/>
      <c r="Z539" s="91"/>
    </row>
    <row r="540" spans="2:26" ht="20.45" customHeight="1">
      <c r="B540" s="13"/>
      <c r="G540" s="3"/>
      <c r="J540" s="3"/>
      <c r="X540" s="13"/>
      <c r="Y540" s="13"/>
      <c r="Z540" s="91"/>
    </row>
    <row r="541" spans="2:26" ht="20.45" customHeight="1">
      <c r="B541" s="13"/>
      <c r="G541" s="3"/>
      <c r="J541" s="3"/>
      <c r="X541" s="13"/>
      <c r="Y541" s="13"/>
      <c r="Z541" s="91"/>
    </row>
    <row r="542" spans="2:26" ht="20.45" customHeight="1">
      <c r="B542" s="13"/>
      <c r="G542" s="3"/>
      <c r="J542" s="3"/>
      <c r="X542" s="13"/>
      <c r="Y542" s="13"/>
      <c r="Z542" s="91"/>
    </row>
    <row r="543" spans="2:26" ht="20.45" customHeight="1">
      <c r="B543" s="13"/>
      <c r="G543" s="3"/>
      <c r="J543" s="3"/>
      <c r="X543" s="13"/>
      <c r="Y543" s="13"/>
      <c r="Z543" s="91"/>
    </row>
    <row r="544" spans="2:26" ht="20.45" customHeight="1">
      <c r="B544" s="13"/>
      <c r="G544" s="3"/>
      <c r="J544" s="3"/>
      <c r="X544" s="13"/>
      <c r="Y544" s="13"/>
      <c r="Z544" s="91"/>
    </row>
    <row r="545" spans="2:26" ht="20.45" customHeight="1">
      <c r="B545" s="13"/>
      <c r="G545" s="3"/>
      <c r="J545" s="3"/>
      <c r="X545" s="13"/>
      <c r="Y545" s="13"/>
      <c r="Z545" s="91"/>
    </row>
    <row r="546" spans="2:26" ht="20.45" customHeight="1">
      <c r="B546" s="13"/>
      <c r="G546" s="3"/>
      <c r="J546" s="3"/>
      <c r="X546" s="13"/>
      <c r="Y546" s="13"/>
      <c r="Z546" s="91"/>
    </row>
    <row r="547" spans="2:26" ht="20.45" customHeight="1">
      <c r="B547" s="13"/>
      <c r="G547" s="3"/>
      <c r="J547" s="3"/>
      <c r="X547" s="13"/>
      <c r="Y547" s="13"/>
      <c r="Z547" s="91"/>
    </row>
    <row r="548" spans="2:26" ht="20.45" customHeight="1">
      <c r="B548" s="13"/>
      <c r="G548" s="3"/>
      <c r="J548" s="3"/>
      <c r="X548" s="13"/>
      <c r="Y548" s="13"/>
      <c r="Z548" s="91"/>
    </row>
    <row r="549" spans="2:26" ht="20.45" customHeight="1">
      <c r="B549" s="13"/>
      <c r="G549" s="3"/>
      <c r="J549" s="3"/>
      <c r="X549" s="13"/>
      <c r="Y549" s="13"/>
      <c r="Z549" s="91"/>
    </row>
    <row r="550" spans="2:26" ht="20.45" customHeight="1">
      <c r="B550" s="13"/>
      <c r="G550" s="3"/>
      <c r="J550" s="3"/>
      <c r="X550" s="13"/>
      <c r="Y550" s="13"/>
      <c r="Z550" s="91"/>
    </row>
    <row r="551" spans="2:26" ht="20.45" customHeight="1">
      <c r="B551" s="13"/>
      <c r="G551" s="3"/>
      <c r="J551" s="3"/>
      <c r="X551" s="13"/>
      <c r="Y551" s="13"/>
      <c r="Z551" s="91"/>
    </row>
    <row r="552" spans="2:26" ht="20.45" customHeight="1">
      <c r="B552" s="13"/>
      <c r="G552" s="3"/>
      <c r="J552" s="3"/>
      <c r="X552" s="13"/>
      <c r="Y552" s="13"/>
      <c r="Z552" s="91"/>
    </row>
    <row r="553" spans="2:26" ht="20.45" customHeight="1">
      <c r="B553" s="13"/>
      <c r="G553" s="3"/>
      <c r="J553" s="3"/>
      <c r="X553" s="13"/>
      <c r="Y553" s="13"/>
      <c r="Z553" s="91"/>
    </row>
    <row r="554" spans="2:26" ht="20.45" customHeight="1">
      <c r="B554" s="13"/>
      <c r="G554" s="3"/>
      <c r="J554" s="3"/>
      <c r="X554" s="13"/>
      <c r="Y554" s="13"/>
      <c r="Z554" s="91"/>
    </row>
    <row r="555" spans="2:26" ht="20.45" customHeight="1">
      <c r="B555" s="13"/>
      <c r="G555" s="3"/>
      <c r="J555" s="3"/>
      <c r="X555" s="13"/>
      <c r="Y555" s="13"/>
      <c r="Z555" s="91"/>
    </row>
    <row r="556" spans="2:26" ht="20.45" customHeight="1">
      <c r="B556" s="13"/>
      <c r="G556" s="3"/>
      <c r="J556" s="3"/>
      <c r="X556" s="13"/>
      <c r="Y556" s="13"/>
      <c r="Z556" s="91"/>
    </row>
    <row r="557" spans="2:26" ht="20.45" customHeight="1">
      <c r="B557" s="13"/>
      <c r="G557" s="3"/>
      <c r="J557" s="3"/>
      <c r="X557" s="13"/>
      <c r="Y557" s="13"/>
      <c r="Z557" s="91"/>
    </row>
    <row r="558" spans="2:26" ht="20.45" customHeight="1">
      <c r="B558" s="13"/>
      <c r="G558" s="3"/>
      <c r="J558" s="3"/>
      <c r="X558" s="13"/>
      <c r="Y558" s="13"/>
      <c r="Z558" s="91"/>
    </row>
    <row r="559" spans="2:26" ht="20.45" customHeight="1">
      <c r="B559" s="13"/>
      <c r="G559" s="3"/>
      <c r="J559" s="3"/>
      <c r="X559" s="13"/>
      <c r="Y559" s="13"/>
      <c r="Z559" s="91"/>
    </row>
    <row r="560" spans="2:26" ht="20.45" customHeight="1">
      <c r="B560" s="13"/>
      <c r="G560" s="3"/>
      <c r="J560" s="3"/>
      <c r="X560" s="13"/>
      <c r="Y560" s="13"/>
      <c r="Z560" s="91"/>
    </row>
    <row r="561" spans="2:26" ht="20.45" customHeight="1">
      <c r="B561" s="13"/>
      <c r="G561" s="3"/>
      <c r="J561" s="3"/>
      <c r="X561" s="13"/>
      <c r="Y561" s="13"/>
      <c r="Z561" s="91"/>
    </row>
    <row r="562" spans="2:26" ht="20.45" customHeight="1">
      <c r="B562" s="13"/>
      <c r="G562" s="3"/>
      <c r="J562" s="3"/>
      <c r="X562" s="13"/>
      <c r="Y562" s="13"/>
      <c r="Z562" s="91"/>
    </row>
    <row r="563" spans="2:26" ht="20.45" customHeight="1">
      <c r="B563" s="13"/>
      <c r="G563" s="3"/>
      <c r="J563" s="3"/>
      <c r="X563" s="13"/>
      <c r="Y563" s="13"/>
      <c r="Z563" s="91"/>
    </row>
    <row r="564" spans="2:26" ht="20.45" customHeight="1">
      <c r="B564" s="13"/>
      <c r="G564" s="3"/>
      <c r="J564" s="3"/>
      <c r="X564" s="13"/>
      <c r="Y564" s="13"/>
      <c r="Z564" s="91"/>
    </row>
    <row r="565" spans="2:26" ht="20.45" customHeight="1">
      <c r="B565" s="13"/>
      <c r="G565" s="3"/>
      <c r="J565" s="3"/>
      <c r="X565" s="13"/>
      <c r="Y565" s="13"/>
      <c r="Z565" s="91"/>
    </row>
    <row r="566" spans="2:26" ht="20.45" customHeight="1">
      <c r="B566" s="13"/>
      <c r="G566" s="3"/>
      <c r="J566" s="3"/>
      <c r="X566" s="13"/>
      <c r="Y566" s="13"/>
      <c r="Z566" s="91"/>
    </row>
    <row r="567" spans="2:26" ht="20.45" customHeight="1">
      <c r="B567" s="13"/>
      <c r="G567" s="3"/>
      <c r="J567" s="3"/>
      <c r="X567" s="13"/>
      <c r="Y567" s="13"/>
      <c r="Z567" s="91"/>
    </row>
    <row r="568" spans="2:26" ht="20.45" customHeight="1">
      <c r="B568" s="13"/>
      <c r="G568" s="3"/>
      <c r="J568" s="3"/>
      <c r="X568" s="13"/>
      <c r="Y568" s="13"/>
      <c r="Z568" s="91"/>
    </row>
    <row r="569" spans="2:26" ht="20.45" customHeight="1">
      <c r="B569" s="13"/>
      <c r="G569" s="3"/>
      <c r="J569" s="3"/>
      <c r="X569" s="13"/>
      <c r="Y569" s="13"/>
      <c r="Z569" s="91"/>
    </row>
    <row r="570" spans="2:26" ht="20.45" customHeight="1">
      <c r="B570" s="13"/>
      <c r="G570" s="3"/>
      <c r="J570" s="3"/>
      <c r="X570" s="13"/>
      <c r="Y570" s="13"/>
      <c r="Z570" s="91"/>
    </row>
    <row r="571" spans="2:26" ht="20.45" customHeight="1">
      <c r="B571" s="13"/>
      <c r="G571" s="3"/>
      <c r="J571" s="3"/>
      <c r="X571" s="13"/>
      <c r="Y571" s="13"/>
      <c r="Z571" s="91"/>
    </row>
    <row r="572" spans="2:26" ht="20.45" customHeight="1">
      <c r="B572" s="13"/>
      <c r="G572" s="3"/>
      <c r="J572" s="3"/>
      <c r="X572" s="13"/>
      <c r="Y572" s="13"/>
      <c r="Z572" s="91"/>
    </row>
    <row r="573" spans="2:26" ht="20.45" customHeight="1">
      <c r="B573" s="13"/>
      <c r="G573" s="3"/>
      <c r="J573" s="3"/>
      <c r="X573" s="13"/>
      <c r="Y573" s="13"/>
      <c r="Z573" s="91"/>
    </row>
    <row r="574" spans="2:26" ht="20.45" customHeight="1">
      <c r="B574" s="13"/>
      <c r="G574" s="3"/>
      <c r="J574" s="3"/>
      <c r="X574" s="13"/>
      <c r="Y574" s="13"/>
      <c r="Z574" s="91"/>
    </row>
    <row r="575" spans="2:26" ht="20.45" customHeight="1">
      <c r="B575" s="13"/>
      <c r="G575" s="3"/>
      <c r="J575" s="3"/>
      <c r="X575" s="13"/>
      <c r="Y575" s="13"/>
      <c r="Z575" s="91"/>
    </row>
    <row r="576" spans="2:26" ht="20.45" customHeight="1">
      <c r="B576" s="13"/>
      <c r="G576" s="3"/>
      <c r="J576" s="3"/>
      <c r="X576" s="13"/>
      <c r="Y576" s="13"/>
      <c r="Z576" s="91"/>
    </row>
    <row r="577" spans="2:26" ht="20.45" customHeight="1">
      <c r="B577" s="13"/>
      <c r="G577" s="3"/>
      <c r="J577" s="3"/>
      <c r="X577" s="13"/>
      <c r="Y577" s="13"/>
      <c r="Z577" s="91"/>
    </row>
    <row r="578" spans="2:26" ht="20.45" customHeight="1">
      <c r="B578" s="13"/>
      <c r="G578" s="3"/>
      <c r="J578" s="3"/>
      <c r="X578" s="13"/>
      <c r="Y578" s="13"/>
      <c r="Z578" s="91"/>
    </row>
    <row r="579" spans="2:26" ht="20.45" customHeight="1">
      <c r="B579" s="13"/>
      <c r="G579" s="3"/>
      <c r="J579" s="3"/>
      <c r="X579" s="13"/>
      <c r="Y579" s="13"/>
      <c r="Z579" s="91"/>
    </row>
    <row r="580" spans="2:26" ht="20.45" customHeight="1">
      <c r="B580" s="13"/>
      <c r="G580" s="3"/>
      <c r="J580" s="3"/>
      <c r="X580" s="13"/>
      <c r="Y580" s="13"/>
      <c r="Z580" s="91"/>
    </row>
    <row r="581" spans="2:26" ht="20.45" customHeight="1">
      <c r="B581" s="13"/>
      <c r="G581" s="3"/>
      <c r="J581" s="3"/>
      <c r="X581" s="13"/>
      <c r="Y581" s="13"/>
      <c r="Z581" s="91"/>
    </row>
    <row r="582" spans="2:26" ht="20.45" customHeight="1">
      <c r="B582" s="13"/>
      <c r="G582" s="3"/>
      <c r="J582" s="3"/>
      <c r="X582" s="13"/>
      <c r="Y582" s="13"/>
      <c r="Z582" s="91"/>
    </row>
    <row r="583" spans="2:26" ht="20.45" customHeight="1">
      <c r="B583" s="13"/>
      <c r="G583" s="3"/>
      <c r="J583" s="3"/>
      <c r="X583" s="13"/>
      <c r="Y583" s="13"/>
      <c r="Z583" s="91"/>
    </row>
    <row r="584" spans="2:26" ht="20.45" customHeight="1">
      <c r="B584" s="13"/>
      <c r="G584" s="3"/>
      <c r="J584" s="3"/>
      <c r="X584" s="13"/>
      <c r="Y584" s="13"/>
      <c r="Z584" s="91"/>
    </row>
    <row r="585" spans="2:26" ht="20.45" customHeight="1">
      <c r="B585" s="13"/>
      <c r="G585" s="3"/>
      <c r="J585" s="3"/>
      <c r="X585" s="13"/>
      <c r="Y585" s="13"/>
      <c r="Z585" s="91"/>
    </row>
    <row r="586" spans="2:26" ht="20.45" customHeight="1">
      <c r="B586" s="13"/>
      <c r="G586" s="3"/>
      <c r="J586" s="3"/>
      <c r="X586" s="13"/>
      <c r="Y586" s="13"/>
      <c r="Z586" s="91"/>
    </row>
    <row r="587" spans="2:26" ht="20.45" customHeight="1">
      <c r="B587" s="13"/>
      <c r="G587" s="3"/>
      <c r="J587" s="3"/>
      <c r="X587" s="13"/>
      <c r="Y587" s="13"/>
      <c r="Z587" s="91"/>
    </row>
    <row r="588" spans="2:26" ht="20.45" customHeight="1">
      <c r="B588" s="13"/>
      <c r="G588" s="3"/>
      <c r="J588" s="3"/>
      <c r="X588" s="13"/>
      <c r="Y588" s="13"/>
      <c r="Z588" s="91"/>
    </row>
    <row r="589" spans="2:26" ht="20.45" customHeight="1">
      <c r="B589" s="13"/>
      <c r="G589" s="3"/>
      <c r="J589" s="3"/>
      <c r="X589" s="13"/>
      <c r="Y589" s="13"/>
      <c r="Z589" s="91"/>
    </row>
    <row r="590" spans="2:26" ht="20.45" customHeight="1">
      <c r="B590" s="13"/>
      <c r="G590" s="3"/>
      <c r="J590" s="3"/>
      <c r="X590" s="13"/>
      <c r="Y590" s="13"/>
      <c r="Z590" s="91"/>
    </row>
    <row r="591" spans="2:26" ht="20.45" customHeight="1">
      <c r="B591" s="13"/>
      <c r="G591" s="3"/>
      <c r="J591" s="3"/>
      <c r="X591" s="13"/>
      <c r="Y591" s="13"/>
      <c r="Z591" s="91"/>
    </row>
    <row r="592" spans="2:26" ht="20.45" customHeight="1">
      <c r="B592" s="13"/>
      <c r="G592" s="3"/>
      <c r="J592" s="3"/>
      <c r="X592" s="13"/>
      <c r="Y592" s="13"/>
      <c r="Z592" s="91"/>
    </row>
    <row r="593" spans="2:26" ht="20.45" customHeight="1">
      <c r="B593" s="13"/>
      <c r="G593" s="3"/>
      <c r="J593" s="3"/>
      <c r="X593" s="13"/>
      <c r="Y593" s="13"/>
      <c r="Z593" s="91"/>
    </row>
    <row r="594" spans="2:26" ht="20.45" customHeight="1">
      <c r="B594" s="13"/>
      <c r="G594" s="3"/>
      <c r="J594" s="3"/>
      <c r="X594" s="13"/>
      <c r="Y594" s="13"/>
      <c r="Z594" s="91"/>
    </row>
    <row r="595" spans="2:26" ht="20.45" customHeight="1">
      <c r="B595" s="13"/>
      <c r="G595" s="3"/>
      <c r="J595" s="3"/>
      <c r="X595" s="13"/>
      <c r="Y595" s="13"/>
      <c r="Z595" s="91"/>
    </row>
    <row r="596" spans="2:26" ht="20.45" customHeight="1">
      <c r="B596" s="13"/>
      <c r="G596" s="3"/>
      <c r="J596" s="3"/>
      <c r="X596" s="13"/>
      <c r="Y596" s="13"/>
      <c r="Z596" s="91"/>
    </row>
    <row r="597" spans="2:26" ht="20.45" customHeight="1">
      <c r="B597" s="13"/>
      <c r="G597" s="3"/>
      <c r="J597" s="3"/>
      <c r="X597" s="13"/>
      <c r="Y597" s="13"/>
      <c r="Z597" s="91"/>
    </row>
    <row r="598" spans="2:26" ht="20.45" customHeight="1">
      <c r="B598" s="13"/>
      <c r="G598" s="3"/>
      <c r="J598" s="3"/>
      <c r="X598" s="13"/>
      <c r="Y598" s="13"/>
      <c r="Z598" s="91"/>
    </row>
    <row r="599" spans="2:26" ht="20.45" customHeight="1">
      <c r="B599" s="13"/>
      <c r="G599" s="3"/>
      <c r="J599" s="3"/>
      <c r="X599" s="13"/>
      <c r="Y599" s="13"/>
      <c r="Z599" s="91"/>
    </row>
    <row r="600" spans="2:26" ht="20.45" customHeight="1">
      <c r="B600" s="13"/>
      <c r="G600" s="3"/>
      <c r="J600" s="3"/>
      <c r="X600" s="13"/>
      <c r="Y600" s="13"/>
      <c r="Z600" s="91"/>
    </row>
    <row r="601" spans="2:26" ht="20.45" customHeight="1">
      <c r="B601" s="13"/>
      <c r="G601" s="3"/>
      <c r="J601" s="3"/>
      <c r="X601" s="13"/>
      <c r="Y601" s="13"/>
      <c r="Z601" s="91"/>
    </row>
    <row r="602" spans="2:26" ht="20.45" customHeight="1">
      <c r="B602" s="13"/>
      <c r="G602" s="3"/>
      <c r="J602" s="3"/>
      <c r="X602" s="13"/>
      <c r="Y602" s="13"/>
      <c r="Z602" s="91"/>
    </row>
    <row r="603" spans="2:26" ht="20.45" customHeight="1">
      <c r="B603" s="13"/>
      <c r="G603" s="3"/>
      <c r="J603" s="3"/>
      <c r="X603" s="13"/>
      <c r="Y603" s="13"/>
      <c r="Z603" s="91"/>
    </row>
    <row r="604" spans="2:26" ht="20.45" customHeight="1">
      <c r="B604" s="13"/>
      <c r="G604" s="3"/>
      <c r="J604" s="3"/>
      <c r="X604" s="13"/>
      <c r="Y604" s="13"/>
      <c r="Z604" s="91"/>
    </row>
    <row r="605" spans="2:26" ht="20.45" customHeight="1">
      <c r="B605" s="13"/>
      <c r="G605" s="3"/>
      <c r="J605" s="3"/>
      <c r="X605" s="13"/>
      <c r="Y605" s="13"/>
      <c r="Z605" s="91"/>
    </row>
    <row r="606" spans="2:26" ht="20.45" customHeight="1">
      <c r="B606" s="13"/>
      <c r="G606" s="3"/>
      <c r="J606" s="3"/>
      <c r="X606" s="13"/>
      <c r="Y606" s="13"/>
      <c r="Z606" s="91"/>
    </row>
    <row r="607" spans="2:26" ht="20.45" customHeight="1">
      <c r="B607" s="13"/>
      <c r="G607" s="3"/>
      <c r="J607" s="3"/>
      <c r="X607" s="13"/>
      <c r="Y607" s="13"/>
      <c r="Z607" s="91"/>
    </row>
    <row r="608" spans="2:26" ht="20.45" customHeight="1">
      <c r="B608" s="13"/>
      <c r="G608" s="3"/>
      <c r="J608" s="3"/>
      <c r="X608" s="13"/>
      <c r="Y608" s="13"/>
      <c r="Z608" s="91"/>
    </row>
    <row r="609" spans="2:26" ht="20.45" customHeight="1">
      <c r="B609" s="13"/>
      <c r="G609" s="3"/>
      <c r="J609" s="3"/>
      <c r="X609" s="13"/>
      <c r="Y609" s="13"/>
      <c r="Z609" s="91"/>
    </row>
    <row r="610" spans="2:26" ht="20.45" customHeight="1">
      <c r="B610" s="13"/>
      <c r="G610" s="3"/>
      <c r="J610" s="3"/>
      <c r="X610" s="13"/>
      <c r="Y610" s="13"/>
      <c r="Z610" s="91"/>
    </row>
    <row r="611" spans="2:26" ht="20.45" customHeight="1">
      <c r="B611" s="13"/>
      <c r="G611" s="3"/>
      <c r="J611" s="3"/>
      <c r="X611" s="13"/>
      <c r="Y611" s="13"/>
      <c r="Z611" s="91"/>
    </row>
    <row r="612" spans="2:26" ht="20.45" customHeight="1">
      <c r="B612" s="13"/>
      <c r="G612" s="3"/>
      <c r="J612" s="3"/>
      <c r="X612" s="13"/>
      <c r="Y612" s="13"/>
      <c r="Z612" s="91"/>
    </row>
    <row r="613" spans="2:26" ht="20.45" customHeight="1">
      <c r="B613" s="13"/>
      <c r="G613" s="3"/>
      <c r="J613" s="3"/>
      <c r="X613" s="13"/>
      <c r="Y613" s="13"/>
      <c r="Z613" s="91"/>
    </row>
    <row r="614" spans="2:26" ht="20.45" customHeight="1">
      <c r="B614" s="13"/>
      <c r="G614" s="3"/>
      <c r="J614" s="3"/>
      <c r="X614" s="13"/>
      <c r="Y614" s="13"/>
      <c r="Z614" s="91"/>
    </row>
    <row r="615" spans="2:26" ht="20.45" customHeight="1">
      <c r="B615" s="13"/>
      <c r="G615" s="3"/>
      <c r="J615" s="3"/>
      <c r="X615" s="13"/>
      <c r="Y615" s="13"/>
      <c r="Z615" s="91"/>
    </row>
    <row r="616" spans="2:26" ht="20.45" customHeight="1">
      <c r="B616" s="13"/>
      <c r="G616" s="3"/>
      <c r="J616" s="3"/>
      <c r="X616" s="13"/>
      <c r="Y616" s="13"/>
      <c r="Z616" s="91"/>
    </row>
    <row r="617" spans="2:26" ht="20.45" customHeight="1">
      <c r="B617" s="13"/>
      <c r="G617" s="3"/>
      <c r="J617" s="3"/>
      <c r="X617" s="13"/>
      <c r="Y617" s="13"/>
      <c r="Z617" s="91"/>
    </row>
    <row r="618" spans="2:26" ht="20.45" customHeight="1">
      <c r="B618" s="13"/>
      <c r="G618" s="3"/>
      <c r="J618" s="3"/>
      <c r="X618" s="13"/>
      <c r="Y618" s="13"/>
      <c r="Z618" s="91"/>
    </row>
    <row r="619" spans="2:26" ht="20.45" customHeight="1">
      <c r="B619" s="13"/>
      <c r="G619" s="3"/>
      <c r="J619" s="3"/>
      <c r="X619" s="13"/>
      <c r="Y619" s="13"/>
      <c r="Z619" s="91"/>
    </row>
    <row r="620" spans="2:26" ht="20.45" customHeight="1">
      <c r="B620" s="13"/>
      <c r="G620" s="3"/>
      <c r="J620" s="3"/>
      <c r="X620" s="13"/>
      <c r="Y620" s="13"/>
      <c r="Z620" s="91"/>
    </row>
    <row r="621" spans="2:26" ht="20.45" customHeight="1">
      <c r="B621" s="13"/>
      <c r="G621" s="3"/>
      <c r="J621" s="3"/>
      <c r="X621" s="13"/>
      <c r="Y621" s="13"/>
      <c r="Z621" s="91"/>
    </row>
    <row r="622" spans="2:26" ht="20.45" customHeight="1">
      <c r="B622" s="13"/>
      <c r="G622" s="3"/>
      <c r="J622" s="3"/>
      <c r="X622" s="13"/>
      <c r="Y622" s="13"/>
      <c r="Z622" s="91"/>
    </row>
    <row r="623" spans="2:26" ht="20.45" customHeight="1">
      <c r="B623" s="13"/>
      <c r="G623" s="3"/>
      <c r="J623" s="3"/>
      <c r="X623" s="13"/>
      <c r="Y623" s="13"/>
      <c r="Z623" s="91"/>
    </row>
    <row r="624" spans="2:26" ht="20.45" customHeight="1">
      <c r="B624" s="13"/>
      <c r="G624" s="3"/>
      <c r="J624" s="3"/>
      <c r="X624" s="13"/>
      <c r="Y624" s="13"/>
      <c r="Z624" s="91"/>
    </row>
    <row r="625" spans="2:26" ht="20.45" customHeight="1">
      <c r="B625" s="13"/>
      <c r="G625" s="3"/>
      <c r="J625" s="3"/>
      <c r="X625" s="13"/>
      <c r="Y625" s="13"/>
      <c r="Z625" s="91"/>
    </row>
    <row r="626" spans="2:26" ht="20.45" customHeight="1">
      <c r="B626" s="13"/>
      <c r="G626" s="3"/>
      <c r="J626" s="3"/>
      <c r="X626" s="13"/>
      <c r="Y626" s="13"/>
      <c r="Z626" s="91"/>
    </row>
    <row r="627" spans="2:26" ht="20.45" customHeight="1">
      <c r="B627" s="13"/>
      <c r="G627" s="3"/>
      <c r="J627" s="3"/>
      <c r="X627" s="13"/>
      <c r="Y627" s="13"/>
      <c r="Z627" s="91"/>
    </row>
    <row r="628" spans="2:26" ht="20.45" customHeight="1">
      <c r="B628" s="13"/>
      <c r="G628" s="3"/>
      <c r="J628" s="3"/>
      <c r="X628" s="13"/>
      <c r="Y628" s="13"/>
      <c r="Z628" s="91"/>
    </row>
    <row r="629" spans="2:26" ht="20.45" customHeight="1">
      <c r="B629" s="13"/>
      <c r="G629" s="3"/>
      <c r="J629" s="3"/>
      <c r="X629" s="13"/>
      <c r="Y629" s="13"/>
      <c r="Z629" s="91"/>
    </row>
    <row r="630" spans="2:26" ht="20.45" customHeight="1">
      <c r="B630" s="13"/>
      <c r="G630" s="3"/>
      <c r="J630" s="3"/>
      <c r="X630" s="13"/>
      <c r="Y630" s="13"/>
      <c r="Z630" s="91"/>
    </row>
    <row r="631" spans="2:26" ht="20.45" customHeight="1">
      <c r="B631" s="13"/>
      <c r="G631" s="3"/>
      <c r="J631" s="3"/>
      <c r="X631" s="13"/>
      <c r="Y631" s="13"/>
      <c r="Z631" s="91"/>
    </row>
    <row r="632" spans="2:26" ht="20.45" customHeight="1">
      <c r="B632" s="13"/>
      <c r="G632" s="3"/>
      <c r="J632" s="3"/>
      <c r="X632" s="13"/>
      <c r="Y632" s="13"/>
      <c r="Z632" s="91"/>
    </row>
    <row r="633" spans="2:26" ht="20.45" customHeight="1">
      <c r="B633" s="13"/>
      <c r="G633" s="3"/>
      <c r="J633" s="3"/>
      <c r="X633" s="13"/>
      <c r="Y633" s="13"/>
      <c r="Z633" s="91"/>
    </row>
    <row r="634" spans="2:26" ht="20.45" customHeight="1">
      <c r="B634" s="13"/>
      <c r="G634" s="3"/>
      <c r="J634" s="3"/>
      <c r="X634" s="13"/>
      <c r="Y634" s="13"/>
      <c r="Z634" s="91"/>
    </row>
    <row r="635" spans="2:26" ht="20.45" customHeight="1">
      <c r="B635" s="13"/>
      <c r="G635" s="3"/>
      <c r="J635" s="3"/>
      <c r="X635" s="13"/>
      <c r="Y635" s="13"/>
      <c r="Z635" s="91"/>
    </row>
    <row r="636" spans="2:26" ht="20.45" customHeight="1">
      <c r="B636" s="13"/>
      <c r="G636" s="3"/>
      <c r="J636" s="3"/>
      <c r="X636" s="13"/>
      <c r="Y636" s="13"/>
      <c r="Z636" s="91"/>
    </row>
    <row r="637" spans="2:26" ht="20.45" customHeight="1">
      <c r="B637" s="13"/>
      <c r="G637" s="3"/>
      <c r="J637" s="3"/>
      <c r="X637" s="13"/>
      <c r="Y637" s="13"/>
      <c r="Z637" s="91"/>
    </row>
    <row r="638" spans="2:26" ht="20.45" customHeight="1">
      <c r="B638" s="13"/>
      <c r="G638" s="3"/>
      <c r="J638" s="3"/>
      <c r="X638" s="13"/>
      <c r="Y638" s="13"/>
      <c r="Z638" s="91"/>
    </row>
    <row r="639" spans="2:26" ht="20.45" customHeight="1">
      <c r="B639" s="13"/>
      <c r="G639" s="3"/>
      <c r="J639" s="3"/>
      <c r="X639" s="13"/>
      <c r="Y639" s="13"/>
      <c r="Z639" s="91"/>
    </row>
    <row r="640" spans="2:26" ht="20.45" customHeight="1">
      <c r="B640" s="13"/>
      <c r="G640" s="3"/>
      <c r="J640" s="3"/>
      <c r="X640" s="13"/>
      <c r="Y640" s="13"/>
      <c r="Z640" s="91"/>
    </row>
    <row r="641" spans="2:26" ht="20.45" customHeight="1">
      <c r="B641" s="13"/>
      <c r="G641" s="3"/>
      <c r="J641" s="3"/>
      <c r="X641" s="13"/>
      <c r="Y641" s="13"/>
      <c r="Z641" s="91"/>
    </row>
    <row r="642" spans="2:26" ht="20.45" customHeight="1">
      <c r="B642" s="13"/>
      <c r="G642" s="3"/>
      <c r="J642" s="3"/>
      <c r="X642" s="13"/>
      <c r="Y642" s="13"/>
      <c r="Z642" s="91"/>
    </row>
    <row r="643" spans="2:26" ht="20.45" customHeight="1">
      <c r="B643" s="13"/>
      <c r="G643" s="3"/>
      <c r="J643" s="3"/>
      <c r="X643" s="13"/>
      <c r="Y643" s="13"/>
      <c r="Z643" s="91"/>
    </row>
    <row r="644" spans="2:26" ht="20.45" customHeight="1">
      <c r="B644" s="13"/>
      <c r="G644" s="3"/>
      <c r="J644" s="3"/>
      <c r="X644" s="13"/>
      <c r="Y644" s="13"/>
      <c r="Z644" s="91"/>
    </row>
    <row r="645" spans="2:26" ht="20.45" customHeight="1">
      <c r="B645" s="13"/>
      <c r="G645" s="3"/>
      <c r="J645" s="3"/>
      <c r="X645" s="13"/>
      <c r="Y645" s="13"/>
      <c r="Z645" s="91"/>
    </row>
    <row r="646" spans="2:26" ht="20.45" customHeight="1">
      <c r="B646" s="13"/>
      <c r="G646" s="3"/>
      <c r="J646" s="3"/>
      <c r="X646" s="13"/>
      <c r="Y646" s="13"/>
      <c r="Z646" s="91"/>
    </row>
    <row r="647" spans="2:26" ht="20.45" customHeight="1">
      <c r="B647" s="13"/>
      <c r="G647" s="3"/>
      <c r="J647" s="3"/>
      <c r="X647" s="13"/>
      <c r="Y647" s="13"/>
      <c r="Z647" s="91"/>
    </row>
    <row r="648" spans="2:26" ht="20.45" customHeight="1">
      <c r="B648" s="13"/>
      <c r="G648" s="3"/>
      <c r="J648" s="3"/>
      <c r="X648" s="13"/>
      <c r="Y648" s="13"/>
      <c r="Z648" s="91"/>
    </row>
    <row r="649" spans="2:26" ht="20.45" customHeight="1">
      <c r="B649" s="13"/>
      <c r="G649" s="3"/>
      <c r="J649" s="3"/>
      <c r="X649" s="13"/>
      <c r="Y649" s="13"/>
      <c r="Z649" s="91"/>
    </row>
    <row r="650" spans="2:26" ht="20.45" customHeight="1">
      <c r="B650" s="13"/>
      <c r="G650" s="3"/>
      <c r="J650" s="3"/>
      <c r="X650" s="13"/>
      <c r="Y650" s="13"/>
      <c r="Z650" s="91"/>
    </row>
    <row r="651" spans="2:26" ht="20.45" customHeight="1">
      <c r="B651" s="13"/>
      <c r="G651" s="3"/>
      <c r="J651" s="3"/>
      <c r="X651" s="13"/>
      <c r="Y651" s="13"/>
      <c r="Z651" s="91"/>
    </row>
    <row r="652" spans="2:26" ht="20.45" customHeight="1">
      <c r="B652" s="13"/>
      <c r="G652" s="3"/>
      <c r="J652" s="3"/>
      <c r="X652" s="13"/>
      <c r="Y652" s="13"/>
      <c r="Z652" s="91"/>
    </row>
    <row r="653" spans="2:26" ht="20.45" customHeight="1">
      <c r="B653" s="13"/>
      <c r="G653" s="3"/>
      <c r="J653" s="3"/>
      <c r="X653" s="13"/>
      <c r="Y653" s="13"/>
      <c r="Z653" s="91"/>
    </row>
    <row r="654" spans="2:26" ht="20.45" customHeight="1">
      <c r="B654" s="13"/>
      <c r="G654" s="3"/>
      <c r="J654" s="3"/>
      <c r="X654" s="13"/>
      <c r="Y654" s="13"/>
      <c r="Z654" s="91"/>
    </row>
    <row r="655" spans="2:26" ht="20.45" customHeight="1">
      <c r="B655" s="13"/>
      <c r="G655" s="3"/>
      <c r="J655" s="3"/>
      <c r="X655" s="13"/>
      <c r="Y655" s="13"/>
      <c r="Z655" s="91"/>
    </row>
    <row r="656" spans="2:26" ht="20.45" customHeight="1">
      <c r="B656" s="13"/>
      <c r="G656" s="3"/>
      <c r="J656" s="3"/>
      <c r="X656" s="13"/>
      <c r="Y656" s="13"/>
      <c r="Z656" s="91"/>
    </row>
    <row r="657" spans="2:26" ht="20.45" customHeight="1">
      <c r="B657" s="13"/>
      <c r="G657" s="3"/>
      <c r="J657" s="3"/>
      <c r="X657" s="13"/>
      <c r="Y657" s="13"/>
      <c r="Z657" s="91"/>
    </row>
    <row r="658" spans="2:26" ht="20.45" customHeight="1">
      <c r="B658" s="13"/>
      <c r="G658" s="3"/>
      <c r="J658" s="3"/>
      <c r="X658" s="13"/>
      <c r="Y658" s="13"/>
      <c r="Z658" s="91"/>
    </row>
    <row r="659" spans="2:26" ht="20.45" customHeight="1">
      <c r="B659" s="13"/>
      <c r="G659" s="3"/>
      <c r="J659" s="3"/>
      <c r="X659" s="13"/>
      <c r="Y659" s="13"/>
      <c r="Z659" s="91"/>
    </row>
    <row r="660" spans="2:26" ht="20.45" customHeight="1">
      <c r="B660" s="13"/>
      <c r="G660" s="3"/>
      <c r="J660" s="3"/>
      <c r="X660" s="13"/>
      <c r="Y660" s="13"/>
      <c r="Z660" s="91"/>
    </row>
    <row r="661" spans="2:26" ht="20.45" customHeight="1">
      <c r="B661" s="13"/>
      <c r="G661" s="3"/>
      <c r="J661" s="3"/>
      <c r="X661" s="13"/>
      <c r="Y661" s="13"/>
      <c r="Z661" s="91"/>
    </row>
    <row r="662" spans="2:26" ht="20.45" customHeight="1">
      <c r="B662" s="13"/>
      <c r="G662" s="3"/>
      <c r="J662" s="3"/>
      <c r="X662" s="13"/>
      <c r="Y662" s="13"/>
      <c r="Z662" s="91"/>
    </row>
    <row r="663" spans="2:26" ht="20.45" customHeight="1">
      <c r="B663" s="13"/>
      <c r="G663" s="3"/>
      <c r="J663" s="3"/>
      <c r="X663" s="13"/>
      <c r="Y663" s="13"/>
      <c r="Z663" s="91"/>
    </row>
    <row r="664" spans="2:26" ht="20.45" customHeight="1">
      <c r="B664" s="13"/>
      <c r="G664" s="3"/>
      <c r="J664" s="3"/>
      <c r="X664" s="13"/>
      <c r="Y664" s="13"/>
      <c r="Z664" s="91"/>
    </row>
    <row r="665" spans="2:26" ht="20.45" customHeight="1">
      <c r="B665" s="13"/>
      <c r="G665" s="3"/>
      <c r="J665" s="3"/>
      <c r="X665" s="13"/>
      <c r="Y665" s="13"/>
      <c r="Z665" s="91"/>
    </row>
    <row r="666" spans="2:26" ht="20.45" customHeight="1">
      <c r="B666" s="13"/>
      <c r="G666" s="3"/>
      <c r="J666" s="3"/>
      <c r="X666" s="13"/>
      <c r="Y666" s="13"/>
      <c r="Z666" s="91"/>
    </row>
    <row r="667" spans="2:26" ht="20.45" customHeight="1">
      <c r="B667" s="13"/>
      <c r="G667" s="3"/>
      <c r="J667" s="3"/>
      <c r="X667" s="13"/>
      <c r="Y667" s="13"/>
      <c r="Z667" s="91"/>
    </row>
    <row r="668" spans="2:26" ht="20.45" customHeight="1">
      <c r="B668" s="13"/>
      <c r="G668" s="3"/>
      <c r="J668" s="3"/>
      <c r="X668" s="13"/>
      <c r="Y668" s="13"/>
      <c r="Z668" s="91"/>
    </row>
    <row r="669" spans="2:26" ht="20.45" customHeight="1">
      <c r="B669" s="13"/>
      <c r="G669" s="3"/>
      <c r="J669" s="3"/>
      <c r="X669" s="13"/>
      <c r="Y669" s="13"/>
      <c r="Z669" s="91"/>
    </row>
    <row r="670" spans="2:26" ht="20.45" customHeight="1">
      <c r="B670" s="13"/>
      <c r="G670" s="3"/>
      <c r="J670" s="3"/>
      <c r="X670" s="13"/>
      <c r="Y670" s="13"/>
      <c r="Z670" s="91"/>
    </row>
    <row r="671" spans="2:26" ht="20.45" customHeight="1">
      <c r="B671" s="13"/>
      <c r="G671" s="3"/>
      <c r="J671" s="3"/>
      <c r="X671" s="13"/>
      <c r="Y671" s="13"/>
      <c r="Z671" s="91"/>
    </row>
    <row r="672" spans="2:26" ht="20.45" customHeight="1">
      <c r="B672" s="13"/>
      <c r="G672" s="3"/>
      <c r="J672" s="3"/>
      <c r="X672" s="13"/>
      <c r="Y672" s="13"/>
      <c r="Z672" s="91"/>
    </row>
    <row r="673" spans="2:26" ht="20.45" customHeight="1">
      <c r="B673" s="13"/>
      <c r="G673" s="3"/>
      <c r="J673" s="3"/>
      <c r="X673" s="13"/>
      <c r="Y673" s="13"/>
      <c r="Z673" s="91"/>
    </row>
    <row r="674" spans="2:26" ht="20.45" customHeight="1">
      <c r="B674" s="13"/>
      <c r="G674" s="3"/>
      <c r="J674" s="3"/>
      <c r="X674" s="13"/>
      <c r="Y674" s="13"/>
      <c r="Z674" s="91"/>
    </row>
    <row r="675" spans="2:26" ht="20.45" customHeight="1">
      <c r="B675" s="13"/>
      <c r="G675" s="3"/>
      <c r="J675" s="3"/>
      <c r="X675" s="13"/>
      <c r="Y675" s="13"/>
      <c r="Z675" s="91"/>
    </row>
    <row r="676" spans="2:26" ht="20.45" customHeight="1">
      <c r="B676" s="13"/>
      <c r="G676" s="3"/>
      <c r="J676" s="3"/>
      <c r="X676" s="13"/>
      <c r="Y676" s="13"/>
      <c r="Z676" s="91"/>
    </row>
    <row r="677" spans="2:26" ht="20.45" customHeight="1">
      <c r="B677" s="13"/>
      <c r="G677" s="3"/>
      <c r="J677" s="3"/>
      <c r="X677" s="13"/>
      <c r="Y677" s="13"/>
      <c r="Z677" s="91"/>
    </row>
    <row r="678" spans="2:26" ht="20.45" customHeight="1">
      <c r="B678" s="13"/>
      <c r="G678" s="3"/>
      <c r="J678" s="3"/>
      <c r="X678" s="13"/>
      <c r="Y678" s="13"/>
      <c r="Z678" s="91"/>
    </row>
    <row r="679" spans="2:26" ht="20.45" customHeight="1">
      <c r="B679" s="13"/>
      <c r="G679" s="3"/>
      <c r="J679" s="3"/>
      <c r="X679" s="13"/>
      <c r="Y679" s="13"/>
      <c r="Z679" s="91"/>
    </row>
    <row r="680" spans="2:26" ht="20.45" customHeight="1">
      <c r="B680" s="13"/>
      <c r="G680" s="3"/>
      <c r="J680" s="3"/>
      <c r="X680" s="13"/>
      <c r="Y680" s="13"/>
      <c r="Z680" s="91"/>
    </row>
    <row r="681" spans="2:26" ht="20.45" customHeight="1">
      <c r="B681" s="13"/>
      <c r="G681" s="3"/>
      <c r="J681" s="3"/>
      <c r="X681" s="13"/>
      <c r="Y681" s="13"/>
      <c r="Z681" s="91"/>
    </row>
    <row r="682" spans="2:26" ht="20.45" customHeight="1">
      <c r="B682" s="13"/>
      <c r="G682" s="3"/>
      <c r="J682" s="3"/>
      <c r="X682" s="13"/>
      <c r="Y682" s="13"/>
      <c r="Z682" s="91"/>
    </row>
    <row r="683" spans="2:26" ht="20.45" customHeight="1">
      <c r="B683" s="13"/>
      <c r="G683" s="3"/>
      <c r="J683" s="3"/>
      <c r="X683" s="13"/>
      <c r="Y683" s="13"/>
      <c r="Z683" s="91"/>
    </row>
    <row r="684" spans="2:26" ht="20.45" customHeight="1">
      <c r="B684" s="13"/>
      <c r="G684" s="3"/>
      <c r="J684" s="3"/>
      <c r="X684" s="13"/>
      <c r="Y684" s="13"/>
      <c r="Z684" s="91"/>
    </row>
    <row r="685" spans="2:26" ht="20.45" customHeight="1">
      <c r="B685" s="13"/>
      <c r="G685" s="3"/>
      <c r="J685" s="3"/>
      <c r="X685" s="13"/>
      <c r="Y685" s="13"/>
      <c r="Z685" s="91"/>
    </row>
    <row r="686" spans="2:26" ht="20.45" customHeight="1">
      <c r="B686" s="13"/>
      <c r="G686" s="3"/>
      <c r="J686" s="3"/>
      <c r="X686" s="13"/>
      <c r="Y686" s="13"/>
      <c r="Z686" s="91"/>
    </row>
    <row r="687" spans="2:26" ht="20.45" customHeight="1">
      <c r="B687" s="13"/>
      <c r="G687" s="3"/>
      <c r="J687" s="3"/>
      <c r="X687" s="13"/>
      <c r="Y687" s="13"/>
      <c r="Z687" s="91"/>
    </row>
    <row r="688" spans="2:26" ht="20.45" customHeight="1">
      <c r="B688" s="13"/>
      <c r="G688" s="3"/>
      <c r="J688" s="3"/>
      <c r="X688" s="13"/>
      <c r="Y688" s="13"/>
      <c r="Z688" s="91"/>
    </row>
    <row r="689" spans="2:26" ht="20.45" customHeight="1">
      <c r="B689" s="13"/>
      <c r="G689" s="3"/>
      <c r="J689" s="3"/>
      <c r="X689" s="13"/>
      <c r="Y689" s="13"/>
      <c r="Z689" s="91"/>
    </row>
    <row r="690" spans="2:26" ht="20.45" customHeight="1">
      <c r="B690" s="13"/>
      <c r="G690" s="3"/>
      <c r="J690" s="3"/>
      <c r="X690" s="13"/>
      <c r="Y690" s="13"/>
      <c r="Z690" s="91"/>
    </row>
    <row r="691" spans="2:26" ht="20.45" customHeight="1">
      <c r="B691" s="13"/>
      <c r="G691" s="3"/>
      <c r="J691" s="3"/>
      <c r="X691" s="13"/>
      <c r="Y691" s="13"/>
      <c r="Z691" s="91"/>
    </row>
    <row r="692" spans="2:26" ht="20.45" customHeight="1">
      <c r="B692" s="13"/>
      <c r="G692" s="3"/>
      <c r="J692" s="3"/>
      <c r="X692" s="13"/>
      <c r="Y692" s="13"/>
      <c r="Z692" s="91"/>
    </row>
    <row r="693" spans="2:26" ht="20.45" customHeight="1">
      <c r="B693" s="13"/>
      <c r="G693" s="3"/>
      <c r="J693" s="3"/>
      <c r="X693" s="13"/>
      <c r="Y693" s="13"/>
      <c r="Z693" s="91"/>
    </row>
    <row r="694" spans="2:26" ht="20.45" customHeight="1">
      <c r="B694" s="13"/>
      <c r="G694" s="3"/>
      <c r="J694" s="3"/>
      <c r="X694" s="13"/>
      <c r="Y694" s="13"/>
      <c r="Z694" s="91"/>
    </row>
    <row r="695" spans="2:26" ht="20.45" customHeight="1">
      <c r="B695" s="13"/>
      <c r="G695" s="3"/>
      <c r="J695" s="3"/>
      <c r="X695" s="13"/>
      <c r="Y695" s="13"/>
      <c r="Z695" s="91"/>
    </row>
    <row r="696" spans="2:26" ht="20.45" customHeight="1">
      <c r="B696" s="13"/>
      <c r="G696" s="3"/>
      <c r="J696" s="3"/>
      <c r="X696" s="13"/>
      <c r="Y696" s="13"/>
      <c r="Z696" s="91"/>
    </row>
    <row r="697" spans="2:26" ht="20.45" customHeight="1">
      <c r="B697" s="13"/>
      <c r="G697" s="3"/>
      <c r="J697" s="3"/>
      <c r="X697" s="13"/>
      <c r="Y697" s="13"/>
      <c r="Z697" s="91"/>
    </row>
    <row r="698" spans="2:26" ht="20.45" customHeight="1">
      <c r="B698" s="13"/>
      <c r="G698" s="3"/>
      <c r="J698" s="3"/>
      <c r="X698" s="13"/>
      <c r="Y698" s="13"/>
      <c r="Z698" s="91"/>
    </row>
    <row r="699" spans="2:26" ht="20.45" customHeight="1">
      <c r="B699" s="13"/>
      <c r="G699" s="3"/>
      <c r="J699" s="3"/>
      <c r="X699" s="13"/>
      <c r="Y699" s="13"/>
      <c r="Z699" s="91"/>
    </row>
    <row r="700" spans="2:26" ht="20.45" customHeight="1">
      <c r="B700" s="13"/>
      <c r="G700" s="3"/>
      <c r="J700" s="3"/>
      <c r="X700" s="13"/>
      <c r="Y700" s="13"/>
      <c r="Z700" s="91"/>
    </row>
    <row r="701" spans="2:26" ht="20.45" customHeight="1">
      <c r="B701" s="13"/>
      <c r="G701" s="3"/>
      <c r="J701" s="3"/>
      <c r="X701" s="13"/>
      <c r="Y701" s="13"/>
      <c r="Z701" s="91"/>
    </row>
    <row r="702" spans="2:26" ht="20.45" customHeight="1">
      <c r="B702" s="13"/>
      <c r="G702" s="3"/>
      <c r="J702" s="3"/>
      <c r="X702" s="13"/>
      <c r="Y702" s="13"/>
      <c r="Z702" s="91"/>
    </row>
    <row r="703" spans="2:26" ht="20.45" customHeight="1">
      <c r="B703" s="13"/>
      <c r="G703" s="3"/>
      <c r="J703" s="3"/>
      <c r="X703" s="13"/>
      <c r="Y703" s="13"/>
      <c r="Z703" s="91"/>
    </row>
    <row r="704" spans="2:26" ht="20.45" customHeight="1">
      <c r="B704" s="13"/>
      <c r="G704" s="3"/>
      <c r="J704" s="3"/>
      <c r="X704" s="13"/>
      <c r="Y704" s="13"/>
      <c r="Z704" s="91"/>
    </row>
    <row r="705" spans="2:26" ht="20.45" customHeight="1">
      <c r="B705" s="13"/>
      <c r="G705" s="3"/>
      <c r="J705" s="3"/>
      <c r="X705" s="13"/>
      <c r="Y705" s="13"/>
      <c r="Z705" s="91"/>
    </row>
    <row r="706" spans="2:26" ht="20.45" customHeight="1">
      <c r="B706" s="13"/>
      <c r="G706" s="3"/>
      <c r="J706" s="3"/>
      <c r="X706" s="13"/>
      <c r="Y706" s="13"/>
      <c r="Z706" s="91"/>
    </row>
    <row r="707" spans="2:26" ht="20.45" customHeight="1">
      <c r="B707" s="13"/>
      <c r="G707" s="3"/>
      <c r="J707" s="3"/>
      <c r="X707" s="13"/>
      <c r="Y707" s="13"/>
      <c r="Z707" s="91"/>
    </row>
    <row r="708" spans="2:26" ht="20.45" customHeight="1">
      <c r="B708" s="13"/>
      <c r="G708" s="3"/>
      <c r="J708" s="3"/>
      <c r="X708" s="13"/>
      <c r="Y708" s="13"/>
      <c r="Z708" s="91"/>
    </row>
    <row r="709" spans="2:26" ht="20.45" customHeight="1">
      <c r="B709" s="13"/>
      <c r="G709" s="3"/>
      <c r="J709" s="3"/>
      <c r="X709" s="13"/>
      <c r="Y709" s="13"/>
      <c r="Z709" s="91"/>
    </row>
    <row r="710" spans="2:26" ht="20.45" customHeight="1">
      <c r="B710" s="13"/>
      <c r="G710" s="3"/>
      <c r="J710" s="3"/>
      <c r="X710" s="13"/>
      <c r="Y710" s="13"/>
      <c r="Z710" s="91"/>
    </row>
    <row r="711" spans="2:26" ht="20.45" customHeight="1">
      <c r="B711" s="13"/>
      <c r="G711" s="3"/>
      <c r="J711" s="3"/>
      <c r="X711" s="13"/>
      <c r="Y711" s="13"/>
      <c r="Z711" s="91"/>
    </row>
    <row r="712" spans="2:26" ht="20.45" customHeight="1">
      <c r="B712" s="13"/>
      <c r="G712" s="3"/>
      <c r="J712" s="3"/>
      <c r="X712" s="13"/>
      <c r="Y712" s="13"/>
      <c r="Z712" s="91"/>
    </row>
    <row r="713" spans="2:26" ht="20.45" customHeight="1">
      <c r="B713" s="13"/>
      <c r="G713" s="3"/>
      <c r="J713" s="3"/>
      <c r="X713" s="13"/>
      <c r="Y713" s="13"/>
      <c r="Z713" s="91"/>
    </row>
    <row r="714" spans="2:26" ht="20.45" customHeight="1">
      <c r="B714" s="13"/>
      <c r="G714" s="3"/>
      <c r="J714" s="3"/>
      <c r="X714" s="13"/>
      <c r="Y714" s="13"/>
      <c r="Z714" s="91"/>
    </row>
    <row r="715" spans="2:26" ht="20.45" customHeight="1">
      <c r="B715" s="13"/>
      <c r="G715" s="3"/>
      <c r="J715" s="3"/>
      <c r="X715" s="13"/>
      <c r="Y715" s="13"/>
      <c r="Z715" s="91"/>
    </row>
    <row r="716" spans="2:26" ht="20.45" customHeight="1">
      <c r="B716" s="13"/>
      <c r="G716" s="3"/>
      <c r="J716" s="3"/>
      <c r="X716" s="13"/>
      <c r="Y716" s="13"/>
      <c r="Z716" s="91"/>
    </row>
    <row r="717" spans="2:26" ht="20.45" customHeight="1">
      <c r="B717" s="13"/>
      <c r="G717" s="3"/>
      <c r="J717" s="3"/>
      <c r="X717" s="13"/>
      <c r="Y717" s="13"/>
      <c r="Z717" s="91"/>
    </row>
    <row r="718" spans="2:26" ht="20.45" customHeight="1">
      <c r="B718" s="13"/>
      <c r="G718" s="3"/>
      <c r="J718" s="3"/>
      <c r="X718" s="13"/>
      <c r="Y718" s="13"/>
      <c r="Z718" s="91"/>
    </row>
    <row r="719" spans="2:26" ht="20.45" customHeight="1">
      <c r="B719" s="13"/>
      <c r="G719" s="3"/>
      <c r="J719" s="3"/>
      <c r="X719" s="13"/>
      <c r="Y719" s="13"/>
      <c r="Z719" s="91"/>
    </row>
    <row r="720" spans="2:26" ht="20.45" customHeight="1">
      <c r="B720" s="13"/>
      <c r="G720" s="3"/>
      <c r="J720" s="3"/>
      <c r="X720" s="13"/>
      <c r="Y720" s="13"/>
      <c r="Z720" s="91"/>
    </row>
    <row r="721" spans="2:26" ht="20.45" customHeight="1">
      <c r="B721" s="13"/>
      <c r="G721" s="3"/>
      <c r="J721" s="3"/>
      <c r="X721" s="13"/>
      <c r="Y721" s="13"/>
      <c r="Z721" s="91"/>
    </row>
    <row r="722" spans="2:26" ht="20.45" customHeight="1">
      <c r="B722" s="13"/>
      <c r="G722" s="3"/>
      <c r="J722" s="3"/>
      <c r="X722" s="13"/>
      <c r="Y722" s="13"/>
      <c r="Z722" s="91"/>
    </row>
    <row r="723" spans="2:26" ht="20.45" customHeight="1">
      <c r="B723" s="13"/>
      <c r="G723" s="3"/>
      <c r="J723" s="3"/>
      <c r="X723" s="13"/>
      <c r="Y723" s="13"/>
      <c r="Z723" s="91"/>
    </row>
    <row r="724" spans="2:26" ht="20.45" customHeight="1">
      <c r="B724" s="13"/>
      <c r="G724" s="3"/>
      <c r="J724" s="3"/>
      <c r="X724" s="13"/>
      <c r="Y724" s="13"/>
      <c r="Z724" s="91"/>
    </row>
    <row r="725" spans="2:26" ht="20.45" customHeight="1">
      <c r="B725" s="13"/>
      <c r="G725" s="3"/>
      <c r="J725" s="3"/>
      <c r="X725" s="13"/>
      <c r="Y725" s="13"/>
      <c r="Z725" s="91"/>
    </row>
    <row r="726" spans="2:26" ht="20.45" customHeight="1">
      <c r="B726" s="13"/>
      <c r="G726" s="3"/>
      <c r="J726" s="3"/>
      <c r="X726" s="13"/>
      <c r="Y726" s="13"/>
      <c r="Z726" s="91"/>
    </row>
    <row r="727" spans="2:26" ht="20.45" customHeight="1">
      <c r="B727" s="13"/>
      <c r="G727" s="3"/>
      <c r="J727" s="3"/>
      <c r="X727" s="13"/>
      <c r="Y727" s="13"/>
      <c r="Z727" s="91"/>
    </row>
    <row r="728" spans="2:26" ht="20.45" customHeight="1">
      <c r="B728" s="13"/>
      <c r="G728" s="3"/>
      <c r="J728" s="3"/>
      <c r="X728" s="13"/>
      <c r="Y728" s="13"/>
      <c r="Z728" s="91"/>
    </row>
    <row r="729" spans="2:26" ht="20.45" customHeight="1">
      <c r="B729" s="13"/>
      <c r="G729" s="3"/>
      <c r="J729" s="3"/>
      <c r="X729" s="13"/>
      <c r="Y729" s="13"/>
      <c r="Z729" s="91"/>
    </row>
    <row r="730" spans="2:26" ht="20.45" customHeight="1">
      <c r="B730" s="13"/>
      <c r="G730" s="3"/>
      <c r="J730" s="3"/>
      <c r="X730" s="13"/>
      <c r="Y730" s="13"/>
      <c r="Z730" s="91"/>
    </row>
    <row r="731" spans="2:26" ht="20.45" customHeight="1">
      <c r="B731" s="13"/>
      <c r="G731" s="3"/>
      <c r="J731" s="3"/>
      <c r="X731" s="13"/>
      <c r="Y731" s="13"/>
      <c r="Z731" s="91"/>
    </row>
    <row r="732" spans="2:26" ht="20.45" customHeight="1">
      <c r="B732" s="13"/>
      <c r="G732" s="3"/>
      <c r="J732" s="3"/>
      <c r="X732" s="13"/>
      <c r="Y732" s="13"/>
      <c r="Z732" s="91"/>
    </row>
    <row r="733" spans="2:26" ht="20.45" customHeight="1">
      <c r="B733" s="13"/>
      <c r="G733" s="3"/>
      <c r="J733" s="3"/>
      <c r="X733" s="13"/>
      <c r="Y733" s="13"/>
      <c r="Z733" s="91"/>
    </row>
    <row r="734" spans="2:26" ht="20.45" customHeight="1">
      <c r="B734" s="13"/>
      <c r="G734" s="3"/>
      <c r="J734" s="3"/>
      <c r="X734" s="13"/>
      <c r="Y734" s="13"/>
      <c r="Z734" s="91"/>
    </row>
    <row r="735" spans="2:26" ht="20.45" customHeight="1">
      <c r="B735" s="13"/>
      <c r="G735" s="3"/>
      <c r="J735" s="3"/>
      <c r="X735" s="13"/>
      <c r="Y735" s="13"/>
      <c r="Z735" s="91"/>
    </row>
    <row r="736" spans="2:26" ht="20.45" customHeight="1">
      <c r="B736" s="13"/>
      <c r="G736" s="3"/>
      <c r="J736" s="3"/>
      <c r="X736" s="13"/>
      <c r="Y736" s="13"/>
      <c r="Z736" s="91"/>
    </row>
    <row r="737" spans="2:26" ht="20.45" customHeight="1">
      <c r="B737" s="13"/>
      <c r="G737" s="3"/>
      <c r="J737" s="3"/>
      <c r="X737" s="13"/>
      <c r="Y737" s="13"/>
      <c r="Z737" s="91"/>
    </row>
    <row r="738" spans="2:26" ht="20.45" customHeight="1">
      <c r="B738" s="13"/>
      <c r="G738" s="3"/>
      <c r="J738" s="3"/>
      <c r="X738" s="13"/>
      <c r="Y738" s="13"/>
      <c r="Z738" s="91"/>
    </row>
    <row r="739" spans="2:26" ht="20.45" customHeight="1">
      <c r="B739" s="13"/>
      <c r="G739" s="3"/>
      <c r="J739" s="3"/>
      <c r="X739" s="13"/>
      <c r="Y739" s="13"/>
      <c r="Z739" s="91"/>
    </row>
    <row r="740" spans="2:26" ht="20.45" customHeight="1">
      <c r="B740" s="13"/>
      <c r="G740" s="3"/>
      <c r="J740" s="3"/>
      <c r="X740" s="13"/>
      <c r="Y740" s="13"/>
      <c r="Z740" s="91"/>
    </row>
    <row r="741" spans="2:26" ht="20.45" customHeight="1">
      <c r="B741" s="13"/>
      <c r="G741" s="3"/>
      <c r="J741" s="3"/>
      <c r="X741" s="13"/>
      <c r="Y741" s="13"/>
      <c r="Z741" s="91"/>
    </row>
    <row r="742" spans="2:26" ht="20.45" customHeight="1">
      <c r="B742" s="13"/>
      <c r="G742" s="3"/>
      <c r="J742" s="3"/>
      <c r="X742" s="13"/>
      <c r="Y742" s="13"/>
      <c r="Z742" s="91"/>
    </row>
    <row r="743" spans="2:26" ht="20.45" customHeight="1">
      <c r="B743" s="13"/>
      <c r="G743" s="3"/>
      <c r="J743" s="3"/>
      <c r="X743" s="13"/>
      <c r="Y743" s="13"/>
      <c r="Z743" s="91"/>
    </row>
    <row r="744" spans="2:26" ht="20.45" customHeight="1">
      <c r="B744" s="13"/>
      <c r="G744" s="3"/>
      <c r="J744" s="3"/>
      <c r="X744" s="13"/>
      <c r="Y744" s="13"/>
      <c r="Z744" s="91"/>
    </row>
    <row r="745" spans="2:26" ht="20.45" customHeight="1">
      <c r="B745" s="13"/>
      <c r="G745" s="3"/>
      <c r="J745" s="3"/>
      <c r="X745" s="13"/>
      <c r="Y745" s="13"/>
      <c r="Z745" s="91"/>
    </row>
    <row r="746" spans="2:26" ht="20.45" customHeight="1">
      <c r="B746" s="13"/>
      <c r="G746" s="3"/>
      <c r="J746" s="3"/>
      <c r="X746" s="13"/>
      <c r="Y746" s="13"/>
      <c r="Z746" s="91"/>
    </row>
    <row r="747" spans="2:26" ht="20.45" customHeight="1">
      <c r="B747" s="13"/>
      <c r="G747" s="3"/>
      <c r="J747" s="3"/>
      <c r="X747" s="13"/>
      <c r="Y747" s="13"/>
      <c r="Z747" s="91"/>
    </row>
    <row r="748" spans="2:26" ht="20.45" customHeight="1">
      <c r="B748" s="13"/>
      <c r="G748" s="3"/>
      <c r="J748" s="3"/>
      <c r="X748" s="13"/>
      <c r="Y748" s="13"/>
      <c r="Z748" s="91"/>
    </row>
    <row r="749" spans="2:26" ht="20.45" customHeight="1">
      <c r="B749" s="13"/>
      <c r="G749" s="3"/>
      <c r="J749" s="3"/>
      <c r="X749" s="13"/>
      <c r="Y749" s="13"/>
      <c r="Z749" s="91"/>
    </row>
    <row r="750" spans="2:26" ht="20.45" customHeight="1">
      <c r="B750" s="13"/>
      <c r="G750" s="3"/>
      <c r="J750" s="3"/>
      <c r="X750" s="13"/>
      <c r="Y750" s="13"/>
      <c r="Z750" s="91"/>
    </row>
    <row r="751" spans="2:26" ht="20.45" customHeight="1">
      <c r="B751" s="13"/>
      <c r="G751" s="3"/>
      <c r="J751" s="3"/>
      <c r="X751" s="13"/>
      <c r="Y751" s="13"/>
      <c r="Z751" s="91"/>
    </row>
    <row r="752" spans="2:26" ht="20.45" customHeight="1">
      <c r="B752" s="13"/>
      <c r="G752" s="3"/>
      <c r="J752" s="3"/>
      <c r="X752" s="13"/>
      <c r="Y752" s="13"/>
      <c r="Z752" s="91"/>
    </row>
    <row r="753" spans="2:26" ht="20.45" customHeight="1">
      <c r="B753" s="13"/>
      <c r="G753" s="3"/>
      <c r="J753" s="3"/>
      <c r="X753" s="13"/>
      <c r="Y753" s="13"/>
      <c r="Z753" s="91"/>
    </row>
    <row r="754" spans="2:26" ht="20.45" customHeight="1">
      <c r="B754" s="13"/>
      <c r="G754" s="3"/>
      <c r="J754" s="3"/>
      <c r="X754" s="13"/>
      <c r="Y754" s="13"/>
      <c r="Z754" s="91"/>
    </row>
    <row r="755" spans="2:26" ht="20.45" customHeight="1">
      <c r="B755" s="13"/>
      <c r="G755" s="3"/>
      <c r="J755" s="3"/>
      <c r="X755" s="13"/>
      <c r="Y755" s="13"/>
      <c r="Z755" s="91"/>
    </row>
    <row r="756" spans="2:26" ht="20.45" customHeight="1">
      <c r="B756" s="13"/>
      <c r="G756" s="3"/>
      <c r="J756" s="3"/>
      <c r="X756" s="13"/>
      <c r="Y756" s="13"/>
      <c r="Z756" s="91"/>
    </row>
    <row r="757" spans="2:26" ht="20.45" customHeight="1">
      <c r="B757" s="13"/>
      <c r="G757" s="3"/>
      <c r="J757" s="3"/>
      <c r="X757" s="13"/>
      <c r="Y757" s="13"/>
      <c r="Z757" s="91"/>
    </row>
    <row r="758" spans="2:26" ht="20.45" customHeight="1">
      <c r="B758" s="13"/>
      <c r="G758" s="3"/>
      <c r="J758" s="3"/>
      <c r="X758" s="13"/>
      <c r="Y758" s="13"/>
      <c r="Z758" s="91"/>
    </row>
    <row r="759" spans="2:26" ht="20.45" customHeight="1">
      <c r="B759" s="13"/>
      <c r="G759" s="3"/>
      <c r="J759" s="3"/>
      <c r="X759" s="13"/>
      <c r="Y759" s="13"/>
      <c r="Z759" s="91"/>
    </row>
    <row r="760" spans="2:26" ht="20.45" customHeight="1">
      <c r="B760" s="13"/>
      <c r="G760" s="3"/>
      <c r="J760" s="3"/>
      <c r="X760" s="13"/>
      <c r="Y760" s="13"/>
      <c r="Z760" s="91"/>
    </row>
    <row r="761" spans="2:26" ht="20.45" customHeight="1">
      <c r="B761" s="13"/>
      <c r="G761" s="3"/>
      <c r="J761" s="3"/>
      <c r="X761" s="13"/>
      <c r="Y761" s="13"/>
      <c r="Z761" s="91"/>
    </row>
    <row r="762" spans="2:26" ht="20.45" customHeight="1">
      <c r="B762" s="13"/>
      <c r="G762" s="3"/>
      <c r="J762" s="3"/>
      <c r="X762" s="13"/>
      <c r="Y762" s="13"/>
      <c r="Z762" s="91"/>
    </row>
    <row r="763" spans="2:26" ht="20.45" customHeight="1">
      <c r="B763" s="13"/>
      <c r="G763" s="3"/>
      <c r="J763" s="3"/>
      <c r="X763" s="13"/>
      <c r="Y763" s="13"/>
      <c r="Z763" s="91"/>
    </row>
    <row r="764" spans="2:26" ht="20.45" customHeight="1">
      <c r="B764" s="13"/>
      <c r="G764" s="3"/>
      <c r="J764" s="3"/>
      <c r="X764" s="13"/>
      <c r="Y764" s="13"/>
      <c r="Z764" s="91"/>
    </row>
    <row r="765" spans="2:26" ht="20.45" customHeight="1">
      <c r="B765" s="13"/>
      <c r="G765" s="3"/>
      <c r="J765" s="3"/>
      <c r="X765" s="13"/>
      <c r="Y765" s="13"/>
      <c r="Z765" s="91"/>
    </row>
    <row r="766" spans="2:26" ht="20.45" customHeight="1">
      <c r="B766" s="13"/>
      <c r="G766" s="3"/>
      <c r="J766" s="3"/>
      <c r="X766" s="13"/>
      <c r="Y766" s="13"/>
      <c r="Z766" s="91"/>
    </row>
    <row r="767" spans="2:26" ht="20.45" customHeight="1">
      <c r="B767" s="13"/>
      <c r="G767" s="3"/>
      <c r="J767" s="3"/>
      <c r="X767" s="13"/>
      <c r="Y767" s="13"/>
      <c r="Z767" s="91"/>
    </row>
    <row r="768" spans="2:26" ht="20.45" customHeight="1">
      <c r="B768" s="13"/>
      <c r="G768" s="3"/>
      <c r="J768" s="3"/>
      <c r="X768" s="13"/>
      <c r="Y768" s="13"/>
      <c r="Z768" s="91"/>
    </row>
    <row r="769" spans="2:26" ht="20.45" customHeight="1">
      <c r="B769" s="13"/>
      <c r="G769" s="3"/>
      <c r="J769" s="3"/>
      <c r="X769" s="13"/>
      <c r="Y769" s="13"/>
      <c r="Z769" s="91"/>
    </row>
    <row r="770" spans="2:26" ht="20.45" customHeight="1">
      <c r="B770" s="13"/>
      <c r="G770" s="3"/>
      <c r="J770" s="3"/>
      <c r="X770" s="13"/>
      <c r="Y770" s="13"/>
      <c r="Z770" s="91"/>
    </row>
    <row r="771" spans="2:26" ht="20.45" customHeight="1">
      <c r="B771" s="13"/>
      <c r="G771" s="3"/>
      <c r="J771" s="3"/>
      <c r="X771" s="13"/>
      <c r="Y771" s="13"/>
      <c r="Z771" s="91"/>
    </row>
    <row r="772" spans="2:26" ht="20.45" customHeight="1">
      <c r="B772" s="13"/>
      <c r="G772" s="3"/>
      <c r="J772" s="3"/>
      <c r="X772" s="13"/>
      <c r="Y772" s="13"/>
      <c r="Z772" s="91"/>
    </row>
    <row r="773" spans="2:26" ht="20.45" customHeight="1">
      <c r="B773" s="13"/>
      <c r="G773" s="3"/>
      <c r="J773" s="3"/>
      <c r="X773" s="13"/>
      <c r="Y773" s="13"/>
      <c r="Z773" s="91"/>
    </row>
    <row r="774" spans="2:26" ht="20.45" customHeight="1">
      <c r="B774" s="13"/>
      <c r="G774" s="3"/>
      <c r="J774" s="3"/>
      <c r="X774" s="13"/>
      <c r="Y774" s="13"/>
      <c r="Z774" s="91"/>
    </row>
    <row r="775" spans="2:26" ht="20.45" customHeight="1">
      <c r="B775" s="13"/>
      <c r="G775" s="3"/>
      <c r="J775" s="3"/>
      <c r="X775" s="13"/>
      <c r="Y775" s="13"/>
      <c r="Z775" s="91"/>
    </row>
    <row r="776" spans="2:26" ht="20.45" customHeight="1">
      <c r="B776" s="13"/>
      <c r="G776" s="3"/>
      <c r="J776" s="3"/>
      <c r="X776" s="13"/>
      <c r="Y776" s="13"/>
      <c r="Z776" s="91"/>
    </row>
    <row r="777" spans="2:26" ht="20.45" customHeight="1">
      <c r="B777" s="13"/>
      <c r="G777" s="3"/>
      <c r="J777" s="3"/>
      <c r="X777" s="13"/>
      <c r="Y777" s="13"/>
      <c r="Z777" s="91"/>
    </row>
    <row r="778" spans="2:26" ht="20.45" customHeight="1">
      <c r="B778" s="13"/>
      <c r="G778" s="3"/>
      <c r="J778" s="3"/>
      <c r="X778" s="13"/>
      <c r="Y778" s="13"/>
      <c r="Z778" s="91"/>
    </row>
    <row r="779" spans="2:26" ht="20.45" customHeight="1">
      <c r="B779" s="13"/>
      <c r="G779" s="3"/>
      <c r="J779" s="3"/>
      <c r="X779" s="13"/>
      <c r="Y779" s="13"/>
      <c r="Z779" s="91"/>
    </row>
    <row r="780" spans="2:26" ht="20.45" customHeight="1">
      <c r="B780" s="13"/>
      <c r="G780" s="3"/>
      <c r="J780" s="3"/>
      <c r="X780" s="13"/>
      <c r="Y780" s="13"/>
      <c r="Z780" s="91"/>
    </row>
    <row r="781" spans="2:26" ht="20.45" customHeight="1">
      <c r="B781" s="13"/>
      <c r="G781" s="3"/>
      <c r="J781" s="3"/>
      <c r="X781" s="13"/>
      <c r="Y781" s="13"/>
      <c r="Z781" s="91"/>
    </row>
    <row r="782" spans="2:26" ht="20.45" customHeight="1">
      <c r="B782" s="13"/>
      <c r="G782" s="3"/>
      <c r="J782" s="3"/>
      <c r="X782" s="13"/>
      <c r="Y782" s="13"/>
      <c r="Z782" s="91"/>
    </row>
    <row r="783" spans="2:26" ht="20.45" customHeight="1">
      <c r="B783" s="13"/>
      <c r="G783" s="3"/>
      <c r="J783" s="3"/>
      <c r="X783" s="13"/>
      <c r="Y783" s="13"/>
      <c r="Z783" s="91"/>
    </row>
    <row r="784" spans="2:26" ht="20.45" customHeight="1">
      <c r="B784" s="13"/>
      <c r="G784" s="3"/>
      <c r="J784" s="3"/>
      <c r="X784" s="13"/>
      <c r="Y784" s="13"/>
      <c r="Z784" s="91"/>
    </row>
    <row r="785" spans="2:26" ht="20.45" customHeight="1">
      <c r="B785" s="13"/>
      <c r="G785" s="3"/>
      <c r="J785" s="3"/>
      <c r="X785" s="13"/>
      <c r="Y785" s="13"/>
      <c r="Z785" s="91"/>
    </row>
    <row r="786" spans="2:26" ht="20.45" customHeight="1">
      <c r="B786" s="13"/>
      <c r="G786" s="3"/>
      <c r="J786" s="3"/>
      <c r="X786" s="13"/>
      <c r="Y786" s="13"/>
      <c r="Z786" s="91"/>
    </row>
    <row r="787" spans="2:26" ht="20.45" customHeight="1">
      <c r="B787" s="13"/>
      <c r="G787" s="3"/>
      <c r="J787" s="3"/>
      <c r="X787" s="13"/>
      <c r="Y787" s="13"/>
      <c r="Z787" s="91"/>
    </row>
    <row r="788" spans="2:26" ht="20.45" customHeight="1">
      <c r="B788" s="13"/>
      <c r="G788" s="3"/>
      <c r="J788" s="3"/>
      <c r="X788" s="13"/>
      <c r="Y788" s="13"/>
      <c r="Z788" s="91"/>
    </row>
    <row r="789" spans="2:26" ht="20.45" customHeight="1">
      <c r="B789" s="13"/>
      <c r="G789" s="3"/>
      <c r="J789" s="3"/>
      <c r="X789" s="13"/>
      <c r="Y789" s="13"/>
      <c r="Z789" s="91"/>
    </row>
    <row r="790" spans="2:26" ht="20.45" customHeight="1">
      <c r="B790" s="13"/>
      <c r="G790" s="3"/>
      <c r="J790" s="3"/>
      <c r="X790" s="13"/>
      <c r="Y790" s="13"/>
      <c r="Z790" s="91"/>
    </row>
    <row r="791" spans="2:26" ht="20.45" customHeight="1">
      <c r="B791" s="13"/>
      <c r="G791" s="3"/>
      <c r="J791" s="3"/>
      <c r="X791" s="13"/>
      <c r="Y791" s="13"/>
      <c r="Z791" s="91"/>
    </row>
    <row r="792" spans="2:26" ht="20.45" customHeight="1">
      <c r="B792" s="13"/>
      <c r="G792" s="3"/>
      <c r="J792" s="3"/>
      <c r="X792" s="13"/>
      <c r="Y792" s="13"/>
      <c r="Z792" s="91"/>
    </row>
    <row r="793" spans="2:26" ht="20.45" customHeight="1">
      <c r="B793" s="13"/>
      <c r="G793" s="3"/>
      <c r="J793" s="3"/>
      <c r="X793" s="13"/>
      <c r="Y793" s="13"/>
      <c r="Z793" s="91"/>
    </row>
    <row r="794" spans="2:26" ht="20.45" customHeight="1">
      <c r="B794" s="13"/>
      <c r="G794" s="3"/>
      <c r="J794" s="3"/>
      <c r="X794" s="13"/>
      <c r="Y794" s="13"/>
      <c r="Z794" s="91"/>
    </row>
    <row r="795" spans="2:26" ht="20.45" customHeight="1">
      <c r="B795" s="13"/>
      <c r="G795" s="3"/>
      <c r="J795" s="3"/>
      <c r="X795" s="13"/>
      <c r="Y795" s="13"/>
      <c r="Z795" s="91"/>
    </row>
    <row r="796" spans="2:26" ht="20.45" customHeight="1">
      <c r="B796" s="13"/>
      <c r="G796" s="3"/>
      <c r="J796" s="3"/>
      <c r="X796" s="13"/>
      <c r="Y796" s="13"/>
      <c r="Z796" s="91"/>
    </row>
    <row r="797" spans="2:26" ht="20.45" customHeight="1">
      <c r="B797" s="13"/>
      <c r="G797" s="3"/>
      <c r="J797" s="3"/>
      <c r="X797" s="13"/>
      <c r="Y797" s="13"/>
      <c r="Z797" s="91"/>
    </row>
    <row r="798" spans="2:26" ht="20.45" customHeight="1">
      <c r="B798" s="13"/>
      <c r="G798" s="3"/>
      <c r="J798" s="3"/>
      <c r="X798" s="13"/>
      <c r="Y798" s="13"/>
      <c r="Z798" s="91"/>
    </row>
    <row r="799" spans="2:26" ht="20.45" customHeight="1">
      <c r="B799" s="13"/>
      <c r="G799" s="3"/>
      <c r="J799" s="3"/>
      <c r="X799" s="13"/>
      <c r="Y799" s="13"/>
      <c r="Z799" s="91"/>
    </row>
    <row r="800" spans="2:26" ht="20.45" customHeight="1">
      <c r="B800" s="13"/>
      <c r="G800" s="3"/>
      <c r="J800" s="3"/>
      <c r="X800" s="13"/>
      <c r="Y800" s="13"/>
      <c r="Z800" s="91"/>
    </row>
    <row r="801" spans="2:26" ht="20.45" customHeight="1">
      <c r="B801" s="13"/>
      <c r="G801" s="3"/>
      <c r="J801" s="3"/>
      <c r="X801" s="13"/>
      <c r="Y801" s="13"/>
      <c r="Z801" s="91"/>
    </row>
    <row r="802" spans="2:26" ht="20.45" customHeight="1">
      <c r="B802" s="13"/>
      <c r="G802" s="3"/>
      <c r="J802" s="3"/>
      <c r="X802" s="13"/>
      <c r="Y802" s="13"/>
      <c r="Z802" s="91"/>
    </row>
    <row r="803" spans="2:26" ht="20.45" customHeight="1">
      <c r="B803" s="13"/>
      <c r="G803" s="3"/>
      <c r="J803" s="3"/>
      <c r="X803" s="13"/>
      <c r="Y803" s="13"/>
      <c r="Z803" s="91"/>
    </row>
    <row r="804" spans="2:26" ht="20.45" customHeight="1">
      <c r="B804" s="13"/>
      <c r="G804" s="3"/>
      <c r="J804" s="3"/>
      <c r="X804" s="13"/>
      <c r="Y804" s="13"/>
      <c r="Z804" s="91"/>
    </row>
    <row r="805" spans="2:26" ht="20.45" customHeight="1">
      <c r="B805" s="13"/>
      <c r="G805" s="3"/>
      <c r="J805" s="3"/>
      <c r="X805" s="13"/>
      <c r="Y805" s="13"/>
      <c r="Z805" s="91"/>
    </row>
    <row r="806" spans="2:26" ht="20.45" customHeight="1">
      <c r="B806" s="13"/>
      <c r="G806" s="3"/>
      <c r="J806" s="3"/>
      <c r="X806" s="13"/>
      <c r="Y806" s="13"/>
      <c r="Z806" s="91"/>
    </row>
    <row r="807" spans="2:26" ht="20.45" customHeight="1">
      <c r="B807" s="13"/>
      <c r="G807" s="3"/>
      <c r="J807" s="3"/>
      <c r="X807" s="13"/>
      <c r="Y807" s="13"/>
      <c r="Z807" s="91"/>
    </row>
    <row r="808" spans="2:26" ht="20.45" customHeight="1">
      <c r="B808" s="13"/>
      <c r="G808" s="3"/>
      <c r="J808" s="3"/>
      <c r="X808" s="13"/>
      <c r="Y808" s="13"/>
      <c r="Z808" s="91"/>
    </row>
    <row r="809" spans="2:26" ht="20.45" customHeight="1">
      <c r="B809" s="13"/>
      <c r="G809" s="3"/>
      <c r="J809" s="3"/>
      <c r="X809" s="13"/>
      <c r="Y809" s="13"/>
      <c r="Z809" s="91"/>
    </row>
    <row r="810" spans="2:26" ht="20.45" customHeight="1">
      <c r="B810" s="13"/>
      <c r="G810" s="3"/>
      <c r="J810" s="3"/>
      <c r="X810" s="13"/>
      <c r="Y810" s="13"/>
      <c r="Z810" s="91"/>
    </row>
    <row r="811" spans="2:26" ht="20.45" customHeight="1">
      <c r="B811" s="13"/>
      <c r="G811" s="3"/>
      <c r="J811" s="3"/>
      <c r="X811" s="13"/>
      <c r="Y811" s="13"/>
      <c r="Z811" s="91"/>
    </row>
    <row r="812" spans="2:26" ht="20.45" customHeight="1">
      <c r="B812" s="13"/>
      <c r="G812" s="3"/>
      <c r="J812" s="3"/>
      <c r="X812" s="13"/>
      <c r="Y812" s="13"/>
      <c r="Z812" s="91"/>
    </row>
    <row r="813" spans="2:26" ht="20.45" customHeight="1">
      <c r="B813" s="13"/>
      <c r="G813" s="3"/>
      <c r="J813" s="3"/>
      <c r="X813" s="13"/>
      <c r="Y813" s="13"/>
      <c r="Z813" s="91"/>
    </row>
    <row r="814" spans="2:26" ht="20.45" customHeight="1">
      <c r="B814" s="13"/>
      <c r="G814" s="3"/>
      <c r="J814" s="3"/>
      <c r="X814" s="13"/>
      <c r="Y814" s="13"/>
      <c r="Z814" s="91"/>
    </row>
    <row r="815" spans="2:26" ht="20.45" customHeight="1">
      <c r="B815" s="13"/>
      <c r="G815" s="3"/>
      <c r="J815" s="3"/>
      <c r="X815" s="13"/>
      <c r="Y815" s="13"/>
      <c r="Z815" s="91"/>
    </row>
    <row r="816" spans="2:26" ht="20.45" customHeight="1">
      <c r="B816" s="13"/>
      <c r="G816" s="3"/>
      <c r="J816" s="3"/>
      <c r="X816" s="13"/>
      <c r="Y816" s="13"/>
      <c r="Z816" s="91"/>
    </row>
    <row r="817" spans="2:26" ht="20.45" customHeight="1">
      <c r="B817" s="13"/>
      <c r="G817" s="3"/>
      <c r="J817" s="3"/>
      <c r="X817" s="13"/>
      <c r="Y817" s="13"/>
      <c r="Z817" s="91"/>
    </row>
    <row r="818" spans="2:26" ht="20.45" customHeight="1">
      <c r="B818" s="13"/>
      <c r="G818" s="3"/>
      <c r="J818" s="3"/>
      <c r="X818" s="13"/>
      <c r="Y818" s="13"/>
      <c r="Z818" s="91"/>
    </row>
    <row r="819" spans="2:26" ht="20.45" customHeight="1">
      <c r="B819" s="13"/>
      <c r="G819" s="3"/>
      <c r="J819" s="3"/>
      <c r="X819" s="13"/>
      <c r="Y819" s="13"/>
      <c r="Z819" s="91"/>
    </row>
    <row r="820" spans="2:26" ht="20.45" customHeight="1">
      <c r="B820" s="13"/>
      <c r="G820" s="3"/>
      <c r="J820" s="3"/>
      <c r="X820" s="13"/>
      <c r="Y820" s="13"/>
      <c r="Z820" s="91"/>
    </row>
    <row r="821" spans="2:26" ht="20.45" customHeight="1">
      <c r="B821" s="13"/>
      <c r="G821" s="3"/>
      <c r="J821" s="3"/>
      <c r="X821" s="13"/>
      <c r="Y821" s="13"/>
      <c r="Z821" s="91"/>
    </row>
    <row r="822" spans="2:26" ht="20.45" customHeight="1">
      <c r="B822" s="13"/>
      <c r="G822" s="3"/>
      <c r="J822" s="3"/>
      <c r="X822" s="13"/>
      <c r="Y822" s="13"/>
      <c r="Z822" s="91"/>
    </row>
    <row r="823" spans="2:26" ht="20.45" customHeight="1">
      <c r="B823" s="13"/>
      <c r="G823" s="3"/>
      <c r="J823" s="3"/>
      <c r="X823" s="13"/>
      <c r="Y823" s="13"/>
      <c r="Z823" s="91"/>
    </row>
    <row r="824" spans="2:26" ht="20.45" customHeight="1">
      <c r="B824" s="13"/>
      <c r="G824" s="3"/>
      <c r="J824" s="3"/>
      <c r="X824" s="13"/>
      <c r="Y824" s="13"/>
      <c r="Z824" s="91"/>
    </row>
    <row r="825" spans="2:26" ht="20.45" customHeight="1">
      <c r="B825" s="13"/>
      <c r="G825" s="3"/>
      <c r="J825" s="3"/>
      <c r="X825" s="13"/>
      <c r="Y825" s="13"/>
      <c r="Z825" s="91"/>
    </row>
    <row r="826" spans="2:26" ht="20.45" customHeight="1">
      <c r="B826" s="13"/>
      <c r="G826" s="3"/>
      <c r="J826" s="3"/>
      <c r="X826" s="13"/>
      <c r="Y826" s="13"/>
      <c r="Z826" s="91"/>
    </row>
    <row r="827" spans="2:26" ht="20.45" customHeight="1">
      <c r="B827" s="13"/>
      <c r="G827" s="3"/>
      <c r="J827" s="3"/>
      <c r="X827" s="13"/>
      <c r="Y827" s="13"/>
      <c r="Z827" s="91"/>
    </row>
    <row r="828" spans="2:26" ht="20.45" customHeight="1">
      <c r="B828" s="13"/>
      <c r="G828" s="3"/>
      <c r="J828" s="3"/>
      <c r="X828" s="13"/>
      <c r="Y828" s="13"/>
      <c r="Z828" s="91"/>
    </row>
    <row r="829" spans="2:26" ht="20.45" customHeight="1">
      <c r="B829" s="13"/>
      <c r="G829" s="3"/>
      <c r="J829" s="3"/>
      <c r="X829" s="13"/>
      <c r="Y829" s="13"/>
      <c r="Z829" s="91"/>
    </row>
    <row r="830" spans="2:26" ht="20.45" customHeight="1">
      <c r="B830" s="13"/>
      <c r="G830" s="3"/>
      <c r="J830" s="3"/>
      <c r="X830" s="13"/>
      <c r="Y830" s="13"/>
      <c r="Z830" s="91"/>
    </row>
    <row r="831" spans="2:26" ht="20.45" customHeight="1">
      <c r="B831" s="13"/>
      <c r="G831" s="3"/>
      <c r="J831" s="3"/>
      <c r="X831" s="13"/>
      <c r="Y831" s="13"/>
      <c r="Z831" s="91"/>
    </row>
    <row r="832" spans="2:26" ht="20.45" customHeight="1">
      <c r="B832" s="13"/>
      <c r="G832" s="3"/>
      <c r="J832" s="3"/>
      <c r="X832" s="13"/>
      <c r="Y832" s="13"/>
      <c r="Z832" s="91"/>
    </row>
    <row r="833" spans="2:26" ht="20.45" customHeight="1">
      <c r="B833" s="13"/>
      <c r="G833" s="3"/>
      <c r="J833" s="3"/>
      <c r="X833" s="13"/>
      <c r="Y833" s="13"/>
      <c r="Z833" s="91"/>
    </row>
    <row r="834" spans="2:26" ht="20.45" customHeight="1">
      <c r="B834" s="13"/>
      <c r="G834" s="3"/>
      <c r="J834" s="3"/>
      <c r="X834" s="13"/>
      <c r="Y834" s="13"/>
      <c r="Z834" s="91"/>
    </row>
    <row r="835" spans="2:26" ht="20.45" customHeight="1">
      <c r="B835" s="13"/>
      <c r="G835" s="3"/>
      <c r="J835" s="3"/>
      <c r="X835" s="13"/>
      <c r="Y835" s="13"/>
      <c r="Z835" s="91"/>
    </row>
    <row r="836" spans="2:26" ht="20.45" customHeight="1">
      <c r="B836" s="13"/>
      <c r="G836" s="3"/>
      <c r="J836" s="3"/>
      <c r="X836" s="13"/>
      <c r="Y836" s="13"/>
      <c r="Z836" s="91"/>
    </row>
    <row r="837" spans="2:26" ht="20.45" customHeight="1">
      <c r="B837" s="13"/>
      <c r="G837" s="3"/>
      <c r="J837" s="3"/>
      <c r="X837" s="13"/>
      <c r="Y837" s="13"/>
      <c r="Z837" s="91"/>
    </row>
    <row r="838" spans="2:26" ht="20.45" customHeight="1">
      <c r="B838" s="13"/>
      <c r="G838" s="3"/>
      <c r="J838" s="3"/>
      <c r="X838" s="13"/>
      <c r="Y838" s="13"/>
      <c r="Z838" s="91"/>
    </row>
    <row r="839" spans="2:26" ht="20.45" customHeight="1">
      <c r="B839" s="13"/>
      <c r="G839" s="3"/>
      <c r="J839" s="3"/>
      <c r="X839" s="13"/>
      <c r="Y839" s="13"/>
      <c r="Z839" s="91"/>
    </row>
    <row r="840" spans="2:26" ht="20.45" customHeight="1">
      <c r="B840" s="13"/>
      <c r="G840" s="3"/>
      <c r="J840" s="3"/>
      <c r="X840" s="13"/>
      <c r="Y840" s="13"/>
      <c r="Z840" s="91"/>
    </row>
    <row r="841" spans="2:26" ht="20.45" customHeight="1">
      <c r="B841" s="13"/>
      <c r="G841" s="3"/>
      <c r="J841" s="3"/>
      <c r="X841" s="13"/>
      <c r="Y841" s="13"/>
      <c r="Z841" s="91"/>
    </row>
    <row r="842" spans="2:26" ht="20.45" customHeight="1">
      <c r="B842" s="13"/>
      <c r="G842" s="3"/>
      <c r="J842" s="3"/>
      <c r="X842" s="13"/>
      <c r="Y842" s="13"/>
      <c r="Z842" s="91"/>
    </row>
    <row r="843" spans="2:26" ht="20.45" customHeight="1">
      <c r="B843" s="13"/>
      <c r="G843" s="3"/>
      <c r="J843" s="3"/>
      <c r="X843" s="13"/>
      <c r="Y843" s="13"/>
      <c r="Z843" s="91"/>
    </row>
    <row r="844" spans="2:26" ht="20.45" customHeight="1">
      <c r="B844" s="13"/>
      <c r="G844" s="3"/>
      <c r="J844" s="3"/>
      <c r="X844" s="13"/>
      <c r="Y844" s="13"/>
      <c r="Z844" s="91"/>
    </row>
    <row r="845" spans="2:26" ht="20.45" customHeight="1">
      <c r="B845" s="13"/>
      <c r="G845" s="3"/>
      <c r="J845" s="3"/>
      <c r="X845" s="13"/>
      <c r="Y845" s="13"/>
      <c r="Z845" s="91"/>
    </row>
    <row r="846" spans="2:26" ht="20.45" customHeight="1">
      <c r="B846" s="13"/>
      <c r="G846" s="3"/>
      <c r="J846" s="3"/>
      <c r="X846" s="13"/>
      <c r="Y846" s="13"/>
      <c r="Z846" s="91"/>
    </row>
    <row r="847" spans="2:26" ht="20.45" customHeight="1">
      <c r="B847" s="13"/>
      <c r="G847" s="3"/>
      <c r="J847" s="3"/>
      <c r="X847" s="13"/>
      <c r="Y847" s="13"/>
      <c r="Z847" s="91"/>
    </row>
    <row r="848" spans="2:26" ht="20.45" customHeight="1">
      <c r="B848" s="13"/>
      <c r="G848" s="3"/>
      <c r="J848" s="3"/>
      <c r="X848" s="13"/>
      <c r="Y848" s="13"/>
      <c r="Z848" s="91"/>
    </row>
    <row r="849" spans="2:26" ht="20.45" customHeight="1">
      <c r="B849" s="13"/>
      <c r="G849" s="3"/>
      <c r="J849" s="3"/>
      <c r="X849" s="13"/>
      <c r="Y849" s="13"/>
      <c r="Z849" s="91"/>
    </row>
    <row r="850" spans="2:26" ht="20.45" customHeight="1">
      <c r="B850" s="13"/>
      <c r="G850" s="3"/>
      <c r="J850" s="3"/>
      <c r="X850" s="13"/>
      <c r="Y850" s="13"/>
      <c r="Z850" s="91"/>
    </row>
    <row r="851" spans="2:26" ht="20.45" customHeight="1">
      <c r="B851" s="13"/>
      <c r="G851" s="3"/>
      <c r="J851" s="3"/>
      <c r="X851" s="13"/>
      <c r="Y851" s="13"/>
      <c r="Z851" s="91"/>
    </row>
    <row r="852" spans="2:26" ht="20.45" customHeight="1">
      <c r="B852" s="13"/>
      <c r="G852" s="3"/>
      <c r="J852" s="3"/>
      <c r="X852" s="13"/>
      <c r="Y852" s="13"/>
      <c r="Z852" s="91"/>
    </row>
    <row r="853" spans="2:26" ht="20.45" customHeight="1">
      <c r="B853" s="13"/>
      <c r="G853" s="3"/>
      <c r="J853" s="3"/>
      <c r="X853" s="13"/>
      <c r="Y853" s="13"/>
      <c r="Z853" s="91"/>
    </row>
    <row r="854" spans="2:26" ht="20.45" customHeight="1">
      <c r="B854" s="13"/>
      <c r="G854" s="3"/>
      <c r="J854" s="3"/>
      <c r="X854" s="13"/>
      <c r="Y854" s="13"/>
      <c r="Z854" s="91"/>
    </row>
    <row r="855" spans="2:26" ht="20.45" customHeight="1">
      <c r="B855" s="13"/>
      <c r="G855" s="3"/>
      <c r="J855" s="3"/>
      <c r="X855" s="13"/>
      <c r="Y855" s="13"/>
      <c r="Z855" s="91"/>
    </row>
    <row r="856" spans="2:26" ht="20.45" customHeight="1">
      <c r="B856" s="13"/>
      <c r="G856" s="3"/>
      <c r="J856" s="3"/>
      <c r="X856" s="13"/>
      <c r="Y856" s="13"/>
      <c r="Z856" s="91"/>
    </row>
    <row r="857" spans="2:26" ht="20.45" customHeight="1">
      <c r="B857" s="13"/>
      <c r="G857" s="3"/>
      <c r="J857" s="3"/>
      <c r="X857" s="13"/>
      <c r="Y857" s="13"/>
      <c r="Z857" s="91"/>
    </row>
    <row r="858" spans="2:26" ht="20.45" customHeight="1">
      <c r="B858" s="13"/>
      <c r="G858" s="3"/>
      <c r="J858" s="3"/>
      <c r="X858" s="13"/>
      <c r="Y858" s="13"/>
      <c r="Z858" s="91"/>
    </row>
    <row r="859" spans="2:26" ht="20.45" customHeight="1">
      <c r="B859" s="13"/>
      <c r="G859" s="3"/>
      <c r="J859" s="3"/>
      <c r="X859" s="13"/>
      <c r="Y859" s="13"/>
      <c r="Z859" s="91"/>
    </row>
    <row r="860" spans="2:26" ht="20.45" customHeight="1">
      <c r="B860" s="13"/>
      <c r="G860" s="3"/>
      <c r="J860" s="3"/>
      <c r="X860" s="13"/>
      <c r="Y860" s="13"/>
      <c r="Z860" s="91"/>
    </row>
    <row r="861" spans="2:26" ht="20.45" customHeight="1">
      <c r="B861" s="13"/>
      <c r="G861" s="3"/>
      <c r="J861" s="3"/>
      <c r="X861" s="13"/>
      <c r="Y861" s="13"/>
      <c r="Z861" s="91"/>
    </row>
    <row r="862" spans="2:26" ht="20.45" customHeight="1">
      <c r="B862" s="13"/>
      <c r="G862" s="3"/>
      <c r="J862" s="3"/>
      <c r="X862" s="13"/>
      <c r="Y862" s="13"/>
      <c r="Z862" s="91"/>
    </row>
    <row r="863" spans="2:26" ht="20.45" customHeight="1">
      <c r="B863" s="13"/>
      <c r="G863" s="3"/>
      <c r="J863" s="3"/>
      <c r="X863" s="13"/>
      <c r="Y863" s="13"/>
      <c r="Z863" s="91"/>
    </row>
    <row r="864" spans="2:26" ht="20.45" customHeight="1">
      <c r="B864" s="13"/>
      <c r="G864" s="3"/>
      <c r="J864" s="3"/>
      <c r="X864" s="13"/>
      <c r="Y864" s="13"/>
      <c r="Z864" s="91"/>
    </row>
    <row r="865" spans="2:26" ht="20.45" customHeight="1">
      <c r="B865" s="13"/>
      <c r="G865" s="3"/>
      <c r="J865" s="3"/>
      <c r="X865" s="13"/>
      <c r="Y865" s="13"/>
      <c r="Z865" s="91"/>
    </row>
    <row r="866" spans="2:26" ht="20.45" customHeight="1">
      <c r="B866" s="13"/>
      <c r="G866" s="3"/>
      <c r="J866" s="3"/>
      <c r="X866" s="13"/>
      <c r="Y866" s="13"/>
      <c r="Z866" s="91"/>
    </row>
    <row r="867" spans="2:26" ht="20.45" customHeight="1">
      <c r="B867" s="13"/>
      <c r="G867" s="3"/>
      <c r="J867" s="3"/>
      <c r="X867" s="13"/>
      <c r="Y867" s="13"/>
      <c r="Z867" s="91"/>
    </row>
    <row r="868" spans="2:26" ht="20.45" customHeight="1">
      <c r="B868" s="13"/>
      <c r="G868" s="3"/>
      <c r="J868" s="3"/>
      <c r="X868" s="13"/>
      <c r="Y868" s="13"/>
      <c r="Z868" s="91"/>
    </row>
    <row r="869" spans="2:26" ht="20.45" customHeight="1">
      <c r="B869" s="13"/>
      <c r="G869" s="3"/>
      <c r="J869" s="3"/>
      <c r="X869" s="13"/>
      <c r="Y869" s="13"/>
      <c r="Z869" s="91"/>
    </row>
    <row r="870" spans="2:26" ht="20.45" customHeight="1">
      <c r="B870" s="13"/>
      <c r="G870" s="3"/>
      <c r="J870" s="3"/>
      <c r="X870" s="13"/>
      <c r="Y870" s="13"/>
      <c r="Z870" s="91"/>
    </row>
    <row r="871" spans="2:26" ht="20.45" customHeight="1">
      <c r="B871" s="13"/>
      <c r="G871" s="3"/>
      <c r="J871" s="3"/>
      <c r="X871" s="13"/>
      <c r="Y871" s="13"/>
      <c r="Z871" s="91"/>
    </row>
    <row r="872" spans="2:26" ht="20.45" customHeight="1">
      <c r="B872" s="13"/>
      <c r="G872" s="3"/>
      <c r="J872" s="3"/>
      <c r="X872" s="13"/>
      <c r="Y872" s="13"/>
      <c r="Z872" s="91"/>
    </row>
    <row r="873" spans="2:26" ht="20.45" customHeight="1">
      <c r="B873" s="13"/>
      <c r="G873" s="3"/>
      <c r="J873" s="3"/>
      <c r="X873" s="13"/>
      <c r="Y873" s="13"/>
      <c r="Z873" s="91"/>
    </row>
    <row r="874" spans="2:26" ht="20.45" customHeight="1">
      <c r="B874" s="13"/>
      <c r="G874" s="3"/>
      <c r="J874" s="3"/>
      <c r="X874" s="13"/>
      <c r="Y874" s="13"/>
      <c r="Z874" s="91"/>
    </row>
    <row r="875" spans="2:26" ht="20.45" customHeight="1">
      <c r="B875" s="13"/>
      <c r="G875" s="3"/>
      <c r="J875" s="3"/>
      <c r="X875" s="13"/>
      <c r="Y875" s="13"/>
      <c r="Z875" s="91"/>
    </row>
    <row r="876" spans="2:26" ht="20.45" customHeight="1">
      <c r="B876" s="13"/>
      <c r="G876" s="3"/>
      <c r="J876" s="3"/>
      <c r="X876" s="13"/>
      <c r="Y876" s="13"/>
      <c r="Z876" s="91"/>
    </row>
    <row r="877" spans="2:26" ht="20.45" customHeight="1">
      <c r="B877" s="13"/>
      <c r="G877" s="3"/>
      <c r="J877" s="3"/>
      <c r="X877" s="13"/>
      <c r="Y877" s="13"/>
      <c r="Z877" s="91"/>
    </row>
    <row r="878" spans="2:26" ht="20.45" customHeight="1">
      <c r="B878" s="13"/>
      <c r="G878" s="3"/>
      <c r="J878" s="3"/>
      <c r="X878" s="13"/>
      <c r="Y878" s="13"/>
      <c r="Z878" s="91"/>
    </row>
    <row r="879" spans="2:26" ht="20.45" customHeight="1">
      <c r="B879" s="13"/>
      <c r="G879" s="3"/>
      <c r="J879" s="3"/>
      <c r="X879" s="13"/>
      <c r="Y879" s="13"/>
      <c r="Z879" s="91"/>
    </row>
    <row r="880" spans="2:26" ht="20.45" customHeight="1">
      <c r="B880" s="13"/>
      <c r="G880" s="3"/>
      <c r="J880" s="3"/>
      <c r="X880" s="13"/>
      <c r="Y880" s="13"/>
      <c r="Z880" s="91"/>
    </row>
    <row r="881" spans="2:26" ht="20.45" customHeight="1">
      <c r="B881" s="13"/>
      <c r="G881" s="3"/>
      <c r="J881" s="3"/>
      <c r="X881" s="13"/>
      <c r="Y881" s="13"/>
      <c r="Z881" s="91"/>
    </row>
    <row r="882" spans="2:26" ht="20.45" customHeight="1">
      <c r="B882" s="13"/>
      <c r="G882" s="3"/>
      <c r="J882" s="3"/>
      <c r="X882" s="13"/>
      <c r="Y882" s="13"/>
      <c r="Z882" s="91"/>
    </row>
    <row r="883" spans="2:26" ht="20.45" customHeight="1">
      <c r="B883" s="13"/>
      <c r="G883" s="3"/>
      <c r="J883" s="3"/>
      <c r="X883" s="13"/>
      <c r="Y883" s="13"/>
      <c r="Z883" s="91"/>
    </row>
    <row r="884" spans="2:26" ht="20.45" customHeight="1">
      <c r="B884" s="13"/>
      <c r="G884" s="3"/>
      <c r="J884" s="3"/>
      <c r="X884" s="13"/>
      <c r="Y884" s="13"/>
      <c r="Z884" s="91"/>
    </row>
    <row r="885" spans="2:26" ht="20.45" customHeight="1">
      <c r="B885" s="13"/>
      <c r="G885" s="3"/>
      <c r="J885" s="3"/>
      <c r="X885" s="13"/>
      <c r="Y885" s="13"/>
      <c r="Z885" s="91"/>
    </row>
    <row r="886" spans="2:26" ht="20.45" customHeight="1">
      <c r="B886" s="13"/>
      <c r="G886" s="3"/>
      <c r="J886" s="3"/>
      <c r="X886" s="13"/>
      <c r="Y886" s="13"/>
      <c r="Z886" s="91"/>
    </row>
    <row r="887" spans="2:26" ht="20.45" customHeight="1">
      <c r="B887" s="13"/>
      <c r="G887" s="3"/>
      <c r="J887" s="3"/>
      <c r="X887" s="13"/>
      <c r="Y887" s="13"/>
      <c r="Z887" s="91"/>
    </row>
    <row r="888" spans="2:26" ht="20.45" customHeight="1">
      <c r="B888" s="13"/>
      <c r="G888" s="3"/>
      <c r="J888" s="3"/>
      <c r="X888" s="13"/>
      <c r="Y888" s="13"/>
      <c r="Z888" s="91"/>
    </row>
    <row r="889" spans="2:26" ht="20.45" customHeight="1">
      <c r="B889" s="13"/>
      <c r="G889" s="3"/>
      <c r="J889" s="3"/>
      <c r="X889" s="13"/>
      <c r="Y889" s="13"/>
      <c r="Z889" s="91"/>
    </row>
    <row r="890" spans="2:26" ht="20.45" customHeight="1">
      <c r="B890" s="13"/>
      <c r="G890" s="3"/>
      <c r="J890" s="3"/>
      <c r="X890" s="13"/>
      <c r="Y890" s="13"/>
      <c r="Z890" s="91"/>
    </row>
    <row r="891" spans="2:26" ht="20.45" customHeight="1">
      <c r="X891" s="13"/>
      <c r="Y891" s="13"/>
    </row>
    <row r="892" spans="2:26" ht="20.45" customHeight="1">
      <c r="X892" s="13"/>
      <c r="Y892" s="13"/>
    </row>
  </sheetData>
  <autoFilter ref="B2:AA890" xr:uid="{5CDE23F1-2D24-41C6-BD8C-D7FDBDA7195F}"/>
  <phoneticPr fontId="30" type="noConversion"/>
  <conditionalFormatting sqref="C1:C2 C8:C1048576">
    <cfRule type="containsText" dxfId="59" priority="38" stopIfTrue="1" operator="containsText" text="아산">
      <formula>NOT(ISERROR(SEARCH("아산",C1)))</formula>
    </cfRule>
    <cfRule type="containsText" dxfId="58" priority="39" stopIfTrue="1" operator="containsText" text="천안">
      <formula>NOT(ISERROR(SEARCH("천안",C1)))</formula>
    </cfRule>
    <cfRule type="containsText" dxfId="57" priority="44" stopIfTrue="1" operator="containsText" text="TCR">
      <formula>NOT(ISERROR(SEARCH("TCR",C1)))</formula>
    </cfRule>
    <cfRule type="containsText" dxfId="56" priority="45" stopIfTrue="1" operator="containsText" text="모빌">
      <formula>NOT(ISERROR(SEARCH("모빌",C1)))</formula>
    </cfRule>
  </conditionalFormatting>
  <conditionalFormatting sqref="H1:H1048576">
    <cfRule type="cellIs" dxfId="55" priority="32" operator="equal">
      <formula>"SEOYON SUMMIT AUTO"</formula>
    </cfRule>
    <cfRule type="cellIs" dxfId="54" priority="33" operator="equal">
      <formula>"KIA LUCKY MOTORS"</formula>
    </cfRule>
    <cfRule type="cellIs" dxfId="53" priority="34" operator="equal">
      <formula>"KIA"</formula>
    </cfRule>
  </conditionalFormatting>
  <conditionalFormatting sqref="K1:K1048576">
    <cfRule type="cellIs" dxfId="52" priority="7" operator="equal">
      <formula>"INCHEON"</formula>
    </cfRule>
    <cfRule type="cellIs" dxfId="51" priority="23" operator="equal">
      <formula>"KRONS"</formula>
    </cfRule>
    <cfRule type="cellIs" dxfId="50" priority="28" operator="equal">
      <formula>"KRINC"</formula>
    </cfRule>
    <cfRule type="cellIs" dxfId="49" priority="29" operator="equal">
      <formula>"ULSAN"</formula>
    </cfRule>
  </conditionalFormatting>
  <conditionalFormatting sqref="O1">
    <cfRule type="cellIs" dxfId="48" priority="8" operator="equal">
      <formula>"세방"</formula>
    </cfRule>
  </conditionalFormatting>
  <conditionalFormatting sqref="Q3:S890">
    <cfRule type="containsText" dxfId="47" priority="42" stopIfTrue="1" operator="containsText" text="울산">
      <formula>NOT(ISERROR(SEARCH("울산",Q3)))</formula>
    </cfRule>
    <cfRule type="containsText" dxfId="46" priority="43" stopIfTrue="1" operator="containsText" text="천안">
      <formula>NOT(ISERROR(SEARCH("천안",Q3)))</formula>
    </cfRule>
  </conditionalFormatting>
  <conditionalFormatting sqref="T1:T1048576">
    <cfRule type="duplicateValues" dxfId="45" priority="2977"/>
  </conditionalFormatting>
  <conditionalFormatting sqref="U38:U1048576 U1:U36">
    <cfRule type="duplicateValues" dxfId="44" priority="9"/>
  </conditionalFormatting>
  <conditionalFormatting sqref="W1:W1048576">
    <cfRule type="duplicateValues" dxfId="43" priority="1"/>
  </conditionalFormatting>
  <conditionalFormatting sqref="AA1:AA1048576">
    <cfRule type="cellIs" dxfId="42" priority="2" operator="equal">
      <formula>"자체보관"</formula>
    </cfRule>
  </conditionalFormatting>
  <conditionalFormatting sqref="AB706:AB1048576">
    <cfRule type="containsText" dxfId="41" priority="55" stopIfTrue="1" operator="containsText" text="PNP">
      <formula>NOT(ISERROR(SEARCH("PNP",AB706)))</formula>
    </cfRule>
    <cfRule type="containsText" dxfId="40" priority="56" stopIfTrue="1" operator="containsText" text="울산">
      <formula>NOT(ISERROR(SEARCH("울산",AB706)))</formula>
    </cfRule>
    <cfRule type="containsText" dxfId="39" priority="57" stopIfTrue="1" operator="containsText" text="아산">
      <formula>NOT(ISERROR(SEARCH("아산",AB706)))</formula>
    </cfRule>
    <cfRule type="containsText" dxfId="38" priority="58" stopIfTrue="1" operator="containsText" text="천안">
      <formula>NOT(ISERROR(SEARCH("천안",AB706)))</formula>
    </cfRule>
  </conditionalFormatting>
  <conditionalFormatting sqref="AJ1:AJ1048576">
    <cfRule type="cellIs" dxfId="37" priority="5" operator="equal">
      <formula>"KRINC(인천항) ,KRINF(여객), KRINN(신항) 수기정정"</formula>
    </cfRule>
    <cfRule type="cellIs" dxfId="36" priority="6" operator="equal">
      <formula>"KRUSN(신항) ,KRONS(정일) 수기정정"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17ECFD-066B-4446-A972-6B2564424277}">
          <x14:formula1>
            <xm:f>GLAPS정리!$G$3:$G$26</xm:f>
          </x14:formula1>
          <xm:sqref>F3:F7 F36:F890</xm:sqref>
        </x14:dataValidation>
        <x14:dataValidation type="list" allowBlank="1" showInputMessage="1" showErrorMessage="1" xr:uid="{5A00F4B8-FC6A-4551-BD71-F48582CADAFE}">
          <x14:formula1>
            <xm:f>GLAPS정리!$L$3:$L$84</xm:f>
          </x14:formula1>
          <xm:sqref>H3:H7 H36:H1048576</xm:sqref>
        </x14:dataValidation>
        <x14:dataValidation type="list" allowBlank="1" showInputMessage="1" showErrorMessage="1" xr:uid="{6AE61D49-8EC9-44A1-BEFD-8D4E007764E9}">
          <x14:formula1>
            <xm:f>GLAPS정리!$BH$2:$BH$108</xm:f>
          </x14:formula1>
          <xm:sqref>O3:O34 Z3:Z34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A062-6D15-47E6-9B86-30C4482A32B6}">
  <dimension ref="A1:DX52"/>
  <sheetViews>
    <sheetView workbookViewId="0"/>
  </sheetViews>
  <sheetFormatPr defaultRowHeight="16.5"/>
  <cols>
    <col min="1" max="1" width="15" style="205" customWidth="1"/>
    <col min="2" max="2" width="6.25" style="205" customWidth="1"/>
    <col min="3" max="4" width="6" style="205" customWidth="1"/>
    <col min="5" max="5" width="15" style="205" customWidth="1"/>
    <col min="6" max="6" width="24.25" style="205" customWidth="1"/>
    <col min="7" max="7" width="12.5" style="205" customWidth="1"/>
    <col min="8" max="9" width="10" style="205" customWidth="1"/>
    <col min="10" max="10" width="11.375" style="205" customWidth="1"/>
    <col min="11" max="11" width="12.5" style="205" customWidth="1"/>
    <col min="12" max="12" width="6" style="205" customWidth="1"/>
    <col min="13" max="19" width="12.5" style="205" customWidth="1"/>
    <col min="20" max="20" width="15" style="205" customWidth="1"/>
    <col min="21" max="21" width="16.25" style="205" customWidth="1"/>
    <col min="22" max="26" width="15" style="205" customWidth="1"/>
    <col min="27" max="30" width="12.5" style="205" customWidth="1"/>
    <col min="31" max="31" width="10.875" style="205" customWidth="1"/>
    <col min="32" max="34" width="13.75" style="205" customWidth="1"/>
    <col min="35" max="37" width="10" style="205" customWidth="1"/>
    <col min="38" max="38" width="12.5" style="205" customWidth="1"/>
    <col min="39" max="39" width="14.125" style="205" customWidth="1"/>
    <col min="40" max="41" width="15" style="205" customWidth="1"/>
    <col min="42" max="47" width="10" style="205" customWidth="1"/>
    <col min="48" max="48" width="15" style="205" customWidth="1"/>
    <col min="49" max="51" width="10" style="205" customWidth="1"/>
    <col min="52" max="52" width="15" style="205" customWidth="1"/>
    <col min="53" max="53" width="12.5" style="205" customWidth="1"/>
    <col min="54" max="54" width="15" style="205" customWidth="1"/>
    <col min="55" max="55" width="10" style="205" customWidth="1"/>
    <col min="56" max="57" width="12.5" style="205" customWidth="1"/>
    <col min="58" max="58" width="10" style="205" customWidth="1"/>
    <col min="59" max="61" width="12.5" style="205" customWidth="1"/>
    <col min="62" max="62" width="15" style="205" customWidth="1"/>
    <col min="63" max="63" width="12.5" style="205" customWidth="1"/>
    <col min="64" max="64" width="15" style="205" customWidth="1"/>
    <col min="65" max="65" width="12.5" style="205" customWidth="1"/>
    <col min="66" max="66" width="31.25" style="205" customWidth="1"/>
    <col min="67" max="69" width="10" style="205" customWidth="1"/>
    <col min="70" max="71" width="15" style="205" customWidth="1"/>
    <col min="72" max="73" width="10" style="205" customWidth="1"/>
    <col min="74" max="74" width="15" style="205" customWidth="1"/>
    <col min="75" max="75" width="6" style="205" customWidth="1"/>
    <col min="76" max="76" width="15" style="205" customWidth="1"/>
    <col min="77" max="77" width="10" style="205" customWidth="1"/>
    <col min="78" max="79" width="15" style="205" customWidth="1"/>
    <col min="80" max="80" width="10" style="205" customWidth="1"/>
    <col min="81" max="82" width="15" style="205" customWidth="1"/>
    <col min="83" max="83" width="12.5" style="205" customWidth="1"/>
    <col min="84" max="84" width="13.75" style="205" customWidth="1"/>
    <col min="85" max="87" width="15" style="205" customWidth="1"/>
    <col min="88" max="88" width="12.5" style="205" customWidth="1"/>
    <col min="89" max="90" width="10" style="205" customWidth="1"/>
    <col min="91" max="91" width="15" style="205" customWidth="1"/>
    <col min="92" max="93" width="12.5" style="205" customWidth="1"/>
    <col min="94" max="94" width="15" style="205" customWidth="1"/>
    <col min="95" max="95" width="12.5" style="205" customWidth="1"/>
    <col min="96" max="97" width="15" style="205" customWidth="1"/>
    <col min="98" max="98" width="12.5" style="205" customWidth="1"/>
    <col min="99" max="100" width="15" style="205" customWidth="1"/>
    <col min="101" max="101" width="12.5" style="205" customWidth="1"/>
    <col min="102" max="102" width="18.75" style="205" customWidth="1"/>
    <col min="103" max="104" width="12.5" style="205" customWidth="1"/>
    <col min="105" max="109" width="15" style="205" customWidth="1"/>
    <col min="110" max="111" width="18.75" style="205" customWidth="1"/>
    <col min="112" max="123" width="12.5" style="205" customWidth="1"/>
    <col min="124" max="125" width="15" style="205" customWidth="1"/>
    <col min="126" max="128" width="12.5" style="205" customWidth="1"/>
    <col min="129" max="16384" width="9" style="205"/>
  </cols>
  <sheetData>
    <row r="1" spans="1:128" ht="19.5" customHeight="1">
      <c r="A1" s="202" t="s">
        <v>2345</v>
      </c>
      <c r="B1" s="203" t="s">
        <v>2346</v>
      </c>
      <c r="C1" s="204" t="s">
        <v>2347</v>
      </c>
      <c r="D1" s="204" t="s">
        <v>2348</v>
      </c>
      <c r="E1" s="204" t="s">
        <v>2349</v>
      </c>
      <c r="F1" s="203" t="s">
        <v>2350</v>
      </c>
      <c r="G1" s="204" t="s">
        <v>2351</v>
      </c>
      <c r="H1" s="203" t="s">
        <v>2352</v>
      </c>
      <c r="I1" s="204" t="s">
        <v>2353</v>
      </c>
      <c r="J1" s="204" t="s">
        <v>2354</v>
      </c>
      <c r="K1" s="204" t="s">
        <v>2355</v>
      </c>
      <c r="L1" s="204" t="s">
        <v>2356</v>
      </c>
      <c r="M1" s="204" t="s">
        <v>2357</v>
      </c>
      <c r="N1" s="204" t="s">
        <v>2358</v>
      </c>
      <c r="O1" s="204" t="s">
        <v>2359</v>
      </c>
      <c r="P1" s="204" t="s">
        <v>2360</v>
      </c>
      <c r="Q1" s="204" t="s">
        <v>2361</v>
      </c>
      <c r="R1" s="204" t="s">
        <v>2362</v>
      </c>
      <c r="S1" s="204" t="s">
        <v>2363</v>
      </c>
      <c r="T1" s="204" t="s">
        <v>2364</v>
      </c>
      <c r="U1" s="204" t="s">
        <v>2365</v>
      </c>
      <c r="V1" s="204" t="s">
        <v>2366</v>
      </c>
      <c r="W1" s="204" t="s">
        <v>2367</v>
      </c>
      <c r="X1" s="204" t="s">
        <v>2368</v>
      </c>
      <c r="Y1" s="204" t="s">
        <v>2369</v>
      </c>
      <c r="Z1" s="204" t="s">
        <v>2370</v>
      </c>
      <c r="AA1" s="204" t="s">
        <v>2371</v>
      </c>
      <c r="AB1" s="203" t="s">
        <v>2372</v>
      </c>
      <c r="AC1" s="204" t="s">
        <v>2373</v>
      </c>
      <c r="AD1" s="204" t="s">
        <v>2374</v>
      </c>
      <c r="AE1" s="204" t="s">
        <v>2375</v>
      </c>
      <c r="AF1" s="204" t="s">
        <v>2376</v>
      </c>
      <c r="AG1" s="204" t="s">
        <v>2377</v>
      </c>
      <c r="AH1" s="204" t="s">
        <v>2378</v>
      </c>
      <c r="AI1" s="204" t="s">
        <v>2379</v>
      </c>
      <c r="AJ1" s="204" t="s">
        <v>2380</v>
      </c>
      <c r="AK1" s="204" t="s">
        <v>2381</v>
      </c>
      <c r="AL1" s="204" t="s">
        <v>2382</v>
      </c>
      <c r="AM1" s="204" t="s">
        <v>2383</v>
      </c>
      <c r="AN1" s="204" t="s">
        <v>2384</v>
      </c>
      <c r="AO1" s="204" t="s">
        <v>2385</v>
      </c>
      <c r="AP1" s="204" t="s">
        <v>2386</v>
      </c>
      <c r="AQ1" s="204" t="s">
        <v>2387</v>
      </c>
      <c r="AR1" s="204" t="s">
        <v>2388</v>
      </c>
      <c r="AS1" s="204" t="s">
        <v>2389</v>
      </c>
      <c r="AT1" s="204" t="s">
        <v>2390</v>
      </c>
      <c r="AU1" s="204" t="s">
        <v>2391</v>
      </c>
      <c r="AV1" s="204" t="s">
        <v>2392</v>
      </c>
      <c r="AW1" s="204" t="s">
        <v>2393</v>
      </c>
      <c r="AX1" s="204" t="s">
        <v>2394</v>
      </c>
      <c r="AY1" s="204" t="s">
        <v>2395</v>
      </c>
      <c r="AZ1" s="204" t="s">
        <v>519</v>
      </c>
      <c r="BA1" s="204" t="s">
        <v>2396</v>
      </c>
      <c r="BB1" s="204" t="s">
        <v>2397</v>
      </c>
      <c r="BC1" s="204" t="s">
        <v>2398</v>
      </c>
      <c r="BD1" s="204" t="s">
        <v>2399</v>
      </c>
      <c r="BE1" s="204" t="s">
        <v>2400</v>
      </c>
      <c r="BF1" s="204" t="s">
        <v>2401</v>
      </c>
      <c r="BG1" s="204" t="s">
        <v>2402</v>
      </c>
      <c r="BH1" s="204" t="s">
        <v>2403</v>
      </c>
      <c r="BI1" s="204" t="s">
        <v>2404</v>
      </c>
      <c r="BJ1" s="204" t="s">
        <v>2405</v>
      </c>
      <c r="BK1" s="204" t="s">
        <v>2406</v>
      </c>
      <c r="BL1" s="204" t="s">
        <v>2407</v>
      </c>
      <c r="BM1" s="204" t="s">
        <v>2408</v>
      </c>
      <c r="BN1" s="204" t="s">
        <v>2409</v>
      </c>
      <c r="BO1" s="204" t="s">
        <v>2410</v>
      </c>
      <c r="BP1" s="204" t="s">
        <v>2411</v>
      </c>
      <c r="BQ1" s="204" t="s">
        <v>2412</v>
      </c>
      <c r="BR1" s="204" t="s">
        <v>2413</v>
      </c>
      <c r="BS1" s="204" t="s">
        <v>2414</v>
      </c>
      <c r="BT1" s="204" t="s">
        <v>2415</v>
      </c>
      <c r="BU1" s="204" t="s">
        <v>2416</v>
      </c>
      <c r="BV1" s="204" t="s">
        <v>2417</v>
      </c>
      <c r="BW1" s="204" t="s">
        <v>2418</v>
      </c>
      <c r="BX1" s="204" t="s">
        <v>2419</v>
      </c>
      <c r="BY1" s="204" t="s">
        <v>2420</v>
      </c>
      <c r="BZ1" s="204" t="s">
        <v>2421</v>
      </c>
      <c r="CA1" s="204" t="s">
        <v>2422</v>
      </c>
      <c r="CB1" s="204" t="s">
        <v>2423</v>
      </c>
      <c r="CC1" s="204" t="s">
        <v>2424</v>
      </c>
      <c r="CD1" s="204" t="s">
        <v>2425</v>
      </c>
      <c r="CE1" s="204" t="s">
        <v>2426</v>
      </c>
      <c r="CF1" s="204" t="s">
        <v>2427</v>
      </c>
      <c r="CG1" s="204" t="s">
        <v>2428</v>
      </c>
      <c r="CH1" s="204" t="s">
        <v>2429</v>
      </c>
      <c r="CI1" s="204" t="s">
        <v>2430</v>
      </c>
      <c r="CJ1" s="204" t="s">
        <v>2431</v>
      </c>
      <c r="CK1" s="204" t="s">
        <v>2432</v>
      </c>
      <c r="CL1" s="204" t="s">
        <v>2433</v>
      </c>
      <c r="CM1" s="204" t="s">
        <v>2434</v>
      </c>
      <c r="CN1" s="204" t="s">
        <v>2435</v>
      </c>
      <c r="CO1" s="204" t="s">
        <v>2436</v>
      </c>
      <c r="CP1" s="204" t="s">
        <v>2437</v>
      </c>
      <c r="CQ1" s="204" t="s">
        <v>2438</v>
      </c>
      <c r="CR1" s="204" t="s">
        <v>2439</v>
      </c>
      <c r="CS1" s="204" t="s">
        <v>2440</v>
      </c>
      <c r="CT1" s="204" t="s">
        <v>2441</v>
      </c>
      <c r="CU1" s="204" t="s">
        <v>2442</v>
      </c>
      <c r="CV1" s="204" t="s">
        <v>2443</v>
      </c>
      <c r="CW1" s="204" t="s">
        <v>2444</v>
      </c>
      <c r="CX1" s="204" t="s">
        <v>2445</v>
      </c>
      <c r="CY1" s="204" t="s">
        <v>2446</v>
      </c>
      <c r="CZ1" s="204" t="s">
        <v>2447</v>
      </c>
      <c r="DA1" s="204" t="s">
        <v>2448</v>
      </c>
      <c r="DB1" s="204" t="s">
        <v>2449</v>
      </c>
      <c r="DC1" s="204" t="s">
        <v>2450</v>
      </c>
      <c r="DD1" s="204" t="s">
        <v>2451</v>
      </c>
      <c r="DE1" s="204" t="s">
        <v>2452</v>
      </c>
      <c r="DF1" s="204" t="s">
        <v>2453</v>
      </c>
      <c r="DG1" s="204" t="s">
        <v>2454</v>
      </c>
      <c r="DH1" s="204" t="s">
        <v>2455</v>
      </c>
      <c r="DI1" s="204" t="s">
        <v>2456</v>
      </c>
      <c r="DJ1" s="204" t="s">
        <v>2457</v>
      </c>
      <c r="DK1" s="204" t="s">
        <v>2458</v>
      </c>
      <c r="DL1" s="204" t="s">
        <v>2459</v>
      </c>
      <c r="DM1" s="204" t="s">
        <v>2460</v>
      </c>
      <c r="DN1" s="204" t="s">
        <v>2461</v>
      </c>
      <c r="DO1" s="204" t="s">
        <v>2462</v>
      </c>
      <c r="DP1" s="204" t="s">
        <v>2463</v>
      </c>
      <c r="DQ1" s="204" t="s">
        <v>2464</v>
      </c>
      <c r="DR1" s="204" t="s">
        <v>2465</v>
      </c>
      <c r="DS1" s="204" t="s">
        <v>2466</v>
      </c>
      <c r="DT1" s="204" t="s">
        <v>2467</v>
      </c>
      <c r="DU1" s="204" t="s">
        <v>2468</v>
      </c>
      <c r="DV1" s="204" t="s">
        <v>2469</v>
      </c>
      <c r="DW1" s="204" t="s">
        <v>2470</v>
      </c>
      <c r="DX1" s="204" t="s">
        <v>2471</v>
      </c>
    </row>
    <row r="2" spans="1:128" ht="19.5" customHeight="1">
      <c r="A2" s="206"/>
      <c r="B2" s="207" t="s">
        <v>2472</v>
      </c>
      <c r="C2" s="208"/>
      <c r="D2" s="208"/>
      <c r="E2" s="207" t="s">
        <v>2473</v>
      </c>
      <c r="F2" s="207" t="s">
        <v>2474</v>
      </c>
      <c r="G2" s="209" t="s">
        <v>2475</v>
      </c>
      <c r="H2" s="207" t="s">
        <v>2476</v>
      </c>
      <c r="I2" s="207" t="s">
        <v>2477</v>
      </c>
      <c r="J2" s="209" t="s">
        <v>2478</v>
      </c>
      <c r="K2" s="210">
        <v>46177</v>
      </c>
      <c r="L2" s="208" t="s">
        <v>2479</v>
      </c>
      <c r="M2" s="209" t="s">
        <v>2480</v>
      </c>
      <c r="N2" s="208" t="s">
        <v>2480</v>
      </c>
      <c r="O2" s="208" t="s">
        <v>2328</v>
      </c>
      <c r="P2" s="208" t="s">
        <v>2481</v>
      </c>
      <c r="Q2" s="208"/>
      <c r="R2" s="208"/>
      <c r="S2" s="208" t="s">
        <v>101</v>
      </c>
      <c r="T2" s="211" t="s">
        <v>2482</v>
      </c>
      <c r="U2" s="208" t="s">
        <v>1277</v>
      </c>
      <c r="V2" s="208" t="s">
        <v>2483</v>
      </c>
      <c r="W2" s="209" t="s">
        <v>2484</v>
      </c>
      <c r="X2" s="208"/>
      <c r="Y2" s="208" t="s">
        <v>2485</v>
      </c>
      <c r="Z2" s="208"/>
      <c r="AA2" s="209"/>
      <c r="AB2" s="209"/>
      <c r="AC2" s="209"/>
      <c r="AD2" s="209"/>
      <c r="AE2" s="209"/>
      <c r="AF2" s="210"/>
      <c r="AG2" s="210"/>
      <c r="AH2" s="210"/>
      <c r="AI2" s="208"/>
      <c r="AJ2" s="208"/>
      <c r="AK2" s="208" t="s">
        <v>2486</v>
      </c>
      <c r="AL2" s="208"/>
      <c r="AM2" s="210"/>
      <c r="AN2" s="210"/>
      <c r="AO2" s="208"/>
      <c r="AP2" s="208" t="s">
        <v>2486</v>
      </c>
      <c r="AQ2" s="208" t="s">
        <v>2487</v>
      </c>
      <c r="AR2" s="209"/>
      <c r="AS2" s="209" t="s">
        <v>2488</v>
      </c>
      <c r="AT2" s="209" t="s">
        <v>2486</v>
      </c>
      <c r="AU2" s="209"/>
      <c r="AV2" s="212">
        <v>0</v>
      </c>
      <c r="AW2" s="208"/>
      <c r="AX2" s="209" t="s">
        <v>2486</v>
      </c>
      <c r="AY2" s="209" t="s">
        <v>2489</v>
      </c>
      <c r="AZ2" s="209" t="s">
        <v>2490</v>
      </c>
      <c r="BA2" s="209"/>
      <c r="BB2" s="209"/>
      <c r="BC2" s="209" t="s">
        <v>2478</v>
      </c>
      <c r="BD2" s="209" t="s">
        <v>2491</v>
      </c>
      <c r="BE2" s="209" t="s">
        <v>2492</v>
      </c>
      <c r="BF2" s="209"/>
      <c r="BG2" s="208"/>
      <c r="BH2" s="213"/>
      <c r="BI2" s="209" t="s">
        <v>2486</v>
      </c>
      <c r="BJ2" s="209"/>
      <c r="BK2" s="209" t="s">
        <v>2486</v>
      </c>
      <c r="BL2" s="209"/>
      <c r="BM2" s="209" t="s">
        <v>2493</v>
      </c>
      <c r="BN2" s="209" t="s">
        <v>2494</v>
      </c>
      <c r="BO2" s="214"/>
      <c r="BP2" s="208" t="s">
        <v>2486</v>
      </c>
      <c r="BQ2" s="209" t="s">
        <v>2495</v>
      </c>
      <c r="BR2" s="211" t="s">
        <v>2496</v>
      </c>
      <c r="BS2" s="211"/>
      <c r="BT2" s="208" t="s">
        <v>2486</v>
      </c>
      <c r="BU2" s="209"/>
      <c r="BV2" s="210"/>
      <c r="BW2" s="208" t="s">
        <v>2497</v>
      </c>
      <c r="BX2" s="209"/>
      <c r="BY2" s="209" t="s">
        <v>1999</v>
      </c>
      <c r="BZ2" s="211"/>
      <c r="CA2" s="209"/>
      <c r="CB2" s="209"/>
      <c r="CC2" s="211"/>
      <c r="CD2" s="211"/>
      <c r="CE2" s="208"/>
      <c r="CF2" s="208"/>
      <c r="CG2" s="211"/>
      <c r="CH2" s="210"/>
      <c r="CI2" s="210"/>
      <c r="CJ2" s="209"/>
      <c r="CK2" s="208" t="s">
        <v>2486</v>
      </c>
      <c r="CL2" s="209"/>
      <c r="CM2" s="209"/>
      <c r="CN2" s="209"/>
      <c r="CO2" s="209"/>
      <c r="CP2" s="208"/>
      <c r="CQ2" s="209" t="s">
        <v>2486</v>
      </c>
      <c r="CR2" s="209"/>
      <c r="CS2" s="208"/>
      <c r="CT2" s="209" t="s">
        <v>2486</v>
      </c>
      <c r="CU2" s="209"/>
      <c r="CV2" s="215" t="s">
        <v>2498</v>
      </c>
      <c r="CW2" s="208"/>
      <c r="CX2" s="216"/>
      <c r="CY2" s="209" t="s">
        <v>2499</v>
      </c>
      <c r="CZ2" s="209"/>
      <c r="DA2" s="209" t="s">
        <v>2500</v>
      </c>
      <c r="DB2" s="209" t="s">
        <v>2500</v>
      </c>
      <c r="DC2" s="209"/>
      <c r="DD2" s="209"/>
      <c r="DE2" s="210"/>
      <c r="DF2" s="209"/>
      <c r="DG2" s="216"/>
      <c r="DH2" s="217">
        <v>0</v>
      </c>
      <c r="DI2" s="208"/>
      <c r="DJ2" s="208"/>
      <c r="DK2" s="208"/>
      <c r="DL2" s="208"/>
      <c r="DM2" s="208"/>
      <c r="DN2" s="217">
        <v>0</v>
      </c>
      <c r="DO2" s="217">
        <v>0</v>
      </c>
      <c r="DP2" s="208" t="s">
        <v>2486</v>
      </c>
      <c r="DQ2" s="209"/>
      <c r="DR2" s="209"/>
      <c r="DS2" s="209" t="s">
        <v>2501</v>
      </c>
      <c r="DT2" s="209"/>
      <c r="DU2" s="209"/>
      <c r="DV2" s="209" t="s">
        <v>2502</v>
      </c>
      <c r="DW2" s="209" t="s">
        <v>2503</v>
      </c>
      <c r="DX2" s="209" t="s">
        <v>2498</v>
      </c>
    </row>
    <row r="3" spans="1:128" ht="19.5" customHeight="1">
      <c r="A3" s="206"/>
      <c r="B3" s="207" t="s">
        <v>2504</v>
      </c>
      <c r="C3" s="208"/>
      <c r="D3" s="208"/>
      <c r="E3" s="207" t="s">
        <v>2505</v>
      </c>
      <c r="F3" s="207" t="s">
        <v>2506</v>
      </c>
      <c r="G3" s="209" t="s">
        <v>2507</v>
      </c>
      <c r="H3" s="207" t="s">
        <v>2476</v>
      </c>
      <c r="I3" s="207" t="s">
        <v>2477</v>
      </c>
      <c r="J3" s="209" t="s">
        <v>2478</v>
      </c>
      <c r="K3" s="210">
        <v>46177</v>
      </c>
      <c r="L3" s="208" t="s">
        <v>2508</v>
      </c>
      <c r="M3" s="209" t="s">
        <v>2332</v>
      </c>
      <c r="N3" s="208" t="s">
        <v>2332</v>
      </c>
      <c r="O3" s="208" t="s">
        <v>2327</v>
      </c>
      <c r="P3" s="208" t="s">
        <v>2509</v>
      </c>
      <c r="Q3" s="208"/>
      <c r="R3" s="208"/>
      <c r="S3" s="208" t="s">
        <v>110</v>
      </c>
      <c r="T3" s="211" t="s">
        <v>2482</v>
      </c>
      <c r="U3" s="208" t="s">
        <v>116</v>
      </c>
      <c r="V3" s="208" t="s">
        <v>2510</v>
      </c>
      <c r="W3" s="209" t="s">
        <v>2484</v>
      </c>
      <c r="X3" s="208"/>
      <c r="Y3" s="208" t="s">
        <v>2485</v>
      </c>
      <c r="Z3" s="208"/>
      <c r="AA3" s="209"/>
      <c r="AB3" s="209"/>
      <c r="AC3" s="209"/>
      <c r="AD3" s="209"/>
      <c r="AE3" s="209"/>
      <c r="AF3" s="210"/>
      <c r="AG3" s="210"/>
      <c r="AH3" s="210"/>
      <c r="AI3" s="208"/>
      <c r="AJ3" s="208"/>
      <c r="AK3" s="208" t="s">
        <v>2486</v>
      </c>
      <c r="AL3" s="208"/>
      <c r="AM3" s="210"/>
      <c r="AN3" s="210"/>
      <c r="AO3" s="208"/>
      <c r="AP3" s="208" t="s">
        <v>2486</v>
      </c>
      <c r="AQ3" s="208" t="s">
        <v>2487</v>
      </c>
      <c r="AR3" s="209"/>
      <c r="AS3" s="209" t="s">
        <v>2488</v>
      </c>
      <c r="AT3" s="209" t="s">
        <v>2486</v>
      </c>
      <c r="AU3" s="209"/>
      <c r="AV3" s="212">
        <v>0</v>
      </c>
      <c r="AW3" s="208"/>
      <c r="AX3" s="209" t="s">
        <v>2486</v>
      </c>
      <c r="AY3" s="209" t="s">
        <v>2489</v>
      </c>
      <c r="AZ3" s="209" t="s">
        <v>2490</v>
      </c>
      <c r="BA3" s="209"/>
      <c r="BB3" s="209"/>
      <c r="BC3" s="209" t="s">
        <v>2478</v>
      </c>
      <c r="BD3" s="209" t="s">
        <v>2491</v>
      </c>
      <c r="BE3" s="209" t="s">
        <v>2492</v>
      </c>
      <c r="BF3" s="209"/>
      <c r="BG3" s="208"/>
      <c r="BH3" s="213"/>
      <c r="BI3" s="209" t="s">
        <v>2486</v>
      </c>
      <c r="BJ3" s="209"/>
      <c r="BK3" s="209" t="s">
        <v>2486</v>
      </c>
      <c r="BL3" s="209"/>
      <c r="BM3" s="209" t="s">
        <v>2493</v>
      </c>
      <c r="BN3" s="209" t="s">
        <v>2494</v>
      </c>
      <c r="BO3" s="214"/>
      <c r="BP3" s="208" t="s">
        <v>2486</v>
      </c>
      <c r="BQ3" s="209" t="s">
        <v>2495</v>
      </c>
      <c r="BR3" s="211" t="s">
        <v>2496</v>
      </c>
      <c r="BS3" s="211"/>
      <c r="BT3" s="208" t="s">
        <v>2486</v>
      </c>
      <c r="BU3" s="209"/>
      <c r="BV3" s="210"/>
      <c r="BW3" s="208" t="s">
        <v>2497</v>
      </c>
      <c r="BX3" s="209"/>
      <c r="BY3" s="209" t="s">
        <v>1999</v>
      </c>
      <c r="BZ3" s="211"/>
      <c r="CA3" s="209"/>
      <c r="CB3" s="209"/>
      <c r="CC3" s="211"/>
      <c r="CD3" s="211"/>
      <c r="CE3" s="208"/>
      <c r="CF3" s="208"/>
      <c r="CG3" s="211"/>
      <c r="CH3" s="210"/>
      <c r="CI3" s="210"/>
      <c r="CJ3" s="209"/>
      <c r="CK3" s="208" t="s">
        <v>2486</v>
      </c>
      <c r="CL3" s="209"/>
      <c r="CM3" s="209"/>
      <c r="CN3" s="209"/>
      <c r="CO3" s="209"/>
      <c r="CP3" s="208"/>
      <c r="CQ3" s="209" t="s">
        <v>2486</v>
      </c>
      <c r="CR3" s="209"/>
      <c r="CS3" s="208"/>
      <c r="CT3" s="209" t="s">
        <v>2486</v>
      </c>
      <c r="CU3" s="209"/>
      <c r="CV3" s="215" t="s">
        <v>2498</v>
      </c>
      <c r="CW3" s="208"/>
      <c r="CX3" s="216"/>
      <c r="CY3" s="209" t="s">
        <v>2499</v>
      </c>
      <c r="CZ3" s="209"/>
      <c r="DA3" s="209" t="s">
        <v>2500</v>
      </c>
      <c r="DB3" s="209" t="s">
        <v>2500</v>
      </c>
      <c r="DC3" s="209"/>
      <c r="DD3" s="209"/>
      <c r="DE3" s="210"/>
      <c r="DF3" s="209"/>
      <c r="DG3" s="216"/>
      <c r="DH3" s="217">
        <v>0</v>
      </c>
      <c r="DI3" s="208"/>
      <c r="DJ3" s="208"/>
      <c r="DK3" s="208"/>
      <c r="DL3" s="208"/>
      <c r="DM3" s="208"/>
      <c r="DN3" s="217">
        <v>0</v>
      </c>
      <c r="DO3" s="217">
        <v>0</v>
      </c>
      <c r="DP3" s="208" t="s">
        <v>2486</v>
      </c>
      <c r="DQ3" s="209"/>
      <c r="DR3" s="209"/>
      <c r="DS3" s="209" t="s">
        <v>2501</v>
      </c>
      <c r="DT3" s="209"/>
      <c r="DU3" s="209"/>
      <c r="DV3" s="209" t="s">
        <v>2502</v>
      </c>
      <c r="DW3" s="209" t="s">
        <v>2503</v>
      </c>
      <c r="DX3" s="209" t="s">
        <v>2498</v>
      </c>
    </row>
    <row r="4" spans="1:128" ht="19.5" customHeight="1">
      <c r="A4" s="206"/>
      <c r="B4" s="207" t="s">
        <v>2511</v>
      </c>
      <c r="C4" s="208"/>
      <c r="D4" s="208"/>
      <c r="E4" s="218" t="s">
        <v>2512</v>
      </c>
      <c r="F4" s="207" t="s">
        <v>2513</v>
      </c>
      <c r="G4" s="209" t="s">
        <v>2514</v>
      </c>
      <c r="H4" s="218" t="s">
        <v>2476</v>
      </c>
      <c r="I4" s="218" t="s">
        <v>2477</v>
      </c>
      <c r="J4" s="209" t="s">
        <v>2478</v>
      </c>
      <c r="K4" s="210">
        <v>46177</v>
      </c>
      <c r="L4" s="208" t="s">
        <v>2479</v>
      </c>
      <c r="M4" s="209" t="s">
        <v>2332</v>
      </c>
      <c r="N4" s="208" t="s">
        <v>2332</v>
      </c>
      <c r="O4" s="208" t="s">
        <v>2327</v>
      </c>
      <c r="P4" s="208" t="s">
        <v>2509</v>
      </c>
      <c r="Q4" s="208"/>
      <c r="R4" s="208"/>
      <c r="S4" s="208" t="s">
        <v>110</v>
      </c>
      <c r="T4" s="211" t="s">
        <v>2482</v>
      </c>
      <c r="U4" s="208" t="s">
        <v>116</v>
      </c>
      <c r="V4" s="208" t="s">
        <v>2515</v>
      </c>
      <c r="W4" s="209" t="s">
        <v>2484</v>
      </c>
      <c r="X4" s="208"/>
      <c r="Y4" s="208" t="s">
        <v>2485</v>
      </c>
      <c r="Z4" s="208"/>
      <c r="AA4" s="209"/>
      <c r="AB4" s="209"/>
      <c r="AC4" s="209"/>
      <c r="AD4" s="209"/>
      <c r="AE4" s="209"/>
      <c r="AF4" s="210"/>
      <c r="AG4" s="210"/>
      <c r="AH4" s="210"/>
      <c r="AI4" s="208"/>
      <c r="AJ4" s="208"/>
      <c r="AK4" s="208" t="s">
        <v>2486</v>
      </c>
      <c r="AL4" s="208"/>
      <c r="AM4" s="210"/>
      <c r="AN4" s="210"/>
      <c r="AO4" s="208"/>
      <c r="AP4" s="208" t="s">
        <v>2486</v>
      </c>
      <c r="AQ4" s="208" t="s">
        <v>2487</v>
      </c>
      <c r="AR4" s="209"/>
      <c r="AS4" s="209" t="s">
        <v>2488</v>
      </c>
      <c r="AT4" s="209" t="s">
        <v>2486</v>
      </c>
      <c r="AU4" s="209"/>
      <c r="AV4" s="212">
        <v>0</v>
      </c>
      <c r="AW4" s="208"/>
      <c r="AX4" s="209" t="s">
        <v>2486</v>
      </c>
      <c r="AY4" s="209" t="s">
        <v>2489</v>
      </c>
      <c r="AZ4" s="209" t="s">
        <v>2490</v>
      </c>
      <c r="BA4" s="209"/>
      <c r="BB4" s="209"/>
      <c r="BC4" s="209" t="s">
        <v>2478</v>
      </c>
      <c r="BD4" s="209" t="s">
        <v>2491</v>
      </c>
      <c r="BE4" s="209" t="s">
        <v>2492</v>
      </c>
      <c r="BF4" s="209"/>
      <c r="BG4" s="208"/>
      <c r="BH4" s="213"/>
      <c r="BI4" s="209" t="s">
        <v>2486</v>
      </c>
      <c r="BJ4" s="209"/>
      <c r="BK4" s="209" t="s">
        <v>2486</v>
      </c>
      <c r="BL4" s="209"/>
      <c r="BM4" s="209" t="s">
        <v>2493</v>
      </c>
      <c r="BN4" s="209" t="s">
        <v>2494</v>
      </c>
      <c r="BO4" s="214"/>
      <c r="BP4" s="208" t="s">
        <v>2486</v>
      </c>
      <c r="BQ4" s="209" t="s">
        <v>2495</v>
      </c>
      <c r="BR4" s="211" t="s">
        <v>2496</v>
      </c>
      <c r="BS4" s="211"/>
      <c r="BT4" s="208" t="s">
        <v>2486</v>
      </c>
      <c r="BU4" s="209"/>
      <c r="BV4" s="210"/>
      <c r="BW4" s="208" t="s">
        <v>2497</v>
      </c>
      <c r="BX4" s="209"/>
      <c r="BY4" s="209" t="s">
        <v>1999</v>
      </c>
      <c r="BZ4" s="211"/>
      <c r="CA4" s="209"/>
      <c r="CB4" s="209"/>
      <c r="CC4" s="211"/>
      <c r="CD4" s="211"/>
      <c r="CE4" s="208"/>
      <c r="CF4" s="208"/>
      <c r="CG4" s="211"/>
      <c r="CH4" s="210"/>
      <c r="CI4" s="210"/>
      <c r="CJ4" s="209"/>
      <c r="CK4" s="208" t="s">
        <v>2486</v>
      </c>
      <c r="CL4" s="209"/>
      <c r="CM4" s="209"/>
      <c r="CN4" s="209"/>
      <c r="CO4" s="209"/>
      <c r="CP4" s="208"/>
      <c r="CQ4" s="209" t="s">
        <v>2486</v>
      </c>
      <c r="CR4" s="209"/>
      <c r="CS4" s="208"/>
      <c r="CT4" s="209" t="s">
        <v>2486</v>
      </c>
      <c r="CU4" s="209"/>
      <c r="CV4" s="215" t="s">
        <v>2498</v>
      </c>
      <c r="CW4" s="208"/>
      <c r="CX4" s="216"/>
      <c r="CY4" s="209" t="s">
        <v>2499</v>
      </c>
      <c r="CZ4" s="209"/>
      <c r="DA4" s="209" t="s">
        <v>2516</v>
      </c>
      <c r="DB4" s="209" t="s">
        <v>2516</v>
      </c>
      <c r="DC4" s="209"/>
      <c r="DD4" s="209"/>
      <c r="DE4" s="210"/>
      <c r="DF4" s="209"/>
      <c r="DG4" s="216"/>
      <c r="DH4" s="217">
        <v>0</v>
      </c>
      <c r="DI4" s="208"/>
      <c r="DJ4" s="208"/>
      <c r="DK4" s="208"/>
      <c r="DL4" s="208"/>
      <c r="DM4" s="208"/>
      <c r="DN4" s="217">
        <v>0</v>
      </c>
      <c r="DO4" s="217">
        <v>0</v>
      </c>
      <c r="DP4" s="208" t="s">
        <v>2486</v>
      </c>
      <c r="DQ4" s="209"/>
      <c r="DR4" s="209"/>
      <c r="DS4" s="209" t="s">
        <v>2501</v>
      </c>
      <c r="DT4" s="209"/>
      <c r="DU4" s="209"/>
      <c r="DV4" s="209" t="s">
        <v>2502</v>
      </c>
      <c r="DW4" s="209" t="s">
        <v>2503</v>
      </c>
      <c r="DX4" s="209" t="s">
        <v>2498</v>
      </c>
    </row>
    <row r="5" spans="1:128" ht="19.5" customHeight="1">
      <c r="A5" s="206"/>
      <c r="B5" s="207" t="s">
        <v>2517</v>
      </c>
      <c r="C5" s="208"/>
      <c r="D5" s="208"/>
      <c r="E5" s="219" t="s">
        <v>2512</v>
      </c>
      <c r="F5" s="207" t="s">
        <v>2518</v>
      </c>
      <c r="G5" s="209" t="s">
        <v>2519</v>
      </c>
      <c r="H5" s="219" t="s">
        <v>2476</v>
      </c>
      <c r="I5" s="219" t="s">
        <v>2477</v>
      </c>
      <c r="J5" s="209" t="s">
        <v>2478</v>
      </c>
      <c r="K5" s="210">
        <v>46177</v>
      </c>
      <c r="L5" s="208" t="s">
        <v>2520</v>
      </c>
      <c r="M5" s="209" t="s">
        <v>2332</v>
      </c>
      <c r="N5" s="208" t="s">
        <v>2332</v>
      </c>
      <c r="O5" s="208" t="s">
        <v>2327</v>
      </c>
      <c r="P5" s="208" t="s">
        <v>2509</v>
      </c>
      <c r="Q5" s="208"/>
      <c r="R5" s="208"/>
      <c r="S5" s="208" t="s">
        <v>110</v>
      </c>
      <c r="T5" s="211" t="s">
        <v>2482</v>
      </c>
      <c r="U5" s="208" t="s">
        <v>116</v>
      </c>
      <c r="V5" s="208" t="s">
        <v>2515</v>
      </c>
      <c r="W5" s="209" t="s">
        <v>2484</v>
      </c>
      <c r="X5" s="208"/>
      <c r="Y5" s="208" t="s">
        <v>2485</v>
      </c>
      <c r="Z5" s="208"/>
      <c r="AA5" s="209"/>
      <c r="AB5" s="209"/>
      <c r="AC5" s="209"/>
      <c r="AD5" s="209"/>
      <c r="AE5" s="209"/>
      <c r="AF5" s="210"/>
      <c r="AG5" s="210"/>
      <c r="AH5" s="210"/>
      <c r="AI5" s="208"/>
      <c r="AJ5" s="208"/>
      <c r="AK5" s="208" t="s">
        <v>2486</v>
      </c>
      <c r="AL5" s="208"/>
      <c r="AM5" s="210"/>
      <c r="AN5" s="210"/>
      <c r="AO5" s="208"/>
      <c r="AP5" s="208" t="s">
        <v>2486</v>
      </c>
      <c r="AQ5" s="208" t="s">
        <v>2487</v>
      </c>
      <c r="AR5" s="209"/>
      <c r="AS5" s="209" t="s">
        <v>2488</v>
      </c>
      <c r="AT5" s="209" t="s">
        <v>2486</v>
      </c>
      <c r="AU5" s="209"/>
      <c r="AV5" s="212">
        <v>0</v>
      </c>
      <c r="AW5" s="208"/>
      <c r="AX5" s="209" t="s">
        <v>2486</v>
      </c>
      <c r="AY5" s="209" t="s">
        <v>2489</v>
      </c>
      <c r="AZ5" s="209" t="s">
        <v>2490</v>
      </c>
      <c r="BA5" s="209"/>
      <c r="BB5" s="209"/>
      <c r="BC5" s="209" t="s">
        <v>2478</v>
      </c>
      <c r="BD5" s="209" t="s">
        <v>2491</v>
      </c>
      <c r="BE5" s="209" t="s">
        <v>2492</v>
      </c>
      <c r="BF5" s="209"/>
      <c r="BG5" s="208"/>
      <c r="BH5" s="213"/>
      <c r="BI5" s="209" t="s">
        <v>2486</v>
      </c>
      <c r="BJ5" s="209"/>
      <c r="BK5" s="209" t="s">
        <v>2486</v>
      </c>
      <c r="BL5" s="209"/>
      <c r="BM5" s="209" t="s">
        <v>2493</v>
      </c>
      <c r="BN5" s="209" t="s">
        <v>2494</v>
      </c>
      <c r="BO5" s="214"/>
      <c r="BP5" s="208" t="s">
        <v>2486</v>
      </c>
      <c r="BQ5" s="209" t="s">
        <v>2495</v>
      </c>
      <c r="BR5" s="211" t="s">
        <v>2496</v>
      </c>
      <c r="BS5" s="211"/>
      <c r="BT5" s="208" t="s">
        <v>2486</v>
      </c>
      <c r="BU5" s="209"/>
      <c r="BV5" s="210"/>
      <c r="BW5" s="208" t="s">
        <v>2497</v>
      </c>
      <c r="BX5" s="209"/>
      <c r="BY5" s="209" t="s">
        <v>1999</v>
      </c>
      <c r="BZ5" s="211"/>
      <c r="CA5" s="209"/>
      <c r="CB5" s="209"/>
      <c r="CC5" s="211"/>
      <c r="CD5" s="211"/>
      <c r="CE5" s="208"/>
      <c r="CF5" s="208"/>
      <c r="CG5" s="211"/>
      <c r="CH5" s="210"/>
      <c r="CI5" s="210"/>
      <c r="CJ5" s="209"/>
      <c r="CK5" s="208" t="s">
        <v>2486</v>
      </c>
      <c r="CL5" s="209"/>
      <c r="CM5" s="209"/>
      <c r="CN5" s="209"/>
      <c r="CO5" s="209"/>
      <c r="CP5" s="208"/>
      <c r="CQ5" s="209" t="s">
        <v>2486</v>
      </c>
      <c r="CR5" s="209"/>
      <c r="CS5" s="208"/>
      <c r="CT5" s="209" t="s">
        <v>2486</v>
      </c>
      <c r="CU5" s="209"/>
      <c r="CV5" s="215" t="s">
        <v>2498</v>
      </c>
      <c r="CW5" s="208"/>
      <c r="CX5" s="216"/>
      <c r="CY5" s="209" t="s">
        <v>2499</v>
      </c>
      <c r="CZ5" s="209"/>
      <c r="DA5" s="209" t="s">
        <v>2521</v>
      </c>
      <c r="DB5" s="209" t="s">
        <v>2521</v>
      </c>
      <c r="DC5" s="209"/>
      <c r="DD5" s="209"/>
      <c r="DE5" s="210"/>
      <c r="DF5" s="209"/>
      <c r="DG5" s="216"/>
      <c r="DH5" s="217">
        <v>0</v>
      </c>
      <c r="DI5" s="208"/>
      <c r="DJ5" s="208"/>
      <c r="DK5" s="208"/>
      <c r="DL5" s="208"/>
      <c r="DM5" s="208"/>
      <c r="DN5" s="217">
        <v>0</v>
      </c>
      <c r="DO5" s="217">
        <v>0</v>
      </c>
      <c r="DP5" s="208" t="s">
        <v>2486</v>
      </c>
      <c r="DQ5" s="209"/>
      <c r="DR5" s="209"/>
      <c r="DS5" s="209" t="s">
        <v>2501</v>
      </c>
      <c r="DT5" s="209"/>
      <c r="DU5" s="209"/>
      <c r="DV5" s="209" t="s">
        <v>2502</v>
      </c>
      <c r="DW5" s="209" t="s">
        <v>2503</v>
      </c>
      <c r="DX5" s="209" t="s">
        <v>2498</v>
      </c>
    </row>
    <row r="6" spans="1:128" ht="19.5" customHeight="1">
      <c r="A6" s="206"/>
      <c r="B6" s="207" t="s">
        <v>2522</v>
      </c>
      <c r="C6" s="208"/>
      <c r="D6" s="208"/>
      <c r="E6" s="219" t="s">
        <v>2512</v>
      </c>
      <c r="F6" s="207" t="s">
        <v>2523</v>
      </c>
      <c r="G6" s="209" t="s">
        <v>2524</v>
      </c>
      <c r="H6" s="219" t="s">
        <v>2476</v>
      </c>
      <c r="I6" s="219" t="s">
        <v>2477</v>
      </c>
      <c r="J6" s="209" t="s">
        <v>2478</v>
      </c>
      <c r="K6" s="210">
        <v>46177</v>
      </c>
      <c r="L6" s="208" t="s">
        <v>2525</v>
      </c>
      <c r="M6" s="209" t="s">
        <v>2332</v>
      </c>
      <c r="N6" s="208" t="s">
        <v>2332</v>
      </c>
      <c r="O6" s="208" t="s">
        <v>2327</v>
      </c>
      <c r="P6" s="208" t="s">
        <v>2509</v>
      </c>
      <c r="Q6" s="208"/>
      <c r="R6" s="208"/>
      <c r="S6" s="208" t="s">
        <v>110</v>
      </c>
      <c r="T6" s="211" t="s">
        <v>2482</v>
      </c>
      <c r="U6" s="208" t="s">
        <v>116</v>
      </c>
      <c r="V6" s="208" t="s">
        <v>2510</v>
      </c>
      <c r="W6" s="209" t="s">
        <v>2484</v>
      </c>
      <c r="X6" s="208"/>
      <c r="Y6" s="208" t="s">
        <v>2485</v>
      </c>
      <c r="Z6" s="208"/>
      <c r="AA6" s="209"/>
      <c r="AB6" s="209"/>
      <c r="AC6" s="209"/>
      <c r="AD6" s="209"/>
      <c r="AE6" s="209"/>
      <c r="AF6" s="210"/>
      <c r="AG6" s="210"/>
      <c r="AH6" s="210"/>
      <c r="AI6" s="208"/>
      <c r="AJ6" s="208"/>
      <c r="AK6" s="208" t="s">
        <v>2486</v>
      </c>
      <c r="AL6" s="208"/>
      <c r="AM6" s="210"/>
      <c r="AN6" s="210"/>
      <c r="AO6" s="208"/>
      <c r="AP6" s="208" t="s">
        <v>2486</v>
      </c>
      <c r="AQ6" s="208" t="s">
        <v>2487</v>
      </c>
      <c r="AR6" s="209"/>
      <c r="AS6" s="209" t="s">
        <v>2488</v>
      </c>
      <c r="AT6" s="209" t="s">
        <v>2486</v>
      </c>
      <c r="AU6" s="209"/>
      <c r="AV6" s="212">
        <v>0</v>
      </c>
      <c r="AW6" s="208"/>
      <c r="AX6" s="209" t="s">
        <v>2486</v>
      </c>
      <c r="AY6" s="209" t="s">
        <v>2489</v>
      </c>
      <c r="AZ6" s="209" t="s">
        <v>2490</v>
      </c>
      <c r="BA6" s="209"/>
      <c r="BB6" s="209"/>
      <c r="BC6" s="209" t="s">
        <v>2478</v>
      </c>
      <c r="BD6" s="209" t="s">
        <v>2491</v>
      </c>
      <c r="BE6" s="209" t="s">
        <v>2492</v>
      </c>
      <c r="BF6" s="209"/>
      <c r="BG6" s="208"/>
      <c r="BH6" s="213"/>
      <c r="BI6" s="209" t="s">
        <v>2486</v>
      </c>
      <c r="BJ6" s="209"/>
      <c r="BK6" s="209" t="s">
        <v>2486</v>
      </c>
      <c r="BL6" s="209"/>
      <c r="BM6" s="209" t="s">
        <v>2493</v>
      </c>
      <c r="BN6" s="209" t="s">
        <v>2494</v>
      </c>
      <c r="BO6" s="214"/>
      <c r="BP6" s="208" t="s">
        <v>2486</v>
      </c>
      <c r="BQ6" s="209" t="s">
        <v>2495</v>
      </c>
      <c r="BR6" s="211" t="s">
        <v>2496</v>
      </c>
      <c r="BS6" s="211"/>
      <c r="BT6" s="208" t="s">
        <v>2486</v>
      </c>
      <c r="BU6" s="209"/>
      <c r="BV6" s="210"/>
      <c r="BW6" s="208" t="s">
        <v>2497</v>
      </c>
      <c r="BX6" s="209"/>
      <c r="BY6" s="209" t="s">
        <v>1999</v>
      </c>
      <c r="BZ6" s="211"/>
      <c r="CA6" s="209"/>
      <c r="CB6" s="209"/>
      <c r="CC6" s="211"/>
      <c r="CD6" s="211"/>
      <c r="CE6" s="208"/>
      <c r="CF6" s="208"/>
      <c r="CG6" s="211"/>
      <c r="CH6" s="210"/>
      <c r="CI6" s="210"/>
      <c r="CJ6" s="209"/>
      <c r="CK6" s="208" t="s">
        <v>2486</v>
      </c>
      <c r="CL6" s="209"/>
      <c r="CM6" s="209"/>
      <c r="CN6" s="209"/>
      <c r="CO6" s="209"/>
      <c r="CP6" s="208"/>
      <c r="CQ6" s="209" t="s">
        <v>2486</v>
      </c>
      <c r="CR6" s="209"/>
      <c r="CS6" s="208"/>
      <c r="CT6" s="209" t="s">
        <v>2486</v>
      </c>
      <c r="CU6" s="209"/>
      <c r="CV6" s="215" t="s">
        <v>2498</v>
      </c>
      <c r="CW6" s="208"/>
      <c r="CX6" s="216"/>
      <c r="CY6" s="209" t="s">
        <v>2499</v>
      </c>
      <c r="CZ6" s="209"/>
      <c r="DA6" s="209" t="s">
        <v>2526</v>
      </c>
      <c r="DB6" s="209" t="s">
        <v>2526</v>
      </c>
      <c r="DC6" s="209"/>
      <c r="DD6" s="209"/>
      <c r="DE6" s="210"/>
      <c r="DF6" s="209"/>
      <c r="DG6" s="216"/>
      <c r="DH6" s="217">
        <v>0</v>
      </c>
      <c r="DI6" s="208"/>
      <c r="DJ6" s="208"/>
      <c r="DK6" s="208"/>
      <c r="DL6" s="208"/>
      <c r="DM6" s="208"/>
      <c r="DN6" s="217">
        <v>0</v>
      </c>
      <c r="DO6" s="217">
        <v>0</v>
      </c>
      <c r="DP6" s="208" t="s">
        <v>2486</v>
      </c>
      <c r="DQ6" s="209"/>
      <c r="DR6" s="209"/>
      <c r="DS6" s="209" t="s">
        <v>2501</v>
      </c>
      <c r="DT6" s="209"/>
      <c r="DU6" s="209"/>
      <c r="DV6" s="209" t="s">
        <v>2502</v>
      </c>
      <c r="DW6" s="209" t="s">
        <v>2503</v>
      </c>
      <c r="DX6" s="209" t="s">
        <v>2498</v>
      </c>
    </row>
    <row r="7" spans="1:128" ht="19.5" customHeight="1">
      <c r="A7" s="206"/>
      <c r="B7" s="207" t="s">
        <v>2527</v>
      </c>
      <c r="C7" s="208"/>
      <c r="D7" s="208"/>
      <c r="E7" s="220" t="s">
        <v>2512</v>
      </c>
      <c r="F7" s="207" t="s">
        <v>2528</v>
      </c>
      <c r="G7" s="209" t="s">
        <v>2529</v>
      </c>
      <c r="H7" s="220" t="s">
        <v>2476</v>
      </c>
      <c r="I7" s="220" t="s">
        <v>2477</v>
      </c>
      <c r="J7" s="209" t="s">
        <v>2478</v>
      </c>
      <c r="K7" s="210">
        <v>46177</v>
      </c>
      <c r="L7" s="208" t="s">
        <v>2520</v>
      </c>
      <c r="M7" s="209" t="s">
        <v>2332</v>
      </c>
      <c r="N7" s="208" t="s">
        <v>2332</v>
      </c>
      <c r="O7" s="208" t="s">
        <v>2327</v>
      </c>
      <c r="P7" s="208" t="s">
        <v>2509</v>
      </c>
      <c r="Q7" s="208"/>
      <c r="R7" s="208"/>
      <c r="S7" s="208" t="s">
        <v>110</v>
      </c>
      <c r="T7" s="211" t="s">
        <v>2482</v>
      </c>
      <c r="U7" s="208" t="s">
        <v>116</v>
      </c>
      <c r="V7" s="208" t="s">
        <v>2530</v>
      </c>
      <c r="W7" s="209" t="s">
        <v>2484</v>
      </c>
      <c r="X7" s="208"/>
      <c r="Y7" s="208" t="s">
        <v>2485</v>
      </c>
      <c r="Z7" s="208"/>
      <c r="AA7" s="209"/>
      <c r="AB7" s="209"/>
      <c r="AC7" s="209"/>
      <c r="AD7" s="209"/>
      <c r="AE7" s="209"/>
      <c r="AF7" s="210"/>
      <c r="AG7" s="210"/>
      <c r="AH7" s="210"/>
      <c r="AI7" s="208"/>
      <c r="AJ7" s="208"/>
      <c r="AK7" s="208" t="s">
        <v>2486</v>
      </c>
      <c r="AL7" s="208"/>
      <c r="AM7" s="210"/>
      <c r="AN7" s="210"/>
      <c r="AO7" s="208"/>
      <c r="AP7" s="208" t="s">
        <v>2486</v>
      </c>
      <c r="AQ7" s="208" t="s">
        <v>2487</v>
      </c>
      <c r="AR7" s="209"/>
      <c r="AS7" s="209" t="s">
        <v>2488</v>
      </c>
      <c r="AT7" s="209" t="s">
        <v>2486</v>
      </c>
      <c r="AU7" s="209"/>
      <c r="AV7" s="212">
        <v>0</v>
      </c>
      <c r="AW7" s="208"/>
      <c r="AX7" s="209" t="s">
        <v>2486</v>
      </c>
      <c r="AY7" s="209" t="s">
        <v>2489</v>
      </c>
      <c r="AZ7" s="209" t="s">
        <v>2490</v>
      </c>
      <c r="BA7" s="209"/>
      <c r="BB7" s="209"/>
      <c r="BC7" s="209" t="s">
        <v>2478</v>
      </c>
      <c r="BD7" s="209" t="s">
        <v>2491</v>
      </c>
      <c r="BE7" s="209" t="s">
        <v>2492</v>
      </c>
      <c r="BF7" s="209"/>
      <c r="BG7" s="208"/>
      <c r="BH7" s="213"/>
      <c r="BI7" s="209" t="s">
        <v>2486</v>
      </c>
      <c r="BJ7" s="209"/>
      <c r="BK7" s="209" t="s">
        <v>2486</v>
      </c>
      <c r="BL7" s="209"/>
      <c r="BM7" s="209" t="s">
        <v>2493</v>
      </c>
      <c r="BN7" s="209" t="s">
        <v>2494</v>
      </c>
      <c r="BO7" s="214"/>
      <c r="BP7" s="208" t="s">
        <v>2486</v>
      </c>
      <c r="BQ7" s="209" t="s">
        <v>2495</v>
      </c>
      <c r="BR7" s="211" t="s">
        <v>2496</v>
      </c>
      <c r="BS7" s="211"/>
      <c r="BT7" s="208" t="s">
        <v>2486</v>
      </c>
      <c r="BU7" s="209"/>
      <c r="BV7" s="210"/>
      <c r="BW7" s="208" t="s">
        <v>2497</v>
      </c>
      <c r="BX7" s="209"/>
      <c r="BY7" s="209" t="s">
        <v>1999</v>
      </c>
      <c r="BZ7" s="211"/>
      <c r="CA7" s="209"/>
      <c r="CB7" s="209"/>
      <c r="CC7" s="211"/>
      <c r="CD7" s="211"/>
      <c r="CE7" s="208"/>
      <c r="CF7" s="208"/>
      <c r="CG7" s="211"/>
      <c r="CH7" s="210"/>
      <c r="CI7" s="210"/>
      <c r="CJ7" s="209"/>
      <c r="CK7" s="208" t="s">
        <v>2486</v>
      </c>
      <c r="CL7" s="209"/>
      <c r="CM7" s="209"/>
      <c r="CN7" s="209"/>
      <c r="CO7" s="209"/>
      <c r="CP7" s="208"/>
      <c r="CQ7" s="209" t="s">
        <v>2486</v>
      </c>
      <c r="CR7" s="209"/>
      <c r="CS7" s="208"/>
      <c r="CT7" s="209" t="s">
        <v>2486</v>
      </c>
      <c r="CU7" s="209"/>
      <c r="CV7" s="215" t="s">
        <v>2498</v>
      </c>
      <c r="CW7" s="208"/>
      <c r="CX7" s="216"/>
      <c r="CY7" s="209" t="s">
        <v>2499</v>
      </c>
      <c r="CZ7" s="209"/>
      <c r="DA7" s="209" t="s">
        <v>2500</v>
      </c>
      <c r="DB7" s="209" t="s">
        <v>2500</v>
      </c>
      <c r="DC7" s="209"/>
      <c r="DD7" s="209"/>
      <c r="DE7" s="210"/>
      <c r="DF7" s="209"/>
      <c r="DG7" s="216"/>
      <c r="DH7" s="217">
        <v>0</v>
      </c>
      <c r="DI7" s="208"/>
      <c r="DJ7" s="208"/>
      <c r="DK7" s="208"/>
      <c r="DL7" s="208"/>
      <c r="DM7" s="208"/>
      <c r="DN7" s="217">
        <v>0</v>
      </c>
      <c r="DO7" s="217">
        <v>0</v>
      </c>
      <c r="DP7" s="208" t="s">
        <v>2486</v>
      </c>
      <c r="DQ7" s="209"/>
      <c r="DR7" s="209"/>
      <c r="DS7" s="209" t="s">
        <v>2501</v>
      </c>
      <c r="DT7" s="209"/>
      <c r="DU7" s="209"/>
      <c r="DV7" s="209" t="s">
        <v>2502</v>
      </c>
      <c r="DW7" s="209" t="s">
        <v>2503</v>
      </c>
      <c r="DX7" s="209" t="s">
        <v>2498</v>
      </c>
    </row>
    <row r="8" spans="1:128" ht="19.5" customHeight="1">
      <c r="A8" s="206"/>
      <c r="B8" s="207" t="s">
        <v>2531</v>
      </c>
      <c r="C8" s="208"/>
      <c r="D8" s="208"/>
      <c r="E8" s="207" t="s">
        <v>2532</v>
      </c>
      <c r="F8" s="207" t="s">
        <v>2533</v>
      </c>
      <c r="G8" s="209" t="s">
        <v>2534</v>
      </c>
      <c r="H8" s="207" t="s">
        <v>2476</v>
      </c>
      <c r="I8" s="207" t="s">
        <v>2477</v>
      </c>
      <c r="J8" s="209" t="s">
        <v>2478</v>
      </c>
      <c r="K8" s="210">
        <v>46177</v>
      </c>
      <c r="L8" s="208" t="s">
        <v>2535</v>
      </c>
      <c r="M8" s="209" t="s">
        <v>2480</v>
      </c>
      <c r="N8" s="208" t="s">
        <v>2480</v>
      </c>
      <c r="O8" s="208" t="s">
        <v>2328</v>
      </c>
      <c r="P8" s="208" t="s">
        <v>2481</v>
      </c>
      <c r="Q8" s="208"/>
      <c r="R8" s="208"/>
      <c r="S8" s="208" t="s">
        <v>957</v>
      </c>
      <c r="T8" s="211" t="s">
        <v>2482</v>
      </c>
      <c r="U8" s="208" t="s">
        <v>116</v>
      </c>
      <c r="V8" s="208" t="s">
        <v>2510</v>
      </c>
      <c r="W8" s="209" t="s">
        <v>2484</v>
      </c>
      <c r="X8" s="208"/>
      <c r="Y8" s="208" t="s">
        <v>2485</v>
      </c>
      <c r="Z8" s="208"/>
      <c r="AA8" s="209"/>
      <c r="AB8" s="209"/>
      <c r="AC8" s="209"/>
      <c r="AD8" s="209"/>
      <c r="AE8" s="209"/>
      <c r="AF8" s="210"/>
      <c r="AG8" s="210"/>
      <c r="AH8" s="210"/>
      <c r="AI8" s="208"/>
      <c r="AJ8" s="208"/>
      <c r="AK8" s="208" t="s">
        <v>2486</v>
      </c>
      <c r="AL8" s="208"/>
      <c r="AM8" s="210"/>
      <c r="AN8" s="210"/>
      <c r="AO8" s="208"/>
      <c r="AP8" s="208" t="s">
        <v>2486</v>
      </c>
      <c r="AQ8" s="208" t="s">
        <v>2487</v>
      </c>
      <c r="AR8" s="209"/>
      <c r="AS8" s="209" t="s">
        <v>2488</v>
      </c>
      <c r="AT8" s="209" t="s">
        <v>2486</v>
      </c>
      <c r="AU8" s="209"/>
      <c r="AV8" s="212">
        <v>0</v>
      </c>
      <c r="AW8" s="208"/>
      <c r="AX8" s="209" t="s">
        <v>2486</v>
      </c>
      <c r="AY8" s="209" t="s">
        <v>2489</v>
      </c>
      <c r="AZ8" s="209" t="s">
        <v>2490</v>
      </c>
      <c r="BA8" s="209"/>
      <c r="BB8" s="209"/>
      <c r="BC8" s="209" t="s">
        <v>2478</v>
      </c>
      <c r="BD8" s="209" t="s">
        <v>2491</v>
      </c>
      <c r="BE8" s="209" t="s">
        <v>2492</v>
      </c>
      <c r="BF8" s="209"/>
      <c r="BG8" s="208"/>
      <c r="BH8" s="213"/>
      <c r="BI8" s="209" t="s">
        <v>2486</v>
      </c>
      <c r="BJ8" s="209"/>
      <c r="BK8" s="209" t="s">
        <v>2486</v>
      </c>
      <c r="BL8" s="209"/>
      <c r="BM8" s="209" t="s">
        <v>2493</v>
      </c>
      <c r="BN8" s="209" t="s">
        <v>2494</v>
      </c>
      <c r="BO8" s="214"/>
      <c r="BP8" s="208" t="s">
        <v>2486</v>
      </c>
      <c r="BQ8" s="209" t="s">
        <v>2495</v>
      </c>
      <c r="BR8" s="211" t="s">
        <v>2496</v>
      </c>
      <c r="BS8" s="211"/>
      <c r="BT8" s="208" t="s">
        <v>2486</v>
      </c>
      <c r="BU8" s="209"/>
      <c r="BV8" s="210"/>
      <c r="BW8" s="208" t="s">
        <v>2497</v>
      </c>
      <c r="BX8" s="209"/>
      <c r="BY8" s="209" t="s">
        <v>1999</v>
      </c>
      <c r="BZ8" s="211"/>
      <c r="CA8" s="209"/>
      <c r="CB8" s="209"/>
      <c r="CC8" s="211"/>
      <c r="CD8" s="211"/>
      <c r="CE8" s="208"/>
      <c r="CF8" s="208"/>
      <c r="CG8" s="211"/>
      <c r="CH8" s="210"/>
      <c r="CI8" s="210"/>
      <c r="CJ8" s="209"/>
      <c r="CK8" s="208" t="s">
        <v>2486</v>
      </c>
      <c r="CL8" s="209"/>
      <c r="CM8" s="209"/>
      <c r="CN8" s="209"/>
      <c r="CO8" s="209"/>
      <c r="CP8" s="208"/>
      <c r="CQ8" s="209" t="s">
        <v>2486</v>
      </c>
      <c r="CR8" s="209"/>
      <c r="CS8" s="208"/>
      <c r="CT8" s="209" t="s">
        <v>2486</v>
      </c>
      <c r="CU8" s="209"/>
      <c r="CV8" s="215" t="s">
        <v>2498</v>
      </c>
      <c r="CW8" s="208"/>
      <c r="CX8" s="216"/>
      <c r="CY8" s="209" t="s">
        <v>2499</v>
      </c>
      <c r="CZ8" s="209"/>
      <c r="DA8" s="209" t="s">
        <v>2500</v>
      </c>
      <c r="DB8" s="209" t="s">
        <v>2500</v>
      </c>
      <c r="DC8" s="209"/>
      <c r="DD8" s="209"/>
      <c r="DE8" s="210"/>
      <c r="DF8" s="209"/>
      <c r="DG8" s="216"/>
      <c r="DH8" s="217">
        <v>0</v>
      </c>
      <c r="DI8" s="208"/>
      <c r="DJ8" s="208"/>
      <c r="DK8" s="208"/>
      <c r="DL8" s="208"/>
      <c r="DM8" s="208"/>
      <c r="DN8" s="217">
        <v>0</v>
      </c>
      <c r="DO8" s="217">
        <v>0</v>
      </c>
      <c r="DP8" s="208" t="s">
        <v>2486</v>
      </c>
      <c r="DQ8" s="209"/>
      <c r="DR8" s="209"/>
      <c r="DS8" s="209" t="s">
        <v>2501</v>
      </c>
      <c r="DT8" s="209"/>
      <c r="DU8" s="209"/>
      <c r="DV8" s="209" t="s">
        <v>2502</v>
      </c>
      <c r="DW8" s="209" t="s">
        <v>2503</v>
      </c>
      <c r="DX8" s="209" t="s">
        <v>2498</v>
      </c>
    </row>
    <row r="9" spans="1:128" ht="19.5" customHeight="1">
      <c r="A9" s="206"/>
      <c r="B9" s="207" t="s">
        <v>2536</v>
      </c>
      <c r="C9" s="208"/>
      <c r="D9" s="208"/>
      <c r="E9" s="207" t="s">
        <v>2537</v>
      </c>
      <c r="F9" s="207" t="s">
        <v>2538</v>
      </c>
      <c r="G9" s="209" t="s">
        <v>2539</v>
      </c>
      <c r="H9" s="207" t="s">
        <v>2476</v>
      </c>
      <c r="I9" s="207" t="s">
        <v>2477</v>
      </c>
      <c r="J9" s="209" t="s">
        <v>2478</v>
      </c>
      <c r="K9" s="210">
        <v>46177</v>
      </c>
      <c r="L9" s="208" t="s">
        <v>2540</v>
      </c>
      <c r="M9" s="209" t="s">
        <v>2332</v>
      </c>
      <c r="N9" s="208" t="s">
        <v>2332</v>
      </c>
      <c r="O9" s="208" t="s">
        <v>2327</v>
      </c>
      <c r="P9" s="208" t="s">
        <v>2509</v>
      </c>
      <c r="Q9" s="208"/>
      <c r="R9" s="208"/>
      <c r="S9" s="208" t="s">
        <v>957</v>
      </c>
      <c r="T9" s="211" t="s">
        <v>2482</v>
      </c>
      <c r="U9" s="208" t="s">
        <v>1277</v>
      </c>
      <c r="V9" s="208" t="s">
        <v>2541</v>
      </c>
      <c r="W9" s="209" t="s">
        <v>2484</v>
      </c>
      <c r="X9" s="208"/>
      <c r="Y9" s="208" t="s">
        <v>2485</v>
      </c>
      <c r="Z9" s="208"/>
      <c r="AA9" s="209"/>
      <c r="AB9" s="209"/>
      <c r="AC9" s="209"/>
      <c r="AD9" s="209"/>
      <c r="AE9" s="209"/>
      <c r="AF9" s="210"/>
      <c r="AG9" s="210"/>
      <c r="AH9" s="210"/>
      <c r="AI9" s="208"/>
      <c r="AJ9" s="208"/>
      <c r="AK9" s="208" t="s">
        <v>2486</v>
      </c>
      <c r="AL9" s="208"/>
      <c r="AM9" s="210"/>
      <c r="AN9" s="210"/>
      <c r="AO9" s="208"/>
      <c r="AP9" s="208" t="s">
        <v>2486</v>
      </c>
      <c r="AQ9" s="208" t="s">
        <v>2487</v>
      </c>
      <c r="AR9" s="209"/>
      <c r="AS9" s="209" t="s">
        <v>2488</v>
      </c>
      <c r="AT9" s="209" t="s">
        <v>2486</v>
      </c>
      <c r="AU9" s="209"/>
      <c r="AV9" s="212">
        <v>0</v>
      </c>
      <c r="AW9" s="208"/>
      <c r="AX9" s="209" t="s">
        <v>2486</v>
      </c>
      <c r="AY9" s="209" t="s">
        <v>2489</v>
      </c>
      <c r="AZ9" s="209" t="s">
        <v>2490</v>
      </c>
      <c r="BA9" s="209"/>
      <c r="BB9" s="209"/>
      <c r="BC9" s="209" t="s">
        <v>2478</v>
      </c>
      <c r="BD9" s="209" t="s">
        <v>2491</v>
      </c>
      <c r="BE9" s="209" t="s">
        <v>2492</v>
      </c>
      <c r="BF9" s="209"/>
      <c r="BG9" s="208"/>
      <c r="BH9" s="213"/>
      <c r="BI9" s="209" t="s">
        <v>2486</v>
      </c>
      <c r="BJ9" s="209"/>
      <c r="BK9" s="209" t="s">
        <v>2486</v>
      </c>
      <c r="BL9" s="209"/>
      <c r="BM9" s="209" t="s">
        <v>2493</v>
      </c>
      <c r="BN9" s="209" t="s">
        <v>2494</v>
      </c>
      <c r="BO9" s="214"/>
      <c r="BP9" s="208" t="s">
        <v>2486</v>
      </c>
      <c r="BQ9" s="209" t="s">
        <v>2495</v>
      </c>
      <c r="BR9" s="211" t="s">
        <v>2496</v>
      </c>
      <c r="BS9" s="211"/>
      <c r="BT9" s="208" t="s">
        <v>2486</v>
      </c>
      <c r="BU9" s="209"/>
      <c r="BV9" s="210"/>
      <c r="BW9" s="208" t="s">
        <v>2497</v>
      </c>
      <c r="BX9" s="209"/>
      <c r="BY9" s="209" t="s">
        <v>1999</v>
      </c>
      <c r="BZ9" s="211"/>
      <c r="CA9" s="209"/>
      <c r="CB9" s="209"/>
      <c r="CC9" s="211"/>
      <c r="CD9" s="211"/>
      <c r="CE9" s="208"/>
      <c r="CF9" s="208"/>
      <c r="CG9" s="211"/>
      <c r="CH9" s="210"/>
      <c r="CI9" s="210"/>
      <c r="CJ9" s="209"/>
      <c r="CK9" s="208" t="s">
        <v>2486</v>
      </c>
      <c r="CL9" s="209"/>
      <c r="CM9" s="209"/>
      <c r="CN9" s="209"/>
      <c r="CO9" s="209"/>
      <c r="CP9" s="208"/>
      <c r="CQ9" s="209" t="s">
        <v>2486</v>
      </c>
      <c r="CR9" s="209"/>
      <c r="CS9" s="208"/>
      <c r="CT9" s="209" t="s">
        <v>2486</v>
      </c>
      <c r="CU9" s="209"/>
      <c r="CV9" s="215" t="s">
        <v>2498</v>
      </c>
      <c r="CW9" s="208"/>
      <c r="CX9" s="216"/>
      <c r="CY9" s="209" t="s">
        <v>2499</v>
      </c>
      <c r="CZ9" s="209"/>
      <c r="DA9" s="209" t="s">
        <v>2500</v>
      </c>
      <c r="DB9" s="209" t="s">
        <v>2500</v>
      </c>
      <c r="DC9" s="209"/>
      <c r="DD9" s="209"/>
      <c r="DE9" s="210"/>
      <c r="DF9" s="209"/>
      <c r="DG9" s="216"/>
      <c r="DH9" s="217">
        <v>0</v>
      </c>
      <c r="DI9" s="208"/>
      <c r="DJ9" s="208"/>
      <c r="DK9" s="208"/>
      <c r="DL9" s="208"/>
      <c r="DM9" s="208"/>
      <c r="DN9" s="217">
        <v>0</v>
      </c>
      <c r="DO9" s="217">
        <v>0</v>
      </c>
      <c r="DP9" s="208" t="s">
        <v>2486</v>
      </c>
      <c r="DQ9" s="209"/>
      <c r="DR9" s="209"/>
      <c r="DS9" s="209" t="s">
        <v>2501</v>
      </c>
      <c r="DT9" s="209"/>
      <c r="DU9" s="209"/>
      <c r="DV9" s="209" t="s">
        <v>2502</v>
      </c>
      <c r="DW9" s="209" t="s">
        <v>2503</v>
      </c>
      <c r="DX9" s="209" t="s">
        <v>2498</v>
      </c>
    </row>
    <row r="10" spans="1:128" ht="19.5" customHeight="1">
      <c r="A10" s="206"/>
      <c r="B10" s="207" t="s">
        <v>2542</v>
      </c>
      <c r="C10" s="208"/>
      <c r="D10" s="208"/>
      <c r="E10" s="207" t="s">
        <v>2543</v>
      </c>
      <c r="F10" s="207" t="s">
        <v>2544</v>
      </c>
      <c r="G10" s="209" t="s">
        <v>2545</v>
      </c>
      <c r="H10" s="207" t="s">
        <v>2476</v>
      </c>
      <c r="I10" s="207" t="s">
        <v>2477</v>
      </c>
      <c r="J10" s="209" t="s">
        <v>2478</v>
      </c>
      <c r="K10" s="210">
        <v>46177</v>
      </c>
      <c r="L10" s="208" t="s">
        <v>2546</v>
      </c>
      <c r="M10" s="209" t="s">
        <v>2332</v>
      </c>
      <c r="N10" s="208" t="s">
        <v>2332</v>
      </c>
      <c r="O10" s="208" t="s">
        <v>2327</v>
      </c>
      <c r="P10" s="208" t="s">
        <v>2509</v>
      </c>
      <c r="Q10" s="208"/>
      <c r="R10" s="208"/>
      <c r="S10" s="208" t="s">
        <v>957</v>
      </c>
      <c r="T10" s="211" t="s">
        <v>2482</v>
      </c>
      <c r="U10" s="208" t="s">
        <v>1277</v>
      </c>
      <c r="V10" s="208" t="s">
        <v>2510</v>
      </c>
      <c r="W10" s="209" t="s">
        <v>2484</v>
      </c>
      <c r="X10" s="208"/>
      <c r="Y10" s="208" t="s">
        <v>2485</v>
      </c>
      <c r="Z10" s="208"/>
      <c r="AA10" s="209"/>
      <c r="AB10" s="209"/>
      <c r="AC10" s="209"/>
      <c r="AD10" s="209"/>
      <c r="AE10" s="209"/>
      <c r="AF10" s="210"/>
      <c r="AG10" s="210"/>
      <c r="AH10" s="210"/>
      <c r="AI10" s="208"/>
      <c r="AJ10" s="208"/>
      <c r="AK10" s="208" t="s">
        <v>2486</v>
      </c>
      <c r="AL10" s="208"/>
      <c r="AM10" s="210"/>
      <c r="AN10" s="210"/>
      <c r="AO10" s="208"/>
      <c r="AP10" s="208" t="s">
        <v>2486</v>
      </c>
      <c r="AQ10" s="208" t="s">
        <v>2487</v>
      </c>
      <c r="AR10" s="209"/>
      <c r="AS10" s="209" t="s">
        <v>2488</v>
      </c>
      <c r="AT10" s="209" t="s">
        <v>2486</v>
      </c>
      <c r="AU10" s="209"/>
      <c r="AV10" s="212">
        <v>0</v>
      </c>
      <c r="AW10" s="208"/>
      <c r="AX10" s="209" t="s">
        <v>2486</v>
      </c>
      <c r="AY10" s="209" t="s">
        <v>2489</v>
      </c>
      <c r="AZ10" s="209" t="s">
        <v>2490</v>
      </c>
      <c r="BA10" s="209"/>
      <c r="BB10" s="209"/>
      <c r="BC10" s="209" t="s">
        <v>2478</v>
      </c>
      <c r="BD10" s="209" t="s">
        <v>2491</v>
      </c>
      <c r="BE10" s="209" t="s">
        <v>2492</v>
      </c>
      <c r="BF10" s="209"/>
      <c r="BG10" s="208"/>
      <c r="BH10" s="213"/>
      <c r="BI10" s="209" t="s">
        <v>2486</v>
      </c>
      <c r="BJ10" s="209"/>
      <c r="BK10" s="209" t="s">
        <v>2486</v>
      </c>
      <c r="BL10" s="209"/>
      <c r="BM10" s="209" t="s">
        <v>2493</v>
      </c>
      <c r="BN10" s="209" t="s">
        <v>2494</v>
      </c>
      <c r="BO10" s="214"/>
      <c r="BP10" s="208" t="s">
        <v>2486</v>
      </c>
      <c r="BQ10" s="209" t="s">
        <v>2495</v>
      </c>
      <c r="BR10" s="211" t="s">
        <v>2496</v>
      </c>
      <c r="BS10" s="211"/>
      <c r="BT10" s="208" t="s">
        <v>2486</v>
      </c>
      <c r="BU10" s="209"/>
      <c r="BV10" s="210"/>
      <c r="BW10" s="208" t="s">
        <v>2497</v>
      </c>
      <c r="BX10" s="209"/>
      <c r="BY10" s="209" t="s">
        <v>1999</v>
      </c>
      <c r="BZ10" s="211"/>
      <c r="CA10" s="209"/>
      <c r="CB10" s="209"/>
      <c r="CC10" s="211"/>
      <c r="CD10" s="211"/>
      <c r="CE10" s="208"/>
      <c r="CF10" s="208"/>
      <c r="CG10" s="211"/>
      <c r="CH10" s="210"/>
      <c r="CI10" s="210"/>
      <c r="CJ10" s="209"/>
      <c r="CK10" s="208" t="s">
        <v>2486</v>
      </c>
      <c r="CL10" s="209"/>
      <c r="CM10" s="209"/>
      <c r="CN10" s="209"/>
      <c r="CO10" s="209"/>
      <c r="CP10" s="208"/>
      <c r="CQ10" s="209" t="s">
        <v>2486</v>
      </c>
      <c r="CR10" s="209"/>
      <c r="CS10" s="208"/>
      <c r="CT10" s="209" t="s">
        <v>2486</v>
      </c>
      <c r="CU10" s="209"/>
      <c r="CV10" s="215" t="s">
        <v>2498</v>
      </c>
      <c r="CW10" s="208"/>
      <c r="CX10" s="216"/>
      <c r="CY10" s="209" t="s">
        <v>2499</v>
      </c>
      <c r="CZ10" s="209"/>
      <c r="DA10" s="209" t="s">
        <v>2500</v>
      </c>
      <c r="DB10" s="209" t="s">
        <v>2500</v>
      </c>
      <c r="DC10" s="209"/>
      <c r="DD10" s="209"/>
      <c r="DE10" s="210"/>
      <c r="DF10" s="209"/>
      <c r="DG10" s="216"/>
      <c r="DH10" s="217">
        <v>0</v>
      </c>
      <c r="DI10" s="208"/>
      <c r="DJ10" s="208"/>
      <c r="DK10" s="208"/>
      <c r="DL10" s="208"/>
      <c r="DM10" s="208"/>
      <c r="DN10" s="217">
        <v>0</v>
      </c>
      <c r="DO10" s="217">
        <v>0</v>
      </c>
      <c r="DP10" s="208" t="s">
        <v>2486</v>
      </c>
      <c r="DQ10" s="209"/>
      <c r="DR10" s="209"/>
      <c r="DS10" s="209" t="s">
        <v>2501</v>
      </c>
      <c r="DT10" s="209"/>
      <c r="DU10" s="209"/>
      <c r="DV10" s="209" t="s">
        <v>2502</v>
      </c>
      <c r="DW10" s="209" t="s">
        <v>2503</v>
      </c>
      <c r="DX10" s="209" t="s">
        <v>2498</v>
      </c>
    </row>
    <row r="11" spans="1:128" ht="19.5" customHeight="1">
      <c r="A11" s="206"/>
      <c r="B11" s="207" t="s">
        <v>2547</v>
      </c>
      <c r="C11" s="208"/>
      <c r="D11" s="208"/>
      <c r="E11" s="207" t="s">
        <v>2548</v>
      </c>
      <c r="F11" s="207" t="s">
        <v>2549</v>
      </c>
      <c r="G11" s="209" t="s">
        <v>2550</v>
      </c>
      <c r="H11" s="207" t="s">
        <v>2476</v>
      </c>
      <c r="I11" s="207" t="s">
        <v>2477</v>
      </c>
      <c r="J11" s="209" t="s">
        <v>2478</v>
      </c>
      <c r="K11" s="210">
        <v>46177</v>
      </c>
      <c r="L11" s="208" t="s">
        <v>2551</v>
      </c>
      <c r="M11" s="209" t="s">
        <v>2344</v>
      </c>
      <c r="N11" s="208" t="s">
        <v>2344</v>
      </c>
      <c r="O11" s="208" t="s">
        <v>2552</v>
      </c>
      <c r="P11" s="208" t="s">
        <v>2553</v>
      </c>
      <c r="Q11" s="208"/>
      <c r="R11" s="208"/>
      <c r="S11" s="208" t="s">
        <v>103</v>
      </c>
      <c r="T11" s="211" t="s">
        <v>2482</v>
      </c>
      <c r="U11" s="208" t="s">
        <v>2554</v>
      </c>
      <c r="V11" s="208" t="s">
        <v>2515</v>
      </c>
      <c r="W11" s="209" t="s">
        <v>2484</v>
      </c>
      <c r="X11" s="208"/>
      <c r="Y11" s="208" t="s">
        <v>2485</v>
      </c>
      <c r="Z11" s="208"/>
      <c r="AA11" s="209"/>
      <c r="AB11" s="209"/>
      <c r="AC11" s="209"/>
      <c r="AD11" s="209"/>
      <c r="AE11" s="209"/>
      <c r="AF11" s="210"/>
      <c r="AG11" s="210"/>
      <c r="AH11" s="210"/>
      <c r="AI11" s="208"/>
      <c r="AJ11" s="208"/>
      <c r="AK11" s="208" t="s">
        <v>2486</v>
      </c>
      <c r="AL11" s="208"/>
      <c r="AM11" s="210"/>
      <c r="AN11" s="210"/>
      <c r="AO11" s="208"/>
      <c r="AP11" s="208" t="s">
        <v>2486</v>
      </c>
      <c r="AQ11" s="208" t="s">
        <v>2487</v>
      </c>
      <c r="AR11" s="209"/>
      <c r="AS11" s="209" t="s">
        <v>2488</v>
      </c>
      <c r="AT11" s="209" t="s">
        <v>2486</v>
      </c>
      <c r="AU11" s="209"/>
      <c r="AV11" s="212">
        <v>0</v>
      </c>
      <c r="AW11" s="208"/>
      <c r="AX11" s="209" t="s">
        <v>2486</v>
      </c>
      <c r="AY11" s="209" t="s">
        <v>2489</v>
      </c>
      <c r="AZ11" s="209" t="s">
        <v>2490</v>
      </c>
      <c r="BA11" s="209"/>
      <c r="BB11" s="209"/>
      <c r="BC11" s="209" t="s">
        <v>2478</v>
      </c>
      <c r="BD11" s="209" t="s">
        <v>2491</v>
      </c>
      <c r="BE11" s="209" t="s">
        <v>2492</v>
      </c>
      <c r="BF11" s="209"/>
      <c r="BG11" s="208"/>
      <c r="BH11" s="213"/>
      <c r="BI11" s="209" t="s">
        <v>2486</v>
      </c>
      <c r="BJ11" s="209"/>
      <c r="BK11" s="209" t="s">
        <v>2486</v>
      </c>
      <c r="BL11" s="209"/>
      <c r="BM11" s="209" t="s">
        <v>2555</v>
      </c>
      <c r="BN11" s="209" t="s">
        <v>2556</v>
      </c>
      <c r="BO11" s="214" t="s">
        <v>2498</v>
      </c>
      <c r="BP11" s="208" t="s">
        <v>2486</v>
      </c>
      <c r="BQ11" s="209" t="s">
        <v>1477</v>
      </c>
      <c r="BR11" s="211" t="s">
        <v>144</v>
      </c>
      <c r="BS11" s="211"/>
      <c r="BT11" s="208" t="s">
        <v>2486</v>
      </c>
      <c r="BU11" s="209"/>
      <c r="BV11" s="210"/>
      <c r="BW11" s="208" t="s">
        <v>2497</v>
      </c>
      <c r="BX11" s="209"/>
      <c r="BY11" s="209" t="s">
        <v>1999</v>
      </c>
      <c r="BZ11" s="211"/>
      <c r="CA11" s="209"/>
      <c r="CB11" s="209"/>
      <c r="CC11" s="211"/>
      <c r="CD11" s="211"/>
      <c r="CE11" s="208"/>
      <c r="CF11" s="208"/>
      <c r="CG11" s="211"/>
      <c r="CH11" s="210"/>
      <c r="CI11" s="210"/>
      <c r="CJ11" s="209"/>
      <c r="CK11" s="208" t="s">
        <v>2486</v>
      </c>
      <c r="CL11" s="209"/>
      <c r="CM11" s="209"/>
      <c r="CN11" s="209"/>
      <c r="CO11" s="209"/>
      <c r="CP11" s="208"/>
      <c r="CQ11" s="209" t="s">
        <v>2486</v>
      </c>
      <c r="CR11" s="209"/>
      <c r="CS11" s="208"/>
      <c r="CT11" s="209" t="s">
        <v>2486</v>
      </c>
      <c r="CU11" s="209"/>
      <c r="CV11" s="215" t="s">
        <v>2498</v>
      </c>
      <c r="CW11" s="208"/>
      <c r="CX11" s="216"/>
      <c r="CY11" s="209" t="s">
        <v>2499</v>
      </c>
      <c r="CZ11" s="209"/>
      <c r="DA11" s="209" t="s">
        <v>2500</v>
      </c>
      <c r="DB11" s="209" t="s">
        <v>2500</v>
      </c>
      <c r="DC11" s="209"/>
      <c r="DD11" s="209"/>
      <c r="DE11" s="210"/>
      <c r="DF11" s="209"/>
      <c r="DG11" s="216"/>
      <c r="DH11" s="217">
        <v>1023500</v>
      </c>
      <c r="DI11" s="208"/>
      <c r="DJ11" s="208"/>
      <c r="DK11" s="208"/>
      <c r="DL11" s="208"/>
      <c r="DM11" s="208"/>
      <c r="DN11" s="217">
        <v>0</v>
      </c>
      <c r="DO11" s="217">
        <v>0</v>
      </c>
      <c r="DP11" s="208" t="s">
        <v>2486</v>
      </c>
      <c r="DQ11" s="209"/>
      <c r="DR11" s="209"/>
      <c r="DS11" s="209" t="s">
        <v>2501</v>
      </c>
      <c r="DT11" s="209"/>
      <c r="DU11" s="209"/>
      <c r="DV11" s="209" t="s">
        <v>2502</v>
      </c>
      <c r="DW11" s="209" t="s">
        <v>2503</v>
      </c>
      <c r="DX11" s="209" t="s">
        <v>2498</v>
      </c>
    </row>
    <row r="12" spans="1:128" ht="19.5" customHeight="1">
      <c r="A12" s="206"/>
      <c r="B12" s="207" t="s">
        <v>2557</v>
      </c>
      <c r="C12" s="208"/>
      <c r="D12" s="208"/>
      <c r="E12" s="207" t="s">
        <v>2558</v>
      </c>
      <c r="F12" s="207" t="s">
        <v>2559</v>
      </c>
      <c r="G12" s="209" t="s">
        <v>2560</v>
      </c>
      <c r="H12" s="207" t="s">
        <v>2561</v>
      </c>
      <c r="I12" s="207" t="s">
        <v>2477</v>
      </c>
      <c r="J12" s="209" t="s">
        <v>2478</v>
      </c>
      <c r="K12" s="210">
        <v>46177</v>
      </c>
      <c r="L12" s="208" t="s">
        <v>2562</v>
      </c>
      <c r="M12" s="209" t="s">
        <v>2344</v>
      </c>
      <c r="N12" s="208" t="s">
        <v>2344</v>
      </c>
      <c r="O12" s="208" t="s">
        <v>2552</v>
      </c>
      <c r="P12" s="208" t="s">
        <v>2553</v>
      </c>
      <c r="Q12" s="208"/>
      <c r="R12" s="208"/>
      <c r="S12" s="208" t="s">
        <v>103</v>
      </c>
      <c r="T12" s="211" t="s">
        <v>2482</v>
      </c>
      <c r="U12" s="208" t="s">
        <v>1270</v>
      </c>
      <c r="V12" s="208" t="s">
        <v>2563</v>
      </c>
      <c r="W12" s="209" t="s">
        <v>2484</v>
      </c>
      <c r="X12" s="208" t="s">
        <v>2564</v>
      </c>
      <c r="Y12" s="208" t="s">
        <v>2485</v>
      </c>
      <c r="Z12" s="208" t="s">
        <v>2565</v>
      </c>
      <c r="AA12" s="209" t="s">
        <v>2566</v>
      </c>
      <c r="AB12" s="209" t="s">
        <v>2567</v>
      </c>
      <c r="AC12" s="209" t="s">
        <v>2568</v>
      </c>
      <c r="AD12" s="209" t="s">
        <v>2569</v>
      </c>
      <c r="AE12" s="209" t="s">
        <v>2570</v>
      </c>
      <c r="AF12" s="210"/>
      <c r="AG12" s="210"/>
      <c r="AH12" s="210"/>
      <c r="AI12" s="208"/>
      <c r="AJ12" s="208"/>
      <c r="AK12" s="208" t="s">
        <v>2486</v>
      </c>
      <c r="AL12" s="208"/>
      <c r="AM12" s="210"/>
      <c r="AN12" s="210"/>
      <c r="AO12" s="208"/>
      <c r="AP12" s="208" t="s">
        <v>2486</v>
      </c>
      <c r="AQ12" s="208" t="s">
        <v>2487</v>
      </c>
      <c r="AR12" s="209"/>
      <c r="AS12" s="209" t="s">
        <v>2488</v>
      </c>
      <c r="AT12" s="209" t="s">
        <v>2486</v>
      </c>
      <c r="AU12" s="209"/>
      <c r="AV12" s="212">
        <v>0</v>
      </c>
      <c r="AW12" s="208"/>
      <c r="AX12" s="209" t="s">
        <v>2486</v>
      </c>
      <c r="AY12" s="209" t="s">
        <v>2489</v>
      </c>
      <c r="AZ12" s="209" t="s">
        <v>2490</v>
      </c>
      <c r="BA12" s="209"/>
      <c r="BB12" s="209"/>
      <c r="BC12" s="209" t="s">
        <v>2478</v>
      </c>
      <c r="BD12" s="209" t="s">
        <v>2491</v>
      </c>
      <c r="BE12" s="209" t="s">
        <v>2492</v>
      </c>
      <c r="BF12" s="209" t="s">
        <v>2486</v>
      </c>
      <c r="BG12" s="208"/>
      <c r="BH12" s="213"/>
      <c r="BI12" s="209" t="s">
        <v>2486</v>
      </c>
      <c r="BJ12" s="209"/>
      <c r="BK12" s="209" t="s">
        <v>2486</v>
      </c>
      <c r="BL12" s="209"/>
      <c r="BM12" s="209" t="s">
        <v>2555</v>
      </c>
      <c r="BN12" s="209" t="s">
        <v>2556</v>
      </c>
      <c r="BO12" s="214" t="s">
        <v>2498</v>
      </c>
      <c r="BP12" s="208" t="s">
        <v>2486</v>
      </c>
      <c r="BQ12" s="209" t="s">
        <v>1477</v>
      </c>
      <c r="BR12" s="211" t="s">
        <v>144</v>
      </c>
      <c r="BS12" s="211"/>
      <c r="BT12" s="208" t="s">
        <v>2486</v>
      </c>
      <c r="BU12" s="209"/>
      <c r="BV12" s="210"/>
      <c r="BW12" s="208" t="s">
        <v>2497</v>
      </c>
      <c r="BX12" s="209" t="s">
        <v>2571</v>
      </c>
      <c r="BY12" s="209" t="s">
        <v>1999</v>
      </c>
      <c r="BZ12" s="211"/>
      <c r="CA12" s="209"/>
      <c r="CB12" s="209"/>
      <c r="CC12" s="211"/>
      <c r="CD12" s="211"/>
      <c r="CE12" s="208"/>
      <c r="CF12" s="208"/>
      <c r="CG12" s="211"/>
      <c r="CH12" s="210"/>
      <c r="CI12" s="210"/>
      <c r="CJ12" s="209"/>
      <c r="CK12" s="208" t="s">
        <v>2486</v>
      </c>
      <c r="CL12" s="209"/>
      <c r="CM12" s="209"/>
      <c r="CN12" s="209"/>
      <c r="CO12" s="209"/>
      <c r="CP12" s="208"/>
      <c r="CQ12" s="209" t="s">
        <v>2486</v>
      </c>
      <c r="CR12" s="209"/>
      <c r="CS12" s="208"/>
      <c r="CT12" s="209" t="s">
        <v>2486</v>
      </c>
      <c r="CU12" s="209"/>
      <c r="CV12" s="215" t="s">
        <v>2498</v>
      </c>
      <c r="CW12" s="208"/>
      <c r="CX12" s="216"/>
      <c r="CY12" s="209" t="s">
        <v>2499</v>
      </c>
      <c r="CZ12" s="209"/>
      <c r="DA12" s="209" t="s">
        <v>2500</v>
      </c>
      <c r="DB12" s="209" t="s">
        <v>2500</v>
      </c>
      <c r="DC12" s="209" t="s">
        <v>2572</v>
      </c>
      <c r="DD12" s="209"/>
      <c r="DE12" s="210"/>
      <c r="DF12" s="209"/>
      <c r="DG12" s="216"/>
      <c r="DH12" s="217">
        <v>1023500</v>
      </c>
      <c r="DI12" s="208"/>
      <c r="DJ12" s="208"/>
      <c r="DK12" s="208"/>
      <c r="DL12" s="208"/>
      <c r="DM12" s="208"/>
      <c r="DN12" s="217">
        <v>0</v>
      </c>
      <c r="DO12" s="217">
        <v>0</v>
      </c>
      <c r="DP12" s="208" t="s">
        <v>2486</v>
      </c>
      <c r="DQ12" s="209"/>
      <c r="DR12" s="209"/>
      <c r="DS12" s="209" t="s">
        <v>2501</v>
      </c>
      <c r="DT12" s="209"/>
      <c r="DU12" s="209"/>
      <c r="DV12" s="209" t="s">
        <v>2502</v>
      </c>
      <c r="DW12" s="209" t="s">
        <v>2503</v>
      </c>
      <c r="DX12" s="209" t="s">
        <v>2498</v>
      </c>
    </row>
    <row r="13" spans="1:128" ht="19.5" customHeight="1">
      <c r="A13" s="206"/>
      <c r="B13" s="207" t="s">
        <v>2573</v>
      </c>
      <c r="C13" s="208"/>
      <c r="D13" s="208"/>
      <c r="E13" s="207" t="s">
        <v>2574</v>
      </c>
      <c r="F13" s="207" t="s">
        <v>2575</v>
      </c>
      <c r="G13" s="209" t="s">
        <v>2576</v>
      </c>
      <c r="H13" s="207" t="s">
        <v>2561</v>
      </c>
      <c r="I13" s="207" t="s">
        <v>2477</v>
      </c>
      <c r="J13" s="209" t="s">
        <v>2478</v>
      </c>
      <c r="K13" s="210">
        <v>46177</v>
      </c>
      <c r="L13" s="208" t="s">
        <v>2540</v>
      </c>
      <c r="M13" s="209" t="s">
        <v>2344</v>
      </c>
      <c r="N13" s="208" t="s">
        <v>2344</v>
      </c>
      <c r="O13" s="208" t="s">
        <v>2552</v>
      </c>
      <c r="P13" s="208" t="s">
        <v>2553</v>
      </c>
      <c r="Q13" s="208"/>
      <c r="R13" s="208"/>
      <c r="S13" s="208" t="s">
        <v>103</v>
      </c>
      <c r="T13" s="211" t="s">
        <v>2482</v>
      </c>
      <c r="U13" s="208" t="s">
        <v>1270</v>
      </c>
      <c r="V13" s="208" t="s">
        <v>2563</v>
      </c>
      <c r="W13" s="209" t="s">
        <v>2484</v>
      </c>
      <c r="X13" s="208" t="s">
        <v>2577</v>
      </c>
      <c r="Y13" s="208" t="s">
        <v>2485</v>
      </c>
      <c r="Z13" s="208" t="s">
        <v>2578</v>
      </c>
      <c r="AA13" s="209" t="s">
        <v>2566</v>
      </c>
      <c r="AB13" s="209" t="s">
        <v>2579</v>
      </c>
      <c r="AC13" s="209" t="s">
        <v>2580</v>
      </c>
      <c r="AD13" s="209" t="s">
        <v>2581</v>
      </c>
      <c r="AE13" s="209" t="s">
        <v>2582</v>
      </c>
      <c r="AF13" s="210"/>
      <c r="AG13" s="210"/>
      <c r="AH13" s="210"/>
      <c r="AI13" s="208"/>
      <c r="AJ13" s="208"/>
      <c r="AK13" s="208" t="s">
        <v>2486</v>
      </c>
      <c r="AL13" s="208"/>
      <c r="AM13" s="210"/>
      <c r="AN13" s="210"/>
      <c r="AO13" s="208"/>
      <c r="AP13" s="208" t="s">
        <v>2486</v>
      </c>
      <c r="AQ13" s="208" t="s">
        <v>2487</v>
      </c>
      <c r="AR13" s="209"/>
      <c r="AS13" s="209" t="s">
        <v>2488</v>
      </c>
      <c r="AT13" s="209" t="s">
        <v>2486</v>
      </c>
      <c r="AU13" s="209"/>
      <c r="AV13" s="212">
        <v>0</v>
      </c>
      <c r="AW13" s="208"/>
      <c r="AX13" s="209" t="s">
        <v>2486</v>
      </c>
      <c r="AY13" s="209" t="s">
        <v>2489</v>
      </c>
      <c r="AZ13" s="209" t="s">
        <v>2490</v>
      </c>
      <c r="BA13" s="209"/>
      <c r="BB13" s="209"/>
      <c r="BC13" s="209" t="s">
        <v>2478</v>
      </c>
      <c r="BD13" s="209" t="s">
        <v>2491</v>
      </c>
      <c r="BE13" s="209" t="s">
        <v>2492</v>
      </c>
      <c r="BF13" s="209" t="s">
        <v>2486</v>
      </c>
      <c r="BG13" s="208"/>
      <c r="BH13" s="213"/>
      <c r="BI13" s="209" t="s">
        <v>2486</v>
      </c>
      <c r="BJ13" s="209"/>
      <c r="BK13" s="209" t="s">
        <v>2486</v>
      </c>
      <c r="BL13" s="209"/>
      <c r="BM13" s="209" t="s">
        <v>2555</v>
      </c>
      <c r="BN13" s="209" t="s">
        <v>2556</v>
      </c>
      <c r="BO13" s="214" t="s">
        <v>2498</v>
      </c>
      <c r="BP13" s="208" t="s">
        <v>2486</v>
      </c>
      <c r="BQ13" s="209" t="s">
        <v>1477</v>
      </c>
      <c r="BR13" s="211" t="s">
        <v>144</v>
      </c>
      <c r="BS13" s="211"/>
      <c r="BT13" s="208" t="s">
        <v>2486</v>
      </c>
      <c r="BU13" s="209"/>
      <c r="BV13" s="210"/>
      <c r="BW13" s="208" t="s">
        <v>2497</v>
      </c>
      <c r="BX13" s="209" t="s">
        <v>2583</v>
      </c>
      <c r="BY13" s="209" t="s">
        <v>1999</v>
      </c>
      <c r="BZ13" s="211"/>
      <c r="CA13" s="209"/>
      <c r="CB13" s="209"/>
      <c r="CC13" s="211"/>
      <c r="CD13" s="211"/>
      <c r="CE13" s="208"/>
      <c r="CF13" s="208"/>
      <c r="CG13" s="211"/>
      <c r="CH13" s="210"/>
      <c r="CI13" s="210"/>
      <c r="CJ13" s="209"/>
      <c r="CK13" s="208" t="s">
        <v>2486</v>
      </c>
      <c r="CL13" s="209"/>
      <c r="CM13" s="209"/>
      <c r="CN13" s="209"/>
      <c r="CO13" s="209"/>
      <c r="CP13" s="208"/>
      <c r="CQ13" s="209" t="s">
        <v>2486</v>
      </c>
      <c r="CR13" s="209"/>
      <c r="CS13" s="208"/>
      <c r="CT13" s="209" t="s">
        <v>2486</v>
      </c>
      <c r="CU13" s="209"/>
      <c r="CV13" s="215" t="s">
        <v>2498</v>
      </c>
      <c r="CW13" s="208"/>
      <c r="CX13" s="216"/>
      <c r="CY13" s="209" t="s">
        <v>2499</v>
      </c>
      <c r="CZ13" s="209"/>
      <c r="DA13" s="209" t="s">
        <v>2500</v>
      </c>
      <c r="DB13" s="209" t="s">
        <v>2500</v>
      </c>
      <c r="DC13" s="209" t="s">
        <v>2572</v>
      </c>
      <c r="DD13" s="209"/>
      <c r="DE13" s="210"/>
      <c r="DF13" s="209"/>
      <c r="DG13" s="216"/>
      <c r="DH13" s="217">
        <v>1023500</v>
      </c>
      <c r="DI13" s="208"/>
      <c r="DJ13" s="208"/>
      <c r="DK13" s="208"/>
      <c r="DL13" s="208"/>
      <c r="DM13" s="208"/>
      <c r="DN13" s="217">
        <v>0</v>
      </c>
      <c r="DO13" s="217">
        <v>0</v>
      </c>
      <c r="DP13" s="208" t="s">
        <v>2486</v>
      </c>
      <c r="DQ13" s="209"/>
      <c r="DR13" s="209"/>
      <c r="DS13" s="209" t="s">
        <v>2501</v>
      </c>
      <c r="DT13" s="209"/>
      <c r="DU13" s="209"/>
      <c r="DV13" s="209" t="s">
        <v>2502</v>
      </c>
      <c r="DW13" s="209" t="s">
        <v>2503</v>
      </c>
      <c r="DX13" s="209" t="s">
        <v>2498</v>
      </c>
    </row>
    <row r="14" spans="1:128" ht="19.5" customHeight="1">
      <c r="A14" s="206"/>
      <c r="B14" s="207" t="s">
        <v>2584</v>
      </c>
      <c r="C14" s="208"/>
      <c r="D14" s="208"/>
      <c r="E14" s="207" t="s">
        <v>2585</v>
      </c>
      <c r="F14" s="207" t="s">
        <v>2586</v>
      </c>
      <c r="G14" s="209" t="s">
        <v>2587</v>
      </c>
      <c r="H14" s="207" t="s">
        <v>2476</v>
      </c>
      <c r="I14" s="207" t="s">
        <v>2477</v>
      </c>
      <c r="J14" s="209" t="s">
        <v>2478</v>
      </c>
      <c r="K14" s="210">
        <v>46177</v>
      </c>
      <c r="L14" s="208" t="s">
        <v>2588</v>
      </c>
      <c r="M14" s="209" t="s">
        <v>2344</v>
      </c>
      <c r="N14" s="208" t="s">
        <v>2344</v>
      </c>
      <c r="O14" s="208" t="s">
        <v>2552</v>
      </c>
      <c r="P14" s="208" t="s">
        <v>2553</v>
      </c>
      <c r="Q14" s="208"/>
      <c r="R14" s="208"/>
      <c r="S14" s="208" t="s">
        <v>103</v>
      </c>
      <c r="T14" s="211" t="s">
        <v>2482</v>
      </c>
      <c r="U14" s="208" t="s">
        <v>1270</v>
      </c>
      <c r="V14" s="208" t="s">
        <v>2589</v>
      </c>
      <c r="W14" s="209" t="s">
        <v>2484</v>
      </c>
      <c r="X14" s="208"/>
      <c r="Y14" s="208" t="s">
        <v>2485</v>
      </c>
      <c r="Z14" s="208"/>
      <c r="AA14" s="209"/>
      <c r="AB14" s="209"/>
      <c r="AC14" s="209"/>
      <c r="AD14" s="209"/>
      <c r="AE14" s="209"/>
      <c r="AF14" s="210"/>
      <c r="AG14" s="210"/>
      <c r="AH14" s="210"/>
      <c r="AI14" s="208"/>
      <c r="AJ14" s="208"/>
      <c r="AK14" s="208" t="s">
        <v>2486</v>
      </c>
      <c r="AL14" s="208"/>
      <c r="AM14" s="210"/>
      <c r="AN14" s="210"/>
      <c r="AO14" s="208"/>
      <c r="AP14" s="208" t="s">
        <v>2486</v>
      </c>
      <c r="AQ14" s="208" t="s">
        <v>2487</v>
      </c>
      <c r="AR14" s="209"/>
      <c r="AS14" s="209" t="s">
        <v>2488</v>
      </c>
      <c r="AT14" s="209" t="s">
        <v>2486</v>
      </c>
      <c r="AU14" s="209"/>
      <c r="AV14" s="212">
        <v>0</v>
      </c>
      <c r="AW14" s="208"/>
      <c r="AX14" s="209" t="s">
        <v>2486</v>
      </c>
      <c r="AY14" s="209" t="s">
        <v>2489</v>
      </c>
      <c r="AZ14" s="209" t="s">
        <v>2490</v>
      </c>
      <c r="BA14" s="209"/>
      <c r="BB14" s="209"/>
      <c r="BC14" s="209" t="s">
        <v>2478</v>
      </c>
      <c r="BD14" s="209" t="s">
        <v>2491</v>
      </c>
      <c r="BE14" s="209" t="s">
        <v>2492</v>
      </c>
      <c r="BF14" s="209"/>
      <c r="BG14" s="208"/>
      <c r="BH14" s="213"/>
      <c r="BI14" s="209" t="s">
        <v>2486</v>
      </c>
      <c r="BJ14" s="209"/>
      <c r="BK14" s="209" t="s">
        <v>2486</v>
      </c>
      <c r="BL14" s="209"/>
      <c r="BM14" s="209" t="s">
        <v>2555</v>
      </c>
      <c r="BN14" s="209" t="s">
        <v>2556</v>
      </c>
      <c r="BO14" s="214" t="s">
        <v>2498</v>
      </c>
      <c r="BP14" s="208" t="s">
        <v>2486</v>
      </c>
      <c r="BQ14" s="209" t="s">
        <v>1477</v>
      </c>
      <c r="BR14" s="211" t="s">
        <v>144</v>
      </c>
      <c r="BS14" s="211"/>
      <c r="BT14" s="208" t="s">
        <v>2486</v>
      </c>
      <c r="BU14" s="209"/>
      <c r="BV14" s="210"/>
      <c r="BW14" s="208" t="s">
        <v>2497</v>
      </c>
      <c r="BX14" s="209"/>
      <c r="BY14" s="209" t="s">
        <v>1999</v>
      </c>
      <c r="BZ14" s="211"/>
      <c r="CA14" s="209"/>
      <c r="CB14" s="209"/>
      <c r="CC14" s="211"/>
      <c r="CD14" s="211"/>
      <c r="CE14" s="208"/>
      <c r="CF14" s="208"/>
      <c r="CG14" s="211"/>
      <c r="CH14" s="210"/>
      <c r="CI14" s="210"/>
      <c r="CJ14" s="209"/>
      <c r="CK14" s="208" t="s">
        <v>2486</v>
      </c>
      <c r="CL14" s="209"/>
      <c r="CM14" s="209"/>
      <c r="CN14" s="209"/>
      <c r="CO14" s="209"/>
      <c r="CP14" s="208"/>
      <c r="CQ14" s="209" t="s">
        <v>2486</v>
      </c>
      <c r="CR14" s="209"/>
      <c r="CS14" s="208"/>
      <c r="CT14" s="209" t="s">
        <v>2486</v>
      </c>
      <c r="CU14" s="209"/>
      <c r="CV14" s="215" t="s">
        <v>2498</v>
      </c>
      <c r="CW14" s="208"/>
      <c r="CX14" s="216"/>
      <c r="CY14" s="209" t="s">
        <v>2499</v>
      </c>
      <c r="CZ14" s="209"/>
      <c r="DA14" s="209" t="s">
        <v>2500</v>
      </c>
      <c r="DB14" s="209" t="s">
        <v>2500</v>
      </c>
      <c r="DC14" s="209"/>
      <c r="DD14" s="209"/>
      <c r="DE14" s="210"/>
      <c r="DF14" s="209"/>
      <c r="DG14" s="216"/>
      <c r="DH14" s="217">
        <v>1023500</v>
      </c>
      <c r="DI14" s="208"/>
      <c r="DJ14" s="208"/>
      <c r="DK14" s="208"/>
      <c r="DL14" s="208"/>
      <c r="DM14" s="208"/>
      <c r="DN14" s="217">
        <v>0</v>
      </c>
      <c r="DO14" s="217">
        <v>0</v>
      </c>
      <c r="DP14" s="208" t="s">
        <v>2486</v>
      </c>
      <c r="DQ14" s="209"/>
      <c r="DR14" s="209"/>
      <c r="DS14" s="209" t="s">
        <v>2501</v>
      </c>
      <c r="DT14" s="209"/>
      <c r="DU14" s="209"/>
      <c r="DV14" s="209" t="s">
        <v>2502</v>
      </c>
      <c r="DW14" s="209" t="s">
        <v>2503</v>
      </c>
      <c r="DX14" s="209" t="s">
        <v>2498</v>
      </c>
    </row>
    <row r="15" spans="1:128" ht="19.5" customHeight="1">
      <c r="A15" s="206"/>
      <c r="B15" s="207" t="s">
        <v>2590</v>
      </c>
      <c r="C15" s="208"/>
      <c r="D15" s="208"/>
      <c r="E15" s="207" t="s">
        <v>2591</v>
      </c>
      <c r="F15" s="207" t="s">
        <v>2592</v>
      </c>
      <c r="G15" s="209" t="s">
        <v>2593</v>
      </c>
      <c r="H15" s="207" t="s">
        <v>2476</v>
      </c>
      <c r="I15" s="207" t="s">
        <v>2477</v>
      </c>
      <c r="J15" s="209" t="s">
        <v>2478</v>
      </c>
      <c r="K15" s="210">
        <v>46177</v>
      </c>
      <c r="L15" s="208" t="s">
        <v>2551</v>
      </c>
      <c r="M15" s="209" t="s">
        <v>2344</v>
      </c>
      <c r="N15" s="208" t="s">
        <v>2344</v>
      </c>
      <c r="O15" s="208" t="s">
        <v>2552</v>
      </c>
      <c r="P15" s="208" t="s">
        <v>2553</v>
      </c>
      <c r="Q15" s="208"/>
      <c r="R15" s="208"/>
      <c r="S15" s="208" t="s">
        <v>103</v>
      </c>
      <c r="T15" s="211" t="s">
        <v>2482</v>
      </c>
      <c r="U15" s="208" t="s">
        <v>1270</v>
      </c>
      <c r="V15" s="208" t="s">
        <v>2594</v>
      </c>
      <c r="W15" s="209" t="s">
        <v>2484</v>
      </c>
      <c r="X15" s="208"/>
      <c r="Y15" s="208" t="s">
        <v>2485</v>
      </c>
      <c r="Z15" s="208"/>
      <c r="AA15" s="209"/>
      <c r="AB15" s="209"/>
      <c r="AC15" s="209"/>
      <c r="AD15" s="209"/>
      <c r="AE15" s="209"/>
      <c r="AF15" s="210"/>
      <c r="AG15" s="210"/>
      <c r="AH15" s="210"/>
      <c r="AI15" s="208"/>
      <c r="AJ15" s="208"/>
      <c r="AK15" s="208" t="s">
        <v>2486</v>
      </c>
      <c r="AL15" s="208"/>
      <c r="AM15" s="210"/>
      <c r="AN15" s="210"/>
      <c r="AO15" s="208"/>
      <c r="AP15" s="208" t="s">
        <v>2486</v>
      </c>
      <c r="AQ15" s="208" t="s">
        <v>2487</v>
      </c>
      <c r="AR15" s="209"/>
      <c r="AS15" s="209" t="s">
        <v>2488</v>
      </c>
      <c r="AT15" s="209" t="s">
        <v>2486</v>
      </c>
      <c r="AU15" s="209"/>
      <c r="AV15" s="212">
        <v>0</v>
      </c>
      <c r="AW15" s="208"/>
      <c r="AX15" s="209" t="s">
        <v>2486</v>
      </c>
      <c r="AY15" s="209" t="s">
        <v>2489</v>
      </c>
      <c r="AZ15" s="209" t="s">
        <v>2490</v>
      </c>
      <c r="BA15" s="209"/>
      <c r="BB15" s="209"/>
      <c r="BC15" s="209" t="s">
        <v>2478</v>
      </c>
      <c r="BD15" s="209" t="s">
        <v>2491</v>
      </c>
      <c r="BE15" s="209" t="s">
        <v>2492</v>
      </c>
      <c r="BF15" s="209"/>
      <c r="BG15" s="208"/>
      <c r="BH15" s="213"/>
      <c r="BI15" s="209" t="s">
        <v>2486</v>
      </c>
      <c r="BJ15" s="209"/>
      <c r="BK15" s="209" t="s">
        <v>2486</v>
      </c>
      <c r="BL15" s="209"/>
      <c r="BM15" s="209" t="s">
        <v>2555</v>
      </c>
      <c r="BN15" s="209" t="s">
        <v>2556</v>
      </c>
      <c r="BO15" s="214" t="s">
        <v>2498</v>
      </c>
      <c r="BP15" s="208" t="s">
        <v>2486</v>
      </c>
      <c r="BQ15" s="209" t="s">
        <v>1477</v>
      </c>
      <c r="BR15" s="211" t="s">
        <v>144</v>
      </c>
      <c r="BS15" s="211"/>
      <c r="BT15" s="208" t="s">
        <v>2486</v>
      </c>
      <c r="BU15" s="209"/>
      <c r="BV15" s="210"/>
      <c r="BW15" s="208" t="s">
        <v>2497</v>
      </c>
      <c r="BX15" s="209"/>
      <c r="BY15" s="209" t="s">
        <v>1999</v>
      </c>
      <c r="BZ15" s="211"/>
      <c r="CA15" s="209"/>
      <c r="CB15" s="209"/>
      <c r="CC15" s="211"/>
      <c r="CD15" s="211"/>
      <c r="CE15" s="208"/>
      <c r="CF15" s="208"/>
      <c r="CG15" s="211"/>
      <c r="CH15" s="210"/>
      <c r="CI15" s="210"/>
      <c r="CJ15" s="209"/>
      <c r="CK15" s="208" t="s">
        <v>2486</v>
      </c>
      <c r="CL15" s="209"/>
      <c r="CM15" s="209"/>
      <c r="CN15" s="209"/>
      <c r="CO15" s="209"/>
      <c r="CP15" s="208"/>
      <c r="CQ15" s="209" t="s">
        <v>2486</v>
      </c>
      <c r="CR15" s="209"/>
      <c r="CS15" s="208"/>
      <c r="CT15" s="209" t="s">
        <v>2486</v>
      </c>
      <c r="CU15" s="209"/>
      <c r="CV15" s="215" t="s">
        <v>2498</v>
      </c>
      <c r="CW15" s="208"/>
      <c r="CX15" s="216"/>
      <c r="CY15" s="209" t="s">
        <v>2499</v>
      </c>
      <c r="CZ15" s="209"/>
      <c r="DA15" s="209" t="s">
        <v>2500</v>
      </c>
      <c r="DB15" s="209" t="s">
        <v>2500</v>
      </c>
      <c r="DC15" s="209"/>
      <c r="DD15" s="209"/>
      <c r="DE15" s="210"/>
      <c r="DF15" s="209"/>
      <c r="DG15" s="216"/>
      <c r="DH15" s="217">
        <v>1023500</v>
      </c>
      <c r="DI15" s="208"/>
      <c r="DJ15" s="208"/>
      <c r="DK15" s="208"/>
      <c r="DL15" s="208"/>
      <c r="DM15" s="208"/>
      <c r="DN15" s="217">
        <v>0</v>
      </c>
      <c r="DO15" s="217">
        <v>0</v>
      </c>
      <c r="DP15" s="208" t="s">
        <v>2486</v>
      </c>
      <c r="DQ15" s="209"/>
      <c r="DR15" s="209"/>
      <c r="DS15" s="209" t="s">
        <v>2501</v>
      </c>
      <c r="DT15" s="209"/>
      <c r="DU15" s="209"/>
      <c r="DV15" s="209" t="s">
        <v>2502</v>
      </c>
      <c r="DW15" s="209" t="s">
        <v>2503</v>
      </c>
      <c r="DX15" s="209" t="s">
        <v>2498</v>
      </c>
    </row>
    <row r="16" spans="1:128" ht="19.5" customHeight="1">
      <c r="A16" s="206"/>
      <c r="B16" s="207" t="s">
        <v>2595</v>
      </c>
      <c r="C16" s="208"/>
      <c r="D16" s="208"/>
      <c r="E16" s="207" t="s">
        <v>2596</v>
      </c>
      <c r="F16" s="207" t="s">
        <v>2597</v>
      </c>
      <c r="G16" s="209" t="s">
        <v>2598</v>
      </c>
      <c r="H16" s="207" t="s">
        <v>2476</v>
      </c>
      <c r="I16" s="207" t="s">
        <v>2477</v>
      </c>
      <c r="J16" s="209" t="s">
        <v>2478</v>
      </c>
      <c r="K16" s="210">
        <v>46177</v>
      </c>
      <c r="L16" s="208" t="s">
        <v>2479</v>
      </c>
      <c r="M16" s="209" t="s">
        <v>2344</v>
      </c>
      <c r="N16" s="208" t="s">
        <v>2344</v>
      </c>
      <c r="O16" s="208" t="s">
        <v>2552</v>
      </c>
      <c r="P16" s="208" t="s">
        <v>2553</v>
      </c>
      <c r="Q16" s="208"/>
      <c r="R16" s="208"/>
      <c r="S16" s="208" t="s">
        <v>103</v>
      </c>
      <c r="T16" s="211" t="s">
        <v>2482</v>
      </c>
      <c r="U16" s="208" t="s">
        <v>1270</v>
      </c>
      <c r="V16" s="208" t="s">
        <v>2515</v>
      </c>
      <c r="W16" s="209" t="s">
        <v>2484</v>
      </c>
      <c r="X16" s="208"/>
      <c r="Y16" s="208" t="s">
        <v>2485</v>
      </c>
      <c r="Z16" s="208"/>
      <c r="AA16" s="209"/>
      <c r="AB16" s="209"/>
      <c r="AC16" s="209"/>
      <c r="AD16" s="209"/>
      <c r="AE16" s="209"/>
      <c r="AF16" s="210"/>
      <c r="AG16" s="210"/>
      <c r="AH16" s="210"/>
      <c r="AI16" s="208"/>
      <c r="AJ16" s="208"/>
      <c r="AK16" s="208" t="s">
        <v>2486</v>
      </c>
      <c r="AL16" s="208"/>
      <c r="AM16" s="210"/>
      <c r="AN16" s="210"/>
      <c r="AO16" s="208"/>
      <c r="AP16" s="208" t="s">
        <v>2486</v>
      </c>
      <c r="AQ16" s="208" t="s">
        <v>2487</v>
      </c>
      <c r="AR16" s="209"/>
      <c r="AS16" s="209" t="s">
        <v>2488</v>
      </c>
      <c r="AT16" s="209" t="s">
        <v>2486</v>
      </c>
      <c r="AU16" s="209"/>
      <c r="AV16" s="212">
        <v>0</v>
      </c>
      <c r="AW16" s="208"/>
      <c r="AX16" s="209" t="s">
        <v>2486</v>
      </c>
      <c r="AY16" s="209" t="s">
        <v>2489</v>
      </c>
      <c r="AZ16" s="209" t="s">
        <v>2490</v>
      </c>
      <c r="BA16" s="209"/>
      <c r="BB16" s="209"/>
      <c r="BC16" s="209" t="s">
        <v>2478</v>
      </c>
      <c r="BD16" s="209" t="s">
        <v>2491</v>
      </c>
      <c r="BE16" s="209" t="s">
        <v>2492</v>
      </c>
      <c r="BF16" s="209"/>
      <c r="BG16" s="208"/>
      <c r="BH16" s="213"/>
      <c r="BI16" s="209" t="s">
        <v>2486</v>
      </c>
      <c r="BJ16" s="209"/>
      <c r="BK16" s="209" t="s">
        <v>2486</v>
      </c>
      <c r="BL16" s="209"/>
      <c r="BM16" s="209" t="s">
        <v>2555</v>
      </c>
      <c r="BN16" s="209" t="s">
        <v>2556</v>
      </c>
      <c r="BO16" s="214" t="s">
        <v>2498</v>
      </c>
      <c r="BP16" s="208" t="s">
        <v>2486</v>
      </c>
      <c r="BQ16" s="209" t="s">
        <v>1477</v>
      </c>
      <c r="BR16" s="211" t="s">
        <v>144</v>
      </c>
      <c r="BS16" s="211"/>
      <c r="BT16" s="208" t="s">
        <v>2486</v>
      </c>
      <c r="BU16" s="209"/>
      <c r="BV16" s="210"/>
      <c r="BW16" s="208" t="s">
        <v>2497</v>
      </c>
      <c r="BX16" s="209"/>
      <c r="BY16" s="209" t="s">
        <v>1999</v>
      </c>
      <c r="BZ16" s="211"/>
      <c r="CA16" s="209"/>
      <c r="CB16" s="209"/>
      <c r="CC16" s="211"/>
      <c r="CD16" s="211"/>
      <c r="CE16" s="208"/>
      <c r="CF16" s="208"/>
      <c r="CG16" s="211"/>
      <c r="CH16" s="210"/>
      <c r="CI16" s="210"/>
      <c r="CJ16" s="209"/>
      <c r="CK16" s="208" t="s">
        <v>2486</v>
      </c>
      <c r="CL16" s="209"/>
      <c r="CM16" s="209"/>
      <c r="CN16" s="209"/>
      <c r="CO16" s="209"/>
      <c r="CP16" s="208"/>
      <c r="CQ16" s="209" t="s">
        <v>2486</v>
      </c>
      <c r="CR16" s="209"/>
      <c r="CS16" s="208"/>
      <c r="CT16" s="209" t="s">
        <v>2486</v>
      </c>
      <c r="CU16" s="209"/>
      <c r="CV16" s="215" t="s">
        <v>2498</v>
      </c>
      <c r="CW16" s="208"/>
      <c r="CX16" s="216"/>
      <c r="CY16" s="209" t="s">
        <v>2499</v>
      </c>
      <c r="CZ16" s="209"/>
      <c r="DA16" s="209" t="s">
        <v>2500</v>
      </c>
      <c r="DB16" s="209" t="s">
        <v>2500</v>
      </c>
      <c r="DC16" s="209"/>
      <c r="DD16" s="209"/>
      <c r="DE16" s="210"/>
      <c r="DF16" s="209"/>
      <c r="DG16" s="216"/>
      <c r="DH16" s="217">
        <v>1023500</v>
      </c>
      <c r="DI16" s="208"/>
      <c r="DJ16" s="208"/>
      <c r="DK16" s="208"/>
      <c r="DL16" s="208"/>
      <c r="DM16" s="208"/>
      <c r="DN16" s="217">
        <v>0</v>
      </c>
      <c r="DO16" s="217">
        <v>0</v>
      </c>
      <c r="DP16" s="208" t="s">
        <v>2486</v>
      </c>
      <c r="DQ16" s="209"/>
      <c r="DR16" s="209"/>
      <c r="DS16" s="209" t="s">
        <v>2501</v>
      </c>
      <c r="DT16" s="209"/>
      <c r="DU16" s="209"/>
      <c r="DV16" s="209" t="s">
        <v>2502</v>
      </c>
      <c r="DW16" s="209" t="s">
        <v>2503</v>
      </c>
      <c r="DX16" s="209" t="s">
        <v>2498</v>
      </c>
    </row>
    <row r="17" spans="1:128" ht="19.5" customHeight="1">
      <c r="A17" s="206"/>
      <c r="B17" s="207" t="s">
        <v>2599</v>
      </c>
      <c r="C17" s="208"/>
      <c r="D17" s="208"/>
      <c r="E17" s="207" t="s">
        <v>2600</v>
      </c>
      <c r="F17" s="207" t="s">
        <v>2601</v>
      </c>
      <c r="G17" s="209" t="s">
        <v>2602</v>
      </c>
      <c r="H17" s="207" t="s">
        <v>2476</v>
      </c>
      <c r="I17" s="207" t="s">
        <v>2477</v>
      </c>
      <c r="J17" s="209" t="s">
        <v>2478</v>
      </c>
      <c r="K17" s="210">
        <v>46177</v>
      </c>
      <c r="L17" s="208" t="s">
        <v>2562</v>
      </c>
      <c r="M17" s="209" t="s">
        <v>2603</v>
      </c>
      <c r="N17" s="208" t="s">
        <v>2603</v>
      </c>
      <c r="O17" s="208" t="s">
        <v>2330</v>
      </c>
      <c r="P17" s="208" t="s">
        <v>2604</v>
      </c>
      <c r="Q17" s="208"/>
      <c r="R17" s="208"/>
      <c r="S17" s="208" t="s">
        <v>956</v>
      </c>
      <c r="T17" s="211" t="s">
        <v>2482</v>
      </c>
      <c r="U17" s="208" t="s">
        <v>1301</v>
      </c>
      <c r="V17" s="208" t="s">
        <v>2541</v>
      </c>
      <c r="W17" s="209" t="s">
        <v>2484</v>
      </c>
      <c r="X17" s="208"/>
      <c r="Y17" s="208" t="s">
        <v>2485</v>
      </c>
      <c r="Z17" s="208"/>
      <c r="AA17" s="209"/>
      <c r="AB17" s="209"/>
      <c r="AC17" s="209"/>
      <c r="AD17" s="209"/>
      <c r="AE17" s="209"/>
      <c r="AF17" s="210"/>
      <c r="AG17" s="210"/>
      <c r="AH17" s="210"/>
      <c r="AI17" s="208"/>
      <c r="AJ17" s="208"/>
      <c r="AK17" s="208" t="s">
        <v>2486</v>
      </c>
      <c r="AL17" s="208"/>
      <c r="AM17" s="210"/>
      <c r="AN17" s="210"/>
      <c r="AO17" s="208"/>
      <c r="AP17" s="208" t="s">
        <v>2486</v>
      </c>
      <c r="AQ17" s="208" t="s">
        <v>2487</v>
      </c>
      <c r="AR17" s="209"/>
      <c r="AS17" s="209" t="s">
        <v>2488</v>
      </c>
      <c r="AT17" s="209" t="s">
        <v>2486</v>
      </c>
      <c r="AU17" s="209"/>
      <c r="AV17" s="212">
        <v>0</v>
      </c>
      <c r="AW17" s="208"/>
      <c r="AX17" s="209" t="s">
        <v>2486</v>
      </c>
      <c r="AY17" s="209" t="s">
        <v>2489</v>
      </c>
      <c r="AZ17" s="209" t="s">
        <v>2490</v>
      </c>
      <c r="BA17" s="209"/>
      <c r="BB17" s="209"/>
      <c r="BC17" s="209" t="s">
        <v>2478</v>
      </c>
      <c r="BD17" s="209" t="s">
        <v>2491</v>
      </c>
      <c r="BE17" s="209" t="s">
        <v>2492</v>
      </c>
      <c r="BF17" s="209"/>
      <c r="BG17" s="208"/>
      <c r="BH17" s="213"/>
      <c r="BI17" s="209" t="s">
        <v>2486</v>
      </c>
      <c r="BJ17" s="209"/>
      <c r="BK17" s="209" t="s">
        <v>2486</v>
      </c>
      <c r="BL17" s="209"/>
      <c r="BM17" s="209" t="s">
        <v>2493</v>
      </c>
      <c r="BN17" s="209" t="s">
        <v>2494</v>
      </c>
      <c r="BO17" s="214"/>
      <c r="BP17" s="208" t="s">
        <v>2486</v>
      </c>
      <c r="BQ17" s="209" t="s">
        <v>2495</v>
      </c>
      <c r="BR17" s="211" t="s">
        <v>2496</v>
      </c>
      <c r="BS17" s="211"/>
      <c r="BT17" s="208" t="s">
        <v>2486</v>
      </c>
      <c r="BU17" s="209"/>
      <c r="BV17" s="210"/>
      <c r="BW17" s="208" t="s">
        <v>2497</v>
      </c>
      <c r="BX17" s="209"/>
      <c r="BY17" s="209" t="s">
        <v>1999</v>
      </c>
      <c r="BZ17" s="211"/>
      <c r="CA17" s="209"/>
      <c r="CB17" s="209"/>
      <c r="CC17" s="211"/>
      <c r="CD17" s="211"/>
      <c r="CE17" s="208"/>
      <c r="CF17" s="208"/>
      <c r="CG17" s="211"/>
      <c r="CH17" s="210"/>
      <c r="CI17" s="210"/>
      <c r="CJ17" s="209"/>
      <c r="CK17" s="208" t="s">
        <v>2486</v>
      </c>
      <c r="CL17" s="209"/>
      <c r="CM17" s="209"/>
      <c r="CN17" s="209"/>
      <c r="CO17" s="209"/>
      <c r="CP17" s="208"/>
      <c r="CQ17" s="209" t="s">
        <v>2486</v>
      </c>
      <c r="CR17" s="209"/>
      <c r="CS17" s="208"/>
      <c r="CT17" s="209" t="s">
        <v>2486</v>
      </c>
      <c r="CU17" s="209"/>
      <c r="CV17" s="215" t="s">
        <v>2498</v>
      </c>
      <c r="CW17" s="208"/>
      <c r="CX17" s="216"/>
      <c r="CY17" s="209" t="s">
        <v>2499</v>
      </c>
      <c r="CZ17" s="209"/>
      <c r="DA17" s="209" t="s">
        <v>2500</v>
      </c>
      <c r="DB17" s="209" t="s">
        <v>2500</v>
      </c>
      <c r="DC17" s="209"/>
      <c r="DD17" s="209"/>
      <c r="DE17" s="210"/>
      <c r="DF17" s="209"/>
      <c r="DG17" s="216"/>
      <c r="DH17" s="217">
        <v>0</v>
      </c>
      <c r="DI17" s="208"/>
      <c r="DJ17" s="208"/>
      <c r="DK17" s="208"/>
      <c r="DL17" s="208"/>
      <c r="DM17" s="208"/>
      <c r="DN17" s="217">
        <v>0</v>
      </c>
      <c r="DO17" s="217">
        <v>0</v>
      </c>
      <c r="DP17" s="208" t="s">
        <v>2486</v>
      </c>
      <c r="DQ17" s="209"/>
      <c r="DR17" s="209"/>
      <c r="DS17" s="209" t="s">
        <v>2501</v>
      </c>
      <c r="DT17" s="209"/>
      <c r="DU17" s="209"/>
      <c r="DV17" s="209" t="s">
        <v>2502</v>
      </c>
      <c r="DW17" s="209" t="s">
        <v>2503</v>
      </c>
      <c r="DX17" s="209" t="s">
        <v>2498</v>
      </c>
    </row>
    <row r="18" spans="1:128" ht="19.5" customHeight="1">
      <c r="A18" s="206"/>
      <c r="B18" s="207" t="s">
        <v>2605</v>
      </c>
      <c r="C18" s="208"/>
      <c r="D18" s="208"/>
      <c r="E18" s="207" t="s">
        <v>2606</v>
      </c>
      <c r="F18" s="207" t="s">
        <v>2607</v>
      </c>
      <c r="G18" s="209" t="s">
        <v>2608</v>
      </c>
      <c r="H18" s="207" t="s">
        <v>2476</v>
      </c>
      <c r="I18" s="207" t="s">
        <v>2477</v>
      </c>
      <c r="J18" s="209" t="s">
        <v>2478</v>
      </c>
      <c r="K18" s="210">
        <v>46177</v>
      </c>
      <c r="L18" s="208" t="s">
        <v>2588</v>
      </c>
      <c r="M18" s="209" t="s">
        <v>2603</v>
      </c>
      <c r="N18" s="208" t="s">
        <v>2603</v>
      </c>
      <c r="O18" s="208" t="s">
        <v>2330</v>
      </c>
      <c r="P18" s="208" t="s">
        <v>2604</v>
      </c>
      <c r="Q18" s="208"/>
      <c r="R18" s="208"/>
      <c r="S18" s="208" t="s">
        <v>956</v>
      </c>
      <c r="T18" s="211" t="s">
        <v>2482</v>
      </c>
      <c r="U18" s="208" t="s">
        <v>1301</v>
      </c>
      <c r="V18" s="208" t="s">
        <v>2541</v>
      </c>
      <c r="W18" s="209" t="s">
        <v>2484</v>
      </c>
      <c r="X18" s="208"/>
      <c r="Y18" s="208" t="s">
        <v>2485</v>
      </c>
      <c r="Z18" s="208"/>
      <c r="AA18" s="209"/>
      <c r="AB18" s="209"/>
      <c r="AC18" s="209"/>
      <c r="AD18" s="209"/>
      <c r="AE18" s="209"/>
      <c r="AF18" s="210"/>
      <c r="AG18" s="210"/>
      <c r="AH18" s="210"/>
      <c r="AI18" s="208"/>
      <c r="AJ18" s="208"/>
      <c r="AK18" s="208" t="s">
        <v>2486</v>
      </c>
      <c r="AL18" s="208"/>
      <c r="AM18" s="210"/>
      <c r="AN18" s="210"/>
      <c r="AO18" s="208"/>
      <c r="AP18" s="208" t="s">
        <v>2486</v>
      </c>
      <c r="AQ18" s="208" t="s">
        <v>2487</v>
      </c>
      <c r="AR18" s="209"/>
      <c r="AS18" s="209" t="s">
        <v>2488</v>
      </c>
      <c r="AT18" s="209" t="s">
        <v>2486</v>
      </c>
      <c r="AU18" s="209"/>
      <c r="AV18" s="212">
        <v>0</v>
      </c>
      <c r="AW18" s="208"/>
      <c r="AX18" s="209" t="s">
        <v>2486</v>
      </c>
      <c r="AY18" s="209" t="s">
        <v>2489</v>
      </c>
      <c r="AZ18" s="209" t="s">
        <v>2490</v>
      </c>
      <c r="BA18" s="209"/>
      <c r="BB18" s="209"/>
      <c r="BC18" s="209" t="s">
        <v>2478</v>
      </c>
      <c r="BD18" s="209" t="s">
        <v>2491</v>
      </c>
      <c r="BE18" s="209" t="s">
        <v>2492</v>
      </c>
      <c r="BF18" s="209"/>
      <c r="BG18" s="208"/>
      <c r="BH18" s="213"/>
      <c r="BI18" s="209" t="s">
        <v>2486</v>
      </c>
      <c r="BJ18" s="209"/>
      <c r="BK18" s="209" t="s">
        <v>2486</v>
      </c>
      <c r="BL18" s="209"/>
      <c r="BM18" s="209" t="s">
        <v>2493</v>
      </c>
      <c r="BN18" s="209" t="s">
        <v>2494</v>
      </c>
      <c r="BO18" s="214"/>
      <c r="BP18" s="208" t="s">
        <v>2486</v>
      </c>
      <c r="BQ18" s="209" t="s">
        <v>2495</v>
      </c>
      <c r="BR18" s="211" t="s">
        <v>2496</v>
      </c>
      <c r="BS18" s="211"/>
      <c r="BT18" s="208" t="s">
        <v>2486</v>
      </c>
      <c r="BU18" s="209"/>
      <c r="BV18" s="210"/>
      <c r="BW18" s="208" t="s">
        <v>2497</v>
      </c>
      <c r="BX18" s="209"/>
      <c r="BY18" s="209" t="s">
        <v>1999</v>
      </c>
      <c r="BZ18" s="211"/>
      <c r="CA18" s="209"/>
      <c r="CB18" s="209"/>
      <c r="CC18" s="211"/>
      <c r="CD18" s="211"/>
      <c r="CE18" s="208"/>
      <c r="CF18" s="208"/>
      <c r="CG18" s="211"/>
      <c r="CH18" s="210"/>
      <c r="CI18" s="210"/>
      <c r="CJ18" s="209"/>
      <c r="CK18" s="208" t="s">
        <v>2486</v>
      </c>
      <c r="CL18" s="209"/>
      <c r="CM18" s="209"/>
      <c r="CN18" s="209"/>
      <c r="CO18" s="209"/>
      <c r="CP18" s="208"/>
      <c r="CQ18" s="209" t="s">
        <v>2486</v>
      </c>
      <c r="CR18" s="209"/>
      <c r="CS18" s="208"/>
      <c r="CT18" s="209" t="s">
        <v>2486</v>
      </c>
      <c r="CU18" s="209"/>
      <c r="CV18" s="215" t="s">
        <v>2498</v>
      </c>
      <c r="CW18" s="208"/>
      <c r="CX18" s="216"/>
      <c r="CY18" s="209" t="s">
        <v>2499</v>
      </c>
      <c r="CZ18" s="209"/>
      <c r="DA18" s="209" t="s">
        <v>2500</v>
      </c>
      <c r="DB18" s="209" t="s">
        <v>2500</v>
      </c>
      <c r="DC18" s="209"/>
      <c r="DD18" s="209"/>
      <c r="DE18" s="210"/>
      <c r="DF18" s="209"/>
      <c r="DG18" s="216"/>
      <c r="DH18" s="217">
        <v>0</v>
      </c>
      <c r="DI18" s="208"/>
      <c r="DJ18" s="208"/>
      <c r="DK18" s="208"/>
      <c r="DL18" s="208"/>
      <c r="DM18" s="208"/>
      <c r="DN18" s="217">
        <v>0</v>
      </c>
      <c r="DO18" s="217">
        <v>0</v>
      </c>
      <c r="DP18" s="208" t="s">
        <v>2486</v>
      </c>
      <c r="DQ18" s="209"/>
      <c r="DR18" s="209"/>
      <c r="DS18" s="209" t="s">
        <v>2501</v>
      </c>
      <c r="DT18" s="209"/>
      <c r="DU18" s="209"/>
      <c r="DV18" s="209" t="s">
        <v>2502</v>
      </c>
      <c r="DW18" s="209" t="s">
        <v>2503</v>
      </c>
      <c r="DX18" s="209" t="s">
        <v>2498</v>
      </c>
    </row>
    <row r="19" spans="1:128" ht="19.5" customHeight="1">
      <c r="A19" s="206"/>
      <c r="B19" s="207" t="s">
        <v>2609</v>
      </c>
      <c r="C19" s="208"/>
      <c r="D19" s="208"/>
      <c r="E19" s="207" t="s">
        <v>2610</v>
      </c>
      <c r="F19" s="207" t="s">
        <v>2611</v>
      </c>
      <c r="G19" s="209" t="s">
        <v>2612</v>
      </c>
      <c r="H19" s="207" t="s">
        <v>2613</v>
      </c>
      <c r="I19" s="207" t="s">
        <v>2614</v>
      </c>
      <c r="J19" s="209" t="s">
        <v>2478</v>
      </c>
      <c r="K19" s="210">
        <v>46177</v>
      </c>
      <c r="L19" s="208" t="s">
        <v>2562</v>
      </c>
      <c r="M19" s="209" t="s">
        <v>2615</v>
      </c>
      <c r="N19" s="208" t="s">
        <v>2615</v>
      </c>
      <c r="O19" s="208" t="s">
        <v>2329</v>
      </c>
      <c r="P19" s="208" t="s">
        <v>2616</v>
      </c>
      <c r="Q19" s="208"/>
      <c r="R19" s="208"/>
      <c r="S19" s="208" t="s">
        <v>104</v>
      </c>
      <c r="T19" s="211" t="s">
        <v>2617</v>
      </c>
      <c r="U19" s="208" t="s">
        <v>1247</v>
      </c>
      <c r="V19" s="208" t="s">
        <v>2563</v>
      </c>
      <c r="W19" s="209" t="s">
        <v>2484</v>
      </c>
      <c r="X19" s="208" t="s">
        <v>2618</v>
      </c>
      <c r="Y19" s="208" t="s">
        <v>2485</v>
      </c>
      <c r="Z19" s="208" t="s">
        <v>2619</v>
      </c>
      <c r="AA19" s="209"/>
      <c r="AB19" s="209" t="s">
        <v>2620</v>
      </c>
      <c r="AC19" s="209" t="s">
        <v>2621</v>
      </c>
      <c r="AD19" s="209" t="s">
        <v>2622</v>
      </c>
      <c r="AE19" s="209" t="s">
        <v>2623</v>
      </c>
      <c r="AF19" s="210"/>
      <c r="AG19" s="210"/>
      <c r="AH19" s="210"/>
      <c r="AI19" s="208"/>
      <c r="AJ19" s="208"/>
      <c r="AK19" s="208" t="s">
        <v>2486</v>
      </c>
      <c r="AL19" s="208"/>
      <c r="AM19" s="210"/>
      <c r="AN19" s="210"/>
      <c r="AO19" s="208"/>
      <c r="AP19" s="208" t="s">
        <v>2486</v>
      </c>
      <c r="AQ19" s="208" t="s">
        <v>2487</v>
      </c>
      <c r="AR19" s="209"/>
      <c r="AS19" s="209" t="s">
        <v>2488</v>
      </c>
      <c r="AT19" s="209" t="s">
        <v>2486</v>
      </c>
      <c r="AU19" s="209"/>
      <c r="AV19" s="212">
        <v>0</v>
      </c>
      <c r="AW19" s="208"/>
      <c r="AX19" s="209" t="s">
        <v>2486</v>
      </c>
      <c r="AY19" s="209" t="s">
        <v>2489</v>
      </c>
      <c r="AZ19" s="209" t="s">
        <v>2490</v>
      </c>
      <c r="BA19" s="209"/>
      <c r="BB19" s="209"/>
      <c r="BC19" s="209" t="s">
        <v>2478</v>
      </c>
      <c r="BD19" s="209" t="s">
        <v>2491</v>
      </c>
      <c r="BE19" s="209" t="s">
        <v>2492</v>
      </c>
      <c r="BF19" s="209" t="s">
        <v>2486</v>
      </c>
      <c r="BG19" s="208"/>
      <c r="BH19" s="213"/>
      <c r="BI19" s="209" t="s">
        <v>2486</v>
      </c>
      <c r="BJ19" s="209"/>
      <c r="BK19" s="209" t="s">
        <v>2486</v>
      </c>
      <c r="BL19" s="209"/>
      <c r="BM19" s="209" t="s">
        <v>2624</v>
      </c>
      <c r="BN19" s="209" t="s">
        <v>2625</v>
      </c>
      <c r="BO19" s="214" t="s">
        <v>2498</v>
      </c>
      <c r="BP19" s="208" t="s">
        <v>2486</v>
      </c>
      <c r="BQ19" s="209" t="s">
        <v>1477</v>
      </c>
      <c r="BR19" s="211" t="s">
        <v>144</v>
      </c>
      <c r="BS19" s="211"/>
      <c r="BT19" s="208" t="s">
        <v>2486</v>
      </c>
      <c r="BU19" s="209"/>
      <c r="BV19" s="210"/>
      <c r="BW19" s="208" t="s">
        <v>2497</v>
      </c>
      <c r="BX19" s="209"/>
      <c r="BY19" s="209" t="s">
        <v>1996</v>
      </c>
      <c r="BZ19" s="211"/>
      <c r="CA19" s="209"/>
      <c r="CB19" s="209"/>
      <c r="CC19" s="211"/>
      <c r="CD19" s="211"/>
      <c r="CE19" s="208"/>
      <c r="CF19" s="208"/>
      <c r="CG19" s="211"/>
      <c r="CH19" s="210"/>
      <c r="CI19" s="210"/>
      <c r="CJ19" s="209"/>
      <c r="CK19" s="208" t="s">
        <v>2486</v>
      </c>
      <c r="CL19" s="209"/>
      <c r="CM19" s="209"/>
      <c r="CN19" s="209"/>
      <c r="CO19" s="209"/>
      <c r="CP19" s="208"/>
      <c r="CQ19" s="209" t="s">
        <v>2486</v>
      </c>
      <c r="CR19" s="209"/>
      <c r="CS19" s="208"/>
      <c r="CT19" s="209" t="s">
        <v>2486</v>
      </c>
      <c r="CU19" s="209"/>
      <c r="CV19" s="215" t="s">
        <v>2498</v>
      </c>
      <c r="CW19" s="208"/>
      <c r="CX19" s="216"/>
      <c r="CY19" s="209" t="s">
        <v>2499</v>
      </c>
      <c r="CZ19" s="209"/>
      <c r="DA19" s="209" t="s">
        <v>2500</v>
      </c>
      <c r="DB19" s="209" t="s">
        <v>2500</v>
      </c>
      <c r="DC19" s="209" t="s">
        <v>2626</v>
      </c>
      <c r="DD19" s="209"/>
      <c r="DE19" s="210">
        <v>46175</v>
      </c>
      <c r="DF19" s="209"/>
      <c r="DG19" s="216"/>
      <c r="DH19" s="217">
        <v>1023500</v>
      </c>
      <c r="DI19" s="208"/>
      <c r="DJ19" s="208"/>
      <c r="DK19" s="208"/>
      <c r="DL19" s="208"/>
      <c r="DM19" s="208"/>
      <c r="DN19" s="217">
        <v>0</v>
      </c>
      <c r="DO19" s="217">
        <v>0</v>
      </c>
      <c r="DP19" s="208" t="s">
        <v>2486</v>
      </c>
      <c r="DQ19" s="209"/>
      <c r="DR19" s="209"/>
      <c r="DS19" s="209" t="s">
        <v>2501</v>
      </c>
      <c r="DT19" s="209"/>
      <c r="DU19" s="209"/>
      <c r="DV19" s="209" t="s">
        <v>2502</v>
      </c>
      <c r="DW19" s="209" t="s">
        <v>2503</v>
      </c>
      <c r="DX19" s="209" t="s">
        <v>2498</v>
      </c>
    </row>
    <row r="20" spans="1:128" ht="19.5" customHeight="1">
      <c r="A20" s="206"/>
      <c r="B20" s="207" t="s">
        <v>2627</v>
      </c>
      <c r="C20" s="208"/>
      <c r="D20" s="208"/>
      <c r="E20" s="207" t="s">
        <v>2628</v>
      </c>
      <c r="F20" s="207" t="s">
        <v>2629</v>
      </c>
      <c r="G20" s="209" t="s">
        <v>2630</v>
      </c>
      <c r="H20" s="207" t="s">
        <v>2561</v>
      </c>
      <c r="I20" s="207" t="s">
        <v>2477</v>
      </c>
      <c r="J20" s="209" t="s">
        <v>2478</v>
      </c>
      <c r="K20" s="210">
        <v>46177</v>
      </c>
      <c r="L20" s="208" t="s">
        <v>2540</v>
      </c>
      <c r="M20" s="209" t="s">
        <v>2615</v>
      </c>
      <c r="N20" s="208" t="s">
        <v>2615</v>
      </c>
      <c r="O20" s="208" t="s">
        <v>2329</v>
      </c>
      <c r="P20" s="208" t="s">
        <v>2616</v>
      </c>
      <c r="Q20" s="208"/>
      <c r="R20" s="208"/>
      <c r="S20" s="208" t="s">
        <v>104</v>
      </c>
      <c r="T20" s="211" t="s">
        <v>2617</v>
      </c>
      <c r="U20" s="208" t="s">
        <v>1247</v>
      </c>
      <c r="V20" s="208" t="s">
        <v>2563</v>
      </c>
      <c r="W20" s="209" t="s">
        <v>2484</v>
      </c>
      <c r="X20" s="208" t="s">
        <v>2631</v>
      </c>
      <c r="Y20" s="208" t="s">
        <v>2485</v>
      </c>
      <c r="Z20" s="208" t="s">
        <v>2632</v>
      </c>
      <c r="AA20" s="209" t="s">
        <v>2566</v>
      </c>
      <c r="AB20" s="209" t="s">
        <v>2633</v>
      </c>
      <c r="AC20" s="209" t="s">
        <v>2634</v>
      </c>
      <c r="AD20" s="209" t="s">
        <v>2635</v>
      </c>
      <c r="AE20" s="209" t="s">
        <v>2636</v>
      </c>
      <c r="AF20" s="210"/>
      <c r="AG20" s="210"/>
      <c r="AH20" s="210"/>
      <c r="AI20" s="208"/>
      <c r="AJ20" s="208"/>
      <c r="AK20" s="208" t="s">
        <v>2486</v>
      </c>
      <c r="AL20" s="208"/>
      <c r="AM20" s="210"/>
      <c r="AN20" s="210"/>
      <c r="AO20" s="208"/>
      <c r="AP20" s="208" t="s">
        <v>2486</v>
      </c>
      <c r="AQ20" s="208" t="s">
        <v>2487</v>
      </c>
      <c r="AR20" s="209"/>
      <c r="AS20" s="209" t="s">
        <v>2488</v>
      </c>
      <c r="AT20" s="209" t="s">
        <v>2486</v>
      </c>
      <c r="AU20" s="209"/>
      <c r="AV20" s="212">
        <v>0</v>
      </c>
      <c r="AW20" s="208"/>
      <c r="AX20" s="209" t="s">
        <v>2486</v>
      </c>
      <c r="AY20" s="209" t="s">
        <v>2489</v>
      </c>
      <c r="AZ20" s="209" t="s">
        <v>2490</v>
      </c>
      <c r="BA20" s="209"/>
      <c r="BB20" s="209"/>
      <c r="BC20" s="209" t="s">
        <v>2478</v>
      </c>
      <c r="BD20" s="209" t="s">
        <v>2491</v>
      </c>
      <c r="BE20" s="209" t="s">
        <v>2492</v>
      </c>
      <c r="BF20" s="209" t="s">
        <v>2486</v>
      </c>
      <c r="BG20" s="208"/>
      <c r="BH20" s="213"/>
      <c r="BI20" s="209" t="s">
        <v>2486</v>
      </c>
      <c r="BJ20" s="209"/>
      <c r="BK20" s="209" t="s">
        <v>2486</v>
      </c>
      <c r="BL20" s="209"/>
      <c r="BM20" s="209" t="s">
        <v>2624</v>
      </c>
      <c r="BN20" s="209" t="s">
        <v>2625</v>
      </c>
      <c r="BO20" s="214" t="s">
        <v>2498</v>
      </c>
      <c r="BP20" s="208" t="s">
        <v>2486</v>
      </c>
      <c r="BQ20" s="209" t="s">
        <v>1477</v>
      </c>
      <c r="BR20" s="211" t="s">
        <v>144</v>
      </c>
      <c r="BS20" s="211"/>
      <c r="BT20" s="208" t="s">
        <v>2486</v>
      </c>
      <c r="BU20" s="209"/>
      <c r="BV20" s="210"/>
      <c r="BW20" s="208" t="s">
        <v>2497</v>
      </c>
      <c r="BX20" s="209" t="s">
        <v>2637</v>
      </c>
      <c r="BY20" s="209" t="s">
        <v>1996</v>
      </c>
      <c r="BZ20" s="211"/>
      <c r="CA20" s="209"/>
      <c r="CB20" s="209"/>
      <c r="CC20" s="211"/>
      <c r="CD20" s="211"/>
      <c r="CE20" s="208"/>
      <c r="CF20" s="208"/>
      <c r="CG20" s="211"/>
      <c r="CH20" s="210"/>
      <c r="CI20" s="210"/>
      <c r="CJ20" s="209"/>
      <c r="CK20" s="208" t="s">
        <v>2486</v>
      </c>
      <c r="CL20" s="209"/>
      <c r="CM20" s="209"/>
      <c r="CN20" s="209"/>
      <c r="CO20" s="209"/>
      <c r="CP20" s="208"/>
      <c r="CQ20" s="209" t="s">
        <v>2486</v>
      </c>
      <c r="CR20" s="209"/>
      <c r="CS20" s="208"/>
      <c r="CT20" s="209" t="s">
        <v>2486</v>
      </c>
      <c r="CU20" s="209"/>
      <c r="CV20" s="215" t="s">
        <v>2498</v>
      </c>
      <c r="CW20" s="208"/>
      <c r="CX20" s="216"/>
      <c r="CY20" s="209" t="s">
        <v>2499</v>
      </c>
      <c r="CZ20" s="209"/>
      <c r="DA20" s="209" t="s">
        <v>2500</v>
      </c>
      <c r="DB20" s="209" t="s">
        <v>2500</v>
      </c>
      <c r="DC20" s="209" t="s">
        <v>2626</v>
      </c>
      <c r="DD20" s="209"/>
      <c r="DE20" s="210"/>
      <c r="DF20" s="209"/>
      <c r="DG20" s="216"/>
      <c r="DH20" s="217">
        <v>1023500</v>
      </c>
      <c r="DI20" s="208"/>
      <c r="DJ20" s="208"/>
      <c r="DK20" s="208"/>
      <c r="DL20" s="208"/>
      <c r="DM20" s="208"/>
      <c r="DN20" s="217">
        <v>0</v>
      </c>
      <c r="DO20" s="217">
        <v>0</v>
      </c>
      <c r="DP20" s="208" t="s">
        <v>2486</v>
      </c>
      <c r="DQ20" s="209"/>
      <c r="DR20" s="209"/>
      <c r="DS20" s="209" t="s">
        <v>2501</v>
      </c>
      <c r="DT20" s="209"/>
      <c r="DU20" s="209"/>
      <c r="DV20" s="209" t="s">
        <v>2502</v>
      </c>
      <c r="DW20" s="209" t="s">
        <v>2503</v>
      </c>
      <c r="DX20" s="209" t="s">
        <v>2498</v>
      </c>
    </row>
    <row r="21" spans="1:128" ht="19.5" customHeight="1">
      <c r="A21" s="206"/>
      <c r="B21" s="207" t="s">
        <v>2638</v>
      </c>
      <c r="C21" s="208"/>
      <c r="D21" s="208"/>
      <c r="E21" s="207" t="s">
        <v>2639</v>
      </c>
      <c r="F21" s="207" t="s">
        <v>2640</v>
      </c>
      <c r="G21" s="209" t="s">
        <v>2641</v>
      </c>
      <c r="H21" s="207" t="s">
        <v>2476</v>
      </c>
      <c r="I21" s="207" t="s">
        <v>2477</v>
      </c>
      <c r="J21" s="209" t="s">
        <v>2478</v>
      </c>
      <c r="K21" s="210">
        <v>46177</v>
      </c>
      <c r="L21" s="208" t="s">
        <v>2642</v>
      </c>
      <c r="M21" s="209" t="s">
        <v>2615</v>
      </c>
      <c r="N21" s="208" t="s">
        <v>2615</v>
      </c>
      <c r="O21" s="208" t="s">
        <v>2329</v>
      </c>
      <c r="P21" s="208" t="s">
        <v>2616</v>
      </c>
      <c r="Q21" s="208"/>
      <c r="R21" s="208"/>
      <c r="S21" s="208" t="s">
        <v>104</v>
      </c>
      <c r="T21" s="211" t="s">
        <v>2617</v>
      </c>
      <c r="U21" s="208" t="s">
        <v>1247</v>
      </c>
      <c r="V21" s="208" t="s">
        <v>2510</v>
      </c>
      <c r="W21" s="209" t="s">
        <v>2484</v>
      </c>
      <c r="X21" s="208"/>
      <c r="Y21" s="208" t="s">
        <v>2485</v>
      </c>
      <c r="Z21" s="208"/>
      <c r="AA21" s="209"/>
      <c r="AB21" s="209"/>
      <c r="AC21" s="209"/>
      <c r="AD21" s="209"/>
      <c r="AE21" s="209"/>
      <c r="AF21" s="210"/>
      <c r="AG21" s="210"/>
      <c r="AH21" s="210"/>
      <c r="AI21" s="208"/>
      <c r="AJ21" s="208"/>
      <c r="AK21" s="208" t="s">
        <v>2486</v>
      </c>
      <c r="AL21" s="208"/>
      <c r="AM21" s="210"/>
      <c r="AN21" s="210"/>
      <c r="AO21" s="208"/>
      <c r="AP21" s="208" t="s">
        <v>2486</v>
      </c>
      <c r="AQ21" s="208" t="s">
        <v>2487</v>
      </c>
      <c r="AR21" s="209"/>
      <c r="AS21" s="209" t="s">
        <v>2488</v>
      </c>
      <c r="AT21" s="209" t="s">
        <v>2486</v>
      </c>
      <c r="AU21" s="209"/>
      <c r="AV21" s="212">
        <v>0</v>
      </c>
      <c r="AW21" s="208"/>
      <c r="AX21" s="209" t="s">
        <v>2486</v>
      </c>
      <c r="AY21" s="209" t="s">
        <v>2489</v>
      </c>
      <c r="AZ21" s="209" t="s">
        <v>2490</v>
      </c>
      <c r="BA21" s="209"/>
      <c r="BB21" s="209"/>
      <c r="BC21" s="209" t="s">
        <v>2478</v>
      </c>
      <c r="BD21" s="209" t="s">
        <v>2491</v>
      </c>
      <c r="BE21" s="209" t="s">
        <v>2492</v>
      </c>
      <c r="BF21" s="209"/>
      <c r="BG21" s="208"/>
      <c r="BH21" s="213"/>
      <c r="BI21" s="209" t="s">
        <v>2486</v>
      </c>
      <c r="BJ21" s="209"/>
      <c r="BK21" s="209" t="s">
        <v>2486</v>
      </c>
      <c r="BL21" s="209"/>
      <c r="BM21" s="209" t="s">
        <v>2624</v>
      </c>
      <c r="BN21" s="209" t="s">
        <v>2625</v>
      </c>
      <c r="BO21" s="214" t="s">
        <v>2498</v>
      </c>
      <c r="BP21" s="208" t="s">
        <v>2486</v>
      </c>
      <c r="BQ21" s="209" t="s">
        <v>1477</v>
      </c>
      <c r="BR21" s="211" t="s">
        <v>144</v>
      </c>
      <c r="BS21" s="211"/>
      <c r="BT21" s="208" t="s">
        <v>2486</v>
      </c>
      <c r="BU21" s="209"/>
      <c r="BV21" s="210"/>
      <c r="BW21" s="208" t="s">
        <v>2497</v>
      </c>
      <c r="BX21" s="209"/>
      <c r="BY21" s="209" t="s">
        <v>1996</v>
      </c>
      <c r="BZ21" s="211"/>
      <c r="CA21" s="209"/>
      <c r="CB21" s="209"/>
      <c r="CC21" s="211"/>
      <c r="CD21" s="211"/>
      <c r="CE21" s="208"/>
      <c r="CF21" s="208"/>
      <c r="CG21" s="211"/>
      <c r="CH21" s="210"/>
      <c r="CI21" s="210"/>
      <c r="CJ21" s="209"/>
      <c r="CK21" s="208" t="s">
        <v>2486</v>
      </c>
      <c r="CL21" s="209"/>
      <c r="CM21" s="209"/>
      <c r="CN21" s="209"/>
      <c r="CO21" s="209"/>
      <c r="CP21" s="208"/>
      <c r="CQ21" s="209" t="s">
        <v>2486</v>
      </c>
      <c r="CR21" s="209"/>
      <c r="CS21" s="208"/>
      <c r="CT21" s="209" t="s">
        <v>2486</v>
      </c>
      <c r="CU21" s="209"/>
      <c r="CV21" s="215" t="s">
        <v>2498</v>
      </c>
      <c r="CW21" s="208"/>
      <c r="CX21" s="216"/>
      <c r="CY21" s="209" t="s">
        <v>2499</v>
      </c>
      <c r="CZ21" s="209"/>
      <c r="DA21" s="209" t="s">
        <v>2500</v>
      </c>
      <c r="DB21" s="209" t="s">
        <v>2500</v>
      </c>
      <c r="DC21" s="209"/>
      <c r="DD21" s="209"/>
      <c r="DE21" s="210"/>
      <c r="DF21" s="209"/>
      <c r="DG21" s="216"/>
      <c r="DH21" s="217">
        <v>1023500</v>
      </c>
      <c r="DI21" s="208"/>
      <c r="DJ21" s="208"/>
      <c r="DK21" s="208"/>
      <c r="DL21" s="208"/>
      <c r="DM21" s="208"/>
      <c r="DN21" s="217">
        <v>0</v>
      </c>
      <c r="DO21" s="217">
        <v>0</v>
      </c>
      <c r="DP21" s="208" t="s">
        <v>2486</v>
      </c>
      <c r="DQ21" s="209"/>
      <c r="DR21" s="209"/>
      <c r="DS21" s="209" t="s">
        <v>2501</v>
      </c>
      <c r="DT21" s="209"/>
      <c r="DU21" s="209"/>
      <c r="DV21" s="209" t="s">
        <v>2502</v>
      </c>
      <c r="DW21" s="209" t="s">
        <v>2503</v>
      </c>
      <c r="DX21" s="209" t="s">
        <v>2498</v>
      </c>
    </row>
    <row r="22" spans="1:128" ht="19.5" customHeight="1">
      <c r="A22" s="206"/>
      <c r="B22" s="207" t="s">
        <v>2643</v>
      </c>
      <c r="C22" s="208"/>
      <c r="D22" s="208"/>
      <c r="E22" s="207" t="s">
        <v>2644</v>
      </c>
      <c r="F22" s="207" t="s">
        <v>2645</v>
      </c>
      <c r="G22" s="209" t="s">
        <v>2646</v>
      </c>
      <c r="H22" s="207" t="s">
        <v>2476</v>
      </c>
      <c r="I22" s="207" t="s">
        <v>2477</v>
      </c>
      <c r="J22" s="209" t="s">
        <v>2478</v>
      </c>
      <c r="K22" s="210">
        <v>46177</v>
      </c>
      <c r="L22" s="208" t="s">
        <v>2508</v>
      </c>
      <c r="M22" s="209" t="s">
        <v>2615</v>
      </c>
      <c r="N22" s="208" t="s">
        <v>2615</v>
      </c>
      <c r="O22" s="208" t="s">
        <v>2329</v>
      </c>
      <c r="P22" s="208" t="s">
        <v>2616</v>
      </c>
      <c r="Q22" s="208"/>
      <c r="R22" s="208"/>
      <c r="S22" s="208" t="s">
        <v>104</v>
      </c>
      <c r="T22" s="211" t="s">
        <v>2617</v>
      </c>
      <c r="U22" s="208" t="s">
        <v>119</v>
      </c>
      <c r="V22" s="208" t="s">
        <v>2515</v>
      </c>
      <c r="W22" s="209" t="s">
        <v>2484</v>
      </c>
      <c r="X22" s="208"/>
      <c r="Y22" s="208" t="s">
        <v>2485</v>
      </c>
      <c r="Z22" s="208"/>
      <c r="AA22" s="209"/>
      <c r="AB22" s="209"/>
      <c r="AC22" s="209"/>
      <c r="AD22" s="209"/>
      <c r="AE22" s="209"/>
      <c r="AF22" s="210"/>
      <c r="AG22" s="210"/>
      <c r="AH22" s="210"/>
      <c r="AI22" s="208"/>
      <c r="AJ22" s="208"/>
      <c r="AK22" s="208" t="s">
        <v>2486</v>
      </c>
      <c r="AL22" s="208"/>
      <c r="AM22" s="210"/>
      <c r="AN22" s="210"/>
      <c r="AO22" s="208"/>
      <c r="AP22" s="208" t="s">
        <v>2486</v>
      </c>
      <c r="AQ22" s="208" t="s">
        <v>2487</v>
      </c>
      <c r="AR22" s="209"/>
      <c r="AS22" s="209" t="s">
        <v>2488</v>
      </c>
      <c r="AT22" s="209" t="s">
        <v>2486</v>
      </c>
      <c r="AU22" s="209"/>
      <c r="AV22" s="212">
        <v>0</v>
      </c>
      <c r="AW22" s="208"/>
      <c r="AX22" s="209" t="s">
        <v>2486</v>
      </c>
      <c r="AY22" s="209" t="s">
        <v>2489</v>
      </c>
      <c r="AZ22" s="209" t="s">
        <v>2490</v>
      </c>
      <c r="BA22" s="209"/>
      <c r="BB22" s="209"/>
      <c r="BC22" s="209" t="s">
        <v>2478</v>
      </c>
      <c r="BD22" s="209" t="s">
        <v>2491</v>
      </c>
      <c r="BE22" s="209" t="s">
        <v>2492</v>
      </c>
      <c r="BF22" s="209"/>
      <c r="BG22" s="208"/>
      <c r="BH22" s="213"/>
      <c r="BI22" s="209" t="s">
        <v>2486</v>
      </c>
      <c r="BJ22" s="209"/>
      <c r="BK22" s="209" t="s">
        <v>2486</v>
      </c>
      <c r="BL22" s="209"/>
      <c r="BM22" s="209" t="s">
        <v>2493</v>
      </c>
      <c r="BN22" s="209" t="s">
        <v>2494</v>
      </c>
      <c r="BO22" s="214"/>
      <c r="BP22" s="208" t="s">
        <v>2486</v>
      </c>
      <c r="BQ22" s="209" t="s">
        <v>2495</v>
      </c>
      <c r="BR22" s="211" t="s">
        <v>2496</v>
      </c>
      <c r="BS22" s="211"/>
      <c r="BT22" s="208" t="s">
        <v>2486</v>
      </c>
      <c r="BU22" s="209"/>
      <c r="BV22" s="210"/>
      <c r="BW22" s="208" t="s">
        <v>2497</v>
      </c>
      <c r="BX22" s="209"/>
      <c r="BY22" s="209" t="s">
        <v>1996</v>
      </c>
      <c r="BZ22" s="211"/>
      <c r="CA22" s="209"/>
      <c r="CB22" s="209"/>
      <c r="CC22" s="211"/>
      <c r="CD22" s="211"/>
      <c r="CE22" s="208"/>
      <c r="CF22" s="208"/>
      <c r="CG22" s="211"/>
      <c r="CH22" s="210"/>
      <c r="CI22" s="210"/>
      <c r="CJ22" s="209"/>
      <c r="CK22" s="208" t="s">
        <v>2486</v>
      </c>
      <c r="CL22" s="209"/>
      <c r="CM22" s="209"/>
      <c r="CN22" s="209"/>
      <c r="CO22" s="209"/>
      <c r="CP22" s="208"/>
      <c r="CQ22" s="209" t="s">
        <v>2486</v>
      </c>
      <c r="CR22" s="209"/>
      <c r="CS22" s="208"/>
      <c r="CT22" s="209" t="s">
        <v>2486</v>
      </c>
      <c r="CU22" s="209"/>
      <c r="CV22" s="215" t="s">
        <v>2498</v>
      </c>
      <c r="CW22" s="208"/>
      <c r="CX22" s="216"/>
      <c r="CY22" s="209" t="s">
        <v>2499</v>
      </c>
      <c r="CZ22" s="209"/>
      <c r="DA22" s="209" t="s">
        <v>2500</v>
      </c>
      <c r="DB22" s="209" t="s">
        <v>2500</v>
      </c>
      <c r="DC22" s="209"/>
      <c r="DD22" s="209"/>
      <c r="DE22" s="210"/>
      <c r="DF22" s="209"/>
      <c r="DG22" s="216"/>
      <c r="DH22" s="217">
        <v>0</v>
      </c>
      <c r="DI22" s="208"/>
      <c r="DJ22" s="208"/>
      <c r="DK22" s="208"/>
      <c r="DL22" s="208"/>
      <c r="DM22" s="208"/>
      <c r="DN22" s="217">
        <v>0</v>
      </c>
      <c r="DO22" s="217">
        <v>0</v>
      </c>
      <c r="DP22" s="208" t="s">
        <v>2486</v>
      </c>
      <c r="DQ22" s="209"/>
      <c r="DR22" s="209"/>
      <c r="DS22" s="209" t="s">
        <v>2501</v>
      </c>
      <c r="DT22" s="209"/>
      <c r="DU22" s="209"/>
      <c r="DV22" s="209" t="s">
        <v>2502</v>
      </c>
      <c r="DW22" s="209" t="s">
        <v>2503</v>
      </c>
      <c r="DX22" s="209" t="s">
        <v>2498</v>
      </c>
    </row>
    <row r="23" spans="1:128" ht="19.5" customHeight="1">
      <c r="A23" s="206"/>
      <c r="B23" s="207" t="s">
        <v>2647</v>
      </c>
      <c r="C23" s="208"/>
      <c r="D23" s="208"/>
      <c r="E23" s="207" t="s">
        <v>2648</v>
      </c>
      <c r="F23" s="207" t="s">
        <v>2649</v>
      </c>
      <c r="G23" s="209" t="s">
        <v>2650</v>
      </c>
      <c r="H23" s="207" t="s">
        <v>2476</v>
      </c>
      <c r="I23" s="207" t="s">
        <v>2477</v>
      </c>
      <c r="J23" s="209" t="s">
        <v>2478</v>
      </c>
      <c r="K23" s="210">
        <v>46177</v>
      </c>
      <c r="L23" s="208" t="s">
        <v>2535</v>
      </c>
      <c r="M23" s="209" t="s">
        <v>2615</v>
      </c>
      <c r="N23" s="208" t="s">
        <v>2615</v>
      </c>
      <c r="O23" s="208" t="s">
        <v>2329</v>
      </c>
      <c r="P23" s="208" t="s">
        <v>2616</v>
      </c>
      <c r="Q23" s="208"/>
      <c r="R23" s="208"/>
      <c r="S23" s="208" t="s">
        <v>104</v>
      </c>
      <c r="T23" s="211" t="s">
        <v>2617</v>
      </c>
      <c r="U23" s="208" t="s">
        <v>119</v>
      </c>
      <c r="V23" s="208" t="s">
        <v>2515</v>
      </c>
      <c r="W23" s="209" t="s">
        <v>2484</v>
      </c>
      <c r="X23" s="208"/>
      <c r="Y23" s="208" t="s">
        <v>2485</v>
      </c>
      <c r="Z23" s="208"/>
      <c r="AA23" s="209"/>
      <c r="AB23" s="209"/>
      <c r="AC23" s="209"/>
      <c r="AD23" s="209"/>
      <c r="AE23" s="209"/>
      <c r="AF23" s="210"/>
      <c r="AG23" s="210"/>
      <c r="AH23" s="210"/>
      <c r="AI23" s="208"/>
      <c r="AJ23" s="208"/>
      <c r="AK23" s="208" t="s">
        <v>2486</v>
      </c>
      <c r="AL23" s="208"/>
      <c r="AM23" s="210"/>
      <c r="AN23" s="210"/>
      <c r="AO23" s="208"/>
      <c r="AP23" s="208" t="s">
        <v>2486</v>
      </c>
      <c r="AQ23" s="208" t="s">
        <v>2487</v>
      </c>
      <c r="AR23" s="209"/>
      <c r="AS23" s="209" t="s">
        <v>2488</v>
      </c>
      <c r="AT23" s="209" t="s">
        <v>2486</v>
      </c>
      <c r="AU23" s="209"/>
      <c r="AV23" s="212">
        <v>0</v>
      </c>
      <c r="AW23" s="208"/>
      <c r="AX23" s="209" t="s">
        <v>2486</v>
      </c>
      <c r="AY23" s="209" t="s">
        <v>2489</v>
      </c>
      <c r="AZ23" s="209" t="s">
        <v>2490</v>
      </c>
      <c r="BA23" s="209"/>
      <c r="BB23" s="209"/>
      <c r="BC23" s="209" t="s">
        <v>2478</v>
      </c>
      <c r="BD23" s="209" t="s">
        <v>2491</v>
      </c>
      <c r="BE23" s="209" t="s">
        <v>2492</v>
      </c>
      <c r="BF23" s="209"/>
      <c r="BG23" s="208"/>
      <c r="BH23" s="213"/>
      <c r="BI23" s="209" t="s">
        <v>2486</v>
      </c>
      <c r="BJ23" s="209"/>
      <c r="BK23" s="209" t="s">
        <v>2486</v>
      </c>
      <c r="BL23" s="209"/>
      <c r="BM23" s="209" t="s">
        <v>2493</v>
      </c>
      <c r="BN23" s="209" t="s">
        <v>2494</v>
      </c>
      <c r="BO23" s="214"/>
      <c r="BP23" s="208" t="s">
        <v>2486</v>
      </c>
      <c r="BQ23" s="209" t="s">
        <v>2495</v>
      </c>
      <c r="BR23" s="211" t="s">
        <v>2496</v>
      </c>
      <c r="BS23" s="211"/>
      <c r="BT23" s="208" t="s">
        <v>2486</v>
      </c>
      <c r="BU23" s="209"/>
      <c r="BV23" s="210"/>
      <c r="BW23" s="208" t="s">
        <v>2497</v>
      </c>
      <c r="BX23" s="209"/>
      <c r="BY23" s="209" t="s">
        <v>1996</v>
      </c>
      <c r="BZ23" s="211"/>
      <c r="CA23" s="209"/>
      <c r="CB23" s="209"/>
      <c r="CC23" s="211"/>
      <c r="CD23" s="211"/>
      <c r="CE23" s="208"/>
      <c r="CF23" s="208"/>
      <c r="CG23" s="211"/>
      <c r="CH23" s="210"/>
      <c r="CI23" s="210"/>
      <c r="CJ23" s="209"/>
      <c r="CK23" s="208" t="s">
        <v>2486</v>
      </c>
      <c r="CL23" s="209"/>
      <c r="CM23" s="209"/>
      <c r="CN23" s="209"/>
      <c r="CO23" s="209"/>
      <c r="CP23" s="208"/>
      <c r="CQ23" s="209" t="s">
        <v>2486</v>
      </c>
      <c r="CR23" s="209"/>
      <c r="CS23" s="208"/>
      <c r="CT23" s="209" t="s">
        <v>2486</v>
      </c>
      <c r="CU23" s="209"/>
      <c r="CV23" s="215" t="s">
        <v>2498</v>
      </c>
      <c r="CW23" s="208"/>
      <c r="CX23" s="216"/>
      <c r="CY23" s="209" t="s">
        <v>2499</v>
      </c>
      <c r="CZ23" s="209"/>
      <c r="DA23" s="209" t="s">
        <v>2500</v>
      </c>
      <c r="DB23" s="209" t="s">
        <v>2500</v>
      </c>
      <c r="DC23" s="209"/>
      <c r="DD23" s="209"/>
      <c r="DE23" s="210"/>
      <c r="DF23" s="209"/>
      <c r="DG23" s="216"/>
      <c r="DH23" s="217">
        <v>0</v>
      </c>
      <c r="DI23" s="208"/>
      <c r="DJ23" s="208"/>
      <c r="DK23" s="208"/>
      <c r="DL23" s="208"/>
      <c r="DM23" s="208"/>
      <c r="DN23" s="217">
        <v>0</v>
      </c>
      <c r="DO23" s="217">
        <v>0</v>
      </c>
      <c r="DP23" s="208" t="s">
        <v>2486</v>
      </c>
      <c r="DQ23" s="209"/>
      <c r="DR23" s="209"/>
      <c r="DS23" s="209" t="s">
        <v>2501</v>
      </c>
      <c r="DT23" s="209"/>
      <c r="DU23" s="209"/>
      <c r="DV23" s="209" t="s">
        <v>2502</v>
      </c>
      <c r="DW23" s="209" t="s">
        <v>2503</v>
      </c>
      <c r="DX23" s="209" t="s">
        <v>2498</v>
      </c>
    </row>
    <row r="24" spans="1:128" ht="19.5" customHeight="1">
      <c r="A24" s="206"/>
      <c r="B24" s="207" t="s">
        <v>2651</v>
      </c>
      <c r="C24" s="208"/>
      <c r="D24" s="208"/>
      <c r="E24" s="207" t="s">
        <v>2652</v>
      </c>
      <c r="F24" s="207" t="s">
        <v>2653</v>
      </c>
      <c r="G24" s="209" t="s">
        <v>2654</v>
      </c>
      <c r="H24" s="207" t="s">
        <v>2561</v>
      </c>
      <c r="I24" s="207" t="s">
        <v>2477</v>
      </c>
      <c r="J24" s="209" t="s">
        <v>2478</v>
      </c>
      <c r="K24" s="210">
        <v>46177</v>
      </c>
      <c r="L24" s="208" t="s">
        <v>2562</v>
      </c>
      <c r="M24" s="209" t="s">
        <v>2615</v>
      </c>
      <c r="N24" s="208" t="s">
        <v>2615</v>
      </c>
      <c r="O24" s="208" t="s">
        <v>2329</v>
      </c>
      <c r="P24" s="208" t="s">
        <v>2616</v>
      </c>
      <c r="Q24" s="208"/>
      <c r="R24" s="208"/>
      <c r="S24" s="208" t="s">
        <v>104</v>
      </c>
      <c r="T24" s="211" t="s">
        <v>2617</v>
      </c>
      <c r="U24" s="208" t="s">
        <v>119</v>
      </c>
      <c r="V24" s="208" t="s">
        <v>2563</v>
      </c>
      <c r="W24" s="209" t="s">
        <v>2484</v>
      </c>
      <c r="X24" s="208" t="s">
        <v>2655</v>
      </c>
      <c r="Y24" s="208" t="s">
        <v>2485</v>
      </c>
      <c r="Z24" s="208" t="s">
        <v>2656</v>
      </c>
      <c r="AA24" s="209" t="s">
        <v>2566</v>
      </c>
      <c r="AB24" s="209" t="s">
        <v>2657</v>
      </c>
      <c r="AC24" s="209" t="s">
        <v>2658</v>
      </c>
      <c r="AD24" s="209" t="s">
        <v>2659</v>
      </c>
      <c r="AE24" s="209" t="s">
        <v>2660</v>
      </c>
      <c r="AF24" s="210"/>
      <c r="AG24" s="210"/>
      <c r="AH24" s="210"/>
      <c r="AI24" s="208"/>
      <c r="AJ24" s="208"/>
      <c r="AK24" s="208" t="s">
        <v>2486</v>
      </c>
      <c r="AL24" s="208"/>
      <c r="AM24" s="210"/>
      <c r="AN24" s="210"/>
      <c r="AO24" s="208"/>
      <c r="AP24" s="208" t="s">
        <v>2486</v>
      </c>
      <c r="AQ24" s="208" t="s">
        <v>2487</v>
      </c>
      <c r="AR24" s="209"/>
      <c r="AS24" s="209" t="s">
        <v>2488</v>
      </c>
      <c r="AT24" s="209" t="s">
        <v>2486</v>
      </c>
      <c r="AU24" s="209"/>
      <c r="AV24" s="212">
        <v>0</v>
      </c>
      <c r="AW24" s="208"/>
      <c r="AX24" s="209" t="s">
        <v>2486</v>
      </c>
      <c r="AY24" s="209" t="s">
        <v>2489</v>
      </c>
      <c r="AZ24" s="209" t="s">
        <v>2490</v>
      </c>
      <c r="BA24" s="209"/>
      <c r="BB24" s="209"/>
      <c r="BC24" s="209" t="s">
        <v>2478</v>
      </c>
      <c r="BD24" s="209" t="s">
        <v>2491</v>
      </c>
      <c r="BE24" s="209" t="s">
        <v>2492</v>
      </c>
      <c r="BF24" s="209" t="s">
        <v>2486</v>
      </c>
      <c r="BG24" s="208"/>
      <c r="BH24" s="213"/>
      <c r="BI24" s="209" t="s">
        <v>2486</v>
      </c>
      <c r="BJ24" s="209"/>
      <c r="BK24" s="209" t="s">
        <v>2486</v>
      </c>
      <c r="BL24" s="209"/>
      <c r="BM24" s="209" t="s">
        <v>2624</v>
      </c>
      <c r="BN24" s="209" t="s">
        <v>2625</v>
      </c>
      <c r="BO24" s="214" t="s">
        <v>2498</v>
      </c>
      <c r="BP24" s="208" t="s">
        <v>2486</v>
      </c>
      <c r="BQ24" s="209" t="s">
        <v>1477</v>
      </c>
      <c r="BR24" s="211" t="s">
        <v>144</v>
      </c>
      <c r="BS24" s="211"/>
      <c r="BT24" s="208" t="s">
        <v>2486</v>
      </c>
      <c r="BU24" s="209"/>
      <c r="BV24" s="210"/>
      <c r="BW24" s="208" t="s">
        <v>2497</v>
      </c>
      <c r="BX24" s="209" t="s">
        <v>2661</v>
      </c>
      <c r="BY24" s="209" t="s">
        <v>1996</v>
      </c>
      <c r="BZ24" s="211"/>
      <c r="CA24" s="209"/>
      <c r="CB24" s="209"/>
      <c r="CC24" s="211"/>
      <c r="CD24" s="211"/>
      <c r="CE24" s="208"/>
      <c r="CF24" s="208"/>
      <c r="CG24" s="211"/>
      <c r="CH24" s="210"/>
      <c r="CI24" s="210"/>
      <c r="CJ24" s="209"/>
      <c r="CK24" s="208" t="s">
        <v>2486</v>
      </c>
      <c r="CL24" s="209"/>
      <c r="CM24" s="209"/>
      <c r="CN24" s="209"/>
      <c r="CO24" s="209"/>
      <c r="CP24" s="208"/>
      <c r="CQ24" s="209" t="s">
        <v>2486</v>
      </c>
      <c r="CR24" s="209"/>
      <c r="CS24" s="208"/>
      <c r="CT24" s="209" t="s">
        <v>2486</v>
      </c>
      <c r="CU24" s="209"/>
      <c r="CV24" s="215" t="s">
        <v>2498</v>
      </c>
      <c r="CW24" s="208"/>
      <c r="CX24" s="216"/>
      <c r="CY24" s="209" t="s">
        <v>2499</v>
      </c>
      <c r="CZ24" s="209"/>
      <c r="DA24" s="209" t="s">
        <v>2500</v>
      </c>
      <c r="DB24" s="209" t="s">
        <v>2500</v>
      </c>
      <c r="DC24" s="209" t="s">
        <v>2626</v>
      </c>
      <c r="DD24" s="209"/>
      <c r="DE24" s="210"/>
      <c r="DF24" s="209"/>
      <c r="DG24" s="216"/>
      <c r="DH24" s="217">
        <v>1023500</v>
      </c>
      <c r="DI24" s="208"/>
      <c r="DJ24" s="208"/>
      <c r="DK24" s="208"/>
      <c r="DL24" s="208"/>
      <c r="DM24" s="208"/>
      <c r="DN24" s="217">
        <v>0</v>
      </c>
      <c r="DO24" s="217">
        <v>0</v>
      </c>
      <c r="DP24" s="208" t="s">
        <v>2486</v>
      </c>
      <c r="DQ24" s="209"/>
      <c r="DR24" s="209"/>
      <c r="DS24" s="209" t="s">
        <v>2501</v>
      </c>
      <c r="DT24" s="209"/>
      <c r="DU24" s="209"/>
      <c r="DV24" s="209" t="s">
        <v>2502</v>
      </c>
      <c r="DW24" s="209" t="s">
        <v>2503</v>
      </c>
      <c r="DX24" s="209" t="s">
        <v>2498</v>
      </c>
    </row>
    <row r="25" spans="1:128" ht="19.5" customHeight="1">
      <c r="A25" s="206"/>
      <c r="B25" s="207" t="s">
        <v>2662</v>
      </c>
      <c r="C25" s="208"/>
      <c r="D25" s="208"/>
      <c r="E25" s="207" t="s">
        <v>2663</v>
      </c>
      <c r="F25" s="207" t="s">
        <v>2664</v>
      </c>
      <c r="G25" s="209" t="s">
        <v>2665</v>
      </c>
      <c r="H25" s="207" t="s">
        <v>2561</v>
      </c>
      <c r="I25" s="207" t="s">
        <v>2477</v>
      </c>
      <c r="J25" s="209" t="s">
        <v>2478</v>
      </c>
      <c r="K25" s="210">
        <v>46177</v>
      </c>
      <c r="L25" s="208" t="s">
        <v>2540</v>
      </c>
      <c r="M25" s="209" t="s">
        <v>2615</v>
      </c>
      <c r="N25" s="208" t="s">
        <v>2615</v>
      </c>
      <c r="O25" s="208" t="s">
        <v>2329</v>
      </c>
      <c r="P25" s="208" t="s">
        <v>2616</v>
      </c>
      <c r="Q25" s="208"/>
      <c r="R25" s="208"/>
      <c r="S25" s="208" t="s">
        <v>104</v>
      </c>
      <c r="T25" s="211" t="s">
        <v>2617</v>
      </c>
      <c r="U25" s="208" t="s">
        <v>119</v>
      </c>
      <c r="V25" s="208" t="s">
        <v>2563</v>
      </c>
      <c r="W25" s="209" t="s">
        <v>2484</v>
      </c>
      <c r="X25" s="208" t="s">
        <v>2666</v>
      </c>
      <c r="Y25" s="208" t="s">
        <v>2485</v>
      </c>
      <c r="Z25" s="208" t="s">
        <v>2667</v>
      </c>
      <c r="AA25" s="209" t="s">
        <v>2566</v>
      </c>
      <c r="AB25" s="209" t="s">
        <v>2668</v>
      </c>
      <c r="AC25" s="209" t="s">
        <v>2669</v>
      </c>
      <c r="AD25" s="209" t="s">
        <v>2670</v>
      </c>
      <c r="AE25" s="209" t="s">
        <v>2671</v>
      </c>
      <c r="AF25" s="210"/>
      <c r="AG25" s="210"/>
      <c r="AH25" s="210"/>
      <c r="AI25" s="208"/>
      <c r="AJ25" s="208"/>
      <c r="AK25" s="208" t="s">
        <v>2486</v>
      </c>
      <c r="AL25" s="208"/>
      <c r="AM25" s="210"/>
      <c r="AN25" s="210"/>
      <c r="AO25" s="208"/>
      <c r="AP25" s="208" t="s">
        <v>2486</v>
      </c>
      <c r="AQ25" s="208" t="s">
        <v>2487</v>
      </c>
      <c r="AR25" s="209"/>
      <c r="AS25" s="209" t="s">
        <v>2488</v>
      </c>
      <c r="AT25" s="209" t="s">
        <v>2486</v>
      </c>
      <c r="AU25" s="209"/>
      <c r="AV25" s="212">
        <v>0</v>
      </c>
      <c r="AW25" s="208"/>
      <c r="AX25" s="209" t="s">
        <v>2486</v>
      </c>
      <c r="AY25" s="209" t="s">
        <v>2489</v>
      </c>
      <c r="AZ25" s="209" t="s">
        <v>2490</v>
      </c>
      <c r="BA25" s="209"/>
      <c r="BB25" s="209"/>
      <c r="BC25" s="209" t="s">
        <v>2478</v>
      </c>
      <c r="BD25" s="209" t="s">
        <v>2491</v>
      </c>
      <c r="BE25" s="209" t="s">
        <v>2492</v>
      </c>
      <c r="BF25" s="209" t="s">
        <v>2486</v>
      </c>
      <c r="BG25" s="208"/>
      <c r="BH25" s="213"/>
      <c r="BI25" s="209" t="s">
        <v>2486</v>
      </c>
      <c r="BJ25" s="209"/>
      <c r="BK25" s="209" t="s">
        <v>2486</v>
      </c>
      <c r="BL25" s="209"/>
      <c r="BM25" s="209" t="s">
        <v>2624</v>
      </c>
      <c r="BN25" s="209" t="s">
        <v>2625</v>
      </c>
      <c r="BO25" s="214" t="s">
        <v>2498</v>
      </c>
      <c r="BP25" s="208" t="s">
        <v>2486</v>
      </c>
      <c r="BQ25" s="209" t="s">
        <v>1477</v>
      </c>
      <c r="BR25" s="211" t="s">
        <v>144</v>
      </c>
      <c r="BS25" s="211"/>
      <c r="BT25" s="208" t="s">
        <v>2486</v>
      </c>
      <c r="BU25" s="209"/>
      <c r="BV25" s="210"/>
      <c r="BW25" s="208" t="s">
        <v>2497</v>
      </c>
      <c r="BX25" s="209" t="s">
        <v>2672</v>
      </c>
      <c r="BY25" s="209" t="s">
        <v>1996</v>
      </c>
      <c r="BZ25" s="211"/>
      <c r="CA25" s="209"/>
      <c r="CB25" s="209"/>
      <c r="CC25" s="211"/>
      <c r="CD25" s="211"/>
      <c r="CE25" s="208"/>
      <c r="CF25" s="208"/>
      <c r="CG25" s="211"/>
      <c r="CH25" s="210"/>
      <c r="CI25" s="210"/>
      <c r="CJ25" s="209"/>
      <c r="CK25" s="208" t="s">
        <v>2486</v>
      </c>
      <c r="CL25" s="209"/>
      <c r="CM25" s="209"/>
      <c r="CN25" s="209"/>
      <c r="CO25" s="209"/>
      <c r="CP25" s="208"/>
      <c r="CQ25" s="209" t="s">
        <v>2486</v>
      </c>
      <c r="CR25" s="209"/>
      <c r="CS25" s="208"/>
      <c r="CT25" s="209" t="s">
        <v>2486</v>
      </c>
      <c r="CU25" s="209"/>
      <c r="CV25" s="215" t="s">
        <v>2498</v>
      </c>
      <c r="CW25" s="208"/>
      <c r="CX25" s="216"/>
      <c r="CY25" s="209" t="s">
        <v>2499</v>
      </c>
      <c r="CZ25" s="209"/>
      <c r="DA25" s="209" t="s">
        <v>2500</v>
      </c>
      <c r="DB25" s="209" t="s">
        <v>2500</v>
      </c>
      <c r="DC25" s="209" t="s">
        <v>2626</v>
      </c>
      <c r="DD25" s="209"/>
      <c r="DE25" s="210"/>
      <c r="DF25" s="209"/>
      <c r="DG25" s="216"/>
      <c r="DH25" s="217">
        <v>1023500</v>
      </c>
      <c r="DI25" s="208"/>
      <c r="DJ25" s="208"/>
      <c r="DK25" s="208"/>
      <c r="DL25" s="208"/>
      <c r="DM25" s="208"/>
      <c r="DN25" s="217">
        <v>0</v>
      </c>
      <c r="DO25" s="217">
        <v>0</v>
      </c>
      <c r="DP25" s="208" t="s">
        <v>2486</v>
      </c>
      <c r="DQ25" s="209"/>
      <c r="DR25" s="209"/>
      <c r="DS25" s="209" t="s">
        <v>2501</v>
      </c>
      <c r="DT25" s="209"/>
      <c r="DU25" s="209"/>
      <c r="DV25" s="209" t="s">
        <v>2502</v>
      </c>
      <c r="DW25" s="209" t="s">
        <v>2503</v>
      </c>
      <c r="DX25" s="209" t="s">
        <v>2498</v>
      </c>
    </row>
    <row r="26" spans="1:128" ht="19.5" customHeight="1">
      <c r="A26" s="206"/>
      <c r="B26" s="207" t="s">
        <v>2673</v>
      </c>
      <c r="C26" s="208"/>
      <c r="D26" s="208"/>
      <c r="E26" s="207" t="s">
        <v>2674</v>
      </c>
      <c r="F26" s="207" t="s">
        <v>2675</v>
      </c>
      <c r="G26" s="209" t="s">
        <v>2676</v>
      </c>
      <c r="H26" s="207" t="s">
        <v>2561</v>
      </c>
      <c r="I26" s="207" t="s">
        <v>2477</v>
      </c>
      <c r="J26" s="209" t="s">
        <v>2478</v>
      </c>
      <c r="K26" s="210">
        <v>46177</v>
      </c>
      <c r="L26" s="208" t="s">
        <v>2642</v>
      </c>
      <c r="M26" s="209" t="s">
        <v>2615</v>
      </c>
      <c r="N26" s="208" t="s">
        <v>2615</v>
      </c>
      <c r="O26" s="208" t="s">
        <v>2329</v>
      </c>
      <c r="P26" s="208" t="s">
        <v>2616</v>
      </c>
      <c r="Q26" s="208"/>
      <c r="R26" s="208"/>
      <c r="S26" s="208" t="s">
        <v>104</v>
      </c>
      <c r="T26" s="211" t="s">
        <v>2617</v>
      </c>
      <c r="U26" s="208" t="s">
        <v>119</v>
      </c>
      <c r="V26" s="208" t="s">
        <v>2677</v>
      </c>
      <c r="W26" s="209" t="s">
        <v>2484</v>
      </c>
      <c r="X26" s="208" t="s">
        <v>2678</v>
      </c>
      <c r="Y26" s="208" t="s">
        <v>2485</v>
      </c>
      <c r="Z26" s="208" t="s">
        <v>2679</v>
      </c>
      <c r="AA26" s="209" t="s">
        <v>2566</v>
      </c>
      <c r="AB26" s="209" t="s">
        <v>2680</v>
      </c>
      <c r="AC26" s="209" t="s">
        <v>2681</v>
      </c>
      <c r="AD26" s="209" t="s">
        <v>2682</v>
      </c>
      <c r="AE26" s="209" t="s">
        <v>2683</v>
      </c>
      <c r="AF26" s="210"/>
      <c r="AG26" s="210"/>
      <c r="AH26" s="210"/>
      <c r="AI26" s="208"/>
      <c r="AJ26" s="208"/>
      <c r="AK26" s="208" t="s">
        <v>2486</v>
      </c>
      <c r="AL26" s="208"/>
      <c r="AM26" s="210"/>
      <c r="AN26" s="210"/>
      <c r="AO26" s="208"/>
      <c r="AP26" s="208" t="s">
        <v>2486</v>
      </c>
      <c r="AQ26" s="208" t="s">
        <v>2487</v>
      </c>
      <c r="AR26" s="209"/>
      <c r="AS26" s="209" t="s">
        <v>2488</v>
      </c>
      <c r="AT26" s="209" t="s">
        <v>2486</v>
      </c>
      <c r="AU26" s="209"/>
      <c r="AV26" s="212">
        <v>0</v>
      </c>
      <c r="AW26" s="208"/>
      <c r="AX26" s="209" t="s">
        <v>2486</v>
      </c>
      <c r="AY26" s="209" t="s">
        <v>2489</v>
      </c>
      <c r="AZ26" s="209" t="s">
        <v>2490</v>
      </c>
      <c r="BA26" s="209"/>
      <c r="BB26" s="209"/>
      <c r="BC26" s="209" t="s">
        <v>2478</v>
      </c>
      <c r="BD26" s="209" t="s">
        <v>2491</v>
      </c>
      <c r="BE26" s="209" t="s">
        <v>2492</v>
      </c>
      <c r="BF26" s="209" t="s">
        <v>2486</v>
      </c>
      <c r="BG26" s="208"/>
      <c r="BH26" s="213"/>
      <c r="BI26" s="209" t="s">
        <v>2486</v>
      </c>
      <c r="BJ26" s="209"/>
      <c r="BK26" s="209" t="s">
        <v>2486</v>
      </c>
      <c r="BL26" s="209"/>
      <c r="BM26" s="209" t="s">
        <v>2624</v>
      </c>
      <c r="BN26" s="209" t="s">
        <v>2625</v>
      </c>
      <c r="BO26" s="214" t="s">
        <v>2498</v>
      </c>
      <c r="BP26" s="208" t="s">
        <v>2486</v>
      </c>
      <c r="BQ26" s="209" t="s">
        <v>1477</v>
      </c>
      <c r="BR26" s="211" t="s">
        <v>144</v>
      </c>
      <c r="BS26" s="211"/>
      <c r="BT26" s="208" t="s">
        <v>2486</v>
      </c>
      <c r="BU26" s="209"/>
      <c r="BV26" s="210"/>
      <c r="BW26" s="208" t="s">
        <v>2497</v>
      </c>
      <c r="BX26" s="209" t="s">
        <v>2684</v>
      </c>
      <c r="BY26" s="209" t="s">
        <v>1996</v>
      </c>
      <c r="BZ26" s="211"/>
      <c r="CA26" s="209"/>
      <c r="CB26" s="209"/>
      <c r="CC26" s="211"/>
      <c r="CD26" s="211"/>
      <c r="CE26" s="208"/>
      <c r="CF26" s="208"/>
      <c r="CG26" s="211"/>
      <c r="CH26" s="210"/>
      <c r="CI26" s="210"/>
      <c r="CJ26" s="209"/>
      <c r="CK26" s="208" t="s">
        <v>2486</v>
      </c>
      <c r="CL26" s="209"/>
      <c r="CM26" s="209"/>
      <c r="CN26" s="209"/>
      <c r="CO26" s="209"/>
      <c r="CP26" s="208"/>
      <c r="CQ26" s="209" t="s">
        <v>2486</v>
      </c>
      <c r="CR26" s="209"/>
      <c r="CS26" s="208"/>
      <c r="CT26" s="209" t="s">
        <v>2486</v>
      </c>
      <c r="CU26" s="209"/>
      <c r="CV26" s="215" t="s">
        <v>2498</v>
      </c>
      <c r="CW26" s="208"/>
      <c r="CX26" s="216"/>
      <c r="CY26" s="209" t="s">
        <v>2499</v>
      </c>
      <c r="CZ26" s="209"/>
      <c r="DA26" s="209" t="s">
        <v>2500</v>
      </c>
      <c r="DB26" s="209" t="s">
        <v>2500</v>
      </c>
      <c r="DC26" s="209" t="s">
        <v>2685</v>
      </c>
      <c r="DD26" s="209"/>
      <c r="DE26" s="210"/>
      <c r="DF26" s="209"/>
      <c r="DG26" s="216"/>
      <c r="DH26" s="217">
        <v>1023500</v>
      </c>
      <c r="DI26" s="208"/>
      <c r="DJ26" s="208"/>
      <c r="DK26" s="208"/>
      <c r="DL26" s="208"/>
      <c r="DM26" s="208"/>
      <c r="DN26" s="217">
        <v>0</v>
      </c>
      <c r="DO26" s="217">
        <v>0</v>
      </c>
      <c r="DP26" s="208" t="s">
        <v>2486</v>
      </c>
      <c r="DQ26" s="209"/>
      <c r="DR26" s="209"/>
      <c r="DS26" s="209" t="s">
        <v>2501</v>
      </c>
      <c r="DT26" s="209"/>
      <c r="DU26" s="209"/>
      <c r="DV26" s="209" t="s">
        <v>2502</v>
      </c>
      <c r="DW26" s="209" t="s">
        <v>2503</v>
      </c>
      <c r="DX26" s="209" t="s">
        <v>2498</v>
      </c>
    </row>
    <row r="27" spans="1:128" ht="19.5" customHeight="1">
      <c r="A27" s="206"/>
      <c r="B27" s="207" t="s">
        <v>2686</v>
      </c>
      <c r="C27" s="208"/>
      <c r="D27" s="208"/>
      <c r="E27" s="207" t="s">
        <v>2687</v>
      </c>
      <c r="F27" s="207" t="s">
        <v>2688</v>
      </c>
      <c r="G27" s="209" t="s">
        <v>2689</v>
      </c>
      <c r="H27" s="207" t="s">
        <v>2476</v>
      </c>
      <c r="I27" s="207" t="s">
        <v>2477</v>
      </c>
      <c r="J27" s="209" t="s">
        <v>2478</v>
      </c>
      <c r="K27" s="210">
        <v>46177</v>
      </c>
      <c r="L27" s="208" t="s">
        <v>2535</v>
      </c>
      <c r="M27" s="209" t="s">
        <v>2344</v>
      </c>
      <c r="N27" s="208" t="s">
        <v>2344</v>
      </c>
      <c r="O27" s="208" t="s">
        <v>2552</v>
      </c>
      <c r="P27" s="208" t="s">
        <v>2553</v>
      </c>
      <c r="Q27" s="208"/>
      <c r="R27" s="208"/>
      <c r="S27" s="208" t="s">
        <v>103</v>
      </c>
      <c r="T27" s="211" t="s">
        <v>2617</v>
      </c>
      <c r="U27" s="208" t="s">
        <v>1270</v>
      </c>
      <c r="V27" s="208" t="s">
        <v>2594</v>
      </c>
      <c r="W27" s="209" t="s">
        <v>2484</v>
      </c>
      <c r="X27" s="208"/>
      <c r="Y27" s="208" t="s">
        <v>2485</v>
      </c>
      <c r="Z27" s="208"/>
      <c r="AA27" s="209"/>
      <c r="AB27" s="209"/>
      <c r="AC27" s="209"/>
      <c r="AD27" s="209"/>
      <c r="AE27" s="209"/>
      <c r="AF27" s="210"/>
      <c r="AG27" s="210"/>
      <c r="AH27" s="210"/>
      <c r="AI27" s="208"/>
      <c r="AJ27" s="208"/>
      <c r="AK27" s="208" t="s">
        <v>2486</v>
      </c>
      <c r="AL27" s="208"/>
      <c r="AM27" s="210"/>
      <c r="AN27" s="210"/>
      <c r="AO27" s="208"/>
      <c r="AP27" s="208" t="s">
        <v>2486</v>
      </c>
      <c r="AQ27" s="208" t="s">
        <v>2487</v>
      </c>
      <c r="AR27" s="209"/>
      <c r="AS27" s="209" t="s">
        <v>2488</v>
      </c>
      <c r="AT27" s="209" t="s">
        <v>2486</v>
      </c>
      <c r="AU27" s="209"/>
      <c r="AV27" s="212">
        <v>0</v>
      </c>
      <c r="AW27" s="208"/>
      <c r="AX27" s="209" t="s">
        <v>2486</v>
      </c>
      <c r="AY27" s="209" t="s">
        <v>2489</v>
      </c>
      <c r="AZ27" s="209" t="s">
        <v>2490</v>
      </c>
      <c r="BA27" s="209"/>
      <c r="BB27" s="209"/>
      <c r="BC27" s="209" t="s">
        <v>2478</v>
      </c>
      <c r="BD27" s="209" t="s">
        <v>2491</v>
      </c>
      <c r="BE27" s="209" t="s">
        <v>2492</v>
      </c>
      <c r="BF27" s="209"/>
      <c r="BG27" s="208"/>
      <c r="BH27" s="213"/>
      <c r="BI27" s="209" t="s">
        <v>2486</v>
      </c>
      <c r="BJ27" s="209"/>
      <c r="BK27" s="209" t="s">
        <v>2486</v>
      </c>
      <c r="BL27" s="209"/>
      <c r="BM27" s="209" t="s">
        <v>2624</v>
      </c>
      <c r="BN27" s="209" t="s">
        <v>2625</v>
      </c>
      <c r="BO27" s="214" t="s">
        <v>2498</v>
      </c>
      <c r="BP27" s="208" t="s">
        <v>2486</v>
      </c>
      <c r="BQ27" s="209" t="s">
        <v>1477</v>
      </c>
      <c r="BR27" s="211" t="s">
        <v>144</v>
      </c>
      <c r="BS27" s="211"/>
      <c r="BT27" s="208" t="s">
        <v>2486</v>
      </c>
      <c r="BU27" s="209"/>
      <c r="BV27" s="210"/>
      <c r="BW27" s="208" t="s">
        <v>2497</v>
      </c>
      <c r="BX27" s="209"/>
      <c r="BY27" s="209" t="s">
        <v>1996</v>
      </c>
      <c r="BZ27" s="211"/>
      <c r="CA27" s="209"/>
      <c r="CB27" s="209"/>
      <c r="CC27" s="211"/>
      <c r="CD27" s="211"/>
      <c r="CE27" s="208"/>
      <c r="CF27" s="208"/>
      <c r="CG27" s="211"/>
      <c r="CH27" s="210"/>
      <c r="CI27" s="210"/>
      <c r="CJ27" s="209"/>
      <c r="CK27" s="208" t="s">
        <v>2486</v>
      </c>
      <c r="CL27" s="209"/>
      <c r="CM27" s="209"/>
      <c r="CN27" s="209"/>
      <c r="CO27" s="209"/>
      <c r="CP27" s="208"/>
      <c r="CQ27" s="209" t="s">
        <v>2486</v>
      </c>
      <c r="CR27" s="209"/>
      <c r="CS27" s="208"/>
      <c r="CT27" s="209" t="s">
        <v>2486</v>
      </c>
      <c r="CU27" s="209"/>
      <c r="CV27" s="215" t="s">
        <v>2498</v>
      </c>
      <c r="CW27" s="208"/>
      <c r="CX27" s="216"/>
      <c r="CY27" s="209" t="s">
        <v>2499</v>
      </c>
      <c r="CZ27" s="209"/>
      <c r="DA27" s="209" t="s">
        <v>2500</v>
      </c>
      <c r="DB27" s="209" t="s">
        <v>2500</v>
      </c>
      <c r="DC27" s="209"/>
      <c r="DD27" s="209"/>
      <c r="DE27" s="210"/>
      <c r="DF27" s="209"/>
      <c r="DG27" s="216"/>
      <c r="DH27" s="217">
        <v>1023500</v>
      </c>
      <c r="DI27" s="208"/>
      <c r="DJ27" s="208"/>
      <c r="DK27" s="208"/>
      <c r="DL27" s="208"/>
      <c r="DM27" s="208"/>
      <c r="DN27" s="217">
        <v>0</v>
      </c>
      <c r="DO27" s="217">
        <v>0</v>
      </c>
      <c r="DP27" s="208" t="s">
        <v>2486</v>
      </c>
      <c r="DQ27" s="209"/>
      <c r="DR27" s="209"/>
      <c r="DS27" s="209" t="s">
        <v>2501</v>
      </c>
      <c r="DT27" s="209"/>
      <c r="DU27" s="209"/>
      <c r="DV27" s="209" t="s">
        <v>2502</v>
      </c>
      <c r="DW27" s="209" t="s">
        <v>2503</v>
      </c>
      <c r="DX27" s="209" t="s">
        <v>2498</v>
      </c>
    </row>
    <row r="28" spans="1:128" ht="19.5" customHeight="1">
      <c r="A28" s="206"/>
      <c r="B28" s="207" t="s">
        <v>2690</v>
      </c>
      <c r="C28" s="208"/>
      <c r="D28" s="208"/>
      <c r="E28" s="218" t="s">
        <v>2691</v>
      </c>
      <c r="F28" s="207" t="s">
        <v>2692</v>
      </c>
      <c r="G28" s="209" t="s">
        <v>2693</v>
      </c>
      <c r="H28" s="218" t="s">
        <v>2476</v>
      </c>
      <c r="I28" s="218" t="s">
        <v>2477</v>
      </c>
      <c r="J28" s="209" t="s">
        <v>2478</v>
      </c>
      <c r="K28" s="210">
        <v>46177</v>
      </c>
      <c r="L28" s="208" t="s">
        <v>2540</v>
      </c>
      <c r="M28" s="209" t="s">
        <v>2332</v>
      </c>
      <c r="N28" s="208" t="s">
        <v>2332</v>
      </c>
      <c r="O28" s="208" t="s">
        <v>2327</v>
      </c>
      <c r="P28" s="208" t="s">
        <v>2509</v>
      </c>
      <c r="Q28" s="208"/>
      <c r="R28" s="208"/>
      <c r="S28" s="208" t="s">
        <v>954</v>
      </c>
      <c r="T28" s="211" t="s">
        <v>2694</v>
      </c>
      <c r="U28" s="208" t="s">
        <v>2695</v>
      </c>
      <c r="V28" s="208" t="s">
        <v>2541</v>
      </c>
      <c r="W28" s="209" t="s">
        <v>2484</v>
      </c>
      <c r="X28" s="208"/>
      <c r="Y28" s="208" t="s">
        <v>2485</v>
      </c>
      <c r="Z28" s="208"/>
      <c r="AA28" s="209"/>
      <c r="AB28" s="209"/>
      <c r="AC28" s="209"/>
      <c r="AD28" s="209"/>
      <c r="AE28" s="209"/>
      <c r="AF28" s="210"/>
      <c r="AG28" s="210"/>
      <c r="AH28" s="210"/>
      <c r="AI28" s="208"/>
      <c r="AJ28" s="208"/>
      <c r="AK28" s="208" t="s">
        <v>2486</v>
      </c>
      <c r="AL28" s="208"/>
      <c r="AM28" s="210"/>
      <c r="AN28" s="210"/>
      <c r="AO28" s="208"/>
      <c r="AP28" s="208" t="s">
        <v>2486</v>
      </c>
      <c r="AQ28" s="208" t="s">
        <v>2487</v>
      </c>
      <c r="AR28" s="209"/>
      <c r="AS28" s="209" t="s">
        <v>2488</v>
      </c>
      <c r="AT28" s="209" t="s">
        <v>2486</v>
      </c>
      <c r="AU28" s="209"/>
      <c r="AV28" s="212">
        <v>0</v>
      </c>
      <c r="AW28" s="208"/>
      <c r="AX28" s="209" t="s">
        <v>2486</v>
      </c>
      <c r="AY28" s="209" t="s">
        <v>2489</v>
      </c>
      <c r="AZ28" s="209" t="s">
        <v>2490</v>
      </c>
      <c r="BA28" s="209"/>
      <c r="BB28" s="209"/>
      <c r="BC28" s="209" t="s">
        <v>2478</v>
      </c>
      <c r="BD28" s="209" t="s">
        <v>2491</v>
      </c>
      <c r="BE28" s="209" t="s">
        <v>2492</v>
      </c>
      <c r="BF28" s="209"/>
      <c r="BG28" s="208"/>
      <c r="BH28" s="213"/>
      <c r="BI28" s="209" t="s">
        <v>2486</v>
      </c>
      <c r="BJ28" s="209"/>
      <c r="BK28" s="209" t="s">
        <v>2486</v>
      </c>
      <c r="BL28" s="209"/>
      <c r="BM28" s="209" t="s">
        <v>2493</v>
      </c>
      <c r="BN28" s="209" t="s">
        <v>2494</v>
      </c>
      <c r="BO28" s="214"/>
      <c r="BP28" s="208" t="s">
        <v>2486</v>
      </c>
      <c r="BQ28" s="209" t="s">
        <v>2495</v>
      </c>
      <c r="BR28" s="211" t="s">
        <v>2496</v>
      </c>
      <c r="BS28" s="211"/>
      <c r="BT28" s="208" t="s">
        <v>2486</v>
      </c>
      <c r="BU28" s="209"/>
      <c r="BV28" s="210"/>
      <c r="BW28" s="208" t="s">
        <v>2497</v>
      </c>
      <c r="BX28" s="209"/>
      <c r="BY28" s="209" t="s">
        <v>2003</v>
      </c>
      <c r="BZ28" s="211"/>
      <c r="CA28" s="209"/>
      <c r="CB28" s="209"/>
      <c r="CC28" s="211"/>
      <c r="CD28" s="211"/>
      <c r="CE28" s="208"/>
      <c r="CF28" s="208"/>
      <c r="CG28" s="211"/>
      <c r="CH28" s="210"/>
      <c r="CI28" s="210"/>
      <c r="CJ28" s="209"/>
      <c r="CK28" s="208" t="s">
        <v>2486</v>
      </c>
      <c r="CL28" s="209"/>
      <c r="CM28" s="209"/>
      <c r="CN28" s="209"/>
      <c r="CO28" s="209"/>
      <c r="CP28" s="208"/>
      <c r="CQ28" s="209" t="s">
        <v>2486</v>
      </c>
      <c r="CR28" s="209"/>
      <c r="CS28" s="208"/>
      <c r="CT28" s="209" t="s">
        <v>2486</v>
      </c>
      <c r="CU28" s="209"/>
      <c r="CV28" s="215" t="s">
        <v>2498</v>
      </c>
      <c r="CW28" s="208"/>
      <c r="CX28" s="216"/>
      <c r="CY28" s="209" t="s">
        <v>2499</v>
      </c>
      <c r="CZ28" s="209"/>
      <c r="DA28" s="209" t="s">
        <v>2696</v>
      </c>
      <c r="DB28" s="209" t="s">
        <v>2696</v>
      </c>
      <c r="DC28" s="209"/>
      <c r="DD28" s="209"/>
      <c r="DE28" s="210"/>
      <c r="DF28" s="209"/>
      <c r="DG28" s="216"/>
      <c r="DH28" s="217">
        <v>0</v>
      </c>
      <c r="DI28" s="208"/>
      <c r="DJ28" s="208"/>
      <c r="DK28" s="208"/>
      <c r="DL28" s="208"/>
      <c r="DM28" s="208"/>
      <c r="DN28" s="217">
        <v>0</v>
      </c>
      <c r="DO28" s="217">
        <v>0</v>
      </c>
      <c r="DP28" s="208" t="s">
        <v>2486</v>
      </c>
      <c r="DQ28" s="209"/>
      <c r="DR28" s="209"/>
      <c r="DS28" s="209" t="s">
        <v>2501</v>
      </c>
      <c r="DT28" s="209"/>
      <c r="DU28" s="209"/>
      <c r="DV28" s="209" t="s">
        <v>2502</v>
      </c>
      <c r="DW28" s="209" t="s">
        <v>2503</v>
      </c>
      <c r="DX28" s="209" t="s">
        <v>2498</v>
      </c>
    </row>
    <row r="29" spans="1:128" ht="19.5" customHeight="1">
      <c r="A29" s="206"/>
      <c r="B29" s="207" t="s">
        <v>2697</v>
      </c>
      <c r="C29" s="208"/>
      <c r="D29" s="208"/>
      <c r="E29" s="220" t="s">
        <v>2691</v>
      </c>
      <c r="F29" s="207" t="s">
        <v>2698</v>
      </c>
      <c r="G29" s="209" t="s">
        <v>2699</v>
      </c>
      <c r="H29" s="220" t="s">
        <v>2476</v>
      </c>
      <c r="I29" s="220" t="s">
        <v>2477</v>
      </c>
      <c r="J29" s="209" t="s">
        <v>2478</v>
      </c>
      <c r="K29" s="210">
        <v>46177</v>
      </c>
      <c r="L29" s="208" t="s">
        <v>2508</v>
      </c>
      <c r="M29" s="209" t="s">
        <v>2332</v>
      </c>
      <c r="N29" s="208" t="s">
        <v>2332</v>
      </c>
      <c r="O29" s="208" t="s">
        <v>2327</v>
      </c>
      <c r="P29" s="208" t="s">
        <v>2509</v>
      </c>
      <c r="Q29" s="208"/>
      <c r="R29" s="208"/>
      <c r="S29" s="208" t="s">
        <v>954</v>
      </c>
      <c r="T29" s="211" t="s">
        <v>2694</v>
      </c>
      <c r="U29" s="208" t="s">
        <v>2695</v>
      </c>
      <c r="V29" s="208" t="s">
        <v>2530</v>
      </c>
      <c r="W29" s="209" t="s">
        <v>2484</v>
      </c>
      <c r="X29" s="208"/>
      <c r="Y29" s="208" t="s">
        <v>2485</v>
      </c>
      <c r="Z29" s="208"/>
      <c r="AA29" s="209"/>
      <c r="AB29" s="209"/>
      <c r="AC29" s="209"/>
      <c r="AD29" s="209"/>
      <c r="AE29" s="209"/>
      <c r="AF29" s="210"/>
      <c r="AG29" s="210"/>
      <c r="AH29" s="210"/>
      <c r="AI29" s="208"/>
      <c r="AJ29" s="208"/>
      <c r="AK29" s="208" t="s">
        <v>2486</v>
      </c>
      <c r="AL29" s="208"/>
      <c r="AM29" s="210"/>
      <c r="AN29" s="210"/>
      <c r="AO29" s="208"/>
      <c r="AP29" s="208" t="s">
        <v>2486</v>
      </c>
      <c r="AQ29" s="208" t="s">
        <v>2487</v>
      </c>
      <c r="AR29" s="209"/>
      <c r="AS29" s="209" t="s">
        <v>2488</v>
      </c>
      <c r="AT29" s="209" t="s">
        <v>2486</v>
      </c>
      <c r="AU29" s="209"/>
      <c r="AV29" s="212">
        <v>0</v>
      </c>
      <c r="AW29" s="208"/>
      <c r="AX29" s="209" t="s">
        <v>2486</v>
      </c>
      <c r="AY29" s="209" t="s">
        <v>2489</v>
      </c>
      <c r="AZ29" s="209" t="s">
        <v>2490</v>
      </c>
      <c r="BA29" s="209"/>
      <c r="BB29" s="209"/>
      <c r="BC29" s="209" t="s">
        <v>2478</v>
      </c>
      <c r="BD29" s="209" t="s">
        <v>2491</v>
      </c>
      <c r="BE29" s="209" t="s">
        <v>2492</v>
      </c>
      <c r="BF29" s="209"/>
      <c r="BG29" s="208"/>
      <c r="BH29" s="213"/>
      <c r="BI29" s="209" t="s">
        <v>2486</v>
      </c>
      <c r="BJ29" s="209"/>
      <c r="BK29" s="209" t="s">
        <v>2486</v>
      </c>
      <c r="BL29" s="209"/>
      <c r="BM29" s="209" t="s">
        <v>2493</v>
      </c>
      <c r="BN29" s="209" t="s">
        <v>2494</v>
      </c>
      <c r="BO29" s="214"/>
      <c r="BP29" s="208" t="s">
        <v>2486</v>
      </c>
      <c r="BQ29" s="209" t="s">
        <v>2495</v>
      </c>
      <c r="BR29" s="211" t="s">
        <v>2496</v>
      </c>
      <c r="BS29" s="211"/>
      <c r="BT29" s="208" t="s">
        <v>2486</v>
      </c>
      <c r="BU29" s="209"/>
      <c r="BV29" s="210"/>
      <c r="BW29" s="208" t="s">
        <v>2497</v>
      </c>
      <c r="BX29" s="209"/>
      <c r="BY29" s="209" t="s">
        <v>2003</v>
      </c>
      <c r="BZ29" s="211"/>
      <c r="CA29" s="209"/>
      <c r="CB29" s="209"/>
      <c r="CC29" s="211"/>
      <c r="CD29" s="211"/>
      <c r="CE29" s="208"/>
      <c r="CF29" s="208"/>
      <c r="CG29" s="211"/>
      <c r="CH29" s="210"/>
      <c r="CI29" s="210"/>
      <c r="CJ29" s="209"/>
      <c r="CK29" s="208" t="s">
        <v>2486</v>
      </c>
      <c r="CL29" s="209"/>
      <c r="CM29" s="209"/>
      <c r="CN29" s="209"/>
      <c r="CO29" s="209"/>
      <c r="CP29" s="208"/>
      <c r="CQ29" s="209" t="s">
        <v>2486</v>
      </c>
      <c r="CR29" s="209"/>
      <c r="CS29" s="208"/>
      <c r="CT29" s="209" t="s">
        <v>2486</v>
      </c>
      <c r="CU29" s="209"/>
      <c r="CV29" s="215" t="s">
        <v>2498</v>
      </c>
      <c r="CW29" s="208"/>
      <c r="CX29" s="216"/>
      <c r="CY29" s="209" t="s">
        <v>2499</v>
      </c>
      <c r="CZ29" s="209"/>
      <c r="DA29" s="209" t="s">
        <v>2500</v>
      </c>
      <c r="DB29" s="209" t="s">
        <v>2500</v>
      </c>
      <c r="DC29" s="209"/>
      <c r="DD29" s="209"/>
      <c r="DE29" s="210"/>
      <c r="DF29" s="209"/>
      <c r="DG29" s="216"/>
      <c r="DH29" s="217">
        <v>0</v>
      </c>
      <c r="DI29" s="208"/>
      <c r="DJ29" s="208"/>
      <c r="DK29" s="208"/>
      <c r="DL29" s="208"/>
      <c r="DM29" s="208"/>
      <c r="DN29" s="217">
        <v>0</v>
      </c>
      <c r="DO29" s="217">
        <v>0</v>
      </c>
      <c r="DP29" s="208" t="s">
        <v>2486</v>
      </c>
      <c r="DQ29" s="209"/>
      <c r="DR29" s="209"/>
      <c r="DS29" s="209" t="s">
        <v>2501</v>
      </c>
      <c r="DT29" s="209"/>
      <c r="DU29" s="209"/>
      <c r="DV29" s="209" t="s">
        <v>2502</v>
      </c>
      <c r="DW29" s="209" t="s">
        <v>2503</v>
      </c>
      <c r="DX29" s="209" t="s">
        <v>2498</v>
      </c>
    </row>
    <row r="30" spans="1:128" ht="19.5" customHeight="1">
      <c r="A30" s="206"/>
      <c r="B30" s="207" t="s">
        <v>2700</v>
      </c>
      <c r="C30" s="208"/>
      <c r="D30" s="208"/>
      <c r="E30" s="207" t="s">
        <v>2701</v>
      </c>
      <c r="F30" s="207" t="s">
        <v>2702</v>
      </c>
      <c r="G30" s="209" t="s">
        <v>2703</v>
      </c>
      <c r="H30" s="207" t="s">
        <v>2476</v>
      </c>
      <c r="I30" s="207" t="s">
        <v>2477</v>
      </c>
      <c r="J30" s="209" t="s">
        <v>2478</v>
      </c>
      <c r="K30" s="210">
        <v>46177</v>
      </c>
      <c r="L30" s="208" t="s">
        <v>2508</v>
      </c>
      <c r="M30" s="209" t="s">
        <v>2332</v>
      </c>
      <c r="N30" s="208" t="s">
        <v>2332</v>
      </c>
      <c r="O30" s="208" t="s">
        <v>2327</v>
      </c>
      <c r="P30" s="208" t="s">
        <v>2509</v>
      </c>
      <c r="Q30" s="208"/>
      <c r="R30" s="208"/>
      <c r="S30" s="208" t="s">
        <v>954</v>
      </c>
      <c r="T30" s="211" t="s">
        <v>2694</v>
      </c>
      <c r="U30" s="208" t="s">
        <v>2695</v>
      </c>
      <c r="V30" s="208" t="s">
        <v>2704</v>
      </c>
      <c r="W30" s="209" t="s">
        <v>2484</v>
      </c>
      <c r="X30" s="208"/>
      <c r="Y30" s="208" t="s">
        <v>2485</v>
      </c>
      <c r="Z30" s="208"/>
      <c r="AA30" s="209"/>
      <c r="AB30" s="209"/>
      <c r="AC30" s="209"/>
      <c r="AD30" s="209"/>
      <c r="AE30" s="209"/>
      <c r="AF30" s="210"/>
      <c r="AG30" s="210"/>
      <c r="AH30" s="210"/>
      <c r="AI30" s="208"/>
      <c r="AJ30" s="208"/>
      <c r="AK30" s="208" t="s">
        <v>2486</v>
      </c>
      <c r="AL30" s="208"/>
      <c r="AM30" s="210"/>
      <c r="AN30" s="210"/>
      <c r="AO30" s="208"/>
      <c r="AP30" s="208" t="s">
        <v>2486</v>
      </c>
      <c r="AQ30" s="208" t="s">
        <v>2487</v>
      </c>
      <c r="AR30" s="209"/>
      <c r="AS30" s="209" t="s">
        <v>2488</v>
      </c>
      <c r="AT30" s="209" t="s">
        <v>2486</v>
      </c>
      <c r="AU30" s="209"/>
      <c r="AV30" s="212">
        <v>0</v>
      </c>
      <c r="AW30" s="208"/>
      <c r="AX30" s="209" t="s">
        <v>2486</v>
      </c>
      <c r="AY30" s="209" t="s">
        <v>2489</v>
      </c>
      <c r="AZ30" s="209" t="s">
        <v>2490</v>
      </c>
      <c r="BA30" s="209"/>
      <c r="BB30" s="209"/>
      <c r="BC30" s="209" t="s">
        <v>2478</v>
      </c>
      <c r="BD30" s="209" t="s">
        <v>2491</v>
      </c>
      <c r="BE30" s="209" t="s">
        <v>2492</v>
      </c>
      <c r="BF30" s="209"/>
      <c r="BG30" s="208"/>
      <c r="BH30" s="213"/>
      <c r="BI30" s="209" t="s">
        <v>2486</v>
      </c>
      <c r="BJ30" s="209"/>
      <c r="BK30" s="209" t="s">
        <v>2486</v>
      </c>
      <c r="BL30" s="209"/>
      <c r="BM30" s="209" t="s">
        <v>2493</v>
      </c>
      <c r="BN30" s="209" t="s">
        <v>2494</v>
      </c>
      <c r="BO30" s="214"/>
      <c r="BP30" s="208" t="s">
        <v>2486</v>
      </c>
      <c r="BQ30" s="209" t="s">
        <v>2495</v>
      </c>
      <c r="BR30" s="211" t="s">
        <v>2496</v>
      </c>
      <c r="BS30" s="211"/>
      <c r="BT30" s="208" t="s">
        <v>2486</v>
      </c>
      <c r="BU30" s="209"/>
      <c r="BV30" s="210"/>
      <c r="BW30" s="208" t="s">
        <v>2497</v>
      </c>
      <c r="BX30" s="209"/>
      <c r="BY30" s="209" t="s">
        <v>2003</v>
      </c>
      <c r="BZ30" s="211"/>
      <c r="CA30" s="209"/>
      <c r="CB30" s="209"/>
      <c r="CC30" s="211"/>
      <c r="CD30" s="211"/>
      <c r="CE30" s="208"/>
      <c r="CF30" s="208"/>
      <c r="CG30" s="211"/>
      <c r="CH30" s="210"/>
      <c r="CI30" s="210"/>
      <c r="CJ30" s="209"/>
      <c r="CK30" s="208" t="s">
        <v>2486</v>
      </c>
      <c r="CL30" s="209"/>
      <c r="CM30" s="209"/>
      <c r="CN30" s="209"/>
      <c r="CO30" s="209"/>
      <c r="CP30" s="208"/>
      <c r="CQ30" s="209" t="s">
        <v>2486</v>
      </c>
      <c r="CR30" s="209"/>
      <c r="CS30" s="208"/>
      <c r="CT30" s="209" t="s">
        <v>2486</v>
      </c>
      <c r="CU30" s="209"/>
      <c r="CV30" s="215" t="s">
        <v>2498</v>
      </c>
      <c r="CW30" s="208"/>
      <c r="CX30" s="216"/>
      <c r="CY30" s="209" t="s">
        <v>2499</v>
      </c>
      <c r="CZ30" s="209"/>
      <c r="DA30" s="209" t="s">
        <v>2500</v>
      </c>
      <c r="DB30" s="209" t="s">
        <v>2500</v>
      </c>
      <c r="DC30" s="209"/>
      <c r="DD30" s="209"/>
      <c r="DE30" s="210"/>
      <c r="DF30" s="209"/>
      <c r="DG30" s="216"/>
      <c r="DH30" s="217">
        <v>0</v>
      </c>
      <c r="DI30" s="208"/>
      <c r="DJ30" s="208"/>
      <c r="DK30" s="208"/>
      <c r="DL30" s="208"/>
      <c r="DM30" s="208"/>
      <c r="DN30" s="217">
        <v>0</v>
      </c>
      <c r="DO30" s="217">
        <v>0</v>
      </c>
      <c r="DP30" s="208" t="s">
        <v>2486</v>
      </c>
      <c r="DQ30" s="209"/>
      <c r="DR30" s="209"/>
      <c r="DS30" s="209" t="s">
        <v>2501</v>
      </c>
      <c r="DT30" s="209"/>
      <c r="DU30" s="209"/>
      <c r="DV30" s="209" t="s">
        <v>2502</v>
      </c>
      <c r="DW30" s="209" t="s">
        <v>2503</v>
      </c>
      <c r="DX30" s="209" t="s">
        <v>2498</v>
      </c>
    </row>
    <row r="31" spans="1:128" ht="19.5" customHeight="1">
      <c r="A31" s="206"/>
      <c r="B31" s="207" t="s">
        <v>2705</v>
      </c>
      <c r="C31" s="208"/>
      <c r="D31" s="208"/>
      <c r="E31" s="207" t="s">
        <v>2706</v>
      </c>
      <c r="F31" s="207" t="s">
        <v>2707</v>
      </c>
      <c r="G31" s="209" t="s">
        <v>2708</v>
      </c>
      <c r="H31" s="207" t="s">
        <v>2476</v>
      </c>
      <c r="I31" s="207" t="s">
        <v>2477</v>
      </c>
      <c r="J31" s="209" t="s">
        <v>2478</v>
      </c>
      <c r="K31" s="210">
        <v>46177</v>
      </c>
      <c r="L31" s="208" t="s">
        <v>2525</v>
      </c>
      <c r="M31" s="209" t="s">
        <v>2332</v>
      </c>
      <c r="N31" s="208" t="s">
        <v>2332</v>
      </c>
      <c r="O31" s="208" t="s">
        <v>2327</v>
      </c>
      <c r="P31" s="208" t="s">
        <v>2509</v>
      </c>
      <c r="Q31" s="208"/>
      <c r="R31" s="208"/>
      <c r="S31" s="208" t="s">
        <v>110</v>
      </c>
      <c r="T31" s="211" t="s">
        <v>2694</v>
      </c>
      <c r="U31" s="208" t="s">
        <v>116</v>
      </c>
      <c r="V31" s="208" t="s">
        <v>2594</v>
      </c>
      <c r="W31" s="209" t="s">
        <v>2484</v>
      </c>
      <c r="X31" s="208"/>
      <c r="Y31" s="208" t="s">
        <v>2485</v>
      </c>
      <c r="Z31" s="208"/>
      <c r="AA31" s="209"/>
      <c r="AB31" s="209"/>
      <c r="AC31" s="209"/>
      <c r="AD31" s="209"/>
      <c r="AE31" s="209"/>
      <c r="AF31" s="210"/>
      <c r="AG31" s="210"/>
      <c r="AH31" s="210"/>
      <c r="AI31" s="208"/>
      <c r="AJ31" s="208"/>
      <c r="AK31" s="208" t="s">
        <v>2486</v>
      </c>
      <c r="AL31" s="208"/>
      <c r="AM31" s="210"/>
      <c r="AN31" s="210"/>
      <c r="AO31" s="208"/>
      <c r="AP31" s="208" t="s">
        <v>2486</v>
      </c>
      <c r="AQ31" s="208" t="s">
        <v>2487</v>
      </c>
      <c r="AR31" s="209"/>
      <c r="AS31" s="209" t="s">
        <v>2488</v>
      </c>
      <c r="AT31" s="209" t="s">
        <v>2486</v>
      </c>
      <c r="AU31" s="209"/>
      <c r="AV31" s="212">
        <v>0</v>
      </c>
      <c r="AW31" s="208"/>
      <c r="AX31" s="209" t="s">
        <v>2486</v>
      </c>
      <c r="AY31" s="209" t="s">
        <v>2489</v>
      </c>
      <c r="AZ31" s="209" t="s">
        <v>2490</v>
      </c>
      <c r="BA31" s="209"/>
      <c r="BB31" s="209"/>
      <c r="BC31" s="209" t="s">
        <v>2478</v>
      </c>
      <c r="BD31" s="209" t="s">
        <v>2491</v>
      </c>
      <c r="BE31" s="209" t="s">
        <v>2492</v>
      </c>
      <c r="BF31" s="209"/>
      <c r="BG31" s="208"/>
      <c r="BH31" s="213"/>
      <c r="BI31" s="209" t="s">
        <v>2486</v>
      </c>
      <c r="BJ31" s="209"/>
      <c r="BK31" s="209" t="s">
        <v>2486</v>
      </c>
      <c r="BL31" s="209"/>
      <c r="BM31" s="209" t="s">
        <v>2493</v>
      </c>
      <c r="BN31" s="209" t="s">
        <v>2494</v>
      </c>
      <c r="BO31" s="214"/>
      <c r="BP31" s="208" t="s">
        <v>2486</v>
      </c>
      <c r="BQ31" s="209" t="s">
        <v>2495</v>
      </c>
      <c r="BR31" s="211" t="s">
        <v>2496</v>
      </c>
      <c r="BS31" s="211"/>
      <c r="BT31" s="208" t="s">
        <v>2486</v>
      </c>
      <c r="BU31" s="209"/>
      <c r="BV31" s="210"/>
      <c r="BW31" s="208" t="s">
        <v>2497</v>
      </c>
      <c r="BX31" s="209"/>
      <c r="BY31" s="209" t="s">
        <v>2003</v>
      </c>
      <c r="BZ31" s="211"/>
      <c r="CA31" s="209"/>
      <c r="CB31" s="209"/>
      <c r="CC31" s="211"/>
      <c r="CD31" s="211"/>
      <c r="CE31" s="208"/>
      <c r="CF31" s="208"/>
      <c r="CG31" s="211"/>
      <c r="CH31" s="210"/>
      <c r="CI31" s="210"/>
      <c r="CJ31" s="209"/>
      <c r="CK31" s="208" t="s">
        <v>2486</v>
      </c>
      <c r="CL31" s="209"/>
      <c r="CM31" s="209"/>
      <c r="CN31" s="209"/>
      <c r="CO31" s="209"/>
      <c r="CP31" s="208"/>
      <c r="CQ31" s="209" t="s">
        <v>2486</v>
      </c>
      <c r="CR31" s="209"/>
      <c r="CS31" s="208"/>
      <c r="CT31" s="209" t="s">
        <v>2486</v>
      </c>
      <c r="CU31" s="209"/>
      <c r="CV31" s="215" t="s">
        <v>2498</v>
      </c>
      <c r="CW31" s="208"/>
      <c r="CX31" s="216"/>
      <c r="CY31" s="209" t="s">
        <v>2499</v>
      </c>
      <c r="CZ31" s="209"/>
      <c r="DA31" s="209" t="s">
        <v>2500</v>
      </c>
      <c r="DB31" s="209" t="s">
        <v>2500</v>
      </c>
      <c r="DC31" s="209"/>
      <c r="DD31" s="209"/>
      <c r="DE31" s="210"/>
      <c r="DF31" s="209"/>
      <c r="DG31" s="216"/>
      <c r="DH31" s="217">
        <v>0</v>
      </c>
      <c r="DI31" s="208"/>
      <c r="DJ31" s="208"/>
      <c r="DK31" s="208"/>
      <c r="DL31" s="208"/>
      <c r="DM31" s="208"/>
      <c r="DN31" s="217">
        <v>0</v>
      </c>
      <c r="DO31" s="217">
        <v>0</v>
      </c>
      <c r="DP31" s="208" t="s">
        <v>2486</v>
      </c>
      <c r="DQ31" s="209"/>
      <c r="DR31" s="209"/>
      <c r="DS31" s="209" t="s">
        <v>2501</v>
      </c>
      <c r="DT31" s="209"/>
      <c r="DU31" s="209"/>
      <c r="DV31" s="209" t="s">
        <v>2502</v>
      </c>
      <c r="DW31" s="209" t="s">
        <v>2503</v>
      </c>
      <c r="DX31" s="209" t="s">
        <v>2498</v>
      </c>
    </row>
    <row r="32" spans="1:128" ht="19.5" customHeight="1">
      <c r="A32" s="206"/>
      <c r="B32" s="207" t="s">
        <v>2709</v>
      </c>
      <c r="C32" s="208"/>
      <c r="D32" s="208"/>
      <c r="E32" s="207" t="s">
        <v>2710</v>
      </c>
      <c r="F32" s="207" t="s">
        <v>2711</v>
      </c>
      <c r="G32" s="209" t="s">
        <v>2712</v>
      </c>
      <c r="H32" s="207" t="s">
        <v>2476</v>
      </c>
      <c r="I32" s="207" t="s">
        <v>2477</v>
      </c>
      <c r="J32" s="209" t="s">
        <v>2478</v>
      </c>
      <c r="K32" s="210">
        <v>46177</v>
      </c>
      <c r="L32" s="208" t="s">
        <v>2535</v>
      </c>
      <c r="M32" s="209" t="s">
        <v>2332</v>
      </c>
      <c r="N32" s="208" t="s">
        <v>2332</v>
      </c>
      <c r="O32" s="208" t="s">
        <v>2327</v>
      </c>
      <c r="P32" s="208" t="s">
        <v>2509</v>
      </c>
      <c r="Q32" s="208"/>
      <c r="R32" s="208"/>
      <c r="S32" s="208" t="s">
        <v>110</v>
      </c>
      <c r="T32" s="211" t="s">
        <v>2694</v>
      </c>
      <c r="U32" s="208" t="s">
        <v>116</v>
      </c>
      <c r="V32" s="208" t="s">
        <v>2594</v>
      </c>
      <c r="W32" s="209" t="s">
        <v>2484</v>
      </c>
      <c r="X32" s="208"/>
      <c r="Y32" s="208" t="s">
        <v>2485</v>
      </c>
      <c r="Z32" s="208"/>
      <c r="AA32" s="209"/>
      <c r="AB32" s="209"/>
      <c r="AC32" s="209"/>
      <c r="AD32" s="209"/>
      <c r="AE32" s="209"/>
      <c r="AF32" s="210"/>
      <c r="AG32" s="210"/>
      <c r="AH32" s="210"/>
      <c r="AI32" s="208"/>
      <c r="AJ32" s="208"/>
      <c r="AK32" s="208" t="s">
        <v>2486</v>
      </c>
      <c r="AL32" s="208"/>
      <c r="AM32" s="210"/>
      <c r="AN32" s="210"/>
      <c r="AO32" s="208"/>
      <c r="AP32" s="208" t="s">
        <v>2486</v>
      </c>
      <c r="AQ32" s="208" t="s">
        <v>2487</v>
      </c>
      <c r="AR32" s="209"/>
      <c r="AS32" s="209" t="s">
        <v>2488</v>
      </c>
      <c r="AT32" s="209" t="s">
        <v>2486</v>
      </c>
      <c r="AU32" s="209"/>
      <c r="AV32" s="212">
        <v>0</v>
      </c>
      <c r="AW32" s="208"/>
      <c r="AX32" s="209" t="s">
        <v>2486</v>
      </c>
      <c r="AY32" s="209" t="s">
        <v>2489</v>
      </c>
      <c r="AZ32" s="209" t="s">
        <v>2490</v>
      </c>
      <c r="BA32" s="209"/>
      <c r="BB32" s="209"/>
      <c r="BC32" s="209" t="s">
        <v>2478</v>
      </c>
      <c r="BD32" s="209" t="s">
        <v>2491</v>
      </c>
      <c r="BE32" s="209" t="s">
        <v>2492</v>
      </c>
      <c r="BF32" s="209"/>
      <c r="BG32" s="208"/>
      <c r="BH32" s="213"/>
      <c r="BI32" s="209" t="s">
        <v>2486</v>
      </c>
      <c r="BJ32" s="209"/>
      <c r="BK32" s="209" t="s">
        <v>2486</v>
      </c>
      <c r="BL32" s="209"/>
      <c r="BM32" s="209" t="s">
        <v>2493</v>
      </c>
      <c r="BN32" s="209" t="s">
        <v>2494</v>
      </c>
      <c r="BO32" s="214"/>
      <c r="BP32" s="208" t="s">
        <v>2486</v>
      </c>
      <c r="BQ32" s="209" t="s">
        <v>2495</v>
      </c>
      <c r="BR32" s="211" t="s">
        <v>2496</v>
      </c>
      <c r="BS32" s="211"/>
      <c r="BT32" s="208" t="s">
        <v>2486</v>
      </c>
      <c r="BU32" s="209"/>
      <c r="BV32" s="210"/>
      <c r="BW32" s="208" t="s">
        <v>2497</v>
      </c>
      <c r="BX32" s="209"/>
      <c r="BY32" s="209" t="s">
        <v>2003</v>
      </c>
      <c r="BZ32" s="211"/>
      <c r="CA32" s="209"/>
      <c r="CB32" s="209"/>
      <c r="CC32" s="211"/>
      <c r="CD32" s="211"/>
      <c r="CE32" s="208"/>
      <c r="CF32" s="208"/>
      <c r="CG32" s="211"/>
      <c r="CH32" s="210"/>
      <c r="CI32" s="210"/>
      <c r="CJ32" s="209"/>
      <c r="CK32" s="208" t="s">
        <v>2486</v>
      </c>
      <c r="CL32" s="209"/>
      <c r="CM32" s="209"/>
      <c r="CN32" s="209"/>
      <c r="CO32" s="209"/>
      <c r="CP32" s="208"/>
      <c r="CQ32" s="209" t="s">
        <v>2486</v>
      </c>
      <c r="CR32" s="209"/>
      <c r="CS32" s="208"/>
      <c r="CT32" s="209" t="s">
        <v>2486</v>
      </c>
      <c r="CU32" s="209"/>
      <c r="CV32" s="215" t="s">
        <v>2498</v>
      </c>
      <c r="CW32" s="208"/>
      <c r="CX32" s="216"/>
      <c r="CY32" s="209" t="s">
        <v>2499</v>
      </c>
      <c r="CZ32" s="209"/>
      <c r="DA32" s="209" t="s">
        <v>2500</v>
      </c>
      <c r="DB32" s="209" t="s">
        <v>2500</v>
      </c>
      <c r="DC32" s="209"/>
      <c r="DD32" s="209"/>
      <c r="DE32" s="210"/>
      <c r="DF32" s="209"/>
      <c r="DG32" s="216"/>
      <c r="DH32" s="217">
        <v>0</v>
      </c>
      <c r="DI32" s="208"/>
      <c r="DJ32" s="208"/>
      <c r="DK32" s="208"/>
      <c r="DL32" s="208"/>
      <c r="DM32" s="208"/>
      <c r="DN32" s="217">
        <v>0</v>
      </c>
      <c r="DO32" s="217">
        <v>0</v>
      </c>
      <c r="DP32" s="208" t="s">
        <v>2486</v>
      </c>
      <c r="DQ32" s="209"/>
      <c r="DR32" s="209"/>
      <c r="DS32" s="209" t="s">
        <v>2501</v>
      </c>
      <c r="DT32" s="209"/>
      <c r="DU32" s="209"/>
      <c r="DV32" s="209" t="s">
        <v>2502</v>
      </c>
      <c r="DW32" s="209" t="s">
        <v>2503</v>
      </c>
      <c r="DX32" s="209" t="s">
        <v>2498</v>
      </c>
    </row>
    <row r="33" spans="1:128" ht="19.5" customHeight="1">
      <c r="A33" s="206"/>
      <c r="B33" s="207" t="s">
        <v>2713</v>
      </c>
      <c r="C33" s="208"/>
      <c r="D33" s="208"/>
      <c r="E33" s="207" t="s">
        <v>2714</v>
      </c>
      <c r="F33" s="207" t="s">
        <v>2715</v>
      </c>
      <c r="G33" s="209" t="s">
        <v>2716</v>
      </c>
      <c r="H33" s="207" t="s">
        <v>2476</v>
      </c>
      <c r="I33" s="207" t="s">
        <v>2477</v>
      </c>
      <c r="J33" s="209" t="s">
        <v>2478</v>
      </c>
      <c r="K33" s="210">
        <v>46177</v>
      </c>
      <c r="L33" s="208" t="s">
        <v>2535</v>
      </c>
      <c r="M33" s="209" t="s">
        <v>2332</v>
      </c>
      <c r="N33" s="208" t="s">
        <v>2332</v>
      </c>
      <c r="O33" s="208" t="s">
        <v>2327</v>
      </c>
      <c r="P33" s="208" t="s">
        <v>2509</v>
      </c>
      <c r="Q33" s="208"/>
      <c r="R33" s="208"/>
      <c r="S33" s="208" t="s">
        <v>110</v>
      </c>
      <c r="T33" s="211" t="s">
        <v>2694</v>
      </c>
      <c r="U33" s="208" t="s">
        <v>116</v>
      </c>
      <c r="V33" s="208" t="s">
        <v>2594</v>
      </c>
      <c r="W33" s="209" t="s">
        <v>2484</v>
      </c>
      <c r="X33" s="208"/>
      <c r="Y33" s="208" t="s">
        <v>2485</v>
      </c>
      <c r="Z33" s="208"/>
      <c r="AA33" s="209"/>
      <c r="AB33" s="209"/>
      <c r="AC33" s="209"/>
      <c r="AD33" s="209"/>
      <c r="AE33" s="209"/>
      <c r="AF33" s="210"/>
      <c r="AG33" s="210"/>
      <c r="AH33" s="210"/>
      <c r="AI33" s="208"/>
      <c r="AJ33" s="208"/>
      <c r="AK33" s="208" t="s">
        <v>2486</v>
      </c>
      <c r="AL33" s="208"/>
      <c r="AM33" s="210"/>
      <c r="AN33" s="210"/>
      <c r="AO33" s="208"/>
      <c r="AP33" s="208" t="s">
        <v>2486</v>
      </c>
      <c r="AQ33" s="208" t="s">
        <v>2487</v>
      </c>
      <c r="AR33" s="209"/>
      <c r="AS33" s="209" t="s">
        <v>2488</v>
      </c>
      <c r="AT33" s="209" t="s">
        <v>2486</v>
      </c>
      <c r="AU33" s="209"/>
      <c r="AV33" s="212">
        <v>0</v>
      </c>
      <c r="AW33" s="208"/>
      <c r="AX33" s="209" t="s">
        <v>2486</v>
      </c>
      <c r="AY33" s="209" t="s">
        <v>2489</v>
      </c>
      <c r="AZ33" s="209" t="s">
        <v>2490</v>
      </c>
      <c r="BA33" s="209"/>
      <c r="BB33" s="209"/>
      <c r="BC33" s="209" t="s">
        <v>2478</v>
      </c>
      <c r="BD33" s="209" t="s">
        <v>2491</v>
      </c>
      <c r="BE33" s="209" t="s">
        <v>2492</v>
      </c>
      <c r="BF33" s="209"/>
      <c r="BG33" s="208"/>
      <c r="BH33" s="213"/>
      <c r="BI33" s="209" t="s">
        <v>2486</v>
      </c>
      <c r="BJ33" s="209"/>
      <c r="BK33" s="209" t="s">
        <v>2486</v>
      </c>
      <c r="BL33" s="209"/>
      <c r="BM33" s="209" t="s">
        <v>2493</v>
      </c>
      <c r="BN33" s="209" t="s">
        <v>2494</v>
      </c>
      <c r="BO33" s="214"/>
      <c r="BP33" s="208" t="s">
        <v>2486</v>
      </c>
      <c r="BQ33" s="209" t="s">
        <v>2495</v>
      </c>
      <c r="BR33" s="211" t="s">
        <v>2496</v>
      </c>
      <c r="BS33" s="211"/>
      <c r="BT33" s="208" t="s">
        <v>2486</v>
      </c>
      <c r="BU33" s="209"/>
      <c r="BV33" s="210"/>
      <c r="BW33" s="208" t="s">
        <v>2497</v>
      </c>
      <c r="BX33" s="209"/>
      <c r="BY33" s="209" t="s">
        <v>2003</v>
      </c>
      <c r="BZ33" s="211"/>
      <c r="CA33" s="209"/>
      <c r="CB33" s="209"/>
      <c r="CC33" s="211"/>
      <c r="CD33" s="211"/>
      <c r="CE33" s="208"/>
      <c r="CF33" s="208"/>
      <c r="CG33" s="211"/>
      <c r="CH33" s="210"/>
      <c r="CI33" s="210"/>
      <c r="CJ33" s="209"/>
      <c r="CK33" s="208" t="s">
        <v>2486</v>
      </c>
      <c r="CL33" s="209"/>
      <c r="CM33" s="209"/>
      <c r="CN33" s="209"/>
      <c r="CO33" s="209"/>
      <c r="CP33" s="208"/>
      <c r="CQ33" s="209" t="s">
        <v>2486</v>
      </c>
      <c r="CR33" s="209"/>
      <c r="CS33" s="208"/>
      <c r="CT33" s="209" t="s">
        <v>2486</v>
      </c>
      <c r="CU33" s="209"/>
      <c r="CV33" s="215" t="s">
        <v>2498</v>
      </c>
      <c r="CW33" s="208"/>
      <c r="CX33" s="216"/>
      <c r="CY33" s="209" t="s">
        <v>2499</v>
      </c>
      <c r="CZ33" s="209"/>
      <c r="DA33" s="209" t="s">
        <v>2500</v>
      </c>
      <c r="DB33" s="209" t="s">
        <v>2500</v>
      </c>
      <c r="DC33" s="209"/>
      <c r="DD33" s="209"/>
      <c r="DE33" s="210"/>
      <c r="DF33" s="209"/>
      <c r="DG33" s="216"/>
      <c r="DH33" s="217">
        <v>0</v>
      </c>
      <c r="DI33" s="208"/>
      <c r="DJ33" s="208"/>
      <c r="DK33" s="208"/>
      <c r="DL33" s="208"/>
      <c r="DM33" s="208"/>
      <c r="DN33" s="217">
        <v>0</v>
      </c>
      <c r="DO33" s="217">
        <v>0</v>
      </c>
      <c r="DP33" s="208" t="s">
        <v>2486</v>
      </c>
      <c r="DQ33" s="209"/>
      <c r="DR33" s="209"/>
      <c r="DS33" s="209" t="s">
        <v>2501</v>
      </c>
      <c r="DT33" s="209"/>
      <c r="DU33" s="209"/>
      <c r="DV33" s="209" t="s">
        <v>2502</v>
      </c>
      <c r="DW33" s="209" t="s">
        <v>2503</v>
      </c>
      <c r="DX33" s="209" t="s">
        <v>2498</v>
      </c>
    </row>
    <row r="34" spans="1:128" ht="19.5" customHeight="1">
      <c r="A34" s="206"/>
      <c r="B34" s="207" t="s">
        <v>2717</v>
      </c>
      <c r="C34" s="208"/>
      <c r="D34" s="208"/>
      <c r="E34" s="207" t="s">
        <v>2718</v>
      </c>
      <c r="F34" s="207" t="s">
        <v>2719</v>
      </c>
      <c r="G34" s="209" t="s">
        <v>2720</v>
      </c>
      <c r="H34" s="207" t="s">
        <v>2561</v>
      </c>
      <c r="I34" s="207" t="s">
        <v>2477</v>
      </c>
      <c r="J34" s="209" t="s">
        <v>2478</v>
      </c>
      <c r="K34" s="210">
        <v>46177</v>
      </c>
      <c r="L34" s="208" t="s">
        <v>2562</v>
      </c>
      <c r="M34" s="209" t="s">
        <v>2480</v>
      </c>
      <c r="N34" s="208" t="s">
        <v>2480</v>
      </c>
      <c r="O34" s="208" t="s">
        <v>2328</v>
      </c>
      <c r="P34" s="208" t="s">
        <v>2481</v>
      </c>
      <c r="Q34" s="208"/>
      <c r="R34" s="208"/>
      <c r="S34" s="208" t="s">
        <v>110</v>
      </c>
      <c r="T34" s="211" t="s">
        <v>2694</v>
      </c>
      <c r="U34" s="208" t="s">
        <v>1279</v>
      </c>
      <c r="V34" s="208" t="s">
        <v>2563</v>
      </c>
      <c r="W34" s="209" t="s">
        <v>2484</v>
      </c>
      <c r="X34" s="208"/>
      <c r="Y34" s="208" t="s">
        <v>2485</v>
      </c>
      <c r="Z34" s="208"/>
      <c r="AA34" s="209"/>
      <c r="AB34" s="209" t="s">
        <v>2721</v>
      </c>
      <c r="AC34" s="209" t="s">
        <v>2722</v>
      </c>
      <c r="AD34" s="209" t="s">
        <v>2723</v>
      </c>
      <c r="AE34" s="209" t="s">
        <v>2724</v>
      </c>
      <c r="AF34" s="210"/>
      <c r="AG34" s="210"/>
      <c r="AH34" s="210"/>
      <c r="AI34" s="208"/>
      <c r="AJ34" s="208"/>
      <c r="AK34" s="208" t="s">
        <v>2486</v>
      </c>
      <c r="AL34" s="208"/>
      <c r="AM34" s="210"/>
      <c r="AN34" s="210"/>
      <c r="AO34" s="208"/>
      <c r="AP34" s="208" t="s">
        <v>2486</v>
      </c>
      <c r="AQ34" s="208" t="s">
        <v>2487</v>
      </c>
      <c r="AR34" s="209"/>
      <c r="AS34" s="209" t="s">
        <v>2488</v>
      </c>
      <c r="AT34" s="209" t="s">
        <v>2486</v>
      </c>
      <c r="AU34" s="209"/>
      <c r="AV34" s="212">
        <v>0</v>
      </c>
      <c r="AW34" s="208"/>
      <c r="AX34" s="209" t="s">
        <v>2486</v>
      </c>
      <c r="AY34" s="209" t="s">
        <v>2489</v>
      </c>
      <c r="AZ34" s="209" t="s">
        <v>2490</v>
      </c>
      <c r="BA34" s="209"/>
      <c r="BB34" s="209"/>
      <c r="BC34" s="209" t="s">
        <v>2478</v>
      </c>
      <c r="BD34" s="209" t="s">
        <v>2491</v>
      </c>
      <c r="BE34" s="209" t="s">
        <v>2492</v>
      </c>
      <c r="BF34" s="209" t="s">
        <v>2486</v>
      </c>
      <c r="BG34" s="208"/>
      <c r="BH34" s="213"/>
      <c r="BI34" s="209" t="s">
        <v>2486</v>
      </c>
      <c r="BJ34" s="209"/>
      <c r="BK34" s="209" t="s">
        <v>2486</v>
      </c>
      <c r="BL34" s="209"/>
      <c r="BM34" s="209" t="s">
        <v>2725</v>
      </c>
      <c r="BN34" s="209" t="s">
        <v>2726</v>
      </c>
      <c r="BO34" s="214" t="s">
        <v>2498</v>
      </c>
      <c r="BP34" s="208" t="s">
        <v>2486</v>
      </c>
      <c r="BQ34" s="209" t="s">
        <v>1477</v>
      </c>
      <c r="BR34" s="211" t="s">
        <v>144</v>
      </c>
      <c r="BS34" s="211"/>
      <c r="BT34" s="208" t="s">
        <v>2486</v>
      </c>
      <c r="BU34" s="209"/>
      <c r="BV34" s="210"/>
      <c r="BW34" s="208" t="s">
        <v>2497</v>
      </c>
      <c r="BX34" s="209"/>
      <c r="BY34" s="209" t="s">
        <v>2003</v>
      </c>
      <c r="BZ34" s="211"/>
      <c r="CA34" s="209"/>
      <c r="CB34" s="209"/>
      <c r="CC34" s="211"/>
      <c r="CD34" s="211"/>
      <c r="CE34" s="208"/>
      <c r="CF34" s="208"/>
      <c r="CG34" s="211"/>
      <c r="CH34" s="210"/>
      <c r="CI34" s="210"/>
      <c r="CJ34" s="209"/>
      <c r="CK34" s="208" t="s">
        <v>2486</v>
      </c>
      <c r="CL34" s="209"/>
      <c r="CM34" s="209"/>
      <c r="CN34" s="209"/>
      <c r="CO34" s="209"/>
      <c r="CP34" s="208"/>
      <c r="CQ34" s="209" t="s">
        <v>2486</v>
      </c>
      <c r="CR34" s="209"/>
      <c r="CS34" s="208"/>
      <c r="CT34" s="209" t="s">
        <v>2486</v>
      </c>
      <c r="CU34" s="209"/>
      <c r="CV34" s="215" t="s">
        <v>2498</v>
      </c>
      <c r="CW34" s="208"/>
      <c r="CX34" s="216"/>
      <c r="CY34" s="209" t="s">
        <v>2499</v>
      </c>
      <c r="CZ34" s="209"/>
      <c r="DA34" s="209" t="s">
        <v>2500</v>
      </c>
      <c r="DB34" s="209" t="s">
        <v>2500</v>
      </c>
      <c r="DC34" s="209" t="s">
        <v>2572</v>
      </c>
      <c r="DD34" s="209"/>
      <c r="DE34" s="210"/>
      <c r="DF34" s="209"/>
      <c r="DG34" s="216"/>
      <c r="DH34" s="217">
        <v>1002200</v>
      </c>
      <c r="DI34" s="208"/>
      <c r="DJ34" s="208"/>
      <c r="DK34" s="208"/>
      <c r="DL34" s="208"/>
      <c r="DM34" s="208"/>
      <c r="DN34" s="217">
        <v>0</v>
      </c>
      <c r="DO34" s="217">
        <v>0</v>
      </c>
      <c r="DP34" s="208" t="s">
        <v>2486</v>
      </c>
      <c r="DQ34" s="209"/>
      <c r="DR34" s="209"/>
      <c r="DS34" s="209" t="s">
        <v>2501</v>
      </c>
      <c r="DT34" s="209"/>
      <c r="DU34" s="209"/>
      <c r="DV34" s="209" t="s">
        <v>2502</v>
      </c>
      <c r="DW34" s="209" t="s">
        <v>2503</v>
      </c>
      <c r="DX34" s="209" t="s">
        <v>2498</v>
      </c>
    </row>
    <row r="35" spans="1:128" ht="19.5" customHeight="1">
      <c r="A35" s="206"/>
      <c r="B35" s="207" t="s">
        <v>2727</v>
      </c>
      <c r="C35" s="208"/>
      <c r="D35" s="208"/>
      <c r="E35" s="207" t="s">
        <v>2728</v>
      </c>
      <c r="F35" s="207" t="s">
        <v>2729</v>
      </c>
      <c r="G35" s="209" t="s">
        <v>2730</v>
      </c>
      <c r="H35" s="207" t="s">
        <v>2476</v>
      </c>
      <c r="I35" s="207" t="s">
        <v>2477</v>
      </c>
      <c r="J35" s="209" t="s">
        <v>2478</v>
      </c>
      <c r="K35" s="210">
        <v>46177</v>
      </c>
      <c r="L35" s="208" t="s">
        <v>2551</v>
      </c>
      <c r="M35" s="209" t="s">
        <v>2333</v>
      </c>
      <c r="N35" s="208" t="s">
        <v>2333</v>
      </c>
      <c r="O35" s="208" t="s">
        <v>2731</v>
      </c>
      <c r="P35" s="208" t="s">
        <v>2732</v>
      </c>
      <c r="Q35" s="208"/>
      <c r="R35" s="208"/>
      <c r="S35" s="208" t="s">
        <v>101</v>
      </c>
      <c r="T35" s="211" t="s">
        <v>2694</v>
      </c>
      <c r="U35" s="208" t="s">
        <v>1277</v>
      </c>
      <c r="V35" s="208" t="s">
        <v>2541</v>
      </c>
      <c r="W35" s="209" t="s">
        <v>2484</v>
      </c>
      <c r="X35" s="208"/>
      <c r="Y35" s="208" t="s">
        <v>2485</v>
      </c>
      <c r="Z35" s="208"/>
      <c r="AA35" s="209"/>
      <c r="AB35" s="209"/>
      <c r="AC35" s="209"/>
      <c r="AD35" s="209"/>
      <c r="AE35" s="209"/>
      <c r="AF35" s="210"/>
      <c r="AG35" s="210"/>
      <c r="AH35" s="210"/>
      <c r="AI35" s="208"/>
      <c r="AJ35" s="208"/>
      <c r="AK35" s="208" t="s">
        <v>2486</v>
      </c>
      <c r="AL35" s="208"/>
      <c r="AM35" s="210"/>
      <c r="AN35" s="210"/>
      <c r="AO35" s="208"/>
      <c r="AP35" s="208" t="s">
        <v>2486</v>
      </c>
      <c r="AQ35" s="208" t="s">
        <v>2487</v>
      </c>
      <c r="AR35" s="209"/>
      <c r="AS35" s="209" t="s">
        <v>2488</v>
      </c>
      <c r="AT35" s="209" t="s">
        <v>2486</v>
      </c>
      <c r="AU35" s="209"/>
      <c r="AV35" s="212">
        <v>0</v>
      </c>
      <c r="AW35" s="208"/>
      <c r="AX35" s="209" t="s">
        <v>2486</v>
      </c>
      <c r="AY35" s="209" t="s">
        <v>2489</v>
      </c>
      <c r="AZ35" s="209" t="s">
        <v>2490</v>
      </c>
      <c r="BA35" s="209"/>
      <c r="BB35" s="209"/>
      <c r="BC35" s="209" t="s">
        <v>2478</v>
      </c>
      <c r="BD35" s="209" t="s">
        <v>2491</v>
      </c>
      <c r="BE35" s="209" t="s">
        <v>2492</v>
      </c>
      <c r="BF35" s="209"/>
      <c r="BG35" s="208"/>
      <c r="BH35" s="213"/>
      <c r="BI35" s="209" t="s">
        <v>2486</v>
      </c>
      <c r="BJ35" s="209"/>
      <c r="BK35" s="209" t="s">
        <v>2486</v>
      </c>
      <c r="BL35" s="209"/>
      <c r="BM35" s="209" t="s">
        <v>2493</v>
      </c>
      <c r="BN35" s="209" t="s">
        <v>2494</v>
      </c>
      <c r="BO35" s="214"/>
      <c r="BP35" s="208" t="s">
        <v>2486</v>
      </c>
      <c r="BQ35" s="209" t="s">
        <v>2495</v>
      </c>
      <c r="BR35" s="211" t="s">
        <v>2496</v>
      </c>
      <c r="BS35" s="211"/>
      <c r="BT35" s="208" t="s">
        <v>2486</v>
      </c>
      <c r="BU35" s="209"/>
      <c r="BV35" s="210"/>
      <c r="BW35" s="208" t="s">
        <v>2497</v>
      </c>
      <c r="BX35" s="209"/>
      <c r="BY35" s="209" t="s">
        <v>2003</v>
      </c>
      <c r="BZ35" s="211"/>
      <c r="CA35" s="209"/>
      <c r="CB35" s="209"/>
      <c r="CC35" s="211"/>
      <c r="CD35" s="211"/>
      <c r="CE35" s="208"/>
      <c r="CF35" s="208"/>
      <c r="CG35" s="211"/>
      <c r="CH35" s="210"/>
      <c r="CI35" s="210"/>
      <c r="CJ35" s="209"/>
      <c r="CK35" s="208" t="s">
        <v>2486</v>
      </c>
      <c r="CL35" s="209"/>
      <c r="CM35" s="209"/>
      <c r="CN35" s="209"/>
      <c r="CO35" s="209"/>
      <c r="CP35" s="208"/>
      <c r="CQ35" s="209" t="s">
        <v>2486</v>
      </c>
      <c r="CR35" s="209"/>
      <c r="CS35" s="208"/>
      <c r="CT35" s="209" t="s">
        <v>2486</v>
      </c>
      <c r="CU35" s="209"/>
      <c r="CV35" s="215" t="s">
        <v>2498</v>
      </c>
      <c r="CW35" s="208"/>
      <c r="CX35" s="216"/>
      <c r="CY35" s="209" t="s">
        <v>2499</v>
      </c>
      <c r="CZ35" s="209"/>
      <c r="DA35" s="209" t="s">
        <v>2500</v>
      </c>
      <c r="DB35" s="209" t="s">
        <v>2500</v>
      </c>
      <c r="DC35" s="209"/>
      <c r="DD35" s="209"/>
      <c r="DE35" s="210"/>
      <c r="DF35" s="209"/>
      <c r="DG35" s="216"/>
      <c r="DH35" s="217">
        <v>0</v>
      </c>
      <c r="DI35" s="208"/>
      <c r="DJ35" s="208"/>
      <c r="DK35" s="208"/>
      <c r="DL35" s="208"/>
      <c r="DM35" s="208"/>
      <c r="DN35" s="217">
        <v>0</v>
      </c>
      <c r="DO35" s="217">
        <v>0</v>
      </c>
      <c r="DP35" s="208" t="s">
        <v>2486</v>
      </c>
      <c r="DQ35" s="209"/>
      <c r="DR35" s="209"/>
      <c r="DS35" s="209" t="s">
        <v>2501</v>
      </c>
      <c r="DT35" s="209"/>
      <c r="DU35" s="209"/>
      <c r="DV35" s="209" t="s">
        <v>2502</v>
      </c>
      <c r="DW35" s="209" t="s">
        <v>2503</v>
      </c>
      <c r="DX35" s="209" t="s">
        <v>2498</v>
      </c>
    </row>
    <row r="36" spans="1:128" ht="19.5" customHeight="1">
      <c r="A36" s="206"/>
      <c r="B36" s="207" t="s">
        <v>2733</v>
      </c>
      <c r="C36" s="208"/>
      <c r="D36" s="208"/>
      <c r="E36" s="207" t="s">
        <v>2734</v>
      </c>
      <c r="F36" s="207" t="s">
        <v>2735</v>
      </c>
      <c r="G36" s="209" t="s">
        <v>2736</v>
      </c>
      <c r="H36" s="207" t="s">
        <v>2476</v>
      </c>
      <c r="I36" s="207" t="s">
        <v>2477</v>
      </c>
      <c r="J36" s="209" t="s">
        <v>2478</v>
      </c>
      <c r="K36" s="210">
        <v>46177</v>
      </c>
      <c r="L36" s="208" t="s">
        <v>2588</v>
      </c>
      <c r="M36" s="209" t="s">
        <v>2737</v>
      </c>
      <c r="N36" s="208" t="s">
        <v>2737</v>
      </c>
      <c r="O36" s="208" t="s">
        <v>2329</v>
      </c>
      <c r="P36" s="208" t="s">
        <v>2616</v>
      </c>
      <c r="Q36" s="208"/>
      <c r="R36" s="208"/>
      <c r="S36" s="208" t="s">
        <v>104</v>
      </c>
      <c r="T36" s="211" t="s">
        <v>2694</v>
      </c>
      <c r="U36" s="208" t="s">
        <v>1247</v>
      </c>
      <c r="V36" s="208" t="s">
        <v>2738</v>
      </c>
      <c r="W36" s="209" t="s">
        <v>2484</v>
      </c>
      <c r="X36" s="208"/>
      <c r="Y36" s="208" t="s">
        <v>2739</v>
      </c>
      <c r="Z36" s="208"/>
      <c r="AA36" s="209"/>
      <c r="AB36" s="209"/>
      <c r="AC36" s="209"/>
      <c r="AD36" s="209"/>
      <c r="AE36" s="209"/>
      <c r="AF36" s="210"/>
      <c r="AG36" s="210"/>
      <c r="AH36" s="210"/>
      <c r="AI36" s="208"/>
      <c r="AJ36" s="208"/>
      <c r="AK36" s="208" t="s">
        <v>2486</v>
      </c>
      <c r="AL36" s="208"/>
      <c r="AM36" s="210"/>
      <c r="AN36" s="210"/>
      <c r="AO36" s="208"/>
      <c r="AP36" s="208" t="s">
        <v>2486</v>
      </c>
      <c r="AQ36" s="208" t="s">
        <v>2487</v>
      </c>
      <c r="AR36" s="209"/>
      <c r="AS36" s="209" t="s">
        <v>2488</v>
      </c>
      <c r="AT36" s="209" t="s">
        <v>2486</v>
      </c>
      <c r="AU36" s="209"/>
      <c r="AV36" s="212">
        <v>0</v>
      </c>
      <c r="AW36" s="208"/>
      <c r="AX36" s="209" t="s">
        <v>2486</v>
      </c>
      <c r="AY36" s="209" t="s">
        <v>2489</v>
      </c>
      <c r="AZ36" s="209" t="s">
        <v>2490</v>
      </c>
      <c r="BA36" s="209"/>
      <c r="BB36" s="209"/>
      <c r="BC36" s="209" t="s">
        <v>2478</v>
      </c>
      <c r="BD36" s="209" t="s">
        <v>2491</v>
      </c>
      <c r="BE36" s="209" t="s">
        <v>2492</v>
      </c>
      <c r="BF36" s="209"/>
      <c r="BG36" s="208"/>
      <c r="BH36" s="213"/>
      <c r="BI36" s="209" t="s">
        <v>2486</v>
      </c>
      <c r="BJ36" s="209"/>
      <c r="BK36" s="209" t="s">
        <v>2486</v>
      </c>
      <c r="BL36" s="209"/>
      <c r="BM36" s="209" t="s">
        <v>2725</v>
      </c>
      <c r="BN36" s="209" t="s">
        <v>2726</v>
      </c>
      <c r="BO36" s="214" t="s">
        <v>2498</v>
      </c>
      <c r="BP36" s="208" t="s">
        <v>2486</v>
      </c>
      <c r="BQ36" s="209" t="s">
        <v>1477</v>
      </c>
      <c r="BR36" s="211" t="s">
        <v>144</v>
      </c>
      <c r="BS36" s="211"/>
      <c r="BT36" s="208" t="s">
        <v>2486</v>
      </c>
      <c r="BU36" s="209"/>
      <c r="BV36" s="210"/>
      <c r="BW36" s="208" t="s">
        <v>2497</v>
      </c>
      <c r="BX36" s="209"/>
      <c r="BY36" s="209" t="s">
        <v>2003</v>
      </c>
      <c r="BZ36" s="211"/>
      <c r="CA36" s="209"/>
      <c r="CB36" s="209"/>
      <c r="CC36" s="211"/>
      <c r="CD36" s="211"/>
      <c r="CE36" s="208"/>
      <c r="CF36" s="208"/>
      <c r="CG36" s="211"/>
      <c r="CH36" s="210"/>
      <c r="CI36" s="210"/>
      <c r="CJ36" s="209"/>
      <c r="CK36" s="208" t="s">
        <v>2486</v>
      </c>
      <c r="CL36" s="209"/>
      <c r="CM36" s="209"/>
      <c r="CN36" s="209"/>
      <c r="CO36" s="209"/>
      <c r="CP36" s="208"/>
      <c r="CQ36" s="209" t="s">
        <v>2486</v>
      </c>
      <c r="CR36" s="209"/>
      <c r="CS36" s="208"/>
      <c r="CT36" s="209" t="s">
        <v>2486</v>
      </c>
      <c r="CU36" s="209"/>
      <c r="CV36" s="215" t="s">
        <v>2498</v>
      </c>
      <c r="CW36" s="208"/>
      <c r="CX36" s="216"/>
      <c r="CY36" s="209" t="s">
        <v>2499</v>
      </c>
      <c r="CZ36" s="209"/>
      <c r="DA36" s="209" t="s">
        <v>2500</v>
      </c>
      <c r="DB36" s="209" t="s">
        <v>2500</v>
      </c>
      <c r="DC36" s="209"/>
      <c r="DD36" s="209"/>
      <c r="DE36" s="210"/>
      <c r="DF36" s="209"/>
      <c r="DG36" s="216"/>
      <c r="DH36" s="217">
        <v>892500</v>
      </c>
      <c r="DI36" s="208"/>
      <c r="DJ36" s="208"/>
      <c r="DK36" s="208"/>
      <c r="DL36" s="208"/>
      <c r="DM36" s="208"/>
      <c r="DN36" s="217">
        <v>0</v>
      </c>
      <c r="DO36" s="217">
        <v>0</v>
      </c>
      <c r="DP36" s="208" t="s">
        <v>2486</v>
      </c>
      <c r="DQ36" s="209"/>
      <c r="DR36" s="209"/>
      <c r="DS36" s="209" t="s">
        <v>2501</v>
      </c>
      <c r="DT36" s="209"/>
      <c r="DU36" s="209"/>
      <c r="DV36" s="209" t="s">
        <v>2502</v>
      </c>
      <c r="DW36" s="209" t="s">
        <v>2503</v>
      </c>
      <c r="DX36" s="209" t="s">
        <v>2498</v>
      </c>
    </row>
    <row r="37" spans="1:128" ht="19.5" customHeight="1">
      <c r="A37" s="206"/>
      <c r="B37" s="207" t="s">
        <v>2740</v>
      </c>
      <c r="C37" s="208"/>
      <c r="D37" s="208"/>
      <c r="E37" s="207" t="s">
        <v>2741</v>
      </c>
      <c r="F37" s="207" t="s">
        <v>2742</v>
      </c>
      <c r="G37" s="209" t="s">
        <v>2743</v>
      </c>
      <c r="H37" s="207" t="s">
        <v>2476</v>
      </c>
      <c r="I37" s="207" t="s">
        <v>2477</v>
      </c>
      <c r="J37" s="209" t="s">
        <v>2478</v>
      </c>
      <c r="K37" s="210">
        <v>46177</v>
      </c>
      <c r="L37" s="208" t="s">
        <v>2562</v>
      </c>
      <c r="M37" s="209" t="s">
        <v>2737</v>
      </c>
      <c r="N37" s="208" t="s">
        <v>2737</v>
      </c>
      <c r="O37" s="208" t="s">
        <v>2329</v>
      </c>
      <c r="P37" s="208" t="s">
        <v>2616</v>
      </c>
      <c r="Q37" s="208"/>
      <c r="R37" s="208"/>
      <c r="S37" s="208" t="s">
        <v>104</v>
      </c>
      <c r="T37" s="211" t="s">
        <v>2694</v>
      </c>
      <c r="U37" s="208" t="s">
        <v>119</v>
      </c>
      <c r="V37" s="208" t="s">
        <v>2738</v>
      </c>
      <c r="W37" s="209" t="s">
        <v>2484</v>
      </c>
      <c r="X37" s="208"/>
      <c r="Y37" s="208" t="s">
        <v>2739</v>
      </c>
      <c r="Z37" s="208"/>
      <c r="AA37" s="209"/>
      <c r="AB37" s="209"/>
      <c r="AC37" s="209"/>
      <c r="AD37" s="209"/>
      <c r="AE37" s="209"/>
      <c r="AF37" s="210"/>
      <c r="AG37" s="210"/>
      <c r="AH37" s="210"/>
      <c r="AI37" s="208"/>
      <c r="AJ37" s="208"/>
      <c r="AK37" s="208" t="s">
        <v>2486</v>
      </c>
      <c r="AL37" s="208"/>
      <c r="AM37" s="210"/>
      <c r="AN37" s="210"/>
      <c r="AO37" s="208"/>
      <c r="AP37" s="208" t="s">
        <v>2486</v>
      </c>
      <c r="AQ37" s="208" t="s">
        <v>2487</v>
      </c>
      <c r="AR37" s="209"/>
      <c r="AS37" s="209" t="s">
        <v>2488</v>
      </c>
      <c r="AT37" s="209" t="s">
        <v>2486</v>
      </c>
      <c r="AU37" s="209"/>
      <c r="AV37" s="212">
        <v>0</v>
      </c>
      <c r="AW37" s="208"/>
      <c r="AX37" s="209" t="s">
        <v>2486</v>
      </c>
      <c r="AY37" s="209" t="s">
        <v>2489</v>
      </c>
      <c r="AZ37" s="209" t="s">
        <v>2490</v>
      </c>
      <c r="BA37" s="209"/>
      <c r="BB37" s="209"/>
      <c r="BC37" s="209" t="s">
        <v>2478</v>
      </c>
      <c r="BD37" s="209" t="s">
        <v>2491</v>
      </c>
      <c r="BE37" s="209" t="s">
        <v>2492</v>
      </c>
      <c r="BF37" s="209"/>
      <c r="BG37" s="208"/>
      <c r="BH37" s="213"/>
      <c r="BI37" s="209" t="s">
        <v>2486</v>
      </c>
      <c r="BJ37" s="209"/>
      <c r="BK37" s="209" t="s">
        <v>2486</v>
      </c>
      <c r="BL37" s="209"/>
      <c r="BM37" s="209" t="s">
        <v>2725</v>
      </c>
      <c r="BN37" s="209" t="s">
        <v>2726</v>
      </c>
      <c r="BO37" s="214" t="s">
        <v>2498</v>
      </c>
      <c r="BP37" s="208" t="s">
        <v>2486</v>
      </c>
      <c r="BQ37" s="209" t="s">
        <v>1477</v>
      </c>
      <c r="BR37" s="211" t="s">
        <v>144</v>
      </c>
      <c r="BS37" s="211"/>
      <c r="BT37" s="208" t="s">
        <v>2486</v>
      </c>
      <c r="BU37" s="209"/>
      <c r="BV37" s="210"/>
      <c r="BW37" s="208" t="s">
        <v>2497</v>
      </c>
      <c r="BX37" s="209"/>
      <c r="BY37" s="209" t="s">
        <v>2003</v>
      </c>
      <c r="BZ37" s="211"/>
      <c r="CA37" s="209"/>
      <c r="CB37" s="209"/>
      <c r="CC37" s="211"/>
      <c r="CD37" s="211"/>
      <c r="CE37" s="208"/>
      <c r="CF37" s="208"/>
      <c r="CG37" s="211"/>
      <c r="CH37" s="210"/>
      <c r="CI37" s="210"/>
      <c r="CJ37" s="209"/>
      <c r="CK37" s="208" t="s">
        <v>2486</v>
      </c>
      <c r="CL37" s="209"/>
      <c r="CM37" s="209"/>
      <c r="CN37" s="209"/>
      <c r="CO37" s="209"/>
      <c r="CP37" s="208"/>
      <c r="CQ37" s="209" t="s">
        <v>2486</v>
      </c>
      <c r="CR37" s="209"/>
      <c r="CS37" s="208"/>
      <c r="CT37" s="209" t="s">
        <v>2486</v>
      </c>
      <c r="CU37" s="209"/>
      <c r="CV37" s="215" t="s">
        <v>2498</v>
      </c>
      <c r="CW37" s="208"/>
      <c r="CX37" s="216"/>
      <c r="CY37" s="209" t="s">
        <v>2499</v>
      </c>
      <c r="CZ37" s="209"/>
      <c r="DA37" s="209" t="s">
        <v>2500</v>
      </c>
      <c r="DB37" s="209" t="s">
        <v>2500</v>
      </c>
      <c r="DC37" s="209"/>
      <c r="DD37" s="209"/>
      <c r="DE37" s="210"/>
      <c r="DF37" s="209"/>
      <c r="DG37" s="216"/>
      <c r="DH37" s="217">
        <v>892500</v>
      </c>
      <c r="DI37" s="208"/>
      <c r="DJ37" s="208"/>
      <c r="DK37" s="208"/>
      <c r="DL37" s="208"/>
      <c r="DM37" s="208"/>
      <c r="DN37" s="217">
        <v>0</v>
      </c>
      <c r="DO37" s="217">
        <v>0</v>
      </c>
      <c r="DP37" s="208" t="s">
        <v>2486</v>
      </c>
      <c r="DQ37" s="209"/>
      <c r="DR37" s="209"/>
      <c r="DS37" s="209" t="s">
        <v>2501</v>
      </c>
      <c r="DT37" s="209"/>
      <c r="DU37" s="209"/>
      <c r="DV37" s="209" t="s">
        <v>2502</v>
      </c>
      <c r="DW37" s="209" t="s">
        <v>2503</v>
      </c>
      <c r="DX37" s="209" t="s">
        <v>2498</v>
      </c>
    </row>
    <row r="38" spans="1:128" ht="19.5" customHeight="1">
      <c r="A38" s="206"/>
      <c r="B38" s="207" t="s">
        <v>2744</v>
      </c>
      <c r="C38" s="208"/>
      <c r="D38" s="208"/>
      <c r="E38" s="207" t="s">
        <v>2745</v>
      </c>
      <c r="F38" s="207" t="s">
        <v>2746</v>
      </c>
      <c r="G38" s="209" t="s">
        <v>2747</v>
      </c>
      <c r="H38" s="207" t="s">
        <v>2561</v>
      </c>
      <c r="I38" s="207" t="s">
        <v>2477</v>
      </c>
      <c r="J38" s="209" t="s">
        <v>2478</v>
      </c>
      <c r="K38" s="210">
        <v>46177</v>
      </c>
      <c r="L38" s="208" t="s">
        <v>2540</v>
      </c>
      <c r="M38" s="209" t="s">
        <v>2480</v>
      </c>
      <c r="N38" s="208" t="s">
        <v>2480</v>
      </c>
      <c r="O38" s="208" t="s">
        <v>2328</v>
      </c>
      <c r="P38" s="208" t="s">
        <v>2481</v>
      </c>
      <c r="Q38" s="208"/>
      <c r="R38" s="208"/>
      <c r="S38" s="208" t="s">
        <v>957</v>
      </c>
      <c r="T38" s="211" t="s">
        <v>2694</v>
      </c>
      <c r="U38" s="208" t="s">
        <v>116</v>
      </c>
      <c r="V38" s="208" t="s">
        <v>2563</v>
      </c>
      <c r="W38" s="209" t="s">
        <v>2484</v>
      </c>
      <c r="X38" s="208" t="s">
        <v>2748</v>
      </c>
      <c r="Y38" s="208" t="s">
        <v>2485</v>
      </c>
      <c r="Z38" s="208" t="s">
        <v>2749</v>
      </c>
      <c r="AA38" s="209" t="s">
        <v>2566</v>
      </c>
      <c r="AB38" s="209" t="s">
        <v>2750</v>
      </c>
      <c r="AC38" s="209" t="s">
        <v>2751</v>
      </c>
      <c r="AD38" s="209" t="s">
        <v>2752</v>
      </c>
      <c r="AE38" s="209" t="s">
        <v>2753</v>
      </c>
      <c r="AF38" s="210"/>
      <c r="AG38" s="210"/>
      <c r="AH38" s="210"/>
      <c r="AI38" s="208"/>
      <c r="AJ38" s="208"/>
      <c r="AK38" s="208" t="s">
        <v>2486</v>
      </c>
      <c r="AL38" s="208"/>
      <c r="AM38" s="210"/>
      <c r="AN38" s="210"/>
      <c r="AO38" s="208"/>
      <c r="AP38" s="208" t="s">
        <v>2486</v>
      </c>
      <c r="AQ38" s="208" t="s">
        <v>2487</v>
      </c>
      <c r="AR38" s="209"/>
      <c r="AS38" s="209" t="s">
        <v>2488</v>
      </c>
      <c r="AT38" s="209" t="s">
        <v>2486</v>
      </c>
      <c r="AU38" s="209"/>
      <c r="AV38" s="212">
        <v>0</v>
      </c>
      <c r="AW38" s="208"/>
      <c r="AX38" s="209" t="s">
        <v>2486</v>
      </c>
      <c r="AY38" s="209" t="s">
        <v>2489</v>
      </c>
      <c r="AZ38" s="209" t="s">
        <v>2490</v>
      </c>
      <c r="BA38" s="209"/>
      <c r="BB38" s="209"/>
      <c r="BC38" s="209" t="s">
        <v>2478</v>
      </c>
      <c r="BD38" s="209" t="s">
        <v>2491</v>
      </c>
      <c r="BE38" s="209" t="s">
        <v>2492</v>
      </c>
      <c r="BF38" s="209" t="s">
        <v>2486</v>
      </c>
      <c r="BG38" s="208"/>
      <c r="BH38" s="213"/>
      <c r="BI38" s="209" t="s">
        <v>2486</v>
      </c>
      <c r="BJ38" s="209"/>
      <c r="BK38" s="209" t="s">
        <v>2486</v>
      </c>
      <c r="BL38" s="209"/>
      <c r="BM38" s="209" t="s">
        <v>2725</v>
      </c>
      <c r="BN38" s="209" t="s">
        <v>2726</v>
      </c>
      <c r="BO38" s="214" t="s">
        <v>2498</v>
      </c>
      <c r="BP38" s="208" t="s">
        <v>2486</v>
      </c>
      <c r="BQ38" s="209" t="s">
        <v>1477</v>
      </c>
      <c r="BR38" s="211" t="s">
        <v>144</v>
      </c>
      <c r="BS38" s="211"/>
      <c r="BT38" s="208" t="s">
        <v>2486</v>
      </c>
      <c r="BU38" s="209"/>
      <c r="BV38" s="210"/>
      <c r="BW38" s="208" t="s">
        <v>2497</v>
      </c>
      <c r="BX38" s="209" t="s">
        <v>2754</v>
      </c>
      <c r="BY38" s="209" t="s">
        <v>2003</v>
      </c>
      <c r="BZ38" s="211"/>
      <c r="CA38" s="209"/>
      <c r="CB38" s="209"/>
      <c r="CC38" s="211"/>
      <c r="CD38" s="211"/>
      <c r="CE38" s="208"/>
      <c r="CF38" s="208"/>
      <c r="CG38" s="211"/>
      <c r="CH38" s="210"/>
      <c r="CI38" s="210"/>
      <c r="CJ38" s="209"/>
      <c r="CK38" s="208" t="s">
        <v>2486</v>
      </c>
      <c r="CL38" s="209"/>
      <c r="CM38" s="209"/>
      <c r="CN38" s="209"/>
      <c r="CO38" s="209"/>
      <c r="CP38" s="208"/>
      <c r="CQ38" s="209" t="s">
        <v>2486</v>
      </c>
      <c r="CR38" s="209"/>
      <c r="CS38" s="208"/>
      <c r="CT38" s="209" t="s">
        <v>2486</v>
      </c>
      <c r="CU38" s="209"/>
      <c r="CV38" s="215" t="s">
        <v>2498</v>
      </c>
      <c r="CW38" s="208"/>
      <c r="CX38" s="216"/>
      <c r="CY38" s="209" t="s">
        <v>2499</v>
      </c>
      <c r="CZ38" s="209"/>
      <c r="DA38" s="209" t="s">
        <v>2500</v>
      </c>
      <c r="DB38" s="209" t="s">
        <v>2500</v>
      </c>
      <c r="DC38" s="209" t="s">
        <v>2572</v>
      </c>
      <c r="DD38" s="209"/>
      <c r="DE38" s="210"/>
      <c r="DF38" s="209"/>
      <c r="DG38" s="216"/>
      <c r="DH38" s="217">
        <v>1002200</v>
      </c>
      <c r="DI38" s="208"/>
      <c r="DJ38" s="208"/>
      <c r="DK38" s="208"/>
      <c r="DL38" s="208"/>
      <c r="DM38" s="208"/>
      <c r="DN38" s="217">
        <v>0</v>
      </c>
      <c r="DO38" s="217">
        <v>0</v>
      </c>
      <c r="DP38" s="208" t="s">
        <v>2486</v>
      </c>
      <c r="DQ38" s="209"/>
      <c r="DR38" s="209"/>
      <c r="DS38" s="209" t="s">
        <v>2501</v>
      </c>
      <c r="DT38" s="209"/>
      <c r="DU38" s="209"/>
      <c r="DV38" s="209" t="s">
        <v>2502</v>
      </c>
      <c r="DW38" s="209" t="s">
        <v>2503</v>
      </c>
      <c r="DX38" s="209" t="s">
        <v>2498</v>
      </c>
    </row>
    <row r="39" spans="1:128" ht="19.5" customHeight="1">
      <c r="A39" s="206"/>
      <c r="B39" s="207" t="s">
        <v>2755</v>
      </c>
      <c r="C39" s="208"/>
      <c r="D39" s="208"/>
      <c r="E39" s="207" t="s">
        <v>2756</v>
      </c>
      <c r="F39" s="207" t="s">
        <v>2757</v>
      </c>
      <c r="G39" s="209" t="s">
        <v>2758</v>
      </c>
      <c r="H39" s="207" t="s">
        <v>2476</v>
      </c>
      <c r="I39" s="207" t="s">
        <v>2477</v>
      </c>
      <c r="J39" s="209" t="s">
        <v>2478</v>
      </c>
      <c r="K39" s="210">
        <v>46177</v>
      </c>
      <c r="L39" s="208" t="s">
        <v>2588</v>
      </c>
      <c r="M39" s="209" t="s">
        <v>2480</v>
      </c>
      <c r="N39" s="208" t="s">
        <v>2480</v>
      </c>
      <c r="O39" s="208" t="s">
        <v>2328</v>
      </c>
      <c r="P39" s="208" t="s">
        <v>2481</v>
      </c>
      <c r="Q39" s="208"/>
      <c r="R39" s="208"/>
      <c r="S39" s="208" t="s">
        <v>957</v>
      </c>
      <c r="T39" s="211" t="s">
        <v>2694</v>
      </c>
      <c r="U39" s="208" t="s">
        <v>116</v>
      </c>
      <c r="V39" s="208" t="s">
        <v>2759</v>
      </c>
      <c r="W39" s="209" t="s">
        <v>2484</v>
      </c>
      <c r="X39" s="208"/>
      <c r="Y39" s="208" t="s">
        <v>2485</v>
      </c>
      <c r="Z39" s="208"/>
      <c r="AA39" s="209"/>
      <c r="AB39" s="209"/>
      <c r="AC39" s="209"/>
      <c r="AD39" s="209"/>
      <c r="AE39" s="209"/>
      <c r="AF39" s="210"/>
      <c r="AG39" s="210"/>
      <c r="AH39" s="210"/>
      <c r="AI39" s="208"/>
      <c r="AJ39" s="208"/>
      <c r="AK39" s="208" t="s">
        <v>2486</v>
      </c>
      <c r="AL39" s="208"/>
      <c r="AM39" s="210"/>
      <c r="AN39" s="210"/>
      <c r="AO39" s="208"/>
      <c r="AP39" s="208" t="s">
        <v>2486</v>
      </c>
      <c r="AQ39" s="208" t="s">
        <v>2487</v>
      </c>
      <c r="AR39" s="209"/>
      <c r="AS39" s="209" t="s">
        <v>2488</v>
      </c>
      <c r="AT39" s="209" t="s">
        <v>2486</v>
      </c>
      <c r="AU39" s="209"/>
      <c r="AV39" s="212">
        <v>0</v>
      </c>
      <c r="AW39" s="208"/>
      <c r="AX39" s="209" t="s">
        <v>2486</v>
      </c>
      <c r="AY39" s="209" t="s">
        <v>2489</v>
      </c>
      <c r="AZ39" s="209" t="s">
        <v>2490</v>
      </c>
      <c r="BA39" s="209"/>
      <c r="BB39" s="209"/>
      <c r="BC39" s="209" t="s">
        <v>2478</v>
      </c>
      <c r="BD39" s="209" t="s">
        <v>2491</v>
      </c>
      <c r="BE39" s="209" t="s">
        <v>2492</v>
      </c>
      <c r="BF39" s="209"/>
      <c r="BG39" s="208"/>
      <c r="BH39" s="213"/>
      <c r="BI39" s="209" t="s">
        <v>2486</v>
      </c>
      <c r="BJ39" s="209"/>
      <c r="BK39" s="209" t="s">
        <v>2486</v>
      </c>
      <c r="BL39" s="209"/>
      <c r="BM39" s="209" t="s">
        <v>2493</v>
      </c>
      <c r="BN39" s="209" t="s">
        <v>2494</v>
      </c>
      <c r="BO39" s="214"/>
      <c r="BP39" s="208" t="s">
        <v>2486</v>
      </c>
      <c r="BQ39" s="209" t="s">
        <v>2495</v>
      </c>
      <c r="BR39" s="211" t="s">
        <v>2496</v>
      </c>
      <c r="BS39" s="211"/>
      <c r="BT39" s="208" t="s">
        <v>2486</v>
      </c>
      <c r="BU39" s="209"/>
      <c r="BV39" s="210"/>
      <c r="BW39" s="208" t="s">
        <v>2497</v>
      </c>
      <c r="BX39" s="209"/>
      <c r="BY39" s="209" t="s">
        <v>2003</v>
      </c>
      <c r="BZ39" s="211"/>
      <c r="CA39" s="209"/>
      <c r="CB39" s="209"/>
      <c r="CC39" s="211"/>
      <c r="CD39" s="211"/>
      <c r="CE39" s="208"/>
      <c r="CF39" s="208"/>
      <c r="CG39" s="211"/>
      <c r="CH39" s="210"/>
      <c r="CI39" s="210"/>
      <c r="CJ39" s="209"/>
      <c r="CK39" s="208" t="s">
        <v>2486</v>
      </c>
      <c r="CL39" s="209"/>
      <c r="CM39" s="209"/>
      <c r="CN39" s="209"/>
      <c r="CO39" s="209"/>
      <c r="CP39" s="208"/>
      <c r="CQ39" s="209" t="s">
        <v>2486</v>
      </c>
      <c r="CR39" s="209"/>
      <c r="CS39" s="208"/>
      <c r="CT39" s="209" t="s">
        <v>2486</v>
      </c>
      <c r="CU39" s="209"/>
      <c r="CV39" s="215" t="s">
        <v>2498</v>
      </c>
      <c r="CW39" s="208"/>
      <c r="CX39" s="216"/>
      <c r="CY39" s="209" t="s">
        <v>2499</v>
      </c>
      <c r="CZ39" s="209"/>
      <c r="DA39" s="209" t="s">
        <v>2500</v>
      </c>
      <c r="DB39" s="209" t="s">
        <v>2500</v>
      </c>
      <c r="DC39" s="209"/>
      <c r="DD39" s="209"/>
      <c r="DE39" s="210"/>
      <c r="DF39" s="209"/>
      <c r="DG39" s="216"/>
      <c r="DH39" s="217">
        <v>0</v>
      </c>
      <c r="DI39" s="208"/>
      <c r="DJ39" s="208"/>
      <c r="DK39" s="208"/>
      <c r="DL39" s="208"/>
      <c r="DM39" s="208"/>
      <c r="DN39" s="217">
        <v>0</v>
      </c>
      <c r="DO39" s="217">
        <v>0</v>
      </c>
      <c r="DP39" s="208" t="s">
        <v>2486</v>
      </c>
      <c r="DQ39" s="209"/>
      <c r="DR39" s="209"/>
      <c r="DS39" s="209" t="s">
        <v>2501</v>
      </c>
      <c r="DT39" s="209"/>
      <c r="DU39" s="209"/>
      <c r="DV39" s="209" t="s">
        <v>2502</v>
      </c>
      <c r="DW39" s="209" t="s">
        <v>2503</v>
      </c>
      <c r="DX39" s="209" t="s">
        <v>2498</v>
      </c>
    </row>
    <row r="40" spans="1:128" ht="19.5" customHeight="1">
      <c r="A40" s="206"/>
      <c r="B40" s="207" t="s">
        <v>2760</v>
      </c>
      <c r="C40" s="208"/>
      <c r="D40" s="208"/>
      <c r="E40" s="207" t="s">
        <v>2761</v>
      </c>
      <c r="F40" s="207" t="s">
        <v>2762</v>
      </c>
      <c r="G40" s="209" t="s">
        <v>2763</v>
      </c>
      <c r="H40" s="207" t="s">
        <v>2476</v>
      </c>
      <c r="I40" s="207" t="s">
        <v>2477</v>
      </c>
      <c r="J40" s="209" t="s">
        <v>2478</v>
      </c>
      <c r="K40" s="210">
        <v>46177</v>
      </c>
      <c r="L40" s="208" t="s">
        <v>2546</v>
      </c>
      <c r="M40" s="209" t="s">
        <v>2332</v>
      </c>
      <c r="N40" s="208" t="s">
        <v>2332</v>
      </c>
      <c r="O40" s="208" t="s">
        <v>2327</v>
      </c>
      <c r="P40" s="208" t="s">
        <v>2509</v>
      </c>
      <c r="Q40" s="208"/>
      <c r="R40" s="208"/>
      <c r="S40" s="208" t="s">
        <v>957</v>
      </c>
      <c r="T40" s="211" t="s">
        <v>2694</v>
      </c>
      <c r="U40" s="208" t="s">
        <v>1277</v>
      </c>
      <c r="V40" s="208" t="s">
        <v>2764</v>
      </c>
      <c r="W40" s="209" t="s">
        <v>2484</v>
      </c>
      <c r="X40" s="208"/>
      <c r="Y40" s="208" t="s">
        <v>2485</v>
      </c>
      <c r="Z40" s="208"/>
      <c r="AA40" s="209"/>
      <c r="AB40" s="209"/>
      <c r="AC40" s="209"/>
      <c r="AD40" s="209"/>
      <c r="AE40" s="209"/>
      <c r="AF40" s="210"/>
      <c r="AG40" s="210"/>
      <c r="AH40" s="210"/>
      <c r="AI40" s="208"/>
      <c r="AJ40" s="208"/>
      <c r="AK40" s="208" t="s">
        <v>2486</v>
      </c>
      <c r="AL40" s="208"/>
      <c r="AM40" s="210"/>
      <c r="AN40" s="210"/>
      <c r="AO40" s="208"/>
      <c r="AP40" s="208" t="s">
        <v>2486</v>
      </c>
      <c r="AQ40" s="208" t="s">
        <v>2487</v>
      </c>
      <c r="AR40" s="209"/>
      <c r="AS40" s="209" t="s">
        <v>2488</v>
      </c>
      <c r="AT40" s="209" t="s">
        <v>2486</v>
      </c>
      <c r="AU40" s="209"/>
      <c r="AV40" s="212">
        <v>0</v>
      </c>
      <c r="AW40" s="208"/>
      <c r="AX40" s="209" t="s">
        <v>2486</v>
      </c>
      <c r="AY40" s="209" t="s">
        <v>2489</v>
      </c>
      <c r="AZ40" s="209" t="s">
        <v>2490</v>
      </c>
      <c r="BA40" s="209"/>
      <c r="BB40" s="209"/>
      <c r="BC40" s="209" t="s">
        <v>2478</v>
      </c>
      <c r="BD40" s="209" t="s">
        <v>2491</v>
      </c>
      <c r="BE40" s="209" t="s">
        <v>2492</v>
      </c>
      <c r="BF40" s="209"/>
      <c r="BG40" s="208"/>
      <c r="BH40" s="213"/>
      <c r="BI40" s="209" t="s">
        <v>2486</v>
      </c>
      <c r="BJ40" s="209"/>
      <c r="BK40" s="209" t="s">
        <v>2486</v>
      </c>
      <c r="BL40" s="209"/>
      <c r="BM40" s="209" t="s">
        <v>2493</v>
      </c>
      <c r="BN40" s="209" t="s">
        <v>2494</v>
      </c>
      <c r="BO40" s="214"/>
      <c r="BP40" s="208" t="s">
        <v>2486</v>
      </c>
      <c r="BQ40" s="209" t="s">
        <v>2495</v>
      </c>
      <c r="BR40" s="211" t="s">
        <v>2496</v>
      </c>
      <c r="BS40" s="211"/>
      <c r="BT40" s="208" t="s">
        <v>2486</v>
      </c>
      <c r="BU40" s="209"/>
      <c r="BV40" s="210"/>
      <c r="BW40" s="208" t="s">
        <v>2497</v>
      </c>
      <c r="BX40" s="209"/>
      <c r="BY40" s="209" t="s">
        <v>2003</v>
      </c>
      <c r="BZ40" s="211"/>
      <c r="CA40" s="209"/>
      <c r="CB40" s="209"/>
      <c r="CC40" s="211"/>
      <c r="CD40" s="211"/>
      <c r="CE40" s="208"/>
      <c r="CF40" s="208"/>
      <c r="CG40" s="211"/>
      <c r="CH40" s="210"/>
      <c r="CI40" s="210"/>
      <c r="CJ40" s="209"/>
      <c r="CK40" s="208" t="s">
        <v>2486</v>
      </c>
      <c r="CL40" s="209"/>
      <c r="CM40" s="209"/>
      <c r="CN40" s="209"/>
      <c r="CO40" s="209"/>
      <c r="CP40" s="208"/>
      <c r="CQ40" s="209" t="s">
        <v>2486</v>
      </c>
      <c r="CR40" s="209"/>
      <c r="CS40" s="208"/>
      <c r="CT40" s="209" t="s">
        <v>2486</v>
      </c>
      <c r="CU40" s="209"/>
      <c r="CV40" s="215" t="s">
        <v>2498</v>
      </c>
      <c r="CW40" s="208"/>
      <c r="CX40" s="216"/>
      <c r="CY40" s="209" t="s">
        <v>2499</v>
      </c>
      <c r="CZ40" s="209"/>
      <c r="DA40" s="209" t="s">
        <v>2500</v>
      </c>
      <c r="DB40" s="209" t="s">
        <v>2500</v>
      </c>
      <c r="DC40" s="209"/>
      <c r="DD40" s="209"/>
      <c r="DE40" s="210"/>
      <c r="DF40" s="209"/>
      <c r="DG40" s="216"/>
      <c r="DH40" s="217">
        <v>0</v>
      </c>
      <c r="DI40" s="208"/>
      <c r="DJ40" s="208"/>
      <c r="DK40" s="208"/>
      <c r="DL40" s="208"/>
      <c r="DM40" s="208"/>
      <c r="DN40" s="217">
        <v>0</v>
      </c>
      <c r="DO40" s="217">
        <v>0</v>
      </c>
      <c r="DP40" s="208" t="s">
        <v>2486</v>
      </c>
      <c r="DQ40" s="209"/>
      <c r="DR40" s="209"/>
      <c r="DS40" s="209" t="s">
        <v>2501</v>
      </c>
      <c r="DT40" s="209"/>
      <c r="DU40" s="209"/>
      <c r="DV40" s="209" t="s">
        <v>2502</v>
      </c>
      <c r="DW40" s="209" t="s">
        <v>2503</v>
      </c>
      <c r="DX40" s="209" t="s">
        <v>2498</v>
      </c>
    </row>
    <row r="41" spans="1:128" ht="19.5" customHeight="1">
      <c r="A41" s="206"/>
      <c r="B41" s="207" t="s">
        <v>2765</v>
      </c>
      <c r="C41" s="208"/>
      <c r="D41" s="208"/>
      <c r="E41" s="207" t="s">
        <v>2766</v>
      </c>
      <c r="F41" s="207" t="s">
        <v>2767</v>
      </c>
      <c r="G41" s="209" t="s">
        <v>2768</v>
      </c>
      <c r="H41" s="207" t="s">
        <v>2476</v>
      </c>
      <c r="I41" s="207" t="s">
        <v>2477</v>
      </c>
      <c r="J41" s="209" t="s">
        <v>2478</v>
      </c>
      <c r="K41" s="210">
        <v>46177</v>
      </c>
      <c r="L41" s="208" t="s">
        <v>2769</v>
      </c>
      <c r="M41" s="209" t="s">
        <v>2603</v>
      </c>
      <c r="N41" s="208" t="s">
        <v>2603</v>
      </c>
      <c r="O41" s="208" t="s">
        <v>2330</v>
      </c>
      <c r="P41" s="208" t="s">
        <v>2604</v>
      </c>
      <c r="Q41" s="208"/>
      <c r="R41" s="208"/>
      <c r="S41" s="208" t="s">
        <v>954</v>
      </c>
      <c r="T41" s="211" t="s">
        <v>2770</v>
      </c>
      <c r="U41" s="208" t="s">
        <v>2695</v>
      </c>
      <c r="V41" s="208" t="s">
        <v>2510</v>
      </c>
      <c r="W41" s="209" t="s">
        <v>2484</v>
      </c>
      <c r="X41" s="208"/>
      <c r="Y41" s="208" t="s">
        <v>2485</v>
      </c>
      <c r="Z41" s="208"/>
      <c r="AA41" s="209"/>
      <c r="AB41" s="209"/>
      <c r="AC41" s="209"/>
      <c r="AD41" s="209"/>
      <c r="AE41" s="209"/>
      <c r="AF41" s="210"/>
      <c r="AG41" s="210"/>
      <c r="AH41" s="210"/>
      <c r="AI41" s="208"/>
      <c r="AJ41" s="208"/>
      <c r="AK41" s="208" t="s">
        <v>2486</v>
      </c>
      <c r="AL41" s="208"/>
      <c r="AM41" s="210"/>
      <c r="AN41" s="210"/>
      <c r="AO41" s="208"/>
      <c r="AP41" s="208" t="s">
        <v>2486</v>
      </c>
      <c r="AQ41" s="208" t="s">
        <v>2487</v>
      </c>
      <c r="AR41" s="209"/>
      <c r="AS41" s="209" t="s">
        <v>2488</v>
      </c>
      <c r="AT41" s="209" t="s">
        <v>2486</v>
      </c>
      <c r="AU41" s="209"/>
      <c r="AV41" s="212">
        <v>0</v>
      </c>
      <c r="AW41" s="208"/>
      <c r="AX41" s="209" t="s">
        <v>2486</v>
      </c>
      <c r="AY41" s="209" t="s">
        <v>2489</v>
      </c>
      <c r="AZ41" s="209" t="s">
        <v>2490</v>
      </c>
      <c r="BA41" s="209"/>
      <c r="BB41" s="209"/>
      <c r="BC41" s="209" t="s">
        <v>2478</v>
      </c>
      <c r="BD41" s="209" t="s">
        <v>2491</v>
      </c>
      <c r="BE41" s="209" t="s">
        <v>2492</v>
      </c>
      <c r="BF41" s="209"/>
      <c r="BG41" s="208"/>
      <c r="BH41" s="213"/>
      <c r="BI41" s="209" t="s">
        <v>2486</v>
      </c>
      <c r="BJ41" s="209"/>
      <c r="BK41" s="209" t="s">
        <v>2486</v>
      </c>
      <c r="BL41" s="209"/>
      <c r="BM41" s="209" t="s">
        <v>2493</v>
      </c>
      <c r="BN41" s="209" t="s">
        <v>2494</v>
      </c>
      <c r="BO41" s="214"/>
      <c r="BP41" s="208" t="s">
        <v>2486</v>
      </c>
      <c r="BQ41" s="209" t="s">
        <v>2495</v>
      </c>
      <c r="BR41" s="211" t="s">
        <v>2496</v>
      </c>
      <c r="BS41" s="211"/>
      <c r="BT41" s="208" t="s">
        <v>2486</v>
      </c>
      <c r="BU41" s="209"/>
      <c r="BV41" s="210"/>
      <c r="BW41" s="208" t="s">
        <v>2497</v>
      </c>
      <c r="BX41" s="209"/>
      <c r="BY41" s="209" t="s">
        <v>2007</v>
      </c>
      <c r="BZ41" s="211"/>
      <c r="CA41" s="209"/>
      <c r="CB41" s="209"/>
      <c r="CC41" s="211"/>
      <c r="CD41" s="211"/>
      <c r="CE41" s="208"/>
      <c r="CF41" s="208"/>
      <c r="CG41" s="211"/>
      <c r="CH41" s="210"/>
      <c r="CI41" s="210"/>
      <c r="CJ41" s="209"/>
      <c r="CK41" s="208" t="s">
        <v>2486</v>
      </c>
      <c r="CL41" s="209"/>
      <c r="CM41" s="209"/>
      <c r="CN41" s="209"/>
      <c r="CO41" s="209"/>
      <c r="CP41" s="208"/>
      <c r="CQ41" s="209" t="s">
        <v>2486</v>
      </c>
      <c r="CR41" s="209"/>
      <c r="CS41" s="208"/>
      <c r="CT41" s="209" t="s">
        <v>2486</v>
      </c>
      <c r="CU41" s="209"/>
      <c r="CV41" s="215" t="s">
        <v>2498</v>
      </c>
      <c r="CW41" s="208"/>
      <c r="CX41" s="216"/>
      <c r="CY41" s="209" t="s">
        <v>2499</v>
      </c>
      <c r="CZ41" s="209"/>
      <c r="DA41" s="209" t="s">
        <v>2500</v>
      </c>
      <c r="DB41" s="209" t="s">
        <v>2500</v>
      </c>
      <c r="DC41" s="209"/>
      <c r="DD41" s="209"/>
      <c r="DE41" s="210"/>
      <c r="DF41" s="209"/>
      <c r="DG41" s="216"/>
      <c r="DH41" s="217">
        <v>0</v>
      </c>
      <c r="DI41" s="208"/>
      <c r="DJ41" s="208"/>
      <c r="DK41" s="208"/>
      <c r="DL41" s="208"/>
      <c r="DM41" s="208"/>
      <c r="DN41" s="217">
        <v>0</v>
      </c>
      <c r="DO41" s="217">
        <v>0</v>
      </c>
      <c r="DP41" s="208" t="s">
        <v>2486</v>
      </c>
      <c r="DQ41" s="209"/>
      <c r="DR41" s="209"/>
      <c r="DS41" s="209" t="s">
        <v>2501</v>
      </c>
      <c r="DT41" s="209"/>
      <c r="DU41" s="209"/>
      <c r="DV41" s="209" t="s">
        <v>2502</v>
      </c>
      <c r="DW41" s="209" t="s">
        <v>2503</v>
      </c>
      <c r="DX41" s="209" t="s">
        <v>2498</v>
      </c>
    </row>
    <row r="42" spans="1:128" ht="19.5" customHeight="1">
      <c r="A42" s="206"/>
      <c r="B42" s="207" t="s">
        <v>2771</v>
      </c>
      <c r="C42" s="208"/>
      <c r="D42" s="208"/>
      <c r="E42" s="207" t="s">
        <v>2772</v>
      </c>
      <c r="F42" s="207" t="s">
        <v>2773</v>
      </c>
      <c r="G42" s="209" t="s">
        <v>2774</v>
      </c>
      <c r="H42" s="207" t="s">
        <v>2476</v>
      </c>
      <c r="I42" s="207" t="s">
        <v>2477</v>
      </c>
      <c r="J42" s="209" t="s">
        <v>2478</v>
      </c>
      <c r="K42" s="210">
        <v>46177</v>
      </c>
      <c r="L42" s="208" t="s">
        <v>2775</v>
      </c>
      <c r="M42" s="209" t="s">
        <v>2332</v>
      </c>
      <c r="N42" s="208" t="s">
        <v>2332</v>
      </c>
      <c r="O42" s="208" t="s">
        <v>2327</v>
      </c>
      <c r="P42" s="208" t="s">
        <v>2509</v>
      </c>
      <c r="Q42" s="208"/>
      <c r="R42" s="208"/>
      <c r="S42" s="208" t="s">
        <v>110</v>
      </c>
      <c r="T42" s="211" t="s">
        <v>2770</v>
      </c>
      <c r="U42" s="208" t="s">
        <v>116</v>
      </c>
      <c r="V42" s="208" t="s">
        <v>2589</v>
      </c>
      <c r="W42" s="209" t="s">
        <v>2484</v>
      </c>
      <c r="X42" s="208"/>
      <c r="Y42" s="208" t="s">
        <v>2485</v>
      </c>
      <c r="Z42" s="208"/>
      <c r="AA42" s="209"/>
      <c r="AB42" s="209"/>
      <c r="AC42" s="209"/>
      <c r="AD42" s="209"/>
      <c r="AE42" s="209"/>
      <c r="AF42" s="210"/>
      <c r="AG42" s="210"/>
      <c r="AH42" s="210"/>
      <c r="AI42" s="208"/>
      <c r="AJ42" s="208"/>
      <c r="AK42" s="208" t="s">
        <v>2486</v>
      </c>
      <c r="AL42" s="208"/>
      <c r="AM42" s="210"/>
      <c r="AN42" s="210"/>
      <c r="AO42" s="208"/>
      <c r="AP42" s="208" t="s">
        <v>2486</v>
      </c>
      <c r="AQ42" s="208" t="s">
        <v>2487</v>
      </c>
      <c r="AR42" s="209"/>
      <c r="AS42" s="209" t="s">
        <v>2488</v>
      </c>
      <c r="AT42" s="209" t="s">
        <v>2486</v>
      </c>
      <c r="AU42" s="209"/>
      <c r="AV42" s="212">
        <v>0</v>
      </c>
      <c r="AW42" s="208"/>
      <c r="AX42" s="209" t="s">
        <v>2486</v>
      </c>
      <c r="AY42" s="209" t="s">
        <v>2489</v>
      </c>
      <c r="AZ42" s="209" t="s">
        <v>2490</v>
      </c>
      <c r="BA42" s="209"/>
      <c r="BB42" s="209"/>
      <c r="BC42" s="209" t="s">
        <v>2478</v>
      </c>
      <c r="BD42" s="209" t="s">
        <v>2491</v>
      </c>
      <c r="BE42" s="209" t="s">
        <v>2492</v>
      </c>
      <c r="BF42" s="209"/>
      <c r="BG42" s="208"/>
      <c r="BH42" s="213"/>
      <c r="BI42" s="209" t="s">
        <v>2486</v>
      </c>
      <c r="BJ42" s="209"/>
      <c r="BK42" s="209" t="s">
        <v>2486</v>
      </c>
      <c r="BL42" s="209"/>
      <c r="BM42" s="209" t="s">
        <v>2776</v>
      </c>
      <c r="BN42" s="209" t="s">
        <v>2777</v>
      </c>
      <c r="BO42" s="214" t="s">
        <v>2498</v>
      </c>
      <c r="BP42" s="208" t="s">
        <v>2486</v>
      </c>
      <c r="BQ42" s="209" t="s">
        <v>1477</v>
      </c>
      <c r="BR42" s="211" t="s">
        <v>144</v>
      </c>
      <c r="BS42" s="211"/>
      <c r="BT42" s="208" t="s">
        <v>2486</v>
      </c>
      <c r="BU42" s="209"/>
      <c r="BV42" s="210"/>
      <c r="BW42" s="208" t="s">
        <v>2497</v>
      </c>
      <c r="BX42" s="209"/>
      <c r="BY42" s="209" t="s">
        <v>2007</v>
      </c>
      <c r="BZ42" s="211"/>
      <c r="CA42" s="209"/>
      <c r="CB42" s="209"/>
      <c r="CC42" s="211"/>
      <c r="CD42" s="211"/>
      <c r="CE42" s="208"/>
      <c r="CF42" s="208"/>
      <c r="CG42" s="211"/>
      <c r="CH42" s="210"/>
      <c r="CI42" s="210"/>
      <c r="CJ42" s="209"/>
      <c r="CK42" s="208" t="s">
        <v>2486</v>
      </c>
      <c r="CL42" s="209"/>
      <c r="CM42" s="209"/>
      <c r="CN42" s="209"/>
      <c r="CO42" s="209"/>
      <c r="CP42" s="208"/>
      <c r="CQ42" s="209" t="s">
        <v>2486</v>
      </c>
      <c r="CR42" s="209"/>
      <c r="CS42" s="208"/>
      <c r="CT42" s="209" t="s">
        <v>2486</v>
      </c>
      <c r="CU42" s="209"/>
      <c r="CV42" s="215" t="s">
        <v>2498</v>
      </c>
      <c r="CW42" s="208"/>
      <c r="CX42" s="216"/>
      <c r="CY42" s="209" t="s">
        <v>2499</v>
      </c>
      <c r="CZ42" s="209"/>
      <c r="DA42" s="209" t="s">
        <v>2500</v>
      </c>
      <c r="DB42" s="209" t="s">
        <v>2500</v>
      </c>
      <c r="DC42" s="209"/>
      <c r="DD42" s="209"/>
      <c r="DE42" s="210"/>
      <c r="DF42" s="209"/>
      <c r="DG42" s="216"/>
      <c r="DH42" s="217">
        <v>935600</v>
      </c>
      <c r="DI42" s="208"/>
      <c r="DJ42" s="208"/>
      <c r="DK42" s="208"/>
      <c r="DL42" s="208"/>
      <c r="DM42" s="208"/>
      <c r="DN42" s="217">
        <v>0</v>
      </c>
      <c r="DO42" s="217">
        <v>0</v>
      </c>
      <c r="DP42" s="208" t="s">
        <v>2486</v>
      </c>
      <c r="DQ42" s="209"/>
      <c r="DR42" s="209"/>
      <c r="DS42" s="209" t="s">
        <v>2501</v>
      </c>
      <c r="DT42" s="209"/>
      <c r="DU42" s="209"/>
      <c r="DV42" s="209" t="s">
        <v>2502</v>
      </c>
      <c r="DW42" s="209" t="s">
        <v>2503</v>
      </c>
      <c r="DX42" s="209" t="s">
        <v>2498</v>
      </c>
    </row>
    <row r="43" spans="1:128" ht="19.5" customHeight="1">
      <c r="A43" s="206"/>
      <c r="B43" s="207" t="s">
        <v>2778</v>
      </c>
      <c r="C43" s="208"/>
      <c r="D43" s="208"/>
      <c r="E43" s="207" t="s">
        <v>2779</v>
      </c>
      <c r="F43" s="207" t="s">
        <v>2780</v>
      </c>
      <c r="G43" s="209" t="s">
        <v>2781</v>
      </c>
      <c r="H43" s="207" t="s">
        <v>2476</v>
      </c>
      <c r="I43" s="207" t="s">
        <v>2477</v>
      </c>
      <c r="J43" s="209" t="s">
        <v>2478</v>
      </c>
      <c r="K43" s="210">
        <v>46177</v>
      </c>
      <c r="L43" s="208" t="s">
        <v>2782</v>
      </c>
      <c r="M43" s="209" t="s">
        <v>2333</v>
      </c>
      <c r="N43" s="208" t="s">
        <v>2333</v>
      </c>
      <c r="O43" s="208" t="s">
        <v>2731</v>
      </c>
      <c r="P43" s="208" t="s">
        <v>2732</v>
      </c>
      <c r="Q43" s="208"/>
      <c r="R43" s="208"/>
      <c r="S43" s="208" t="s">
        <v>101</v>
      </c>
      <c r="T43" s="211" t="s">
        <v>2770</v>
      </c>
      <c r="U43" s="208" t="s">
        <v>1277</v>
      </c>
      <c r="V43" s="208" t="s">
        <v>2589</v>
      </c>
      <c r="W43" s="209" t="s">
        <v>2484</v>
      </c>
      <c r="X43" s="208"/>
      <c r="Y43" s="208" t="s">
        <v>2485</v>
      </c>
      <c r="Z43" s="208"/>
      <c r="AA43" s="209"/>
      <c r="AB43" s="209"/>
      <c r="AC43" s="209"/>
      <c r="AD43" s="209"/>
      <c r="AE43" s="209"/>
      <c r="AF43" s="210"/>
      <c r="AG43" s="210"/>
      <c r="AH43" s="210"/>
      <c r="AI43" s="208"/>
      <c r="AJ43" s="208"/>
      <c r="AK43" s="208" t="s">
        <v>2486</v>
      </c>
      <c r="AL43" s="208"/>
      <c r="AM43" s="210"/>
      <c r="AN43" s="210"/>
      <c r="AO43" s="208"/>
      <c r="AP43" s="208" t="s">
        <v>2486</v>
      </c>
      <c r="AQ43" s="208" t="s">
        <v>2487</v>
      </c>
      <c r="AR43" s="209"/>
      <c r="AS43" s="209" t="s">
        <v>2488</v>
      </c>
      <c r="AT43" s="209" t="s">
        <v>2486</v>
      </c>
      <c r="AU43" s="209"/>
      <c r="AV43" s="212">
        <v>0</v>
      </c>
      <c r="AW43" s="208"/>
      <c r="AX43" s="209" t="s">
        <v>2486</v>
      </c>
      <c r="AY43" s="209" t="s">
        <v>2489</v>
      </c>
      <c r="AZ43" s="209" t="s">
        <v>2490</v>
      </c>
      <c r="BA43" s="209"/>
      <c r="BB43" s="209"/>
      <c r="BC43" s="209" t="s">
        <v>2478</v>
      </c>
      <c r="BD43" s="209" t="s">
        <v>2491</v>
      </c>
      <c r="BE43" s="209" t="s">
        <v>2492</v>
      </c>
      <c r="BF43" s="209"/>
      <c r="BG43" s="208"/>
      <c r="BH43" s="213"/>
      <c r="BI43" s="209" t="s">
        <v>2486</v>
      </c>
      <c r="BJ43" s="209"/>
      <c r="BK43" s="209" t="s">
        <v>2486</v>
      </c>
      <c r="BL43" s="209"/>
      <c r="BM43" s="209" t="s">
        <v>2776</v>
      </c>
      <c r="BN43" s="209" t="s">
        <v>2777</v>
      </c>
      <c r="BO43" s="214" t="s">
        <v>2498</v>
      </c>
      <c r="BP43" s="208" t="s">
        <v>2486</v>
      </c>
      <c r="BQ43" s="209" t="s">
        <v>1477</v>
      </c>
      <c r="BR43" s="211" t="s">
        <v>144</v>
      </c>
      <c r="BS43" s="211"/>
      <c r="BT43" s="208" t="s">
        <v>2486</v>
      </c>
      <c r="BU43" s="209"/>
      <c r="BV43" s="210"/>
      <c r="BW43" s="208" t="s">
        <v>2497</v>
      </c>
      <c r="BX43" s="209"/>
      <c r="BY43" s="209" t="s">
        <v>2007</v>
      </c>
      <c r="BZ43" s="211"/>
      <c r="CA43" s="209"/>
      <c r="CB43" s="209"/>
      <c r="CC43" s="211"/>
      <c r="CD43" s="211"/>
      <c r="CE43" s="208"/>
      <c r="CF43" s="208"/>
      <c r="CG43" s="211"/>
      <c r="CH43" s="210"/>
      <c r="CI43" s="210"/>
      <c r="CJ43" s="209"/>
      <c r="CK43" s="208" t="s">
        <v>2486</v>
      </c>
      <c r="CL43" s="209"/>
      <c r="CM43" s="209"/>
      <c r="CN43" s="209"/>
      <c r="CO43" s="209"/>
      <c r="CP43" s="208"/>
      <c r="CQ43" s="209" t="s">
        <v>2486</v>
      </c>
      <c r="CR43" s="209"/>
      <c r="CS43" s="208"/>
      <c r="CT43" s="209" t="s">
        <v>2486</v>
      </c>
      <c r="CU43" s="209"/>
      <c r="CV43" s="215" t="s">
        <v>2498</v>
      </c>
      <c r="CW43" s="208"/>
      <c r="CX43" s="216"/>
      <c r="CY43" s="209" t="s">
        <v>2499</v>
      </c>
      <c r="CZ43" s="209"/>
      <c r="DA43" s="209" t="s">
        <v>2500</v>
      </c>
      <c r="DB43" s="209" t="s">
        <v>2500</v>
      </c>
      <c r="DC43" s="209"/>
      <c r="DD43" s="209"/>
      <c r="DE43" s="210"/>
      <c r="DF43" s="209"/>
      <c r="DG43" s="216"/>
      <c r="DH43" s="217">
        <v>935600</v>
      </c>
      <c r="DI43" s="208"/>
      <c r="DJ43" s="208"/>
      <c r="DK43" s="208"/>
      <c r="DL43" s="208"/>
      <c r="DM43" s="208"/>
      <c r="DN43" s="217">
        <v>0</v>
      </c>
      <c r="DO43" s="217">
        <v>0</v>
      </c>
      <c r="DP43" s="208" t="s">
        <v>2486</v>
      </c>
      <c r="DQ43" s="209"/>
      <c r="DR43" s="209"/>
      <c r="DS43" s="209" t="s">
        <v>2501</v>
      </c>
      <c r="DT43" s="209"/>
      <c r="DU43" s="209"/>
      <c r="DV43" s="209" t="s">
        <v>2502</v>
      </c>
      <c r="DW43" s="209" t="s">
        <v>2503</v>
      </c>
      <c r="DX43" s="209" t="s">
        <v>2498</v>
      </c>
    </row>
    <row r="44" spans="1:128" ht="19.5" customHeight="1">
      <c r="A44" s="206"/>
      <c r="B44" s="207" t="s">
        <v>2783</v>
      </c>
      <c r="C44" s="208"/>
      <c r="D44" s="208"/>
      <c r="E44" s="207" t="s">
        <v>2784</v>
      </c>
      <c r="F44" s="207" t="s">
        <v>2785</v>
      </c>
      <c r="G44" s="209" t="s">
        <v>2786</v>
      </c>
      <c r="H44" s="207" t="s">
        <v>2476</v>
      </c>
      <c r="I44" s="207" t="s">
        <v>2477</v>
      </c>
      <c r="J44" s="209" t="s">
        <v>2478</v>
      </c>
      <c r="K44" s="210">
        <v>46177</v>
      </c>
      <c r="L44" s="208" t="s">
        <v>2787</v>
      </c>
      <c r="M44" s="209" t="s">
        <v>2333</v>
      </c>
      <c r="N44" s="208" t="s">
        <v>2333</v>
      </c>
      <c r="O44" s="208" t="s">
        <v>2731</v>
      </c>
      <c r="P44" s="208" t="s">
        <v>2732</v>
      </c>
      <c r="Q44" s="208"/>
      <c r="R44" s="208"/>
      <c r="S44" s="208" t="s">
        <v>101</v>
      </c>
      <c r="T44" s="211" t="s">
        <v>2770</v>
      </c>
      <c r="U44" s="208" t="s">
        <v>1277</v>
      </c>
      <c r="V44" s="208" t="s">
        <v>2541</v>
      </c>
      <c r="W44" s="209" t="s">
        <v>2484</v>
      </c>
      <c r="X44" s="208"/>
      <c r="Y44" s="208" t="s">
        <v>2485</v>
      </c>
      <c r="Z44" s="208"/>
      <c r="AA44" s="209"/>
      <c r="AB44" s="209"/>
      <c r="AC44" s="209"/>
      <c r="AD44" s="209"/>
      <c r="AE44" s="209"/>
      <c r="AF44" s="210"/>
      <c r="AG44" s="210"/>
      <c r="AH44" s="210"/>
      <c r="AI44" s="208"/>
      <c r="AJ44" s="208"/>
      <c r="AK44" s="208" t="s">
        <v>2486</v>
      </c>
      <c r="AL44" s="208"/>
      <c r="AM44" s="210"/>
      <c r="AN44" s="210"/>
      <c r="AO44" s="208"/>
      <c r="AP44" s="208" t="s">
        <v>2486</v>
      </c>
      <c r="AQ44" s="208" t="s">
        <v>2487</v>
      </c>
      <c r="AR44" s="209"/>
      <c r="AS44" s="209" t="s">
        <v>2488</v>
      </c>
      <c r="AT44" s="209" t="s">
        <v>2486</v>
      </c>
      <c r="AU44" s="209"/>
      <c r="AV44" s="212">
        <v>0</v>
      </c>
      <c r="AW44" s="208"/>
      <c r="AX44" s="209" t="s">
        <v>2486</v>
      </c>
      <c r="AY44" s="209" t="s">
        <v>2489</v>
      </c>
      <c r="AZ44" s="209" t="s">
        <v>2490</v>
      </c>
      <c r="BA44" s="209"/>
      <c r="BB44" s="209"/>
      <c r="BC44" s="209" t="s">
        <v>2478</v>
      </c>
      <c r="BD44" s="209" t="s">
        <v>2491</v>
      </c>
      <c r="BE44" s="209" t="s">
        <v>2492</v>
      </c>
      <c r="BF44" s="209"/>
      <c r="BG44" s="208"/>
      <c r="BH44" s="213"/>
      <c r="BI44" s="209" t="s">
        <v>2486</v>
      </c>
      <c r="BJ44" s="209"/>
      <c r="BK44" s="209" t="s">
        <v>2486</v>
      </c>
      <c r="BL44" s="209"/>
      <c r="BM44" s="209" t="s">
        <v>2776</v>
      </c>
      <c r="BN44" s="209" t="s">
        <v>2777</v>
      </c>
      <c r="BO44" s="214" t="s">
        <v>2498</v>
      </c>
      <c r="BP44" s="208" t="s">
        <v>2486</v>
      </c>
      <c r="BQ44" s="209" t="s">
        <v>1477</v>
      </c>
      <c r="BR44" s="211" t="s">
        <v>144</v>
      </c>
      <c r="BS44" s="211"/>
      <c r="BT44" s="208" t="s">
        <v>2486</v>
      </c>
      <c r="BU44" s="209"/>
      <c r="BV44" s="210"/>
      <c r="BW44" s="208" t="s">
        <v>2497</v>
      </c>
      <c r="BX44" s="209"/>
      <c r="BY44" s="209" t="s">
        <v>2007</v>
      </c>
      <c r="BZ44" s="211"/>
      <c r="CA44" s="209"/>
      <c r="CB44" s="209"/>
      <c r="CC44" s="211"/>
      <c r="CD44" s="211"/>
      <c r="CE44" s="208"/>
      <c r="CF44" s="208"/>
      <c r="CG44" s="211"/>
      <c r="CH44" s="210"/>
      <c r="CI44" s="210"/>
      <c r="CJ44" s="209"/>
      <c r="CK44" s="208" t="s">
        <v>2486</v>
      </c>
      <c r="CL44" s="209"/>
      <c r="CM44" s="209"/>
      <c r="CN44" s="209"/>
      <c r="CO44" s="209"/>
      <c r="CP44" s="208"/>
      <c r="CQ44" s="209" t="s">
        <v>2486</v>
      </c>
      <c r="CR44" s="209"/>
      <c r="CS44" s="208"/>
      <c r="CT44" s="209" t="s">
        <v>2486</v>
      </c>
      <c r="CU44" s="209"/>
      <c r="CV44" s="215" t="s">
        <v>2498</v>
      </c>
      <c r="CW44" s="208"/>
      <c r="CX44" s="216"/>
      <c r="CY44" s="209" t="s">
        <v>2499</v>
      </c>
      <c r="CZ44" s="209"/>
      <c r="DA44" s="209" t="s">
        <v>2500</v>
      </c>
      <c r="DB44" s="209" t="s">
        <v>2500</v>
      </c>
      <c r="DC44" s="209"/>
      <c r="DD44" s="209"/>
      <c r="DE44" s="210"/>
      <c r="DF44" s="209"/>
      <c r="DG44" s="216"/>
      <c r="DH44" s="217">
        <v>935600</v>
      </c>
      <c r="DI44" s="208"/>
      <c r="DJ44" s="208"/>
      <c r="DK44" s="208"/>
      <c r="DL44" s="208"/>
      <c r="DM44" s="208"/>
      <c r="DN44" s="217">
        <v>0</v>
      </c>
      <c r="DO44" s="217">
        <v>0</v>
      </c>
      <c r="DP44" s="208" t="s">
        <v>2486</v>
      </c>
      <c r="DQ44" s="209"/>
      <c r="DR44" s="209"/>
      <c r="DS44" s="209" t="s">
        <v>2501</v>
      </c>
      <c r="DT44" s="209"/>
      <c r="DU44" s="209"/>
      <c r="DV44" s="209" t="s">
        <v>2502</v>
      </c>
      <c r="DW44" s="209" t="s">
        <v>2503</v>
      </c>
      <c r="DX44" s="209" t="s">
        <v>2498</v>
      </c>
    </row>
    <row r="45" spans="1:128" ht="19.5" customHeight="1">
      <c r="A45" s="206"/>
      <c r="B45" s="207" t="s">
        <v>2788</v>
      </c>
      <c r="C45" s="208"/>
      <c r="D45" s="208"/>
      <c r="E45" s="207" t="s">
        <v>2789</v>
      </c>
      <c r="F45" s="207" t="s">
        <v>2790</v>
      </c>
      <c r="G45" s="209" t="s">
        <v>2791</v>
      </c>
      <c r="H45" s="207" t="s">
        <v>2561</v>
      </c>
      <c r="I45" s="207" t="s">
        <v>2477</v>
      </c>
      <c r="J45" s="209" t="s">
        <v>2478</v>
      </c>
      <c r="K45" s="210">
        <v>46177</v>
      </c>
      <c r="L45" s="208" t="s">
        <v>2792</v>
      </c>
      <c r="M45" s="209" t="s">
        <v>2793</v>
      </c>
      <c r="N45" s="208" t="s">
        <v>2793</v>
      </c>
      <c r="O45" s="208" t="s">
        <v>2329</v>
      </c>
      <c r="P45" s="208" t="s">
        <v>2616</v>
      </c>
      <c r="Q45" s="208"/>
      <c r="R45" s="208"/>
      <c r="S45" s="208" t="s">
        <v>101</v>
      </c>
      <c r="T45" s="211" t="s">
        <v>2770</v>
      </c>
      <c r="U45" s="208" t="s">
        <v>1289</v>
      </c>
      <c r="V45" s="208" t="s">
        <v>2563</v>
      </c>
      <c r="W45" s="209" t="s">
        <v>2484</v>
      </c>
      <c r="X45" s="208" t="s">
        <v>2794</v>
      </c>
      <c r="Y45" s="208" t="s">
        <v>2485</v>
      </c>
      <c r="Z45" s="208" t="s">
        <v>2795</v>
      </c>
      <c r="AA45" s="209" t="s">
        <v>2566</v>
      </c>
      <c r="AB45" s="209" t="s">
        <v>2796</v>
      </c>
      <c r="AC45" s="209" t="s">
        <v>2797</v>
      </c>
      <c r="AD45" s="209" t="s">
        <v>2798</v>
      </c>
      <c r="AE45" s="209" t="s">
        <v>2799</v>
      </c>
      <c r="AF45" s="210"/>
      <c r="AG45" s="210"/>
      <c r="AH45" s="210"/>
      <c r="AI45" s="208"/>
      <c r="AJ45" s="208"/>
      <c r="AK45" s="208" t="s">
        <v>2486</v>
      </c>
      <c r="AL45" s="208"/>
      <c r="AM45" s="210"/>
      <c r="AN45" s="210"/>
      <c r="AO45" s="208"/>
      <c r="AP45" s="208" t="s">
        <v>2486</v>
      </c>
      <c r="AQ45" s="208" t="s">
        <v>2487</v>
      </c>
      <c r="AR45" s="209"/>
      <c r="AS45" s="209" t="s">
        <v>2488</v>
      </c>
      <c r="AT45" s="209" t="s">
        <v>2486</v>
      </c>
      <c r="AU45" s="209"/>
      <c r="AV45" s="212">
        <v>0</v>
      </c>
      <c r="AW45" s="208"/>
      <c r="AX45" s="209" t="s">
        <v>2486</v>
      </c>
      <c r="AY45" s="209" t="s">
        <v>2489</v>
      </c>
      <c r="AZ45" s="209" t="s">
        <v>2490</v>
      </c>
      <c r="BA45" s="209"/>
      <c r="BB45" s="209"/>
      <c r="BC45" s="209" t="s">
        <v>2478</v>
      </c>
      <c r="BD45" s="209" t="s">
        <v>2491</v>
      </c>
      <c r="BE45" s="209" t="s">
        <v>2492</v>
      </c>
      <c r="BF45" s="209" t="s">
        <v>2486</v>
      </c>
      <c r="BG45" s="208"/>
      <c r="BH45" s="213"/>
      <c r="BI45" s="209" t="s">
        <v>2486</v>
      </c>
      <c r="BJ45" s="209"/>
      <c r="BK45" s="209" t="s">
        <v>2486</v>
      </c>
      <c r="BL45" s="209"/>
      <c r="BM45" s="209" t="s">
        <v>2776</v>
      </c>
      <c r="BN45" s="209" t="s">
        <v>2777</v>
      </c>
      <c r="BO45" s="214" t="s">
        <v>2498</v>
      </c>
      <c r="BP45" s="208" t="s">
        <v>2486</v>
      </c>
      <c r="BQ45" s="209" t="s">
        <v>1477</v>
      </c>
      <c r="BR45" s="211" t="s">
        <v>144</v>
      </c>
      <c r="BS45" s="211"/>
      <c r="BT45" s="208" t="s">
        <v>2486</v>
      </c>
      <c r="BU45" s="209"/>
      <c r="BV45" s="210"/>
      <c r="BW45" s="208" t="s">
        <v>2497</v>
      </c>
      <c r="BX45" s="209" t="s">
        <v>2800</v>
      </c>
      <c r="BY45" s="209" t="s">
        <v>2007</v>
      </c>
      <c r="BZ45" s="211"/>
      <c r="CA45" s="209"/>
      <c r="CB45" s="209"/>
      <c r="CC45" s="211"/>
      <c r="CD45" s="211"/>
      <c r="CE45" s="208"/>
      <c r="CF45" s="208"/>
      <c r="CG45" s="211"/>
      <c r="CH45" s="210"/>
      <c r="CI45" s="210"/>
      <c r="CJ45" s="209"/>
      <c r="CK45" s="208" t="s">
        <v>2486</v>
      </c>
      <c r="CL45" s="209"/>
      <c r="CM45" s="209"/>
      <c r="CN45" s="209"/>
      <c r="CO45" s="209"/>
      <c r="CP45" s="208"/>
      <c r="CQ45" s="209" t="s">
        <v>2486</v>
      </c>
      <c r="CR45" s="209"/>
      <c r="CS45" s="208"/>
      <c r="CT45" s="209" t="s">
        <v>2486</v>
      </c>
      <c r="CU45" s="209"/>
      <c r="CV45" s="215" t="s">
        <v>2498</v>
      </c>
      <c r="CW45" s="208"/>
      <c r="CX45" s="216"/>
      <c r="CY45" s="209" t="s">
        <v>2499</v>
      </c>
      <c r="CZ45" s="209"/>
      <c r="DA45" s="209" t="s">
        <v>2500</v>
      </c>
      <c r="DB45" s="209" t="s">
        <v>2500</v>
      </c>
      <c r="DC45" s="209" t="s">
        <v>2801</v>
      </c>
      <c r="DD45" s="209"/>
      <c r="DE45" s="210"/>
      <c r="DF45" s="209"/>
      <c r="DG45" s="216"/>
      <c r="DH45" s="217">
        <v>935600</v>
      </c>
      <c r="DI45" s="208"/>
      <c r="DJ45" s="208"/>
      <c r="DK45" s="208"/>
      <c r="DL45" s="208"/>
      <c r="DM45" s="208"/>
      <c r="DN45" s="217">
        <v>0</v>
      </c>
      <c r="DO45" s="217">
        <v>0</v>
      </c>
      <c r="DP45" s="208" t="s">
        <v>2486</v>
      </c>
      <c r="DQ45" s="209"/>
      <c r="DR45" s="209"/>
      <c r="DS45" s="209" t="s">
        <v>2501</v>
      </c>
      <c r="DT45" s="209"/>
      <c r="DU45" s="209"/>
      <c r="DV45" s="209" t="s">
        <v>2502</v>
      </c>
      <c r="DW45" s="209" t="s">
        <v>2503</v>
      </c>
      <c r="DX45" s="209" t="s">
        <v>2498</v>
      </c>
    </row>
    <row r="46" spans="1:128" ht="19.5" customHeight="1">
      <c r="A46" s="206"/>
      <c r="B46" s="207" t="s">
        <v>2802</v>
      </c>
      <c r="C46" s="208"/>
      <c r="D46" s="208"/>
      <c r="E46" s="207" t="s">
        <v>2803</v>
      </c>
      <c r="F46" s="207" t="s">
        <v>2804</v>
      </c>
      <c r="G46" s="209" t="s">
        <v>2805</v>
      </c>
      <c r="H46" s="207" t="s">
        <v>2476</v>
      </c>
      <c r="I46" s="207" t="s">
        <v>2477</v>
      </c>
      <c r="J46" s="209" t="s">
        <v>2478</v>
      </c>
      <c r="K46" s="210">
        <v>46177</v>
      </c>
      <c r="L46" s="208" t="s">
        <v>2588</v>
      </c>
      <c r="M46" s="209" t="s">
        <v>2332</v>
      </c>
      <c r="N46" s="208" t="s">
        <v>2332</v>
      </c>
      <c r="O46" s="208" t="s">
        <v>2327</v>
      </c>
      <c r="P46" s="208" t="s">
        <v>2509</v>
      </c>
      <c r="Q46" s="208"/>
      <c r="R46" s="208"/>
      <c r="S46" s="208" t="s">
        <v>957</v>
      </c>
      <c r="T46" s="211" t="s">
        <v>2770</v>
      </c>
      <c r="U46" s="208" t="s">
        <v>1277</v>
      </c>
      <c r="V46" s="208" t="s">
        <v>2589</v>
      </c>
      <c r="W46" s="209" t="s">
        <v>2484</v>
      </c>
      <c r="X46" s="208"/>
      <c r="Y46" s="208" t="s">
        <v>2485</v>
      </c>
      <c r="Z46" s="208"/>
      <c r="AA46" s="209"/>
      <c r="AB46" s="209"/>
      <c r="AC46" s="209"/>
      <c r="AD46" s="209"/>
      <c r="AE46" s="209"/>
      <c r="AF46" s="210"/>
      <c r="AG46" s="210"/>
      <c r="AH46" s="210"/>
      <c r="AI46" s="208"/>
      <c r="AJ46" s="208"/>
      <c r="AK46" s="208" t="s">
        <v>2486</v>
      </c>
      <c r="AL46" s="208"/>
      <c r="AM46" s="210"/>
      <c r="AN46" s="210"/>
      <c r="AO46" s="208"/>
      <c r="AP46" s="208" t="s">
        <v>2486</v>
      </c>
      <c r="AQ46" s="208" t="s">
        <v>2487</v>
      </c>
      <c r="AR46" s="209"/>
      <c r="AS46" s="209" t="s">
        <v>2488</v>
      </c>
      <c r="AT46" s="209" t="s">
        <v>2486</v>
      </c>
      <c r="AU46" s="209"/>
      <c r="AV46" s="212">
        <v>0</v>
      </c>
      <c r="AW46" s="208"/>
      <c r="AX46" s="209" t="s">
        <v>2486</v>
      </c>
      <c r="AY46" s="209" t="s">
        <v>2489</v>
      </c>
      <c r="AZ46" s="209" t="s">
        <v>2490</v>
      </c>
      <c r="BA46" s="209"/>
      <c r="BB46" s="209"/>
      <c r="BC46" s="209" t="s">
        <v>2478</v>
      </c>
      <c r="BD46" s="209" t="s">
        <v>2491</v>
      </c>
      <c r="BE46" s="209" t="s">
        <v>2492</v>
      </c>
      <c r="BF46" s="209"/>
      <c r="BG46" s="208"/>
      <c r="BH46" s="213"/>
      <c r="BI46" s="209" t="s">
        <v>2486</v>
      </c>
      <c r="BJ46" s="209"/>
      <c r="BK46" s="209" t="s">
        <v>2486</v>
      </c>
      <c r="BL46" s="209"/>
      <c r="BM46" s="209" t="s">
        <v>2776</v>
      </c>
      <c r="BN46" s="209" t="s">
        <v>2777</v>
      </c>
      <c r="BO46" s="214" t="s">
        <v>2498</v>
      </c>
      <c r="BP46" s="208" t="s">
        <v>2486</v>
      </c>
      <c r="BQ46" s="209" t="s">
        <v>1477</v>
      </c>
      <c r="BR46" s="211" t="s">
        <v>144</v>
      </c>
      <c r="BS46" s="211"/>
      <c r="BT46" s="208" t="s">
        <v>2486</v>
      </c>
      <c r="BU46" s="209"/>
      <c r="BV46" s="210"/>
      <c r="BW46" s="208" t="s">
        <v>2497</v>
      </c>
      <c r="BX46" s="209"/>
      <c r="BY46" s="209" t="s">
        <v>2007</v>
      </c>
      <c r="BZ46" s="211"/>
      <c r="CA46" s="209"/>
      <c r="CB46" s="209"/>
      <c r="CC46" s="211"/>
      <c r="CD46" s="211"/>
      <c r="CE46" s="208"/>
      <c r="CF46" s="208"/>
      <c r="CG46" s="211"/>
      <c r="CH46" s="210"/>
      <c r="CI46" s="210"/>
      <c r="CJ46" s="209"/>
      <c r="CK46" s="208" t="s">
        <v>2486</v>
      </c>
      <c r="CL46" s="209"/>
      <c r="CM46" s="209"/>
      <c r="CN46" s="209"/>
      <c r="CO46" s="209"/>
      <c r="CP46" s="208"/>
      <c r="CQ46" s="209" t="s">
        <v>2486</v>
      </c>
      <c r="CR46" s="209"/>
      <c r="CS46" s="208"/>
      <c r="CT46" s="209" t="s">
        <v>2486</v>
      </c>
      <c r="CU46" s="209"/>
      <c r="CV46" s="215" t="s">
        <v>2498</v>
      </c>
      <c r="CW46" s="208"/>
      <c r="CX46" s="216"/>
      <c r="CY46" s="209" t="s">
        <v>2499</v>
      </c>
      <c r="CZ46" s="209"/>
      <c r="DA46" s="209" t="s">
        <v>2500</v>
      </c>
      <c r="DB46" s="209" t="s">
        <v>2500</v>
      </c>
      <c r="DC46" s="209"/>
      <c r="DD46" s="209"/>
      <c r="DE46" s="210"/>
      <c r="DF46" s="209"/>
      <c r="DG46" s="216"/>
      <c r="DH46" s="217">
        <v>935600</v>
      </c>
      <c r="DI46" s="208"/>
      <c r="DJ46" s="208"/>
      <c r="DK46" s="208"/>
      <c r="DL46" s="208"/>
      <c r="DM46" s="208"/>
      <c r="DN46" s="217">
        <v>0</v>
      </c>
      <c r="DO46" s="217">
        <v>0</v>
      </c>
      <c r="DP46" s="208" t="s">
        <v>2486</v>
      </c>
      <c r="DQ46" s="209"/>
      <c r="DR46" s="209"/>
      <c r="DS46" s="209" t="s">
        <v>2501</v>
      </c>
      <c r="DT46" s="209"/>
      <c r="DU46" s="209"/>
      <c r="DV46" s="209" t="s">
        <v>2502</v>
      </c>
      <c r="DW46" s="209" t="s">
        <v>2503</v>
      </c>
      <c r="DX46" s="209" t="s">
        <v>2498</v>
      </c>
    </row>
    <row r="47" spans="1:128" ht="19.5" customHeight="1">
      <c r="A47" s="206"/>
      <c r="B47" s="207" t="s">
        <v>2806</v>
      </c>
      <c r="C47" s="208"/>
      <c r="D47" s="208"/>
      <c r="E47" s="207" t="s">
        <v>2807</v>
      </c>
      <c r="F47" s="207" t="s">
        <v>2808</v>
      </c>
      <c r="G47" s="209" t="s">
        <v>2809</v>
      </c>
      <c r="H47" s="207" t="s">
        <v>2561</v>
      </c>
      <c r="I47" s="207" t="s">
        <v>2477</v>
      </c>
      <c r="J47" s="209" t="s">
        <v>2478</v>
      </c>
      <c r="K47" s="210">
        <v>46177</v>
      </c>
      <c r="L47" s="208" t="s">
        <v>2588</v>
      </c>
      <c r="M47" s="209" t="s">
        <v>2615</v>
      </c>
      <c r="N47" s="208" t="s">
        <v>2615</v>
      </c>
      <c r="O47" s="208" t="s">
        <v>2329</v>
      </c>
      <c r="P47" s="208" t="s">
        <v>2616</v>
      </c>
      <c r="Q47" s="208" t="s">
        <v>1415</v>
      </c>
      <c r="R47" s="208" t="s">
        <v>104</v>
      </c>
      <c r="S47" s="208" t="s">
        <v>104</v>
      </c>
      <c r="T47" s="211" t="s">
        <v>2617</v>
      </c>
      <c r="U47" s="208" t="s">
        <v>1247</v>
      </c>
      <c r="V47" s="208" t="s">
        <v>2563</v>
      </c>
      <c r="W47" s="209" t="s">
        <v>2484</v>
      </c>
      <c r="X47" s="208"/>
      <c r="Y47" s="208" t="s">
        <v>2485</v>
      </c>
      <c r="Z47" s="208"/>
      <c r="AA47" s="209"/>
      <c r="AB47" s="209" t="s">
        <v>2810</v>
      </c>
      <c r="AC47" s="209" t="s">
        <v>2811</v>
      </c>
      <c r="AD47" s="209" t="s">
        <v>2812</v>
      </c>
      <c r="AE47" s="209" t="s">
        <v>2813</v>
      </c>
      <c r="AF47" s="210"/>
      <c r="AG47" s="210"/>
      <c r="AH47" s="210"/>
      <c r="AI47" s="208"/>
      <c r="AJ47" s="208"/>
      <c r="AK47" s="208" t="s">
        <v>2486</v>
      </c>
      <c r="AL47" s="208"/>
      <c r="AM47" s="210"/>
      <c r="AN47" s="210"/>
      <c r="AO47" s="208"/>
      <c r="AP47" s="208" t="s">
        <v>2486</v>
      </c>
      <c r="AQ47" s="208" t="s">
        <v>2487</v>
      </c>
      <c r="AR47" s="209"/>
      <c r="AS47" s="209" t="s">
        <v>2488</v>
      </c>
      <c r="AT47" s="209" t="s">
        <v>2486</v>
      </c>
      <c r="AU47" s="209"/>
      <c r="AV47" s="212">
        <v>0</v>
      </c>
      <c r="AW47" s="208"/>
      <c r="AX47" s="209" t="s">
        <v>2486</v>
      </c>
      <c r="AY47" s="209" t="s">
        <v>2489</v>
      </c>
      <c r="AZ47" s="209" t="s">
        <v>2490</v>
      </c>
      <c r="BA47" s="209"/>
      <c r="BB47" s="209"/>
      <c r="BC47" s="209" t="s">
        <v>2478</v>
      </c>
      <c r="BD47" s="209" t="s">
        <v>2491</v>
      </c>
      <c r="BE47" s="209" t="s">
        <v>2492</v>
      </c>
      <c r="BF47" s="209" t="s">
        <v>2486</v>
      </c>
      <c r="BG47" s="208"/>
      <c r="BH47" s="213"/>
      <c r="BI47" s="209" t="s">
        <v>2814</v>
      </c>
      <c r="BJ47" s="209" t="s">
        <v>2815</v>
      </c>
      <c r="BK47" s="209" t="s">
        <v>2486</v>
      </c>
      <c r="BL47" s="209"/>
      <c r="BM47" s="209" t="s">
        <v>2624</v>
      </c>
      <c r="BN47" s="209" t="s">
        <v>2625</v>
      </c>
      <c r="BO47" s="214" t="s">
        <v>2498</v>
      </c>
      <c r="BP47" s="208" t="s">
        <v>2486</v>
      </c>
      <c r="BQ47" s="209" t="s">
        <v>1477</v>
      </c>
      <c r="BR47" s="211" t="s">
        <v>144</v>
      </c>
      <c r="BS47" s="211"/>
      <c r="BT47" s="208" t="s">
        <v>2486</v>
      </c>
      <c r="BU47" s="209"/>
      <c r="BV47" s="210"/>
      <c r="BW47" s="208" t="s">
        <v>2497</v>
      </c>
      <c r="BX47" s="209"/>
      <c r="BY47" s="209" t="s">
        <v>1996</v>
      </c>
      <c r="BZ47" s="211"/>
      <c r="CA47" s="209"/>
      <c r="CB47" s="209"/>
      <c r="CC47" s="211"/>
      <c r="CD47" s="211"/>
      <c r="CE47" s="208"/>
      <c r="CF47" s="208"/>
      <c r="CG47" s="211"/>
      <c r="CH47" s="210"/>
      <c r="CI47" s="210"/>
      <c r="CJ47" s="209"/>
      <c r="CK47" s="208" t="s">
        <v>2486</v>
      </c>
      <c r="CL47" s="209"/>
      <c r="CM47" s="209"/>
      <c r="CN47" s="209"/>
      <c r="CO47" s="209"/>
      <c r="CP47" s="208" t="s">
        <v>1812</v>
      </c>
      <c r="CQ47" s="209" t="s">
        <v>2814</v>
      </c>
      <c r="CR47" s="209"/>
      <c r="CS47" s="208"/>
      <c r="CT47" s="209" t="s">
        <v>2486</v>
      </c>
      <c r="CU47" s="209"/>
      <c r="CV47" s="215" t="s">
        <v>2498</v>
      </c>
      <c r="CW47" s="208"/>
      <c r="CX47" s="216"/>
      <c r="CY47" s="209" t="s">
        <v>2499</v>
      </c>
      <c r="CZ47" s="209"/>
      <c r="DA47" s="209" t="s">
        <v>2500</v>
      </c>
      <c r="DB47" s="209" t="s">
        <v>2500</v>
      </c>
      <c r="DC47" s="209" t="s">
        <v>2626</v>
      </c>
      <c r="DD47" s="209"/>
      <c r="DE47" s="210"/>
      <c r="DF47" s="209"/>
      <c r="DG47" s="216"/>
      <c r="DH47" s="217">
        <v>1023500</v>
      </c>
      <c r="DI47" s="208"/>
      <c r="DJ47" s="208"/>
      <c r="DK47" s="208"/>
      <c r="DL47" s="208"/>
      <c r="DM47" s="208"/>
      <c r="DN47" s="217">
        <v>0</v>
      </c>
      <c r="DO47" s="217">
        <v>0</v>
      </c>
      <c r="DP47" s="208" t="s">
        <v>2486</v>
      </c>
      <c r="DQ47" s="209"/>
      <c r="DR47" s="209"/>
      <c r="DS47" s="209" t="s">
        <v>2501</v>
      </c>
      <c r="DT47" s="209"/>
      <c r="DU47" s="209"/>
      <c r="DV47" s="209" t="s">
        <v>2502</v>
      </c>
      <c r="DW47" s="209" t="s">
        <v>2503</v>
      </c>
      <c r="DX47" s="209" t="s">
        <v>2498</v>
      </c>
    </row>
    <row r="48" spans="1:128" ht="19.5" customHeight="1">
      <c r="A48" s="206"/>
      <c r="B48" s="207" t="s">
        <v>2816</v>
      </c>
      <c r="C48" s="208"/>
      <c r="D48" s="208"/>
      <c r="E48" s="207" t="s">
        <v>2817</v>
      </c>
      <c r="F48" s="207" t="s">
        <v>2818</v>
      </c>
      <c r="G48" s="209" t="s">
        <v>2819</v>
      </c>
      <c r="H48" s="207" t="s">
        <v>2561</v>
      </c>
      <c r="I48" s="207" t="s">
        <v>2477</v>
      </c>
      <c r="J48" s="209" t="s">
        <v>2478</v>
      </c>
      <c r="K48" s="210">
        <v>46177</v>
      </c>
      <c r="L48" s="208" t="s">
        <v>2508</v>
      </c>
      <c r="M48" s="209" t="s">
        <v>2615</v>
      </c>
      <c r="N48" s="208" t="s">
        <v>2615</v>
      </c>
      <c r="O48" s="208" t="s">
        <v>2329</v>
      </c>
      <c r="P48" s="208" t="s">
        <v>2616</v>
      </c>
      <c r="Q48" s="208" t="s">
        <v>1415</v>
      </c>
      <c r="R48" s="208" t="s">
        <v>104</v>
      </c>
      <c r="S48" s="208" t="s">
        <v>104</v>
      </c>
      <c r="T48" s="211" t="s">
        <v>2617</v>
      </c>
      <c r="U48" s="208" t="s">
        <v>1247</v>
      </c>
      <c r="V48" s="208" t="s">
        <v>2563</v>
      </c>
      <c r="W48" s="209" t="s">
        <v>2484</v>
      </c>
      <c r="X48" s="208"/>
      <c r="Y48" s="208" t="s">
        <v>2485</v>
      </c>
      <c r="Z48" s="208"/>
      <c r="AA48" s="209"/>
      <c r="AB48" s="209" t="s">
        <v>2820</v>
      </c>
      <c r="AC48" s="209" t="s">
        <v>2821</v>
      </c>
      <c r="AD48" s="209" t="s">
        <v>2822</v>
      </c>
      <c r="AE48" s="209" t="s">
        <v>2823</v>
      </c>
      <c r="AF48" s="210"/>
      <c r="AG48" s="210"/>
      <c r="AH48" s="210"/>
      <c r="AI48" s="208"/>
      <c r="AJ48" s="208"/>
      <c r="AK48" s="208" t="s">
        <v>2486</v>
      </c>
      <c r="AL48" s="208"/>
      <c r="AM48" s="210"/>
      <c r="AN48" s="210"/>
      <c r="AO48" s="208"/>
      <c r="AP48" s="208" t="s">
        <v>2486</v>
      </c>
      <c r="AQ48" s="208" t="s">
        <v>2487</v>
      </c>
      <c r="AR48" s="209"/>
      <c r="AS48" s="209" t="s">
        <v>2488</v>
      </c>
      <c r="AT48" s="209" t="s">
        <v>2486</v>
      </c>
      <c r="AU48" s="209"/>
      <c r="AV48" s="212">
        <v>0</v>
      </c>
      <c r="AW48" s="208"/>
      <c r="AX48" s="209" t="s">
        <v>2486</v>
      </c>
      <c r="AY48" s="209" t="s">
        <v>2489</v>
      </c>
      <c r="AZ48" s="209" t="s">
        <v>2490</v>
      </c>
      <c r="BA48" s="209"/>
      <c r="BB48" s="209"/>
      <c r="BC48" s="209" t="s">
        <v>2478</v>
      </c>
      <c r="BD48" s="209" t="s">
        <v>2491</v>
      </c>
      <c r="BE48" s="209" t="s">
        <v>2492</v>
      </c>
      <c r="BF48" s="209" t="s">
        <v>2486</v>
      </c>
      <c r="BG48" s="208"/>
      <c r="BH48" s="213"/>
      <c r="BI48" s="209" t="s">
        <v>2814</v>
      </c>
      <c r="BJ48" s="209" t="s">
        <v>2824</v>
      </c>
      <c r="BK48" s="209" t="s">
        <v>2486</v>
      </c>
      <c r="BL48" s="209"/>
      <c r="BM48" s="209" t="s">
        <v>2624</v>
      </c>
      <c r="BN48" s="209" t="s">
        <v>2625</v>
      </c>
      <c r="BO48" s="214" t="s">
        <v>2498</v>
      </c>
      <c r="BP48" s="208" t="s">
        <v>2486</v>
      </c>
      <c r="BQ48" s="209" t="s">
        <v>1477</v>
      </c>
      <c r="BR48" s="211" t="s">
        <v>144</v>
      </c>
      <c r="BS48" s="211"/>
      <c r="BT48" s="208" t="s">
        <v>2486</v>
      </c>
      <c r="BU48" s="209"/>
      <c r="BV48" s="210"/>
      <c r="BW48" s="208" t="s">
        <v>2497</v>
      </c>
      <c r="BX48" s="209"/>
      <c r="BY48" s="209" t="s">
        <v>1996</v>
      </c>
      <c r="BZ48" s="211"/>
      <c r="CA48" s="209"/>
      <c r="CB48" s="209"/>
      <c r="CC48" s="211"/>
      <c r="CD48" s="211"/>
      <c r="CE48" s="208"/>
      <c r="CF48" s="208"/>
      <c r="CG48" s="211"/>
      <c r="CH48" s="210"/>
      <c r="CI48" s="210"/>
      <c r="CJ48" s="209"/>
      <c r="CK48" s="208" t="s">
        <v>2486</v>
      </c>
      <c r="CL48" s="209"/>
      <c r="CM48" s="209"/>
      <c r="CN48" s="209"/>
      <c r="CO48" s="209"/>
      <c r="CP48" s="208" t="s">
        <v>1812</v>
      </c>
      <c r="CQ48" s="209" t="s">
        <v>2814</v>
      </c>
      <c r="CR48" s="209"/>
      <c r="CS48" s="208"/>
      <c r="CT48" s="209" t="s">
        <v>2486</v>
      </c>
      <c r="CU48" s="209"/>
      <c r="CV48" s="215" t="s">
        <v>2498</v>
      </c>
      <c r="CW48" s="208"/>
      <c r="CX48" s="216"/>
      <c r="CY48" s="209" t="s">
        <v>2499</v>
      </c>
      <c r="CZ48" s="209"/>
      <c r="DA48" s="209" t="s">
        <v>2500</v>
      </c>
      <c r="DB48" s="209" t="s">
        <v>2500</v>
      </c>
      <c r="DC48" s="209" t="s">
        <v>2626</v>
      </c>
      <c r="DD48" s="209"/>
      <c r="DE48" s="210"/>
      <c r="DF48" s="209"/>
      <c r="DG48" s="216"/>
      <c r="DH48" s="217">
        <v>1023500</v>
      </c>
      <c r="DI48" s="208"/>
      <c r="DJ48" s="208"/>
      <c r="DK48" s="208"/>
      <c r="DL48" s="208"/>
      <c r="DM48" s="208"/>
      <c r="DN48" s="217">
        <v>0</v>
      </c>
      <c r="DO48" s="217">
        <v>0</v>
      </c>
      <c r="DP48" s="208" t="s">
        <v>2486</v>
      </c>
      <c r="DQ48" s="209"/>
      <c r="DR48" s="209"/>
      <c r="DS48" s="209" t="s">
        <v>2501</v>
      </c>
      <c r="DT48" s="209"/>
      <c r="DU48" s="209"/>
      <c r="DV48" s="209" t="s">
        <v>2502</v>
      </c>
      <c r="DW48" s="209" t="s">
        <v>2503</v>
      </c>
      <c r="DX48" s="209" t="s">
        <v>2498</v>
      </c>
    </row>
    <row r="49" spans="1:128" ht="19.5" customHeight="1">
      <c r="A49" s="206"/>
      <c r="B49" s="207" t="s">
        <v>2825</v>
      </c>
      <c r="C49" s="208"/>
      <c r="D49" s="208"/>
      <c r="E49" s="207" t="s">
        <v>2826</v>
      </c>
      <c r="F49" s="207" t="s">
        <v>2827</v>
      </c>
      <c r="G49" s="209" t="s">
        <v>2828</v>
      </c>
      <c r="H49" s="207" t="s">
        <v>2561</v>
      </c>
      <c r="I49" s="207" t="s">
        <v>2477</v>
      </c>
      <c r="J49" s="209" t="s">
        <v>2478</v>
      </c>
      <c r="K49" s="210">
        <v>46177</v>
      </c>
      <c r="L49" s="208" t="s">
        <v>2525</v>
      </c>
      <c r="M49" s="209" t="s">
        <v>2615</v>
      </c>
      <c r="N49" s="208" t="s">
        <v>2615</v>
      </c>
      <c r="O49" s="208" t="s">
        <v>2329</v>
      </c>
      <c r="P49" s="208" t="s">
        <v>2616</v>
      </c>
      <c r="Q49" s="208" t="s">
        <v>1415</v>
      </c>
      <c r="R49" s="208" t="s">
        <v>104</v>
      </c>
      <c r="S49" s="208" t="s">
        <v>104</v>
      </c>
      <c r="T49" s="211" t="s">
        <v>2617</v>
      </c>
      <c r="U49" s="208" t="s">
        <v>1247</v>
      </c>
      <c r="V49" s="208" t="s">
        <v>2563</v>
      </c>
      <c r="W49" s="209" t="s">
        <v>2484</v>
      </c>
      <c r="X49" s="208"/>
      <c r="Y49" s="208" t="s">
        <v>2485</v>
      </c>
      <c r="Z49" s="208"/>
      <c r="AA49" s="209"/>
      <c r="AB49" s="209" t="s">
        <v>2829</v>
      </c>
      <c r="AC49" s="209" t="s">
        <v>2830</v>
      </c>
      <c r="AD49" s="209" t="s">
        <v>2831</v>
      </c>
      <c r="AE49" s="209" t="s">
        <v>2832</v>
      </c>
      <c r="AF49" s="210"/>
      <c r="AG49" s="210"/>
      <c r="AH49" s="210"/>
      <c r="AI49" s="208"/>
      <c r="AJ49" s="208"/>
      <c r="AK49" s="208" t="s">
        <v>2486</v>
      </c>
      <c r="AL49" s="208"/>
      <c r="AM49" s="210"/>
      <c r="AN49" s="210"/>
      <c r="AO49" s="208"/>
      <c r="AP49" s="208" t="s">
        <v>2486</v>
      </c>
      <c r="AQ49" s="208" t="s">
        <v>2487</v>
      </c>
      <c r="AR49" s="209"/>
      <c r="AS49" s="209" t="s">
        <v>2488</v>
      </c>
      <c r="AT49" s="209" t="s">
        <v>2486</v>
      </c>
      <c r="AU49" s="209"/>
      <c r="AV49" s="212">
        <v>0</v>
      </c>
      <c r="AW49" s="208"/>
      <c r="AX49" s="209" t="s">
        <v>2486</v>
      </c>
      <c r="AY49" s="209" t="s">
        <v>2489</v>
      </c>
      <c r="AZ49" s="209" t="s">
        <v>2490</v>
      </c>
      <c r="BA49" s="209"/>
      <c r="BB49" s="209"/>
      <c r="BC49" s="209" t="s">
        <v>2478</v>
      </c>
      <c r="BD49" s="209" t="s">
        <v>2491</v>
      </c>
      <c r="BE49" s="209" t="s">
        <v>2492</v>
      </c>
      <c r="BF49" s="209" t="s">
        <v>2486</v>
      </c>
      <c r="BG49" s="208"/>
      <c r="BH49" s="213"/>
      <c r="BI49" s="209" t="s">
        <v>2814</v>
      </c>
      <c r="BJ49" s="209" t="s">
        <v>2833</v>
      </c>
      <c r="BK49" s="209" t="s">
        <v>2486</v>
      </c>
      <c r="BL49" s="209"/>
      <c r="BM49" s="209" t="s">
        <v>2624</v>
      </c>
      <c r="BN49" s="209" t="s">
        <v>2625</v>
      </c>
      <c r="BO49" s="214" t="s">
        <v>2498</v>
      </c>
      <c r="BP49" s="208" t="s">
        <v>2486</v>
      </c>
      <c r="BQ49" s="209" t="s">
        <v>1477</v>
      </c>
      <c r="BR49" s="211" t="s">
        <v>144</v>
      </c>
      <c r="BS49" s="211"/>
      <c r="BT49" s="208" t="s">
        <v>2486</v>
      </c>
      <c r="BU49" s="209"/>
      <c r="BV49" s="210"/>
      <c r="BW49" s="208" t="s">
        <v>2497</v>
      </c>
      <c r="BX49" s="209" t="s">
        <v>2834</v>
      </c>
      <c r="BY49" s="209" t="s">
        <v>1996</v>
      </c>
      <c r="BZ49" s="211"/>
      <c r="CA49" s="209"/>
      <c r="CB49" s="209"/>
      <c r="CC49" s="211"/>
      <c r="CD49" s="211"/>
      <c r="CE49" s="208"/>
      <c r="CF49" s="208"/>
      <c r="CG49" s="211"/>
      <c r="CH49" s="210"/>
      <c r="CI49" s="210"/>
      <c r="CJ49" s="209"/>
      <c r="CK49" s="208" t="s">
        <v>2486</v>
      </c>
      <c r="CL49" s="209"/>
      <c r="CM49" s="209"/>
      <c r="CN49" s="209"/>
      <c r="CO49" s="209"/>
      <c r="CP49" s="208" t="s">
        <v>1812</v>
      </c>
      <c r="CQ49" s="209" t="s">
        <v>2814</v>
      </c>
      <c r="CR49" s="209"/>
      <c r="CS49" s="208"/>
      <c r="CT49" s="209" t="s">
        <v>2486</v>
      </c>
      <c r="CU49" s="209"/>
      <c r="CV49" s="215" t="s">
        <v>2498</v>
      </c>
      <c r="CW49" s="208"/>
      <c r="CX49" s="216"/>
      <c r="CY49" s="209" t="s">
        <v>2499</v>
      </c>
      <c r="CZ49" s="209"/>
      <c r="DA49" s="209" t="s">
        <v>2500</v>
      </c>
      <c r="DB49" s="209" t="s">
        <v>2500</v>
      </c>
      <c r="DC49" s="209" t="s">
        <v>2626</v>
      </c>
      <c r="DD49" s="209"/>
      <c r="DE49" s="210"/>
      <c r="DF49" s="209"/>
      <c r="DG49" s="216"/>
      <c r="DH49" s="217">
        <v>1023500</v>
      </c>
      <c r="DI49" s="208"/>
      <c r="DJ49" s="208"/>
      <c r="DK49" s="208"/>
      <c r="DL49" s="208"/>
      <c r="DM49" s="208"/>
      <c r="DN49" s="217">
        <v>0</v>
      </c>
      <c r="DO49" s="217">
        <v>0</v>
      </c>
      <c r="DP49" s="208" t="s">
        <v>2486</v>
      </c>
      <c r="DQ49" s="209"/>
      <c r="DR49" s="209"/>
      <c r="DS49" s="209" t="s">
        <v>2501</v>
      </c>
      <c r="DT49" s="209"/>
      <c r="DU49" s="209"/>
      <c r="DV49" s="209" t="s">
        <v>2502</v>
      </c>
      <c r="DW49" s="209" t="s">
        <v>2503</v>
      </c>
      <c r="DX49" s="209" t="s">
        <v>2498</v>
      </c>
    </row>
    <row r="50" spans="1:128" ht="19.5" customHeight="1">
      <c r="A50" s="206"/>
      <c r="B50" s="207" t="s">
        <v>2835</v>
      </c>
      <c r="C50" s="208"/>
      <c r="D50" s="208"/>
      <c r="E50" s="207" t="s">
        <v>2836</v>
      </c>
      <c r="F50" s="207" t="s">
        <v>2837</v>
      </c>
      <c r="G50" s="209" t="s">
        <v>2838</v>
      </c>
      <c r="H50" s="207" t="s">
        <v>2561</v>
      </c>
      <c r="I50" s="207" t="s">
        <v>2477</v>
      </c>
      <c r="J50" s="209" t="s">
        <v>2478</v>
      </c>
      <c r="K50" s="210">
        <v>46177</v>
      </c>
      <c r="L50" s="208" t="s">
        <v>2551</v>
      </c>
      <c r="M50" s="209" t="s">
        <v>2615</v>
      </c>
      <c r="N50" s="208" t="s">
        <v>2615</v>
      </c>
      <c r="O50" s="208" t="s">
        <v>2329</v>
      </c>
      <c r="P50" s="208" t="s">
        <v>2616</v>
      </c>
      <c r="Q50" s="208" t="s">
        <v>1415</v>
      </c>
      <c r="R50" s="208" t="s">
        <v>104</v>
      </c>
      <c r="S50" s="208" t="s">
        <v>104</v>
      </c>
      <c r="T50" s="211" t="s">
        <v>2617</v>
      </c>
      <c r="U50" s="208" t="s">
        <v>1247</v>
      </c>
      <c r="V50" s="208" t="s">
        <v>2563</v>
      </c>
      <c r="W50" s="209" t="s">
        <v>2484</v>
      </c>
      <c r="X50" s="208"/>
      <c r="Y50" s="208" t="s">
        <v>2485</v>
      </c>
      <c r="Z50" s="208"/>
      <c r="AA50" s="209"/>
      <c r="AB50" s="209" t="s">
        <v>2839</v>
      </c>
      <c r="AC50" s="209" t="s">
        <v>2840</v>
      </c>
      <c r="AD50" s="209" t="s">
        <v>2841</v>
      </c>
      <c r="AE50" s="209" t="s">
        <v>2842</v>
      </c>
      <c r="AF50" s="210"/>
      <c r="AG50" s="210"/>
      <c r="AH50" s="210"/>
      <c r="AI50" s="208"/>
      <c r="AJ50" s="208"/>
      <c r="AK50" s="208" t="s">
        <v>2486</v>
      </c>
      <c r="AL50" s="208"/>
      <c r="AM50" s="210"/>
      <c r="AN50" s="210"/>
      <c r="AO50" s="208"/>
      <c r="AP50" s="208" t="s">
        <v>2486</v>
      </c>
      <c r="AQ50" s="208" t="s">
        <v>2487</v>
      </c>
      <c r="AR50" s="209"/>
      <c r="AS50" s="209" t="s">
        <v>2488</v>
      </c>
      <c r="AT50" s="209" t="s">
        <v>2486</v>
      </c>
      <c r="AU50" s="209"/>
      <c r="AV50" s="212">
        <v>0</v>
      </c>
      <c r="AW50" s="208"/>
      <c r="AX50" s="209" t="s">
        <v>2486</v>
      </c>
      <c r="AY50" s="209" t="s">
        <v>2489</v>
      </c>
      <c r="AZ50" s="209" t="s">
        <v>2490</v>
      </c>
      <c r="BA50" s="209"/>
      <c r="BB50" s="209"/>
      <c r="BC50" s="209" t="s">
        <v>2478</v>
      </c>
      <c r="BD50" s="209" t="s">
        <v>2491</v>
      </c>
      <c r="BE50" s="209" t="s">
        <v>2492</v>
      </c>
      <c r="BF50" s="209" t="s">
        <v>2486</v>
      </c>
      <c r="BG50" s="208"/>
      <c r="BH50" s="213"/>
      <c r="BI50" s="209" t="s">
        <v>2814</v>
      </c>
      <c r="BJ50" s="209" t="s">
        <v>2843</v>
      </c>
      <c r="BK50" s="209" t="s">
        <v>2486</v>
      </c>
      <c r="BL50" s="209"/>
      <c r="BM50" s="209" t="s">
        <v>2624</v>
      </c>
      <c r="BN50" s="209" t="s">
        <v>2625</v>
      </c>
      <c r="BO50" s="214" t="s">
        <v>2498</v>
      </c>
      <c r="BP50" s="208" t="s">
        <v>2486</v>
      </c>
      <c r="BQ50" s="209" t="s">
        <v>1477</v>
      </c>
      <c r="BR50" s="211" t="s">
        <v>144</v>
      </c>
      <c r="BS50" s="211"/>
      <c r="BT50" s="208" t="s">
        <v>2486</v>
      </c>
      <c r="BU50" s="209"/>
      <c r="BV50" s="210"/>
      <c r="BW50" s="208" t="s">
        <v>2497</v>
      </c>
      <c r="BX50" s="209" t="s">
        <v>2844</v>
      </c>
      <c r="BY50" s="209" t="s">
        <v>1996</v>
      </c>
      <c r="BZ50" s="211"/>
      <c r="CA50" s="209"/>
      <c r="CB50" s="209"/>
      <c r="CC50" s="211"/>
      <c r="CD50" s="211"/>
      <c r="CE50" s="208"/>
      <c r="CF50" s="208"/>
      <c r="CG50" s="211"/>
      <c r="CH50" s="210"/>
      <c r="CI50" s="210"/>
      <c r="CJ50" s="209"/>
      <c r="CK50" s="208" t="s">
        <v>2486</v>
      </c>
      <c r="CL50" s="209"/>
      <c r="CM50" s="209"/>
      <c r="CN50" s="209"/>
      <c r="CO50" s="209"/>
      <c r="CP50" s="208" t="s">
        <v>1812</v>
      </c>
      <c r="CQ50" s="209" t="s">
        <v>2814</v>
      </c>
      <c r="CR50" s="209"/>
      <c r="CS50" s="208"/>
      <c r="CT50" s="209" t="s">
        <v>2486</v>
      </c>
      <c r="CU50" s="209"/>
      <c r="CV50" s="215" t="s">
        <v>2498</v>
      </c>
      <c r="CW50" s="208"/>
      <c r="CX50" s="216"/>
      <c r="CY50" s="209" t="s">
        <v>2499</v>
      </c>
      <c r="CZ50" s="209"/>
      <c r="DA50" s="209" t="s">
        <v>2500</v>
      </c>
      <c r="DB50" s="209" t="s">
        <v>2500</v>
      </c>
      <c r="DC50" s="209" t="s">
        <v>2626</v>
      </c>
      <c r="DD50" s="209"/>
      <c r="DE50" s="210"/>
      <c r="DF50" s="209"/>
      <c r="DG50" s="216"/>
      <c r="DH50" s="217">
        <v>1023500</v>
      </c>
      <c r="DI50" s="208"/>
      <c r="DJ50" s="208"/>
      <c r="DK50" s="208"/>
      <c r="DL50" s="208"/>
      <c r="DM50" s="208"/>
      <c r="DN50" s="217">
        <v>0</v>
      </c>
      <c r="DO50" s="217">
        <v>0</v>
      </c>
      <c r="DP50" s="208" t="s">
        <v>2486</v>
      </c>
      <c r="DQ50" s="209"/>
      <c r="DR50" s="209"/>
      <c r="DS50" s="209" t="s">
        <v>2501</v>
      </c>
      <c r="DT50" s="209"/>
      <c r="DU50" s="209"/>
      <c r="DV50" s="209" t="s">
        <v>2502</v>
      </c>
      <c r="DW50" s="209" t="s">
        <v>2503</v>
      </c>
      <c r="DX50" s="209" t="s">
        <v>2498</v>
      </c>
    </row>
    <row r="51" spans="1:128" ht="19.5" customHeight="1">
      <c r="A51" s="206"/>
      <c r="B51" s="207" t="s">
        <v>2845</v>
      </c>
      <c r="C51" s="208"/>
      <c r="D51" s="208"/>
      <c r="E51" s="207" t="s">
        <v>2846</v>
      </c>
      <c r="F51" s="207" t="s">
        <v>2847</v>
      </c>
      <c r="G51" s="209" t="s">
        <v>2848</v>
      </c>
      <c r="H51" s="207" t="s">
        <v>2561</v>
      </c>
      <c r="I51" s="207" t="s">
        <v>2477</v>
      </c>
      <c r="J51" s="209" t="s">
        <v>2478</v>
      </c>
      <c r="K51" s="210">
        <v>46177</v>
      </c>
      <c r="L51" s="208" t="s">
        <v>2588</v>
      </c>
      <c r="M51" s="209" t="s">
        <v>2615</v>
      </c>
      <c r="N51" s="208" t="s">
        <v>2615</v>
      </c>
      <c r="O51" s="208" t="s">
        <v>2329</v>
      </c>
      <c r="P51" s="208" t="s">
        <v>2616</v>
      </c>
      <c r="Q51" s="208" t="s">
        <v>1415</v>
      </c>
      <c r="R51" s="208" t="s">
        <v>104</v>
      </c>
      <c r="S51" s="208" t="s">
        <v>104</v>
      </c>
      <c r="T51" s="211" t="s">
        <v>2617</v>
      </c>
      <c r="U51" s="208" t="s">
        <v>119</v>
      </c>
      <c r="V51" s="208" t="s">
        <v>2563</v>
      </c>
      <c r="W51" s="209" t="s">
        <v>2484</v>
      </c>
      <c r="X51" s="208"/>
      <c r="Y51" s="208" t="s">
        <v>2485</v>
      </c>
      <c r="Z51" s="208"/>
      <c r="AA51" s="209"/>
      <c r="AB51" s="209" t="s">
        <v>2849</v>
      </c>
      <c r="AC51" s="209" t="s">
        <v>2850</v>
      </c>
      <c r="AD51" s="209" t="s">
        <v>2851</v>
      </c>
      <c r="AE51" s="209" t="s">
        <v>2852</v>
      </c>
      <c r="AF51" s="210"/>
      <c r="AG51" s="210"/>
      <c r="AH51" s="210"/>
      <c r="AI51" s="208"/>
      <c r="AJ51" s="208"/>
      <c r="AK51" s="208" t="s">
        <v>2486</v>
      </c>
      <c r="AL51" s="208"/>
      <c r="AM51" s="210"/>
      <c r="AN51" s="210"/>
      <c r="AO51" s="208"/>
      <c r="AP51" s="208" t="s">
        <v>2486</v>
      </c>
      <c r="AQ51" s="208" t="s">
        <v>2487</v>
      </c>
      <c r="AR51" s="209"/>
      <c r="AS51" s="209" t="s">
        <v>2488</v>
      </c>
      <c r="AT51" s="209" t="s">
        <v>2486</v>
      </c>
      <c r="AU51" s="209"/>
      <c r="AV51" s="212">
        <v>0</v>
      </c>
      <c r="AW51" s="208"/>
      <c r="AX51" s="209" t="s">
        <v>2486</v>
      </c>
      <c r="AY51" s="209" t="s">
        <v>2489</v>
      </c>
      <c r="AZ51" s="209" t="s">
        <v>2490</v>
      </c>
      <c r="BA51" s="209"/>
      <c r="BB51" s="209"/>
      <c r="BC51" s="209" t="s">
        <v>2478</v>
      </c>
      <c r="BD51" s="209" t="s">
        <v>2491</v>
      </c>
      <c r="BE51" s="209" t="s">
        <v>2492</v>
      </c>
      <c r="BF51" s="209" t="s">
        <v>2486</v>
      </c>
      <c r="BG51" s="208"/>
      <c r="BH51" s="213"/>
      <c r="BI51" s="209" t="s">
        <v>2814</v>
      </c>
      <c r="BJ51" s="209" t="s">
        <v>2853</v>
      </c>
      <c r="BK51" s="209" t="s">
        <v>2814</v>
      </c>
      <c r="BL51" s="209"/>
      <c r="BM51" s="209" t="s">
        <v>2624</v>
      </c>
      <c r="BN51" s="209" t="s">
        <v>2625</v>
      </c>
      <c r="BO51" s="214" t="s">
        <v>2498</v>
      </c>
      <c r="BP51" s="208" t="s">
        <v>2486</v>
      </c>
      <c r="BQ51" s="209" t="s">
        <v>1477</v>
      </c>
      <c r="BR51" s="211" t="s">
        <v>144</v>
      </c>
      <c r="BS51" s="211"/>
      <c r="BT51" s="208" t="s">
        <v>2486</v>
      </c>
      <c r="BU51" s="209"/>
      <c r="BV51" s="210"/>
      <c r="BW51" s="208" t="s">
        <v>2497</v>
      </c>
      <c r="BX51" s="209" t="s">
        <v>2854</v>
      </c>
      <c r="BY51" s="209" t="s">
        <v>1996</v>
      </c>
      <c r="BZ51" s="211"/>
      <c r="CA51" s="209"/>
      <c r="CB51" s="209"/>
      <c r="CC51" s="211"/>
      <c r="CD51" s="211"/>
      <c r="CE51" s="208"/>
      <c r="CF51" s="208"/>
      <c r="CG51" s="211"/>
      <c r="CH51" s="210"/>
      <c r="CI51" s="210"/>
      <c r="CJ51" s="209"/>
      <c r="CK51" s="208" t="s">
        <v>2486</v>
      </c>
      <c r="CL51" s="209"/>
      <c r="CM51" s="209"/>
      <c r="CN51" s="209"/>
      <c r="CO51" s="209"/>
      <c r="CP51" s="208" t="s">
        <v>1812</v>
      </c>
      <c r="CQ51" s="209" t="s">
        <v>2814</v>
      </c>
      <c r="CR51" s="209"/>
      <c r="CS51" s="208"/>
      <c r="CT51" s="209" t="s">
        <v>2486</v>
      </c>
      <c r="CU51" s="209"/>
      <c r="CV51" s="215" t="s">
        <v>2498</v>
      </c>
      <c r="CW51" s="208"/>
      <c r="CX51" s="216"/>
      <c r="CY51" s="209" t="s">
        <v>2499</v>
      </c>
      <c r="CZ51" s="209"/>
      <c r="DA51" s="209" t="s">
        <v>2500</v>
      </c>
      <c r="DB51" s="209" t="s">
        <v>2500</v>
      </c>
      <c r="DC51" s="209" t="s">
        <v>2572</v>
      </c>
      <c r="DD51" s="209"/>
      <c r="DE51" s="210"/>
      <c r="DF51" s="209"/>
      <c r="DG51" s="216"/>
      <c r="DH51" s="217">
        <v>1023500</v>
      </c>
      <c r="DI51" s="208"/>
      <c r="DJ51" s="208"/>
      <c r="DK51" s="208"/>
      <c r="DL51" s="208"/>
      <c r="DM51" s="208"/>
      <c r="DN51" s="217">
        <v>0</v>
      </c>
      <c r="DO51" s="217">
        <v>0</v>
      </c>
      <c r="DP51" s="208" t="s">
        <v>2486</v>
      </c>
      <c r="DQ51" s="209"/>
      <c r="DR51" s="209"/>
      <c r="DS51" s="209" t="s">
        <v>2501</v>
      </c>
      <c r="DT51" s="209"/>
      <c r="DU51" s="209"/>
      <c r="DV51" s="209" t="s">
        <v>2502</v>
      </c>
      <c r="DW51" s="209" t="s">
        <v>2503</v>
      </c>
      <c r="DX51" s="209" t="s">
        <v>2498</v>
      </c>
    </row>
    <row r="52" spans="1:128" ht="19.5" customHeight="1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221"/>
      <c r="AW52" s="221"/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221"/>
      <c r="BY52" s="221"/>
      <c r="BZ52" s="221"/>
      <c r="CA52" s="221"/>
      <c r="CB52" s="221"/>
      <c r="CC52" s="221"/>
      <c r="CD52" s="221"/>
      <c r="CE52" s="221"/>
      <c r="CF52" s="221"/>
      <c r="CG52" s="221"/>
      <c r="CH52" s="221"/>
      <c r="CI52" s="221"/>
      <c r="CJ52" s="221"/>
      <c r="CK52" s="221"/>
      <c r="CL52" s="221"/>
      <c r="CM52" s="221"/>
      <c r="CN52" s="221"/>
      <c r="CO52" s="221"/>
      <c r="CP52" s="221"/>
      <c r="CQ52" s="221"/>
      <c r="CR52" s="221"/>
      <c r="CS52" s="221"/>
      <c r="CT52" s="221"/>
      <c r="CU52" s="221"/>
      <c r="CV52" s="221"/>
      <c r="CW52" s="221"/>
      <c r="CX52" s="221"/>
      <c r="CY52" s="221"/>
      <c r="CZ52" s="221"/>
      <c r="DA52" s="221"/>
      <c r="DB52" s="221"/>
      <c r="DC52" s="221"/>
      <c r="DD52" s="221"/>
      <c r="DE52" s="221"/>
      <c r="DF52" s="221"/>
      <c r="DG52" s="221"/>
      <c r="DH52" s="221"/>
      <c r="DI52" s="221"/>
      <c r="DJ52" s="221"/>
      <c r="DK52" s="221"/>
      <c r="DL52" s="221"/>
      <c r="DM52" s="221"/>
      <c r="DN52" s="221"/>
      <c r="DO52" s="221"/>
      <c r="DP52" s="221"/>
      <c r="DQ52" s="221"/>
      <c r="DR52" s="221"/>
      <c r="DS52" s="221"/>
      <c r="DT52" s="221"/>
      <c r="DU52" s="221"/>
      <c r="DV52" s="221"/>
      <c r="DW52" s="221"/>
      <c r="DX52" s="221"/>
    </row>
  </sheetData>
  <mergeCells count="6">
    <mergeCell ref="E4:E7"/>
    <mergeCell ref="H4:H7"/>
    <mergeCell ref="I4:I7"/>
    <mergeCell ref="E28:E29"/>
    <mergeCell ref="H28:H29"/>
    <mergeCell ref="I28:I29"/>
  </mergeCells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F9AB-44FC-46FA-A435-503917832E06}">
  <dimension ref="A1:AB201"/>
  <sheetViews>
    <sheetView tabSelected="1" workbookViewId="0"/>
  </sheetViews>
  <sheetFormatPr defaultRowHeight="16.5"/>
  <cols>
    <col min="1" max="1" width="7.5" bestFit="1" customWidth="1"/>
    <col min="2" max="2" width="9.375" bestFit="1" customWidth="1"/>
    <col min="3" max="3" width="13.875" bestFit="1" customWidth="1"/>
    <col min="4" max="4" width="10" bestFit="1" customWidth="1"/>
    <col min="5" max="5" width="11.25" bestFit="1" customWidth="1"/>
    <col min="6" max="6" width="17.25" bestFit="1" customWidth="1"/>
    <col min="7" max="7" width="12.75" bestFit="1" customWidth="1"/>
    <col min="8" max="8" width="11.25" bestFit="1" customWidth="1"/>
    <col min="9" max="9" width="9.375" bestFit="1" customWidth="1"/>
    <col min="10" max="10" width="7.5" bestFit="1" customWidth="1"/>
    <col min="11" max="11" width="9.625" bestFit="1" customWidth="1"/>
    <col min="12" max="12" width="13.375" bestFit="1" customWidth="1"/>
    <col min="13" max="13" width="14.625" bestFit="1" customWidth="1"/>
    <col min="14" max="14" width="7.5" bestFit="1" customWidth="1"/>
    <col min="15" max="15" width="13.5" bestFit="1" customWidth="1"/>
    <col min="16" max="16" width="9.375" bestFit="1" customWidth="1"/>
    <col min="17" max="17" width="29.75" bestFit="1" customWidth="1"/>
    <col min="18" max="19" width="4" bestFit="1" customWidth="1"/>
    <col min="20" max="20" width="8.75" bestFit="1" customWidth="1"/>
    <col min="21" max="21" width="15.875" bestFit="1" customWidth="1"/>
    <col min="22" max="22" width="16" bestFit="1" customWidth="1"/>
    <col min="23" max="23" width="7.5" bestFit="1" customWidth="1"/>
    <col min="24" max="24" width="16" bestFit="1" customWidth="1"/>
    <col min="25" max="25" width="16.375" bestFit="1" customWidth="1"/>
    <col min="26" max="26" width="24.125" bestFit="1" customWidth="1"/>
    <col min="27" max="27" width="25.25" bestFit="1" customWidth="1"/>
    <col min="28" max="28" width="17.625" bestFit="1" customWidth="1"/>
  </cols>
  <sheetData>
    <row r="1" spans="1:28" s="222" customFormat="1">
      <c r="A1" s="222" t="s">
        <v>2855</v>
      </c>
      <c r="B1" s="222" t="s">
        <v>2856</v>
      </c>
      <c r="C1" s="222" t="s">
        <v>2857</v>
      </c>
      <c r="D1" s="222" t="s">
        <v>519</v>
      </c>
      <c r="E1" s="222" t="s">
        <v>520</v>
      </c>
      <c r="F1" s="222" t="s">
        <v>521</v>
      </c>
      <c r="G1" s="222" t="s">
        <v>413</v>
      </c>
      <c r="H1" s="222" t="s">
        <v>522</v>
      </c>
      <c r="I1" s="222" t="s">
        <v>523</v>
      </c>
      <c r="J1" s="222" t="s">
        <v>524</v>
      </c>
      <c r="K1" s="222" t="s">
        <v>525</v>
      </c>
      <c r="L1" s="222" t="s">
        <v>2858</v>
      </c>
      <c r="M1" s="222" t="s">
        <v>526</v>
      </c>
      <c r="N1" s="222" t="s">
        <v>2859</v>
      </c>
      <c r="O1" s="222" t="s">
        <v>2860</v>
      </c>
      <c r="P1" s="222" t="s">
        <v>2861</v>
      </c>
      <c r="Q1" s="222" t="s">
        <v>2862</v>
      </c>
      <c r="R1" s="222">
        <v>20</v>
      </c>
      <c r="S1" s="222">
        <v>40</v>
      </c>
      <c r="T1" s="222" t="s">
        <v>527</v>
      </c>
      <c r="U1" s="222" t="s">
        <v>322</v>
      </c>
      <c r="V1" s="222" t="s">
        <v>323</v>
      </c>
      <c r="W1" s="222" t="s">
        <v>2863</v>
      </c>
      <c r="X1" s="222" t="s">
        <v>528</v>
      </c>
      <c r="Y1" s="222" t="s">
        <v>2864</v>
      </c>
      <c r="Z1" s="222" t="s">
        <v>2865</v>
      </c>
      <c r="AA1" s="222" t="s">
        <v>2866</v>
      </c>
      <c r="AB1" s="222" t="s">
        <v>2867</v>
      </c>
    </row>
    <row r="2" spans="1:28">
      <c r="A2">
        <v>1</v>
      </c>
      <c r="B2">
        <f>IFERROR(_xlfn.AGGREGATE(15,6,ROW(GLAPS컨테이너배차관리!$X$2:$X$20000)/(GLAPS컨테이너배차관리!$X$2:$X$20000&lt;&gt;""),A2),"")</f>
        <v>12</v>
      </c>
      <c r="C2">
        <f>IF($B2="","",INT(IF(INDEX(GLAPS컨테이너배차관리!$K:$K,$B2)="","",INDEX(GLAPS컨테이너배차관리!$K:$K,$B2))))</f>
        <v>46177</v>
      </c>
      <c r="D2" t="str">
        <f>IF($B2="","",IF(ISNUMBER(SEARCH("이엘에스",IF(INDEX(GLAPS컨테이너배차관리!$AZ:$AZ,$B2)="","",INDEX(GLAPS컨테이너배차관리!$AZ:$AZ,$B2)))),"ELS솔루션",IF(INDEX(GLAPS컨테이너배차관리!$AZ:$AZ,$B2)="","",INDEX(GLAPS컨테이너배차관리!$AZ:$AZ,$B2))))</f>
        <v>ELS솔루션</v>
      </c>
      <c r="E2" t="str">
        <f>IF($B2="","",IF(INDEX(GLAPS컨테이너배차관리!$L:$L,$B2)="","",INDEX(GLAPS컨테이너배차관리!$L:$L,$B2)))</f>
        <v>08:00</v>
      </c>
      <c r="F2" t="str">
        <f>IF($B2="","",IF(HOUR(IF(INDEX(GLAPS컨테이너배차관리!$L:$L,$B2)="","",INDEX(GLAPS컨테이너배차관리!$L:$L,$B2)))&lt;12,"오전",IF(HOUR(IF(INDEX(GLAPS컨테이너배차관리!$L:$L,$B2)="","",INDEX(GLAPS컨테이너배차관리!$L:$L,$B2)))&lt;18,"오후","잔업")))</f>
        <v>오전</v>
      </c>
      <c r="G2" t="str">
        <f>IF($B2="","",IFERROR(INDEX(GLAPS정리!$G$3:$G$264,MATCH(IF(INDEX(GLAPS컨테이너배차관리!$BY:$BY,$B2)="","",INDEX(GLAPS컨테이너배차관리!$BY:$BY,$B2)),GLAPS정리!$H$3:$H$264,0)),TRIM(SUBSTITUTE(SUBSTITUTE(SUBSTITUTE(SUBSTITUTE(SUBSTITUTE(IF(INDEX(GLAPS컨테이너배차관리!$T:$T,$B2)="","",INDEX(GLAPS컨테이너배차관리!$T:$T,$B2)),"[GA]",""),"[GB]",""),"[GC]",""),"[KC]",""),"[GS]",""))))</f>
        <v>아산 2포장장</v>
      </c>
      <c r="H2" t="str">
        <f>IF($B2="","",IFERROR(VLOOKUP(IF(INDEX(GLAPS컨테이너배차관리!$BY:$BY,$B2)="","",INDEX(GLAPS컨테이너배차관리!$BY:$BY,$B2)),GLAPS정리!$BT$3:$BV$200,3,0),""))</f>
        <v>EAS</v>
      </c>
      <c r="I2" t="str">
        <f>IF($B2="","",LEFT(IF(INDEX(GLAPS컨테이너배차관리!$U:$U,$B2)="","",INDEX(GLAPS컨테이너배차관리!$U:$U,$B2)),FIND("/",IF(INDEX(GLAPS컨테이너배차관리!$U:$U,$B2)="","",INDEX(GLAPS컨테이너배차관리!$U:$U,$B2))&amp;"/")-1))</f>
        <v>KIN</v>
      </c>
      <c r="J2" t="str">
        <f>IF($B2="","",IF(IF(INDEX(GLAPS컨테이너배차관리!$O:$O,$B2)="","",INDEX(GLAPS컨테이너배차관리!$O:$O,$B2))="EMC","EMA",IFERROR(INDEX(GLAPS정리!$A$2:$A$50,MATCH(IF(INDEX(GLAPS컨테이너배차관리!$O:$O,$B2)="","",INDEX(GLAPS컨테이너배차관리!$O:$O,$B2)),GLAPS정리!$D$2:$D$50,0)),IF(INDEX(GLAPS컨테이너배차관리!$O:$O,$B2)="","",INDEX(GLAPS컨테이너배차관리!$O:$O,$B2)))))</f>
        <v>WHL</v>
      </c>
      <c r="K2" t="str">
        <f>IF($B2="","",IF(LEFT(IF(INDEX(GLAPS컨테이너배차관리!$Y:$Y,$B2)="","",INDEX(GLAPS컨테이너배차관리!$Y:$Y,$B2)),2)="22","20 Feet",IF(LEFT(IF(INDEX(GLAPS컨테이너배차관리!$Y:$Y,$B2)="","",INDEX(GLAPS컨테이너배차관리!$Y:$Y,$B2)),2)="42","40 Feet","40 Feet H")))</f>
        <v>40 Feet H</v>
      </c>
      <c r="L2" t="str">
        <f>IF($B2="","",IFERROR(INDEX(GLAPS정리!$BB$2:$BB$80,MATCH(IF(INDEX(GLAPS컨테이너배차관리!$BQ:$BQ,$B2)="","",INDEX(GLAPS컨테이너배차관리!$BQ:$BQ,$B2)),GLAPS정리!$BC$2:$BC$80,0)),IF(INDEX(GLAPS컨테이너배차관리!$BQ:$BQ,$B2)="","",INDEX(GLAPS컨테이너배차관리!$BQ:$BQ,$B2))))</f>
        <v>BUSAN(NEW)</v>
      </c>
      <c r="M2" t="str">
        <f>IF($B2="","",IFERROR(INDEX(GLAPS정리!$V$3:$V$180,MATCH(IF(INDEX(GLAPS컨테이너배차관리!$S:$S,$B2)="","",INDEX(GLAPS컨테이너배차관리!$S:$S,$B2)),GLAPS정리!$W$3:$W$180,0)),IF(INDEX(GLAPS컨테이너배차관리!$S:$S,$B2)="","",INDEX(GLAPS컨테이너배차관리!$S:$S,$B2))))</f>
        <v>인도</v>
      </c>
      <c r="N2" t="str">
        <f>IF($B2="","",IF(IF(INDEX(GLAPS컨테이너배차관리!$DF:$DF,$B2)="","",INDEX(GLAPS컨테이너배차관리!$DF:$DF,$B2))&lt;&gt;"",IF(INDEX(GLAPS컨테이너배차관리!$DF:$DF,$B2)="","",INDEX(GLAPS컨테이너배차관리!$DF:$DF,$B2)),IF(IF(INDEX(GLAPS컨테이너배차관리!$DG:$DG,$B2)="","",INDEX(GLAPS컨테이너배차관리!$DG:$DG,$B2))&lt;&gt;"",IF(INDEX(GLAPS컨테이너배차관리!$DG:$DG,$B2)="","",INDEX(GLAPS컨테이너배차관리!$DG:$DG,$B2)),"")))</f>
        <v/>
      </c>
      <c r="O2" t="str">
        <f>IF($B2="","",IF(INDEX(GLAPS컨테이너배차관리!$AB:$AB,$B2)="","",INDEX(GLAPS컨테이너배차관리!$AB:$AB,$B2)))</f>
        <v>부산99바7157</v>
      </c>
      <c r="P2" t="str">
        <f>IF($B2="","",IF(IF(INDEX(GLAPS컨테이너배차관리!$CP:$CP,$B2)="","",INDEX(GLAPS컨테이너배차관리!$CP:$CP,$B2))="","",IFERROR(INDEX(GLAPS정리!$BH$2:$BH$101,MATCH(IF(INDEX(GLAPS컨테이너배차관리!$CP:$CP,$B2)="","",INDEX(GLAPS컨테이너배차관리!$CP:$CP,$B2)),GLAPS정리!$BI$2:$BI$101,0)),IF(INDEX(GLAPS컨테이너배차관리!$CP:$CP,$B2)="","",INDEX(GLAPS컨테이너배차관리!$CP:$CP,$B2)))))</f>
        <v/>
      </c>
      <c r="Q2" t="str">
        <f>IF($B2="","",IF(AND(IF(INDEX(GLAPS컨테이너배차관리!$AK:$AK,$B2)="","",INDEX(GLAPS컨테이너배차관리!$AK:$AK,$B2))="Y",IF(INDEX(GLAPS컨테이너배차관리!$AI:$AI,$B2)="","",INDEX(GLAPS컨테이너배차관리!$AI:$AI,$B2))="Y"),"위험물리퍼",IF(IF(INDEX(GLAPS컨테이너배차관리!$AK:$AK,$B2)="","",INDEX(GLAPS컨테이너배차관리!$AK:$AK,$B2))="Y","위험물",IF(IF(INDEX(GLAPS컨테이너배차관리!$AI:$AI,$B2)="","",INDEX(GLAPS컨테이너배차관리!$AI:$AI,$B2))="Y","리퍼",""))))</f>
        <v/>
      </c>
      <c r="R2" t="str">
        <f>IF($B2="","",IF(LEFT(IF(INDEX(GLAPS컨테이너배차관리!$Y:$Y,$B2)="","",INDEX(GLAPS컨테이너배차관리!$Y:$Y,$B2)),2)="22",1,""))</f>
        <v/>
      </c>
      <c r="S2" t="str">
        <f>IF($B2="","",IF(LEFT(IF(INDEX(GLAPS컨테이너배차관리!$Y:$Y,$B2)="","",INDEX(GLAPS컨테이너배차관리!$Y:$Y,$B2)),2)="42",1,""))</f>
        <v/>
      </c>
      <c r="T2">
        <f>IF($B2="","",IF(LEFT(IF(INDEX(GLAPS컨테이너배차관리!$Y:$Y,$B2)="","",INDEX(GLAPS컨테이너배차관리!$Y:$Y,$B2)),2)="45",1,""))</f>
        <v>1</v>
      </c>
      <c r="U2" t="str">
        <f>IF($B2="","",IF(INDEX(GLAPS컨테이너배차관리!$X:$X,$B2)="","",INDEX(GLAPS컨테이너배차관리!$X:$X,$B2)))</f>
        <v>WHSU6549777</v>
      </c>
      <c r="V2" t="str">
        <f>IF($B2="","",IF(INDEX(GLAPS컨테이너배차관리!$Z:$Z,$B2)="","",INDEX(GLAPS컨테이너배차관리!$Z:$Z,$B2)))</f>
        <v>WHA3168605</v>
      </c>
      <c r="W2" t="str">
        <f>IF($B2="","",IF(IF(INDEX(GLAPS컨테이너배차관리!$DI:$DI,$B2)="","",INDEX(GLAPS컨테이너배차관리!$DI:$DI,$B2))&lt;&gt;"",IF(INDEX(GLAPS컨테이너배차관리!$DI:$DI,$B2)="","",INDEX(GLAPS컨테이너배차관리!$DI:$DI,$B2)),IF(IF(INDEX(GLAPS컨테이너배차관리!$DJ:$DJ,$B2)="","",INDEX(GLAPS컨테이너배차관리!$DJ:$DJ,$B2))&lt;&gt;"",IF(INDEX(GLAPS컨테이너배차관리!$DJ:$DJ,$B2)="","",INDEX(GLAPS컨테이너배차관리!$DJ:$DJ,$B2)),IF(IF(INDEX(GLAPS컨테이너배차관리!$DK:$DK,$B2)="","",INDEX(GLAPS컨테이너배차관리!$DK:$DK,$B2))&lt;&gt;"",IF(INDEX(GLAPS컨테이너배차관리!$DK:$DK,$B2)="","",INDEX(GLAPS컨테이너배차관리!$DK:$DK,$B2)),IF(IF(INDEX(GLAPS컨테이너배차관리!$DL:$DL,$B2)="","",INDEX(GLAPS컨테이너배차관리!$DL:$DL,$B2))&lt;&gt;"",IF(INDEX(GLAPS컨테이너배차관리!$DL:$DL,$B2)="","",INDEX(GLAPS컨테이너배차관리!$DL:$DL,$B2)),IF(IF(INDEX(GLAPS컨테이너배차관리!$DM:$DM,$B2)="","",INDEX(GLAPS컨테이너배차관리!$DM:$DM,$B2))&lt;&gt;"",IF(INDEX(GLAPS컨테이너배차관리!$DM:$DM,$B2)="","",INDEX(GLAPS컨테이너배차관리!$DM:$DM,$B2)),""))))))</f>
        <v/>
      </c>
      <c r="X2" t="str">
        <f>IF($B2="","",IF(INDEX(GLAPS컨테이너배차관리!$F:$F,$B2)="","",INDEX(GLAPS컨테이너배차관리!$F:$F,$B2)))</f>
        <v>X260602-001966</v>
      </c>
      <c r="Y2" t="str">
        <f>IF($B2="","",IF(IF(INDEX(GLAPS컨테이너배차관리!$M:$M,$B2)="","",INDEX(GLAPS컨테이너배차관리!$M:$M,$B2))&lt;&gt;"",IF(INDEX(GLAPS컨테이너배차관리!$M:$M,$B2)="","",INDEX(GLAPS컨테이너배차관리!$M:$M,$B2)),IF(IF(INDEX(GLAPS컨테이너배차관리!$N:$N,$B2)="","",INDEX(GLAPS컨테이너배차관리!$N:$N,$B2))&lt;&gt;"",IF(INDEX(GLAPS컨테이너배차관리!$N:$N,$B2)="","",INDEX(GLAPS컨테이너배차관리!$N:$N,$B2)),"")))</f>
        <v>005GX17204</v>
      </c>
      <c r="Z2" t="str">
        <f>IF($B2="","",IF(IF(INDEX(GLAPS컨테이너배차관리!$CU:$CU,$B2)="","",INDEX(GLAPS컨테이너배차관리!$CU:$CU,$B2))="","",IFERROR(INT(IF(INDEX(GLAPS컨테이너배차관리!$CU:$CU,$B2)="","",INDEX(GLAPS컨테이너배차관리!$CU:$CU,$B2))),"")))</f>
        <v/>
      </c>
      <c r="AA2" t="str">
        <f>IF($B2="","",IF(AND(IF(INDEX(GLAPS컨테이너배차관리!$CL:$CL,$B2)="","",INDEX(GLAPS컨테이너배차관리!$CL:$CL,$B2))="",IF(INDEX(GLAPS컨테이너배차관리!$CM:$CM,$B2)="","",INDEX(GLAPS컨테이너배차관리!$CM:$CM,$B2))=""),"",IF(OR(IF(INDEX(GLAPS컨테이너배차관리!$CL:$CL,$B2)="","",INDEX(GLAPS컨테이너배차관리!$CL:$CL,$B2))="B000016649",ISNUMBER(SEARCH("B015",IF(INDEX(GLAPS컨테이너배차관리!$CM:$CM,$B2)="","",INDEX(GLAPS컨테이너배차관리!$CM:$CM,$B2)))),ISNUMBER(SEARCH("세방",IF(INDEX(GLAPS컨테이너배차관리!$CM:$CM,$B2)="","",INDEX(GLAPS컨테이너배차관리!$CM:$CM,$B2)))),ISNUMBER(SEARCH("SB",IF(INDEX(GLAPS컨테이너배차관리!$CM:$CM,$B2)="","",INDEX(GLAPS컨테이너배차관리!$CM:$CM,$B2))))),"세방","")))</f>
        <v/>
      </c>
      <c r="AB2" t="str">
        <f>IF($B2="","",IF(IF(INDEX(GLAPS컨테이너배차관리!$CM:$CM,$B2)="","",INDEX(GLAPS컨테이너배차관리!$CM:$CM,$B2))="","",IF(ISNUMBER(SEARCH("이지스두동",IF(INDEX(GLAPS컨테이너배차관리!$CM:$CM,$B2)="","",INDEX(GLAPS컨테이너배차관리!$CM:$CM,$B2)))),"이지스두동",IF(ISNUMBER(SEARCH("이지스녹산",IF(INDEX(GLAPS컨테이너배차관리!$CM:$CM,$B2)="","",INDEX(GLAPS컨테이너배차관리!$CM:$CM,$B2)))),"이지스녹산",IF(ISNUMBER(SEARCH("천우",IF(INDEX(GLAPS컨테이너배차관리!$CM:$CM,$B2)="","",INDEX(GLAPS컨테이너배차관리!$CM:$CM,$B2)))),"천우",IF(OR(ISNUMBER(SEARCH("청암",IF(INDEX(GLAPS컨테이너배차관리!$CM:$CM,$B2)="","",INDEX(GLAPS컨테이너배차관리!$CM:$CM,$B2)))),ISNUMBER(SEARCH("SB청암",IF(INDEX(GLAPS컨테이너배차관리!$CM:$CM,$B2)="","",INDEX(GLAPS컨테이너배차관리!$CM:$CM,$B2))))),"청암신항",IF(INDEX(GLAPS컨테이너배차관리!$CM:$CM,$B2)="","",INDEX(GLAPS컨테이너배차관리!$CM:$CM,$B2))))))))</f>
        <v/>
      </c>
    </row>
    <row r="3" spans="1:28">
      <c r="A3">
        <v>2</v>
      </c>
      <c r="B3">
        <f>IFERROR(_xlfn.AGGREGATE(15,6,ROW(GLAPS컨테이너배차관리!$X$2:$X$20000)/(GLAPS컨테이너배차관리!$X$2:$X$20000&lt;&gt;""),A3),"")</f>
        <v>13</v>
      </c>
      <c r="C3">
        <f>IF($B3="","",INT(IF(INDEX(GLAPS컨테이너배차관리!$K:$K,$B3)="","",INDEX(GLAPS컨테이너배차관리!$K:$K,$B3))))</f>
        <v>46177</v>
      </c>
      <c r="D3" t="str">
        <f>IF($B3="","",IF(ISNUMBER(SEARCH("이엘에스",IF(INDEX(GLAPS컨테이너배차관리!$AZ:$AZ,$B3)="","",INDEX(GLAPS컨테이너배차관리!$AZ:$AZ,$B3)))),"ELS솔루션",IF(INDEX(GLAPS컨테이너배차관리!$AZ:$AZ,$B3)="","",INDEX(GLAPS컨테이너배차관리!$AZ:$AZ,$B3))))</f>
        <v>ELS솔루션</v>
      </c>
      <c r="E3" t="str">
        <f>IF($B3="","",IF(INDEX(GLAPS컨테이너배차관리!$L:$L,$B3)="","",INDEX(GLAPS컨테이너배차관리!$L:$L,$B3)))</f>
        <v>09:00</v>
      </c>
      <c r="F3" t="str">
        <f>IF($B3="","",IF(HOUR(IF(INDEX(GLAPS컨테이너배차관리!$L:$L,$B3)="","",INDEX(GLAPS컨테이너배차관리!$L:$L,$B3)))&lt;12,"오전",IF(HOUR(IF(INDEX(GLAPS컨테이너배차관리!$L:$L,$B3)="","",INDEX(GLAPS컨테이너배차관리!$L:$L,$B3)))&lt;18,"오후","잔업")))</f>
        <v>오전</v>
      </c>
      <c r="G3" t="str">
        <f>IF($B3="","",IFERROR(INDEX(GLAPS정리!$G$3:$G$264,MATCH(IF(INDEX(GLAPS컨테이너배차관리!$BY:$BY,$B3)="","",INDEX(GLAPS컨테이너배차관리!$BY:$BY,$B3)),GLAPS정리!$H$3:$H$264,0)),TRIM(SUBSTITUTE(SUBSTITUTE(SUBSTITUTE(SUBSTITUTE(SUBSTITUTE(IF(INDEX(GLAPS컨테이너배차관리!$T:$T,$B3)="","",INDEX(GLAPS컨테이너배차관리!$T:$T,$B3)),"[GA]",""),"[GB]",""),"[GC]",""),"[KC]",""),"[GS]",""))))</f>
        <v>아산 2포장장</v>
      </c>
      <c r="H3" t="str">
        <f>IF($B3="","",IFERROR(VLOOKUP(IF(INDEX(GLAPS컨테이너배차관리!$BY:$BY,$B3)="","",INDEX(GLAPS컨테이너배차관리!$BY:$BY,$B3)),GLAPS정리!$BT$3:$BV$200,3,0),""))</f>
        <v>EAS</v>
      </c>
      <c r="I3" t="str">
        <f>IF($B3="","",LEFT(IF(INDEX(GLAPS컨테이너배차관리!$U:$U,$B3)="","",INDEX(GLAPS컨테이너배차관리!$U:$U,$B3)),FIND("/",IF(INDEX(GLAPS컨테이너배차관리!$U:$U,$B3)="","",INDEX(GLAPS컨테이너배차관리!$U:$U,$B3))&amp;"/")-1))</f>
        <v>KIN</v>
      </c>
      <c r="J3" t="str">
        <f>IF($B3="","",IF(IF(INDEX(GLAPS컨테이너배차관리!$O:$O,$B3)="","",INDEX(GLAPS컨테이너배차관리!$O:$O,$B3))="EMC","EMA",IFERROR(INDEX(GLAPS정리!$A$2:$A$50,MATCH(IF(INDEX(GLAPS컨테이너배차관리!$O:$O,$B3)="","",INDEX(GLAPS컨테이너배차관리!$O:$O,$B3)),GLAPS정리!$D$2:$D$50,0)),IF(INDEX(GLAPS컨테이너배차관리!$O:$O,$B3)="","",INDEX(GLAPS컨테이너배차관리!$O:$O,$B3)))))</f>
        <v>WHL</v>
      </c>
      <c r="K3" t="str">
        <f>IF($B3="","",IF(LEFT(IF(INDEX(GLAPS컨테이너배차관리!$Y:$Y,$B3)="","",INDEX(GLAPS컨테이너배차관리!$Y:$Y,$B3)),2)="22","20 Feet",IF(LEFT(IF(INDEX(GLAPS컨테이너배차관리!$Y:$Y,$B3)="","",INDEX(GLAPS컨테이너배차관리!$Y:$Y,$B3)),2)="42","40 Feet","40 Feet H")))</f>
        <v>40 Feet H</v>
      </c>
      <c r="L3" t="str">
        <f>IF($B3="","",IFERROR(INDEX(GLAPS정리!$BB$2:$BB$80,MATCH(IF(INDEX(GLAPS컨테이너배차관리!$BQ:$BQ,$B3)="","",INDEX(GLAPS컨테이너배차관리!$BQ:$BQ,$B3)),GLAPS정리!$BC$2:$BC$80,0)),IF(INDEX(GLAPS컨테이너배차관리!$BQ:$BQ,$B3)="","",INDEX(GLAPS컨테이너배차관리!$BQ:$BQ,$B3))))</f>
        <v>BUSAN(NEW)</v>
      </c>
      <c r="M3" t="str">
        <f>IF($B3="","",IFERROR(INDEX(GLAPS정리!$V$3:$V$180,MATCH(IF(INDEX(GLAPS컨테이너배차관리!$S:$S,$B3)="","",INDEX(GLAPS컨테이너배차관리!$S:$S,$B3)),GLAPS정리!$W$3:$W$180,0)),IF(INDEX(GLAPS컨테이너배차관리!$S:$S,$B3)="","",INDEX(GLAPS컨테이너배차관리!$S:$S,$B3))))</f>
        <v>인도</v>
      </c>
      <c r="N3" t="str">
        <f>IF($B3="","",IF(IF(INDEX(GLAPS컨테이너배차관리!$DF:$DF,$B3)="","",INDEX(GLAPS컨테이너배차관리!$DF:$DF,$B3))&lt;&gt;"",IF(INDEX(GLAPS컨테이너배차관리!$DF:$DF,$B3)="","",INDEX(GLAPS컨테이너배차관리!$DF:$DF,$B3)),IF(IF(INDEX(GLAPS컨테이너배차관리!$DG:$DG,$B3)="","",INDEX(GLAPS컨테이너배차관리!$DG:$DG,$B3))&lt;&gt;"",IF(INDEX(GLAPS컨테이너배차관리!$DG:$DG,$B3)="","",INDEX(GLAPS컨테이너배차관리!$DG:$DG,$B3)),"")))</f>
        <v/>
      </c>
      <c r="O3" t="str">
        <f>IF($B3="","",IF(INDEX(GLAPS컨테이너배차관리!$AB:$AB,$B3)="","",INDEX(GLAPS컨테이너배차관리!$AB:$AB,$B3)))</f>
        <v>경북98사1145</v>
      </c>
      <c r="P3" t="str">
        <f>IF($B3="","",IF(IF(INDEX(GLAPS컨테이너배차관리!$CP:$CP,$B3)="","",INDEX(GLAPS컨테이너배차관리!$CP:$CP,$B3))="","",IFERROR(INDEX(GLAPS정리!$BH$2:$BH$101,MATCH(IF(INDEX(GLAPS컨테이너배차관리!$CP:$CP,$B3)="","",INDEX(GLAPS컨테이너배차관리!$CP:$CP,$B3)),GLAPS정리!$BI$2:$BI$101,0)),IF(INDEX(GLAPS컨테이너배차관리!$CP:$CP,$B3)="","",INDEX(GLAPS컨테이너배차관리!$CP:$CP,$B3)))))</f>
        <v/>
      </c>
      <c r="Q3" t="str">
        <f>IF($B3="","",IF(AND(IF(INDEX(GLAPS컨테이너배차관리!$AK:$AK,$B3)="","",INDEX(GLAPS컨테이너배차관리!$AK:$AK,$B3))="Y",IF(INDEX(GLAPS컨테이너배차관리!$AI:$AI,$B3)="","",INDEX(GLAPS컨테이너배차관리!$AI:$AI,$B3))="Y"),"위험물리퍼",IF(IF(INDEX(GLAPS컨테이너배차관리!$AK:$AK,$B3)="","",INDEX(GLAPS컨테이너배차관리!$AK:$AK,$B3))="Y","위험물",IF(IF(INDEX(GLAPS컨테이너배차관리!$AI:$AI,$B3)="","",INDEX(GLAPS컨테이너배차관리!$AI:$AI,$B3))="Y","리퍼",""))))</f>
        <v/>
      </c>
      <c r="R3" t="str">
        <f>IF($B3="","",IF(LEFT(IF(INDEX(GLAPS컨테이너배차관리!$Y:$Y,$B3)="","",INDEX(GLAPS컨테이너배차관리!$Y:$Y,$B3)),2)="22",1,""))</f>
        <v/>
      </c>
      <c r="S3" t="str">
        <f>IF($B3="","",IF(LEFT(IF(INDEX(GLAPS컨테이너배차관리!$Y:$Y,$B3)="","",INDEX(GLAPS컨테이너배차관리!$Y:$Y,$B3)),2)="42",1,""))</f>
        <v/>
      </c>
      <c r="T3">
        <f>IF($B3="","",IF(LEFT(IF(INDEX(GLAPS컨테이너배차관리!$Y:$Y,$B3)="","",INDEX(GLAPS컨테이너배차관리!$Y:$Y,$B3)),2)="45",1,""))</f>
        <v>1</v>
      </c>
      <c r="U3" t="str">
        <f>IF($B3="","",IF(INDEX(GLAPS컨테이너배차관리!$X:$X,$B3)="","",INDEX(GLAPS컨테이너배차관리!$X:$X,$B3)))</f>
        <v>WHSU5174357</v>
      </c>
      <c r="V3" t="str">
        <f>IF($B3="","",IF(INDEX(GLAPS컨테이너배차관리!$Z:$Z,$B3)="","",INDEX(GLAPS컨테이너배차관리!$Z:$Z,$B3)))</f>
        <v>WHA3168615</v>
      </c>
      <c r="W3" t="str">
        <f>IF($B3="","",IF(IF(INDEX(GLAPS컨테이너배차관리!$DI:$DI,$B3)="","",INDEX(GLAPS컨테이너배차관리!$DI:$DI,$B3))&lt;&gt;"",IF(INDEX(GLAPS컨테이너배차관리!$DI:$DI,$B3)="","",INDEX(GLAPS컨테이너배차관리!$DI:$DI,$B3)),IF(IF(INDEX(GLAPS컨테이너배차관리!$DJ:$DJ,$B3)="","",INDEX(GLAPS컨테이너배차관리!$DJ:$DJ,$B3))&lt;&gt;"",IF(INDEX(GLAPS컨테이너배차관리!$DJ:$DJ,$B3)="","",INDEX(GLAPS컨테이너배차관리!$DJ:$DJ,$B3)),IF(IF(INDEX(GLAPS컨테이너배차관리!$DK:$DK,$B3)="","",INDEX(GLAPS컨테이너배차관리!$DK:$DK,$B3))&lt;&gt;"",IF(INDEX(GLAPS컨테이너배차관리!$DK:$DK,$B3)="","",INDEX(GLAPS컨테이너배차관리!$DK:$DK,$B3)),IF(IF(INDEX(GLAPS컨테이너배차관리!$DL:$DL,$B3)="","",INDEX(GLAPS컨테이너배차관리!$DL:$DL,$B3))&lt;&gt;"",IF(INDEX(GLAPS컨테이너배차관리!$DL:$DL,$B3)="","",INDEX(GLAPS컨테이너배차관리!$DL:$DL,$B3)),IF(IF(INDEX(GLAPS컨테이너배차관리!$DM:$DM,$B3)="","",INDEX(GLAPS컨테이너배차관리!$DM:$DM,$B3))&lt;&gt;"",IF(INDEX(GLAPS컨테이너배차관리!$DM:$DM,$B3)="","",INDEX(GLAPS컨테이너배차관리!$DM:$DM,$B3)),""))))))</f>
        <v/>
      </c>
      <c r="X3" t="str">
        <f>IF($B3="","",IF(INDEX(GLAPS컨테이너배차관리!$F:$F,$B3)="","",INDEX(GLAPS컨테이너배차관리!$F:$F,$B3)))</f>
        <v>X260602-001967</v>
      </c>
      <c r="Y3" t="str">
        <f>IF($B3="","",IF(IF(INDEX(GLAPS컨테이너배차관리!$M:$M,$B3)="","",INDEX(GLAPS컨테이너배차관리!$M:$M,$B3))&lt;&gt;"",IF(INDEX(GLAPS컨테이너배차관리!$M:$M,$B3)="","",INDEX(GLAPS컨테이너배차관리!$M:$M,$B3)),IF(IF(INDEX(GLAPS컨테이너배차관리!$N:$N,$B3)="","",INDEX(GLAPS컨테이너배차관리!$N:$N,$B3))&lt;&gt;"",IF(INDEX(GLAPS컨테이너배차관리!$N:$N,$B3)="","",INDEX(GLAPS컨테이너배차관리!$N:$N,$B3)),"")))</f>
        <v>005GX17204</v>
      </c>
      <c r="Z3" t="str">
        <f>IF($B3="","",IF(IF(INDEX(GLAPS컨테이너배차관리!$CU:$CU,$B3)="","",INDEX(GLAPS컨테이너배차관리!$CU:$CU,$B3))="","",IFERROR(INT(IF(INDEX(GLAPS컨테이너배차관리!$CU:$CU,$B3)="","",INDEX(GLAPS컨테이너배차관리!$CU:$CU,$B3))),"")))</f>
        <v/>
      </c>
      <c r="AA3" t="str">
        <f>IF($B3="","",IF(AND(IF(INDEX(GLAPS컨테이너배차관리!$CL:$CL,$B3)="","",INDEX(GLAPS컨테이너배차관리!$CL:$CL,$B3))="",IF(INDEX(GLAPS컨테이너배차관리!$CM:$CM,$B3)="","",INDEX(GLAPS컨테이너배차관리!$CM:$CM,$B3))=""),"",IF(OR(IF(INDEX(GLAPS컨테이너배차관리!$CL:$CL,$B3)="","",INDEX(GLAPS컨테이너배차관리!$CL:$CL,$B3))="B000016649",ISNUMBER(SEARCH("B015",IF(INDEX(GLAPS컨테이너배차관리!$CM:$CM,$B3)="","",INDEX(GLAPS컨테이너배차관리!$CM:$CM,$B3)))),ISNUMBER(SEARCH("세방",IF(INDEX(GLAPS컨테이너배차관리!$CM:$CM,$B3)="","",INDEX(GLAPS컨테이너배차관리!$CM:$CM,$B3)))),ISNUMBER(SEARCH("SB",IF(INDEX(GLAPS컨테이너배차관리!$CM:$CM,$B3)="","",INDEX(GLAPS컨테이너배차관리!$CM:$CM,$B3))))),"세방","")))</f>
        <v/>
      </c>
      <c r="AB3" t="str">
        <f>IF($B3="","",IF(IF(INDEX(GLAPS컨테이너배차관리!$CM:$CM,$B3)="","",INDEX(GLAPS컨테이너배차관리!$CM:$CM,$B3))="","",IF(ISNUMBER(SEARCH("이지스두동",IF(INDEX(GLAPS컨테이너배차관리!$CM:$CM,$B3)="","",INDEX(GLAPS컨테이너배차관리!$CM:$CM,$B3)))),"이지스두동",IF(ISNUMBER(SEARCH("이지스녹산",IF(INDEX(GLAPS컨테이너배차관리!$CM:$CM,$B3)="","",INDEX(GLAPS컨테이너배차관리!$CM:$CM,$B3)))),"이지스녹산",IF(ISNUMBER(SEARCH("천우",IF(INDEX(GLAPS컨테이너배차관리!$CM:$CM,$B3)="","",INDEX(GLAPS컨테이너배차관리!$CM:$CM,$B3)))),"천우",IF(OR(ISNUMBER(SEARCH("청암",IF(INDEX(GLAPS컨테이너배차관리!$CM:$CM,$B3)="","",INDEX(GLAPS컨테이너배차관리!$CM:$CM,$B3)))),ISNUMBER(SEARCH("SB청암",IF(INDEX(GLAPS컨테이너배차관리!$CM:$CM,$B3)="","",INDEX(GLAPS컨테이너배차관리!$CM:$CM,$B3))))),"청암신항",IF(INDEX(GLAPS컨테이너배차관리!$CM:$CM,$B3)="","",INDEX(GLAPS컨테이너배차관리!$CM:$CM,$B3))))))))</f>
        <v/>
      </c>
    </row>
    <row r="4" spans="1:28">
      <c r="A4">
        <v>3</v>
      </c>
      <c r="B4">
        <f>IFERROR(_xlfn.AGGREGATE(15,6,ROW(GLAPS컨테이너배차관리!$X$2:$X$20000)/(GLAPS컨테이너배차관리!$X$2:$X$20000&lt;&gt;""),A4),"")</f>
        <v>19</v>
      </c>
      <c r="C4">
        <f>IF($B4="","",INT(IF(INDEX(GLAPS컨테이너배차관리!$K:$K,$B4)="","",INDEX(GLAPS컨테이너배차관리!$K:$K,$B4))))</f>
        <v>46177</v>
      </c>
      <c r="D4" t="str">
        <f>IF($B4="","",IF(ISNUMBER(SEARCH("이엘에스",IF(INDEX(GLAPS컨테이너배차관리!$AZ:$AZ,$B4)="","",INDEX(GLAPS컨테이너배차관리!$AZ:$AZ,$B4)))),"ELS솔루션",IF(INDEX(GLAPS컨테이너배차관리!$AZ:$AZ,$B4)="","",INDEX(GLAPS컨테이너배차관리!$AZ:$AZ,$B4))))</f>
        <v>ELS솔루션</v>
      </c>
      <c r="E4" t="str">
        <f>IF($B4="","",IF(INDEX(GLAPS컨테이너배차관리!$L:$L,$B4)="","",INDEX(GLAPS컨테이너배차관리!$L:$L,$B4)))</f>
        <v>08:00</v>
      </c>
      <c r="F4" t="str">
        <f>IF($B4="","",IF(HOUR(IF(INDEX(GLAPS컨테이너배차관리!$L:$L,$B4)="","",INDEX(GLAPS컨테이너배차관리!$L:$L,$B4)))&lt;12,"오전",IF(HOUR(IF(INDEX(GLAPS컨테이너배차관리!$L:$L,$B4)="","",INDEX(GLAPS컨테이너배차관리!$L:$L,$B4)))&lt;18,"오후","잔업")))</f>
        <v>오전</v>
      </c>
      <c r="G4" t="str">
        <f>IF($B4="","",IFERROR(INDEX(GLAPS정리!$G$3:$G$264,MATCH(IF(INDEX(GLAPS컨테이너배차관리!$BY:$BY,$B4)="","",INDEX(GLAPS컨테이너배차관리!$BY:$BY,$B4)),GLAPS정리!$H$3:$H$264,0)),TRIM(SUBSTITUTE(SUBSTITUTE(SUBSTITUTE(SUBSTITUTE(SUBSTITUTE(IF(INDEX(GLAPS컨테이너배차관리!$T:$T,$B4)="","",INDEX(GLAPS컨테이너배차관리!$T:$T,$B4)),"[GA]",""),"[GB]",""),"[GC]",""),"[KC]",""),"[GS]",""))))</f>
        <v>아산 1포장장</v>
      </c>
      <c r="H4" t="str">
        <f>IF($B4="","",IFERROR(VLOOKUP(IF(INDEX(GLAPS컨테이너배차관리!$BY:$BY,$B4)="","",INDEX(GLAPS컨테이너배차관리!$BY:$BY,$B4)),GLAPS정리!$BT$3:$BV$200,3,0),""))</f>
        <v>EAS</v>
      </c>
      <c r="I4" t="str">
        <f>IF($B4="","",LEFT(IF(INDEX(GLAPS컨테이너배차관리!$U:$U,$B4)="","",INDEX(GLAPS컨테이너배차관리!$U:$U,$B4)),FIND("/",IF(INDEX(GLAPS컨테이너배차관리!$U:$U,$B4)="","",INDEX(GLAPS컨테이너배차관리!$U:$U,$B4))&amp;"/")-1))</f>
        <v>KASK</v>
      </c>
      <c r="J4" t="str">
        <f>IF($B4="","",IF(IF(INDEX(GLAPS컨테이너배차관리!$O:$O,$B4)="","",INDEX(GLAPS컨테이너배차관리!$O:$O,$B4))="EMC","EMA",IFERROR(INDEX(GLAPS정리!$A$2:$A$50,MATCH(IF(INDEX(GLAPS컨테이너배차관리!$O:$O,$B4)="","",INDEX(GLAPS컨테이너배차관리!$O:$O,$B4)),GLAPS정리!$D$2:$D$50,0)),IF(INDEX(GLAPS컨테이너배차관리!$O:$O,$B4)="","",INDEX(GLAPS컨테이너배차관리!$O:$O,$B4)))))</f>
        <v>CMA</v>
      </c>
      <c r="K4" t="str">
        <f>IF($B4="","",IF(LEFT(IF(INDEX(GLAPS컨테이너배차관리!$Y:$Y,$B4)="","",INDEX(GLAPS컨테이너배차관리!$Y:$Y,$B4)),2)="22","20 Feet",IF(LEFT(IF(INDEX(GLAPS컨테이너배차관리!$Y:$Y,$B4)="","",INDEX(GLAPS컨테이너배차관리!$Y:$Y,$B4)),2)="42","40 Feet","40 Feet H")))</f>
        <v>40 Feet H</v>
      </c>
      <c r="L4" t="str">
        <f>IF($B4="","",IFERROR(INDEX(GLAPS정리!$BB$2:$BB$80,MATCH(IF(INDEX(GLAPS컨테이너배차관리!$BQ:$BQ,$B4)="","",INDEX(GLAPS컨테이너배차관리!$BQ:$BQ,$B4)),GLAPS정리!$BC$2:$BC$80,0)),IF(INDEX(GLAPS컨테이너배차관리!$BQ:$BQ,$B4)="","",INDEX(GLAPS컨테이너배차관리!$BQ:$BQ,$B4))))</f>
        <v>BUSAN(NEW)</v>
      </c>
      <c r="M4" t="str">
        <f>IF($B4="","",IFERROR(INDEX(GLAPS정리!$V$3:$V$180,MATCH(IF(INDEX(GLAPS컨테이너배차관리!$S:$S,$B4)="","",INDEX(GLAPS컨테이너배차관리!$S:$S,$B4)),GLAPS정리!$W$3:$W$180,0)),IF(INDEX(GLAPS컨테이너배차관리!$S:$S,$B4)="","",INDEX(GLAPS컨테이너배차관리!$S:$S,$B4))))</f>
        <v>코퍼</v>
      </c>
      <c r="N4" t="str">
        <f>IF($B4="","",IF(IF(INDEX(GLAPS컨테이너배차관리!$DF:$DF,$B4)="","",INDEX(GLAPS컨테이너배차관리!$DF:$DF,$B4))&lt;&gt;"",IF(INDEX(GLAPS컨테이너배차관리!$DF:$DF,$B4)="","",INDEX(GLAPS컨테이너배차관리!$DF:$DF,$B4)),IF(IF(INDEX(GLAPS컨테이너배차관리!$DG:$DG,$B4)="","",INDEX(GLAPS컨테이너배차관리!$DG:$DG,$B4))&lt;&gt;"",IF(INDEX(GLAPS컨테이너배차관리!$DG:$DG,$B4)="","",INDEX(GLAPS컨테이너배차관리!$DG:$DG,$B4)),"")))</f>
        <v/>
      </c>
      <c r="O4" t="str">
        <f>IF($B4="","",IF(INDEX(GLAPS컨테이너배차관리!$AB:$AB,$B4)="","",INDEX(GLAPS컨테이너배차관리!$AB:$AB,$B4)))</f>
        <v>경남99바4922</v>
      </c>
      <c r="P4" t="str">
        <f>IF($B4="","",IF(IF(INDEX(GLAPS컨테이너배차관리!$CP:$CP,$B4)="","",INDEX(GLAPS컨테이너배차관리!$CP:$CP,$B4))="","",IFERROR(INDEX(GLAPS정리!$BH$2:$BH$101,MATCH(IF(INDEX(GLAPS컨테이너배차관리!$CP:$CP,$B4)="","",INDEX(GLAPS컨테이너배차관리!$CP:$CP,$B4)),GLAPS정리!$BI$2:$BI$101,0)),IF(INDEX(GLAPS컨테이너배차관리!$CP:$CP,$B4)="","",INDEX(GLAPS컨테이너배차관리!$CP:$CP,$B4)))))</f>
        <v/>
      </c>
      <c r="Q4" t="str">
        <f>IF($B4="","",IF(AND(IF(INDEX(GLAPS컨테이너배차관리!$AK:$AK,$B4)="","",INDEX(GLAPS컨테이너배차관리!$AK:$AK,$B4))="Y",IF(INDEX(GLAPS컨테이너배차관리!$AI:$AI,$B4)="","",INDEX(GLAPS컨테이너배차관리!$AI:$AI,$B4))="Y"),"위험물리퍼",IF(IF(INDEX(GLAPS컨테이너배차관리!$AK:$AK,$B4)="","",INDEX(GLAPS컨테이너배차관리!$AK:$AK,$B4))="Y","위험물",IF(IF(INDEX(GLAPS컨테이너배차관리!$AI:$AI,$B4)="","",INDEX(GLAPS컨테이너배차관리!$AI:$AI,$B4))="Y","리퍼",""))))</f>
        <v/>
      </c>
      <c r="R4" t="str">
        <f>IF($B4="","",IF(LEFT(IF(INDEX(GLAPS컨테이너배차관리!$Y:$Y,$B4)="","",INDEX(GLAPS컨테이너배차관리!$Y:$Y,$B4)),2)="22",1,""))</f>
        <v/>
      </c>
      <c r="S4" t="str">
        <f>IF($B4="","",IF(LEFT(IF(INDEX(GLAPS컨테이너배차관리!$Y:$Y,$B4)="","",INDEX(GLAPS컨테이너배차관리!$Y:$Y,$B4)),2)="42",1,""))</f>
        <v/>
      </c>
      <c r="T4">
        <f>IF($B4="","",IF(LEFT(IF(INDEX(GLAPS컨테이너배차관리!$Y:$Y,$B4)="","",INDEX(GLAPS컨테이너배차관리!$Y:$Y,$B4)),2)="45",1,""))</f>
        <v>1</v>
      </c>
      <c r="U4" t="str">
        <f>IF($B4="","",IF(INDEX(GLAPS컨테이너배차관리!$X:$X,$B4)="","",INDEX(GLAPS컨테이너배차관리!$X:$X,$B4)))</f>
        <v>CMAU7117159</v>
      </c>
      <c r="V4" t="str">
        <f>IF($B4="","",IF(INDEX(GLAPS컨테이너배차관리!$Z:$Z,$B4)="","",INDEX(GLAPS컨테이너배차관리!$Z:$Z,$B4)))</f>
        <v>M6412892</v>
      </c>
      <c r="W4" t="str">
        <f>IF($B4="","",IF(IF(INDEX(GLAPS컨테이너배차관리!$DI:$DI,$B4)="","",INDEX(GLAPS컨테이너배차관리!$DI:$DI,$B4))&lt;&gt;"",IF(INDEX(GLAPS컨테이너배차관리!$DI:$DI,$B4)="","",INDEX(GLAPS컨테이너배차관리!$DI:$DI,$B4)),IF(IF(INDEX(GLAPS컨테이너배차관리!$DJ:$DJ,$B4)="","",INDEX(GLAPS컨테이너배차관리!$DJ:$DJ,$B4))&lt;&gt;"",IF(INDEX(GLAPS컨테이너배차관리!$DJ:$DJ,$B4)="","",INDEX(GLAPS컨테이너배차관리!$DJ:$DJ,$B4)),IF(IF(INDEX(GLAPS컨테이너배차관리!$DK:$DK,$B4)="","",INDEX(GLAPS컨테이너배차관리!$DK:$DK,$B4))&lt;&gt;"",IF(INDEX(GLAPS컨테이너배차관리!$DK:$DK,$B4)="","",INDEX(GLAPS컨테이너배차관리!$DK:$DK,$B4)),IF(IF(INDEX(GLAPS컨테이너배차관리!$DL:$DL,$B4)="","",INDEX(GLAPS컨테이너배차관리!$DL:$DL,$B4))&lt;&gt;"",IF(INDEX(GLAPS컨테이너배차관리!$DL:$DL,$B4)="","",INDEX(GLAPS컨테이너배차관리!$DL:$DL,$B4)),IF(IF(INDEX(GLAPS컨테이너배차관리!$DM:$DM,$B4)="","",INDEX(GLAPS컨테이너배차관리!$DM:$DM,$B4))&lt;&gt;"",IF(INDEX(GLAPS컨테이너배차관리!$DM:$DM,$B4)="","",INDEX(GLAPS컨테이너배차관리!$DM:$DM,$B4)),""))))))</f>
        <v/>
      </c>
      <c r="X4" t="str">
        <f>IF($B4="","",IF(INDEX(GLAPS컨테이너배차관리!$F:$F,$B4)="","",INDEX(GLAPS컨테이너배차관리!$F:$F,$B4)))</f>
        <v>X260602-001973</v>
      </c>
      <c r="Y4" t="str">
        <f>IF($B4="","",IF(IF(INDEX(GLAPS컨테이너배차관리!$M:$M,$B4)="","",INDEX(GLAPS컨테이너배차관리!$M:$M,$B4))&lt;&gt;"",IF(INDEX(GLAPS컨테이너배차관리!$M:$M,$B4)="","",INDEX(GLAPS컨테이너배차관리!$M:$M,$B4)),IF(IF(INDEX(GLAPS컨테이너배차관리!$N:$N,$B4)="","",INDEX(GLAPS컨테이너배차관리!$N:$N,$B4))&lt;&gt;"",IF(INDEX(GLAPS컨테이너배차관리!$N:$N,$B4)="","",INDEX(GLAPS컨테이너배차관리!$N:$N,$B4)),"")))</f>
        <v>CMA2606010011</v>
      </c>
      <c r="Z4" t="str">
        <f>IF($B4="","",IF(IF(INDEX(GLAPS컨테이너배차관리!$CU:$CU,$B4)="","",INDEX(GLAPS컨테이너배차관리!$CU:$CU,$B4))="","",IFERROR(INT(IF(INDEX(GLAPS컨테이너배차관리!$CU:$CU,$B4)="","",INDEX(GLAPS컨테이너배차관리!$CU:$CU,$B4))),"")))</f>
        <v/>
      </c>
      <c r="AA4" t="str">
        <f>IF($B4="","",IF(AND(IF(INDEX(GLAPS컨테이너배차관리!$CL:$CL,$B4)="","",INDEX(GLAPS컨테이너배차관리!$CL:$CL,$B4))="",IF(INDEX(GLAPS컨테이너배차관리!$CM:$CM,$B4)="","",INDEX(GLAPS컨테이너배차관리!$CM:$CM,$B4))=""),"",IF(OR(IF(INDEX(GLAPS컨테이너배차관리!$CL:$CL,$B4)="","",INDEX(GLAPS컨테이너배차관리!$CL:$CL,$B4))="B000016649",ISNUMBER(SEARCH("B015",IF(INDEX(GLAPS컨테이너배차관리!$CM:$CM,$B4)="","",INDEX(GLAPS컨테이너배차관리!$CM:$CM,$B4)))),ISNUMBER(SEARCH("세방",IF(INDEX(GLAPS컨테이너배차관리!$CM:$CM,$B4)="","",INDEX(GLAPS컨테이너배차관리!$CM:$CM,$B4)))),ISNUMBER(SEARCH("SB",IF(INDEX(GLAPS컨테이너배차관리!$CM:$CM,$B4)="","",INDEX(GLAPS컨테이너배차관리!$CM:$CM,$B4))))),"세방","")))</f>
        <v/>
      </c>
      <c r="AB4" t="str">
        <f>IF($B4="","",IF(IF(INDEX(GLAPS컨테이너배차관리!$CM:$CM,$B4)="","",INDEX(GLAPS컨테이너배차관리!$CM:$CM,$B4))="","",IF(ISNUMBER(SEARCH("이지스두동",IF(INDEX(GLAPS컨테이너배차관리!$CM:$CM,$B4)="","",INDEX(GLAPS컨테이너배차관리!$CM:$CM,$B4)))),"이지스두동",IF(ISNUMBER(SEARCH("이지스녹산",IF(INDEX(GLAPS컨테이너배차관리!$CM:$CM,$B4)="","",INDEX(GLAPS컨테이너배차관리!$CM:$CM,$B4)))),"이지스녹산",IF(ISNUMBER(SEARCH("천우",IF(INDEX(GLAPS컨테이너배차관리!$CM:$CM,$B4)="","",INDEX(GLAPS컨테이너배차관리!$CM:$CM,$B4)))),"천우",IF(OR(ISNUMBER(SEARCH("청암",IF(INDEX(GLAPS컨테이너배차관리!$CM:$CM,$B4)="","",INDEX(GLAPS컨테이너배차관리!$CM:$CM,$B4)))),ISNUMBER(SEARCH("SB청암",IF(INDEX(GLAPS컨테이너배차관리!$CM:$CM,$B4)="","",INDEX(GLAPS컨테이너배차관리!$CM:$CM,$B4))))),"청암신항",IF(INDEX(GLAPS컨테이너배차관리!$CM:$CM,$B4)="","",INDEX(GLAPS컨테이너배차관리!$CM:$CM,$B4))))))))</f>
        <v/>
      </c>
    </row>
    <row r="5" spans="1:28">
      <c r="A5">
        <v>4</v>
      </c>
      <c r="B5">
        <f>IFERROR(_xlfn.AGGREGATE(15,6,ROW(GLAPS컨테이너배차관리!$X$2:$X$20000)/(GLAPS컨테이너배차관리!$X$2:$X$20000&lt;&gt;""),A5),"")</f>
        <v>20</v>
      </c>
      <c r="C5">
        <f>IF($B5="","",INT(IF(INDEX(GLAPS컨테이너배차관리!$K:$K,$B5)="","",INDEX(GLAPS컨테이너배차관리!$K:$K,$B5))))</f>
        <v>46177</v>
      </c>
      <c r="D5" t="str">
        <f>IF($B5="","",IF(ISNUMBER(SEARCH("이엘에스",IF(INDEX(GLAPS컨테이너배차관리!$AZ:$AZ,$B5)="","",INDEX(GLAPS컨테이너배차관리!$AZ:$AZ,$B5)))),"ELS솔루션",IF(INDEX(GLAPS컨테이너배차관리!$AZ:$AZ,$B5)="","",INDEX(GLAPS컨테이너배차관리!$AZ:$AZ,$B5))))</f>
        <v>ELS솔루션</v>
      </c>
      <c r="E5" t="str">
        <f>IF($B5="","",IF(INDEX(GLAPS컨테이너배차관리!$L:$L,$B5)="","",INDEX(GLAPS컨테이너배차관리!$L:$L,$B5)))</f>
        <v>09:00</v>
      </c>
      <c r="F5" t="str">
        <f>IF($B5="","",IF(HOUR(IF(INDEX(GLAPS컨테이너배차관리!$L:$L,$B5)="","",INDEX(GLAPS컨테이너배차관리!$L:$L,$B5)))&lt;12,"오전",IF(HOUR(IF(INDEX(GLAPS컨테이너배차관리!$L:$L,$B5)="","",INDEX(GLAPS컨테이너배차관리!$L:$L,$B5)))&lt;18,"오후","잔업")))</f>
        <v>오전</v>
      </c>
      <c r="G5" t="str">
        <f>IF($B5="","",IFERROR(INDEX(GLAPS정리!$G$3:$G$264,MATCH(IF(INDEX(GLAPS컨테이너배차관리!$BY:$BY,$B5)="","",INDEX(GLAPS컨테이너배차관리!$BY:$BY,$B5)),GLAPS정리!$H$3:$H$264,0)),TRIM(SUBSTITUTE(SUBSTITUTE(SUBSTITUTE(SUBSTITUTE(SUBSTITUTE(IF(INDEX(GLAPS컨테이너배차관리!$T:$T,$B5)="","",INDEX(GLAPS컨테이너배차관리!$T:$T,$B5)),"[GA]",""),"[GB]",""),"[GC]",""),"[KC]",""),"[GS]",""))))</f>
        <v>아산 1포장장</v>
      </c>
      <c r="H5" t="str">
        <f>IF($B5="","",IFERROR(VLOOKUP(IF(INDEX(GLAPS컨테이너배차관리!$BY:$BY,$B5)="","",INDEX(GLAPS컨테이너배차관리!$BY:$BY,$B5)),GLAPS정리!$BT$3:$BV$200,3,0),""))</f>
        <v>EAS</v>
      </c>
      <c r="I5" t="str">
        <f>IF($B5="","",LEFT(IF(INDEX(GLAPS컨테이너배차관리!$U:$U,$B5)="","",INDEX(GLAPS컨테이너배차관리!$U:$U,$B5)),FIND("/",IF(INDEX(GLAPS컨테이너배차관리!$U:$U,$B5)="","",INDEX(GLAPS컨테이너배차관리!$U:$U,$B5))&amp;"/")-1))</f>
        <v>KASK</v>
      </c>
      <c r="J5" t="str">
        <f>IF($B5="","",IF(IF(INDEX(GLAPS컨테이너배차관리!$O:$O,$B5)="","",INDEX(GLAPS컨테이너배차관리!$O:$O,$B5))="EMC","EMA",IFERROR(INDEX(GLAPS정리!$A$2:$A$50,MATCH(IF(INDEX(GLAPS컨테이너배차관리!$O:$O,$B5)="","",INDEX(GLAPS컨테이너배차관리!$O:$O,$B5)),GLAPS정리!$D$2:$D$50,0)),IF(INDEX(GLAPS컨테이너배차관리!$O:$O,$B5)="","",INDEX(GLAPS컨테이너배차관리!$O:$O,$B5)))))</f>
        <v>CMA</v>
      </c>
      <c r="K5" t="str">
        <f>IF($B5="","",IF(LEFT(IF(INDEX(GLAPS컨테이너배차관리!$Y:$Y,$B5)="","",INDEX(GLAPS컨테이너배차관리!$Y:$Y,$B5)),2)="22","20 Feet",IF(LEFT(IF(INDEX(GLAPS컨테이너배차관리!$Y:$Y,$B5)="","",INDEX(GLAPS컨테이너배차관리!$Y:$Y,$B5)),2)="42","40 Feet","40 Feet H")))</f>
        <v>40 Feet H</v>
      </c>
      <c r="L5" t="str">
        <f>IF($B5="","",IFERROR(INDEX(GLAPS정리!$BB$2:$BB$80,MATCH(IF(INDEX(GLAPS컨테이너배차관리!$BQ:$BQ,$B5)="","",INDEX(GLAPS컨테이너배차관리!$BQ:$BQ,$B5)),GLAPS정리!$BC$2:$BC$80,0)),IF(INDEX(GLAPS컨테이너배차관리!$BQ:$BQ,$B5)="","",INDEX(GLAPS컨테이너배차관리!$BQ:$BQ,$B5))))</f>
        <v>BUSAN(NEW)</v>
      </c>
      <c r="M5" t="str">
        <f>IF($B5="","",IFERROR(INDEX(GLAPS정리!$V$3:$V$180,MATCH(IF(INDEX(GLAPS컨테이너배차관리!$S:$S,$B5)="","",INDEX(GLAPS컨테이너배차관리!$S:$S,$B5)),GLAPS정리!$W$3:$W$180,0)),IF(INDEX(GLAPS컨테이너배차관리!$S:$S,$B5)="","",INDEX(GLAPS컨테이너배차관리!$S:$S,$B5))))</f>
        <v>코퍼</v>
      </c>
      <c r="N5" t="str">
        <f>IF($B5="","",IF(IF(INDEX(GLAPS컨테이너배차관리!$DF:$DF,$B5)="","",INDEX(GLAPS컨테이너배차관리!$DF:$DF,$B5))&lt;&gt;"",IF(INDEX(GLAPS컨테이너배차관리!$DF:$DF,$B5)="","",INDEX(GLAPS컨테이너배차관리!$DF:$DF,$B5)),IF(IF(INDEX(GLAPS컨테이너배차관리!$DG:$DG,$B5)="","",INDEX(GLAPS컨테이너배차관리!$DG:$DG,$B5))&lt;&gt;"",IF(INDEX(GLAPS컨테이너배차관리!$DG:$DG,$B5)="","",INDEX(GLAPS컨테이너배차관리!$DG:$DG,$B5)),"")))</f>
        <v/>
      </c>
      <c r="O5" t="str">
        <f>IF($B5="","",IF(INDEX(GLAPS컨테이너배차관리!$AB:$AB,$B5)="","",INDEX(GLAPS컨테이너배차관리!$AB:$AB,$B5)))</f>
        <v>대구98바2977</v>
      </c>
      <c r="P5" t="str">
        <f>IF($B5="","",IF(IF(INDEX(GLAPS컨테이너배차관리!$CP:$CP,$B5)="","",INDEX(GLAPS컨테이너배차관리!$CP:$CP,$B5))="","",IFERROR(INDEX(GLAPS정리!$BH$2:$BH$101,MATCH(IF(INDEX(GLAPS컨테이너배차관리!$CP:$CP,$B5)="","",INDEX(GLAPS컨테이너배차관리!$CP:$CP,$B5)),GLAPS정리!$BI$2:$BI$101,0)),IF(INDEX(GLAPS컨테이너배차관리!$CP:$CP,$B5)="","",INDEX(GLAPS컨테이너배차관리!$CP:$CP,$B5)))))</f>
        <v/>
      </c>
      <c r="Q5" t="str">
        <f>IF($B5="","",IF(AND(IF(INDEX(GLAPS컨테이너배차관리!$AK:$AK,$B5)="","",INDEX(GLAPS컨테이너배차관리!$AK:$AK,$B5))="Y",IF(INDEX(GLAPS컨테이너배차관리!$AI:$AI,$B5)="","",INDEX(GLAPS컨테이너배차관리!$AI:$AI,$B5))="Y"),"위험물리퍼",IF(IF(INDEX(GLAPS컨테이너배차관리!$AK:$AK,$B5)="","",INDEX(GLAPS컨테이너배차관리!$AK:$AK,$B5))="Y","위험물",IF(IF(INDEX(GLAPS컨테이너배차관리!$AI:$AI,$B5)="","",INDEX(GLAPS컨테이너배차관리!$AI:$AI,$B5))="Y","리퍼",""))))</f>
        <v/>
      </c>
      <c r="R5" t="str">
        <f>IF($B5="","",IF(LEFT(IF(INDEX(GLAPS컨테이너배차관리!$Y:$Y,$B5)="","",INDEX(GLAPS컨테이너배차관리!$Y:$Y,$B5)),2)="22",1,""))</f>
        <v/>
      </c>
      <c r="S5" t="str">
        <f>IF($B5="","",IF(LEFT(IF(INDEX(GLAPS컨테이너배차관리!$Y:$Y,$B5)="","",INDEX(GLAPS컨테이너배차관리!$Y:$Y,$B5)),2)="42",1,""))</f>
        <v/>
      </c>
      <c r="T5">
        <f>IF($B5="","",IF(LEFT(IF(INDEX(GLAPS컨테이너배차관리!$Y:$Y,$B5)="","",INDEX(GLAPS컨테이너배차관리!$Y:$Y,$B5)),2)="45",1,""))</f>
        <v>1</v>
      </c>
      <c r="U5" t="str">
        <f>IF($B5="","",IF(INDEX(GLAPS컨테이너배차관리!$X:$X,$B5)="","",INDEX(GLAPS컨테이너배차관리!$X:$X,$B5)))</f>
        <v>BMOU5643070</v>
      </c>
      <c r="V5" t="str">
        <f>IF($B5="","",IF(INDEX(GLAPS컨테이너배차관리!$Z:$Z,$B5)="","",INDEX(GLAPS컨테이너배차관리!$Z:$Z,$B5)))</f>
        <v>M6519509</v>
      </c>
      <c r="W5" t="str">
        <f>IF($B5="","",IF(IF(INDEX(GLAPS컨테이너배차관리!$DI:$DI,$B5)="","",INDEX(GLAPS컨테이너배차관리!$DI:$DI,$B5))&lt;&gt;"",IF(INDEX(GLAPS컨테이너배차관리!$DI:$DI,$B5)="","",INDEX(GLAPS컨테이너배차관리!$DI:$DI,$B5)),IF(IF(INDEX(GLAPS컨테이너배차관리!$DJ:$DJ,$B5)="","",INDEX(GLAPS컨테이너배차관리!$DJ:$DJ,$B5))&lt;&gt;"",IF(INDEX(GLAPS컨테이너배차관리!$DJ:$DJ,$B5)="","",INDEX(GLAPS컨테이너배차관리!$DJ:$DJ,$B5)),IF(IF(INDEX(GLAPS컨테이너배차관리!$DK:$DK,$B5)="","",INDEX(GLAPS컨테이너배차관리!$DK:$DK,$B5))&lt;&gt;"",IF(INDEX(GLAPS컨테이너배차관리!$DK:$DK,$B5)="","",INDEX(GLAPS컨테이너배차관리!$DK:$DK,$B5)),IF(IF(INDEX(GLAPS컨테이너배차관리!$DL:$DL,$B5)="","",INDEX(GLAPS컨테이너배차관리!$DL:$DL,$B5))&lt;&gt;"",IF(INDEX(GLAPS컨테이너배차관리!$DL:$DL,$B5)="","",INDEX(GLAPS컨테이너배차관리!$DL:$DL,$B5)),IF(IF(INDEX(GLAPS컨테이너배차관리!$DM:$DM,$B5)="","",INDEX(GLAPS컨테이너배차관리!$DM:$DM,$B5))&lt;&gt;"",IF(INDEX(GLAPS컨테이너배차관리!$DM:$DM,$B5)="","",INDEX(GLAPS컨테이너배차관리!$DM:$DM,$B5)),""))))))</f>
        <v/>
      </c>
      <c r="X5" t="str">
        <f>IF($B5="","",IF(INDEX(GLAPS컨테이너배차관리!$F:$F,$B5)="","",INDEX(GLAPS컨테이너배차관리!$F:$F,$B5)))</f>
        <v>X260602-001974</v>
      </c>
      <c r="Y5" t="str">
        <f>IF($B5="","",IF(IF(INDEX(GLAPS컨테이너배차관리!$M:$M,$B5)="","",INDEX(GLAPS컨테이너배차관리!$M:$M,$B5))&lt;&gt;"",IF(INDEX(GLAPS컨테이너배차관리!$M:$M,$B5)="","",INDEX(GLAPS컨테이너배차관리!$M:$M,$B5)),IF(IF(INDEX(GLAPS컨테이너배차관리!$N:$N,$B5)="","",INDEX(GLAPS컨테이너배차관리!$N:$N,$B5))&lt;&gt;"",IF(INDEX(GLAPS컨테이너배차관리!$N:$N,$B5)="","",INDEX(GLAPS컨테이너배차관리!$N:$N,$B5)),"")))</f>
        <v>CMA2606010011</v>
      </c>
      <c r="Z5" t="str">
        <f>IF($B5="","",IF(IF(INDEX(GLAPS컨테이너배차관리!$CU:$CU,$B5)="","",INDEX(GLAPS컨테이너배차관리!$CU:$CU,$B5))="","",IFERROR(INT(IF(INDEX(GLAPS컨테이너배차관리!$CU:$CU,$B5)="","",INDEX(GLAPS컨테이너배차관리!$CU:$CU,$B5))),"")))</f>
        <v/>
      </c>
      <c r="AA5" t="str">
        <f>IF($B5="","",IF(AND(IF(INDEX(GLAPS컨테이너배차관리!$CL:$CL,$B5)="","",INDEX(GLAPS컨테이너배차관리!$CL:$CL,$B5))="",IF(INDEX(GLAPS컨테이너배차관리!$CM:$CM,$B5)="","",INDEX(GLAPS컨테이너배차관리!$CM:$CM,$B5))=""),"",IF(OR(IF(INDEX(GLAPS컨테이너배차관리!$CL:$CL,$B5)="","",INDEX(GLAPS컨테이너배차관리!$CL:$CL,$B5))="B000016649",ISNUMBER(SEARCH("B015",IF(INDEX(GLAPS컨테이너배차관리!$CM:$CM,$B5)="","",INDEX(GLAPS컨테이너배차관리!$CM:$CM,$B5)))),ISNUMBER(SEARCH("세방",IF(INDEX(GLAPS컨테이너배차관리!$CM:$CM,$B5)="","",INDEX(GLAPS컨테이너배차관리!$CM:$CM,$B5)))),ISNUMBER(SEARCH("SB",IF(INDEX(GLAPS컨테이너배차관리!$CM:$CM,$B5)="","",INDEX(GLAPS컨테이너배차관리!$CM:$CM,$B5))))),"세방","")))</f>
        <v/>
      </c>
      <c r="AB5" t="str">
        <f>IF($B5="","",IF(IF(INDEX(GLAPS컨테이너배차관리!$CM:$CM,$B5)="","",INDEX(GLAPS컨테이너배차관리!$CM:$CM,$B5))="","",IF(ISNUMBER(SEARCH("이지스두동",IF(INDEX(GLAPS컨테이너배차관리!$CM:$CM,$B5)="","",INDEX(GLAPS컨테이너배차관리!$CM:$CM,$B5)))),"이지스두동",IF(ISNUMBER(SEARCH("이지스녹산",IF(INDEX(GLAPS컨테이너배차관리!$CM:$CM,$B5)="","",INDEX(GLAPS컨테이너배차관리!$CM:$CM,$B5)))),"이지스녹산",IF(ISNUMBER(SEARCH("천우",IF(INDEX(GLAPS컨테이너배차관리!$CM:$CM,$B5)="","",INDEX(GLAPS컨테이너배차관리!$CM:$CM,$B5)))),"천우",IF(OR(ISNUMBER(SEARCH("청암",IF(INDEX(GLAPS컨테이너배차관리!$CM:$CM,$B5)="","",INDEX(GLAPS컨테이너배차관리!$CM:$CM,$B5)))),ISNUMBER(SEARCH("SB청암",IF(INDEX(GLAPS컨테이너배차관리!$CM:$CM,$B5)="","",INDEX(GLAPS컨테이너배차관리!$CM:$CM,$B5))))),"청암신항",IF(INDEX(GLAPS컨테이너배차관리!$CM:$CM,$B5)="","",INDEX(GLAPS컨테이너배차관리!$CM:$CM,$B5))))))))</f>
        <v/>
      </c>
    </row>
    <row r="6" spans="1:28">
      <c r="A6">
        <v>5</v>
      </c>
      <c r="B6">
        <f>IFERROR(_xlfn.AGGREGATE(15,6,ROW(GLAPS컨테이너배차관리!$X$2:$X$20000)/(GLAPS컨테이너배차관리!$X$2:$X$20000&lt;&gt;""),A6),"")</f>
        <v>24</v>
      </c>
      <c r="C6">
        <f>IF($B6="","",INT(IF(INDEX(GLAPS컨테이너배차관리!$K:$K,$B6)="","",INDEX(GLAPS컨테이너배차관리!$K:$K,$B6))))</f>
        <v>46177</v>
      </c>
      <c r="D6" t="str">
        <f>IF($B6="","",IF(ISNUMBER(SEARCH("이엘에스",IF(INDEX(GLAPS컨테이너배차관리!$AZ:$AZ,$B6)="","",INDEX(GLAPS컨테이너배차관리!$AZ:$AZ,$B6)))),"ELS솔루션",IF(INDEX(GLAPS컨테이너배차관리!$AZ:$AZ,$B6)="","",INDEX(GLAPS컨테이너배차관리!$AZ:$AZ,$B6))))</f>
        <v>ELS솔루션</v>
      </c>
      <c r="E6" t="str">
        <f>IF($B6="","",IF(INDEX(GLAPS컨테이너배차관리!$L:$L,$B6)="","",INDEX(GLAPS컨테이너배차관리!$L:$L,$B6)))</f>
        <v>08:00</v>
      </c>
      <c r="F6" t="str">
        <f>IF($B6="","",IF(HOUR(IF(INDEX(GLAPS컨테이너배차관리!$L:$L,$B6)="","",INDEX(GLAPS컨테이너배차관리!$L:$L,$B6)))&lt;12,"오전",IF(HOUR(IF(INDEX(GLAPS컨테이너배차관리!$L:$L,$B6)="","",INDEX(GLAPS컨테이너배차관리!$L:$L,$B6)))&lt;18,"오후","잔업")))</f>
        <v>오전</v>
      </c>
      <c r="G6" t="str">
        <f>IF($B6="","",IFERROR(INDEX(GLAPS정리!$G$3:$G$264,MATCH(IF(INDEX(GLAPS컨테이너배차관리!$BY:$BY,$B6)="","",INDEX(GLAPS컨테이너배차관리!$BY:$BY,$B6)),GLAPS정리!$H$3:$H$264,0)),TRIM(SUBSTITUTE(SUBSTITUTE(SUBSTITUTE(SUBSTITUTE(SUBSTITUTE(IF(INDEX(GLAPS컨테이너배차관리!$T:$T,$B6)="","",INDEX(GLAPS컨테이너배차관리!$T:$T,$B6)),"[GA]",""),"[GB]",""),"[GC]",""),"[KC]",""),"[GS]",""))))</f>
        <v>아산 1포장장</v>
      </c>
      <c r="H6" t="str">
        <f>IF($B6="","",IFERROR(VLOOKUP(IF(INDEX(GLAPS컨테이너배차관리!$BY:$BY,$B6)="","",INDEX(GLAPS컨테이너배차관리!$BY:$BY,$B6)),GLAPS정리!$BT$3:$BV$200,3,0),""))</f>
        <v>EAS</v>
      </c>
      <c r="I6" t="str">
        <f>IF($B6="","",LEFT(IF(INDEX(GLAPS컨테이너배차관리!$U:$U,$B6)="","",INDEX(GLAPS컨테이너배차관리!$U:$U,$B6)),FIND("/",IF(INDEX(GLAPS컨테이너배차관리!$U:$U,$B6)="","",INDEX(GLAPS컨테이너배차관리!$U:$U,$B6))&amp;"/")-1))</f>
        <v>HMMC</v>
      </c>
      <c r="J6" t="str">
        <f>IF($B6="","",IF(IF(INDEX(GLAPS컨테이너배차관리!$O:$O,$B6)="","",INDEX(GLAPS컨테이너배차관리!$O:$O,$B6))="EMC","EMA",IFERROR(INDEX(GLAPS정리!$A$2:$A$50,MATCH(IF(INDEX(GLAPS컨테이너배차관리!$O:$O,$B6)="","",INDEX(GLAPS컨테이너배차관리!$O:$O,$B6)),GLAPS정리!$D$2:$D$50,0)),IF(INDEX(GLAPS컨테이너배차관리!$O:$O,$B6)="","",INDEX(GLAPS컨테이너배차관리!$O:$O,$B6)))))</f>
        <v>CMA</v>
      </c>
      <c r="K6" t="str">
        <f>IF($B6="","",IF(LEFT(IF(INDEX(GLAPS컨테이너배차관리!$Y:$Y,$B6)="","",INDEX(GLAPS컨테이너배차관리!$Y:$Y,$B6)),2)="22","20 Feet",IF(LEFT(IF(INDEX(GLAPS컨테이너배차관리!$Y:$Y,$B6)="","",INDEX(GLAPS컨테이너배차관리!$Y:$Y,$B6)),2)="42","40 Feet","40 Feet H")))</f>
        <v>40 Feet H</v>
      </c>
      <c r="L6" t="str">
        <f>IF($B6="","",IFERROR(INDEX(GLAPS정리!$BB$2:$BB$80,MATCH(IF(INDEX(GLAPS컨테이너배차관리!$BQ:$BQ,$B6)="","",INDEX(GLAPS컨테이너배차관리!$BQ:$BQ,$B6)),GLAPS정리!$BC$2:$BC$80,0)),IF(INDEX(GLAPS컨테이너배차관리!$BQ:$BQ,$B6)="","",INDEX(GLAPS컨테이너배차관리!$BQ:$BQ,$B6))))</f>
        <v>BUSAN(NEW)</v>
      </c>
      <c r="M6" t="str">
        <f>IF($B6="","",IFERROR(INDEX(GLAPS정리!$V$3:$V$180,MATCH(IF(INDEX(GLAPS컨테이너배차관리!$S:$S,$B6)="","",INDEX(GLAPS컨테이너배차관리!$S:$S,$B6)),GLAPS정리!$W$3:$W$180,0)),IF(INDEX(GLAPS컨테이너배차관리!$S:$S,$B6)="","",INDEX(GLAPS컨테이너배차관리!$S:$S,$B6))))</f>
        <v>코퍼</v>
      </c>
      <c r="N6" t="str">
        <f>IF($B6="","",IF(IF(INDEX(GLAPS컨테이너배차관리!$DF:$DF,$B6)="","",INDEX(GLAPS컨테이너배차관리!$DF:$DF,$B6))&lt;&gt;"",IF(INDEX(GLAPS컨테이너배차관리!$DF:$DF,$B6)="","",INDEX(GLAPS컨테이너배차관리!$DF:$DF,$B6)),IF(IF(INDEX(GLAPS컨테이너배차관리!$DG:$DG,$B6)="","",INDEX(GLAPS컨테이너배차관리!$DG:$DG,$B6))&lt;&gt;"",IF(INDEX(GLAPS컨테이너배차관리!$DG:$DG,$B6)="","",INDEX(GLAPS컨테이너배차관리!$DG:$DG,$B6)),"")))</f>
        <v/>
      </c>
      <c r="O6" t="str">
        <f>IF($B6="","",IF(INDEX(GLAPS컨테이너배차관리!$AB:$AB,$B6)="","",INDEX(GLAPS컨테이너배차관리!$AB:$AB,$B6)))</f>
        <v>대구98바3558</v>
      </c>
      <c r="P6" t="str">
        <f>IF($B6="","",IF(IF(INDEX(GLAPS컨테이너배차관리!$CP:$CP,$B6)="","",INDEX(GLAPS컨테이너배차관리!$CP:$CP,$B6))="","",IFERROR(INDEX(GLAPS정리!$BH$2:$BH$101,MATCH(IF(INDEX(GLAPS컨테이너배차관리!$CP:$CP,$B6)="","",INDEX(GLAPS컨테이너배차관리!$CP:$CP,$B6)),GLAPS정리!$BI$2:$BI$101,0)),IF(INDEX(GLAPS컨테이너배차관리!$CP:$CP,$B6)="","",INDEX(GLAPS컨테이너배차관리!$CP:$CP,$B6)))))</f>
        <v/>
      </c>
      <c r="Q6" t="str">
        <f>IF($B6="","",IF(AND(IF(INDEX(GLAPS컨테이너배차관리!$AK:$AK,$B6)="","",INDEX(GLAPS컨테이너배차관리!$AK:$AK,$B6))="Y",IF(INDEX(GLAPS컨테이너배차관리!$AI:$AI,$B6)="","",INDEX(GLAPS컨테이너배차관리!$AI:$AI,$B6))="Y"),"위험물리퍼",IF(IF(INDEX(GLAPS컨테이너배차관리!$AK:$AK,$B6)="","",INDEX(GLAPS컨테이너배차관리!$AK:$AK,$B6))="Y","위험물",IF(IF(INDEX(GLAPS컨테이너배차관리!$AI:$AI,$B6)="","",INDEX(GLAPS컨테이너배차관리!$AI:$AI,$B6))="Y","리퍼",""))))</f>
        <v/>
      </c>
      <c r="R6" t="str">
        <f>IF($B6="","",IF(LEFT(IF(INDEX(GLAPS컨테이너배차관리!$Y:$Y,$B6)="","",INDEX(GLAPS컨테이너배차관리!$Y:$Y,$B6)),2)="22",1,""))</f>
        <v/>
      </c>
      <c r="S6" t="str">
        <f>IF($B6="","",IF(LEFT(IF(INDEX(GLAPS컨테이너배차관리!$Y:$Y,$B6)="","",INDEX(GLAPS컨테이너배차관리!$Y:$Y,$B6)),2)="42",1,""))</f>
        <v/>
      </c>
      <c r="T6">
        <f>IF($B6="","",IF(LEFT(IF(INDEX(GLAPS컨테이너배차관리!$Y:$Y,$B6)="","",INDEX(GLAPS컨테이너배차관리!$Y:$Y,$B6)),2)="45",1,""))</f>
        <v>1</v>
      </c>
      <c r="U6" t="str">
        <f>IF($B6="","",IF(INDEX(GLAPS컨테이너배차관리!$X:$X,$B6)="","",INDEX(GLAPS컨테이너배차관리!$X:$X,$B6)))</f>
        <v>BEAU4767641</v>
      </c>
      <c r="V6" t="str">
        <f>IF($B6="","",IF(INDEX(GLAPS컨테이너배차관리!$Z:$Z,$B6)="","",INDEX(GLAPS컨테이너배차관리!$Z:$Z,$B6)))</f>
        <v>M6412856</v>
      </c>
      <c r="W6" t="str">
        <f>IF($B6="","",IF(IF(INDEX(GLAPS컨테이너배차관리!$DI:$DI,$B6)="","",INDEX(GLAPS컨테이너배차관리!$DI:$DI,$B6))&lt;&gt;"",IF(INDEX(GLAPS컨테이너배차관리!$DI:$DI,$B6)="","",INDEX(GLAPS컨테이너배차관리!$DI:$DI,$B6)),IF(IF(INDEX(GLAPS컨테이너배차관리!$DJ:$DJ,$B6)="","",INDEX(GLAPS컨테이너배차관리!$DJ:$DJ,$B6))&lt;&gt;"",IF(INDEX(GLAPS컨테이너배차관리!$DJ:$DJ,$B6)="","",INDEX(GLAPS컨테이너배차관리!$DJ:$DJ,$B6)),IF(IF(INDEX(GLAPS컨테이너배차관리!$DK:$DK,$B6)="","",INDEX(GLAPS컨테이너배차관리!$DK:$DK,$B6))&lt;&gt;"",IF(INDEX(GLAPS컨테이너배차관리!$DK:$DK,$B6)="","",INDEX(GLAPS컨테이너배차관리!$DK:$DK,$B6)),IF(IF(INDEX(GLAPS컨테이너배차관리!$DL:$DL,$B6)="","",INDEX(GLAPS컨테이너배차관리!$DL:$DL,$B6))&lt;&gt;"",IF(INDEX(GLAPS컨테이너배차관리!$DL:$DL,$B6)="","",INDEX(GLAPS컨테이너배차관리!$DL:$DL,$B6)),IF(IF(INDEX(GLAPS컨테이너배차관리!$DM:$DM,$B6)="","",INDEX(GLAPS컨테이너배차관리!$DM:$DM,$B6))&lt;&gt;"",IF(INDEX(GLAPS컨테이너배차관리!$DM:$DM,$B6)="","",INDEX(GLAPS컨테이너배차관리!$DM:$DM,$B6)),""))))))</f>
        <v/>
      </c>
      <c r="X6" t="str">
        <f>IF($B6="","",IF(INDEX(GLAPS컨테이너배차관리!$F:$F,$B6)="","",INDEX(GLAPS컨테이너배차관리!$F:$F,$B6)))</f>
        <v>X260602-001982</v>
      </c>
      <c r="Y6" t="str">
        <f>IF($B6="","",IF(IF(INDEX(GLAPS컨테이너배차관리!$M:$M,$B6)="","",INDEX(GLAPS컨테이너배차관리!$M:$M,$B6))&lt;&gt;"",IF(INDEX(GLAPS컨테이너배차관리!$M:$M,$B6)="","",INDEX(GLAPS컨테이너배차관리!$M:$M,$B6)),IF(IF(INDEX(GLAPS컨테이너배차관리!$N:$N,$B6)="","",INDEX(GLAPS컨테이너배차관리!$N:$N,$B6))&lt;&gt;"",IF(INDEX(GLAPS컨테이너배차관리!$N:$N,$B6)="","",INDEX(GLAPS컨테이너배차관리!$N:$N,$B6)),"")))</f>
        <v>CMA2606010011</v>
      </c>
      <c r="Z6" t="str">
        <f>IF($B6="","",IF(IF(INDEX(GLAPS컨테이너배차관리!$CU:$CU,$B6)="","",INDEX(GLAPS컨테이너배차관리!$CU:$CU,$B6))="","",IFERROR(INT(IF(INDEX(GLAPS컨테이너배차관리!$CU:$CU,$B6)="","",INDEX(GLAPS컨테이너배차관리!$CU:$CU,$B6))),"")))</f>
        <v/>
      </c>
      <c r="AA6" t="str">
        <f>IF($B6="","",IF(AND(IF(INDEX(GLAPS컨테이너배차관리!$CL:$CL,$B6)="","",INDEX(GLAPS컨테이너배차관리!$CL:$CL,$B6))="",IF(INDEX(GLAPS컨테이너배차관리!$CM:$CM,$B6)="","",INDEX(GLAPS컨테이너배차관리!$CM:$CM,$B6))=""),"",IF(OR(IF(INDEX(GLAPS컨테이너배차관리!$CL:$CL,$B6)="","",INDEX(GLAPS컨테이너배차관리!$CL:$CL,$B6))="B000016649",ISNUMBER(SEARCH("B015",IF(INDEX(GLAPS컨테이너배차관리!$CM:$CM,$B6)="","",INDEX(GLAPS컨테이너배차관리!$CM:$CM,$B6)))),ISNUMBER(SEARCH("세방",IF(INDEX(GLAPS컨테이너배차관리!$CM:$CM,$B6)="","",INDEX(GLAPS컨테이너배차관리!$CM:$CM,$B6)))),ISNUMBER(SEARCH("SB",IF(INDEX(GLAPS컨테이너배차관리!$CM:$CM,$B6)="","",INDEX(GLAPS컨테이너배차관리!$CM:$CM,$B6))))),"세방","")))</f>
        <v/>
      </c>
      <c r="AB6" t="str">
        <f>IF($B6="","",IF(IF(INDEX(GLAPS컨테이너배차관리!$CM:$CM,$B6)="","",INDEX(GLAPS컨테이너배차관리!$CM:$CM,$B6))="","",IF(ISNUMBER(SEARCH("이지스두동",IF(INDEX(GLAPS컨테이너배차관리!$CM:$CM,$B6)="","",INDEX(GLAPS컨테이너배차관리!$CM:$CM,$B6)))),"이지스두동",IF(ISNUMBER(SEARCH("이지스녹산",IF(INDEX(GLAPS컨테이너배차관리!$CM:$CM,$B6)="","",INDEX(GLAPS컨테이너배차관리!$CM:$CM,$B6)))),"이지스녹산",IF(ISNUMBER(SEARCH("천우",IF(INDEX(GLAPS컨테이너배차관리!$CM:$CM,$B6)="","",INDEX(GLAPS컨테이너배차관리!$CM:$CM,$B6)))),"천우",IF(OR(ISNUMBER(SEARCH("청암",IF(INDEX(GLAPS컨테이너배차관리!$CM:$CM,$B6)="","",INDEX(GLAPS컨테이너배차관리!$CM:$CM,$B6)))),ISNUMBER(SEARCH("SB청암",IF(INDEX(GLAPS컨테이너배차관리!$CM:$CM,$B6)="","",INDEX(GLAPS컨테이너배차관리!$CM:$CM,$B6))))),"청암신항",IF(INDEX(GLAPS컨테이너배차관리!$CM:$CM,$B6)="","",INDEX(GLAPS컨테이너배차관리!$CM:$CM,$B6))))))))</f>
        <v/>
      </c>
    </row>
    <row r="7" spans="1:28">
      <c r="A7">
        <v>6</v>
      </c>
      <c r="B7">
        <f>IFERROR(_xlfn.AGGREGATE(15,6,ROW(GLAPS컨테이너배차관리!$X$2:$X$20000)/(GLAPS컨테이너배차관리!$X$2:$X$20000&lt;&gt;""),A7),"")</f>
        <v>25</v>
      </c>
      <c r="C7">
        <f>IF($B7="","",INT(IF(INDEX(GLAPS컨테이너배차관리!$K:$K,$B7)="","",INDEX(GLAPS컨테이너배차관리!$K:$K,$B7))))</f>
        <v>46177</v>
      </c>
      <c r="D7" t="str">
        <f>IF($B7="","",IF(ISNUMBER(SEARCH("이엘에스",IF(INDEX(GLAPS컨테이너배차관리!$AZ:$AZ,$B7)="","",INDEX(GLAPS컨테이너배차관리!$AZ:$AZ,$B7)))),"ELS솔루션",IF(INDEX(GLAPS컨테이너배차관리!$AZ:$AZ,$B7)="","",INDEX(GLAPS컨테이너배차관리!$AZ:$AZ,$B7))))</f>
        <v>ELS솔루션</v>
      </c>
      <c r="E7" t="str">
        <f>IF($B7="","",IF(INDEX(GLAPS컨테이너배차관리!$L:$L,$B7)="","",INDEX(GLAPS컨테이너배차관리!$L:$L,$B7)))</f>
        <v>09:00</v>
      </c>
      <c r="F7" t="str">
        <f>IF($B7="","",IF(HOUR(IF(INDEX(GLAPS컨테이너배차관리!$L:$L,$B7)="","",INDEX(GLAPS컨테이너배차관리!$L:$L,$B7)))&lt;12,"오전",IF(HOUR(IF(INDEX(GLAPS컨테이너배차관리!$L:$L,$B7)="","",INDEX(GLAPS컨테이너배차관리!$L:$L,$B7)))&lt;18,"오후","잔업")))</f>
        <v>오전</v>
      </c>
      <c r="G7" t="str">
        <f>IF($B7="","",IFERROR(INDEX(GLAPS정리!$G$3:$G$264,MATCH(IF(INDEX(GLAPS컨테이너배차관리!$BY:$BY,$B7)="","",INDEX(GLAPS컨테이너배차관리!$BY:$BY,$B7)),GLAPS정리!$H$3:$H$264,0)),TRIM(SUBSTITUTE(SUBSTITUTE(SUBSTITUTE(SUBSTITUTE(SUBSTITUTE(IF(INDEX(GLAPS컨테이너배차관리!$T:$T,$B7)="","",INDEX(GLAPS컨테이너배차관리!$T:$T,$B7)),"[GA]",""),"[GB]",""),"[GC]",""),"[KC]",""),"[GS]",""))))</f>
        <v>아산 1포장장</v>
      </c>
      <c r="H7" t="str">
        <f>IF($B7="","",IFERROR(VLOOKUP(IF(INDEX(GLAPS컨테이너배차관리!$BY:$BY,$B7)="","",INDEX(GLAPS컨테이너배차관리!$BY:$BY,$B7)),GLAPS정리!$BT$3:$BV$200,3,0),""))</f>
        <v>EAS</v>
      </c>
      <c r="I7" t="str">
        <f>IF($B7="","",LEFT(IF(INDEX(GLAPS컨테이너배차관리!$U:$U,$B7)="","",INDEX(GLAPS컨테이너배차관리!$U:$U,$B7)),FIND("/",IF(INDEX(GLAPS컨테이너배차관리!$U:$U,$B7)="","",INDEX(GLAPS컨테이너배차관리!$U:$U,$B7))&amp;"/")-1))</f>
        <v>HMMC</v>
      </c>
      <c r="J7" t="str">
        <f>IF($B7="","",IF(IF(INDEX(GLAPS컨테이너배차관리!$O:$O,$B7)="","",INDEX(GLAPS컨테이너배차관리!$O:$O,$B7))="EMC","EMA",IFERROR(INDEX(GLAPS정리!$A$2:$A$50,MATCH(IF(INDEX(GLAPS컨테이너배차관리!$O:$O,$B7)="","",INDEX(GLAPS컨테이너배차관리!$O:$O,$B7)),GLAPS정리!$D$2:$D$50,0)),IF(INDEX(GLAPS컨테이너배차관리!$O:$O,$B7)="","",INDEX(GLAPS컨테이너배차관리!$O:$O,$B7)))))</f>
        <v>CMA</v>
      </c>
      <c r="K7" t="str">
        <f>IF($B7="","",IF(LEFT(IF(INDEX(GLAPS컨테이너배차관리!$Y:$Y,$B7)="","",INDEX(GLAPS컨테이너배차관리!$Y:$Y,$B7)),2)="22","20 Feet",IF(LEFT(IF(INDEX(GLAPS컨테이너배차관리!$Y:$Y,$B7)="","",INDEX(GLAPS컨테이너배차관리!$Y:$Y,$B7)),2)="42","40 Feet","40 Feet H")))</f>
        <v>40 Feet H</v>
      </c>
      <c r="L7" t="str">
        <f>IF($B7="","",IFERROR(INDEX(GLAPS정리!$BB$2:$BB$80,MATCH(IF(INDEX(GLAPS컨테이너배차관리!$BQ:$BQ,$B7)="","",INDEX(GLAPS컨테이너배차관리!$BQ:$BQ,$B7)),GLAPS정리!$BC$2:$BC$80,0)),IF(INDEX(GLAPS컨테이너배차관리!$BQ:$BQ,$B7)="","",INDEX(GLAPS컨테이너배차관리!$BQ:$BQ,$B7))))</f>
        <v>BUSAN(NEW)</v>
      </c>
      <c r="M7" t="str">
        <f>IF($B7="","",IFERROR(INDEX(GLAPS정리!$V$3:$V$180,MATCH(IF(INDEX(GLAPS컨테이너배차관리!$S:$S,$B7)="","",INDEX(GLAPS컨테이너배차관리!$S:$S,$B7)),GLAPS정리!$W$3:$W$180,0)),IF(INDEX(GLAPS컨테이너배차관리!$S:$S,$B7)="","",INDEX(GLAPS컨테이너배차관리!$S:$S,$B7))))</f>
        <v>코퍼</v>
      </c>
      <c r="N7" t="str">
        <f>IF($B7="","",IF(IF(INDEX(GLAPS컨테이너배차관리!$DF:$DF,$B7)="","",INDEX(GLAPS컨테이너배차관리!$DF:$DF,$B7))&lt;&gt;"",IF(INDEX(GLAPS컨테이너배차관리!$DF:$DF,$B7)="","",INDEX(GLAPS컨테이너배차관리!$DF:$DF,$B7)),IF(IF(INDEX(GLAPS컨테이너배차관리!$DG:$DG,$B7)="","",INDEX(GLAPS컨테이너배차관리!$DG:$DG,$B7))&lt;&gt;"",IF(INDEX(GLAPS컨테이너배차관리!$DG:$DG,$B7)="","",INDEX(GLAPS컨테이너배차관리!$DG:$DG,$B7)),"")))</f>
        <v/>
      </c>
      <c r="O7" t="str">
        <f>IF($B7="","",IF(INDEX(GLAPS컨테이너배차관리!$AB:$AB,$B7)="","",INDEX(GLAPS컨테이너배차관리!$AB:$AB,$B7)))</f>
        <v>경기99사1487</v>
      </c>
      <c r="P7" t="str">
        <f>IF($B7="","",IF(IF(INDEX(GLAPS컨테이너배차관리!$CP:$CP,$B7)="","",INDEX(GLAPS컨테이너배차관리!$CP:$CP,$B7))="","",IFERROR(INDEX(GLAPS정리!$BH$2:$BH$101,MATCH(IF(INDEX(GLAPS컨테이너배차관리!$CP:$CP,$B7)="","",INDEX(GLAPS컨테이너배차관리!$CP:$CP,$B7)),GLAPS정리!$BI$2:$BI$101,0)),IF(INDEX(GLAPS컨테이너배차관리!$CP:$CP,$B7)="","",INDEX(GLAPS컨테이너배차관리!$CP:$CP,$B7)))))</f>
        <v/>
      </c>
      <c r="Q7" t="str">
        <f>IF($B7="","",IF(AND(IF(INDEX(GLAPS컨테이너배차관리!$AK:$AK,$B7)="","",INDEX(GLAPS컨테이너배차관리!$AK:$AK,$B7))="Y",IF(INDEX(GLAPS컨테이너배차관리!$AI:$AI,$B7)="","",INDEX(GLAPS컨테이너배차관리!$AI:$AI,$B7))="Y"),"위험물리퍼",IF(IF(INDEX(GLAPS컨테이너배차관리!$AK:$AK,$B7)="","",INDEX(GLAPS컨테이너배차관리!$AK:$AK,$B7))="Y","위험물",IF(IF(INDEX(GLAPS컨테이너배차관리!$AI:$AI,$B7)="","",INDEX(GLAPS컨테이너배차관리!$AI:$AI,$B7))="Y","리퍼",""))))</f>
        <v/>
      </c>
      <c r="R7" t="str">
        <f>IF($B7="","",IF(LEFT(IF(INDEX(GLAPS컨테이너배차관리!$Y:$Y,$B7)="","",INDEX(GLAPS컨테이너배차관리!$Y:$Y,$B7)),2)="22",1,""))</f>
        <v/>
      </c>
      <c r="S7" t="str">
        <f>IF($B7="","",IF(LEFT(IF(INDEX(GLAPS컨테이너배차관리!$Y:$Y,$B7)="","",INDEX(GLAPS컨테이너배차관리!$Y:$Y,$B7)),2)="42",1,""))</f>
        <v/>
      </c>
      <c r="T7">
        <f>IF($B7="","",IF(LEFT(IF(INDEX(GLAPS컨테이너배차관리!$Y:$Y,$B7)="","",INDEX(GLAPS컨테이너배차관리!$Y:$Y,$B7)),2)="45",1,""))</f>
        <v>1</v>
      </c>
      <c r="U7" t="str">
        <f>IF($B7="","",IF(INDEX(GLAPS컨테이너배차관리!$X:$X,$B7)="","",INDEX(GLAPS컨테이너배차관리!$X:$X,$B7)))</f>
        <v>ECMU5193316</v>
      </c>
      <c r="V7" t="str">
        <f>IF($B7="","",IF(INDEX(GLAPS컨테이너배차관리!$Z:$Z,$B7)="","",INDEX(GLAPS컨테이너배차관리!$Z:$Z,$B7)))</f>
        <v>M6427485</v>
      </c>
      <c r="W7" t="str">
        <f>IF($B7="","",IF(IF(INDEX(GLAPS컨테이너배차관리!$DI:$DI,$B7)="","",INDEX(GLAPS컨테이너배차관리!$DI:$DI,$B7))&lt;&gt;"",IF(INDEX(GLAPS컨테이너배차관리!$DI:$DI,$B7)="","",INDEX(GLAPS컨테이너배차관리!$DI:$DI,$B7)),IF(IF(INDEX(GLAPS컨테이너배차관리!$DJ:$DJ,$B7)="","",INDEX(GLAPS컨테이너배차관리!$DJ:$DJ,$B7))&lt;&gt;"",IF(INDEX(GLAPS컨테이너배차관리!$DJ:$DJ,$B7)="","",INDEX(GLAPS컨테이너배차관리!$DJ:$DJ,$B7)),IF(IF(INDEX(GLAPS컨테이너배차관리!$DK:$DK,$B7)="","",INDEX(GLAPS컨테이너배차관리!$DK:$DK,$B7))&lt;&gt;"",IF(INDEX(GLAPS컨테이너배차관리!$DK:$DK,$B7)="","",INDEX(GLAPS컨테이너배차관리!$DK:$DK,$B7)),IF(IF(INDEX(GLAPS컨테이너배차관리!$DL:$DL,$B7)="","",INDEX(GLAPS컨테이너배차관리!$DL:$DL,$B7))&lt;&gt;"",IF(INDEX(GLAPS컨테이너배차관리!$DL:$DL,$B7)="","",INDEX(GLAPS컨테이너배차관리!$DL:$DL,$B7)),IF(IF(INDEX(GLAPS컨테이너배차관리!$DM:$DM,$B7)="","",INDEX(GLAPS컨테이너배차관리!$DM:$DM,$B7))&lt;&gt;"",IF(INDEX(GLAPS컨테이너배차관리!$DM:$DM,$B7)="","",INDEX(GLAPS컨테이너배차관리!$DM:$DM,$B7)),""))))))</f>
        <v/>
      </c>
      <c r="X7" t="str">
        <f>IF($B7="","",IF(INDEX(GLAPS컨테이너배차관리!$F:$F,$B7)="","",INDEX(GLAPS컨테이너배차관리!$F:$F,$B7)))</f>
        <v>X260602-001983</v>
      </c>
      <c r="Y7" t="str">
        <f>IF($B7="","",IF(IF(INDEX(GLAPS컨테이너배차관리!$M:$M,$B7)="","",INDEX(GLAPS컨테이너배차관리!$M:$M,$B7))&lt;&gt;"",IF(INDEX(GLAPS컨테이너배차관리!$M:$M,$B7)="","",INDEX(GLAPS컨테이너배차관리!$M:$M,$B7)),IF(IF(INDEX(GLAPS컨테이너배차관리!$N:$N,$B7)="","",INDEX(GLAPS컨테이너배차관리!$N:$N,$B7))&lt;&gt;"",IF(INDEX(GLAPS컨테이너배차관리!$N:$N,$B7)="","",INDEX(GLAPS컨테이너배차관리!$N:$N,$B7)),"")))</f>
        <v>CMA2606010011</v>
      </c>
      <c r="Z7" t="str">
        <f>IF($B7="","",IF(IF(INDEX(GLAPS컨테이너배차관리!$CU:$CU,$B7)="","",INDEX(GLAPS컨테이너배차관리!$CU:$CU,$B7))="","",IFERROR(INT(IF(INDEX(GLAPS컨테이너배차관리!$CU:$CU,$B7)="","",INDEX(GLAPS컨테이너배차관리!$CU:$CU,$B7))),"")))</f>
        <v/>
      </c>
      <c r="AA7" t="str">
        <f>IF($B7="","",IF(AND(IF(INDEX(GLAPS컨테이너배차관리!$CL:$CL,$B7)="","",INDEX(GLAPS컨테이너배차관리!$CL:$CL,$B7))="",IF(INDEX(GLAPS컨테이너배차관리!$CM:$CM,$B7)="","",INDEX(GLAPS컨테이너배차관리!$CM:$CM,$B7))=""),"",IF(OR(IF(INDEX(GLAPS컨테이너배차관리!$CL:$CL,$B7)="","",INDEX(GLAPS컨테이너배차관리!$CL:$CL,$B7))="B000016649",ISNUMBER(SEARCH("B015",IF(INDEX(GLAPS컨테이너배차관리!$CM:$CM,$B7)="","",INDEX(GLAPS컨테이너배차관리!$CM:$CM,$B7)))),ISNUMBER(SEARCH("세방",IF(INDEX(GLAPS컨테이너배차관리!$CM:$CM,$B7)="","",INDEX(GLAPS컨테이너배차관리!$CM:$CM,$B7)))),ISNUMBER(SEARCH("SB",IF(INDEX(GLAPS컨테이너배차관리!$CM:$CM,$B7)="","",INDEX(GLAPS컨테이너배차관리!$CM:$CM,$B7))))),"세방","")))</f>
        <v/>
      </c>
      <c r="AB7" t="str">
        <f>IF($B7="","",IF(IF(INDEX(GLAPS컨테이너배차관리!$CM:$CM,$B7)="","",INDEX(GLAPS컨테이너배차관리!$CM:$CM,$B7))="","",IF(ISNUMBER(SEARCH("이지스두동",IF(INDEX(GLAPS컨테이너배차관리!$CM:$CM,$B7)="","",INDEX(GLAPS컨테이너배차관리!$CM:$CM,$B7)))),"이지스두동",IF(ISNUMBER(SEARCH("이지스녹산",IF(INDEX(GLAPS컨테이너배차관리!$CM:$CM,$B7)="","",INDEX(GLAPS컨테이너배차관리!$CM:$CM,$B7)))),"이지스녹산",IF(ISNUMBER(SEARCH("천우",IF(INDEX(GLAPS컨테이너배차관리!$CM:$CM,$B7)="","",INDEX(GLAPS컨테이너배차관리!$CM:$CM,$B7)))),"천우",IF(OR(ISNUMBER(SEARCH("청암",IF(INDEX(GLAPS컨테이너배차관리!$CM:$CM,$B7)="","",INDEX(GLAPS컨테이너배차관리!$CM:$CM,$B7)))),ISNUMBER(SEARCH("SB청암",IF(INDEX(GLAPS컨테이너배차관리!$CM:$CM,$B7)="","",INDEX(GLAPS컨테이너배차관리!$CM:$CM,$B7))))),"청암신항",IF(INDEX(GLAPS컨테이너배차관리!$CM:$CM,$B7)="","",INDEX(GLAPS컨테이너배차관리!$CM:$CM,$B7))))))))</f>
        <v/>
      </c>
    </row>
    <row r="8" spans="1:28">
      <c r="A8">
        <v>7</v>
      </c>
      <c r="B8">
        <f>IFERROR(_xlfn.AGGREGATE(15,6,ROW(GLAPS컨테이너배차관리!$X$2:$X$20000)/(GLAPS컨테이너배차관리!$X$2:$X$20000&lt;&gt;""),A8),"")</f>
        <v>26</v>
      </c>
      <c r="C8">
        <f>IF($B8="","",INT(IF(INDEX(GLAPS컨테이너배차관리!$K:$K,$B8)="","",INDEX(GLAPS컨테이너배차관리!$K:$K,$B8))))</f>
        <v>46177</v>
      </c>
      <c r="D8" t="str">
        <f>IF($B8="","",IF(ISNUMBER(SEARCH("이엘에스",IF(INDEX(GLAPS컨테이너배차관리!$AZ:$AZ,$B8)="","",INDEX(GLAPS컨테이너배차관리!$AZ:$AZ,$B8)))),"ELS솔루션",IF(INDEX(GLAPS컨테이너배차관리!$AZ:$AZ,$B8)="","",INDEX(GLAPS컨테이너배차관리!$AZ:$AZ,$B8))))</f>
        <v>ELS솔루션</v>
      </c>
      <c r="E8" t="str">
        <f>IF($B8="","",IF(INDEX(GLAPS컨테이너배차관리!$L:$L,$B8)="","",INDEX(GLAPS컨테이너배차관리!$L:$L,$B8)))</f>
        <v>10:30</v>
      </c>
      <c r="F8" t="str">
        <f>IF($B8="","",IF(HOUR(IF(INDEX(GLAPS컨테이너배차관리!$L:$L,$B8)="","",INDEX(GLAPS컨테이너배차관리!$L:$L,$B8)))&lt;12,"오전",IF(HOUR(IF(INDEX(GLAPS컨테이너배차관리!$L:$L,$B8)="","",INDEX(GLAPS컨테이너배차관리!$L:$L,$B8)))&lt;18,"오후","잔업")))</f>
        <v>오전</v>
      </c>
      <c r="G8" t="str">
        <f>IF($B8="","",IFERROR(INDEX(GLAPS정리!$G$3:$G$264,MATCH(IF(INDEX(GLAPS컨테이너배차관리!$BY:$BY,$B8)="","",INDEX(GLAPS컨테이너배차관리!$BY:$BY,$B8)),GLAPS정리!$H$3:$H$264,0)),TRIM(SUBSTITUTE(SUBSTITUTE(SUBSTITUTE(SUBSTITUTE(SUBSTITUTE(IF(INDEX(GLAPS컨테이너배차관리!$T:$T,$B8)="","",INDEX(GLAPS컨테이너배차관리!$T:$T,$B8)),"[GA]",""),"[GB]",""),"[GC]",""),"[KC]",""),"[GS]",""))))</f>
        <v>아산 1포장장</v>
      </c>
      <c r="H8" t="str">
        <f>IF($B8="","",IFERROR(VLOOKUP(IF(INDEX(GLAPS컨테이너배차관리!$BY:$BY,$B8)="","",INDEX(GLAPS컨테이너배차관리!$BY:$BY,$B8)),GLAPS정리!$BT$3:$BV$200,3,0),""))</f>
        <v>EAS</v>
      </c>
      <c r="I8" t="str">
        <f>IF($B8="","",LEFT(IF(INDEX(GLAPS컨테이너배차관리!$U:$U,$B8)="","",INDEX(GLAPS컨테이너배차관리!$U:$U,$B8)),FIND("/",IF(INDEX(GLAPS컨테이너배차관리!$U:$U,$B8)="","",INDEX(GLAPS컨테이너배차관리!$U:$U,$B8))&amp;"/")-1))</f>
        <v>HMMC</v>
      </c>
      <c r="J8" t="str">
        <f>IF($B8="","",IF(IF(INDEX(GLAPS컨테이너배차관리!$O:$O,$B8)="","",INDEX(GLAPS컨테이너배차관리!$O:$O,$B8))="EMC","EMA",IFERROR(INDEX(GLAPS정리!$A$2:$A$50,MATCH(IF(INDEX(GLAPS컨테이너배차관리!$O:$O,$B8)="","",INDEX(GLAPS컨테이너배차관리!$O:$O,$B8)),GLAPS정리!$D$2:$D$50,0)),IF(INDEX(GLAPS컨테이너배차관리!$O:$O,$B8)="","",INDEX(GLAPS컨테이너배차관리!$O:$O,$B8)))))</f>
        <v>CMA</v>
      </c>
      <c r="K8" t="str">
        <f>IF($B8="","",IF(LEFT(IF(INDEX(GLAPS컨테이너배차관리!$Y:$Y,$B8)="","",INDEX(GLAPS컨테이너배차관리!$Y:$Y,$B8)),2)="22","20 Feet",IF(LEFT(IF(INDEX(GLAPS컨테이너배차관리!$Y:$Y,$B8)="","",INDEX(GLAPS컨테이너배차관리!$Y:$Y,$B8)),2)="42","40 Feet","40 Feet H")))</f>
        <v>40 Feet H</v>
      </c>
      <c r="L8" t="str">
        <f>IF($B8="","",IFERROR(INDEX(GLAPS정리!$BB$2:$BB$80,MATCH(IF(INDEX(GLAPS컨테이너배차관리!$BQ:$BQ,$B8)="","",INDEX(GLAPS컨테이너배차관리!$BQ:$BQ,$B8)),GLAPS정리!$BC$2:$BC$80,0)),IF(INDEX(GLAPS컨테이너배차관리!$BQ:$BQ,$B8)="","",INDEX(GLAPS컨테이너배차관리!$BQ:$BQ,$B8))))</f>
        <v>BUSAN(NEW)</v>
      </c>
      <c r="M8" t="str">
        <f>IF($B8="","",IFERROR(INDEX(GLAPS정리!$V$3:$V$180,MATCH(IF(INDEX(GLAPS컨테이너배차관리!$S:$S,$B8)="","",INDEX(GLAPS컨테이너배차관리!$S:$S,$B8)),GLAPS정리!$W$3:$W$180,0)),IF(INDEX(GLAPS컨테이너배차관리!$S:$S,$B8)="","",INDEX(GLAPS컨테이너배차관리!$S:$S,$B8))))</f>
        <v>코퍼</v>
      </c>
      <c r="N8" t="str">
        <f>IF($B8="","",IF(IF(INDEX(GLAPS컨테이너배차관리!$DF:$DF,$B8)="","",INDEX(GLAPS컨테이너배차관리!$DF:$DF,$B8))&lt;&gt;"",IF(INDEX(GLAPS컨테이너배차관리!$DF:$DF,$B8)="","",INDEX(GLAPS컨테이너배차관리!$DF:$DF,$B8)),IF(IF(INDEX(GLAPS컨테이너배차관리!$DG:$DG,$B8)="","",INDEX(GLAPS컨테이너배차관리!$DG:$DG,$B8))&lt;&gt;"",IF(INDEX(GLAPS컨테이너배차관리!$DG:$DG,$B8)="","",INDEX(GLAPS컨테이너배차관리!$DG:$DG,$B8)),"")))</f>
        <v/>
      </c>
      <c r="O8" t="str">
        <f>IF($B8="","",IF(INDEX(GLAPS컨테이너배차관리!$AB:$AB,$B8)="","",INDEX(GLAPS컨테이너배차관리!$AB:$AB,$B8)))</f>
        <v>경남99사8337</v>
      </c>
      <c r="P8" t="str">
        <f>IF($B8="","",IF(IF(INDEX(GLAPS컨테이너배차관리!$CP:$CP,$B8)="","",INDEX(GLAPS컨테이너배차관리!$CP:$CP,$B8))="","",IFERROR(INDEX(GLAPS정리!$BH$2:$BH$101,MATCH(IF(INDEX(GLAPS컨테이너배차관리!$CP:$CP,$B8)="","",INDEX(GLAPS컨테이너배차관리!$CP:$CP,$B8)),GLAPS정리!$BI$2:$BI$101,0)),IF(INDEX(GLAPS컨테이너배차관리!$CP:$CP,$B8)="","",INDEX(GLAPS컨테이너배차관리!$CP:$CP,$B8)))))</f>
        <v/>
      </c>
      <c r="Q8" t="str">
        <f>IF($B8="","",IF(AND(IF(INDEX(GLAPS컨테이너배차관리!$AK:$AK,$B8)="","",INDEX(GLAPS컨테이너배차관리!$AK:$AK,$B8))="Y",IF(INDEX(GLAPS컨테이너배차관리!$AI:$AI,$B8)="","",INDEX(GLAPS컨테이너배차관리!$AI:$AI,$B8))="Y"),"위험물리퍼",IF(IF(INDEX(GLAPS컨테이너배차관리!$AK:$AK,$B8)="","",INDEX(GLAPS컨테이너배차관리!$AK:$AK,$B8))="Y","위험물",IF(IF(INDEX(GLAPS컨테이너배차관리!$AI:$AI,$B8)="","",INDEX(GLAPS컨테이너배차관리!$AI:$AI,$B8))="Y","리퍼",""))))</f>
        <v/>
      </c>
      <c r="R8" t="str">
        <f>IF($B8="","",IF(LEFT(IF(INDEX(GLAPS컨테이너배차관리!$Y:$Y,$B8)="","",INDEX(GLAPS컨테이너배차관리!$Y:$Y,$B8)),2)="22",1,""))</f>
        <v/>
      </c>
      <c r="S8" t="str">
        <f>IF($B8="","",IF(LEFT(IF(INDEX(GLAPS컨테이너배차관리!$Y:$Y,$B8)="","",INDEX(GLAPS컨테이너배차관리!$Y:$Y,$B8)),2)="42",1,""))</f>
        <v/>
      </c>
      <c r="T8">
        <f>IF($B8="","",IF(LEFT(IF(INDEX(GLAPS컨테이너배차관리!$Y:$Y,$B8)="","",INDEX(GLAPS컨테이너배차관리!$Y:$Y,$B8)),2)="45",1,""))</f>
        <v>1</v>
      </c>
      <c r="U8" t="str">
        <f>IF($B8="","",IF(INDEX(GLAPS컨테이너배차관리!$X:$X,$B8)="","",INDEX(GLAPS컨테이너배차관리!$X:$X,$B8)))</f>
        <v>ECMU5790944</v>
      </c>
      <c r="V8" t="str">
        <f>IF($B8="","",IF(INDEX(GLAPS컨테이너배차관리!$Z:$Z,$B8)="","",INDEX(GLAPS컨테이너배차관리!$Z:$Z,$B8)))</f>
        <v>M6412845</v>
      </c>
      <c r="W8" t="str">
        <f>IF($B8="","",IF(IF(INDEX(GLAPS컨테이너배차관리!$DI:$DI,$B8)="","",INDEX(GLAPS컨테이너배차관리!$DI:$DI,$B8))&lt;&gt;"",IF(INDEX(GLAPS컨테이너배차관리!$DI:$DI,$B8)="","",INDEX(GLAPS컨테이너배차관리!$DI:$DI,$B8)),IF(IF(INDEX(GLAPS컨테이너배차관리!$DJ:$DJ,$B8)="","",INDEX(GLAPS컨테이너배차관리!$DJ:$DJ,$B8))&lt;&gt;"",IF(INDEX(GLAPS컨테이너배차관리!$DJ:$DJ,$B8)="","",INDEX(GLAPS컨테이너배차관리!$DJ:$DJ,$B8)),IF(IF(INDEX(GLAPS컨테이너배차관리!$DK:$DK,$B8)="","",INDEX(GLAPS컨테이너배차관리!$DK:$DK,$B8))&lt;&gt;"",IF(INDEX(GLAPS컨테이너배차관리!$DK:$DK,$B8)="","",INDEX(GLAPS컨테이너배차관리!$DK:$DK,$B8)),IF(IF(INDEX(GLAPS컨테이너배차관리!$DL:$DL,$B8)="","",INDEX(GLAPS컨테이너배차관리!$DL:$DL,$B8))&lt;&gt;"",IF(INDEX(GLAPS컨테이너배차관리!$DL:$DL,$B8)="","",INDEX(GLAPS컨테이너배차관리!$DL:$DL,$B8)),IF(IF(INDEX(GLAPS컨테이너배차관리!$DM:$DM,$B8)="","",INDEX(GLAPS컨테이너배차관리!$DM:$DM,$B8))&lt;&gt;"",IF(INDEX(GLAPS컨테이너배차관리!$DM:$DM,$B8)="","",INDEX(GLAPS컨테이너배차관리!$DM:$DM,$B8)),""))))))</f>
        <v/>
      </c>
      <c r="X8" t="str">
        <f>IF($B8="","",IF(INDEX(GLAPS컨테이너배차관리!$F:$F,$B8)="","",INDEX(GLAPS컨테이너배차관리!$F:$F,$B8)))</f>
        <v>X260602-001985</v>
      </c>
      <c r="Y8" t="str">
        <f>IF($B8="","",IF(IF(INDEX(GLAPS컨테이너배차관리!$M:$M,$B8)="","",INDEX(GLAPS컨테이너배차관리!$M:$M,$B8))&lt;&gt;"",IF(INDEX(GLAPS컨테이너배차관리!$M:$M,$B8)="","",INDEX(GLAPS컨테이너배차관리!$M:$M,$B8)),IF(IF(INDEX(GLAPS컨테이너배차관리!$N:$N,$B8)="","",INDEX(GLAPS컨테이너배차관리!$N:$N,$B8))&lt;&gt;"",IF(INDEX(GLAPS컨테이너배차관리!$N:$N,$B8)="","",INDEX(GLAPS컨테이너배차관리!$N:$N,$B8)),"")))</f>
        <v>CMA2606010011</v>
      </c>
      <c r="Z8" t="str">
        <f>IF($B8="","",IF(IF(INDEX(GLAPS컨테이너배차관리!$CU:$CU,$B8)="","",INDEX(GLAPS컨테이너배차관리!$CU:$CU,$B8))="","",IFERROR(INT(IF(INDEX(GLAPS컨테이너배차관리!$CU:$CU,$B8)="","",INDEX(GLAPS컨테이너배차관리!$CU:$CU,$B8))),"")))</f>
        <v/>
      </c>
      <c r="AA8" t="str">
        <f>IF($B8="","",IF(AND(IF(INDEX(GLAPS컨테이너배차관리!$CL:$CL,$B8)="","",INDEX(GLAPS컨테이너배차관리!$CL:$CL,$B8))="",IF(INDEX(GLAPS컨테이너배차관리!$CM:$CM,$B8)="","",INDEX(GLAPS컨테이너배차관리!$CM:$CM,$B8))=""),"",IF(OR(IF(INDEX(GLAPS컨테이너배차관리!$CL:$CL,$B8)="","",INDEX(GLAPS컨테이너배차관리!$CL:$CL,$B8))="B000016649",ISNUMBER(SEARCH("B015",IF(INDEX(GLAPS컨테이너배차관리!$CM:$CM,$B8)="","",INDEX(GLAPS컨테이너배차관리!$CM:$CM,$B8)))),ISNUMBER(SEARCH("세방",IF(INDEX(GLAPS컨테이너배차관리!$CM:$CM,$B8)="","",INDEX(GLAPS컨테이너배차관리!$CM:$CM,$B8)))),ISNUMBER(SEARCH("SB",IF(INDEX(GLAPS컨테이너배차관리!$CM:$CM,$B8)="","",INDEX(GLAPS컨테이너배차관리!$CM:$CM,$B8))))),"세방","")))</f>
        <v/>
      </c>
      <c r="AB8" t="str">
        <f>IF($B8="","",IF(IF(INDEX(GLAPS컨테이너배차관리!$CM:$CM,$B8)="","",INDEX(GLAPS컨테이너배차관리!$CM:$CM,$B8))="","",IF(ISNUMBER(SEARCH("이지스두동",IF(INDEX(GLAPS컨테이너배차관리!$CM:$CM,$B8)="","",INDEX(GLAPS컨테이너배차관리!$CM:$CM,$B8)))),"이지스두동",IF(ISNUMBER(SEARCH("이지스녹산",IF(INDEX(GLAPS컨테이너배차관리!$CM:$CM,$B8)="","",INDEX(GLAPS컨테이너배차관리!$CM:$CM,$B8)))),"이지스녹산",IF(ISNUMBER(SEARCH("천우",IF(INDEX(GLAPS컨테이너배차관리!$CM:$CM,$B8)="","",INDEX(GLAPS컨테이너배차관리!$CM:$CM,$B8)))),"천우",IF(OR(ISNUMBER(SEARCH("청암",IF(INDEX(GLAPS컨테이너배차관리!$CM:$CM,$B8)="","",INDEX(GLAPS컨테이너배차관리!$CM:$CM,$B8)))),ISNUMBER(SEARCH("SB청암",IF(INDEX(GLAPS컨테이너배차관리!$CM:$CM,$B8)="","",INDEX(GLAPS컨테이너배차관리!$CM:$CM,$B8))))),"청암신항",IF(INDEX(GLAPS컨테이너배차관리!$CM:$CM,$B8)="","",INDEX(GLAPS컨테이너배차관리!$CM:$CM,$B8))))))))</f>
        <v/>
      </c>
    </row>
    <row r="9" spans="1:28">
      <c r="A9">
        <v>8</v>
      </c>
      <c r="B9">
        <f>IFERROR(_xlfn.AGGREGATE(15,6,ROW(GLAPS컨테이너배차관리!$X$2:$X$20000)/(GLAPS컨테이너배차관리!$X$2:$X$20000&lt;&gt;""),A9),"")</f>
        <v>38</v>
      </c>
      <c r="C9">
        <f>IF($B9="","",INT(IF(INDEX(GLAPS컨테이너배차관리!$K:$K,$B9)="","",INDEX(GLAPS컨테이너배차관리!$K:$K,$B9))))</f>
        <v>46177</v>
      </c>
      <c r="D9" t="str">
        <f>IF($B9="","",IF(ISNUMBER(SEARCH("이엘에스",IF(INDEX(GLAPS컨테이너배차관리!$AZ:$AZ,$B9)="","",INDEX(GLAPS컨테이너배차관리!$AZ:$AZ,$B9)))),"ELS솔루션",IF(INDEX(GLAPS컨테이너배차관리!$AZ:$AZ,$B9)="","",INDEX(GLAPS컨테이너배차관리!$AZ:$AZ,$B9))))</f>
        <v>ELS솔루션</v>
      </c>
      <c r="E9" t="str">
        <f>IF($B9="","",IF(INDEX(GLAPS컨테이너배차관리!$L:$L,$B9)="","",INDEX(GLAPS컨테이너배차관리!$L:$L,$B9)))</f>
        <v>09:00</v>
      </c>
      <c r="F9" t="str">
        <f>IF($B9="","",IF(HOUR(IF(INDEX(GLAPS컨테이너배차관리!$L:$L,$B9)="","",INDEX(GLAPS컨테이너배차관리!$L:$L,$B9)))&lt;12,"오전",IF(HOUR(IF(INDEX(GLAPS컨테이너배차관리!$L:$L,$B9)="","",INDEX(GLAPS컨테이너배차관리!$L:$L,$B9)))&lt;18,"오후","잔업")))</f>
        <v>오전</v>
      </c>
      <c r="G9" t="str">
        <f>IF($B9="","",IFERROR(INDEX(GLAPS정리!$G$3:$G$264,MATCH(IF(INDEX(GLAPS컨테이너배차관리!$BY:$BY,$B9)="","",INDEX(GLAPS컨테이너배차관리!$BY:$BY,$B9)),GLAPS정리!$H$3:$H$264,0)),TRIM(SUBSTITUTE(SUBSTITUTE(SUBSTITUTE(SUBSTITUTE(SUBSTITUTE(IF(INDEX(GLAPS컨테이너배차관리!$T:$T,$B9)="","",INDEX(GLAPS컨테이너배차관리!$T:$T,$B9)),"[GA]",""),"[GB]",""),"[GC]",""),"[KC]",""),"[GS]",""))))</f>
        <v>아산 3포장장</v>
      </c>
      <c r="H9" t="str">
        <f>IF($B9="","",IFERROR(VLOOKUP(IF(INDEX(GLAPS컨테이너배차관리!$BY:$BY,$B9)="","",INDEX(GLAPS컨테이너배차관리!$BY:$BY,$B9)),GLAPS정리!$BT$3:$BV$200,3,0),""))</f>
        <v>EAS1</v>
      </c>
      <c r="I9" t="str">
        <f>IF($B9="","",LEFT(IF(INDEX(GLAPS컨테이너배차관리!$U:$U,$B9)="","",INDEX(GLAPS컨테이너배차관리!$U:$U,$B9)),FIND("/",IF(INDEX(GLAPS컨테이너배차관리!$U:$U,$B9)="","",INDEX(GLAPS컨테이너배차관리!$U:$U,$B9))&amp;"/")-1))</f>
        <v>HMMA</v>
      </c>
      <c r="J9" t="str">
        <f>IF($B9="","",IF(IF(INDEX(GLAPS컨테이너배차관리!$O:$O,$B9)="","",INDEX(GLAPS컨테이너배차관리!$O:$O,$B9))="EMC","EMA",IFERROR(INDEX(GLAPS정리!$A$2:$A$50,MATCH(IF(INDEX(GLAPS컨테이너배차관리!$O:$O,$B9)="","",INDEX(GLAPS컨테이너배차관리!$O:$O,$B9)),GLAPS정리!$D$2:$D$50,0)),IF(INDEX(GLAPS컨테이너배차관리!$O:$O,$B9)="","",INDEX(GLAPS컨테이너배차관리!$O:$O,$B9)))))</f>
        <v>ONE</v>
      </c>
      <c r="K9" t="str">
        <f>IF($B9="","",IF(LEFT(IF(INDEX(GLAPS컨테이너배차관리!$Y:$Y,$B9)="","",INDEX(GLAPS컨테이너배차관리!$Y:$Y,$B9)),2)="22","20 Feet",IF(LEFT(IF(INDEX(GLAPS컨테이너배차관리!$Y:$Y,$B9)="","",INDEX(GLAPS컨테이너배차관리!$Y:$Y,$B9)),2)="42","40 Feet","40 Feet H")))</f>
        <v>40 Feet H</v>
      </c>
      <c r="L9" t="str">
        <f>IF($B9="","",IFERROR(INDEX(GLAPS정리!$BB$2:$BB$80,MATCH(IF(INDEX(GLAPS컨테이너배차관리!$BQ:$BQ,$B9)="","",INDEX(GLAPS컨테이너배차관리!$BQ:$BQ,$B9)),GLAPS정리!$BC$2:$BC$80,0)),IF(INDEX(GLAPS컨테이너배차관리!$BQ:$BQ,$B9)="","",INDEX(GLAPS컨테이너배차관리!$BQ:$BQ,$B9))))</f>
        <v>BUSAN(NEW)</v>
      </c>
      <c r="M9" t="str">
        <f>IF($B9="","",IFERROR(INDEX(GLAPS정리!$V$3:$V$180,MATCH(IF(INDEX(GLAPS컨테이너배차관리!$S:$S,$B9)="","",INDEX(GLAPS컨테이너배차관리!$S:$S,$B9)),GLAPS정리!$W$3:$W$180,0)),IF(INDEX(GLAPS컨테이너배차관리!$S:$S,$B9)="","",INDEX(GLAPS컨테이너배차관리!$S:$S,$B9))))</f>
        <v>LA</v>
      </c>
      <c r="N9" t="str">
        <f>IF($B9="","",IF(IF(INDEX(GLAPS컨테이너배차관리!$DF:$DF,$B9)="","",INDEX(GLAPS컨테이너배차관리!$DF:$DF,$B9))&lt;&gt;"",IF(INDEX(GLAPS컨테이너배차관리!$DF:$DF,$B9)="","",INDEX(GLAPS컨테이너배차관리!$DF:$DF,$B9)),IF(IF(INDEX(GLAPS컨테이너배차관리!$DG:$DG,$B9)="","",INDEX(GLAPS컨테이너배차관리!$DG:$DG,$B9))&lt;&gt;"",IF(INDEX(GLAPS컨테이너배차관리!$DG:$DG,$B9)="","",INDEX(GLAPS컨테이너배차관리!$DG:$DG,$B9)),"")))</f>
        <v/>
      </c>
      <c r="O9" t="str">
        <f>IF($B9="","",IF(INDEX(GLAPS컨테이너배차관리!$AB:$AB,$B9)="","",INDEX(GLAPS컨테이너배차관리!$AB:$AB,$B9)))</f>
        <v>경북98사7570</v>
      </c>
      <c r="P9" t="str">
        <f>IF($B9="","",IF(IF(INDEX(GLAPS컨테이너배차관리!$CP:$CP,$B9)="","",INDEX(GLAPS컨테이너배차관리!$CP:$CP,$B9))="","",IFERROR(INDEX(GLAPS정리!$BH$2:$BH$101,MATCH(IF(INDEX(GLAPS컨테이너배차관리!$CP:$CP,$B9)="","",INDEX(GLAPS컨테이너배차관리!$CP:$CP,$B9)),GLAPS정리!$BI$2:$BI$101,0)),IF(INDEX(GLAPS컨테이너배차관리!$CP:$CP,$B9)="","",INDEX(GLAPS컨테이너배차관리!$CP:$CP,$B9)))))</f>
        <v/>
      </c>
      <c r="Q9" t="str">
        <f>IF($B9="","",IF(AND(IF(INDEX(GLAPS컨테이너배차관리!$AK:$AK,$B9)="","",INDEX(GLAPS컨테이너배차관리!$AK:$AK,$B9))="Y",IF(INDEX(GLAPS컨테이너배차관리!$AI:$AI,$B9)="","",INDEX(GLAPS컨테이너배차관리!$AI:$AI,$B9))="Y"),"위험물리퍼",IF(IF(INDEX(GLAPS컨테이너배차관리!$AK:$AK,$B9)="","",INDEX(GLAPS컨테이너배차관리!$AK:$AK,$B9))="Y","위험물",IF(IF(INDEX(GLAPS컨테이너배차관리!$AI:$AI,$B9)="","",INDEX(GLAPS컨테이너배차관리!$AI:$AI,$B9))="Y","리퍼",""))))</f>
        <v/>
      </c>
      <c r="R9" t="str">
        <f>IF($B9="","",IF(LEFT(IF(INDEX(GLAPS컨테이너배차관리!$Y:$Y,$B9)="","",INDEX(GLAPS컨테이너배차관리!$Y:$Y,$B9)),2)="22",1,""))</f>
        <v/>
      </c>
      <c r="S9" t="str">
        <f>IF($B9="","",IF(LEFT(IF(INDEX(GLAPS컨테이너배차관리!$Y:$Y,$B9)="","",INDEX(GLAPS컨테이너배차관리!$Y:$Y,$B9)),2)="42",1,""))</f>
        <v/>
      </c>
      <c r="T9">
        <f>IF($B9="","",IF(LEFT(IF(INDEX(GLAPS컨테이너배차관리!$Y:$Y,$B9)="","",INDEX(GLAPS컨테이너배차관리!$Y:$Y,$B9)),2)="45",1,""))</f>
        <v>1</v>
      </c>
      <c r="U9" t="str">
        <f>IF($B9="","",IF(INDEX(GLAPS컨테이너배차관리!$X:$X,$B9)="","",INDEX(GLAPS컨테이너배차관리!$X:$X,$B9)))</f>
        <v>ONEU0621719</v>
      </c>
      <c r="V9" t="str">
        <f>IF($B9="","",IF(INDEX(GLAPS컨테이너배차관리!$Z:$Z,$B9)="","",INDEX(GLAPS컨테이너배차관리!$Z:$Z,$B9)))</f>
        <v>KRAX14757</v>
      </c>
      <c r="W9" t="str">
        <f>IF($B9="","",IF(IF(INDEX(GLAPS컨테이너배차관리!$DI:$DI,$B9)="","",INDEX(GLAPS컨테이너배차관리!$DI:$DI,$B9))&lt;&gt;"",IF(INDEX(GLAPS컨테이너배차관리!$DI:$DI,$B9)="","",INDEX(GLAPS컨테이너배차관리!$DI:$DI,$B9)),IF(IF(INDEX(GLAPS컨테이너배차관리!$DJ:$DJ,$B9)="","",INDEX(GLAPS컨테이너배차관리!$DJ:$DJ,$B9))&lt;&gt;"",IF(INDEX(GLAPS컨테이너배차관리!$DJ:$DJ,$B9)="","",INDEX(GLAPS컨테이너배차관리!$DJ:$DJ,$B9)),IF(IF(INDEX(GLAPS컨테이너배차관리!$DK:$DK,$B9)="","",INDEX(GLAPS컨테이너배차관리!$DK:$DK,$B9))&lt;&gt;"",IF(INDEX(GLAPS컨테이너배차관리!$DK:$DK,$B9)="","",INDEX(GLAPS컨테이너배차관리!$DK:$DK,$B9)),IF(IF(INDEX(GLAPS컨테이너배차관리!$DL:$DL,$B9)="","",INDEX(GLAPS컨테이너배차관리!$DL:$DL,$B9))&lt;&gt;"",IF(INDEX(GLAPS컨테이너배차관리!$DL:$DL,$B9)="","",INDEX(GLAPS컨테이너배차관리!$DL:$DL,$B9)),IF(IF(INDEX(GLAPS컨테이너배차관리!$DM:$DM,$B9)="","",INDEX(GLAPS컨테이너배차관리!$DM:$DM,$B9))&lt;&gt;"",IF(INDEX(GLAPS컨테이너배차관리!$DM:$DM,$B9)="","",INDEX(GLAPS컨테이너배차관리!$DM:$DM,$B9)),""))))))</f>
        <v/>
      </c>
      <c r="X9" t="str">
        <f>IF($B9="","",IF(INDEX(GLAPS컨테이너배차관리!$F:$F,$B9)="","",INDEX(GLAPS컨테이너배차관리!$F:$F,$B9)))</f>
        <v>X260602-001996</v>
      </c>
      <c r="Y9" t="str">
        <f>IF($B9="","",IF(IF(INDEX(GLAPS컨테이너배차관리!$M:$M,$B9)="","",INDEX(GLAPS컨테이너배차관리!$M:$M,$B9))&lt;&gt;"",IF(INDEX(GLAPS컨테이너배차관리!$M:$M,$B9)="","",INDEX(GLAPS컨테이너배차관리!$M:$M,$B9)),IF(IF(INDEX(GLAPS컨테이너배차관리!$N:$N,$B9)="","",INDEX(GLAPS컨테이너배차관리!$N:$N,$B9))&lt;&gt;"",IF(INDEX(GLAPS컨테이너배차관리!$N:$N,$B9)="","",INDEX(GLAPS컨테이너배차관리!$N:$N,$B9)),"")))</f>
        <v>SELG82813400</v>
      </c>
      <c r="Z9" t="str">
        <f>IF($B9="","",IF(IF(INDEX(GLAPS컨테이너배차관리!$CU:$CU,$B9)="","",INDEX(GLAPS컨테이너배차관리!$CU:$CU,$B9))="","",IFERROR(INT(IF(INDEX(GLAPS컨테이너배차관리!$CU:$CU,$B9)="","",INDEX(GLAPS컨테이너배차관리!$CU:$CU,$B9))),"")))</f>
        <v/>
      </c>
      <c r="AA9" t="str">
        <f>IF($B9="","",IF(AND(IF(INDEX(GLAPS컨테이너배차관리!$CL:$CL,$B9)="","",INDEX(GLAPS컨테이너배차관리!$CL:$CL,$B9))="",IF(INDEX(GLAPS컨테이너배차관리!$CM:$CM,$B9)="","",INDEX(GLAPS컨테이너배차관리!$CM:$CM,$B9))=""),"",IF(OR(IF(INDEX(GLAPS컨테이너배차관리!$CL:$CL,$B9)="","",INDEX(GLAPS컨테이너배차관리!$CL:$CL,$B9))="B000016649",ISNUMBER(SEARCH("B015",IF(INDEX(GLAPS컨테이너배차관리!$CM:$CM,$B9)="","",INDEX(GLAPS컨테이너배차관리!$CM:$CM,$B9)))),ISNUMBER(SEARCH("세방",IF(INDEX(GLAPS컨테이너배차관리!$CM:$CM,$B9)="","",INDEX(GLAPS컨테이너배차관리!$CM:$CM,$B9)))),ISNUMBER(SEARCH("SB",IF(INDEX(GLAPS컨테이너배차관리!$CM:$CM,$B9)="","",INDEX(GLAPS컨테이너배차관리!$CM:$CM,$B9))))),"세방","")))</f>
        <v/>
      </c>
      <c r="AB9" t="str">
        <f>IF($B9="","",IF(IF(INDEX(GLAPS컨테이너배차관리!$CM:$CM,$B9)="","",INDEX(GLAPS컨테이너배차관리!$CM:$CM,$B9))="","",IF(ISNUMBER(SEARCH("이지스두동",IF(INDEX(GLAPS컨테이너배차관리!$CM:$CM,$B9)="","",INDEX(GLAPS컨테이너배차관리!$CM:$CM,$B9)))),"이지스두동",IF(ISNUMBER(SEARCH("이지스녹산",IF(INDEX(GLAPS컨테이너배차관리!$CM:$CM,$B9)="","",INDEX(GLAPS컨테이너배차관리!$CM:$CM,$B9)))),"이지스녹산",IF(ISNUMBER(SEARCH("천우",IF(INDEX(GLAPS컨테이너배차관리!$CM:$CM,$B9)="","",INDEX(GLAPS컨테이너배차관리!$CM:$CM,$B9)))),"천우",IF(OR(ISNUMBER(SEARCH("청암",IF(INDEX(GLAPS컨테이너배차관리!$CM:$CM,$B9)="","",INDEX(GLAPS컨테이너배차관리!$CM:$CM,$B9)))),ISNUMBER(SEARCH("SB청암",IF(INDEX(GLAPS컨테이너배차관리!$CM:$CM,$B9)="","",INDEX(GLAPS컨테이너배차관리!$CM:$CM,$B9))))),"청암신항",IF(INDEX(GLAPS컨테이너배차관리!$CM:$CM,$B9)="","",INDEX(GLAPS컨테이너배차관리!$CM:$CM,$B9))))))))</f>
        <v/>
      </c>
    </row>
    <row r="10" spans="1:28">
      <c r="A10">
        <v>9</v>
      </c>
      <c r="B10">
        <f>IFERROR(_xlfn.AGGREGATE(15,6,ROW(GLAPS컨테이너배차관리!$X$2:$X$20000)/(GLAPS컨테이너배차관리!$X$2:$X$20000&lt;&gt;""),A10),"")</f>
        <v>45</v>
      </c>
      <c r="C10">
        <f>IF($B10="","",INT(IF(INDEX(GLAPS컨테이너배차관리!$K:$K,$B10)="","",INDEX(GLAPS컨테이너배차관리!$K:$K,$B10))))</f>
        <v>46177</v>
      </c>
      <c r="D10" t="str">
        <f>IF($B10="","",IF(ISNUMBER(SEARCH("이엘에스",IF(INDEX(GLAPS컨테이너배차관리!$AZ:$AZ,$B10)="","",INDEX(GLAPS컨테이너배차관리!$AZ:$AZ,$B10)))),"ELS솔루션",IF(INDEX(GLAPS컨테이너배차관리!$AZ:$AZ,$B10)="","",INDEX(GLAPS컨테이너배차관리!$AZ:$AZ,$B10))))</f>
        <v>ELS솔루션</v>
      </c>
      <c r="E10" t="str">
        <f>IF($B10="","",IF(INDEX(GLAPS컨테이너배차관리!$L:$L,$B10)="","",INDEX(GLAPS컨테이너배차관리!$L:$L,$B10)))</f>
        <v>14:30</v>
      </c>
      <c r="F10" t="str">
        <f>IF($B10="","",IF(HOUR(IF(INDEX(GLAPS컨테이너배차관리!$L:$L,$B10)="","",INDEX(GLAPS컨테이너배차관리!$L:$L,$B10)))&lt;12,"오전",IF(HOUR(IF(INDEX(GLAPS컨테이너배차관리!$L:$L,$B10)="","",INDEX(GLAPS컨테이너배차관리!$L:$L,$B10)))&lt;18,"오후","잔업")))</f>
        <v>오후</v>
      </c>
      <c r="G10" t="str">
        <f>IF($B10="","",IFERROR(INDEX(GLAPS정리!$G$3:$G$264,MATCH(IF(INDEX(GLAPS컨테이너배차관리!$BY:$BY,$B10)="","",INDEX(GLAPS컨테이너배차관리!$BY:$BY,$B10)),GLAPS정리!$H$3:$H$264,0)),TRIM(SUBSTITUTE(SUBSTITUTE(SUBSTITUTE(SUBSTITUTE(SUBSTITUTE(IF(INDEX(GLAPS컨테이너배차관리!$T:$T,$B10)="","",INDEX(GLAPS컨테이너배차관리!$T:$T,$B10)),"[GA]",""),"[GB]",""),"[GC]",""),"[KC]",""),"[GS]",""))))</f>
        <v>KCC 글라스</v>
      </c>
      <c r="H10" t="str">
        <f>IF($B10="","",IFERROR(VLOOKUP(IF(INDEX(GLAPS컨테이너배차관리!$BY:$BY,$B10)="","",INDEX(GLAPS컨테이너배차관리!$BY:$BY,$B10)),GLAPS정리!$BT$3:$BV$200,3,0),""))</f>
        <v>KAC</v>
      </c>
      <c r="I10" t="str">
        <f>IF($B10="","",LEFT(IF(INDEX(GLAPS컨테이너배차관리!$U:$U,$B10)="","",INDEX(GLAPS컨테이너배차관리!$U:$U,$B10)),FIND("/",IF(INDEX(GLAPS컨테이너배차관리!$U:$U,$B10)="","",INDEX(GLAPS컨테이너배차관리!$U:$U,$B10))&amp;"/")-1))</f>
        <v>HMGMA</v>
      </c>
      <c r="J10" t="str">
        <f>IF($B10="","",IF(IF(INDEX(GLAPS컨테이너배차관리!$O:$O,$B10)="","",INDEX(GLAPS컨테이너배차관리!$O:$O,$B10))="EMC","EMA",IFERROR(INDEX(GLAPS정리!$A$2:$A$50,MATCH(IF(INDEX(GLAPS컨테이너배차관리!$O:$O,$B10)="","",INDEX(GLAPS컨테이너배차관리!$O:$O,$B10)),GLAPS정리!$D$2:$D$50,0)),IF(INDEX(GLAPS컨테이너배차관리!$O:$O,$B10)="","",INDEX(GLAPS컨테이너배차관리!$O:$O,$B10)))))</f>
        <v>CMA</v>
      </c>
      <c r="K10" t="str">
        <f>IF($B10="","",IF(LEFT(IF(INDEX(GLAPS컨테이너배차관리!$Y:$Y,$B10)="","",INDEX(GLAPS컨테이너배차관리!$Y:$Y,$B10)),2)="22","20 Feet",IF(LEFT(IF(INDEX(GLAPS컨테이너배차관리!$Y:$Y,$B10)="","",INDEX(GLAPS컨테이너배차관리!$Y:$Y,$B10)),2)="42","40 Feet","40 Feet H")))</f>
        <v>40 Feet H</v>
      </c>
      <c r="L10" t="str">
        <f>IF($B10="","",IFERROR(INDEX(GLAPS정리!$BB$2:$BB$80,MATCH(IF(INDEX(GLAPS컨테이너배차관리!$BQ:$BQ,$B10)="","",INDEX(GLAPS컨테이너배차관리!$BQ:$BQ,$B10)),GLAPS정리!$BC$2:$BC$80,0)),IF(INDEX(GLAPS컨테이너배차관리!$BQ:$BQ,$B10)="","",INDEX(GLAPS컨테이너배차관리!$BQ:$BQ,$B10))))</f>
        <v>BUSAN(NEW)</v>
      </c>
      <c r="M10" t="str">
        <f>IF($B10="","",IFERROR(INDEX(GLAPS정리!$V$3:$V$180,MATCH(IF(INDEX(GLAPS컨테이너배차관리!$S:$S,$B10)="","",INDEX(GLAPS컨테이너배차관리!$S:$S,$B10)),GLAPS정리!$W$3:$W$180,0)),IF(INDEX(GLAPS컨테이너배차관리!$S:$S,$B10)="","",INDEX(GLAPS컨테이너배차관리!$S:$S,$B10))))</f>
        <v>조지아</v>
      </c>
      <c r="N10" t="str">
        <f>IF($B10="","",IF(IF(INDEX(GLAPS컨테이너배차관리!$DF:$DF,$B10)="","",INDEX(GLAPS컨테이너배차관리!$DF:$DF,$B10))&lt;&gt;"",IF(INDEX(GLAPS컨테이너배차관리!$DF:$DF,$B10)="","",INDEX(GLAPS컨테이너배차관리!$DF:$DF,$B10)),IF(IF(INDEX(GLAPS컨테이너배차관리!$DG:$DG,$B10)="","",INDEX(GLAPS컨테이너배차관리!$DG:$DG,$B10))&lt;&gt;"",IF(INDEX(GLAPS컨테이너배차관리!$DG:$DG,$B10)="","",INDEX(GLAPS컨테이너배차관리!$DG:$DG,$B10)),"")))</f>
        <v/>
      </c>
      <c r="O10" t="str">
        <f>IF($B10="","",IF(INDEX(GLAPS컨테이너배차관리!$AB:$AB,$B10)="","",INDEX(GLAPS컨테이너배차관리!$AB:$AB,$B10)))</f>
        <v>경남99바4895</v>
      </c>
      <c r="P10" t="str">
        <f>IF($B10="","",IF(IF(INDEX(GLAPS컨테이너배차관리!$CP:$CP,$B10)="","",INDEX(GLAPS컨테이너배차관리!$CP:$CP,$B10))="","",IFERROR(INDEX(GLAPS정리!$BH$2:$BH$101,MATCH(IF(INDEX(GLAPS컨테이너배차관리!$CP:$CP,$B10)="","",INDEX(GLAPS컨테이너배차관리!$CP:$CP,$B10)),GLAPS정리!$BI$2:$BI$101,0)),IF(INDEX(GLAPS컨테이너배차관리!$CP:$CP,$B10)="","",INDEX(GLAPS컨테이너배차관리!$CP:$CP,$B10)))))</f>
        <v/>
      </c>
      <c r="Q10" t="str">
        <f>IF($B10="","",IF(AND(IF(INDEX(GLAPS컨테이너배차관리!$AK:$AK,$B10)="","",INDEX(GLAPS컨테이너배차관리!$AK:$AK,$B10))="Y",IF(INDEX(GLAPS컨테이너배차관리!$AI:$AI,$B10)="","",INDEX(GLAPS컨테이너배차관리!$AI:$AI,$B10))="Y"),"위험물리퍼",IF(IF(INDEX(GLAPS컨테이너배차관리!$AK:$AK,$B10)="","",INDEX(GLAPS컨테이너배차관리!$AK:$AK,$B10))="Y","위험물",IF(IF(INDEX(GLAPS컨테이너배차관리!$AI:$AI,$B10)="","",INDEX(GLAPS컨테이너배차관리!$AI:$AI,$B10))="Y","리퍼",""))))</f>
        <v/>
      </c>
      <c r="R10" t="str">
        <f>IF($B10="","",IF(LEFT(IF(INDEX(GLAPS컨테이너배차관리!$Y:$Y,$B10)="","",INDEX(GLAPS컨테이너배차관리!$Y:$Y,$B10)),2)="22",1,""))</f>
        <v/>
      </c>
      <c r="S10" t="str">
        <f>IF($B10="","",IF(LEFT(IF(INDEX(GLAPS컨테이너배차관리!$Y:$Y,$B10)="","",INDEX(GLAPS컨테이너배차관리!$Y:$Y,$B10)),2)="42",1,""))</f>
        <v/>
      </c>
      <c r="T10">
        <f>IF($B10="","",IF(LEFT(IF(INDEX(GLAPS컨테이너배차관리!$Y:$Y,$B10)="","",INDEX(GLAPS컨테이너배차관리!$Y:$Y,$B10)),2)="45",1,""))</f>
        <v>1</v>
      </c>
      <c r="U10" t="str">
        <f>IF($B10="","",IF(INDEX(GLAPS컨테이너배차관리!$X:$X,$B10)="","",INDEX(GLAPS컨테이너배차관리!$X:$X,$B10)))</f>
        <v>TGBU5280738</v>
      </c>
      <c r="V10" t="str">
        <f>IF($B10="","",IF(INDEX(GLAPS컨테이너배차관리!$Z:$Z,$B10)="","",INDEX(GLAPS컨테이너배차관리!$Z:$Z,$B10)))</f>
        <v>M6412832</v>
      </c>
      <c r="W10" t="str">
        <f>IF($B10="","",IF(IF(INDEX(GLAPS컨테이너배차관리!$DI:$DI,$B10)="","",INDEX(GLAPS컨테이너배차관리!$DI:$DI,$B10))&lt;&gt;"",IF(INDEX(GLAPS컨테이너배차관리!$DI:$DI,$B10)="","",INDEX(GLAPS컨테이너배차관리!$DI:$DI,$B10)),IF(IF(INDEX(GLAPS컨테이너배차관리!$DJ:$DJ,$B10)="","",INDEX(GLAPS컨테이너배차관리!$DJ:$DJ,$B10))&lt;&gt;"",IF(INDEX(GLAPS컨테이너배차관리!$DJ:$DJ,$B10)="","",INDEX(GLAPS컨테이너배차관리!$DJ:$DJ,$B10)),IF(IF(INDEX(GLAPS컨테이너배차관리!$DK:$DK,$B10)="","",INDEX(GLAPS컨테이너배차관리!$DK:$DK,$B10))&lt;&gt;"",IF(INDEX(GLAPS컨테이너배차관리!$DK:$DK,$B10)="","",INDEX(GLAPS컨테이너배차관리!$DK:$DK,$B10)),IF(IF(INDEX(GLAPS컨테이너배차관리!$DL:$DL,$B10)="","",INDEX(GLAPS컨테이너배차관리!$DL:$DL,$B10))&lt;&gt;"",IF(INDEX(GLAPS컨테이너배차관리!$DL:$DL,$B10)="","",INDEX(GLAPS컨테이너배차관리!$DL:$DL,$B10)),IF(IF(INDEX(GLAPS컨테이너배차관리!$DM:$DM,$B10)="","",INDEX(GLAPS컨테이너배차관리!$DM:$DM,$B10))&lt;&gt;"",IF(INDEX(GLAPS컨테이너배차관리!$DM:$DM,$B10)="","",INDEX(GLAPS컨테이너배차관리!$DM:$DM,$B10)),""))))))</f>
        <v/>
      </c>
      <c r="X10" t="str">
        <f>IF($B10="","",IF(INDEX(GLAPS컨테이너배차관리!$F:$F,$B10)="","",INDEX(GLAPS컨테이너배차관리!$F:$F,$B10)))</f>
        <v>X260602-002003</v>
      </c>
      <c r="Y10" t="str">
        <f>IF($B10="","",IF(IF(INDEX(GLAPS컨테이너배차관리!$M:$M,$B10)="","",INDEX(GLAPS컨테이너배차관리!$M:$M,$B10))&lt;&gt;"",IF(INDEX(GLAPS컨테이너배차관리!$M:$M,$B10)="","",INDEX(GLAPS컨테이너배차관리!$M:$M,$B10)),IF(IF(INDEX(GLAPS컨테이너배차관리!$N:$N,$B10)="","",INDEX(GLAPS컨테이너배차관리!$N:$N,$B10))&lt;&gt;"",IF(INDEX(GLAPS컨테이너배차관리!$N:$N,$B10)="","",INDEX(GLAPS컨테이너배차관리!$N:$N,$B10)),"")))</f>
        <v>CMA2605290012</v>
      </c>
      <c r="Z10" t="str">
        <f>IF($B10="","",IF(IF(INDEX(GLAPS컨테이너배차관리!$CU:$CU,$B10)="","",INDEX(GLAPS컨테이너배차관리!$CU:$CU,$B10))="","",IFERROR(INT(IF(INDEX(GLAPS컨테이너배차관리!$CU:$CU,$B10)="","",INDEX(GLAPS컨테이너배차관리!$CU:$CU,$B10))),"")))</f>
        <v/>
      </c>
      <c r="AA10" t="str">
        <f>IF($B10="","",IF(AND(IF(INDEX(GLAPS컨테이너배차관리!$CL:$CL,$B10)="","",INDEX(GLAPS컨테이너배차관리!$CL:$CL,$B10))="",IF(INDEX(GLAPS컨테이너배차관리!$CM:$CM,$B10)="","",INDEX(GLAPS컨테이너배차관리!$CM:$CM,$B10))=""),"",IF(OR(IF(INDEX(GLAPS컨테이너배차관리!$CL:$CL,$B10)="","",INDEX(GLAPS컨테이너배차관리!$CL:$CL,$B10))="B000016649",ISNUMBER(SEARCH("B015",IF(INDEX(GLAPS컨테이너배차관리!$CM:$CM,$B10)="","",INDEX(GLAPS컨테이너배차관리!$CM:$CM,$B10)))),ISNUMBER(SEARCH("세방",IF(INDEX(GLAPS컨테이너배차관리!$CM:$CM,$B10)="","",INDEX(GLAPS컨테이너배차관리!$CM:$CM,$B10)))),ISNUMBER(SEARCH("SB",IF(INDEX(GLAPS컨테이너배차관리!$CM:$CM,$B10)="","",INDEX(GLAPS컨테이너배차관리!$CM:$CM,$B10))))),"세방","")))</f>
        <v/>
      </c>
      <c r="AB10" t="str">
        <f>IF($B10="","",IF(IF(INDEX(GLAPS컨테이너배차관리!$CM:$CM,$B10)="","",INDEX(GLAPS컨테이너배차관리!$CM:$CM,$B10))="","",IF(ISNUMBER(SEARCH("이지스두동",IF(INDEX(GLAPS컨테이너배차관리!$CM:$CM,$B10)="","",INDEX(GLAPS컨테이너배차관리!$CM:$CM,$B10)))),"이지스두동",IF(ISNUMBER(SEARCH("이지스녹산",IF(INDEX(GLAPS컨테이너배차관리!$CM:$CM,$B10)="","",INDEX(GLAPS컨테이너배차관리!$CM:$CM,$B10)))),"이지스녹산",IF(ISNUMBER(SEARCH("천우",IF(INDEX(GLAPS컨테이너배차관리!$CM:$CM,$B10)="","",INDEX(GLAPS컨테이너배차관리!$CM:$CM,$B10)))),"천우",IF(OR(ISNUMBER(SEARCH("청암",IF(INDEX(GLAPS컨테이너배차관리!$CM:$CM,$B10)="","",INDEX(GLAPS컨테이너배차관리!$CM:$CM,$B10)))),ISNUMBER(SEARCH("SB청암",IF(INDEX(GLAPS컨테이너배차관리!$CM:$CM,$B10)="","",INDEX(GLAPS컨테이너배차관리!$CM:$CM,$B10))))),"청암신항",IF(INDEX(GLAPS컨테이너배차관리!$CM:$CM,$B10)="","",INDEX(GLAPS컨테이너배차관리!$CM:$CM,$B10))))))))</f>
        <v/>
      </c>
    </row>
    <row r="11" spans="1:28">
      <c r="A11">
        <v>10</v>
      </c>
      <c r="B11" t="str">
        <f>IFERROR(_xlfn.AGGREGATE(15,6,ROW(GLAPS컨테이너배차관리!$X$2:$X$20000)/(GLAPS컨테이너배차관리!$X$2:$X$20000&lt;&gt;""),A11),"")</f>
        <v/>
      </c>
      <c r="C11" t="str">
        <f>IF($B11="","",INT(IF(INDEX(GLAPS컨테이너배차관리!$K:$K,$B11)="","",INDEX(GLAPS컨테이너배차관리!$K:$K,$B11))))</f>
        <v/>
      </c>
      <c r="D11" t="str">
        <f>IF($B11="","",IF(ISNUMBER(SEARCH("이엘에스",IF(INDEX(GLAPS컨테이너배차관리!$AZ:$AZ,$B11)="","",INDEX(GLAPS컨테이너배차관리!$AZ:$AZ,$B11)))),"ELS솔루션",IF(INDEX(GLAPS컨테이너배차관리!$AZ:$AZ,$B11)="","",INDEX(GLAPS컨테이너배차관리!$AZ:$AZ,$B11))))</f>
        <v/>
      </c>
      <c r="E11" t="str">
        <f>IF($B11="","",IF(INDEX(GLAPS컨테이너배차관리!$L:$L,$B11)="","",INDEX(GLAPS컨테이너배차관리!$L:$L,$B11)))</f>
        <v/>
      </c>
      <c r="F11" t="str">
        <f>IF($B11="","",IF(HOUR(IF(INDEX(GLAPS컨테이너배차관리!$L:$L,$B11)="","",INDEX(GLAPS컨테이너배차관리!$L:$L,$B11)))&lt;12,"오전",IF(HOUR(IF(INDEX(GLAPS컨테이너배차관리!$L:$L,$B11)="","",INDEX(GLAPS컨테이너배차관리!$L:$L,$B11)))&lt;18,"오후","잔업")))</f>
        <v/>
      </c>
      <c r="G11" t="str">
        <f>IF($B11="","",IFERROR(INDEX(GLAPS정리!$G$3:$G$264,MATCH(IF(INDEX(GLAPS컨테이너배차관리!$BY:$BY,$B11)="","",INDEX(GLAPS컨테이너배차관리!$BY:$BY,$B11)),GLAPS정리!$H$3:$H$264,0)),TRIM(SUBSTITUTE(SUBSTITUTE(SUBSTITUTE(SUBSTITUTE(SUBSTITUTE(IF(INDEX(GLAPS컨테이너배차관리!$T:$T,$B11)="","",INDEX(GLAPS컨테이너배차관리!$T:$T,$B11)),"[GA]",""),"[GB]",""),"[GC]",""),"[KC]",""),"[GS]",""))))</f>
        <v/>
      </c>
      <c r="H11" t="str">
        <f>IF($B11="","",IFERROR(VLOOKUP(IF(INDEX(GLAPS컨테이너배차관리!$BY:$BY,$B11)="","",INDEX(GLAPS컨테이너배차관리!$BY:$BY,$B11)),GLAPS정리!$BT$3:$BV$200,3,0),""))</f>
        <v/>
      </c>
      <c r="I11" t="str">
        <f>IF($B11="","",LEFT(IF(INDEX(GLAPS컨테이너배차관리!$U:$U,$B11)="","",INDEX(GLAPS컨테이너배차관리!$U:$U,$B11)),FIND("/",IF(INDEX(GLAPS컨테이너배차관리!$U:$U,$B11)="","",INDEX(GLAPS컨테이너배차관리!$U:$U,$B11))&amp;"/")-1))</f>
        <v/>
      </c>
      <c r="J11" t="str">
        <f>IF($B11="","",IF(IF(INDEX(GLAPS컨테이너배차관리!$O:$O,$B11)="","",INDEX(GLAPS컨테이너배차관리!$O:$O,$B11))="EMC","EMA",IFERROR(INDEX(GLAPS정리!$A$2:$A$50,MATCH(IF(INDEX(GLAPS컨테이너배차관리!$O:$O,$B11)="","",INDEX(GLAPS컨테이너배차관리!$O:$O,$B11)),GLAPS정리!$D$2:$D$50,0)),IF(INDEX(GLAPS컨테이너배차관리!$O:$O,$B11)="","",INDEX(GLAPS컨테이너배차관리!$O:$O,$B11)))))</f>
        <v/>
      </c>
      <c r="K11" t="str">
        <f>IF($B11="","",IF(LEFT(IF(INDEX(GLAPS컨테이너배차관리!$Y:$Y,$B11)="","",INDEX(GLAPS컨테이너배차관리!$Y:$Y,$B11)),2)="22","20 Feet",IF(LEFT(IF(INDEX(GLAPS컨테이너배차관리!$Y:$Y,$B11)="","",INDEX(GLAPS컨테이너배차관리!$Y:$Y,$B11)),2)="42","40 Feet","40 Feet H")))</f>
        <v/>
      </c>
      <c r="L11" t="str">
        <f>IF($B11="","",IFERROR(INDEX(GLAPS정리!$BB$2:$BB$80,MATCH(IF(INDEX(GLAPS컨테이너배차관리!$BQ:$BQ,$B11)="","",INDEX(GLAPS컨테이너배차관리!$BQ:$BQ,$B11)),GLAPS정리!$BC$2:$BC$80,0)),IF(INDEX(GLAPS컨테이너배차관리!$BQ:$BQ,$B11)="","",INDEX(GLAPS컨테이너배차관리!$BQ:$BQ,$B11))))</f>
        <v/>
      </c>
      <c r="M11" t="str">
        <f>IF($B11="","",IFERROR(INDEX(GLAPS정리!$V$3:$V$180,MATCH(IF(INDEX(GLAPS컨테이너배차관리!$S:$S,$B11)="","",INDEX(GLAPS컨테이너배차관리!$S:$S,$B11)),GLAPS정리!$W$3:$W$180,0)),IF(INDEX(GLAPS컨테이너배차관리!$S:$S,$B11)="","",INDEX(GLAPS컨테이너배차관리!$S:$S,$B11))))</f>
        <v/>
      </c>
      <c r="N11" t="str">
        <f>IF($B11="","",IF(IF(INDEX(GLAPS컨테이너배차관리!$DF:$DF,$B11)="","",INDEX(GLAPS컨테이너배차관리!$DF:$DF,$B11))&lt;&gt;"",IF(INDEX(GLAPS컨테이너배차관리!$DF:$DF,$B11)="","",INDEX(GLAPS컨테이너배차관리!$DF:$DF,$B11)),IF(IF(INDEX(GLAPS컨테이너배차관리!$DG:$DG,$B11)="","",INDEX(GLAPS컨테이너배차관리!$DG:$DG,$B11))&lt;&gt;"",IF(INDEX(GLAPS컨테이너배차관리!$DG:$DG,$B11)="","",INDEX(GLAPS컨테이너배차관리!$DG:$DG,$B11)),"")))</f>
        <v/>
      </c>
      <c r="O11" t="str">
        <f>IF($B11="","",IF(INDEX(GLAPS컨테이너배차관리!$AB:$AB,$B11)="","",INDEX(GLAPS컨테이너배차관리!$AB:$AB,$B11)))</f>
        <v/>
      </c>
      <c r="P11" t="str">
        <f>IF($B11="","",IF(IF(INDEX(GLAPS컨테이너배차관리!$CP:$CP,$B11)="","",INDEX(GLAPS컨테이너배차관리!$CP:$CP,$B11))="","",IFERROR(INDEX(GLAPS정리!$BH$2:$BH$101,MATCH(IF(INDEX(GLAPS컨테이너배차관리!$CP:$CP,$B11)="","",INDEX(GLAPS컨테이너배차관리!$CP:$CP,$B11)),GLAPS정리!$BI$2:$BI$101,0)),IF(INDEX(GLAPS컨테이너배차관리!$CP:$CP,$B11)="","",INDEX(GLAPS컨테이너배차관리!$CP:$CP,$B11)))))</f>
        <v/>
      </c>
      <c r="Q11" t="str">
        <f>IF($B11="","",IF(AND(IF(INDEX(GLAPS컨테이너배차관리!$AK:$AK,$B11)="","",INDEX(GLAPS컨테이너배차관리!$AK:$AK,$B11))="Y",IF(INDEX(GLAPS컨테이너배차관리!$AI:$AI,$B11)="","",INDEX(GLAPS컨테이너배차관리!$AI:$AI,$B11))="Y"),"위험물리퍼",IF(IF(INDEX(GLAPS컨테이너배차관리!$AK:$AK,$B11)="","",INDEX(GLAPS컨테이너배차관리!$AK:$AK,$B11))="Y","위험물",IF(IF(INDEX(GLAPS컨테이너배차관리!$AI:$AI,$B11)="","",INDEX(GLAPS컨테이너배차관리!$AI:$AI,$B11))="Y","리퍼",""))))</f>
        <v/>
      </c>
      <c r="R11" t="str">
        <f>IF($B11="","",IF(LEFT(IF(INDEX(GLAPS컨테이너배차관리!$Y:$Y,$B11)="","",INDEX(GLAPS컨테이너배차관리!$Y:$Y,$B11)),2)="22",1,""))</f>
        <v/>
      </c>
      <c r="S11" t="str">
        <f>IF($B11="","",IF(LEFT(IF(INDEX(GLAPS컨테이너배차관리!$Y:$Y,$B11)="","",INDEX(GLAPS컨테이너배차관리!$Y:$Y,$B11)),2)="42",1,""))</f>
        <v/>
      </c>
      <c r="T11" t="str">
        <f>IF($B11="","",IF(LEFT(IF(INDEX(GLAPS컨테이너배차관리!$Y:$Y,$B11)="","",INDEX(GLAPS컨테이너배차관리!$Y:$Y,$B11)),2)="45",1,""))</f>
        <v/>
      </c>
      <c r="U11" t="str">
        <f>IF($B11="","",IF(INDEX(GLAPS컨테이너배차관리!$X:$X,$B11)="","",INDEX(GLAPS컨테이너배차관리!$X:$X,$B11)))</f>
        <v/>
      </c>
      <c r="V11" t="str">
        <f>IF($B11="","",IF(INDEX(GLAPS컨테이너배차관리!$Z:$Z,$B11)="","",INDEX(GLAPS컨테이너배차관리!$Z:$Z,$B11)))</f>
        <v/>
      </c>
      <c r="W11" t="str">
        <f>IF($B11="","",IF(IF(INDEX(GLAPS컨테이너배차관리!$DI:$DI,$B11)="","",INDEX(GLAPS컨테이너배차관리!$DI:$DI,$B11))&lt;&gt;"",IF(INDEX(GLAPS컨테이너배차관리!$DI:$DI,$B11)="","",INDEX(GLAPS컨테이너배차관리!$DI:$DI,$B11)),IF(IF(INDEX(GLAPS컨테이너배차관리!$DJ:$DJ,$B11)="","",INDEX(GLAPS컨테이너배차관리!$DJ:$DJ,$B11))&lt;&gt;"",IF(INDEX(GLAPS컨테이너배차관리!$DJ:$DJ,$B11)="","",INDEX(GLAPS컨테이너배차관리!$DJ:$DJ,$B11)),IF(IF(INDEX(GLAPS컨테이너배차관리!$DK:$DK,$B11)="","",INDEX(GLAPS컨테이너배차관리!$DK:$DK,$B11))&lt;&gt;"",IF(INDEX(GLAPS컨테이너배차관리!$DK:$DK,$B11)="","",INDEX(GLAPS컨테이너배차관리!$DK:$DK,$B11)),IF(IF(INDEX(GLAPS컨테이너배차관리!$DL:$DL,$B11)="","",INDEX(GLAPS컨테이너배차관리!$DL:$DL,$B11))&lt;&gt;"",IF(INDEX(GLAPS컨테이너배차관리!$DL:$DL,$B11)="","",INDEX(GLAPS컨테이너배차관리!$DL:$DL,$B11)),IF(IF(INDEX(GLAPS컨테이너배차관리!$DM:$DM,$B11)="","",INDEX(GLAPS컨테이너배차관리!$DM:$DM,$B11))&lt;&gt;"",IF(INDEX(GLAPS컨테이너배차관리!$DM:$DM,$B11)="","",INDEX(GLAPS컨테이너배차관리!$DM:$DM,$B11)),""))))))</f>
        <v/>
      </c>
      <c r="X11" t="str">
        <f>IF($B11="","",IF(INDEX(GLAPS컨테이너배차관리!$F:$F,$B11)="","",INDEX(GLAPS컨테이너배차관리!$F:$F,$B11)))</f>
        <v/>
      </c>
      <c r="Y11" t="str">
        <f>IF($B11="","",IF(IF(INDEX(GLAPS컨테이너배차관리!$M:$M,$B11)="","",INDEX(GLAPS컨테이너배차관리!$M:$M,$B11))&lt;&gt;"",IF(INDEX(GLAPS컨테이너배차관리!$M:$M,$B11)="","",INDEX(GLAPS컨테이너배차관리!$M:$M,$B11)),IF(IF(INDEX(GLAPS컨테이너배차관리!$N:$N,$B11)="","",INDEX(GLAPS컨테이너배차관리!$N:$N,$B11))&lt;&gt;"",IF(INDEX(GLAPS컨테이너배차관리!$N:$N,$B11)="","",INDEX(GLAPS컨테이너배차관리!$N:$N,$B11)),"")))</f>
        <v/>
      </c>
      <c r="Z11" t="str">
        <f>IF($B11="","",IF(IF(INDEX(GLAPS컨테이너배차관리!$CU:$CU,$B11)="","",INDEX(GLAPS컨테이너배차관리!$CU:$CU,$B11))="","",IFERROR(INT(IF(INDEX(GLAPS컨테이너배차관리!$CU:$CU,$B11)="","",INDEX(GLAPS컨테이너배차관리!$CU:$CU,$B11))),"")))</f>
        <v/>
      </c>
      <c r="AA11" t="str">
        <f>IF($B11="","",IF(AND(IF(INDEX(GLAPS컨테이너배차관리!$CL:$CL,$B11)="","",INDEX(GLAPS컨테이너배차관리!$CL:$CL,$B11))="",IF(INDEX(GLAPS컨테이너배차관리!$CM:$CM,$B11)="","",INDEX(GLAPS컨테이너배차관리!$CM:$CM,$B11))=""),"",IF(OR(IF(INDEX(GLAPS컨테이너배차관리!$CL:$CL,$B11)="","",INDEX(GLAPS컨테이너배차관리!$CL:$CL,$B11))="B000016649",ISNUMBER(SEARCH("B015",IF(INDEX(GLAPS컨테이너배차관리!$CM:$CM,$B11)="","",INDEX(GLAPS컨테이너배차관리!$CM:$CM,$B11)))),ISNUMBER(SEARCH("세방",IF(INDEX(GLAPS컨테이너배차관리!$CM:$CM,$B11)="","",INDEX(GLAPS컨테이너배차관리!$CM:$CM,$B11)))),ISNUMBER(SEARCH("SB",IF(INDEX(GLAPS컨테이너배차관리!$CM:$CM,$B11)="","",INDEX(GLAPS컨테이너배차관리!$CM:$CM,$B11))))),"세방","")))</f>
        <v/>
      </c>
      <c r="AB11" t="str">
        <f>IF($B11="","",IF(IF(INDEX(GLAPS컨테이너배차관리!$CM:$CM,$B11)="","",INDEX(GLAPS컨테이너배차관리!$CM:$CM,$B11))="","",IF(ISNUMBER(SEARCH("이지스두동",IF(INDEX(GLAPS컨테이너배차관리!$CM:$CM,$B11)="","",INDEX(GLAPS컨테이너배차관리!$CM:$CM,$B11)))),"이지스두동",IF(ISNUMBER(SEARCH("이지스녹산",IF(INDEX(GLAPS컨테이너배차관리!$CM:$CM,$B11)="","",INDEX(GLAPS컨테이너배차관리!$CM:$CM,$B11)))),"이지스녹산",IF(ISNUMBER(SEARCH("천우",IF(INDEX(GLAPS컨테이너배차관리!$CM:$CM,$B11)="","",INDEX(GLAPS컨테이너배차관리!$CM:$CM,$B11)))),"천우",IF(OR(ISNUMBER(SEARCH("청암",IF(INDEX(GLAPS컨테이너배차관리!$CM:$CM,$B11)="","",INDEX(GLAPS컨테이너배차관리!$CM:$CM,$B11)))),ISNUMBER(SEARCH("SB청암",IF(INDEX(GLAPS컨테이너배차관리!$CM:$CM,$B11)="","",INDEX(GLAPS컨테이너배차관리!$CM:$CM,$B11))))),"청암신항",IF(INDEX(GLAPS컨테이너배차관리!$CM:$CM,$B11)="","",INDEX(GLAPS컨테이너배차관리!$CM:$CM,$B11))))))))</f>
        <v/>
      </c>
    </row>
    <row r="12" spans="1:28">
      <c r="A12">
        <v>11</v>
      </c>
      <c r="B12" t="str">
        <f>IFERROR(_xlfn.AGGREGATE(15,6,ROW(GLAPS컨테이너배차관리!$X$2:$X$20000)/(GLAPS컨테이너배차관리!$X$2:$X$20000&lt;&gt;""),A12),"")</f>
        <v/>
      </c>
      <c r="C12" t="str">
        <f>IF($B12="","",INT(IF(INDEX(GLAPS컨테이너배차관리!$K:$K,$B12)="","",INDEX(GLAPS컨테이너배차관리!$K:$K,$B12))))</f>
        <v/>
      </c>
      <c r="D12" t="str">
        <f>IF($B12="","",IF(ISNUMBER(SEARCH("이엘에스",IF(INDEX(GLAPS컨테이너배차관리!$AZ:$AZ,$B12)="","",INDEX(GLAPS컨테이너배차관리!$AZ:$AZ,$B12)))),"ELS솔루션",IF(INDEX(GLAPS컨테이너배차관리!$AZ:$AZ,$B12)="","",INDEX(GLAPS컨테이너배차관리!$AZ:$AZ,$B12))))</f>
        <v/>
      </c>
      <c r="E12" t="str">
        <f>IF($B12="","",IF(INDEX(GLAPS컨테이너배차관리!$L:$L,$B12)="","",INDEX(GLAPS컨테이너배차관리!$L:$L,$B12)))</f>
        <v/>
      </c>
      <c r="F12" t="str">
        <f>IF($B12="","",IF(HOUR(IF(INDEX(GLAPS컨테이너배차관리!$L:$L,$B12)="","",INDEX(GLAPS컨테이너배차관리!$L:$L,$B12)))&lt;12,"오전",IF(HOUR(IF(INDEX(GLAPS컨테이너배차관리!$L:$L,$B12)="","",INDEX(GLAPS컨테이너배차관리!$L:$L,$B12)))&lt;18,"오후","잔업")))</f>
        <v/>
      </c>
      <c r="G12" t="str">
        <f>IF($B12="","",IFERROR(INDEX(GLAPS정리!$G$3:$G$264,MATCH(IF(INDEX(GLAPS컨테이너배차관리!$BY:$BY,$B12)="","",INDEX(GLAPS컨테이너배차관리!$BY:$BY,$B12)),GLAPS정리!$H$3:$H$264,0)),TRIM(SUBSTITUTE(SUBSTITUTE(SUBSTITUTE(SUBSTITUTE(SUBSTITUTE(IF(INDEX(GLAPS컨테이너배차관리!$T:$T,$B12)="","",INDEX(GLAPS컨테이너배차관리!$T:$T,$B12)),"[GA]",""),"[GB]",""),"[GC]",""),"[KC]",""),"[GS]",""))))</f>
        <v/>
      </c>
      <c r="H12" t="str">
        <f>IF($B12="","",IFERROR(VLOOKUP(IF(INDEX(GLAPS컨테이너배차관리!$BY:$BY,$B12)="","",INDEX(GLAPS컨테이너배차관리!$BY:$BY,$B12)),GLAPS정리!$BT$3:$BV$200,3,0),""))</f>
        <v/>
      </c>
      <c r="I12" t="str">
        <f>IF($B12="","",LEFT(IF(INDEX(GLAPS컨테이너배차관리!$U:$U,$B12)="","",INDEX(GLAPS컨테이너배차관리!$U:$U,$B12)),FIND("/",IF(INDEX(GLAPS컨테이너배차관리!$U:$U,$B12)="","",INDEX(GLAPS컨테이너배차관리!$U:$U,$B12))&amp;"/")-1))</f>
        <v/>
      </c>
      <c r="J12" t="str">
        <f>IF($B12="","",IF(IF(INDEX(GLAPS컨테이너배차관리!$O:$O,$B12)="","",INDEX(GLAPS컨테이너배차관리!$O:$O,$B12))="EMC","EMA",IFERROR(INDEX(GLAPS정리!$A$2:$A$50,MATCH(IF(INDEX(GLAPS컨테이너배차관리!$O:$O,$B12)="","",INDEX(GLAPS컨테이너배차관리!$O:$O,$B12)),GLAPS정리!$D$2:$D$50,0)),IF(INDEX(GLAPS컨테이너배차관리!$O:$O,$B12)="","",INDEX(GLAPS컨테이너배차관리!$O:$O,$B12)))))</f>
        <v/>
      </c>
      <c r="K12" t="str">
        <f>IF($B12="","",IF(LEFT(IF(INDEX(GLAPS컨테이너배차관리!$Y:$Y,$B12)="","",INDEX(GLAPS컨테이너배차관리!$Y:$Y,$B12)),2)="22","20 Feet",IF(LEFT(IF(INDEX(GLAPS컨테이너배차관리!$Y:$Y,$B12)="","",INDEX(GLAPS컨테이너배차관리!$Y:$Y,$B12)),2)="42","40 Feet","40 Feet H")))</f>
        <v/>
      </c>
      <c r="L12" t="str">
        <f>IF($B12="","",IFERROR(INDEX(GLAPS정리!$BB$2:$BB$80,MATCH(IF(INDEX(GLAPS컨테이너배차관리!$BQ:$BQ,$B12)="","",INDEX(GLAPS컨테이너배차관리!$BQ:$BQ,$B12)),GLAPS정리!$BC$2:$BC$80,0)),IF(INDEX(GLAPS컨테이너배차관리!$BQ:$BQ,$B12)="","",INDEX(GLAPS컨테이너배차관리!$BQ:$BQ,$B12))))</f>
        <v/>
      </c>
      <c r="M12" t="str">
        <f>IF($B12="","",IFERROR(INDEX(GLAPS정리!$V$3:$V$180,MATCH(IF(INDEX(GLAPS컨테이너배차관리!$S:$S,$B12)="","",INDEX(GLAPS컨테이너배차관리!$S:$S,$B12)),GLAPS정리!$W$3:$W$180,0)),IF(INDEX(GLAPS컨테이너배차관리!$S:$S,$B12)="","",INDEX(GLAPS컨테이너배차관리!$S:$S,$B12))))</f>
        <v/>
      </c>
      <c r="N12" t="str">
        <f>IF($B12="","",IF(IF(INDEX(GLAPS컨테이너배차관리!$DF:$DF,$B12)="","",INDEX(GLAPS컨테이너배차관리!$DF:$DF,$B12))&lt;&gt;"",IF(INDEX(GLAPS컨테이너배차관리!$DF:$DF,$B12)="","",INDEX(GLAPS컨테이너배차관리!$DF:$DF,$B12)),IF(IF(INDEX(GLAPS컨테이너배차관리!$DG:$DG,$B12)="","",INDEX(GLAPS컨테이너배차관리!$DG:$DG,$B12))&lt;&gt;"",IF(INDEX(GLAPS컨테이너배차관리!$DG:$DG,$B12)="","",INDEX(GLAPS컨테이너배차관리!$DG:$DG,$B12)),"")))</f>
        <v/>
      </c>
      <c r="O12" t="str">
        <f>IF($B12="","",IF(INDEX(GLAPS컨테이너배차관리!$AB:$AB,$B12)="","",INDEX(GLAPS컨테이너배차관리!$AB:$AB,$B12)))</f>
        <v/>
      </c>
      <c r="P12" t="str">
        <f>IF($B12="","",IF(IF(INDEX(GLAPS컨테이너배차관리!$CP:$CP,$B12)="","",INDEX(GLAPS컨테이너배차관리!$CP:$CP,$B12))="","",IFERROR(INDEX(GLAPS정리!$BH$2:$BH$101,MATCH(IF(INDEX(GLAPS컨테이너배차관리!$CP:$CP,$B12)="","",INDEX(GLAPS컨테이너배차관리!$CP:$CP,$B12)),GLAPS정리!$BI$2:$BI$101,0)),IF(INDEX(GLAPS컨테이너배차관리!$CP:$CP,$B12)="","",INDEX(GLAPS컨테이너배차관리!$CP:$CP,$B12)))))</f>
        <v/>
      </c>
      <c r="Q12" t="str">
        <f>IF($B12="","",IF(AND(IF(INDEX(GLAPS컨테이너배차관리!$AK:$AK,$B12)="","",INDEX(GLAPS컨테이너배차관리!$AK:$AK,$B12))="Y",IF(INDEX(GLAPS컨테이너배차관리!$AI:$AI,$B12)="","",INDEX(GLAPS컨테이너배차관리!$AI:$AI,$B12))="Y"),"위험물리퍼",IF(IF(INDEX(GLAPS컨테이너배차관리!$AK:$AK,$B12)="","",INDEX(GLAPS컨테이너배차관리!$AK:$AK,$B12))="Y","위험물",IF(IF(INDEX(GLAPS컨테이너배차관리!$AI:$AI,$B12)="","",INDEX(GLAPS컨테이너배차관리!$AI:$AI,$B12))="Y","리퍼",""))))</f>
        <v/>
      </c>
      <c r="R12" t="str">
        <f>IF($B12="","",IF(LEFT(IF(INDEX(GLAPS컨테이너배차관리!$Y:$Y,$B12)="","",INDEX(GLAPS컨테이너배차관리!$Y:$Y,$B12)),2)="22",1,""))</f>
        <v/>
      </c>
      <c r="S12" t="str">
        <f>IF($B12="","",IF(LEFT(IF(INDEX(GLAPS컨테이너배차관리!$Y:$Y,$B12)="","",INDEX(GLAPS컨테이너배차관리!$Y:$Y,$B12)),2)="42",1,""))</f>
        <v/>
      </c>
      <c r="T12" t="str">
        <f>IF($B12="","",IF(LEFT(IF(INDEX(GLAPS컨테이너배차관리!$Y:$Y,$B12)="","",INDEX(GLAPS컨테이너배차관리!$Y:$Y,$B12)),2)="45",1,""))</f>
        <v/>
      </c>
      <c r="U12" t="str">
        <f>IF($B12="","",IF(INDEX(GLAPS컨테이너배차관리!$X:$X,$B12)="","",INDEX(GLAPS컨테이너배차관리!$X:$X,$B12)))</f>
        <v/>
      </c>
      <c r="V12" t="str">
        <f>IF($B12="","",IF(INDEX(GLAPS컨테이너배차관리!$Z:$Z,$B12)="","",INDEX(GLAPS컨테이너배차관리!$Z:$Z,$B12)))</f>
        <v/>
      </c>
      <c r="W12" t="str">
        <f>IF($B12="","",IF(IF(INDEX(GLAPS컨테이너배차관리!$DI:$DI,$B12)="","",INDEX(GLAPS컨테이너배차관리!$DI:$DI,$B12))&lt;&gt;"",IF(INDEX(GLAPS컨테이너배차관리!$DI:$DI,$B12)="","",INDEX(GLAPS컨테이너배차관리!$DI:$DI,$B12)),IF(IF(INDEX(GLAPS컨테이너배차관리!$DJ:$DJ,$B12)="","",INDEX(GLAPS컨테이너배차관리!$DJ:$DJ,$B12))&lt;&gt;"",IF(INDEX(GLAPS컨테이너배차관리!$DJ:$DJ,$B12)="","",INDEX(GLAPS컨테이너배차관리!$DJ:$DJ,$B12)),IF(IF(INDEX(GLAPS컨테이너배차관리!$DK:$DK,$B12)="","",INDEX(GLAPS컨테이너배차관리!$DK:$DK,$B12))&lt;&gt;"",IF(INDEX(GLAPS컨테이너배차관리!$DK:$DK,$B12)="","",INDEX(GLAPS컨테이너배차관리!$DK:$DK,$B12)),IF(IF(INDEX(GLAPS컨테이너배차관리!$DL:$DL,$B12)="","",INDEX(GLAPS컨테이너배차관리!$DL:$DL,$B12))&lt;&gt;"",IF(INDEX(GLAPS컨테이너배차관리!$DL:$DL,$B12)="","",INDEX(GLAPS컨테이너배차관리!$DL:$DL,$B12)),IF(IF(INDEX(GLAPS컨테이너배차관리!$DM:$DM,$B12)="","",INDEX(GLAPS컨테이너배차관리!$DM:$DM,$B12))&lt;&gt;"",IF(INDEX(GLAPS컨테이너배차관리!$DM:$DM,$B12)="","",INDEX(GLAPS컨테이너배차관리!$DM:$DM,$B12)),""))))))</f>
        <v/>
      </c>
      <c r="X12" t="str">
        <f>IF($B12="","",IF(INDEX(GLAPS컨테이너배차관리!$F:$F,$B12)="","",INDEX(GLAPS컨테이너배차관리!$F:$F,$B12)))</f>
        <v/>
      </c>
      <c r="Y12" t="str">
        <f>IF($B12="","",IF(IF(INDEX(GLAPS컨테이너배차관리!$M:$M,$B12)="","",INDEX(GLAPS컨테이너배차관리!$M:$M,$B12))&lt;&gt;"",IF(INDEX(GLAPS컨테이너배차관리!$M:$M,$B12)="","",INDEX(GLAPS컨테이너배차관리!$M:$M,$B12)),IF(IF(INDEX(GLAPS컨테이너배차관리!$N:$N,$B12)="","",INDEX(GLAPS컨테이너배차관리!$N:$N,$B12))&lt;&gt;"",IF(INDEX(GLAPS컨테이너배차관리!$N:$N,$B12)="","",INDEX(GLAPS컨테이너배차관리!$N:$N,$B12)),"")))</f>
        <v/>
      </c>
      <c r="Z12" t="str">
        <f>IF($B12="","",IF(IF(INDEX(GLAPS컨테이너배차관리!$CU:$CU,$B12)="","",INDEX(GLAPS컨테이너배차관리!$CU:$CU,$B12))="","",IFERROR(INT(IF(INDEX(GLAPS컨테이너배차관리!$CU:$CU,$B12)="","",INDEX(GLAPS컨테이너배차관리!$CU:$CU,$B12))),"")))</f>
        <v/>
      </c>
      <c r="AA12" t="str">
        <f>IF($B12="","",IF(AND(IF(INDEX(GLAPS컨테이너배차관리!$CL:$CL,$B12)="","",INDEX(GLAPS컨테이너배차관리!$CL:$CL,$B12))="",IF(INDEX(GLAPS컨테이너배차관리!$CM:$CM,$B12)="","",INDEX(GLAPS컨테이너배차관리!$CM:$CM,$B12))=""),"",IF(OR(IF(INDEX(GLAPS컨테이너배차관리!$CL:$CL,$B12)="","",INDEX(GLAPS컨테이너배차관리!$CL:$CL,$B12))="B000016649",ISNUMBER(SEARCH("B015",IF(INDEX(GLAPS컨테이너배차관리!$CM:$CM,$B12)="","",INDEX(GLAPS컨테이너배차관리!$CM:$CM,$B12)))),ISNUMBER(SEARCH("세방",IF(INDEX(GLAPS컨테이너배차관리!$CM:$CM,$B12)="","",INDEX(GLAPS컨테이너배차관리!$CM:$CM,$B12)))),ISNUMBER(SEARCH("SB",IF(INDEX(GLAPS컨테이너배차관리!$CM:$CM,$B12)="","",INDEX(GLAPS컨테이너배차관리!$CM:$CM,$B12))))),"세방","")))</f>
        <v/>
      </c>
      <c r="AB12" t="str">
        <f>IF($B12="","",IF(IF(INDEX(GLAPS컨테이너배차관리!$CM:$CM,$B12)="","",INDEX(GLAPS컨테이너배차관리!$CM:$CM,$B12))="","",IF(ISNUMBER(SEARCH("이지스두동",IF(INDEX(GLAPS컨테이너배차관리!$CM:$CM,$B12)="","",INDEX(GLAPS컨테이너배차관리!$CM:$CM,$B12)))),"이지스두동",IF(ISNUMBER(SEARCH("이지스녹산",IF(INDEX(GLAPS컨테이너배차관리!$CM:$CM,$B12)="","",INDEX(GLAPS컨테이너배차관리!$CM:$CM,$B12)))),"이지스녹산",IF(ISNUMBER(SEARCH("천우",IF(INDEX(GLAPS컨테이너배차관리!$CM:$CM,$B12)="","",INDEX(GLAPS컨테이너배차관리!$CM:$CM,$B12)))),"천우",IF(OR(ISNUMBER(SEARCH("청암",IF(INDEX(GLAPS컨테이너배차관리!$CM:$CM,$B12)="","",INDEX(GLAPS컨테이너배차관리!$CM:$CM,$B12)))),ISNUMBER(SEARCH("SB청암",IF(INDEX(GLAPS컨테이너배차관리!$CM:$CM,$B12)="","",INDEX(GLAPS컨테이너배차관리!$CM:$CM,$B12))))),"청암신항",IF(INDEX(GLAPS컨테이너배차관리!$CM:$CM,$B12)="","",INDEX(GLAPS컨테이너배차관리!$CM:$CM,$B12))))))))</f>
        <v/>
      </c>
    </row>
    <row r="13" spans="1:28">
      <c r="A13">
        <v>12</v>
      </c>
      <c r="B13" t="str">
        <f>IFERROR(_xlfn.AGGREGATE(15,6,ROW(GLAPS컨테이너배차관리!$X$2:$X$20000)/(GLAPS컨테이너배차관리!$X$2:$X$20000&lt;&gt;""),A13),"")</f>
        <v/>
      </c>
      <c r="C13" t="str">
        <f>IF($B13="","",INT(IF(INDEX(GLAPS컨테이너배차관리!$K:$K,$B13)="","",INDEX(GLAPS컨테이너배차관리!$K:$K,$B13))))</f>
        <v/>
      </c>
      <c r="D13" t="str">
        <f>IF($B13="","",IF(ISNUMBER(SEARCH("이엘에스",IF(INDEX(GLAPS컨테이너배차관리!$AZ:$AZ,$B13)="","",INDEX(GLAPS컨테이너배차관리!$AZ:$AZ,$B13)))),"ELS솔루션",IF(INDEX(GLAPS컨테이너배차관리!$AZ:$AZ,$B13)="","",INDEX(GLAPS컨테이너배차관리!$AZ:$AZ,$B13))))</f>
        <v/>
      </c>
      <c r="E13" t="str">
        <f>IF($B13="","",IF(INDEX(GLAPS컨테이너배차관리!$L:$L,$B13)="","",INDEX(GLAPS컨테이너배차관리!$L:$L,$B13)))</f>
        <v/>
      </c>
      <c r="F13" t="str">
        <f>IF($B13="","",IF(HOUR(IF(INDEX(GLAPS컨테이너배차관리!$L:$L,$B13)="","",INDEX(GLAPS컨테이너배차관리!$L:$L,$B13)))&lt;12,"오전",IF(HOUR(IF(INDEX(GLAPS컨테이너배차관리!$L:$L,$B13)="","",INDEX(GLAPS컨테이너배차관리!$L:$L,$B13)))&lt;18,"오후","잔업")))</f>
        <v/>
      </c>
      <c r="G13" t="str">
        <f>IF($B13="","",IFERROR(INDEX(GLAPS정리!$G$3:$G$264,MATCH(IF(INDEX(GLAPS컨테이너배차관리!$BY:$BY,$B13)="","",INDEX(GLAPS컨테이너배차관리!$BY:$BY,$B13)),GLAPS정리!$H$3:$H$264,0)),TRIM(SUBSTITUTE(SUBSTITUTE(SUBSTITUTE(SUBSTITUTE(SUBSTITUTE(IF(INDEX(GLAPS컨테이너배차관리!$T:$T,$B13)="","",INDEX(GLAPS컨테이너배차관리!$T:$T,$B13)),"[GA]",""),"[GB]",""),"[GC]",""),"[KC]",""),"[GS]",""))))</f>
        <v/>
      </c>
      <c r="H13" t="str">
        <f>IF($B13="","",IFERROR(VLOOKUP(IF(INDEX(GLAPS컨테이너배차관리!$BY:$BY,$B13)="","",INDEX(GLAPS컨테이너배차관리!$BY:$BY,$B13)),GLAPS정리!$BT$3:$BV$200,3,0),""))</f>
        <v/>
      </c>
      <c r="I13" t="str">
        <f>IF($B13="","",LEFT(IF(INDEX(GLAPS컨테이너배차관리!$U:$U,$B13)="","",INDEX(GLAPS컨테이너배차관리!$U:$U,$B13)),FIND("/",IF(INDEX(GLAPS컨테이너배차관리!$U:$U,$B13)="","",INDEX(GLAPS컨테이너배차관리!$U:$U,$B13))&amp;"/")-1))</f>
        <v/>
      </c>
      <c r="J13" t="str">
        <f>IF($B13="","",IF(IF(INDEX(GLAPS컨테이너배차관리!$O:$O,$B13)="","",INDEX(GLAPS컨테이너배차관리!$O:$O,$B13))="EMC","EMA",IFERROR(INDEX(GLAPS정리!$A$2:$A$50,MATCH(IF(INDEX(GLAPS컨테이너배차관리!$O:$O,$B13)="","",INDEX(GLAPS컨테이너배차관리!$O:$O,$B13)),GLAPS정리!$D$2:$D$50,0)),IF(INDEX(GLAPS컨테이너배차관리!$O:$O,$B13)="","",INDEX(GLAPS컨테이너배차관리!$O:$O,$B13)))))</f>
        <v/>
      </c>
      <c r="K13" t="str">
        <f>IF($B13="","",IF(LEFT(IF(INDEX(GLAPS컨테이너배차관리!$Y:$Y,$B13)="","",INDEX(GLAPS컨테이너배차관리!$Y:$Y,$B13)),2)="22","20 Feet",IF(LEFT(IF(INDEX(GLAPS컨테이너배차관리!$Y:$Y,$B13)="","",INDEX(GLAPS컨테이너배차관리!$Y:$Y,$B13)),2)="42","40 Feet","40 Feet H")))</f>
        <v/>
      </c>
      <c r="L13" t="str">
        <f>IF($B13="","",IFERROR(INDEX(GLAPS정리!$BB$2:$BB$80,MATCH(IF(INDEX(GLAPS컨테이너배차관리!$BQ:$BQ,$B13)="","",INDEX(GLAPS컨테이너배차관리!$BQ:$BQ,$B13)),GLAPS정리!$BC$2:$BC$80,0)),IF(INDEX(GLAPS컨테이너배차관리!$BQ:$BQ,$B13)="","",INDEX(GLAPS컨테이너배차관리!$BQ:$BQ,$B13))))</f>
        <v/>
      </c>
      <c r="M13" t="str">
        <f>IF($B13="","",IFERROR(INDEX(GLAPS정리!$V$3:$V$180,MATCH(IF(INDEX(GLAPS컨테이너배차관리!$S:$S,$B13)="","",INDEX(GLAPS컨테이너배차관리!$S:$S,$B13)),GLAPS정리!$W$3:$W$180,0)),IF(INDEX(GLAPS컨테이너배차관리!$S:$S,$B13)="","",INDEX(GLAPS컨테이너배차관리!$S:$S,$B13))))</f>
        <v/>
      </c>
      <c r="N13" t="str">
        <f>IF($B13="","",IF(IF(INDEX(GLAPS컨테이너배차관리!$DF:$DF,$B13)="","",INDEX(GLAPS컨테이너배차관리!$DF:$DF,$B13))&lt;&gt;"",IF(INDEX(GLAPS컨테이너배차관리!$DF:$DF,$B13)="","",INDEX(GLAPS컨테이너배차관리!$DF:$DF,$B13)),IF(IF(INDEX(GLAPS컨테이너배차관리!$DG:$DG,$B13)="","",INDEX(GLAPS컨테이너배차관리!$DG:$DG,$B13))&lt;&gt;"",IF(INDEX(GLAPS컨테이너배차관리!$DG:$DG,$B13)="","",INDEX(GLAPS컨테이너배차관리!$DG:$DG,$B13)),"")))</f>
        <v/>
      </c>
      <c r="O13" t="str">
        <f>IF($B13="","",IF(INDEX(GLAPS컨테이너배차관리!$AB:$AB,$B13)="","",INDEX(GLAPS컨테이너배차관리!$AB:$AB,$B13)))</f>
        <v/>
      </c>
      <c r="P13" t="str">
        <f>IF($B13="","",IF(IF(INDEX(GLAPS컨테이너배차관리!$CP:$CP,$B13)="","",INDEX(GLAPS컨테이너배차관리!$CP:$CP,$B13))="","",IFERROR(INDEX(GLAPS정리!$BH$2:$BH$101,MATCH(IF(INDEX(GLAPS컨테이너배차관리!$CP:$CP,$B13)="","",INDEX(GLAPS컨테이너배차관리!$CP:$CP,$B13)),GLAPS정리!$BI$2:$BI$101,0)),IF(INDEX(GLAPS컨테이너배차관리!$CP:$CP,$B13)="","",INDEX(GLAPS컨테이너배차관리!$CP:$CP,$B13)))))</f>
        <v/>
      </c>
      <c r="Q13" t="str">
        <f>IF($B13="","",IF(AND(IF(INDEX(GLAPS컨테이너배차관리!$AK:$AK,$B13)="","",INDEX(GLAPS컨테이너배차관리!$AK:$AK,$B13))="Y",IF(INDEX(GLAPS컨테이너배차관리!$AI:$AI,$B13)="","",INDEX(GLAPS컨테이너배차관리!$AI:$AI,$B13))="Y"),"위험물리퍼",IF(IF(INDEX(GLAPS컨테이너배차관리!$AK:$AK,$B13)="","",INDEX(GLAPS컨테이너배차관리!$AK:$AK,$B13))="Y","위험물",IF(IF(INDEX(GLAPS컨테이너배차관리!$AI:$AI,$B13)="","",INDEX(GLAPS컨테이너배차관리!$AI:$AI,$B13))="Y","리퍼",""))))</f>
        <v/>
      </c>
      <c r="R13" t="str">
        <f>IF($B13="","",IF(LEFT(IF(INDEX(GLAPS컨테이너배차관리!$Y:$Y,$B13)="","",INDEX(GLAPS컨테이너배차관리!$Y:$Y,$B13)),2)="22",1,""))</f>
        <v/>
      </c>
      <c r="S13" t="str">
        <f>IF($B13="","",IF(LEFT(IF(INDEX(GLAPS컨테이너배차관리!$Y:$Y,$B13)="","",INDEX(GLAPS컨테이너배차관리!$Y:$Y,$B13)),2)="42",1,""))</f>
        <v/>
      </c>
      <c r="T13" t="str">
        <f>IF($B13="","",IF(LEFT(IF(INDEX(GLAPS컨테이너배차관리!$Y:$Y,$B13)="","",INDEX(GLAPS컨테이너배차관리!$Y:$Y,$B13)),2)="45",1,""))</f>
        <v/>
      </c>
      <c r="U13" t="str">
        <f>IF($B13="","",IF(INDEX(GLAPS컨테이너배차관리!$X:$X,$B13)="","",INDEX(GLAPS컨테이너배차관리!$X:$X,$B13)))</f>
        <v/>
      </c>
      <c r="V13" t="str">
        <f>IF($B13="","",IF(INDEX(GLAPS컨테이너배차관리!$Z:$Z,$B13)="","",INDEX(GLAPS컨테이너배차관리!$Z:$Z,$B13)))</f>
        <v/>
      </c>
      <c r="W13" t="str">
        <f>IF($B13="","",IF(IF(INDEX(GLAPS컨테이너배차관리!$DI:$DI,$B13)="","",INDEX(GLAPS컨테이너배차관리!$DI:$DI,$B13))&lt;&gt;"",IF(INDEX(GLAPS컨테이너배차관리!$DI:$DI,$B13)="","",INDEX(GLAPS컨테이너배차관리!$DI:$DI,$B13)),IF(IF(INDEX(GLAPS컨테이너배차관리!$DJ:$DJ,$B13)="","",INDEX(GLAPS컨테이너배차관리!$DJ:$DJ,$B13))&lt;&gt;"",IF(INDEX(GLAPS컨테이너배차관리!$DJ:$DJ,$B13)="","",INDEX(GLAPS컨테이너배차관리!$DJ:$DJ,$B13)),IF(IF(INDEX(GLAPS컨테이너배차관리!$DK:$DK,$B13)="","",INDEX(GLAPS컨테이너배차관리!$DK:$DK,$B13))&lt;&gt;"",IF(INDEX(GLAPS컨테이너배차관리!$DK:$DK,$B13)="","",INDEX(GLAPS컨테이너배차관리!$DK:$DK,$B13)),IF(IF(INDEX(GLAPS컨테이너배차관리!$DL:$DL,$B13)="","",INDEX(GLAPS컨테이너배차관리!$DL:$DL,$B13))&lt;&gt;"",IF(INDEX(GLAPS컨테이너배차관리!$DL:$DL,$B13)="","",INDEX(GLAPS컨테이너배차관리!$DL:$DL,$B13)),IF(IF(INDEX(GLAPS컨테이너배차관리!$DM:$DM,$B13)="","",INDEX(GLAPS컨테이너배차관리!$DM:$DM,$B13))&lt;&gt;"",IF(INDEX(GLAPS컨테이너배차관리!$DM:$DM,$B13)="","",INDEX(GLAPS컨테이너배차관리!$DM:$DM,$B13)),""))))))</f>
        <v/>
      </c>
      <c r="X13" t="str">
        <f>IF($B13="","",IF(INDEX(GLAPS컨테이너배차관리!$F:$F,$B13)="","",INDEX(GLAPS컨테이너배차관리!$F:$F,$B13)))</f>
        <v/>
      </c>
      <c r="Y13" t="str">
        <f>IF($B13="","",IF(IF(INDEX(GLAPS컨테이너배차관리!$M:$M,$B13)="","",INDEX(GLAPS컨테이너배차관리!$M:$M,$B13))&lt;&gt;"",IF(INDEX(GLAPS컨테이너배차관리!$M:$M,$B13)="","",INDEX(GLAPS컨테이너배차관리!$M:$M,$B13)),IF(IF(INDEX(GLAPS컨테이너배차관리!$N:$N,$B13)="","",INDEX(GLAPS컨테이너배차관리!$N:$N,$B13))&lt;&gt;"",IF(INDEX(GLAPS컨테이너배차관리!$N:$N,$B13)="","",INDEX(GLAPS컨테이너배차관리!$N:$N,$B13)),"")))</f>
        <v/>
      </c>
      <c r="Z13" t="str">
        <f>IF($B13="","",IF(IF(INDEX(GLAPS컨테이너배차관리!$CU:$CU,$B13)="","",INDEX(GLAPS컨테이너배차관리!$CU:$CU,$B13))="","",IFERROR(INT(IF(INDEX(GLAPS컨테이너배차관리!$CU:$CU,$B13)="","",INDEX(GLAPS컨테이너배차관리!$CU:$CU,$B13))),"")))</f>
        <v/>
      </c>
      <c r="AA13" t="str">
        <f>IF($B13="","",IF(AND(IF(INDEX(GLAPS컨테이너배차관리!$CL:$CL,$B13)="","",INDEX(GLAPS컨테이너배차관리!$CL:$CL,$B13))="",IF(INDEX(GLAPS컨테이너배차관리!$CM:$CM,$B13)="","",INDEX(GLAPS컨테이너배차관리!$CM:$CM,$B13))=""),"",IF(OR(IF(INDEX(GLAPS컨테이너배차관리!$CL:$CL,$B13)="","",INDEX(GLAPS컨테이너배차관리!$CL:$CL,$B13))="B000016649",ISNUMBER(SEARCH("B015",IF(INDEX(GLAPS컨테이너배차관리!$CM:$CM,$B13)="","",INDEX(GLAPS컨테이너배차관리!$CM:$CM,$B13)))),ISNUMBER(SEARCH("세방",IF(INDEX(GLAPS컨테이너배차관리!$CM:$CM,$B13)="","",INDEX(GLAPS컨테이너배차관리!$CM:$CM,$B13)))),ISNUMBER(SEARCH("SB",IF(INDEX(GLAPS컨테이너배차관리!$CM:$CM,$B13)="","",INDEX(GLAPS컨테이너배차관리!$CM:$CM,$B13))))),"세방","")))</f>
        <v/>
      </c>
      <c r="AB13" t="str">
        <f>IF($B13="","",IF(IF(INDEX(GLAPS컨테이너배차관리!$CM:$CM,$B13)="","",INDEX(GLAPS컨테이너배차관리!$CM:$CM,$B13))="","",IF(ISNUMBER(SEARCH("이지스두동",IF(INDEX(GLAPS컨테이너배차관리!$CM:$CM,$B13)="","",INDEX(GLAPS컨테이너배차관리!$CM:$CM,$B13)))),"이지스두동",IF(ISNUMBER(SEARCH("이지스녹산",IF(INDEX(GLAPS컨테이너배차관리!$CM:$CM,$B13)="","",INDEX(GLAPS컨테이너배차관리!$CM:$CM,$B13)))),"이지스녹산",IF(ISNUMBER(SEARCH("천우",IF(INDEX(GLAPS컨테이너배차관리!$CM:$CM,$B13)="","",INDEX(GLAPS컨테이너배차관리!$CM:$CM,$B13)))),"천우",IF(OR(ISNUMBER(SEARCH("청암",IF(INDEX(GLAPS컨테이너배차관리!$CM:$CM,$B13)="","",INDEX(GLAPS컨테이너배차관리!$CM:$CM,$B13)))),ISNUMBER(SEARCH("SB청암",IF(INDEX(GLAPS컨테이너배차관리!$CM:$CM,$B13)="","",INDEX(GLAPS컨테이너배차관리!$CM:$CM,$B13))))),"청암신항",IF(INDEX(GLAPS컨테이너배차관리!$CM:$CM,$B13)="","",INDEX(GLAPS컨테이너배차관리!$CM:$CM,$B13))))))))</f>
        <v/>
      </c>
    </row>
    <row r="14" spans="1:28">
      <c r="A14">
        <v>13</v>
      </c>
      <c r="B14" t="str">
        <f>IFERROR(_xlfn.AGGREGATE(15,6,ROW(GLAPS컨테이너배차관리!$X$2:$X$20000)/(GLAPS컨테이너배차관리!$X$2:$X$20000&lt;&gt;""),A14),"")</f>
        <v/>
      </c>
      <c r="C14" t="str">
        <f>IF($B14="","",INT(IF(INDEX(GLAPS컨테이너배차관리!$K:$K,$B14)="","",INDEX(GLAPS컨테이너배차관리!$K:$K,$B14))))</f>
        <v/>
      </c>
      <c r="D14" t="str">
        <f>IF($B14="","",IF(ISNUMBER(SEARCH("이엘에스",IF(INDEX(GLAPS컨테이너배차관리!$AZ:$AZ,$B14)="","",INDEX(GLAPS컨테이너배차관리!$AZ:$AZ,$B14)))),"ELS솔루션",IF(INDEX(GLAPS컨테이너배차관리!$AZ:$AZ,$B14)="","",INDEX(GLAPS컨테이너배차관리!$AZ:$AZ,$B14))))</f>
        <v/>
      </c>
      <c r="E14" t="str">
        <f>IF($B14="","",IF(INDEX(GLAPS컨테이너배차관리!$L:$L,$B14)="","",INDEX(GLAPS컨테이너배차관리!$L:$L,$B14)))</f>
        <v/>
      </c>
      <c r="F14" t="str">
        <f>IF($B14="","",IF(HOUR(IF(INDEX(GLAPS컨테이너배차관리!$L:$L,$B14)="","",INDEX(GLAPS컨테이너배차관리!$L:$L,$B14)))&lt;12,"오전",IF(HOUR(IF(INDEX(GLAPS컨테이너배차관리!$L:$L,$B14)="","",INDEX(GLAPS컨테이너배차관리!$L:$L,$B14)))&lt;18,"오후","잔업")))</f>
        <v/>
      </c>
      <c r="G14" t="str">
        <f>IF($B14="","",IFERROR(INDEX(GLAPS정리!$G$3:$G$264,MATCH(IF(INDEX(GLAPS컨테이너배차관리!$BY:$BY,$B14)="","",INDEX(GLAPS컨테이너배차관리!$BY:$BY,$B14)),GLAPS정리!$H$3:$H$264,0)),TRIM(SUBSTITUTE(SUBSTITUTE(SUBSTITUTE(SUBSTITUTE(SUBSTITUTE(IF(INDEX(GLAPS컨테이너배차관리!$T:$T,$B14)="","",INDEX(GLAPS컨테이너배차관리!$T:$T,$B14)),"[GA]",""),"[GB]",""),"[GC]",""),"[KC]",""),"[GS]",""))))</f>
        <v/>
      </c>
      <c r="H14" t="str">
        <f>IF($B14="","",IFERROR(VLOOKUP(IF(INDEX(GLAPS컨테이너배차관리!$BY:$BY,$B14)="","",INDEX(GLAPS컨테이너배차관리!$BY:$BY,$B14)),GLAPS정리!$BT$3:$BV$200,3,0),""))</f>
        <v/>
      </c>
      <c r="I14" t="str">
        <f>IF($B14="","",LEFT(IF(INDEX(GLAPS컨테이너배차관리!$U:$U,$B14)="","",INDEX(GLAPS컨테이너배차관리!$U:$U,$B14)),FIND("/",IF(INDEX(GLAPS컨테이너배차관리!$U:$U,$B14)="","",INDEX(GLAPS컨테이너배차관리!$U:$U,$B14))&amp;"/")-1))</f>
        <v/>
      </c>
      <c r="J14" t="str">
        <f>IF($B14="","",IF(IF(INDEX(GLAPS컨테이너배차관리!$O:$O,$B14)="","",INDEX(GLAPS컨테이너배차관리!$O:$O,$B14))="EMC","EMA",IFERROR(INDEX(GLAPS정리!$A$2:$A$50,MATCH(IF(INDEX(GLAPS컨테이너배차관리!$O:$O,$B14)="","",INDEX(GLAPS컨테이너배차관리!$O:$O,$B14)),GLAPS정리!$D$2:$D$50,0)),IF(INDEX(GLAPS컨테이너배차관리!$O:$O,$B14)="","",INDEX(GLAPS컨테이너배차관리!$O:$O,$B14)))))</f>
        <v/>
      </c>
      <c r="K14" t="str">
        <f>IF($B14="","",IF(LEFT(IF(INDEX(GLAPS컨테이너배차관리!$Y:$Y,$B14)="","",INDEX(GLAPS컨테이너배차관리!$Y:$Y,$B14)),2)="22","20 Feet",IF(LEFT(IF(INDEX(GLAPS컨테이너배차관리!$Y:$Y,$B14)="","",INDEX(GLAPS컨테이너배차관리!$Y:$Y,$B14)),2)="42","40 Feet","40 Feet H")))</f>
        <v/>
      </c>
      <c r="L14" t="str">
        <f>IF($B14="","",IFERROR(INDEX(GLAPS정리!$BB$2:$BB$80,MATCH(IF(INDEX(GLAPS컨테이너배차관리!$BQ:$BQ,$B14)="","",INDEX(GLAPS컨테이너배차관리!$BQ:$BQ,$B14)),GLAPS정리!$BC$2:$BC$80,0)),IF(INDEX(GLAPS컨테이너배차관리!$BQ:$BQ,$B14)="","",INDEX(GLAPS컨테이너배차관리!$BQ:$BQ,$B14))))</f>
        <v/>
      </c>
      <c r="M14" t="str">
        <f>IF($B14="","",IFERROR(INDEX(GLAPS정리!$V$3:$V$180,MATCH(IF(INDEX(GLAPS컨테이너배차관리!$S:$S,$B14)="","",INDEX(GLAPS컨테이너배차관리!$S:$S,$B14)),GLAPS정리!$W$3:$W$180,0)),IF(INDEX(GLAPS컨테이너배차관리!$S:$S,$B14)="","",INDEX(GLAPS컨테이너배차관리!$S:$S,$B14))))</f>
        <v/>
      </c>
      <c r="N14" t="str">
        <f>IF($B14="","",IF(IF(INDEX(GLAPS컨테이너배차관리!$DF:$DF,$B14)="","",INDEX(GLAPS컨테이너배차관리!$DF:$DF,$B14))&lt;&gt;"",IF(INDEX(GLAPS컨테이너배차관리!$DF:$DF,$B14)="","",INDEX(GLAPS컨테이너배차관리!$DF:$DF,$B14)),IF(IF(INDEX(GLAPS컨테이너배차관리!$DG:$DG,$B14)="","",INDEX(GLAPS컨테이너배차관리!$DG:$DG,$B14))&lt;&gt;"",IF(INDEX(GLAPS컨테이너배차관리!$DG:$DG,$B14)="","",INDEX(GLAPS컨테이너배차관리!$DG:$DG,$B14)),"")))</f>
        <v/>
      </c>
      <c r="O14" t="str">
        <f>IF($B14="","",IF(INDEX(GLAPS컨테이너배차관리!$AB:$AB,$B14)="","",INDEX(GLAPS컨테이너배차관리!$AB:$AB,$B14)))</f>
        <v/>
      </c>
      <c r="P14" t="str">
        <f>IF($B14="","",IF(IF(INDEX(GLAPS컨테이너배차관리!$CP:$CP,$B14)="","",INDEX(GLAPS컨테이너배차관리!$CP:$CP,$B14))="","",IFERROR(INDEX(GLAPS정리!$BH$2:$BH$101,MATCH(IF(INDEX(GLAPS컨테이너배차관리!$CP:$CP,$B14)="","",INDEX(GLAPS컨테이너배차관리!$CP:$CP,$B14)),GLAPS정리!$BI$2:$BI$101,0)),IF(INDEX(GLAPS컨테이너배차관리!$CP:$CP,$B14)="","",INDEX(GLAPS컨테이너배차관리!$CP:$CP,$B14)))))</f>
        <v/>
      </c>
      <c r="Q14" t="str">
        <f>IF($B14="","",IF(AND(IF(INDEX(GLAPS컨테이너배차관리!$AK:$AK,$B14)="","",INDEX(GLAPS컨테이너배차관리!$AK:$AK,$B14))="Y",IF(INDEX(GLAPS컨테이너배차관리!$AI:$AI,$B14)="","",INDEX(GLAPS컨테이너배차관리!$AI:$AI,$B14))="Y"),"위험물리퍼",IF(IF(INDEX(GLAPS컨테이너배차관리!$AK:$AK,$B14)="","",INDEX(GLAPS컨테이너배차관리!$AK:$AK,$B14))="Y","위험물",IF(IF(INDEX(GLAPS컨테이너배차관리!$AI:$AI,$B14)="","",INDEX(GLAPS컨테이너배차관리!$AI:$AI,$B14))="Y","리퍼",""))))</f>
        <v/>
      </c>
      <c r="R14" t="str">
        <f>IF($B14="","",IF(LEFT(IF(INDEX(GLAPS컨테이너배차관리!$Y:$Y,$B14)="","",INDEX(GLAPS컨테이너배차관리!$Y:$Y,$B14)),2)="22",1,""))</f>
        <v/>
      </c>
      <c r="S14" t="str">
        <f>IF($B14="","",IF(LEFT(IF(INDEX(GLAPS컨테이너배차관리!$Y:$Y,$B14)="","",INDEX(GLAPS컨테이너배차관리!$Y:$Y,$B14)),2)="42",1,""))</f>
        <v/>
      </c>
      <c r="T14" t="str">
        <f>IF($B14="","",IF(LEFT(IF(INDEX(GLAPS컨테이너배차관리!$Y:$Y,$B14)="","",INDEX(GLAPS컨테이너배차관리!$Y:$Y,$B14)),2)="45",1,""))</f>
        <v/>
      </c>
      <c r="U14" t="str">
        <f>IF($B14="","",IF(INDEX(GLAPS컨테이너배차관리!$X:$X,$B14)="","",INDEX(GLAPS컨테이너배차관리!$X:$X,$B14)))</f>
        <v/>
      </c>
      <c r="V14" t="str">
        <f>IF($B14="","",IF(INDEX(GLAPS컨테이너배차관리!$Z:$Z,$B14)="","",INDEX(GLAPS컨테이너배차관리!$Z:$Z,$B14)))</f>
        <v/>
      </c>
      <c r="W14" t="str">
        <f>IF($B14="","",IF(IF(INDEX(GLAPS컨테이너배차관리!$DI:$DI,$B14)="","",INDEX(GLAPS컨테이너배차관리!$DI:$DI,$B14))&lt;&gt;"",IF(INDEX(GLAPS컨테이너배차관리!$DI:$DI,$B14)="","",INDEX(GLAPS컨테이너배차관리!$DI:$DI,$B14)),IF(IF(INDEX(GLAPS컨테이너배차관리!$DJ:$DJ,$B14)="","",INDEX(GLAPS컨테이너배차관리!$DJ:$DJ,$B14))&lt;&gt;"",IF(INDEX(GLAPS컨테이너배차관리!$DJ:$DJ,$B14)="","",INDEX(GLAPS컨테이너배차관리!$DJ:$DJ,$B14)),IF(IF(INDEX(GLAPS컨테이너배차관리!$DK:$DK,$B14)="","",INDEX(GLAPS컨테이너배차관리!$DK:$DK,$B14))&lt;&gt;"",IF(INDEX(GLAPS컨테이너배차관리!$DK:$DK,$B14)="","",INDEX(GLAPS컨테이너배차관리!$DK:$DK,$B14)),IF(IF(INDEX(GLAPS컨테이너배차관리!$DL:$DL,$B14)="","",INDEX(GLAPS컨테이너배차관리!$DL:$DL,$B14))&lt;&gt;"",IF(INDEX(GLAPS컨테이너배차관리!$DL:$DL,$B14)="","",INDEX(GLAPS컨테이너배차관리!$DL:$DL,$B14)),IF(IF(INDEX(GLAPS컨테이너배차관리!$DM:$DM,$B14)="","",INDEX(GLAPS컨테이너배차관리!$DM:$DM,$B14))&lt;&gt;"",IF(INDEX(GLAPS컨테이너배차관리!$DM:$DM,$B14)="","",INDEX(GLAPS컨테이너배차관리!$DM:$DM,$B14)),""))))))</f>
        <v/>
      </c>
      <c r="X14" t="str">
        <f>IF($B14="","",IF(INDEX(GLAPS컨테이너배차관리!$F:$F,$B14)="","",INDEX(GLAPS컨테이너배차관리!$F:$F,$B14)))</f>
        <v/>
      </c>
      <c r="Y14" t="str">
        <f>IF($B14="","",IF(IF(INDEX(GLAPS컨테이너배차관리!$M:$M,$B14)="","",INDEX(GLAPS컨테이너배차관리!$M:$M,$B14))&lt;&gt;"",IF(INDEX(GLAPS컨테이너배차관리!$M:$M,$B14)="","",INDEX(GLAPS컨테이너배차관리!$M:$M,$B14)),IF(IF(INDEX(GLAPS컨테이너배차관리!$N:$N,$B14)="","",INDEX(GLAPS컨테이너배차관리!$N:$N,$B14))&lt;&gt;"",IF(INDEX(GLAPS컨테이너배차관리!$N:$N,$B14)="","",INDEX(GLAPS컨테이너배차관리!$N:$N,$B14)),"")))</f>
        <v/>
      </c>
      <c r="Z14" t="str">
        <f>IF($B14="","",IF(IF(INDEX(GLAPS컨테이너배차관리!$CU:$CU,$B14)="","",INDEX(GLAPS컨테이너배차관리!$CU:$CU,$B14))="","",IFERROR(INT(IF(INDEX(GLAPS컨테이너배차관리!$CU:$CU,$B14)="","",INDEX(GLAPS컨테이너배차관리!$CU:$CU,$B14))),"")))</f>
        <v/>
      </c>
      <c r="AA14" t="str">
        <f>IF($B14="","",IF(AND(IF(INDEX(GLAPS컨테이너배차관리!$CL:$CL,$B14)="","",INDEX(GLAPS컨테이너배차관리!$CL:$CL,$B14))="",IF(INDEX(GLAPS컨테이너배차관리!$CM:$CM,$B14)="","",INDEX(GLAPS컨테이너배차관리!$CM:$CM,$B14))=""),"",IF(OR(IF(INDEX(GLAPS컨테이너배차관리!$CL:$CL,$B14)="","",INDEX(GLAPS컨테이너배차관리!$CL:$CL,$B14))="B000016649",ISNUMBER(SEARCH("B015",IF(INDEX(GLAPS컨테이너배차관리!$CM:$CM,$B14)="","",INDEX(GLAPS컨테이너배차관리!$CM:$CM,$B14)))),ISNUMBER(SEARCH("세방",IF(INDEX(GLAPS컨테이너배차관리!$CM:$CM,$B14)="","",INDEX(GLAPS컨테이너배차관리!$CM:$CM,$B14)))),ISNUMBER(SEARCH("SB",IF(INDEX(GLAPS컨테이너배차관리!$CM:$CM,$B14)="","",INDEX(GLAPS컨테이너배차관리!$CM:$CM,$B14))))),"세방","")))</f>
        <v/>
      </c>
      <c r="AB14" t="str">
        <f>IF($B14="","",IF(IF(INDEX(GLAPS컨테이너배차관리!$CM:$CM,$B14)="","",INDEX(GLAPS컨테이너배차관리!$CM:$CM,$B14))="","",IF(ISNUMBER(SEARCH("이지스두동",IF(INDEX(GLAPS컨테이너배차관리!$CM:$CM,$B14)="","",INDEX(GLAPS컨테이너배차관리!$CM:$CM,$B14)))),"이지스두동",IF(ISNUMBER(SEARCH("이지스녹산",IF(INDEX(GLAPS컨테이너배차관리!$CM:$CM,$B14)="","",INDEX(GLAPS컨테이너배차관리!$CM:$CM,$B14)))),"이지스녹산",IF(ISNUMBER(SEARCH("천우",IF(INDEX(GLAPS컨테이너배차관리!$CM:$CM,$B14)="","",INDEX(GLAPS컨테이너배차관리!$CM:$CM,$B14)))),"천우",IF(OR(ISNUMBER(SEARCH("청암",IF(INDEX(GLAPS컨테이너배차관리!$CM:$CM,$B14)="","",INDEX(GLAPS컨테이너배차관리!$CM:$CM,$B14)))),ISNUMBER(SEARCH("SB청암",IF(INDEX(GLAPS컨테이너배차관리!$CM:$CM,$B14)="","",INDEX(GLAPS컨테이너배차관리!$CM:$CM,$B14))))),"청암신항",IF(INDEX(GLAPS컨테이너배차관리!$CM:$CM,$B14)="","",INDEX(GLAPS컨테이너배차관리!$CM:$CM,$B14))))))))</f>
        <v/>
      </c>
    </row>
    <row r="15" spans="1:28">
      <c r="A15">
        <v>14</v>
      </c>
      <c r="B15" t="str">
        <f>IFERROR(_xlfn.AGGREGATE(15,6,ROW(GLAPS컨테이너배차관리!$X$2:$X$20000)/(GLAPS컨테이너배차관리!$X$2:$X$20000&lt;&gt;""),A15),"")</f>
        <v/>
      </c>
      <c r="C15" t="str">
        <f>IF($B15="","",INT(IF(INDEX(GLAPS컨테이너배차관리!$K:$K,$B15)="","",INDEX(GLAPS컨테이너배차관리!$K:$K,$B15))))</f>
        <v/>
      </c>
      <c r="D15" t="str">
        <f>IF($B15="","",IF(ISNUMBER(SEARCH("이엘에스",IF(INDEX(GLAPS컨테이너배차관리!$AZ:$AZ,$B15)="","",INDEX(GLAPS컨테이너배차관리!$AZ:$AZ,$B15)))),"ELS솔루션",IF(INDEX(GLAPS컨테이너배차관리!$AZ:$AZ,$B15)="","",INDEX(GLAPS컨테이너배차관리!$AZ:$AZ,$B15))))</f>
        <v/>
      </c>
      <c r="E15" t="str">
        <f>IF($B15="","",IF(INDEX(GLAPS컨테이너배차관리!$L:$L,$B15)="","",INDEX(GLAPS컨테이너배차관리!$L:$L,$B15)))</f>
        <v/>
      </c>
      <c r="F15" t="str">
        <f>IF($B15="","",IF(HOUR(IF(INDEX(GLAPS컨테이너배차관리!$L:$L,$B15)="","",INDEX(GLAPS컨테이너배차관리!$L:$L,$B15)))&lt;12,"오전",IF(HOUR(IF(INDEX(GLAPS컨테이너배차관리!$L:$L,$B15)="","",INDEX(GLAPS컨테이너배차관리!$L:$L,$B15)))&lt;18,"오후","잔업")))</f>
        <v/>
      </c>
      <c r="G15" t="str">
        <f>IF($B15="","",IFERROR(INDEX(GLAPS정리!$G$3:$G$264,MATCH(IF(INDEX(GLAPS컨테이너배차관리!$BY:$BY,$B15)="","",INDEX(GLAPS컨테이너배차관리!$BY:$BY,$B15)),GLAPS정리!$H$3:$H$264,0)),TRIM(SUBSTITUTE(SUBSTITUTE(SUBSTITUTE(SUBSTITUTE(SUBSTITUTE(IF(INDEX(GLAPS컨테이너배차관리!$T:$T,$B15)="","",INDEX(GLAPS컨테이너배차관리!$T:$T,$B15)),"[GA]",""),"[GB]",""),"[GC]",""),"[KC]",""),"[GS]",""))))</f>
        <v/>
      </c>
      <c r="H15" t="str">
        <f>IF($B15="","",IFERROR(VLOOKUP(IF(INDEX(GLAPS컨테이너배차관리!$BY:$BY,$B15)="","",INDEX(GLAPS컨테이너배차관리!$BY:$BY,$B15)),GLAPS정리!$BT$3:$BV$200,3,0),""))</f>
        <v/>
      </c>
      <c r="I15" t="str">
        <f>IF($B15="","",LEFT(IF(INDEX(GLAPS컨테이너배차관리!$U:$U,$B15)="","",INDEX(GLAPS컨테이너배차관리!$U:$U,$B15)),FIND("/",IF(INDEX(GLAPS컨테이너배차관리!$U:$U,$B15)="","",INDEX(GLAPS컨테이너배차관리!$U:$U,$B15))&amp;"/")-1))</f>
        <v/>
      </c>
      <c r="J15" t="str">
        <f>IF($B15="","",IF(IF(INDEX(GLAPS컨테이너배차관리!$O:$O,$B15)="","",INDEX(GLAPS컨테이너배차관리!$O:$O,$B15))="EMC","EMA",IFERROR(INDEX(GLAPS정리!$A$2:$A$50,MATCH(IF(INDEX(GLAPS컨테이너배차관리!$O:$O,$B15)="","",INDEX(GLAPS컨테이너배차관리!$O:$O,$B15)),GLAPS정리!$D$2:$D$50,0)),IF(INDEX(GLAPS컨테이너배차관리!$O:$O,$B15)="","",INDEX(GLAPS컨테이너배차관리!$O:$O,$B15)))))</f>
        <v/>
      </c>
      <c r="K15" t="str">
        <f>IF($B15="","",IF(LEFT(IF(INDEX(GLAPS컨테이너배차관리!$Y:$Y,$B15)="","",INDEX(GLAPS컨테이너배차관리!$Y:$Y,$B15)),2)="22","20 Feet",IF(LEFT(IF(INDEX(GLAPS컨테이너배차관리!$Y:$Y,$B15)="","",INDEX(GLAPS컨테이너배차관리!$Y:$Y,$B15)),2)="42","40 Feet","40 Feet H")))</f>
        <v/>
      </c>
      <c r="L15" t="str">
        <f>IF($B15="","",IFERROR(INDEX(GLAPS정리!$BB$2:$BB$80,MATCH(IF(INDEX(GLAPS컨테이너배차관리!$BQ:$BQ,$B15)="","",INDEX(GLAPS컨테이너배차관리!$BQ:$BQ,$B15)),GLAPS정리!$BC$2:$BC$80,0)),IF(INDEX(GLAPS컨테이너배차관리!$BQ:$BQ,$B15)="","",INDEX(GLAPS컨테이너배차관리!$BQ:$BQ,$B15))))</f>
        <v/>
      </c>
      <c r="M15" t="str">
        <f>IF($B15="","",IFERROR(INDEX(GLAPS정리!$V$3:$V$180,MATCH(IF(INDEX(GLAPS컨테이너배차관리!$S:$S,$B15)="","",INDEX(GLAPS컨테이너배차관리!$S:$S,$B15)),GLAPS정리!$W$3:$W$180,0)),IF(INDEX(GLAPS컨테이너배차관리!$S:$S,$B15)="","",INDEX(GLAPS컨테이너배차관리!$S:$S,$B15))))</f>
        <v/>
      </c>
      <c r="N15" t="str">
        <f>IF($B15="","",IF(IF(INDEX(GLAPS컨테이너배차관리!$DF:$DF,$B15)="","",INDEX(GLAPS컨테이너배차관리!$DF:$DF,$B15))&lt;&gt;"",IF(INDEX(GLAPS컨테이너배차관리!$DF:$DF,$B15)="","",INDEX(GLAPS컨테이너배차관리!$DF:$DF,$B15)),IF(IF(INDEX(GLAPS컨테이너배차관리!$DG:$DG,$B15)="","",INDEX(GLAPS컨테이너배차관리!$DG:$DG,$B15))&lt;&gt;"",IF(INDEX(GLAPS컨테이너배차관리!$DG:$DG,$B15)="","",INDEX(GLAPS컨테이너배차관리!$DG:$DG,$B15)),"")))</f>
        <v/>
      </c>
      <c r="O15" t="str">
        <f>IF($B15="","",IF(INDEX(GLAPS컨테이너배차관리!$AB:$AB,$B15)="","",INDEX(GLAPS컨테이너배차관리!$AB:$AB,$B15)))</f>
        <v/>
      </c>
      <c r="P15" t="str">
        <f>IF($B15="","",IF(IF(INDEX(GLAPS컨테이너배차관리!$CP:$CP,$B15)="","",INDEX(GLAPS컨테이너배차관리!$CP:$CP,$B15))="","",IFERROR(INDEX(GLAPS정리!$BH$2:$BH$101,MATCH(IF(INDEX(GLAPS컨테이너배차관리!$CP:$CP,$B15)="","",INDEX(GLAPS컨테이너배차관리!$CP:$CP,$B15)),GLAPS정리!$BI$2:$BI$101,0)),IF(INDEX(GLAPS컨테이너배차관리!$CP:$CP,$B15)="","",INDEX(GLAPS컨테이너배차관리!$CP:$CP,$B15)))))</f>
        <v/>
      </c>
      <c r="Q15" t="str">
        <f>IF($B15="","",IF(AND(IF(INDEX(GLAPS컨테이너배차관리!$AK:$AK,$B15)="","",INDEX(GLAPS컨테이너배차관리!$AK:$AK,$B15))="Y",IF(INDEX(GLAPS컨테이너배차관리!$AI:$AI,$B15)="","",INDEX(GLAPS컨테이너배차관리!$AI:$AI,$B15))="Y"),"위험물리퍼",IF(IF(INDEX(GLAPS컨테이너배차관리!$AK:$AK,$B15)="","",INDEX(GLAPS컨테이너배차관리!$AK:$AK,$B15))="Y","위험물",IF(IF(INDEX(GLAPS컨테이너배차관리!$AI:$AI,$B15)="","",INDEX(GLAPS컨테이너배차관리!$AI:$AI,$B15))="Y","리퍼",""))))</f>
        <v/>
      </c>
      <c r="R15" t="str">
        <f>IF($B15="","",IF(LEFT(IF(INDEX(GLAPS컨테이너배차관리!$Y:$Y,$B15)="","",INDEX(GLAPS컨테이너배차관리!$Y:$Y,$B15)),2)="22",1,""))</f>
        <v/>
      </c>
      <c r="S15" t="str">
        <f>IF($B15="","",IF(LEFT(IF(INDEX(GLAPS컨테이너배차관리!$Y:$Y,$B15)="","",INDEX(GLAPS컨테이너배차관리!$Y:$Y,$B15)),2)="42",1,""))</f>
        <v/>
      </c>
      <c r="T15" t="str">
        <f>IF($B15="","",IF(LEFT(IF(INDEX(GLAPS컨테이너배차관리!$Y:$Y,$B15)="","",INDEX(GLAPS컨테이너배차관리!$Y:$Y,$B15)),2)="45",1,""))</f>
        <v/>
      </c>
      <c r="U15" t="str">
        <f>IF($B15="","",IF(INDEX(GLAPS컨테이너배차관리!$X:$X,$B15)="","",INDEX(GLAPS컨테이너배차관리!$X:$X,$B15)))</f>
        <v/>
      </c>
      <c r="V15" t="str">
        <f>IF($B15="","",IF(INDEX(GLAPS컨테이너배차관리!$Z:$Z,$B15)="","",INDEX(GLAPS컨테이너배차관리!$Z:$Z,$B15)))</f>
        <v/>
      </c>
      <c r="W15" t="str">
        <f>IF($B15="","",IF(IF(INDEX(GLAPS컨테이너배차관리!$DI:$DI,$B15)="","",INDEX(GLAPS컨테이너배차관리!$DI:$DI,$B15))&lt;&gt;"",IF(INDEX(GLAPS컨테이너배차관리!$DI:$DI,$B15)="","",INDEX(GLAPS컨테이너배차관리!$DI:$DI,$B15)),IF(IF(INDEX(GLAPS컨테이너배차관리!$DJ:$DJ,$B15)="","",INDEX(GLAPS컨테이너배차관리!$DJ:$DJ,$B15))&lt;&gt;"",IF(INDEX(GLAPS컨테이너배차관리!$DJ:$DJ,$B15)="","",INDEX(GLAPS컨테이너배차관리!$DJ:$DJ,$B15)),IF(IF(INDEX(GLAPS컨테이너배차관리!$DK:$DK,$B15)="","",INDEX(GLAPS컨테이너배차관리!$DK:$DK,$B15))&lt;&gt;"",IF(INDEX(GLAPS컨테이너배차관리!$DK:$DK,$B15)="","",INDEX(GLAPS컨테이너배차관리!$DK:$DK,$B15)),IF(IF(INDEX(GLAPS컨테이너배차관리!$DL:$DL,$B15)="","",INDEX(GLAPS컨테이너배차관리!$DL:$DL,$B15))&lt;&gt;"",IF(INDEX(GLAPS컨테이너배차관리!$DL:$DL,$B15)="","",INDEX(GLAPS컨테이너배차관리!$DL:$DL,$B15)),IF(IF(INDEX(GLAPS컨테이너배차관리!$DM:$DM,$B15)="","",INDEX(GLAPS컨테이너배차관리!$DM:$DM,$B15))&lt;&gt;"",IF(INDEX(GLAPS컨테이너배차관리!$DM:$DM,$B15)="","",INDEX(GLAPS컨테이너배차관리!$DM:$DM,$B15)),""))))))</f>
        <v/>
      </c>
      <c r="X15" t="str">
        <f>IF($B15="","",IF(INDEX(GLAPS컨테이너배차관리!$F:$F,$B15)="","",INDEX(GLAPS컨테이너배차관리!$F:$F,$B15)))</f>
        <v/>
      </c>
      <c r="Y15" t="str">
        <f>IF($B15="","",IF(IF(INDEX(GLAPS컨테이너배차관리!$M:$M,$B15)="","",INDEX(GLAPS컨테이너배차관리!$M:$M,$B15))&lt;&gt;"",IF(INDEX(GLAPS컨테이너배차관리!$M:$M,$B15)="","",INDEX(GLAPS컨테이너배차관리!$M:$M,$B15)),IF(IF(INDEX(GLAPS컨테이너배차관리!$N:$N,$B15)="","",INDEX(GLAPS컨테이너배차관리!$N:$N,$B15))&lt;&gt;"",IF(INDEX(GLAPS컨테이너배차관리!$N:$N,$B15)="","",INDEX(GLAPS컨테이너배차관리!$N:$N,$B15)),"")))</f>
        <v/>
      </c>
      <c r="Z15" t="str">
        <f>IF($B15="","",IF(IF(INDEX(GLAPS컨테이너배차관리!$CU:$CU,$B15)="","",INDEX(GLAPS컨테이너배차관리!$CU:$CU,$B15))="","",IFERROR(INT(IF(INDEX(GLAPS컨테이너배차관리!$CU:$CU,$B15)="","",INDEX(GLAPS컨테이너배차관리!$CU:$CU,$B15))),"")))</f>
        <v/>
      </c>
      <c r="AA15" t="str">
        <f>IF($B15="","",IF(AND(IF(INDEX(GLAPS컨테이너배차관리!$CL:$CL,$B15)="","",INDEX(GLAPS컨테이너배차관리!$CL:$CL,$B15))="",IF(INDEX(GLAPS컨테이너배차관리!$CM:$CM,$B15)="","",INDEX(GLAPS컨테이너배차관리!$CM:$CM,$B15))=""),"",IF(OR(IF(INDEX(GLAPS컨테이너배차관리!$CL:$CL,$B15)="","",INDEX(GLAPS컨테이너배차관리!$CL:$CL,$B15))="B000016649",ISNUMBER(SEARCH("B015",IF(INDEX(GLAPS컨테이너배차관리!$CM:$CM,$B15)="","",INDEX(GLAPS컨테이너배차관리!$CM:$CM,$B15)))),ISNUMBER(SEARCH("세방",IF(INDEX(GLAPS컨테이너배차관리!$CM:$CM,$B15)="","",INDEX(GLAPS컨테이너배차관리!$CM:$CM,$B15)))),ISNUMBER(SEARCH("SB",IF(INDEX(GLAPS컨테이너배차관리!$CM:$CM,$B15)="","",INDEX(GLAPS컨테이너배차관리!$CM:$CM,$B15))))),"세방","")))</f>
        <v/>
      </c>
      <c r="AB15" t="str">
        <f>IF($B15="","",IF(IF(INDEX(GLAPS컨테이너배차관리!$CM:$CM,$B15)="","",INDEX(GLAPS컨테이너배차관리!$CM:$CM,$B15))="","",IF(ISNUMBER(SEARCH("이지스두동",IF(INDEX(GLAPS컨테이너배차관리!$CM:$CM,$B15)="","",INDEX(GLAPS컨테이너배차관리!$CM:$CM,$B15)))),"이지스두동",IF(ISNUMBER(SEARCH("이지스녹산",IF(INDEX(GLAPS컨테이너배차관리!$CM:$CM,$B15)="","",INDEX(GLAPS컨테이너배차관리!$CM:$CM,$B15)))),"이지스녹산",IF(ISNUMBER(SEARCH("천우",IF(INDEX(GLAPS컨테이너배차관리!$CM:$CM,$B15)="","",INDEX(GLAPS컨테이너배차관리!$CM:$CM,$B15)))),"천우",IF(OR(ISNUMBER(SEARCH("청암",IF(INDEX(GLAPS컨테이너배차관리!$CM:$CM,$B15)="","",INDEX(GLAPS컨테이너배차관리!$CM:$CM,$B15)))),ISNUMBER(SEARCH("SB청암",IF(INDEX(GLAPS컨테이너배차관리!$CM:$CM,$B15)="","",INDEX(GLAPS컨테이너배차관리!$CM:$CM,$B15))))),"청암신항",IF(INDEX(GLAPS컨테이너배차관리!$CM:$CM,$B15)="","",INDEX(GLAPS컨테이너배차관리!$CM:$CM,$B15))))))))</f>
        <v/>
      </c>
    </row>
    <row r="16" spans="1:28">
      <c r="A16">
        <v>15</v>
      </c>
      <c r="B16" t="str">
        <f>IFERROR(_xlfn.AGGREGATE(15,6,ROW(GLAPS컨테이너배차관리!$X$2:$X$20000)/(GLAPS컨테이너배차관리!$X$2:$X$20000&lt;&gt;""),A16),"")</f>
        <v/>
      </c>
      <c r="C16" t="str">
        <f>IF($B16="","",INT(IF(INDEX(GLAPS컨테이너배차관리!$K:$K,$B16)="","",INDEX(GLAPS컨테이너배차관리!$K:$K,$B16))))</f>
        <v/>
      </c>
      <c r="D16" t="str">
        <f>IF($B16="","",IF(ISNUMBER(SEARCH("이엘에스",IF(INDEX(GLAPS컨테이너배차관리!$AZ:$AZ,$B16)="","",INDEX(GLAPS컨테이너배차관리!$AZ:$AZ,$B16)))),"ELS솔루션",IF(INDEX(GLAPS컨테이너배차관리!$AZ:$AZ,$B16)="","",INDEX(GLAPS컨테이너배차관리!$AZ:$AZ,$B16))))</f>
        <v/>
      </c>
      <c r="E16" t="str">
        <f>IF($B16="","",IF(INDEX(GLAPS컨테이너배차관리!$L:$L,$B16)="","",INDEX(GLAPS컨테이너배차관리!$L:$L,$B16)))</f>
        <v/>
      </c>
      <c r="F16" t="str">
        <f>IF($B16="","",IF(HOUR(IF(INDEX(GLAPS컨테이너배차관리!$L:$L,$B16)="","",INDEX(GLAPS컨테이너배차관리!$L:$L,$B16)))&lt;12,"오전",IF(HOUR(IF(INDEX(GLAPS컨테이너배차관리!$L:$L,$B16)="","",INDEX(GLAPS컨테이너배차관리!$L:$L,$B16)))&lt;18,"오후","잔업")))</f>
        <v/>
      </c>
      <c r="G16" t="str">
        <f>IF($B16="","",IFERROR(INDEX(GLAPS정리!$G$3:$G$264,MATCH(IF(INDEX(GLAPS컨테이너배차관리!$BY:$BY,$B16)="","",INDEX(GLAPS컨테이너배차관리!$BY:$BY,$B16)),GLAPS정리!$H$3:$H$264,0)),TRIM(SUBSTITUTE(SUBSTITUTE(SUBSTITUTE(SUBSTITUTE(SUBSTITUTE(IF(INDEX(GLAPS컨테이너배차관리!$T:$T,$B16)="","",INDEX(GLAPS컨테이너배차관리!$T:$T,$B16)),"[GA]",""),"[GB]",""),"[GC]",""),"[KC]",""),"[GS]",""))))</f>
        <v/>
      </c>
      <c r="H16" t="str">
        <f>IF($B16="","",IFERROR(VLOOKUP(IF(INDEX(GLAPS컨테이너배차관리!$BY:$BY,$B16)="","",INDEX(GLAPS컨테이너배차관리!$BY:$BY,$B16)),GLAPS정리!$BT$3:$BV$200,3,0),""))</f>
        <v/>
      </c>
      <c r="I16" t="str">
        <f>IF($B16="","",LEFT(IF(INDEX(GLAPS컨테이너배차관리!$U:$U,$B16)="","",INDEX(GLAPS컨테이너배차관리!$U:$U,$B16)),FIND("/",IF(INDEX(GLAPS컨테이너배차관리!$U:$U,$B16)="","",INDEX(GLAPS컨테이너배차관리!$U:$U,$B16))&amp;"/")-1))</f>
        <v/>
      </c>
      <c r="J16" t="str">
        <f>IF($B16="","",IF(IF(INDEX(GLAPS컨테이너배차관리!$O:$O,$B16)="","",INDEX(GLAPS컨테이너배차관리!$O:$O,$B16))="EMC","EMA",IFERROR(INDEX(GLAPS정리!$A$2:$A$50,MATCH(IF(INDEX(GLAPS컨테이너배차관리!$O:$O,$B16)="","",INDEX(GLAPS컨테이너배차관리!$O:$O,$B16)),GLAPS정리!$D$2:$D$50,0)),IF(INDEX(GLAPS컨테이너배차관리!$O:$O,$B16)="","",INDEX(GLAPS컨테이너배차관리!$O:$O,$B16)))))</f>
        <v/>
      </c>
      <c r="K16" t="str">
        <f>IF($B16="","",IF(LEFT(IF(INDEX(GLAPS컨테이너배차관리!$Y:$Y,$B16)="","",INDEX(GLAPS컨테이너배차관리!$Y:$Y,$B16)),2)="22","20 Feet",IF(LEFT(IF(INDEX(GLAPS컨테이너배차관리!$Y:$Y,$B16)="","",INDEX(GLAPS컨테이너배차관리!$Y:$Y,$B16)),2)="42","40 Feet","40 Feet H")))</f>
        <v/>
      </c>
      <c r="L16" t="str">
        <f>IF($B16="","",IFERROR(INDEX(GLAPS정리!$BB$2:$BB$80,MATCH(IF(INDEX(GLAPS컨테이너배차관리!$BQ:$BQ,$B16)="","",INDEX(GLAPS컨테이너배차관리!$BQ:$BQ,$B16)),GLAPS정리!$BC$2:$BC$80,0)),IF(INDEX(GLAPS컨테이너배차관리!$BQ:$BQ,$B16)="","",INDEX(GLAPS컨테이너배차관리!$BQ:$BQ,$B16))))</f>
        <v/>
      </c>
      <c r="M16" t="str">
        <f>IF($B16="","",IFERROR(INDEX(GLAPS정리!$V$3:$V$180,MATCH(IF(INDEX(GLAPS컨테이너배차관리!$S:$S,$B16)="","",INDEX(GLAPS컨테이너배차관리!$S:$S,$B16)),GLAPS정리!$W$3:$W$180,0)),IF(INDEX(GLAPS컨테이너배차관리!$S:$S,$B16)="","",INDEX(GLAPS컨테이너배차관리!$S:$S,$B16))))</f>
        <v/>
      </c>
      <c r="N16" t="str">
        <f>IF($B16="","",IF(IF(INDEX(GLAPS컨테이너배차관리!$DF:$DF,$B16)="","",INDEX(GLAPS컨테이너배차관리!$DF:$DF,$B16))&lt;&gt;"",IF(INDEX(GLAPS컨테이너배차관리!$DF:$DF,$B16)="","",INDEX(GLAPS컨테이너배차관리!$DF:$DF,$B16)),IF(IF(INDEX(GLAPS컨테이너배차관리!$DG:$DG,$B16)="","",INDEX(GLAPS컨테이너배차관리!$DG:$DG,$B16))&lt;&gt;"",IF(INDEX(GLAPS컨테이너배차관리!$DG:$DG,$B16)="","",INDEX(GLAPS컨테이너배차관리!$DG:$DG,$B16)),"")))</f>
        <v/>
      </c>
      <c r="O16" t="str">
        <f>IF($B16="","",IF(INDEX(GLAPS컨테이너배차관리!$AB:$AB,$B16)="","",INDEX(GLAPS컨테이너배차관리!$AB:$AB,$B16)))</f>
        <v/>
      </c>
      <c r="P16" t="str">
        <f>IF($B16="","",IF(IF(INDEX(GLAPS컨테이너배차관리!$CP:$CP,$B16)="","",INDEX(GLAPS컨테이너배차관리!$CP:$CP,$B16))="","",IFERROR(INDEX(GLAPS정리!$BH$2:$BH$101,MATCH(IF(INDEX(GLAPS컨테이너배차관리!$CP:$CP,$B16)="","",INDEX(GLAPS컨테이너배차관리!$CP:$CP,$B16)),GLAPS정리!$BI$2:$BI$101,0)),IF(INDEX(GLAPS컨테이너배차관리!$CP:$CP,$B16)="","",INDEX(GLAPS컨테이너배차관리!$CP:$CP,$B16)))))</f>
        <v/>
      </c>
      <c r="Q16" t="str">
        <f>IF($B16="","",IF(AND(IF(INDEX(GLAPS컨테이너배차관리!$AK:$AK,$B16)="","",INDEX(GLAPS컨테이너배차관리!$AK:$AK,$B16))="Y",IF(INDEX(GLAPS컨테이너배차관리!$AI:$AI,$B16)="","",INDEX(GLAPS컨테이너배차관리!$AI:$AI,$B16))="Y"),"위험물리퍼",IF(IF(INDEX(GLAPS컨테이너배차관리!$AK:$AK,$B16)="","",INDEX(GLAPS컨테이너배차관리!$AK:$AK,$B16))="Y","위험물",IF(IF(INDEX(GLAPS컨테이너배차관리!$AI:$AI,$B16)="","",INDEX(GLAPS컨테이너배차관리!$AI:$AI,$B16))="Y","리퍼",""))))</f>
        <v/>
      </c>
      <c r="R16" t="str">
        <f>IF($B16="","",IF(LEFT(IF(INDEX(GLAPS컨테이너배차관리!$Y:$Y,$B16)="","",INDEX(GLAPS컨테이너배차관리!$Y:$Y,$B16)),2)="22",1,""))</f>
        <v/>
      </c>
      <c r="S16" t="str">
        <f>IF($B16="","",IF(LEFT(IF(INDEX(GLAPS컨테이너배차관리!$Y:$Y,$B16)="","",INDEX(GLAPS컨테이너배차관리!$Y:$Y,$B16)),2)="42",1,""))</f>
        <v/>
      </c>
      <c r="T16" t="str">
        <f>IF($B16="","",IF(LEFT(IF(INDEX(GLAPS컨테이너배차관리!$Y:$Y,$B16)="","",INDEX(GLAPS컨테이너배차관리!$Y:$Y,$B16)),2)="45",1,""))</f>
        <v/>
      </c>
      <c r="U16" t="str">
        <f>IF($B16="","",IF(INDEX(GLAPS컨테이너배차관리!$X:$X,$B16)="","",INDEX(GLAPS컨테이너배차관리!$X:$X,$B16)))</f>
        <v/>
      </c>
      <c r="V16" t="str">
        <f>IF($B16="","",IF(INDEX(GLAPS컨테이너배차관리!$Z:$Z,$B16)="","",INDEX(GLAPS컨테이너배차관리!$Z:$Z,$B16)))</f>
        <v/>
      </c>
      <c r="W16" t="str">
        <f>IF($B16="","",IF(IF(INDEX(GLAPS컨테이너배차관리!$DI:$DI,$B16)="","",INDEX(GLAPS컨테이너배차관리!$DI:$DI,$B16))&lt;&gt;"",IF(INDEX(GLAPS컨테이너배차관리!$DI:$DI,$B16)="","",INDEX(GLAPS컨테이너배차관리!$DI:$DI,$B16)),IF(IF(INDEX(GLAPS컨테이너배차관리!$DJ:$DJ,$B16)="","",INDEX(GLAPS컨테이너배차관리!$DJ:$DJ,$B16))&lt;&gt;"",IF(INDEX(GLAPS컨테이너배차관리!$DJ:$DJ,$B16)="","",INDEX(GLAPS컨테이너배차관리!$DJ:$DJ,$B16)),IF(IF(INDEX(GLAPS컨테이너배차관리!$DK:$DK,$B16)="","",INDEX(GLAPS컨테이너배차관리!$DK:$DK,$B16))&lt;&gt;"",IF(INDEX(GLAPS컨테이너배차관리!$DK:$DK,$B16)="","",INDEX(GLAPS컨테이너배차관리!$DK:$DK,$B16)),IF(IF(INDEX(GLAPS컨테이너배차관리!$DL:$DL,$B16)="","",INDEX(GLAPS컨테이너배차관리!$DL:$DL,$B16))&lt;&gt;"",IF(INDEX(GLAPS컨테이너배차관리!$DL:$DL,$B16)="","",INDEX(GLAPS컨테이너배차관리!$DL:$DL,$B16)),IF(IF(INDEX(GLAPS컨테이너배차관리!$DM:$DM,$B16)="","",INDEX(GLAPS컨테이너배차관리!$DM:$DM,$B16))&lt;&gt;"",IF(INDEX(GLAPS컨테이너배차관리!$DM:$DM,$B16)="","",INDEX(GLAPS컨테이너배차관리!$DM:$DM,$B16)),""))))))</f>
        <v/>
      </c>
      <c r="X16" t="str">
        <f>IF($B16="","",IF(INDEX(GLAPS컨테이너배차관리!$F:$F,$B16)="","",INDEX(GLAPS컨테이너배차관리!$F:$F,$B16)))</f>
        <v/>
      </c>
      <c r="Y16" t="str">
        <f>IF($B16="","",IF(IF(INDEX(GLAPS컨테이너배차관리!$M:$M,$B16)="","",INDEX(GLAPS컨테이너배차관리!$M:$M,$B16))&lt;&gt;"",IF(INDEX(GLAPS컨테이너배차관리!$M:$M,$B16)="","",INDEX(GLAPS컨테이너배차관리!$M:$M,$B16)),IF(IF(INDEX(GLAPS컨테이너배차관리!$N:$N,$B16)="","",INDEX(GLAPS컨테이너배차관리!$N:$N,$B16))&lt;&gt;"",IF(INDEX(GLAPS컨테이너배차관리!$N:$N,$B16)="","",INDEX(GLAPS컨테이너배차관리!$N:$N,$B16)),"")))</f>
        <v/>
      </c>
      <c r="Z16" t="str">
        <f>IF($B16="","",IF(IF(INDEX(GLAPS컨테이너배차관리!$CU:$CU,$B16)="","",INDEX(GLAPS컨테이너배차관리!$CU:$CU,$B16))="","",IFERROR(INT(IF(INDEX(GLAPS컨테이너배차관리!$CU:$CU,$B16)="","",INDEX(GLAPS컨테이너배차관리!$CU:$CU,$B16))),"")))</f>
        <v/>
      </c>
      <c r="AA16" t="str">
        <f>IF($B16="","",IF(AND(IF(INDEX(GLAPS컨테이너배차관리!$CL:$CL,$B16)="","",INDEX(GLAPS컨테이너배차관리!$CL:$CL,$B16))="",IF(INDEX(GLAPS컨테이너배차관리!$CM:$CM,$B16)="","",INDEX(GLAPS컨테이너배차관리!$CM:$CM,$B16))=""),"",IF(OR(IF(INDEX(GLAPS컨테이너배차관리!$CL:$CL,$B16)="","",INDEX(GLAPS컨테이너배차관리!$CL:$CL,$B16))="B000016649",ISNUMBER(SEARCH("B015",IF(INDEX(GLAPS컨테이너배차관리!$CM:$CM,$B16)="","",INDEX(GLAPS컨테이너배차관리!$CM:$CM,$B16)))),ISNUMBER(SEARCH("세방",IF(INDEX(GLAPS컨테이너배차관리!$CM:$CM,$B16)="","",INDEX(GLAPS컨테이너배차관리!$CM:$CM,$B16)))),ISNUMBER(SEARCH("SB",IF(INDEX(GLAPS컨테이너배차관리!$CM:$CM,$B16)="","",INDEX(GLAPS컨테이너배차관리!$CM:$CM,$B16))))),"세방","")))</f>
        <v/>
      </c>
      <c r="AB16" t="str">
        <f>IF($B16="","",IF(IF(INDEX(GLAPS컨테이너배차관리!$CM:$CM,$B16)="","",INDEX(GLAPS컨테이너배차관리!$CM:$CM,$B16))="","",IF(ISNUMBER(SEARCH("이지스두동",IF(INDEX(GLAPS컨테이너배차관리!$CM:$CM,$B16)="","",INDEX(GLAPS컨테이너배차관리!$CM:$CM,$B16)))),"이지스두동",IF(ISNUMBER(SEARCH("이지스녹산",IF(INDEX(GLAPS컨테이너배차관리!$CM:$CM,$B16)="","",INDEX(GLAPS컨테이너배차관리!$CM:$CM,$B16)))),"이지스녹산",IF(ISNUMBER(SEARCH("천우",IF(INDEX(GLAPS컨테이너배차관리!$CM:$CM,$B16)="","",INDEX(GLAPS컨테이너배차관리!$CM:$CM,$B16)))),"천우",IF(OR(ISNUMBER(SEARCH("청암",IF(INDEX(GLAPS컨테이너배차관리!$CM:$CM,$B16)="","",INDEX(GLAPS컨테이너배차관리!$CM:$CM,$B16)))),ISNUMBER(SEARCH("SB청암",IF(INDEX(GLAPS컨테이너배차관리!$CM:$CM,$B16)="","",INDEX(GLAPS컨테이너배차관리!$CM:$CM,$B16))))),"청암신항",IF(INDEX(GLAPS컨테이너배차관리!$CM:$CM,$B16)="","",INDEX(GLAPS컨테이너배차관리!$CM:$CM,$B16))))))))</f>
        <v/>
      </c>
    </row>
    <row r="17" spans="1:28">
      <c r="A17">
        <v>16</v>
      </c>
      <c r="B17" t="str">
        <f>IFERROR(_xlfn.AGGREGATE(15,6,ROW(GLAPS컨테이너배차관리!$X$2:$X$20000)/(GLAPS컨테이너배차관리!$X$2:$X$20000&lt;&gt;""),A17),"")</f>
        <v/>
      </c>
      <c r="C17" t="str">
        <f>IF($B17="","",INT(IF(INDEX(GLAPS컨테이너배차관리!$K:$K,$B17)="","",INDEX(GLAPS컨테이너배차관리!$K:$K,$B17))))</f>
        <v/>
      </c>
      <c r="D17" t="str">
        <f>IF($B17="","",IF(ISNUMBER(SEARCH("이엘에스",IF(INDEX(GLAPS컨테이너배차관리!$AZ:$AZ,$B17)="","",INDEX(GLAPS컨테이너배차관리!$AZ:$AZ,$B17)))),"ELS솔루션",IF(INDEX(GLAPS컨테이너배차관리!$AZ:$AZ,$B17)="","",INDEX(GLAPS컨테이너배차관리!$AZ:$AZ,$B17))))</f>
        <v/>
      </c>
      <c r="E17" t="str">
        <f>IF($B17="","",IF(INDEX(GLAPS컨테이너배차관리!$L:$L,$B17)="","",INDEX(GLAPS컨테이너배차관리!$L:$L,$B17)))</f>
        <v/>
      </c>
      <c r="F17" t="str">
        <f>IF($B17="","",IF(HOUR(IF(INDEX(GLAPS컨테이너배차관리!$L:$L,$B17)="","",INDEX(GLAPS컨테이너배차관리!$L:$L,$B17)))&lt;12,"오전",IF(HOUR(IF(INDEX(GLAPS컨테이너배차관리!$L:$L,$B17)="","",INDEX(GLAPS컨테이너배차관리!$L:$L,$B17)))&lt;18,"오후","잔업")))</f>
        <v/>
      </c>
      <c r="G17" t="str">
        <f>IF($B17="","",IFERROR(INDEX(GLAPS정리!$G$3:$G$264,MATCH(IF(INDEX(GLAPS컨테이너배차관리!$BY:$BY,$B17)="","",INDEX(GLAPS컨테이너배차관리!$BY:$BY,$B17)),GLAPS정리!$H$3:$H$264,0)),TRIM(SUBSTITUTE(SUBSTITUTE(SUBSTITUTE(SUBSTITUTE(SUBSTITUTE(IF(INDEX(GLAPS컨테이너배차관리!$T:$T,$B17)="","",INDEX(GLAPS컨테이너배차관리!$T:$T,$B17)),"[GA]",""),"[GB]",""),"[GC]",""),"[KC]",""),"[GS]",""))))</f>
        <v/>
      </c>
      <c r="H17" t="str">
        <f>IF($B17="","",IFERROR(VLOOKUP(IF(INDEX(GLAPS컨테이너배차관리!$BY:$BY,$B17)="","",INDEX(GLAPS컨테이너배차관리!$BY:$BY,$B17)),GLAPS정리!$BT$3:$BV$200,3,0),""))</f>
        <v/>
      </c>
      <c r="I17" t="str">
        <f>IF($B17="","",LEFT(IF(INDEX(GLAPS컨테이너배차관리!$U:$U,$B17)="","",INDEX(GLAPS컨테이너배차관리!$U:$U,$B17)),FIND("/",IF(INDEX(GLAPS컨테이너배차관리!$U:$U,$B17)="","",INDEX(GLAPS컨테이너배차관리!$U:$U,$B17))&amp;"/")-1))</f>
        <v/>
      </c>
      <c r="J17" t="str">
        <f>IF($B17="","",IF(IF(INDEX(GLAPS컨테이너배차관리!$O:$O,$B17)="","",INDEX(GLAPS컨테이너배차관리!$O:$O,$B17))="EMC","EMA",IFERROR(INDEX(GLAPS정리!$A$2:$A$50,MATCH(IF(INDEX(GLAPS컨테이너배차관리!$O:$O,$B17)="","",INDEX(GLAPS컨테이너배차관리!$O:$O,$B17)),GLAPS정리!$D$2:$D$50,0)),IF(INDEX(GLAPS컨테이너배차관리!$O:$O,$B17)="","",INDEX(GLAPS컨테이너배차관리!$O:$O,$B17)))))</f>
        <v/>
      </c>
      <c r="K17" t="str">
        <f>IF($B17="","",IF(LEFT(IF(INDEX(GLAPS컨테이너배차관리!$Y:$Y,$B17)="","",INDEX(GLAPS컨테이너배차관리!$Y:$Y,$B17)),2)="22","20 Feet",IF(LEFT(IF(INDEX(GLAPS컨테이너배차관리!$Y:$Y,$B17)="","",INDEX(GLAPS컨테이너배차관리!$Y:$Y,$B17)),2)="42","40 Feet","40 Feet H")))</f>
        <v/>
      </c>
      <c r="L17" t="str">
        <f>IF($B17="","",IFERROR(INDEX(GLAPS정리!$BB$2:$BB$80,MATCH(IF(INDEX(GLAPS컨테이너배차관리!$BQ:$BQ,$B17)="","",INDEX(GLAPS컨테이너배차관리!$BQ:$BQ,$B17)),GLAPS정리!$BC$2:$BC$80,0)),IF(INDEX(GLAPS컨테이너배차관리!$BQ:$BQ,$B17)="","",INDEX(GLAPS컨테이너배차관리!$BQ:$BQ,$B17))))</f>
        <v/>
      </c>
      <c r="M17" t="str">
        <f>IF($B17="","",IFERROR(INDEX(GLAPS정리!$V$3:$V$180,MATCH(IF(INDEX(GLAPS컨테이너배차관리!$S:$S,$B17)="","",INDEX(GLAPS컨테이너배차관리!$S:$S,$B17)),GLAPS정리!$W$3:$W$180,0)),IF(INDEX(GLAPS컨테이너배차관리!$S:$S,$B17)="","",INDEX(GLAPS컨테이너배차관리!$S:$S,$B17))))</f>
        <v/>
      </c>
      <c r="N17" t="str">
        <f>IF($B17="","",IF(IF(INDEX(GLAPS컨테이너배차관리!$DF:$DF,$B17)="","",INDEX(GLAPS컨테이너배차관리!$DF:$DF,$B17))&lt;&gt;"",IF(INDEX(GLAPS컨테이너배차관리!$DF:$DF,$B17)="","",INDEX(GLAPS컨테이너배차관리!$DF:$DF,$B17)),IF(IF(INDEX(GLAPS컨테이너배차관리!$DG:$DG,$B17)="","",INDEX(GLAPS컨테이너배차관리!$DG:$DG,$B17))&lt;&gt;"",IF(INDEX(GLAPS컨테이너배차관리!$DG:$DG,$B17)="","",INDEX(GLAPS컨테이너배차관리!$DG:$DG,$B17)),"")))</f>
        <v/>
      </c>
      <c r="O17" t="str">
        <f>IF($B17="","",IF(INDEX(GLAPS컨테이너배차관리!$AB:$AB,$B17)="","",INDEX(GLAPS컨테이너배차관리!$AB:$AB,$B17)))</f>
        <v/>
      </c>
      <c r="P17" t="str">
        <f>IF($B17="","",IF(IF(INDEX(GLAPS컨테이너배차관리!$CP:$CP,$B17)="","",INDEX(GLAPS컨테이너배차관리!$CP:$CP,$B17))="","",IFERROR(INDEX(GLAPS정리!$BH$2:$BH$101,MATCH(IF(INDEX(GLAPS컨테이너배차관리!$CP:$CP,$B17)="","",INDEX(GLAPS컨테이너배차관리!$CP:$CP,$B17)),GLAPS정리!$BI$2:$BI$101,0)),IF(INDEX(GLAPS컨테이너배차관리!$CP:$CP,$B17)="","",INDEX(GLAPS컨테이너배차관리!$CP:$CP,$B17)))))</f>
        <v/>
      </c>
      <c r="Q17" t="str">
        <f>IF($B17="","",IF(AND(IF(INDEX(GLAPS컨테이너배차관리!$AK:$AK,$B17)="","",INDEX(GLAPS컨테이너배차관리!$AK:$AK,$B17))="Y",IF(INDEX(GLAPS컨테이너배차관리!$AI:$AI,$B17)="","",INDEX(GLAPS컨테이너배차관리!$AI:$AI,$B17))="Y"),"위험물리퍼",IF(IF(INDEX(GLAPS컨테이너배차관리!$AK:$AK,$B17)="","",INDEX(GLAPS컨테이너배차관리!$AK:$AK,$B17))="Y","위험물",IF(IF(INDEX(GLAPS컨테이너배차관리!$AI:$AI,$B17)="","",INDEX(GLAPS컨테이너배차관리!$AI:$AI,$B17))="Y","리퍼",""))))</f>
        <v/>
      </c>
      <c r="R17" t="str">
        <f>IF($B17="","",IF(LEFT(IF(INDEX(GLAPS컨테이너배차관리!$Y:$Y,$B17)="","",INDEX(GLAPS컨테이너배차관리!$Y:$Y,$B17)),2)="22",1,""))</f>
        <v/>
      </c>
      <c r="S17" t="str">
        <f>IF($B17="","",IF(LEFT(IF(INDEX(GLAPS컨테이너배차관리!$Y:$Y,$B17)="","",INDEX(GLAPS컨테이너배차관리!$Y:$Y,$B17)),2)="42",1,""))</f>
        <v/>
      </c>
      <c r="T17" t="str">
        <f>IF($B17="","",IF(LEFT(IF(INDEX(GLAPS컨테이너배차관리!$Y:$Y,$B17)="","",INDEX(GLAPS컨테이너배차관리!$Y:$Y,$B17)),2)="45",1,""))</f>
        <v/>
      </c>
      <c r="U17" t="str">
        <f>IF($B17="","",IF(INDEX(GLAPS컨테이너배차관리!$X:$X,$B17)="","",INDEX(GLAPS컨테이너배차관리!$X:$X,$B17)))</f>
        <v/>
      </c>
      <c r="V17" t="str">
        <f>IF($B17="","",IF(INDEX(GLAPS컨테이너배차관리!$Z:$Z,$B17)="","",INDEX(GLAPS컨테이너배차관리!$Z:$Z,$B17)))</f>
        <v/>
      </c>
      <c r="W17" t="str">
        <f>IF($B17="","",IF(IF(INDEX(GLAPS컨테이너배차관리!$DI:$DI,$B17)="","",INDEX(GLAPS컨테이너배차관리!$DI:$DI,$B17))&lt;&gt;"",IF(INDEX(GLAPS컨테이너배차관리!$DI:$DI,$B17)="","",INDEX(GLAPS컨테이너배차관리!$DI:$DI,$B17)),IF(IF(INDEX(GLAPS컨테이너배차관리!$DJ:$DJ,$B17)="","",INDEX(GLAPS컨테이너배차관리!$DJ:$DJ,$B17))&lt;&gt;"",IF(INDEX(GLAPS컨테이너배차관리!$DJ:$DJ,$B17)="","",INDEX(GLAPS컨테이너배차관리!$DJ:$DJ,$B17)),IF(IF(INDEX(GLAPS컨테이너배차관리!$DK:$DK,$B17)="","",INDEX(GLAPS컨테이너배차관리!$DK:$DK,$B17))&lt;&gt;"",IF(INDEX(GLAPS컨테이너배차관리!$DK:$DK,$B17)="","",INDEX(GLAPS컨테이너배차관리!$DK:$DK,$B17)),IF(IF(INDEX(GLAPS컨테이너배차관리!$DL:$DL,$B17)="","",INDEX(GLAPS컨테이너배차관리!$DL:$DL,$B17))&lt;&gt;"",IF(INDEX(GLAPS컨테이너배차관리!$DL:$DL,$B17)="","",INDEX(GLAPS컨테이너배차관리!$DL:$DL,$B17)),IF(IF(INDEX(GLAPS컨테이너배차관리!$DM:$DM,$B17)="","",INDEX(GLAPS컨테이너배차관리!$DM:$DM,$B17))&lt;&gt;"",IF(INDEX(GLAPS컨테이너배차관리!$DM:$DM,$B17)="","",INDEX(GLAPS컨테이너배차관리!$DM:$DM,$B17)),""))))))</f>
        <v/>
      </c>
      <c r="X17" t="str">
        <f>IF($B17="","",IF(INDEX(GLAPS컨테이너배차관리!$F:$F,$B17)="","",INDEX(GLAPS컨테이너배차관리!$F:$F,$B17)))</f>
        <v/>
      </c>
      <c r="Y17" t="str">
        <f>IF($B17="","",IF(IF(INDEX(GLAPS컨테이너배차관리!$M:$M,$B17)="","",INDEX(GLAPS컨테이너배차관리!$M:$M,$B17))&lt;&gt;"",IF(INDEX(GLAPS컨테이너배차관리!$M:$M,$B17)="","",INDEX(GLAPS컨테이너배차관리!$M:$M,$B17)),IF(IF(INDEX(GLAPS컨테이너배차관리!$N:$N,$B17)="","",INDEX(GLAPS컨테이너배차관리!$N:$N,$B17))&lt;&gt;"",IF(INDEX(GLAPS컨테이너배차관리!$N:$N,$B17)="","",INDEX(GLAPS컨테이너배차관리!$N:$N,$B17)),"")))</f>
        <v/>
      </c>
      <c r="Z17" t="str">
        <f>IF($B17="","",IF(IF(INDEX(GLAPS컨테이너배차관리!$CU:$CU,$B17)="","",INDEX(GLAPS컨테이너배차관리!$CU:$CU,$B17))="","",IFERROR(INT(IF(INDEX(GLAPS컨테이너배차관리!$CU:$CU,$B17)="","",INDEX(GLAPS컨테이너배차관리!$CU:$CU,$B17))),"")))</f>
        <v/>
      </c>
      <c r="AA17" t="str">
        <f>IF($B17="","",IF(AND(IF(INDEX(GLAPS컨테이너배차관리!$CL:$CL,$B17)="","",INDEX(GLAPS컨테이너배차관리!$CL:$CL,$B17))="",IF(INDEX(GLAPS컨테이너배차관리!$CM:$CM,$B17)="","",INDEX(GLAPS컨테이너배차관리!$CM:$CM,$B17))=""),"",IF(OR(IF(INDEX(GLAPS컨테이너배차관리!$CL:$CL,$B17)="","",INDEX(GLAPS컨테이너배차관리!$CL:$CL,$B17))="B000016649",ISNUMBER(SEARCH("B015",IF(INDEX(GLAPS컨테이너배차관리!$CM:$CM,$B17)="","",INDEX(GLAPS컨테이너배차관리!$CM:$CM,$B17)))),ISNUMBER(SEARCH("세방",IF(INDEX(GLAPS컨테이너배차관리!$CM:$CM,$B17)="","",INDEX(GLAPS컨테이너배차관리!$CM:$CM,$B17)))),ISNUMBER(SEARCH("SB",IF(INDEX(GLAPS컨테이너배차관리!$CM:$CM,$B17)="","",INDEX(GLAPS컨테이너배차관리!$CM:$CM,$B17))))),"세방","")))</f>
        <v/>
      </c>
      <c r="AB17" t="str">
        <f>IF($B17="","",IF(IF(INDEX(GLAPS컨테이너배차관리!$CM:$CM,$B17)="","",INDEX(GLAPS컨테이너배차관리!$CM:$CM,$B17))="","",IF(ISNUMBER(SEARCH("이지스두동",IF(INDEX(GLAPS컨테이너배차관리!$CM:$CM,$B17)="","",INDEX(GLAPS컨테이너배차관리!$CM:$CM,$B17)))),"이지스두동",IF(ISNUMBER(SEARCH("이지스녹산",IF(INDEX(GLAPS컨테이너배차관리!$CM:$CM,$B17)="","",INDEX(GLAPS컨테이너배차관리!$CM:$CM,$B17)))),"이지스녹산",IF(ISNUMBER(SEARCH("천우",IF(INDEX(GLAPS컨테이너배차관리!$CM:$CM,$B17)="","",INDEX(GLAPS컨테이너배차관리!$CM:$CM,$B17)))),"천우",IF(OR(ISNUMBER(SEARCH("청암",IF(INDEX(GLAPS컨테이너배차관리!$CM:$CM,$B17)="","",INDEX(GLAPS컨테이너배차관리!$CM:$CM,$B17)))),ISNUMBER(SEARCH("SB청암",IF(INDEX(GLAPS컨테이너배차관리!$CM:$CM,$B17)="","",INDEX(GLAPS컨테이너배차관리!$CM:$CM,$B17))))),"청암신항",IF(INDEX(GLAPS컨테이너배차관리!$CM:$CM,$B17)="","",INDEX(GLAPS컨테이너배차관리!$CM:$CM,$B17))))))))</f>
        <v/>
      </c>
    </row>
    <row r="18" spans="1:28">
      <c r="A18">
        <v>17</v>
      </c>
      <c r="B18" t="str">
        <f>IFERROR(_xlfn.AGGREGATE(15,6,ROW(GLAPS컨테이너배차관리!$X$2:$X$20000)/(GLAPS컨테이너배차관리!$X$2:$X$20000&lt;&gt;""),A18),"")</f>
        <v/>
      </c>
      <c r="C18" t="str">
        <f>IF($B18="","",INT(IF(INDEX(GLAPS컨테이너배차관리!$K:$K,$B18)="","",INDEX(GLAPS컨테이너배차관리!$K:$K,$B18))))</f>
        <v/>
      </c>
      <c r="D18" t="str">
        <f>IF($B18="","",IF(ISNUMBER(SEARCH("이엘에스",IF(INDEX(GLAPS컨테이너배차관리!$AZ:$AZ,$B18)="","",INDEX(GLAPS컨테이너배차관리!$AZ:$AZ,$B18)))),"ELS솔루션",IF(INDEX(GLAPS컨테이너배차관리!$AZ:$AZ,$B18)="","",INDEX(GLAPS컨테이너배차관리!$AZ:$AZ,$B18))))</f>
        <v/>
      </c>
      <c r="E18" t="str">
        <f>IF($B18="","",IF(INDEX(GLAPS컨테이너배차관리!$L:$L,$B18)="","",INDEX(GLAPS컨테이너배차관리!$L:$L,$B18)))</f>
        <v/>
      </c>
      <c r="F18" t="str">
        <f>IF($B18="","",IF(HOUR(IF(INDEX(GLAPS컨테이너배차관리!$L:$L,$B18)="","",INDEX(GLAPS컨테이너배차관리!$L:$L,$B18)))&lt;12,"오전",IF(HOUR(IF(INDEX(GLAPS컨테이너배차관리!$L:$L,$B18)="","",INDEX(GLAPS컨테이너배차관리!$L:$L,$B18)))&lt;18,"오후","잔업")))</f>
        <v/>
      </c>
      <c r="G18" t="str">
        <f>IF($B18="","",IFERROR(INDEX(GLAPS정리!$G$3:$G$264,MATCH(IF(INDEX(GLAPS컨테이너배차관리!$BY:$BY,$B18)="","",INDEX(GLAPS컨테이너배차관리!$BY:$BY,$B18)),GLAPS정리!$H$3:$H$264,0)),TRIM(SUBSTITUTE(SUBSTITUTE(SUBSTITUTE(SUBSTITUTE(SUBSTITUTE(IF(INDEX(GLAPS컨테이너배차관리!$T:$T,$B18)="","",INDEX(GLAPS컨테이너배차관리!$T:$T,$B18)),"[GA]",""),"[GB]",""),"[GC]",""),"[KC]",""),"[GS]",""))))</f>
        <v/>
      </c>
      <c r="H18" t="str">
        <f>IF($B18="","",IFERROR(VLOOKUP(IF(INDEX(GLAPS컨테이너배차관리!$BY:$BY,$B18)="","",INDEX(GLAPS컨테이너배차관리!$BY:$BY,$B18)),GLAPS정리!$BT$3:$BV$200,3,0),""))</f>
        <v/>
      </c>
      <c r="I18" t="str">
        <f>IF($B18="","",LEFT(IF(INDEX(GLAPS컨테이너배차관리!$U:$U,$B18)="","",INDEX(GLAPS컨테이너배차관리!$U:$U,$B18)),FIND("/",IF(INDEX(GLAPS컨테이너배차관리!$U:$U,$B18)="","",INDEX(GLAPS컨테이너배차관리!$U:$U,$B18))&amp;"/")-1))</f>
        <v/>
      </c>
      <c r="J18" t="str">
        <f>IF($B18="","",IF(IF(INDEX(GLAPS컨테이너배차관리!$O:$O,$B18)="","",INDEX(GLAPS컨테이너배차관리!$O:$O,$B18))="EMC","EMA",IFERROR(INDEX(GLAPS정리!$A$2:$A$50,MATCH(IF(INDEX(GLAPS컨테이너배차관리!$O:$O,$B18)="","",INDEX(GLAPS컨테이너배차관리!$O:$O,$B18)),GLAPS정리!$D$2:$D$50,0)),IF(INDEX(GLAPS컨테이너배차관리!$O:$O,$B18)="","",INDEX(GLAPS컨테이너배차관리!$O:$O,$B18)))))</f>
        <v/>
      </c>
      <c r="K18" t="str">
        <f>IF($B18="","",IF(LEFT(IF(INDEX(GLAPS컨테이너배차관리!$Y:$Y,$B18)="","",INDEX(GLAPS컨테이너배차관리!$Y:$Y,$B18)),2)="22","20 Feet",IF(LEFT(IF(INDEX(GLAPS컨테이너배차관리!$Y:$Y,$B18)="","",INDEX(GLAPS컨테이너배차관리!$Y:$Y,$B18)),2)="42","40 Feet","40 Feet H")))</f>
        <v/>
      </c>
      <c r="L18" t="str">
        <f>IF($B18="","",IFERROR(INDEX(GLAPS정리!$BB$2:$BB$80,MATCH(IF(INDEX(GLAPS컨테이너배차관리!$BQ:$BQ,$B18)="","",INDEX(GLAPS컨테이너배차관리!$BQ:$BQ,$B18)),GLAPS정리!$BC$2:$BC$80,0)),IF(INDEX(GLAPS컨테이너배차관리!$BQ:$BQ,$B18)="","",INDEX(GLAPS컨테이너배차관리!$BQ:$BQ,$B18))))</f>
        <v/>
      </c>
      <c r="M18" t="str">
        <f>IF($B18="","",IFERROR(INDEX(GLAPS정리!$V$3:$V$180,MATCH(IF(INDEX(GLAPS컨테이너배차관리!$S:$S,$B18)="","",INDEX(GLAPS컨테이너배차관리!$S:$S,$B18)),GLAPS정리!$W$3:$W$180,0)),IF(INDEX(GLAPS컨테이너배차관리!$S:$S,$B18)="","",INDEX(GLAPS컨테이너배차관리!$S:$S,$B18))))</f>
        <v/>
      </c>
      <c r="N18" t="str">
        <f>IF($B18="","",IF(IF(INDEX(GLAPS컨테이너배차관리!$DF:$DF,$B18)="","",INDEX(GLAPS컨테이너배차관리!$DF:$DF,$B18))&lt;&gt;"",IF(INDEX(GLAPS컨테이너배차관리!$DF:$DF,$B18)="","",INDEX(GLAPS컨테이너배차관리!$DF:$DF,$B18)),IF(IF(INDEX(GLAPS컨테이너배차관리!$DG:$DG,$B18)="","",INDEX(GLAPS컨테이너배차관리!$DG:$DG,$B18))&lt;&gt;"",IF(INDEX(GLAPS컨테이너배차관리!$DG:$DG,$B18)="","",INDEX(GLAPS컨테이너배차관리!$DG:$DG,$B18)),"")))</f>
        <v/>
      </c>
      <c r="O18" t="str">
        <f>IF($B18="","",IF(INDEX(GLAPS컨테이너배차관리!$AB:$AB,$B18)="","",INDEX(GLAPS컨테이너배차관리!$AB:$AB,$B18)))</f>
        <v/>
      </c>
      <c r="P18" t="str">
        <f>IF($B18="","",IF(IF(INDEX(GLAPS컨테이너배차관리!$CP:$CP,$B18)="","",INDEX(GLAPS컨테이너배차관리!$CP:$CP,$B18))="","",IFERROR(INDEX(GLAPS정리!$BH$2:$BH$101,MATCH(IF(INDEX(GLAPS컨테이너배차관리!$CP:$CP,$B18)="","",INDEX(GLAPS컨테이너배차관리!$CP:$CP,$B18)),GLAPS정리!$BI$2:$BI$101,0)),IF(INDEX(GLAPS컨테이너배차관리!$CP:$CP,$B18)="","",INDEX(GLAPS컨테이너배차관리!$CP:$CP,$B18)))))</f>
        <v/>
      </c>
      <c r="Q18" t="str">
        <f>IF($B18="","",IF(AND(IF(INDEX(GLAPS컨테이너배차관리!$AK:$AK,$B18)="","",INDEX(GLAPS컨테이너배차관리!$AK:$AK,$B18))="Y",IF(INDEX(GLAPS컨테이너배차관리!$AI:$AI,$B18)="","",INDEX(GLAPS컨테이너배차관리!$AI:$AI,$B18))="Y"),"위험물리퍼",IF(IF(INDEX(GLAPS컨테이너배차관리!$AK:$AK,$B18)="","",INDEX(GLAPS컨테이너배차관리!$AK:$AK,$B18))="Y","위험물",IF(IF(INDEX(GLAPS컨테이너배차관리!$AI:$AI,$B18)="","",INDEX(GLAPS컨테이너배차관리!$AI:$AI,$B18))="Y","리퍼",""))))</f>
        <v/>
      </c>
      <c r="R18" t="str">
        <f>IF($B18="","",IF(LEFT(IF(INDEX(GLAPS컨테이너배차관리!$Y:$Y,$B18)="","",INDEX(GLAPS컨테이너배차관리!$Y:$Y,$B18)),2)="22",1,""))</f>
        <v/>
      </c>
      <c r="S18" t="str">
        <f>IF($B18="","",IF(LEFT(IF(INDEX(GLAPS컨테이너배차관리!$Y:$Y,$B18)="","",INDEX(GLAPS컨테이너배차관리!$Y:$Y,$B18)),2)="42",1,""))</f>
        <v/>
      </c>
      <c r="T18" t="str">
        <f>IF($B18="","",IF(LEFT(IF(INDEX(GLAPS컨테이너배차관리!$Y:$Y,$B18)="","",INDEX(GLAPS컨테이너배차관리!$Y:$Y,$B18)),2)="45",1,""))</f>
        <v/>
      </c>
      <c r="U18" t="str">
        <f>IF($B18="","",IF(INDEX(GLAPS컨테이너배차관리!$X:$X,$B18)="","",INDEX(GLAPS컨테이너배차관리!$X:$X,$B18)))</f>
        <v/>
      </c>
      <c r="V18" t="str">
        <f>IF($B18="","",IF(INDEX(GLAPS컨테이너배차관리!$Z:$Z,$B18)="","",INDEX(GLAPS컨테이너배차관리!$Z:$Z,$B18)))</f>
        <v/>
      </c>
      <c r="W18" t="str">
        <f>IF($B18="","",IF(IF(INDEX(GLAPS컨테이너배차관리!$DI:$DI,$B18)="","",INDEX(GLAPS컨테이너배차관리!$DI:$DI,$B18))&lt;&gt;"",IF(INDEX(GLAPS컨테이너배차관리!$DI:$DI,$B18)="","",INDEX(GLAPS컨테이너배차관리!$DI:$DI,$B18)),IF(IF(INDEX(GLAPS컨테이너배차관리!$DJ:$DJ,$B18)="","",INDEX(GLAPS컨테이너배차관리!$DJ:$DJ,$B18))&lt;&gt;"",IF(INDEX(GLAPS컨테이너배차관리!$DJ:$DJ,$B18)="","",INDEX(GLAPS컨테이너배차관리!$DJ:$DJ,$B18)),IF(IF(INDEX(GLAPS컨테이너배차관리!$DK:$DK,$B18)="","",INDEX(GLAPS컨테이너배차관리!$DK:$DK,$B18))&lt;&gt;"",IF(INDEX(GLAPS컨테이너배차관리!$DK:$DK,$B18)="","",INDEX(GLAPS컨테이너배차관리!$DK:$DK,$B18)),IF(IF(INDEX(GLAPS컨테이너배차관리!$DL:$DL,$B18)="","",INDEX(GLAPS컨테이너배차관리!$DL:$DL,$B18))&lt;&gt;"",IF(INDEX(GLAPS컨테이너배차관리!$DL:$DL,$B18)="","",INDEX(GLAPS컨테이너배차관리!$DL:$DL,$B18)),IF(IF(INDEX(GLAPS컨테이너배차관리!$DM:$DM,$B18)="","",INDEX(GLAPS컨테이너배차관리!$DM:$DM,$B18))&lt;&gt;"",IF(INDEX(GLAPS컨테이너배차관리!$DM:$DM,$B18)="","",INDEX(GLAPS컨테이너배차관리!$DM:$DM,$B18)),""))))))</f>
        <v/>
      </c>
      <c r="X18" t="str">
        <f>IF($B18="","",IF(INDEX(GLAPS컨테이너배차관리!$F:$F,$B18)="","",INDEX(GLAPS컨테이너배차관리!$F:$F,$B18)))</f>
        <v/>
      </c>
      <c r="Y18" t="str">
        <f>IF($B18="","",IF(IF(INDEX(GLAPS컨테이너배차관리!$M:$M,$B18)="","",INDEX(GLAPS컨테이너배차관리!$M:$M,$B18))&lt;&gt;"",IF(INDEX(GLAPS컨테이너배차관리!$M:$M,$B18)="","",INDEX(GLAPS컨테이너배차관리!$M:$M,$B18)),IF(IF(INDEX(GLAPS컨테이너배차관리!$N:$N,$B18)="","",INDEX(GLAPS컨테이너배차관리!$N:$N,$B18))&lt;&gt;"",IF(INDEX(GLAPS컨테이너배차관리!$N:$N,$B18)="","",INDEX(GLAPS컨테이너배차관리!$N:$N,$B18)),"")))</f>
        <v/>
      </c>
      <c r="Z18" t="str">
        <f>IF($B18="","",IF(IF(INDEX(GLAPS컨테이너배차관리!$CU:$CU,$B18)="","",INDEX(GLAPS컨테이너배차관리!$CU:$CU,$B18))="","",IFERROR(INT(IF(INDEX(GLAPS컨테이너배차관리!$CU:$CU,$B18)="","",INDEX(GLAPS컨테이너배차관리!$CU:$CU,$B18))),"")))</f>
        <v/>
      </c>
      <c r="AA18" t="str">
        <f>IF($B18="","",IF(AND(IF(INDEX(GLAPS컨테이너배차관리!$CL:$CL,$B18)="","",INDEX(GLAPS컨테이너배차관리!$CL:$CL,$B18))="",IF(INDEX(GLAPS컨테이너배차관리!$CM:$CM,$B18)="","",INDEX(GLAPS컨테이너배차관리!$CM:$CM,$B18))=""),"",IF(OR(IF(INDEX(GLAPS컨테이너배차관리!$CL:$CL,$B18)="","",INDEX(GLAPS컨테이너배차관리!$CL:$CL,$B18))="B000016649",ISNUMBER(SEARCH("B015",IF(INDEX(GLAPS컨테이너배차관리!$CM:$CM,$B18)="","",INDEX(GLAPS컨테이너배차관리!$CM:$CM,$B18)))),ISNUMBER(SEARCH("세방",IF(INDEX(GLAPS컨테이너배차관리!$CM:$CM,$B18)="","",INDEX(GLAPS컨테이너배차관리!$CM:$CM,$B18)))),ISNUMBER(SEARCH("SB",IF(INDEX(GLAPS컨테이너배차관리!$CM:$CM,$B18)="","",INDEX(GLAPS컨테이너배차관리!$CM:$CM,$B18))))),"세방","")))</f>
        <v/>
      </c>
      <c r="AB18" t="str">
        <f>IF($B18="","",IF(IF(INDEX(GLAPS컨테이너배차관리!$CM:$CM,$B18)="","",INDEX(GLAPS컨테이너배차관리!$CM:$CM,$B18))="","",IF(ISNUMBER(SEARCH("이지스두동",IF(INDEX(GLAPS컨테이너배차관리!$CM:$CM,$B18)="","",INDEX(GLAPS컨테이너배차관리!$CM:$CM,$B18)))),"이지스두동",IF(ISNUMBER(SEARCH("이지스녹산",IF(INDEX(GLAPS컨테이너배차관리!$CM:$CM,$B18)="","",INDEX(GLAPS컨테이너배차관리!$CM:$CM,$B18)))),"이지스녹산",IF(ISNUMBER(SEARCH("천우",IF(INDEX(GLAPS컨테이너배차관리!$CM:$CM,$B18)="","",INDEX(GLAPS컨테이너배차관리!$CM:$CM,$B18)))),"천우",IF(OR(ISNUMBER(SEARCH("청암",IF(INDEX(GLAPS컨테이너배차관리!$CM:$CM,$B18)="","",INDEX(GLAPS컨테이너배차관리!$CM:$CM,$B18)))),ISNUMBER(SEARCH("SB청암",IF(INDEX(GLAPS컨테이너배차관리!$CM:$CM,$B18)="","",INDEX(GLAPS컨테이너배차관리!$CM:$CM,$B18))))),"청암신항",IF(INDEX(GLAPS컨테이너배차관리!$CM:$CM,$B18)="","",INDEX(GLAPS컨테이너배차관리!$CM:$CM,$B18))))))))</f>
        <v/>
      </c>
    </row>
    <row r="19" spans="1:28">
      <c r="A19">
        <v>18</v>
      </c>
      <c r="B19" t="str">
        <f>IFERROR(_xlfn.AGGREGATE(15,6,ROW(GLAPS컨테이너배차관리!$X$2:$X$20000)/(GLAPS컨테이너배차관리!$X$2:$X$20000&lt;&gt;""),A19),"")</f>
        <v/>
      </c>
      <c r="C19" t="str">
        <f>IF($B19="","",INT(IF(INDEX(GLAPS컨테이너배차관리!$K:$K,$B19)="","",INDEX(GLAPS컨테이너배차관리!$K:$K,$B19))))</f>
        <v/>
      </c>
      <c r="D19" t="str">
        <f>IF($B19="","",IF(ISNUMBER(SEARCH("이엘에스",IF(INDEX(GLAPS컨테이너배차관리!$AZ:$AZ,$B19)="","",INDEX(GLAPS컨테이너배차관리!$AZ:$AZ,$B19)))),"ELS솔루션",IF(INDEX(GLAPS컨테이너배차관리!$AZ:$AZ,$B19)="","",INDEX(GLAPS컨테이너배차관리!$AZ:$AZ,$B19))))</f>
        <v/>
      </c>
      <c r="E19" t="str">
        <f>IF($B19="","",IF(INDEX(GLAPS컨테이너배차관리!$L:$L,$B19)="","",INDEX(GLAPS컨테이너배차관리!$L:$L,$B19)))</f>
        <v/>
      </c>
      <c r="F19" t="str">
        <f>IF($B19="","",IF(HOUR(IF(INDEX(GLAPS컨테이너배차관리!$L:$L,$B19)="","",INDEX(GLAPS컨테이너배차관리!$L:$L,$B19)))&lt;12,"오전",IF(HOUR(IF(INDEX(GLAPS컨테이너배차관리!$L:$L,$B19)="","",INDEX(GLAPS컨테이너배차관리!$L:$L,$B19)))&lt;18,"오후","잔업")))</f>
        <v/>
      </c>
      <c r="G19" t="str">
        <f>IF($B19="","",IFERROR(INDEX(GLAPS정리!$G$3:$G$264,MATCH(IF(INDEX(GLAPS컨테이너배차관리!$BY:$BY,$B19)="","",INDEX(GLAPS컨테이너배차관리!$BY:$BY,$B19)),GLAPS정리!$H$3:$H$264,0)),TRIM(SUBSTITUTE(SUBSTITUTE(SUBSTITUTE(SUBSTITUTE(SUBSTITUTE(IF(INDEX(GLAPS컨테이너배차관리!$T:$T,$B19)="","",INDEX(GLAPS컨테이너배차관리!$T:$T,$B19)),"[GA]",""),"[GB]",""),"[GC]",""),"[KC]",""),"[GS]",""))))</f>
        <v/>
      </c>
      <c r="H19" t="str">
        <f>IF($B19="","",IFERROR(VLOOKUP(IF(INDEX(GLAPS컨테이너배차관리!$BY:$BY,$B19)="","",INDEX(GLAPS컨테이너배차관리!$BY:$BY,$B19)),GLAPS정리!$BT$3:$BV$200,3,0),""))</f>
        <v/>
      </c>
      <c r="I19" t="str">
        <f>IF($B19="","",LEFT(IF(INDEX(GLAPS컨테이너배차관리!$U:$U,$B19)="","",INDEX(GLAPS컨테이너배차관리!$U:$U,$B19)),FIND("/",IF(INDEX(GLAPS컨테이너배차관리!$U:$U,$B19)="","",INDEX(GLAPS컨테이너배차관리!$U:$U,$B19))&amp;"/")-1))</f>
        <v/>
      </c>
      <c r="J19" t="str">
        <f>IF($B19="","",IF(IF(INDEX(GLAPS컨테이너배차관리!$O:$O,$B19)="","",INDEX(GLAPS컨테이너배차관리!$O:$O,$B19))="EMC","EMA",IFERROR(INDEX(GLAPS정리!$A$2:$A$50,MATCH(IF(INDEX(GLAPS컨테이너배차관리!$O:$O,$B19)="","",INDEX(GLAPS컨테이너배차관리!$O:$O,$B19)),GLAPS정리!$D$2:$D$50,0)),IF(INDEX(GLAPS컨테이너배차관리!$O:$O,$B19)="","",INDEX(GLAPS컨테이너배차관리!$O:$O,$B19)))))</f>
        <v/>
      </c>
      <c r="K19" t="str">
        <f>IF($B19="","",IF(LEFT(IF(INDEX(GLAPS컨테이너배차관리!$Y:$Y,$B19)="","",INDEX(GLAPS컨테이너배차관리!$Y:$Y,$B19)),2)="22","20 Feet",IF(LEFT(IF(INDEX(GLAPS컨테이너배차관리!$Y:$Y,$B19)="","",INDEX(GLAPS컨테이너배차관리!$Y:$Y,$B19)),2)="42","40 Feet","40 Feet H")))</f>
        <v/>
      </c>
      <c r="L19" t="str">
        <f>IF($B19="","",IFERROR(INDEX(GLAPS정리!$BB$2:$BB$80,MATCH(IF(INDEX(GLAPS컨테이너배차관리!$BQ:$BQ,$B19)="","",INDEX(GLAPS컨테이너배차관리!$BQ:$BQ,$B19)),GLAPS정리!$BC$2:$BC$80,0)),IF(INDEX(GLAPS컨테이너배차관리!$BQ:$BQ,$B19)="","",INDEX(GLAPS컨테이너배차관리!$BQ:$BQ,$B19))))</f>
        <v/>
      </c>
      <c r="M19" t="str">
        <f>IF($B19="","",IFERROR(INDEX(GLAPS정리!$V$3:$V$180,MATCH(IF(INDEX(GLAPS컨테이너배차관리!$S:$S,$B19)="","",INDEX(GLAPS컨테이너배차관리!$S:$S,$B19)),GLAPS정리!$W$3:$W$180,0)),IF(INDEX(GLAPS컨테이너배차관리!$S:$S,$B19)="","",INDEX(GLAPS컨테이너배차관리!$S:$S,$B19))))</f>
        <v/>
      </c>
      <c r="N19" t="str">
        <f>IF($B19="","",IF(IF(INDEX(GLAPS컨테이너배차관리!$DF:$DF,$B19)="","",INDEX(GLAPS컨테이너배차관리!$DF:$DF,$B19))&lt;&gt;"",IF(INDEX(GLAPS컨테이너배차관리!$DF:$DF,$B19)="","",INDEX(GLAPS컨테이너배차관리!$DF:$DF,$B19)),IF(IF(INDEX(GLAPS컨테이너배차관리!$DG:$DG,$B19)="","",INDEX(GLAPS컨테이너배차관리!$DG:$DG,$B19))&lt;&gt;"",IF(INDEX(GLAPS컨테이너배차관리!$DG:$DG,$B19)="","",INDEX(GLAPS컨테이너배차관리!$DG:$DG,$B19)),"")))</f>
        <v/>
      </c>
      <c r="O19" t="str">
        <f>IF($B19="","",IF(INDEX(GLAPS컨테이너배차관리!$AB:$AB,$B19)="","",INDEX(GLAPS컨테이너배차관리!$AB:$AB,$B19)))</f>
        <v/>
      </c>
      <c r="P19" t="str">
        <f>IF($B19="","",IF(IF(INDEX(GLAPS컨테이너배차관리!$CP:$CP,$B19)="","",INDEX(GLAPS컨테이너배차관리!$CP:$CP,$B19))="","",IFERROR(INDEX(GLAPS정리!$BH$2:$BH$101,MATCH(IF(INDEX(GLAPS컨테이너배차관리!$CP:$CP,$B19)="","",INDEX(GLAPS컨테이너배차관리!$CP:$CP,$B19)),GLAPS정리!$BI$2:$BI$101,0)),IF(INDEX(GLAPS컨테이너배차관리!$CP:$CP,$B19)="","",INDEX(GLAPS컨테이너배차관리!$CP:$CP,$B19)))))</f>
        <v/>
      </c>
      <c r="Q19" t="str">
        <f>IF($B19="","",IF(AND(IF(INDEX(GLAPS컨테이너배차관리!$AK:$AK,$B19)="","",INDEX(GLAPS컨테이너배차관리!$AK:$AK,$B19))="Y",IF(INDEX(GLAPS컨테이너배차관리!$AI:$AI,$B19)="","",INDEX(GLAPS컨테이너배차관리!$AI:$AI,$B19))="Y"),"위험물리퍼",IF(IF(INDEX(GLAPS컨테이너배차관리!$AK:$AK,$B19)="","",INDEX(GLAPS컨테이너배차관리!$AK:$AK,$B19))="Y","위험물",IF(IF(INDEX(GLAPS컨테이너배차관리!$AI:$AI,$B19)="","",INDEX(GLAPS컨테이너배차관리!$AI:$AI,$B19))="Y","리퍼",""))))</f>
        <v/>
      </c>
      <c r="R19" t="str">
        <f>IF($B19="","",IF(LEFT(IF(INDEX(GLAPS컨테이너배차관리!$Y:$Y,$B19)="","",INDEX(GLAPS컨테이너배차관리!$Y:$Y,$B19)),2)="22",1,""))</f>
        <v/>
      </c>
      <c r="S19" t="str">
        <f>IF($B19="","",IF(LEFT(IF(INDEX(GLAPS컨테이너배차관리!$Y:$Y,$B19)="","",INDEX(GLAPS컨테이너배차관리!$Y:$Y,$B19)),2)="42",1,""))</f>
        <v/>
      </c>
      <c r="T19" t="str">
        <f>IF($B19="","",IF(LEFT(IF(INDEX(GLAPS컨테이너배차관리!$Y:$Y,$B19)="","",INDEX(GLAPS컨테이너배차관리!$Y:$Y,$B19)),2)="45",1,""))</f>
        <v/>
      </c>
      <c r="U19" t="str">
        <f>IF($B19="","",IF(INDEX(GLAPS컨테이너배차관리!$X:$X,$B19)="","",INDEX(GLAPS컨테이너배차관리!$X:$X,$B19)))</f>
        <v/>
      </c>
      <c r="V19" t="str">
        <f>IF($B19="","",IF(INDEX(GLAPS컨테이너배차관리!$Z:$Z,$B19)="","",INDEX(GLAPS컨테이너배차관리!$Z:$Z,$B19)))</f>
        <v/>
      </c>
      <c r="W19" t="str">
        <f>IF($B19="","",IF(IF(INDEX(GLAPS컨테이너배차관리!$DI:$DI,$B19)="","",INDEX(GLAPS컨테이너배차관리!$DI:$DI,$B19))&lt;&gt;"",IF(INDEX(GLAPS컨테이너배차관리!$DI:$DI,$B19)="","",INDEX(GLAPS컨테이너배차관리!$DI:$DI,$B19)),IF(IF(INDEX(GLAPS컨테이너배차관리!$DJ:$DJ,$B19)="","",INDEX(GLAPS컨테이너배차관리!$DJ:$DJ,$B19))&lt;&gt;"",IF(INDEX(GLAPS컨테이너배차관리!$DJ:$DJ,$B19)="","",INDEX(GLAPS컨테이너배차관리!$DJ:$DJ,$B19)),IF(IF(INDEX(GLAPS컨테이너배차관리!$DK:$DK,$B19)="","",INDEX(GLAPS컨테이너배차관리!$DK:$DK,$B19))&lt;&gt;"",IF(INDEX(GLAPS컨테이너배차관리!$DK:$DK,$B19)="","",INDEX(GLAPS컨테이너배차관리!$DK:$DK,$B19)),IF(IF(INDEX(GLAPS컨테이너배차관리!$DL:$DL,$B19)="","",INDEX(GLAPS컨테이너배차관리!$DL:$DL,$B19))&lt;&gt;"",IF(INDEX(GLAPS컨테이너배차관리!$DL:$DL,$B19)="","",INDEX(GLAPS컨테이너배차관리!$DL:$DL,$B19)),IF(IF(INDEX(GLAPS컨테이너배차관리!$DM:$DM,$B19)="","",INDEX(GLAPS컨테이너배차관리!$DM:$DM,$B19))&lt;&gt;"",IF(INDEX(GLAPS컨테이너배차관리!$DM:$DM,$B19)="","",INDEX(GLAPS컨테이너배차관리!$DM:$DM,$B19)),""))))))</f>
        <v/>
      </c>
      <c r="X19" t="str">
        <f>IF($B19="","",IF(INDEX(GLAPS컨테이너배차관리!$F:$F,$B19)="","",INDEX(GLAPS컨테이너배차관리!$F:$F,$B19)))</f>
        <v/>
      </c>
      <c r="Y19" t="str">
        <f>IF($B19="","",IF(IF(INDEX(GLAPS컨테이너배차관리!$M:$M,$B19)="","",INDEX(GLAPS컨테이너배차관리!$M:$M,$B19))&lt;&gt;"",IF(INDEX(GLAPS컨테이너배차관리!$M:$M,$B19)="","",INDEX(GLAPS컨테이너배차관리!$M:$M,$B19)),IF(IF(INDEX(GLAPS컨테이너배차관리!$N:$N,$B19)="","",INDEX(GLAPS컨테이너배차관리!$N:$N,$B19))&lt;&gt;"",IF(INDEX(GLAPS컨테이너배차관리!$N:$N,$B19)="","",INDEX(GLAPS컨테이너배차관리!$N:$N,$B19)),"")))</f>
        <v/>
      </c>
      <c r="Z19" t="str">
        <f>IF($B19="","",IF(IF(INDEX(GLAPS컨테이너배차관리!$CU:$CU,$B19)="","",INDEX(GLAPS컨테이너배차관리!$CU:$CU,$B19))="","",IFERROR(INT(IF(INDEX(GLAPS컨테이너배차관리!$CU:$CU,$B19)="","",INDEX(GLAPS컨테이너배차관리!$CU:$CU,$B19))),"")))</f>
        <v/>
      </c>
      <c r="AA19" t="str">
        <f>IF($B19="","",IF(AND(IF(INDEX(GLAPS컨테이너배차관리!$CL:$CL,$B19)="","",INDEX(GLAPS컨테이너배차관리!$CL:$CL,$B19))="",IF(INDEX(GLAPS컨테이너배차관리!$CM:$CM,$B19)="","",INDEX(GLAPS컨테이너배차관리!$CM:$CM,$B19))=""),"",IF(OR(IF(INDEX(GLAPS컨테이너배차관리!$CL:$CL,$B19)="","",INDEX(GLAPS컨테이너배차관리!$CL:$CL,$B19))="B000016649",ISNUMBER(SEARCH("B015",IF(INDEX(GLAPS컨테이너배차관리!$CM:$CM,$B19)="","",INDEX(GLAPS컨테이너배차관리!$CM:$CM,$B19)))),ISNUMBER(SEARCH("세방",IF(INDEX(GLAPS컨테이너배차관리!$CM:$CM,$B19)="","",INDEX(GLAPS컨테이너배차관리!$CM:$CM,$B19)))),ISNUMBER(SEARCH("SB",IF(INDEX(GLAPS컨테이너배차관리!$CM:$CM,$B19)="","",INDEX(GLAPS컨테이너배차관리!$CM:$CM,$B19))))),"세방","")))</f>
        <v/>
      </c>
      <c r="AB19" t="str">
        <f>IF($B19="","",IF(IF(INDEX(GLAPS컨테이너배차관리!$CM:$CM,$B19)="","",INDEX(GLAPS컨테이너배차관리!$CM:$CM,$B19))="","",IF(ISNUMBER(SEARCH("이지스두동",IF(INDEX(GLAPS컨테이너배차관리!$CM:$CM,$B19)="","",INDEX(GLAPS컨테이너배차관리!$CM:$CM,$B19)))),"이지스두동",IF(ISNUMBER(SEARCH("이지스녹산",IF(INDEX(GLAPS컨테이너배차관리!$CM:$CM,$B19)="","",INDEX(GLAPS컨테이너배차관리!$CM:$CM,$B19)))),"이지스녹산",IF(ISNUMBER(SEARCH("천우",IF(INDEX(GLAPS컨테이너배차관리!$CM:$CM,$B19)="","",INDEX(GLAPS컨테이너배차관리!$CM:$CM,$B19)))),"천우",IF(OR(ISNUMBER(SEARCH("청암",IF(INDEX(GLAPS컨테이너배차관리!$CM:$CM,$B19)="","",INDEX(GLAPS컨테이너배차관리!$CM:$CM,$B19)))),ISNUMBER(SEARCH("SB청암",IF(INDEX(GLAPS컨테이너배차관리!$CM:$CM,$B19)="","",INDEX(GLAPS컨테이너배차관리!$CM:$CM,$B19))))),"청암신항",IF(INDEX(GLAPS컨테이너배차관리!$CM:$CM,$B19)="","",INDEX(GLAPS컨테이너배차관리!$CM:$CM,$B19))))))))</f>
        <v/>
      </c>
    </row>
    <row r="20" spans="1:28">
      <c r="A20">
        <v>19</v>
      </c>
      <c r="B20" t="str">
        <f>IFERROR(_xlfn.AGGREGATE(15,6,ROW(GLAPS컨테이너배차관리!$X$2:$X$20000)/(GLAPS컨테이너배차관리!$X$2:$X$20000&lt;&gt;""),A20),"")</f>
        <v/>
      </c>
      <c r="C20" t="str">
        <f>IF($B20="","",INT(IF(INDEX(GLAPS컨테이너배차관리!$K:$K,$B20)="","",INDEX(GLAPS컨테이너배차관리!$K:$K,$B20))))</f>
        <v/>
      </c>
      <c r="D20" t="str">
        <f>IF($B20="","",IF(ISNUMBER(SEARCH("이엘에스",IF(INDEX(GLAPS컨테이너배차관리!$AZ:$AZ,$B20)="","",INDEX(GLAPS컨테이너배차관리!$AZ:$AZ,$B20)))),"ELS솔루션",IF(INDEX(GLAPS컨테이너배차관리!$AZ:$AZ,$B20)="","",INDEX(GLAPS컨테이너배차관리!$AZ:$AZ,$B20))))</f>
        <v/>
      </c>
      <c r="E20" t="str">
        <f>IF($B20="","",IF(INDEX(GLAPS컨테이너배차관리!$L:$L,$B20)="","",INDEX(GLAPS컨테이너배차관리!$L:$L,$B20)))</f>
        <v/>
      </c>
      <c r="F20" t="str">
        <f>IF($B20="","",IF(HOUR(IF(INDEX(GLAPS컨테이너배차관리!$L:$L,$B20)="","",INDEX(GLAPS컨테이너배차관리!$L:$L,$B20)))&lt;12,"오전",IF(HOUR(IF(INDEX(GLAPS컨테이너배차관리!$L:$L,$B20)="","",INDEX(GLAPS컨테이너배차관리!$L:$L,$B20)))&lt;18,"오후","잔업")))</f>
        <v/>
      </c>
      <c r="G20" t="str">
        <f>IF($B20="","",IFERROR(INDEX(GLAPS정리!$G$3:$G$264,MATCH(IF(INDEX(GLAPS컨테이너배차관리!$BY:$BY,$B20)="","",INDEX(GLAPS컨테이너배차관리!$BY:$BY,$B20)),GLAPS정리!$H$3:$H$264,0)),TRIM(SUBSTITUTE(SUBSTITUTE(SUBSTITUTE(SUBSTITUTE(SUBSTITUTE(IF(INDEX(GLAPS컨테이너배차관리!$T:$T,$B20)="","",INDEX(GLAPS컨테이너배차관리!$T:$T,$B20)),"[GA]",""),"[GB]",""),"[GC]",""),"[KC]",""),"[GS]",""))))</f>
        <v/>
      </c>
      <c r="H20" t="str">
        <f>IF($B20="","",IFERROR(VLOOKUP(IF(INDEX(GLAPS컨테이너배차관리!$BY:$BY,$B20)="","",INDEX(GLAPS컨테이너배차관리!$BY:$BY,$B20)),GLAPS정리!$BT$3:$BV$200,3,0),""))</f>
        <v/>
      </c>
      <c r="I20" t="str">
        <f>IF($B20="","",LEFT(IF(INDEX(GLAPS컨테이너배차관리!$U:$U,$B20)="","",INDEX(GLAPS컨테이너배차관리!$U:$U,$B20)),FIND("/",IF(INDEX(GLAPS컨테이너배차관리!$U:$U,$B20)="","",INDEX(GLAPS컨테이너배차관리!$U:$U,$B20))&amp;"/")-1))</f>
        <v/>
      </c>
      <c r="J20" t="str">
        <f>IF($B20="","",IF(IF(INDEX(GLAPS컨테이너배차관리!$O:$O,$B20)="","",INDEX(GLAPS컨테이너배차관리!$O:$O,$B20))="EMC","EMA",IFERROR(INDEX(GLAPS정리!$A$2:$A$50,MATCH(IF(INDEX(GLAPS컨테이너배차관리!$O:$O,$B20)="","",INDEX(GLAPS컨테이너배차관리!$O:$O,$B20)),GLAPS정리!$D$2:$D$50,0)),IF(INDEX(GLAPS컨테이너배차관리!$O:$O,$B20)="","",INDEX(GLAPS컨테이너배차관리!$O:$O,$B20)))))</f>
        <v/>
      </c>
      <c r="K20" t="str">
        <f>IF($B20="","",IF(LEFT(IF(INDEX(GLAPS컨테이너배차관리!$Y:$Y,$B20)="","",INDEX(GLAPS컨테이너배차관리!$Y:$Y,$B20)),2)="22","20 Feet",IF(LEFT(IF(INDEX(GLAPS컨테이너배차관리!$Y:$Y,$B20)="","",INDEX(GLAPS컨테이너배차관리!$Y:$Y,$B20)),2)="42","40 Feet","40 Feet H")))</f>
        <v/>
      </c>
      <c r="L20" t="str">
        <f>IF($B20="","",IFERROR(INDEX(GLAPS정리!$BB$2:$BB$80,MATCH(IF(INDEX(GLAPS컨테이너배차관리!$BQ:$BQ,$B20)="","",INDEX(GLAPS컨테이너배차관리!$BQ:$BQ,$B20)),GLAPS정리!$BC$2:$BC$80,0)),IF(INDEX(GLAPS컨테이너배차관리!$BQ:$BQ,$B20)="","",INDEX(GLAPS컨테이너배차관리!$BQ:$BQ,$B20))))</f>
        <v/>
      </c>
      <c r="M20" t="str">
        <f>IF($B20="","",IFERROR(INDEX(GLAPS정리!$V$3:$V$180,MATCH(IF(INDEX(GLAPS컨테이너배차관리!$S:$S,$B20)="","",INDEX(GLAPS컨테이너배차관리!$S:$S,$B20)),GLAPS정리!$W$3:$W$180,0)),IF(INDEX(GLAPS컨테이너배차관리!$S:$S,$B20)="","",INDEX(GLAPS컨테이너배차관리!$S:$S,$B20))))</f>
        <v/>
      </c>
      <c r="N20" t="str">
        <f>IF($B20="","",IF(IF(INDEX(GLAPS컨테이너배차관리!$DF:$DF,$B20)="","",INDEX(GLAPS컨테이너배차관리!$DF:$DF,$B20))&lt;&gt;"",IF(INDEX(GLAPS컨테이너배차관리!$DF:$DF,$B20)="","",INDEX(GLAPS컨테이너배차관리!$DF:$DF,$B20)),IF(IF(INDEX(GLAPS컨테이너배차관리!$DG:$DG,$B20)="","",INDEX(GLAPS컨테이너배차관리!$DG:$DG,$B20))&lt;&gt;"",IF(INDEX(GLAPS컨테이너배차관리!$DG:$DG,$B20)="","",INDEX(GLAPS컨테이너배차관리!$DG:$DG,$B20)),"")))</f>
        <v/>
      </c>
      <c r="O20" t="str">
        <f>IF($B20="","",IF(INDEX(GLAPS컨테이너배차관리!$AB:$AB,$B20)="","",INDEX(GLAPS컨테이너배차관리!$AB:$AB,$B20)))</f>
        <v/>
      </c>
      <c r="P20" t="str">
        <f>IF($B20="","",IF(IF(INDEX(GLAPS컨테이너배차관리!$CP:$CP,$B20)="","",INDEX(GLAPS컨테이너배차관리!$CP:$CP,$B20))="","",IFERROR(INDEX(GLAPS정리!$BH$2:$BH$101,MATCH(IF(INDEX(GLAPS컨테이너배차관리!$CP:$CP,$B20)="","",INDEX(GLAPS컨테이너배차관리!$CP:$CP,$B20)),GLAPS정리!$BI$2:$BI$101,0)),IF(INDEX(GLAPS컨테이너배차관리!$CP:$CP,$B20)="","",INDEX(GLAPS컨테이너배차관리!$CP:$CP,$B20)))))</f>
        <v/>
      </c>
      <c r="Q20" t="str">
        <f>IF($B20="","",IF(AND(IF(INDEX(GLAPS컨테이너배차관리!$AK:$AK,$B20)="","",INDEX(GLAPS컨테이너배차관리!$AK:$AK,$B20))="Y",IF(INDEX(GLAPS컨테이너배차관리!$AI:$AI,$B20)="","",INDEX(GLAPS컨테이너배차관리!$AI:$AI,$B20))="Y"),"위험물리퍼",IF(IF(INDEX(GLAPS컨테이너배차관리!$AK:$AK,$B20)="","",INDEX(GLAPS컨테이너배차관리!$AK:$AK,$B20))="Y","위험물",IF(IF(INDEX(GLAPS컨테이너배차관리!$AI:$AI,$B20)="","",INDEX(GLAPS컨테이너배차관리!$AI:$AI,$B20))="Y","리퍼",""))))</f>
        <v/>
      </c>
      <c r="R20" t="str">
        <f>IF($B20="","",IF(LEFT(IF(INDEX(GLAPS컨테이너배차관리!$Y:$Y,$B20)="","",INDEX(GLAPS컨테이너배차관리!$Y:$Y,$B20)),2)="22",1,""))</f>
        <v/>
      </c>
      <c r="S20" t="str">
        <f>IF($B20="","",IF(LEFT(IF(INDEX(GLAPS컨테이너배차관리!$Y:$Y,$B20)="","",INDEX(GLAPS컨테이너배차관리!$Y:$Y,$B20)),2)="42",1,""))</f>
        <v/>
      </c>
      <c r="T20" t="str">
        <f>IF($B20="","",IF(LEFT(IF(INDEX(GLAPS컨테이너배차관리!$Y:$Y,$B20)="","",INDEX(GLAPS컨테이너배차관리!$Y:$Y,$B20)),2)="45",1,""))</f>
        <v/>
      </c>
      <c r="U20" t="str">
        <f>IF($B20="","",IF(INDEX(GLAPS컨테이너배차관리!$X:$X,$B20)="","",INDEX(GLAPS컨테이너배차관리!$X:$X,$B20)))</f>
        <v/>
      </c>
      <c r="V20" t="str">
        <f>IF($B20="","",IF(INDEX(GLAPS컨테이너배차관리!$Z:$Z,$B20)="","",INDEX(GLAPS컨테이너배차관리!$Z:$Z,$B20)))</f>
        <v/>
      </c>
      <c r="W20" t="str">
        <f>IF($B20="","",IF(IF(INDEX(GLAPS컨테이너배차관리!$DI:$DI,$B20)="","",INDEX(GLAPS컨테이너배차관리!$DI:$DI,$B20))&lt;&gt;"",IF(INDEX(GLAPS컨테이너배차관리!$DI:$DI,$B20)="","",INDEX(GLAPS컨테이너배차관리!$DI:$DI,$B20)),IF(IF(INDEX(GLAPS컨테이너배차관리!$DJ:$DJ,$B20)="","",INDEX(GLAPS컨테이너배차관리!$DJ:$DJ,$B20))&lt;&gt;"",IF(INDEX(GLAPS컨테이너배차관리!$DJ:$DJ,$B20)="","",INDEX(GLAPS컨테이너배차관리!$DJ:$DJ,$B20)),IF(IF(INDEX(GLAPS컨테이너배차관리!$DK:$DK,$B20)="","",INDEX(GLAPS컨테이너배차관리!$DK:$DK,$B20))&lt;&gt;"",IF(INDEX(GLAPS컨테이너배차관리!$DK:$DK,$B20)="","",INDEX(GLAPS컨테이너배차관리!$DK:$DK,$B20)),IF(IF(INDEX(GLAPS컨테이너배차관리!$DL:$DL,$B20)="","",INDEX(GLAPS컨테이너배차관리!$DL:$DL,$B20))&lt;&gt;"",IF(INDEX(GLAPS컨테이너배차관리!$DL:$DL,$B20)="","",INDEX(GLAPS컨테이너배차관리!$DL:$DL,$B20)),IF(IF(INDEX(GLAPS컨테이너배차관리!$DM:$DM,$B20)="","",INDEX(GLAPS컨테이너배차관리!$DM:$DM,$B20))&lt;&gt;"",IF(INDEX(GLAPS컨테이너배차관리!$DM:$DM,$B20)="","",INDEX(GLAPS컨테이너배차관리!$DM:$DM,$B20)),""))))))</f>
        <v/>
      </c>
      <c r="X20" t="str">
        <f>IF($B20="","",IF(INDEX(GLAPS컨테이너배차관리!$F:$F,$B20)="","",INDEX(GLAPS컨테이너배차관리!$F:$F,$B20)))</f>
        <v/>
      </c>
      <c r="Y20" t="str">
        <f>IF($B20="","",IF(IF(INDEX(GLAPS컨테이너배차관리!$M:$M,$B20)="","",INDEX(GLAPS컨테이너배차관리!$M:$M,$B20))&lt;&gt;"",IF(INDEX(GLAPS컨테이너배차관리!$M:$M,$B20)="","",INDEX(GLAPS컨테이너배차관리!$M:$M,$B20)),IF(IF(INDEX(GLAPS컨테이너배차관리!$N:$N,$B20)="","",INDEX(GLAPS컨테이너배차관리!$N:$N,$B20))&lt;&gt;"",IF(INDEX(GLAPS컨테이너배차관리!$N:$N,$B20)="","",INDEX(GLAPS컨테이너배차관리!$N:$N,$B20)),"")))</f>
        <v/>
      </c>
      <c r="Z20" t="str">
        <f>IF($B20="","",IF(IF(INDEX(GLAPS컨테이너배차관리!$CU:$CU,$B20)="","",INDEX(GLAPS컨테이너배차관리!$CU:$CU,$B20))="","",IFERROR(INT(IF(INDEX(GLAPS컨테이너배차관리!$CU:$CU,$B20)="","",INDEX(GLAPS컨테이너배차관리!$CU:$CU,$B20))),"")))</f>
        <v/>
      </c>
      <c r="AA20" t="str">
        <f>IF($B20="","",IF(AND(IF(INDEX(GLAPS컨테이너배차관리!$CL:$CL,$B20)="","",INDEX(GLAPS컨테이너배차관리!$CL:$CL,$B20))="",IF(INDEX(GLAPS컨테이너배차관리!$CM:$CM,$B20)="","",INDEX(GLAPS컨테이너배차관리!$CM:$CM,$B20))=""),"",IF(OR(IF(INDEX(GLAPS컨테이너배차관리!$CL:$CL,$B20)="","",INDEX(GLAPS컨테이너배차관리!$CL:$CL,$B20))="B000016649",ISNUMBER(SEARCH("B015",IF(INDEX(GLAPS컨테이너배차관리!$CM:$CM,$B20)="","",INDEX(GLAPS컨테이너배차관리!$CM:$CM,$B20)))),ISNUMBER(SEARCH("세방",IF(INDEX(GLAPS컨테이너배차관리!$CM:$CM,$B20)="","",INDEX(GLAPS컨테이너배차관리!$CM:$CM,$B20)))),ISNUMBER(SEARCH("SB",IF(INDEX(GLAPS컨테이너배차관리!$CM:$CM,$B20)="","",INDEX(GLAPS컨테이너배차관리!$CM:$CM,$B20))))),"세방","")))</f>
        <v/>
      </c>
      <c r="AB20" t="str">
        <f>IF($B20="","",IF(IF(INDEX(GLAPS컨테이너배차관리!$CM:$CM,$B20)="","",INDEX(GLAPS컨테이너배차관리!$CM:$CM,$B20))="","",IF(ISNUMBER(SEARCH("이지스두동",IF(INDEX(GLAPS컨테이너배차관리!$CM:$CM,$B20)="","",INDEX(GLAPS컨테이너배차관리!$CM:$CM,$B20)))),"이지스두동",IF(ISNUMBER(SEARCH("이지스녹산",IF(INDEX(GLAPS컨테이너배차관리!$CM:$CM,$B20)="","",INDEX(GLAPS컨테이너배차관리!$CM:$CM,$B20)))),"이지스녹산",IF(ISNUMBER(SEARCH("천우",IF(INDEX(GLAPS컨테이너배차관리!$CM:$CM,$B20)="","",INDEX(GLAPS컨테이너배차관리!$CM:$CM,$B20)))),"천우",IF(OR(ISNUMBER(SEARCH("청암",IF(INDEX(GLAPS컨테이너배차관리!$CM:$CM,$B20)="","",INDEX(GLAPS컨테이너배차관리!$CM:$CM,$B20)))),ISNUMBER(SEARCH("SB청암",IF(INDEX(GLAPS컨테이너배차관리!$CM:$CM,$B20)="","",INDEX(GLAPS컨테이너배차관리!$CM:$CM,$B20))))),"청암신항",IF(INDEX(GLAPS컨테이너배차관리!$CM:$CM,$B20)="","",INDEX(GLAPS컨테이너배차관리!$CM:$CM,$B20))))))))</f>
        <v/>
      </c>
    </row>
    <row r="21" spans="1:28">
      <c r="A21">
        <v>20</v>
      </c>
      <c r="B21" t="str">
        <f>IFERROR(_xlfn.AGGREGATE(15,6,ROW(GLAPS컨테이너배차관리!$X$2:$X$20000)/(GLAPS컨테이너배차관리!$X$2:$X$20000&lt;&gt;""),A21),"")</f>
        <v/>
      </c>
      <c r="C21" t="str">
        <f>IF($B21="","",INT(IF(INDEX(GLAPS컨테이너배차관리!$K:$K,$B21)="","",INDEX(GLAPS컨테이너배차관리!$K:$K,$B21))))</f>
        <v/>
      </c>
      <c r="D21" t="str">
        <f>IF($B21="","",IF(ISNUMBER(SEARCH("이엘에스",IF(INDEX(GLAPS컨테이너배차관리!$AZ:$AZ,$B21)="","",INDEX(GLAPS컨테이너배차관리!$AZ:$AZ,$B21)))),"ELS솔루션",IF(INDEX(GLAPS컨테이너배차관리!$AZ:$AZ,$B21)="","",INDEX(GLAPS컨테이너배차관리!$AZ:$AZ,$B21))))</f>
        <v/>
      </c>
      <c r="E21" t="str">
        <f>IF($B21="","",IF(INDEX(GLAPS컨테이너배차관리!$L:$L,$B21)="","",INDEX(GLAPS컨테이너배차관리!$L:$L,$B21)))</f>
        <v/>
      </c>
      <c r="F21" t="str">
        <f>IF($B21="","",IF(HOUR(IF(INDEX(GLAPS컨테이너배차관리!$L:$L,$B21)="","",INDEX(GLAPS컨테이너배차관리!$L:$L,$B21)))&lt;12,"오전",IF(HOUR(IF(INDEX(GLAPS컨테이너배차관리!$L:$L,$B21)="","",INDEX(GLAPS컨테이너배차관리!$L:$L,$B21)))&lt;18,"오후","잔업")))</f>
        <v/>
      </c>
      <c r="G21" t="str">
        <f>IF($B21="","",IFERROR(INDEX(GLAPS정리!$G$3:$G$264,MATCH(IF(INDEX(GLAPS컨테이너배차관리!$BY:$BY,$B21)="","",INDEX(GLAPS컨테이너배차관리!$BY:$BY,$B21)),GLAPS정리!$H$3:$H$264,0)),TRIM(SUBSTITUTE(SUBSTITUTE(SUBSTITUTE(SUBSTITUTE(SUBSTITUTE(IF(INDEX(GLAPS컨테이너배차관리!$T:$T,$B21)="","",INDEX(GLAPS컨테이너배차관리!$T:$T,$B21)),"[GA]",""),"[GB]",""),"[GC]",""),"[KC]",""),"[GS]",""))))</f>
        <v/>
      </c>
      <c r="H21" t="str">
        <f>IF($B21="","",IFERROR(VLOOKUP(IF(INDEX(GLAPS컨테이너배차관리!$BY:$BY,$B21)="","",INDEX(GLAPS컨테이너배차관리!$BY:$BY,$B21)),GLAPS정리!$BT$3:$BV$200,3,0),""))</f>
        <v/>
      </c>
      <c r="I21" t="str">
        <f>IF($B21="","",LEFT(IF(INDEX(GLAPS컨테이너배차관리!$U:$U,$B21)="","",INDEX(GLAPS컨테이너배차관리!$U:$U,$B21)),FIND("/",IF(INDEX(GLAPS컨테이너배차관리!$U:$U,$B21)="","",INDEX(GLAPS컨테이너배차관리!$U:$U,$B21))&amp;"/")-1))</f>
        <v/>
      </c>
      <c r="J21" t="str">
        <f>IF($B21="","",IF(IF(INDEX(GLAPS컨테이너배차관리!$O:$O,$B21)="","",INDEX(GLAPS컨테이너배차관리!$O:$O,$B21))="EMC","EMA",IFERROR(INDEX(GLAPS정리!$A$2:$A$50,MATCH(IF(INDEX(GLAPS컨테이너배차관리!$O:$O,$B21)="","",INDEX(GLAPS컨테이너배차관리!$O:$O,$B21)),GLAPS정리!$D$2:$D$50,0)),IF(INDEX(GLAPS컨테이너배차관리!$O:$O,$B21)="","",INDEX(GLAPS컨테이너배차관리!$O:$O,$B21)))))</f>
        <v/>
      </c>
      <c r="K21" t="str">
        <f>IF($B21="","",IF(LEFT(IF(INDEX(GLAPS컨테이너배차관리!$Y:$Y,$B21)="","",INDEX(GLAPS컨테이너배차관리!$Y:$Y,$B21)),2)="22","20 Feet",IF(LEFT(IF(INDEX(GLAPS컨테이너배차관리!$Y:$Y,$B21)="","",INDEX(GLAPS컨테이너배차관리!$Y:$Y,$B21)),2)="42","40 Feet","40 Feet H")))</f>
        <v/>
      </c>
      <c r="L21" t="str">
        <f>IF($B21="","",IFERROR(INDEX(GLAPS정리!$BB$2:$BB$80,MATCH(IF(INDEX(GLAPS컨테이너배차관리!$BQ:$BQ,$B21)="","",INDEX(GLAPS컨테이너배차관리!$BQ:$BQ,$B21)),GLAPS정리!$BC$2:$BC$80,0)),IF(INDEX(GLAPS컨테이너배차관리!$BQ:$BQ,$B21)="","",INDEX(GLAPS컨테이너배차관리!$BQ:$BQ,$B21))))</f>
        <v/>
      </c>
      <c r="M21" t="str">
        <f>IF($B21="","",IFERROR(INDEX(GLAPS정리!$V$3:$V$180,MATCH(IF(INDEX(GLAPS컨테이너배차관리!$S:$S,$B21)="","",INDEX(GLAPS컨테이너배차관리!$S:$S,$B21)),GLAPS정리!$W$3:$W$180,0)),IF(INDEX(GLAPS컨테이너배차관리!$S:$S,$B21)="","",INDEX(GLAPS컨테이너배차관리!$S:$S,$B21))))</f>
        <v/>
      </c>
      <c r="N21" t="str">
        <f>IF($B21="","",IF(IF(INDEX(GLAPS컨테이너배차관리!$DF:$DF,$B21)="","",INDEX(GLAPS컨테이너배차관리!$DF:$DF,$B21))&lt;&gt;"",IF(INDEX(GLAPS컨테이너배차관리!$DF:$DF,$B21)="","",INDEX(GLAPS컨테이너배차관리!$DF:$DF,$B21)),IF(IF(INDEX(GLAPS컨테이너배차관리!$DG:$DG,$B21)="","",INDEX(GLAPS컨테이너배차관리!$DG:$DG,$B21))&lt;&gt;"",IF(INDEX(GLAPS컨테이너배차관리!$DG:$DG,$B21)="","",INDEX(GLAPS컨테이너배차관리!$DG:$DG,$B21)),"")))</f>
        <v/>
      </c>
      <c r="O21" t="str">
        <f>IF($B21="","",IF(INDEX(GLAPS컨테이너배차관리!$AB:$AB,$B21)="","",INDEX(GLAPS컨테이너배차관리!$AB:$AB,$B21)))</f>
        <v/>
      </c>
      <c r="P21" t="str">
        <f>IF($B21="","",IF(IF(INDEX(GLAPS컨테이너배차관리!$CP:$CP,$B21)="","",INDEX(GLAPS컨테이너배차관리!$CP:$CP,$B21))="","",IFERROR(INDEX(GLAPS정리!$BH$2:$BH$101,MATCH(IF(INDEX(GLAPS컨테이너배차관리!$CP:$CP,$B21)="","",INDEX(GLAPS컨테이너배차관리!$CP:$CP,$B21)),GLAPS정리!$BI$2:$BI$101,0)),IF(INDEX(GLAPS컨테이너배차관리!$CP:$CP,$B21)="","",INDEX(GLAPS컨테이너배차관리!$CP:$CP,$B21)))))</f>
        <v/>
      </c>
      <c r="Q21" t="str">
        <f>IF($B21="","",IF(AND(IF(INDEX(GLAPS컨테이너배차관리!$AK:$AK,$B21)="","",INDEX(GLAPS컨테이너배차관리!$AK:$AK,$B21))="Y",IF(INDEX(GLAPS컨테이너배차관리!$AI:$AI,$B21)="","",INDEX(GLAPS컨테이너배차관리!$AI:$AI,$B21))="Y"),"위험물리퍼",IF(IF(INDEX(GLAPS컨테이너배차관리!$AK:$AK,$B21)="","",INDEX(GLAPS컨테이너배차관리!$AK:$AK,$B21))="Y","위험물",IF(IF(INDEX(GLAPS컨테이너배차관리!$AI:$AI,$B21)="","",INDEX(GLAPS컨테이너배차관리!$AI:$AI,$B21))="Y","리퍼",""))))</f>
        <v/>
      </c>
      <c r="R21" t="str">
        <f>IF($B21="","",IF(LEFT(IF(INDEX(GLAPS컨테이너배차관리!$Y:$Y,$B21)="","",INDEX(GLAPS컨테이너배차관리!$Y:$Y,$B21)),2)="22",1,""))</f>
        <v/>
      </c>
      <c r="S21" t="str">
        <f>IF($B21="","",IF(LEFT(IF(INDEX(GLAPS컨테이너배차관리!$Y:$Y,$B21)="","",INDEX(GLAPS컨테이너배차관리!$Y:$Y,$B21)),2)="42",1,""))</f>
        <v/>
      </c>
      <c r="T21" t="str">
        <f>IF($B21="","",IF(LEFT(IF(INDEX(GLAPS컨테이너배차관리!$Y:$Y,$B21)="","",INDEX(GLAPS컨테이너배차관리!$Y:$Y,$B21)),2)="45",1,""))</f>
        <v/>
      </c>
      <c r="U21" t="str">
        <f>IF($B21="","",IF(INDEX(GLAPS컨테이너배차관리!$X:$X,$B21)="","",INDEX(GLAPS컨테이너배차관리!$X:$X,$B21)))</f>
        <v/>
      </c>
      <c r="V21" t="str">
        <f>IF($B21="","",IF(INDEX(GLAPS컨테이너배차관리!$Z:$Z,$B21)="","",INDEX(GLAPS컨테이너배차관리!$Z:$Z,$B21)))</f>
        <v/>
      </c>
      <c r="W21" t="str">
        <f>IF($B21="","",IF(IF(INDEX(GLAPS컨테이너배차관리!$DI:$DI,$B21)="","",INDEX(GLAPS컨테이너배차관리!$DI:$DI,$B21))&lt;&gt;"",IF(INDEX(GLAPS컨테이너배차관리!$DI:$DI,$B21)="","",INDEX(GLAPS컨테이너배차관리!$DI:$DI,$B21)),IF(IF(INDEX(GLAPS컨테이너배차관리!$DJ:$DJ,$B21)="","",INDEX(GLAPS컨테이너배차관리!$DJ:$DJ,$B21))&lt;&gt;"",IF(INDEX(GLAPS컨테이너배차관리!$DJ:$DJ,$B21)="","",INDEX(GLAPS컨테이너배차관리!$DJ:$DJ,$B21)),IF(IF(INDEX(GLAPS컨테이너배차관리!$DK:$DK,$B21)="","",INDEX(GLAPS컨테이너배차관리!$DK:$DK,$B21))&lt;&gt;"",IF(INDEX(GLAPS컨테이너배차관리!$DK:$DK,$B21)="","",INDEX(GLAPS컨테이너배차관리!$DK:$DK,$B21)),IF(IF(INDEX(GLAPS컨테이너배차관리!$DL:$DL,$B21)="","",INDEX(GLAPS컨테이너배차관리!$DL:$DL,$B21))&lt;&gt;"",IF(INDEX(GLAPS컨테이너배차관리!$DL:$DL,$B21)="","",INDEX(GLAPS컨테이너배차관리!$DL:$DL,$B21)),IF(IF(INDEX(GLAPS컨테이너배차관리!$DM:$DM,$B21)="","",INDEX(GLAPS컨테이너배차관리!$DM:$DM,$B21))&lt;&gt;"",IF(INDEX(GLAPS컨테이너배차관리!$DM:$DM,$B21)="","",INDEX(GLAPS컨테이너배차관리!$DM:$DM,$B21)),""))))))</f>
        <v/>
      </c>
      <c r="X21" t="str">
        <f>IF($B21="","",IF(INDEX(GLAPS컨테이너배차관리!$F:$F,$B21)="","",INDEX(GLAPS컨테이너배차관리!$F:$F,$B21)))</f>
        <v/>
      </c>
      <c r="Y21" t="str">
        <f>IF($B21="","",IF(IF(INDEX(GLAPS컨테이너배차관리!$M:$M,$B21)="","",INDEX(GLAPS컨테이너배차관리!$M:$M,$B21))&lt;&gt;"",IF(INDEX(GLAPS컨테이너배차관리!$M:$M,$B21)="","",INDEX(GLAPS컨테이너배차관리!$M:$M,$B21)),IF(IF(INDEX(GLAPS컨테이너배차관리!$N:$N,$B21)="","",INDEX(GLAPS컨테이너배차관리!$N:$N,$B21))&lt;&gt;"",IF(INDEX(GLAPS컨테이너배차관리!$N:$N,$B21)="","",INDEX(GLAPS컨테이너배차관리!$N:$N,$B21)),"")))</f>
        <v/>
      </c>
      <c r="Z21" t="str">
        <f>IF($B21="","",IF(IF(INDEX(GLAPS컨테이너배차관리!$CU:$CU,$B21)="","",INDEX(GLAPS컨테이너배차관리!$CU:$CU,$B21))="","",IFERROR(INT(IF(INDEX(GLAPS컨테이너배차관리!$CU:$CU,$B21)="","",INDEX(GLAPS컨테이너배차관리!$CU:$CU,$B21))),"")))</f>
        <v/>
      </c>
      <c r="AA21" t="str">
        <f>IF($B21="","",IF(AND(IF(INDEX(GLAPS컨테이너배차관리!$CL:$CL,$B21)="","",INDEX(GLAPS컨테이너배차관리!$CL:$CL,$B21))="",IF(INDEX(GLAPS컨테이너배차관리!$CM:$CM,$B21)="","",INDEX(GLAPS컨테이너배차관리!$CM:$CM,$B21))=""),"",IF(OR(IF(INDEX(GLAPS컨테이너배차관리!$CL:$CL,$B21)="","",INDEX(GLAPS컨테이너배차관리!$CL:$CL,$B21))="B000016649",ISNUMBER(SEARCH("B015",IF(INDEX(GLAPS컨테이너배차관리!$CM:$CM,$B21)="","",INDEX(GLAPS컨테이너배차관리!$CM:$CM,$B21)))),ISNUMBER(SEARCH("세방",IF(INDEX(GLAPS컨테이너배차관리!$CM:$CM,$B21)="","",INDEX(GLAPS컨테이너배차관리!$CM:$CM,$B21)))),ISNUMBER(SEARCH("SB",IF(INDEX(GLAPS컨테이너배차관리!$CM:$CM,$B21)="","",INDEX(GLAPS컨테이너배차관리!$CM:$CM,$B21))))),"세방","")))</f>
        <v/>
      </c>
      <c r="AB21" t="str">
        <f>IF($B21="","",IF(IF(INDEX(GLAPS컨테이너배차관리!$CM:$CM,$B21)="","",INDEX(GLAPS컨테이너배차관리!$CM:$CM,$B21))="","",IF(ISNUMBER(SEARCH("이지스두동",IF(INDEX(GLAPS컨테이너배차관리!$CM:$CM,$B21)="","",INDEX(GLAPS컨테이너배차관리!$CM:$CM,$B21)))),"이지스두동",IF(ISNUMBER(SEARCH("이지스녹산",IF(INDEX(GLAPS컨테이너배차관리!$CM:$CM,$B21)="","",INDEX(GLAPS컨테이너배차관리!$CM:$CM,$B21)))),"이지스녹산",IF(ISNUMBER(SEARCH("천우",IF(INDEX(GLAPS컨테이너배차관리!$CM:$CM,$B21)="","",INDEX(GLAPS컨테이너배차관리!$CM:$CM,$B21)))),"천우",IF(OR(ISNUMBER(SEARCH("청암",IF(INDEX(GLAPS컨테이너배차관리!$CM:$CM,$B21)="","",INDEX(GLAPS컨테이너배차관리!$CM:$CM,$B21)))),ISNUMBER(SEARCH("SB청암",IF(INDEX(GLAPS컨테이너배차관리!$CM:$CM,$B21)="","",INDEX(GLAPS컨테이너배차관리!$CM:$CM,$B21))))),"청암신항",IF(INDEX(GLAPS컨테이너배차관리!$CM:$CM,$B21)="","",INDEX(GLAPS컨테이너배차관리!$CM:$CM,$B21))))))))</f>
        <v/>
      </c>
    </row>
    <row r="22" spans="1:28">
      <c r="A22">
        <v>21</v>
      </c>
      <c r="B22" t="str">
        <f>IFERROR(_xlfn.AGGREGATE(15,6,ROW(GLAPS컨테이너배차관리!$X$2:$X$20000)/(GLAPS컨테이너배차관리!$X$2:$X$20000&lt;&gt;""),A22),"")</f>
        <v/>
      </c>
      <c r="C22" t="str">
        <f>IF($B22="","",INT(IF(INDEX(GLAPS컨테이너배차관리!$K:$K,$B22)="","",INDEX(GLAPS컨테이너배차관리!$K:$K,$B22))))</f>
        <v/>
      </c>
      <c r="D22" t="str">
        <f>IF($B22="","",IF(ISNUMBER(SEARCH("이엘에스",IF(INDEX(GLAPS컨테이너배차관리!$AZ:$AZ,$B22)="","",INDEX(GLAPS컨테이너배차관리!$AZ:$AZ,$B22)))),"ELS솔루션",IF(INDEX(GLAPS컨테이너배차관리!$AZ:$AZ,$B22)="","",INDEX(GLAPS컨테이너배차관리!$AZ:$AZ,$B22))))</f>
        <v/>
      </c>
      <c r="E22" t="str">
        <f>IF($B22="","",IF(INDEX(GLAPS컨테이너배차관리!$L:$L,$B22)="","",INDEX(GLAPS컨테이너배차관리!$L:$L,$B22)))</f>
        <v/>
      </c>
      <c r="F22" t="str">
        <f>IF($B22="","",IF(HOUR(IF(INDEX(GLAPS컨테이너배차관리!$L:$L,$B22)="","",INDEX(GLAPS컨테이너배차관리!$L:$L,$B22)))&lt;12,"오전",IF(HOUR(IF(INDEX(GLAPS컨테이너배차관리!$L:$L,$B22)="","",INDEX(GLAPS컨테이너배차관리!$L:$L,$B22)))&lt;18,"오후","잔업")))</f>
        <v/>
      </c>
      <c r="G22" t="str">
        <f>IF($B22="","",IFERROR(INDEX(GLAPS정리!$G$3:$G$264,MATCH(IF(INDEX(GLAPS컨테이너배차관리!$BY:$BY,$B22)="","",INDEX(GLAPS컨테이너배차관리!$BY:$BY,$B22)),GLAPS정리!$H$3:$H$264,0)),TRIM(SUBSTITUTE(SUBSTITUTE(SUBSTITUTE(SUBSTITUTE(SUBSTITUTE(IF(INDEX(GLAPS컨테이너배차관리!$T:$T,$B22)="","",INDEX(GLAPS컨테이너배차관리!$T:$T,$B22)),"[GA]",""),"[GB]",""),"[GC]",""),"[KC]",""),"[GS]",""))))</f>
        <v/>
      </c>
      <c r="H22" t="str">
        <f>IF($B22="","",IFERROR(VLOOKUP(IF(INDEX(GLAPS컨테이너배차관리!$BY:$BY,$B22)="","",INDEX(GLAPS컨테이너배차관리!$BY:$BY,$B22)),GLAPS정리!$BT$3:$BV$200,3,0),""))</f>
        <v/>
      </c>
      <c r="I22" t="str">
        <f>IF($B22="","",LEFT(IF(INDEX(GLAPS컨테이너배차관리!$U:$U,$B22)="","",INDEX(GLAPS컨테이너배차관리!$U:$U,$B22)),FIND("/",IF(INDEX(GLAPS컨테이너배차관리!$U:$U,$B22)="","",INDEX(GLAPS컨테이너배차관리!$U:$U,$B22))&amp;"/")-1))</f>
        <v/>
      </c>
      <c r="J22" t="str">
        <f>IF($B22="","",IF(IF(INDEX(GLAPS컨테이너배차관리!$O:$O,$B22)="","",INDEX(GLAPS컨테이너배차관리!$O:$O,$B22))="EMC","EMA",IFERROR(INDEX(GLAPS정리!$A$2:$A$50,MATCH(IF(INDEX(GLAPS컨테이너배차관리!$O:$O,$B22)="","",INDEX(GLAPS컨테이너배차관리!$O:$O,$B22)),GLAPS정리!$D$2:$D$50,0)),IF(INDEX(GLAPS컨테이너배차관리!$O:$O,$B22)="","",INDEX(GLAPS컨테이너배차관리!$O:$O,$B22)))))</f>
        <v/>
      </c>
      <c r="K22" t="str">
        <f>IF($B22="","",IF(LEFT(IF(INDEX(GLAPS컨테이너배차관리!$Y:$Y,$B22)="","",INDEX(GLAPS컨테이너배차관리!$Y:$Y,$B22)),2)="22","20 Feet",IF(LEFT(IF(INDEX(GLAPS컨테이너배차관리!$Y:$Y,$B22)="","",INDEX(GLAPS컨테이너배차관리!$Y:$Y,$B22)),2)="42","40 Feet","40 Feet H")))</f>
        <v/>
      </c>
      <c r="L22" t="str">
        <f>IF($B22="","",IFERROR(INDEX(GLAPS정리!$BB$2:$BB$80,MATCH(IF(INDEX(GLAPS컨테이너배차관리!$BQ:$BQ,$B22)="","",INDEX(GLAPS컨테이너배차관리!$BQ:$BQ,$B22)),GLAPS정리!$BC$2:$BC$80,0)),IF(INDEX(GLAPS컨테이너배차관리!$BQ:$BQ,$B22)="","",INDEX(GLAPS컨테이너배차관리!$BQ:$BQ,$B22))))</f>
        <v/>
      </c>
      <c r="M22" t="str">
        <f>IF($B22="","",IFERROR(INDEX(GLAPS정리!$V$3:$V$180,MATCH(IF(INDEX(GLAPS컨테이너배차관리!$S:$S,$B22)="","",INDEX(GLAPS컨테이너배차관리!$S:$S,$B22)),GLAPS정리!$W$3:$W$180,0)),IF(INDEX(GLAPS컨테이너배차관리!$S:$S,$B22)="","",INDEX(GLAPS컨테이너배차관리!$S:$S,$B22))))</f>
        <v/>
      </c>
      <c r="N22" t="str">
        <f>IF($B22="","",IF(IF(INDEX(GLAPS컨테이너배차관리!$DF:$DF,$B22)="","",INDEX(GLAPS컨테이너배차관리!$DF:$DF,$B22))&lt;&gt;"",IF(INDEX(GLAPS컨테이너배차관리!$DF:$DF,$B22)="","",INDEX(GLAPS컨테이너배차관리!$DF:$DF,$B22)),IF(IF(INDEX(GLAPS컨테이너배차관리!$DG:$DG,$B22)="","",INDEX(GLAPS컨테이너배차관리!$DG:$DG,$B22))&lt;&gt;"",IF(INDEX(GLAPS컨테이너배차관리!$DG:$DG,$B22)="","",INDEX(GLAPS컨테이너배차관리!$DG:$DG,$B22)),"")))</f>
        <v/>
      </c>
      <c r="O22" t="str">
        <f>IF($B22="","",IF(INDEX(GLAPS컨테이너배차관리!$AB:$AB,$B22)="","",INDEX(GLAPS컨테이너배차관리!$AB:$AB,$B22)))</f>
        <v/>
      </c>
      <c r="P22" t="str">
        <f>IF($B22="","",IF(IF(INDEX(GLAPS컨테이너배차관리!$CP:$CP,$B22)="","",INDEX(GLAPS컨테이너배차관리!$CP:$CP,$B22))="","",IFERROR(INDEX(GLAPS정리!$BH$2:$BH$101,MATCH(IF(INDEX(GLAPS컨테이너배차관리!$CP:$CP,$B22)="","",INDEX(GLAPS컨테이너배차관리!$CP:$CP,$B22)),GLAPS정리!$BI$2:$BI$101,0)),IF(INDEX(GLAPS컨테이너배차관리!$CP:$CP,$B22)="","",INDEX(GLAPS컨테이너배차관리!$CP:$CP,$B22)))))</f>
        <v/>
      </c>
      <c r="Q22" t="str">
        <f>IF($B22="","",IF(AND(IF(INDEX(GLAPS컨테이너배차관리!$AK:$AK,$B22)="","",INDEX(GLAPS컨테이너배차관리!$AK:$AK,$B22))="Y",IF(INDEX(GLAPS컨테이너배차관리!$AI:$AI,$B22)="","",INDEX(GLAPS컨테이너배차관리!$AI:$AI,$B22))="Y"),"위험물리퍼",IF(IF(INDEX(GLAPS컨테이너배차관리!$AK:$AK,$B22)="","",INDEX(GLAPS컨테이너배차관리!$AK:$AK,$B22))="Y","위험물",IF(IF(INDEX(GLAPS컨테이너배차관리!$AI:$AI,$B22)="","",INDEX(GLAPS컨테이너배차관리!$AI:$AI,$B22))="Y","리퍼",""))))</f>
        <v/>
      </c>
      <c r="R22" t="str">
        <f>IF($B22="","",IF(LEFT(IF(INDEX(GLAPS컨테이너배차관리!$Y:$Y,$B22)="","",INDEX(GLAPS컨테이너배차관리!$Y:$Y,$B22)),2)="22",1,""))</f>
        <v/>
      </c>
      <c r="S22" t="str">
        <f>IF($B22="","",IF(LEFT(IF(INDEX(GLAPS컨테이너배차관리!$Y:$Y,$B22)="","",INDEX(GLAPS컨테이너배차관리!$Y:$Y,$B22)),2)="42",1,""))</f>
        <v/>
      </c>
      <c r="T22" t="str">
        <f>IF($B22="","",IF(LEFT(IF(INDEX(GLAPS컨테이너배차관리!$Y:$Y,$B22)="","",INDEX(GLAPS컨테이너배차관리!$Y:$Y,$B22)),2)="45",1,""))</f>
        <v/>
      </c>
      <c r="U22" t="str">
        <f>IF($B22="","",IF(INDEX(GLAPS컨테이너배차관리!$X:$X,$B22)="","",INDEX(GLAPS컨테이너배차관리!$X:$X,$B22)))</f>
        <v/>
      </c>
      <c r="V22" t="str">
        <f>IF($B22="","",IF(INDEX(GLAPS컨테이너배차관리!$Z:$Z,$B22)="","",INDEX(GLAPS컨테이너배차관리!$Z:$Z,$B22)))</f>
        <v/>
      </c>
      <c r="W22" t="str">
        <f>IF($B22="","",IF(IF(INDEX(GLAPS컨테이너배차관리!$DI:$DI,$B22)="","",INDEX(GLAPS컨테이너배차관리!$DI:$DI,$B22))&lt;&gt;"",IF(INDEX(GLAPS컨테이너배차관리!$DI:$DI,$B22)="","",INDEX(GLAPS컨테이너배차관리!$DI:$DI,$B22)),IF(IF(INDEX(GLAPS컨테이너배차관리!$DJ:$DJ,$B22)="","",INDEX(GLAPS컨테이너배차관리!$DJ:$DJ,$B22))&lt;&gt;"",IF(INDEX(GLAPS컨테이너배차관리!$DJ:$DJ,$B22)="","",INDEX(GLAPS컨테이너배차관리!$DJ:$DJ,$B22)),IF(IF(INDEX(GLAPS컨테이너배차관리!$DK:$DK,$B22)="","",INDEX(GLAPS컨테이너배차관리!$DK:$DK,$B22))&lt;&gt;"",IF(INDEX(GLAPS컨테이너배차관리!$DK:$DK,$B22)="","",INDEX(GLAPS컨테이너배차관리!$DK:$DK,$B22)),IF(IF(INDEX(GLAPS컨테이너배차관리!$DL:$DL,$B22)="","",INDEX(GLAPS컨테이너배차관리!$DL:$DL,$B22))&lt;&gt;"",IF(INDEX(GLAPS컨테이너배차관리!$DL:$DL,$B22)="","",INDEX(GLAPS컨테이너배차관리!$DL:$DL,$B22)),IF(IF(INDEX(GLAPS컨테이너배차관리!$DM:$DM,$B22)="","",INDEX(GLAPS컨테이너배차관리!$DM:$DM,$B22))&lt;&gt;"",IF(INDEX(GLAPS컨테이너배차관리!$DM:$DM,$B22)="","",INDEX(GLAPS컨테이너배차관리!$DM:$DM,$B22)),""))))))</f>
        <v/>
      </c>
      <c r="X22" t="str">
        <f>IF($B22="","",IF(INDEX(GLAPS컨테이너배차관리!$F:$F,$B22)="","",INDEX(GLAPS컨테이너배차관리!$F:$F,$B22)))</f>
        <v/>
      </c>
      <c r="Y22" t="str">
        <f>IF($B22="","",IF(IF(INDEX(GLAPS컨테이너배차관리!$M:$M,$B22)="","",INDEX(GLAPS컨테이너배차관리!$M:$M,$B22))&lt;&gt;"",IF(INDEX(GLAPS컨테이너배차관리!$M:$M,$B22)="","",INDEX(GLAPS컨테이너배차관리!$M:$M,$B22)),IF(IF(INDEX(GLAPS컨테이너배차관리!$N:$N,$B22)="","",INDEX(GLAPS컨테이너배차관리!$N:$N,$B22))&lt;&gt;"",IF(INDEX(GLAPS컨테이너배차관리!$N:$N,$B22)="","",INDEX(GLAPS컨테이너배차관리!$N:$N,$B22)),"")))</f>
        <v/>
      </c>
      <c r="Z22" t="str">
        <f>IF($B22="","",IF(IF(INDEX(GLAPS컨테이너배차관리!$CU:$CU,$B22)="","",INDEX(GLAPS컨테이너배차관리!$CU:$CU,$B22))="","",IFERROR(INT(IF(INDEX(GLAPS컨테이너배차관리!$CU:$CU,$B22)="","",INDEX(GLAPS컨테이너배차관리!$CU:$CU,$B22))),"")))</f>
        <v/>
      </c>
      <c r="AA22" t="str">
        <f>IF($B22="","",IF(AND(IF(INDEX(GLAPS컨테이너배차관리!$CL:$CL,$B22)="","",INDEX(GLAPS컨테이너배차관리!$CL:$CL,$B22))="",IF(INDEX(GLAPS컨테이너배차관리!$CM:$CM,$B22)="","",INDEX(GLAPS컨테이너배차관리!$CM:$CM,$B22))=""),"",IF(OR(IF(INDEX(GLAPS컨테이너배차관리!$CL:$CL,$B22)="","",INDEX(GLAPS컨테이너배차관리!$CL:$CL,$B22))="B000016649",ISNUMBER(SEARCH("B015",IF(INDEX(GLAPS컨테이너배차관리!$CM:$CM,$B22)="","",INDEX(GLAPS컨테이너배차관리!$CM:$CM,$B22)))),ISNUMBER(SEARCH("세방",IF(INDEX(GLAPS컨테이너배차관리!$CM:$CM,$B22)="","",INDEX(GLAPS컨테이너배차관리!$CM:$CM,$B22)))),ISNUMBER(SEARCH("SB",IF(INDEX(GLAPS컨테이너배차관리!$CM:$CM,$B22)="","",INDEX(GLAPS컨테이너배차관리!$CM:$CM,$B22))))),"세방","")))</f>
        <v/>
      </c>
      <c r="AB22" t="str">
        <f>IF($B22="","",IF(IF(INDEX(GLAPS컨테이너배차관리!$CM:$CM,$B22)="","",INDEX(GLAPS컨테이너배차관리!$CM:$CM,$B22))="","",IF(ISNUMBER(SEARCH("이지스두동",IF(INDEX(GLAPS컨테이너배차관리!$CM:$CM,$B22)="","",INDEX(GLAPS컨테이너배차관리!$CM:$CM,$B22)))),"이지스두동",IF(ISNUMBER(SEARCH("이지스녹산",IF(INDEX(GLAPS컨테이너배차관리!$CM:$CM,$B22)="","",INDEX(GLAPS컨테이너배차관리!$CM:$CM,$B22)))),"이지스녹산",IF(ISNUMBER(SEARCH("천우",IF(INDEX(GLAPS컨테이너배차관리!$CM:$CM,$B22)="","",INDEX(GLAPS컨테이너배차관리!$CM:$CM,$B22)))),"천우",IF(OR(ISNUMBER(SEARCH("청암",IF(INDEX(GLAPS컨테이너배차관리!$CM:$CM,$B22)="","",INDEX(GLAPS컨테이너배차관리!$CM:$CM,$B22)))),ISNUMBER(SEARCH("SB청암",IF(INDEX(GLAPS컨테이너배차관리!$CM:$CM,$B22)="","",INDEX(GLAPS컨테이너배차관리!$CM:$CM,$B22))))),"청암신항",IF(INDEX(GLAPS컨테이너배차관리!$CM:$CM,$B22)="","",INDEX(GLAPS컨테이너배차관리!$CM:$CM,$B22))))))))</f>
        <v/>
      </c>
    </row>
    <row r="23" spans="1:28">
      <c r="A23">
        <v>22</v>
      </c>
      <c r="B23" t="str">
        <f>IFERROR(_xlfn.AGGREGATE(15,6,ROW(GLAPS컨테이너배차관리!$X$2:$X$20000)/(GLAPS컨테이너배차관리!$X$2:$X$20000&lt;&gt;""),A23),"")</f>
        <v/>
      </c>
      <c r="C23" t="str">
        <f>IF($B23="","",INT(IF(INDEX(GLAPS컨테이너배차관리!$K:$K,$B23)="","",INDEX(GLAPS컨테이너배차관리!$K:$K,$B23))))</f>
        <v/>
      </c>
      <c r="D23" t="str">
        <f>IF($B23="","",IF(ISNUMBER(SEARCH("이엘에스",IF(INDEX(GLAPS컨테이너배차관리!$AZ:$AZ,$B23)="","",INDEX(GLAPS컨테이너배차관리!$AZ:$AZ,$B23)))),"ELS솔루션",IF(INDEX(GLAPS컨테이너배차관리!$AZ:$AZ,$B23)="","",INDEX(GLAPS컨테이너배차관리!$AZ:$AZ,$B23))))</f>
        <v/>
      </c>
      <c r="E23" t="str">
        <f>IF($B23="","",IF(INDEX(GLAPS컨테이너배차관리!$L:$L,$B23)="","",INDEX(GLAPS컨테이너배차관리!$L:$L,$B23)))</f>
        <v/>
      </c>
      <c r="F23" t="str">
        <f>IF($B23="","",IF(HOUR(IF(INDEX(GLAPS컨테이너배차관리!$L:$L,$B23)="","",INDEX(GLAPS컨테이너배차관리!$L:$L,$B23)))&lt;12,"오전",IF(HOUR(IF(INDEX(GLAPS컨테이너배차관리!$L:$L,$B23)="","",INDEX(GLAPS컨테이너배차관리!$L:$L,$B23)))&lt;18,"오후","잔업")))</f>
        <v/>
      </c>
      <c r="G23" t="str">
        <f>IF($B23="","",IFERROR(INDEX(GLAPS정리!$G$3:$G$264,MATCH(IF(INDEX(GLAPS컨테이너배차관리!$BY:$BY,$B23)="","",INDEX(GLAPS컨테이너배차관리!$BY:$BY,$B23)),GLAPS정리!$H$3:$H$264,0)),TRIM(SUBSTITUTE(SUBSTITUTE(SUBSTITUTE(SUBSTITUTE(SUBSTITUTE(IF(INDEX(GLAPS컨테이너배차관리!$T:$T,$B23)="","",INDEX(GLAPS컨테이너배차관리!$T:$T,$B23)),"[GA]",""),"[GB]",""),"[GC]",""),"[KC]",""),"[GS]",""))))</f>
        <v/>
      </c>
      <c r="H23" t="str">
        <f>IF($B23="","",IFERROR(VLOOKUP(IF(INDEX(GLAPS컨테이너배차관리!$BY:$BY,$B23)="","",INDEX(GLAPS컨테이너배차관리!$BY:$BY,$B23)),GLAPS정리!$BT$3:$BV$200,3,0),""))</f>
        <v/>
      </c>
      <c r="I23" t="str">
        <f>IF($B23="","",LEFT(IF(INDEX(GLAPS컨테이너배차관리!$U:$U,$B23)="","",INDEX(GLAPS컨테이너배차관리!$U:$U,$B23)),FIND("/",IF(INDEX(GLAPS컨테이너배차관리!$U:$U,$B23)="","",INDEX(GLAPS컨테이너배차관리!$U:$U,$B23))&amp;"/")-1))</f>
        <v/>
      </c>
      <c r="J23" t="str">
        <f>IF($B23="","",IF(IF(INDEX(GLAPS컨테이너배차관리!$O:$O,$B23)="","",INDEX(GLAPS컨테이너배차관리!$O:$O,$B23))="EMC","EMA",IFERROR(INDEX(GLAPS정리!$A$2:$A$50,MATCH(IF(INDEX(GLAPS컨테이너배차관리!$O:$O,$B23)="","",INDEX(GLAPS컨테이너배차관리!$O:$O,$B23)),GLAPS정리!$D$2:$D$50,0)),IF(INDEX(GLAPS컨테이너배차관리!$O:$O,$B23)="","",INDEX(GLAPS컨테이너배차관리!$O:$O,$B23)))))</f>
        <v/>
      </c>
      <c r="K23" t="str">
        <f>IF($B23="","",IF(LEFT(IF(INDEX(GLAPS컨테이너배차관리!$Y:$Y,$B23)="","",INDEX(GLAPS컨테이너배차관리!$Y:$Y,$B23)),2)="22","20 Feet",IF(LEFT(IF(INDEX(GLAPS컨테이너배차관리!$Y:$Y,$B23)="","",INDEX(GLAPS컨테이너배차관리!$Y:$Y,$B23)),2)="42","40 Feet","40 Feet H")))</f>
        <v/>
      </c>
      <c r="L23" t="str">
        <f>IF($B23="","",IFERROR(INDEX(GLAPS정리!$BB$2:$BB$80,MATCH(IF(INDEX(GLAPS컨테이너배차관리!$BQ:$BQ,$B23)="","",INDEX(GLAPS컨테이너배차관리!$BQ:$BQ,$B23)),GLAPS정리!$BC$2:$BC$80,0)),IF(INDEX(GLAPS컨테이너배차관리!$BQ:$BQ,$B23)="","",INDEX(GLAPS컨테이너배차관리!$BQ:$BQ,$B23))))</f>
        <v/>
      </c>
      <c r="M23" t="str">
        <f>IF($B23="","",IFERROR(INDEX(GLAPS정리!$V$3:$V$180,MATCH(IF(INDEX(GLAPS컨테이너배차관리!$S:$S,$B23)="","",INDEX(GLAPS컨테이너배차관리!$S:$S,$B23)),GLAPS정리!$W$3:$W$180,0)),IF(INDEX(GLAPS컨테이너배차관리!$S:$S,$B23)="","",INDEX(GLAPS컨테이너배차관리!$S:$S,$B23))))</f>
        <v/>
      </c>
      <c r="N23" t="str">
        <f>IF($B23="","",IF(IF(INDEX(GLAPS컨테이너배차관리!$DF:$DF,$B23)="","",INDEX(GLAPS컨테이너배차관리!$DF:$DF,$B23))&lt;&gt;"",IF(INDEX(GLAPS컨테이너배차관리!$DF:$DF,$B23)="","",INDEX(GLAPS컨테이너배차관리!$DF:$DF,$B23)),IF(IF(INDEX(GLAPS컨테이너배차관리!$DG:$DG,$B23)="","",INDEX(GLAPS컨테이너배차관리!$DG:$DG,$B23))&lt;&gt;"",IF(INDEX(GLAPS컨테이너배차관리!$DG:$DG,$B23)="","",INDEX(GLAPS컨테이너배차관리!$DG:$DG,$B23)),"")))</f>
        <v/>
      </c>
      <c r="O23" t="str">
        <f>IF($B23="","",IF(INDEX(GLAPS컨테이너배차관리!$AB:$AB,$B23)="","",INDEX(GLAPS컨테이너배차관리!$AB:$AB,$B23)))</f>
        <v/>
      </c>
      <c r="P23" t="str">
        <f>IF($B23="","",IF(IF(INDEX(GLAPS컨테이너배차관리!$CP:$CP,$B23)="","",INDEX(GLAPS컨테이너배차관리!$CP:$CP,$B23))="","",IFERROR(INDEX(GLAPS정리!$BH$2:$BH$101,MATCH(IF(INDEX(GLAPS컨테이너배차관리!$CP:$CP,$B23)="","",INDEX(GLAPS컨테이너배차관리!$CP:$CP,$B23)),GLAPS정리!$BI$2:$BI$101,0)),IF(INDEX(GLAPS컨테이너배차관리!$CP:$CP,$B23)="","",INDEX(GLAPS컨테이너배차관리!$CP:$CP,$B23)))))</f>
        <v/>
      </c>
      <c r="Q23" t="str">
        <f>IF($B23="","",IF(AND(IF(INDEX(GLAPS컨테이너배차관리!$AK:$AK,$B23)="","",INDEX(GLAPS컨테이너배차관리!$AK:$AK,$B23))="Y",IF(INDEX(GLAPS컨테이너배차관리!$AI:$AI,$B23)="","",INDEX(GLAPS컨테이너배차관리!$AI:$AI,$B23))="Y"),"위험물리퍼",IF(IF(INDEX(GLAPS컨테이너배차관리!$AK:$AK,$B23)="","",INDEX(GLAPS컨테이너배차관리!$AK:$AK,$B23))="Y","위험물",IF(IF(INDEX(GLAPS컨테이너배차관리!$AI:$AI,$B23)="","",INDEX(GLAPS컨테이너배차관리!$AI:$AI,$B23))="Y","리퍼",""))))</f>
        <v/>
      </c>
      <c r="R23" t="str">
        <f>IF($B23="","",IF(LEFT(IF(INDEX(GLAPS컨테이너배차관리!$Y:$Y,$B23)="","",INDEX(GLAPS컨테이너배차관리!$Y:$Y,$B23)),2)="22",1,""))</f>
        <v/>
      </c>
      <c r="S23" t="str">
        <f>IF($B23="","",IF(LEFT(IF(INDEX(GLAPS컨테이너배차관리!$Y:$Y,$B23)="","",INDEX(GLAPS컨테이너배차관리!$Y:$Y,$B23)),2)="42",1,""))</f>
        <v/>
      </c>
      <c r="T23" t="str">
        <f>IF($B23="","",IF(LEFT(IF(INDEX(GLAPS컨테이너배차관리!$Y:$Y,$B23)="","",INDEX(GLAPS컨테이너배차관리!$Y:$Y,$B23)),2)="45",1,""))</f>
        <v/>
      </c>
      <c r="U23" t="str">
        <f>IF($B23="","",IF(INDEX(GLAPS컨테이너배차관리!$X:$X,$B23)="","",INDEX(GLAPS컨테이너배차관리!$X:$X,$B23)))</f>
        <v/>
      </c>
      <c r="V23" t="str">
        <f>IF($B23="","",IF(INDEX(GLAPS컨테이너배차관리!$Z:$Z,$B23)="","",INDEX(GLAPS컨테이너배차관리!$Z:$Z,$B23)))</f>
        <v/>
      </c>
      <c r="W23" t="str">
        <f>IF($B23="","",IF(IF(INDEX(GLAPS컨테이너배차관리!$DI:$DI,$B23)="","",INDEX(GLAPS컨테이너배차관리!$DI:$DI,$B23))&lt;&gt;"",IF(INDEX(GLAPS컨테이너배차관리!$DI:$DI,$B23)="","",INDEX(GLAPS컨테이너배차관리!$DI:$DI,$B23)),IF(IF(INDEX(GLAPS컨테이너배차관리!$DJ:$DJ,$B23)="","",INDEX(GLAPS컨테이너배차관리!$DJ:$DJ,$B23))&lt;&gt;"",IF(INDEX(GLAPS컨테이너배차관리!$DJ:$DJ,$B23)="","",INDEX(GLAPS컨테이너배차관리!$DJ:$DJ,$B23)),IF(IF(INDEX(GLAPS컨테이너배차관리!$DK:$DK,$B23)="","",INDEX(GLAPS컨테이너배차관리!$DK:$DK,$B23))&lt;&gt;"",IF(INDEX(GLAPS컨테이너배차관리!$DK:$DK,$B23)="","",INDEX(GLAPS컨테이너배차관리!$DK:$DK,$B23)),IF(IF(INDEX(GLAPS컨테이너배차관리!$DL:$DL,$B23)="","",INDEX(GLAPS컨테이너배차관리!$DL:$DL,$B23))&lt;&gt;"",IF(INDEX(GLAPS컨테이너배차관리!$DL:$DL,$B23)="","",INDEX(GLAPS컨테이너배차관리!$DL:$DL,$B23)),IF(IF(INDEX(GLAPS컨테이너배차관리!$DM:$DM,$B23)="","",INDEX(GLAPS컨테이너배차관리!$DM:$DM,$B23))&lt;&gt;"",IF(INDEX(GLAPS컨테이너배차관리!$DM:$DM,$B23)="","",INDEX(GLAPS컨테이너배차관리!$DM:$DM,$B23)),""))))))</f>
        <v/>
      </c>
      <c r="X23" t="str">
        <f>IF($B23="","",IF(INDEX(GLAPS컨테이너배차관리!$F:$F,$B23)="","",INDEX(GLAPS컨테이너배차관리!$F:$F,$B23)))</f>
        <v/>
      </c>
      <c r="Y23" t="str">
        <f>IF($B23="","",IF(IF(INDEX(GLAPS컨테이너배차관리!$M:$M,$B23)="","",INDEX(GLAPS컨테이너배차관리!$M:$M,$B23))&lt;&gt;"",IF(INDEX(GLAPS컨테이너배차관리!$M:$M,$B23)="","",INDEX(GLAPS컨테이너배차관리!$M:$M,$B23)),IF(IF(INDEX(GLAPS컨테이너배차관리!$N:$N,$B23)="","",INDEX(GLAPS컨테이너배차관리!$N:$N,$B23))&lt;&gt;"",IF(INDEX(GLAPS컨테이너배차관리!$N:$N,$B23)="","",INDEX(GLAPS컨테이너배차관리!$N:$N,$B23)),"")))</f>
        <v/>
      </c>
      <c r="Z23" t="str">
        <f>IF($B23="","",IF(IF(INDEX(GLAPS컨테이너배차관리!$CU:$CU,$B23)="","",INDEX(GLAPS컨테이너배차관리!$CU:$CU,$B23))="","",IFERROR(INT(IF(INDEX(GLAPS컨테이너배차관리!$CU:$CU,$B23)="","",INDEX(GLAPS컨테이너배차관리!$CU:$CU,$B23))),"")))</f>
        <v/>
      </c>
      <c r="AA23" t="str">
        <f>IF($B23="","",IF(AND(IF(INDEX(GLAPS컨테이너배차관리!$CL:$CL,$B23)="","",INDEX(GLAPS컨테이너배차관리!$CL:$CL,$B23))="",IF(INDEX(GLAPS컨테이너배차관리!$CM:$CM,$B23)="","",INDEX(GLAPS컨테이너배차관리!$CM:$CM,$B23))=""),"",IF(OR(IF(INDEX(GLAPS컨테이너배차관리!$CL:$CL,$B23)="","",INDEX(GLAPS컨테이너배차관리!$CL:$CL,$B23))="B000016649",ISNUMBER(SEARCH("B015",IF(INDEX(GLAPS컨테이너배차관리!$CM:$CM,$B23)="","",INDEX(GLAPS컨테이너배차관리!$CM:$CM,$B23)))),ISNUMBER(SEARCH("세방",IF(INDEX(GLAPS컨테이너배차관리!$CM:$CM,$B23)="","",INDEX(GLAPS컨테이너배차관리!$CM:$CM,$B23)))),ISNUMBER(SEARCH("SB",IF(INDEX(GLAPS컨테이너배차관리!$CM:$CM,$B23)="","",INDEX(GLAPS컨테이너배차관리!$CM:$CM,$B23))))),"세방","")))</f>
        <v/>
      </c>
      <c r="AB23" t="str">
        <f>IF($B23="","",IF(IF(INDEX(GLAPS컨테이너배차관리!$CM:$CM,$B23)="","",INDEX(GLAPS컨테이너배차관리!$CM:$CM,$B23))="","",IF(ISNUMBER(SEARCH("이지스두동",IF(INDEX(GLAPS컨테이너배차관리!$CM:$CM,$B23)="","",INDEX(GLAPS컨테이너배차관리!$CM:$CM,$B23)))),"이지스두동",IF(ISNUMBER(SEARCH("이지스녹산",IF(INDEX(GLAPS컨테이너배차관리!$CM:$CM,$B23)="","",INDEX(GLAPS컨테이너배차관리!$CM:$CM,$B23)))),"이지스녹산",IF(ISNUMBER(SEARCH("천우",IF(INDEX(GLAPS컨테이너배차관리!$CM:$CM,$B23)="","",INDEX(GLAPS컨테이너배차관리!$CM:$CM,$B23)))),"천우",IF(OR(ISNUMBER(SEARCH("청암",IF(INDEX(GLAPS컨테이너배차관리!$CM:$CM,$B23)="","",INDEX(GLAPS컨테이너배차관리!$CM:$CM,$B23)))),ISNUMBER(SEARCH("SB청암",IF(INDEX(GLAPS컨테이너배차관리!$CM:$CM,$B23)="","",INDEX(GLAPS컨테이너배차관리!$CM:$CM,$B23))))),"청암신항",IF(INDEX(GLAPS컨테이너배차관리!$CM:$CM,$B23)="","",INDEX(GLAPS컨테이너배차관리!$CM:$CM,$B23))))))))</f>
        <v/>
      </c>
    </row>
    <row r="24" spans="1:28">
      <c r="A24">
        <v>23</v>
      </c>
      <c r="B24" t="str">
        <f>IFERROR(_xlfn.AGGREGATE(15,6,ROW(GLAPS컨테이너배차관리!$X$2:$X$20000)/(GLAPS컨테이너배차관리!$X$2:$X$20000&lt;&gt;""),A24),"")</f>
        <v/>
      </c>
      <c r="C24" t="str">
        <f>IF($B24="","",INT(IF(INDEX(GLAPS컨테이너배차관리!$K:$K,$B24)="","",INDEX(GLAPS컨테이너배차관리!$K:$K,$B24))))</f>
        <v/>
      </c>
      <c r="D24" t="str">
        <f>IF($B24="","",IF(ISNUMBER(SEARCH("이엘에스",IF(INDEX(GLAPS컨테이너배차관리!$AZ:$AZ,$B24)="","",INDEX(GLAPS컨테이너배차관리!$AZ:$AZ,$B24)))),"ELS솔루션",IF(INDEX(GLAPS컨테이너배차관리!$AZ:$AZ,$B24)="","",INDEX(GLAPS컨테이너배차관리!$AZ:$AZ,$B24))))</f>
        <v/>
      </c>
      <c r="E24" t="str">
        <f>IF($B24="","",IF(INDEX(GLAPS컨테이너배차관리!$L:$L,$B24)="","",INDEX(GLAPS컨테이너배차관리!$L:$L,$B24)))</f>
        <v/>
      </c>
      <c r="F24" t="str">
        <f>IF($B24="","",IF(HOUR(IF(INDEX(GLAPS컨테이너배차관리!$L:$L,$B24)="","",INDEX(GLAPS컨테이너배차관리!$L:$L,$B24)))&lt;12,"오전",IF(HOUR(IF(INDEX(GLAPS컨테이너배차관리!$L:$L,$B24)="","",INDEX(GLAPS컨테이너배차관리!$L:$L,$B24)))&lt;18,"오후","잔업")))</f>
        <v/>
      </c>
      <c r="G24" t="str">
        <f>IF($B24="","",IFERROR(INDEX(GLAPS정리!$G$3:$G$264,MATCH(IF(INDEX(GLAPS컨테이너배차관리!$BY:$BY,$B24)="","",INDEX(GLAPS컨테이너배차관리!$BY:$BY,$B24)),GLAPS정리!$H$3:$H$264,0)),TRIM(SUBSTITUTE(SUBSTITUTE(SUBSTITUTE(SUBSTITUTE(SUBSTITUTE(IF(INDEX(GLAPS컨테이너배차관리!$T:$T,$B24)="","",INDEX(GLAPS컨테이너배차관리!$T:$T,$B24)),"[GA]",""),"[GB]",""),"[GC]",""),"[KC]",""),"[GS]",""))))</f>
        <v/>
      </c>
      <c r="H24" t="str">
        <f>IF($B24="","",IFERROR(VLOOKUP(IF(INDEX(GLAPS컨테이너배차관리!$BY:$BY,$B24)="","",INDEX(GLAPS컨테이너배차관리!$BY:$BY,$B24)),GLAPS정리!$BT$3:$BV$200,3,0),""))</f>
        <v/>
      </c>
      <c r="I24" t="str">
        <f>IF($B24="","",LEFT(IF(INDEX(GLAPS컨테이너배차관리!$U:$U,$B24)="","",INDEX(GLAPS컨테이너배차관리!$U:$U,$B24)),FIND("/",IF(INDEX(GLAPS컨테이너배차관리!$U:$U,$B24)="","",INDEX(GLAPS컨테이너배차관리!$U:$U,$B24))&amp;"/")-1))</f>
        <v/>
      </c>
      <c r="J24" t="str">
        <f>IF($B24="","",IF(IF(INDEX(GLAPS컨테이너배차관리!$O:$O,$B24)="","",INDEX(GLAPS컨테이너배차관리!$O:$O,$B24))="EMC","EMA",IFERROR(INDEX(GLAPS정리!$A$2:$A$50,MATCH(IF(INDEX(GLAPS컨테이너배차관리!$O:$O,$B24)="","",INDEX(GLAPS컨테이너배차관리!$O:$O,$B24)),GLAPS정리!$D$2:$D$50,0)),IF(INDEX(GLAPS컨테이너배차관리!$O:$O,$B24)="","",INDEX(GLAPS컨테이너배차관리!$O:$O,$B24)))))</f>
        <v/>
      </c>
      <c r="K24" t="str">
        <f>IF($B24="","",IF(LEFT(IF(INDEX(GLAPS컨테이너배차관리!$Y:$Y,$B24)="","",INDEX(GLAPS컨테이너배차관리!$Y:$Y,$B24)),2)="22","20 Feet",IF(LEFT(IF(INDEX(GLAPS컨테이너배차관리!$Y:$Y,$B24)="","",INDEX(GLAPS컨테이너배차관리!$Y:$Y,$B24)),2)="42","40 Feet","40 Feet H")))</f>
        <v/>
      </c>
      <c r="L24" t="str">
        <f>IF($B24="","",IFERROR(INDEX(GLAPS정리!$BB$2:$BB$80,MATCH(IF(INDEX(GLAPS컨테이너배차관리!$BQ:$BQ,$B24)="","",INDEX(GLAPS컨테이너배차관리!$BQ:$BQ,$B24)),GLAPS정리!$BC$2:$BC$80,0)),IF(INDEX(GLAPS컨테이너배차관리!$BQ:$BQ,$B24)="","",INDEX(GLAPS컨테이너배차관리!$BQ:$BQ,$B24))))</f>
        <v/>
      </c>
      <c r="M24" t="str">
        <f>IF($B24="","",IFERROR(INDEX(GLAPS정리!$V$3:$V$180,MATCH(IF(INDEX(GLAPS컨테이너배차관리!$S:$S,$B24)="","",INDEX(GLAPS컨테이너배차관리!$S:$S,$B24)),GLAPS정리!$W$3:$W$180,0)),IF(INDEX(GLAPS컨테이너배차관리!$S:$S,$B24)="","",INDEX(GLAPS컨테이너배차관리!$S:$S,$B24))))</f>
        <v/>
      </c>
      <c r="N24" t="str">
        <f>IF($B24="","",IF(IF(INDEX(GLAPS컨테이너배차관리!$DF:$DF,$B24)="","",INDEX(GLAPS컨테이너배차관리!$DF:$DF,$B24))&lt;&gt;"",IF(INDEX(GLAPS컨테이너배차관리!$DF:$DF,$B24)="","",INDEX(GLAPS컨테이너배차관리!$DF:$DF,$B24)),IF(IF(INDEX(GLAPS컨테이너배차관리!$DG:$DG,$B24)="","",INDEX(GLAPS컨테이너배차관리!$DG:$DG,$B24))&lt;&gt;"",IF(INDEX(GLAPS컨테이너배차관리!$DG:$DG,$B24)="","",INDEX(GLAPS컨테이너배차관리!$DG:$DG,$B24)),"")))</f>
        <v/>
      </c>
      <c r="O24" t="str">
        <f>IF($B24="","",IF(INDEX(GLAPS컨테이너배차관리!$AB:$AB,$B24)="","",INDEX(GLAPS컨테이너배차관리!$AB:$AB,$B24)))</f>
        <v/>
      </c>
      <c r="P24" t="str">
        <f>IF($B24="","",IF(IF(INDEX(GLAPS컨테이너배차관리!$CP:$CP,$B24)="","",INDEX(GLAPS컨테이너배차관리!$CP:$CP,$B24))="","",IFERROR(INDEX(GLAPS정리!$BH$2:$BH$101,MATCH(IF(INDEX(GLAPS컨테이너배차관리!$CP:$CP,$B24)="","",INDEX(GLAPS컨테이너배차관리!$CP:$CP,$B24)),GLAPS정리!$BI$2:$BI$101,0)),IF(INDEX(GLAPS컨테이너배차관리!$CP:$CP,$B24)="","",INDEX(GLAPS컨테이너배차관리!$CP:$CP,$B24)))))</f>
        <v/>
      </c>
      <c r="Q24" t="str">
        <f>IF($B24="","",IF(AND(IF(INDEX(GLAPS컨테이너배차관리!$AK:$AK,$B24)="","",INDEX(GLAPS컨테이너배차관리!$AK:$AK,$B24))="Y",IF(INDEX(GLAPS컨테이너배차관리!$AI:$AI,$B24)="","",INDEX(GLAPS컨테이너배차관리!$AI:$AI,$B24))="Y"),"위험물리퍼",IF(IF(INDEX(GLAPS컨테이너배차관리!$AK:$AK,$B24)="","",INDEX(GLAPS컨테이너배차관리!$AK:$AK,$B24))="Y","위험물",IF(IF(INDEX(GLAPS컨테이너배차관리!$AI:$AI,$B24)="","",INDEX(GLAPS컨테이너배차관리!$AI:$AI,$B24))="Y","리퍼",""))))</f>
        <v/>
      </c>
      <c r="R24" t="str">
        <f>IF($B24="","",IF(LEFT(IF(INDEX(GLAPS컨테이너배차관리!$Y:$Y,$B24)="","",INDEX(GLAPS컨테이너배차관리!$Y:$Y,$B24)),2)="22",1,""))</f>
        <v/>
      </c>
      <c r="S24" t="str">
        <f>IF($B24="","",IF(LEFT(IF(INDEX(GLAPS컨테이너배차관리!$Y:$Y,$B24)="","",INDEX(GLAPS컨테이너배차관리!$Y:$Y,$B24)),2)="42",1,""))</f>
        <v/>
      </c>
      <c r="T24" t="str">
        <f>IF($B24="","",IF(LEFT(IF(INDEX(GLAPS컨테이너배차관리!$Y:$Y,$B24)="","",INDEX(GLAPS컨테이너배차관리!$Y:$Y,$B24)),2)="45",1,""))</f>
        <v/>
      </c>
      <c r="U24" t="str">
        <f>IF($B24="","",IF(INDEX(GLAPS컨테이너배차관리!$X:$X,$B24)="","",INDEX(GLAPS컨테이너배차관리!$X:$X,$B24)))</f>
        <v/>
      </c>
      <c r="V24" t="str">
        <f>IF($B24="","",IF(INDEX(GLAPS컨테이너배차관리!$Z:$Z,$B24)="","",INDEX(GLAPS컨테이너배차관리!$Z:$Z,$B24)))</f>
        <v/>
      </c>
      <c r="W24" t="str">
        <f>IF($B24="","",IF(IF(INDEX(GLAPS컨테이너배차관리!$DI:$DI,$B24)="","",INDEX(GLAPS컨테이너배차관리!$DI:$DI,$B24))&lt;&gt;"",IF(INDEX(GLAPS컨테이너배차관리!$DI:$DI,$B24)="","",INDEX(GLAPS컨테이너배차관리!$DI:$DI,$B24)),IF(IF(INDEX(GLAPS컨테이너배차관리!$DJ:$DJ,$B24)="","",INDEX(GLAPS컨테이너배차관리!$DJ:$DJ,$B24))&lt;&gt;"",IF(INDEX(GLAPS컨테이너배차관리!$DJ:$DJ,$B24)="","",INDEX(GLAPS컨테이너배차관리!$DJ:$DJ,$B24)),IF(IF(INDEX(GLAPS컨테이너배차관리!$DK:$DK,$B24)="","",INDEX(GLAPS컨테이너배차관리!$DK:$DK,$B24))&lt;&gt;"",IF(INDEX(GLAPS컨테이너배차관리!$DK:$DK,$B24)="","",INDEX(GLAPS컨테이너배차관리!$DK:$DK,$B24)),IF(IF(INDEX(GLAPS컨테이너배차관리!$DL:$DL,$B24)="","",INDEX(GLAPS컨테이너배차관리!$DL:$DL,$B24))&lt;&gt;"",IF(INDEX(GLAPS컨테이너배차관리!$DL:$DL,$B24)="","",INDEX(GLAPS컨테이너배차관리!$DL:$DL,$B24)),IF(IF(INDEX(GLAPS컨테이너배차관리!$DM:$DM,$B24)="","",INDEX(GLAPS컨테이너배차관리!$DM:$DM,$B24))&lt;&gt;"",IF(INDEX(GLAPS컨테이너배차관리!$DM:$DM,$B24)="","",INDEX(GLAPS컨테이너배차관리!$DM:$DM,$B24)),""))))))</f>
        <v/>
      </c>
      <c r="X24" t="str">
        <f>IF($B24="","",IF(INDEX(GLAPS컨테이너배차관리!$F:$F,$B24)="","",INDEX(GLAPS컨테이너배차관리!$F:$F,$B24)))</f>
        <v/>
      </c>
      <c r="Y24" t="str">
        <f>IF($B24="","",IF(IF(INDEX(GLAPS컨테이너배차관리!$M:$M,$B24)="","",INDEX(GLAPS컨테이너배차관리!$M:$M,$B24))&lt;&gt;"",IF(INDEX(GLAPS컨테이너배차관리!$M:$M,$B24)="","",INDEX(GLAPS컨테이너배차관리!$M:$M,$B24)),IF(IF(INDEX(GLAPS컨테이너배차관리!$N:$N,$B24)="","",INDEX(GLAPS컨테이너배차관리!$N:$N,$B24))&lt;&gt;"",IF(INDEX(GLAPS컨테이너배차관리!$N:$N,$B24)="","",INDEX(GLAPS컨테이너배차관리!$N:$N,$B24)),"")))</f>
        <v/>
      </c>
      <c r="Z24" t="str">
        <f>IF($B24="","",IF(IF(INDEX(GLAPS컨테이너배차관리!$CU:$CU,$B24)="","",INDEX(GLAPS컨테이너배차관리!$CU:$CU,$B24))="","",IFERROR(INT(IF(INDEX(GLAPS컨테이너배차관리!$CU:$CU,$B24)="","",INDEX(GLAPS컨테이너배차관리!$CU:$CU,$B24))),"")))</f>
        <v/>
      </c>
      <c r="AA24" t="str">
        <f>IF($B24="","",IF(AND(IF(INDEX(GLAPS컨테이너배차관리!$CL:$CL,$B24)="","",INDEX(GLAPS컨테이너배차관리!$CL:$CL,$B24))="",IF(INDEX(GLAPS컨테이너배차관리!$CM:$CM,$B24)="","",INDEX(GLAPS컨테이너배차관리!$CM:$CM,$B24))=""),"",IF(OR(IF(INDEX(GLAPS컨테이너배차관리!$CL:$CL,$B24)="","",INDEX(GLAPS컨테이너배차관리!$CL:$CL,$B24))="B000016649",ISNUMBER(SEARCH("B015",IF(INDEX(GLAPS컨테이너배차관리!$CM:$CM,$B24)="","",INDEX(GLAPS컨테이너배차관리!$CM:$CM,$B24)))),ISNUMBER(SEARCH("세방",IF(INDEX(GLAPS컨테이너배차관리!$CM:$CM,$B24)="","",INDEX(GLAPS컨테이너배차관리!$CM:$CM,$B24)))),ISNUMBER(SEARCH("SB",IF(INDEX(GLAPS컨테이너배차관리!$CM:$CM,$B24)="","",INDEX(GLAPS컨테이너배차관리!$CM:$CM,$B24))))),"세방","")))</f>
        <v/>
      </c>
      <c r="AB24" t="str">
        <f>IF($B24="","",IF(IF(INDEX(GLAPS컨테이너배차관리!$CM:$CM,$B24)="","",INDEX(GLAPS컨테이너배차관리!$CM:$CM,$B24))="","",IF(ISNUMBER(SEARCH("이지스두동",IF(INDEX(GLAPS컨테이너배차관리!$CM:$CM,$B24)="","",INDEX(GLAPS컨테이너배차관리!$CM:$CM,$B24)))),"이지스두동",IF(ISNUMBER(SEARCH("이지스녹산",IF(INDEX(GLAPS컨테이너배차관리!$CM:$CM,$B24)="","",INDEX(GLAPS컨테이너배차관리!$CM:$CM,$B24)))),"이지스녹산",IF(ISNUMBER(SEARCH("천우",IF(INDEX(GLAPS컨테이너배차관리!$CM:$CM,$B24)="","",INDEX(GLAPS컨테이너배차관리!$CM:$CM,$B24)))),"천우",IF(OR(ISNUMBER(SEARCH("청암",IF(INDEX(GLAPS컨테이너배차관리!$CM:$CM,$B24)="","",INDEX(GLAPS컨테이너배차관리!$CM:$CM,$B24)))),ISNUMBER(SEARCH("SB청암",IF(INDEX(GLAPS컨테이너배차관리!$CM:$CM,$B24)="","",INDEX(GLAPS컨테이너배차관리!$CM:$CM,$B24))))),"청암신항",IF(INDEX(GLAPS컨테이너배차관리!$CM:$CM,$B24)="","",INDEX(GLAPS컨테이너배차관리!$CM:$CM,$B24))))))))</f>
        <v/>
      </c>
    </row>
    <row r="25" spans="1:28">
      <c r="A25">
        <v>24</v>
      </c>
      <c r="B25" t="str">
        <f>IFERROR(_xlfn.AGGREGATE(15,6,ROW(GLAPS컨테이너배차관리!$X$2:$X$20000)/(GLAPS컨테이너배차관리!$X$2:$X$20000&lt;&gt;""),A25),"")</f>
        <v/>
      </c>
      <c r="C25" t="str">
        <f>IF($B25="","",INT(IF(INDEX(GLAPS컨테이너배차관리!$K:$K,$B25)="","",INDEX(GLAPS컨테이너배차관리!$K:$K,$B25))))</f>
        <v/>
      </c>
      <c r="D25" t="str">
        <f>IF($B25="","",IF(ISNUMBER(SEARCH("이엘에스",IF(INDEX(GLAPS컨테이너배차관리!$AZ:$AZ,$B25)="","",INDEX(GLAPS컨테이너배차관리!$AZ:$AZ,$B25)))),"ELS솔루션",IF(INDEX(GLAPS컨테이너배차관리!$AZ:$AZ,$B25)="","",INDEX(GLAPS컨테이너배차관리!$AZ:$AZ,$B25))))</f>
        <v/>
      </c>
      <c r="E25" t="str">
        <f>IF($B25="","",IF(INDEX(GLAPS컨테이너배차관리!$L:$L,$B25)="","",INDEX(GLAPS컨테이너배차관리!$L:$L,$B25)))</f>
        <v/>
      </c>
      <c r="F25" t="str">
        <f>IF($B25="","",IF(HOUR(IF(INDEX(GLAPS컨테이너배차관리!$L:$L,$B25)="","",INDEX(GLAPS컨테이너배차관리!$L:$L,$B25)))&lt;12,"오전",IF(HOUR(IF(INDEX(GLAPS컨테이너배차관리!$L:$L,$B25)="","",INDEX(GLAPS컨테이너배차관리!$L:$L,$B25)))&lt;18,"오후","잔업")))</f>
        <v/>
      </c>
      <c r="G25" t="str">
        <f>IF($B25="","",IFERROR(INDEX(GLAPS정리!$G$3:$G$264,MATCH(IF(INDEX(GLAPS컨테이너배차관리!$BY:$BY,$B25)="","",INDEX(GLAPS컨테이너배차관리!$BY:$BY,$B25)),GLAPS정리!$H$3:$H$264,0)),TRIM(SUBSTITUTE(SUBSTITUTE(SUBSTITUTE(SUBSTITUTE(SUBSTITUTE(IF(INDEX(GLAPS컨테이너배차관리!$T:$T,$B25)="","",INDEX(GLAPS컨테이너배차관리!$T:$T,$B25)),"[GA]",""),"[GB]",""),"[GC]",""),"[KC]",""),"[GS]",""))))</f>
        <v/>
      </c>
      <c r="H25" t="str">
        <f>IF($B25="","",IFERROR(VLOOKUP(IF(INDEX(GLAPS컨테이너배차관리!$BY:$BY,$B25)="","",INDEX(GLAPS컨테이너배차관리!$BY:$BY,$B25)),GLAPS정리!$BT$3:$BV$200,3,0),""))</f>
        <v/>
      </c>
      <c r="I25" t="str">
        <f>IF($B25="","",LEFT(IF(INDEX(GLAPS컨테이너배차관리!$U:$U,$B25)="","",INDEX(GLAPS컨테이너배차관리!$U:$U,$B25)),FIND("/",IF(INDEX(GLAPS컨테이너배차관리!$U:$U,$B25)="","",INDEX(GLAPS컨테이너배차관리!$U:$U,$B25))&amp;"/")-1))</f>
        <v/>
      </c>
      <c r="J25" t="str">
        <f>IF($B25="","",IF(IF(INDEX(GLAPS컨테이너배차관리!$O:$O,$B25)="","",INDEX(GLAPS컨테이너배차관리!$O:$O,$B25))="EMC","EMA",IFERROR(INDEX(GLAPS정리!$A$2:$A$50,MATCH(IF(INDEX(GLAPS컨테이너배차관리!$O:$O,$B25)="","",INDEX(GLAPS컨테이너배차관리!$O:$O,$B25)),GLAPS정리!$D$2:$D$50,0)),IF(INDEX(GLAPS컨테이너배차관리!$O:$O,$B25)="","",INDEX(GLAPS컨테이너배차관리!$O:$O,$B25)))))</f>
        <v/>
      </c>
      <c r="K25" t="str">
        <f>IF($B25="","",IF(LEFT(IF(INDEX(GLAPS컨테이너배차관리!$Y:$Y,$B25)="","",INDEX(GLAPS컨테이너배차관리!$Y:$Y,$B25)),2)="22","20 Feet",IF(LEFT(IF(INDEX(GLAPS컨테이너배차관리!$Y:$Y,$B25)="","",INDEX(GLAPS컨테이너배차관리!$Y:$Y,$B25)),2)="42","40 Feet","40 Feet H")))</f>
        <v/>
      </c>
      <c r="L25" t="str">
        <f>IF($B25="","",IFERROR(INDEX(GLAPS정리!$BB$2:$BB$80,MATCH(IF(INDEX(GLAPS컨테이너배차관리!$BQ:$BQ,$B25)="","",INDEX(GLAPS컨테이너배차관리!$BQ:$BQ,$B25)),GLAPS정리!$BC$2:$BC$80,0)),IF(INDEX(GLAPS컨테이너배차관리!$BQ:$BQ,$B25)="","",INDEX(GLAPS컨테이너배차관리!$BQ:$BQ,$B25))))</f>
        <v/>
      </c>
      <c r="M25" t="str">
        <f>IF($B25="","",IFERROR(INDEX(GLAPS정리!$V$3:$V$180,MATCH(IF(INDEX(GLAPS컨테이너배차관리!$S:$S,$B25)="","",INDEX(GLAPS컨테이너배차관리!$S:$S,$B25)),GLAPS정리!$W$3:$W$180,0)),IF(INDEX(GLAPS컨테이너배차관리!$S:$S,$B25)="","",INDEX(GLAPS컨테이너배차관리!$S:$S,$B25))))</f>
        <v/>
      </c>
      <c r="N25" t="str">
        <f>IF($B25="","",IF(IF(INDEX(GLAPS컨테이너배차관리!$DF:$DF,$B25)="","",INDEX(GLAPS컨테이너배차관리!$DF:$DF,$B25))&lt;&gt;"",IF(INDEX(GLAPS컨테이너배차관리!$DF:$DF,$B25)="","",INDEX(GLAPS컨테이너배차관리!$DF:$DF,$B25)),IF(IF(INDEX(GLAPS컨테이너배차관리!$DG:$DG,$B25)="","",INDEX(GLAPS컨테이너배차관리!$DG:$DG,$B25))&lt;&gt;"",IF(INDEX(GLAPS컨테이너배차관리!$DG:$DG,$B25)="","",INDEX(GLAPS컨테이너배차관리!$DG:$DG,$B25)),"")))</f>
        <v/>
      </c>
      <c r="O25" t="str">
        <f>IF($B25="","",IF(INDEX(GLAPS컨테이너배차관리!$AB:$AB,$B25)="","",INDEX(GLAPS컨테이너배차관리!$AB:$AB,$B25)))</f>
        <v/>
      </c>
      <c r="P25" t="str">
        <f>IF($B25="","",IF(IF(INDEX(GLAPS컨테이너배차관리!$CP:$CP,$B25)="","",INDEX(GLAPS컨테이너배차관리!$CP:$CP,$B25))="","",IFERROR(INDEX(GLAPS정리!$BH$2:$BH$101,MATCH(IF(INDEX(GLAPS컨테이너배차관리!$CP:$CP,$B25)="","",INDEX(GLAPS컨테이너배차관리!$CP:$CP,$B25)),GLAPS정리!$BI$2:$BI$101,0)),IF(INDEX(GLAPS컨테이너배차관리!$CP:$CP,$B25)="","",INDEX(GLAPS컨테이너배차관리!$CP:$CP,$B25)))))</f>
        <v/>
      </c>
      <c r="Q25" t="str">
        <f>IF($B25="","",IF(AND(IF(INDEX(GLAPS컨테이너배차관리!$AK:$AK,$B25)="","",INDEX(GLAPS컨테이너배차관리!$AK:$AK,$B25))="Y",IF(INDEX(GLAPS컨테이너배차관리!$AI:$AI,$B25)="","",INDEX(GLAPS컨테이너배차관리!$AI:$AI,$B25))="Y"),"위험물리퍼",IF(IF(INDEX(GLAPS컨테이너배차관리!$AK:$AK,$B25)="","",INDEX(GLAPS컨테이너배차관리!$AK:$AK,$B25))="Y","위험물",IF(IF(INDEX(GLAPS컨테이너배차관리!$AI:$AI,$B25)="","",INDEX(GLAPS컨테이너배차관리!$AI:$AI,$B25))="Y","리퍼",""))))</f>
        <v/>
      </c>
      <c r="R25" t="str">
        <f>IF($B25="","",IF(LEFT(IF(INDEX(GLAPS컨테이너배차관리!$Y:$Y,$B25)="","",INDEX(GLAPS컨테이너배차관리!$Y:$Y,$B25)),2)="22",1,""))</f>
        <v/>
      </c>
      <c r="S25" t="str">
        <f>IF($B25="","",IF(LEFT(IF(INDEX(GLAPS컨테이너배차관리!$Y:$Y,$B25)="","",INDEX(GLAPS컨테이너배차관리!$Y:$Y,$B25)),2)="42",1,""))</f>
        <v/>
      </c>
      <c r="T25" t="str">
        <f>IF($B25="","",IF(LEFT(IF(INDEX(GLAPS컨테이너배차관리!$Y:$Y,$B25)="","",INDEX(GLAPS컨테이너배차관리!$Y:$Y,$B25)),2)="45",1,""))</f>
        <v/>
      </c>
      <c r="U25" t="str">
        <f>IF($B25="","",IF(INDEX(GLAPS컨테이너배차관리!$X:$X,$B25)="","",INDEX(GLAPS컨테이너배차관리!$X:$X,$B25)))</f>
        <v/>
      </c>
      <c r="V25" t="str">
        <f>IF($B25="","",IF(INDEX(GLAPS컨테이너배차관리!$Z:$Z,$B25)="","",INDEX(GLAPS컨테이너배차관리!$Z:$Z,$B25)))</f>
        <v/>
      </c>
      <c r="W25" t="str">
        <f>IF($B25="","",IF(IF(INDEX(GLAPS컨테이너배차관리!$DI:$DI,$B25)="","",INDEX(GLAPS컨테이너배차관리!$DI:$DI,$B25))&lt;&gt;"",IF(INDEX(GLAPS컨테이너배차관리!$DI:$DI,$B25)="","",INDEX(GLAPS컨테이너배차관리!$DI:$DI,$B25)),IF(IF(INDEX(GLAPS컨테이너배차관리!$DJ:$DJ,$B25)="","",INDEX(GLAPS컨테이너배차관리!$DJ:$DJ,$B25))&lt;&gt;"",IF(INDEX(GLAPS컨테이너배차관리!$DJ:$DJ,$B25)="","",INDEX(GLAPS컨테이너배차관리!$DJ:$DJ,$B25)),IF(IF(INDEX(GLAPS컨테이너배차관리!$DK:$DK,$B25)="","",INDEX(GLAPS컨테이너배차관리!$DK:$DK,$B25))&lt;&gt;"",IF(INDEX(GLAPS컨테이너배차관리!$DK:$DK,$B25)="","",INDEX(GLAPS컨테이너배차관리!$DK:$DK,$B25)),IF(IF(INDEX(GLAPS컨테이너배차관리!$DL:$DL,$B25)="","",INDEX(GLAPS컨테이너배차관리!$DL:$DL,$B25))&lt;&gt;"",IF(INDEX(GLAPS컨테이너배차관리!$DL:$DL,$B25)="","",INDEX(GLAPS컨테이너배차관리!$DL:$DL,$B25)),IF(IF(INDEX(GLAPS컨테이너배차관리!$DM:$DM,$B25)="","",INDEX(GLAPS컨테이너배차관리!$DM:$DM,$B25))&lt;&gt;"",IF(INDEX(GLAPS컨테이너배차관리!$DM:$DM,$B25)="","",INDEX(GLAPS컨테이너배차관리!$DM:$DM,$B25)),""))))))</f>
        <v/>
      </c>
      <c r="X25" t="str">
        <f>IF($B25="","",IF(INDEX(GLAPS컨테이너배차관리!$F:$F,$B25)="","",INDEX(GLAPS컨테이너배차관리!$F:$F,$B25)))</f>
        <v/>
      </c>
      <c r="Y25" t="str">
        <f>IF($B25="","",IF(IF(INDEX(GLAPS컨테이너배차관리!$M:$M,$B25)="","",INDEX(GLAPS컨테이너배차관리!$M:$M,$B25))&lt;&gt;"",IF(INDEX(GLAPS컨테이너배차관리!$M:$M,$B25)="","",INDEX(GLAPS컨테이너배차관리!$M:$M,$B25)),IF(IF(INDEX(GLAPS컨테이너배차관리!$N:$N,$B25)="","",INDEX(GLAPS컨테이너배차관리!$N:$N,$B25))&lt;&gt;"",IF(INDEX(GLAPS컨테이너배차관리!$N:$N,$B25)="","",INDEX(GLAPS컨테이너배차관리!$N:$N,$B25)),"")))</f>
        <v/>
      </c>
      <c r="Z25" t="str">
        <f>IF($B25="","",IF(IF(INDEX(GLAPS컨테이너배차관리!$CU:$CU,$B25)="","",INDEX(GLAPS컨테이너배차관리!$CU:$CU,$B25))="","",IFERROR(INT(IF(INDEX(GLAPS컨테이너배차관리!$CU:$CU,$B25)="","",INDEX(GLAPS컨테이너배차관리!$CU:$CU,$B25))),"")))</f>
        <v/>
      </c>
      <c r="AA25" t="str">
        <f>IF($B25="","",IF(AND(IF(INDEX(GLAPS컨테이너배차관리!$CL:$CL,$B25)="","",INDEX(GLAPS컨테이너배차관리!$CL:$CL,$B25))="",IF(INDEX(GLAPS컨테이너배차관리!$CM:$CM,$B25)="","",INDEX(GLAPS컨테이너배차관리!$CM:$CM,$B25))=""),"",IF(OR(IF(INDEX(GLAPS컨테이너배차관리!$CL:$CL,$B25)="","",INDEX(GLAPS컨테이너배차관리!$CL:$CL,$B25))="B000016649",ISNUMBER(SEARCH("B015",IF(INDEX(GLAPS컨테이너배차관리!$CM:$CM,$B25)="","",INDEX(GLAPS컨테이너배차관리!$CM:$CM,$B25)))),ISNUMBER(SEARCH("세방",IF(INDEX(GLAPS컨테이너배차관리!$CM:$CM,$B25)="","",INDEX(GLAPS컨테이너배차관리!$CM:$CM,$B25)))),ISNUMBER(SEARCH("SB",IF(INDEX(GLAPS컨테이너배차관리!$CM:$CM,$B25)="","",INDEX(GLAPS컨테이너배차관리!$CM:$CM,$B25))))),"세방","")))</f>
        <v/>
      </c>
      <c r="AB25" t="str">
        <f>IF($B25="","",IF(IF(INDEX(GLAPS컨테이너배차관리!$CM:$CM,$B25)="","",INDEX(GLAPS컨테이너배차관리!$CM:$CM,$B25))="","",IF(ISNUMBER(SEARCH("이지스두동",IF(INDEX(GLAPS컨테이너배차관리!$CM:$CM,$B25)="","",INDEX(GLAPS컨테이너배차관리!$CM:$CM,$B25)))),"이지스두동",IF(ISNUMBER(SEARCH("이지스녹산",IF(INDEX(GLAPS컨테이너배차관리!$CM:$CM,$B25)="","",INDEX(GLAPS컨테이너배차관리!$CM:$CM,$B25)))),"이지스녹산",IF(ISNUMBER(SEARCH("천우",IF(INDEX(GLAPS컨테이너배차관리!$CM:$CM,$B25)="","",INDEX(GLAPS컨테이너배차관리!$CM:$CM,$B25)))),"천우",IF(OR(ISNUMBER(SEARCH("청암",IF(INDEX(GLAPS컨테이너배차관리!$CM:$CM,$B25)="","",INDEX(GLAPS컨테이너배차관리!$CM:$CM,$B25)))),ISNUMBER(SEARCH("SB청암",IF(INDEX(GLAPS컨테이너배차관리!$CM:$CM,$B25)="","",INDEX(GLAPS컨테이너배차관리!$CM:$CM,$B25))))),"청암신항",IF(INDEX(GLAPS컨테이너배차관리!$CM:$CM,$B25)="","",INDEX(GLAPS컨테이너배차관리!$CM:$CM,$B25))))))))</f>
        <v/>
      </c>
    </row>
    <row r="26" spans="1:28">
      <c r="A26">
        <v>25</v>
      </c>
      <c r="B26" t="str">
        <f>IFERROR(_xlfn.AGGREGATE(15,6,ROW(GLAPS컨테이너배차관리!$X$2:$X$20000)/(GLAPS컨테이너배차관리!$X$2:$X$20000&lt;&gt;""),A26),"")</f>
        <v/>
      </c>
      <c r="C26" t="str">
        <f>IF($B26="","",INT(IF(INDEX(GLAPS컨테이너배차관리!$K:$K,$B26)="","",INDEX(GLAPS컨테이너배차관리!$K:$K,$B26))))</f>
        <v/>
      </c>
      <c r="D26" t="str">
        <f>IF($B26="","",IF(ISNUMBER(SEARCH("이엘에스",IF(INDEX(GLAPS컨테이너배차관리!$AZ:$AZ,$B26)="","",INDEX(GLAPS컨테이너배차관리!$AZ:$AZ,$B26)))),"ELS솔루션",IF(INDEX(GLAPS컨테이너배차관리!$AZ:$AZ,$B26)="","",INDEX(GLAPS컨테이너배차관리!$AZ:$AZ,$B26))))</f>
        <v/>
      </c>
      <c r="E26" t="str">
        <f>IF($B26="","",IF(INDEX(GLAPS컨테이너배차관리!$L:$L,$B26)="","",INDEX(GLAPS컨테이너배차관리!$L:$L,$B26)))</f>
        <v/>
      </c>
      <c r="F26" t="str">
        <f>IF($B26="","",IF(HOUR(IF(INDEX(GLAPS컨테이너배차관리!$L:$L,$B26)="","",INDEX(GLAPS컨테이너배차관리!$L:$L,$B26)))&lt;12,"오전",IF(HOUR(IF(INDEX(GLAPS컨테이너배차관리!$L:$L,$B26)="","",INDEX(GLAPS컨테이너배차관리!$L:$L,$B26)))&lt;18,"오후","잔업")))</f>
        <v/>
      </c>
      <c r="G26" t="str">
        <f>IF($B26="","",IFERROR(INDEX(GLAPS정리!$G$3:$G$264,MATCH(IF(INDEX(GLAPS컨테이너배차관리!$BY:$BY,$B26)="","",INDEX(GLAPS컨테이너배차관리!$BY:$BY,$B26)),GLAPS정리!$H$3:$H$264,0)),TRIM(SUBSTITUTE(SUBSTITUTE(SUBSTITUTE(SUBSTITUTE(SUBSTITUTE(IF(INDEX(GLAPS컨테이너배차관리!$T:$T,$B26)="","",INDEX(GLAPS컨테이너배차관리!$T:$T,$B26)),"[GA]",""),"[GB]",""),"[GC]",""),"[KC]",""),"[GS]",""))))</f>
        <v/>
      </c>
      <c r="H26" t="str">
        <f>IF($B26="","",IFERROR(VLOOKUP(IF(INDEX(GLAPS컨테이너배차관리!$BY:$BY,$B26)="","",INDEX(GLAPS컨테이너배차관리!$BY:$BY,$B26)),GLAPS정리!$BT$3:$BV$200,3,0),""))</f>
        <v/>
      </c>
      <c r="I26" t="str">
        <f>IF($B26="","",LEFT(IF(INDEX(GLAPS컨테이너배차관리!$U:$U,$B26)="","",INDEX(GLAPS컨테이너배차관리!$U:$U,$B26)),FIND("/",IF(INDEX(GLAPS컨테이너배차관리!$U:$U,$B26)="","",INDEX(GLAPS컨테이너배차관리!$U:$U,$B26))&amp;"/")-1))</f>
        <v/>
      </c>
      <c r="J26" t="str">
        <f>IF($B26="","",IF(IF(INDEX(GLAPS컨테이너배차관리!$O:$O,$B26)="","",INDEX(GLAPS컨테이너배차관리!$O:$O,$B26))="EMC","EMA",IFERROR(INDEX(GLAPS정리!$A$2:$A$50,MATCH(IF(INDEX(GLAPS컨테이너배차관리!$O:$O,$B26)="","",INDEX(GLAPS컨테이너배차관리!$O:$O,$B26)),GLAPS정리!$D$2:$D$50,0)),IF(INDEX(GLAPS컨테이너배차관리!$O:$O,$B26)="","",INDEX(GLAPS컨테이너배차관리!$O:$O,$B26)))))</f>
        <v/>
      </c>
      <c r="K26" t="str">
        <f>IF($B26="","",IF(LEFT(IF(INDEX(GLAPS컨테이너배차관리!$Y:$Y,$B26)="","",INDEX(GLAPS컨테이너배차관리!$Y:$Y,$B26)),2)="22","20 Feet",IF(LEFT(IF(INDEX(GLAPS컨테이너배차관리!$Y:$Y,$B26)="","",INDEX(GLAPS컨테이너배차관리!$Y:$Y,$B26)),2)="42","40 Feet","40 Feet H")))</f>
        <v/>
      </c>
      <c r="L26" t="str">
        <f>IF($B26="","",IFERROR(INDEX(GLAPS정리!$BB$2:$BB$80,MATCH(IF(INDEX(GLAPS컨테이너배차관리!$BQ:$BQ,$B26)="","",INDEX(GLAPS컨테이너배차관리!$BQ:$BQ,$B26)),GLAPS정리!$BC$2:$BC$80,0)),IF(INDEX(GLAPS컨테이너배차관리!$BQ:$BQ,$B26)="","",INDEX(GLAPS컨테이너배차관리!$BQ:$BQ,$B26))))</f>
        <v/>
      </c>
      <c r="M26" t="str">
        <f>IF($B26="","",IFERROR(INDEX(GLAPS정리!$V$3:$V$180,MATCH(IF(INDEX(GLAPS컨테이너배차관리!$S:$S,$B26)="","",INDEX(GLAPS컨테이너배차관리!$S:$S,$B26)),GLAPS정리!$W$3:$W$180,0)),IF(INDEX(GLAPS컨테이너배차관리!$S:$S,$B26)="","",INDEX(GLAPS컨테이너배차관리!$S:$S,$B26))))</f>
        <v/>
      </c>
      <c r="N26" t="str">
        <f>IF($B26="","",IF(IF(INDEX(GLAPS컨테이너배차관리!$DF:$DF,$B26)="","",INDEX(GLAPS컨테이너배차관리!$DF:$DF,$B26))&lt;&gt;"",IF(INDEX(GLAPS컨테이너배차관리!$DF:$DF,$B26)="","",INDEX(GLAPS컨테이너배차관리!$DF:$DF,$B26)),IF(IF(INDEX(GLAPS컨테이너배차관리!$DG:$DG,$B26)="","",INDEX(GLAPS컨테이너배차관리!$DG:$DG,$B26))&lt;&gt;"",IF(INDEX(GLAPS컨테이너배차관리!$DG:$DG,$B26)="","",INDEX(GLAPS컨테이너배차관리!$DG:$DG,$B26)),"")))</f>
        <v/>
      </c>
      <c r="O26" t="str">
        <f>IF($B26="","",IF(INDEX(GLAPS컨테이너배차관리!$AB:$AB,$B26)="","",INDEX(GLAPS컨테이너배차관리!$AB:$AB,$B26)))</f>
        <v/>
      </c>
      <c r="P26" t="str">
        <f>IF($B26="","",IF(IF(INDEX(GLAPS컨테이너배차관리!$CP:$CP,$B26)="","",INDEX(GLAPS컨테이너배차관리!$CP:$CP,$B26))="","",IFERROR(INDEX(GLAPS정리!$BH$2:$BH$101,MATCH(IF(INDEX(GLAPS컨테이너배차관리!$CP:$CP,$B26)="","",INDEX(GLAPS컨테이너배차관리!$CP:$CP,$B26)),GLAPS정리!$BI$2:$BI$101,0)),IF(INDEX(GLAPS컨테이너배차관리!$CP:$CP,$B26)="","",INDEX(GLAPS컨테이너배차관리!$CP:$CP,$B26)))))</f>
        <v/>
      </c>
      <c r="Q26" t="str">
        <f>IF($B26="","",IF(AND(IF(INDEX(GLAPS컨테이너배차관리!$AK:$AK,$B26)="","",INDEX(GLAPS컨테이너배차관리!$AK:$AK,$B26))="Y",IF(INDEX(GLAPS컨테이너배차관리!$AI:$AI,$B26)="","",INDEX(GLAPS컨테이너배차관리!$AI:$AI,$B26))="Y"),"위험물리퍼",IF(IF(INDEX(GLAPS컨테이너배차관리!$AK:$AK,$B26)="","",INDEX(GLAPS컨테이너배차관리!$AK:$AK,$B26))="Y","위험물",IF(IF(INDEX(GLAPS컨테이너배차관리!$AI:$AI,$B26)="","",INDEX(GLAPS컨테이너배차관리!$AI:$AI,$B26))="Y","리퍼",""))))</f>
        <v/>
      </c>
      <c r="R26" t="str">
        <f>IF($B26="","",IF(LEFT(IF(INDEX(GLAPS컨테이너배차관리!$Y:$Y,$B26)="","",INDEX(GLAPS컨테이너배차관리!$Y:$Y,$B26)),2)="22",1,""))</f>
        <v/>
      </c>
      <c r="S26" t="str">
        <f>IF($B26="","",IF(LEFT(IF(INDEX(GLAPS컨테이너배차관리!$Y:$Y,$B26)="","",INDEX(GLAPS컨테이너배차관리!$Y:$Y,$B26)),2)="42",1,""))</f>
        <v/>
      </c>
      <c r="T26" t="str">
        <f>IF($B26="","",IF(LEFT(IF(INDEX(GLAPS컨테이너배차관리!$Y:$Y,$B26)="","",INDEX(GLAPS컨테이너배차관리!$Y:$Y,$B26)),2)="45",1,""))</f>
        <v/>
      </c>
      <c r="U26" t="str">
        <f>IF($B26="","",IF(INDEX(GLAPS컨테이너배차관리!$X:$X,$B26)="","",INDEX(GLAPS컨테이너배차관리!$X:$X,$B26)))</f>
        <v/>
      </c>
      <c r="V26" t="str">
        <f>IF($B26="","",IF(INDEX(GLAPS컨테이너배차관리!$Z:$Z,$B26)="","",INDEX(GLAPS컨테이너배차관리!$Z:$Z,$B26)))</f>
        <v/>
      </c>
      <c r="W26" t="str">
        <f>IF($B26="","",IF(IF(INDEX(GLAPS컨테이너배차관리!$DI:$DI,$B26)="","",INDEX(GLAPS컨테이너배차관리!$DI:$DI,$B26))&lt;&gt;"",IF(INDEX(GLAPS컨테이너배차관리!$DI:$DI,$B26)="","",INDEX(GLAPS컨테이너배차관리!$DI:$DI,$B26)),IF(IF(INDEX(GLAPS컨테이너배차관리!$DJ:$DJ,$B26)="","",INDEX(GLAPS컨테이너배차관리!$DJ:$DJ,$B26))&lt;&gt;"",IF(INDEX(GLAPS컨테이너배차관리!$DJ:$DJ,$B26)="","",INDEX(GLAPS컨테이너배차관리!$DJ:$DJ,$B26)),IF(IF(INDEX(GLAPS컨테이너배차관리!$DK:$DK,$B26)="","",INDEX(GLAPS컨테이너배차관리!$DK:$DK,$B26))&lt;&gt;"",IF(INDEX(GLAPS컨테이너배차관리!$DK:$DK,$B26)="","",INDEX(GLAPS컨테이너배차관리!$DK:$DK,$B26)),IF(IF(INDEX(GLAPS컨테이너배차관리!$DL:$DL,$B26)="","",INDEX(GLAPS컨테이너배차관리!$DL:$DL,$B26))&lt;&gt;"",IF(INDEX(GLAPS컨테이너배차관리!$DL:$DL,$B26)="","",INDEX(GLAPS컨테이너배차관리!$DL:$DL,$B26)),IF(IF(INDEX(GLAPS컨테이너배차관리!$DM:$DM,$B26)="","",INDEX(GLAPS컨테이너배차관리!$DM:$DM,$B26))&lt;&gt;"",IF(INDEX(GLAPS컨테이너배차관리!$DM:$DM,$B26)="","",INDEX(GLAPS컨테이너배차관리!$DM:$DM,$B26)),""))))))</f>
        <v/>
      </c>
      <c r="X26" t="str">
        <f>IF($B26="","",IF(INDEX(GLAPS컨테이너배차관리!$F:$F,$B26)="","",INDEX(GLAPS컨테이너배차관리!$F:$F,$B26)))</f>
        <v/>
      </c>
      <c r="Y26" t="str">
        <f>IF($B26="","",IF(IF(INDEX(GLAPS컨테이너배차관리!$M:$M,$B26)="","",INDEX(GLAPS컨테이너배차관리!$M:$M,$B26))&lt;&gt;"",IF(INDEX(GLAPS컨테이너배차관리!$M:$M,$B26)="","",INDEX(GLAPS컨테이너배차관리!$M:$M,$B26)),IF(IF(INDEX(GLAPS컨테이너배차관리!$N:$N,$B26)="","",INDEX(GLAPS컨테이너배차관리!$N:$N,$B26))&lt;&gt;"",IF(INDEX(GLAPS컨테이너배차관리!$N:$N,$B26)="","",INDEX(GLAPS컨테이너배차관리!$N:$N,$B26)),"")))</f>
        <v/>
      </c>
      <c r="Z26" t="str">
        <f>IF($B26="","",IF(IF(INDEX(GLAPS컨테이너배차관리!$CU:$CU,$B26)="","",INDEX(GLAPS컨테이너배차관리!$CU:$CU,$B26))="","",IFERROR(INT(IF(INDEX(GLAPS컨테이너배차관리!$CU:$CU,$B26)="","",INDEX(GLAPS컨테이너배차관리!$CU:$CU,$B26))),"")))</f>
        <v/>
      </c>
      <c r="AA26" t="str">
        <f>IF($B26="","",IF(AND(IF(INDEX(GLAPS컨테이너배차관리!$CL:$CL,$B26)="","",INDEX(GLAPS컨테이너배차관리!$CL:$CL,$B26))="",IF(INDEX(GLAPS컨테이너배차관리!$CM:$CM,$B26)="","",INDEX(GLAPS컨테이너배차관리!$CM:$CM,$B26))=""),"",IF(OR(IF(INDEX(GLAPS컨테이너배차관리!$CL:$CL,$B26)="","",INDEX(GLAPS컨테이너배차관리!$CL:$CL,$B26))="B000016649",ISNUMBER(SEARCH("B015",IF(INDEX(GLAPS컨테이너배차관리!$CM:$CM,$B26)="","",INDEX(GLAPS컨테이너배차관리!$CM:$CM,$B26)))),ISNUMBER(SEARCH("세방",IF(INDEX(GLAPS컨테이너배차관리!$CM:$CM,$B26)="","",INDEX(GLAPS컨테이너배차관리!$CM:$CM,$B26)))),ISNUMBER(SEARCH("SB",IF(INDEX(GLAPS컨테이너배차관리!$CM:$CM,$B26)="","",INDEX(GLAPS컨테이너배차관리!$CM:$CM,$B26))))),"세방","")))</f>
        <v/>
      </c>
      <c r="AB26" t="str">
        <f>IF($B26="","",IF(IF(INDEX(GLAPS컨테이너배차관리!$CM:$CM,$B26)="","",INDEX(GLAPS컨테이너배차관리!$CM:$CM,$B26))="","",IF(ISNUMBER(SEARCH("이지스두동",IF(INDEX(GLAPS컨테이너배차관리!$CM:$CM,$B26)="","",INDEX(GLAPS컨테이너배차관리!$CM:$CM,$B26)))),"이지스두동",IF(ISNUMBER(SEARCH("이지스녹산",IF(INDEX(GLAPS컨테이너배차관리!$CM:$CM,$B26)="","",INDEX(GLAPS컨테이너배차관리!$CM:$CM,$B26)))),"이지스녹산",IF(ISNUMBER(SEARCH("천우",IF(INDEX(GLAPS컨테이너배차관리!$CM:$CM,$B26)="","",INDEX(GLAPS컨테이너배차관리!$CM:$CM,$B26)))),"천우",IF(OR(ISNUMBER(SEARCH("청암",IF(INDEX(GLAPS컨테이너배차관리!$CM:$CM,$B26)="","",INDEX(GLAPS컨테이너배차관리!$CM:$CM,$B26)))),ISNUMBER(SEARCH("SB청암",IF(INDEX(GLAPS컨테이너배차관리!$CM:$CM,$B26)="","",INDEX(GLAPS컨테이너배차관리!$CM:$CM,$B26))))),"청암신항",IF(INDEX(GLAPS컨테이너배차관리!$CM:$CM,$B26)="","",INDEX(GLAPS컨테이너배차관리!$CM:$CM,$B26))))))))</f>
        <v/>
      </c>
    </row>
    <row r="27" spans="1:28">
      <c r="A27">
        <v>26</v>
      </c>
      <c r="B27" t="str">
        <f>IFERROR(_xlfn.AGGREGATE(15,6,ROW(GLAPS컨테이너배차관리!$X$2:$X$20000)/(GLAPS컨테이너배차관리!$X$2:$X$20000&lt;&gt;""),A27),"")</f>
        <v/>
      </c>
      <c r="C27" t="str">
        <f>IF($B27="","",INT(IF(INDEX(GLAPS컨테이너배차관리!$K:$K,$B27)="","",INDEX(GLAPS컨테이너배차관리!$K:$K,$B27))))</f>
        <v/>
      </c>
      <c r="D27" t="str">
        <f>IF($B27="","",IF(ISNUMBER(SEARCH("이엘에스",IF(INDEX(GLAPS컨테이너배차관리!$AZ:$AZ,$B27)="","",INDEX(GLAPS컨테이너배차관리!$AZ:$AZ,$B27)))),"ELS솔루션",IF(INDEX(GLAPS컨테이너배차관리!$AZ:$AZ,$B27)="","",INDEX(GLAPS컨테이너배차관리!$AZ:$AZ,$B27))))</f>
        <v/>
      </c>
      <c r="E27" t="str">
        <f>IF($B27="","",IF(INDEX(GLAPS컨테이너배차관리!$L:$L,$B27)="","",INDEX(GLAPS컨테이너배차관리!$L:$L,$B27)))</f>
        <v/>
      </c>
      <c r="F27" t="str">
        <f>IF($B27="","",IF(HOUR(IF(INDEX(GLAPS컨테이너배차관리!$L:$L,$B27)="","",INDEX(GLAPS컨테이너배차관리!$L:$L,$B27)))&lt;12,"오전",IF(HOUR(IF(INDEX(GLAPS컨테이너배차관리!$L:$L,$B27)="","",INDEX(GLAPS컨테이너배차관리!$L:$L,$B27)))&lt;18,"오후","잔업")))</f>
        <v/>
      </c>
      <c r="G27" t="str">
        <f>IF($B27="","",IFERROR(INDEX(GLAPS정리!$G$3:$G$264,MATCH(IF(INDEX(GLAPS컨테이너배차관리!$BY:$BY,$B27)="","",INDEX(GLAPS컨테이너배차관리!$BY:$BY,$B27)),GLAPS정리!$H$3:$H$264,0)),TRIM(SUBSTITUTE(SUBSTITUTE(SUBSTITUTE(SUBSTITUTE(SUBSTITUTE(IF(INDEX(GLAPS컨테이너배차관리!$T:$T,$B27)="","",INDEX(GLAPS컨테이너배차관리!$T:$T,$B27)),"[GA]",""),"[GB]",""),"[GC]",""),"[KC]",""),"[GS]",""))))</f>
        <v/>
      </c>
      <c r="H27" t="str">
        <f>IF($B27="","",IFERROR(VLOOKUP(IF(INDEX(GLAPS컨테이너배차관리!$BY:$BY,$B27)="","",INDEX(GLAPS컨테이너배차관리!$BY:$BY,$B27)),GLAPS정리!$BT$3:$BV$200,3,0),""))</f>
        <v/>
      </c>
      <c r="I27" t="str">
        <f>IF($B27="","",LEFT(IF(INDEX(GLAPS컨테이너배차관리!$U:$U,$B27)="","",INDEX(GLAPS컨테이너배차관리!$U:$U,$B27)),FIND("/",IF(INDEX(GLAPS컨테이너배차관리!$U:$U,$B27)="","",INDEX(GLAPS컨테이너배차관리!$U:$U,$B27))&amp;"/")-1))</f>
        <v/>
      </c>
      <c r="J27" t="str">
        <f>IF($B27="","",IF(IF(INDEX(GLAPS컨테이너배차관리!$O:$O,$B27)="","",INDEX(GLAPS컨테이너배차관리!$O:$O,$B27))="EMC","EMA",IFERROR(INDEX(GLAPS정리!$A$2:$A$50,MATCH(IF(INDEX(GLAPS컨테이너배차관리!$O:$O,$B27)="","",INDEX(GLAPS컨테이너배차관리!$O:$O,$B27)),GLAPS정리!$D$2:$D$50,0)),IF(INDEX(GLAPS컨테이너배차관리!$O:$O,$B27)="","",INDEX(GLAPS컨테이너배차관리!$O:$O,$B27)))))</f>
        <v/>
      </c>
      <c r="K27" t="str">
        <f>IF($B27="","",IF(LEFT(IF(INDEX(GLAPS컨테이너배차관리!$Y:$Y,$B27)="","",INDEX(GLAPS컨테이너배차관리!$Y:$Y,$B27)),2)="22","20 Feet",IF(LEFT(IF(INDEX(GLAPS컨테이너배차관리!$Y:$Y,$B27)="","",INDEX(GLAPS컨테이너배차관리!$Y:$Y,$B27)),2)="42","40 Feet","40 Feet H")))</f>
        <v/>
      </c>
      <c r="L27" t="str">
        <f>IF($B27="","",IFERROR(INDEX(GLAPS정리!$BB$2:$BB$80,MATCH(IF(INDEX(GLAPS컨테이너배차관리!$BQ:$BQ,$B27)="","",INDEX(GLAPS컨테이너배차관리!$BQ:$BQ,$B27)),GLAPS정리!$BC$2:$BC$80,0)),IF(INDEX(GLAPS컨테이너배차관리!$BQ:$BQ,$B27)="","",INDEX(GLAPS컨테이너배차관리!$BQ:$BQ,$B27))))</f>
        <v/>
      </c>
      <c r="M27" t="str">
        <f>IF($B27="","",IFERROR(INDEX(GLAPS정리!$V$3:$V$180,MATCH(IF(INDEX(GLAPS컨테이너배차관리!$S:$S,$B27)="","",INDEX(GLAPS컨테이너배차관리!$S:$S,$B27)),GLAPS정리!$W$3:$W$180,0)),IF(INDEX(GLAPS컨테이너배차관리!$S:$S,$B27)="","",INDEX(GLAPS컨테이너배차관리!$S:$S,$B27))))</f>
        <v/>
      </c>
      <c r="N27" t="str">
        <f>IF($B27="","",IF(IF(INDEX(GLAPS컨테이너배차관리!$DF:$DF,$B27)="","",INDEX(GLAPS컨테이너배차관리!$DF:$DF,$B27))&lt;&gt;"",IF(INDEX(GLAPS컨테이너배차관리!$DF:$DF,$B27)="","",INDEX(GLAPS컨테이너배차관리!$DF:$DF,$B27)),IF(IF(INDEX(GLAPS컨테이너배차관리!$DG:$DG,$B27)="","",INDEX(GLAPS컨테이너배차관리!$DG:$DG,$B27))&lt;&gt;"",IF(INDEX(GLAPS컨테이너배차관리!$DG:$DG,$B27)="","",INDEX(GLAPS컨테이너배차관리!$DG:$DG,$B27)),"")))</f>
        <v/>
      </c>
      <c r="O27" t="str">
        <f>IF($B27="","",IF(INDEX(GLAPS컨테이너배차관리!$AB:$AB,$B27)="","",INDEX(GLAPS컨테이너배차관리!$AB:$AB,$B27)))</f>
        <v/>
      </c>
      <c r="P27" t="str">
        <f>IF($B27="","",IF(IF(INDEX(GLAPS컨테이너배차관리!$CP:$CP,$B27)="","",INDEX(GLAPS컨테이너배차관리!$CP:$CP,$B27))="","",IFERROR(INDEX(GLAPS정리!$BH$2:$BH$101,MATCH(IF(INDEX(GLAPS컨테이너배차관리!$CP:$CP,$B27)="","",INDEX(GLAPS컨테이너배차관리!$CP:$CP,$B27)),GLAPS정리!$BI$2:$BI$101,0)),IF(INDEX(GLAPS컨테이너배차관리!$CP:$CP,$B27)="","",INDEX(GLAPS컨테이너배차관리!$CP:$CP,$B27)))))</f>
        <v/>
      </c>
      <c r="Q27" t="str">
        <f>IF($B27="","",IF(AND(IF(INDEX(GLAPS컨테이너배차관리!$AK:$AK,$B27)="","",INDEX(GLAPS컨테이너배차관리!$AK:$AK,$B27))="Y",IF(INDEX(GLAPS컨테이너배차관리!$AI:$AI,$B27)="","",INDEX(GLAPS컨테이너배차관리!$AI:$AI,$B27))="Y"),"위험물리퍼",IF(IF(INDEX(GLAPS컨테이너배차관리!$AK:$AK,$B27)="","",INDEX(GLAPS컨테이너배차관리!$AK:$AK,$B27))="Y","위험물",IF(IF(INDEX(GLAPS컨테이너배차관리!$AI:$AI,$B27)="","",INDEX(GLAPS컨테이너배차관리!$AI:$AI,$B27))="Y","리퍼",""))))</f>
        <v/>
      </c>
      <c r="R27" t="str">
        <f>IF($B27="","",IF(LEFT(IF(INDEX(GLAPS컨테이너배차관리!$Y:$Y,$B27)="","",INDEX(GLAPS컨테이너배차관리!$Y:$Y,$B27)),2)="22",1,""))</f>
        <v/>
      </c>
      <c r="S27" t="str">
        <f>IF($B27="","",IF(LEFT(IF(INDEX(GLAPS컨테이너배차관리!$Y:$Y,$B27)="","",INDEX(GLAPS컨테이너배차관리!$Y:$Y,$B27)),2)="42",1,""))</f>
        <v/>
      </c>
      <c r="T27" t="str">
        <f>IF($B27="","",IF(LEFT(IF(INDEX(GLAPS컨테이너배차관리!$Y:$Y,$B27)="","",INDEX(GLAPS컨테이너배차관리!$Y:$Y,$B27)),2)="45",1,""))</f>
        <v/>
      </c>
      <c r="U27" t="str">
        <f>IF($B27="","",IF(INDEX(GLAPS컨테이너배차관리!$X:$X,$B27)="","",INDEX(GLAPS컨테이너배차관리!$X:$X,$B27)))</f>
        <v/>
      </c>
      <c r="V27" t="str">
        <f>IF($B27="","",IF(INDEX(GLAPS컨테이너배차관리!$Z:$Z,$B27)="","",INDEX(GLAPS컨테이너배차관리!$Z:$Z,$B27)))</f>
        <v/>
      </c>
      <c r="W27" t="str">
        <f>IF($B27="","",IF(IF(INDEX(GLAPS컨테이너배차관리!$DI:$DI,$B27)="","",INDEX(GLAPS컨테이너배차관리!$DI:$DI,$B27))&lt;&gt;"",IF(INDEX(GLAPS컨테이너배차관리!$DI:$DI,$B27)="","",INDEX(GLAPS컨테이너배차관리!$DI:$DI,$B27)),IF(IF(INDEX(GLAPS컨테이너배차관리!$DJ:$DJ,$B27)="","",INDEX(GLAPS컨테이너배차관리!$DJ:$DJ,$B27))&lt;&gt;"",IF(INDEX(GLAPS컨테이너배차관리!$DJ:$DJ,$B27)="","",INDEX(GLAPS컨테이너배차관리!$DJ:$DJ,$B27)),IF(IF(INDEX(GLAPS컨테이너배차관리!$DK:$DK,$B27)="","",INDEX(GLAPS컨테이너배차관리!$DK:$DK,$B27))&lt;&gt;"",IF(INDEX(GLAPS컨테이너배차관리!$DK:$DK,$B27)="","",INDEX(GLAPS컨테이너배차관리!$DK:$DK,$B27)),IF(IF(INDEX(GLAPS컨테이너배차관리!$DL:$DL,$B27)="","",INDEX(GLAPS컨테이너배차관리!$DL:$DL,$B27))&lt;&gt;"",IF(INDEX(GLAPS컨테이너배차관리!$DL:$DL,$B27)="","",INDEX(GLAPS컨테이너배차관리!$DL:$DL,$B27)),IF(IF(INDEX(GLAPS컨테이너배차관리!$DM:$DM,$B27)="","",INDEX(GLAPS컨테이너배차관리!$DM:$DM,$B27))&lt;&gt;"",IF(INDEX(GLAPS컨테이너배차관리!$DM:$DM,$B27)="","",INDEX(GLAPS컨테이너배차관리!$DM:$DM,$B27)),""))))))</f>
        <v/>
      </c>
      <c r="X27" t="str">
        <f>IF($B27="","",IF(INDEX(GLAPS컨테이너배차관리!$F:$F,$B27)="","",INDEX(GLAPS컨테이너배차관리!$F:$F,$B27)))</f>
        <v/>
      </c>
      <c r="Y27" t="str">
        <f>IF($B27="","",IF(IF(INDEX(GLAPS컨테이너배차관리!$M:$M,$B27)="","",INDEX(GLAPS컨테이너배차관리!$M:$M,$B27))&lt;&gt;"",IF(INDEX(GLAPS컨테이너배차관리!$M:$M,$B27)="","",INDEX(GLAPS컨테이너배차관리!$M:$M,$B27)),IF(IF(INDEX(GLAPS컨테이너배차관리!$N:$N,$B27)="","",INDEX(GLAPS컨테이너배차관리!$N:$N,$B27))&lt;&gt;"",IF(INDEX(GLAPS컨테이너배차관리!$N:$N,$B27)="","",INDEX(GLAPS컨테이너배차관리!$N:$N,$B27)),"")))</f>
        <v/>
      </c>
      <c r="Z27" t="str">
        <f>IF($B27="","",IF(IF(INDEX(GLAPS컨테이너배차관리!$CU:$CU,$B27)="","",INDEX(GLAPS컨테이너배차관리!$CU:$CU,$B27))="","",IFERROR(INT(IF(INDEX(GLAPS컨테이너배차관리!$CU:$CU,$B27)="","",INDEX(GLAPS컨테이너배차관리!$CU:$CU,$B27))),"")))</f>
        <v/>
      </c>
      <c r="AA27" t="str">
        <f>IF($B27="","",IF(AND(IF(INDEX(GLAPS컨테이너배차관리!$CL:$CL,$B27)="","",INDEX(GLAPS컨테이너배차관리!$CL:$CL,$B27))="",IF(INDEX(GLAPS컨테이너배차관리!$CM:$CM,$B27)="","",INDEX(GLAPS컨테이너배차관리!$CM:$CM,$B27))=""),"",IF(OR(IF(INDEX(GLAPS컨테이너배차관리!$CL:$CL,$B27)="","",INDEX(GLAPS컨테이너배차관리!$CL:$CL,$B27))="B000016649",ISNUMBER(SEARCH("B015",IF(INDEX(GLAPS컨테이너배차관리!$CM:$CM,$B27)="","",INDEX(GLAPS컨테이너배차관리!$CM:$CM,$B27)))),ISNUMBER(SEARCH("세방",IF(INDEX(GLAPS컨테이너배차관리!$CM:$CM,$B27)="","",INDEX(GLAPS컨테이너배차관리!$CM:$CM,$B27)))),ISNUMBER(SEARCH("SB",IF(INDEX(GLAPS컨테이너배차관리!$CM:$CM,$B27)="","",INDEX(GLAPS컨테이너배차관리!$CM:$CM,$B27))))),"세방","")))</f>
        <v/>
      </c>
      <c r="AB27" t="str">
        <f>IF($B27="","",IF(IF(INDEX(GLAPS컨테이너배차관리!$CM:$CM,$B27)="","",INDEX(GLAPS컨테이너배차관리!$CM:$CM,$B27))="","",IF(ISNUMBER(SEARCH("이지스두동",IF(INDEX(GLAPS컨테이너배차관리!$CM:$CM,$B27)="","",INDEX(GLAPS컨테이너배차관리!$CM:$CM,$B27)))),"이지스두동",IF(ISNUMBER(SEARCH("이지스녹산",IF(INDEX(GLAPS컨테이너배차관리!$CM:$CM,$B27)="","",INDEX(GLAPS컨테이너배차관리!$CM:$CM,$B27)))),"이지스녹산",IF(ISNUMBER(SEARCH("천우",IF(INDEX(GLAPS컨테이너배차관리!$CM:$CM,$B27)="","",INDEX(GLAPS컨테이너배차관리!$CM:$CM,$B27)))),"천우",IF(OR(ISNUMBER(SEARCH("청암",IF(INDEX(GLAPS컨테이너배차관리!$CM:$CM,$B27)="","",INDEX(GLAPS컨테이너배차관리!$CM:$CM,$B27)))),ISNUMBER(SEARCH("SB청암",IF(INDEX(GLAPS컨테이너배차관리!$CM:$CM,$B27)="","",INDEX(GLAPS컨테이너배차관리!$CM:$CM,$B27))))),"청암신항",IF(INDEX(GLAPS컨테이너배차관리!$CM:$CM,$B27)="","",INDEX(GLAPS컨테이너배차관리!$CM:$CM,$B27))))))))</f>
        <v/>
      </c>
    </row>
    <row r="28" spans="1:28">
      <c r="A28">
        <v>27</v>
      </c>
      <c r="B28" t="str">
        <f>IFERROR(_xlfn.AGGREGATE(15,6,ROW(GLAPS컨테이너배차관리!$X$2:$X$20000)/(GLAPS컨테이너배차관리!$X$2:$X$20000&lt;&gt;""),A28),"")</f>
        <v/>
      </c>
      <c r="C28" t="str">
        <f>IF($B28="","",INT(IF(INDEX(GLAPS컨테이너배차관리!$K:$K,$B28)="","",INDEX(GLAPS컨테이너배차관리!$K:$K,$B28))))</f>
        <v/>
      </c>
      <c r="D28" t="str">
        <f>IF($B28="","",IF(ISNUMBER(SEARCH("이엘에스",IF(INDEX(GLAPS컨테이너배차관리!$AZ:$AZ,$B28)="","",INDEX(GLAPS컨테이너배차관리!$AZ:$AZ,$B28)))),"ELS솔루션",IF(INDEX(GLAPS컨테이너배차관리!$AZ:$AZ,$B28)="","",INDEX(GLAPS컨테이너배차관리!$AZ:$AZ,$B28))))</f>
        <v/>
      </c>
      <c r="E28" t="str">
        <f>IF($B28="","",IF(INDEX(GLAPS컨테이너배차관리!$L:$L,$B28)="","",INDEX(GLAPS컨테이너배차관리!$L:$L,$B28)))</f>
        <v/>
      </c>
      <c r="F28" t="str">
        <f>IF($B28="","",IF(HOUR(IF(INDEX(GLAPS컨테이너배차관리!$L:$L,$B28)="","",INDEX(GLAPS컨테이너배차관리!$L:$L,$B28)))&lt;12,"오전",IF(HOUR(IF(INDEX(GLAPS컨테이너배차관리!$L:$L,$B28)="","",INDEX(GLAPS컨테이너배차관리!$L:$L,$B28)))&lt;18,"오후","잔업")))</f>
        <v/>
      </c>
      <c r="G28" t="str">
        <f>IF($B28="","",IFERROR(INDEX(GLAPS정리!$G$3:$G$264,MATCH(IF(INDEX(GLAPS컨테이너배차관리!$BY:$BY,$B28)="","",INDEX(GLAPS컨테이너배차관리!$BY:$BY,$B28)),GLAPS정리!$H$3:$H$264,0)),TRIM(SUBSTITUTE(SUBSTITUTE(SUBSTITUTE(SUBSTITUTE(SUBSTITUTE(IF(INDEX(GLAPS컨테이너배차관리!$T:$T,$B28)="","",INDEX(GLAPS컨테이너배차관리!$T:$T,$B28)),"[GA]",""),"[GB]",""),"[GC]",""),"[KC]",""),"[GS]",""))))</f>
        <v/>
      </c>
      <c r="H28" t="str">
        <f>IF($B28="","",IFERROR(VLOOKUP(IF(INDEX(GLAPS컨테이너배차관리!$BY:$BY,$B28)="","",INDEX(GLAPS컨테이너배차관리!$BY:$BY,$B28)),GLAPS정리!$BT$3:$BV$200,3,0),""))</f>
        <v/>
      </c>
      <c r="I28" t="str">
        <f>IF($B28="","",LEFT(IF(INDEX(GLAPS컨테이너배차관리!$U:$U,$B28)="","",INDEX(GLAPS컨테이너배차관리!$U:$U,$B28)),FIND("/",IF(INDEX(GLAPS컨테이너배차관리!$U:$U,$B28)="","",INDEX(GLAPS컨테이너배차관리!$U:$U,$B28))&amp;"/")-1))</f>
        <v/>
      </c>
      <c r="J28" t="str">
        <f>IF($B28="","",IF(IF(INDEX(GLAPS컨테이너배차관리!$O:$O,$B28)="","",INDEX(GLAPS컨테이너배차관리!$O:$O,$B28))="EMC","EMA",IFERROR(INDEX(GLAPS정리!$A$2:$A$50,MATCH(IF(INDEX(GLAPS컨테이너배차관리!$O:$O,$B28)="","",INDEX(GLAPS컨테이너배차관리!$O:$O,$B28)),GLAPS정리!$D$2:$D$50,0)),IF(INDEX(GLAPS컨테이너배차관리!$O:$O,$B28)="","",INDEX(GLAPS컨테이너배차관리!$O:$O,$B28)))))</f>
        <v/>
      </c>
      <c r="K28" t="str">
        <f>IF($B28="","",IF(LEFT(IF(INDEX(GLAPS컨테이너배차관리!$Y:$Y,$B28)="","",INDEX(GLAPS컨테이너배차관리!$Y:$Y,$B28)),2)="22","20 Feet",IF(LEFT(IF(INDEX(GLAPS컨테이너배차관리!$Y:$Y,$B28)="","",INDEX(GLAPS컨테이너배차관리!$Y:$Y,$B28)),2)="42","40 Feet","40 Feet H")))</f>
        <v/>
      </c>
      <c r="L28" t="str">
        <f>IF($B28="","",IFERROR(INDEX(GLAPS정리!$BB$2:$BB$80,MATCH(IF(INDEX(GLAPS컨테이너배차관리!$BQ:$BQ,$B28)="","",INDEX(GLAPS컨테이너배차관리!$BQ:$BQ,$B28)),GLAPS정리!$BC$2:$BC$80,0)),IF(INDEX(GLAPS컨테이너배차관리!$BQ:$BQ,$B28)="","",INDEX(GLAPS컨테이너배차관리!$BQ:$BQ,$B28))))</f>
        <v/>
      </c>
      <c r="M28" t="str">
        <f>IF($B28="","",IFERROR(INDEX(GLAPS정리!$V$3:$V$180,MATCH(IF(INDEX(GLAPS컨테이너배차관리!$S:$S,$B28)="","",INDEX(GLAPS컨테이너배차관리!$S:$S,$B28)),GLAPS정리!$W$3:$W$180,0)),IF(INDEX(GLAPS컨테이너배차관리!$S:$S,$B28)="","",INDEX(GLAPS컨테이너배차관리!$S:$S,$B28))))</f>
        <v/>
      </c>
      <c r="N28" t="str">
        <f>IF($B28="","",IF(IF(INDEX(GLAPS컨테이너배차관리!$DF:$DF,$B28)="","",INDEX(GLAPS컨테이너배차관리!$DF:$DF,$B28))&lt;&gt;"",IF(INDEX(GLAPS컨테이너배차관리!$DF:$DF,$B28)="","",INDEX(GLAPS컨테이너배차관리!$DF:$DF,$B28)),IF(IF(INDEX(GLAPS컨테이너배차관리!$DG:$DG,$B28)="","",INDEX(GLAPS컨테이너배차관리!$DG:$DG,$B28))&lt;&gt;"",IF(INDEX(GLAPS컨테이너배차관리!$DG:$DG,$B28)="","",INDEX(GLAPS컨테이너배차관리!$DG:$DG,$B28)),"")))</f>
        <v/>
      </c>
      <c r="O28" t="str">
        <f>IF($B28="","",IF(INDEX(GLAPS컨테이너배차관리!$AB:$AB,$B28)="","",INDEX(GLAPS컨테이너배차관리!$AB:$AB,$B28)))</f>
        <v/>
      </c>
      <c r="P28" t="str">
        <f>IF($B28="","",IF(IF(INDEX(GLAPS컨테이너배차관리!$CP:$CP,$B28)="","",INDEX(GLAPS컨테이너배차관리!$CP:$CP,$B28))="","",IFERROR(INDEX(GLAPS정리!$BH$2:$BH$101,MATCH(IF(INDEX(GLAPS컨테이너배차관리!$CP:$CP,$B28)="","",INDEX(GLAPS컨테이너배차관리!$CP:$CP,$B28)),GLAPS정리!$BI$2:$BI$101,0)),IF(INDEX(GLAPS컨테이너배차관리!$CP:$CP,$B28)="","",INDEX(GLAPS컨테이너배차관리!$CP:$CP,$B28)))))</f>
        <v/>
      </c>
      <c r="Q28" t="str">
        <f>IF($B28="","",IF(AND(IF(INDEX(GLAPS컨테이너배차관리!$AK:$AK,$B28)="","",INDEX(GLAPS컨테이너배차관리!$AK:$AK,$B28))="Y",IF(INDEX(GLAPS컨테이너배차관리!$AI:$AI,$B28)="","",INDEX(GLAPS컨테이너배차관리!$AI:$AI,$B28))="Y"),"위험물리퍼",IF(IF(INDEX(GLAPS컨테이너배차관리!$AK:$AK,$B28)="","",INDEX(GLAPS컨테이너배차관리!$AK:$AK,$B28))="Y","위험물",IF(IF(INDEX(GLAPS컨테이너배차관리!$AI:$AI,$B28)="","",INDEX(GLAPS컨테이너배차관리!$AI:$AI,$B28))="Y","리퍼",""))))</f>
        <v/>
      </c>
      <c r="R28" t="str">
        <f>IF($B28="","",IF(LEFT(IF(INDEX(GLAPS컨테이너배차관리!$Y:$Y,$B28)="","",INDEX(GLAPS컨테이너배차관리!$Y:$Y,$B28)),2)="22",1,""))</f>
        <v/>
      </c>
      <c r="S28" t="str">
        <f>IF($B28="","",IF(LEFT(IF(INDEX(GLAPS컨테이너배차관리!$Y:$Y,$B28)="","",INDEX(GLAPS컨테이너배차관리!$Y:$Y,$B28)),2)="42",1,""))</f>
        <v/>
      </c>
      <c r="T28" t="str">
        <f>IF($B28="","",IF(LEFT(IF(INDEX(GLAPS컨테이너배차관리!$Y:$Y,$B28)="","",INDEX(GLAPS컨테이너배차관리!$Y:$Y,$B28)),2)="45",1,""))</f>
        <v/>
      </c>
      <c r="U28" t="str">
        <f>IF($B28="","",IF(INDEX(GLAPS컨테이너배차관리!$X:$X,$B28)="","",INDEX(GLAPS컨테이너배차관리!$X:$X,$B28)))</f>
        <v/>
      </c>
      <c r="V28" t="str">
        <f>IF($B28="","",IF(INDEX(GLAPS컨테이너배차관리!$Z:$Z,$B28)="","",INDEX(GLAPS컨테이너배차관리!$Z:$Z,$B28)))</f>
        <v/>
      </c>
      <c r="W28" t="str">
        <f>IF($B28="","",IF(IF(INDEX(GLAPS컨테이너배차관리!$DI:$DI,$B28)="","",INDEX(GLAPS컨테이너배차관리!$DI:$DI,$B28))&lt;&gt;"",IF(INDEX(GLAPS컨테이너배차관리!$DI:$DI,$B28)="","",INDEX(GLAPS컨테이너배차관리!$DI:$DI,$B28)),IF(IF(INDEX(GLAPS컨테이너배차관리!$DJ:$DJ,$B28)="","",INDEX(GLAPS컨테이너배차관리!$DJ:$DJ,$B28))&lt;&gt;"",IF(INDEX(GLAPS컨테이너배차관리!$DJ:$DJ,$B28)="","",INDEX(GLAPS컨테이너배차관리!$DJ:$DJ,$B28)),IF(IF(INDEX(GLAPS컨테이너배차관리!$DK:$DK,$B28)="","",INDEX(GLAPS컨테이너배차관리!$DK:$DK,$B28))&lt;&gt;"",IF(INDEX(GLAPS컨테이너배차관리!$DK:$DK,$B28)="","",INDEX(GLAPS컨테이너배차관리!$DK:$DK,$B28)),IF(IF(INDEX(GLAPS컨테이너배차관리!$DL:$DL,$B28)="","",INDEX(GLAPS컨테이너배차관리!$DL:$DL,$B28))&lt;&gt;"",IF(INDEX(GLAPS컨테이너배차관리!$DL:$DL,$B28)="","",INDEX(GLAPS컨테이너배차관리!$DL:$DL,$B28)),IF(IF(INDEX(GLAPS컨테이너배차관리!$DM:$DM,$B28)="","",INDEX(GLAPS컨테이너배차관리!$DM:$DM,$B28))&lt;&gt;"",IF(INDEX(GLAPS컨테이너배차관리!$DM:$DM,$B28)="","",INDEX(GLAPS컨테이너배차관리!$DM:$DM,$B28)),""))))))</f>
        <v/>
      </c>
      <c r="X28" t="str">
        <f>IF($B28="","",IF(INDEX(GLAPS컨테이너배차관리!$F:$F,$B28)="","",INDEX(GLAPS컨테이너배차관리!$F:$F,$B28)))</f>
        <v/>
      </c>
      <c r="Y28" t="str">
        <f>IF($B28="","",IF(IF(INDEX(GLAPS컨테이너배차관리!$M:$M,$B28)="","",INDEX(GLAPS컨테이너배차관리!$M:$M,$B28))&lt;&gt;"",IF(INDEX(GLAPS컨테이너배차관리!$M:$M,$B28)="","",INDEX(GLAPS컨테이너배차관리!$M:$M,$B28)),IF(IF(INDEX(GLAPS컨테이너배차관리!$N:$N,$B28)="","",INDEX(GLAPS컨테이너배차관리!$N:$N,$B28))&lt;&gt;"",IF(INDEX(GLAPS컨테이너배차관리!$N:$N,$B28)="","",INDEX(GLAPS컨테이너배차관리!$N:$N,$B28)),"")))</f>
        <v/>
      </c>
      <c r="Z28" t="str">
        <f>IF($B28="","",IF(IF(INDEX(GLAPS컨테이너배차관리!$CU:$CU,$B28)="","",INDEX(GLAPS컨테이너배차관리!$CU:$CU,$B28))="","",IFERROR(INT(IF(INDEX(GLAPS컨테이너배차관리!$CU:$CU,$B28)="","",INDEX(GLAPS컨테이너배차관리!$CU:$CU,$B28))),"")))</f>
        <v/>
      </c>
      <c r="AA28" t="str">
        <f>IF($B28="","",IF(AND(IF(INDEX(GLAPS컨테이너배차관리!$CL:$CL,$B28)="","",INDEX(GLAPS컨테이너배차관리!$CL:$CL,$B28))="",IF(INDEX(GLAPS컨테이너배차관리!$CM:$CM,$B28)="","",INDEX(GLAPS컨테이너배차관리!$CM:$CM,$B28))=""),"",IF(OR(IF(INDEX(GLAPS컨테이너배차관리!$CL:$CL,$B28)="","",INDEX(GLAPS컨테이너배차관리!$CL:$CL,$B28))="B000016649",ISNUMBER(SEARCH("B015",IF(INDEX(GLAPS컨테이너배차관리!$CM:$CM,$B28)="","",INDEX(GLAPS컨테이너배차관리!$CM:$CM,$B28)))),ISNUMBER(SEARCH("세방",IF(INDEX(GLAPS컨테이너배차관리!$CM:$CM,$B28)="","",INDEX(GLAPS컨테이너배차관리!$CM:$CM,$B28)))),ISNUMBER(SEARCH("SB",IF(INDEX(GLAPS컨테이너배차관리!$CM:$CM,$B28)="","",INDEX(GLAPS컨테이너배차관리!$CM:$CM,$B28))))),"세방","")))</f>
        <v/>
      </c>
      <c r="AB28" t="str">
        <f>IF($B28="","",IF(IF(INDEX(GLAPS컨테이너배차관리!$CM:$CM,$B28)="","",INDEX(GLAPS컨테이너배차관리!$CM:$CM,$B28))="","",IF(ISNUMBER(SEARCH("이지스두동",IF(INDEX(GLAPS컨테이너배차관리!$CM:$CM,$B28)="","",INDEX(GLAPS컨테이너배차관리!$CM:$CM,$B28)))),"이지스두동",IF(ISNUMBER(SEARCH("이지스녹산",IF(INDEX(GLAPS컨테이너배차관리!$CM:$CM,$B28)="","",INDEX(GLAPS컨테이너배차관리!$CM:$CM,$B28)))),"이지스녹산",IF(ISNUMBER(SEARCH("천우",IF(INDEX(GLAPS컨테이너배차관리!$CM:$CM,$B28)="","",INDEX(GLAPS컨테이너배차관리!$CM:$CM,$B28)))),"천우",IF(OR(ISNUMBER(SEARCH("청암",IF(INDEX(GLAPS컨테이너배차관리!$CM:$CM,$B28)="","",INDEX(GLAPS컨테이너배차관리!$CM:$CM,$B28)))),ISNUMBER(SEARCH("SB청암",IF(INDEX(GLAPS컨테이너배차관리!$CM:$CM,$B28)="","",INDEX(GLAPS컨테이너배차관리!$CM:$CM,$B28))))),"청암신항",IF(INDEX(GLAPS컨테이너배차관리!$CM:$CM,$B28)="","",INDEX(GLAPS컨테이너배차관리!$CM:$CM,$B28))))))))</f>
        <v/>
      </c>
    </row>
    <row r="29" spans="1:28">
      <c r="A29">
        <v>28</v>
      </c>
      <c r="B29" t="str">
        <f>IFERROR(_xlfn.AGGREGATE(15,6,ROW(GLAPS컨테이너배차관리!$X$2:$X$20000)/(GLAPS컨테이너배차관리!$X$2:$X$20000&lt;&gt;""),A29),"")</f>
        <v/>
      </c>
      <c r="C29" t="str">
        <f>IF($B29="","",INT(IF(INDEX(GLAPS컨테이너배차관리!$K:$K,$B29)="","",INDEX(GLAPS컨테이너배차관리!$K:$K,$B29))))</f>
        <v/>
      </c>
      <c r="D29" t="str">
        <f>IF($B29="","",IF(ISNUMBER(SEARCH("이엘에스",IF(INDEX(GLAPS컨테이너배차관리!$AZ:$AZ,$B29)="","",INDEX(GLAPS컨테이너배차관리!$AZ:$AZ,$B29)))),"ELS솔루션",IF(INDEX(GLAPS컨테이너배차관리!$AZ:$AZ,$B29)="","",INDEX(GLAPS컨테이너배차관리!$AZ:$AZ,$B29))))</f>
        <v/>
      </c>
      <c r="E29" t="str">
        <f>IF($B29="","",IF(INDEX(GLAPS컨테이너배차관리!$L:$L,$B29)="","",INDEX(GLAPS컨테이너배차관리!$L:$L,$B29)))</f>
        <v/>
      </c>
      <c r="F29" t="str">
        <f>IF($B29="","",IF(HOUR(IF(INDEX(GLAPS컨테이너배차관리!$L:$L,$B29)="","",INDEX(GLAPS컨테이너배차관리!$L:$L,$B29)))&lt;12,"오전",IF(HOUR(IF(INDEX(GLAPS컨테이너배차관리!$L:$L,$B29)="","",INDEX(GLAPS컨테이너배차관리!$L:$L,$B29)))&lt;18,"오후","잔업")))</f>
        <v/>
      </c>
      <c r="G29" t="str">
        <f>IF($B29="","",IFERROR(INDEX(GLAPS정리!$G$3:$G$264,MATCH(IF(INDEX(GLAPS컨테이너배차관리!$BY:$BY,$B29)="","",INDEX(GLAPS컨테이너배차관리!$BY:$BY,$B29)),GLAPS정리!$H$3:$H$264,0)),TRIM(SUBSTITUTE(SUBSTITUTE(SUBSTITUTE(SUBSTITUTE(SUBSTITUTE(IF(INDEX(GLAPS컨테이너배차관리!$T:$T,$B29)="","",INDEX(GLAPS컨테이너배차관리!$T:$T,$B29)),"[GA]",""),"[GB]",""),"[GC]",""),"[KC]",""),"[GS]",""))))</f>
        <v/>
      </c>
      <c r="H29" t="str">
        <f>IF($B29="","",IFERROR(VLOOKUP(IF(INDEX(GLAPS컨테이너배차관리!$BY:$BY,$B29)="","",INDEX(GLAPS컨테이너배차관리!$BY:$BY,$B29)),GLAPS정리!$BT$3:$BV$200,3,0),""))</f>
        <v/>
      </c>
      <c r="I29" t="str">
        <f>IF($B29="","",LEFT(IF(INDEX(GLAPS컨테이너배차관리!$U:$U,$B29)="","",INDEX(GLAPS컨테이너배차관리!$U:$U,$B29)),FIND("/",IF(INDEX(GLAPS컨테이너배차관리!$U:$U,$B29)="","",INDEX(GLAPS컨테이너배차관리!$U:$U,$B29))&amp;"/")-1))</f>
        <v/>
      </c>
      <c r="J29" t="str">
        <f>IF($B29="","",IF(IF(INDEX(GLAPS컨테이너배차관리!$O:$O,$B29)="","",INDEX(GLAPS컨테이너배차관리!$O:$O,$B29))="EMC","EMA",IFERROR(INDEX(GLAPS정리!$A$2:$A$50,MATCH(IF(INDEX(GLAPS컨테이너배차관리!$O:$O,$B29)="","",INDEX(GLAPS컨테이너배차관리!$O:$O,$B29)),GLAPS정리!$D$2:$D$50,0)),IF(INDEX(GLAPS컨테이너배차관리!$O:$O,$B29)="","",INDEX(GLAPS컨테이너배차관리!$O:$O,$B29)))))</f>
        <v/>
      </c>
      <c r="K29" t="str">
        <f>IF($B29="","",IF(LEFT(IF(INDEX(GLAPS컨테이너배차관리!$Y:$Y,$B29)="","",INDEX(GLAPS컨테이너배차관리!$Y:$Y,$B29)),2)="22","20 Feet",IF(LEFT(IF(INDEX(GLAPS컨테이너배차관리!$Y:$Y,$B29)="","",INDEX(GLAPS컨테이너배차관리!$Y:$Y,$B29)),2)="42","40 Feet","40 Feet H")))</f>
        <v/>
      </c>
      <c r="L29" t="str">
        <f>IF($B29="","",IFERROR(INDEX(GLAPS정리!$BB$2:$BB$80,MATCH(IF(INDEX(GLAPS컨테이너배차관리!$BQ:$BQ,$B29)="","",INDEX(GLAPS컨테이너배차관리!$BQ:$BQ,$B29)),GLAPS정리!$BC$2:$BC$80,0)),IF(INDEX(GLAPS컨테이너배차관리!$BQ:$BQ,$B29)="","",INDEX(GLAPS컨테이너배차관리!$BQ:$BQ,$B29))))</f>
        <v/>
      </c>
      <c r="M29" t="str">
        <f>IF($B29="","",IFERROR(INDEX(GLAPS정리!$V$3:$V$180,MATCH(IF(INDEX(GLAPS컨테이너배차관리!$S:$S,$B29)="","",INDEX(GLAPS컨테이너배차관리!$S:$S,$B29)),GLAPS정리!$W$3:$W$180,0)),IF(INDEX(GLAPS컨테이너배차관리!$S:$S,$B29)="","",INDEX(GLAPS컨테이너배차관리!$S:$S,$B29))))</f>
        <v/>
      </c>
      <c r="N29" t="str">
        <f>IF($B29="","",IF(IF(INDEX(GLAPS컨테이너배차관리!$DF:$DF,$B29)="","",INDEX(GLAPS컨테이너배차관리!$DF:$DF,$B29))&lt;&gt;"",IF(INDEX(GLAPS컨테이너배차관리!$DF:$DF,$B29)="","",INDEX(GLAPS컨테이너배차관리!$DF:$DF,$B29)),IF(IF(INDEX(GLAPS컨테이너배차관리!$DG:$DG,$B29)="","",INDEX(GLAPS컨테이너배차관리!$DG:$DG,$B29))&lt;&gt;"",IF(INDEX(GLAPS컨테이너배차관리!$DG:$DG,$B29)="","",INDEX(GLAPS컨테이너배차관리!$DG:$DG,$B29)),"")))</f>
        <v/>
      </c>
      <c r="O29" t="str">
        <f>IF($B29="","",IF(INDEX(GLAPS컨테이너배차관리!$AB:$AB,$B29)="","",INDEX(GLAPS컨테이너배차관리!$AB:$AB,$B29)))</f>
        <v/>
      </c>
      <c r="P29" t="str">
        <f>IF($B29="","",IF(IF(INDEX(GLAPS컨테이너배차관리!$CP:$CP,$B29)="","",INDEX(GLAPS컨테이너배차관리!$CP:$CP,$B29))="","",IFERROR(INDEX(GLAPS정리!$BH$2:$BH$101,MATCH(IF(INDEX(GLAPS컨테이너배차관리!$CP:$CP,$B29)="","",INDEX(GLAPS컨테이너배차관리!$CP:$CP,$B29)),GLAPS정리!$BI$2:$BI$101,0)),IF(INDEX(GLAPS컨테이너배차관리!$CP:$CP,$B29)="","",INDEX(GLAPS컨테이너배차관리!$CP:$CP,$B29)))))</f>
        <v/>
      </c>
      <c r="Q29" t="str">
        <f>IF($B29="","",IF(AND(IF(INDEX(GLAPS컨테이너배차관리!$AK:$AK,$B29)="","",INDEX(GLAPS컨테이너배차관리!$AK:$AK,$B29))="Y",IF(INDEX(GLAPS컨테이너배차관리!$AI:$AI,$B29)="","",INDEX(GLAPS컨테이너배차관리!$AI:$AI,$B29))="Y"),"위험물리퍼",IF(IF(INDEX(GLAPS컨테이너배차관리!$AK:$AK,$B29)="","",INDEX(GLAPS컨테이너배차관리!$AK:$AK,$B29))="Y","위험물",IF(IF(INDEX(GLAPS컨테이너배차관리!$AI:$AI,$B29)="","",INDEX(GLAPS컨테이너배차관리!$AI:$AI,$B29))="Y","리퍼",""))))</f>
        <v/>
      </c>
      <c r="R29" t="str">
        <f>IF($B29="","",IF(LEFT(IF(INDEX(GLAPS컨테이너배차관리!$Y:$Y,$B29)="","",INDEX(GLAPS컨테이너배차관리!$Y:$Y,$B29)),2)="22",1,""))</f>
        <v/>
      </c>
      <c r="S29" t="str">
        <f>IF($B29="","",IF(LEFT(IF(INDEX(GLAPS컨테이너배차관리!$Y:$Y,$B29)="","",INDEX(GLAPS컨테이너배차관리!$Y:$Y,$B29)),2)="42",1,""))</f>
        <v/>
      </c>
      <c r="T29" t="str">
        <f>IF($B29="","",IF(LEFT(IF(INDEX(GLAPS컨테이너배차관리!$Y:$Y,$B29)="","",INDEX(GLAPS컨테이너배차관리!$Y:$Y,$B29)),2)="45",1,""))</f>
        <v/>
      </c>
      <c r="U29" t="str">
        <f>IF($B29="","",IF(INDEX(GLAPS컨테이너배차관리!$X:$X,$B29)="","",INDEX(GLAPS컨테이너배차관리!$X:$X,$B29)))</f>
        <v/>
      </c>
      <c r="V29" t="str">
        <f>IF($B29="","",IF(INDEX(GLAPS컨테이너배차관리!$Z:$Z,$B29)="","",INDEX(GLAPS컨테이너배차관리!$Z:$Z,$B29)))</f>
        <v/>
      </c>
      <c r="W29" t="str">
        <f>IF($B29="","",IF(IF(INDEX(GLAPS컨테이너배차관리!$DI:$DI,$B29)="","",INDEX(GLAPS컨테이너배차관리!$DI:$DI,$B29))&lt;&gt;"",IF(INDEX(GLAPS컨테이너배차관리!$DI:$DI,$B29)="","",INDEX(GLAPS컨테이너배차관리!$DI:$DI,$B29)),IF(IF(INDEX(GLAPS컨테이너배차관리!$DJ:$DJ,$B29)="","",INDEX(GLAPS컨테이너배차관리!$DJ:$DJ,$B29))&lt;&gt;"",IF(INDEX(GLAPS컨테이너배차관리!$DJ:$DJ,$B29)="","",INDEX(GLAPS컨테이너배차관리!$DJ:$DJ,$B29)),IF(IF(INDEX(GLAPS컨테이너배차관리!$DK:$DK,$B29)="","",INDEX(GLAPS컨테이너배차관리!$DK:$DK,$B29))&lt;&gt;"",IF(INDEX(GLAPS컨테이너배차관리!$DK:$DK,$B29)="","",INDEX(GLAPS컨테이너배차관리!$DK:$DK,$B29)),IF(IF(INDEX(GLAPS컨테이너배차관리!$DL:$DL,$B29)="","",INDEX(GLAPS컨테이너배차관리!$DL:$DL,$B29))&lt;&gt;"",IF(INDEX(GLAPS컨테이너배차관리!$DL:$DL,$B29)="","",INDEX(GLAPS컨테이너배차관리!$DL:$DL,$B29)),IF(IF(INDEX(GLAPS컨테이너배차관리!$DM:$DM,$B29)="","",INDEX(GLAPS컨테이너배차관리!$DM:$DM,$B29))&lt;&gt;"",IF(INDEX(GLAPS컨테이너배차관리!$DM:$DM,$B29)="","",INDEX(GLAPS컨테이너배차관리!$DM:$DM,$B29)),""))))))</f>
        <v/>
      </c>
      <c r="X29" t="str">
        <f>IF($B29="","",IF(INDEX(GLAPS컨테이너배차관리!$F:$F,$B29)="","",INDEX(GLAPS컨테이너배차관리!$F:$F,$B29)))</f>
        <v/>
      </c>
      <c r="Y29" t="str">
        <f>IF($B29="","",IF(IF(INDEX(GLAPS컨테이너배차관리!$M:$M,$B29)="","",INDEX(GLAPS컨테이너배차관리!$M:$M,$B29))&lt;&gt;"",IF(INDEX(GLAPS컨테이너배차관리!$M:$M,$B29)="","",INDEX(GLAPS컨테이너배차관리!$M:$M,$B29)),IF(IF(INDEX(GLAPS컨테이너배차관리!$N:$N,$B29)="","",INDEX(GLAPS컨테이너배차관리!$N:$N,$B29))&lt;&gt;"",IF(INDEX(GLAPS컨테이너배차관리!$N:$N,$B29)="","",INDEX(GLAPS컨테이너배차관리!$N:$N,$B29)),"")))</f>
        <v/>
      </c>
      <c r="Z29" t="str">
        <f>IF($B29="","",IF(IF(INDEX(GLAPS컨테이너배차관리!$CU:$CU,$B29)="","",INDEX(GLAPS컨테이너배차관리!$CU:$CU,$B29))="","",IFERROR(INT(IF(INDEX(GLAPS컨테이너배차관리!$CU:$CU,$B29)="","",INDEX(GLAPS컨테이너배차관리!$CU:$CU,$B29))),"")))</f>
        <v/>
      </c>
      <c r="AA29" t="str">
        <f>IF($B29="","",IF(AND(IF(INDEX(GLAPS컨테이너배차관리!$CL:$CL,$B29)="","",INDEX(GLAPS컨테이너배차관리!$CL:$CL,$B29))="",IF(INDEX(GLAPS컨테이너배차관리!$CM:$CM,$B29)="","",INDEX(GLAPS컨테이너배차관리!$CM:$CM,$B29))=""),"",IF(OR(IF(INDEX(GLAPS컨테이너배차관리!$CL:$CL,$B29)="","",INDEX(GLAPS컨테이너배차관리!$CL:$CL,$B29))="B000016649",ISNUMBER(SEARCH("B015",IF(INDEX(GLAPS컨테이너배차관리!$CM:$CM,$B29)="","",INDEX(GLAPS컨테이너배차관리!$CM:$CM,$B29)))),ISNUMBER(SEARCH("세방",IF(INDEX(GLAPS컨테이너배차관리!$CM:$CM,$B29)="","",INDEX(GLAPS컨테이너배차관리!$CM:$CM,$B29)))),ISNUMBER(SEARCH("SB",IF(INDEX(GLAPS컨테이너배차관리!$CM:$CM,$B29)="","",INDEX(GLAPS컨테이너배차관리!$CM:$CM,$B29))))),"세방","")))</f>
        <v/>
      </c>
      <c r="AB29" t="str">
        <f>IF($B29="","",IF(IF(INDEX(GLAPS컨테이너배차관리!$CM:$CM,$B29)="","",INDEX(GLAPS컨테이너배차관리!$CM:$CM,$B29))="","",IF(ISNUMBER(SEARCH("이지스두동",IF(INDEX(GLAPS컨테이너배차관리!$CM:$CM,$B29)="","",INDEX(GLAPS컨테이너배차관리!$CM:$CM,$B29)))),"이지스두동",IF(ISNUMBER(SEARCH("이지스녹산",IF(INDEX(GLAPS컨테이너배차관리!$CM:$CM,$B29)="","",INDEX(GLAPS컨테이너배차관리!$CM:$CM,$B29)))),"이지스녹산",IF(ISNUMBER(SEARCH("천우",IF(INDEX(GLAPS컨테이너배차관리!$CM:$CM,$B29)="","",INDEX(GLAPS컨테이너배차관리!$CM:$CM,$B29)))),"천우",IF(OR(ISNUMBER(SEARCH("청암",IF(INDEX(GLAPS컨테이너배차관리!$CM:$CM,$B29)="","",INDEX(GLAPS컨테이너배차관리!$CM:$CM,$B29)))),ISNUMBER(SEARCH("SB청암",IF(INDEX(GLAPS컨테이너배차관리!$CM:$CM,$B29)="","",INDEX(GLAPS컨테이너배차관리!$CM:$CM,$B29))))),"청암신항",IF(INDEX(GLAPS컨테이너배차관리!$CM:$CM,$B29)="","",INDEX(GLAPS컨테이너배차관리!$CM:$CM,$B29))))))))</f>
        <v/>
      </c>
    </row>
    <row r="30" spans="1:28">
      <c r="A30">
        <v>29</v>
      </c>
      <c r="B30" t="str">
        <f>IFERROR(_xlfn.AGGREGATE(15,6,ROW(GLAPS컨테이너배차관리!$X$2:$X$20000)/(GLAPS컨테이너배차관리!$X$2:$X$20000&lt;&gt;""),A30),"")</f>
        <v/>
      </c>
      <c r="C30" t="str">
        <f>IF($B30="","",INT(IF(INDEX(GLAPS컨테이너배차관리!$K:$K,$B30)="","",INDEX(GLAPS컨테이너배차관리!$K:$K,$B30))))</f>
        <v/>
      </c>
      <c r="D30" t="str">
        <f>IF($B30="","",IF(ISNUMBER(SEARCH("이엘에스",IF(INDEX(GLAPS컨테이너배차관리!$AZ:$AZ,$B30)="","",INDEX(GLAPS컨테이너배차관리!$AZ:$AZ,$B30)))),"ELS솔루션",IF(INDEX(GLAPS컨테이너배차관리!$AZ:$AZ,$B30)="","",INDEX(GLAPS컨테이너배차관리!$AZ:$AZ,$B30))))</f>
        <v/>
      </c>
      <c r="E30" t="str">
        <f>IF($B30="","",IF(INDEX(GLAPS컨테이너배차관리!$L:$L,$B30)="","",INDEX(GLAPS컨테이너배차관리!$L:$L,$B30)))</f>
        <v/>
      </c>
      <c r="F30" t="str">
        <f>IF($B30="","",IF(HOUR(IF(INDEX(GLAPS컨테이너배차관리!$L:$L,$B30)="","",INDEX(GLAPS컨테이너배차관리!$L:$L,$B30)))&lt;12,"오전",IF(HOUR(IF(INDEX(GLAPS컨테이너배차관리!$L:$L,$B30)="","",INDEX(GLAPS컨테이너배차관리!$L:$L,$B30)))&lt;18,"오후","잔업")))</f>
        <v/>
      </c>
      <c r="G30" t="str">
        <f>IF($B30="","",IFERROR(INDEX(GLAPS정리!$G$3:$G$264,MATCH(IF(INDEX(GLAPS컨테이너배차관리!$BY:$BY,$B30)="","",INDEX(GLAPS컨테이너배차관리!$BY:$BY,$B30)),GLAPS정리!$H$3:$H$264,0)),TRIM(SUBSTITUTE(SUBSTITUTE(SUBSTITUTE(SUBSTITUTE(SUBSTITUTE(IF(INDEX(GLAPS컨테이너배차관리!$T:$T,$B30)="","",INDEX(GLAPS컨테이너배차관리!$T:$T,$B30)),"[GA]",""),"[GB]",""),"[GC]",""),"[KC]",""),"[GS]",""))))</f>
        <v/>
      </c>
      <c r="H30" t="str">
        <f>IF($B30="","",IFERROR(VLOOKUP(IF(INDEX(GLAPS컨테이너배차관리!$BY:$BY,$B30)="","",INDEX(GLAPS컨테이너배차관리!$BY:$BY,$B30)),GLAPS정리!$BT$3:$BV$200,3,0),""))</f>
        <v/>
      </c>
      <c r="I30" t="str">
        <f>IF($B30="","",LEFT(IF(INDEX(GLAPS컨테이너배차관리!$U:$U,$B30)="","",INDEX(GLAPS컨테이너배차관리!$U:$U,$B30)),FIND("/",IF(INDEX(GLAPS컨테이너배차관리!$U:$U,$B30)="","",INDEX(GLAPS컨테이너배차관리!$U:$U,$B30))&amp;"/")-1))</f>
        <v/>
      </c>
      <c r="J30" t="str">
        <f>IF($B30="","",IF(IF(INDEX(GLAPS컨테이너배차관리!$O:$O,$B30)="","",INDEX(GLAPS컨테이너배차관리!$O:$O,$B30))="EMC","EMA",IFERROR(INDEX(GLAPS정리!$A$2:$A$50,MATCH(IF(INDEX(GLAPS컨테이너배차관리!$O:$O,$B30)="","",INDEX(GLAPS컨테이너배차관리!$O:$O,$B30)),GLAPS정리!$D$2:$D$50,0)),IF(INDEX(GLAPS컨테이너배차관리!$O:$O,$B30)="","",INDEX(GLAPS컨테이너배차관리!$O:$O,$B30)))))</f>
        <v/>
      </c>
      <c r="K30" t="str">
        <f>IF($B30="","",IF(LEFT(IF(INDEX(GLAPS컨테이너배차관리!$Y:$Y,$B30)="","",INDEX(GLAPS컨테이너배차관리!$Y:$Y,$B30)),2)="22","20 Feet",IF(LEFT(IF(INDEX(GLAPS컨테이너배차관리!$Y:$Y,$B30)="","",INDEX(GLAPS컨테이너배차관리!$Y:$Y,$B30)),2)="42","40 Feet","40 Feet H")))</f>
        <v/>
      </c>
      <c r="L30" t="str">
        <f>IF($B30="","",IFERROR(INDEX(GLAPS정리!$BB$2:$BB$80,MATCH(IF(INDEX(GLAPS컨테이너배차관리!$BQ:$BQ,$B30)="","",INDEX(GLAPS컨테이너배차관리!$BQ:$BQ,$B30)),GLAPS정리!$BC$2:$BC$80,0)),IF(INDEX(GLAPS컨테이너배차관리!$BQ:$BQ,$B30)="","",INDEX(GLAPS컨테이너배차관리!$BQ:$BQ,$B30))))</f>
        <v/>
      </c>
      <c r="M30" t="str">
        <f>IF($B30="","",IFERROR(INDEX(GLAPS정리!$V$3:$V$180,MATCH(IF(INDEX(GLAPS컨테이너배차관리!$S:$S,$B30)="","",INDEX(GLAPS컨테이너배차관리!$S:$S,$B30)),GLAPS정리!$W$3:$W$180,0)),IF(INDEX(GLAPS컨테이너배차관리!$S:$S,$B30)="","",INDEX(GLAPS컨테이너배차관리!$S:$S,$B30))))</f>
        <v/>
      </c>
      <c r="N30" t="str">
        <f>IF($B30="","",IF(IF(INDEX(GLAPS컨테이너배차관리!$DF:$DF,$B30)="","",INDEX(GLAPS컨테이너배차관리!$DF:$DF,$B30))&lt;&gt;"",IF(INDEX(GLAPS컨테이너배차관리!$DF:$DF,$B30)="","",INDEX(GLAPS컨테이너배차관리!$DF:$DF,$B30)),IF(IF(INDEX(GLAPS컨테이너배차관리!$DG:$DG,$B30)="","",INDEX(GLAPS컨테이너배차관리!$DG:$DG,$B30))&lt;&gt;"",IF(INDEX(GLAPS컨테이너배차관리!$DG:$DG,$B30)="","",INDEX(GLAPS컨테이너배차관리!$DG:$DG,$B30)),"")))</f>
        <v/>
      </c>
      <c r="O30" t="str">
        <f>IF($B30="","",IF(INDEX(GLAPS컨테이너배차관리!$AB:$AB,$B30)="","",INDEX(GLAPS컨테이너배차관리!$AB:$AB,$B30)))</f>
        <v/>
      </c>
      <c r="P30" t="str">
        <f>IF($B30="","",IF(IF(INDEX(GLAPS컨테이너배차관리!$CP:$CP,$B30)="","",INDEX(GLAPS컨테이너배차관리!$CP:$CP,$B30))="","",IFERROR(INDEX(GLAPS정리!$BH$2:$BH$101,MATCH(IF(INDEX(GLAPS컨테이너배차관리!$CP:$CP,$B30)="","",INDEX(GLAPS컨테이너배차관리!$CP:$CP,$B30)),GLAPS정리!$BI$2:$BI$101,0)),IF(INDEX(GLAPS컨테이너배차관리!$CP:$CP,$B30)="","",INDEX(GLAPS컨테이너배차관리!$CP:$CP,$B30)))))</f>
        <v/>
      </c>
      <c r="Q30" t="str">
        <f>IF($B30="","",IF(AND(IF(INDEX(GLAPS컨테이너배차관리!$AK:$AK,$B30)="","",INDEX(GLAPS컨테이너배차관리!$AK:$AK,$B30))="Y",IF(INDEX(GLAPS컨테이너배차관리!$AI:$AI,$B30)="","",INDEX(GLAPS컨테이너배차관리!$AI:$AI,$B30))="Y"),"위험물리퍼",IF(IF(INDEX(GLAPS컨테이너배차관리!$AK:$AK,$B30)="","",INDEX(GLAPS컨테이너배차관리!$AK:$AK,$B30))="Y","위험물",IF(IF(INDEX(GLAPS컨테이너배차관리!$AI:$AI,$B30)="","",INDEX(GLAPS컨테이너배차관리!$AI:$AI,$B30))="Y","리퍼",""))))</f>
        <v/>
      </c>
      <c r="R30" t="str">
        <f>IF($B30="","",IF(LEFT(IF(INDEX(GLAPS컨테이너배차관리!$Y:$Y,$B30)="","",INDEX(GLAPS컨테이너배차관리!$Y:$Y,$B30)),2)="22",1,""))</f>
        <v/>
      </c>
      <c r="S30" t="str">
        <f>IF($B30="","",IF(LEFT(IF(INDEX(GLAPS컨테이너배차관리!$Y:$Y,$B30)="","",INDEX(GLAPS컨테이너배차관리!$Y:$Y,$B30)),2)="42",1,""))</f>
        <v/>
      </c>
      <c r="T30" t="str">
        <f>IF($B30="","",IF(LEFT(IF(INDEX(GLAPS컨테이너배차관리!$Y:$Y,$B30)="","",INDEX(GLAPS컨테이너배차관리!$Y:$Y,$B30)),2)="45",1,""))</f>
        <v/>
      </c>
      <c r="U30" t="str">
        <f>IF($B30="","",IF(INDEX(GLAPS컨테이너배차관리!$X:$X,$B30)="","",INDEX(GLAPS컨테이너배차관리!$X:$X,$B30)))</f>
        <v/>
      </c>
      <c r="V30" t="str">
        <f>IF($B30="","",IF(INDEX(GLAPS컨테이너배차관리!$Z:$Z,$B30)="","",INDEX(GLAPS컨테이너배차관리!$Z:$Z,$B30)))</f>
        <v/>
      </c>
      <c r="W30" t="str">
        <f>IF($B30="","",IF(IF(INDEX(GLAPS컨테이너배차관리!$DI:$DI,$B30)="","",INDEX(GLAPS컨테이너배차관리!$DI:$DI,$B30))&lt;&gt;"",IF(INDEX(GLAPS컨테이너배차관리!$DI:$DI,$B30)="","",INDEX(GLAPS컨테이너배차관리!$DI:$DI,$B30)),IF(IF(INDEX(GLAPS컨테이너배차관리!$DJ:$DJ,$B30)="","",INDEX(GLAPS컨테이너배차관리!$DJ:$DJ,$B30))&lt;&gt;"",IF(INDEX(GLAPS컨테이너배차관리!$DJ:$DJ,$B30)="","",INDEX(GLAPS컨테이너배차관리!$DJ:$DJ,$B30)),IF(IF(INDEX(GLAPS컨테이너배차관리!$DK:$DK,$B30)="","",INDEX(GLAPS컨테이너배차관리!$DK:$DK,$B30))&lt;&gt;"",IF(INDEX(GLAPS컨테이너배차관리!$DK:$DK,$B30)="","",INDEX(GLAPS컨테이너배차관리!$DK:$DK,$B30)),IF(IF(INDEX(GLAPS컨테이너배차관리!$DL:$DL,$B30)="","",INDEX(GLAPS컨테이너배차관리!$DL:$DL,$B30))&lt;&gt;"",IF(INDEX(GLAPS컨테이너배차관리!$DL:$DL,$B30)="","",INDEX(GLAPS컨테이너배차관리!$DL:$DL,$B30)),IF(IF(INDEX(GLAPS컨테이너배차관리!$DM:$DM,$B30)="","",INDEX(GLAPS컨테이너배차관리!$DM:$DM,$B30))&lt;&gt;"",IF(INDEX(GLAPS컨테이너배차관리!$DM:$DM,$B30)="","",INDEX(GLAPS컨테이너배차관리!$DM:$DM,$B30)),""))))))</f>
        <v/>
      </c>
      <c r="X30" t="str">
        <f>IF($B30="","",IF(INDEX(GLAPS컨테이너배차관리!$F:$F,$B30)="","",INDEX(GLAPS컨테이너배차관리!$F:$F,$B30)))</f>
        <v/>
      </c>
      <c r="Y30" t="str">
        <f>IF($B30="","",IF(IF(INDEX(GLAPS컨테이너배차관리!$M:$M,$B30)="","",INDEX(GLAPS컨테이너배차관리!$M:$M,$B30))&lt;&gt;"",IF(INDEX(GLAPS컨테이너배차관리!$M:$M,$B30)="","",INDEX(GLAPS컨테이너배차관리!$M:$M,$B30)),IF(IF(INDEX(GLAPS컨테이너배차관리!$N:$N,$B30)="","",INDEX(GLAPS컨테이너배차관리!$N:$N,$B30))&lt;&gt;"",IF(INDEX(GLAPS컨테이너배차관리!$N:$N,$B30)="","",INDEX(GLAPS컨테이너배차관리!$N:$N,$B30)),"")))</f>
        <v/>
      </c>
      <c r="Z30" t="str">
        <f>IF($B30="","",IF(IF(INDEX(GLAPS컨테이너배차관리!$CU:$CU,$B30)="","",INDEX(GLAPS컨테이너배차관리!$CU:$CU,$B30))="","",IFERROR(INT(IF(INDEX(GLAPS컨테이너배차관리!$CU:$CU,$B30)="","",INDEX(GLAPS컨테이너배차관리!$CU:$CU,$B30))),"")))</f>
        <v/>
      </c>
      <c r="AA30" t="str">
        <f>IF($B30="","",IF(AND(IF(INDEX(GLAPS컨테이너배차관리!$CL:$CL,$B30)="","",INDEX(GLAPS컨테이너배차관리!$CL:$CL,$B30))="",IF(INDEX(GLAPS컨테이너배차관리!$CM:$CM,$B30)="","",INDEX(GLAPS컨테이너배차관리!$CM:$CM,$B30))=""),"",IF(OR(IF(INDEX(GLAPS컨테이너배차관리!$CL:$CL,$B30)="","",INDEX(GLAPS컨테이너배차관리!$CL:$CL,$B30))="B000016649",ISNUMBER(SEARCH("B015",IF(INDEX(GLAPS컨테이너배차관리!$CM:$CM,$B30)="","",INDEX(GLAPS컨테이너배차관리!$CM:$CM,$B30)))),ISNUMBER(SEARCH("세방",IF(INDEX(GLAPS컨테이너배차관리!$CM:$CM,$B30)="","",INDEX(GLAPS컨테이너배차관리!$CM:$CM,$B30)))),ISNUMBER(SEARCH("SB",IF(INDEX(GLAPS컨테이너배차관리!$CM:$CM,$B30)="","",INDEX(GLAPS컨테이너배차관리!$CM:$CM,$B30))))),"세방","")))</f>
        <v/>
      </c>
      <c r="AB30" t="str">
        <f>IF($B30="","",IF(IF(INDEX(GLAPS컨테이너배차관리!$CM:$CM,$B30)="","",INDEX(GLAPS컨테이너배차관리!$CM:$CM,$B30))="","",IF(ISNUMBER(SEARCH("이지스두동",IF(INDEX(GLAPS컨테이너배차관리!$CM:$CM,$B30)="","",INDEX(GLAPS컨테이너배차관리!$CM:$CM,$B30)))),"이지스두동",IF(ISNUMBER(SEARCH("이지스녹산",IF(INDEX(GLAPS컨테이너배차관리!$CM:$CM,$B30)="","",INDEX(GLAPS컨테이너배차관리!$CM:$CM,$B30)))),"이지스녹산",IF(ISNUMBER(SEARCH("천우",IF(INDEX(GLAPS컨테이너배차관리!$CM:$CM,$B30)="","",INDEX(GLAPS컨테이너배차관리!$CM:$CM,$B30)))),"천우",IF(OR(ISNUMBER(SEARCH("청암",IF(INDEX(GLAPS컨테이너배차관리!$CM:$CM,$B30)="","",INDEX(GLAPS컨테이너배차관리!$CM:$CM,$B30)))),ISNUMBER(SEARCH("SB청암",IF(INDEX(GLAPS컨테이너배차관리!$CM:$CM,$B30)="","",INDEX(GLAPS컨테이너배차관리!$CM:$CM,$B30))))),"청암신항",IF(INDEX(GLAPS컨테이너배차관리!$CM:$CM,$B30)="","",INDEX(GLAPS컨테이너배차관리!$CM:$CM,$B30))))))))</f>
        <v/>
      </c>
    </row>
    <row r="31" spans="1:28">
      <c r="A31">
        <v>30</v>
      </c>
      <c r="B31" t="str">
        <f>IFERROR(_xlfn.AGGREGATE(15,6,ROW(GLAPS컨테이너배차관리!$X$2:$X$20000)/(GLAPS컨테이너배차관리!$X$2:$X$20000&lt;&gt;""),A31),"")</f>
        <v/>
      </c>
      <c r="C31" t="str">
        <f>IF($B31="","",INT(IF(INDEX(GLAPS컨테이너배차관리!$K:$K,$B31)="","",INDEX(GLAPS컨테이너배차관리!$K:$K,$B31))))</f>
        <v/>
      </c>
      <c r="D31" t="str">
        <f>IF($B31="","",IF(ISNUMBER(SEARCH("이엘에스",IF(INDEX(GLAPS컨테이너배차관리!$AZ:$AZ,$B31)="","",INDEX(GLAPS컨테이너배차관리!$AZ:$AZ,$B31)))),"ELS솔루션",IF(INDEX(GLAPS컨테이너배차관리!$AZ:$AZ,$B31)="","",INDEX(GLAPS컨테이너배차관리!$AZ:$AZ,$B31))))</f>
        <v/>
      </c>
      <c r="E31" t="str">
        <f>IF($B31="","",IF(INDEX(GLAPS컨테이너배차관리!$L:$L,$B31)="","",INDEX(GLAPS컨테이너배차관리!$L:$L,$B31)))</f>
        <v/>
      </c>
      <c r="F31" t="str">
        <f>IF($B31="","",IF(HOUR(IF(INDEX(GLAPS컨테이너배차관리!$L:$L,$B31)="","",INDEX(GLAPS컨테이너배차관리!$L:$L,$B31)))&lt;12,"오전",IF(HOUR(IF(INDEX(GLAPS컨테이너배차관리!$L:$L,$B31)="","",INDEX(GLAPS컨테이너배차관리!$L:$L,$B31)))&lt;18,"오후","잔업")))</f>
        <v/>
      </c>
      <c r="G31" t="str">
        <f>IF($B31="","",IFERROR(INDEX(GLAPS정리!$G$3:$G$264,MATCH(IF(INDEX(GLAPS컨테이너배차관리!$BY:$BY,$B31)="","",INDEX(GLAPS컨테이너배차관리!$BY:$BY,$B31)),GLAPS정리!$H$3:$H$264,0)),TRIM(SUBSTITUTE(SUBSTITUTE(SUBSTITUTE(SUBSTITUTE(SUBSTITUTE(IF(INDEX(GLAPS컨테이너배차관리!$T:$T,$B31)="","",INDEX(GLAPS컨테이너배차관리!$T:$T,$B31)),"[GA]",""),"[GB]",""),"[GC]",""),"[KC]",""),"[GS]",""))))</f>
        <v/>
      </c>
      <c r="H31" t="str">
        <f>IF($B31="","",IFERROR(VLOOKUP(IF(INDEX(GLAPS컨테이너배차관리!$BY:$BY,$B31)="","",INDEX(GLAPS컨테이너배차관리!$BY:$BY,$B31)),GLAPS정리!$BT$3:$BV$200,3,0),""))</f>
        <v/>
      </c>
      <c r="I31" t="str">
        <f>IF($B31="","",LEFT(IF(INDEX(GLAPS컨테이너배차관리!$U:$U,$B31)="","",INDEX(GLAPS컨테이너배차관리!$U:$U,$B31)),FIND("/",IF(INDEX(GLAPS컨테이너배차관리!$U:$U,$B31)="","",INDEX(GLAPS컨테이너배차관리!$U:$U,$B31))&amp;"/")-1))</f>
        <v/>
      </c>
      <c r="J31" t="str">
        <f>IF($B31="","",IF(IF(INDEX(GLAPS컨테이너배차관리!$O:$O,$B31)="","",INDEX(GLAPS컨테이너배차관리!$O:$O,$B31))="EMC","EMA",IFERROR(INDEX(GLAPS정리!$A$2:$A$50,MATCH(IF(INDEX(GLAPS컨테이너배차관리!$O:$O,$B31)="","",INDEX(GLAPS컨테이너배차관리!$O:$O,$B31)),GLAPS정리!$D$2:$D$50,0)),IF(INDEX(GLAPS컨테이너배차관리!$O:$O,$B31)="","",INDEX(GLAPS컨테이너배차관리!$O:$O,$B31)))))</f>
        <v/>
      </c>
      <c r="K31" t="str">
        <f>IF($B31="","",IF(LEFT(IF(INDEX(GLAPS컨테이너배차관리!$Y:$Y,$B31)="","",INDEX(GLAPS컨테이너배차관리!$Y:$Y,$B31)),2)="22","20 Feet",IF(LEFT(IF(INDEX(GLAPS컨테이너배차관리!$Y:$Y,$B31)="","",INDEX(GLAPS컨테이너배차관리!$Y:$Y,$B31)),2)="42","40 Feet","40 Feet H")))</f>
        <v/>
      </c>
      <c r="L31" t="str">
        <f>IF($B31="","",IFERROR(INDEX(GLAPS정리!$BB$2:$BB$80,MATCH(IF(INDEX(GLAPS컨테이너배차관리!$BQ:$BQ,$B31)="","",INDEX(GLAPS컨테이너배차관리!$BQ:$BQ,$B31)),GLAPS정리!$BC$2:$BC$80,0)),IF(INDEX(GLAPS컨테이너배차관리!$BQ:$BQ,$B31)="","",INDEX(GLAPS컨테이너배차관리!$BQ:$BQ,$B31))))</f>
        <v/>
      </c>
      <c r="M31" t="str">
        <f>IF($B31="","",IFERROR(INDEX(GLAPS정리!$V$3:$V$180,MATCH(IF(INDEX(GLAPS컨테이너배차관리!$S:$S,$B31)="","",INDEX(GLAPS컨테이너배차관리!$S:$S,$B31)),GLAPS정리!$W$3:$W$180,0)),IF(INDEX(GLAPS컨테이너배차관리!$S:$S,$B31)="","",INDEX(GLAPS컨테이너배차관리!$S:$S,$B31))))</f>
        <v/>
      </c>
      <c r="N31" t="str">
        <f>IF($B31="","",IF(IF(INDEX(GLAPS컨테이너배차관리!$DF:$DF,$B31)="","",INDEX(GLAPS컨테이너배차관리!$DF:$DF,$B31))&lt;&gt;"",IF(INDEX(GLAPS컨테이너배차관리!$DF:$DF,$B31)="","",INDEX(GLAPS컨테이너배차관리!$DF:$DF,$B31)),IF(IF(INDEX(GLAPS컨테이너배차관리!$DG:$DG,$B31)="","",INDEX(GLAPS컨테이너배차관리!$DG:$DG,$B31))&lt;&gt;"",IF(INDEX(GLAPS컨테이너배차관리!$DG:$DG,$B31)="","",INDEX(GLAPS컨테이너배차관리!$DG:$DG,$B31)),"")))</f>
        <v/>
      </c>
      <c r="O31" t="str">
        <f>IF($B31="","",IF(INDEX(GLAPS컨테이너배차관리!$AB:$AB,$B31)="","",INDEX(GLAPS컨테이너배차관리!$AB:$AB,$B31)))</f>
        <v/>
      </c>
      <c r="P31" t="str">
        <f>IF($B31="","",IF(IF(INDEX(GLAPS컨테이너배차관리!$CP:$CP,$B31)="","",INDEX(GLAPS컨테이너배차관리!$CP:$CP,$B31))="","",IFERROR(INDEX(GLAPS정리!$BH$2:$BH$101,MATCH(IF(INDEX(GLAPS컨테이너배차관리!$CP:$CP,$B31)="","",INDEX(GLAPS컨테이너배차관리!$CP:$CP,$B31)),GLAPS정리!$BI$2:$BI$101,0)),IF(INDEX(GLAPS컨테이너배차관리!$CP:$CP,$B31)="","",INDEX(GLAPS컨테이너배차관리!$CP:$CP,$B31)))))</f>
        <v/>
      </c>
      <c r="Q31" t="str">
        <f>IF($B31="","",IF(AND(IF(INDEX(GLAPS컨테이너배차관리!$AK:$AK,$B31)="","",INDEX(GLAPS컨테이너배차관리!$AK:$AK,$B31))="Y",IF(INDEX(GLAPS컨테이너배차관리!$AI:$AI,$B31)="","",INDEX(GLAPS컨테이너배차관리!$AI:$AI,$B31))="Y"),"위험물리퍼",IF(IF(INDEX(GLAPS컨테이너배차관리!$AK:$AK,$B31)="","",INDEX(GLAPS컨테이너배차관리!$AK:$AK,$B31))="Y","위험물",IF(IF(INDEX(GLAPS컨테이너배차관리!$AI:$AI,$B31)="","",INDEX(GLAPS컨테이너배차관리!$AI:$AI,$B31))="Y","리퍼",""))))</f>
        <v/>
      </c>
      <c r="R31" t="str">
        <f>IF($B31="","",IF(LEFT(IF(INDEX(GLAPS컨테이너배차관리!$Y:$Y,$B31)="","",INDEX(GLAPS컨테이너배차관리!$Y:$Y,$B31)),2)="22",1,""))</f>
        <v/>
      </c>
      <c r="S31" t="str">
        <f>IF($B31="","",IF(LEFT(IF(INDEX(GLAPS컨테이너배차관리!$Y:$Y,$B31)="","",INDEX(GLAPS컨테이너배차관리!$Y:$Y,$B31)),2)="42",1,""))</f>
        <v/>
      </c>
      <c r="T31" t="str">
        <f>IF($B31="","",IF(LEFT(IF(INDEX(GLAPS컨테이너배차관리!$Y:$Y,$B31)="","",INDEX(GLAPS컨테이너배차관리!$Y:$Y,$B31)),2)="45",1,""))</f>
        <v/>
      </c>
      <c r="U31" t="str">
        <f>IF($B31="","",IF(INDEX(GLAPS컨테이너배차관리!$X:$X,$B31)="","",INDEX(GLAPS컨테이너배차관리!$X:$X,$B31)))</f>
        <v/>
      </c>
      <c r="V31" t="str">
        <f>IF($B31="","",IF(INDEX(GLAPS컨테이너배차관리!$Z:$Z,$B31)="","",INDEX(GLAPS컨테이너배차관리!$Z:$Z,$B31)))</f>
        <v/>
      </c>
      <c r="W31" t="str">
        <f>IF($B31="","",IF(IF(INDEX(GLAPS컨테이너배차관리!$DI:$DI,$B31)="","",INDEX(GLAPS컨테이너배차관리!$DI:$DI,$B31))&lt;&gt;"",IF(INDEX(GLAPS컨테이너배차관리!$DI:$DI,$B31)="","",INDEX(GLAPS컨테이너배차관리!$DI:$DI,$B31)),IF(IF(INDEX(GLAPS컨테이너배차관리!$DJ:$DJ,$B31)="","",INDEX(GLAPS컨테이너배차관리!$DJ:$DJ,$B31))&lt;&gt;"",IF(INDEX(GLAPS컨테이너배차관리!$DJ:$DJ,$B31)="","",INDEX(GLAPS컨테이너배차관리!$DJ:$DJ,$B31)),IF(IF(INDEX(GLAPS컨테이너배차관리!$DK:$DK,$B31)="","",INDEX(GLAPS컨테이너배차관리!$DK:$DK,$B31))&lt;&gt;"",IF(INDEX(GLAPS컨테이너배차관리!$DK:$DK,$B31)="","",INDEX(GLAPS컨테이너배차관리!$DK:$DK,$B31)),IF(IF(INDEX(GLAPS컨테이너배차관리!$DL:$DL,$B31)="","",INDEX(GLAPS컨테이너배차관리!$DL:$DL,$B31))&lt;&gt;"",IF(INDEX(GLAPS컨테이너배차관리!$DL:$DL,$B31)="","",INDEX(GLAPS컨테이너배차관리!$DL:$DL,$B31)),IF(IF(INDEX(GLAPS컨테이너배차관리!$DM:$DM,$B31)="","",INDEX(GLAPS컨테이너배차관리!$DM:$DM,$B31))&lt;&gt;"",IF(INDEX(GLAPS컨테이너배차관리!$DM:$DM,$B31)="","",INDEX(GLAPS컨테이너배차관리!$DM:$DM,$B31)),""))))))</f>
        <v/>
      </c>
      <c r="X31" t="str">
        <f>IF($B31="","",IF(INDEX(GLAPS컨테이너배차관리!$F:$F,$B31)="","",INDEX(GLAPS컨테이너배차관리!$F:$F,$B31)))</f>
        <v/>
      </c>
      <c r="Y31" t="str">
        <f>IF($B31="","",IF(IF(INDEX(GLAPS컨테이너배차관리!$M:$M,$B31)="","",INDEX(GLAPS컨테이너배차관리!$M:$M,$B31))&lt;&gt;"",IF(INDEX(GLAPS컨테이너배차관리!$M:$M,$B31)="","",INDEX(GLAPS컨테이너배차관리!$M:$M,$B31)),IF(IF(INDEX(GLAPS컨테이너배차관리!$N:$N,$B31)="","",INDEX(GLAPS컨테이너배차관리!$N:$N,$B31))&lt;&gt;"",IF(INDEX(GLAPS컨테이너배차관리!$N:$N,$B31)="","",INDEX(GLAPS컨테이너배차관리!$N:$N,$B31)),"")))</f>
        <v/>
      </c>
      <c r="Z31" t="str">
        <f>IF($B31="","",IF(IF(INDEX(GLAPS컨테이너배차관리!$CU:$CU,$B31)="","",INDEX(GLAPS컨테이너배차관리!$CU:$CU,$B31))="","",IFERROR(INT(IF(INDEX(GLAPS컨테이너배차관리!$CU:$CU,$B31)="","",INDEX(GLAPS컨테이너배차관리!$CU:$CU,$B31))),"")))</f>
        <v/>
      </c>
      <c r="AA31" t="str">
        <f>IF($B31="","",IF(AND(IF(INDEX(GLAPS컨테이너배차관리!$CL:$CL,$B31)="","",INDEX(GLAPS컨테이너배차관리!$CL:$CL,$B31))="",IF(INDEX(GLAPS컨테이너배차관리!$CM:$CM,$B31)="","",INDEX(GLAPS컨테이너배차관리!$CM:$CM,$B31))=""),"",IF(OR(IF(INDEX(GLAPS컨테이너배차관리!$CL:$CL,$B31)="","",INDEX(GLAPS컨테이너배차관리!$CL:$CL,$B31))="B000016649",ISNUMBER(SEARCH("B015",IF(INDEX(GLAPS컨테이너배차관리!$CM:$CM,$B31)="","",INDEX(GLAPS컨테이너배차관리!$CM:$CM,$B31)))),ISNUMBER(SEARCH("세방",IF(INDEX(GLAPS컨테이너배차관리!$CM:$CM,$B31)="","",INDEX(GLAPS컨테이너배차관리!$CM:$CM,$B31)))),ISNUMBER(SEARCH("SB",IF(INDEX(GLAPS컨테이너배차관리!$CM:$CM,$B31)="","",INDEX(GLAPS컨테이너배차관리!$CM:$CM,$B31))))),"세방","")))</f>
        <v/>
      </c>
      <c r="AB31" t="str">
        <f>IF($B31="","",IF(IF(INDEX(GLAPS컨테이너배차관리!$CM:$CM,$B31)="","",INDEX(GLAPS컨테이너배차관리!$CM:$CM,$B31))="","",IF(ISNUMBER(SEARCH("이지스두동",IF(INDEX(GLAPS컨테이너배차관리!$CM:$CM,$B31)="","",INDEX(GLAPS컨테이너배차관리!$CM:$CM,$B31)))),"이지스두동",IF(ISNUMBER(SEARCH("이지스녹산",IF(INDEX(GLAPS컨테이너배차관리!$CM:$CM,$B31)="","",INDEX(GLAPS컨테이너배차관리!$CM:$CM,$B31)))),"이지스녹산",IF(ISNUMBER(SEARCH("천우",IF(INDEX(GLAPS컨테이너배차관리!$CM:$CM,$B31)="","",INDEX(GLAPS컨테이너배차관리!$CM:$CM,$B31)))),"천우",IF(OR(ISNUMBER(SEARCH("청암",IF(INDEX(GLAPS컨테이너배차관리!$CM:$CM,$B31)="","",INDEX(GLAPS컨테이너배차관리!$CM:$CM,$B31)))),ISNUMBER(SEARCH("SB청암",IF(INDEX(GLAPS컨테이너배차관리!$CM:$CM,$B31)="","",INDEX(GLAPS컨테이너배차관리!$CM:$CM,$B31))))),"청암신항",IF(INDEX(GLAPS컨테이너배차관리!$CM:$CM,$B31)="","",INDEX(GLAPS컨테이너배차관리!$CM:$CM,$B31))))))))</f>
        <v/>
      </c>
    </row>
    <row r="32" spans="1:28">
      <c r="A32">
        <v>31</v>
      </c>
      <c r="B32" t="str">
        <f>IFERROR(_xlfn.AGGREGATE(15,6,ROW(GLAPS컨테이너배차관리!$X$2:$X$20000)/(GLAPS컨테이너배차관리!$X$2:$X$20000&lt;&gt;""),A32),"")</f>
        <v/>
      </c>
      <c r="C32" t="str">
        <f>IF($B32="","",INT(IF(INDEX(GLAPS컨테이너배차관리!$K:$K,$B32)="","",INDEX(GLAPS컨테이너배차관리!$K:$K,$B32))))</f>
        <v/>
      </c>
      <c r="D32" t="str">
        <f>IF($B32="","",IF(ISNUMBER(SEARCH("이엘에스",IF(INDEX(GLAPS컨테이너배차관리!$AZ:$AZ,$B32)="","",INDEX(GLAPS컨테이너배차관리!$AZ:$AZ,$B32)))),"ELS솔루션",IF(INDEX(GLAPS컨테이너배차관리!$AZ:$AZ,$B32)="","",INDEX(GLAPS컨테이너배차관리!$AZ:$AZ,$B32))))</f>
        <v/>
      </c>
      <c r="E32" t="str">
        <f>IF($B32="","",IF(INDEX(GLAPS컨테이너배차관리!$L:$L,$B32)="","",INDEX(GLAPS컨테이너배차관리!$L:$L,$B32)))</f>
        <v/>
      </c>
      <c r="F32" t="str">
        <f>IF($B32="","",IF(HOUR(IF(INDEX(GLAPS컨테이너배차관리!$L:$L,$B32)="","",INDEX(GLAPS컨테이너배차관리!$L:$L,$B32)))&lt;12,"오전",IF(HOUR(IF(INDEX(GLAPS컨테이너배차관리!$L:$L,$B32)="","",INDEX(GLAPS컨테이너배차관리!$L:$L,$B32)))&lt;18,"오후","잔업")))</f>
        <v/>
      </c>
      <c r="G32" t="str">
        <f>IF($B32="","",IFERROR(INDEX(GLAPS정리!$G$3:$G$264,MATCH(IF(INDEX(GLAPS컨테이너배차관리!$BY:$BY,$B32)="","",INDEX(GLAPS컨테이너배차관리!$BY:$BY,$B32)),GLAPS정리!$H$3:$H$264,0)),TRIM(SUBSTITUTE(SUBSTITUTE(SUBSTITUTE(SUBSTITUTE(SUBSTITUTE(IF(INDEX(GLAPS컨테이너배차관리!$T:$T,$B32)="","",INDEX(GLAPS컨테이너배차관리!$T:$T,$B32)),"[GA]",""),"[GB]",""),"[GC]",""),"[KC]",""),"[GS]",""))))</f>
        <v/>
      </c>
      <c r="H32" t="str">
        <f>IF($B32="","",IFERROR(VLOOKUP(IF(INDEX(GLAPS컨테이너배차관리!$BY:$BY,$B32)="","",INDEX(GLAPS컨테이너배차관리!$BY:$BY,$B32)),GLAPS정리!$BT$3:$BV$200,3,0),""))</f>
        <v/>
      </c>
      <c r="I32" t="str">
        <f>IF($B32="","",LEFT(IF(INDEX(GLAPS컨테이너배차관리!$U:$U,$B32)="","",INDEX(GLAPS컨테이너배차관리!$U:$U,$B32)),FIND("/",IF(INDEX(GLAPS컨테이너배차관리!$U:$U,$B32)="","",INDEX(GLAPS컨테이너배차관리!$U:$U,$B32))&amp;"/")-1))</f>
        <v/>
      </c>
      <c r="J32" t="str">
        <f>IF($B32="","",IF(IF(INDEX(GLAPS컨테이너배차관리!$O:$O,$B32)="","",INDEX(GLAPS컨테이너배차관리!$O:$O,$B32))="EMC","EMA",IFERROR(INDEX(GLAPS정리!$A$2:$A$50,MATCH(IF(INDEX(GLAPS컨테이너배차관리!$O:$O,$B32)="","",INDEX(GLAPS컨테이너배차관리!$O:$O,$B32)),GLAPS정리!$D$2:$D$50,0)),IF(INDEX(GLAPS컨테이너배차관리!$O:$O,$B32)="","",INDEX(GLAPS컨테이너배차관리!$O:$O,$B32)))))</f>
        <v/>
      </c>
      <c r="K32" t="str">
        <f>IF($B32="","",IF(LEFT(IF(INDEX(GLAPS컨테이너배차관리!$Y:$Y,$B32)="","",INDEX(GLAPS컨테이너배차관리!$Y:$Y,$B32)),2)="22","20 Feet",IF(LEFT(IF(INDEX(GLAPS컨테이너배차관리!$Y:$Y,$B32)="","",INDEX(GLAPS컨테이너배차관리!$Y:$Y,$B32)),2)="42","40 Feet","40 Feet H")))</f>
        <v/>
      </c>
      <c r="L32" t="str">
        <f>IF($B32="","",IFERROR(INDEX(GLAPS정리!$BB$2:$BB$80,MATCH(IF(INDEX(GLAPS컨테이너배차관리!$BQ:$BQ,$B32)="","",INDEX(GLAPS컨테이너배차관리!$BQ:$BQ,$B32)),GLAPS정리!$BC$2:$BC$80,0)),IF(INDEX(GLAPS컨테이너배차관리!$BQ:$BQ,$B32)="","",INDEX(GLAPS컨테이너배차관리!$BQ:$BQ,$B32))))</f>
        <v/>
      </c>
      <c r="M32" t="str">
        <f>IF($B32="","",IFERROR(INDEX(GLAPS정리!$V$3:$V$180,MATCH(IF(INDEX(GLAPS컨테이너배차관리!$S:$S,$B32)="","",INDEX(GLAPS컨테이너배차관리!$S:$S,$B32)),GLAPS정리!$W$3:$W$180,0)),IF(INDEX(GLAPS컨테이너배차관리!$S:$S,$B32)="","",INDEX(GLAPS컨테이너배차관리!$S:$S,$B32))))</f>
        <v/>
      </c>
      <c r="N32" t="str">
        <f>IF($B32="","",IF(IF(INDEX(GLAPS컨테이너배차관리!$DF:$DF,$B32)="","",INDEX(GLAPS컨테이너배차관리!$DF:$DF,$B32))&lt;&gt;"",IF(INDEX(GLAPS컨테이너배차관리!$DF:$DF,$B32)="","",INDEX(GLAPS컨테이너배차관리!$DF:$DF,$B32)),IF(IF(INDEX(GLAPS컨테이너배차관리!$DG:$DG,$B32)="","",INDEX(GLAPS컨테이너배차관리!$DG:$DG,$B32))&lt;&gt;"",IF(INDEX(GLAPS컨테이너배차관리!$DG:$DG,$B32)="","",INDEX(GLAPS컨테이너배차관리!$DG:$DG,$B32)),"")))</f>
        <v/>
      </c>
      <c r="O32" t="str">
        <f>IF($B32="","",IF(INDEX(GLAPS컨테이너배차관리!$AB:$AB,$B32)="","",INDEX(GLAPS컨테이너배차관리!$AB:$AB,$B32)))</f>
        <v/>
      </c>
      <c r="P32" t="str">
        <f>IF($B32="","",IF(IF(INDEX(GLAPS컨테이너배차관리!$CP:$CP,$B32)="","",INDEX(GLAPS컨테이너배차관리!$CP:$CP,$B32))="","",IFERROR(INDEX(GLAPS정리!$BH$2:$BH$101,MATCH(IF(INDEX(GLAPS컨테이너배차관리!$CP:$CP,$B32)="","",INDEX(GLAPS컨테이너배차관리!$CP:$CP,$B32)),GLAPS정리!$BI$2:$BI$101,0)),IF(INDEX(GLAPS컨테이너배차관리!$CP:$CP,$B32)="","",INDEX(GLAPS컨테이너배차관리!$CP:$CP,$B32)))))</f>
        <v/>
      </c>
      <c r="Q32" t="str">
        <f>IF($B32="","",IF(AND(IF(INDEX(GLAPS컨테이너배차관리!$AK:$AK,$B32)="","",INDEX(GLAPS컨테이너배차관리!$AK:$AK,$B32))="Y",IF(INDEX(GLAPS컨테이너배차관리!$AI:$AI,$B32)="","",INDEX(GLAPS컨테이너배차관리!$AI:$AI,$B32))="Y"),"위험물리퍼",IF(IF(INDEX(GLAPS컨테이너배차관리!$AK:$AK,$B32)="","",INDEX(GLAPS컨테이너배차관리!$AK:$AK,$B32))="Y","위험물",IF(IF(INDEX(GLAPS컨테이너배차관리!$AI:$AI,$B32)="","",INDEX(GLAPS컨테이너배차관리!$AI:$AI,$B32))="Y","리퍼",""))))</f>
        <v/>
      </c>
      <c r="R32" t="str">
        <f>IF($B32="","",IF(LEFT(IF(INDEX(GLAPS컨테이너배차관리!$Y:$Y,$B32)="","",INDEX(GLAPS컨테이너배차관리!$Y:$Y,$B32)),2)="22",1,""))</f>
        <v/>
      </c>
      <c r="S32" t="str">
        <f>IF($B32="","",IF(LEFT(IF(INDEX(GLAPS컨테이너배차관리!$Y:$Y,$B32)="","",INDEX(GLAPS컨테이너배차관리!$Y:$Y,$B32)),2)="42",1,""))</f>
        <v/>
      </c>
      <c r="T32" t="str">
        <f>IF($B32="","",IF(LEFT(IF(INDEX(GLAPS컨테이너배차관리!$Y:$Y,$B32)="","",INDEX(GLAPS컨테이너배차관리!$Y:$Y,$B32)),2)="45",1,""))</f>
        <v/>
      </c>
      <c r="U32" t="str">
        <f>IF($B32="","",IF(INDEX(GLAPS컨테이너배차관리!$X:$X,$B32)="","",INDEX(GLAPS컨테이너배차관리!$X:$X,$B32)))</f>
        <v/>
      </c>
      <c r="V32" t="str">
        <f>IF($B32="","",IF(INDEX(GLAPS컨테이너배차관리!$Z:$Z,$B32)="","",INDEX(GLAPS컨테이너배차관리!$Z:$Z,$B32)))</f>
        <v/>
      </c>
      <c r="W32" t="str">
        <f>IF($B32="","",IF(IF(INDEX(GLAPS컨테이너배차관리!$DI:$DI,$B32)="","",INDEX(GLAPS컨테이너배차관리!$DI:$DI,$B32))&lt;&gt;"",IF(INDEX(GLAPS컨테이너배차관리!$DI:$DI,$B32)="","",INDEX(GLAPS컨테이너배차관리!$DI:$DI,$B32)),IF(IF(INDEX(GLAPS컨테이너배차관리!$DJ:$DJ,$B32)="","",INDEX(GLAPS컨테이너배차관리!$DJ:$DJ,$B32))&lt;&gt;"",IF(INDEX(GLAPS컨테이너배차관리!$DJ:$DJ,$B32)="","",INDEX(GLAPS컨테이너배차관리!$DJ:$DJ,$B32)),IF(IF(INDEX(GLAPS컨테이너배차관리!$DK:$DK,$B32)="","",INDEX(GLAPS컨테이너배차관리!$DK:$DK,$B32))&lt;&gt;"",IF(INDEX(GLAPS컨테이너배차관리!$DK:$DK,$B32)="","",INDEX(GLAPS컨테이너배차관리!$DK:$DK,$B32)),IF(IF(INDEX(GLAPS컨테이너배차관리!$DL:$DL,$B32)="","",INDEX(GLAPS컨테이너배차관리!$DL:$DL,$B32))&lt;&gt;"",IF(INDEX(GLAPS컨테이너배차관리!$DL:$DL,$B32)="","",INDEX(GLAPS컨테이너배차관리!$DL:$DL,$B32)),IF(IF(INDEX(GLAPS컨테이너배차관리!$DM:$DM,$B32)="","",INDEX(GLAPS컨테이너배차관리!$DM:$DM,$B32))&lt;&gt;"",IF(INDEX(GLAPS컨테이너배차관리!$DM:$DM,$B32)="","",INDEX(GLAPS컨테이너배차관리!$DM:$DM,$B32)),""))))))</f>
        <v/>
      </c>
      <c r="X32" t="str">
        <f>IF($B32="","",IF(INDEX(GLAPS컨테이너배차관리!$F:$F,$B32)="","",INDEX(GLAPS컨테이너배차관리!$F:$F,$B32)))</f>
        <v/>
      </c>
      <c r="Y32" t="str">
        <f>IF($B32="","",IF(IF(INDEX(GLAPS컨테이너배차관리!$M:$M,$B32)="","",INDEX(GLAPS컨테이너배차관리!$M:$M,$B32))&lt;&gt;"",IF(INDEX(GLAPS컨테이너배차관리!$M:$M,$B32)="","",INDEX(GLAPS컨테이너배차관리!$M:$M,$B32)),IF(IF(INDEX(GLAPS컨테이너배차관리!$N:$N,$B32)="","",INDEX(GLAPS컨테이너배차관리!$N:$N,$B32))&lt;&gt;"",IF(INDEX(GLAPS컨테이너배차관리!$N:$N,$B32)="","",INDEX(GLAPS컨테이너배차관리!$N:$N,$B32)),"")))</f>
        <v/>
      </c>
      <c r="Z32" t="str">
        <f>IF($B32="","",IF(IF(INDEX(GLAPS컨테이너배차관리!$CU:$CU,$B32)="","",INDEX(GLAPS컨테이너배차관리!$CU:$CU,$B32))="","",IFERROR(INT(IF(INDEX(GLAPS컨테이너배차관리!$CU:$CU,$B32)="","",INDEX(GLAPS컨테이너배차관리!$CU:$CU,$B32))),"")))</f>
        <v/>
      </c>
      <c r="AA32" t="str">
        <f>IF($B32="","",IF(AND(IF(INDEX(GLAPS컨테이너배차관리!$CL:$CL,$B32)="","",INDEX(GLAPS컨테이너배차관리!$CL:$CL,$B32))="",IF(INDEX(GLAPS컨테이너배차관리!$CM:$CM,$B32)="","",INDEX(GLAPS컨테이너배차관리!$CM:$CM,$B32))=""),"",IF(OR(IF(INDEX(GLAPS컨테이너배차관리!$CL:$CL,$B32)="","",INDEX(GLAPS컨테이너배차관리!$CL:$CL,$B32))="B000016649",ISNUMBER(SEARCH("B015",IF(INDEX(GLAPS컨테이너배차관리!$CM:$CM,$B32)="","",INDEX(GLAPS컨테이너배차관리!$CM:$CM,$B32)))),ISNUMBER(SEARCH("세방",IF(INDEX(GLAPS컨테이너배차관리!$CM:$CM,$B32)="","",INDEX(GLAPS컨테이너배차관리!$CM:$CM,$B32)))),ISNUMBER(SEARCH("SB",IF(INDEX(GLAPS컨테이너배차관리!$CM:$CM,$B32)="","",INDEX(GLAPS컨테이너배차관리!$CM:$CM,$B32))))),"세방","")))</f>
        <v/>
      </c>
      <c r="AB32" t="str">
        <f>IF($B32="","",IF(IF(INDEX(GLAPS컨테이너배차관리!$CM:$CM,$B32)="","",INDEX(GLAPS컨테이너배차관리!$CM:$CM,$B32))="","",IF(ISNUMBER(SEARCH("이지스두동",IF(INDEX(GLAPS컨테이너배차관리!$CM:$CM,$B32)="","",INDEX(GLAPS컨테이너배차관리!$CM:$CM,$B32)))),"이지스두동",IF(ISNUMBER(SEARCH("이지스녹산",IF(INDEX(GLAPS컨테이너배차관리!$CM:$CM,$B32)="","",INDEX(GLAPS컨테이너배차관리!$CM:$CM,$B32)))),"이지스녹산",IF(ISNUMBER(SEARCH("천우",IF(INDEX(GLAPS컨테이너배차관리!$CM:$CM,$B32)="","",INDEX(GLAPS컨테이너배차관리!$CM:$CM,$B32)))),"천우",IF(OR(ISNUMBER(SEARCH("청암",IF(INDEX(GLAPS컨테이너배차관리!$CM:$CM,$B32)="","",INDEX(GLAPS컨테이너배차관리!$CM:$CM,$B32)))),ISNUMBER(SEARCH("SB청암",IF(INDEX(GLAPS컨테이너배차관리!$CM:$CM,$B32)="","",INDEX(GLAPS컨테이너배차관리!$CM:$CM,$B32))))),"청암신항",IF(INDEX(GLAPS컨테이너배차관리!$CM:$CM,$B32)="","",INDEX(GLAPS컨테이너배차관리!$CM:$CM,$B32))))))))</f>
        <v/>
      </c>
    </row>
    <row r="33" spans="1:28">
      <c r="A33">
        <v>32</v>
      </c>
      <c r="B33" t="str">
        <f>IFERROR(_xlfn.AGGREGATE(15,6,ROW(GLAPS컨테이너배차관리!$X$2:$X$20000)/(GLAPS컨테이너배차관리!$X$2:$X$20000&lt;&gt;""),A33),"")</f>
        <v/>
      </c>
      <c r="C33" t="str">
        <f>IF($B33="","",INT(IF(INDEX(GLAPS컨테이너배차관리!$K:$K,$B33)="","",INDEX(GLAPS컨테이너배차관리!$K:$K,$B33))))</f>
        <v/>
      </c>
      <c r="D33" t="str">
        <f>IF($B33="","",IF(ISNUMBER(SEARCH("이엘에스",IF(INDEX(GLAPS컨테이너배차관리!$AZ:$AZ,$B33)="","",INDEX(GLAPS컨테이너배차관리!$AZ:$AZ,$B33)))),"ELS솔루션",IF(INDEX(GLAPS컨테이너배차관리!$AZ:$AZ,$B33)="","",INDEX(GLAPS컨테이너배차관리!$AZ:$AZ,$B33))))</f>
        <v/>
      </c>
      <c r="E33" t="str">
        <f>IF($B33="","",IF(INDEX(GLAPS컨테이너배차관리!$L:$L,$B33)="","",INDEX(GLAPS컨테이너배차관리!$L:$L,$B33)))</f>
        <v/>
      </c>
      <c r="F33" t="str">
        <f>IF($B33="","",IF(HOUR(IF(INDEX(GLAPS컨테이너배차관리!$L:$L,$B33)="","",INDEX(GLAPS컨테이너배차관리!$L:$L,$B33)))&lt;12,"오전",IF(HOUR(IF(INDEX(GLAPS컨테이너배차관리!$L:$L,$B33)="","",INDEX(GLAPS컨테이너배차관리!$L:$L,$B33)))&lt;18,"오후","잔업")))</f>
        <v/>
      </c>
      <c r="G33" t="str">
        <f>IF($B33="","",IFERROR(INDEX(GLAPS정리!$G$3:$G$264,MATCH(IF(INDEX(GLAPS컨테이너배차관리!$BY:$BY,$B33)="","",INDEX(GLAPS컨테이너배차관리!$BY:$BY,$B33)),GLAPS정리!$H$3:$H$264,0)),TRIM(SUBSTITUTE(SUBSTITUTE(SUBSTITUTE(SUBSTITUTE(SUBSTITUTE(IF(INDEX(GLAPS컨테이너배차관리!$T:$T,$B33)="","",INDEX(GLAPS컨테이너배차관리!$T:$T,$B33)),"[GA]",""),"[GB]",""),"[GC]",""),"[KC]",""),"[GS]",""))))</f>
        <v/>
      </c>
      <c r="H33" t="str">
        <f>IF($B33="","",IFERROR(VLOOKUP(IF(INDEX(GLAPS컨테이너배차관리!$BY:$BY,$B33)="","",INDEX(GLAPS컨테이너배차관리!$BY:$BY,$B33)),GLAPS정리!$BT$3:$BV$200,3,0),""))</f>
        <v/>
      </c>
      <c r="I33" t="str">
        <f>IF($B33="","",LEFT(IF(INDEX(GLAPS컨테이너배차관리!$U:$U,$B33)="","",INDEX(GLAPS컨테이너배차관리!$U:$U,$B33)),FIND("/",IF(INDEX(GLAPS컨테이너배차관리!$U:$U,$B33)="","",INDEX(GLAPS컨테이너배차관리!$U:$U,$B33))&amp;"/")-1))</f>
        <v/>
      </c>
      <c r="J33" t="str">
        <f>IF($B33="","",IF(IF(INDEX(GLAPS컨테이너배차관리!$O:$O,$B33)="","",INDEX(GLAPS컨테이너배차관리!$O:$O,$B33))="EMC","EMA",IFERROR(INDEX(GLAPS정리!$A$2:$A$50,MATCH(IF(INDEX(GLAPS컨테이너배차관리!$O:$O,$B33)="","",INDEX(GLAPS컨테이너배차관리!$O:$O,$B33)),GLAPS정리!$D$2:$D$50,0)),IF(INDEX(GLAPS컨테이너배차관리!$O:$O,$B33)="","",INDEX(GLAPS컨테이너배차관리!$O:$O,$B33)))))</f>
        <v/>
      </c>
      <c r="K33" t="str">
        <f>IF($B33="","",IF(LEFT(IF(INDEX(GLAPS컨테이너배차관리!$Y:$Y,$B33)="","",INDEX(GLAPS컨테이너배차관리!$Y:$Y,$B33)),2)="22","20 Feet",IF(LEFT(IF(INDEX(GLAPS컨테이너배차관리!$Y:$Y,$B33)="","",INDEX(GLAPS컨테이너배차관리!$Y:$Y,$B33)),2)="42","40 Feet","40 Feet H")))</f>
        <v/>
      </c>
      <c r="L33" t="str">
        <f>IF($B33="","",IFERROR(INDEX(GLAPS정리!$BB$2:$BB$80,MATCH(IF(INDEX(GLAPS컨테이너배차관리!$BQ:$BQ,$B33)="","",INDEX(GLAPS컨테이너배차관리!$BQ:$BQ,$B33)),GLAPS정리!$BC$2:$BC$80,0)),IF(INDEX(GLAPS컨테이너배차관리!$BQ:$BQ,$B33)="","",INDEX(GLAPS컨테이너배차관리!$BQ:$BQ,$B33))))</f>
        <v/>
      </c>
      <c r="M33" t="str">
        <f>IF($B33="","",IFERROR(INDEX(GLAPS정리!$V$3:$V$180,MATCH(IF(INDEX(GLAPS컨테이너배차관리!$S:$S,$B33)="","",INDEX(GLAPS컨테이너배차관리!$S:$S,$B33)),GLAPS정리!$W$3:$W$180,0)),IF(INDEX(GLAPS컨테이너배차관리!$S:$S,$B33)="","",INDEX(GLAPS컨테이너배차관리!$S:$S,$B33))))</f>
        <v/>
      </c>
      <c r="N33" t="str">
        <f>IF($B33="","",IF(IF(INDEX(GLAPS컨테이너배차관리!$DF:$DF,$B33)="","",INDEX(GLAPS컨테이너배차관리!$DF:$DF,$B33))&lt;&gt;"",IF(INDEX(GLAPS컨테이너배차관리!$DF:$DF,$B33)="","",INDEX(GLAPS컨테이너배차관리!$DF:$DF,$B33)),IF(IF(INDEX(GLAPS컨테이너배차관리!$DG:$DG,$B33)="","",INDEX(GLAPS컨테이너배차관리!$DG:$DG,$B33))&lt;&gt;"",IF(INDEX(GLAPS컨테이너배차관리!$DG:$DG,$B33)="","",INDEX(GLAPS컨테이너배차관리!$DG:$DG,$B33)),"")))</f>
        <v/>
      </c>
      <c r="O33" t="str">
        <f>IF($B33="","",IF(INDEX(GLAPS컨테이너배차관리!$AB:$AB,$B33)="","",INDEX(GLAPS컨테이너배차관리!$AB:$AB,$B33)))</f>
        <v/>
      </c>
      <c r="P33" t="str">
        <f>IF($B33="","",IF(IF(INDEX(GLAPS컨테이너배차관리!$CP:$CP,$B33)="","",INDEX(GLAPS컨테이너배차관리!$CP:$CP,$B33))="","",IFERROR(INDEX(GLAPS정리!$BH$2:$BH$101,MATCH(IF(INDEX(GLAPS컨테이너배차관리!$CP:$CP,$B33)="","",INDEX(GLAPS컨테이너배차관리!$CP:$CP,$B33)),GLAPS정리!$BI$2:$BI$101,0)),IF(INDEX(GLAPS컨테이너배차관리!$CP:$CP,$B33)="","",INDEX(GLAPS컨테이너배차관리!$CP:$CP,$B33)))))</f>
        <v/>
      </c>
      <c r="Q33" t="str">
        <f>IF($B33="","",IF(AND(IF(INDEX(GLAPS컨테이너배차관리!$AK:$AK,$B33)="","",INDEX(GLAPS컨테이너배차관리!$AK:$AK,$B33))="Y",IF(INDEX(GLAPS컨테이너배차관리!$AI:$AI,$B33)="","",INDEX(GLAPS컨테이너배차관리!$AI:$AI,$B33))="Y"),"위험물리퍼",IF(IF(INDEX(GLAPS컨테이너배차관리!$AK:$AK,$B33)="","",INDEX(GLAPS컨테이너배차관리!$AK:$AK,$B33))="Y","위험물",IF(IF(INDEX(GLAPS컨테이너배차관리!$AI:$AI,$B33)="","",INDEX(GLAPS컨테이너배차관리!$AI:$AI,$B33))="Y","리퍼",""))))</f>
        <v/>
      </c>
      <c r="R33" t="str">
        <f>IF($B33="","",IF(LEFT(IF(INDEX(GLAPS컨테이너배차관리!$Y:$Y,$B33)="","",INDEX(GLAPS컨테이너배차관리!$Y:$Y,$B33)),2)="22",1,""))</f>
        <v/>
      </c>
      <c r="S33" t="str">
        <f>IF($B33="","",IF(LEFT(IF(INDEX(GLAPS컨테이너배차관리!$Y:$Y,$B33)="","",INDEX(GLAPS컨테이너배차관리!$Y:$Y,$B33)),2)="42",1,""))</f>
        <v/>
      </c>
      <c r="T33" t="str">
        <f>IF($B33="","",IF(LEFT(IF(INDEX(GLAPS컨테이너배차관리!$Y:$Y,$B33)="","",INDEX(GLAPS컨테이너배차관리!$Y:$Y,$B33)),2)="45",1,""))</f>
        <v/>
      </c>
      <c r="U33" t="str">
        <f>IF($B33="","",IF(INDEX(GLAPS컨테이너배차관리!$X:$X,$B33)="","",INDEX(GLAPS컨테이너배차관리!$X:$X,$B33)))</f>
        <v/>
      </c>
      <c r="V33" t="str">
        <f>IF($B33="","",IF(INDEX(GLAPS컨테이너배차관리!$Z:$Z,$B33)="","",INDEX(GLAPS컨테이너배차관리!$Z:$Z,$B33)))</f>
        <v/>
      </c>
      <c r="W33" t="str">
        <f>IF($B33="","",IF(IF(INDEX(GLAPS컨테이너배차관리!$DI:$DI,$B33)="","",INDEX(GLAPS컨테이너배차관리!$DI:$DI,$B33))&lt;&gt;"",IF(INDEX(GLAPS컨테이너배차관리!$DI:$DI,$B33)="","",INDEX(GLAPS컨테이너배차관리!$DI:$DI,$B33)),IF(IF(INDEX(GLAPS컨테이너배차관리!$DJ:$DJ,$B33)="","",INDEX(GLAPS컨테이너배차관리!$DJ:$DJ,$B33))&lt;&gt;"",IF(INDEX(GLAPS컨테이너배차관리!$DJ:$DJ,$B33)="","",INDEX(GLAPS컨테이너배차관리!$DJ:$DJ,$B33)),IF(IF(INDEX(GLAPS컨테이너배차관리!$DK:$DK,$B33)="","",INDEX(GLAPS컨테이너배차관리!$DK:$DK,$B33))&lt;&gt;"",IF(INDEX(GLAPS컨테이너배차관리!$DK:$DK,$B33)="","",INDEX(GLAPS컨테이너배차관리!$DK:$DK,$B33)),IF(IF(INDEX(GLAPS컨테이너배차관리!$DL:$DL,$B33)="","",INDEX(GLAPS컨테이너배차관리!$DL:$DL,$B33))&lt;&gt;"",IF(INDEX(GLAPS컨테이너배차관리!$DL:$DL,$B33)="","",INDEX(GLAPS컨테이너배차관리!$DL:$DL,$B33)),IF(IF(INDEX(GLAPS컨테이너배차관리!$DM:$DM,$B33)="","",INDEX(GLAPS컨테이너배차관리!$DM:$DM,$B33))&lt;&gt;"",IF(INDEX(GLAPS컨테이너배차관리!$DM:$DM,$B33)="","",INDEX(GLAPS컨테이너배차관리!$DM:$DM,$B33)),""))))))</f>
        <v/>
      </c>
      <c r="X33" t="str">
        <f>IF($B33="","",IF(INDEX(GLAPS컨테이너배차관리!$F:$F,$B33)="","",INDEX(GLAPS컨테이너배차관리!$F:$F,$B33)))</f>
        <v/>
      </c>
      <c r="Y33" t="str">
        <f>IF($B33="","",IF(IF(INDEX(GLAPS컨테이너배차관리!$M:$M,$B33)="","",INDEX(GLAPS컨테이너배차관리!$M:$M,$B33))&lt;&gt;"",IF(INDEX(GLAPS컨테이너배차관리!$M:$M,$B33)="","",INDEX(GLAPS컨테이너배차관리!$M:$M,$B33)),IF(IF(INDEX(GLAPS컨테이너배차관리!$N:$N,$B33)="","",INDEX(GLAPS컨테이너배차관리!$N:$N,$B33))&lt;&gt;"",IF(INDEX(GLAPS컨테이너배차관리!$N:$N,$B33)="","",INDEX(GLAPS컨테이너배차관리!$N:$N,$B33)),"")))</f>
        <v/>
      </c>
      <c r="Z33" t="str">
        <f>IF($B33="","",IF(IF(INDEX(GLAPS컨테이너배차관리!$CU:$CU,$B33)="","",INDEX(GLAPS컨테이너배차관리!$CU:$CU,$B33))="","",IFERROR(INT(IF(INDEX(GLAPS컨테이너배차관리!$CU:$CU,$B33)="","",INDEX(GLAPS컨테이너배차관리!$CU:$CU,$B33))),"")))</f>
        <v/>
      </c>
      <c r="AA33" t="str">
        <f>IF($B33="","",IF(AND(IF(INDEX(GLAPS컨테이너배차관리!$CL:$CL,$B33)="","",INDEX(GLAPS컨테이너배차관리!$CL:$CL,$B33))="",IF(INDEX(GLAPS컨테이너배차관리!$CM:$CM,$B33)="","",INDEX(GLAPS컨테이너배차관리!$CM:$CM,$B33))=""),"",IF(OR(IF(INDEX(GLAPS컨테이너배차관리!$CL:$CL,$B33)="","",INDEX(GLAPS컨테이너배차관리!$CL:$CL,$B33))="B000016649",ISNUMBER(SEARCH("B015",IF(INDEX(GLAPS컨테이너배차관리!$CM:$CM,$B33)="","",INDEX(GLAPS컨테이너배차관리!$CM:$CM,$B33)))),ISNUMBER(SEARCH("세방",IF(INDEX(GLAPS컨테이너배차관리!$CM:$CM,$B33)="","",INDEX(GLAPS컨테이너배차관리!$CM:$CM,$B33)))),ISNUMBER(SEARCH("SB",IF(INDEX(GLAPS컨테이너배차관리!$CM:$CM,$B33)="","",INDEX(GLAPS컨테이너배차관리!$CM:$CM,$B33))))),"세방","")))</f>
        <v/>
      </c>
      <c r="AB33" t="str">
        <f>IF($B33="","",IF(IF(INDEX(GLAPS컨테이너배차관리!$CM:$CM,$B33)="","",INDEX(GLAPS컨테이너배차관리!$CM:$CM,$B33))="","",IF(ISNUMBER(SEARCH("이지스두동",IF(INDEX(GLAPS컨테이너배차관리!$CM:$CM,$B33)="","",INDEX(GLAPS컨테이너배차관리!$CM:$CM,$B33)))),"이지스두동",IF(ISNUMBER(SEARCH("이지스녹산",IF(INDEX(GLAPS컨테이너배차관리!$CM:$CM,$B33)="","",INDEX(GLAPS컨테이너배차관리!$CM:$CM,$B33)))),"이지스녹산",IF(ISNUMBER(SEARCH("천우",IF(INDEX(GLAPS컨테이너배차관리!$CM:$CM,$B33)="","",INDEX(GLAPS컨테이너배차관리!$CM:$CM,$B33)))),"천우",IF(OR(ISNUMBER(SEARCH("청암",IF(INDEX(GLAPS컨테이너배차관리!$CM:$CM,$B33)="","",INDEX(GLAPS컨테이너배차관리!$CM:$CM,$B33)))),ISNUMBER(SEARCH("SB청암",IF(INDEX(GLAPS컨테이너배차관리!$CM:$CM,$B33)="","",INDEX(GLAPS컨테이너배차관리!$CM:$CM,$B33))))),"청암신항",IF(INDEX(GLAPS컨테이너배차관리!$CM:$CM,$B33)="","",INDEX(GLAPS컨테이너배차관리!$CM:$CM,$B33))))))))</f>
        <v/>
      </c>
    </row>
    <row r="34" spans="1:28">
      <c r="A34">
        <v>33</v>
      </c>
      <c r="B34" t="str">
        <f>IFERROR(_xlfn.AGGREGATE(15,6,ROW(GLAPS컨테이너배차관리!$X$2:$X$20000)/(GLAPS컨테이너배차관리!$X$2:$X$20000&lt;&gt;""),A34),"")</f>
        <v/>
      </c>
      <c r="C34" t="str">
        <f>IF($B34="","",INT(IF(INDEX(GLAPS컨테이너배차관리!$K:$K,$B34)="","",INDEX(GLAPS컨테이너배차관리!$K:$K,$B34))))</f>
        <v/>
      </c>
      <c r="D34" t="str">
        <f>IF($B34="","",IF(ISNUMBER(SEARCH("이엘에스",IF(INDEX(GLAPS컨테이너배차관리!$AZ:$AZ,$B34)="","",INDEX(GLAPS컨테이너배차관리!$AZ:$AZ,$B34)))),"ELS솔루션",IF(INDEX(GLAPS컨테이너배차관리!$AZ:$AZ,$B34)="","",INDEX(GLAPS컨테이너배차관리!$AZ:$AZ,$B34))))</f>
        <v/>
      </c>
      <c r="E34" t="str">
        <f>IF($B34="","",IF(INDEX(GLAPS컨테이너배차관리!$L:$L,$B34)="","",INDEX(GLAPS컨테이너배차관리!$L:$L,$B34)))</f>
        <v/>
      </c>
      <c r="F34" t="str">
        <f>IF($B34="","",IF(HOUR(IF(INDEX(GLAPS컨테이너배차관리!$L:$L,$B34)="","",INDEX(GLAPS컨테이너배차관리!$L:$L,$B34)))&lt;12,"오전",IF(HOUR(IF(INDEX(GLAPS컨테이너배차관리!$L:$L,$B34)="","",INDEX(GLAPS컨테이너배차관리!$L:$L,$B34)))&lt;18,"오후","잔업")))</f>
        <v/>
      </c>
      <c r="G34" t="str">
        <f>IF($B34="","",IFERROR(INDEX(GLAPS정리!$G$3:$G$264,MATCH(IF(INDEX(GLAPS컨테이너배차관리!$BY:$BY,$B34)="","",INDEX(GLAPS컨테이너배차관리!$BY:$BY,$B34)),GLAPS정리!$H$3:$H$264,0)),TRIM(SUBSTITUTE(SUBSTITUTE(SUBSTITUTE(SUBSTITUTE(SUBSTITUTE(IF(INDEX(GLAPS컨테이너배차관리!$T:$T,$B34)="","",INDEX(GLAPS컨테이너배차관리!$T:$T,$B34)),"[GA]",""),"[GB]",""),"[GC]",""),"[KC]",""),"[GS]",""))))</f>
        <v/>
      </c>
      <c r="H34" t="str">
        <f>IF($B34="","",IFERROR(VLOOKUP(IF(INDEX(GLAPS컨테이너배차관리!$BY:$BY,$B34)="","",INDEX(GLAPS컨테이너배차관리!$BY:$BY,$B34)),GLAPS정리!$BT$3:$BV$200,3,0),""))</f>
        <v/>
      </c>
      <c r="I34" t="str">
        <f>IF($B34="","",LEFT(IF(INDEX(GLAPS컨테이너배차관리!$U:$U,$B34)="","",INDEX(GLAPS컨테이너배차관리!$U:$U,$B34)),FIND("/",IF(INDEX(GLAPS컨테이너배차관리!$U:$U,$B34)="","",INDEX(GLAPS컨테이너배차관리!$U:$U,$B34))&amp;"/")-1))</f>
        <v/>
      </c>
      <c r="J34" t="str">
        <f>IF($B34="","",IF(IF(INDEX(GLAPS컨테이너배차관리!$O:$O,$B34)="","",INDEX(GLAPS컨테이너배차관리!$O:$O,$B34))="EMC","EMA",IFERROR(INDEX(GLAPS정리!$A$2:$A$50,MATCH(IF(INDEX(GLAPS컨테이너배차관리!$O:$O,$B34)="","",INDEX(GLAPS컨테이너배차관리!$O:$O,$B34)),GLAPS정리!$D$2:$D$50,0)),IF(INDEX(GLAPS컨테이너배차관리!$O:$O,$B34)="","",INDEX(GLAPS컨테이너배차관리!$O:$O,$B34)))))</f>
        <v/>
      </c>
      <c r="K34" t="str">
        <f>IF($B34="","",IF(LEFT(IF(INDEX(GLAPS컨테이너배차관리!$Y:$Y,$B34)="","",INDEX(GLAPS컨테이너배차관리!$Y:$Y,$B34)),2)="22","20 Feet",IF(LEFT(IF(INDEX(GLAPS컨테이너배차관리!$Y:$Y,$B34)="","",INDEX(GLAPS컨테이너배차관리!$Y:$Y,$B34)),2)="42","40 Feet","40 Feet H")))</f>
        <v/>
      </c>
      <c r="L34" t="str">
        <f>IF($B34="","",IFERROR(INDEX(GLAPS정리!$BB$2:$BB$80,MATCH(IF(INDEX(GLAPS컨테이너배차관리!$BQ:$BQ,$B34)="","",INDEX(GLAPS컨테이너배차관리!$BQ:$BQ,$B34)),GLAPS정리!$BC$2:$BC$80,0)),IF(INDEX(GLAPS컨테이너배차관리!$BQ:$BQ,$B34)="","",INDEX(GLAPS컨테이너배차관리!$BQ:$BQ,$B34))))</f>
        <v/>
      </c>
      <c r="M34" t="str">
        <f>IF($B34="","",IFERROR(INDEX(GLAPS정리!$V$3:$V$180,MATCH(IF(INDEX(GLAPS컨테이너배차관리!$S:$S,$B34)="","",INDEX(GLAPS컨테이너배차관리!$S:$S,$B34)),GLAPS정리!$W$3:$W$180,0)),IF(INDEX(GLAPS컨테이너배차관리!$S:$S,$B34)="","",INDEX(GLAPS컨테이너배차관리!$S:$S,$B34))))</f>
        <v/>
      </c>
      <c r="N34" t="str">
        <f>IF($B34="","",IF(IF(INDEX(GLAPS컨테이너배차관리!$DF:$DF,$B34)="","",INDEX(GLAPS컨테이너배차관리!$DF:$DF,$B34))&lt;&gt;"",IF(INDEX(GLAPS컨테이너배차관리!$DF:$DF,$B34)="","",INDEX(GLAPS컨테이너배차관리!$DF:$DF,$B34)),IF(IF(INDEX(GLAPS컨테이너배차관리!$DG:$DG,$B34)="","",INDEX(GLAPS컨테이너배차관리!$DG:$DG,$B34))&lt;&gt;"",IF(INDEX(GLAPS컨테이너배차관리!$DG:$DG,$B34)="","",INDEX(GLAPS컨테이너배차관리!$DG:$DG,$B34)),"")))</f>
        <v/>
      </c>
      <c r="O34" t="str">
        <f>IF($B34="","",IF(INDEX(GLAPS컨테이너배차관리!$AB:$AB,$B34)="","",INDEX(GLAPS컨테이너배차관리!$AB:$AB,$B34)))</f>
        <v/>
      </c>
      <c r="P34" t="str">
        <f>IF($B34="","",IF(IF(INDEX(GLAPS컨테이너배차관리!$CP:$CP,$B34)="","",INDEX(GLAPS컨테이너배차관리!$CP:$CP,$B34))="","",IFERROR(INDEX(GLAPS정리!$BH$2:$BH$101,MATCH(IF(INDEX(GLAPS컨테이너배차관리!$CP:$CP,$B34)="","",INDEX(GLAPS컨테이너배차관리!$CP:$CP,$B34)),GLAPS정리!$BI$2:$BI$101,0)),IF(INDEX(GLAPS컨테이너배차관리!$CP:$CP,$B34)="","",INDEX(GLAPS컨테이너배차관리!$CP:$CP,$B34)))))</f>
        <v/>
      </c>
      <c r="Q34" t="str">
        <f>IF($B34="","",IF(AND(IF(INDEX(GLAPS컨테이너배차관리!$AK:$AK,$B34)="","",INDEX(GLAPS컨테이너배차관리!$AK:$AK,$B34))="Y",IF(INDEX(GLAPS컨테이너배차관리!$AI:$AI,$B34)="","",INDEX(GLAPS컨테이너배차관리!$AI:$AI,$B34))="Y"),"위험물리퍼",IF(IF(INDEX(GLAPS컨테이너배차관리!$AK:$AK,$B34)="","",INDEX(GLAPS컨테이너배차관리!$AK:$AK,$B34))="Y","위험물",IF(IF(INDEX(GLAPS컨테이너배차관리!$AI:$AI,$B34)="","",INDEX(GLAPS컨테이너배차관리!$AI:$AI,$B34))="Y","리퍼",""))))</f>
        <v/>
      </c>
      <c r="R34" t="str">
        <f>IF($B34="","",IF(LEFT(IF(INDEX(GLAPS컨테이너배차관리!$Y:$Y,$B34)="","",INDEX(GLAPS컨테이너배차관리!$Y:$Y,$B34)),2)="22",1,""))</f>
        <v/>
      </c>
      <c r="S34" t="str">
        <f>IF($B34="","",IF(LEFT(IF(INDEX(GLAPS컨테이너배차관리!$Y:$Y,$B34)="","",INDEX(GLAPS컨테이너배차관리!$Y:$Y,$B34)),2)="42",1,""))</f>
        <v/>
      </c>
      <c r="T34" t="str">
        <f>IF($B34="","",IF(LEFT(IF(INDEX(GLAPS컨테이너배차관리!$Y:$Y,$B34)="","",INDEX(GLAPS컨테이너배차관리!$Y:$Y,$B34)),2)="45",1,""))</f>
        <v/>
      </c>
      <c r="U34" t="str">
        <f>IF($B34="","",IF(INDEX(GLAPS컨테이너배차관리!$X:$X,$B34)="","",INDEX(GLAPS컨테이너배차관리!$X:$X,$B34)))</f>
        <v/>
      </c>
      <c r="V34" t="str">
        <f>IF($B34="","",IF(INDEX(GLAPS컨테이너배차관리!$Z:$Z,$B34)="","",INDEX(GLAPS컨테이너배차관리!$Z:$Z,$B34)))</f>
        <v/>
      </c>
      <c r="W34" t="str">
        <f>IF($B34="","",IF(IF(INDEX(GLAPS컨테이너배차관리!$DI:$DI,$B34)="","",INDEX(GLAPS컨테이너배차관리!$DI:$DI,$B34))&lt;&gt;"",IF(INDEX(GLAPS컨테이너배차관리!$DI:$DI,$B34)="","",INDEX(GLAPS컨테이너배차관리!$DI:$DI,$B34)),IF(IF(INDEX(GLAPS컨테이너배차관리!$DJ:$DJ,$B34)="","",INDEX(GLAPS컨테이너배차관리!$DJ:$DJ,$B34))&lt;&gt;"",IF(INDEX(GLAPS컨테이너배차관리!$DJ:$DJ,$B34)="","",INDEX(GLAPS컨테이너배차관리!$DJ:$DJ,$B34)),IF(IF(INDEX(GLAPS컨테이너배차관리!$DK:$DK,$B34)="","",INDEX(GLAPS컨테이너배차관리!$DK:$DK,$B34))&lt;&gt;"",IF(INDEX(GLAPS컨테이너배차관리!$DK:$DK,$B34)="","",INDEX(GLAPS컨테이너배차관리!$DK:$DK,$B34)),IF(IF(INDEX(GLAPS컨테이너배차관리!$DL:$DL,$B34)="","",INDEX(GLAPS컨테이너배차관리!$DL:$DL,$B34))&lt;&gt;"",IF(INDEX(GLAPS컨테이너배차관리!$DL:$DL,$B34)="","",INDEX(GLAPS컨테이너배차관리!$DL:$DL,$B34)),IF(IF(INDEX(GLAPS컨테이너배차관리!$DM:$DM,$B34)="","",INDEX(GLAPS컨테이너배차관리!$DM:$DM,$B34))&lt;&gt;"",IF(INDEX(GLAPS컨테이너배차관리!$DM:$DM,$B34)="","",INDEX(GLAPS컨테이너배차관리!$DM:$DM,$B34)),""))))))</f>
        <v/>
      </c>
      <c r="X34" t="str">
        <f>IF($B34="","",IF(INDEX(GLAPS컨테이너배차관리!$F:$F,$B34)="","",INDEX(GLAPS컨테이너배차관리!$F:$F,$B34)))</f>
        <v/>
      </c>
      <c r="Y34" t="str">
        <f>IF($B34="","",IF(IF(INDEX(GLAPS컨테이너배차관리!$M:$M,$B34)="","",INDEX(GLAPS컨테이너배차관리!$M:$M,$B34))&lt;&gt;"",IF(INDEX(GLAPS컨테이너배차관리!$M:$M,$B34)="","",INDEX(GLAPS컨테이너배차관리!$M:$M,$B34)),IF(IF(INDEX(GLAPS컨테이너배차관리!$N:$N,$B34)="","",INDEX(GLAPS컨테이너배차관리!$N:$N,$B34))&lt;&gt;"",IF(INDEX(GLAPS컨테이너배차관리!$N:$N,$B34)="","",INDEX(GLAPS컨테이너배차관리!$N:$N,$B34)),"")))</f>
        <v/>
      </c>
      <c r="Z34" t="str">
        <f>IF($B34="","",IF(IF(INDEX(GLAPS컨테이너배차관리!$CU:$CU,$B34)="","",INDEX(GLAPS컨테이너배차관리!$CU:$CU,$B34))="","",IFERROR(INT(IF(INDEX(GLAPS컨테이너배차관리!$CU:$CU,$B34)="","",INDEX(GLAPS컨테이너배차관리!$CU:$CU,$B34))),"")))</f>
        <v/>
      </c>
      <c r="AA34" t="str">
        <f>IF($B34="","",IF(AND(IF(INDEX(GLAPS컨테이너배차관리!$CL:$CL,$B34)="","",INDEX(GLAPS컨테이너배차관리!$CL:$CL,$B34))="",IF(INDEX(GLAPS컨테이너배차관리!$CM:$CM,$B34)="","",INDEX(GLAPS컨테이너배차관리!$CM:$CM,$B34))=""),"",IF(OR(IF(INDEX(GLAPS컨테이너배차관리!$CL:$CL,$B34)="","",INDEX(GLAPS컨테이너배차관리!$CL:$CL,$B34))="B000016649",ISNUMBER(SEARCH("B015",IF(INDEX(GLAPS컨테이너배차관리!$CM:$CM,$B34)="","",INDEX(GLAPS컨테이너배차관리!$CM:$CM,$B34)))),ISNUMBER(SEARCH("세방",IF(INDEX(GLAPS컨테이너배차관리!$CM:$CM,$B34)="","",INDEX(GLAPS컨테이너배차관리!$CM:$CM,$B34)))),ISNUMBER(SEARCH("SB",IF(INDEX(GLAPS컨테이너배차관리!$CM:$CM,$B34)="","",INDEX(GLAPS컨테이너배차관리!$CM:$CM,$B34))))),"세방","")))</f>
        <v/>
      </c>
      <c r="AB34" t="str">
        <f>IF($B34="","",IF(IF(INDEX(GLAPS컨테이너배차관리!$CM:$CM,$B34)="","",INDEX(GLAPS컨테이너배차관리!$CM:$CM,$B34))="","",IF(ISNUMBER(SEARCH("이지스두동",IF(INDEX(GLAPS컨테이너배차관리!$CM:$CM,$B34)="","",INDEX(GLAPS컨테이너배차관리!$CM:$CM,$B34)))),"이지스두동",IF(ISNUMBER(SEARCH("이지스녹산",IF(INDEX(GLAPS컨테이너배차관리!$CM:$CM,$B34)="","",INDEX(GLAPS컨테이너배차관리!$CM:$CM,$B34)))),"이지스녹산",IF(ISNUMBER(SEARCH("천우",IF(INDEX(GLAPS컨테이너배차관리!$CM:$CM,$B34)="","",INDEX(GLAPS컨테이너배차관리!$CM:$CM,$B34)))),"천우",IF(OR(ISNUMBER(SEARCH("청암",IF(INDEX(GLAPS컨테이너배차관리!$CM:$CM,$B34)="","",INDEX(GLAPS컨테이너배차관리!$CM:$CM,$B34)))),ISNUMBER(SEARCH("SB청암",IF(INDEX(GLAPS컨테이너배차관리!$CM:$CM,$B34)="","",INDEX(GLAPS컨테이너배차관리!$CM:$CM,$B34))))),"청암신항",IF(INDEX(GLAPS컨테이너배차관리!$CM:$CM,$B34)="","",INDEX(GLAPS컨테이너배차관리!$CM:$CM,$B34))))))))</f>
        <v/>
      </c>
    </row>
    <row r="35" spans="1:28">
      <c r="A35">
        <v>34</v>
      </c>
      <c r="B35" t="str">
        <f>IFERROR(_xlfn.AGGREGATE(15,6,ROW(GLAPS컨테이너배차관리!$X$2:$X$20000)/(GLAPS컨테이너배차관리!$X$2:$X$20000&lt;&gt;""),A35),"")</f>
        <v/>
      </c>
      <c r="C35" t="str">
        <f>IF($B35="","",INT(IF(INDEX(GLAPS컨테이너배차관리!$K:$K,$B35)="","",INDEX(GLAPS컨테이너배차관리!$K:$K,$B35))))</f>
        <v/>
      </c>
      <c r="D35" t="str">
        <f>IF($B35="","",IF(ISNUMBER(SEARCH("이엘에스",IF(INDEX(GLAPS컨테이너배차관리!$AZ:$AZ,$B35)="","",INDEX(GLAPS컨테이너배차관리!$AZ:$AZ,$B35)))),"ELS솔루션",IF(INDEX(GLAPS컨테이너배차관리!$AZ:$AZ,$B35)="","",INDEX(GLAPS컨테이너배차관리!$AZ:$AZ,$B35))))</f>
        <v/>
      </c>
      <c r="E35" t="str">
        <f>IF($B35="","",IF(INDEX(GLAPS컨테이너배차관리!$L:$L,$B35)="","",INDEX(GLAPS컨테이너배차관리!$L:$L,$B35)))</f>
        <v/>
      </c>
      <c r="F35" t="str">
        <f>IF($B35="","",IF(HOUR(IF(INDEX(GLAPS컨테이너배차관리!$L:$L,$B35)="","",INDEX(GLAPS컨테이너배차관리!$L:$L,$B35)))&lt;12,"오전",IF(HOUR(IF(INDEX(GLAPS컨테이너배차관리!$L:$L,$B35)="","",INDEX(GLAPS컨테이너배차관리!$L:$L,$B35)))&lt;18,"오후","잔업")))</f>
        <v/>
      </c>
      <c r="G35" t="str">
        <f>IF($B35="","",IFERROR(INDEX(GLAPS정리!$G$3:$G$264,MATCH(IF(INDEX(GLAPS컨테이너배차관리!$BY:$BY,$B35)="","",INDEX(GLAPS컨테이너배차관리!$BY:$BY,$B35)),GLAPS정리!$H$3:$H$264,0)),TRIM(SUBSTITUTE(SUBSTITUTE(SUBSTITUTE(SUBSTITUTE(SUBSTITUTE(IF(INDEX(GLAPS컨테이너배차관리!$T:$T,$B35)="","",INDEX(GLAPS컨테이너배차관리!$T:$T,$B35)),"[GA]",""),"[GB]",""),"[GC]",""),"[KC]",""),"[GS]",""))))</f>
        <v/>
      </c>
      <c r="H35" t="str">
        <f>IF($B35="","",IFERROR(VLOOKUP(IF(INDEX(GLAPS컨테이너배차관리!$BY:$BY,$B35)="","",INDEX(GLAPS컨테이너배차관리!$BY:$BY,$B35)),GLAPS정리!$BT$3:$BV$200,3,0),""))</f>
        <v/>
      </c>
      <c r="I35" t="str">
        <f>IF($B35="","",LEFT(IF(INDEX(GLAPS컨테이너배차관리!$U:$U,$B35)="","",INDEX(GLAPS컨테이너배차관리!$U:$U,$B35)),FIND("/",IF(INDEX(GLAPS컨테이너배차관리!$U:$U,$B35)="","",INDEX(GLAPS컨테이너배차관리!$U:$U,$B35))&amp;"/")-1))</f>
        <v/>
      </c>
      <c r="J35" t="str">
        <f>IF($B35="","",IF(IF(INDEX(GLAPS컨테이너배차관리!$O:$O,$B35)="","",INDEX(GLAPS컨테이너배차관리!$O:$O,$B35))="EMC","EMA",IFERROR(INDEX(GLAPS정리!$A$2:$A$50,MATCH(IF(INDEX(GLAPS컨테이너배차관리!$O:$O,$B35)="","",INDEX(GLAPS컨테이너배차관리!$O:$O,$B35)),GLAPS정리!$D$2:$D$50,0)),IF(INDEX(GLAPS컨테이너배차관리!$O:$O,$B35)="","",INDEX(GLAPS컨테이너배차관리!$O:$O,$B35)))))</f>
        <v/>
      </c>
      <c r="K35" t="str">
        <f>IF($B35="","",IF(LEFT(IF(INDEX(GLAPS컨테이너배차관리!$Y:$Y,$B35)="","",INDEX(GLAPS컨테이너배차관리!$Y:$Y,$B35)),2)="22","20 Feet",IF(LEFT(IF(INDEX(GLAPS컨테이너배차관리!$Y:$Y,$B35)="","",INDEX(GLAPS컨테이너배차관리!$Y:$Y,$B35)),2)="42","40 Feet","40 Feet H")))</f>
        <v/>
      </c>
      <c r="L35" t="str">
        <f>IF($B35="","",IFERROR(INDEX(GLAPS정리!$BB$2:$BB$80,MATCH(IF(INDEX(GLAPS컨테이너배차관리!$BQ:$BQ,$B35)="","",INDEX(GLAPS컨테이너배차관리!$BQ:$BQ,$B35)),GLAPS정리!$BC$2:$BC$80,0)),IF(INDEX(GLAPS컨테이너배차관리!$BQ:$BQ,$B35)="","",INDEX(GLAPS컨테이너배차관리!$BQ:$BQ,$B35))))</f>
        <v/>
      </c>
      <c r="M35" t="str">
        <f>IF($B35="","",IFERROR(INDEX(GLAPS정리!$V$3:$V$180,MATCH(IF(INDEX(GLAPS컨테이너배차관리!$S:$S,$B35)="","",INDEX(GLAPS컨테이너배차관리!$S:$S,$B35)),GLAPS정리!$W$3:$W$180,0)),IF(INDEX(GLAPS컨테이너배차관리!$S:$S,$B35)="","",INDEX(GLAPS컨테이너배차관리!$S:$S,$B35))))</f>
        <v/>
      </c>
      <c r="N35" t="str">
        <f>IF($B35="","",IF(IF(INDEX(GLAPS컨테이너배차관리!$DF:$DF,$B35)="","",INDEX(GLAPS컨테이너배차관리!$DF:$DF,$B35))&lt;&gt;"",IF(INDEX(GLAPS컨테이너배차관리!$DF:$DF,$B35)="","",INDEX(GLAPS컨테이너배차관리!$DF:$DF,$B35)),IF(IF(INDEX(GLAPS컨테이너배차관리!$DG:$DG,$B35)="","",INDEX(GLAPS컨테이너배차관리!$DG:$DG,$B35))&lt;&gt;"",IF(INDEX(GLAPS컨테이너배차관리!$DG:$DG,$B35)="","",INDEX(GLAPS컨테이너배차관리!$DG:$DG,$B35)),"")))</f>
        <v/>
      </c>
      <c r="O35" t="str">
        <f>IF($B35="","",IF(INDEX(GLAPS컨테이너배차관리!$AB:$AB,$B35)="","",INDEX(GLAPS컨테이너배차관리!$AB:$AB,$B35)))</f>
        <v/>
      </c>
      <c r="P35" t="str">
        <f>IF($B35="","",IF(IF(INDEX(GLAPS컨테이너배차관리!$CP:$CP,$B35)="","",INDEX(GLAPS컨테이너배차관리!$CP:$CP,$B35))="","",IFERROR(INDEX(GLAPS정리!$BH$2:$BH$101,MATCH(IF(INDEX(GLAPS컨테이너배차관리!$CP:$CP,$B35)="","",INDEX(GLAPS컨테이너배차관리!$CP:$CP,$B35)),GLAPS정리!$BI$2:$BI$101,0)),IF(INDEX(GLAPS컨테이너배차관리!$CP:$CP,$B35)="","",INDEX(GLAPS컨테이너배차관리!$CP:$CP,$B35)))))</f>
        <v/>
      </c>
      <c r="Q35" t="str">
        <f>IF($B35="","",IF(AND(IF(INDEX(GLAPS컨테이너배차관리!$AK:$AK,$B35)="","",INDEX(GLAPS컨테이너배차관리!$AK:$AK,$B35))="Y",IF(INDEX(GLAPS컨테이너배차관리!$AI:$AI,$B35)="","",INDEX(GLAPS컨테이너배차관리!$AI:$AI,$B35))="Y"),"위험물리퍼",IF(IF(INDEX(GLAPS컨테이너배차관리!$AK:$AK,$B35)="","",INDEX(GLAPS컨테이너배차관리!$AK:$AK,$B35))="Y","위험물",IF(IF(INDEX(GLAPS컨테이너배차관리!$AI:$AI,$B35)="","",INDEX(GLAPS컨테이너배차관리!$AI:$AI,$B35))="Y","리퍼",""))))</f>
        <v/>
      </c>
      <c r="R35" t="str">
        <f>IF($B35="","",IF(LEFT(IF(INDEX(GLAPS컨테이너배차관리!$Y:$Y,$B35)="","",INDEX(GLAPS컨테이너배차관리!$Y:$Y,$B35)),2)="22",1,""))</f>
        <v/>
      </c>
      <c r="S35" t="str">
        <f>IF($B35="","",IF(LEFT(IF(INDEX(GLAPS컨테이너배차관리!$Y:$Y,$B35)="","",INDEX(GLAPS컨테이너배차관리!$Y:$Y,$B35)),2)="42",1,""))</f>
        <v/>
      </c>
      <c r="T35" t="str">
        <f>IF($B35="","",IF(LEFT(IF(INDEX(GLAPS컨테이너배차관리!$Y:$Y,$B35)="","",INDEX(GLAPS컨테이너배차관리!$Y:$Y,$B35)),2)="45",1,""))</f>
        <v/>
      </c>
      <c r="U35" t="str">
        <f>IF($B35="","",IF(INDEX(GLAPS컨테이너배차관리!$X:$X,$B35)="","",INDEX(GLAPS컨테이너배차관리!$X:$X,$B35)))</f>
        <v/>
      </c>
      <c r="V35" t="str">
        <f>IF($B35="","",IF(INDEX(GLAPS컨테이너배차관리!$Z:$Z,$B35)="","",INDEX(GLAPS컨테이너배차관리!$Z:$Z,$B35)))</f>
        <v/>
      </c>
      <c r="W35" t="str">
        <f>IF($B35="","",IF(IF(INDEX(GLAPS컨테이너배차관리!$DI:$DI,$B35)="","",INDEX(GLAPS컨테이너배차관리!$DI:$DI,$B35))&lt;&gt;"",IF(INDEX(GLAPS컨테이너배차관리!$DI:$DI,$B35)="","",INDEX(GLAPS컨테이너배차관리!$DI:$DI,$B35)),IF(IF(INDEX(GLAPS컨테이너배차관리!$DJ:$DJ,$B35)="","",INDEX(GLAPS컨테이너배차관리!$DJ:$DJ,$B35))&lt;&gt;"",IF(INDEX(GLAPS컨테이너배차관리!$DJ:$DJ,$B35)="","",INDEX(GLAPS컨테이너배차관리!$DJ:$DJ,$B35)),IF(IF(INDEX(GLAPS컨테이너배차관리!$DK:$DK,$B35)="","",INDEX(GLAPS컨테이너배차관리!$DK:$DK,$B35))&lt;&gt;"",IF(INDEX(GLAPS컨테이너배차관리!$DK:$DK,$B35)="","",INDEX(GLAPS컨테이너배차관리!$DK:$DK,$B35)),IF(IF(INDEX(GLAPS컨테이너배차관리!$DL:$DL,$B35)="","",INDEX(GLAPS컨테이너배차관리!$DL:$DL,$B35))&lt;&gt;"",IF(INDEX(GLAPS컨테이너배차관리!$DL:$DL,$B35)="","",INDEX(GLAPS컨테이너배차관리!$DL:$DL,$B35)),IF(IF(INDEX(GLAPS컨테이너배차관리!$DM:$DM,$B35)="","",INDEX(GLAPS컨테이너배차관리!$DM:$DM,$B35))&lt;&gt;"",IF(INDEX(GLAPS컨테이너배차관리!$DM:$DM,$B35)="","",INDEX(GLAPS컨테이너배차관리!$DM:$DM,$B35)),""))))))</f>
        <v/>
      </c>
      <c r="X35" t="str">
        <f>IF($B35="","",IF(INDEX(GLAPS컨테이너배차관리!$F:$F,$B35)="","",INDEX(GLAPS컨테이너배차관리!$F:$F,$B35)))</f>
        <v/>
      </c>
      <c r="Y35" t="str">
        <f>IF($B35="","",IF(IF(INDEX(GLAPS컨테이너배차관리!$M:$M,$B35)="","",INDEX(GLAPS컨테이너배차관리!$M:$M,$B35))&lt;&gt;"",IF(INDEX(GLAPS컨테이너배차관리!$M:$M,$B35)="","",INDEX(GLAPS컨테이너배차관리!$M:$M,$B35)),IF(IF(INDEX(GLAPS컨테이너배차관리!$N:$N,$B35)="","",INDEX(GLAPS컨테이너배차관리!$N:$N,$B35))&lt;&gt;"",IF(INDEX(GLAPS컨테이너배차관리!$N:$N,$B35)="","",INDEX(GLAPS컨테이너배차관리!$N:$N,$B35)),"")))</f>
        <v/>
      </c>
      <c r="Z35" t="str">
        <f>IF($B35="","",IF(IF(INDEX(GLAPS컨테이너배차관리!$CU:$CU,$B35)="","",INDEX(GLAPS컨테이너배차관리!$CU:$CU,$B35))="","",IFERROR(INT(IF(INDEX(GLAPS컨테이너배차관리!$CU:$CU,$B35)="","",INDEX(GLAPS컨테이너배차관리!$CU:$CU,$B35))),"")))</f>
        <v/>
      </c>
      <c r="AA35" t="str">
        <f>IF($B35="","",IF(AND(IF(INDEX(GLAPS컨테이너배차관리!$CL:$CL,$B35)="","",INDEX(GLAPS컨테이너배차관리!$CL:$CL,$B35))="",IF(INDEX(GLAPS컨테이너배차관리!$CM:$CM,$B35)="","",INDEX(GLAPS컨테이너배차관리!$CM:$CM,$B35))=""),"",IF(OR(IF(INDEX(GLAPS컨테이너배차관리!$CL:$CL,$B35)="","",INDEX(GLAPS컨테이너배차관리!$CL:$CL,$B35))="B000016649",ISNUMBER(SEARCH("B015",IF(INDEX(GLAPS컨테이너배차관리!$CM:$CM,$B35)="","",INDEX(GLAPS컨테이너배차관리!$CM:$CM,$B35)))),ISNUMBER(SEARCH("세방",IF(INDEX(GLAPS컨테이너배차관리!$CM:$CM,$B35)="","",INDEX(GLAPS컨테이너배차관리!$CM:$CM,$B35)))),ISNUMBER(SEARCH("SB",IF(INDEX(GLAPS컨테이너배차관리!$CM:$CM,$B35)="","",INDEX(GLAPS컨테이너배차관리!$CM:$CM,$B35))))),"세방","")))</f>
        <v/>
      </c>
      <c r="AB35" t="str">
        <f>IF($B35="","",IF(IF(INDEX(GLAPS컨테이너배차관리!$CM:$CM,$B35)="","",INDEX(GLAPS컨테이너배차관리!$CM:$CM,$B35))="","",IF(ISNUMBER(SEARCH("이지스두동",IF(INDEX(GLAPS컨테이너배차관리!$CM:$CM,$B35)="","",INDEX(GLAPS컨테이너배차관리!$CM:$CM,$B35)))),"이지스두동",IF(ISNUMBER(SEARCH("이지스녹산",IF(INDEX(GLAPS컨테이너배차관리!$CM:$CM,$B35)="","",INDEX(GLAPS컨테이너배차관리!$CM:$CM,$B35)))),"이지스녹산",IF(ISNUMBER(SEARCH("천우",IF(INDEX(GLAPS컨테이너배차관리!$CM:$CM,$B35)="","",INDEX(GLAPS컨테이너배차관리!$CM:$CM,$B35)))),"천우",IF(OR(ISNUMBER(SEARCH("청암",IF(INDEX(GLAPS컨테이너배차관리!$CM:$CM,$B35)="","",INDEX(GLAPS컨테이너배차관리!$CM:$CM,$B35)))),ISNUMBER(SEARCH("SB청암",IF(INDEX(GLAPS컨테이너배차관리!$CM:$CM,$B35)="","",INDEX(GLAPS컨테이너배차관리!$CM:$CM,$B35))))),"청암신항",IF(INDEX(GLAPS컨테이너배차관리!$CM:$CM,$B35)="","",INDEX(GLAPS컨테이너배차관리!$CM:$CM,$B35))))))))</f>
        <v/>
      </c>
    </row>
    <row r="36" spans="1:28">
      <c r="A36">
        <v>35</v>
      </c>
      <c r="B36" t="str">
        <f>IFERROR(_xlfn.AGGREGATE(15,6,ROW(GLAPS컨테이너배차관리!$X$2:$X$20000)/(GLAPS컨테이너배차관리!$X$2:$X$20000&lt;&gt;""),A36),"")</f>
        <v/>
      </c>
      <c r="C36" t="str">
        <f>IF($B36="","",INT(IF(INDEX(GLAPS컨테이너배차관리!$K:$K,$B36)="","",INDEX(GLAPS컨테이너배차관리!$K:$K,$B36))))</f>
        <v/>
      </c>
      <c r="D36" t="str">
        <f>IF($B36="","",IF(ISNUMBER(SEARCH("이엘에스",IF(INDEX(GLAPS컨테이너배차관리!$AZ:$AZ,$B36)="","",INDEX(GLAPS컨테이너배차관리!$AZ:$AZ,$B36)))),"ELS솔루션",IF(INDEX(GLAPS컨테이너배차관리!$AZ:$AZ,$B36)="","",INDEX(GLAPS컨테이너배차관리!$AZ:$AZ,$B36))))</f>
        <v/>
      </c>
      <c r="E36" t="str">
        <f>IF($B36="","",IF(INDEX(GLAPS컨테이너배차관리!$L:$L,$B36)="","",INDEX(GLAPS컨테이너배차관리!$L:$L,$B36)))</f>
        <v/>
      </c>
      <c r="F36" t="str">
        <f>IF($B36="","",IF(HOUR(IF(INDEX(GLAPS컨테이너배차관리!$L:$L,$B36)="","",INDEX(GLAPS컨테이너배차관리!$L:$L,$B36)))&lt;12,"오전",IF(HOUR(IF(INDEX(GLAPS컨테이너배차관리!$L:$L,$B36)="","",INDEX(GLAPS컨테이너배차관리!$L:$L,$B36)))&lt;18,"오후","잔업")))</f>
        <v/>
      </c>
      <c r="G36" t="str">
        <f>IF($B36="","",IFERROR(INDEX(GLAPS정리!$G$3:$G$264,MATCH(IF(INDEX(GLAPS컨테이너배차관리!$BY:$BY,$B36)="","",INDEX(GLAPS컨테이너배차관리!$BY:$BY,$B36)),GLAPS정리!$H$3:$H$264,0)),TRIM(SUBSTITUTE(SUBSTITUTE(SUBSTITUTE(SUBSTITUTE(SUBSTITUTE(IF(INDEX(GLAPS컨테이너배차관리!$T:$T,$B36)="","",INDEX(GLAPS컨테이너배차관리!$T:$T,$B36)),"[GA]",""),"[GB]",""),"[GC]",""),"[KC]",""),"[GS]",""))))</f>
        <v/>
      </c>
      <c r="H36" t="str">
        <f>IF($B36="","",IFERROR(VLOOKUP(IF(INDEX(GLAPS컨테이너배차관리!$BY:$BY,$B36)="","",INDEX(GLAPS컨테이너배차관리!$BY:$BY,$B36)),GLAPS정리!$BT$3:$BV$200,3,0),""))</f>
        <v/>
      </c>
      <c r="I36" t="str">
        <f>IF($B36="","",LEFT(IF(INDEX(GLAPS컨테이너배차관리!$U:$U,$B36)="","",INDEX(GLAPS컨테이너배차관리!$U:$U,$B36)),FIND("/",IF(INDEX(GLAPS컨테이너배차관리!$U:$U,$B36)="","",INDEX(GLAPS컨테이너배차관리!$U:$U,$B36))&amp;"/")-1))</f>
        <v/>
      </c>
      <c r="J36" t="str">
        <f>IF($B36="","",IF(IF(INDEX(GLAPS컨테이너배차관리!$O:$O,$B36)="","",INDEX(GLAPS컨테이너배차관리!$O:$O,$B36))="EMC","EMA",IFERROR(INDEX(GLAPS정리!$A$2:$A$50,MATCH(IF(INDEX(GLAPS컨테이너배차관리!$O:$O,$B36)="","",INDEX(GLAPS컨테이너배차관리!$O:$O,$B36)),GLAPS정리!$D$2:$D$50,0)),IF(INDEX(GLAPS컨테이너배차관리!$O:$O,$B36)="","",INDEX(GLAPS컨테이너배차관리!$O:$O,$B36)))))</f>
        <v/>
      </c>
      <c r="K36" t="str">
        <f>IF($B36="","",IF(LEFT(IF(INDEX(GLAPS컨테이너배차관리!$Y:$Y,$B36)="","",INDEX(GLAPS컨테이너배차관리!$Y:$Y,$B36)),2)="22","20 Feet",IF(LEFT(IF(INDEX(GLAPS컨테이너배차관리!$Y:$Y,$B36)="","",INDEX(GLAPS컨테이너배차관리!$Y:$Y,$B36)),2)="42","40 Feet","40 Feet H")))</f>
        <v/>
      </c>
      <c r="L36" t="str">
        <f>IF($B36="","",IFERROR(INDEX(GLAPS정리!$BB$2:$BB$80,MATCH(IF(INDEX(GLAPS컨테이너배차관리!$BQ:$BQ,$B36)="","",INDEX(GLAPS컨테이너배차관리!$BQ:$BQ,$B36)),GLAPS정리!$BC$2:$BC$80,0)),IF(INDEX(GLAPS컨테이너배차관리!$BQ:$BQ,$B36)="","",INDEX(GLAPS컨테이너배차관리!$BQ:$BQ,$B36))))</f>
        <v/>
      </c>
      <c r="M36" t="str">
        <f>IF($B36="","",IFERROR(INDEX(GLAPS정리!$V$3:$V$180,MATCH(IF(INDEX(GLAPS컨테이너배차관리!$S:$S,$B36)="","",INDEX(GLAPS컨테이너배차관리!$S:$S,$B36)),GLAPS정리!$W$3:$W$180,0)),IF(INDEX(GLAPS컨테이너배차관리!$S:$S,$B36)="","",INDEX(GLAPS컨테이너배차관리!$S:$S,$B36))))</f>
        <v/>
      </c>
      <c r="N36" t="str">
        <f>IF($B36="","",IF(IF(INDEX(GLAPS컨테이너배차관리!$DF:$DF,$B36)="","",INDEX(GLAPS컨테이너배차관리!$DF:$DF,$B36))&lt;&gt;"",IF(INDEX(GLAPS컨테이너배차관리!$DF:$DF,$B36)="","",INDEX(GLAPS컨테이너배차관리!$DF:$DF,$B36)),IF(IF(INDEX(GLAPS컨테이너배차관리!$DG:$DG,$B36)="","",INDEX(GLAPS컨테이너배차관리!$DG:$DG,$B36))&lt;&gt;"",IF(INDEX(GLAPS컨테이너배차관리!$DG:$DG,$B36)="","",INDEX(GLAPS컨테이너배차관리!$DG:$DG,$B36)),"")))</f>
        <v/>
      </c>
      <c r="O36" t="str">
        <f>IF($B36="","",IF(INDEX(GLAPS컨테이너배차관리!$AB:$AB,$B36)="","",INDEX(GLAPS컨테이너배차관리!$AB:$AB,$B36)))</f>
        <v/>
      </c>
      <c r="P36" t="str">
        <f>IF($B36="","",IF(IF(INDEX(GLAPS컨테이너배차관리!$CP:$CP,$B36)="","",INDEX(GLAPS컨테이너배차관리!$CP:$CP,$B36))="","",IFERROR(INDEX(GLAPS정리!$BH$2:$BH$101,MATCH(IF(INDEX(GLAPS컨테이너배차관리!$CP:$CP,$B36)="","",INDEX(GLAPS컨테이너배차관리!$CP:$CP,$B36)),GLAPS정리!$BI$2:$BI$101,0)),IF(INDEX(GLAPS컨테이너배차관리!$CP:$CP,$B36)="","",INDEX(GLAPS컨테이너배차관리!$CP:$CP,$B36)))))</f>
        <v/>
      </c>
      <c r="Q36" t="str">
        <f>IF($B36="","",IF(AND(IF(INDEX(GLAPS컨테이너배차관리!$AK:$AK,$B36)="","",INDEX(GLAPS컨테이너배차관리!$AK:$AK,$B36))="Y",IF(INDEX(GLAPS컨테이너배차관리!$AI:$AI,$B36)="","",INDEX(GLAPS컨테이너배차관리!$AI:$AI,$B36))="Y"),"위험물리퍼",IF(IF(INDEX(GLAPS컨테이너배차관리!$AK:$AK,$B36)="","",INDEX(GLAPS컨테이너배차관리!$AK:$AK,$B36))="Y","위험물",IF(IF(INDEX(GLAPS컨테이너배차관리!$AI:$AI,$B36)="","",INDEX(GLAPS컨테이너배차관리!$AI:$AI,$B36))="Y","리퍼",""))))</f>
        <v/>
      </c>
      <c r="R36" t="str">
        <f>IF($B36="","",IF(LEFT(IF(INDEX(GLAPS컨테이너배차관리!$Y:$Y,$B36)="","",INDEX(GLAPS컨테이너배차관리!$Y:$Y,$B36)),2)="22",1,""))</f>
        <v/>
      </c>
      <c r="S36" t="str">
        <f>IF($B36="","",IF(LEFT(IF(INDEX(GLAPS컨테이너배차관리!$Y:$Y,$B36)="","",INDEX(GLAPS컨테이너배차관리!$Y:$Y,$B36)),2)="42",1,""))</f>
        <v/>
      </c>
      <c r="T36" t="str">
        <f>IF($B36="","",IF(LEFT(IF(INDEX(GLAPS컨테이너배차관리!$Y:$Y,$B36)="","",INDEX(GLAPS컨테이너배차관리!$Y:$Y,$B36)),2)="45",1,""))</f>
        <v/>
      </c>
      <c r="U36" t="str">
        <f>IF($B36="","",IF(INDEX(GLAPS컨테이너배차관리!$X:$X,$B36)="","",INDEX(GLAPS컨테이너배차관리!$X:$X,$B36)))</f>
        <v/>
      </c>
      <c r="V36" t="str">
        <f>IF($B36="","",IF(INDEX(GLAPS컨테이너배차관리!$Z:$Z,$B36)="","",INDEX(GLAPS컨테이너배차관리!$Z:$Z,$B36)))</f>
        <v/>
      </c>
      <c r="W36" t="str">
        <f>IF($B36="","",IF(IF(INDEX(GLAPS컨테이너배차관리!$DI:$DI,$B36)="","",INDEX(GLAPS컨테이너배차관리!$DI:$DI,$B36))&lt;&gt;"",IF(INDEX(GLAPS컨테이너배차관리!$DI:$DI,$B36)="","",INDEX(GLAPS컨테이너배차관리!$DI:$DI,$B36)),IF(IF(INDEX(GLAPS컨테이너배차관리!$DJ:$DJ,$B36)="","",INDEX(GLAPS컨테이너배차관리!$DJ:$DJ,$B36))&lt;&gt;"",IF(INDEX(GLAPS컨테이너배차관리!$DJ:$DJ,$B36)="","",INDEX(GLAPS컨테이너배차관리!$DJ:$DJ,$B36)),IF(IF(INDEX(GLAPS컨테이너배차관리!$DK:$DK,$B36)="","",INDEX(GLAPS컨테이너배차관리!$DK:$DK,$B36))&lt;&gt;"",IF(INDEX(GLAPS컨테이너배차관리!$DK:$DK,$B36)="","",INDEX(GLAPS컨테이너배차관리!$DK:$DK,$B36)),IF(IF(INDEX(GLAPS컨테이너배차관리!$DL:$DL,$B36)="","",INDEX(GLAPS컨테이너배차관리!$DL:$DL,$B36))&lt;&gt;"",IF(INDEX(GLAPS컨테이너배차관리!$DL:$DL,$B36)="","",INDEX(GLAPS컨테이너배차관리!$DL:$DL,$B36)),IF(IF(INDEX(GLAPS컨테이너배차관리!$DM:$DM,$B36)="","",INDEX(GLAPS컨테이너배차관리!$DM:$DM,$B36))&lt;&gt;"",IF(INDEX(GLAPS컨테이너배차관리!$DM:$DM,$B36)="","",INDEX(GLAPS컨테이너배차관리!$DM:$DM,$B36)),""))))))</f>
        <v/>
      </c>
      <c r="X36" t="str">
        <f>IF($B36="","",IF(INDEX(GLAPS컨테이너배차관리!$F:$F,$B36)="","",INDEX(GLAPS컨테이너배차관리!$F:$F,$B36)))</f>
        <v/>
      </c>
      <c r="Y36" t="str">
        <f>IF($B36="","",IF(IF(INDEX(GLAPS컨테이너배차관리!$M:$M,$B36)="","",INDEX(GLAPS컨테이너배차관리!$M:$M,$B36))&lt;&gt;"",IF(INDEX(GLAPS컨테이너배차관리!$M:$M,$B36)="","",INDEX(GLAPS컨테이너배차관리!$M:$M,$B36)),IF(IF(INDEX(GLAPS컨테이너배차관리!$N:$N,$B36)="","",INDEX(GLAPS컨테이너배차관리!$N:$N,$B36))&lt;&gt;"",IF(INDEX(GLAPS컨테이너배차관리!$N:$N,$B36)="","",INDEX(GLAPS컨테이너배차관리!$N:$N,$B36)),"")))</f>
        <v/>
      </c>
      <c r="Z36" t="str">
        <f>IF($B36="","",IF(IF(INDEX(GLAPS컨테이너배차관리!$CU:$CU,$B36)="","",INDEX(GLAPS컨테이너배차관리!$CU:$CU,$B36))="","",IFERROR(INT(IF(INDEX(GLAPS컨테이너배차관리!$CU:$CU,$B36)="","",INDEX(GLAPS컨테이너배차관리!$CU:$CU,$B36))),"")))</f>
        <v/>
      </c>
      <c r="AA36" t="str">
        <f>IF($B36="","",IF(AND(IF(INDEX(GLAPS컨테이너배차관리!$CL:$CL,$B36)="","",INDEX(GLAPS컨테이너배차관리!$CL:$CL,$B36))="",IF(INDEX(GLAPS컨테이너배차관리!$CM:$CM,$B36)="","",INDEX(GLAPS컨테이너배차관리!$CM:$CM,$B36))=""),"",IF(OR(IF(INDEX(GLAPS컨테이너배차관리!$CL:$CL,$B36)="","",INDEX(GLAPS컨테이너배차관리!$CL:$CL,$B36))="B000016649",ISNUMBER(SEARCH("B015",IF(INDEX(GLAPS컨테이너배차관리!$CM:$CM,$B36)="","",INDEX(GLAPS컨테이너배차관리!$CM:$CM,$B36)))),ISNUMBER(SEARCH("세방",IF(INDEX(GLAPS컨테이너배차관리!$CM:$CM,$B36)="","",INDEX(GLAPS컨테이너배차관리!$CM:$CM,$B36)))),ISNUMBER(SEARCH("SB",IF(INDEX(GLAPS컨테이너배차관리!$CM:$CM,$B36)="","",INDEX(GLAPS컨테이너배차관리!$CM:$CM,$B36))))),"세방","")))</f>
        <v/>
      </c>
      <c r="AB36" t="str">
        <f>IF($B36="","",IF(IF(INDEX(GLAPS컨테이너배차관리!$CM:$CM,$B36)="","",INDEX(GLAPS컨테이너배차관리!$CM:$CM,$B36))="","",IF(ISNUMBER(SEARCH("이지스두동",IF(INDEX(GLAPS컨테이너배차관리!$CM:$CM,$B36)="","",INDEX(GLAPS컨테이너배차관리!$CM:$CM,$B36)))),"이지스두동",IF(ISNUMBER(SEARCH("이지스녹산",IF(INDEX(GLAPS컨테이너배차관리!$CM:$CM,$B36)="","",INDEX(GLAPS컨테이너배차관리!$CM:$CM,$B36)))),"이지스녹산",IF(ISNUMBER(SEARCH("천우",IF(INDEX(GLAPS컨테이너배차관리!$CM:$CM,$B36)="","",INDEX(GLAPS컨테이너배차관리!$CM:$CM,$B36)))),"천우",IF(OR(ISNUMBER(SEARCH("청암",IF(INDEX(GLAPS컨테이너배차관리!$CM:$CM,$B36)="","",INDEX(GLAPS컨테이너배차관리!$CM:$CM,$B36)))),ISNUMBER(SEARCH("SB청암",IF(INDEX(GLAPS컨테이너배차관리!$CM:$CM,$B36)="","",INDEX(GLAPS컨테이너배차관리!$CM:$CM,$B36))))),"청암신항",IF(INDEX(GLAPS컨테이너배차관리!$CM:$CM,$B36)="","",INDEX(GLAPS컨테이너배차관리!$CM:$CM,$B36))))))))</f>
        <v/>
      </c>
    </row>
    <row r="37" spans="1:28">
      <c r="A37">
        <v>36</v>
      </c>
      <c r="B37" t="str">
        <f>IFERROR(_xlfn.AGGREGATE(15,6,ROW(GLAPS컨테이너배차관리!$X$2:$X$20000)/(GLAPS컨테이너배차관리!$X$2:$X$20000&lt;&gt;""),A37),"")</f>
        <v/>
      </c>
      <c r="C37" t="str">
        <f>IF($B37="","",INT(IF(INDEX(GLAPS컨테이너배차관리!$K:$K,$B37)="","",INDEX(GLAPS컨테이너배차관리!$K:$K,$B37))))</f>
        <v/>
      </c>
      <c r="D37" t="str">
        <f>IF($B37="","",IF(ISNUMBER(SEARCH("이엘에스",IF(INDEX(GLAPS컨테이너배차관리!$AZ:$AZ,$B37)="","",INDEX(GLAPS컨테이너배차관리!$AZ:$AZ,$B37)))),"ELS솔루션",IF(INDEX(GLAPS컨테이너배차관리!$AZ:$AZ,$B37)="","",INDEX(GLAPS컨테이너배차관리!$AZ:$AZ,$B37))))</f>
        <v/>
      </c>
      <c r="E37" t="str">
        <f>IF($B37="","",IF(INDEX(GLAPS컨테이너배차관리!$L:$L,$B37)="","",INDEX(GLAPS컨테이너배차관리!$L:$L,$B37)))</f>
        <v/>
      </c>
      <c r="F37" t="str">
        <f>IF($B37="","",IF(HOUR(IF(INDEX(GLAPS컨테이너배차관리!$L:$L,$B37)="","",INDEX(GLAPS컨테이너배차관리!$L:$L,$B37)))&lt;12,"오전",IF(HOUR(IF(INDEX(GLAPS컨테이너배차관리!$L:$L,$B37)="","",INDEX(GLAPS컨테이너배차관리!$L:$L,$B37)))&lt;18,"오후","잔업")))</f>
        <v/>
      </c>
      <c r="G37" t="str">
        <f>IF($B37="","",IFERROR(INDEX(GLAPS정리!$G$3:$G$264,MATCH(IF(INDEX(GLAPS컨테이너배차관리!$BY:$BY,$B37)="","",INDEX(GLAPS컨테이너배차관리!$BY:$BY,$B37)),GLAPS정리!$H$3:$H$264,0)),TRIM(SUBSTITUTE(SUBSTITUTE(SUBSTITUTE(SUBSTITUTE(SUBSTITUTE(IF(INDEX(GLAPS컨테이너배차관리!$T:$T,$B37)="","",INDEX(GLAPS컨테이너배차관리!$T:$T,$B37)),"[GA]",""),"[GB]",""),"[GC]",""),"[KC]",""),"[GS]",""))))</f>
        <v/>
      </c>
      <c r="H37" t="str">
        <f>IF($B37="","",IFERROR(VLOOKUP(IF(INDEX(GLAPS컨테이너배차관리!$BY:$BY,$B37)="","",INDEX(GLAPS컨테이너배차관리!$BY:$BY,$B37)),GLAPS정리!$BT$3:$BV$200,3,0),""))</f>
        <v/>
      </c>
      <c r="I37" t="str">
        <f>IF($B37="","",LEFT(IF(INDEX(GLAPS컨테이너배차관리!$U:$U,$B37)="","",INDEX(GLAPS컨테이너배차관리!$U:$U,$B37)),FIND("/",IF(INDEX(GLAPS컨테이너배차관리!$U:$U,$B37)="","",INDEX(GLAPS컨테이너배차관리!$U:$U,$B37))&amp;"/")-1))</f>
        <v/>
      </c>
      <c r="J37" t="str">
        <f>IF($B37="","",IF(IF(INDEX(GLAPS컨테이너배차관리!$O:$O,$B37)="","",INDEX(GLAPS컨테이너배차관리!$O:$O,$B37))="EMC","EMA",IFERROR(INDEX(GLAPS정리!$A$2:$A$50,MATCH(IF(INDEX(GLAPS컨테이너배차관리!$O:$O,$B37)="","",INDEX(GLAPS컨테이너배차관리!$O:$O,$B37)),GLAPS정리!$D$2:$D$50,0)),IF(INDEX(GLAPS컨테이너배차관리!$O:$O,$B37)="","",INDEX(GLAPS컨테이너배차관리!$O:$O,$B37)))))</f>
        <v/>
      </c>
      <c r="K37" t="str">
        <f>IF($B37="","",IF(LEFT(IF(INDEX(GLAPS컨테이너배차관리!$Y:$Y,$B37)="","",INDEX(GLAPS컨테이너배차관리!$Y:$Y,$B37)),2)="22","20 Feet",IF(LEFT(IF(INDEX(GLAPS컨테이너배차관리!$Y:$Y,$B37)="","",INDEX(GLAPS컨테이너배차관리!$Y:$Y,$B37)),2)="42","40 Feet","40 Feet H")))</f>
        <v/>
      </c>
      <c r="L37" t="str">
        <f>IF($B37="","",IFERROR(INDEX(GLAPS정리!$BB$2:$BB$80,MATCH(IF(INDEX(GLAPS컨테이너배차관리!$BQ:$BQ,$B37)="","",INDEX(GLAPS컨테이너배차관리!$BQ:$BQ,$B37)),GLAPS정리!$BC$2:$BC$80,0)),IF(INDEX(GLAPS컨테이너배차관리!$BQ:$BQ,$B37)="","",INDEX(GLAPS컨테이너배차관리!$BQ:$BQ,$B37))))</f>
        <v/>
      </c>
      <c r="M37" t="str">
        <f>IF($B37="","",IFERROR(INDEX(GLAPS정리!$V$3:$V$180,MATCH(IF(INDEX(GLAPS컨테이너배차관리!$S:$S,$B37)="","",INDEX(GLAPS컨테이너배차관리!$S:$S,$B37)),GLAPS정리!$W$3:$W$180,0)),IF(INDEX(GLAPS컨테이너배차관리!$S:$S,$B37)="","",INDEX(GLAPS컨테이너배차관리!$S:$S,$B37))))</f>
        <v/>
      </c>
      <c r="N37" t="str">
        <f>IF($B37="","",IF(IF(INDEX(GLAPS컨테이너배차관리!$DF:$DF,$B37)="","",INDEX(GLAPS컨테이너배차관리!$DF:$DF,$B37))&lt;&gt;"",IF(INDEX(GLAPS컨테이너배차관리!$DF:$DF,$B37)="","",INDEX(GLAPS컨테이너배차관리!$DF:$DF,$B37)),IF(IF(INDEX(GLAPS컨테이너배차관리!$DG:$DG,$B37)="","",INDEX(GLAPS컨테이너배차관리!$DG:$DG,$B37))&lt;&gt;"",IF(INDEX(GLAPS컨테이너배차관리!$DG:$DG,$B37)="","",INDEX(GLAPS컨테이너배차관리!$DG:$DG,$B37)),"")))</f>
        <v/>
      </c>
      <c r="O37" t="str">
        <f>IF($B37="","",IF(INDEX(GLAPS컨테이너배차관리!$AB:$AB,$B37)="","",INDEX(GLAPS컨테이너배차관리!$AB:$AB,$B37)))</f>
        <v/>
      </c>
      <c r="P37" t="str">
        <f>IF($B37="","",IF(IF(INDEX(GLAPS컨테이너배차관리!$CP:$CP,$B37)="","",INDEX(GLAPS컨테이너배차관리!$CP:$CP,$B37))="","",IFERROR(INDEX(GLAPS정리!$BH$2:$BH$101,MATCH(IF(INDEX(GLAPS컨테이너배차관리!$CP:$CP,$B37)="","",INDEX(GLAPS컨테이너배차관리!$CP:$CP,$B37)),GLAPS정리!$BI$2:$BI$101,0)),IF(INDEX(GLAPS컨테이너배차관리!$CP:$CP,$B37)="","",INDEX(GLAPS컨테이너배차관리!$CP:$CP,$B37)))))</f>
        <v/>
      </c>
      <c r="Q37" t="str">
        <f>IF($B37="","",IF(AND(IF(INDEX(GLAPS컨테이너배차관리!$AK:$AK,$B37)="","",INDEX(GLAPS컨테이너배차관리!$AK:$AK,$B37))="Y",IF(INDEX(GLAPS컨테이너배차관리!$AI:$AI,$B37)="","",INDEX(GLAPS컨테이너배차관리!$AI:$AI,$B37))="Y"),"위험물리퍼",IF(IF(INDEX(GLAPS컨테이너배차관리!$AK:$AK,$B37)="","",INDEX(GLAPS컨테이너배차관리!$AK:$AK,$B37))="Y","위험물",IF(IF(INDEX(GLAPS컨테이너배차관리!$AI:$AI,$B37)="","",INDEX(GLAPS컨테이너배차관리!$AI:$AI,$B37))="Y","리퍼",""))))</f>
        <v/>
      </c>
      <c r="R37" t="str">
        <f>IF($B37="","",IF(LEFT(IF(INDEX(GLAPS컨테이너배차관리!$Y:$Y,$B37)="","",INDEX(GLAPS컨테이너배차관리!$Y:$Y,$B37)),2)="22",1,""))</f>
        <v/>
      </c>
      <c r="S37" t="str">
        <f>IF($B37="","",IF(LEFT(IF(INDEX(GLAPS컨테이너배차관리!$Y:$Y,$B37)="","",INDEX(GLAPS컨테이너배차관리!$Y:$Y,$B37)),2)="42",1,""))</f>
        <v/>
      </c>
      <c r="T37" t="str">
        <f>IF($B37="","",IF(LEFT(IF(INDEX(GLAPS컨테이너배차관리!$Y:$Y,$B37)="","",INDEX(GLAPS컨테이너배차관리!$Y:$Y,$B37)),2)="45",1,""))</f>
        <v/>
      </c>
      <c r="U37" t="str">
        <f>IF($B37="","",IF(INDEX(GLAPS컨테이너배차관리!$X:$X,$B37)="","",INDEX(GLAPS컨테이너배차관리!$X:$X,$B37)))</f>
        <v/>
      </c>
      <c r="V37" t="str">
        <f>IF($B37="","",IF(INDEX(GLAPS컨테이너배차관리!$Z:$Z,$B37)="","",INDEX(GLAPS컨테이너배차관리!$Z:$Z,$B37)))</f>
        <v/>
      </c>
      <c r="W37" t="str">
        <f>IF($B37="","",IF(IF(INDEX(GLAPS컨테이너배차관리!$DI:$DI,$B37)="","",INDEX(GLAPS컨테이너배차관리!$DI:$DI,$B37))&lt;&gt;"",IF(INDEX(GLAPS컨테이너배차관리!$DI:$DI,$B37)="","",INDEX(GLAPS컨테이너배차관리!$DI:$DI,$B37)),IF(IF(INDEX(GLAPS컨테이너배차관리!$DJ:$DJ,$B37)="","",INDEX(GLAPS컨테이너배차관리!$DJ:$DJ,$B37))&lt;&gt;"",IF(INDEX(GLAPS컨테이너배차관리!$DJ:$DJ,$B37)="","",INDEX(GLAPS컨테이너배차관리!$DJ:$DJ,$B37)),IF(IF(INDEX(GLAPS컨테이너배차관리!$DK:$DK,$B37)="","",INDEX(GLAPS컨테이너배차관리!$DK:$DK,$B37))&lt;&gt;"",IF(INDEX(GLAPS컨테이너배차관리!$DK:$DK,$B37)="","",INDEX(GLAPS컨테이너배차관리!$DK:$DK,$B37)),IF(IF(INDEX(GLAPS컨테이너배차관리!$DL:$DL,$B37)="","",INDEX(GLAPS컨테이너배차관리!$DL:$DL,$B37))&lt;&gt;"",IF(INDEX(GLAPS컨테이너배차관리!$DL:$DL,$B37)="","",INDEX(GLAPS컨테이너배차관리!$DL:$DL,$B37)),IF(IF(INDEX(GLAPS컨테이너배차관리!$DM:$DM,$B37)="","",INDEX(GLAPS컨테이너배차관리!$DM:$DM,$B37))&lt;&gt;"",IF(INDEX(GLAPS컨테이너배차관리!$DM:$DM,$B37)="","",INDEX(GLAPS컨테이너배차관리!$DM:$DM,$B37)),""))))))</f>
        <v/>
      </c>
      <c r="X37" t="str">
        <f>IF($B37="","",IF(INDEX(GLAPS컨테이너배차관리!$F:$F,$B37)="","",INDEX(GLAPS컨테이너배차관리!$F:$F,$B37)))</f>
        <v/>
      </c>
      <c r="Y37" t="str">
        <f>IF($B37="","",IF(IF(INDEX(GLAPS컨테이너배차관리!$M:$M,$B37)="","",INDEX(GLAPS컨테이너배차관리!$M:$M,$B37))&lt;&gt;"",IF(INDEX(GLAPS컨테이너배차관리!$M:$M,$B37)="","",INDEX(GLAPS컨테이너배차관리!$M:$M,$B37)),IF(IF(INDEX(GLAPS컨테이너배차관리!$N:$N,$B37)="","",INDEX(GLAPS컨테이너배차관리!$N:$N,$B37))&lt;&gt;"",IF(INDEX(GLAPS컨테이너배차관리!$N:$N,$B37)="","",INDEX(GLAPS컨테이너배차관리!$N:$N,$B37)),"")))</f>
        <v/>
      </c>
      <c r="Z37" t="str">
        <f>IF($B37="","",IF(IF(INDEX(GLAPS컨테이너배차관리!$CU:$CU,$B37)="","",INDEX(GLAPS컨테이너배차관리!$CU:$CU,$B37))="","",IFERROR(INT(IF(INDEX(GLAPS컨테이너배차관리!$CU:$CU,$B37)="","",INDEX(GLAPS컨테이너배차관리!$CU:$CU,$B37))),"")))</f>
        <v/>
      </c>
      <c r="AA37" t="str">
        <f>IF($B37="","",IF(AND(IF(INDEX(GLAPS컨테이너배차관리!$CL:$CL,$B37)="","",INDEX(GLAPS컨테이너배차관리!$CL:$CL,$B37))="",IF(INDEX(GLAPS컨테이너배차관리!$CM:$CM,$B37)="","",INDEX(GLAPS컨테이너배차관리!$CM:$CM,$B37))=""),"",IF(OR(IF(INDEX(GLAPS컨테이너배차관리!$CL:$CL,$B37)="","",INDEX(GLAPS컨테이너배차관리!$CL:$CL,$B37))="B000016649",ISNUMBER(SEARCH("B015",IF(INDEX(GLAPS컨테이너배차관리!$CM:$CM,$B37)="","",INDEX(GLAPS컨테이너배차관리!$CM:$CM,$B37)))),ISNUMBER(SEARCH("세방",IF(INDEX(GLAPS컨테이너배차관리!$CM:$CM,$B37)="","",INDEX(GLAPS컨테이너배차관리!$CM:$CM,$B37)))),ISNUMBER(SEARCH("SB",IF(INDEX(GLAPS컨테이너배차관리!$CM:$CM,$B37)="","",INDEX(GLAPS컨테이너배차관리!$CM:$CM,$B37))))),"세방","")))</f>
        <v/>
      </c>
      <c r="AB37" t="str">
        <f>IF($B37="","",IF(IF(INDEX(GLAPS컨테이너배차관리!$CM:$CM,$B37)="","",INDEX(GLAPS컨테이너배차관리!$CM:$CM,$B37))="","",IF(ISNUMBER(SEARCH("이지스두동",IF(INDEX(GLAPS컨테이너배차관리!$CM:$CM,$B37)="","",INDEX(GLAPS컨테이너배차관리!$CM:$CM,$B37)))),"이지스두동",IF(ISNUMBER(SEARCH("이지스녹산",IF(INDEX(GLAPS컨테이너배차관리!$CM:$CM,$B37)="","",INDEX(GLAPS컨테이너배차관리!$CM:$CM,$B37)))),"이지스녹산",IF(ISNUMBER(SEARCH("천우",IF(INDEX(GLAPS컨테이너배차관리!$CM:$CM,$B37)="","",INDEX(GLAPS컨테이너배차관리!$CM:$CM,$B37)))),"천우",IF(OR(ISNUMBER(SEARCH("청암",IF(INDEX(GLAPS컨테이너배차관리!$CM:$CM,$B37)="","",INDEX(GLAPS컨테이너배차관리!$CM:$CM,$B37)))),ISNUMBER(SEARCH("SB청암",IF(INDEX(GLAPS컨테이너배차관리!$CM:$CM,$B37)="","",INDEX(GLAPS컨테이너배차관리!$CM:$CM,$B37))))),"청암신항",IF(INDEX(GLAPS컨테이너배차관리!$CM:$CM,$B37)="","",INDEX(GLAPS컨테이너배차관리!$CM:$CM,$B37))))))))</f>
        <v/>
      </c>
    </row>
    <row r="38" spans="1:28">
      <c r="A38">
        <v>37</v>
      </c>
      <c r="B38" t="str">
        <f>IFERROR(_xlfn.AGGREGATE(15,6,ROW(GLAPS컨테이너배차관리!$X$2:$X$20000)/(GLAPS컨테이너배차관리!$X$2:$X$20000&lt;&gt;""),A38),"")</f>
        <v/>
      </c>
      <c r="C38" t="str">
        <f>IF($B38="","",INT(IF(INDEX(GLAPS컨테이너배차관리!$K:$K,$B38)="","",INDEX(GLAPS컨테이너배차관리!$K:$K,$B38))))</f>
        <v/>
      </c>
      <c r="D38" t="str">
        <f>IF($B38="","",IF(ISNUMBER(SEARCH("이엘에스",IF(INDEX(GLAPS컨테이너배차관리!$AZ:$AZ,$B38)="","",INDEX(GLAPS컨테이너배차관리!$AZ:$AZ,$B38)))),"ELS솔루션",IF(INDEX(GLAPS컨테이너배차관리!$AZ:$AZ,$B38)="","",INDEX(GLAPS컨테이너배차관리!$AZ:$AZ,$B38))))</f>
        <v/>
      </c>
      <c r="E38" t="str">
        <f>IF($B38="","",IF(INDEX(GLAPS컨테이너배차관리!$L:$L,$B38)="","",INDEX(GLAPS컨테이너배차관리!$L:$L,$B38)))</f>
        <v/>
      </c>
      <c r="F38" t="str">
        <f>IF($B38="","",IF(HOUR(IF(INDEX(GLAPS컨테이너배차관리!$L:$L,$B38)="","",INDEX(GLAPS컨테이너배차관리!$L:$L,$B38)))&lt;12,"오전",IF(HOUR(IF(INDEX(GLAPS컨테이너배차관리!$L:$L,$B38)="","",INDEX(GLAPS컨테이너배차관리!$L:$L,$B38)))&lt;18,"오후","잔업")))</f>
        <v/>
      </c>
      <c r="G38" t="str">
        <f>IF($B38="","",IFERROR(INDEX(GLAPS정리!$G$3:$G$264,MATCH(IF(INDEX(GLAPS컨테이너배차관리!$BY:$BY,$B38)="","",INDEX(GLAPS컨테이너배차관리!$BY:$BY,$B38)),GLAPS정리!$H$3:$H$264,0)),TRIM(SUBSTITUTE(SUBSTITUTE(SUBSTITUTE(SUBSTITUTE(SUBSTITUTE(IF(INDEX(GLAPS컨테이너배차관리!$T:$T,$B38)="","",INDEX(GLAPS컨테이너배차관리!$T:$T,$B38)),"[GA]",""),"[GB]",""),"[GC]",""),"[KC]",""),"[GS]",""))))</f>
        <v/>
      </c>
      <c r="H38" t="str">
        <f>IF($B38="","",IFERROR(VLOOKUP(IF(INDEX(GLAPS컨테이너배차관리!$BY:$BY,$B38)="","",INDEX(GLAPS컨테이너배차관리!$BY:$BY,$B38)),GLAPS정리!$BT$3:$BV$200,3,0),""))</f>
        <v/>
      </c>
      <c r="I38" t="str">
        <f>IF($B38="","",LEFT(IF(INDEX(GLAPS컨테이너배차관리!$U:$U,$B38)="","",INDEX(GLAPS컨테이너배차관리!$U:$U,$B38)),FIND("/",IF(INDEX(GLAPS컨테이너배차관리!$U:$U,$B38)="","",INDEX(GLAPS컨테이너배차관리!$U:$U,$B38))&amp;"/")-1))</f>
        <v/>
      </c>
      <c r="J38" t="str">
        <f>IF($B38="","",IF(IF(INDEX(GLAPS컨테이너배차관리!$O:$O,$B38)="","",INDEX(GLAPS컨테이너배차관리!$O:$O,$B38))="EMC","EMA",IFERROR(INDEX(GLAPS정리!$A$2:$A$50,MATCH(IF(INDEX(GLAPS컨테이너배차관리!$O:$O,$B38)="","",INDEX(GLAPS컨테이너배차관리!$O:$O,$B38)),GLAPS정리!$D$2:$D$50,0)),IF(INDEX(GLAPS컨테이너배차관리!$O:$O,$B38)="","",INDEX(GLAPS컨테이너배차관리!$O:$O,$B38)))))</f>
        <v/>
      </c>
      <c r="K38" t="str">
        <f>IF($B38="","",IF(LEFT(IF(INDEX(GLAPS컨테이너배차관리!$Y:$Y,$B38)="","",INDEX(GLAPS컨테이너배차관리!$Y:$Y,$B38)),2)="22","20 Feet",IF(LEFT(IF(INDEX(GLAPS컨테이너배차관리!$Y:$Y,$B38)="","",INDEX(GLAPS컨테이너배차관리!$Y:$Y,$B38)),2)="42","40 Feet","40 Feet H")))</f>
        <v/>
      </c>
      <c r="L38" t="str">
        <f>IF($B38="","",IFERROR(INDEX(GLAPS정리!$BB$2:$BB$80,MATCH(IF(INDEX(GLAPS컨테이너배차관리!$BQ:$BQ,$B38)="","",INDEX(GLAPS컨테이너배차관리!$BQ:$BQ,$B38)),GLAPS정리!$BC$2:$BC$80,0)),IF(INDEX(GLAPS컨테이너배차관리!$BQ:$BQ,$B38)="","",INDEX(GLAPS컨테이너배차관리!$BQ:$BQ,$B38))))</f>
        <v/>
      </c>
      <c r="M38" t="str">
        <f>IF($B38="","",IFERROR(INDEX(GLAPS정리!$V$3:$V$180,MATCH(IF(INDEX(GLAPS컨테이너배차관리!$S:$S,$B38)="","",INDEX(GLAPS컨테이너배차관리!$S:$S,$B38)),GLAPS정리!$W$3:$W$180,0)),IF(INDEX(GLAPS컨테이너배차관리!$S:$S,$B38)="","",INDEX(GLAPS컨테이너배차관리!$S:$S,$B38))))</f>
        <v/>
      </c>
      <c r="N38" t="str">
        <f>IF($B38="","",IF(IF(INDEX(GLAPS컨테이너배차관리!$DF:$DF,$B38)="","",INDEX(GLAPS컨테이너배차관리!$DF:$DF,$B38))&lt;&gt;"",IF(INDEX(GLAPS컨테이너배차관리!$DF:$DF,$B38)="","",INDEX(GLAPS컨테이너배차관리!$DF:$DF,$B38)),IF(IF(INDEX(GLAPS컨테이너배차관리!$DG:$DG,$B38)="","",INDEX(GLAPS컨테이너배차관리!$DG:$DG,$B38))&lt;&gt;"",IF(INDEX(GLAPS컨테이너배차관리!$DG:$DG,$B38)="","",INDEX(GLAPS컨테이너배차관리!$DG:$DG,$B38)),"")))</f>
        <v/>
      </c>
      <c r="O38" t="str">
        <f>IF($B38="","",IF(INDEX(GLAPS컨테이너배차관리!$AB:$AB,$B38)="","",INDEX(GLAPS컨테이너배차관리!$AB:$AB,$B38)))</f>
        <v/>
      </c>
      <c r="P38" t="str">
        <f>IF($B38="","",IF(IF(INDEX(GLAPS컨테이너배차관리!$CP:$CP,$B38)="","",INDEX(GLAPS컨테이너배차관리!$CP:$CP,$B38))="","",IFERROR(INDEX(GLAPS정리!$BH$2:$BH$101,MATCH(IF(INDEX(GLAPS컨테이너배차관리!$CP:$CP,$B38)="","",INDEX(GLAPS컨테이너배차관리!$CP:$CP,$B38)),GLAPS정리!$BI$2:$BI$101,0)),IF(INDEX(GLAPS컨테이너배차관리!$CP:$CP,$B38)="","",INDEX(GLAPS컨테이너배차관리!$CP:$CP,$B38)))))</f>
        <v/>
      </c>
      <c r="Q38" t="str">
        <f>IF($B38="","",IF(AND(IF(INDEX(GLAPS컨테이너배차관리!$AK:$AK,$B38)="","",INDEX(GLAPS컨테이너배차관리!$AK:$AK,$B38))="Y",IF(INDEX(GLAPS컨테이너배차관리!$AI:$AI,$B38)="","",INDEX(GLAPS컨테이너배차관리!$AI:$AI,$B38))="Y"),"위험물리퍼",IF(IF(INDEX(GLAPS컨테이너배차관리!$AK:$AK,$B38)="","",INDEX(GLAPS컨테이너배차관리!$AK:$AK,$B38))="Y","위험물",IF(IF(INDEX(GLAPS컨테이너배차관리!$AI:$AI,$B38)="","",INDEX(GLAPS컨테이너배차관리!$AI:$AI,$B38))="Y","리퍼",""))))</f>
        <v/>
      </c>
      <c r="R38" t="str">
        <f>IF($B38="","",IF(LEFT(IF(INDEX(GLAPS컨테이너배차관리!$Y:$Y,$B38)="","",INDEX(GLAPS컨테이너배차관리!$Y:$Y,$B38)),2)="22",1,""))</f>
        <v/>
      </c>
      <c r="S38" t="str">
        <f>IF($B38="","",IF(LEFT(IF(INDEX(GLAPS컨테이너배차관리!$Y:$Y,$B38)="","",INDEX(GLAPS컨테이너배차관리!$Y:$Y,$B38)),2)="42",1,""))</f>
        <v/>
      </c>
      <c r="T38" t="str">
        <f>IF($B38="","",IF(LEFT(IF(INDEX(GLAPS컨테이너배차관리!$Y:$Y,$B38)="","",INDEX(GLAPS컨테이너배차관리!$Y:$Y,$B38)),2)="45",1,""))</f>
        <v/>
      </c>
      <c r="U38" t="str">
        <f>IF($B38="","",IF(INDEX(GLAPS컨테이너배차관리!$X:$X,$B38)="","",INDEX(GLAPS컨테이너배차관리!$X:$X,$B38)))</f>
        <v/>
      </c>
      <c r="V38" t="str">
        <f>IF($B38="","",IF(INDEX(GLAPS컨테이너배차관리!$Z:$Z,$B38)="","",INDEX(GLAPS컨테이너배차관리!$Z:$Z,$B38)))</f>
        <v/>
      </c>
      <c r="W38" t="str">
        <f>IF($B38="","",IF(IF(INDEX(GLAPS컨테이너배차관리!$DI:$DI,$B38)="","",INDEX(GLAPS컨테이너배차관리!$DI:$DI,$B38))&lt;&gt;"",IF(INDEX(GLAPS컨테이너배차관리!$DI:$DI,$B38)="","",INDEX(GLAPS컨테이너배차관리!$DI:$DI,$B38)),IF(IF(INDEX(GLAPS컨테이너배차관리!$DJ:$DJ,$B38)="","",INDEX(GLAPS컨테이너배차관리!$DJ:$DJ,$B38))&lt;&gt;"",IF(INDEX(GLAPS컨테이너배차관리!$DJ:$DJ,$B38)="","",INDEX(GLAPS컨테이너배차관리!$DJ:$DJ,$B38)),IF(IF(INDEX(GLAPS컨테이너배차관리!$DK:$DK,$B38)="","",INDEX(GLAPS컨테이너배차관리!$DK:$DK,$B38))&lt;&gt;"",IF(INDEX(GLAPS컨테이너배차관리!$DK:$DK,$B38)="","",INDEX(GLAPS컨테이너배차관리!$DK:$DK,$B38)),IF(IF(INDEX(GLAPS컨테이너배차관리!$DL:$DL,$B38)="","",INDEX(GLAPS컨테이너배차관리!$DL:$DL,$B38))&lt;&gt;"",IF(INDEX(GLAPS컨테이너배차관리!$DL:$DL,$B38)="","",INDEX(GLAPS컨테이너배차관리!$DL:$DL,$B38)),IF(IF(INDEX(GLAPS컨테이너배차관리!$DM:$DM,$B38)="","",INDEX(GLAPS컨테이너배차관리!$DM:$DM,$B38))&lt;&gt;"",IF(INDEX(GLAPS컨테이너배차관리!$DM:$DM,$B38)="","",INDEX(GLAPS컨테이너배차관리!$DM:$DM,$B38)),""))))))</f>
        <v/>
      </c>
      <c r="X38" t="str">
        <f>IF($B38="","",IF(INDEX(GLAPS컨테이너배차관리!$F:$F,$B38)="","",INDEX(GLAPS컨테이너배차관리!$F:$F,$B38)))</f>
        <v/>
      </c>
      <c r="Y38" t="str">
        <f>IF($B38="","",IF(IF(INDEX(GLAPS컨테이너배차관리!$M:$M,$B38)="","",INDEX(GLAPS컨테이너배차관리!$M:$M,$B38))&lt;&gt;"",IF(INDEX(GLAPS컨테이너배차관리!$M:$M,$B38)="","",INDEX(GLAPS컨테이너배차관리!$M:$M,$B38)),IF(IF(INDEX(GLAPS컨테이너배차관리!$N:$N,$B38)="","",INDEX(GLAPS컨테이너배차관리!$N:$N,$B38))&lt;&gt;"",IF(INDEX(GLAPS컨테이너배차관리!$N:$N,$B38)="","",INDEX(GLAPS컨테이너배차관리!$N:$N,$B38)),"")))</f>
        <v/>
      </c>
      <c r="Z38" t="str">
        <f>IF($B38="","",IF(IF(INDEX(GLAPS컨테이너배차관리!$CU:$CU,$B38)="","",INDEX(GLAPS컨테이너배차관리!$CU:$CU,$B38))="","",IFERROR(INT(IF(INDEX(GLAPS컨테이너배차관리!$CU:$CU,$B38)="","",INDEX(GLAPS컨테이너배차관리!$CU:$CU,$B38))),"")))</f>
        <v/>
      </c>
      <c r="AA38" t="str">
        <f>IF($B38="","",IF(AND(IF(INDEX(GLAPS컨테이너배차관리!$CL:$CL,$B38)="","",INDEX(GLAPS컨테이너배차관리!$CL:$CL,$B38))="",IF(INDEX(GLAPS컨테이너배차관리!$CM:$CM,$B38)="","",INDEX(GLAPS컨테이너배차관리!$CM:$CM,$B38))=""),"",IF(OR(IF(INDEX(GLAPS컨테이너배차관리!$CL:$CL,$B38)="","",INDEX(GLAPS컨테이너배차관리!$CL:$CL,$B38))="B000016649",ISNUMBER(SEARCH("B015",IF(INDEX(GLAPS컨테이너배차관리!$CM:$CM,$B38)="","",INDEX(GLAPS컨테이너배차관리!$CM:$CM,$B38)))),ISNUMBER(SEARCH("세방",IF(INDEX(GLAPS컨테이너배차관리!$CM:$CM,$B38)="","",INDEX(GLAPS컨테이너배차관리!$CM:$CM,$B38)))),ISNUMBER(SEARCH("SB",IF(INDEX(GLAPS컨테이너배차관리!$CM:$CM,$B38)="","",INDEX(GLAPS컨테이너배차관리!$CM:$CM,$B38))))),"세방","")))</f>
        <v/>
      </c>
      <c r="AB38" t="str">
        <f>IF($B38="","",IF(IF(INDEX(GLAPS컨테이너배차관리!$CM:$CM,$B38)="","",INDEX(GLAPS컨테이너배차관리!$CM:$CM,$B38))="","",IF(ISNUMBER(SEARCH("이지스두동",IF(INDEX(GLAPS컨테이너배차관리!$CM:$CM,$B38)="","",INDEX(GLAPS컨테이너배차관리!$CM:$CM,$B38)))),"이지스두동",IF(ISNUMBER(SEARCH("이지스녹산",IF(INDEX(GLAPS컨테이너배차관리!$CM:$CM,$B38)="","",INDEX(GLAPS컨테이너배차관리!$CM:$CM,$B38)))),"이지스녹산",IF(ISNUMBER(SEARCH("천우",IF(INDEX(GLAPS컨테이너배차관리!$CM:$CM,$B38)="","",INDEX(GLAPS컨테이너배차관리!$CM:$CM,$B38)))),"천우",IF(OR(ISNUMBER(SEARCH("청암",IF(INDEX(GLAPS컨테이너배차관리!$CM:$CM,$B38)="","",INDEX(GLAPS컨테이너배차관리!$CM:$CM,$B38)))),ISNUMBER(SEARCH("SB청암",IF(INDEX(GLAPS컨테이너배차관리!$CM:$CM,$B38)="","",INDEX(GLAPS컨테이너배차관리!$CM:$CM,$B38))))),"청암신항",IF(INDEX(GLAPS컨테이너배차관리!$CM:$CM,$B38)="","",INDEX(GLAPS컨테이너배차관리!$CM:$CM,$B38))))))))</f>
        <v/>
      </c>
    </row>
    <row r="39" spans="1:28">
      <c r="A39">
        <v>38</v>
      </c>
      <c r="B39" t="str">
        <f>IFERROR(_xlfn.AGGREGATE(15,6,ROW(GLAPS컨테이너배차관리!$X$2:$X$20000)/(GLAPS컨테이너배차관리!$X$2:$X$20000&lt;&gt;""),A39),"")</f>
        <v/>
      </c>
      <c r="C39" t="str">
        <f>IF($B39="","",INT(IF(INDEX(GLAPS컨테이너배차관리!$K:$K,$B39)="","",INDEX(GLAPS컨테이너배차관리!$K:$K,$B39))))</f>
        <v/>
      </c>
      <c r="D39" t="str">
        <f>IF($B39="","",IF(ISNUMBER(SEARCH("이엘에스",IF(INDEX(GLAPS컨테이너배차관리!$AZ:$AZ,$B39)="","",INDEX(GLAPS컨테이너배차관리!$AZ:$AZ,$B39)))),"ELS솔루션",IF(INDEX(GLAPS컨테이너배차관리!$AZ:$AZ,$B39)="","",INDEX(GLAPS컨테이너배차관리!$AZ:$AZ,$B39))))</f>
        <v/>
      </c>
      <c r="E39" t="str">
        <f>IF($B39="","",IF(INDEX(GLAPS컨테이너배차관리!$L:$L,$B39)="","",INDEX(GLAPS컨테이너배차관리!$L:$L,$B39)))</f>
        <v/>
      </c>
      <c r="F39" t="str">
        <f>IF($B39="","",IF(HOUR(IF(INDEX(GLAPS컨테이너배차관리!$L:$L,$B39)="","",INDEX(GLAPS컨테이너배차관리!$L:$L,$B39)))&lt;12,"오전",IF(HOUR(IF(INDEX(GLAPS컨테이너배차관리!$L:$L,$B39)="","",INDEX(GLAPS컨테이너배차관리!$L:$L,$B39)))&lt;18,"오후","잔업")))</f>
        <v/>
      </c>
      <c r="G39" t="str">
        <f>IF($B39="","",IFERROR(INDEX(GLAPS정리!$G$3:$G$264,MATCH(IF(INDEX(GLAPS컨테이너배차관리!$BY:$BY,$B39)="","",INDEX(GLAPS컨테이너배차관리!$BY:$BY,$B39)),GLAPS정리!$H$3:$H$264,0)),TRIM(SUBSTITUTE(SUBSTITUTE(SUBSTITUTE(SUBSTITUTE(SUBSTITUTE(IF(INDEX(GLAPS컨테이너배차관리!$T:$T,$B39)="","",INDEX(GLAPS컨테이너배차관리!$T:$T,$B39)),"[GA]",""),"[GB]",""),"[GC]",""),"[KC]",""),"[GS]",""))))</f>
        <v/>
      </c>
      <c r="H39" t="str">
        <f>IF($B39="","",IFERROR(VLOOKUP(IF(INDEX(GLAPS컨테이너배차관리!$BY:$BY,$B39)="","",INDEX(GLAPS컨테이너배차관리!$BY:$BY,$B39)),GLAPS정리!$BT$3:$BV$200,3,0),""))</f>
        <v/>
      </c>
      <c r="I39" t="str">
        <f>IF($B39="","",LEFT(IF(INDEX(GLAPS컨테이너배차관리!$U:$U,$B39)="","",INDEX(GLAPS컨테이너배차관리!$U:$U,$B39)),FIND("/",IF(INDEX(GLAPS컨테이너배차관리!$U:$U,$B39)="","",INDEX(GLAPS컨테이너배차관리!$U:$U,$B39))&amp;"/")-1))</f>
        <v/>
      </c>
      <c r="J39" t="str">
        <f>IF($B39="","",IF(IF(INDEX(GLAPS컨테이너배차관리!$O:$O,$B39)="","",INDEX(GLAPS컨테이너배차관리!$O:$O,$B39))="EMC","EMA",IFERROR(INDEX(GLAPS정리!$A$2:$A$50,MATCH(IF(INDEX(GLAPS컨테이너배차관리!$O:$O,$B39)="","",INDEX(GLAPS컨테이너배차관리!$O:$O,$B39)),GLAPS정리!$D$2:$D$50,0)),IF(INDEX(GLAPS컨테이너배차관리!$O:$O,$B39)="","",INDEX(GLAPS컨테이너배차관리!$O:$O,$B39)))))</f>
        <v/>
      </c>
      <c r="K39" t="str">
        <f>IF($B39="","",IF(LEFT(IF(INDEX(GLAPS컨테이너배차관리!$Y:$Y,$B39)="","",INDEX(GLAPS컨테이너배차관리!$Y:$Y,$B39)),2)="22","20 Feet",IF(LEFT(IF(INDEX(GLAPS컨테이너배차관리!$Y:$Y,$B39)="","",INDEX(GLAPS컨테이너배차관리!$Y:$Y,$B39)),2)="42","40 Feet","40 Feet H")))</f>
        <v/>
      </c>
      <c r="L39" t="str">
        <f>IF($B39="","",IFERROR(INDEX(GLAPS정리!$BB$2:$BB$80,MATCH(IF(INDEX(GLAPS컨테이너배차관리!$BQ:$BQ,$B39)="","",INDEX(GLAPS컨테이너배차관리!$BQ:$BQ,$B39)),GLAPS정리!$BC$2:$BC$80,0)),IF(INDEX(GLAPS컨테이너배차관리!$BQ:$BQ,$B39)="","",INDEX(GLAPS컨테이너배차관리!$BQ:$BQ,$B39))))</f>
        <v/>
      </c>
      <c r="M39" t="str">
        <f>IF($B39="","",IFERROR(INDEX(GLAPS정리!$V$3:$V$180,MATCH(IF(INDEX(GLAPS컨테이너배차관리!$S:$S,$B39)="","",INDEX(GLAPS컨테이너배차관리!$S:$S,$B39)),GLAPS정리!$W$3:$W$180,0)),IF(INDEX(GLAPS컨테이너배차관리!$S:$S,$B39)="","",INDEX(GLAPS컨테이너배차관리!$S:$S,$B39))))</f>
        <v/>
      </c>
      <c r="N39" t="str">
        <f>IF($B39="","",IF(IF(INDEX(GLAPS컨테이너배차관리!$DF:$DF,$B39)="","",INDEX(GLAPS컨테이너배차관리!$DF:$DF,$B39))&lt;&gt;"",IF(INDEX(GLAPS컨테이너배차관리!$DF:$DF,$B39)="","",INDEX(GLAPS컨테이너배차관리!$DF:$DF,$B39)),IF(IF(INDEX(GLAPS컨테이너배차관리!$DG:$DG,$B39)="","",INDEX(GLAPS컨테이너배차관리!$DG:$DG,$B39))&lt;&gt;"",IF(INDEX(GLAPS컨테이너배차관리!$DG:$DG,$B39)="","",INDEX(GLAPS컨테이너배차관리!$DG:$DG,$B39)),"")))</f>
        <v/>
      </c>
      <c r="O39" t="str">
        <f>IF($B39="","",IF(INDEX(GLAPS컨테이너배차관리!$AB:$AB,$B39)="","",INDEX(GLAPS컨테이너배차관리!$AB:$AB,$B39)))</f>
        <v/>
      </c>
      <c r="P39" t="str">
        <f>IF($B39="","",IF(IF(INDEX(GLAPS컨테이너배차관리!$CP:$CP,$B39)="","",INDEX(GLAPS컨테이너배차관리!$CP:$CP,$B39))="","",IFERROR(INDEX(GLAPS정리!$BH$2:$BH$101,MATCH(IF(INDEX(GLAPS컨테이너배차관리!$CP:$CP,$B39)="","",INDEX(GLAPS컨테이너배차관리!$CP:$CP,$B39)),GLAPS정리!$BI$2:$BI$101,0)),IF(INDEX(GLAPS컨테이너배차관리!$CP:$CP,$B39)="","",INDEX(GLAPS컨테이너배차관리!$CP:$CP,$B39)))))</f>
        <v/>
      </c>
      <c r="Q39" t="str">
        <f>IF($B39="","",IF(AND(IF(INDEX(GLAPS컨테이너배차관리!$AK:$AK,$B39)="","",INDEX(GLAPS컨테이너배차관리!$AK:$AK,$B39))="Y",IF(INDEX(GLAPS컨테이너배차관리!$AI:$AI,$B39)="","",INDEX(GLAPS컨테이너배차관리!$AI:$AI,$B39))="Y"),"위험물리퍼",IF(IF(INDEX(GLAPS컨테이너배차관리!$AK:$AK,$B39)="","",INDEX(GLAPS컨테이너배차관리!$AK:$AK,$B39))="Y","위험물",IF(IF(INDEX(GLAPS컨테이너배차관리!$AI:$AI,$B39)="","",INDEX(GLAPS컨테이너배차관리!$AI:$AI,$B39))="Y","리퍼",""))))</f>
        <v/>
      </c>
      <c r="R39" t="str">
        <f>IF($B39="","",IF(LEFT(IF(INDEX(GLAPS컨테이너배차관리!$Y:$Y,$B39)="","",INDEX(GLAPS컨테이너배차관리!$Y:$Y,$B39)),2)="22",1,""))</f>
        <v/>
      </c>
      <c r="S39" t="str">
        <f>IF($B39="","",IF(LEFT(IF(INDEX(GLAPS컨테이너배차관리!$Y:$Y,$B39)="","",INDEX(GLAPS컨테이너배차관리!$Y:$Y,$B39)),2)="42",1,""))</f>
        <v/>
      </c>
      <c r="T39" t="str">
        <f>IF($B39="","",IF(LEFT(IF(INDEX(GLAPS컨테이너배차관리!$Y:$Y,$B39)="","",INDEX(GLAPS컨테이너배차관리!$Y:$Y,$B39)),2)="45",1,""))</f>
        <v/>
      </c>
      <c r="U39" t="str">
        <f>IF($B39="","",IF(INDEX(GLAPS컨테이너배차관리!$X:$X,$B39)="","",INDEX(GLAPS컨테이너배차관리!$X:$X,$B39)))</f>
        <v/>
      </c>
      <c r="V39" t="str">
        <f>IF($B39="","",IF(INDEX(GLAPS컨테이너배차관리!$Z:$Z,$B39)="","",INDEX(GLAPS컨테이너배차관리!$Z:$Z,$B39)))</f>
        <v/>
      </c>
      <c r="W39" t="str">
        <f>IF($B39="","",IF(IF(INDEX(GLAPS컨테이너배차관리!$DI:$DI,$B39)="","",INDEX(GLAPS컨테이너배차관리!$DI:$DI,$B39))&lt;&gt;"",IF(INDEX(GLAPS컨테이너배차관리!$DI:$DI,$B39)="","",INDEX(GLAPS컨테이너배차관리!$DI:$DI,$B39)),IF(IF(INDEX(GLAPS컨테이너배차관리!$DJ:$DJ,$B39)="","",INDEX(GLAPS컨테이너배차관리!$DJ:$DJ,$B39))&lt;&gt;"",IF(INDEX(GLAPS컨테이너배차관리!$DJ:$DJ,$B39)="","",INDEX(GLAPS컨테이너배차관리!$DJ:$DJ,$B39)),IF(IF(INDEX(GLAPS컨테이너배차관리!$DK:$DK,$B39)="","",INDEX(GLAPS컨테이너배차관리!$DK:$DK,$B39))&lt;&gt;"",IF(INDEX(GLAPS컨테이너배차관리!$DK:$DK,$B39)="","",INDEX(GLAPS컨테이너배차관리!$DK:$DK,$B39)),IF(IF(INDEX(GLAPS컨테이너배차관리!$DL:$DL,$B39)="","",INDEX(GLAPS컨테이너배차관리!$DL:$DL,$B39))&lt;&gt;"",IF(INDEX(GLAPS컨테이너배차관리!$DL:$DL,$B39)="","",INDEX(GLAPS컨테이너배차관리!$DL:$DL,$B39)),IF(IF(INDEX(GLAPS컨테이너배차관리!$DM:$DM,$B39)="","",INDEX(GLAPS컨테이너배차관리!$DM:$DM,$B39))&lt;&gt;"",IF(INDEX(GLAPS컨테이너배차관리!$DM:$DM,$B39)="","",INDEX(GLAPS컨테이너배차관리!$DM:$DM,$B39)),""))))))</f>
        <v/>
      </c>
      <c r="X39" t="str">
        <f>IF($B39="","",IF(INDEX(GLAPS컨테이너배차관리!$F:$F,$B39)="","",INDEX(GLAPS컨테이너배차관리!$F:$F,$B39)))</f>
        <v/>
      </c>
      <c r="Y39" t="str">
        <f>IF($B39="","",IF(IF(INDEX(GLAPS컨테이너배차관리!$M:$M,$B39)="","",INDEX(GLAPS컨테이너배차관리!$M:$M,$B39))&lt;&gt;"",IF(INDEX(GLAPS컨테이너배차관리!$M:$M,$B39)="","",INDEX(GLAPS컨테이너배차관리!$M:$M,$B39)),IF(IF(INDEX(GLAPS컨테이너배차관리!$N:$N,$B39)="","",INDEX(GLAPS컨테이너배차관리!$N:$N,$B39))&lt;&gt;"",IF(INDEX(GLAPS컨테이너배차관리!$N:$N,$B39)="","",INDEX(GLAPS컨테이너배차관리!$N:$N,$B39)),"")))</f>
        <v/>
      </c>
      <c r="Z39" t="str">
        <f>IF($B39="","",IF(IF(INDEX(GLAPS컨테이너배차관리!$CU:$CU,$B39)="","",INDEX(GLAPS컨테이너배차관리!$CU:$CU,$B39))="","",IFERROR(INT(IF(INDEX(GLAPS컨테이너배차관리!$CU:$CU,$B39)="","",INDEX(GLAPS컨테이너배차관리!$CU:$CU,$B39))),"")))</f>
        <v/>
      </c>
      <c r="AA39" t="str">
        <f>IF($B39="","",IF(AND(IF(INDEX(GLAPS컨테이너배차관리!$CL:$CL,$B39)="","",INDEX(GLAPS컨테이너배차관리!$CL:$CL,$B39))="",IF(INDEX(GLAPS컨테이너배차관리!$CM:$CM,$B39)="","",INDEX(GLAPS컨테이너배차관리!$CM:$CM,$B39))=""),"",IF(OR(IF(INDEX(GLAPS컨테이너배차관리!$CL:$CL,$B39)="","",INDEX(GLAPS컨테이너배차관리!$CL:$CL,$B39))="B000016649",ISNUMBER(SEARCH("B015",IF(INDEX(GLAPS컨테이너배차관리!$CM:$CM,$B39)="","",INDEX(GLAPS컨테이너배차관리!$CM:$CM,$B39)))),ISNUMBER(SEARCH("세방",IF(INDEX(GLAPS컨테이너배차관리!$CM:$CM,$B39)="","",INDEX(GLAPS컨테이너배차관리!$CM:$CM,$B39)))),ISNUMBER(SEARCH("SB",IF(INDEX(GLAPS컨테이너배차관리!$CM:$CM,$B39)="","",INDEX(GLAPS컨테이너배차관리!$CM:$CM,$B39))))),"세방","")))</f>
        <v/>
      </c>
      <c r="AB39" t="str">
        <f>IF($B39="","",IF(IF(INDEX(GLAPS컨테이너배차관리!$CM:$CM,$B39)="","",INDEX(GLAPS컨테이너배차관리!$CM:$CM,$B39))="","",IF(ISNUMBER(SEARCH("이지스두동",IF(INDEX(GLAPS컨테이너배차관리!$CM:$CM,$B39)="","",INDEX(GLAPS컨테이너배차관리!$CM:$CM,$B39)))),"이지스두동",IF(ISNUMBER(SEARCH("이지스녹산",IF(INDEX(GLAPS컨테이너배차관리!$CM:$CM,$B39)="","",INDEX(GLAPS컨테이너배차관리!$CM:$CM,$B39)))),"이지스녹산",IF(ISNUMBER(SEARCH("천우",IF(INDEX(GLAPS컨테이너배차관리!$CM:$CM,$B39)="","",INDEX(GLAPS컨테이너배차관리!$CM:$CM,$B39)))),"천우",IF(OR(ISNUMBER(SEARCH("청암",IF(INDEX(GLAPS컨테이너배차관리!$CM:$CM,$B39)="","",INDEX(GLAPS컨테이너배차관리!$CM:$CM,$B39)))),ISNUMBER(SEARCH("SB청암",IF(INDEX(GLAPS컨테이너배차관리!$CM:$CM,$B39)="","",INDEX(GLAPS컨테이너배차관리!$CM:$CM,$B39))))),"청암신항",IF(INDEX(GLAPS컨테이너배차관리!$CM:$CM,$B39)="","",INDEX(GLAPS컨테이너배차관리!$CM:$CM,$B39))))))))</f>
        <v/>
      </c>
    </row>
    <row r="40" spans="1:28">
      <c r="A40">
        <v>39</v>
      </c>
      <c r="B40" t="str">
        <f>IFERROR(_xlfn.AGGREGATE(15,6,ROW(GLAPS컨테이너배차관리!$X$2:$X$20000)/(GLAPS컨테이너배차관리!$X$2:$X$20000&lt;&gt;""),A40),"")</f>
        <v/>
      </c>
      <c r="C40" t="str">
        <f>IF($B40="","",INT(IF(INDEX(GLAPS컨테이너배차관리!$K:$K,$B40)="","",INDEX(GLAPS컨테이너배차관리!$K:$K,$B40))))</f>
        <v/>
      </c>
      <c r="D40" t="str">
        <f>IF($B40="","",IF(ISNUMBER(SEARCH("이엘에스",IF(INDEX(GLAPS컨테이너배차관리!$AZ:$AZ,$B40)="","",INDEX(GLAPS컨테이너배차관리!$AZ:$AZ,$B40)))),"ELS솔루션",IF(INDEX(GLAPS컨테이너배차관리!$AZ:$AZ,$B40)="","",INDEX(GLAPS컨테이너배차관리!$AZ:$AZ,$B40))))</f>
        <v/>
      </c>
      <c r="E40" t="str">
        <f>IF($B40="","",IF(INDEX(GLAPS컨테이너배차관리!$L:$L,$B40)="","",INDEX(GLAPS컨테이너배차관리!$L:$L,$B40)))</f>
        <v/>
      </c>
      <c r="F40" t="str">
        <f>IF($B40="","",IF(HOUR(IF(INDEX(GLAPS컨테이너배차관리!$L:$L,$B40)="","",INDEX(GLAPS컨테이너배차관리!$L:$L,$B40)))&lt;12,"오전",IF(HOUR(IF(INDEX(GLAPS컨테이너배차관리!$L:$L,$B40)="","",INDEX(GLAPS컨테이너배차관리!$L:$L,$B40)))&lt;18,"오후","잔업")))</f>
        <v/>
      </c>
      <c r="G40" t="str">
        <f>IF($B40="","",IFERROR(INDEX(GLAPS정리!$G$3:$G$264,MATCH(IF(INDEX(GLAPS컨테이너배차관리!$BY:$BY,$B40)="","",INDEX(GLAPS컨테이너배차관리!$BY:$BY,$B40)),GLAPS정리!$H$3:$H$264,0)),TRIM(SUBSTITUTE(SUBSTITUTE(SUBSTITUTE(SUBSTITUTE(SUBSTITUTE(IF(INDEX(GLAPS컨테이너배차관리!$T:$T,$B40)="","",INDEX(GLAPS컨테이너배차관리!$T:$T,$B40)),"[GA]",""),"[GB]",""),"[GC]",""),"[KC]",""),"[GS]",""))))</f>
        <v/>
      </c>
      <c r="H40" t="str">
        <f>IF($B40="","",IFERROR(VLOOKUP(IF(INDEX(GLAPS컨테이너배차관리!$BY:$BY,$B40)="","",INDEX(GLAPS컨테이너배차관리!$BY:$BY,$B40)),GLAPS정리!$BT$3:$BV$200,3,0),""))</f>
        <v/>
      </c>
      <c r="I40" t="str">
        <f>IF($B40="","",LEFT(IF(INDEX(GLAPS컨테이너배차관리!$U:$U,$B40)="","",INDEX(GLAPS컨테이너배차관리!$U:$U,$B40)),FIND("/",IF(INDEX(GLAPS컨테이너배차관리!$U:$U,$B40)="","",INDEX(GLAPS컨테이너배차관리!$U:$U,$B40))&amp;"/")-1))</f>
        <v/>
      </c>
      <c r="J40" t="str">
        <f>IF($B40="","",IF(IF(INDEX(GLAPS컨테이너배차관리!$O:$O,$B40)="","",INDEX(GLAPS컨테이너배차관리!$O:$O,$B40))="EMC","EMA",IFERROR(INDEX(GLAPS정리!$A$2:$A$50,MATCH(IF(INDEX(GLAPS컨테이너배차관리!$O:$O,$B40)="","",INDEX(GLAPS컨테이너배차관리!$O:$O,$B40)),GLAPS정리!$D$2:$D$50,0)),IF(INDEX(GLAPS컨테이너배차관리!$O:$O,$B40)="","",INDEX(GLAPS컨테이너배차관리!$O:$O,$B40)))))</f>
        <v/>
      </c>
      <c r="K40" t="str">
        <f>IF($B40="","",IF(LEFT(IF(INDEX(GLAPS컨테이너배차관리!$Y:$Y,$B40)="","",INDEX(GLAPS컨테이너배차관리!$Y:$Y,$B40)),2)="22","20 Feet",IF(LEFT(IF(INDEX(GLAPS컨테이너배차관리!$Y:$Y,$B40)="","",INDEX(GLAPS컨테이너배차관리!$Y:$Y,$B40)),2)="42","40 Feet","40 Feet H")))</f>
        <v/>
      </c>
      <c r="L40" t="str">
        <f>IF($B40="","",IFERROR(INDEX(GLAPS정리!$BB$2:$BB$80,MATCH(IF(INDEX(GLAPS컨테이너배차관리!$BQ:$BQ,$B40)="","",INDEX(GLAPS컨테이너배차관리!$BQ:$BQ,$B40)),GLAPS정리!$BC$2:$BC$80,0)),IF(INDEX(GLAPS컨테이너배차관리!$BQ:$BQ,$B40)="","",INDEX(GLAPS컨테이너배차관리!$BQ:$BQ,$B40))))</f>
        <v/>
      </c>
      <c r="M40" t="str">
        <f>IF($B40="","",IFERROR(INDEX(GLAPS정리!$V$3:$V$180,MATCH(IF(INDEX(GLAPS컨테이너배차관리!$S:$S,$B40)="","",INDEX(GLAPS컨테이너배차관리!$S:$S,$B40)),GLAPS정리!$W$3:$W$180,0)),IF(INDEX(GLAPS컨테이너배차관리!$S:$S,$B40)="","",INDEX(GLAPS컨테이너배차관리!$S:$S,$B40))))</f>
        <v/>
      </c>
      <c r="N40" t="str">
        <f>IF($B40="","",IF(IF(INDEX(GLAPS컨테이너배차관리!$DF:$DF,$B40)="","",INDEX(GLAPS컨테이너배차관리!$DF:$DF,$B40))&lt;&gt;"",IF(INDEX(GLAPS컨테이너배차관리!$DF:$DF,$B40)="","",INDEX(GLAPS컨테이너배차관리!$DF:$DF,$B40)),IF(IF(INDEX(GLAPS컨테이너배차관리!$DG:$DG,$B40)="","",INDEX(GLAPS컨테이너배차관리!$DG:$DG,$B40))&lt;&gt;"",IF(INDEX(GLAPS컨테이너배차관리!$DG:$DG,$B40)="","",INDEX(GLAPS컨테이너배차관리!$DG:$DG,$B40)),"")))</f>
        <v/>
      </c>
      <c r="O40" t="str">
        <f>IF($B40="","",IF(INDEX(GLAPS컨테이너배차관리!$AB:$AB,$B40)="","",INDEX(GLAPS컨테이너배차관리!$AB:$AB,$B40)))</f>
        <v/>
      </c>
      <c r="P40" t="str">
        <f>IF($B40="","",IF(IF(INDEX(GLAPS컨테이너배차관리!$CP:$CP,$B40)="","",INDEX(GLAPS컨테이너배차관리!$CP:$CP,$B40))="","",IFERROR(INDEX(GLAPS정리!$BH$2:$BH$101,MATCH(IF(INDEX(GLAPS컨테이너배차관리!$CP:$CP,$B40)="","",INDEX(GLAPS컨테이너배차관리!$CP:$CP,$B40)),GLAPS정리!$BI$2:$BI$101,0)),IF(INDEX(GLAPS컨테이너배차관리!$CP:$CP,$B40)="","",INDEX(GLAPS컨테이너배차관리!$CP:$CP,$B40)))))</f>
        <v/>
      </c>
      <c r="Q40" t="str">
        <f>IF($B40="","",IF(AND(IF(INDEX(GLAPS컨테이너배차관리!$AK:$AK,$B40)="","",INDEX(GLAPS컨테이너배차관리!$AK:$AK,$B40))="Y",IF(INDEX(GLAPS컨테이너배차관리!$AI:$AI,$B40)="","",INDEX(GLAPS컨테이너배차관리!$AI:$AI,$B40))="Y"),"위험물리퍼",IF(IF(INDEX(GLAPS컨테이너배차관리!$AK:$AK,$B40)="","",INDEX(GLAPS컨테이너배차관리!$AK:$AK,$B40))="Y","위험물",IF(IF(INDEX(GLAPS컨테이너배차관리!$AI:$AI,$B40)="","",INDEX(GLAPS컨테이너배차관리!$AI:$AI,$B40))="Y","리퍼",""))))</f>
        <v/>
      </c>
      <c r="R40" t="str">
        <f>IF($B40="","",IF(LEFT(IF(INDEX(GLAPS컨테이너배차관리!$Y:$Y,$B40)="","",INDEX(GLAPS컨테이너배차관리!$Y:$Y,$B40)),2)="22",1,""))</f>
        <v/>
      </c>
      <c r="S40" t="str">
        <f>IF($B40="","",IF(LEFT(IF(INDEX(GLAPS컨테이너배차관리!$Y:$Y,$B40)="","",INDEX(GLAPS컨테이너배차관리!$Y:$Y,$B40)),2)="42",1,""))</f>
        <v/>
      </c>
      <c r="T40" t="str">
        <f>IF($B40="","",IF(LEFT(IF(INDEX(GLAPS컨테이너배차관리!$Y:$Y,$B40)="","",INDEX(GLAPS컨테이너배차관리!$Y:$Y,$B40)),2)="45",1,""))</f>
        <v/>
      </c>
      <c r="U40" t="str">
        <f>IF($B40="","",IF(INDEX(GLAPS컨테이너배차관리!$X:$X,$B40)="","",INDEX(GLAPS컨테이너배차관리!$X:$X,$B40)))</f>
        <v/>
      </c>
      <c r="V40" t="str">
        <f>IF($B40="","",IF(INDEX(GLAPS컨테이너배차관리!$Z:$Z,$B40)="","",INDEX(GLAPS컨테이너배차관리!$Z:$Z,$B40)))</f>
        <v/>
      </c>
      <c r="W40" t="str">
        <f>IF($B40="","",IF(IF(INDEX(GLAPS컨테이너배차관리!$DI:$DI,$B40)="","",INDEX(GLAPS컨테이너배차관리!$DI:$DI,$B40))&lt;&gt;"",IF(INDEX(GLAPS컨테이너배차관리!$DI:$DI,$B40)="","",INDEX(GLAPS컨테이너배차관리!$DI:$DI,$B40)),IF(IF(INDEX(GLAPS컨테이너배차관리!$DJ:$DJ,$B40)="","",INDEX(GLAPS컨테이너배차관리!$DJ:$DJ,$B40))&lt;&gt;"",IF(INDEX(GLAPS컨테이너배차관리!$DJ:$DJ,$B40)="","",INDEX(GLAPS컨테이너배차관리!$DJ:$DJ,$B40)),IF(IF(INDEX(GLAPS컨테이너배차관리!$DK:$DK,$B40)="","",INDEX(GLAPS컨테이너배차관리!$DK:$DK,$B40))&lt;&gt;"",IF(INDEX(GLAPS컨테이너배차관리!$DK:$DK,$B40)="","",INDEX(GLAPS컨테이너배차관리!$DK:$DK,$B40)),IF(IF(INDEX(GLAPS컨테이너배차관리!$DL:$DL,$B40)="","",INDEX(GLAPS컨테이너배차관리!$DL:$DL,$B40))&lt;&gt;"",IF(INDEX(GLAPS컨테이너배차관리!$DL:$DL,$B40)="","",INDEX(GLAPS컨테이너배차관리!$DL:$DL,$B40)),IF(IF(INDEX(GLAPS컨테이너배차관리!$DM:$DM,$B40)="","",INDEX(GLAPS컨테이너배차관리!$DM:$DM,$B40))&lt;&gt;"",IF(INDEX(GLAPS컨테이너배차관리!$DM:$DM,$B40)="","",INDEX(GLAPS컨테이너배차관리!$DM:$DM,$B40)),""))))))</f>
        <v/>
      </c>
      <c r="X40" t="str">
        <f>IF($B40="","",IF(INDEX(GLAPS컨테이너배차관리!$F:$F,$B40)="","",INDEX(GLAPS컨테이너배차관리!$F:$F,$B40)))</f>
        <v/>
      </c>
      <c r="Y40" t="str">
        <f>IF($B40="","",IF(IF(INDEX(GLAPS컨테이너배차관리!$M:$M,$B40)="","",INDEX(GLAPS컨테이너배차관리!$M:$M,$B40))&lt;&gt;"",IF(INDEX(GLAPS컨테이너배차관리!$M:$M,$B40)="","",INDEX(GLAPS컨테이너배차관리!$M:$M,$B40)),IF(IF(INDEX(GLAPS컨테이너배차관리!$N:$N,$B40)="","",INDEX(GLAPS컨테이너배차관리!$N:$N,$B40))&lt;&gt;"",IF(INDEX(GLAPS컨테이너배차관리!$N:$N,$B40)="","",INDEX(GLAPS컨테이너배차관리!$N:$N,$B40)),"")))</f>
        <v/>
      </c>
      <c r="Z40" t="str">
        <f>IF($B40="","",IF(IF(INDEX(GLAPS컨테이너배차관리!$CU:$CU,$B40)="","",INDEX(GLAPS컨테이너배차관리!$CU:$CU,$B40))="","",IFERROR(INT(IF(INDEX(GLAPS컨테이너배차관리!$CU:$CU,$B40)="","",INDEX(GLAPS컨테이너배차관리!$CU:$CU,$B40))),"")))</f>
        <v/>
      </c>
      <c r="AA40" t="str">
        <f>IF($B40="","",IF(AND(IF(INDEX(GLAPS컨테이너배차관리!$CL:$CL,$B40)="","",INDEX(GLAPS컨테이너배차관리!$CL:$CL,$B40))="",IF(INDEX(GLAPS컨테이너배차관리!$CM:$CM,$B40)="","",INDEX(GLAPS컨테이너배차관리!$CM:$CM,$B40))=""),"",IF(OR(IF(INDEX(GLAPS컨테이너배차관리!$CL:$CL,$B40)="","",INDEX(GLAPS컨테이너배차관리!$CL:$CL,$B40))="B000016649",ISNUMBER(SEARCH("B015",IF(INDEX(GLAPS컨테이너배차관리!$CM:$CM,$B40)="","",INDEX(GLAPS컨테이너배차관리!$CM:$CM,$B40)))),ISNUMBER(SEARCH("세방",IF(INDEX(GLAPS컨테이너배차관리!$CM:$CM,$B40)="","",INDEX(GLAPS컨테이너배차관리!$CM:$CM,$B40)))),ISNUMBER(SEARCH("SB",IF(INDEX(GLAPS컨테이너배차관리!$CM:$CM,$B40)="","",INDEX(GLAPS컨테이너배차관리!$CM:$CM,$B40))))),"세방","")))</f>
        <v/>
      </c>
      <c r="AB40" t="str">
        <f>IF($B40="","",IF(IF(INDEX(GLAPS컨테이너배차관리!$CM:$CM,$B40)="","",INDEX(GLAPS컨테이너배차관리!$CM:$CM,$B40))="","",IF(ISNUMBER(SEARCH("이지스두동",IF(INDEX(GLAPS컨테이너배차관리!$CM:$CM,$B40)="","",INDEX(GLAPS컨테이너배차관리!$CM:$CM,$B40)))),"이지스두동",IF(ISNUMBER(SEARCH("이지스녹산",IF(INDEX(GLAPS컨테이너배차관리!$CM:$CM,$B40)="","",INDEX(GLAPS컨테이너배차관리!$CM:$CM,$B40)))),"이지스녹산",IF(ISNUMBER(SEARCH("천우",IF(INDEX(GLAPS컨테이너배차관리!$CM:$CM,$B40)="","",INDEX(GLAPS컨테이너배차관리!$CM:$CM,$B40)))),"천우",IF(OR(ISNUMBER(SEARCH("청암",IF(INDEX(GLAPS컨테이너배차관리!$CM:$CM,$B40)="","",INDEX(GLAPS컨테이너배차관리!$CM:$CM,$B40)))),ISNUMBER(SEARCH("SB청암",IF(INDEX(GLAPS컨테이너배차관리!$CM:$CM,$B40)="","",INDEX(GLAPS컨테이너배차관리!$CM:$CM,$B40))))),"청암신항",IF(INDEX(GLAPS컨테이너배차관리!$CM:$CM,$B40)="","",INDEX(GLAPS컨테이너배차관리!$CM:$CM,$B40))))))))</f>
        <v/>
      </c>
    </row>
    <row r="41" spans="1:28">
      <c r="A41">
        <v>40</v>
      </c>
      <c r="B41" t="str">
        <f>IFERROR(_xlfn.AGGREGATE(15,6,ROW(GLAPS컨테이너배차관리!$X$2:$X$20000)/(GLAPS컨테이너배차관리!$X$2:$X$20000&lt;&gt;""),A41),"")</f>
        <v/>
      </c>
      <c r="C41" t="str">
        <f>IF($B41="","",INT(IF(INDEX(GLAPS컨테이너배차관리!$K:$K,$B41)="","",INDEX(GLAPS컨테이너배차관리!$K:$K,$B41))))</f>
        <v/>
      </c>
      <c r="D41" t="str">
        <f>IF($B41="","",IF(ISNUMBER(SEARCH("이엘에스",IF(INDEX(GLAPS컨테이너배차관리!$AZ:$AZ,$B41)="","",INDEX(GLAPS컨테이너배차관리!$AZ:$AZ,$B41)))),"ELS솔루션",IF(INDEX(GLAPS컨테이너배차관리!$AZ:$AZ,$B41)="","",INDEX(GLAPS컨테이너배차관리!$AZ:$AZ,$B41))))</f>
        <v/>
      </c>
      <c r="E41" t="str">
        <f>IF($B41="","",IF(INDEX(GLAPS컨테이너배차관리!$L:$L,$B41)="","",INDEX(GLAPS컨테이너배차관리!$L:$L,$B41)))</f>
        <v/>
      </c>
      <c r="F41" t="str">
        <f>IF($B41="","",IF(HOUR(IF(INDEX(GLAPS컨테이너배차관리!$L:$L,$B41)="","",INDEX(GLAPS컨테이너배차관리!$L:$L,$B41)))&lt;12,"오전",IF(HOUR(IF(INDEX(GLAPS컨테이너배차관리!$L:$L,$B41)="","",INDEX(GLAPS컨테이너배차관리!$L:$L,$B41)))&lt;18,"오후","잔업")))</f>
        <v/>
      </c>
      <c r="G41" t="str">
        <f>IF($B41="","",IFERROR(INDEX(GLAPS정리!$G$3:$G$264,MATCH(IF(INDEX(GLAPS컨테이너배차관리!$BY:$BY,$B41)="","",INDEX(GLAPS컨테이너배차관리!$BY:$BY,$B41)),GLAPS정리!$H$3:$H$264,0)),TRIM(SUBSTITUTE(SUBSTITUTE(SUBSTITUTE(SUBSTITUTE(SUBSTITUTE(IF(INDEX(GLAPS컨테이너배차관리!$T:$T,$B41)="","",INDEX(GLAPS컨테이너배차관리!$T:$T,$B41)),"[GA]",""),"[GB]",""),"[GC]",""),"[KC]",""),"[GS]",""))))</f>
        <v/>
      </c>
      <c r="H41" t="str">
        <f>IF($B41="","",IFERROR(VLOOKUP(IF(INDEX(GLAPS컨테이너배차관리!$BY:$BY,$B41)="","",INDEX(GLAPS컨테이너배차관리!$BY:$BY,$B41)),GLAPS정리!$BT$3:$BV$200,3,0),""))</f>
        <v/>
      </c>
      <c r="I41" t="str">
        <f>IF($B41="","",LEFT(IF(INDEX(GLAPS컨테이너배차관리!$U:$U,$B41)="","",INDEX(GLAPS컨테이너배차관리!$U:$U,$B41)),FIND("/",IF(INDEX(GLAPS컨테이너배차관리!$U:$U,$B41)="","",INDEX(GLAPS컨테이너배차관리!$U:$U,$B41))&amp;"/")-1))</f>
        <v/>
      </c>
      <c r="J41" t="str">
        <f>IF($B41="","",IF(IF(INDEX(GLAPS컨테이너배차관리!$O:$O,$B41)="","",INDEX(GLAPS컨테이너배차관리!$O:$O,$B41))="EMC","EMA",IFERROR(INDEX(GLAPS정리!$A$2:$A$50,MATCH(IF(INDEX(GLAPS컨테이너배차관리!$O:$O,$B41)="","",INDEX(GLAPS컨테이너배차관리!$O:$O,$B41)),GLAPS정리!$D$2:$D$50,0)),IF(INDEX(GLAPS컨테이너배차관리!$O:$O,$B41)="","",INDEX(GLAPS컨테이너배차관리!$O:$O,$B41)))))</f>
        <v/>
      </c>
      <c r="K41" t="str">
        <f>IF($B41="","",IF(LEFT(IF(INDEX(GLAPS컨테이너배차관리!$Y:$Y,$B41)="","",INDEX(GLAPS컨테이너배차관리!$Y:$Y,$B41)),2)="22","20 Feet",IF(LEFT(IF(INDEX(GLAPS컨테이너배차관리!$Y:$Y,$B41)="","",INDEX(GLAPS컨테이너배차관리!$Y:$Y,$B41)),2)="42","40 Feet","40 Feet H")))</f>
        <v/>
      </c>
      <c r="L41" t="str">
        <f>IF($B41="","",IFERROR(INDEX(GLAPS정리!$BB$2:$BB$80,MATCH(IF(INDEX(GLAPS컨테이너배차관리!$BQ:$BQ,$B41)="","",INDEX(GLAPS컨테이너배차관리!$BQ:$BQ,$B41)),GLAPS정리!$BC$2:$BC$80,0)),IF(INDEX(GLAPS컨테이너배차관리!$BQ:$BQ,$B41)="","",INDEX(GLAPS컨테이너배차관리!$BQ:$BQ,$B41))))</f>
        <v/>
      </c>
      <c r="M41" t="str">
        <f>IF($B41="","",IFERROR(INDEX(GLAPS정리!$V$3:$V$180,MATCH(IF(INDEX(GLAPS컨테이너배차관리!$S:$S,$B41)="","",INDEX(GLAPS컨테이너배차관리!$S:$S,$B41)),GLAPS정리!$W$3:$W$180,0)),IF(INDEX(GLAPS컨테이너배차관리!$S:$S,$B41)="","",INDEX(GLAPS컨테이너배차관리!$S:$S,$B41))))</f>
        <v/>
      </c>
      <c r="N41" t="str">
        <f>IF($B41="","",IF(IF(INDEX(GLAPS컨테이너배차관리!$DF:$DF,$B41)="","",INDEX(GLAPS컨테이너배차관리!$DF:$DF,$B41))&lt;&gt;"",IF(INDEX(GLAPS컨테이너배차관리!$DF:$DF,$B41)="","",INDEX(GLAPS컨테이너배차관리!$DF:$DF,$B41)),IF(IF(INDEX(GLAPS컨테이너배차관리!$DG:$DG,$B41)="","",INDEX(GLAPS컨테이너배차관리!$DG:$DG,$B41))&lt;&gt;"",IF(INDEX(GLAPS컨테이너배차관리!$DG:$DG,$B41)="","",INDEX(GLAPS컨테이너배차관리!$DG:$DG,$B41)),"")))</f>
        <v/>
      </c>
      <c r="O41" t="str">
        <f>IF($B41="","",IF(INDEX(GLAPS컨테이너배차관리!$AB:$AB,$B41)="","",INDEX(GLAPS컨테이너배차관리!$AB:$AB,$B41)))</f>
        <v/>
      </c>
      <c r="P41" t="str">
        <f>IF($B41="","",IF(IF(INDEX(GLAPS컨테이너배차관리!$CP:$CP,$B41)="","",INDEX(GLAPS컨테이너배차관리!$CP:$CP,$B41))="","",IFERROR(INDEX(GLAPS정리!$BH$2:$BH$101,MATCH(IF(INDEX(GLAPS컨테이너배차관리!$CP:$CP,$B41)="","",INDEX(GLAPS컨테이너배차관리!$CP:$CP,$B41)),GLAPS정리!$BI$2:$BI$101,0)),IF(INDEX(GLAPS컨테이너배차관리!$CP:$CP,$B41)="","",INDEX(GLAPS컨테이너배차관리!$CP:$CP,$B41)))))</f>
        <v/>
      </c>
      <c r="Q41" t="str">
        <f>IF($B41="","",IF(AND(IF(INDEX(GLAPS컨테이너배차관리!$AK:$AK,$B41)="","",INDEX(GLAPS컨테이너배차관리!$AK:$AK,$B41))="Y",IF(INDEX(GLAPS컨테이너배차관리!$AI:$AI,$B41)="","",INDEX(GLAPS컨테이너배차관리!$AI:$AI,$B41))="Y"),"위험물리퍼",IF(IF(INDEX(GLAPS컨테이너배차관리!$AK:$AK,$B41)="","",INDEX(GLAPS컨테이너배차관리!$AK:$AK,$B41))="Y","위험물",IF(IF(INDEX(GLAPS컨테이너배차관리!$AI:$AI,$B41)="","",INDEX(GLAPS컨테이너배차관리!$AI:$AI,$B41))="Y","리퍼",""))))</f>
        <v/>
      </c>
      <c r="R41" t="str">
        <f>IF($B41="","",IF(LEFT(IF(INDEX(GLAPS컨테이너배차관리!$Y:$Y,$B41)="","",INDEX(GLAPS컨테이너배차관리!$Y:$Y,$B41)),2)="22",1,""))</f>
        <v/>
      </c>
      <c r="S41" t="str">
        <f>IF($B41="","",IF(LEFT(IF(INDEX(GLAPS컨테이너배차관리!$Y:$Y,$B41)="","",INDEX(GLAPS컨테이너배차관리!$Y:$Y,$B41)),2)="42",1,""))</f>
        <v/>
      </c>
      <c r="T41" t="str">
        <f>IF($B41="","",IF(LEFT(IF(INDEX(GLAPS컨테이너배차관리!$Y:$Y,$B41)="","",INDEX(GLAPS컨테이너배차관리!$Y:$Y,$B41)),2)="45",1,""))</f>
        <v/>
      </c>
      <c r="U41" t="str">
        <f>IF($B41="","",IF(INDEX(GLAPS컨테이너배차관리!$X:$X,$B41)="","",INDEX(GLAPS컨테이너배차관리!$X:$X,$B41)))</f>
        <v/>
      </c>
      <c r="V41" t="str">
        <f>IF($B41="","",IF(INDEX(GLAPS컨테이너배차관리!$Z:$Z,$B41)="","",INDEX(GLAPS컨테이너배차관리!$Z:$Z,$B41)))</f>
        <v/>
      </c>
      <c r="W41" t="str">
        <f>IF($B41="","",IF(IF(INDEX(GLAPS컨테이너배차관리!$DI:$DI,$B41)="","",INDEX(GLAPS컨테이너배차관리!$DI:$DI,$B41))&lt;&gt;"",IF(INDEX(GLAPS컨테이너배차관리!$DI:$DI,$B41)="","",INDEX(GLAPS컨테이너배차관리!$DI:$DI,$B41)),IF(IF(INDEX(GLAPS컨테이너배차관리!$DJ:$DJ,$B41)="","",INDEX(GLAPS컨테이너배차관리!$DJ:$DJ,$B41))&lt;&gt;"",IF(INDEX(GLAPS컨테이너배차관리!$DJ:$DJ,$B41)="","",INDEX(GLAPS컨테이너배차관리!$DJ:$DJ,$B41)),IF(IF(INDEX(GLAPS컨테이너배차관리!$DK:$DK,$B41)="","",INDEX(GLAPS컨테이너배차관리!$DK:$DK,$B41))&lt;&gt;"",IF(INDEX(GLAPS컨테이너배차관리!$DK:$DK,$B41)="","",INDEX(GLAPS컨테이너배차관리!$DK:$DK,$B41)),IF(IF(INDEX(GLAPS컨테이너배차관리!$DL:$DL,$B41)="","",INDEX(GLAPS컨테이너배차관리!$DL:$DL,$B41))&lt;&gt;"",IF(INDEX(GLAPS컨테이너배차관리!$DL:$DL,$B41)="","",INDEX(GLAPS컨테이너배차관리!$DL:$DL,$B41)),IF(IF(INDEX(GLAPS컨테이너배차관리!$DM:$DM,$B41)="","",INDEX(GLAPS컨테이너배차관리!$DM:$DM,$B41))&lt;&gt;"",IF(INDEX(GLAPS컨테이너배차관리!$DM:$DM,$B41)="","",INDEX(GLAPS컨테이너배차관리!$DM:$DM,$B41)),""))))))</f>
        <v/>
      </c>
      <c r="X41" t="str">
        <f>IF($B41="","",IF(INDEX(GLAPS컨테이너배차관리!$F:$F,$B41)="","",INDEX(GLAPS컨테이너배차관리!$F:$F,$B41)))</f>
        <v/>
      </c>
      <c r="Y41" t="str">
        <f>IF($B41="","",IF(IF(INDEX(GLAPS컨테이너배차관리!$M:$M,$B41)="","",INDEX(GLAPS컨테이너배차관리!$M:$M,$B41))&lt;&gt;"",IF(INDEX(GLAPS컨테이너배차관리!$M:$M,$B41)="","",INDEX(GLAPS컨테이너배차관리!$M:$M,$B41)),IF(IF(INDEX(GLAPS컨테이너배차관리!$N:$N,$B41)="","",INDEX(GLAPS컨테이너배차관리!$N:$N,$B41))&lt;&gt;"",IF(INDEX(GLAPS컨테이너배차관리!$N:$N,$B41)="","",INDEX(GLAPS컨테이너배차관리!$N:$N,$B41)),"")))</f>
        <v/>
      </c>
      <c r="Z41" t="str">
        <f>IF($B41="","",IF(IF(INDEX(GLAPS컨테이너배차관리!$CU:$CU,$B41)="","",INDEX(GLAPS컨테이너배차관리!$CU:$CU,$B41))="","",IFERROR(INT(IF(INDEX(GLAPS컨테이너배차관리!$CU:$CU,$B41)="","",INDEX(GLAPS컨테이너배차관리!$CU:$CU,$B41))),"")))</f>
        <v/>
      </c>
      <c r="AA41" t="str">
        <f>IF($B41="","",IF(AND(IF(INDEX(GLAPS컨테이너배차관리!$CL:$CL,$B41)="","",INDEX(GLAPS컨테이너배차관리!$CL:$CL,$B41))="",IF(INDEX(GLAPS컨테이너배차관리!$CM:$CM,$B41)="","",INDEX(GLAPS컨테이너배차관리!$CM:$CM,$B41))=""),"",IF(OR(IF(INDEX(GLAPS컨테이너배차관리!$CL:$CL,$B41)="","",INDEX(GLAPS컨테이너배차관리!$CL:$CL,$B41))="B000016649",ISNUMBER(SEARCH("B015",IF(INDEX(GLAPS컨테이너배차관리!$CM:$CM,$B41)="","",INDEX(GLAPS컨테이너배차관리!$CM:$CM,$B41)))),ISNUMBER(SEARCH("세방",IF(INDEX(GLAPS컨테이너배차관리!$CM:$CM,$B41)="","",INDEX(GLAPS컨테이너배차관리!$CM:$CM,$B41)))),ISNUMBER(SEARCH("SB",IF(INDEX(GLAPS컨테이너배차관리!$CM:$CM,$B41)="","",INDEX(GLAPS컨테이너배차관리!$CM:$CM,$B41))))),"세방","")))</f>
        <v/>
      </c>
      <c r="AB41" t="str">
        <f>IF($B41="","",IF(IF(INDEX(GLAPS컨테이너배차관리!$CM:$CM,$B41)="","",INDEX(GLAPS컨테이너배차관리!$CM:$CM,$B41))="","",IF(ISNUMBER(SEARCH("이지스두동",IF(INDEX(GLAPS컨테이너배차관리!$CM:$CM,$B41)="","",INDEX(GLAPS컨테이너배차관리!$CM:$CM,$B41)))),"이지스두동",IF(ISNUMBER(SEARCH("이지스녹산",IF(INDEX(GLAPS컨테이너배차관리!$CM:$CM,$B41)="","",INDEX(GLAPS컨테이너배차관리!$CM:$CM,$B41)))),"이지스녹산",IF(ISNUMBER(SEARCH("천우",IF(INDEX(GLAPS컨테이너배차관리!$CM:$CM,$B41)="","",INDEX(GLAPS컨테이너배차관리!$CM:$CM,$B41)))),"천우",IF(OR(ISNUMBER(SEARCH("청암",IF(INDEX(GLAPS컨테이너배차관리!$CM:$CM,$B41)="","",INDEX(GLAPS컨테이너배차관리!$CM:$CM,$B41)))),ISNUMBER(SEARCH("SB청암",IF(INDEX(GLAPS컨테이너배차관리!$CM:$CM,$B41)="","",INDEX(GLAPS컨테이너배차관리!$CM:$CM,$B41))))),"청암신항",IF(INDEX(GLAPS컨테이너배차관리!$CM:$CM,$B41)="","",INDEX(GLAPS컨테이너배차관리!$CM:$CM,$B41))))))))</f>
        <v/>
      </c>
    </row>
    <row r="42" spans="1:28">
      <c r="A42">
        <v>41</v>
      </c>
      <c r="B42" t="str">
        <f>IFERROR(_xlfn.AGGREGATE(15,6,ROW(GLAPS컨테이너배차관리!$X$2:$X$20000)/(GLAPS컨테이너배차관리!$X$2:$X$20000&lt;&gt;""),A42),"")</f>
        <v/>
      </c>
      <c r="C42" t="str">
        <f>IF($B42="","",INT(IF(INDEX(GLAPS컨테이너배차관리!$K:$K,$B42)="","",INDEX(GLAPS컨테이너배차관리!$K:$K,$B42))))</f>
        <v/>
      </c>
      <c r="D42" t="str">
        <f>IF($B42="","",IF(ISNUMBER(SEARCH("이엘에스",IF(INDEX(GLAPS컨테이너배차관리!$AZ:$AZ,$B42)="","",INDEX(GLAPS컨테이너배차관리!$AZ:$AZ,$B42)))),"ELS솔루션",IF(INDEX(GLAPS컨테이너배차관리!$AZ:$AZ,$B42)="","",INDEX(GLAPS컨테이너배차관리!$AZ:$AZ,$B42))))</f>
        <v/>
      </c>
      <c r="E42" t="str">
        <f>IF($B42="","",IF(INDEX(GLAPS컨테이너배차관리!$L:$L,$B42)="","",INDEX(GLAPS컨테이너배차관리!$L:$L,$B42)))</f>
        <v/>
      </c>
      <c r="F42" t="str">
        <f>IF($B42="","",IF(HOUR(IF(INDEX(GLAPS컨테이너배차관리!$L:$L,$B42)="","",INDEX(GLAPS컨테이너배차관리!$L:$L,$B42)))&lt;12,"오전",IF(HOUR(IF(INDEX(GLAPS컨테이너배차관리!$L:$L,$B42)="","",INDEX(GLAPS컨테이너배차관리!$L:$L,$B42)))&lt;18,"오후","잔업")))</f>
        <v/>
      </c>
      <c r="G42" t="str">
        <f>IF($B42="","",IFERROR(INDEX(GLAPS정리!$G$3:$G$264,MATCH(IF(INDEX(GLAPS컨테이너배차관리!$BY:$BY,$B42)="","",INDEX(GLAPS컨테이너배차관리!$BY:$BY,$B42)),GLAPS정리!$H$3:$H$264,0)),TRIM(SUBSTITUTE(SUBSTITUTE(SUBSTITUTE(SUBSTITUTE(SUBSTITUTE(IF(INDEX(GLAPS컨테이너배차관리!$T:$T,$B42)="","",INDEX(GLAPS컨테이너배차관리!$T:$T,$B42)),"[GA]",""),"[GB]",""),"[GC]",""),"[KC]",""),"[GS]",""))))</f>
        <v/>
      </c>
      <c r="H42" t="str">
        <f>IF($B42="","",IFERROR(VLOOKUP(IF(INDEX(GLAPS컨테이너배차관리!$BY:$BY,$B42)="","",INDEX(GLAPS컨테이너배차관리!$BY:$BY,$B42)),GLAPS정리!$BT$3:$BV$200,3,0),""))</f>
        <v/>
      </c>
      <c r="I42" t="str">
        <f>IF($B42="","",LEFT(IF(INDEX(GLAPS컨테이너배차관리!$U:$U,$B42)="","",INDEX(GLAPS컨테이너배차관리!$U:$U,$B42)),FIND("/",IF(INDEX(GLAPS컨테이너배차관리!$U:$U,$B42)="","",INDEX(GLAPS컨테이너배차관리!$U:$U,$B42))&amp;"/")-1))</f>
        <v/>
      </c>
      <c r="J42" t="str">
        <f>IF($B42="","",IF(IF(INDEX(GLAPS컨테이너배차관리!$O:$O,$B42)="","",INDEX(GLAPS컨테이너배차관리!$O:$O,$B42))="EMC","EMA",IFERROR(INDEX(GLAPS정리!$A$2:$A$50,MATCH(IF(INDEX(GLAPS컨테이너배차관리!$O:$O,$B42)="","",INDEX(GLAPS컨테이너배차관리!$O:$O,$B42)),GLAPS정리!$D$2:$D$50,0)),IF(INDEX(GLAPS컨테이너배차관리!$O:$O,$B42)="","",INDEX(GLAPS컨테이너배차관리!$O:$O,$B42)))))</f>
        <v/>
      </c>
      <c r="K42" t="str">
        <f>IF($B42="","",IF(LEFT(IF(INDEX(GLAPS컨테이너배차관리!$Y:$Y,$B42)="","",INDEX(GLAPS컨테이너배차관리!$Y:$Y,$B42)),2)="22","20 Feet",IF(LEFT(IF(INDEX(GLAPS컨테이너배차관리!$Y:$Y,$B42)="","",INDEX(GLAPS컨테이너배차관리!$Y:$Y,$B42)),2)="42","40 Feet","40 Feet H")))</f>
        <v/>
      </c>
      <c r="L42" t="str">
        <f>IF($B42="","",IFERROR(INDEX(GLAPS정리!$BB$2:$BB$80,MATCH(IF(INDEX(GLAPS컨테이너배차관리!$BQ:$BQ,$B42)="","",INDEX(GLAPS컨테이너배차관리!$BQ:$BQ,$B42)),GLAPS정리!$BC$2:$BC$80,0)),IF(INDEX(GLAPS컨테이너배차관리!$BQ:$BQ,$B42)="","",INDEX(GLAPS컨테이너배차관리!$BQ:$BQ,$B42))))</f>
        <v/>
      </c>
      <c r="M42" t="str">
        <f>IF($B42="","",IFERROR(INDEX(GLAPS정리!$V$3:$V$180,MATCH(IF(INDEX(GLAPS컨테이너배차관리!$S:$S,$B42)="","",INDEX(GLAPS컨테이너배차관리!$S:$S,$B42)),GLAPS정리!$W$3:$W$180,0)),IF(INDEX(GLAPS컨테이너배차관리!$S:$S,$B42)="","",INDEX(GLAPS컨테이너배차관리!$S:$S,$B42))))</f>
        <v/>
      </c>
      <c r="N42" t="str">
        <f>IF($B42="","",IF(IF(INDEX(GLAPS컨테이너배차관리!$DF:$DF,$B42)="","",INDEX(GLAPS컨테이너배차관리!$DF:$DF,$B42))&lt;&gt;"",IF(INDEX(GLAPS컨테이너배차관리!$DF:$DF,$B42)="","",INDEX(GLAPS컨테이너배차관리!$DF:$DF,$B42)),IF(IF(INDEX(GLAPS컨테이너배차관리!$DG:$DG,$B42)="","",INDEX(GLAPS컨테이너배차관리!$DG:$DG,$B42))&lt;&gt;"",IF(INDEX(GLAPS컨테이너배차관리!$DG:$DG,$B42)="","",INDEX(GLAPS컨테이너배차관리!$DG:$DG,$B42)),"")))</f>
        <v/>
      </c>
      <c r="O42" t="str">
        <f>IF($B42="","",IF(INDEX(GLAPS컨테이너배차관리!$AB:$AB,$B42)="","",INDEX(GLAPS컨테이너배차관리!$AB:$AB,$B42)))</f>
        <v/>
      </c>
      <c r="P42" t="str">
        <f>IF($B42="","",IF(IF(INDEX(GLAPS컨테이너배차관리!$CP:$CP,$B42)="","",INDEX(GLAPS컨테이너배차관리!$CP:$CP,$B42))="","",IFERROR(INDEX(GLAPS정리!$BH$2:$BH$101,MATCH(IF(INDEX(GLAPS컨테이너배차관리!$CP:$CP,$B42)="","",INDEX(GLAPS컨테이너배차관리!$CP:$CP,$B42)),GLAPS정리!$BI$2:$BI$101,0)),IF(INDEX(GLAPS컨테이너배차관리!$CP:$CP,$B42)="","",INDEX(GLAPS컨테이너배차관리!$CP:$CP,$B42)))))</f>
        <v/>
      </c>
      <c r="Q42" t="str">
        <f>IF($B42="","",IF(AND(IF(INDEX(GLAPS컨테이너배차관리!$AK:$AK,$B42)="","",INDEX(GLAPS컨테이너배차관리!$AK:$AK,$B42))="Y",IF(INDEX(GLAPS컨테이너배차관리!$AI:$AI,$B42)="","",INDEX(GLAPS컨테이너배차관리!$AI:$AI,$B42))="Y"),"위험물리퍼",IF(IF(INDEX(GLAPS컨테이너배차관리!$AK:$AK,$B42)="","",INDEX(GLAPS컨테이너배차관리!$AK:$AK,$B42))="Y","위험물",IF(IF(INDEX(GLAPS컨테이너배차관리!$AI:$AI,$B42)="","",INDEX(GLAPS컨테이너배차관리!$AI:$AI,$B42))="Y","리퍼",""))))</f>
        <v/>
      </c>
      <c r="R42" t="str">
        <f>IF($B42="","",IF(LEFT(IF(INDEX(GLAPS컨테이너배차관리!$Y:$Y,$B42)="","",INDEX(GLAPS컨테이너배차관리!$Y:$Y,$B42)),2)="22",1,""))</f>
        <v/>
      </c>
      <c r="S42" t="str">
        <f>IF($B42="","",IF(LEFT(IF(INDEX(GLAPS컨테이너배차관리!$Y:$Y,$B42)="","",INDEX(GLAPS컨테이너배차관리!$Y:$Y,$B42)),2)="42",1,""))</f>
        <v/>
      </c>
      <c r="T42" t="str">
        <f>IF($B42="","",IF(LEFT(IF(INDEX(GLAPS컨테이너배차관리!$Y:$Y,$B42)="","",INDEX(GLAPS컨테이너배차관리!$Y:$Y,$B42)),2)="45",1,""))</f>
        <v/>
      </c>
      <c r="U42" t="str">
        <f>IF($B42="","",IF(INDEX(GLAPS컨테이너배차관리!$X:$X,$B42)="","",INDEX(GLAPS컨테이너배차관리!$X:$X,$B42)))</f>
        <v/>
      </c>
      <c r="V42" t="str">
        <f>IF($B42="","",IF(INDEX(GLAPS컨테이너배차관리!$Z:$Z,$B42)="","",INDEX(GLAPS컨테이너배차관리!$Z:$Z,$B42)))</f>
        <v/>
      </c>
      <c r="W42" t="str">
        <f>IF($B42="","",IF(IF(INDEX(GLAPS컨테이너배차관리!$DI:$DI,$B42)="","",INDEX(GLAPS컨테이너배차관리!$DI:$DI,$B42))&lt;&gt;"",IF(INDEX(GLAPS컨테이너배차관리!$DI:$DI,$B42)="","",INDEX(GLAPS컨테이너배차관리!$DI:$DI,$B42)),IF(IF(INDEX(GLAPS컨테이너배차관리!$DJ:$DJ,$B42)="","",INDEX(GLAPS컨테이너배차관리!$DJ:$DJ,$B42))&lt;&gt;"",IF(INDEX(GLAPS컨테이너배차관리!$DJ:$DJ,$B42)="","",INDEX(GLAPS컨테이너배차관리!$DJ:$DJ,$B42)),IF(IF(INDEX(GLAPS컨테이너배차관리!$DK:$DK,$B42)="","",INDEX(GLAPS컨테이너배차관리!$DK:$DK,$B42))&lt;&gt;"",IF(INDEX(GLAPS컨테이너배차관리!$DK:$DK,$B42)="","",INDEX(GLAPS컨테이너배차관리!$DK:$DK,$B42)),IF(IF(INDEX(GLAPS컨테이너배차관리!$DL:$DL,$B42)="","",INDEX(GLAPS컨테이너배차관리!$DL:$DL,$B42))&lt;&gt;"",IF(INDEX(GLAPS컨테이너배차관리!$DL:$DL,$B42)="","",INDEX(GLAPS컨테이너배차관리!$DL:$DL,$B42)),IF(IF(INDEX(GLAPS컨테이너배차관리!$DM:$DM,$B42)="","",INDEX(GLAPS컨테이너배차관리!$DM:$DM,$B42))&lt;&gt;"",IF(INDEX(GLAPS컨테이너배차관리!$DM:$DM,$B42)="","",INDEX(GLAPS컨테이너배차관리!$DM:$DM,$B42)),""))))))</f>
        <v/>
      </c>
      <c r="X42" t="str">
        <f>IF($B42="","",IF(INDEX(GLAPS컨테이너배차관리!$F:$F,$B42)="","",INDEX(GLAPS컨테이너배차관리!$F:$F,$B42)))</f>
        <v/>
      </c>
      <c r="Y42" t="str">
        <f>IF($B42="","",IF(IF(INDEX(GLAPS컨테이너배차관리!$M:$M,$B42)="","",INDEX(GLAPS컨테이너배차관리!$M:$M,$B42))&lt;&gt;"",IF(INDEX(GLAPS컨테이너배차관리!$M:$M,$B42)="","",INDEX(GLAPS컨테이너배차관리!$M:$M,$B42)),IF(IF(INDEX(GLAPS컨테이너배차관리!$N:$N,$B42)="","",INDEX(GLAPS컨테이너배차관리!$N:$N,$B42))&lt;&gt;"",IF(INDEX(GLAPS컨테이너배차관리!$N:$N,$B42)="","",INDEX(GLAPS컨테이너배차관리!$N:$N,$B42)),"")))</f>
        <v/>
      </c>
      <c r="Z42" t="str">
        <f>IF($B42="","",IF(IF(INDEX(GLAPS컨테이너배차관리!$CU:$CU,$B42)="","",INDEX(GLAPS컨테이너배차관리!$CU:$CU,$B42))="","",IFERROR(INT(IF(INDEX(GLAPS컨테이너배차관리!$CU:$CU,$B42)="","",INDEX(GLAPS컨테이너배차관리!$CU:$CU,$B42))),"")))</f>
        <v/>
      </c>
      <c r="AA42" t="str">
        <f>IF($B42="","",IF(AND(IF(INDEX(GLAPS컨테이너배차관리!$CL:$CL,$B42)="","",INDEX(GLAPS컨테이너배차관리!$CL:$CL,$B42))="",IF(INDEX(GLAPS컨테이너배차관리!$CM:$CM,$B42)="","",INDEX(GLAPS컨테이너배차관리!$CM:$CM,$B42))=""),"",IF(OR(IF(INDEX(GLAPS컨테이너배차관리!$CL:$CL,$B42)="","",INDEX(GLAPS컨테이너배차관리!$CL:$CL,$B42))="B000016649",ISNUMBER(SEARCH("B015",IF(INDEX(GLAPS컨테이너배차관리!$CM:$CM,$B42)="","",INDEX(GLAPS컨테이너배차관리!$CM:$CM,$B42)))),ISNUMBER(SEARCH("세방",IF(INDEX(GLAPS컨테이너배차관리!$CM:$CM,$B42)="","",INDEX(GLAPS컨테이너배차관리!$CM:$CM,$B42)))),ISNUMBER(SEARCH("SB",IF(INDEX(GLAPS컨테이너배차관리!$CM:$CM,$B42)="","",INDEX(GLAPS컨테이너배차관리!$CM:$CM,$B42))))),"세방","")))</f>
        <v/>
      </c>
      <c r="AB42" t="str">
        <f>IF($B42="","",IF(IF(INDEX(GLAPS컨테이너배차관리!$CM:$CM,$B42)="","",INDEX(GLAPS컨테이너배차관리!$CM:$CM,$B42))="","",IF(ISNUMBER(SEARCH("이지스두동",IF(INDEX(GLAPS컨테이너배차관리!$CM:$CM,$B42)="","",INDEX(GLAPS컨테이너배차관리!$CM:$CM,$B42)))),"이지스두동",IF(ISNUMBER(SEARCH("이지스녹산",IF(INDEX(GLAPS컨테이너배차관리!$CM:$CM,$B42)="","",INDEX(GLAPS컨테이너배차관리!$CM:$CM,$B42)))),"이지스녹산",IF(ISNUMBER(SEARCH("천우",IF(INDEX(GLAPS컨테이너배차관리!$CM:$CM,$B42)="","",INDEX(GLAPS컨테이너배차관리!$CM:$CM,$B42)))),"천우",IF(OR(ISNUMBER(SEARCH("청암",IF(INDEX(GLAPS컨테이너배차관리!$CM:$CM,$B42)="","",INDEX(GLAPS컨테이너배차관리!$CM:$CM,$B42)))),ISNUMBER(SEARCH("SB청암",IF(INDEX(GLAPS컨테이너배차관리!$CM:$CM,$B42)="","",INDEX(GLAPS컨테이너배차관리!$CM:$CM,$B42))))),"청암신항",IF(INDEX(GLAPS컨테이너배차관리!$CM:$CM,$B42)="","",INDEX(GLAPS컨테이너배차관리!$CM:$CM,$B42))))))))</f>
        <v/>
      </c>
    </row>
    <row r="43" spans="1:28">
      <c r="A43">
        <v>42</v>
      </c>
      <c r="B43" t="str">
        <f>IFERROR(_xlfn.AGGREGATE(15,6,ROW(GLAPS컨테이너배차관리!$X$2:$X$20000)/(GLAPS컨테이너배차관리!$X$2:$X$20000&lt;&gt;""),A43),"")</f>
        <v/>
      </c>
      <c r="C43" t="str">
        <f>IF($B43="","",INT(IF(INDEX(GLAPS컨테이너배차관리!$K:$K,$B43)="","",INDEX(GLAPS컨테이너배차관리!$K:$K,$B43))))</f>
        <v/>
      </c>
      <c r="D43" t="str">
        <f>IF($B43="","",IF(ISNUMBER(SEARCH("이엘에스",IF(INDEX(GLAPS컨테이너배차관리!$AZ:$AZ,$B43)="","",INDEX(GLAPS컨테이너배차관리!$AZ:$AZ,$B43)))),"ELS솔루션",IF(INDEX(GLAPS컨테이너배차관리!$AZ:$AZ,$B43)="","",INDEX(GLAPS컨테이너배차관리!$AZ:$AZ,$B43))))</f>
        <v/>
      </c>
      <c r="E43" t="str">
        <f>IF($B43="","",IF(INDEX(GLAPS컨테이너배차관리!$L:$L,$B43)="","",INDEX(GLAPS컨테이너배차관리!$L:$L,$B43)))</f>
        <v/>
      </c>
      <c r="F43" t="str">
        <f>IF($B43="","",IF(HOUR(IF(INDEX(GLAPS컨테이너배차관리!$L:$L,$B43)="","",INDEX(GLAPS컨테이너배차관리!$L:$L,$B43)))&lt;12,"오전",IF(HOUR(IF(INDEX(GLAPS컨테이너배차관리!$L:$L,$B43)="","",INDEX(GLAPS컨테이너배차관리!$L:$L,$B43)))&lt;18,"오후","잔업")))</f>
        <v/>
      </c>
      <c r="G43" t="str">
        <f>IF($B43="","",IFERROR(INDEX(GLAPS정리!$G$3:$G$264,MATCH(IF(INDEX(GLAPS컨테이너배차관리!$BY:$BY,$B43)="","",INDEX(GLAPS컨테이너배차관리!$BY:$BY,$B43)),GLAPS정리!$H$3:$H$264,0)),TRIM(SUBSTITUTE(SUBSTITUTE(SUBSTITUTE(SUBSTITUTE(SUBSTITUTE(IF(INDEX(GLAPS컨테이너배차관리!$T:$T,$B43)="","",INDEX(GLAPS컨테이너배차관리!$T:$T,$B43)),"[GA]",""),"[GB]",""),"[GC]",""),"[KC]",""),"[GS]",""))))</f>
        <v/>
      </c>
      <c r="H43" t="str">
        <f>IF($B43="","",IFERROR(VLOOKUP(IF(INDEX(GLAPS컨테이너배차관리!$BY:$BY,$B43)="","",INDEX(GLAPS컨테이너배차관리!$BY:$BY,$B43)),GLAPS정리!$BT$3:$BV$200,3,0),""))</f>
        <v/>
      </c>
      <c r="I43" t="str">
        <f>IF($B43="","",LEFT(IF(INDEX(GLAPS컨테이너배차관리!$U:$U,$B43)="","",INDEX(GLAPS컨테이너배차관리!$U:$U,$B43)),FIND("/",IF(INDEX(GLAPS컨테이너배차관리!$U:$U,$B43)="","",INDEX(GLAPS컨테이너배차관리!$U:$U,$B43))&amp;"/")-1))</f>
        <v/>
      </c>
      <c r="J43" t="str">
        <f>IF($B43="","",IF(IF(INDEX(GLAPS컨테이너배차관리!$O:$O,$B43)="","",INDEX(GLAPS컨테이너배차관리!$O:$O,$B43))="EMC","EMA",IFERROR(INDEX(GLAPS정리!$A$2:$A$50,MATCH(IF(INDEX(GLAPS컨테이너배차관리!$O:$O,$B43)="","",INDEX(GLAPS컨테이너배차관리!$O:$O,$B43)),GLAPS정리!$D$2:$D$50,0)),IF(INDEX(GLAPS컨테이너배차관리!$O:$O,$B43)="","",INDEX(GLAPS컨테이너배차관리!$O:$O,$B43)))))</f>
        <v/>
      </c>
      <c r="K43" t="str">
        <f>IF($B43="","",IF(LEFT(IF(INDEX(GLAPS컨테이너배차관리!$Y:$Y,$B43)="","",INDEX(GLAPS컨테이너배차관리!$Y:$Y,$B43)),2)="22","20 Feet",IF(LEFT(IF(INDEX(GLAPS컨테이너배차관리!$Y:$Y,$B43)="","",INDEX(GLAPS컨테이너배차관리!$Y:$Y,$B43)),2)="42","40 Feet","40 Feet H")))</f>
        <v/>
      </c>
      <c r="L43" t="str">
        <f>IF($B43="","",IFERROR(INDEX(GLAPS정리!$BB$2:$BB$80,MATCH(IF(INDEX(GLAPS컨테이너배차관리!$BQ:$BQ,$B43)="","",INDEX(GLAPS컨테이너배차관리!$BQ:$BQ,$B43)),GLAPS정리!$BC$2:$BC$80,0)),IF(INDEX(GLAPS컨테이너배차관리!$BQ:$BQ,$B43)="","",INDEX(GLAPS컨테이너배차관리!$BQ:$BQ,$B43))))</f>
        <v/>
      </c>
      <c r="M43" t="str">
        <f>IF($B43="","",IFERROR(INDEX(GLAPS정리!$V$3:$V$180,MATCH(IF(INDEX(GLAPS컨테이너배차관리!$S:$S,$B43)="","",INDEX(GLAPS컨테이너배차관리!$S:$S,$B43)),GLAPS정리!$W$3:$W$180,0)),IF(INDEX(GLAPS컨테이너배차관리!$S:$S,$B43)="","",INDEX(GLAPS컨테이너배차관리!$S:$S,$B43))))</f>
        <v/>
      </c>
      <c r="N43" t="str">
        <f>IF($B43="","",IF(IF(INDEX(GLAPS컨테이너배차관리!$DF:$DF,$B43)="","",INDEX(GLAPS컨테이너배차관리!$DF:$DF,$B43))&lt;&gt;"",IF(INDEX(GLAPS컨테이너배차관리!$DF:$DF,$B43)="","",INDEX(GLAPS컨테이너배차관리!$DF:$DF,$B43)),IF(IF(INDEX(GLAPS컨테이너배차관리!$DG:$DG,$B43)="","",INDEX(GLAPS컨테이너배차관리!$DG:$DG,$B43))&lt;&gt;"",IF(INDEX(GLAPS컨테이너배차관리!$DG:$DG,$B43)="","",INDEX(GLAPS컨테이너배차관리!$DG:$DG,$B43)),"")))</f>
        <v/>
      </c>
      <c r="O43" t="str">
        <f>IF($B43="","",IF(INDEX(GLAPS컨테이너배차관리!$AB:$AB,$B43)="","",INDEX(GLAPS컨테이너배차관리!$AB:$AB,$B43)))</f>
        <v/>
      </c>
      <c r="P43" t="str">
        <f>IF($B43="","",IF(IF(INDEX(GLAPS컨테이너배차관리!$CP:$CP,$B43)="","",INDEX(GLAPS컨테이너배차관리!$CP:$CP,$B43))="","",IFERROR(INDEX(GLAPS정리!$BH$2:$BH$101,MATCH(IF(INDEX(GLAPS컨테이너배차관리!$CP:$CP,$B43)="","",INDEX(GLAPS컨테이너배차관리!$CP:$CP,$B43)),GLAPS정리!$BI$2:$BI$101,0)),IF(INDEX(GLAPS컨테이너배차관리!$CP:$CP,$B43)="","",INDEX(GLAPS컨테이너배차관리!$CP:$CP,$B43)))))</f>
        <v/>
      </c>
      <c r="Q43" t="str">
        <f>IF($B43="","",IF(AND(IF(INDEX(GLAPS컨테이너배차관리!$AK:$AK,$B43)="","",INDEX(GLAPS컨테이너배차관리!$AK:$AK,$B43))="Y",IF(INDEX(GLAPS컨테이너배차관리!$AI:$AI,$B43)="","",INDEX(GLAPS컨테이너배차관리!$AI:$AI,$B43))="Y"),"위험물리퍼",IF(IF(INDEX(GLAPS컨테이너배차관리!$AK:$AK,$B43)="","",INDEX(GLAPS컨테이너배차관리!$AK:$AK,$B43))="Y","위험물",IF(IF(INDEX(GLAPS컨테이너배차관리!$AI:$AI,$B43)="","",INDEX(GLAPS컨테이너배차관리!$AI:$AI,$B43))="Y","리퍼",""))))</f>
        <v/>
      </c>
      <c r="R43" t="str">
        <f>IF($B43="","",IF(LEFT(IF(INDEX(GLAPS컨테이너배차관리!$Y:$Y,$B43)="","",INDEX(GLAPS컨테이너배차관리!$Y:$Y,$B43)),2)="22",1,""))</f>
        <v/>
      </c>
      <c r="S43" t="str">
        <f>IF($B43="","",IF(LEFT(IF(INDEX(GLAPS컨테이너배차관리!$Y:$Y,$B43)="","",INDEX(GLAPS컨테이너배차관리!$Y:$Y,$B43)),2)="42",1,""))</f>
        <v/>
      </c>
      <c r="T43" t="str">
        <f>IF($B43="","",IF(LEFT(IF(INDEX(GLAPS컨테이너배차관리!$Y:$Y,$B43)="","",INDEX(GLAPS컨테이너배차관리!$Y:$Y,$B43)),2)="45",1,""))</f>
        <v/>
      </c>
      <c r="U43" t="str">
        <f>IF($B43="","",IF(INDEX(GLAPS컨테이너배차관리!$X:$X,$B43)="","",INDEX(GLAPS컨테이너배차관리!$X:$X,$B43)))</f>
        <v/>
      </c>
      <c r="V43" t="str">
        <f>IF($B43="","",IF(INDEX(GLAPS컨테이너배차관리!$Z:$Z,$B43)="","",INDEX(GLAPS컨테이너배차관리!$Z:$Z,$B43)))</f>
        <v/>
      </c>
      <c r="W43" t="str">
        <f>IF($B43="","",IF(IF(INDEX(GLAPS컨테이너배차관리!$DI:$DI,$B43)="","",INDEX(GLAPS컨테이너배차관리!$DI:$DI,$B43))&lt;&gt;"",IF(INDEX(GLAPS컨테이너배차관리!$DI:$DI,$B43)="","",INDEX(GLAPS컨테이너배차관리!$DI:$DI,$B43)),IF(IF(INDEX(GLAPS컨테이너배차관리!$DJ:$DJ,$B43)="","",INDEX(GLAPS컨테이너배차관리!$DJ:$DJ,$B43))&lt;&gt;"",IF(INDEX(GLAPS컨테이너배차관리!$DJ:$DJ,$B43)="","",INDEX(GLAPS컨테이너배차관리!$DJ:$DJ,$B43)),IF(IF(INDEX(GLAPS컨테이너배차관리!$DK:$DK,$B43)="","",INDEX(GLAPS컨테이너배차관리!$DK:$DK,$B43))&lt;&gt;"",IF(INDEX(GLAPS컨테이너배차관리!$DK:$DK,$B43)="","",INDEX(GLAPS컨테이너배차관리!$DK:$DK,$B43)),IF(IF(INDEX(GLAPS컨테이너배차관리!$DL:$DL,$B43)="","",INDEX(GLAPS컨테이너배차관리!$DL:$DL,$B43))&lt;&gt;"",IF(INDEX(GLAPS컨테이너배차관리!$DL:$DL,$B43)="","",INDEX(GLAPS컨테이너배차관리!$DL:$DL,$B43)),IF(IF(INDEX(GLAPS컨테이너배차관리!$DM:$DM,$B43)="","",INDEX(GLAPS컨테이너배차관리!$DM:$DM,$B43))&lt;&gt;"",IF(INDEX(GLAPS컨테이너배차관리!$DM:$DM,$B43)="","",INDEX(GLAPS컨테이너배차관리!$DM:$DM,$B43)),""))))))</f>
        <v/>
      </c>
      <c r="X43" t="str">
        <f>IF($B43="","",IF(INDEX(GLAPS컨테이너배차관리!$F:$F,$B43)="","",INDEX(GLAPS컨테이너배차관리!$F:$F,$B43)))</f>
        <v/>
      </c>
      <c r="Y43" t="str">
        <f>IF($B43="","",IF(IF(INDEX(GLAPS컨테이너배차관리!$M:$M,$B43)="","",INDEX(GLAPS컨테이너배차관리!$M:$M,$B43))&lt;&gt;"",IF(INDEX(GLAPS컨테이너배차관리!$M:$M,$B43)="","",INDEX(GLAPS컨테이너배차관리!$M:$M,$B43)),IF(IF(INDEX(GLAPS컨테이너배차관리!$N:$N,$B43)="","",INDEX(GLAPS컨테이너배차관리!$N:$N,$B43))&lt;&gt;"",IF(INDEX(GLAPS컨테이너배차관리!$N:$N,$B43)="","",INDEX(GLAPS컨테이너배차관리!$N:$N,$B43)),"")))</f>
        <v/>
      </c>
      <c r="Z43" t="str">
        <f>IF($B43="","",IF(IF(INDEX(GLAPS컨테이너배차관리!$CU:$CU,$B43)="","",INDEX(GLAPS컨테이너배차관리!$CU:$CU,$B43))="","",IFERROR(INT(IF(INDEX(GLAPS컨테이너배차관리!$CU:$CU,$B43)="","",INDEX(GLAPS컨테이너배차관리!$CU:$CU,$B43))),"")))</f>
        <v/>
      </c>
      <c r="AA43" t="str">
        <f>IF($B43="","",IF(AND(IF(INDEX(GLAPS컨테이너배차관리!$CL:$CL,$B43)="","",INDEX(GLAPS컨테이너배차관리!$CL:$CL,$B43))="",IF(INDEX(GLAPS컨테이너배차관리!$CM:$CM,$B43)="","",INDEX(GLAPS컨테이너배차관리!$CM:$CM,$B43))=""),"",IF(OR(IF(INDEX(GLAPS컨테이너배차관리!$CL:$CL,$B43)="","",INDEX(GLAPS컨테이너배차관리!$CL:$CL,$B43))="B000016649",ISNUMBER(SEARCH("B015",IF(INDEX(GLAPS컨테이너배차관리!$CM:$CM,$B43)="","",INDEX(GLAPS컨테이너배차관리!$CM:$CM,$B43)))),ISNUMBER(SEARCH("세방",IF(INDEX(GLAPS컨테이너배차관리!$CM:$CM,$B43)="","",INDEX(GLAPS컨테이너배차관리!$CM:$CM,$B43)))),ISNUMBER(SEARCH("SB",IF(INDEX(GLAPS컨테이너배차관리!$CM:$CM,$B43)="","",INDEX(GLAPS컨테이너배차관리!$CM:$CM,$B43))))),"세방","")))</f>
        <v/>
      </c>
      <c r="AB43" t="str">
        <f>IF($B43="","",IF(IF(INDEX(GLAPS컨테이너배차관리!$CM:$CM,$B43)="","",INDEX(GLAPS컨테이너배차관리!$CM:$CM,$B43))="","",IF(ISNUMBER(SEARCH("이지스두동",IF(INDEX(GLAPS컨테이너배차관리!$CM:$CM,$B43)="","",INDEX(GLAPS컨테이너배차관리!$CM:$CM,$B43)))),"이지스두동",IF(ISNUMBER(SEARCH("이지스녹산",IF(INDEX(GLAPS컨테이너배차관리!$CM:$CM,$B43)="","",INDEX(GLAPS컨테이너배차관리!$CM:$CM,$B43)))),"이지스녹산",IF(ISNUMBER(SEARCH("천우",IF(INDEX(GLAPS컨테이너배차관리!$CM:$CM,$B43)="","",INDEX(GLAPS컨테이너배차관리!$CM:$CM,$B43)))),"천우",IF(OR(ISNUMBER(SEARCH("청암",IF(INDEX(GLAPS컨테이너배차관리!$CM:$CM,$B43)="","",INDEX(GLAPS컨테이너배차관리!$CM:$CM,$B43)))),ISNUMBER(SEARCH("SB청암",IF(INDEX(GLAPS컨테이너배차관리!$CM:$CM,$B43)="","",INDEX(GLAPS컨테이너배차관리!$CM:$CM,$B43))))),"청암신항",IF(INDEX(GLAPS컨테이너배차관리!$CM:$CM,$B43)="","",INDEX(GLAPS컨테이너배차관리!$CM:$CM,$B43))))))))</f>
        <v/>
      </c>
    </row>
    <row r="44" spans="1:28">
      <c r="A44">
        <v>43</v>
      </c>
      <c r="B44" t="str">
        <f>IFERROR(_xlfn.AGGREGATE(15,6,ROW(GLAPS컨테이너배차관리!$X$2:$X$20000)/(GLAPS컨테이너배차관리!$X$2:$X$20000&lt;&gt;""),A44),"")</f>
        <v/>
      </c>
      <c r="C44" t="str">
        <f>IF($B44="","",INT(IF(INDEX(GLAPS컨테이너배차관리!$K:$K,$B44)="","",INDEX(GLAPS컨테이너배차관리!$K:$K,$B44))))</f>
        <v/>
      </c>
      <c r="D44" t="str">
        <f>IF($B44="","",IF(ISNUMBER(SEARCH("이엘에스",IF(INDEX(GLAPS컨테이너배차관리!$AZ:$AZ,$B44)="","",INDEX(GLAPS컨테이너배차관리!$AZ:$AZ,$B44)))),"ELS솔루션",IF(INDEX(GLAPS컨테이너배차관리!$AZ:$AZ,$B44)="","",INDEX(GLAPS컨테이너배차관리!$AZ:$AZ,$B44))))</f>
        <v/>
      </c>
      <c r="E44" t="str">
        <f>IF($B44="","",IF(INDEX(GLAPS컨테이너배차관리!$L:$L,$B44)="","",INDEX(GLAPS컨테이너배차관리!$L:$L,$B44)))</f>
        <v/>
      </c>
      <c r="F44" t="str">
        <f>IF($B44="","",IF(HOUR(IF(INDEX(GLAPS컨테이너배차관리!$L:$L,$B44)="","",INDEX(GLAPS컨테이너배차관리!$L:$L,$B44)))&lt;12,"오전",IF(HOUR(IF(INDEX(GLAPS컨테이너배차관리!$L:$L,$B44)="","",INDEX(GLAPS컨테이너배차관리!$L:$L,$B44)))&lt;18,"오후","잔업")))</f>
        <v/>
      </c>
      <c r="G44" t="str">
        <f>IF($B44="","",IFERROR(INDEX(GLAPS정리!$G$3:$G$264,MATCH(IF(INDEX(GLAPS컨테이너배차관리!$BY:$BY,$B44)="","",INDEX(GLAPS컨테이너배차관리!$BY:$BY,$B44)),GLAPS정리!$H$3:$H$264,0)),TRIM(SUBSTITUTE(SUBSTITUTE(SUBSTITUTE(SUBSTITUTE(SUBSTITUTE(IF(INDEX(GLAPS컨테이너배차관리!$T:$T,$B44)="","",INDEX(GLAPS컨테이너배차관리!$T:$T,$B44)),"[GA]",""),"[GB]",""),"[GC]",""),"[KC]",""),"[GS]",""))))</f>
        <v/>
      </c>
      <c r="H44" t="str">
        <f>IF($B44="","",IFERROR(VLOOKUP(IF(INDEX(GLAPS컨테이너배차관리!$BY:$BY,$B44)="","",INDEX(GLAPS컨테이너배차관리!$BY:$BY,$B44)),GLAPS정리!$BT$3:$BV$200,3,0),""))</f>
        <v/>
      </c>
      <c r="I44" t="str">
        <f>IF($B44="","",LEFT(IF(INDEX(GLAPS컨테이너배차관리!$U:$U,$B44)="","",INDEX(GLAPS컨테이너배차관리!$U:$U,$B44)),FIND("/",IF(INDEX(GLAPS컨테이너배차관리!$U:$U,$B44)="","",INDEX(GLAPS컨테이너배차관리!$U:$U,$B44))&amp;"/")-1))</f>
        <v/>
      </c>
      <c r="J44" t="str">
        <f>IF($B44="","",IF(IF(INDEX(GLAPS컨테이너배차관리!$O:$O,$B44)="","",INDEX(GLAPS컨테이너배차관리!$O:$O,$B44))="EMC","EMA",IFERROR(INDEX(GLAPS정리!$A$2:$A$50,MATCH(IF(INDEX(GLAPS컨테이너배차관리!$O:$O,$B44)="","",INDEX(GLAPS컨테이너배차관리!$O:$O,$B44)),GLAPS정리!$D$2:$D$50,0)),IF(INDEX(GLAPS컨테이너배차관리!$O:$O,$B44)="","",INDEX(GLAPS컨테이너배차관리!$O:$O,$B44)))))</f>
        <v/>
      </c>
      <c r="K44" t="str">
        <f>IF($B44="","",IF(LEFT(IF(INDEX(GLAPS컨테이너배차관리!$Y:$Y,$B44)="","",INDEX(GLAPS컨테이너배차관리!$Y:$Y,$B44)),2)="22","20 Feet",IF(LEFT(IF(INDEX(GLAPS컨테이너배차관리!$Y:$Y,$B44)="","",INDEX(GLAPS컨테이너배차관리!$Y:$Y,$B44)),2)="42","40 Feet","40 Feet H")))</f>
        <v/>
      </c>
      <c r="L44" t="str">
        <f>IF($B44="","",IFERROR(INDEX(GLAPS정리!$BB$2:$BB$80,MATCH(IF(INDEX(GLAPS컨테이너배차관리!$BQ:$BQ,$B44)="","",INDEX(GLAPS컨테이너배차관리!$BQ:$BQ,$B44)),GLAPS정리!$BC$2:$BC$80,0)),IF(INDEX(GLAPS컨테이너배차관리!$BQ:$BQ,$B44)="","",INDEX(GLAPS컨테이너배차관리!$BQ:$BQ,$B44))))</f>
        <v/>
      </c>
      <c r="M44" t="str">
        <f>IF($B44="","",IFERROR(INDEX(GLAPS정리!$V$3:$V$180,MATCH(IF(INDEX(GLAPS컨테이너배차관리!$S:$S,$B44)="","",INDEX(GLAPS컨테이너배차관리!$S:$S,$B44)),GLAPS정리!$W$3:$W$180,0)),IF(INDEX(GLAPS컨테이너배차관리!$S:$S,$B44)="","",INDEX(GLAPS컨테이너배차관리!$S:$S,$B44))))</f>
        <v/>
      </c>
      <c r="N44" t="str">
        <f>IF($B44="","",IF(IF(INDEX(GLAPS컨테이너배차관리!$DF:$DF,$B44)="","",INDEX(GLAPS컨테이너배차관리!$DF:$DF,$B44))&lt;&gt;"",IF(INDEX(GLAPS컨테이너배차관리!$DF:$DF,$B44)="","",INDEX(GLAPS컨테이너배차관리!$DF:$DF,$B44)),IF(IF(INDEX(GLAPS컨테이너배차관리!$DG:$DG,$B44)="","",INDEX(GLAPS컨테이너배차관리!$DG:$DG,$B44))&lt;&gt;"",IF(INDEX(GLAPS컨테이너배차관리!$DG:$DG,$B44)="","",INDEX(GLAPS컨테이너배차관리!$DG:$DG,$B44)),"")))</f>
        <v/>
      </c>
      <c r="O44" t="str">
        <f>IF($B44="","",IF(INDEX(GLAPS컨테이너배차관리!$AB:$AB,$B44)="","",INDEX(GLAPS컨테이너배차관리!$AB:$AB,$B44)))</f>
        <v/>
      </c>
      <c r="P44" t="str">
        <f>IF($B44="","",IF(IF(INDEX(GLAPS컨테이너배차관리!$CP:$CP,$B44)="","",INDEX(GLAPS컨테이너배차관리!$CP:$CP,$B44))="","",IFERROR(INDEX(GLAPS정리!$BH$2:$BH$101,MATCH(IF(INDEX(GLAPS컨테이너배차관리!$CP:$CP,$B44)="","",INDEX(GLAPS컨테이너배차관리!$CP:$CP,$B44)),GLAPS정리!$BI$2:$BI$101,0)),IF(INDEX(GLAPS컨테이너배차관리!$CP:$CP,$B44)="","",INDEX(GLAPS컨테이너배차관리!$CP:$CP,$B44)))))</f>
        <v/>
      </c>
      <c r="Q44" t="str">
        <f>IF($B44="","",IF(AND(IF(INDEX(GLAPS컨테이너배차관리!$AK:$AK,$B44)="","",INDEX(GLAPS컨테이너배차관리!$AK:$AK,$B44))="Y",IF(INDEX(GLAPS컨테이너배차관리!$AI:$AI,$B44)="","",INDEX(GLAPS컨테이너배차관리!$AI:$AI,$B44))="Y"),"위험물리퍼",IF(IF(INDEX(GLAPS컨테이너배차관리!$AK:$AK,$B44)="","",INDEX(GLAPS컨테이너배차관리!$AK:$AK,$B44))="Y","위험물",IF(IF(INDEX(GLAPS컨테이너배차관리!$AI:$AI,$B44)="","",INDEX(GLAPS컨테이너배차관리!$AI:$AI,$B44))="Y","리퍼",""))))</f>
        <v/>
      </c>
      <c r="R44" t="str">
        <f>IF($B44="","",IF(LEFT(IF(INDEX(GLAPS컨테이너배차관리!$Y:$Y,$B44)="","",INDEX(GLAPS컨테이너배차관리!$Y:$Y,$B44)),2)="22",1,""))</f>
        <v/>
      </c>
      <c r="S44" t="str">
        <f>IF($B44="","",IF(LEFT(IF(INDEX(GLAPS컨테이너배차관리!$Y:$Y,$B44)="","",INDEX(GLAPS컨테이너배차관리!$Y:$Y,$B44)),2)="42",1,""))</f>
        <v/>
      </c>
      <c r="T44" t="str">
        <f>IF($B44="","",IF(LEFT(IF(INDEX(GLAPS컨테이너배차관리!$Y:$Y,$B44)="","",INDEX(GLAPS컨테이너배차관리!$Y:$Y,$B44)),2)="45",1,""))</f>
        <v/>
      </c>
      <c r="U44" t="str">
        <f>IF($B44="","",IF(INDEX(GLAPS컨테이너배차관리!$X:$X,$B44)="","",INDEX(GLAPS컨테이너배차관리!$X:$X,$B44)))</f>
        <v/>
      </c>
      <c r="V44" t="str">
        <f>IF($B44="","",IF(INDEX(GLAPS컨테이너배차관리!$Z:$Z,$B44)="","",INDEX(GLAPS컨테이너배차관리!$Z:$Z,$B44)))</f>
        <v/>
      </c>
      <c r="W44" t="str">
        <f>IF($B44="","",IF(IF(INDEX(GLAPS컨테이너배차관리!$DI:$DI,$B44)="","",INDEX(GLAPS컨테이너배차관리!$DI:$DI,$B44))&lt;&gt;"",IF(INDEX(GLAPS컨테이너배차관리!$DI:$DI,$B44)="","",INDEX(GLAPS컨테이너배차관리!$DI:$DI,$B44)),IF(IF(INDEX(GLAPS컨테이너배차관리!$DJ:$DJ,$B44)="","",INDEX(GLAPS컨테이너배차관리!$DJ:$DJ,$B44))&lt;&gt;"",IF(INDEX(GLAPS컨테이너배차관리!$DJ:$DJ,$B44)="","",INDEX(GLAPS컨테이너배차관리!$DJ:$DJ,$B44)),IF(IF(INDEX(GLAPS컨테이너배차관리!$DK:$DK,$B44)="","",INDEX(GLAPS컨테이너배차관리!$DK:$DK,$B44))&lt;&gt;"",IF(INDEX(GLAPS컨테이너배차관리!$DK:$DK,$B44)="","",INDEX(GLAPS컨테이너배차관리!$DK:$DK,$B44)),IF(IF(INDEX(GLAPS컨테이너배차관리!$DL:$DL,$B44)="","",INDEX(GLAPS컨테이너배차관리!$DL:$DL,$B44))&lt;&gt;"",IF(INDEX(GLAPS컨테이너배차관리!$DL:$DL,$B44)="","",INDEX(GLAPS컨테이너배차관리!$DL:$DL,$B44)),IF(IF(INDEX(GLAPS컨테이너배차관리!$DM:$DM,$B44)="","",INDEX(GLAPS컨테이너배차관리!$DM:$DM,$B44))&lt;&gt;"",IF(INDEX(GLAPS컨테이너배차관리!$DM:$DM,$B44)="","",INDEX(GLAPS컨테이너배차관리!$DM:$DM,$B44)),""))))))</f>
        <v/>
      </c>
      <c r="X44" t="str">
        <f>IF($B44="","",IF(INDEX(GLAPS컨테이너배차관리!$F:$F,$B44)="","",INDEX(GLAPS컨테이너배차관리!$F:$F,$B44)))</f>
        <v/>
      </c>
      <c r="Y44" t="str">
        <f>IF($B44="","",IF(IF(INDEX(GLAPS컨테이너배차관리!$M:$M,$B44)="","",INDEX(GLAPS컨테이너배차관리!$M:$M,$B44))&lt;&gt;"",IF(INDEX(GLAPS컨테이너배차관리!$M:$M,$B44)="","",INDEX(GLAPS컨테이너배차관리!$M:$M,$B44)),IF(IF(INDEX(GLAPS컨테이너배차관리!$N:$N,$B44)="","",INDEX(GLAPS컨테이너배차관리!$N:$N,$B44))&lt;&gt;"",IF(INDEX(GLAPS컨테이너배차관리!$N:$N,$B44)="","",INDEX(GLAPS컨테이너배차관리!$N:$N,$B44)),"")))</f>
        <v/>
      </c>
      <c r="Z44" t="str">
        <f>IF($B44="","",IF(IF(INDEX(GLAPS컨테이너배차관리!$CU:$CU,$B44)="","",INDEX(GLAPS컨테이너배차관리!$CU:$CU,$B44))="","",IFERROR(INT(IF(INDEX(GLAPS컨테이너배차관리!$CU:$CU,$B44)="","",INDEX(GLAPS컨테이너배차관리!$CU:$CU,$B44))),"")))</f>
        <v/>
      </c>
      <c r="AA44" t="str">
        <f>IF($B44="","",IF(AND(IF(INDEX(GLAPS컨테이너배차관리!$CL:$CL,$B44)="","",INDEX(GLAPS컨테이너배차관리!$CL:$CL,$B44))="",IF(INDEX(GLAPS컨테이너배차관리!$CM:$CM,$B44)="","",INDEX(GLAPS컨테이너배차관리!$CM:$CM,$B44))=""),"",IF(OR(IF(INDEX(GLAPS컨테이너배차관리!$CL:$CL,$B44)="","",INDEX(GLAPS컨테이너배차관리!$CL:$CL,$B44))="B000016649",ISNUMBER(SEARCH("B015",IF(INDEX(GLAPS컨테이너배차관리!$CM:$CM,$B44)="","",INDEX(GLAPS컨테이너배차관리!$CM:$CM,$B44)))),ISNUMBER(SEARCH("세방",IF(INDEX(GLAPS컨테이너배차관리!$CM:$CM,$B44)="","",INDEX(GLAPS컨테이너배차관리!$CM:$CM,$B44)))),ISNUMBER(SEARCH("SB",IF(INDEX(GLAPS컨테이너배차관리!$CM:$CM,$B44)="","",INDEX(GLAPS컨테이너배차관리!$CM:$CM,$B44))))),"세방","")))</f>
        <v/>
      </c>
      <c r="AB44" t="str">
        <f>IF($B44="","",IF(IF(INDEX(GLAPS컨테이너배차관리!$CM:$CM,$B44)="","",INDEX(GLAPS컨테이너배차관리!$CM:$CM,$B44))="","",IF(ISNUMBER(SEARCH("이지스두동",IF(INDEX(GLAPS컨테이너배차관리!$CM:$CM,$B44)="","",INDEX(GLAPS컨테이너배차관리!$CM:$CM,$B44)))),"이지스두동",IF(ISNUMBER(SEARCH("이지스녹산",IF(INDEX(GLAPS컨테이너배차관리!$CM:$CM,$B44)="","",INDEX(GLAPS컨테이너배차관리!$CM:$CM,$B44)))),"이지스녹산",IF(ISNUMBER(SEARCH("천우",IF(INDEX(GLAPS컨테이너배차관리!$CM:$CM,$B44)="","",INDEX(GLAPS컨테이너배차관리!$CM:$CM,$B44)))),"천우",IF(OR(ISNUMBER(SEARCH("청암",IF(INDEX(GLAPS컨테이너배차관리!$CM:$CM,$B44)="","",INDEX(GLAPS컨테이너배차관리!$CM:$CM,$B44)))),ISNUMBER(SEARCH("SB청암",IF(INDEX(GLAPS컨테이너배차관리!$CM:$CM,$B44)="","",INDEX(GLAPS컨테이너배차관리!$CM:$CM,$B44))))),"청암신항",IF(INDEX(GLAPS컨테이너배차관리!$CM:$CM,$B44)="","",INDEX(GLAPS컨테이너배차관리!$CM:$CM,$B44))))))))</f>
        <v/>
      </c>
    </row>
    <row r="45" spans="1:28">
      <c r="A45">
        <v>44</v>
      </c>
      <c r="B45" t="str">
        <f>IFERROR(_xlfn.AGGREGATE(15,6,ROW(GLAPS컨테이너배차관리!$X$2:$X$20000)/(GLAPS컨테이너배차관리!$X$2:$X$20000&lt;&gt;""),A45),"")</f>
        <v/>
      </c>
      <c r="C45" t="str">
        <f>IF($B45="","",INT(IF(INDEX(GLAPS컨테이너배차관리!$K:$K,$B45)="","",INDEX(GLAPS컨테이너배차관리!$K:$K,$B45))))</f>
        <v/>
      </c>
      <c r="D45" t="str">
        <f>IF($B45="","",IF(ISNUMBER(SEARCH("이엘에스",IF(INDEX(GLAPS컨테이너배차관리!$AZ:$AZ,$B45)="","",INDEX(GLAPS컨테이너배차관리!$AZ:$AZ,$B45)))),"ELS솔루션",IF(INDEX(GLAPS컨테이너배차관리!$AZ:$AZ,$B45)="","",INDEX(GLAPS컨테이너배차관리!$AZ:$AZ,$B45))))</f>
        <v/>
      </c>
      <c r="E45" t="str">
        <f>IF($B45="","",IF(INDEX(GLAPS컨테이너배차관리!$L:$L,$B45)="","",INDEX(GLAPS컨테이너배차관리!$L:$L,$B45)))</f>
        <v/>
      </c>
      <c r="F45" t="str">
        <f>IF($B45="","",IF(HOUR(IF(INDEX(GLAPS컨테이너배차관리!$L:$L,$B45)="","",INDEX(GLAPS컨테이너배차관리!$L:$L,$B45)))&lt;12,"오전",IF(HOUR(IF(INDEX(GLAPS컨테이너배차관리!$L:$L,$B45)="","",INDEX(GLAPS컨테이너배차관리!$L:$L,$B45)))&lt;18,"오후","잔업")))</f>
        <v/>
      </c>
      <c r="G45" t="str">
        <f>IF($B45="","",IFERROR(INDEX(GLAPS정리!$G$3:$G$264,MATCH(IF(INDEX(GLAPS컨테이너배차관리!$BY:$BY,$B45)="","",INDEX(GLAPS컨테이너배차관리!$BY:$BY,$B45)),GLAPS정리!$H$3:$H$264,0)),TRIM(SUBSTITUTE(SUBSTITUTE(SUBSTITUTE(SUBSTITUTE(SUBSTITUTE(IF(INDEX(GLAPS컨테이너배차관리!$T:$T,$B45)="","",INDEX(GLAPS컨테이너배차관리!$T:$T,$B45)),"[GA]",""),"[GB]",""),"[GC]",""),"[KC]",""),"[GS]",""))))</f>
        <v/>
      </c>
      <c r="H45" t="str">
        <f>IF($B45="","",IFERROR(VLOOKUP(IF(INDEX(GLAPS컨테이너배차관리!$BY:$BY,$B45)="","",INDEX(GLAPS컨테이너배차관리!$BY:$BY,$B45)),GLAPS정리!$BT$3:$BV$200,3,0),""))</f>
        <v/>
      </c>
      <c r="I45" t="str">
        <f>IF($B45="","",LEFT(IF(INDEX(GLAPS컨테이너배차관리!$U:$U,$B45)="","",INDEX(GLAPS컨테이너배차관리!$U:$U,$B45)),FIND("/",IF(INDEX(GLAPS컨테이너배차관리!$U:$U,$B45)="","",INDEX(GLAPS컨테이너배차관리!$U:$U,$B45))&amp;"/")-1))</f>
        <v/>
      </c>
      <c r="J45" t="str">
        <f>IF($B45="","",IF(IF(INDEX(GLAPS컨테이너배차관리!$O:$O,$B45)="","",INDEX(GLAPS컨테이너배차관리!$O:$O,$B45))="EMC","EMA",IFERROR(INDEX(GLAPS정리!$A$2:$A$50,MATCH(IF(INDEX(GLAPS컨테이너배차관리!$O:$O,$B45)="","",INDEX(GLAPS컨테이너배차관리!$O:$O,$B45)),GLAPS정리!$D$2:$D$50,0)),IF(INDEX(GLAPS컨테이너배차관리!$O:$O,$B45)="","",INDEX(GLAPS컨테이너배차관리!$O:$O,$B45)))))</f>
        <v/>
      </c>
      <c r="K45" t="str">
        <f>IF($B45="","",IF(LEFT(IF(INDEX(GLAPS컨테이너배차관리!$Y:$Y,$B45)="","",INDEX(GLAPS컨테이너배차관리!$Y:$Y,$B45)),2)="22","20 Feet",IF(LEFT(IF(INDEX(GLAPS컨테이너배차관리!$Y:$Y,$B45)="","",INDEX(GLAPS컨테이너배차관리!$Y:$Y,$B45)),2)="42","40 Feet","40 Feet H")))</f>
        <v/>
      </c>
      <c r="L45" t="str">
        <f>IF($B45="","",IFERROR(INDEX(GLAPS정리!$BB$2:$BB$80,MATCH(IF(INDEX(GLAPS컨테이너배차관리!$BQ:$BQ,$B45)="","",INDEX(GLAPS컨테이너배차관리!$BQ:$BQ,$B45)),GLAPS정리!$BC$2:$BC$80,0)),IF(INDEX(GLAPS컨테이너배차관리!$BQ:$BQ,$B45)="","",INDEX(GLAPS컨테이너배차관리!$BQ:$BQ,$B45))))</f>
        <v/>
      </c>
      <c r="M45" t="str">
        <f>IF($B45="","",IFERROR(INDEX(GLAPS정리!$V$3:$V$180,MATCH(IF(INDEX(GLAPS컨테이너배차관리!$S:$S,$B45)="","",INDEX(GLAPS컨테이너배차관리!$S:$S,$B45)),GLAPS정리!$W$3:$W$180,0)),IF(INDEX(GLAPS컨테이너배차관리!$S:$S,$B45)="","",INDEX(GLAPS컨테이너배차관리!$S:$S,$B45))))</f>
        <v/>
      </c>
      <c r="N45" t="str">
        <f>IF($B45="","",IF(IF(INDEX(GLAPS컨테이너배차관리!$DF:$DF,$B45)="","",INDEX(GLAPS컨테이너배차관리!$DF:$DF,$B45))&lt;&gt;"",IF(INDEX(GLAPS컨테이너배차관리!$DF:$DF,$B45)="","",INDEX(GLAPS컨테이너배차관리!$DF:$DF,$B45)),IF(IF(INDEX(GLAPS컨테이너배차관리!$DG:$DG,$B45)="","",INDEX(GLAPS컨테이너배차관리!$DG:$DG,$B45))&lt;&gt;"",IF(INDEX(GLAPS컨테이너배차관리!$DG:$DG,$B45)="","",INDEX(GLAPS컨테이너배차관리!$DG:$DG,$B45)),"")))</f>
        <v/>
      </c>
      <c r="O45" t="str">
        <f>IF($B45="","",IF(INDEX(GLAPS컨테이너배차관리!$AB:$AB,$B45)="","",INDEX(GLAPS컨테이너배차관리!$AB:$AB,$B45)))</f>
        <v/>
      </c>
      <c r="P45" t="str">
        <f>IF($B45="","",IF(IF(INDEX(GLAPS컨테이너배차관리!$CP:$CP,$B45)="","",INDEX(GLAPS컨테이너배차관리!$CP:$CP,$B45))="","",IFERROR(INDEX(GLAPS정리!$BH$2:$BH$101,MATCH(IF(INDEX(GLAPS컨테이너배차관리!$CP:$CP,$B45)="","",INDEX(GLAPS컨테이너배차관리!$CP:$CP,$B45)),GLAPS정리!$BI$2:$BI$101,0)),IF(INDEX(GLAPS컨테이너배차관리!$CP:$CP,$B45)="","",INDEX(GLAPS컨테이너배차관리!$CP:$CP,$B45)))))</f>
        <v/>
      </c>
      <c r="Q45" t="str">
        <f>IF($B45="","",IF(AND(IF(INDEX(GLAPS컨테이너배차관리!$AK:$AK,$B45)="","",INDEX(GLAPS컨테이너배차관리!$AK:$AK,$B45))="Y",IF(INDEX(GLAPS컨테이너배차관리!$AI:$AI,$B45)="","",INDEX(GLAPS컨테이너배차관리!$AI:$AI,$B45))="Y"),"위험물리퍼",IF(IF(INDEX(GLAPS컨테이너배차관리!$AK:$AK,$B45)="","",INDEX(GLAPS컨테이너배차관리!$AK:$AK,$B45))="Y","위험물",IF(IF(INDEX(GLAPS컨테이너배차관리!$AI:$AI,$B45)="","",INDEX(GLAPS컨테이너배차관리!$AI:$AI,$B45))="Y","리퍼",""))))</f>
        <v/>
      </c>
      <c r="R45" t="str">
        <f>IF($B45="","",IF(LEFT(IF(INDEX(GLAPS컨테이너배차관리!$Y:$Y,$B45)="","",INDEX(GLAPS컨테이너배차관리!$Y:$Y,$B45)),2)="22",1,""))</f>
        <v/>
      </c>
      <c r="S45" t="str">
        <f>IF($B45="","",IF(LEFT(IF(INDEX(GLAPS컨테이너배차관리!$Y:$Y,$B45)="","",INDEX(GLAPS컨테이너배차관리!$Y:$Y,$B45)),2)="42",1,""))</f>
        <v/>
      </c>
      <c r="T45" t="str">
        <f>IF($B45="","",IF(LEFT(IF(INDEX(GLAPS컨테이너배차관리!$Y:$Y,$B45)="","",INDEX(GLAPS컨테이너배차관리!$Y:$Y,$B45)),2)="45",1,""))</f>
        <v/>
      </c>
      <c r="U45" t="str">
        <f>IF($B45="","",IF(INDEX(GLAPS컨테이너배차관리!$X:$X,$B45)="","",INDEX(GLAPS컨테이너배차관리!$X:$X,$B45)))</f>
        <v/>
      </c>
      <c r="V45" t="str">
        <f>IF($B45="","",IF(INDEX(GLAPS컨테이너배차관리!$Z:$Z,$B45)="","",INDEX(GLAPS컨테이너배차관리!$Z:$Z,$B45)))</f>
        <v/>
      </c>
      <c r="W45" t="str">
        <f>IF($B45="","",IF(IF(INDEX(GLAPS컨테이너배차관리!$DI:$DI,$B45)="","",INDEX(GLAPS컨테이너배차관리!$DI:$DI,$B45))&lt;&gt;"",IF(INDEX(GLAPS컨테이너배차관리!$DI:$DI,$B45)="","",INDEX(GLAPS컨테이너배차관리!$DI:$DI,$B45)),IF(IF(INDEX(GLAPS컨테이너배차관리!$DJ:$DJ,$B45)="","",INDEX(GLAPS컨테이너배차관리!$DJ:$DJ,$B45))&lt;&gt;"",IF(INDEX(GLAPS컨테이너배차관리!$DJ:$DJ,$B45)="","",INDEX(GLAPS컨테이너배차관리!$DJ:$DJ,$B45)),IF(IF(INDEX(GLAPS컨테이너배차관리!$DK:$DK,$B45)="","",INDEX(GLAPS컨테이너배차관리!$DK:$DK,$B45))&lt;&gt;"",IF(INDEX(GLAPS컨테이너배차관리!$DK:$DK,$B45)="","",INDEX(GLAPS컨테이너배차관리!$DK:$DK,$B45)),IF(IF(INDEX(GLAPS컨테이너배차관리!$DL:$DL,$B45)="","",INDEX(GLAPS컨테이너배차관리!$DL:$DL,$B45))&lt;&gt;"",IF(INDEX(GLAPS컨테이너배차관리!$DL:$DL,$B45)="","",INDEX(GLAPS컨테이너배차관리!$DL:$DL,$B45)),IF(IF(INDEX(GLAPS컨테이너배차관리!$DM:$DM,$B45)="","",INDEX(GLAPS컨테이너배차관리!$DM:$DM,$B45))&lt;&gt;"",IF(INDEX(GLAPS컨테이너배차관리!$DM:$DM,$B45)="","",INDEX(GLAPS컨테이너배차관리!$DM:$DM,$B45)),""))))))</f>
        <v/>
      </c>
      <c r="X45" t="str">
        <f>IF($B45="","",IF(INDEX(GLAPS컨테이너배차관리!$F:$F,$B45)="","",INDEX(GLAPS컨테이너배차관리!$F:$F,$B45)))</f>
        <v/>
      </c>
      <c r="Y45" t="str">
        <f>IF($B45="","",IF(IF(INDEX(GLAPS컨테이너배차관리!$M:$M,$B45)="","",INDEX(GLAPS컨테이너배차관리!$M:$M,$B45))&lt;&gt;"",IF(INDEX(GLAPS컨테이너배차관리!$M:$M,$B45)="","",INDEX(GLAPS컨테이너배차관리!$M:$M,$B45)),IF(IF(INDEX(GLAPS컨테이너배차관리!$N:$N,$B45)="","",INDEX(GLAPS컨테이너배차관리!$N:$N,$B45))&lt;&gt;"",IF(INDEX(GLAPS컨테이너배차관리!$N:$N,$B45)="","",INDEX(GLAPS컨테이너배차관리!$N:$N,$B45)),"")))</f>
        <v/>
      </c>
      <c r="Z45" t="str">
        <f>IF($B45="","",IF(IF(INDEX(GLAPS컨테이너배차관리!$CU:$CU,$B45)="","",INDEX(GLAPS컨테이너배차관리!$CU:$CU,$B45))="","",IFERROR(INT(IF(INDEX(GLAPS컨테이너배차관리!$CU:$CU,$B45)="","",INDEX(GLAPS컨테이너배차관리!$CU:$CU,$B45))),"")))</f>
        <v/>
      </c>
      <c r="AA45" t="str">
        <f>IF($B45="","",IF(AND(IF(INDEX(GLAPS컨테이너배차관리!$CL:$CL,$B45)="","",INDEX(GLAPS컨테이너배차관리!$CL:$CL,$B45))="",IF(INDEX(GLAPS컨테이너배차관리!$CM:$CM,$B45)="","",INDEX(GLAPS컨테이너배차관리!$CM:$CM,$B45))=""),"",IF(OR(IF(INDEX(GLAPS컨테이너배차관리!$CL:$CL,$B45)="","",INDEX(GLAPS컨테이너배차관리!$CL:$CL,$B45))="B000016649",ISNUMBER(SEARCH("B015",IF(INDEX(GLAPS컨테이너배차관리!$CM:$CM,$B45)="","",INDEX(GLAPS컨테이너배차관리!$CM:$CM,$B45)))),ISNUMBER(SEARCH("세방",IF(INDEX(GLAPS컨테이너배차관리!$CM:$CM,$B45)="","",INDEX(GLAPS컨테이너배차관리!$CM:$CM,$B45)))),ISNUMBER(SEARCH("SB",IF(INDEX(GLAPS컨테이너배차관리!$CM:$CM,$B45)="","",INDEX(GLAPS컨테이너배차관리!$CM:$CM,$B45))))),"세방","")))</f>
        <v/>
      </c>
      <c r="AB45" t="str">
        <f>IF($B45="","",IF(IF(INDEX(GLAPS컨테이너배차관리!$CM:$CM,$B45)="","",INDEX(GLAPS컨테이너배차관리!$CM:$CM,$B45))="","",IF(ISNUMBER(SEARCH("이지스두동",IF(INDEX(GLAPS컨테이너배차관리!$CM:$CM,$B45)="","",INDEX(GLAPS컨테이너배차관리!$CM:$CM,$B45)))),"이지스두동",IF(ISNUMBER(SEARCH("이지스녹산",IF(INDEX(GLAPS컨테이너배차관리!$CM:$CM,$B45)="","",INDEX(GLAPS컨테이너배차관리!$CM:$CM,$B45)))),"이지스녹산",IF(ISNUMBER(SEARCH("천우",IF(INDEX(GLAPS컨테이너배차관리!$CM:$CM,$B45)="","",INDEX(GLAPS컨테이너배차관리!$CM:$CM,$B45)))),"천우",IF(OR(ISNUMBER(SEARCH("청암",IF(INDEX(GLAPS컨테이너배차관리!$CM:$CM,$B45)="","",INDEX(GLAPS컨테이너배차관리!$CM:$CM,$B45)))),ISNUMBER(SEARCH("SB청암",IF(INDEX(GLAPS컨테이너배차관리!$CM:$CM,$B45)="","",INDEX(GLAPS컨테이너배차관리!$CM:$CM,$B45))))),"청암신항",IF(INDEX(GLAPS컨테이너배차관리!$CM:$CM,$B45)="","",INDEX(GLAPS컨테이너배차관리!$CM:$CM,$B45))))))))</f>
        <v/>
      </c>
    </row>
    <row r="46" spans="1:28">
      <c r="A46">
        <v>45</v>
      </c>
      <c r="B46" t="str">
        <f>IFERROR(_xlfn.AGGREGATE(15,6,ROW(GLAPS컨테이너배차관리!$X$2:$X$20000)/(GLAPS컨테이너배차관리!$X$2:$X$20000&lt;&gt;""),A46),"")</f>
        <v/>
      </c>
      <c r="C46" t="str">
        <f>IF($B46="","",INT(IF(INDEX(GLAPS컨테이너배차관리!$K:$K,$B46)="","",INDEX(GLAPS컨테이너배차관리!$K:$K,$B46))))</f>
        <v/>
      </c>
      <c r="D46" t="str">
        <f>IF($B46="","",IF(ISNUMBER(SEARCH("이엘에스",IF(INDEX(GLAPS컨테이너배차관리!$AZ:$AZ,$B46)="","",INDEX(GLAPS컨테이너배차관리!$AZ:$AZ,$B46)))),"ELS솔루션",IF(INDEX(GLAPS컨테이너배차관리!$AZ:$AZ,$B46)="","",INDEX(GLAPS컨테이너배차관리!$AZ:$AZ,$B46))))</f>
        <v/>
      </c>
      <c r="E46" t="str">
        <f>IF($B46="","",IF(INDEX(GLAPS컨테이너배차관리!$L:$L,$B46)="","",INDEX(GLAPS컨테이너배차관리!$L:$L,$B46)))</f>
        <v/>
      </c>
      <c r="F46" t="str">
        <f>IF($B46="","",IF(HOUR(IF(INDEX(GLAPS컨테이너배차관리!$L:$L,$B46)="","",INDEX(GLAPS컨테이너배차관리!$L:$L,$B46)))&lt;12,"오전",IF(HOUR(IF(INDEX(GLAPS컨테이너배차관리!$L:$L,$B46)="","",INDEX(GLAPS컨테이너배차관리!$L:$L,$B46)))&lt;18,"오후","잔업")))</f>
        <v/>
      </c>
      <c r="G46" t="str">
        <f>IF($B46="","",IFERROR(INDEX(GLAPS정리!$G$3:$G$264,MATCH(IF(INDEX(GLAPS컨테이너배차관리!$BY:$BY,$B46)="","",INDEX(GLAPS컨테이너배차관리!$BY:$BY,$B46)),GLAPS정리!$H$3:$H$264,0)),TRIM(SUBSTITUTE(SUBSTITUTE(SUBSTITUTE(SUBSTITUTE(SUBSTITUTE(IF(INDEX(GLAPS컨테이너배차관리!$T:$T,$B46)="","",INDEX(GLAPS컨테이너배차관리!$T:$T,$B46)),"[GA]",""),"[GB]",""),"[GC]",""),"[KC]",""),"[GS]",""))))</f>
        <v/>
      </c>
      <c r="H46" t="str">
        <f>IF($B46="","",IFERROR(VLOOKUP(IF(INDEX(GLAPS컨테이너배차관리!$BY:$BY,$B46)="","",INDEX(GLAPS컨테이너배차관리!$BY:$BY,$B46)),GLAPS정리!$BT$3:$BV$200,3,0),""))</f>
        <v/>
      </c>
      <c r="I46" t="str">
        <f>IF($B46="","",LEFT(IF(INDEX(GLAPS컨테이너배차관리!$U:$U,$B46)="","",INDEX(GLAPS컨테이너배차관리!$U:$U,$B46)),FIND("/",IF(INDEX(GLAPS컨테이너배차관리!$U:$U,$B46)="","",INDEX(GLAPS컨테이너배차관리!$U:$U,$B46))&amp;"/")-1))</f>
        <v/>
      </c>
      <c r="J46" t="str">
        <f>IF($B46="","",IF(IF(INDEX(GLAPS컨테이너배차관리!$O:$O,$B46)="","",INDEX(GLAPS컨테이너배차관리!$O:$O,$B46))="EMC","EMA",IFERROR(INDEX(GLAPS정리!$A$2:$A$50,MATCH(IF(INDEX(GLAPS컨테이너배차관리!$O:$O,$B46)="","",INDEX(GLAPS컨테이너배차관리!$O:$O,$B46)),GLAPS정리!$D$2:$D$50,0)),IF(INDEX(GLAPS컨테이너배차관리!$O:$O,$B46)="","",INDEX(GLAPS컨테이너배차관리!$O:$O,$B46)))))</f>
        <v/>
      </c>
      <c r="K46" t="str">
        <f>IF($B46="","",IF(LEFT(IF(INDEX(GLAPS컨테이너배차관리!$Y:$Y,$B46)="","",INDEX(GLAPS컨테이너배차관리!$Y:$Y,$B46)),2)="22","20 Feet",IF(LEFT(IF(INDEX(GLAPS컨테이너배차관리!$Y:$Y,$B46)="","",INDEX(GLAPS컨테이너배차관리!$Y:$Y,$B46)),2)="42","40 Feet","40 Feet H")))</f>
        <v/>
      </c>
      <c r="L46" t="str">
        <f>IF($B46="","",IFERROR(INDEX(GLAPS정리!$BB$2:$BB$80,MATCH(IF(INDEX(GLAPS컨테이너배차관리!$BQ:$BQ,$B46)="","",INDEX(GLAPS컨테이너배차관리!$BQ:$BQ,$B46)),GLAPS정리!$BC$2:$BC$80,0)),IF(INDEX(GLAPS컨테이너배차관리!$BQ:$BQ,$B46)="","",INDEX(GLAPS컨테이너배차관리!$BQ:$BQ,$B46))))</f>
        <v/>
      </c>
      <c r="M46" t="str">
        <f>IF($B46="","",IFERROR(INDEX(GLAPS정리!$V$3:$V$180,MATCH(IF(INDEX(GLAPS컨테이너배차관리!$S:$S,$B46)="","",INDEX(GLAPS컨테이너배차관리!$S:$S,$B46)),GLAPS정리!$W$3:$W$180,0)),IF(INDEX(GLAPS컨테이너배차관리!$S:$S,$B46)="","",INDEX(GLAPS컨테이너배차관리!$S:$S,$B46))))</f>
        <v/>
      </c>
      <c r="N46" t="str">
        <f>IF($B46="","",IF(IF(INDEX(GLAPS컨테이너배차관리!$DF:$DF,$B46)="","",INDEX(GLAPS컨테이너배차관리!$DF:$DF,$B46))&lt;&gt;"",IF(INDEX(GLAPS컨테이너배차관리!$DF:$DF,$B46)="","",INDEX(GLAPS컨테이너배차관리!$DF:$DF,$B46)),IF(IF(INDEX(GLAPS컨테이너배차관리!$DG:$DG,$B46)="","",INDEX(GLAPS컨테이너배차관리!$DG:$DG,$B46))&lt;&gt;"",IF(INDEX(GLAPS컨테이너배차관리!$DG:$DG,$B46)="","",INDEX(GLAPS컨테이너배차관리!$DG:$DG,$B46)),"")))</f>
        <v/>
      </c>
      <c r="O46" t="str">
        <f>IF($B46="","",IF(INDEX(GLAPS컨테이너배차관리!$AB:$AB,$B46)="","",INDEX(GLAPS컨테이너배차관리!$AB:$AB,$B46)))</f>
        <v/>
      </c>
      <c r="P46" t="str">
        <f>IF($B46="","",IF(IF(INDEX(GLAPS컨테이너배차관리!$CP:$CP,$B46)="","",INDEX(GLAPS컨테이너배차관리!$CP:$CP,$B46))="","",IFERROR(INDEX(GLAPS정리!$BH$2:$BH$101,MATCH(IF(INDEX(GLAPS컨테이너배차관리!$CP:$CP,$B46)="","",INDEX(GLAPS컨테이너배차관리!$CP:$CP,$B46)),GLAPS정리!$BI$2:$BI$101,0)),IF(INDEX(GLAPS컨테이너배차관리!$CP:$CP,$B46)="","",INDEX(GLAPS컨테이너배차관리!$CP:$CP,$B46)))))</f>
        <v/>
      </c>
      <c r="Q46" t="str">
        <f>IF($B46="","",IF(AND(IF(INDEX(GLAPS컨테이너배차관리!$AK:$AK,$B46)="","",INDEX(GLAPS컨테이너배차관리!$AK:$AK,$B46))="Y",IF(INDEX(GLAPS컨테이너배차관리!$AI:$AI,$B46)="","",INDEX(GLAPS컨테이너배차관리!$AI:$AI,$B46))="Y"),"위험물리퍼",IF(IF(INDEX(GLAPS컨테이너배차관리!$AK:$AK,$B46)="","",INDEX(GLAPS컨테이너배차관리!$AK:$AK,$B46))="Y","위험물",IF(IF(INDEX(GLAPS컨테이너배차관리!$AI:$AI,$B46)="","",INDEX(GLAPS컨테이너배차관리!$AI:$AI,$B46))="Y","리퍼",""))))</f>
        <v/>
      </c>
      <c r="R46" t="str">
        <f>IF($B46="","",IF(LEFT(IF(INDEX(GLAPS컨테이너배차관리!$Y:$Y,$B46)="","",INDEX(GLAPS컨테이너배차관리!$Y:$Y,$B46)),2)="22",1,""))</f>
        <v/>
      </c>
      <c r="S46" t="str">
        <f>IF($B46="","",IF(LEFT(IF(INDEX(GLAPS컨테이너배차관리!$Y:$Y,$B46)="","",INDEX(GLAPS컨테이너배차관리!$Y:$Y,$B46)),2)="42",1,""))</f>
        <v/>
      </c>
      <c r="T46" t="str">
        <f>IF($B46="","",IF(LEFT(IF(INDEX(GLAPS컨테이너배차관리!$Y:$Y,$B46)="","",INDEX(GLAPS컨테이너배차관리!$Y:$Y,$B46)),2)="45",1,""))</f>
        <v/>
      </c>
      <c r="U46" t="str">
        <f>IF($B46="","",IF(INDEX(GLAPS컨테이너배차관리!$X:$X,$B46)="","",INDEX(GLAPS컨테이너배차관리!$X:$X,$B46)))</f>
        <v/>
      </c>
      <c r="V46" t="str">
        <f>IF($B46="","",IF(INDEX(GLAPS컨테이너배차관리!$Z:$Z,$B46)="","",INDEX(GLAPS컨테이너배차관리!$Z:$Z,$B46)))</f>
        <v/>
      </c>
      <c r="W46" t="str">
        <f>IF($B46="","",IF(IF(INDEX(GLAPS컨테이너배차관리!$DI:$DI,$B46)="","",INDEX(GLAPS컨테이너배차관리!$DI:$DI,$B46))&lt;&gt;"",IF(INDEX(GLAPS컨테이너배차관리!$DI:$DI,$B46)="","",INDEX(GLAPS컨테이너배차관리!$DI:$DI,$B46)),IF(IF(INDEX(GLAPS컨테이너배차관리!$DJ:$DJ,$B46)="","",INDEX(GLAPS컨테이너배차관리!$DJ:$DJ,$B46))&lt;&gt;"",IF(INDEX(GLAPS컨테이너배차관리!$DJ:$DJ,$B46)="","",INDEX(GLAPS컨테이너배차관리!$DJ:$DJ,$B46)),IF(IF(INDEX(GLAPS컨테이너배차관리!$DK:$DK,$B46)="","",INDEX(GLAPS컨테이너배차관리!$DK:$DK,$B46))&lt;&gt;"",IF(INDEX(GLAPS컨테이너배차관리!$DK:$DK,$B46)="","",INDEX(GLAPS컨테이너배차관리!$DK:$DK,$B46)),IF(IF(INDEX(GLAPS컨테이너배차관리!$DL:$DL,$B46)="","",INDEX(GLAPS컨테이너배차관리!$DL:$DL,$B46))&lt;&gt;"",IF(INDEX(GLAPS컨테이너배차관리!$DL:$DL,$B46)="","",INDEX(GLAPS컨테이너배차관리!$DL:$DL,$B46)),IF(IF(INDEX(GLAPS컨테이너배차관리!$DM:$DM,$B46)="","",INDEX(GLAPS컨테이너배차관리!$DM:$DM,$B46))&lt;&gt;"",IF(INDEX(GLAPS컨테이너배차관리!$DM:$DM,$B46)="","",INDEX(GLAPS컨테이너배차관리!$DM:$DM,$B46)),""))))))</f>
        <v/>
      </c>
      <c r="X46" t="str">
        <f>IF($B46="","",IF(INDEX(GLAPS컨테이너배차관리!$F:$F,$B46)="","",INDEX(GLAPS컨테이너배차관리!$F:$F,$B46)))</f>
        <v/>
      </c>
      <c r="Y46" t="str">
        <f>IF($B46="","",IF(IF(INDEX(GLAPS컨테이너배차관리!$M:$M,$B46)="","",INDEX(GLAPS컨테이너배차관리!$M:$M,$B46))&lt;&gt;"",IF(INDEX(GLAPS컨테이너배차관리!$M:$M,$B46)="","",INDEX(GLAPS컨테이너배차관리!$M:$M,$B46)),IF(IF(INDEX(GLAPS컨테이너배차관리!$N:$N,$B46)="","",INDEX(GLAPS컨테이너배차관리!$N:$N,$B46))&lt;&gt;"",IF(INDEX(GLAPS컨테이너배차관리!$N:$N,$B46)="","",INDEX(GLAPS컨테이너배차관리!$N:$N,$B46)),"")))</f>
        <v/>
      </c>
      <c r="Z46" t="str">
        <f>IF($B46="","",IF(IF(INDEX(GLAPS컨테이너배차관리!$CU:$CU,$B46)="","",INDEX(GLAPS컨테이너배차관리!$CU:$CU,$B46))="","",IFERROR(INT(IF(INDEX(GLAPS컨테이너배차관리!$CU:$CU,$B46)="","",INDEX(GLAPS컨테이너배차관리!$CU:$CU,$B46))),"")))</f>
        <v/>
      </c>
      <c r="AA46" t="str">
        <f>IF($B46="","",IF(AND(IF(INDEX(GLAPS컨테이너배차관리!$CL:$CL,$B46)="","",INDEX(GLAPS컨테이너배차관리!$CL:$CL,$B46))="",IF(INDEX(GLAPS컨테이너배차관리!$CM:$CM,$B46)="","",INDEX(GLAPS컨테이너배차관리!$CM:$CM,$B46))=""),"",IF(OR(IF(INDEX(GLAPS컨테이너배차관리!$CL:$CL,$B46)="","",INDEX(GLAPS컨테이너배차관리!$CL:$CL,$B46))="B000016649",ISNUMBER(SEARCH("B015",IF(INDEX(GLAPS컨테이너배차관리!$CM:$CM,$B46)="","",INDEX(GLAPS컨테이너배차관리!$CM:$CM,$B46)))),ISNUMBER(SEARCH("세방",IF(INDEX(GLAPS컨테이너배차관리!$CM:$CM,$B46)="","",INDEX(GLAPS컨테이너배차관리!$CM:$CM,$B46)))),ISNUMBER(SEARCH("SB",IF(INDEX(GLAPS컨테이너배차관리!$CM:$CM,$B46)="","",INDEX(GLAPS컨테이너배차관리!$CM:$CM,$B46))))),"세방","")))</f>
        <v/>
      </c>
      <c r="AB46" t="str">
        <f>IF($B46="","",IF(IF(INDEX(GLAPS컨테이너배차관리!$CM:$CM,$B46)="","",INDEX(GLAPS컨테이너배차관리!$CM:$CM,$B46))="","",IF(ISNUMBER(SEARCH("이지스두동",IF(INDEX(GLAPS컨테이너배차관리!$CM:$CM,$B46)="","",INDEX(GLAPS컨테이너배차관리!$CM:$CM,$B46)))),"이지스두동",IF(ISNUMBER(SEARCH("이지스녹산",IF(INDEX(GLAPS컨테이너배차관리!$CM:$CM,$B46)="","",INDEX(GLAPS컨테이너배차관리!$CM:$CM,$B46)))),"이지스녹산",IF(ISNUMBER(SEARCH("천우",IF(INDEX(GLAPS컨테이너배차관리!$CM:$CM,$B46)="","",INDEX(GLAPS컨테이너배차관리!$CM:$CM,$B46)))),"천우",IF(OR(ISNUMBER(SEARCH("청암",IF(INDEX(GLAPS컨테이너배차관리!$CM:$CM,$B46)="","",INDEX(GLAPS컨테이너배차관리!$CM:$CM,$B46)))),ISNUMBER(SEARCH("SB청암",IF(INDEX(GLAPS컨테이너배차관리!$CM:$CM,$B46)="","",INDEX(GLAPS컨테이너배차관리!$CM:$CM,$B46))))),"청암신항",IF(INDEX(GLAPS컨테이너배차관리!$CM:$CM,$B46)="","",INDEX(GLAPS컨테이너배차관리!$CM:$CM,$B46))))))))</f>
        <v/>
      </c>
    </row>
    <row r="47" spans="1:28">
      <c r="A47">
        <v>46</v>
      </c>
      <c r="B47" t="str">
        <f>IFERROR(_xlfn.AGGREGATE(15,6,ROW(GLAPS컨테이너배차관리!$X$2:$X$20000)/(GLAPS컨테이너배차관리!$X$2:$X$20000&lt;&gt;""),A47),"")</f>
        <v/>
      </c>
      <c r="C47" t="str">
        <f>IF($B47="","",INT(IF(INDEX(GLAPS컨테이너배차관리!$K:$K,$B47)="","",INDEX(GLAPS컨테이너배차관리!$K:$K,$B47))))</f>
        <v/>
      </c>
      <c r="D47" t="str">
        <f>IF($B47="","",IF(ISNUMBER(SEARCH("이엘에스",IF(INDEX(GLAPS컨테이너배차관리!$AZ:$AZ,$B47)="","",INDEX(GLAPS컨테이너배차관리!$AZ:$AZ,$B47)))),"ELS솔루션",IF(INDEX(GLAPS컨테이너배차관리!$AZ:$AZ,$B47)="","",INDEX(GLAPS컨테이너배차관리!$AZ:$AZ,$B47))))</f>
        <v/>
      </c>
      <c r="E47" t="str">
        <f>IF($B47="","",IF(INDEX(GLAPS컨테이너배차관리!$L:$L,$B47)="","",INDEX(GLAPS컨테이너배차관리!$L:$L,$B47)))</f>
        <v/>
      </c>
      <c r="F47" t="str">
        <f>IF($B47="","",IF(HOUR(IF(INDEX(GLAPS컨테이너배차관리!$L:$L,$B47)="","",INDEX(GLAPS컨테이너배차관리!$L:$L,$B47)))&lt;12,"오전",IF(HOUR(IF(INDEX(GLAPS컨테이너배차관리!$L:$L,$B47)="","",INDEX(GLAPS컨테이너배차관리!$L:$L,$B47)))&lt;18,"오후","잔업")))</f>
        <v/>
      </c>
      <c r="G47" t="str">
        <f>IF($B47="","",IFERROR(INDEX(GLAPS정리!$G$3:$G$264,MATCH(IF(INDEX(GLAPS컨테이너배차관리!$BY:$BY,$B47)="","",INDEX(GLAPS컨테이너배차관리!$BY:$BY,$B47)),GLAPS정리!$H$3:$H$264,0)),TRIM(SUBSTITUTE(SUBSTITUTE(SUBSTITUTE(SUBSTITUTE(SUBSTITUTE(IF(INDEX(GLAPS컨테이너배차관리!$T:$T,$B47)="","",INDEX(GLAPS컨테이너배차관리!$T:$T,$B47)),"[GA]",""),"[GB]",""),"[GC]",""),"[KC]",""),"[GS]",""))))</f>
        <v/>
      </c>
      <c r="H47" t="str">
        <f>IF($B47="","",IFERROR(VLOOKUP(IF(INDEX(GLAPS컨테이너배차관리!$BY:$BY,$B47)="","",INDEX(GLAPS컨테이너배차관리!$BY:$BY,$B47)),GLAPS정리!$BT$3:$BV$200,3,0),""))</f>
        <v/>
      </c>
      <c r="I47" t="str">
        <f>IF($B47="","",LEFT(IF(INDEX(GLAPS컨테이너배차관리!$U:$U,$B47)="","",INDEX(GLAPS컨테이너배차관리!$U:$U,$B47)),FIND("/",IF(INDEX(GLAPS컨테이너배차관리!$U:$U,$B47)="","",INDEX(GLAPS컨테이너배차관리!$U:$U,$B47))&amp;"/")-1))</f>
        <v/>
      </c>
      <c r="J47" t="str">
        <f>IF($B47="","",IF(IF(INDEX(GLAPS컨테이너배차관리!$O:$O,$B47)="","",INDEX(GLAPS컨테이너배차관리!$O:$O,$B47))="EMC","EMA",IFERROR(INDEX(GLAPS정리!$A$2:$A$50,MATCH(IF(INDEX(GLAPS컨테이너배차관리!$O:$O,$B47)="","",INDEX(GLAPS컨테이너배차관리!$O:$O,$B47)),GLAPS정리!$D$2:$D$50,0)),IF(INDEX(GLAPS컨테이너배차관리!$O:$O,$B47)="","",INDEX(GLAPS컨테이너배차관리!$O:$O,$B47)))))</f>
        <v/>
      </c>
      <c r="K47" t="str">
        <f>IF($B47="","",IF(LEFT(IF(INDEX(GLAPS컨테이너배차관리!$Y:$Y,$B47)="","",INDEX(GLAPS컨테이너배차관리!$Y:$Y,$B47)),2)="22","20 Feet",IF(LEFT(IF(INDEX(GLAPS컨테이너배차관리!$Y:$Y,$B47)="","",INDEX(GLAPS컨테이너배차관리!$Y:$Y,$B47)),2)="42","40 Feet","40 Feet H")))</f>
        <v/>
      </c>
      <c r="L47" t="str">
        <f>IF($B47="","",IFERROR(INDEX(GLAPS정리!$BB$2:$BB$80,MATCH(IF(INDEX(GLAPS컨테이너배차관리!$BQ:$BQ,$B47)="","",INDEX(GLAPS컨테이너배차관리!$BQ:$BQ,$B47)),GLAPS정리!$BC$2:$BC$80,0)),IF(INDEX(GLAPS컨테이너배차관리!$BQ:$BQ,$B47)="","",INDEX(GLAPS컨테이너배차관리!$BQ:$BQ,$B47))))</f>
        <v/>
      </c>
      <c r="M47" t="str">
        <f>IF($B47="","",IFERROR(INDEX(GLAPS정리!$V$3:$V$180,MATCH(IF(INDEX(GLAPS컨테이너배차관리!$S:$S,$B47)="","",INDEX(GLAPS컨테이너배차관리!$S:$S,$B47)),GLAPS정리!$W$3:$W$180,0)),IF(INDEX(GLAPS컨테이너배차관리!$S:$S,$B47)="","",INDEX(GLAPS컨테이너배차관리!$S:$S,$B47))))</f>
        <v/>
      </c>
      <c r="N47" t="str">
        <f>IF($B47="","",IF(IF(INDEX(GLAPS컨테이너배차관리!$DF:$DF,$B47)="","",INDEX(GLAPS컨테이너배차관리!$DF:$DF,$B47))&lt;&gt;"",IF(INDEX(GLAPS컨테이너배차관리!$DF:$DF,$B47)="","",INDEX(GLAPS컨테이너배차관리!$DF:$DF,$B47)),IF(IF(INDEX(GLAPS컨테이너배차관리!$DG:$DG,$B47)="","",INDEX(GLAPS컨테이너배차관리!$DG:$DG,$B47))&lt;&gt;"",IF(INDEX(GLAPS컨테이너배차관리!$DG:$DG,$B47)="","",INDEX(GLAPS컨테이너배차관리!$DG:$DG,$B47)),"")))</f>
        <v/>
      </c>
      <c r="O47" t="str">
        <f>IF($B47="","",IF(INDEX(GLAPS컨테이너배차관리!$AB:$AB,$B47)="","",INDEX(GLAPS컨테이너배차관리!$AB:$AB,$B47)))</f>
        <v/>
      </c>
      <c r="P47" t="str">
        <f>IF($B47="","",IF(IF(INDEX(GLAPS컨테이너배차관리!$CP:$CP,$B47)="","",INDEX(GLAPS컨테이너배차관리!$CP:$CP,$B47))="","",IFERROR(INDEX(GLAPS정리!$BH$2:$BH$101,MATCH(IF(INDEX(GLAPS컨테이너배차관리!$CP:$CP,$B47)="","",INDEX(GLAPS컨테이너배차관리!$CP:$CP,$B47)),GLAPS정리!$BI$2:$BI$101,0)),IF(INDEX(GLAPS컨테이너배차관리!$CP:$CP,$B47)="","",INDEX(GLAPS컨테이너배차관리!$CP:$CP,$B47)))))</f>
        <v/>
      </c>
      <c r="Q47" t="str">
        <f>IF($B47="","",IF(AND(IF(INDEX(GLAPS컨테이너배차관리!$AK:$AK,$B47)="","",INDEX(GLAPS컨테이너배차관리!$AK:$AK,$B47))="Y",IF(INDEX(GLAPS컨테이너배차관리!$AI:$AI,$B47)="","",INDEX(GLAPS컨테이너배차관리!$AI:$AI,$B47))="Y"),"위험물리퍼",IF(IF(INDEX(GLAPS컨테이너배차관리!$AK:$AK,$B47)="","",INDEX(GLAPS컨테이너배차관리!$AK:$AK,$B47))="Y","위험물",IF(IF(INDEX(GLAPS컨테이너배차관리!$AI:$AI,$B47)="","",INDEX(GLAPS컨테이너배차관리!$AI:$AI,$B47))="Y","리퍼",""))))</f>
        <v/>
      </c>
      <c r="R47" t="str">
        <f>IF($B47="","",IF(LEFT(IF(INDEX(GLAPS컨테이너배차관리!$Y:$Y,$B47)="","",INDEX(GLAPS컨테이너배차관리!$Y:$Y,$B47)),2)="22",1,""))</f>
        <v/>
      </c>
      <c r="S47" t="str">
        <f>IF($B47="","",IF(LEFT(IF(INDEX(GLAPS컨테이너배차관리!$Y:$Y,$B47)="","",INDEX(GLAPS컨테이너배차관리!$Y:$Y,$B47)),2)="42",1,""))</f>
        <v/>
      </c>
      <c r="T47" t="str">
        <f>IF($B47="","",IF(LEFT(IF(INDEX(GLAPS컨테이너배차관리!$Y:$Y,$B47)="","",INDEX(GLAPS컨테이너배차관리!$Y:$Y,$B47)),2)="45",1,""))</f>
        <v/>
      </c>
      <c r="U47" t="str">
        <f>IF($B47="","",IF(INDEX(GLAPS컨테이너배차관리!$X:$X,$B47)="","",INDEX(GLAPS컨테이너배차관리!$X:$X,$B47)))</f>
        <v/>
      </c>
      <c r="V47" t="str">
        <f>IF($B47="","",IF(INDEX(GLAPS컨테이너배차관리!$Z:$Z,$B47)="","",INDEX(GLAPS컨테이너배차관리!$Z:$Z,$B47)))</f>
        <v/>
      </c>
      <c r="W47" t="str">
        <f>IF($B47="","",IF(IF(INDEX(GLAPS컨테이너배차관리!$DI:$DI,$B47)="","",INDEX(GLAPS컨테이너배차관리!$DI:$DI,$B47))&lt;&gt;"",IF(INDEX(GLAPS컨테이너배차관리!$DI:$DI,$B47)="","",INDEX(GLAPS컨테이너배차관리!$DI:$DI,$B47)),IF(IF(INDEX(GLAPS컨테이너배차관리!$DJ:$DJ,$B47)="","",INDEX(GLAPS컨테이너배차관리!$DJ:$DJ,$B47))&lt;&gt;"",IF(INDEX(GLAPS컨테이너배차관리!$DJ:$DJ,$B47)="","",INDEX(GLAPS컨테이너배차관리!$DJ:$DJ,$B47)),IF(IF(INDEX(GLAPS컨테이너배차관리!$DK:$DK,$B47)="","",INDEX(GLAPS컨테이너배차관리!$DK:$DK,$B47))&lt;&gt;"",IF(INDEX(GLAPS컨테이너배차관리!$DK:$DK,$B47)="","",INDEX(GLAPS컨테이너배차관리!$DK:$DK,$B47)),IF(IF(INDEX(GLAPS컨테이너배차관리!$DL:$DL,$B47)="","",INDEX(GLAPS컨테이너배차관리!$DL:$DL,$B47))&lt;&gt;"",IF(INDEX(GLAPS컨테이너배차관리!$DL:$DL,$B47)="","",INDEX(GLAPS컨테이너배차관리!$DL:$DL,$B47)),IF(IF(INDEX(GLAPS컨테이너배차관리!$DM:$DM,$B47)="","",INDEX(GLAPS컨테이너배차관리!$DM:$DM,$B47))&lt;&gt;"",IF(INDEX(GLAPS컨테이너배차관리!$DM:$DM,$B47)="","",INDEX(GLAPS컨테이너배차관리!$DM:$DM,$B47)),""))))))</f>
        <v/>
      </c>
      <c r="X47" t="str">
        <f>IF($B47="","",IF(INDEX(GLAPS컨테이너배차관리!$F:$F,$B47)="","",INDEX(GLAPS컨테이너배차관리!$F:$F,$B47)))</f>
        <v/>
      </c>
      <c r="Y47" t="str">
        <f>IF($B47="","",IF(IF(INDEX(GLAPS컨테이너배차관리!$M:$M,$B47)="","",INDEX(GLAPS컨테이너배차관리!$M:$M,$B47))&lt;&gt;"",IF(INDEX(GLAPS컨테이너배차관리!$M:$M,$B47)="","",INDEX(GLAPS컨테이너배차관리!$M:$M,$B47)),IF(IF(INDEX(GLAPS컨테이너배차관리!$N:$N,$B47)="","",INDEX(GLAPS컨테이너배차관리!$N:$N,$B47))&lt;&gt;"",IF(INDEX(GLAPS컨테이너배차관리!$N:$N,$B47)="","",INDEX(GLAPS컨테이너배차관리!$N:$N,$B47)),"")))</f>
        <v/>
      </c>
      <c r="Z47" t="str">
        <f>IF($B47="","",IF(IF(INDEX(GLAPS컨테이너배차관리!$CU:$CU,$B47)="","",INDEX(GLAPS컨테이너배차관리!$CU:$CU,$B47))="","",IFERROR(INT(IF(INDEX(GLAPS컨테이너배차관리!$CU:$CU,$B47)="","",INDEX(GLAPS컨테이너배차관리!$CU:$CU,$B47))),"")))</f>
        <v/>
      </c>
      <c r="AA47" t="str">
        <f>IF($B47="","",IF(AND(IF(INDEX(GLAPS컨테이너배차관리!$CL:$CL,$B47)="","",INDEX(GLAPS컨테이너배차관리!$CL:$CL,$B47))="",IF(INDEX(GLAPS컨테이너배차관리!$CM:$CM,$B47)="","",INDEX(GLAPS컨테이너배차관리!$CM:$CM,$B47))=""),"",IF(OR(IF(INDEX(GLAPS컨테이너배차관리!$CL:$CL,$B47)="","",INDEX(GLAPS컨테이너배차관리!$CL:$CL,$B47))="B000016649",ISNUMBER(SEARCH("B015",IF(INDEX(GLAPS컨테이너배차관리!$CM:$CM,$B47)="","",INDEX(GLAPS컨테이너배차관리!$CM:$CM,$B47)))),ISNUMBER(SEARCH("세방",IF(INDEX(GLAPS컨테이너배차관리!$CM:$CM,$B47)="","",INDEX(GLAPS컨테이너배차관리!$CM:$CM,$B47)))),ISNUMBER(SEARCH("SB",IF(INDEX(GLAPS컨테이너배차관리!$CM:$CM,$B47)="","",INDEX(GLAPS컨테이너배차관리!$CM:$CM,$B47))))),"세방","")))</f>
        <v/>
      </c>
      <c r="AB47" t="str">
        <f>IF($B47="","",IF(IF(INDEX(GLAPS컨테이너배차관리!$CM:$CM,$B47)="","",INDEX(GLAPS컨테이너배차관리!$CM:$CM,$B47))="","",IF(ISNUMBER(SEARCH("이지스두동",IF(INDEX(GLAPS컨테이너배차관리!$CM:$CM,$B47)="","",INDEX(GLAPS컨테이너배차관리!$CM:$CM,$B47)))),"이지스두동",IF(ISNUMBER(SEARCH("이지스녹산",IF(INDEX(GLAPS컨테이너배차관리!$CM:$CM,$B47)="","",INDEX(GLAPS컨테이너배차관리!$CM:$CM,$B47)))),"이지스녹산",IF(ISNUMBER(SEARCH("천우",IF(INDEX(GLAPS컨테이너배차관리!$CM:$CM,$B47)="","",INDEX(GLAPS컨테이너배차관리!$CM:$CM,$B47)))),"천우",IF(OR(ISNUMBER(SEARCH("청암",IF(INDEX(GLAPS컨테이너배차관리!$CM:$CM,$B47)="","",INDEX(GLAPS컨테이너배차관리!$CM:$CM,$B47)))),ISNUMBER(SEARCH("SB청암",IF(INDEX(GLAPS컨테이너배차관리!$CM:$CM,$B47)="","",INDEX(GLAPS컨테이너배차관리!$CM:$CM,$B47))))),"청암신항",IF(INDEX(GLAPS컨테이너배차관리!$CM:$CM,$B47)="","",INDEX(GLAPS컨테이너배차관리!$CM:$CM,$B47))))))))</f>
        <v/>
      </c>
    </row>
    <row r="48" spans="1:28">
      <c r="A48">
        <v>47</v>
      </c>
      <c r="B48" t="str">
        <f>IFERROR(_xlfn.AGGREGATE(15,6,ROW(GLAPS컨테이너배차관리!$X$2:$X$20000)/(GLAPS컨테이너배차관리!$X$2:$X$20000&lt;&gt;""),A48),"")</f>
        <v/>
      </c>
      <c r="C48" t="str">
        <f>IF($B48="","",INT(IF(INDEX(GLAPS컨테이너배차관리!$K:$K,$B48)="","",INDEX(GLAPS컨테이너배차관리!$K:$K,$B48))))</f>
        <v/>
      </c>
      <c r="D48" t="str">
        <f>IF($B48="","",IF(ISNUMBER(SEARCH("이엘에스",IF(INDEX(GLAPS컨테이너배차관리!$AZ:$AZ,$B48)="","",INDEX(GLAPS컨테이너배차관리!$AZ:$AZ,$B48)))),"ELS솔루션",IF(INDEX(GLAPS컨테이너배차관리!$AZ:$AZ,$B48)="","",INDEX(GLAPS컨테이너배차관리!$AZ:$AZ,$B48))))</f>
        <v/>
      </c>
      <c r="E48" t="str">
        <f>IF($B48="","",IF(INDEX(GLAPS컨테이너배차관리!$L:$L,$B48)="","",INDEX(GLAPS컨테이너배차관리!$L:$L,$B48)))</f>
        <v/>
      </c>
      <c r="F48" t="str">
        <f>IF($B48="","",IF(HOUR(IF(INDEX(GLAPS컨테이너배차관리!$L:$L,$B48)="","",INDEX(GLAPS컨테이너배차관리!$L:$L,$B48)))&lt;12,"오전",IF(HOUR(IF(INDEX(GLAPS컨테이너배차관리!$L:$L,$B48)="","",INDEX(GLAPS컨테이너배차관리!$L:$L,$B48)))&lt;18,"오후","잔업")))</f>
        <v/>
      </c>
      <c r="G48" t="str">
        <f>IF($B48="","",IFERROR(INDEX(GLAPS정리!$G$3:$G$264,MATCH(IF(INDEX(GLAPS컨테이너배차관리!$BY:$BY,$B48)="","",INDEX(GLAPS컨테이너배차관리!$BY:$BY,$B48)),GLAPS정리!$H$3:$H$264,0)),TRIM(SUBSTITUTE(SUBSTITUTE(SUBSTITUTE(SUBSTITUTE(SUBSTITUTE(IF(INDEX(GLAPS컨테이너배차관리!$T:$T,$B48)="","",INDEX(GLAPS컨테이너배차관리!$T:$T,$B48)),"[GA]",""),"[GB]",""),"[GC]",""),"[KC]",""),"[GS]",""))))</f>
        <v/>
      </c>
      <c r="H48" t="str">
        <f>IF($B48="","",IFERROR(VLOOKUP(IF(INDEX(GLAPS컨테이너배차관리!$BY:$BY,$B48)="","",INDEX(GLAPS컨테이너배차관리!$BY:$BY,$B48)),GLAPS정리!$BT$3:$BV$200,3,0),""))</f>
        <v/>
      </c>
      <c r="I48" t="str">
        <f>IF($B48="","",LEFT(IF(INDEX(GLAPS컨테이너배차관리!$U:$U,$B48)="","",INDEX(GLAPS컨테이너배차관리!$U:$U,$B48)),FIND("/",IF(INDEX(GLAPS컨테이너배차관리!$U:$U,$B48)="","",INDEX(GLAPS컨테이너배차관리!$U:$U,$B48))&amp;"/")-1))</f>
        <v/>
      </c>
      <c r="J48" t="str">
        <f>IF($B48="","",IF(IF(INDEX(GLAPS컨테이너배차관리!$O:$O,$B48)="","",INDEX(GLAPS컨테이너배차관리!$O:$O,$B48))="EMC","EMA",IFERROR(INDEX(GLAPS정리!$A$2:$A$50,MATCH(IF(INDEX(GLAPS컨테이너배차관리!$O:$O,$B48)="","",INDEX(GLAPS컨테이너배차관리!$O:$O,$B48)),GLAPS정리!$D$2:$D$50,0)),IF(INDEX(GLAPS컨테이너배차관리!$O:$O,$B48)="","",INDEX(GLAPS컨테이너배차관리!$O:$O,$B48)))))</f>
        <v/>
      </c>
      <c r="K48" t="str">
        <f>IF($B48="","",IF(LEFT(IF(INDEX(GLAPS컨테이너배차관리!$Y:$Y,$B48)="","",INDEX(GLAPS컨테이너배차관리!$Y:$Y,$B48)),2)="22","20 Feet",IF(LEFT(IF(INDEX(GLAPS컨테이너배차관리!$Y:$Y,$B48)="","",INDEX(GLAPS컨테이너배차관리!$Y:$Y,$B48)),2)="42","40 Feet","40 Feet H")))</f>
        <v/>
      </c>
      <c r="L48" t="str">
        <f>IF($B48="","",IFERROR(INDEX(GLAPS정리!$BB$2:$BB$80,MATCH(IF(INDEX(GLAPS컨테이너배차관리!$BQ:$BQ,$B48)="","",INDEX(GLAPS컨테이너배차관리!$BQ:$BQ,$B48)),GLAPS정리!$BC$2:$BC$80,0)),IF(INDEX(GLAPS컨테이너배차관리!$BQ:$BQ,$B48)="","",INDEX(GLAPS컨테이너배차관리!$BQ:$BQ,$B48))))</f>
        <v/>
      </c>
      <c r="M48" t="str">
        <f>IF($B48="","",IFERROR(INDEX(GLAPS정리!$V$3:$V$180,MATCH(IF(INDEX(GLAPS컨테이너배차관리!$S:$S,$B48)="","",INDEX(GLAPS컨테이너배차관리!$S:$S,$B48)),GLAPS정리!$W$3:$W$180,0)),IF(INDEX(GLAPS컨테이너배차관리!$S:$S,$B48)="","",INDEX(GLAPS컨테이너배차관리!$S:$S,$B48))))</f>
        <v/>
      </c>
      <c r="N48" t="str">
        <f>IF($B48="","",IF(IF(INDEX(GLAPS컨테이너배차관리!$DF:$DF,$B48)="","",INDEX(GLAPS컨테이너배차관리!$DF:$DF,$B48))&lt;&gt;"",IF(INDEX(GLAPS컨테이너배차관리!$DF:$DF,$B48)="","",INDEX(GLAPS컨테이너배차관리!$DF:$DF,$B48)),IF(IF(INDEX(GLAPS컨테이너배차관리!$DG:$DG,$B48)="","",INDEX(GLAPS컨테이너배차관리!$DG:$DG,$B48))&lt;&gt;"",IF(INDEX(GLAPS컨테이너배차관리!$DG:$DG,$B48)="","",INDEX(GLAPS컨테이너배차관리!$DG:$DG,$B48)),"")))</f>
        <v/>
      </c>
      <c r="O48" t="str">
        <f>IF($B48="","",IF(INDEX(GLAPS컨테이너배차관리!$AB:$AB,$B48)="","",INDEX(GLAPS컨테이너배차관리!$AB:$AB,$B48)))</f>
        <v/>
      </c>
      <c r="P48" t="str">
        <f>IF($B48="","",IF(IF(INDEX(GLAPS컨테이너배차관리!$CP:$CP,$B48)="","",INDEX(GLAPS컨테이너배차관리!$CP:$CP,$B48))="","",IFERROR(INDEX(GLAPS정리!$BH$2:$BH$101,MATCH(IF(INDEX(GLAPS컨테이너배차관리!$CP:$CP,$B48)="","",INDEX(GLAPS컨테이너배차관리!$CP:$CP,$B48)),GLAPS정리!$BI$2:$BI$101,0)),IF(INDEX(GLAPS컨테이너배차관리!$CP:$CP,$B48)="","",INDEX(GLAPS컨테이너배차관리!$CP:$CP,$B48)))))</f>
        <v/>
      </c>
      <c r="Q48" t="str">
        <f>IF($B48="","",IF(AND(IF(INDEX(GLAPS컨테이너배차관리!$AK:$AK,$B48)="","",INDEX(GLAPS컨테이너배차관리!$AK:$AK,$B48))="Y",IF(INDEX(GLAPS컨테이너배차관리!$AI:$AI,$B48)="","",INDEX(GLAPS컨테이너배차관리!$AI:$AI,$B48))="Y"),"위험물리퍼",IF(IF(INDEX(GLAPS컨테이너배차관리!$AK:$AK,$B48)="","",INDEX(GLAPS컨테이너배차관리!$AK:$AK,$B48))="Y","위험물",IF(IF(INDEX(GLAPS컨테이너배차관리!$AI:$AI,$B48)="","",INDEX(GLAPS컨테이너배차관리!$AI:$AI,$B48))="Y","리퍼",""))))</f>
        <v/>
      </c>
      <c r="R48" t="str">
        <f>IF($B48="","",IF(LEFT(IF(INDEX(GLAPS컨테이너배차관리!$Y:$Y,$B48)="","",INDEX(GLAPS컨테이너배차관리!$Y:$Y,$B48)),2)="22",1,""))</f>
        <v/>
      </c>
      <c r="S48" t="str">
        <f>IF($B48="","",IF(LEFT(IF(INDEX(GLAPS컨테이너배차관리!$Y:$Y,$B48)="","",INDEX(GLAPS컨테이너배차관리!$Y:$Y,$B48)),2)="42",1,""))</f>
        <v/>
      </c>
      <c r="T48" t="str">
        <f>IF($B48="","",IF(LEFT(IF(INDEX(GLAPS컨테이너배차관리!$Y:$Y,$B48)="","",INDEX(GLAPS컨테이너배차관리!$Y:$Y,$B48)),2)="45",1,""))</f>
        <v/>
      </c>
      <c r="U48" t="str">
        <f>IF($B48="","",IF(INDEX(GLAPS컨테이너배차관리!$X:$X,$B48)="","",INDEX(GLAPS컨테이너배차관리!$X:$X,$B48)))</f>
        <v/>
      </c>
      <c r="V48" t="str">
        <f>IF($B48="","",IF(INDEX(GLAPS컨테이너배차관리!$Z:$Z,$B48)="","",INDEX(GLAPS컨테이너배차관리!$Z:$Z,$B48)))</f>
        <v/>
      </c>
      <c r="W48" t="str">
        <f>IF($B48="","",IF(IF(INDEX(GLAPS컨테이너배차관리!$DI:$DI,$B48)="","",INDEX(GLAPS컨테이너배차관리!$DI:$DI,$B48))&lt;&gt;"",IF(INDEX(GLAPS컨테이너배차관리!$DI:$DI,$B48)="","",INDEX(GLAPS컨테이너배차관리!$DI:$DI,$B48)),IF(IF(INDEX(GLAPS컨테이너배차관리!$DJ:$DJ,$B48)="","",INDEX(GLAPS컨테이너배차관리!$DJ:$DJ,$B48))&lt;&gt;"",IF(INDEX(GLAPS컨테이너배차관리!$DJ:$DJ,$B48)="","",INDEX(GLAPS컨테이너배차관리!$DJ:$DJ,$B48)),IF(IF(INDEX(GLAPS컨테이너배차관리!$DK:$DK,$B48)="","",INDEX(GLAPS컨테이너배차관리!$DK:$DK,$B48))&lt;&gt;"",IF(INDEX(GLAPS컨테이너배차관리!$DK:$DK,$B48)="","",INDEX(GLAPS컨테이너배차관리!$DK:$DK,$B48)),IF(IF(INDEX(GLAPS컨테이너배차관리!$DL:$DL,$B48)="","",INDEX(GLAPS컨테이너배차관리!$DL:$DL,$B48))&lt;&gt;"",IF(INDEX(GLAPS컨테이너배차관리!$DL:$DL,$B48)="","",INDEX(GLAPS컨테이너배차관리!$DL:$DL,$B48)),IF(IF(INDEX(GLAPS컨테이너배차관리!$DM:$DM,$B48)="","",INDEX(GLAPS컨테이너배차관리!$DM:$DM,$B48))&lt;&gt;"",IF(INDEX(GLAPS컨테이너배차관리!$DM:$DM,$B48)="","",INDEX(GLAPS컨테이너배차관리!$DM:$DM,$B48)),""))))))</f>
        <v/>
      </c>
      <c r="X48" t="str">
        <f>IF($B48="","",IF(INDEX(GLAPS컨테이너배차관리!$F:$F,$B48)="","",INDEX(GLAPS컨테이너배차관리!$F:$F,$B48)))</f>
        <v/>
      </c>
      <c r="Y48" t="str">
        <f>IF($B48="","",IF(IF(INDEX(GLAPS컨테이너배차관리!$M:$M,$B48)="","",INDEX(GLAPS컨테이너배차관리!$M:$M,$B48))&lt;&gt;"",IF(INDEX(GLAPS컨테이너배차관리!$M:$M,$B48)="","",INDEX(GLAPS컨테이너배차관리!$M:$M,$B48)),IF(IF(INDEX(GLAPS컨테이너배차관리!$N:$N,$B48)="","",INDEX(GLAPS컨테이너배차관리!$N:$N,$B48))&lt;&gt;"",IF(INDEX(GLAPS컨테이너배차관리!$N:$N,$B48)="","",INDEX(GLAPS컨테이너배차관리!$N:$N,$B48)),"")))</f>
        <v/>
      </c>
      <c r="Z48" t="str">
        <f>IF($B48="","",IF(IF(INDEX(GLAPS컨테이너배차관리!$CU:$CU,$B48)="","",INDEX(GLAPS컨테이너배차관리!$CU:$CU,$B48))="","",IFERROR(INT(IF(INDEX(GLAPS컨테이너배차관리!$CU:$CU,$B48)="","",INDEX(GLAPS컨테이너배차관리!$CU:$CU,$B48))),"")))</f>
        <v/>
      </c>
      <c r="AA48" t="str">
        <f>IF($B48="","",IF(AND(IF(INDEX(GLAPS컨테이너배차관리!$CL:$CL,$B48)="","",INDEX(GLAPS컨테이너배차관리!$CL:$CL,$B48))="",IF(INDEX(GLAPS컨테이너배차관리!$CM:$CM,$B48)="","",INDEX(GLAPS컨테이너배차관리!$CM:$CM,$B48))=""),"",IF(OR(IF(INDEX(GLAPS컨테이너배차관리!$CL:$CL,$B48)="","",INDEX(GLAPS컨테이너배차관리!$CL:$CL,$B48))="B000016649",ISNUMBER(SEARCH("B015",IF(INDEX(GLAPS컨테이너배차관리!$CM:$CM,$B48)="","",INDEX(GLAPS컨테이너배차관리!$CM:$CM,$B48)))),ISNUMBER(SEARCH("세방",IF(INDEX(GLAPS컨테이너배차관리!$CM:$CM,$B48)="","",INDEX(GLAPS컨테이너배차관리!$CM:$CM,$B48)))),ISNUMBER(SEARCH("SB",IF(INDEX(GLAPS컨테이너배차관리!$CM:$CM,$B48)="","",INDEX(GLAPS컨테이너배차관리!$CM:$CM,$B48))))),"세방","")))</f>
        <v/>
      </c>
      <c r="AB48" t="str">
        <f>IF($B48="","",IF(IF(INDEX(GLAPS컨테이너배차관리!$CM:$CM,$B48)="","",INDEX(GLAPS컨테이너배차관리!$CM:$CM,$B48))="","",IF(ISNUMBER(SEARCH("이지스두동",IF(INDEX(GLAPS컨테이너배차관리!$CM:$CM,$B48)="","",INDEX(GLAPS컨테이너배차관리!$CM:$CM,$B48)))),"이지스두동",IF(ISNUMBER(SEARCH("이지스녹산",IF(INDEX(GLAPS컨테이너배차관리!$CM:$CM,$B48)="","",INDEX(GLAPS컨테이너배차관리!$CM:$CM,$B48)))),"이지스녹산",IF(ISNUMBER(SEARCH("천우",IF(INDEX(GLAPS컨테이너배차관리!$CM:$CM,$B48)="","",INDEX(GLAPS컨테이너배차관리!$CM:$CM,$B48)))),"천우",IF(OR(ISNUMBER(SEARCH("청암",IF(INDEX(GLAPS컨테이너배차관리!$CM:$CM,$B48)="","",INDEX(GLAPS컨테이너배차관리!$CM:$CM,$B48)))),ISNUMBER(SEARCH("SB청암",IF(INDEX(GLAPS컨테이너배차관리!$CM:$CM,$B48)="","",INDEX(GLAPS컨테이너배차관리!$CM:$CM,$B48))))),"청암신항",IF(INDEX(GLAPS컨테이너배차관리!$CM:$CM,$B48)="","",INDEX(GLAPS컨테이너배차관리!$CM:$CM,$B48))))))))</f>
        <v/>
      </c>
    </row>
    <row r="49" spans="1:28">
      <c r="A49">
        <v>48</v>
      </c>
      <c r="B49" t="str">
        <f>IFERROR(_xlfn.AGGREGATE(15,6,ROW(GLAPS컨테이너배차관리!$X$2:$X$20000)/(GLAPS컨테이너배차관리!$X$2:$X$20000&lt;&gt;""),A49),"")</f>
        <v/>
      </c>
      <c r="C49" t="str">
        <f>IF($B49="","",INT(IF(INDEX(GLAPS컨테이너배차관리!$K:$K,$B49)="","",INDEX(GLAPS컨테이너배차관리!$K:$K,$B49))))</f>
        <v/>
      </c>
      <c r="D49" t="str">
        <f>IF($B49="","",IF(ISNUMBER(SEARCH("이엘에스",IF(INDEX(GLAPS컨테이너배차관리!$AZ:$AZ,$B49)="","",INDEX(GLAPS컨테이너배차관리!$AZ:$AZ,$B49)))),"ELS솔루션",IF(INDEX(GLAPS컨테이너배차관리!$AZ:$AZ,$B49)="","",INDEX(GLAPS컨테이너배차관리!$AZ:$AZ,$B49))))</f>
        <v/>
      </c>
      <c r="E49" t="str">
        <f>IF($B49="","",IF(INDEX(GLAPS컨테이너배차관리!$L:$L,$B49)="","",INDEX(GLAPS컨테이너배차관리!$L:$L,$B49)))</f>
        <v/>
      </c>
      <c r="F49" t="str">
        <f>IF($B49="","",IF(HOUR(IF(INDEX(GLAPS컨테이너배차관리!$L:$L,$B49)="","",INDEX(GLAPS컨테이너배차관리!$L:$L,$B49)))&lt;12,"오전",IF(HOUR(IF(INDEX(GLAPS컨테이너배차관리!$L:$L,$B49)="","",INDEX(GLAPS컨테이너배차관리!$L:$L,$B49)))&lt;18,"오후","잔업")))</f>
        <v/>
      </c>
      <c r="G49" t="str">
        <f>IF($B49="","",IFERROR(INDEX(GLAPS정리!$G$3:$G$264,MATCH(IF(INDEX(GLAPS컨테이너배차관리!$BY:$BY,$B49)="","",INDEX(GLAPS컨테이너배차관리!$BY:$BY,$B49)),GLAPS정리!$H$3:$H$264,0)),TRIM(SUBSTITUTE(SUBSTITUTE(SUBSTITUTE(SUBSTITUTE(SUBSTITUTE(IF(INDEX(GLAPS컨테이너배차관리!$T:$T,$B49)="","",INDEX(GLAPS컨테이너배차관리!$T:$T,$B49)),"[GA]",""),"[GB]",""),"[GC]",""),"[KC]",""),"[GS]",""))))</f>
        <v/>
      </c>
      <c r="H49" t="str">
        <f>IF($B49="","",IFERROR(VLOOKUP(IF(INDEX(GLAPS컨테이너배차관리!$BY:$BY,$B49)="","",INDEX(GLAPS컨테이너배차관리!$BY:$BY,$B49)),GLAPS정리!$BT$3:$BV$200,3,0),""))</f>
        <v/>
      </c>
      <c r="I49" t="str">
        <f>IF($B49="","",LEFT(IF(INDEX(GLAPS컨테이너배차관리!$U:$U,$B49)="","",INDEX(GLAPS컨테이너배차관리!$U:$U,$B49)),FIND("/",IF(INDEX(GLAPS컨테이너배차관리!$U:$U,$B49)="","",INDEX(GLAPS컨테이너배차관리!$U:$U,$B49))&amp;"/")-1))</f>
        <v/>
      </c>
      <c r="J49" t="str">
        <f>IF($B49="","",IF(IF(INDEX(GLAPS컨테이너배차관리!$O:$O,$B49)="","",INDEX(GLAPS컨테이너배차관리!$O:$O,$B49))="EMC","EMA",IFERROR(INDEX(GLAPS정리!$A$2:$A$50,MATCH(IF(INDEX(GLAPS컨테이너배차관리!$O:$O,$B49)="","",INDEX(GLAPS컨테이너배차관리!$O:$O,$B49)),GLAPS정리!$D$2:$D$50,0)),IF(INDEX(GLAPS컨테이너배차관리!$O:$O,$B49)="","",INDEX(GLAPS컨테이너배차관리!$O:$O,$B49)))))</f>
        <v/>
      </c>
      <c r="K49" t="str">
        <f>IF($B49="","",IF(LEFT(IF(INDEX(GLAPS컨테이너배차관리!$Y:$Y,$B49)="","",INDEX(GLAPS컨테이너배차관리!$Y:$Y,$B49)),2)="22","20 Feet",IF(LEFT(IF(INDEX(GLAPS컨테이너배차관리!$Y:$Y,$B49)="","",INDEX(GLAPS컨테이너배차관리!$Y:$Y,$B49)),2)="42","40 Feet","40 Feet H")))</f>
        <v/>
      </c>
      <c r="L49" t="str">
        <f>IF($B49="","",IFERROR(INDEX(GLAPS정리!$BB$2:$BB$80,MATCH(IF(INDEX(GLAPS컨테이너배차관리!$BQ:$BQ,$B49)="","",INDEX(GLAPS컨테이너배차관리!$BQ:$BQ,$B49)),GLAPS정리!$BC$2:$BC$80,0)),IF(INDEX(GLAPS컨테이너배차관리!$BQ:$BQ,$B49)="","",INDEX(GLAPS컨테이너배차관리!$BQ:$BQ,$B49))))</f>
        <v/>
      </c>
      <c r="M49" t="str">
        <f>IF($B49="","",IFERROR(INDEX(GLAPS정리!$V$3:$V$180,MATCH(IF(INDEX(GLAPS컨테이너배차관리!$S:$S,$B49)="","",INDEX(GLAPS컨테이너배차관리!$S:$S,$B49)),GLAPS정리!$W$3:$W$180,0)),IF(INDEX(GLAPS컨테이너배차관리!$S:$S,$B49)="","",INDEX(GLAPS컨테이너배차관리!$S:$S,$B49))))</f>
        <v/>
      </c>
      <c r="N49" t="str">
        <f>IF($B49="","",IF(IF(INDEX(GLAPS컨테이너배차관리!$DF:$DF,$B49)="","",INDEX(GLAPS컨테이너배차관리!$DF:$DF,$B49))&lt;&gt;"",IF(INDEX(GLAPS컨테이너배차관리!$DF:$DF,$B49)="","",INDEX(GLAPS컨테이너배차관리!$DF:$DF,$B49)),IF(IF(INDEX(GLAPS컨테이너배차관리!$DG:$DG,$B49)="","",INDEX(GLAPS컨테이너배차관리!$DG:$DG,$B49))&lt;&gt;"",IF(INDEX(GLAPS컨테이너배차관리!$DG:$DG,$B49)="","",INDEX(GLAPS컨테이너배차관리!$DG:$DG,$B49)),"")))</f>
        <v/>
      </c>
      <c r="O49" t="str">
        <f>IF($B49="","",IF(INDEX(GLAPS컨테이너배차관리!$AB:$AB,$B49)="","",INDEX(GLAPS컨테이너배차관리!$AB:$AB,$B49)))</f>
        <v/>
      </c>
      <c r="P49" t="str">
        <f>IF($B49="","",IF(IF(INDEX(GLAPS컨테이너배차관리!$CP:$CP,$B49)="","",INDEX(GLAPS컨테이너배차관리!$CP:$CP,$B49))="","",IFERROR(INDEX(GLAPS정리!$BH$2:$BH$101,MATCH(IF(INDEX(GLAPS컨테이너배차관리!$CP:$CP,$B49)="","",INDEX(GLAPS컨테이너배차관리!$CP:$CP,$B49)),GLAPS정리!$BI$2:$BI$101,0)),IF(INDEX(GLAPS컨테이너배차관리!$CP:$CP,$B49)="","",INDEX(GLAPS컨테이너배차관리!$CP:$CP,$B49)))))</f>
        <v/>
      </c>
      <c r="Q49" t="str">
        <f>IF($B49="","",IF(AND(IF(INDEX(GLAPS컨테이너배차관리!$AK:$AK,$B49)="","",INDEX(GLAPS컨테이너배차관리!$AK:$AK,$B49))="Y",IF(INDEX(GLAPS컨테이너배차관리!$AI:$AI,$B49)="","",INDEX(GLAPS컨테이너배차관리!$AI:$AI,$B49))="Y"),"위험물리퍼",IF(IF(INDEX(GLAPS컨테이너배차관리!$AK:$AK,$B49)="","",INDEX(GLAPS컨테이너배차관리!$AK:$AK,$B49))="Y","위험물",IF(IF(INDEX(GLAPS컨테이너배차관리!$AI:$AI,$B49)="","",INDEX(GLAPS컨테이너배차관리!$AI:$AI,$B49))="Y","리퍼",""))))</f>
        <v/>
      </c>
      <c r="R49" t="str">
        <f>IF($B49="","",IF(LEFT(IF(INDEX(GLAPS컨테이너배차관리!$Y:$Y,$B49)="","",INDEX(GLAPS컨테이너배차관리!$Y:$Y,$B49)),2)="22",1,""))</f>
        <v/>
      </c>
      <c r="S49" t="str">
        <f>IF($B49="","",IF(LEFT(IF(INDEX(GLAPS컨테이너배차관리!$Y:$Y,$B49)="","",INDEX(GLAPS컨테이너배차관리!$Y:$Y,$B49)),2)="42",1,""))</f>
        <v/>
      </c>
      <c r="T49" t="str">
        <f>IF($B49="","",IF(LEFT(IF(INDEX(GLAPS컨테이너배차관리!$Y:$Y,$B49)="","",INDEX(GLAPS컨테이너배차관리!$Y:$Y,$B49)),2)="45",1,""))</f>
        <v/>
      </c>
      <c r="U49" t="str">
        <f>IF($B49="","",IF(INDEX(GLAPS컨테이너배차관리!$X:$X,$B49)="","",INDEX(GLAPS컨테이너배차관리!$X:$X,$B49)))</f>
        <v/>
      </c>
      <c r="V49" t="str">
        <f>IF($B49="","",IF(INDEX(GLAPS컨테이너배차관리!$Z:$Z,$B49)="","",INDEX(GLAPS컨테이너배차관리!$Z:$Z,$B49)))</f>
        <v/>
      </c>
      <c r="W49" t="str">
        <f>IF($B49="","",IF(IF(INDEX(GLAPS컨테이너배차관리!$DI:$DI,$B49)="","",INDEX(GLAPS컨테이너배차관리!$DI:$DI,$B49))&lt;&gt;"",IF(INDEX(GLAPS컨테이너배차관리!$DI:$DI,$B49)="","",INDEX(GLAPS컨테이너배차관리!$DI:$DI,$B49)),IF(IF(INDEX(GLAPS컨테이너배차관리!$DJ:$DJ,$B49)="","",INDEX(GLAPS컨테이너배차관리!$DJ:$DJ,$B49))&lt;&gt;"",IF(INDEX(GLAPS컨테이너배차관리!$DJ:$DJ,$B49)="","",INDEX(GLAPS컨테이너배차관리!$DJ:$DJ,$B49)),IF(IF(INDEX(GLAPS컨테이너배차관리!$DK:$DK,$B49)="","",INDEX(GLAPS컨테이너배차관리!$DK:$DK,$B49))&lt;&gt;"",IF(INDEX(GLAPS컨테이너배차관리!$DK:$DK,$B49)="","",INDEX(GLAPS컨테이너배차관리!$DK:$DK,$B49)),IF(IF(INDEX(GLAPS컨테이너배차관리!$DL:$DL,$B49)="","",INDEX(GLAPS컨테이너배차관리!$DL:$DL,$B49))&lt;&gt;"",IF(INDEX(GLAPS컨테이너배차관리!$DL:$DL,$B49)="","",INDEX(GLAPS컨테이너배차관리!$DL:$DL,$B49)),IF(IF(INDEX(GLAPS컨테이너배차관리!$DM:$DM,$B49)="","",INDEX(GLAPS컨테이너배차관리!$DM:$DM,$B49))&lt;&gt;"",IF(INDEX(GLAPS컨테이너배차관리!$DM:$DM,$B49)="","",INDEX(GLAPS컨테이너배차관리!$DM:$DM,$B49)),""))))))</f>
        <v/>
      </c>
      <c r="X49" t="str">
        <f>IF($B49="","",IF(INDEX(GLAPS컨테이너배차관리!$F:$F,$B49)="","",INDEX(GLAPS컨테이너배차관리!$F:$F,$B49)))</f>
        <v/>
      </c>
      <c r="Y49" t="str">
        <f>IF($B49="","",IF(IF(INDEX(GLAPS컨테이너배차관리!$M:$M,$B49)="","",INDEX(GLAPS컨테이너배차관리!$M:$M,$B49))&lt;&gt;"",IF(INDEX(GLAPS컨테이너배차관리!$M:$M,$B49)="","",INDEX(GLAPS컨테이너배차관리!$M:$M,$B49)),IF(IF(INDEX(GLAPS컨테이너배차관리!$N:$N,$B49)="","",INDEX(GLAPS컨테이너배차관리!$N:$N,$B49))&lt;&gt;"",IF(INDEX(GLAPS컨테이너배차관리!$N:$N,$B49)="","",INDEX(GLAPS컨테이너배차관리!$N:$N,$B49)),"")))</f>
        <v/>
      </c>
      <c r="Z49" t="str">
        <f>IF($B49="","",IF(IF(INDEX(GLAPS컨테이너배차관리!$CU:$CU,$B49)="","",INDEX(GLAPS컨테이너배차관리!$CU:$CU,$B49))="","",IFERROR(INT(IF(INDEX(GLAPS컨테이너배차관리!$CU:$CU,$B49)="","",INDEX(GLAPS컨테이너배차관리!$CU:$CU,$B49))),"")))</f>
        <v/>
      </c>
      <c r="AA49" t="str">
        <f>IF($B49="","",IF(AND(IF(INDEX(GLAPS컨테이너배차관리!$CL:$CL,$B49)="","",INDEX(GLAPS컨테이너배차관리!$CL:$CL,$B49))="",IF(INDEX(GLAPS컨테이너배차관리!$CM:$CM,$B49)="","",INDEX(GLAPS컨테이너배차관리!$CM:$CM,$B49))=""),"",IF(OR(IF(INDEX(GLAPS컨테이너배차관리!$CL:$CL,$B49)="","",INDEX(GLAPS컨테이너배차관리!$CL:$CL,$B49))="B000016649",ISNUMBER(SEARCH("B015",IF(INDEX(GLAPS컨테이너배차관리!$CM:$CM,$B49)="","",INDEX(GLAPS컨테이너배차관리!$CM:$CM,$B49)))),ISNUMBER(SEARCH("세방",IF(INDEX(GLAPS컨테이너배차관리!$CM:$CM,$B49)="","",INDEX(GLAPS컨테이너배차관리!$CM:$CM,$B49)))),ISNUMBER(SEARCH("SB",IF(INDEX(GLAPS컨테이너배차관리!$CM:$CM,$B49)="","",INDEX(GLAPS컨테이너배차관리!$CM:$CM,$B49))))),"세방","")))</f>
        <v/>
      </c>
      <c r="AB49" t="str">
        <f>IF($B49="","",IF(IF(INDEX(GLAPS컨테이너배차관리!$CM:$CM,$B49)="","",INDEX(GLAPS컨테이너배차관리!$CM:$CM,$B49))="","",IF(ISNUMBER(SEARCH("이지스두동",IF(INDEX(GLAPS컨테이너배차관리!$CM:$CM,$B49)="","",INDEX(GLAPS컨테이너배차관리!$CM:$CM,$B49)))),"이지스두동",IF(ISNUMBER(SEARCH("이지스녹산",IF(INDEX(GLAPS컨테이너배차관리!$CM:$CM,$B49)="","",INDEX(GLAPS컨테이너배차관리!$CM:$CM,$B49)))),"이지스녹산",IF(ISNUMBER(SEARCH("천우",IF(INDEX(GLAPS컨테이너배차관리!$CM:$CM,$B49)="","",INDEX(GLAPS컨테이너배차관리!$CM:$CM,$B49)))),"천우",IF(OR(ISNUMBER(SEARCH("청암",IF(INDEX(GLAPS컨테이너배차관리!$CM:$CM,$B49)="","",INDEX(GLAPS컨테이너배차관리!$CM:$CM,$B49)))),ISNUMBER(SEARCH("SB청암",IF(INDEX(GLAPS컨테이너배차관리!$CM:$CM,$B49)="","",INDEX(GLAPS컨테이너배차관리!$CM:$CM,$B49))))),"청암신항",IF(INDEX(GLAPS컨테이너배차관리!$CM:$CM,$B49)="","",INDEX(GLAPS컨테이너배차관리!$CM:$CM,$B49))))))))</f>
        <v/>
      </c>
    </row>
    <row r="50" spans="1:28">
      <c r="A50">
        <v>49</v>
      </c>
      <c r="B50" t="str">
        <f>IFERROR(_xlfn.AGGREGATE(15,6,ROW(GLAPS컨테이너배차관리!$X$2:$X$20000)/(GLAPS컨테이너배차관리!$X$2:$X$20000&lt;&gt;""),A50),"")</f>
        <v/>
      </c>
      <c r="C50" t="str">
        <f>IF($B50="","",INT(IF(INDEX(GLAPS컨테이너배차관리!$K:$K,$B50)="","",INDEX(GLAPS컨테이너배차관리!$K:$K,$B50))))</f>
        <v/>
      </c>
      <c r="D50" t="str">
        <f>IF($B50="","",IF(ISNUMBER(SEARCH("이엘에스",IF(INDEX(GLAPS컨테이너배차관리!$AZ:$AZ,$B50)="","",INDEX(GLAPS컨테이너배차관리!$AZ:$AZ,$B50)))),"ELS솔루션",IF(INDEX(GLAPS컨테이너배차관리!$AZ:$AZ,$B50)="","",INDEX(GLAPS컨테이너배차관리!$AZ:$AZ,$B50))))</f>
        <v/>
      </c>
      <c r="E50" t="str">
        <f>IF($B50="","",IF(INDEX(GLAPS컨테이너배차관리!$L:$L,$B50)="","",INDEX(GLAPS컨테이너배차관리!$L:$L,$B50)))</f>
        <v/>
      </c>
      <c r="F50" t="str">
        <f>IF($B50="","",IF(HOUR(IF(INDEX(GLAPS컨테이너배차관리!$L:$L,$B50)="","",INDEX(GLAPS컨테이너배차관리!$L:$L,$B50)))&lt;12,"오전",IF(HOUR(IF(INDEX(GLAPS컨테이너배차관리!$L:$L,$B50)="","",INDEX(GLAPS컨테이너배차관리!$L:$L,$B50)))&lt;18,"오후","잔업")))</f>
        <v/>
      </c>
      <c r="G50" t="str">
        <f>IF($B50="","",IFERROR(INDEX(GLAPS정리!$G$3:$G$264,MATCH(IF(INDEX(GLAPS컨테이너배차관리!$BY:$BY,$B50)="","",INDEX(GLAPS컨테이너배차관리!$BY:$BY,$B50)),GLAPS정리!$H$3:$H$264,0)),TRIM(SUBSTITUTE(SUBSTITUTE(SUBSTITUTE(SUBSTITUTE(SUBSTITUTE(IF(INDEX(GLAPS컨테이너배차관리!$T:$T,$B50)="","",INDEX(GLAPS컨테이너배차관리!$T:$T,$B50)),"[GA]",""),"[GB]",""),"[GC]",""),"[KC]",""),"[GS]",""))))</f>
        <v/>
      </c>
      <c r="H50" t="str">
        <f>IF($B50="","",IFERROR(VLOOKUP(IF(INDEX(GLAPS컨테이너배차관리!$BY:$BY,$B50)="","",INDEX(GLAPS컨테이너배차관리!$BY:$BY,$B50)),GLAPS정리!$BT$3:$BV$200,3,0),""))</f>
        <v/>
      </c>
      <c r="I50" t="str">
        <f>IF($B50="","",LEFT(IF(INDEX(GLAPS컨테이너배차관리!$U:$U,$B50)="","",INDEX(GLAPS컨테이너배차관리!$U:$U,$B50)),FIND("/",IF(INDEX(GLAPS컨테이너배차관리!$U:$U,$B50)="","",INDEX(GLAPS컨테이너배차관리!$U:$U,$B50))&amp;"/")-1))</f>
        <v/>
      </c>
      <c r="J50" t="str">
        <f>IF($B50="","",IF(IF(INDEX(GLAPS컨테이너배차관리!$O:$O,$B50)="","",INDEX(GLAPS컨테이너배차관리!$O:$O,$B50))="EMC","EMA",IFERROR(INDEX(GLAPS정리!$A$2:$A$50,MATCH(IF(INDEX(GLAPS컨테이너배차관리!$O:$O,$B50)="","",INDEX(GLAPS컨테이너배차관리!$O:$O,$B50)),GLAPS정리!$D$2:$D$50,0)),IF(INDEX(GLAPS컨테이너배차관리!$O:$O,$B50)="","",INDEX(GLAPS컨테이너배차관리!$O:$O,$B50)))))</f>
        <v/>
      </c>
      <c r="K50" t="str">
        <f>IF($B50="","",IF(LEFT(IF(INDEX(GLAPS컨테이너배차관리!$Y:$Y,$B50)="","",INDEX(GLAPS컨테이너배차관리!$Y:$Y,$B50)),2)="22","20 Feet",IF(LEFT(IF(INDEX(GLAPS컨테이너배차관리!$Y:$Y,$B50)="","",INDEX(GLAPS컨테이너배차관리!$Y:$Y,$B50)),2)="42","40 Feet","40 Feet H")))</f>
        <v/>
      </c>
      <c r="L50" t="str">
        <f>IF($B50="","",IFERROR(INDEX(GLAPS정리!$BB$2:$BB$80,MATCH(IF(INDEX(GLAPS컨테이너배차관리!$BQ:$BQ,$B50)="","",INDEX(GLAPS컨테이너배차관리!$BQ:$BQ,$B50)),GLAPS정리!$BC$2:$BC$80,0)),IF(INDEX(GLAPS컨테이너배차관리!$BQ:$BQ,$B50)="","",INDEX(GLAPS컨테이너배차관리!$BQ:$BQ,$B50))))</f>
        <v/>
      </c>
      <c r="M50" t="str">
        <f>IF($B50="","",IFERROR(INDEX(GLAPS정리!$V$3:$V$180,MATCH(IF(INDEX(GLAPS컨테이너배차관리!$S:$S,$B50)="","",INDEX(GLAPS컨테이너배차관리!$S:$S,$B50)),GLAPS정리!$W$3:$W$180,0)),IF(INDEX(GLAPS컨테이너배차관리!$S:$S,$B50)="","",INDEX(GLAPS컨테이너배차관리!$S:$S,$B50))))</f>
        <v/>
      </c>
      <c r="N50" t="str">
        <f>IF($B50="","",IF(IF(INDEX(GLAPS컨테이너배차관리!$DF:$DF,$B50)="","",INDEX(GLAPS컨테이너배차관리!$DF:$DF,$B50))&lt;&gt;"",IF(INDEX(GLAPS컨테이너배차관리!$DF:$DF,$B50)="","",INDEX(GLAPS컨테이너배차관리!$DF:$DF,$B50)),IF(IF(INDEX(GLAPS컨테이너배차관리!$DG:$DG,$B50)="","",INDEX(GLAPS컨테이너배차관리!$DG:$DG,$B50))&lt;&gt;"",IF(INDEX(GLAPS컨테이너배차관리!$DG:$DG,$B50)="","",INDEX(GLAPS컨테이너배차관리!$DG:$DG,$B50)),"")))</f>
        <v/>
      </c>
      <c r="O50" t="str">
        <f>IF($B50="","",IF(INDEX(GLAPS컨테이너배차관리!$AB:$AB,$B50)="","",INDEX(GLAPS컨테이너배차관리!$AB:$AB,$B50)))</f>
        <v/>
      </c>
      <c r="P50" t="str">
        <f>IF($B50="","",IF(IF(INDEX(GLAPS컨테이너배차관리!$CP:$CP,$B50)="","",INDEX(GLAPS컨테이너배차관리!$CP:$CP,$B50))="","",IFERROR(INDEX(GLAPS정리!$BH$2:$BH$101,MATCH(IF(INDEX(GLAPS컨테이너배차관리!$CP:$CP,$B50)="","",INDEX(GLAPS컨테이너배차관리!$CP:$CP,$B50)),GLAPS정리!$BI$2:$BI$101,0)),IF(INDEX(GLAPS컨테이너배차관리!$CP:$CP,$B50)="","",INDEX(GLAPS컨테이너배차관리!$CP:$CP,$B50)))))</f>
        <v/>
      </c>
      <c r="Q50" t="str">
        <f>IF($B50="","",IF(AND(IF(INDEX(GLAPS컨테이너배차관리!$AK:$AK,$B50)="","",INDEX(GLAPS컨테이너배차관리!$AK:$AK,$B50))="Y",IF(INDEX(GLAPS컨테이너배차관리!$AI:$AI,$B50)="","",INDEX(GLAPS컨테이너배차관리!$AI:$AI,$B50))="Y"),"위험물리퍼",IF(IF(INDEX(GLAPS컨테이너배차관리!$AK:$AK,$B50)="","",INDEX(GLAPS컨테이너배차관리!$AK:$AK,$B50))="Y","위험물",IF(IF(INDEX(GLAPS컨테이너배차관리!$AI:$AI,$B50)="","",INDEX(GLAPS컨테이너배차관리!$AI:$AI,$B50))="Y","리퍼",""))))</f>
        <v/>
      </c>
      <c r="R50" t="str">
        <f>IF($B50="","",IF(LEFT(IF(INDEX(GLAPS컨테이너배차관리!$Y:$Y,$B50)="","",INDEX(GLAPS컨테이너배차관리!$Y:$Y,$B50)),2)="22",1,""))</f>
        <v/>
      </c>
      <c r="S50" t="str">
        <f>IF($B50="","",IF(LEFT(IF(INDEX(GLAPS컨테이너배차관리!$Y:$Y,$B50)="","",INDEX(GLAPS컨테이너배차관리!$Y:$Y,$B50)),2)="42",1,""))</f>
        <v/>
      </c>
      <c r="T50" t="str">
        <f>IF($B50="","",IF(LEFT(IF(INDEX(GLAPS컨테이너배차관리!$Y:$Y,$B50)="","",INDEX(GLAPS컨테이너배차관리!$Y:$Y,$B50)),2)="45",1,""))</f>
        <v/>
      </c>
      <c r="U50" t="str">
        <f>IF($B50="","",IF(INDEX(GLAPS컨테이너배차관리!$X:$X,$B50)="","",INDEX(GLAPS컨테이너배차관리!$X:$X,$B50)))</f>
        <v/>
      </c>
      <c r="V50" t="str">
        <f>IF($B50="","",IF(INDEX(GLAPS컨테이너배차관리!$Z:$Z,$B50)="","",INDEX(GLAPS컨테이너배차관리!$Z:$Z,$B50)))</f>
        <v/>
      </c>
      <c r="W50" t="str">
        <f>IF($B50="","",IF(IF(INDEX(GLAPS컨테이너배차관리!$DI:$DI,$B50)="","",INDEX(GLAPS컨테이너배차관리!$DI:$DI,$B50))&lt;&gt;"",IF(INDEX(GLAPS컨테이너배차관리!$DI:$DI,$B50)="","",INDEX(GLAPS컨테이너배차관리!$DI:$DI,$B50)),IF(IF(INDEX(GLAPS컨테이너배차관리!$DJ:$DJ,$B50)="","",INDEX(GLAPS컨테이너배차관리!$DJ:$DJ,$B50))&lt;&gt;"",IF(INDEX(GLAPS컨테이너배차관리!$DJ:$DJ,$B50)="","",INDEX(GLAPS컨테이너배차관리!$DJ:$DJ,$B50)),IF(IF(INDEX(GLAPS컨테이너배차관리!$DK:$DK,$B50)="","",INDEX(GLAPS컨테이너배차관리!$DK:$DK,$B50))&lt;&gt;"",IF(INDEX(GLAPS컨테이너배차관리!$DK:$DK,$B50)="","",INDEX(GLAPS컨테이너배차관리!$DK:$DK,$B50)),IF(IF(INDEX(GLAPS컨테이너배차관리!$DL:$DL,$B50)="","",INDEX(GLAPS컨테이너배차관리!$DL:$DL,$B50))&lt;&gt;"",IF(INDEX(GLAPS컨테이너배차관리!$DL:$DL,$B50)="","",INDEX(GLAPS컨테이너배차관리!$DL:$DL,$B50)),IF(IF(INDEX(GLAPS컨테이너배차관리!$DM:$DM,$B50)="","",INDEX(GLAPS컨테이너배차관리!$DM:$DM,$B50))&lt;&gt;"",IF(INDEX(GLAPS컨테이너배차관리!$DM:$DM,$B50)="","",INDEX(GLAPS컨테이너배차관리!$DM:$DM,$B50)),""))))))</f>
        <v/>
      </c>
      <c r="X50" t="str">
        <f>IF($B50="","",IF(INDEX(GLAPS컨테이너배차관리!$F:$F,$B50)="","",INDEX(GLAPS컨테이너배차관리!$F:$F,$B50)))</f>
        <v/>
      </c>
      <c r="Y50" t="str">
        <f>IF($B50="","",IF(IF(INDEX(GLAPS컨테이너배차관리!$M:$M,$B50)="","",INDEX(GLAPS컨테이너배차관리!$M:$M,$B50))&lt;&gt;"",IF(INDEX(GLAPS컨테이너배차관리!$M:$M,$B50)="","",INDEX(GLAPS컨테이너배차관리!$M:$M,$B50)),IF(IF(INDEX(GLAPS컨테이너배차관리!$N:$N,$B50)="","",INDEX(GLAPS컨테이너배차관리!$N:$N,$B50))&lt;&gt;"",IF(INDEX(GLAPS컨테이너배차관리!$N:$N,$B50)="","",INDEX(GLAPS컨테이너배차관리!$N:$N,$B50)),"")))</f>
        <v/>
      </c>
      <c r="Z50" t="str">
        <f>IF($B50="","",IF(IF(INDEX(GLAPS컨테이너배차관리!$CU:$CU,$B50)="","",INDEX(GLAPS컨테이너배차관리!$CU:$CU,$B50))="","",IFERROR(INT(IF(INDEX(GLAPS컨테이너배차관리!$CU:$CU,$B50)="","",INDEX(GLAPS컨테이너배차관리!$CU:$CU,$B50))),"")))</f>
        <v/>
      </c>
      <c r="AA50" t="str">
        <f>IF($B50="","",IF(AND(IF(INDEX(GLAPS컨테이너배차관리!$CL:$CL,$B50)="","",INDEX(GLAPS컨테이너배차관리!$CL:$CL,$B50))="",IF(INDEX(GLAPS컨테이너배차관리!$CM:$CM,$B50)="","",INDEX(GLAPS컨테이너배차관리!$CM:$CM,$B50))=""),"",IF(OR(IF(INDEX(GLAPS컨테이너배차관리!$CL:$CL,$B50)="","",INDEX(GLAPS컨테이너배차관리!$CL:$CL,$B50))="B000016649",ISNUMBER(SEARCH("B015",IF(INDEX(GLAPS컨테이너배차관리!$CM:$CM,$B50)="","",INDEX(GLAPS컨테이너배차관리!$CM:$CM,$B50)))),ISNUMBER(SEARCH("세방",IF(INDEX(GLAPS컨테이너배차관리!$CM:$CM,$B50)="","",INDEX(GLAPS컨테이너배차관리!$CM:$CM,$B50)))),ISNUMBER(SEARCH("SB",IF(INDEX(GLAPS컨테이너배차관리!$CM:$CM,$B50)="","",INDEX(GLAPS컨테이너배차관리!$CM:$CM,$B50))))),"세방","")))</f>
        <v/>
      </c>
      <c r="AB50" t="str">
        <f>IF($B50="","",IF(IF(INDEX(GLAPS컨테이너배차관리!$CM:$CM,$B50)="","",INDEX(GLAPS컨테이너배차관리!$CM:$CM,$B50))="","",IF(ISNUMBER(SEARCH("이지스두동",IF(INDEX(GLAPS컨테이너배차관리!$CM:$CM,$B50)="","",INDEX(GLAPS컨테이너배차관리!$CM:$CM,$B50)))),"이지스두동",IF(ISNUMBER(SEARCH("이지스녹산",IF(INDEX(GLAPS컨테이너배차관리!$CM:$CM,$B50)="","",INDEX(GLAPS컨테이너배차관리!$CM:$CM,$B50)))),"이지스녹산",IF(ISNUMBER(SEARCH("천우",IF(INDEX(GLAPS컨테이너배차관리!$CM:$CM,$B50)="","",INDEX(GLAPS컨테이너배차관리!$CM:$CM,$B50)))),"천우",IF(OR(ISNUMBER(SEARCH("청암",IF(INDEX(GLAPS컨테이너배차관리!$CM:$CM,$B50)="","",INDEX(GLAPS컨테이너배차관리!$CM:$CM,$B50)))),ISNUMBER(SEARCH("SB청암",IF(INDEX(GLAPS컨테이너배차관리!$CM:$CM,$B50)="","",INDEX(GLAPS컨테이너배차관리!$CM:$CM,$B50))))),"청암신항",IF(INDEX(GLAPS컨테이너배차관리!$CM:$CM,$B50)="","",INDEX(GLAPS컨테이너배차관리!$CM:$CM,$B50))))))))</f>
        <v/>
      </c>
    </row>
    <row r="51" spans="1:28">
      <c r="A51">
        <v>50</v>
      </c>
      <c r="B51" t="str">
        <f>IFERROR(_xlfn.AGGREGATE(15,6,ROW(GLAPS컨테이너배차관리!$X$2:$X$20000)/(GLAPS컨테이너배차관리!$X$2:$X$20000&lt;&gt;""),A51),"")</f>
        <v/>
      </c>
      <c r="C51" t="str">
        <f>IF($B51="","",INT(IF(INDEX(GLAPS컨테이너배차관리!$K:$K,$B51)="","",INDEX(GLAPS컨테이너배차관리!$K:$K,$B51))))</f>
        <v/>
      </c>
      <c r="D51" t="str">
        <f>IF($B51="","",IF(ISNUMBER(SEARCH("이엘에스",IF(INDEX(GLAPS컨테이너배차관리!$AZ:$AZ,$B51)="","",INDEX(GLAPS컨테이너배차관리!$AZ:$AZ,$B51)))),"ELS솔루션",IF(INDEX(GLAPS컨테이너배차관리!$AZ:$AZ,$B51)="","",INDEX(GLAPS컨테이너배차관리!$AZ:$AZ,$B51))))</f>
        <v/>
      </c>
      <c r="E51" t="str">
        <f>IF($B51="","",IF(INDEX(GLAPS컨테이너배차관리!$L:$L,$B51)="","",INDEX(GLAPS컨테이너배차관리!$L:$L,$B51)))</f>
        <v/>
      </c>
      <c r="F51" t="str">
        <f>IF($B51="","",IF(HOUR(IF(INDEX(GLAPS컨테이너배차관리!$L:$L,$B51)="","",INDEX(GLAPS컨테이너배차관리!$L:$L,$B51)))&lt;12,"오전",IF(HOUR(IF(INDEX(GLAPS컨테이너배차관리!$L:$L,$B51)="","",INDEX(GLAPS컨테이너배차관리!$L:$L,$B51)))&lt;18,"오후","잔업")))</f>
        <v/>
      </c>
      <c r="G51" t="str">
        <f>IF($B51="","",IFERROR(INDEX(GLAPS정리!$G$3:$G$264,MATCH(IF(INDEX(GLAPS컨테이너배차관리!$BY:$BY,$B51)="","",INDEX(GLAPS컨테이너배차관리!$BY:$BY,$B51)),GLAPS정리!$H$3:$H$264,0)),TRIM(SUBSTITUTE(SUBSTITUTE(SUBSTITUTE(SUBSTITUTE(SUBSTITUTE(IF(INDEX(GLAPS컨테이너배차관리!$T:$T,$B51)="","",INDEX(GLAPS컨테이너배차관리!$T:$T,$B51)),"[GA]",""),"[GB]",""),"[GC]",""),"[KC]",""),"[GS]",""))))</f>
        <v/>
      </c>
      <c r="H51" t="str">
        <f>IF($B51="","",IFERROR(VLOOKUP(IF(INDEX(GLAPS컨테이너배차관리!$BY:$BY,$B51)="","",INDEX(GLAPS컨테이너배차관리!$BY:$BY,$B51)),GLAPS정리!$BT$3:$BV$200,3,0),""))</f>
        <v/>
      </c>
      <c r="I51" t="str">
        <f>IF($B51="","",LEFT(IF(INDEX(GLAPS컨테이너배차관리!$U:$U,$B51)="","",INDEX(GLAPS컨테이너배차관리!$U:$U,$B51)),FIND("/",IF(INDEX(GLAPS컨테이너배차관리!$U:$U,$B51)="","",INDEX(GLAPS컨테이너배차관리!$U:$U,$B51))&amp;"/")-1))</f>
        <v/>
      </c>
      <c r="J51" t="str">
        <f>IF($B51="","",IF(IF(INDEX(GLAPS컨테이너배차관리!$O:$O,$B51)="","",INDEX(GLAPS컨테이너배차관리!$O:$O,$B51))="EMC","EMA",IFERROR(INDEX(GLAPS정리!$A$2:$A$50,MATCH(IF(INDEX(GLAPS컨테이너배차관리!$O:$O,$B51)="","",INDEX(GLAPS컨테이너배차관리!$O:$O,$B51)),GLAPS정리!$D$2:$D$50,0)),IF(INDEX(GLAPS컨테이너배차관리!$O:$O,$B51)="","",INDEX(GLAPS컨테이너배차관리!$O:$O,$B51)))))</f>
        <v/>
      </c>
      <c r="K51" t="str">
        <f>IF($B51="","",IF(LEFT(IF(INDEX(GLAPS컨테이너배차관리!$Y:$Y,$B51)="","",INDEX(GLAPS컨테이너배차관리!$Y:$Y,$B51)),2)="22","20 Feet",IF(LEFT(IF(INDEX(GLAPS컨테이너배차관리!$Y:$Y,$B51)="","",INDEX(GLAPS컨테이너배차관리!$Y:$Y,$B51)),2)="42","40 Feet","40 Feet H")))</f>
        <v/>
      </c>
      <c r="L51" t="str">
        <f>IF($B51="","",IFERROR(INDEX(GLAPS정리!$BB$2:$BB$80,MATCH(IF(INDEX(GLAPS컨테이너배차관리!$BQ:$BQ,$B51)="","",INDEX(GLAPS컨테이너배차관리!$BQ:$BQ,$B51)),GLAPS정리!$BC$2:$BC$80,0)),IF(INDEX(GLAPS컨테이너배차관리!$BQ:$BQ,$B51)="","",INDEX(GLAPS컨테이너배차관리!$BQ:$BQ,$B51))))</f>
        <v/>
      </c>
      <c r="M51" t="str">
        <f>IF($B51="","",IFERROR(INDEX(GLAPS정리!$V$3:$V$180,MATCH(IF(INDEX(GLAPS컨테이너배차관리!$S:$S,$B51)="","",INDEX(GLAPS컨테이너배차관리!$S:$S,$B51)),GLAPS정리!$W$3:$W$180,0)),IF(INDEX(GLAPS컨테이너배차관리!$S:$S,$B51)="","",INDEX(GLAPS컨테이너배차관리!$S:$S,$B51))))</f>
        <v/>
      </c>
      <c r="N51" t="str">
        <f>IF($B51="","",IF(IF(INDEX(GLAPS컨테이너배차관리!$DF:$DF,$B51)="","",INDEX(GLAPS컨테이너배차관리!$DF:$DF,$B51))&lt;&gt;"",IF(INDEX(GLAPS컨테이너배차관리!$DF:$DF,$B51)="","",INDEX(GLAPS컨테이너배차관리!$DF:$DF,$B51)),IF(IF(INDEX(GLAPS컨테이너배차관리!$DG:$DG,$B51)="","",INDEX(GLAPS컨테이너배차관리!$DG:$DG,$B51))&lt;&gt;"",IF(INDEX(GLAPS컨테이너배차관리!$DG:$DG,$B51)="","",INDEX(GLAPS컨테이너배차관리!$DG:$DG,$B51)),"")))</f>
        <v/>
      </c>
      <c r="O51" t="str">
        <f>IF($B51="","",IF(INDEX(GLAPS컨테이너배차관리!$AB:$AB,$B51)="","",INDEX(GLAPS컨테이너배차관리!$AB:$AB,$B51)))</f>
        <v/>
      </c>
      <c r="P51" t="str">
        <f>IF($B51="","",IF(IF(INDEX(GLAPS컨테이너배차관리!$CP:$CP,$B51)="","",INDEX(GLAPS컨테이너배차관리!$CP:$CP,$B51))="","",IFERROR(INDEX(GLAPS정리!$BH$2:$BH$101,MATCH(IF(INDEX(GLAPS컨테이너배차관리!$CP:$CP,$B51)="","",INDEX(GLAPS컨테이너배차관리!$CP:$CP,$B51)),GLAPS정리!$BI$2:$BI$101,0)),IF(INDEX(GLAPS컨테이너배차관리!$CP:$CP,$B51)="","",INDEX(GLAPS컨테이너배차관리!$CP:$CP,$B51)))))</f>
        <v/>
      </c>
      <c r="Q51" t="str">
        <f>IF($B51="","",IF(AND(IF(INDEX(GLAPS컨테이너배차관리!$AK:$AK,$B51)="","",INDEX(GLAPS컨테이너배차관리!$AK:$AK,$B51))="Y",IF(INDEX(GLAPS컨테이너배차관리!$AI:$AI,$B51)="","",INDEX(GLAPS컨테이너배차관리!$AI:$AI,$B51))="Y"),"위험물리퍼",IF(IF(INDEX(GLAPS컨테이너배차관리!$AK:$AK,$B51)="","",INDEX(GLAPS컨테이너배차관리!$AK:$AK,$B51))="Y","위험물",IF(IF(INDEX(GLAPS컨테이너배차관리!$AI:$AI,$B51)="","",INDEX(GLAPS컨테이너배차관리!$AI:$AI,$B51))="Y","리퍼",""))))</f>
        <v/>
      </c>
      <c r="R51" t="str">
        <f>IF($B51="","",IF(LEFT(IF(INDEX(GLAPS컨테이너배차관리!$Y:$Y,$B51)="","",INDEX(GLAPS컨테이너배차관리!$Y:$Y,$B51)),2)="22",1,""))</f>
        <v/>
      </c>
      <c r="S51" t="str">
        <f>IF($B51="","",IF(LEFT(IF(INDEX(GLAPS컨테이너배차관리!$Y:$Y,$B51)="","",INDEX(GLAPS컨테이너배차관리!$Y:$Y,$B51)),2)="42",1,""))</f>
        <v/>
      </c>
      <c r="T51" t="str">
        <f>IF($B51="","",IF(LEFT(IF(INDEX(GLAPS컨테이너배차관리!$Y:$Y,$B51)="","",INDEX(GLAPS컨테이너배차관리!$Y:$Y,$B51)),2)="45",1,""))</f>
        <v/>
      </c>
      <c r="U51" t="str">
        <f>IF($B51="","",IF(INDEX(GLAPS컨테이너배차관리!$X:$X,$B51)="","",INDEX(GLAPS컨테이너배차관리!$X:$X,$B51)))</f>
        <v/>
      </c>
      <c r="V51" t="str">
        <f>IF($B51="","",IF(INDEX(GLAPS컨테이너배차관리!$Z:$Z,$B51)="","",INDEX(GLAPS컨테이너배차관리!$Z:$Z,$B51)))</f>
        <v/>
      </c>
      <c r="W51" t="str">
        <f>IF($B51="","",IF(IF(INDEX(GLAPS컨테이너배차관리!$DI:$DI,$B51)="","",INDEX(GLAPS컨테이너배차관리!$DI:$DI,$B51))&lt;&gt;"",IF(INDEX(GLAPS컨테이너배차관리!$DI:$DI,$B51)="","",INDEX(GLAPS컨테이너배차관리!$DI:$DI,$B51)),IF(IF(INDEX(GLAPS컨테이너배차관리!$DJ:$DJ,$B51)="","",INDEX(GLAPS컨테이너배차관리!$DJ:$DJ,$B51))&lt;&gt;"",IF(INDEX(GLAPS컨테이너배차관리!$DJ:$DJ,$B51)="","",INDEX(GLAPS컨테이너배차관리!$DJ:$DJ,$B51)),IF(IF(INDEX(GLAPS컨테이너배차관리!$DK:$DK,$B51)="","",INDEX(GLAPS컨테이너배차관리!$DK:$DK,$B51))&lt;&gt;"",IF(INDEX(GLAPS컨테이너배차관리!$DK:$DK,$B51)="","",INDEX(GLAPS컨테이너배차관리!$DK:$DK,$B51)),IF(IF(INDEX(GLAPS컨테이너배차관리!$DL:$DL,$B51)="","",INDEX(GLAPS컨테이너배차관리!$DL:$DL,$B51))&lt;&gt;"",IF(INDEX(GLAPS컨테이너배차관리!$DL:$DL,$B51)="","",INDEX(GLAPS컨테이너배차관리!$DL:$DL,$B51)),IF(IF(INDEX(GLAPS컨테이너배차관리!$DM:$DM,$B51)="","",INDEX(GLAPS컨테이너배차관리!$DM:$DM,$B51))&lt;&gt;"",IF(INDEX(GLAPS컨테이너배차관리!$DM:$DM,$B51)="","",INDEX(GLAPS컨테이너배차관리!$DM:$DM,$B51)),""))))))</f>
        <v/>
      </c>
      <c r="X51" t="str">
        <f>IF($B51="","",IF(INDEX(GLAPS컨테이너배차관리!$F:$F,$B51)="","",INDEX(GLAPS컨테이너배차관리!$F:$F,$B51)))</f>
        <v/>
      </c>
      <c r="Y51" t="str">
        <f>IF($B51="","",IF(IF(INDEX(GLAPS컨테이너배차관리!$M:$M,$B51)="","",INDEX(GLAPS컨테이너배차관리!$M:$M,$B51))&lt;&gt;"",IF(INDEX(GLAPS컨테이너배차관리!$M:$M,$B51)="","",INDEX(GLAPS컨테이너배차관리!$M:$M,$B51)),IF(IF(INDEX(GLAPS컨테이너배차관리!$N:$N,$B51)="","",INDEX(GLAPS컨테이너배차관리!$N:$N,$B51))&lt;&gt;"",IF(INDEX(GLAPS컨테이너배차관리!$N:$N,$B51)="","",INDEX(GLAPS컨테이너배차관리!$N:$N,$B51)),"")))</f>
        <v/>
      </c>
      <c r="Z51" t="str">
        <f>IF($B51="","",IF(IF(INDEX(GLAPS컨테이너배차관리!$CU:$CU,$B51)="","",INDEX(GLAPS컨테이너배차관리!$CU:$CU,$B51))="","",IFERROR(INT(IF(INDEX(GLAPS컨테이너배차관리!$CU:$CU,$B51)="","",INDEX(GLAPS컨테이너배차관리!$CU:$CU,$B51))),"")))</f>
        <v/>
      </c>
      <c r="AA51" t="str">
        <f>IF($B51="","",IF(AND(IF(INDEX(GLAPS컨테이너배차관리!$CL:$CL,$B51)="","",INDEX(GLAPS컨테이너배차관리!$CL:$CL,$B51))="",IF(INDEX(GLAPS컨테이너배차관리!$CM:$CM,$B51)="","",INDEX(GLAPS컨테이너배차관리!$CM:$CM,$B51))=""),"",IF(OR(IF(INDEX(GLAPS컨테이너배차관리!$CL:$CL,$B51)="","",INDEX(GLAPS컨테이너배차관리!$CL:$CL,$B51))="B000016649",ISNUMBER(SEARCH("B015",IF(INDEX(GLAPS컨테이너배차관리!$CM:$CM,$B51)="","",INDEX(GLAPS컨테이너배차관리!$CM:$CM,$B51)))),ISNUMBER(SEARCH("세방",IF(INDEX(GLAPS컨테이너배차관리!$CM:$CM,$B51)="","",INDEX(GLAPS컨테이너배차관리!$CM:$CM,$B51)))),ISNUMBER(SEARCH("SB",IF(INDEX(GLAPS컨테이너배차관리!$CM:$CM,$B51)="","",INDEX(GLAPS컨테이너배차관리!$CM:$CM,$B51))))),"세방","")))</f>
        <v/>
      </c>
      <c r="AB51" t="str">
        <f>IF($B51="","",IF(IF(INDEX(GLAPS컨테이너배차관리!$CM:$CM,$B51)="","",INDEX(GLAPS컨테이너배차관리!$CM:$CM,$B51))="","",IF(ISNUMBER(SEARCH("이지스두동",IF(INDEX(GLAPS컨테이너배차관리!$CM:$CM,$B51)="","",INDEX(GLAPS컨테이너배차관리!$CM:$CM,$B51)))),"이지스두동",IF(ISNUMBER(SEARCH("이지스녹산",IF(INDEX(GLAPS컨테이너배차관리!$CM:$CM,$B51)="","",INDEX(GLAPS컨테이너배차관리!$CM:$CM,$B51)))),"이지스녹산",IF(ISNUMBER(SEARCH("천우",IF(INDEX(GLAPS컨테이너배차관리!$CM:$CM,$B51)="","",INDEX(GLAPS컨테이너배차관리!$CM:$CM,$B51)))),"천우",IF(OR(ISNUMBER(SEARCH("청암",IF(INDEX(GLAPS컨테이너배차관리!$CM:$CM,$B51)="","",INDEX(GLAPS컨테이너배차관리!$CM:$CM,$B51)))),ISNUMBER(SEARCH("SB청암",IF(INDEX(GLAPS컨테이너배차관리!$CM:$CM,$B51)="","",INDEX(GLAPS컨테이너배차관리!$CM:$CM,$B51))))),"청암신항",IF(INDEX(GLAPS컨테이너배차관리!$CM:$CM,$B51)="","",INDEX(GLAPS컨테이너배차관리!$CM:$CM,$B51))))))))</f>
        <v/>
      </c>
    </row>
    <row r="52" spans="1:28">
      <c r="A52">
        <v>51</v>
      </c>
      <c r="B52" t="str">
        <f>IFERROR(_xlfn.AGGREGATE(15,6,ROW(GLAPS컨테이너배차관리!$X$2:$X$20000)/(GLAPS컨테이너배차관리!$X$2:$X$20000&lt;&gt;""),A52),"")</f>
        <v/>
      </c>
      <c r="C52" t="str">
        <f>IF($B52="","",INT(IF(INDEX(GLAPS컨테이너배차관리!$K:$K,$B52)="","",INDEX(GLAPS컨테이너배차관리!$K:$K,$B52))))</f>
        <v/>
      </c>
      <c r="D52" t="str">
        <f>IF($B52="","",IF(ISNUMBER(SEARCH("이엘에스",IF(INDEX(GLAPS컨테이너배차관리!$AZ:$AZ,$B52)="","",INDEX(GLAPS컨테이너배차관리!$AZ:$AZ,$B52)))),"ELS솔루션",IF(INDEX(GLAPS컨테이너배차관리!$AZ:$AZ,$B52)="","",INDEX(GLAPS컨테이너배차관리!$AZ:$AZ,$B52))))</f>
        <v/>
      </c>
      <c r="E52" t="str">
        <f>IF($B52="","",IF(INDEX(GLAPS컨테이너배차관리!$L:$L,$B52)="","",INDEX(GLAPS컨테이너배차관리!$L:$L,$B52)))</f>
        <v/>
      </c>
      <c r="F52" t="str">
        <f>IF($B52="","",IF(HOUR(IF(INDEX(GLAPS컨테이너배차관리!$L:$L,$B52)="","",INDEX(GLAPS컨테이너배차관리!$L:$L,$B52)))&lt;12,"오전",IF(HOUR(IF(INDEX(GLAPS컨테이너배차관리!$L:$L,$B52)="","",INDEX(GLAPS컨테이너배차관리!$L:$L,$B52)))&lt;18,"오후","잔업")))</f>
        <v/>
      </c>
      <c r="G52" t="str">
        <f>IF($B52="","",IFERROR(INDEX(GLAPS정리!$G$3:$G$264,MATCH(IF(INDEX(GLAPS컨테이너배차관리!$BY:$BY,$B52)="","",INDEX(GLAPS컨테이너배차관리!$BY:$BY,$B52)),GLAPS정리!$H$3:$H$264,0)),TRIM(SUBSTITUTE(SUBSTITUTE(SUBSTITUTE(SUBSTITUTE(SUBSTITUTE(IF(INDEX(GLAPS컨테이너배차관리!$T:$T,$B52)="","",INDEX(GLAPS컨테이너배차관리!$T:$T,$B52)),"[GA]",""),"[GB]",""),"[GC]",""),"[KC]",""),"[GS]",""))))</f>
        <v/>
      </c>
      <c r="H52" t="str">
        <f>IF($B52="","",IFERROR(VLOOKUP(IF(INDEX(GLAPS컨테이너배차관리!$BY:$BY,$B52)="","",INDEX(GLAPS컨테이너배차관리!$BY:$BY,$B52)),GLAPS정리!$BT$3:$BV$200,3,0),""))</f>
        <v/>
      </c>
      <c r="I52" t="str">
        <f>IF($B52="","",LEFT(IF(INDEX(GLAPS컨테이너배차관리!$U:$U,$B52)="","",INDEX(GLAPS컨테이너배차관리!$U:$U,$B52)),FIND("/",IF(INDEX(GLAPS컨테이너배차관리!$U:$U,$B52)="","",INDEX(GLAPS컨테이너배차관리!$U:$U,$B52))&amp;"/")-1))</f>
        <v/>
      </c>
      <c r="J52" t="str">
        <f>IF($B52="","",IF(IF(INDEX(GLAPS컨테이너배차관리!$O:$O,$B52)="","",INDEX(GLAPS컨테이너배차관리!$O:$O,$B52))="EMC","EMA",IFERROR(INDEX(GLAPS정리!$A$2:$A$50,MATCH(IF(INDEX(GLAPS컨테이너배차관리!$O:$O,$B52)="","",INDEX(GLAPS컨테이너배차관리!$O:$O,$B52)),GLAPS정리!$D$2:$D$50,0)),IF(INDEX(GLAPS컨테이너배차관리!$O:$O,$B52)="","",INDEX(GLAPS컨테이너배차관리!$O:$O,$B52)))))</f>
        <v/>
      </c>
      <c r="K52" t="str">
        <f>IF($B52="","",IF(LEFT(IF(INDEX(GLAPS컨테이너배차관리!$Y:$Y,$B52)="","",INDEX(GLAPS컨테이너배차관리!$Y:$Y,$B52)),2)="22","20 Feet",IF(LEFT(IF(INDEX(GLAPS컨테이너배차관리!$Y:$Y,$B52)="","",INDEX(GLAPS컨테이너배차관리!$Y:$Y,$B52)),2)="42","40 Feet","40 Feet H")))</f>
        <v/>
      </c>
      <c r="L52" t="str">
        <f>IF($B52="","",IFERROR(INDEX(GLAPS정리!$BB$2:$BB$80,MATCH(IF(INDEX(GLAPS컨테이너배차관리!$BQ:$BQ,$B52)="","",INDEX(GLAPS컨테이너배차관리!$BQ:$BQ,$B52)),GLAPS정리!$BC$2:$BC$80,0)),IF(INDEX(GLAPS컨테이너배차관리!$BQ:$BQ,$B52)="","",INDEX(GLAPS컨테이너배차관리!$BQ:$BQ,$B52))))</f>
        <v/>
      </c>
      <c r="M52" t="str">
        <f>IF($B52="","",IFERROR(INDEX(GLAPS정리!$V$3:$V$180,MATCH(IF(INDEX(GLAPS컨테이너배차관리!$S:$S,$B52)="","",INDEX(GLAPS컨테이너배차관리!$S:$S,$B52)),GLAPS정리!$W$3:$W$180,0)),IF(INDEX(GLAPS컨테이너배차관리!$S:$S,$B52)="","",INDEX(GLAPS컨테이너배차관리!$S:$S,$B52))))</f>
        <v/>
      </c>
      <c r="N52" t="str">
        <f>IF($B52="","",IF(IF(INDEX(GLAPS컨테이너배차관리!$DF:$DF,$B52)="","",INDEX(GLAPS컨테이너배차관리!$DF:$DF,$B52))&lt;&gt;"",IF(INDEX(GLAPS컨테이너배차관리!$DF:$DF,$B52)="","",INDEX(GLAPS컨테이너배차관리!$DF:$DF,$B52)),IF(IF(INDEX(GLAPS컨테이너배차관리!$DG:$DG,$B52)="","",INDEX(GLAPS컨테이너배차관리!$DG:$DG,$B52))&lt;&gt;"",IF(INDEX(GLAPS컨테이너배차관리!$DG:$DG,$B52)="","",INDEX(GLAPS컨테이너배차관리!$DG:$DG,$B52)),"")))</f>
        <v/>
      </c>
      <c r="O52" t="str">
        <f>IF($B52="","",IF(INDEX(GLAPS컨테이너배차관리!$AB:$AB,$B52)="","",INDEX(GLAPS컨테이너배차관리!$AB:$AB,$B52)))</f>
        <v/>
      </c>
      <c r="P52" t="str">
        <f>IF($B52="","",IF(IF(INDEX(GLAPS컨테이너배차관리!$CP:$CP,$B52)="","",INDEX(GLAPS컨테이너배차관리!$CP:$CP,$B52))="","",IFERROR(INDEX(GLAPS정리!$BH$2:$BH$101,MATCH(IF(INDEX(GLAPS컨테이너배차관리!$CP:$CP,$B52)="","",INDEX(GLAPS컨테이너배차관리!$CP:$CP,$B52)),GLAPS정리!$BI$2:$BI$101,0)),IF(INDEX(GLAPS컨테이너배차관리!$CP:$CP,$B52)="","",INDEX(GLAPS컨테이너배차관리!$CP:$CP,$B52)))))</f>
        <v/>
      </c>
      <c r="Q52" t="str">
        <f>IF($B52="","",IF(AND(IF(INDEX(GLAPS컨테이너배차관리!$AK:$AK,$B52)="","",INDEX(GLAPS컨테이너배차관리!$AK:$AK,$B52))="Y",IF(INDEX(GLAPS컨테이너배차관리!$AI:$AI,$B52)="","",INDEX(GLAPS컨테이너배차관리!$AI:$AI,$B52))="Y"),"위험물리퍼",IF(IF(INDEX(GLAPS컨테이너배차관리!$AK:$AK,$B52)="","",INDEX(GLAPS컨테이너배차관리!$AK:$AK,$B52))="Y","위험물",IF(IF(INDEX(GLAPS컨테이너배차관리!$AI:$AI,$B52)="","",INDEX(GLAPS컨테이너배차관리!$AI:$AI,$B52))="Y","리퍼",""))))</f>
        <v/>
      </c>
      <c r="R52" t="str">
        <f>IF($B52="","",IF(LEFT(IF(INDEX(GLAPS컨테이너배차관리!$Y:$Y,$B52)="","",INDEX(GLAPS컨테이너배차관리!$Y:$Y,$B52)),2)="22",1,""))</f>
        <v/>
      </c>
      <c r="S52" t="str">
        <f>IF($B52="","",IF(LEFT(IF(INDEX(GLAPS컨테이너배차관리!$Y:$Y,$B52)="","",INDEX(GLAPS컨테이너배차관리!$Y:$Y,$B52)),2)="42",1,""))</f>
        <v/>
      </c>
      <c r="T52" t="str">
        <f>IF($B52="","",IF(LEFT(IF(INDEX(GLAPS컨테이너배차관리!$Y:$Y,$B52)="","",INDEX(GLAPS컨테이너배차관리!$Y:$Y,$B52)),2)="45",1,""))</f>
        <v/>
      </c>
      <c r="U52" t="str">
        <f>IF($B52="","",IF(INDEX(GLAPS컨테이너배차관리!$X:$X,$B52)="","",INDEX(GLAPS컨테이너배차관리!$X:$X,$B52)))</f>
        <v/>
      </c>
      <c r="V52" t="str">
        <f>IF($B52="","",IF(INDEX(GLAPS컨테이너배차관리!$Z:$Z,$B52)="","",INDEX(GLAPS컨테이너배차관리!$Z:$Z,$B52)))</f>
        <v/>
      </c>
      <c r="W52" t="str">
        <f>IF($B52="","",IF(IF(INDEX(GLAPS컨테이너배차관리!$DI:$DI,$B52)="","",INDEX(GLAPS컨테이너배차관리!$DI:$DI,$B52))&lt;&gt;"",IF(INDEX(GLAPS컨테이너배차관리!$DI:$DI,$B52)="","",INDEX(GLAPS컨테이너배차관리!$DI:$DI,$B52)),IF(IF(INDEX(GLAPS컨테이너배차관리!$DJ:$DJ,$B52)="","",INDEX(GLAPS컨테이너배차관리!$DJ:$DJ,$B52))&lt;&gt;"",IF(INDEX(GLAPS컨테이너배차관리!$DJ:$DJ,$B52)="","",INDEX(GLAPS컨테이너배차관리!$DJ:$DJ,$B52)),IF(IF(INDEX(GLAPS컨테이너배차관리!$DK:$DK,$B52)="","",INDEX(GLAPS컨테이너배차관리!$DK:$DK,$B52))&lt;&gt;"",IF(INDEX(GLAPS컨테이너배차관리!$DK:$DK,$B52)="","",INDEX(GLAPS컨테이너배차관리!$DK:$DK,$B52)),IF(IF(INDEX(GLAPS컨테이너배차관리!$DL:$DL,$B52)="","",INDEX(GLAPS컨테이너배차관리!$DL:$DL,$B52))&lt;&gt;"",IF(INDEX(GLAPS컨테이너배차관리!$DL:$DL,$B52)="","",INDEX(GLAPS컨테이너배차관리!$DL:$DL,$B52)),IF(IF(INDEX(GLAPS컨테이너배차관리!$DM:$DM,$B52)="","",INDEX(GLAPS컨테이너배차관리!$DM:$DM,$B52))&lt;&gt;"",IF(INDEX(GLAPS컨테이너배차관리!$DM:$DM,$B52)="","",INDEX(GLAPS컨테이너배차관리!$DM:$DM,$B52)),""))))))</f>
        <v/>
      </c>
      <c r="X52" t="str">
        <f>IF($B52="","",IF(INDEX(GLAPS컨테이너배차관리!$F:$F,$B52)="","",INDEX(GLAPS컨테이너배차관리!$F:$F,$B52)))</f>
        <v/>
      </c>
      <c r="Y52" t="str">
        <f>IF($B52="","",IF(IF(INDEX(GLAPS컨테이너배차관리!$M:$M,$B52)="","",INDEX(GLAPS컨테이너배차관리!$M:$M,$B52))&lt;&gt;"",IF(INDEX(GLAPS컨테이너배차관리!$M:$M,$B52)="","",INDEX(GLAPS컨테이너배차관리!$M:$M,$B52)),IF(IF(INDEX(GLAPS컨테이너배차관리!$N:$N,$B52)="","",INDEX(GLAPS컨테이너배차관리!$N:$N,$B52))&lt;&gt;"",IF(INDEX(GLAPS컨테이너배차관리!$N:$N,$B52)="","",INDEX(GLAPS컨테이너배차관리!$N:$N,$B52)),"")))</f>
        <v/>
      </c>
      <c r="Z52" t="str">
        <f>IF($B52="","",IF(IF(INDEX(GLAPS컨테이너배차관리!$CU:$CU,$B52)="","",INDEX(GLAPS컨테이너배차관리!$CU:$CU,$B52))="","",IFERROR(INT(IF(INDEX(GLAPS컨테이너배차관리!$CU:$CU,$B52)="","",INDEX(GLAPS컨테이너배차관리!$CU:$CU,$B52))),"")))</f>
        <v/>
      </c>
      <c r="AA52" t="str">
        <f>IF($B52="","",IF(AND(IF(INDEX(GLAPS컨테이너배차관리!$CL:$CL,$B52)="","",INDEX(GLAPS컨테이너배차관리!$CL:$CL,$B52))="",IF(INDEX(GLAPS컨테이너배차관리!$CM:$CM,$B52)="","",INDEX(GLAPS컨테이너배차관리!$CM:$CM,$B52))=""),"",IF(OR(IF(INDEX(GLAPS컨테이너배차관리!$CL:$CL,$B52)="","",INDEX(GLAPS컨테이너배차관리!$CL:$CL,$B52))="B000016649",ISNUMBER(SEARCH("B015",IF(INDEX(GLAPS컨테이너배차관리!$CM:$CM,$B52)="","",INDEX(GLAPS컨테이너배차관리!$CM:$CM,$B52)))),ISNUMBER(SEARCH("세방",IF(INDEX(GLAPS컨테이너배차관리!$CM:$CM,$B52)="","",INDEX(GLAPS컨테이너배차관리!$CM:$CM,$B52)))),ISNUMBER(SEARCH("SB",IF(INDEX(GLAPS컨테이너배차관리!$CM:$CM,$B52)="","",INDEX(GLAPS컨테이너배차관리!$CM:$CM,$B52))))),"세방","")))</f>
        <v/>
      </c>
      <c r="AB52" t="str">
        <f>IF($B52="","",IF(IF(INDEX(GLAPS컨테이너배차관리!$CM:$CM,$B52)="","",INDEX(GLAPS컨테이너배차관리!$CM:$CM,$B52))="","",IF(ISNUMBER(SEARCH("이지스두동",IF(INDEX(GLAPS컨테이너배차관리!$CM:$CM,$B52)="","",INDEX(GLAPS컨테이너배차관리!$CM:$CM,$B52)))),"이지스두동",IF(ISNUMBER(SEARCH("이지스녹산",IF(INDEX(GLAPS컨테이너배차관리!$CM:$CM,$B52)="","",INDEX(GLAPS컨테이너배차관리!$CM:$CM,$B52)))),"이지스녹산",IF(ISNUMBER(SEARCH("천우",IF(INDEX(GLAPS컨테이너배차관리!$CM:$CM,$B52)="","",INDEX(GLAPS컨테이너배차관리!$CM:$CM,$B52)))),"천우",IF(OR(ISNUMBER(SEARCH("청암",IF(INDEX(GLAPS컨테이너배차관리!$CM:$CM,$B52)="","",INDEX(GLAPS컨테이너배차관리!$CM:$CM,$B52)))),ISNUMBER(SEARCH("SB청암",IF(INDEX(GLAPS컨테이너배차관리!$CM:$CM,$B52)="","",INDEX(GLAPS컨테이너배차관리!$CM:$CM,$B52))))),"청암신항",IF(INDEX(GLAPS컨테이너배차관리!$CM:$CM,$B52)="","",INDEX(GLAPS컨테이너배차관리!$CM:$CM,$B52))))))))</f>
        <v/>
      </c>
    </row>
    <row r="53" spans="1:28">
      <c r="A53">
        <v>52</v>
      </c>
      <c r="B53" t="str">
        <f>IFERROR(_xlfn.AGGREGATE(15,6,ROW(GLAPS컨테이너배차관리!$X$2:$X$20000)/(GLAPS컨테이너배차관리!$X$2:$X$20000&lt;&gt;""),A53),"")</f>
        <v/>
      </c>
      <c r="C53" t="str">
        <f>IF($B53="","",INT(IF(INDEX(GLAPS컨테이너배차관리!$K:$K,$B53)="","",INDEX(GLAPS컨테이너배차관리!$K:$K,$B53))))</f>
        <v/>
      </c>
      <c r="D53" t="str">
        <f>IF($B53="","",IF(ISNUMBER(SEARCH("이엘에스",IF(INDEX(GLAPS컨테이너배차관리!$AZ:$AZ,$B53)="","",INDEX(GLAPS컨테이너배차관리!$AZ:$AZ,$B53)))),"ELS솔루션",IF(INDEX(GLAPS컨테이너배차관리!$AZ:$AZ,$B53)="","",INDEX(GLAPS컨테이너배차관리!$AZ:$AZ,$B53))))</f>
        <v/>
      </c>
      <c r="E53" t="str">
        <f>IF($B53="","",IF(INDEX(GLAPS컨테이너배차관리!$L:$L,$B53)="","",INDEX(GLAPS컨테이너배차관리!$L:$L,$B53)))</f>
        <v/>
      </c>
      <c r="F53" t="str">
        <f>IF($B53="","",IF(HOUR(IF(INDEX(GLAPS컨테이너배차관리!$L:$L,$B53)="","",INDEX(GLAPS컨테이너배차관리!$L:$L,$B53)))&lt;12,"오전",IF(HOUR(IF(INDEX(GLAPS컨테이너배차관리!$L:$L,$B53)="","",INDEX(GLAPS컨테이너배차관리!$L:$L,$B53)))&lt;18,"오후","잔업")))</f>
        <v/>
      </c>
      <c r="G53" t="str">
        <f>IF($B53="","",IFERROR(INDEX(GLAPS정리!$G$3:$G$264,MATCH(IF(INDEX(GLAPS컨테이너배차관리!$BY:$BY,$B53)="","",INDEX(GLAPS컨테이너배차관리!$BY:$BY,$B53)),GLAPS정리!$H$3:$H$264,0)),TRIM(SUBSTITUTE(SUBSTITUTE(SUBSTITUTE(SUBSTITUTE(SUBSTITUTE(IF(INDEX(GLAPS컨테이너배차관리!$T:$T,$B53)="","",INDEX(GLAPS컨테이너배차관리!$T:$T,$B53)),"[GA]",""),"[GB]",""),"[GC]",""),"[KC]",""),"[GS]",""))))</f>
        <v/>
      </c>
      <c r="H53" t="str">
        <f>IF($B53="","",IFERROR(VLOOKUP(IF(INDEX(GLAPS컨테이너배차관리!$BY:$BY,$B53)="","",INDEX(GLAPS컨테이너배차관리!$BY:$BY,$B53)),GLAPS정리!$BT$3:$BV$200,3,0),""))</f>
        <v/>
      </c>
      <c r="I53" t="str">
        <f>IF($B53="","",LEFT(IF(INDEX(GLAPS컨테이너배차관리!$U:$U,$B53)="","",INDEX(GLAPS컨테이너배차관리!$U:$U,$B53)),FIND("/",IF(INDEX(GLAPS컨테이너배차관리!$U:$U,$B53)="","",INDEX(GLAPS컨테이너배차관리!$U:$U,$B53))&amp;"/")-1))</f>
        <v/>
      </c>
      <c r="J53" t="str">
        <f>IF($B53="","",IF(IF(INDEX(GLAPS컨테이너배차관리!$O:$O,$B53)="","",INDEX(GLAPS컨테이너배차관리!$O:$O,$B53))="EMC","EMA",IFERROR(INDEX(GLAPS정리!$A$2:$A$50,MATCH(IF(INDEX(GLAPS컨테이너배차관리!$O:$O,$B53)="","",INDEX(GLAPS컨테이너배차관리!$O:$O,$B53)),GLAPS정리!$D$2:$D$50,0)),IF(INDEX(GLAPS컨테이너배차관리!$O:$O,$B53)="","",INDEX(GLAPS컨테이너배차관리!$O:$O,$B53)))))</f>
        <v/>
      </c>
      <c r="K53" t="str">
        <f>IF($B53="","",IF(LEFT(IF(INDEX(GLAPS컨테이너배차관리!$Y:$Y,$B53)="","",INDEX(GLAPS컨테이너배차관리!$Y:$Y,$B53)),2)="22","20 Feet",IF(LEFT(IF(INDEX(GLAPS컨테이너배차관리!$Y:$Y,$B53)="","",INDEX(GLAPS컨테이너배차관리!$Y:$Y,$B53)),2)="42","40 Feet","40 Feet H")))</f>
        <v/>
      </c>
      <c r="L53" t="str">
        <f>IF($B53="","",IFERROR(INDEX(GLAPS정리!$BB$2:$BB$80,MATCH(IF(INDEX(GLAPS컨테이너배차관리!$BQ:$BQ,$B53)="","",INDEX(GLAPS컨테이너배차관리!$BQ:$BQ,$B53)),GLAPS정리!$BC$2:$BC$80,0)),IF(INDEX(GLAPS컨테이너배차관리!$BQ:$BQ,$B53)="","",INDEX(GLAPS컨테이너배차관리!$BQ:$BQ,$B53))))</f>
        <v/>
      </c>
      <c r="M53" t="str">
        <f>IF($B53="","",IFERROR(INDEX(GLAPS정리!$V$3:$V$180,MATCH(IF(INDEX(GLAPS컨테이너배차관리!$S:$S,$B53)="","",INDEX(GLAPS컨테이너배차관리!$S:$S,$B53)),GLAPS정리!$W$3:$W$180,0)),IF(INDEX(GLAPS컨테이너배차관리!$S:$S,$B53)="","",INDEX(GLAPS컨테이너배차관리!$S:$S,$B53))))</f>
        <v/>
      </c>
      <c r="N53" t="str">
        <f>IF($B53="","",IF(IF(INDEX(GLAPS컨테이너배차관리!$DF:$DF,$B53)="","",INDEX(GLAPS컨테이너배차관리!$DF:$DF,$B53))&lt;&gt;"",IF(INDEX(GLAPS컨테이너배차관리!$DF:$DF,$B53)="","",INDEX(GLAPS컨테이너배차관리!$DF:$DF,$B53)),IF(IF(INDEX(GLAPS컨테이너배차관리!$DG:$DG,$B53)="","",INDEX(GLAPS컨테이너배차관리!$DG:$DG,$B53))&lt;&gt;"",IF(INDEX(GLAPS컨테이너배차관리!$DG:$DG,$B53)="","",INDEX(GLAPS컨테이너배차관리!$DG:$DG,$B53)),"")))</f>
        <v/>
      </c>
      <c r="O53" t="str">
        <f>IF($B53="","",IF(INDEX(GLAPS컨테이너배차관리!$AB:$AB,$B53)="","",INDEX(GLAPS컨테이너배차관리!$AB:$AB,$B53)))</f>
        <v/>
      </c>
      <c r="P53" t="str">
        <f>IF($B53="","",IF(IF(INDEX(GLAPS컨테이너배차관리!$CP:$CP,$B53)="","",INDEX(GLAPS컨테이너배차관리!$CP:$CP,$B53))="","",IFERROR(INDEX(GLAPS정리!$BH$2:$BH$101,MATCH(IF(INDEX(GLAPS컨테이너배차관리!$CP:$CP,$B53)="","",INDEX(GLAPS컨테이너배차관리!$CP:$CP,$B53)),GLAPS정리!$BI$2:$BI$101,0)),IF(INDEX(GLAPS컨테이너배차관리!$CP:$CP,$B53)="","",INDEX(GLAPS컨테이너배차관리!$CP:$CP,$B53)))))</f>
        <v/>
      </c>
      <c r="Q53" t="str">
        <f>IF($B53="","",IF(AND(IF(INDEX(GLAPS컨테이너배차관리!$AK:$AK,$B53)="","",INDEX(GLAPS컨테이너배차관리!$AK:$AK,$B53))="Y",IF(INDEX(GLAPS컨테이너배차관리!$AI:$AI,$B53)="","",INDEX(GLAPS컨테이너배차관리!$AI:$AI,$B53))="Y"),"위험물리퍼",IF(IF(INDEX(GLAPS컨테이너배차관리!$AK:$AK,$B53)="","",INDEX(GLAPS컨테이너배차관리!$AK:$AK,$B53))="Y","위험물",IF(IF(INDEX(GLAPS컨테이너배차관리!$AI:$AI,$B53)="","",INDEX(GLAPS컨테이너배차관리!$AI:$AI,$B53))="Y","리퍼",""))))</f>
        <v/>
      </c>
      <c r="R53" t="str">
        <f>IF($B53="","",IF(LEFT(IF(INDEX(GLAPS컨테이너배차관리!$Y:$Y,$B53)="","",INDEX(GLAPS컨테이너배차관리!$Y:$Y,$B53)),2)="22",1,""))</f>
        <v/>
      </c>
      <c r="S53" t="str">
        <f>IF($B53="","",IF(LEFT(IF(INDEX(GLAPS컨테이너배차관리!$Y:$Y,$B53)="","",INDEX(GLAPS컨테이너배차관리!$Y:$Y,$B53)),2)="42",1,""))</f>
        <v/>
      </c>
      <c r="T53" t="str">
        <f>IF($B53="","",IF(LEFT(IF(INDEX(GLAPS컨테이너배차관리!$Y:$Y,$B53)="","",INDEX(GLAPS컨테이너배차관리!$Y:$Y,$B53)),2)="45",1,""))</f>
        <v/>
      </c>
      <c r="U53" t="str">
        <f>IF($B53="","",IF(INDEX(GLAPS컨테이너배차관리!$X:$X,$B53)="","",INDEX(GLAPS컨테이너배차관리!$X:$X,$B53)))</f>
        <v/>
      </c>
      <c r="V53" t="str">
        <f>IF($B53="","",IF(INDEX(GLAPS컨테이너배차관리!$Z:$Z,$B53)="","",INDEX(GLAPS컨테이너배차관리!$Z:$Z,$B53)))</f>
        <v/>
      </c>
      <c r="W53" t="str">
        <f>IF($B53="","",IF(IF(INDEX(GLAPS컨테이너배차관리!$DI:$DI,$B53)="","",INDEX(GLAPS컨테이너배차관리!$DI:$DI,$B53))&lt;&gt;"",IF(INDEX(GLAPS컨테이너배차관리!$DI:$DI,$B53)="","",INDEX(GLAPS컨테이너배차관리!$DI:$DI,$B53)),IF(IF(INDEX(GLAPS컨테이너배차관리!$DJ:$DJ,$B53)="","",INDEX(GLAPS컨테이너배차관리!$DJ:$DJ,$B53))&lt;&gt;"",IF(INDEX(GLAPS컨테이너배차관리!$DJ:$DJ,$B53)="","",INDEX(GLAPS컨테이너배차관리!$DJ:$DJ,$B53)),IF(IF(INDEX(GLAPS컨테이너배차관리!$DK:$DK,$B53)="","",INDEX(GLAPS컨테이너배차관리!$DK:$DK,$B53))&lt;&gt;"",IF(INDEX(GLAPS컨테이너배차관리!$DK:$DK,$B53)="","",INDEX(GLAPS컨테이너배차관리!$DK:$DK,$B53)),IF(IF(INDEX(GLAPS컨테이너배차관리!$DL:$DL,$B53)="","",INDEX(GLAPS컨테이너배차관리!$DL:$DL,$B53))&lt;&gt;"",IF(INDEX(GLAPS컨테이너배차관리!$DL:$DL,$B53)="","",INDEX(GLAPS컨테이너배차관리!$DL:$DL,$B53)),IF(IF(INDEX(GLAPS컨테이너배차관리!$DM:$DM,$B53)="","",INDEX(GLAPS컨테이너배차관리!$DM:$DM,$B53))&lt;&gt;"",IF(INDEX(GLAPS컨테이너배차관리!$DM:$DM,$B53)="","",INDEX(GLAPS컨테이너배차관리!$DM:$DM,$B53)),""))))))</f>
        <v/>
      </c>
      <c r="X53" t="str">
        <f>IF($B53="","",IF(INDEX(GLAPS컨테이너배차관리!$F:$F,$B53)="","",INDEX(GLAPS컨테이너배차관리!$F:$F,$B53)))</f>
        <v/>
      </c>
      <c r="Y53" t="str">
        <f>IF($B53="","",IF(IF(INDEX(GLAPS컨테이너배차관리!$M:$M,$B53)="","",INDEX(GLAPS컨테이너배차관리!$M:$M,$B53))&lt;&gt;"",IF(INDEX(GLAPS컨테이너배차관리!$M:$M,$B53)="","",INDEX(GLAPS컨테이너배차관리!$M:$M,$B53)),IF(IF(INDEX(GLAPS컨테이너배차관리!$N:$N,$B53)="","",INDEX(GLAPS컨테이너배차관리!$N:$N,$B53))&lt;&gt;"",IF(INDEX(GLAPS컨테이너배차관리!$N:$N,$B53)="","",INDEX(GLAPS컨테이너배차관리!$N:$N,$B53)),"")))</f>
        <v/>
      </c>
      <c r="Z53" t="str">
        <f>IF($B53="","",IF(IF(INDEX(GLAPS컨테이너배차관리!$CU:$CU,$B53)="","",INDEX(GLAPS컨테이너배차관리!$CU:$CU,$B53))="","",IFERROR(INT(IF(INDEX(GLAPS컨테이너배차관리!$CU:$CU,$B53)="","",INDEX(GLAPS컨테이너배차관리!$CU:$CU,$B53))),"")))</f>
        <v/>
      </c>
      <c r="AA53" t="str">
        <f>IF($B53="","",IF(AND(IF(INDEX(GLAPS컨테이너배차관리!$CL:$CL,$B53)="","",INDEX(GLAPS컨테이너배차관리!$CL:$CL,$B53))="",IF(INDEX(GLAPS컨테이너배차관리!$CM:$CM,$B53)="","",INDEX(GLAPS컨테이너배차관리!$CM:$CM,$B53))=""),"",IF(OR(IF(INDEX(GLAPS컨테이너배차관리!$CL:$CL,$B53)="","",INDEX(GLAPS컨테이너배차관리!$CL:$CL,$B53))="B000016649",ISNUMBER(SEARCH("B015",IF(INDEX(GLAPS컨테이너배차관리!$CM:$CM,$B53)="","",INDEX(GLAPS컨테이너배차관리!$CM:$CM,$B53)))),ISNUMBER(SEARCH("세방",IF(INDEX(GLAPS컨테이너배차관리!$CM:$CM,$B53)="","",INDEX(GLAPS컨테이너배차관리!$CM:$CM,$B53)))),ISNUMBER(SEARCH("SB",IF(INDEX(GLAPS컨테이너배차관리!$CM:$CM,$B53)="","",INDEX(GLAPS컨테이너배차관리!$CM:$CM,$B53))))),"세방","")))</f>
        <v/>
      </c>
      <c r="AB53" t="str">
        <f>IF($B53="","",IF(IF(INDEX(GLAPS컨테이너배차관리!$CM:$CM,$B53)="","",INDEX(GLAPS컨테이너배차관리!$CM:$CM,$B53))="","",IF(ISNUMBER(SEARCH("이지스두동",IF(INDEX(GLAPS컨테이너배차관리!$CM:$CM,$B53)="","",INDEX(GLAPS컨테이너배차관리!$CM:$CM,$B53)))),"이지스두동",IF(ISNUMBER(SEARCH("이지스녹산",IF(INDEX(GLAPS컨테이너배차관리!$CM:$CM,$B53)="","",INDEX(GLAPS컨테이너배차관리!$CM:$CM,$B53)))),"이지스녹산",IF(ISNUMBER(SEARCH("천우",IF(INDEX(GLAPS컨테이너배차관리!$CM:$CM,$B53)="","",INDEX(GLAPS컨테이너배차관리!$CM:$CM,$B53)))),"천우",IF(OR(ISNUMBER(SEARCH("청암",IF(INDEX(GLAPS컨테이너배차관리!$CM:$CM,$B53)="","",INDEX(GLAPS컨테이너배차관리!$CM:$CM,$B53)))),ISNUMBER(SEARCH("SB청암",IF(INDEX(GLAPS컨테이너배차관리!$CM:$CM,$B53)="","",INDEX(GLAPS컨테이너배차관리!$CM:$CM,$B53))))),"청암신항",IF(INDEX(GLAPS컨테이너배차관리!$CM:$CM,$B53)="","",INDEX(GLAPS컨테이너배차관리!$CM:$CM,$B53))))))))</f>
        <v/>
      </c>
    </row>
    <row r="54" spans="1:28">
      <c r="A54">
        <v>53</v>
      </c>
      <c r="B54" t="str">
        <f>IFERROR(_xlfn.AGGREGATE(15,6,ROW(GLAPS컨테이너배차관리!$X$2:$X$20000)/(GLAPS컨테이너배차관리!$X$2:$X$20000&lt;&gt;""),A54),"")</f>
        <v/>
      </c>
      <c r="C54" t="str">
        <f>IF($B54="","",INT(IF(INDEX(GLAPS컨테이너배차관리!$K:$K,$B54)="","",INDEX(GLAPS컨테이너배차관리!$K:$K,$B54))))</f>
        <v/>
      </c>
      <c r="D54" t="str">
        <f>IF($B54="","",IF(ISNUMBER(SEARCH("이엘에스",IF(INDEX(GLAPS컨테이너배차관리!$AZ:$AZ,$B54)="","",INDEX(GLAPS컨테이너배차관리!$AZ:$AZ,$B54)))),"ELS솔루션",IF(INDEX(GLAPS컨테이너배차관리!$AZ:$AZ,$B54)="","",INDEX(GLAPS컨테이너배차관리!$AZ:$AZ,$B54))))</f>
        <v/>
      </c>
      <c r="E54" t="str">
        <f>IF($B54="","",IF(INDEX(GLAPS컨테이너배차관리!$L:$L,$B54)="","",INDEX(GLAPS컨테이너배차관리!$L:$L,$B54)))</f>
        <v/>
      </c>
      <c r="F54" t="str">
        <f>IF($B54="","",IF(HOUR(IF(INDEX(GLAPS컨테이너배차관리!$L:$L,$B54)="","",INDEX(GLAPS컨테이너배차관리!$L:$L,$B54)))&lt;12,"오전",IF(HOUR(IF(INDEX(GLAPS컨테이너배차관리!$L:$L,$B54)="","",INDEX(GLAPS컨테이너배차관리!$L:$L,$B54)))&lt;18,"오후","잔업")))</f>
        <v/>
      </c>
      <c r="G54" t="str">
        <f>IF($B54="","",IFERROR(INDEX(GLAPS정리!$G$3:$G$264,MATCH(IF(INDEX(GLAPS컨테이너배차관리!$BY:$BY,$B54)="","",INDEX(GLAPS컨테이너배차관리!$BY:$BY,$B54)),GLAPS정리!$H$3:$H$264,0)),TRIM(SUBSTITUTE(SUBSTITUTE(SUBSTITUTE(SUBSTITUTE(SUBSTITUTE(IF(INDEX(GLAPS컨테이너배차관리!$T:$T,$B54)="","",INDEX(GLAPS컨테이너배차관리!$T:$T,$B54)),"[GA]",""),"[GB]",""),"[GC]",""),"[KC]",""),"[GS]",""))))</f>
        <v/>
      </c>
      <c r="H54" t="str">
        <f>IF($B54="","",IFERROR(VLOOKUP(IF(INDEX(GLAPS컨테이너배차관리!$BY:$BY,$B54)="","",INDEX(GLAPS컨테이너배차관리!$BY:$BY,$B54)),GLAPS정리!$BT$3:$BV$200,3,0),""))</f>
        <v/>
      </c>
      <c r="I54" t="str">
        <f>IF($B54="","",LEFT(IF(INDEX(GLAPS컨테이너배차관리!$U:$U,$B54)="","",INDEX(GLAPS컨테이너배차관리!$U:$U,$B54)),FIND("/",IF(INDEX(GLAPS컨테이너배차관리!$U:$U,$B54)="","",INDEX(GLAPS컨테이너배차관리!$U:$U,$B54))&amp;"/")-1))</f>
        <v/>
      </c>
      <c r="J54" t="str">
        <f>IF($B54="","",IF(IF(INDEX(GLAPS컨테이너배차관리!$O:$O,$B54)="","",INDEX(GLAPS컨테이너배차관리!$O:$O,$B54))="EMC","EMA",IFERROR(INDEX(GLAPS정리!$A$2:$A$50,MATCH(IF(INDEX(GLAPS컨테이너배차관리!$O:$O,$B54)="","",INDEX(GLAPS컨테이너배차관리!$O:$O,$B54)),GLAPS정리!$D$2:$D$50,0)),IF(INDEX(GLAPS컨테이너배차관리!$O:$O,$B54)="","",INDEX(GLAPS컨테이너배차관리!$O:$O,$B54)))))</f>
        <v/>
      </c>
      <c r="K54" t="str">
        <f>IF($B54="","",IF(LEFT(IF(INDEX(GLAPS컨테이너배차관리!$Y:$Y,$B54)="","",INDEX(GLAPS컨테이너배차관리!$Y:$Y,$B54)),2)="22","20 Feet",IF(LEFT(IF(INDEX(GLAPS컨테이너배차관리!$Y:$Y,$B54)="","",INDEX(GLAPS컨테이너배차관리!$Y:$Y,$B54)),2)="42","40 Feet","40 Feet H")))</f>
        <v/>
      </c>
      <c r="L54" t="str">
        <f>IF($B54="","",IFERROR(INDEX(GLAPS정리!$BB$2:$BB$80,MATCH(IF(INDEX(GLAPS컨테이너배차관리!$BQ:$BQ,$B54)="","",INDEX(GLAPS컨테이너배차관리!$BQ:$BQ,$B54)),GLAPS정리!$BC$2:$BC$80,0)),IF(INDEX(GLAPS컨테이너배차관리!$BQ:$BQ,$B54)="","",INDEX(GLAPS컨테이너배차관리!$BQ:$BQ,$B54))))</f>
        <v/>
      </c>
      <c r="M54" t="str">
        <f>IF($B54="","",IFERROR(INDEX(GLAPS정리!$V$3:$V$180,MATCH(IF(INDEX(GLAPS컨테이너배차관리!$S:$S,$B54)="","",INDEX(GLAPS컨테이너배차관리!$S:$S,$B54)),GLAPS정리!$W$3:$W$180,0)),IF(INDEX(GLAPS컨테이너배차관리!$S:$S,$B54)="","",INDEX(GLAPS컨테이너배차관리!$S:$S,$B54))))</f>
        <v/>
      </c>
      <c r="N54" t="str">
        <f>IF($B54="","",IF(IF(INDEX(GLAPS컨테이너배차관리!$DF:$DF,$B54)="","",INDEX(GLAPS컨테이너배차관리!$DF:$DF,$B54))&lt;&gt;"",IF(INDEX(GLAPS컨테이너배차관리!$DF:$DF,$B54)="","",INDEX(GLAPS컨테이너배차관리!$DF:$DF,$B54)),IF(IF(INDEX(GLAPS컨테이너배차관리!$DG:$DG,$B54)="","",INDEX(GLAPS컨테이너배차관리!$DG:$DG,$B54))&lt;&gt;"",IF(INDEX(GLAPS컨테이너배차관리!$DG:$DG,$B54)="","",INDEX(GLAPS컨테이너배차관리!$DG:$DG,$B54)),"")))</f>
        <v/>
      </c>
      <c r="O54" t="str">
        <f>IF($B54="","",IF(INDEX(GLAPS컨테이너배차관리!$AB:$AB,$B54)="","",INDEX(GLAPS컨테이너배차관리!$AB:$AB,$B54)))</f>
        <v/>
      </c>
      <c r="P54" t="str">
        <f>IF($B54="","",IF(IF(INDEX(GLAPS컨테이너배차관리!$CP:$CP,$B54)="","",INDEX(GLAPS컨테이너배차관리!$CP:$CP,$B54))="","",IFERROR(INDEX(GLAPS정리!$BH$2:$BH$101,MATCH(IF(INDEX(GLAPS컨테이너배차관리!$CP:$CP,$B54)="","",INDEX(GLAPS컨테이너배차관리!$CP:$CP,$B54)),GLAPS정리!$BI$2:$BI$101,0)),IF(INDEX(GLAPS컨테이너배차관리!$CP:$CP,$B54)="","",INDEX(GLAPS컨테이너배차관리!$CP:$CP,$B54)))))</f>
        <v/>
      </c>
      <c r="Q54" t="str">
        <f>IF($B54="","",IF(AND(IF(INDEX(GLAPS컨테이너배차관리!$AK:$AK,$B54)="","",INDEX(GLAPS컨테이너배차관리!$AK:$AK,$B54))="Y",IF(INDEX(GLAPS컨테이너배차관리!$AI:$AI,$B54)="","",INDEX(GLAPS컨테이너배차관리!$AI:$AI,$B54))="Y"),"위험물리퍼",IF(IF(INDEX(GLAPS컨테이너배차관리!$AK:$AK,$B54)="","",INDEX(GLAPS컨테이너배차관리!$AK:$AK,$B54))="Y","위험물",IF(IF(INDEX(GLAPS컨테이너배차관리!$AI:$AI,$B54)="","",INDEX(GLAPS컨테이너배차관리!$AI:$AI,$B54))="Y","리퍼",""))))</f>
        <v/>
      </c>
      <c r="R54" t="str">
        <f>IF($B54="","",IF(LEFT(IF(INDEX(GLAPS컨테이너배차관리!$Y:$Y,$B54)="","",INDEX(GLAPS컨테이너배차관리!$Y:$Y,$B54)),2)="22",1,""))</f>
        <v/>
      </c>
      <c r="S54" t="str">
        <f>IF($B54="","",IF(LEFT(IF(INDEX(GLAPS컨테이너배차관리!$Y:$Y,$B54)="","",INDEX(GLAPS컨테이너배차관리!$Y:$Y,$B54)),2)="42",1,""))</f>
        <v/>
      </c>
      <c r="T54" t="str">
        <f>IF($B54="","",IF(LEFT(IF(INDEX(GLAPS컨테이너배차관리!$Y:$Y,$B54)="","",INDEX(GLAPS컨테이너배차관리!$Y:$Y,$B54)),2)="45",1,""))</f>
        <v/>
      </c>
      <c r="U54" t="str">
        <f>IF($B54="","",IF(INDEX(GLAPS컨테이너배차관리!$X:$X,$B54)="","",INDEX(GLAPS컨테이너배차관리!$X:$X,$B54)))</f>
        <v/>
      </c>
      <c r="V54" t="str">
        <f>IF($B54="","",IF(INDEX(GLAPS컨테이너배차관리!$Z:$Z,$B54)="","",INDEX(GLAPS컨테이너배차관리!$Z:$Z,$B54)))</f>
        <v/>
      </c>
      <c r="W54" t="str">
        <f>IF($B54="","",IF(IF(INDEX(GLAPS컨테이너배차관리!$DI:$DI,$B54)="","",INDEX(GLAPS컨테이너배차관리!$DI:$DI,$B54))&lt;&gt;"",IF(INDEX(GLAPS컨테이너배차관리!$DI:$DI,$B54)="","",INDEX(GLAPS컨테이너배차관리!$DI:$DI,$B54)),IF(IF(INDEX(GLAPS컨테이너배차관리!$DJ:$DJ,$B54)="","",INDEX(GLAPS컨테이너배차관리!$DJ:$DJ,$B54))&lt;&gt;"",IF(INDEX(GLAPS컨테이너배차관리!$DJ:$DJ,$B54)="","",INDEX(GLAPS컨테이너배차관리!$DJ:$DJ,$B54)),IF(IF(INDEX(GLAPS컨테이너배차관리!$DK:$DK,$B54)="","",INDEX(GLAPS컨테이너배차관리!$DK:$DK,$B54))&lt;&gt;"",IF(INDEX(GLAPS컨테이너배차관리!$DK:$DK,$B54)="","",INDEX(GLAPS컨테이너배차관리!$DK:$DK,$B54)),IF(IF(INDEX(GLAPS컨테이너배차관리!$DL:$DL,$B54)="","",INDEX(GLAPS컨테이너배차관리!$DL:$DL,$B54))&lt;&gt;"",IF(INDEX(GLAPS컨테이너배차관리!$DL:$DL,$B54)="","",INDEX(GLAPS컨테이너배차관리!$DL:$DL,$B54)),IF(IF(INDEX(GLAPS컨테이너배차관리!$DM:$DM,$B54)="","",INDEX(GLAPS컨테이너배차관리!$DM:$DM,$B54))&lt;&gt;"",IF(INDEX(GLAPS컨테이너배차관리!$DM:$DM,$B54)="","",INDEX(GLAPS컨테이너배차관리!$DM:$DM,$B54)),""))))))</f>
        <v/>
      </c>
      <c r="X54" t="str">
        <f>IF($B54="","",IF(INDEX(GLAPS컨테이너배차관리!$F:$F,$B54)="","",INDEX(GLAPS컨테이너배차관리!$F:$F,$B54)))</f>
        <v/>
      </c>
      <c r="Y54" t="str">
        <f>IF($B54="","",IF(IF(INDEX(GLAPS컨테이너배차관리!$M:$M,$B54)="","",INDEX(GLAPS컨테이너배차관리!$M:$M,$B54))&lt;&gt;"",IF(INDEX(GLAPS컨테이너배차관리!$M:$M,$B54)="","",INDEX(GLAPS컨테이너배차관리!$M:$M,$B54)),IF(IF(INDEX(GLAPS컨테이너배차관리!$N:$N,$B54)="","",INDEX(GLAPS컨테이너배차관리!$N:$N,$B54))&lt;&gt;"",IF(INDEX(GLAPS컨테이너배차관리!$N:$N,$B54)="","",INDEX(GLAPS컨테이너배차관리!$N:$N,$B54)),"")))</f>
        <v/>
      </c>
      <c r="Z54" t="str">
        <f>IF($B54="","",IF(IF(INDEX(GLAPS컨테이너배차관리!$CU:$CU,$B54)="","",INDEX(GLAPS컨테이너배차관리!$CU:$CU,$B54))="","",IFERROR(INT(IF(INDEX(GLAPS컨테이너배차관리!$CU:$CU,$B54)="","",INDEX(GLAPS컨테이너배차관리!$CU:$CU,$B54))),"")))</f>
        <v/>
      </c>
      <c r="AA54" t="str">
        <f>IF($B54="","",IF(AND(IF(INDEX(GLAPS컨테이너배차관리!$CL:$CL,$B54)="","",INDEX(GLAPS컨테이너배차관리!$CL:$CL,$B54))="",IF(INDEX(GLAPS컨테이너배차관리!$CM:$CM,$B54)="","",INDEX(GLAPS컨테이너배차관리!$CM:$CM,$B54))=""),"",IF(OR(IF(INDEX(GLAPS컨테이너배차관리!$CL:$CL,$B54)="","",INDEX(GLAPS컨테이너배차관리!$CL:$CL,$B54))="B000016649",ISNUMBER(SEARCH("B015",IF(INDEX(GLAPS컨테이너배차관리!$CM:$CM,$B54)="","",INDEX(GLAPS컨테이너배차관리!$CM:$CM,$B54)))),ISNUMBER(SEARCH("세방",IF(INDEX(GLAPS컨테이너배차관리!$CM:$CM,$B54)="","",INDEX(GLAPS컨테이너배차관리!$CM:$CM,$B54)))),ISNUMBER(SEARCH("SB",IF(INDEX(GLAPS컨테이너배차관리!$CM:$CM,$B54)="","",INDEX(GLAPS컨테이너배차관리!$CM:$CM,$B54))))),"세방","")))</f>
        <v/>
      </c>
      <c r="AB54" t="str">
        <f>IF($B54="","",IF(IF(INDEX(GLAPS컨테이너배차관리!$CM:$CM,$B54)="","",INDEX(GLAPS컨테이너배차관리!$CM:$CM,$B54))="","",IF(ISNUMBER(SEARCH("이지스두동",IF(INDEX(GLAPS컨테이너배차관리!$CM:$CM,$B54)="","",INDEX(GLAPS컨테이너배차관리!$CM:$CM,$B54)))),"이지스두동",IF(ISNUMBER(SEARCH("이지스녹산",IF(INDEX(GLAPS컨테이너배차관리!$CM:$CM,$B54)="","",INDEX(GLAPS컨테이너배차관리!$CM:$CM,$B54)))),"이지스녹산",IF(ISNUMBER(SEARCH("천우",IF(INDEX(GLAPS컨테이너배차관리!$CM:$CM,$B54)="","",INDEX(GLAPS컨테이너배차관리!$CM:$CM,$B54)))),"천우",IF(OR(ISNUMBER(SEARCH("청암",IF(INDEX(GLAPS컨테이너배차관리!$CM:$CM,$B54)="","",INDEX(GLAPS컨테이너배차관리!$CM:$CM,$B54)))),ISNUMBER(SEARCH("SB청암",IF(INDEX(GLAPS컨테이너배차관리!$CM:$CM,$B54)="","",INDEX(GLAPS컨테이너배차관리!$CM:$CM,$B54))))),"청암신항",IF(INDEX(GLAPS컨테이너배차관리!$CM:$CM,$B54)="","",INDEX(GLAPS컨테이너배차관리!$CM:$CM,$B54))))))))</f>
        <v/>
      </c>
    </row>
    <row r="55" spans="1:28">
      <c r="A55">
        <v>54</v>
      </c>
      <c r="B55" t="str">
        <f>IFERROR(_xlfn.AGGREGATE(15,6,ROW(GLAPS컨테이너배차관리!$X$2:$X$20000)/(GLAPS컨테이너배차관리!$X$2:$X$20000&lt;&gt;""),A55),"")</f>
        <v/>
      </c>
      <c r="C55" t="str">
        <f>IF($B55="","",INT(IF(INDEX(GLAPS컨테이너배차관리!$K:$K,$B55)="","",INDEX(GLAPS컨테이너배차관리!$K:$K,$B55))))</f>
        <v/>
      </c>
      <c r="D55" t="str">
        <f>IF($B55="","",IF(ISNUMBER(SEARCH("이엘에스",IF(INDEX(GLAPS컨테이너배차관리!$AZ:$AZ,$B55)="","",INDEX(GLAPS컨테이너배차관리!$AZ:$AZ,$B55)))),"ELS솔루션",IF(INDEX(GLAPS컨테이너배차관리!$AZ:$AZ,$B55)="","",INDEX(GLAPS컨테이너배차관리!$AZ:$AZ,$B55))))</f>
        <v/>
      </c>
      <c r="E55" t="str">
        <f>IF($B55="","",IF(INDEX(GLAPS컨테이너배차관리!$L:$L,$B55)="","",INDEX(GLAPS컨테이너배차관리!$L:$L,$B55)))</f>
        <v/>
      </c>
      <c r="F55" t="str">
        <f>IF($B55="","",IF(HOUR(IF(INDEX(GLAPS컨테이너배차관리!$L:$L,$B55)="","",INDEX(GLAPS컨테이너배차관리!$L:$L,$B55)))&lt;12,"오전",IF(HOUR(IF(INDEX(GLAPS컨테이너배차관리!$L:$L,$B55)="","",INDEX(GLAPS컨테이너배차관리!$L:$L,$B55)))&lt;18,"오후","잔업")))</f>
        <v/>
      </c>
      <c r="G55" t="str">
        <f>IF($B55="","",IFERROR(INDEX(GLAPS정리!$G$3:$G$264,MATCH(IF(INDEX(GLAPS컨테이너배차관리!$BY:$BY,$B55)="","",INDEX(GLAPS컨테이너배차관리!$BY:$BY,$B55)),GLAPS정리!$H$3:$H$264,0)),TRIM(SUBSTITUTE(SUBSTITUTE(SUBSTITUTE(SUBSTITUTE(SUBSTITUTE(IF(INDEX(GLAPS컨테이너배차관리!$T:$T,$B55)="","",INDEX(GLAPS컨테이너배차관리!$T:$T,$B55)),"[GA]",""),"[GB]",""),"[GC]",""),"[KC]",""),"[GS]",""))))</f>
        <v/>
      </c>
      <c r="H55" t="str">
        <f>IF($B55="","",IFERROR(VLOOKUP(IF(INDEX(GLAPS컨테이너배차관리!$BY:$BY,$B55)="","",INDEX(GLAPS컨테이너배차관리!$BY:$BY,$B55)),GLAPS정리!$BT$3:$BV$200,3,0),""))</f>
        <v/>
      </c>
      <c r="I55" t="str">
        <f>IF($B55="","",LEFT(IF(INDEX(GLAPS컨테이너배차관리!$U:$U,$B55)="","",INDEX(GLAPS컨테이너배차관리!$U:$U,$B55)),FIND("/",IF(INDEX(GLAPS컨테이너배차관리!$U:$U,$B55)="","",INDEX(GLAPS컨테이너배차관리!$U:$U,$B55))&amp;"/")-1))</f>
        <v/>
      </c>
      <c r="J55" t="str">
        <f>IF($B55="","",IF(IF(INDEX(GLAPS컨테이너배차관리!$O:$O,$B55)="","",INDEX(GLAPS컨테이너배차관리!$O:$O,$B55))="EMC","EMA",IFERROR(INDEX(GLAPS정리!$A$2:$A$50,MATCH(IF(INDEX(GLAPS컨테이너배차관리!$O:$O,$B55)="","",INDEX(GLAPS컨테이너배차관리!$O:$O,$B55)),GLAPS정리!$D$2:$D$50,0)),IF(INDEX(GLAPS컨테이너배차관리!$O:$O,$B55)="","",INDEX(GLAPS컨테이너배차관리!$O:$O,$B55)))))</f>
        <v/>
      </c>
      <c r="K55" t="str">
        <f>IF($B55="","",IF(LEFT(IF(INDEX(GLAPS컨테이너배차관리!$Y:$Y,$B55)="","",INDEX(GLAPS컨테이너배차관리!$Y:$Y,$B55)),2)="22","20 Feet",IF(LEFT(IF(INDEX(GLAPS컨테이너배차관리!$Y:$Y,$B55)="","",INDEX(GLAPS컨테이너배차관리!$Y:$Y,$B55)),2)="42","40 Feet","40 Feet H")))</f>
        <v/>
      </c>
      <c r="L55" t="str">
        <f>IF($B55="","",IFERROR(INDEX(GLAPS정리!$BB$2:$BB$80,MATCH(IF(INDEX(GLAPS컨테이너배차관리!$BQ:$BQ,$B55)="","",INDEX(GLAPS컨테이너배차관리!$BQ:$BQ,$B55)),GLAPS정리!$BC$2:$BC$80,0)),IF(INDEX(GLAPS컨테이너배차관리!$BQ:$BQ,$B55)="","",INDEX(GLAPS컨테이너배차관리!$BQ:$BQ,$B55))))</f>
        <v/>
      </c>
      <c r="M55" t="str">
        <f>IF($B55="","",IFERROR(INDEX(GLAPS정리!$V$3:$V$180,MATCH(IF(INDEX(GLAPS컨테이너배차관리!$S:$S,$B55)="","",INDEX(GLAPS컨테이너배차관리!$S:$S,$B55)),GLAPS정리!$W$3:$W$180,0)),IF(INDEX(GLAPS컨테이너배차관리!$S:$S,$B55)="","",INDEX(GLAPS컨테이너배차관리!$S:$S,$B55))))</f>
        <v/>
      </c>
      <c r="N55" t="str">
        <f>IF($B55="","",IF(IF(INDEX(GLAPS컨테이너배차관리!$DF:$DF,$B55)="","",INDEX(GLAPS컨테이너배차관리!$DF:$DF,$B55))&lt;&gt;"",IF(INDEX(GLAPS컨테이너배차관리!$DF:$DF,$B55)="","",INDEX(GLAPS컨테이너배차관리!$DF:$DF,$B55)),IF(IF(INDEX(GLAPS컨테이너배차관리!$DG:$DG,$B55)="","",INDEX(GLAPS컨테이너배차관리!$DG:$DG,$B55))&lt;&gt;"",IF(INDEX(GLAPS컨테이너배차관리!$DG:$DG,$B55)="","",INDEX(GLAPS컨테이너배차관리!$DG:$DG,$B55)),"")))</f>
        <v/>
      </c>
      <c r="O55" t="str">
        <f>IF($B55="","",IF(INDEX(GLAPS컨테이너배차관리!$AB:$AB,$B55)="","",INDEX(GLAPS컨테이너배차관리!$AB:$AB,$B55)))</f>
        <v/>
      </c>
      <c r="P55" t="str">
        <f>IF($B55="","",IF(IF(INDEX(GLAPS컨테이너배차관리!$CP:$CP,$B55)="","",INDEX(GLAPS컨테이너배차관리!$CP:$CP,$B55))="","",IFERROR(INDEX(GLAPS정리!$BH$2:$BH$101,MATCH(IF(INDEX(GLAPS컨테이너배차관리!$CP:$CP,$B55)="","",INDEX(GLAPS컨테이너배차관리!$CP:$CP,$B55)),GLAPS정리!$BI$2:$BI$101,0)),IF(INDEX(GLAPS컨테이너배차관리!$CP:$CP,$B55)="","",INDEX(GLAPS컨테이너배차관리!$CP:$CP,$B55)))))</f>
        <v/>
      </c>
      <c r="Q55" t="str">
        <f>IF($B55="","",IF(AND(IF(INDEX(GLAPS컨테이너배차관리!$AK:$AK,$B55)="","",INDEX(GLAPS컨테이너배차관리!$AK:$AK,$B55))="Y",IF(INDEX(GLAPS컨테이너배차관리!$AI:$AI,$B55)="","",INDEX(GLAPS컨테이너배차관리!$AI:$AI,$B55))="Y"),"위험물리퍼",IF(IF(INDEX(GLAPS컨테이너배차관리!$AK:$AK,$B55)="","",INDEX(GLAPS컨테이너배차관리!$AK:$AK,$B55))="Y","위험물",IF(IF(INDEX(GLAPS컨테이너배차관리!$AI:$AI,$B55)="","",INDEX(GLAPS컨테이너배차관리!$AI:$AI,$B55))="Y","리퍼",""))))</f>
        <v/>
      </c>
      <c r="R55" t="str">
        <f>IF($B55="","",IF(LEFT(IF(INDEX(GLAPS컨테이너배차관리!$Y:$Y,$B55)="","",INDEX(GLAPS컨테이너배차관리!$Y:$Y,$B55)),2)="22",1,""))</f>
        <v/>
      </c>
      <c r="S55" t="str">
        <f>IF($B55="","",IF(LEFT(IF(INDEX(GLAPS컨테이너배차관리!$Y:$Y,$B55)="","",INDEX(GLAPS컨테이너배차관리!$Y:$Y,$B55)),2)="42",1,""))</f>
        <v/>
      </c>
      <c r="T55" t="str">
        <f>IF($B55="","",IF(LEFT(IF(INDEX(GLAPS컨테이너배차관리!$Y:$Y,$B55)="","",INDEX(GLAPS컨테이너배차관리!$Y:$Y,$B55)),2)="45",1,""))</f>
        <v/>
      </c>
      <c r="U55" t="str">
        <f>IF($B55="","",IF(INDEX(GLAPS컨테이너배차관리!$X:$X,$B55)="","",INDEX(GLAPS컨테이너배차관리!$X:$X,$B55)))</f>
        <v/>
      </c>
      <c r="V55" t="str">
        <f>IF($B55="","",IF(INDEX(GLAPS컨테이너배차관리!$Z:$Z,$B55)="","",INDEX(GLAPS컨테이너배차관리!$Z:$Z,$B55)))</f>
        <v/>
      </c>
      <c r="W55" t="str">
        <f>IF($B55="","",IF(IF(INDEX(GLAPS컨테이너배차관리!$DI:$DI,$B55)="","",INDEX(GLAPS컨테이너배차관리!$DI:$DI,$B55))&lt;&gt;"",IF(INDEX(GLAPS컨테이너배차관리!$DI:$DI,$B55)="","",INDEX(GLAPS컨테이너배차관리!$DI:$DI,$B55)),IF(IF(INDEX(GLAPS컨테이너배차관리!$DJ:$DJ,$B55)="","",INDEX(GLAPS컨테이너배차관리!$DJ:$DJ,$B55))&lt;&gt;"",IF(INDEX(GLAPS컨테이너배차관리!$DJ:$DJ,$B55)="","",INDEX(GLAPS컨테이너배차관리!$DJ:$DJ,$B55)),IF(IF(INDEX(GLAPS컨테이너배차관리!$DK:$DK,$B55)="","",INDEX(GLAPS컨테이너배차관리!$DK:$DK,$B55))&lt;&gt;"",IF(INDEX(GLAPS컨테이너배차관리!$DK:$DK,$B55)="","",INDEX(GLAPS컨테이너배차관리!$DK:$DK,$B55)),IF(IF(INDEX(GLAPS컨테이너배차관리!$DL:$DL,$B55)="","",INDEX(GLAPS컨테이너배차관리!$DL:$DL,$B55))&lt;&gt;"",IF(INDEX(GLAPS컨테이너배차관리!$DL:$DL,$B55)="","",INDEX(GLAPS컨테이너배차관리!$DL:$DL,$B55)),IF(IF(INDEX(GLAPS컨테이너배차관리!$DM:$DM,$B55)="","",INDEX(GLAPS컨테이너배차관리!$DM:$DM,$B55))&lt;&gt;"",IF(INDEX(GLAPS컨테이너배차관리!$DM:$DM,$B55)="","",INDEX(GLAPS컨테이너배차관리!$DM:$DM,$B55)),""))))))</f>
        <v/>
      </c>
      <c r="X55" t="str">
        <f>IF($B55="","",IF(INDEX(GLAPS컨테이너배차관리!$F:$F,$B55)="","",INDEX(GLAPS컨테이너배차관리!$F:$F,$B55)))</f>
        <v/>
      </c>
      <c r="Y55" t="str">
        <f>IF($B55="","",IF(IF(INDEX(GLAPS컨테이너배차관리!$M:$M,$B55)="","",INDEX(GLAPS컨테이너배차관리!$M:$M,$B55))&lt;&gt;"",IF(INDEX(GLAPS컨테이너배차관리!$M:$M,$B55)="","",INDEX(GLAPS컨테이너배차관리!$M:$M,$B55)),IF(IF(INDEX(GLAPS컨테이너배차관리!$N:$N,$B55)="","",INDEX(GLAPS컨테이너배차관리!$N:$N,$B55))&lt;&gt;"",IF(INDEX(GLAPS컨테이너배차관리!$N:$N,$B55)="","",INDEX(GLAPS컨테이너배차관리!$N:$N,$B55)),"")))</f>
        <v/>
      </c>
      <c r="Z55" t="str">
        <f>IF($B55="","",IF(IF(INDEX(GLAPS컨테이너배차관리!$CU:$CU,$B55)="","",INDEX(GLAPS컨테이너배차관리!$CU:$CU,$B55))="","",IFERROR(INT(IF(INDEX(GLAPS컨테이너배차관리!$CU:$CU,$B55)="","",INDEX(GLAPS컨테이너배차관리!$CU:$CU,$B55))),"")))</f>
        <v/>
      </c>
      <c r="AA55" t="str">
        <f>IF($B55="","",IF(AND(IF(INDEX(GLAPS컨테이너배차관리!$CL:$CL,$B55)="","",INDEX(GLAPS컨테이너배차관리!$CL:$CL,$B55))="",IF(INDEX(GLAPS컨테이너배차관리!$CM:$CM,$B55)="","",INDEX(GLAPS컨테이너배차관리!$CM:$CM,$B55))=""),"",IF(OR(IF(INDEX(GLAPS컨테이너배차관리!$CL:$CL,$B55)="","",INDEX(GLAPS컨테이너배차관리!$CL:$CL,$B55))="B000016649",ISNUMBER(SEARCH("B015",IF(INDEX(GLAPS컨테이너배차관리!$CM:$CM,$B55)="","",INDEX(GLAPS컨테이너배차관리!$CM:$CM,$B55)))),ISNUMBER(SEARCH("세방",IF(INDEX(GLAPS컨테이너배차관리!$CM:$CM,$B55)="","",INDEX(GLAPS컨테이너배차관리!$CM:$CM,$B55)))),ISNUMBER(SEARCH("SB",IF(INDEX(GLAPS컨테이너배차관리!$CM:$CM,$B55)="","",INDEX(GLAPS컨테이너배차관리!$CM:$CM,$B55))))),"세방","")))</f>
        <v/>
      </c>
      <c r="AB55" t="str">
        <f>IF($B55="","",IF(IF(INDEX(GLAPS컨테이너배차관리!$CM:$CM,$B55)="","",INDEX(GLAPS컨테이너배차관리!$CM:$CM,$B55))="","",IF(ISNUMBER(SEARCH("이지스두동",IF(INDEX(GLAPS컨테이너배차관리!$CM:$CM,$B55)="","",INDEX(GLAPS컨테이너배차관리!$CM:$CM,$B55)))),"이지스두동",IF(ISNUMBER(SEARCH("이지스녹산",IF(INDEX(GLAPS컨테이너배차관리!$CM:$CM,$B55)="","",INDEX(GLAPS컨테이너배차관리!$CM:$CM,$B55)))),"이지스녹산",IF(ISNUMBER(SEARCH("천우",IF(INDEX(GLAPS컨테이너배차관리!$CM:$CM,$B55)="","",INDEX(GLAPS컨테이너배차관리!$CM:$CM,$B55)))),"천우",IF(OR(ISNUMBER(SEARCH("청암",IF(INDEX(GLAPS컨테이너배차관리!$CM:$CM,$B55)="","",INDEX(GLAPS컨테이너배차관리!$CM:$CM,$B55)))),ISNUMBER(SEARCH("SB청암",IF(INDEX(GLAPS컨테이너배차관리!$CM:$CM,$B55)="","",INDEX(GLAPS컨테이너배차관리!$CM:$CM,$B55))))),"청암신항",IF(INDEX(GLAPS컨테이너배차관리!$CM:$CM,$B55)="","",INDEX(GLAPS컨테이너배차관리!$CM:$CM,$B55))))))))</f>
        <v/>
      </c>
    </row>
    <row r="56" spans="1:28">
      <c r="A56">
        <v>55</v>
      </c>
      <c r="B56" t="str">
        <f>IFERROR(_xlfn.AGGREGATE(15,6,ROW(GLAPS컨테이너배차관리!$X$2:$X$20000)/(GLAPS컨테이너배차관리!$X$2:$X$20000&lt;&gt;""),A56),"")</f>
        <v/>
      </c>
      <c r="C56" t="str">
        <f>IF($B56="","",INT(IF(INDEX(GLAPS컨테이너배차관리!$K:$K,$B56)="","",INDEX(GLAPS컨테이너배차관리!$K:$K,$B56))))</f>
        <v/>
      </c>
      <c r="D56" t="str">
        <f>IF($B56="","",IF(ISNUMBER(SEARCH("이엘에스",IF(INDEX(GLAPS컨테이너배차관리!$AZ:$AZ,$B56)="","",INDEX(GLAPS컨테이너배차관리!$AZ:$AZ,$B56)))),"ELS솔루션",IF(INDEX(GLAPS컨테이너배차관리!$AZ:$AZ,$B56)="","",INDEX(GLAPS컨테이너배차관리!$AZ:$AZ,$B56))))</f>
        <v/>
      </c>
      <c r="E56" t="str">
        <f>IF($B56="","",IF(INDEX(GLAPS컨테이너배차관리!$L:$L,$B56)="","",INDEX(GLAPS컨테이너배차관리!$L:$L,$B56)))</f>
        <v/>
      </c>
      <c r="F56" t="str">
        <f>IF($B56="","",IF(HOUR(IF(INDEX(GLAPS컨테이너배차관리!$L:$L,$B56)="","",INDEX(GLAPS컨테이너배차관리!$L:$L,$B56)))&lt;12,"오전",IF(HOUR(IF(INDEX(GLAPS컨테이너배차관리!$L:$L,$B56)="","",INDEX(GLAPS컨테이너배차관리!$L:$L,$B56)))&lt;18,"오후","잔업")))</f>
        <v/>
      </c>
      <c r="G56" t="str">
        <f>IF($B56="","",IFERROR(INDEX(GLAPS정리!$G$3:$G$264,MATCH(IF(INDEX(GLAPS컨테이너배차관리!$BY:$BY,$B56)="","",INDEX(GLAPS컨테이너배차관리!$BY:$BY,$B56)),GLAPS정리!$H$3:$H$264,0)),TRIM(SUBSTITUTE(SUBSTITUTE(SUBSTITUTE(SUBSTITUTE(SUBSTITUTE(IF(INDEX(GLAPS컨테이너배차관리!$T:$T,$B56)="","",INDEX(GLAPS컨테이너배차관리!$T:$T,$B56)),"[GA]",""),"[GB]",""),"[GC]",""),"[KC]",""),"[GS]",""))))</f>
        <v/>
      </c>
      <c r="H56" t="str">
        <f>IF($B56="","",IFERROR(VLOOKUP(IF(INDEX(GLAPS컨테이너배차관리!$BY:$BY,$B56)="","",INDEX(GLAPS컨테이너배차관리!$BY:$BY,$B56)),GLAPS정리!$BT$3:$BV$200,3,0),""))</f>
        <v/>
      </c>
      <c r="I56" t="str">
        <f>IF($B56="","",LEFT(IF(INDEX(GLAPS컨테이너배차관리!$U:$U,$B56)="","",INDEX(GLAPS컨테이너배차관리!$U:$U,$B56)),FIND("/",IF(INDEX(GLAPS컨테이너배차관리!$U:$U,$B56)="","",INDEX(GLAPS컨테이너배차관리!$U:$U,$B56))&amp;"/")-1))</f>
        <v/>
      </c>
      <c r="J56" t="str">
        <f>IF($B56="","",IF(IF(INDEX(GLAPS컨테이너배차관리!$O:$O,$B56)="","",INDEX(GLAPS컨테이너배차관리!$O:$O,$B56))="EMC","EMA",IFERROR(INDEX(GLAPS정리!$A$2:$A$50,MATCH(IF(INDEX(GLAPS컨테이너배차관리!$O:$O,$B56)="","",INDEX(GLAPS컨테이너배차관리!$O:$O,$B56)),GLAPS정리!$D$2:$D$50,0)),IF(INDEX(GLAPS컨테이너배차관리!$O:$O,$B56)="","",INDEX(GLAPS컨테이너배차관리!$O:$O,$B56)))))</f>
        <v/>
      </c>
      <c r="K56" t="str">
        <f>IF($B56="","",IF(LEFT(IF(INDEX(GLAPS컨테이너배차관리!$Y:$Y,$B56)="","",INDEX(GLAPS컨테이너배차관리!$Y:$Y,$B56)),2)="22","20 Feet",IF(LEFT(IF(INDEX(GLAPS컨테이너배차관리!$Y:$Y,$B56)="","",INDEX(GLAPS컨테이너배차관리!$Y:$Y,$B56)),2)="42","40 Feet","40 Feet H")))</f>
        <v/>
      </c>
      <c r="L56" t="str">
        <f>IF($B56="","",IFERROR(INDEX(GLAPS정리!$BB$2:$BB$80,MATCH(IF(INDEX(GLAPS컨테이너배차관리!$BQ:$BQ,$B56)="","",INDEX(GLAPS컨테이너배차관리!$BQ:$BQ,$B56)),GLAPS정리!$BC$2:$BC$80,0)),IF(INDEX(GLAPS컨테이너배차관리!$BQ:$BQ,$B56)="","",INDEX(GLAPS컨테이너배차관리!$BQ:$BQ,$B56))))</f>
        <v/>
      </c>
      <c r="M56" t="str">
        <f>IF($B56="","",IFERROR(INDEX(GLAPS정리!$V$3:$V$180,MATCH(IF(INDEX(GLAPS컨테이너배차관리!$S:$S,$B56)="","",INDEX(GLAPS컨테이너배차관리!$S:$S,$B56)),GLAPS정리!$W$3:$W$180,0)),IF(INDEX(GLAPS컨테이너배차관리!$S:$S,$B56)="","",INDEX(GLAPS컨테이너배차관리!$S:$S,$B56))))</f>
        <v/>
      </c>
      <c r="N56" t="str">
        <f>IF($B56="","",IF(IF(INDEX(GLAPS컨테이너배차관리!$DF:$DF,$B56)="","",INDEX(GLAPS컨테이너배차관리!$DF:$DF,$B56))&lt;&gt;"",IF(INDEX(GLAPS컨테이너배차관리!$DF:$DF,$B56)="","",INDEX(GLAPS컨테이너배차관리!$DF:$DF,$B56)),IF(IF(INDEX(GLAPS컨테이너배차관리!$DG:$DG,$B56)="","",INDEX(GLAPS컨테이너배차관리!$DG:$DG,$B56))&lt;&gt;"",IF(INDEX(GLAPS컨테이너배차관리!$DG:$DG,$B56)="","",INDEX(GLAPS컨테이너배차관리!$DG:$DG,$B56)),"")))</f>
        <v/>
      </c>
      <c r="O56" t="str">
        <f>IF($B56="","",IF(INDEX(GLAPS컨테이너배차관리!$AB:$AB,$B56)="","",INDEX(GLAPS컨테이너배차관리!$AB:$AB,$B56)))</f>
        <v/>
      </c>
      <c r="P56" t="str">
        <f>IF($B56="","",IF(IF(INDEX(GLAPS컨테이너배차관리!$CP:$CP,$B56)="","",INDEX(GLAPS컨테이너배차관리!$CP:$CP,$B56))="","",IFERROR(INDEX(GLAPS정리!$BH$2:$BH$101,MATCH(IF(INDEX(GLAPS컨테이너배차관리!$CP:$CP,$B56)="","",INDEX(GLAPS컨테이너배차관리!$CP:$CP,$B56)),GLAPS정리!$BI$2:$BI$101,0)),IF(INDEX(GLAPS컨테이너배차관리!$CP:$CP,$B56)="","",INDEX(GLAPS컨테이너배차관리!$CP:$CP,$B56)))))</f>
        <v/>
      </c>
      <c r="Q56" t="str">
        <f>IF($B56="","",IF(AND(IF(INDEX(GLAPS컨테이너배차관리!$AK:$AK,$B56)="","",INDEX(GLAPS컨테이너배차관리!$AK:$AK,$B56))="Y",IF(INDEX(GLAPS컨테이너배차관리!$AI:$AI,$B56)="","",INDEX(GLAPS컨테이너배차관리!$AI:$AI,$B56))="Y"),"위험물리퍼",IF(IF(INDEX(GLAPS컨테이너배차관리!$AK:$AK,$B56)="","",INDEX(GLAPS컨테이너배차관리!$AK:$AK,$B56))="Y","위험물",IF(IF(INDEX(GLAPS컨테이너배차관리!$AI:$AI,$B56)="","",INDEX(GLAPS컨테이너배차관리!$AI:$AI,$B56))="Y","리퍼",""))))</f>
        <v/>
      </c>
      <c r="R56" t="str">
        <f>IF($B56="","",IF(LEFT(IF(INDEX(GLAPS컨테이너배차관리!$Y:$Y,$B56)="","",INDEX(GLAPS컨테이너배차관리!$Y:$Y,$B56)),2)="22",1,""))</f>
        <v/>
      </c>
      <c r="S56" t="str">
        <f>IF($B56="","",IF(LEFT(IF(INDEX(GLAPS컨테이너배차관리!$Y:$Y,$B56)="","",INDEX(GLAPS컨테이너배차관리!$Y:$Y,$B56)),2)="42",1,""))</f>
        <v/>
      </c>
      <c r="T56" t="str">
        <f>IF($B56="","",IF(LEFT(IF(INDEX(GLAPS컨테이너배차관리!$Y:$Y,$B56)="","",INDEX(GLAPS컨테이너배차관리!$Y:$Y,$B56)),2)="45",1,""))</f>
        <v/>
      </c>
      <c r="U56" t="str">
        <f>IF($B56="","",IF(INDEX(GLAPS컨테이너배차관리!$X:$X,$B56)="","",INDEX(GLAPS컨테이너배차관리!$X:$X,$B56)))</f>
        <v/>
      </c>
      <c r="V56" t="str">
        <f>IF($B56="","",IF(INDEX(GLAPS컨테이너배차관리!$Z:$Z,$B56)="","",INDEX(GLAPS컨테이너배차관리!$Z:$Z,$B56)))</f>
        <v/>
      </c>
      <c r="W56" t="str">
        <f>IF($B56="","",IF(IF(INDEX(GLAPS컨테이너배차관리!$DI:$DI,$B56)="","",INDEX(GLAPS컨테이너배차관리!$DI:$DI,$B56))&lt;&gt;"",IF(INDEX(GLAPS컨테이너배차관리!$DI:$DI,$B56)="","",INDEX(GLAPS컨테이너배차관리!$DI:$DI,$B56)),IF(IF(INDEX(GLAPS컨테이너배차관리!$DJ:$DJ,$B56)="","",INDEX(GLAPS컨테이너배차관리!$DJ:$DJ,$B56))&lt;&gt;"",IF(INDEX(GLAPS컨테이너배차관리!$DJ:$DJ,$B56)="","",INDEX(GLAPS컨테이너배차관리!$DJ:$DJ,$B56)),IF(IF(INDEX(GLAPS컨테이너배차관리!$DK:$DK,$B56)="","",INDEX(GLAPS컨테이너배차관리!$DK:$DK,$B56))&lt;&gt;"",IF(INDEX(GLAPS컨테이너배차관리!$DK:$DK,$B56)="","",INDEX(GLAPS컨테이너배차관리!$DK:$DK,$B56)),IF(IF(INDEX(GLAPS컨테이너배차관리!$DL:$DL,$B56)="","",INDEX(GLAPS컨테이너배차관리!$DL:$DL,$B56))&lt;&gt;"",IF(INDEX(GLAPS컨테이너배차관리!$DL:$DL,$B56)="","",INDEX(GLAPS컨테이너배차관리!$DL:$DL,$B56)),IF(IF(INDEX(GLAPS컨테이너배차관리!$DM:$DM,$B56)="","",INDEX(GLAPS컨테이너배차관리!$DM:$DM,$B56))&lt;&gt;"",IF(INDEX(GLAPS컨테이너배차관리!$DM:$DM,$B56)="","",INDEX(GLAPS컨테이너배차관리!$DM:$DM,$B56)),""))))))</f>
        <v/>
      </c>
      <c r="X56" t="str">
        <f>IF($B56="","",IF(INDEX(GLAPS컨테이너배차관리!$F:$F,$B56)="","",INDEX(GLAPS컨테이너배차관리!$F:$F,$B56)))</f>
        <v/>
      </c>
      <c r="Y56" t="str">
        <f>IF($B56="","",IF(IF(INDEX(GLAPS컨테이너배차관리!$M:$M,$B56)="","",INDEX(GLAPS컨테이너배차관리!$M:$M,$B56))&lt;&gt;"",IF(INDEX(GLAPS컨테이너배차관리!$M:$M,$B56)="","",INDEX(GLAPS컨테이너배차관리!$M:$M,$B56)),IF(IF(INDEX(GLAPS컨테이너배차관리!$N:$N,$B56)="","",INDEX(GLAPS컨테이너배차관리!$N:$N,$B56))&lt;&gt;"",IF(INDEX(GLAPS컨테이너배차관리!$N:$N,$B56)="","",INDEX(GLAPS컨테이너배차관리!$N:$N,$B56)),"")))</f>
        <v/>
      </c>
      <c r="Z56" t="str">
        <f>IF($B56="","",IF(IF(INDEX(GLAPS컨테이너배차관리!$CU:$CU,$B56)="","",INDEX(GLAPS컨테이너배차관리!$CU:$CU,$B56))="","",IFERROR(INT(IF(INDEX(GLAPS컨테이너배차관리!$CU:$CU,$B56)="","",INDEX(GLAPS컨테이너배차관리!$CU:$CU,$B56))),"")))</f>
        <v/>
      </c>
      <c r="AA56" t="str">
        <f>IF($B56="","",IF(AND(IF(INDEX(GLAPS컨테이너배차관리!$CL:$CL,$B56)="","",INDEX(GLAPS컨테이너배차관리!$CL:$CL,$B56))="",IF(INDEX(GLAPS컨테이너배차관리!$CM:$CM,$B56)="","",INDEX(GLAPS컨테이너배차관리!$CM:$CM,$B56))=""),"",IF(OR(IF(INDEX(GLAPS컨테이너배차관리!$CL:$CL,$B56)="","",INDEX(GLAPS컨테이너배차관리!$CL:$CL,$B56))="B000016649",ISNUMBER(SEARCH("B015",IF(INDEX(GLAPS컨테이너배차관리!$CM:$CM,$B56)="","",INDEX(GLAPS컨테이너배차관리!$CM:$CM,$B56)))),ISNUMBER(SEARCH("세방",IF(INDEX(GLAPS컨테이너배차관리!$CM:$CM,$B56)="","",INDEX(GLAPS컨테이너배차관리!$CM:$CM,$B56)))),ISNUMBER(SEARCH("SB",IF(INDEX(GLAPS컨테이너배차관리!$CM:$CM,$B56)="","",INDEX(GLAPS컨테이너배차관리!$CM:$CM,$B56))))),"세방","")))</f>
        <v/>
      </c>
      <c r="AB56" t="str">
        <f>IF($B56="","",IF(IF(INDEX(GLAPS컨테이너배차관리!$CM:$CM,$B56)="","",INDEX(GLAPS컨테이너배차관리!$CM:$CM,$B56))="","",IF(ISNUMBER(SEARCH("이지스두동",IF(INDEX(GLAPS컨테이너배차관리!$CM:$CM,$B56)="","",INDEX(GLAPS컨테이너배차관리!$CM:$CM,$B56)))),"이지스두동",IF(ISNUMBER(SEARCH("이지스녹산",IF(INDEX(GLAPS컨테이너배차관리!$CM:$CM,$B56)="","",INDEX(GLAPS컨테이너배차관리!$CM:$CM,$B56)))),"이지스녹산",IF(ISNUMBER(SEARCH("천우",IF(INDEX(GLAPS컨테이너배차관리!$CM:$CM,$B56)="","",INDEX(GLAPS컨테이너배차관리!$CM:$CM,$B56)))),"천우",IF(OR(ISNUMBER(SEARCH("청암",IF(INDEX(GLAPS컨테이너배차관리!$CM:$CM,$B56)="","",INDEX(GLAPS컨테이너배차관리!$CM:$CM,$B56)))),ISNUMBER(SEARCH("SB청암",IF(INDEX(GLAPS컨테이너배차관리!$CM:$CM,$B56)="","",INDEX(GLAPS컨테이너배차관리!$CM:$CM,$B56))))),"청암신항",IF(INDEX(GLAPS컨테이너배차관리!$CM:$CM,$B56)="","",INDEX(GLAPS컨테이너배차관리!$CM:$CM,$B56))))))))</f>
        <v/>
      </c>
    </row>
    <row r="57" spans="1:28">
      <c r="A57">
        <v>56</v>
      </c>
      <c r="B57" t="str">
        <f>IFERROR(_xlfn.AGGREGATE(15,6,ROW(GLAPS컨테이너배차관리!$X$2:$X$20000)/(GLAPS컨테이너배차관리!$X$2:$X$20000&lt;&gt;""),A57),"")</f>
        <v/>
      </c>
      <c r="C57" t="str">
        <f>IF($B57="","",INT(IF(INDEX(GLAPS컨테이너배차관리!$K:$K,$B57)="","",INDEX(GLAPS컨테이너배차관리!$K:$K,$B57))))</f>
        <v/>
      </c>
      <c r="D57" t="str">
        <f>IF($B57="","",IF(ISNUMBER(SEARCH("이엘에스",IF(INDEX(GLAPS컨테이너배차관리!$AZ:$AZ,$B57)="","",INDEX(GLAPS컨테이너배차관리!$AZ:$AZ,$B57)))),"ELS솔루션",IF(INDEX(GLAPS컨테이너배차관리!$AZ:$AZ,$B57)="","",INDEX(GLAPS컨테이너배차관리!$AZ:$AZ,$B57))))</f>
        <v/>
      </c>
      <c r="E57" t="str">
        <f>IF($B57="","",IF(INDEX(GLAPS컨테이너배차관리!$L:$L,$B57)="","",INDEX(GLAPS컨테이너배차관리!$L:$L,$B57)))</f>
        <v/>
      </c>
      <c r="F57" t="str">
        <f>IF($B57="","",IF(HOUR(IF(INDEX(GLAPS컨테이너배차관리!$L:$L,$B57)="","",INDEX(GLAPS컨테이너배차관리!$L:$L,$B57)))&lt;12,"오전",IF(HOUR(IF(INDEX(GLAPS컨테이너배차관리!$L:$L,$B57)="","",INDEX(GLAPS컨테이너배차관리!$L:$L,$B57)))&lt;18,"오후","잔업")))</f>
        <v/>
      </c>
      <c r="G57" t="str">
        <f>IF($B57="","",IFERROR(INDEX(GLAPS정리!$G$3:$G$264,MATCH(IF(INDEX(GLAPS컨테이너배차관리!$BY:$BY,$B57)="","",INDEX(GLAPS컨테이너배차관리!$BY:$BY,$B57)),GLAPS정리!$H$3:$H$264,0)),TRIM(SUBSTITUTE(SUBSTITUTE(SUBSTITUTE(SUBSTITUTE(SUBSTITUTE(IF(INDEX(GLAPS컨테이너배차관리!$T:$T,$B57)="","",INDEX(GLAPS컨테이너배차관리!$T:$T,$B57)),"[GA]",""),"[GB]",""),"[GC]",""),"[KC]",""),"[GS]",""))))</f>
        <v/>
      </c>
      <c r="H57" t="str">
        <f>IF($B57="","",IFERROR(VLOOKUP(IF(INDEX(GLAPS컨테이너배차관리!$BY:$BY,$B57)="","",INDEX(GLAPS컨테이너배차관리!$BY:$BY,$B57)),GLAPS정리!$BT$3:$BV$200,3,0),""))</f>
        <v/>
      </c>
      <c r="I57" t="str">
        <f>IF($B57="","",LEFT(IF(INDEX(GLAPS컨테이너배차관리!$U:$U,$B57)="","",INDEX(GLAPS컨테이너배차관리!$U:$U,$B57)),FIND("/",IF(INDEX(GLAPS컨테이너배차관리!$U:$U,$B57)="","",INDEX(GLAPS컨테이너배차관리!$U:$U,$B57))&amp;"/")-1))</f>
        <v/>
      </c>
      <c r="J57" t="str">
        <f>IF($B57="","",IF(IF(INDEX(GLAPS컨테이너배차관리!$O:$O,$B57)="","",INDEX(GLAPS컨테이너배차관리!$O:$O,$B57))="EMC","EMA",IFERROR(INDEX(GLAPS정리!$A$2:$A$50,MATCH(IF(INDEX(GLAPS컨테이너배차관리!$O:$O,$B57)="","",INDEX(GLAPS컨테이너배차관리!$O:$O,$B57)),GLAPS정리!$D$2:$D$50,0)),IF(INDEX(GLAPS컨테이너배차관리!$O:$O,$B57)="","",INDEX(GLAPS컨테이너배차관리!$O:$O,$B57)))))</f>
        <v/>
      </c>
      <c r="K57" t="str">
        <f>IF($B57="","",IF(LEFT(IF(INDEX(GLAPS컨테이너배차관리!$Y:$Y,$B57)="","",INDEX(GLAPS컨테이너배차관리!$Y:$Y,$B57)),2)="22","20 Feet",IF(LEFT(IF(INDEX(GLAPS컨테이너배차관리!$Y:$Y,$B57)="","",INDEX(GLAPS컨테이너배차관리!$Y:$Y,$B57)),2)="42","40 Feet","40 Feet H")))</f>
        <v/>
      </c>
      <c r="L57" t="str">
        <f>IF($B57="","",IFERROR(INDEX(GLAPS정리!$BB$2:$BB$80,MATCH(IF(INDEX(GLAPS컨테이너배차관리!$BQ:$BQ,$B57)="","",INDEX(GLAPS컨테이너배차관리!$BQ:$BQ,$B57)),GLAPS정리!$BC$2:$BC$80,0)),IF(INDEX(GLAPS컨테이너배차관리!$BQ:$BQ,$B57)="","",INDEX(GLAPS컨테이너배차관리!$BQ:$BQ,$B57))))</f>
        <v/>
      </c>
      <c r="M57" t="str">
        <f>IF($B57="","",IFERROR(INDEX(GLAPS정리!$V$3:$V$180,MATCH(IF(INDEX(GLAPS컨테이너배차관리!$S:$S,$B57)="","",INDEX(GLAPS컨테이너배차관리!$S:$S,$B57)),GLAPS정리!$W$3:$W$180,0)),IF(INDEX(GLAPS컨테이너배차관리!$S:$S,$B57)="","",INDEX(GLAPS컨테이너배차관리!$S:$S,$B57))))</f>
        <v/>
      </c>
      <c r="N57" t="str">
        <f>IF($B57="","",IF(IF(INDEX(GLAPS컨테이너배차관리!$DF:$DF,$B57)="","",INDEX(GLAPS컨테이너배차관리!$DF:$DF,$B57))&lt;&gt;"",IF(INDEX(GLAPS컨테이너배차관리!$DF:$DF,$B57)="","",INDEX(GLAPS컨테이너배차관리!$DF:$DF,$B57)),IF(IF(INDEX(GLAPS컨테이너배차관리!$DG:$DG,$B57)="","",INDEX(GLAPS컨테이너배차관리!$DG:$DG,$B57))&lt;&gt;"",IF(INDEX(GLAPS컨테이너배차관리!$DG:$DG,$B57)="","",INDEX(GLAPS컨테이너배차관리!$DG:$DG,$B57)),"")))</f>
        <v/>
      </c>
      <c r="O57" t="str">
        <f>IF($B57="","",IF(INDEX(GLAPS컨테이너배차관리!$AB:$AB,$B57)="","",INDEX(GLAPS컨테이너배차관리!$AB:$AB,$B57)))</f>
        <v/>
      </c>
      <c r="P57" t="str">
        <f>IF($B57="","",IF(IF(INDEX(GLAPS컨테이너배차관리!$CP:$CP,$B57)="","",INDEX(GLAPS컨테이너배차관리!$CP:$CP,$B57))="","",IFERROR(INDEX(GLAPS정리!$BH$2:$BH$101,MATCH(IF(INDEX(GLAPS컨테이너배차관리!$CP:$CP,$B57)="","",INDEX(GLAPS컨테이너배차관리!$CP:$CP,$B57)),GLAPS정리!$BI$2:$BI$101,0)),IF(INDEX(GLAPS컨테이너배차관리!$CP:$CP,$B57)="","",INDEX(GLAPS컨테이너배차관리!$CP:$CP,$B57)))))</f>
        <v/>
      </c>
      <c r="Q57" t="str">
        <f>IF($B57="","",IF(AND(IF(INDEX(GLAPS컨테이너배차관리!$AK:$AK,$B57)="","",INDEX(GLAPS컨테이너배차관리!$AK:$AK,$B57))="Y",IF(INDEX(GLAPS컨테이너배차관리!$AI:$AI,$B57)="","",INDEX(GLAPS컨테이너배차관리!$AI:$AI,$B57))="Y"),"위험물리퍼",IF(IF(INDEX(GLAPS컨테이너배차관리!$AK:$AK,$B57)="","",INDEX(GLAPS컨테이너배차관리!$AK:$AK,$B57))="Y","위험물",IF(IF(INDEX(GLAPS컨테이너배차관리!$AI:$AI,$B57)="","",INDEX(GLAPS컨테이너배차관리!$AI:$AI,$B57))="Y","리퍼",""))))</f>
        <v/>
      </c>
      <c r="R57" t="str">
        <f>IF($B57="","",IF(LEFT(IF(INDEX(GLAPS컨테이너배차관리!$Y:$Y,$B57)="","",INDEX(GLAPS컨테이너배차관리!$Y:$Y,$B57)),2)="22",1,""))</f>
        <v/>
      </c>
      <c r="S57" t="str">
        <f>IF($B57="","",IF(LEFT(IF(INDEX(GLAPS컨테이너배차관리!$Y:$Y,$B57)="","",INDEX(GLAPS컨테이너배차관리!$Y:$Y,$B57)),2)="42",1,""))</f>
        <v/>
      </c>
      <c r="T57" t="str">
        <f>IF($B57="","",IF(LEFT(IF(INDEX(GLAPS컨테이너배차관리!$Y:$Y,$B57)="","",INDEX(GLAPS컨테이너배차관리!$Y:$Y,$B57)),2)="45",1,""))</f>
        <v/>
      </c>
      <c r="U57" t="str">
        <f>IF($B57="","",IF(INDEX(GLAPS컨테이너배차관리!$X:$X,$B57)="","",INDEX(GLAPS컨테이너배차관리!$X:$X,$B57)))</f>
        <v/>
      </c>
      <c r="V57" t="str">
        <f>IF($B57="","",IF(INDEX(GLAPS컨테이너배차관리!$Z:$Z,$B57)="","",INDEX(GLAPS컨테이너배차관리!$Z:$Z,$B57)))</f>
        <v/>
      </c>
      <c r="W57" t="str">
        <f>IF($B57="","",IF(IF(INDEX(GLAPS컨테이너배차관리!$DI:$DI,$B57)="","",INDEX(GLAPS컨테이너배차관리!$DI:$DI,$B57))&lt;&gt;"",IF(INDEX(GLAPS컨테이너배차관리!$DI:$DI,$B57)="","",INDEX(GLAPS컨테이너배차관리!$DI:$DI,$B57)),IF(IF(INDEX(GLAPS컨테이너배차관리!$DJ:$DJ,$B57)="","",INDEX(GLAPS컨테이너배차관리!$DJ:$DJ,$B57))&lt;&gt;"",IF(INDEX(GLAPS컨테이너배차관리!$DJ:$DJ,$B57)="","",INDEX(GLAPS컨테이너배차관리!$DJ:$DJ,$B57)),IF(IF(INDEX(GLAPS컨테이너배차관리!$DK:$DK,$B57)="","",INDEX(GLAPS컨테이너배차관리!$DK:$DK,$B57))&lt;&gt;"",IF(INDEX(GLAPS컨테이너배차관리!$DK:$DK,$B57)="","",INDEX(GLAPS컨테이너배차관리!$DK:$DK,$B57)),IF(IF(INDEX(GLAPS컨테이너배차관리!$DL:$DL,$B57)="","",INDEX(GLAPS컨테이너배차관리!$DL:$DL,$B57))&lt;&gt;"",IF(INDEX(GLAPS컨테이너배차관리!$DL:$DL,$B57)="","",INDEX(GLAPS컨테이너배차관리!$DL:$DL,$B57)),IF(IF(INDEX(GLAPS컨테이너배차관리!$DM:$DM,$B57)="","",INDEX(GLAPS컨테이너배차관리!$DM:$DM,$B57))&lt;&gt;"",IF(INDEX(GLAPS컨테이너배차관리!$DM:$DM,$B57)="","",INDEX(GLAPS컨테이너배차관리!$DM:$DM,$B57)),""))))))</f>
        <v/>
      </c>
      <c r="X57" t="str">
        <f>IF($B57="","",IF(INDEX(GLAPS컨테이너배차관리!$F:$F,$B57)="","",INDEX(GLAPS컨테이너배차관리!$F:$F,$B57)))</f>
        <v/>
      </c>
      <c r="Y57" t="str">
        <f>IF($B57="","",IF(IF(INDEX(GLAPS컨테이너배차관리!$M:$M,$B57)="","",INDEX(GLAPS컨테이너배차관리!$M:$M,$B57))&lt;&gt;"",IF(INDEX(GLAPS컨테이너배차관리!$M:$M,$B57)="","",INDEX(GLAPS컨테이너배차관리!$M:$M,$B57)),IF(IF(INDEX(GLAPS컨테이너배차관리!$N:$N,$B57)="","",INDEX(GLAPS컨테이너배차관리!$N:$N,$B57))&lt;&gt;"",IF(INDEX(GLAPS컨테이너배차관리!$N:$N,$B57)="","",INDEX(GLAPS컨테이너배차관리!$N:$N,$B57)),"")))</f>
        <v/>
      </c>
      <c r="Z57" t="str">
        <f>IF($B57="","",IF(IF(INDEX(GLAPS컨테이너배차관리!$CU:$CU,$B57)="","",INDEX(GLAPS컨테이너배차관리!$CU:$CU,$B57))="","",IFERROR(INT(IF(INDEX(GLAPS컨테이너배차관리!$CU:$CU,$B57)="","",INDEX(GLAPS컨테이너배차관리!$CU:$CU,$B57))),"")))</f>
        <v/>
      </c>
      <c r="AA57" t="str">
        <f>IF($B57="","",IF(AND(IF(INDEX(GLAPS컨테이너배차관리!$CL:$CL,$B57)="","",INDEX(GLAPS컨테이너배차관리!$CL:$CL,$B57))="",IF(INDEX(GLAPS컨테이너배차관리!$CM:$CM,$B57)="","",INDEX(GLAPS컨테이너배차관리!$CM:$CM,$B57))=""),"",IF(OR(IF(INDEX(GLAPS컨테이너배차관리!$CL:$CL,$B57)="","",INDEX(GLAPS컨테이너배차관리!$CL:$CL,$B57))="B000016649",ISNUMBER(SEARCH("B015",IF(INDEX(GLAPS컨테이너배차관리!$CM:$CM,$B57)="","",INDEX(GLAPS컨테이너배차관리!$CM:$CM,$B57)))),ISNUMBER(SEARCH("세방",IF(INDEX(GLAPS컨테이너배차관리!$CM:$CM,$B57)="","",INDEX(GLAPS컨테이너배차관리!$CM:$CM,$B57)))),ISNUMBER(SEARCH("SB",IF(INDEX(GLAPS컨테이너배차관리!$CM:$CM,$B57)="","",INDEX(GLAPS컨테이너배차관리!$CM:$CM,$B57))))),"세방","")))</f>
        <v/>
      </c>
      <c r="AB57" t="str">
        <f>IF($B57="","",IF(IF(INDEX(GLAPS컨테이너배차관리!$CM:$CM,$B57)="","",INDEX(GLAPS컨테이너배차관리!$CM:$CM,$B57))="","",IF(ISNUMBER(SEARCH("이지스두동",IF(INDEX(GLAPS컨테이너배차관리!$CM:$CM,$B57)="","",INDEX(GLAPS컨테이너배차관리!$CM:$CM,$B57)))),"이지스두동",IF(ISNUMBER(SEARCH("이지스녹산",IF(INDEX(GLAPS컨테이너배차관리!$CM:$CM,$B57)="","",INDEX(GLAPS컨테이너배차관리!$CM:$CM,$B57)))),"이지스녹산",IF(ISNUMBER(SEARCH("천우",IF(INDEX(GLAPS컨테이너배차관리!$CM:$CM,$B57)="","",INDEX(GLAPS컨테이너배차관리!$CM:$CM,$B57)))),"천우",IF(OR(ISNUMBER(SEARCH("청암",IF(INDEX(GLAPS컨테이너배차관리!$CM:$CM,$B57)="","",INDEX(GLAPS컨테이너배차관리!$CM:$CM,$B57)))),ISNUMBER(SEARCH("SB청암",IF(INDEX(GLAPS컨테이너배차관리!$CM:$CM,$B57)="","",INDEX(GLAPS컨테이너배차관리!$CM:$CM,$B57))))),"청암신항",IF(INDEX(GLAPS컨테이너배차관리!$CM:$CM,$B57)="","",INDEX(GLAPS컨테이너배차관리!$CM:$CM,$B57))))))))</f>
        <v/>
      </c>
    </row>
    <row r="58" spans="1:28">
      <c r="A58">
        <v>57</v>
      </c>
      <c r="B58" t="str">
        <f>IFERROR(_xlfn.AGGREGATE(15,6,ROW(GLAPS컨테이너배차관리!$X$2:$X$20000)/(GLAPS컨테이너배차관리!$X$2:$X$20000&lt;&gt;""),A58),"")</f>
        <v/>
      </c>
      <c r="C58" t="str">
        <f>IF($B58="","",INT(IF(INDEX(GLAPS컨테이너배차관리!$K:$K,$B58)="","",INDEX(GLAPS컨테이너배차관리!$K:$K,$B58))))</f>
        <v/>
      </c>
      <c r="D58" t="str">
        <f>IF($B58="","",IF(ISNUMBER(SEARCH("이엘에스",IF(INDEX(GLAPS컨테이너배차관리!$AZ:$AZ,$B58)="","",INDEX(GLAPS컨테이너배차관리!$AZ:$AZ,$B58)))),"ELS솔루션",IF(INDEX(GLAPS컨테이너배차관리!$AZ:$AZ,$B58)="","",INDEX(GLAPS컨테이너배차관리!$AZ:$AZ,$B58))))</f>
        <v/>
      </c>
      <c r="E58" t="str">
        <f>IF($B58="","",IF(INDEX(GLAPS컨테이너배차관리!$L:$L,$B58)="","",INDEX(GLAPS컨테이너배차관리!$L:$L,$B58)))</f>
        <v/>
      </c>
      <c r="F58" t="str">
        <f>IF($B58="","",IF(HOUR(IF(INDEX(GLAPS컨테이너배차관리!$L:$L,$B58)="","",INDEX(GLAPS컨테이너배차관리!$L:$L,$B58)))&lt;12,"오전",IF(HOUR(IF(INDEX(GLAPS컨테이너배차관리!$L:$L,$B58)="","",INDEX(GLAPS컨테이너배차관리!$L:$L,$B58)))&lt;18,"오후","잔업")))</f>
        <v/>
      </c>
      <c r="G58" t="str">
        <f>IF($B58="","",IFERROR(INDEX(GLAPS정리!$G$3:$G$264,MATCH(IF(INDEX(GLAPS컨테이너배차관리!$BY:$BY,$B58)="","",INDEX(GLAPS컨테이너배차관리!$BY:$BY,$B58)),GLAPS정리!$H$3:$H$264,0)),TRIM(SUBSTITUTE(SUBSTITUTE(SUBSTITUTE(SUBSTITUTE(SUBSTITUTE(IF(INDEX(GLAPS컨테이너배차관리!$T:$T,$B58)="","",INDEX(GLAPS컨테이너배차관리!$T:$T,$B58)),"[GA]",""),"[GB]",""),"[GC]",""),"[KC]",""),"[GS]",""))))</f>
        <v/>
      </c>
      <c r="H58" t="str">
        <f>IF($B58="","",IFERROR(VLOOKUP(IF(INDEX(GLAPS컨테이너배차관리!$BY:$BY,$B58)="","",INDEX(GLAPS컨테이너배차관리!$BY:$BY,$B58)),GLAPS정리!$BT$3:$BV$200,3,0),""))</f>
        <v/>
      </c>
      <c r="I58" t="str">
        <f>IF($B58="","",LEFT(IF(INDEX(GLAPS컨테이너배차관리!$U:$U,$B58)="","",INDEX(GLAPS컨테이너배차관리!$U:$U,$B58)),FIND("/",IF(INDEX(GLAPS컨테이너배차관리!$U:$U,$B58)="","",INDEX(GLAPS컨테이너배차관리!$U:$U,$B58))&amp;"/")-1))</f>
        <v/>
      </c>
      <c r="J58" t="str">
        <f>IF($B58="","",IF(IF(INDEX(GLAPS컨테이너배차관리!$O:$O,$B58)="","",INDEX(GLAPS컨테이너배차관리!$O:$O,$B58))="EMC","EMA",IFERROR(INDEX(GLAPS정리!$A$2:$A$50,MATCH(IF(INDEX(GLAPS컨테이너배차관리!$O:$O,$B58)="","",INDEX(GLAPS컨테이너배차관리!$O:$O,$B58)),GLAPS정리!$D$2:$D$50,0)),IF(INDEX(GLAPS컨테이너배차관리!$O:$O,$B58)="","",INDEX(GLAPS컨테이너배차관리!$O:$O,$B58)))))</f>
        <v/>
      </c>
      <c r="K58" t="str">
        <f>IF($B58="","",IF(LEFT(IF(INDEX(GLAPS컨테이너배차관리!$Y:$Y,$B58)="","",INDEX(GLAPS컨테이너배차관리!$Y:$Y,$B58)),2)="22","20 Feet",IF(LEFT(IF(INDEX(GLAPS컨테이너배차관리!$Y:$Y,$B58)="","",INDEX(GLAPS컨테이너배차관리!$Y:$Y,$B58)),2)="42","40 Feet","40 Feet H")))</f>
        <v/>
      </c>
      <c r="L58" t="str">
        <f>IF($B58="","",IFERROR(INDEX(GLAPS정리!$BB$2:$BB$80,MATCH(IF(INDEX(GLAPS컨테이너배차관리!$BQ:$BQ,$B58)="","",INDEX(GLAPS컨테이너배차관리!$BQ:$BQ,$B58)),GLAPS정리!$BC$2:$BC$80,0)),IF(INDEX(GLAPS컨테이너배차관리!$BQ:$BQ,$B58)="","",INDEX(GLAPS컨테이너배차관리!$BQ:$BQ,$B58))))</f>
        <v/>
      </c>
      <c r="M58" t="str">
        <f>IF($B58="","",IFERROR(INDEX(GLAPS정리!$V$3:$V$180,MATCH(IF(INDEX(GLAPS컨테이너배차관리!$S:$S,$B58)="","",INDEX(GLAPS컨테이너배차관리!$S:$S,$B58)),GLAPS정리!$W$3:$W$180,0)),IF(INDEX(GLAPS컨테이너배차관리!$S:$S,$B58)="","",INDEX(GLAPS컨테이너배차관리!$S:$S,$B58))))</f>
        <v/>
      </c>
      <c r="N58" t="str">
        <f>IF($B58="","",IF(IF(INDEX(GLAPS컨테이너배차관리!$DF:$DF,$B58)="","",INDEX(GLAPS컨테이너배차관리!$DF:$DF,$B58))&lt;&gt;"",IF(INDEX(GLAPS컨테이너배차관리!$DF:$DF,$B58)="","",INDEX(GLAPS컨테이너배차관리!$DF:$DF,$B58)),IF(IF(INDEX(GLAPS컨테이너배차관리!$DG:$DG,$B58)="","",INDEX(GLAPS컨테이너배차관리!$DG:$DG,$B58))&lt;&gt;"",IF(INDEX(GLAPS컨테이너배차관리!$DG:$DG,$B58)="","",INDEX(GLAPS컨테이너배차관리!$DG:$DG,$B58)),"")))</f>
        <v/>
      </c>
      <c r="O58" t="str">
        <f>IF($B58="","",IF(INDEX(GLAPS컨테이너배차관리!$AB:$AB,$B58)="","",INDEX(GLAPS컨테이너배차관리!$AB:$AB,$B58)))</f>
        <v/>
      </c>
      <c r="P58" t="str">
        <f>IF($B58="","",IF(IF(INDEX(GLAPS컨테이너배차관리!$CP:$CP,$B58)="","",INDEX(GLAPS컨테이너배차관리!$CP:$CP,$B58))="","",IFERROR(INDEX(GLAPS정리!$BH$2:$BH$101,MATCH(IF(INDEX(GLAPS컨테이너배차관리!$CP:$CP,$B58)="","",INDEX(GLAPS컨테이너배차관리!$CP:$CP,$B58)),GLAPS정리!$BI$2:$BI$101,0)),IF(INDEX(GLAPS컨테이너배차관리!$CP:$CP,$B58)="","",INDEX(GLAPS컨테이너배차관리!$CP:$CP,$B58)))))</f>
        <v/>
      </c>
      <c r="Q58" t="str">
        <f>IF($B58="","",IF(AND(IF(INDEX(GLAPS컨테이너배차관리!$AK:$AK,$B58)="","",INDEX(GLAPS컨테이너배차관리!$AK:$AK,$B58))="Y",IF(INDEX(GLAPS컨테이너배차관리!$AI:$AI,$B58)="","",INDEX(GLAPS컨테이너배차관리!$AI:$AI,$B58))="Y"),"위험물리퍼",IF(IF(INDEX(GLAPS컨테이너배차관리!$AK:$AK,$B58)="","",INDEX(GLAPS컨테이너배차관리!$AK:$AK,$B58))="Y","위험물",IF(IF(INDEX(GLAPS컨테이너배차관리!$AI:$AI,$B58)="","",INDEX(GLAPS컨테이너배차관리!$AI:$AI,$B58))="Y","리퍼",""))))</f>
        <v/>
      </c>
      <c r="R58" t="str">
        <f>IF($B58="","",IF(LEFT(IF(INDEX(GLAPS컨테이너배차관리!$Y:$Y,$B58)="","",INDEX(GLAPS컨테이너배차관리!$Y:$Y,$B58)),2)="22",1,""))</f>
        <v/>
      </c>
      <c r="S58" t="str">
        <f>IF($B58="","",IF(LEFT(IF(INDEX(GLAPS컨테이너배차관리!$Y:$Y,$B58)="","",INDEX(GLAPS컨테이너배차관리!$Y:$Y,$B58)),2)="42",1,""))</f>
        <v/>
      </c>
      <c r="T58" t="str">
        <f>IF($B58="","",IF(LEFT(IF(INDEX(GLAPS컨테이너배차관리!$Y:$Y,$B58)="","",INDEX(GLAPS컨테이너배차관리!$Y:$Y,$B58)),2)="45",1,""))</f>
        <v/>
      </c>
      <c r="U58" t="str">
        <f>IF($B58="","",IF(INDEX(GLAPS컨테이너배차관리!$X:$X,$B58)="","",INDEX(GLAPS컨테이너배차관리!$X:$X,$B58)))</f>
        <v/>
      </c>
      <c r="V58" t="str">
        <f>IF($B58="","",IF(INDEX(GLAPS컨테이너배차관리!$Z:$Z,$B58)="","",INDEX(GLAPS컨테이너배차관리!$Z:$Z,$B58)))</f>
        <v/>
      </c>
      <c r="W58" t="str">
        <f>IF($B58="","",IF(IF(INDEX(GLAPS컨테이너배차관리!$DI:$DI,$B58)="","",INDEX(GLAPS컨테이너배차관리!$DI:$DI,$B58))&lt;&gt;"",IF(INDEX(GLAPS컨테이너배차관리!$DI:$DI,$B58)="","",INDEX(GLAPS컨테이너배차관리!$DI:$DI,$B58)),IF(IF(INDEX(GLAPS컨테이너배차관리!$DJ:$DJ,$B58)="","",INDEX(GLAPS컨테이너배차관리!$DJ:$DJ,$B58))&lt;&gt;"",IF(INDEX(GLAPS컨테이너배차관리!$DJ:$DJ,$B58)="","",INDEX(GLAPS컨테이너배차관리!$DJ:$DJ,$B58)),IF(IF(INDEX(GLAPS컨테이너배차관리!$DK:$DK,$B58)="","",INDEX(GLAPS컨테이너배차관리!$DK:$DK,$B58))&lt;&gt;"",IF(INDEX(GLAPS컨테이너배차관리!$DK:$DK,$B58)="","",INDEX(GLAPS컨테이너배차관리!$DK:$DK,$B58)),IF(IF(INDEX(GLAPS컨테이너배차관리!$DL:$DL,$B58)="","",INDEX(GLAPS컨테이너배차관리!$DL:$DL,$B58))&lt;&gt;"",IF(INDEX(GLAPS컨테이너배차관리!$DL:$DL,$B58)="","",INDEX(GLAPS컨테이너배차관리!$DL:$DL,$B58)),IF(IF(INDEX(GLAPS컨테이너배차관리!$DM:$DM,$B58)="","",INDEX(GLAPS컨테이너배차관리!$DM:$DM,$B58))&lt;&gt;"",IF(INDEX(GLAPS컨테이너배차관리!$DM:$DM,$B58)="","",INDEX(GLAPS컨테이너배차관리!$DM:$DM,$B58)),""))))))</f>
        <v/>
      </c>
      <c r="X58" t="str">
        <f>IF($B58="","",IF(INDEX(GLAPS컨테이너배차관리!$F:$F,$B58)="","",INDEX(GLAPS컨테이너배차관리!$F:$F,$B58)))</f>
        <v/>
      </c>
      <c r="Y58" t="str">
        <f>IF($B58="","",IF(IF(INDEX(GLAPS컨테이너배차관리!$M:$M,$B58)="","",INDEX(GLAPS컨테이너배차관리!$M:$M,$B58))&lt;&gt;"",IF(INDEX(GLAPS컨테이너배차관리!$M:$M,$B58)="","",INDEX(GLAPS컨테이너배차관리!$M:$M,$B58)),IF(IF(INDEX(GLAPS컨테이너배차관리!$N:$N,$B58)="","",INDEX(GLAPS컨테이너배차관리!$N:$N,$B58))&lt;&gt;"",IF(INDEX(GLAPS컨테이너배차관리!$N:$N,$B58)="","",INDEX(GLAPS컨테이너배차관리!$N:$N,$B58)),"")))</f>
        <v/>
      </c>
      <c r="Z58" t="str">
        <f>IF($B58="","",IF(IF(INDEX(GLAPS컨테이너배차관리!$CU:$CU,$B58)="","",INDEX(GLAPS컨테이너배차관리!$CU:$CU,$B58))="","",IFERROR(INT(IF(INDEX(GLAPS컨테이너배차관리!$CU:$CU,$B58)="","",INDEX(GLAPS컨테이너배차관리!$CU:$CU,$B58))),"")))</f>
        <v/>
      </c>
      <c r="AA58" t="str">
        <f>IF($B58="","",IF(AND(IF(INDEX(GLAPS컨테이너배차관리!$CL:$CL,$B58)="","",INDEX(GLAPS컨테이너배차관리!$CL:$CL,$B58))="",IF(INDEX(GLAPS컨테이너배차관리!$CM:$CM,$B58)="","",INDEX(GLAPS컨테이너배차관리!$CM:$CM,$B58))=""),"",IF(OR(IF(INDEX(GLAPS컨테이너배차관리!$CL:$CL,$B58)="","",INDEX(GLAPS컨테이너배차관리!$CL:$CL,$B58))="B000016649",ISNUMBER(SEARCH("B015",IF(INDEX(GLAPS컨테이너배차관리!$CM:$CM,$B58)="","",INDEX(GLAPS컨테이너배차관리!$CM:$CM,$B58)))),ISNUMBER(SEARCH("세방",IF(INDEX(GLAPS컨테이너배차관리!$CM:$CM,$B58)="","",INDEX(GLAPS컨테이너배차관리!$CM:$CM,$B58)))),ISNUMBER(SEARCH("SB",IF(INDEX(GLAPS컨테이너배차관리!$CM:$CM,$B58)="","",INDEX(GLAPS컨테이너배차관리!$CM:$CM,$B58))))),"세방","")))</f>
        <v/>
      </c>
      <c r="AB58" t="str">
        <f>IF($B58="","",IF(IF(INDEX(GLAPS컨테이너배차관리!$CM:$CM,$B58)="","",INDEX(GLAPS컨테이너배차관리!$CM:$CM,$B58))="","",IF(ISNUMBER(SEARCH("이지스두동",IF(INDEX(GLAPS컨테이너배차관리!$CM:$CM,$B58)="","",INDEX(GLAPS컨테이너배차관리!$CM:$CM,$B58)))),"이지스두동",IF(ISNUMBER(SEARCH("이지스녹산",IF(INDEX(GLAPS컨테이너배차관리!$CM:$CM,$B58)="","",INDEX(GLAPS컨테이너배차관리!$CM:$CM,$B58)))),"이지스녹산",IF(ISNUMBER(SEARCH("천우",IF(INDEX(GLAPS컨테이너배차관리!$CM:$CM,$B58)="","",INDEX(GLAPS컨테이너배차관리!$CM:$CM,$B58)))),"천우",IF(OR(ISNUMBER(SEARCH("청암",IF(INDEX(GLAPS컨테이너배차관리!$CM:$CM,$B58)="","",INDEX(GLAPS컨테이너배차관리!$CM:$CM,$B58)))),ISNUMBER(SEARCH("SB청암",IF(INDEX(GLAPS컨테이너배차관리!$CM:$CM,$B58)="","",INDEX(GLAPS컨테이너배차관리!$CM:$CM,$B58))))),"청암신항",IF(INDEX(GLAPS컨테이너배차관리!$CM:$CM,$B58)="","",INDEX(GLAPS컨테이너배차관리!$CM:$CM,$B58))))))))</f>
        <v/>
      </c>
    </row>
    <row r="59" spans="1:28">
      <c r="A59">
        <v>58</v>
      </c>
      <c r="B59" t="str">
        <f>IFERROR(_xlfn.AGGREGATE(15,6,ROW(GLAPS컨테이너배차관리!$X$2:$X$20000)/(GLAPS컨테이너배차관리!$X$2:$X$20000&lt;&gt;""),A59),"")</f>
        <v/>
      </c>
      <c r="C59" t="str">
        <f>IF($B59="","",INT(IF(INDEX(GLAPS컨테이너배차관리!$K:$K,$B59)="","",INDEX(GLAPS컨테이너배차관리!$K:$K,$B59))))</f>
        <v/>
      </c>
      <c r="D59" t="str">
        <f>IF($B59="","",IF(ISNUMBER(SEARCH("이엘에스",IF(INDEX(GLAPS컨테이너배차관리!$AZ:$AZ,$B59)="","",INDEX(GLAPS컨테이너배차관리!$AZ:$AZ,$B59)))),"ELS솔루션",IF(INDEX(GLAPS컨테이너배차관리!$AZ:$AZ,$B59)="","",INDEX(GLAPS컨테이너배차관리!$AZ:$AZ,$B59))))</f>
        <v/>
      </c>
      <c r="E59" t="str">
        <f>IF($B59="","",IF(INDEX(GLAPS컨테이너배차관리!$L:$L,$B59)="","",INDEX(GLAPS컨테이너배차관리!$L:$L,$B59)))</f>
        <v/>
      </c>
      <c r="F59" t="str">
        <f>IF($B59="","",IF(HOUR(IF(INDEX(GLAPS컨테이너배차관리!$L:$L,$B59)="","",INDEX(GLAPS컨테이너배차관리!$L:$L,$B59)))&lt;12,"오전",IF(HOUR(IF(INDEX(GLAPS컨테이너배차관리!$L:$L,$B59)="","",INDEX(GLAPS컨테이너배차관리!$L:$L,$B59)))&lt;18,"오후","잔업")))</f>
        <v/>
      </c>
      <c r="G59" t="str">
        <f>IF($B59="","",IFERROR(INDEX(GLAPS정리!$G$3:$G$264,MATCH(IF(INDEX(GLAPS컨테이너배차관리!$BY:$BY,$B59)="","",INDEX(GLAPS컨테이너배차관리!$BY:$BY,$B59)),GLAPS정리!$H$3:$H$264,0)),TRIM(SUBSTITUTE(SUBSTITUTE(SUBSTITUTE(SUBSTITUTE(SUBSTITUTE(IF(INDEX(GLAPS컨테이너배차관리!$T:$T,$B59)="","",INDEX(GLAPS컨테이너배차관리!$T:$T,$B59)),"[GA]",""),"[GB]",""),"[GC]",""),"[KC]",""),"[GS]",""))))</f>
        <v/>
      </c>
      <c r="H59" t="str">
        <f>IF($B59="","",IFERROR(VLOOKUP(IF(INDEX(GLAPS컨테이너배차관리!$BY:$BY,$B59)="","",INDEX(GLAPS컨테이너배차관리!$BY:$BY,$B59)),GLAPS정리!$BT$3:$BV$200,3,0),""))</f>
        <v/>
      </c>
      <c r="I59" t="str">
        <f>IF($B59="","",LEFT(IF(INDEX(GLAPS컨테이너배차관리!$U:$U,$B59)="","",INDEX(GLAPS컨테이너배차관리!$U:$U,$B59)),FIND("/",IF(INDEX(GLAPS컨테이너배차관리!$U:$U,$B59)="","",INDEX(GLAPS컨테이너배차관리!$U:$U,$B59))&amp;"/")-1))</f>
        <v/>
      </c>
      <c r="J59" t="str">
        <f>IF($B59="","",IF(IF(INDEX(GLAPS컨테이너배차관리!$O:$O,$B59)="","",INDEX(GLAPS컨테이너배차관리!$O:$O,$B59))="EMC","EMA",IFERROR(INDEX(GLAPS정리!$A$2:$A$50,MATCH(IF(INDEX(GLAPS컨테이너배차관리!$O:$O,$B59)="","",INDEX(GLAPS컨테이너배차관리!$O:$O,$B59)),GLAPS정리!$D$2:$D$50,0)),IF(INDEX(GLAPS컨테이너배차관리!$O:$O,$B59)="","",INDEX(GLAPS컨테이너배차관리!$O:$O,$B59)))))</f>
        <v/>
      </c>
      <c r="K59" t="str">
        <f>IF($B59="","",IF(LEFT(IF(INDEX(GLAPS컨테이너배차관리!$Y:$Y,$B59)="","",INDEX(GLAPS컨테이너배차관리!$Y:$Y,$B59)),2)="22","20 Feet",IF(LEFT(IF(INDEX(GLAPS컨테이너배차관리!$Y:$Y,$B59)="","",INDEX(GLAPS컨테이너배차관리!$Y:$Y,$B59)),2)="42","40 Feet","40 Feet H")))</f>
        <v/>
      </c>
      <c r="L59" t="str">
        <f>IF($B59="","",IFERROR(INDEX(GLAPS정리!$BB$2:$BB$80,MATCH(IF(INDEX(GLAPS컨테이너배차관리!$BQ:$BQ,$B59)="","",INDEX(GLAPS컨테이너배차관리!$BQ:$BQ,$B59)),GLAPS정리!$BC$2:$BC$80,0)),IF(INDEX(GLAPS컨테이너배차관리!$BQ:$BQ,$B59)="","",INDEX(GLAPS컨테이너배차관리!$BQ:$BQ,$B59))))</f>
        <v/>
      </c>
      <c r="M59" t="str">
        <f>IF($B59="","",IFERROR(INDEX(GLAPS정리!$V$3:$V$180,MATCH(IF(INDEX(GLAPS컨테이너배차관리!$S:$S,$B59)="","",INDEX(GLAPS컨테이너배차관리!$S:$S,$B59)),GLAPS정리!$W$3:$W$180,0)),IF(INDEX(GLAPS컨테이너배차관리!$S:$S,$B59)="","",INDEX(GLAPS컨테이너배차관리!$S:$S,$B59))))</f>
        <v/>
      </c>
      <c r="N59" t="str">
        <f>IF($B59="","",IF(IF(INDEX(GLAPS컨테이너배차관리!$DF:$DF,$B59)="","",INDEX(GLAPS컨테이너배차관리!$DF:$DF,$B59))&lt;&gt;"",IF(INDEX(GLAPS컨테이너배차관리!$DF:$DF,$B59)="","",INDEX(GLAPS컨테이너배차관리!$DF:$DF,$B59)),IF(IF(INDEX(GLAPS컨테이너배차관리!$DG:$DG,$B59)="","",INDEX(GLAPS컨테이너배차관리!$DG:$DG,$B59))&lt;&gt;"",IF(INDEX(GLAPS컨테이너배차관리!$DG:$DG,$B59)="","",INDEX(GLAPS컨테이너배차관리!$DG:$DG,$B59)),"")))</f>
        <v/>
      </c>
      <c r="O59" t="str">
        <f>IF($B59="","",IF(INDEX(GLAPS컨테이너배차관리!$AB:$AB,$B59)="","",INDEX(GLAPS컨테이너배차관리!$AB:$AB,$B59)))</f>
        <v/>
      </c>
      <c r="P59" t="str">
        <f>IF($B59="","",IF(IF(INDEX(GLAPS컨테이너배차관리!$CP:$CP,$B59)="","",INDEX(GLAPS컨테이너배차관리!$CP:$CP,$B59))="","",IFERROR(INDEX(GLAPS정리!$BH$2:$BH$101,MATCH(IF(INDEX(GLAPS컨테이너배차관리!$CP:$CP,$B59)="","",INDEX(GLAPS컨테이너배차관리!$CP:$CP,$B59)),GLAPS정리!$BI$2:$BI$101,0)),IF(INDEX(GLAPS컨테이너배차관리!$CP:$CP,$B59)="","",INDEX(GLAPS컨테이너배차관리!$CP:$CP,$B59)))))</f>
        <v/>
      </c>
      <c r="Q59" t="str">
        <f>IF($B59="","",IF(AND(IF(INDEX(GLAPS컨테이너배차관리!$AK:$AK,$B59)="","",INDEX(GLAPS컨테이너배차관리!$AK:$AK,$B59))="Y",IF(INDEX(GLAPS컨테이너배차관리!$AI:$AI,$B59)="","",INDEX(GLAPS컨테이너배차관리!$AI:$AI,$B59))="Y"),"위험물리퍼",IF(IF(INDEX(GLAPS컨테이너배차관리!$AK:$AK,$B59)="","",INDEX(GLAPS컨테이너배차관리!$AK:$AK,$B59))="Y","위험물",IF(IF(INDEX(GLAPS컨테이너배차관리!$AI:$AI,$B59)="","",INDEX(GLAPS컨테이너배차관리!$AI:$AI,$B59))="Y","리퍼",""))))</f>
        <v/>
      </c>
      <c r="R59" t="str">
        <f>IF($B59="","",IF(LEFT(IF(INDEX(GLAPS컨테이너배차관리!$Y:$Y,$B59)="","",INDEX(GLAPS컨테이너배차관리!$Y:$Y,$B59)),2)="22",1,""))</f>
        <v/>
      </c>
      <c r="S59" t="str">
        <f>IF($B59="","",IF(LEFT(IF(INDEX(GLAPS컨테이너배차관리!$Y:$Y,$B59)="","",INDEX(GLAPS컨테이너배차관리!$Y:$Y,$B59)),2)="42",1,""))</f>
        <v/>
      </c>
      <c r="T59" t="str">
        <f>IF($B59="","",IF(LEFT(IF(INDEX(GLAPS컨테이너배차관리!$Y:$Y,$B59)="","",INDEX(GLAPS컨테이너배차관리!$Y:$Y,$B59)),2)="45",1,""))</f>
        <v/>
      </c>
      <c r="U59" t="str">
        <f>IF($B59="","",IF(INDEX(GLAPS컨테이너배차관리!$X:$X,$B59)="","",INDEX(GLAPS컨테이너배차관리!$X:$X,$B59)))</f>
        <v/>
      </c>
      <c r="V59" t="str">
        <f>IF($B59="","",IF(INDEX(GLAPS컨테이너배차관리!$Z:$Z,$B59)="","",INDEX(GLAPS컨테이너배차관리!$Z:$Z,$B59)))</f>
        <v/>
      </c>
      <c r="W59" t="str">
        <f>IF($B59="","",IF(IF(INDEX(GLAPS컨테이너배차관리!$DI:$DI,$B59)="","",INDEX(GLAPS컨테이너배차관리!$DI:$DI,$B59))&lt;&gt;"",IF(INDEX(GLAPS컨테이너배차관리!$DI:$DI,$B59)="","",INDEX(GLAPS컨테이너배차관리!$DI:$DI,$B59)),IF(IF(INDEX(GLAPS컨테이너배차관리!$DJ:$DJ,$B59)="","",INDEX(GLAPS컨테이너배차관리!$DJ:$DJ,$B59))&lt;&gt;"",IF(INDEX(GLAPS컨테이너배차관리!$DJ:$DJ,$B59)="","",INDEX(GLAPS컨테이너배차관리!$DJ:$DJ,$B59)),IF(IF(INDEX(GLAPS컨테이너배차관리!$DK:$DK,$B59)="","",INDEX(GLAPS컨테이너배차관리!$DK:$DK,$B59))&lt;&gt;"",IF(INDEX(GLAPS컨테이너배차관리!$DK:$DK,$B59)="","",INDEX(GLAPS컨테이너배차관리!$DK:$DK,$B59)),IF(IF(INDEX(GLAPS컨테이너배차관리!$DL:$DL,$B59)="","",INDEX(GLAPS컨테이너배차관리!$DL:$DL,$B59))&lt;&gt;"",IF(INDEX(GLAPS컨테이너배차관리!$DL:$DL,$B59)="","",INDEX(GLAPS컨테이너배차관리!$DL:$DL,$B59)),IF(IF(INDEX(GLAPS컨테이너배차관리!$DM:$DM,$B59)="","",INDEX(GLAPS컨테이너배차관리!$DM:$DM,$B59))&lt;&gt;"",IF(INDEX(GLAPS컨테이너배차관리!$DM:$DM,$B59)="","",INDEX(GLAPS컨테이너배차관리!$DM:$DM,$B59)),""))))))</f>
        <v/>
      </c>
      <c r="X59" t="str">
        <f>IF($B59="","",IF(INDEX(GLAPS컨테이너배차관리!$F:$F,$B59)="","",INDEX(GLAPS컨테이너배차관리!$F:$F,$B59)))</f>
        <v/>
      </c>
      <c r="Y59" t="str">
        <f>IF($B59="","",IF(IF(INDEX(GLAPS컨테이너배차관리!$M:$M,$B59)="","",INDEX(GLAPS컨테이너배차관리!$M:$M,$B59))&lt;&gt;"",IF(INDEX(GLAPS컨테이너배차관리!$M:$M,$B59)="","",INDEX(GLAPS컨테이너배차관리!$M:$M,$B59)),IF(IF(INDEX(GLAPS컨테이너배차관리!$N:$N,$B59)="","",INDEX(GLAPS컨테이너배차관리!$N:$N,$B59))&lt;&gt;"",IF(INDEX(GLAPS컨테이너배차관리!$N:$N,$B59)="","",INDEX(GLAPS컨테이너배차관리!$N:$N,$B59)),"")))</f>
        <v/>
      </c>
      <c r="Z59" t="str">
        <f>IF($B59="","",IF(IF(INDEX(GLAPS컨테이너배차관리!$CU:$CU,$B59)="","",INDEX(GLAPS컨테이너배차관리!$CU:$CU,$B59))="","",IFERROR(INT(IF(INDEX(GLAPS컨테이너배차관리!$CU:$CU,$B59)="","",INDEX(GLAPS컨테이너배차관리!$CU:$CU,$B59))),"")))</f>
        <v/>
      </c>
      <c r="AA59" t="str">
        <f>IF($B59="","",IF(AND(IF(INDEX(GLAPS컨테이너배차관리!$CL:$CL,$B59)="","",INDEX(GLAPS컨테이너배차관리!$CL:$CL,$B59))="",IF(INDEX(GLAPS컨테이너배차관리!$CM:$CM,$B59)="","",INDEX(GLAPS컨테이너배차관리!$CM:$CM,$B59))=""),"",IF(OR(IF(INDEX(GLAPS컨테이너배차관리!$CL:$CL,$B59)="","",INDEX(GLAPS컨테이너배차관리!$CL:$CL,$B59))="B000016649",ISNUMBER(SEARCH("B015",IF(INDEX(GLAPS컨테이너배차관리!$CM:$CM,$B59)="","",INDEX(GLAPS컨테이너배차관리!$CM:$CM,$B59)))),ISNUMBER(SEARCH("세방",IF(INDEX(GLAPS컨테이너배차관리!$CM:$CM,$B59)="","",INDEX(GLAPS컨테이너배차관리!$CM:$CM,$B59)))),ISNUMBER(SEARCH("SB",IF(INDEX(GLAPS컨테이너배차관리!$CM:$CM,$B59)="","",INDEX(GLAPS컨테이너배차관리!$CM:$CM,$B59))))),"세방","")))</f>
        <v/>
      </c>
      <c r="AB59" t="str">
        <f>IF($B59="","",IF(IF(INDEX(GLAPS컨테이너배차관리!$CM:$CM,$B59)="","",INDEX(GLAPS컨테이너배차관리!$CM:$CM,$B59))="","",IF(ISNUMBER(SEARCH("이지스두동",IF(INDEX(GLAPS컨테이너배차관리!$CM:$CM,$B59)="","",INDEX(GLAPS컨테이너배차관리!$CM:$CM,$B59)))),"이지스두동",IF(ISNUMBER(SEARCH("이지스녹산",IF(INDEX(GLAPS컨테이너배차관리!$CM:$CM,$B59)="","",INDEX(GLAPS컨테이너배차관리!$CM:$CM,$B59)))),"이지스녹산",IF(ISNUMBER(SEARCH("천우",IF(INDEX(GLAPS컨테이너배차관리!$CM:$CM,$B59)="","",INDEX(GLAPS컨테이너배차관리!$CM:$CM,$B59)))),"천우",IF(OR(ISNUMBER(SEARCH("청암",IF(INDEX(GLAPS컨테이너배차관리!$CM:$CM,$B59)="","",INDEX(GLAPS컨테이너배차관리!$CM:$CM,$B59)))),ISNUMBER(SEARCH("SB청암",IF(INDEX(GLAPS컨테이너배차관리!$CM:$CM,$B59)="","",INDEX(GLAPS컨테이너배차관리!$CM:$CM,$B59))))),"청암신항",IF(INDEX(GLAPS컨테이너배차관리!$CM:$CM,$B59)="","",INDEX(GLAPS컨테이너배차관리!$CM:$CM,$B59))))))))</f>
        <v/>
      </c>
    </row>
    <row r="60" spans="1:28">
      <c r="A60">
        <v>59</v>
      </c>
      <c r="B60" t="str">
        <f>IFERROR(_xlfn.AGGREGATE(15,6,ROW(GLAPS컨테이너배차관리!$X$2:$X$20000)/(GLAPS컨테이너배차관리!$X$2:$X$20000&lt;&gt;""),A60),"")</f>
        <v/>
      </c>
      <c r="C60" t="str">
        <f>IF($B60="","",INT(IF(INDEX(GLAPS컨테이너배차관리!$K:$K,$B60)="","",INDEX(GLAPS컨테이너배차관리!$K:$K,$B60))))</f>
        <v/>
      </c>
      <c r="D60" t="str">
        <f>IF($B60="","",IF(ISNUMBER(SEARCH("이엘에스",IF(INDEX(GLAPS컨테이너배차관리!$AZ:$AZ,$B60)="","",INDEX(GLAPS컨테이너배차관리!$AZ:$AZ,$B60)))),"ELS솔루션",IF(INDEX(GLAPS컨테이너배차관리!$AZ:$AZ,$B60)="","",INDEX(GLAPS컨테이너배차관리!$AZ:$AZ,$B60))))</f>
        <v/>
      </c>
      <c r="E60" t="str">
        <f>IF($B60="","",IF(INDEX(GLAPS컨테이너배차관리!$L:$L,$B60)="","",INDEX(GLAPS컨테이너배차관리!$L:$L,$B60)))</f>
        <v/>
      </c>
      <c r="F60" t="str">
        <f>IF($B60="","",IF(HOUR(IF(INDEX(GLAPS컨테이너배차관리!$L:$L,$B60)="","",INDEX(GLAPS컨테이너배차관리!$L:$L,$B60)))&lt;12,"오전",IF(HOUR(IF(INDEX(GLAPS컨테이너배차관리!$L:$L,$B60)="","",INDEX(GLAPS컨테이너배차관리!$L:$L,$B60)))&lt;18,"오후","잔업")))</f>
        <v/>
      </c>
      <c r="G60" t="str">
        <f>IF($B60="","",IFERROR(INDEX(GLAPS정리!$G$3:$G$264,MATCH(IF(INDEX(GLAPS컨테이너배차관리!$BY:$BY,$B60)="","",INDEX(GLAPS컨테이너배차관리!$BY:$BY,$B60)),GLAPS정리!$H$3:$H$264,0)),TRIM(SUBSTITUTE(SUBSTITUTE(SUBSTITUTE(SUBSTITUTE(SUBSTITUTE(IF(INDEX(GLAPS컨테이너배차관리!$T:$T,$B60)="","",INDEX(GLAPS컨테이너배차관리!$T:$T,$B60)),"[GA]",""),"[GB]",""),"[GC]",""),"[KC]",""),"[GS]",""))))</f>
        <v/>
      </c>
      <c r="H60" t="str">
        <f>IF($B60="","",IFERROR(VLOOKUP(IF(INDEX(GLAPS컨테이너배차관리!$BY:$BY,$B60)="","",INDEX(GLAPS컨테이너배차관리!$BY:$BY,$B60)),GLAPS정리!$BT$3:$BV$200,3,0),""))</f>
        <v/>
      </c>
      <c r="I60" t="str">
        <f>IF($B60="","",LEFT(IF(INDEX(GLAPS컨테이너배차관리!$U:$U,$B60)="","",INDEX(GLAPS컨테이너배차관리!$U:$U,$B60)),FIND("/",IF(INDEX(GLAPS컨테이너배차관리!$U:$U,$B60)="","",INDEX(GLAPS컨테이너배차관리!$U:$U,$B60))&amp;"/")-1))</f>
        <v/>
      </c>
      <c r="J60" t="str">
        <f>IF($B60="","",IF(IF(INDEX(GLAPS컨테이너배차관리!$O:$O,$B60)="","",INDEX(GLAPS컨테이너배차관리!$O:$O,$B60))="EMC","EMA",IFERROR(INDEX(GLAPS정리!$A$2:$A$50,MATCH(IF(INDEX(GLAPS컨테이너배차관리!$O:$O,$B60)="","",INDEX(GLAPS컨테이너배차관리!$O:$O,$B60)),GLAPS정리!$D$2:$D$50,0)),IF(INDEX(GLAPS컨테이너배차관리!$O:$O,$B60)="","",INDEX(GLAPS컨테이너배차관리!$O:$O,$B60)))))</f>
        <v/>
      </c>
      <c r="K60" t="str">
        <f>IF($B60="","",IF(LEFT(IF(INDEX(GLAPS컨테이너배차관리!$Y:$Y,$B60)="","",INDEX(GLAPS컨테이너배차관리!$Y:$Y,$B60)),2)="22","20 Feet",IF(LEFT(IF(INDEX(GLAPS컨테이너배차관리!$Y:$Y,$B60)="","",INDEX(GLAPS컨테이너배차관리!$Y:$Y,$B60)),2)="42","40 Feet","40 Feet H")))</f>
        <v/>
      </c>
      <c r="L60" t="str">
        <f>IF($B60="","",IFERROR(INDEX(GLAPS정리!$BB$2:$BB$80,MATCH(IF(INDEX(GLAPS컨테이너배차관리!$BQ:$BQ,$B60)="","",INDEX(GLAPS컨테이너배차관리!$BQ:$BQ,$B60)),GLAPS정리!$BC$2:$BC$80,0)),IF(INDEX(GLAPS컨테이너배차관리!$BQ:$BQ,$B60)="","",INDEX(GLAPS컨테이너배차관리!$BQ:$BQ,$B60))))</f>
        <v/>
      </c>
      <c r="M60" t="str">
        <f>IF($B60="","",IFERROR(INDEX(GLAPS정리!$V$3:$V$180,MATCH(IF(INDEX(GLAPS컨테이너배차관리!$S:$S,$B60)="","",INDEX(GLAPS컨테이너배차관리!$S:$S,$B60)),GLAPS정리!$W$3:$W$180,0)),IF(INDEX(GLAPS컨테이너배차관리!$S:$S,$B60)="","",INDEX(GLAPS컨테이너배차관리!$S:$S,$B60))))</f>
        <v/>
      </c>
      <c r="N60" t="str">
        <f>IF($B60="","",IF(IF(INDEX(GLAPS컨테이너배차관리!$DF:$DF,$B60)="","",INDEX(GLAPS컨테이너배차관리!$DF:$DF,$B60))&lt;&gt;"",IF(INDEX(GLAPS컨테이너배차관리!$DF:$DF,$B60)="","",INDEX(GLAPS컨테이너배차관리!$DF:$DF,$B60)),IF(IF(INDEX(GLAPS컨테이너배차관리!$DG:$DG,$B60)="","",INDEX(GLAPS컨테이너배차관리!$DG:$DG,$B60))&lt;&gt;"",IF(INDEX(GLAPS컨테이너배차관리!$DG:$DG,$B60)="","",INDEX(GLAPS컨테이너배차관리!$DG:$DG,$B60)),"")))</f>
        <v/>
      </c>
      <c r="O60" t="str">
        <f>IF($B60="","",IF(INDEX(GLAPS컨테이너배차관리!$AB:$AB,$B60)="","",INDEX(GLAPS컨테이너배차관리!$AB:$AB,$B60)))</f>
        <v/>
      </c>
      <c r="P60" t="str">
        <f>IF($B60="","",IF(IF(INDEX(GLAPS컨테이너배차관리!$CP:$CP,$B60)="","",INDEX(GLAPS컨테이너배차관리!$CP:$CP,$B60))="","",IFERROR(INDEX(GLAPS정리!$BH$2:$BH$101,MATCH(IF(INDEX(GLAPS컨테이너배차관리!$CP:$CP,$B60)="","",INDEX(GLAPS컨테이너배차관리!$CP:$CP,$B60)),GLAPS정리!$BI$2:$BI$101,0)),IF(INDEX(GLAPS컨테이너배차관리!$CP:$CP,$B60)="","",INDEX(GLAPS컨테이너배차관리!$CP:$CP,$B60)))))</f>
        <v/>
      </c>
      <c r="Q60" t="str">
        <f>IF($B60="","",IF(AND(IF(INDEX(GLAPS컨테이너배차관리!$AK:$AK,$B60)="","",INDEX(GLAPS컨테이너배차관리!$AK:$AK,$B60))="Y",IF(INDEX(GLAPS컨테이너배차관리!$AI:$AI,$B60)="","",INDEX(GLAPS컨테이너배차관리!$AI:$AI,$B60))="Y"),"위험물리퍼",IF(IF(INDEX(GLAPS컨테이너배차관리!$AK:$AK,$B60)="","",INDEX(GLAPS컨테이너배차관리!$AK:$AK,$B60))="Y","위험물",IF(IF(INDEX(GLAPS컨테이너배차관리!$AI:$AI,$B60)="","",INDEX(GLAPS컨테이너배차관리!$AI:$AI,$B60))="Y","리퍼",""))))</f>
        <v/>
      </c>
      <c r="R60" t="str">
        <f>IF($B60="","",IF(LEFT(IF(INDEX(GLAPS컨테이너배차관리!$Y:$Y,$B60)="","",INDEX(GLAPS컨테이너배차관리!$Y:$Y,$B60)),2)="22",1,""))</f>
        <v/>
      </c>
      <c r="S60" t="str">
        <f>IF($B60="","",IF(LEFT(IF(INDEX(GLAPS컨테이너배차관리!$Y:$Y,$B60)="","",INDEX(GLAPS컨테이너배차관리!$Y:$Y,$B60)),2)="42",1,""))</f>
        <v/>
      </c>
      <c r="T60" t="str">
        <f>IF($B60="","",IF(LEFT(IF(INDEX(GLAPS컨테이너배차관리!$Y:$Y,$B60)="","",INDEX(GLAPS컨테이너배차관리!$Y:$Y,$B60)),2)="45",1,""))</f>
        <v/>
      </c>
      <c r="U60" t="str">
        <f>IF($B60="","",IF(INDEX(GLAPS컨테이너배차관리!$X:$X,$B60)="","",INDEX(GLAPS컨테이너배차관리!$X:$X,$B60)))</f>
        <v/>
      </c>
      <c r="V60" t="str">
        <f>IF($B60="","",IF(INDEX(GLAPS컨테이너배차관리!$Z:$Z,$B60)="","",INDEX(GLAPS컨테이너배차관리!$Z:$Z,$B60)))</f>
        <v/>
      </c>
      <c r="W60" t="str">
        <f>IF($B60="","",IF(IF(INDEX(GLAPS컨테이너배차관리!$DI:$DI,$B60)="","",INDEX(GLAPS컨테이너배차관리!$DI:$DI,$B60))&lt;&gt;"",IF(INDEX(GLAPS컨테이너배차관리!$DI:$DI,$B60)="","",INDEX(GLAPS컨테이너배차관리!$DI:$DI,$B60)),IF(IF(INDEX(GLAPS컨테이너배차관리!$DJ:$DJ,$B60)="","",INDEX(GLAPS컨테이너배차관리!$DJ:$DJ,$B60))&lt;&gt;"",IF(INDEX(GLAPS컨테이너배차관리!$DJ:$DJ,$B60)="","",INDEX(GLAPS컨테이너배차관리!$DJ:$DJ,$B60)),IF(IF(INDEX(GLAPS컨테이너배차관리!$DK:$DK,$B60)="","",INDEX(GLAPS컨테이너배차관리!$DK:$DK,$B60))&lt;&gt;"",IF(INDEX(GLAPS컨테이너배차관리!$DK:$DK,$B60)="","",INDEX(GLAPS컨테이너배차관리!$DK:$DK,$B60)),IF(IF(INDEX(GLAPS컨테이너배차관리!$DL:$DL,$B60)="","",INDEX(GLAPS컨테이너배차관리!$DL:$DL,$B60))&lt;&gt;"",IF(INDEX(GLAPS컨테이너배차관리!$DL:$DL,$B60)="","",INDEX(GLAPS컨테이너배차관리!$DL:$DL,$B60)),IF(IF(INDEX(GLAPS컨테이너배차관리!$DM:$DM,$B60)="","",INDEX(GLAPS컨테이너배차관리!$DM:$DM,$B60))&lt;&gt;"",IF(INDEX(GLAPS컨테이너배차관리!$DM:$DM,$B60)="","",INDEX(GLAPS컨테이너배차관리!$DM:$DM,$B60)),""))))))</f>
        <v/>
      </c>
      <c r="X60" t="str">
        <f>IF($B60="","",IF(INDEX(GLAPS컨테이너배차관리!$F:$F,$B60)="","",INDEX(GLAPS컨테이너배차관리!$F:$F,$B60)))</f>
        <v/>
      </c>
      <c r="Y60" t="str">
        <f>IF($B60="","",IF(IF(INDEX(GLAPS컨테이너배차관리!$M:$M,$B60)="","",INDEX(GLAPS컨테이너배차관리!$M:$M,$B60))&lt;&gt;"",IF(INDEX(GLAPS컨테이너배차관리!$M:$M,$B60)="","",INDEX(GLAPS컨테이너배차관리!$M:$M,$B60)),IF(IF(INDEX(GLAPS컨테이너배차관리!$N:$N,$B60)="","",INDEX(GLAPS컨테이너배차관리!$N:$N,$B60))&lt;&gt;"",IF(INDEX(GLAPS컨테이너배차관리!$N:$N,$B60)="","",INDEX(GLAPS컨테이너배차관리!$N:$N,$B60)),"")))</f>
        <v/>
      </c>
      <c r="Z60" t="str">
        <f>IF($B60="","",IF(IF(INDEX(GLAPS컨테이너배차관리!$CU:$CU,$B60)="","",INDEX(GLAPS컨테이너배차관리!$CU:$CU,$B60))="","",IFERROR(INT(IF(INDEX(GLAPS컨테이너배차관리!$CU:$CU,$B60)="","",INDEX(GLAPS컨테이너배차관리!$CU:$CU,$B60))),"")))</f>
        <v/>
      </c>
      <c r="AA60" t="str">
        <f>IF($B60="","",IF(AND(IF(INDEX(GLAPS컨테이너배차관리!$CL:$CL,$B60)="","",INDEX(GLAPS컨테이너배차관리!$CL:$CL,$B60))="",IF(INDEX(GLAPS컨테이너배차관리!$CM:$CM,$B60)="","",INDEX(GLAPS컨테이너배차관리!$CM:$CM,$B60))=""),"",IF(OR(IF(INDEX(GLAPS컨테이너배차관리!$CL:$CL,$B60)="","",INDEX(GLAPS컨테이너배차관리!$CL:$CL,$B60))="B000016649",ISNUMBER(SEARCH("B015",IF(INDEX(GLAPS컨테이너배차관리!$CM:$CM,$B60)="","",INDEX(GLAPS컨테이너배차관리!$CM:$CM,$B60)))),ISNUMBER(SEARCH("세방",IF(INDEX(GLAPS컨테이너배차관리!$CM:$CM,$B60)="","",INDEX(GLAPS컨테이너배차관리!$CM:$CM,$B60)))),ISNUMBER(SEARCH("SB",IF(INDEX(GLAPS컨테이너배차관리!$CM:$CM,$B60)="","",INDEX(GLAPS컨테이너배차관리!$CM:$CM,$B60))))),"세방","")))</f>
        <v/>
      </c>
      <c r="AB60" t="str">
        <f>IF($B60="","",IF(IF(INDEX(GLAPS컨테이너배차관리!$CM:$CM,$B60)="","",INDEX(GLAPS컨테이너배차관리!$CM:$CM,$B60))="","",IF(ISNUMBER(SEARCH("이지스두동",IF(INDEX(GLAPS컨테이너배차관리!$CM:$CM,$B60)="","",INDEX(GLAPS컨테이너배차관리!$CM:$CM,$B60)))),"이지스두동",IF(ISNUMBER(SEARCH("이지스녹산",IF(INDEX(GLAPS컨테이너배차관리!$CM:$CM,$B60)="","",INDEX(GLAPS컨테이너배차관리!$CM:$CM,$B60)))),"이지스녹산",IF(ISNUMBER(SEARCH("천우",IF(INDEX(GLAPS컨테이너배차관리!$CM:$CM,$B60)="","",INDEX(GLAPS컨테이너배차관리!$CM:$CM,$B60)))),"천우",IF(OR(ISNUMBER(SEARCH("청암",IF(INDEX(GLAPS컨테이너배차관리!$CM:$CM,$B60)="","",INDEX(GLAPS컨테이너배차관리!$CM:$CM,$B60)))),ISNUMBER(SEARCH("SB청암",IF(INDEX(GLAPS컨테이너배차관리!$CM:$CM,$B60)="","",INDEX(GLAPS컨테이너배차관리!$CM:$CM,$B60))))),"청암신항",IF(INDEX(GLAPS컨테이너배차관리!$CM:$CM,$B60)="","",INDEX(GLAPS컨테이너배차관리!$CM:$CM,$B60))))))))</f>
        <v/>
      </c>
    </row>
    <row r="61" spans="1:28">
      <c r="A61">
        <v>60</v>
      </c>
      <c r="B61" t="str">
        <f>IFERROR(_xlfn.AGGREGATE(15,6,ROW(GLAPS컨테이너배차관리!$X$2:$X$20000)/(GLAPS컨테이너배차관리!$X$2:$X$20000&lt;&gt;""),A61),"")</f>
        <v/>
      </c>
      <c r="C61" t="str">
        <f>IF($B61="","",INT(IF(INDEX(GLAPS컨테이너배차관리!$K:$K,$B61)="","",INDEX(GLAPS컨테이너배차관리!$K:$K,$B61))))</f>
        <v/>
      </c>
      <c r="D61" t="str">
        <f>IF($B61="","",IF(ISNUMBER(SEARCH("이엘에스",IF(INDEX(GLAPS컨테이너배차관리!$AZ:$AZ,$B61)="","",INDEX(GLAPS컨테이너배차관리!$AZ:$AZ,$B61)))),"ELS솔루션",IF(INDEX(GLAPS컨테이너배차관리!$AZ:$AZ,$B61)="","",INDEX(GLAPS컨테이너배차관리!$AZ:$AZ,$B61))))</f>
        <v/>
      </c>
      <c r="E61" t="str">
        <f>IF($B61="","",IF(INDEX(GLAPS컨테이너배차관리!$L:$L,$B61)="","",INDEX(GLAPS컨테이너배차관리!$L:$L,$B61)))</f>
        <v/>
      </c>
      <c r="F61" t="str">
        <f>IF($B61="","",IF(HOUR(IF(INDEX(GLAPS컨테이너배차관리!$L:$L,$B61)="","",INDEX(GLAPS컨테이너배차관리!$L:$L,$B61)))&lt;12,"오전",IF(HOUR(IF(INDEX(GLAPS컨테이너배차관리!$L:$L,$B61)="","",INDEX(GLAPS컨테이너배차관리!$L:$L,$B61)))&lt;18,"오후","잔업")))</f>
        <v/>
      </c>
      <c r="G61" t="str">
        <f>IF($B61="","",IFERROR(INDEX(GLAPS정리!$G$3:$G$264,MATCH(IF(INDEX(GLAPS컨테이너배차관리!$BY:$BY,$B61)="","",INDEX(GLAPS컨테이너배차관리!$BY:$BY,$B61)),GLAPS정리!$H$3:$H$264,0)),TRIM(SUBSTITUTE(SUBSTITUTE(SUBSTITUTE(SUBSTITUTE(SUBSTITUTE(IF(INDEX(GLAPS컨테이너배차관리!$T:$T,$B61)="","",INDEX(GLAPS컨테이너배차관리!$T:$T,$B61)),"[GA]",""),"[GB]",""),"[GC]",""),"[KC]",""),"[GS]",""))))</f>
        <v/>
      </c>
      <c r="H61" t="str">
        <f>IF($B61="","",IFERROR(VLOOKUP(IF(INDEX(GLAPS컨테이너배차관리!$BY:$BY,$B61)="","",INDEX(GLAPS컨테이너배차관리!$BY:$BY,$B61)),GLAPS정리!$BT$3:$BV$200,3,0),""))</f>
        <v/>
      </c>
      <c r="I61" t="str">
        <f>IF($B61="","",LEFT(IF(INDEX(GLAPS컨테이너배차관리!$U:$U,$B61)="","",INDEX(GLAPS컨테이너배차관리!$U:$U,$B61)),FIND("/",IF(INDEX(GLAPS컨테이너배차관리!$U:$U,$B61)="","",INDEX(GLAPS컨테이너배차관리!$U:$U,$B61))&amp;"/")-1))</f>
        <v/>
      </c>
      <c r="J61" t="str">
        <f>IF($B61="","",IF(IF(INDEX(GLAPS컨테이너배차관리!$O:$O,$B61)="","",INDEX(GLAPS컨테이너배차관리!$O:$O,$B61))="EMC","EMA",IFERROR(INDEX(GLAPS정리!$A$2:$A$50,MATCH(IF(INDEX(GLAPS컨테이너배차관리!$O:$O,$B61)="","",INDEX(GLAPS컨테이너배차관리!$O:$O,$B61)),GLAPS정리!$D$2:$D$50,0)),IF(INDEX(GLAPS컨테이너배차관리!$O:$O,$B61)="","",INDEX(GLAPS컨테이너배차관리!$O:$O,$B61)))))</f>
        <v/>
      </c>
      <c r="K61" t="str">
        <f>IF($B61="","",IF(LEFT(IF(INDEX(GLAPS컨테이너배차관리!$Y:$Y,$B61)="","",INDEX(GLAPS컨테이너배차관리!$Y:$Y,$B61)),2)="22","20 Feet",IF(LEFT(IF(INDEX(GLAPS컨테이너배차관리!$Y:$Y,$B61)="","",INDEX(GLAPS컨테이너배차관리!$Y:$Y,$B61)),2)="42","40 Feet","40 Feet H")))</f>
        <v/>
      </c>
      <c r="L61" t="str">
        <f>IF($B61="","",IFERROR(INDEX(GLAPS정리!$BB$2:$BB$80,MATCH(IF(INDEX(GLAPS컨테이너배차관리!$BQ:$BQ,$B61)="","",INDEX(GLAPS컨테이너배차관리!$BQ:$BQ,$B61)),GLAPS정리!$BC$2:$BC$80,0)),IF(INDEX(GLAPS컨테이너배차관리!$BQ:$BQ,$B61)="","",INDEX(GLAPS컨테이너배차관리!$BQ:$BQ,$B61))))</f>
        <v/>
      </c>
      <c r="M61" t="str">
        <f>IF($B61="","",IFERROR(INDEX(GLAPS정리!$V$3:$V$180,MATCH(IF(INDEX(GLAPS컨테이너배차관리!$S:$S,$B61)="","",INDEX(GLAPS컨테이너배차관리!$S:$S,$B61)),GLAPS정리!$W$3:$W$180,0)),IF(INDEX(GLAPS컨테이너배차관리!$S:$S,$B61)="","",INDEX(GLAPS컨테이너배차관리!$S:$S,$B61))))</f>
        <v/>
      </c>
      <c r="N61" t="str">
        <f>IF($B61="","",IF(IF(INDEX(GLAPS컨테이너배차관리!$DF:$DF,$B61)="","",INDEX(GLAPS컨테이너배차관리!$DF:$DF,$B61))&lt;&gt;"",IF(INDEX(GLAPS컨테이너배차관리!$DF:$DF,$B61)="","",INDEX(GLAPS컨테이너배차관리!$DF:$DF,$B61)),IF(IF(INDEX(GLAPS컨테이너배차관리!$DG:$DG,$B61)="","",INDEX(GLAPS컨테이너배차관리!$DG:$DG,$B61))&lt;&gt;"",IF(INDEX(GLAPS컨테이너배차관리!$DG:$DG,$B61)="","",INDEX(GLAPS컨테이너배차관리!$DG:$DG,$B61)),"")))</f>
        <v/>
      </c>
      <c r="O61" t="str">
        <f>IF($B61="","",IF(INDEX(GLAPS컨테이너배차관리!$AB:$AB,$B61)="","",INDEX(GLAPS컨테이너배차관리!$AB:$AB,$B61)))</f>
        <v/>
      </c>
      <c r="P61" t="str">
        <f>IF($B61="","",IF(IF(INDEX(GLAPS컨테이너배차관리!$CP:$CP,$B61)="","",INDEX(GLAPS컨테이너배차관리!$CP:$CP,$B61))="","",IFERROR(INDEX(GLAPS정리!$BH$2:$BH$101,MATCH(IF(INDEX(GLAPS컨테이너배차관리!$CP:$CP,$B61)="","",INDEX(GLAPS컨테이너배차관리!$CP:$CP,$B61)),GLAPS정리!$BI$2:$BI$101,0)),IF(INDEX(GLAPS컨테이너배차관리!$CP:$CP,$B61)="","",INDEX(GLAPS컨테이너배차관리!$CP:$CP,$B61)))))</f>
        <v/>
      </c>
      <c r="Q61" t="str">
        <f>IF($B61="","",IF(AND(IF(INDEX(GLAPS컨테이너배차관리!$AK:$AK,$B61)="","",INDEX(GLAPS컨테이너배차관리!$AK:$AK,$B61))="Y",IF(INDEX(GLAPS컨테이너배차관리!$AI:$AI,$B61)="","",INDEX(GLAPS컨테이너배차관리!$AI:$AI,$B61))="Y"),"위험물리퍼",IF(IF(INDEX(GLAPS컨테이너배차관리!$AK:$AK,$B61)="","",INDEX(GLAPS컨테이너배차관리!$AK:$AK,$B61))="Y","위험물",IF(IF(INDEX(GLAPS컨테이너배차관리!$AI:$AI,$B61)="","",INDEX(GLAPS컨테이너배차관리!$AI:$AI,$B61))="Y","리퍼",""))))</f>
        <v/>
      </c>
      <c r="R61" t="str">
        <f>IF($B61="","",IF(LEFT(IF(INDEX(GLAPS컨테이너배차관리!$Y:$Y,$B61)="","",INDEX(GLAPS컨테이너배차관리!$Y:$Y,$B61)),2)="22",1,""))</f>
        <v/>
      </c>
      <c r="S61" t="str">
        <f>IF($B61="","",IF(LEFT(IF(INDEX(GLAPS컨테이너배차관리!$Y:$Y,$B61)="","",INDEX(GLAPS컨테이너배차관리!$Y:$Y,$B61)),2)="42",1,""))</f>
        <v/>
      </c>
      <c r="T61" t="str">
        <f>IF($B61="","",IF(LEFT(IF(INDEX(GLAPS컨테이너배차관리!$Y:$Y,$B61)="","",INDEX(GLAPS컨테이너배차관리!$Y:$Y,$B61)),2)="45",1,""))</f>
        <v/>
      </c>
      <c r="U61" t="str">
        <f>IF($B61="","",IF(INDEX(GLAPS컨테이너배차관리!$X:$X,$B61)="","",INDEX(GLAPS컨테이너배차관리!$X:$X,$B61)))</f>
        <v/>
      </c>
      <c r="V61" t="str">
        <f>IF($B61="","",IF(INDEX(GLAPS컨테이너배차관리!$Z:$Z,$B61)="","",INDEX(GLAPS컨테이너배차관리!$Z:$Z,$B61)))</f>
        <v/>
      </c>
      <c r="W61" t="str">
        <f>IF($B61="","",IF(IF(INDEX(GLAPS컨테이너배차관리!$DI:$DI,$B61)="","",INDEX(GLAPS컨테이너배차관리!$DI:$DI,$B61))&lt;&gt;"",IF(INDEX(GLAPS컨테이너배차관리!$DI:$DI,$B61)="","",INDEX(GLAPS컨테이너배차관리!$DI:$DI,$B61)),IF(IF(INDEX(GLAPS컨테이너배차관리!$DJ:$DJ,$B61)="","",INDEX(GLAPS컨테이너배차관리!$DJ:$DJ,$B61))&lt;&gt;"",IF(INDEX(GLAPS컨테이너배차관리!$DJ:$DJ,$B61)="","",INDEX(GLAPS컨테이너배차관리!$DJ:$DJ,$B61)),IF(IF(INDEX(GLAPS컨테이너배차관리!$DK:$DK,$B61)="","",INDEX(GLAPS컨테이너배차관리!$DK:$DK,$B61))&lt;&gt;"",IF(INDEX(GLAPS컨테이너배차관리!$DK:$DK,$B61)="","",INDEX(GLAPS컨테이너배차관리!$DK:$DK,$B61)),IF(IF(INDEX(GLAPS컨테이너배차관리!$DL:$DL,$B61)="","",INDEX(GLAPS컨테이너배차관리!$DL:$DL,$B61))&lt;&gt;"",IF(INDEX(GLAPS컨테이너배차관리!$DL:$DL,$B61)="","",INDEX(GLAPS컨테이너배차관리!$DL:$DL,$B61)),IF(IF(INDEX(GLAPS컨테이너배차관리!$DM:$DM,$B61)="","",INDEX(GLAPS컨테이너배차관리!$DM:$DM,$B61))&lt;&gt;"",IF(INDEX(GLAPS컨테이너배차관리!$DM:$DM,$B61)="","",INDEX(GLAPS컨테이너배차관리!$DM:$DM,$B61)),""))))))</f>
        <v/>
      </c>
      <c r="X61" t="str">
        <f>IF($B61="","",IF(INDEX(GLAPS컨테이너배차관리!$F:$F,$B61)="","",INDEX(GLAPS컨테이너배차관리!$F:$F,$B61)))</f>
        <v/>
      </c>
      <c r="Y61" t="str">
        <f>IF($B61="","",IF(IF(INDEX(GLAPS컨테이너배차관리!$M:$M,$B61)="","",INDEX(GLAPS컨테이너배차관리!$M:$M,$B61))&lt;&gt;"",IF(INDEX(GLAPS컨테이너배차관리!$M:$M,$B61)="","",INDEX(GLAPS컨테이너배차관리!$M:$M,$B61)),IF(IF(INDEX(GLAPS컨테이너배차관리!$N:$N,$B61)="","",INDEX(GLAPS컨테이너배차관리!$N:$N,$B61))&lt;&gt;"",IF(INDEX(GLAPS컨테이너배차관리!$N:$N,$B61)="","",INDEX(GLAPS컨테이너배차관리!$N:$N,$B61)),"")))</f>
        <v/>
      </c>
      <c r="Z61" t="str">
        <f>IF($B61="","",IF(IF(INDEX(GLAPS컨테이너배차관리!$CU:$CU,$B61)="","",INDEX(GLAPS컨테이너배차관리!$CU:$CU,$B61))="","",IFERROR(INT(IF(INDEX(GLAPS컨테이너배차관리!$CU:$CU,$B61)="","",INDEX(GLAPS컨테이너배차관리!$CU:$CU,$B61))),"")))</f>
        <v/>
      </c>
      <c r="AA61" t="str">
        <f>IF($B61="","",IF(AND(IF(INDEX(GLAPS컨테이너배차관리!$CL:$CL,$B61)="","",INDEX(GLAPS컨테이너배차관리!$CL:$CL,$B61))="",IF(INDEX(GLAPS컨테이너배차관리!$CM:$CM,$B61)="","",INDEX(GLAPS컨테이너배차관리!$CM:$CM,$B61))=""),"",IF(OR(IF(INDEX(GLAPS컨테이너배차관리!$CL:$CL,$B61)="","",INDEX(GLAPS컨테이너배차관리!$CL:$CL,$B61))="B000016649",ISNUMBER(SEARCH("B015",IF(INDEX(GLAPS컨테이너배차관리!$CM:$CM,$B61)="","",INDEX(GLAPS컨테이너배차관리!$CM:$CM,$B61)))),ISNUMBER(SEARCH("세방",IF(INDEX(GLAPS컨테이너배차관리!$CM:$CM,$B61)="","",INDEX(GLAPS컨테이너배차관리!$CM:$CM,$B61)))),ISNUMBER(SEARCH("SB",IF(INDEX(GLAPS컨테이너배차관리!$CM:$CM,$B61)="","",INDEX(GLAPS컨테이너배차관리!$CM:$CM,$B61))))),"세방","")))</f>
        <v/>
      </c>
      <c r="AB61" t="str">
        <f>IF($B61="","",IF(IF(INDEX(GLAPS컨테이너배차관리!$CM:$CM,$B61)="","",INDEX(GLAPS컨테이너배차관리!$CM:$CM,$B61))="","",IF(ISNUMBER(SEARCH("이지스두동",IF(INDEX(GLAPS컨테이너배차관리!$CM:$CM,$B61)="","",INDEX(GLAPS컨테이너배차관리!$CM:$CM,$B61)))),"이지스두동",IF(ISNUMBER(SEARCH("이지스녹산",IF(INDEX(GLAPS컨테이너배차관리!$CM:$CM,$B61)="","",INDEX(GLAPS컨테이너배차관리!$CM:$CM,$B61)))),"이지스녹산",IF(ISNUMBER(SEARCH("천우",IF(INDEX(GLAPS컨테이너배차관리!$CM:$CM,$B61)="","",INDEX(GLAPS컨테이너배차관리!$CM:$CM,$B61)))),"천우",IF(OR(ISNUMBER(SEARCH("청암",IF(INDEX(GLAPS컨테이너배차관리!$CM:$CM,$B61)="","",INDEX(GLAPS컨테이너배차관리!$CM:$CM,$B61)))),ISNUMBER(SEARCH("SB청암",IF(INDEX(GLAPS컨테이너배차관리!$CM:$CM,$B61)="","",INDEX(GLAPS컨테이너배차관리!$CM:$CM,$B61))))),"청암신항",IF(INDEX(GLAPS컨테이너배차관리!$CM:$CM,$B61)="","",INDEX(GLAPS컨테이너배차관리!$CM:$CM,$B61))))))))</f>
        <v/>
      </c>
    </row>
    <row r="62" spans="1:28">
      <c r="A62">
        <v>61</v>
      </c>
      <c r="B62" t="str">
        <f>IFERROR(_xlfn.AGGREGATE(15,6,ROW(GLAPS컨테이너배차관리!$X$2:$X$20000)/(GLAPS컨테이너배차관리!$X$2:$X$20000&lt;&gt;""),A62),"")</f>
        <v/>
      </c>
      <c r="C62" t="str">
        <f>IF($B62="","",INT(IF(INDEX(GLAPS컨테이너배차관리!$K:$K,$B62)="","",INDEX(GLAPS컨테이너배차관리!$K:$K,$B62))))</f>
        <v/>
      </c>
      <c r="D62" t="str">
        <f>IF($B62="","",IF(ISNUMBER(SEARCH("이엘에스",IF(INDEX(GLAPS컨테이너배차관리!$AZ:$AZ,$B62)="","",INDEX(GLAPS컨테이너배차관리!$AZ:$AZ,$B62)))),"ELS솔루션",IF(INDEX(GLAPS컨테이너배차관리!$AZ:$AZ,$B62)="","",INDEX(GLAPS컨테이너배차관리!$AZ:$AZ,$B62))))</f>
        <v/>
      </c>
      <c r="E62" t="str">
        <f>IF($B62="","",IF(INDEX(GLAPS컨테이너배차관리!$L:$L,$B62)="","",INDEX(GLAPS컨테이너배차관리!$L:$L,$B62)))</f>
        <v/>
      </c>
      <c r="F62" t="str">
        <f>IF($B62="","",IF(HOUR(IF(INDEX(GLAPS컨테이너배차관리!$L:$L,$B62)="","",INDEX(GLAPS컨테이너배차관리!$L:$L,$B62)))&lt;12,"오전",IF(HOUR(IF(INDEX(GLAPS컨테이너배차관리!$L:$L,$B62)="","",INDEX(GLAPS컨테이너배차관리!$L:$L,$B62)))&lt;18,"오후","잔업")))</f>
        <v/>
      </c>
      <c r="G62" t="str">
        <f>IF($B62="","",IFERROR(INDEX(GLAPS정리!$G$3:$G$264,MATCH(IF(INDEX(GLAPS컨테이너배차관리!$BY:$BY,$B62)="","",INDEX(GLAPS컨테이너배차관리!$BY:$BY,$B62)),GLAPS정리!$H$3:$H$264,0)),TRIM(SUBSTITUTE(SUBSTITUTE(SUBSTITUTE(SUBSTITUTE(SUBSTITUTE(IF(INDEX(GLAPS컨테이너배차관리!$T:$T,$B62)="","",INDEX(GLAPS컨테이너배차관리!$T:$T,$B62)),"[GA]",""),"[GB]",""),"[GC]",""),"[KC]",""),"[GS]",""))))</f>
        <v/>
      </c>
      <c r="H62" t="str">
        <f>IF($B62="","",IFERROR(VLOOKUP(IF(INDEX(GLAPS컨테이너배차관리!$BY:$BY,$B62)="","",INDEX(GLAPS컨테이너배차관리!$BY:$BY,$B62)),GLAPS정리!$BT$3:$BV$200,3,0),""))</f>
        <v/>
      </c>
      <c r="I62" t="str">
        <f>IF($B62="","",LEFT(IF(INDEX(GLAPS컨테이너배차관리!$U:$U,$B62)="","",INDEX(GLAPS컨테이너배차관리!$U:$U,$B62)),FIND("/",IF(INDEX(GLAPS컨테이너배차관리!$U:$U,$B62)="","",INDEX(GLAPS컨테이너배차관리!$U:$U,$B62))&amp;"/")-1))</f>
        <v/>
      </c>
      <c r="J62" t="str">
        <f>IF($B62="","",IF(IF(INDEX(GLAPS컨테이너배차관리!$O:$O,$B62)="","",INDEX(GLAPS컨테이너배차관리!$O:$O,$B62))="EMC","EMA",IFERROR(INDEX(GLAPS정리!$A$2:$A$50,MATCH(IF(INDEX(GLAPS컨테이너배차관리!$O:$O,$B62)="","",INDEX(GLAPS컨테이너배차관리!$O:$O,$B62)),GLAPS정리!$D$2:$D$50,0)),IF(INDEX(GLAPS컨테이너배차관리!$O:$O,$B62)="","",INDEX(GLAPS컨테이너배차관리!$O:$O,$B62)))))</f>
        <v/>
      </c>
      <c r="K62" t="str">
        <f>IF($B62="","",IF(LEFT(IF(INDEX(GLAPS컨테이너배차관리!$Y:$Y,$B62)="","",INDEX(GLAPS컨테이너배차관리!$Y:$Y,$B62)),2)="22","20 Feet",IF(LEFT(IF(INDEX(GLAPS컨테이너배차관리!$Y:$Y,$B62)="","",INDEX(GLAPS컨테이너배차관리!$Y:$Y,$B62)),2)="42","40 Feet","40 Feet H")))</f>
        <v/>
      </c>
      <c r="L62" t="str">
        <f>IF($B62="","",IFERROR(INDEX(GLAPS정리!$BB$2:$BB$80,MATCH(IF(INDEX(GLAPS컨테이너배차관리!$BQ:$BQ,$B62)="","",INDEX(GLAPS컨테이너배차관리!$BQ:$BQ,$B62)),GLAPS정리!$BC$2:$BC$80,0)),IF(INDEX(GLAPS컨테이너배차관리!$BQ:$BQ,$B62)="","",INDEX(GLAPS컨테이너배차관리!$BQ:$BQ,$B62))))</f>
        <v/>
      </c>
      <c r="M62" t="str">
        <f>IF($B62="","",IFERROR(INDEX(GLAPS정리!$V$3:$V$180,MATCH(IF(INDEX(GLAPS컨테이너배차관리!$S:$S,$B62)="","",INDEX(GLAPS컨테이너배차관리!$S:$S,$B62)),GLAPS정리!$W$3:$W$180,0)),IF(INDEX(GLAPS컨테이너배차관리!$S:$S,$B62)="","",INDEX(GLAPS컨테이너배차관리!$S:$S,$B62))))</f>
        <v/>
      </c>
      <c r="N62" t="str">
        <f>IF($B62="","",IF(IF(INDEX(GLAPS컨테이너배차관리!$DF:$DF,$B62)="","",INDEX(GLAPS컨테이너배차관리!$DF:$DF,$B62))&lt;&gt;"",IF(INDEX(GLAPS컨테이너배차관리!$DF:$DF,$B62)="","",INDEX(GLAPS컨테이너배차관리!$DF:$DF,$B62)),IF(IF(INDEX(GLAPS컨테이너배차관리!$DG:$DG,$B62)="","",INDEX(GLAPS컨테이너배차관리!$DG:$DG,$B62))&lt;&gt;"",IF(INDEX(GLAPS컨테이너배차관리!$DG:$DG,$B62)="","",INDEX(GLAPS컨테이너배차관리!$DG:$DG,$B62)),"")))</f>
        <v/>
      </c>
      <c r="O62" t="str">
        <f>IF($B62="","",IF(INDEX(GLAPS컨테이너배차관리!$AB:$AB,$B62)="","",INDEX(GLAPS컨테이너배차관리!$AB:$AB,$B62)))</f>
        <v/>
      </c>
      <c r="P62" t="str">
        <f>IF($B62="","",IF(IF(INDEX(GLAPS컨테이너배차관리!$CP:$CP,$B62)="","",INDEX(GLAPS컨테이너배차관리!$CP:$CP,$B62))="","",IFERROR(INDEX(GLAPS정리!$BH$2:$BH$101,MATCH(IF(INDEX(GLAPS컨테이너배차관리!$CP:$CP,$B62)="","",INDEX(GLAPS컨테이너배차관리!$CP:$CP,$B62)),GLAPS정리!$BI$2:$BI$101,0)),IF(INDEX(GLAPS컨테이너배차관리!$CP:$CP,$B62)="","",INDEX(GLAPS컨테이너배차관리!$CP:$CP,$B62)))))</f>
        <v/>
      </c>
      <c r="Q62" t="str">
        <f>IF($B62="","",IF(AND(IF(INDEX(GLAPS컨테이너배차관리!$AK:$AK,$B62)="","",INDEX(GLAPS컨테이너배차관리!$AK:$AK,$B62))="Y",IF(INDEX(GLAPS컨테이너배차관리!$AI:$AI,$B62)="","",INDEX(GLAPS컨테이너배차관리!$AI:$AI,$B62))="Y"),"위험물리퍼",IF(IF(INDEX(GLAPS컨테이너배차관리!$AK:$AK,$B62)="","",INDEX(GLAPS컨테이너배차관리!$AK:$AK,$B62))="Y","위험물",IF(IF(INDEX(GLAPS컨테이너배차관리!$AI:$AI,$B62)="","",INDEX(GLAPS컨테이너배차관리!$AI:$AI,$B62))="Y","리퍼",""))))</f>
        <v/>
      </c>
      <c r="R62" t="str">
        <f>IF($B62="","",IF(LEFT(IF(INDEX(GLAPS컨테이너배차관리!$Y:$Y,$B62)="","",INDEX(GLAPS컨테이너배차관리!$Y:$Y,$B62)),2)="22",1,""))</f>
        <v/>
      </c>
      <c r="S62" t="str">
        <f>IF($B62="","",IF(LEFT(IF(INDEX(GLAPS컨테이너배차관리!$Y:$Y,$B62)="","",INDEX(GLAPS컨테이너배차관리!$Y:$Y,$B62)),2)="42",1,""))</f>
        <v/>
      </c>
      <c r="T62" t="str">
        <f>IF($B62="","",IF(LEFT(IF(INDEX(GLAPS컨테이너배차관리!$Y:$Y,$B62)="","",INDEX(GLAPS컨테이너배차관리!$Y:$Y,$B62)),2)="45",1,""))</f>
        <v/>
      </c>
      <c r="U62" t="str">
        <f>IF($B62="","",IF(INDEX(GLAPS컨테이너배차관리!$X:$X,$B62)="","",INDEX(GLAPS컨테이너배차관리!$X:$X,$B62)))</f>
        <v/>
      </c>
      <c r="V62" t="str">
        <f>IF($B62="","",IF(INDEX(GLAPS컨테이너배차관리!$Z:$Z,$B62)="","",INDEX(GLAPS컨테이너배차관리!$Z:$Z,$B62)))</f>
        <v/>
      </c>
      <c r="W62" t="str">
        <f>IF($B62="","",IF(IF(INDEX(GLAPS컨테이너배차관리!$DI:$DI,$B62)="","",INDEX(GLAPS컨테이너배차관리!$DI:$DI,$B62))&lt;&gt;"",IF(INDEX(GLAPS컨테이너배차관리!$DI:$DI,$B62)="","",INDEX(GLAPS컨테이너배차관리!$DI:$DI,$B62)),IF(IF(INDEX(GLAPS컨테이너배차관리!$DJ:$DJ,$B62)="","",INDEX(GLAPS컨테이너배차관리!$DJ:$DJ,$B62))&lt;&gt;"",IF(INDEX(GLAPS컨테이너배차관리!$DJ:$DJ,$B62)="","",INDEX(GLAPS컨테이너배차관리!$DJ:$DJ,$B62)),IF(IF(INDEX(GLAPS컨테이너배차관리!$DK:$DK,$B62)="","",INDEX(GLAPS컨테이너배차관리!$DK:$DK,$B62))&lt;&gt;"",IF(INDEX(GLAPS컨테이너배차관리!$DK:$DK,$B62)="","",INDEX(GLAPS컨테이너배차관리!$DK:$DK,$B62)),IF(IF(INDEX(GLAPS컨테이너배차관리!$DL:$DL,$B62)="","",INDEX(GLAPS컨테이너배차관리!$DL:$DL,$B62))&lt;&gt;"",IF(INDEX(GLAPS컨테이너배차관리!$DL:$DL,$B62)="","",INDEX(GLAPS컨테이너배차관리!$DL:$DL,$B62)),IF(IF(INDEX(GLAPS컨테이너배차관리!$DM:$DM,$B62)="","",INDEX(GLAPS컨테이너배차관리!$DM:$DM,$B62))&lt;&gt;"",IF(INDEX(GLAPS컨테이너배차관리!$DM:$DM,$B62)="","",INDEX(GLAPS컨테이너배차관리!$DM:$DM,$B62)),""))))))</f>
        <v/>
      </c>
      <c r="X62" t="str">
        <f>IF($B62="","",IF(INDEX(GLAPS컨테이너배차관리!$F:$F,$B62)="","",INDEX(GLAPS컨테이너배차관리!$F:$F,$B62)))</f>
        <v/>
      </c>
      <c r="Y62" t="str">
        <f>IF($B62="","",IF(IF(INDEX(GLAPS컨테이너배차관리!$M:$M,$B62)="","",INDEX(GLAPS컨테이너배차관리!$M:$M,$B62))&lt;&gt;"",IF(INDEX(GLAPS컨테이너배차관리!$M:$M,$B62)="","",INDEX(GLAPS컨테이너배차관리!$M:$M,$B62)),IF(IF(INDEX(GLAPS컨테이너배차관리!$N:$N,$B62)="","",INDEX(GLAPS컨테이너배차관리!$N:$N,$B62))&lt;&gt;"",IF(INDEX(GLAPS컨테이너배차관리!$N:$N,$B62)="","",INDEX(GLAPS컨테이너배차관리!$N:$N,$B62)),"")))</f>
        <v/>
      </c>
      <c r="Z62" t="str">
        <f>IF($B62="","",IF(IF(INDEX(GLAPS컨테이너배차관리!$CU:$CU,$B62)="","",INDEX(GLAPS컨테이너배차관리!$CU:$CU,$B62))="","",IFERROR(INT(IF(INDEX(GLAPS컨테이너배차관리!$CU:$CU,$B62)="","",INDEX(GLAPS컨테이너배차관리!$CU:$CU,$B62))),"")))</f>
        <v/>
      </c>
      <c r="AA62" t="str">
        <f>IF($B62="","",IF(AND(IF(INDEX(GLAPS컨테이너배차관리!$CL:$CL,$B62)="","",INDEX(GLAPS컨테이너배차관리!$CL:$CL,$B62))="",IF(INDEX(GLAPS컨테이너배차관리!$CM:$CM,$B62)="","",INDEX(GLAPS컨테이너배차관리!$CM:$CM,$B62))=""),"",IF(OR(IF(INDEX(GLAPS컨테이너배차관리!$CL:$CL,$B62)="","",INDEX(GLAPS컨테이너배차관리!$CL:$CL,$B62))="B000016649",ISNUMBER(SEARCH("B015",IF(INDEX(GLAPS컨테이너배차관리!$CM:$CM,$B62)="","",INDEX(GLAPS컨테이너배차관리!$CM:$CM,$B62)))),ISNUMBER(SEARCH("세방",IF(INDEX(GLAPS컨테이너배차관리!$CM:$CM,$B62)="","",INDEX(GLAPS컨테이너배차관리!$CM:$CM,$B62)))),ISNUMBER(SEARCH("SB",IF(INDEX(GLAPS컨테이너배차관리!$CM:$CM,$B62)="","",INDEX(GLAPS컨테이너배차관리!$CM:$CM,$B62))))),"세방","")))</f>
        <v/>
      </c>
      <c r="AB62" t="str">
        <f>IF($B62="","",IF(IF(INDEX(GLAPS컨테이너배차관리!$CM:$CM,$B62)="","",INDEX(GLAPS컨테이너배차관리!$CM:$CM,$B62))="","",IF(ISNUMBER(SEARCH("이지스두동",IF(INDEX(GLAPS컨테이너배차관리!$CM:$CM,$B62)="","",INDEX(GLAPS컨테이너배차관리!$CM:$CM,$B62)))),"이지스두동",IF(ISNUMBER(SEARCH("이지스녹산",IF(INDEX(GLAPS컨테이너배차관리!$CM:$CM,$B62)="","",INDEX(GLAPS컨테이너배차관리!$CM:$CM,$B62)))),"이지스녹산",IF(ISNUMBER(SEARCH("천우",IF(INDEX(GLAPS컨테이너배차관리!$CM:$CM,$B62)="","",INDEX(GLAPS컨테이너배차관리!$CM:$CM,$B62)))),"천우",IF(OR(ISNUMBER(SEARCH("청암",IF(INDEX(GLAPS컨테이너배차관리!$CM:$CM,$B62)="","",INDEX(GLAPS컨테이너배차관리!$CM:$CM,$B62)))),ISNUMBER(SEARCH("SB청암",IF(INDEX(GLAPS컨테이너배차관리!$CM:$CM,$B62)="","",INDEX(GLAPS컨테이너배차관리!$CM:$CM,$B62))))),"청암신항",IF(INDEX(GLAPS컨테이너배차관리!$CM:$CM,$B62)="","",INDEX(GLAPS컨테이너배차관리!$CM:$CM,$B62))))))))</f>
        <v/>
      </c>
    </row>
    <row r="63" spans="1:28">
      <c r="A63">
        <v>62</v>
      </c>
      <c r="B63" t="str">
        <f>IFERROR(_xlfn.AGGREGATE(15,6,ROW(GLAPS컨테이너배차관리!$X$2:$X$20000)/(GLAPS컨테이너배차관리!$X$2:$X$20000&lt;&gt;""),A63),"")</f>
        <v/>
      </c>
      <c r="C63" t="str">
        <f>IF($B63="","",INT(IF(INDEX(GLAPS컨테이너배차관리!$K:$K,$B63)="","",INDEX(GLAPS컨테이너배차관리!$K:$K,$B63))))</f>
        <v/>
      </c>
      <c r="D63" t="str">
        <f>IF($B63="","",IF(ISNUMBER(SEARCH("이엘에스",IF(INDEX(GLAPS컨테이너배차관리!$AZ:$AZ,$B63)="","",INDEX(GLAPS컨테이너배차관리!$AZ:$AZ,$B63)))),"ELS솔루션",IF(INDEX(GLAPS컨테이너배차관리!$AZ:$AZ,$B63)="","",INDEX(GLAPS컨테이너배차관리!$AZ:$AZ,$B63))))</f>
        <v/>
      </c>
      <c r="E63" t="str">
        <f>IF($B63="","",IF(INDEX(GLAPS컨테이너배차관리!$L:$L,$B63)="","",INDEX(GLAPS컨테이너배차관리!$L:$L,$B63)))</f>
        <v/>
      </c>
      <c r="F63" t="str">
        <f>IF($B63="","",IF(HOUR(IF(INDEX(GLAPS컨테이너배차관리!$L:$L,$B63)="","",INDEX(GLAPS컨테이너배차관리!$L:$L,$B63)))&lt;12,"오전",IF(HOUR(IF(INDEX(GLAPS컨테이너배차관리!$L:$L,$B63)="","",INDEX(GLAPS컨테이너배차관리!$L:$L,$B63)))&lt;18,"오후","잔업")))</f>
        <v/>
      </c>
      <c r="G63" t="str">
        <f>IF($B63="","",IFERROR(INDEX(GLAPS정리!$G$3:$G$264,MATCH(IF(INDEX(GLAPS컨테이너배차관리!$BY:$BY,$B63)="","",INDEX(GLAPS컨테이너배차관리!$BY:$BY,$B63)),GLAPS정리!$H$3:$H$264,0)),TRIM(SUBSTITUTE(SUBSTITUTE(SUBSTITUTE(SUBSTITUTE(SUBSTITUTE(IF(INDEX(GLAPS컨테이너배차관리!$T:$T,$B63)="","",INDEX(GLAPS컨테이너배차관리!$T:$T,$B63)),"[GA]",""),"[GB]",""),"[GC]",""),"[KC]",""),"[GS]",""))))</f>
        <v/>
      </c>
      <c r="H63" t="str">
        <f>IF($B63="","",IFERROR(VLOOKUP(IF(INDEX(GLAPS컨테이너배차관리!$BY:$BY,$B63)="","",INDEX(GLAPS컨테이너배차관리!$BY:$BY,$B63)),GLAPS정리!$BT$3:$BV$200,3,0),""))</f>
        <v/>
      </c>
      <c r="I63" t="str">
        <f>IF($B63="","",LEFT(IF(INDEX(GLAPS컨테이너배차관리!$U:$U,$B63)="","",INDEX(GLAPS컨테이너배차관리!$U:$U,$B63)),FIND("/",IF(INDEX(GLAPS컨테이너배차관리!$U:$U,$B63)="","",INDEX(GLAPS컨테이너배차관리!$U:$U,$B63))&amp;"/")-1))</f>
        <v/>
      </c>
      <c r="J63" t="str">
        <f>IF($B63="","",IF(IF(INDEX(GLAPS컨테이너배차관리!$O:$O,$B63)="","",INDEX(GLAPS컨테이너배차관리!$O:$O,$B63))="EMC","EMA",IFERROR(INDEX(GLAPS정리!$A$2:$A$50,MATCH(IF(INDEX(GLAPS컨테이너배차관리!$O:$O,$B63)="","",INDEX(GLAPS컨테이너배차관리!$O:$O,$B63)),GLAPS정리!$D$2:$D$50,0)),IF(INDEX(GLAPS컨테이너배차관리!$O:$O,$B63)="","",INDEX(GLAPS컨테이너배차관리!$O:$O,$B63)))))</f>
        <v/>
      </c>
      <c r="K63" t="str">
        <f>IF($B63="","",IF(LEFT(IF(INDEX(GLAPS컨테이너배차관리!$Y:$Y,$B63)="","",INDEX(GLAPS컨테이너배차관리!$Y:$Y,$B63)),2)="22","20 Feet",IF(LEFT(IF(INDEX(GLAPS컨테이너배차관리!$Y:$Y,$B63)="","",INDEX(GLAPS컨테이너배차관리!$Y:$Y,$B63)),2)="42","40 Feet","40 Feet H")))</f>
        <v/>
      </c>
      <c r="L63" t="str">
        <f>IF($B63="","",IFERROR(INDEX(GLAPS정리!$BB$2:$BB$80,MATCH(IF(INDEX(GLAPS컨테이너배차관리!$BQ:$BQ,$B63)="","",INDEX(GLAPS컨테이너배차관리!$BQ:$BQ,$B63)),GLAPS정리!$BC$2:$BC$80,0)),IF(INDEX(GLAPS컨테이너배차관리!$BQ:$BQ,$B63)="","",INDEX(GLAPS컨테이너배차관리!$BQ:$BQ,$B63))))</f>
        <v/>
      </c>
      <c r="M63" t="str">
        <f>IF($B63="","",IFERROR(INDEX(GLAPS정리!$V$3:$V$180,MATCH(IF(INDEX(GLAPS컨테이너배차관리!$S:$S,$B63)="","",INDEX(GLAPS컨테이너배차관리!$S:$S,$B63)),GLAPS정리!$W$3:$W$180,0)),IF(INDEX(GLAPS컨테이너배차관리!$S:$S,$B63)="","",INDEX(GLAPS컨테이너배차관리!$S:$S,$B63))))</f>
        <v/>
      </c>
      <c r="N63" t="str">
        <f>IF($B63="","",IF(IF(INDEX(GLAPS컨테이너배차관리!$DF:$DF,$B63)="","",INDEX(GLAPS컨테이너배차관리!$DF:$DF,$B63))&lt;&gt;"",IF(INDEX(GLAPS컨테이너배차관리!$DF:$DF,$B63)="","",INDEX(GLAPS컨테이너배차관리!$DF:$DF,$B63)),IF(IF(INDEX(GLAPS컨테이너배차관리!$DG:$DG,$B63)="","",INDEX(GLAPS컨테이너배차관리!$DG:$DG,$B63))&lt;&gt;"",IF(INDEX(GLAPS컨테이너배차관리!$DG:$DG,$B63)="","",INDEX(GLAPS컨테이너배차관리!$DG:$DG,$B63)),"")))</f>
        <v/>
      </c>
      <c r="O63" t="str">
        <f>IF($B63="","",IF(INDEX(GLAPS컨테이너배차관리!$AB:$AB,$B63)="","",INDEX(GLAPS컨테이너배차관리!$AB:$AB,$B63)))</f>
        <v/>
      </c>
      <c r="P63" t="str">
        <f>IF($B63="","",IF(IF(INDEX(GLAPS컨테이너배차관리!$CP:$CP,$B63)="","",INDEX(GLAPS컨테이너배차관리!$CP:$CP,$B63))="","",IFERROR(INDEX(GLAPS정리!$BH$2:$BH$101,MATCH(IF(INDEX(GLAPS컨테이너배차관리!$CP:$CP,$B63)="","",INDEX(GLAPS컨테이너배차관리!$CP:$CP,$B63)),GLAPS정리!$BI$2:$BI$101,0)),IF(INDEX(GLAPS컨테이너배차관리!$CP:$CP,$B63)="","",INDEX(GLAPS컨테이너배차관리!$CP:$CP,$B63)))))</f>
        <v/>
      </c>
      <c r="Q63" t="str">
        <f>IF($B63="","",IF(AND(IF(INDEX(GLAPS컨테이너배차관리!$AK:$AK,$B63)="","",INDEX(GLAPS컨테이너배차관리!$AK:$AK,$B63))="Y",IF(INDEX(GLAPS컨테이너배차관리!$AI:$AI,$B63)="","",INDEX(GLAPS컨테이너배차관리!$AI:$AI,$B63))="Y"),"위험물리퍼",IF(IF(INDEX(GLAPS컨테이너배차관리!$AK:$AK,$B63)="","",INDEX(GLAPS컨테이너배차관리!$AK:$AK,$B63))="Y","위험물",IF(IF(INDEX(GLAPS컨테이너배차관리!$AI:$AI,$B63)="","",INDEX(GLAPS컨테이너배차관리!$AI:$AI,$B63))="Y","리퍼",""))))</f>
        <v/>
      </c>
      <c r="R63" t="str">
        <f>IF($B63="","",IF(LEFT(IF(INDEX(GLAPS컨테이너배차관리!$Y:$Y,$B63)="","",INDEX(GLAPS컨테이너배차관리!$Y:$Y,$B63)),2)="22",1,""))</f>
        <v/>
      </c>
      <c r="S63" t="str">
        <f>IF($B63="","",IF(LEFT(IF(INDEX(GLAPS컨테이너배차관리!$Y:$Y,$B63)="","",INDEX(GLAPS컨테이너배차관리!$Y:$Y,$B63)),2)="42",1,""))</f>
        <v/>
      </c>
      <c r="T63" t="str">
        <f>IF($B63="","",IF(LEFT(IF(INDEX(GLAPS컨테이너배차관리!$Y:$Y,$B63)="","",INDEX(GLAPS컨테이너배차관리!$Y:$Y,$B63)),2)="45",1,""))</f>
        <v/>
      </c>
      <c r="U63" t="str">
        <f>IF($B63="","",IF(INDEX(GLAPS컨테이너배차관리!$X:$X,$B63)="","",INDEX(GLAPS컨테이너배차관리!$X:$X,$B63)))</f>
        <v/>
      </c>
      <c r="V63" t="str">
        <f>IF($B63="","",IF(INDEX(GLAPS컨테이너배차관리!$Z:$Z,$B63)="","",INDEX(GLAPS컨테이너배차관리!$Z:$Z,$B63)))</f>
        <v/>
      </c>
      <c r="W63" t="str">
        <f>IF($B63="","",IF(IF(INDEX(GLAPS컨테이너배차관리!$DI:$DI,$B63)="","",INDEX(GLAPS컨테이너배차관리!$DI:$DI,$B63))&lt;&gt;"",IF(INDEX(GLAPS컨테이너배차관리!$DI:$DI,$B63)="","",INDEX(GLAPS컨테이너배차관리!$DI:$DI,$B63)),IF(IF(INDEX(GLAPS컨테이너배차관리!$DJ:$DJ,$B63)="","",INDEX(GLAPS컨테이너배차관리!$DJ:$DJ,$B63))&lt;&gt;"",IF(INDEX(GLAPS컨테이너배차관리!$DJ:$DJ,$B63)="","",INDEX(GLAPS컨테이너배차관리!$DJ:$DJ,$B63)),IF(IF(INDEX(GLAPS컨테이너배차관리!$DK:$DK,$B63)="","",INDEX(GLAPS컨테이너배차관리!$DK:$DK,$B63))&lt;&gt;"",IF(INDEX(GLAPS컨테이너배차관리!$DK:$DK,$B63)="","",INDEX(GLAPS컨테이너배차관리!$DK:$DK,$B63)),IF(IF(INDEX(GLAPS컨테이너배차관리!$DL:$DL,$B63)="","",INDEX(GLAPS컨테이너배차관리!$DL:$DL,$B63))&lt;&gt;"",IF(INDEX(GLAPS컨테이너배차관리!$DL:$DL,$B63)="","",INDEX(GLAPS컨테이너배차관리!$DL:$DL,$B63)),IF(IF(INDEX(GLAPS컨테이너배차관리!$DM:$DM,$B63)="","",INDEX(GLAPS컨테이너배차관리!$DM:$DM,$B63))&lt;&gt;"",IF(INDEX(GLAPS컨테이너배차관리!$DM:$DM,$B63)="","",INDEX(GLAPS컨테이너배차관리!$DM:$DM,$B63)),""))))))</f>
        <v/>
      </c>
      <c r="X63" t="str">
        <f>IF($B63="","",IF(INDEX(GLAPS컨테이너배차관리!$F:$F,$B63)="","",INDEX(GLAPS컨테이너배차관리!$F:$F,$B63)))</f>
        <v/>
      </c>
      <c r="Y63" t="str">
        <f>IF($B63="","",IF(IF(INDEX(GLAPS컨테이너배차관리!$M:$M,$B63)="","",INDEX(GLAPS컨테이너배차관리!$M:$M,$B63))&lt;&gt;"",IF(INDEX(GLAPS컨테이너배차관리!$M:$M,$B63)="","",INDEX(GLAPS컨테이너배차관리!$M:$M,$B63)),IF(IF(INDEX(GLAPS컨테이너배차관리!$N:$N,$B63)="","",INDEX(GLAPS컨테이너배차관리!$N:$N,$B63))&lt;&gt;"",IF(INDEX(GLAPS컨테이너배차관리!$N:$N,$B63)="","",INDEX(GLAPS컨테이너배차관리!$N:$N,$B63)),"")))</f>
        <v/>
      </c>
      <c r="Z63" t="str">
        <f>IF($B63="","",IF(IF(INDEX(GLAPS컨테이너배차관리!$CU:$CU,$B63)="","",INDEX(GLAPS컨테이너배차관리!$CU:$CU,$B63))="","",IFERROR(INT(IF(INDEX(GLAPS컨테이너배차관리!$CU:$CU,$B63)="","",INDEX(GLAPS컨테이너배차관리!$CU:$CU,$B63))),"")))</f>
        <v/>
      </c>
      <c r="AA63" t="str">
        <f>IF($B63="","",IF(AND(IF(INDEX(GLAPS컨테이너배차관리!$CL:$CL,$B63)="","",INDEX(GLAPS컨테이너배차관리!$CL:$CL,$B63))="",IF(INDEX(GLAPS컨테이너배차관리!$CM:$CM,$B63)="","",INDEX(GLAPS컨테이너배차관리!$CM:$CM,$B63))=""),"",IF(OR(IF(INDEX(GLAPS컨테이너배차관리!$CL:$CL,$B63)="","",INDEX(GLAPS컨테이너배차관리!$CL:$CL,$B63))="B000016649",ISNUMBER(SEARCH("B015",IF(INDEX(GLAPS컨테이너배차관리!$CM:$CM,$B63)="","",INDEX(GLAPS컨테이너배차관리!$CM:$CM,$B63)))),ISNUMBER(SEARCH("세방",IF(INDEX(GLAPS컨테이너배차관리!$CM:$CM,$B63)="","",INDEX(GLAPS컨테이너배차관리!$CM:$CM,$B63)))),ISNUMBER(SEARCH("SB",IF(INDEX(GLAPS컨테이너배차관리!$CM:$CM,$B63)="","",INDEX(GLAPS컨테이너배차관리!$CM:$CM,$B63))))),"세방","")))</f>
        <v/>
      </c>
      <c r="AB63" t="str">
        <f>IF($B63="","",IF(IF(INDEX(GLAPS컨테이너배차관리!$CM:$CM,$B63)="","",INDEX(GLAPS컨테이너배차관리!$CM:$CM,$B63))="","",IF(ISNUMBER(SEARCH("이지스두동",IF(INDEX(GLAPS컨테이너배차관리!$CM:$CM,$B63)="","",INDEX(GLAPS컨테이너배차관리!$CM:$CM,$B63)))),"이지스두동",IF(ISNUMBER(SEARCH("이지스녹산",IF(INDEX(GLAPS컨테이너배차관리!$CM:$CM,$B63)="","",INDEX(GLAPS컨테이너배차관리!$CM:$CM,$B63)))),"이지스녹산",IF(ISNUMBER(SEARCH("천우",IF(INDEX(GLAPS컨테이너배차관리!$CM:$CM,$B63)="","",INDEX(GLAPS컨테이너배차관리!$CM:$CM,$B63)))),"천우",IF(OR(ISNUMBER(SEARCH("청암",IF(INDEX(GLAPS컨테이너배차관리!$CM:$CM,$B63)="","",INDEX(GLAPS컨테이너배차관리!$CM:$CM,$B63)))),ISNUMBER(SEARCH("SB청암",IF(INDEX(GLAPS컨테이너배차관리!$CM:$CM,$B63)="","",INDEX(GLAPS컨테이너배차관리!$CM:$CM,$B63))))),"청암신항",IF(INDEX(GLAPS컨테이너배차관리!$CM:$CM,$B63)="","",INDEX(GLAPS컨테이너배차관리!$CM:$CM,$B63))))))))</f>
        <v/>
      </c>
    </row>
    <row r="64" spans="1:28">
      <c r="A64">
        <v>63</v>
      </c>
      <c r="B64" t="str">
        <f>IFERROR(_xlfn.AGGREGATE(15,6,ROW(GLAPS컨테이너배차관리!$X$2:$X$20000)/(GLAPS컨테이너배차관리!$X$2:$X$20000&lt;&gt;""),A64),"")</f>
        <v/>
      </c>
      <c r="C64" t="str">
        <f>IF($B64="","",INT(IF(INDEX(GLAPS컨테이너배차관리!$K:$K,$B64)="","",INDEX(GLAPS컨테이너배차관리!$K:$K,$B64))))</f>
        <v/>
      </c>
      <c r="D64" t="str">
        <f>IF($B64="","",IF(ISNUMBER(SEARCH("이엘에스",IF(INDEX(GLAPS컨테이너배차관리!$AZ:$AZ,$B64)="","",INDEX(GLAPS컨테이너배차관리!$AZ:$AZ,$B64)))),"ELS솔루션",IF(INDEX(GLAPS컨테이너배차관리!$AZ:$AZ,$B64)="","",INDEX(GLAPS컨테이너배차관리!$AZ:$AZ,$B64))))</f>
        <v/>
      </c>
      <c r="E64" t="str">
        <f>IF($B64="","",IF(INDEX(GLAPS컨테이너배차관리!$L:$L,$B64)="","",INDEX(GLAPS컨테이너배차관리!$L:$L,$B64)))</f>
        <v/>
      </c>
      <c r="F64" t="str">
        <f>IF($B64="","",IF(HOUR(IF(INDEX(GLAPS컨테이너배차관리!$L:$L,$B64)="","",INDEX(GLAPS컨테이너배차관리!$L:$L,$B64)))&lt;12,"오전",IF(HOUR(IF(INDEX(GLAPS컨테이너배차관리!$L:$L,$B64)="","",INDEX(GLAPS컨테이너배차관리!$L:$L,$B64)))&lt;18,"오후","잔업")))</f>
        <v/>
      </c>
      <c r="G64" t="str">
        <f>IF($B64="","",IFERROR(INDEX(GLAPS정리!$G$3:$G$264,MATCH(IF(INDEX(GLAPS컨테이너배차관리!$BY:$BY,$B64)="","",INDEX(GLAPS컨테이너배차관리!$BY:$BY,$B64)),GLAPS정리!$H$3:$H$264,0)),TRIM(SUBSTITUTE(SUBSTITUTE(SUBSTITUTE(SUBSTITUTE(SUBSTITUTE(IF(INDEX(GLAPS컨테이너배차관리!$T:$T,$B64)="","",INDEX(GLAPS컨테이너배차관리!$T:$T,$B64)),"[GA]",""),"[GB]",""),"[GC]",""),"[KC]",""),"[GS]",""))))</f>
        <v/>
      </c>
      <c r="H64" t="str">
        <f>IF($B64="","",IFERROR(VLOOKUP(IF(INDEX(GLAPS컨테이너배차관리!$BY:$BY,$B64)="","",INDEX(GLAPS컨테이너배차관리!$BY:$BY,$B64)),GLAPS정리!$BT$3:$BV$200,3,0),""))</f>
        <v/>
      </c>
      <c r="I64" t="str">
        <f>IF($B64="","",LEFT(IF(INDEX(GLAPS컨테이너배차관리!$U:$U,$B64)="","",INDEX(GLAPS컨테이너배차관리!$U:$U,$B64)),FIND("/",IF(INDEX(GLAPS컨테이너배차관리!$U:$U,$B64)="","",INDEX(GLAPS컨테이너배차관리!$U:$U,$B64))&amp;"/")-1))</f>
        <v/>
      </c>
      <c r="J64" t="str">
        <f>IF($B64="","",IF(IF(INDEX(GLAPS컨테이너배차관리!$O:$O,$B64)="","",INDEX(GLAPS컨테이너배차관리!$O:$O,$B64))="EMC","EMA",IFERROR(INDEX(GLAPS정리!$A$2:$A$50,MATCH(IF(INDEX(GLAPS컨테이너배차관리!$O:$O,$B64)="","",INDEX(GLAPS컨테이너배차관리!$O:$O,$B64)),GLAPS정리!$D$2:$D$50,0)),IF(INDEX(GLAPS컨테이너배차관리!$O:$O,$B64)="","",INDEX(GLAPS컨테이너배차관리!$O:$O,$B64)))))</f>
        <v/>
      </c>
      <c r="K64" t="str">
        <f>IF($B64="","",IF(LEFT(IF(INDEX(GLAPS컨테이너배차관리!$Y:$Y,$B64)="","",INDEX(GLAPS컨테이너배차관리!$Y:$Y,$B64)),2)="22","20 Feet",IF(LEFT(IF(INDEX(GLAPS컨테이너배차관리!$Y:$Y,$B64)="","",INDEX(GLAPS컨테이너배차관리!$Y:$Y,$B64)),2)="42","40 Feet","40 Feet H")))</f>
        <v/>
      </c>
      <c r="L64" t="str">
        <f>IF($B64="","",IFERROR(INDEX(GLAPS정리!$BB$2:$BB$80,MATCH(IF(INDEX(GLAPS컨테이너배차관리!$BQ:$BQ,$B64)="","",INDEX(GLAPS컨테이너배차관리!$BQ:$BQ,$B64)),GLAPS정리!$BC$2:$BC$80,0)),IF(INDEX(GLAPS컨테이너배차관리!$BQ:$BQ,$B64)="","",INDEX(GLAPS컨테이너배차관리!$BQ:$BQ,$B64))))</f>
        <v/>
      </c>
      <c r="M64" t="str">
        <f>IF($B64="","",IFERROR(INDEX(GLAPS정리!$V$3:$V$180,MATCH(IF(INDEX(GLAPS컨테이너배차관리!$S:$S,$B64)="","",INDEX(GLAPS컨테이너배차관리!$S:$S,$B64)),GLAPS정리!$W$3:$W$180,0)),IF(INDEX(GLAPS컨테이너배차관리!$S:$S,$B64)="","",INDEX(GLAPS컨테이너배차관리!$S:$S,$B64))))</f>
        <v/>
      </c>
      <c r="N64" t="str">
        <f>IF($B64="","",IF(IF(INDEX(GLAPS컨테이너배차관리!$DF:$DF,$B64)="","",INDEX(GLAPS컨테이너배차관리!$DF:$DF,$B64))&lt;&gt;"",IF(INDEX(GLAPS컨테이너배차관리!$DF:$DF,$B64)="","",INDEX(GLAPS컨테이너배차관리!$DF:$DF,$B64)),IF(IF(INDEX(GLAPS컨테이너배차관리!$DG:$DG,$B64)="","",INDEX(GLAPS컨테이너배차관리!$DG:$DG,$B64))&lt;&gt;"",IF(INDEX(GLAPS컨테이너배차관리!$DG:$DG,$B64)="","",INDEX(GLAPS컨테이너배차관리!$DG:$DG,$B64)),"")))</f>
        <v/>
      </c>
      <c r="O64" t="str">
        <f>IF($B64="","",IF(INDEX(GLAPS컨테이너배차관리!$AB:$AB,$B64)="","",INDEX(GLAPS컨테이너배차관리!$AB:$AB,$B64)))</f>
        <v/>
      </c>
      <c r="P64" t="str">
        <f>IF($B64="","",IF(IF(INDEX(GLAPS컨테이너배차관리!$CP:$CP,$B64)="","",INDEX(GLAPS컨테이너배차관리!$CP:$CP,$B64))="","",IFERROR(INDEX(GLAPS정리!$BH$2:$BH$101,MATCH(IF(INDEX(GLAPS컨테이너배차관리!$CP:$CP,$B64)="","",INDEX(GLAPS컨테이너배차관리!$CP:$CP,$B64)),GLAPS정리!$BI$2:$BI$101,0)),IF(INDEX(GLAPS컨테이너배차관리!$CP:$CP,$B64)="","",INDEX(GLAPS컨테이너배차관리!$CP:$CP,$B64)))))</f>
        <v/>
      </c>
      <c r="Q64" t="str">
        <f>IF($B64="","",IF(AND(IF(INDEX(GLAPS컨테이너배차관리!$AK:$AK,$B64)="","",INDEX(GLAPS컨테이너배차관리!$AK:$AK,$B64))="Y",IF(INDEX(GLAPS컨테이너배차관리!$AI:$AI,$B64)="","",INDEX(GLAPS컨테이너배차관리!$AI:$AI,$B64))="Y"),"위험물리퍼",IF(IF(INDEX(GLAPS컨테이너배차관리!$AK:$AK,$B64)="","",INDEX(GLAPS컨테이너배차관리!$AK:$AK,$B64))="Y","위험물",IF(IF(INDEX(GLAPS컨테이너배차관리!$AI:$AI,$B64)="","",INDEX(GLAPS컨테이너배차관리!$AI:$AI,$B64))="Y","리퍼",""))))</f>
        <v/>
      </c>
      <c r="R64" t="str">
        <f>IF($B64="","",IF(LEFT(IF(INDEX(GLAPS컨테이너배차관리!$Y:$Y,$B64)="","",INDEX(GLAPS컨테이너배차관리!$Y:$Y,$B64)),2)="22",1,""))</f>
        <v/>
      </c>
      <c r="S64" t="str">
        <f>IF($B64="","",IF(LEFT(IF(INDEX(GLAPS컨테이너배차관리!$Y:$Y,$B64)="","",INDEX(GLAPS컨테이너배차관리!$Y:$Y,$B64)),2)="42",1,""))</f>
        <v/>
      </c>
      <c r="T64" t="str">
        <f>IF($B64="","",IF(LEFT(IF(INDEX(GLAPS컨테이너배차관리!$Y:$Y,$B64)="","",INDEX(GLAPS컨테이너배차관리!$Y:$Y,$B64)),2)="45",1,""))</f>
        <v/>
      </c>
      <c r="U64" t="str">
        <f>IF($B64="","",IF(INDEX(GLAPS컨테이너배차관리!$X:$X,$B64)="","",INDEX(GLAPS컨테이너배차관리!$X:$X,$B64)))</f>
        <v/>
      </c>
      <c r="V64" t="str">
        <f>IF($B64="","",IF(INDEX(GLAPS컨테이너배차관리!$Z:$Z,$B64)="","",INDEX(GLAPS컨테이너배차관리!$Z:$Z,$B64)))</f>
        <v/>
      </c>
      <c r="W64" t="str">
        <f>IF($B64="","",IF(IF(INDEX(GLAPS컨테이너배차관리!$DI:$DI,$B64)="","",INDEX(GLAPS컨테이너배차관리!$DI:$DI,$B64))&lt;&gt;"",IF(INDEX(GLAPS컨테이너배차관리!$DI:$DI,$B64)="","",INDEX(GLAPS컨테이너배차관리!$DI:$DI,$B64)),IF(IF(INDEX(GLAPS컨테이너배차관리!$DJ:$DJ,$B64)="","",INDEX(GLAPS컨테이너배차관리!$DJ:$DJ,$B64))&lt;&gt;"",IF(INDEX(GLAPS컨테이너배차관리!$DJ:$DJ,$B64)="","",INDEX(GLAPS컨테이너배차관리!$DJ:$DJ,$B64)),IF(IF(INDEX(GLAPS컨테이너배차관리!$DK:$DK,$B64)="","",INDEX(GLAPS컨테이너배차관리!$DK:$DK,$B64))&lt;&gt;"",IF(INDEX(GLAPS컨테이너배차관리!$DK:$DK,$B64)="","",INDEX(GLAPS컨테이너배차관리!$DK:$DK,$B64)),IF(IF(INDEX(GLAPS컨테이너배차관리!$DL:$DL,$B64)="","",INDEX(GLAPS컨테이너배차관리!$DL:$DL,$B64))&lt;&gt;"",IF(INDEX(GLAPS컨테이너배차관리!$DL:$DL,$B64)="","",INDEX(GLAPS컨테이너배차관리!$DL:$DL,$B64)),IF(IF(INDEX(GLAPS컨테이너배차관리!$DM:$DM,$B64)="","",INDEX(GLAPS컨테이너배차관리!$DM:$DM,$B64))&lt;&gt;"",IF(INDEX(GLAPS컨테이너배차관리!$DM:$DM,$B64)="","",INDEX(GLAPS컨테이너배차관리!$DM:$DM,$B64)),""))))))</f>
        <v/>
      </c>
      <c r="X64" t="str">
        <f>IF($B64="","",IF(INDEX(GLAPS컨테이너배차관리!$F:$F,$B64)="","",INDEX(GLAPS컨테이너배차관리!$F:$F,$B64)))</f>
        <v/>
      </c>
      <c r="Y64" t="str">
        <f>IF($B64="","",IF(IF(INDEX(GLAPS컨테이너배차관리!$M:$M,$B64)="","",INDEX(GLAPS컨테이너배차관리!$M:$M,$B64))&lt;&gt;"",IF(INDEX(GLAPS컨테이너배차관리!$M:$M,$B64)="","",INDEX(GLAPS컨테이너배차관리!$M:$M,$B64)),IF(IF(INDEX(GLAPS컨테이너배차관리!$N:$N,$B64)="","",INDEX(GLAPS컨테이너배차관리!$N:$N,$B64))&lt;&gt;"",IF(INDEX(GLAPS컨테이너배차관리!$N:$N,$B64)="","",INDEX(GLAPS컨테이너배차관리!$N:$N,$B64)),"")))</f>
        <v/>
      </c>
      <c r="Z64" t="str">
        <f>IF($B64="","",IF(IF(INDEX(GLAPS컨테이너배차관리!$CU:$CU,$B64)="","",INDEX(GLAPS컨테이너배차관리!$CU:$CU,$B64))="","",IFERROR(INT(IF(INDEX(GLAPS컨테이너배차관리!$CU:$CU,$B64)="","",INDEX(GLAPS컨테이너배차관리!$CU:$CU,$B64))),"")))</f>
        <v/>
      </c>
      <c r="AA64" t="str">
        <f>IF($B64="","",IF(AND(IF(INDEX(GLAPS컨테이너배차관리!$CL:$CL,$B64)="","",INDEX(GLAPS컨테이너배차관리!$CL:$CL,$B64))="",IF(INDEX(GLAPS컨테이너배차관리!$CM:$CM,$B64)="","",INDEX(GLAPS컨테이너배차관리!$CM:$CM,$B64))=""),"",IF(OR(IF(INDEX(GLAPS컨테이너배차관리!$CL:$CL,$B64)="","",INDEX(GLAPS컨테이너배차관리!$CL:$CL,$B64))="B000016649",ISNUMBER(SEARCH("B015",IF(INDEX(GLAPS컨테이너배차관리!$CM:$CM,$B64)="","",INDEX(GLAPS컨테이너배차관리!$CM:$CM,$B64)))),ISNUMBER(SEARCH("세방",IF(INDEX(GLAPS컨테이너배차관리!$CM:$CM,$B64)="","",INDEX(GLAPS컨테이너배차관리!$CM:$CM,$B64)))),ISNUMBER(SEARCH("SB",IF(INDEX(GLAPS컨테이너배차관리!$CM:$CM,$B64)="","",INDEX(GLAPS컨테이너배차관리!$CM:$CM,$B64))))),"세방","")))</f>
        <v/>
      </c>
      <c r="AB64" t="str">
        <f>IF($B64="","",IF(IF(INDEX(GLAPS컨테이너배차관리!$CM:$CM,$B64)="","",INDEX(GLAPS컨테이너배차관리!$CM:$CM,$B64))="","",IF(ISNUMBER(SEARCH("이지스두동",IF(INDEX(GLAPS컨테이너배차관리!$CM:$CM,$B64)="","",INDEX(GLAPS컨테이너배차관리!$CM:$CM,$B64)))),"이지스두동",IF(ISNUMBER(SEARCH("이지스녹산",IF(INDEX(GLAPS컨테이너배차관리!$CM:$CM,$B64)="","",INDEX(GLAPS컨테이너배차관리!$CM:$CM,$B64)))),"이지스녹산",IF(ISNUMBER(SEARCH("천우",IF(INDEX(GLAPS컨테이너배차관리!$CM:$CM,$B64)="","",INDEX(GLAPS컨테이너배차관리!$CM:$CM,$B64)))),"천우",IF(OR(ISNUMBER(SEARCH("청암",IF(INDEX(GLAPS컨테이너배차관리!$CM:$CM,$B64)="","",INDEX(GLAPS컨테이너배차관리!$CM:$CM,$B64)))),ISNUMBER(SEARCH("SB청암",IF(INDEX(GLAPS컨테이너배차관리!$CM:$CM,$B64)="","",INDEX(GLAPS컨테이너배차관리!$CM:$CM,$B64))))),"청암신항",IF(INDEX(GLAPS컨테이너배차관리!$CM:$CM,$B64)="","",INDEX(GLAPS컨테이너배차관리!$CM:$CM,$B64))))))))</f>
        <v/>
      </c>
    </row>
    <row r="65" spans="1:28">
      <c r="A65">
        <v>64</v>
      </c>
      <c r="B65" t="str">
        <f>IFERROR(_xlfn.AGGREGATE(15,6,ROW(GLAPS컨테이너배차관리!$X$2:$X$20000)/(GLAPS컨테이너배차관리!$X$2:$X$20000&lt;&gt;""),A65),"")</f>
        <v/>
      </c>
      <c r="C65" t="str">
        <f>IF($B65="","",INT(IF(INDEX(GLAPS컨테이너배차관리!$K:$K,$B65)="","",INDEX(GLAPS컨테이너배차관리!$K:$K,$B65))))</f>
        <v/>
      </c>
      <c r="D65" t="str">
        <f>IF($B65="","",IF(ISNUMBER(SEARCH("이엘에스",IF(INDEX(GLAPS컨테이너배차관리!$AZ:$AZ,$B65)="","",INDEX(GLAPS컨테이너배차관리!$AZ:$AZ,$B65)))),"ELS솔루션",IF(INDEX(GLAPS컨테이너배차관리!$AZ:$AZ,$B65)="","",INDEX(GLAPS컨테이너배차관리!$AZ:$AZ,$B65))))</f>
        <v/>
      </c>
      <c r="E65" t="str">
        <f>IF($B65="","",IF(INDEX(GLAPS컨테이너배차관리!$L:$L,$B65)="","",INDEX(GLAPS컨테이너배차관리!$L:$L,$B65)))</f>
        <v/>
      </c>
      <c r="F65" t="str">
        <f>IF($B65="","",IF(HOUR(IF(INDEX(GLAPS컨테이너배차관리!$L:$L,$B65)="","",INDEX(GLAPS컨테이너배차관리!$L:$L,$B65)))&lt;12,"오전",IF(HOUR(IF(INDEX(GLAPS컨테이너배차관리!$L:$L,$B65)="","",INDEX(GLAPS컨테이너배차관리!$L:$L,$B65)))&lt;18,"오후","잔업")))</f>
        <v/>
      </c>
      <c r="G65" t="str">
        <f>IF($B65="","",IFERROR(INDEX(GLAPS정리!$G$3:$G$264,MATCH(IF(INDEX(GLAPS컨테이너배차관리!$BY:$BY,$B65)="","",INDEX(GLAPS컨테이너배차관리!$BY:$BY,$B65)),GLAPS정리!$H$3:$H$264,0)),TRIM(SUBSTITUTE(SUBSTITUTE(SUBSTITUTE(SUBSTITUTE(SUBSTITUTE(IF(INDEX(GLAPS컨테이너배차관리!$T:$T,$B65)="","",INDEX(GLAPS컨테이너배차관리!$T:$T,$B65)),"[GA]",""),"[GB]",""),"[GC]",""),"[KC]",""),"[GS]",""))))</f>
        <v/>
      </c>
      <c r="H65" t="str">
        <f>IF($B65="","",IFERROR(VLOOKUP(IF(INDEX(GLAPS컨테이너배차관리!$BY:$BY,$B65)="","",INDEX(GLAPS컨테이너배차관리!$BY:$BY,$B65)),GLAPS정리!$BT$3:$BV$200,3,0),""))</f>
        <v/>
      </c>
      <c r="I65" t="str">
        <f>IF($B65="","",LEFT(IF(INDEX(GLAPS컨테이너배차관리!$U:$U,$B65)="","",INDEX(GLAPS컨테이너배차관리!$U:$U,$B65)),FIND("/",IF(INDEX(GLAPS컨테이너배차관리!$U:$U,$B65)="","",INDEX(GLAPS컨테이너배차관리!$U:$U,$B65))&amp;"/")-1))</f>
        <v/>
      </c>
      <c r="J65" t="str">
        <f>IF($B65="","",IF(IF(INDEX(GLAPS컨테이너배차관리!$O:$O,$B65)="","",INDEX(GLAPS컨테이너배차관리!$O:$O,$B65))="EMC","EMA",IFERROR(INDEX(GLAPS정리!$A$2:$A$50,MATCH(IF(INDEX(GLAPS컨테이너배차관리!$O:$O,$B65)="","",INDEX(GLAPS컨테이너배차관리!$O:$O,$B65)),GLAPS정리!$D$2:$D$50,0)),IF(INDEX(GLAPS컨테이너배차관리!$O:$O,$B65)="","",INDEX(GLAPS컨테이너배차관리!$O:$O,$B65)))))</f>
        <v/>
      </c>
      <c r="K65" t="str">
        <f>IF($B65="","",IF(LEFT(IF(INDEX(GLAPS컨테이너배차관리!$Y:$Y,$B65)="","",INDEX(GLAPS컨테이너배차관리!$Y:$Y,$B65)),2)="22","20 Feet",IF(LEFT(IF(INDEX(GLAPS컨테이너배차관리!$Y:$Y,$B65)="","",INDEX(GLAPS컨테이너배차관리!$Y:$Y,$B65)),2)="42","40 Feet","40 Feet H")))</f>
        <v/>
      </c>
      <c r="L65" t="str">
        <f>IF($B65="","",IFERROR(INDEX(GLAPS정리!$BB$2:$BB$80,MATCH(IF(INDEX(GLAPS컨테이너배차관리!$BQ:$BQ,$B65)="","",INDEX(GLAPS컨테이너배차관리!$BQ:$BQ,$B65)),GLAPS정리!$BC$2:$BC$80,0)),IF(INDEX(GLAPS컨테이너배차관리!$BQ:$BQ,$B65)="","",INDEX(GLAPS컨테이너배차관리!$BQ:$BQ,$B65))))</f>
        <v/>
      </c>
      <c r="M65" t="str">
        <f>IF($B65="","",IFERROR(INDEX(GLAPS정리!$V$3:$V$180,MATCH(IF(INDEX(GLAPS컨테이너배차관리!$S:$S,$B65)="","",INDEX(GLAPS컨테이너배차관리!$S:$S,$B65)),GLAPS정리!$W$3:$W$180,0)),IF(INDEX(GLAPS컨테이너배차관리!$S:$S,$B65)="","",INDEX(GLAPS컨테이너배차관리!$S:$S,$B65))))</f>
        <v/>
      </c>
      <c r="N65" t="str">
        <f>IF($B65="","",IF(IF(INDEX(GLAPS컨테이너배차관리!$DF:$DF,$B65)="","",INDEX(GLAPS컨테이너배차관리!$DF:$DF,$B65))&lt;&gt;"",IF(INDEX(GLAPS컨테이너배차관리!$DF:$DF,$B65)="","",INDEX(GLAPS컨테이너배차관리!$DF:$DF,$B65)),IF(IF(INDEX(GLAPS컨테이너배차관리!$DG:$DG,$B65)="","",INDEX(GLAPS컨테이너배차관리!$DG:$DG,$B65))&lt;&gt;"",IF(INDEX(GLAPS컨테이너배차관리!$DG:$DG,$B65)="","",INDEX(GLAPS컨테이너배차관리!$DG:$DG,$B65)),"")))</f>
        <v/>
      </c>
      <c r="O65" t="str">
        <f>IF($B65="","",IF(INDEX(GLAPS컨테이너배차관리!$AB:$AB,$B65)="","",INDEX(GLAPS컨테이너배차관리!$AB:$AB,$B65)))</f>
        <v/>
      </c>
      <c r="P65" t="str">
        <f>IF($B65="","",IF(IF(INDEX(GLAPS컨테이너배차관리!$CP:$CP,$B65)="","",INDEX(GLAPS컨테이너배차관리!$CP:$CP,$B65))="","",IFERROR(INDEX(GLAPS정리!$BH$2:$BH$101,MATCH(IF(INDEX(GLAPS컨테이너배차관리!$CP:$CP,$B65)="","",INDEX(GLAPS컨테이너배차관리!$CP:$CP,$B65)),GLAPS정리!$BI$2:$BI$101,0)),IF(INDEX(GLAPS컨테이너배차관리!$CP:$CP,$B65)="","",INDEX(GLAPS컨테이너배차관리!$CP:$CP,$B65)))))</f>
        <v/>
      </c>
      <c r="Q65" t="str">
        <f>IF($B65="","",IF(AND(IF(INDEX(GLAPS컨테이너배차관리!$AK:$AK,$B65)="","",INDEX(GLAPS컨테이너배차관리!$AK:$AK,$B65))="Y",IF(INDEX(GLAPS컨테이너배차관리!$AI:$AI,$B65)="","",INDEX(GLAPS컨테이너배차관리!$AI:$AI,$B65))="Y"),"위험물리퍼",IF(IF(INDEX(GLAPS컨테이너배차관리!$AK:$AK,$B65)="","",INDEX(GLAPS컨테이너배차관리!$AK:$AK,$B65))="Y","위험물",IF(IF(INDEX(GLAPS컨테이너배차관리!$AI:$AI,$B65)="","",INDEX(GLAPS컨테이너배차관리!$AI:$AI,$B65))="Y","리퍼",""))))</f>
        <v/>
      </c>
      <c r="R65" t="str">
        <f>IF($B65="","",IF(LEFT(IF(INDEX(GLAPS컨테이너배차관리!$Y:$Y,$B65)="","",INDEX(GLAPS컨테이너배차관리!$Y:$Y,$B65)),2)="22",1,""))</f>
        <v/>
      </c>
      <c r="S65" t="str">
        <f>IF($B65="","",IF(LEFT(IF(INDEX(GLAPS컨테이너배차관리!$Y:$Y,$B65)="","",INDEX(GLAPS컨테이너배차관리!$Y:$Y,$B65)),2)="42",1,""))</f>
        <v/>
      </c>
      <c r="T65" t="str">
        <f>IF($B65="","",IF(LEFT(IF(INDEX(GLAPS컨테이너배차관리!$Y:$Y,$B65)="","",INDEX(GLAPS컨테이너배차관리!$Y:$Y,$B65)),2)="45",1,""))</f>
        <v/>
      </c>
      <c r="U65" t="str">
        <f>IF($B65="","",IF(INDEX(GLAPS컨테이너배차관리!$X:$X,$B65)="","",INDEX(GLAPS컨테이너배차관리!$X:$X,$B65)))</f>
        <v/>
      </c>
      <c r="V65" t="str">
        <f>IF($B65="","",IF(INDEX(GLAPS컨테이너배차관리!$Z:$Z,$B65)="","",INDEX(GLAPS컨테이너배차관리!$Z:$Z,$B65)))</f>
        <v/>
      </c>
      <c r="W65" t="str">
        <f>IF($B65="","",IF(IF(INDEX(GLAPS컨테이너배차관리!$DI:$DI,$B65)="","",INDEX(GLAPS컨테이너배차관리!$DI:$DI,$B65))&lt;&gt;"",IF(INDEX(GLAPS컨테이너배차관리!$DI:$DI,$B65)="","",INDEX(GLAPS컨테이너배차관리!$DI:$DI,$B65)),IF(IF(INDEX(GLAPS컨테이너배차관리!$DJ:$DJ,$B65)="","",INDEX(GLAPS컨테이너배차관리!$DJ:$DJ,$B65))&lt;&gt;"",IF(INDEX(GLAPS컨테이너배차관리!$DJ:$DJ,$B65)="","",INDEX(GLAPS컨테이너배차관리!$DJ:$DJ,$B65)),IF(IF(INDEX(GLAPS컨테이너배차관리!$DK:$DK,$B65)="","",INDEX(GLAPS컨테이너배차관리!$DK:$DK,$B65))&lt;&gt;"",IF(INDEX(GLAPS컨테이너배차관리!$DK:$DK,$B65)="","",INDEX(GLAPS컨테이너배차관리!$DK:$DK,$B65)),IF(IF(INDEX(GLAPS컨테이너배차관리!$DL:$DL,$B65)="","",INDEX(GLAPS컨테이너배차관리!$DL:$DL,$B65))&lt;&gt;"",IF(INDEX(GLAPS컨테이너배차관리!$DL:$DL,$B65)="","",INDEX(GLAPS컨테이너배차관리!$DL:$DL,$B65)),IF(IF(INDEX(GLAPS컨테이너배차관리!$DM:$DM,$B65)="","",INDEX(GLAPS컨테이너배차관리!$DM:$DM,$B65))&lt;&gt;"",IF(INDEX(GLAPS컨테이너배차관리!$DM:$DM,$B65)="","",INDEX(GLAPS컨테이너배차관리!$DM:$DM,$B65)),""))))))</f>
        <v/>
      </c>
      <c r="X65" t="str">
        <f>IF($B65="","",IF(INDEX(GLAPS컨테이너배차관리!$F:$F,$B65)="","",INDEX(GLAPS컨테이너배차관리!$F:$F,$B65)))</f>
        <v/>
      </c>
      <c r="Y65" t="str">
        <f>IF($B65="","",IF(IF(INDEX(GLAPS컨테이너배차관리!$M:$M,$B65)="","",INDEX(GLAPS컨테이너배차관리!$M:$M,$B65))&lt;&gt;"",IF(INDEX(GLAPS컨테이너배차관리!$M:$M,$B65)="","",INDEX(GLAPS컨테이너배차관리!$M:$M,$B65)),IF(IF(INDEX(GLAPS컨테이너배차관리!$N:$N,$B65)="","",INDEX(GLAPS컨테이너배차관리!$N:$N,$B65))&lt;&gt;"",IF(INDEX(GLAPS컨테이너배차관리!$N:$N,$B65)="","",INDEX(GLAPS컨테이너배차관리!$N:$N,$B65)),"")))</f>
        <v/>
      </c>
      <c r="Z65" t="str">
        <f>IF($B65="","",IF(IF(INDEX(GLAPS컨테이너배차관리!$CU:$CU,$B65)="","",INDEX(GLAPS컨테이너배차관리!$CU:$CU,$B65))="","",IFERROR(INT(IF(INDEX(GLAPS컨테이너배차관리!$CU:$CU,$B65)="","",INDEX(GLAPS컨테이너배차관리!$CU:$CU,$B65))),"")))</f>
        <v/>
      </c>
      <c r="AA65" t="str">
        <f>IF($B65="","",IF(AND(IF(INDEX(GLAPS컨테이너배차관리!$CL:$CL,$B65)="","",INDEX(GLAPS컨테이너배차관리!$CL:$CL,$B65))="",IF(INDEX(GLAPS컨테이너배차관리!$CM:$CM,$B65)="","",INDEX(GLAPS컨테이너배차관리!$CM:$CM,$B65))=""),"",IF(OR(IF(INDEX(GLAPS컨테이너배차관리!$CL:$CL,$B65)="","",INDEX(GLAPS컨테이너배차관리!$CL:$CL,$B65))="B000016649",ISNUMBER(SEARCH("B015",IF(INDEX(GLAPS컨테이너배차관리!$CM:$CM,$B65)="","",INDEX(GLAPS컨테이너배차관리!$CM:$CM,$B65)))),ISNUMBER(SEARCH("세방",IF(INDEX(GLAPS컨테이너배차관리!$CM:$CM,$B65)="","",INDEX(GLAPS컨테이너배차관리!$CM:$CM,$B65)))),ISNUMBER(SEARCH("SB",IF(INDEX(GLAPS컨테이너배차관리!$CM:$CM,$B65)="","",INDEX(GLAPS컨테이너배차관리!$CM:$CM,$B65))))),"세방","")))</f>
        <v/>
      </c>
      <c r="AB65" t="str">
        <f>IF($B65="","",IF(IF(INDEX(GLAPS컨테이너배차관리!$CM:$CM,$B65)="","",INDEX(GLAPS컨테이너배차관리!$CM:$CM,$B65))="","",IF(ISNUMBER(SEARCH("이지스두동",IF(INDEX(GLAPS컨테이너배차관리!$CM:$CM,$B65)="","",INDEX(GLAPS컨테이너배차관리!$CM:$CM,$B65)))),"이지스두동",IF(ISNUMBER(SEARCH("이지스녹산",IF(INDEX(GLAPS컨테이너배차관리!$CM:$CM,$B65)="","",INDEX(GLAPS컨테이너배차관리!$CM:$CM,$B65)))),"이지스녹산",IF(ISNUMBER(SEARCH("천우",IF(INDEX(GLAPS컨테이너배차관리!$CM:$CM,$B65)="","",INDEX(GLAPS컨테이너배차관리!$CM:$CM,$B65)))),"천우",IF(OR(ISNUMBER(SEARCH("청암",IF(INDEX(GLAPS컨테이너배차관리!$CM:$CM,$B65)="","",INDEX(GLAPS컨테이너배차관리!$CM:$CM,$B65)))),ISNUMBER(SEARCH("SB청암",IF(INDEX(GLAPS컨테이너배차관리!$CM:$CM,$B65)="","",INDEX(GLAPS컨테이너배차관리!$CM:$CM,$B65))))),"청암신항",IF(INDEX(GLAPS컨테이너배차관리!$CM:$CM,$B65)="","",INDEX(GLAPS컨테이너배차관리!$CM:$CM,$B65))))))))</f>
        <v/>
      </c>
    </row>
    <row r="66" spans="1:28">
      <c r="A66">
        <v>65</v>
      </c>
      <c r="B66" t="str">
        <f>IFERROR(_xlfn.AGGREGATE(15,6,ROW(GLAPS컨테이너배차관리!$X$2:$X$20000)/(GLAPS컨테이너배차관리!$X$2:$X$20000&lt;&gt;""),A66),"")</f>
        <v/>
      </c>
      <c r="C66" t="str">
        <f>IF($B66="","",INT(IF(INDEX(GLAPS컨테이너배차관리!$K:$K,$B66)="","",INDEX(GLAPS컨테이너배차관리!$K:$K,$B66))))</f>
        <v/>
      </c>
      <c r="D66" t="str">
        <f>IF($B66="","",IF(ISNUMBER(SEARCH("이엘에스",IF(INDEX(GLAPS컨테이너배차관리!$AZ:$AZ,$B66)="","",INDEX(GLAPS컨테이너배차관리!$AZ:$AZ,$B66)))),"ELS솔루션",IF(INDEX(GLAPS컨테이너배차관리!$AZ:$AZ,$B66)="","",INDEX(GLAPS컨테이너배차관리!$AZ:$AZ,$B66))))</f>
        <v/>
      </c>
      <c r="E66" t="str">
        <f>IF($B66="","",IF(INDEX(GLAPS컨테이너배차관리!$L:$L,$B66)="","",INDEX(GLAPS컨테이너배차관리!$L:$L,$B66)))</f>
        <v/>
      </c>
      <c r="F66" t="str">
        <f>IF($B66="","",IF(HOUR(IF(INDEX(GLAPS컨테이너배차관리!$L:$L,$B66)="","",INDEX(GLAPS컨테이너배차관리!$L:$L,$B66)))&lt;12,"오전",IF(HOUR(IF(INDEX(GLAPS컨테이너배차관리!$L:$L,$B66)="","",INDEX(GLAPS컨테이너배차관리!$L:$L,$B66)))&lt;18,"오후","잔업")))</f>
        <v/>
      </c>
      <c r="G66" t="str">
        <f>IF($B66="","",IFERROR(INDEX(GLAPS정리!$G$3:$G$264,MATCH(IF(INDEX(GLAPS컨테이너배차관리!$BY:$BY,$B66)="","",INDEX(GLAPS컨테이너배차관리!$BY:$BY,$B66)),GLAPS정리!$H$3:$H$264,0)),TRIM(SUBSTITUTE(SUBSTITUTE(SUBSTITUTE(SUBSTITUTE(SUBSTITUTE(IF(INDEX(GLAPS컨테이너배차관리!$T:$T,$B66)="","",INDEX(GLAPS컨테이너배차관리!$T:$T,$B66)),"[GA]",""),"[GB]",""),"[GC]",""),"[KC]",""),"[GS]",""))))</f>
        <v/>
      </c>
      <c r="H66" t="str">
        <f>IF($B66="","",IFERROR(VLOOKUP(IF(INDEX(GLAPS컨테이너배차관리!$BY:$BY,$B66)="","",INDEX(GLAPS컨테이너배차관리!$BY:$BY,$B66)),GLAPS정리!$BT$3:$BV$200,3,0),""))</f>
        <v/>
      </c>
      <c r="I66" t="str">
        <f>IF($B66="","",LEFT(IF(INDEX(GLAPS컨테이너배차관리!$U:$U,$B66)="","",INDEX(GLAPS컨테이너배차관리!$U:$U,$B66)),FIND("/",IF(INDEX(GLAPS컨테이너배차관리!$U:$U,$B66)="","",INDEX(GLAPS컨테이너배차관리!$U:$U,$B66))&amp;"/")-1))</f>
        <v/>
      </c>
      <c r="J66" t="str">
        <f>IF($B66="","",IF(IF(INDEX(GLAPS컨테이너배차관리!$O:$O,$B66)="","",INDEX(GLAPS컨테이너배차관리!$O:$O,$B66))="EMC","EMA",IFERROR(INDEX(GLAPS정리!$A$2:$A$50,MATCH(IF(INDEX(GLAPS컨테이너배차관리!$O:$O,$B66)="","",INDEX(GLAPS컨테이너배차관리!$O:$O,$B66)),GLAPS정리!$D$2:$D$50,0)),IF(INDEX(GLAPS컨테이너배차관리!$O:$O,$B66)="","",INDEX(GLAPS컨테이너배차관리!$O:$O,$B66)))))</f>
        <v/>
      </c>
      <c r="K66" t="str">
        <f>IF($B66="","",IF(LEFT(IF(INDEX(GLAPS컨테이너배차관리!$Y:$Y,$B66)="","",INDEX(GLAPS컨테이너배차관리!$Y:$Y,$B66)),2)="22","20 Feet",IF(LEFT(IF(INDEX(GLAPS컨테이너배차관리!$Y:$Y,$B66)="","",INDEX(GLAPS컨테이너배차관리!$Y:$Y,$B66)),2)="42","40 Feet","40 Feet H")))</f>
        <v/>
      </c>
      <c r="L66" t="str">
        <f>IF($B66="","",IFERROR(INDEX(GLAPS정리!$BB$2:$BB$80,MATCH(IF(INDEX(GLAPS컨테이너배차관리!$BQ:$BQ,$B66)="","",INDEX(GLAPS컨테이너배차관리!$BQ:$BQ,$B66)),GLAPS정리!$BC$2:$BC$80,0)),IF(INDEX(GLAPS컨테이너배차관리!$BQ:$BQ,$B66)="","",INDEX(GLAPS컨테이너배차관리!$BQ:$BQ,$B66))))</f>
        <v/>
      </c>
      <c r="M66" t="str">
        <f>IF($B66="","",IFERROR(INDEX(GLAPS정리!$V$3:$V$180,MATCH(IF(INDEX(GLAPS컨테이너배차관리!$S:$S,$B66)="","",INDEX(GLAPS컨테이너배차관리!$S:$S,$B66)),GLAPS정리!$W$3:$W$180,0)),IF(INDEX(GLAPS컨테이너배차관리!$S:$S,$B66)="","",INDEX(GLAPS컨테이너배차관리!$S:$S,$B66))))</f>
        <v/>
      </c>
      <c r="N66" t="str">
        <f>IF($B66="","",IF(IF(INDEX(GLAPS컨테이너배차관리!$DF:$DF,$B66)="","",INDEX(GLAPS컨테이너배차관리!$DF:$DF,$B66))&lt;&gt;"",IF(INDEX(GLAPS컨테이너배차관리!$DF:$DF,$B66)="","",INDEX(GLAPS컨테이너배차관리!$DF:$DF,$B66)),IF(IF(INDEX(GLAPS컨테이너배차관리!$DG:$DG,$B66)="","",INDEX(GLAPS컨테이너배차관리!$DG:$DG,$B66))&lt;&gt;"",IF(INDEX(GLAPS컨테이너배차관리!$DG:$DG,$B66)="","",INDEX(GLAPS컨테이너배차관리!$DG:$DG,$B66)),"")))</f>
        <v/>
      </c>
      <c r="O66" t="str">
        <f>IF($B66="","",IF(INDEX(GLAPS컨테이너배차관리!$AB:$AB,$B66)="","",INDEX(GLAPS컨테이너배차관리!$AB:$AB,$B66)))</f>
        <v/>
      </c>
      <c r="P66" t="str">
        <f>IF($B66="","",IF(IF(INDEX(GLAPS컨테이너배차관리!$CP:$CP,$B66)="","",INDEX(GLAPS컨테이너배차관리!$CP:$CP,$B66))="","",IFERROR(INDEX(GLAPS정리!$BH$2:$BH$101,MATCH(IF(INDEX(GLAPS컨테이너배차관리!$CP:$CP,$B66)="","",INDEX(GLAPS컨테이너배차관리!$CP:$CP,$B66)),GLAPS정리!$BI$2:$BI$101,0)),IF(INDEX(GLAPS컨테이너배차관리!$CP:$CP,$B66)="","",INDEX(GLAPS컨테이너배차관리!$CP:$CP,$B66)))))</f>
        <v/>
      </c>
      <c r="Q66" t="str">
        <f>IF($B66="","",IF(AND(IF(INDEX(GLAPS컨테이너배차관리!$AK:$AK,$B66)="","",INDEX(GLAPS컨테이너배차관리!$AK:$AK,$B66))="Y",IF(INDEX(GLAPS컨테이너배차관리!$AI:$AI,$B66)="","",INDEX(GLAPS컨테이너배차관리!$AI:$AI,$B66))="Y"),"위험물리퍼",IF(IF(INDEX(GLAPS컨테이너배차관리!$AK:$AK,$B66)="","",INDEX(GLAPS컨테이너배차관리!$AK:$AK,$B66))="Y","위험물",IF(IF(INDEX(GLAPS컨테이너배차관리!$AI:$AI,$B66)="","",INDEX(GLAPS컨테이너배차관리!$AI:$AI,$B66))="Y","리퍼",""))))</f>
        <v/>
      </c>
      <c r="R66" t="str">
        <f>IF($B66="","",IF(LEFT(IF(INDEX(GLAPS컨테이너배차관리!$Y:$Y,$B66)="","",INDEX(GLAPS컨테이너배차관리!$Y:$Y,$B66)),2)="22",1,""))</f>
        <v/>
      </c>
      <c r="S66" t="str">
        <f>IF($B66="","",IF(LEFT(IF(INDEX(GLAPS컨테이너배차관리!$Y:$Y,$B66)="","",INDEX(GLAPS컨테이너배차관리!$Y:$Y,$B66)),2)="42",1,""))</f>
        <v/>
      </c>
      <c r="T66" t="str">
        <f>IF($B66="","",IF(LEFT(IF(INDEX(GLAPS컨테이너배차관리!$Y:$Y,$B66)="","",INDEX(GLAPS컨테이너배차관리!$Y:$Y,$B66)),2)="45",1,""))</f>
        <v/>
      </c>
      <c r="U66" t="str">
        <f>IF($B66="","",IF(INDEX(GLAPS컨테이너배차관리!$X:$X,$B66)="","",INDEX(GLAPS컨테이너배차관리!$X:$X,$B66)))</f>
        <v/>
      </c>
      <c r="V66" t="str">
        <f>IF($B66="","",IF(INDEX(GLAPS컨테이너배차관리!$Z:$Z,$B66)="","",INDEX(GLAPS컨테이너배차관리!$Z:$Z,$B66)))</f>
        <v/>
      </c>
      <c r="W66" t="str">
        <f>IF($B66="","",IF(IF(INDEX(GLAPS컨테이너배차관리!$DI:$DI,$B66)="","",INDEX(GLAPS컨테이너배차관리!$DI:$DI,$B66))&lt;&gt;"",IF(INDEX(GLAPS컨테이너배차관리!$DI:$DI,$B66)="","",INDEX(GLAPS컨테이너배차관리!$DI:$DI,$B66)),IF(IF(INDEX(GLAPS컨테이너배차관리!$DJ:$DJ,$B66)="","",INDEX(GLAPS컨테이너배차관리!$DJ:$DJ,$B66))&lt;&gt;"",IF(INDEX(GLAPS컨테이너배차관리!$DJ:$DJ,$B66)="","",INDEX(GLAPS컨테이너배차관리!$DJ:$DJ,$B66)),IF(IF(INDEX(GLAPS컨테이너배차관리!$DK:$DK,$B66)="","",INDEX(GLAPS컨테이너배차관리!$DK:$DK,$B66))&lt;&gt;"",IF(INDEX(GLAPS컨테이너배차관리!$DK:$DK,$B66)="","",INDEX(GLAPS컨테이너배차관리!$DK:$DK,$B66)),IF(IF(INDEX(GLAPS컨테이너배차관리!$DL:$DL,$B66)="","",INDEX(GLAPS컨테이너배차관리!$DL:$DL,$B66))&lt;&gt;"",IF(INDEX(GLAPS컨테이너배차관리!$DL:$DL,$B66)="","",INDEX(GLAPS컨테이너배차관리!$DL:$DL,$B66)),IF(IF(INDEX(GLAPS컨테이너배차관리!$DM:$DM,$B66)="","",INDEX(GLAPS컨테이너배차관리!$DM:$DM,$B66))&lt;&gt;"",IF(INDEX(GLAPS컨테이너배차관리!$DM:$DM,$B66)="","",INDEX(GLAPS컨테이너배차관리!$DM:$DM,$B66)),""))))))</f>
        <v/>
      </c>
      <c r="X66" t="str">
        <f>IF($B66="","",IF(INDEX(GLAPS컨테이너배차관리!$F:$F,$B66)="","",INDEX(GLAPS컨테이너배차관리!$F:$F,$B66)))</f>
        <v/>
      </c>
      <c r="Y66" t="str">
        <f>IF($B66="","",IF(IF(INDEX(GLAPS컨테이너배차관리!$M:$M,$B66)="","",INDEX(GLAPS컨테이너배차관리!$M:$M,$B66))&lt;&gt;"",IF(INDEX(GLAPS컨테이너배차관리!$M:$M,$B66)="","",INDEX(GLAPS컨테이너배차관리!$M:$M,$B66)),IF(IF(INDEX(GLAPS컨테이너배차관리!$N:$N,$B66)="","",INDEX(GLAPS컨테이너배차관리!$N:$N,$B66))&lt;&gt;"",IF(INDEX(GLAPS컨테이너배차관리!$N:$N,$B66)="","",INDEX(GLAPS컨테이너배차관리!$N:$N,$B66)),"")))</f>
        <v/>
      </c>
      <c r="Z66" t="str">
        <f>IF($B66="","",IF(IF(INDEX(GLAPS컨테이너배차관리!$CU:$CU,$B66)="","",INDEX(GLAPS컨테이너배차관리!$CU:$CU,$B66))="","",IFERROR(INT(IF(INDEX(GLAPS컨테이너배차관리!$CU:$CU,$B66)="","",INDEX(GLAPS컨테이너배차관리!$CU:$CU,$B66))),"")))</f>
        <v/>
      </c>
      <c r="AA66" t="str">
        <f>IF($B66="","",IF(AND(IF(INDEX(GLAPS컨테이너배차관리!$CL:$CL,$B66)="","",INDEX(GLAPS컨테이너배차관리!$CL:$CL,$B66))="",IF(INDEX(GLAPS컨테이너배차관리!$CM:$CM,$B66)="","",INDEX(GLAPS컨테이너배차관리!$CM:$CM,$B66))=""),"",IF(OR(IF(INDEX(GLAPS컨테이너배차관리!$CL:$CL,$B66)="","",INDEX(GLAPS컨테이너배차관리!$CL:$CL,$B66))="B000016649",ISNUMBER(SEARCH("B015",IF(INDEX(GLAPS컨테이너배차관리!$CM:$CM,$B66)="","",INDEX(GLAPS컨테이너배차관리!$CM:$CM,$B66)))),ISNUMBER(SEARCH("세방",IF(INDEX(GLAPS컨테이너배차관리!$CM:$CM,$B66)="","",INDEX(GLAPS컨테이너배차관리!$CM:$CM,$B66)))),ISNUMBER(SEARCH("SB",IF(INDEX(GLAPS컨테이너배차관리!$CM:$CM,$B66)="","",INDEX(GLAPS컨테이너배차관리!$CM:$CM,$B66))))),"세방","")))</f>
        <v/>
      </c>
      <c r="AB66" t="str">
        <f>IF($B66="","",IF(IF(INDEX(GLAPS컨테이너배차관리!$CM:$CM,$B66)="","",INDEX(GLAPS컨테이너배차관리!$CM:$CM,$B66))="","",IF(ISNUMBER(SEARCH("이지스두동",IF(INDEX(GLAPS컨테이너배차관리!$CM:$CM,$B66)="","",INDEX(GLAPS컨테이너배차관리!$CM:$CM,$B66)))),"이지스두동",IF(ISNUMBER(SEARCH("이지스녹산",IF(INDEX(GLAPS컨테이너배차관리!$CM:$CM,$B66)="","",INDEX(GLAPS컨테이너배차관리!$CM:$CM,$B66)))),"이지스녹산",IF(ISNUMBER(SEARCH("천우",IF(INDEX(GLAPS컨테이너배차관리!$CM:$CM,$B66)="","",INDEX(GLAPS컨테이너배차관리!$CM:$CM,$B66)))),"천우",IF(OR(ISNUMBER(SEARCH("청암",IF(INDEX(GLAPS컨테이너배차관리!$CM:$CM,$B66)="","",INDEX(GLAPS컨테이너배차관리!$CM:$CM,$B66)))),ISNUMBER(SEARCH("SB청암",IF(INDEX(GLAPS컨테이너배차관리!$CM:$CM,$B66)="","",INDEX(GLAPS컨테이너배차관리!$CM:$CM,$B66))))),"청암신항",IF(INDEX(GLAPS컨테이너배차관리!$CM:$CM,$B66)="","",INDEX(GLAPS컨테이너배차관리!$CM:$CM,$B66))))))))</f>
        <v/>
      </c>
    </row>
    <row r="67" spans="1:28">
      <c r="A67">
        <v>66</v>
      </c>
      <c r="B67" t="str">
        <f>IFERROR(_xlfn.AGGREGATE(15,6,ROW(GLAPS컨테이너배차관리!$X$2:$X$20000)/(GLAPS컨테이너배차관리!$X$2:$X$20000&lt;&gt;""),A67),"")</f>
        <v/>
      </c>
      <c r="C67" t="str">
        <f>IF($B67="","",INT(IF(INDEX(GLAPS컨테이너배차관리!$K:$K,$B67)="","",INDEX(GLAPS컨테이너배차관리!$K:$K,$B67))))</f>
        <v/>
      </c>
      <c r="D67" t="str">
        <f>IF($B67="","",IF(ISNUMBER(SEARCH("이엘에스",IF(INDEX(GLAPS컨테이너배차관리!$AZ:$AZ,$B67)="","",INDEX(GLAPS컨테이너배차관리!$AZ:$AZ,$B67)))),"ELS솔루션",IF(INDEX(GLAPS컨테이너배차관리!$AZ:$AZ,$B67)="","",INDEX(GLAPS컨테이너배차관리!$AZ:$AZ,$B67))))</f>
        <v/>
      </c>
      <c r="E67" t="str">
        <f>IF($B67="","",IF(INDEX(GLAPS컨테이너배차관리!$L:$L,$B67)="","",INDEX(GLAPS컨테이너배차관리!$L:$L,$B67)))</f>
        <v/>
      </c>
      <c r="F67" t="str">
        <f>IF($B67="","",IF(HOUR(IF(INDEX(GLAPS컨테이너배차관리!$L:$L,$B67)="","",INDEX(GLAPS컨테이너배차관리!$L:$L,$B67)))&lt;12,"오전",IF(HOUR(IF(INDEX(GLAPS컨테이너배차관리!$L:$L,$B67)="","",INDEX(GLAPS컨테이너배차관리!$L:$L,$B67)))&lt;18,"오후","잔업")))</f>
        <v/>
      </c>
      <c r="G67" t="str">
        <f>IF($B67="","",IFERROR(INDEX(GLAPS정리!$G$3:$G$264,MATCH(IF(INDEX(GLAPS컨테이너배차관리!$BY:$BY,$B67)="","",INDEX(GLAPS컨테이너배차관리!$BY:$BY,$B67)),GLAPS정리!$H$3:$H$264,0)),TRIM(SUBSTITUTE(SUBSTITUTE(SUBSTITUTE(SUBSTITUTE(SUBSTITUTE(IF(INDEX(GLAPS컨테이너배차관리!$T:$T,$B67)="","",INDEX(GLAPS컨테이너배차관리!$T:$T,$B67)),"[GA]",""),"[GB]",""),"[GC]",""),"[KC]",""),"[GS]",""))))</f>
        <v/>
      </c>
      <c r="H67" t="str">
        <f>IF($B67="","",IFERROR(VLOOKUP(IF(INDEX(GLAPS컨테이너배차관리!$BY:$BY,$B67)="","",INDEX(GLAPS컨테이너배차관리!$BY:$BY,$B67)),GLAPS정리!$BT$3:$BV$200,3,0),""))</f>
        <v/>
      </c>
      <c r="I67" t="str">
        <f>IF($B67="","",LEFT(IF(INDEX(GLAPS컨테이너배차관리!$U:$U,$B67)="","",INDEX(GLAPS컨테이너배차관리!$U:$U,$B67)),FIND("/",IF(INDEX(GLAPS컨테이너배차관리!$U:$U,$B67)="","",INDEX(GLAPS컨테이너배차관리!$U:$U,$B67))&amp;"/")-1))</f>
        <v/>
      </c>
      <c r="J67" t="str">
        <f>IF($B67="","",IF(IF(INDEX(GLAPS컨테이너배차관리!$O:$O,$B67)="","",INDEX(GLAPS컨테이너배차관리!$O:$O,$B67))="EMC","EMA",IFERROR(INDEX(GLAPS정리!$A$2:$A$50,MATCH(IF(INDEX(GLAPS컨테이너배차관리!$O:$O,$B67)="","",INDEX(GLAPS컨테이너배차관리!$O:$O,$B67)),GLAPS정리!$D$2:$D$50,0)),IF(INDEX(GLAPS컨테이너배차관리!$O:$O,$B67)="","",INDEX(GLAPS컨테이너배차관리!$O:$O,$B67)))))</f>
        <v/>
      </c>
      <c r="K67" t="str">
        <f>IF($B67="","",IF(LEFT(IF(INDEX(GLAPS컨테이너배차관리!$Y:$Y,$B67)="","",INDEX(GLAPS컨테이너배차관리!$Y:$Y,$B67)),2)="22","20 Feet",IF(LEFT(IF(INDEX(GLAPS컨테이너배차관리!$Y:$Y,$B67)="","",INDEX(GLAPS컨테이너배차관리!$Y:$Y,$B67)),2)="42","40 Feet","40 Feet H")))</f>
        <v/>
      </c>
      <c r="L67" t="str">
        <f>IF($B67="","",IFERROR(INDEX(GLAPS정리!$BB$2:$BB$80,MATCH(IF(INDEX(GLAPS컨테이너배차관리!$BQ:$BQ,$B67)="","",INDEX(GLAPS컨테이너배차관리!$BQ:$BQ,$B67)),GLAPS정리!$BC$2:$BC$80,0)),IF(INDEX(GLAPS컨테이너배차관리!$BQ:$BQ,$B67)="","",INDEX(GLAPS컨테이너배차관리!$BQ:$BQ,$B67))))</f>
        <v/>
      </c>
      <c r="M67" t="str">
        <f>IF($B67="","",IFERROR(INDEX(GLAPS정리!$V$3:$V$180,MATCH(IF(INDEX(GLAPS컨테이너배차관리!$S:$S,$B67)="","",INDEX(GLAPS컨테이너배차관리!$S:$S,$B67)),GLAPS정리!$W$3:$W$180,0)),IF(INDEX(GLAPS컨테이너배차관리!$S:$S,$B67)="","",INDEX(GLAPS컨테이너배차관리!$S:$S,$B67))))</f>
        <v/>
      </c>
      <c r="N67" t="str">
        <f>IF($B67="","",IF(IF(INDEX(GLAPS컨테이너배차관리!$DF:$DF,$B67)="","",INDEX(GLAPS컨테이너배차관리!$DF:$DF,$B67))&lt;&gt;"",IF(INDEX(GLAPS컨테이너배차관리!$DF:$DF,$B67)="","",INDEX(GLAPS컨테이너배차관리!$DF:$DF,$B67)),IF(IF(INDEX(GLAPS컨테이너배차관리!$DG:$DG,$B67)="","",INDEX(GLAPS컨테이너배차관리!$DG:$DG,$B67))&lt;&gt;"",IF(INDEX(GLAPS컨테이너배차관리!$DG:$DG,$B67)="","",INDEX(GLAPS컨테이너배차관리!$DG:$DG,$B67)),"")))</f>
        <v/>
      </c>
      <c r="O67" t="str">
        <f>IF($B67="","",IF(INDEX(GLAPS컨테이너배차관리!$AB:$AB,$B67)="","",INDEX(GLAPS컨테이너배차관리!$AB:$AB,$B67)))</f>
        <v/>
      </c>
      <c r="P67" t="str">
        <f>IF($B67="","",IF(IF(INDEX(GLAPS컨테이너배차관리!$CP:$CP,$B67)="","",INDEX(GLAPS컨테이너배차관리!$CP:$CP,$B67))="","",IFERROR(INDEX(GLAPS정리!$BH$2:$BH$101,MATCH(IF(INDEX(GLAPS컨테이너배차관리!$CP:$CP,$B67)="","",INDEX(GLAPS컨테이너배차관리!$CP:$CP,$B67)),GLAPS정리!$BI$2:$BI$101,0)),IF(INDEX(GLAPS컨테이너배차관리!$CP:$CP,$B67)="","",INDEX(GLAPS컨테이너배차관리!$CP:$CP,$B67)))))</f>
        <v/>
      </c>
      <c r="Q67" t="str">
        <f>IF($B67="","",IF(AND(IF(INDEX(GLAPS컨테이너배차관리!$AK:$AK,$B67)="","",INDEX(GLAPS컨테이너배차관리!$AK:$AK,$B67))="Y",IF(INDEX(GLAPS컨테이너배차관리!$AI:$AI,$B67)="","",INDEX(GLAPS컨테이너배차관리!$AI:$AI,$B67))="Y"),"위험물리퍼",IF(IF(INDEX(GLAPS컨테이너배차관리!$AK:$AK,$B67)="","",INDEX(GLAPS컨테이너배차관리!$AK:$AK,$B67))="Y","위험물",IF(IF(INDEX(GLAPS컨테이너배차관리!$AI:$AI,$B67)="","",INDEX(GLAPS컨테이너배차관리!$AI:$AI,$B67))="Y","리퍼",""))))</f>
        <v/>
      </c>
      <c r="R67" t="str">
        <f>IF($B67="","",IF(LEFT(IF(INDEX(GLAPS컨테이너배차관리!$Y:$Y,$B67)="","",INDEX(GLAPS컨테이너배차관리!$Y:$Y,$B67)),2)="22",1,""))</f>
        <v/>
      </c>
      <c r="S67" t="str">
        <f>IF($B67="","",IF(LEFT(IF(INDEX(GLAPS컨테이너배차관리!$Y:$Y,$B67)="","",INDEX(GLAPS컨테이너배차관리!$Y:$Y,$B67)),2)="42",1,""))</f>
        <v/>
      </c>
      <c r="T67" t="str">
        <f>IF($B67="","",IF(LEFT(IF(INDEX(GLAPS컨테이너배차관리!$Y:$Y,$B67)="","",INDEX(GLAPS컨테이너배차관리!$Y:$Y,$B67)),2)="45",1,""))</f>
        <v/>
      </c>
      <c r="U67" t="str">
        <f>IF($B67="","",IF(INDEX(GLAPS컨테이너배차관리!$X:$X,$B67)="","",INDEX(GLAPS컨테이너배차관리!$X:$X,$B67)))</f>
        <v/>
      </c>
      <c r="V67" t="str">
        <f>IF($B67="","",IF(INDEX(GLAPS컨테이너배차관리!$Z:$Z,$B67)="","",INDEX(GLAPS컨테이너배차관리!$Z:$Z,$B67)))</f>
        <v/>
      </c>
      <c r="W67" t="str">
        <f>IF($B67="","",IF(IF(INDEX(GLAPS컨테이너배차관리!$DI:$DI,$B67)="","",INDEX(GLAPS컨테이너배차관리!$DI:$DI,$B67))&lt;&gt;"",IF(INDEX(GLAPS컨테이너배차관리!$DI:$DI,$B67)="","",INDEX(GLAPS컨테이너배차관리!$DI:$DI,$B67)),IF(IF(INDEX(GLAPS컨테이너배차관리!$DJ:$DJ,$B67)="","",INDEX(GLAPS컨테이너배차관리!$DJ:$DJ,$B67))&lt;&gt;"",IF(INDEX(GLAPS컨테이너배차관리!$DJ:$DJ,$B67)="","",INDEX(GLAPS컨테이너배차관리!$DJ:$DJ,$B67)),IF(IF(INDEX(GLAPS컨테이너배차관리!$DK:$DK,$B67)="","",INDEX(GLAPS컨테이너배차관리!$DK:$DK,$B67))&lt;&gt;"",IF(INDEX(GLAPS컨테이너배차관리!$DK:$DK,$B67)="","",INDEX(GLAPS컨테이너배차관리!$DK:$DK,$B67)),IF(IF(INDEX(GLAPS컨테이너배차관리!$DL:$DL,$B67)="","",INDEX(GLAPS컨테이너배차관리!$DL:$DL,$B67))&lt;&gt;"",IF(INDEX(GLAPS컨테이너배차관리!$DL:$DL,$B67)="","",INDEX(GLAPS컨테이너배차관리!$DL:$DL,$B67)),IF(IF(INDEX(GLAPS컨테이너배차관리!$DM:$DM,$B67)="","",INDEX(GLAPS컨테이너배차관리!$DM:$DM,$B67))&lt;&gt;"",IF(INDEX(GLAPS컨테이너배차관리!$DM:$DM,$B67)="","",INDEX(GLAPS컨테이너배차관리!$DM:$DM,$B67)),""))))))</f>
        <v/>
      </c>
      <c r="X67" t="str">
        <f>IF($B67="","",IF(INDEX(GLAPS컨테이너배차관리!$F:$F,$B67)="","",INDEX(GLAPS컨테이너배차관리!$F:$F,$B67)))</f>
        <v/>
      </c>
      <c r="Y67" t="str">
        <f>IF($B67="","",IF(IF(INDEX(GLAPS컨테이너배차관리!$M:$M,$B67)="","",INDEX(GLAPS컨테이너배차관리!$M:$M,$B67))&lt;&gt;"",IF(INDEX(GLAPS컨테이너배차관리!$M:$M,$B67)="","",INDEX(GLAPS컨테이너배차관리!$M:$M,$B67)),IF(IF(INDEX(GLAPS컨테이너배차관리!$N:$N,$B67)="","",INDEX(GLAPS컨테이너배차관리!$N:$N,$B67))&lt;&gt;"",IF(INDEX(GLAPS컨테이너배차관리!$N:$N,$B67)="","",INDEX(GLAPS컨테이너배차관리!$N:$N,$B67)),"")))</f>
        <v/>
      </c>
      <c r="Z67" t="str">
        <f>IF($B67="","",IF(IF(INDEX(GLAPS컨테이너배차관리!$CU:$CU,$B67)="","",INDEX(GLAPS컨테이너배차관리!$CU:$CU,$B67))="","",IFERROR(INT(IF(INDEX(GLAPS컨테이너배차관리!$CU:$CU,$B67)="","",INDEX(GLAPS컨테이너배차관리!$CU:$CU,$B67))),"")))</f>
        <v/>
      </c>
      <c r="AA67" t="str">
        <f>IF($B67="","",IF(AND(IF(INDEX(GLAPS컨테이너배차관리!$CL:$CL,$B67)="","",INDEX(GLAPS컨테이너배차관리!$CL:$CL,$B67))="",IF(INDEX(GLAPS컨테이너배차관리!$CM:$CM,$B67)="","",INDEX(GLAPS컨테이너배차관리!$CM:$CM,$B67))=""),"",IF(OR(IF(INDEX(GLAPS컨테이너배차관리!$CL:$CL,$B67)="","",INDEX(GLAPS컨테이너배차관리!$CL:$CL,$B67))="B000016649",ISNUMBER(SEARCH("B015",IF(INDEX(GLAPS컨테이너배차관리!$CM:$CM,$B67)="","",INDEX(GLAPS컨테이너배차관리!$CM:$CM,$B67)))),ISNUMBER(SEARCH("세방",IF(INDEX(GLAPS컨테이너배차관리!$CM:$CM,$B67)="","",INDEX(GLAPS컨테이너배차관리!$CM:$CM,$B67)))),ISNUMBER(SEARCH("SB",IF(INDEX(GLAPS컨테이너배차관리!$CM:$CM,$B67)="","",INDEX(GLAPS컨테이너배차관리!$CM:$CM,$B67))))),"세방","")))</f>
        <v/>
      </c>
      <c r="AB67" t="str">
        <f>IF($B67="","",IF(IF(INDEX(GLAPS컨테이너배차관리!$CM:$CM,$B67)="","",INDEX(GLAPS컨테이너배차관리!$CM:$CM,$B67))="","",IF(ISNUMBER(SEARCH("이지스두동",IF(INDEX(GLAPS컨테이너배차관리!$CM:$CM,$B67)="","",INDEX(GLAPS컨테이너배차관리!$CM:$CM,$B67)))),"이지스두동",IF(ISNUMBER(SEARCH("이지스녹산",IF(INDEX(GLAPS컨테이너배차관리!$CM:$CM,$B67)="","",INDEX(GLAPS컨테이너배차관리!$CM:$CM,$B67)))),"이지스녹산",IF(ISNUMBER(SEARCH("천우",IF(INDEX(GLAPS컨테이너배차관리!$CM:$CM,$B67)="","",INDEX(GLAPS컨테이너배차관리!$CM:$CM,$B67)))),"천우",IF(OR(ISNUMBER(SEARCH("청암",IF(INDEX(GLAPS컨테이너배차관리!$CM:$CM,$B67)="","",INDEX(GLAPS컨테이너배차관리!$CM:$CM,$B67)))),ISNUMBER(SEARCH("SB청암",IF(INDEX(GLAPS컨테이너배차관리!$CM:$CM,$B67)="","",INDEX(GLAPS컨테이너배차관리!$CM:$CM,$B67))))),"청암신항",IF(INDEX(GLAPS컨테이너배차관리!$CM:$CM,$B67)="","",INDEX(GLAPS컨테이너배차관리!$CM:$CM,$B67))))))))</f>
        <v/>
      </c>
    </row>
    <row r="68" spans="1:28">
      <c r="A68">
        <v>67</v>
      </c>
      <c r="B68" t="str">
        <f>IFERROR(_xlfn.AGGREGATE(15,6,ROW(GLAPS컨테이너배차관리!$X$2:$X$20000)/(GLAPS컨테이너배차관리!$X$2:$X$20000&lt;&gt;""),A68),"")</f>
        <v/>
      </c>
      <c r="C68" t="str">
        <f>IF($B68="","",INT(IF(INDEX(GLAPS컨테이너배차관리!$K:$K,$B68)="","",INDEX(GLAPS컨테이너배차관리!$K:$K,$B68))))</f>
        <v/>
      </c>
      <c r="D68" t="str">
        <f>IF($B68="","",IF(ISNUMBER(SEARCH("이엘에스",IF(INDEX(GLAPS컨테이너배차관리!$AZ:$AZ,$B68)="","",INDEX(GLAPS컨테이너배차관리!$AZ:$AZ,$B68)))),"ELS솔루션",IF(INDEX(GLAPS컨테이너배차관리!$AZ:$AZ,$B68)="","",INDEX(GLAPS컨테이너배차관리!$AZ:$AZ,$B68))))</f>
        <v/>
      </c>
      <c r="E68" t="str">
        <f>IF($B68="","",IF(INDEX(GLAPS컨테이너배차관리!$L:$L,$B68)="","",INDEX(GLAPS컨테이너배차관리!$L:$L,$B68)))</f>
        <v/>
      </c>
      <c r="F68" t="str">
        <f>IF($B68="","",IF(HOUR(IF(INDEX(GLAPS컨테이너배차관리!$L:$L,$B68)="","",INDEX(GLAPS컨테이너배차관리!$L:$L,$B68)))&lt;12,"오전",IF(HOUR(IF(INDEX(GLAPS컨테이너배차관리!$L:$L,$B68)="","",INDEX(GLAPS컨테이너배차관리!$L:$L,$B68)))&lt;18,"오후","잔업")))</f>
        <v/>
      </c>
      <c r="G68" t="str">
        <f>IF($B68="","",IFERROR(INDEX(GLAPS정리!$G$3:$G$264,MATCH(IF(INDEX(GLAPS컨테이너배차관리!$BY:$BY,$B68)="","",INDEX(GLAPS컨테이너배차관리!$BY:$BY,$B68)),GLAPS정리!$H$3:$H$264,0)),TRIM(SUBSTITUTE(SUBSTITUTE(SUBSTITUTE(SUBSTITUTE(SUBSTITUTE(IF(INDEX(GLAPS컨테이너배차관리!$T:$T,$B68)="","",INDEX(GLAPS컨테이너배차관리!$T:$T,$B68)),"[GA]",""),"[GB]",""),"[GC]",""),"[KC]",""),"[GS]",""))))</f>
        <v/>
      </c>
      <c r="H68" t="str">
        <f>IF($B68="","",IFERROR(VLOOKUP(IF(INDEX(GLAPS컨테이너배차관리!$BY:$BY,$B68)="","",INDEX(GLAPS컨테이너배차관리!$BY:$BY,$B68)),GLAPS정리!$BT$3:$BV$200,3,0),""))</f>
        <v/>
      </c>
      <c r="I68" t="str">
        <f>IF($B68="","",LEFT(IF(INDEX(GLAPS컨테이너배차관리!$U:$U,$B68)="","",INDEX(GLAPS컨테이너배차관리!$U:$U,$B68)),FIND("/",IF(INDEX(GLAPS컨테이너배차관리!$U:$U,$B68)="","",INDEX(GLAPS컨테이너배차관리!$U:$U,$B68))&amp;"/")-1))</f>
        <v/>
      </c>
      <c r="J68" t="str">
        <f>IF($B68="","",IF(IF(INDEX(GLAPS컨테이너배차관리!$O:$O,$B68)="","",INDEX(GLAPS컨테이너배차관리!$O:$O,$B68))="EMC","EMA",IFERROR(INDEX(GLAPS정리!$A$2:$A$50,MATCH(IF(INDEX(GLAPS컨테이너배차관리!$O:$O,$B68)="","",INDEX(GLAPS컨테이너배차관리!$O:$O,$B68)),GLAPS정리!$D$2:$D$50,0)),IF(INDEX(GLAPS컨테이너배차관리!$O:$O,$B68)="","",INDEX(GLAPS컨테이너배차관리!$O:$O,$B68)))))</f>
        <v/>
      </c>
      <c r="K68" t="str">
        <f>IF($B68="","",IF(LEFT(IF(INDEX(GLAPS컨테이너배차관리!$Y:$Y,$B68)="","",INDEX(GLAPS컨테이너배차관리!$Y:$Y,$B68)),2)="22","20 Feet",IF(LEFT(IF(INDEX(GLAPS컨테이너배차관리!$Y:$Y,$B68)="","",INDEX(GLAPS컨테이너배차관리!$Y:$Y,$B68)),2)="42","40 Feet","40 Feet H")))</f>
        <v/>
      </c>
      <c r="L68" t="str">
        <f>IF($B68="","",IFERROR(INDEX(GLAPS정리!$BB$2:$BB$80,MATCH(IF(INDEX(GLAPS컨테이너배차관리!$BQ:$BQ,$B68)="","",INDEX(GLAPS컨테이너배차관리!$BQ:$BQ,$B68)),GLAPS정리!$BC$2:$BC$80,0)),IF(INDEX(GLAPS컨테이너배차관리!$BQ:$BQ,$B68)="","",INDEX(GLAPS컨테이너배차관리!$BQ:$BQ,$B68))))</f>
        <v/>
      </c>
      <c r="M68" t="str">
        <f>IF($B68="","",IFERROR(INDEX(GLAPS정리!$V$3:$V$180,MATCH(IF(INDEX(GLAPS컨테이너배차관리!$S:$S,$B68)="","",INDEX(GLAPS컨테이너배차관리!$S:$S,$B68)),GLAPS정리!$W$3:$W$180,0)),IF(INDEX(GLAPS컨테이너배차관리!$S:$S,$B68)="","",INDEX(GLAPS컨테이너배차관리!$S:$S,$B68))))</f>
        <v/>
      </c>
      <c r="N68" t="str">
        <f>IF($B68="","",IF(IF(INDEX(GLAPS컨테이너배차관리!$DF:$DF,$B68)="","",INDEX(GLAPS컨테이너배차관리!$DF:$DF,$B68))&lt;&gt;"",IF(INDEX(GLAPS컨테이너배차관리!$DF:$DF,$B68)="","",INDEX(GLAPS컨테이너배차관리!$DF:$DF,$B68)),IF(IF(INDEX(GLAPS컨테이너배차관리!$DG:$DG,$B68)="","",INDEX(GLAPS컨테이너배차관리!$DG:$DG,$B68))&lt;&gt;"",IF(INDEX(GLAPS컨테이너배차관리!$DG:$DG,$B68)="","",INDEX(GLAPS컨테이너배차관리!$DG:$DG,$B68)),"")))</f>
        <v/>
      </c>
      <c r="O68" t="str">
        <f>IF($B68="","",IF(INDEX(GLAPS컨테이너배차관리!$AB:$AB,$B68)="","",INDEX(GLAPS컨테이너배차관리!$AB:$AB,$B68)))</f>
        <v/>
      </c>
      <c r="P68" t="str">
        <f>IF($B68="","",IF(IF(INDEX(GLAPS컨테이너배차관리!$CP:$CP,$B68)="","",INDEX(GLAPS컨테이너배차관리!$CP:$CP,$B68))="","",IFERROR(INDEX(GLAPS정리!$BH$2:$BH$101,MATCH(IF(INDEX(GLAPS컨테이너배차관리!$CP:$CP,$B68)="","",INDEX(GLAPS컨테이너배차관리!$CP:$CP,$B68)),GLAPS정리!$BI$2:$BI$101,0)),IF(INDEX(GLAPS컨테이너배차관리!$CP:$CP,$B68)="","",INDEX(GLAPS컨테이너배차관리!$CP:$CP,$B68)))))</f>
        <v/>
      </c>
      <c r="Q68" t="str">
        <f>IF($B68="","",IF(AND(IF(INDEX(GLAPS컨테이너배차관리!$AK:$AK,$B68)="","",INDEX(GLAPS컨테이너배차관리!$AK:$AK,$B68))="Y",IF(INDEX(GLAPS컨테이너배차관리!$AI:$AI,$B68)="","",INDEX(GLAPS컨테이너배차관리!$AI:$AI,$B68))="Y"),"위험물리퍼",IF(IF(INDEX(GLAPS컨테이너배차관리!$AK:$AK,$B68)="","",INDEX(GLAPS컨테이너배차관리!$AK:$AK,$B68))="Y","위험물",IF(IF(INDEX(GLAPS컨테이너배차관리!$AI:$AI,$B68)="","",INDEX(GLAPS컨테이너배차관리!$AI:$AI,$B68))="Y","리퍼",""))))</f>
        <v/>
      </c>
      <c r="R68" t="str">
        <f>IF($B68="","",IF(LEFT(IF(INDEX(GLAPS컨테이너배차관리!$Y:$Y,$B68)="","",INDEX(GLAPS컨테이너배차관리!$Y:$Y,$B68)),2)="22",1,""))</f>
        <v/>
      </c>
      <c r="S68" t="str">
        <f>IF($B68="","",IF(LEFT(IF(INDEX(GLAPS컨테이너배차관리!$Y:$Y,$B68)="","",INDEX(GLAPS컨테이너배차관리!$Y:$Y,$B68)),2)="42",1,""))</f>
        <v/>
      </c>
      <c r="T68" t="str">
        <f>IF($B68="","",IF(LEFT(IF(INDEX(GLAPS컨테이너배차관리!$Y:$Y,$B68)="","",INDEX(GLAPS컨테이너배차관리!$Y:$Y,$B68)),2)="45",1,""))</f>
        <v/>
      </c>
      <c r="U68" t="str">
        <f>IF($B68="","",IF(INDEX(GLAPS컨테이너배차관리!$X:$X,$B68)="","",INDEX(GLAPS컨테이너배차관리!$X:$X,$B68)))</f>
        <v/>
      </c>
      <c r="V68" t="str">
        <f>IF($B68="","",IF(INDEX(GLAPS컨테이너배차관리!$Z:$Z,$B68)="","",INDEX(GLAPS컨테이너배차관리!$Z:$Z,$B68)))</f>
        <v/>
      </c>
      <c r="W68" t="str">
        <f>IF($B68="","",IF(IF(INDEX(GLAPS컨테이너배차관리!$DI:$DI,$B68)="","",INDEX(GLAPS컨테이너배차관리!$DI:$DI,$B68))&lt;&gt;"",IF(INDEX(GLAPS컨테이너배차관리!$DI:$DI,$B68)="","",INDEX(GLAPS컨테이너배차관리!$DI:$DI,$B68)),IF(IF(INDEX(GLAPS컨테이너배차관리!$DJ:$DJ,$B68)="","",INDEX(GLAPS컨테이너배차관리!$DJ:$DJ,$B68))&lt;&gt;"",IF(INDEX(GLAPS컨테이너배차관리!$DJ:$DJ,$B68)="","",INDEX(GLAPS컨테이너배차관리!$DJ:$DJ,$B68)),IF(IF(INDEX(GLAPS컨테이너배차관리!$DK:$DK,$B68)="","",INDEX(GLAPS컨테이너배차관리!$DK:$DK,$B68))&lt;&gt;"",IF(INDEX(GLAPS컨테이너배차관리!$DK:$DK,$B68)="","",INDEX(GLAPS컨테이너배차관리!$DK:$DK,$B68)),IF(IF(INDEX(GLAPS컨테이너배차관리!$DL:$DL,$B68)="","",INDEX(GLAPS컨테이너배차관리!$DL:$DL,$B68))&lt;&gt;"",IF(INDEX(GLAPS컨테이너배차관리!$DL:$DL,$B68)="","",INDEX(GLAPS컨테이너배차관리!$DL:$DL,$B68)),IF(IF(INDEX(GLAPS컨테이너배차관리!$DM:$DM,$B68)="","",INDEX(GLAPS컨테이너배차관리!$DM:$DM,$B68))&lt;&gt;"",IF(INDEX(GLAPS컨테이너배차관리!$DM:$DM,$B68)="","",INDEX(GLAPS컨테이너배차관리!$DM:$DM,$B68)),""))))))</f>
        <v/>
      </c>
      <c r="X68" t="str">
        <f>IF($B68="","",IF(INDEX(GLAPS컨테이너배차관리!$F:$F,$B68)="","",INDEX(GLAPS컨테이너배차관리!$F:$F,$B68)))</f>
        <v/>
      </c>
      <c r="Y68" t="str">
        <f>IF($B68="","",IF(IF(INDEX(GLAPS컨테이너배차관리!$M:$M,$B68)="","",INDEX(GLAPS컨테이너배차관리!$M:$M,$B68))&lt;&gt;"",IF(INDEX(GLAPS컨테이너배차관리!$M:$M,$B68)="","",INDEX(GLAPS컨테이너배차관리!$M:$M,$B68)),IF(IF(INDEX(GLAPS컨테이너배차관리!$N:$N,$B68)="","",INDEX(GLAPS컨테이너배차관리!$N:$N,$B68))&lt;&gt;"",IF(INDEX(GLAPS컨테이너배차관리!$N:$N,$B68)="","",INDEX(GLAPS컨테이너배차관리!$N:$N,$B68)),"")))</f>
        <v/>
      </c>
      <c r="Z68" t="str">
        <f>IF($B68="","",IF(IF(INDEX(GLAPS컨테이너배차관리!$CU:$CU,$B68)="","",INDEX(GLAPS컨테이너배차관리!$CU:$CU,$B68))="","",IFERROR(INT(IF(INDEX(GLAPS컨테이너배차관리!$CU:$CU,$B68)="","",INDEX(GLAPS컨테이너배차관리!$CU:$CU,$B68))),"")))</f>
        <v/>
      </c>
      <c r="AA68" t="str">
        <f>IF($B68="","",IF(AND(IF(INDEX(GLAPS컨테이너배차관리!$CL:$CL,$B68)="","",INDEX(GLAPS컨테이너배차관리!$CL:$CL,$B68))="",IF(INDEX(GLAPS컨테이너배차관리!$CM:$CM,$B68)="","",INDEX(GLAPS컨테이너배차관리!$CM:$CM,$B68))=""),"",IF(OR(IF(INDEX(GLAPS컨테이너배차관리!$CL:$CL,$B68)="","",INDEX(GLAPS컨테이너배차관리!$CL:$CL,$B68))="B000016649",ISNUMBER(SEARCH("B015",IF(INDEX(GLAPS컨테이너배차관리!$CM:$CM,$B68)="","",INDEX(GLAPS컨테이너배차관리!$CM:$CM,$B68)))),ISNUMBER(SEARCH("세방",IF(INDEX(GLAPS컨테이너배차관리!$CM:$CM,$B68)="","",INDEX(GLAPS컨테이너배차관리!$CM:$CM,$B68)))),ISNUMBER(SEARCH("SB",IF(INDEX(GLAPS컨테이너배차관리!$CM:$CM,$B68)="","",INDEX(GLAPS컨테이너배차관리!$CM:$CM,$B68))))),"세방","")))</f>
        <v/>
      </c>
      <c r="AB68" t="str">
        <f>IF($B68="","",IF(IF(INDEX(GLAPS컨테이너배차관리!$CM:$CM,$B68)="","",INDEX(GLAPS컨테이너배차관리!$CM:$CM,$B68))="","",IF(ISNUMBER(SEARCH("이지스두동",IF(INDEX(GLAPS컨테이너배차관리!$CM:$CM,$B68)="","",INDEX(GLAPS컨테이너배차관리!$CM:$CM,$B68)))),"이지스두동",IF(ISNUMBER(SEARCH("이지스녹산",IF(INDEX(GLAPS컨테이너배차관리!$CM:$CM,$B68)="","",INDEX(GLAPS컨테이너배차관리!$CM:$CM,$B68)))),"이지스녹산",IF(ISNUMBER(SEARCH("천우",IF(INDEX(GLAPS컨테이너배차관리!$CM:$CM,$B68)="","",INDEX(GLAPS컨테이너배차관리!$CM:$CM,$B68)))),"천우",IF(OR(ISNUMBER(SEARCH("청암",IF(INDEX(GLAPS컨테이너배차관리!$CM:$CM,$B68)="","",INDEX(GLAPS컨테이너배차관리!$CM:$CM,$B68)))),ISNUMBER(SEARCH("SB청암",IF(INDEX(GLAPS컨테이너배차관리!$CM:$CM,$B68)="","",INDEX(GLAPS컨테이너배차관리!$CM:$CM,$B68))))),"청암신항",IF(INDEX(GLAPS컨테이너배차관리!$CM:$CM,$B68)="","",INDEX(GLAPS컨테이너배차관리!$CM:$CM,$B68))))))))</f>
        <v/>
      </c>
    </row>
    <row r="69" spans="1:28">
      <c r="A69">
        <v>68</v>
      </c>
      <c r="B69" t="str">
        <f>IFERROR(_xlfn.AGGREGATE(15,6,ROW(GLAPS컨테이너배차관리!$X$2:$X$20000)/(GLAPS컨테이너배차관리!$X$2:$X$20000&lt;&gt;""),A69),"")</f>
        <v/>
      </c>
      <c r="C69" t="str">
        <f>IF($B69="","",INT(IF(INDEX(GLAPS컨테이너배차관리!$K:$K,$B69)="","",INDEX(GLAPS컨테이너배차관리!$K:$K,$B69))))</f>
        <v/>
      </c>
      <c r="D69" t="str">
        <f>IF($B69="","",IF(ISNUMBER(SEARCH("이엘에스",IF(INDEX(GLAPS컨테이너배차관리!$AZ:$AZ,$B69)="","",INDEX(GLAPS컨테이너배차관리!$AZ:$AZ,$B69)))),"ELS솔루션",IF(INDEX(GLAPS컨테이너배차관리!$AZ:$AZ,$B69)="","",INDEX(GLAPS컨테이너배차관리!$AZ:$AZ,$B69))))</f>
        <v/>
      </c>
      <c r="E69" t="str">
        <f>IF($B69="","",IF(INDEX(GLAPS컨테이너배차관리!$L:$L,$B69)="","",INDEX(GLAPS컨테이너배차관리!$L:$L,$B69)))</f>
        <v/>
      </c>
      <c r="F69" t="str">
        <f>IF($B69="","",IF(HOUR(IF(INDEX(GLAPS컨테이너배차관리!$L:$L,$B69)="","",INDEX(GLAPS컨테이너배차관리!$L:$L,$B69)))&lt;12,"오전",IF(HOUR(IF(INDEX(GLAPS컨테이너배차관리!$L:$L,$B69)="","",INDEX(GLAPS컨테이너배차관리!$L:$L,$B69)))&lt;18,"오후","잔업")))</f>
        <v/>
      </c>
      <c r="G69" t="str">
        <f>IF($B69="","",IFERROR(INDEX(GLAPS정리!$G$3:$G$264,MATCH(IF(INDEX(GLAPS컨테이너배차관리!$BY:$BY,$B69)="","",INDEX(GLAPS컨테이너배차관리!$BY:$BY,$B69)),GLAPS정리!$H$3:$H$264,0)),TRIM(SUBSTITUTE(SUBSTITUTE(SUBSTITUTE(SUBSTITUTE(SUBSTITUTE(IF(INDEX(GLAPS컨테이너배차관리!$T:$T,$B69)="","",INDEX(GLAPS컨테이너배차관리!$T:$T,$B69)),"[GA]",""),"[GB]",""),"[GC]",""),"[KC]",""),"[GS]",""))))</f>
        <v/>
      </c>
      <c r="H69" t="str">
        <f>IF($B69="","",IFERROR(VLOOKUP(IF(INDEX(GLAPS컨테이너배차관리!$BY:$BY,$B69)="","",INDEX(GLAPS컨테이너배차관리!$BY:$BY,$B69)),GLAPS정리!$BT$3:$BV$200,3,0),""))</f>
        <v/>
      </c>
      <c r="I69" t="str">
        <f>IF($B69="","",LEFT(IF(INDEX(GLAPS컨테이너배차관리!$U:$U,$B69)="","",INDEX(GLAPS컨테이너배차관리!$U:$U,$B69)),FIND("/",IF(INDEX(GLAPS컨테이너배차관리!$U:$U,$B69)="","",INDEX(GLAPS컨테이너배차관리!$U:$U,$B69))&amp;"/")-1))</f>
        <v/>
      </c>
      <c r="J69" t="str">
        <f>IF($B69="","",IF(IF(INDEX(GLAPS컨테이너배차관리!$O:$O,$B69)="","",INDEX(GLAPS컨테이너배차관리!$O:$O,$B69))="EMC","EMA",IFERROR(INDEX(GLAPS정리!$A$2:$A$50,MATCH(IF(INDEX(GLAPS컨테이너배차관리!$O:$O,$B69)="","",INDEX(GLAPS컨테이너배차관리!$O:$O,$B69)),GLAPS정리!$D$2:$D$50,0)),IF(INDEX(GLAPS컨테이너배차관리!$O:$O,$B69)="","",INDEX(GLAPS컨테이너배차관리!$O:$O,$B69)))))</f>
        <v/>
      </c>
      <c r="K69" t="str">
        <f>IF($B69="","",IF(LEFT(IF(INDEX(GLAPS컨테이너배차관리!$Y:$Y,$B69)="","",INDEX(GLAPS컨테이너배차관리!$Y:$Y,$B69)),2)="22","20 Feet",IF(LEFT(IF(INDEX(GLAPS컨테이너배차관리!$Y:$Y,$B69)="","",INDEX(GLAPS컨테이너배차관리!$Y:$Y,$B69)),2)="42","40 Feet","40 Feet H")))</f>
        <v/>
      </c>
      <c r="L69" t="str">
        <f>IF($B69="","",IFERROR(INDEX(GLAPS정리!$BB$2:$BB$80,MATCH(IF(INDEX(GLAPS컨테이너배차관리!$BQ:$BQ,$B69)="","",INDEX(GLAPS컨테이너배차관리!$BQ:$BQ,$B69)),GLAPS정리!$BC$2:$BC$80,0)),IF(INDEX(GLAPS컨테이너배차관리!$BQ:$BQ,$B69)="","",INDEX(GLAPS컨테이너배차관리!$BQ:$BQ,$B69))))</f>
        <v/>
      </c>
      <c r="M69" t="str">
        <f>IF($B69="","",IFERROR(INDEX(GLAPS정리!$V$3:$V$180,MATCH(IF(INDEX(GLAPS컨테이너배차관리!$S:$S,$B69)="","",INDEX(GLAPS컨테이너배차관리!$S:$S,$B69)),GLAPS정리!$W$3:$W$180,0)),IF(INDEX(GLAPS컨테이너배차관리!$S:$S,$B69)="","",INDEX(GLAPS컨테이너배차관리!$S:$S,$B69))))</f>
        <v/>
      </c>
      <c r="N69" t="str">
        <f>IF($B69="","",IF(IF(INDEX(GLAPS컨테이너배차관리!$DF:$DF,$B69)="","",INDEX(GLAPS컨테이너배차관리!$DF:$DF,$B69))&lt;&gt;"",IF(INDEX(GLAPS컨테이너배차관리!$DF:$DF,$B69)="","",INDEX(GLAPS컨테이너배차관리!$DF:$DF,$B69)),IF(IF(INDEX(GLAPS컨테이너배차관리!$DG:$DG,$B69)="","",INDEX(GLAPS컨테이너배차관리!$DG:$DG,$B69))&lt;&gt;"",IF(INDEX(GLAPS컨테이너배차관리!$DG:$DG,$B69)="","",INDEX(GLAPS컨테이너배차관리!$DG:$DG,$B69)),"")))</f>
        <v/>
      </c>
      <c r="O69" t="str">
        <f>IF($B69="","",IF(INDEX(GLAPS컨테이너배차관리!$AB:$AB,$B69)="","",INDEX(GLAPS컨테이너배차관리!$AB:$AB,$B69)))</f>
        <v/>
      </c>
      <c r="P69" t="str">
        <f>IF($B69="","",IF(IF(INDEX(GLAPS컨테이너배차관리!$CP:$CP,$B69)="","",INDEX(GLAPS컨테이너배차관리!$CP:$CP,$B69))="","",IFERROR(INDEX(GLAPS정리!$BH$2:$BH$101,MATCH(IF(INDEX(GLAPS컨테이너배차관리!$CP:$CP,$B69)="","",INDEX(GLAPS컨테이너배차관리!$CP:$CP,$B69)),GLAPS정리!$BI$2:$BI$101,0)),IF(INDEX(GLAPS컨테이너배차관리!$CP:$CP,$B69)="","",INDEX(GLAPS컨테이너배차관리!$CP:$CP,$B69)))))</f>
        <v/>
      </c>
      <c r="Q69" t="str">
        <f>IF($B69="","",IF(AND(IF(INDEX(GLAPS컨테이너배차관리!$AK:$AK,$B69)="","",INDEX(GLAPS컨테이너배차관리!$AK:$AK,$B69))="Y",IF(INDEX(GLAPS컨테이너배차관리!$AI:$AI,$B69)="","",INDEX(GLAPS컨테이너배차관리!$AI:$AI,$B69))="Y"),"위험물리퍼",IF(IF(INDEX(GLAPS컨테이너배차관리!$AK:$AK,$B69)="","",INDEX(GLAPS컨테이너배차관리!$AK:$AK,$B69))="Y","위험물",IF(IF(INDEX(GLAPS컨테이너배차관리!$AI:$AI,$B69)="","",INDEX(GLAPS컨테이너배차관리!$AI:$AI,$B69))="Y","리퍼",""))))</f>
        <v/>
      </c>
      <c r="R69" t="str">
        <f>IF($B69="","",IF(LEFT(IF(INDEX(GLAPS컨테이너배차관리!$Y:$Y,$B69)="","",INDEX(GLAPS컨테이너배차관리!$Y:$Y,$B69)),2)="22",1,""))</f>
        <v/>
      </c>
      <c r="S69" t="str">
        <f>IF($B69="","",IF(LEFT(IF(INDEX(GLAPS컨테이너배차관리!$Y:$Y,$B69)="","",INDEX(GLAPS컨테이너배차관리!$Y:$Y,$B69)),2)="42",1,""))</f>
        <v/>
      </c>
      <c r="T69" t="str">
        <f>IF($B69="","",IF(LEFT(IF(INDEX(GLAPS컨테이너배차관리!$Y:$Y,$B69)="","",INDEX(GLAPS컨테이너배차관리!$Y:$Y,$B69)),2)="45",1,""))</f>
        <v/>
      </c>
      <c r="U69" t="str">
        <f>IF($B69="","",IF(INDEX(GLAPS컨테이너배차관리!$X:$X,$B69)="","",INDEX(GLAPS컨테이너배차관리!$X:$X,$B69)))</f>
        <v/>
      </c>
      <c r="V69" t="str">
        <f>IF($B69="","",IF(INDEX(GLAPS컨테이너배차관리!$Z:$Z,$B69)="","",INDEX(GLAPS컨테이너배차관리!$Z:$Z,$B69)))</f>
        <v/>
      </c>
      <c r="W69" t="str">
        <f>IF($B69="","",IF(IF(INDEX(GLAPS컨테이너배차관리!$DI:$DI,$B69)="","",INDEX(GLAPS컨테이너배차관리!$DI:$DI,$B69))&lt;&gt;"",IF(INDEX(GLAPS컨테이너배차관리!$DI:$DI,$B69)="","",INDEX(GLAPS컨테이너배차관리!$DI:$DI,$B69)),IF(IF(INDEX(GLAPS컨테이너배차관리!$DJ:$DJ,$B69)="","",INDEX(GLAPS컨테이너배차관리!$DJ:$DJ,$B69))&lt;&gt;"",IF(INDEX(GLAPS컨테이너배차관리!$DJ:$DJ,$B69)="","",INDEX(GLAPS컨테이너배차관리!$DJ:$DJ,$B69)),IF(IF(INDEX(GLAPS컨테이너배차관리!$DK:$DK,$B69)="","",INDEX(GLAPS컨테이너배차관리!$DK:$DK,$B69))&lt;&gt;"",IF(INDEX(GLAPS컨테이너배차관리!$DK:$DK,$B69)="","",INDEX(GLAPS컨테이너배차관리!$DK:$DK,$B69)),IF(IF(INDEX(GLAPS컨테이너배차관리!$DL:$DL,$B69)="","",INDEX(GLAPS컨테이너배차관리!$DL:$DL,$B69))&lt;&gt;"",IF(INDEX(GLAPS컨테이너배차관리!$DL:$DL,$B69)="","",INDEX(GLAPS컨테이너배차관리!$DL:$DL,$B69)),IF(IF(INDEX(GLAPS컨테이너배차관리!$DM:$DM,$B69)="","",INDEX(GLAPS컨테이너배차관리!$DM:$DM,$B69))&lt;&gt;"",IF(INDEX(GLAPS컨테이너배차관리!$DM:$DM,$B69)="","",INDEX(GLAPS컨테이너배차관리!$DM:$DM,$B69)),""))))))</f>
        <v/>
      </c>
      <c r="X69" t="str">
        <f>IF($B69="","",IF(INDEX(GLAPS컨테이너배차관리!$F:$F,$B69)="","",INDEX(GLAPS컨테이너배차관리!$F:$F,$B69)))</f>
        <v/>
      </c>
      <c r="Y69" t="str">
        <f>IF($B69="","",IF(IF(INDEX(GLAPS컨테이너배차관리!$M:$M,$B69)="","",INDEX(GLAPS컨테이너배차관리!$M:$M,$B69))&lt;&gt;"",IF(INDEX(GLAPS컨테이너배차관리!$M:$M,$B69)="","",INDEX(GLAPS컨테이너배차관리!$M:$M,$B69)),IF(IF(INDEX(GLAPS컨테이너배차관리!$N:$N,$B69)="","",INDEX(GLAPS컨테이너배차관리!$N:$N,$B69))&lt;&gt;"",IF(INDEX(GLAPS컨테이너배차관리!$N:$N,$B69)="","",INDEX(GLAPS컨테이너배차관리!$N:$N,$B69)),"")))</f>
        <v/>
      </c>
      <c r="Z69" t="str">
        <f>IF($B69="","",IF(IF(INDEX(GLAPS컨테이너배차관리!$CU:$CU,$B69)="","",INDEX(GLAPS컨테이너배차관리!$CU:$CU,$B69))="","",IFERROR(INT(IF(INDEX(GLAPS컨테이너배차관리!$CU:$CU,$B69)="","",INDEX(GLAPS컨테이너배차관리!$CU:$CU,$B69))),"")))</f>
        <v/>
      </c>
      <c r="AA69" t="str">
        <f>IF($B69="","",IF(AND(IF(INDEX(GLAPS컨테이너배차관리!$CL:$CL,$B69)="","",INDEX(GLAPS컨테이너배차관리!$CL:$CL,$B69))="",IF(INDEX(GLAPS컨테이너배차관리!$CM:$CM,$B69)="","",INDEX(GLAPS컨테이너배차관리!$CM:$CM,$B69))=""),"",IF(OR(IF(INDEX(GLAPS컨테이너배차관리!$CL:$CL,$B69)="","",INDEX(GLAPS컨테이너배차관리!$CL:$CL,$B69))="B000016649",ISNUMBER(SEARCH("B015",IF(INDEX(GLAPS컨테이너배차관리!$CM:$CM,$B69)="","",INDEX(GLAPS컨테이너배차관리!$CM:$CM,$B69)))),ISNUMBER(SEARCH("세방",IF(INDEX(GLAPS컨테이너배차관리!$CM:$CM,$B69)="","",INDEX(GLAPS컨테이너배차관리!$CM:$CM,$B69)))),ISNUMBER(SEARCH("SB",IF(INDEX(GLAPS컨테이너배차관리!$CM:$CM,$B69)="","",INDEX(GLAPS컨테이너배차관리!$CM:$CM,$B69))))),"세방","")))</f>
        <v/>
      </c>
      <c r="AB69" t="str">
        <f>IF($B69="","",IF(IF(INDEX(GLAPS컨테이너배차관리!$CM:$CM,$B69)="","",INDEX(GLAPS컨테이너배차관리!$CM:$CM,$B69))="","",IF(ISNUMBER(SEARCH("이지스두동",IF(INDEX(GLAPS컨테이너배차관리!$CM:$CM,$B69)="","",INDEX(GLAPS컨테이너배차관리!$CM:$CM,$B69)))),"이지스두동",IF(ISNUMBER(SEARCH("이지스녹산",IF(INDEX(GLAPS컨테이너배차관리!$CM:$CM,$B69)="","",INDEX(GLAPS컨테이너배차관리!$CM:$CM,$B69)))),"이지스녹산",IF(ISNUMBER(SEARCH("천우",IF(INDEX(GLAPS컨테이너배차관리!$CM:$CM,$B69)="","",INDEX(GLAPS컨테이너배차관리!$CM:$CM,$B69)))),"천우",IF(OR(ISNUMBER(SEARCH("청암",IF(INDEX(GLAPS컨테이너배차관리!$CM:$CM,$B69)="","",INDEX(GLAPS컨테이너배차관리!$CM:$CM,$B69)))),ISNUMBER(SEARCH("SB청암",IF(INDEX(GLAPS컨테이너배차관리!$CM:$CM,$B69)="","",INDEX(GLAPS컨테이너배차관리!$CM:$CM,$B69))))),"청암신항",IF(INDEX(GLAPS컨테이너배차관리!$CM:$CM,$B69)="","",INDEX(GLAPS컨테이너배차관리!$CM:$CM,$B69))))))))</f>
        <v/>
      </c>
    </row>
    <row r="70" spans="1:28">
      <c r="A70">
        <v>69</v>
      </c>
      <c r="B70" t="str">
        <f>IFERROR(_xlfn.AGGREGATE(15,6,ROW(GLAPS컨테이너배차관리!$X$2:$X$20000)/(GLAPS컨테이너배차관리!$X$2:$X$20000&lt;&gt;""),A70),"")</f>
        <v/>
      </c>
      <c r="C70" t="str">
        <f>IF($B70="","",INT(IF(INDEX(GLAPS컨테이너배차관리!$K:$K,$B70)="","",INDEX(GLAPS컨테이너배차관리!$K:$K,$B70))))</f>
        <v/>
      </c>
      <c r="D70" t="str">
        <f>IF($B70="","",IF(ISNUMBER(SEARCH("이엘에스",IF(INDEX(GLAPS컨테이너배차관리!$AZ:$AZ,$B70)="","",INDEX(GLAPS컨테이너배차관리!$AZ:$AZ,$B70)))),"ELS솔루션",IF(INDEX(GLAPS컨테이너배차관리!$AZ:$AZ,$B70)="","",INDEX(GLAPS컨테이너배차관리!$AZ:$AZ,$B70))))</f>
        <v/>
      </c>
      <c r="E70" t="str">
        <f>IF($B70="","",IF(INDEX(GLAPS컨테이너배차관리!$L:$L,$B70)="","",INDEX(GLAPS컨테이너배차관리!$L:$L,$B70)))</f>
        <v/>
      </c>
      <c r="F70" t="str">
        <f>IF($B70="","",IF(HOUR(IF(INDEX(GLAPS컨테이너배차관리!$L:$L,$B70)="","",INDEX(GLAPS컨테이너배차관리!$L:$L,$B70)))&lt;12,"오전",IF(HOUR(IF(INDEX(GLAPS컨테이너배차관리!$L:$L,$B70)="","",INDEX(GLAPS컨테이너배차관리!$L:$L,$B70)))&lt;18,"오후","잔업")))</f>
        <v/>
      </c>
      <c r="G70" t="str">
        <f>IF($B70="","",IFERROR(INDEX(GLAPS정리!$G$3:$G$264,MATCH(IF(INDEX(GLAPS컨테이너배차관리!$BY:$BY,$B70)="","",INDEX(GLAPS컨테이너배차관리!$BY:$BY,$B70)),GLAPS정리!$H$3:$H$264,0)),TRIM(SUBSTITUTE(SUBSTITUTE(SUBSTITUTE(SUBSTITUTE(SUBSTITUTE(IF(INDEX(GLAPS컨테이너배차관리!$T:$T,$B70)="","",INDEX(GLAPS컨테이너배차관리!$T:$T,$B70)),"[GA]",""),"[GB]",""),"[GC]",""),"[KC]",""),"[GS]",""))))</f>
        <v/>
      </c>
      <c r="H70" t="str">
        <f>IF($B70="","",IFERROR(VLOOKUP(IF(INDEX(GLAPS컨테이너배차관리!$BY:$BY,$B70)="","",INDEX(GLAPS컨테이너배차관리!$BY:$BY,$B70)),GLAPS정리!$BT$3:$BV$200,3,0),""))</f>
        <v/>
      </c>
      <c r="I70" t="str">
        <f>IF($B70="","",LEFT(IF(INDEX(GLAPS컨테이너배차관리!$U:$U,$B70)="","",INDEX(GLAPS컨테이너배차관리!$U:$U,$B70)),FIND("/",IF(INDEX(GLAPS컨테이너배차관리!$U:$U,$B70)="","",INDEX(GLAPS컨테이너배차관리!$U:$U,$B70))&amp;"/")-1))</f>
        <v/>
      </c>
      <c r="J70" t="str">
        <f>IF($B70="","",IF(IF(INDEX(GLAPS컨테이너배차관리!$O:$O,$B70)="","",INDEX(GLAPS컨테이너배차관리!$O:$O,$B70))="EMC","EMA",IFERROR(INDEX(GLAPS정리!$A$2:$A$50,MATCH(IF(INDEX(GLAPS컨테이너배차관리!$O:$O,$B70)="","",INDEX(GLAPS컨테이너배차관리!$O:$O,$B70)),GLAPS정리!$D$2:$D$50,0)),IF(INDEX(GLAPS컨테이너배차관리!$O:$O,$B70)="","",INDEX(GLAPS컨테이너배차관리!$O:$O,$B70)))))</f>
        <v/>
      </c>
      <c r="K70" t="str">
        <f>IF($B70="","",IF(LEFT(IF(INDEX(GLAPS컨테이너배차관리!$Y:$Y,$B70)="","",INDEX(GLAPS컨테이너배차관리!$Y:$Y,$B70)),2)="22","20 Feet",IF(LEFT(IF(INDEX(GLAPS컨테이너배차관리!$Y:$Y,$B70)="","",INDEX(GLAPS컨테이너배차관리!$Y:$Y,$B70)),2)="42","40 Feet","40 Feet H")))</f>
        <v/>
      </c>
      <c r="L70" t="str">
        <f>IF($B70="","",IFERROR(INDEX(GLAPS정리!$BB$2:$BB$80,MATCH(IF(INDEX(GLAPS컨테이너배차관리!$BQ:$BQ,$B70)="","",INDEX(GLAPS컨테이너배차관리!$BQ:$BQ,$B70)),GLAPS정리!$BC$2:$BC$80,0)),IF(INDEX(GLAPS컨테이너배차관리!$BQ:$BQ,$B70)="","",INDEX(GLAPS컨테이너배차관리!$BQ:$BQ,$B70))))</f>
        <v/>
      </c>
      <c r="M70" t="str">
        <f>IF($B70="","",IFERROR(INDEX(GLAPS정리!$V$3:$V$180,MATCH(IF(INDEX(GLAPS컨테이너배차관리!$S:$S,$B70)="","",INDEX(GLAPS컨테이너배차관리!$S:$S,$B70)),GLAPS정리!$W$3:$W$180,0)),IF(INDEX(GLAPS컨테이너배차관리!$S:$S,$B70)="","",INDEX(GLAPS컨테이너배차관리!$S:$S,$B70))))</f>
        <v/>
      </c>
      <c r="N70" t="str">
        <f>IF($B70="","",IF(IF(INDEX(GLAPS컨테이너배차관리!$DF:$DF,$B70)="","",INDEX(GLAPS컨테이너배차관리!$DF:$DF,$B70))&lt;&gt;"",IF(INDEX(GLAPS컨테이너배차관리!$DF:$DF,$B70)="","",INDEX(GLAPS컨테이너배차관리!$DF:$DF,$B70)),IF(IF(INDEX(GLAPS컨테이너배차관리!$DG:$DG,$B70)="","",INDEX(GLAPS컨테이너배차관리!$DG:$DG,$B70))&lt;&gt;"",IF(INDEX(GLAPS컨테이너배차관리!$DG:$DG,$B70)="","",INDEX(GLAPS컨테이너배차관리!$DG:$DG,$B70)),"")))</f>
        <v/>
      </c>
      <c r="O70" t="str">
        <f>IF($B70="","",IF(INDEX(GLAPS컨테이너배차관리!$AB:$AB,$B70)="","",INDEX(GLAPS컨테이너배차관리!$AB:$AB,$B70)))</f>
        <v/>
      </c>
      <c r="P70" t="str">
        <f>IF($B70="","",IF(IF(INDEX(GLAPS컨테이너배차관리!$CP:$CP,$B70)="","",INDEX(GLAPS컨테이너배차관리!$CP:$CP,$B70))="","",IFERROR(INDEX(GLAPS정리!$BH$2:$BH$101,MATCH(IF(INDEX(GLAPS컨테이너배차관리!$CP:$CP,$B70)="","",INDEX(GLAPS컨테이너배차관리!$CP:$CP,$B70)),GLAPS정리!$BI$2:$BI$101,0)),IF(INDEX(GLAPS컨테이너배차관리!$CP:$CP,$B70)="","",INDEX(GLAPS컨테이너배차관리!$CP:$CP,$B70)))))</f>
        <v/>
      </c>
      <c r="Q70" t="str">
        <f>IF($B70="","",IF(AND(IF(INDEX(GLAPS컨테이너배차관리!$AK:$AK,$B70)="","",INDEX(GLAPS컨테이너배차관리!$AK:$AK,$B70))="Y",IF(INDEX(GLAPS컨테이너배차관리!$AI:$AI,$B70)="","",INDEX(GLAPS컨테이너배차관리!$AI:$AI,$B70))="Y"),"위험물리퍼",IF(IF(INDEX(GLAPS컨테이너배차관리!$AK:$AK,$B70)="","",INDEX(GLAPS컨테이너배차관리!$AK:$AK,$B70))="Y","위험물",IF(IF(INDEX(GLAPS컨테이너배차관리!$AI:$AI,$B70)="","",INDEX(GLAPS컨테이너배차관리!$AI:$AI,$B70))="Y","리퍼",""))))</f>
        <v/>
      </c>
      <c r="R70" t="str">
        <f>IF($B70="","",IF(LEFT(IF(INDEX(GLAPS컨테이너배차관리!$Y:$Y,$B70)="","",INDEX(GLAPS컨테이너배차관리!$Y:$Y,$B70)),2)="22",1,""))</f>
        <v/>
      </c>
      <c r="S70" t="str">
        <f>IF($B70="","",IF(LEFT(IF(INDEX(GLAPS컨테이너배차관리!$Y:$Y,$B70)="","",INDEX(GLAPS컨테이너배차관리!$Y:$Y,$B70)),2)="42",1,""))</f>
        <v/>
      </c>
      <c r="T70" t="str">
        <f>IF($B70="","",IF(LEFT(IF(INDEX(GLAPS컨테이너배차관리!$Y:$Y,$B70)="","",INDEX(GLAPS컨테이너배차관리!$Y:$Y,$B70)),2)="45",1,""))</f>
        <v/>
      </c>
      <c r="U70" t="str">
        <f>IF($B70="","",IF(INDEX(GLAPS컨테이너배차관리!$X:$X,$B70)="","",INDEX(GLAPS컨테이너배차관리!$X:$X,$B70)))</f>
        <v/>
      </c>
      <c r="V70" t="str">
        <f>IF($B70="","",IF(INDEX(GLAPS컨테이너배차관리!$Z:$Z,$B70)="","",INDEX(GLAPS컨테이너배차관리!$Z:$Z,$B70)))</f>
        <v/>
      </c>
      <c r="W70" t="str">
        <f>IF($B70="","",IF(IF(INDEX(GLAPS컨테이너배차관리!$DI:$DI,$B70)="","",INDEX(GLAPS컨테이너배차관리!$DI:$DI,$B70))&lt;&gt;"",IF(INDEX(GLAPS컨테이너배차관리!$DI:$DI,$B70)="","",INDEX(GLAPS컨테이너배차관리!$DI:$DI,$B70)),IF(IF(INDEX(GLAPS컨테이너배차관리!$DJ:$DJ,$B70)="","",INDEX(GLAPS컨테이너배차관리!$DJ:$DJ,$B70))&lt;&gt;"",IF(INDEX(GLAPS컨테이너배차관리!$DJ:$DJ,$B70)="","",INDEX(GLAPS컨테이너배차관리!$DJ:$DJ,$B70)),IF(IF(INDEX(GLAPS컨테이너배차관리!$DK:$DK,$B70)="","",INDEX(GLAPS컨테이너배차관리!$DK:$DK,$B70))&lt;&gt;"",IF(INDEX(GLAPS컨테이너배차관리!$DK:$DK,$B70)="","",INDEX(GLAPS컨테이너배차관리!$DK:$DK,$B70)),IF(IF(INDEX(GLAPS컨테이너배차관리!$DL:$DL,$B70)="","",INDEX(GLAPS컨테이너배차관리!$DL:$DL,$B70))&lt;&gt;"",IF(INDEX(GLAPS컨테이너배차관리!$DL:$DL,$B70)="","",INDEX(GLAPS컨테이너배차관리!$DL:$DL,$B70)),IF(IF(INDEX(GLAPS컨테이너배차관리!$DM:$DM,$B70)="","",INDEX(GLAPS컨테이너배차관리!$DM:$DM,$B70))&lt;&gt;"",IF(INDEX(GLAPS컨테이너배차관리!$DM:$DM,$B70)="","",INDEX(GLAPS컨테이너배차관리!$DM:$DM,$B70)),""))))))</f>
        <v/>
      </c>
      <c r="X70" t="str">
        <f>IF($B70="","",IF(INDEX(GLAPS컨테이너배차관리!$F:$F,$B70)="","",INDEX(GLAPS컨테이너배차관리!$F:$F,$B70)))</f>
        <v/>
      </c>
      <c r="Y70" t="str">
        <f>IF($B70="","",IF(IF(INDEX(GLAPS컨테이너배차관리!$M:$M,$B70)="","",INDEX(GLAPS컨테이너배차관리!$M:$M,$B70))&lt;&gt;"",IF(INDEX(GLAPS컨테이너배차관리!$M:$M,$B70)="","",INDEX(GLAPS컨테이너배차관리!$M:$M,$B70)),IF(IF(INDEX(GLAPS컨테이너배차관리!$N:$N,$B70)="","",INDEX(GLAPS컨테이너배차관리!$N:$N,$B70))&lt;&gt;"",IF(INDEX(GLAPS컨테이너배차관리!$N:$N,$B70)="","",INDEX(GLAPS컨테이너배차관리!$N:$N,$B70)),"")))</f>
        <v/>
      </c>
      <c r="Z70" t="str">
        <f>IF($B70="","",IF(IF(INDEX(GLAPS컨테이너배차관리!$CU:$CU,$B70)="","",INDEX(GLAPS컨테이너배차관리!$CU:$CU,$B70))="","",IFERROR(INT(IF(INDEX(GLAPS컨테이너배차관리!$CU:$CU,$B70)="","",INDEX(GLAPS컨테이너배차관리!$CU:$CU,$B70))),"")))</f>
        <v/>
      </c>
      <c r="AA70" t="str">
        <f>IF($B70="","",IF(AND(IF(INDEX(GLAPS컨테이너배차관리!$CL:$CL,$B70)="","",INDEX(GLAPS컨테이너배차관리!$CL:$CL,$B70))="",IF(INDEX(GLAPS컨테이너배차관리!$CM:$CM,$B70)="","",INDEX(GLAPS컨테이너배차관리!$CM:$CM,$B70))=""),"",IF(OR(IF(INDEX(GLAPS컨테이너배차관리!$CL:$CL,$B70)="","",INDEX(GLAPS컨테이너배차관리!$CL:$CL,$B70))="B000016649",ISNUMBER(SEARCH("B015",IF(INDEX(GLAPS컨테이너배차관리!$CM:$CM,$B70)="","",INDEX(GLAPS컨테이너배차관리!$CM:$CM,$B70)))),ISNUMBER(SEARCH("세방",IF(INDEX(GLAPS컨테이너배차관리!$CM:$CM,$B70)="","",INDEX(GLAPS컨테이너배차관리!$CM:$CM,$B70)))),ISNUMBER(SEARCH("SB",IF(INDEX(GLAPS컨테이너배차관리!$CM:$CM,$B70)="","",INDEX(GLAPS컨테이너배차관리!$CM:$CM,$B70))))),"세방","")))</f>
        <v/>
      </c>
      <c r="AB70" t="str">
        <f>IF($B70="","",IF(IF(INDEX(GLAPS컨테이너배차관리!$CM:$CM,$B70)="","",INDEX(GLAPS컨테이너배차관리!$CM:$CM,$B70))="","",IF(ISNUMBER(SEARCH("이지스두동",IF(INDEX(GLAPS컨테이너배차관리!$CM:$CM,$B70)="","",INDEX(GLAPS컨테이너배차관리!$CM:$CM,$B70)))),"이지스두동",IF(ISNUMBER(SEARCH("이지스녹산",IF(INDEX(GLAPS컨테이너배차관리!$CM:$CM,$B70)="","",INDEX(GLAPS컨테이너배차관리!$CM:$CM,$B70)))),"이지스녹산",IF(ISNUMBER(SEARCH("천우",IF(INDEX(GLAPS컨테이너배차관리!$CM:$CM,$B70)="","",INDEX(GLAPS컨테이너배차관리!$CM:$CM,$B70)))),"천우",IF(OR(ISNUMBER(SEARCH("청암",IF(INDEX(GLAPS컨테이너배차관리!$CM:$CM,$B70)="","",INDEX(GLAPS컨테이너배차관리!$CM:$CM,$B70)))),ISNUMBER(SEARCH("SB청암",IF(INDEX(GLAPS컨테이너배차관리!$CM:$CM,$B70)="","",INDEX(GLAPS컨테이너배차관리!$CM:$CM,$B70))))),"청암신항",IF(INDEX(GLAPS컨테이너배차관리!$CM:$CM,$B70)="","",INDEX(GLAPS컨테이너배차관리!$CM:$CM,$B70))))))))</f>
        <v/>
      </c>
    </row>
    <row r="71" spans="1:28">
      <c r="A71">
        <v>70</v>
      </c>
      <c r="B71" t="str">
        <f>IFERROR(_xlfn.AGGREGATE(15,6,ROW(GLAPS컨테이너배차관리!$X$2:$X$20000)/(GLAPS컨테이너배차관리!$X$2:$X$20000&lt;&gt;""),A71),"")</f>
        <v/>
      </c>
      <c r="C71" t="str">
        <f>IF($B71="","",INT(IF(INDEX(GLAPS컨테이너배차관리!$K:$K,$B71)="","",INDEX(GLAPS컨테이너배차관리!$K:$K,$B71))))</f>
        <v/>
      </c>
      <c r="D71" t="str">
        <f>IF($B71="","",IF(ISNUMBER(SEARCH("이엘에스",IF(INDEX(GLAPS컨테이너배차관리!$AZ:$AZ,$B71)="","",INDEX(GLAPS컨테이너배차관리!$AZ:$AZ,$B71)))),"ELS솔루션",IF(INDEX(GLAPS컨테이너배차관리!$AZ:$AZ,$B71)="","",INDEX(GLAPS컨테이너배차관리!$AZ:$AZ,$B71))))</f>
        <v/>
      </c>
      <c r="E71" t="str">
        <f>IF($B71="","",IF(INDEX(GLAPS컨테이너배차관리!$L:$L,$B71)="","",INDEX(GLAPS컨테이너배차관리!$L:$L,$B71)))</f>
        <v/>
      </c>
      <c r="F71" t="str">
        <f>IF($B71="","",IF(HOUR(IF(INDEX(GLAPS컨테이너배차관리!$L:$L,$B71)="","",INDEX(GLAPS컨테이너배차관리!$L:$L,$B71)))&lt;12,"오전",IF(HOUR(IF(INDEX(GLAPS컨테이너배차관리!$L:$L,$B71)="","",INDEX(GLAPS컨테이너배차관리!$L:$L,$B71)))&lt;18,"오후","잔업")))</f>
        <v/>
      </c>
      <c r="G71" t="str">
        <f>IF($B71="","",IFERROR(INDEX(GLAPS정리!$G$3:$G$264,MATCH(IF(INDEX(GLAPS컨테이너배차관리!$BY:$BY,$B71)="","",INDEX(GLAPS컨테이너배차관리!$BY:$BY,$B71)),GLAPS정리!$H$3:$H$264,0)),TRIM(SUBSTITUTE(SUBSTITUTE(SUBSTITUTE(SUBSTITUTE(SUBSTITUTE(IF(INDEX(GLAPS컨테이너배차관리!$T:$T,$B71)="","",INDEX(GLAPS컨테이너배차관리!$T:$T,$B71)),"[GA]",""),"[GB]",""),"[GC]",""),"[KC]",""),"[GS]",""))))</f>
        <v/>
      </c>
      <c r="H71" t="str">
        <f>IF($B71="","",IFERROR(VLOOKUP(IF(INDEX(GLAPS컨테이너배차관리!$BY:$BY,$B71)="","",INDEX(GLAPS컨테이너배차관리!$BY:$BY,$B71)),GLAPS정리!$BT$3:$BV$200,3,0),""))</f>
        <v/>
      </c>
      <c r="I71" t="str">
        <f>IF($B71="","",LEFT(IF(INDEX(GLAPS컨테이너배차관리!$U:$U,$B71)="","",INDEX(GLAPS컨테이너배차관리!$U:$U,$B71)),FIND("/",IF(INDEX(GLAPS컨테이너배차관리!$U:$U,$B71)="","",INDEX(GLAPS컨테이너배차관리!$U:$U,$B71))&amp;"/")-1))</f>
        <v/>
      </c>
      <c r="J71" t="str">
        <f>IF($B71="","",IF(IF(INDEX(GLAPS컨테이너배차관리!$O:$O,$B71)="","",INDEX(GLAPS컨테이너배차관리!$O:$O,$B71))="EMC","EMA",IFERROR(INDEX(GLAPS정리!$A$2:$A$50,MATCH(IF(INDEX(GLAPS컨테이너배차관리!$O:$O,$B71)="","",INDEX(GLAPS컨테이너배차관리!$O:$O,$B71)),GLAPS정리!$D$2:$D$50,0)),IF(INDEX(GLAPS컨테이너배차관리!$O:$O,$B71)="","",INDEX(GLAPS컨테이너배차관리!$O:$O,$B71)))))</f>
        <v/>
      </c>
      <c r="K71" t="str">
        <f>IF($B71="","",IF(LEFT(IF(INDEX(GLAPS컨테이너배차관리!$Y:$Y,$B71)="","",INDEX(GLAPS컨테이너배차관리!$Y:$Y,$B71)),2)="22","20 Feet",IF(LEFT(IF(INDEX(GLAPS컨테이너배차관리!$Y:$Y,$B71)="","",INDEX(GLAPS컨테이너배차관리!$Y:$Y,$B71)),2)="42","40 Feet","40 Feet H")))</f>
        <v/>
      </c>
      <c r="L71" t="str">
        <f>IF($B71="","",IFERROR(INDEX(GLAPS정리!$BB$2:$BB$80,MATCH(IF(INDEX(GLAPS컨테이너배차관리!$BQ:$BQ,$B71)="","",INDEX(GLAPS컨테이너배차관리!$BQ:$BQ,$B71)),GLAPS정리!$BC$2:$BC$80,0)),IF(INDEX(GLAPS컨테이너배차관리!$BQ:$BQ,$B71)="","",INDEX(GLAPS컨테이너배차관리!$BQ:$BQ,$B71))))</f>
        <v/>
      </c>
      <c r="M71" t="str">
        <f>IF($B71="","",IFERROR(INDEX(GLAPS정리!$V$3:$V$180,MATCH(IF(INDEX(GLAPS컨테이너배차관리!$S:$S,$B71)="","",INDEX(GLAPS컨테이너배차관리!$S:$S,$B71)),GLAPS정리!$W$3:$W$180,0)),IF(INDEX(GLAPS컨테이너배차관리!$S:$S,$B71)="","",INDEX(GLAPS컨테이너배차관리!$S:$S,$B71))))</f>
        <v/>
      </c>
      <c r="N71" t="str">
        <f>IF($B71="","",IF(IF(INDEX(GLAPS컨테이너배차관리!$DF:$DF,$B71)="","",INDEX(GLAPS컨테이너배차관리!$DF:$DF,$B71))&lt;&gt;"",IF(INDEX(GLAPS컨테이너배차관리!$DF:$DF,$B71)="","",INDEX(GLAPS컨테이너배차관리!$DF:$DF,$B71)),IF(IF(INDEX(GLAPS컨테이너배차관리!$DG:$DG,$B71)="","",INDEX(GLAPS컨테이너배차관리!$DG:$DG,$B71))&lt;&gt;"",IF(INDEX(GLAPS컨테이너배차관리!$DG:$DG,$B71)="","",INDEX(GLAPS컨테이너배차관리!$DG:$DG,$B71)),"")))</f>
        <v/>
      </c>
      <c r="O71" t="str">
        <f>IF($B71="","",IF(INDEX(GLAPS컨테이너배차관리!$AB:$AB,$B71)="","",INDEX(GLAPS컨테이너배차관리!$AB:$AB,$B71)))</f>
        <v/>
      </c>
      <c r="P71" t="str">
        <f>IF($B71="","",IF(IF(INDEX(GLAPS컨테이너배차관리!$CP:$CP,$B71)="","",INDEX(GLAPS컨테이너배차관리!$CP:$CP,$B71))="","",IFERROR(INDEX(GLAPS정리!$BH$2:$BH$101,MATCH(IF(INDEX(GLAPS컨테이너배차관리!$CP:$CP,$B71)="","",INDEX(GLAPS컨테이너배차관리!$CP:$CP,$B71)),GLAPS정리!$BI$2:$BI$101,0)),IF(INDEX(GLAPS컨테이너배차관리!$CP:$CP,$B71)="","",INDEX(GLAPS컨테이너배차관리!$CP:$CP,$B71)))))</f>
        <v/>
      </c>
      <c r="Q71" t="str">
        <f>IF($B71="","",IF(AND(IF(INDEX(GLAPS컨테이너배차관리!$AK:$AK,$B71)="","",INDEX(GLAPS컨테이너배차관리!$AK:$AK,$B71))="Y",IF(INDEX(GLAPS컨테이너배차관리!$AI:$AI,$B71)="","",INDEX(GLAPS컨테이너배차관리!$AI:$AI,$B71))="Y"),"위험물리퍼",IF(IF(INDEX(GLAPS컨테이너배차관리!$AK:$AK,$B71)="","",INDEX(GLAPS컨테이너배차관리!$AK:$AK,$B71))="Y","위험물",IF(IF(INDEX(GLAPS컨테이너배차관리!$AI:$AI,$B71)="","",INDEX(GLAPS컨테이너배차관리!$AI:$AI,$B71))="Y","리퍼",""))))</f>
        <v/>
      </c>
      <c r="R71" t="str">
        <f>IF($B71="","",IF(LEFT(IF(INDEX(GLAPS컨테이너배차관리!$Y:$Y,$B71)="","",INDEX(GLAPS컨테이너배차관리!$Y:$Y,$B71)),2)="22",1,""))</f>
        <v/>
      </c>
      <c r="S71" t="str">
        <f>IF($B71="","",IF(LEFT(IF(INDEX(GLAPS컨테이너배차관리!$Y:$Y,$B71)="","",INDEX(GLAPS컨테이너배차관리!$Y:$Y,$B71)),2)="42",1,""))</f>
        <v/>
      </c>
      <c r="T71" t="str">
        <f>IF($B71="","",IF(LEFT(IF(INDEX(GLAPS컨테이너배차관리!$Y:$Y,$B71)="","",INDEX(GLAPS컨테이너배차관리!$Y:$Y,$B71)),2)="45",1,""))</f>
        <v/>
      </c>
      <c r="U71" t="str">
        <f>IF($B71="","",IF(INDEX(GLAPS컨테이너배차관리!$X:$X,$B71)="","",INDEX(GLAPS컨테이너배차관리!$X:$X,$B71)))</f>
        <v/>
      </c>
      <c r="V71" t="str">
        <f>IF($B71="","",IF(INDEX(GLAPS컨테이너배차관리!$Z:$Z,$B71)="","",INDEX(GLAPS컨테이너배차관리!$Z:$Z,$B71)))</f>
        <v/>
      </c>
      <c r="W71" t="str">
        <f>IF($B71="","",IF(IF(INDEX(GLAPS컨테이너배차관리!$DI:$DI,$B71)="","",INDEX(GLAPS컨테이너배차관리!$DI:$DI,$B71))&lt;&gt;"",IF(INDEX(GLAPS컨테이너배차관리!$DI:$DI,$B71)="","",INDEX(GLAPS컨테이너배차관리!$DI:$DI,$B71)),IF(IF(INDEX(GLAPS컨테이너배차관리!$DJ:$DJ,$B71)="","",INDEX(GLAPS컨테이너배차관리!$DJ:$DJ,$B71))&lt;&gt;"",IF(INDEX(GLAPS컨테이너배차관리!$DJ:$DJ,$B71)="","",INDEX(GLAPS컨테이너배차관리!$DJ:$DJ,$B71)),IF(IF(INDEX(GLAPS컨테이너배차관리!$DK:$DK,$B71)="","",INDEX(GLAPS컨테이너배차관리!$DK:$DK,$B71))&lt;&gt;"",IF(INDEX(GLAPS컨테이너배차관리!$DK:$DK,$B71)="","",INDEX(GLAPS컨테이너배차관리!$DK:$DK,$B71)),IF(IF(INDEX(GLAPS컨테이너배차관리!$DL:$DL,$B71)="","",INDEX(GLAPS컨테이너배차관리!$DL:$DL,$B71))&lt;&gt;"",IF(INDEX(GLAPS컨테이너배차관리!$DL:$DL,$B71)="","",INDEX(GLAPS컨테이너배차관리!$DL:$DL,$B71)),IF(IF(INDEX(GLAPS컨테이너배차관리!$DM:$DM,$B71)="","",INDEX(GLAPS컨테이너배차관리!$DM:$DM,$B71))&lt;&gt;"",IF(INDEX(GLAPS컨테이너배차관리!$DM:$DM,$B71)="","",INDEX(GLAPS컨테이너배차관리!$DM:$DM,$B71)),""))))))</f>
        <v/>
      </c>
      <c r="X71" t="str">
        <f>IF($B71="","",IF(INDEX(GLAPS컨테이너배차관리!$F:$F,$B71)="","",INDEX(GLAPS컨테이너배차관리!$F:$F,$B71)))</f>
        <v/>
      </c>
      <c r="Y71" t="str">
        <f>IF($B71="","",IF(IF(INDEX(GLAPS컨테이너배차관리!$M:$M,$B71)="","",INDEX(GLAPS컨테이너배차관리!$M:$M,$B71))&lt;&gt;"",IF(INDEX(GLAPS컨테이너배차관리!$M:$M,$B71)="","",INDEX(GLAPS컨테이너배차관리!$M:$M,$B71)),IF(IF(INDEX(GLAPS컨테이너배차관리!$N:$N,$B71)="","",INDEX(GLAPS컨테이너배차관리!$N:$N,$B71))&lt;&gt;"",IF(INDEX(GLAPS컨테이너배차관리!$N:$N,$B71)="","",INDEX(GLAPS컨테이너배차관리!$N:$N,$B71)),"")))</f>
        <v/>
      </c>
      <c r="Z71" t="str">
        <f>IF($B71="","",IF(IF(INDEX(GLAPS컨테이너배차관리!$CU:$CU,$B71)="","",INDEX(GLAPS컨테이너배차관리!$CU:$CU,$B71))="","",IFERROR(INT(IF(INDEX(GLAPS컨테이너배차관리!$CU:$CU,$B71)="","",INDEX(GLAPS컨테이너배차관리!$CU:$CU,$B71))),"")))</f>
        <v/>
      </c>
      <c r="AA71" t="str">
        <f>IF($B71="","",IF(AND(IF(INDEX(GLAPS컨테이너배차관리!$CL:$CL,$B71)="","",INDEX(GLAPS컨테이너배차관리!$CL:$CL,$B71))="",IF(INDEX(GLAPS컨테이너배차관리!$CM:$CM,$B71)="","",INDEX(GLAPS컨테이너배차관리!$CM:$CM,$B71))=""),"",IF(OR(IF(INDEX(GLAPS컨테이너배차관리!$CL:$CL,$B71)="","",INDEX(GLAPS컨테이너배차관리!$CL:$CL,$B71))="B000016649",ISNUMBER(SEARCH("B015",IF(INDEX(GLAPS컨테이너배차관리!$CM:$CM,$B71)="","",INDEX(GLAPS컨테이너배차관리!$CM:$CM,$B71)))),ISNUMBER(SEARCH("세방",IF(INDEX(GLAPS컨테이너배차관리!$CM:$CM,$B71)="","",INDEX(GLAPS컨테이너배차관리!$CM:$CM,$B71)))),ISNUMBER(SEARCH("SB",IF(INDEX(GLAPS컨테이너배차관리!$CM:$CM,$B71)="","",INDEX(GLAPS컨테이너배차관리!$CM:$CM,$B71))))),"세방","")))</f>
        <v/>
      </c>
      <c r="AB71" t="str">
        <f>IF($B71="","",IF(IF(INDEX(GLAPS컨테이너배차관리!$CM:$CM,$B71)="","",INDEX(GLAPS컨테이너배차관리!$CM:$CM,$B71))="","",IF(ISNUMBER(SEARCH("이지스두동",IF(INDEX(GLAPS컨테이너배차관리!$CM:$CM,$B71)="","",INDEX(GLAPS컨테이너배차관리!$CM:$CM,$B71)))),"이지스두동",IF(ISNUMBER(SEARCH("이지스녹산",IF(INDEX(GLAPS컨테이너배차관리!$CM:$CM,$B71)="","",INDEX(GLAPS컨테이너배차관리!$CM:$CM,$B71)))),"이지스녹산",IF(ISNUMBER(SEARCH("천우",IF(INDEX(GLAPS컨테이너배차관리!$CM:$CM,$B71)="","",INDEX(GLAPS컨테이너배차관리!$CM:$CM,$B71)))),"천우",IF(OR(ISNUMBER(SEARCH("청암",IF(INDEX(GLAPS컨테이너배차관리!$CM:$CM,$B71)="","",INDEX(GLAPS컨테이너배차관리!$CM:$CM,$B71)))),ISNUMBER(SEARCH("SB청암",IF(INDEX(GLAPS컨테이너배차관리!$CM:$CM,$B71)="","",INDEX(GLAPS컨테이너배차관리!$CM:$CM,$B71))))),"청암신항",IF(INDEX(GLAPS컨테이너배차관리!$CM:$CM,$B71)="","",INDEX(GLAPS컨테이너배차관리!$CM:$CM,$B71))))))))</f>
        <v/>
      </c>
    </row>
    <row r="72" spans="1:28">
      <c r="A72">
        <v>71</v>
      </c>
      <c r="B72" t="str">
        <f>IFERROR(_xlfn.AGGREGATE(15,6,ROW(GLAPS컨테이너배차관리!$X$2:$X$20000)/(GLAPS컨테이너배차관리!$X$2:$X$20000&lt;&gt;""),A72),"")</f>
        <v/>
      </c>
      <c r="C72" t="str">
        <f>IF($B72="","",INT(IF(INDEX(GLAPS컨테이너배차관리!$K:$K,$B72)="","",INDEX(GLAPS컨테이너배차관리!$K:$K,$B72))))</f>
        <v/>
      </c>
      <c r="D72" t="str">
        <f>IF($B72="","",IF(ISNUMBER(SEARCH("이엘에스",IF(INDEX(GLAPS컨테이너배차관리!$AZ:$AZ,$B72)="","",INDEX(GLAPS컨테이너배차관리!$AZ:$AZ,$B72)))),"ELS솔루션",IF(INDEX(GLAPS컨테이너배차관리!$AZ:$AZ,$B72)="","",INDEX(GLAPS컨테이너배차관리!$AZ:$AZ,$B72))))</f>
        <v/>
      </c>
      <c r="E72" t="str">
        <f>IF($B72="","",IF(INDEX(GLAPS컨테이너배차관리!$L:$L,$B72)="","",INDEX(GLAPS컨테이너배차관리!$L:$L,$B72)))</f>
        <v/>
      </c>
      <c r="F72" t="str">
        <f>IF($B72="","",IF(HOUR(IF(INDEX(GLAPS컨테이너배차관리!$L:$L,$B72)="","",INDEX(GLAPS컨테이너배차관리!$L:$L,$B72)))&lt;12,"오전",IF(HOUR(IF(INDEX(GLAPS컨테이너배차관리!$L:$L,$B72)="","",INDEX(GLAPS컨테이너배차관리!$L:$L,$B72)))&lt;18,"오후","잔업")))</f>
        <v/>
      </c>
      <c r="G72" t="str">
        <f>IF($B72="","",IFERROR(INDEX(GLAPS정리!$G$3:$G$264,MATCH(IF(INDEX(GLAPS컨테이너배차관리!$BY:$BY,$B72)="","",INDEX(GLAPS컨테이너배차관리!$BY:$BY,$B72)),GLAPS정리!$H$3:$H$264,0)),TRIM(SUBSTITUTE(SUBSTITUTE(SUBSTITUTE(SUBSTITUTE(SUBSTITUTE(IF(INDEX(GLAPS컨테이너배차관리!$T:$T,$B72)="","",INDEX(GLAPS컨테이너배차관리!$T:$T,$B72)),"[GA]",""),"[GB]",""),"[GC]",""),"[KC]",""),"[GS]",""))))</f>
        <v/>
      </c>
      <c r="H72" t="str">
        <f>IF($B72="","",IFERROR(VLOOKUP(IF(INDEX(GLAPS컨테이너배차관리!$BY:$BY,$B72)="","",INDEX(GLAPS컨테이너배차관리!$BY:$BY,$B72)),GLAPS정리!$BT$3:$BV$200,3,0),""))</f>
        <v/>
      </c>
      <c r="I72" t="str">
        <f>IF($B72="","",LEFT(IF(INDEX(GLAPS컨테이너배차관리!$U:$U,$B72)="","",INDEX(GLAPS컨테이너배차관리!$U:$U,$B72)),FIND("/",IF(INDEX(GLAPS컨테이너배차관리!$U:$U,$B72)="","",INDEX(GLAPS컨테이너배차관리!$U:$U,$B72))&amp;"/")-1))</f>
        <v/>
      </c>
      <c r="J72" t="str">
        <f>IF($B72="","",IF(IF(INDEX(GLAPS컨테이너배차관리!$O:$O,$B72)="","",INDEX(GLAPS컨테이너배차관리!$O:$O,$B72))="EMC","EMA",IFERROR(INDEX(GLAPS정리!$A$2:$A$50,MATCH(IF(INDEX(GLAPS컨테이너배차관리!$O:$O,$B72)="","",INDEX(GLAPS컨테이너배차관리!$O:$O,$B72)),GLAPS정리!$D$2:$D$50,0)),IF(INDEX(GLAPS컨테이너배차관리!$O:$O,$B72)="","",INDEX(GLAPS컨테이너배차관리!$O:$O,$B72)))))</f>
        <v/>
      </c>
      <c r="K72" t="str">
        <f>IF($B72="","",IF(LEFT(IF(INDEX(GLAPS컨테이너배차관리!$Y:$Y,$B72)="","",INDEX(GLAPS컨테이너배차관리!$Y:$Y,$B72)),2)="22","20 Feet",IF(LEFT(IF(INDEX(GLAPS컨테이너배차관리!$Y:$Y,$B72)="","",INDEX(GLAPS컨테이너배차관리!$Y:$Y,$B72)),2)="42","40 Feet","40 Feet H")))</f>
        <v/>
      </c>
      <c r="L72" t="str">
        <f>IF($B72="","",IFERROR(INDEX(GLAPS정리!$BB$2:$BB$80,MATCH(IF(INDEX(GLAPS컨테이너배차관리!$BQ:$BQ,$B72)="","",INDEX(GLAPS컨테이너배차관리!$BQ:$BQ,$B72)),GLAPS정리!$BC$2:$BC$80,0)),IF(INDEX(GLAPS컨테이너배차관리!$BQ:$BQ,$B72)="","",INDEX(GLAPS컨테이너배차관리!$BQ:$BQ,$B72))))</f>
        <v/>
      </c>
      <c r="M72" t="str">
        <f>IF($B72="","",IFERROR(INDEX(GLAPS정리!$V$3:$V$180,MATCH(IF(INDEX(GLAPS컨테이너배차관리!$S:$S,$B72)="","",INDEX(GLAPS컨테이너배차관리!$S:$S,$B72)),GLAPS정리!$W$3:$W$180,0)),IF(INDEX(GLAPS컨테이너배차관리!$S:$S,$B72)="","",INDEX(GLAPS컨테이너배차관리!$S:$S,$B72))))</f>
        <v/>
      </c>
      <c r="N72" t="str">
        <f>IF($B72="","",IF(IF(INDEX(GLAPS컨테이너배차관리!$DF:$DF,$B72)="","",INDEX(GLAPS컨테이너배차관리!$DF:$DF,$B72))&lt;&gt;"",IF(INDEX(GLAPS컨테이너배차관리!$DF:$DF,$B72)="","",INDEX(GLAPS컨테이너배차관리!$DF:$DF,$B72)),IF(IF(INDEX(GLAPS컨테이너배차관리!$DG:$DG,$B72)="","",INDEX(GLAPS컨테이너배차관리!$DG:$DG,$B72))&lt;&gt;"",IF(INDEX(GLAPS컨테이너배차관리!$DG:$DG,$B72)="","",INDEX(GLAPS컨테이너배차관리!$DG:$DG,$B72)),"")))</f>
        <v/>
      </c>
      <c r="O72" t="str">
        <f>IF($B72="","",IF(INDEX(GLAPS컨테이너배차관리!$AB:$AB,$B72)="","",INDEX(GLAPS컨테이너배차관리!$AB:$AB,$B72)))</f>
        <v/>
      </c>
      <c r="P72" t="str">
        <f>IF($B72="","",IF(IF(INDEX(GLAPS컨테이너배차관리!$CP:$CP,$B72)="","",INDEX(GLAPS컨테이너배차관리!$CP:$CP,$B72))="","",IFERROR(INDEX(GLAPS정리!$BH$2:$BH$101,MATCH(IF(INDEX(GLAPS컨테이너배차관리!$CP:$CP,$B72)="","",INDEX(GLAPS컨테이너배차관리!$CP:$CP,$B72)),GLAPS정리!$BI$2:$BI$101,0)),IF(INDEX(GLAPS컨테이너배차관리!$CP:$CP,$B72)="","",INDEX(GLAPS컨테이너배차관리!$CP:$CP,$B72)))))</f>
        <v/>
      </c>
      <c r="Q72" t="str">
        <f>IF($B72="","",IF(AND(IF(INDEX(GLAPS컨테이너배차관리!$AK:$AK,$B72)="","",INDEX(GLAPS컨테이너배차관리!$AK:$AK,$B72))="Y",IF(INDEX(GLAPS컨테이너배차관리!$AI:$AI,$B72)="","",INDEX(GLAPS컨테이너배차관리!$AI:$AI,$B72))="Y"),"위험물리퍼",IF(IF(INDEX(GLAPS컨테이너배차관리!$AK:$AK,$B72)="","",INDEX(GLAPS컨테이너배차관리!$AK:$AK,$B72))="Y","위험물",IF(IF(INDEX(GLAPS컨테이너배차관리!$AI:$AI,$B72)="","",INDEX(GLAPS컨테이너배차관리!$AI:$AI,$B72))="Y","리퍼",""))))</f>
        <v/>
      </c>
      <c r="R72" t="str">
        <f>IF($B72="","",IF(LEFT(IF(INDEX(GLAPS컨테이너배차관리!$Y:$Y,$B72)="","",INDEX(GLAPS컨테이너배차관리!$Y:$Y,$B72)),2)="22",1,""))</f>
        <v/>
      </c>
      <c r="S72" t="str">
        <f>IF($B72="","",IF(LEFT(IF(INDEX(GLAPS컨테이너배차관리!$Y:$Y,$B72)="","",INDEX(GLAPS컨테이너배차관리!$Y:$Y,$B72)),2)="42",1,""))</f>
        <v/>
      </c>
      <c r="T72" t="str">
        <f>IF($B72="","",IF(LEFT(IF(INDEX(GLAPS컨테이너배차관리!$Y:$Y,$B72)="","",INDEX(GLAPS컨테이너배차관리!$Y:$Y,$B72)),2)="45",1,""))</f>
        <v/>
      </c>
      <c r="U72" t="str">
        <f>IF($B72="","",IF(INDEX(GLAPS컨테이너배차관리!$X:$X,$B72)="","",INDEX(GLAPS컨테이너배차관리!$X:$X,$B72)))</f>
        <v/>
      </c>
      <c r="V72" t="str">
        <f>IF($B72="","",IF(INDEX(GLAPS컨테이너배차관리!$Z:$Z,$B72)="","",INDEX(GLAPS컨테이너배차관리!$Z:$Z,$B72)))</f>
        <v/>
      </c>
      <c r="W72" t="str">
        <f>IF($B72="","",IF(IF(INDEX(GLAPS컨테이너배차관리!$DI:$DI,$B72)="","",INDEX(GLAPS컨테이너배차관리!$DI:$DI,$B72))&lt;&gt;"",IF(INDEX(GLAPS컨테이너배차관리!$DI:$DI,$B72)="","",INDEX(GLAPS컨테이너배차관리!$DI:$DI,$B72)),IF(IF(INDEX(GLAPS컨테이너배차관리!$DJ:$DJ,$B72)="","",INDEX(GLAPS컨테이너배차관리!$DJ:$DJ,$B72))&lt;&gt;"",IF(INDEX(GLAPS컨테이너배차관리!$DJ:$DJ,$B72)="","",INDEX(GLAPS컨테이너배차관리!$DJ:$DJ,$B72)),IF(IF(INDEX(GLAPS컨테이너배차관리!$DK:$DK,$B72)="","",INDEX(GLAPS컨테이너배차관리!$DK:$DK,$B72))&lt;&gt;"",IF(INDEX(GLAPS컨테이너배차관리!$DK:$DK,$B72)="","",INDEX(GLAPS컨테이너배차관리!$DK:$DK,$B72)),IF(IF(INDEX(GLAPS컨테이너배차관리!$DL:$DL,$B72)="","",INDEX(GLAPS컨테이너배차관리!$DL:$DL,$B72))&lt;&gt;"",IF(INDEX(GLAPS컨테이너배차관리!$DL:$DL,$B72)="","",INDEX(GLAPS컨테이너배차관리!$DL:$DL,$B72)),IF(IF(INDEX(GLAPS컨테이너배차관리!$DM:$DM,$B72)="","",INDEX(GLAPS컨테이너배차관리!$DM:$DM,$B72))&lt;&gt;"",IF(INDEX(GLAPS컨테이너배차관리!$DM:$DM,$B72)="","",INDEX(GLAPS컨테이너배차관리!$DM:$DM,$B72)),""))))))</f>
        <v/>
      </c>
      <c r="X72" t="str">
        <f>IF($B72="","",IF(INDEX(GLAPS컨테이너배차관리!$F:$F,$B72)="","",INDEX(GLAPS컨테이너배차관리!$F:$F,$B72)))</f>
        <v/>
      </c>
      <c r="Y72" t="str">
        <f>IF($B72="","",IF(IF(INDEX(GLAPS컨테이너배차관리!$M:$M,$B72)="","",INDEX(GLAPS컨테이너배차관리!$M:$M,$B72))&lt;&gt;"",IF(INDEX(GLAPS컨테이너배차관리!$M:$M,$B72)="","",INDEX(GLAPS컨테이너배차관리!$M:$M,$B72)),IF(IF(INDEX(GLAPS컨테이너배차관리!$N:$N,$B72)="","",INDEX(GLAPS컨테이너배차관리!$N:$N,$B72))&lt;&gt;"",IF(INDEX(GLAPS컨테이너배차관리!$N:$N,$B72)="","",INDEX(GLAPS컨테이너배차관리!$N:$N,$B72)),"")))</f>
        <v/>
      </c>
      <c r="Z72" t="str">
        <f>IF($B72="","",IF(IF(INDEX(GLAPS컨테이너배차관리!$CU:$CU,$B72)="","",INDEX(GLAPS컨테이너배차관리!$CU:$CU,$B72))="","",IFERROR(INT(IF(INDEX(GLAPS컨테이너배차관리!$CU:$CU,$B72)="","",INDEX(GLAPS컨테이너배차관리!$CU:$CU,$B72))),"")))</f>
        <v/>
      </c>
      <c r="AA72" t="str">
        <f>IF($B72="","",IF(AND(IF(INDEX(GLAPS컨테이너배차관리!$CL:$CL,$B72)="","",INDEX(GLAPS컨테이너배차관리!$CL:$CL,$B72))="",IF(INDEX(GLAPS컨테이너배차관리!$CM:$CM,$B72)="","",INDEX(GLAPS컨테이너배차관리!$CM:$CM,$B72))=""),"",IF(OR(IF(INDEX(GLAPS컨테이너배차관리!$CL:$CL,$B72)="","",INDEX(GLAPS컨테이너배차관리!$CL:$CL,$B72))="B000016649",ISNUMBER(SEARCH("B015",IF(INDEX(GLAPS컨테이너배차관리!$CM:$CM,$B72)="","",INDEX(GLAPS컨테이너배차관리!$CM:$CM,$B72)))),ISNUMBER(SEARCH("세방",IF(INDEX(GLAPS컨테이너배차관리!$CM:$CM,$B72)="","",INDEX(GLAPS컨테이너배차관리!$CM:$CM,$B72)))),ISNUMBER(SEARCH("SB",IF(INDEX(GLAPS컨테이너배차관리!$CM:$CM,$B72)="","",INDEX(GLAPS컨테이너배차관리!$CM:$CM,$B72))))),"세방","")))</f>
        <v/>
      </c>
      <c r="AB72" t="str">
        <f>IF($B72="","",IF(IF(INDEX(GLAPS컨테이너배차관리!$CM:$CM,$B72)="","",INDEX(GLAPS컨테이너배차관리!$CM:$CM,$B72))="","",IF(ISNUMBER(SEARCH("이지스두동",IF(INDEX(GLAPS컨테이너배차관리!$CM:$CM,$B72)="","",INDEX(GLAPS컨테이너배차관리!$CM:$CM,$B72)))),"이지스두동",IF(ISNUMBER(SEARCH("이지스녹산",IF(INDEX(GLAPS컨테이너배차관리!$CM:$CM,$B72)="","",INDEX(GLAPS컨테이너배차관리!$CM:$CM,$B72)))),"이지스녹산",IF(ISNUMBER(SEARCH("천우",IF(INDEX(GLAPS컨테이너배차관리!$CM:$CM,$B72)="","",INDEX(GLAPS컨테이너배차관리!$CM:$CM,$B72)))),"천우",IF(OR(ISNUMBER(SEARCH("청암",IF(INDEX(GLAPS컨테이너배차관리!$CM:$CM,$B72)="","",INDEX(GLAPS컨테이너배차관리!$CM:$CM,$B72)))),ISNUMBER(SEARCH("SB청암",IF(INDEX(GLAPS컨테이너배차관리!$CM:$CM,$B72)="","",INDEX(GLAPS컨테이너배차관리!$CM:$CM,$B72))))),"청암신항",IF(INDEX(GLAPS컨테이너배차관리!$CM:$CM,$B72)="","",INDEX(GLAPS컨테이너배차관리!$CM:$CM,$B72))))))))</f>
        <v/>
      </c>
    </row>
    <row r="73" spans="1:28">
      <c r="A73">
        <v>72</v>
      </c>
      <c r="B73" t="str">
        <f>IFERROR(_xlfn.AGGREGATE(15,6,ROW(GLAPS컨테이너배차관리!$X$2:$X$20000)/(GLAPS컨테이너배차관리!$X$2:$X$20000&lt;&gt;""),A73),"")</f>
        <v/>
      </c>
      <c r="C73" t="str">
        <f>IF($B73="","",INT(IF(INDEX(GLAPS컨테이너배차관리!$K:$K,$B73)="","",INDEX(GLAPS컨테이너배차관리!$K:$K,$B73))))</f>
        <v/>
      </c>
      <c r="D73" t="str">
        <f>IF($B73="","",IF(ISNUMBER(SEARCH("이엘에스",IF(INDEX(GLAPS컨테이너배차관리!$AZ:$AZ,$B73)="","",INDEX(GLAPS컨테이너배차관리!$AZ:$AZ,$B73)))),"ELS솔루션",IF(INDEX(GLAPS컨테이너배차관리!$AZ:$AZ,$B73)="","",INDEX(GLAPS컨테이너배차관리!$AZ:$AZ,$B73))))</f>
        <v/>
      </c>
      <c r="E73" t="str">
        <f>IF($B73="","",IF(INDEX(GLAPS컨테이너배차관리!$L:$L,$B73)="","",INDEX(GLAPS컨테이너배차관리!$L:$L,$B73)))</f>
        <v/>
      </c>
      <c r="F73" t="str">
        <f>IF($B73="","",IF(HOUR(IF(INDEX(GLAPS컨테이너배차관리!$L:$L,$B73)="","",INDEX(GLAPS컨테이너배차관리!$L:$L,$B73)))&lt;12,"오전",IF(HOUR(IF(INDEX(GLAPS컨테이너배차관리!$L:$L,$B73)="","",INDEX(GLAPS컨테이너배차관리!$L:$L,$B73)))&lt;18,"오후","잔업")))</f>
        <v/>
      </c>
      <c r="G73" t="str">
        <f>IF($B73="","",IFERROR(INDEX(GLAPS정리!$G$3:$G$264,MATCH(IF(INDEX(GLAPS컨테이너배차관리!$BY:$BY,$B73)="","",INDEX(GLAPS컨테이너배차관리!$BY:$BY,$B73)),GLAPS정리!$H$3:$H$264,0)),TRIM(SUBSTITUTE(SUBSTITUTE(SUBSTITUTE(SUBSTITUTE(SUBSTITUTE(IF(INDEX(GLAPS컨테이너배차관리!$T:$T,$B73)="","",INDEX(GLAPS컨테이너배차관리!$T:$T,$B73)),"[GA]",""),"[GB]",""),"[GC]",""),"[KC]",""),"[GS]",""))))</f>
        <v/>
      </c>
      <c r="H73" t="str">
        <f>IF($B73="","",IFERROR(VLOOKUP(IF(INDEX(GLAPS컨테이너배차관리!$BY:$BY,$B73)="","",INDEX(GLAPS컨테이너배차관리!$BY:$BY,$B73)),GLAPS정리!$BT$3:$BV$200,3,0),""))</f>
        <v/>
      </c>
      <c r="I73" t="str">
        <f>IF($B73="","",LEFT(IF(INDEX(GLAPS컨테이너배차관리!$U:$U,$B73)="","",INDEX(GLAPS컨테이너배차관리!$U:$U,$B73)),FIND("/",IF(INDEX(GLAPS컨테이너배차관리!$U:$U,$B73)="","",INDEX(GLAPS컨테이너배차관리!$U:$U,$B73))&amp;"/")-1))</f>
        <v/>
      </c>
      <c r="J73" t="str">
        <f>IF($B73="","",IF(IF(INDEX(GLAPS컨테이너배차관리!$O:$O,$B73)="","",INDEX(GLAPS컨테이너배차관리!$O:$O,$B73))="EMC","EMA",IFERROR(INDEX(GLAPS정리!$A$2:$A$50,MATCH(IF(INDEX(GLAPS컨테이너배차관리!$O:$O,$B73)="","",INDEX(GLAPS컨테이너배차관리!$O:$O,$B73)),GLAPS정리!$D$2:$D$50,0)),IF(INDEX(GLAPS컨테이너배차관리!$O:$O,$B73)="","",INDEX(GLAPS컨테이너배차관리!$O:$O,$B73)))))</f>
        <v/>
      </c>
      <c r="K73" t="str">
        <f>IF($B73="","",IF(LEFT(IF(INDEX(GLAPS컨테이너배차관리!$Y:$Y,$B73)="","",INDEX(GLAPS컨테이너배차관리!$Y:$Y,$B73)),2)="22","20 Feet",IF(LEFT(IF(INDEX(GLAPS컨테이너배차관리!$Y:$Y,$B73)="","",INDEX(GLAPS컨테이너배차관리!$Y:$Y,$B73)),2)="42","40 Feet","40 Feet H")))</f>
        <v/>
      </c>
      <c r="L73" t="str">
        <f>IF($B73="","",IFERROR(INDEX(GLAPS정리!$BB$2:$BB$80,MATCH(IF(INDEX(GLAPS컨테이너배차관리!$BQ:$BQ,$B73)="","",INDEX(GLAPS컨테이너배차관리!$BQ:$BQ,$B73)),GLAPS정리!$BC$2:$BC$80,0)),IF(INDEX(GLAPS컨테이너배차관리!$BQ:$BQ,$B73)="","",INDEX(GLAPS컨테이너배차관리!$BQ:$BQ,$B73))))</f>
        <v/>
      </c>
      <c r="M73" t="str">
        <f>IF($B73="","",IFERROR(INDEX(GLAPS정리!$V$3:$V$180,MATCH(IF(INDEX(GLAPS컨테이너배차관리!$S:$S,$B73)="","",INDEX(GLAPS컨테이너배차관리!$S:$S,$B73)),GLAPS정리!$W$3:$W$180,0)),IF(INDEX(GLAPS컨테이너배차관리!$S:$S,$B73)="","",INDEX(GLAPS컨테이너배차관리!$S:$S,$B73))))</f>
        <v/>
      </c>
      <c r="N73" t="str">
        <f>IF($B73="","",IF(IF(INDEX(GLAPS컨테이너배차관리!$DF:$DF,$B73)="","",INDEX(GLAPS컨테이너배차관리!$DF:$DF,$B73))&lt;&gt;"",IF(INDEX(GLAPS컨테이너배차관리!$DF:$DF,$B73)="","",INDEX(GLAPS컨테이너배차관리!$DF:$DF,$B73)),IF(IF(INDEX(GLAPS컨테이너배차관리!$DG:$DG,$B73)="","",INDEX(GLAPS컨테이너배차관리!$DG:$DG,$B73))&lt;&gt;"",IF(INDEX(GLAPS컨테이너배차관리!$DG:$DG,$B73)="","",INDEX(GLAPS컨테이너배차관리!$DG:$DG,$B73)),"")))</f>
        <v/>
      </c>
      <c r="O73" t="str">
        <f>IF($B73="","",IF(INDEX(GLAPS컨테이너배차관리!$AB:$AB,$B73)="","",INDEX(GLAPS컨테이너배차관리!$AB:$AB,$B73)))</f>
        <v/>
      </c>
      <c r="P73" t="str">
        <f>IF($B73="","",IF(IF(INDEX(GLAPS컨테이너배차관리!$CP:$CP,$B73)="","",INDEX(GLAPS컨테이너배차관리!$CP:$CP,$B73))="","",IFERROR(INDEX(GLAPS정리!$BH$2:$BH$101,MATCH(IF(INDEX(GLAPS컨테이너배차관리!$CP:$CP,$B73)="","",INDEX(GLAPS컨테이너배차관리!$CP:$CP,$B73)),GLAPS정리!$BI$2:$BI$101,0)),IF(INDEX(GLAPS컨테이너배차관리!$CP:$CP,$B73)="","",INDEX(GLAPS컨테이너배차관리!$CP:$CP,$B73)))))</f>
        <v/>
      </c>
      <c r="Q73" t="str">
        <f>IF($B73="","",IF(AND(IF(INDEX(GLAPS컨테이너배차관리!$AK:$AK,$B73)="","",INDEX(GLAPS컨테이너배차관리!$AK:$AK,$B73))="Y",IF(INDEX(GLAPS컨테이너배차관리!$AI:$AI,$B73)="","",INDEX(GLAPS컨테이너배차관리!$AI:$AI,$B73))="Y"),"위험물리퍼",IF(IF(INDEX(GLAPS컨테이너배차관리!$AK:$AK,$B73)="","",INDEX(GLAPS컨테이너배차관리!$AK:$AK,$B73))="Y","위험물",IF(IF(INDEX(GLAPS컨테이너배차관리!$AI:$AI,$B73)="","",INDEX(GLAPS컨테이너배차관리!$AI:$AI,$B73))="Y","리퍼",""))))</f>
        <v/>
      </c>
      <c r="R73" t="str">
        <f>IF($B73="","",IF(LEFT(IF(INDEX(GLAPS컨테이너배차관리!$Y:$Y,$B73)="","",INDEX(GLAPS컨테이너배차관리!$Y:$Y,$B73)),2)="22",1,""))</f>
        <v/>
      </c>
      <c r="S73" t="str">
        <f>IF($B73="","",IF(LEFT(IF(INDEX(GLAPS컨테이너배차관리!$Y:$Y,$B73)="","",INDEX(GLAPS컨테이너배차관리!$Y:$Y,$B73)),2)="42",1,""))</f>
        <v/>
      </c>
      <c r="T73" t="str">
        <f>IF($B73="","",IF(LEFT(IF(INDEX(GLAPS컨테이너배차관리!$Y:$Y,$B73)="","",INDEX(GLAPS컨테이너배차관리!$Y:$Y,$B73)),2)="45",1,""))</f>
        <v/>
      </c>
      <c r="U73" t="str">
        <f>IF($B73="","",IF(INDEX(GLAPS컨테이너배차관리!$X:$X,$B73)="","",INDEX(GLAPS컨테이너배차관리!$X:$X,$B73)))</f>
        <v/>
      </c>
      <c r="V73" t="str">
        <f>IF($B73="","",IF(INDEX(GLAPS컨테이너배차관리!$Z:$Z,$B73)="","",INDEX(GLAPS컨테이너배차관리!$Z:$Z,$B73)))</f>
        <v/>
      </c>
      <c r="W73" t="str">
        <f>IF($B73="","",IF(IF(INDEX(GLAPS컨테이너배차관리!$DI:$DI,$B73)="","",INDEX(GLAPS컨테이너배차관리!$DI:$DI,$B73))&lt;&gt;"",IF(INDEX(GLAPS컨테이너배차관리!$DI:$DI,$B73)="","",INDEX(GLAPS컨테이너배차관리!$DI:$DI,$B73)),IF(IF(INDEX(GLAPS컨테이너배차관리!$DJ:$DJ,$B73)="","",INDEX(GLAPS컨테이너배차관리!$DJ:$DJ,$B73))&lt;&gt;"",IF(INDEX(GLAPS컨테이너배차관리!$DJ:$DJ,$B73)="","",INDEX(GLAPS컨테이너배차관리!$DJ:$DJ,$B73)),IF(IF(INDEX(GLAPS컨테이너배차관리!$DK:$DK,$B73)="","",INDEX(GLAPS컨테이너배차관리!$DK:$DK,$B73))&lt;&gt;"",IF(INDEX(GLAPS컨테이너배차관리!$DK:$DK,$B73)="","",INDEX(GLAPS컨테이너배차관리!$DK:$DK,$B73)),IF(IF(INDEX(GLAPS컨테이너배차관리!$DL:$DL,$B73)="","",INDEX(GLAPS컨테이너배차관리!$DL:$DL,$B73))&lt;&gt;"",IF(INDEX(GLAPS컨테이너배차관리!$DL:$DL,$B73)="","",INDEX(GLAPS컨테이너배차관리!$DL:$DL,$B73)),IF(IF(INDEX(GLAPS컨테이너배차관리!$DM:$DM,$B73)="","",INDEX(GLAPS컨테이너배차관리!$DM:$DM,$B73))&lt;&gt;"",IF(INDEX(GLAPS컨테이너배차관리!$DM:$DM,$B73)="","",INDEX(GLAPS컨테이너배차관리!$DM:$DM,$B73)),""))))))</f>
        <v/>
      </c>
      <c r="X73" t="str">
        <f>IF($B73="","",IF(INDEX(GLAPS컨테이너배차관리!$F:$F,$B73)="","",INDEX(GLAPS컨테이너배차관리!$F:$F,$B73)))</f>
        <v/>
      </c>
      <c r="Y73" t="str">
        <f>IF($B73="","",IF(IF(INDEX(GLAPS컨테이너배차관리!$M:$M,$B73)="","",INDEX(GLAPS컨테이너배차관리!$M:$M,$B73))&lt;&gt;"",IF(INDEX(GLAPS컨테이너배차관리!$M:$M,$B73)="","",INDEX(GLAPS컨테이너배차관리!$M:$M,$B73)),IF(IF(INDEX(GLAPS컨테이너배차관리!$N:$N,$B73)="","",INDEX(GLAPS컨테이너배차관리!$N:$N,$B73))&lt;&gt;"",IF(INDEX(GLAPS컨테이너배차관리!$N:$N,$B73)="","",INDEX(GLAPS컨테이너배차관리!$N:$N,$B73)),"")))</f>
        <v/>
      </c>
      <c r="Z73" t="str">
        <f>IF($B73="","",IF(IF(INDEX(GLAPS컨테이너배차관리!$CU:$CU,$B73)="","",INDEX(GLAPS컨테이너배차관리!$CU:$CU,$B73))="","",IFERROR(INT(IF(INDEX(GLAPS컨테이너배차관리!$CU:$CU,$B73)="","",INDEX(GLAPS컨테이너배차관리!$CU:$CU,$B73))),"")))</f>
        <v/>
      </c>
      <c r="AA73" t="str">
        <f>IF($B73="","",IF(AND(IF(INDEX(GLAPS컨테이너배차관리!$CL:$CL,$B73)="","",INDEX(GLAPS컨테이너배차관리!$CL:$CL,$B73))="",IF(INDEX(GLAPS컨테이너배차관리!$CM:$CM,$B73)="","",INDEX(GLAPS컨테이너배차관리!$CM:$CM,$B73))=""),"",IF(OR(IF(INDEX(GLAPS컨테이너배차관리!$CL:$CL,$B73)="","",INDEX(GLAPS컨테이너배차관리!$CL:$CL,$B73))="B000016649",ISNUMBER(SEARCH("B015",IF(INDEX(GLAPS컨테이너배차관리!$CM:$CM,$B73)="","",INDEX(GLAPS컨테이너배차관리!$CM:$CM,$B73)))),ISNUMBER(SEARCH("세방",IF(INDEX(GLAPS컨테이너배차관리!$CM:$CM,$B73)="","",INDEX(GLAPS컨테이너배차관리!$CM:$CM,$B73)))),ISNUMBER(SEARCH("SB",IF(INDEX(GLAPS컨테이너배차관리!$CM:$CM,$B73)="","",INDEX(GLAPS컨테이너배차관리!$CM:$CM,$B73))))),"세방","")))</f>
        <v/>
      </c>
      <c r="AB73" t="str">
        <f>IF($B73="","",IF(IF(INDEX(GLAPS컨테이너배차관리!$CM:$CM,$B73)="","",INDEX(GLAPS컨테이너배차관리!$CM:$CM,$B73))="","",IF(ISNUMBER(SEARCH("이지스두동",IF(INDEX(GLAPS컨테이너배차관리!$CM:$CM,$B73)="","",INDEX(GLAPS컨테이너배차관리!$CM:$CM,$B73)))),"이지스두동",IF(ISNUMBER(SEARCH("이지스녹산",IF(INDEX(GLAPS컨테이너배차관리!$CM:$CM,$B73)="","",INDEX(GLAPS컨테이너배차관리!$CM:$CM,$B73)))),"이지스녹산",IF(ISNUMBER(SEARCH("천우",IF(INDEX(GLAPS컨테이너배차관리!$CM:$CM,$B73)="","",INDEX(GLAPS컨테이너배차관리!$CM:$CM,$B73)))),"천우",IF(OR(ISNUMBER(SEARCH("청암",IF(INDEX(GLAPS컨테이너배차관리!$CM:$CM,$B73)="","",INDEX(GLAPS컨테이너배차관리!$CM:$CM,$B73)))),ISNUMBER(SEARCH("SB청암",IF(INDEX(GLAPS컨테이너배차관리!$CM:$CM,$B73)="","",INDEX(GLAPS컨테이너배차관리!$CM:$CM,$B73))))),"청암신항",IF(INDEX(GLAPS컨테이너배차관리!$CM:$CM,$B73)="","",INDEX(GLAPS컨테이너배차관리!$CM:$CM,$B73))))))))</f>
        <v/>
      </c>
    </row>
    <row r="74" spans="1:28">
      <c r="A74">
        <v>73</v>
      </c>
      <c r="B74" t="str">
        <f>IFERROR(_xlfn.AGGREGATE(15,6,ROW(GLAPS컨테이너배차관리!$X$2:$X$20000)/(GLAPS컨테이너배차관리!$X$2:$X$20000&lt;&gt;""),A74),"")</f>
        <v/>
      </c>
      <c r="C74" t="str">
        <f>IF($B74="","",INT(IF(INDEX(GLAPS컨테이너배차관리!$K:$K,$B74)="","",INDEX(GLAPS컨테이너배차관리!$K:$K,$B74))))</f>
        <v/>
      </c>
      <c r="D74" t="str">
        <f>IF($B74="","",IF(ISNUMBER(SEARCH("이엘에스",IF(INDEX(GLAPS컨테이너배차관리!$AZ:$AZ,$B74)="","",INDEX(GLAPS컨테이너배차관리!$AZ:$AZ,$B74)))),"ELS솔루션",IF(INDEX(GLAPS컨테이너배차관리!$AZ:$AZ,$B74)="","",INDEX(GLAPS컨테이너배차관리!$AZ:$AZ,$B74))))</f>
        <v/>
      </c>
      <c r="E74" t="str">
        <f>IF($B74="","",IF(INDEX(GLAPS컨테이너배차관리!$L:$L,$B74)="","",INDEX(GLAPS컨테이너배차관리!$L:$L,$B74)))</f>
        <v/>
      </c>
      <c r="F74" t="str">
        <f>IF($B74="","",IF(HOUR(IF(INDEX(GLAPS컨테이너배차관리!$L:$L,$B74)="","",INDEX(GLAPS컨테이너배차관리!$L:$L,$B74)))&lt;12,"오전",IF(HOUR(IF(INDEX(GLAPS컨테이너배차관리!$L:$L,$B74)="","",INDEX(GLAPS컨테이너배차관리!$L:$L,$B74)))&lt;18,"오후","잔업")))</f>
        <v/>
      </c>
      <c r="G74" t="str">
        <f>IF($B74="","",IFERROR(INDEX(GLAPS정리!$G$3:$G$264,MATCH(IF(INDEX(GLAPS컨테이너배차관리!$BY:$BY,$B74)="","",INDEX(GLAPS컨테이너배차관리!$BY:$BY,$B74)),GLAPS정리!$H$3:$H$264,0)),TRIM(SUBSTITUTE(SUBSTITUTE(SUBSTITUTE(SUBSTITUTE(SUBSTITUTE(IF(INDEX(GLAPS컨테이너배차관리!$T:$T,$B74)="","",INDEX(GLAPS컨테이너배차관리!$T:$T,$B74)),"[GA]",""),"[GB]",""),"[GC]",""),"[KC]",""),"[GS]",""))))</f>
        <v/>
      </c>
      <c r="H74" t="str">
        <f>IF($B74="","",IFERROR(VLOOKUP(IF(INDEX(GLAPS컨테이너배차관리!$BY:$BY,$B74)="","",INDEX(GLAPS컨테이너배차관리!$BY:$BY,$B74)),GLAPS정리!$BT$3:$BV$200,3,0),""))</f>
        <v/>
      </c>
      <c r="I74" t="str">
        <f>IF($B74="","",LEFT(IF(INDEX(GLAPS컨테이너배차관리!$U:$U,$B74)="","",INDEX(GLAPS컨테이너배차관리!$U:$U,$B74)),FIND("/",IF(INDEX(GLAPS컨테이너배차관리!$U:$U,$B74)="","",INDEX(GLAPS컨테이너배차관리!$U:$U,$B74))&amp;"/")-1))</f>
        <v/>
      </c>
      <c r="J74" t="str">
        <f>IF($B74="","",IF(IF(INDEX(GLAPS컨테이너배차관리!$O:$O,$B74)="","",INDEX(GLAPS컨테이너배차관리!$O:$O,$B74))="EMC","EMA",IFERROR(INDEX(GLAPS정리!$A$2:$A$50,MATCH(IF(INDEX(GLAPS컨테이너배차관리!$O:$O,$B74)="","",INDEX(GLAPS컨테이너배차관리!$O:$O,$B74)),GLAPS정리!$D$2:$D$50,0)),IF(INDEX(GLAPS컨테이너배차관리!$O:$O,$B74)="","",INDEX(GLAPS컨테이너배차관리!$O:$O,$B74)))))</f>
        <v/>
      </c>
      <c r="K74" t="str">
        <f>IF($B74="","",IF(LEFT(IF(INDEX(GLAPS컨테이너배차관리!$Y:$Y,$B74)="","",INDEX(GLAPS컨테이너배차관리!$Y:$Y,$B74)),2)="22","20 Feet",IF(LEFT(IF(INDEX(GLAPS컨테이너배차관리!$Y:$Y,$B74)="","",INDEX(GLAPS컨테이너배차관리!$Y:$Y,$B74)),2)="42","40 Feet","40 Feet H")))</f>
        <v/>
      </c>
      <c r="L74" t="str">
        <f>IF($B74="","",IFERROR(INDEX(GLAPS정리!$BB$2:$BB$80,MATCH(IF(INDEX(GLAPS컨테이너배차관리!$BQ:$BQ,$B74)="","",INDEX(GLAPS컨테이너배차관리!$BQ:$BQ,$B74)),GLAPS정리!$BC$2:$BC$80,0)),IF(INDEX(GLAPS컨테이너배차관리!$BQ:$BQ,$B74)="","",INDEX(GLAPS컨테이너배차관리!$BQ:$BQ,$B74))))</f>
        <v/>
      </c>
      <c r="M74" t="str">
        <f>IF($B74="","",IFERROR(INDEX(GLAPS정리!$V$3:$V$180,MATCH(IF(INDEX(GLAPS컨테이너배차관리!$S:$S,$B74)="","",INDEX(GLAPS컨테이너배차관리!$S:$S,$B74)),GLAPS정리!$W$3:$W$180,0)),IF(INDEX(GLAPS컨테이너배차관리!$S:$S,$B74)="","",INDEX(GLAPS컨테이너배차관리!$S:$S,$B74))))</f>
        <v/>
      </c>
      <c r="N74" t="str">
        <f>IF($B74="","",IF(IF(INDEX(GLAPS컨테이너배차관리!$DF:$DF,$B74)="","",INDEX(GLAPS컨테이너배차관리!$DF:$DF,$B74))&lt;&gt;"",IF(INDEX(GLAPS컨테이너배차관리!$DF:$DF,$B74)="","",INDEX(GLAPS컨테이너배차관리!$DF:$DF,$B74)),IF(IF(INDEX(GLAPS컨테이너배차관리!$DG:$DG,$B74)="","",INDEX(GLAPS컨테이너배차관리!$DG:$DG,$B74))&lt;&gt;"",IF(INDEX(GLAPS컨테이너배차관리!$DG:$DG,$B74)="","",INDEX(GLAPS컨테이너배차관리!$DG:$DG,$B74)),"")))</f>
        <v/>
      </c>
      <c r="O74" t="str">
        <f>IF($B74="","",IF(INDEX(GLAPS컨테이너배차관리!$AB:$AB,$B74)="","",INDEX(GLAPS컨테이너배차관리!$AB:$AB,$B74)))</f>
        <v/>
      </c>
      <c r="P74" t="str">
        <f>IF($B74="","",IF(IF(INDEX(GLAPS컨테이너배차관리!$CP:$CP,$B74)="","",INDEX(GLAPS컨테이너배차관리!$CP:$CP,$B74))="","",IFERROR(INDEX(GLAPS정리!$BH$2:$BH$101,MATCH(IF(INDEX(GLAPS컨테이너배차관리!$CP:$CP,$B74)="","",INDEX(GLAPS컨테이너배차관리!$CP:$CP,$B74)),GLAPS정리!$BI$2:$BI$101,0)),IF(INDEX(GLAPS컨테이너배차관리!$CP:$CP,$B74)="","",INDEX(GLAPS컨테이너배차관리!$CP:$CP,$B74)))))</f>
        <v/>
      </c>
      <c r="Q74" t="str">
        <f>IF($B74="","",IF(AND(IF(INDEX(GLAPS컨테이너배차관리!$AK:$AK,$B74)="","",INDEX(GLAPS컨테이너배차관리!$AK:$AK,$B74))="Y",IF(INDEX(GLAPS컨테이너배차관리!$AI:$AI,$B74)="","",INDEX(GLAPS컨테이너배차관리!$AI:$AI,$B74))="Y"),"위험물리퍼",IF(IF(INDEX(GLAPS컨테이너배차관리!$AK:$AK,$B74)="","",INDEX(GLAPS컨테이너배차관리!$AK:$AK,$B74))="Y","위험물",IF(IF(INDEX(GLAPS컨테이너배차관리!$AI:$AI,$B74)="","",INDEX(GLAPS컨테이너배차관리!$AI:$AI,$B74))="Y","리퍼",""))))</f>
        <v/>
      </c>
      <c r="R74" t="str">
        <f>IF($B74="","",IF(LEFT(IF(INDEX(GLAPS컨테이너배차관리!$Y:$Y,$B74)="","",INDEX(GLAPS컨테이너배차관리!$Y:$Y,$B74)),2)="22",1,""))</f>
        <v/>
      </c>
      <c r="S74" t="str">
        <f>IF($B74="","",IF(LEFT(IF(INDEX(GLAPS컨테이너배차관리!$Y:$Y,$B74)="","",INDEX(GLAPS컨테이너배차관리!$Y:$Y,$B74)),2)="42",1,""))</f>
        <v/>
      </c>
      <c r="T74" t="str">
        <f>IF($B74="","",IF(LEFT(IF(INDEX(GLAPS컨테이너배차관리!$Y:$Y,$B74)="","",INDEX(GLAPS컨테이너배차관리!$Y:$Y,$B74)),2)="45",1,""))</f>
        <v/>
      </c>
      <c r="U74" t="str">
        <f>IF($B74="","",IF(INDEX(GLAPS컨테이너배차관리!$X:$X,$B74)="","",INDEX(GLAPS컨테이너배차관리!$X:$X,$B74)))</f>
        <v/>
      </c>
      <c r="V74" t="str">
        <f>IF($B74="","",IF(INDEX(GLAPS컨테이너배차관리!$Z:$Z,$B74)="","",INDEX(GLAPS컨테이너배차관리!$Z:$Z,$B74)))</f>
        <v/>
      </c>
      <c r="W74" t="str">
        <f>IF($B74="","",IF(IF(INDEX(GLAPS컨테이너배차관리!$DI:$DI,$B74)="","",INDEX(GLAPS컨테이너배차관리!$DI:$DI,$B74))&lt;&gt;"",IF(INDEX(GLAPS컨테이너배차관리!$DI:$DI,$B74)="","",INDEX(GLAPS컨테이너배차관리!$DI:$DI,$B74)),IF(IF(INDEX(GLAPS컨테이너배차관리!$DJ:$DJ,$B74)="","",INDEX(GLAPS컨테이너배차관리!$DJ:$DJ,$B74))&lt;&gt;"",IF(INDEX(GLAPS컨테이너배차관리!$DJ:$DJ,$B74)="","",INDEX(GLAPS컨테이너배차관리!$DJ:$DJ,$B74)),IF(IF(INDEX(GLAPS컨테이너배차관리!$DK:$DK,$B74)="","",INDEX(GLAPS컨테이너배차관리!$DK:$DK,$B74))&lt;&gt;"",IF(INDEX(GLAPS컨테이너배차관리!$DK:$DK,$B74)="","",INDEX(GLAPS컨테이너배차관리!$DK:$DK,$B74)),IF(IF(INDEX(GLAPS컨테이너배차관리!$DL:$DL,$B74)="","",INDEX(GLAPS컨테이너배차관리!$DL:$DL,$B74))&lt;&gt;"",IF(INDEX(GLAPS컨테이너배차관리!$DL:$DL,$B74)="","",INDEX(GLAPS컨테이너배차관리!$DL:$DL,$B74)),IF(IF(INDEX(GLAPS컨테이너배차관리!$DM:$DM,$B74)="","",INDEX(GLAPS컨테이너배차관리!$DM:$DM,$B74))&lt;&gt;"",IF(INDEX(GLAPS컨테이너배차관리!$DM:$DM,$B74)="","",INDEX(GLAPS컨테이너배차관리!$DM:$DM,$B74)),""))))))</f>
        <v/>
      </c>
      <c r="X74" t="str">
        <f>IF($B74="","",IF(INDEX(GLAPS컨테이너배차관리!$F:$F,$B74)="","",INDEX(GLAPS컨테이너배차관리!$F:$F,$B74)))</f>
        <v/>
      </c>
      <c r="Y74" t="str">
        <f>IF($B74="","",IF(IF(INDEX(GLAPS컨테이너배차관리!$M:$M,$B74)="","",INDEX(GLAPS컨테이너배차관리!$M:$M,$B74))&lt;&gt;"",IF(INDEX(GLAPS컨테이너배차관리!$M:$M,$B74)="","",INDEX(GLAPS컨테이너배차관리!$M:$M,$B74)),IF(IF(INDEX(GLAPS컨테이너배차관리!$N:$N,$B74)="","",INDEX(GLAPS컨테이너배차관리!$N:$N,$B74))&lt;&gt;"",IF(INDEX(GLAPS컨테이너배차관리!$N:$N,$B74)="","",INDEX(GLAPS컨테이너배차관리!$N:$N,$B74)),"")))</f>
        <v/>
      </c>
      <c r="Z74" t="str">
        <f>IF($B74="","",IF(IF(INDEX(GLAPS컨테이너배차관리!$CU:$CU,$B74)="","",INDEX(GLAPS컨테이너배차관리!$CU:$CU,$B74))="","",IFERROR(INT(IF(INDEX(GLAPS컨테이너배차관리!$CU:$CU,$B74)="","",INDEX(GLAPS컨테이너배차관리!$CU:$CU,$B74))),"")))</f>
        <v/>
      </c>
      <c r="AA74" t="str">
        <f>IF($B74="","",IF(AND(IF(INDEX(GLAPS컨테이너배차관리!$CL:$CL,$B74)="","",INDEX(GLAPS컨테이너배차관리!$CL:$CL,$B74))="",IF(INDEX(GLAPS컨테이너배차관리!$CM:$CM,$B74)="","",INDEX(GLAPS컨테이너배차관리!$CM:$CM,$B74))=""),"",IF(OR(IF(INDEX(GLAPS컨테이너배차관리!$CL:$CL,$B74)="","",INDEX(GLAPS컨테이너배차관리!$CL:$CL,$B74))="B000016649",ISNUMBER(SEARCH("B015",IF(INDEX(GLAPS컨테이너배차관리!$CM:$CM,$B74)="","",INDEX(GLAPS컨테이너배차관리!$CM:$CM,$B74)))),ISNUMBER(SEARCH("세방",IF(INDEX(GLAPS컨테이너배차관리!$CM:$CM,$B74)="","",INDEX(GLAPS컨테이너배차관리!$CM:$CM,$B74)))),ISNUMBER(SEARCH("SB",IF(INDEX(GLAPS컨테이너배차관리!$CM:$CM,$B74)="","",INDEX(GLAPS컨테이너배차관리!$CM:$CM,$B74))))),"세방","")))</f>
        <v/>
      </c>
      <c r="AB74" t="str">
        <f>IF($B74="","",IF(IF(INDEX(GLAPS컨테이너배차관리!$CM:$CM,$B74)="","",INDEX(GLAPS컨테이너배차관리!$CM:$CM,$B74))="","",IF(ISNUMBER(SEARCH("이지스두동",IF(INDEX(GLAPS컨테이너배차관리!$CM:$CM,$B74)="","",INDEX(GLAPS컨테이너배차관리!$CM:$CM,$B74)))),"이지스두동",IF(ISNUMBER(SEARCH("이지스녹산",IF(INDEX(GLAPS컨테이너배차관리!$CM:$CM,$B74)="","",INDEX(GLAPS컨테이너배차관리!$CM:$CM,$B74)))),"이지스녹산",IF(ISNUMBER(SEARCH("천우",IF(INDEX(GLAPS컨테이너배차관리!$CM:$CM,$B74)="","",INDEX(GLAPS컨테이너배차관리!$CM:$CM,$B74)))),"천우",IF(OR(ISNUMBER(SEARCH("청암",IF(INDEX(GLAPS컨테이너배차관리!$CM:$CM,$B74)="","",INDEX(GLAPS컨테이너배차관리!$CM:$CM,$B74)))),ISNUMBER(SEARCH("SB청암",IF(INDEX(GLAPS컨테이너배차관리!$CM:$CM,$B74)="","",INDEX(GLAPS컨테이너배차관리!$CM:$CM,$B74))))),"청암신항",IF(INDEX(GLAPS컨테이너배차관리!$CM:$CM,$B74)="","",INDEX(GLAPS컨테이너배차관리!$CM:$CM,$B74))))))))</f>
        <v/>
      </c>
    </row>
    <row r="75" spans="1:28">
      <c r="A75">
        <v>74</v>
      </c>
      <c r="B75" t="str">
        <f>IFERROR(_xlfn.AGGREGATE(15,6,ROW(GLAPS컨테이너배차관리!$X$2:$X$20000)/(GLAPS컨테이너배차관리!$X$2:$X$20000&lt;&gt;""),A75),"")</f>
        <v/>
      </c>
      <c r="C75" t="str">
        <f>IF($B75="","",INT(IF(INDEX(GLAPS컨테이너배차관리!$K:$K,$B75)="","",INDEX(GLAPS컨테이너배차관리!$K:$K,$B75))))</f>
        <v/>
      </c>
      <c r="D75" t="str">
        <f>IF($B75="","",IF(ISNUMBER(SEARCH("이엘에스",IF(INDEX(GLAPS컨테이너배차관리!$AZ:$AZ,$B75)="","",INDEX(GLAPS컨테이너배차관리!$AZ:$AZ,$B75)))),"ELS솔루션",IF(INDEX(GLAPS컨테이너배차관리!$AZ:$AZ,$B75)="","",INDEX(GLAPS컨테이너배차관리!$AZ:$AZ,$B75))))</f>
        <v/>
      </c>
      <c r="E75" t="str">
        <f>IF($B75="","",IF(INDEX(GLAPS컨테이너배차관리!$L:$L,$B75)="","",INDEX(GLAPS컨테이너배차관리!$L:$L,$B75)))</f>
        <v/>
      </c>
      <c r="F75" t="str">
        <f>IF($B75="","",IF(HOUR(IF(INDEX(GLAPS컨테이너배차관리!$L:$L,$B75)="","",INDEX(GLAPS컨테이너배차관리!$L:$L,$B75)))&lt;12,"오전",IF(HOUR(IF(INDEX(GLAPS컨테이너배차관리!$L:$L,$B75)="","",INDEX(GLAPS컨테이너배차관리!$L:$L,$B75)))&lt;18,"오후","잔업")))</f>
        <v/>
      </c>
      <c r="G75" t="str">
        <f>IF($B75="","",IFERROR(INDEX(GLAPS정리!$G$3:$G$264,MATCH(IF(INDEX(GLAPS컨테이너배차관리!$BY:$BY,$B75)="","",INDEX(GLAPS컨테이너배차관리!$BY:$BY,$B75)),GLAPS정리!$H$3:$H$264,0)),TRIM(SUBSTITUTE(SUBSTITUTE(SUBSTITUTE(SUBSTITUTE(SUBSTITUTE(IF(INDEX(GLAPS컨테이너배차관리!$T:$T,$B75)="","",INDEX(GLAPS컨테이너배차관리!$T:$T,$B75)),"[GA]",""),"[GB]",""),"[GC]",""),"[KC]",""),"[GS]",""))))</f>
        <v/>
      </c>
      <c r="H75" t="str">
        <f>IF($B75="","",IFERROR(VLOOKUP(IF(INDEX(GLAPS컨테이너배차관리!$BY:$BY,$B75)="","",INDEX(GLAPS컨테이너배차관리!$BY:$BY,$B75)),GLAPS정리!$BT$3:$BV$200,3,0),""))</f>
        <v/>
      </c>
      <c r="I75" t="str">
        <f>IF($B75="","",LEFT(IF(INDEX(GLAPS컨테이너배차관리!$U:$U,$B75)="","",INDEX(GLAPS컨테이너배차관리!$U:$U,$B75)),FIND("/",IF(INDEX(GLAPS컨테이너배차관리!$U:$U,$B75)="","",INDEX(GLAPS컨테이너배차관리!$U:$U,$B75))&amp;"/")-1))</f>
        <v/>
      </c>
      <c r="J75" t="str">
        <f>IF($B75="","",IF(IF(INDEX(GLAPS컨테이너배차관리!$O:$O,$B75)="","",INDEX(GLAPS컨테이너배차관리!$O:$O,$B75))="EMC","EMA",IFERROR(INDEX(GLAPS정리!$A$2:$A$50,MATCH(IF(INDEX(GLAPS컨테이너배차관리!$O:$O,$B75)="","",INDEX(GLAPS컨테이너배차관리!$O:$O,$B75)),GLAPS정리!$D$2:$D$50,0)),IF(INDEX(GLAPS컨테이너배차관리!$O:$O,$B75)="","",INDEX(GLAPS컨테이너배차관리!$O:$O,$B75)))))</f>
        <v/>
      </c>
      <c r="K75" t="str">
        <f>IF($B75="","",IF(LEFT(IF(INDEX(GLAPS컨테이너배차관리!$Y:$Y,$B75)="","",INDEX(GLAPS컨테이너배차관리!$Y:$Y,$B75)),2)="22","20 Feet",IF(LEFT(IF(INDEX(GLAPS컨테이너배차관리!$Y:$Y,$B75)="","",INDEX(GLAPS컨테이너배차관리!$Y:$Y,$B75)),2)="42","40 Feet","40 Feet H")))</f>
        <v/>
      </c>
      <c r="L75" t="str">
        <f>IF($B75="","",IFERROR(INDEX(GLAPS정리!$BB$2:$BB$80,MATCH(IF(INDEX(GLAPS컨테이너배차관리!$BQ:$BQ,$B75)="","",INDEX(GLAPS컨테이너배차관리!$BQ:$BQ,$B75)),GLAPS정리!$BC$2:$BC$80,0)),IF(INDEX(GLAPS컨테이너배차관리!$BQ:$BQ,$B75)="","",INDEX(GLAPS컨테이너배차관리!$BQ:$BQ,$B75))))</f>
        <v/>
      </c>
      <c r="M75" t="str">
        <f>IF($B75="","",IFERROR(INDEX(GLAPS정리!$V$3:$V$180,MATCH(IF(INDEX(GLAPS컨테이너배차관리!$S:$S,$B75)="","",INDEX(GLAPS컨테이너배차관리!$S:$S,$B75)),GLAPS정리!$W$3:$W$180,0)),IF(INDEX(GLAPS컨테이너배차관리!$S:$S,$B75)="","",INDEX(GLAPS컨테이너배차관리!$S:$S,$B75))))</f>
        <v/>
      </c>
      <c r="N75" t="str">
        <f>IF($B75="","",IF(IF(INDEX(GLAPS컨테이너배차관리!$DF:$DF,$B75)="","",INDEX(GLAPS컨테이너배차관리!$DF:$DF,$B75))&lt;&gt;"",IF(INDEX(GLAPS컨테이너배차관리!$DF:$DF,$B75)="","",INDEX(GLAPS컨테이너배차관리!$DF:$DF,$B75)),IF(IF(INDEX(GLAPS컨테이너배차관리!$DG:$DG,$B75)="","",INDEX(GLAPS컨테이너배차관리!$DG:$DG,$B75))&lt;&gt;"",IF(INDEX(GLAPS컨테이너배차관리!$DG:$DG,$B75)="","",INDEX(GLAPS컨테이너배차관리!$DG:$DG,$B75)),"")))</f>
        <v/>
      </c>
      <c r="O75" t="str">
        <f>IF($B75="","",IF(INDEX(GLAPS컨테이너배차관리!$AB:$AB,$B75)="","",INDEX(GLAPS컨테이너배차관리!$AB:$AB,$B75)))</f>
        <v/>
      </c>
      <c r="P75" t="str">
        <f>IF($B75="","",IF(IF(INDEX(GLAPS컨테이너배차관리!$CP:$CP,$B75)="","",INDEX(GLAPS컨테이너배차관리!$CP:$CP,$B75))="","",IFERROR(INDEX(GLAPS정리!$BH$2:$BH$101,MATCH(IF(INDEX(GLAPS컨테이너배차관리!$CP:$CP,$B75)="","",INDEX(GLAPS컨테이너배차관리!$CP:$CP,$B75)),GLAPS정리!$BI$2:$BI$101,0)),IF(INDEX(GLAPS컨테이너배차관리!$CP:$CP,$B75)="","",INDEX(GLAPS컨테이너배차관리!$CP:$CP,$B75)))))</f>
        <v/>
      </c>
      <c r="Q75" t="str">
        <f>IF($B75="","",IF(AND(IF(INDEX(GLAPS컨테이너배차관리!$AK:$AK,$B75)="","",INDEX(GLAPS컨테이너배차관리!$AK:$AK,$B75))="Y",IF(INDEX(GLAPS컨테이너배차관리!$AI:$AI,$B75)="","",INDEX(GLAPS컨테이너배차관리!$AI:$AI,$B75))="Y"),"위험물리퍼",IF(IF(INDEX(GLAPS컨테이너배차관리!$AK:$AK,$B75)="","",INDEX(GLAPS컨테이너배차관리!$AK:$AK,$B75))="Y","위험물",IF(IF(INDEX(GLAPS컨테이너배차관리!$AI:$AI,$B75)="","",INDEX(GLAPS컨테이너배차관리!$AI:$AI,$B75))="Y","리퍼",""))))</f>
        <v/>
      </c>
      <c r="R75" t="str">
        <f>IF($B75="","",IF(LEFT(IF(INDEX(GLAPS컨테이너배차관리!$Y:$Y,$B75)="","",INDEX(GLAPS컨테이너배차관리!$Y:$Y,$B75)),2)="22",1,""))</f>
        <v/>
      </c>
      <c r="S75" t="str">
        <f>IF($B75="","",IF(LEFT(IF(INDEX(GLAPS컨테이너배차관리!$Y:$Y,$B75)="","",INDEX(GLAPS컨테이너배차관리!$Y:$Y,$B75)),2)="42",1,""))</f>
        <v/>
      </c>
      <c r="T75" t="str">
        <f>IF($B75="","",IF(LEFT(IF(INDEX(GLAPS컨테이너배차관리!$Y:$Y,$B75)="","",INDEX(GLAPS컨테이너배차관리!$Y:$Y,$B75)),2)="45",1,""))</f>
        <v/>
      </c>
      <c r="U75" t="str">
        <f>IF($B75="","",IF(INDEX(GLAPS컨테이너배차관리!$X:$X,$B75)="","",INDEX(GLAPS컨테이너배차관리!$X:$X,$B75)))</f>
        <v/>
      </c>
      <c r="V75" t="str">
        <f>IF($B75="","",IF(INDEX(GLAPS컨테이너배차관리!$Z:$Z,$B75)="","",INDEX(GLAPS컨테이너배차관리!$Z:$Z,$B75)))</f>
        <v/>
      </c>
      <c r="W75" t="str">
        <f>IF($B75="","",IF(IF(INDEX(GLAPS컨테이너배차관리!$DI:$DI,$B75)="","",INDEX(GLAPS컨테이너배차관리!$DI:$DI,$B75))&lt;&gt;"",IF(INDEX(GLAPS컨테이너배차관리!$DI:$DI,$B75)="","",INDEX(GLAPS컨테이너배차관리!$DI:$DI,$B75)),IF(IF(INDEX(GLAPS컨테이너배차관리!$DJ:$DJ,$B75)="","",INDEX(GLAPS컨테이너배차관리!$DJ:$DJ,$B75))&lt;&gt;"",IF(INDEX(GLAPS컨테이너배차관리!$DJ:$DJ,$B75)="","",INDEX(GLAPS컨테이너배차관리!$DJ:$DJ,$B75)),IF(IF(INDEX(GLAPS컨테이너배차관리!$DK:$DK,$B75)="","",INDEX(GLAPS컨테이너배차관리!$DK:$DK,$B75))&lt;&gt;"",IF(INDEX(GLAPS컨테이너배차관리!$DK:$DK,$B75)="","",INDEX(GLAPS컨테이너배차관리!$DK:$DK,$B75)),IF(IF(INDEX(GLAPS컨테이너배차관리!$DL:$DL,$B75)="","",INDEX(GLAPS컨테이너배차관리!$DL:$DL,$B75))&lt;&gt;"",IF(INDEX(GLAPS컨테이너배차관리!$DL:$DL,$B75)="","",INDEX(GLAPS컨테이너배차관리!$DL:$DL,$B75)),IF(IF(INDEX(GLAPS컨테이너배차관리!$DM:$DM,$B75)="","",INDEX(GLAPS컨테이너배차관리!$DM:$DM,$B75))&lt;&gt;"",IF(INDEX(GLAPS컨테이너배차관리!$DM:$DM,$B75)="","",INDEX(GLAPS컨테이너배차관리!$DM:$DM,$B75)),""))))))</f>
        <v/>
      </c>
      <c r="X75" t="str">
        <f>IF($B75="","",IF(INDEX(GLAPS컨테이너배차관리!$F:$F,$B75)="","",INDEX(GLAPS컨테이너배차관리!$F:$F,$B75)))</f>
        <v/>
      </c>
      <c r="Y75" t="str">
        <f>IF($B75="","",IF(IF(INDEX(GLAPS컨테이너배차관리!$M:$M,$B75)="","",INDEX(GLAPS컨테이너배차관리!$M:$M,$B75))&lt;&gt;"",IF(INDEX(GLAPS컨테이너배차관리!$M:$M,$B75)="","",INDEX(GLAPS컨테이너배차관리!$M:$M,$B75)),IF(IF(INDEX(GLAPS컨테이너배차관리!$N:$N,$B75)="","",INDEX(GLAPS컨테이너배차관리!$N:$N,$B75))&lt;&gt;"",IF(INDEX(GLAPS컨테이너배차관리!$N:$N,$B75)="","",INDEX(GLAPS컨테이너배차관리!$N:$N,$B75)),"")))</f>
        <v/>
      </c>
      <c r="Z75" t="str">
        <f>IF($B75="","",IF(IF(INDEX(GLAPS컨테이너배차관리!$CU:$CU,$B75)="","",INDEX(GLAPS컨테이너배차관리!$CU:$CU,$B75))="","",IFERROR(INT(IF(INDEX(GLAPS컨테이너배차관리!$CU:$CU,$B75)="","",INDEX(GLAPS컨테이너배차관리!$CU:$CU,$B75))),"")))</f>
        <v/>
      </c>
      <c r="AA75" t="str">
        <f>IF($B75="","",IF(AND(IF(INDEX(GLAPS컨테이너배차관리!$CL:$CL,$B75)="","",INDEX(GLAPS컨테이너배차관리!$CL:$CL,$B75))="",IF(INDEX(GLAPS컨테이너배차관리!$CM:$CM,$B75)="","",INDEX(GLAPS컨테이너배차관리!$CM:$CM,$B75))=""),"",IF(OR(IF(INDEX(GLAPS컨테이너배차관리!$CL:$CL,$B75)="","",INDEX(GLAPS컨테이너배차관리!$CL:$CL,$B75))="B000016649",ISNUMBER(SEARCH("B015",IF(INDEX(GLAPS컨테이너배차관리!$CM:$CM,$B75)="","",INDEX(GLAPS컨테이너배차관리!$CM:$CM,$B75)))),ISNUMBER(SEARCH("세방",IF(INDEX(GLAPS컨테이너배차관리!$CM:$CM,$B75)="","",INDEX(GLAPS컨테이너배차관리!$CM:$CM,$B75)))),ISNUMBER(SEARCH("SB",IF(INDEX(GLAPS컨테이너배차관리!$CM:$CM,$B75)="","",INDEX(GLAPS컨테이너배차관리!$CM:$CM,$B75))))),"세방","")))</f>
        <v/>
      </c>
      <c r="AB75" t="str">
        <f>IF($B75="","",IF(IF(INDEX(GLAPS컨테이너배차관리!$CM:$CM,$B75)="","",INDEX(GLAPS컨테이너배차관리!$CM:$CM,$B75))="","",IF(ISNUMBER(SEARCH("이지스두동",IF(INDEX(GLAPS컨테이너배차관리!$CM:$CM,$B75)="","",INDEX(GLAPS컨테이너배차관리!$CM:$CM,$B75)))),"이지스두동",IF(ISNUMBER(SEARCH("이지스녹산",IF(INDEX(GLAPS컨테이너배차관리!$CM:$CM,$B75)="","",INDEX(GLAPS컨테이너배차관리!$CM:$CM,$B75)))),"이지스녹산",IF(ISNUMBER(SEARCH("천우",IF(INDEX(GLAPS컨테이너배차관리!$CM:$CM,$B75)="","",INDEX(GLAPS컨테이너배차관리!$CM:$CM,$B75)))),"천우",IF(OR(ISNUMBER(SEARCH("청암",IF(INDEX(GLAPS컨테이너배차관리!$CM:$CM,$B75)="","",INDEX(GLAPS컨테이너배차관리!$CM:$CM,$B75)))),ISNUMBER(SEARCH("SB청암",IF(INDEX(GLAPS컨테이너배차관리!$CM:$CM,$B75)="","",INDEX(GLAPS컨테이너배차관리!$CM:$CM,$B75))))),"청암신항",IF(INDEX(GLAPS컨테이너배차관리!$CM:$CM,$B75)="","",INDEX(GLAPS컨테이너배차관리!$CM:$CM,$B75))))))))</f>
        <v/>
      </c>
    </row>
    <row r="76" spans="1:28">
      <c r="A76">
        <v>75</v>
      </c>
      <c r="B76" t="str">
        <f>IFERROR(_xlfn.AGGREGATE(15,6,ROW(GLAPS컨테이너배차관리!$X$2:$X$20000)/(GLAPS컨테이너배차관리!$X$2:$X$20000&lt;&gt;""),A76),"")</f>
        <v/>
      </c>
      <c r="C76" t="str">
        <f>IF($B76="","",INT(IF(INDEX(GLAPS컨테이너배차관리!$K:$K,$B76)="","",INDEX(GLAPS컨테이너배차관리!$K:$K,$B76))))</f>
        <v/>
      </c>
      <c r="D76" t="str">
        <f>IF($B76="","",IF(ISNUMBER(SEARCH("이엘에스",IF(INDEX(GLAPS컨테이너배차관리!$AZ:$AZ,$B76)="","",INDEX(GLAPS컨테이너배차관리!$AZ:$AZ,$B76)))),"ELS솔루션",IF(INDEX(GLAPS컨테이너배차관리!$AZ:$AZ,$B76)="","",INDEX(GLAPS컨테이너배차관리!$AZ:$AZ,$B76))))</f>
        <v/>
      </c>
      <c r="E76" t="str">
        <f>IF($B76="","",IF(INDEX(GLAPS컨테이너배차관리!$L:$L,$B76)="","",INDEX(GLAPS컨테이너배차관리!$L:$L,$B76)))</f>
        <v/>
      </c>
      <c r="F76" t="str">
        <f>IF($B76="","",IF(HOUR(IF(INDEX(GLAPS컨테이너배차관리!$L:$L,$B76)="","",INDEX(GLAPS컨테이너배차관리!$L:$L,$B76)))&lt;12,"오전",IF(HOUR(IF(INDEX(GLAPS컨테이너배차관리!$L:$L,$B76)="","",INDEX(GLAPS컨테이너배차관리!$L:$L,$B76)))&lt;18,"오후","잔업")))</f>
        <v/>
      </c>
      <c r="G76" t="str">
        <f>IF($B76="","",IFERROR(INDEX(GLAPS정리!$G$3:$G$264,MATCH(IF(INDEX(GLAPS컨테이너배차관리!$BY:$BY,$B76)="","",INDEX(GLAPS컨테이너배차관리!$BY:$BY,$B76)),GLAPS정리!$H$3:$H$264,0)),TRIM(SUBSTITUTE(SUBSTITUTE(SUBSTITUTE(SUBSTITUTE(SUBSTITUTE(IF(INDEX(GLAPS컨테이너배차관리!$T:$T,$B76)="","",INDEX(GLAPS컨테이너배차관리!$T:$T,$B76)),"[GA]",""),"[GB]",""),"[GC]",""),"[KC]",""),"[GS]",""))))</f>
        <v/>
      </c>
      <c r="H76" t="str">
        <f>IF($B76="","",IFERROR(VLOOKUP(IF(INDEX(GLAPS컨테이너배차관리!$BY:$BY,$B76)="","",INDEX(GLAPS컨테이너배차관리!$BY:$BY,$B76)),GLAPS정리!$BT$3:$BV$200,3,0),""))</f>
        <v/>
      </c>
      <c r="I76" t="str">
        <f>IF($B76="","",LEFT(IF(INDEX(GLAPS컨테이너배차관리!$U:$U,$B76)="","",INDEX(GLAPS컨테이너배차관리!$U:$U,$B76)),FIND("/",IF(INDEX(GLAPS컨테이너배차관리!$U:$U,$B76)="","",INDEX(GLAPS컨테이너배차관리!$U:$U,$B76))&amp;"/")-1))</f>
        <v/>
      </c>
      <c r="J76" t="str">
        <f>IF($B76="","",IF(IF(INDEX(GLAPS컨테이너배차관리!$O:$O,$B76)="","",INDEX(GLAPS컨테이너배차관리!$O:$O,$B76))="EMC","EMA",IFERROR(INDEX(GLAPS정리!$A$2:$A$50,MATCH(IF(INDEX(GLAPS컨테이너배차관리!$O:$O,$B76)="","",INDEX(GLAPS컨테이너배차관리!$O:$O,$B76)),GLAPS정리!$D$2:$D$50,0)),IF(INDEX(GLAPS컨테이너배차관리!$O:$O,$B76)="","",INDEX(GLAPS컨테이너배차관리!$O:$O,$B76)))))</f>
        <v/>
      </c>
      <c r="K76" t="str">
        <f>IF($B76="","",IF(LEFT(IF(INDEX(GLAPS컨테이너배차관리!$Y:$Y,$B76)="","",INDEX(GLAPS컨테이너배차관리!$Y:$Y,$B76)),2)="22","20 Feet",IF(LEFT(IF(INDEX(GLAPS컨테이너배차관리!$Y:$Y,$B76)="","",INDEX(GLAPS컨테이너배차관리!$Y:$Y,$B76)),2)="42","40 Feet","40 Feet H")))</f>
        <v/>
      </c>
      <c r="L76" t="str">
        <f>IF($B76="","",IFERROR(INDEX(GLAPS정리!$BB$2:$BB$80,MATCH(IF(INDEX(GLAPS컨테이너배차관리!$BQ:$BQ,$B76)="","",INDEX(GLAPS컨테이너배차관리!$BQ:$BQ,$B76)),GLAPS정리!$BC$2:$BC$80,0)),IF(INDEX(GLAPS컨테이너배차관리!$BQ:$BQ,$B76)="","",INDEX(GLAPS컨테이너배차관리!$BQ:$BQ,$B76))))</f>
        <v/>
      </c>
      <c r="M76" t="str">
        <f>IF($B76="","",IFERROR(INDEX(GLAPS정리!$V$3:$V$180,MATCH(IF(INDEX(GLAPS컨테이너배차관리!$S:$S,$B76)="","",INDEX(GLAPS컨테이너배차관리!$S:$S,$B76)),GLAPS정리!$W$3:$W$180,0)),IF(INDEX(GLAPS컨테이너배차관리!$S:$S,$B76)="","",INDEX(GLAPS컨테이너배차관리!$S:$S,$B76))))</f>
        <v/>
      </c>
      <c r="N76" t="str">
        <f>IF($B76="","",IF(IF(INDEX(GLAPS컨테이너배차관리!$DF:$DF,$B76)="","",INDEX(GLAPS컨테이너배차관리!$DF:$DF,$B76))&lt;&gt;"",IF(INDEX(GLAPS컨테이너배차관리!$DF:$DF,$B76)="","",INDEX(GLAPS컨테이너배차관리!$DF:$DF,$B76)),IF(IF(INDEX(GLAPS컨테이너배차관리!$DG:$DG,$B76)="","",INDEX(GLAPS컨테이너배차관리!$DG:$DG,$B76))&lt;&gt;"",IF(INDEX(GLAPS컨테이너배차관리!$DG:$DG,$B76)="","",INDEX(GLAPS컨테이너배차관리!$DG:$DG,$B76)),"")))</f>
        <v/>
      </c>
      <c r="O76" t="str">
        <f>IF($B76="","",IF(INDEX(GLAPS컨테이너배차관리!$AB:$AB,$B76)="","",INDEX(GLAPS컨테이너배차관리!$AB:$AB,$B76)))</f>
        <v/>
      </c>
      <c r="P76" t="str">
        <f>IF($B76="","",IF(IF(INDEX(GLAPS컨테이너배차관리!$CP:$CP,$B76)="","",INDEX(GLAPS컨테이너배차관리!$CP:$CP,$B76))="","",IFERROR(INDEX(GLAPS정리!$BH$2:$BH$101,MATCH(IF(INDEX(GLAPS컨테이너배차관리!$CP:$CP,$B76)="","",INDEX(GLAPS컨테이너배차관리!$CP:$CP,$B76)),GLAPS정리!$BI$2:$BI$101,0)),IF(INDEX(GLAPS컨테이너배차관리!$CP:$CP,$B76)="","",INDEX(GLAPS컨테이너배차관리!$CP:$CP,$B76)))))</f>
        <v/>
      </c>
      <c r="Q76" t="str">
        <f>IF($B76="","",IF(AND(IF(INDEX(GLAPS컨테이너배차관리!$AK:$AK,$B76)="","",INDEX(GLAPS컨테이너배차관리!$AK:$AK,$B76))="Y",IF(INDEX(GLAPS컨테이너배차관리!$AI:$AI,$B76)="","",INDEX(GLAPS컨테이너배차관리!$AI:$AI,$B76))="Y"),"위험물리퍼",IF(IF(INDEX(GLAPS컨테이너배차관리!$AK:$AK,$B76)="","",INDEX(GLAPS컨테이너배차관리!$AK:$AK,$B76))="Y","위험물",IF(IF(INDEX(GLAPS컨테이너배차관리!$AI:$AI,$B76)="","",INDEX(GLAPS컨테이너배차관리!$AI:$AI,$B76))="Y","리퍼",""))))</f>
        <v/>
      </c>
      <c r="R76" t="str">
        <f>IF($B76="","",IF(LEFT(IF(INDEX(GLAPS컨테이너배차관리!$Y:$Y,$B76)="","",INDEX(GLAPS컨테이너배차관리!$Y:$Y,$B76)),2)="22",1,""))</f>
        <v/>
      </c>
      <c r="S76" t="str">
        <f>IF($B76="","",IF(LEFT(IF(INDEX(GLAPS컨테이너배차관리!$Y:$Y,$B76)="","",INDEX(GLAPS컨테이너배차관리!$Y:$Y,$B76)),2)="42",1,""))</f>
        <v/>
      </c>
      <c r="T76" t="str">
        <f>IF($B76="","",IF(LEFT(IF(INDEX(GLAPS컨테이너배차관리!$Y:$Y,$B76)="","",INDEX(GLAPS컨테이너배차관리!$Y:$Y,$B76)),2)="45",1,""))</f>
        <v/>
      </c>
      <c r="U76" t="str">
        <f>IF($B76="","",IF(INDEX(GLAPS컨테이너배차관리!$X:$X,$B76)="","",INDEX(GLAPS컨테이너배차관리!$X:$X,$B76)))</f>
        <v/>
      </c>
      <c r="V76" t="str">
        <f>IF($B76="","",IF(INDEX(GLAPS컨테이너배차관리!$Z:$Z,$B76)="","",INDEX(GLAPS컨테이너배차관리!$Z:$Z,$B76)))</f>
        <v/>
      </c>
      <c r="W76" t="str">
        <f>IF($B76="","",IF(IF(INDEX(GLAPS컨테이너배차관리!$DI:$DI,$B76)="","",INDEX(GLAPS컨테이너배차관리!$DI:$DI,$B76))&lt;&gt;"",IF(INDEX(GLAPS컨테이너배차관리!$DI:$DI,$B76)="","",INDEX(GLAPS컨테이너배차관리!$DI:$DI,$B76)),IF(IF(INDEX(GLAPS컨테이너배차관리!$DJ:$DJ,$B76)="","",INDEX(GLAPS컨테이너배차관리!$DJ:$DJ,$B76))&lt;&gt;"",IF(INDEX(GLAPS컨테이너배차관리!$DJ:$DJ,$B76)="","",INDEX(GLAPS컨테이너배차관리!$DJ:$DJ,$B76)),IF(IF(INDEX(GLAPS컨테이너배차관리!$DK:$DK,$B76)="","",INDEX(GLAPS컨테이너배차관리!$DK:$DK,$B76))&lt;&gt;"",IF(INDEX(GLAPS컨테이너배차관리!$DK:$DK,$B76)="","",INDEX(GLAPS컨테이너배차관리!$DK:$DK,$B76)),IF(IF(INDEX(GLAPS컨테이너배차관리!$DL:$DL,$B76)="","",INDEX(GLAPS컨테이너배차관리!$DL:$DL,$B76))&lt;&gt;"",IF(INDEX(GLAPS컨테이너배차관리!$DL:$DL,$B76)="","",INDEX(GLAPS컨테이너배차관리!$DL:$DL,$B76)),IF(IF(INDEX(GLAPS컨테이너배차관리!$DM:$DM,$B76)="","",INDEX(GLAPS컨테이너배차관리!$DM:$DM,$B76))&lt;&gt;"",IF(INDEX(GLAPS컨테이너배차관리!$DM:$DM,$B76)="","",INDEX(GLAPS컨테이너배차관리!$DM:$DM,$B76)),""))))))</f>
        <v/>
      </c>
      <c r="X76" t="str">
        <f>IF($B76="","",IF(INDEX(GLAPS컨테이너배차관리!$F:$F,$B76)="","",INDEX(GLAPS컨테이너배차관리!$F:$F,$B76)))</f>
        <v/>
      </c>
      <c r="Y76" t="str">
        <f>IF($B76="","",IF(IF(INDEX(GLAPS컨테이너배차관리!$M:$M,$B76)="","",INDEX(GLAPS컨테이너배차관리!$M:$M,$B76))&lt;&gt;"",IF(INDEX(GLAPS컨테이너배차관리!$M:$M,$B76)="","",INDEX(GLAPS컨테이너배차관리!$M:$M,$B76)),IF(IF(INDEX(GLAPS컨테이너배차관리!$N:$N,$B76)="","",INDEX(GLAPS컨테이너배차관리!$N:$N,$B76))&lt;&gt;"",IF(INDEX(GLAPS컨테이너배차관리!$N:$N,$B76)="","",INDEX(GLAPS컨테이너배차관리!$N:$N,$B76)),"")))</f>
        <v/>
      </c>
      <c r="Z76" t="str">
        <f>IF($B76="","",IF(IF(INDEX(GLAPS컨테이너배차관리!$CU:$CU,$B76)="","",INDEX(GLAPS컨테이너배차관리!$CU:$CU,$B76))="","",IFERROR(INT(IF(INDEX(GLAPS컨테이너배차관리!$CU:$CU,$B76)="","",INDEX(GLAPS컨테이너배차관리!$CU:$CU,$B76))),"")))</f>
        <v/>
      </c>
      <c r="AA76" t="str">
        <f>IF($B76="","",IF(AND(IF(INDEX(GLAPS컨테이너배차관리!$CL:$CL,$B76)="","",INDEX(GLAPS컨테이너배차관리!$CL:$CL,$B76))="",IF(INDEX(GLAPS컨테이너배차관리!$CM:$CM,$B76)="","",INDEX(GLAPS컨테이너배차관리!$CM:$CM,$B76))=""),"",IF(OR(IF(INDEX(GLAPS컨테이너배차관리!$CL:$CL,$B76)="","",INDEX(GLAPS컨테이너배차관리!$CL:$CL,$B76))="B000016649",ISNUMBER(SEARCH("B015",IF(INDEX(GLAPS컨테이너배차관리!$CM:$CM,$B76)="","",INDEX(GLAPS컨테이너배차관리!$CM:$CM,$B76)))),ISNUMBER(SEARCH("세방",IF(INDEX(GLAPS컨테이너배차관리!$CM:$CM,$B76)="","",INDEX(GLAPS컨테이너배차관리!$CM:$CM,$B76)))),ISNUMBER(SEARCH("SB",IF(INDEX(GLAPS컨테이너배차관리!$CM:$CM,$B76)="","",INDEX(GLAPS컨테이너배차관리!$CM:$CM,$B76))))),"세방","")))</f>
        <v/>
      </c>
      <c r="AB76" t="str">
        <f>IF($B76="","",IF(IF(INDEX(GLAPS컨테이너배차관리!$CM:$CM,$B76)="","",INDEX(GLAPS컨테이너배차관리!$CM:$CM,$B76))="","",IF(ISNUMBER(SEARCH("이지스두동",IF(INDEX(GLAPS컨테이너배차관리!$CM:$CM,$B76)="","",INDEX(GLAPS컨테이너배차관리!$CM:$CM,$B76)))),"이지스두동",IF(ISNUMBER(SEARCH("이지스녹산",IF(INDEX(GLAPS컨테이너배차관리!$CM:$CM,$B76)="","",INDEX(GLAPS컨테이너배차관리!$CM:$CM,$B76)))),"이지스녹산",IF(ISNUMBER(SEARCH("천우",IF(INDEX(GLAPS컨테이너배차관리!$CM:$CM,$B76)="","",INDEX(GLAPS컨테이너배차관리!$CM:$CM,$B76)))),"천우",IF(OR(ISNUMBER(SEARCH("청암",IF(INDEX(GLAPS컨테이너배차관리!$CM:$CM,$B76)="","",INDEX(GLAPS컨테이너배차관리!$CM:$CM,$B76)))),ISNUMBER(SEARCH("SB청암",IF(INDEX(GLAPS컨테이너배차관리!$CM:$CM,$B76)="","",INDEX(GLAPS컨테이너배차관리!$CM:$CM,$B76))))),"청암신항",IF(INDEX(GLAPS컨테이너배차관리!$CM:$CM,$B76)="","",INDEX(GLAPS컨테이너배차관리!$CM:$CM,$B76))))))))</f>
        <v/>
      </c>
    </row>
    <row r="77" spans="1:28">
      <c r="A77">
        <v>76</v>
      </c>
      <c r="B77" t="str">
        <f>IFERROR(_xlfn.AGGREGATE(15,6,ROW(GLAPS컨테이너배차관리!$X$2:$X$20000)/(GLAPS컨테이너배차관리!$X$2:$X$20000&lt;&gt;""),A77),"")</f>
        <v/>
      </c>
      <c r="C77" t="str">
        <f>IF($B77="","",INT(IF(INDEX(GLAPS컨테이너배차관리!$K:$K,$B77)="","",INDEX(GLAPS컨테이너배차관리!$K:$K,$B77))))</f>
        <v/>
      </c>
      <c r="D77" t="str">
        <f>IF($B77="","",IF(ISNUMBER(SEARCH("이엘에스",IF(INDEX(GLAPS컨테이너배차관리!$AZ:$AZ,$B77)="","",INDEX(GLAPS컨테이너배차관리!$AZ:$AZ,$B77)))),"ELS솔루션",IF(INDEX(GLAPS컨테이너배차관리!$AZ:$AZ,$B77)="","",INDEX(GLAPS컨테이너배차관리!$AZ:$AZ,$B77))))</f>
        <v/>
      </c>
      <c r="E77" t="str">
        <f>IF($B77="","",IF(INDEX(GLAPS컨테이너배차관리!$L:$L,$B77)="","",INDEX(GLAPS컨테이너배차관리!$L:$L,$B77)))</f>
        <v/>
      </c>
      <c r="F77" t="str">
        <f>IF($B77="","",IF(HOUR(IF(INDEX(GLAPS컨테이너배차관리!$L:$L,$B77)="","",INDEX(GLAPS컨테이너배차관리!$L:$L,$B77)))&lt;12,"오전",IF(HOUR(IF(INDEX(GLAPS컨테이너배차관리!$L:$L,$B77)="","",INDEX(GLAPS컨테이너배차관리!$L:$L,$B77)))&lt;18,"오후","잔업")))</f>
        <v/>
      </c>
      <c r="G77" t="str">
        <f>IF($B77="","",IFERROR(INDEX(GLAPS정리!$G$3:$G$264,MATCH(IF(INDEX(GLAPS컨테이너배차관리!$BY:$BY,$B77)="","",INDEX(GLAPS컨테이너배차관리!$BY:$BY,$B77)),GLAPS정리!$H$3:$H$264,0)),TRIM(SUBSTITUTE(SUBSTITUTE(SUBSTITUTE(SUBSTITUTE(SUBSTITUTE(IF(INDEX(GLAPS컨테이너배차관리!$T:$T,$B77)="","",INDEX(GLAPS컨테이너배차관리!$T:$T,$B77)),"[GA]",""),"[GB]",""),"[GC]",""),"[KC]",""),"[GS]",""))))</f>
        <v/>
      </c>
      <c r="H77" t="str">
        <f>IF($B77="","",IFERROR(VLOOKUP(IF(INDEX(GLAPS컨테이너배차관리!$BY:$BY,$B77)="","",INDEX(GLAPS컨테이너배차관리!$BY:$BY,$B77)),GLAPS정리!$BT$3:$BV$200,3,0),""))</f>
        <v/>
      </c>
      <c r="I77" t="str">
        <f>IF($B77="","",LEFT(IF(INDEX(GLAPS컨테이너배차관리!$U:$U,$B77)="","",INDEX(GLAPS컨테이너배차관리!$U:$U,$B77)),FIND("/",IF(INDEX(GLAPS컨테이너배차관리!$U:$U,$B77)="","",INDEX(GLAPS컨테이너배차관리!$U:$U,$B77))&amp;"/")-1))</f>
        <v/>
      </c>
      <c r="J77" t="str">
        <f>IF($B77="","",IF(IF(INDEX(GLAPS컨테이너배차관리!$O:$O,$B77)="","",INDEX(GLAPS컨테이너배차관리!$O:$O,$B77))="EMC","EMA",IFERROR(INDEX(GLAPS정리!$A$2:$A$50,MATCH(IF(INDEX(GLAPS컨테이너배차관리!$O:$O,$B77)="","",INDEX(GLAPS컨테이너배차관리!$O:$O,$B77)),GLAPS정리!$D$2:$D$50,0)),IF(INDEX(GLAPS컨테이너배차관리!$O:$O,$B77)="","",INDEX(GLAPS컨테이너배차관리!$O:$O,$B77)))))</f>
        <v/>
      </c>
      <c r="K77" t="str">
        <f>IF($B77="","",IF(LEFT(IF(INDEX(GLAPS컨테이너배차관리!$Y:$Y,$B77)="","",INDEX(GLAPS컨테이너배차관리!$Y:$Y,$B77)),2)="22","20 Feet",IF(LEFT(IF(INDEX(GLAPS컨테이너배차관리!$Y:$Y,$B77)="","",INDEX(GLAPS컨테이너배차관리!$Y:$Y,$B77)),2)="42","40 Feet","40 Feet H")))</f>
        <v/>
      </c>
      <c r="L77" t="str">
        <f>IF($B77="","",IFERROR(INDEX(GLAPS정리!$BB$2:$BB$80,MATCH(IF(INDEX(GLAPS컨테이너배차관리!$BQ:$BQ,$B77)="","",INDEX(GLAPS컨테이너배차관리!$BQ:$BQ,$B77)),GLAPS정리!$BC$2:$BC$80,0)),IF(INDEX(GLAPS컨테이너배차관리!$BQ:$BQ,$B77)="","",INDEX(GLAPS컨테이너배차관리!$BQ:$BQ,$B77))))</f>
        <v/>
      </c>
      <c r="M77" t="str">
        <f>IF($B77="","",IFERROR(INDEX(GLAPS정리!$V$3:$V$180,MATCH(IF(INDEX(GLAPS컨테이너배차관리!$S:$S,$B77)="","",INDEX(GLAPS컨테이너배차관리!$S:$S,$B77)),GLAPS정리!$W$3:$W$180,0)),IF(INDEX(GLAPS컨테이너배차관리!$S:$S,$B77)="","",INDEX(GLAPS컨테이너배차관리!$S:$S,$B77))))</f>
        <v/>
      </c>
      <c r="N77" t="str">
        <f>IF($B77="","",IF(IF(INDEX(GLAPS컨테이너배차관리!$DF:$DF,$B77)="","",INDEX(GLAPS컨테이너배차관리!$DF:$DF,$B77))&lt;&gt;"",IF(INDEX(GLAPS컨테이너배차관리!$DF:$DF,$B77)="","",INDEX(GLAPS컨테이너배차관리!$DF:$DF,$B77)),IF(IF(INDEX(GLAPS컨테이너배차관리!$DG:$DG,$B77)="","",INDEX(GLAPS컨테이너배차관리!$DG:$DG,$B77))&lt;&gt;"",IF(INDEX(GLAPS컨테이너배차관리!$DG:$DG,$B77)="","",INDEX(GLAPS컨테이너배차관리!$DG:$DG,$B77)),"")))</f>
        <v/>
      </c>
      <c r="O77" t="str">
        <f>IF($B77="","",IF(INDEX(GLAPS컨테이너배차관리!$AB:$AB,$B77)="","",INDEX(GLAPS컨테이너배차관리!$AB:$AB,$B77)))</f>
        <v/>
      </c>
      <c r="P77" t="str">
        <f>IF($B77="","",IF(IF(INDEX(GLAPS컨테이너배차관리!$CP:$CP,$B77)="","",INDEX(GLAPS컨테이너배차관리!$CP:$CP,$B77))="","",IFERROR(INDEX(GLAPS정리!$BH$2:$BH$101,MATCH(IF(INDEX(GLAPS컨테이너배차관리!$CP:$CP,$B77)="","",INDEX(GLAPS컨테이너배차관리!$CP:$CP,$B77)),GLAPS정리!$BI$2:$BI$101,0)),IF(INDEX(GLAPS컨테이너배차관리!$CP:$CP,$B77)="","",INDEX(GLAPS컨테이너배차관리!$CP:$CP,$B77)))))</f>
        <v/>
      </c>
      <c r="Q77" t="str">
        <f>IF($B77="","",IF(AND(IF(INDEX(GLAPS컨테이너배차관리!$AK:$AK,$B77)="","",INDEX(GLAPS컨테이너배차관리!$AK:$AK,$B77))="Y",IF(INDEX(GLAPS컨테이너배차관리!$AI:$AI,$B77)="","",INDEX(GLAPS컨테이너배차관리!$AI:$AI,$B77))="Y"),"위험물리퍼",IF(IF(INDEX(GLAPS컨테이너배차관리!$AK:$AK,$B77)="","",INDEX(GLAPS컨테이너배차관리!$AK:$AK,$B77))="Y","위험물",IF(IF(INDEX(GLAPS컨테이너배차관리!$AI:$AI,$B77)="","",INDEX(GLAPS컨테이너배차관리!$AI:$AI,$B77))="Y","리퍼",""))))</f>
        <v/>
      </c>
      <c r="R77" t="str">
        <f>IF($B77="","",IF(LEFT(IF(INDEX(GLAPS컨테이너배차관리!$Y:$Y,$B77)="","",INDEX(GLAPS컨테이너배차관리!$Y:$Y,$B77)),2)="22",1,""))</f>
        <v/>
      </c>
      <c r="S77" t="str">
        <f>IF($B77="","",IF(LEFT(IF(INDEX(GLAPS컨테이너배차관리!$Y:$Y,$B77)="","",INDEX(GLAPS컨테이너배차관리!$Y:$Y,$B77)),2)="42",1,""))</f>
        <v/>
      </c>
      <c r="T77" t="str">
        <f>IF($B77="","",IF(LEFT(IF(INDEX(GLAPS컨테이너배차관리!$Y:$Y,$B77)="","",INDEX(GLAPS컨테이너배차관리!$Y:$Y,$B77)),2)="45",1,""))</f>
        <v/>
      </c>
      <c r="U77" t="str">
        <f>IF($B77="","",IF(INDEX(GLAPS컨테이너배차관리!$X:$X,$B77)="","",INDEX(GLAPS컨테이너배차관리!$X:$X,$B77)))</f>
        <v/>
      </c>
      <c r="V77" t="str">
        <f>IF($B77="","",IF(INDEX(GLAPS컨테이너배차관리!$Z:$Z,$B77)="","",INDEX(GLAPS컨테이너배차관리!$Z:$Z,$B77)))</f>
        <v/>
      </c>
      <c r="W77" t="str">
        <f>IF($B77="","",IF(IF(INDEX(GLAPS컨테이너배차관리!$DI:$DI,$B77)="","",INDEX(GLAPS컨테이너배차관리!$DI:$DI,$B77))&lt;&gt;"",IF(INDEX(GLAPS컨테이너배차관리!$DI:$DI,$B77)="","",INDEX(GLAPS컨테이너배차관리!$DI:$DI,$B77)),IF(IF(INDEX(GLAPS컨테이너배차관리!$DJ:$DJ,$B77)="","",INDEX(GLAPS컨테이너배차관리!$DJ:$DJ,$B77))&lt;&gt;"",IF(INDEX(GLAPS컨테이너배차관리!$DJ:$DJ,$B77)="","",INDEX(GLAPS컨테이너배차관리!$DJ:$DJ,$B77)),IF(IF(INDEX(GLAPS컨테이너배차관리!$DK:$DK,$B77)="","",INDEX(GLAPS컨테이너배차관리!$DK:$DK,$B77))&lt;&gt;"",IF(INDEX(GLAPS컨테이너배차관리!$DK:$DK,$B77)="","",INDEX(GLAPS컨테이너배차관리!$DK:$DK,$B77)),IF(IF(INDEX(GLAPS컨테이너배차관리!$DL:$DL,$B77)="","",INDEX(GLAPS컨테이너배차관리!$DL:$DL,$B77))&lt;&gt;"",IF(INDEX(GLAPS컨테이너배차관리!$DL:$DL,$B77)="","",INDEX(GLAPS컨테이너배차관리!$DL:$DL,$B77)),IF(IF(INDEX(GLAPS컨테이너배차관리!$DM:$DM,$B77)="","",INDEX(GLAPS컨테이너배차관리!$DM:$DM,$B77))&lt;&gt;"",IF(INDEX(GLAPS컨테이너배차관리!$DM:$DM,$B77)="","",INDEX(GLAPS컨테이너배차관리!$DM:$DM,$B77)),""))))))</f>
        <v/>
      </c>
      <c r="X77" t="str">
        <f>IF($B77="","",IF(INDEX(GLAPS컨테이너배차관리!$F:$F,$B77)="","",INDEX(GLAPS컨테이너배차관리!$F:$F,$B77)))</f>
        <v/>
      </c>
      <c r="Y77" t="str">
        <f>IF($B77="","",IF(IF(INDEX(GLAPS컨테이너배차관리!$M:$M,$B77)="","",INDEX(GLAPS컨테이너배차관리!$M:$M,$B77))&lt;&gt;"",IF(INDEX(GLAPS컨테이너배차관리!$M:$M,$B77)="","",INDEX(GLAPS컨테이너배차관리!$M:$M,$B77)),IF(IF(INDEX(GLAPS컨테이너배차관리!$N:$N,$B77)="","",INDEX(GLAPS컨테이너배차관리!$N:$N,$B77))&lt;&gt;"",IF(INDEX(GLAPS컨테이너배차관리!$N:$N,$B77)="","",INDEX(GLAPS컨테이너배차관리!$N:$N,$B77)),"")))</f>
        <v/>
      </c>
      <c r="Z77" t="str">
        <f>IF($B77="","",IF(IF(INDEX(GLAPS컨테이너배차관리!$CU:$CU,$B77)="","",INDEX(GLAPS컨테이너배차관리!$CU:$CU,$B77))="","",IFERROR(INT(IF(INDEX(GLAPS컨테이너배차관리!$CU:$CU,$B77)="","",INDEX(GLAPS컨테이너배차관리!$CU:$CU,$B77))),"")))</f>
        <v/>
      </c>
      <c r="AA77" t="str">
        <f>IF($B77="","",IF(AND(IF(INDEX(GLAPS컨테이너배차관리!$CL:$CL,$B77)="","",INDEX(GLAPS컨테이너배차관리!$CL:$CL,$B77))="",IF(INDEX(GLAPS컨테이너배차관리!$CM:$CM,$B77)="","",INDEX(GLAPS컨테이너배차관리!$CM:$CM,$B77))=""),"",IF(OR(IF(INDEX(GLAPS컨테이너배차관리!$CL:$CL,$B77)="","",INDEX(GLAPS컨테이너배차관리!$CL:$CL,$B77))="B000016649",ISNUMBER(SEARCH("B015",IF(INDEX(GLAPS컨테이너배차관리!$CM:$CM,$B77)="","",INDEX(GLAPS컨테이너배차관리!$CM:$CM,$B77)))),ISNUMBER(SEARCH("세방",IF(INDEX(GLAPS컨테이너배차관리!$CM:$CM,$B77)="","",INDEX(GLAPS컨테이너배차관리!$CM:$CM,$B77)))),ISNUMBER(SEARCH("SB",IF(INDEX(GLAPS컨테이너배차관리!$CM:$CM,$B77)="","",INDEX(GLAPS컨테이너배차관리!$CM:$CM,$B77))))),"세방","")))</f>
        <v/>
      </c>
      <c r="AB77" t="str">
        <f>IF($B77="","",IF(IF(INDEX(GLAPS컨테이너배차관리!$CM:$CM,$B77)="","",INDEX(GLAPS컨테이너배차관리!$CM:$CM,$B77))="","",IF(ISNUMBER(SEARCH("이지스두동",IF(INDEX(GLAPS컨테이너배차관리!$CM:$CM,$B77)="","",INDEX(GLAPS컨테이너배차관리!$CM:$CM,$B77)))),"이지스두동",IF(ISNUMBER(SEARCH("이지스녹산",IF(INDEX(GLAPS컨테이너배차관리!$CM:$CM,$B77)="","",INDEX(GLAPS컨테이너배차관리!$CM:$CM,$B77)))),"이지스녹산",IF(ISNUMBER(SEARCH("천우",IF(INDEX(GLAPS컨테이너배차관리!$CM:$CM,$B77)="","",INDEX(GLAPS컨테이너배차관리!$CM:$CM,$B77)))),"천우",IF(OR(ISNUMBER(SEARCH("청암",IF(INDEX(GLAPS컨테이너배차관리!$CM:$CM,$B77)="","",INDEX(GLAPS컨테이너배차관리!$CM:$CM,$B77)))),ISNUMBER(SEARCH("SB청암",IF(INDEX(GLAPS컨테이너배차관리!$CM:$CM,$B77)="","",INDEX(GLAPS컨테이너배차관리!$CM:$CM,$B77))))),"청암신항",IF(INDEX(GLAPS컨테이너배차관리!$CM:$CM,$B77)="","",INDEX(GLAPS컨테이너배차관리!$CM:$CM,$B77))))))))</f>
        <v/>
      </c>
    </row>
    <row r="78" spans="1:28">
      <c r="A78">
        <v>77</v>
      </c>
      <c r="B78" t="str">
        <f>IFERROR(_xlfn.AGGREGATE(15,6,ROW(GLAPS컨테이너배차관리!$X$2:$X$20000)/(GLAPS컨테이너배차관리!$X$2:$X$20000&lt;&gt;""),A78),"")</f>
        <v/>
      </c>
      <c r="C78" t="str">
        <f>IF($B78="","",INT(IF(INDEX(GLAPS컨테이너배차관리!$K:$K,$B78)="","",INDEX(GLAPS컨테이너배차관리!$K:$K,$B78))))</f>
        <v/>
      </c>
      <c r="D78" t="str">
        <f>IF($B78="","",IF(ISNUMBER(SEARCH("이엘에스",IF(INDEX(GLAPS컨테이너배차관리!$AZ:$AZ,$B78)="","",INDEX(GLAPS컨테이너배차관리!$AZ:$AZ,$B78)))),"ELS솔루션",IF(INDEX(GLAPS컨테이너배차관리!$AZ:$AZ,$B78)="","",INDEX(GLAPS컨테이너배차관리!$AZ:$AZ,$B78))))</f>
        <v/>
      </c>
      <c r="E78" t="str">
        <f>IF($B78="","",IF(INDEX(GLAPS컨테이너배차관리!$L:$L,$B78)="","",INDEX(GLAPS컨테이너배차관리!$L:$L,$B78)))</f>
        <v/>
      </c>
      <c r="F78" t="str">
        <f>IF($B78="","",IF(HOUR(IF(INDEX(GLAPS컨테이너배차관리!$L:$L,$B78)="","",INDEX(GLAPS컨테이너배차관리!$L:$L,$B78)))&lt;12,"오전",IF(HOUR(IF(INDEX(GLAPS컨테이너배차관리!$L:$L,$B78)="","",INDEX(GLAPS컨테이너배차관리!$L:$L,$B78)))&lt;18,"오후","잔업")))</f>
        <v/>
      </c>
      <c r="G78" t="str">
        <f>IF($B78="","",IFERROR(INDEX(GLAPS정리!$G$3:$G$264,MATCH(IF(INDEX(GLAPS컨테이너배차관리!$BY:$BY,$B78)="","",INDEX(GLAPS컨테이너배차관리!$BY:$BY,$B78)),GLAPS정리!$H$3:$H$264,0)),TRIM(SUBSTITUTE(SUBSTITUTE(SUBSTITUTE(SUBSTITUTE(SUBSTITUTE(IF(INDEX(GLAPS컨테이너배차관리!$T:$T,$B78)="","",INDEX(GLAPS컨테이너배차관리!$T:$T,$B78)),"[GA]",""),"[GB]",""),"[GC]",""),"[KC]",""),"[GS]",""))))</f>
        <v/>
      </c>
      <c r="H78" t="str">
        <f>IF($B78="","",IFERROR(VLOOKUP(IF(INDEX(GLAPS컨테이너배차관리!$BY:$BY,$B78)="","",INDEX(GLAPS컨테이너배차관리!$BY:$BY,$B78)),GLAPS정리!$BT$3:$BV$200,3,0),""))</f>
        <v/>
      </c>
      <c r="I78" t="str">
        <f>IF($B78="","",LEFT(IF(INDEX(GLAPS컨테이너배차관리!$U:$U,$B78)="","",INDEX(GLAPS컨테이너배차관리!$U:$U,$B78)),FIND("/",IF(INDEX(GLAPS컨테이너배차관리!$U:$U,$B78)="","",INDEX(GLAPS컨테이너배차관리!$U:$U,$B78))&amp;"/")-1))</f>
        <v/>
      </c>
      <c r="J78" t="str">
        <f>IF($B78="","",IF(IF(INDEX(GLAPS컨테이너배차관리!$O:$O,$B78)="","",INDEX(GLAPS컨테이너배차관리!$O:$O,$B78))="EMC","EMA",IFERROR(INDEX(GLAPS정리!$A$2:$A$50,MATCH(IF(INDEX(GLAPS컨테이너배차관리!$O:$O,$B78)="","",INDEX(GLAPS컨테이너배차관리!$O:$O,$B78)),GLAPS정리!$D$2:$D$50,0)),IF(INDEX(GLAPS컨테이너배차관리!$O:$O,$B78)="","",INDEX(GLAPS컨테이너배차관리!$O:$O,$B78)))))</f>
        <v/>
      </c>
      <c r="K78" t="str">
        <f>IF($B78="","",IF(LEFT(IF(INDEX(GLAPS컨테이너배차관리!$Y:$Y,$B78)="","",INDEX(GLAPS컨테이너배차관리!$Y:$Y,$B78)),2)="22","20 Feet",IF(LEFT(IF(INDEX(GLAPS컨테이너배차관리!$Y:$Y,$B78)="","",INDEX(GLAPS컨테이너배차관리!$Y:$Y,$B78)),2)="42","40 Feet","40 Feet H")))</f>
        <v/>
      </c>
      <c r="L78" t="str">
        <f>IF($B78="","",IFERROR(INDEX(GLAPS정리!$BB$2:$BB$80,MATCH(IF(INDEX(GLAPS컨테이너배차관리!$BQ:$BQ,$B78)="","",INDEX(GLAPS컨테이너배차관리!$BQ:$BQ,$B78)),GLAPS정리!$BC$2:$BC$80,0)),IF(INDEX(GLAPS컨테이너배차관리!$BQ:$BQ,$B78)="","",INDEX(GLAPS컨테이너배차관리!$BQ:$BQ,$B78))))</f>
        <v/>
      </c>
      <c r="M78" t="str">
        <f>IF($B78="","",IFERROR(INDEX(GLAPS정리!$V$3:$V$180,MATCH(IF(INDEX(GLAPS컨테이너배차관리!$S:$S,$B78)="","",INDEX(GLAPS컨테이너배차관리!$S:$S,$B78)),GLAPS정리!$W$3:$W$180,0)),IF(INDEX(GLAPS컨테이너배차관리!$S:$S,$B78)="","",INDEX(GLAPS컨테이너배차관리!$S:$S,$B78))))</f>
        <v/>
      </c>
      <c r="N78" t="str">
        <f>IF($B78="","",IF(IF(INDEX(GLAPS컨테이너배차관리!$DF:$DF,$B78)="","",INDEX(GLAPS컨테이너배차관리!$DF:$DF,$B78))&lt;&gt;"",IF(INDEX(GLAPS컨테이너배차관리!$DF:$DF,$B78)="","",INDEX(GLAPS컨테이너배차관리!$DF:$DF,$B78)),IF(IF(INDEX(GLAPS컨테이너배차관리!$DG:$DG,$B78)="","",INDEX(GLAPS컨테이너배차관리!$DG:$DG,$B78))&lt;&gt;"",IF(INDEX(GLAPS컨테이너배차관리!$DG:$DG,$B78)="","",INDEX(GLAPS컨테이너배차관리!$DG:$DG,$B78)),"")))</f>
        <v/>
      </c>
      <c r="O78" t="str">
        <f>IF($B78="","",IF(INDEX(GLAPS컨테이너배차관리!$AB:$AB,$B78)="","",INDEX(GLAPS컨테이너배차관리!$AB:$AB,$B78)))</f>
        <v/>
      </c>
      <c r="P78" t="str">
        <f>IF($B78="","",IF(IF(INDEX(GLAPS컨테이너배차관리!$CP:$CP,$B78)="","",INDEX(GLAPS컨테이너배차관리!$CP:$CP,$B78))="","",IFERROR(INDEX(GLAPS정리!$BH$2:$BH$101,MATCH(IF(INDEX(GLAPS컨테이너배차관리!$CP:$CP,$B78)="","",INDEX(GLAPS컨테이너배차관리!$CP:$CP,$B78)),GLAPS정리!$BI$2:$BI$101,0)),IF(INDEX(GLAPS컨테이너배차관리!$CP:$CP,$B78)="","",INDEX(GLAPS컨테이너배차관리!$CP:$CP,$B78)))))</f>
        <v/>
      </c>
      <c r="Q78" t="str">
        <f>IF($B78="","",IF(AND(IF(INDEX(GLAPS컨테이너배차관리!$AK:$AK,$B78)="","",INDEX(GLAPS컨테이너배차관리!$AK:$AK,$B78))="Y",IF(INDEX(GLAPS컨테이너배차관리!$AI:$AI,$B78)="","",INDEX(GLAPS컨테이너배차관리!$AI:$AI,$B78))="Y"),"위험물리퍼",IF(IF(INDEX(GLAPS컨테이너배차관리!$AK:$AK,$B78)="","",INDEX(GLAPS컨테이너배차관리!$AK:$AK,$B78))="Y","위험물",IF(IF(INDEX(GLAPS컨테이너배차관리!$AI:$AI,$B78)="","",INDEX(GLAPS컨테이너배차관리!$AI:$AI,$B78))="Y","리퍼",""))))</f>
        <v/>
      </c>
      <c r="R78" t="str">
        <f>IF($B78="","",IF(LEFT(IF(INDEX(GLAPS컨테이너배차관리!$Y:$Y,$B78)="","",INDEX(GLAPS컨테이너배차관리!$Y:$Y,$B78)),2)="22",1,""))</f>
        <v/>
      </c>
      <c r="S78" t="str">
        <f>IF($B78="","",IF(LEFT(IF(INDEX(GLAPS컨테이너배차관리!$Y:$Y,$B78)="","",INDEX(GLAPS컨테이너배차관리!$Y:$Y,$B78)),2)="42",1,""))</f>
        <v/>
      </c>
      <c r="T78" t="str">
        <f>IF($B78="","",IF(LEFT(IF(INDEX(GLAPS컨테이너배차관리!$Y:$Y,$B78)="","",INDEX(GLAPS컨테이너배차관리!$Y:$Y,$B78)),2)="45",1,""))</f>
        <v/>
      </c>
      <c r="U78" t="str">
        <f>IF($B78="","",IF(INDEX(GLAPS컨테이너배차관리!$X:$X,$B78)="","",INDEX(GLAPS컨테이너배차관리!$X:$X,$B78)))</f>
        <v/>
      </c>
      <c r="V78" t="str">
        <f>IF($B78="","",IF(INDEX(GLAPS컨테이너배차관리!$Z:$Z,$B78)="","",INDEX(GLAPS컨테이너배차관리!$Z:$Z,$B78)))</f>
        <v/>
      </c>
      <c r="W78" t="str">
        <f>IF($B78="","",IF(IF(INDEX(GLAPS컨테이너배차관리!$DI:$DI,$B78)="","",INDEX(GLAPS컨테이너배차관리!$DI:$DI,$B78))&lt;&gt;"",IF(INDEX(GLAPS컨테이너배차관리!$DI:$DI,$B78)="","",INDEX(GLAPS컨테이너배차관리!$DI:$DI,$B78)),IF(IF(INDEX(GLAPS컨테이너배차관리!$DJ:$DJ,$B78)="","",INDEX(GLAPS컨테이너배차관리!$DJ:$DJ,$B78))&lt;&gt;"",IF(INDEX(GLAPS컨테이너배차관리!$DJ:$DJ,$B78)="","",INDEX(GLAPS컨테이너배차관리!$DJ:$DJ,$B78)),IF(IF(INDEX(GLAPS컨테이너배차관리!$DK:$DK,$B78)="","",INDEX(GLAPS컨테이너배차관리!$DK:$DK,$B78))&lt;&gt;"",IF(INDEX(GLAPS컨테이너배차관리!$DK:$DK,$B78)="","",INDEX(GLAPS컨테이너배차관리!$DK:$DK,$B78)),IF(IF(INDEX(GLAPS컨테이너배차관리!$DL:$DL,$B78)="","",INDEX(GLAPS컨테이너배차관리!$DL:$DL,$B78))&lt;&gt;"",IF(INDEX(GLAPS컨테이너배차관리!$DL:$DL,$B78)="","",INDEX(GLAPS컨테이너배차관리!$DL:$DL,$B78)),IF(IF(INDEX(GLAPS컨테이너배차관리!$DM:$DM,$B78)="","",INDEX(GLAPS컨테이너배차관리!$DM:$DM,$B78))&lt;&gt;"",IF(INDEX(GLAPS컨테이너배차관리!$DM:$DM,$B78)="","",INDEX(GLAPS컨테이너배차관리!$DM:$DM,$B78)),""))))))</f>
        <v/>
      </c>
      <c r="X78" t="str">
        <f>IF($B78="","",IF(INDEX(GLAPS컨테이너배차관리!$F:$F,$B78)="","",INDEX(GLAPS컨테이너배차관리!$F:$F,$B78)))</f>
        <v/>
      </c>
      <c r="Y78" t="str">
        <f>IF($B78="","",IF(IF(INDEX(GLAPS컨테이너배차관리!$M:$M,$B78)="","",INDEX(GLAPS컨테이너배차관리!$M:$M,$B78))&lt;&gt;"",IF(INDEX(GLAPS컨테이너배차관리!$M:$M,$B78)="","",INDEX(GLAPS컨테이너배차관리!$M:$M,$B78)),IF(IF(INDEX(GLAPS컨테이너배차관리!$N:$N,$B78)="","",INDEX(GLAPS컨테이너배차관리!$N:$N,$B78))&lt;&gt;"",IF(INDEX(GLAPS컨테이너배차관리!$N:$N,$B78)="","",INDEX(GLAPS컨테이너배차관리!$N:$N,$B78)),"")))</f>
        <v/>
      </c>
      <c r="Z78" t="str">
        <f>IF($B78="","",IF(IF(INDEX(GLAPS컨테이너배차관리!$CU:$CU,$B78)="","",INDEX(GLAPS컨테이너배차관리!$CU:$CU,$B78))="","",IFERROR(INT(IF(INDEX(GLAPS컨테이너배차관리!$CU:$CU,$B78)="","",INDEX(GLAPS컨테이너배차관리!$CU:$CU,$B78))),"")))</f>
        <v/>
      </c>
      <c r="AA78" t="str">
        <f>IF($B78="","",IF(AND(IF(INDEX(GLAPS컨테이너배차관리!$CL:$CL,$B78)="","",INDEX(GLAPS컨테이너배차관리!$CL:$CL,$B78))="",IF(INDEX(GLAPS컨테이너배차관리!$CM:$CM,$B78)="","",INDEX(GLAPS컨테이너배차관리!$CM:$CM,$B78))=""),"",IF(OR(IF(INDEX(GLAPS컨테이너배차관리!$CL:$CL,$B78)="","",INDEX(GLAPS컨테이너배차관리!$CL:$CL,$B78))="B000016649",ISNUMBER(SEARCH("B015",IF(INDEX(GLAPS컨테이너배차관리!$CM:$CM,$B78)="","",INDEX(GLAPS컨테이너배차관리!$CM:$CM,$B78)))),ISNUMBER(SEARCH("세방",IF(INDEX(GLAPS컨테이너배차관리!$CM:$CM,$B78)="","",INDEX(GLAPS컨테이너배차관리!$CM:$CM,$B78)))),ISNUMBER(SEARCH("SB",IF(INDEX(GLAPS컨테이너배차관리!$CM:$CM,$B78)="","",INDEX(GLAPS컨테이너배차관리!$CM:$CM,$B78))))),"세방","")))</f>
        <v/>
      </c>
      <c r="AB78" t="str">
        <f>IF($B78="","",IF(IF(INDEX(GLAPS컨테이너배차관리!$CM:$CM,$B78)="","",INDEX(GLAPS컨테이너배차관리!$CM:$CM,$B78))="","",IF(ISNUMBER(SEARCH("이지스두동",IF(INDEX(GLAPS컨테이너배차관리!$CM:$CM,$B78)="","",INDEX(GLAPS컨테이너배차관리!$CM:$CM,$B78)))),"이지스두동",IF(ISNUMBER(SEARCH("이지스녹산",IF(INDEX(GLAPS컨테이너배차관리!$CM:$CM,$B78)="","",INDEX(GLAPS컨테이너배차관리!$CM:$CM,$B78)))),"이지스녹산",IF(ISNUMBER(SEARCH("천우",IF(INDEX(GLAPS컨테이너배차관리!$CM:$CM,$B78)="","",INDEX(GLAPS컨테이너배차관리!$CM:$CM,$B78)))),"천우",IF(OR(ISNUMBER(SEARCH("청암",IF(INDEX(GLAPS컨테이너배차관리!$CM:$CM,$B78)="","",INDEX(GLAPS컨테이너배차관리!$CM:$CM,$B78)))),ISNUMBER(SEARCH("SB청암",IF(INDEX(GLAPS컨테이너배차관리!$CM:$CM,$B78)="","",INDEX(GLAPS컨테이너배차관리!$CM:$CM,$B78))))),"청암신항",IF(INDEX(GLAPS컨테이너배차관리!$CM:$CM,$B78)="","",INDEX(GLAPS컨테이너배차관리!$CM:$CM,$B78))))))))</f>
        <v/>
      </c>
    </row>
    <row r="79" spans="1:28">
      <c r="A79">
        <v>78</v>
      </c>
      <c r="B79" t="str">
        <f>IFERROR(_xlfn.AGGREGATE(15,6,ROW(GLAPS컨테이너배차관리!$X$2:$X$20000)/(GLAPS컨테이너배차관리!$X$2:$X$20000&lt;&gt;""),A79),"")</f>
        <v/>
      </c>
      <c r="C79" t="str">
        <f>IF($B79="","",INT(IF(INDEX(GLAPS컨테이너배차관리!$K:$K,$B79)="","",INDEX(GLAPS컨테이너배차관리!$K:$K,$B79))))</f>
        <v/>
      </c>
      <c r="D79" t="str">
        <f>IF($B79="","",IF(ISNUMBER(SEARCH("이엘에스",IF(INDEX(GLAPS컨테이너배차관리!$AZ:$AZ,$B79)="","",INDEX(GLAPS컨테이너배차관리!$AZ:$AZ,$B79)))),"ELS솔루션",IF(INDEX(GLAPS컨테이너배차관리!$AZ:$AZ,$B79)="","",INDEX(GLAPS컨테이너배차관리!$AZ:$AZ,$B79))))</f>
        <v/>
      </c>
      <c r="E79" t="str">
        <f>IF($B79="","",IF(INDEX(GLAPS컨테이너배차관리!$L:$L,$B79)="","",INDEX(GLAPS컨테이너배차관리!$L:$L,$B79)))</f>
        <v/>
      </c>
      <c r="F79" t="str">
        <f>IF($B79="","",IF(HOUR(IF(INDEX(GLAPS컨테이너배차관리!$L:$L,$B79)="","",INDEX(GLAPS컨테이너배차관리!$L:$L,$B79)))&lt;12,"오전",IF(HOUR(IF(INDEX(GLAPS컨테이너배차관리!$L:$L,$B79)="","",INDEX(GLAPS컨테이너배차관리!$L:$L,$B79)))&lt;18,"오후","잔업")))</f>
        <v/>
      </c>
      <c r="G79" t="str">
        <f>IF($B79="","",IFERROR(INDEX(GLAPS정리!$G$3:$G$264,MATCH(IF(INDEX(GLAPS컨테이너배차관리!$BY:$BY,$B79)="","",INDEX(GLAPS컨테이너배차관리!$BY:$BY,$B79)),GLAPS정리!$H$3:$H$264,0)),TRIM(SUBSTITUTE(SUBSTITUTE(SUBSTITUTE(SUBSTITUTE(SUBSTITUTE(IF(INDEX(GLAPS컨테이너배차관리!$T:$T,$B79)="","",INDEX(GLAPS컨테이너배차관리!$T:$T,$B79)),"[GA]",""),"[GB]",""),"[GC]",""),"[KC]",""),"[GS]",""))))</f>
        <v/>
      </c>
      <c r="H79" t="str">
        <f>IF($B79="","",IFERROR(VLOOKUP(IF(INDEX(GLAPS컨테이너배차관리!$BY:$BY,$B79)="","",INDEX(GLAPS컨테이너배차관리!$BY:$BY,$B79)),GLAPS정리!$BT$3:$BV$200,3,0),""))</f>
        <v/>
      </c>
      <c r="I79" t="str">
        <f>IF($B79="","",LEFT(IF(INDEX(GLAPS컨테이너배차관리!$U:$U,$B79)="","",INDEX(GLAPS컨테이너배차관리!$U:$U,$B79)),FIND("/",IF(INDEX(GLAPS컨테이너배차관리!$U:$U,$B79)="","",INDEX(GLAPS컨테이너배차관리!$U:$U,$B79))&amp;"/")-1))</f>
        <v/>
      </c>
      <c r="J79" t="str">
        <f>IF($B79="","",IF(IF(INDEX(GLAPS컨테이너배차관리!$O:$O,$B79)="","",INDEX(GLAPS컨테이너배차관리!$O:$O,$B79))="EMC","EMA",IFERROR(INDEX(GLAPS정리!$A$2:$A$50,MATCH(IF(INDEX(GLAPS컨테이너배차관리!$O:$O,$B79)="","",INDEX(GLAPS컨테이너배차관리!$O:$O,$B79)),GLAPS정리!$D$2:$D$50,0)),IF(INDEX(GLAPS컨테이너배차관리!$O:$O,$B79)="","",INDEX(GLAPS컨테이너배차관리!$O:$O,$B79)))))</f>
        <v/>
      </c>
      <c r="K79" t="str">
        <f>IF($B79="","",IF(LEFT(IF(INDEX(GLAPS컨테이너배차관리!$Y:$Y,$B79)="","",INDEX(GLAPS컨테이너배차관리!$Y:$Y,$B79)),2)="22","20 Feet",IF(LEFT(IF(INDEX(GLAPS컨테이너배차관리!$Y:$Y,$B79)="","",INDEX(GLAPS컨테이너배차관리!$Y:$Y,$B79)),2)="42","40 Feet","40 Feet H")))</f>
        <v/>
      </c>
      <c r="L79" t="str">
        <f>IF($B79="","",IFERROR(INDEX(GLAPS정리!$BB$2:$BB$80,MATCH(IF(INDEX(GLAPS컨테이너배차관리!$BQ:$BQ,$B79)="","",INDEX(GLAPS컨테이너배차관리!$BQ:$BQ,$B79)),GLAPS정리!$BC$2:$BC$80,0)),IF(INDEX(GLAPS컨테이너배차관리!$BQ:$BQ,$B79)="","",INDEX(GLAPS컨테이너배차관리!$BQ:$BQ,$B79))))</f>
        <v/>
      </c>
      <c r="M79" t="str">
        <f>IF($B79="","",IFERROR(INDEX(GLAPS정리!$V$3:$V$180,MATCH(IF(INDEX(GLAPS컨테이너배차관리!$S:$S,$B79)="","",INDEX(GLAPS컨테이너배차관리!$S:$S,$B79)),GLAPS정리!$W$3:$W$180,0)),IF(INDEX(GLAPS컨테이너배차관리!$S:$S,$B79)="","",INDEX(GLAPS컨테이너배차관리!$S:$S,$B79))))</f>
        <v/>
      </c>
      <c r="N79" t="str">
        <f>IF($B79="","",IF(IF(INDEX(GLAPS컨테이너배차관리!$DF:$DF,$B79)="","",INDEX(GLAPS컨테이너배차관리!$DF:$DF,$B79))&lt;&gt;"",IF(INDEX(GLAPS컨테이너배차관리!$DF:$DF,$B79)="","",INDEX(GLAPS컨테이너배차관리!$DF:$DF,$B79)),IF(IF(INDEX(GLAPS컨테이너배차관리!$DG:$DG,$B79)="","",INDEX(GLAPS컨테이너배차관리!$DG:$DG,$B79))&lt;&gt;"",IF(INDEX(GLAPS컨테이너배차관리!$DG:$DG,$B79)="","",INDEX(GLAPS컨테이너배차관리!$DG:$DG,$B79)),"")))</f>
        <v/>
      </c>
      <c r="O79" t="str">
        <f>IF($B79="","",IF(INDEX(GLAPS컨테이너배차관리!$AB:$AB,$B79)="","",INDEX(GLAPS컨테이너배차관리!$AB:$AB,$B79)))</f>
        <v/>
      </c>
      <c r="P79" t="str">
        <f>IF($B79="","",IF(IF(INDEX(GLAPS컨테이너배차관리!$CP:$CP,$B79)="","",INDEX(GLAPS컨테이너배차관리!$CP:$CP,$B79))="","",IFERROR(INDEX(GLAPS정리!$BH$2:$BH$101,MATCH(IF(INDEX(GLAPS컨테이너배차관리!$CP:$CP,$B79)="","",INDEX(GLAPS컨테이너배차관리!$CP:$CP,$B79)),GLAPS정리!$BI$2:$BI$101,0)),IF(INDEX(GLAPS컨테이너배차관리!$CP:$CP,$B79)="","",INDEX(GLAPS컨테이너배차관리!$CP:$CP,$B79)))))</f>
        <v/>
      </c>
      <c r="Q79" t="str">
        <f>IF($B79="","",IF(AND(IF(INDEX(GLAPS컨테이너배차관리!$AK:$AK,$B79)="","",INDEX(GLAPS컨테이너배차관리!$AK:$AK,$B79))="Y",IF(INDEX(GLAPS컨테이너배차관리!$AI:$AI,$B79)="","",INDEX(GLAPS컨테이너배차관리!$AI:$AI,$B79))="Y"),"위험물리퍼",IF(IF(INDEX(GLAPS컨테이너배차관리!$AK:$AK,$B79)="","",INDEX(GLAPS컨테이너배차관리!$AK:$AK,$B79))="Y","위험물",IF(IF(INDEX(GLAPS컨테이너배차관리!$AI:$AI,$B79)="","",INDEX(GLAPS컨테이너배차관리!$AI:$AI,$B79))="Y","리퍼",""))))</f>
        <v/>
      </c>
      <c r="R79" t="str">
        <f>IF($B79="","",IF(LEFT(IF(INDEX(GLAPS컨테이너배차관리!$Y:$Y,$B79)="","",INDEX(GLAPS컨테이너배차관리!$Y:$Y,$B79)),2)="22",1,""))</f>
        <v/>
      </c>
      <c r="S79" t="str">
        <f>IF($B79="","",IF(LEFT(IF(INDEX(GLAPS컨테이너배차관리!$Y:$Y,$B79)="","",INDEX(GLAPS컨테이너배차관리!$Y:$Y,$B79)),2)="42",1,""))</f>
        <v/>
      </c>
      <c r="T79" t="str">
        <f>IF($B79="","",IF(LEFT(IF(INDEX(GLAPS컨테이너배차관리!$Y:$Y,$B79)="","",INDEX(GLAPS컨테이너배차관리!$Y:$Y,$B79)),2)="45",1,""))</f>
        <v/>
      </c>
      <c r="U79" t="str">
        <f>IF($B79="","",IF(INDEX(GLAPS컨테이너배차관리!$X:$X,$B79)="","",INDEX(GLAPS컨테이너배차관리!$X:$X,$B79)))</f>
        <v/>
      </c>
      <c r="V79" t="str">
        <f>IF($B79="","",IF(INDEX(GLAPS컨테이너배차관리!$Z:$Z,$B79)="","",INDEX(GLAPS컨테이너배차관리!$Z:$Z,$B79)))</f>
        <v/>
      </c>
      <c r="W79" t="str">
        <f>IF($B79="","",IF(IF(INDEX(GLAPS컨테이너배차관리!$DI:$DI,$B79)="","",INDEX(GLAPS컨테이너배차관리!$DI:$DI,$B79))&lt;&gt;"",IF(INDEX(GLAPS컨테이너배차관리!$DI:$DI,$B79)="","",INDEX(GLAPS컨테이너배차관리!$DI:$DI,$B79)),IF(IF(INDEX(GLAPS컨테이너배차관리!$DJ:$DJ,$B79)="","",INDEX(GLAPS컨테이너배차관리!$DJ:$DJ,$B79))&lt;&gt;"",IF(INDEX(GLAPS컨테이너배차관리!$DJ:$DJ,$B79)="","",INDEX(GLAPS컨테이너배차관리!$DJ:$DJ,$B79)),IF(IF(INDEX(GLAPS컨테이너배차관리!$DK:$DK,$B79)="","",INDEX(GLAPS컨테이너배차관리!$DK:$DK,$B79))&lt;&gt;"",IF(INDEX(GLAPS컨테이너배차관리!$DK:$DK,$B79)="","",INDEX(GLAPS컨테이너배차관리!$DK:$DK,$B79)),IF(IF(INDEX(GLAPS컨테이너배차관리!$DL:$DL,$B79)="","",INDEX(GLAPS컨테이너배차관리!$DL:$DL,$B79))&lt;&gt;"",IF(INDEX(GLAPS컨테이너배차관리!$DL:$DL,$B79)="","",INDEX(GLAPS컨테이너배차관리!$DL:$DL,$B79)),IF(IF(INDEX(GLAPS컨테이너배차관리!$DM:$DM,$B79)="","",INDEX(GLAPS컨테이너배차관리!$DM:$DM,$B79))&lt;&gt;"",IF(INDEX(GLAPS컨테이너배차관리!$DM:$DM,$B79)="","",INDEX(GLAPS컨테이너배차관리!$DM:$DM,$B79)),""))))))</f>
        <v/>
      </c>
      <c r="X79" t="str">
        <f>IF($B79="","",IF(INDEX(GLAPS컨테이너배차관리!$F:$F,$B79)="","",INDEX(GLAPS컨테이너배차관리!$F:$F,$B79)))</f>
        <v/>
      </c>
      <c r="Y79" t="str">
        <f>IF($B79="","",IF(IF(INDEX(GLAPS컨테이너배차관리!$M:$M,$B79)="","",INDEX(GLAPS컨테이너배차관리!$M:$M,$B79))&lt;&gt;"",IF(INDEX(GLAPS컨테이너배차관리!$M:$M,$B79)="","",INDEX(GLAPS컨테이너배차관리!$M:$M,$B79)),IF(IF(INDEX(GLAPS컨테이너배차관리!$N:$N,$B79)="","",INDEX(GLAPS컨테이너배차관리!$N:$N,$B79))&lt;&gt;"",IF(INDEX(GLAPS컨테이너배차관리!$N:$N,$B79)="","",INDEX(GLAPS컨테이너배차관리!$N:$N,$B79)),"")))</f>
        <v/>
      </c>
      <c r="Z79" t="str">
        <f>IF($B79="","",IF(IF(INDEX(GLAPS컨테이너배차관리!$CU:$CU,$B79)="","",INDEX(GLAPS컨테이너배차관리!$CU:$CU,$B79))="","",IFERROR(INT(IF(INDEX(GLAPS컨테이너배차관리!$CU:$CU,$B79)="","",INDEX(GLAPS컨테이너배차관리!$CU:$CU,$B79))),"")))</f>
        <v/>
      </c>
      <c r="AA79" t="str">
        <f>IF($B79="","",IF(AND(IF(INDEX(GLAPS컨테이너배차관리!$CL:$CL,$B79)="","",INDEX(GLAPS컨테이너배차관리!$CL:$CL,$B79))="",IF(INDEX(GLAPS컨테이너배차관리!$CM:$CM,$B79)="","",INDEX(GLAPS컨테이너배차관리!$CM:$CM,$B79))=""),"",IF(OR(IF(INDEX(GLAPS컨테이너배차관리!$CL:$CL,$B79)="","",INDEX(GLAPS컨테이너배차관리!$CL:$CL,$B79))="B000016649",ISNUMBER(SEARCH("B015",IF(INDEX(GLAPS컨테이너배차관리!$CM:$CM,$B79)="","",INDEX(GLAPS컨테이너배차관리!$CM:$CM,$B79)))),ISNUMBER(SEARCH("세방",IF(INDEX(GLAPS컨테이너배차관리!$CM:$CM,$B79)="","",INDEX(GLAPS컨테이너배차관리!$CM:$CM,$B79)))),ISNUMBER(SEARCH("SB",IF(INDEX(GLAPS컨테이너배차관리!$CM:$CM,$B79)="","",INDEX(GLAPS컨테이너배차관리!$CM:$CM,$B79))))),"세방","")))</f>
        <v/>
      </c>
      <c r="AB79" t="str">
        <f>IF($B79="","",IF(IF(INDEX(GLAPS컨테이너배차관리!$CM:$CM,$B79)="","",INDEX(GLAPS컨테이너배차관리!$CM:$CM,$B79))="","",IF(ISNUMBER(SEARCH("이지스두동",IF(INDEX(GLAPS컨테이너배차관리!$CM:$CM,$B79)="","",INDEX(GLAPS컨테이너배차관리!$CM:$CM,$B79)))),"이지스두동",IF(ISNUMBER(SEARCH("이지스녹산",IF(INDEX(GLAPS컨테이너배차관리!$CM:$CM,$B79)="","",INDEX(GLAPS컨테이너배차관리!$CM:$CM,$B79)))),"이지스녹산",IF(ISNUMBER(SEARCH("천우",IF(INDEX(GLAPS컨테이너배차관리!$CM:$CM,$B79)="","",INDEX(GLAPS컨테이너배차관리!$CM:$CM,$B79)))),"천우",IF(OR(ISNUMBER(SEARCH("청암",IF(INDEX(GLAPS컨테이너배차관리!$CM:$CM,$B79)="","",INDEX(GLAPS컨테이너배차관리!$CM:$CM,$B79)))),ISNUMBER(SEARCH("SB청암",IF(INDEX(GLAPS컨테이너배차관리!$CM:$CM,$B79)="","",INDEX(GLAPS컨테이너배차관리!$CM:$CM,$B79))))),"청암신항",IF(INDEX(GLAPS컨테이너배차관리!$CM:$CM,$B79)="","",INDEX(GLAPS컨테이너배차관리!$CM:$CM,$B79))))))))</f>
        <v/>
      </c>
    </row>
    <row r="80" spans="1:28">
      <c r="A80">
        <v>79</v>
      </c>
      <c r="B80" t="str">
        <f>IFERROR(_xlfn.AGGREGATE(15,6,ROW(GLAPS컨테이너배차관리!$X$2:$X$20000)/(GLAPS컨테이너배차관리!$X$2:$X$20000&lt;&gt;""),A80),"")</f>
        <v/>
      </c>
      <c r="C80" t="str">
        <f>IF($B80="","",INT(IF(INDEX(GLAPS컨테이너배차관리!$K:$K,$B80)="","",INDEX(GLAPS컨테이너배차관리!$K:$K,$B80))))</f>
        <v/>
      </c>
      <c r="D80" t="str">
        <f>IF($B80="","",IF(ISNUMBER(SEARCH("이엘에스",IF(INDEX(GLAPS컨테이너배차관리!$AZ:$AZ,$B80)="","",INDEX(GLAPS컨테이너배차관리!$AZ:$AZ,$B80)))),"ELS솔루션",IF(INDEX(GLAPS컨테이너배차관리!$AZ:$AZ,$B80)="","",INDEX(GLAPS컨테이너배차관리!$AZ:$AZ,$B80))))</f>
        <v/>
      </c>
      <c r="E80" t="str">
        <f>IF($B80="","",IF(INDEX(GLAPS컨테이너배차관리!$L:$L,$B80)="","",INDEX(GLAPS컨테이너배차관리!$L:$L,$B80)))</f>
        <v/>
      </c>
      <c r="F80" t="str">
        <f>IF($B80="","",IF(HOUR(IF(INDEX(GLAPS컨테이너배차관리!$L:$L,$B80)="","",INDEX(GLAPS컨테이너배차관리!$L:$L,$B80)))&lt;12,"오전",IF(HOUR(IF(INDEX(GLAPS컨테이너배차관리!$L:$L,$B80)="","",INDEX(GLAPS컨테이너배차관리!$L:$L,$B80)))&lt;18,"오후","잔업")))</f>
        <v/>
      </c>
      <c r="G80" t="str">
        <f>IF($B80="","",IFERROR(INDEX(GLAPS정리!$G$3:$G$264,MATCH(IF(INDEX(GLAPS컨테이너배차관리!$BY:$BY,$B80)="","",INDEX(GLAPS컨테이너배차관리!$BY:$BY,$B80)),GLAPS정리!$H$3:$H$264,0)),TRIM(SUBSTITUTE(SUBSTITUTE(SUBSTITUTE(SUBSTITUTE(SUBSTITUTE(IF(INDEX(GLAPS컨테이너배차관리!$T:$T,$B80)="","",INDEX(GLAPS컨테이너배차관리!$T:$T,$B80)),"[GA]",""),"[GB]",""),"[GC]",""),"[KC]",""),"[GS]",""))))</f>
        <v/>
      </c>
      <c r="H80" t="str">
        <f>IF($B80="","",IFERROR(VLOOKUP(IF(INDEX(GLAPS컨테이너배차관리!$BY:$BY,$B80)="","",INDEX(GLAPS컨테이너배차관리!$BY:$BY,$B80)),GLAPS정리!$BT$3:$BV$200,3,0),""))</f>
        <v/>
      </c>
      <c r="I80" t="str">
        <f>IF($B80="","",LEFT(IF(INDEX(GLAPS컨테이너배차관리!$U:$U,$B80)="","",INDEX(GLAPS컨테이너배차관리!$U:$U,$B80)),FIND("/",IF(INDEX(GLAPS컨테이너배차관리!$U:$U,$B80)="","",INDEX(GLAPS컨테이너배차관리!$U:$U,$B80))&amp;"/")-1))</f>
        <v/>
      </c>
      <c r="J80" t="str">
        <f>IF($B80="","",IF(IF(INDEX(GLAPS컨테이너배차관리!$O:$O,$B80)="","",INDEX(GLAPS컨테이너배차관리!$O:$O,$B80))="EMC","EMA",IFERROR(INDEX(GLAPS정리!$A$2:$A$50,MATCH(IF(INDEX(GLAPS컨테이너배차관리!$O:$O,$B80)="","",INDEX(GLAPS컨테이너배차관리!$O:$O,$B80)),GLAPS정리!$D$2:$D$50,0)),IF(INDEX(GLAPS컨테이너배차관리!$O:$O,$B80)="","",INDEX(GLAPS컨테이너배차관리!$O:$O,$B80)))))</f>
        <v/>
      </c>
      <c r="K80" t="str">
        <f>IF($B80="","",IF(LEFT(IF(INDEX(GLAPS컨테이너배차관리!$Y:$Y,$B80)="","",INDEX(GLAPS컨테이너배차관리!$Y:$Y,$B80)),2)="22","20 Feet",IF(LEFT(IF(INDEX(GLAPS컨테이너배차관리!$Y:$Y,$B80)="","",INDEX(GLAPS컨테이너배차관리!$Y:$Y,$B80)),2)="42","40 Feet","40 Feet H")))</f>
        <v/>
      </c>
      <c r="L80" t="str">
        <f>IF($B80="","",IFERROR(INDEX(GLAPS정리!$BB$2:$BB$80,MATCH(IF(INDEX(GLAPS컨테이너배차관리!$BQ:$BQ,$B80)="","",INDEX(GLAPS컨테이너배차관리!$BQ:$BQ,$B80)),GLAPS정리!$BC$2:$BC$80,0)),IF(INDEX(GLAPS컨테이너배차관리!$BQ:$BQ,$B80)="","",INDEX(GLAPS컨테이너배차관리!$BQ:$BQ,$B80))))</f>
        <v/>
      </c>
      <c r="M80" t="str">
        <f>IF($B80="","",IFERROR(INDEX(GLAPS정리!$V$3:$V$180,MATCH(IF(INDEX(GLAPS컨테이너배차관리!$S:$S,$B80)="","",INDEX(GLAPS컨테이너배차관리!$S:$S,$B80)),GLAPS정리!$W$3:$W$180,0)),IF(INDEX(GLAPS컨테이너배차관리!$S:$S,$B80)="","",INDEX(GLAPS컨테이너배차관리!$S:$S,$B80))))</f>
        <v/>
      </c>
      <c r="N80" t="str">
        <f>IF($B80="","",IF(IF(INDEX(GLAPS컨테이너배차관리!$DF:$DF,$B80)="","",INDEX(GLAPS컨테이너배차관리!$DF:$DF,$B80))&lt;&gt;"",IF(INDEX(GLAPS컨테이너배차관리!$DF:$DF,$B80)="","",INDEX(GLAPS컨테이너배차관리!$DF:$DF,$B80)),IF(IF(INDEX(GLAPS컨테이너배차관리!$DG:$DG,$B80)="","",INDEX(GLAPS컨테이너배차관리!$DG:$DG,$B80))&lt;&gt;"",IF(INDEX(GLAPS컨테이너배차관리!$DG:$DG,$B80)="","",INDEX(GLAPS컨테이너배차관리!$DG:$DG,$B80)),"")))</f>
        <v/>
      </c>
      <c r="O80" t="str">
        <f>IF($B80="","",IF(INDEX(GLAPS컨테이너배차관리!$AB:$AB,$B80)="","",INDEX(GLAPS컨테이너배차관리!$AB:$AB,$B80)))</f>
        <v/>
      </c>
      <c r="P80" t="str">
        <f>IF($B80="","",IF(IF(INDEX(GLAPS컨테이너배차관리!$CP:$CP,$B80)="","",INDEX(GLAPS컨테이너배차관리!$CP:$CP,$B80))="","",IFERROR(INDEX(GLAPS정리!$BH$2:$BH$101,MATCH(IF(INDEX(GLAPS컨테이너배차관리!$CP:$CP,$B80)="","",INDEX(GLAPS컨테이너배차관리!$CP:$CP,$B80)),GLAPS정리!$BI$2:$BI$101,0)),IF(INDEX(GLAPS컨테이너배차관리!$CP:$CP,$B80)="","",INDEX(GLAPS컨테이너배차관리!$CP:$CP,$B80)))))</f>
        <v/>
      </c>
      <c r="Q80" t="str">
        <f>IF($B80="","",IF(AND(IF(INDEX(GLAPS컨테이너배차관리!$AK:$AK,$B80)="","",INDEX(GLAPS컨테이너배차관리!$AK:$AK,$B80))="Y",IF(INDEX(GLAPS컨테이너배차관리!$AI:$AI,$B80)="","",INDEX(GLAPS컨테이너배차관리!$AI:$AI,$B80))="Y"),"위험물리퍼",IF(IF(INDEX(GLAPS컨테이너배차관리!$AK:$AK,$B80)="","",INDEX(GLAPS컨테이너배차관리!$AK:$AK,$B80))="Y","위험물",IF(IF(INDEX(GLAPS컨테이너배차관리!$AI:$AI,$B80)="","",INDEX(GLAPS컨테이너배차관리!$AI:$AI,$B80))="Y","리퍼",""))))</f>
        <v/>
      </c>
      <c r="R80" t="str">
        <f>IF($B80="","",IF(LEFT(IF(INDEX(GLAPS컨테이너배차관리!$Y:$Y,$B80)="","",INDEX(GLAPS컨테이너배차관리!$Y:$Y,$B80)),2)="22",1,""))</f>
        <v/>
      </c>
      <c r="S80" t="str">
        <f>IF($B80="","",IF(LEFT(IF(INDEX(GLAPS컨테이너배차관리!$Y:$Y,$B80)="","",INDEX(GLAPS컨테이너배차관리!$Y:$Y,$B80)),2)="42",1,""))</f>
        <v/>
      </c>
      <c r="T80" t="str">
        <f>IF($B80="","",IF(LEFT(IF(INDEX(GLAPS컨테이너배차관리!$Y:$Y,$B80)="","",INDEX(GLAPS컨테이너배차관리!$Y:$Y,$B80)),2)="45",1,""))</f>
        <v/>
      </c>
      <c r="U80" t="str">
        <f>IF($B80="","",IF(INDEX(GLAPS컨테이너배차관리!$X:$X,$B80)="","",INDEX(GLAPS컨테이너배차관리!$X:$X,$B80)))</f>
        <v/>
      </c>
      <c r="V80" t="str">
        <f>IF($B80="","",IF(INDEX(GLAPS컨테이너배차관리!$Z:$Z,$B80)="","",INDEX(GLAPS컨테이너배차관리!$Z:$Z,$B80)))</f>
        <v/>
      </c>
      <c r="W80" t="str">
        <f>IF($B80="","",IF(IF(INDEX(GLAPS컨테이너배차관리!$DI:$DI,$B80)="","",INDEX(GLAPS컨테이너배차관리!$DI:$DI,$B80))&lt;&gt;"",IF(INDEX(GLAPS컨테이너배차관리!$DI:$DI,$B80)="","",INDEX(GLAPS컨테이너배차관리!$DI:$DI,$B80)),IF(IF(INDEX(GLAPS컨테이너배차관리!$DJ:$DJ,$B80)="","",INDEX(GLAPS컨테이너배차관리!$DJ:$DJ,$B80))&lt;&gt;"",IF(INDEX(GLAPS컨테이너배차관리!$DJ:$DJ,$B80)="","",INDEX(GLAPS컨테이너배차관리!$DJ:$DJ,$B80)),IF(IF(INDEX(GLAPS컨테이너배차관리!$DK:$DK,$B80)="","",INDEX(GLAPS컨테이너배차관리!$DK:$DK,$B80))&lt;&gt;"",IF(INDEX(GLAPS컨테이너배차관리!$DK:$DK,$B80)="","",INDEX(GLAPS컨테이너배차관리!$DK:$DK,$B80)),IF(IF(INDEX(GLAPS컨테이너배차관리!$DL:$DL,$B80)="","",INDEX(GLAPS컨테이너배차관리!$DL:$DL,$B80))&lt;&gt;"",IF(INDEX(GLAPS컨테이너배차관리!$DL:$DL,$B80)="","",INDEX(GLAPS컨테이너배차관리!$DL:$DL,$B80)),IF(IF(INDEX(GLAPS컨테이너배차관리!$DM:$DM,$B80)="","",INDEX(GLAPS컨테이너배차관리!$DM:$DM,$B80))&lt;&gt;"",IF(INDEX(GLAPS컨테이너배차관리!$DM:$DM,$B80)="","",INDEX(GLAPS컨테이너배차관리!$DM:$DM,$B80)),""))))))</f>
        <v/>
      </c>
      <c r="X80" t="str">
        <f>IF($B80="","",IF(INDEX(GLAPS컨테이너배차관리!$F:$F,$B80)="","",INDEX(GLAPS컨테이너배차관리!$F:$F,$B80)))</f>
        <v/>
      </c>
      <c r="Y80" t="str">
        <f>IF($B80="","",IF(IF(INDEX(GLAPS컨테이너배차관리!$M:$M,$B80)="","",INDEX(GLAPS컨테이너배차관리!$M:$M,$B80))&lt;&gt;"",IF(INDEX(GLAPS컨테이너배차관리!$M:$M,$B80)="","",INDEX(GLAPS컨테이너배차관리!$M:$M,$B80)),IF(IF(INDEX(GLAPS컨테이너배차관리!$N:$N,$B80)="","",INDEX(GLAPS컨테이너배차관리!$N:$N,$B80))&lt;&gt;"",IF(INDEX(GLAPS컨테이너배차관리!$N:$N,$B80)="","",INDEX(GLAPS컨테이너배차관리!$N:$N,$B80)),"")))</f>
        <v/>
      </c>
      <c r="Z80" t="str">
        <f>IF($B80="","",IF(IF(INDEX(GLAPS컨테이너배차관리!$CU:$CU,$B80)="","",INDEX(GLAPS컨테이너배차관리!$CU:$CU,$B80))="","",IFERROR(INT(IF(INDEX(GLAPS컨테이너배차관리!$CU:$CU,$B80)="","",INDEX(GLAPS컨테이너배차관리!$CU:$CU,$B80))),"")))</f>
        <v/>
      </c>
      <c r="AA80" t="str">
        <f>IF($B80="","",IF(AND(IF(INDEX(GLAPS컨테이너배차관리!$CL:$CL,$B80)="","",INDEX(GLAPS컨테이너배차관리!$CL:$CL,$B80))="",IF(INDEX(GLAPS컨테이너배차관리!$CM:$CM,$B80)="","",INDEX(GLAPS컨테이너배차관리!$CM:$CM,$B80))=""),"",IF(OR(IF(INDEX(GLAPS컨테이너배차관리!$CL:$CL,$B80)="","",INDEX(GLAPS컨테이너배차관리!$CL:$CL,$B80))="B000016649",ISNUMBER(SEARCH("B015",IF(INDEX(GLAPS컨테이너배차관리!$CM:$CM,$B80)="","",INDEX(GLAPS컨테이너배차관리!$CM:$CM,$B80)))),ISNUMBER(SEARCH("세방",IF(INDEX(GLAPS컨테이너배차관리!$CM:$CM,$B80)="","",INDEX(GLAPS컨테이너배차관리!$CM:$CM,$B80)))),ISNUMBER(SEARCH("SB",IF(INDEX(GLAPS컨테이너배차관리!$CM:$CM,$B80)="","",INDEX(GLAPS컨테이너배차관리!$CM:$CM,$B80))))),"세방","")))</f>
        <v/>
      </c>
      <c r="AB80" t="str">
        <f>IF($B80="","",IF(IF(INDEX(GLAPS컨테이너배차관리!$CM:$CM,$B80)="","",INDEX(GLAPS컨테이너배차관리!$CM:$CM,$B80))="","",IF(ISNUMBER(SEARCH("이지스두동",IF(INDEX(GLAPS컨테이너배차관리!$CM:$CM,$B80)="","",INDEX(GLAPS컨테이너배차관리!$CM:$CM,$B80)))),"이지스두동",IF(ISNUMBER(SEARCH("이지스녹산",IF(INDEX(GLAPS컨테이너배차관리!$CM:$CM,$B80)="","",INDEX(GLAPS컨테이너배차관리!$CM:$CM,$B80)))),"이지스녹산",IF(ISNUMBER(SEARCH("천우",IF(INDEX(GLAPS컨테이너배차관리!$CM:$CM,$B80)="","",INDEX(GLAPS컨테이너배차관리!$CM:$CM,$B80)))),"천우",IF(OR(ISNUMBER(SEARCH("청암",IF(INDEX(GLAPS컨테이너배차관리!$CM:$CM,$B80)="","",INDEX(GLAPS컨테이너배차관리!$CM:$CM,$B80)))),ISNUMBER(SEARCH("SB청암",IF(INDEX(GLAPS컨테이너배차관리!$CM:$CM,$B80)="","",INDEX(GLAPS컨테이너배차관리!$CM:$CM,$B80))))),"청암신항",IF(INDEX(GLAPS컨테이너배차관리!$CM:$CM,$B80)="","",INDEX(GLAPS컨테이너배차관리!$CM:$CM,$B80))))))))</f>
        <v/>
      </c>
    </row>
    <row r="81" spans="1:28">
      <c r="A81">
        <v>80</v>
      </c>
      <c r="B81" t="str">
        <f>IFERROR(_xlfn.AGGREGATE(15,6,ROW(GLAPS컨테이너배차관리!$X$2:$X$20000)/(GLAPS컨테이너배차관리!$X$2:$X$20000&lt;&gt;""),A81),"")</f>
        <v/>
      </c>
      <c r="C81" t="str">
        <f>IF($B81="","",INT(IF(INDEX(GLAPS컨테이너배차관리!$K:$K,$B81)="","",INDEX(GLAPS컨테이너배차관리!$K:$K,$B81))))</f>
        <v/>
      </c>
      <c r="D81" t="str">
        <f>IF($B81="","",IF(ISNUMBER(SEARCH("이엘에스",IF(INDEX(GLAPS컨테이너배차관리!$AZ:$AZ,$B81)="","",INDEX(GLAPS컨테이너배차관리!$AZ:$AZ,$B81)))),"ELS솔루션",IF(INDEX(GLAPS컨테이너배차관리!$AZ:$AZ,$B81)="","",INDEX(GLAPS컨테이너배차관리!$AZ:$AZ,$B81))))</f>
        <v/>
      </c>
      <c r="E81" t="str">
        <f>IF($B81="","",IF(INDEX(GLAPS컨테이너배차관리!$L:$L,$B81)="","",INDEX(GLAPS컨테이너배차관리!$L:$L,$B81)))</f>
        <v/>
      </c>
      <c r="F81" t="str">
        <f>IF($B81="","",IF(HOUR(IF(INDEX(GLAPS컨테이너배차관리!$L:$L,$B81)="","",INDEX(GLAPS컨테이너배차관리!$L:$L,$B81)))&lt;12,"오전",IF(HOUR(IF(INDEX(GLAPS컨테이너배차관리!$L:$L,$B81)="","",INDEX(GLAPS컨테이너배차관리!$L:$L,$B81)))&lt;18,"오후","잔업")))</f>
        <v/>
      </c>
      <c r="G81" t="str">
        <f>IF($B81="","",IFERROR(INDEX(GLAPS정리!$G$3:$G$264,MATCH(IF(INDEX(GLAPS컨테이너배차관리!$BY:$BY,$B81)="","",INDEX(GLAPS컨테이너배차관리!$BY:$BY,$B81)),GLAPS정리!$H$3:$H$264,0)),TRIM(SUBSTITUTE(SUBSTITUTE(SUBSTITUTE(SUBSTITUTE(SUBSTITUTE(IF(INDEX(GLAPS컨테이너배차관리!$T:$T,$B81)="","",INDEX(GLAPS컨테이너배차관리!$T:$T,$B81)),"[GA]",""),"[GB]",""),"[GC]",""),"[KC]",""),"[GS]",""))))</f>
        <v/>
      </c>
      <c r="H81" t="str">
        <f>IF($B81="","",IFERROR(VLOOKUP(IF(INDEX(GLAPS컨테이너배차관리!$BY:$BY,$B81)="","",INDEX(GLAPS컨테이너배차관리!$BY:$BY,$B81)),GLAPS정리!$BT$3:$BV$200,3,0),""))</f>
        <v/>
      </c>
      <c r="I81" t="str">
        <f>IF($B81="","",LEFT(IF(INDEX(GLAPS컨테이너배차관리!$U:$U,$B81)="","",INDEX(GLAPS컨테이너배차관리!$U:$U,$B81)),FIND("/",IF(INDEX(GLAPS컨테이너배차관리!$U:$U,$B81)="","",INDEX(GLAPS컨테이너배차관리!$U:$U,$B81))&amp;"/")-1))</f>
        <v/>
      </c>
      <c r="J81" t="str">
        <f>IF($B81="","",IF(IF(INDEX(GLAPS컨테이너배차관리!$O:$O,$B81)="","",INDEX(GLAPS컨테이너배차관리!$O:$O,$B81))="EMC","EMA",IFERROR(INDEX(GLAPS정리!$A$2:$A$50,MATCH(IF(INDEX(GLAPS컨테이너배차관리!$O:$O,$B81)="","",INDEX(GLAPS컨테이너배차관리!$O:$O,$B81)),GLAPS정리!$D$2:$D$50,0)),IF(INDEX(GLAPS컨테이너배차관리!$O:$O,$B81)="","",INDEX(GLAPS컨테이너배차관리!$O:$O,$B81)))))</f>
        <v/>
      </c>
      <c r="K81" t="str">
        <f>IF($B81="","",IF(LEFT(IF(INDEX(GLAPS컨테이너배차관리!$Y:$Y,$B81)="","",INDEX(GLAPS컨테이너배차관리!$Y:$Y,$B81)),2)="22","20 Feet",IF(LEFT(IF(INDEX(GLAPS컨테이너배차관리!$Y:$Y,$B81)="","",INDEX(GLAPS컨테이너배차관리!$Y:$Y,$B81)),2)="42","40 Feet","40 Feet H")))</f>
        <v/>
      </c>
      <c r="L81" t="str">
        <f>IF($B81="","",IFERROR(INDEX(GLAPS정리!$BB$2:$BB$80,MATCH(IF(INDEX(GLAPS컨테이너배차관리!$BQ:$BQ,$B81)="","",INDEX(GLAPS컨테이너배차관리!$BQ:$BQ,$B81)),GLAPS정리!$BC$2:$BC$80,0)),IF(INDEX(GLAPS컨테이너배차관리!$BQ:$BQ,$B81)="","",INDEX(GLAPS컨테이너배차관리!$BQ:$BQ,$B81))))</f>
        <v/>
      </c>
      <c r="M81" t="str">
        <f>IF($B81="","",IFERROR(INDEX(GLAPS정리!$V$3:$V$180,MATCH(IF(INDEX(GLAPS컨테이너배차관리!$S:$S,$B81)="","",INDEX(GLAPS컨테이너배차관리!$S:$S,$B81)),GLAPS정리!$W$3:$W$180,0)),IF(INDEX(GLAPS컨테이너배차관리!$S:$S,$B81)="","",INDEX(GLAPS컨테이너배차관리!$S:$S,$B81))))</f>
        <v/>
      </c>
      <c r="N81" t="str">
        <f>IF($B81="","",IF(IF(INDEX(GLAPS컨테이너배차관리!$DF:$DF,$B81)="","",INDEX(GLAPS컨테이너배차관리!$DF:$DF,$B81))&lt;&gt;"",IF(INDEX(GLAPS컨테이너배차관리!$DF:$DF,$B81)="","",INDEX(GLAPS컨테이너배차관리!$DF:$DF,$B81)),IF(IF(INDEX(GLAPS컨테이너배차관리!$DG:$DG,$B81)="","",INDEX(GLAPS컨테이너배차관리!$DG:$DG,$B81))&lt;&gt;"",IF(INDEX(GLAPS컨테이너배차관리!$DG:$DG,$B81)="","",INDEX(GLAPS컨테이너배차관리!$DG:$DG,$B81)),"")))</f>
        <v/>
      </c>
      <c r="O81" t="str">
        <f>IF($B81="","",IF(INDEX(GLAPS컨테이너배차관리!$AB:$AB,$B81)="","",INDEX(GLAPS컨테이너배차관리!$AB:$AB,$B81)))</f>
        <v/>
      </c>
      <c r="P81" t="str">
        <f>IF($B81="","",IF(IF(INDEX(GLAPS컨테이너배차관리!$CP:$CP,$B81)="","",INDEX(GLAPS컨테이너배차관리!$CP:$CP,$B81))="","",IFERROR(INDEX(GLAPS정리!$BH$2:$BH$101,MATCH(IF(INDEX(GLAPS컨테이너배차관리!$CP:$CP,$B81)="","",INDEX(GLAPS컨테이너배차관리!$CP:$CP,$B81)),GLAPS정리!$BI$2:$BI$101,0)),IF(INDEX(GLAPS컨테이너배차관리!$CP:$CP,$B81)="","",INDEX(GLAPS컨테이너배차관리!$CP:$CP,$B81)))))</f>
        <v/>
      </c>
      <c r="Q81" t="str">
        <f>IF($B81="","",IF(AND(IF(INDEX(GLAPS컨테이너배차관리!$AK:$AK,$B81)="","",INDEX(GLAPS컨테이너배차관리!$AK:$AK,$B81))="Y",IF(INDEX(GLAPS컨테이너배차관리!$AI:$AI,$B81)="","",INDEX(GLAPS컨테이너배차관리!$AI:$AI,$B81))="Y"),"위험물리퍼",IF(IF(INDEX(GLAPS컨테이너배차관리!$AK:$AK,$B81)="","",INDEX(GLAPS컨테이너배차관리!$AK:$AK,$B81))="Y","위험물",IF(IF(INDEX(GLAPS컨테이너배차관리!$AI:$AI,$B81)="","",INDEX(GLAPS컨테이너배차관리!$AI:$AI,$B81))="Y","리퍼",""))))</f>
        <v/>
      </c>
      <c r="R81" t="str">
        <f>IF($B81="","",IF(LEFT(IF(INDEX(GLAPS컨테이너배차관리!$Y:$Y,$B81)="","",INDEX(GLAPS컨테이너배차관리!$Y:$Y,$B81)),2)="22",1,""))</f>
        <v/>
      </c>
      <c r="S81" t="str">
        <f>IF($B81="","",IF(LEFT(IF(INDEX(GLAPS컨테이너배차관리!$Y:$Y,$B81)="","",INDEX(GLAPS컨테이너배차관리!$Y:$Y,$B81)),2)="42",1,""))</f>
        <v/>
      </c>
      <c r="T81" t="str">
        <f>IF($B81="","",IF(LEFT(IF(INDEX(GLAPS컨테이너배차관리!$Y:$Y,$B81)="","",INDEX(GLAPS컨테이너배차관리!$Y:$Y,$B81)),2)="45",1,""))</f>
        <v/>
      </c>
      <c r="U81" t="str">
        <f>IF($B81="","",IF(INDEX(GLAPS컨테이너배차관리!$X:$X,$B81)="","",INDEX(GLAPS컨테이너배차관리!$X:$X,$B81)))</f>
        <v/>
      </c>
      <c r="V81" t="str">
        <f>IF($B81="","",IF(INDEX(GLAPS컨테이너배차관리!$Z:$Z,$B81)="","",INDEX(GLAPS컨테이너배차관리!$Z:$Z,$B81)))</f>
        <v/>
      </c>
      <c r="W81" t="str">
        <f>IF($B81="","",IF(IF(INDEX(GLAPS컨테이너배차관리!$DI:$DI,$B81)="","",INDEX(GLAPS컨테이너배차관리!$DI:$DI,$B81))&lt;&gt;"",IF(INDEX(GLAPS컨테이너배차관리!$DI:$DI,$B81)="","",INDEX(GLAPS컨테이너배차관리!$DI:$DI,$B81)),IF(IF(INDEX(GLAPS컨테이너배차관리!$DJ:$DJ,$B81)="","",INDEX(GLAPS컨테이너배차관리!$DJ:$DJ,$B81))&lt;&gt;"",IF(INDEX(GLAPS컨테이너배차관리!$DJ:$DJ,$B81)="","",INDEX(GLAPS컨테이너배차관리!$DJ:$DJ,$B81)),IF(IF(INDEX(GLAPS컨테이너배차관리!$DK:$DK,$B81)="","",INDEX(GLAPS컨테이너배차관리!$DK:$DK,$B81))&lt;&gt;"",IF(INDEX(GLAPS컨테이너배차관리!$DK:$DK,$B81)="","",INDEX(GLAPS컨테이너배차관리!$DK:$DK,$B81)),IF(IF(INDEX(GLAPS컨테이너배차관리!$DL:$DL,$B81)="","",INDEX(GLAPS컨테이너배차관리!$DL:$DL,$B81))&lt;&gt;"",IF(INDEX(GLAPS컨테이너배차관리!$DL:$DL,$B81)="","",INDEX(GLAPS컨테이너배차관리!$DL:$DL,$B81)),IF(IF(INDEX(GLAPS컨테이너배차관리!$DM:$DM,$B81)="","",INDEX(GLAPS컨테이너배차관리!$DM:$DM,$B81))&lt;&gt;"",IF(INDEX(GLAPS컨테이너배차관리!$DM:$DM,$B81)="","",INDEX(GLAPS컨테이너배차관리!$DM:$DM,$B81)),""))))))</f>
        <v/>
      </c>
      <c r="X81" t="str">
        <f>IF($B81="","",IF(INDEX(GLAPS컨테이너배차관리!$F:$F,$B81)="","",INDEX(GLAPS컨테이너배차관리!$F:$F,$B81)))</f>
        <v/>
      </c>
      <c r="Y81" t="str">
        <f>IF($B81="","",IF(IF(INDEX(GLAPS컨테이너배차관리!$M:$M,$B81)="","",INDEX(GLAPS컨테이너배차관리!$M:$M,$B81))&lt;&gt;"",IF(INDEX(GLAPS컨테이너배차관리!$M:$M,$B81)="","",INDEX(GLAPS컨테이너배차관리!$M:$M,$B81)),IF(IF(INDEX(GLAPS컨테이너배차관리!$N:$N,$B81)="","",INDEX(GLAPS컨테이너배차관리!$N:$N,$B81))&lt;&gt;"",IF(INDEX(GLAPS컨테이너배차관리!$N:$N,$B81)="","",INDEX(GLAPS컨테이너배차관리!$N:$N,$B81)),"")))</f>
        <v/>
      </c>
      <c r="Z81" t="str">
        <f>IF($B81="","",IF(IF(INDEX(GLAPS컨테이너배차관리!$CU:$CU,$B81)="","",INDEX(GLAPS컨테이너배차관리!$CU:$CU,$B81))="","",IFERROR(INT(IF(INDEX(GLAPS컨테이너배차관리!$CU:$CU,$B81)="","",INDEX(GLAPS컨테이너배차관리!$CU:$CU,$B81))),"")))</f>
        <v/>
      </c>
      <c r="AA81" t="str">
        <f>IF($B81="","",IF(AND(IF(INDEX(GLAPS컨테이너배차관리!$CL:$CL,$B81)="","",INDEX(GLAPS컨테이너배차관리!$CL:$CL,$B81))="",IF(INDEX(GLAPS컨테이너배차관리!$CM:$CM,$B81)="","",INDEX(GLAPS컨테이너배차관리!$CM:$CM,$B81))=""),"",IF(OR(IF(INDEX(GLAPS컨테이너배차관리!$CL:$CL,$B81)="","",INDEX(GLAPS컨테이너배차관리!$CL:$CL,$B81))="B000016649",ISNUMBER(SEARCH("B015",IF(INDEX(GLAPS컨테이너배차관리!$CM:$CM,$B81)="","",INDEX(GLAPS컨테이너배차관리!$CM:$CM,$B81)))),ISNUMBER(SEARCH("세방",IF(INDEX(GLAPS컨테이너배차관리!$CM:$CM,$B81)="","",INDEX(GLAPS컨테이너배차관리!$CM:$CM,$B81)))),ISNUMBER(SEARCH("SB",IF(INDEX(GLAPS컨테이너배차관리!$CM:$CM,$B81)="","",INDEX(GLAPS컨테이너배차관리!$CM:$CM,$B81))))),"세방","")))</f>
        <v/>
      </c>
      <c r="AB81" t="str">
        <f>IF($B81="","",IF(IF(INDEX(GLAPS컨테이너배차관리!$CM:$CM,$B81)="","",INDEX(GLAPS컨테이너배차관리!$CM:$CM,$B81))="","",IF(ISNUMBER(SEARCH("이지스두동",IF(INDEX(GLAPS컨테이너배차관리!$CM:$CM,$B81)="","",INDEX(GLAPS컨테이너배차관리!$CM:$CM,$B81)))),"이지스두동",IF(ISNUMBER(SEARCH("이지스녹산",IF(INDEX(GLAPS컨테이너배차관리!$CM:$CM,$B81)="","",INDEX(GLAPS컨테이너배차관리!$CM:$CM,$B81)))),"이지스녹산",IF(ISNUMBER(SEARCH("천우",IF(INDEX(GLAPS컨테이너배차관리!$CM:$CM,$B81)="","",INDEX(GLAPS컨테이너배차관리!$CM:$CM,$B81)))),"천우",IF(OR(ISNUMBER(SEARCH("청암",IF(INDEX(GLAPS컨테이너배차관리!$CM:$CM,$B81)="","",INDEX(GLAPS컨테이너배차관리!$CM:$CM,$B81)))),ISNUMBER(SEARCH("SB청암",IF(INDEX(GLAPS컨테이너배차관리!$CM:$CM,$B81)="","",INDEX(GLAPS컨테이너배차관리!$CM:$CM,$B81))))),"청암신항",IF(INDEX(GLAPS컨테이너배차관리!$CM:$CM,$B81)="","",INDEX(GLAPS컨테이너배차관리!$CM:$CM,$B81))))))))</f>
        <v/>
      </c>
    </row>
    <row r="82" spans="1:28">
      <c r="A82">
        <v>81</v>
      </c>
      <c r="B82" t="str">
        <f>IFERROR(_xlfn.AGGREGATE(15,6,ROW(GLAPS컨테이너배차관리!$X$2:$X$20000)/(GLAPS컨테이너배차관리!$X$2:$X$20000&lt;&gt;""),A82),"")</f>
        <v/>
      </c>
      <c r="C82" t="str">
        <f>IF($B82="","",INT(IF(INDEX(GLAPS컨테이너배차관리!$K:$K,$B82)="","",INDEX(GLAPS컨테이너배차관리!$K:$K,$B82))))</f>
        <v/>
      </c>
      <c r="D82" t="str">
        <f>IF($B82="","",IF(ISNUMBER(SEARCH("이엘에스",IF(INDEX(GLAPS컨테이너배차관리!$AZ:$AZ,$B82)="","",INDEX(GLAPS컨테이너배차관리!$AZ:$AZ,$B82)))),"ELS솔루션",IF(INDEX(GLAPS컨테이너배차관리!$AZ:$AZ,$B82)="","",INDEX(GLAPS컨테이너배차관리!$AZ:$AZ,$B82))))</f>
        <v/>
      </c>
      <c r="E82" t="str">
        <f>IF($B82="","",IF(INDEX(GLAPS컨테이너배차관리!$L:$L,$B82)="","",INDEX(GLAPS컨테이너배차관리!$L:$L,$B82)))</f>
        <v/>
      </c>
      <c r="F82" t="str">
        <f>IF($B82="","",IF(HOUR(IF(INDEX(GLAPS컨테이너배차관리!$L:$L,$B82)="","",INDEX(GLAPS컨테이너배차관리!$L:$L,$B82)))&lt;12,"오전",IF(HOUR(IF(INDEX(GLAPS컨테이너배차관리!$L:$L,$B82)="","",INDEX(GLAPS컨테이너배차관리!$L:$L,$B82)))&lt;18,"오후","잔업")))</f>
        <v/>
      </c>
      <c r="G82" t="str">
        <f>IF($B82="","",IFERROR(INDEX(GLAPS정리!$G$3:$G$264,MATCH(IF(INDEX(GLAPS컨테이너배차관리!$BY:$BY,$B82)="","",INDEX(GLAPS컨테이너배차관리!$BY:$BY,$B82)),GLAPS정리!$H$3:$H$264,0)),TRIM(SUBSTITUTE(SUBSTITUTE(SUBSTITUTE(SUBSTITUTE(SUBSTITUTE(IF(INDEX(GLAPS컨테이너배차관리!$T:$T,$B82)="","",INDEX(GLAPS컨테이너배차관리!$T:$T,$B82)),"[GA]",""),"[GB]",""),"[GC]",""),"[KC]",""),"[GS]",""))))</f>
        <v/>
      </c>
      <c r="H82" t="str">
        <f>IF($B82="","",IFERROR(VLOOKUP(IF(INDEX(GLAPS컨테이너배차관리!$BY:$BY,$B82)="","",INDEX(GLAPS컨테이너배차관리!$BY:$BY,$B82)),GLAPS정리!$BT$3:$BV$200,3,0),""))</f>
        <v/>
      </c>
      <c r="I82" t="str">
        <f>IF($B82="","",LEFT(IF(INDEX(GLAPS컨테이너배차관리!$U:$U,$B82)="","",INDEX(GLAPS컨테이너배차관리!$U:$U,$B82)),FIND("/",IF(INDEX(GLAPS컨테이너배차관리!$U:$U,$B82)="","",INDEX(GLAPS컨테이너배차관리!$U:$U,$B82))&amp;"/")-1))</f>
        <v/>
      </c>
      <c r="J82" t="str">
        <f>IF($B82="","",IF(IF(INDEX(GLAPS컨테이너배차관리!$O:$O,$B82)="","",INDEX(GLAPS컨테이너배차관리!$O:$O,$B82))="EMC","EMA",IFERROR(INDEX(GLAPS정리!$A$2:$A$50,MATCH(IF(INDEX(GLAPS컨테이너배차관리!$O:$O,$B82)="","",INDEX(GLAPS컨테이너배차관리!$O:$O,$B82)),GLAPS정리!$D$2:$D$50,0)),IF(INDEX(GLAPS컨테이너배차관리!$O:$O,$B82)="","",INDEX(GLAPS컨테이너배차관리!$O:$O,$B82)))))</f>
        <v/>
      </c>
      <c r="K82" t="str">
        <f>IF($B82="","",IF(LEFT(IF(INDEX(GLAPS컨테이너배차관리!$Y:$Y,$B82)="","",INDEX(GLAPS컨테이너배차관리!$Y:$Y,$B82)),2)="22","20 Feet",IF(LEFT(IF(INDEX(GLAPS컨테이너배차관리!$Y:$Y,$B82)="","",INDEX(GLAPS컨테이너배차관리!$Y:$Y,$B82)),2)="42","40 Feet","40 Feet H")))</f>
        <v/>
      </c>
      <c r="L82" t="str">
        <f>IF($B82="","",IFERROR(INDEX(GLAPS정리!$BB$2:$BB$80,MATCH(IF(INDEX(GLAPS컨테이너배차관리!$BQ:$BQ,$B82)="","",INDEX(GLAPS컨테이너배차관리!$BQ:$BQ,$B82)),GLAPS정리!$BC$2:$BC$80,0)),IF(INDEX(GLAPS컨테이너배차관리!$BQ:$BQ,$B82)="","",INDEX(GLAPS컨테이너배차관리!$BQ:$BQ,$B82))))</f>
        <v/>
      </c>
      <c r="M82" t="str">
        <f>IF($B82="","",IFERROR(INDEX(GLAPS정리!$V$3:$V$180,MATCH(IF(INDEX(GLAPS컨테이너배차관리!$S:$S,$B82)="","",INDEX(GLAPS컨테이너배차관리!$S:$S,$B82)),GLAPS정리!$W$3:$W$180,0)),IF(INDEX(GLAPS컨테이너배차관리!$S:$S,$B82)="","",INDEX(GLAPS컨테이너배차관리!$S:$S,$B82))))</f>
        <v/>
      </c>
      <c r="N82" t="str">
        <f>IF($B82="","",IF(IF(INDEX(GLAPS컨테이너배차관리!$DF:$DF,$B82)="","",INDEX(GLAPS컨테이너배차관리!$DF:$DF,$B82))&lt;&gt;"",IF(INDEX(GLAPS컨테이너배차관리!$DF:$DF,$B82)="","",INDEX(GLAPS컨테이너배차관리!$DF:$DF,$B82)),IF(IF(INDEX(GLAPS컨테이너배차관리!$DG:$DG,$B82)="","",INDEX(GLAPS컨테이너배차관리!$DG:$DG,$B82))&lt;&gt;"",IF(INDEX(GLAPS컨테이너배차관리!$DG:$DG,$B82)="","",INDEX(GLAPS컨테이너배차관리!$DG:$DG,$B82)),"")))</f>
        <v/>
      </c>
      <c r="O82" t="str">
        <f>IF($B82="","",IF(INDEX(GLAPS컨테이너배차관리!$AB:$AB,$B82)="","",INDEX(GLAPS컨테이너배차관리!$AB:$AB,$B82)))</f>
        <v/>
      </c>
      <c r="P82" t="str">
        <f>IF($B82="","",IF(IF(INDEX(GLAPS컨테이너배차관리!$CP:$CP,$B82)="","",INDEX(GLAPS컨테이너배차관리!$CP:$CP,$B82))="","",IFERROR(INDEX(GLAPS정리!$BH$2:$BH$101,MATCH(IF(INDEX(GLAPS컨테이너배차관리!$CP:$CP,$B82)="","",INDEX(GLAPS컨테이너배차관리!$CP:$CP,$B82)),GLAPS정리!$BI$2:$BI$101,0)),IF(INDEX(GLAPS컨테이너배차관리!$CP:$CP,$B82)="","",INDEX(GLAPS컨테이너배차관리!$CP:$CP,$B82)))))</f>
        <v/>
      </c>
      <c r="Q82" t="str">
        <f>IF($B82="","",IF(AND(IF(INDEX(GLAPS컨테이너배차관리!$AK:$AK,$B82)="","",INDEX(GLAPS컨테이너배차관리!$AK:$AK,$B82))="Y",IF(INDEX(GLAPS컨테이너배차관리!$AI:$AI,$B82)="","",INDEX(GLAPS컨테이너배차관리!$AI:$AI,$B82))="Y"),"위험물리퍼",IF(IF(INDEX(GLAPS컨테이너배차관리!$AK:$AK,$B82)="","",INDEX(GLAPS컨테이너배차관리!$AK:$AK,$B82))="Y","위험물",IF(IF(INDEX(GLAPS컨테이너배차관리!$AI:$AI,$B82)="","",INDEX(GLAPS컨테이너배차관리!$AI:$AI,$B82))="Y","리퍼",""))))</f>
        <v/>
      </c>
      <c r="R82" t="str">
        <f>IF($B82="","",IF(LEFT(IF(INDEX(GLAPS컨테이너배차관리!$Y:$Y,$B82)="","",INDEX(GLAPS컨테이너배차관리!$Y:$Y,$B82)),2)="22",1,""))</f>
        <v/>
      </c>
      <c r="S82" t="str">
        <f>IF($B82="","",IF(LEFT(IF(INDEX(GLAPS컨테이너배차관리!$Y:$Y,$B82)="","",INDEX(GLAPS컨테이너배차관리!$Y:$Y,$B82)),2)="42",1,""))</f>
        <v/>
      </c>
      <c r="T82" t="str">
        <f>IF($B82="","",IF(LEFT(IF(INDEX(GLAPS컨테이너배차관리!$Y:$Y,$B82)="","",INDEX(GLAPS컨테이너배차관리!$Y:$Y,$B82)),2)="45",1,""))</f>
        <v/>
      </c>
      <c r="U82" t="str">
        <f>IF($B82="","",IF(INDEX(GLAPS컨테이너배차관리!$X:$X,$B82)="","",INDEX(GLAPS컨테이너배차관리!$X:$X,$B82)))</f>
        <v/>
      </c>
      <c r="V82" t="str">
        <f>IF($B82="","",IF(INDEX(GLAPS컨테이너배차관리!$Z:$Z,$B82)="","",INDEX(GLAPS컨테이너배차관리!$Z:$Z,$B82)))</f>
        <v/>
      </c>
      <c r="W82" t="str">
        <f>IF($B82="","",IF(IF(INDEX(GLAPS컨테이너배차관리!$DI:$DI,$B82)="","",INDEX(GLAPS컨테이너배차관리!$DI:$DI,$B82))&lt;&gt;"",IF(INDEX(GLAPS컨테이너배차관리!$DI:$DI,$B82)="","",INDEX(GLAPS컨테이너배차관리!$DI:$DI,$B82)),IF(IF(INDEX(GLAPS컨테이너배차관리!$DJ:$DJ,$B82)="","",INDEX(GLAPS컨테이너배차관리!$DJ:$DJ,$B82))&lt;&gt;"",IF(INDEX(GLAPS컨테이너배차관리!$DJ:$DJ,$B82)="","",INDEX(GLAPS컨테이너배차관리!$DJ:$DJ,$B82)),IF(IF(INDEX(GLAPS컨테이너배차관리!$DK:$DK,$B82)="","",INDEX(GLAPS컨테이너배차관리!$DK:$DK,$B82))&lt;&gt;"",IF(INDEX(GLAPS컨테이너배차관리!$DK:$DK,$B82)="","",INDEX(GLAPS컨테이너배차관리!$DK:$DK,$B82)),IF(IF(INDEX(GLAPS컨테이너배차관리!$DL:$DL,$B82)="","",INDEX(GLAPS컨테이너배차관리!$DL:$DL,$B82))&lt;&gt;"",IF(INDEX(GLAPS컨테이너배차관리!$DL:$DL,$B82)="","",INDEX(GLAPS컨테이너배차관리!$DL:$DL,$B82)),IF(IF(INDEX(GLAPS컨테이너배차관리!$DM:$DM,$B82)="","",INDEX(GLAPS컨테이너배차관리!$DM:$DM,$B82))&lt;&gt;"",IF(INDEX(GLAPS컨테이너배차관리!$DM:$DM,$B82)="","",INDEX(GLAPS컨테이너배차관리!$DM:$DM,$B82)),""))))))</f>
        <v/>
      </c>
      <c r="X82" t="str">
        <f>IF($B82="","",IF(INDEX(GLAPS컨테이너배차관리!$F:$F,$B82)="","",INDEX(GLAPS컨테이너배차관리!$F:$F,$B82)))</f>
        <v/>
      </c>
      <c r="Y82" t="str">
        <f>IF($B82="","",IF(IF(INDEX(GLAPS컨테이너배차관리!$M:$M,$B82)="","",INDEX(GLAPS컨테이너배차관리!$M:$M,$B82))&lt;&gt;"",IF(INDEX(GLAPS컨테이너배차관리!$M:$M,$B82)="","",INDEX(GLAPS컨테이너배차관리!$M:$M,$B82)),IF(IF(INDEX(GLAPS컨테이너배차관리!$N:$N,$B82)="","",INDEX(GLAPS컨테이너배차관리!$N:$N,$B82))&lt;&gt;"",IF(INDEX(GLAPS컨테이너배차관리!$N:$N,$B82)="","",INDEX(GLAPS컨테이너배차관리!$N:$N,$B82)),"")))</f>
        <v/>
      </c>
      <c r="Z82" t="str">
        <f>IF($B82="","",IF(IF(INDEX(GLAPS컨테이너배차관리!$CU:$CU,$B82)="","",INDEX(GLAPS컨테이너배차관리!$CU:$CU,$B82))="","",IFERROR(INT(IF(INDEX(GLAPS컨테이너배차관리!$CU:$CU,$B82)="","",INDEX(GLAPS컨테이너배차관리!$CU:$CU,$B82))),"")))</f>
        <v/>
      </c>
      <c r="AA82" t="str">
        <f>IF($B82="","",IF(AND(IF(INDEX(GLAPS컨테이너배차관리!$CL:$CL,$B82)="","",INDEX(GLAPS컨테이너배차관리!$CL:$CL,$B82))="",IF(INDEX(GLAPS컨테이너배차관리!$CM:$CM,$B82)="","",INDEX(GLAPS컨테이너배차관리!$CM:$CM,$B82))=""),"",IF(OR(IF(INDEX(GLAPS컨테이너배차관리!$CL:$CL,$B82)="","",INDEX(GLAPS컨테이너배차관리!$CL:$CL,$B82))="B000016649",ISNUMBER(SEARCH("B015",IF(INDEX(GLAPS컨테이너배차관리!$CM:$CM,$B82)="","",INDEX(GLAPS컨테이너배차관리!$CM:$CM,$B82)))),ISNUMBER(SEARCH("세방",IF(INDEX(GLAPS컨테이너배차관리!$CM:$CM,$B82)="","",INDEX(GLAPS컨테이너배차관리!$CM:$CM,$B82)))),ISNUMBER(SEARCH("SB",IF(INDEX(GLAPS컨테이너배차관리!$CM:$CM,$B82)="","",INDEX(GLAPS컨테이너배차관리!$CM:$CM,$B82))))),"세방","")))</f>
        <v/>
      </c>
      <c r="AB82" t="str">
        <f>IF($B82="","",IF(IF(INDEX(GLAPS컨테이너배차관리!$CM:$CM,$B82)="","",INDEX(GLAPS컨테이너배차관리!$CM:$CM,$B82))="","",IF(ISNUMBER(SEARCH("이지스두동",IF(INDEX(GLAPS컨테이너배차관리!$CM:$CM,$B82)="","",INDEX(GLAPS컨테이너배차관리!$CM:$CM,$B82)))),"이지스두동",IF(ISNUMBER(SEARCH("이지스녹산",IF(INDEX(GLAPS컨테이너배차관리!$CM:$CM,$B82)="","",INDEX(GLAPS컨테이너배차관리!$CM:$CM,$B82)))),"이지스녹산",IF(ISNUMBER(SEARCH("천우",IF(INDEX(GLAPS컨테이너배차관리!$CM:$CM,$B82)="","",INDEX(GLAPS컨테이너배차관리!$CM:$CM,$B82)))),"천우",IF(OR(ISNUMBER(SEARCH("청암",IF(INDEX(GLAPS컨테이너배차관리!$CM:$CM,$B82)="","",INDEX(GLAPS컨테이너배차관리!$CM:$CM,$B82)))),ISNUMBER(SEARCH("SB청암",IF(INDEX(GLAPS컨테이너배차관리!$CM:$CM,$B82)="","",INDEX(GLAPS컨테이너배차관리!$CM:$CM,$B82))))),"청암신항",IF(INDEX(GLAPS컨테이너배차관리!$CM:$CM,$B82)="","",INDEX(GLAPS컨테이너배차관리!$CM:$CM,$B82))))))))</f>
        <v/>
      </c>
    </row>
    <row r="83" spans="1:28">
      <c r="A83">
        <v>82</v>
      </c>
      <c r="B83" t="str">
        <f>IFERROR(_xlfn.AGGREGATE(15,6,ROW(GLAPS컨테이너배차관리!$X$2:$X$20000)/(GLAPS컨테이너배차관리!$X$2:$X$20000&lt;&gt;""),A83),"")</f>
        <v/>
      </c>
      <c r="C83" t="str">
        <f>IF($B83="","",INT(IF(INDEX(GLAPS컨테이너배차관리!$K:$K,$B83)="","",INDEX(GLAPS컨테이너배차관리!$K:$K,$B83))))</f>
        <v/>
      </c>
      <c r="D83" t="str">
        <f>IF($B83="","",IF(ISNUMBER(SEARCH("이엘에스",IF(INDEX(GLAPS컨테이너배차관리!$AZ:$AZ,$B83)="","",INDEX(GLAPS컨테이너배차관리!$AZ:$AZ,$B83)))),"ELS솔루션",IF(INDEX(GLAPS컨테이너배차관리!$AZ:$AZ,$B83)="","",INDEX(GLAPS컨테이너배차관리!$AZ:$AZ,$B83))))</f>
        <v/>
      </c>
      <c r="E83" t="str">
        <f>IF($B83="","",IF(INDEX(GLAPS컨테이너배차관리!$L:$L,$B83)="","",INDEX(GLAPS컨테이너배차관리!$L:$L,$B83)))</f>
        <v/>
      </c>
      <c r="F83" t="str">
        <f>IF($B83="","",IF(HOUR(IF(INDEX(GLAPS컨테이너배차관리!$L:$L,$B83)="","",INDEX(GLAPS컨테이너배차관리!$L:$L,$B83)))&lt;12,"오전",IF(HOUR(IF(INDEX(GLAPS컨테이너배차관리!$L:$L,$B83)="","",INDEX(GLAPS컨테이너배차관리!$L:$L,$B83)))&lt;18,"오후","잔업")))</f>
        <v/>
      </c>
      <c r="G83" t="str">
        <f>IF($B83="","",IFERROR(INDEX(GLAPS정리!$G$3:$G$264,MATCH(IF(INDEX(GLAPS컨테이너배차관리!$BY:$BY,$B83)="","",INDEX(GLAPS컨테이너배차관리!$BY:$BY,$B83)),GLAPS정리!$H$3:$H$264,0)),TRIM(SUBSTITUTE(SUBSTITUTE(SUBSTITUTE(SUBSTITUTE(SUBSTITUTE(IF(INDEX(GLAPS컨테이너배차관리!$T:$T,$B83)="","",INDEX(GLAPS컨테이너배차관리!$T:$T,$B83)),"[GA]",""),"[GB]",""),"[GC]",""),"[KC]",""),"[GS]",""))))</f>
        <v/>
      </c>
      <c r="H83" t="str">
        <f>IF($B83="","",IFERROR(VLOOKUP(IF(INDEX(GLAPS컨테이너배차관리!$BY:$BY,$B83)="","",INDEX(GLAPS컨테이너배차관리!$BY:$BY,$B83)),GLAPS정리!$BT$3:$BV$200,3,0),""))</f>
        <v/>
      </c>
      <c r="I83" t="str">
        <f>IF($B83="","",LEFT(IF(INDEX(GLAPS컨테이너배차관리!$U:$U,$B83)="","",INDEX(GLAPS컨테이너배차관리!$U:$U,$B83)),FIND("/",IF(INDEX(GLAPS컨테이너배차관리!$U:$U,$B83)="","",INDEX(GLAPS컨테이너배차관리!$U:$U,$B83))&amp;"/")-1))</f>
        <v/>
      </c>
      <c r="J83" t="str">
        <f>IF($B83="","",IF(IF(INDEX(GLAPS컨테이너배차관리!$O:$O,$B83)="","",INDEX(GLAPS컨테이너배차관리!$O:$O,$B83))="EMC","EMA",IFERROR(INDEX(GLAPS정리!$A$2:$A$50,MATCH(IF(INDEX(GLAPS컨테이너배차관리!$O:$O,$B83)="","",INDEX(GLAPS컨테이너배차관리!$O:$O,$B83)),GLAPS정리!$D$2:$D$50,0)),IF(INDEX(GLAPS컨테이너배차관리!$O:$O,$B83)="","",INDEX(GLAPS컨테이너배차관리!$O:$O,$B83)))))</f>
        <v/>
      </c>
      <c r="K83" t="str">
        <f>IF($B83="","",IF(LEFT(IF(INDEX(GLAPS컨테이너배차관리!$Y:$Y,$B83)="","",INDEX(GLAPS컨테이너배차관리!$Y:$Y,$B83)),2)="22","20 Feet",IF(LEFT(IF(INDEX(GLAPS컨테이너배차관리!$Y:$Y,$B83)="","",INDEX(GLAPS컨테이너배차관리!$Y:$Y,$B83)),2)="42","40 Feet","40 Feet H")))</f>
        <v/>
      </c>
      <c r="L83" t="str">
        <f>IF($B83="","",IFERROR(INDEX(GLAPS정리!$BB$2:$BB$80,MATCH(IF(INDEX(GLAPS컨테이너배차관리!$BQ:$BQ,$B83)="","",INDEX(GLAPS컨테이너배차관리!$BQ:$BQ,$B83)),GLAPS정리!$BC$2:$BC$80,0)),IF(INDEX(GLAPS컨테이너배차관리!$BQ:$BQ,$B83)="","",INDEX(GLAPS컨테이너배차관리!$BQ:$BQ,$B83))))</f>
        <v/>
      </c>
      <c r="M83" t="str">
        <f>IF($B83="","",IFERROR(INDEX(GLAPS정리!$V$3:$V$180,MATCH(IF(INDEX(GLAPS컨테이너배차관리!$S:$S,$B83)="","",INDEX(GLAPS컨테이너배차관리!$S:$S,$B83)),GLAPS정리!$W$3:$W$180,0)),IF(INDEX(GLAPS컨테이너배차관리!$S:$S,$B83)="","",INDEX(GLAPS컨테이너배차관리!$S:$S,$B83))))</f>
        <v/>
      </c>
      <c r="N83" t="str">
        <f>IF($B83="","",IF(IF(INDEX(GLAPS컨테이너배차관리!$DF:$DF,$B83)="","",INDEX(GLAPS컨테이너배차관리!$DF:$DF,$B83))&lt;&gt;"",IF(INDEX(GLAPS컨테이너배차관리!$DF:$DF,$B83)="","",INDEX(GLAPS컨테이너배차관리!$DF:$DF,$B83)),IF(IF(INDEX(GLAPS컨테이너배차관리!$DG:$DG,$B83)="","",INDEX(GLAPS컨테이너배차관리!$DG:$DG,$B83))&lt;&gt;"",IF(INDEX(GLAPS컨테이너배차관리!$DG:$DG,$B83)="","",INDEX(GLAPS컨테이너배차관리!$DG:$DG,$B83)),"")))</f>
        <v/>
      </c>
      <c r="O83" t="str">
        <f>IF($B83="","",IF(INDEX(GLAPS컨테이너배차관리!$AB:$AB,$B83)="","",INDEX(GLAPS컨테이너배차관리!$AB:$AB,$B83)))</f>
        <v/>
      </c>
      <c r="P83" t="str">
        <f>IF($B83="","",IF(IF(INDEX(GLAPS컨테이너배차관리!$CP:$CP,$B83)="","",INDEX(GLAPS컨테이너배차관리!$CP:$CP,$B83))="","",IFERROR(INDEX(GLAPS정리!$BH$2:$BH$101,MATCH(IF(INDEX(GLAPS컨테이너배차관리!$CP:$CP,$B83)="","",INDEX(GLAPS컨테이너배차관리!$CP:$CP,$B83)),GLAPS정리!$BI$2:$BI$101,0)),IF(INDEX(GLAPS컨테이너배차관리!$CP:$CP,$B83)="","",INDEX(GLAPS컨테이너배차관리!$CP:$CP,$B83)))))</f>
        <v/>
      </c>
      <c r="Q83" t="str">
        <f>IF($B83="","",IF(AND(IF(INDEX(GLAPS컨테이너배차관리!$AK:$AK,$B83)="","",INDEX(GLAPS컨테이너배차관리!$AK:$AK,$B83))="Y",IF(INDEX(GLAPS컨테이너배차관리!$AI:$AI,$B83)="","",INDEX(GLAPS컨테이너배차관리!$AI:$AI,$B83))="Y"),"위험물리퍼",IF(IF(INDEX(GLAPS컨테이너배차관리!$AK:$AK,$B83)="","",INDEX(GLAPS컨테이너배차관리!$AK:$AK,$B83))="Y","위험물",IF(IF(INDEX(GLAPS컨테이너배차관리!$AI:$AI,$B83)="","",INDEX(GLAPS컨테이너배차관리!$AI:$AI,$B83))="Y","리퍼",""))))</f>
        <v/>
      </c>
      <c r="R83" t="str">
        <f>IF($B83="","",IF(LEFT(IF(INDEX(GLAPS컨테이너배차관리!$Y:$Y,$B83)="","",INDEX(GLAPS컨테이너배차관리!$Y:$Y,$B83)),2)="22",1,""))</f>
        <v/>
      </c>
      <c r="S83" t="str">
        <f>IF($B83="","",IF(LEFT(IF(INDEX(GLAPS컨테이너배차관리!$Y:$Y,$B83)="","",INDEX(GLAPS컨테이너배차관리!$Y:$Y,$B83)),2)="42",1,""))</f>
        <v/>
      </c>
      <c r="T83" t="str">
        <f>IF($B83="","",IF(LEFT(IF(INDEX(GLAPS컨테이너배차관리!$Y:$Y,$B83)="","",INDEX(GLAPS컨테이너배차관리!$Y:$Y,$B83)),2)="45",1,""))</f>
        <v/>
      </c>
      <c r="U83" t="str">
        <f>IF($B83="","",IF(INDEX(GLAPS컨테이너배차관리!$X:$X,$B83)="","",INDEX(GLAPS컨테이너배차관리!$X:$X,$B83)))</f>
        <v/>
      </c>
      <c r="V83" t="str">
        <f>IF($B83="","",IF(INDEX(GLAPS컨테이너배차관리!$Z:$Z,$B83)="","",INDEX(GLAPS컨테이너배차관리!$Z:$Z,$B83)))</f>
        <v/>
      </c>
      <c r="W83" t="str">
        <f>IF($B83="","",IF(IF(INDEX(GLAPS컨테이너배차관리!$DI:$DI,$B83)="","",INDEX(GLAPS컨테이너배차관리!$DI:$DI,$B83))&lt;&gt;"",IF(INDEX(GLAPS컨테이너배차관리!$DI:$DI,$B83)="","",INDEX(GLAPS컨테이너배차관리!$DI:$DI,$B83)),IF(IF(INDEX(GLAPS컨테이너배차관리!$DJ:$DJ,$B83)="","",INDEX(GLAPS컨테이너배차관리!$DJ:$DJ,$B83))&lt;&gt;"",IF(INDEX(GLAPS컨테이너배차관리!$DJ:$DJ,$B83)="","",INDEX(GLAPS컨테이너배차관리!$DJ:$DJ,$B83)),IF(IF(INDEX(GLAPS컨테이너배차관리!$DK:$DK,$B83)="","",INDEX(GLAPS컨테이너배차관리!$DK:$DK,$B83))&lt;&gt;"",IF(INDEX(GLAPS컨테이너배차관리!$DK:$DK,$B83)="","",INDEX(GLAPS컨테이너배차관리!$DK:$DK,$B83)),IF(IF(INDEX(GLAPS컨테이너배차관리!$DL:$DL,$B83)="","",INDEX(GLAPS컨테이너배차관리!$DL:$DL,$B83))&lt;&gt;"",IF(INDEX(GLAPS컨테이너배차관리!$DL:$DL,$B83)="","",INDEX(GLAPS컨테이너배차관리!$DL:$DL,$B83)),IF(IF(INDEX(GLAPS컨테이너배차관리!$DM:$DM,$B83)="","",INDEX(GLAPS컨테이너배차관리!$DM:$DM,$B83))&lt;&gt;"",IF(INDEX(GLAPS컨테이너배차관리!$DM:$DM,$B83)="","",INDEX(GLAPS컨테이너배차관리!$DM:$DM,$B83)),""))))))</f>
        <v/>
      </c>
      <c r="X83" t="str">
        <f>IF($B83="","",IF(INDEX(GLAPS컨테이너배차관리!$F:$F,$B83)="","",INDEX(GLAPS컨테이너배차관리!$F:$F,$B83)))</f>
        <v/>
      </c>
      <c r="Y83" t="str">
        <f>IF($B83="","",IF(IF(INDEX(GLAPS컨테이너배차관리!$M:$M,$B83)="","",INDEX(GLAPS컨테이너배차관리!$M:$M,$B83))&lt;&gt;"",IF(INDEX(GLAPS컨테이너배차관리!$M:$M,$B83)="","",INDEX(GLAPS컨테이너배차관리!$M:$M,$B83)),IF(IF(INDEX(GLAPS컨테이너배차관리!$N:$N,$B83)="","",INDEX(GLAPS컨테이너배차관리!$N:$N,$B83))&lt;&gt;"",IF(INDEX(GLAPS컨테이너배차관리!$N:$N,$B83)="","",INDEX(GLAPS컨테이너배차관리!$N:$N,$B83)),"")))</f>
        <v/>
      </c>
      <c r="Z83" t="str">
        <f>IF($B83="","",IF(IF(INDEX(GLAPS컨테이너배차관리!$CU:$CU,$B83)="","",INDEX(GLAPS컨테이너배차관리!$CU:$CU,$B83))="","",IFERROR(INT(IF(INDEX(GLAPS컨테이너배차관리!$CU:$CU,$B83)="","",INDEX(GLAPS컨테이너배차관리!$CU:$CU,$B83))),"")))</f>
        <v/>
      </c>
      <c r="AA83" t="str">
        <f>IF($B83="","",IF(AND(IF(INDEX(GLAPS컨테이너배차관리!$CL:$CL,$B83)="","",INDEX(GLAPS컨테이너배차관리!$CL:$CL,$B83))="",IF(INDEX(GLAPS컨테이너배차관리!$CM:$CM,$B83)="","",INDEX(GLAPS컨테이너배차관리!$CM:$CM,$B83))=""),"",IF(OR(IF(INDEX(GLAPS컨테이너배차관리!$CL:$CL,$B83)="","",INDEX(GLAPS컨테이너배차관리!$CL:$CL,$B83))="B000016649",ISNUMBER(SEARCH("B015",IF(INDEX(GLAPS컨테이너배차관리!$CM:$CM,$B83)="","",INDEX(GLAPS컨테이너배차관리!$CM:$CM,$B83)))),ISNUMBER(SEARCH("세방",IF(INDEX(GLAPS컨테이너배차관리!$CM:$CM,$B83)="","",INDEX(GLAPS컨테이너배차관리!$CM:$CM,$B83)))),ISNUMBER(SEARCH("SB",IF(INDEX(GLAPS컨테이너배차관리!$CM:$CM,$B83)="","",INDEX(GLAPS컨테이너배차관리!$CM:$CM,$B83))))),"세방","")))</f>
        <v/>
      </c>
      <c r="AB83" t="str">
        <f>IF($B83="","",IF(IF(INDEX(GLAPS컨테이너배차관리!$CM:$CM,$B83)="","",INDEX(GLAPS컨테이너배차관리!$CM:$CM,$B83))="","",IF(ISNUMBER(SEARCH("이지스두동",IF(INDEX(GLAPS컨테이너배차관리!$CM:$CM,$B83)="","",INDEX(GLAPS컨테이너배차관리!$CM:$CM,$B83)))),"이지스두동",IF(ISNUMBER(SEARCH("이지스녹산",IF(INDEX(GLAPS컨테이너배차관리!$CM:$CM,$B83)="","",INDEX(GLAPS컨테이너배차관리!$CM:$CM,$B83)))),"이지스녹산",IF(ISNUMBER(SEARCH("천우",IF(INDEX(GLAPS컨테이너배차관리!$CM:$CM,$B83)="","",INDEX(GLAPS컨테이너배차관리!$CM:$CM,$B83)))),"천우",IF(OR(ISNUMBER(SEARCH("청암",IF(INDEX(GLAPS컨테이너배차관리!$CM:$CM,$B83)="","",INDEX(GLAPS컨테이너배차관리!$CM:$CM,$B83)))),ISNUMBER(SEARCH("SB청암",IF(INDEX(GLAPS컨테이너배차관리!$CM:$CM,$B83)="","",INDEX(GLAPS컨테이너배차관리!$CM:$CM,$B83))))),"청암신항",IF(INDEX(GLAPS컨테이너배차관리!$CM:$CM,$B83)="","",INDEX(GLAPS컨테이너배차관리!$CM:$CM,$B83))))))))</f>
        <v/>
      </c>
    </row>
    <row r="84" spans="1:28">
      <c r="A84">
        <v>83</v>
      </c>
      <c r="B84" t="str">
        <f>IFERROR(_xlfn.AGGREGATE(15,6,ROW(GLAPS컨테이너배차관리!$X$2:$X$20000)/(GLAPS컨테이너배차관리!$X$2:$X$20000&lt;&gt;""),A84),"")</f>
        <v/>
      </c>
      <c r="C84" t="str">
        <f>IF($B84="","",INT(IF(INDEX(GLAPS컨테이너배차관리!$K:$K,$B84)="","",INDEX(GLAPS컨테이너배차관리!$K:$K,$B84))))</f>
        <v/>
      </c>
      <c r="D84" t="str">
        <f>IF($B84="","",IF(ISNUMBER(SEARCH("이엘에스",IF(INDEX(GLAPS컨테이너배차관리!$AZ:$AZ,$B84)="","",INDEX(GLAPS컨테이너배차관리!$AZ:$AZ,$B84)))),"ELS솔루션",IF(INDEX(GLAPS컨테이너배차관리!$AZ:$AZ,$B84)="","",INDEX(GLAPS컨테이너배차관리!$AZ:$AZ,$B84))))</f>
        <v/>
      </c>
      <c r="E84" t="str">
        <f>IF($B84="","",IF(INDEX(GLAPS컨테이너배차관리!$L:$L,$B84)="","",INDEX(GLAPS컨테이너배차관리!$L:$L,$B84)))</f>
        <v/>
      </c>
      <c r="F84" t="str">
        <f>IF($B84="","",IF(HOUR(IF(INDEX(GLAPS컨테이너배차관리!$L:$L,$B84)="","",INDEX(GLAPS컨테이너배차관리!$L:$L,$B84)))&lt;12,"오전",IF(HOUR(IF(INDEX(GLAPS컨테이너배차관리!$L:$L,$B84)="","",INDEX(GLAPS컨테이너배차관리!$L:$L,$B84)))&lt;18,"오후","잔업")))</f>
        <v/>
      </c>
      <c r="G84" t="str">
        <f>IF($B84="","",IFERROR(INDEX(GLAPS정리!$G$3:$G$264,MATCH(IF(INDEX(GLAPS컨테이너배차관리!$BY:$BY,$B84)="","",INDEX(GLAPS컨테이너배차관리!$BY:$BY,$B84)),GLAPS정리!$H$3:$H$264,0)),TRIM(SUBSTITUTE(SUBSTITUTE(SUBSTITUTE(SUBSTITUTE(SUBSTITUTE(IF(INDEX(GLAPS컨테이너배차관리!$T:$T,$B84)="","",INDEX(GLAPS컨테이너배차관리!$T:$T,$B84)),"[GA]",""),"[GB]",""),"[GC]",""),"[KC]",""),"[GS]",""))))</f>
        <v/>
      </c>
      <c r="H84" t="str">
        <f>IF($B84="","",IFERROR(VLOOKUP(IF(INDEX(GLAPS컨테이너배차관리!$BY:$BY,$B84)="","",INDEX(GLAPS컨테이너배차관리!$BY:$BY,$B84)),GLAPS정리!$BT$3:$BV$200,3,0),""))</f>
        <v/>
      </c>
      <c r="I84" t="str">
        <f>IF($B84="","",LEFT(IF(INDEX(GLAPS컨테이너배차관리!$U:$U,$B84)="","",INDEX(GLAPS컨테이너배차관리!$U:$U,$B84)),FIND("/",IF(INDEX(GLAPS컨테이너배차관리!$U:$U,$B84)="","",INDEX(GLAPS컨테이너배차관리!$U:$U,$B84))&amp;"/")-1))</f>
        <v/>
      </c>
      <c r="J84" t="str">
        <f>IF($B84="","",IF(IF(INDEX(GLAPS컨테이너배차관리!$O:$O,$B84)="","",INDEX(GLAPS컨테이너배차관리!$O:$O,$B84))="EMC","EMA",IFERROR(INDEX(GLAPS정리!$A$2:$A$50,MATCH(IF(INDEX(GLAPS컨테이너배차관리!$O:$O,$B84)="","",INDEX(GLAPS컨테이너배차관리!$O:$O,$B84)),GLAPS정리!$D$2:$D$50,0)),IF(INDEX(GLAPS컨테이너배차관리!$O:$O,$B84)="","",INDEX(GLAPS컨테이너배차관리!$O:$O,$B84)))))</f>
        <v/>
      </c>
      <c r="K84" t="str">
        <f>IF($B84="","",IF(LEFT(IF(INDEX(GLAPS컨테이너배차관리!$Y:$Y,$B84)="","",INDEX(GLAPS컨테이너배차관리!$Y:$Y,$B84)),2)="22","20 Feet",IF(LEFT(IF(INDEX(GLAPS컨테이너배차관리!$Y:$Y,$B84)="","",INDEX(GLAPS컨테이너배차관리!$Y:$Y,$B84)),2)="42","40 Feet","40 Feet H")))</f>
        <v/>
      </c>
      <c r="L84" t="str">
        <f>IF($B84="","",IFERROR(INDEX(GLAPS정리!$BB$2:$BB$80,MATCH(IF(INDEX(GLAPS컨테이너배차관리!$BQ:$BQ,$B84)="","",INDEX(GLAPS컨테이너배차관리!$BQ:$BQ,$B84)),GLAPS정리!$BC$2:$BC$80,0)),IF(INDEX(GLAPS컨테이너배차관리!$BQ:$BQ,$B84)="","",INDEX(GLAPS컨테이너배차관리!$BQ:$BQ,$B84))))</f>
        <v/>
      </c>
      <c r="M84" t="str">
        <f>IF($B84="","",IFERROR(INDEX(GLAPS정리!$V$3:$V$180,MATCH(IF(INDEX(GLAPS컨테이너배차관리!$S:$S,$B84)="","",INDEX(GLAPS컨테이너배차관리!$S:$S,$B84)),GLAPS정리!$W$3:$W$180,0)),IF(INDEX(GLAPS컨테이너배차관리!$S:$S,$B84)="","",INDEX(GLAPS컨테이너배차관리!$S:$S,$B84))))</f>
        <v/>
      </c>
      <c r="N84" t="str">
        <f>IF($B84="","",IF(IF(INDEX(GLAPS컨테이너배차관리!$DF:$DF,$B84)="","",INDEX(GLAPS컨테이너배차관리!$DF:$DF,$B84))&lt;&gt;"",IF(INDEX(GLAPS컨테이너배차관리!$DF:$DF,$B84)="","",INDEX(GLAPS컨테이너배차관리!$DF:$DF,$B84)),IF(IF(INDEX(GLAPS컨테이너배차관리!$DG:$DG,$B84)="","",INDEX(GLAPS컨테이너배차관리!$DG:$DG,$B84))&lt;&gt;"",IF(INDEX(GLAPS컨테이너배차관리!$DG:$DG,$B84)="","",INDEX(GLAPS컨테이너배차관리!$DG:$DG,$B84)),"")))</f>
        <v/>
      </c>
      <c r="O84" t="str">
        <f>IF($B84="","",IF(INDEX(GLAPS컨테이너배차관리!$AB:$AB,$B84)="","",INDEX(GLAPS컨테이너배차관리!$AB:$AB,$B84)))</f>
        <v/>
      </c>
      <c r="P84" t="str">
        <f>IF($B84="","",IF(IF(INDEX(GLAPS컨테이너배차관리!$CP:$CP,$B84)="","",INDEX(GLAPS컨테이너배차관리!$CP:$CP,$B84))="","",IFERROR(INDEX(GLAPS정리!$BH$2:$BH$101,MATCH(IF(INDEX(GLAPS컨테이너배차관리!$CP:$CP,$B84)="","",INDEX(GLAPS컨테이너배차관리!$CP:$CP,$B84)),GLAPS정리!$BI$2:$BI$101,0)),IF(INDEX(GLAPS컨테이너배차관리!$CP:$CP,$B84)="","",INDEX(GLAPS컨테이너배차관리!$CP:$CP,$B84)))))</f>
        <v/>
      </c>
      <c r="Q84" t="str">
        <f>IF($B84="","",IF(AND(IF(INDEX(GLAPS컨테이너배차관리!$AK:$AK,$B84)="","",INDEX(GLAPS컨테이너배차관리!$AK:$AK,$B84))="Y",IF(INDEX(GLAPS컨테이너배차관리!$AI:$AI,$B84)="","",INDEX(GLAPS컨테이너배차관리!$AI:$AI,$B84))="Y"),"위험물리퍼",IF(IF(INDEX(GLAPS컨테이너배차관리!$AK:$AK,$B84)="","",INDEX(GLAPS컨테이너배차관리!$AK:$AK,$B84))="Y","위험물",IF(IF(INDEX(GLAPS컨테이너배차관리!$AI:$AI,$B84)="","",INDEX(GLAPS컨테이너배차관리!$AI:$AI,$B84))="Y","리퍼",""))))</f>
        <v/>
      </c>
      <c r="R84" t="str">
        <f>IF($B84="","",IF(LEFT(IF(INDEX(GLAPS컨테이너배차관리!$Y:$Y,$B84)="","",INDEX(GLAPS컨테이너배차관리!$Y:$Y,$B84)),2)="22",1,""))</f>
        <v/>
      </c>
      <c r="S84" t="str">
        <f>IF($B84="","",IF(LEFT(IF(INDEX(GLAPS컨테이너배차관리!$Y:$Y,$B84)="","",INDEX(GLAPS컨테이너배차관리!$Y:$Y,$B84)),2)="42",1,""))</f>
        <v/>
      </c>
      <c r="T84" t="str">
        <f>IF($B84="","",IF(LEFT(IF(INDEX(GLAPS컨테이너배차관리!$Y:$Y,$B84)="","",INDEX(GLAPS컨테이너배차관리!$Y:$Y,$B84)),2)="45",1,""))</f>
        <v/>
      </c>
      <c r="U84" t="str">
        <f>IF($B84="","",IF(INDEX(GLAPS컨테이너배차관리!$X:$X,$B84)="","",INDEX(GLAPS컨테이너배차관리!$X:$X,$B84)))</f>
        <v/>
      </c>
      <c r="V84" t="str">
        <f>IF($B84="","",IF(INDEX(GLAPS컨테이너배차관리!$Z:$Z,$B84)="","",INDEX(GLAPS컨테이너배차관리!$Z:$Z,$B84)))</f>
        <v/>
      </c>
      <c r="W84" t="str">
        <f>IF($B84="","",IF(IF(INDEX(GLAPS컨테이너배차관리!$DI:$DI,$B84)="","",INDEX(GLAPS컨테이너배차관리!$DI:$DI,$B84))&lt;&gt;"",IF(INDEX(GLAPS컨테이너배차관리!$DI:$DI,$B84)="","",INDEX(GLAPS컨테이너배차관리!$DI:$DI,$B84)),IF(IF(INDEX(GLAPS컨테이너배차관리!$DJ:$DJ,$B84)="","",INDEX(GLAPS컨테이너배차관리!$DJ:$DJ,$B84))&lt;&gt;"",IF(INDEX(GLAPS컨테이너배차관리!$DJ:$DJ,$B84)="","",INDEX(GLAPS컨테이너배차관리!$DJ:$DJ,$B84)),IF(IF(INDEX(GLAPS컨테이너배차관리!$DK:$DK,$B84)="","",INDEX(GLAPS컨테이너배차관리!$DK:$DK,$B84))&lt;&gt;"",IF(INDEX(GLAPS컨테이너배차관리!$DK:$DK,$B84)="","",INDEX(GLAPS컨테이너배차관리!$DK:$DK,$B84)),IF(IF(INDEX(GLAPS컨테이너배차관리!$DL:$DL,$B84)="","",INDEX(GLAPS컨테이너배차관리!$DL:$DL,$B84))&lt;&gt;"",IF(INDEX(GLAPS컨테이너배차관리!$DL:$DL,$B84)="","",INDEX(GLAPS컨테이너배차관리!$DL:$DL,$B84)),IF(IF(INDEX(GLAPS컨테이너배차관리!$DM:$DM,$B84)="","",INDEX(GLAPS컨테이너배차관리!$DM:$DM,$B84))&lt;&gt;"",IF(INDEX(GLAPS컨테이너배차관리!$DM:$DM,$B84)="","",INDEX(GLAPS컨테이너배차관리!$DM:$DM,$B84)),""))))))</f>
        <v/>
      </c>
      <c r="X84" t="str">
        <f>IF($B84="","",IF(INDEX(GLAPS컨테이너배차관리!$F:$F,$B84)="","",INDEX(GLAPS컨테이너배차관리!$F:$F,$B84)))</f>
        <v/>
      </c>
      <c r="Y84" t="str">
        <f>IF($B84="","",IF(IF(INDEX(GLAPS컨테이너배차관리!$M:$M,$B84)="","",INDEX(GLAPS컨테이너배차관리!$M:$M,$B84))&lt;&gt;"",IF(INDEX(GLAPS컨테이너배차관리!$M:$M,$B84)="","",INDEX(GLAPS컨테이너배차관리!$M:$M,$B84)),IF(IF(INDEX(GLAPS컨테이너배차관리!$N:$N,$B84)="","",INDEX(GLAPS컨테이너배차관리!$N:$N,$B84))&lt;&gt;"",IF(INDEX(GLAPS컨테이너배차관리!$N:$N,$B84)="","",INDEX(GLAPS컨테이너배차관리!$N:$N,$B84)),"")))</f>
        <v/>
      </c>
      <c r="Z84" t="str">
        <f>IF($B84="","",IF(IF(INDEX(GLAPS컨테이너배차관리!$CU:$CU,$B84)="","",INDEX(GLAPS컨테이너배차관리!$CU:$CU,$B84))="","",IFERROR(INT(IF(INDEX(GLAPS컨테이너배차관리!$CU:$CU,$B84)="","",INDEX(GLAPS컨테이너배차관리!$CU:$CU,$B84))),"")))</f>
        <v/>
      </c>
      <c r="AA84" t="str">
        <f>IF($B84="","",IF(AND(IF(INDEX(GLAPS컨테이너배차관리!$CL:$CL,$B84)="","",INDEX(GLAPS컨테이너배차관리!$CL:$CL,$B84))="",IF(INDEX(GLAPS컨테이너배차관리!$CM:$CM,$B84)="","",INDEX(GLAPS컨테이너배차관리!$CM:$CM,$B84))=""),"",IF(OR(IF(INDEX(GLAPS컨테이너배차관리!$CL:$CL,$B84)="","",INDEX(GLAPS컨테이너배차관리!$CL:$CL,$B84))="B000016649",ISNUMBER(SEARCH("B015",IF(INDEX(GLAPS컨테이너배차관리!$CM:$CM,$B84)="","",INDEX(GLAPS컨테이너배차관리!$CM:$CM,$B84)))),ISNUMBER(SEARCH("세방",IF(INDEX(GLAPS컨테이너배차관리!$CM:$CM,$B84)="","",INDEX(GLAPS컨테이너배차관리!$CM:$CM,$B84)))),ISNUMBER(SEARCH("SB",IF(INDEX(GLAPS컨테이너배차관리!$CM:$CM,$B84)="","",INDEX(GLAPS컨테이너배차관리!$CM:$CM,$B84))))),"세방","")))</f>
        <v/>
      </c>
      <c r="AB84" t="str">
        <f>IF($B84="","",IF(IF(INDEX(GLAPS컨테이너배차관리!$CM:$CM,$B84)="","",INDEX(GLAPS컨테이너배차관리!$CM:$CM,$B84))="","",IF(ISNUMBER(SEARCH("이지스두동",IF(INDEX(GLAPS컨테이너배차관리!$CM:$CM,$B84)="","",INDEX(GLAPS컨테이너배차관리!$CM:$CM,$B84)))),"이지스두동",IF(ISNUMBER(SEARCH("이지스녹산",IF(INDEX(GLAPS컨테이너배차관리!$CM:$CM,$B84)="","",INDEX(GLAPS컨테이너배차관리!$CM:$CM,$B84)))),"이지스녹산",IF(ISNUMBER(SEARCH("천우",IF(INDEX(GLAPS컨테이너배차관리!$CM:$CM,$B84)="","",INDEX(GLAPS컨테이너배차관리!$CM:$CM,$B84)))),"천우",IF(OR(ISNUMBER(SEARCH("청암",IF(INDEX(GLAPS컨테이너배차관리!$CM:$CM,$B84)="","",INDEX(GLAPS컨테이너배차관리!$CM:$CM,$B84)))),ISNUMBER(SEARCH("SB청암",IF(INDEX(GLAPS컨테이너배차관리!$CM:$CM,$B84)="","",INDEX(GLAPS컨테이너배차관리!$CM:$CM,$B84))))),"청암신항",IF(INDEX(GLAPS컨테이너배차관리!$CM:$CM,$B84)="","",INDEX(GLAPS컨테이너배차관리!$CM:$CM,$B84))))))))</f>
        <v/>
      </c>
    </row>
    <row r="85" spans="1:28">
      <c r="A85">
        <v>84</v>
      </c>
      <c r="B85" t="str">
        <f>IFERROR(_xlfn.AGGREGATE(15,6,ROW(GLAPS컨테이너배차관리!$X$2:$X$20000)/(GLAPS컨테이너배차관리!$X$2:$X$20000&lt;&gt;""),A85),"")</f>
        <v/>
      </c>
      <c r="C85" t="str">
        <f>IF($B85="","",INT(IF(INDEX(GLAPS컨테이너배차관리!$K:$K,$B85)="","",INDEX(GLAPS컨테이너배차관리!$K:$K,$B85))))</f>
        <v/>
      </c>
      <c r="D85" t="str">
        <f>IF($B85="","",IF(ISNUMBER(SEARCH("이엘에스",IF(INDEX(GLAPS컨테이너배차관리!$AZ:$AZ,$B85)="","",INDEX(GLAPS컨테이너배차관리!$AZ:$AZ,$B85)))),"ELS솔루션",IF(INDEX(GLAPS컨테이너배차관리!$AZ:$AZ,$B85)="","",INDEX(GLAPS컨테이너배차관리!$AZ:$AZ,$B85))))</f>
        <v/>
      </c>
      <c r="E85" t="str">
        <f>IF($B85="","",IF(INDEX(GLAPS컨테이너배차관리!$L:$L,$B85)="","",INDEX(GLAPS컨테이너배차관리!$L:$L,$B85)))</f>
        <v/>
      </c>
      <c r="F85" t="str">
        <f>IF($B85="","",IF(HOUR(IF(INDEX(GLAPS컨테이너배차관리!$L:$L,$B85)="","",INDEX(GLAPS컨테이너배차관리!$L:$L,$B85)))&lt;12,"오전",IF(HOUR(IF(INDEX(GLAPS컨테이너배차관리!$L:$L,$B85)="","",INDEX(GLAPS컨테이너배차관리!$L:$L,$B85)))&lt;18,"오후","잔업")))</f>
        <v/>
      </c>
      <c r="G85" t="str">
        <f>IF($B85="","",IFERROR(INDEX(GLAPS정리!$G$3:$G$264,MATCH(IF(INDEX(GLAPS컨테이너배차관리!$BY:$BY,$B85)="","",INDEX(GLAPS컨테이너배차관리!$BY:$BY,$B85)),GLAPS정리!$H$3:$H$264,0)),TRIM(SUBSTITUTE(SUBSTITUTE(SUBSTITUTE(SUBSTITUTE(SUBSTITUTE(IF(INDEX(GLAPS컨테이너배차관리!$T:$T,$B85)="","",INDEX(GLAPS컨테이너배차관리!$T:$T,$B85)),"[GA]",""),"[GB]",""),"[GC]",""),"[KC]",""),"[GS]",""))))</f>
        <v/>
      </c>
      <c r="H85" t="str">
        <f>IF($B85="","",IFERROR(VLOOKUP(IF(INDEX(GLAPS컨테이너배차관리!$BY:$BY,$B85)="","",INDEX(GLAPS컨테이너배차관리!$BY:$BY,$B85)),GLAPS정리!$BT$3:$BV$200,3,0),""))</f>
        <v/>
      </c>
      <c r="I85" t="str">
        <f>IF($B85="","",LEFT(IF(INDEX(GLAPS컨테이너배차관리!$U:$U,$B85)="","",INDEX(GLAPS컨테이너배차관리!$U:$U,$B85)),FIND("/",IF(INDEX(GLAPS컨테이너배차관리!$U:$U,$B85)="","",INDEX(GLAPS컨테이너배차관리!$U:$U,$B85))&amp;"/")-1))</f>
        <v/>
      </c>
      <c r="J85" t="str">
        <f>IF($B85="","",IF(IF(INDEX(GLAPS컨테이너배차관리!$O:$O,$B85)="","",INDEX(GLAPS컨테이너배차관리!$O:$O,$B85))="EMC","EMA",IFERROR(INDEX(GLAPS정리!$A$2:$A$50,MATCH(IF(INDEX(GLAPS컨테이너배차관리!$O:$O,$B85)="","",INDEX(GLAPS컨테이너배차관리!$O:$O,$B85)),GLAPS정리!$D$2:$D$50,0)),IF(INDEX(GLAPS컨테이너배차관리!$O:$O,$B85)="","",INDEX(GLAPS컨테이너배차관리!$O:$O,$B85)))))</f>
        <v/>
      </c>
      <c r="K85" t="str">
        <f>IF($B85="","",IF(LEFT(IF(INDEX(GLAPS컨테이너배차관리!$Y:$Y,$B85)="","",INDEX(GLAPS컨테이너배차관리!$Y:$Y,$B85)),2)="22","20 Feet",IF(LEFT(IF(INDEX(GLAPS컨테이너배차관리!$Y:$Y,$B85)="","",INDEX(GLAPS컨테이너배차관리!$Y:$Y,$B85)),2)="42","40 Feet","40 Feet H")))</f>
        <v/>
      </c>
      <c r="L85" t="str">
        <f>IF($B85="","",IFERROR(INDEX(GLAPS정리!$BB$2:$BB$80,MATCH(IF(INDEX(GLAPS컨테이너배차관리!$BQ:$BQ,$B85)="","",INDEX(GLAPS컨테이너배차관리!$BQ:$BQ,$B85)),GLAPS정리!$BC$2:$BC$80,0)),IF(INDEX(GLAPS컨테이너배차관리!$BQ:$BQ,$B85)="","",INDEX(GLAPS컨테이너배차관리!$BQ:$BQ,$B85))))</f>
        <v/>
      </c>
      <c r="M85" t="str">
        <f>IF($B85="","",IFERROR(INDEX(GLAPS정리!$V$3:$V$180,MATCH(IF(INDEX(GLAPS컨테이너배차관리!$S:$S,$B85)="","",INDEX(GLAPS컨테이너배차관리!$S:$S,$B85)),GLAPS정리!$W$3:$W$180,0)),IF(INDEX(GLAPS컨테이너배차관리!$S:$S,$B85)="","",INDEX(GLAPS컨테이너배차관리!$S:$S,$B85))))</f>
        <v/>
      </c>
      <c r="N85" t="str">
        <f>IF($B85="","",IF(IF(INDEX(GLAPS컨테이너배차관리!$DF:$DF,$B85)="","",INDEX(GLAPS컨테이너배차관리!$DF:$DF,$B85))&lt;&gt;"",IF(INDEX(GLAPS컨테이너배차관리!$DF:$DF,$B85)="","",INDEX(GLAPS컨테이너배차관리!$DF:$DF,$B85)),IF(IF(INDEX(GLAPS컨테이너배차관리!$DG:$DG,$B85)="","",INDEX(GLAPS컨테이너배차관리!$DG:$DG,$B85))&lt;&gt;"",IF(INDEX(GLAPS컨테이너배차관리!$DG:$DG,$B85)="","",INDEX(GLAPS컨테이너배차관리!$DG:$DG,$B85)),"")))</f>
        <v/>
      </c>
      <c r="O85" t="str">
        <f>IF($B85="","",IF(INDEX(GLAPS컨테이너배차관리!$AB:$AB,$B85)="","",INDEX(GLAPS컨테이너배차관리!$AB:$AB,$B85)))</f>
        <v/>
      </c>
      <c r="P85" t="str">
        <f>IF($B85="","",IF(IF(INDEX(GLAPS컨테이너배차관리!$CP:$CP,$B85)="","",INDEX(GLAPS컨테이너배차관리!$CP:$CP,$B85))="","",IFERROR(INDEX(GLAPS정리!$BH$2:$BH$101,MATCH(IF(INDEX(GLAPS컨테이너배차관리!$CP:$CP,$B85)="","",INDEX(GLAPS컨테이너배차관리!$CP:$CP,$B85)),GLAPS정리!$BI$2:$BI$101,0)),IF(INDEX(GLAPS컨테이너배차관리!$CP:$CP,$B85)="","",INDEX(GLAPS컨테이너배차관리!$CP:$CP,$B85)))))</f>
        <v/>
      </c>
      <c r="Q85" t="str">
        <f>IF($B85="","",IF(AND(IF(INDEX(GLAPS컨테이너배차관리!$AK:$AK,$B85)="","",INDEX(GLAPS컨테이너배차관리!$AK:$AK,$B85))="Y",IF(INDEX(GLAPS컨테이너배차관리!$AI:$AI,$B85)="","",INDEX(GLAPS컨테이너배차관리!$AI:$AI,$B85))="Y"),"위험물리퍼",IF(IF(INDEX(GLAPS컨테이너배차관리!$AK:$AK,$B85)="","",INDEX(GLAPS컨테이너배차관리!$AK:$AK,$B85))="Y","위험물",IF(IF(INDEX(GLAPS컨테이너배차관리!$AI:$AI,$B85)="","",INDEX(GLAPS컨테이너배차관리!$AI:$AI,$B85))="Y","리퍼",""))))</f>
        <v/>
      </c>
      <c r="R85" t="str">
        <f>IF($B85="","",IF(LEFT(IF(INDEX(GLAPS컨테이너배차관리!$Y:$Y,$B85)="","",INDEX(GLAPS컨테이너배차관리!$Y:$Y,$B85)),2)="22",1,""))</f>
        <v/>
      </c>
      <c r="S85" t="str">
        <f>IF($B85="","",IF(LEFT(IF(INDEX(GLAPS컨테이너배차관리!$Y:$Y,$B85)="","",INDEX(GLAPS컨테이너배차관리!$Y:$Y,$B85)),2)="42",1,""))</f>
        <v/>
      </c>
      <c r="T85" t="str">
        <f>IF($B85="","",IF(LEFT(IF(INDEX(GLAPS컨테이너배차관리!$Y:$Y,$B85)="","",INDEX(GLAPS컨테이너배차관리!$Y:$Y,$B85)),2)="45",1,""))</f>
        <v/>
      </c>
      <c r="U85" t="str">
        <f>IF($B85="","",IF(INDEX(GLAPS컨테이너배차관리!$X:$X,$B85)="","",INDEX(GLAPS컨테이너배차관리!$X:$X,$B85)))</f>
        <v/>
      </c>
      <c r="V85" t="str">
        <f>IF($B85="","",IF(INDEX(GLAPS컨테이너배차관리!$Z:$Z,$B85)="","",INDEX(GLAPS컨테이너배차관리!$Z:$Z,$B85)))</f>
        <v/>
      </c>
      <c r="W85" t="str">
        <f>IF($B85="","",IF(IF(INDEX(GLAPS컨테이너배차관리!$DI:$DI,$B85)="","",INDEX(GLAPS컨테이너배차관리!$DI:$DI,$B85))&lt;&gt;"",IF(INDEX(GLAPS컨테이너배차관리!$DI:$DI,$B85)="","",INDEX(GLAPS컨테이너배차관리!$DI:$DI,$B85)),IF(IF(INDEX(GLAPS컨테이너배차관리!$DJ:$DJ,$B85)="","",INDEX(GLAPS컨테이너배차관리!$DJ:$DJ,$B85))&lt;&gt;"",IF(INDEX(GLAPS컨테이너배차관리!$DJ:$DJ,$B85)="","",INDEX(GLAPS컨테이너배차관리!$DJ:$DJ,$B85)),IF(IF(INDEX(GLAPS컨테이너배차관리!$DK:$DK,$B85)="","",INDEX(GLAPS컨테이너배차관리!$DK:$DK,$B85))&lt;&gt;"",IF(INDEX(GLAPS컨테이너배차관리!$DK:$DK,$B85)="","",INDEX(GLAPS컨테이너배차관리!$DK:$DK,$B85)),IF(IF(INDEX(GLAPS컨테이너배차관리!$DL:$DL,$B85)="","",INDEX(GLAPS컨테이너배차관리!$DL:$DL,$B85))&lt;&gt;"",IF(INDEX(GLAPS컨테이너배차관리!$DL:$DL,$B85)="","",INDEX(GLAPS컨테이너배차관리!$DL:$DL,$B85)),IF(IF(INDEX(GLAPS컨테이너배차관리!$DM:$DM,$B85)="","",INDEX(GLAPS컨테이너배차관리!$DM:$DM,$B85))&lt;&gt;"",IF(INDEX(GLAPS컨테이너배차관리!$DM:$DM,$B85)="","",INDEX(GLAPS컨테이너배차관리!$DM:$DM,$B85)),""))))))</f>
        <v/>
      </c>
      <c r="X85" t="str">
        <f>IF($B85="","",IF(INDEX(GLAPS컨테이너배차관리!$F:$F,$B85)="","",INDEX(GLAPS컨테이너배차관리!$F:$F,$B85)))</f>
        <v/>
      </c>
      <c r="Y85" t="str">
        <f>IF($B85="","",IF(IF(INDEX(GLAPS컨테이너배차관리!$M:$M,$B85)="","",INDEX(GLAPS컨테이너배차관리!$M:$M,$B85))&lt;&gt;"",IF(INDEX(GLAPS컨테이너배차관리!$M:$M,$B85)="","",INDEX(GLAPS컨테이너배차관리!$M:$M,$B85)),IF(IF(INDEX(GLAPS컨테이너배차관리!$N:$N,$B85)="","",INDEX(GLAPS컨테이너배차관리!$N:$N,$B85))&lt;&gt;"",IF(INDEX(GLAPS컨테이너배차관리!$N:$N,$B85)="","",INDEX(GLAPS컨테이너배차관리!$N:$N,$B85)),"")))</f>
        <v/>
      </c>
      <c r="Z85" t="str">
        <f>IF($B85="","",IF(IF(INDEX(GLAPS컨테이너배차관리!$CU:$CU,$B85)="","",INDEX(GLAPS컨테이너배차관리!$CU:$CU,$B85))="","",IFERROR(INT(IF(INDEX(GLAPS컨테이너배차관리!$CU:$CU,$B85)="","",INDEX(GLAPS컨테이너배차관리!$CU:$CU,$B85))),"")))</f>
        <v/>
      </c>
      <c r="AA85" t="str">
        <f>IF($B85="","",IF(AND(IF(INDEX(GLAPS컨테이너배차관리!$CL:$CL,$B85)="","",INDEX(GLAPS컨테이너배차관리!$CL:$CL,$B85))="",IF(INDEX(GLAPS컨테이너배차관리!$CM:$CM,$B85)="","",INDEX(GLAPS컨테이너배차관리!$CM:$CM,$B85))=""),"",IF(OR(IF(INDEX(GLAPS컨테이너배차관리!$CL:$CL,$B85)="","",INDEX(GLAPS컨테이너배차관리!$CL:$CL,$B85))="B000016649",ISNUMBER(SEARCH("B015",IF(INDEX(GLAPS컨테이너배차관리!$CM:$CM,$B85)="","",INDEX(GLAPS컨테이너배차관리!$CM:$CM,$B85)))),ISNUMBER(SEARCH("세방",IF(INDEX(GLAPS컨테이너배차관리!$CM:$CM,$B85)="","",INDEX(GLAPS컨테이너배차관리!$CM:$CM,$B85)))),ISNUMBER(SEARCH("SB",IF(INDEX(GLAPS컨테이너배차관리!$CM:$CM,$B85)="","",INDEX(GLAPS컨테이너배차관리!$CM:$CM,$B85))))),"세방","")))</f>
        <v/>
      </c>
      <c r="AB85" t="str">
        <f>IF($B85="","",IF(IF(INDEX(GLAPS컨테이너배차관리!$CM:$CM,$B85)="","",INDEX(GLAPS컨테이너배차관리!$CM:$CM,$B85))="","",IF(ISNUMBER(SEARCH("이지스두동",IF(INDEX(GLAPS컨테이너배차관리!$CM:$CM,$B85)="","",INDEX(GLAPS컨테이너배차관리!$CM:$CM,$B85)))),"이지스두동",IF(ISNUMBER(SEARCH("이지스녹산",IF(INDEX(GLAPS컨테이너배차관리!$CM:$CM,$B85)="","",INDEX(GLAPS컨테이너배차관리!$CM:$CM,$B85)))),"이지스녹산",IF(ISNUMBER(SEARCH("천우",IF(INDEX(GLAPS컨테이너배차관리!$CM:$CM,$B85)="","",INDEX(GLAPS컨테이너배차관리!$CM:$CM,$B85)))),"천우",IF(OR(ISNUMBER(SEARCH("청암",IF(INDEX(GLAPS컨테이너배차관리!$CM:$CM,$B85)="","",INDEX(GLAPS컨테이너배차관리!$CM:$CM,$B85)))),ISNUMBER(SEARCH("SB청암",IF(INDEX(GLAPS컨테이너배차관리!$CM:$CM,$B85)="","",INDEX(GLAPS컨테이너배차관리!$CM:$CM,$B85))))),"청암신항",IF(INDEX(GLAPS컨테이너배차관리!$CM:$CM,$B85)="","",INDEX(GLAPS컨테이너배차관리!$CM:$CM,$B85))))))))</f>
        <v/>
      </c>
    </row>
    <row r="86" spans="1:28">
      <c r="A86">
        <v>85</v>
      </c>
      <c r="B86" t="str">
        <f>IFERROR(_xlfn.AGGREGATE(15,6,ROW(GLAPS컨테이너배차관리!$X$2:$X$20000)/(GLAPS컨테이너배차관리!$X$2:$X$20000&lt;&gt;""),A86),"")</f>
        <v/>
      </c>
      <c r="C86" t="str">
        <f>IF($B86="","",INT(IF(INDEX(GLAPS컨테이너배차관리!$K:$K,$B86)="","",INDEX(GLAPS컨테이너배차관리!$K:$K,$B86))))</f>
        <v/>
      </c>
      <c r="D86" t="str">
        <f>IF($B86="","",IF(ISNUMBER(SEARCH("이엘에스",IF(INDEX(GLAPS컨테이너배차관리!$AZ:$AZ,$B86)="","",INDEX(GLAPS컨테이너배차관리!$AZ:$AZ,$B86)))),"ELS솔루션",IF(INDEX(GLAPS컨테이너배차관리!$AZ:$AZ,$B86)="","",INDEX(GLAPS컨테이너배차관리!$AZ:$AZ,$B86))))</f>
        <v/>
      </c>
      <c r="E86" t="str">
        <f>IF($B86="","",IF(INDEX(GLAPS컨테이너배차관리!$L:$L,$B86)="","",INDEX(GLAPS컨테이너배차관리!$L:$L,$B86)))</f>
        <v/>
      </c>
      <c r="F86" t="str">
        <f>IF($B86="","",IF(HOUR(IF(INDEX(GLAPS컨테이너배차관리!$L:$L,$B86)="","",INDEX(GLAPS컨테이너배차관리!$L:$L,$B86)))&lt;12,"오전",IF(HOUR(IF(INDEX(GLAPS컨테이너배차관리!$L:$L,$B86)="","",INDEX(GLAPS컨테이너배차관리!$L:$L,$B86)))&lt;18,"오후","잔업")))</f>
        <v/>
      </c>
      <c r="G86" t="str">
        <f>IF($B86="","",IFERROR(INDEX(GLAPS정리!$G$3:$G$264,MATCH(IF(INDEX(GLAPS컨테이너배차관리!$BY:$BY,$B86)="","",INDEX(GLAPS컨테이너배차관리!$BY:$BY,$B86)),GLAPS정리!$H$3:$H$264,0)),TRIM(SUBSTITUTE(SUBSTITUTE(SUBSTITUTE(SUBSTITUTE(SUBSTITUTE(IF(INDEX(GLAPS컨테이너배차관리!$T:$T,$B86)="","",INDEX(GLAPS컨테이너배차관리!$T:$T,$B86)),"[GA]",""),"[GB]",""),"[GC]",""),"[KC]",""),"[GS]",""))))</f>
        <v/>
      </c>
      <c r="H86" t="str">
        <f>IF($B86="","",IFERROR(VLOOKUP(IF(INDEX(GLAPS컨테이너배차관리!$BY:$BY,$B86)="","",INDEX(GLAPS컨테이너배차관리!$BY:$BY,$B86)),GLAPS정리!$BT$3:$BV$200,3,0),""))</f>
        <v/>
      </c>
      <c r="I86" t="str">
        <f>IF($B86="","",LEFT(IF(INDEX(GLAPS컨테이너배차관리!$U:$U,$B86)="","",INDEX(GLAPS컨테이너배차관리!$U:$U,$B86)),FIND("/",IF(INDEX(GLAPS컨테이너배차관리!$U:$U,$B86)="","",INDEX(GLAPS컨테이너배차관리!$U:$U,$B86))&amp;"/")-1))</f>
        <v/>
      </c>
      <c r="J86" t="str">
        <f>IF($B86="","",IF(IF(INDEX(GLAPS컨테이너배차관리!$O:$O,$B86)="","",INDEX(GLAPS컨테이너배차관리!$O:$O,$B86))="EMC","EMA",IFERROR(INDEX(GLAPS정리!$A$2:$A$50,MATCH(IF(INDEX(GLAPS컨테이너배차관리!$O:$O,$B86)="","",INDEX(GLAPS컨테이너배차관리!$O:$O,$B86)),GLAPS정리!$D$2:$D$50,0)),IF(INDEX(GLAPS컨테이너배차관리!$O:$O,$B86)="","",INDEX(GLAPS컨테이너배차관리!$O:$O,$B86)))))</f>
        <v/>
      </c>
      <c r="K86" t="str">
        <f>IF($B86="","",IF(LEFT(IF(INDEX(GLAPS컨테이너배차관리!$Y:$Y,$B86)="","",INDEX(GLAPS컨테이너배차관리!$Y:$Y,$B86)),2)="22","20 Feet",IF(LEFT(IF(INDEX(GLAPS컨테이너배차관리!$Y:$Y,$B86)="","",INDEX(GLAPS컨테이너배차관리!$Y:$Y,$B86)),2)="42","40 Feet","40 Feet H")))</f>
        <v/>
      </c>
      <c r="L86" t="str">
        <f>IF($B86="","",IFERROR(INDEX(GLAPS정리!$BB$2:$BB$80,MATCH(IF(INDEX(GLAPS컨테이너배차관리!$BQ:$BQ,$B86)="","",INDEX(GLAPS컨테이너배차관리!$BQ:$BQ,$B86)),GLAPS정리!$BC$2:$BC$80,0)),IF(INDEX(GLAPS컨테이너배차관리!$BQ:$BQ,$B86)="","",INDEX(GLAPS컨테이너배차관리!$BQ:$BQ,$B86))))</f>
        <v/>
      </c>
      <c r="M86" t="str">
        <f>IF($B86="","",IFERROR(INDEX(GLAPS정리!$V$3:$V$180,MATCH(IF(INDEX(GLAPS컨테이너배차관리!$S:$S,$B86)="","",INDEX(GLAPS컨테이너배차관리!$S:$S,$B86)),GLAPS정리!$W$3:$W$180,0)),IF(INDEX(GLAPS컨테이너배차관리!$S:$S,$B86)="","",INDEX(GLAPS컨테이너배차관리!$S:$S,$B86))))</f>
        <v/>
      </c>
      <c r="N86" t="str">
        <f>IF($B86="","",IF(IF(INDEX(GLAPS컨테이너배차관리!$DF:$DF,$B86)="","",INDEX(GLAPS컨테이너배차관리!$DF:$DF,$B86))&lt;&gt;"",IF(INDEX(GLAPS컨테이너배차관리!$DF:$DF,$B86)="","",INDEX(GLAPS컨테이너배차관리!$DF:$DF,$B86)),IF(IF(INDEX(GLAPS컨테이너배차관리!$DG:$DG,$B86)="","",INDEX(GLAPS컨테이너배차관리!$DG:$DG,$B86))&lt;&gt;"",IF(INDEX(GLAPS컨테이너배차관리!$DG:$DG,$B86)="","",INDEX(GLAPS컨테이너배차관리!$DG:$DG,$B86)),"")))</f>
        <v/>
      </c>
      <c r="O86" t="str">
        <f>IF($B86="","",IF(INDEX(GLAPS컨테이너배차관리!$AB:$AB,$B86)="","",INDEX(GLAPS컨테이너배차관리!$AB:$AB,$B86)))</f>
        <v/>
      </c>
      <c r="P86" t="str">
        <f>IF($B86="","",IF(IF(INDEX(GLAPS컨테이너배차관리!$CP:$CP,$B86)="","",INDEX(GLAPS컨테이너배차관리!$CP:$CP,$B86))="","",IFERROR(INDEX(GLAPS정리!$BH$2:$BH$101,MATCH(IF(INDEX(GLAPS컨테이너배차관리!$CP:$CP,$B86)="","",INDEX(GLAPS컨테이너배차관리!$CP:$CP,$B86)),GLAPS정리!$BI$2:$BI$101,0)),IF(INDEX(GLAPS컨테이너배차관리!$CP:$CP,$B86)="","",INDEX(GLAPS컨테이너배차관리!$CP:$CP,$B86)))))</f>
        <v/>
      </c>
      <c r="Q86" t="str">
        <f>IF($B86="","",IF(AND(IF(INDEX(GLAPS컨테이너배차관리!$AK:$AK,$B86)="","",INDEX(GLAPS컨테이너배차관리!$AK:$AK,$B86))="Y",IF(INDEX(GLAPS컨테이너배차관리!$AI:$AI,$B86)="","",INDEX(GLAPS컨테이너배차관리!$AI:$AI,$B86))="Y"),"위험물리퍼",IF(IF(INDEX(GLAPS컨테이너배차관리!$AK:$AK,$B86)="","",INDEX(GLAPS컨테이너배차관리!$AK:$AK,$B86))="Y","위험물",IF(IF(INDEX(GLAPS컨테이너배차관리!$AI:$AI,$B86)="","",INDEX(GLAPS컨테이너배차관리!$AI:$AI,$B86))="Y","리퍼",""))))</f>
        <v/>
      </c>
      <c r="R86" t="str">
        <f>IF($B86="","",IF(LEFT(IF(INDEX(GLAPS컨테이너배차관리!$Y:$Y,$B86)="","",INDEX(GLAPS컨테이너배차관리!$Y:$Y,$B86)),2)="22",1,""))</f>
        <v/>
      </c>
      <c r="S86" t="str">
        <f>IF($B86="","",IF(LEFT(IF(INDEX(GLAPS컨테이너배차관리!$Y:$Y,$B86)="","",INDEX(GLAPS컨테이너배차관리!$Y:$Y,$B86)),2)="42",1,""))</f>
        <v/>
      </c>
      <c r="T86" t="str">
        <f>IF($B86="","",IF(LEFT(IF(INDEX(GLAPS컨테이너배차관리!$Y:$Y,$B86)="","",INDEX(GLAPS컨테이너배차관리!$Y:$Y,$B86)),2)="45",1,""))</f>
        <v/>
      </c>
      <c r="U86" t="str">
        <f>IF($B86="","",IF(INDEX(GLAPS컨테이너배차관리!$X:$X,$B86)="","",INDEX(GLAPS컨테이너배차관리!$X:$X,$B86)))</f>
        <v/>
      </c>
      <c r="V86" t="str">
        <f>IF($B86="","",IF(INDEX(GLAPS컨테이너배차관리!$Z:$Z,$B86)="","",INDEX(GLAPS컨테이너배차관리!$Z:$Z,$B86)))</f>
        <v/>
      </c>
      <c r="W86" t="str">
        <f>IF($B86="","",IF(IF(INDEX(GLAPS컨테이너배차관리!$DI:$DI,$B86)="","",INDEX(GLAPS컨테이너배차관리!$DI:$DI,$B86))&lt;&gt;"",IF(INDEX(GLAPS컨테이너배차관리!$DI:$DI,$B86)="","",INDEX(GLAPS컨테이너배차관리!$DI:$DI,$B86)),IF(IF(INDEX(GLAPS컨테이너배차관리!$DJ:$DJ,$B86)="","",INDEX(GLAPS컨테이너배차관리!$DJ:$DJ,$B86))&lt;&gt;"",IF(INDEX(GLAPS컨테이너배차관리!$DJ:$DJ,$B86)="","",INDEX(GLAPS컨테이너배차관리!$DJ:$DJ,$B86)),IF(IF(INDEX(GLAPS컨테이너배차관리!$DK:$DK,$B86)="","",INDEX(GLAPS컨테이너배차관리!$DK:$DK,$B86))&lt;&gt;"",IF(INDEX(GLAPS컨테이너배차관리!$DK:$DK,$B86)="","",INDEX(GLAPS컨테이너배차관리!$DK:$DK,$B86)),IF(IF(INDEX(GLAPS컨테이너배차관리!$DL:$DL,$B86)="","",INDEX(GLAPS컨테이너배차관리!$DL:$DL,$B86))&lt;&gt;"",IF(INDEX(GLAPS컨테이너배차관리!$DL:$DL,$B86)="","",INDEX(GLAPS컨테이너배차관리!$DL:$DL,$B86)),IF(IF(INDEX(GLAPS컨테이너배차관리!$DM:$DM,$B86)="","",INDEX(GLAPS컨테이너배차관리!$DM:$DM,$B86))&lt;&gt;"",IF(INDEX(GLAPS컨테이너배차관리!$DM:$DM,$B86)="","",INDEX(GLAPS컨테이너배차관리!$DM:$DM,$B86)),""))))))</f>
        <v/>
      </c>
      <c r="X86" t="str">
        <f>IF($B86="","",IF(INDEX(GLAPS컨테이너배차관리!$F:$F,$B86)="","",INDEX(GLAPS컨테이너배차관리!$F:$F,$B86)))</f>
        <v/>
      </c>
      <c r="Y86" t="str">
        <f>IF($B86="","",IF(IF(INDEX(GLAPS컨테이너배차관리!$M:$M,$B86)="","",INDEX(GLAPS컨테이너배차관리!$M:$M,$B86))&lt;&gt;"",IF(INDEX(GLAPS컨테이너배차관리!$M:$M,$B86)="","",INDEX(GLAPS컨테이너배차관리!$M:$M,$B86)),IF(IF(INDEX(GLAPS컨테이너배차관리!$N:$N,$B86)="","",INDEX(GLAPS컨테이너배차관리!$N:$N,$B86))&lt;&gt;"",IF(INDEX(GLAPS컨테이너배차관리!$N:$N,$B86)="","",INDEX(GLAPS컨테이너배차관리!$N:$N,$B86)),"")))</f>
        <v/>
      </c>
      <c r="Z86" t="str">
        <f>IF($B86="","",IF(IF(INDEX(GLAPS컨테이너배차관리!$CU:$CU,$B86)="","",INDEX(GLAPS컨테이너배차관리!$CU:$CU,$B86))="","",IFERROR(INT(IF(INDEX(GLAPS컨테이너배차관리!$CU:$CU,$B86)="","",INDEX(GLAPS컨테이너배차관리!$CU:$CU,$B86))),"")))</f>
        <v/>
      </c>
      <c r="AA86" t="str">
        <f>IF($B86="","",IF(AND(IF(INDEX(GLAPS컨테이너배차관리!$CL:$CL,$B86)="","",INDEX(GLAPS컨테이너배차관리!$CL:$CL,$B86))="",IF(INDEX(GLAPS컨테이너배차관리!$CM:$CM,$B86)="","",INDEX(GLAPS컨테이너배차관리!$CM:$CM,$B86))=""),"",IF(OR(IF(INDEX(GLAPS컨테이너배차관리!$CL:$CL,$B86)="","",INDEX(GLAPS컨테이너배차관리!$CL:$CL,$B86))="B000016649",ISNUMBER(SEARCH("B015",IF(INDEX(GLAPS컨테이너배차관리!$CM:$CM,$B86)="","",INDEX(GLAPS컨테이너배차관리!$CM:$CM,$B86)))),ISNUMBER(SEARCH("세방",IF(INDEX(GLAPS컨테이너배차관리!$CM:$CM,$B86)="","",INDEX(GLAPS컨테이너배차관리!$CM:$CM,$B86)))),ISNUMBER(SEARCH("SB",IF(INDEX(GLAPS컨테이너배차관리!$CM:$CM,$B86)="","",INDEX(GLAPS컨테이너배차관리!$CM:$CM,$B86))))),"세방","")))</f>
        <v/>
      </c>
      <c r="AB86" t="str">
        <f>IF($B86="","",IF(IF(INDEX(GLAPS컨테이너배차관리!$CM:$CM,$B86)="","",INDEX(GLAPS컨테이너배차관리!$CM:$CM,$B86))="","",IF(ISNUMBER(SEARCH("이지스두동",IF(INDEX(GLAPS컨테이너배차관리!$CM:$CM,$B86)="","",INDEX(GLAPS컨테이너배차관리!$CM:$CM,$B86)))),"이지스두동",IF(ISNUMBER(SEARCH("이지스녹산",IF(INDEX(GLAPS컨테이너배차관리!$CM:$CM,$B86)="","",INDEX(GLAPS컨테이너배차관리!$CM:$CM,$B86)))),"이지스녹산",IF(ISNUMBER(SEARCH("천우",IF(INDEX(GLAPS컨테이너배차관리!$CM:$CM,$B86)="","",INDEX(GLAPS컨테이너배차관리!$CM:$CM,$B86)))),"천우",IF(OR(ISNUMBER(SEARCH("청암",IF(INDEX(GLAPS컨테이너배차관리!$CM:$CM,$B86)="","",INDEX(GLAPS컨테이너배차관리!$CM:$CM,$B86)))),ISNUMBER(SEARCH("SB청암",IF(INDEX(GLAPS컨테이너배차관리!$CM:$CM,$B86)="","",INDEX(GLAPS컨테이너배차관리!$CM:$CM,$B86))))),"청암신항",IF(INDEX(GLAPS컨테이너배차관리!$CM:$CM,$B86)="","",INDEX(GLAPS컨테이너배차관리!$CM:$CM,$B86))))))))</f>
        <v/>
      </c>
    </row>
    <row r="87" spans="1:28">
      <c r="A87">
        <v>86</v>
      </c>
      <c r="B87" t="str">
        <f>IFERROR(_xlfn.AGGREGATE(15,6,ROW(GLAPS컨테이너배차관리!$X$2:$X$20000)/(GLAPS컨테이너배차관리!$X$2:$X$20000&lt;&gt;""),A87),"")</f>
        <v/>
      </c>
      <c r="C87" t="str">
        <f>IF($B87="","",INT(IF(INDEX(GLAPS컨테이너배차관리!$K:$K,$B87)="","",INDEX(GLAPS컨테이너배차관리!$K:$K,$B87))))</f>
        <v/>
      </c>
      <c r="D87" t="str">
        <f>IF($B87="","",IF(ISNUMBER(SEARCH("이엘에스",IF(INDEX(GLAPS컨테이너배차관리!$AZ:$AZ,$B87)="","",INDEX(GLAPS컨테이너배차관리!$AZ:$AZ,$B87)))),"ELS솔루션",IF(INDEX(GLAPS컨테이너배차관리!$AZ:$AZ,$B87)="","",INDEX(GLAPS컨테이너배차관리!$AZ:$AZ,$B87))))</f>
        <v/>
      </c>
      <c r="E87" t="str">
        <f>IF($B87="","",IF(INDEX(GLAPS컨테이너배차관리!$L:$L,$B87)="","",INDEX(GLAPS컨테이너배차관리!$L:$L,$B87)))</f>
        <v/>
      </c>
      <c r="F87" t="str">
        <f>IF($B87="","",IF(HOUR(IF(INDEX(GLAPS컨테이너배차관리!$L:$L,$B87)="","",INDEX(GLAPS컨테이너배차관리!$L:$L,$B87)))&lt;12,"오전",IF(HOUR(IF(INDEX(GLAPS컨테이너배차관리!$L:$L,$B87)="","",INDEX(GLAPS컨테이너배차관리!$L:$L,$B87)))&lt;18,"오후","잔업")))</f>
        <v/>
      </c>
      <c r="G87" t="str">
        <f>IF($B87="","",IFERROR(INDEX(GLAPS정리!$G$3:$G$264,MATCH(IF(INDEX(GLAPS컨테이너배차관리!$BY:$BY,$B87)="","",INDEX(GLAPS컨테이너배차관리!$BY:$BY,$B87)),GLAPS정리!$H$3:$H$264,0)),TRIM(SUBSTITUTE(SUBSTITUTE(SUBSTITUTE(SUBSTITUTE(SUBSTITUTE(IF(INDEX(GLAPS컨테이너배차관리!$T:$T,$B87)="","",INDEX(GLAPS컨테이너배차관리!$T:$T,$B87)),"[GA]",""),"[GB]",""),"[GC]",""),"[KC]",""),"[GS]",""))))</f>
        <v/>
      </c>
      <c r="H87" t="str">
        <f>IF($B87="","",IFERROR(VLOOKUP(IF(INDEX(GLAPS컨테이너배차관리!$BY:$BY,$B87)="","",INDEX(GLAPS컨테이너배차관리!$BY:$BY,$B87)),GLAPS정리!$BT$3:$BV$200,3,0),""))</f>
        <v/>
      </c>
      <c r="I87" t="str">
        <f>IF($B87="","",LEFT(IF(INDEX(GLAPS컨테이너배차관리!$U:$U,$B87)="","",INDEX(GLAPS컨테이너배차관리!$U:$U,$B87)),FIND("/",IF(INDEX(GLAPS컨테이너배차관리!$U:$U,$B87)="","",INDEX(GLAPS컨테이너배차관리!$U:$U,$B87))&amp;"/")-1))</f>
        <v/>
      </c>
      <c r="J87" t="str">
        <f>IF($B87="","",IF(IF(INDEX(GLAPS컨테이너배차관리!$O:$O,$B87)="","",INDEX(GLAPS컨테이너배차관리!$O:$O,$B87))="EMC","EMA",IFERROR(INDEX(GLAPS정리!$A$2:$A$50,MATCH(IF(INDEX(GLAPS컨테이너배차관리!$O:$O,$B87)="","",INDEX(GLAPS컨테이너배차관리!$O:$O,$B87)),GLAPS정리!$D$2:$D$50,0)),IF(INDEX(GLAPS컨테이너배차관리!$O:$O,$B87)="","",INDEX(GLAPS컨테이너배차관리!$O:$O,$B87)))))</f>
        <v/>
      </c>
      <c r="K87" t="str">
        <f>IF($B87="","",IF(LEFT(IF(INDEX(GLAPS컨테이너배차관리!$Y:$Y,$B87)="","",INDEX(GLAPS컨테이너배차관리!$Y:$Y,$B87)),2)="22","20 Feet",IF(LEFT(IF(INDEX(GLAPS컨테이너배차관리!$Y:$Y,$B87)="","",INDEX(GLAPS컨테이너배차관리!$Y:$Y,$B87)),2)="42","40 Feet","40 Feet H")))</f>
        <v/>
      </c>
      <c r="L87" t="str">
        <f>IF($B87="","",IFERROR(INDEX(GLAPS정리!$BB$2:$BB$80,MATCH(IF(INDEX(GLAPS컨테이너배차관리!$BQ:$BQ,$B87)="","",INDEX(GLAPS컨테이너배차관리!$BQ:$BQ,$B87)),GLAPS정리!$BC$2:$BC$80,0)),IF(INDEX(GLAPS컨테이너배차관리!$BQ:$BQ,$B87)="","",INDEX(GLAPS컨테이너배차관리!$BQ:$BQ,$B87))))</f>
        <v/>
      </c>
      <c r="M87" t="str">
        <f>IF($B87="","",IFERROR(INDEX(GLAPS정리!$V$3:$V$180,MATCH(IF(INDEX(GLAPS컨테이너배차관리!$S:$S,$B87)="","",INDEX(GLAPS컨테이너배차관리!$S:$S,$B87)),GLAPS정리!$W$3:$W$180,0)),IF(INDEX(GLAPS컨테이너배차관리!$S:$S,$B87)="","",INDEX(GLAPS컨테이너배차관리!$S:$S,$B87))))</f>
        <v/>
      </c>
      <c r="N87" t="str">
        <f>IF($B87="","",IF(IF(INDEX(GLAPS컨테이너배차관리!$DF:$DF,$B87)="","",INDEX(GLAPS컨테이너배차관리!$DF:$DF,$B87))&lt;&gt;"",IF(INDEX(GLAPS컨테이너배차관리!$DF:$DF,$B87)="","",INDEX(GLAPS컨테이너배차관리!$DF:$DF,$B87)),IF(IF(INDEX(GLAPS컨테이너배차관리!$DG:$DG,$B87)="","",INDEX(GLAPS컨테이너배차관리!$DG:$DG,$B87))&lt;&gt;"",IF(INDEX(GLAPS컨테이너배차관리!$DG:$DG,$B87)="","",INDEX(GLAPS컨테이너배차관리!$DG:$DG,$B87)),"")))</f>
        <v/>
      </c>
      <c r="O87" t="str">
        <f>IF($B87="","",IF(INDEX(GLAPS컨테이너배차관리!$AB:$AB,$B87)="","",INDEX(GLAPS컨테이너배차관리!$AB:$AB,$B87)))</f>
        <v/>
      </c>
      <c r="P87" t="str">
        <f>IF($B87="","",IF(IF(INDEX(GLAPS컨테이너배차관리!$CP:$CP,$B87)="","",INDEX(GLAPS컨테이너배차관리!$CP:$CP,$B87))="","",IFERROR(INDEX(GLAPS정리!$BH$2:$BH$101,MATCH(IF(INDEX(GLAPS컨테이너배차관리!$CP:$CP,$B87)="","",INDEX(GLAPS컨테이너배차관리!$CP:$CP,$B87)),GLAPS정리!$BI$2:$BI$101,0)),IF(INDEX(GLAPS컨테이너배차관리!$CP:$CP,$B87)="","",INDEX(GLAPS컨테이너배차관리!$CP:$CP,$B87)))))</f>
        <v/>
      </c>
      <c r="Q87" t="str">
        <f>IF($B87="","",IF(AND(IF(INDEX(GLAPS컨테이너배차관리!$AK:$AK,$B87)="","",INDEX(GLAPS컨테이너배차관리!$AK:$AK,$B87))="Y",IF(INDEX(GLAPS컨테이너배차관리!$AI:$AI,$B87)="","",INDEX(GLAPS컨테이너배차관리!$AI:$AI,$B87))="Y"),"위험물리퍼",IF(IF(INDEX(GLAPS컨테이너배차관리!$AK:$AK,$B87)="","",INDEX(GLAPS컨테이너배차관리!$AK:$AK,$B87))="Y","위험물",IF(IF(INDEX(GLAPS컨테이너배차관리!$AI:$AI,$B87)="","",INDEX(GLAPS컨테이너배차관리!$AI:$AI,$B87))="Y","리퍼",""))))</f>
        <v/>
      </c>
      <c r="R87" t="str">
        <f>IF($B87="","",IF(LEFT(IF(INDEX(GLAPS컨테이너배차관리!$Y:$Y,$B87)="","",INDEX(GLAPS컨테이너배차관리!$Y:$Y,$B87)),2)="22",1,""))</f>
        <v/>
      </c>
      <c r="S87" t="str">
        <f>IF($B87="","",IF(LEFT(IF(INDEX(GLAPS컨테이너배차관리!$Y:$Y,$B87)="","",INDEX(GLAPS컨테이너배차관리!$Y:$Y,$B87)),2)="42",1,""))</f>
        <v/>
      </c>
      <c r="T87" t="str">
        <f>IF($B87="","",IF(LEFT(IF(INDEX(GLAPS컨테이너배차관리!$Y:$Y,$B87)="","",INDEX(GLAPS컨테이너배차관리!$Y:$Y,$B87)),2)="45",1,""))</f>
        <v/>
      </c>
      <c r="U87" t="str">
        <f>IF($B87="","",IF(INDEX(GLAPS컨테이너배차관리!$X:$X,$B87)="","",INDEX(GLAPS컨테이너배차관리!$X:$X,$B87)))</f>
        <v/>
      </c>
      <c r="V87" t="str">
        <f>IF($B87="","",IF(INDEX(GLAPS컨테이너배차관리!$Z:$Z,$B87)="","",INDEX(GLAPS컨테이너배차관리!$Z:$Z,$B87)))</f>
        <v/>
      </c>
      <c r="W87" t="str">
        <f>IF($B87="","",IF(IF(INDEX(GLAPS컨테이너배차관리!$DI:$DI,$B87)="","",INDEX(GLAPS컨테이너배차관리!$DI:$DI,$B87))&lt;&gt;"",IF(INDEX(GLAPS컨테이너배차관리!$DI:$DI,$B87)="","",INDEX(GLAPS컨테이너배차관리!$DI:$DI,$B87)),IF(IF(INDEX(GLAPS컨테이너배차관리!$DJ:$DJ,$B87)="","",INDEX(GLAPS컨테이너배차관리!$DJ:$DJ,$B87))&lt;&gt;"",IF(INDEX(GLAPS컨테이너배차관리!$DJ:$DJ,$B87)="","",INDEX(GLAPS컨테이너배차관리!$DJ:$DJ,$B87)),IF(IF(INDEX(GLAPS컨테이너배차관리!$DK:$DK,$B87)="","",INDEX(GLAPS컨테이너배차관리!$DK:$DK,$B87))&lt;&gt;"",IF(INDEX(GLAPS컨테이너배차관리!$DK:$DK,$B87)="","",INDEX(GLAPS컨테이너배차관리!$DK:$DK,$B87)),IF(IF(INDEX(GLAPS컨테이너배차관리!$DL:$DL,$B87)="","",INDEX(GLAPS컨테이너배차관리!$DL:$DL,$B87))&lt;&gt;"",IF(INDEX(GLAPS컨테이너배차관리!$DL:$DL,$B87)="","",INDEX(GLAPS컨테이너배차관리!$DL:$DL,$B87)),IF(IF(INDEX(GLAPS컨테이너배차관리!$DM:$DM,$B87)="","",INDEX(GLAPS컨테이너배차관리!$DM:$DM,$B87))&lt;&gt;"",IF(INDEX(GLAPS컨테이너배차관리!$DM:$DM,$B87)="","",INDEX(GLAPS컨테이너배차관리!$DM:$DM,$B87)),""))))))</f>
        <v/>
      </c>
      <c r="X87" t="str">
        <f>IF($B87="","",IF(INDEX(GLAPS컨테이너배차관리!$F:$F,$B87)="","",INDEX(GLAPS컨테이너배차관리!$F:$F,$B87)))</f>
        <v/>
      </c>
      <c r="Y87" t="str">
        <f>IF($B87="","",IF(IF(INDEX(GLAPS컨테이너배차관리!$M:$M,$B87)="","",INDEX(GLAPS컨테이너배차관리!$M:$M,$B87))&lt;&gt;"",IF(INDEX(GLAPS컨테이너배차관리!$M:$M,$B87)="","",INDEX(GLAPS컨테이너배차관리!$M:$M,$B87)),IF(IF(INDEX(GLAPS컨테이너배차관리!$N:$N,$B87)="","",INDEX(GLAPS컨테이너배차관리!$N:$N,$B87))&lt;&gt;"",IF(INDEX(GLAPS컨테이너배차관리!$N:$N,$B87)="","",INDEX(GLAPS컨테이너배차관리!$N:$N,$B87)),"")))</f>
        <v/>
      </c>
      <c r="Z87" t="str">
        <f>IF($B87="","",IF(IF(INDEX(GLAPS컨테이너배차관리!$CU:$CU,$B87)="","",INDEX(GLAPS컨테이너배차관리!$CU:$CU,$B87))="","",IFERROR(INT(IF(INDEX(GLAPS컨테이너배차관리!$CU:$CU,$B87)="","",INDEX(GLAPS컨테이너배차관리!$CU:$CU,$B87))),"")))</f>
        <v/>
      </c>
      <c r="AA87" t="str">
        <f>IF($B87="","",IF(AND(IF(INDEX(GLAPS컨테이너배차관리!$CL:$CL,$B87)="","",INDEX(GLAPS컨테이너배차관리!$CL:$CL,$B87))="",IF(INDEX(GLAPS컨테이너배차관리!$CM:$CM,$B87)="","",INDEX(GLAPS컨테이너배차관리!$CM:$CM,$B87))=""),"",IF(OR(IF(INDEX(GLAPS컨테이너배차관리!$CL:$CL,$B87)="","",INDEX(GLAPS컨테이너배차관리!$CL:$CL,$B87))="B000016649",ISNUMBER(SEARCH("B015",IF(INDEX(GLAPS컨테이너배차관리!$CM:$CM,$B87)="","",INDEX(GLAPS컨테이너배차관리!$CM:$CM,$B87)))),ISNUMBER(SEARCH("세방",IF(INDEX(GLAPS컨테이너배차관리!$CM:$CM,$B87)="","",INDEX(GLAPS컨테이너배차관리!$CM:$CM,$B87)))),ISNUMBER(SEARCH("SB",IF(INDEX(GLAPS컨테이너배차관리!$CM:$CM,$B87)="","",INDEX(GLAPS컨테이너배차관리!$CM:$CM,$B87))))),"세방","")))</f>
        <v/>
      </c>
      <c r="AB87" t="str">
        <f>IF($B87="","",IF(IF(INDEX(GLAPS컨테이너배차관리!$CM:$CM,$B87)="","",INDEX(GLAPS컨테이너배차관리!$CM:$CM,$B87))="","",IF(ISNUMBER(SEARCH("이지스두동",IF(INDEX(GLAPS컨테이너배차관리!$CM:$CM,$B87)="","",INDEX(GLAPS컨테이너배차관리!$CM:$CM,$B87)))),"이지스두동",IF(ISNUMBER(SEARCH("이지스녹산",IF(INDEX(GLAPS컨테이너배차관리!$CM:$CM,$B87)="","",INDEX(GLAPS컨테이너배차관리!$CM:$CM,$B87)))),"이지스녹산",IF(ISNUMBER(SEARCH("천우",IF(INDEX(GLAPS컨테이너배차관리!$CM:$CM,$B87)="","",INDEX(GLAPS컨테이너배차관리!$CM:$CM,$B87)))),"천우",IF(OR(ISNUMBER(SEARCH("청암",IF(INDEX(GLAPS컨테이너배차관리!$CM:$CM,$B87)="","",INDEX(GLAPS컨테이너배차관리!$CM:$CM,$B87)))),ISNUMBER(SEARCH("SB청암",IF(INDEX(GLAPS컨테이너배차관리!$CM:$CM,$B87)="","",INDEX(GLAPS컨테이너배차관리!$CM:$CM,$B87))))),"청암신항",IF(INDEX(GLAPS컨테이너배차관리!$CM:$CM,$B87)="","",INDEX(GLAPS컨테이너배차관리!$CM:$CM,$B87))))))))</f>
        <v/>
      </c>
    </row>
    <row r="88" spans="1:28">
      <c r="A88">
        <v>87</v>
      </c>
      <c r="B88" t="str">
        <f>IFERROR(_xlfn.AGGREGATE(15,6,ROW(GLAPS컨테이너배차관리!$X$2:$X$20000)/(GLAPS컨테이너배차관리!$X$2:$X$20000&lt;&gt;""),A88),"")</f>
        <v/>
      </c>
      <c r="C88" t="str">
        <f>IF($B88="","",INT(IF(INDEX(GLAPS컨테이너배차관리!$K:$K,$B88)="","",INDEX(GLAPS컨테이너배차관리!$K:$K,$B88))))</f>
        <v/>
      </c>
      <c r="D88" t="str">
        <f>IF($B88="","",IF(ISNUMBER(SEARCH("이엘에스",IF(INDEX(GLAPS컨테이너배차관리!$AZ:$AZ,$B88)="","",INDEX(GLAPS컨테이너배차관리!$AZ:$AZ,$B88)))),"ELS솔루션",IF(INDEX(GLAPS컨테이너배차관리!$AZ:$AZ,$B88)="","",INDEX(GLAPS컨테이너배차관리!$AZ:$AZ,$B88))))</f>
        <v/>
      </c>
      <c r="E88" t="str">
        <f>IF($B88="","",IF(INDEX(GLAPS컨테이너배차관리!$L:$L,$B88)="","",INDEX(GLAPS컨테이너배차관리!$L:$L,$B88)))</f>
        <v/>
      </c>
      <c r="F88" t="str">
        <f>IF($B88="","",IF(HOUR(IF(INDEX(GLAPS컨테이너배차관리!$L:$L,$B88)="","",INDEX(GLAPS컨테이너배차관리!$L:$L,$B88)))&lt;12,"오전",IF(HOUR(IF(INDEX(GLAPS컨테이너배차관리!$L:$L,$B88)="","",INDEX(GLAPS컨테이너배차관리!$L:$L,$B88)))&lt;18,"오후","잔업")))</f>
        <v/>
      </c>
      <c r="G88" t="str">
        <f>IF($B88="","",IFERROR(INDEX(GLAPS정리!$G$3:$G$264,MATCH(IF(INDEX(GLAPS컨테이너배차관리!$BY:$BY,$B88)="","",INDEX(GLAPS컨테이너배차관리!$BY:$BY,$B88)),GLAPS정리!$H$3:$H$264,0)),TRIM(SUBSTITUTE(SUBSTITUTE(SUBSTITUTE(SUBSTITUTE(SUBSTITUTE(IF(INDEX(GLAPS컨테이너배차관리!$T:$T,$B88)="","",INDEX(GLAPS컨테이너배차관리!$T:$T,$B88)),"[GA]",""),"[GB]",""),"[GC]",""),"[KC]",""),"[GS]",""))))</f>
        <v/>
      </c>
      <c r="H88" t="str">
        <f>IF($B88="","",IFERROR(VLOOKUP(IF(INDEX(GLAPS컨테이너배차관리!$BY:$BY,$B88)="","",INDEX(GLAPS컨테이너배차관리!$BY:$BY,$B88)),GLAPS정리!$BT$3:$BV$200,3,0),""))</f>
        <v/>
      </c>
      <c r="I88" t="str">
        <f>IF($B88="","",LEFT(IF(INDEX(GLAPS컨테이너배차관리!$U:$U,$B88)="","",INDEX(GLAPS컨테이너배차관리!$U:$U,$B88)),FIND("/",IF(INDEX(GLAPS컨테이너배차관리!$U:$U,$B88)="","",INDEX(GLAPS컨테이너배차관리!$U:$U,$B88))&amp;"/")-1))</f>
        <v/>
      </c>
      <c r="J88" t="str">
        <f>IF($B88="","",IF(IF(INDEX(GLAPS컨테이너배차관리!$O:$O,$B88)="","",INDEX(GLAPS컨테이너배차관리!$O:$O,$B88))="EMC","EMA",IFERROR(INDEX(GLAPS정리!$A$2:$A$50,MATCH(IF(INDEX(GLAPS컨테이너배차관리!$O:$O,$B88)="","",INDEX(GLAPS컨테이너배차관리!$O:$O,$B88)),GLAPS정리!$D$2:$D$50,0)),IF(INDEX(GLAPS컨테이너배차관리!$O:$O,$B88)="","",INDEX(GLAPS컨테이너배차관리!$O:$O,$B88)))))</f>
        <v/>
      </c>
      <c r="K88" t="str">
        <f>IF($B88="","",IF(LEFT(IF(INDEX(GLAPS컨테이너배차관리!$Y:$Y,$B88)="","",INDEX(GLAPS컨테이너배차관리!$Y:$Y,$B88)),2)="22","20 Feet",IF(LEFT(IF(INDEX(GLAPS컨테이너배차관리!$Y:$Y,$B88)="","",INDEX(GLAPS컨테이너배차관리!$Y:$Y,$B88)),2)="42","40 Feet","40 Feet H")))</f>
        <v/>
      </c>
      <c r="L88" t="str">
        <f>IF($B88="","",IFERROR(INDEX(GLAPS정리!$BB$2:$BB$80,MATCH(IF(INDEX(GLAPS컨테이너배차관리!$BQ:$BQ,$B88)="","",INDEX(GLAPS컨테이너배차관리!$BQ:$BQ,$B88)),GLAPS정리!$BC$2:$BC$80,0)),IF(INDEX(GLAPS컨테이너배차관리!$BQ:$BQ,$B88)="","",INDEX(GLAPS컨테이너배차관리!$BQ:$BQ,$B88))))</f>
        <v/>
      </c>
      <c r="M88" t="str">
        <f>IF($B88="","",IFERROR(INDEX(GLAPS정리!$V$3:$V$180,MATCH(IF(INDEX(GLAPS컨테이너배차관리!$S:$S,$B88)="","",INDEX(GLAPS컨테이너배차관리!$S:$S,$B88)),GLAPS정리!$W$3:$W$180,0)),IF(INDEX(GLAPS컨테이너배차관리!$S:$S,$B88)="","",INDEX(GLAPS컨테이너배차관리!$S:$S,$B88))))</f>
        <v/>
      </c>
      <c r="N88" t="str">
        <f>IF($B88="","",IF(IF(INDEX(GLAPS컨테이너배차관리!$DF:$DF,$B88)="","",INDEX(GLAPS컨테이너배차관리!$DF:$DF,$B88))&lt;&gt;"",IF(INDEX(GLAPS컨테이너배차관리!$DF:$DF,$B88)="","",INDEX(GLAPS컨테이너배차관리!$DF:$DF,$B88)),IF(IF(INDEX(GLAPS컨테이너배차관리!$DG:$DG,$B88)="","",INDEX(GLAPS컨테이너배차관리!$DG:$DG,$B88))&lt;&gt;"",IF(INDEX(GLAPS컨테이너배차관리!$DG:$DG,$B88)="","",INDEX(GLAPS컨테이너배차관리!$DG:$DG,$B88)),"")))</f>
        <v/>
      </c>
      <c r="O88" t="str">
        <f>IF($B88="","",IF(INDEX(GLAPS컨테이너배차관리!$AB:$AB,$B88)="","",INDEX(GLAPS컨테이너배차관리!$AB:$AB,$B88)))</f>
        <v/>
      </c>
      <c r="P88" t="str">
        <f>IF($B88="","",IF(IF(INDEX(GLAPS컨테이너배차관리!$CP:$CP,$B88)="","",INDEX(GLAPS컨테이너배차관리!$CP:$CP,$B88))="","",IFERROR(INDEX(GLAPS정리!$BH$2:$BH$101,MATCH(IF(INDEX(GLAPS컨테이너배차관리!$CP:$CP,$B88)="","",INDEX(GLAPS컨테이너배차관리!$CP:$CP,$B88)),GLAPS정리!$BI$2:$BI$101,0)),IF(INDEX(GLAPS컨테이너배차관리!$CP:$CP,$B88)="","",INDEX(GLAPS컨테이너배차관리!$CP:$CP,$B88)))))</f>
        <v/>
      </c>
      <c r="Q88" t="str">
        <f>IF($B88="","",IF(AND(IF(INDEX(GLAPS컨테이너배차관리!$AK:$AK,$B88)="","",INDEX(GLAPS컨테이너배차관리!$AK:$AK,$B88))="Y",IF(INDEX(GLAPS컨테이너배차관리!$AI:$AI,$B88)="","",INDEX(GLAPS컨테이너배차관리!$AI:$AI,$B88))="Y"),"위험물리퍼",IF(IF(INDEX(GLAPS컨테이너배차관리!$AK:$AK,$B88)="","",INDEX(GLAPS컨테이너배차관리!$AK:$AK,$B88))="Y","위험물",IF(IF(INDEX(GLAPS컨테이너배차관리!$AI:$AI,$B88)="","",INDEX(GLAPS컨테이너배차관리!$AI:$AI,$B88))="Y","리퍼",""))))</f>
        <v/>
      </c>
      <c r="R88" t="str">
        <f>IF($B88="","",IF(LEFT(IF(INDEX(GLAPS컨테이너배차관리!$Y:$Y,$B88)="","",INDEX(GLAPS컨테이너배차관리!$Y:$Y,$B88)),2)="22",1,""))</f>
        <v/>
      </c>
      <c r="S88" t="str">
        <f>IF($B88="","",IF(LEFT(IF(INDEX(GLAPS컨테이너배차관리!$Y:$Y,$B88)="","",INDEX(GLAPS컨테이너배차관리!$Y:$Y,$B88)),2)="42",1,""))</f>
        <v/>
      </c>
      <c r="T88" t="str">
        <f>IF($B88="","",IF(LEFT(IF(INDEX(GLAPS컨테이너배차관리!$Y:$Y,$B88)="","",INDEX(GLAPS컨테이너배차관리!$Y:$Y,$B88)),2)="45",1,""))</f>
        <v/>
      </c>
      <c r="U88" t="str">
        <f>IF($B88="","",IF(INDEX(GLAPS컨테이너배차관리!$X:$X,$B88)="","",INDEX(GLAPS컨테이너배차관리!$X:$X,$B88)))</f>
        <v/>
      </c>
      <c r="V88" t="str">
        <f>IF($B88="","",IF(INDEX(GLAPS컨테이너배차관리!$Z:$Z,$B88)="","",INDEX(GLAPS컨테이너배차관리!$Z:$Z,$B88)))</f>
        <v/>
      </c>
      <c r="W88" t="str">
        <f>IF($B88="","",IF(IF(INDEX(GLAPS컨테이너배차관리!$DI:$DI,$B88)="","",INDEX(GLAPS컨테이너배차관리!$DI:$DI,$B88))&lt;&gt;"",IF(INDEX(GLAPS컨테이너배차관리!$DI:$DI,$B88)="","",INDEX(GLAPS컨테이너배차관리!$DI:$DI,$B88)),IF(IF(INDEX(GLAPS컨테이너배차관리!$DJ:$DJ,$B88)="","",INDEX(GLAPS컨테이너배차관리!$DJ:$DJ,$B88))&lt;&gt;"",IF(INDEX(GLAPS컨테이너배차관리!$DJ:$DJ,$B88)="","",INDEX(GLAPS컨테이너배차관리!$DJ:$DJ,$B88)),IF(IF(INDEX(GLAPS컨테이너배차관리!$DK:$DK,$B88)="","",INDEX(GLAPS컨테이너배차관리!$DK:$DK,$B88))&lt;&gt;"",IF(INDEX(GLAPS컨테이너배차관리!$DK:$DK,$B88)="","",INDEX(GLAPS컨테이너배차관리!$DK:$DK,$B88)),IF(IF(INDEX(GLAPS컨테이너배차관리!$DL:$DL,$B88)="","",INDEX(GLAPS컨테이너배차관리!$DL:$DL,$B88))&lt;&gt;"",IF(INDEX(GLAPS컨테이너배차관리!$DL:$DL,$B88)="","",INDEX(GLAPS컨테이너배차관리!$DL:$DL,$B88)),IF(IF(INDEX(GLAPS컨테이너배차관리!$DM:$DM,$B88)="","",INDEX(GLAPS컨테이너배차관리!$DM:$DM,$B88))&lt;&gt;"",IF(INDEX(GLAPS컨테이너배차관리!$DM:$DM,$B88)="","",INDEX(GLAPS컨테이너배차관리!$DM:$DM,$B88)),""))))))</f>
        <v/>
      </c>
      <c r="X88" t="str">
        <f>IF($B88="","",IF(INDEX(GLAPS컨테이너배차관리!$F:$F,$B88)="","",INDEX(GLAPS컨테이너배차관리!$F:$F,$B88)))</f>
        <v/>
      </c>
      <c r="Y88" t="str">
        <f>IF($B88="","",IF(IF(INDEX(GLAPS컨테이너배차관리!$M:$M,$B88)="","",INDEX(GLAPS컨테이너배차관리!$M:$M,$B88))&lt;&gt;"",IF(INDEX(GLAPS컨테이너배차관리!$M:$M,$B88)="","",INDEX(GLAPS컨테이너배차관리!$M:$M,$B88)),IF(IF(INDEX(GLAPS컨테이너배차관리!$N:$N,$B88)="","",INDEX(GLAPS컨테이너배차관리!$N:$N,$B88))&lt;&gt;"",IF(INDEX(GLAPS컨테이너배차관리!$N:$N,$B88)="","",INDEX(GLAPS컨테이너배차관리!$N:$N,$B88)),"")))</f>
        <v/>
      </c>
      <c r="Z88" t="str">
        <f>IF($B88="","",IF(IF(INDEX(GLAPS컨테이너배차관리!$CU:$CU,$B88)="","",INDEX(GLAPS컨테이너배차관리!$CU:$CU,$B88))="","",IFERROR(INT(IF(INDEX(GLAPS컨테이너배차관리!$CU:$CU,$B88)="","",INDEX(GLAPS컨테이너배차관리!$CU:$CU,$B88))),"")))</f>
        <v/>
      </c>
      <c r="AA88" t="str">
        <f>IF($B88="","",IF(AND(IF(INDEX(GLAPS컨테이너배차관리!$CL:$CL,$B88)="","",INDEX(GLAPS컨테이너배차관리!$CL:$CL,$B88))="",IF(INDEX(GLAPS컨테이너배차관리!$CM:$CM,$B88)="","",INDEX(GLAPS컨테이너배차관리!$CM:$CM,$B88))=""),"",IF(OR(IF(INDEX(GLAPS컨테이너배차관리!$CL:$CL,$B88)="","",INDEX(GLAPS컨테이너배차관리!$CL:$CL,$B88))="B000016649",ISNUMBER(SEARCH("B015",IF(INDEX(GLAPS컨테이너배차관리!$CM:$CM,$B88)="","",INDEX(GLAPS컨테이너배차관리!$CM:$CM,$B88)))),ISNUMBER(SEARCH("세방",IF(INDEX(GLAPS컨테이너배차관리!$CM:$CM,$B88)="","",INDEX(GLAPS컨테이너배차관리!$CM:$CM,$B88)))),ISNUMBER(SEARCH("SB",IF(INDEX(GLAPS컨테이너배차관리!$CM:$CM,$B88)="","",INDEX(GLAPS컨테이너배차관리!$CM:$CM,$B88))))),"세방","")))</f>
        <v/>
      </c>
      <c r="AB88" t="str">
        <f>IF($B88="","",IF(IF(INDEX(GLAPS컨테이너배차관리!$CM:$CM,$B88)="","",INDEX(GLAPS컨테이너배차관리!$CM:$CM,$B88))="","",IF(ISNUMBER(SEARCH("이지스두동",IF(INDEX(GLAPS컨테이너배차관리!$CM:$CM,$B88)="","",INDEX(GLAPS컨테이너배차관리!$CM:$CM,$B88)))),"이지스두동",IF(ISNUMBER(SEARCH("이지스녹산",IF(INDEX(GLAPS컨테이너배차관리!$CM:$CM,$B88)="","",INDEX(GLAPS컨테이너배차관리!$CM:$CM,$B88)))),"이지스녹산",IF(ISNUMBER(SEARCH("천우",IF(INDEX(GLAPS컨테이너배차관리!$CM:$CM,$B88)="","",INDEX(GLAPS컨테이너배차관리!$CM:$CM,$B88)))),"천우",IF(OR(ISNUMBER(SEARCH("청암",IF(INDEX(GLAPS컨테이너배차관리!$CM:$CM,$B88)="","",INDEX(GLAPS컨테이너배차관리!$CM:$CM,$B88)))),ISNUMBER(SEARCH("SB청암",IF(INDEX(GLAPS컨테이너배차관리!$CM:$CM,$B88)="","",INDEX(GLAPS컨테이너배차관리!$CM:$CM,$B88))))),"청암신항",IF(INDEX(GLAPS컨테이너배차관리!$CM:$CM,$B88)="","",INDEX(GLAPS컨테이너배차관리!$CM:$CM,$B88))))))))</f>
        <v/>
      </c>
    </row>
    <row r="89" spans="1:28">
      <c r="A89">
        <v>88</v>
      </c>
      <c r="B89" t="str">
        <f>IFERROR(_xlfn.AGGREGATE(15,6,ROW(GLAPS컨테이너배차관리!$X$2:$X$20000)/(GLAPS컨테이너배차관리!$X$2:$X$20000&lt;&gt;""),A89),"")</f>
        <v/>
      </c>
      <c r="C89" t="str">
        <f>IF($B89="","",INT(IF(INDEX(GLAPS컨테이너배차관리!$K:$K,$B89)="","",INDEX(GLAPS컨테이너배차관리!$K:$K,$B89))))</f>
        <v/>
      </c>
      <c r="D89" t="str">
        <f>IF($B89="","",IF(ISNUMBER(SEARCH("이엘에스",IF(INDEX(GLAPS컨테이너배차관리!$AZ:$AZ,$B89)="","",INDEX(GLAPS컨테이너배차관리!$AZ:$AZ,$B89)))),"ELS솔루션",IF(INDEX(GLAPS컨테이너배차관리!$AZ:$AZ,$B89)="","",INDEX(GLAPS컨테이너배차관리!$AZ:$AZ,$B89))))</f>
        <v/>
      </c>
      <c r="E89" t="str">
        <f>IF($B89="","",IF(INDEX(GLAPS컨테이너배차관리!$L:$L,$B89)="","",INDEX(GLAPS컨테이너배차관리!$L:$L,$B89)))</f>
        <v/>
      </c>
      <c r="F89" t="str">
        <f>IF($B89="","",IF(HOUR(IF(INDEX(GLAPS컨테이너배차관리!$L:$L,$B89)="","",INDEX(GLAPS컨테이너배차관리!$L:$L,$B89)))&lt;12,"오전",IF(HOUR(IF(INDEX(GLAPS컨테이너배차관리!$L:$L,$B89)="","",INDEX(GLAPS컨테이너배차관리!$L:$L,$B89)))&lt;18,"오후","잔업")))</f>
        <v/>
      </c>
      <c r="G89" t="str">
        <f>IF($B89="","",IFERROR(INDEX(GLAPS정리!$G$3:$G$264,MATCH(IF(INDEX(GLAPS컨테이너배차관리!$BY:$BY,$B89)="","",INDEX(GLAPS컨테이너배차관리!$BY:$BY,$B89)),GLAPS정리!$H$3:$H$264,0)),TRIM(SUBSTITUTE(SUBSTITUTE(SUBSTITUTE(SUBSTITUTE(SUBSTITUTE(IF(INDEX(GLAPS컨테이너배차관리!$T:$T,$B89)="","",INDEX(GLAPS컨테이너배차관리!$T:$T,$B89)),"[GA]",""),"[GB]",""),"[GC]",""),"[KC]",""),"[GS]",""))))</f>
        <v/>
      </c>
      <c r="H89" t="str">
        <f>IF($B89="","",IFERROR(VLOOKUP(IF(INDEX(GLAPS컨테이너배차관리!$BY:$BY,$B89)="","",INDEX(GLAPS컨테이너배차관리!$BY:$BY,$B89)),GLAPS정리!$BT$3:$BV$200,3,0),""))</f>
        <v/>
      </c>
      <c r="I89" t="str">
        <f>IF($B89="","",LEFT(IF(INDEX(GLAPS컨테이너배차관리!$U:$U,$B89)="","",INDEX(GLAPS컨테이너배차관리!$U:$U,$B89)),FIND("/",IF(INDEX(GLAPS컨테이너배차관리!$U:$U,$B89)="","",INDEX(GLAPS컨테이너배차관리!$U:$U,$B89))&amp;"/")-1))</f>
        <v/>
      </c>
      <c r="J89" t="str">
        <f>IF($B89="","",IF(IF(INDEX(GLAPS컨테이너배차관리!$O:$O,$B89)="","",INDEX(GLAPS컨테이너배차관리!$O:$O,$B89))="EMC","EMA",IFERROR(INDEX(GLAPS정리!$A$2:$A$50,MATCH(IF(INDEX(GLAPS컨테이너배차관리!$O:$O,$B89)="","",INDEX(GLAPS컨테이너배차관리!$O:$O,$B89)),GLAPS정리!$D$2:$D$50,0)),IF(INDEX(GLAPS컨테이너배차관리!$O:$O,$B89)="","",INDEX(GLAPS컨테이너배차관리!$O:$O,$B89)))))</f>
        <v/>
      </c>
      <c r="K89" t="str">
        <f>IF($B89="","",IF(LEFT(IF(INDEX(GLAPS컨테이너배차관리!$Y:$Y,$B89)="","",INDEX(GLAPS컨테이너배차관리!$Y:$Y,$B89)),2)="22","20 Feet",IF(LEFT(IF(INDEX(GLAPS컨테이너배차관리!$Y:$Y,$B89)="","",INDEX(GLAPS컨테이너배차관리!$Y:$Y,$B89)),2)="42","40 Feet","40 Feet H")))</f>
        <v/>
      </c>
      <c r="L89" t="str">
        <f>IF($B89="","",IFERROR(INDEX(GLAPS정리!$BB$2:$BB$80,MATCH(IF(INDEX(GLAPS컨테이너배차관리!$BQ:$BQ,$B89)="","",INDEX(GLAPS컨테이너배차관리!$BQ:$BQ,$B89)),GLAPS정리!$BC$2:$BC$80,0)),IF(INDEX(GLAPS컨테이너배차관리!$BQ:$BQ,$B89)="","",INDEX(GLAPS컨테이너배차관리!$BQ:$BQ,$B89))))</f>
        <v/>
      </c>
      <c r="M89" t="str">
        <f>IF($B89="","",IFERROR(INDEX(GLAPS정리!$V$3:$V$180,MATCH(IF(INDEX(GLAPS컨테이너배차관리!$S:$S,$B89)="","",INDEX(GLAPS컨테이너배차관리!$S:$S,$B89)),GLAPS정리!$W$3:$W$180,0)),IF(INDEX(GLAPS컨테이너배차관리!$S:$S,$B89)="","",INDEX(GLAPS컨테이너배차관리!$S:$S,$B89))))</f>
        <v/>
      </c>
      <c r="N89" t="str">
        <f>IF($B89="","",IF(IF(INDEX(GLAPS컨테이너배차관리!$DF:$DF,$B89)="","",INDEX(GLAPS컨테이너배차관리!$DF:$DF,$B89))&lt;&gt;"",IF(INDEX(GLAPS컨테이너배차관리!$DF:$DF,$B89)="","",INDEX(GLAPS컨테이너배차관리!$DF:$DF,$B89)),IF(IF(INDEX(GLAPS컨테이너배차관리!$DG:$DG,$B89)="","",INDEX(GLAPS컨테이너배차관리!$DG:$DG,$B89))&lt;&gt;"",IF(INDEX(GLAPS컨테이너배차관리!$DG:$DG,$B89)="","",INDEX(GLAPS컨테이너배차관리!$DG:$DG,$B89)),"")))</f>
        <v/>
      </c>
      <c r="O89" t="str">
        <f>IF($B89="","",IF(INDEX(GLAPS컨테이너배차관리!$AB:$AB,$B89)="","",INDEX(GLAPS컨테이너배차관리!$AB:$AB,$B89)))</f>
        <v/>
      </c>
      <c r="P89" t="str">
        <f>IF($B89="","",IF(IF(INDEX(GLAPS컨테이너배차관리!$CP:$CP,$B89)="","",INDEX(GLAPS컨테이너배차관리!$CP:$CP,$B89))="","",IFERROR(INDEX(GLAPS정리!$BH$2:$BH$101,MATCH(IF(INDEX(GLAPS컨테이너배차관리!$CP:$CP,$B89)="","",INDEX(GLAPS컨테이너배차관리!$CP:$CP,$B89)),GLAPS정리!$BI$2:$BI$101,0)),IF(INDEX(GLAPS컨테이너배차관리!$CP:$CP,$B89)="","",INDEX(GLAPS컨테이너배차관리!$CP:$CP,$B89)))))</f>
        <v/>
      </c>
      <c r="Q89" t="str">
        <f>IF($B89="","",IF(AND(IF(INDEX(GLAPS컨테이너배차관리!$AK:$AK,$B89)="","",INDEX(GLAPS컨테이너배차관리!$AK:$AK,$B89))="Y",IF(INDEX(GLAPS컨테이너배차관리!$AI:$AI,$B89)="","",INDEX(GLAPS컨테이너배차관리!$AI:$AI,$B89))="Y"),"위험물리퍼",IF(IF(INDEX(GLAPS컨테이너배차관리!$AK:$AK,$B89)="","",INDEX(GLAPS컨테이너배차관리!$AK:$AK,$B89))="Y","위험물",IF(IF(INDEX(GLAPS컨테이너배차관리!$AI:$AI,$B89)="","",INDEX(GLAPS컨테이너배차관리!$AI:$AI,$B89))="Y","리퍼",""))))</f>
        <v/>
      </c>
      <c r="R89" t="str">
        <f>IF($B89="","",IF(LEFT(IF(INDEX(GLAPS컨테이너배차관리!$Y:$Y,$B89)="","",INDEX(GLAPS컨테이너배차관리!$Y:$Y,$B89)),2)="22",1,""))</f>
        <v/>
      </c>
      <c r="S89" t="str">
        <f>IF($B89="","",IF(LEFT(IF(INDEX(GLAPS컨테이너배차관리!$Y:$Y,$B89)="","",INDEX(GLAPS컨테이너배차관리!$Y:$Y,$B89)),2)="42",1,""))</f>
        <v/>
      </c>
      <c r="T89" t="str">
        <f>IF($B89="","",IF(LEFT(IF(INDEX(GLAPS컨테이너배차관리!$Y:$Y,$B89)="","",INDEX(GLAPS컨테이너배차관리!$Y:$Y,$B89)),2)="45",1,""))</f>
        <v/>
      </c>
      <c r="U89" t="str">
        <f>IF($B89="","",IF(INDEX(GLAPS컨테이너배차관리!$X:$X,$B89)="","",INDEX(GLAPS컨테이너배차관리!$X:$X,$B89)))</f>
        <v/>
      </c>
      <c r="V89" t="str">
        <f>IF($B89="","",IF(INDEX(GLAPS컨테이너배차관리!$Z:$Z,$B89)="","",INDEX(GLAPS컨테이너배차관리!$Z:$Z,$B89)))</f>
        <v/>
      </c>
      <c r="W89" t="str">
        <f>IF($B89="","",IF(IF(INDEX(GLAPS컨테이너배차관리!$DI:$DI,$B89)="","",INDEX(GLAPS컨테이너배차관리!$DI:$DI,$B89))&lt;&gt;"",IF(INDEX(GLAPS컨테이너배차관리!$DI:$DI,$B89)="","",INDEX(GLAPS컨테이너배차관리!$DI:$DI,$B89)),IF(IF(INDEX(GLAPS컨테이너배차관리!$DJ:$DJ,$B89)="","",INDEX(GLAPS컨테이너배차관리!$DJ:$DJ,$B89))&lt;&gt;"",IF(INDEX(GLAPS컨테이너배차관리!$DJ:$DJ,$B89)="","",INDEX(GLAPS컨테이너배차관리!$DJ:$DJ,$B89)),IF(IF(INDEX(GLAPS컨테이너배차관리!$DK:$DK,$B89)="","",INDEX(GLAPS컨테이너배차관리!$DK:$DK,$B89))&lt;&gt;"",IF(INDEX(GLAPS컨테이너배차관리!$DK:$DK,$B89)="","",INDEX(GLAPS컨테이너배차관리!$DK:$DK,$B89)),IF(IF(INDEX(GLAPS컨테이너배차관리!$DL:$DL,$B89)="","",INDEX(GLAPS컨테이너배차관리!$DL:$DL,$B89))&lt;&gt;"",IF(INDEX(GLAPS컨테이너배차관리!$DL:$DL,$B89)="","",INDEX(GLAPS컨테이너배차관리!$DL:$DL,$B89)),IF(IF(INDEX(GLAPS컨테이너배차관리!$DM:$DM,$B89)="","",INDEX(GLAPS컨테이너배차관리!$DM:$DM,$B89))&lt;&gt;"",IF(INDEX(GLAPS컨테이너배차관리!$DM:$DM,$B89)="","",INDEX(GLAPS컨테이너배차관리!$DM:$DM,$B89)),""))))))</f>
        <v/>
      </c>
      <c r="X89" t="str">
        <f>IF($B89="","",IF(INDEX(GLAPS컨테이너배차관리!$F:$F,$B89)="","",INDEX(GLAPS컨테이너배차관리!$F:$F,$B89)))</f>
        <v/>
      </c>
      <c r="Y89" t="str">
        <f>IF($B89="","",IF(IF(INDEX(GLAPS컨테이너배차관리!$M:$M,$B89)="","",INDEX(GLAPS컨테이너배차관리!$M:$M,$B89))&lt;&gt;"",IF(INDEX(GLAPS컨테이너배차관리!$M:$M,$B89)="","",INDEX(GLAPS컨테이너배차관리!$M:$M,$B89)),IF(IF(INDEX(GLAPS컨테이너배차관리!$N:$N,$B89)="","",INDEX(GLAPS컨테이너배차관리!$N:$N,$B89))&lt;&gt;"",IF(INDEX(GLAPS컨테이너배차관리!$N:$N,$B89)="","",INDEX(GLAPS컨테이너배차관리!$N:$N,$B89)),"")))</f>
        <v/>
      </c>
      <c r="Z89" t="str">
        <f>IF($B89="","",IF(IF(INDEX(GLAPS컨테이너배차관리!$CU:$CU,$B89)="","",INDEX(GLAPS컨테이너배차관리!$CU:$CU,$B89))="","",IFERROR(INT(IF(INDEX(GLAPS컨테이너배차관리!$CU:$CU,$B89)="","",INDEX(GLAPS컨테이너배차관리!$CU:$CU,$B89))),"")))</f>
        <v/>
      </c>
      <c r="AA89" t="str">
        <f>IF($B89="","",IF(AND(IF(INDEX(GLAPS컨테이너배차관리!$CL:$CL,$B89)="","",INDEX(GLAPS컨테이너배차관리!$CL:$CL,$B89))="",IF(INDEX(GLAPS컨테이너배차관리!$CM:$CM,$B89)="","",INDEX(GLAPS컨테이너배차관리!$CM:$CM,$B89))=""),"",IF(OR(IF(INDEX(GLAPS컨테이너배차관리!$CL:$CL,$B89)="","",INDEX(GLAPS컨테이너배차관리!$CL:$CL,$B89))="B000016649",ISNUMBER(SEARCH("B015",IF(INDEX(GLAPS컨테이너배차관리!$CM:$CM,$B89)="","",INDEX(GLAPS컨테이너배차관리!$CM:$CM,$B89)))),ISNUMBER(SEARCH("세방",IF(INDEX(GLAPS컨테이너배차관리!$CM:$CM,$B89)="","",INDEX(GLAPS컨테이너배차관리!$CM:$CM,$B89)))),ISNUMBER(SEARCH("SB",IF(INDEX(GLAPS컨테이너배차관리!$CM:$CM,$B89)="","",INDEX(GLAPS컨테이너배차관리!$CM:$CM,$B89))))),"세방","")))</f>
        <v/>
      </c>
      <c r="AB89" t="str">
        <f>IF($B89="","",IF(IF(INDEX(GLAPS컨테이너배차관리!$CM:$CM,$B89)="","",INDEX(GLAPS컨테이너배차관리!$CM:$CM,$B89))="","",IF(ISNUMBER(SEARCH("이지스두동",IF(INDEX(GLAPS컨테이너배차관리!$CM:$CM,$B89)="","",INDEX(GLAPS컨테이너배차관리!$CM:$CM,$B89)))),"이지스두동",IF(ISNUMBER(SEARCH("이지스녹산",IF(INDEX(GLAPS컨테이너배차관리!$CM:$CM,$B89)="","",INDEX(GLAPS컨테이너배차관리!$CM:$CM,$B89)))),"이지스녹산",IF(ISNUMBER(SEARCH("천우",IF(INDEX(GLAPS컨테이너배차관리!$CM:$CM,$B89)="","",INDEX(GLAPS컨테이너배차관리!$CM:$CM,$B89)))),"천우",IF(OR(ISNUMBER(SEARCH("청암",IF(INDEX(GLAPS컨테이너배차관리!$CM:$CM,$B89)="","",INDEX(GLAPS컨테이너배차관리!$CM:$CM,$B89)))),ISNUMBER(SEARCH("SB청암",IF(INDEX(GLAPS컨테이너배차관리!$CM:$CM,$B89)="","",INDEX(GLAPS컨테이너배차관리!$CM:$CM,$B89))))),"청암신항",IF(INDEX(GLAPS컨테이너배차관리!$CM:$CM,$B89)="","",INDEX(GLAPS컨테이너배차관리!$CM:$CM,$B89))))))))</f>
        <v/>
      </c>
    </row>
    <row r="90" spans="1:28">
      <c r="A90">
        <v>89</v>
      </c>
      <c r="B90" t="str">
        <f>IFERROR(_xlfn.AGGREGATE(15,6,ROW(GLAPS컨테이너배차관리!$X$2:$X$20000)/(GLAPS컨테이너배차관리!$X$2:$X$20000&lt;&gt;""),A90),"")</f>
        <v/>
      </c>
      <c r="C90" t="str">
        <f>IF($B90="","",INT(IF(INDEX(GLAPS컨테이너배차관리!$K:$K,$B90)="","",INDEX(GLAPS컨테이너배차관리!$K:$K,$B90))))</f>
        <v/>
      </c>
      <c r="D90" t="str">
        <f>IF($B90="","",IF(ISNUMBER(SEARCH("이엘에스",IF(INDEX(GLAPS컨테이너배차관리!$AZ:$AZ,$B90)="","",INDEX(GLAPS컨테이너배차관리!$AZ:$AZ,$B90)))),"ELS솔루션",IF(INDEX(GLAPS컨테이너배차관리!$AZ:$AZ,$B90)="","",INDEX(GLAPS컨테이너배차관리!$AZ:$AZ,$B90))))</f>
        <v/>
      </c>
      <c r="E90" t="str">
        <f>IF($B90="","",IF(INDEX(GLAPS컨테이너배차관리!$L:$L,$B90)="","",INDEX(GLAPS컨테이너배차관리!$L:$L,$B90)))</f>
        <v/>
      </c>
      <c r="F90" t="str">
        <f>IF($B90="","",IF(HOUR(IF(INDEX(GLAPS컨테이너배차관리!$L:$L,$B90)="","",INDEX(GLAPS컨테이너배차관리!$L:$L,$B90)))&lt;12,"오전",IF(HOUR(IF(INDEX(GLAPS컨테이너배차관리!$L:$L,$B90)="","",INDEX(GLAPS컨테이너배차관리!$L:$L,$B90)))&lt;18,"오후","잔업")))</f>
        <v/>
      </c>
      <c r="G90" t="str">
        <f>IF($B90="","",IFERROR(INDEX(GLAPS정리!$G$3:$G$264,MATCH(IF(INDEX(GLAPS컨테이너배차관리!$BY:$BY,$B90)="","",INDEX(GLAPS컨테이너배차관리!$BY:$BY,$B90)),GLAPS정리!$H$3:$H$264,0)),TRIM(SUBSTITUTE(SUBSTITUTE(SUBSTITUTE(SUBSTITUTE(SUBSTITUTE(IF(INDEX(GLAPS컨테이너배차관리!$T:$T,$B90)="","",INDEX(GLAPS컨테이너배차관리!$T:$T,$B90)),"[GA]",""),"[GB]",""),"[GC]",""),"[KC]",""),"[GS]",""))))</f>
        <v/>
      </c>
      <c r="H90" t="str">
        <f>IF($B90="","",IFERROR(VLOOKUP(IF(INDEX(GLAPS컨테이너배차관리!$BY:$BY,$B90)="","",INDEX(GLAPS컨테이너배차관리!$BY:$BY,$B90)),GLAPS정리!$BT$3:$BV$200,3,0),""))</f>
        <v/>
      </c>
      <c r="I90" t="str">
        <f>IF($B90="","",LEFT(IF(INDEX(GLAPS컨테이너배차관리!$U:$U,$B90)="","",INDEX(GLAPS컨테이너배차관리!$U:$U,$B90)),FIND("/",IF(INDEX(GLAPS컨테이너배차관리!$U:$U,$B90)="","",INDEX(GLAPS컨테이너배차관리!$U:$U,$B90))&amp;"/")-1))</f>
        <v/>
      </c>
      <c r="J90" t="str">
        <f>IF($B90="","",IF(IF(INDEX(GLAPS컨테이너배차관리!$O:$O,$B90)="","",INDEX(GLAPS컨테이너배차관리!$O:$O,$B90))="EMC","EMA",IFERROR(INDEX(GLAPS정리!$A$2:$A$50,MATCH(IF(INDEX(GLAPS컨테이너배차관리!$O:$O,$B90)="","",INDEX(GLAPS컨테이너배차관리!$O:$O,$B90)),GLAPS정리!$D$2:$D$50,0)),IF(INDEX(GLAPS컨테이너배차관리!$O:$O,$B90)="","",INDEX(GLAPS컨테이너배차관리!$O:$O,$B90)))))</f>
        <v/>
      </c>
      <c r="K90" t="str">
        <f>IF($B90="","",IF(LEFT(IF(INDEX(GLAPS컨테이너배차관리!$Y:$Y,$B90)="","",INDEX(GLAPS컨테이너배차관리!$Y:$Y,$B90)),2)="22","20 Feet",IF(LEFT(IF(INDEX(GLAPS컨테이너배차관리!$Y:$Y,$B90)="","",INDEX(GLAPS컨테이너배차관리!$Y:$Y,$B90)),2)="42","40 Feet","40 Feet H")))</f>
        <v/>
      </c>
      <c r="L90" t="str">
        <f>IF($B90="","",IFERROR(INDEX(GLAPS정리!$BB$2:$BB$80,MATCH(IF(INDEX(GLAPS컨테이너배차관리!$BQ:$BQ,$B90)="","",INDEX(GLAPS컨테이너배차관리!$BQ:$BQ,$B90)),GLAPS정리!$BC$2:$BC$80,0)),IF(INDEX(GLAPS컨테이너배차관리!$BQ:$BQ,$B90)="","",INDEX(GLAPS컨테이너배차관리!$BQ:$BQ,$B90))))</f>
        <v/>
      </c>
      <c r="M90" t="str">
        <f>IF($B90="","",IFERROR(INDEX(GLAPS정리!$V$3:$V$180,MATCH(IF(INDEX(GLAPS컨테이너배차관리!$S:$S,$B90)="","",INDEX(GLAPS컨테이너배차관리!$S:$S,$B90)),GLAPS정리!$W$3:$W$180,0)),IF(INDEX(GLAPS컨테이너배차관리!$S:$S,$B90)="","",INDEX(GLAPS컨테이너배차관리!$S:$S,$B90))))</f>
        <v/>
      </c>
      <c r="N90" t="str">
        <f>IF($B90="","",IF(IF(INDEX(GLAPS컨테이너배차관리!$DF:$DF,$B90)="","",INDEX(GLAPS컨테이너배차관리!$DF:$DF,$B90))&lt;&gt;"",IF(INDEX(GLAPS컨테이너배차관리!$DF:$DF,$B90)="","",INDEX(GLAPS컨테이너배차관리!$DF:$DF,$B90)),IF(IF(INDEX(GLAPS컨테이너배차관리!$DG:$DG,$B90)="","",INDEX(GLAPS컨테이너배차관리!$DG:$DG,$B90))&lt;&gt;"",IF(INDEX(GLAPS컨테이너배차관리!$DG:$DG,$B90)="","",INDEX(GLAPS컨테이너배차관리!$DG:$DG,$B90)),"")))</f>
        <v/>
      </c>
      <c r="O90" t="str">
        <f>IF($B90="","",IF(INDEX(GLAPS컨테이너배차관리!$AB:$AB,$B90)="","",INDEX(GLAPS컨테이너배차관리!$AB:$AB,$B90)))</f>
        <v/>
      </c>
      <c r="P90" t="str">
        <f>IF($B90="","",IF(IF(INDEX(GLAPS컨테이너배차관리!$CP:$CP,$B90)="","",INDEX(GLAPS컨테이너배차관리!$CP:$CP,$B90))="","",IFERROR(INDEX(GLAPS정리!$BH$2:$BH$101,MATCH(IF(INDEX(GLAPS컨테이너배차관리!$CP:$CP,$B90)="","",INDEX(GLAPS컨테이너배차관리!$CP:$CP,$B90)),GLAPS정리!$BI$2:$BI$101,0)),IF(INDEX(GLAPS컨테이너배차관리!$CP:$CP,$B90)="","",INDEX(GLAPS컨테이너배차관리!$CP:$CP,$B90)))))</f>
        <v/>
      </c>
      <c r="Q90" t="str">
        <f>IF($B90="","",IF(AND(IF(INDEX(GLAPS컨테이너배차관리!$AK:$AK,$B90)="","",INDEX(GLAPS컨테이너배차관리!$AK:$AK,$B90))="Y",IF(INDEX(GLAPS컨테이너배차관리!$AI:$AI,$B90)="","",INDEX(GLAPS컨테이너배차관리!$AI:$AI,$B90))="Y"),"위험물리퍼",IF(IF(INDEX(GLAPS컨테이너배차관리!$AK:$AK,$B90)="","",INDEX(GLAPS컨테이너배차관리!$AK:$AK,$B90))="Y","위험물",IF(IF(INDEX(GLAPS컨테이너배차관리!$AI:$AI,$B90)="","",INDEX(GLAPS컨테이너배차관리!$AI:$AI,$B90))="Y","리퍼",""))))</f>
        <v/>
      </c>
      <c r="R90" t="str">
        <f>IF($B90="","",IF(LEFT(IF(INDEX(GLAPS컨테이너배차관리!$Y:$Y,$B90)="","",INDEX(GLAPS컨테이너배차관리!$Y:$Y,$B90)),2)="22",1,""))</f>
        <v/>
      </c>
      <c r="S90" t="str">
        <f>IF($B90="","",IF(LEFT(IF(INDEX(GLAPS컨테이너배차관리!$Y:$Y,$B90)="","",INDEX(GLAPS컨테이너배차관리!$Y:$Y,$B90)),2)="42",1,""))</f>
        <v/>
      </c>
      <c r="T90" t="str">
        <f>IF($B90="","",IF(LEFT(IF(INDEX(GLAPS컨테이너배차관리!$Y:$Y,$B90)="","",INDEX(GLAPS컨테이너배차관리!$Y:$Y,$B90)),2)="45",1,""))</f>
        <v/>
      </c>
      <c r="U90" t="str">
        <f>IF($B90="","",IF(INDEX(GLAPS컨테이너배차관리!$X:$X,$B90)="","",INDEX(GLAPS컨테이너배차관리!$X:$X,$B90)))</f>
        <v/>
      </c>
      <c r="V90" t="str">
        <f>IF($B90="","",IF(INDEX(GLAPS컨테이너배차관리!$Z:$Z,$B90)="","",INDEX(GLAPS컨테이너배차관리!$Z:$Z,$B90)))</f>
        <v/>
      </c>
      <c r="W90" t="str">
        <f>IF($B90="","",IF(IF(INDEX(GLAPS컨테이너배차관리!$DI:$DI,$B90)="","",INDEX(GLAPS컨테이너배차관리!$DI:$DI,$B90))&lt;&gt;"",IF(INDEX(GLAPS컨테이너배차관리!$DI:$DI,$B90)="","",INDEX(GLAPS컨테이너배차관리!$DI:$DI,$B90)),IF(IF(INDEX(GLAPS컨테이너배차관리!$DJ:$DJ,$B90)="","",INDEX(GLAPS컨테이너배차관리!$DJ:$DJ,$B90))&lt;&gt;"",IF(INDEX(GLAPS컨테이너배차관리!$DJ:$DJ,$B90)="","",INDEX(GLAPS컨테이너배차관리!$DJ:$DJ,$B90)),IF(IF(INDEX(GLAPS컨테이너배차관리!$DK:$DK,$B90)="","",INDEX(GLAPS컨테이너배차관리!$DK:$DK,$B90))&lt;&gt;"",IF(INDEX(GLAPS컨테이너배차관리!$DK:$DK,$B90)="","",INDEX(GLAPS컨테이너배차관리!$DK:$DK,$B90)),IF(IF(INDEX(GLAPS컨테이너배차관리!$DL:$DL,$B90)="","",INDEX(GLAPS컨테이너배차관리!$DL:$DL,$B90))&lt;&gt;"",IF(INDEX(GLAPS컨테이너배차관리!$DL:$DL,$B90)="","",INDEX(GLAPS컨테이너배차관리!$DL:$DL,$B90)),IF(IF(INDEX(GLAPS컨테이너배차관리!$DM:$DM,$B90)="","",INDEX(GLAPS컨테이너배차관리!$DM:$DM,$B90))&lt;&gt;"",IF(INDEX(GLAPS컨테이너배차관리!$DM:$DM,$B90)="","",INDEX(GLAPS컨테이너배차관리!$DM:$DM,$B90)),""))))))</f>
        <v/>
      </c>
      <c r="X90" t="str">
        <f>IF($B90="","",IF(INDEX(GLAPS컨테이너배차관리!$F:$F,$B90)="","",INDEX(GLAPS컨테이너배차관리!$F:$F,$B90)))</f>
        <v/>
      </c>
      <c r="Y90" t="str">
        <f>IF($B90="","",IF(IF(INDEX(GLAPS컨테이너배차관리!$M:$M,$B90)="","",INDEX(GLAPS컨테이너배차관리!$M:$M,$B90))&lt;&gt;"",IF(INDEX(GLAPS컨테이너배차관리!$M:$M,$B90)="","",INDEX(GLAPS컨테이너배차관리!$M:$M,$B90)),IF(IF(INDEX(GLAPS컨테이너배차관리!$N:$N,$B90)="","",INDEX(GLAPS컨테이너배차관리!$N:$N,$B90))&lt;&gt;"",IF(INDEX(GLAPS컨테이너배차관리!$N:$N,$B90)="","",INDEX(GLAPS컨테이너배차관리!$N:$N,$B90)),"")))</f>
        <v/>
      </c>
      <c r="Z90" t="str">
        <f>IF($B90="","",IF(IF(INDEX(GLAPS컨테이너배차관리!$CU:$CU,$B90)="","",INDEX(GLAPS컨테이너배차관리!$CU:$CU,$B90))="","",IFERROR(INT(IF(INDEX(GLAPS컨테이너배차관리!$CU:$CU,$B90)="","",INDEX(GLAPS컨테이너배차관리!$CU:$CU,$B90))),"")))</f>
        <v/>
      </c>
      <c r="AA90" t="str">
        <f>IF($B90="","",IF(AND(IF(INDEX(GLAPS컨테이너배차관리!$CL:$CL,$B90)="","",INDEX(GLAPS컨테이너배차관리!$CL:$CL,$B90))="",IF(INDEX(GLAPS컨테이너배차관리!$CM:$CM,$B90)="","",INDEX(GLAPS컨테이너배차관리!$CM:$CM,$B90))=""),"",IF(OR(IF(INDEX(GLAPS컨테이너배차관리!$CL:$CL,$B90)="","",INDEX(GLAPS컨테이너배차관리!$CL:$CL,$B90))="B000016649",ISNUMBER(SEARCH("B015",IF(INDEX(GLAPS컨테이너배차관리!$CM:$CM,$B90)="","",INDEX(GLAPS컨테이너배차관리!$CM:$CM,$B90)))),ISNUMBER(SEARCH("세방",IF(INDEX(GLAPS컨테이너배차관리!$CM:$CM,$B90)="","",INDEX(GLAPS컨테이너배차관리!$CM:$CM,$B90)))),ISNUMBER(SEARCH("SB",IF(INDEX(GLAPS컨테이너배차관리!$CM:$CM,$B90)="","",INDEX(GLAPS컨테이너배차관리!$CM:$CM,$B90))))),"세방","")))</f>
        <v/>
      </c>
      <c r="AB90" t="str">
        <f>IF($B90="","",IF(IF(INDEX(GLAPS컨테이너배차관리!$CM:$CM,$B90)="","",INDEX(GLAPS컨테이너배차관리!$CM:$CM,$B90))="","",IF(ISNUMBER(SEARCH("이지스두동",IF(INDEX(GLAPS컨테이너배차관리!$CM:$CM,$B90)="","",INDEX(GLAPS컨테이너배차관리!$CM:$CM,$B90)))),"이지스두동",IF(ISNUMBER(SEARCH("이지스녹산",IF(INDEX(GLAPS컨테이너배차관리!$CM:$CM,$B90)="","",INDEX(GLAPS컨테이너배차관리!$CM:$CM,$B90)))),"이지스녹산",IF(ISNUMBER(SEARCH("천우",IF(INDEX(GLAPS컨테이너배차관리!$CM:$CM,$B90)="","",INDEX(GLAPS컨테이너배차관리!$CM:$CM,$B90)))),"천우",IF(OR(ISNUMBER(SEARCH("청암",IF(INDEX(GLAPS컨테이너배차관리!$CM:$CM,$B90)="","",INDEX(GLAPS컨테이너배차관리!$CM:$CM,$B90)))),ISNUMBER(SEARCH("SB청암",IF(INDEX(GLAPS컨테이너배차관리!$CM:$CM,$B90)="","",INDEX(GLAPS컨테이너배차관리!$CM:$CM,$B90))))),"청암신항",IF(INDEX(GLAPS컨테이너배차관리!$CM:$CM,$B90)="","",INDEX(GLAPS컨테이너배차관리!$CM:$CM,$B90))))))))</f>
        <v/>
      </c>
    </row>
    <row r="91" spans="1:28">
      <c r="A91">
        <v>90</v>
      </c>
      <c r="B91" t="str">
        <f>IFERROR(_xlfn.AGGREGATE(15,6,ROW(GLAPS컨테이너배차관리!$X$2:$X$20000)/(GLAPS컨테이너배차관리!$X$2:$X$20000&lt;&gt;""),A91),"")</f>
        <v/>
      </c>
      <c r="C91" t="str">
        <f>IF($B91="","",INT(IF(INDEX(GLAPS컨테이너배차관리!$K:$K,$B91)="","",INDEX(GLAPS컨테이너배차관리!$K:$K,$B91))))</f>
        <v/>
      </c>
      <c r="D91" t="str">
        <f>IF($B91="","",IF(ISNUMBER(SEARCH("이엘에스",IF(INDEX(GLAPS컨테이너배차관리!$AZ:$AZ,$B91)="","",INDEX(GLAPS컨테이너배차관리!$AZ:$AZ,$B91)))),"ELS솔루션",IF(INDEX(GLAPS컨테이너배차관리!$AZ:$AZ,$B91)="","",INDEX(GLAPS컨테이너배차관리!$AZ:$AZ,$B91))))</f>
        <v/>
      </c>
      <c r="E91" t="str">
        <f>IF($B91="","",IF(INDEX(GLAPS컨테이너배차관리!$L:$L,$B91)="","",INDEX(GLAPS컨테이너배차관리!$L:$L,$B91)))</f>
        <v/>
      </c>
      <c r="F91" t="str">
        <f>IF($B91="","",IF(HOUR(IF(INDEX(GLAPS컨테이너배차관리!$L:$L,$B91)="","",INDEX(GLAPS컨테이너배차관리!$L:$L,$B91)))&lt;12,"오전",IF(HOUR(IF(INDEX(GLAPS컨테이너배차관리!$L:$L,$B91)="","",INDEX(GLAPS컨테이너배차관리!$L:$L,$B91)))&lt;18,"오후","잔업")))</f>
        <v/>
      </c>
      <c r="G91" t="str">
        <f>IF($B91="","",IFERROR(INDEX(GLAPS정리!$G$3:$G$264,MATCH(IF(INDEX(GLAPS컨테이너배차관리!$BY:$BY,$B91)="","",INDEX(GLAPS컨테이너배차관리!$BY:$BY,$B91)),GLAPS정리!$H$3:$H$264,0)),TRIM(SUBSTITUTE(SUBSTITUTE(SUBSTITUTE(SUBSTITUTE(SUBSTITUTE(IF(INDEX(GLAPS컨테이너배차관리!$T:$T,$B91)="","",INDEX(GLAPS컨테이너배차관리!$T:$T,$B91)),"[GA]",""),"[GB]",""),"[GC]",""),"[KC]",""),"[GS]",""))))</f>
        <v/>
      </c>
      <c r="H91" t="str">
        <f>IF($B91="","",IFERROR(VLOOKUP(IF(INDEX(GLAPS컨테이너배차관리!$BY:$BY,$B91)="","",INDEX(GLAPS컨테이너배차관리!$BY:$BY,$B91)),GLAPS정리!$BT$3:$BV$200,3,0),""))</f>
        <v/>
      </c>
      <c r="I91" t="str">
        <f>IF($B91="","",LEFT(IF(INDEX(GLAPS컨테이너배차관리!$U:$U,$B91)="","",INDEX(GLAPS컨테이너배차관리!$U:$U,$B91)),FIND("/",IF(INDEX(GLAPS컨테이너배차관리!$U:$U,$B91)="","",INDEX(GLAPS컨테이너배차관리!$U:$U,$B91))&amp;"/")-1))</f>
        <v/>
      </c>
      <c r="J91" t="str">
        <f>IF($B91="","",IF(IF(INDEX(GLAPS컨테이너배차관리!$O:$O,$B91)="","",INDEX(GLAPS컨테이너배차관리!$O:$O,$B91))="EMC","EMA",IFERROR(INDEX(GLAPS정리!$A$2:$A$50,MATCH(IF(INDEX(GLAPS컨테이너배차관리!$O:$O,$B91)="","",INDEX(GLAPS컨테이너배차관리!$O:$O,$B91)),GLAPS정리!$D$2:$D$50,0)),IF(INDEX(GLAPS컨테이너배차관리!$O:$O,$B91)="","",INDEX(GLAPS컨테이너배차관리!$O:$O,$B91)))))</f>
        <v/>
      </c>
      <c r="K91" t="str">
        <f>IF($B91="","",IF(LEFT(IF(INDEX(GLAPS컨테이너배차관리!$Y:$Y,$B91)="","",INDEX(GLAPS컨테이너배차관리!$Y:$Y,$B91)),2)="22","20 Feet",IF(LEFT(IF(INDEX(GLAPS컨테이너배차관리!$Y:$Y,$B91)="","",INDEX(GLAPS컨테이너배차관리!$Y:$Y,$B91)),2)="42","40 Feet","40 Feet H")))</f>
        <v/>
      </c>
      <c r="L91" t="str">
        <f>IF($B91="","",IFERROR(INDEX(GLAPS정리!$BB$2:$BB$80,MATCH(IF(INDEX(GLAPS컨테이너배차관리!$BQ:$BQ,$B91)="","",INDEX(GLAPS컨테이너배차관리!$BQ:$BQ,$B91)),GLAPS정리!$BC$2:$BC$80,0)),IF(INDEX(GLAPS컨테이너배차관리!$BQ:$BQ,$B91)="","",INDEX(GLAPS컨테이너배차관리!$BQ:$BQ,$B91))))</f>
        <v/>
      </c>
      <c r="M91" t="str">
        <f>IF($B91="","",IFERROR(INDEX(GLAPS정리!$V$3:$V$180,MATCH(IF(INDEX(GLAPS컨테이너배차관리!$S:$S,$B91)="","",INDEX(GLAPS컨테이너배차관리!$S:$S,$B91)),GLAPS정리!$W$3:$W$180,0)),IF(INDEX(GLAPS컨테이너배차관리!$S:$S,$B91)="","",INDEX(GLAPS컨테이너배차관리!$S:$S,$B91))))</f>
        <v/>
      </c>
      <c r="N91" t="str">
        <f>IF($B91="","",IF(IF(INDEX(GLAPS컨테이너배차관리!$DF:$DF,$B91)="","",INDEX(GLAPS컨테이너배차관리!$DF:$DF,$B91))&lt;&gt;"",IF(INDEX(GLAPS컨테이너배차관리!$DF:$DF,$B91)="","",INDEX(GLAPS컨테이너배차관리!$DF:$DF,$B91)),IF(IF(INDEX(GLAPS컨테이너배차관리!$DG:$DG,$B91)="","",INDEX(GLAPS컨테이너배차관리!$DG:$DG,$B91))&lt;&gt;"",IF(INDEX(GLAPS컨테이너배차관리!$DG:$DG,$B91)="","",INDEX(GLAPS컨테이너배차관리!$DG:$DG,$B91)),"")))</f>
        <v/>
      </c>
      <c r="O91" t="str">
        <f>IF($B91="","",IF(INDEX(GLAPS컨테이너배차관리!$AB:$AB,$B91)="","",INDEX(GLAPS컨테이너배차관리!$AB:$AB,$B91)))</f>
        <v/>
      </c>
      <c r="P91" t="str">
        <f>IF($B91="","",IF(IF(INDEX(GLAPS컨테이너배차관리!$CP:$CP,$B91)="","",INDEX(GLAPS컨테이너배차관리!$CP:$CP,$B91))="","",IFERROR(INDEX(GLAPS정리!$BH$2:$BH$101,MATCH(IF(INDEX(GLAPS컨테이너배차관리!$CP:$CP,$B91)="","",INDEX(GLAPS컨테이너배차관리!$CP:$CP,$B91)),GLAPS정리!$BI$2:$BI$101,0)),IF(INDEX(GLAPS컨테이너배차관리!$CP:$CP,$B91)="","",INDEX(GLAPS컨테이너배차관리!$CP:$CP,$B91)))))</f>
        <v/>
      </c>
      <c r="Q91" t="str">
        <f>IF($B91="","",IF(AND(IF(INDEX(GLAPS컨테이너배차관리!$AK:$AK,$B91)="","",INDEX(GLAPS컨테이너배차관리!$AK:$AK,$B91))="Y",IF(INDEX(GLAPS컨테이너배차관리!$AI:$AI,$B91)="","",INDEX(GLAPS컨테이너배차관리!$AI:$AI,$B91))="Y"),"위험물리퍼",IF(IF(INDEX(GLAPS컨테이너배차관리!$AK:$AK,$B91)="","",INDEX(GLAPS컨테이너배차관리!$AK:$AK,$B91))="Y","위험물",IF(IF(INDEX(GLAPS컨테이너배차관리!$AI:$AI,$B91)="","",INDEX(GLAPS컨테이너배차관리!$AI:$AI,$B91))="Y","리퍼",""))))</f>
        <v/>
      </c>
      <c r="R91" t="str">
        <f>IF($B91="","",IF(LEFT(IF(INDEX(GLAPS컨테이너배차관리!$Y:$Y,$B91)="","",INDEX(GLAPS컨테이너배차관리!$Y:$Y,$B91)),2)="22",1,""))</f>
        <v/>
      </c>
      <c r="S91" t="str">
        <f>IF($B91="","",IF(LEFT(IF(INDEX(GLAPS컨테이너배차관리!$Y:$Y,$B91)="","",INDEX(GLAPS컨테이너배차관리!$Y:$Y,$B91)),2)="42",1,""))</f>
        <v/>
      </c>
      <c r="T91" t="str">
        <f>IF($B91="","",IF(LEFT(IF(INDEX(GLAPS컨테이너배차관리!$Y:$Y,$B91)="","",INDEX(GLAPS컨테이너배차관리!$Y:$Y,$B91)),2)="45",1,""))</f>
        <v/>
      </c>
      <c r="U91" t="str">
        <f>IF($B91="","",IF(INDEX(GLAPS컨테이너배차관리!$X:$X,$B91)="","",INDEX(GLAPS컨테이너배차관리!$X:$X,$B91)))</f>
        <v/>
      </c>
      <c r="V91" t="str">
        <f>IF($B91="","",IF(INDEX(GLAPS컨테이너배차관리!$Z:$Z,$B91)="","",INDEX(GLAPS컨테이너배차관리!$Z:$Z,$B91)))</f>
        <v/>
      </c>
      <c r="W91" t="str">
        <f>IF($B91="","",IF(IF(INDEX(GLAPS컨테이너배차관리!$DI:$DI,$B91)="","",INDEX(GLAPS컨테이너배차관리!$DI:$DI,$B91))&lt;&gt;"",IF(INDEX(GLAPS컨테이너배차관리!$DI:$DI,$B91)="","",INDEX(GLAPS컨테이너배차관리!$DI:$DI,$B91)),IF(IF(INDEX(GLAPS컨테이너배차관리!$DJ:$DJ,$B91)="","",INDEX(GLAPS컨테이너배차관리!$DJ:$DJ,$B91))&lt;&gt;"",IF(INDEX(GLAPS컨테이너배차관리!$DJ:$DJ,$B91)="","",INDEX(GLAPS컨테이너배차관리!$DJ:$DJ,$B91)),IF(IF(INDEX(GLAPS컨테이너배차관리!$DK:$DK,$B91)="","",INDEX(GLAPS컨테이너배차관리!$DK:$DK,$B91))&lt;&gt;"",IF(INDEX(GLAPS컨테이너배차관리!$DK:$DK,$B91)="","",INDEX(GLAPS컨테이너배차관리!$DK:$DK,$B91)),IF(IF(INDEX(GLAPS컨테이너배차관리!$DL:$DL,$B91)="","",INDEX(GLAPS컨테이너배차관리!$DL:$DL,$B91))&lt;&gt;"",IF(INDEX(GLAPS컨테이너배차관리!$DL:$DL,$B91)="","",INDEX(GLAPS컨테이너배차관리!$DL:$DL,$B91)),IF(IF(INDEX(GLAPS컨테이너배차관리!$DM:$DM,$B91)="","",INDEX(GLAPS컨테이너배차관리!$DM:$DM,$B91))&lt;&gt;"",IF(INDEX(GLAPS컨테이너배차관리!$DM:$DM,$B91)="","",INDEX(GLAPS컨테이너배차관리!$DM:$DM,$B91)),""))))))</f>
        <v/>
      </c>
      <c r="X91" t="str">
        <f>IF($B91="","",IF(INDEX(GLAPS컨테이너배차관리!$F:$F,$B91)="","",INDEX(GLAPS컨테이너배차관리!$F:$F,$B91)))</f>
        <v/>
      </c>
      <c r="Y91" t="str">
        <f>IF($B91="","",IF(IF(INDEX(GLAPS컨테이너배차관리!$M:$M,$B91)="","",INDEX(GLAPS컨테이너배차관리!$M:$M,$B91))&lt;&gt;"",IF(INDEX(GLAPS컨테이너배차관리!$M:$M,$B91)="","",INDEX(GLAPS컨테이너배차관리!$M:$M,$B91)),IF(IF(INDEX(GLAPS컨테이너배차관리!$N:$N,$B91)="","",INDEX(GLAPS컨테이너배차관리!$N:$N,$B91))&lt;&gt;"",IF(INDEX(GLAPS컨테이너배차관리!$N:$N,$B91)="","",INDEX(GLAPS컨테이너배차관리!$N:$N,$B91)),"")))</f>
        <v/>
      </c>
      <c r="Z91" t="str">
        <f>IF($B91="","",IF(IF(INDEX(GLAPS컨테이너배차관리!$CU:$CU,$B91)="","",INDEX(GLAPS컨테이너배차관리!$CU:$CU,$B91))="","",IFERROR(INT(IF(INDEX(GLAPS컨테이너배차관리!$CU:$CU,$B91)="","",INDEX(GLAPS컨테이너배차관리!$CU:$CU,$B91))),"")))</f>
        <v/>
      </c>
      <c r="AA91" t="str">
        <f>IF($B91="","",IF(AND(IF(INDEX(GLAPS컨테이너배차관리!$CL:$CL,$B91)="","",INDEX(GLAPS컨테이너배차관리!$CL:$CL,$B91))="",IF(INDEX(GLAPS컨테이너배차관리!$CM:$CM,$B91)="","",INDEX(GLAPS컨테이너배차관리!$CM:$CM,$B91))=""),"",IF(OR(IF(INDEX(GLAPS컨테이너배차관리!$CL:$CL,$B91)="","",INDEX(GLAPS컨테이너배차관리!$CL:$CL,$B91))="B000016649",ISNUMBER(SEARCH("B015",IF(INDEX(GLAPS컨테이너배차관리!$CM:$CM,$B91)="","",INDEX(GLAPS컨테이너배차관리!$CM:$CM,$B91)))),ISNUMBER(SEARCH("세방",IF(INDEX(GLAPS컨테이너배차관리!$CM:$CM,$B91)="","",INDEX(GLAPS컨테이너배차관리!$CM:$CM,$B91)))),ISNUMBER(SEARCH("SB",IF(INDEX(GLAPS컨테이너배차관리!$CM:$CM,$B91)="","",INDEX(GLAPS컨테이너배차관리!$CM:$CM,$B91))))),"세방","")))</f>
        <v/>
      </c>
      <c r="AB91" t="str">
        <f>IF($B91="","",IF(IF(INDEX(GLAPS컨테이너배차관리!$CM:$CM,$B91)="","",INDEX(GLAPS컨테이너배차관리!$CM:$CM,$B91))="","",IF(ISNUMBER(SEARCH("이지스두동",IF(INDEX(GLAPS컨테이너배차관리!$CM:$CM,$B91)="","",INDEX(GLAPS컨테이너배차관리!$CM:$CM,$B91)))),"이지스두동",IF(ISNUMBER(SEARCH("이지스녹산",IF(INDEX(GLAPS컨테이너배차관리!$CM:$CM,$B91)="","",INDEX(GLAPS컨테이너배차관리!$CM:$CM,$B91)))),"이지스녹산",IF(ISNUMBER(SEARCH("천우",IF(INDEX(GLAPS컨테이너배차관리!$CM:$CM,$B91)="","",INDEX(GLAPS컨테이너배차관리!$CM:$CM,$B91)))),"천우",IF(OR(ISNUMBER(SEARCH("청암",IF(INDEX(GLAPS컨테이너배차관리!$CM:$CM,$B91)="","",INDEX(GLAPS컨테이너배차관리!$CM:$CM,$B91)))),ISNUMBER(SEARCH("SB청암",IF(INDEX(GLAPS컨테이너배차관리!$CM:$CM,$B91)="","",INDEX(GLAPS컨테이너배차관리!$CM:$CM,$B91))))),"청암신항",IF(INDEX(GLAPS컨테이너배차관리!$CM:$CM,$B91)="","",INDEX(GLAPS컨테이너배차관리!$CM:$CM,$B91))))))))</f>
        <v/>
      </c>
    </row>
    <row r="92" spans="1:28">
      <c r="A92">
        <v>91</v>
      </c>
      <c r="B92" t="str">
        <f>IFERROR(_xlfn.AGGREGATE(15,6,ROW(GLAPS컨테이너배차관리!$X$2:$X$20000)/(GLAPS컨테이너배차관리!$X$2:$X$20000&lt;&gt;""),A92),"")</f>
        <v/>
      </c>
      <c r="C92" t="str">
        <f>IF($B92="","",INT(IF(INDEX(GLAPS컨테이너배차관리!$K:$K,$B92)="","",INDEX(GLAPS컨테이너배차관리!$K:$K,$B92))))</f>
        <v/>
      </c>
      <c r="D92" t="str">
        <f>IF($B92="","",IF(ISNUMBER(SEARCH("이엘에스",IF(INDEX(GLAPS컨테이너배차관리!$AZ:$AZ,$B92)="","",INDEX(GLAPS컨테이너배차관리!$AZ:$AZ,$B92)))),"ELS솔루션",IF(INDEX(GLAPS컨테이너배차관리!$AZ:$AZ,$B92)="","",INDEX(GLAPS컨테이너배차관리!$AZ:$AZ,$B92))))</f>
        <v/>
      </c>
      <c r="E92" t="str">
        <f>IF($B92="","",IF(INDEX(GLAPS컨테이너배차관리!$L:$L,$B92)="","",INDEX(GLAPS컨테이너배차관리!$L:$L,$B92)))</f>
        <v/>
      </c>
      <c r="F92" t="str">
        <f>IF($B92="","",IF(HOUR(IF(INDEX(GLAPS컨테이너배차관리!$L:$L,$B92)="","",INDEX(GLAPS컨테이너배차관리!$L:$L,$B92)))&lt;12,"오전",IF(HOUR(IF(INDEX(GLAPS컨테이너배차관리!$L:$L,$B92)="","",INDEX(GLAPS컨테이너배차관리!$L:$L,$B92)))&lt;18,"오후","잔업")))</f>
        <v/>
      </c>
      <c r="G92" t="str">
        <f>IF($B92="","",IFERROR(INDEX(GLAPS정리!$G$3:$G$264,MATCH(IF(INDEX(GLAPS컨테이너배차관리!$BY:$BY,$B92)="","",INDEX(GLAPS컨테이너배차관리!$BY:$BY,$B92)),GLAPS정리!$H$3:$H$264,0)),TRIM(SUBSTITUTE(SUBSTITUTE(SUBSTITUTE(SUBSTITUTE(SUBSTITUTE(IF(INDEX(GLAPS컨테이너배차관리!$T:$T,$B92)="","",INDEX(GLAPS컨테이너배차관리!$T:$T,$B92)),"[GA]",""),"[GB]",""),"[GC]",""),"[KC]",""),"[GS]",""))))</f>
        <v/>
      </c>
      <c r="H92" t="str">
        <f>IF($B92="","",IFERROR(VLOOKUP(IF(INDEX(GLAPS컨테이너배차관리!$BY:$BY,$B92)="","",INDEX(GLAPS컨테이너배차관리!$BY:$BY,$B92)),GLAPS정리!$BT$3:$BV$200,3,0),""))</f>
        <v/>
      </c>
      <c r="I92" t="str">
        <f>IF($B92="","",LEFT(IF(INDEX(GLAPS컨테이너배차관리!$U:$U,$B92)="","",INDEX(GLAPS컨테이너배차관리!$U:$U,$B92)),FIND("/",IF(INDEX(GLAPS컨테이너배차관리!$U:$U,$B92)="","",INDEX(GLAPS컨테이너배차관리!$U:$U,$B92))&amp;"/")-1))</f>
        <v/>
      </c>
      <c r="J92" t="str">
        <f>IF($B92="","",IF(IF(INDEX(GLAPS컨테이너배차관리!$O:$O,$B92)="","",INDEX(GLAPS컨테이너배차관리!$O:$O,$B92))="EMC","EMA",IFERROR(INDEX(GLAPS정리!$A$2:$A$50,MATCH(IF(INDEX(GLAPS컨테이너배차관리!$O:$O,$B92)="","",INDEX(GLAPS컨테이너배차관리!$O:$O,$B92)),GLAPS정리!$D$2:$D$50,0)),IF(INDEX(GLAPS컨테이너배차관리!$O:$O,$B92)="","",INDEX(GLAPS컨테이너배차관리!$O:$O,$B92)))))</f>
        <v/>
      </c>
      <c r="K92" t="str">
        <f>IF($B92="","",IF(LEFT(IF(INDEX(GLAPS컨테이너배차관리!$Y:$Y,$B92)="","",INDEX(GLAPS컨테이너배차관리!$Y:$Y,$B92)),2)="22","20 Feet",IF(LEFT(IF(INDEX(GLAPS컨테이너배차관리!$Y:$Y,$B92)="","",INDEX(GLAPS컨테이너배차관리!$Y:$Y,$B92)),2)="42","40 Feet","40 Feet H")))</f>
        <v/>
      </c>
      <c r="L92" t="str">
        <f>IF($B92="","",IFERROR(INDEX(GLAPS정리!$BB$2:$BB$80,MATCH(IF(INDEX(GLAPS컨테이너배차관리!$BQ:$BQ,$B92)="","",INDEX(GLAPS컨테이너배차관리!$BQ:$BQ,$B92)),GLAPS정리!$BC$2:$BC$80,0)),IF(INDEX(GLAPS컨테이너배차관리!$BQ:$BQ,$B92)="","",INDEX(GLAPS컨테이너배차관리!$BQ:$BQ,$B92))))</f>
        <v/>
      </c>
      <c r="M92" t="str">
        <f>IF($B92="","",IFERROR(INDEX(GLAPS정리!$V$3:$V$180,MATCH(IF(INDEX(GLAPS컨테이너배차관리!$S:$S,$B92)="","",INDEX(GLAPS컨테이너배차관리!$S:$S,$B92)),GLAPS정리!$W$3:$W$180,0)),IF(INDEX(GLAPS컨테이너배차관리!$S:$S,$B92)="","",INDEX(GLAPS컨테이너배차관리!$S:$S,$B92))))</f>
        <v/>
      </c>
      <c r="N92" t="str">
        <f>IF($B92="","",IF(IF(INDEX(GLAPS컨테이너배차관리!$DF:$DF,$B92)="","",INDEX(GLAPS컨테이너배차관리!$DF:$DF,$B92))&lt;&gt;"",IF(INDEX(GLAPS컨테이너배차관리!$DF:$DF,$B92)="","",INDEX(GLAPS컨테이너배차관리!$DF:$DF,$B92)),IF(IF(INDEX(GLAPS컨테이너배차관리!$DG:$DG,$B92)="","",INDEX(GLAPS컨테이너배차관리!$DG:$DG,$B92))&lt;&gt;"",IF(INDEX(GLAPS컨테이너배차관리!$DG:$DG,$B92)="","",INDEX(GLAPS컨테이너배차관리!$DG:$DG,$B92)),"")))</f>
        <v/>
      </c>
      <c r="O92" t="str">
        <f>IF($B92="","",IF(INDEX(GLAPS컨테이너배차관리!$AB:$AB,$B92)="","",INDEX(GLAPS컨테이너배차관리!$AB:$AB,$B92)))</f>
        <v/>
      </c>
      <c r="P92" t="str">
        <f>IF($B92="","",IF(IF(INDEX(GLAPS컨테이너배차관리!$CP:$CP,$B92)="","",INDEX(GLAPS컨테이너배차관리!$CP:$CP,$B92))="","",IFERROR(INDEX(GLAPS정리!$BH$2:$BH$101,MATCH(IF(INDEX(GLAPS컨테이너배차관리!$CP:$CP,$B92)="","",INDEX(GLAPS컨테이너배차관리!$CP:$CP,$B92)),GLAPS정리!$BI$2:$BI$101,0)),IF(INDEX(GLAPS컨테이너배차관리!$CP:$CP,$B92)="","",INDEX(GLAPS컨테이너배차관리!$CP:$CP,$B92)))))</f>
        <v/>
      </c>
      <c r="Q92" t="str">
        <f>IF($B92="","",IF(AND(IF(INDEX(GLAPS컨테이너배차관리!$AK:$AK,$B92)="","",INDEX(GLAPS컨테이너배차관리!$AK:$AK,$B92))="Y",IF(INDEX(GLAPS컨테이너배차관리!$AI:$AI,$B92)="","",INDEX(GLAPS컨테이너배차관리!$AI:$AI,$B92))="Y"),"위험물리퍼",IF(IF(INDEX(GLAPS컨테이너배차관리!$AK:$AK,$B92)="","",INDEX(GLAPS컨테이너배차관리!$AK:$AK,$B92))="Y","위험물",IF(IF(INDEX(GLAPS컨테이너배차관리!$AI:$AI,$B92)="","",INDEX(GLAPS컨테이너배차관리!$AI:$AI,$B92))="Y","리퍼",""))))</f>
        <v/>
      </c>
      <c r="R92" t="str">
        <f>IF($B92="","",IF(LEFT(IF(INDEX(GLAPS컨테이너배차관리!$Y:$Y,$B92)="","",INDEX(GLAPS컨테이너배차관리!$Y:$Y,$B92)),2)="22",1,""))</f>
        <v/>
      </c>
      <c r="S92" t="str">
        <f>IF($B92="","",IF(LEFT(IF(INDEX(GLAPS컨테이너배차관리!$Y:$Y,$B92)="","",INDEX(GLAPS컨테이너배차관리!$Y:$Y,$B92)),2)="42",1,""))</f>
        <v/>
      </c>
      <c r="T92" t="str">
        <f>IF($B92="","",IF(LEFT(IF(INDEX(GLAPS컨테이너배차관리!$Y:$Y,$B92)="","",INDEX(GLAPS컨테이너배차관리!$Y:$Y,$B92)),2)="45",1,""))</f>
        <v/>
      </c>
      <c r="U92" t="str">
        <f>IF($B92="","",IF(INDEX(GLAPS컨테이너배차관리!$X:$X,$B92)="","",INDEX(GLAPS컨테이너배차관리!$X:$X,$B92)))</f>
        <v/>
      </c>
      <c r="V92" t="str">
        <f>IF($B92="","",IF(INDEX(GLAPS컨테이너배차관리!$Z:$Z,$B92)="","",INDEX(GLAPS컨테이너배차관리!$Z:$Z,$B92)))</f>
        <v/>
      </c>
      <c r="W92" t="str">
        <f>IF($B92="","",IF(IF(INDEX(GLAPS컨테이너배차관리!$DI:$DI,$B92)="","",INDEX(GLAPS컨테이너배차관리!$DI:$DI,$B92))&lt;&gt;"",IF(INDEX(GLAPS컨테이너배차관리!$DI:$DI,$B92)="","",INDEX(GLAPS컨테이너배차관리!$DI:$DI,$B92)),IF(IF(INDEX(GLAPS컨테이너배차관리!$DJ:$DJ,$B92)="","",INDEX(GLAPS컨테이너배차관리!$DJ:$DJ,$B92))&lt;&gt;"",IF(INDEX(GLAPS컨테이너배차관리!$DJ:$DJ,$B92)="","",INDEX(GLAPS컨테이너배차관리!$DJ:$DJ,$B92)),IF(IF(INDEX(GLAPS컨테이너배차관리!$DK:$DK,$B92)="","",INDEX(GLAPS컨테이너배차관리!$DK:$DK,$B92))&lt;&gt;"",IF(INDEX(GLAPS컨테이너배차관리!$DK:$DK,$B92)="","",INDEX(GLAPS컨테이너배차관리!$DK:$DK,$B92)),IF(IF(INDEX(GLAPS컨테이너배차관리!$DL:$DL,$B92)="","",INDEX(GLAPS컨테이너배차관리!$DL:$DL,$B92))&lt;&gt;"",IF(INDEX(GLAPS컨테이너배차관리!$DL:$DL,$B92)="","",INDEX(GLAPS컨테이너배차관리!$DL:$DL,$B92)),IF(IF(INDEX(GLAPS컨테이너배차관리!$DM:$DM,$B92)="","",INDEX(GLAPS컨테이너배차관리!$DM:$DM,$B92))&lt;&gt;"",IF(INDEX(GLAPS컨테이너배차관리!$DM:$DM,$B92)="","",INDEX(GLAPS컨테이너배차관리!$DM:$DM,$B92)),""))))))</f>
        <v/>
      </c>
      <c r="X92" t="str">
        <f>IF($B92="","",IF(INDEX(GLAPS컨테이너배차관리!$F:$F,$B92)="","",INDEX(GLAPS컨테이너배차관리!$F:$F,$B92)))</f>
        <v/>
      </c>
      <c r="Y92" t="str">
        <f>IF($B92="","",IF(IF(INDEX(GLAPS컨테이너배차관리!$M:$M,$B92)="","",INDEX(GLAPS컨테이너배차관리!$M:$M,$B92))&lt;&gt;"",IF(INDEX(GLAPS컨테이너배차관리!$M:$M,$B92)="","",INDEX(GLAPS컨테이너배차관리!$M:$M,$B92)),IF(IF(INDEX(GLAPS컨테이너배차관리!$N:$N,$B92)="","",INDEX(GLAPS컨테이너배차관리!$N:$N,$B92))&lt;&gt;"",IF(INDEX(GLAPS컨테이너배차관리!$N:$N,$B92)="","",INDEX(GLAPS컨테이너배차관리!$N:$N,$B92)),"")))</f>
        <v/>
      </c>
      <c r="Z92" t="str">
        <f>IF($B92="","",IF(IF(INDEX(GLAPS컨테이너배차관리!$CU:$CU,$B92)="","",INDEX(GLAPS컨테이너배차관리!$CU:$CU,$B92))="","",IFERROR(INT(IF(INDEX(GLAPS컨테이너배차관리!$CU:$CU,$B92)="","",INDEX(GLAPS컨테이너배차관리!$CU:$CU,$B92))),"")))</f>
        <v/>
      </c>
      <c r="AA92" t="str">
        <f>IF($B92="","",IF(AND(IF(INDEX(GLAPS컨테이너배차관리!$CL:$CL,$B92)="","",INDEX(GLAPS컨테이너배차관리!$CL:$CL,$B92))="",IF(INDEX(GLAPS컨테이너배차관리!$CM:$CM,$B92)="","",INDEX(GLAPS컨테이너배차관리!$CM:$CM,$B92))=""),"",IF(OR(IF(INDEX(GLAPS컨테이너배차관리!$CL:$CL,$B92)="","",INDEX(GLAPS컨테이너배차관리!$CL:$CL,$B92))="B000016649",ISNUMBER(SEARCH("B015",IF(INDEX(GLAPS컨테이너배차관리!$CM:$CM,$B92)="","",INDEX(GLAPS컨테이너배차관리!$CM:$CM,$B92)))),ISNUMBER(SEARCH("세방",IF(INDEX(GLAPS컨테이너배차관리!$CM:$CM,$B92)="","",INDEX(GLAPS컨테이너배차관리!$CM:$CM,$B92)))),ISNUMBER(SEARCH("SB",IF(INDEX(GLAPS컨테이너배차관리!$CM:$CM,$B92)="","",INDEX(GLAPS컨테이너배차관리!$CM:$CM,$B92))))),"세방","")))</f>
        <v/>
      </c>
      <c r="AB92" t="str">
        <f>IF($B92="","",IF(IF(INDEX(GLAPS컨테이너배차관리!$CM:$CM,$B92)="","",INDEX(GLAPS컨테이너배차관리!$CM:$CM,$B92))="","",IF(ISNUMBER(SEARCH("이지스두동",IF(INDEX(GLAPS컨테이너배차관리!$CM:$CM,$B92)="","",INDEX(GLAPS컨테이너배차관리!$CM:$CM,$B92)))),"이지스두동",IF(ISNUMBER(SEARCH("이지스녹산",IF(INDEX(GLAPS컨테이너배차관리!$CM:$CM,$B92)="","",INDEX(GLAPS컨테이너배차관리!$CM:$CM,$B92)))),"이지스녹산",IF(ISNUMBER(SEARCH("천우",IF(INDEX(GLAPS컨테이너배차관리!$CM:$CM,$B92)="","",INDEX(GLAPS컨테이너배차관리!$CM:$CM,$B92)))),"천우",IF(OR(ISNUMBER(SEARCH("청암",IF(INDEX(GLAPS컨테이너배차관리!$CM:$CM,$B92)="","",INDEX(GLAPS컨테이너배차관리!$CM:$CM,$B92)))),ISNUMBER(SEARCH("SB청암",IF(INDEX(GLAPS컨테이너배차관리!$CM:$CM,$B92)="","",INDEX(GLAPS컨테이너배차관리!$CM:$CM,$B92))))),"청암신항",IF(INDEX(GLAPS컨테이너배차관리!$CM:$CM,$B92)="","",INDEX(GLAPS컨테이너배차관리!$CM:$CM,$B92))))))))</f>
        <v/>
      </c>
    </row>
    <row r="93" spans="1:28">
      <c r="A93">
        <v>92</v>
      </c>
      <c r="B93" t="str">
        <f>IFERROR(_xlfn.AGGREGATE(15,6,ROW(GLAPS컨테이너배차관리!$X$2:$X$20000)/(GLAPS컨테이너배차관리!$X$2:$X$20000&lt;&gt;""),A93),"")</f>
        <v/>
      </c>
      <c r="C93" t="str">
        <f>IF($B93="","",INT(IF(INDEX(GLAPS컨테이너배차관리!$K:$K,$B93)="","",INDEX(GLAPS컨테이너배차관리!$K:$K,$B93))))</f>
        <v/>
      </c>
      <c r="D93" t="str">
        <f>IF($B93="","",IF(ISNUMBER(SEARCH("이엘에스",IF(INDEX(GLAPS컨테이너배차관리!$AZ:$AZ,$B93)="","",INDEX(GLAPS컨테이너배차관리!$AZ:$AZ,$B93)))),"ELS솔루션",IF(INDEX(GLAPS컨테이너배차관리!$AZ:$AZ,$B93)="","",INDEX(GLAPS컨테이너배차관리!$AZ:$AZ,$B93))))</f>
        <v/>
      </c>
      <c r="E93" t="str">
        <f>IF($B93="","",IF(INDEX(GLAPS컨테이너배차관리!$L:$L,$B93)="","",INDEX(GLAPS컨테이너배차관리!$L:$L,$B93)))</f>
        <v/>
      </c>
      <c r="F93" t="str">
        <f>IF($B93="","",IF(HOUR(IF(INDEX(GLAPS컨테이너배차관리!$L:$L,$B93)="","",INDEX(GLAPS컨테이너배차관리!$L:$L,$B93)))&lt;12,"오전",IF(HOUR(IF(INDEX(GLAPS컨테이너배차관리!$L:$L,$B93)="","",INDEX(GLAPS컨테이너배차관리!$L:$L,$B93)))&lt;18,"오후","잔업")))</f>
        <v/>
      </c>
      <c r="G93" t="str">
        <f>IF($B93="","",IFERROR(INDEX(GLAPS정리!$G$3:$G$264,MATCH(IF(INDEX(GLAPS컨테이너배차관리!$BY:$BY,$B93)="","",INDEX(GLAPS컨테이너배차관리!$BY:$BY,$B93)),GLAPS정리!$H$3:$H$264,0)),TRIM(SUBSTITUTE(SUBSTITUTE(SUBSTITUTE(SUBSTITUTE(SUBSTITUTE(IF(INDEX(GLAPS컨테이너배차관리!$T:$T,$B93)="","",INDEX(GLAPS컨테이너배차관리!$T:$T,$B93)),"[GA]",""),"[GB]",""),"[GC]",""),"[KC]",""),"[GS]",""))))</f>
        <v/>
      </c>
      <c r="H93" t="str">
        <f>IF($B93="","",IFERROR(VLOOKUP(IF(INDEX(GLAPS컨테이너배차관리!$BY:$BY,$B93)="","",INDEX(GLAPS컨테이너배차관리!$BY:$BY,$B93)),GLAPS정리!$BT$3:$BV$200,3,0),""))</f>
        <v/>
      </c>
      <c r="I93" t="str">
        <f>IF($B93="","",LEFT(IF(INDEX(GLAPS컨테이너배차관리!$U:$U,$B93)="","",INDEX(GLAPS컨테이너배차관리!$U:$U,$B93)),FIND("/",IF(INDEX(GLAPS컨테이너배차관리!$U:$U,$B93)="","",INDEX(GLAPS컨테이너배차관리!$U:$U,$B93))&amp;"/")-1))</f>
        <v/>
      </c>
      <c r="J93" t="str">
        <f>IF($B93="","",IF(IF(INDEX(GLAPS컨테이너배차관리!$O:$O,$B93)="","",INDEX(GLAPS컨테이너배차관리!$O:$O,$B93))="EMC","EMA",IFERROR(INDEX(GLAPS정리!$A$2:$A$50,MATCH(IF(INDEX(GLAPS컨테이너배차관리!$O:$O,$B93)="","",INDEX(GLAPS컨테이너배차관리!$O:$O,$B93)),GLAPS정리!$D$2:$D$50,0)),IF(INDEX(GLAPS컨테이너배차관리!$O:$O,$B93)="","",INDEX(GLAPS컨테이너배차관리!$O:$O,$B93)))))</f>
        <v/>
      </c>
      <c r="K93" t="str">
        <f>IF($B93="","",IF(LEFT(IF(INDEX(GLAPS컨테이너배차관리!$Y:$Y,$B93)="","",INDEX(GLAPS컨테이너배차관리!$Y:$Y,$B93)),2)="22","20 Feet",IF(LEFT(IF(INDEX(GLAPS컨테이너배차관리!$Y:$Y,$B93)="","",INDEX(GLAPS컨테이너배차관리!$Y:$Y,$B93)),2)="42","40 Feet","40 Feet H")))</f>
        <v/>
      </c>
      <c r="L93" t="str">
        <f>IF($B93="","",IFERROR(INDEX(GLAPS정리!$BB$2:$BB$80,MATCH(IF(INDEX(GLAPS컨테이너배차관리!$BQ:$BQ,$B93)="","",INDEX(GLAPS컨테이너배차관리!$BQ:$BQ,$B93)),GLAPS정리!$BC$2:$BC$80,0)),IF(INDEX(GLAPS컨테이너배차관리!$BQ:$BQ,$B93)="","",INDEX(GLAPS컨테이너배차관리!$BQ:$BQ,$B93))))</f>
        <v/>
      </c>
      <c r="M93" t="str">
        <f>IF($B93="","",IFERROR(INDEX(GLAPS정리!$V$3:$V$180,MATCH(IF(INDEX(GLAPS컨테이너배차관리!$S:$S,$B93)="","",INDEX(GLAPS컨테이너배차관리!$S:$S,$B93)),GLAPS정리!$W$3:$W$180,0)),IF(INDEX(GLAPS컨테이너배차관리!$S:$S,$B93)="","",INDEX(GLAPS컨테이너배차관리!$S:$S,$B93))))</f>
        <v/>
      </c>
      <c r="N93" t="str">
        <f>IF($B93="","",IF(IF(INDEX(GLAPS컨테이너배차관리!$DF:$DF,$B93)="","",INDEX(GLAPS컨테이너배차관리!$DF:$DF,$B93))&lt;&gt;"",IF(INDEX(GLAPS컨테이너배차관리!$DF:$DF,$B93)="","",INDEX(GLAPS컨테이너배차관리!$DF:$DF,$B93)),IF(IF(INDEX(GLAPS컨테이너배차관리!$DG:$DG,$B93)="","",INDEX(GLAPS컨테이너배차관리!$DG:$DG,$B93))&lt;&gt;"",IF(INDEX(GLAPS컨테이너배차관리!$DG:$DG,$B93)="","",INDEX(GLAPS컨테이너배차관리!$DG:$DG,$B93)),"")))</f>
        <v/>
      </c>
      <c r="O93" t="str">
        <f>IF($B93="","",IF(INDEX(GLAPS컨테이너배차관리!$AB:$AB,$B93)="","",INDEX(GLAPS컨테이너배차관리!$AB:$AB,$B93)))</f>
        <v/>
      </c>
      <c r="P93" t="str">
        <f>IF($B93="","",IF(IF(INDEX(GLAPS컨테이너배차관리!$CP:$CP,$B93)="","",INDEX(GLAPS컨테이너배차관리!$CP:$CP,$B93))="","",IFERROR(INDEX(GLAPS정리!$BH$2:$BH$101,MATCH(IF(INDEX(GLAPS컨테이너배차관리!$CP:$CP,$B93)="","",INDEX(GLAPS컨테이너배차관리!$CP:$CP,$B93)),GLAPS정리!$BI$2:$BI$101,0)),IF(INDEX(GLAPS컨테이너배차관리!$CP:$CP,$B93)="","",INDEX(GLAPS컨테이너배차관리!$CP:$CP,$B93)))))</f>
        <v/>
      </c>
      <c r="Q93" t="str">
        <f>IF($B93="","",IF(AND(IF(INDEX(GLAPS컨테이너배차관리!$AK:$AK,$B93)="","",INDEX(GLAPS컨테이너배차관리!$AK:$AK,$B93))="Y",IF(INDEX(GLAPS컨테이너배차관리!$AI:$AI,$B93)="","",INDEX(GLAPS컨테이너배차관리!$AI:$AI,$B93))="Y"),"위험물리퍼",IF(IF(INDEX(GLAPS컨테이너배차관리!$AK:$AK,$B93)="","",INDEX(GLAPS컨테이너배차관리!$AK:$AK,$B93))="Y","위험물",IF(IF(INDEX(GLAPS컨테이너배차관리!$AI:$AI,$B93)="","",INDEX(GLAPS컨테이너배차관리!$AI:$AI,$B93))="Y","리퍼",""))))</f>
        <v/>
      </c>
      <c r="R93" t="str">
        <f>IF($B93="","",IF(LEFT(IF(INDEX(GLAPS컨테이너배차관리!$Y:$Y,$B93)="","",INDEX(GLAPS컨테이너배차관리!$Y:$Y,$B93)),2)="22",1,""))</f>
        <v/>
      </c>
      <c r="S93" t="str">
        <f>IF($B93="","",IF(LEFT(IF(INDEX(GLAPS컨테이너배차관리!$Y:$Y,$B93)="","",INDEX(GLAPS컨테이너배차관리!$Y:$Y,$B93)),2)="42",1,""))</f>
        <v/>
      </c>
      <c r="T93" t="str">
        <f>IF($B93="","",IF(LEFT(IF(INDEX(GLAPS컨테이너배차관리!$Y:$Y,$B93)="","",INDEX(GLAPS컨테이너배차관리!$Y:$Y,$B93)),2)="45",1,""))</f>
        <v/>
      </c>
      <c r="U93" t="str">
        <f>IF($B93="","",IF(INDEX(GLAPS컨테이너배차관리!$X:$X,$B93)="","",INDEX(GLAPS컨테이너배차관리!$X:$X,$B93)))</f>
        <v/>
      </c>
      <c r="V93" t="str">
        <f>IF($B93="","",IF(INDEX(GLAPS컨테이너배차관리!$Z:$Z,$B93)="","",INDEX(GLAPS컨테이너배차관리!$Z:$Z,$B93)))</f>
        <v/>
      </c>
      <c r="W93" t="str">
        <f>IF($B93="","",IF(IF(INDEX(GLAPS컨테이너배차관리!$DI:$DI,$B93)="","",INDEX(GLAPS컨테이너배차관리!$DI:$DI,$B93))&lt;&gt;"",IF(INDEX(GLAPS컨테이너배차관리!$DI:$DI,$B93)="","",INDEX(GLAPS컨테이너배차관리!$DI:$DI,$B93)),IF(IF(INDEX(GLAPS컨테이너배차관리!$DJ:$DJ,$B93)="","",INDEX(GLAPS컨테이너배차관리!$DJ:$DJ,$B93))&lt;&gt;"",IF(INDEX(GLAPS컨테이너배차관리!$DJ:$DJ,$B93)="","",INDEX(GLAPS컨테이너배차관리!$DJ:$DJ,$B93)),IF(IF(INDEX(GLAPS컨테이너배차관리!$DK:$DK,$B93)="","",INDEX(GLAPS컨테이너배차관리!$DK:$DK,$B93))&lt;&gt;"",IF(INDEX(GLAPS컨테이너배차관리!$DK:$DK,$B93)="","",INDEX(GLAPS컨테이너배차관리!$DK:$DK,$B93)),IF(IF(INDEX(GLAPS컨테이너배차관리!$DL:$DL,$B93)="","",INDEX(GLAPS컨테이너배차관리!$DL:$DL,$B93))&lt;&gt;"",IF(INDEX(GLAPS컨테이너배차관리!$DL:$DL,$B93)="","",INDEX(GLAPS컨테이너배차관리!$DL:$DL,$B93)),IF(IF(INDEX(GLAPS컨테이너배차관리!$DM:$DM,$B93)="","",INDEX(GLAPS컨테이너배차관리!$DM:$DM,$B93))&lt;&gt;"",IF(INDEX(GLAPS컨테이너배차관리!$DM:$DM,$B93)="","",INDEX(GLAPS컨테이너배차관리!$DM:$DM,$B93)),""))))))</f>
        <v/>
      </c>
      <c r="X93" t="str">
        <f>IF($B93="","",IF(INDEX(GLAPS컨테이너배차관리!$F:$F,$B93)="","",INDEX(GLAPS컨테이너배차관리!$F:$F,$B93)))</f>
        <v/>
      </c>
      <c r="Y93" t="str">
        <f>IF($B93="","",IF(IF(INDEX(GLAPS컨테이너배차관리!$M:$M,$B93)="","",INDEX(GLAPS컨테이너배차관리!$M:$M,$B93))&lt;&gt;"",IF(INDEX(GLAPS컨테이너배차관리!$M:$M,$B93)="","",INDEX(GLAPS컨테이너배차관리!$M:$M,$B93)),IF(IF(INDEX(GLAPS컨테이너배차관리!$N:$N,$B93)="","",INDEX(GLAPS컨테이너배차관리!$N:$N,$B93))&lt;&gt;"",IF(INDEX(GLAPS컨테이너배차관리!$N:$N,$B93)="","",INDEX(GLAPS컨테이너배차관리!$N:$N,$B93)),"")))</f>
        <v/>
      </c>
      <c r="Z93" t="str">
        <f>IF($B93="","",IF(IF(INDEX(GLAPS컨테이너배차관리!$CU:$CU,$B93)="","",INDEX(GLAPS컨테이너배차관리!$CU:$CU,$B93))="","",IFERROR(INT(IF(INDEX(GLAPS컨테이너배차관리!$CU:$CU,$B93)="","",INDEX(GLAPS컨테이너배차관리!$CU:$CU,$B93))),"")))</f>
        <v/>
      </c>
      <c r="AA93" t="str">
        <f>IF($B93="","",IF(AND(IF(INDEX(GLAPS컨테이너배차관리!$CL:$CL,$B93)="","",INDEX(GLAPS컨테이너배차관리!$CL:$CL,$B93))="",IF(INDEX(GLAPS컨테이너배차관리!$CM:$CM,$B93)="","",INDEX(GLAPS컨테이너배차관리!$CM:$CM,$B93))=""),"",IF(OR(IF(INDEX(GLAPS컨테이너배차관리!$CL:$CL,$B93)="","",INDEX(GLAPS컨테이너배차관리!$CL:$CL,$B93))="B000016649",ISNUMBER(SEARCH("B015",IF(INDEX(GLAPS컨테이너배차관리!$CM:$CM,$B93)="","",INDEX(GLAPS컨테이너배차관리!$CM:$CM,$B93)))),ISNUMBER(SEARCH("세방",IF(INDEX(GLAPS컨테이너배차관리!$CM:$CM,$B93)="","",INDEX(GLAPS컨테이너배차관리!$CM:$CM,$B93)))),ISNUMBER(SEARCH("SB",IF(INDEX(GLAPS컨테이너배차관리!$CM:$CM,$B93)="","",INDEX(GLAPS컨테이너배차관리!$CM:$CM,$B93))))),"세방","")))</f>
        <v/>
      </c>
      <c r="AB93" t="str">
        <f>IF($B93="","",IF(IF(INDEX(GLAPS컨테이너배차관리!$CM:$CM,$B93)="","",INDEX(GLAPS컨테이너배차관리!$CM:$CM,$B93))="","",IF(ISNUMBER(SEARCH("이지스두동",IF(INDEX(GLAPS컨테이너배차관리!$CM:$CM,$B93)="","",INDEX(GLAPS컨테이너배차관리!$CM:$CM,$B93)))),"이지스두동",IF(ISNUMBER(SEARCH("이지스녹산",IF(INDEX(GLAPS컨테이너배차관리!$CM:$CM,$B93)="","",INDEX(GLAPS컨테이너배차관리!$CM:$CM,$B93)))),"이지스녹산",IF(ISNUMBER(SEARCH("천우",IF(INDEX(GLAPS컨테이너배차관리!$CM:$CM,$B93)="","",INDEX(GLAPS컨테이너배차관리!$CM:$CM,$B93)))),"천우",IF(OR(ISNUMBER(SEARCH("청암",IF(INDEX(GLAPS컨테이너배차관리!$CM:$CM,$B93)="","",INDEX(GLAPS컨테이너배차관리!$CM:$CM,$B93)))),ISNUMBER(SEARCH("SB청암",IF(INDEX(GLAPS컨테이너배차관리!$CM:$CM,$B93)="","",INDEX(GLAPS컨테이너배차관리!$CM:$CM,$B93))))),"청암신항",IF(INDEX(GLAPS컨테이너배차관리!$CM:$CM,$B93)="","",INDEX(GLAPS컨테이너배차관리!$CM:$CM,$B93))))))))</f>
        <v/>
      </c>
    </row>
    <row r="94" spans="1:28">
      <c r="A94">
        <v>93</v>
      </c>
      <c r="B94" t="str">
        <f>IFERROR(_xlfn.AGGREGATE(15,6,ROW(GLAPS컨테이너배차관리!$X$2:$X$20000)/(GLAPS컨테이너배차관리!$X$2:$X$20000&lt;&gt;""),A94),"")</f>
        <v/>
      </c>
      <c r="C94" t="str">
        <f>IF($B94="","",INT(IF(INDEX(GLAPS컨테이너배차관리!$K:$K,$B94)="","",INDEX(GLAPS컨테이너배차관리!$K:$K,$B94))))</f>
        <v/>
      </c>
      <c r="D94" t="str">
        <f>IF($B94="","",IF(ISNUMBER(SEARCH("이엘에스",IF(INDEX(GLAPS컨테이너배차관리!$AZ:$AZ,$B94)="","",INDEX(GLAPS컨테이너배차관리!$AZ:$AZ,$B94)))),"ELS솔루션",IF(INDEX(GLAPS컨테이너배차관리!$AZ:$AZ,$B94)="","",INDEX(GLAPS컨테이너배차관리!$AZ:$AZ,$B94))))</f>
        <v/>
      </c>
      <c r="E94" t="str">
        <f>IF($B94="","",IF(INDEX(GLAPS컨테이너배차관리!$L:$L,$B94)="","",INDEX(GLAPS컨테이너배차관리!$L:$L,$B94)))</f>
        <v/>
      </c>
      <c r="F94" t="str">
        <f>IF($B94="","",IF(HOUR(IF(INDEX(GLAPS컨테이너배차관리!$L:$L,$B94)="","",INDEX(GLAPS컨테이너배차관리!$L:$L,$B94)))&lt;12,"오전",IF(HOUR(IF(INDEX(GLAPS컨테이너배차관리!$L:$L,$B94)="","",INDEX(GLAPS컨테이너배차관리!$L:$L,$B94)))&lt;18,"오후","잔업")))</f>
        <v/>
      </c>
      <c r="G94" t="str">
        <f>IF($B94="","",IFERROR(INDEX(GLAPS정리!$G$3:$G$264,MATCH(IF(INDEX(GLAPS컨테이너배차관리!$BY:$BY,$B94)="","",INDEX(GLAPS컨테이너배차관리!$BY:$BY,$B94)),GLAPS정리!$H$3:$H$264,0)),TRIM(SUBSTITUTE(SUBSTITUTE(SUBSTITUTE(SUBSTITUTE(SUBSTITUTE(IF(INDEX(GLAPS컨테이너배차관리!$T:$T,$B94)="","",INDEX(GLAPS컨테이너배차관리!$T:$T,$B94)),"[GA]",""),"[GB]",""),"[GC]",""),"[KC]",""),"[GS]",""))))</f>
        <v/>
      </c>
      <c r="H94" t="str">
        <f>IF($B94="","",IFERROR(VLOOKUP(IF(INDEX(GLAPS컨테이너배차관리!$BY:$BY,$B94)="","",INDEX(GLAPS컨테이너배차관리!$BY:$BY,$B94)),GLAPS정리!$BT$3:$BV$200,3,0),""))</f>
        <v/>
      </c>
      <c r="I94" t="str">
        <f>IF($B94="","",LEFT(IF(INDEX(GLAPS컨테이너배차관리!$U:$U,$B94)="","",INDEX(GLAPS컨테이너배차관리!$U:$U,$B94)),FIND("/",IF(INDEX(GLAPS컨테이너배차관리!$U:$U,$B94)="","",INDEX(GLAPS컨테이너배차관리!$U:$U,$B94))&amp;"/")-1))</f>
        <v/>
      </c>
      <c r="J94" t="str">
        <f>IF($B94="","",IF(IF(INDEX(GLAPS컨테이너배차관리!$O:$O,$B94)="","",INDEX(GLAPS컨테이너배차관리!$O:$O,$B94))="EMC","EMA",IFERROR(INDEX(GLAPS정리!$A$2:$A$50,MATCH(IF(INDEX(GLAPS컨테이너배차관리!$O:$O,$B94)="","",INDEX(GLAPS컨테이너배차관리!$O:$O,$B94)),GLAPS정리!$D$2:$D$50,0)),IF(INDEX(GLAPS컨테이너배차관리!$O:$O,$B94)="","",INDEX(GLAPS컨테이너배차관리!$O:$O,$B94)))))</f>
        <v/>
      </c>
      <c r="K94" t="str">
        <f>IF($B94="","",IF(LEFT(IF(INDEX(GLAPS컨테이너배차관리!$Y:$Y,$B94)="","",INDEX(GLAPS컨테이너배차관리!$Y:$Y,$B94)),2)="22","20 Feet",IF(LEFT(IF(INDEX(GLAPS컨테이너배차관리!$Y:$Y,$B94)="","",INDEX(GLAPS컨테이너배차관리!$Y:$Y,$B94)),2)="42","40 Feet","40 Feet H")))</f>
        <v/>
      </c>
      <c r="L94" t="str">
        <f>IF($B94="","",IFERROR(INDEX(GLAPS정리!$BB$2:$BB$80,MATCH(IF(INDEX(GLAPS컨테이너배차관리!$BQ:$BQ,$B94)="","",INDEX(GLAPS컨테이너배차관리!$BQ:$BQ,$B94)),GLAPS정리!$BC$2:$BC$80,0)),IF(INDEX(GLAPS컨테이너배차관리!$BQ:$BQ,$B94)="","",INDEX(GLAPS컨테이너배차관리!$BQ:$BQ,$B94))))</f>
        <v/>
      </c>
      <c r="M94" t="str">
        <f>IF($B94="","",IFERROR(INDEX(GLAPS정리!$V$3:$V$180,MATCH(IF(INDEX(GLAPS컨테이너배차관리!$S:$S,$B94)="","",INDEX(GLAPS컨테이너배차관리!$S:$S,$B94)),GLAPS정리!$W$3:$W$180,0)),IF(INDEX(GLAPS컨테이너배차관리!$S:$S,$B94)="","",INDEX(GLAPS컨테이너배차관리!$S:$S,$B94))))</f>
        <v/>
      </c>
      <c r="N94" t="str">
        <f>IF($B94="","",IF(IF(INDEX(GLAPS컨테이너배차관리!$DF:$DF,$B94)="","",INDEX(GLAPS컨테이너배차관리!$DF:$DF,$B94))&lt;&gt;"",IF(INDEX(GLAPS컨테이너배차관리!$DF:$DF,$B94)="","",INDEX(GLAPS컨테이너배차관리!$DF:$DF,$B94)),IF(IF(INDEX(GLAPS컨테이너배차관리!$DG:$DG,$B94)="","",INDEX(GLAPS컨테이너배차관리!$DG:$DG,$B94))&lt;&gt;"",IF(INDEX(GLAPS컨테이너배차관리!$DG:$DG,$B94)="","",INDEX(GLAPS컨테이너배차관리!$DG:$DG,$B94)),"")))</f>
        <v/>
      </c>
      <c r="O94" t="str">
        <f>IF($B94="","",IF(INDEX(GLAPS컨테이너배차관리!$AB:$AB,$B94)="","",INDEX(GLAPS컨테이너배차관리!$AB:$AB,$B94)))</f>
        <v/>
      </c>
      <c r="P94" t="str">
        <f>IF($B94="","",IF(IF(INDEX(GLAPS컨테이너배차관리!$CP:$CP,$B94)="","",INDEX(GLAPS컨테이너배차관리!$CP:$CP,$B94))="","",IFERROR(INDEX(GLAPS정리!$BH$2:$BH$101,MATCH(IF(INDEX(GLAPS컨테이너배차관리!$CP:$CP,$B94)="","",INDEX(GLAPS컨테이너배차관리!$CP:$CP,$B94)),GLAPS정리!$BI$2:$BI$101,0)),IF(INDEX(GLAPS컨테이너배차관리!$CP:$CP,$B94)="","",INDEX(GLAPS컨테이너배차관리!$CP:$CP,$B94)))))</f>
        <v/>
      </c>
      <c r="Q94" t="str">
        <f>IF($B94="","",IF(AND(IF(INDEX(GLAPS컨테이너배차관리!$AK:$AK,$B94)="","",INDEX(GLAPS컨테이너배차관리!$AK:$AK,$B94))="Y",IF(INDEX(GLAPS컨테이너배차관리!$AI:$AI,$B94)="","",INDEX(GLAPS컨테이너배차관리!$AI:$AI,$B94))="Y"),"위험물리퍼",IF(IF(INDEX(GLAPS컨테이너배차관리!$AK:$AK,$B94)="","",INDEX(GLAPS컨테이너배차관리!$AK:$AK,$B94))="Y","위험물",IF(IF(INDEX(GLAPS컨테이너배차관리!$AI:$AI,$B94)="","",INDEX(GLAPS컨테이너배차관리!$AI:$AI,$B94))="Y","리퍼",""))))</f>
        <v/>
      </c>
      <c r="R94" t="str">
        <f>IF($B94="","",IF(LEFT(IF(INDEX(GLAPS컨테이너배차관리!$Y:$Y,$B94)="","",INDEX(GLAPS컨테이너배차관리!$Y:$Y,$B94)),2)="22",1,""))</f>
        <v/>
      </c>
      <c r="S94" t="str">
        <f>IF($B94="","",IF(LEFT(IF(INDEX(GLAPS컨테이너배차관리!$Y:$Y,$B94)="","",INDEX(GLAPS컨테이너배차관리!$Y:$Y,$B94)),2)="42",1,""))</f>
        <v/>
      </c>
      <c r="T94" t="str">
        <f>IF($B94="","",IF(LEFT(IF(INDEX(GLAPS컨테이너배차관리!$Y:$Y,$B94)="","",INDEX(GLAPS컨테이너배차관리!$Y:$Y,$B94)),2)="45",1,""))</f>
        <v/>
      </c>
      <c r="U94" t="str">
        <f>IF($B94="","",IF(INDEX(GLAPS컨테이너배차관리!$X:$X,$B94)="","",INDEX(GLAPS컨테이너배차관리!$X:$X,$B94)))</f>
        <v/>
      </c>
      <c r="V94" t="str">
        <f>IF($B94="","",IF(INDEX(GLAPS컨테이너배차관리!$Z:$Z,$B94)="","",INDEX(GLAPS컨테이너배차관리!$Z:$Z,$B94)))</f>
        <v/>
      </c>
      <c r="W94" t="str">
        <f>IF($B94="","",IF(IF(INDEX(GLAPS컨테이너배차관리!$DI:$DI,$B94)="","",INDEX(GLAPS컨테이너배차관리!$DI:$DI,$B94))&lt;&gt;"",IF(INDEX(GLAPS컨테이너배차관리!$DI:$DI,$B94)="","",INDEX(GLAPS컨테이너배차관리!$DI:$DI,$B94)),IF(IF(INDEX(GLAPS컨테이너배차관리!$DJ:$DJ,$B94)="","",INDEX(GLAPS컨테이너배차관리!$DJ:$DJ,$B94))&lt;&gt;"",IF(INDEX(GLAPS컨테이너배차관리!$DJ:$DJ,$B94)="","",INDEX(GLAPS컨테이너배차관리!$DJ:$DJ,$B94)),IF(IF(INDEX(GLAPS컨테이너배차관리!$DK:$DK,$B94)="","",INDEX(GLAPS컨테이너배차관리!$DK:$DK,$B94))&lt;&gt;"",IF(INDEX(GLAPS컨테이너배차관리!$DK:$DK,$B94)="","",INDEX(GLAPS컨테이너배차관리!$DK:$DK,$B94)),IF(IF(INDEX(GLAPS컨테이너배차관리!$DL:$DL,$B94)="","",INDEX(GLAPS컨테이너배차관리!$DL:$DL,$B94))&lt;&gt;"",IF(INDEX(GLAPS컨테이너배차관리!$DL:$DL,$B94)="","",INDEX(GLAPS컨테이너배차관리!$DL:$DL,$B94)),IF(IF(INDEX(GLAPS컨테이너배차관리!$DM:$DM,$B94)="","",INDEX(GLAPS컨테이너배차관리!$DM:$DM,$B94))&lt;&gt;"",IF(INDEX(GLAPS컨테이너배차관리!$DM:$DM,$B94)="","",INDEX(GLAPS컨테이너배차관리!$DM:$DM,$B94)),""))))))</f>
        <v/>
      </c>
      <c r="X94" t="str">
        <f>IF($B94="","",IF(INDEX(GLAPS컨테이너배차관리!$F:$F,$B94)="","",INDEX(GLAPS컨테이너배차관리!$F:$F,$B94)))</f>
        <v/>
      </c>
      <c r="Y94" t="str">
        <f>IF($B94="","",IF(IF(INDEX(GLAPS컨테이너배차관리!$M:$M,$B94)="","",INDEX(GLAPS컨테이너배차관리!$M:$M,$B94))&lt;&gt;"",IF(INDEX(GLAPS컨테이너배차관리!$M:$M,$B94)="","",INDEX(GLAPS컨테이너배차관리!$M:$M,$B94)),IF(IF(INDEX(GLAPS컨테이너배차관리!$N:$N,$B94)="","",INDEX(GLAPS컨테이너배차관리!$N:$N,$B94))&lt;&gt;"",IF(INDEX(GLAPS컨테이너배차관리!$N:$N,$B94)="","",INDEX(GLAPS컨테이너배차관리!$N:$N,$B94)),"")))</f>
        <v/>
      </c>
      <c r="Z94" t="str">
        <f>IF($B94="","",IF(IF(INDEX(GLAPS컨테이너배차관리!$CU:$CU,$B94)="","",INDEX(GLAPS컨테이너배차관리!$CU:$CU,$B94))="","",IFERROR(INT(IF(INDEX(GLAPS컨테이너배차관리!$CU:$CU,$B94)="","",INDEX(GLAPS컨테이너배차관리!$CU:$CU,$B94))),"")))</f>
        <v/>
      </c>
      <c r="AA94" t="str">
        <f>IF($B94="","",IF(AND(IF(INDEX(GLAPS컨테이너배차관리!$CL:$CL,$B94)="","",INDEX(GLAPS컨테이너배차관리!$CL:$CL,$B94))="",IF(INDEX(GLAPS컨테이너배차관리!$CM:$CM,$B94)="","",INDEX(GLAPS컨테이너배차관리!$CM:$CM,$B94))=""),"",IF(OR(IF(INDEX(GLAPS컨테이너배차관리!$CL:$CL,$B94)="","",INDEX(GLAPS컨테이너배차관리!$CL:$CL,$B94))="B000016649",ISNUMBER(SEARCH("B015",IF(INDEX(GLAPS컨테이너배차관리!$CM:$CM,$B94)="","",INDEX(GLAPS컨테이너배차관리!$CM:$CM,$B94)))),ISNUMBER(SEARCH("세방",IF(INDEX(GLAPS컨테이너배차관리!$CM:$CM,$B94)="","",INDEX(GLAPS컨테이너배차관리!$CM:$CM,$B94)))),ISNUMBER(SEARCH("SB",IF(INDEX(GLAPS컨테이너배차관리!$CM:$CM,$B94)="","",INDEX(GLAPS컨테이너배차관리!$CM:$CM,$B94))))),"세방","")))</f>
        <v/>
      </c>
      <c r="AB94" t="str">
        <f>IF($B94="","",IF(IF(INDEX(GLAPS컨테이너배차관리!$CM:$CM,$B94)="","",INDEX(GLAPS컨테이너배차관리!$CM:$CM,$B94))="","",IF(ISNUMBER(SEARCH("이지스두동",IF(INDEX(GLAPS컨테이너배차관리!$CM:$CM,$B94)="","",INDEX(GLAPS컨테이너배차관리!$CM:$CM,$B94)))),"이지스두동",IF(ISNUMBER(SEARCH("이지스녹산",IF(INDEX(GLAPS컨테이너배차관리!$CM:$CM,$B94)="","",INDEX(GLAPS컨테이너배차관리!$CM:$CM,$B94)))),"이지스녹산",IF(ISNUMBER(SEARCH("천우",IF(INDEX(GLAPS컨테이너배차관리!$CM:$CM,$B94)="","",INDEX(GLAPS컨테이너배차관리!$CM:$CM,$B94)))),"천우",IF(OR(ISNUMBER(SEARCH("청암",IF(INDEX(GLAPS컨테이너배차관리!$CM:$CM,$B94)="","",INDEX(GLAPS컨테이너배차관리!$CM:$CM,$B94)))),ISNUMBER(SEARCH("SB청암",IF(INDEX(GLAPS컨테이너배차관리!$CM:$CM,$B94)="","",INDEX(GLAPS컨테이너배차관리!$CM:$CM,$B94))))),"청암신항",IF(INDEX(GLAPS컨테이너배차관리!$CM:$CM,$B94)="","",INDEX(GLAPS컨테이너배차관리!$CM:$CM,$B94))))))))</f>
        <v/>
      </c>
    </row>
    <row r="95" spans="1:28">
      <c r="A95">
        <v>94</v>
      </c>
      <c r="B95" t="str">
        <f>IFERROR(_xlfn.AGGREGATE(15,6,ROW(GLAPS컨테이너배차관리!$X$2:$X$20000)/(GLAPS컨테이너배차관리!$X$2:$X$20000&lt;&gt;""),A95),"")</f>
        <v/>
      </c>
      <c r="C95" t="str">
        <f>IF($B95="","",INT(IF(INDEX(GLAPS컨테이너배차관리!$K:$K,$B95)="","",INDEX(GLAPS컨테이너배차관리!$K:$K,$B95))))</f>
        <v/>
      </c>
      <c r="D95" t="str">
        <f>IF($B95="","",IF(ISNUMBER(SEARCH("이엘에스",IF(INDEX(GLAPS컨테이너배차관리!$AZ:$AZ,$B95)="","",INDEX(GLAPS컨테이너배차관리!$AZ:$AZ,$B95)))),"ELS솔루션",IF(INDEX(GLAPS컨테이너배차관리!$AZ:$AZ,$B95)="","",INDEX(GLAPS컨테이너배차관리!$AZ:$AZ,$B95))))</f>
        <v/>
      </c>
      <c r="E95" t="str">
        <f>IF($B95="","",IF(INDEX(GLAPS컨테이너배차관리!$L:$L,$B95)="","",INDEX(GLAPS컨테이너배차관리!$L:$L,$B95)))</f>
        <v/>
      </c>
      <c r="F95" t="str">
        <f>IF($B95="","",IF(HOUR(IF(INDEX(GLAPS컨테이너배차관리!$L:$L,$B95)="","",INDEX(GLAPS컨테이너배차관리!$L:$L,$B95)))&lt;12,"오전",IF(HOUR(IF(INDEX(GLAPS컨테이너배차관리!$L:$L,$B95)="","",INDEX(GLAPS컨테이너배차관리!$L:$L,$B95)))&lt;18,"오후","잔업")))</f>
        <v/>
      </c>
      <c r="G95" t="str">
        <f>IF($B95="","",IFERROR(INDEX(GLAPS정리!$G$3:$G$264,MATCH(IF(INDEX(GLAPS컨테이너배차관리!$BY:$BY,$B95)="","",INDEX(GLAPS컨테이너배차관리!$BY:$BY,$B95)),GLAPS정리!$H$3:$H$264,0)),TRIM(SUBSTITUTE(SUBSTITUTE(SUBSTITUTE(SUBSTITUTE(SUBSTITUTE(IF(INDEX(GLAPS컨테이너배차관리!$T:$T,$B95)="","",INDEX(GLAPS컨테이너배차관리!$T:$T,$B95)),"[GA]",""),"[GB]",""),"[GC]",""),"[KC]",""),"[GS]",""))))</f>
        <v/>
      </c>
      <c r="H95" t="str">
        <f>IF($B95="","",IFERROR(VLOOKUP(IF(INDEX(GLAPS컨테이너배차관리!$BY:$BY,$B95)="","",INDEX(GLAPS컨테이너배차관리!$BY:$BY,$B95)),GLAPS정리!$BT$3:$BV$200,3,0),""))</f>
        <v/>
      </c>
      <c r="I95" t="str">
        <f>IF($B95="","",LEFT(IF(INDEX(GLAPS컨테이너배차관리!$U:$U,$B95)="","",INDEX(GLAPS컨테이너배차관리!$U:$U,$B95)),FIND("/",IF(INDEX(GLAPS컨테이너배차관리!$U:$U,$B95)="","",INDEX(GLAPS컨테이너배차관리!$U:$U,$B95))&amp;"/")-1))</f>
        <v/>
      </c>
      <c r="J95" t="str">
        <f>IF($B95="","",IF(IF(INDEX(GLAPS컨테이너배차관리!$O:$O,$B95)="","",INDEX(GLAPS컨테이너배차관리!$O:$O,$B95))="EMC","EMA",IFERROR(INDEX(GLAPS정리!$A$2:$A$50,MATCH(IF(INDEX(GLAPS컨테이너배차관리!$O:$O,$B95)="","",INDEX(GLAPS컨테이너배차관리!$O:$O,$B95)),GLAPS정리!$D$2:$D$50,0)),IF(INDEX(GLAPS컨테이너배차관리!$O:$O,$B95)="","",INDEX(GLAPS컨테이너배차관리!$O:$O,$B95)))))</f>
        <v/>
      </c>
      <c r="K95" t="str">
        <f>IF($B95="","",IF(LEFT(IF(INDEX(GLAPS컨테이너배차관리!$Y:$Y,$B95)="","",INDEX(GLAPS컨테이너배차관리!$Y:$Y,$B95)),2)="22","20 Feet",IF(LEFT(IF(INDEX(GLAPS컨테이너배차관리!$Y:$Y,$B95)="","",INDEX(GLAPS컨테이너배차관리!$Y:$Y,$B95)),2)="42","40 Feet","40 Feet H")))</f>
        <v/>
      </c>
      <c r="L95" t="str">
        <f>IF($B95="","",IFERROR(INDEX(GLAPS정리!$BB$2:$BB$80,MATCH(IF(INDEX(GLAPS컨테이너배차관리!$BQ:$BQ,$B95)="","",INDEX(GLAPS컨테이너배차관리!$BQ:$BQ,$B95)),GLAPS정리!$BC$2:$BC$80,0)),IF(INDEX(GLAPS컨테이너배차관리!$BQ:$BQ,$B95)="","",INDEX(GLAPS컨테이너배차관리!$BQ:$BQ,$B95))))</f>
        <v/>
      </c>
      <c r="M95" t="str">
        <f>IF($B95="","",IFERROR(INDEX(GLAPS정리!$V$3:$V$180,MATCH(IF(INDEX(GLAPS컨테이너배차관리!$S:$S,$B95)="","",INDEX(GLAPS컨테이너배차관리!$S:$S,$B95)),GLAPS정리!$W$3:$W$180,0)),IF(INDEX(GLAPS컨테이너배차관리!$S:$S,$B95)="","",INDEX(GLAPS컨테이너배차관리!$S:$S,$B95))))</f>
        <v/>
      </c>
      <c r="N95" t="str">
        <f>IF($B95="","",IF(IF(INDEX(GLAPS컨테이너배차관리!$DF:$DF,$B95)="","",INDEX(GLAPS컨테이너배차관리!$DF:$DF,$B95))&lt;&gt;"",IF(INDEX(GLAPS컨테이너배차관리!$DF:$DF,$B95)="","",INDEX(GLAPS컨테이너배차관리!$DF:$DF,$B95)),IF(IF(INDEX(GLAPS컨테이너배차관리!$DG:$DG,$B95)="","",INDEX(GLAPS컨테이너배차관리!$DG:$DG,$B95))&lt;&gt;"",IF(INDEX(GLAPS컨테이너배차관리!$DG:$DG,$B95)="","",INDEX(GLAPS컨테이너배차관리!$DG:$DG,$B95)),"")))</f>
        <v/>
      </c>
      <c r="O95" t="str">
        <f>IF($B95="","",IF(INDEX(GLAPS컨테이너배차관리!$AB:$AB,$B95)="","",INDEX(GLAPS컨테이너배차관리!$AB:$AB,$B95)))</f>
        <v/>
      </c>
      <c r="P95" t="str">
        <f>IF($B95="","",IF(IF(INDEX(GLAPS컨테이너배차관리!$CP:$CP,$B95)="","",INDEX(GLAPS컨테이너배차관리!$CP:$CP,$B95))="","",IFERROR(INDEX(GLAPS정리!$BH$2:$BH$101,MATCH(IF(INDEX(GLAPS컨테이너배차관리!$CP:$CP,$B95)="","",INDEX(GLAPS컨테이너배차관리!$CP:$CP,$B95)),GLAPS정리!$BI$2:$BI$101,0)),IF(INDEX(GLAPS컨테이너배차관리!$CP:$CP,$B95)="","",INDEX(GLAPS컨테이너배차관리!$CP:$CP,$B95)))))</f>
        <v/>
      </c>
      <c r="Q95" t="str">
        <f>IF($B95="","",IF(AND(IF(INDEX(GLAPS컨테이너배차관리!$AK:$AK,$B95)="","",INDEX(GLAPS컨테이너배차관리!$AK:$AK,$B95))="Y",IF(INDEX(GLAPS컨테이너배차관리!$AI:$AI,$B95)="","",INDEX(GLAPS컨테이너배차관리!$AI:$AI,$B95))="Y"),"위험물리퍼",IF(IF(INDEX(GLAPS컨테이너배차관리!$AK:$AK,$B95)="","",INDEX(GLAPS컨테이너배차관리!$AK:$AK,$B95))="Y","위험물",IF(IF(INDEX(GLAPS컨테이너배차관리!$AI:$AI,$B95)="","",INDEX(GLAPS컨테이너배차관리!$AI:$AI,$B95))="Y","리퍼",""))))</f>
        <v/>
      </c>
      <c r="R95" t="str">
        <f>IF($B95="","",IF(LEFT(IF(INDEX(GLAPS컨테이너배차관리!$Y:$Y,$B95)="","",INDEX(GLAPS컨테이너배차관리!$Y:$Y,$B95)),2)="22",1,""))</f>
        <v/>
      </c>
      <c r="S95" t="str">
        <f>IF($B95="","",IF(LEFT(IF(INDEX(GLAPS컨테이너배차관리!$Y:$Y,$B95)="","",INDEX(GLAPS컨테이너배차관리!$Y:$Y,$B95)),2)="42",1,""))</f>
        <v/>
      </c>
      <c r="T95" t="str">
        <f>IF($B95="","",IF(LEFT(IF(INDEX(GLAPS컨테이너배차관리!$Y:$Y,$B95)="","",INDEX(GLAPS컨테이너배차관리!$Y:$Y,$B95)),2)="45",1,""))</f>
        <v/>
      </c>
      <c r="U95" t="str">
        <f>IF($B95="","",IF(INDEX(GLAPS컨테이너배차관리!$X:$X,$B95)="","",INDEX(GLAPS컨테이너배차관리!$X:$X,$B95)))</f>
        <v/>
      </c>
      <c r="V95" t="str">
        <f>IF($B95="","",IF(INDEX(GLAPS컨테이너배차관리!$Z:$Z,$B95)="","",INDEX(GLAPS컨테이너배차관리!$Z:$Z,$B95)))</f>
        <v/>
      </c>
      <c r="W95" t="str">
        <f>IF($B95="","",IF(IF(INDEX(GLAPS컨테이너배차관리!$DI:$DI,$B95)="","",INDEX(GLAPS컨테이너배차관리!$DI:$DI,$B95))&lt;&gt;"",IF(INDEX(GLAPS컨테이너배차관리!$DI:$DI,$B95)="","",INDEX(GLAPS컨테이너배차관리!$DI:$DI,$B95)),IF(IF(INDEX(GLAPS컨테이너배차관리!$DJ:$DJ,$B95)="","",INDEX(GLAPS컨테이너배차관리!$DJ:$DJ,$B95))&lt;&gt;"",IF(INDEX(GLAPS컨테이너배차관리!$DJ:$DJ,$B95)="","",INDEX(GLAPS컨테이너배차관리!$DJ:$DJ,$B95)),IF(IF(INDEX(GLAPS컨테이너배차관리!$DK:$DK,$B95)="","",INDEX(GLAPS컨테이너배차관리!$DK:$DK,$B95))&lt;&gt;"",IF(INDEX(GLAPS컨테이너배차관리!$DK:$DK,$B95)="","",INDEX(GLAPS컨테이너배차관리!$DK:$DK,$B95)),IF(IF(INDEX(GLAPS컨테이너배차관리!$DL:$DL,$B95)="","",INDEX(GLAPS컨테이너배차관리!$DL:$DL,$B95))&lt;&gt;"",IF(INDEX(GLAPS컨테이너배차관리!$DL:$DL,$B95)="","",INDEX(GLAPS컨테이너배차관리!$DL:$DL,$B95)),IF(IF(INDEX(GLAPS컨테이너배차관리!$DM:$DM,$B95)="","",INDEX(GLAPS컨테이너배차관리!$DM:$DM,$B95))&lt;&gt;"",IF(INDEX(GLAPS컨테이너배차관리!$DM:$DM,$B95)="","",INDEX(GLAPS컨테이너배차관리!$DM:$DM,$B95)),""))))))</f>
        <v/>
      </c>
      <c r="X95" t="str">
        <f>IF($B95="","",IF(INDEX(GLAPS컨테이너배차관리!$F:$F,$B95)="","",INDEX(GLAPS컨테이너배차관리!$F:$F,$B95)))</f>
        <v/>
      </c>
      <c r="Y95" t="str">
        <f>IF($B95="","",IF(IF(INDEX(GLAPS컨테이너배차관리!$M:$M,$B95)="","",INDEX(GLAPS컨테이너배차관리!$M:$M,$B95))&lt;&gt;"",IF(INDEX(GLAPS컨테이너배차관리!$M:$M,$B95)="","",INDEX(GLAPS컨테이너배차관리!$M:$M,$B95)),IF(IF(INDEX(GLAPS컨테이너배차관리!$N:$N,$B95)="","",INDEX(GLAPS컨테이너배차관리!$N:$N,$B95))&lt;&gt;"",IF(INDEX(GLAPS컨테이너배차관리!$N:$N,$B95)="","",INDEX(GLAPS컨테이너배차관리!$N:$N,$B95)),"")))</f>
        <v/>
      </c>
      <c r="Z95" t="str">
        <f>IF($B95="","",IF(IF(INDEX(GLAPS컨테이너배차관리!$CU:$CU,$B95)="","",INDEX(GLAPS컨테이너배차관리!$CU:$CU,$B95))="","",IFERROR(INT(IF(INDEX(GLAPS컨테이너배차관리!$CU:$CU,$B95)="","",INDEX(GLAPS컨테이너배차관리!$CU:$CU,$B95))),"")))</f>
        <v/>
      </c>
      <c r="AA95" t="str">
        <f>IF($B95="","",IF(AND(IF(INDEX(GLAPS컨테이너배차관리!$CL:$CL,$B95)="","",INDEX(GLAPS컨테이너배차관리!$CL:$CL,$B95))="",IF(INDEX(GLAPS컨테이너배차관리!$CM:$CM,$B95)="","",INDEX(GLAPS컨테이너배차관리!$CM:$CM,$B95))=""),"",IF(OR(IF(INDEX(GLAPS컨테이너배차관리!$CL:$CL,$B95)="","",INDEX(GLAPS컨테이너배차관리!$CL:$CL,$B95))="B000016649",ISNUMBER(SEARCH("B015",IF(INDEX(GLAPS컨테이너배차관리!$CM:$CM,$B95)="","",INDEX(GLAPS컨테이너배차관리!$CM:$CM,$B95)))),ISNUMBER(SEARCH("세방",IF(INDEX(GLAPS컨테이너배차관리!$CM:$CM,$B95)="","",INDEX(GLAPS컨테이너배차관리!$CM:$CM,$B95)))),ISNUMBER(SEARCH("SB",IF(INDEX(GLAPS컨테이너배차관리!$CM:$CM,$B95)="","",INDEX(GLAPS컨테이너배차관리!$CM:$CM,$B95))))),"세방","")))</f>
        <v/>
      </c>
      <c r="AB95" t="str">
        <f>IF($B95="","",IF(IF(INDEX(GLAPS컨테이너배차관리!$CM:$CM,$B95)="","",INDEX(GLAPS컨테이너배차관리!$CM:$CM,$B95))="","",IF(ISNUMBER(SEARCH("이지스두동",IF(INDEX(GLAPS컨테이너배차관리!$CM:$CM,$B95)="","",INDEX(GLAPS컨테이너배차관리!$CM:$CM,$B95)))),"이지스두동",IF(ISNUMBER(SEARCH("이지스녹산",IF(INDEX(GLAPS컨테이너배차관리!$CM:$CM,$B95)="","",INDEX(GLAPS컨테이너배차관리!$CM:$CM,$B95)))),"이지스녹산",IF(ISNUMBER(SEARCH("천우",IF(INDEX(GLAPS컨테이너배차관리!$CM:$CM,$B95)="","",INDEX(GLAPS컨테이너배차관리!$CM:$CM,$B95)))),"천우",IF(OR(ISNUMBER(SEARCH("청암",IF(INDEX(GLAPS컨테이너배차관리!$CM:$CM,$B95)="","",INDEX(GLAPS컨테이너배차관리!$CM:$CM,$B95)))),ISNUMBER(SEARCH("SB청암",IF(INDEX(GLAPS컨테이너배차관리!$CM:$CM,$B95)="","",INDEX(GLAPS컨테이너배차관리!$CM:$CM,$B95))))),"청암신항",IF(INDEX(GLAPS컨테이너배차관리!$CM:$CM,$B95)="","",INDEX(GLAPS컨테이너배차관리!$CM:$CM,$B95))))))))</f>
        <v/>
      </c>
    </row>
    <row r="96" spans="1:28">
      <c r="A96">
        <v>95</v>
      </c>
      <c r="B96" t="str">
        <f>IFERROR(_xlfn.AGGREGATE(15,6,ROW(GLAPS컨테이너배차관리!$X$2:$X$20000)/(GLAPS컨테이너배차관리!$X$2:$X$20000&lt;&gt;""),A96),"")</f>
        <v/>
      </c>
      <c r="C96" t="str">
        <f>IF($B96="","",INT(IF(INDEX(GLAPS컨테이너배차관리!$K:$K,$B96)="","",INDEX(GLAPS컨테이너배차관리!$K:$K,$B96))))</f>
        <v/>
      </c>
      <c r="D96" t="str">
        <f>IF($B96="","",IF(ISNUMBER(SEARCH("이엘에스",IF(INDEX(GLAPS컨테이너배차관리!$AZ:$AZ,$B96)="","",INDEX(GLAPS컨테이너배차관리!$AZ:$AZ,$B96)))),"ELS솔루션",IF(INDEX(GLAPS컨테이너배차관리!$AZ:$AZ,$B96)="","",INDEX(GLAPS컨테이너배차관리!$AZ:$AZ,$B96))))</f>
        <v/>
      </c>
      <c r="E96" t="str">
        <f>IF($B96="","",IF(INDEX(GLAPS컨테이너배차관리!$L:$L,$B96)="","",INDEX(GLAPS컨테이너배차관리!$L:$L,$B96)))</f>
        <v/>
      </c>
      <c r="F96" t="str">
        <f>IF($B96="","",IF(HOUR(IF(INDEX(GLAPS컨테이너배차관리!$L:$L,$B96)="","",INDEX(GLAPS컨테이너배차관리!$L:$L,$B96)))&lt;12,"오전",IF(HOUR(IF(INDEX(GLAPS컨테이너배차관리!$L:$L,$B96)="","",INDEX(GLAPS컨테이너배차관리!$L:$L,$B96)))&lt;18,"오후","잔업")))</f>
        <v/>
      </c>
      <c r="G96" t="str">
        <f>IF($B96="","",IFERROR(INDEX(GLAPS정리!$G$3:$G$264,MATCH(IF(INDEX(GLAPS컨테이너배차관리!$BY:$BY,$B96)="","",INDEX(GLAPS컨테이너배차관리!$BY:$BY,$B96)),GLAPS정리!$H$3:$H$264,0)),TRIM(SUBSTITUTE(SUBSTITUTE(SUBSTITUTE(SUBSTITUTE(SUBSTITUTE(IF(INDEX(GLAPS컨테이너배차관리!$T:$T,$B96)="","",INDEX(GLAPS컨테이너배차관리!$T:$T,$B96)),"[GA]",""),"[GB]",""),"[GC]",""),"[KC]",""),"[GS]",""))))</f>
        <v/>
      </c>
      <c r="H96" t="str">
        <f>IF($B96="","",IFERROR(VLOOKUP(IF(INDEX(GLAPS컨테이너배차관리!$BY:$BY,$B96)="","",INDEX(GLAPS컨테이너배차관리!$BY:$BY,$B96)),GLAPS정리!$BT$3:$BV$200,3,0),""))</f>
        <v/>
      </c>
      <c r="I96" t="str">
        <f>IF($B96="","",LEFT(IF(INDEX(GLAPS컨테이너배차관리!$U:$U,$B96)="","",INDEX(GLAPS컨테이너배차관리!$U:$U,$B96)),FIND("/",IF(INDEX(GLAPS컨테이너배차관리!$U:$U,$B96)="","",INDEX(GLAPS컨테이너배차관리!$U:$U,$B96))&amp;"/")-1))</f>
        <v/>
      </c>
      <c r="J96" t="str">
        <f>IF($B96="","",IF(IF(INDEX(GLAPS컨테이너배차관리!$O:$O,$B96)="","",INDEX(GLAPS컨테이너배차관리!$O:$O,$B96))="EMC","EMA",IFERROR(INDEX(GLAPS정리!$A$2:$A$50,MATCH(IF(INDEX(GLAPS컨테이너배차관리!$O:$O,$B96)="","",INDEX(GLAPS컨테이너배차관리!$O:$O,$B96)),GLAPS정리!$D$2:$D$50,0)),IF(INDEX(GLAPS컨테이너배차관리!$O:$O,$B96)="","",INDEX(GLAPS컨테이너배차관리!$O:$O,$B96)))))</f>
        <v/>
      </c>
      <c r="K96" t="str">
        <f>IF($B96="","",IF(LEFT(IF(INDEX(GLAPS컨테이너배차관리!$Y:$Y,$B96)="","",INDEX(GLAPS컨테이너배차관리!$Y:$Y,$B96)),2)="22","20 Feet",IF(LEFT(IF(INDEX(GLAPS컨테이너배차관리!$Y:$Y,$B96)="","",INDEX(GLAPS컨테이너배차관리!$Y:$Y,$B96)),2)="42","40 Feet","40 Feet H")))</f>
        <v/>
      </c>
      <c r="L96" t="str">
        <f>IF($B96="","",IFERROR(INDEX(GLAPS정리!$BB$2:$BB$80,MATCH(IF(INDEX(GLAPS컨테이너배차관리!$BQ:$BQ,$B96)="","",INDEX(GLAPS컨테이너배차관리!$BQ:$BQ,$B96)),GLAPS정리!$BC$2:$BC$80,0)),IF(INDEX(GLAPS컨테이너배차관리!$BQ:$BQ,$B96)="","",INDEX(GLAPS컨테이너배차관리!$BQ:$BQ,$B96))))</f>
        <v/>
      </c>
      <c r="M96" t="str">
        <f>IF($B96="","",IFERROR(INDEX(GLAPS정리!$V$3:$V$180,MATCH(IF(INDEX(GLAPS컨테이너배차관리!$S:$S,$B96)="","",INDEX(GLAPS컨테이너배차관리!$S:$S,$B96)),GLAPS정리!$W$3:$W$180,0)),IF(INDEX(GLAPS컨테이너배차관리!$S:$S,$B96)="","",INDEX(GLAPS컨테이너배차관리!$S:$S,$B96))))</f>
        <v/>
      </c>
      <c r="N96" t="str">
        <f>IF($B96="","",IF(IF(INDEX(GLAPS컨테이너배차관리!$DF:$DF,$B96)="","",INDEX(GLAPS컨테이너배차관리!$DF:$DF,$B96))&lt;&gt;"",IF(INDEX(GLAPS컨테이너배차관리!$DF:$DF,$B96)="","",INDEX(GLAPS컨테이너배차관리!$DF:$DF,$B96)),IF(IF(INDEX(GLAPS컨테이너배차관리!$DG:$DG,$B96)="","",INDEX(GLAPS컨테이너배차관리!$DG:$DG,$B96))&lt;&gt;"",IF(INDEX(GLAPS컨테이너배차관리!$DG:$DG,$B96)="","",INDEX(GLAPS컨테이너배차관리!$DG:$DG,$B96)),"")))</f>
        <v/>
      </c>
      <c r="O96" t="str">
        <f>IF($B96="","",IF(INDEX(GLAPS컨테이너배차관리!$AB:$AB,$B96)="","",INDEX(GLAPS컨테이너배차관리!$AB:$AB,$B96)))</f>
        <v/>
      </c>
      <c r="P96" t="str">
        <f>IF($B96="","",IF(IF(INDEX(GLAPS컨테이너배차관리!$CP:$CP,$B96)="","",INDEX(GLAPS컨테이너배차관리!$CP:$CP,$B96))="","",IFERROR(INDEX(GLAPS정리!$BH$2:$BH$101,MATCH(IF(INDEX(GLAPS컨테이너배차관리!$CP:$CP,$B96)="","",INDEX(GLAPS컨테이너배차관리!$CP:$CP,$B96)),GLAPS정리!$BI$2:$BI$101,0)),IF(INDEX(GLAPS컨테이너배차관리!$CP:$CP,$B96)="","",INDEX(GLAPS컨테이너배차관리!$CP:$CP,$B96)))))</f>
        <v/>
      </c>
      <c r="Q96" t="str">
        <f>IF($B96="","",IF(AND(IF(INDEX(GLAPS컨테이너배차관리!$AK:$AK,$B96)="","",INDEX(GLAPS컨테이너배차관리!$AK:$AK,$B96))="Y",IF(INDEX(GLAPS컨테이너배차관리!$AI:$AI,$B96)="","",INDEX(GLAPS컨테이너배차관리!$AI:$AI,$B96))="Y"),"위험물리퍼",IF(IF(INDEX(GLAPS컨테이너배차관리!$AK:$AK,$B96)="","",INDEX(GLAPS컨테이너배차관리!$AK:$AK,$B96))="Y","위험물",IF(IF(INDEX(GLAPS컨테이너배차관리!$AI:$AI,$B96)="","",INDEX(GLAPS컨테이너배차관리!$AI:$AI,$B96))="Y","리퍼",""))))</f>
        <v/>
      </c>
      <c r="R96" t="str">
        <f>IF($B96="","",IF(LEFT(IF(INDEX(GLAPS컨테이너배차관리!$Y:$Y,$B96)="","",INDEX(GLAPS컨테이너배차관리!$Y:$Y,$B96)),2)="22",1,""))</f>
        <v/>
      </c>
      <c r="S96" t="str">
        <f>IF($B96="","",IF(LEFT(IF(INDEX(GLAPS컨테이너배차관리!$Y:$Y,$B96)="","",INDEX(GLAPS컨테이너배차관리!$Y:$Y,$B96)),2)="42",1,""))</f>
        <v/>
      </c>
      <c r="T96" t="str">
        <f>IF($B96="","",IF(LEFT(IF(INDEX(GLAPS컨테이너배차관리!$Y:$Y,$B96)="","",INDEX(GLAPS컨테이너배차관리!$Y:$Y,$B96)),2)="45",1,""))</f>
        <v/>
      </c>
      <c r="U96" t="str">
        <f>IF($B96="","",IF(INDEX(GLAPS컨테이너배차관리!$X:$X,$B96)="","",INDEX(GLAPS컨테이너배차관리!$X:$X,$B96)))</f>
        <v/>
      </c>
      <c r="V96" t="str">
        <f>IF($B96="","",IF(INDEX(GLAPS컨테이너배차관리!$Z:$Z,$B96)="","",INDEX(GLAPS컨테이너배차관리!$Z:$Z,$B96)))</f>
        <v/>
      </c>
      <c r="W96" t="str">
        <f>IF($B96="","",IF(IF(INDEX(GLAPS컨테이너배차관리!$DI:$DI,$B96)="","",INDEX(GLAPS컨테이너배차관리!$DI:$DI,$B96))&lt;&gt;"",IF(INDEX(GLAPS컨테이너배차관리!$DI:$DI,$B96)="","",INDEX(GLAPS컨테이너배차관리!$DI:$DI,$B96)),IF(IF(INDEX(GLAPS컨테이너배차관리!$DJ:$DJ,$B96)="","",INDEX(GLAPS컨테이너배차관리!$DJ:$DJ,$B96))&lt;&gt;"",IF(INDEX(GLAPS컨테이너배차관리!$DJ:$DJ,$B96)="","",INDEX(GLAPS컨테이너배차관리!$DJ:$DJ,$B96)),IF(IF(INDEX(GLAPS컨테이너배차관리!$DK:$DK,$B96)="","",INDEX(GLAPS컨테이너배차관리!$DK:$DK,$B96))&lt;&gt;"",IF(INDEX(GLAPS컨테이너배차관리!$DK:$DK,$B96)="","",INDEX(GLAPS컨테이너배차관리!$DK:$DK,$B96)),IF(IF(INDEX(GLAPS컨테이너배차관리!$DL:$DL,$B96)="","",INDEX(GLAPS컨테이너배차관리!$DL:$DL,$B96))&lt;&gt;"",IF(INDEX(GLAPS컨테이너배차관리!$DL:$DL,$B96)="","",INDEX(GLAPS컨테이너배차관리!$DL:$DL,$B96)),IF(IF(INDEX(GLAPS컨테이너배차관리!$DM:$DM,$B96)="","",INDEX(GLAPS컨테이너배차관리!$DM:$DM,$B96))&lt;&gt;"",IF(INDEX(GLAPS컨테이너배차관리!$DM:$DM,$B96)="","",INDEX(GLAPS컨테이너배차관리!$DM:$DM,$B96)),""))))))</f>
        <v/>
      </c>
      <c r="X96" t="str">
        <f>IF($B96="","",IF(INDEX(GLAPS컨테이너배차관리!$F:$F,$B96)="","",INDEX(GLAPS컨테이너배차관리!$F:$F,$B96)))</f>
        <v/>
      </c>
      <c r="Y96" t="str">
        <f>IF($B96="","",IF(IF(INDEX(GLAPS컨테이너배차관리!$M:$M,$B96)="","",INDEX(GLAPS컨테이너배차관리!$M:$M,$B96))&lt;&gt;"",IF(INDEX(GLAPS컨테이너배차관리!$M:$M,$B96)="","",INDEX(GLAPS컨테이너배차관리!$M:$M,$B96)),IF(IF(INDEX(GLAPS컨테이너배차관리!$N:$N,$B96)="","",INDEX(GLAPS컨테이너배차관리!$N:$N,$B96))&lt;&gt;"",IF(INDEX(GLAPS컨테이너배차관리!$N:$N,$B96)="","",INDEX(GLAPS컨테이너배차관리!$N:$N,$B96)),"")))</f>
        <v/>
      </c>
      <c r="Z96" t="str">
        <f>IF($B96="","",IF(IF(INDEX(GLAPS컨테이너배차관리!$CU:$CU,$B96)="","",INDEX(GLAPS컨테이너배차관리!$CU:$CU,$B96))="","",IFERROR(INT(IF(INDEX(GLAPS컨테이너배차관리!$CU:$CU,$B96)="","",INDEX(GLAPS컨테이너배차관리!$CU:$CU,$B96))),"")))</f>
        <v/>
      </c>
      <c r="AA96" t="str">
        <f>IF($B96="","",IF(AND(IF(INDEX(GLAPS컨테이너배차관리!$CL:$CL,$B96)="","",INDEX(GLAPS컨테이너배차관리!$CL:$CL,$B96))="",IF(INDEX(GLAPS컨테이너배차관리!$CM:$CM,$B96)="","",INDEX(GLAPS컨테이너배차관리!$CM:$CM,$B96))=""),"",IF(OR(IF(INDEX(GLAPS컨테이너배차관리!$CL:$CL,$B96)="","",INDEX(GLAPS컨테이너배차관리!$CL:$CL,$B96))="B000016649",ISNUMBER(SEARCH("B015",IF(INDEX(GLAPS컨테이너배차관리!$CM:$CM,$B96)="","",INDEX(GLAPS컨테이너배차관리!$CM:$CM,$B96)))),ISNUMBER(SEARCH("세방",IF(INDEX(GLAPS컨테이너배차관리!$CM:$CM,$B96)="","",INDEX(GLAPS컨테이너배차관리!$CM:$CM,$B96)))),ISNUMBER(SEARCH("SB",IF(INDEX(GLAPS컨테이너배차관리!$CM:$CM,$B96)="","",INDEX(GLAPS컨테이너배차관리!$CM:$CM,$B96))))),"세방","")))</f>
        <v/>
      </c>
      <c r="AB96" t="str">
        <f>IF($B96="","",IF(IF(INDEX(GLAPS컨테이너배차관리!$CM:$CM,$B96)="","",INDEX(GLAPS컨테이너배차관리!$CM:$CM,$B96))="","",IF(ISNUMBER(SEARCH("이지스두동",IF(INDEX(GLAPS컨테이너배차관리!$CM:$CM,$B96)="","",INDEX(GLAPS컨테이너배차관리!$CM:$CM,$B96)))),"이지스두동",IF(ISNUMBER(SEARCH("이지스녹산",IF(INDEX(GLAPS컨테이너배차관리!$CM:$CM,$B96)="","",INDEX(GLAPS컨테이너배차관리!$CM:$CM,$B96)))),"이지스녹산",IF(ISNUMBER(SEARCH("천우",IF(INDEX(GLAPS컨테이너배차관리!$CM:$CM,$B96)="","",INDEX(GLAPS컨테이너배차관리!$CM:$CM,$B96)))),"천우",IF(OR(ISNUMBER(SEARCH("청암",IF(INDEX(GLAPS컨테이너배차관리!$CM:$CM,$B96)="","",INDEX(GLAPS컨테이너배차관리!$CM:$CM,$B96)))),ISNUMBER(SEARCH("SB청암",IF(INDEX(GLAPS컨테이너배차관리!$CM:$CM,$B96)="","",INDEX(GLAPS컨테이너배차관리!$CM:$CM,$B96))))),"청암신항",IF(INDEX(GLAPS컨테이너배차관리!$CM:$CM,$B96)="","",INDEX(GLAPS컨테이너배차관리!$CM:$CM,$B96))))))))</f>
        <v/>
      </c>
    </row>
    <row r="97" spans="1:28">
      <c r="A97">
        <v>96</v>
      </c>
      <c r="B97" t="str">
        <f>IFERROR(_xlfn.AGGREGATE(15,6,ROW(GLAPS컨테이너배차관리!$X$2:$X$20000)/(GLAPS컨테이너배차관리!$X$2:$X$20000&lt;&gt;""),A97),"")</f>
        <v/>
      </c>
      <c r="C97" t="str">
        <f>IF($B97="","",INT(IF(INDEX(GLAPS컨테이너배차관리!$K:$K,$B97)="","",INDEX(GLAPS컨테이너배차관리!$K:$K,$B97))))</f>
        <v/>
      </c>
      <c r="D97" t="str">
        <f>IF($B97="","",IF(ISNUMBER(SEARCH("이엘에스",IF(INDEX(GLAPS컨테이너배차관리!$AZ:$AZ,$B97)="","",INDEX(GLAPS컨테이너배차관리!$AZ:$AZ,$B97)))),"ELS솔루션",IF(INDEX(GLAPS컨테이너배차관리!$AZ:$AZ,$B97)="","",INDEX(GLAPS컨테이너배차관리!$AZ:$AZ,$B97))))</f>
        <v/>
      </c>
      <c r="E97" t="str">
        <f>IF($B97="","",IF(INDEX(GLAPS컨테이너배차관리!$L:$L,$B97)="","",INDEX(GLAPS컨테이너배차관리!$L:$L,$B97)))</f>
        <v/>
      </c>
      <c r="F97" t="str">
        <f>IF($B97="","",IF(HOUR(IF(INDEX(GLAPS컨테이너배차관리!$L:$L,$B97)="","",INDEX(GLAPS컨테이너배차관리!$L:$L,$B97)))&lt;12,"오전",IF(HOUR(IF(INDEX(GLAPS컨테이너배차관리!$L:$L,$B97)="","",INDEX(GLAPS컨테이너배차관리!$L:$L,$B97)))&lt;18,"오후","잔업")))</f>
        <v/>
      </c>
      <c r="G97" t="str">
        <f>IF($B97="","",IFERROR(INDEX(GLAPS정리!$G$3:$G$264,MATCH(IF(INDEX(GLAPS컨테이너배차관리!$BY:$BY,$B97)="","",INDEX(GLAPS컨테이너배차관리!$BY:$BY,$B97)),GLAPS정리!$H$3:$H$264,0)),TRIM(SUBSTITUTE(SUBSTITUTE(SUBSTITUTE(SUBSTITUTE(SUBSTITUTE(IF(INDEX(GLAPS컨테이너배차관리!$T:$T,$B97)="","",INDEX(GLAPS컨테이너배차관리!$T:$T,$B97)),"[GA]",""),"[GB]",""),"[GC]",""),"[KC]",""),"[GS]",""))))</f>
        <v/>
      </c>
      <c r="H97" t="str">
        <f>IF($B97="","",IFERROR(VLOOKUP(IF(INDEX(GLAPS컨테이너배차관리!$BY:$BY,$B97)="","",INDEX(GLAPS컨테이너배차관리!$BY:$BY,$B97)),GLAPS정리!$BT$3:$BV$200,3,0),""))</f>
        <v/>
      </c>
      <c r="I97" t="str">
        <f>IF($B97="","",LEFT(IF(INDEX(GLAPS컨테이너배차관리!$U:$U,$B97)="","",INDEX(GLAPS컨테이너배차관리!$U:$U,$B97)),FIND("/",IF(INDEX(GLAPS컨테이너배차관리!$U:$U,$B97)="","",INDEX(GLAPS컨테이너배차관리!$U:$U,$B97))&amp;"/")-1))</f>
        <v/>
      </c>
      <c r="J97" t="str">
        <f>IF($B97="","",IF(IF(INDEX(GLAPS컨테이너배차관리!$O:$O,$B97)="","",INDEX(GLAPS컨테이너배차관리!$O:$O,$B97))="EMC","EMA",IFERROR(INDEX(GLAPS정리!$A$2:$A$50,MATCH(IF(INDEX(GLAPS컨테이너배차관리!$O:$O,$B97)="","",INDEX(GLAPS컨테이너배차관리!$O:$O,$B97)),GLAPS정리!$D$2:$D$50,0)),IF(INDEX(GLAPS컨테이너배차관리!$O:$O,$B97)="","",INDEX(GLAPS컨테이너배차관리!$O:$O,$B97)))))</f>
        <v/>
      </c>
      <c r="K97" t="str">
        <f>IF($B97="","",IF(LEFT(IF(INDEX(GLAPS컨테이너배차관리!$Y:$Y,$B97)="","",INDEX(GLAPS컨테이너배차관리!$Y:$Y,$B97)),2)="22","20 Feet",IF(LEFT(IF(INDEX(GLAPS컨테이너배차관리!$Y:$Y,$B97)="","",INDEX(GLAPS컨테이너배차관리!$Y:$Y,$B97)),2)="42","40 Feet","40 Feet H")))</f>
        <v/>
      </c>
      <c r="L97" t="str">
        <f>IF($B97="","",IFERROR(INDEX(GLAPS정리!$BB$2:$BB$80,MATCH(IF(INDEX(GLAPS컨테이너배차관리!$BQ:$BQ,$B97)="","",INDEX(GLAPS컨테이너배차관리!$BQ:$BQ,$B97)),GLAPS정리!$BC$2:$BC$80,0)),IF(INDEX(GLAPS컨테이너배차관리!$BQ:$BQ,$B97)="","",INDEX(GLAPS컨테이너배차관리!$BQ:$BQ,$B97))))</f>
        <v/>
      </c>
      <c r="M97" t="str">
        <f>IF($B97="","",IFERROR(INDEX(GLAPS정리!$V$3:$V$180,MATCH(IF(INDEX(GLAPS컨테이너배차관리!$S:$S,$B97)="","",INDEX(GLAPS컨테이너배차관리!$S:$S,$B97)),GLAPS정리!$W$3:$W$180,0)),IF(INDEX(GLAPS컨테이너배차관리!$S:$S,$B97)="","",INDEX(GLAPS컨테이너배차관리!$S:$S,$B97))))</f>
        <v/>
      </c>
      <c r="N97" t="str">
        <f>IF($B97="","",IF(IF(INDEX(GLAPS컨테이너배차관리!$DF:$DF,$B97)="","",INDEX(GLAPS컨테이너배차관리!$DF:$DF,$B97))&lt;&gt;"",IF(INDEX(GLAPS컨테이너배차관리!$DF:$DF,$B97)="","",INDEX(GLAPS컨테이너배차관리!$DF:$DF,$B97)),IF(IF(INDEX(GLAPS컨테이너배차관리!$DG:$DG,$B97)="","",INDEX(GLAPS컨테이너배차관리!$DG:$DG,$B97))&lt;&gt;"",IF(INDEX(GLAPS컨테이너배차관리!$DG:$DG,$B97)="","",INDEX(GLAPS컨테이너배차관리!$DG:$DG,$B97)),"")))</f>
        <v/>
      </c>
      <c r="O97" t="str">
        <f>IF($B97="","",IF(INDEX(GLAPS컨테이너배차관리!$AB:$AB,$B97)="","",INDEX(GLAPS컨테이너배차관리!$AB:$AB,$B97)))</f>
        <v/>
      </c>
      <c r="P97" t="str">
        <f>IF($B97="","",IF(IF(INDEX(GLAPS컨테이너배차관리!$CP:$CP,$B97)="","",INDEX(GLAPS컨테이너배차관리!$CP:$CP,$B97))="","",IFERROR(INDEX(GLAPS정리!$BH$2:$BH$101,MATCH(IF(INDEX(GLAPS컨테이너배차관리!$CP:$CP,$B97)="","",INDEX(GLAPS컨테이너배차관리!$CP:$CP,$B97)),GLAPS정리!$BI$2:$BI$101,0)),IF(INDEX(GLAPS컨테이너배차관리!$CP:$CP,$B97)="","",INDEX(GLAPS컨테이너배차관리!$CP:$CP,$B97)))))</f>
        <v/>
      </c>
      <c r="Q97" t="str">
        <f>IF($B97="","",IF(AND(IF(INDEX(GLAPS컨테이너배차관리!$AK:$AK,$B97)="","",INDEX(GLAPS컨테이너배차관리!$AK:$AK,$B97))="Y",IF(INDEX(GLAPS컨테이너배차관리!$AI:$AI,$B97)="","",INDEX(GLAPS컨테이너배차관리!$AI:$AI,$B97))="Y"),"위험물리퍼",IF(IF(INDEX(GLAPS컨테이너배차관리!$AK:$AK,$B97)="","",INDEX(GLAPS컨테이너배차관리!$AK:$AK,$B97))="Y","위험물",IF(IF(INDEX(GLAPS컨테이너배차관리!$AI:$AI,$B97)="","",INDEX(GLAPS컨테이너배차관리!$AI:$AI,$B97))="Y","리퍼",""))))</f>
        <v/>
      </c>
      <c r="R97" t="str">
        <f>IF($B97="","",IF(LEFT(IF(INDEX(GLAPS컨테이너배차관리!$Y:$Y,$B97)="","",INDEX(GLAPS컨테이너배차관리!$Y:$Y,$B97)),2)="22",1,""))</f>
        <v/>
      </c>
      <c r="S97" t="str">
        <f>IF($B97="","",IF(LEFT(IF(INDEX(GLAPS컨테이너배차관리!$Y:$Y,$B97)="","",INDEX(GLAPS컨테이너배차관리!$Y:$Y,$B97)),2)="42",1,""))</f>
        <v/>
      </c>
      <c r="T97" t="str">
        <f>IF($B97="","",IF(LEFT(IF(INDEX(GLAPS컨테이너배차관리!$Y:$Y,$B97)="","",INDEX(GLAPS컨테이너배차관리!$Y:$Y,$B97)),2)="45",1,""))</f>
        <v/>
      </c>
      <c r="U97" t="str">
        <f>IF($B97="","",IF(INDEX(GLAPS컨테이너배차관리!$X:$X,$B97)="","",INDEX(GLAPS컨테이너배차관리!$X:$X,$B97)))</f>
        <v/>
      </c>
      <c r="V97" t="str">
        <f>IF($B97="","",IF(INDEX(GLAPS컨테이너배차관리!$Z:$Z,$B97)="","",INDEX(GLAPS컨테이너배차관리!$Z:$Z,$B97)))</f>
        <v/>
      </c>
      <c r="W97" t="str">
        <f>IF($B97="","",IF(IF(INDEX(GLAPS컨테이너배차관리!$DI:$DI,$B97)="","",INDEX(GLAPS컨테이너배차관리!$DI:$DI,$B97))&lt;&gt;"",IF(INDEX(GLAPS컨테이너배차관리!$DI:$DI,$B97)="","",INDEX(GLAPS컨테이너배차관리!$DI:$DI,$B97)),IF(IF(INDEX(GLAPS컨테이너배차관리!$DJ:$DJ,$B97)="","",INDEX(GLAPS컨테이너배차관리!$DJ:$DJ,$B97))&lt;&gt;"",IF(INDEX(GLAPS컨테이너배차관리!$DJ:$DJ,$B97)="","",INDEX(GLAPS컨테이너배차관리!$DJ:$DJ,$B97)),IF(IF(INDEX(GLAPS컨테이너배차관리!$DK:$DK,$B97)="","",INDEX(GLAPS컨테이너배차관리!$DK:$DK,$B97))&lt;&gt;"",IF(INDEX(GLAPS컨테이너배차관리!$DK:$DK,$B97)="","",INDEX(GLAPS컨테이너배차관리!$DK:$DK,$B97)),IF(IF(INDEX(GLAPS컨테이너배차관리!$DL:$DL,$B97)="","",INDEX(GLAPS컨테이너배차관리!$DL:$DL,$B97))&lt;&gt;"",IF(INDEX(GLAPS컨테이너배차관리!$DL:$DL,$B97)="","",INDEX(GLAPS컨테이너배차관리!$DL:$DL,$B97)),IF(IF(INDEX(GLAPS컨테이너배차관리!$DM:$DM,$B97)="","",INDEX(GLAPS컨테이너배차관리!$DM:$DM,$B97))&lt;&gt;"",IF(INDEX(GLAPS컨테이너배차관리!$DM:$DM,$B97)="","",INDEX(GLAPS컨테이너배차관리!$DM:$DM,$B97)),""))))))</f>
        <v/>
      </c>
      <c r="X97" t="str">
        <f>IF($B97="","",IF(INDEX(GLAPS컨테이너배차관리!$F:$F,$B97)="","",INDEX(GLAPS컨테이너배차관리!$F:$F,$B97)))</f>
        <v/>
      </c>
      <c r="Y97" t="str">
        <f>IF($B97="","",IF(IF(INDEX(GLAPS컨테이너배차관리!$M:$M,$B97)="","",INDEX(GLAPS컨테이너배차관리!$M:$M,$B97))&lt;&gt;"",IF(INDEX(GLAPS컨테이너배차관리!$M:$M,$B97)="","",INDEX(GLAPS컨테이너배차관리!$M:$M,$B97)),IF(IF(INDEX(GLAPS컨테이너배차관리!$N:$N,$B97)="","",INDEX(GLAPS컨테이너배차관리!$N:$N,$B97))&lt;&gt;"",IF(INDEX(GLAPS컨테이너배차관리!$N:$N,$B97)="","",INDEX(GLAPS컨테이너배차관리!$N:$N,$B97)),"")))</f>
        <v/>
      </c>
      <c r="Z97" t="str">
        <f>IF($B97="","",IF(IF(INDEX(GLAPS컨테이너배차관리!$CU:$CU,$B97)="","",INDEX(GLAPS컨테이너배차관리!$CU:$CU,$B97))="","",IFERROR(INT(IF(INDEX(GLAPS컨테이너배차관리!$CU:$CU,$B97)="","",INDEX(GLAPS컨테이너배차관리!$CU:$CU,$B97))),"")))</f>
        <v/>
      </c>
      <c r="AA97" t="str">
        <f>IF($B97="","",IF(AND(IF(INDEX(GLAPS컨테이너배차관리!$CL:$CL,$B97)="","",INDEX(GLAPS컨테이너배차관리!$CL:$CL,$B97))="",IF(INDEX(GLAPS컨테이너배차관리!$CM:$CM,$B97)="","",INDEX(GLAPS컨테이너배차관리!$CM:$CM,$B97))=""),"",IF(OR(IF(INDEX(GLAPS컨테이너배차관리!$CL:$CL,$B97)="","",INDEX(GLAPS컨테이너배차관리!$CL:$CL,$B97))="B000016649",ISNUMBER(SEARCH("B015",IF(INDEX(GLAPS컨테이너배차관리!$CM:$CM,$B97)="","",INDEX(GLAPS컨테이너배차관리!$CM:$CM,$B97)))),ISNUMBER(SEARCH("세방",IF(INDEX(GLAPS컨테이너배차관리!$CM:$CM,$B97)="","",INDEX(GLAPS컨테이너배차관리!$CM:$CM,$B97)))),ISNUMBER(SEARCH("SB",IF(INDEX(GLAPS컨테이너배차관리!$CM:$CM,$B97)="","",INDEX(GLAPS컨테이너배차관리!$CM:$CM,$B97))))),"세방","")))</f>
        <v/>
      </c>
      <c r="AB97" t="str">
        <f>IF($B97="","",IF(IF(INDEX(GLAPS컨테이너배차관리!$CM:$CM,$B97)="","",INDEX(GLAPS컨테이너배차관리!$CM:$CM,$B97))="","",IF(ISNUMBER(SEARCH("이지스두동",IF(INDEX(GLAPS컨테이너배차관리!$CM:$CM,$B97)="","",INDEX(GLAPS컨테이너배차관리!$CM:$CM,$B97)))),"이지스두동",IF(ISNUMBER(SEARCH("이지스녹산",IF(INDEX(GLAPS컨테이너배차관리!$CM:$CM,$B97)="","",INDEX(GLAPS컨테이너배차관리!$CM:$CM,$B97)))),"이지스녹산",IF(ISNUMBER(SEARCH("천우",IF(INDEX(GLAPS컨테이너배차관리!$CM:$CM,$B97)="","",INDEX(GLAPS컨테이너배차관리!$CM:$CM,$B97)))),"천우",IF(OR(ISNUMBER(SEARCH("청암",IF(INDEX(GLAPS컨테이너배차관리!$CM:$CM,$B97)="","",INDEX(GLAPS컨테이너배차관리!$CM:$CM,$B97)))),ISNUMBER(SEARCH("SB청암",IF(INDEX(GLAPS컨테이너배차관리!$CM:$CM,$B97)="","",INDEX(GLAPS컨테이너배차관리!$CM:$CM,$B97))))),"청암신항",IF(INDEX(GLAPS컨테이너배차관리!$CM:$CM,$B97)="","",INDEX(GLAPS컨테이너배차관리!$CM:$CM,$B97))))))))</f>
        <v/>
      </c>
    </row>
    <row r="98" spans="1:28">
      <c r="A98">
        <v>97</v>
      </c>
      <c r="B98" t="str">
        <f>IFERROR(_xlfn.AGGREGATE(15,6,ROW(GLAPS컨테이너배차관리!$X$2:$X$20000)/(GLAPS컨테이너배차관리!$X$2:$X$20000&lt;&gt;""),A98),"")</f>
        <v/>
      </c>
      <c r="C98" t="str">
        <f>IF($B98="","",INT(IF(INDEX(GLAPS컨테이너배차관리!$K:$K,$B98)="","",INDEX(GLAPS컨테이너배차관리!$K:$K,$B98))))</f>
        <v/>
      </c>
      <c r="D98" t="str">
        <f>IF($B98="","",IF(ISNUMBER(SEARCH("이엘에스",IF(INDEX(GLAPS컨테이너배차관리!$AZ:$AZ,$B98)="","",INDEX(GLAPS컨테이너배차관리!$AZ:$AZ,$B98)))),"ELS솔루션",IF(INDEX(GLAPS컨테이너배차관리!$AZ:$AZ,$B98)="","",INDEX(GLAPS컨테이너배차관리!$AZ:$AZ,$B98))))</f>
        <v/>
      </c>
      <c r="E98" t="str">
        <f>IF($B98="","",IF(INDEX(GLAPS컨테이너배차관리!$L:$L,$B98)="","",INDEX(GLAPS컨테이너배차관리!$L:$L,$B98)))</f>
        <v/>
      </c>
      <c r="F98" t="str">
        <f>IF($B98="","",IF(HOUR(IF(INDEX(GLAPS컨테이너배차관리!$L:$L,$B98)="","",INDEX(GLAPS컨테이너배차관리!$L:$L,$B98)))&lt;12,"오전",IF(HOUR(IF(INDEX(GLAPS컨테이너배차관리!$L:$L,$B98)="","",INDEX(GLAPS컨테이너배차관리!$L:$L,$B98)))&lt;18,"오후","잔업")))</f>
        <v/>
      </c>
      <c r="G98" t="str">
        <f>IF($B98="","",IFERROR(INDEX(GLAPS정리!$G$3:$G$264,MATCH(IF(INDEX(GLAPS컨테이너배차관리!$BY:$BY,$B98)="","",INDEX(GLAPS컨테이너배차관리!$BY:$BY,$B98)),GLAPS정리!$H$3:$H$264,0)),TRIM(SUBSTITUTE(SUBSTITUTE(SUBSTITUTE(SUBSTITUTE(SUBSTITUTE(IF(INDEX(GLAPS컨테이너배차관리!$T:$T,$B98)="","",INDEX(GLAPS컨테이너배차관리!$T:$T,$B98)),"[GA]",""),"[GB]",""),"[GC]",""),"[KC]",""),"[GS]",""))))</f>
        <v/>
      </c>
      <c r="H98" t="str">
        <f>IF($B98="","",IFERROR(VLOOKUP(IF(INDEX(GLAPS컨테이너배차관리!$BY:$BY,$B98)="","",INDEX(GLAPS컨테이너배차관리!$BY:$BY,$B98)),GLAPS정리!$BT$3:$BV$200,3,0),""))</f>
        <v/>
      </c>
      <c r="I98" t="str">
        <f>IF($B98="","",LEFT(IF(INDEX(GLAPS컨테이너배차관리!$U:$U,$B98)="","",INDEX(GLAPS컨테이너배차관리!$U:$U,$B98)),FIND("/",IF(INDEX(GLAPS컨테이너배차관리!$U:$U,$B98)="","",INDEX(GLAPS컨테이너배차관리!$U:$U,$B98))&amp;"/")-1))</f>
        <v/>
      </c>
      <c r="J98" t="str">
        <f>IF($B98="","",IF(IF(INDEX(GLAPS컨테이너배차관리!$O:$O,$B98)="","",INDEX(GLAPS컨테이너배차관리!$O:$O,$B98))="EMC","EMA",IFERROR(INDEX(GLAPS정리!$A$2:$A$50,MATCH(IF(INDEX(GLAPS컨테이너배차관리!$O:$O,$B98)="","",INDEX(GLAPS컨테이너배차관리!$O:$O,$B98)),GLAPS정리!$D$2:$D$50,0)),IF(INDEX(GLAPS컨테이너배차관리!$O:$O,$B98)="","",INDEX(GLAPS컨테이너배차관리!$O:$O,$B98)))))</f>
        <v/>
      </c>
      <c r="K98" t="str">
        <f>IF($B98="","",IF(LEFT(IF(INDEX(GLAPS컨테이너배차관리!$Y:$Y,$B98)="","",INDEX(GLAPS컨테이너배차관리!$Y:$Y,$B98)),2)="22","20 Feet",IF(LEFT(IF(INDEX(GLAPS컨테이너배차관리!$Y:$Y,$B98)="","",INDEX(GLAPS컨테이너배차관리!$Y:$Y,$B98)),2)="42","40 Feet","40 Feet H")))</f>
        <v/>
      </c>
      <c r="L98" t="str">
        <f>IF($B98="","",IFERROR(INDEX(GLAPS정리!$BB$2:$BB$80,MATCH(IF(INDEX(GLAPS컨테이너배차관리!$BQ:$BQ,$B98)="","",INDEX(GLAPS컨테이너배차관리!$BQ:$BQ,$B98)),GLAPS정리!$BC$2:$BC$80,0)),IF(INDEX(GLAPS컨테이너배차관리!$BQ:$BQ,$B98)="","",INDEX(GLAPS컨테이너배차관리!$BQ:$BQ,$B98))))</f>
        <v/>
      </c>
      <c r="M98" t="str">
        <f>IF($B98="","",IFERROR(INDEX(GLAPS정리!$V$3:$V$180,MATCH(IF(INDEX(GLAPS컨테이너배차관리!$S:$S,$B98)="","",INDEX(GLAPS컨테이너배차관리!$S:$S,$B98)),GLAPS정리!$W$3:$W$180,0)),IF(INDEX(GLAPS컨테이너배차관리!$S:$S,$B98)="","",INDEX(GLAPS컨테이너배차관리!$S:$S,$B98))))</f>
        <v/>
      </c>
      <c r="N98" t="str">
        <f>IF($B98="","",IF(IF(INDEX(GLAPS컨테이너배차관리!$DF:$DF,$B98)="","",INDEX(GLAPS컨테이너배차관리!$DF:$DF,$B98))&lt;&gt;"",IF(INDEX(GLAPS컨테이너배차관리!$DF:$DF,$B98)="","",INDEX(GLAPS컨테이너배차관리!$DF:$DF,$B98)),IF(IF(INDEX(GLAPS컨테이너배차관리!$DG:$DG,$B98)="","",INDEX(GLAPS컨테이너배차관리!$DG:$DG,$B98))&lt;&gt;"",IF(INDEX(GLAPS컨테이너배차관리!$DG:$DG,$B98)="","",INDEX(GLAPS컨테이너배차관리!$DG:$DG,$B98)),"")))</f>
        <v/>
      </c>
      <c r="O98" t="str">
        <f>IF($B98="","",IF(INDEX(GLAPS컨테이너배차관리!$AB:$AB,$B98)="","",INDEX(GLAPS컨테이너배차관리!$AB:$AB,$B98)))</f>
        <v/>
      </c>
      <c r="P98" t="str">
        <f>IF($B98="","",IF(IF(INDEX(GLAPS컨테이너배차관리!$CP:$CP,$B98)="","",INDEX(GLAPS컨테이너배차관리!$CP:$CP,$B98))="","",IFERROR(INDEX(GLAPS정리!$BH$2:$BH$101,MATCH(IF(INDEX(GLAPS컨테이너배차관리!$CP:$CP,$B98)="","",INDEX(GLAPS컨테이너배차관리!$CP:$CP,$B98)),GLAPS정리!$BI$2:$BI$101,0)),IF(INDEX(GLAPS컨테이너배차관리!$CP:$CP,$B98)="","",INDEX(GLAPS컨테이너배차관리!$CP:$CP,$B98)))))</f>
        <v/>
      </c>
      <c r="Q98" t="str">
        <f>IF($B98="","",IF(AND(IF(INDEX(GLAPS컨테이너배차관리!$AK:$AK,$B98)="","",INDEX(GLAPS컨테이너배차관리!$AK:$AK,$B98))="Y",IF(INDEX(GLAPS컨테이너배차관리!$AI:$AI,$B98)="","",INDEX(GLAPS컨테이너배차관리!$AI:$AI,$B98))="Y"),"위험물리퍼",IF(IF(INDEX(GLAPS컨테이너배차관리!$AK:$AK,$B98)="","",INDEX(GLAPS컨테이너배차관리!$AK:$AK,$B98))="Y","위험물",IF(IF(INDEX(GLAPS컨테이너배차관리!$AI:$AI,$B98)="","",INDEX(GLAPS컨테이너배차관리!$AI:$AI,$B98))="Y","리퍼",""))))</f>
        <v/>
      </c>
      <c r="R98" t="str">
        <f>IF($B98="","",IF(LEFT(IF(INDEX(GLAPS컨테이너배차관리!$Y:$Y,$B98)="","",INDEX(GLAPS컨테이너배차관리!$Y:$Y,$B98)),2)="22",1,""))</f>
        <v/>
      </c>
      <c r="S98" t="str">
        <f>IF($B98="","",IF(LEFT(IF(INDEX(GLAPS컨테이너배차관리!$Y:$Y,$B98)="","",INDEX(GLAPS컨테이너배차관리!$Y:$Y,$B98)),2)="42",1,""))</f>
        <v/>
      </c>
      <c r="T98" t="str">
        <f>IF($B98="","",IF(LEFT(IF(INDEX(GLAPS컨테이너배차관리!$Y:$Y,$B98)="","",INDEX(GLAPS컨테이너배차관리!$Y:$Y,$B98)),2)="45",1,""))</f>
        <v/>
      </c>
      <c r="U98" t="str">
        <f>IF($B98="","",IF(INDEX(GLAPS컨테이너배차관리!$X:$X,$B98)="","",INDEX(GLAPS컨테이너배차관리!$X:$X,$B98)))</f>
        <v/>
      </c>
      <c r="V98" t="str">
        <f>IF($B98="","",IF(INDEX(GLAPS컨테이너배차관리!$Z:$Z,$B98)="","",INDEX(GLAPS컨테이너배차관리!$Z:$Z,$B98)))</f>
        <v/>
      </c>
      <c r="W98" t="str">
        <f>IF($B98="","",IF(IF(INDEX(GLAPS컨테이너배차관리!$DI:$DI,$B98)="","",INDEX(GLAPS컨테이너배차관리!$DI:$DI,$B98))&lt;&gt;"",IF(INDEX(GLAPS컨테이너배차관리!$DI:$DI,$B98)="","",INDEX(GLAPS컨테이너배차관리!$DI:$DI,$B98)),IF(IF(INDEX(GLAPS컨테이너배차관리!$DJ:$DJ,$B98)="","",INDEX(GLAPS컨테이너배차관리!$DJ:$DJ,$B98))&lt;&gt;"",IF(INDEX(GLAPS컨테이너배차관리!$DJ:$DJ,$B98)="","",INDEX(GLAPS컨테이너배차관리!$DJ:$DJ,$B98)),IF(IF(INDEX(GLAPS컨테이너배차관리!$DK:$DK,$B98)="","",INDEX(GLAPS컨테이너배차관리!$DK:$DK,$B98))&lt;&gt;"",IF(INDEX(GLAPS컨테이너배차관리!$DK:$DK,$B98)="","",INDEX(GLAPS컨테이너배차관리!$DK:$DK,$B98)),IF(IF(INDEX(GLAPS컨테이너배차관리!$DL:$DL,$B98)="","",INDEX(GLAPS컨테이너배차관리!$DL:$DL,$B98))&lt;&gt;"",IF(INDEX(GLAPS컨테이너배차관리!$DL:$DL,$B98)="","",INDEX(GLAPS컨테이너배차관리!$DL:$DL,$B98)),IF(IF(INDEX(GLAPS컨테이너배차관리!$DM:$DM,$B98)="","",INDEX(GLAPS컨테이너배차관리!$DM:$DM,$B98))&lt;&gt;"",IF(INDEX(GLAPS컨테이너배차관리!$DM:$DM,$B98)="","",INDEX(GLAPS컨테이너배차관리!$DM:$DM,$B98)),""))))))</f>
        <v/>
      </c>
      <c r="X98" t="str">
        <f>IF($B98="","",IF(INDEX(GLAPS컨테이너배차관리!$F:$F,$B98)="","",INDEX(GLAPS컨테이너배차관리!$F:$F,$B98)))</f>
        <v/>
      </c>
      <c r="Y98" t="str">
        <f>IF($B98="","",IF(IF(INDEX(GLAPS컨테이너배차관리!$M:$M,$B98)="","",INDEX(GLAPS컨테이너배차관리!$M:$M,$B98))&lt;&gt;"",IF(INDEX(GLAPS컨테이너배차관리!$M:$M,$B98)="","",INDEX(GLAPS컨테이너배차관리!$M:$M,$B98)),IF(IF(INDEX(GLAPS컨테이너배차관리!$N:$N,$B98)="","",INDEX(GLAPS컨테이너배차관리!$N:$N,$B98))&lt;&gt;"",IF(INDEX(GLAPS컨테이너배차관리!$N:$N,$B98)="","",INDEX(GLAPS컨테이너배차관리!$N:$N,$B98)),"")))</f>
        <v/>
      </c>
      <c r="Z98" t="str">
        <f>IF($B98="","",IF(IF(INDEX(GLAPS컨테이너배차관리!$CU:$CU,$B98)="","",INDEX(GLAPS컨테이너배차관리!$CU:$CU,$B98))="","",IFERROR(INT(IF(INDEX(GLAPS컨테이너배차관리!$CU:$CU,$B98)="","",INDEX(GLAPS컨테이너배차관리!$CU:$CU,$B98))),"")))</f>
        <v/>
      </c>
      <c r="AA98" t="str">
        <f>IF($B98="","",IF(AND(IF(INDEX(GLAPS컨테이너배차관리!$CL:$CL,$B98)="","",INDEX(GLAPS컨테이너배차관리!$CL:$CL,$B98))="",IF(INDEX(GLAPS컨테이너배차관리!$CM:$CM,$B98)="","",INDEX(GLAPS컨테이너배차관리!$CM:$CM,$B98))=""),"",IF(OR(IF(INDEX(GLAPS컨테이너배차관리!$CL:$CL,$B98)="","",INDEX(GLAPS컨테이너배차관리!$CL:$CL,$B98))="B000016649",ISNUMBER(SEARCH("B015",IF(INDEX(GLAPS컨테이너배차관리!$CM:$CM,$B98)="","",INDEX(GLAPS컨테이너배차관리!$CM:$CM,$B98)))),ISNUMBER(SEARCH("세방",IF(INDEX(GLAPS컨테이너배차관리!$CM:$CM,$B98)="","",INDEX(GLAPS컨테이너배차관리!$CM:$CM,$B98)))),ISNUMBER(SEARCH("SB",IF(INDEX(GLAPS컨테이너배차관리!$CM:$CM,$B98)="","",INDEX(GLAPS컨테이너배차관리!$CM:$CM,$B98))))),"세방","")))</f>
        <v/>
      </c>
      <c r="AB98" t="str">
        <f>IF($B98="","",IF(IF(INDEX(GLAPS컨테이너배차관리!$CM:$CM,$B98)="","",INDEX(GLAPS컨테이너배차관리!$CM:$CM,$B98))="","",IF(ISNUMBER(SEARCH("이지스두동",IF(INDEX(GLAPS컨테이너배차관리!$CM:$CM,$B98)="","",INDEX(GLAPS컨테이너배차관리!$CM:$CM,$B98)))),"이지스두동",IF(ISNUMBER(SEARCH("이지스녹산",IF(INDEX(GLAPS컨테이너배차관리!$CM:$CM,$B98)="","",INDEX(GLAPS컨테이너배차관리!$CM:$CM,$B98)))),"이지스녹산",IF(ISNUMBER(SEARCH("천우",IF(INDEX(GLAPS컨테이너배차관리!$CM:$CM,$B98)="","",INDEX(GLAPS컨테이너배차관리!$CM:$CM,$B98)))),"천우",IF(OR(ISNUMBER(SEARCH("청암",IF(INDEX(GLAPS컨테이너배차관리!$CM:$CM,$B98)="","",INDEX(GLAPS컨테이너배차관리!$CM:$CM,$B98)))),ISNUMBER(SEARCH("SB청암",IF(INDEX(GLAPS컨테이너배차관리!$CM:$CM,$B98)="","",INDEX(GLAPS컨테이너배차관리!$CM:$CM,$B98))))),"청암신항",IF(INDEX(GLAPS컨테이너배차관리!$CM:$CM,$B98)="","",INDEX(GLAPS컨테이너배차관리!$CM:$CM,$B98))))))))</f>
        <v/>
      </c>
    </row>
    <row r="99" spans="1:28">
      <c r="A99">
        <v>98</v>
      </c>
      <c r="B99" t="str">
        <f>IFERROR(_xlfn.AGGREGATE(15,6,ROW(GLAPS컨테이너배차관리!$X$2:$X$20000)/(GLAPS컨테이너배차관리!$X$2:$X$20000&lt;&gt;""),A99),"")</f>
        <v/>
      </c>
      <c r="C99" t="str">
        <f>IF($B99="","",INT(IF(INDEX(GLAPS컨테이너배차관리!$K:$K,$B99)="","",INDEX(GLAPS컨테이너배차관리!$K:$K,$B99))))</f>
        <v/>
      </c>
      <c r="D99" t="str">
        <f>IF($B99="","",IF(ISNUMBER(SEARCH("이엘에스",IF(INDEX(GLAPS컨테이너배차관리!$AZ:$AZ,$B99)="","",INDEX(GLAPS컨테이너배차관리!$AZ:$AZ,$B99)))),"ELS솔루션",IF(INDEX(GLAPS컨테이너배차관리!$AZ:$AZ,$B99)="","",INDEX(GLAPS컨테이너배차관리!$AZ:$AZ,$B99))))</f>
        <v/>
      </c>
      <c r="E99" t="str">
        <f>IF($B99="","",IF(INDEX(GLAPS컨테이너배차관리!$L:$L,$B99)="","",INDEX(GLAPS컨테이너배차관리!$L:$L,$B99)))</f>
        <v/>
      </c>
      <c r="F99" t="str">
        <f>IF($B99="","",IF(HOUR(IF(INDEX(GLAPS컨테이너배차관리!$L:$L,$B99)="","",INDEX(GLAPS컨테이너배차관리!$L:$L,$B99)))&lt;12,"오전",IF(HOUR(IF(INDEX(GLAPS컨테이너배차관리!$L:$L,$B99)="","",INDEX(GLAPS컨테이너배차관리!$L:$L,$B99)))&lt;18,"오후","잔업")))</f>
        <v/>
      </c>
      <c r="G99" t="str">
        <f>IF($B99="","",IFERROR(INDEX(GLAPS정리!$G$3:$G$264,MATCH(IF(INDEX(GLAPS컨테이너배차관리!$BY:$BY,$B99)="","",INDEX(GLAPS컨테이너배차관리!$BY:$BY,$B99)),GLAPS정리!$H$3:$H$264,0)),TRIM(SUBSTITUTE(SUBSTITUTE(SUBSTITUTE(SUBSTITUTE(SUBSTITUTE(IF(INDEX(GLAPS컨테이너배차관리!$T:$T,$B99)="","",INDEX(GLAPS컨테이너배차관리!$T:$T,$B99)),"[GA]",""),"[GB]",""),"[GC]",""),"[KC]",""),"[GS]",""))))</f>
        <v/>
      </c>
      <c r="H99" t="str">
        <f>IF($B99="","",IFERROR(VLOOKUP(IF(INDEX(GLAPS컨테이너배차관리!$BY:$BY,$B99)="","",INDEX(GLAPS컨테이너배차관리!$BY:$BY,$B99)),GLAPS정리!$BT$3:$BV$200,3,0),""))</f>
        <v/>
      </c>
      <c r="I99" t="str">
        <f>IF($B99="","",LEFT(IF(INDEX(GLAPS컨테이너배차관리!$U:$U,$B99)="","",INDEX(GLAPS컨테이너배차관리!$U:$U,$B99)),FIND("/",IF(INDEX(GLAPS컨테이너배차관리!$U:$U,$B99)="","",INDEX(GLAPS컨테이너배차관리!$U:$U,$B99))&amp;"/")-1))</f>
        <v/>
      </c>
      <c r="J99" t="str">
        <f>IF($B99="","",IF(IF(INDEX(GLAPS컨테이너배차관리!$O:$O,$B99)="","",INDEX(GLAPS컨테이너배차관리!$O:$O,$B99))="EMC","EMA",IFERROR(INDEX(GLAPS정리!$A$2:$A$50,MATCH(IF(INDEX(GLAPS컨테이너배차관리!$O:$O,$B99)="","",INDEX(GLAPS컨테이너배차관리!$O:$O,$B99)),GLAPS정리!$D$2:$D$50,0)),IF(INDEX(GLAPS컨테이너배차관리!$O:$O,$B99)="","",INDEX(GLAPS컨테이너배차관리!$O:$O,$B99)))))</f>
        <v/>
      </c>
      <c r="K99" t="str">
        <f>IF($B99="","",IF(LEFT(IF(INDEX(GLAPS컨테이너배차관리!$Y:$Y,$B99)="","",INDEX(GLAPS컨테이너배차관리!$Y:$Y,$B99)),2)="22","20 Feet",IF(LEFT(IF(INDEX(GLAPS컨테이너배차관리!$Y:$Y,$B99)="","",INDEX(GLAPS컨테이너배차관리!$Y:$Y,$B99)),2)="42","40 Feet","40 Feet H")))</f>
        <v/>
      </c>
      <c r="L99" t="str">
        <f>IF($B99="","",IFERROR(INDEX(GLAPS정리!$BB$2:$BB$80,MATCH(IF(INDEX(GLAPS컨테이너배차관리!$BQ:$BQ,$B99)="","",INDEX(GLAPS컨테이너배차관리!$BQ:$BQ,$B99)),GLAPS정리!$BC$2:$BC$80,0)),IF(INDEX(GLAPS컨테이너배차관리!$BQ:$BQ,$B99)="","",INDEX(GLAPS컨테이너배차관리!$BQ:$BQ,$B99))))</f>
        <v/>
      </c>
      <c r="M99" t="str">
        <f>IF($B99="","",IFERROR(INDEX(GLAPS정리!$V$3:$V$180,MATCH(IF(INDEX(GLAPS컨테이너배차관리!$S:$S,$B99)="","",INDEX(GLAPS컨테이너배차관리!$S:$S,$B99)),GLAPS정리!$W$3:$W$180,0)),IF(INDEX(GLAPS컨테이너배차관리!$S:$S,$B99)="","",INDEX(GLAPS컨테이너배차관리!$S:$S,$B99))))</f>
        <v/>
      </c>
      <c r="N99" t="str">
        <f>IF($B99="","",IF(IF(INDEX(GLAPS컨테이너배차관리!$DF:$DF,$B99)="","",INDEX(GLAPS컨테이너배차관리!$DF:$DF,$B99))&lt;&gt;"",IF(INDEX(GLAPS컨테이너배차관리!$DF:$DF,$B99)="","",INDEX(GLAPS컨테이너배차관리!$DF:$DF,$B99)),IF(IF(INDEX(GLAPS컨테이너배차관리!$DG:$DG,$B99)="","",INDEX(GLAPS컨테이너배차관리!$DG:$DG,$B99))&lt;&gt;"",IF(INDEX(GLAPS컨테이너배차관리!$DG:$DG,$B99)="","",INDEX(GLAPS컨테이너배차관리!$DG:$DG,$B99)),"")))</f>
        <v/>
      </c>
      <c r="O99" t="str">
        <f>IF($B99="","",IF(INDEX(GLAPS컨테이너배차관리!$AB:$AB,$B99)="","",INDEX(GLAPS컨테이너배차관리!$AB:$AB,$B99)))</f>
        <v/>
      </c>
      <c r="P99" t="str">
        <f>IF($B99="","",IF(IF(INDEX(GLAPS컨테이너배차관리!$CP:$CP,$B99)="","",INDEX(GLAPS컨테이너배차관리!$CP:$CP,$B99))="","",IFERROR(INDEX(GLAPS정리!$BH$2:$BH$101,MATCH(IF(INDEX(GLAPS컨테이너배차관리!$CP:$CP,$B99)="","",INDEX(GLAPS컨테이너배차관리!$CP:$CP,$B99)),GLAPS정리!$BI$2:$BI$101,0)),IF(INDEX(GLAPS컨테이너배차관리!$CP:$CP,$B99)="","",INDEX(GLAPS컨테이너배차관리!$CP:$CP,$B99)))))</f>
        <v/>
      </c>
      <c r="Q99" t="str">
        <f>IF($B99="","",IF(AND(IF(INDEX(GLAPS컨테이너배차관리!$AK:$AK,$B99)="","",INDEX(GLAPS컨테이너배차관리!$AK:$AK,$B99))="Y",IF(INDEX(GLAPS컨테이너배차관리!$AI:$AI,$B99)="","",INDEX(GLAPS컨테이너배차관리!$AI:$AI,$B99))="Y"),"위험물리퍼",IF(IF(INDEX(GLAPS컨테이너배차관리!$AK:$AK,$B99)="","",INDEX(GLAPS컨테이너배차관리!$AK:$AK,$B99))="Y","위험물",IF(IF(INDEX(GLAPS컨테이너배차관리!$AI:$AI,$B99)="","",INDEX(GLAPS컨테이너배차관리!$AI:$AI,$B99))="Y","리퍼",""))))</f>
        <v/>
      </c>
      <c r="R99" t="str">
        <f>IF($B99="","",IF(LEFT(IF(INDEX(GLAPS컨테이너배차관리!$Y:$Y,$B99)="","",INDEX(GLAPS컨테이너배차관리!$Y:$Y,$B99)),2)="22",1,""))</f>
        <v/>
      </c>
      <c r="S99" t="str">
        <f>IF($B99="","",IF(LEFT(IF(INDEX(GLAPS컨테이너배차관리!$Y:$Y,$B99)="","",INDEX(GLAPS컨테이너배차관리!$Y:$Y,$B99)),2)="42",1,""))</f>
        <v/>
      </c>
      <c r="T99" t="str">
        <f>IF($B99="","",IF(LEFT(IF(INDEX(GLAPS컨테이너배차관리!$Y:$Y,$B99)="","",INDEX(GLAPS컨테이너배차관리!$Y:$Y,$B99)),2)="45",1,""))</f>
        <v/>
      </c>
      <c r="U99" t="str">
        <f>IF($B99="","",IF(INDEX(GLAPS컨테이너배차관리!$X:$X,$B99)="","",INDEX(GLAPS컨테이너배차관리!$X:$X,$B99)))</f>
        <v/>
      </c>
      <c r="V99" t="str">
        <f>IF($B99="","",IF(INDEX(GLAPS컨테이너배차관리!$Z:$Z,$B99)="","",INDEX(GLAPS컨테이너배차관리!$Z:$Z,$B99)))</f>
        <v/>
      </c>
      <c r="W99" t="str">
        <f>IF($B99="","",IF(IF(INDEX(GLAPS컨테이너배차관리!$DI:$DI,$B99)="","",INDEX(GLAPS컨테이너배차관리!$DI:$DI,$B99))&lt;&gt;"",IF(INDEX(GLAPS컨테이너배차관리!$DI:$DI,$B99)="","",INDEX(GLAPS컨테이너배차관리!$DI:$DI,$B99)),IF(IF(INDEX(GLAPS컨테이너배차관리!$DJ:$DJ,$B99)="","",INDEX(GLAPS컨테이너배차관리!$DJ:$DJ,$B99))&lt;&gt;"",IF(INDEX(GLAPS컨테이너배차관리!$DJ:$DJ,$B99)="","",INDEX(GLAPS컨테이너배차관리!$DJ:$DJ,$B99)),IF(IF(INDEX(GLAPS컨테이너배차관리!$DK:$DK,$B99)="","",INDEX(GLAPS컨테이너배차관리!$DK:$DK,$B99))&lt;&gt;"",IF(INDEX(GLAPS컨테이너배차관리!$DK:$DK,$B99)="","",INDEX(GLAPS컨테이너배차관리!$DK:$DK,$B99)),IF(IF(INDEX(GLAPS컨테이너배차관리!$DL:$DL,$B99)="","",INDEX(GLAPS컨테이너배차관리!$DL:$DL,$B99))&lt;&gt;"",IF(INDEX(GLAPS컨테이너배차관리!$DL:$DL,$B99)="","",INDEX(GLAPS컨테이너배차관리!$DL:$DL,$B99)),IF(IF(INDEX(GLAPS컨테이너배차관리!$DM:$DM,$B99)="","",INDEX(GLAPS컨테이너배차관리!$DM:$DM,$B99))&lt;&gt;"",IF(INDEX(GLAPS컨테이너배차관리!$DM:$DM,$B99)="","",INDEX(GLAPS컨테이너배차관리!$DM:$DM,$B99)),""))))))</f>
        <v/>
      </c>
      <c r="X99" t="str">
        <f>IF($B99="","",IF(INDEX(GLAPS컨테이너배차관리!$F:$F,$B99)="","",INDEX(GLAPS컨테이너배차관리!$F:$F,$B99)))</f>
        <v/>
      </c>
      <c r="Y99" t="str">
        <f>IF($B99="","",IF(IF(INDEX(GLAPS컨테이너배차관리!$M:$M,$B99)="","",INDEX(GLAPS컨테이너배차관리!$M:$M,$B99))&lt;&gt;"",IF(INDEX(GLAPS컨테이너배차관리!$M:$M,$B99)="","",INDEX(GLAPS컨테이너배차관리!$M:$M,$B99)),IF(IF(INDEX(GLAPS컨테이너배차관리!$N:$N,$B99)="","",INDEX(GLAPS컨테이너배차관리!$N:$N,$B99))&lt;&gt;"",IF(INDEX(GLAPS컨테이너배차관리!$N:$N,$B99)="","",INDEX(GLAPS컨테이너배차관리!$N:$N,$B99)),"")))</f>
        <v/>
      </c>
      <c r="Z99" t="str">
        <f>IF($B99="","",IF(IF(INDEX(GLAPS컨테이너배차관리!$CU:$CU,$B99)="","",INDEX(GLAPS컨테이너배차관리!$CU:$CU,$B99))="","",IFERROR(INT(IF(INDEX(GLAPS컨테이너배차관리!$CU:$CU,$B99)="","",INDEX(GLAPS컨테이너배차관리!$CU:$CU,$B99))),"")))</f>
        <v/>
      </c>
      <c r="AA99" t="str">
        <f>IF($B99="","",IF(AND(IF(INDEX(GLAPS컨테이너배차관리!$CL:$CL,$B99)="","",INDEX(GLAPS컨테이너배차관리!$CL:$CL,$B99))="",IF(INDEX(GLAPS컨테이너배차관리!$CM:$CM,$B99)="","",INDEX(GLAPS컨테이너배차관리!$CM:$CM,$B99))=""),"",IF(OR(IF(INDEX(GLAPS컨테이너배차관리!$CL:$CL,$B99)="","",INDEX(GLAPS컨테이너배차관리!$CL:$CL,$B99))="B000016649",ISNUMBER(SEARCH("B015",IF(INDEX(GLAPS컨테이너배차관리!$CM:$CM,$B99)="","",INDEX(GLAPS컨테이너배차관리!$CM:$CM,$B99)))),ISNUMBER(SEARCH("세방",IF(INDEX(GLAPS컨테이너배차관리!$CM:$CM,$B99)="","",INDEX(GLAPS컨테이너배차관리!$CM:$CM,$B99)))),ISNUMBER(SEARCH("SB",IF(INDEX(GLAPS컨테이너배차관리!$CM:$CM,$B99)="","",INDEX(GLAPS컨테이너배차관리!$CM:$CM,$B99))))),"세방","")))</f>
        <v/>
      </c>
      <c r="AB99" t="str">
        <f>IF($B99="","",IF(IF(INDEX(GLAPS컨테이너배차관리!$CM:$CM,$B99)="","",INDEX(GLAPS컨테이너배차관리!$CM:$CM,$B99))="","",IF(ISNUMBER(SEARCH("이지스두동",IF(INDEX(GLAPS컨테이너배차관리!$CM:$CM,$B99)="","",INDEX(GLAPS컨테이너배차관리!$CM:$CM,$B99)))),"이지스두동",IF(ISNUMBER(SEARCH("이지스녹산",IF(INDEX(GLAPS컨테이너배차관리!$CM:$CM,$B99)="","",INDEX(GLAPS컨테이너배차관리!$CM:$CM,$B99)))),"이지스녹산",IF(ISNUMBER(SEARCH("천우",IF(INDEX(GLAPS컨테이너배차관리!$CM:$CM,$B99)="","",INDEX(GLAPS컨테이너배차관리!$CM:$CM,$B99)))),"천우",IF(OR(ISNUMBER(SEARCH("청암",IF(INDEX(GLAPS컨테이너배차관리!$CM:$CM,$B99)="","",INDEX(GLAPS컨테이너배차관리!$CM:$CM,$B99)))),ISNUMBER(SEARCH("SB청암",IF(INDEX(GLAPS컨테이너배차관리!$CM:$CM,$B99)="","",INDEX(GLAPS컨테이너배차관리!$CM:$CM,$B99))))),"청암신항",IF(INDEX(GLAPS컨테이너배차관리!$CM:$CM,$B99)="","",INDEX(GLAPS컨테이너배차관리!$CM:$CM,$B99))))))))</f>
        <v/>
      </c>
    </row>
    <row r="100" spans="1:28">
      <c r="A100">
        <v>99</v>
      </c>
      <c r="B100" t="str">
        <f>IFERROR(_xlfn.AGGREGATE(15,6,ROW(GLAPS컨테이너배차관리!$X$2:$X$20000)/(GLAPS컨테이너배차관리!$X$2:$X$20000&lt;&gt;""),A100),"")</f>
        <v/>
      </c>
      <c r="C100" t="str">
        <f>IF($B100="","",INT(IF(INDEX(GLAPS컨테이너배차관리!$K:$K,$B100)="","",INDEX(GLAPS컨테이너배차관리!$K:$K,$B100))))</f>
        <v/>
      </c>
      <c r="D100" t="str">
        <f>IF($B100="","",IF(ISNUMBER(SEARCH("이엘에스",IF(INDEX(GLAPS컨테이너배차관리!$AZ:$AZ,$B100)="","",INDEX(GLAPS컨테이너배차관리!$AZ:$AZ,$B100)))),"ELS솔루션",IF(INDEX(GLAPS컨테이너배차관리!$AZ:$AZ,$B100)="","",INDEX(GLAPS컨테이너배차관리!$AZ:$AZ,$B100))))</f>
        <v/>
      </c>
      <c r="E100" t="str">
        <f>IF($B100="","",IF(INDEX(GLAPS컨테이너배차관리!$L:$L,$B100)="","",INDEX(GLAPS컨테이너배차관리!$L:$L,$B100)))</f>
        <v/>
      </c>
      <c r="F100" t="str">
        <f>IF($B100="","",IF(HOUR(IF(INDEX(GLAPS컨테이너배차관리!$L:$L,$B100)="","",INDEX(GLAPS컨테이너배차관리!$L:$L,$B100)))&lt;12,"오전",IF(HOUR(IF(INDEX(GLAPS컨테이너배차관리!$L:$L,$B100)="","",INDEX(GLAPS컨테이너배차관리!$L:$L,$B100)))&lt;18,"오후","잔업")))</f>
        <v/>
      </c>
      <c r="G100" t="str">
        <f>IF($B100="","",IFERROR(INDEX(GLAPS정리!$G$3:$G$264,MATCH(IF(INDEX(GLAPS컨테이너배차관리!$BY:$BY,$B100)="","",INDEX(GLAPS컨테이너배차관리!$BY:$BY,$B100)),GLAPS정리!$H$3:$H$264,0)),TRIM(SUBSTITUTE(SUBSTITUTE(SUBSTITUTE(SUBSTITUTE(SUBSTITUTE(IF(INDEX(GLAPS컨테이너배차관리!$T:$T,$B100)="","",INDEX(GLAPS컨테이너배차관리!$T:$T,$B100)),"[GA]",""),"[GB]",""),"[GC]",""),"[KC]",""),"[GS]",""))))</f>
        <v/>
      </c>
      <c r="H100" t="str">
        <f>IF($B100="","",IFERROR(VLOOKUP(IF(INDEX(GLAPS컨테이너배차관리!$BY:$BY,$B100)="","",INDEX(GLAPS컨테이너배차관리!$BY:$BY,$B100)),GLAPS정리!$BT$3:$BV$200,3,0),""))</f>
        <v/>
      </c>
      <c r="I100" t="str">
        <f>IF($B100="","",LEFT(IF(INDEX(GLAPS컨테이너배차관리!$U:$U,$B100)="","",INDEX(GLAPS컨테이너배차관리!$U:$U,$B100)),FIND("/",IF(INDEX(GLAPS컨테이너배차관리!$U:$U,$B100)="","",INDEX(GLAPS컨테이너배차관리!$U:$U,$B100))&amp;"/")-1))</f>
        <v/>
      </c>
      <c r="J100" t="str">
        <f>IF($B100="","",IF(IF(INDEX(GLAPS컨테이너배차관리!$O:$O,$B100)="","",INDEX(GLAPS컨테이너배차관리!$O:$O,$B100))="EMC","EMA",IFERROR(INDEX(GLAPS정리!$A$2:$A$50,MATCH(IF(INDEX(GLAPS컨테이너배차관리!$O:$O,$B100)="","",INDEX(GLAPS컨테이너배차관리!$O:$O,$B100)),GLAPS정리!$D$2:$D$50,0)),IF(INDEX(GLAPS컨테이너배차관리!$O:$O,$B100)="","",INDEX(GLAPS컨테이너배차관리!$O:$O,$B100)))))</f>
        <v/>
      </c>
      <c r="K100" t="str">
        <f>IF($B100="","",IF(LEFT(IF(INDEX(GLAPS컨테이너배차관리!$Y:$Y,$B100)="","",INDEX(GLAPS컨테이너배차관리!$Y:$Y,$B100)),2)="22","20 Feet",IF(LEFT(IF(INDEX(GLAPS컨테이너배차관리!$Y:$Y,$B100)="","",INDEX(GLAPS컨테이너배차관리!$Y:$Y,$B100)),2)="42","40 Feet","40 Feet H")))</f>
        <v/>
      </c>
      <c r="L100" t="str">
        <f>IF($B100="","",IFERROR(INDEX(GLAPS정리!$BB$2:$BB$80,MATCH(IF(INDEX(GLAPS컨테이너배차관리!$BQ:$BQ,$B100)="","",INDEX(GLAPS컨테이너배차관리!$BQ:$BQ,$B100)),GLAPS정리!$BC$2:$BC$80,0)),IF(INDEX(GLAPS컨테이너배차관리!$BQ:$BQ,$B100)="","",INDEX(GLAPS컨테이너배차관리!$BQ:$BQ,$B100))))</f>
        <v/>
      </c>
      <c r="M100" t="str">
        <f>IF($B100="","",IFERROR(INDEX(GLAPS정리!$V$3:$V$180,MATCH(IF(INDEX(GLAPS컨테이너배차관리!$S:$S,$B100)="","",INDEX(GLAPS컨테이너배차관리!$S:$S,$B100)),GLAPS정리!$W$3:$W$180,0)),IF(INDEX(GLAPS컨테이너배차관리!$S:$S,$B100)="","",INDEX(GLAPS컨테이너배차관리!$S:$S,$B100))))</f>
        <v/>
      </c>
      <c r="N100" t="str">
        <f>IF($B100="","",IF(IF(INDEX(GLAPS컨테이너배차관리!$DF:$DF,$B100)="","",INDEX(GLAPS컨테이너배차관리!$DF:$DF,$B100))&lt;&gt;"",IF(INDEX(GLAPS컨테이너배차관리!$DF:$DF,$B100)="","",INDEX(GLAPS컨테이너배차관리!$DF:$DF,$B100)),IF(IF(INDEX(GLAPS컨테이너배차관리!$DG:$DG,$B100)="","",INDEX(GLAPS컨테이너배차관리!$DG:$DG,$B100))&lt;&gt;"",IF(INDEX(GLAPS컨테이너배차관리!$DG:$DG,$B100)="","",INDEX(GLAPS컨테이너배차관리!$DG:$DG,$B100)),"")))</f>
        <v/>
      </c>
      <c r="O100" t="str">
        <f>IF($B100="","",IF(INDEX(GLAPS컨테이너배차관리!$AB:$AB,$B100)="","",INDEX(GLAPS컨테이너배차관리!$AB:$AB,$B100)))</f>
        <v/>
      </c>
      <c r="P100" t="str">
        <f>IF($B100="","",IF(IF(INDEX(GLAPS컨테이너배차관리!$CP:$CP,$B100)="","",INDEX(GLAPS컨테이너배차관리!$CP:$CP,$B100))="","",IFERROR(INDEX(GLAPS정리!$BH$2:$BH$101,MATCH(IF(INDEX(GLAPS컨테이너배차관리!$CP:$CP,$B100)="","",INDEX(GLAPS컨테이너배차관리!$CP:$CP,$B100)),GLAPS정리!$BI$2:$BI$101,0)),IF(INDEX(GLAPS컨테이너배차관리!$CP:$CP,$B100)="","",INDEX(GLAPS컨테이너배차관리!$CP:$CP,$B100)))))</f>
        <v/>
      </c>
      <c r="Q100" t="str">
        <f>IF($B100="","",IF(AND(IF(INDEX(GLAPS컨테이너배차관리!$AK:$AK,$B100)="","",INDEX(GLAPS컨테이너배차관리!$AK:$AK,$B100))="Y",IF(INDEX(GLAPS컨테이너배차관리!$AI:$AI,$B100)="","",INDEX(GLAPS컨테이너배차관리!$AI:$AI,$B100))="Y"),"위험물리퍼",IF(IF(INDEX(GLAPS컨테이너배차관리!$AK:$AK,$B100)="","",INDEX(GLAPS컨테이너배차관리!$AK:$AK,$B100))="Y","위험물",IF(IF(INDEX(GLAPS컨테이너배차관리!$AI:$AI,$B100)="","",INDEX(GLAPS컨테이너배차관리!$AI:$AI,$B100))="Y","리퍼",""))))</f>
        <v/>
      </c>
      <c r="R100" t="str">
        <f>IF($B100="","",IF(LEFT(IF(INDEX(GLAPS컨테이너배차관리!$Y:$Y,$B100)="","",INDEX(GLAPS컨테이너배차관리!$Y:$Y,$B100)),2)="22",1,""))</f>
        <v/>
      </c>
      <c r="S100" t="str">
        <f>IF($B100="","",IF(LEFT(IF(INDEX(GLAPS컨테이너배차관리!$Y:$Y,$B100)="","",INDEX(GLAPS컨테이너배차관리!$Y:$Y,$B100)),2)="42",1,""))</f>
        <v/>
      </c>
      <c r="T100" t="str">
        <f>IF($B100="","",IF(LEFT(IF(INDEX(GLAPS컨테이너배차관리!$Y:$Y,$B100)="","",INDEX(GLAPS컨테이너배차관리!$Y:$Y,$B100)),2)="45",1,""))</f>
        <v/>
      </c>
      <c r="U100" t="str">
        <f>IF($B100="","",IF(INDEX(GLAPS컨테이너배차관리!$X:$X,$B100)="","",INDEX(GLAPS컨테이너배차관리!$X:$X,$B100)))</f>
        <v/>
      </c>
      <c r="V100" t="str">
        <f>IF($B100="","",IF(INDEX(GLAPS컨테이너배차관리!$Z:$Z,$B100)="","",INDEX(GLAPS컨테이너배차관리!$Z:$Z,$B100)))</f>
        <v/>
      </c>
      <c r="W100" t="str">
        <f>IF($B100="","",IF(IF(INDEX(GLAPS컨테이너배차관리!$DI:$DI,$B100)="","",INDEX(GLAPS컨테이너배차관리!$DI:$DI,$B100))&lt;&gt;"",IF(INDEX(GLAPS컨테이너배차관리!$DI:$DI,$B100)="","",INDEX(GLAPS컨테이너배차관리!$DI:$DI,$B100)),IF(IF(INDEX(GLAPS컨테이너배차관리!$DJ:$DJ,$B100)="","",INDEX(GLAPS컨테이너배차관리!$DJ:$DJ,$B100))&lt;&gt;"",IF(INDEX(GLAPS컨테이너배차관리!$DJ:$DJ,$B100)="","",INDEX(GLAPS컨테이너배차관리!$DJ:$DJ,$B100)),IF(IF(INDEX(GLAPS컨테이너배차관리!$DK:$DK,$B100)="","",INDEX(GLAPS컨테이너배차관리!$DK:$DK,$B100))&lt;&gt;"",IF(INDEX(GLAPS컨테이너배차관리!$DK:$DK,$B100)="","",INDEX(GLAPS컨테이너배차관리!$DK:$DK,$B100)),IF(IF(INDEX(GLAPS컨테이너배차관리!$DL:$DL,$B100)="","",INDEX(GLAPS컨테이너배차관리!$DL:$DL,$B100))&lt;&gt;"",IF(INDEX(GLAPS컨테이너배차관리!$DL:$DL,$B100)="","",INDEX(GLAPS컨테이너배차관리!$DL:$DL,$B100)),IF(IF(INDEX(GLAPS컨테이너배차관리!$DM:$DM,$B100)="","",INDEX(GLAPS컨테이너배차관리!$DM:$DM,$B100))&lt;&gt;"",IF(INDEX(GLAPS컨테이너배차관리!$DM:$DM,$B100)="","",INDEX(GLAPS컨테이너배차관리!$DM:$DM,$B100)),""))))))</f>
        <v/>
      </c>
      <c r="X100" t="str">
        <f>IF($B100="","",IF(INDEX(GLAPS컨테이너배차관리!$F:$F,$B100)="","",INDEX(GLAPS컨테이너배차관리!$F:$F,$B100)))</f>
        <v/>
      </c>
      <c r="Y100" t="str">
        <f>IF($B100="","",IF(IF(INDEX(GLAPS컨테이너배차관리!$M:$M,$B100)="","",INDEX(GLAPS컨테이너배차관리!$M:$M,$B100))&lt;&gt;"",IF(INDEX(GLAPS컨테이너배차관리!$M:$M,$B100)="","",INDEX(GLAPS컨테이너배차관리!$M:$M,$B100)),IF(IF(INDEX(GLAPS컨테이너배차관리!$N:$N,$B100)="","",INDEX(GLAPS컨테이너배차관리!$N:$N,$B100))&lt;&gt;"",IF(INDEX(GLAPS컨테이너배차관리!$N:$N,$B100)="","",INDEX(GLAPS컨테이너배차관리!$N:$N,$B100)),"")))</f>
        <v/>
      </c>
      <c r="Z100" t="str">
        <f>IF($B100="","",IF(IF(INDEX(GLAPS컨테이너배차관리!$CU:$CU,$B100)="","",INDEX(GLAPS컨테이너배차관리!$CU:$CU,$B100))="","",IFERROR(INT(IF(INDEX(GLAPS컨테이너배차관리!$CU:$CU,$B100)="","",INDEX(GLAPS컨테이너배차관리!$CU:$CU,$B100))),"")))</f>
        <v/>
      </c>
      <c r="AA100" t="str">
        <f>IF($B100="","",IF(AND(IF(INDEX(GLAPS컨테이너배차관리!$CL:$CL,$B100)="","",INDEX(GLAPS컨테이너배차관리!$CL:$CL,$B100))="",IF(INDEX(GLAPS컨테이너배차관리!$CM:$CM,$B100)="","",INDEX(GLAPS컨테이너배차관리!$CM:$CM,$B100))=""),"",IF(OR(IF(INDEX(GLAPS컨테이너배차관리!$CL:$CL,$B100)="","",INDEX(GLAPS컨테이너배차관리!$CL:$CL,$B100))="B000016649",ISNUMBER(SEARCH("B015",IF(INDEX(GLAPS컨테이너배차관리!$CM:$CM,$B100)="","",INDEX(GLAPS컨테이너배차관리!$CM:$CM,$B100)))),ISNUMBER(SEARCH("세방",IF(INDEX(GLAPS컨테이너배차관리!$CM:$CM,$B100)="","",INDEX(GLAPS컨테이너배차관리!$CM:$CM,$B100)))),ISNUMBER(SEARCH("SB",IF(INDEX(GLAPS컨테이너배차관리!$CM:$CM,$B100)="","",INDEX(GLAPS컨테이너배차관리!$CM:$CM,$B100))))),"세방","")))</f>
        <v/>
      </c>
      <c r="AB100" t="str">
        <f>IF($B100="","",IF(IF(INDEX(GLAPS컨테이너배차관리!$CM:$CM,$B100)="","",INDEX(GLAPS컨테이너배차관리!$CM:$CM,$B100))="","",IF(ISNUMBER(SEARCH("이지스두동",IF(INDEX(GLAPS컨테이너배차관리!$CM:$CM,$B100)="","",INDEX(GLAPS컨테이너배차관리!$CM:$CM,$B100)))),"이지스두동",IF(ISNUMBER(SEARCH("이지스녹산",IF(INDEX(GLAPS컨테이너배차관리!$CM:$CM,$B100)="","",INDEX(GLAPS컨테이너배차관리!$CM:$CM,$B100)))),"이지스녹산",IF(ISNUMBER(SEARCH("천우",IF(INDEX(GLAPS컨테이너배차관리!$CM:$CM,$B100)="","",INDEX(GLAPS컨테이너배차관리!$CM:$CM,$B100)))),"천우",IF(OR(ISNUMBER(SEARCH("청암",IF(INDEX(GLAPS컨테이너배차관리!$CM:$CM,$B100)="","",INDEX(GLAPS컨테이너배차관리!$CM:$CM,$B100)))),ISNUMBER(SEARCH("SB청암",IF(INDEX(GLAPS컨테이너배차관리!$CM:$CM,$B100)="","",INDEX(GLAPS컨테이너배차관리!$CM:$CM,$B100))))),"청암신항",IF(INDEX(GLAPS컨테이너배차관리!$CM:$CM,$B100)="","",INDEX(GLAPS컨테이너배차관리!$CM:$CM,$B100))))))))</f>
        <v/>
      </c>
    </row>
    <row r="101" spans="1:28">
      <c r="A101">
        <v>100</v>
      </c>
      <c r="B101" t="str">
        <f>IFERROR(_xlfn.AGGREGATE(15,6,ROW(GLAPS컨테이너배차관리!$X$2:$X$20000)/(GLAPS컨테이너배차관리!$X$2:$X$20000&lt;&gt;""),A101),"")</f>
        <v/>
      </c>
      <c r="C101" t="str">
        <f>IF($B101="","",INT(IF(INDEX(GLAPS컨테이너배차관리!$K:$K,$B101)="","",INDEX(GLAPS컨테이너배차관리!$K:$K,$B101))))</f>
        <v/>
      </c>
      <c r="D101" t="str">
        <f>IF($B101="","",IF(ISNUMBER(SEARCH("이엘에스",IF(INDEX(GLAPS컨테이너배차관리!$AZ:$AZ,$B101)="","",INDEX(GLAPS컨테이너배차관리!$AZ:$AZ,$B101)))),"ELS솔루션",IF(INDEX(GLAPS컨테이너배차관리!$AZ:$AZ,$B101)="","",INDEX(GLAPS컨테이너배차관리!$AZ:$AZ,$B101))))</f>
        <v/>
      </c>
      <c r="E101" t="str">
        <f>IF($B101="","",IF(INDEX(GLAPS컨테이너배차관리!$L:$L,$B101)="","",INDEX(GLAPS컨테이너배차관리!$L:$L,$B101)))</f>
        <v/>
      </c>
      <c r="F101" t="str">
        <f>IF($B101="","",IF(HOUR(IF(INDEX(GLAPS컨테이너배차관리!$L:$L,$B101)="","",INDEX(GLAPS컨테이너배차관리!$L:$L,$B101)))&lt;12,"오전",IF(HOUR(IF(INDEX(GLAPS컨테이너배차관리!$L:$L,$B101)="","",INDEX(GLAPS컨테이너배차관리!$L:$L,$B101)))&lt;18,"오후","잔업")))</f>
        <v/>
      </c>
      <c r="G101" t="str">
        <f>IF($B101="","",IFERROR(INDEX(GLAPS정리!$G$3:$G$264,MATCH(IF(INDEX(GLAPS컨테이너배차관리!$BY:$BY,$B101)="","",INDEX(GLAPS컨테이너배차관리!$BY:$BY,$B101)),GLAPS정리!$H$3:$H$264,0)),TRIM(SUBSTITUTE(SUBSTITUTE(SUBSTITUTE(SUBSTITUTE(SUBSTITUTE(IF(INDEX(GLAPS컨테이너배차관리!$T:$T,$B101)="","",INDEX(GLAPS컨테이너배차관리!$T:$T,$B101)),"[GA]",""),"[GB]",""),"[GC]",""),"[KC]",""),"[GS]",""))))</f>
        <v/>
      </c>
      <c r="H101" t="str">
        <f>IF($B101="","",IFERROR(VLOOKUP(IF(INDEX(GLAPS컨테이너배차관리!$BY:$BY,$B101)="","",INDEX(GLAPS컨테이너배차관리!$BY:$BY,$B101)),GLAPS정리!$BT$3:$BV$200,3,0),""))</f>
        <v/>
      </c>
      <c r="I101" t="str">
        <f>IF($B101="","",LEFT(IF(INDEX(GLAPS컨테이너배차관리!$U:$U,$B101)="","",INDEX(GLAPS컨테이너배차관리!$U:$U,$B101)),FIND("/",IF(INDEX(GLAPS컨테이너배차관리!$U:$U,$B101)="","",INDEX(GLAPS컨테이너배차관리!$U:$U,$B101))&amp;"/")-1))</f>
        <v/>
      </c>
      <c r="J101" t="str">
        <f>IF($B101="","",IF(IF(INDEX(GLAPS컨테이너배차관리!$O:$O,$B101)="","",INDEX(GLAPS컨테이너배차관리!$O:$O,$B101))="EMC","EMA",IFERROR(INDEX(GLAPS정리!$A$2:$A$50,MATCH(IF(INDEX(GLAPS컨테이너배차관리!$O:$O,$B101)="","",INDEX(GLAPS컨테이너배차관리!$O:$O,$B101)),GLAPS정리!$D$2:$D$50,0)),IF(INDEX(GLAPS컨테이너배차관리!$O:$O,$B101)="","",INDEX(GLAPS컨테이너배차관리!$O:$O,$B101)))))</f>
        <v/>
      </c>
      <c r="K101" t="str">
        <f>IF($B101="","",IF(LEFT(IF(INDEX(GLAPS컨테이너배차관리!$Y:$Y,$B101)="","",INDEX(GLAPS컨테이너배차관리!$Y:$Y,$B101)),2)="22","20 Feet",IF(LEFT(IF(INDEX(GLAPS컨테이너배차관리!$Y:$Y,$B101)="","",INDEX(GLAPS컨테이너배차관리!$Y:$Y,$B101)),2)="42","40 Feet","40 Feet H")))</f>
        <v/>
      </c>
      <c r="L101" t="str">
        <f>IF($B101="","",IFERROR(INDEX(GLAPS정리!$BB$2:$BB$80,MATCH(IF(INDEX(GLAPS컨테이너배차관리!$BQ:$BQ,$B101)="","",INDEX(GLAPS컨테이너배차관리!$BQ:$BQ,$B101)),GLAPS정리!$BC$2:$BC$80,0)),IF(INDEX(GLAPS컨테이너배차관리!$BQ:$BQ,$B101)="","",INDEX(GLAPS컨테이너배차관리!$BQ:$BQ,$B101))))</f>
        <v/>
      </c>
      <c r="M101" t="str">
        <f>IF($B101="","",IFERROR(INDEX(GLAPS정리!$V$3:$V$180,MATCH(IF(INDEX(GLAPS컨테이너배차관리!$S:$S,$B101)="","",INDEX(GLAPS컨테이너배차관리!$S:$S,$B101)),GLAPS정리!$W$3:$W$180,0)),IF(INDEX(GLAPS컨테이너배차관리!$S:$S,$B101)="","",INDEX(GLAPS컨테이너배차관리!$S:$S,$B101))))</f>
        <v/>
      </c>
      <c r="N101" t="str">
        <f>IF($B101="","",IF(IF(INDEX(GLAPS컨테이너배차관리!$DF:$DF,$B101)="","",INDEX(GLAPS컨테이너배차관리!$DF:$DF,$B101))&lt;&gt;"",IF(INDEX(GLAPS컨테이너배차관리!$DF:$DF,$B101)="","",INDEX(GLAPS컨테이너배차관리!$DF:$DF,$B101)),IF(IF(INDEX(GLAPS컨테이너배차관리!$DG:$DG,$B101)="","",INDEX(GLAPS컨테이너배차관리!$DG:$DG,$B101))&lt;&gt;"",IF(INDEX(GLAPS컨테이너배차관리!$DG:$DG,$B101)="","",INDEX(GLAPS컨테이너배차관리!$DG:$DG,$B101)),"")))</f>
        <v/>
      </c>
      <c r="O101" t="str">
        <f>IF($B101="","",IF(INDEX(GLAPS컨테이너배차관리!$AB:$AB,$B101)="","",INDEX(GLAPS컨테이너배차관리!$AB:$AB,$B101)))</f>
        <v/>
      </c>
      <c r="P101" t="str">
        <f>IF($B101="","",IF(IF(INDEX(GLAPS컨테이너배차관리!$CP:$CP,$B101)="","",INDEX(GLAPS컨테이너배차관리!$CP:$CP,$B101))="","",IFERROR(INDEX(GLAPS정리!$BH$2:$BH$101,MATCH(IF(INDEX(GLAPS컨테이너배차관리!$CP:$CP,$B101)="","",INDEX(GLAPS컨테이너배차관리!$CP:$CP,$B101)),GLAPS정리!$BI$2:$BI$101,0)),IF(INDEX(GLAPS컨테이너배차관리!$CP:$CP,$B101)="","",INDEX(GLAPS컨테이너배차관리!$CP:$CP,$B101)))))</f>
        <v/>
      </c>
      <c r="Q101" t="str">
        <f>IF($B101="","",IF(AND(IF(INDEX(GLAPS컨테이너배차관리!$AK:$AK,$B101)="","",INDEX(GLAPS컨테이너배차관리!$AK:$AK,$B101))="Y",IF(INDEX(GLAPS컨테이너배차관리!$AI:$AI,$B101)="","",INDEX(GLAPS컨테이너배차관리!$AI:$AI,$B101))="Y"),"위험물리퍼",IF(IF(INDEX(GLAPS컨테이너배차관리!$AK:$AK,$B101)="","",INDEX(GLAPS컨테이너배차관리!$AK:$AK,$B101))="Y","위험물",IF(IF(INDEX(GLAPS컨테이너배차관리!$AI:$AI,$B101)="","",INDEX(GLAPS컨테이너배차관리!$AI:$AI,$B101))="Y","리퍼",""))))</f>
        <v/>
      </c>
      <c r="R101" t="str">
        <f>IF($B101="","",IF(LEFT(IF(INDEX(GLAPS컨테이너배차관리!$Y:$Y,$B101)="","",INDEX(GLAPS컨테이너배차관리!$Y:$Y,$B101)),2)="22",1,""))</f>
        <v/>
      </c>
      <c r="S101" t="str">
        <f>IF($B101="","",IF(LEFT(IF(INDEX(GLAPS컨테이너배차관리!$Y:$Y,$B101)="","",INDEX(GLAPS컨테이너배차관리!$Y:$Y,$B101)),2)="42",1,""))</f>
        <v/>
      </c>
      <c r="T101" t="str">
        <f>IF($B101="","",IF(LEFT(IF(INDEX(GLAPS컨테이너배차관리!$Y:$Y,$B101)="","",INDEX(GLAPS컨테이너배차관리!$Y:$Y,$B101)),2)="45",1,""))</f>
        <v/>
      </c>
      <c r="U101" t="str">
        <f>IF($B101="","",IF(INDEX(GLAPS컨테이너배차관리!$X:$X,$B101)="","",INDEX(GLAPS컨테이너배차관리!$X:$X,$B101)))</f>
        <v/>
      </c>
      <c r="V101" t="str">
        <f>IF($B101="","",IF(INDEX(GLAPS컨테이너배차관리!$Z:$Z,$B101)="","",INDEX(GLAPS컨테이너배차관리!$Z:$Z,$B101)))</f>
        <v/>
      </c>
      <c r="W101" t="str">
        <f>IF($B101="","",IF(IF(INDEX(GLAPS컨테이너배차관리!$DI:$DI,$B101)="","",INDEX(GLAPS컨테이너배차관리!$DI:$DI,$B101))&lt;&gt;"",IF(INDEX(GLAPS컨테이너배차관리!$DI:$DI,$B101)="","",INDEX(GLAPS컨테이너배차관리!$DI:$DI,$B101)),IF(IF(INDEX(GLAPS컨테이너배차관리!$DJ:$DJ,$B101)="","",INDEX(GLAPS컨테이너배차관리!$DJ:$DJ,$B101))&lt;&gt;"",IF(INDEX(GLAPS컨테이너배차관리!$DJ:$DJ,$B101)="","",INDEX(GLAPS컨테이너배차관리!$DJ:$DJ,$B101)),IF(IF(INDEX(GLAPS컨테이너배차관리!$DK:$DK,$B101)="","",INDEX(GLAPS컨테이너배차관리!$DK:$DK,$B101))&lt;&gt;"",IF(INDEX(GLAPS컨테이너배차관리!$DK:$DK,$B101)="","",INDEX(GLAPS컨테이너배차관리!$DK:$DK,$B101)),IF(IF(INDEX(GLAPS컨테이너배차관리!$DL:$DL,$B101)="","",INDEX(GLAPS컨테이너배차관리!$DL:$DL,$B101))&lt;&gt;"",IF(INDEX(GLAPS컨테이너배차관리!$DL:$DL,$B101)="","",INDEX(GLAPS컨테이너배차관리!$DL:$DL,$B101)),IF(IF(INDEX(GLAPS컨테이너배차관리!$DM:$DM,$B101)="","",INDEX(GLAPS컨테이너배차관리!$DM:$DM,$B101))&lt;&gt;"",IF(INDEX(GLAPS컨테이너배차관리!$DM:$DM,$B101)="","",INDEX(GLAPS컨테이너배차관리!$DM:$DM,$B101)),""))))))</f>
        <v/>
      </c>
      <c r="X101" t="str">
        <f>IF($B101="","",IF(INDEX(GLAPS컨테이너배차관리!$F:$F,$B101)="","",INDEX(GLAPS컨테이너배차관리!$F:$F,$B101)))</f>
        <v/>
      </c>
      <c r="Y101" t="str">
        <f>IF($B101="","",IF(IF(INDEX(GLAPS컨테이너배차관리!$M:$M,$B101)="","",INDEX(GLAPS컨테이너배차관리!$M:$M,$B101))&lt;&gt;"",IF(INDEX(GLAPS컨테이너배차관리!$M:$M,$B101)="","",INDEX(GLAPS컨테이너배차관리!$M:$M,$B101)),IF(IF(INDEX(GLAPS컨테이너배차관리!$N:$N,$B101)="","",INDEX(GLAPS컨테이너배차관리!$N:$N,$B101))&lt;&gt;"",IF(INDEX(GLAPS컨테이너배차관리!$N:$N,$B101)="","",INDEX(GLAPS컨테이너배차관리!$N:$N,$B101)),"")))</f>
        <v/>
      </c>
      <c r="Z101" t="str">
        <f>IF($B101="","",IF(IF(INDEX(GLAPS컨테이너배차관리!$CU:$CU,$B101)="","",INDEX(GLAPS컨테이너배차관리!$CU:$CU,$B101))="","",IFERROR(INT(IF(INDEX(GLAPS컨테이너배차관리!$CU:$CU,$B101)="","",INDEX(GLAPS컨테이너배차관리!$CU:$CU,$B101))),"")))</f>
        <v/>
      </c>
      <c r="AA101" t="str">
        <f>IF($B101="","",IF(AND(IF(INDEX(GLAPS컨테이너배차관리!$CL:$CL,$B101)="","",INDEX(GLAPS컨테이너배차관리!$CL:$CL,$B101))="",IF(INDEX(GLAPS컨테이너배차관리!$CM:$CM,$B101)="","",INDEX(GLAPS컨테이너배차관리!$CM:$CM,$B101))=""),"",IF(OR(IF(INDEX(GLAPS컨테이너배차관리!$CL:$CL,$B101)="","",INDEX(GLAPS컨테이너배차관리!$CL:$CL,$B101))="B000016649",ISNUMBER(SEARCH("B015",IF(INDEX(GLAPS컨테이너배차관리!$CM:$CM,$B101)="","",INDEX(GLAPS컨테이너배차관리!$CM:$CM,$B101)))),ISNUMBER(SEARCH("세방",IF(INDEX(GLAPS컨테이너배차관리!$CM:$CM,$B101)="","",INDEX(GLAPS컨테이너배차관리!$CM:$CM,$B101)))),ISNUMBER(SEARCH("SB",IF(INDEX(GLAPS컨테이너배차관리!$CM:$CM,$B101)="","",INDEX(GLAPS컨테이너배차관리!$CM:$CM,$B101))))),"세방","")))</f>
        <v/>
      </c>
      <c r="AB101" t="str">
        <f>IF($B101="","",IF(IF(INDEX(GLAPS컨테이너배차관리!$CM:$CM,$B101)="","",INDEX(GLAPS컨테이너배차관리!$CM:$CM,$B101))="","",IF(ISNUMBER(SEARCH("이지스두동",IF(INDEX(GLAPS컨테이너배차관리!$CM:$CM,$B101)="","",INDEX(GLAPS컨테이너배차관리!$CM:$CM,$B101)))),"이지스두동",IF(ISNUMBER(SEARCH("이지스녹산",IF(INDEX(GLAPS컨테이너배차관리!$CM:$CM,$B101)="","",INDEX(GLAPS컨테이너배차관리!$CM:$CM,$B101)))),"이지스녹산",IF(ISNUMBER(SEARCH("천우",IF(INDEX(GLAPS컨테이너배차관리!$CM:$CM,$B101)="","",INDEX(GLAPS컨테이너배차관리!$CM:$CM,$B101)))),"천우",IF(OR(ISNUMBER(SEARCH("청암",IF(INDEX(GLAPS컨테이너배차관리!$CM:$CM,$B101)="","",INDEX(GLAPS컨테이너배차관리!$CM:$CM,$B101)))),ISNUMBER(SEARCH("SB청암",IF(INDEX(GLAPS컨테이너배차관리!$CM:$CM,$B101)="","",INDEX(GLAPS컨테이너배차관리!$CM:$CM,$B101))))),"청암신항",IF(INDEX(GLAPS컨테이너배차관리!$CM:$CM,$B101)="","",INDEX(GLAPS컨테이너배차관리!$CM:$CM,$B101))))))))</f>
        <v/>
      </c>
    </row>
    <row r="102" spans="1:28">
      <c r="A102">
        <v>101</v>
      </c>
      <c r="B102" t="str">
        <f>IFERROR(_xlfn.AGGREGATE(15,6,ROW(GLAPS컨테이너배차관리!$X$2:$X$20000)/(GLAPS컨테이너배차관리!$X$2:$X$20000&lt;&gt;""),A102),"")</f>
        <v/>
      </c>
      <c r="C102" t="str">
        <f>IF($B102="","",INT(IF(INDEX(GLAPS컨테이너배차관리!$K:$K,$B102)="","",INDEX(GLAPS컨테이너배차관리!$K:$K,$B102))))</f>
        <v/>
      </c>
      <c r="D102" t="str">
        <f>IF($B102="","",IF(ISNUMBER(SEARCH("이엘에스",IF(INDEX(GLAPS컨테이너배차관리!$AZ:$AZ,$B102)="","",INDEX(GLAPS컨테이너배차관리!$AZ:$AZ,$B102)))),"ELS솔루션",IF(INDEX(GLAPS컨테이너배차관리!$AZ:$AZ,$B102)="","",INDEX(GLAPS컨테이너배차관리!$AZ:$AZ,$B102))))</f>
        <v/>
      </c>
      <c r="E102" t="str">
        <f>IF($B102="","",IF(INDEX(GLAPS컨테이너배차관리!$L:$L,$B102)="","",INDEX(GLAPS컨테이너배차관리!$L:$L,$B102)))</f>
        <v/>
      </c>
      <c r="F102" t="str">
        <f>IF($B102="","",IF(HOUR(IF(INDEX(GLAPS컨테이너배차관리!$L:$L,$B102)="","",INDEX(GLAPS컨테이너배차관리!$L:$L,$B102)))&lt;12,"오전",IF(HOUR(IF(INDEX(GLAPS컨테이너배차관리!$L:$L,$B102)="","",INDEX(GLAPS컨테이너배차관리!$L:$L,$B102)))&lt;18,"오후","잔업")))</f>
        <v/>
      </c>
      <c r="G102" t="str">
        <f>IF($B102="","",IFERROR(INDEX(GLAPS정리!$G$3:$G$264,MATCH(IF(INDEX(GLAPS컨테이너배차관리!$BY:$BY,$B102)="","",INDEX(GLAPS컨테이너배차관리!$BY:$BY,$B102)),GLAPS정리!$H$3:$H$264,0)),TRIM(SUBSTITUTE(SUBSTITUTE(SUBSTITUTE(SUBSTITUTE(SUBSTITUTE(IF(INDEX(GLAPS컨테이너배차관리!$T:$T,$B102)="","",INDEX(GLAPS컨테이너배차관리!$T:$T,$B102)),"[GA]",""),"[GB]",""),"[GC]",""),"[KC]",""),"[GS]",""))))</f>
        <v/>
      </c>
      <c r="H102" t="str">
        <f>IF($B102="","",IFERROR(VLOOKUP(IF(INDEX(GLAPS컨테이너배차관리!$BY:$BY,$B102)="","",INDEX(GLAPS컨테이너배차관리!$BY:$BY,$B102)),GLAPS정리!$BT$3:$BV$200,3,0),""))</f>
        <v/>
      </c>
      <c r="I102" t="str">
        <f>IF($B102="","",LEFT(IF(INDEX(GLAPS컨테이너배차관리!$U:$U,$B102)="","",INDEX(GLAPS컨테이너배차관리!$U:$U,$B102)),FIND("/",IF(INDEX(GLAPS컨테이너배차관리!$U:$U,$B102)="","",INDEX(GLAPS컨테이너배차관리!$U:$U,$B102))&amp;"/")-1))</f>
        <v/>
      </c>
      <c r="J102" t="str">
        <f>IF($B102="","",IF(IF(INDEX(GLAPS컨테이너배차관리!$O:$O,$B102)="","",INDEX(GLAPS컨테이너배차관리!$O:$O,$B102))="EMC","EMA",IFERROR(INDEX(GLAPS정리!$A$2:$A$50,MATCH(IF(INDEX(GLAPS컨테이너배차관리!$O:$O,$B102)="","",INDEX(GLAPS컨테이너배차관리!$O:$O,$B102)),GLAPS정리!$D$2:$D$50,0)),IF(INDEX(GLAPS컨테이너배차관리!$O:$O,$B102)="","",INDEX(GLAPS컨테이너배차관리!$O:$O,$B102)))))</f>
        <v/>
      </c>
      <c r="K102" t="str">
        <f>IF($B102="","",IF(LEFT(IF(INDEX(GLAPS컨테이너배차관리!$Y:$Y,$B102)="","",INDEX(GLAPS컨테이너배차관리!$Y:$Y,$B102)),2)="22","20 Feet",IF(LEFT(IF(INDEX(GLAPS컨테이너배차관리!$Y:$Y,$B102)="","",INDEX(GLAPS컨테이너배차관리!$Y:$Y,$B102)),2)="42","40 Feet","40 Feet H")))</f>
        <v/>
      </c>
      <c r="L102" t="str">
        <f>IF($B102="","",IFERROR(INDEX(GLAPS정리!$BB$2:$BB$80,MATCH(IF(INDEX(GLAPS컨테이너배차관리!$BQ:$BQ,$B102)="","",INDEX(GLAPS컨테이너배차관리!$BQ:$BQ,$B102)),GLAPS정리!$BC$2:$BC$80,0)),IF(INDEX(GLAPS컨테이너배차관리!$BQ:$BQ,$B102)="","",INDEX(GLAPS컨테이너배차관리!$BQ:$BQ,$B102))))</f>
        <v/>
      </c>
      <c r="M102" t="str">
        <f>IF($B102="","",IFERROR(INDEX(GLAPS정리!$V$3:$V$180,MATCH(IF(INDEX(GLAPS컨테이너배차관리!$S:$S,$B102)="","",INDEX(GLAPS컨테이너배차관리!$S:$S,$B102)),GLAPS정리!$W$3:$W$180,0)),IF(INDEX(GLAPS컨테이너배차관리!$S:$S,$B102)="","",INDEX(GLAPS컨테이너배차관리!$S:$S,$B102))))</f>
        <v/>
      </c>
      <c r="N102" t="str">
        <f>IF($B102="","",IF(IF(INDEX(GLAPS컨테이너배차관리!$DF:$DF,$B102)="","",INDEX(GLAPS컨테이너배차관리!$DF:$DF,$B102))&lt;&gt;"",IF(INDEX(GLAPS컨테이너배차관리!$DF:$DF,$B102)="","",INDEX(GLAPS컨테이너배차관리!$DF:$DF,$B102)),IF(IF(INDEX(GLAPS컨테이너배차관리!$DG:$DG,$B102)="","",INDEX(GLAPS컨테이너배차관리!$DG:$DG,$B102))&lt;&gt;"",IF(INDEX(GLAPS컨테이너배차관리!$DG:$DG,$B102)="","",INDEX(GLAPS컨테이너배차관리!$DG:$DG,$B102)),"")))</f>
        <v/>
      </c>
      <c r="O102" t="str">
        <f>IF($B102="","",IF(INDEX(GLAPS컨테이너배차관리!$AB:$AB,$B102)="","",INDEX(GLAPS컨테이너배차관리!$AB:$AB,$B102)))</f>
        <v/>
      </c>
      <c r="P102" t="str">
        <f>IF($B102="","",IF(IF(INDEX(GLAPS컨테이너배차관리!$CP:$CP,$B102)="","",INDEX(GLAPS컨테이너배차관리!$CP:$CP,$B102))="","",IFERROR(INDEX(GLAPS정리!$BH$2:$BH$101,MATCH(IF(INDEX(GLAPS컨테이너배차관리!$CP:$CP,$B102)="","",INDEX(GLAPS컨테이너배차관리!$CP:$CP,$B102)),GLAPS정리!$BI$2:$BI$101,0)),IF(INDEX(GLAPS컨테이너배차관리!$CP:$CP,$B102)="","",INDEX(GLAPS컨테이너배차관리!$CP:$CP,$B102)))))</f>
        <v/>
      </c>
      <c r="Q102" t="str">
        <f>IF($B102="","",IF(AND(IF(INDEX(GLAPS컨테이너배차관리!$AK:$AK,$B102)="","",INDEX(GLAPS컨테이너배차관리!$AK:$AK,$B102))="Y",IF(INDEX(GLAPS컨테이너배차관리!$AI:$AI,$B102)="","",INDEX(GLAPS컨테이너배차관리!$AI:$AI,$B102))="Y"),"위험물리퍼",IF(IF(INDEX(GLAPS컨테이너배차관리!$AK:$AK,$B102)="","",INDEX(GLAPS컨테이너배차관리!$AK:$AK,$B102))="Y","위험물",IF(IF(INDEX(GLAPS컨테이너배차관리!$AI:$AI,$B102)="","",INDEX(GLAPS컨테이너배차관리!$AI:$AI,$B102))="Y","리퍼",""))))</f>
        <v/>
      </c>
      <c r="R102" t="str">
        <f>IF($B102="","",IF(LEFT(IF(INDEX(GLAPS컨테이너배차관리!$Y:$Y,$B102)="","",INDEX(GLAPS컨테이너배차관리!$Y:$Y,$B102)),2)="22",1,""))</f>
        <v/>
      </c>
      <c r="S102" t="str">
        <f>IF($B102="","",IF(LEFT(IF(INDEX(GLAPS컨테이너배차관리!$Y:$Y,$B102)="","",INDEX(GLAPS컨테이너배차관리!$Y:$Y,$B102)),2)="42",1,""))</f>
        <v/>
      </c>
      <c r="T102" t="str">
        <f>IF($B102="","",IF(LEFT(IF(INDEX(GLAPS컨테이너배차관리!$Y:$Y,$B102)="","",INDEX(GLAPS컨테이너배차관리!$Y:$Y,$B102)),2)="45",1,""))</f>
        <v/>
      </c>
      <c r="U102" t="str">
        <f>IF($B102="","",IF(INDEX(GLAPS컨테이너배차관리!$X:$X,$B102)="","",INDEX(GLAPS컨테이너배차관리!$X:$X,$B102)))</f>
        <v/>
      </c>
      <c r="V102" t="str">
        <f>IF($B102="","",IF(INDEX(GLAPS컨테이너배차관리!$Z:$Z,$B102)="","",INDEX(GLAPS컨테이너배차관리!$Z:$Z,$B102)))</f>
        <v/>
      </c>
      <c r="W102" t="str">
        <f>IF($B102="","",IF(IF(INDEX(GLAPS컨테이너배차관리!$DI:$DI,$B102)="","",INDEX(GLAPS컨테이너배차관리!$DI:$DI,$B102))&lt;&gt;"",IF(INDEX(GLAPS컨테이너배차관리!$DI:$DI,$B102)="","",INDEX(GLAPS컨테이너배차관리!$DI:$DI,$B102)),IF(IF(INDEX(GLAPS컨테이너배차관리!$DJ:$DJ,$B102)="","",INDEX(GLAPS컨테이너배차관리!$DJ:$DJ,$B102))&lt;&gt;"",IF(INDEX(GLAPS컨테이너배차관리!$DJ:$DJ,$B102)="","",INDEX(GLAPS컨테이너배차관리!$DJ:$DJ,$B102)),IF(IF(INDEX(GLAPS컨테이너배차관리!$DK:$DK,$B102)="","",INDEX(GLAPS컨테이너배차관리!$DK:$DK,$B102))&lt;&gt;"",IF(INDEX(GLAPS컨테이너배차관리!$DK:$DK,$B102)="","",INDEX(GLAPS컨테이너배차관리!$DK:$DK,$B102)),IF(IF(INDEX(GLAPS컨테이너배차관리!$DL:$DL,$B102)="","",INDEX(GLAPS컨테이너배차관리!$DL:$DL,$B102))&lt;&gt;"",IF(INDEX(GLAPS컨테이너배차관리!$DL:$DL,$B102)="","",INDEX(GLAPS컨테이너배차관리!$DL:$DL,$B102)),IF(IF(INDEX(GLAPS컨테이너배차관리!$DM:$DM,$B102)="","",INDEX(GLAPS컨테이너배차관리!$DM:$DM,$B102))&lt;&gt;"",IF(INDEX(GLAPS컨테이너배차관리!$DM:$DM,$B102)="","",INDEX(GLAPS컨테이너배차관리!$DM:$DM,$B102)),""))))))</f>
        <v/>
      </c>
      <c r="X102" t="str">
        <f>IF($B102="","",IF(INDEX(GLAPS컨테이너배차관리!$F:$F,$B102)="","",INDEX(GLAPS컨테이너배차관리!$F:$F,$B102)))</f>
        <v/>
      </c>
      <c r="Y102" t="str">
        <f>IF($B102="","",IF(IF(INDEX(GLAPS컨테이너배차관리!$M:$M,$B102)="","",INDEX(GLAPS컨테이너배차관리!$M:$M,$B102))&lt;&gt;"",IF(INDEX(GLAPS컨테이너배차관리!$M:$M,$B102)="","",INDEX(GLAPS컨테이너배차관리!$M:$M,$B102)),IF(IF(INDEX(GLAPS컨테이너배차관리!$N:$N,$B102)="","",INDEX(GLAPS컨테이너배차관리!$N:$N,$B102))&lt;&gt;"",IF(INDEX(GLAPS컨테이너배차관리!$N:$N,$B102)="","",INDEX(GLAPS컨테이너배차관리!$N:$N,$B102)),"")))</f>
        <v/>
      </c>
      <c r="Z102" t="str">
        <f>IF($B102="","",IF(IF(INDEX(GLAPS컨테이너배차관리!$CU:$CU,$B102)="","",INDEX(GLAPS컨테이너배차관리!$CU:$CU,$B102))="","",IFERROR(INT(IF(INDEX(GLAPS컨테이너배차관리!$CU:$CU,$B102)="","",INDEX(GLAPS컨테이너배차관리!$CU:$CU,$B102))),"")))</f>
        <v/>
      </c>
      <c r="AA102" t="str">
        <f>IF($B102="","",IF(AND(IF(INDEX(GLAPS컨테이너배차관리!$CL:$CL,$B102)="","",INDEX(GLAPS컨테이너배차관리!$CL:$CL,$B102))="",IF(INDEX(GLAPS컨테이너배차관리!$CM:$CM,$B102)="","",INDEX(GLAPS컨테이너배차관리!$CM:$CM,$B102))=""),"",IF(OR(IF(INDEX(GLAPS컨테이너배차관리!$CL:$CL,$B102)="","",INDEX(GLAPS컨테이너배차관리!$CL:$CL,$B102))="B000016649",ISNUMBER(SEARCH("B015",IF(INDEX(GLAPS컨테이너배차관리!$CM:$CM,$B102)="","",INDEX(GLAPS컨테이너배차관리!$CM:$CM,$B102)))),ISNUMBER(SEARCH("세방",IF(INDEX(GLAPS컨테이너배차관리!$CM:$CM,$B102)="","",INDEX(GLAPS컨테이너배차관리!$CM:$CM,$B102)))),ISNUMBER(SEARCH("SB",IF(INDEX(GLAPS컨테이너배차관리!$CM:$CM,$B102)="","",INDEX(GLAPS컨테이너배차관리!$CM:$CM,$B102))))),"세방","")))</f>
        <v/>
      </c>
      <c r="AB102" t="str">
        <f>IF($B102="","",IF(IF(INDEX(GLAPS컨테이너배차관리!$CM:$CM,$B102)="","",INDEX(GLAPS컨테이너배차관리!$CM:$CM,$B102))="","",IF(ISNUMBER(SEARCH("이지스두동",IF(INDEX(GLAPS컨테이너배차관리!$CM:$CM,$B102)="","",INDEX(GLAPS컨테이너배차관리!$CM:$CM,$B102)))),"이지스두동",IF(ISNUMBER(SEARCH("이지스녹산",IF(INDEX(GLAPS컨테이너배차관리!$CM:$CM,$B102)="","",INDEX(GLAPS컨테이너배차관리!$CM:$CM,$B102)))),"이지스녹산",IF(ISNUMBER(SEARCH("천우",IF(INDEX(GLAPS컨테이너배차관리!$CM:$CM,$B102)="","",INDEX(GLAPS컨테이너배차관리!$CM:$CM,$B102)))),"천우",IF(OR(ISNUMBER(SEARCH("청암",IF(INDEX(GLAPS컨테이너배차관리!$CM:$CM,$B102)="","",INDEX(GLAPS컨테이너배차관리!$CM:$CM,$B102)))),ISNUMBER(SEARCH("SB청암",IF(INDEX(GLAPS컨테이너배차관리!$CM:$CM,$B102)="","",INDEX(GLAPS컨테이너배차관리!$CM:$CM,$B102))))),"청암신항",IF(INDEX(GLAPS컨테이너배차관리!$CM:$CM,$B102)="","",INDEX(GLAPS컨테이너배차관리!$CM:$CM,$B102))))))))</f>
        <v/>
      </c>
    </row>
    <row r="103" spans="1:28">
      <c r="A103">
        <v>102</v>
      </c>
      <c r="B103" t="str">
        <f>IFERROR(_xlfn.AGGREGATE(15,6,ROW(GLAPS컨테이너배차관리!$X$2:$X$20000)/(GLAPS컨테이너배차관리!$X$2:$X$20000&lt;&gt;""),A103),"")</f>
        <v/>
      </c>
      <c r="C103" t="str">
        <f>IF($B103="","",INT(IF(INDEX(GLAPS컨테이너배차관리!$K:$K,$B103)="","",INDEX(GLAPS컨테이너배차관리!$K:$K,$B103))))</f>
        <v/>
      </c>
      <c r="D103" t="str">
        <f>IF($B103="","",IF(ISNUMBER(SEARCH("이엘에스",IF(INDEX(GLAPS컨테이너배차관리!$AZ:$AZ,$B103)="","",INDEX(GLAPS컨테이너배차관리!$AZ:$AZ,$B103)))),"ELS솔루션",IF(INDEX(GLAPS컨테이너배차관리!$AZ:$AZ,$B103)="","",INDEX(GLAPS컨테이너배차관리!$AZ:$AZ,$B103))))</f>
        <v/>
      </c>
      <c r="E103" t="str">
        <f>IF($B103="","",IF(INDEX(GLAPS컨테이너배차관리!$L:$L,$B103)="","",INDEX(GLAPS컨테이너배차관리!$L:$L,$B103)))</f>
        <v/>
      </c>
      <c r="F103" t="str">
        <f>IF($B103="","",IF(HOUR(IF(INDEX(GLAPS컨테이너배차관리!$L:$L,$B103)="","",INDEX(GLAPS컨테이너배차관리!$L:$L,$B103)))&lt;12,"오전",IF(HOUR(IF(INDEX(GLAPS컨테이너배차관리!$L:$L,$B103)="","",INDEX(GLAPS컨테이너배차관리!$L:$L,$B103)))&lt;18,"오후","잔업")))</f>
        <v/>
      </c>
      <c r="G103" t="str">
        <f>IF($B103="","",IFERROR(INDEX(GLAPS정리!$G$3:$G$264,MATCH(IF(INDEX(GLAPS컨테이너배차관리!$BY:$BY,$B103)="","",INDEX(GLAPS컨테이너배차관리!$BY:$BY,$B103)),GLAPS정리!$H$3:$H$264,0)),TRIM(SUBSTITUTE(SUBSTITUTE(SUBSTITUTE(SUBSTITUTE(SUBSTITUTE(IF(INDEX(GLAPS컨테이너배차관리!$T:$T,$B103)="","",INDEX(GLAPS컨테이너배차관리!$T:$T,$B103)),"[GA]",""),"[GB]",""),"[GC]",""),"[KC]",""),"[GS]",""))))</f>
        <v/>
      </c>
      <c r="H103" t="str">
        <f>IF($B103="","",IFERROR(VLOOKUP(IF(INDEX(GLAPS컨테이너배차관리!$BY:$BY,$B103)="","",INDEX(GLAPS컨테이너배차관리!$BY:$BY,$B103)),GLAPS정리!$BT$3:$BV$200,3,0),""))</f>
        <v/>
      </c>
      <c r="I103" t="str">
        <f>IF($B103="","",LEFT(IF(INDEX(GLAPS컨테이너배차관리!$U:$U,$B103)="","",INDEX(GLAPS컨테이너배차관리!$U:$U,$B103)),FIND("/",IF(INDEX(GLAPS컨테이너배차관리!$U:$U,$B103)="","",INDEX(GLAPS컨테이너배차관리!$U:$U,$B103))&amp;"/")-1))</f>
        <v/>
      </c>
      <c r="J103" t="str">
        <f>IF($B103="","",IF(IF(INDEX(GLAPS컨테이너배차관리!$O:$O,$B103)="","",INDEX(GLAPS컨테이너배차관리!$O:$O,$B103))="EMC","EMA",IFERROR(INDEX(GLAPS정리!$A$2:$A$50,MATCH(IF(INDEX(GLAPS컨테이너배차관리!$O:$O,$B103)="","",INDEX(GLAPS컨테이너배차관리!$O:$O,$B103)),GLAPS정리!$D$2:$D$50,0)),IF(INDEX(GLAPS컨테이너배차관리!$O:$O,$B103)="","",INDEX(GLAPS컨테이너배차관리!$O:$O,$B103)))))</f>
        <v/>
      </c>
      <c r="K103" t="str">
        <f>IF($B103="","",IF(LEFT(IF(INDEX(GLAPS컨테이너배차관리!$Y:$Y,$B103)="","",INDEX(GLAPS컨테이너배차관리!$Y:$Y,$B103)),2)="22","20 Feet",IF(LEFT(IF(INDEX(GLAPS컨테이너배차관리!$Y:$Y,$B103)="","",INDEX(GLAPS컨테이너배차관리!$Y:$Y,$B103)),2)="42","40 Feet","40 Feet H")))</f>
        <v/>
      </c>
      <c r="L103" t="str">
        <f>IF($B103="","",IFERROR(INDEX(GLAPS정리!$BB$2:$BB$80,MATCH(IF(INDEX(GLAPS컨테이너배차관리!$BQ:$BQ,$B103)="","",INDEX(GLAPS컨테이너배차관리!$BQ:$BQ,$B103)),GLAPS정리!$BC$2:$BC$80,0)),IF(INDEX(GLAPS컨테이너배차관리!$BQ:$BQ,$B103)="","",INDEX(GLAPS컨테이너배차관리!$BQ:$BQ,$B103))))</f>
        <v/>
      </c>
      <c r="M103" t="str">
        <f>IF($B103="","",IFERROR(INDEX(GLAPS정리!$V$3:$V$180,MATCH(IF(INDEX(GLAPS컨테이너배차관리!$S:$S,$B103)="","",INDEX(GLAPS컨테이너배차관리!$S:$S,$B103)),GLAPS정리!$W$3:$W$180,0)),IF(INDEX(GLAPS컨테이너배차관리!$S:$S,$B103)="","",INDEX(GLAPS컨테이너배차관리!$S:$S,$B103))))</f>
        <v/>
      </c>
      <c r="N103" t="str">
        <f>IF($B103="","",IF(IF(INDEX(GLAPS컨테이너배차관리!$DF:$DF,$B103)="","",INDEX(GLAPS컨테이너배차관리!$DF:$DF,$B103))&lt;&gt;"",IF(INDEX(GLAPS컨테이너배차관리!$DF:$DF,$B103)="","",INDEX(GLAPS컨테이너배차관리!$DF:$DF,$B103)),IF(IF(INDEX(GLAPS컨테이너배차관리!$DG:$DG,$B103)="","",INDEX(GLAPS컨테이너배차관리!$DG:$DG,$B103))&lt;&gt;"",IF(INDEX(GLAPS컨테이너배차관리!$DG:$DG,$B103)="","",INDEX(GLAPS컨테이너배차관리!$DG:$DG,$B103)),"")))</f>
        <v/>
      </c>
      <c r="O103" t="str">
        <f>IF($B103="","",IF(INDEX(GLAPS컨테이너배차관리!$AB:$AB,$B103)="","",INDEX(GLAPS컨테이너배차관리!$AB:$AB,$B103)))</f>
        <v/>
      </c>
      <c r="P103" t="str">
        <f>IF($B103="","",IF(IF(INDEX(GLAPS컨테이너배차관리!$CP:$CP,$B103)="","",INDEX(GLAPS컨테이너배차관리!$CP:$CP,$B103))="","",IFERROR(INDEX(GLAPS정리!$BH$2:$BH$101,MATCH(IF(INDEX(GLAPS컨테이너배차관리!$CP:$CP,$B103)="","",INDEX(GLAPS컨테이너배차관리!$CP:$CP,$B103)),GLAPS정리!$BI$2:$BI$101,0)),IF(INDEX(GLAPS컨테이너배차관리!$CP:$CP,$B103)="","",INDEX(GLAPS컨테이너배차관리!$CP:$CP,$B103)))))</f>
        <v/>
      </c>
      <c r="Q103" t="str">
        <f>IF($B103="","",IF(AND(IF(INDEX(GLAPS컨테이너배차관리!$AK:$AK,$B103)="","",INDEX(GLAPS컨테이너배차관리!$AK:$AK,$B103))="Y",IF(INDEX(GLAPS컨테이너배차관리!$AI:$AI,$B103)="","",INDEX(GLAPS컨테이너배차관리!$AI:$AI,$B103))="Y"),"위험물리퍼",IF(IF(INDEX(GLAPS컨테이너배차관리!$AK:$AK,$B103)="","",INDEX(GLAPS컨테이너배차관리!$AK:$AK,$B103))="Y","위험물",IF(IF(INDEX(GLAPS컨테이너배차관리!$AI:$AI,$B103)="","",INDEX(GLAPS컨테이너배차관리!$AI:$AI,$B103))="Y","리퍼",""))))</f>
        <v/>
      </c>
      <c r="R103" t="str">
        <f>IF($B103="","",IF(LEFT(IF(INDEX(GLAPS컨테이너배차관리!$Y:$Y,$B103)="","",INDEX(GLAPS컨테이너배차관리!$Y:$Y,$B103)),2)="22",1,""))</f>
        <v/>
      </c>
      <c r="S103" t="str">
        <f>IF($B103="","",IF(LEFT(IF(INDEX(GLAPS컨테이너배차관리!$Y:$Y,$B103)="","",INDEX(GLAPS컨테이너배차관리!$Y:$Y,$B103)),2)="42",1,""))</f>
        <v/>
      </c>
      <c r="T103" t="str">
        <f>IF($B103="","",IF(LEFT(IF(INDEX(GLAPS컨테이너배차관리!$Y:$Y,$B103)="","",INDEX(GLAPS컨테이너배차관리!$Y:$Y,$B103)),2)="45",1,""))</f>
        <v/>
      </c>
      <c r="U103" t="str">
        <f>IF($B103="","",IF(INDEX(GLAPS컨테이너배차관리!$X:$X,$B103)="","",INDEX(GLAPS컨테이너배차관리!$X:$X,$B103)))</f>
        <v/>
      </c>
      <c r="V103" t="str">
        <f>IF($B103="","",IF(INDEX(GLAPS컨테이너배차관리!$Z:$Z,$B103)="","",INDEX(GLAPS컨테이너배차관리!$Z:$Z,$B103)))</f>
        <v/>
      </c>
      <c r="W103" t="str">
        <f>IF($B103="","",IF(IF(INDEX(GLAPS컨테이너배차관리!$DI:$DI,$B103)="","",INDEX(GLAPS컨테이너배차관리!$DI:$DI,$B103))&lt;&gt;"",IF(INDEX(GLAPS컨테이너배차관리!$DI:$DI,$B103)="","",INDEX(GLAPS컨테이너배차관리!$DI:$DI,$B103)),IF(IF(INDEX(GLAPS컨테이너배차관리!$DJ:$DJ,$B103)="","",INDEX(GLAPS컨테이너배차관리!$DJ:$DJ,$B103))&lt;&gt;"",IF(INDEX(GLAPS컨테이너배차관리!$DJ:$DJ,$B103)="","",INDEX(GLAPS컨테이너배차관리!$DJ:$DJ,$B103)),IF(IF(INDEX(GLAPS컨테이너배차관리!$DK:$DK,$B103)="","",INDEX(GLAPS컨테이너배차관리!$DK:$DK,$B103))&lt;&gt;"",IF(INDEX(GLAPS컨테이너배차관리!$DK:$DK,$B103)="","",INDEX(GLAPS컨테이너배차관리!$DK:$DK,$B103)),IF(IF(INDEX(GLAPS컨테이너배차관리!$DL:$DL,$B103)="","",INDEX(GLAPS컨테이너배차관리!$DL:$DL,$B103))&lt;&gt;"",IF(INDEX(GLAPS컨테이너배차관리!$DL:$DL,$B103)="","",INDEX(GLAPS컨테이너배차관리!$DL:$DL,$B103)),IF(IF(INDEX(GLAPS컨테이너배차관리!$DM:$DM,$B103)="","",INDEX(GLAPS컨테이너배차관리!$DM:$DM,$B103))&lt;&gt;"",IF(INDEX(GLAPS컨테이너배차관리!$DM:$DM,$B103)="","",INDEX(GLAPS컨테이너배차관리!$DM:$DM,$B103)),""))))))</f>
        <v/>
      </c>
      <c r="X103" t="str">
        <f>IF($B103="","",IF(INDEX(GLAPS컨테이너배차관리!$F:$F,$B103)="","",INDEX(GLAPS컨테이너배차관리!$F:$F,$B103)))</f>
        <v/>
      </c>
      <c r="Y103" t="str">
        <f>IF($B103="","",IF(IF(INDEX(GLAPS컨테이너배차관리!$M:$M,$B103)="","",INDEX(GLAPS컨테이너배차관리!$M:$M,$B103))&lt;&gt;"",IF(INDEX(GLAPS컨테이너배차관리!$M:$M,$B103)="","",INDEX(GLAPS컨테이너배차관리!$M:$M,$B103)),IF(IF(INDEX(GLAPS컨테이너배차관리!$N:$N,$B103)="","",INDEX(GLAPS컨테이너배차관리!$N:$N,$B103))&lt;&gt;"",IF(INDEX(GLAPS컨테이너배차관리!$N:$N,$B103)="","",INDEX(GLAPS컨테이너배차관리!$N:$N,$B103)),"")))</f>
        <v/>
      </c>
      <c r="Z103" t="str">
        <f>IF($B103="","",IF(IF(INDEX(GLAPS컨테이너배차관리!$CU:$CU,$B103)="","",INDEX(GLAPS컨테이너배차관리!$CU:$CU,$B103))="","",IFERROR(INT(IF(INDEX(GLAPS컨테이너배차관리!$CU:$CU,$B103)="","",INDEX(GLAPS컨테이너배차관리!$CU:$CU,$B103))),"")))</f>
        <v/>
      </c>
      <c r="AA103" t="str">
        <f>IF($B103="","",IF(AND(IF(INDEX(GLAPS컨테이너배차관리!$CL:$CL,$B103)="","",INDEX(GLAPS컨테이너배차관리!$CL:$CL,$B103))="",IF(INDEX(GLAPS컨테이너배차관리!$CM:$CM,$B103)="","",INDEX(GLAPS컨테이너배차관리!$CM:$CM,$B103))=""),"",IF(OR(IF(INDEX(GLAPS컨테이너배차관리!$CL:$CL,$B103)="","",INDEX(GLAPS컨테이너배차관리!$CL:$CL,$B103))="B000016649",ISNUMBER(SEARCH("B015",IF(INDEX(GLAPS컨테이너배차관리!$CM:$CM,$B103)="","",INDEX(GLAPS컨테이너배차관리!$CM:$CM,$B103)))),ISNUMBER(SEARCH("세방",IF(INDEX(GLAPS컨테이너배차관리!$CM:$CM,$B103)="","",INDEX(GLAPS컨테이너배차관리!$CM:$CM,$B103)))),ISNUMBER(SEARCH("SB",IF(INDEX(GLAPS컨테이너배차관리!$CM:$CM,$B103)="","",INDEX(GLAPS컨테이너배차관리!$CM:$CM,$B103))))),"세방","")))</f>
        <v/>
      </c>
      <c r="AB103" t="str">
        <f>IF($B103="","",IF(IF(INDEX(GLAPS컨테이너배차관리!$CM:$CM,$B103)="","",INDEX(GLAPS컨테이너배차관리!$CM:$CM,$B103))="","",IF(ISNUMBER(SEARCH("이지스두동",IF(INDEX(GLAPS컨테이너배차관리!$CM:$CM,$B103)="","",INDEX(GLAPS컨테이너배차관리!$CM:$CM,$B103)))),"이지스두동",IF(ISNUMBER(SEARCH("이지스녹산",IF(INDEX(GLAPS컨테이너배차관리!$CM:$CM,$B103)="","",INDEX(GLAPS컨테이너배차관리!$CM:$CM,$B103)))),"이지스녹산",IF(ISNUMBER(SEARCH("천우",IF(INDEX(GLAPS컨테이너배차관리!$CM:$CM,$B103)="","",INDEX(GLAPS컨테이너배차관리!$CM:$CM,$B103)))),"천우",IF(OR(ISNUMBER(SEARCH("청암",IF(INDEX(GLAPS컨테이너배차관리!$CM:$CM,$B103)="","",INDEX(GLAPS컨테이너배차관리!$CM:$CM,$B103)))),ISNUMBER(SEARCH("SB청암",IF(INDEX(GLAPS컨테이너배차관리!$CM:$CM,$B103)="","",INDEX(GLAPS컨테이너배차관리!$CM:$CM,$B103))))),"청암신항",IF(INDEX(GLAPS컨테이너배차관리!$CM:$CM,$B103)="","",INDEX(GLAPS컨테이너배차관리!$CM:$CM,$B103))))))))</f>
        <v/>
      </c>
    </row>
    <row r="104" spans="1:28">
      <c r="A104">
        <v>103</v>
      </c>
      <c r="B104" t="str">
        <f>IFERROR(_xlfn.AGGREGATE(15,6,ROW(GLAPS컨테이너배차관리!$X$2:$X$20000)/(GLAPS컨테이너배차관리!$X$2:$X$20000&lt;&gt;""),A104),"")</f>
        <v/>
      </c>
      <c r="C104" t="str">
        <f>IF($B104="","",INT(IF(INDEX(GLAPS컨테이너배차관리!$K:$K,$B104)="","",INDEX(GLAPS컨테이너배차관리!$K:$K,$B104))))</f>
        <v/>
      </c>
      <c r="D104" t="str">
        <f>IF($B104="","",IF(ISNUMBER(SEARCH("이엘에스",IF(INDEX(GLAPS컨테이너배차관리!$AZ:$AZ,$B104)="","",INDEX(GLAPS컨테이너배차관리!$AZ:$AZ,$B104)))),"ELS솔루션",IF(INDEX(GLAPS컨테이너배차관리!$AZ:$AZ,$B104)="","",INDEX(GLAPS컨테이너배차관리!$AZ:$AZ,$B104))))</f>
        <v/>
      </c>
      <c r="E104" t="str">
        <f>IF($B104="","",IF(INDEX(GLAPS컨테이너배차관리!$L:$L,$B104)="","",INDEX(GLAPS컨테이너배차관리!$L:$L,$B104)))</f>
        <v/>
      </c>
      <c r="F104" t="str">
        <f>IF($B104="","",IF(HOUR(IF(INDEX(GLAPS컨테이너배차관리!$L:$L,$B104)="","",INDEX(GLAPS컨테이너배차관리!$L:$L,$B104)))&lt;12,"오전",IF(HOUR(IF(INDEX(GLAPS컨테이너배차관리!$L:$L,$B104)="","",INDEX(GLAPS컨테이너배차관리!$L:$L,$B104)))&lt;18,"오후","잔업")))</f>
        <v/>
      </c>
      <c r="G104" t="str">
        <f>IF($B104="","",IFERROR(INDEX(GLAPS정리!$G$3:$G$264,MATCH(IF(INDEX(GLAPS컨테이너배차관리!$BY:$BY,$B104)="","",INDEX(GLAPS컨테이너배차관리!$BY:$BY,$B104)),GLAPS정리!$H$3:$H$264,0)),TRIM(SUBSTITUTE(SUBSTITUTE(SUBSTITUTE(SUBSTITUTE(SUBSTITUTE(IF(INDEX(GLAPS컨테이너배차관리!$T:$T,$B104)="","",INDEX(GLAPS컨테이너배차관리!$T:$T,$B104)),"[GA]",""),"[GB]",""),"[GC]",""),"[KC]",""),"[GS]",""))))</f>
        <v/>
      </c>
      <c r="H104" t="str">
        <f>IF($B104="","",IFERROR(VLOOKUP(IF(INDEX(GLAPS컨테이너배차관리!$BY:$BY,$B104)="","",INDEX(GLAPS컨테이너배차관리!$BY:$BY,$B104)),GLAPS정리!$BT$3:$BV$200,3,0),""))</f>
        <v/>
      </c>
      <c r="I104" t="str">
        <f>IF($B104="","",LEFT(IF(INDEX(GLAPS컨테이너배차관리!$U:$U,$B104)="","",INDEX(GLAPS컨테이너배차관리!$U:$U,$B104)),FIND("/",IF(INDEX(GLAPS컨테이너배차관리!$U:$U,$B104)="","",INDEX(GLAPS컨테이너배차관리!$U:$U,$B104))&amp;"/")-1))</f>
        <v/>
      </c>
      <c r="J104" t="str">
        <f>IF($B104="","",IF(IF(INDEX(GLAPS컨테이너배차관리!$O:$O,$B104)="","",INDEX(GLAPS컨테이너배차관리!$O:$O,$B104))="EMC","EMA",IFERROR(INDEX(GLAPS정리!$A$2:$A$50,MATCH(IF(INDEX(GLAPS컨테이너배차관리!$O:$O,$B104)="","",INDEX(GLAPS컨테이너배차관리!$O:$O,$B104)),GLAPS정리!$D$2:$D$50,0)),IF(INDEX(GLAPS컨테이너배차관리!$O:$O,$B104)="","",INDEX(GLAPS컨테이너배차관리!$O:$O,$B104)))))</f>
        <v/>
      </c>
      <c r="K104" t="str">
        <f>IF($B104="","",IF(LEFT(IF(INDEX(GLAPS컨테이너배차관리!$Y:$Y,$B104)="","",INDEX(GLAPS컨테이너배차관리!$Y:$Y,$B104)),2)="22","20 Feet",IF(LEFT(IF(INDEX(GLAPS컨테이너배차관리!$Y:$Y,$B104)="","",INDEX(GLAPS컨테이너배차관리!$Y:$Y,$B104)),2)="42","40 Feet","40 Feet H")))</f>
        <v/>
      </c>
      <c r="L104" t="str">
        <f>IF($B104="","",IFERROR(INDEX(GLAPS정리!$BB$2:$BB$80,MATCH(IF(INDEX(GLAPS컨테이너배차관리!$BQ:$BQ,$B104)="","",INDEX(GLAPS컨테이너배차관리!$BQ:$BQ,$B104)),GLAPS정리!$BC$2:$BC$80,0)),IF(INDEX(GLAPS컨테이너배차관리!$BQ:$BQ,$B104)="","",INDEX(GLAPS컨테이너배차관리!$BQ:$BQ,$B104))))</f>
        <v/>
      </c>
      <c r="M104" t="str">
        <f>IF($B104="","",IFERROR(INDEX(GLAPS정리!$V$3:$V$180,MATCH(IF(INDEX(GLAPS컨테이너배차관리!$S:$S,$B104)="","",INDEX(GLAPS컨테이너배차관리!$S:$S,$B104)),GLAPS정리!$W$3:$W$180,0)),IF(INDEX(GLAPS컨테이너배차관리!$S:$S,$B104)="","",INDEX(GLAPS컨테이너배차관리!$S:$S,$B104))))</f>
        <v/>
      </c>
      <c r="N104" t="str">
        <f>IF($B104="","",IF(IF(INDEX(GLAPS컨테이너배차관리!$DF:$DF,$B104)="","",INDEX(GLAPS컨테이너배차관리!$DF:$DF,$B104))&lt;&gt;"",IF(INDEX(GLAPS컨테이너배차관리!$DF:$DF,$B104)="","",INDEX(GLAPS컨테이너배차관리!$DF:$DF,$B104)),IF(IF(INDEX(GLAPS컨테이너배차관리!$DG:$DG,$B104)="","",INDEX(GLAPS컨테이너배차관리!$DG:$DG,$B104))&lt;&gt;"",IF(INDEX(GLAPS컨테이너배차관리!$DG:$DG,$B104)="","",INDEX(GLAPS컨테이너배차관리!$DG:$DG,$B104)),"")))</f>
        <v/>
      </c>
      <c r="O104" t="str">
        <f>IF($B104="","",IF(INDEX(GLAPS컨테이너배차관리!$AB:$AB,$B104)="","",INDEX(GLAPS컨테이너배차관리!$AB:$AB,$B104)))</f>
        <v/>
      </c>
      <c r="P104" t="str">
        <f>IF($B104="","",IF(IF(INDEX(GLAPS컨테이너배차관리!$CP:$CP,$B104)="","",INDEX(GLAPS컨테이너배차관리!$CP:$CP,$B104))="","",IFERROR(INDEX(GLAPS정리!$BH$2:$BH$101,MATCH(IF(INDEX(GLAPS컨테이너배차관리!$CP:$CP,$B104)="","",INDEX(GLAPS컨테이너배차관리!$CP:$CP,$B104)),GLAPS정리!$BI$2:$BI$101,0)),IF(INDEX(GLAPS컨테이너배차관리!$CP:$CP,$B104)="","",INDEX(GLAPS컨테이너배차관리!$CP:$CP,$B104)))))</f>
        <v/>
      </c>
      <c r="Q104" t="str">
        <f>IF($B104="","",IF(AND(IF(INDEX(GLAPS컨테이너배차관리!$AK:$AK,$B104)="","",INDEX(GLAPS컨테이너배차관리!$AK:$AK,$B104))="Y",IF(INDEX(GLAPS컨테이너배차관리!$AI:$AI,$B104)="","",INDEX(GLAPS컨테이너배차관리!$AI:$AI,$B104))="Y"),"위험물리퍼",IF(IF(INDEX(GLAPS컨테이너배차관리!$AK:$AK,$B104)="","",INDEX(GLAPS컨테이너배차관리!$AK:$AK,$B104))="Y","위험물",IF(IF(INDEX(GLAPS컨테이너배차관리!$AI:$AI,$B104)="","",INDEX(GLAPS컨테이너배차관리!$AI:$AI,$B104))="Y","리퍼",""))))</f>
        <v/>
      </c>
      <c r="R104" t="str">
        <f>IF($B104="","",IF(LEFT(IF(INDEX(GLAPS컨테이너배차관리!$Y:$Y,$B104)="","",INDEX(GLAPS컨테이너배차관리!$Y:$Y,$B104)),2)="22",1,""))</f>
        <v/>
      </c>
      <c r="S104" t="str">
        <f>IF($B104="","",IF(LEFT(IF(INDEX(GLAPS컨테이너배차관리!$Y:$Y,$B104)="","",INDEX(GLAPS컨테이너배차관리!$Y:$Y,$B104)),2)="42",1,""))</f>
        <v/>
      </c>
      <c r="T104" t="str">
        <f>IF($B104="","",IF(LEFT(IF(INDEX(GLAPS컨테이너배차관리!$Y:$Y,$B104)="","",INDEX(GLAPS컨테이너배차관리!$Y:$Y,$B104)),2)="45",1,""))</f>
        <v/>
      </c>
      <c r="U104" t="str">
        <f>IF($B104="","",IF(INDEX(GLAPS컨테이너배차관리!$X:$X,$B104)="","",INDEX(GLAPS컨테이너배차관리!$X:$X,$B104)))</f>
        <v/>
      </c>
      <c r="V104" t="str">
        <f>IF($B104="","",IF(INDEX(GLAPS컨테이너배차관리!$Z:$Z,$B104)="","",INDEX(GLAPS컨테이너배차관리!$Z:$Z,$B104)))</f>
        <v/>
      </c>
      <c r="W104" t="str">
        <f>IF($B104="","",IF(IF(INDEX(GLAPS컨테이너배차관리!$DI:$DI,$B104)="","",INDEX(GLAPS컨테이너배차관리!$DI:$DI,$B104))&lt;&gt;"",IF(INDEX(GLAPS컨테이너배차관리!$DI:$DI,$B104)="","",INDEX(GLAPS컨테이너배차관리!$DI:$DI,$B104)),IF(IF(INDEX(GLAPS컨테이너배차관리!$DJ:$DJ,$B104)="","",INDEX(GLAPS컨테이너배차관리!$DJ:$DJ,$B104))&lt;&gt;"",IF(INDEX(GLAPS컨테이너배차관리!$DJ:$DJ,$B104)="","",INDEX(GLAPS컨테이너배차관리!$DJ:$DJ,$B104)),IF(IF(INDEX(GLAPS컨테이너배차관리!$DK:$DK,$B104)="","",INDEX(GLAPS컨테이너배차관리!$DK:$DK,$B104))&lt;&gt;"",IF(INDEX(GLAPS컨테이너배차관리!$DK:$DK,$B104)="","",INDEX(GLAPS컨테이너배차관리!$DK:$DK,$B104)),IF(IF(INDEX(GLAPS컨테이너배차관리!$DL:$DL,$B104)="","",INDEX(GLAPS컨테이너배차관리!$DL:$DL,$B104))&lt;&gt;"",IF(INDEX(GLAPS컨테이너배차관리!$DL:$DL,$B104)="","",INDEX(GLAPS컨테이너배차관리!$DL:$DL,$B104)),IF(IF(INDEX(GLAPS컨테이너배차관리!$DM:$DM,$B104)="","",INDEX(GLAPS컨테이너배차관리!$DM:$DM,$B104))&lt;&gt;"",IF(INDEX(GLAPS컨테이너배차관리!$DM:$DM,$B104)="","",INDEX(GLAPS컨테이너배차관리!$DM:$DM,$B104)),""))))))</f>
        <v/>
      </c>
      <c r="X104" t="str">
        <f>IF($B104="","",IF(INDEX(GLAPS컨테이너배차관리!$F:$F,$B104)="","",INDEX(GLAPS컨테이너배차관리!$F:$F,$B104)))</f>
        <v/>
      </c>
      <c r="Y104" t="str">
        <f>IF($B104="","",IF(IF(INDEX(GLAPS컨테이너배차관리!$M:$M,$B104)="","",INDEX(GLAPS컨테이너배차관리!$M:$M,$B104))&lt;&gt;"",IF(INDEX(GLAPS컨테이너배차관리!$M:$M,$B104)="","",INDEX(GLAPS컨테이너배차관리!$M:$M,$B104)),IF(IF(INDEX(GLAPS컨테이너배차관리!$N:$N,$B104)="","",INDEX(GLAPS컨테이너배차관리!$N:$N,$B104))&lt;&gt;"",IF(INDEX(GLAPS컨테이너배차관리!$N:$N,$B104)="","",INDEX(GLAPS컨테이너배차관리!$N:$N,$B104)),"")))</f>
        <v/>
      </c>
      <c r="Z104" t="str">
        <f>IF($B104="","",IF(IF(INDEX(GLAPS컨테이너배차관리!$CU:$CU,$B104)="","",INDEX(GLAPS컨테이너배차관리!$CU:$CU,$B104))="","",IFERROR(INT(IF(INDEX(GLAPS컨테이너배차관리!$CU:$CU,$B104)="","",INDEX(GLAPS컨테이너배차관리!$CU:$CU,$B104))),"")))</f>
        <v/>
      </c>
      <c r="AA104" t="str">
        <f>IF($B104="","",IF(AND(IF(INDEX(GLAPS컨테이너배차관리!$CL:$CL,$B104)="","",INDEX(GLAPS컨테이너배차관리!$CL:$CL,$B104))="",IF(INDEX(GLAPS컨테이너배차관리!$CM:$CM,$B104)="","",INDEX(GLAPS컨테이너배차관리!$CM:$CM,$B104))=""),"",IF(OR(IF(INDEX(GLAPS컨테이너배차관리!$CL:$CL,$B104)="","",INDEX(GLAPS컨테이너배차관리!$CL:$CL,$B104))="B000016649",ISNUMBER(SEARCH("B015",IF(INDEX(GLAPS컨테이너배차관리!$CM:$CM,$B104)="","",INDEX(GLAPS컨테이너배차관리!$CM:$CM,$B104)))),ISNUMBER(SEARCH("세방",IF(INDEX(GLAPS컨테이너배차관리!$CM:$CM,$B104)="","",INDEX(GLAPS컨테이너배차관리!$CM:$CM,$B104)))),ISNUMBER(SEARCH("SB",IF(INDEX(GLAPS컨테이너배차관리!$CM:$CM,$B104)="","",INDEX(GLAPS컨테이너배차관리!$CM:$CM,$B104))))),"세방","")))</f>
        <v/>
      </c>
      <c r="AB104" t="str">
        <f>IF($B104="","",IF(IF(INDEX(GLAPS컨테이너배차관리!$CM:$CM,$B104)="","",INDEX(GLAPS컨테이너배차관리!$CM:$CM,$B104))="","",IF(ISNUMBER(SEARCH("이지스두동",IF(INDEX(GLAPS컨테이너배차관리!$CM:$CM,$B104)="","",INDEX(GLAPS컨테이너배차관리!$CM:$CM,$B104)))),"이지스두동",IF(ISNUMBER(SEARCH("이지스녹산",IF(INDEX(GLAPS컨테이너배차관리!$CM:$CM,$B104)="","",INDEX(GLAPS컨테이너배차관리!$CM:$CM,$B104)))),"이지스녹산",IF(ISNUMBER(SEARCH("천우",IF(INDEX(GLAPS컨테이너배차관리!$CM:$CM,$B104)="","",INDEX(GLAPS컨테이너배차관리!$CM:$CM,$B104)))),"천우",IF(OR(ISNUMBER(SEARCH("청암",IF(INDEX(GLAPS컨테이너배차관리!$CM:$CM,$B104)="","",INDEX(GLAPS컨테이너배차관리!$CM:$CM,$B104)))),ISNUMBER(SEARCH("SB청암",IF(INDEX(GLAPS컨테이너배차관리!$CM:$CM,$B104)="","",INDEX(GLAPS컨테이너배차관리!$CM:$CM,$B104))))),"청암신항",IF(INDEX(GLAPS컨테이너배차관리!$CM:$CM,$B104)="","",INDEX(GLAPS컨테이너배차관리!$CM:$CM,$B104))))))))</f>
        <v/>
      </c>
    </row>
    <row r="105" spans="1:28">
      <c r="A105">
        <v>104</v>
      </c>
      <c r="B105" t="str">
        <f>IFERROR(_xlfn.AGGREGATE(15,6,ROW(GLAPS컨테이너배차관리!$X$2:$X$20000)/(GLAPS컨테이너배차관리!$X$2:$X$20000&lt;&gt;""),A105),"")</f>
        <v/>
      </c>
      <c r="C105" t="str">
        <f>IF($B105="","",INT(IF(INDEX(GLAPS컨테이너배차관리!$K:$K,$B105)="","",INDEX(GLAPS컨테이너배차관리!$K:$K,$B105))))</f>
        <v/>
      </c>
      <c r="D105" t="str">
        <f>IF($B105="","",IF(ISNUMBER(SEARCH("이엘에스",IF(INDEX(GLAPS컨테이너배차관리!$AZ:$AZ,$B105)="","",INDEX(GLAPS컨테이너배차관리!$AZ:$AZ,$B105)))),"ELS솔루션",IF(INDEX(GLAPS컨테이너배차관리!$AZ:$AZ,$B105)="","",INDEX(GLAPS컨테이너배차관리!$AZ:$AZ,$B105))))</f>
        <v/>
      </c>
      <c r="E105" t="str">
        <f>IF($B105="","",IF(INDEX(GLAPS컨테이너배차관리!$L:$L,$B105)="","",INDEX(GLAPS컨테이너배차관리!$L:$L,$B105)))</f>
        <v/>
      </c>
      <c r="F105" t="str">
        <f>IF($B105="","",IF(HOUR(IF(INDEX(GLAPS컨테이너배차관리!$L:$L,$B105)="","",INDEX(GLAPS컨테이너배차관리!$L:$L,$B105)))&lt;12,"오전",IF(HOUR(IF(INDEX(GLAPS컨테이너배차관리!$L:$L,$B105)="","",INDEX(GLAPS컨테이너배차관리!$L:$L,$B105)))&lt;18,"오후","잔업")))</f>
        <v/>
      </c>
      <c r="G105" t="str">
        <f>IF($B105="","",IFERROR(INDEX(GLAPS정리!$G$3:$G$264,MATCH(IF(INDEX(GLAPS컨테이너배차관리!$BY:$BY,$B105)="","",INDEX(GLAPS컨테이너배차관리!$BY:$BY,$B105)),GLAPS정리!$H$3:$H$264,0)),TRIM(SUBSTITUTE(SUBSTITUTE(SUBSTITUTE(SUBSTITUTE(SUBSTITUTE(IF(INDEX(GLAPS컨테이너배차관리!$T:$T,$B105)="","",INDEX(GLAPS컨테이너배차관리!$T:$T,$B105)),"[GA]",""),"[GB]",""),"[GC]",""),"[KC]",""),"[GS]",""))))</f>
        <v/>
      </c>
      <c r="H105" t="str">
        <f>IF($B105="","",IFERROR(VLOOKUP(IF(INDEX(GLAPS컨테이너배차관리!$BY:$BY,$B105)="","",INDEX(GLAPS컨테이너배차관리!$BY:$BY,$B105)),GLAPS정리!$BT$3:$BV$200,3,0),""))</f>
        <v/>
      </c>
      <c r="I105" t="str">
        <f>IF($B105="","",LEFT(IF(INDEX(GLAPS컨테이너배차관리!$U:$U,$B105)="","",INDEX(GLAPS컨테이너배차관리!$U:$U,$B105)),FIND("/",IF(INDEX(GLAPS컨테이너배차관리!$U:$U,$B105)="","",INDEX(GLAPS컨테이너배차관리!$U:$U,$B105))&amp;"/")-1))</f>
        <v/>
      </c>
      <c r="J105" t="str">
        <f>IF($B105="","",IF(IF(INDEX(GLAPS컨테이너배차관리!$O:$O,$B105)="","",INDEX(GLAPS컨테이너배차관리!$O:$O,$B105))="EMC","EMA",IFERROR(INDEX(GLAPS정리!$A$2:$A$50,MATCH(IF(INDEX(GLAPS컨테이너배차관리!$O:$O,$B105)="","",INDEX(GLAPS컨테이너배차관리!$O:$O,$B105)),GLAPS정리!$D$2:$D$50,0)),IF(INDEX(GLAPS컨테이너배차관리!$O:$O,$B105)="","",INDEX(GLAPS컨테이너배차관리!$O:$O,$B105)))))</f>
        <v/>
      </c>
      <c r="K105" t="str">
        <f>IF($B105="","",IF(LEFT(IF(INDEX(GLAPS컨테이너배차관리!$Y:$Y,$B105)="","",INDEX(GLAPS컨테이너배차관리!$Y:$Y,$B105)),2)="22","20 Feet",IF(LEFT(IF(INDEX(GLAPS컨테이너배차관리!$Y:$Y,$B105)="","",INDEX(GLAPS컨테이너배차관리!$Y:$Y,$B105)),2)="42","40 Feet","40 Feet H")))</f>
        <v/>
      </c>
      <c r="L105" t="str">
        <f>IF($B105="","",IFERROR(INDEX(GLAPS정리!$BB$2:$BB$80,MATCH(IF(INDEX(GLAPS컨테이너배차관리!$BQ:$BQ,$B105)="","",INDEX(GLAPS컨테이너배차관리!$BQ:$BQ,$B105)),GLAPS정리!$BC$2:$BC$80,0)),IF(INDEX(GLAPS컨테이너배차관리!$BQ:$BQ,$B105)="","",INDEX(GLAPS컨테이너배차관리!$BQ:$BQ,$B105))))</f>
        <v/>
      </c>
      <c r="M105" t="str">
        <f>IF($B105="","",IFERROR(INDEX(GLAPS정리!$V$3:$V$180,MATCH(IF(INDEX(GLAPS컨테이너배차관리!$S:$S,$B105)="","",INDEX(GLAPS컨테이너배차관리!$S:$S,$B105)),GLAPS정리!$W$3:$W$180,0)),IF(INDEX(GLAPS컨테이너배차관리!$S:$S,$B105)="","",INDEX(GLAPS컨테이너배차관리!$S:$S,$B105))))</f>
        <v/>
      </c>
      <c r="N105" t="str">
        <f>IF($B105="","",IF(IF(INDEX(GLAPS컨테이너배차관리!$DF:$DF,$B105)="","",INDEX(GLAPS컨테이너배차관리!$DF:$DF,$B105))&lt;&gt;"",IF(INDEX(GLAPS컨테이너배차관리!$DF:$DF,$B105)="","",INDEX(GLAPS컨테이너배차관리!$DF:$DF,$B105)),IF(IF(INDEX(GLAPS컨테이너배차관리!$DG:$DG,$B105)="","",INDEX(GLAPS컨테이너배차관리!$DG:$DG,$B105))&lt;&gt;"",IF(INDEX(GLAPS컨테이너배차관리!$DG:$DG,$B105)="","",INDEX(GLAPS컨테이너배차관리!$DG:$DG,$B105)),"")))</f>
        <v/>
      </c>
      <c r="O105" t="str">
        <f>IF($B105="","",IF(INDEX(GLAPS컨테이너배차관리!$AB:$AB,$B105)="","",INDEX(GLAPS컨테이너배차관리!$AB:$AB,$B105)))</f>
        <v/>
      </c>
      <c r="P105" t="str">
        <f>IF($B105="","",IF(IF(INDEX(GLAPS컨테이너배차관리!$CP:$CP,$B105)="","",INDEX(GLAPS컨테이너배차관리!$CP:$CP,$B105))="","",IFERROR(INDEX(GLAPS정리!$BH$2:$BH$101,MATCH(IF(INDEX(GLAPS컨테이너배차관리!$CP:$CP,$B105)="","",INDEX(GLAPS컨테이너배차관리!$CP:$CP,$B105)),GLAPS정리!$BI$2:$BI$101,0)),IF(INDEX(GLAPS컨테이너배차관리!$CP:$CP,$B105)="","",INDEX(GLAPS컨테이너배차관리!$CP:$CP,$B105)))))</f>
        <v/>
      </c>
      <c r="Q105" t="str">
        <f>IF($B105="","",IF(AND(IF(INDEX(GLAPS컨테이너배차관리!$AK:$AK,$B105)="","",INDEX(GLAPS컨테이너배차관리!$AK:$AK,$B105))="Y",IF(INDEX(GLAPS컨테이너배차관리!$AI:$AI,$B105)="","",INDEX(GLAPS컨테이너배차관리!$AI:$AI,$B105))="Y"),"위험물리퍼",IF(IF(INDEX(GLAPS컨테이너배차관리!$AK:$AK,$B105)="","",INDEX(GLAPS컨테이너배차관리!$AK:$AK,$B105))="Y","위험물",IF(IF(INDEX(GLAPS컨테이너배차관리!$AI:$AI,$B105)="","",INDEX(GLAPS컨테이너배차관리!$AI:$AI,$B105))="Y","리퍼",""))))</f>
        <v/>
      </c>
      <c r="R105" t="str">
        <f>IF($B105="","",IF(LEFT(IF(INDEX(GLAPS컨테이너배차관리!$Y:$Y,$B105)="","",INDEX(GLAPS컨테이너배차관리!$Y:$Y,$B105)),2)="22",1,""))</f>
        <v/>
      </c>
      <c r="S105" t="str">
        <f>IF($B105="","",IF(LEFT(IF(INDEX(GLAPS컨테이너배차관리!$Y:$Y,$B105)="","",INDEX(GLAPS컨테이너배차관리!$Y:$Y,$B105)),2)="42",1,""))</f>
        <v/>
      </c>
      <c r="T105" t="str">
        <f>IF($B105="","",IF(LEFT(IF(INDEX(GLAPS컨테이너배차관리!$Y:$Y,$B105)="","",INDEX(GLAPS컨테이너배차관리!$Y:$Y,$B105)),2)="45",1,""))</f>
        <v/>
      </c>
      <c r="U105" t="str">
        <f>IF($B105="","",IF(INDEX(GLAPS컨테이너배차관리!$X:$X,$B105)="","",INDEX(GLAPS컨테이너배차관리!$X:$X,$B105)))</f>
        <v/>
      </c>
      <c r="V105" t="str">
        <f>IF($B105="","",IF(INDEX(GLAPS컨테이너배차관리!$Z:$Z,$B105)="","",INDEX(GLAPS컨테이너배차관리!$Z:$Z,$B105)))</f>
        <v/>
      </c>
      <c r="W105" t="str">
        <f>IF($B105="","",IF(IF(INDEX(GLAPS컨테이너배차관리!$DI:$DI,$B105)="","",INDEX(GLAPS컨테이너배차관리!$DI:$DI,$B105))&lt;&gt;"",IF(INDEX(GLAPS컨테이너배차관리!$DI:$DI,$B105)="","",INDEX(GLAPS컨테이너배차관리!$DI:$DI,$B105)),IF(IF(INDEX(GLAPS컨테이너배차관리!$DJ:$DJ,$B105)="","",INDEX(GLAPS컨테이너배차관리!$DJ:$DJ,$B105))&lt;&gt;"",IF(INDEX(GLAPS컨테이너배차관리!$DJ:$DJ,$B105)="","",INDEX(GLAPS컨테이너배차관리!$DJ:$DJ,$B105)),IF(IF(INDEX(GLAPS컨테이너배차관리!$DK:$DK,$B105)="","",INDEX(GLAPS컨테이너배차관리!$DK:$DK,$B105))&lt;&gt;"",IF(INDEX(GLAPS컨테이너배차관리!$DK:$DK,$B105)="","",INDEX(GLAPS컨테이너배차관리!$DK:$DK,$B105)),IF(IF(INDEX(GLAPS컨테이너배차관리!$DL:$DL,$B105)="","",INDEX(GLAPS컨테이너배차관리!$DL:$DL,$B105))&lt;&gt;"",IF(INDEX(GLAPS컨테이너배차관리!$DL:$DL,$B105)="","",INDEX(GLAPS컨테이너배차관리!$DL:$DL,$B105)),IF(IF(INDEX(GLAPS컨테이너배차관리!$DM:$DM,$B105)="","",INDEX(GLAPS컨테이너배차관리!$DM:$DM,$B105))&lt;&gt;"",IF(INDEX(GLAPS컨테이너배차관리!$DM:$DM,$B105)="","",INDEX(GLAPS컨테이너배차관리!$DM:$DM,$B105)),""))))))</f>
        <v/>
      </c>
      <c r="X105" t="str">
        <f>IF($B105="","",IF(INDEX(GLAPS컨테이너배차관리!$F:$F,$B105)="","",INDEX(GLAPS컨테이너배차관리!$F:$F,$B105)))</f>
        <v/>
      </c>
      <c r="Y105" t="str">
        <f>IF($B105="","",IF(IF(INDEX(GLAPS컨테이너배차관리!$M:$M,$B105)="","",INDEX(GLAPS컨테이너배차관리!$M:$M,$B105))&lt;&gt;"",IF(INDEX(GLAPS컨테이너배차관리!$M:$M,$B105)="","",INDEX(GLAPS컨테이너배차관리!$M:$M,$B105)),IF(IF(INDEX(GLAPS컨테이너배차관리!$N:$N,$B105)="","",INDEX(GLAPS컨테이너배차관리!$N:$N,$B105))&lt;&gt;"",IF(INDEX(GLAPS컨테이너배차관리!$N:$N,$B105)="","",INDEX(GLAPS컨테이너배차관리!$N:$N,$B105)),"")))</f>
        <v/>
      </c>
      <c r="Z105" t="str">
        <f>IF($B105="","",IF(IF(INDEX(GLAPS컨테이너배차관리!$CU:$CU,$B105)="","",INDEX(GLAPS컨테이너배차관리!$CU:$CU,$B105))="","",IFERROR(INT(IF(INDEX(GLAPS컨테이너배차관리!$CU:$CU,$B105)="","",INDEX(GLAPS컨테이너배차관리!$CU:$CU,$B105))),"")))</f>
        <v/>
      </c>
      <c r="AA105" t="str">
        <f>IF($B105="","",IF(AND(IF(INDEX(GLAPS컨테이너배차관리!$CL:$CL,$B105)="","",INDEX(GLAPS컨테이너배차관리!$CL:$CL,$B105))="",IF(INDEX(GLAPS컨테이너배차관리!$CM:$CM,$B105)="","",INDEX(GLAPS컨테이너배차관리!$CM:$CM,$B105))=""),"",IF(OR(IF(INDEX(GLAPS컨테이너배차관리!$CL:$CL,$B105)="","",INDEX(GLAPS컨테이너배차관리!$CL:$CL,$B105))="B000016649",ISNUMBER(SEARCH("B015",IF(INDEX(GLAPS컨테이너배차관리!$CM:$CM,$B105)="","",INDEX(GLAPS컨테이너배차관리!$CM:$CM,$B105)))),ISNUMBER(SEARCH("세방",IF(INDEX(GLAPS컨테이너배차관리!$CM:$CM,$B105)="","",INDEX(GLAPS컨테이너배차관리!$CM:$CM,$B105)))),ISNUMBER(SEARCH("SB",IF(INDEX(GLAPS컨테이너배차관리!$CM:$CM,$B105)="","",INDEX(GLAPS컨테이너배차관리!$CM:$CM,$B105))))),"세방","")))</f>
        <v/>
      </c>
      <c r="AB105" t="str">
        <f>IF($B105="","",IF(IF(INDEX(GLAPS컨테이너배차관리!$CM:$CM,$B105)="","",INDEX(GLAPS컨테이너배차관리!$CM:$CM,$B105))="","",IF(ISNUMBER(SEARCH("이지스두동",IF(INDEX(GLAPS컨테이너배차관리!$CM:$CM,$B105)="","",INDEX(GLAPS컨테이너배차관리!$CM:$CM,$B105)))),"이지스두동",IF(ISNUMBER(SEARCH("이지스녹산",IF(INDEX(GLAPS컨테이너배차관리!$CM:$CM,$B105)="","",INDEX(GLAPS컨테이너배차관리!$CM:$CM,$B105)))),"이지스녹산",IF(ISNUMBER(SEARCH("천우",IF(INDEX(GLAPS컨테이너배차관리!$CM:$CM,$B105)="","",INDEX(GLAPS컨테이너배차관리!$CM:$CM,$B105)))),"천우",IF(OR(ISNUMBER(SEARCH("청암",IF(INDEX(GLAPS컨테이너배차관리!$CM:$CM,$B105)="","",INDEX(GLAPS컨테이너배차관리!$CM:$CM,$B105)))),ISNUMBER(SEARCH("SB청암",IF(INDEX(GLAPS컨테이너배차관리!$CM:$CM,$B105)="","",INDEX(GLAPS컨테이너배차관리!$CM:$CM,$B105))))),"청암신항",IF(INDEX(GLAPS컨테이너배차관리!$CM:$CM,$B105)="","",INDEX(GLAPS컨테이너배차관리!$CM:$CM,$B105))))))))</f>
        <v/>
      </c>
    </row>
    <row r="106" spans="1:28">
      <c r="A106">
        <v>105</v>
      </c>
      <c r="B106" t="str">
        <f>IFERROR(_xlfn.AGGREGATE(15,6,ROW(GLAPS컨테이너배차관리!$X$2:$X$20000)/(GLAPS컨테이너배차관리!$X$2:$X$20000&lt;&gt;""),A106),"")</f>
        <v/>
      </c>
      <c r="C106" t="str">
        <f>IF($B106="","",INT(IF(INDEX(GLAPS컨테이너배차관리!$K:$K,$B106)="","",INDEX(GLAPS컨테이너배차관리!$K:$K,$B106))))</f>
        <v/>
      </c>
      <c r="D106" t="str">
        <f>IF($B106="","",IF(ISNUMBER(SEARCH("이엘에스",IF(INDEX(GLAPS컨테이너배차관리!$AZ:$AZ,$B106)="","",INDEX(GLAPS컨테이너배차관리!$AZ:$AZ,$B106)))),"ELS솔루션",IF(INDEX(GLAPS컨테이너배차관리!$AZ:$AZ,$B106)="","",INDEX(GLAPS컨테이너배차관리!$AZ:$AZ,$B106))))</f>
        <v/>
      </c>
      <c r="E106" t="str">
        <f>IF($B106="","",IF(INDEX(GLAPS컨테이너배차관리!$L:$L,$B106)="","",INDEX(GLAPS컨테이너배차관리!$L:$L,$B106)))</f>
        <v/>
      </c>
      <c r="F106" t="str">
        <f>IF($B106="","",IF(HOUR(IF(INDEX(GLAPS컨테이너배차관리!$L:$L,$B106)="","",INDEX(GLAPS컨테이너배차관리!$L:$L,$B106)))&lt;12,"오전",IF(HOUR(IF(INDEX(GLAPS컨테이너배차관리!$L:$L,$B106)="","",INDEX(GLAPS컨테이너배차관리!$L:$L,$B106)))&lt;18,"오후","잔업")))</f>
        <v/>
      </c>
      <c r="G106" t="str">
        <f>IF($B106="","",IFERROR(INDEX(GLAPS정리!$G$3:$G$264,MATCH(IF(INDEX(GLAPS컨테이너배차관리!$BY:$BY,$B106)="","",INDEX(GLAPS컨테이너배차관리!$BY:$BY,$B106)),GLAPS정리!$H$3:$H$264,0)),TRIM(SUBSTITUTE(SUBSTITUTE(SUBSTITUTE(SUBSTITUTE(SUBSTITUTE(IF(INDEX(GLAPS컨테이너배차관리!$T:$T,$B106)="","",INDEX(GLAPS컨테이너배차관리!$T:$T,$B106)),"[GA]",""),"[GB]",""),"[GC]",""),"[KC]",""),"[GS]",""))))</f>
        <v/>
      </c>
      <c r="H106" t="str">
        <f>IF($B106="","",IFERROR(VLOOKUP(IF(INDEX(GLAPS컨테이너배차관리!$BY:$BY,$B106)="","",INDEX(GLAPS컨테이너배차관리!$BY:$BY,$B106)),GLAPS정리!$BT$3:$BV$200,3,0),""))</f>
        <v/>
      </c>
      <c r="I106" t="str">
        <f>IF($B106="","",LEFT(IF(INDEX(GLAPS컨테이너배차관리!$U:$U,$B106)="","",INDEX(GLAPS컨테이너배차관리!$U:$U,$B106)),FIND("/",IF(INDEX(GLAPS컨테이너배차관리!$U:$U,$B106)="","",INDEX(GLAPS컨테이너배차관리!$U:$U,$B106))&amp;"/")-1))</f>
        <v/>
      </c>
      <c r="J106" t="str">
        <f>IF($B106="","",IF(IF(INDEX(GLAPS컨테이너배차관리!$O:$O,$B106)="","",INDEX(GLAPS컨테이너배차관리!$O:$O,$B106))="EMC","EMA",IFERROR(INDEX(GLAPS정리!$A$2:$A$50,MATCH(IF(INDEX(GLAPS컨테이너배차관리!$O:$O,$B106)="","",INDEX(GLAPS컨테이너배차관리!$O:$O,$B106)),GLAPS정리!$D$2:$D$50,0)),IF(INDEX(GLAPS컨테이너배차관리!$O:$O,$B106)="","",INDEX(GLAPS컨테이너배차관리!$O:$O,$B106)))))</f>
        <v/>
      </c>
      <c r="K106" t="str">
        <f>IF($B106="","",IF(LEFT(IF(INDEX(GLAPS컨테이너배차관리!$Y:$Y,$B106)="","",INDEX(GLAPS컨테이너배차관리!$Y:$Y,$B106)),2)="22","20 Feet",IF(LEFT(IF(INDEX(GLAPS컨테이너배차관리!$Y:$Y,$B106)="","",INDEX(GLAPS컨테이너배차관리!$Y:$Y,$B106)),2)="42","40 Feet","40 Feet H")))</f>
        <v/>
      </c>
      <c r="L106" t="str">
        <f>IF($B106="","",IFERROR(INDEX(GLAPS정리!$BB$2:$BB$80,MATCH(IF(INDEX(GLAPS컨테이너배차관리!$BQ:$BQ,$B106)="","",INDEX(GLAPS컨테이너배차관리!$BQ:$BQ,$B106)),GLAPS정리!$BC$2:$BC$80,0)),IF(INDEX(GLAPS컨테이너배차관리!$BQ:$BQ,$B106)="","",INDEX(GLAPS컨테이너배차관리!$BQ:$BQ,$B106))))</f>
        <v/>
      </c>
      <c r="M106" t="str">
        <f>IF($B106="","",IFERROR(INDEX(GLAPS정리!$V$3:$V$180,MATCH(IF(INDEX(GLAPS컨테이너배차관리!$S:$S,$B106)="","",INDEX(GLAPS컨테이너배차관리!$S:$S,$B106)),GLAPS정리!$W$3:$W$180,0)),IF(INDEX(GLAPS컨테이너배차관리!$S:$S,$B106)="","",INDEX(GLAPS컨테이너배차관리!$S:$S,$B106))))</f>
        <v/>
      </c>
      <c r="N106" t="str">
        <f>IF($B106="","",IF(IF(INDEX(GLAPS컨테이너배차관리!$DF:$DF,$B106)="","",INDEX(GLAPS컨테이너배차관리!$DF:$DF,$B106))&lt;&gt;"",IF(INDEX(GLAPS컨테이너배차관리!$DF:$DF,$B106)="","",INDEX(GLAPS컨테이너배차관리!$DF:$DF,$B106)),IF(IF(INDEX(GLAPS컨테이너배차관리!$DG:$DG,$B106)="","",INDEX(GLAPS컨테이너배차관리!$DG:$DG,$B106))&lt;&gt;"",IF(INDEX(GLAPS컨테이너배차관리!$DG:$DG,$B106)="","",INDEX(GLAPS컨테이너배차관리!$DG:$DG,$B106)),"")))</f>
        <v/>
      </c>
      <c r="O106" t="str">
        <f>IF($B106="","",IF(INDEX(GLAPS컨테이너배차관리!$AB:$AB,$B106)="","",INDEX(GLAPS컨테이너배차관리!$AB:$AB,$B106)))</f>
        <v/>
      </c>
      <c r="P106" t="str">
        <f>IF($B106="","",IF(IF(INDEX(GLAPS컨테이너배차관리!$CP:$CP,$B106)="","",INDEX(GLAPS컨테이너배차관리!$CP:$CP,$B106))="","",IFERROR(INDEX(GLAPS정리!$BH$2:$BH$101,MATCH(IF(INDEX(GLAPS컨테이너배차관리!$CP:$CP,$B106)="","",INDEX(GLAPS컨테이너배차관리!$CP:$CP,$B106)),GLAPS정리!$BI$2:$BI$101,0)),IF(INDEX(GLAPS컨테이너배차관리!$CP:$CP,$B106)="","",INDEX(GLAPS컨테이너배차관리!$CP:$CP,$B106)))))</f>
        <v/>
      </c>
      <c r="Q106" t="str">
        <f>IF($B106="","",IF(AND(IF(INDEX(GLAPS컨테이너배차관리!$AK:$AK,$B106)="","",INDEX(GLAPS컨테이너배차관리!$AK:$AK,$B106))="Y",IF(INDEX(GLAPS컨테이너배차관리!$AI:$AI,$B106)="","",INDEX(GLAPS컨테이너배차관리!$AI:$AI,$B106))="Y"),"위험물리퍼",IF(IF(INDEX(GLAPS컨테이너배차관리!$AK:$AK,$B106)="","",INDEX(GLAPS컨테이너배차관리!$AK:$AK,$B106))="Y","위험물",IF(IF(INDEX(GLAPS컨테이너배차관리!$AI:$AI,$B106)="","",INDEX(GLAPS컨테이너배차관리!$AI:$AI,$B106))="Y","리퍼",""))))</f>
        <v/>
      </c>
      <c r="R106" t="str">
        <f>IF($B106="","",IF(LEFT(IF(INDEX(GLAPS컨테이너배차관리!$Y:$Y,$B106)="","",INDEX(GLAPS컨테이너배차관리!$Y:$Y,$B106)),2)="22",1,""))</f>
        <v/>
      </c>
      <c r="S106" t="str">
        <f>IF($B106="","",IF(LEFT(IF(INDEX(GLAPS컨테이너배차관리!$Y:$Y,$B106)="","",INDEX(GLAPS컨테이너배차관리!$Y:$Y,$B106)),2)="42",1,""))</f>
        <v/>
      </c>
      <c r="T106" t="str">
        <f>IF($B106="","",IF(LEFT(IF(INDEX(GLAPS컨테이너배차관리!$Y:$Y,$B106)="","",INDEX(GLAPS컨테이너배차관리!$Y:$Y,$B106)),2)="45",1,""))</f>
        <v/>
      </c>
      <c r="U106" t="str">
        <f>IF($B106="","",IF(INDEX(GLAPS컨테이너배차관리!$X:$X,$B106)="","",INDEX(GLAPS컨테이너배차관리!$X:$X,$B106)))</f>
        <v/>
      </c>
      <c r="V106" t="str">
        <f>IF($B106="","",IF(INDEX(GLAPS컨테이너배차관리!$Z:$Z,$B106)="","",INDEX(GLAPS컨테이너배차관리!$Z:$Z,$B106)))</f>
        <v/>
      </c>
      <c r="W106" t="str">
        <f>IF($B106="","",IF(IF(INDEX(GLAPS컨테이너배차관리!$DI:$DI,$B106)="","",INDEX(GLAPS컨테이너배차관리!$DI:$DI,$B106))&lt;&gt;"",IF(INDEX(GLAPS컨테이너배차관리!$DI:$DI,$B106)="","",INDEX(GLAPS컨테이너배차관리!$DI:$DI,$B106)),IF(IF(INDEX(GLAPS컨테이너배차관리!$DJ:$DJ,$B106)="","",INDEX(GLAPS컨테이너배차관리!$DJ:$DJ,$B106))&lt;&gt;"",IF(INDEX(GLAPS컨테이너배차관리!$DJ:$DJ,$B106)="","",INDEX(GLAPS컨테이너배차관리!$DJ:$DJ,$B106)),IF(IF(INDEX(GLAPS컨테이너배차관리!$DK:$DK,$B106)="","",INDEX(GLAPS컨테이너배차관리!$DK:$DK,$B106))&lt;&gt;"",IF(INDEX(GLAPS컨테이너배차관리!$DK:$DK,$B106)="","",INDEX(GLAPS컨테이너배차관리!$DK:$DK,$B106)),IF(IF(INDEX(GLAPS컨테이너배차관리!$DL:$DL,$B106)="","",INDEX(GLAPS컨테이너배차관리!$DL:$DL,$B106))&lt;&gt;"",IF(INDEX(GLAPS컨테이너배차관리!$DL:$DL,$B106)="","",INDEX(GLAPS컨테이너배차관리!$DL:$DL,$B106)),IF(IF(INDEX(GLAPS컨테이너배차관리!$DM:$DM,$B106)="","",INDEX(GLAPS컨테이너배차관리!$DM:$DM,$B106))&lt;&gt;"",IF(INDEX(GLAPS컨테이너배차관리!$DM:$DM,$B106)="","",INDEX(GLAPS컨테이너배차관리!$DM:$DM,$B106)),""))))))</f>
        <v/>
      </c>
      <c r="X106" t="str">
        <f>IF($B106="","",IF(INDEX(GLAPS컨테이너배차관리!$F:$F,$B106)="","",INDEX(GLAPS컨테이너배차관리!$F:$F,$B106)))</f>
        <v/>
      </c>
      <c r="Y106" t="str">
        <f>IF($B106="","",IF(IF(INDEX(GLAPS컨테이너배차관리!$M:$M,$B106)="","",INDEX(GLAPS컨테이너배차관리!$M:$M,$B106))&lt;&gt;"",IF(INDEX(GLAPS컨테이너배차관리!$M:$M,$B106)="","",INDEX(GLAPS컨테이너배차관리!$M:$M,$B106)),IF(IF(INDEX(GLAPS컨테이너배차관리!$N:$N,$B106)="","",INDEX(GLAPS컨테이너배차관리!$N:$N,$B106))&lt;&gt;"",IF(INDEX(GLAPS컨테이너배차관리!$N:$N,$B106)="","",INDEX(GLAPS컨테이너배차관리!$N:$N,$B106)),"")))</f>
        <v/>
      </c>
      <c r="Z106" t="str">
        <f>IF($B106="","",IF(IF(INDEX(GLAPS컨테이너배차관리!$CU:$CU,$B106)="","",INDEX(GLAPS컨테이너배차관리!$CU:$CU,$B106))="","",IFERROR(INT(IF(INDEX(GLAPS컨테이너배차관리!$CU:$CU,$B106)="","",INDEX(GLAPS컨테이너배차관리!$CU:$CU,$B106))),"")))</f>
        <v/>
      </c>
      <c r="AA106" t="str">
        <f>IF($B106="","",IF(AND(IF(INDEX(GLAPS컨테이너배차관리!$CL:$CL,$B106)="","",INDEX(GLAPS컨테이너배차관리!$CL:$CL,$B106))="",IF(INDEX(GLAPS컨테이너배차관리!$CM:$CM,$B106)="","",INDEX(GLAPS컨테이너배차관리!$CM:$CM,$B106))=""),"",IF(OR(IF(INDEX(GLAPS컨테이너배차관리!$CL:$CL,$B106)="","",INDEX(GLAPS컨테이너배차관리!$CL:$CL,$B106))="B000016649",ISNUMBER(SEARCH("B015",IF(INDEX(GLAPS컨테이너배차관리!$CM:$CM,$B106)="","",INDEX(GLAPS컨테이너배차관리!$CM:$CM,$B106)))),ISNUMBER(SEARCH("세방",IF(INDEX(GLAPS컨테이너배차관리!$CM:$CM,$B106)="","",INDEX(GLAPS컨테이너배차관리!$CM:$CM,$B106)))),ISNUMBER(SEARCH("SB",IF(INDEX(GLAPS컨테이너배차관리!$CM:$CM,$B106)="","",INDEX(GLAPS컨테이너배차관리!$CM:$CM,$B106))))),"세방","")))</f>
        <v/>
      </c>
      <c r="AB106" t="str">
        <f>IF($B106="","",IF(IF(INDEX(GLAPS컨테이너배차관리!$CM:$CM,$B106)="","",INDEX(GLAPS컨테이너배차관리!$CM:$CM,$B106))="","",IF(ISNUMBER(SEARCH("이지스두동",IF(INDEX(GLAPS컨테이너배차관리!$CM:$CM,$B106)="","",INDEX(GLAPS컨테이너배차관리!$CM:$CM,$B106)))),"이지스두동",IF(ISNUMBER(SEARCH("이지스녹산",IF(INDEX(GLAPS컨테이너배차관리!$CM:$CM,$B106)="","",INDEX(GLAPS컨테이너배차관리!$CM:$CM,$B106)))),"이지스녹산",IF(ISNUMBER(SEARCH("천우",IF(INDEX(GLAPS컨테이너배차관리!$CM:$CM,$B106)="","",INDEX(GLAPS컨테이너배차관리!$CM:$CM,$B106)))),"천우",IF(OR(ISNUMBER(SEARCH("청암",IF(INDEX(GLAPS컨테이너배차관리!$CM:$CM,$B106)="","",INDEX(GLAPS컨테이너배차관리!$CM:$CM,$B106)))),ISNUMBER(SEARCH("SB청암",IF(INDEX(GLAPS컨테이너배차관리!$CM:$CM,$B106)="","",INDEX(GLAPS컨테이너배차관리!$CM:$CM,$B106))))),"청암신항",IF(INDEX(GLAPS컨테이너배차관리!$CM:$CM,$B106)="","",INDEX(GLAPS컨테이너배차관리!$CM:$CM,$B106))))))))</f>
        <v/>
      </c>
    </row>
    <row r="107" spans="1:28">
      <c r="A107">
        <v>106</v>
      </c>
      <c r="B107" t="str">
        <f>IFERROR(_xlfn.AGGREGATE(15,6,ROW(GLAPS컨테이너배차관리!$X$2:$X$20000)/(GLAPS컨테이너배차관리!$X$2:$X$20000&lt;&gt;""),A107),"")</f>
        <v/>
      </c>
      <c r="C107" t="str">
        <f>IF($B107="","",INT(IF(INDEX(GLAPS컨테이너배차관리!$K:$K,$B107)="","",INDEX(GLAPS컨테이너배차관리!$K:$K,$B107))))</f>
        <v/>
      </c>
      <c r="D107" t="str">
        <f>IF($B107="","",IF(ISNUMBER(SEARCH("이엘에스",IF(INDEX(GLAPS컨테이너배차관리!$AZ:$AZ,$B107)="","",INDEX(GLAPS컨테이너배차관리!$AZ:$AZ,$B107)))),"ELS솔루션",IF(INDEX(GLAPS컨테이너배차관리!$AZ:$AZ,$B107)="","",INDEX(GLAPS컨테이너배차관리!$AZ:$AZ,$B107))))</f>
        <v/>
      </c>
      <c r="E107" t="str">
        <f>IF($B107="","",IF(INDEX(GLAPS컨테이너배차관리!$L:$L,$B107)="","",INDEX(GLAPS컨테이너배차관리!$L:$L,$B107)))</f>
        <v/>
      </c>
      <c r="F107" t="str">
        <f>IF($B107="","",IF(HOUR(IF(INDEX(GLAPS컨테이너배차관리!$L:$L,$B107)="","",INDEX(GLAPS컨테이너배차관리!$L:$L,$B107)))&lt;12,"오전",IF(HOUR(IF(INDEX(GLAPS컨테이너배차관리!$L:$L,$B107)="","",INDEX(GLAPS컨테이너배차관리!$L:$L,$B107)))&lt;18,"오후","잔업")))</f>
        <v/>
      </c>
      <c r="G107" t="str">
        <f>IF($B107="","",IFERROR(INDEX(GLAPS정리!$G$3:$G$264,MATCH(IF(INDEX(GLAPS컨테이너배차관리!$BY:$BY,$B107)="","",INDEX(GLAPS컨테이너배차관리!$BY:$BY,$B107)),GLAPS정리!$H$3:$H$264,0)),TRIM(SUBSTITUTE(SUBSTITUTE(SUBSTITUTE(SUBSTITUTE(SUBSTITUTE(IF(INDEX(GLAPS컨테이너배차관리!$T:$T,$B107)="","",INDEX(GLAPS컨테이너배차관리!$T:$T,$B107)),"[GA]",""),"[GB]",""),"[GC]",""),"[KC]",""),"[GS]",""))))</f>
        <v/>
      </c>
      <c r="H107" t="str">
        <f>IF($B107="","",IFERROR(VLOOKUP(IF(INDEX(GLAPS컨테이너배차관리!$BY:$BY,$B107)="","",INDEX(GLAPS컨테이너배차관리!$BY:$BY,$B107)),GLAPS정리!$BT$3:$BV$200,3,0),""))</f>
        <v/>
      </c>
      <c r="I107" t="str">
        <f>IF($B107="","",LEFT(IF(INDEX(GLAPS컨테이너배차관리!$U:$U,$B107)="","",INDEX(GLAPS컨테이너배차관리!$U:$U,$B107)),FIND("/",IF(INDEX(GLAPS컨테이너배차관리!$U:$U,$B107)="","",INDEX(GLAPS컨테이너배차관리!$U:$U,$B107))&amp;"/")-1))</f>
        <v/>
      </c>
      <c r="J107" t="str">
        <f>IF($B107="","",IF(IF(INDEX(GLAPS컨테이너배차관리!$O:$O,$B107)="","",INDEX(GLAPS컨테이너배차관리!$O:$O,$B107))="EMC","EMA",IFERROR(INDEX(GLAPS정리!$A$2:$A$50,MATCH(IF(INDEX(GLAPS컨테이너배차관리!$O:$O,$B107)="","",INDEX(GLAPS컨테이너배차관리!$O:$O,$B107)),GLAPS정리!$D$2:$D$50,0)),IF(INDEX(GLAPS컨테이너배차관리!$O:$O,$B107)="","",INDEX(GLAPS컨테이너배차관리!$O:$O,$B107)))))</f>
        <v/>
      </c>
      <c r="K107" t="str">
        <f>IF($B107="","",IF(LEFT(IF(INDEX(GLAPS컨테이너배차관리!$Y:$Y,$B107)="","",INDEX(GLAPS컨테이너배차관리!$Y:$Y,$B107)),2)="22","20 Feet",IF(LEFT(IF(INDEX(GLAPS컨테이너배차관리!$Y:$Y,$B107)="","",INDEX(GLAPS컨테이너배차관리!$Y:$Y,$B107)),2)="42","40 Feet","40 Feet H")))</f>
        <v/>
      </c>
      <c r="L107" t="str">
        <f>IF($B107="","",IFERROR(INDEX(GLAPS정리!$BB$2:$BB$80,MATCH(IF(INDEX(GLAPS컨테이너배차관리!$BQ:$BQ,$B107)="","",INDEX(GLAPS컨테이너배차관리!$BQ:$BQ,$B107)),GLAPS정리!$BC$2:$BC$80,0)),IF(INDEX(GLAPS컨테이너배차관리!$BQ:$BQ,$B107)="","",INDEX(GLAPS컨테이너배차관리!$BQ:$BQ,$B107))))</f>
        <v/>
      </c>
      <c r="M107" t="str">
        <f>IF($B107="","",IFERROR(INDEX(GLAPS정리!$V$3:$V$180,MATCH(IF(INDEX(GLAPS컨테이너배차관리!$S:$S,$B107)="","",INDEX(GLAPS컨테이너배차관리!$S:$S,$B107)),GLAPS정리!$W$3:$W$180,0)),IF(INDEX(GLAPS컨테이너배차관리!$S:$S,$B107)="","",INDEX(GLAPS컨테이너배차관리!$S:$S,$B107))))</f>
        <v/>
      </c>
      <c r="N107" t="str">
        <f>IF($B107="","",IF(IF(INDEX(GLAPS컨테이너배차관리!$DF:$DF,$B107)="","",INDEX(GLAPS컨테이너배차관리!$DF:$DF,$B107))&lt;&gt;"",IF(INDEX(GLAPS컨테이너배차관리!$DF:$DF,$B107)="","",INDEX(GLAPS컨테이너배차관리!$DF:$DF,$B107)),IF(IF(INDEX(GLAPS컨테이너배차관리!$DG:$DG,$B107)="","",INDEX(GLAPS컨테이너배차관리!$DG:$DG,$B107))&lt;&gt;"",IF(INDEX(GLAPS컨테이너배차관리!$DG:$DG,$B107)="","",INDEX(GLAPS컨테이너배차관리!$DG:$DG,$B107)),"")))</f>
        <v/>
      </c>
      <c r="O107" t="str">
        <f>IF($B107="","",IF(INDEX(GLAPS컨테이너배차관리!$AB:$AB,$B107)="","",INDEX(GLAPS컨테이너배차관리!$AB:$AB,$B107)))</f>
        <v/>
      </c>
      <c r="P107" t="str">
        <f>IF($B107="","",IF(IF(INDEX(GLAPS컨테이너배차관리!$CP:$CP,$B107)="","",INDEX(GLAPS컨테이너배차관리!$CP:$CP,$B107))="","",IFERROR(INDEX(GLAPS정리!$BH$2:$BH$101,MATCH(IF(INDEX(GLAPS컨테이너배차관리!$CP:$CP,$B107)="","",INDEX(GLAPS컨테이너배차관리!$CP:$CP,$B107)),GLAPS정리!$BI$2:$BI$101,0)),IF(INDEX(GLAPS컨테이너배차관리!$CP:$CP,$B107)="","",INDEX(GLAPS컨테이너배차관리!$CP:$CP,$B107)))))</f>
        <v/>
      </c>
      <c r="Q107" t="str">
        <f>IF($B107="","",IF(AND(IF(INDEX(GLAPS컨테이너배차관리!$AK:$AK,$B107)="","",INDEX(GLAPS컨테이너배차관리!$AK:$AK,$B107))="Y",IF(INDEX(GLAPS컨테이너배차관리!$AI:$AI,$B107)="","",INDEX(GLAPS컨테이너배차관리!$AI:$AI,$B107))="Y"),"위험물리퍼",IF(IF(INDEX(GLAPS컨테이너배차관리!$AK:$AK,$B107)="","",INDEX(GLAPS컨테이너배차관리!$AK:$AK,$B107))="Y","위험물",IF(IF(INDEX(GLAPS컨테이너배차관리!$AI:$AI,$B107)="","",INDEX(GLAPS컨테이너배차관리!$AI:$AI,$B107))="Y","리퍼",""))))</f>
        <v/>
      </c>
      <c r="R107" t="str">
        <f>IF($B107="","",IF(LEFT(IF(INDEX(GLAPS컨테이너배차관리!$Y:$Y,$B107)="","",INDEX(GLAPS컨테이너배차관리!$Y:$Y,$B107)),2)="22",1,""))</f>
        <v/>
      </c>
      <c r="S107" t="str">
        <f>IF($B107="","",IF(LEFT(IF(INDEX(GLAPS컨테이너배차관리!$Y:$Y,$B107)="","",INDEX(GLAPS컨테이너배차관리!$Y:$Y,$B107)),2)="42",1,""))</f>
        <v/>
      </c>
      <c r="T107" t="str">
        <f>IF($B107="","",IF(LEFT(IF(INDEX(GLAPS컨테이너배차관리!$Y:$Y,$B107)="","",INDEX(GLAPS컨테이너배차관리!$Y:$Y,$B107)),2)="45",1,""))</f>
        <v/>
      </c>
      <c r="U107" t="str">
        <f>IF($B107="","",IF(INDEX(GLAPS컨테이너배차관리!$X:$X,$B107)="","",INDEX(GLAPS컨테이너배차관리!$X:$X,$B107)))</f>
        <v/>
      </c>
      <c r="V107" t="str">
        <f>IF($B107="","",IF(INDEX(GLAPS컨테이너배차관리!$Z:$Z,$B107)="","",INDEX(GLAPS컨테이너배차관리!$Z:$Z,$B107)))</f>
        <v/>
      </c>
      <c r="W107" t="str">
        <f>IF($B107="","",IF(IF(INDEX(GLAPS컨테이너배차관리!$DI:$DI,$B107)="","",INDEX(GLAPS컨테이너배차관리!$DI:$DI,$B107))&lt;&gt;"",IF(INDEX(GLAPS컨테이너배차관리!$DI:$DI,$B107)="","",INDEX(GLAPS컨테이너배차관리!$DI:$DI,$B107)),IF(IF(INDEX(GLAPS컨테이너배차관리!$DJ:$DJ,$B107)="","",INDEX(GLAPS컨테이너배차관리!$DJ:$DJ,$B107))&lt;&gt;"",IF(INDEX(GLAPS컨테이너배차관리!$DJ:$DJ,$B107)="","",INDEX(GLAPS컨테이너배차관리!$DJ:$DJ,$B107)),IF(IF(INDEX(GLAPS컨테이너배차관리!$DK:$DK,$B107)="","",INDEX(GLAPS컨테이너배차관리!$DK:$DK,$B107))&lt;&gt;"",IF(INDEX(GLAPS컨테이너배차관리!$DK:$DK,$B107)="","",INDEX(GLAPS컨테이너배차관리!$DK:$DK,$B107)),IF(IF(INDEX(GLAPS컨테이너배차관리!$DL:$DL,$B107)="","",INDEX(GLAPS컨테이너배차관리!$DL:$DL,$B107))&lt;&gt;"",IF(INDEX(GLAPS컨테이너배차관리!$DL:$DL,$B107)="","",INDEX(GLAPS컨테이너배차관리!$DL:$DL,$B107)),IF(IF(INDEX(GLAPS컨테이너배차관리!$DM:$DM,$B107)="","",INDEX(GLAPS컨테이너배차관리!$DM:$DM,$B107))&lt;&gt;"",IF(INDEX(GLAPS컨테이너배차관리!$DM:$DM,$B107)="","",INDEX(GLAPS컨테이너배차관리!$DM:$DM,$B107)),""))))))</f>
        <v/>
      </c>
      <c r="X107" t="str">
        <f>IF($B107="","",IF(INDEX(GLAPS컨테이너배차관리!$F:$F,$B107)="","",INDEX(GLAPS컨테이너배차관리!$F:$F,$B107)))</f>
        <v/>
      </c>
      <c r="Y107" t="str">
        <f>IF($B107="","",IF(IF(INDEX(GLAPS컨테이너배차관리!$M:$M,$B107)="","",INDEX(GLAPS컨테이너배차관리!$M:$M,$B107))&lt;&gt;"",IF(INDEX(GLAPS컨테이너배차관리!$M:$M,$B107)="","",INDEX(GLAPS컨테이너배차관리!$M:$M,$B107)),IF(IF(INDEX(GLAPS컨테이너배차관리!$N:$N,$B107)="","",INDEX(GLAPS컨테이너배차관리!$N:$N,$B107))&lt;&gt;"",IF(INDEX(GLAPS컨테이너배차관리!$N:$N,$B107)="","",INDEX(GLAPS컨테이너배차관리!$N:$N,$B107)),"")))</f>
        <v/>
      </c>
      <c r="Z107" t="str">
        <f>IF($B107="","",IF(IF(INDEX(GLAPS컨테이너배차관리!$CU:$CU,$B107)="","",INDEX(GLAPS컨테이너배차관리!$CU:$CU,$B107))="","",IFERROR(INT(IF(INDEX(GLAPS컨테이너배차관리!$CU:$CU,$B107)="","",INDEX(GLAPS컨테이너배차관리!$CU:$CU,$B107))),"")))</f>
        <v/>
      </c>
      <c r="AA107" t="str">
        <f>IF($B107="","",IF(AND(IF(INDEX(GLAPS컨테이너배차관리!$CL:$CL,$B107)="","",INDEX(GLAPS컨테이너배차관리!$CL:$CL,$B107))="",IF(INDEX(GLAPS컨테이너배차관리!$CM:$CM,$B107)="","",INDEX(GLAPS컨테이너배차관리!$CM:$CM,$B107))=""),"",IF(OR(IF(INDEX(GLAPS컨테이너배차관리!$CL:$CL,$B107)="","",INDEX(GLAPS컨테이너배차관리!$CL:$CL,$B107))="B000016649",ISNUMBER(SEARCH("B015",IF(INDEX(GLAPS컨테이너배차관리!$CM:$CM,$B107)="","",INDEX(GLAPS컨테이너배차관리!$CM:$CM,$B107)))),ISNUMBER(SEARCH("세방",IF(INDEX(GLAPS컨테이너배차관리!$CM:$CM,$B107)="","",INDEX(GLAPS컨테이너배차관리!$CM:$CM,$B107)))),ISNUMBER(SEARCH("SB",IF(INDEX(GLAPS컨테이너배차관리!$CM:$CM,$B107)="","",INDEX(GLAPS컨테이너배차관리!$CM:$CM,$B107))))),"세방","")))</f>
        <v/>
      </c>
      <c r="AB107" t="str">
        <f>IF($B107="","",IF(IF(INDEX(GLAPS컨테이너배차관리!$CM:$CM,$B107)="","",INDEX(GLAPS컨테이너배차관리!$CM:$CM,$B107))="","",IF(ISNUMBER(SEARCH("이지스두동",IF(INDEX(GLAPS컨테이너배차관리!$CM:$CM,$B107)="","",INDEX(GLAPS컨테이너배차관리!$CM:$CM,$B107)))),"이지스두동",IF(ISNUMBER(SEARCH("이지스녹산",IF(INDEX(GLAPS컨테이너배차관리!$CM:$CM,$B107)="","",INDEX(GLAPS컨테이너배차관리!$CM:$CM,$B107)))),"이지스녹산",IF(ISNUMBER(SEARCH("천우",IF(INDEX(GLAPS컨테이너배차관리!$CM:$CM,$B107)="","",INDEX(GLAPS컨테이너배차관리!$CM:$CM,$B107)))),"천우",IF(OR(ISNUMBER(SEARCH("청암",IF(INDEX(GLAPS컨테이너배차관리!$CM:$CM,$B107)="","",INDEX(GLAPS컨테이너배차관리!$CM:$CM,$B107)))),ISNUMBER(SEARCH("SB청암",IF(INDEX(GLAPS컨테이너배차관리!$CM:$CM,$B107)="","",INDEX(GLAPS컨테이너배차관리!$CM:$CM,$B107))))),"청암신항",IF(INDEX(GLAPS컨테이너배차관리!$CM:$CM,$B107)="","",INDEX(GLAPS컨테이너배차관리!$CM:$CM,$B107))))))))</f>
        <v/>
      </c>
    </row>
    <row r="108" spans="1:28">
      <c r="A108">
        <v>107</v>
      </c>
      <c r="B108" t="str">
        <f>IFERROR(_xlfn.AGGREGATE(15,6,ROW(GLAPS컨테이너배차관리!$X$2:$X$20000)/(GLAPS컨테이너배차관리!$X$2:$X$20000&lt;&gt;""),A108),"")</f>
        <v/>
      </c>
      <c r="C108" t="str">
        <f>IF($B108="","",INT(IF(INDEX(GLAPS컨테이너배차관리!$K:$K,$B108)="","",INDEX(GLAPS컨테이너배차관리!$K:$K,$B108))))</f>
        <v/>
      </c>
      <c r="D108" t="str">
        <f>IF($B108="","",IF(ISNUMBER(SEARCH("이엘에스",IF(INDEX(GLAPS컨테이너배차관리!$AZ:$AZ,$B108)="","",INDEX(GLAPS컨테이너배차관리!$AZ:$AZ,$B108)))),"ELS솔루션",IF(INDEX(GLAPS컨테이너배차관리!$AZ:$AZ,$B108)="","",INDEX(GLAPS컨테이너배차관리!$AZ:$AZ,$B108))))</f>
        <v/>
      </c>
      <c r="E108" t="str">
        <f>IF($B108="","",IF(INDEX(GLAPS컨테이너배차관리!$L:$L,$B108)="","",INDEX(GLAPS컨테이너배차관리!$L:$L,$B108)))</f>
        <v/>
      </c>
      <c r="F108" t="str">
        <f>IF($B108="","",IF(HOUR(IF(INDEX(GLAPS컨테이너배차관리!$L:$L,$B108)="","",INDEX(GLAPS컨테이너배차관리!$L:$L,$B108)))&lt;12,"오전",IF(HOUR(IF(INDEX(GLAPS컨테이너배차관리!$L:$L,$B108)="","",INDEX(GLAPS컨테이너배차관리!$L:$L,$B108)))&lt;18,"오후","잔업")))</f>
        <v/>
      </c>
      <c r="G108" t="str">
        <f>IF($B108="","",IFERROR(INDEX(GLAPS정리!$G$3:$G$264,MATCH(IF(INDEX(GLAPS컨테이너배차관리!$BY:$BY,$B108)="","",INDEX(GLAPS컨테이너배차관리!$BY:$BY,$B108)),GLAPS정리!$H$3:$H$264,0)),TRIM(SUBSTITUTE(SUBSTITUTE(SUBSTITUTE(SUBSTITUTE(SUBSTITUTE(IF(INDEX(GLAPS컨테이너배차관리!$T:$T,$B108)="","",INDEX(GLAPS컨테이너배차관리!$T:$T,$B108)),"[GA]",""),"[GB]",""),"[GC]",""),"[KC]",""),"[GS]",""))))</f>
        <v/>
      </c>
      <c r="H108" t="str">
        <f>IF($B108="","",IFERROR(VLOOKUP(IF(INDEX(GLAPS컨테이너배차관리!$BY:$BY,$B108)="","",INDEX(GLAPS컨테이너배차관리!$BY:$BY,$B108)),GLAPS정리!$BT$3:$BV$200,3,0),""))</f>
        <v/>
      </c>
      <c r="I108" t="str">
        <f>IF($B108="","",LEFT(IF(INDEX(GLAPS컨테이너배차관리!$U:$U,$B108)="","",INDEX(GLAPS컨테이너배차관리!$U:$U,$B108)),FIND("/",IF(INDEX(GLAPS컨테이너배차관리!$U:$U,$B108)="","",INDEX(GLAPS컨테이너배차관리!$U:$U,$B108))&amp;"/")-1))</f>
        <v/>
      </c>
      <c r="J108" t="str">
        <f>IF($B108="","",IF(IF(INDEX(GLAPS컨테이너배차관리!$O:$O,$B108)="","",INDEX(GLAPS컨테이너배차관리!$O:$O,$B108))="EMC","EMA",IFERROR(INDEX(GLAPS정리!$A$2:$A$50,MATCH(IF(INDEX(GLAPS컨테이너배차관리!$O:$O,$B108)="","",INDEX(GLAPS컨테이너배차관리!$O:$O,$B108)),GLAPS정리!$D$2:$D$50,0)),IF(INDEX(GLAPS컨테이너배차관리!$O:$O,$B108)="","",INDEX(GLAPS컨테이너배차관리!$O:$O,$B108)))))</f>
        <v/>
      </c>
      <c r="K108" t="str">
        <f>IF($B108="","",IF(LEFT(IF(INDEX(GLAPS컨테이너배차관리!$Y:$Y,$B108)="","",INDEX(GLAPS컨테이너배차관리!$Y:$Y,$B108)),2)="22","20 Feet",IF(LEFT(IF(INDEX(GLAPS컨테이너배차관리!$Y:$Y,$B108)="","",INDEX(GLAPS컨테이너배차관리!$Y:$Y,$B108)),2)="42","40 Feet","40 Feet H")))</f>
        <v/>
      </c>
      <c r="L108" t="str">
        <f>IF($B108="","",IFERROR(INDEX(GLAPS정리!$BB$2:$BB$80,MATCH(IF(INDEX(GLAPS컨테이너배차관리!$BQ:$BQ,$B108)="","",INDEX(GLAPS컨테이너배차관리!$BQ:$BQ,$B108)),GLAPS정리!$BC$2:$BC$80,0)),IF(INDEX(GLAPS컨테이너배차관리!$BQ:$BQ,$B108)="","",INDEX(GLAPS컨테이너배차관리!$BQ:$BQ,$B108))))</f>
        <v/>
      </c>
      <c r="M108" t="str">
        <f>IF($B108="","",IFERROR(INDEX(GLAPS정리!$V$3:$V$180,MATCH(IF(INDEX(GLAPS컨테이너배차관리!$S:$S,$B108)="","",INDEX(GLAPS컨테이너배차관리!$S:$S,$B108)),GLAPS정리!$W$3:$W$180,0)),IF(INDEX(GLAPS컨테이너배차관리!$S:$S,$B108)="","",INDEX(GLAPS컨테이너배차관리!$S:$S,$B108))))</f>
        <v/>
      </c>
      <c r="N108" t="str">
        <f>IF($B108="","",IF(IF(INDEX(GLAPS컨테이너배차관리!$DF:$DF,$B108)="","",INDEX(GLAPS컨테이너배차관리!$DF:$DF,$B108))&lt;&gt;"",IF(INDEX(GLAPS컨테이너배차관리!$DF:$DF,$B108)="","",INDEX(GLAPS컨테이너배차관리!$DF:$DF,$B108)),IF(IF(INDEX(GLAPS컨테이너배차관리!$DG:$DG,$B108)="","",INDEX(GLAPS컨테이너배차관리!$DG:$DG,$B108))&lt;&gt;"",IF(INDEX(GLAPS컨테이너배차관리!$DG:$DG,$B108)="","",INDEX(GLAPS컨테이너배차관리!$DG:$DG,$B108)),"")))</f>
        <v/>
      </c>
      <c r="O108" t="str">
        <f>IF($B108="","",IF(INDEX(GLAPS컨테이너배차관리!$AB:$AB,$B108)="","",INDEX(GLAPS컨테이너배차관리!$AB:$AB,$B108)))</f>
        <v/>
      </c>
      <c r="P108" t="str">
        <f>IF($B108="","",IF(IF(INDEX(GLAPS컨테이너배차관리!$CP:$CP,$B108)="","",INDEX(GLAPS컨테이너배차관리!$CP:$CP,$B108))="","",IFERROR(INDEX(GLAPS정리!$BH$2:$BH$101,MATCH(IF(INDEX(GLAPS컨테이너배차관리!$CP:$CP,$B108)="","",INDEX(GLAPS컨테이너배차관리!$CP:$CP,$B108)),GLAPS정리!$BI$2:$BI$101,0)),IF(INDEX(GLAPS컨테이너배차관리!$CP:$CP,$B108)="","",INDEX(GLAPS컨테이너배차관리!$CP:$CP,$B108)))))</f>
        <v/>
      </c>
      <c r="Q108" t="str">
        <f>IF($B108="","",IF(AND(IF(INDEX(GLAPS컨테이너배차관리!$AK:$AK,$B108)="","",INDEX(GLAPS컨테이너배차관리!$AK:$AK,$B108))="Y",IF(INDEX(GLAPS컨테이너배차관리!$AI:$AI,$B108)="","",INDEX(GLAPS컨테이너배차관리!$AI:$AI,$B108))="Y"),"위험물리퍼",IF(IF(INDEX(GLAPS컨테이너배차관리!$AK:$AK,$B108)="","",INDEX(GLAPS컨테이너배차관리!$AK:$AK,$B108))="Y","위험물",IF(IF(INDEX(GLAPS컨테이너배차관리!$AI:$AI,$B108)="","",INDEX(GLAPS컨테이너배차관리!$AI:$AI,$B108))="Y","리퍼",""))))</f>
        <v/>
      </c>
      <c r="R108" t="str">
        <f>IF($B108="","",IF(LEFT(IF(INDEX(GLAPS컨테이너배차관리!$Y:$Y,$B108)="","",INDEX(GLAPS컨테이너배차관리!$Y:$Y,$B108)),2)="22",1,""))</f>
        <v/>
      </c>
      <c r="S108" t="str">
        <f>IF($B108="","",IF(LEFT(IF(INDEX(GLAPS컨테이너배차관리!$Y:$Y,$B108)="","",INDEX(GLAPS컨테이너배차관리!$Y:$Y,$B108)),2)="42",1,""))</f>
        <v/>
      </c>
      <c r="T108" t="str">
        <f>IF($B108="","",IF(LEFT(IF(INDEX(GLAPS컨테이너배차관리!$Y:$Y,$B108)="","",INDEX(GLAPS컨테이너배차관리!$Y:$Y,$B108)),2)="45",1,""))</f>
        <v/>
      </c>
      <c r="U108" t="str">
        <f>IF($B108="","",IF(INDEX(GLAPS컨테이너배차관리!$X:$X,$B108)="","",INDEX(GLAPS컨테이너배차관리!$X:$X,$B108)))</f>
        <v/>
      </c>
      <c r="V108" t="str">
        <f>IF($B108="","",IF(INDEX(GLAPS컨테이너배차관리!$Z:$Z,$B108)="","",INDEX(GLAPS컨테이너배차관리!$Z:$Z,$B108)))</f>
        <v/>
      </c>
      <c r="W108" t="str">
        <f>IF($B108="","",IF(IF(INDEX(GLAPS컨테이너배차관리!$DI:$DI,$B108)="","",INDEX(GLAPS컨테이너배차관리!$DI:$DI,$B108))&lt;&gt;"",IF(INDEX(GLAPS컨테이너배차관리!$DI:$DI,$B108)="","",INDEX(GLAPS컨테이너배차관리!$DI:$DI,$B108)),IF(IF(INDEX(GLAPS컨테이너배차관리!$DJ:$DJ,$B108)="","",INDEX(GLAPS컨테이너배차관리!$DJ:$DJ,$B108))&lt;&gt;"",IF(INDEX(GLAPS컨테이너배차관리!$DJ:$DJ,$B108)="","",INDEX(GLAPS컨테이너배차관리!$DJ:$DJ,$B108)),IF(IF(INDEX(GLAPS컨테이너배차관리!$DK:$DK,$B108)="","",INDEX(GLAPS컨테이너배차관리!$DK:$DK,$B108))&lt;&gt;"",IF(INDEX(GLAPS컨테이너배차관리!$DK:$DK,$B108)="","",INDEX(GLAPS컨테이너배차관리!$DK:$DK,$B108)),IF(IF(INDEX(GLAPS컨테이너배차관리!$DL:$DL,$B108)="","",INDEX(GLAPS컨테이너배차관리!$DL:$DL,$B108))&lt;&gt;"",IF(INDEX(GLAPS컨테이너배차관리!$DL:$DL,$B108)="","",INDEX(GLAPS컨테이너배차관리!$DL:$DL,$B108)),IF(IF(INDEX(GLAPS컨테이너배차관리!$DM:$DM,$B108)="","",INDEX(GLAPS컨테이너배차관리!$DM:$DM,$B108))&lt;&gt;"",IF(INDEX(GLAPS컨테이너배차관리!$DM:$DM,$B108)="","",INDEX(GLAPS컨테이너배차관리!$DM:$DM,$B108)),""))))))</f>
        <v/>
      </c>
      <c r="X108" t="str">
        <f>IF($B108="","",IF(INDEX(GLAPS컨테이너배차관리!$F:$F,$B108)="","",INDEX(GLAPS컨테이너배차관리!$F:$F,$B108)))</f>
        <v/>
      </c>
      <c r="Y108" t="str">
        <f>IF($B108="","",IF(IF(INDEX(GLAPS컨테이너배차관리!$M:$M,$B108)="","",INDEX(GLAPS컨테이너배차관리!$M:$M,$B108))&lt;&gt;"",IF(INDEX(GLAPS컨테이너배차관리!$M:$M,$B108)="","",INDEX(GLAPS컨테이너배차관리!$M:$M,$B108)),IF(IF(INDEX(GLAPS컨테이너배차관리!$N:$N,$B108)="","",INDEX(GLAPS컨테이너배차관리!$N:$N,$B108))&lt;&gt;"",IF(INDEX(GLAPS컨테이너배차관리!$N:$N,$B108)="","",INDEX(GLAPS컨테이너배차관리!$N:$N,$B108)),"")))</f>
        <v/>
      </c>
      <c r="Z108" t="str">
        <f>IF($B108="","",IF(IF(INDEX(GLAPS컨테이너배차관리!$CU:$CU,$B108)="","",INDEX(GLAPS컨테이너배차관리!$CU:$CU,$B108))="","",IFERROR(INT(IF(INDEX(GLAPS컨테이너배차관리!$CU:$CU,$B108)="","",INDEX(GLAPS컨테이너배차관리!$CU:$CU,$B108))),"")))</f>
        <v/>
      </c>
      <c r="AA108" t="str">
        <f>IF($B108="","",IF(AND(IF(INDEX(GLAPS컨테이너배차관리!$CL:$CL,$B108)="","",INDEX(GLAPS컨테이너배차관리!$CL:$CL,$B108))="",IF(INDEX(GLAPS컨테이너배차관리!$CM:$CM,$B108)="","",INDEX(GLAPS컨테이너배차관리!$CM:$CM,$B108))=""),"",IF(OR(IF(INDEX(GLAPS컨테이너배차관리!$CL:$CL,$B108)="","",INDEX(GLAPS컨테이너배차관리!$CL:$CL,$B108))="B000016649",ISNUMBER(SEARCH("B015",IF(INDEX(GLAPS컨테이너배차관리!$CM:$CM,$B108)="","",INDEX(GLAPS컨테이너배차관리!$CM:$CM,$B108)))),ISNUMBER(SEARCH("세방",IF(INDEX(GLAPS컨테이너배차관리!$CM:$CM,$B108)="","",INDEX(GLAPS컨테이너배차관리!$CM:$CM,$B108)))),ISNUMBER(SEARCH("SB",IF(INDEX(GLAPS컨테이너배차관리!$CM:$CM,$B108)="","",INDEX(GLAPS컨테이너배차관리!$CM:$CM,$B108))))),"세방","")))</f>
        <v/>
      </c>
      <c r="AB108" t="str">
        <f>IF($B108="","",IF(IF(INDEX(GLAPS컨테이너배차관리!$CM:$CM,$B108)="","",INDEX(GLAPS컨테이너배차관리!$CM:$CM,$B108))="","",IF(ISNUMBER(SEARCH("이지스두동",IF(INDEX(GLAPS컨테이너배차관리!$CM:$CM,$B108)="","",INDEX(GLAPS컨테이너배차관리!$CM:$CM,$B108)))),"이지스두동",IF(ISNUMBER(SEARCH("이지스녹산",IF(INDEX(GLAPS컨테이너배차관리!$CM:$CM,$B108)="","",INDEX(GLAPS컨테이너배차관리!$CM:$CM,$B108)))),"이지스녹산",IF(ISNUMBER(SEARCH("천우",IF(INDEX(GLAPS컨테이너배차관리!$CM:$CM,$B108)="","",INDEX(GLAPS컨테이너배차관리!$CM:$CM,$B108)))),"천우",IF(OR(ISNUMBER(SEARCH("청암",IF(INDEX(GLAPS컨테이너배차관리!$CM:$CM,$B108)="","",INDEX(GLAPS컨테이너배차관리!$CM:$CM,$B108)))),ISNUMBER(SEARCH("SB청암",IF(INDEX(GLAPS컨테이너배차관리!$CM:$CM,$B108)="","",INDEX(GLAPS컨테이너배차관리!$CM:$CM,$B108))))),"청암신항",IF(INDEX(GLAPS컨테이너배차관리!$CM:$CM,$B108)="","",INDEX(GLAPS컨테이너배차관리!$CM:$CM,$B108))))))))</f>
        <v/>
      </c>
    </row>
    <row r="109" spans="1:28">
      <c r="A109">
        <v>108</v>
      </c>
      <c r="B109" t="str">
        <f>IFERROR(_xlfn.AGGREGATE(15,6,ROW(GLAPS컨테이너배차관리!$X$2:$X$20000)/(GLAPS컨테이너배차관리!$X$2:$X$20000&lt;&gt;""),A109),"")</f>
        <v/>
      </c>
      <c r="C109" t="str">
        <f>IF($B109="","",INT(IF(INDEX(GLAPS컨테이너배차관리!$K:$K,$B109)="","",INDEX(GLAPS컨테이너배차관리!$K:$K,$B109))))</f>
        <v/>
      </c>
      <c r="D109" t="str">
        <f>IF($B109="","",IF(ISNUMBER(SEARCH("이엘에스",IF(INDEX(GLAPS컨테이너배차관리!$AZ:$AZ,$B109)="","",INDEX(GLAPS컨테이너배차관리!$AZ:$AZ,$B109)))),"ELS솔루션",IF(INDEX(GLAPS컨테이너배차관리!$AZ:$AZ,$B109)="","",INDEX(GLAPS컨테이너배차관리!$AZ:$AZ,$B109))))</f>
        <v/>
      </c>
      <c r="E109" t="str">
        <f>IF($B109="","",IF(INDEX(GLAPS컨테이너배차관리!$L:$L,$B109)="","",INDEX(GLAPS컨테이너배차관리!$L:$L,$B109)))</f>
        <v/>
      </c>
      <c r="F109" t="str">
        <f>IF($B109="","",IF(HOUR(IF(INDEX(GLAPS컨테이너배차관리!$L:$L,$B109)="","",INDEX(GLAPS컨테이너배차관리!$L:$L,$B109)))&lt;12,"오전",IF(HOUR(IF(INDEX(GLAPS컨테이너배차관리!$L:$L,$B109)="","",INDEX(GLAPS컨테이너배차관리!$L:$L,$B109)))&lt;18,"오후","잔업")))</f>
        <v/>
      </c>
      <c r="G109" t="str">
        <f>IF($B109="","",IFERROR(INDEX(GLAPS정리!$G$3:$G$264,MATCH(IF(INDEX(GLAPS컨테이너배차관리!$BY:$BY,$B109)="","",INDEX(GLAPS컨테이너배차관리!$BY:$BY,$B109)),GLAPS정리!$H$3:$H$264,0)),TRIM(SUBSTITUTE(SUBSTITUTE(SUBSTITUTE(SUBSTITUTE(SUBSTITUTE(IF(INDEX(GLAPS컨테이너배차관리!$T:$T,$B109)="","",INDEX(GLAPS컨테이너배차관리!$T:$T,$B109)),"[GA]",""),"[GB]",""),"[GC]",""),"[KC]",""),"[GS]",""))))</f>
        <v/>
      </c>
      <c r="H109" t="str">
        <f>IF($B109="","",IFERROR(VLOOKUP(IF(INDEX(GLAPS컨테이너배차관리!$BY:$BY,$B109)="","",INDEX(GLAPS컨테이너배차관리!$BY:$BY,$B109)),GLAPS정리!$BT$3:$BV$200,3,0),""))</f>
        <v/>
      </c>
      <c r="I109" t="str">
        <f>IF($B109="","",LEFT(IF(INDEX(GLAPS컨테이너배차관리!$U:$U,$B109)="","",INDEX(GLAPS컨테이너배차관리!$U:$U,$B109)),FIND("/",IF(INDEX(GLAPS컨테이너배차관리!$U:$U,$B109)="","",INDEX(GLAPS컨테이너배차관리!$U:$U,$B109))&amp;"/")-1))</f>
        <v/>
      </c>
      <c r="J109" t="str">
        <f>IF($B109="","",IF(IF(INDEX(GLAPS컨테이너배차관리!$O:$O,$B109)="","",INDEX(GLAPS컨테이너배차관리!$O:$O,$B109))="EMC","EMA",IFERROR(INDEX(GLAPS정리!$A$2:$A$50,MATCH(IF(INDEX(GLAPS컨테이너배차관리!$O:$O,$B109)="","",INDEX(GLAPS컨테이너배차관리!$O:$O,$B109)),GLAPS정리!$D$2:$D$50,0)),IF(INDEX(GLAPS컨테이너배차관리!$O:$O,$B109)="","",INDEX(GLAPS컨테이너배차관리!$O:$O,$B109)))))</f>
        <v/>
      </c>
      <c r="K109" t="str">
        <f>IF($B109="","",IF(LEFT(IF(INDEX(GLAPS컨테이너배차관리!$Y:$Y,$B109)="","",INDEX(GLAPS컨테이너배차관리!$Y:$Y,$B109)),2)="22","20 Feet",IF(LEFT(IF(INDEX(GLAPS컨테이너배차관리!$Y:$Y,$B109)="","",INDEX(GLAPS컨테이너배차관리!$Y:$Y,$B109)),2)="42","40 Feet","40 Feet H")))</f>
        <v/>
      </c>
      <c r="L109" t="str">
        <f>IF($B109="","",IFERROR(INDEX(GLAPS정리!$BB$2:$BB$80,MATCH(IF(INDEX(GLAPS컨테이너배차관리!$BQ:$BQ,$B109)="","",INDEX(GLAPS컨테이너배차관리!$BQ:$BQ,$B109)),GLAPS정리!$BC$2:$BC$80,0)),IF(INDEX(GLAPS컨테이너배차관리!$BQ:$BQ,$B109)="","",INDEX(GLAPS컨테이너배차관리!$BQ:$BQ,$B109))))</f>
        <v/>
      </c>
      <c r="M109" t="str">
        <f>IF($B109="","",IFERROR(INDEX(GLAPS정리!$V$3:$V$180,MATCH(IF(INDEX(GLAPS컨테이너배차관리!$S:$S,$B109)="","",INDEX(GLAPS컨테이너배차관리!$S:$S,$B109)),GLAPS정리!$W$3:$W$180,0)),IF(INDEX(GLAPS컨테이너배차관리!$S:$S,$B109)="","",INDEX(GLAPS컨테이너배차관리!$S:$S,$B109))))</f>
        <v/>
      </c>
      <c r="N109" t="str">
        <f>IF($B109="","",IF(IF(INDEX(GLAPS컨테이너배차관리!$DF:$DF,$B109)="","",INDEX(GLAPS컨테이너배차관리!$DF:$DF,$B109))&lt;&gt;"",IF(INDEX(GLAPS컨테이너배차관리!$DF:$DF,$B109)="","",INDEX(GLAPS컨테이너배차관리!$DF:$DF,$B109)),IF(IF(INDEX(GLAPS컨테이너배차관리!$DG:$DG,$B109)="","",INDEX(GLAPS컨테이너배차관리!$DG:$DG,$B109))&lt;&gt;"",IF(INDEX(GLAPS컨테이너배차관리!$DG:$DG,$B109)="","",INDEX(GLAPS컨테이너배차관리!$DG:$DG,$B109)),"")))</f>
        <v/>
      </c>
      <c r="O109" t="str">
        <f>IF($B109="","",IF(INDEX(GLAPS컨테이너배차관리!$AB:$AB,$B109)="","",INDEX(GLAPS컨테이너배차관리!$AB:$AB,$B109)))</f>
        <v/>
      </c>
      <c r="P109" t="str">
        <f>IF($B109="","",IF(IF(INDEX(GLAPS컨테이너배차관리!$CP:$CP,$B109)="","",INDEX(GLAPS컨테이너배차관리!$CP:$CP,$B109))="","",IFERROR(INDEX(GLAPS정리!$BH$2:$BH$101,MATCH(IF(INDEX(GLAPS컨테이너배차관리!$CP:$CP,$B109)="","",INDEX(GLAPS컨테이너배차관리!$CP:$CP,$B109)),GLAPS정리!$BI$2:$BI$101,0)),IF(INDEX(GLAPS컨테이너배차관리!$CP:$CP,$B109)="","",INDEX(GLAPS컨테이너배차관리!$CP:$CP,$B109)))))</f>
        <v/>
      </c>
      <c r="Q109" t="str">
        <f>IF($B109="","",IF(AND(IF(INDEX(GLAPS컨테이너배차관리!$AK:$AK,$B109)="","",INDEX(GLAPS컨테이너배차관리!$AK:$AK,$B109))="Y",IF(INDEX(GLAPS컨테이너배차관리!$AI:$AI,$B109)="","",INDEX(GLAPS컨테이너배차관리!$AI:$AI,$B109))="Y"),"위험물리퍼",IF(IF(INDEX(GLAPS컨테이너배차관리!$AK:$AK,$B109)="","",INDEX(GLAPS컨테이너배차관리!$AK:$AK,$B109))="Y","위험물",IF(IF(INDEX(GLAPS컨테이너배차관리!$AI:$AI,$B109)="","",INDEX(GLAPS컨테이너배차관리!$AI:$AI,$B109))="Y","리퍼",""))))</f>
        <v/>
      </c>
      <c r="R109" t="str">
        <f>IF($B109="","",IF(LEFT(IF(INDEX(GLAPS컨테이너배차관리!$Y:$Y,$B109)="","",INDEX(GLAPS컨테이너배차관리!$Y:$Y,$B109)),2)="22",1,""))</f>
        <v/>
      </c>
      <c r="S109" t="str">
        <f>IF($B109="","",IF(LEFT(IF(INDEX(GLAPS컨테이너배차관리!$Y:$Y,$B109)="","",INDEX(GLAPS컨테이너배차관리!$Y:$Y,$B109)),2)="42",1,""))</f>
        <v/>
      </c>
      <c r="T109" t="str">
        <f>IF($B109="","",IF(LEFT(IF(INDEX(GLAPS컨테이너배차관리!$Y:$Y,$B109)="","",INDEX(GLAPS컨테이너배차관리!$Y:$Y,$B109)),2)="45",1,""))</f>
        <v/>
      </c>
      <c r="U109" t="str">
        <f>IF($B109="","",IF(INDEX(GLAPS컨테이너배차관리!$X:$X,$B109)="","",INDEX(GLAPS컨테이너배차관리!$X:$X,$B109)))</f>
        <v/>
      </c>
      <c r="V109" t="str">
        <f>IF($B109="","",IF(INDEX(GLAPS컨테이너배차관리!$Z:$Z,$B109)="","",INDEX(GLAPS컨테이너배차관리!$Z:$Z,$B109)))</f>
        <v/>
      </c>
      <c r="W109" t="str">
        <f>IF($B109="","",IF(IF(INDEX(GLAPS컨테이너배차관리!$DI:$DI,$B109)="","",INDEX(GLAPS컨테이너배차관리!$DI:$DI,$B109))&lt;&gt;"",IF(INDEX(GLAPS컨테이너배차관리!$DI:$DI,$B109)="","",INDEX(GLAPS컨테이너배차관리!$DI:$DI,$B109)),IF(IF(INDEX(GLAPS컨테이너배차관리!$DJ:$DJ,$B109)="","",INDEX(GLAPS컨테이너배차관리!$DJ:$DJ,$B109))&lt;&gt;"",IF(INDEX(GLAPS컨테이너배차관리!$DJ:$DJ,$B109)="","",INDEX(GLAPS컨테이너배차관리!$DJ:$DJ,$B109)),IF(IF(INDEX(GLAPS컨테이너배차관리!$DK:$DK,$B109)="","",INDEX(GLAPS컨테이너배차관리!$DK:$DK,$B109))&lt;&gt;"",IF(INDEX(GLAPS컨테이너배차관리!$DK:$DK,$B109)="","",INDEX(GLAPS컨테이너배차관리!$DK:$DK,$B109)),IF(IF(INDEX(GLAPS컨테이너배차관리!$DL:$DL,$B109)="","",INDEX(GLAPS컨테이너배차관리!$DL:$DL,$B109))&lt;&gt;"",IF(INDEX(GLAPS컨테이너배차관리!$DL:$DL,$B109)="","",INDEX(GLAPS컨테이너배차관리!$DL:$DL,$B109)),IF(IF(INDEX(GLAPS컨테이너배차관리!$DM:$DM,$B109)="","",INDEX(GLAPS컨테이너배차관리!$DM:$DM,$B109))&lt;&gt;"",IF(INDEX(GLAPS컨테이너배차관리!$DM:$DM,$B109)="","",INDEX(GLAPS컨테이너배차관리!$DM:$DM,$B109)),""))))))</f>
        <v/>
      </c>
      <c r="X109" t="str">
        <f>IF($B109="","",IF(INDEX(GLAPS컨테이너배차관리!$F:$F,$B109)="","",INDEX(GLAPS컨테이너배차관리!$F:$F,$B109)))</f>
        <v/>
      </c>
      <c r="Y109" t="str">
        <f>IF($B109="","",IF(IF(INDEX(GLAPS컨테이너배차관리!$M:$M,$B109)="","",INDEX(GLAPS컨테이너배차관리!$M:$M,$B109))&lt;&gt;"",IF(INDEX(GLAPS컨테이너배차관리!$M:$M,$B109)="","",INDEX(GLAPS컨테이너배차관리!$M:$M,$B109)),IF(IF(INDEX(GLAPS컨테이너배차관리!$N:$N,$B109)="","",INDEX(GLAPS컨테이너배차관리!$N:$N,$B109))&lt;&gt;"",IF(INDEX(GLAPS컨테이너배차관리!$N:$N,$B109)="","",INDEX(GLAPS컨테이너배차관리!$N:$N,$B109)),"")))</f>
        <v/>
      </c>
      <c r="Z109" t="str">
        <f>IF($B109="","",IF(IF(INDEX(GLAPS컨테이너배차관리!$CU:$CU,$B109)="","",INDEX(GLAPS컨테이너배차관리!$CU:$CU,$B109))="","",IFERROR(INT(IF(INDEX(GLAPS컨테이너배차관리!$CU:$CU,$B109)="","",INDEX(GLAPS컨테이너배차관리!$CU:$CU,$B109))),"")))</f>
        <v/>
      </c>
      <c r="AA109" t="str">
        <f>IF($B109="","",IF(AND(IF(INDEX(GLAPS컨테이너배차관리!$CL:$CL,$B109)="","",INDEX(GLAPS컨테이너배차관리!$CL:$CL,$B109))="",IF(INDEX(GLAPS컨테이너배차관리!$CM:$CM,$B109)="","",INDEX(GLAPS컨테이너배차관리!$CM:$CM,$B109))=""),"",IF(OR(IF(INDEX(GLAPS컨테이너배차관리!$CL:$CL,$B109)="","",INDEX(GLAPS컨테이너배차관리!$CL:$CL,$B109))="B000016649",ISNUMBER(SEARCH("B015",IF(INDEX(GLAPS컨테이너배차관리!$CM:$CM,$B109)="","",INDEX(GLAPS컨테이너배차관리!$CM:$CM,$B109)))),ISNUMBER(SEARCH("세방",IF(INDEX(GLAPS컨테이너배차관리!$CM:$CM,$B109)="","",INDEX(GLAPS컨테이너배차관리!$CM:$CM,$B109)))),ISNUMBER(SEARCH("SB",IF(INDEX(GLAPS컨테이너배차관리!$CM:$CM,$B109)="","",INDEX(GLAPS컨테이너배차관리!$CM:$CM,$B109))))),"세방","")))</f>
        <v/>
      </c>
      <c r="AB109" t="str">
        <f>IF($B109="","",IF(IF(INDEX(GLAPS컨테이너배차관리!$CM:$CM,$B109)="","",INDEX(GLAPS컨테이너배차관리!$CM:$CM,$B109))="","",IF(ISNUMBER(SEARCH("이지스두동",IF(INDEX(GLAPS컨테이너배차관리!$CM:$CM,$B109)="","",INDEX(GLAPS컨테이너배차관리!$CM:$CM,$B109)))),"이지스두동",IF(ISNUMBER(SEARCH("이지스녹산",IF(INDEX(GLAPS컨테이너배차관리!$CM:$CM,$B109)="","",INDEX(GLAPS컨테이너배차관리!$CM:$CM,$B109)))),"이지스녹산",IF(ISNUMBER(SEARCH("천우",IF(INDEX(GLAPS컨테이너배차관리!$CM:$CM,$B109)="","",INDEX(GLAPS컨테이너배차관리!$CM:$CM,$B109)))),"천우",IF(OR(ISNUMBER(SEARCH("청암",IF(INDEX(GLAPS컨테이너배차관리!$CM:$CM,$B109)="","",INDEX(GLAPS컨테이너배차관리!$CM:$CM,$B109)))),ISNUMBER(SEARCH("SB청암",IF(INDEX(GLAPS컨테이너배차관리!$CM:$CM,$B109)="","",INDEX(GLAPS컨테이너배차관리!$CM:$CM,$B109))))),"청암신항",IF(INDEX(GLAPS컨테이너배차관리!$CM:$CM,$B109)="","",INDEX(GLAPS컨테이너배차관리!$CM:$CM,$B109))))))))</f>
        <v/>
      </c>
    </row>
    <row r="110" spans="1:28">
      <c r="A110">
        <v>109</v>
      </c>
      <c r="B110" t="str">
        <f>IFERROR(_xlfn.AGGREGATE(15,6,ROW(GLAPS컨테이너배차관리!$X$2:$X$20000)/(GLAPS컨테이너배차관리!$X$2:$X$20000&lt;&gt;""),A110),"")</f>
        <v/>
      </c>
      <c r="C110" t="str">
        <f>IF($B110="","",INT(IF(INDEX(GLAPS컨테이너배차관리!$K:$K,$B110)="","",INDEX(GLAPS컨테이너배차관리!$K:$K,$B110))))</f>
        <v/>
      </c>
      <c r="D110" t="str">
        <f>IF($B110="","",IF(ISNUMBER(SEARCH("이엘에스",IF(INDEX(GLAPS컨테이너배차관리!$AZ:$AZ,$B110)="","",INDEX(GLAPS컨테이너배차관리!$AZ:$AZ,$B110)))),"ELS솔루션",IF(INDEX(GLAPS컨테이너배차관리!$AZ:$AZ,$B110)="","",INDEX(GLAPS컨테이너배차관리!$AZ:$AZ,$B110))))</f>
        <v/>
      </c>
      <c r="E110" t="str">
        <f>IF($B110="","",IF(INDEX(GLAPS컨테이너배차관리!$L:$L,$B110)="","",INDEX(GLAPS컨테이너배차관리!$L:$L,$B110)))</f>
        <v/>
      </c>
      <c r="F110" t="str">
        <f>IF($B110="","",IF(HOUR(IF(INDEX(GLAPS컨테이너배차관리!$L:$L,$B110)="","",INDEX(GLAPS컨테이너배차관리!$L:$L,$B110)))&lt;12,"오전",IF(HOUR(IF(INDEX(GLAPS컨테이너배차관리!$L:$L,$B110)="","",INDEX(GLAPS컨테이너배차관리!$L:$L,$B110)))&lt;18,"오후","잔업")))</f>
        <v/>
      </c>
      <c r="G110" t="str">
        <f>IF($B110="","",IFERROR(INDEX(GLAPS정리!$G$3:$G$264,MATCH(IF(INDEX(GLAPS컨테이너배차관리!$BY:$BY,$B110)="","",INDEX(GLAPS컨테이너배차관리!$BY:$BY,$B110)),GLAPS정리!$H$3:$H$264,0)),TRIM(SUBSTITUTE(SUBSTITUTE(SUBSTITUTE(SUBSTITUTE(SUBSTITUTE(IF(INDEX(GLAPS컨테이너배차관리!$T:$T,$B110)="","",INDEX(GLAPS컨테이너배차관리!$T:$T,$B110)),"[GA]",""),"[GB]",""),"[GC]",""),"[KC]",""),"[GS]",""))))</f>
        <v/>
      </c>
      <c r="H110" t="str">
        <f>IF($B110="","",IFERROR(VLOOKUP(IF(INDEX(GLAPS컨테이너배차관리!$BY:$BY,$B110)="","",INDEX(GLAPS컨테이너배차관리!$BY:$BY,$B110)),GLAPS정리!$BT$3:$BV$200,3,0),""))</f>
        <v/>
      </c>
      <c r="I110" t="str">
        <f>IF($B110="","",LEFT(IF(INDEX(GLAPS컨테이너배차관리!$U:$U,$B110)="","",INDEX(GLAPS컨테이너배차관리!$U:$U,$B110)),FIND("/",IF(INDEX(GLAPS컨테이너배차관리!$U:$U,$B110)="","",INDEX(GLAPS컨테이너배차관리!$U:$U,$B110))&amp;"/")-1))</f>
        <v/>
      </c>
      <c r="J110" t="str">
        <f>IF($B110="","",IF(IF(INDEX(GLAPS컨테이너배차관리!$O:$O,$B110)="","",INDEX(GLAPS컨테이너배차관리!$O:$O,$B110))="EMC","EMA",IFERROR(INDEX(GLAPS정리!$A$2:$A$50,MATCH(IF(INDEX(GLAPS컨테이너배차관리!$O:$O,$B110)="","",INDEX(GLAPS컨테이너배차관리!$O:$O,$B110)),GLAPS정리!$D$2:$D$50,0)),IF(INDEX(GLAPS컨테이너배차관리!$O:$O,$B110)="","",INDEX(GLAPS컨테이너배차관리!$O:$O,$B110)))))</f>
        <v/>
      </c>
      <c r="K110" t="str">
        <f>IF($B110="","",IF(LEFT(IF(INDEX(GLAPS컨테이너배차관리!$Y:$Y,$B110)="","",INDEX(GLAPS컨테이너배차관리!$Y:$Y,$B110)),2)="22","20 Feet",IF(LEFT(IF(INDEX(GLAPS컨테이너배차관리!$Y:$Y,$B110)="","",INDEX(GLAPS컨테이너배차관리!$Y:$Y,$B110)),2)="42","40 Feet","40 Feet H")))</f>
        <v/>
      </c>
      <c r="L110" t="str">
        <f>IF($B110="","",IFERROR(INDEX(GLAPS정리!$BB$2:$BB$80,MATCH(IF(INDEX(GLAPS컨테이너배차관리!$BQ:$BQ,$B110)="","",INDEX(GLAPS컨테이너배차관리!$BQ:$BQ,$B110)),GLAPS정리!$BC$2:$BC$80,0)),IF(INDEX(GLAPS컨테이너배차관리!$BQ:$BQ,$B110)="","",INDEX(GLAPS컨테이너배차관리!$BQ:$BQ,$B110))))</f>
        <v/>
      </c>
      <c r="M110" t="str">
        <f>IF($B110="","",IFERROR(INDEX(GLAPS정리!$V$3:$V$180,MATCH(IF(INDEX(GLAPS컨테이너배차관리!$S:$S,$B110)="","",INDEX(GLAPS컨테이너배차관리!$S:$S,$B110)),GLAPS정리!$W$3:$W$180,0)),IF(INDEX(GLAPS컨테이너배차관리!$S:$S,$B110)="","",INDEX(GLAPS컨테이너배차관리!$S:$S,$B110))))</f>
        <v/>
      </c>
      <c r="N110" t="str">
        <f>IF($B110="","",IF(IF(INDEX(GLAPS컨테이너배차관리!$DF:$DF,$B110)="","",INDEX(GLAPS컨테이너배차관리!$DF:$DF,$B110))&lt;&gt;"",IF(INDEX(GLAPS컨테이너배차관리!$DF:$DF,$B110)="","",INDEX(GLAPS컨테이너배차관리!$DF:$DF,$B110)),IF(IF(INDEX(GLAPS컨테이너배차관리!$DG:$DG,$B110)="","",INDEX(GLAPS컨테이너배차관리!$DG:$DG,$B110))&lt;&gt;"",IF(INDEX(GLAPS컨테이너배차관리!$DG:$DG,$B110)="","",INDEX(GLAPS컨테이너배차관리!$DG:$DG,$B110)),"")))</f>
        <v/>
      </c>
      <c r="O110" t="str">
        <f>IF($B110="","",IF(INDEX(GLAPS컨테이너배차관리!$AB:$AB,$B110)="","",INDEX(GLAPS컨테이너배차관리!$AB:$AB,$B110)))</f>
        <v/>
      </c>
      <c r="P110" t="str">
        <f>IF($B110="","",IF(IF(INDEX(GLAPS컨테이너배차관리!$CP:$CP,$B110)="","",INDEX(GLAPS컨테이너배차관리!$CP:$CP,$B110))="","",IFERROR(INDEX(GLAPS정리!$BH$2:$BH$101,MATCH(IF(INDEX(GLAPS컨테이너배차관리!$CP:$CP,$B110)="","",INDEX(GLAPS컨테이너배차관리!$CP:$CP,$B110)),GLAPS정리!$BI$2:$BI$101,0)),IF(INDEX(GLAPS컨테이너배차관리!$CP:$CP,$B110)="","",INDEX(GLAPS컨테이너배차관리!$CP:$CP,$B110)))))</f>
        <v/>
      </c>
      <c r="Q110" t="str">
        <f>IF($B110="","",IF(AND(IF(INDEX(GLAPS컨테이너배차관리!$AK:$AK,$B110)="","",INDEX(GLAPS컨테이너배차관리!$AK:$AK,$B110))="Y",IF(INDEX(GLAPS컨테이너배차관리!$AI:$AI,$B110)="","",INDEX(GLAPS컨테이너배차관리!$AI:$AI,$B110))="Y"),"위험물리퍼",IF(IF(INDEX(GLAPS컨테이너배차관리!$AK:$AK,$B110)="","",INDEX(GLAPS컨테이너배차관리!$AK:$AK,$B110))="Y","위험물",IF(IF(INDEX(GLAPS컨테이너배차관리!$AI:$AI,$B110)="","",INDEX(GLAPS컨테이너배차관리!$AI:$AI,$B110))="Y","리퍼",""))))</f>
        <v/>
      </c>
      <c r="R110" t="str">
        <f>IF($B110="","",IF(LEFT(IF(INDEX(GLAPS컨테이너배차관리!$Y:$Y,$B110)="","",INDEX(GLAPS컨테이너배차관리!$Y:$Y,$B110)),2)="22",1,""))</f>
        <v/>
      </c>
      <c r="S110" t="str">
        <f>IF($B110="","",IF(LEFT(IF(INDEX(GLAPS컨테이너배차관리!$Y:$Y,$B110)="","",INDEX(GLAPS컨테이너배차관리!$Y:$Y,$B110)),2)="42",1,""))</f>
        <v/>
      </c>
      <c r="T110" t="str">
        <f>IF($B110="","",IF(LEFT(IF(INDEX(GLAPS컨테이너배차관리!$Y:$Y,$B110)="","",INDEX(GLAPS컨테이너배차관리!$Y:$Y,$B110)),2)="45",1,""))</f>
        <v/>
      </c>
      <c r="U110" t="str">
        <f>IF($B110="","",IF(INDEX(GLAPS컨테이너배차관리!$X:$X,$B110)="","",INDEX(GLAPS컨테이너배차관리!$X:$X,$B110)))</f>
        <v/>
      </c>
      <c r="V110" t="str">
        <f>IF($B110="","",IF(INDEX(GLAPS컨테이너배차관리!$Z:$Z,$B110)="","",INDEX(GLAPS컨테이너배차관리!$Z:$Z,$B110)))</f>
        <v/>
      </c>
      <c r="W110" t="str">
        <f>IF($B110="","",IF(IF(INDEX(GLAPS컨테이너배차관리!$DI:$DI,$B110)="","",INDEX(GLAPS컨테이너배차관리!$DI:$DI,$B110))&lt;&gt;"",IF(INDEX(GLAPS컨테이너배차관리!$DI:$DI,$B110)="","",INDEX(GLAPS컨테이너배차관리!$DI:$DI,$B110)),IF(IF(INDEX(GLAPS컨테이너배차관리!$DJ:$DJ,$B110)="","",INDEX(GLAPS컨테이너배차관리!$DJ:$DJ,$B110))&lt;&gt;"",IF(INDEX(GLAPS컨테이너배차관리!$DJ:$DJ,$B110)="","",INDEX(GLAPS컨테이너배차관리!$DJ:$DJ,$B110)),IF(IF(INDEX(GLAPS컨테이너배차관리!$DK:$DK,$B110)="","",INDEX(GLAPS컨테이너배차관리!$DK:$DK,$B110))&lt;&gt;"",IF(INDEX(GLAPS컨테이너배차관리!$DK:$DK,$B110)="","",INDEX(GLAPS컨테이너배차관리!$DK:$DK,$B110)),IF(IF(INDEX(GLAPS컨테이너배차관리!$DL:$DL,$B110)="","",INDEX(GLAPS컨테이너배차관리!$DL:$DL,$B110))&lt;&gt;"",IF(INDEX(GLAPS컨테이너배차관리!$DL:$DL,$B110)="","",INDEX(GLAPS컨테이너배차관리!$DL:$DL,$B110)),IF(IF(INDEX(GLAPS컨테이너배차관리!$DM:$DM,$B110)="","",INDEX(GLAPS컨테이너배차관리!$DM:$DM,$B110))&lt;&gt;"",IF(INDEX(GLAPS컨테이너배차관리!$DM:$DM,$B110)="","",INDEX(GLAPS컨테이너배차관리!$DM:$DM,$B110)),""))))))</f>
        <v/>
      </c>
      <c r="X110" t="str">
        <f>IF($B110="","",IF(INDEX(GLAPS컨테이너배차관리!$F:$F,$B110)="","",INDEX(GLAPS컨테이너배차관리!$F:$F,$B110)))</f>
        <v/>
      </c>
      <c r="Y110" t="str">
        <f>IF($B110="","",IF(IF(INDEX(GLAPS컨테이너배차관리!$M:$M,$B110)="","",INDEX(GLAPS컨테이너배차관리!$M:$M,$B110))&lt;&gt;"",IF(INDEX(GLAPS컨테이너배차관리!$M:$M,$B110)="","",INDEX(GLAPS컨테이너배차관리!$M:$M,$B110)),IF(IF(INDEX(GLAPS컨테이너배차관리!$N:$N,$B110)="","",INDEX(GLAPS컨테이너배차관리!$N:$N,$B110))&lt;&gt;"",IF(INDEX(GLAPS컨테이너배차관리!$N:$N,$B110)="","",INDEX(GLAPS컨테이너배차관리!$N:$N,$B110)),"")))</f>
        <v/>
      </c>
      <c r="Z110" t="str">
        <f>IF($B110="","",IF(IF(INDEX(GLAPS컨테이너배차관리!$CU:$CU,$B110)="","",INDEX(GLAPS컨테이너배차관리!$CU:$CU,$B110))="","",IFERROR(INT(IF(INDEX(GLAPS컨테이너배차관리!$CU:$CU,$B110)="","",INDEX(GLAPS컨테이너배차관리!$CU:$CU,$B110))),"")))</f>
        <v/>
      </c>
      <c r="AA110" t="str">
        <f>IF($B110="","",IF(AND(IF(INDEX(GLAPS컨테이너배차관리!$CL:$CL,$B110)="","",INDEX(GLAPS컨테이너배차관리!$CL:$CL,$B110))="",IF(INDEX(GLAPS컨테이너배차관리!$CM:$CM,$B110)="","",INDEX(GLAPS컨테이너배차관리!$CM:$CM,$B110))=""),"",IF(OR(IF(INDEX(GLAPS컨테이너배차관리!$CL:$CL,$B110)="","",INDEX(GLAPS컨테이너배차관리!$CL:$CL,$B110))="B000016649",ISNUMBER(SEARCH("B015",IF(INDEX(GLAPS컨테이너배차관리!$CM:$CM,$B110)="","",INDEX(GLAPS컨테이너배차관리!$CM:$CM,$B110)))),ISNUMBER(SEARCH("세방",IF(INDEX(GLAPS컨테이너배차관리!$CM:$CM,$B110)="","",INDEX(GLAPS컨테이너배차관리!$CM:$CM,$B110)))),ISNUMBER(SEARCH("SB",IF(INDEX(GLAPS컨테이너배차관리!$CM:$CM,$B110)="","",INDEX(GLAPS컨테이너배차관리!$CM:$CM,$B110))))),"세방","")))</f>
        <v/>
      </c>
      <c r="AB110" t="str">
        <f>IF($B110="","",IF(IF(INDEX(GLAPS컨테이너배차관리!$CM:$CM,$B110)="","",INDEX(GLAPS컨테이너배차관리!$CM:$CM,$B110))="","",IF(ISNUMBER(SEARCH("이지스두동",IF(INDEX(GLAPS컨테이너배차관리!$CM:$CM,$B110)="","",INDEX(GLAPS컨테이너배차관리!$CM:$CM,$B110)))),"이지스두동",IF(ISNUMBER(SEARCH("이지스녹산",IF(INDEX(GLAPS컨테이너배차관리!$CM:$CM,$B110)="","",INDEX(GLAPS컨테이너배차관리!$CM:$CM,$B110)))),"이지스녹산",IF(ISNUMBER(SEARCH("천우",IF(INDEX(GLAPS컨테이너배차관리!$CM:$CM,$B110)="","",INDEX(GLAPS컨테이너배차관리!$CM:$CM,$B110)))),"천우",IF(OR(ISNUMBER(SEARCH("청암",IF(INDEX(GLAPS컨테이너배차관리!$CM:$CM,$B110)="","",INDEX(GLAPS컨테이너배차관리!$CM:$CM,$B110)))),ISNUMBER(SEARCH("SB청암",IF(INDEX(GLAPS컨테이너배차관리!$CM:$CM,$B110)="","",INDEX(GLAPS컨테이너배차관리!$CM:$CM,$B110))))),"청암신항",IF(INDEX(GLAPS컨테이너배차관리!$CM:$CM,$B110)="","",INDEX(GLAPS컨테이너배차관리!$CM:$CM,$B110))))))))</f>
        <v/>
      </c>
    </row>
    <row r="111" spans="1:28">
      <c r="A111">
        <v>110</v>
      </c>
      <c r="B111" t="str">
        <f>IFERROR(_xlfn.AGGREGATE(15,6,ROW(GLAPS컨테이너배차관리!$X$2:$X$20000)/(GLAPS컨테이너배차관리!$X$2:$X$20000&lt;&gt;""),A111),"")</f>
        <v/>
      </c>
      <c r="C111" t="str">
        <f>IF($B111="","",INT(IF(INDEX(GLAPS컨테이너배차관리!$K:$K,$B111)="","",INDEX(GLAPS컨테이너배차관리!$K:$K,$B111))))</f>
        <v/>
      </c>
      <c r="D111" t="str">
        <f>IF($B111="","",IF(ISNUMBER(SEARCH("이엘에스",IF(INDEX(GLAPS컨테이너배차관리!$AZ:$AZ,$B111)="","",INDEX(GLAPS컨테이너배차관리!$AZ:$AZ,$B111)))),"ELS솔루션",IF(INDEX(GLAPS컨테이너배차관리!$AZ:$AZ,$B111)="","",INDEX(GLAPS컨테이너배차관리!$AZ:$AZ,$B111))))</f>
        <v/>
      </c>
      <c r="E111" t="str">
        <f>IF($B111="","",IF(INDEX(GLAPS컨테이너배차관리!$L:$L,$B111)="","",INDEX(GLAPS컨테이너배차관리!$L:$L,$B111)))</f>
        <v/>
      </c>
      <c r="F111" t="str">
        <f>IF($B111="","",IF(HOUR(IF(INDEX(GLAPS컨테이너배차관리!$L:$L,$B111)="","",INDEX(GLAPS컨테이너배차관리!$L:$L,$B111)))&lt;12,"오전",IF(HOUR(IF(INDEX(GLAPS컨테이너배차관리!$L:$L,$B111)="","",INDEX(GLAPS컨테이너배차관리!$L:$L,$B111)))&lt;18,"오후","잔업")))</f>
        <v/>
      </c>
      <c r="G111" t="str">
        <f>IF($B111="","",IFERROR(INDEX(GLAPS정리!$G$3:$G$264,MATCH(IF(INDEX(GLAPS컨테이너배차관리!$BY:$BY,$B111)="","",INDEX(GLAPS컨테이너배차관리!$BY:$BY,$B111)),GLAPS정리!$H$3:$H$264,0)),TRIM(SUBSTITUTE(SUBSTITUTE(SUBSTITUTE(SUBSTITUTE(SUBSTITUTE(IF(INDEX(GLAPS컨테이너배차관리!$T:$T,$B111)="","",INDEX(GLAPS컨테이너배차관리!$T:$T,$B111)),"[GA]",""),"[GB]",""),"[GC]",""),"[KC]",""),"[GS]",""))))</f>
        <v/>
      </c>
      <c r="H111" t="str">
        <f>IF($B111="","",IFERROR(VLOOKUP(IF(INDEX(GLAPS컨테이너배차관리!$BY:$BY,$B111)="","",INDEX(GLAPS컨테이너배차관리!$BY:$BY,$B111)),GLAPS정리!$BT$3:$BV$200,3,0),""))</f>
        <v/>
      </c>
      <c r="I111" t="str">
        <f>IF($B111="","",LEFT(IF(INDEX(GLAPS컨테이너배차관리!$U:$U,$B111)="","",INDEX(GLAPS컨테이너배차관리!$U:$U,$B111)),FIND("/",IF(INDEX(GLAPS컨테이너배차관리!$U:$U,$B111)="","",INDEX(GLAPS컨테이너배차관리!$U:$U,$B111))&amp;"/")-1))</f>
        <v/>
      </c>
      <c r="J111" t="str">
        <f>IF($B111="","",IF(IF(INDEX(GLAPS컨테이너배차관리!$O:$O,$B111)="","",INDEX(GLAPS컨테이너배차관리!$O:$O,$B111))="EMC","EMA",IFERROR(INDEX(GLAPS정리!$A$2:$A$50,MATCH(IF(INDEX(GLAPS컨테이너배차관리!$O:$O,$B111)="","",INDEX(GLAPS컨테이너배차관리!$O:$O,$B111)),GLAPS정리!$D$2:$D$50,0)),IF(INDEX(GLAPS컨테이너배차관리!$O:$O,$B111)="","",INDEX(GLAPS컨테이너배차관리!$O:$O,$B111)))))</f>
        <v/>
      </c>
      <c r="K111" t="str">
        <f>IF($B111="","",IF(LEFT(IF(INDEX(GLAPS컨테이너배차관리!$Y:$Y,$B111)="","",INDEX(GLAPS컨테이너배차관리!$Y:$Y,$B111)),2)="22","20 Feet",IF(LEFT(IF(INDEX(GLAPS컨테이너배차관리!$Y:$Y,$B111)="","",INDEX(GLAPS컨테이너배차관리!$Y:$Y,$B111)),2)="42","40 Feet","40 Feet H")))</f>
        <v/>
      </c>
      <c r="L111" t="str">
        <f>IF($B111="","",IFERROR(INDEX(GLAPS정리!$BB$2:$BB$80,MATCH(IF(INDEX(GLAPS컨테이너배차관리!$BQ:$BQ,$B111)="","",INDEX(GLAPS컨테이너배차관리!$BQ:$BQ,$B111)),GLAPS정리!$BC$2:$BC$80,0)),IF(INDEX(GLAPS컨테이너배차관리!$BQ:$BQ,$B111)="","",INDEX(GLAPS컨테이너배차관리!$BQ:$BQ,$B111))))</f>
        <v/>
      </c>
      <c r="M111" t="str">
        <f>IF($B111="","",IFERROR(INDEX(GLAPS정리!$V$3:$V$180,MATCH(IF(INDEX(GLAPS컨테이너배차관리!$S:$S,$B111)="","",INDEX(GLAPS컨테이너배차관리!$S:$S,$B111)),GLAPS정리!$W$3:$W$180,0)),IF(INDEX(GLAPS컨테이너배차관리!$S:$S,$B111)="","",INDEX(GLAPS컨테이너배차관리!$S:$S,$B111))))</f>
        <v/>
      </c>
      <c r="N111" t="str">
        <f>IF($B111="","",IF(IF(INDEX(GLAPS컨테이너배차관리!$DF:$DF,$B111)="","",INDEX(GLAPS컨테이너배차관리!$DF:$DF,$B111))&lt;&gt;"",IF(INDEX(GLAPS컨테이너배차관리!$DF:$DF,$B111)="","",INDEX(GLAPS컨테이너배차관리!$DF:$DF,$B111)),IF(IF(INDEX(GLAPS컨테이너배차관리!$DG:$DG,$B111)="","",INDEX(GLAPS컨테이너배차관리!$DG:$DG,$B111))&lt;&gt;"",IF(INDEX(GLAPS컨테이너배차관리!$DG:$DG,$B111)="","",INDEX(GLAPS컨테이너배차관리!$DG:$DG,$B111)),"")))</f>
        <v/>
      </c>
      <c r="O111" t="str">
        <f>IF($B111="","",IF(INDEX(GLAPS컨테이너배차관리!$AB:$AB,$B111)="","",INDEX(GLAPS컨테이너배차관리!$AB:$AB,$B111)))</f>
        <v/>
      </c>
      <c r="P111" t="str">
        <f>IF($B111="","",IF(IF(INDEX(GLAPS컨테이너배차관리!$CP:$CP,$B111)="","",INDEX(GLAPS컨테이너배차관리!$CP:$CP,$B111))="","",IFERROR(INDEX(GLAPS정리!$BH$2:$BH$101,MATCH(IF(INDEX(GLAPS컨테이너배차관리!$CP:$CP,$B111)="","",INDEX(GLAPS컨테이너배차관리!$CP:$CP,$B111)),GLAPS정리!$BI$2:$BI$101,0)),IF(INDEX(GLAPS컨테이너배차관리!$CP:$CP,$B111)="","",INDEX(GLAPS컨테이너배차관리!$CP:$CP,$B111)))))</f>
        <v/>
      </c>
      <c r="Q111" t="str">
        <f>IF($B111="","",IF(AND(IF(INDEX(GLAPS컨테이너배차관리!$AK:$AK,$B111)="","",INDEX(GLAPS컨테이너배차관리!$AK:$AK,$B111))="Y",IF(INDEX(GLAPS컨테이너배차관리!$AI:$AI,$B111)="","",INDEX(GLAPS컨테이너배차관리!$AI:$AI,$B111))="Y"),"위험물리퍼",IF(IF(INDEX(GLAPS컨테이너배차관리!$AK:$AK,$B111)="","",INDEX(GLAPS컨테이너배차관리!$AK:$AK,$B111))="Y","위험물",IF(IF(INDEX(GLAPS컨테이너배차관리!$AI:$AI,$B111)="","",INDEX(GLAPS컨테이너배차관리!$AI:$AI,$B111))="Y","리퍼",""))))</f>
        <v/>
      </c>
      <c r="R111" t="str">
        <f>IF($B111="","",IF(LEFT(IF(INDEX(GLAPS컨테이너배차관리!$Y:$Y,$B111)="","",INDEX(GLAPS컨테이너배차관리!$Y:$Y,$B111)),2)="22",1,""))</f>
        <v/>
      </c>
      <c r="S111" t="str">
        <f>IF($B111="","",IF(LEFT(IF(INDEX(GLAPS컨테이너배차관리!$Y:$Y,$B111)="","",INDEX(GLAPS컨테이너배차관리!$Y:$Y,$B111)),2)="42",1,""))</f>
        <v/>
      </c>
      <c r="T111" t="str">
        <f>IF($B111="","",IF(LEFT(IF(INDEX(GLAPS컨테이너배차관리!$Y:$Y,$B111)="","",INDEX(GLAPS컨테이너배차관리!$Y:$Y,$B111)),2)="45",1,""))</f>
        <v/>
      </c>
      <c r="U111" t="str">
        <f>IF($B111="","",IF(INDEX(GLAPS컨테이너배차관리!$X:$X,$B111)="","",INDEX(GLAPS컨테이너배차관리!$X:$X,$B111)))</f>
        <v/>
      </c>
      <c r="V111" t="str">
        <f>IF($B111="","",IF(INDEX(GLAPS컨테이너배차관리!$Z:$Z,$B111)="","",INDEX(GLAPS컨테이너배차관리!$Z:$Z,$B111)))</f>
        <v/>
      </c>
      <c r="W111" t="str">
        <f>IF($B111="","",IF(IF(INDEX(GLAPS컨테이너배차관리!$DI:$DI,$B111)="","",INDEX(GLAPS컨테이너배차관리!$DI:$DI,$B111))&lt;&gt;"",IF(INDEX(GLAPS컨테이너배차관리!$DI:$DI,$B111)="","",INDEX(GLAPS컨테이너배차관리!$DI:$DI,$B111)),IF(IF(INDEX(GLAPS컨테이너배차관리!$DJ:$DJ,$B111)="","",INDEX(GLAPS컨테이너배차관리!$DJ:$DJ,$B111))&lt;&gt;"",IF(INDEX(GLAPS컨테이너배차관리!$DJ:$DJ,$B111)="","",INDEX(GLAPS컨테이너배차관리!$DJ:$DJ,$B111)),IF(IF(INDEX(GLAPS컨테이너배차관리!$DK:$DK,$B111)="","",INDEX(GLAPS컨테이너배차관리!$DK:$DK,$B111))&lt;&gt;"",IF(INDEX(GLAPS컨테이너배차관리!$DK:$DK,$B111)="","",INDEX(GLAPS컨테이너배차관리!$DK:$DK,$B111)),IF(IF(INDEX(GLAPS컨테이너배차관리!$DL:$DL,$B111)="","",INDEX(GLAPS컨테이너배차관리!$DL:$DL,$B111))&lt;&gt;"",IF(INDEX(GLAPS컨테이너배차관리!$DL:$DL,$B111)="","",INDEX(GLAPS컨테이너배차관리!$DL:$DL,$B111)),IF(IF(INDEX(GLAPS컨테이너배차관리!$DM:$DM,$B111)="","",INDEX(GLAPS컨테이너배차관리!$DM:$DM,$B111))&lt;&gt;"",IF(INDEX(GLAPS컨테이너배차관리!$DM:$DM,$B111)="","",INDEX(GLAPS컨테이너배차관리!$DM:$DM,$B111)),""))))))</f>
        <v/>
      </c>
      <c r="X111" t="str">
        <f>IF($B111="","",IF(INDEX(GLAPS컨테이너배차관리!$F:$F,$B111)="","",INDEX(GLAPS컨테이너배차관리!$F:$F,$B111)))</f>
        <v/>
      </c>
      <c r="Y111" t="str">
        <f>IF($B111="","",IF(IF(INDEX(GLAPS컨테이너배차관리!$M:$M,$B111)="","",INDEX(GLAPS컨테이너배차관리!$M:$M,$B111))&lt;&gt;"",IF(INDEX(GLAPS컨테이너배차관리!$M:$M,$B111)="","",INDEX(GLAPS컨테이너배차관리!$M:$M,$B111)),IF(IF(INDEX(GLAPS컨테이너배차관리!$N:$N,$B111)="","",INDEX(GLAPS컨테이너배차관리!$N:$N,$B111))&lt;&gt;"",IF(INDEX(GLAPS컨테이너배차관리!$N:$N,$B111)="","",INDEX(GLAPS컨테이너배차관리!$N:$N,$B111)),"")))</f>
        <v/>
      </c>
      <c r="Z111" t="str">
        <f>IF($B111="","",IF(IF(INDEX(GLAPS컨테이너배차관리!$CU:$CU,$B111)="","",INDEX(GLAPS컨테이너배차관리!$CU:$CU,$B111))="","",IFERROR(INT(IF(INDEX(GLAPS컨테이너배차관리!$CU:$CU,$B111)="","",INDEX(GLAPS컨테이너배차관리!$CU:$CU,$B111))),"")))</f>
        <v/>
      </c>
      <c r="AA111" t="str">
        <f>IF($B111="","",IF(AND(IF(INDEX(GLAPS컨테이너배차관리!$CL:$CL,$B111)="","",INDEX(GLAPS컨테이너배차관리!$CL:$CL,$B111))="",IF(INDEX(GLAPS컨테이너배차관리!$CM:$CM,$B111)="","",INDEX(GLAPS컨테이너배차관리!$CM:$CM,$B111))=""),"",IF(OR(IF(INDEX(GLAPS컨테이너배차관리!$CL:$CL,$B111)="","",INDEX(GLAPS컨테이너배차관리!$CL:$CL,$B111))="B000016649",ISNUMBER(SEARCH("B015",IF(INDEX(GLAPS컨테이너배차관리!$CM:$CM,$B111)="","",INDEX(GLAPS컨테이너배차관리!$CM:$CM,$B111)))),ISNUMBER(SEARCH("세방",IF(INDEX(GLAPS컨테이너배차관리!$CM:$CM,$B111)="","",INDEX(GLAPS컨테이너배차관리!$CM:$CM,$B111)))),ISNUMBER(SEARCH("SB",IF(INDEX(GLAPS컨테이너배차관리!$CM:$CM,$B111)="","",INDEX(GLAPS컨테이너배차관리!$CM:$CM,$B111))))),"세방","")))</f>
        <v/>
      </c>
      <c r="AB111" t="str">
        <f>IF($B111="","",IF(IF(INDEX(GLAPS컨테이너배차관리!$CM:$CM,$B111)="","",INDEX(GLAPS컨테이너배차관리!$CM:$CM,$B111))="","",IF(ISNUMBER(SEARCH("이지스두동",IF(INDEX(GLAPS컨테이너배차관리!$CM:$CM,$B111)="","",INDEX(GLAPS컨테이너배차관리!$CM:$CM,$B111)))),"이지스두동",IF(ISNUMBER(SEARCH("이지스녹산",IF(INDEX(GLAPS컨테이너배차관리!$CM:$CM,$B111)="","",INDEX(GLAPS컨테이너배차관리!$CM:$CM,$B111)))),"이지스녹산",IF(ISNUMBER(SEARCH("천우",IF(INDEX(GLAPS컨테이너배차관리!$CM:$CM,$B111)="","",INDEX(GLAPS컨테이너배차관리!$CM:$CM,$B111)))),"천우",IF(OR(ISNUMBER(SEARCH("청암",IF(INDEX(GLAPS컨테이너배차관리!$CM:$CM,$B111)="","",INDEX(GLAPS컨테이너배차관리!$CM:$CM,$B111)))),ISNUMBER(SEARCH("SB청암",IF(INDEX(GLAPS컨테이너배차관리!$CM:$CM,$B111)="","",INDEX(GLAPS컨테이너배차관리!$CM:$CM,$B111))))),"청암신항",IF(INDEX(GLAPS컨테이너배차관리!$CM:$CM,$B111)="","",INDEX(GLAPS컨테이너배차관리!$CM:$CM,$B111))))))))</f>
        <v/>
      </c>
    </row>
    <row r="112" spans="1:28">
      <c r="A112">
        <v>111</v>
      </c>
      <c r="B112" t="str">
        <f>IFERROR(_xlfn.AGGREGATE(15,6,ROW(GLAPS컨테이너배차관리!$X$2:$X$20000)/(GLAPS컨테이너배차관리!$X$2:$X$20000&lt;&gt;""),A112),"")</f>
        <v/>
      </c>
      <c r="C112" t="str">
        <f>IF($B112="","",INT(IF(INDEX(GLAPS컨테이너배차관리!$K:$K,$B112)="","",INDEX(GLAPS컨테이너배차관리!$K:$K,$B112))))</f>
        <v/>
      </c>
      <c r="D112" t="str">
        <f>IF($B112="","",IF(ISNUMBER(SEARCH("이엘에스",IF(INDEX(GLAPS컨테이너배차관리!$AZ:$AZ,$B112)="","",INDEX(GLAPS컨테이너배차관리!$AZ:$AZ,$B112)))),"ELS솔루션",IF(INDEX(GLAPS컨테이너배차관리!$AZ:$AZ,$B112)="","",INDEX(GLAPS컨테이너배차관리!$AZ:$AZ,$B112))))</f>
        <v/>
      </c>
      <c r="E112" t="str">
        <f>IF($B112="","",IF(INDEX(GLAPS컨테이너배차관리!$L:$L,$B112)="","",INDEX(GLAPS컨테이너배차관리!$L:$L,$B112)))</f>
        <v/>
      </c>
      <c r="F112" t="str">
        <f>IF($B112="","",IF(HOUR(IF(INDEX(GLAPS컨테이너배차관리!$L:$L,$B112)="","",INDEX(GLAPS컨테이너배차관리!$L:$L,$B112)))&lt;12,"오전",IF(HOUR(IF(INDEX(GLAPS컨테이너배차관리!$L:$L,$B112)="","",INDEX(GLAPS컨테이너배차관리!$L:$L,$B112)))&lt;18,"오후","잔업")))</f>
        <v/>
      </c>
      <c r="G112" t="str">
        <f>IF($B112="","",IFERROR(INDEX(GLAPS정리!$G$3:$G$264,MATCH(IF(INDEX(GLAPS컨테이너배차관리!$BY:$BY,$B112)="","",INDEX(GLAPS컨테이너배차관리!$BY:$BY,$B112)),GLAPS정리!$H$3:$H$264,0)),TRIM(SUBSTITUTE(SUBSTITUTE(SUBSTITUTE(SUBSTITUTE(SUBSTITUTE(IF(INDEX(GLAPS컨테이너배차관리!$T:$T,$B112)="","",INDEX(GLAPS컨테이너배차관리!$T:$T,$B112)),"[GA]",""),"[GB]",""),"[GC]",""),"[KC]",""),"[GS]",""))))</f>
        <v/>
      </c>
      <c r="H112" t="str">
        <f>IF($B112="","",IFERROR(VLOOKUP(IF(INDEX(GLAPS컨테이너배차관리!$BY:$BY,$B112)="","",INDEX(GLAPS컨테이너배차관리!$BY:$BY,$B112)),GLAPS정리!$BT$3:$BV$200,3,0),""))</f>
        <v/>
      </c>
      <c r="I112" t="str">
        <f>IF($B112="","",LEFT(IF(INDEX(GLAPS컨테이너배차관리!$U:$U,$B112)="","",INDEX(GLAPS컨테이너배차관리!$U:$U,$B112)),FIND("/",IF(INDEX(GLAPS컨테이너배차관리!$U:$U,$B112)="","",INDEX(GLAPS컨테이너배차관리!$U:$U,$B112))&amp;"/")-1))</f>
        <v/>
      </c>
      <c r="J112" t="str">
        <f>IF($B112="","",IF(IF(INDEX(GLAPS컨테이너배차관리!$O:$O,$B112)="","",INDEX(GLAPS컨테이너배차관리!$O:$O,$B112))="EMC","EMA",IFERROR(INDEX(GLAPS정리!$A$2:$A$50,MATCH(IF(INDEX(GLAPS컨테이너배차관리!$O:$O,$B112)="","",INDEX(GLAPS컨테이너배차관리!$O:$O,$B112)),GLAPS정리!$D$2:$D$50,0)),IF(INDEX(GLAPS컨테이너배차관리!$O:$O,$B112)="","",INDEX(GLAPS컨테이너배차관리!$O:$O,$B112)))))</f>
        <v/>
      </c>
      <c r="K112" t="str">
        <f>IF($B112="","",IF(LEFT(IF(INDEX(GLAPS컨테이너배차관리!$Y:$Y,$B112)="","",INDEX(GLAPS컨테이너배차관리!$Y:$Y,$B112)),2)="22","20 Feet",IF(LEFT(IF(INDEX(GLAPS컨테이너배차관리!$Y:$Y,$B112)="","",INDEX(GLAPS컨테이너배차관리!$Y:$Y,$B112)),2)="42","40 Feet","40 Feet H")))</f>
        <v/>
      </c>
      <c r="L112" t="str">
        <f>IF($B112="","",IFERROR(INDEX(GLAPS정리!$BB$2:$BB$80,MATCH(IF(INDEX(GLAPS컨테이너배차관리!$BQ:$BQ,$B112)="","",INDEX(GLAPS컨테이너배차관리!$BQ:$BQ,$B112)),GLAPS정리!$BC$2:$BC$80,0)),IF(INDEX(GLAPS컨테이너배차관리!$BQ:$BQ,$B112)="","",INDEX(GLAPS컨테이너배차관리!$BQ:$BQ,$B112))))</f>
        <v/>
      </c>
      <c r="M112" t="str">
        <f>IF($B112="","",IFERROR(INDEX(GLAPS정리!$V$3:$V$180,MATCH(IF(INDEX(GLAPS컨테이너배차관리!$S:$S,$B112)="","",INDEX(GLAPS컨테이너배차관리!$S:$S,$B112)),GLAPS정리!$W$3:$W$180,0)),IF(INDEX(GLAPS컨테이너배차관리!$S:$S,$B112)="","",INDEX(GLAPS컨테이너배차관리!$S:$S,$B112))))</f>
        <v/>
      </c>
      <c r="N112" t="str">
        <f>IF($B112="","",IF(IF(INDEX(GLAPS컨테이너배차관리!$DF:$DF,$B112)="","",INDEX(GLAPS컨테이너배차관리!$DF:$DF,$B112))&lt;&gt;"",IF(INDEX(GLAPS컨테이너배차관리!$DF:$DF,$B112)="","",INDEX(GLAPS컨테이너배차관리!$DF:$DF,$B112)),IF(IF(INDEX(GLAPS컨테이너배차관리!$DG:$DG,$B112)="","",INDEX(GLAPS컨테이너배차관리!$DG:$DG,$B112))&lt;&gt;"",IF(INDEX(GLAPS컨테이너배차관리!$DG:$DG,$B112)="","",INDEX(GLAPS컨테이너배차관리!$DG:$DG,$B112)),"")))</f>
        <v/>
      </c>
      <c r="O112" t="str">
        <f>IF($B112="","",IF(INDEX(GLAPS컨테이너배차관리!$AB:$AB,$B112)="","",INDEX(GLAPS컨테이너배차관리!$AB:$AB,$B112)))</f>
        <v/>
      </c>
      <c r="P112" t="str">
        <f>IF($B112="","",IF(IF(INDEX(GLAPS컨테이너배차관리!$CP:$CP,$B112)="","",INDEX(GLAPS컨테이너배차관리!$CP:$CP,$B112))="","",IFERROR(INDEX(GLAPS정리!$BH$2:$BH$101,MATCH(IF(INDEX(GLAPS컨테이너배차관리!$CP:$CP,$B112)="","",INDEX(GLAPS컨테이너배차관리!$CP:$CP,$B112)),GLAPS정리!$BI$2:$BI$101,0)),IF(INDEX(GLAPS컨테이너배차관리!$CP:$CP,$B112)="","",INDEX(GLAPS컨테이너배차관리!$CP:$CP,$B112)))))</f>
        <v/>
      </c>
      <c r="Q112" t="str">
        <f>IF($B112="","",IF(AND(IF(INDEX(GLAPS컨테이너배차관리!$AK:$AK,$B112)="","",INDEX(GLAPS컨테이너배차관리!$AK:$AK,$B112))="Y",IF(INDEX(GLAPS컨테이너배차관리!$AI:$AI,$B112)="","",INDEX(GLAPS컨테이너배차관리!$AI:$AI,$B112))="Y"),"위험물리퍼",IF(IF(INDEX(GLAPS컨테이너배차관리!$AK:$AK,$B112)="","",INDEX(GLAPS컨테이너배차관리!$AK:$AK,$B112))="Y","위험물",IF(IF(INDEX(GLAPS컨테이너배차관리!$AI:$AI,$B112)="","",INDEX(GLAPS컨테이너배차관리!$AI:$AI,$B112))="Y","리퍼",""))))</f>
        <v/>
      </c>
      <c r="R112" t="str">
        <f>IF($B112="","",IF(LEFT(IF(INDEX(GLAPS컨테이너배차관리!$Y:$Y,$B112)="","",INDEX(GLAPS컨테이너배차관리!$Y:$Y,$B112)),2)="22",1,""))</f>
        <v/>
      </c>
      <c r="S112" t="str">
        <f>IF($B112="","",IF(LEFT(IF(INDEX(GLAPS컨테이너배차관리!$Y:$Y,$B112)="","",INDEX(GLAPS컨테이너배차관리!$Y:$Y,$B112)),2)="42",1,""))</f>
        <v/>
      </c>
      <c r="T112" t="str">
        <f>IF($B112="","",IF(LEFT(IF(INDEX(GLAPS컨테이너배차관리!$Y:$Y,$B112)="","",INDEX(GLAPS컨테이너배차관리!$Y:$Y,$B112)),2)="45",1,""))</f>
        <v/>
      </c>
      <c r="U112" t="str">
        <f>IF($B112="","",IF(INDEX(GLAPS컨테이너배차관리!$X:$X,$B112)="","",INDEX(GLAPS컨테이너배차관리!$X:$X,$B112)))</f>
        <v/>
      </c>
      <c r="V112" t="str">
        <f>IF($B112="","",IF(INDEX(GLAPS컨테이너배차관리!$Z:$Z,$B112)="","",INDEX(GLAPS컨테이너배차관리!$Z:$Z,$B112)))</f>
        <v/>
      </c>
      <c r="W112" t="str">
        <f>IF($B112="","",IF(IF(INDEX(GLAPS컨테이너배차관리!$DI:$DI,$B112)="","",INDEX(GLAPS컨테이너배차관리!$DI:$DI,$B112))&lt;&gt;"",IF(INDEX(GLAPS컨테이너배차관리!$DI:$DI,$B112)="","",INDEX(GLAPS컨테이너배차관리!$DI:$DI,$B112)),IF(IF(INDEX(GLAPS컨테이너배차관리!$DJ:$DJ,$B112)="","",INDEX(GLAPS컨테이너배차관리!$DJ:$DJ,$B112))&lt;&gt;"",IF(INDEX(GLAPS컨테이너배차관리!$DJ:$DJ,$B112)="","",INDEX(GLAPS컨테이너배차관리!$DJ:$DJ,$B112)),IF(IF(INDEX(GLAPS컨테이너배차관리!$DK:$DK,$B112)="","",INDEX(GLAPS컨테이너배차관리!$DK:$DK,$B112))&lt;&gt;"",IF(INDEX(GLAPS컨테이너배차관리!$DK:$DK,$B112)="","",INDEX(GLAPS컨테이너배차관리!$DK:$DK,$B112)),IF(IF(INDEX(GLAPS컨테이너배차관리!$DL:$DL,$B112)="","",INDEX(GLAPS컨테이너배차관리!$DL:$DL,$B112))&lt;&gt;"",IF(INDEX(GLAPS컨테이너배차관리!$DL:$DL,$B112)="","",INDEX(GLAPS컨테이너배차관리!$DL:$DL,$B112)),IF(IF(INDEX(GLAPS컨테이너배차관리!$DM:$DM,$B112)="","",INDEX(GLAPS컨테이너배차관리!$DM:$DM,$B112))&lt;&gt;"",IF(INDEX(GLAPS컨테이너배차관리!$DM:$DM,$B112)="","",INDEX(GLAPS컨테이너배차관리!$DM:$DM,$B112)),""))))))</f>
        <v/>
      </c>
      <c r="X112" t="str">
        <f>IF($B112="","",IF(INDEX(GLAPS컨테이너배차관리!$F:$F,$B112)="","",INDEX(GLAPS컨테이너배차관리!$F:$F,$B112)))</f>
        <v/>
      </c>
      <c r="Y112" t="str">
        <f>IF($B112="","",IF(IF(INDEX(GLAPS컨테이너배차관리!$M:$M,$B112)="","",INDEX(GLAPS컨테이너배차관리!$M:$M,$B112))&lt;&gt;"",IF(INDEX(GLAPS컨테이너배차관리!$M:$M,$B112)="","",INDEX(GLAPS컨테이너배차관리!$M:$M,$B112)),IF(IF(INDEX(GLAPS컨테이너배차관리!$N:$N,$B112)="","",INDEX(GLAPS컨테이너배차관리!$N:$N,$B112))&lt;&gt;"",IF(INDEX(GLAPS컨테이너배차관리!$N:$N,$B112)="","",INDEX(GLAPS컨테이너배차관리!$N:$N,$B112)),"")))</f>
        <v/>
      </c>
      <c r="Z112" t="str">
        <f>IF($B112="","",IF(IF(INDEX(GLAPS컨테이너배차관리!$CU:$CU,$B112)="","",INDEX(GLAPS컨테이너배차관리!$CU:$CU,$B112))="","",IFERROR(INT(IF(INDEX(GLAPS컨테이너배차관리!$CU:$CU,$B112)="","",INDEX(GLAPS컨테이너배차관리!$CU:$CU,$B112))),"")))</f>
        <v/>
      </c>
      <c r="AA112" t="str">
        <f>IF($B112="","",IF(AND(IF(INDEX(GLAPS컨테이너배차관리!$CL:$CL,$B112)="","",INDEX(GLAPS컨테이너배차관리!$CL:$CL,$B112))="",IF(INDEX(GLAPS컨테이너배차관리!$CM:$CM,$B112)="","",INDEX(GLAPS컨테이너배차관리!$CM:$CM,$B112))=""),"",IF(OR(IF(INDEX(GLAPS컨테이너배차관리!$CL:$CL,$B112)="","",INDEX(GLAPS컨테이너배차관리!$CL:$CL,$B112))="B000016649",ISNUMBER(SEARCH("B015",IF(INDEX(GLAPS컨테이너배차관리!$CM:$CM,$B112)="","",INDEX(GLAPS컨테이너배차관리!$CM:$CM,$B112)))),ISNUMBER(SEARCH("세방",IF(INDEX(GLAPS컨테이너배차관리!$CM:$CM,$B112)="","",INDEX(GLAPS컨테이너배차관리!$CM:$CM,$B112)))),ISNUMBER(SEARCH("SB",IF(INDEX(GLAPS컨테이너배차관리!$CM:$CM,$B112)="","",INDEX(GLAPS컨테이너배차관리!$CM:$CM,$B112))))),"세방","")))</f>
        <v/>
      </c>
      <c r="AB112" t="str">
        <f>IF($B112="","",IF(IF(INDEX(GLAPS컨테이너배차관리!$CM:$CM,$B112)="","",INDEX(GLAPS컨테이너배차관리!$CM:$CM,$B112))="","",IF(ISNUMBER(SEARCH("이지스두동",IF(INDEX(GLAPS컨테이너배차관리!$CM:$CM,$B112)="","",INDEX(GLAPS컨테이너배차관리!$CM:$CM,$B112)))),"이지스두동",IF(ISNUMBER(SEARCH("이지스녹산",IF(INDEX(GLAPS컨테이너배차관리!$CM:$CM,$B112)="","",INDEX(GLAPS컨테이너배차관리!$CM:$CM,$B112)))),"이지스녹산",IF(ISNUMBER(SEARCH("천우",IF(INDEX(GLAPS컨테이너배차관리!$CM:$CM,$B112)="","",INDEX(GLAPS컨테이너배차관리!$CM:$CM,$B112)))),"천우",IF(OR(ISNUMBER(SEARCH("청암",IF(INDEX(GLAPS컨테이너배차관리!$CM:$CM,$B112)="","",INDEX(GLAPS컨테이너배차관리!$CM:$CM,$B112)))),ISNUMBER(SEARCH("SB청암",IF(INDEX(GLAPS컨테이너배차관리!$CM:$CM,$B112)="","",INDEX(GLAPS컨테이너배차관리!$CM:$CM,$B112))))),"청암신항",IF(INDEX(GLAPS컨테이너배차관리!$CM:$CM,$B112)="","",INDEX(GLAPS컨테이너배차관리!$CM:$CM,$B112))))))))</f>
        <v/>
      </c>
    </row>
    <row r="113" spans="1:28">
      <c r="A113">
        <v>112</v>
      </c>
      <c r="B113" t="str">
        <f>IFERROR(_xlfn.AGGREGATE(15,6,ROW(GLAPS컨테이너배차관리!$X$2:$X$20000)/(GLAPS컨테이너배차관리!$X$2:$X$20000&lt;&gt;""),A113),"")</f>
        <v/>
      </c>
      <c r="C113" t="str">
        <f>IF($B113="","",INT(IF(INDEX(GLAPS컨테이너배차관리!$K:$K,$B113)="","",INDEX(GLAPS컨테이너배차관리!$K:$K,$B113))))</f>
        <v/>
      </c>
      <c r="D113" t="str">
        <f>IF($B113="","",IF(ISNUMBER(SEARCH("이엘에스",IF(INDEX(GLAPS컨테이너배차관리!$AZ:$AZ,$B113)="","",INDEX(GLAPS컨테이너배차관리!$AZ:$AZ,$B113)))),"ELS솔루션",IF(INDEX(GLAPS컨테이너배차관리!$AZ:$AZ,$B113)="","",INDEX(GLAPS컨테이너배차관리!$AZ:$AZ,$B113))))</f>
        <v/>
      </c>
      <c r="E113" t="str">
        <f>IF($B113="","",IF(INDEX(GLAPS컨테이너배차관리!$L:$L,$B113)="","",INDEX(GLAPS컨테이너배차관리!$L:$L,$B113)))</f>
        <v/>
      </c>
      <c r="F113" t="str">
        <f>IF($B113="","",IF(HOUR(IF(INDEX(GLAPS컨테이너배차관리!$L:$L,$B113)="","",INDEX(GLAPS컨테이너배차관리!$L:$L,$B113)))&lt;12,"오전",IF(HOUR(IF(INDEX(GLAPS컨테이너배차관리!$L:$L,$B113)="","",INDEX(GLAPS컨테이너배차관리!$L:$L,$B113)))&lt;18,"오후","잔업")))</f>
        <v/>
      </c>
      <c r="G113" t="str">
        <f>IF($B113="","",IFERROR(INDEX(GLAPS정리!$G$3:$G$264,MATCH(IF(INDEX(GLAPS컨테이너배차관리!$BY:$BY,$B113)="","",INDEX(GLAPS컨테이너배차관리!$BY:$BY,$B113)),GLAPS정리!$H$3:$H$264,0)),TRIM(SUBSTITUTE(SUBSTITUTE(SUBSTITUTE(SUBSTITUTE(SUBSTITUTE(IF(INDEX(GLAPS컨테이너배차관리!$T:$T,$B113)="","",INDEX(GLAPS컨테이너배차관리!$T:$T,$B113)),"[GA]",""),"[GB]",""),"[GC]",""),"[KC]",""),"[GS]",""))))</f>
        <v/>
      </c>
      <c r="H113" t="str">
        <f>IF($B113="","",IFERROR(VLOOKUP(IF(INDEX(GLAPS컨테이너배차관리!$BY:$BY,$B113)="","",INDEX(GLAPS컨테이너배차관리!$BY:$BY,$B113)),GLAPS정리!$BT$3:$BV$200,3,0),""))</f>
        <v/>
      </c>
      <c r="I113" t="str">
        <f>IF($B113="","",LEFT(IF(INDEX(GLAPS컨테이너배차관리!$U:$U,$B113)="","",INDEX(GLAPS컨테이너배차관리!$U:$U,$B113)),FIND("/",IF(INDEX(GLAPS컨테이너배차관리!$U:$U,$B113)="","",INDEX(GLAPS컨테이너배차관리!$U:$U,$B113))&amp;"/")-1))</f>
        <v/>
      </c>
      <c r="J113" t="str">
        <f>IF($B113="","",IF(IF(INDEX(GLAPS컨테이너배차관리!$O:$O,$B113)="","",INDEX(GLAPS컨테이너배차관리!$O:$O,$B113))="EMC","EMA",IFERROR(INDEX(GLAPS정리!$A$2:$A$50,MATCH(IF(INDEX(GLAPS컨테이너배차관리!$O:$O,$B113)="","",INDEX(GLAPS컨테이너배차관리!$O:$O,$B113)),GLAPS정리!$D$2:$D$50,0)),IF(INDEX(GLAPS컨테이너배차관리!$O:$O,$B113)="","",INDEX(GLAPS컨테이너배차관리!$O:$O,$B113)))))</f>
        <v/>
      </c>
      <c r="K113" t="str">
        <f>IF($B113="","",IF(LEFT(IF(INDEX(GLAPS컨테이너배차관리!$Y:$Y,$B113)="","",INDEX(GLAPS컨테이너배차관리!$Y:$Y,$B113)),2)="22","20 Feet",IF(LEFT(IF(INDEX(GLAPS컨테이너배차관리!$Y:$Y,$B113)="","",INDEX(GLAPS컨테이너배차관리!$Y:$Y,$B113)),2)="42","40 Feet","40 Feet H")))</f>
        <v/>
      </c>
      <c r="L113" t="str">
        <f>IF($B113="","",IFERROR(INDEX(GLAPS정리!$BB$2:$BB$80,MATCH(IF(INDEX(GLAPS컨테이너배차관리!$BQ:$BQ,$B113)="","",INDEX(GLAPS컨테이너배차관리!$BQ:$BQ,$B113)),GLAPS정리!$BC$2:$BC$80,0)),IF(INDEX(GLAPS컨테이너배차관리!$BQ:$BQ,$B113)="","",INDEX(GLAPS컨테이너배차관리!$BQ:$BQ,$B113))))</f>
        <v/>
      </c>
      <c r="M113" t="str">
        <f>IF($B113="","",IFERROR(INDEX(GLAPS정리!$V$3:$V$180,MATCH(IF(INDEX(GLAPS컨테이너배차관리!$S:$S,$B113)="","",INDEX(GLAPS컨테이너배차관리!$S:$S,$B113)),GLAPS정리!$W$3:$W$180,0)),IF(INDEX(GLAPS컨테이너배차관리!$S:$S,$B113)="","",INDEX(GLAPS컨테이너배차관리!$S:$S,$B113))))</f>
        <v/>
      </c>
      <c r="N113" t="str">
        <f>IF($B113="","",IF(IF(INDEX(GLAPS컨테이너배차관리!$DF:$DF,$B113)="","",INDEX(GLAPS컨테이너배차관리!$DF:$DF,$B113))&lt;&gt;"",IF(INDEX(GLAPS컨테이너배차관리!$DF:$DF,$B113)="","",INDEX(GLAPS컨테이너배차관리!$DF:$DF,$B113)),IF(IF(INDEX(GLAPS컨테이너배차관리!$DG:$DG,$B113)="","",INDEX(GLAPS컨테이너배차관리!$DG:$DG,$B113))&lt;&gt;"",IF(INDEX(GLAPS컨테이너배차관리!$DG:$DG,$B113)="","",INDEX(GLAPS컨테이너배차관리!$DG:$DG,$B113)),"")))</f>
        <v/>
      </c>
      <c r="O113" t="str">
        <f>IF($B113="","",IF(INDEX(GLAPS컨테이너배차관리!$AB:$AB,$B113)="","",INDEX(GLAPS컨테이너배차관리!$AB:$AB,$B113)))</f>
        <v/>
      </c>
      <c r="P113" t="str">
        <f>IF($B113="","",IF(IF(INDEX(GLAPS컨테이너배차관리!$CP:$CP,$B113)="","",INDEX(GLAPS컨테이너배차관리!$CP:$CP,$B113))="","",IFERROR(INDEX(GLAPS정리!$BH$2:$BH$101,MATCH(IF(INDEX(GLAPS컨테이너배차관리!$CP:$CP,$B113)="","",INDEX(GLAPS컨테이너배차관리!$CP:$CP,$B113)),GLAPS정리!$BI$2:$BI$101,0)),IF(INDEX(GLAPS컨테이너배차관리!$CP:$CP,$B113)="","",INDEX(GLAPS컨테이너배차관리!$CP:$CP,$B113)))))</f>
        <v/>
      </c>
      <c r="Q113" t="str">
        <f>IF($B113="","",IF(AND(IF(INDEX(GLAPS컨테이너배차관리!$AK:$AK,$B113)="","",INDEX(GLAPS컨테이너배차관리!$AK:$AK,$B113))="Y",IF(INDEX(GLAPS컨테이너배차관리!$AI:$AI,$B113)="","",INDEX(GLAPS컨테이너배차관리!$AI:$AI,$B113))="Y"),"위험물리퍼",IF(IF(INDEX(GLAPS컨테이너배차관리!$AK:$AK,$B113)="","",INDEX(GLAPS컨테이너배차관리!$AK:$AK,$B113))="Y","위험물",IF(IF(INDEX(GLAPS컨테이너배차관리!$AI:$AI,$B113)="","",INDEX(GLAPS컨테이너배차관리!$AI:$AI,$B113))="Y","리퍼",""))))</f>
        <v/>
      </c>
      <c r="R113" t="str">
        <f>IF($B113="","",IF(LEFT(IF(INDEX(GLAPS컨테이너배차관리!$Y:$Y,$B113)="","",INDEX(GLAPS컨테이너배차관리!$Y:$Y,$B113)),2)="22",1,""))</f>
        <v/>
      </c>
      <c r="S113" t="str">
        <f>IF($B113="","",IF(LEFT(IF(INDEX(GLAPS컨테이너배차관리!$Y:$Y,$B113)="","",INDEX(GLAPS컨테이너배차관리!$Y:$Y,$B113)),2)="42",1,""))</f>
        <v/>
      </c>
      <c r="T113" t="str">
        <f>IF($B113="","",IF(LEFT(IF(INDEX(GLAPS컨테이너배차관리!$Y:$Y,$B113)="","",INDEX(GLAPS컨테이너배차관리!$Y:$Y,$B113)),2)="45",1,""))</f>
        <v/>
      </c>
      <c r="U113" t="str">
        <f>IF($B113="","",IF(INDEX(GLAPS컨테이너배차관리!$X:$X,$B113)="","",INDEX(GLAPS컨테이너배차관리!$X:$X,$B113)))</f>
        <v/>
      </c>
      <c r="V113" t="str">
        <f>IF($B113="","",IF(INDEX(GLAPS컨테이너배차관리!$Z:$Z,$B113)="","",INDEX(GLAPS컨테이너배차관리!$Z:$Z,$B113)))</f>
        <v/>
      </c>
      <c r="W113" t="str">
        <f>IF($B113="","",IF(IF(INDEX(GLAPS컨테이너배차관리!$DI:$DI,$B113)="","",INDEX(GLAPS컨테이너배차관리!$DI:$DI,$B113))&lt;&gt;"",IF(INDEX(GLAPS컨테이너배차관리!$DI:$DI,$B113)="","",INDEX(GLAPS컨테이너배차관리!$DI:$DI,$B113)),IF(IF(INDEX(GLAPS컨테이너배차관리!$DJ:$DJ,$B113)="","",INDEX(GLAPS컨테이너배차관리!$DJ:$DJ,$B113))&lt;&gt;"",IF(INDEX(GLAPS컨테이너배차관리!$DJ:$DJ,$B113)="","",INDEX(GLAPS컨테이너배차관리!$DJ:$DJ,$B113)),IF(IF(INDEX(GLAPS컨테이너배차관리!$DK:$DK,$B113)="","",INDEX(GLAPS컨테이너배차관리!$DK:$DK,$B113))&lt;&gt;"",IF(INDEX(GLAPS컨테이너배차관리!$DK:$DK,$B113)="","",INDEX(GLAPS컨테이너배차관리!$DK:$DK,$B113)),IF(IF(INDEX(GLAPS컨테이너배차관리!$DL:$DL,$B113)="","",INDEX(GLAPS컨테이너배차관리!$DL:$DL,$B113))&lt;&gt;"",IF(INDEX(GLAPS컨테이너배차관리!$DL:$DL,$B113)="","",INDEX(GLAPS컨테이너배차관리!$DL:$DL,$B113)),IF(IF(INDEX(GLAPS컨테이너배차관리!$DM:$DM,$B113)="","",INDEX(GLAPS컨테이너배차관리!$DM:$DM,$B113))&lt;&gt;"",IF(INDEX(GLAPS컨테이너배차관리!$DM:$DM,$B113)="","",INDEX(GLAPS컨테이너배차관리!$DM:$DM,$B113)),""))))))</f>
        <v/>
      </c>
      <c r="X113" t="str">
        <f>IF($B113="","",IF(INDEX(GLAPS컨테이너배차관리!$F:$F,$B113)="","",INDEX(GLAPS컨테이너배차관리!$F:$F,$B113)))</f>
        <v/>
      </c>
      <c r="Y113" t="str">
        <f>IF($B113="","",IF(IF(INDEX(GLAPS컨테이너배차관리!$M:$M,$B113)="","",INDEX(GLAPS컨테이너배차관리!$M:$M,$B113))&lt;&gt;"",IF(INDEX(GLAPS컨테이너배차관리!$M:$M,$B113)="","",INDEX(GLAPS컨테이너배차관리!$M:$M,$B113)),IF(IF(INDEX(GLAPS컨테이너배차관리!$N:$N,$B113)="","",INDEX(GLAPS컨테이너배차관리!$N:$N,$B113))&lt;&gt;"",IF(INDEX(GLAPS컨테이너배차관리!$N:$N,$B113)="","",INDEX(GLAPS컨테이너배차관리!$N:$N,$B113)),"")))</f>
        <v/>
      </c>
      <c r="Z113" t="str">
        <f>IF($B113="","",IF(IF(INDEX(GLAPS컨테이너배차관리!$CU:$CU,$B113)="","",INDEX(GLAPS컨테이너배차관리!$CU:$CU,$B113))="","",IFERROR(INT(IF(INDEX(GLAPS컨테이너배차관리!$CU:$CU,$B113)="","",INDEX(GLAPS컨테이너배차관리!$CU:$CU,$B113))),"")))</f>
        <v/>
      </c>
      <c r="AA113" t="str">
        <f>IF($B113="","",IF(AND(IF(INDEX(GLAPS컨테이너배차관리!$CL:$CL,$B113)="","",INDEX(GLAPS컨테이너배차관리!$CL:$CL,$B113))="",IF(INDEX(GLAPS컨테이너배차관리!$CM:$CM,$B113)="","",INDEX(GLAPS컨테이너배차관리!$CM:$CM,$B113))=""),"",IF(OR(IF(INDEX(GLAPS컨테이너배차관리!$CL:$CL,$B113)="","",INDEX(GLAPS컨테이너배차관리!$CL:$CL,$B113))="B000016649",ISNUMBER(SEARCH("B015",IF(INDEX(GLAPS컨테이너배차관리!$CM:$CM,$B113)="","",INDEX(GLAPS컨테이너배차관리!$CM:$CM,$B113)))),ISNUMBER(SEARCH("세방",IF(INDEX(GLAPS컨테이너배차관리!$CM:$CM,$B113)="","",INDEX(GLAPS컨테이너배차관리!$CM:$CM,$B113)))),ISNUMBER(SEARCH("SB",IF(INDEX(GLAPS컨테이너배차관리!$CM:$CM,$B113)="","",INDEX(GLAPS컨테이너배차관리!$CM:$CM,$B113))))),"세방","")))</f>
        <v/>
      </c>
      <c r="AB113" t="str">
        <f>IF($B113="","",IF(IF(INDEX(GLAPS컨테이너배차관리!$CM:$CM,$B113)="","",INDEX(GLAPS컨테이너배차관리!$CM:$CM,$B113))="","",IF(ISNUMBER(SEARCH("이지스두동",IF(INDEX(GLAPS컨테이너배차관리!$CM:$CM,$B113)="","",INDEX(GLAPS컨테이너배차관리!$CM:$CM,$B113)))),"이지스두동",IF(ISNUMBER(SEARCH("이지스녹산",IF(INDEX(GLAPS컨테이너배차관리!$CM:$CM,$B113)="","",INDEX(GLAPS컨테이너배차관리!$CM:$CM,$B113)))),"이지스녹산",IF(ISNUMBER(SEARCH("천우",IF(INDEX(GLAPS컨테이너배차관리!$CM:$CM,$B113)="","",INDEX(GLAPS컨테이너배차관리!$CM:$CM,$B113)))),"천우",IF(OR(ISNUMBER(SEARCH("청암",IF(INDEX(GLAPS컨테이너배차관리!$CM:$CM,$B113)="","",INDEX(GLAPS컨테이너배차관리!$CM:$CM,$B113)))),ISNUMBER(SEARCH("SB청암",IF(INDEX(GLAPS컨테이너배차관리!$CM:$CM,$B113)="","",INDEX(GLAPS컨테이너배차관리!$CM:$CM,$B113))))),"청암신항",IF(INDEX(GLAPS컨테이너배차관리!$CM:$CM,$B113)="","",INDEX(GLAPS컨테이너배차관리!$CM:$CM,$B113))))))))</f>
        <v/>
      </c>
    </row>
    <row r="114" spans="1:28">
      <c r="A114">
        <v>113</v>
      </c>
      <c r="B114" t="str">
        <f>IFERROR(_xlfn.AGGREGATE(15,6,ROW(GLAPS컨테이너배차관리!$X$2:$X$20000)/(GLAPS컨테이너배차관리!$X$2:$X$20000&lt;&gt;""),A114),"")</f>
        <v/>
      </c>
      <c r="C114" t="str">
        <f>IF($B114="","",INT(IF(INDEX(GLAPS컨테이너배차관리!$K:$K,$B114)="","",INDEX(GLAPS컨테이너배차관리!$K:$K,$B114))))</f>
        <v/>
      </c>
      <c r="D114" t="str">
        <f>IF($B114="","",IF(ISNUMBER(SEARCH("이엘에스",IF(INDEX(GLAPS컨테이너배차관리!$AZ:$AZ,$B114)="","",INDEX(GLAPS컨테이너배차관리!$AZ:$AZ,$B114)))),"ELS솔루션",IF(INDEX(GLAPS컨테이너배차관리!$AZ:$AZ,$B114)="","",INDEX(GLAPS컨테이너배차관리!$AZ:$AZ,$B114))))</f>
        <v/>
      </c>
      <c r="E114" t="str">
        <f>IF($B114="","",IF(INDEX(GLAPS컨테이너배차관리!$L:$L,$B114)="","",INDEX(GLAPS컨테이너배차관리!$L:$L,$B114)))</f>
        <v/>
      </c>
      <c r="F114" t="str">
        <f>IF($B114="","",IF(HOUR(IF(INDEX(GLAPS컨테이너배차관리!$L:$L,$B114)="","",INDEX(GLAPS컨테이너배차관리!$L:$L,$B114)))&lt;12,"오전",IF(HOUR(IF(INDEX(GLAPS컨테이너배차관리!$L:$L,$B114)="","",INDEX(GLAPS컨테이너배차관리!$L:$L,$B114)))&lt;18,"오후","잔업")))</f>
        <v/>
      </c>
      <c r="G114" t="str">
        <f>IF($B114="","",IFERROR(INDEX(GLAPS정리!$G$3:$G$264,MATCH(IF(INDEX(GLAPS컨테이너배차관리!$BY:$BY,$B114)="","",INDEX(GLAPS컨테이너배차관리!$BY:$BY,$B114)),GLAPS정리!$H$3:$H$264,0)),TRIM(SUBSTITUTE(SUBSTITUTE(SUBSTITUTE(SUBSTITUTE(SUBSTITUTE(IF(INDEX(GLAPS컨테이너배차관리!$T:$T,$B114)="","",INDEX(GLAPS컨테이너배차관리!$T:$T,$B114)),"[GA]",""),"[GB]",""),"[GC]",""),"[KC]",""),"[GS]",""))))</f>
        <v/>
      </c>
      <c r="H114" t="str">
        <f>IF($B114="","",IFERROR(VLOOKUP(IF(INDEX(GLAPS컨테이너배차관리!$BY:$BY,$B114)="","",INDEX(GLAPS컨테이너배차관리!$BY:$BY,$B114)),GLAPS정리!$BT$3:$BV$200,3,0),""))</f>
        <v/>
      </c>
      <c r="I114" t="str">
        <f>IF($B114="","",LEFT(IF(INDEX(GLAPS컨테이너배차관리!$U:$U,$B114)="","",INDEX(GLAPS컨테이너배차관리!$U:$U,$B114)),FIND("/",IF(INDEX(GLAPS컨테이너배차관리!$U:$U,$B114)="","",INDEX(GLAPS컨테이너배차관리!$U:$U,$B114))&amp;"/")-1))</f>
        <v/>
      </c>
      <c r="J114" t="str">
        <f>IF($B114="","",IF(IF(INDEX(GLAPS컨테이너배차관리!$O:$O,$B114)="","",INDEX(GLAPS컨테이너배차관리!$O:$O,$B114))="EMC","EMA",IFERROR(INDEX(GLAPS정리!$A$2:$A$50,MATCH(IF(INDEX(GLAPS컨테이너배차관리!$O:$O,$B114)="","",INDEX(GLAPS컨테이너배차관리!$O:$O,$B114)),GLAPS정리!$D$2:$D$50,0)),IF(INDEX(GLAPS컨테이너배차관리!$O:$O,$B114)="","",INDEX(GLAPS컨테이너배차관리!$O:$O,$B114)))))</f>
        <v/>
      </c>
      <c r="K114" t="str">
        <f>IF($B114="","",IF(LEFT(IF(INDEX(GLAPS컨테이너배차관리!$Y:$Y,$B114)="","",INDEX(GLAPS컨테이너배차관리!$Y:$Y,$B114)),2)="22","20 Feet",IF(LEFT(IF(INDEX(GLAPS컨테이너배차관리!$Y:$Y,$B114)="","",INDEX(GLAPS컨테이너배차관리!$Y:$Y,$B114)),2)="42","40 Feet","40 Feet H")))</f>
        <v/>
      </c>
      <c r="L114" t="str">
        <f>IF($B114="","",IFERROR(INDEX(GLAPS정리!$BB$2:$BB$80,MATCH(IF(INDEX(GLAPS컨테이너배차관리!$BQ:$BQ,$B114)="","",INDEX(GLAPS컨테이너배차관리!$BQ:$BQ,$B114)),GLAPS정리!$BC$2:$BC$80,0)),IF(INDEX(GLAPS컨테이너배차관리!$BQ:$BQ,$B114)="","",INDEX(GLAPS컨테이너배차관리!$BQ:$BQ,$B114))))</f>
        <v/>
      </c>
      <c r="M114" t="str">
        <f>IF($B114="","",IFERROR(INDEX(GLAPS정리!$V$3:$V$180,MATCH(IF(INDEX(GLAPS컨테이너배차관리!$S:$S,$B114)="","",INDEX(GLAPS컨테이너배차관리!$S:$S,$B114)),GLAPS정리!$W$3:$W$180,0)),IF(INDEX(GLAPS컨테이너배차관리!$S:$S,$B114)="","",INDEX(GLAPS컨테이너배차관리!$S:$S,$B114))))</f>
        <v/>
      </c>
      <c r="N114" t="str">
        <f>IF($B114="","",IF(IF(INDEX(GLAPS컨테이너배차관리!$DF:$DF,$B114)="","",INDEX(GLAPS컨테이너배차관리!$DF:$DF,$B114))&lt;&gt;"",IF(INDEX(GLAPS컨테이너배차관리!$DF:$DF,$B114)="","",INDEX(GLAPS컨테이너배차관리!$DF:$DF,$B114)),IF(IF(INDEX(GLAPS컨테이너배차관리!$DG:$DG,$B114)="","",INDEX(GLAPS컨테이너배차관리!$DG:$DG,$B114))&lt;&gt;"",IF(INDEX(GLAPS컨테이너배차관리!$DG:$DG,$B114)="","",INDEX(GLAPS컨테이너배차관리!$DG:$DG,$B114)),"")))</f>
        <v/>
      </c>
      <c r="O114" t="str">
        <f>IF($B114="","",IF(INDEX(GLAPS컨테이너배차관리!$AB:$AB,$B114)="","",INDEX(GLAPS컨테이너배차관리!$AB:$AB,$B114)))</f>
        <v/>
      </c>
      <c r="P114" t="str">
        <f>IF($B114="","",IF(IF(INDEX(GLAPS컨테이너배차관리!$CP:$CP,$B114)="","",INDEX(GLAPS컨테이너배차관리!$CP:$CP,$B114))="","",IFERROR(INDEX(GLAPS정리!$BH$2:$BH$101,MATCH(IF(INDEX(GLAPS컨테이너배차관리!$CP:$CP,$B114)="","",INDEX(GLAPS컨테이너배차관리!$CP:$CP,$B114)),GLAPS정리!$BI$2:$BI$101,0)),IF(INDEX(GLAPS컨테이너배차관리!$CP:$CP,$B114)="","",INDEX(GLAPS컨테이너배차관리!$CP:$CP,$B114)))))</f>
        <v/>
      </c>
      <c r="Q114" t="str">
        <f>IF($B114="","",IF(AND(IF(INDEX(GLAPS컨테이너배차관리!$AK:$AK,$B114)="","",INDEX(GLAPS컨테이너배차관리!$AK:$AK,$B114))="Y",IF(INDEX(GLAPS컨테이너배차관리!$AI:$AI,$B114)="","",INDEX(GLAPS컨테이너배차관리!$AI:$AI,$B114))="Y"),"위험물리퍼",IF(IF(INDEX(GLAPS컨테이너배차관리!$AK:$AK,$B114)="","",INDEX(GLAPS컨테이너배차관리!$AK:$AK,$B114))="Y","위험물",IF(IF(INDEX(GLAPS컨테이너배차관리!$AI:$AI,$B114)="","",INDEX(GLAPS컨테이너배차관리!$AI:$AI,$B114))="Y","리퍼",""))))</f>
        <v/>
      </c>
      <c r="R114" t="str">
        <f>IF($B114="","",IF(LEFT(IF(INDEX(GLAPS컨테이너배차관리!$Y:$Y,$B114)="","",INDEX(GLAPS컨테이너배차관리!$Y:$Y,$B114)),2)="22",1,""))</f>
        <v/>
      </c>
      <c r="S114" t="str">
        <f>IF($B114="","",IF(LEFT(IF(INDEX(GLAPS컨테이너배차관리!$Y:$Y,$B114)="","",INDEX(GLAPS컨테이너배차관리!$Y:$Y,$B114)),2)="42",1,""))</f>
        <v/>
      </c>
      <c r="T114" t="str">
        <f>IF($B114="","",IF(LEFT(IF(INDEX(GLAPS컨테이너배차관리!$Y:$Y,$B114)="","",INDEX(GLAPS컨테이너배차관리!$Y:$Y,$B114)),2)="45",1,""))</f>
        <v/>
      </c>
      <c r="U114" t="str">
        <f>IF($B114="","",IF(INDEX(GLAPS컨테이너배차관리!$X:$X,$B114)="","",INDEX(GLAPS컨테이너배차관리!$X:$X,$B114)))</f>
        <v/>
      </c>
      <c r="V114" t="str">
        <f>IF($B114="","",IF(INDEX(GLAPS컨테이너배차관리!$Z:$Z,$B114)="","",INDEX(GLAPS컨테이너배차관리!$Z:$Z,$B114)))</f>
        <v/>
      </c>
      <c r="W114" t="str">
        <f>IF($B114="","",IF(IF(INDEX(GLAPS컨테이너배차관리!$DI:$DI,$B114)="","",INDEX(GLAPS컨테이너배차관리!$DI:$DI,$B114))&lt;&gt;"",IF(INDEX(GLAPS컨테이너배차관리!$DI:$DI,$B114)="","",INDEX(GLAPS컨테이너배차관리!$DI:$DI,$B114)),IF(IF(INDEX(GLAPS컨테이너배차관리!$DJ:$DJ,$B114)="","",INDEX(GLAPS컨테이너배차관리!$DJ:$DJ,$B114))&lt;&gt;"",IF(INDEX(GLAPS컨테이너배차관리!$DJ:$DJ,$B114)="","",INDEX(GLAPS컨테이너배차관리!$DJ:$DJ,$B114)),IF(IF(INDEX(GLAPS컨테이너배차관리!$DK:$DK,$B114)="","",INDEX(GLAPS컨테이너배차관리!$DK:$DK,$B114))&lt;&gt;"",IF(INDEX(GLAPS컨테이너배차관리!$DK:$DK,$B114)="","",INDEX(GLAPS컨테이너배차관리!$DK:$DK,$B114)),IF(IF(INDEX(GLAPS컨테이너배차관리!$DL:$DL,$B114)="","",INDEX(GLAPS컨테이너배차관리!$DL:$DL,$B114))&lt;&gt;"",IF(INDEX(GLAPS컨테이너배차관리!$DL:$DL,$B114)="","",INDEX(GLAPS컨테이너배차관리!$DL:$DL,$B114)),IF(IF(INDEX(GLAPS컨테이너배차관리!$DM:$DM,$B114)="","",INDEX(GLAPS컨테이너배차관리!$DM:$DM,$B114))&lt;&gt;"",IF(INDEX(GLAPS컨테이너배차관리!$DM:$DM,$B114)="","",INDEX(GLAPS컨테이너배차관리!$DM:$DM,$B114)),""))))))</f>
        <v/>
      </c>
      <c r="X114" t="str">
        <f>IF($B114="","",IF(INDEX(GLAPS컨테이너배차관리!$F:$F,$B114)="","",INDEX(GLAPS컨테이너배차관리!$F:$F,$B114)))</f>
        <v/>
      </c>
      <c r="Y114" t="str">
        <f>IF($B114="","",IF(IF(INDEX(GLAPS컨테이너배차관리!$M:$M,$B114)="","",INDEX(GLAPS컨테이너배차관리!$M:$M,$B114))&lt;&gt;"",IF(INDEX(GLAPS컨테이너배차관리!$M:$M,$B114)="","",INDEX(GLAPS컨테이너배차관리!$M:$M,$B114)),IF(IF(INDEX(GLAPS컨테이너배차관리!$N:$N,$B114)="","",INDEX(GLAPS컨테이너배차관리!$N:$N,$B114))&lt;&gt;"",IF(INDEX(GLAPS컨테이너배차관리!$N:$N,$B114)="","",INDEX(GLAPS컨테이너배차관리!$N:$N,$B114)),"")))</f>
        <v/>
      </c>
      <c r="Z114" t="str">
        <f>IF($B114="","",IF(IF(INDEX(GLAPS컨테이너배차관리!$CU:$CU,$B114)="","",INDEX(GLAPS컨테이너배차관리!$CU:$CU,$B114))="","",IFERROR(INT(IF(INDEX(GLAPS컨테이너배차관리!$CU:$CU,$B114)="","",INDEX(GLAPS컨테이너배차관리!$CU:$CU,$B114))),"")))</f>
        <v/>
      </c>
      <c r="AA114" t="str">
        <f>IF($B114="","",IF(AND(IF(INDEX(GLAPS컨테이너배차관리!$CL:$CL,$B114)="","",INDEX(GLAPS컨테이너배차관리!$CL:$CL,$B114))="",IF(INDEX(GLAPS컨테이너배차관리!$CM:$CM,$B114)="","",INDEX(GLAPS컨테이너배차관리!$CM:$CM,$B114))=""),"",IF(OR(IF(INDEX(GLAPS컨테이너배차관리!$CL:$CL,$B114)="","",INDEX(GLAPS컨테이너배차관리!$CL:$CL,$B114))="B000016649",ISNUMBER(SEARCH("B015",IF(INDEX(GLAPS컨테이너배차관리!$CM:$CM,$B114)="","",INDEX(GLAPS컨테이너배차관리!$CM:$CM,$B114)))),ISNUMBER(SEARCH("세방",IF(INDEX(GLAPS컨테이너배차관리!$CM:$CM,$B114)="","",INDEX(GLAPS컨테이너배차관리!$CM:$CM,$B114)))),ISNUMBER(SEARCH("SB",IF(INDEX(GLAPS컨테이너배차관리!$CM:$CM,$B114)="","",INDEX(GLAPS컨테이너배차관리!$CM:$CM,$B114))))),"세방","")))</f>
        <v/>
      </c>
      <c r="AB114" t="str">
        <f>IF($B114="","",IF(IF(INDEX(GLAPS컨테이너배차관리!$CM:$CM,$B114)="","",INDEX(GLAPS컨테이너배차관리!$CM:$CM,$B114))="","",IF(ISNUMBER(SEARCH("이지스두동",IF(INDEX(GLAPS컨테이너배차관리!$CM:$CM,$B114)="","",INDEX(GLAPS컨테이너배차관리!$CM:$CM,$B114)))),"이지스두동",IF(ISNUMBER(SEARCH("이지스녹산",IF(INDEX(GLAPS컨테이너배차관리!$CM:$CM,$B114)="","",INDEX(GLAPS컨테이너배차관리!$CM:$CM,$B114)))),"이지스녹산",IF(ISNUMBER(SEARCH("천우",IF(INDEX(GLAPS컨테이너배차관리!$CM:$CM,$B114)="","",INDEX(GLAPS컨테이너배차관리!$CM:$CM,$B114)))),"천우",IF(OR(ISNUMBER(SEARCH("청암",IF(INDEX(GLAPS컨테이너배차관리!$CM:$CM,$B114)="","",INDEX(GLAPS컨테이너배차관리!$CM:$CM,$B114)))),ISNUMBER(SEARCH("SB청암",IF(INDEX(GLAPS컨테이너배차관리!$CM:$CM,$B114)="","",INDEX(GLAPS컨테이너배차관리!$CM:$CM,$B114))))),"청암신항",IF(INDEX(GLAPS컨테이너배차관리!$CM:$CM,$B114)="","",INDEX(GLAPS컨테이너배차관리!$CM:$CM,$B114))))))))</f>
        <v/>
      </c>
    </row>
    <row r="115" spans="1:28">
      <c r="A115">
        <v>114</v>
      </c>
      <c r="B115" t="str">
        <f>IFERROR(_xlfn.AGGREGATE(15,6,ROW(GLAPS컨테이너배차관리!$X$2:$X$20000)/(GLAPS컨테이너배차관리!$X$2:$X$20000&lt;&gt;""),A115),"")</f>
        <v/>
      </c>
      <c r="C115" t="str">
        <f>IF($B115="","",INT(IF(INDEX(GLAPS컨테이너배차관리!$K:$K,$B115)="","",INDEX(GLAPS컨테이너배차관리!$K:$K,$B115))))</f>
        <v/>
      </c>
      <c r="D115" t="str">
        <f>IF($B115="","",IF(ISNUMBER(SEARCH("이엘에스",IF(INDEX(GLAPS컨테이너배차관리!$AZ:$AZ,$B115)="","",INDEX(GLAPS컨테이너배차관리!$AZ:$AZ,$B115)))),"ELS솔루션",IF(INDEX(GLAPS컨테이너배차관리!$AZ:$AZ,$B115)="","",INDEX(GLAPS컨테이너배차관리!$AZ:$AZ,$B115))))</f>
        <v/>
      </c>
      <c r="E115" t="str">
        <f>IF($B115="","",IF(INDEX(GLAPS컨테이너배차관리!$L:$L,$B115)="","",INDEX(GLAPS컨테이너배차관리!$L:$L,$B115)))</f>
        <v/>
      </c>
      <c r="F115" t="str">
        <f>IF($B115="","",IF(HOUR(IF(INDEX(GLAPS컨테이너배차관리!$L:$L,$B115)="","",INDEX(GLAPS컨테이너배차관리!$L:$L,$B115)))&lt;12,"오전",IF(HOUR(IF(INDEX(GLAPS컨테이너배차관리!$L:$L,$B115)="","",INDEX(GLAPS컨테이너배차관리!$L:$L,$B115)))&lt;18,"오후","잔업")))</f>
        <v/>
      </c>
      <c r="G115" t="str">
        <f>IF($B115="","",IFERROR(INDEX(GLAPS정리!$G$3:$G$264,MATCH(IF(INDEX(GLAPS컨테이너배차관리!$BY:$BY,$B115)="","",INDEX(GLAPS컨테이너배차관리!$BY:$BY,$B115)),GLAPS정리!$H$3:$H$264,0)),TRIM(SUBSTITUTE(SUBSTITUTE(SUBSTITUTE(SUBSTITUTE(SUBSTITUTE(IF(INDEX(GLAPS컨테이너배차관리!$T:$T,$B115)="","",INDEX(GLAPS컨테이너배차관리!$T:$T,$B115)),"[GA]",""),"[GB]",""),"[GC]",""),"[KC]",""),"[GS]",""))))</f>
        <v/>
      </c>
      <c r="H115" t="str">
        <f>IF($B115="","",IFERROR(VLOOKUP(IF(INDEX(GLAPS컨테이너배차관리!$BY:$BY,$B115)="","",INDEX(GLAPS컨테이너배차관리!$BY:$BY,$B115)),GLAPS정리!$BT$3:$BV$200,3,0),""))</f>
        <v/>
      </c>
      <c r="I115" t="str">
        <f>IF($B115="","",LEFT(IF(INDEX(GLAPS컨테이너배차관리!$U:$U,$B115)="","",INDEX(GLAPS컨테이너배차관리!$U:$U,$B115)),FIND("/",IF(INDEX(GLAPS컨테이너배차관리!$U:$U,$B115)="","",INDEX(GLAPS컨테이너배차관리!$U:$U,$B115))&amp;"/")-1))</f>
        <v/>
      </c>
      <c r="J115" t="str">
        <f>IF($B115="","",IF(IF(INDEX(GLAPS컨테이너배차관리!$O:$O,$B115)="","",INDEX(GLAPS컨테이너배차관리!$O:$O,$B115))="EMC","EMA",IFERROR(INDEX(GLAPS정리!$A$2:$A$50,MATCH(IF(INDEX(GLAPS컨테이너배차관리!$O:$O,$B115)="","",INDEX(GLAPS컨테이너배차관리!$O:$O,$B115)),GLAPS정리!$D$2:$D$50,0)),IF(INDEX(GLAPS컨테이너배차관리!$O:$O,$B115)="","",INDEX(GLAPS컨테이너배차관리!$O:$O,$B115)))))</f>
        <v/>
      </c>
      <c r="K115" t="str">
        <f>IF($B115="","",IF(LEFT(IF(INDEX(GLAPS컨테이너배차관리!$Y:$Y,$B115)="","",INDEX(GLAPS컨테이너배차관리!$Y:$Y,$B115)),2)="22","20 Feet",IF(LEFT(IF(INDEX(GLAPS컨테이너배차관리!$Y:$Y,$B115)="","",INDEX(GLAPS컨테이너배차관리!$Y:$Y,$B115)),2)="42","40 Feet","40 Feet H")))</f>
        <v/>
      </c>
      <c r="L115" t="str">
        <f>IF($B115="","",IFERROR(INDEX(GLAPS정리!$BB$2:$BB$80,MATCH(IF(INDEX(GLAPS컨테이너배차관리!$BQ:$BQ,$B115)="","",INDEX(GLAPS컨테이너배차관리!$BQ:$BQ,$B115)),GLAPS정리!$BC$2:$BC$80,0)),IF(INDEX(GLAPS컨테이너배차관리!$BQ:$BQ,$B115)="","",INDEX(GLAPS컨테이너배차관리!$BQ:$BQ,$B115))))</f>
        <v/>
      </c>
      <c r="M115" t="str">
        <f>IF($B115="","",IFERROR(INDEX(GLAPS정리!$V$3:$V$180,MATCH(IF(INDEX(GLAPS컨테이너배차관리!$S:$S,$B115)="","",INDEX(GLAPS컨테이너배차관리!$S:$S,$B115)),GLAPS정리!$W$3:$W$180,0)),IF(INDEX(GLAPS컨테이너배차관리!$S:$S,$B115)="","",INDEX(GLAPS컨테이너배차관리!$S:$S,$B115))))</f>
        <v/>
      </c>
      <c r="N115" t="str">
        <f>IF($B115="","",IF(IF(INDEX(GLAPS컨테이너배차관리!$DF:$DF,$B115)="","",INDEX(GLAPS컨테이너배차관리!$DF:$DF,$B115))&lt;&gt;"",IF(INDEX(GLAPS컨테이너배차관리!$DF:$DF,$B115)="","",INDEX(GLAPS컨테이너배차관리!$DF:$DF,$B115)),IF(IF(INDEX(GLAPS컨테이너배차관리!$DG:$DG,$B115)="","",INDEX(GLAPS컨테이너배차관리!$DG:$DG,$B115))&lt;&gt;"",IF(INDEX(GLAPS컨테이너배차관리!$DG:$DG,$B115)="","",INDEX(GLAPS컨테이너배차관리!$DG:$DG,$B115)),"")))</f>
        <v/>
      </c>
      <c r="O115" t="str">
        <f>IF($B115="","",IF(INDEX(GLAPS컨테이너배차관리!$AB:$AB,$B115)="","",INDEX(GLAPS컨테이너배차관리!$AB:$AB,$B115)))</f>
        <v/>
      </c>
      <c r="P115" t="str">
        <f>IF($B115="","",IF(IF(INDEX(GLAPS컨테이너배차관리!$CP:$CP,$B115)="","",INDEX(GLAPS컨테이너배차관리!$CP:$CP,$B115))="","",IFERROR(INDEX(GLAPS정리!$BH$2:$BH$101,MATCH(IF(INDEX(GLAPS컨테이너배차관리!$CP:$CP,$B115)="","",INDEX(GLAPS컨테이너배차관리!$CP:$CP,$B115)),GLAPS정리!$BI$2:$BI$101,0)),IF(INDEX(GLAPS컨테이너배차관리!$CP:$CP,$B115)="","",INDEX(GLAPS컨테이너배차관리!$CP:$CP,$B115)))))</f>
        <v/>
      </c>
      <c r="Q115" t="str">
        <f>IF($B115="","",IF(AND(IF(INDEX(GLAPS컨테이너배차관리!$AK:$AK,$B115)="","",INDEX(GLAPS컨테이너배차관리!$AK:$AK,$B115))="Y",IF(INDEX(GLAPS컨테이너배차관리!$AI:$AI,$B115)="","",INDEX(GLAPS컨테이너배차관리!$AI:$AI,$B115))="Y"),"위험물리퍼",IF(IF(INDEX(GLAPS컨테이너배차관리!$AK:$AK,$B115)="","",INDEX(GLAPS컨테이너배차관리!$AK:$AK,$B115))="Y","위험물",IF(IF(INDEX(GLAPS컨테이너배차관리!$AI:$AI,$B115)="","",INDEX(GLAPS컨테이너배차관리!$AI:$AI,$B115))="Y","리퍼",""))))</f>
        <v/>
      </c>
      <c r="R115" t="str">
        <f>IF($B115="","",IF(LEFT(IF(INDEX(GLAPS컨테이너배차관리!$Y:$Y,$B115)="","",INDEX(GLAPS컨테이너배차관리!$Y:$Y,$B115)),2)="22",1,""))</f>
        <v/>
      </c>
      <c r="S115" t="str">
        <f>IF($B115="","",IF(LEFT(IF(INDEX(GLAPS컨테이너배차관리!$Y:$Y,$B115)="","",INDEX(GLAPS컨테이너배차관리!$Y:$Y,$B115)),2)="42",1,""))</f>
        <v/>
      </c>
      <c r="T115" t="str">
        <f>IF($B115="","",IF(LEFT(IF(INDEX(GLAPS컨테이너배차관리!$Y:$Y,$B115)="","",INDEX(GLAPS컨테이너배차관리!$Y:$Y,$B115)),2)="45",1,""))</f>
        <v/>
      </c>
      <c r="U115" t="str">
        <f>IF($B115="","",IF(INDEX(GLAPS컨테이너배차관리!$X:$X,$B115)="","",INDEX(GLAPS컨테이너배차관리!$X:$X,$B115)))</f>
        <v/>
      </c>
      <c r="V115" t="str">
        <f>IF($B115="","",IF(INDEX(GLAPS컨테이너배차관리!$Z:$Z,$B115)="","",INDEX(GLAPS컨테이너배차관리!$Z:$Z,$B115)))</f>
        <v/>
      </c>
      <c r="W115" t="str">
        <f>IF($B115="","",IF(IF(INDEX(GLAPS컨테이너배차관리!$DI:$DI,$B115)="","",INDEX(GLAPS컨테이너배차관리!$DI:$DI,$B115))&lt;&gt;"",IF(INDEX(GLAPS컨테이너배차관리!$DI:$DI,$B115)="","",INDEX(GLAPS컨테이너배차관리!$DI:$DI,$B115)),IF(IF(INDEX(GLAPS컨테이너배차관리!$DJ:$DJ,$B115)="","",INDEX(GLAPS컨테이너배차관리!$DJ:$DJ,$B115))&lt;&gt;"",IF(INDEX(GLAPS컨테이너배차관리!$DJ:$DJ,$B115)="","",INDEX(GLAPS컨테이너배차관리!$DJ:$DJ,$B115)),IF(IF(INDEX(GLAPS컨테이너배차관리!$DK:$DK,$B115)="","",INDEX(GLAPS컨테이너배차관리!$DK:$DK,$B115))&lt;&gt;"",IF(INDEX(GLAPS컨테이너배차관리!$DK:$DK,$B115)="","",INDEX(GLAPS컨테이너배차관리!$DK:$DK,$B115)),IF(IF(INDEX(GLAPS컨테이너배차관리!$DL:$DL,$B115)="","",INDEX(GLAPS컨테이너배차관리!$DL:$DL,$B115))&lt;&gt;"",IF(INDEX(GLAPS컨테이너배차관리!$DL:$DL,$B115)="","",INDEX(GLAPS컨테이너배차관리!$DL:$DL,$B115)),IF(IF(INDEX(GLAPS컨테이너배차관리!$DM:$DM,$B115)="","",INDEX(GLAPS컨테이너배차관리!$DM:$DM,$B115))&lt;&gt;"",IF(INDEX(GLAPS컨테이너배차관리!$DM:$DM,$B115)="","",INDEX(GLAPS컨테이너배차관리!$DM:$DM,$B115)),""))))))</f>
        <v/>
      </c>
      <c r="X115" t="str">
        <f>IF($B115="","",IF(INDEX(GLAPS컨테이너배차관리!$F:$F,$B115)="","",INDEX(GLAPS컨테이너배차관리!$F:$F,$B115)))</f>
        <v/>
      </c>
      <c r="Y115" t="str">
        <f>IF($B115="","",IF(IF(INDEX(GLAPS컨테이너배차관리!$M:$M,$B115)="","",INDEX(GLAPS컨테이너배차관리!$M:$M,$B115))&lt;&gt;"",IF(INDEX(GLAPS컨테이너배차관리!$M:$M,$B115)="","",INDEX(GLAPS컨테이너배차관리!$M:$M,$B115)),IF(IF(INDEX(GLAPS컨테이너배차관리!$N:$N,$B115)="","",INDEX(GLAPS컨테이너배차관리!$N:$N,$B115))&lt;&gt;"",IF(INDEX(GLAPS컨테이너배차관리!$N:$N,$B115)="","",INDEX(GLAPS컨테이너배차관리!$N:$N,$B115)),"")))</f>
        <v/>
      </c>
      <c r="Z115" t="str">
        <f>IF($B115="","",IF(IF(INDEX(GLAPS컨테이너배차관리!$CU:$CU,$B115)="","",INDEX(GLAPS컨테이너배차관리!$CU:$CU,$B115))="","",IFERROR(INT(IF(INDEX(GLAPS컨테이너배차관리!$CU:$CU,$B115)="","",INDEX(GLAPS컨테이너배차관리!$CU:$CU,$B115))),"")))</f>
        <v/>
      </c>
      <c r="AA115" t="str">
        <f>IF($B115="","",IF(AND(IF(INDEX(GLAPS컨테이너배차관리!$CL:$CL,$B115)="","",INDEX(GLAPS컨테이너배차관리!$CL:$CL,$B115))="",IF(INDEX(GLAPS컨테이너배차관리!$CM:$CM,$B115)="","",INDEX(GLAPS컨테이너배차관리!$CM:$CM,$B115))=""),"",IF(OR(IF(INDEX(GLAPS컨테이너배차관리!$CL:$CL,$B115)="","",INDEX(GLAPS컨테이너배차관리!$CL:$CL,$B115))="B000016649",ISNUMBER(SEARCH("B015",IF(INDEX(GLAPS컨테이너배차관리!$CM:$CM,$B115)="","",INDEX(GLAPS컨테이너배차관리!$CM:$CM,$B115)))),ISNUMBER(SEARCH("세방",IF(INDEX(GLAPS컨테이너배차관리!$CM:$CM,$B115)="","",INDEX(GLAPS컨테이너배차관리!$CM:$CM,$B115)))),ISNUMBER(SEARCH("SB",IF(INDEX(GLAPS컨테이너배차관리!$CM:$CM,$B115)="","",INDEX(GLAPS컨테이너배차관리!$CM:$CM,$B115))))),"세방","")))</f>
        <v/>
      </c>
      <c r="AB115" t="str">
        <f>IF($B115="","",IF(IF(INDEX(GLAPS컨테이너배차관리!$CM:$CM,$B115)="","",INDEX(GLAPS컨테이너배차관리!$CM:$CM,$B115))="","",IF(ISNUMBER(SEARCH("이지스두동",IF(INDEX(GLAPS컨테이너배차관리!$CM:$CM,$B115)="","",INDEX(GLAPS컨테이너배차관리!$CM:$CM,$B115)))),"이지스두동",IF(ISNUMBER(SEARCH("이지스녹산",IF(INDEX(GLAPS컨테이너배차관리!$CM:$CM,$B115)="","",INDEX(GLAPS컨테이너배차관리!$CM:$CM,$B115)))),"이지스녹산",IF(ISNUMBER(SEARCH("천우",IF(INDEX(GLAPS컨테이너배차관리!$CM:$CM,$B115)="","",INDEX(GLAPS컨테이너배차관리!$CM:$CM,$B115)))),"천우",IF(OR(ISNUMBER(SEARCH("청암",IF(INDEX(GLAPS컨테이너배차관리!$CM:$CM,$B115)="","",INDEX(GLAPS컨테이너배차관리!$CM:$CM,$B115)))),ISNUMBER(SEARCH("SB청암",IF(INDEX(GLAPS컨테이너배차관리!$CM:$CM,$B115)="","",INDEX(GLAPS컨테이너배차관리!$CM:$CM,$B115))))),"청암신항",IF(INDEX(GLAPS컨테이너배차관리!$CM:$CM,$B115)="","",INDEX(GLAPS컨테이너배차관리!$CM:$CM,$B115))))))))</f>
        <v/>
      </c>
    </row>
    <row r="116" spans="1:28">
      <c r="A116">
        <v>115</v>
      </c>
      <c r="B116" t="str">
        <f>IFERROR(_xlfn.AGGREGATE(15,6,ROW(GLAPS컨테이너배차관리!$X$2:$X$20000)/(GLAPS컨테이너배차관리!$X$2:$X$20000&lt;&gt;""),A116),"")</f>
        <v/>
      </c>
      <c r="C116" t="str">
        <f>IF($B116="","",INT(IF(INDEX(GLAPS컨테이너배차관리!$K:$K,$B116)="","",INDEX(GLAPS컨테이너배차관리!$K:$K,$B116))))</f>
        <v/>
      </c>
      <c r="D116" t="str">
        <f>IF($B116="","",IF(ISNUMBER(SEARCH("이엘에스",IF(INDEX(GLAPS컨테이너배차관리!$AZ:$AZ,$B116)="","",INDEX(GLAPS컨테이너배차관리!$AZ:$AZ,$B116)))),"ELS솔루션",IF(INDEX(GLAPS컨테이너배차관리!$AZ:$AZ,$B116)="","",INDEX(GLAPS컨테이너배차관리!$AZ:$AZ,$B116))))</f>
        <v/>
      </c>
      <c r="E116" t="str">
        <f>IF($B116="","",IF(INDEX(GLAPS컨테이너배차관리!$L:$L,$B116)="","",INDEX(GLAPS컨테이너배차관리!$L:$L,$B116)))</f>
        <v/>
      </c>
      <c r="F116" t="str">
        <f>IF($B116="","",IF(HOUR(IF(INDEX(GLAPS컨테이너배차관리!$L:$L,$B116)="","",INDEX(GLAPS컨테이너배차관리!$L:$L,$B116)))&lt;12,"오전",IF(HOUR(IF(INDEX(GLAPS컨테이너배차관리!$L:$L,$B116)="","",INDEX(GLAPS컨테이너배차관리!$L:$L,$B116)))&lt;18,"오후","잔업")))</f>
        <v/>
      </c>
      <c r="G116" t="str">
        <f>IF($B116="","",IFERROR(INDEX(GLAPS정리!$G$3:$G$264,MATCH(IF(INDEX(GLAPS컨테이너배차관리!$BY:$BY,$B116)="","",INDEX(GLAPS컨테이너배차관리!$BY:$BY,$B116)),GLAPS정리!$H$3:$H$264,0)),TRIM(SUBSTITUTE(SUBSTITUTE(SUBSTITUTE(SUBSTITUTE(SUBSTITUTE(IF(INDEX(GLAPS컨테이너배차관리!$T:$T,$B116)="","",INDEX(GLAPS컨테이너배차관리!$T:$T,$B116)),"[GA]",""),"[GB]",""),"[GC]",""),"[KC]",""),"[GS]",""))))</f>
        <v/>
      </c>
      <c r="H116" t="str">
        <f>IF($B116="","",IFERROR(VLOOKUP(IF(INDEX(GLAPS컨테이너배차관리!$BY:$BY,$B116)="","",INDEX(GLAPS컨테이너배차관리!$BY:$BY,$B116)),GLAPS정리!$BT$3:$BV$200,3,0),""))</f>
        <v/>
      </c>
      <c r="I116" t="str">
        <f>IF($B116="","",LEFT(IF(INDEX(GLAPS컨테이너배차관리!$U:$U,$B116)="","",INDEX(GLAPS컨테이너배차관리!$U:$U,$B116)),FIND("/",IF(INDEX(GLAPS컨테이너배차관리!$U:$U,$B116)="","",INDEX(GLAPS컨테이너배차관리!$U:$U,$B116))&amp;"/")-1))</f>
        <v/>
      </c>
      <c r="J116" t="str">
        <f>IF($B116="","",IF(IF(INDEX(GLAPS컨테이너배차관리!$O:$O,$B116)="","",INDEX(GLAPS컨테이너배차관리!$O:$O,$B116))="EMC","EMA",IFERROR(INDEX(GLAPS정리!$A$2:$A$50,MATCH(IF(INDEX(GLAPS컨테이너배차관리!$O:$O,$B116)="","",INDEX(GLAPS컨테이너배차관리!$O:$O,$B116)),GLAPS정리!$D$2:$D$50,0)),IF(INDEX(GLAPS컨테이너배차관리!$O:$O,$B116)="","",INDEX(GLAPS컨테이너배차관리!$O:$O,$B116)))))</f>
        <v/>
      </c>
      <c r="K116" t="str">
        <f>IF($B116="","",IF(LEFT(IF(INDEX(GLAPS컨테이너배차관리!$Y:$Y,$B116)="","",INDEX(GLAPS컨테이너배차관리!$Y:$Y,$B116)),2)="22","20 Feet",IF(LEFT(IF(INDEX(GLAPS컨테이너배차관리!$Y:$Y,$B116)="","",INDEX(GLAPS컨테이너배차관리!$Y:$Y,$B116)),2)="42","40 Feet","40 Feet H")))</f>
        <v/>
      </c>
      <c r="L116" t="str">
        <f>IF($B116="","",IFERROR(INDEX(GLAPS정리!$BB$2:$BB$80,MATCH(IF(INDEX(GLAPS컨테이너배차관리!$BQ:$BQ,$B116)="","",INDEX(GLAPS컨테이너배차관리!$BQ:$BQ,$B116)),GLAPS정리!$BC$2:$BC$80,0)),IF(INDEX(GLAPS컨테이너배차관리!$BQ:$BQ,$B116)="","",INDEX(GLAPS컨테이너배차관리!$BQ:$BQ,$B116))))</f>
        <v/>
      </c>
      <c r="M116" t="str">
        <f>IF($B116="","",IFERROR(INDEX(GLAPS정리!$V$3:$V$180,MATCH(IF(INDEX(GLAPS컨테이너배차관리!$S:$S,$B116)="","",INDEX(GLAPS컨테이너배차관리!$S:$S,$B116)),GLAPS정리!$W$3:$W$180,0)),IF(INDEX(GLAPS컨테이너배차관리!$S:$S,$B116)="","",INDEX(GLAPS컨테이너배차관리!$S:$S,$B116))))</f>
        <v/>
      </c>
      <c r="N116" t="str">
        <f>IF($B116="","",IF(IF(INDEX(GLAPS컨테이너배차관리!$DF:$DF,$B116)="","",INDEX(GLAPS컨테이너배차관리!$DF:$DF,$B116))&lt;&gt;"",IF(INDEX(GLAPS컨테이너배차관리!$DF:$DF,$B116)="","",INDEX(GLAPS컨테이너배차관리!$DF:$DF,$B116)),IF(IF(INDEX(GLAPS컨테이너배차관리!$DG:$DG,$B116)="","",INDEX(GLAPS컨테이너배차관리!$DG:$DG,$B116))&lt;&gt;"",IF(INDEX(GLAPS컨테이너배차관리!$DG:$DG,$B116)="","",INDEX(GLAPS컨테이너배차관리!$DG:$DG,$B116)),"")))</f>
        <v/>
      </c>
      <c r="O116" t="str">
        <f>IF($B116="","",IF(INDEX(GLAPS컨테이너배차관리!$AB:$AB,$B116)="","",INDEX(GLAPS컨테이너배차관리!$AB:$AB,$B116)))</f>
        <v/>
      </c>
      <c r="P116" t="str">
        <f>IF($B116="","",IF(IF(INDEX(GLAPS컨테이너배차관리!$CP:$CP,$B116)="","",INDEX(GLAPS컨테이너배차관리!$CP:$CP,$B116))="","",IFERROR(INDEX(GLAPS정리!$BH$2:$BH$101,MATCH(IF(INDEX(GLAPS컨테이너배차관리!$CP:$CP,$B116)="","",INDEX(GLAPS컨테이너배차관리!$CP:$CP,$B116)),GLAPS정리!$BI$2:$BI$101,0)),IF(INDEX(GLAPS컨테이너배차관리!$CP:$CP,$B116)="","",INDEX(GLAPS컨테이너배차관리!$CP:$CP,$B116)))))</f>
        <v/>
      </c>
      <c r="Q116" t="str">
        <f>IF($B116="","",IF(AND(IF(INDEX(GLAPS컨테이너배차관리!$AK:$AK,$B116)="","",INDEX(GLAPS컨테이너배차관리!$AK:$AK,$B116))="Y",IF(INDEX(GLAPS컨테이너배차관리!$AI:$AI,$B116)="","",INDEX(GLAPS컨테이너배차관리!$AI:$AI,$B116))="Y"),"위험물리퍼",IF(IF(INDEX(GLAPS컨테이너배차관리!$AK:$AK,$B116)="","",INDEX(GLAPS컨테이너배차관리!$AK:$AK,$B116))="Y","위험물",IF(IF(INDEX(GLAPS컨테이너배차관리!$AI:$AI,$B116)="","",INDEX(GLAPS컨테이너배차관리!$AI:$AI,$B116))="Y","리퍼",""))))</f>
        <v/>
      </c>
      <c r="R116" t="str">
        <f>IF($B116="","",IF(LEFT(IF(INDEX(GLAPS컨테이너배차관리!$Y:$Y,$B116)="","",INDEX(GLAPS컨테이너배차관리!$Y:$Y,$B116)),2)="22",1,""))</f>
        <v/>
      </c>
      <c r="S116" t="str">
        <f>IF($B116="","",IF(LEFT(IF(INDEX(GLAPS컨테이너배차관리!$Y:$Y,$B116)="","",INDEX(GLAPS컨테이너배차관리!$Y:$Y,$B116)),2)="42",1,""))</f>
        <v/>
      </c>
      <c r="T116" t="str">
        <f>IF($B116="","",IF(LEFT(IF(INDEX(GLAPS컨테이너배차관리!$Y:$Y,$B116)="","",INDEX(GLAPS컨테이너배차관리!$Y:$Y,$B116)),2)="45",1,""))</f>
        <v/>
      </c>
      <c r="U116" t="str">
        <f>IF($B116="","",IF(INDEX(GLAPS컨테이너배차관리!$X:$X,$B116)="","",INDEX(GLAPS컨테이너배차관리!$X:$X,$B116)))</f>
        <v/>
      </c>
      <c r="V116" t="str">
        <f>IF($B116="","",IF(INDEX(GLAPS컨테이너배차관리!$Z:$Z,$B116)="","",INDEX(GLAPS컨테이너배차관리!$Z:$Z,$B116)))</f>
        <v/>
      </c>
      <c r="W116" t="str">
        <f>IF($B116="","",IF(IF(INDEX(GLAPS컨테이너배차관리!$DI:$DI,$B116)="","",INDEX(GLAPS컨테이너배차관리!$DI:$DI,$B116))&lt;&gt;"",IF(INDEX(GLAPS컨테이너배차관리!$DI:$DI,$B116)="","",INDEX(GLAPS컨테이너배차관리!$DI:$DI,$B116)),IF(IF(INDEX(GLAPS컨테이너배차관리!$DJ:$DJ,$B116)="","",INDEX(GLAPS컨테이너배차관리!$DJ:$DJ,$B116))&lt;&gt;"",IF(INDEX(GLAPS컨테이너배차관리!$DJ:$DJ,$B116)="","",INDEX(GLAPS컨테이너배차관리!$DJ:$DJ,$B116)),IF(IF(INDEX(GLAPS컨테이너배차관리!$DK:$DK,$B116)="","",INDEX(GLAPS컨테이너배차관리!$DK:$DK,$B116))&lt;&gt;"",IF(INDEX(GLAPS컨테이너배차관리!$DK:$DK,$B116)="","",INDEX(GLAPS컨테이너배차관리!$DK:$DK,$B116)),IF(IF(INDEX(GLAPS컨테이너배차관리!$DL:$DL,$B116)="","",INDEX(GLAPS컨테이너배차관리!$DL:$DL,$B116))&lt;&gt;"",IF(INDEX(GLAPS컨테이너배차관리!$DL:$DL,$B116)="","",INDEX(GLAPS컨테이너배차관리!$DL:$DL,$B116)),IF(IF(INDEX(GLAPS컨테이너배차관리!$DM:$DM,$B116)="","",INDEX(GLAPS컨테이너배차관리!$DM:$DM,$B116))&lt;&gt;"",IF(INDEX(GLAPS컨테이너배차관리!$DM:$DM,$B116)="","",INDEX(GLAPS컨테이너배차관리!$DM:$DM,$B116)),""))))))</f>
        <v/>
      </c>
      <c r="X116" t="str">
        <f>IF($B116="","",IF(INDEX(GLAPS컨테이너배차관리!$F:$F,$B116)="","",INDEX(GLAPS컨테이너배차관리!$F:$F,$B116)))</f>
        <v/>
      </c>
      <c r="Y116" t="str">
        <f>IF($B116="","",IF(IF(INDEX(GLAPS컨테이너배차관리!$M:$M,$B116)="","",INDEX(GLAPS컨테이너배차관리!$M:$M,$B116))&lt;&gt;"",IF(INDEX(GLAPS컨테이너배차관리!$M:$M,$B116)="","",INDEX(GLAPS컨테이너배차관리!$M:$M,$B116)),IF(IF(INDEX(GLAPS컨테이너배차관리!$N:$N,$B116)="","",INDEX(GLAPS컨테이너배차관리!$N:$N,$B116))&lt;&gt;"",IF(INDEX(GLAPS컨테이너배차관리!$N:$N,$B116)="","",INDEX(GLAPS컨테이너배차관리!$N:$N,$B116)),"")))</f>
        <v/>
      </c>
      <c r="Z116" t="str">
        <f>IF($B116="","",IF(IF(INDEX(GLAPS컨테이너배차관리!$CU:$CU,$B116)="","",INDEX(GLAPS컨테이너배차관리!$CU:$CU,$B116))="","",IFERROR(INT(IF(INDEX(GLAPS컨테이너배차관리!$CU:$CU,$B116)="","",INDEX(GLAPS컨테이너배차관리!$CU:$CU,$B116))),"")))</f>
        <v/>
      </c>
      <c r="AA116" t="str">
        <f>IF($B116="","",IF(AND(IF(INDEX(GLAPS컨테이너배차관리!$CL:$CL,$B116)="","",INDEX(GLAPS컨테이너배차관리!$CL:$CL,$B116))="",IF(INDEX(GLAPS컨테이너배차관리!$CM:$CM,$B116)="","",INDEX(GLAPS컨테이너배차관리!$CM:$CM,$B116))=""),"",IF(OR(IF(INDEX(GLAPS컨테이너배차관리!$CL:$CL,$B116)="","",INDEX(GLAPS컨테이너배차관리!$CL:$CL,$B116))="B000016649",ISNUMBER(SEARCH("B015",IF(INDEX(GLAPS컨테이너배차관리!$CM:$CM,$B116)="","",INDEX(GLAPS컨테이너배차관리!$CM:$CM,$B116)))),ISNUMBER(SEARCH("세방",IF(INDEX(GLAPS컨테이너배차관리!$CM:$CM,$B116)="","",INDEX(GLAPS컨테이너배차관리!$CM:$CM,$B116)))),ISNUMBER(SEARCH("SB",IF(INDEX(GLAPS컨테이너배차관리!$CM:$CM,$B116)="","",INDEX(GLAPS컨테이너배차관리!$CM:$CM,$B116))))),"세방","")))</f>
        <v/>
      </c>
      <c r="AB116" t="str">
        <f>IF($B116="","",IF(IF(INDEX(GLAPS컨테이너배차관리!$CM:$CM,$B116)="","",INDEX(GLAPS컨테이너배차관리!$CM:$CM,$B116))="","",IF(ISNUMBER(SEARCH("이지스두동",IF(INDEX(GLAPS컨테이너배차관리!$CM:$CM,$B116)="","",INDEX(GLAPS컨테이너배차관리!$CM:$CM,$B116)))),"이지스두동",IF(ISNUMBER(SEARCH("이지스녹산",IF(INDEX(GLAPS컨테이너배차관리!$CM:$CM,$B116)="","",INDEX(GLAPS컨테이너배차관리!$CM:$CM,$B116)))),"이지스녹산",IF(ISNUMBER(SEARCH("천우",IF(INDEX(GLAPS컨테이너배차관리!$CM:$CM,$B116)="","",INDEX(GLAPS컨테이너배차관리!$CM:$CM,$B116)))),"천우",IF(OR(ISNUMBER(SEARCH("청암",IF(INDEX(GLAPS컨테이너배차관리!$CM:$CM,$B116)="","",INDEX(GLAPS컨테이너배차관리!$CM:$CM,$B116)))),ISNUMBER(SEARCH("SB청암",IF(INDEX(GLAPS컨테이너배차관리!$CM:$CM,$B116)="","",INDEX(GLAPS컨테이너배차관리!$CM:$CM,$B116))))),"청암신항",IF(INDEX(GLAPS컨테이너배차관리!$CM:$CM,$B116)="","",INDEX(GLAPS컨테이너배차관리!$CM:$CM,$B116))))))))</f>
        <v/>
      </c>
    </row>
    <row r="117" spans="1:28">
      <c r="A117">
        <v>116</v>
      </c>
      <c r="B117" t="str">
        <f>IFERROR(_xlfn.AGGREGATE(15,6,ROW(GLAPS컨테이너배차관리!$X$2:$X$20000)/(GLAPS컨테이너배차관리!$X$2:$X$20000&lt;&gt;""),A117),"")</f>
        <v/>
      </c>
      <c r="C117" t="str">
        <f>IF($B117="","",INT(IF(INDEX(GLAPS컨테이너배차관리!$K:$K,$B117)="","",INDEX(GLAPS컨테이너배차관리!$K:$K,$B117))))</f>
        <v/>
      </c>
      <c r="D117" t="str">
        <f>IF($B117="","",IF(ISNUMBER(SEARCH("이엘에스",IF(INDEX(GLAPS컨테이너배차관리!$AZ:$AZ,$B117)="","",INDEX(GLAPS컨테이너배차관리!$AZ:$AZ,$B117)))),"ELS솔루션",IF(INDEX(GLAPS컨테이너배차관리!$AZ:$AZ,$B117)="","",INDEX(GLAPS컨테이너배차관리!$AZ:$AZ,$B117))))</f>
        <v/>
      </c>
      <c r="E117" t="str">
        <f>IF($B117="","",IF(INDEX(GLAPS컨테이너배차관리!$L:$L,$B117)="","",INDEX(GLAPS컨테이너배차관리!$L:$L,$B117)))</f>
        <v/>
      </c>
      <c r="F117" t="str">
        <f>IF($B117="","",IF(HOUR(IF(INDEX(GLAPS컨테이너배차관리!$L:$L,$B117)="","",INDEX(GLAPS컨테이너배차관리!$L:$L,$B117)))&lt;12,"오전",IF(HOUR(IF(INDEX(GLAPS컨테이너배차관리!$L:$L,$B117)="","",INDEX(GLAPS컨테이너배차관리!$L:$L,$B117)))&lt;18,"오후","잔업")))</f>
        <v/>
      </c>
      <c r="G117" t="str">
        <f>IF($B117="","",IFERROR(INDEX(GLAPS정리!$G$3:$G$264,MATCH(IF(INDEX(GLAPS컨테이너배차관리!$BY:$BY,$B117)="","",INDEX(GLAPS컨테이너배차관리!$BY:$BY,$B117)),GLAPS정리!$H$3:$H$264,0)),TRIM(SUBSTITUTE(SUBSTITUTE(SUBSTITUTE(SUBSTITUTE(SUBSTITUTE(IF(INDEX(GLAPS컨테이너배차관리!$T:$T,$B117)="","",INDEX(GLAPS컨테이너배차관리!$T:$T,$B117)),"[GA]",""),"[GB]",""),"[GC]",""),"[KC]",""),"[GS]",""))))</f>
        <v/>
      </c>
      <c r="H117" t="str">
        <f>IF($B117="","",IFERROR(VLOOKUP(IF(INDEX(GLAPS컨테이너배차관리!$BY:$BY,$B117)="","",INDEX(GLAPS컨테이너배차관리!$BY:$BY,$B117)),GLAPS정리!$BT$3:$BV$200,3,0),""))</f>
        <v/>
      </c>
      <c r="I117" t="str">
        <f>IF($B117="","",LEFT(IF(INDEX(GLAPS컨테이너배차관리!$U:$U,$B117)="","",INDEX(GLAPS컨테이너배차관리!$U:$U,$B117)),FIND("/",IF(INDEX(GLAPS컨테이너배차관리!$U:$U,$B117)="","",INDEX(GLAPS컨테이너배차관리!$U:$U,$B117))&amp;"/")-1))</f>
        <v/>
      </c>
      <c r="J117" t="str">
        <f>IF($B117="","",IF(IF(INDEX(GLAPS컨테이너배차관리!$O:$O,$B117)="","",INDEX(GLAPS컨테이너배차관리!$O:$O,$B117))="EMC","EMA",IFERROR(INDEX(GLAPS정리!$A$2:$A$50,MATCH(IF(INDEX(GLAPS컨테이너배차관리!$O:$O,$B117)="","",INDEX(GLAPS컨테이너배차관리!$O:$O,$B117)),GLAPS정리!$D$2:$D$50,0)),IF(INDEX(GLAPS컨테이너배차관리!$O:$O,$B117)="","",INDEX(GLAPS컨테이너배차관리!$O:$O,$B117)))))</f>
        <v/>
      </c>
      <c r="K117" t="str">
        <f>IF($B117="","",IF(LEFT(IF(INDEX(GLAPS컨테이너배차관리!$Y:$Y,$B117)="","",INDEX(GLAPS컨테이너배차관리!$Y:$Y,$B117)),2)="22","20 Feet",IF(LEFT(IF(INDEX(GLAPS컨테이너배차관리!$Y:$Y,$B117)="","",INDEX(GLAPS컨테이너배차관리!$Y:$Y,$B117)),2)="42","40 Feet","40 Feet H")))</f>
        <v/>
      </c>
      <c r="L117" t="str">
        <f>IF($B117="","",IFERROR(INDEX(GLAPS정리!$BB$2:$BB$80,MATCH(IF(INDEX(GLAPS컨테이너배차관리!$BQ:$BQ,$B117)="","",INDEX(GLAPS컨테이너배차관리!$BQ:$BQ,$B117)),GLAPS정리!$BC$2:$BC$80,0)),IF(INDEX(GLAPS컨테이너배차관리!$BQ:$BQ,$B117)="","",INDEX(GLAPS컨테이너배차관리!$BQ:$BQ,$B117))))</f>
        <v/>
      </c>
      <c r="M117" t="str">
        <f>IF($B117="","",IFERROR(INDEX(GLAPS정리!$V$3:$V$180,MATCH(IF(INDEX(GLAPS컨테이너배차관리!$S:$S,$B117)="","",INDEX(GLAPS컨테이너배차관리!$S:$S,$B117)),GLAPS정리!$W$3:$W$180,0)),IF(INDEX(GLAPS컨테이너배차관리!$S:$S,$B117)="","",INDEX(GLAPS컨테이너배차관리!$S:$S,$B117))))</f>
        <v/>
      </c>
      <c r="N117" t="str">
        <f>IF($B117="","",IF(IF(INDEX(GLAPS컨테이너배차관리!$DF:$DF,$B117)="","",INDEX(GLAPS컨테이너배차관리!$DF:$DF,$B117))&lt;&gt;"",IF(INDEX(GLAPS컨테이너배차관리!$DF:$DF,$B117)="","",INDEX(GLAPS컨테이너배차관리!$DF:$DF,$B117)),IF(IF(INDEX(GLAPS컨테이너배차관리!$DG:$DG,$B117)="","",INDEX(GLAPS컨테이너배차관리!$DG:$DG,$B117))&lt;&gt;"",IF(INDEX(GLAPS컨테이너배차관리!$DG:$DG,$B117)="","",INDEX(GLAPS컨테이너배차관리!$DG:$DG,$B117)),"")))</f>
        <v/>
      </c>
      <c r="O117" t="str">
        <f>IF($B117="","",IF(INDEX(GLAPS컨테이너배차관리!$AB:$AB,$B117)="","",INDEX(GLAPS컨테이너배차관리!$AB:$AB,$B117)))</f>
        <v/>
      </c>
      <c r="P117" t="str">
        <f>IF($B117="","",IF(IF(INDEX(GLAPS컨테이너배차관리!$CP:$CP,$B117)="","",INDEX(GLAPS컨테이너배차관리!$CP:$CP,$B117))="","",IFERROR(INDEX(GLAPS정리!$BH$2:$BH$101,MATCH(IF(INDEX(GLAPS컨테이너배차관리!$CP:$CP,$B117)="","",INDEX(GLAPS컨테이너배차관리!$CP:$CP,$B117)),GLAPS정리!$BI$2:$BI$101,0)),IF(INDEX(GLAPS컨테이너배차관리!$CP:$CP,$B117)="","",INDEX(GLAPS컨테이너배차관리!$CP:$CP,$B117)))))</f>
        <v/>
      </c>
      <c r="Q117" t="str">
        <f>IF($B117="","",IF(AND(IF(INDEX(GLAPS컨테이너배차관리!$AK:$AK,$B117)="","",INDEX(GLAPS컨테이너배차관리!$AK:$AK,$B117))="Y",IF(INDEX(GLAPS컨테이너배차관리!$AI:$AI,$B117)="","",INDEX(GLAPS컨테이너배차관리!$AI:$AI,$B117))="Y"),"위험물리퍼",IF(IF(INDEX(GLAPS컨테이너배차관리!$AK:$AK,$B117)="","",INDEX(GLAPS컨테이너배차관리!$AK:$AK,$B117))="Y","위험물",IF(IF(INDEX(GLAPS컨테이너배차관리!$AI:$AI,$B117)="","",INDEX(GLAPS컨테이너배차관리!$AI:$AI,$B117))="Y","리퍼",""))))</f>
        <v/>
      </c>
      <c r="R117" t="str">
        <f>IF($B117="","",IF(LEFT(IF(INDEX(GLAPS컨테이너배차관리!$Y:$Y,$B117)="","",INDEX(GLAPS컨테이너배차관리!$Y:$Y,$B117)),2)="22",1,""))</f>
        <v/>
      </c>
      <c r="S117" t="str">
        <f>IF($B117="","",IF(LEFT(IF(INDEX(GLAPS컨테이너배차관리!$Y:$Y,$B117)="","",INDEX(GLAPS컨테이너배차관리!$Y:$Y,$B117)),2)="42",1,""))</f>
        <v/>
      </c>
      <c r="T117" t="str">
        <f>IF($B117="","",IF(LEFT(IF(INDEX(GLAPS컨테이너배차관리!$Y:$Y,$B117)="","",INDEX(GLAPS컨테이너배차관리!$Y:$Y,$B117)),2)="45",1,""))</f>
        <v/>
      </c>
      <c r="U117" t="str">
        <f>IF($B117="","",IF(INDEX(GLAPS컨테이너배차관리!$X:$X,$B117)="","",INDEX(GLAPS컨테이너배차관리!$X:$X,$B117)))</f>
        <v/>
      </c>
      <c r="V117" t="str">
        <f>IF($B117="","",IF(INDEX(GLAPS컨테이너배차관리!$Z:$Z,$B117)="","",INDEX(GLAPS컨테이너배차관리!$Z:$Z,$B117)))</f>
        <v/>
      </c>
      <c r="W117" t="str">
        <f>IF($B117="","",IF(IF(INDEX(GLAPS컨테이너배차관리!$DI:$DI,$B117)="","",INDEX(GLAPS컨테이너배차관리!$DI:$DI,$B117))&lt;&gt;"",IF(INDEX(GLAPS컨테이너배차관리!$DI:$DI,$B117)="","",INDEX(GLAPS컨테이너배차관리!$DI:$DI,$B117)),IF(IF(INDEX(GLAPS컨테이너배차관리!$DJ:$DJ,$B117)="","",INDEX(GLAPS컨테이너배차관리!$DJ:$DJ,$B117))&lt;&gt;"",IF(INDEX(GLAPS컨테이너배차관리!$DJ:$DJ,$B117)="","",INDEX(GLAPS컨테이너배차관리!$DJ:$DJ,$B117)),IF(IF(INDEX(GLAPS컨테이너배차관리!$DK:$DK,$B117)="","",INDEX(GLAPS컨테이너배차관리!$DK:$DK,$B117))&lt;&gt;"",IF(INDEX(GLAPS컨테이너배차관리!$DK:$DK,$B117)="","",INDEX(GLAPS컨테이너배차관리!$DK:$DK,$B117)),IF(IF(INDEX(GLAPS컨테이너배차관리!$DL:$DL,$B117)="","",INDEX(GLAPS컨테이너배차관리!$DL:$DL,$B117))&lt;&gt;"",IF(INDEX(GLAPS컨테이너배차관리!$DL:$DL,$B117)="","",INDEX(GLAPS컨테이너배차관리!$DL:$DL,$B117)),IF(IF(INDEX(GLAPS컨테이너배차관리!$DM:$DM,$B117)="","",INDEX(GLAPS컨테이너배차관리!$DM:$DM,$B117))&lt;&gt;"",IF(INDEX(GLAPS컨테이너배차관리!$DM:$DM,$B117)="","",INDEX(GLAPS컨테이너배차관리!$DM:$DM,$B117)),""))))))</f>
        <v/>
      </c>
      <c r="X117" t="str">
        <f>IF($B117="","",IF(INDEX(GLAPS컨테이너배차관리!$F:$F,$B117)="","",INDEX(GLAPS컨테이너배차관리!$F:$F,$B117)))</f>
        <v/>
      </c>
      <c r="Y117" t="str">
        <f>IF($B117="","",IF(IF(INDEX(GLAPS컨테이너배차관리!$M:$M,$B117)="","",INDEX(GLAPS컨테이너배차관리!$M:$M,$B117))&lt;&gt;"",IF(INDEX(GLAPS컨테이너배차관리!$M:$M,$B117)="","",INDEX(GLAPS컨테이너배차관리!$M:$M,$B117)),IF(IF(INDEX(GLAPS컨테이너배차관리!$N:$N,$B117)="","",INDEX(GLAPS컨테이너배차관리!$N:$N,$B117))&lt;&gt;"",IF(INDEX(GLAPS컨테이너배차관리!$N:$N,$B117)="","",INDEX(GLAPS컨테이너배차관리!$N:$N,$B117)),"")))</f>
        <v/>
      </c>
      <c r="Z117" t="str">
        <f>IF($B117="","",IF(IF(INDEX(GLAPS컨테이너배차관리!$CU:$CU,$B117)="","",INDEX(GLAPS컨테이너배차관리!$CU:$CU,$B117))="","",IFERROR(INT(IF(INDEX(GLAPS컨테이너배차관리!$CU:$CU,$B117)="","",INDEX(GLAPS컨테이너배차관리!$CU:$CU,$B117))),"")))</f>
        <v/>
      </c>
      <c r="AA117" t="str">
        <f>IF($B117="","",IF(AND(IF(INDEX(GLAPS컨테이너배차관리!$CL:$CL,$B117)="","",INDEX(GLAPS컨테이너배차관리!$CL:$CL,$B117))="",IF(INDEX(GLAPS컨테이너배차관리!$CM:$CM,$B117)="","",INDEX(GLAPS컨테이너배차관리!$CM:$CM,$B117))=""),"",IF(OR(IF(INDEX(GLAPS컨테이너배차관리!$CL:$CL,$B117)="","",INDEX(GLAPS컨테이너배차관리!$CL:$CL,$B117))="B000016649",ISNUMBER(SEARCH("B015",IF(INDEX(GLAPS컨테이너배차관리!$CM:$CM,$B117)="","",INDEX(GLAPS컨테이너배차관리!$CM:$CM,$B117)))),ISNUMBER(SEARCH("세방",IF(INDEX(GLAPS컨테이너배차관리!$CM:$CM,$B117)="","",INDEX(GLAPS컨테이너배차관리!$CM:$CM,$B117)))),ISNUMBER(SEARCH("SB",IF(INDEX(GLAPS컨테이너배차관리!$CM:$CM,$B117)="","",INDEX(GLAPS컨테이너배차관리!$CM:$CM,$B117))))),"세방","")))</f>
        <v/>
      </c>
      <c r="AB117" t="str">
        <f>IF($B117="","",IF(IF(INDEX(GLAPS컨테이너배차관리!$CM:$CM,$B117)="","",INDEX(GLAPS컨테이너배차관리!$CM:$CM,$B117))="","",IF(ISNUMBER(SEARCH("이지스두동",IF(INDEX(GLAPS컨테이너배차관리!$CM:$CM,$B117)="","",INDEX(GLAPS컨테이너배차관리!$CM:$CM,$B117)))),"이지스두동",IF(ISNUMBER(SEARCH("이지스녹산",IF(INDEX(GLAPS컨테이너배차관리!$CM:$CM,$B117)="","",INDEX(GLAPS컨테이너배차관리!$CM:$CM,$B117)))),"이지스녹산",IF(ISNUMBER(SEARCH("천우",IF(INDEX(GLAPS컨테이너배차관리!$CM:$CM,$B117)="","",INDEX(GLAPS컨테이너배차관리!$CM:$CM,$B117)))),"천우",IF(OR(ISNUMBER(SEARCH("청암",IF(INDEX(GLAPS컨테이너배차관리!$CM:$CM,$B117)="","",INDEX(GLAPS컨테이너배차관리!$CM:$CM,$B117)))),ISNUMBER(SEARCH("SB청암",IF(INDEX(GLAPS컨테이너배차관리!$CM:$CM,$B117)="","",INDEX(GLAPS컨테이너배차관리!$CM:$CM,$B117))))),"청암신항",IF(INDEX(GLAPS컨테이너배차관리!$CM:$CM,$B117)="","",INDEX(GLAPS컨테이너배차관리!$CM:$CM,$B117))))))))</f>
        <v/>
      </c>
    </row>
    <row r="118" spans="1:28">
      <c r="A118">
        <v>117</v>
      </c>
      <c r="B118" t="str">
        <f>IFERROR(_xlfn.AGGREGATE(15,6,ROW(GLAPS컨테이너배차관리!$X$2:$X$20000)/(GLAPS컨테이너배차관리!$X$2:$X$20000&lt;&gt;""),A118),"")</f>
        <v/>
      </c>
      <c r="C118" t="str">
        <f>IF($B118="","",INT(IF(INDEX(GLAPS컨테이너배차관리!$K:$K,$B118)="","",INDEX(GLAPS컨테이너배차관리!$K:$K,$B118))))</f>
        <v/>
      </c>
      <c r="D118" t="str">
        <f>IF($B118="","",IF(ISNUMBER(SEARCH("이엘에스",IF(INDEX(GLAPS컨테이너배차관리!$AZ:$AZ,$B118)="","",INDEX(GLAPS컨테이너배차관리!$AZ:$AZ,$B118)))),"ELS솔루션",IF(INDEX(GLAPS컨테이너배차관리!$AZ:$AZ,$B118)="","",INDEX(GLAPS컨테이너배차관리!$AZ:$AZ,$B118))))</f>
        <v/>
      </c>
      <c r="E118" t="str">
        <f>IF($B118="","",IF(INDEX(GLAPS컨테이너배차관리!$L:$L,$B118)="","",INDEX(GLAPS컨테이너배차관리!$L:$L,$B118)))</f>
        <v/>
      </c>
      <c r="F118" t="str">
        <f>IF($B118="","",IF(HOUR(IF(INDEX(GLAPS컨테이너배차관리!$L:$L,$B118)="","",INDEX(GLAPS컨테이너배차관리!$L:$L,$B118)))&lt;12,"오전",IF(HOUR(IF(INDEX(GLAPS컨테이너배차관리!$L:$L,$B118)="","",INDEX(GLAPS컨테이너배차관리!$L:$L,$B118)))&lt;18,"오후","잔업")))</f>
        <v/>
      </c>
      <c r="G118" t="str">
        <f>IF($B118="","",IFERROR(INDEX(GLAPS정리!$G$3:$G$264,MATCH(IF(INDEX(GLAPS컨테이너배차관리!$BY:$BY,$B118)="","",INDEX(GLAPS컨테이너배차관리!$BY:$BY,$B118)),GLAPS정리!$H$3:$H$264,0)),TRIM(SUBSTITUTE(SUBSTITUTE(SUBSTITUTE(SUBSTITUTE(SUBSTITUTE(IF(INDEX(GLAPS컨테이너배차관리!$T:$T,$B118)="","",INDEX(GLAPS컨테이너배차관리!$T:$T,$B118)),"[GA]",""),"[GB]",""),"[GC]",""),"[KC]",""),"[GS]",""))))</f>
        <v/>
      </c>
      <c r="H118" t="str">
        <f>IF($B118="","",IFERROR(VLOOKUP(IF(INDEX(GLAPS컨테이너배차관리!$BY:$BY,$B118)="","",INDEX(GLAPS컨테이너배차관리!$BY:$BY,$B118)),GLAPS정리!$BT$3:$BV$200,3,0),""))</f>
        <v/>
      </c>
      <c r="I118" t="str">
        <f>IF($B118="","",LEFT(IF(INDEX(GLAPS컨테이너배차관리!$U:$U,$B118)="","",INDEX(GLAPS컨테이너배차관리!$U:$U,$B118)),FIND("/",IF(INDEX(GLAPS컨테이너배차관리!$U:$U,$B118)="","",INDEX(GLAPS컨테이너배차관리!$U:$U,$B118))&amp;"/")-1))</f>
        <v/>
      </c>
      <c r="J118" t="str">
        <f>IF($B118="","",IF(IF(INDEX(GLAPS컨테이너배차관리!$O:$O,$B118)="","",INDEX(GLAPS컨테이너배차관리!$O:$O,$B118))="EMC","EMA",IFERROR(INDEX(GLAPS정리!$A$2:$A$50,MATCH(IF(INDEX(GLAPS컨테이너배차관리!$O:$O,$B118)="","",INDEX(GLAPS컨테이너배차관리!$O:$O,$B118)),GLAPS정리!$D$2:$D$50,0)),IF(INDEX(GLAPS컨테이너배차관리!$O:$O,$B118)="","",INDEX(GLAPS컨테이너배차관리!$O:$O,$B118)))))</f>
        <v/>
      </c>
      <c r="K118" t="str">
        <f>IF($B118="","",IF(LEFT(IF(INDEX(GLAPS컨테이너배차관리!$Y:$Y,$B118)="","",INDEX(GLAPS컨테이너배차관리!$Y:$Y,$B118)),2)="22","20 Feet",IF(LEFT(IF(INDEX(GLAPS컨테이너배차관리!$Y:$Y,$B118)="","",INDEX(GLAPS컨테이너배차관리!$Y:$Y,$B118)),2)="42","40 Feet","40 Feet H")))</f>
        <v/>
      </c>
      <c r="L118" t="str">
        <f>IF($B118="","",IFERROR(INDEX(GLAPS정리!$BB$2:$BB$80,MATCH(IF(INDEX(GLAPS컨테이너배차관리!$BQ:$BQ,$B118)="","",INDEX(GLAPS컨테이너배차관리!$BQ:$BQ,$B118)),GLAPS정리!$BC$2:$BC$80,0)),IF(INDEX(GLAPS컨테이너배차관리!$BQ:$BQ,$B118)="","",INDEX(GLAPS컨테이너배차관리!$BQ:$BQ,$B118))))</f>
        <v/>
      </c>
      <c r="M118" t="str">
        <f>IF($B118="","",IFERROR(INDEX(GLAPS정리!$V$3:$V$180,MATCH(IF(INDEX(GLAPS컨테이너배차관리!$S:$S,$B118)="","",INDEX(GLAPS컨테이너배차관리!$S:$S,$B118)),GLAPS정리!$W$3:$W$180,0)),IF(INDEX(GLAPS컨테이너배차관리!$S:$S,$B118)="","",INDEX(GLAPS컨테이너배차관리!$S:$S,$B118))))</f>
        <v/>
      </c>
      <c r="N118" t="str">
        <f>IF($B118="","",IF(IF(INDEX(GLAPS컨테이너배차관리!$DF:$DF,$B118)="","",INDEX(GLAPS컨테이너배차관리!$DF:$DF,$B118))&lt;&gt;"",IF(INDEX(GLAPS컨테이너배차관리!$DF:$DF,$B118)="","",INDEX(GLAPS컨테이너배차관리!$DF:$DF,$B118)),IF(IF(INDEX(GLAPS컨테이너배차관리!$DG:$DG,$B118)="","",INDEX(GLAPS컨테이너배차관리!$DG:$DG,$B118))&lt;&gt;"",IF(INDEX(GLAPS컨테이너배차관리!$DG:$DG,$B118)="","",INDEX(GLAPS컨테이너배차관리!$DG:$DG,$B118)),"")))</f>
        <v/>
      </c>
      <c r="O118" t="str">
        <f>IF($B118="","",IF(INDEX(GLAPS컨테이너배차관리!$AB:$AB,$B118)="","",INDEX(GLAPS컨테이너배차관리!$AB:$AB,$B118)))</f>
        <v/>
      </c>
      <c r="P118" t="str">
        <f>IF($B118="","",IF(IF(INDEX(GLAPS컨테이너배차관리!$CP:$CP,$B118)="","",INDEX(GLAPS컨테이너배차관리!$CP:$CP,$B118))="","",IFERROR(INDEX(GLAPS정리!$BH$2:$BH$101,MATCH(IF(INDEX(GLAPS컨테이너배차관리!$CP:$CP,$B118)="","",INDEX(GLAPS컨테이너배차관리!$CP:$CP,$B118)),GLAPS정리!$BI$2:$BI$101,0)),IF(INDEX(GLAPS컨테이너배차관리!$CP:$CP,$B118)="","",INDEX(GLAPS컨테이너배차관리!$CP:$CP,$B118)))))</f>
        <v/>
      </c>
      <c r="Q118" t="str">
        <f>IF($B118="","",IF(AND(IF(INDEX(GLAPS컨테이너배차관리!$AK:$AK,$B118)="","",INDEX(GLAPS컨테이너배차관리!$AK:$AK,$B118))="Y",IF(INDEX(GLAPS컨테이너배차관리!$AI:$AI,$B118)="","",INDEX(GLAPS컨테이너배차관리!$AI:$AI,$B118))="Y"),"위험물리퍼",IF(IF(INDEX(GLAPS컨테이너배차관리!$AK:$AK,$B118)="","",INDEX(GLAPS컨테이너배차관리!$AK:$AK,$B118))="Y","위험물",IF(IF(INDEX(GLAPS컨테이너배차관리!$AI:$AI,$B118)="","",INDEX(GLAPS컨테이너배차관리!$AI:$AI,$B118))="Y","리퍼",""))))</f>
        <v/>
      </c>
      <c r="R118" t="str">
        <f>IF($B118="","",IF(LEFT(IF(INDEX(GLAPS컨테이너배차관리!$Y:$Y,$B118)="","",INDEX(GLAPS컨테이너배차관리!$Y:$Y,$B118)),2)="22",1,""))</f>
        <v/>
      </c>
      <c r="S118" t="str">
        <f>IF($B118="","",IF(LEFT(IF(INDEX(GLAPS컨테이너배차관리!$Y:$Y,$B118)="","",INDEX(GLAPS컨테이너배차관리!$Y:$Y,$B118)),2)="42",1,""))</f>
        <v/>
      </c>
      <c r="T118" t="str">
        <f>IF($B118="","",IF(LEFT(IF(INDEX(GLAPS컨테이너배차관리!$Y:$Y,$B118)="","",INDEX(GLAPS컨테이너배차관리!$Y:$Y,$B118)),2)="45",1,""))</f>
        <v/>
      </c>
      <c r="U118" t="str">
        <f>IF($B118="","",IF(INDEX(GLAPS컨테이너배차관리!$X:$X,$B118)="","",INDEX(GLAPS컨테이너배차관리!$X:$X,$B118)))</f>
        <v/>
      </c>
      <c r="V118" t="str">
        <f>IF($B118="","",IF(INDEX(GLAPS컨테이너배차관리!$Z:$Z,$B118)="","",INDEX(GLAPS컨테이너배차관리!$Z:$Z,$B118)))</f>
        <v/>
      </c>
      <c r="W118" t="str">
        <f>IF($B118="","",IF(IF(INDEX(GLAPS컨테이너배차관리!$DI:$DI,$B118)="","",INDEX(GLAPS컨테이너배차관리!$DI:$DI,$B118))&lt;&gt;"",IF(INDEX(GLAPS컨테이너배차관리!$DI:$DI,$B118)="","",INDEX(GLAPS컨테이너배차관리!$DI:$DI,$B118)),IF(IF(INDEX(GLAPS컨테이너배차관리!$DJ:$DJ,$B118)="","",INDEX(GLAPS컨테이너배차관리!$DJ:$DJ,$B118))&lt;&gt;"",IF(INDEX(GLAPS컨테이너배차관리!$DJ:$DJ,$B118)="","",INDEX(GLAPS컨테이너배차관리!$DJ:$DJ,$B118)),IF(IF(INDEX(GLAPS컨테이너배차관리!$DK:$DK,$B118)="","",INDEX(GLAPS컨테이너배차관리!$DK:$DK,$B118))&lt;&gt;"",IF(INDEX(GLAPS컨테이너배차관리!$DK:$DK,$B118)="","",INDEX(GLAPS컨테이너배차관리!$DK:$DK,$B118)),IF(IF(INDEX(GLAPS컨테이너배차관리!$DL:$DL,$B118)="","",INDEX(GLAPS컨테이너배차관리!$DL:$DL,$B118))&lt;&gt;"",IF(INDEX(GLAPS컨테이너배차관리!$DL:$DL,$B118)="","",INDEX(GLAPS컨테이너배차관리!$DL:$DL,$B118)),IF(IF(INDEX(GLAPS컨테이너배차관리!$DM:$DM,$B118)="","",INDEX(GLAPS컨테이너배차관리!$DM:$DM,$B118))&lt;&gt;"",IF(INDEX(GLAPS컨테이너배차관리!$DM:$DM,$B118)="","",INDEX(GLAPS컨테이너배차관리!$DM:$DM,$B118)),""))))))</f>
        <v/>
      </c>
      <c r="X118" t="str">
        <f>IF($B118="","",IF(INDEX(GLAPS컨테이너배차관리!$F:$F,$B118)="","",INDEX(GLAPS컨테이너배차관리!$F:$F,$B118)))</f>
        <v/>
      </c>
      <c r="Y118" t="str">
        <f>IF($B118="","",IF(IF(INDEX(GLAPS컨테이너배차관리!$M:$M,$B118)="","",INDEX(GLAPS컨테이너배차관리!$M:$M,$B118))&lt;&gt;"",IF(INDEX(GLAPS컨테이너배차관리!$M:$M,$B118)="","",INDEX(GLAPS컨테이너배차관리!$M:$M,$B118)),IF(IF(INDEX(GLAPS컨테이너배차관리!$N:$N,$B118)="","",INDEX(GLAPS컨테이너배차관리!$N:$N,$B118))&lt;&gt;"",IF(INDEX(GLAPS컨테이너배차관리!$N:$N,$B118)="","",INDEX(GLAPS컨테이너배차관리!$N:$N,$B118)),"")))</f>
        <v/>
      </c>
      <c r="Z118" t="str">
        <f>IF($B118="","",IF(IF(INDEX(GLAPS컨테이너배차관리!$CU:$CU,$B118)="","",INDEX(GLAPS컨테이너배차관리!$CU:$CU,$B118))="","",IFERROR(INT(IF(INDEX(GLAPS컨테이너배차관리!$CU:$CU,$B118)="","",INDEX(GLAPS컨테이너배차관리!$CU:$CU,$B118))),"")))</f>
        <v/>
      </c>
      <c r="AA118" t="str">
        <f>IF($B118="","",IF(AND(IF(INDEX(GLAPS컨테이너배차관리!$CL:$CL,$B118)="","",INDEX(GLAPS컨테이너배차관리!$CL:$CL,$B118))="",IF(INDEX(GLAPS컨테이너배차관리!$CM:$CM,$B118)="","",INDEX(GLAPS컨테이너배차관리!$CM:$CM,$B118))=""),"",IF(OR(IF(INDEX(GLAPS컨테이너배차관리!$CL:$CL,$B118)="","",INDEX(GLAPS컨테이너배차관리!$CL:$CL,$B118))="B000016649",ISNUMBER(SEARCH("B015",IF(INDEX(GLAPS컨테이너배차관리!$CM:$CM,$B118)="","",INDEX(GLAPS컨테이너배차관리!$CM:$CM,$B118)))),ISNUMBER(SEARCH("세방",IF(INDEX(GLAPS컨테이너배차관리!$CM:$CM,$B118)="","",INDEX(GLAPS컨테이너배차관리!$CM:$CM,$B118)))),ISNUMBER(SEARCH("SB",IF(INDEX(GLAPS컨테이너배차관리!$CM:$CM,$B118)="","",INDEX(GLAPS컨테이너배차관리!$CM:$CM,$B118))))),"세방","")))</f>
        <v/>
      </c>
      <c r="AB118" t="str">
        <f>IF($B118="","",IF(IF(INDEX(GLAPS컨테이너배차관리!$CM:$CM,$B118)="","",INDEX(GLAPS컨테이너배차관리!$CM:$CM,$B118))="","",IF(ISNUMBER(SEARCH("이지스두동",IF(INDEX(GLAPS컨테이너배차관리!$CM:$CM,$B118)="","",INDEX(GLAPS컨테이너배차관리!$CM:$CM,$B118)))),"이지스두동",IF(ISNUMBER(SEARCH("이지스녹산",IF(INDEX(GLAPS컨테이너배차관리!$CM:$CM,$B118)="","",INDEX(GLAPS컨테이너배차관리!$CM:$CM,$B118)))),"이지스녹산",IF(ISNUMBER(SEARCH("천우",IF(INDEX(GLAPS컨테이너배차관리!$CM:$CM,$B118)="","",INDEX(GLAPS컨테이너배차관리!$CM:$CM,$B118)))),"천우",IF(OR(ISNUMBER(SEARCH("청암",IF(INDEX(GLAPS컨테이너배차관리!$CM:$CM,$B118)="","",INDEX(GLAPS컨테이너배차관리!$CM:$CM,$B118)))),ISNUMBER(SEARCH("SB청암",IF(INDEX(GLAPS컨테이너배차관리!$CM:$CM,$B118)="","",INDEX(GLAPS컨테이너배차관리!$CM:$CM,$B118))))),"청암신항",IF(INDEX(GLAPS컨테이너배차관리!$CM:$CM,$B118)="","",INDEX(GLAPS컨테이너배차관리!$CM:$CM,$B118))))))))</f>
        <v/>
      </c>
    </row>
    <row r="119" spans="1:28">
      <c r="A119">
        <v>118</v>
      </c>
      <c r="B119" t="str">
        <f>IFERROR(_xlfn.AGGREGATE(15,6,ROW(GLAPS컨테이너배차관리!$X$2:$X$20000)/(GLAPS컨테이너배차관리!$X$2:$X$20000&lt;&gt;""),A119),"")</f>
        <v/>
      </c>
      <c r="C119" t="str">
        <f>IF($B119="","",INT(IF(INDEX(GLAPS컨테이너배차관리!$K:$K,$B119)="","",INDEX(GLAPS컨테이너배차관리!$K:$K,$B119))))</f>
        <v/>
      </c>
      <c r="D119" t="str">
        <f>IF($B119="","",IF(ISNUMBER(SEARCH("이엘에스",IF(INDEX(GLAPS컨테이너배차관리!$AZ:$AZ,$B119)="","",INDEX(GLAPS컨테이너배차관리!$AZ:$AZ,$B119)))),"ELS솔루션",IF(INDEX(GLAPS컨테이너배차관리!$AZ:$AZ,$B119)="","",INDEX(GLAPS컨테이너배차관리!$AZ:$AZ,$B119))))</f>
        <v/>
      </c>
      <c r="E119" t="str">
        <f>IF($B119="","",IF(INDEX(GLAPS컨테이너배차관리!$L:$L,$B119)="","",INDEX(GLAPS컨테이너배차관리!$L:$L,$B119)))</f>
        <v/>
      </c>
      <c r="F119" t="str">
        <f>IF($B119="","",IF(HOUR(IF(INDEX(GLAPS컨테이너배차관리!$L:$L,$B119)="","",INDEX(GLAPS컨테이너배차관리!$L:$L,$B119)))&lt;12,"오전",IF(HOUR(IF(INDEX(GLAPS컨테이너배차관리!$L:$L,$B119)="","",INDEX(GLAPS컨테이너배차관리!$L:$L,$B119)))&lt;18,"오후","잔업")))</f>
        <v/>
      </c>
      <c r="G119" t="str">
        <f>IF($B119="","",IFERROR(INDEX(GLAPS정리!$G$3:$G$264,MATCH(IF(INDEX(GLAPS컨테이너배차관리!$BY:$BY,$B119)="","",INDEX(GLAPS컨테이너배차관리!$BY:$BY,$B119)),GLAPS정리!$H$3:$H$264,0)),TRIM(SUBSTITUTE(SUBSTITUTE(SUBSTITUTE(SUBSTITUTE(SUBSTITUTE(IF(INDEX(GLAPS컨테이너배차관리!$T:$T,$B119)="","",INDEX(GLAPS컨테이너배차관리!$T:$T,$B119)),"[GA]",""),"[GB]",""),"[GC]",""),"[KC]",""),"[GS]",""))))</f>
        <v/>
      </c>
      <c r="H119" t="str">
        <f>IF($B119="","",IFERROR(VLOOKUP(IF(INDEX(GLAPS컨테이너배차관리!$BY:$BY,$B119)="","",INDEX(GLAPS컨테이너배차관리!$BY:$BY,$B119)),GLAPS정리!$BT$3:$BV$200,3,0),""))</f>
        <v/>
      </c>
      <c r="I119" t="str">
        <f>IF($B119="","",LEFT(IF(INDEX(GLAPS컨테이너배차관리!$U:$U,$B119)="","",INDEX(GLAPS컨테이너배차관리!$U:$U,$B119)),FIND("/",IF(INDEX(GLAPS컨테이너배차관리!$U:$U,$B119)="","",INDEX(GLAPS컨테이너배차관리!$U:$U,$B119))&amp;"/")-1))</f>
        <v/>
      </c>
      <c r="J119" t="str">
        <f>IF($B119="","",IF(IF(INDEX(GLAPS컨테이너배차관리!$O:$O,$B119)="","",INDEX(GLAPS컨테이너배차관리!$O:$O,$B119))="EMC","EMA",IFERROR(INDEX(GLAPS정리!$A$2:$A$50,MATCH(IF(INDEX(GLAPS컨테이너배차관리!$O:$O,$B119)="","",INDEX(GLAPS컨테이너배차관리!$O:$O,$B119)),GLAPS정리!$D$2:$D$50,0)),IF(INDEX(GLAPS컨테이너배차관리!$O:$O,$B119)="","",INDEX(GLAPS컨테이너배차관리!$O:$O,$B119)))))</f>
        <v/>
      </c>
      <c r="K119" t="str">
        <f>IF($B119="","",IF(LEFT(IF(INDEX(GLAPS컨테이너배차관리!$Y:$Y,$B119)="","",INDEX(GLAPS컨테이너배차관리!$Y:$Y,$B119)),2)="22","20 Feet",IF(LEFT(IF(INDEX(GLAPS컨테이너배차관리!$Y:$Y,$B119)="","",INDEX(GLAPS컨테이너배차관리!$Y:$Y,$B119)),2)="42","40 Feet","40 Feet H")))</f>
        <v/>
      </c>
      <c r="L119" t="str">
        <f>IF($B119="","",IFERROR(INDEX(GLAPS정리!$BB$2:$BB$80,MATCH(IF(INDEX(GLAPS컨테이너배차관리!$BQ:$BQ,$B119)="","",INDEX(GLAPS컨테이너배차관리!$BQ:$BQ,$B119)),GLAPS정리!$BC$2:$BC$80,0)),IF(INDEX(GLAPS컨테이너배차관리!$BQ:$BQ,$B119)="","",INDEX(GLAPS컨테이너배차관리!$BQ:$BQ,$B119))))</f>
        <v/>
      </c>
      <c r="M119" t="str">
        <f>IF($B119="","",IFERROR(INDEX(GLAPS정리!$V$3:$V$180,MATCH(IF(INDEX(GLAPS컨테이너배차관리!$S:$S,$B119)="","",INDEX(GLAPS컨테이너배차관리!$S:$S,$B119)),GLAPS정리!$W$3:$W$180,0)),IF(INDEX(GLAPS컨테이너배차관리!$S:$S,$B119)="","",INDEX(GLAPS컨테이너배차관리!$S:$S,$B119))))</f>
        <v/>
      </c>
      <c r="N119" t="str">
        <f>IF($B119="","",IF(IF(INDEX(GLAPS컨테이너배차관리!$DF:$DF,$B119)="","",INDEX(GLAPS컨테이너배차관리!$DF:$DF,$B119))&lt;&gt;"",IF(INDEX(GLAPS컨테이너배차관리!$DF:$DF,$B119)="","",INDEX(GLAPS컨테이너배차관리!$DF:$DF,$B119)),IF(IF(INDEX(GLAPS컨테이너배차관리!$DG:$DG,$B119)="","",INDEX(GLAPS컨테이너배차관리!$DG:$DG,$B119))&lt;&gt;"",IF(INDEX(GLAPS컨테이너배차관리!$DG:$DG,$B119)="","",INDEX(GLAPS컨테이너배차관리!$DG:$DG,$B119)),"")))</f>
        <v/>
      </c>
      <c r="O119" t="str">
        <f>IF($B119="","",IF(INDEX(GLAPS컨테이너배차관리!$AB:$AB,$B119)="","",INDEX(GLAPS컨테이너배차관리!$AB:$AB,$B119)))</f>
        <v/>
      </c>
      <c r="P119" t="str">
        <f>IF($B119="","",IF(IF(INDEX(GLAPS컨테이너배차관리!$CP:$CP,$B119)="","",INDEX(GLAPS컨테이너배차관리!$CP:$CP,$B119))="","",IFERROR(INDEX(GLAPS정리!$BH$2:$BH$101,MATCH(IF(INDEX(GLAPS컨테이너배차관리!$CP:$CP,$B119)="","",INDEX(GLAPS컨테이너배차관리!$CP:$CP,$B119)),GLAPS정리!$BI$2:$BI$101,0)),IF(INDEX(GLAPS컨테이너배차관리!$CP:$CP,$B119)="","",INDEX(GLAPS컨테이너배차관리!$CP:$CP,$B119)))))</f>
        <v/>
      </c>
      <c r="Q119" t="str">
        <f>IF($B119="","",IF(AND(IF(INDEX(GLAPS컨테이너배차관리!$AK:$AK,$B119)="","",INDEX(GLAPS컨테이너배차관리!$AK:$AK,$B119))="Y",IF(INDEX(GLAPS컨테이너배차관리!$AI:$AI,$B119)="","",INDEX(GLAPS컨테이너배차관리!$AI:$AI,$B119))="Y"),"위험물리퍼",IF(IF(INDEX(GLAPS컨테이너배차관리!$AK:$AK,$B119)="","",INDEX(GLAPS컨테이너배차관리!$AK:$AK,$B119))="Y","위험물",IF(IF(INDEX(GLAPS컨테이너배차관리!$AI:$AI,$B119)="","",INDEX(GLAPS컨테이너배차관리!$AI:$AI,$B119))="Y","리퍼",""))))</f>
        <v/>
      </c>
      <c r="R119" t="str">
        <f>IF($B119="","",IF(LEFT(IF(INDEX(GLAPS컨테이너배차관리!$Y:$Y,$B119)="","",INDEX(GLAPS컨테이너배차관리!$Y:$Y,$B119)),2)="22",1,""))</f>
        <v/>
      </c>
      <c r="S119" t="str">
        <f>IF($B119="","",IF(LEFT(IF(INDEX(GLAPS컨테이너배차관리!$Y:$Y,$B119)="","",INDEX(GLAPS컨테이너배차관리!$Y:$Y,$B119)),2)="42",1,""))</f>
        <v/>
      </c>
      <c r="T119" t="str">
        <f>IF($B119="","",IF(LEFT(IF(INDEX(GLAPS컨테이너배차관리!$Y:$Y,$B119)="","",INDEX(GLAPS컨테이너배차관리!$Y:$Y,$B119)),2)="45",1,""))</f>
        <v/>
      </c>
      <c r="U119" t="str">
        <f>IF($B119="","",IF(INDEX(GLAPS컨테이너배차관리!$X:$X,$B119)="","",INDEX(GLAPS컨테이너배차관리!$X:$X,$B119)))</f>
        <v/>
      </c>
      <c r="V119" t="str">
        <f>IF($B119="","",IF(INDEX(GLAPS컨테이너배차관리!$Z:$Z,$B119)="","",INDEX(GLAPS컨테이너배차관리!$Z:$Z,$B119)))</f>
        <v/>
      </c>
      <c r="W119" t="str">
        <f>IF($B119="","",IF(IF(INDEX(GLAPS컨테이너배차관리!$DI:$DI,$B119)="","",INDEX(GLAPS컨테이너배차관리!$DI:$DI,$B119))&lt;&gt;"",IF(INDEX(GLAPS컨테이너배차관리!$DI:$DI,$B119)="","",INDEX(GLAPS컨테이너배차관리!$DI:$DI,$B119)),IF(IF(INDEX(GLAPS컨테이너배차관리!$DJ:$DJ,$B119)="","",INDEX(GLAPS컨테이너배차관리!$DJ:$DJ,$B119))&lt;&gt;"",IF(INDEX(GLAPS컨테이너배차관리!$DJ:$DJ,$B119)="","",INDEX(GLAPS컨테이너배차관리!$DJ:$DJ,$B119)),IF(IF(INDEX(GLAPS컨테이너배차관리!$DK:$DK,$B119)="","",INDEX(GLAPS컨테이너배차관리!$DK:$DK,$B119))&lt;&gt;"",IF(INDEX(GLAPS컨테이너배차관리!$DK:$DK,$B119)="","",INDEX(GLAPS컨테이너배차관리!$DK:$DK,$B119)),IF(IF(INDEX(GLAPS컨테이너배차관리!$DL:$DL,$B119)="","",INDEX(GLAPS컨테이너배차관리!$DL:$DL,$B119))&lt;&gt;"",IF(INDEX(GLAPS컨테이너배차관리!$DL:$DL,$B119)="","",INDEX(GLAPS컨테이너배차관리!$DL:$DL,$B119)),IF(IF(INDEX(GLAPS컨테이너배차관리!$DM:$DM,$B119)="","",INDEX(GLAPS컨테이너배차관리!$DM:$DM,$B119))&lt;&gt;"",IF(INDEX(GLAPS컨테이너배차관리!$DM:$DM,$B119)="","",INDEX(GLAPS컨테이너배차관리!$DM:$DM,$B119)),""))))))</f>
        <v/>
      </c>
      <c r="X119" t="str">
        <f>IF($B119="","",IF(INDEX(GLAPS컨테이너배차관리!$F:$F,$B119)="","",INDEX(GLAPS컨테이너배차관리!$F:$F,$B119)))</f>
        <v/>
      </c>
      <c r="Y119" t="str">
        <f>IF($B119="","",IF(IF(INDEX(GLAPS컨테이너배차관리!$M:$M,$B119)="","",INDEX(GLAPS컨테이너배차관리!$M:$M,$B119))&lt;&gt;"",IF(INDEX(GLAPS컨테이너배차관리!$M:$M,$B119)="","",INDEX(GLAPS컨테이너배차관리!$M:$M,$B119)),IF(IF(INDEX(GLAPS컨테이너배차관리!$N:$N,$B119)="","",INDEX(GLAPS컨테이너배차관리!$N:$N,$B119))&lt;&gt;"",IF(INDEX(GLAPS컨테이너배차관리!$N:$N,$B119)="","",INDEX(GLAPS컨테이너배차관리!$N:$N,$B119)),"")))</f>
        <v/>
      </c>
      <c r="Z119" t="str">
        <f>IF($B119="","",IF(IF(INDEX(GLAPS컨테이너배차관리!$CU:$CU,$B119)="","",INDEX(GLAPS컨테이너배차관리!$CU:$CU,$B119))="","",IFERROR(INT(IF(INDEX(GLAPS컨테이너배차관리!$CU:$CU,$B119)="","",INDEX(GLAPS컨테이너배차관리!$CU:$CU,$B119))),"")))</f>
        <v/>
      </c>
      <c r="AA119" t="str">
        <f>IF($B119="","",IF(AND(IF(INDEX(GLAPS컨테이너배차관리!$CL:$CL,$B119)="","",INDEX(GLAPS컨테이너배차관리!$CL:$CL,$B119))="",IF(INDEX(GLAPS컨테이너배차관리!$CM:$CM,$B119)="","",INDEX(GLAPS컨테이너배차관리!$CM:$CM,$B119))=""),"",IF(OR(IF(INDEX(GLAPS컨테이너배차관리!$CL:$CL,$B119)="","",INDEX(GLAPS컨테이너배차관리!$CL:$CL,$B119))="B000016649",ISNUMBER(SEARCH("B015",IF(INDEX(GLAPS컨테이너배차관리!$CM:$CM,$B119)="","",INDEX(GLAPS컨테이너배차관리!$CM:$CM,$B119)))),ISNUMBER(SEARCH("세방",IF(INDEX(GLAPS컨테이너배차관리!$CM:$CM,$B119)="","",INDEX(GLAPS컨테이너배차관리!$CM:$CM,$B119)))),ISNUMBER(SEARCH("SB",IF(INDEX(GLAPS컨테이너배차관리!$CM:$CM,$B119)="","",INDEX(GLAPS컨테이너배차관리!$CM:$CM,$B119))))),"세방","")))</f>
        <v/>
      </c>
      <c r="AB119" t="str">
        <f>IF($B119="","",IF(IF(INDEX(GLAPS컨테이너배차관리!$CM:$CM,$B119)="","",INDEX(GLAPS컨테이너배차관리!$CM:$CM,$B119))="","",IF(ISNUMBER(SEARCH("이지스두동",IF(INDEX(GLAPS컨테이너배차관리!$CM:$CM,$B119)="","",INDEX(GLAPS컨테이너배차관리!$CM:$CM,$B119)))),"이지스두동",IF(ISNUMBER(SEARCH("이지스녹산",IF(INDEX(GLAPS컨테이너배차관리!$CM:$CM,$B119)="","",INDEX(GLAPS컨테이너배차관리!$CM:$CM,$B119)))),"이지스녹산",IF(ISNUMBER(SEARCH("천우",IF(INDEX(GLAPS컨테이너배차관리!$CM:$CM,$B119)="","",INDEX(GLAPS컨테이너배차관리!$CM:$CM,$B119)))),"천우",IF(OR(ISNUMBER(SEARCH("청암",IF(INDEX(GLAPS컨테이너배차관리!$CM:$CM,$B119)="","",INDEX(GLAPS컨테이너배차관리!$CM:$CM,$B119)))),ISNUMBER(SEARCH("SB청암",IF(INDEX(GLAPS컨테이너배차관리!$CM:$CM,$B119)="","",INDEX(GLAPS컨테이너배차관리!$CM:$CM,$B119))))),"청암신항",IF(INDEX(GLAPS컨테이너배차관리!$CM:$CM,$B119)="","",INDEX(GLAPS컨테이너배차관리!$CM:$CM,$B119))))))))</f>
        <v/>
      </c>
    </row>
    <row r="120" spans="1:28">
      <c r="A120">
        <v>119</v>
      </c>
      <c r="B120" t="str">
        <f>IFERROR(_xlfn.AGGREGATE(15,6,ROW(GLAPS컨테이너배차관리!$X$2:$X$20000)/(GLAPS컨테이너배차관리!$X$2:$X$20000&lt;&gt;""),A120),"")</f>
        <v/>
      </c>
      <c r="C120" t="str">
        <f>IF($B120="","",INT(IF(INDEX(GLAPS컨테이너배차관리!$K:$K,$B120)="","",INDEX(GLAPS컨테이너배차관리!$K:$K,$B120))))</f>
        <v/>
      </c>
      <c r="D120" t="str">
        <f>IF($B120="","",IF(ISNUMBER(SEARCH("이엘에스",IF(INDEX(GLAPS컨테이너배차관리!$AZ:$AZ,$B120)="","",INDEX(GLAPS컨테이너배차관리!$AZ:$AZ,$B120)))),"ELS솔루션",IF(INDEX(GLAPS컨테이너배차관리!$AZ:$AZ,$B120)="","",INDEX(GLAPS컨테이너배차관리!$AZ:$AZ,$B120))))</f>
        <v/>
      </c>
      <c r="E120" t="str">
        <f>IF($B120="","",IF(INDEX(GLAPS컨테이너배차관리!$L:$L,$B120)="","",INDEX(GLAPS컨테이너배차관리!$L:$L,$B120)))</f>
        <v/>
      </c>
      <c r="F120" t="str">
        <f>IF($B120="","",IF(HOUR(IF(INDEX(GLAPS컨테이너배차관리!$L:$L,$B120)="","",INDEX(GLAPS컨테이너배차관리!$L:$L,$B120)))&lt;12,"오전",IF(HOUR(IF(INDEX(GLAPS컨테이너배차관리!$L:$L,$B120)="","",INDEX(GLAPS컨테이너배차관리!$L:$L,$B120)))&lt;18,"오후","잔업")))</f>
        <v/>
      </c>
      <c r="G120" t="str">
        <f>IF($B120="","",IFERROR(INDEX(GLAPS정리!$G$3:$G$264,MATCH(IF(INDEX(GLAPS컨테이너배차관리!$BY:$BY,$B120)="","",INDEX(GLAPS컨테이너배차관리!$BY:$BY,$B120)),GLAPS정리!$H$3:$H$264,0)),TRIM(SUBSTITUTE(SUBSTITUTE(SUBSTITUTE(SUBSTITUTE(SUBSTITUTE(IF(INDEX(GLAPS컨테이너배차관리!$T:$T,$B120)="","",INDEX(GLAPS컨테이너배차관리!$T:$T,$B120)),"[GA]",""),"[GB]",""),"[GC]",""),"[KC]",""),"[GS]",""))))</f>
        <v/>
      </c>
      <c r="H120" t="str">
        <f>IF($B120="","",IFERROR(VLOOKUP(IF(INDEX(GLAPS컨테이너배차관리!$BY:$BY,$B120)="","",INDEX(GLAPS컨테이너배차관리!$BY:$BY,$B120)),GLAPS정리!$BT$3:$BV$200,3,0),""))</f>
        <v/>
      </c>
      <c r="I120" t="str">
        <f>IF($B120="","",LEFT(IF(INDEX(GLAPS컨테이너배차관리!$U:$U,$B120)="","",INDEX(GLAPS컨테이너배차관리!$U:$U,$B120)),FIND("/",IF(INDEX(GLAPS컨테이너배차관리!$U:$U,$B120)="","",INDEX(GLAPS컨테이너배차관리!$U:$U,$B120))&amp;"/")-1))</f>
        <v/>
      </c>
      <c r="J120" t="str">
        <f>IF($B120="","",IF(IF(INDEX(GLAPS컨테이너배차관리!$O:$O,$B120)="","",INDEX(GLAPS컨테이너배차관리!$O:$O,$B120))="EMC","EMA",IFERROR(INDEX(GLAPS정리!$A$2:$A$50,MATCH(IF(INDEX(GLAPS컨테이너배차관리!$O:$O,$B120)="","",INDEX(GLAPS컨테이너배차관리!$O:$O,$B120)),GLAPS정리!$D$2:$D$50,0)),IF(INDEX(GLAPS컨테이너배차관리!$O:$O,$B120)="","",INDEX(GLAPS컨테이너배차관리!$O:$O,$B120)))))</f>
        <v/>
      </c>
      <c r="K120" t="str">
        <f>IF($B120="","",IF(LEFT(IF(INDEX(GLAPS컨테이너배차관리!$Y:$Y,$B120)="","",INDEX(GLAPS컨테이너배차관리!$Y:$Y,$B120)),2)="22","20 Feet",IF(LEFT(IF(INDEX(GLAPS컨테이너배차관리!$Y:$Y,$B120)="","",INDEX(GLAPS컨테이너배차관리!$Y:$Y,$B120)),2)="42","40 Feet","40 Feet H")))</f>
        <v/>
      </c>
      <c r="L120" t="str">
        <f>IF($B120="","",IFERROR(INDEX(GLAPS정리!$BB$2:$BB$80,MATCH(IF(INDEX(GLAPS컨테이너배차관리!$BQ:$BQ,$B120)="","",INDEX(GLAPS컨테이너배차관리!$BQ:$BQ,$B120)),GLAPS정리!$BC$2:$BC$80,0)),IF(INDEX(GLAPS컨테이너배차관리!$BQ:$BQ,$B120)="","",INDEX(GLAPS컨테이너배차관리!$BQ:$BQ,$B120))))</f>
        <v/>
      </c>
      <c r="M120" t="str">
        <f>IF($B120="","",IFERROR(INDEX(GLAPS정리!$V$3:$V$180,MATCH(IF(INDEX(GLAPS컨테이너배차관리!$S:$S,$B120)="","",INDEX(GLAPS컨테이너배차관리!$S:$S,$B120)),GLAPS정리!$W$3:$W$180,0)),IF(INDEX(GLAPS컨테이너배차관리!$S:$S,$B120)="","",INDEX(GLAPS컨테이너배차관리!$S:$S,$B120))))</f>
        <v/>
      </c>
      <c r="N120" t="str">
        <f>IF($B120="","",IF(IF(INDEX(GLAPS컨테이너배차관리!$DF:$DF,$B120)="","",INDEX(GLAPS컨테이너배차관리!$DF:$DF,$B120))&lt;&gt;"",IF(INDEX(GLAPS컨테이너배차관리!$DF:$DF,$B120)="","",INDEX(GLAPS컨테이너배차관리!$DF:$DF,$B120)),IF(IF(INDEX(GLAPS컨테이너배차관리!$DG:$DG,$B120)="","",INDEX(GLAPS컨테이너배차관리!$DG:$DG,$B120))&lt;&gt;"",IF(INDEX(GLAPS컨테이너배차관리!$DG:$DG,$B120)="","",INDEX(GLAPS컨테이너배차관리!$DG:$DG,$B120)),"")))</f>
        <v/>
      </c>
      <c r="O120" t="str">
        <f>IF($B120="","",IF(INDEX(GLAPS컨테이너배차관리!$AB:$AB,$B120)="","",INDEX(GLAPS컨테이너배차관리!$AB:$AB,$B120)))</f>
        <v/>
      </c>
      <c r="P120" t="str">
        <f>IF($B120="","",IF(IF(INDEX(GLAPS컨테이너배차관리!$CP:$CP,$B120)="","",INDEX(GLAPS컨테이너배차관리!$CP:$CP,$B120))="","",IFERROR(INDEX(GLAPS정리!$BH$2:$BH$101,MATCH(IF(INDEX(GLAPS컨테이너배차관리!$CP:$CP,$B120)="","",INDEX(GLAPS컨테이너배차관리!$CP:$CP,$B120)),GLAPS정리!$BI$2:$BI$101,0)),IF(INDEX(GLAPS컨테이너배차관리!$CP:$CP,$B120)="","",INDEX(GLAPS컨테이너배차관리!$CP:$CP,$B120)))))</f>
        <v/>
      </c>
      <c r="Q120" t="str">
        <f>IF($B120="","",IF(AND(IF(INDEX(GLAPS컨테이너배차관리!$AK:$AK,$B120)="","",INDEX(GLAPS컨테이너배차관리!$AK:$AK,$B120))="Y",IF(INDEX(GLAPS컨테이너배차관리!$AI:$AI,$B120)="","",INDEX(GLAPS컨테이너배차관리!$AI:$AI,$B120))="Y"),"위험물리퍼",IF(IF(INDEX(GLAPS컨테이너배차관리!$AK:$AK,$B120)="","",INDEX(GLAPS컨테이너배차관리!$AK:$AK,$B120))="Y","위험물",IF(IF(INDEX(GLAPS컨테이너배차관리!$AI:$AI,$B120)="","",INDEX(GLAPS컨테이너배차관리!$AI:$AI,$B120))="Y","리퍼",""))))</f>
        <v/>
      </c>
      <c r="R120" t="str">
        <f>IF($B120="","",IF(LEFT(IF(INDEX(GLAPS컨테이너배차관리!$Y:$Y,$B120)="","",INDEX(GLAPS컨테이너배차관리!$Y:$Y,$B120)),2)="22",1,""))</f>
        <v/>
      </c>
      <c r="S120" t="str">
        <f>IF($B120="","",IF(LEFT(IF(INDEX(GLAPS컨테이너배차관리!$Y:$Y,$B120)="","",INDEX(GLAPS컨테이너배차관리!$Y:$Y,$B120)),2)="42",1,""))</f>
        <v/>
      </c>
      <c r="T120" t="str">
        <f>IF($B120="","",IF(LEFT(IF(INDEX(GLAPS컨테이너배차관리!$Y:$Y,$B120)="","",INDEX(GLAPS컨테이너배차관리!$Y:$Y,$B120)),2)="45",1,""))</f>
        <v/>
      </c>
      <c r="U120" t="str">
        <f>IF($B120="","",IF(INDEX(GLAPS컨테이너배차관리!$X:$X,$B120)="","",INDEX(GLAPS컨테이너배차관리!$X:$X,$B120)))</f>
        <v/>
      </c>
      <c r="V120" t="str">
        <f>IF($B120="","",IF(INDEX(GLAPS컨테이너배차관리!$Z:$Z,$B120)="","",INDEX(GLAPS컨테이너배차관리!$Z:$Z,$B120)))</f>
        <v/>
      </c>
      <c r="W120" t="str">
        <f>IF($B120="","",IF(IF(INDEX(GLAPS컨테이너배차관리!$DI:$DI,$B120)="","",INDEX(GLAPS컨테이너배차관리!$DI:$DI,$B120))&lt;&gt;"",IF(INDEX(GLAPS컨테이너배차관리!$DI:$DI,$B120)="","",INDEX(GLAPS컨테이너배차관리!$DI:$DI,$B120)),IF(IF(INDEX(GLAPS컨테이너배차관리!$DJ:$DJ,$B120)="","",INDEX(GLAPS컨테이너배차관리!$DJ:$DJ,$B120))&lt;&gt;"",IF(INDEX(GLAPS컨테이너배차관리!$DJ:$DJ,$B120)="","",INDEX(GLAPS컨테이너배차관리!$DJ:$DJ,$B120)),IF(IF(INDEX(GLAPS컨테이너배차관리!$DK:$DK,$B120)="","",INDEX(GLAPS컨테이너배차관리!$DK:$DK,$B120))&lt;&gt;"",IF(INDEX(GLAPS컨테이너배차관리!$DK:$DK,$B120)="","",INDEX(GLAPS컨테이너배차관리!$DK:$DK,$B120)),IF(IF(INDEX(GLAPS컨테이너배차관리!$DL:$DL,$B120)="","",INDEX(GLAPS컨테이너배차관리!$DL:$DL,$B120))&lt;&gt;"",IF(INDEX(GLAPS컨테이너배차관리!$DL:$DL,$B120)="","",INDEX(GLAPS컨테이너배차관리!$DL:$DL,$B120)),IF(IF(INDEX(GLAPS컨테이너배차관리!$DM:$DM,$B120)="","",INDEX(GLAPS컨테이너배차관리!$DM:$DM,$B120))&lt;&gt;"",IF(INDEX(GLAPS컨테이너배차관리!$DM:$DM,$B120)="","",INDEX(GLAPS컨테이너배차관리!$DM:$DM,$B120)),""))))))</f>
        <v/>
      </c>
      <c r="X120" t="str">
        <f>IF($B120="","",IF(INDEX(GLAPS컨테이너배차관리!$F:$F,$B120)="","",INDEX(GLAPS컨테이너배차관리!$F:$F,$B120)))</f>
        <v/>
      </c>
      <c r="Y120" t="str">
        <f>IF($B120="","",IF(IF(INDEX(GLAPS컨테이너배차관리!$M:$M,$B120)="","",INDEX(GLAPS컨테이너배차관리!$M:$M,$B120))&lt;&gt;"",IF(INDEX(GLAPS컨테이너배차관리!$M:$M,$B120)="","",INDEX(GLAPS컨테이너배차관리!$M:$M,$B120)),IF(IF(INDEX(GLAPS컨테이너배차관리!$N:$N,$B120)="","",INDEX(GLAPS컨테이너배차관리!$N:$N,$B120))&lt;&gt;"",IF(INDEX(GLAPS컨테이너배차관리!$N:$N,$B120)="","",INDEX(GLAPS컨테이너배차관리!$N:$N,$B120)),"")))</f>
        <v/>
      </c>
      <c r="Z120" t="str">
        <f>IF($B120="","",IF(IF(INDEX(GLAPS컨테이너배차관리!$CU:$CU,$B120)="","",INDEX(GLAPS컨테이너배차관리!$CU:$CU,$B120))="","",IFERROR(INT(IF(INDEX(GLAPS컨테이너배차관리!$CU:$CU,$B120)="","",INDEX(GLAPS컨테이너배차관리!$CU:$CU,$B120))),"")))</f>
        <v/>
      </c>
      <c r="AA120" t="str">
        <f>IF($B120="","",IF(AND(IF(INDEX(GLAPS컨테이너배차관리!$CL:$CL,$B120)="","",INDEX(GLAPS컨테이너배차관리!$CL:$CL,$B120))="",IF(INDEX(GLAPS컨테이너배차관리!$CM:$CM,$B120)="","",INDEX(GLAPS컨테이너배차관리!$CM:$CM,$B120))=""),"",IF(OR(IF(INDEX(GLAPS컨테이너배차관리!$CL:$CL,$B120)="","",INDEX(GLAPS컨테이너배차관리!$CL:$CL,$B120))="B000016649",ISNUMBER(SEARCH("B015",IF(INDEX(GLAPS컨테이너배차관리!$CM:$CM,$B120)="","",INDEX(GLAPS컨테이너배차관리!$CM:$CM,$B120)))),ISNUMBER(SEARCH("세방",IF(INDEX(GLAPS컨테이너배차관리!$CM:$CM,$B120)="","",INDEX(GLAPS컨테이너배차관리!$CM:$CM,$B120)))),ISNUMBER(SEARCH("SB",IF(INDEX(GLAPS컨테이너배차관리!$CM:$CM,$B120)="","",INDEX(GLAPS컨테이너배차관리!$CM:$CM,$B120))))),"세방","")))</f>
        <v/>
      </c>
      <c r="AB120" t="str">
        <f>IF($B120="","",IF(IF(INDEX(GLAPS컨테이너배차관리!$CM:$CM,$B120)="","",INDEX(GLAPS컨테이너배차관리!$CM:$CM,$B120))="","",IF(ISNUMBER(SEARCH("이지스두동",IF(INDEX(GLAPS컨테이너배차관리!$CM:$CM,$B120)="","",INDEX(GLAPS컨테이너배차관리!$CM:$CM,$B120)))),"이지스두동",IF(ISNUMBER(SEARCH("이지스녹산",IF(INDEX(GLAPS컨테이너배차관리!$CM:$CM,$B120)="","",INDEX(GLAPS컨테이너배차관리!$CM:$CM,$B120)))),"이지스녹산",IF(ISNUMBER(SEARCH("천우",IF(INDEX(GLAPS컨테이너배차관리!$CM:$CM,$B120)="","",INDEX(GLAPS컨테이너배차관리!$CM:$CM,$B120)))),"천우",IF(OR(ISNUMBER(SEARCH("청암",IF(INDEX(GLAPS컨테이너배차관리!$CM:$CM,$B120)="","",INDEX(GLAPS컨테이너배차관리!$CM:$CM,$B120)))),ISNUMBER(SEARCH("SB청암",IF(INDEX(GLAPS컨테이너배차관리!$CM:$CM,$B120)="","",INDEX(GLAPS컨테이너배차관리!$CM:$CM,$B120))))),"청암신항",IF(INDEX(GLAPS컨테이너배차관리!$CM:$CM,$B120)="","",INDEX(GLAPS컨테이너배차관리!$CM:$CM,$B120))))))))</f>
        <v/>
      </c>
    </row>
    <row r="121" spans="1:28">
      <c r="A121">
        <v>120</v>
      </c>
      <c r="B121" t="str">
        <f>IFERROR(_xlfn.AGGREGATE(15,6,ROW(GLAPS컨테이너배차관리!$X$2:$X$20000)/(GLAPS컨테이너배차관리!$X$2:$X$20000&lt;&gt;""),A121),"")</f>
        <v/>
      </c>
      <c r="C121" t="str">
        <f>IF($B121="","",INT(IF(INDEX(GLAPS컨테이너배차관리!$K:$K,$B121)="","",INDEX(GLAPS컨테이너배차관리!$K:$K,$B121))))</f>
        <v/>
      </c>
      <c r="D121" t="str">
        <f>IF($B121="","",IF(ISNUMBER(SEARCH("이엘에스",IF(INDEX(GLAPS컨테이너배차관리!$AZ:$AZ,$B121)="","",INDEX(GLAPS컨테이너배차관리!$AZ:$AZ,$B121)))),"ELS솔루션",IF(INDEX(GLAPS컨테이너배차관리!$AZ:$AZ,$B121)="","",INDEX(GLAPS컨테이너배차관리!$AZ:$AZ,$B121))))</f>
        <v/>
      </c>
      <c r="E121" t="str">
        <f>IF($B121="","",IF(INDEX(GLAPS컨테이너배차관리!$L:$L,$B121)="","",INDEX(GLAPS컨테이너배차관리!$L:$L,$B121)))</f>
        <v/>
      </c>
      <c r="F121" t="str">
        <f>IF($B121="","",IF(HOUR(IF(INDEX(GLAPS컨테이너배차관리!$L:$L,$B121)="","",INDEX(GLAPS컨테이너배차관리!$L:$L,$B121)))&lt;12,"오전",IF(HOUR(IF(INDEX(GLAPS컨테이너배차관리!$L:$L,$B121)="","",INDEX(GLAPS컨테이너배차관리!$L:$L,$B121)))&lt;18,"오후","잔업")))</f>
        <v/>
      </c>
      <c r="G121" t="str">
        <f>IF($B121="","",IFERROR(INDEX(GLAPS정리!$G$3:$G$264,MATCH(IF(INDEX(GLAPS컨테이너배차관리!$BY:$BY,$B121)="","",INDEX(GLAPS컨테이너배차관리!$BY:$BY,$B121)),GLAPS정리!$H$3:$H$264,0)),TRIM(SUBSTITUTE(SUBSTITUTE(SUBSTITUTE(SUBSTITUTE(SUBSTITUTE(IF(INDEX(GLAPS컨테이너배차관리!$T:$T,$B121)="","",INDEX(GLAPS컨테이너배차관리!$T:$T,$B121)),"[GA]",""),"[GB]",""),"[GC]",""),"[KC]",""),"[GS]",""))))</f>
        <v/>
      </c>
      <c r="H121" t="str">
        <f>IF($B121="","",IFERROR(VLOOKUP(IF(INDEX(GLAPS컨테이너배차관리!$BY:$BY,$B121)="","",INDEX(GLAPS컨테이너배차관리!$BY:$BY,$B121)),GLAPS정리!$BT$3:$BV$200,3,0),""))</f>
        <v/>
      </c>
      <c r="I121" t="str">
        <f>IF($B121="","",LEFT(IF(INDEX(GLAPS컨테이너배차관리!$U:$U,$B121)="","",INDEX(GLAPS컨테이너배차관리!$U:$U,$B121)),FIND("/",IF(INDEX(GLAPS컨테이너배차관리!$U:$U,$B121)="","",INDEX(GLAPS컨테이너배차관리!$U:$U,$B121))&amp;"/")-1))</f>
        <v/>
      </c>
      <c r="J121" t="str">
        <f>IF($B121="","",IF(IF(INDEX(GLAPS컨테이너배차관리!$O:$O,$B121)="","",INDEX(GLAPS컨테이너배차관리!$O:$O,$B121))="EMC","EMA",IFERROR(INDEX(GLAPS정리!$A$2:$A$50,MATCH(IF(INDEX(GLAPS컨테이너배차관리!$O:$O,$B121)="","",INDEX(GLAPS컨테이너배차관리!$O:$O,$B121)),GLAPS정리!$D$2:$D$50,0)),IF(INDEX(GLAPS컨테이너배차관리!$O:$O,$B121)="","",INDEX(GLAPS컨테이너배차관리!$O:$O,$B121)))))</f>
        <v/>
      </c>
      <c r="K121" t="str">
        <f>IF($B121="","",IF(LEFT(IF(INDEX(GLAPS컨테이너배차관리!$Y:$Y,$B121)="","",INDEX(GLAPS컨테이너배차관리!$Y:$Y,$B121)),2)="22","20 Feet",IF(LEFT(IF(INDEX(GLAPS컨테이너배차관리!$Y:$Y,$B121)="","",INDEX(GLAPS컨테이너배차관리!$Y:$Y,$B121)),2)="42","40 Feet","40 Feet H")))</f>
        <v/>
      </c>
      <c r="L121" t="str">
        <f>IF($B121="","",IFERROR(INDEX(GLAPS정리!$BB$2:$BB$80,MATCH(IF(INDEX(GLAPS컨테이너배차관리!$BQ:$BQ,$B121)="","",INDEX(GLAPS컨테이너배차관리!$BQ:$BQ,$B121)),GLAPS정리!$BC$2:$BC$80,0)),IF(INDEX(GLAPS컨테이너배차관리!$BQ:$BQ,$B121)="","",INDEX(GLAPS컨테이너배차관리!$BQ:$BQ,$B121))))</f>
        <v/>
      </c>
      <c r="M121" t="str">
        <f>IF($B121="","",IFERROR(INDEX(GLAPS정리!$V$3:$V$180,MATCH(IF(INDEX(GLAPS컨테이너배차관리!$S:$S,$B121)="","",INDEX(GLAPS컨테이너배차관리!$S:$S,$B121)),GLAPS정리!$W$3:$W$180,0)),IF(INDEX(GLAPS컨테이너배차관리!$S:$S,$B121)="","",INDEX(GLAPS컨테이너배차관리!$S:$S,$B121))))</f>
        <v/>
      </c>
      <c r="N121" t="str">
        <f>IF($B121="","",IF(IF(INDEX(GLAPS컨테이너배차관리!$DF:$DF,$B121)="","",INDEX(GLAPS컨테이너배차관리!$DF:$DF,$B121))&lt;&gt;"",IF(INDEX(GLAPS컨테이너배차관리!$DF:$DF,$B121)="","",INDEX(GLAPS컨테이너배차관리!$DF:$DF,$B121)),IF(IF(INDEX(GLAPS컨테이너배차관리!$DG:$DG,$B121)="","",INDEX(GLAPS컨테이너배차관리!$DG:$DG,$B121))&lt;&gt;"",IF(INDEX(GLAPS컨테이너배차관리!$DG:$DG,$B121)="","",INDEX(GLAPS컨테이너배차관리!$DG:$DG,$B121)),"")))</f>
        <v/>
      </c>
      <c r="O121" t="str">
        <f>IF($B121="","",IF(INDEX(GLAPS컨테이너배차관리!$AB:$AB,$B121)="","",INDEX(GLAPS컨테이너배차관리!$AB:$AB,$B121)))</f>
        <v/>
      </c>
      <c r="P121" t="str">
        <f>IF($B121="","",IF(IF(INDEX(GLAPS컨테이너배차관리!$CP:$CP,$B121)="","",INDEX(GLAPS컨테이너배차관리!$CP:$CP,$B121))="","",IFERROR(INDEX(GLAPS정리!$BH$2:$BH$101,MATCH(IF(INDEX(GLAPS컨테이너배차관리!$CP:$CP,$B121)="","",INDEX(GLAPS컨테이너배차관리!$CP:$CP,$B121)),GLAPS정리!$BI$2:$BI$101,0)),IF(INDEX(GLAPS컨테이너배차관리!$CP:$CP,$B121)="","",INDEX(GLAPS컨테이너배차관리!$CP:$CP,$B121)))))</f>
        <v/>
      </c>
      <c r="Q121" t="str">
        <f>IF($B121="","",IF(AND(IF(INDEX(GLAPS컨테이너배차관리!$AK:$AK,$B121)="","",INDEX(GLAPS컨테이너배차관리!$AK:$AK,$B121))="Y",IF(INDEX(GLAPS컨테이너배차관리!$AI:$AI,$B121)="","",INDEX(GLAPS컨테이너배차관리!$AI:$AI,$B121))="Y"),"위험물리퍼",IF(IF(INDEX(GLAPS컨테이너배차관리!$AK:$AK,$B121)="","",INDEX(GLAPS컨테이너배차관리!$AK:$AK,$B121))="Y","위험물",IF(IF(INDEX(GLAPS컨테이너배차관리!$AI:$AI,$B121)="","",INDEX(GLAPS컨테이너배차관리!$AI:$AI,$B121))="Y","리퍼",""))))</f>
        <v/>
      </c>
      <c r="R121" t="str">
        <f>IF($B121="","",IF(LEFT(IF(INDEX(GLAPS컨테이너배차관리!$Y:$Y,$B121)="","",INDEX(GLAPS컨테이너배차관리!$Y:$Y,$B121)),2)="22",1,""))</f>
        <v/>
      </c>
      <c r="S121" t="str">
        <f>IF($B121="","",IF(LEFT(IF(INDEX(GLAPS컨테이너배차관리!$Y:$Y,$B121)="","",INDEX(GLAPS컨테이너배차관리!$Y:$Y,$B121)),2)="42",1,""))</f>
        <v/>
      </c>
      <c r="T121" t="str">
        <f>IF($B121="","",IF(LEFT(IF(INDEX(GLAPS컨테이너배차관리!$Y:$Y,$B121)="","",INDEX(GLAPS컨테이너배차관리!$Y:$Y,$B121)),2)="45",1,""))</f>
        <v/>
      </c>
      <c r="U121" t="str">
        <f>IF($B121="","",IF(INDEX(GLAPS컨테이너배차관리!$X:$X,$B121)="","",INDEX(GLAPS컨테이너배차관리!$X:$X,$B121)))</f>
        <v/>
      </c>
      <c r="V121" t="str">
        <f>IF($B121="","",IF(INDEX(GLAPS컨테이너배차관리!$Z:$Z,$B121)="","",INDEX(GLAPS컨테이너배차관리!$Z:$Z,$B121)))</f>
        <v/>
      </c>
      <c r="W121" t="str">
        <f>IF($B121="","",IF(IF(INDEX(GLAPS컨테이너배차관리!$DI:$DI,$B121)="","",INDEX(GLAPS컨테이너배차관리!$DI:$DI,$B121))&lt;&gt;"",IF(INDEX(GLAPS컨테이너배차관리!$DI:$DI,$B121)="","",INDEX(GLAPS컨테이너배차관리!$DI:$DI,$B121)),IF(IF(INDEX(GLAPS컨테이너배차관리!$DJ:$DJ,$B121)="","",INDEX(GLAPS컨테이너배차관리!$DJ:$DJ,$B121))&lt;&gt;"",IF(INDEX(GLAPS컨테이너배차관리!$DJ:$DJ,$B121)="","",INDEX(GLAPS컨테이너배차관리!$DJ:$DJ,$B121)),IF(IF(INDEX(GLAPS컨테이너배차관리!$DK:$DK,$B121)="","",INDEX(GLAPS컨테이너배차관리!$DK:$DK,$B121))&lt;&gt;"",IF(INDEX(GLAPS컨테이너배차관리!$DK:$DK,$B121)="","",INDEX(GLAPS컨테이너배차관리!$DK:$DK,$B121)),IF(IF(INDEX(GLAPS컨테이너배차관리!$DL:$DL,$B121)="","",INDEX(GLAPS컨테이너배차관리!$DL:$DL,$B121))&lt;&gt;"",IF(INDEX(GLAPS컨테이너배차관리!$DL:$DL,$B121)="","",INDEX(GLAPS컨테이너배차관리!$DL:$DL,$B121)),IF(IF(INDEX(GLAPS컨테이너배차관리!$DM:$DM,$B121)="","",INDEX(GLAPS컨테이너배차관리!$DM:$DM,$B121))&lt;&gt;"",IF(INDEX(GLAPS컨테이너배차관리!$DM:$DM,$B121)="","",INDEX(GLAPS컨테이너배차관리!$DM:$DM,$B121)),""))))))</f>
        <v/>
      </c>
      <c r="X121" t="str">
        <f>IF($B121="","",IF(INDEX(GLAPS컨테이너배차관리!$F:$F,$B121)="","",INDEX(GLAPS컨테이너배차관리!$F:$F,$B121)))</f>
        <v/>
      </c>
      <c r="Y121" t="str">
        <f>IF($B121="","",IF(IF(INDEX(GLAPS컨테이너배차관리!$M:$M,$B121)="","",INDEX(GLAPS컨테이너배차관리!$M:$M,$B121))&lt;&gt;"",IF(INDEX(GLAPS컨테이너배차관리!$M:$M,$B121)="","",INDEX(GLAPS컨테이너배차관리!$M:$M,$B121)),IF(IF(INDEX(GLAPS컨테이너배차관리!$N:$N,$B121)="","",INDEX(GLAPS컨테이너배차관리!$N:$N,$B121))&lt;&gt;"",IF(INDEX(GLAPS컨테이너배차관리!$N:$N,$B121)="","",INDEX(GLAPS컨테이너배차관리!$N:$N,$B121)),"")))</f>
        <v/>
      </c>
      <c r="Z121" t="str">
        <f>IF($B121="","",IF(IF(INDEX(GLAPS컨테이너배차관리!$CU:$CU,$B121)="","",INDEX(GLAPS컨테이너배차관리!$CU:$CU,$B121))="","",IFERROR(INT(IF(INDEX(GLAPS컨테이너배차관리!$CU:$CU,$B121)="","",INDEX(GLAPS컨테이너배차관리!$CU:$CU,$B121))),"")))</f>
        <v/>
      </c>
      <c r="AA121" t="str">
        <f>IF($B121="","",IF(AND(IF(INDEX(GLAPS컨테이너배차관리!$CL:$CL,$B121)="","",INDEX(GLAPS컨테이너배차관리!$CL:$CL,$B121))="",IF(INDEX(GLAPS컨테이너배차관리!$CM:$CM,$B121)="","",INDEX(GLAPS컨테이너배차관리!$CM:$CM,$B121))=""),"",IF(OR(IF(INDEX(GLAPS컨테이너배차관리!$CL:$CL,$B121)="","",INDEX(GLAPS컨테이너배차관리!$CL:$CL,$B121))="B000016649",ISNUMBER(SEARCH("B015",IF(INDEX(GLAPS컨테이너배차관리!$CM:$CM,$B121)="","",INDEX(GLAPS컨테이너배차관리!$CM:$CM,$B121)))),ISNUMBER(SEARCH("세방",IF(INDEX(GLAPS컨테이너배차관리!$CM:$CM,$B121)="","",INDEX(GLAPS컨테이너배차관리!$CM:$CM,$B121)))),ISNUMBER(SEARCH("SB",IF(INDEX(GLAPS컨테이너배차관리!$CM:$CM,$B121)="","",INDEX(GLAPS컨테이너배차관리!$CM:$CM,$B121))))),"세방","")))</f>
        <v/>
      </c>
      <c r="AB121" t="str">
        <f>IF($B121="","",IF(IF(INDEX(GLAPS컨테이너배차관리!$CM:$CM,$B121)="","",INDEX(GLAPS컨테이너배차관리!$CM:$CM,$B121))="","",IF(ISNUMBER(SEARCH("이지스두동",IF(INDEX(GLAPS컨테이너배차관리!$CM:$CM,$B121)="","",INDEX(GLAPS컨테이너배차관리!$CM:$CM,$B121)))),"이지스두동",IF(ISNUMBER(SEARCH("이지스녹산",IF(INDEX(GLAPS컨테이너배차관리!$CM:$CM,$B121)="","",INDEX(GLAPS컨테이너배차관리!$CM:$CM,$B121)))),"이지스녹산",IF(ISNUMBER(SEARCH("천우",IF(INDEX(GLAPS컨테이너배차관리!$CM:$CM,$B121)="","",INDEX(GLAPS컨테이너배차관리!$CM:$CM,$B121)))),"천우",IF(OR(ISNUMBER(SEARCH("청암",IF(INDEX(GLAPS컨테이너배차관리!$CM:$CM,$B121)="","",INDEX(GLAPS컨테이너배차관리!$CM:$CM,$B121)))),ISNUMBER(SEARCH("SB청암",IF(INDEX(GLAPS컨테이너배차관리!$CM:$CM,$B121)="","",INDEX(GLAPS컨테이너배차관리!$CM:$CM,$B121))))),"청암신항",IF(INDEX(GLAPS컨테이너배차관리!$CM:$CM,$B121)="","",INDEX(GLAPS컨테이너배차관리!$CM:$CM,$B121))))))))</f>
        <v/>
      </c>
    </row>
    <row r="122" spans="1:28">
      <c r="A122">
        <v>121</v>
      </c>
      <c r="B122" t="str">
        <f>IFERROR(_xlfn.AGGREGATE(15,6,ROW(GLAPS컨테이너배차관리!$X$2:$X$20000)/(GLAPS컨테이너배차관리!$X$2:$X$20000&lt;&gt;""),A122),"")</f>
        <v/>
      </c>
      <c r="C122" t="str">
        <f>IF($B122="","",INT(IF(INDEX(GLAPS컨테이너배차관리!$K:$K,$B122)="","",INDEX(GLAPS컨테이너배차관리!$K:$K,$B122))))</f>
        <v/>
      </c>
      <c r="D122" t="str">
        <f>IF($B122="","",IF(ISNUMBER(SEARCH("이엘에스",IF(INDEX(GLAPS컨테이너배차관리!$AZ:$AZ,$B122)="","",INDEX(GLAPS컨테이너배차관리!$AZ:$AZ,$B122)))),"ELS솔루션",IF(INDEX(GLAPS컨테이너배차관리!$AZ:$AZ,$B122)="","",INDEX(GLAPS컨테이너배차관리!$AZ:$AZ,$B122))))</f>
        <v/>
      </c>
      <c r="E122" t="str">
        <f>IF($B122="","",IF(INDEX(GLAPS컨테이너배차관리!$L:$L,$B122)="","",INDEX(GLAPS컨테이너배차관리!$L:$L,$B122)))</f>
        <v/>
      </c>
      <c r="F122" t="str">
        <f>IF($B122="","",IF(HOUR(IF(INDEX(GLAPS컨테이너배차관리!$L:$L,$B122)="","",INDEX(GLAPS컨테이너배차관리!$L:$L,$B122)))&lt;12,"오전",IF(HOUR(IF(INDEX(GLAPS컨테이너배차관리!$L:$L,$B122)="","",INDEX(GLAPS컨테이너배차관리!$L:$L,$B122)))&lt;18,"오후","잔업")))</f>
        <v/>
      </c>
      <c r="G122" t="str">
        <f>IF($B122="","",IFERROR(INDEX(GLAPS정리!$G$3:$G$264,MATCH(IF(INDEX(GLAPS컨테이너배차관리!$BY:$BY,$B122)="","",INDEX(GLAPS컨테이너배차관리!$BY:$BY,$B122)),GLAPS정리!$H$3:$H$264,0)),TRIM(SUBSTITUTE(SUBSTITUTE(SUBSTITUTE(SUBSTITUTE(SUBSTITUTE(IF(INDEX(GLAPS컨테이너배차관리!$T:$T,$B122)="","",INDEX(GLAPS컨테이너배차관리!$T:$T,$B122)),"[GA]",""),"[GB]",""),"[GC]",""),"[KC]",""),"[GS]",""))))</f>
        <v/>
      </c>
      <c r="H122" t="str">
        <f>IF($B122="","",IFERROR(VLOOKUP(IF(INDEX(GLAPS컨테이너배차관리!$BY:$BY,$B122)="","",INDEX(GLAPS컨테이너배차관리!$BY:$BY,$B122)),GLAPS정리!$BT$3:$BV$200,3,0),""))</f>
        <v/>
      </c>
      <c r="I122" t="str">
        <f>IF($B122="","",LEFT(IF(INDEX(GLAPS컨테이너배차관리!$U:$U,$B122)="","",INDEX(GLAPS컨테이너배차관리!$U:$U,$B122)),FIND("/",IF(INDEX(GLAPS컨테이너배차관리!$U:$U,$B122)="","",INDEX(GLAPS컨테이너배차관리!$U:$U,$B122))&amp;"/")-1))</f>
        <v/>
      </c>
      <c r="J122" t="str">
        <f>IF($B122="","",IF(IF(INDEX(GLAPS컨테이너배차관리!$O:$O,$B122)="","",INDEX(GLAPS컨테이너배차관리!$O:$O,$B122))="EMC","EMA",IFERROR(INDEX(GLAPS정리!$A$2:$A$50,MATCH(IF(INDEX(GLAPS컨테이너배차관리!$O:$O,$B122)="","",INDEX(GLAPS컨테이너배차관리!$O:$O,$B122)),GLAPS정리!$D$2:$D$50,0)),IF(INDEX(GLAPS컨테이너배차관리!$O:$O,$B122)="","",INDEX(GLAPS컨테이너배차관리!$O:$O,$B122)))))</f>
        <v/>
      </c>
      <c r="K122" t="str">
        <f>IF($B122="","",IF(LEFT(IF(INDEX(GLAPS컨테이너배차관리!$Y:$Y,$B122)="","",INDEX(GLAPS컨테이너배차관리!$Y:$Y,$B122)),2)="22","20 Feet",IF(LEFT(IF(INDEX(GLAPS컨테이너배차관리!$Y:$Y,$B122)="","",INDEX(GLAPS컨테이너배차관리!$Y:$Y,$B122)),2)="42","40 Feet","40 Feet H")))</f>
        <v/>
      </c>
      <c r="L122" t="str">
        <f>IF($B122="","",IFERROR(INDEX(GLAPS정리!$BB$2:$BB$80,MATCH(IF(INDEX(GLAPS컨테이너배차관리!$BQ:$BQ,$B122)="","",INDEX(GLAPS컨테이너배차관리!$BQ:$BQ,$B122)),GLAPS정리!$BC$2:$BC$80,0)),IF(INDEX(GLAPS컨테이너배차관리!$BQ:$BQ,$B122)="","",INDEX(GLAPS컨테이너배차관리!$BQ:$BQ,$B122))))</f>
        <v/>
      </c>
      <c r="M122" t="str">
        <f>IF($B122="","",IFERROR(INDEX(GLAPS정리!$V$3:$V$180,MATCH(IF(INDEX(GLAPS컨테이너배차관리!$S:$S,$B122)="","",INDEX(GLAPS컨테이너배차관리!$S:$S,$B122)),GLAPS정리!$W$3:$W$180,0)),IF(INDEX(GLAPS컨테이너배차관리!$S:$S,$B122)="","",INDEX(GLAPS컨테이너배차관리!$S:$S,$B122))))</f>
        <v/>
      </c>
      <c r="N122" t="str">
        <f>IF($B122="","",IF(IF(INDEX(GLAPS컨테이너배차관리!$DF:$DF,$B122)="","",INDEX(GLAPS컨테이너배차관리!$DF:$DF,$B122))&lt;&gt;"",IF(INDEX(GLAPS컨테이너배차관리!$DF:$DF,$B122)="","",INDEX(GLAPS컨테이너배차관리!$DF:$DF,$B122)),IF(IF(INDEX(GLAPS컨테이너배차관리!$DG:$DG,$B122)="","",INDEX(GLAPS컨테이너배차관리!$DG:$DG,$B122))&lt;&gt;"",IF(INDEX(GLAPS컨테이너배차관리!$DG:$DG,$B122)="","",INDEX(GLAPS컨테이너배차관리!$DG:$DG,$B122)),"")))</f>
        <v/>
      </c>
      <c r="O122" t="str">
        <f>IF($B122="","",IF(INDEX(GLAPS컨테이너배차관리!$AB:$AB,$B122)="","",INDEX(GLAPS컨테이너배차관리!$AB:$AB,$B122)))</f>
        <v/>
      </c>
      <c r="P122" t="str">
        <f>IF($B122="","",IF(IF(INDEX(GLAPS컨테이너배차관리!$CP:$CP,$B122)="","",INDEX(GLAPS컨테이너배차관리!$CP:$CP,$B122))="","",IFERROR(INDEX(GLAPS정리!$BH$2:$BH$101,MATCH(IF(INDEX(GLAPS컨테이너배차관리!$CP:$CP,$B122)="","",INDEX(GLAPS컨테이너배차관리!$CP:$CP,$B122)),GLAPS정리!$BI$2:$BI$101,0)),IF(INDEX(GLAPS컨테이너배차관리!$CP:$CP,$B122)="","",INDEX(GLAPS컨테이너배차관리!$CP:$CP,$B122)))))</f>
        <v/>
      </c>
      <c r="Q122" t="str">
        <f>IF($B122="","",IF(AND(IF(INDEX(GLAPS컨테이너배차관리!$AK:$AK,$B122)="","",INDEX(GLAPS컨테이너배차관리!$AK:$AK,$B122))="Y",IF(INDEX(GLAPS컨테이너배차관리!$AI:$AI,$B122)="","",INDEX(GLAPS컨테이너배차관리!$AI:$AI,$B122))="Y"),"위험물리퍼",IF(IF(INDEX(GLAPS컨테이너배차관리!$AK:$AK,$B122)="","",INDEX(GLAPS컨테이너배차관리!$AK:$AK,$B122))="Y","위험물",IF(IF(INDEX(GLAPS컨테이너배차관리!$AI:$AI,$B122)="","",INDEX(GLAPS컨테이너배차관리!$AI:$AI,$B122))="Y","리퍼",""))))</f>
        <v/>
      </c>
      <c r="R122" t="str">
        <f>IF($B122="","",IF(LEFT(IF(INDEX(GLAPS컨테이너배차관리!$Y:$Y,$B122)="","",INDEX(GLAPS컨테이너배차관리!$Y:$Y,$B122)),2)="22",1,""))</f>
        <v/>
      </c>
      <c r="S122" t="str">
        <f>IF($B122="","",IF(LEFT(IF(INDEX(GLAPS컨테이너배차관리!$Y:$Y,$B122)="","",INDEX(GLAPS컨테이너배차관리!$Y:$Y,$B122)),2)="42",1,""))</f>
        <v/>
      </c>
      <c r="T122" t="str">
        <f>IF($B122="","",IF(LEFT(IF(INDEX(GLAPS컨테이너배차관리!$Y:$Y,$B122)="","",INDEX(GLAPS컨테이너배차관리!$Y:$Y,$B122)),2)="45",1,""))</f>
        <v/>
      </c>
      <c r="U122" t="str">
        <f>IF($B122="","",IF(INDEX(GLAPS컨테이너배차관리!$X:$X,$B122)="","",INDEX(GLAPS컨테이너배차관리!$X:$X,$B122)))</f>
        <v/>
      </c>
      <c r="V122" t="str">
        <f>IF($B122="","",IF(INDEX(GLAPS컨테이너배차관리!$Z:$Z,$B122)="","",INDEX(GLAPS컨테이너배차관리!$Z:$Z,$B122)))</f>
        <v/>
      </c>
      <c r="W122" t="str">
        <f>IF($B122="","",IF(IF(INDEX(GLAPS컨테이너배차관리!$DI:$DI,$B122)="","",INDEX(GLAPS컨테이너배차관리!$DI:$DI,$B122))&lt;&gt;"",IF(INDEX(GLAPS컨테이너배차관리!$DI:$DI,$B122)="","",INDEX(GLAPS컨테이너배차관리!$DI:$DI,$B122)),IF(IF(INDEX(GLAPS컨테이너배차관리!$DJ:$DJ,$B122)="","",INDEX(GLAPS컨테이너배차관리!$DJ:$DJ,$B122))&lt;&gt;"",IF(INDEX(GLAPS컨테이너배차관리!$DJ:$DJ,$B122)="","",INDEX(GLAPS컨테이너배차관리!$DJ:$DJ,$B122)),IF(IF(INDEX(GLAPS컨테이너배차관리!$DK:$DK,$B122)="","",INDEX(GLAPS컨테이너배차관리!$DK:$DK,$B122))&lt;&gt;"",IF(INDEX(GLAPS컨테이너배차관리!$DK:$DK,$B122)="","",INDEX(GLAPS컨테이너배차관리!$DK:$DK,$B122)),IF(IF(INDEX(GLAPS컨테이너배차관리!$DL:$DL,$B122)="","",INDEX(GLAPS컨테이너배차관리!$DL:$DL,$B122))&lt;&gt;"",IF(INDEX(GLAPS컨테이너배차관리!$DL:$DL,$B122)="","",INDEX(GLAPS컨테이너배차관리!$DL:$DL,$B122)),IF(IF(INDEX(GLAPS컨테이너배차관리!$DM:$DM,$B122)="","",INDEX(GLAPS컨테이너배차관리!$DM:$DM,$B122))&lt;&gt;"",IF(INDEX(GLAPS컨테이너배차관리!$DM:$DM,$B122)="","",INDEX(GLAPS컨테이너배차관리!$DM:$DM,$B122)),""))))))</f>
        <v/>
      </c>
      <c r="X122" t="str">
        <f>IF($B122="","",IF(INDEX(GLAPS컨테이너배차관리!$F:$F,$B122)="","",INDEX(GLAPS컨테이너배차관리!$F:$F,$B122)))</f>
        <v/>
      </c>
      <c r="Y122" t="str">
        <f>IF($B122="","",IF(IF(INDEX(GLAPS컨테이너배차관리!$M:$M,$B122)="","",INDEX(GLAPS컨테이너배차관리!$M:$M,$B122))&lt;&gt;"",IF(INDEX(GLAPS컨테이너배차관리!$M:$M,$B122)="","",INDEX(GLAPS컨테이너배차관리!$M:$M,$B122)),IF(IF(INDEX(GLAPS컨테이너배차관리!$N:$N,$B122)="","",INDEX(GLAPS컨테이너배차관리!$N:$N,$B122))&lt;&gt;"",IF(INDEX(GLAPS컨테이너배차관리!$N:$N,$B122)="","",INDEX(GLAPS컨테이너배차관리!$N:$N,$B122)),"")))</f>
        <v/>
      </c>
      <c r="Z122" t="str">
        <f>IF($B122="","",IF(IF(INDEX(GLAPS컨테이너배차관리!$CU:$CU,$B122)="","",INDEX(GLAPS컨테이너배차관리!$CU:$CU,$B122))="","",IFERROR(INT(IF(INDEX(GLAPS컨테이너배차관리!$CU:$CU,$B122)="","",INDEX(GLAPS컨테이너배차관리!$CU:$CU,$B122))),"")))</f>
        <v/>
      </c>
      <c r="AA122" t="str">
        <f>IF($B122="","",IF(AND(IF(INDEX(GLAPS컨테이너배차관리!$CL:$CL,$B122)="","",INDEX(GLAPS컨테이너배차관리!$CL:$CL,$B122))="",IF(INDEX(GLAPS컨테이너배차관리!$CM:$CM,$B122)="","",INDEX(GLAPS컨테이너배차관리!$CM:$CM,$B122))=""),"",IF(OR(IF(INDEX(GLAPS컨테이너배차관리!$CL:$CL,$B122)="","",INDEX(GLAPS컨테이너배차관리!$CL:$CL,$B122))="B000016649",ISNUMBER(SEARCH("B015",IF(INDEX(GLAPS컨테이너배차관리!$CM:$CM,$B122)="","",INDEX(GLAPS컨테이너배차관리!$CM:$CM,$B122)))),ISNUMBER(SEARCH("세방",IF(INDEX(GLAPS컨테이너배차관리!$CM:$CM,$B122)="","",INDEX(GLAPS컨테이너배차관리!$CM:$CM,$B122)))),ISNUMBER(SEARCH("SB",IF(INDEX(GLAPS컨테이너배차관리!$CM:$CM,$B122)="","",INDEX(GLAPS컨테이너배차관리!$CM:$CM,$B122))))),"세방","")))</f>
        <v/>
      </c>
      <c r="AB122" t="str">
        <f>IF($B122="","",IF(IF(INDEX(GLAPS컨테이너배차관리!$CM:$CM,$B122)="","",INDEX(GLAPS컨테이너배차관리!$CM:$CM,$B122))="","",IF(ISNUMBER(SEARCH("이지스두동",IF(INDEX(GLAPS컨테이너배차관리!$CM:$CM,$B122)="","",INDEX(GLAPS컨테이너배차관리!$CM:$CM,$B122)))),"이지스두동",IF(ISNUMBER(SEARCH("이지스녹산",IF(INDEX(GLAPS컨테이너배차관리!$CM:$CM,$B122)="","",INDEX(GLAPS컨테이너배차관리!$CM:$CM,$B122)))),"이지스녹산",IF(ISNUMBER(SEARCH("천우",IF(INDEX(GLAPS컨테이너배차관리!$CM:$CM,$B122)="","",INDEX(GLAPS컨테이너배차관리!$CM:$CM,$B122)))),"천우",IF(OR(ISNUMBER(SEARCH("청암",IF(INDEX(GLAPS컨테이너배차관리!$CM:$CM,$B122)="","",INDEX(GLAPS컨테이너배차관리!$CM:$CM,$B122)))),ISNUMBER(SEARCH("SB청암",IF(INDEX(GLAPS컨테이너배차관리!$CM:$CM,$B122)="","",INDEX(GLAPS컨테이너배차관리!$CM:$CM,$B122))))),"청암신항",IF(INDEX(GLAPS컨테이너배차관리!$CM:$CM,$B122)="","",INDEX(GLAPS컨테이너배차관리!$CM:$CM,$B122))))))))</f>
        <v/>
      </c>
    </row>
    <row r="123" spans="1:28">
      <c r="A123">
        <v>122</v>
      </c>
      <c r="B123" t="str">
        <f>IFERROR(_xlfn.AGGREGATE(15,6,ROW(GLAPS컨테이너배차관리!$X$2:$X$20000)/(GLAPS컨테이너배차관리!$X$2:$X$20000&lt;&gt;""),A123),"")</f>
        <v/>
      </c>
      <c r="C123" t="str">
        <f>IF($B123="","",INT(IF(INDEX(GLAPS컨테이너배차관리!$K:$K,$B123)="","",INDEX(GLAPS컨테이너배차관리!$K:$K,$B123))))</f>
        <v/>
      </c>
      <c r="D123" t="str">
        <f>IF($B123="","",IF(ISNUMBER(SEARCH("이엘에스",IF(INDEX(GLAPS컨테이너배차관리!$AZ:$AZ,$B123)="","",INDEX(GLAPS컨테이너배차관리!$AZ:$AZ,$B123)))),"ELS솔루션",IF(INDEX(GLAPS컨테이너배차관리!$AZ:$AZ,$B123)="","",INDEX(GLAPS컨테이너배차관리!$AZ:$AZ,$B123))))</f>
        <v/>
      </c>
      <c r="E123" t="str">
        <f>IF($B123="","",IF(INDEX(GLAPS컨테이너배차관리!$L:$L,$B123)="","",INDEX(GLAPS컨테이너배차관리!$L:$L,$B123)))</f>
        <v/>
      </c>
      <c r="F123" t="str">
        <f>IF($B123="","",IF(HOUR(IF(INDEX(GLAPS컨테이너배차관리!$L:$L,$B123)="","",INDEX(GLAPS컨테이너배차관리!$L:$L,$B123)))&lt;12,"오전",IF(HOUR(IF(INDEX(GLAPS컨테이너배차관리!$L:$L,$B123)="","",INDEX(GLAPS컨테이너배차관리!$L:$L,$B123)))&lt;18,"오후","잔업")))</f>
        <v/>
      </c>
      <c r="G123" t="str">
        <f>IF($B123="","",IFERROR(INDEX(GLAPS정리!$G$3:$G$264,MATCH(IF(INDEX(GLAPS컨테이너배차관리!$BY:$BY,$B123)="","",INDEX(GLAPS컨테이너배차관리!$BY:$BY,$B123)),GLAPS정리!$H$3:$H$264,0)),TRIM(SUBSTITUTE(SUBSTITUTE(SUBSTITUTE(SUBSTITUTE(SUBSTITUTE(IF(INDEX(GLAPS컨테이너배차관리!$T:$T,$B123)="","",INDEX(GLAPS컨테이너배차관리!$T:$T,$B123)),"[GA]",""),"[GB]",""),"[GC]",""),"[KC]",""),"[GS]",""))))</f>
        <v/>
      </c>
      <c r="H123" t="str">
        <f>IF($B123="","",IFERROR(VLOOKUP(IF(INDEX(GLAPS컨테이너배차관리!$BY:$BY,$B123)="","",INDEX(GLAPS컨테이너배차관리!$BY:$BY,$B123)),GLAPS정리!$BT$3:$BV$200,3,0),""))</f>
        <v/>
      </c>
      <c r="I123" t="str">
        <f>IF($B123="","",LEFT(IF(INDEX(GLAPS컨테이너배차관리!$U:$U,$B123)="","",INDEX(GLAPS컨테이너배차관리!$U:$U,$B123)),FIND("/",IF(INDEX(GLAPS컨테이너배차관리!$U:$U,$B123)="","",INDEX(GLAPS컨테이너배차관리!$U:$U,$B123))&amp;"/")-1))</f>
        <v/>
      </c>
      <c r="J123" t="str">
        <f>IF($B123="","",IF(IF(INDEX(GLAPS컨테이너배차관리!$O:$O,$B123)="","",INDEX(GLAPS컨테이너배차관리!$O:$O,$B123))="EMC","EMA",IFERROR(INDEX(GLAPS정리!$A$2:$A$50,MATCH(IF(INDEX(GLAPS컨테이너배차관리!$O:$O,$B123)="","",INDEX(GLAPS컨테이너배차관리!$O:$O,$B123)),GLAPS정리!$D$2:$D$50,0)),IF(INDEX(GLAPS컨테이너배차관리!$O:$O,$B123)="","",INDEX(GLAPS컨테이너배차관리!$O:$O,$B123)))))</f>
        <v/>
      </c>
      <c r="K123" t="str">
        <f>IF($B123="","",IF(LEFT(IF(INDEX(GLAPS컨테이너배차관리!$Y:$Y,$B123)="","",INDEX(GLAPS컨테이너배차관리!$Y:$Y,$B123)),2)="22","20 Feet",IF(LEFT(IF(INDEX(GLAPS컨테이너배차관리!$Y:$Y,$B123)="","",INDEX(GLAPS컨테이너배차관리!$Y:$Y,$B123)),2)="42","40 Feet","40 Feet H")))</f>
        <v/>
      </c>
      <c r="L123" t="str">
        <f>IF($B123="","",IFERROR(INDEX(GLAPS정리!$BB$2:$BB$80,MATCH(IF(INDEX(GLAPS컨테이너배차관리!$BQ:$BQ,$B123)="","",INDEX(GLAPS컨테이너배차관리!$BQ:$BQ,$B123)),GLAPS정리!$BC$2:$BC$80,0)),IF(INDEX(GLAPS컨테이너배차관리!$BQ:$BQ,$B123)="","",INDEX(GLAPS컨테이너배차관리!$BQ:$BQ,$B123))))</f>
        <v/>
      </c>
      <c r="M123" t="str">
        <f>IF($B123="","",IFERROR(INDEX(GLAPS정리!$V$3:$V$180,MATCH(IF(INDEX(GLAPS컨테이너배차관리!$S:$S,$B123)="","",INDEX(GLAPS컨테이너배차관리!$S:$S,$B123)),GLAPS정리!$W$3:$W$180,0)),IF(INDEX(GLAPS컨테이너배차관리!$S:$S,$B123)="","",INDEX(GLAPS컨테이너배차관리!$S:$S,$B123))))</f>
        <v/>
      </c>
      <c r="N123" t="str">
        <f>IF($B123="","",IF(IF(INDEX(GLAPS컨테이너배차관리!$DF:$DF,$B123)="","",INDEX(GLAPS컨테이너배차관리!$DF:$DF,$B123))&lt;&gt;"",IF(INDEX(GLAPS컨테이너배차관리!$DF:$DF,$B123)="","",INDEX(GLAPS컨테이너배차관리!$DF:$DF,$B123)),IF(IF(INDEX(GLAPS컨테이너배차관리!$DG:$DG,$B123)="","",INDEX(GLAPS컨테이너배차관리!$DG:$DG,$B123))&lt;&gt;"",IF(INDEX(GLAPS컨테이너배차관리!$DG:$DG,$B123)="","",INDEX(GLAPS컨테이너배차관리!$DG:$DG,$B123)),"")))</f>
        <v/>
      </c>
      <c r="O123" t="str">
        <f>IF($B123="","",IF(INDEX(GLAPS컨테이너배차관리!$AB:$AB,$B123)="","",INDEX(GLAPS컨테이너배차관리!$AB:$AB,$B123)))</f>
        <v/>
      </c>
      <c r="P123" t="str">
        <f>IF($B123="","",IF(IF(INDEX(GLAPS컨테이너배차관리!$CP:$CP,$B123)="","",INDEX(GLAPS컨테이너배차관리!$CP:$CP,$B123))="","",IFERROR(INDEX(GLAPS정리!$BH$2:$BH$101,MATCH(IF(INDEX(GLAPS컨테이너배차관리!$CP:$CP,$B123)="","",INDEX(GLAPS컨테이너배차관리!$CP:$CP,$B123)),GLAPS정리!$BI$2:$BI$101,0)),IF(INDEX(GLAPS컨테이너배차관리!$CP:$CP,$B123)="","",INDEX(GLAPS컨테이너배차관리!$CP:$CP,$B123)))))</f>
        <v/>
      </c>
      <c r="Q123" t="str">
        <f>IF($B123="","",IF(AND(IF(INDEX(GLAPS컨테이너배차관리!$AK:$AK,$B123)="","",INDEX(GLAPS컨테이너배차관리!$AK:$AK,$B123))="Y",IF(INDEX(GLAPS컨테이너배차관리!$AI:$AI,$B123)="","",INDEX(GLAPS컨테이너배차관리!$AI:$AI,$B123))="Y"),"위험물리퍼",IF(IF(INDEX(GLAPS컨테이너배차관리!$AK:$AK,$B123)="","",INDEX(GLAPS컨테이너배차관리!$AK:$AK,$B123))="Y","위험물",IF(IF(INDEX(GLAPS컨테이너배차관리!$AI:$AI,$B123)="","",INDEX(GLAPS컨테이너배차관리!$AI:$AI,$B123))="Y","리퍼",""))))</f>
        <v/>
      </c>
      <c r="R123" t="str">
        <f>IF($B123="","",IF(LEFT(IF(INDEX(GLAPS컨테이너배차관리!$Y:$Y,$B123)="","",INDEX(GLAPS컨테이너배차관리!$Y:$Y,$B123)),2)="22",1,""))</f>
        <v/>
      </c>
      <c r="S123" t="str">
        <f>IF($B123="","",IF(LEFT(IF(INDEX(GLAPS컨테이너배차관리!$Y:$Y,$B123)="","",INDEX(GLAPS컨테이너배차관리!$Y:$Y,$B123)),2)="42",1,""))</f>
        <v/>
      </c>
      <c r="T123" t="str">
        <f>IF($B123="","",IF(LEFT(IF(INDEX(GLAPS컨테이너배차관리!$Y:$Y,$B123)="","",INDEX(GLAPS컨테이너배차관리!$Y:$Y,$B123)),2)="45",1,""))</f>
        <v/>
      </c>
      <c r="U123" t="str">
        <f>IF($B123="","",IF(INDEX(GLAPS컨테이너배차관리!$X:$X,$B123)="","",INDEX(GLAPS컨테이너배차관리!$X:$X,$B123)))</f>
        <v/>
      </c>
      <c r="V123" t="str">
        <f>IF($B123="","",IF(INDEX(GLAPS컨테이너배차관리!$Z:$Z,$B123)="","",INDEX(GLAPS컨테이너배차관리!$Z:$Z,$B123)))</f>
        <v/>
      </c>
      <c r="W123" t="str">
        <f>IF($B123="","",IF(IF(INDEX(GLAPS컨테이너배차관리!$DI:$DI,$B123)="","",INDEX(GLAPS컨테이너배차관리!$DI:$DI,$B123))&lt;&gt;"",IF(INDEX(GLAPS컨테이너배차관리!$DI:$DI,$B123)="","",INDEX(GLAPS컨테이너배차관리!$DI:$DI,$B123)),IF(IF(INDEX(GLAPS컨테이너배차관리!$DJ:$DJ,$B123)="","",INDEX(GLAPS컨테이너배차관리!$DJ:$DJ,$B123))&lt;&gt;"",IF(INDEX(GLAPS컨테이너배차관리!$DJ:$DJ,$B123)="","",INDEX(GLAPS컨테이너배차관리!$DJ:$DJ,$B123)),IF(IF(INDEX(GLAPS컨테이너배차관리!$DK:$DK,$B123)="","",INDEX(GLAPS컨테이너배차관리!$DK:$DK,$B123))&lt;&gt;"",IF(INDEX(GLAPS컨테이너배차관리!$DK:$DK,$B123)="","",INDEX(GLAPS컨테이너배차관리!$DK:$DK,$B123)),IF(IF(INDEX(GLAPS컨테이너배차관리!$DL:$DL,$B123)="","",INDEX(GLAPS컨테이너배차관리!$DL:$DL,$B123))&lt;&gt;"",IF(INDEX(GLAPS컨테이너배차관리!$DL:$DL,$B123)="","",INDEX(GLAPS컨테이너배차관리!$DL:$DL,$B123)),IF(IF(INDEX(GLAPS컨테이너배차관리!$DM:$DM,$B123)="","",INDEX(GLAPS컨테이너배차관리!$DM:$DM,$B123))&lt;&gt;"",IF(INDEX(GLAPS컨테이너배차관리!$DM:$DM,$B123)="","",INDEX(GLAPS컨테이너배차관리!$DM:$DM,$B123)),""))))))</f>
        <v/>
      </c>
      <c r="X123" t="str">
        <f>IF($B123="","",IF(INDEX(GLAPS컨테이너배차관리!$F:$F,$B123)="","",INDEX(GLAPS컨테이너배차관리!$F:$F,$B123)))</f>
        <v/>
      </c>
      <c r="Y123" t="str">
        <f>IF($B123="","",IF(IF(INDEX(GLAPS컨테이너배차관리!$M:$M,$B123)="","",INDEX(GLAPS컨테이너배차관리!$M:$M,$B123))&lt;&gt;"",IF(INDEX(GLAPS컨테이너배차관리!$M:$M,$B123)="","",INDEX(GLAPS컨테이너배차관리!$M:$M,$B123)),IF(IF(INDEX(GLAPS컨테이너배차관리!$N:$N,$B123)="","",INDEX(GLAPS컨테이너배차관리!$N:$N,$B123))&lt;&gt;"",IF(INDEX(GLAPS컨테이너배차관리!$N:$N,$B123)="","",INDEX(GLAPS컨테이너배차관리!$N:$N,$B123)),"")))</f>
        <v/>
      </c>
      <c r="Z123" t="str">
        <f>IF($B123="","",IF(IF(INDEX(GLAPS컨테이너배차관리!$CU:$CU,$B123)="","",INDEX(GLAPS컨테이너배차관리!$CU:$CU,$B123))="","",IFERROR(INT(IF(INDEX(GLAPS컨테이너배차관리!$CU:$CU,$B123)="","",INDEX(GLAPS컨테이너배차관리!$CU:$CU,$B123))),"")))</f>
        <v/>
      </c>
      <c r="AA123" t="str">
        <f>IF($B123="","",IF(AND(IF(INDEX(GLAPS컨테이너배차관리!$CL:$CL,$B123)="","",INDEX(GLAPS컨테이너배차관리!$CL:$CL,$B123))="",IF(INDEX(GLAPS컨테이너배차관리!$CM:$CM,$B123)="","",INDEX(GLAPS컨테이너배차관리!$CM:$CM,$B123))=""),"",IF(OR(IF(INDEX(GLAPS컨테이너배차관리!$CL:$CL,$B123)="","",INDEX(GLAPS컨테이너배차관리!$CL:$CL,$B123))="B000016649",ISNUMBER(SEARCH("B015",IF(INDEX(GLAPS컨테이너배차관리!$CM:$CM,$B123)="","",INDEX(GLAPS컨테이너배차관리!$CM:$CM,$B123)))),ISNUMBER(SEARCH("세방",IF(INDEX(GLAPS컨테이너배차관리!$CM:$CM,$B123)="","",INDEX(GLAPS컨테이너배차관리!$CM:$CM,$B123)))),ISNUMBER(SEARCH("SB",IF(INDEX(GLAPS컨테이너배차관리!$CM:$CM,$B123)="","",INDEX(GLAPS컨테이너배차관리!$CM:$CM,$B123))))),"세방","")))</f>
        <v/>
      </c>
      <c r="AB123" t="str">
        <f>IF($B123="","",IF(IF(INDEX(GLAPS컨테이너배차관리!$CM:$CM,$B123)="","",INDEX(GLAPS컨테이너배차관리!$CM:$CM,$B123))="","",IF(ISNUMBER(SEARCH("이지스두동",IF(INDEX(GLAPS컨테이너배차관리!$CM:$CM,$B123)="","",INDEX(GLAPS컨테이너배차관리!$CM:$CM,$B123)))),"이지스두동",IF(ISNUMBER(SEARCH("이지스녹산",IF(INDEX(GLAPS컨테이너배차관리!$CM:$CM,$B123)="","",INDEX(GLAPS컨테이너배차관리!$CM:$CM,$B123)))),"이지스녹산",IF(ISNUMBER(SEARCH("천우",IF(INDEX(GLAPS컨테이너배차관리!$CM:$CM,$B123)="","",INDEX(GLAPS컨테이너배차관리!$CM:$CM,$B123)))),"천우",IF(OR(ISNUMBER(SEARCH("청암",IF(INDEX(GLAPS컨테이너배차관리!$CM:$CM,$B123)="","",INDEX(GLAPS컨테이너배차관리!$CM:$CM,$B123)))),ISNUMBER(SEARCH("SB청암",IF(INDEX(GLAPS컨테이너배차관리!$CM:$CM,$B123)="","",INDEX(GLAPS컨테이너배차관리!$CM:$CM,$B123))))),"청암신항",IF(INDEX(GLAPS컨테이너배차관리!$CM:$CM,$B123)="","",INDEX(GLAPS컨테이너배차관리!$CM:$CM,$B123))))))))</f>
        <v/>
      </c>
    </row>
    <row r="124" spans="1:28">
      <c r="A124">
        <v>123</v>
      </c>
      <c r="B124" t="str">
        <f>IFERROR(_xlfn.AGGREGATE(15,6,ROW(GLAPS컨테이너배차관리!$X$2:$X$20000)/(GLAPS컨테이너배차관리!$X$2:$X$20000&lt;&gt;""),A124),"")</f>
        <v/>
      </c>
      <c r="C124" t="str">
        <f>IF($B124="","",INT(IF(INDEX(GLAPS컨테이너배차관리!$K:$K,$B124)="","",INDEX(GLAPS컨테이너배차관리!$K:$K,$B124))))</f>
        <v/>
      </c>
      <c r="D124" t="str">
        <f>IF($B124="","",IF(ISNUMBER(SEARCH("이엘에스",IF(INDEX(GLAPS컨테이너배차관리!$AZ:$AZ,$B124)="","",INDEX(GLAPS컨테이너배차관리!$AZ:$AZ,$B124)))),"ELS솔루션",IF(INDEX(GLAPS컨테이너배차관리!$AZ:$AZ,$B124)="","",INDEX(GLAPS컨테이너배차관리!$AZ:$AZ,$B124))))</f>
        <v/>
      </c>
      <c r="E124" t="str">
        <f>IF($B124="","",IF(INDEX(GLAPS컨테이너배차관리!$L:$L,$B124)="","",INDEX(GLAPS컨테이너배차관리!$L:$L,$B124)))</f>
        <v/>
      </c>
      <c r="F124" t="str">
        <f>IF($B124="","",IF(HOUR(IF(INDEX(GLAPS컨테이너배차관리!$L:$L,$B124)="","",INDEX(GLAPS컨테이너배차관리!$L:$L,$B124)))&lt;12,"오전",IF(HOUR(IF(INDEX(GLAPS컨테이너배차관리!$L:$L,$B124)="","",INDEX(GLAPS컨테이너배차관리!$L:$L,$B124)))&lt;18,"오후","잔업")))</f>
        <v/>
      </c>
      <c r="G124" t="str">
        <f>IF($B124="","",IFERROR(INDEX(GLAPS정리!$G$3:$G$264,MATCH(IF(INDEX(GLAPS컨테이너배차관리!$BY:$BY,$B124)="","",INDEX(GLAPS컨테이너배차관리!$BY:$BY,$B124)),GLAPS정리!$H$3:$H$264,0)),TRIM(SUBSTITUTE(SUBSTITUTE(SUBSTITUTE(SUBSTITUTE(SUBSTITUTE(IF(INDEX(GLAPS컨테이너배차관리!$T:$T,$B124)="","",INDEX(GLAPS컨테이너배차관리!$T:$T,$B124)),"[GA]",""),"[GB]",""),"[GC]",""),"[KC]",""),"[GS]",""))))</f>
        <v/>
      </c>
      <c r="H124" t="str">
        <f>IF($B124="","",IFERROR(VLOOKUP(IF(INDEX(GLAPS컨테이너배차관리!$BY:$BY,$B124)="","",INDEX(GLAPS컨테이너배차관리!$BY:$BY,$B124)),GLAPS정리!$BT$3:$BV$200,3,0),""))</f>
        <v/>
      </c>
      <c r="I124" t="str">
        <f>IF($B124="","",LEFT(IF(INDEX(GLAPS컨테이너배차관리!$U:$U,$B124)="","",INDEX(GLAPS컨테이너배차관리!$U:$U,$B124)),FIND("/",IF(INDEX(GLAPS컨테이너배차관리!$U:$U,$B124)="","",INDEX(GLAPS컨테이너배차관리!$U:$U,$B124))&amp;"/")-1))</f>
        <v/>
      </c>
      <c r="J124" t="str">
        <f>IF($B124="","",IF(IF(INDEX(GLAPS컨테이너배차관리!$O:$O,$B124)="","",INDEX(GLAPS컨테이너배차관리!$O:$O,$B124))="EMC","EMA",IFERROR(INDEX(GLAPS정리!$A$2:$A$50,MATCH(IF(INDEX(GLAPS컨테이너배차관리!$O:$O,$B124)="","",INDEX(GLAPS컨테이너배차관리!$O:$O,$B124)),GLAPS정리!$D$2:$D$50,0)),IF(INDEX(GLAPS컨테이너배차관리!$O:$O,$B124)="","",INDEX(GLAPS컨테이너배차관리!$O:$O,$B124)))))</f>
        <v/>
      </c>
      <c r="K124" t="str">
        <f>IF($B124="","",IF(LEFT(IF(INDEX(GLAPS컨테이너배차관리!$Y:$Y,$B124)="","",INDEX(GLAPS컨테이너배차관리!$Y:$Y,$B124)),2)="22","20 Feet",IF(LEFT(IF(INDEX(GLAPS컨테이너배차관리!$Y:$Y,$B124)="","",INDEX(GLAPS컨테이너배차관리!$Y:$Y,$B124)),2)="42","40 Feet","40 Feet H")))</f>
        <v/>
      </c>
      <c r="L124" t="str">
        <f>IF($B124="","",IFERROR(INDEX(GLAPS정리!$BB$2:$BB$80,MATCH(IF(INDEX(GLAPS컨테이너배차관리!$BQ:$BQ,$B124)="","",INDEX(GLAPS컨테이너배차관리!$BQ:$BQ,$B124)),GLAPS정리!$BC$2:$BC$80,0)),IF(INDEX(GLAPS컨테이너배차관리!$BQ:$BQ,$B124)="","",INDEX(GLAPS컨테이너배차관리!$BQ:$BQ,$B124))))</f>
        <v/>
      </c>
      <c r="M124" t="str">
        <f>IF($B124="","",IFERROR(INDEX(GLAPS정리!$V$3:$V$180,MATCH(IF(INDEX(GLAPS컨테이너배차관리!$S:$S,$B124)="","",INDEX(GLAPS컨테이너배차관리!$S:$S,$B124)),GLAPS정리!$W$3:$W$180,0)),IF(INDEX(GLAPS컨테이너배차관리!$S:$S,$B124)="","",INDEX(GLAPS컨테이너배차관리!$S:$S,$B124))))</f>
        <v/>
      </c>
      <c r="N124" t="str">
        <f>IF($B124="","",IF(IF(INDEX(GLAPS컨테이너배차관리!$DF:$DF,$B124)="","",INDEX(GLAPS컨테이너배차관리!$DF:$DF,$B124))&lt;&gt;"",IF(INDEX(GLAPS컨테이너배차관리!$DF:$DF,$B124)="","",INDEX(GLAPS컨테이너배차관리!$DF:$DF,$B124)),IF(IF(INDEX(GLAPS컨테이너배차관리!$DG:$DG,$B124)="","",INDEX(GLAPS컨테이너배차관리!$DG:$DG,$B124))&lt;&gt;"",IF(INDEX(GLAPS컨테이너배차관리!$DG:$DG,$B124)="","",INDEX(GLAPS컨테이너배차관리!$DG:$DG,$B124)),"")))</f>
        <v/>
      </c>
      <c r="O124" t="str">
        <f>IF($B124="","",IF(INDEX(GLAPS컨테이너배차관리!$AB:$AB,$B124)="","",INDEX(GLAPS컨테이너배차관리!$AB:$AB,$B124)))</f>
        <v/>
      </c>
      <c r="P124" t="str">
        <f>IF($B124="","",IF(IF(INDEX(GLAPS컨테이너배차관리!$CP:$CP,$B124)="","",INDEX(GLAPS컨테이너배차관리!$CP:$CP,$B124))="","",IFERROR(INDEX(GLAPS정리!$BH$2:$BH$101,MATCH(IF(INDEX(GLAPS컨테이너배차관리!$CP:$CP,$B124)="","",INDEX(GLAPS컨테이너배차관리!$CP:$CP,$B124)),GLAPS정리!$BI$2:$BI$101,0)),IF(INDEX(GLAPS컨테이너배차관리!$CP:$CP,$B124)="","",INDEX(GLAPS컨테이너배차관리!$CP:$CP,$B124)))))</f>
        <v/>
      </c>
      <c r="Q124" t="str">
        <f>IF($B124="","",IF(AND(IF(INDEX(GLAPS컨테이너배차관리!$AK:$AK,$B124)="","",INDEX(GLAPS컨테이너배차관리!$AK:$AK,$B124))="Y",IF(INDEX(GLAPS컨테이너배차관리!$AI:$AI,$B124)="","",INDEX(GLAPS컨테이너배차관리!$AI:$AI,$B124))="Y"),"위험물리퍼",IF(IF(INDEX(GLAPS컨테이너배차관리!$AK:$AK,$B124)="","",INDEX(GLAPS컨테이너배차관리!$AK:$AK,$B124))="Y","위험물",IF(IF(INDEX(GLAPS컨테이너배차관리!$AI:$AI,$B124)="","",INDEX(GLAPS컨테이너배차관리!$AI:$AI,$B124))="Y","리퍼",""))))</f>
        <v/>
      </c>
      <c r="R124" t="str">
        <f>IF($B124="","",IF(LEFT(IF(INDEX(GLAPS컨테이너배차관리!$Y:$Y,$B124)="","",INDEX(GLAPS컨테이너배차관리!$Y:$Y,$B124)),2)="22",1,""))</f>
        <v/>
      </c>
      <c r="S124" t="str">
        <f>IF($B124="","",IF(LEFT(IF(INDEX(GLAPS컨테이너배차관리!$Y:$Y,$B124)="","",INDEX(GLAPS컨테이너배차관리!$Y:$Y,$B124)),2)="42",1,""))</f>
        <v/>
      </c>
      <c r="T124" t="str">
        <f>IF($B124="","",IF(LEFT(IF(INDEX(GLAPS컨테이너배차관리!$Y:$Y,$B124)="","",INDEX(GLAPS컨테이너배차관리!$Y:$Y,$B124)),2)="45",1,""))</f>
        <v/>
      </c>
      <c r="U124" t="str">
        <f>IF($B124="","",IF(INDEX(GLAPS컨테이너배차관리!$X:$X,$B124)="","",INDEX(GLAPS컨테이너배차관리!$X:$X,$B124)))</f>
        <v/>
      </c>
      <c r="V124" t="str">
        <f>IF($B124="","",IF(INDEX(GLAPS컨테이너배차관리!$Z:$Z,$B124)="","",INDEX(GLAPS컨테이너배차관리!$Z:$Z,$B124)))</f>
        <v/>
      </c>
      <c r="W124" t="str">
        <f>IF($B124="","",IF(IF(INDEX(GLAPS컨테이너배차관리!$DI:$DI,$B124)="","",INDEX(GLAPS컨테이너배차관리!$DI:$DI,$B124))&lt;&gt;"",IF(INDEX(GLAPS컨테이너배차관리!$DI:$DI,$B124)="","",INDEX(GLAPS컨테이너배차관리!$DI:$DI,$B124)),IF(IF(INDEX(GLAPS컨테이너배차관리!$DJ:$DJ,$B124)="","",INDEX(GLAPS컨테이너배차관리!$DJ:$DJ,$B124))&lt;&gt;"",IF(INDEX(GLAPS컨테이너배차관리!$DJ:$DJ,$B124)="","",INDEX(GLAPS컨테이너배차관리!$DJ:$DJ,$B124)),IF(IF(INDEX(GLAPS컨테이너배차관리!$DK:$DK,$B124)="","",INDEX(GLAPS컨테이너배차관리!$DK:$DK,$B124))&lt;&gt;"",IF(INDEX(GLAPS컨테이너배차관리!$DK:$DK,$B124)="","",INDEX(GLAPS컨테이너배차관리!$DK:$DK,$B124)),IF(IF(INDEX(GLAPS컨테이너배차관리!$DL:$DL,$B124)="","",INDEX(GLAPS컨테이너배차관리!$DL:$DL,$B124))&lt;&gt;"",IF(INDEX(GLAPS컨테이너배차관리!$DL:$DL,$B124)="","",INDEX(GLAPS컨테이너배차관리!$DL:$DL,$B124)),IF(IF(INDEX(GLAPS컨테이너배차관리!$DM:$DM,$B124)="","",INDEX(GLAPS컨테이너배차관리!$DM:$DM,$B124))&lt;&gt;"",IF(INDEX(GLAPS컨테이너배차관리!$DM:$DM,$B124)="","",INDEX(GLAPS컨테이너배차관리!$DM:$DM,$B124)),""))))))</f>
        <v/>
      </c>
      <c r="X124" t="str">
        <f>IF($B124="","",IF(INDEX(GLAPS컨테이너배차관리!$F:$F,$B124)="","",INDEX(GLAPS컨테이너배차관리!$F:$F,$B124)))</f>
        <v/>
      </c>
      <c r="Y124" t="str">
        <f>IF($B124="","",IF(IF(INDEX(GLAPS컨테이너배차관리!$M:$M,$B124)="","",INDEX(GLAPS컨테이너배차관리!$M:$M,$B124))&lt;&gt;"",IF(INDEX(GLAPS컨테이너배차관리!$M:$M,$B124)="","",INDEX(GLAPS컨테이너배차관리!$M:$M,$B124)),IF(IF(INDEX(GLAPS컨테이너배차관리!$N:$N,$B124)="","",INDEX(GLAPS컨테이너배차관리!$N:$N,$B124))&lt;&gt;"",IF(INDEX(GLAPS컨테이너배차관리!$N:$N,$B124)="","",INDEX(GLAPS컨테이너배차관리!$N:$N,$B124)),"")))</f>
        <v/>
      </c>
      <c r="Z124" t="str">
        <f>IF($B124="","",IF(IF(INDEX(GLAPS컨테이너배차관리!$CU:$CU,$B124)="","",INDEX(GLAPS컨테이너배차관리!$CU:$CU,$B124))="","",IFERROR(INT(IF(INDEX(GLAPS컨테이너배차관리!$CU:$CU,$B124)="","",INDEX(GLAPS컨테이너배차관리!$CU:$CU,$B124))),"")))</f>
        <v/>
      </c>
      <c r="AA124" t="str">
        <f>IF($B124="","",IF(AND(IF(INDEX(GLAPS컨테이너배차관리!$CL:$CL,$B124)="","",INDEX(GLAPS컨테이너배차관리!$CL:$CL,$B124))="",IF(INDEX(GLAPS컨테이너배차관리!$CM:$CM,$B124)="","",INDEX(GLAPS컨테이너배차관리!$CM:$CM,$B124))=""),"",IF(OR(IF(INDEX(GLAPS컨테이너배차관리!$CL:$CL,$B124)="","",INDEX(GLAPS컨테이너배차관리!$CL:$CL,$B124))="B000016649",ISNUMBER(SEARCH("B015",IF(INDEX(GLAPS컨테이너배차관리!$CM:$CM,$B124)="","",INDEX(GLAPS컨테이너배차관리!$CM:$CM,$B124)))),ISNUMBER(SEARCH("세방",IF(INDEX(GLAPS컨테이너배차관리!$CM:$CM,$B124)="","",INDEX(GLAPS컨테이너배차관리!$CM:$CM,$B124)))),ISNUMBER(SEARCH("SB",IF(INDEX(GLAPS컨테이너배차관리!$CM:$CM,$B124)="","",INDEX(GLAPS컨테이너배차관리!$CM:$CM,$B124))))),"세방","")))</f>
        <v/>
      </c>
      <c r="AB124" t="str">
        <f>IF($B124="","",IF(IF(INDEX(GLAPS컨테이너배차관리!$CM:$CM,$B124)="","",INDEX(GLAPS컨테이너배차관리!$CM:$CM,$B124))="","",IF(ISNUMBER(SEARCH("이지스두동",IF(INDEX(GLAPS컨테이너배차관리!$CM:$CM,$B124)="","",INDEX(GLAPS컨테이너배차관리!$CM:$CM,$B124)))),"이지스두동",IF(ISNUMBER(SEARCH("이지스녹산",IF(INDEX(GLAPS컨테이너배차관리!$CM:$CM,$B124)="","",INDEX(GLAPS컨테이너배차관리!$CM:$CM,$B124)))),"이지스녹산",IF(ISNUMBER(SEARCH("천우",IF(INDEX(GLAPS컨테이너배차관리!$CM:$CM,$B124)="","",INDEX(GLAPS컨테이너배차관리!$CM:$CM,$B124)))),"천우",IF(OR(ISNUMBER(SEARCH("청암",IF(INDEX(GLAPS컨테이너배차관리!$CM:$CM,$B124)="","",INDEX(GLAPS컨테이너배차관리!$CM:$CM,$B124)))),ISNUMBER(SEARCH("SB청암",IF(INDEX(GLAPS컨테이너배차관리!$CM:$CM,$B124)="","",INDEX(GLAPS컨테이너배차관리!$CM:$CM,$B124))))),"청암신항",IF(INDEX(GLAPS컨테이너배차관리!$CM:$CM,$B124)="","",INDEX(GLAPS컨테이너배차관리!$CM:$CM,$B124))))))))</f>
        <v/>
      </c>
    </row>
    <row r="125" spans="1:28">
      <c r="A125">
        <v>124</v>
      </c>
      <c r="B125" t="str">
        <f>IFERROR(_xlfn.AGGREGATE(15,6,ROW(GLAPS컨테이너배차관리!$X$2:$X$20000)/(GLAPS컨테이너배차관리!$X$2:$X$20000&lt;&gt;""),A125),"")</f>
        <v/>
      </c>
      <c r="C125" t="str">
        <f>IF($B125="","",INT(IF(INDEX(GLAPS컨테이너배차관리!$K:$K,$B125)="","",INDEX(GLAPS컨테이너배차관리!$K:$K,$B125))))</f>
        <v/>
      </c>
      <c r="D125" t="str">
        <f>IF($B125="","",IF(ISNUMBER(SEARCH("이엘에스",IF(INDEX(GLAPS컨테이너배차관리!$AZ:$AZ,$B125)="","",INDEX(GLAPS컨테이너배차관리!$AZ:$AZ,$B125)))),"ELS솔루션",IF(INDEX(GLAPS컨테이너배차관리!$AZ:$AZ,$B125)="","",INDEX(GLAPS컨테이너배차관리!$AZ:$AZ,$B125))))</f>
        <v/>
      </c>
      <c r="E125" t="str">
        <f>IF($B125="","",IF(INDEX(GLAPS컨테이너배차관리!$L:$L,$B125)="","",INDEX(GLAPS컨테이너배차관리!$L:$L,$B125)))</f>
        <v/>
      </c>
      <c r="F125" t="str">
        <f>IF($B125="","",IF(HOUR(IF(INDEX(GLAPS컨테이너배차관리!$L:$L,$B125)="","",INDEX(GLAPS컨테이너배차관리!$L:$L,$B125)))&lt;12,"오전",IF(HOUR(IF(INDEX(GLAPS컨테이너배차관리!$L:$L,$B125)="","",INDEX(GLAPS컨테이너배차관리!$L:$L,$B125)))&lt;18,"오후","잔업")))</f>
        <v/>
      </c>
      <c r="G125" t="str">
        <f>IF($B125="","",IFERROR(INDEX(GLAPS정리!$G$3:$G$264,MATCH(IF(INDEX(GLAPS컨테이너배차관리!$BY:$BY,$B125)="","",INDEX(GLAPS컨테이너배차관리!$BY:$BY,$B125)),GLAPS정리!$H$3:$H$264,0)),TRIM(SUBSTITUTE(SUBSTITUTE(SUBSTITUTE(SUBSTITUTE(SUBSTITUTE(IF(INDEX(GLAPS컨테이너배차관리!$T:$T,$B125)="","",INDEX(GLAPS컨테이너배차관리!$T:$T,$B125)),"[GA]",""),"[GB]",""),"[GC]",""),"[KC]",""),"[GS]",""))))</f>
        <v/>
      </c>
      <c r="H125" t="str">
        <f>IF($B125="","",IFERROR(VLOOKUP(IF(INDEX(GLAPS컨테이너배차관리!$BY:$BY,$B125)="","",INDEX(GLAPS컨테이너배차관리!$BY:$BY,$B125)),GLAPS정리!$BT$3:$BV$200,3,0),""))</f>
        <v/>
      </c>
      <c r="I125" t="str">
        <f>IF($B125="","",LEFT(IF(INDEX(GLAPS컨테이너배차관리!$U:$U,$B125)="","",INDEX(GLAPS컨테이너배차관리!$U:$U,$B125)),FIND("/",IF(INDEX(GLAPS컨테이너배차관리!$U:$U,$B125)="","",INDEX(GLAPS컨테이너배차관리!$U:$U,$B125))&amp;"/")-1))</f>
        <v/>
      </c>
      <c r="J125" t="str">
        <f>IF($B125="","",IF(IF(INDEX(GLAPS컨테이너배차관리!$O:$O,$B125)="","",INDEX(GLAPS컨테이너배차관리!$O:$O,$B125))="EMC","EMA",IFERROR(INDEX(GLAPS정리!$A$2:$A$50,MATCH(IF(INDEX(GLAPS컨테이너배차관리!$O:$O,$B125)="","",INDEX(GLAPS컨테이너배차관리!$O:$O,$B125)),GLAPS정리!$D$2:$D$50,0)),IF(INDEX(GLAPS컨테이너배차관리!$O:$O,$B125)="","",INDEX(GLAPS컨테이너배차관리!$O:$O,$B125)))))</f>
        <v/>
      </c>
      <c r="K125" t="str">
        <f>IF($B125="","",IF(LEFT(IF(INDEX(GLAPS컨테이너배차관리!$Y:$Y,$B125)="","",INDEX(GLAPS컨테이너배차관리!$Y:$Y,$B125)),2)="22","20 Feet",IF(LEFT(IF(INDEX(GLAPS컨테이너배차관리!$Y:$Y,$B125)="","",INDEX(GLAPS컨테이너배차관리!$Y:$Y,$B125)),2)="42","40 Feet","40 Feet H")))</f>
        <v/>
      </c>
      <c r="L125" t="str">
        <f>IF($B125="","",IFERROR(INDEX(GLAPS정리!$BB$2:$BB$80,MATCH(IF(INDEX(GLAPS컨테이너배차관리!$BQ:$BQ,$B125)="","",INDEX(GLAPS컨테이너배차관리!$BQ:$BQ,$B125)),GLAPS정리!$BC$2:$BC$80,0)),IF(INDEX(GLAPS컨테이너배차관리!$BQ:$BQ,$B125)="","",INDEX(GLAPS컨테이너배차관리!$BQ:$BQ,$B125))))</f>
        <v/>
      </c>
      <c r="M125" t="str">
        <f>IF($B125="","",IFERROR(INDEX(GLAPS정리!$V$3:$V$180,MATCH(IF(INDEX(GLAPS컨테이너배차관리!$S:$S,$B125)="","",INDEX(GLAPS컨테이너배차관리!$S:$S,$B125)),GLAPS정리!$W$3:$W$180,0)),IF(INDEX(GLAPS컨테이너배차관리!$S:$S,$B125)="","",INDEX(GLAPS컨테이너배차관리!$S:$S,$B125))))</f>
        <v/>
      </c>
      <c r="N125" t="str">
        <f>IF($B125="","",IF(IF(INDEX(GLAPS컨테이너배차관리!$DF:$DF,$B125)="","",INDEX(GLAPS컨테이너배차관리!$DF:$DF,$B125))&lt;&gt;"",IF(INDEX(GLAPS컨테이너배차관리!$DF:$DF,$B125)="","",INDEX(GLAPS컨테이너배차관리!$DF:$DF,$B125)),IF(IF(INDEX(GLAPS컨테이너배차관리!$DG:$DG,$B125)="","",INDEX(GLAPS컨테이너배차관리!$DG:$DG,$B125))&lt;&gt;"",IF(INDEX(GLAPS컨테이너배차관리!$DG:$DG,$B125)="","",INDEX(GLAPS컨테이너배차관리!$DG:$DG,$B125)),"")))</f>
        <v/>
      </c>
      <c r="O125" t="str">
        <f>IF($B125="","",IF(INDEX(GLAPS컨테이너배차관리!$AB:$AB,$B125)="","",INDEX(GLAPS컨테이너배차관리!$AB:$AB,$B125)))</f>
        <v/>
      </c>
      <c r="P125" t="str">
        <f>IF($B125="","",IF(IF(INDEX(GLAPS컨테이너배차관리!$CP:$CP,$B125)="","",INDEX(GLAPS컨테이너배차관리!$CP:$CP,$B125))="","",IFERROR(INDEX(GLAPS정리!$BH$2:$BH$101,MATCH(IF(INDEX(GLAPS컨테이너배차관리!$CP:$CP,$B125)="","",INDEX(GLAPS컨테이너배차관리!$CP:$CP,$B125)),GLAPS정리!$BI$2:$BI$101,0)),IF(INDEX(GLAPS컨테이너배차관리!$CP:$CP,$B125)="","",INDEX(GLAPS컨테이너배차관리!$CP:$CP,$B125)))))</f>
        <v/>
      </c>
      <c r="Q125" t="str">
        <f>IF($B125="","",IF(AND(IF(INDEX(GLAPS컨테이너배차관리!$AK:$AK,$B125)="","",INDEX(GLAPS컨테이너배차관리!$AK:$AK,$B125))="Y",IF(INDEX(GLAPS컨테이너배차관리!$AI:$AI,$B125)="","",INDEX(GLAPS컨테이너배차관리!$AI:$AI,$B125))="Y"),"위험물리퍼",IF(IF(INDEX(GLAPS컨테이너배차관리!$AK:$AK,$B125)="","",INDEX(GLAPS컨테이너배차관리!$AK:$AK,$B125))="Y","위험물",IF(IF(INDEX(GLAPS컨테이너배차관리!$AI:$AI,$B125)="","",INDEX(GLAPS컨테이너배차관리!$AI:$AI,$B125))="Y","리퍼",""))))</f>
        <v/>
      </c>
      <c r="R125" t="str">
        <f>IF($B125="","",IF(LEFT(IF(INDEX(GLAPS컨테이너배차관리!$Y:$Y,$B125)="","",INDEX(GLAPS컨테이너배차관리!$Y:$Y,$B125)),2)="22",1,""))</f>
        <v/>
      </c>
      <c r="S125" t="str">
        <f>IF($B125="","",IF(LEFT(IF(INDEX(GLAPS컨테이너배차관리!$Y:$Y,$B125)="","",INDEX(GLAPS컨테이너배차관리!$Y:$Y,$B125)),2)="42",1,""))</f>
        <v/>
      </c>
      <c r="T125" t="str">
        <f>IF($B125="","",IF(LEFT(IF(INDEX(GLAPS컨테이너배차관리!$Y:$Y,$B125)="","",INDEX(GLAPS컨테이너배차관리!$Y:$Y,$B125)),2)="45",1,""))</f>
        <v/>
      </c>
      <c r="U125" t="str">
        <f>IF($B125="","",IF(INDEX(GLAPS컨테이너배차관리!$X:$X,$B125)="","",INDEX(GLAPS컨테이너배차관리!$X:$X,$B125)))</f>
        <v/>
      </c>
      <c r="V125" t="str">
        <f>IF($B125="","",IF(INDEX(GLAPS컨테이너배차관리!$Z:$Z,$B125)="","",INDEX(GLAPS컨테이너배차관리!$Z:$Z,$B125)))</f>
        <v/>
      </c>
      <c r="W125" t="str">
        <f>IF($B125="","",IF(IF(INDEX(GLAPS컨테이너배차관리!$DI:$DI,$B125)="","",INDEX(GLAPS컨테이너배차관리!$DI:$DI,$B125))&lt;&gt;"",IF(INDEX(GLAPS컨테이너배차관리!$DI:$DI,$B125)="","",INDEX(GLAPS컨테이너배차관리!$DI:$DI,$B125)),IF(IF(INDEX(GLAPS컨테이너배차관리!$DJ:$DJ,$B125)="","",INDEX(GLAPS컨테이너배차관리!$DJ:$DJ,$B125))&lt;&gt;"",IF(INDEX(GLAPS컨테이너배차관리!$DJ:$DJ,$B125)="","",INDEX(GLAPS컨테이너배차관리!$DJ:$DJ,$B125)),IF(IF(INDEX(GLAPS컨테이너배차관리!$DK:$DK,$B125)="","",INDEX(GLAPS컨테이너배차관리!$DK:$DK,$B125))&lt;&gt;"",IF(INDEX(GLAPS컨테이너배차관리!$DK:$DK,$B125)="","",INDEX(GLAPS컨테이너배차관리!$DK:$DK,$B125)),IF(IF(INDEX(GLAPS컨테이너배차관리!$DL:$DL,$B125)="","",INDEX(GLAPS컨테이너배차관리!$DL:$DL,$B125))&lt;&gt;"",IF(INDEX(GLAPS컨테이너배차관리!$DL:$DL,$B125)="","",INDEX(GLAPS컨테이너배차관리!$DL:$DL,$B125)),IF(IF(INDEX(GLAPS컨테이너배차관리!$DM:$DM,$B125)="","",INDEX(GLAPS컨테이너배차관리!$DM:$DM,$B125))&lt;&gt;"",IF(INDEX(GLAPS컨테이너배차관리!$DM:$DM,$B125)="","",INDEX(GLAPS컨테이너배차관리!$DM:$DM,$B125)),""))))))</f>
        <v/>
      </c>
      <c r="X125" t="str">
        <f>IF($B125="","",IF(INDEX(GLAPS컨테이너배차관리!$F:$F,$B125)="","",INDEX(GLAPS컨테이너배차관리!$F:$F,$B125)))</f>
        <v/>
      </c>
      <c r="Y125" t="str">
        <f>IF($B125="","",IF(IF(INDEX(GLAPS컨테이너배차관리!$M:$M,$B125)="","",INDEX(GLAPS컨테이너배차관리!$M:$M,$B125))&lt;&gt;"",IF(INDEX(GLAPS컨테이너배차관리!$M:$M,$B125)="","",INDEX(GLAPS컨테이너배차관리!$M:$M,$B125)),IF(IF(INDEX(GLAPS컨테이너배차관리!$N:$N,$B125)="","",INDEX(GLAPS컨테이너배차관리!$N:$N,$B125))&lt;&gt;"",IF(INDEX(GLAPS컨테이너배차관리!$N:$N,$B125)="","",INDEX(GLAPS컨테이너배차관리!$N:$N,$B125)),"")))</f>
        <v/>
      </c>
      <c r="Z125" t="str">
        <f>IF($B125="","",IF(IF(INDEX(GLAPS컨테이너배차관리!$CU:$CU,$B125)="","",INDEX(GLAPS컨테이너배차관리!$CU:$CU,$B125))="","",IFERROR(INT(IF(INDEX(GLAPS컨테이너배차관리!$CU:$CU,$B125)="","",INDEX(GLAPS컨테이너배차관리!$CU:$CU,$B125))),"")))</f>
        <v/>
      </c>
      <c r="AA125" t="str">
        <f>IF($B125="","",IF(AND(IF(INDEX(GLAPS컨테이너배차관리!$CL:$CL,$B125)="","",INDEX(GLAPS컨테이너배차관리!$CL:$CL,$B125))="",IF(INDEX(GLAPS컨테이너배차관리!$CM:$CM,$B125)="","",INDEX(GLAPS컨테이너배차관리!$CM:$CM,$B125))=""),"",IF(OR(IF(INDEX(GLAPS컨테이너배차관리!$CL:$CL,$B125)="","",INDEX(GLAPS컨테이너배차관리!$CL:$CL,$B125))="B000016649",ISNUMBER(SEARCH("B015",IF(INDEX(GLAPS컨테이너배차관리!$CM:$CM,$B125)="","",INDEX(GLAPS컨테이너배차관리!$CM:$CM,$B125)))),ISNUMBER(SEARCH("세방",IF(INDEX(GLAPS컨테이너배차관리!$CM:$CM,$B125)="","",INDEX(GLAPS컨테이너배차관리!$CM:$CM,$B125)))),ISNUMBER(SEARCH("SB",IF(INDEX(GLAPS컨테이너배차관리!$CM:$CM,$B125)="","",INDEX(GLAPS컨테이너배차관리!$CM:$CM,$B125))))),"세방","")))</f>
        <v/>
      </c>
      <c r="AB125" t="str">
        <f>IF($B125="","",IF(IF(INDEX(GLAPS컨테이너배차관리!$CM:$CM,$B125)="","",INDEX(GLAPS컨테이너배차관리!$CM:$CM,$B125))="","",IF(ISNUMBER(SEARCH("이지스두동",IF(INDEX(GLAPS컨테이너배차관리!$CM:$CM,$B125)="","",INDEX(GLAPS컨테이너배차관리!$CM:$CM,$B125)))),"이지스두동",IF(ISNUMBER(SEARCH("이지스녹산",IF(INDEX(GLAPS컨테이너배차관리!$CM:$CM,$B125)="","",INDEX(GLAPS컨테이너배차관리!$CM:$CM,$B125)))),"이지스녹산",IF(ISNUMBER(SEARCH("천우",IF(INDEX(GLAPS컨테이너배차관리!$CM:$CM,$B125)="","",INDEX(GLAPS컨테이너배차관리!$CM:$CM,$B125)))),"천우",IF(OR(ISNUMBER(SEARCH("청암",IF(INDEX(GLAPS컨테이너배차관리!$CM:$CM,$B125)="","",INDEX(GLAPS컨테이너배차관리!$CM:$CM,$B125)))),ISNUMBER(SEARCH("SB청암",IF(INDEX(GLAPS컨테이너배차관리!$CM:$CM,$B125)="","",INDEX(GLAPS컨테이너배차관리!$CM:$CM,$B125))))),"청암신항",IF(INDEX(GLAPS컨테이너배차관리!$CM:$CM,$B125)="","",INDEX(GLAPS컨테이너배차관리!$CM:$CM,$B125))))))))</f>
        <v/>
      </c>
    </row>
    <row r="126" spans="1:28">
      <c r="A126">
        <v>125</v>
      </c>
      <c r="B126" t="str">
        <f>IFERROR(_xlfn.AGGREGATE(15,6,ROW(GLAPS컨테이너배차관리!$X$2:$X$20000)/(GLAPS컨테이너배차관리!$X$2:$X$20000&lt;&gt;""),A126),"")</f>
        <v/>
      </c>
      <c r="C126" t="str">
        <f>IF($B126="","",INT(IF(INDEX(GLAPS컨테이너배차관리!$K:$K,$B126)="","",INDEX(GLAPS컨테이너배차관리!$K:$K,$B126))))</f>
        <v/>
      </c>
      <c r="D126" t="str">
        <f>IF($B126="","",IF(ISNUMBER(SEARCH("이엘에스",IF(INDEX(GLAPS컨테이너배차관리!$AZ:$AZ,$B126)="","",INDEX(GLAPS컨테이너배차관리!$AZ:$AZ,$B126)))),"ELS솔루션",IF(INDEX(GLAPS컨테이너배차관리!$AZ:$AZ,$B126)="","",INDEX(GLAPS컨테이너배차관리!$AZ:$AZ,$B126))))</f>
        <v/>
      </c>
      <c r="E126" t="str">
        <f>IF($B126="","",IF(INDEX(GLAPS컨테이너배차관리!$L:$L,$B126)="","",INDEX(GLAPS컨테이너배차관리!$L:$L,$B126)))</f>
        <v/>
      </c>
      <c r="F126" t="str">
        <f>IF($B126="","",IF(HOUR(IF(INDEX(GLAPS컨테이너배차관리!$L:$L,$B126)="","",INDEX(GLAPS컨테이너배차관리!$L:$L,$B126)))&lt;12,"오전",IF(HOUR(IF(INDEX(GLAPS컨테이너배차관리!$L:$L,$B126)="","",INDEX(GLAPS컨테이너배차관리!$L:$L,$B126)))&lt;18,"오후","잔업")))</f>
        <v/>
      </c>
      <c r="G126" t="str">
        <f>IF($B126="","",IFERROR(INDEX(GLAPS정리!$G$3:$G$264,MATCH(IF(INDEX(GLAPS컨테이너배차관리!$BY:$BY,$B126)="","",INDEX(GLAPS컨테이너배차관리!$BY:$BY,$B126)),GLAPS정리!$H$3:$H$264,0)),TRIM(SUBSTITUTE(SUBSTITUTE(SUBSTITUTE(SUBSTITUTE(SUBSTITUTE(IF(INDEX(GLAPS컨테이너배차관리!$T:$T,$B126)="","",INDEX(GLAPS컨테이너배차관리!$T:$T,$B126)),"[GA]",""),"[GB]",""),"[GC]",""),"[KC]",""),"[GS]",""))))</f>
        <v/>
      </c>
      <c r="H126" t="str">
        <f>IF($B126="","",IFERROR(VLOOKUP(IF(INDEX(GLAPS컨테이너배차관리!$BY:$BY,$B126)="","",INDEX(GLAPS컨테이너배차관리!$BY:$BY,$B126)),GLAPS정리!$BT$3:$BV$200,3,0),""))</f>
        <v/>
      </c>
      <c r="I126" t="str">
        <f>IF($B126="","",LEFT(IF(INDEX(GLAPS컨테이너배차관리!$U:$U,$B126)="","",INDEX(GLAPS컨테이너배차관리!$U:$U,$B126)),FIND("/",IF(INDEX(GLAPS컨테이너배차관리!$U:$U,$B126)="","",INDEX(GLAPS컨테이너배차관리!$U:$U,$B126))&amp;"/")-1))</f>
        <v/>
      </c>
      <c r="J126" t="str">
        <f>IF($B126="","",IF(IF(INDEX(GLAPS컨테이너배차관리!$O:$O,$B126)="","",INDEX(GLAPS컨테이너배차관리!$O:$O,$B126))="EMC","EMA",IFERROR(INDEX(GLAPS정리!$A$2:$A$50,MATCH(IF(INDEX(GLAPS컨테이너배차관리!$O:$O,$B126)="","",INDEX(GLAPS컨테이너배차관리!$O:$O,$B126)),GLAPS정리!$D$2:$D$50,0)),IF(INDEX(GLAPS컨테이너배차관리!$O:$O,$B126)="","",INDEX(GLAPS컨테이너배차관리!$O:$O,$B126)))))</f>
        <v/>
      </c>
      <c r="K126" t="str">
        <f>IF($B126="","",IF(LEFT(IF(INDEX(GLAPS컨테이너배차관리!$Y:$Y,$B126)="","",INDEX(GLAPS컨테이너배차관리!$Y:$Y,$B126)),2)="22","20 Feet",IF(LEFT(IF(INDEX(GLAPS컨테이너배차관리!$Y:$Y,$B126)="","",INDEX(GLAPS컨테이너배차관리!$Y:$Y,$B126)),2)="42","40 Feet","40 Feet H")))</f>
        <v/>
      </c>
      <c r="L126" t="str">
        <f>IF($B126="","",IFERROR(INDEX(GLAPS정리!$BB$2:$BB$80,MATCH(IF(INDEX(GLAPS컨테이너배차관리!$BQ:$BQ,$B126)="","",INDEX(GLAPS컨테이너배차관리!$BQ:$BQ,$B126)),GLAPS정리!$BC$2:$BC$80,0)),IF(INDEX(GLAPS컨테이너배차관리!$BQ:$BQ,$B126)="","",INDEX(GLAPS컨테이너배차관리!$BQ:$BQ,$B126))))</f>
        <v/>
      </c>
      <c r="M126" t="str">
        <f>IF($B126="","",IFERROR(INDEX(GLAPS정리!$V$3:$V$180,MATCH(IF(INDEX(GLAPS컨테이너배차관리!$S:$S,$B126)="","",INDEX(GLAPS컨테이너배차관리!$S:$S,$B126)),GLAPS정리!$W$3:$W$180,0)),IF(INDEX(GLAPS컨테이너배차관리!$S:$S,$B126)="","",INDEX(GLAPS컨테이너배차관리!$S:$S,$B126))))</f>
        <v/>
      </c>
      <c r="N126" t="str">
        <f>IF($B126="","",IF(IF(INDEX(GLAPS컨테이너배차관리!$DF:$DF,$B126)="","",INDEX(GLAPS컨테이너배차관리!$DF:$DF,$B126))&lt;&gt;"",IF(INDEX(GLAPS컨테이너배차관리!$DF:$DF,$B126)="","",INDEX(GLAPS컨테이너배차관리!$DF:$DF,$B126)),IF(IF(INDEX(GLAPS컨테이너배차관리!$DG:$DG,$B126)="","",INDEX(GLAPS컨테이너배차관리!$DG:$DG,$B126))&lt;&gt;"",IF(INDEX(GLAPS컨테이너배차관리!$DG:$DG,$B126)="","",INDEX(GLAPS컨테이너배차관리!$DG:$DG,$B126)),"")))</f>
        <v/>
      </c>
      <c r="O126" t="str">
        <f>IF($B126="","",IF(INDEX(GLAPS컨테이너배차관리!$AB:$AB,$B126)="","",INDEX(GLAPS컨테이너배차관리!$AB:$AB,$B126)))</f>
        <v/>
      </c>
      <c r="P126" t="str">
        <f>IF($B126="","",IF(IF(INDEX(GLAPS컨테이너배차관리!$CP:$CP,$B126)="","",INDEX(GLAPS컨테이너배차관리!$CP:$CP,$B126))="","",IFERROR(INDEX(GLAPS정리!$BH$2:$BH$101,MATCH(IF(INDEX(GLAPS컨테이너배차관리!$CP:$CP,$B126)="","",INDEX(GLAPS컨테이너배차관리!$CP:$CP,$B126)),GLAPS정리!$BI$2:$BI$101,0)),IF(INDEX(GLAPS컨테이너배차관리!$CP:$CP,$B126)="","",INDEX(GLAPS컨테이너배차관리!$CP:$CP,$B126)))))</f>
        <v/>
      </c>
      <c r="Q126" t="str">
        <f>IF($B126="","",IF(AND(IF(INDEX(GLAPS컨테이너배차관리!$AK:$AK,$B126)="","",INDEX(GLAPS컨테이너배차관리!$AK:$AK,$B126))="Y",IF(INDEX(GLAPS컨테이너배차관리!$AI:$AI,$B126)="","",INDEX(GLAPS컨테이너배차관리!$AI:$AI,$B126))="Y"),"위험물리퍼",IF(IF(INDEX(GLAPS컨테이너배차관리!$AK:$AK,$B126)="","",INDEX(GLAPS컨테이너배차관리!$AK:$AK,$B126))="Y","위험물",IF(IF(INDEX(GLAPS컨테이너배차관리!$AI:$AI,$B126)="","",INDEX(GLAPS컨테이너배차관리!$AI:$AI,$B126))="Y","리퍼",""))))</f>
        <v/>
      </c>
      <c r="R126" t="str">
        <f>IF($B126="","",IF(LEFT(IF(INDEX(GLAPS컨테이너배차관리!$Y:$Y,$B126)="","",INDEX(GLAPS컨테이너배차관리!$Y:$Y,$B126)),2)="22",1,""))</f>
        <v/>
      </c>
      <c r="S126" t="str">
        <f>IF($B126="","",IF(LEFT(IF(INDEX(GLAPS컨테이너배차관리!$Y:$Y,$B126)="","",INDEX(GLAPS컨테이너배차관리!$Y:$Y,$B126)),2)="42",1,""))</f>
        <v/>
      </c>
      <c r="T126" t="str">
        <f>IF($B126="","",IF(LEFT(IF(INDEX(GLAPS컨테이너배차관리!$Y:$Y,$B126)="","",INDEX(GLAPS컨테이너배차관리!$Y:$Y,$B126)),2)="45",1,""))</f>
        <v/>
      </c>
      <c r="U126" t="str">
        <f>IF($B126="","",IF(INDEX(GLAPS컨테이너배차관리!$X:$X,$B126)="","",INDEX(GLAPS컨테이너배차관리!$X:$X,$B126)))</f>
        <v/>
      </c>
      <c r="V126" t="str">
        <f>IF($B126="","",IF(INDEX(GLAPS컨테이너배차관리!$Z:$Z,$B126)="","",INDEX(GLAPS컨테이너배차관리!$Z:$Z,$B126)))</f>
        <v/>
      </c>
      <c r="W126" t="str">
        <f>IF($B126="","",IF(IF(INDEX(GLAPS컨테이너배차관리!$DI:$DI,$B126)="","",INDEX(GLAPS컨테이너배차관리!$DI:$DI,$B126))&lt;&gt;"",IF(INDEX(GLAPS컨테이너배차관리!$DI:$DI,$B126)="","",INDEX(GLAPS컨테이너배차관리!$DI:$DI,$B126)),IF(IF(INDEX(GLAPS컨테이너배차관리!$DJ:$DJ,$B126)="","",INDEX(GLAPS컨테이너배차관리!$DJ:$DJ,$B126))&lt;&gt;"",IF(INDEX(GLAPS컨테이너배차관리!$DJ:$DJ,$B126)="","",INDEX(GLAPS컨테이너배차관리!$DJ:$DJ,$B126)),IF(IF(INDEX(GLAPS컨테이너배차관리!$DK:$DK,$B126)="","",INDEX(GLAPS컨테이너배차관리!$DK:$DK,$B126))&lt;&gt;"",IF(INDEX(GLAPS컨테이너배차관리!$DK:$DK,$B126)="","",INDEX(GLAPS컨테이너배차관리!$DK:$DK,$B126)),IF(IF(INDEX(GLAPS컨테이너배차관리!$DL:$DL,$B126)="","",INDEX(GLAPS컨테이너배차관리!$DL:$DL,$B126))&lt;&gt;"",IF(INDEX(GLAPS컨테이너배차관리!$DL:$DL,$B126)="","",INDEX(GLAPS컨테이너배차관리!$DL:$DL,$B126)),IF(IF(INDEX(GLAPS컨테이너배차관리!$DM:$DM,$B126)="","",INDEX(GLAPS컨테이너배차관리!$DM:$DM,$B126))&lt;&gt;"",IF(INDEX(GLAPS컨테이너배차관리!$DM:$DM,$B126)="","",INDEX(GLAPS컨테이너배차관리!$DM:$DM,$B126)),""))))))</f>
        <v/>
      </c>
      <c r="X126" t="str">
        <f>IF($B126="","",IF(INDEX(GLAPS컨테이너배차관리!$F:$F,$B126)="","",INDEX(GLAPS컨테이너배차관리!$F:$F,$B126)))</f>
        <v/>
      </c>
      <c r="Y126" t="str">
        <f>IF($B126="","",IF(IF(INDEX(GLAPS컨테이너배차관리!$M:$M,$B126)="","",INDEX(GLAPS컨테이너배차관리!$M:$M,$B126))&lt;&gt;"",IF(INDEX(GLAPS컨테이너배차관리!$M:$M,$B126)="","",INDEX(GLAPS컨테이너배차관리!$M:$M,$B126)),IF(IF(INDEX(GLAPS컨테이너배차관리!$N:$N,$B126)="","",INDEX(GLAPS컨테이너배차관리!$N:$N,$B126))&lt;&gt;"",IF(INDEX(GLAPS컨테이너배차관리!$N:$N,$B126)="","",INDEX(GLAPS컨테이너배차관리!$N:$N,$B126)),"")))</f>
        <v/>
      </c>
      <c r="Z126" t="str">
        <f>IF($B126="","",IF(IF(INDEX(GLAPS컨테이너배차관리!$CU:$CU,$B126)="","",INDEX(GLAPS컨테이너배차관리!$CU:$CU,$B126))="","",IFERROR(INT(IF(INDEX(GLAPS컨테이너배차관리!$CU:$CU,$B126)="","",INDEX(GLAPS컨테이너배차관리!$CU:$CU,$B126))),"")))</f>
        <v/>
      </c>
      <c r="AA126" t="str">
        <f>IF($B126="","",IF(AND(IF(INDEX(GLAPS컨테이너배차관리!$CL:$CL,$B126)="","",INDEX(GLAPS컨테이너배차관리!$CL:$CL,$B126))="",IF(INDEX(GLAPS컨테이너배차관리!$CM:$CM,$B126)="","",INDEX(GLAPS컨테이너배차관리!$CM:$CM,$B126))=""),"",IF(OR(IF(INDEX(GLAPS컨테이너배차관리!$CL:$CL,$B126)="","",INDEX(GLAPS컨테이너배차관리!$CL:$CL,$B126))="B000016649",ISNUMBER(SEARCH("B015",IF(INDEX(GLAPS컨테이너배차관리!$CM:$CM,$B126)="","",INDEX(GLAPS컨테이너배차관리!$CM:$CM,$B126)))),ISNUMBER(SEARCH("세방",IF(INDEX(GLAPS컨테이너배차관리!$CM:$CM,$B126)="","",INDEX(GLAPS컨테이너배차관리!$CM:$CM,$B126)))),ISNUMBER(SEARCH("SB",IF(INDEX(GLAPS컨테이너배차관리!$CM:$CM,$B126)="","",INDEX(GLAPS컨테이너배차관리!$CM:$CM,$B126))))),"세방","")))</f>
        <v/>
      </c>
      <c r="AB126" t="str">
        <f>IF($B126="","",IF(IF(INDEX(GLAPS컨테이너배차관리!$CM:$CM,$B126)="","",INDEX(GLAPS컨테이너배차관리!$CM:$CM,$B126))="","",IF(ISNUMBER(SEARCH("이지스두동",IF(INDEX(GLAPS컨테이너배차관리!$CM:$CM,$B126)="","",INDEX(GLAPS컨테이너배차관리!$CM:$CM,$B126)))),"이지스두동",IF(ISNUMBER(SEARCH("이지스녹산",IF(INDEX(GLAPS컨테이너배차관리!$CM:$CM,$B126)="","",INDEX(GLAPS컨테이너배차관리!$CM:$CM,$B126)))),"이지스녹산",IF(ISNUMBER(SEARCH("천우",IF(INDEX(GLAPS컨테이너배차관리!$CM:$CM,$B126)="","",INDEX(GLAPS컨테이너배차관리!$CM:$CM,$B126)))),"천우",IF(OR(ISNUMBER(SEARCH("청암",IF(INDEX(GLAPS컨테이너배차관리!$CM:$CM,$B126)="","",INDEX(GLAPS컨테이너배차관리!$CM:$CM,$B126)))),ISNUMBER(SEARCH("SB청암",IF(INDEX(GLAPS컨테이너배차관리!$CM:$CM,$B126)="","",INDEX(GLAPS컨테이너배차관리!$CM:$CM,$B126))))),"청암신항",IF(INDEX(GLAPS컨테이너배차관리!$CM:$CM,$B126)="","",INDEX(GLAPS컨테이너배차관리!$CM:$CM,$B126))))))))</f>
        <v/>
      </c>
    </row>
    <row r="127" spans="1:28">
      <c r="A127">
        <v>126</v>
      </c>
      <c r="B127" t="str">
        <f>IFERROR(_xlfn.AGGREGATE(15,6,ROW(GLAPS컨테이너배차관리!$X$2:$X$20000)/(GLAPS컨테이너배차관리!$X$2:$X$20000&lt;&gt;""),A127),"")</f>
        <v/>
      </c>
      <c r="C127" t="str">
        <f>IF($B127="","",INT(IF(INDEX(GLAPS컨테이너배차관리!$K:$K,$B127)="","",INDEX(GLAPS컨테이너배차관리!$K:$K,$B127))))</f>
        <v/>
      </c>
      <c r="D127" t="str">
        <f>IF($B127="","",IF(ISNUMBER(SEARCH("이엘에스",IF(INDEX(GLAPS컨테이너배차관리!$AZ:$AZ,$B127)="","",INDEX(GLAPS컨테이너배차관리!$AZ:$AZ,$B127)))),"ELS솔루션",IF(INDEX(GLAPS컨테이너배차관리!$AZ:$AZ,$B127)="","",INDEX(GLAPS컨테이너배차관리!$AZ:$AZ,$B127))))</f>
        <v/>
      </c>
      <c r="E127" t="str">
        <f>IF($B127="","",IF(INDEX(GLAPS컨테이너배차관리!$L:$L,$B127)="","",INDEX(GLAPS컨테이너배차관리!$L:$L,$B127)))</f>
        <v/>
      </c>
      <c r="F127" t="str">
        <f>IF($B127="","",IF(HOUR(IF(INDEX(GLAPS컨테이너배차관리!$L:$L,$B127)="","",INDEX(GLAPS컨테이너배차관리!$L:$L,$B127)))&lt;12,"오전",IF(HOUR(IF(INDEX(GLAPS컨테이너배차관리!$L:$L,$B127)="","",INDEX(GLAPS컨테이너배차관리!$L:$L,$B127)))&lt;18,"오후","잔업")))</f>
        <v/>
      </c>
      <c r="G127" t="str">
        <f>IF($B127="","",IFERROR(INDEX(GLAPS정리!$G$3:$G$264,MATCH(IF(INDEX(GLAPS컨테이너배차관리!$BY:$BY,$B127)="","",INDEX(GLAPS컨테이너배차관리!$BY:$BY,$B127)),GLAPS정리!$H$3:$H$264,0)),TRIM(SUBSTITUTE(SUBSTITUTE(SUBSTITUTE(SUBSTITUTE(SUBSTITUTE(IF(INDEX(GLAPS컨테이너배차관리!$T:$T,$B127)="","",INDEX(GLAPS컨테이너배차관리!$T:$T,$B127)),"[GA]",""),"[GB]",""),"[GC]",""),"[KC]",""),"[GS]",""))))</f>
        <v/>
      </c>
      <c r="H127" t="str">
        <f>IF($B127="","",IFERROR(VLOOKUP(IF(INDEX(GLAPS컨테이너배차관리!$BY:$BY,$B127)="","",INDEX(GLAPS컨테이너배차관리!$BY:$BY,$B127)),GLAPS정리!$BT$3:$BV$200,3,0),""))</f>
        <v/>
      </c>
      <c r="I127" t="str">
        <f>IF($B127="","",LEFT(IF(INDEX(GLAPS컨테이너배차관리!$U:$U,$B127)="","",INDEX(GLAPS컨테이너배차관리!$U:$U,$B127)),FIND("/",IF(INDEX(GLAPS컨테이너배차관리!$U:$U,$B127)="","",INDEX(GLAPS컨테이너배차관리!$U:$U,$B127))&amp;"/")-1))</f>
        <v/>
      </c>
      <c r="J127" t="str">
        <f>IF($B127="","",IF(IF(INDEX(GLAPS컨테이너배차관리!$O:$O,$B127)="","",INDEX(GLAPS컨테이너배차관리!$O:$O,$B127))="EMC","EMA",IFERROR(INDEX(GLAPS정리!$A$2:$A$50,MATCH(IF(INDEX(GLAPS컨테이너배차관리!$O:$O,$B127)="","",INDEX(GLAPS컨테이너배차관리!$O:$O,$B127)),GLAPS정리!$D$2:$D$50,0)),IF(INDEX(GLAPS컨테이너배차관리!$O:$O,$B127)="","",INDEX(GLAPS컨테이너배차관리!$O:$O,$B127)))))</f>
        <v/>
      </c>
      <c r="K127" t="str">
        <f>IF($B127="","",IF(LEFT(IF(INDEX(GLAPS컨테이너배차관리!$Y:$Y,$B127)="","",INDEX(GLAPS컨테이너배차관리!$Y:$Y,$B127)),2)="22","20 Feet",IF(LEFT(IF(INDEX(GLAPS컨테이너배차관리!$Y:$Y,$B127)="","",INDEX(GLAPS컨테이너배차관리!$Y:$Y,$B127)),2)="42","40 Feet","40 Feet H")))</f>
        <v/>
      </c>
      <c r="L127" t="str">
        <f>IF($B127="","",IFERROR(INDEX(GLAPS정리!$BB$2:$BB$80,MATCH(IF(INDEX(GLAPS컨테이너배차관리!$BQ:$BQ,$B127)="","",INDEX(GLAPS컨테이너배차관리!$BQ:$BQ,$B127)),GLAPS정리!$BC$2:$BC$80,0)),IF(INDEX(GLAPS컨테이너배차관리!$BQ:$BQ,$B127)="","",INDEX(GLAPS컨테이너배차관리!$BQ:$BQ,$B127))))</f>
        <v/>
      </c>
      <c r="M127" t="str">
        <f>IF($B127="","",IFERROR(INDEX(GLAPS정리!$V$3:$V$180,MATCH(IF(INDEX(GLAPS컨테이너배차관리!$S:$S,$B127)="","",INDEX(GLAPS컨테이너배차관리!$S:$S,$B127)),GLAPS정리!$W$3:$W$180,0)),IF(INDEX(GLAPS컨테이너배차관리!$S:$S,$B127)="","",INDEX(GLAPS컨테이너배차관리!$S:$S,$B127))))</f>
        <v/>
      </c>
      <c r="N127" t="str">
        <f>IF($B127="","",IF(IF(INDEX(GLAPS컨테이너배차관리!$DF:$DF,$B127)="","",INDEX(GLAPS컨테이너배차관리!$DF:$DF,$B127))&lt;&gt;"",IF(INDEX(GLAPS컨테이너배차관리!$DF:$DF,$B127)="","",INDEX(GLAPS컨테이너배차관리!$DF:$DF,$B127)),IF(IF(INDEX(GLAPS컨테이너배차관리!$DG:$DG,$B127)="","",INDEX(GLAPS컨테이너배차관리!$DG:$DG,$B127))&lt;&gt;"",IF(INDEX(GLAPS컨테이너배차관리!$DG:$DG,$B127)="","",INDEX(GLAPS컨테이너배차관리!$DG:$DG,$B127)),"")))</f>
        <v/>
      </c>
      <c r="O127" t="str">
        <f>IF($B127="","",IF(INDEX(GLAPS컨테이너배차관리!$AB:$AB,$B127)="","",INDEX(GLAPS컨테이너배차관리!$AB:$AB,$B127)))</f>
        <v/>
      </c>
      <c r="P127" t="str">
        <f>IF($B127="","",IF(IF(INDEX(GLAPS컨테이너배차관리!$CP:$CP,$B127)="","",INDEX(GLAPS컨테이너배차관리!$CP:$CP,$B127))="","",IFERROR(INDEX(GLAPS정리!$BH$2:$BH$101,MATCH(IF(INDEX(GLAPS컨테이너배차관리!$CP:$CP,$B127)="","",INDEX(GLAPS컨테이너배차관리!$CP:$CP,$B127)),GLAPS정리!$BI$2:$BI$101,0)),IF(INDEX(GLAPS컨테이너배차관리!$CP:$CP,$B127)="","",INDEX(GLAPS컨테이너배차관리!$CP:$CP,$B127)))))</f>
        <v/>
      </c>
      <c r="Q127" t="str">
        <f>IF($B127="","",IF(AND(IF(INDEX(GLAPS컨테이너배차관리!$AK:$AK,$B127)="","",INDEX(GLAPS컨테이너배차관리!$AK:$AK,$B127))="Y",IF(INDEX(GLAPS컨테이너배차관리!$AI:$AI,$B127)="","",INDEX(GLAPS컨테이너배차관리!$AI:$AI,$B127))="Y"),"위험물리퍼",IF(IF(INDEX(GLAPS컨테이너배차관리!$AK:$AK,$B127)="","",INDEX(GLAPS컨테이너배차관리!$AK:$AK,$B127))="Y","위험물",IF(IF(INDEX(GLAPS컨테이너배차관리!$AI:$AI,$B127)="","",INDEX(GLAPS컨테이너배차관리!$AI:$AI,$B127))="Y","리퍼",""))))</f>
        <v/>
      </c>
      <c r="R127" t="str">
        <f>IF($B127="","",IF(LEFT(IF(INDEX(GLAPS컨테이너배차관리!$Y:$Y,$B127)="","",INDEX(GLAPS컨테이너배차관리!$Y:$Y,$B127)),2)="22",1,""))</f>
        <v/>
      </c>
      <c r="S127" t="str">
        <f>IF($B127="","",IF(LEFT(IF(INDEX(GLAPS컨테이너배차관리!$Y:$Y,$B127)="","",INDEX(GLAPS컨테이너배차관리!$Y:$Y,$B127)),2)="42",1,""))</f>
        <v/>
      </c>
      <c r="T127" t="str">
        <f>IF($B127="","",IF(LEFT(IF(INDEX(GLAPS컨테이너배차관리!$Y:$Y,$B127)="","",INDEX(GLAPS컨테이너배차관리!$Y:$Y,$B127)),2)="45",1,""))</f>
        <v/>
      </c>
      <c r="U127" t="str">
        <f>IF($B127="","",IF(INDEX(GLAPS컨테이너배차관리!$X:$X,$B127)="","",INDEX(GLAPS컨테이너배차관리!$X:$X,$B127)))</f>
        <v/>
      </c>
      <c r="V127" t="str">
        <f>IF($B127="","",IF(INDEX(GLAPS컨테이너배차관리!$Z:$Z,$B127)="","",INDEX(GLAPS컨테이너배차관리!$Z:$Z,$B127)))</f>
        <v/>
      </c>
      <c r="W127" t="str">
        <f>IF($B127="","",IF(IF(INDEX(GLAPS컨테이너배차관리!$DI:$DI,$B127)="","",INDEX(GLAPS컨테이너배차관리!$DI:$DI,$B127))&lt;&gt;"",IF(INDEX(GLAPS컨테이너배차관리!$DI:$DI,$B127)="","",INDEX(GLAPS컨테이너배차관리!$DI:$DI,$B127)),IF(IF(INDEX(GLAPS컨테이너배차관리!$DJ:$DJ,$B127)="","",INDEX(GLAPS컨테이너배차관리!$DJ:$DJ,$B127))&lt;&gt;"",IF(INDEX(GLAPS컨테이너배차관리!$DJ:$DJ,$B127)="","",INDEX(GLAPS컨테이너배차관리!$DJ:$DJ,$B127)),IF(IF(INDEX(GLAPS컨테이너배차관리!$DK:$DK,$B127)="","",INDEX(GLAPS컨테이너배차관리!$DK:$DK,$B127))&lt;&gt;"",IF(INDEX(GLAPS컨테이너배차관리!$DK:$DK,$B127)="","",INDEX(GLAPS컨테이너배차관리!$DK:$DK,$B127)),IF(IF(INDEX(GLAPS컨테이너배차관리!$DL:$DL,$B127)="","",INDEX(GLAPS컨테이너배차관리!$DL:$DL,$B127))&lt;&gt;"",IF(INDEX(GLAPS컨테이너배차관리!$DL:$DL,$B127)="","",INDEX(GLAPS컨테이너배차관리!$DL:$DL,$B127)),IF(IF(INDEX(GLAPS컨테이너배차관리!$DM:$DM,$B127)="","",INDEX(GLAPS컨테이너배차관리!$DM:$DM,$B127))&lt;&gt;"",IF(INDEX(GLAPS컨테이너배차관리!$DM:$DM,$B127)="","",INDEX(GLAPS컨테이너배차관리!$DM:$DM,$B127)),""))))))</f>
        <v/>
      </c>
      <c r="X127" t="str">
        <f>IF($B127="","",IF(INDEX(GLAPS컨테이너배차관리!$F:$F,$B127)="","",INDEX(GLAPS컨테이너배차관리!$F:$F,$B127)))</f>
        <v/>
      </c>
      <c r="Y127" t="str">
        <f>IF($B127="","",IF(IF(INDEX(GLAPS컨테이너배차관리!$M:$M,$B127)="","",INDEX(GLAPS컨테이너배차관리!$M:$M,$B127))&lt;&gt;"",IF(INDEX(GLAPS컨테이너배차관리!$M:$M,$B127)="","",INDEX(GLAPS컨테이너배차관리!$M:$M,$B127)),IF(IF(INDEX(GLAPS컨테이너배차관리!$N:$N,$B127)="","",INDEX(GLAPS컨테이너배차관리!$N:$N,$B127))&lt;&gt;"",IF(INDEX(GLAPS컨테이너배차관리!$N:$N,$B127)="","",INDEX(GLAPS컨테이너배차관리!$N:$N,$B127)),"")))</f>
        <v/>
      </c>
      <c r="Z127" t="str">
        <f>IF($B127="","",IF(IF(INDEX(GLAPS컨테이너배차관리!$CU:$CU,$B127)="","",INDEX(GLAPS컨테이너배차관리!$CU:$CU,$B127))="","",IFERROR(INT(IF(INDEX(GLAPS컨테이너배차관리!$CU:$CU,$B127)="","",INDEX(GLAPS컨테이너배차관리!$CU:$CU,$B127))),"")))</f>
        <v/>
      </c>
      <c r="AA127" t="str">
        <f>IF($B127="","",IF(AND(IF(INDEX(GLAPS컨테이너배차관리!$CL:$CL,$B127)="","",INDEX(GLAPS컨테이너배차관리!$CL:$CL,$B127))="",IF(INDEX(GLAPS컨테이너배차관리!$CM:$CM,$B127)="","",INDEX(GLAPS컨테이너배차관리!$CM:$CM,$B127))=""),"",IF(OR(IF(INDEX(GLAPS컨테이너배차관리!$CL:$CL,$B127)="","",INDEX(GLAPS컨테이너배차관리!$CL:$CL,$B127))="B000016649",ISNUMBER(SEARCH("B015",IF(INDEX(GLAPS컨테이너배차관리!$CM:$CM,$B127)="","",INDEX(GLAPS컨테이너배차관리!$CM:$CM,$B127)))),ISNUMBER(SEARCH("세방",IF(INDEX(GLAPS컨테이너배차관리!$CM:$CM,$B127)="","",INDEX(GLAPS컨테이너배차관리!$CM:$CM,$B127)))),ISNUMBER(SEARCH("SB",IF(INDEX(GLAPS컨테이너배차관리!$CM:$CM,$B127)="","",INDEX(GLAPS컨테이너배차관리!$CM:$CM,$B127))))),"세방","")))</f>
        <v/>
      </c>
      <c r="AB127" t="str">
        <f>IF($B127="","",IF(IF(INDEX(GLAPS컨테이너배차관리!$CM:$CM,$B127)="","",INDEX(GLAPS컨테이너배차관리!$CM:$CM,$B127))="","",IF(ISNUMBER(SEARCH("이지스두동",IF(INDEX(GLAPS컨테이너배차관리!$CM:$CM,$B127)="","",INDEX(GLAPS컨테이너배차관리!$CM:$CM,$B127)))),"이지스두동",IF(ISNUMBER(SEARCH("이지스녹산",IF(INDEX(GLAPS컨테이너배차관리!$CM:$CM,$B127)="","",INDEX(GLAPS컨테이너배차관리!$CM:$CM,$B127)))),"이지스녹산",IF(ISNUMBER(SEARCH("천우",IF(INDEX(GLAPS컨테이너배차관리!$CM:$CM,$B127)="","",INDEX(GLAPS컨테이너배차관리!$CM:$CM,$B127)))),"천우",IF(OR(ISNUMBER(SEARCH("청암",IF(INDEX(GLAPS컨테이너배차관리!$CM:$CM,$B127)="","",INDEX(GLAPS컨테이너배차관리!$CM:$CM,$B127)))),ISNUMBER(SEARCH("SB청암",IF(INDEX(GLAPS컨테이너배차관리!$CM:$CM,$B127)="","",INDEX(GLAPS컨테이너배차관리!$CM:$CM,$B127))))),"청암신항",IF(INDEX(GLAPS컨테이너배차관리!$CM:$CM,$B127)="","",INDEX(GLAPS컨테이너배차관리!$CM:$CM,$B127))))))))</f>
        <v/>
      </c>
    </row>
    <row r="128" spans="1:28">
      <c r="A128">
        <v>127</v>
      </c>
      <c r="B128" t="str">
        <f>IFERROR(_xlfn.AGGREGATE(15,6,ROW(GLAPS컨테이너배차관리!$X$2:$X$20000)/(GLAPS컨테이너배차관리!$X$2:$X$20000&lt;&gt;""),A128),"")</f>
        <v/>
      </c>
      <c r="C128" t="str">
        <f>IF($B128="","",INT(IF(INDEX(GLAPS컨테이너배차관리!$K:$K,$B128)="","",INDEX(GLAPS컨테이너배차관리!$K:$K,$B128))))</f>
        <v/>
      </c>
      <c r="D128" t="str">
        <f>IF($B128="","",IF(ISNUMBER(SEARCH("이엘에스",IF(INDEX(GLAPS컨테이너배차관리!$AZ:$AZ,$B128)="","",INDEX(GLAPS컨테이너배차관리!$AZ:$AZ,$B128)))),"ELS솔루션",IF(INDEX(GLAPS컨테이너배차관리!$AZ:$AZ,$B128)="","",INDEX(GLAPS컨테이너배차관리!$AZ:$AZ,$B128))))</f>
        <v/>
      </c>
      <c r="E128" t="str">
        <f>IF($B128="","",IF(INDEX(GLAPS컨테이너배차관리!$L:$L,$B128)="","",INDEX(GLAPS컨테이너배차관리!$L:$L,$B128)))</f>
        <v/>
      </c>
      <c r="F128" t="str">
        <f>IF($B128="","",IF(HOUR(IF(INDEX(GLAPS컨테이너배차관리!$L:$L,$B128)="","",INDEX(GLAPS컨테이너배차관리!$L:$L,$B128)))&lt;12,"오전",IF(HOUR(IF(INDEX(GLAPS컨테이너배차관리!$L:$L,$B128)="","",INDEX(GLAPS컨테이너배차관리!$L:$L,$B128)))&lt;18,"오후","잔업")))</f>
        <v/>
      </c>
      <c r="G128" t="str">
        <f>IF($B128="","",IFERROR(INDEX(GLAPS정리!$G$3:$G$264,MATCH(IF(INDEX(GLAPS컨테이너배차관리!$BY:$BY,$B128)="","",INDEX(GLAPS컨테이너배차관리!$BY:$BY,$B128)),GLAPS정리!$H$3:$H$264,0)),TRIM(SUBSTITUTE(SUBSTITUTE(SUBSTITUTE(SUBSTITUTE(SUBSTITUTE(IF(INDEX(GLAPS컨테이너배차관리!$T:$T,$B128)="","",INDEX(GLAPS컨테이너배차관리!$T:$T,$B128)),"[GA]",""),"[GB]",""),"[GC]",""),"[KC]",""),"[GS]",""))))</f>
        <v/>
      </c>
      <c r="H128" t="str">
        <f>IF($B128="","",IFERROR(VLOOKUP(IF(INDEX(GLAPS컨테이너배차관리!$BY:$BY,$B128)="","",INDEX(GLAPS컨테이너배차관리!$BY:$BY,$B128)),GLAPS정리!$BT$3:$BV$200,3,0),""))</f>
        <v/>
      </c>
      <c r="I128" t="str">
        <f>IF($B128="","",LEFT(IF(INDEX(GLAPS컨테이너배차관리!$U:$U,$B128)="","",INDEX(GLAPS컨테이너배차관리!$U:$U,$B128)),FIND("/",IF(INDEX(GLAPS컨테이너배차관리!$U:$U,$B128)="","",INDEX(GLAPS컨테이너배차관리!$U:$U,$B128))&amp;"/")-1))</f>
        <v/>
      </c>
      <c r="J128" t="str">
        <f>IF($B128="","",IF(IF(INDEX(GLAPS컨테이너배차관리!$O:$O,$B128)="","",INDEX(GLAPS컨테이너배차관리!$O:$O,$B128))="EMC","EMA",IFERROR(INDEX(GLAPS정리!$A$2:$A$50,MATCH(IF(INDEX(GLAPS컨테이너배차관리!$O:$O,$B128)="","",INDEX(GLAPS컨테이너배차관리!$O:$O,$B128)),GLAPS정리!$D$2:$D$50,0)),IF(INDEX(GLAPS컨테이너배차관리!$O:$O,$B128)="","",INDEX(GLAPS컨테이너배차관리!$O:$O,$B128)))))</f>
        <v/>
      </c>
      <c r="K128" t="str">
        <f>IF($B128="","",IF(LEFT(IF(INDEX(GLAPS컨테이너배차관리!$Y:$Y,$B128)="","",INDEX(GLAPS컨테이너배차관리!$Y:$Y,$B128)),2)="22","20 Feet",IF(LEFT(IF(INDEX(GLAPS컨테이너배차관리!$Y:$Y,$B128)="","",INDEX(GLAPS컨테이너배차관리!$Y:$Y,$B128)),2)="42","40 Feet","40 Feet H")))</f>
        <v/>
      </c>
      <c r="L128" t="str">
        <f>IF($B128="","",IFERROR(INDEX(GLAPS정리!$BB$2:$BB$80,MATCH(IF(INDEX(GLAPS컨테이너배차관리!$BQ:$BQ,$B128)="","",INDEX(GLAPS컨테이너배차관리!$BQ:$BQ,$B128)),GLAPS정리!$BC$2:$BC$80,0)),IF(INDEX(GLAPS컨테이너배차관리!$BQ:$BQ,$B128)="","",INDEX(GLAPS컨테이너배차관리!$BQ:$BQ,$B128))))</f>
        <v/>
      </c>
      <c r="M128" t="str">
        <f>IF($B128="","",IFERROR(INDEX(GLAPS정리!$V$3:$V$180,MATCH(IF(INDEX(GLAPS컨테이너배차관리!$S:$S,$B128)="","",INDEX(GLAPS컨테이너배차관리!$S:$S,$B128)),GLAPS정리!$W$3:$W$180,0)),IF(INDEX(GLAPS컨테이너배차관리!$S:$S,$B128)="","",INDEX(GLAPS컨테이너배차관리!$S:$S,$B128))))</f>
        <v/>
      </c>
      <c r="N128" t="str">
        <f>IF($B128="","",IF(IF(INDEX(GLAPS컨테이너배차관리!$DF:$DF,$B128)="","",INDEX(GLAPS컨테이너배차관리!$DF:$DF,$B128))&lt;&gt;"",IF(INDEX(GLAPS컨테이너배차관리!$DF:$DF,$B128)="","",INDEX(GLAPS컨테이너배차관리!$DF:$DF,$B128)),IF(IF(INDEX(GLAPS컨테이너배차관리!$DG:$DG,$B128)="","",INDEX(GLAPS컨테이너배차관리!$DG:$DG,$B128))&lt;&gt;"",IF(INDEX(GLAPS컨테이너배차관리!$DG:$DG,$B128)="","",INDEX(GLAPS컨테이너배차관리!$DG:$DG,$B128)),"")))</f>
        <v/>
      </c>
      <c r="O128" t="str">
        <f>IF($B128="","",IF(INDEX(GLAPS컨테이너배차관리!$AB:$AB,$B128)="","",INDEX(GLAPS컨테이너배차관리!$AB:$AB,$B128)))</f>
        <v/>
      </c>
      <c r="P128" t="str">
        <f>IF($B128="","",IF(IF(INDEX(GLAPS컨테이너배차관리!$CP:$CP,$B128)="","",INDEX(GLAPS컨테이너배차관리!$CP:$CP,$B128))="","",IFERROR(INDEX(GLAPS정리!$BH$2:$BH$101,MATCH(IF(INDEX(GLAPS컨테이너배차관리!$CP:$CP,$B128)="","",INDEX(GLAPS컨테이너배차관리!$CP:$CP,$B128)),GLAPS정리!$BI$2:$BI$101,0)),IF(INDEX(GLAPS컨테이너배차관리!$CP:$CP,$B128)="","",INDEX(GLAPS컨테이너배차관리!$CP:$CP,$B128)))))</f>
        <v/>
      </c>
      <c r="Q128" t="str">
        <f>IF($B128="","",IF(AND(IF(INDEX(GLAPS컨테이너배차관리!$AK:$AK,$B128)="","",INDEX(GLAPS컨테이너배차관리!$AK:$AK,$B128))="Y",IF(INDEX(GLAPS컨테이너배차관리!$AI:$AI,$B128)="","",INDEX(GLAPS컨테이너배차관리!$AI:$AI,$B128))="Y"),"위험물리퍼",IF(IF(INDEX(GLAPS컨테이너배차관리!$AK:$AK,$B128)="","",INDEX(GLAPS컨테이너배차관리!$AK:$AK,$B128))="Y","위험물",IF(IF(INDEX(GLAPS컨테이너배차관리!$AI:$AI,$B128)="","",INDEX(GLAPS컨테이너배차관리!$AI:$AI,$B128))="Y","리퍼",""))))</f>
        <v/>
      </c>
      <c r="R128" t="str">
        <f>IF($B128="","",IF(LEFT(IF(INDEX(GLAPS컨테이너배차관리!$Y:$Y,$B128)="","",INDEX(GLAPS컨테이너배차관리!$Y:$Y,$B128)),2)="22",1,""))</f>
        <v/>
      </c>
      <c r="S128" t="str">
        <f>IF($B128="","",IF(LEFT(IF(INDEX(GLAPS컨테이너배차관리!$Y:$Y,$B128)="","",INDEX(GLAPS컨테이너배차관리!$Y:$Y,$B128)),2)="42",1,""))</f>
        <v/>
      </c>
      <c r="T128" t="str">
        <f>IF($B128="","",IF(LEFT(IF(INDEX(GLAPS컨테이너배차관리!$Y:$Y,$B128)="","",INDEX(GLAPS컨테이너배차관리!$Y:$Y,$B128)),2)="45",1,""))</f>
        <v/>
      </c>
      <c r="U128" t="str">
        <f>IF($B128="","",IF(INDEX(GLAPS컨테이너배차관리!$X:$X,$B128)="","",INDEX(GLAPS컨테이너배차관리!$X:$X,$B128)))</f>
        <v/>
      </c>
      <c r="V128" t="str">
        <f>IF($B128="","",IF(INDEX(GLAPS컨테이너배차관리!$Z:$Z,$B128)="","",INDEX(GLAPS컨테이너배차관리!$Z:$Z,$B128)))</f>
        <v/>
      </c>
      <c r="W128" t="str">
        <f>IF($B128="","",IF(IF(INDEX(GLAPS컨테이너배차관리!$DI:$DI,$B128)="","",INDEX(GLAPS컨테이너배차관리!$DI:$DI,$B128))&lt;&gt;"",IF(INDEX(GLAPS컨테이너배차관리!$DI:$DI,$B128)="","",INDEX(GLAPS컨테이너배차관리!$DI:$DI,$B128)),IF(IF(INDEX(GLAPS컨테이너배차관리!$DJ:$DJ,$B128)="","",INDEX(GLAPS컨테이너배차관리!$DJ:$DJ,$B128))&lt;&gt;"",IF(INDEX(GLAPS컨테이너배차관리!$DJ:$DJ,$B128)="","",INDEX(GLAPS컨테이너배차관리!$DJ:$DJ,$B128)),IF(IF(INDEX(GLAPS컨테이너배차관리!$DK:$DK,$B128)="","",INDEX(GLAPS컨테이너배차관리!$DK:$DK,$B128))&lt;&gt;"",IF(INDEX(GLAPS컨테이너배차관리!$DK:$DK,$B128)="","",INDEX(GLAPS컨테이너배차관리!$DK:$DK,$B128)),IF(IF(INDEX(GLAPS컨테이너배차관리!$DL:$DL,$B128)="","",INDEX(GLAPS컨테이너배차관리!$DL:$DL,$B128))&lt;&gt;"",IF(INDEX(GLAPS컨테이너배차관리!$DL:$DL,$B128)="","",INDEX(GLAPS컨테이너배차관리!$DL:$DL,$B128)),IF(IF(INDEX(GLAPS컨테이너배차관리!$DM:$DM,$B128)="","",INDEX(GLAPS컨테이너배차관리!$DM:$DM,$B128))&lt;&gt;"",IF(INDEX(GLAPS컨테이너배차관리!$DM:$DM,$B128)="","",INDEX(GLAPS컨테이너배차관리!$DM:$DM,$B128)),""))))))</f>
        <v/>
      </c>
      <c r="X128" t="str">
        <f>IF($B128="","",IF(INDEX(GLAPS컨테이너배차관리!$F:$F,$B128)="","",INDEX(GLAPS컨테이너배차관리!$F:$F,$B128)))</f>
        <v/>
      </c>
      <c r="Y128" t="str">
        <f>IF($B128="","",IF(IF(INDEX(GLAPS컨테이너배차관리!$M:$M,$B128)="","",INDEX(GLAPS컨테이너배차관리!$M:$M,$B128))&lt;&gt;"",IF(INDEX(GLAPS컨테이너배차관리!$M:$M,$B128)="","",INDEX(GLAPS컨테이너배차관리!$M:$M,$B128)),IF(IF(INDEX(GLAPS컨테이너배차관리!$N:$N,$B128)="","",INDEX(GLAPS컨테이너배차관리!$N:$N,$B128))&lt;&gt;"",IF(INDEX(GLAPS컨테이너배차관리!$N:$N,$B128)="","",INDEX(GLAPS컨테이너배차관리!$N:$N,$B128)),"")))</f>
        <v/>
      </c>
      <c r="Z128" t="str">
        <f>IF($B128="","",IF(IF(INDEX(GLAPS컨테이너배차관리!$CU:$CU,$B128)="","",INDEX(GLAPS컨테이너배차관리!$CU:$CU,$B128))="","",IFERROR(INT(IF(INDEX(GLAPS컨테이너배차관리!$CU:$CU,$B128)="","",INDEX(GLAPS컨테이너배차관리!$CU:$CU,$B128))),"")))</f>
        <v/>
      </c>
      <c r="AA128" t="str">
        <f>IF($B128="","",IF(AND(IF(INDEX(GLAPS컨테이너배차관리!$CL:$CL,$B128)="","",INDEX(GLAPS컨테이너배차관리!$CL:$CL,$B128))="",IF(INDEX(GLAPS컨테이너배차관리!$CM:$CM,$B128)="","",INDEX(GLAPS컨테이너배차관리!$CM:$CM,$B128))=""),"",IF(OR(IF(INDEX(GLAPS컨테이너배차관리!$CL:$CL,$B128)="","",INDEX(GLAPS컨테이너배차관리!$CL:$CL,$B128))="B000016649",ISNUMBER(SEARCH("B015",IF(INDEX(GLAPS컨테이너배차관리!$CM:$CM,$B128)="","",INDEX(GLAPS컨테이너배차관리!$CM:$CM,$B128)))),ISNUMBER(SEARCH("세방",IF(INDEX(GLAPS컨테이너배차관리!$CM:$CM,$B128)="","",INDEX(GLAPS컨테이너배차관리!$CM:$CM,$B128)))),ISNUMBER(SEARCH("SB",IF(INDEX(GLAPS컨테이너배차관리!$CM:$CM,$B128)="","",INDEX(GLAPS컨테이너배차관리!$CM:$CM,$B128))))),"세방","")))</f>
        <v/>
      </c>
      <c r="AB128" t="str">
        <f>IF($B128="","",IF(IF(INDEX(GLAPS컨테이너배차관리!$CM:$CM,$B128)="","",INDEX(GLAPS컨테이너배차관리!$CM:$CM,$B128))="","",IF(ISNUMBER(SEARCH("이지스두동",IF(INDEX(GLAPS컨테이너배차관리!$CM:$CM,$B128)="","",INDEX(GLAPS컨테이너배차관리!$CM:$CM,$B128)))),"이지스두동",IF(ISNUMBER(SEARCH("이지스녹산",IF(INDEX(GLAPS컨테이너배차관리!$CM:$CM,$B128)="","",INDEX(GLAPS컨테이너배차관리!$CM:$CM,$B128)))),"이지스녹산",IF(ISNUMBER(SEARCH("천우",IF(INDEX(GLAPS컨테이너배차관리!$CM:$CM,$B128)="","",INDEX(GLAPS컨테이너배차관리!$CM:$CM,$B128)))),"천우",IF(OR(ISNUMBER(SEARCH("청암",IF(INDEX(GLAPS컨테이너배차관리!$CM:$CM,$B128)="","",INDEX(GLAPS컨테이너배차관리!$CM:$CM,$B128)))),ISNUMBER(SEARCH("SB청암",IF(INDEX(GLAPS컨테이너배차관리!$CM:$CM,$B128)="","",INDEX(GLAPS컨테이너배차관리!$CM:$CM,$B128))))),"청암신항",IF(INDEX(GLAPS컨테이너배차관리!$CM:$CM,$B128)="","",INDEX(GLAPS컨테이너배차관리!$CM:$CM,$B128))))))))</f>
        <v/>
      </c>
    </row>
    <row r="129" spans="1:28">
      <c r="A129">
        <v>128</v>
      </c>
      <c r="B129" t="str">
        <f>IFERROR(_xlfn.AGGREGATE(15,6,ROW(GLAPS컨테이너배차관리!$X$2:$X$20000)/(GLAPS컨테이너배차관리!$X$2:$X$20000&lt;&gt;""),A129),"")</f>
        <v/>
      </c>
      <c r="C129" t="str">
        <f>IF($B129="","",INT(IF(INDEX(GLAPS컨테이너배차관리!$K:$K,$B129)="","",INDEX(GLAPS컨테이너배차관리!$K:$K,$B129))))</f>
        <v/>
      </c>
      <c r="D129" t="str">
        <f>IF($B129="","",IF(ISNUMBER(SEARCH("이엘에스",IF(INDEX(GLAPS컨테이너배차관리!$AZ:$AZ,$B129)="","",INDEX(GLAPS컨테이너배차관리!$AZ:$AZ,$B129)))),"ELS솔루션",IF(INDEX(GLAPS컨테이너배차관리!$AZ:$AZ,$B129)="","",INDEX(GLAPS컨테이너배차관리!$AZ:$AZ,$B129))))</f>
        <v/>
      </c>
      <c r="E129" t="str">
        <f>IF($B129="","",IF(INDEX(GLAPS컨테이너배차관리!$L:$L,$B129)="","",INDEX(GLAPS컨테이너배차관리!$L:$L,$B129)))</f>
        <v/>
      </c>
      <c r="F129" t="str">
        <f>IF($B129="","",IF(HOUR(IF(INDEX(GLAPS컨테이너배차관리!$L:$L,$B129)="","",INDEX(GLAPS컨테이너배차관리!$L:$L,$B129)))&lt;12,"오전",IF(HOUR(IF(INDEX(GLAPS컨테이너배차관리!$L:$L,$B129)="","",INDEX(GLAPS컨테이너배차관리!$L:$L,$B129)))&lt;18,"오후","잔업")))</f>
        <v/>
      </c>
      <c r="G129" t="str">
        <f>IF($B129="","",IFERROR(INDEX(GLAPS정리!$G$3:$G$264,MATCH(IF(INDEX(GLAPS컨테이너배차관리!$BY:$BY,$B129)="","",INDEX(GLAPS컨테이너배차관리!$BY:$BY,$B129)),GLAPS정리!$H$3:$H$264,0)),TRIM(SUBSTITUTE(SUBSTITUTE(SUBSTITUTE(SUBSTITUTE(SUBSTITUTE(IF(INDEX(GLAPS컨테이너배차관리!$T:$T,$B129)="","",INDEX(GLAPS컨테이너배차관리!$T:$T,$B129)),"[GA]",""),"[GB]",""),"[GC]",""),"[KC]",""),"[GS]",""))))</f>
        <v/>
      </c>
      <c r="H129" t="str">
        <f>IF($B129="","",IFERROR(VLOOKUP(IF(INDEX(GLAPS컨테이너배차관리!$BY:$BY,$B129)="","",INDEX(GLAPS컨테이너배차관리!$BY:$BY,$B129)),GLAPS정리!$BT$3:$BV$200,3,0),""))</f>
        <v/>
      </c>
      <c r="I129" t="str">
        <f>IF($B129="","",LEFT(IF(INDEX(GLAPS컨테이너배차관리!$U:$U,$B129)="","",INDEX(GLAPS컨테이너배차관리!$U:$U,$B129)),FIND("/",IF(INDEX(GLAPS컨테이너배차관리!$U:$U,$B129)="","",INDEX(GLAPS컨테이너배차관리!$U:$U,$B129))&amp;"/")-1))</f>
        <v/>
      </c>
      <c r="J129" t="str">
        <f>IF($B129="","",IF(IF(INDEX(GLAPS컨테이너배차관리!$O:$O,$B129)="","",INDEX(GLAPS컨테이너배차관리!$O:$O,$B129))="EMC","EMA",IFERROR(INDEX(GLAPS정리!$A$2:$A$50,MATCH(IF(INDEX(GLAPS컨테이너배차관리!$O:$O,$B129)="","",INDEX(GLAPS컨테이너배차관리!$O:$O,$B129)),GLAPS정리!$D$2:$D$50,0)),IF(INDEX(GLAPS컨테이너배차관리!$O:$O,$B129)="","",INDEX(GLAPS컨테이너배차관리!$O:$O,$B129)))))</f>
        <v/>
      </c>
      <c r="K129" t="str">
        <f>IF($B129="","",IF(LEFT(IF(INDEX(GLAPS컨테이너배차관리!$Y:$Y,$B129)="","",INDEX(GLAPS컨테이너배차관리!$Y:$Y,$B129)),2)="22","20 Feet",IF(LEFT(IF(INDEX(GLAPS컨테이너배차관리!$Y:$Y,$B129)="","",INDEX(GLAPS컨테이너배차관리!$Y:$Y,$B129)),2)="42","40 Feet","40 Feet H")))</f>
        <v/>
      </c>
      <c r="L129" t="str">
        <f>IF($B129="","",IFERROR(INDEX(GLAPS정리!$BB$2:$BB$80,MATCH(IF(INDEX(GLAPS컨테이너배차관리!$BQ:$BQ,$B129)="","",INDEX(GLAPS컨테이너배차관리!$BQ:$BQ,$B129)),GLAPS정리!$BC$2:$BC$80,0)),IF(INDEX(GLAPS컨테이너배차관리!$BQ:$BQ,$B129)="","",INDEX(GLAPS컨테이너배차관리!$BQ:$BQ,$B129))))</f>
        <v/>
      </c>
      <c r="M129" t="str">
        <f>IF($B129="","",IFERROR(INDEX(GLAPS정리!$V$3:$V$180,MATCH(IF(INDEX(GLAPS컨테이너배차관리!$S:$S,$B129)="","",INDEX(GLAPS컨테이너배차관리!$S:$S,$B129)),GLAPS정리!$W$3:$W$180,0)),IF(INDEX(GLAPS컨테이너배차관리!$S:$S,$B129)="","",INDEX(GLAPS컨테이너배차관리!$S:$S,$B129))))</f>
        <v/>
      </c>
      <c r="N129" t="str">
        <f>IF($B129="","",IF(IF(INDEX(GLAPS컨테이너배차관리!$DF:$DF,$B129)="","",INDEX(GLAPS컨테이너배차관리!$DF:$DF,$B129))&lt;&gt;"",IF(INDEX(GLAPS컨테이너배차관리!$DF:$DF,$B129)="","",INDEX(GLAPS컨테이너배차관리!$DF:$DF,$B129)),IF(IF(INDEX(GLAPS컨테이너배차관리!$DG:$DG,$B129)="","",INDEX(GLAPS컨테이너배차관리!$DG:$DG,$B129))&lt;&gt;"",IF(INDEX(GLAPS컨테이너배차관리!$DG:$DG,$B129)="","",INDEX(GLAPS컨테이너배차관리!$DG:$DG,$B129)),"")))</f>
        <v/>
      </c>
      <c r="O129" t="str">
        <f>IF($B129="","",IF(INDEX(GLAPS컨테이너배차관리!$AB:$AB,$B129)="","",INDEX(GLAPS컨테이너배차관리!$AB:$AB,$B129)))</f>
        <v/>
      </c>
      <c r="P129" t="str">
        <f>IF($B129="","",IF(IF(INDEX(GLAPS컨테이너배차관리!$CP:$CP,$B129)="","",INDEX(GLAPS컨테이너배차관리!$CP:$CP,$B129))="","",IFERROR(INDEX(GLAPS정리!$BH$2:$BH$101,MATCH(IF(INDEX(GLAPS컨테이너배차관리!$CP:$CP,$B129)="","",INDEX(GLAPS컨테이너배차관리!$CP:$CP,$B129)),GLAPS정리!$BI$2:$BI$101,0)),IF(INDEX(GLAPS컨테이너배차관리!$CP:$CP,$B129)="","",INDEX(GLAPS컨테이너배차관리!$CP:$CP,$B129)))))</f>
        <v/>
      </c>
      <c r="Q129" t="str">
        <f>IF($B129="","",IF(AND(IF(INDEX(GLAPS컨테이너배차관리!$AK:$AK,$B129)="","",INDEX(GLAPS컨테이너배차관리!$AK:$AK,$B129))="Y",IF(INDEX(GLAPS컨테이너배차관리!$AI:$AI,$B129)="","",INDEX(GLAPS컨테이너배차관리!$AI:$AI,$B129))="Y"),"위험물리퍼",IF(IF(INDEX(GLAPS컨테이너배차관리!$AK:$AK,$B129)="","",INDEX(GLAPS컨테이너배차관리!$AK:$AK,$B129))="Y","위험물",IF(IF(INDEX(GLAPS컨테이너배차관리!$AI:$AI,$B129)="","",INDEX(GLAPS컨테이너배차관리!$AI:$AI,$B129))="Y","리퍼",""))))</f>
        <v/>
      </c>
      <c r="R129" t="str">
        <f>IF($B129="","",IF(LEFT(IF(INDEX(GLAPS컨테이너배차관리!$Y:$Y,$B129)="","",INDEX(GLAPS컨테이너배차관리!$Y:$Y,$B129)),2)="22",1,""))</f>
        <v/>
      </c>
      <c r="S129" t="str">
        <f>IF($B129="","",IF(LEFT(IF(INDEX(GLAPS컨테이너배차관리!$Y:$Y,$B129)="","",INDEX(GLAPS컨테이너배차관리!$Y:$Y,$B129)),2)="42",1,""))</f>
        <v/>
      </c>
      <c r="T129" t="str">
        <f>IF($B129="","",IF(LEFT(IF(INDEX(GLAPS컨테이너배차관리!$Y:$Y,$B129)="","",INDEX(GLAPS컨테이너배차관리!$Y:$Y,$B129)),2)="45",1,""))</f>
        <v/>
      </c>
      <c r="U129" t="str">
        <f>IF($B129="","",IF(INDEX(GLAPS컨테이너배차관리!$X:$X,$B129)="","",INDEX(GLAPS컨테이너배차관리!$X:$X,$B129)))</f>
        <v/>
      </c>
      <c r="V129" t="str">
        <f>IF($B129="","",IF(INDEX(GLAPS컨테이너배차관리!$Z:$Z,$B129)="","",INDEX(GLAPS컨테이너배차관리!$Z:$Z,$B129)))</f>
        <v/>
      </c>
      <c r="W129" t="str">
        <f>IF($B129="","",IF(IF(INDEX(GLAPS컨테이너배차관리!$DI:$DI,$B129)="","",INDEX(GLAPS컨테이너배차관리!$DI:$DI,$B129))&lt;&gt;"",IF(INDEX(GLAPS컨테이너배차관리!$DI:$DI,$B129)="","",INDEX(GLAPS컨테이너배차관리!$DI:$DI,$B129)),IF(IF(INDEX(GLAPS컨테이너배차관리!$DJ:$DJ,$B129)="","",INDEX(GLAPS컨테이너배차관리!$DJ:$DJ,$B129))&lt;&gt;"",IF(INDEX(GLAPS컨테이너배차관리!$DJ:$DJ,$B129)="","",INDEX(GLAPS컨테이너배차관리!$DJ:$DJ,$B129)),IF(IF(INDEX(GLAPS컨테이너배차관리!$DK:$DK,$B129)="","",INDEX(GLAPS컨테이너배차관리!$DK:$DK,$B129))&lt;&gt;"",IF(INDEX(GLAPS컨테이너배차관리!$DK:$DK,$B129)="","",INDEX(GLAPS컨테이너배차관리!$DK:$DK,$B129)),IF(IF(INDEX(GLAPS컨테이너배차관리!$DL:$DL,$B129)="","",INDEX(GLAPS컨테이너배차관리!$DL:$DL,$B129))&lt;&gt;"",IF(INDEX(GLAPS컨테이너배차관리!$DL:$DL,$B129)="","",INDEX(GLAPS컨테이너배차관리!$DL:$DL,$B129)),IF(IF(INDEX(GLAPS컨테이너배차관리!$DM:$DM,$B129)="","",INDEX(GLAPS컨테이너배차관리!$DM:$DM,$B129))&lt;&gt;"",IF(INDEX(GLAPS컨테이너배차관리!$DM:$DM,$B129)="","",INDEX(GLAPS컨테이너배차관리!$DM:$DM,$B129)),""))))))</f>
        <v/>
      </c>
      <c r="X129" t="str">
        <f>IF($B129="","",IF(INDEX(GLAPS컨테이너배차관리!$F:$F,$B129)="","",INDEX(GLAPS컨테이너배차관리!$F:$F,$B129)))</f>
        <v/>
      </c>
      <c r="Y129" t="str">
        <f>IF($B129="","",IF(IF(INDEX(GLAPS컨테이너배차관리!$M:$M,$B129)="","",INDEX(GLAPS컨테이너배차관리!$M:$M,$B129))&lt;&gt;"",IF(INDEX(GLAPS컨테이너배차관리!$M:$M,$B129)="","",INDEX(GLAPS컨테이너배차관리!$M:$M,$B129)),IF(IF(INDEX(GLAPS컨테이너배차관리!$N:$N,$B129)="","",INDEX(GLAPS컨테이너배차관리!$N:$N,$B129))&lt;&gt;"",IF(INDEX(GLAPS컨테이너배차관리!$N:$N,$B129)="","",INDEX(GLAPS컨테이너배차관리!$N:$N,$B129)),"")))</f>
        <v/>
      </c>
      <c r="Z129" t="str">
        <f>IF($B129="","",IF(IF(INDEX(GLAPS컨테이너배차관리!$CU:$CU,$B129)="","",INDEX(GLAPS컨테이너배차관리!$CU:$CU,$B129))="","",IFERROR(INT(IF(INDEX(GLAPS컨테이너배차관리!$CU:$CU,$B129)="","",INDEX(GLAPS컨테이너배차관리!$CU:$CU,$B129))),"")))</f>
        <v/>
      </c>
      <c r="AA129" t="str">
        <f>IF($B129="","",IF(AND(IF(INDEX(GLAPS컨테이너배차관리!$CL:$CL,$B129)="","",INDEX(GLAPS컨테이너배차관리!$CL:$CL,$B129))="",IF(INDEX(GLAPS컨테이너배차관리!$CM:$CM,$B129)="","",INDEX(GLAPS컨테이너배차관리!$CM:$CM,$B129))=""),"",IF(OR(IF(INDEX(GLAPS컨테이너배차관리!$CL:$CL,$B129)="","",INDEX(GLAPS컨테이너배차관리!$CL:$CL,$B129))="B000016649",ISNUMBER(SEARCH("B015",IF(INDEX(GLAPS컨테이너배차관리!$CM:$CM,$B129)="","",INDEX(GLAPS컨테이너배차관리!$CM:$CM,$B129)))),ISNUMBER(SEARCH("세방",IF(INDEX(GLAPS컨테이너배차관리!$CM:$CM,$B129)="","",INDEX(GLAPS컨테이너배차관리!$CM:$CM,$B129)))),ISNUMBER(SEARCH("SB",IF(INDEX(GLAPS컨테이너배차관리!$CM:$CM,$B129)="","",INDEX(GLAPS컨테이너배차관리!$CM:$CM,$B129))))),"세방","")))</f>
        <v/>
      </c>
      <c r="AB129" t="str">
        <f>IF($B129="","",IF(IF(INDEX(GLAPS컨테이너배차관리!$CM:$CM,$B129)="","",INDEX(GLAPS컨테이너배차관리!$CM:$CM,$B129))="","",IF(ISNUMBER(SEARCH("이지스두동",IF(INDEX(GLAPS컨테이너배차관리!$CM:$CM,$B129)="","",INDEX(GLAPS컨테이너배차관리!$CM:$CM,$B129)))),"이지스두동",IF(ISNUMBER(SEARCH("이지스녹산",IF(INDEX(GLAPS컨테이너배차관리!$CM:$CM,$B129)="","",INDEX(GLAPS컨테이너배차관리!$CM:$CM,$B129)))),"이지스녹산",IF(ISNUMBER(SEARCH("천우",IF(INDEX(GLAPS컨테이너배차관리!$CM:$CM,$B129)="","",INDEX(GLAPS컨테이너배차관리!$CM:$CM,$B129)))),"천우",IF(OR(ISNUMBER(SEARCH("청암",IF(INDEX(GLAPS컨테이너배차관리!$CM:$CM,$B129)="","",INDEX(GLAPS컨테이너배차관리!$CM:$CM,$B129)))),ISNUMBER(SEARCH("SB청암",IF(INDEX(GLAPS컨테이너배차관리!$CM:$CM,$B129)="","",INDEX(GLAPS컨테이너배차관리!$CM:$CM,$B129))))),"청암신항",IF(INDEX(GLAPS컨테이너배차관리!$CM:$CM,$B129)="","",INDEX(GLAPS컨테이너배차관리!$CM:$CM,$B129))))))))</f>
        <v/>
      </c>
    </row>
    <row r="130" spans="1:28">
      <c r="A130">
        <v>129</v>
      </c>
      <c r="B130" t="str">
        <f>IFERROR(_xlfn.AGGREGATE(15,6,ROW(GLAPS컨테이너배차관리!$X$2:$X$20000)/(GLAPS컨테이너배차관리!$X$2:$X$20000&lt;&gt;""),A130),"")</f>
        <v/>
      </c>
      <c r="C130" t="str">
        <f>IF($B130="","",INT(IF(INDEX(GLAPS컨테이너배차관리!$K:$K,$B130)="","",INDEX(GLAPS컨테이너배차관리!$K:$K,$B130))))</f>
        <v/>
      </c>
      <c r="D130" t="str">
        <f>IF($B130="","",IF(ISNUMBER(SEARCH("이엘에스",IF(INDEX(GLAPS컨테이너배차관리!$AZ:$AZ,$B130)="","",INDEX(GLAPS컨테이너배차관리!$AZ:$AZ,$B130)))),"ELS솔루션",IF(INDEX(GLAPS컨테이너배차관리!$AZ:$AZ,$B130)="","",INDEX(GLAPS컨테이너배차관리!$AZ:$AZ,$B130))))</f>
        <v/>
      </c>
      <c r="E130" t="str">
        <f>IF($B130="","",IF(INDEX(GLAPS컨테이너배차관리!$L:$L,$B130)="","",INDEX(GLAPS컨테이너배차관리!$L:$L,$B130)))</f>
        <v/>
      </c>
      <c r="F130" t="str">
        <f>IF($B130="","",IF(HOUR(IF(INDEX(GLAPS컨테이너배차관리!$L:$L,$B130)="","",INDEX(GLAPS컨테이너배차관리!$L:$L,$B130)))&lt;12,"오전",IF(HOUR(IF(INDEX(GLAPS컨테이너배차관리!$L:$L,$B130)="","",INDEX(GLAPS컨테이너배차관리!$L:$L,$B130)))&lt;18,"오후","잔업")))</f>
        <v/>
      </c>
      <c r="G130" t="str">
        <f>IF($B130="","",IFERROR(INDEX(GLAPS정리!$G$3:$G$264,MATCH(IF(INDEX(GLAPS컨테이너배차관리!$BY:$BY,$B130)="","",INDEX(GLAPS컨테이너배차관리!$BY:$BY,$B130)),GLAPS정리!$H$3:$H$264,0)),TRIM(SUBSTITUTE(SUBSTITUTE(SUBSTITUTE(SUBSTITUTE(SUBSTITUTE(IF(INDEX(GLAPS컨테이너배차관리!$T:$T,$B130)="","",INDEX(GLAPS컨테이너배차관리!$T:$T,$B130)),"[GA]",""),"[GB]",""),"[GC]",""),"[KC]",""),"[GS]",""))))</f>
        <v/>
      </c>
      <c r="H130" t="str">
        <f>IF($B130="","",IFERROR(VLOOKUP(IF(INDEX(GLAPS컨테이너배차관리!$BY:$BY,$B130)="","",INDEX(GLAPS컨테이너배차관리!$BY:$BY,$B130)),GLAPS정리!$BT$3:$BV$200,3,0),""))</f>
        <v/>
      </c>
      <c r="I130" t="str">
        <f>IF($B130="","",LEFT(IF(INDEX(GLAPS컨테이너배차관리!$U:$U,$B130)="","",INDEX(GLAPS컨테이너배차관리!$U:$U,$B130)),FIND("/",IF(INDEX(GLAPS컨테이너배차관리!$U:$U,$B130)="","",INDEX(GLAPS컨테이너배차관리!$U:$U,$B130))&amp;"/")-1))</f>
        <v/>
      </c>
      <c r="J130" t="str">
        <f>IF($B130="","",IF(IF(INDEX(GLAPS컨테이너배차관리!$O:$O,$B130)="","",INDEX(GLAPS컨테이너배차관리!$O:$O,$B130))="EMC","EMA",IFERROR(INDEX(GLAPS정리!$A$2:$A$50,MATCH(IF(INDEX(GLAPS컨테이너배차관리!$O:$O,$B130)="","",INDEX(GLAPS컨테이너배차관리!$O:$O,$B130)),GLAPS정리!$D$2:$D$50,0)),IF(INDEX(GLAPS컨테이너배차관리!$O:$O,$B130)="","",INDEX(GLAPS컨테이너배차관리!$O:$O,$B130)))))</f>
        <v/>
      </c>
      <c r="K130" t="str">
        <f>IF($B130="","",IF(LEFT(IF(INDEX(GLAPS컨테이너배차관리!$Y:$Y,$B130)="","",INDEX(GLAPS컨테이너배차관리!$Y:$Y,$B130)),2)="22","20 Feet",IF(LEFT(IF(INDEX(GLAPS컨테이너배차관리!$Y:$Y,$B130)="","",INDEX(GLAPS컨테이너배차관리!$Y:$Y,$B130)),2)="42","40 Feet","40 Feet H")))</f>
        <v/>
      </c>
      <c r="L130" t="str">
        <f>IF($B130="","",IFERROR(INDEX(GLAPS정리!$BB$2:$BB$80,MATCH(IF(INDEX(GLAPS컨테이너배차관리!$BQ:$BQ,$B130)="","",INDEX(GLAPS컨테이너배차관리!$BQ:$BQ,$B130)),GLAPS정리!$BC$2:$BC$80,0)),IF(INDEX(GLAPS컨테이너배차관리!$BQ:$BQ,$B130)="","",INDEX(GLAPS컨테이너배차관리!$BQ:$BQ,$B130))))</f>
        <v/>
      </c>
      <c r="M130" t="str">
        <f>IF($B130="","",IFERROR(INDEX(GLAPS정리!$V$3:$V$180,MATCH(IF(INDEX(GLAPS컨테이너배차관리!$S:$S,$B130)="","",INDEX(GLAPS컨테이너배차관리!$S:$S,$B130)),GLAPS정리!$W$3:$W$180,0)),IF(INDEX(GLAPS컨테이너배차관리!$S:$S,$B130)="","",INDEX(GLAPS컨테이너배차관리!$S:$S,$B130))))</f>
        <v/>
      </c>
      <c r="N130" t="str">
        <f>IF($B130="","",IF(IF(INDEX(GLAPS컨테이너배차관리!$DF:$DF,$B130)="","",INDEX(GLAPS컨테이너배차관리!$DF:$DF,$B130))&lt;&gt;"",IF(INDEX(GLAPS컨테이너배차관리!$DF:$DF,$B130)="","",INDEX(GLAPS컨테이너배차관리!$DF:$DF,$B130)),IF(IF(INDEX(GLAPS컨테이너배차관리!$DG:$DG,$B130)="","",INDEX(GLAPS컨테이너배차관리!$DG:$DG,$B130))&lt;&gt;"",IF(INDEX(GLAPS컨테이너배차관리!$DG:$DG,$B130)="","",INDEX(GLAPS컨테이너배차관리!$DG:$DG,$B130)),"")))</f>
        <v/>
      </c>
      <c r="O130" t="str">
        <f>IF($B130="","",IF(INDEX(GLAPS컨테이너배차관리!$AB:$AB,$B130)="","",INDEX(GLAPS컨테이너배차관리!$AB:$AB,$B130)))</f>
        <v/>
      </c>
      <c r="P130" t="str">
        <f>IF($B130="","",IF(IF(INDEX(GLAPS컨테이너배차관리!$CP:$CP,$B130)="","",INDEX(GLAPS컨테이너배차관리!$CP:$CP,$B130))="","",IFERROR(INDEX(GLAPS정리!$BH$2:$BH$101,MATCH(IF(INDEX(GLAPS컨테이너배차관리!$CP:$CP,$B130)="","",INDEX(GLAPS컨테이너배차관리!$CP:$CP,$B130)),GLAPS정리!$BI$2:$BI$101,0)),IF(INDEX(GLAPS컨테이너배차관리!$CP:$CP,$B130)="","",INDEX(GLAPS컨테이너배차관리!$CP:$CP,$B130)))))</f>
        <v/>
      </c>
      <c r="Q130" t="str">
        <f>IF($B130="","",IF(AND(IF(INDEX(GLAPS컨테이너배차관리!$AK:$AK,$B130)="","",INDEX(GLAPS컨테이너배차관리!$AK:$AK,$B130))="Y",IF(INDEX(GLAPS컨테이너배차관리!$AI:$AI,$B130)="","",INDEX(GLAPS컨테이너배차관리!$AI:$AI,$B130))="Y"),"위험물리퍼",IF(IF(INDEX(GLAPS컨테이너배차관리!$AK:$AK,$B130)="","",INDEX(GLAPS컨테이너배차관리!$AK:$AK,$B130))="Y","위험물",IF(IF(INDEX(GLAPS컨테이너배차관리!$AI:$AI,$B130)="","",INDEX(GLAPS컨테이너배차관리!$AI:$AI,$B130))="Y","리퍼",""))))</f>
        <v/>
      </c>
      <c r="R130" t="str">
        <f>IF($B130="","",IF(LEFT(IF(INDEX(GLAPS컨테이너배차관리!$Y:$Y,$B130)="","",INDEX(GLAPS컨테이너배차관리!$Y:$Y,$B130)),2)="22",1,""))</f>
        <v/>
      </c>
      <c r="S130" t="str">
        <f>IF($B130="","",IF(LEFT(IF(INDEX(GLAPS컨테이너배차관리!$Y:$Y,$B130)="","",INDEX(GLAPS컨테이너배차관리!$Y:$Y,$B130)),2)="42",1,""))</f>
        <v/>
      </c>
      <c r="T130" t="str">
        <f>IF($B130="","",IF(LEFT(IF(INDEX(GLAPS컨테이너배차관리!$Y:$Y,$B130)="","",INDEX(GLAPS컨테이너배차관리!$Y:$Y,$B130)),2)="45",1,""))</f>
        <v/>
      </c>
      <c r="U130" t="str">
        <f>IF($B130="","",IF(INDEX(GLAPS컨테이너배차관리!$X:$X,$B130)="","",INDEX(GLAPS컨테이너배차관리!$X:$X,$B130)))</f>
        <v/>
      </c>
      <c r="V130" t="str">
        <f>IF($B130="","",IF(INDEX(GLAPS컨테이너배차관리!$Z:$Z,$B130)="","",INDEX(GLAPS컨테이너배차관리!$Z:$Z,$B130)))</f>
        <v/>
      </c>
      <c r="W130" t="str">
        <f>IF($B130="","",IF(IF(INDEX(GLAPS컨테이너배차관리!$DI:$DI,$B130)="","",INDEX(GLAPS컨테이너배차관리!$DI:$DI,$B130))&lt;&gt;"",IF(INDEX(GLAPS컨테이너배차관리!$DI:$DI,$B130)="","",INDEX(GLAPS컨테이너배차관리!$DI:$DI,$B130)),IF(IF(INDEX(GLAPS컨테이너배차관리!$DJ:$DJ,$B130)="","",INDEX(GLAPS컨테이너배차관리!$DJ:$DJ,$B130))&lt;&gt;"",IF(INDEX(GLAPS컨테이너배차관리!$DJ:$DJ,$B130)="","",INDEX(GLAPS컨테이너배차관리!$DJ:$DJ,$B130)),IF(IF(INDEX(GLAPS컨테이너배차관리!$DK:$DK,$B130)="","",INDEX(GLAPS컨테이너배차관리!$DK:$DK,$B130))&lt;&gt;"",IF(INDEX(GLAPS컨테이너배차관리!$DK:$DK,$B130)="","",INDEX(GLAPS컨테이너배차관리!$DK:$DK,$B130)),IF(IF(INDEX(GLAPS컨테이너배차관리!$DL:$DL,$B130)="","",INDEX(GLAPS컨테이너배차관리!$DL:$DL,$B130))&lt;&gt;"",IF(INDEX(GLAPS컨테이너배차관리!$DL:$DL,$B130)="","",INDEX(GLAPS컨테이너배차관리!$DL:$DL,$B130)),IF(IF(INDEX(GLAPS컨테이너배차관리!$DM:$DM,$B130)="","",INDEX(GLAPS컨테이너배차관리!$DM:$DM,$B130))&lt;&gt;"",IF(INDEX(GLAPS컨테이너배차관리!$DM:$DM,$B130)="","",INDEX(GLAPS컨테이너배차관리!$DM:$DM,$B130)),""))))))</f>
        <v/>
      </c>
      <c r="X130" t="str">
        <f>IF($B130="","",IF(INDEX(GLAPS컨테이너배차관리!$F:$F,$B130)="","",INDEX(GLAPS컨테이너배차관리!$F:$F,$B130)))</f>
        <v/>
      </c>
      <c r="Y130" t="str">
        <f>IF($B130="","",IF(IF(INDEX(GLAPS컨테이너배차관리!$M:$M,$B130)="","",INDEX(GLAPS컨테이너배차관리!$M:$M,$B130))&lt;&gt;"",IF(INDEX(GLAPS컨테이너배차관리!$M:$M,$B130)="","",INDEX(GLAPS컨테이너배차관리!$M:$M,$B130)),IF(IF(INDEX(GLAPS컨테이너배차관리!$N:$N,$B130)="","",INDEX(GLAPS컨테이너배차관리!$N:$N,$B130))&lt;&gt;"",IF(INDEX(GLAPS컨테이너배차관리!$N:$N,$B130)="","",INDEX(GLAPS컨테이너배차관리!$N:$N,$B130)),"")))</f>
        <v/>
      </c>
      <c r="Z130" t="str">
        <f>IF($B130="","",IF(IF(INDEX(GLAPS컨테이너배차관리!$CU:$CU,$B130)="","",INDEX(GLAPS컨테이너배차관리!$CU:$CU,$B130))="","",IFERROR(INT(IF(INDEX(GLAPS컨테이너배차관리!$CU:$CU,$B130)="","",INDEX(GLAPS컨테이너배차관리!$CU:$CU,$B130))),"")))</f>
        <v/>
      </c>
      <c r="AA130" t="str">
        <f>IF($B130="","",IF(AND(IF(INDEX(GLAPS컨테이너배차관리!$CL:$CL,$B130)="","",INDEX(GLAPS컨테이너배차관리!$CL:$CL,$B130))="",IF(INDEX(GLAPS컨테이너배차관리!$CM:$CM,$B130)="","",INDEX(GLAPS컨테이너배차관리!$CM:$CM,$B130))=""),"",IF(OR(IF(INDEX(GLAPS컨테이너배차관리!$CL:$CL,$B130)="","",INDEX(GLAPS컨테이너배차관리!$CL:$CL,$B130))="B000016649",ISNUMBER(SEARCH("B015",IF(INDEX(GLAPS컨테이너배차관리!$CM:$CM,$B130)="","",INDEX(GLAPS컨테이너배차관리!$CM:$CM,$B130)))),ISNUMBER(SEARCH("세방",IF(INDEX(GLAPS컨테이너배차관리!$CM:$CM,$B130)="","",INDEX(GLAPS컨테이너배차관리!$CM:$CM,$B130)))),ISNUMBER(SEARCH("SB",IF(INDEX(GLAPS컨테이너배차관리!$CM:$CM,$B130)="","",INDEX(GLAPS컨테이너배차관리!$CM:$CM,$B130))))),"세방","")))</f>
        <v/>
      </c>
      <c r="AB130" t="str">
        <f>IF($B130="","",IF(IF(INDEX(GLAPS컨테이너배차관리!$CM:$CM,$B130)="","",INDEX(GLAPS컨테이너배차관리!$CM:$CM,$B130))="","",IF(ISNUMBER(SEARCH("이지스두동",IF(INDEX(GLAPS컨테이너배차관리!$CM:$CM,$B130)="","",INDEX(GLAPS컨테이너배차관리!$CM:$CM,$B130)))),"이지스두동",IF(ISNUMBER(SEARCH("이지스녹산",IF(INDEX(GLAPS컨테이너배차관리!$CM:$CM,$B130)="","",INDEX(GLAPS컨테이너배차관리!$CM:$CM,$B130)))),"이지스녹산",IF(ISNUMBER(SEARCH("천우",IF(INDEX(GLAPS컨테이너배차관리!$CM:$CM,$B130)="","",INDEX(GLAPS컨테이너배차관리!$CM:$CM,$B130)))),"천우",IF(OR(ISNUMBER(SEARCH("청암",IF(INDEX(GLAPS컨테이너배차관리!$CM:$CM,$B130)="","",INDEX(GLAPS컨테이너배차관리!$CM:$CM,$B130)))),ISNUMBER(SEARCH("SB청암",IF(INDEX(GLAPS컨테이너배차관리!$CM:$CM,$B130)="","",INDEX(GLAPS컨테이너배차관리!$CM:$CM,$B130))))),"청암신항",IF(INDEX(GLAPS컨테이너배차관리!$CM:$CM,$B130)="","",INDEX(GLAPS컨테이너배차관리!$CM:$CM,$B130))))))))</f>
        <v/>
      </c>
    </row>
    <row r="131" spans="1:28">
      <c r="A131">
        <v>130</v>
      </c>
      <c r="B131" t="str">
        <f>IFERROR(_xlfn.AGGREGATE(15,6,ROW(GLAPS컨테이너배차관리!$X$2:$X$20000)/(GLAPS컨테이너배차관리!$X$2:$X$20000&lt;&gt;""),A131),"")</f>
        <v/>
      </c>
      <c r="C131" t="str">
        <f>IF($B131="","",INT(IF(INDEX(GLAPS컨테이너배차관리!$K:$K,$B131)="","",INDEX(GLAPS컨테이너배차관리!$K:$K,$B131))))</f>
        <v/>
      </c>
      <c r="D131" t="str">
        <f>IF($B131="","",IF(ISNUMBER(SEARCH("이엘에스",IF(INDEX(GLAPS컨테이너배차관리!$AZ:$AZ,$B131)="","",INDEX(GLAPS컨테이너배차관리!$AZ:$AZ,$B131)))),"ELS솔루션",IF(INDEX(GLAPS컨테이너배차관리!$AZ:$AZ,$B131)="","",INDEX(GLAPS컨테이너배차관리!$AZ:$AZ,$B131))))</f>
        <v/>
      </c>
      <c r="E131" t="str">
        <f>IF($B131="","",IF(INDEX(GLAPS컨테이너배차관리!$L:$L,$B131)="","",INDEX(GLAPS컨테이너배차관리!$L:$L,$B131)))</f>
        <v/>
      </c>
      <c r="F131" t="str">
        <f>IF($B131="","",IF(HOUR(IF(INDEX(GLAPS컨테이너배차관리!$L:$L,$B131)="","",INDEX(GLAPS컨테이너배차관리!$L:$L,$B131)))&lt;12,"오전",IF(HOUR(IF(INDEX(GLAPS컨테이너배차관리!$L:$L,$B131)="","",INDEX(GLAPS컨테이너배차관리!$L:$L,$B131)))&lt;18,"오후","잔업")))</f>
        <v/>
      </c>
      <c r="G131" t="str">
        <f>IF($B131="","",IFERROR(INDEX(GLAPS정리!$G$3:$G$264,MATCH(IF(INDEX(GLAPS컨테이너배차관리!$BY:$BY,$B131)="","",INDEX(GLAPS컨테이너배차관리!$BY:$BY,$B131)),GLAPS정리!$H$3:$H$264,0)),TRIM(SUBSTITUTE(SUBSTITUTE(SUBSTITUTE(SUBSTITUTE(SUBSTITUTE(IF(INDEX(GLAPS컨테이너배차관리!$T:$T,$B131)="","",INDEX(GLAPS컨테이너배차관리!$T:$T,$B131)),"[GA]",""),"[GB]",""),"[GC]",""),"[KC]",""),"[GS]",""))))</f>
        <v/>
      </c>
      <c r="H131" t="str">
        <f>IF($B131="","",IFERROR(VLOOKUP(IF(INDEX(GLAPS컨테이너배차관리!$BY:$BY,$B131)="","",INDEX(GLAPS컨테이너배차관리!$BY:$BY,$B131)),GLAPS정리!$BT$3:$BV$200,3,0),""))</f>
        <v/>
      </c>
      <c r="I131" t="str">
        <f>IF($B131="","",LEFT(IF(INDEX(GLAPS컨테이너배차관리!$U:$U,$B131)="","",INDEX(GLAPS컨테이너배차관리!$U:$U,$B131)),FIND("/",IF(INDEX(GLAPS컨테이너배차관리!$U:$U,$B131)="","",INDEX(GLAPS컨테이너배차관리!$U:$U,$B131))&amp;"/")-1))</f>
        <v/>
      </c>
      <c r="J131" t="str">
        <f>IF($B131="","",IF(IF(INDEX(GLAPS컨테이너배차관리!$O:$O,$B131)="","",INDEX(GLAPS컨테이너배차관리!$O:$O,$B131))="EMC","EMA",IFERROR(INDEX(GLAPS정리!$A$2:$A$50,MATCH(IF(INDEX(GLAPS컨테이너배차관리!$O:$O,$B131)="","",INDEX(GLAPS컨테이너배차관리!$O:$O,$B131)),GLAPS정리!$D$2:$D$50,0)),IF(INDEX(GLAPS컨테이너배차관리!$O:$O,$B131)="","",INDEX(GLAPS컨테이너배차관리!$O:$O,$B131)))))</f>
        <v/>
      </c>
      <c r="K131" t="str">
        <f>IF($B131="","",IF(LEFT(IF(INDEX(GLAPS컨테이너배차관리!$Y:$Y,$B131)="","",INDEX(GLAPS컨테이너배차관리!$Y:$Y,$B131)),2)="22","20 Feet",IF(LEFT(IF(INDEX(GLAPS컨테이너배차관리!$Y:$Y,$B131)="","",INDEX(GLAPS컨테이너배차관리!$Y:$Y,$B131)),2)="42","40 Feet","40 Feet H")))</f>
        <v/>
      </c>
      <c r="L131" t="str">
        <f>IF($B131="","",IFERROR(INDEX(GLAPS정리!$BB$2:$BB$80,MATCH(IF(INDEX(GLAPS컨테이너배차관리!$BQ:$BQ,$B131)="","",INDEX(GLAPS컨테이너배차관리!$BQ:$BQ,$B131)),GLAPS정리!$BC$2:$BC$80,0)),IF(INDEX(GLAPS컨테이너배차관리!$BQ:$BQ,$B131)="","",INDEX(GLAPS컨테이너배차관리!$BQ:$BQ,$B131))))</f>
        <v/>
      </c>
      <c r="M131" t="str">
        <f>IF($B131="","",IFERROR(INDEX(GLAPS정리!$V$3:$V$180,MATCH(IF(INDEX(GLAPS컨테이너배차관리!$S:$S,$B131)="","",INDEX(GLAPS컨테이너배차관리!$S:$S,$B131)),GLAPS정리!$W$3:$W$180,0)),IF(INDEX(GLAPS컨테이너배차관리!$S:$S,$B131)="","",INDEX(GLAPS컨테이너배차관리!$S:$S,$B131))))</f>
        <v/>
      </c>
      <c r="N131" t="str">
        <f>IF($B131="","",IF(IF(INDEX(GLAPS컨테이너배차관리!$DF:$DF,$B131)="","",INDEX(GLAPS컨테이너배차관리!$DF:$DF,$B131))&lt;&gt;"",IF(INDEX(GLAPS컨테이너배차관리!$DF:$DF,$B131)="","",INDEX(GLAPS컨테이너배차관리!$DF:$DF,$B131)),IF(IF(INDEX(GLAPS컨테이너배차관리!$DG:$DG,$B131)="","",INDEX(GLAPS컨테이너배차관리!$DG:$DG,$B131))&lt;&gt;"",IF(INDEX(GLAPS컨테이너배차관리!$DG:$DG,$B131)="","",INDEX(GLAPS컨테이너배차관리!$DG:$DG,$B131)),"")))</f>
        <v/>
      </c>
      <c r="O131" t="str">
        <f>IF($B131="","",IF(INDEX(GLAPS컨테이너배차관리!$AB:$AB,$B131)="","",INDEX(GLAPS컨테이너배차관리!$AB:$AB,$B131)))</f>
        <v/>
      </c>
      <c r="P131" t="str">
        <f>IF($B131="","",IF(IF(INDEX(GLAPS컨테이너배차관리!$CP:$CP,$B131)="","",INDEX(GLAPS컨테이너배차관리!$CP:$CP,$B131))="","",IFERROR(INDEX(GLAPS정리!$BH$2:$BH$101,MATCH(IF(INDEX(GLAPS컨테이너배차관리!$CP:$CP,$B131)="","",INDEX(GLAPS컨테이너배차관리!$CP:$CP,$B131)),GLAPS정리!$BI$2:$BI$101,0)),IF(INDEX(GLAPS컨테이너배차관리!$CP:$CP,$B131)="","",INDEX(GLAPS컨테이너배차관리!$CP:$CP,$B131)))))</f>
        <v/>
      </c>
      <c r="Q131" t="str">
        <f>IF($B131="","",IF(AND(IF(INDEX(GLAPS컨테이너배차관리!$AK:$AK,$B131)="","",INDEX(GLAPS컨테이너배차관리!$AK:$AK,$B131))="Y",IF(INDEX(GLAPS컨테이너배차관리!$AI:$AI,$B131)="","",INDEX(GLAPS컨테이너배차관리!$AI:$AI,$B131))="Y"),"위험물리퍼",IF(IF(INDEX(GLAPS컨테이너배차관리!$AK:$AK,$B131)="","",INDEX(GLAPS컨테이너배차관리!$AK:$AK,$B131))="Y","위험물",IF(IF(INDEX(GLAPS컨테이너배차관리!$AI:$AI,$B131)="","",INDEX(GLAPS컨테이너배차관리!$AI:$AI,$B131))="Y","리퍼",""))))</f>
        <v/>
      </c>
      <c r="R131" t="str">
        <f>IF($B131="","",IF(LEFT(IF(INDEX(GLAPS컨테이너배차관리!$Y:$Y,$B131)="","",INDEX(GLAPS컨테이너배차관리!$Y:$Y,$B131)),2)="22",1,""))</f>
        <v/>
      </c>
      <c r="S131" t="str">
        <f>IF($B131="","",IF(LEFT(IF(INDEX(GLAPS컨테이너배차관리!$Y:$Y,$B131)="","",INDEX(GLAPS컨테이너배차관리!$Y:$Y,$B131)),2)="42",1,""))</f>
        <v/>
      </c>
      <c r="T131" t="str">
        <f>IF($B131="","",IF(LEFT(IF(INDEX(GLAPS컨테이너배차관리!$Y:$Y,$B131)="","",INDEX(GLAPS컨테이너배차관리!$Y:$Y,$B131)),2)="45",1,""))</f>
        <v/>
      </c>
      <c r="U131" t="str">
        <f>IF($B131="","",IF(INDEX(GLAPS컨테이너배차관리!$X:$X,$B131)="","",INDEX(GLAPS컨테이너배차관리!$X:$X,$B131)))</f>
        <v/>
      </c>
      <c r="V131" t="str">
        <f>IF($B131="","",IF(INDEX(GLAPS컨테이너배차관리!$Z:$Z,$B131)="","",INDEX(GLAPS컨테이너배차관리!$Z:$Z,$B131)))</f>
        <v/>
      </c>
      <c r="W131" t="str">
        <f>IF($B131="","",IF(IF(INDEX(GLAPS컨테이너배차관리!$DI:$DI,$B131)="","",INDEX(GLAPS컨테이너배차관리!$DI:$DI,$B131))&lt;&gt;"",IF(INDEX(GLAPS컨테이너배차관리!$DI:$DI,$B131)="","",INDEX(GLAPS컨테이너배차관리!$DI:$DI,$B131)),IF(IF(INDEX(GLAPS컨테이너배차관리!$DJ:$DJ,$B131)="","",INDEX(GLAPS컨테이너배차관리!$DJ:$DJ,$B131))&lt;&gt;"",IF(INDEX(GLAPS컨테이너배차관리!$DJ:$DJ,$B131)="","",INDEX(GLAPS컨테이너배차관리!$DJ:$DJ,$B131)),IF(IF(INDEX(GLAPS컨테이너배차관리!$DK:$DK,$B131)="","",INDEX(GLAPS컨테이너배차관리!$DK:$DK,$B131))&lt;&gt;"",IF(INDEX(GLAPS컨테이너배차관리!$DK:$DK,$B131)="","",INDEX(GLAPS컨테이너배차관리!$DK:$DK,$B131)),IF(IF(INDEX(GLAPS컨테이너배차관리!$DL:$DL,$B131)="","",INDEX(GLAPS컨테이너배차관리!$DL:$DL,$B131))&lt;&gt;"",IF(INDEX(GLAPS컨테이너배차관리!$DL:$DL,$B131)="","",INDEX(GLAPS컨테이너배차관리!$DL:$DL,$B131)),IF(IF(INDEX(GLAPS컨테이너배차관리!$DM:$DM,$B131)="","",INDEX(GLAPS컨테이너배차관리!$DM:$DM,$B131))&lt;&gt;"",IF(INDEX(GLAPS컨테이너배차관리!$DM:$DM,$B131)="","",INDEX(GLAPS컨테이너배차관리!$DM:$DM,$B131)),""))))))</f>
        <v/>
      </c>
      <c r="X131" t="str">
        <f>IF($B131="","",IF(INDEX(GLAPS컨테이너배차관리!$F:$F,$B131)="","",INDEX(GLAPS컨테이너배차관리!$F:$F,$B131)))</f>
        <v/>
      </c>
      <c r="Y131" t="str">
        <f>IF($B131="","",IF(IF(INDEX(GLAPS컨테이너배차관리!$M:$M,$B131)="","",INDEX(GLAPS컨테이너배차관리!$M:$M,$B131))&lt;&gt;"",IF(INDEX(GLAPS컨테이너배차관리!$M:$M,$B131)="","",INDEX(GLAPS컨테이너배차관리!$M:$M,$B131)),IF(IF(INDEX(GLAPS컨테이너배차관리!$N:$N,$B131)="","",INDEX(GLAPS컨테이너배차관리!$N:$N,$B131))&lt;&gt;"",IF(INDEX(GLAPS컨테이너배차관리!$N:$N,$B131)="","",INDEX(GLAPS컨테이너배차관리!$N:$N,$B131)),"")))</f>
        <v/>
      </c>
      <c r="Z131" t="str">
        <f>IF($B131="","",IF(IF(INDEX(GLAPS컨테이너배차관리!$CU:$CU,$B131)="","",INDEX(GLAPS컨테이너배차관리!$CU:$CU,$B131))="","",IFERROR(INT(IF(INDEX(GLAPS컨테이너배차관리!$CU:$CU,$B131)="","",INDEX(GLAPS컨테이너배차관리!$CU:$CU,$B131))),"")))</f>
        <v/>
      </c>
      <c r="AA131" t="str">
        <f>IF($B131="","",IF(AND(IF(INDEX(GLAPS컨테이너배차관리!$CL:$CL,$B131)="","",INDEX(GLAPS컨테이너배차관리!$CL:$CL,$B131))="",IF(INDEX(GLAPS컨테이너배차관리!$CM:$CM,$B131)="","",INDEX(GLAPS컨테이너배차관리!$CM:$CM,$B131))=""),"",IF(OR(IF(INDEX(GLAPS컨테이너배차관리!$CL:$CL,$B131)="","",INDEX(GLAPS컨테이너배차관리!$CL:$CL,$B131))="B000016649",ISNUMBER(SEARCH("B015",IF(INDEX(GLAPS컨테이너배차관리!$CM:$CM,$B131)="","",INDEX(GLAPS컨테이너배차관리!$CM:$CM,$B131)))),ISNUMBER(SEARCH("세방",IF(INDEX(GLAPS컨테이너배차관리!$CM:$CM,$B131)="","",INDEX(GLAPS컨테이너배차관리!$CM:$CM,$B131)))),ISNUMBER(SEARCH("SB",IF(INDEX(GLAPS컨테이너배차관리!$CM:$CM,$B131)="","",INDEX(GLAPS컨테이너배차관리!$CM:$CM,$B131))))),"세방","")))</f>
        <v/>
      </c>
      <c r="AB131" t="str">
        <f>IF($B131="","",IF(IF(INDEX(GLAPS컨테이너배차관리!$CM:$CM,$B131)="","",INDEX(GLAPS컨테이너배차관리!$CM:$CM,$B131))="","",IF(ISNUMBER(SEARCH("이지스두동",IF(INDEX(GLAPS컨테이너배차관리!$CM:$CM,$B131)="","",INDEX(GLAPS컨테이너배차관리!$CM:$CM,$B131)))),"이지스두동",IF(ISNUMBER(SEARCH("이지스녹산",IF(INDEX(GLAPS컨테이너배차관리!$CM:$CM,$B131)="","",INDEX(GLAPS컨테이너배차관리!$CM:$CM,$B131)))),"이지스녹산",IF(ISNUMBER(SEARCH("천우",IF(INDEX(GLAPS컨테이너배차관리!$CM:$CM,$B131)="","",INDEX(GLAPS컨테이너배차관리!$CM:$CM,$B131)))),"천우",IF(OR(ISNUMBER(SEARCH("청암",IF(INDEX(GLAPS컨테이너배차관리!$CM:$CM,$B131)="","",INDEX(GLAPS컨테이너배차관리!$CM:$CM,$B131)))),ISNUMBER(SEARCH("SB청암",IF(INDEX(GLAPS컨테이너배차관리!$CM:$CM,$B131)="","",INDEX(GLAPS컨테이너배차관리!$CM:$CM,$B131))))),"청암신항",IF(INDEX(GLAPS컨테이너배차관리!$CM:$CM,$B131)="","",INDEX(GLAPS컨테이너배차관리!$CM:$CM,$B131))))))))</f>
        <v/>
      </c>
    </row>
    <row r="132" spans="1:28">
      <c r="A132">
        <v>131</v>
      </c>
      <c r="B132" t="str">
        <f>IFERROR(_xlfn.AGGREGATE(15,6,ROW(GLAPS컨테이너배차관리!$X$2:$X$20000)/(GLAPS컨테이너배차관리!$X$2:$X$20000&lt;&gt;""),A132),"")</f>
        <v/>
      </c>
      <c r="C132" t="str">
        <f>IF($B132="","",INT(IF(INDEX(GLAPS컨테이너배차관리!$K:$K,$B132)="","",INDEX(GLAPS컨테이너배차관리!$K:$K,$B132))))</f>
        <v/>
      </c>
      <c r="D132" t="str">
        <f>IF($B132="","",IF(ISNUMBER(SEARCH("이엘에스",IF(INDEX(GLAPS컨테이너배차관리!$AZ:$AZ,$B132)="","",INDEX(GLAPS컨테이너배차관리!$AZ:$AZ,$B132)))),"ELS솔루션",IF(INDEX(GLAPS컨테이너배차관리!$AZ:$AZ,$B132)="","",INDEX(GLAPS컨테이너배차관리!$AZ:$AZ,$B132))))</f>
        <v/>
      </c>
      <c r="E132" t="str">
        <f>IF($B132="","",IF(INDEX(GLAPS컨테이너배차관리!$L:$L,$B132)="","",INDEX(GLAPS컨테이너배차관리!$L:$L,$B132)))</f>
        <v/>
      </c>
      <c r="F132" t="str">
        <f>IF($B132="","",IF(HOUR(IF(INDEX(GLAPS컨테이너배차관리!$L:$L,$B132)="","",INDEX(GLAPS컨테이너배차관리!$L:$L,$B132)))&lt;12,"오전",IF(HOUR(IF(INDEX(GLAPS컨테이너배차관리!$L:$L,$B132)="","",INDEX(GLAPS컨테이너배차관리!$L:$L,$B132)))&lt;18,"오후","잔업")))</f>
        <v/>
      </c>
      <c r="G132" t="str">
        <f>IF($B132="","",IFERROR(INDEX(GLAPS정리!$G$3:$G$264,MATCH(IF(INDEX(GLAPS컨테이너배차관리!$BY:$BY,$B132)="","",INDEX(GLAPS컨테이너배차관리!$BY:$BY,$B132)),GLAPS정리!$H$3:$H$264,0)),TRIM(SUBSTITUTE(SUBSTITUTE(SUBSTITUTE(SUBSTITUTE(SUBSTITUTE(IF(INDEX(GLAPS컨테이너배차관리!$T:$T,$B132)="","",INDEX(GLAPS컨테이너배차관리!$T:$T,$B132)),"[GA]",""),"[GB]",""),"[GC]",""),"[KC]",""),"[GS]",""))))</f>
        <v/>
      </c>
      <c r="H132" t="str">
        <f>IF($B132="","",IFERROR(VLOOKUP(IF(INDEX(GLAPS컨테이너배차관리!$BY:$BY,$B132)="","",INDEX(GLAPS컨테이너배차관리!$BY:$BY,$B132)),GLAPS정리!$BT$3:$BV$200,3,0),""))</f>
        <v/>
      </c>
      <c r="I132" t="str">
        <f>IF($B132="","",LEFT(IF(INDEX(GLAPS컨테이너배차관리!$U:$U,$B132)="","",INDEX(GLAPS컨테이너배차관리!$U:$U,$B132)),FIND("/",IF(INDEX(GLAPS컨테이너배차관리!$U:$U,$B132)="","",INDEX(GLAPS컨테이너배차관리!$U:$U,$B132))&amp;"/")-1))</f>
        <v/>
      </c>
      <c r="J132" t="str">
        <f>IF($B132="","",IF(IF(INDEX(GLAPS컨테이너배차관리!$O:$O,$B132)="","",INDEX(GLAPS컨테이너배차관리!$O:$O,$B132))="EMC","EMA",IFERROR(INDEX(GLAPS정리!$A$2:$A$50,MATCH(IF(INDEX(GLAPS컨테이너배차관리!$O:$O,$B132)="","",INDEX(GLAPS컨테이너배차관리!$O:$O,$B132)),GLAPS정리!$D$2:$D$50,0)),IF(INDEX(GLAPS컨테이너배차관리!$O:$O,$B132)="","",INDEX(GLAPS컨테이너배차관리!$O:$O,$B132)))))</f>
        <v/>
      </c>
      <c r="K132" t="str">
        <f>IF($B132="","",IF(LEFT(IF(INDEX(GLAPS컨테이너배차관리!$Y:$Y,$B132)="","",INDEX(GLAPS컨테이너배차관리!$Y:$Y,$B132)),2)="22","20 Feet",IF(LEFT(IF(INDEX(GLAPS컨테이너배차관리!$Y:$Y,$B132)="","",INDEX(GLAPS컨테이너배차관리!$Y:$Y,$B132)),2)="42","40 Feet","40 Feet H")))</f>
        <v/>
      </c>
      <c r="L132" t="str">
        <f>IF($B132="","",IFERROR(INDEX(GLAPS정리!$BB$2:$BB$80,MATCH(IF(INDEX(GLAPS컨테이너배차관리!$BQ:$BQ,$B132)="","",INDEX(GLAPS컨테이너배차관리!$BQ:$BQ,$B132)),GLAPS정리!$BC$2:$BC$80,0)),IF(INDEX(GLAPS컨테이너배차관리!$BQ:$BQ,$B132)="","",INDEX(GLAPS컨테이너배차관리!$BQ:$BQ,$B132))))</f>
        <v/>
      </c>
      <c r="M132" t="str">
        <f>IF($B132="","",IFERROR(INDEX(GLAPS정리!$V$3:$V$180,MATCH(IF(INDEX(GLAPS컨테이너배차관리!$S:$S,$B132)="","",INDEX(GLAPS컨테이너배차관리!$S:$S,$B132)),GLAPS정리!$W$3:$W$180,0)),IF(INDEX(GLAPS컨테이너배차관리!$S:$S,$B132)="","",INDEX(GLAPS컨테이너배차관리!$S:$S,$B132))))</f>
        <v/>
      </c>
      <c r="N132" t="str">
        <f>IF($B132="","",IF(IF(INDEX(GLAPS컨테이너배차관리!$DF:$DF,$B132)="","",INDEX(GLAPS컨테이너배차관리!$DF:$DF,$B132))&lt;&gt;"",IF(INDEX(GLAPS컨테이너배차관리!$DF:$DF,$B132)="","",INDEX(GLAPS컨테이너배차관리!$DF:$DF,$B132)),IF(IF(INDEX(GLAPS컨테이너배차관리!$DG:$DG,$B132)="","",INDEX(GLAPS컨테이너배차관리!$DG:$DG,$B132))&lt;&gt;"",IF(INDEX(GLAPS컨테이너배차관리!$DG:$DG,$B132)="","",INDEX(GLAPS컨테이너배차관리!$DG:$DG,$B132)),"")))</f>
        <v/>
      </c>
      <c r="O132" t="str">
        <f>IF($B132="","",IF(INDEX(GLAPS컨테이너배차관리!$AB:$AB,$B132)="","",INDEX(GLAPS컨테이너배차관리!$AB:$AB,$B132)))</f>
        <v/>
      </c>
      <c r="P132" t="str">
        <f>IF($B132="","",IF(IF(INDEX(GLAPS컨테이너배차관리!$CP:$CP,$B132)="","",INDEX(GLAPS컨테이너배차관리!$CP:$CP,$B132))="","",IFERROR(INDEX(GLAPS정리!$BH$2:$BH$101,MATCH(IF(INDEX(GLAPS컨테이너배차관리!$CP:$CP,$B132)="","",INDEX(GLAPS컨테이너배차관리!$CP:$CP,$B132)),GLAPS정리!$BI$2:$BI$101,0)),IF(INDEX(GLAPS컨테이너배차관리!$CP:$CP,$B132)="","",INDEX(GLAPS컨테이너배차관리!$CP:$CP,$B132)))))</f>
        <v/>
      </c>
      <c r="Q132" t="str">
        <f>IF($B132="","",IF(AND(IF(INDEX(GLAPS컨테이너배차관리!$AK:$AK,$B132)="","",INDEX(GLAPS컨테이너배차관리!$AK:$AK,$B132))="Y",IF(INDEX(GLAPS컨테이너배차관리!$AI:$AI,$B132)="","",INDEX(GLAPS컨테이너배차관리!$AI:$AI,$B132))="Y"),"위험물리퍼",IF(IF(INDEX(GLAPS컨테이너배차관리!$AK:$AK,$B132)="","",INDEX(GLAPS컨테이너배차관리!$AK:$AK,$B132))="Y","위험물",IF(IF(INDEX(GLAPS컨테이너배차관리!$AI:$AI,$B132)="","",INDEX(GLAPS컨테이너배차관리!$AI:$AI,$B132))="Y","리퍼",""))))</f>
        <v/>
      </c>
      <c r="R132" t="str">
        <f>IF($B132="","",IF(LEFT(IF(INDEX(GLAPS컨테이너배차관리!$Y:$Y,$B132)="","",INDEX(GLAPS컨테이너배차관리!$Y:$Y,$B132)),2)="22",1,""))</f>
        <v/>
      </c>
      <c r="S132" t="str">
        <f>IF($B132="","",IF(LEFT(IF(INDEX(GLAPS컨테이너배차관리!$Y:$Y,$B132)="","",INDEX(GLAPS컨테이너배차관리!$Y:$Y,$B132)),2)="42",1,""))</f>
        <v/>
      </c>
      <c r="T132" t="str">
        <f>IF($B132="","",IF(LEFT(IF(INDEX(GLAPS컨테이너배차관리!$Y:$Y,$B132)="","",INDEX(GLAPS컨테이너배차관리!$Y:$Y,$B132)),2)="45",1,""))</f>
        <v/>
      </c>
      <c r="U132" t="str">
        <f>IF($B132="","",IF(INDEX(GLAPS컨테이너배차관리!$X:$X,$B132)="","",INDEX(GLAPS컨테이너배차관리!$X:$X,$B132)))</f>
        <v/>
      </c>
      <c r="V132" t="str">
        <f>IF($B132="","",IF(INDEX(GLAPS컨테이너배차관리!$Z:$Z,$B132)="","",INDEX(GLAPS컨테이너배차관리!$Z:$Z,$B132)))</f>
        <v/>
      </c>
      <c r="W132" t="str">
        <f>IF($B132="","",IF(IF(INDEX(GLAPS컨테이너배차관리!$DI:$DI,$B132)="","",INDEX(GLAPS컨테이너배차관리!$DI:$DI,$B132))&lt;&gt;"",IF(INDEX(GLAPS컨테이너배차관리!$DI:$DI,$B132)="","",INDEX(GLAPS컨테이너배차관리!$DI:$DI,$B132)),IF(IF(INDEX(GLAPS컨테이너배차관리!$DJ:$DJ,$B132)="","",INDEX(GLAPS컨테이너배차관리!$DJ:$DJ,$B132))&lt;&gt;"",IF(INDEX(GLAPS컨테이너배차관리!$DJ:$DJ,$B132)="","",INDEX(GLAPS컨테이너배차관리!$DJ:$DJ,$B132)),IF(IF(INDEX(GLAPS컨테이너배차관리!$DK:$DK,$B132)="","",INDEX(GLAPS컨테이너배차관리!$DK:$DK,$B132))&lt;&gt;"",IF(INDEX(GLAPS컨테이너배차관리!$DK:$DK,$B132)="","",INDEX(GLAPS컨테이너배차관리!$DK:$DK,$B132)),IF(IF(INDEX(GLAPS컨테이너배차관리!$DL:$DL,$B132)="","",INDEX(GLAPS컨테이너배차관리!$DL:$DL,$B132))&lt;&gt;"",IF(INDEX(GLAPS컨테이너배차관리!$DL:$DL,$B132)="","",INDEX(GLAPS컨테이너배차관리!$DL:$DL,$B132)),IF(IF(INDEX(GLAPS컨테이너배차관리!$DM:$DM,$B132)="","",INDEX(GLAPS컨테이너배차관리!$DM:$DM,$B132))&lt;&gt;"",IF(INDEX(GLAPS컨테이너배차관리!$DM:$DM,$B132)="","",INDEX(GLAPS컨테이너배차관리!$DM:$DM,$B132)),""))))))</f>
        <v/>
      </c>
      <c r="X132" t="str">
        <f>IF($B132="","",IF(INDEX(GLAPS컨테이너배차관리!$F:$F,$B132)="","",INDEX(GLAPS컨테이너배차관리!$F:$F,$B132)))</f>
        <v/>
      </c>
      <c r="Y132" t="str">
        <f>IF($B132="","",IF(IF(INDEX(GLAPS컨테이너배차관리!$M:$M,$B132)="","",INDEX(GLAPS컨테이너배차관리!$M:$M,$B132))&lt;&gt;"",IF(INDEX(GLAPS컨테이너배차관리!$M:$M,$B132)="","",INDEX(GLAPS컨테이너배차관리!$M:$M,$B132)),IF(IF(INDEX(GLAPS컨테이너배차관리!$N:$N,$B132)="","",INDEX(GLAPS컨테이너배차관리!$N:$N,$B132))&lt;&gt;"",IF(INDEX(GLAPS컨테이너배차관리!$N:$N,$B132)="","",INDEX(GLAPS컨테이너배차관리!$N:$N,$B132)),"")))</f>
        <v/>
      </c>
      <c r="Z132" t="str">
        <f>IF($B132="","",IF(IF(INDEX(GLAPS컨테이너배차관리!$CU:$CU,$B132)="","",INDEX(GLAPS컨테이너배차관리!$CU:$CU,$B132))="","",IFERROR(INT(IF(INDEX(GLAPS컨테이너배차관리!$CU:$CU,$B132)="","",INDEX(GLAPS컨테이너배차관리!$CU:$CU,$B132))),"")))</f>
        <v/>
      </c>
      <c r="AA132" t="str">
        <f>IF($B132="","",IF(AND(IF(INDEX(GLAPS컨테이너배차관리!$CL:$CL,$B132)="","",INDEX(GLAPS컨테이너배차관리!$CL:$CL,$B132))="",IF(INDEX(GLAPS컨테이너배차관리!$CM:$CM,$B132)="","",INDEX(GLAPS컨테이너배차관리!$CM:$CM,$B132))=""),"",IF(OR(IF(INDEX(GLAPS컨테이너배차관리!$CL:$CL,$B132)="","",INDEX(GLAPS컨테이너배차관리!$CL:$CL,$B132))="B000016649",ISNUMBER(SEARCH("B015",IF(INDEX(GLAPS컨테이너배차관리!$CM:$CM,$B132)="","",INDEX(GLAPS컨테이너배차관리!$CM:$CM,$B132)))),ISNUMBER(SEARCH("세방",IF(INDEX(GLAPS컨테이너배차관리!$CM:$CM,$B132)="","",INDEX(GLAPS컨테이너배차관리!$CM:$CM,$B132)))),ISNUMBER(SEARCH("SB",IF(INDEX(GLAPS컨테이너배차관리!$CM:$CM,$B132)="","",INDEX(GLAPS컨테이너배차관리!$CM:$CM,$B132))))),"세방","")))</f>
        <v/>
      </c>
      <c r="AB132" t="str">
        <f>IF($B132="","",IF(IF(INDEX(GLAPS컨테이너배차관리!$CM:$CM,$B132)="","",INDEX(GLAPS컨테이너배차관리!$CM:$CM,$B132))="","",IF(ISNUMBER(SEARCH("이지스두동",IF(INDEX(GLAPS컨테이너배차관리!$CM:$CM,$B132)="","",INDEX(GLAPS컨테이너배차관리!$CM:$CM,$B132)))),"이지스두동",IF(ISNUMBER(SEARCH("이지스녹산",IF(INDEX(GLAPS컨테이너배차관리!$CM:$CM,$B132)="","",INDEX(GLAPS컨테이너배차관리!$CM:$CM,$B132)))),"이지스녹산",IF(ISNUMBER(SEARCH("천우",IF(INDEX(GLAPS컨테이너배차관리!$CM:$CM,$B132)="","",INDEX(GLAPS컨테이너배차관리!$CM:$CM,$B132)))),"천우",IF(OR(ISNUMBER(SEARCH("청암",IF(INDEX(GLAPS컨테이너배차관리!$CM:$CM,$B132)="","",INDEX(GLAPS컨테이너배차관리!$CM:$CM,$B132)))),ISNUMBER(SEARCH("SB청암",IF(INDEX(GLAPS컨테이너배차관리!$CM:$CM,$B132)="","",INDEX(GLAPS컨테이너배차관리!$CM:$CM,$B132))))),"청암신항",IF(INDEX(GLAPS컨테이너배차관리!$CM:$CM,$B132)="","",INDEX(GLAPS컨테이너배차관리!$CM:$CM,$B132))))))))</f>
        <v/>
      </c>
    </row>
    <row r="133" spans="1:28">
      <c r="A133">
        <v>132</v>
      </c>
      <c r="B133" t="str">
        <f>IFERROR(_xlfn.AGGREGATE(15,6,ROW(GLAPS컨테이너배차관리!$X$2:$X$20000)/(GLAPS컨테이너배차관리!$X$2:$X$20000&lt;&gt;""),A133),"")</f>
        <v/>
      </c>
      <c r="C133" t="str">
        <f>IF($B133="","",INT(IF(INDEX(GLAPS컨테이너배차관리!$K:$K,$B133)="","",INDEX(GLAPS컨테이너배차관리!$K:$K,$B133))))</f>
        <v/>
      </c>
      <c r="D133" t="str">
        <f>IF($B133="","",IF(ISNUMBER(SEARCH("이엘에스",IF(INDEX(GLAPS컨테이너배차관리!$AZ:$AZ,$B133)="","",INDEX(GLAPS컨테이너배차관리!$AZ:$AZ,$B133)))),"ELS솔루션",IF(INDEX(GLAPS컨테이너배차관리!$AZ:$AZ,$B133)="","",INDEX(GLAPS컨테이너배차관리!$AZ:$AZ,$B133))))</f>
        <v/>
      </c>
      <c r="E133" t="str">
        <f>IF($B133="","",IF(INDEX(GLAPS컨테이너배차관리!$L:$L,$B133)="","",INDEX(GLAPS컨테이너배차관리!$L:$L,$B133)))</f>
        <v/>
      </c>
      <c r="F133" t="str">
        <f>IF($B133="","",IF(HOUR(IF(INDEX(GLAPS컨테이너배차관리!$L:$L,$B133)="","",INDEX(GLAPS컨테이너배차관리!$L:$L,$B133)))&lt;12,"오전",IF(HOUR(IF(INDEX(GLAPS컨테이너배차관리!$L:$L,$B133)="","",INDEX(GLAPS컨테이너배차관리!$L:$L,$B133)))&lt;18,"오후","잔업")))</f>
        <v/>
      </c>
      <c r="G133" t="str">
        <f>IF($B133="","",IFERROR(INDEX(GLAPS정리!$G$3:$G$264,MATCH(IF(INDEX(GLAPS컨테이너배차관리!$BY:$BY,$B133)="","",INDEX(GLAPS컨테이너배차관리!$BY:$BY,$B133)),GLAPS정리!$H$3:$H$264,0)),TRIM(SUBSTITUTE(SUBSTITUTE(SUBSTITUTE(SUBSTITUTE(SUBSTITUTE(IF(INDEX(GLAPS컨테이너배차관리!$T:$T,$B133)="","",INDEX(GLAPS컨테이너배차관리!$T:$T,$B133)),"[GA]",""),"[GB]",""),"[GC]",""),"[KC]",""),"[GS]",""))))</f>
        <v/>
      </c>
      <c r="H133" t="str">
        <f>IF($B133="","",IFERROR(VLOOKUP(IF(INDEX(GLAPS컨테이너배차관리!$BY:$BY,$B133)="","",INDEX(GLAPS컨테이너배차관리!$BY:$BY,$B133)),GLAPS정리!$BT$3:$BV$200,3,0),""))</f>
        <v/>
      </c>
      <c r="I133" t="str">
        <f>IF($B133="","",LEFT(IF(INDEX(GLAPS컨테이너배차관리!$U:$U,$B133)="","",INDEX(GLAPS컨테이너배차관리!$U:$U,$B133)),FIND("/",IF(INDEX(GLAPS컨테이너배차관리!$U:$U,$B133)="","",INDEX(GLAPS컨테이너배차관리!$U:$U,$B133))&amp;"/")-1))</f>
        <v/>
      </c>
      <c r="J133" t="str">
        <f>IF($B133="","",IF(IF(INDEX(GLAPS컨테이너배차관리!$O:$O,$B133)="","",INDEX(GLAPS컨테이너배차관리!$O:$O,$B133))="EMC","EMA",IFERROR(INDEX(GLAPS정리!$A$2:$A$50,MATCH(IF(INDEX(GLAPS컨테이너배차관리!$O:$O,$B133)="","",INDEX(GLAPS컨테이너배차관리!$O:$O,$B133)),GLAPS정리!$D$2:$D$50,0)),IF(INDEX(GLAPS컨테이너배차관리!$O:$O,$B133)="","",INDEX(GLAPS컨테이너배차관리!$O:$O,$B133)))))</f>
        <v/>
      </c>
      <c r="K133" t="str">
        <f>IF($B133="","",IF(LEFT(IF(INDEX(GLAPS컨테이너배차관리!$Y:$Y,$B133)="","",INDEX(GLAPS컨테이너배차관리!$Y:$Y,$B133)),2)="22","20 Feet",IF(LEFT(IF(INDEX(GLAPS컨테이너배차관리!$Y:$Y,$B133)="","",INDEX(GLAPS컨테이너배차관리!$Y:$Y,$B133)),2)="42","40 Feet","40 Feet H")))</f>
        <v/>
      </c>
      <c r="L133" t="str">
        <f>IF($B133="","",IFERROR(INDEX(GLAPS정리!$BB$2:$BB$80,MATCH(IF(INDEX(GLAPS컨테이너배차관리!$BQ:$BQ,$B133)="","",INDEX(GLAPS컨테이너배차관리!$BQ:$BQ,$B133)),GLAPS정리!$BC$2:$BC$80,0)),IF(INDEX(GLAPS컨테이너배차관리!$BQ:$BQ,$B133)="","",INDEX(GLAPS컨테이너배차관리!$BQ:$BQ,$B133))))</f>
        <v/>
      </c>
      <c r="M133" t="str">
        <f>IF($B133="","",IFERROR(INDEX(GLAPS정리!$V$3:$V$180,MATCH(IF(INDEX(GLAPS컨테이너배차관리!$S:$S,$B133)="","",INDEX(GLAPS컨테이너배차관리!$S:$S,$B133)),GLAPS정리!$W$3:$W$180,0)),IF(INDEX(GLAPS컨테이너배차관리!$S:$S,$B133)="","",INDEX(GLAPS컨테이너배차관리!$S:$S,$B133))))</f>
        <v/>
      </c>
      <c r="N133" t="str">
        <f>IF($B133="","",IF(IF(INDEX(GLAPS컨테이너배차관리!$DF:$DF,$B133)="","",INDEX(GLAPS컨테이너배차관리!$DF:$DF,$B133))&lt;&gt;"",IF(INDEX(GLAPS컨테이너배차관리!$DF:$DF,$B133)="","",INDEX(GLAPS컨테이너배차관리!$DF:$DF,$B133)),IF(IF(INDEX(GLAPS컨테이너배차관리!$DG:$DG,$B133)="","",INDEX(GLAPS컨테이너배차관리!$DG:$DG,$B133))&lt;&gt;"",IF(INDEX(GLAPS컨테이너배차관리!$DG:$DG,$B133)="","",INDEX(GLAPS컨테이너배차관리!$DG:$DG,$B133)),"")))</f>
        <v/>
      </c>
      <c r="O133" t="str">
        <f>IF($B133="","",IF(INDEX(GLAPS컨테이너배차관리!$AB:$AB,$B133)="","",INDEX(GLAPS컨테이너배차관리!$AB:$AB,$B133)))</f>
        <v/>
      </c>
      <c r="P133" t="str">
        <f>IF($B133="","",IF(IF(INDEX(GLAPS컨테이너배차관리!$CP:$CP,$B133)="","",INDEX(GLAPS컨테이너배차관리!$CP:$CP,$B133))="","",IFERROR(INDEX(GLAPS정리!$BH$2:$BH$101,MATCH(IF(INDEX(GLAPS컨테이너배차관리!$CP:$CP,$B133)="","",INDEX(GLAPS컨테이너배차관리!$CP:$CP,$B133)),GLAPS정리!$BI$2:$BI$101,0)),IF(INDEX(GLAPS컨테이너배차관리!$CP:$CP,$B133)="","",INDEX(GLAPS컨테이너배차관리!$CP:$CP,$B133)))))</f>
        <v/>
      </c>
      <c r="Q133" t="str">
        <f>IF($B133="","",IF(AND(IF(INDEX(GLAPS컨테이너배차관리!$AK:$AK,$B133)="","",INDEX(GLAPS컨테이너배차관리!$AK:$AK,$B133))="Y",IF(INDEX(GLAPS컨테이너배차관리!$AI:$AI,$B133)="","",INDEX(GLAPS컨테이너배차관리!$AI:$AI,$B133))="Y"),"위험물리퍼",IF(IF(INDEX(GLAPS컨테이너배차관리!$AK:$AK,$B133)="","",INDEX(GLAPS컨테이너배차관리!$AK:$AK,$B133))="Y","위험물",IF(IF(INDEX(GLAPS컨테이너배차관리!$AI:$AI,$B133)="","",INDEX(GLAPS컨테이너배차관리!$AI:$AI,$B133))="Y","리퍼",""))))</f>
        <v/>
      </c>
      <c r="R133" t="str">
        <f>IF($B133="","",IF(LEFT(IF(INDEX(GLAPS컨테이너배차관리!$Y:$Y,$B133)="","",INDEX(GLAPS컨테이너배차관리!$Y:$Y,$B133)),2)="22",1,""))</f>
        <v/>
      </c>
      <c r="S133" t="str">
        <f>IF($B133="","",IF(LEFT(IF(INDEX(GLAPS컨테이너배차관리!$Y:$Y,$B133)="","",INDEX(GLAPS컨테이너배차관리!$Y:$Y,$B133)),2)="42",1,""))</f>
        <v/>
      </c>
      <c r="T133" t="str">
        <f>IF($B133="","",IF(LEFT(IF(INDEX(GLAPS컨테이너배차관리!$Y:$Y,$B133)="","",INDEX(GLAPS컨테이너배차관리!$Y:$Y,$B133)),2)="45",1,""))</f>
        <v/>
      </c>
      <c r="U133" t="str">
        <f>IF($B133="","",IF(INDEX(GLAPS컨테이너배차관리!$X:$X,$B133)="","",INDEX(GLAPS컨테이너배차관리!$X:$X,$B133)))</f>
        <v/>
      </c>
      <c r="V133" t="str">
        <f>IF($B133="","",IF(INDEX(GLAPS컨테이너배차관리!$Z:$Z,$B133)="","",INDEX(GLAPS컨테이너배차관리!$Z:$Z,$B133)))</f>
        <v/>
      </c>
      <c r="W133" t="str">
        <f>IF($B133="","",IF(IF(INDEX(GLAPS컨테이너배차관리!$DI:$DI,$B133)="","",INDEX(GLAPS컨테이너배차관리!$DI:$DI,$B133))&lt;&gt;"",IF(INDEX(GLAPS컨테이너배차관리!$DI:$DI,$B133)="","",INDEX(GLAPS컨테이너배차관리!$DI:$DI,$B133)),IF(IF(INDEX(GLAPS컨테이너배차관리!$DJ:$DJ,$B133)="","",INDEX(GLAPS컨테이너배차관리!$DJ:$DJ,$B133))&lt;&gt;"",IF(INDEX(GLAPS컨테이너배차관리!$DJ:$DJ,$B133)="","",INDEX(GLAPS컨테이너배차관리!$DJ:$DJ,$B133)),IF(IF(INDEX(GLAPS컨테이너배차관리!$DK:$DK,$B133)="","",INDEX(GLAPS컨테이너배차관리!$DK:$DK,$B133))&lt;&gt;"",IF(INDEX(GLAPS컨테이너배차관리!$DK:$DK,$B133)="","",INDEX(GLAPS컨테이너배차관리!$DK:$DK,$B133)),IF(IF(INDEX(GLAPS컨테이너배차관리!$DL:$DL,$B133)="","",INDEX(GLAPS컨테이너배차관리!$DL:$DL,$B133))&lt;&gt;"",IF(INDEX(GLAPS컨테이너배차관리!$DL:$DL,$B133)="","",INDEX(GLAPS컨테이너배차관리!$DL:$DL,$B133)),IF(IF(INDEX(GLAPS컨테이너배차관리!$DM:$DM,$B133)="","",INDEX(GLAPS컨테이너배차관리!$DM:$DM,$B133))&lt;&gt;"",IF(INDEX(GLAPS컨테이너배차관리!$DM:$DM,$B133)="","",INDEX(GLAPS컨테이너배차관리!$DM:$DM,$B133)),""))))))</f>
        <v/>
      </c>
      <c r="X133" t="str">
        <f>IF($B133="","",IF(INDEX(GLAPS컨테이너배차관리!$F:$F,$B133)="","",INDEX(GLAPS컨테이너배차관리!$F:$F,$B133)))</f>
        <v/>
      </c>
      <c r="Y133" t="str">
        <f>IF($B133="","",IF(IF(INDEX(GLAPS컨테이너배차관리!$M:$M,$B133)="","",INDEX(GLAPS컨테이너배차관리!$M:$M,$B133))&lt;&gt;"",IF(INDEX(GLAPS컨테이너배차관리!$M:$M,$B133)="","",INDEX(GLAPS컨테이너배차관리!$M:$M,$B133)),IF(IF(INDEX(GLAPS컨테이너배차관리!$N:$N,$B133)="","",INDEX(GLAPS컨테이너배차관리!$N:$N,$B133))&lt;&gt;"",IF(INDEX(GLAPS컨테이너배차관리!$N:$N,$B133)="","",INDEX(GLAPS컨테이너배차관리!$N:$N,$B133)),"")))</f>
        <v/>
      </c>
      <c r="Z133" t="str">
        <f>IF($B133="","",IF(IF(INDEX(GLAPS컨테이너배차관리!$CU:$CU,$B133)="","",INDEX(GLAPS컨테이너배차관리!$CU:$CU,$B133))="","",IFERROR(INT(IF(INDEX(GLAPS컨테이너배차관리!$CU:$CU,$B133)="","",INDEX(GLAPS컨테이너배차관리!$CU:$CU,$B133))),"")))</f>
        <v/>
      </c>
      <c r="AA133" t="str">
        <f>IF($B133="","",IF(AND(IF(INDEX(GLAPS컨테이너배차관리!$CL:$CL,$B133)="","",INDEX(GLAPS컨테이너배차관리!$CL:$CL,$B133))="",IF(INDEX(GLAPS컨테이너배차관리!$CM:$CM,$B133)="","",INDEX(GLAPS컨테이너배차관리!$CM:$CM,$B133))=""),"",IF(OR(IF(INDEX(GLAPS컨테이너배차관리!$CL:$CL,$B133)="","",INDEX(GLAPS컨테이너배차관리!$CL:$CL,$B133))="B000016649",ISNUMBER(SEARCH("B015",IF(INDEX(GLAPS컨테이너배차관리!$CM:$CM,$B133)="","",INDEX(GLAPS컨테이너배차관리!$CM:$CM,$B133)))),ISNUMBER(SEARCH("세방",IF(INDEX(GLAPS컨테이너배차관리!$CM:$CM,$B133)="","",INDEX(GLAPS컨테이너배차관리!$CM:$CM,$B133)))),ISNUMBER(SEARCH("SB",IF(INDEX(GLAPS컨테이너배차관리!$CM:$CM,$B133)="","",INDEX(GLAPS컨테이너배차관리!$CM:$CM,$B133))))),"세방","")))</f>
        <v/>
      </c>
      <c r="AB133" t="str">
        <f>IF($B133="","",IF(IF(INDEX(GLAPS컨테이너배차관리!$CM:$CM,$B133)="","",INDEX(GLAPS컨테이너배차관리!$CM:$CM,$B133))="","",IF(ISNUMBER(SEARCH("이지스두동",IF(INDEX(GLAPS컨테이너배차관리!$CM:$CM,$B133)="","",INDEX(GLAPS컨테이너배차관리!$CM:$CM,$B133)))),"이지스두동",IF(ISNUMBER(SEARCH("이지스녹산",IF(INDEX(GLAPS컨테이너배차관리!$CM:$CM,$B133)="","",INDEX(GLAPS컨테이너배차관리!$CM:$CM,$B133)))),"이지스녹산",IF(ISNUMBER(SEARCH("천우",IF(INDEX(GLAPS컨테이너배차관리!$CM:$CM,$B133)="","",INDEX(GLAPS컨테이너배차관리!$CM:$CM,$B133)))),"천우",IF(OR(ISNUMBER(SEARCH("청암",IF(INDEX(GLAPS컨테이너배차관리!$CM:$CM,$B133)="","",INDEX(GLAPS컨테이너배차관리!$CM:$CM,$B133)))),ISNUMBER(SEARCH("SB청암",IF(INDEX(GLAPS컨테이너배차관리!$CM:$CM,$B133)="","",INDEX(GLAPS컨테이너배차관리!$CM:$CM,$B133))))),"청암신항",IF(INDEX(GLAPS컨테이너배차관리!$CM:$CM,$B133)="","",INDEX(GLAPS컨테이너배차관리!$CM:$CM,$B133))))))))</f>
        <v/>
      </c>
    </row>
    <row r="134" spans="1:28">
      <c r="A134">
        <v>133</v>
      </c>
      <c r="B134" t="str">
        <f>IFERROR(_xlfn.AGGREGATE(15,6,ROW(GLAPS컨테이너배차관리!$X$2:$X$20000)/(GLAPS컨테이너배차관리!$X$2:$X$20000&lt;&gt;""),A134),"")</f>
        <v/>
      </c>
      <c r="C134" t="str">
        <f>IF($B134="","",INT(IF(INDEX(GLAPS컨테이너배차관리!$K:$K,$B134)="","",INDEX(GLAPS컨테이너배차관리!$K:$K,$B134))))</f>
        <v/>
      </c>
      <c r="D134" t="str">
        <f>IF($B134="","",IF(ISNUMBER(SEARCH("이엘에스",IF(INDEX(GLAPS컨테이너배차관리!$AZ:$AZ,$B134)="","",INDEX(GLAPS컨테이너배차관리!$AZ:$AZ,$B134)))),"ELS솔루션",IF(INDEX(GLAPS컨테이너배차관리!$AZ:$AZ,$B134)="","",INDEX(GLAPS컨테이너배차관리!$AZ:$AZ,$B134))))</f>
        <v/>
      </c>
      <c r="E134" t="str">
        <f>IF($B134="","",IF(INDEX(GLAPS컨테이너배차관리!$L:$L,$B134)="","",INDEX(GLAPS컨테이너배차관리!$L:$L,$B134)))</f>
        <v/>
      </c>
      <c r="F134" t="str">
        <f>IF($B134="","",IF(HOUR(IF(INDEX(GLAPS컨테이너배차관리!$L:$L,$B134)="","",INDEX(GLAPS컨테이너배차관리!$L:$L,$B134)))&lt;12,"오전",IF(HOUR(IF(INDEX(GLAPS컨테이너배차관리!$L:$L,$B134)="","",INDEX(GLAPS컨테이너배차관리!$L:$L,$B134)))&lt;18,"오후","잔업")))</f>
        <v/>
      </c>
      <c r="G134" t="str">
        <f>IF($B134="","",IFERROR(INDEX(GLAPS정리!$G$3:$G$264,MATCH(IF(INDEX(GLAPS컨테이너배차관리!$BY:$BY,$B134)="","",INDEX(GLAPS컨테이너배차관리!$BY:$BY,$B134)),GLAPS정리!$H$3:$H$264,0)),TRIM(SUBSTITUTE(SUBSTITUTE(SUBSTITUTE(SUBSTITUTE(SUBSTITUTE(IF(INDEX(GLAPS컨테이너배차관리!$T:$T,$B134)="","",INDEX(GLAPS컨테이너배차관리!$T:$T,$B134)),"[GA]",""),"[GB]",""),"[GC]",""),"[KC]",""),"[GS]",""))))</f>
        <v/>
      </c>
      <c r="H134" t="str">
        <f>IF($B134="","",IFERROR(VLOOKUP(IF(INDEX(GLAPS컨테이너배차관리!$BY:$BY,$B134)="","",INDEX(GLAPS컨테이너배차관리!$BY:$BY,$B134)),GLAPS정리!$BT$3:$BV$200,3,0),""))</f>
        <v/>
      </c>
      <c r="I134" t="str">
        <f>IF($B134="","",LEFT(IF(INDEX(GLAPS컨테이너배차관리!$U:$U,$B134)="","",INDEX(GLAPS컨테이너배차관리!$U:$U,$B134)),FIND("/",IF(INDEX(GLAPS컨테이너배차관리!$U:$U,$B134)="","",INDEX(GLAPS컨테이너배차관리!$U:$U,$B134))&amp;"/")-1))</f>
        <v/>
      </c>
      <c r="J134" t="str">
        <f>IF($B134="","",IF(IF(INDEX(GLAPS컨테이너배차관리!$O:$O,$B134)="","",INDEX(GLAPS컨테이너배차관리!$O:$O,$B134))="EMC","EMA",IFERROR(INDEX(GLAPS정리!$A$2:$A$50,MATCH(IF(INDEX(GLAPS컨테이너배차관리!$O:$O,$B134)="","",INDEX(GLAPS컨테이너배차관리!$O:$O,$B134)),GLAPS정리!$D$2:$D$50,0)),IF(INDEX(GLAPS컨테이너배차관리!$O:$O,$B134)="","",INDEX(GLAPS컨테이너배차관리!$O:$O,$B134)))))</f>
        <v/>
      </c>
      <c r="K134" t="str">
        <f>IF($B134="","",IF(LEFT(IF(INDEX(GLAPS컨테이너배차관리!$Y:$Y,$B134)="","",INDEX(GLAPS컨테이너배차관리!$Y:$Y,$B134)),2)="22","20 Feet",IF(LEFT(IF(INDEX(GLAPS컨테이너배차관리!$Y:$Y,$B134)="","",INDEX(GLAPS컨테이너배차관리!$Y:$Y,$B134)),2)="42","40 Feet","40 Feet H")))</f>
        <v/>
      </c>
      <c r="L134" t="str">
        <f>IF($B134="","",IFERROR(INDEX(GLAPS정리!$BB$2:$BB$80,MATCH(IF(INDEX(GLAPS컨테이너배차관리!$BQ:$BQ,$B134)="","",INDEX(GLAPS컨테이너배차관리!$BQ:$BQ,$B134)),GLAPS정리!$BC$2:$BC$80,0)),IF(INDEX(GLAPS컨테이너배차관리!$BQ:$BQ,$B134)="","",INDEX(GLAPS컨테이너배차관리!$BQ:$BQ,$B134))))</f>
        <v/>
      </c>
      <c r="M134" t="str">
        <f>IF($B134="","",IFERROR(INDEX(GLAPS정리!$V$3:$V$180,MATCH(IF(INDEX(GLAPS컨테이너배차관리!$S:$S,$B134)="","",INDEX(GLAPS컨테이너배차관리!$S:$S,$B134)),GLAPS정리!$W$3:$W$180,0)),IF(INDEX(GLAPS컨테이너배차관리!$S:$S,$B134)="","",INDEX(GLAPS컨테이너배차관리!$S:$S,$B134))))</f>
        <v/>
      </c>
      <c r="N134" t="str">
        <f>IF($B134="","",IF(IF(INDEX(GLAPS컨테이너배차관리!$DF:$DF,$B134)="","",INDEX(GLAPS컨테이너배차관리!$DF:$DF,$B134))&lt;&gt;"",IF(INDEX(GLAPS컨테이너배차관리!$DF:$DF,$B134)="","",INDEX(GLAPS컨테이너배차관리!$DF:$DF,$B134)),IF(IF(INDEX(GLAPS컨테이너배차관리!$DG:$DG,$B134)="","",INDEX(GLAPS컨테이너배차관리!$DG:$DG,$B134))&lt;&gt;"",IF(INDEX(GLAPS컨테이너배차관리!$DG:$DG,$B134)="","",INDEX(GLAPS컨테이너배차관리!$DG:$DG,$B134)),"")))</f>
        <v/>
      </c>
      <c r="O134" t="str">
        <f>IF($B134="","",IF(INDEX(GLAPS컨테이너배차관리!$AB:$AB,$B134)="","",INDEX(GLAPS컨테이너배차관리!$AB:$AB,$B134)))</f>
        <v/>
      </c>
      <c r="P134" t="str">
        <f>IF($B134="","",IF(IF(INDEX(GLAPS컨테이너배차관리!$CP:$CP,$B134)="","",INDEX(GLAPS컨테이너배차관리!$CP:$CP,$B134))="","",IFERROR(INDEX(GLAPS정리!$BH$2:$BH$101,MATCH(IF(INDEX(GLAPS컨테이너배차관리!$CP:$CP,$B134)="","",INDEX(GLAPS컨테이너배차관리!$CP:$CP,$B134)),GLAPS정리!$BI$2:$BI$101,0)),IF(INDEX(GLAPS컨테이너배차관리!$CP:$CP,$B134)="","",INDEX(GLAPS컨테이너배차관리!$CP:$CP,$B134)))))</f>
        <v/>
      </c>
      <c r="Q134" t="str">
        <f>IF($B134="","",IF(AND(IF(INDEX(GLAPS컨테이너배차관리!$AK:$AK,$B134)="","",INDEX(GLAPS컨테이너배차관리!$AK:$AK,$B134))="Y",IF(INDEX(GLAPS컨테이너배차관리!$AI:$AI,$B134)="","",INDEX(GLAPS컨테이너배차관리!$AI:$AI,$B134))="Y"),"위험물리퍼",IF(IF(INDEX(GLAPS컨테이너배차관리!$AK:$AK,$B134)="","",INDEX(GLAPS컨테이너배차관리!$AK:$AK,$B134))="Y","위험물",IF(IF(INDEX(GLAPS컨테이너배차관리!$AI:$AI,$B134)="","",INDEX(GLAPS컨테이너배차관리!$AI:$AI,$B134))="Y","리퍼",""))))</f>
        <v/>
      </c>
      <c r="R134" t="str">
        <f>IF($B134="","",IF(LEFT(IF(INDEX(GLAPS컨테이너배차관리!$Y:$Y,$B134)="","",INDEX(GLAPS컨테이너배차관리!$Y:$Y,$B134)),2)="22",1,""))</f>
        <v/>
      </c>
      <c r="S134" t="str">
        <f>IF($B134="","",IF(LEFT(IF(INDEX(GLAPS컨테이너배차관리!$Y:$Y,$B134)="","",INDEX(GLAPS컨테이너배차관리!$Y:$Y,$B134)),2)="42",1,""))</f>
        <v/>
      </c>
      <c r="T134" t="str">
        <f>IF($B134="","",IF(LEFT(IF(INDEX(GLAPS컨테이너배차관리!$Y:$Y,$B134)="","",INDEX(GLAPS컨테이너배차관리!$Y:$Y,$B134)),2)="45",1,""))</f>
        <v/>
      </c>
      <c r="U134" t="str">
        <f>IF($B134="","",IF(INDEX(GLAPS컨테이너배차관리!$X:$X,$B134)="","",INDEX(GLAPS컨테이너배차관리!$X:$X,$B134)))</f>
        <v/>
      </c>
      <c r="V134" t="str">
        <f>IF($B134="","",IF(INDEX(GLAPS컨테이너배차관리!$Z:$Z,$B134)="","",INDEX(GLAPS컨테이너배차관리!$Z:$Z,$B134)))</f>
        <v/>
      </c>
      <c r="W134" t="str">
        <f>IF($B134="","",IF(IF(INDEX(GLAPS컨테이너배차관리!$DI:$DI,$B134)="","",INDEX(GLAPS컨테이너배차관리!$DI:$DI,$B134))&lt;&gt;"",IF(INDEX(GLAPS컨테이너배차관리!$DI:$DI,$B134)="","",INDEX(GLAPS컨테이너배차관리!$DI:$DI,$B134)),IF(IF(INDEX(GLAPS컨테이너배차관리!$DJ:$DJ,$B134)="","",INDEX(GLAPS컨테이너배차관리!$DJ:$DJ,$B134))&lt;&gt;"",IF(INDEX(GLAPS컨테이너배차관리!$DJ:$DJ,$B134)="","",INDEX(GLAPS컨테이너배차관리!$DJ:$DJ,$B134)),IF(IF(INDEX(GLAPS컨테이너배차관리!$DK:$DK,$B134)="","",INDEX(GLAPS컨테이너배차관리!$DK:$DK,$B134))&lt;&gt;"",IF(INDEX(GLAPS컨테이너배차관리!$DK:$DK,$B134)="","",INDEX(GLAPS컨테이너배차관리!$DK:$DK,$B134)),IF(IF(INDEX(GLAPS컨테이너배차관리!$DL:$DL,$B134)="","",INDEX(GLAPS컨테이너배차관리!$DL:$DL,$B134))&lt;&gt;"",IF(INDEX(GLAPS컨테이너배차관리!$DL:$DL,$B134)="","",INDEX(GLAPS컨테이너배차관리!$DL:$DL,$B134)),IF(IF(INDEX(GLAPS컨테이너배차관리!$DM:$DM,$B134)="","",INDEX(GLAPS컨테이너배차관리!$DM:$DM,$B134))&lt;&gt;"",IF(INDEX(GLAPS컨테이너배차관리!$DM:$DM,$B134)="","",INDEX(GLAPS컨테이너배차관리!$DM:$DM,$B134)),""))))))</f>
        <v/>
      </c>
      <c r="X134" t="str">
        <f>IF($B134="","",IF(INDEX(GLAPS컨테이너배차관리!$F:$F,$B134)="","",INDEX(GLAPS컨테이너배차관리!$F:$F,$B134)))</f>
        <v/>
      </c>
      <c r="Y134" t="str">
        <f>IF($B134="","",IF(IF(INDEX(GLAPS컨테이너배차관리!$M:$M,$B134)="","",INDEX(GLAPS컨테이너배차관리!$M:$M,$B134))&lt;&gt;"",IF(INDEX(GLAPS컨테이너배차관리!$M:$M,$B134)="","",INDEX(GLAPS컨테이너배차관리!$M:$M,$B134)),IF(IF(INDEX(GLAPS컨테이너배차관리!$N:$N,$B134)="","",INDEX(GLAPS컨테이너배차관리!$N:$N,$B134))&lt;&gt;"",IF(INDEX(GLAPS컨테이너배차관리!$N:$N,$B134)="","",INDEX(GLAPS컨테이너배차관리!$N:$N,$B134)),"")))</f>
        <v/>
      </c>
      <c r="Z134" t="str">
        <f>IF($B134="","",IF(IF(INDEX(GLAPS컨테이너배차관리!$CU:$CU,$B134)="","",INDEX(GLAPS컨테이너배차관리!$CU:$CU,$B134))="","",IFERROR(INT(IF(INDEX(GLAPS컨테이너배차관리!$CU:$CU,$B134)="","",INDEX(GLAPS컨테이너배차관리!$CU:$CU,$B134))),"")))</f>
        <v/>
      </c>
      <c r="AA134" t="str">
        <f>IF($B134="","",IF(AND(IF(INDEX(GLAPS컨테이너배차관리!$CL:$CL,$B134)="","",INDEX(GLAPS컨테이너배차관리!$CL:$CL,$B134))="",IF(INDEX(GLAPS컨테이너배차관리!$CM:$CM,$B134)="","",INDEX(GLAPS컨테이너배차관리!$CM:$CM,$B134))=""),"",IF(OR(IF(INDEX(GLAPS컨테이너배차관리!$CL:$CL,$B134)="","",INDEX(GLAPS컨테이너배차관리!$CL:$CL,$B134))="B000016649",ISNUMBER(SEARCH("B015",IF(INDEX(GLAPS컨테이너배차관리!$CM:$CM,$B134)="","",INDEX(GLAPS컨테이너배차관리!$CM:$CM,$B134)))),ISNUMBER(SEARCH("세방",IF(INDEX(GLAPS컨테이너배차관리!$CM:$CM,$B134)="","",INDEX(GLAPS컨테이너배차관리!$CM:$CM,$B134)))),ISNUMBER(SEARCH("SB",IF(INDEX(GLAPS컨테이너배차관리!$CM:$CM,$B134)="","",INDEX(GLAPS컨테이너배차관리!$CM:$CM,$B134))))),"세방","")))</f>
        <v/>
      </c>
      <c r="AB134" t="str">
        <f>IF($B134="","",IF(IF(INDEX(GLAPS컨테이너배차관리!$CM:$CM,$B134)="","",INDEX(GLAPS컨테이너배차관리!$CM:$CM,$B134))="","",IF(ISNUMBER(SEARCH("이지스두동",IF(INDEX(GLAPS컨테이너배차관리!$CM:$CM,$B134)="","",INDEX(GLAPS컨테이너배차관리!$CM:$CM,$B134)))),"이지스두동",IF(ISNUMBER(SEARCH("이지스녹산",IF(INDEX(GLAPS컨테이너배차관리!$CM:$CM,$B134)="","",INDEX(GLAPS컨테이너배차관리!$CM:$CM,$B134)))),"이지스녹산",IF(ISNUMBER(SEARCH("천우",IF(INDEX(GLAPS컨테이너배차관리!$CM:$CM,$B134)="","",INDEX(GLAPS컨테이너배차관리!$CM:$CM,$B134)))),"천우",IF(OR(ISNUMBER(SEARCH("청암",IF(INDEX(GLAPS컨테이너배차관리!$CM:$CM,$B134)="","",INDEX(GLAPS컨테이너배차관리!$CM:$CM,$B134)))),ISNUMBER(SEARCH("SB청암",IF(INDEX(GLAPS컨테이너배차관리!$CM:$CM,$B134)="","",INDEX(GLAPS컨테이너배차관리!$CM:$CM,$B134))))),"청암신항",IF(INDEX(GLAPS컨테이너배차관리!$CM:$CM,$B134)="","",INDEX(GLAPS컨테이너배차관리!$CM:$CM,$B134))))))))</f>
        <v/>
      </c>
    </row>
    <row r="135" spans="1:28">
      <c r="A135">
        <v>134</v>
      </c>
      <c r="B135" t="str">
        <f>IFERROR(_xlfn.AGGREGATE(15,6,ROW(GLAPS컨테이너배차관리!$X$2:$X$20000)/(GLAPS컨테이너배차관리!$X$2:$X$20000&lt;&gt;""),A135),"")</f>
        <v/>
      </c>
      <c r="C135" t="str">
        <f>IF($B135="","",INT(IF(INDEX(GLAPS컨테이너배차관리!$K:$K,$B135)="","",INDEX(GLAPS컨테이너배차관리!$K:$K,$B135))))</f>
        <v/>
      </c>
      <c r="D135" t="str">
        <f>IF($B135="","",IF(ISNUMBER(SEARCH("이엘에스",IF(INDEX(GLAPS컨테이너배차관리!$AZ:$AZ,$B135)="","",INDEX(GLAPS컨테이너배차관리!$AZ:$AZ,$B135)))),"ELS솔루션",IF(INDEX(GLAPS컨테이너배차관리!$AZ:$AZ,$B135)="","",INDEX(GLAPS컨테이너배차관리!$AZ:$AZ,$B135))))</f>
        <v/>
      </c>
      <c r="E135" t="str">
        <f>IF($B135="","",IF(INDEX(GLAPS컨테이너배차관리!$L:$L,$B135)="","",INDEX(GLAPS컨테이너배차관리!$L:$L,$B135)))</f>
        <v/>
      </c>
      <c r="F135" t="str">
        <f>IF($B135="","",IF(HOUR(IF(INDEX(GLAPS컨테이너배차관리!$L:$L,$B135)="","",INDEX(GLAPS컨테이너배차관리!$L:$L,$B135)))&lt;12,"오전",IF(HOUR(IF(INDEX(GLAPS컨테이너배차관리!$L:$L,$B135)="","",INDEX(GLAPS컨테이너배차관리!$L:$L,$B135)))&lt;18,"오후","잔업")))</f>
        <v/>
      </c>
      <c r="G135" t="str">
        <f>IF($B135="","",IFERROR(INDEX(GLAPS정리!$G$3:$G$264,MATCH(IF(INDEX(GLAPS컨테이너배차관리!$BY:$BY,$B135)="","",INDEX(GLAPS컨테이너배차관리!$BY:$BY,$B135)),GLAPS정리!$H$3:$H$264,0)),TRIM(SUBSTITUTE(SUBSTITUTE(SUBSTITUTE(SUBSTITUTE(SUBSTITUTE(IF(INDEX(GLAPS컨테이너배차관리!$T:$T,$B135)="","",INDEX(GLAPS컨테이너배차관리!$T:$T,$B135)),"[GA]",""),"[GB]",""),"[GC]",""),"[KC]",""),"[GS]",""))))</f>
        <v/>
      </c>
      <c r="H135" t="str">
        <f>IF($B135="","",IFERROR(VLOOKUP(IF(INDEX(GLAPS컨테이너배차관리!$BY:$BY,$B135)="","",INDEX(GLAPS컨테이너배차관리!$BY:$BY,$B135)),GLAPS정리!$BT$3:$BV$200,3,0),""))</f>
        <v/>
      </c>
      <c r="I135" t="str">
        <f>IF($B135="","",LEFT(IF(INDEX(GLAPS컨테이너배차관리!$U:$U,$B135)="","",INDEX(GLAPS컨테이너배차관리!$U:$U,$B135)),FIND("/",IF(INDEX(GLAPS컨테이너배차관리!$U:$U,$B135)="","",INDEX(GLAPS컨테이너배차관리!$U:$U,$B135))&amp;"/")-1))</f>
        <v/>
      </c>
      <c r="J135" t="str">
        <f>IF($B135="","",IF(IF(INDEX(GLAPS컨테이너배차관리!$O:$O,$B135)="","",INDEX(GLAPS컨테이너배차관리!$O:$O,$B135))="EMC","EMA",IFERROR(INDEX(GLAPS정리!$A$2:$A$50,MATCH(IF(INDEX(GLAPS컨테이너배차관리!$O:$O,$B135)="","",INDEX(GLAPS컨테이너배차관리!$O:$O,$B135)),GLAPS정리!$D$2:$D$50,0)),IF(INDEX(GLAPS컨테이너배차관리!$O:$O,$B135)="","",INDEX(GLAPS컨테이너배차관리!$O:$O,$B135)))))</f>
        <v/>
      </c>
      <c r="K135" t="str">
        <f>IF($B135="","",IF(LEFT(IF(INDEX(GLAPS컨테이너배차관리!$Y:$Y,$B135)="","",INDEX(GLAPS컨테이너배차관리!$Y:$Y,$B135)),2)="22","20 Feet",IF(LEFT(IF(INDEX(GLAPS컨테이너배차관리!$Y:$Y,$B135)="","",INDEX(GLAPS컨테이너배차관리!$Y:$Y,$B135)),2)="42","40 Feet","40 Feet H")))</f>
        <v/>
      </c>
      <c r="L135" t="str">
        <f>IF($B135="","",IFERROR(INDEX(GLAPS정리!$BB$2:$BB$80,MATCH(IF(INDEX(GLAPS컨테이너배차관리!$BQ:$BQ,$B135)="","",INDEX(GLAPS컨테이너배차관리!$BQ:$BQ,$B135)),GLAPS정리!$BC$2:$BC$80,0)),IF(INDEX(GLAPS컨테이너배차관리!$BQ:$BQ,$B135)="","",INDEX(GLAPS컨테이너배차관리!$BQ:$BQ,$B135))))</f>
        <v/>
      </c>
      <c r="M135" t="str">
        <f>IF($B135="","",IFERROR(INDEX(GLAPS정리!$V$3:$V$180,MATCH(IF(INDEX(GLAPS컨테이너배차관리!$S:$S,$B135)="","",INDEX(GLAPS컨테이너배차관리!$S:$S,$B135)),GLAPS정리!$W$3:$W$180,0)),IF(INDEX(GLAPS컨테이너배차관리!$S:$S,$B135)="","",INDEX(GLAPS컨테이너배차관리!$S:$S,$B135))))</f>
        <v/>
      </c>
      <c r="N135" t="str">
        <f>IF($B135="","",IF(IF(INDEX(GLAPS컨테이너배차관리!$DF:$DF,$B135)="","",INDEX(GLAPS컨테이너배차관리!$DF:$DF,$B135))&lt;&gt;"",IF(INDEX(GLAPS컨테이너배차관리!$DF:$DF,$B135)="","",INDEX(GLAPS컨테이너배차관리!$DF:$DF,$B135)),IF(IF(INDEX(GLAPS컨테이너배차관리!$DG:$DG,$B135)="","",INDEX(GLAPS컨테이너배차관리!$DG:$DG,$B135))&lt;&gt;"",IF(INDEX(GLAPS컨테이너배차관리!$DG:$DG,$B135)="","",INDEX(GLAPS컨테이너배차관리!$DG:$DG,$B135)),"")))</f>
        <v/>
      </c>
      <c r="O135" t="str">
        <f>IF($B135="","",IF(INDEX(GLAPS컨테이너배차관리!$AB:$AB,$B135)="","",INDEX(GLAPS컨테이너배차관리!$AB:$AB,$B135)))</f>
        <v/>
      </c>
      <c r="P135" t="str">
        <f>IF($B135="","",IF(IF(INDEX(GLAPS컨테이너배차관리!$CP:$CP,$B135)="","",INDEX(GLAPS컨테이너배차관리!$CP:$CP,$B135))="","",IFERROR(INDEX(GLAPS정리!$BH$2:$BH$101,MATCH(IF(INDEX(GLAPS컨테이너배차관리!$CP:$CP,$B135)="","",INDEX(GLAPS컨테이너배차관리!$CP:$CP,$B135)),GLAPS정리!$BI$2:$BI$101,0)),IF(INDEX(GLAPS컨테이너배차관리!$CP:$CP,$B135)="","",INDEX(GLAPS컨테이너배차관리!$CP:$CP,$B135)))))</f>
        <v/>
      </c>
      <c r="Q135" t="str">
        <f>IF($B135="","",IF(AND(IF(INDEX(GLAPS컨테이너배차관리!$AK:$AK,$B135)="","",INDEX(GLAPS컨테이너배차관리!$AK:$AK,$B135))="Y",IF(INDEX(GLAPS컨테이너배차관리!$AI:$AI,$B135)="","",INDEX(GLAPS컨테이너배차관리!$AI:$AI,$B135))="Y"),"위험물리퍼",IF(IF(INDEX(GLAPS컨테이너배차관리!$AK:$AK,$B135)="","",INDEX(GLAPS컨테이너배차관리!$AK:$AK,$B135))="Y","위험물",IF(IF(INDEX(GLAPS컨테이너배차관리!$AI:$AI,$B135)="","",INDEX(GLAPS컨테이너배차관리!$AI:$AI,$B135))="Y","리퍼",""))))</f>
        <v/>
      </c>
      <c r="R135" t="str">
        <f>IF($B135="","",IF(LEFT(IF(INDEX(GLAPS컨테이너배차관리!$Y:$Y,$B135)="","",INDEX(GLAPS컨테이너배차관리!$Y:$Y,$B135)),2)="22",1,""))</f>
        <v/>
      </c>
      <c r="S135" t="str">
        <f>IF($B135="","",IF(LEFT(IF(INDEX(GLAPS컨테이너배차관리!$Y:$Y,$B135)="","",INDEX(GLAPS컨테이너배차관리!$Y:$Y,$B135)),2)="42",1,""))</f>
        <v/>
      </c>
      <c r="T135" t="str">
        <f>IF($B135="","",IF(LEFT(IF(INDEX(GLAPS컨테이너배차관리!$Y:$Y,$B135)="","",INDEX(GLAPS컨테이너배차관리!$Y:$Y,$B135)),2)="45",1,""))</f>
        <v/>
      </c>
      <c r="U135" t="str">
        <f>IF($B135="","",IF(INDEX(GLAPS컨테이너배차관리!$X:$X,$B135)="","",INDEX(GLAPS컨테이너배차관리!$X:$X,$B135)))</f>
        <v/>
      </c>
      <c r="V135" t="str">
        <f>IF($B135="","",IF(INDEX(GLAPS컨테이너배차관리!$Z:$Z,$B135)="","",INDEX(GLAPS컨테이너배차관리!$Z:$Z,$B135)))</f>
        <v/>
      </c>
      <c r="W135" t="str">
        <f>IF($B135="","",IF(IF(INDEX(GLAPS컨테이너배차관리!$DI:$DI,$B135)="","",INDEX(GLAPS컨테이너배차관리!$DI:$DI,$B135))&lt;&gt;"",IF(INDEX(GLAPS컨테이너배차관리!$DI:$DI,$B135)="","",INDEX(GLAPS컨테이너배차관리!$DI:$DI,$B135)),IF(IF(INDEX(GLAPS컨테이너배차관리!$DJ:$DJ,$B135)="","",INDEX(GLAPS컨테이너배차관리!$DJ:$DJ,$B135))&lt;&gt;"",IF(INDEX(GLAPS컨테이너배차관리!$DJ:$DJ,$B135)="","",INDEX(GLAPS컨테이너배차관리!$DJ:$DJ,$B135)),IF(IF(INDEX(GLAPS컨테이너배차관리!$DK:$DK,$B135)="","",INDEX(GLAPS컨테이너배차관리!$DK:$DK,$B135))&lt;&gt;"",IF(INDEX(GLAPS컨테이너배차관리!$DK:$DK,$B135)="","",INDEX(GLAPS컨테이너배차관리!$DK:$DK,$B135)),IF(IF(INDEX(GLAPS컨테이너배차관리!$DL:$DL,$B135)="","",INDEX(GLAPS컨테이너배차관리!$DL:$DL,$B135))&lt;&gt;"",IF(INDEX(GLAPS컨테이너배차관리!$DL:$DL,$B135)="","",INDEX(GLAPS컨테이너배차관리!$DL:$DL,$B135)),IF(IF(INDEX(GLAPS컨테이너배차관리!$DM:$DM,$B135)="","",INDEX(GLAPS컨테이너배차관리!$DM:$DM,$B135))&lt;&gt;"",IF(INDEX(GLAPS컨테이너배차관리!$DM:$DM,$B135)="","",INDEX(GLAPS컨테이너배차관리!$DM:$DM,$B135)),""))))))</f>
        <v/>
      </c>
      <c r="X135" t="str">
        <f>IF($B135="","",IF(INDEX(GLAPS컨테이너배차관리!$F:$F,$B135)="","",INDEX(GLAPS컨테이너배차관리!$F:$F,$B135)))</f>
        <v/>
      </c>
      <c r="Y135" t="str">
        <f>IF($B135="","",IF(IF(INDEX(GLAPS컨테이너배차관리!$M:$M,$B135)="","",INDEX(GLAPS컨테이너배차관리!$M:$M,$B135))&lt;&gt;"",IF(INDEX(GLAPS컨테이너배차관리!$M:$M,$B135)="","",INDEX(GLAPS컨테이너배차관리!$M:$M,$B135)),IF(IF(INDEX(GLAPS컨테이너배차관리!$N:$N,$B135)="","",INDEX(GLAPS컨테이너배차관리!$N:$N,$B135))&lt;&gt;"",IF(INDEX(GLAPS컨테이너배차관리!$N:$N,$B135)="","",INDEX(GLAPS컨테이너배차관리!$N:$N,$B135)),"")))</f>
        <v/>
      </c>
      <c r="Z135" t="str">
        <f>IF($B135="","",IF(IF(INDEX(GLAPS컨테이너배차관리!$CU:$CU,$B135)="","",INDEX(GLAPS컨테이너배차관리!$CU:$CU,$B135))="","",IFERROR(INT(IF(INDEX(GLAPS컨테이너배차관리!$CU:$CU,$B135)="","",INDEX(GLAPS컨테이너배차관리!$CU:$CU,$B135))),"")))</f>
        <v/>
      </c>
      <c r="AA135" t="str">
        <f>IF($B135="","",IF(AND(IF(INDEX(GLAPS컨테이너배차관리!$CL:$CL,$B135)="","",INDEX(GLAPS컨테이너배차관리!$CL:$CL,$B135))="",IF(INDEX(GLAPS컨테이너배차관리!$CM:$CM,$B135)="","",INDEX(GLAPS컨테이너배차관리!$CM:$CM,$B135))=""),"",IF(OR(IF(INDEX(GLAPS컨테이너배차관리!$CL:$CL,$B135)="","",INDEX(GLAPS컨테이너배차관리!$CL:$CL,$B135))="B000016649",ISNUMBER(SEARCH("B015",IF(INDEX(GLAPS컨테이너배차관리!$CM:$CM,$B135)="","",INDEX(GLAPS컨테이너배차관리!$CM:$CM,$B135)))),ISNUMBER(SEARCH("세방",IF(INDEX(GLAPS컨테이너배차관리!$CM:$CM,$B135)="","",INDEX(GLAPS컨테이너배차관리!$CM:$CM,$B135)))),ISNUMBER(SEARCH("SB",IF(INDEX(GLAPS컨테이너배차관리!$CM:$CM,$B135)="","",INDEX(GLAPS컨테이너배차관리!$CM:$CM,$B135))))),"세방","")))</f>
        <v/>
      </c>
      <c r="AB135" t="str">
        <f>IF($B135="","",IF(IF(INDEX(GLAPS컨테이너배차관리!$CM:$CM,$B135)="","",INDEX(GLAPS컨테이너배차관리!$CM:$CM,$B135))="","",IF(ISNUMBER(SEARCH("이지스두동",IF(INDEX(GLAPS컨테이너배차관리!$CM:$CM,$B135)="","",INDEX(GLAPS컨테이너배차관리!$CM:$CM,$B135)))),"이지스두동",IF(ISNUMBER(SEARCH("이지스녹산",IF(INDEX(GLAPS컨테이너배차관리!$CM:$CM,$B135)="","",INDEX(GLAPS컨테이너배차관리!$CM:$CM,$B135)))),"이지스녹산",IF(ISNUMBER(SEARCH("천우",IF(INDEX(GLAPS컨테이너배차관리!$CM:$CM,$B135)="","",INDEX(GLAPS컨테이너배차관리!$CM:$CM,$B135)))),"천우",IF(OR(ISNUMBER(SEARCH("청암",IF(INDEX(GLAPS컨테이너배차관리!$CM:$CM,$B135)="","",INDEX(GLAPS컨테이너배차관리!$CM:$CM,$B135)))),ISNUMBER(SEARCH("SB청암",IF(INDEX(GLAPS컨테이너배차관리!$CM:$CM,$B135)="","",INDEX(GLAPS컨테이너배차관리!$CM:$CM,$B135))))),"청암신항",IF(INDEX(GLAPS컨테이너배차관리!$CM:$CM,$B135)="","",INDEX(GLAPS컨테이너배차관리!$CM:$CM,$B135))))))))</f>
        <v/>
      </c>
    </row>
    <row r="136" spans="1:28">
      <c r="A136">
        <v>135</v>
      </c>
      <c r="B136" t="str">
        <f>IFERROR(_xlfn.AGGREGATE(15,6,ROW(GLAPS컨테이너배차관리!$X$2:$X$20000)/(GLAPS컨테이너배차관리!$X$2:$X$20000&lt;&gt;""),A136),"")</f>
        <v/>
      </c>
      <c r="C136" t="str">
        <f>IF($B136="","",INT(IF(INDEX(GLAPS컨테이너배차관리!$K:$K,$B136)="","",INDEX(GLAPS컨테이너배차관리!$K:$K,$B136))))</f>
        <v/>
      </c>
      <c r="D136" t="str">
        <f>IF($B136="","",IF(ISNUMBER(SEARCH("이엘에스",IF(INDEX(GLAPS컨테이너배차관리!$AZ:$AZ,$B136)="","",INDEX(GLAPS컨테이너배차관리!$AZ:$AZ,$B136)))),"ELS솔루션",IF(INDEX(GLAPS컨테이너배차관리!$AZ:$AZ,$B136)="","",INDEX(GLAPS컨테이너배차관리!$AZ:$AZ,$B136))))</f>
        <v/>
      </c>
      <c r="E136" t="str">
        <f>IF($B136="","",IF(INDEX(GLAPS컨테이너배차관리!$L:$L,$B136)="","",INDEX(GLAPS컨테이너배차관리!$L:$L,$B136)))</f>
        <v/>
      </c>
      <c r="F136" t="str">
        <f>IF($B136="","",IF(HOUR(IF(INDEX(GLAPS컨테이너배차관리!$L:$L,$B136)="","",INDEX(GLAPS컨테이너배차관리!$L:$L,$B136)))&lt;12,"오전",IF(HOUR(IF(INDEX(GLAPS컨테이너배차관리!$L:$L,$B136)="","",INDEX(GLAPS컨테이너배차관리!$L:$L,$B136)))&lt;18,"오후","잔업")))</f>
        <v/>
      </c>
      <c r="G136" t="str">
        <f>IF($B136="","",IFERROR(INDEX(GLAPS정리!$G$3:$G$264,MATCH(IF(INDEX(GLAPS컨테이너배차관리!$BY:$BY,$B136)="","",INDEX(GLAPS컨테이너배차관리!$BY:$BY,$B136)),GLAPS정리!$H$3:$H$264,0)),TRIM(SUBSTITUTE(SUBSTITUTE(SUBSTITUTE(SUBSTITUTE(SUBSTITUTE(IF(INDEX(GLAPS컨테이너배차관리!$T:$T,$B136)="","",INDEX(GLAPS컨테이너배차관리!$T:$T,$B136)),"[GA]",""),"[GB]",""),"[GC]",""),"[KC]",""),"[GS]",""))))</f>
        <v/>
      </c>
      <c r="H136" t="str">
        <f>IF($B136="","",IFERROR(VLOOKUP(IF(INDEX(GLAPS컨테이너배차관리!$BY:$BY,$B136)="","",INDEX(GLAPS컨테이너배차관리!$BY:$BY,$B136)),GLAPS정리!$BT$3:$BV$200,3,0),""))</f>
        <v/>
      </c>
      <c r="I136" t="str">
        <f>IF($B136="","",LEFT(IF(INDEX(GLAPS컨테이너배차관리!$U:$U,$B136)="","",INDEX(GLAPS컨테이너배차관리!$U:$U,$B136)),FIND("/",IF(INDEX(GLAPS컨테이너배차관리!$U:$U,$B136)="","",INDEX(GLAPS컨테이너배차관리!$U:$U,$B136))&amp;"/")-1))</f>
        <v/>
      </c>
      <c r="J136" t="str">
        <f>IF($B136="","",IF(IF(INDEX(GLAPS컨테이너배차관리!$O:$O,$B136)="","",INDEX(GLAPS컨테이너배차관리!$O:$O,$B136))="EMC","EMA",IFERROR(INDEX(GLAPS정리!$A$2:$A$50,MATCH(IF(INDEX(GLAPS컨테이너배차관리!$O:$O,$B136)="","",INDEX(GLAPS컨테이너배차관리!$O:$O,$B136)),GLAPS정리!$D$2:$D$50,0)),IF(INDEX(GLAPS컨테이너배차관리!$O:$O,$B136)="","",INDEX(GLAPS컨테이너배차관리!$O:$O,$B136)))))</f>
        <v/>
      </c>
      <c r="K136" t="str">
        <f>IF($B136="","",IF(LEFT(IF(INDEX(GLAPS컨테이너배차관리!$Y:$Y,$B136)="","",INDEX(GLAPS컨테이너배차관리!$Y:$Y,$B136)),2)="22","20 Feet",IF(LEFT(IF(INDEX(GLAPS컨테이너배차관리!$Y:$Y,$B136)="","",INDEX(GLAPS컨테이너배차관리!$Y:$Y,$B136)),2)="42","40 Feet","40 Feet H")))</f>
        <v/>
      </c>
      <c r="L136" t="str">
        <f>IF($B136="","",IFERROR(INDEX(GLAPS정리!$BB$2:$BB$80,MATCH(IF(INDEX(GLAPS컨테이너배차관리!$BQ:$BQ,$B136)="","",INDEX(GLAPS컨테이너배차관리!$BQ:$BQ,$B136)),GLAPS정리!$BC$2:$BC$80,0)),IF(INDEX(GLAPS컨테이너배차관리!$BQ:$BQ,$B136)="","",INDEX(GLAPS컨테이너배차관리!$BQ:$BQ,$B136))))</f>
        <v/>
      </c>
      <c r="M136" t="str">
        <f>IF($B136="","",IFERROR(INDEX(GLAPS정리!$V$3:$V$180,MATCH(IF(INDEX(GLAPS컨테이너배차관리!$S:$S,$B136)="","",INDEX(GLAPS컨테이너배차관리!$S:$S,$B136)),GLAPS정리!$W$3:$W$180,0)),IF(INDEX(GLAPS컨테이너배차관리!$S:$S,$B136)="","",INDEX(GLAPS컨테이너배차관리!$S:$S,$B136))))</f>
        <v/>
      </c>
      <c r="N136" t="str">
        <f>IF($B136="","",IF(IF(INDEX(GLAPS컨테이너배차관리!$DF:$DF,$B136)="","",INDEX(GLAPS컨테이너배차관리!$DF:$DF,$B136))&lt;&gt;"",IF(INDEX(GLAPS컨테이너배차관리!$DF:$DF,$B136)="","",INDEX(GLAPS컨테이너배차관리!$DF:$DF,$B136)),IF(IF(INDEX(GLAPS컨테이너배차관리!$DG:$DG,$B136)="","",INDEX(GLAPS컨테이너배차관리!$DG:$DG,$B136))&lt;&gt;"",IF(INDEX(GLAPS컨테이너배차관리!$DG:$DG,$B136)="","",INDEX(GLAPS컨테이너배차관리!$DG:$DG,$B136)),"")))</f>
        <v/>
      </c>
      <c r="O136" t="str">
        <f>IF($B136="","",IF(INDEX(GLAPS컨테이너배차관리!$AB:$AB,$B136)="","",INDEX(GLAPS컨테이너배차관리!$AB:$AB,$B136)))</f>
        <v/>
      </c>
      <c r="P136" t="str">
        <f>IF($B136="","",IF(IF(INDEX(GLAPS컨테이너배차관리!$CP:$CP,$B136)="","",INDEX(GLAPS컨테이너배차관리!$CP:$CP,$B136))="","",IFERROR(INDEX(GLAPS정리!$BH$2:$BH$101,MATCH(IF(INDEX(GLAPS컨테이너배차관리!$CP:$CP,$B136)="","",INDEX(GLAPS컨테이너배차관리!$CP:$CP,$B136)),GLAPS정리!$BI$2:$BI$101,0)),IF(INDEX(GLAPS컨테이너배차관리!$CP:$CP,$B136)="","",INDEX(GLAPS컨테이너배차관리!$CP:$CP,$B136)))))</f>
        <v/>
      </c>
      <c r="Q136" t="str">
        <f>IF($B136="","",IF(AND(IF(INDEX(GLAPS컨테이너배차관리!$AK:$AK,$B136)="","",INDEX(GLAPS컨테이너배차관리!$AK:$AK,$B136))="Y",IF(INDEX(GLAPS컨테이너배차관리!$AI:$AI,$B136)="","",INDEX(GLAPS컨테이너배차관리!$AI:$AI,$B136))="Y"),"위험물리퍼",IF(IF(INDEX(GLAPS컨테이너배차관리!$AK:$AK,$B136)="","",INDEX(GLAPS컨테이너배차관리!$AK:$AK,$B136))="Y","위험물",IF(IF(INDEX(GLAPS컨테이너배차관리!$AI:$AI,$B136)="","",INDEX(GLAPS컨테이너배차관리!$AI:$AI,$B136))="Y","리퍼",""))))</f>
        <v/>
      </c>
      <c r="R136" t="str">
        <f>IF($B136="","",IF(LEFT(IF(INDEX(GLAPS컨테이너배차관리!$Y:$Y,$B136)="","",INDEX(GLAPS컨테이너배차관리!$Y:$Y,$B136)),2)="22",1,""))</f>
        <v/>
      </c>
      <c r="S136" t="str">
        <f>IF($B136="","",IF(LEFT(IF(INDEX(GLAPS컨테이너배차관리!$Y:$Y,$B136)="","",INDEX(GLAPS컨테이너배차관리!$Y:$Y,$B136)),2)="42",1,""))</f>
        <v/>
      </c>
      <c r="T136" t="str">
        <f>IF($B136="","",IF(LEFT(IF(INDEX(GLAPS컨테이너배차관리!$Y:$Y,$B136)="","",INDEX(GLAPS컨테이너배차관리!$Y:$Y,$B136)),2)="45",1,""))</f>
        <v/>
      </c>
      <c r="U136" t="str">
        <f>IF($B136="","",IF(INDEX(GLAPS컨테이너배차관리!$X:$X,$B136)="","",INDEX(GLAPS컨테이너배차관리!$X:$X,$B136)))</f>
        <v/>
      </c>
      <c r="V136" t="str">
        <f>IF($B136="","",IF(INDEX(GLAPS컨테이너배차관리!$Z:$Z,$B136)="","",INDEX(GLAPS컨테이너배차관리!$Z:$Z,$B136)))</f>
        <v/>
      </c>
      <c r="W136" t="str">
        <f>IF($B136="","",IF(IF(INDEX(GLAPS컨테이너배차관리!$DI:$DI,$B136)="","",INDEX(GLAPS컨테이너배차관리!$DI:$DI,$B136))&lt;&gt;"",IF(INDEX(GLAPS컨테이너배차관리!$DI:$DI,$B136)="","",INDEX(GLAPS컨테이너배차관리!$DI:$DI,$B136)),IF(IF(INDEX(GLAPS컨테이너배차관리!$DJ:$DJ,$B136)="","",INDEX(GLAPS컨테이너배차관리!$DJ:$DJ,$B136))&lt;&gt;"",IF(INDEX(GLAPS컨테이너배차관리!$DJ:$DJ,$B136)="","",INDEX(GLAPS컨테이너배차관리!$DJ:$DJ,$B136)),IF(IF(INDEX(GLAPS컨테이너배차관리!$DK:$DK,$B136)="","",INDEX(GLAPS컨테이너배차관리!$DK:$DK,$B136))&lt;&gt;"",IF(INDEX(GLAPS컨테이너배차관리!$DK:$DK,$B136)="","",INDEX(GLAPS컨테이너배차관리!$DK:$DK,$B136)),IF(IF(INDEX(GLAPS컨테이너배차관리!$DL:$DL,$B136)="","",INDEX(GLAPS컨테이너배차관리!$DL:$DL,$B136))&lt;&gt;"",IF(INDEX(GLAPS컨테이너배차관리!$DL:$DL,$B136)="","",INDEX(GLAPS컨테이너배차관리!$DL:$DL,$B136)),IF(IF(INDEX(GLAPS컨테이너배차관리!$DM:$DM,$B136)="","",INDEX(GLAPS컨테이너배차관리!$DM:$DM,$B136))&lt;&gt;"",IF(INDEX(GLAPS컨테이너배차관리!$DM:$DM,$B136)="","",INDEX(GLAPS컨테이너배차관리!$DM:$DM,$B136)),""))))))</f>
        <v/>
      </c>
      <c r="X136" t="str">
        <f>IF($B136="","",IF(INDEX(GLAPS컨테이너배차관리!$F:$F,$B136)="","",INDEX(GLAPS컨테이너배차관리!$F:$F,$B136)))</f>
        <v/>
      </c>
      <c r="Y136" t="str">
        <f>IF($B136="","",IF(IF(INDEX(GLAPS컨테이너배차관리!$M:$M,$B136)="","",INDEX(GLAPS컨테이너배차관리!$M:$M,$B136))&lt;&gt;"",IF(INDEX(GLAPS컨테이너배차관리!$M:$M,$B136)="","",INDEX(GLAPS컨테이너배차관리!$M:$M,$B136)),IF(IF(INDEX(GLAPS컨테이너배차관리!$N:$N,$B136)="","",INDEX(GLAPS컨테이너배차관리!$N:$N,$B136))&lt;&gt;"",IF(INDEX(GLAPS컨테이너배차관리!$N:$N,$B136)="","",INDEX(GLAPS컨테이너배차관리!$N:$N,$B136)),"")))</f>
        <v/>
      </c>
      <c r="Z136" t="str">
        <f>IF($B136="","",IF(IF(INDEX(GLAPS컨테이너배차관리!$CU:$CU,$B136)="","",INDEX(GLAPS컨테이너배차관리!$CU:$CU,$B136))="","",IFERROR(INT(IF(INDEX(GLAPS컨테이너배차관리!$CU:$CU,$B136)="","",INDEX(GLAPS컨테이너배차관리!$CU:$CU,$B136))),"")))</f>
        <v/>
      </c>
      <c r="AA136" t="str">
        <f>IF($B136="","",IF(AND(IF(INDEX(GLAPS컨테이너배차관리!$CL:$CL,$B136)="","",INDEX(GLAPS컨테이너배차관리!$CL:$CL,$B136))="",IF(INDEX(GLAPS컨테이너배차관리!$CM:$CM,$B136)="","",INDEX(GLAPS컨테이너배차관리!$CM:$CM,$B136))=""),"",IF(OR(IF(INDEX(GLAPS컨테이너배차관리!$CL:$CL,$B136)="","",INDEX(GLAPS컨테이너배차관리!$CL:$CL,$B136))="B000016649",ISNUMBER(SEARCH("B015",IF(INDEX(GLAPS컨테이너배차관리!$CM:$CM,$B136)="","",INDEX(GLAPS컨테이너배차관리!$CM:$CM,$B136)))),ISNUMBER(SEARCH("세방",IF(INDEX(GLAPS컨테이너배차관리!$CM:$CM,$B136)="","",INDEX(GLAPS컨테이너배차관리!$CM:$CM,$B136)))),ISNUMBER(SEARCH("SB",IF(INDEX(GLAPS컨테이너배차관리!$CM:$CM,$B136)="","",INDEX(GLAPS컨테이너배차관리!$CM:$CM,$B136))))),"세방","")))</f>
        <v/>
      </c>
      <c r="AB136" t="str">
        <f>IF($B136="","",IF(IF(INDEX(GLAPS컨테이너배차관리!$CM:$CM,$B136)="","",INDEX(GLAPS컨테이너배차관리!$CM:$CM,$B136))="","",IF(ISNUMBER(SEARCH("이지스두동",IF(INDEX(GLAPS컨테이너배차관리!$CM:$CM,$B136)="","",INDEX(GLAPS컨테이너배차관리!$CM:$CM,$B136)))),"이지스두동",IF(ISNUMBER(SEARCH("이지스녹산",IF(INDEX(GLAPS컨테이너배차관리!$CM:$CM,$B136)="","",INDEX(GLAPS컨테이너배차관리!$CM:$CM,$B136)))),"이지스녹산",IF(ISNUMBER(SEARCH("천우",IF(INDEX(GLAPS컨테이너배차관리!$CM:$CM,$B136)="","",INDEX(GLAPS컨테이너배차관리!$CM:$CM,$B136)))),"천우",IF(OR(ISNUMBER(SEARCH("청암",IF(INDEX(GLAPS컨테이너배차관리!$CM:$CM,$B136)="","",INDEX(GLAPS컨테이너배차관리!$CM:$CM,$B136)))),ISNUMBER(SEARCH("SB청암",IF(INDEX(GLAPS컨테이너배차관리!$CM:$CM,$B136)="","",INDEX(GLAPS컨테이너배차관리!$CM:$CM,$B136))))),"청암신항",IF(INDEX(GLAPS컨테이너배차관리!$CM:$CM,$B136)="","",INDEX(GLAPS컨테이너배차관리!$CM:$CM,$B136))))))))</f>
        <v/>
      </c>
    </row>
    <row r="137" spans="1:28">
      <c r="A137">
        <v>136</v>
      </c>
      <c r="B137" t="str">
        <f>IFERROR(_xlfn.AGGREGATE(15,6,ROW(GLAPS컨테이너배차관리!$X$2:$X$20000)/(GLAPS컨테이너배차관리!$X$2:$X$20000&lt;&gt;""),A137),"")</f>
        <v/>
      </c>
      <c r="C137" t="str">
        <f>IF($B137="","",INT(IF(INDEX(GLAPS컨테이너배차관리!$K:$K,$B137)="","",INDEX(GLAPS컨테이너배차관리!$K:$K,$B137))))</f>
        <v/>
      </c>
      <c r="D137" t="str">
        <f>IF($B137="","",IF(ISNUMBER(SEARCH("이엘에스",IF(INDEX(GLAPS컨테이너배차관리!$AZ:$AZ,$B137)="","",INDEX(GLAPS컨테이너배차관리!$AZ:$AZ,$B137)))),"ELS솔루션",IF(INDEX(GLAPS컨테이너배차관리!$AZ:$AZ,$B137)="","",INDEX(GLAPS컨테이너배차관리!$AZ:$AZ,$B137))))</f>
        <v/>
      </c>
      <c r="E137" t="str">
        <f>IF($B137="","",IF(INDEX(GLAPS컨테이너배차관리!$L:$L,$B137)="","",INDEX(GLAPS컨테이너배차관리!$L:$L,$B137)))</f>
        <v/>
      </c>
      <c r="F137" t="str">
        <f>IF($B137="","",IF(HOUR(IF(INDEX(GLAPS컨테이너배차관리!$L:$L,$B137)="","",INDEX(GLAPS컨테이너배차관리!$L:$L,$B137)))&lt;12,"오전",IF(HOUR(IF(INDEX(GLAPS컨테이너배차관리!$L:$L,$B137)="","",INDEX(GLAPS컨테이너배차관리!$L:$L,$B137)))&lt;18,"오후","잔업")))</f>
        <v/>
      </c>
      <c r="G137" t="str">
        <f>IF($B137="","",IFERROR(INDEX(GLAPS정리!$G$3:$G$264,MATCH(IF(INDEX(GLAPS컨테이너배차관리!$BY:$BY,$B137)="","",INDEX(GLAPS컨테이너배차관리!$BY:$BY,$B137)),GLAPS정리!$H$3:$H$264,0)),TRIM(SUBSTITUTE(SUBSTITUTE(SUBSTITUTE(SUBSTITUTE(SUBSTITUTE(IF(INDEX(GLAPS컨테이너배차관리!$T:$T,$B137)="","",INDEX(GLAPS컨테이너배차관리!$T:$T,$B137)),"[GA]",""),"[GB]",""),"[GC]",""),"[KC]",""),"[GS]",""))))</f>
        <v/>
      </c>
      <c r="H137" t="str">
        <f>IF($B137="","",IFERROR(VLOOKUP(IF(INDEX(GLAPS컨테이너배차관리!$BY:$BY,$B137)="","",INDEX(GLAPS컨테이너배차관리!$BY:$BY,$B137)),GLAPS정리!$BT$3:$BV$200,3,0),""))</f>
        <v/>
      </c>
      <c r="I137" t="str">
        <f>IF($B137="","",LEFT(IF(INDEX(GLAPS컨테이너배차관리!$U:$U,$B137)="","",INDEX(GLAPS컨테이너배차관리!$U:$U,$B137)),FIND("/",IF(INDEX(GLAPS컨테이너배차관리!$U:$U,$B137)="","",INDEX(GLAPS컨테이너배차관리!$U:$U,$B137))&amp;"/")-1))</f>
        <v/>
      </c>
      <c r="J137" t="str">
        <f>IF($B137="","",IF(IF(INDEX(GLAPS컨테이너배차관리!$O:$O,$B137)="","",INDEX(GLAPS컨테이너배차관리!$O:$O,$B137))="EMC","EMA",IFERROR(INDEX(GLAPS정리!$A$2:$A$50,MATCH(IF(INDEX(GLAPS컨테이너배차관리!$O:$O,$B137)="","",INDEX(GLAPS컨테이너배차관리!$O:$O,$B137)),GLAPS정리!$D$2:$D$50,0)),IF(INDEX(GLAPS컨테이너배차관리!$O:$O,$B137)="","",INDEX(GLAPS컨테이너배차관리!$O:$O,$B137)))))</f>
        <v/>
      </c>
      <c r="K137" t="str">
        <f>IF($B137="","",IF(LEFT(IF(INDEX(GLAPS컨테이너배차관리!$Y:$Y,$B137)="","",INDEX(GLAPS컨테이너배차관리!$Y:$Y,$B137)),2)="22","20 Feet",IF(LEFT(IF(INDEX(GLAPS컨테이너배차관리!$Y:$Y,$B137)="","",INDEX(GLAPS컨테이너배차관리!$Y:$Y,$B137)),2)="42","40 Feet","40 Feet H")))</f>
        <v/>
      </c>
      <c r="L137" t="str">
        <f>IF($B137="","",IFERROR(INDEX(GLAPS정리!$BB$2:$BB$80,MATCH(IF(INDEX(GLAPS컨테이너배차관리!$BQ:$BQ,$B137)="","",INDEX(GLAPS컨테이너배차관리!$BQ:$BQ,$B137)),GLAPS정리!$BC$2:$BC$80,0)),IF(INDEX(GLAPS컨테이너배차관리!$BQ:$BQ,$B137)="","",INDEX(GLAPS컨테이너배차관리!$BQ:$BQ,$B137))))</f>
        <v/>
      </c>
      <c r="M137" t="str">
        <f>IF($B137="","",IFERROR(INDEX(GLAPS정리!$V$3:$V$180,MATCH(IF(INDEX(GLAPS컨테이너배차관리!$S:$S,$B137)="","",INDEX(GLAPS컨테이너배차관리!$S:$S,$B137)),GLAPS정리!$W$3:$W$180,0)),IF(INDEX(GLAPS컨테이너배차관리!$S:$S,$B137)="","",INDEX(GLAPS컨테이너배차관리!$S:$S,$B137))))</f>
        <v/>
      </c>
      <c r="N137" t="str">
        <f>IF($B137="","",IF(IF(INDEX(GLAPS컨테이너배차관리!$DF:$DF,$B137)="","",INDEX(GLAPS컨테이너배차관리!$DF:$DF,$B137))&lt;&gt;"",IF(INDEX(GLAPS컨테이너배차관리!$DF:$DF,$B137)="","",INDEX(GLAPS컨테이너배차관리!$DF:$DF,$B137)),IF(IF(INDEX(GLAPS컨테이너배차관리!$DG:$DG,$B137)="","",INDEX(GLAPS컨테이너배차관리!$DG:$DG,$B137))&lt;&gt;"",IF(INDEX(GLAPS컨테이너배차관리!$DG:$DG,$B137)="","",INDEX(GLAPS컨테이너배차관리!$DG:$DG,$B137)),"")))</f>
        <v/>
      </c>
      <c r="O137" t="str">
        <f>IF($B137="","",IF(INDEX(GLAPS컨테이너배차관리!$AB:$AB,$B137)="","",INDEX(GLAPS컨테이너배차관리!$AB:$AB,$B137)))</f>
        <v/>
      </c>
      <c r="P137" t="str">
        <f>IF($B137="","",IF(IF(INDEX(GLAPS컨테이너배차관리!$CP:$CP,$B137)="","",INDEX(GLAPS컨테이너배차관리!$CP:$CP,$B137))="","",IFERROR(INDEX(GLAPS정리!$BH$2:$BH$101,MATCH(IF(INDEX(GLAPS컨테이너배차관리!$CP:$CP,$B137)="","",INDEX(GLAPS컨테이너배차관리!$CP:$CP,$B137)),GLAPS정리!$BI$2:$BI$101,0)),IF(INDEX(GLAPS컨테이너배차관리!$CP:$CP,$B137)="","",INDEX(GLAPS컨테이너배차관리!$CP:$CP,$B137)))))</f>
        <v/>
      </c>
      <c r="Q137" t="str">
        <f>IF($B137="","",IF(AND(IF(INDEX(GLAPS컨테이너배차관리!$AK:$AK,$B137)="","",INDEX(GLAPS컨테이너배차관리!$AK:$AK,$B137))="Y",IF(INDEX(GLAPS컨테이너배차관리!$AI:$AI,$B137)="","",INDEX(GLAPS컨테이너배차관리!$AI:$AI,$B137))="Y"),"위험물리퍼",IF(IF(INDEX(GLAPS컨테이너배차관리!$AK:$AK,$B137)="","",INDEX(GLAPS컨테이너배차관리!$AK:$AK,$B137))="Y","위험물",IF(IF(INDEX(GLAPS컨테이너배차관리!$AI:$AI,$B137)="","",INDEX(GLAPS컨테이너배차관리!$AI:$AI,$B137))="Y","리퍼",""))))</f>
        <v/>
      </c>
      <c r="R137" t="str">
        <f>IF($B137="","",IF(LEFT(IF(INDEX(GLAPS컨테이너배차관리!$Y:$Y,$B137)="","",INDEX(GLAPS컨테이너배차관리!$Y:$Y,$B137)),2)="22",1,""))</f>
        <v/>
      </c>
      <c r="S137" t="str">
        <f>IF($B137="","",IF(LEFT(IF(INDEX(GLAPS컨테이너배차관리!$Y:$Y,$B137)="","",INDEX(GLAPS컨테이너배차관리!$Y:$Y,$B137)),2)="42",1,""))</f>
        <v/>
      </c>
      <c r="T137" t="str">
        <f>IF($B137="","",IF(LEFT(IF(INDEX(GLAPS컨테이너배차관리!$Y:$Y,$B137)="","",INDEX(GLAPS컨테이너배차관리!$Y:$Y,$B137)),2)="45",1,""))</f>
        <v/>
      </c>
      <c r="U137" t="str">
        <f>IF($B137="","",IF(INDEX(GLAPS컨테이너배차관리!$X:$X,$B137)="","",INDEX(GLAPS컨테이너배차관리!$X:$X,$B137)))</f>
        <v/>
      </c>
      <c r="V137" t="str">
        <f>IF($B137="","",IF(INDEX(GLAPS컨테이너배차관리!$Z:$Z,$B137)="","",INDEX(GLAPS컨테이너배차관리!$Z:$Z,$B137)))</f>
        <v/>
      </c>
      <c r="W137" t="str">
        <f>IF($B137="","",IF(IF(INDEX(GLAPS컨테이너배차관리!$DI:$DI,$B137)="","",INDEX(GLAPS컨테이너배차관리!$DI:$DI,$B137))&lt;&gt;"",IF(INDEX(GLAPS컨테이너배차관리!$DI:$DI,$B137)="","",INDEX(GLAPS컨테이너배차관리!$DI:$DI,$B137)),IF(IF(INDEX(GLAPS컨테이너배차관리!$DJ:$DJ,$B137)="","",INDEX(GLAPS컨테이너배차관리!$DJ:$DJ,$B137))&lt;&gt;"",IF(INDEX(GLAPS컨테이너배차관리!$DJ:$DJ,$B137)="","",INDEX(GLAPS컨테이너배차관리!$DJ:$DJ,$B137)),IF(IF(INDEX(GLAPS컨테이너배차관리!$DK:$DK,$B137)="","",INDEX(GLAPS컨테이너배차관리!$DK:$DK,$B137))&lt;&gt;"",IF(INDEX(GLAPS컨테이너배차관리!$DK:$DK,$B137)="","",INDEX(GLAPS컨테이너배차관리!$DK:$DK,$B137)),IF(IF(INDEX(GLAPS컨테이너배차관리!$DL:$DL,$B137)="","",INDEX(GLAPS컨테이너배차관리!$DL:$DL,$B137))&lt;&gt;"",IF(INDEX(GLAPS컨테이너배차관리!$DL:$DL,$B137)="","",INDEX(GLAPS컨테이너배차관리!$DL:$DL,$B137)),IF(IF(INDEX(GLAPS컨테이너배차관리!$DM:$DM,$B137)="","",INDEX(GLAPS컨테이너배차관리!$DM:$DM,$B137))&lt;&gt;"",IF(INDEX(GLAPS컨테이너배차관리!$DM:$DM,$B137)="","",INDEX(GLAPS컨테이너배차관리!$DM:$DM,$B137)),""))))))</f>
        <v/>
      </c>
      <c r="X137" t="str">
        <f>IF($B137="","",IF(INDEX(GLAPS컨테이너배차관리!$F:$F,$B137)="","",INDEX(GLAPS컨테이너배차관리!$F:$F,$B137)))</f>
        <v/>
      </c>
      <c r="Y137" t="str">
        <f>IF($B137="","",IF(IF(INDEX(GLAPS컨테이너배차관리!$M:$M,$B137)="","",INDEX(GLAPS컨테이너배차관리!$M:$M,$B137))&lt;&gt;"",IF(INDEX(GLAPS컨테이너배차관리!$M:$M,$B137)="","",INDEX(GLAPS컨테이너배차관리!$M:$M,$B137)),IF(IF(INDEX(GLAPS컨테이너배차관리!$N:$N,$B137)="","",INDEX(GLAPS컨테이너배차관리!$N:$N,$B137))&lt;&gt;"",IF(INDEX(GLAPS컨테이너배차관리!$N:$N,$B137)="","",INDEX(GLAPS컨테이너배차관리!$N:$N,$B137)),"")))</f>
        <v/>
      </c>
      <c r="Z137" t="str">
        <f>IF($B137="","",IF(IF(INDEX(GLAPS컨테이너배차관리!$CU:$CU,$B137)="","",INDEX(GLAPS컨테이너배차관리!$CU:$CU,$B137))="","",IFERROR(INT(IF(INDEX(GLAPS컨테이너배차관리!$CU:$CU,$B137)="","",INDEX(GLAPS컨테이너배차관리!$CU:$CU,$B137))),"")))</f>
        <v/>
      </c>
      <c r="AA137" t="str">
        <f>IF($B137="","",IF(AND(IF(INDEX(GLAPS컨테이너배차관리!$CL:$CL,$B137)="","",INDEX(GLAPS컨테이너배차관리!$CL:$CL,$B137))="",IF(INDEX(GLAPS컨테이너배차관리!$CM:$CM,$B137)="","",INDEX(GLAPS컨테이너배차관리!$CM:$CM,$B137))=""),"",IF(OR(IF(INDEX(GLAPS컨테이너배차관리!$CL:$CL,$B137)="","",INDEX(GLAPS컨테이너배차관리!$CL:$CL,$B137))="B000016649",ISNUMBER(SEARCH("B015",IF(INDEX(GLAPS컨테이너배차관리!$CM:$CM,$B137)="","",INDEX(GLAPS컨테이너배차관리!$CM:$CM,$B137)))),ISNUMBER(SEARCH("세방",IF(INDEX(GLAPS컨테이너배차관리!$CM:$CM,$B137)="","",INDEX(GLAPS컨테이너배차관리!$CM:$CM,$B137)))),ISNUMBER(SEARCH("SB",IF(INDEX(GLAPS컨테이너배차관리!$CM:$CM,$B137)="","",INDEX(GLAPS컨테이너배차관리!$CM:$CM,$B137))))),"세방","")))</f>
        <v/>
      </c>
      <c r="AB137" t="str">
        <f>IF($B137="","",IF(IF(INDEX(GLAPS컨테이너배차관리!$CM:$CM,$B137)="","",INDEX(GLAPS컨테이너배차관리!$CM:$CM,$B137))="","",IF(ISNUMBER(SEARCH("이지스두동",IF(INDEX(GLAPS컨테이너배차관리!$CM:$CM,$B137)="","",INDEX(GLAPS컨테이너배차관리!$CM:$CM,$B137)))),"이지스두동",IF(ISNUMBER(SEARCH("이지스녹산",IF(INDEX(GLAPS컨테이너배차관리!$CM:$CM,$B137)="","",INDEX(GLAPS컨테이너배차관리!$CM:$CM,$B137)))),"이지스녹산",IF(ISNUMBER(SEARCH("천우",IF(INDEX(GLAPS컨테이너배차관리!$CM:$CM,$B137)="","",INDEX(GLAPS컨테이너배차관리!$CM:$CM,$B137)))),"천우",IF(OR(ISNUMBER(SEARCH("청암",IF(INDEX(GLAPS컨테이너배차관리!$CM:$CM,$B137)="","",INDEX(GLAPS컨테이너배차관리!$CM:$CM,$B137)))),ISNUMBER(SEARCH("SB청암",IF(INDEX(GLAPS컨테이너배차관리!$CM:$CM,$B137)="","",INDEX(GLAPS컨테이너배차관리!$CM:$CM,$B137))))),"청암신항",IF(INDEX(GLAPS컨테이너배차관리!$CM:$CM,$B137)="","",INDEX(GLAPS컨테이너배차관리!$CM:$CM,$B137))))))))</f>
        <v/>
      </c>
    </row>
    <row r="138" spans="1:28">
      <c r="A138">
        <v>137</v>
      </c>
      <c r="B138" t="str">
        <f>IFERROR(_xlfn.AGGREGATE(15,6,ROW(GLAPS컨테이너배차관리!$X$2:$X$20000)/(GLAPS컨테이너배차관리!$X$2:$X$20000&lt;&gt;""),A138),"")</f>
        <v/>
      </c>
      <c r="C138" t="str">
        <f>IF($B138="","",INT(IF(INDEX(GLAPS컨테이너배차관리!$K:$K,$B138)="","",INDEX(GLAPS컨테이너배차관리!$K:$K,$B138))))</f>
        <v/>
      </c>
      <c r="D138" t="str">
        <f>IF($B138="","",IF(ISNUMBER(SEARCH("이엘에스",IF(INDEX(GLAPS컨테이너배차관리!$AZ:$AZ,$B138)="","",INDEX(GLAPS컨테이너배차관리!$AZ:$AZ,$B138)))),"ELS솔루션",IF(INDEX(GLAPS컨테이너배차관리!$AZ:$AZ,$B138)="","",INDEX(GLAPS컨테이너배차관리!$AZ:$AZ,$B138))))</f>
        <v/>
      </c>
      <c r="E138" t="str">
        <f>IF($B138="","",IF(INDEX(GLAPS컨테이너배차관리!$L:$L,$B138)="","",INDEX(GLAPS컨테이너배차관리!$L:$L,$B138)))</f>
        <v/>
      </c>
      <c r="F138" t="str">
        <f>IF($B138="","",IF(HOUR(IF(INDEX(GLAPS컨테이너배차관리!$L:$L,$B138)="","",INDEX(GLAPS컨테이너배차관리!$L:$L,$B138)))&lt;12,"오전",IF(HOUR(IF(INDEX(GLAPS컨테이너배차관리!$L:$L,$B138)="","",INDEX(GLAPS컨테이너배차관리!$L:$L,$B138)))&lt;18,"오후","잔업")))</f>
        <v/>
      </c>
      <c r="G138" t="str">
        <f>IF($B138="","",IFERROR(INDEX(GLAPS정리!$G$3:$G$264,MATCH(IF(INDEX(GLAPS컨테이너배차관리!$BY:$BY,$B138)="","",INDEX(GLAPS컨테이너배차관리!$BY:$BY,$B138)),GLAPS정리!$H$3:$H$264,0)),TRIM(SUBSTITUTE(SUBSTITUTE(SUBSTITUTE(SUBSTITUTE(SUBSTITUTE(IF(INDEX(GLAPS컨테이너배차관리!$T:$T,$B138)="","",INDEX(GLAPS컨테이너배차관리!$T:$T,$B138)),"[GA]",""),"[GB]",""),"[GC]",""),"[KC]",""),"[GS]",""))))</f>
        <v/>
      </c>
      <c r="H138" t="str">
        <f>IF($B138="","",IFERROR(VLOOKUP(IF(INDEX(GLAPS컨테이너배차관리!$BY:$BY,$B138)="","",INDEX(GLAPS컨테이너배차관리!$BY:$BY,$B138)),GLAPS정리!$BT$3:$BV$200,3,0),""))</f>
        <v/>
      </c>
      <c r="I138" t="str">
        <f>IF($B138="","",LEFT(IF(INDEX(GLAPS컨테이너배차관리!$U:$U,$B138)="","",INDEX(GLAPS컨테이너배차관리!$U:$U,$B138)),FIND("/",IF(INDEX(GLAPS컨테이너배차관리!$U:$U,$B138)="","",INDEX(GLAPS컨테이너배차관리!$U:$U,$B138))&amp;"/")-1))</f>
        <v/>
      </c>
      <c r="J138" t="str">
        <f>IF($B138="","",IF(IF(INDEX(GLAPS컨테이너배차관리!$O:$O,$B138)="","",INDEX(GLAPS컨테이너배차관리!$O:$O,$B138))="EMC","EMA",IFERROR(INDEX(GLAPS정리!$A$2:$A$50,MATCH(IF(INDEX(GLAPS컨테이너배차관리!$O:$O,$B138)="","",INDEX(GLAPS컨테이너배차관리!$O:$O,$B138)),GLAPS정리!$D$2:$D$50,0)),IF(INDEX(GLAPS컨테이너배차관리!$O:$O,$B138)="","",INDEX(GLAPS컨테이너배차관리!$O:$O,$B138)))))</f>
        <v/>
      </c>
      <c r="K138" t="str">
        <f>IF($B138="","",IF(LEFT(IF(INDEX(GLAPS컨테이너배차관리!$Y:$Y,$B138)="","",INDEX(GLAPS컨테이너배차관리!$Y:$Y,$B138)),2)="22","20 Feet",IF(LEFT(IF(INDEX(GLAPS컨테이너배차관리!$Y:$Y,$B138)="","",INDEX(GLAPS컨테이너배차관리!$Y:$Y,$B138)),2)="42","40 Feet","40 Feet H")))</f>
        <v/>
      </c>
      <c r="L138" t="str">
        <f>IF($B138="","",IFERROR(INDEX(GLAPS정리!$BB$2:$BB$80,MATCH(IF(INDEX(GLAPS컨테이너배차관리!$BQ:$BQ,$B138)="","",INDEX(GLAPS컨테이너배차관리!$BQ:$BQ,$B138)),GLAPS정리!$BC$2:$BC$80,0)),IF(INDEX(GLAPS컨테이너배차관리!$BQ:$BQ,$B138)="","",INDEX(GLAPS컨테이너배차관리!$BQ:$BQ,$B138))))</f>
        <v/>
      </c>
      <c r="M138" t="str">
        <f>IF($B138="","",IFERROR(INDEX(GLAPS정리!$V$3:$V$180,MATCH(IF(INDEX(GLAPS컨테이너배차관리!$S:$S,$B138)="","",INDEX(GLAPS컨테이너배차관리!$S:$S,$B138)),GLAPS정리!$W$3:$W$180,0)),IF(INDEX(GLAPS컨테이너배차관리!$S:$S,$B138)="","",INDEX(GLAPS컨테이너배차관리!$S:$S,$B138))))</f>
        <v/>
      </c>
      <c r="N138" t="str">
        <f>IF($B138="","",IF(IF(INDEX(GLAPS컨테이너배차관리!$DF:$DF,$B138)="","",INDEX(GLAPS컨테이너배차관리!$DF:$DF,$B138))&lt;&gt;"",IF(INDEX(GLAPS컨테이너배차관리!$DF:$DF,$B138)="","",INDEX(GLAPS컨테이너배차관리!$DF:$DF,$B138)),IF(IF(INDEX(GLAPS컨테이너배차관리!$DG:$DG,$B138)="","",INDEX(GLAPS컨테이너배차관리!$DG:$DG,$B138))&lt;&gt;"",IF(INDEX(GLAPS컨테이너배차관리!$DG:$DG,$B138)="","",INDEX(GLAPS컨테이너배차관리!$DG:$DG,$B138)),"")))</f>
        <v/>
      </c>
      <c r="O138" t="str">
        <f>IF($B138="","",IF(INDEX(GLAPS컨테이너배차관리!$AB:$AB,$B138)="","",INDEX(GLAPS컨테이너배차관리!$AB:$AB,$B138)))</f>
        <v/>
      </c>
      <c r="P138" t="str">
        <f>IF($B138="","",IF(IF(INDEX(GLAPS컨테이너배차관리!$CP:$CP,$B138)="","",INDEX(GLAPS컨테이너배차관리!$CP:$CP,$B138))="","",IFERROR(INDEX(GLAPS정리!$BH$2:$BH$101,MATCH(IF(INDEX(GLAPS컨테이너배차관리!$CP:$CP,$B138)="","",INDEX(GLAPS컨테이너배차관리!$CP:$CP,$B138)),GLAPS정리!$BI$2:$BI$101,0)),IF(INDEX(GLAPS컨테이너배차관리!$CP:$CP,$B138)="","",INDEX(GLAPS컨테이너배차관리!$CP:$CP,$B138)))))</f>
        <v/>
      </c>
      <c r="Q138" t="str">
        <f>IF($B138="","",IF(AND(IF(INDEX(GLAPS컨테이너배차관리!$AK:$AK,$B138)="","",INDEX(GLAPS컨테이너배차관리!$AK:$AK,$B138))="Y",IF(INDEX(GLAPS컨테이너배차관리!$AI:$AI,$B138)="","",INDEX(GLAPS컨테이너배차관리!$AI:$AI,$B138))="Y"),"위험물리퍼",IF(IF(INDEX(GLAPS컨테이너배차관리!$AK:$AK,$B138)="","",INDEX(GLAPS컨테이너배차관리!$AK:$AK,$B138))="Y","위험물",IF(IF(INDEX(GLAPS컨테이너배차관리!$AI:$AI,$B138)="","",INDEX(GLAPS컨테이너배차관리!$AI:$AI,$B138))="Y","리퍼",""))))</f>
        <v/>
      </c>
      <c r="R138" t="str">
        <f>IF($B138="","",IF(LEFT(IF(INDEX(GLAPS컨테이너배차관리!$Y:$Y,$B138)="","",INDEX(GLAPS컨테이너배차관리!$Y:$Y,$B138)),2)="22",1,""))</f>
        <v/>
      </c>
      <c r="S138" t="str">
        <f>IF($B138="","",IF(LEFT(IF(INDEX(GLAPS컨테이너배차관리!$Y:$Y,$B138)="","",INDEX(GLAPS컨테이너배차관리!$Y:$Y,$B138)),2)="42",1,""))</f>
        <v/>
      </c>
      <c r="T138" t="str">
        <f>IF($B138="","",IF(LEFT(IF(INDEX(GLAPS컨테이너배차관리!$Y:$Y,$B138)="","",INDEX(GLAPS컨테이너배차관리!$Y:$Y,$B138)),2)="45",1,""))</f>
        <v/>
      </c>
      <c r="U138" t="str">
        <f>IF($B138="","",IF(INDEX(GLAPS컨테이너배차관리!$X:$X,$B138)="","",INDEX(GLAPS컨테이너배차관리!$X:$X,$B138)))</f>
        <v/>
      </c>
      <c r="V138" t="str">
        <f>IF($B138="","",IF(INDEX(GLAPS컨테이너배차관리!$Z:$Z,$B138)="","",INDEX(GLAPS컨테이너배차관리!$Z:$Z,$B138)))</f>
        <v/>
      </c>
      <c r="W138" t="str">
        <f>IF($B138="","",IF(IF(INDEX(GLAPS컨테이너배차관리!$DI:$DI,$B138)="","",INDEX(GLAPS컨테이너배차관리!$DI:$DI,$B138))&lt;&gt;"",IF(INDEX(GLAPS컨테이너배차관리!$DI:$DI,$B138)="","",INDEX(GLAPS컨테이너배차관리!$DI:$DI,$B138)),IF(IF(INDEX(GLAPS컨테이너배차관리!$DJ:$DJ,$B138)="","",INDEX(GLAPS컨테이너배차관리!$DJ:$DJ,$B138))&lt;&gt;"",IF(INDEX(GLAPS컨테이너배차관리!$DJ:$DJ,$B138)="","",INDEX(GLAPS컨테이너배차관리!$DJ:$DJ,$B138)),IF(IF(INDEX(GLAPS컨테이너배차관리!$DK:$DK,$B138)="","",INDEX(GLAPS컨테이너배차관리!$DK:$DK,$B138))&lt;&gt;"",IF(INDEX(GLAPS컨테이너배차관리!$DK:$DK,$B138)="","",INDEX(GLAPS컨테이너배차관리!$DK:$DK,$B138)),IF(IF(INDEX(GLAPS컨테이너배차관리!$DL:$DL,$B138)="","",INDEX(GLAPS컨테이너배차관리!$DL:$DL,$B138))&lt;&gt;"",IF(INDEX(GLAPS컨테이너배차관리!$DL:$DL,$B138)="","",INDEX(GLAPS컨테이너배차관리!$DL:$DL,$B138)),IF(IF(INDEX(GLAPS컨테이너배차관리!$DM:$DM,$B138)="","",INDEX(GLAPS컨테이너배차관리!$DM:$DM,$B138))&lt;&gt;"",IF(INDEX(GLAPS컨테이너배차관리!$DM:$DM,$B138)="","",INDEX(GLAPS컨테이너배차관리!$DM:$DM,$B138)),""))))))</f>
        <v/>
      </c>
      <c r="X138" t="str">
        <f>IF($B138="","",IF(INDEX(GLAPS컨테이너배차관리!$F:$F,$B138)="","",INDEX(GLAPS컨테이너배차관리!$F:$F,$B138)))</f>
        <v/>
      </c>
      <c r="Y138" t="str">
        <f>IF($B138="","",IF(IF(INDEX(GLAPS컨테이너배차관리!$M:$M,$B138)="","",INDEX(GLAPS컨테이너배차관리!$M:$M,$B138))&lt;&gt;"",IF(INDEX(GLAPS컨테이너배차관리!$M:$M,$B138)="","",INDEX(GLAPS컨테이너배차관리!$M:$M,$B138)),IF(IF(INDEX(GLAPS컨테이너배차관리!$N:$N,$B138)="","",INDEX(GLAPS컨테이너배차관리!$N:$N,$B138))&lt;&gt;"",IF(INDEX(GLAPS컨테이너배차관리!$N:$N,$B138)="","",INDEX(GLAPS컨테이너배차관리!$N:$N,$B138)),"")))</f>
        <v/>
      </c>
      <c r="Z138" t="str">
        <f>IF($B138="","",IF(IF(INDEX(GLAPS컨테이너배차관리!$CU:$CU,$B138)="","",INDEX(GLAPS컨테이너배차관리!$CU:$CU,$B138))="","",IFERROR(INT(IF(INDEX(GLAPS컨테이너배차관리!$CU:$CU,$B138)="","",INDEX(GLAPS컨테이너배차관리!$CU:$CU,$B138))),"")))</f>
        <v/>
      </c>
      <c r="AA138" t="str">
        <f>IF($B138="","",IF(AND(IF(INDEX(GLAPS컨테이너배차관리!$CL:$CL,$B138)="","",INDEX(GLAPS컨테이너배차관리!$CL:$CL,$B138))="",IF(INDEX(GLAPS컨테이너배차관리!$CM:$CM,$B138)="","",INDEX(GLAPS컨테이너배차관리!$CM:$CM,$B138))=""),"",IF(OR(IF(INDEX(GLAPS컨테이너배차관리!$CL:$CL,$B138)="","",INDEX(GLAPS컨테이너배차관리!$CL:$CL,$B138))="B000016649",ISNUMBER(SEARCH("B015",IF(INDEX(GLAPS컨테이너배차관리!$CM:$CM,$B138)="","",INDEX(GLAPS컨테이너배차관리!$CM:$CM,$B138)))),ISNUMBER(SEARCH("세방",IF(INDEX(GLAPS컨테이너배차관리!$CM:$CM,$B138)="","",INDEX(GLAPS컨테이너배차관리!$CM:$CM,$B138)))),ISNUMBER(SEARCH("SB",IF(INDEX(GLAPS컨테이너배차관리!$CM:$CM,$B138)="","",INDEX(GLAPS컨테이너배차관리!$CM:$CM,$B138))))),"세방","")))</f>
        <v/>
      </c>
      <c r="AB138" t="str">
        <f>IF($B138="","",IF(IF(INDEX(GLAPS컨테이너배차관리!$CM:$CM,$B138)="","",INDEX(GLAPS컨테이너배차관리!$CM:$CM,$B138))="","",IF(ISNUMBER(SEARCH("이지스두동",IF(INDEX(GLAPS컨테이너배차관리!$CM:$CM,$B138)="","",INDEX(GLAPS컨테이너배차관리!$CM:$CM,$B138)))),"이지스두동",IF(ISNUMBER(SEARCH("이지스녹산",IF(INDEX(GLAPS컨테이너배차관리!$CM:$CM,$B138)="","",INDEX(GLAPS컨테이너배차관리!$CM:$CM,$B138)))),"이지스녹산",IF(ISNUMBER(SEARCH("천우",IF(INDEX(GLAPS컨테이너배차관리!$CM:$CM,$B138)="","",INDEX(GLAPS컨테이너배차관리!$CM:$CM,$B138)))),"천우",IF(OR(ISNUMBER(SEARCH("청암",IF(INDEX(GLAPS컨테이너배차관리!$CM:$CM,$B138)="","",INDEX(GLAPS컨테이너배차관리!$CM:$CM,$B138)))),ISNUMBER(SEARCH("SB청암",IF(INDEX(GLAPS컨테이너배차관리!$CM:$CM,$B138)="","",INDEX(GLAPS컨테이너배차관리!$CM:$CM,$B138))))),"청암신항",IF(INDEX(GLAPS컨테이너배차관리!$CM:$CM,$B138)="","",INDEX(GLAPS컨테이너배차관리!$CM:$CM,$B138))))))))</f>
        <v/>
      </c>
    </row>
    <row r="139" spans="1:28">
      <c r="A139">
        <v>138</v>
      </c>
      <c r="B139" t="str">
        <f>IFERROR(_xlfn.AGGREGATE(15,6,ROW(GLAPS컨테이너배차관리!$X$2:$X$20000)/(GLAPS컨테이너배차관리!$X$2:$X$20000&lt;&gt;""),A139),"")</f>
        <v/>
      </c>
      <c r="C139" t="str">
        <f>IF($B139="","",INT(IF(INDEX(GLAPS컨테이너배차관리!$K:$K,$B139)="","",INDEX(GLAPS컨테이너배차관리!$K:$K,$B139))))</f>
        <v/>
      </c>
      <c r="D139" t="str">
        <f>IF($B139="","",IF(ISNUMBER(SEARCH("이엘에스",IF(INDEX(GLAPS컨테이너배차관리!$AZ:$AZ,$B139)="","",INDEX(GLAPS컨테이너배차관리!$AZ:$AZ,$B139)))),"ELS솔루션",IF(INDEX(GLAPS컨테이너배차관리!$AZ:$AZ,$B139)="","",INDEX(GLAPS컨테이너배차관리!$AZ:$AZ,$B139))))</f>
        <v/>
      </c>
      <c r="E139" t="str">
        <f>IF($B139="","",IF(INDEX(GLAPS컨테이너배차관리!$L:$L,$B139)="","",INDEX(GLAPS컨테이너배차관리!$L:$L,$B139)))</f>
        <v/>
      </c>
      <c r="F139" t="str">
        <f>IF($B139="","",IF(HOUR(IF(INDEX(GLAPS컨테이너배차관리!$L:$L,$B139)="","",INDEX(GLAPS컨테이너배차관리!$L:$L,$B139)))&lt;12,"오전",IF(HOUR(IF(INDEX(GLAPS컨테이너배차관리!$L:$L,$B139)="","",INDEX(GLAPS컨테이너배차관리!$L:$L,$B139)))&lt;18,"오후","잔업")))</f>
        <v/>
      </c>
      <c r="G139" t="str">
        <f>IF($B139="","",IFERROR(INDEX(GLAPS정리!$G$3:$G$264,MATCH(IF(INDEX(GLAPS컨테이너배차관리!$BY:$BY,$B139)="","",INDEX(GLAPS컨테이너배차관리!$BY:$BY,$B139)),GLAPS정리!$H$3:$H$264,0)),TRIM(SUBSTITUTE(SUBSTITUTE(SUBSTITUTE(SUBSTITUTE(SUBSTITUTE(IF(INDEX(GLAPS컨테이너배차관리!$T:$T,$B139)="","",INDEX(GLAPS컨테이너배차관리!$T:$T,$B139)),"[GA]",""),"[GB]",""),"[GC]",""),"[KC]",""),"[GS]",""))))</f>
        <v/>
      </c>
      <c r="H139" t="str">
        <f>IF($B139="","",IFERROR(VLOOKUP(IF(INDEX(GLAPS컨테이너배차관리!$BY:$BY,$B139)="","",INDEX(GLAPS컨테이너배차관리!$BY:$BY,$B139)),GLAPS정리!$BT$3:$BV$200,3,0),""))</f>
        <v/>
      </c>
      <c r="I139" t="str">
        <f>IF($B139="","",LEFT(IF(INDEX(GLAPS컨테이너배차관리!$U:$U,$B139)="","",INDEX(GLAPS컨테이너배차관리!$U:$U,$B139)),FIND("/",IF(INDEX(GLAPS컨테이너배차관리!$U:$U,$B139)="","",INDEX(GLAPS컨테이너배차관리!$U:$U,$B139))&amp;"/")-1))</f>
        <v/>
      </c>
      <c r="J139" t="str">
        <f>IF($B139="","",IF(IF(INDEX(GLAPS컨테이너배차관리!$O:$O,$B139)="","",INDEX(GLAPS컨테이너배차관리!$O:$O,$B139))="EMC","EMA",IFERROR(INDEX(GLAPS정리!$A$2:$A$50,MATCH(IF(INDEX(GLAPS컨테이너배차관리!$O:$O,$B139)="","",INDEX(GLAPS컨테이너배차관리!$O:$O,$B139)),GLAPS정리!$D$2:$D$50,0)),IF(INDEX(GLAPS컨테이너배차관리!$O:$O,$B139)="","",INDEX(GLAPS컨테이너배차관리!$O:$O,$B139)))))</f>
        <v/>
      </c>
      <c r="K139" t="str">
        <f>IF($B139="","",IF(LEFT(IF(INDEX(GLAPS컨테이너배차관리!$Y:$Y,$B139)="","",INDEX(GLAPS컨테이너배차관리!$Y:$Y,$B139)),2)="22","20 Feet",IF(LEFT(IF(INDEX(GLAPS컨테이너배차관리!$Y:$Y,$B139)="","",INDEX(GLAPS컨테이너배차관리!$Y:$Y,$B139)),2)="42","40 Feet","40 Feet H")))</f>
        <v/>
      </c>
      <c r="L139" t="str">
        <f>IF($B139="","",IFERROR(INDEX(GLAPS정리!$BB$2:$BB$80,MATCH(IF(INDEX(GLAPS컨테이너배차관리!$BQ:$BQ,$B139)="","",INDEX(GLAPS컨테이너배차관리!$BQ:$BQ,$B139)),GLAPS정리!$BC$2:$BC$80,0)),IF(INDEX(GLAPS컨테이너배차관리!$BQ:$BQ,$B139)="","",INDEX(GLAPS컨테이너배차관리!$BQ:$BQ,$B139))))</f>
        <v/>
      </c>
      <c r="M139" t="str">
        <f>IF($B139="","",IFERROR(INDEX(GLAPS정리!$V$3:$V$180,MATCH(IF(INDEX(GLAPS컨테이너배차관리!$S:$S,$B139)="","",INDEX(GLAPS컨테이너배차관리!$S:$S,$B139)),GLAPS정리!$W$3:$W$180,0)),IF(INDEX(GLAPS컨테이너배차관리!$S:$S,$B139)="","",INDEX(GLAPS컨테이너배차관리!$S:$S,$B139))))</f>
        <v/>
      </c>
      <c r="N139" t="str">
        <f>IF($B139="","",IF(IF(INDEX(GLAPS컨테이너배차관리!$DF:$DF,$B139)="","",INDEX(GLAPS컨테이너배차관리!$DF:$DF,$B139))&lt;&gt;"",IF(INDEX(GLAPS컨테이너배차관리!$DF:$DF,$B139)="","",INDEX(GLAPS컨테이너배차관리!$DF:$DF,$B139)),IF(IF(INDEX(GLAPS컨테이너배차관리!$DG:$DG,$B139)="","",INDEX(GLAPS컨테이너배차관리!$DG:$DG,$B139))&lt;&gt;"",IF(INDEX(GLAPS컨테이너배차관리!$DG:$DG,$B139)="","",INDEX(GLAPS컨테이너배차관리!$DG:$DG,$B139)),"")))</f>
        <v/>
      </c>
      <c r="O139" t="str">
        <f>IF($B139="","",IF(INDEX(GLAPS컨테이너배차관리!$AB:$AB,$B139)="","",INDEX(GLAPS컨테이너배차관리!$AB:$AB,$B139)))</f>
        <v/>
      </c>
      <c r="P139" t="str">
        <f>IF($B139="","",IF(IF(INDEX(GLAPS컨테이너배차관리!$CP:$CP,$B139)="","",INDEX(GLAPS컨테이너배차관리!$CP:$CP,$B139))="","",IFERROR(INDEX(GLAPS정리!$BH$2:$BH$101,MATCH(IF(INDEX(GLAPS컨테이너배차관리!$CP:$CP,$B139)="","",INDEX(GLAPS컨테이너배차관리!$CP:$CP,$B139)),GLAPS정리!$BI$2:$BI$101,0)),IF(INDEX(GLAPS컨테이너배차관리!$CP:$CP,$B139)="","",INDEX(GLAPS컨테이너배차관리!$CP:$CP,$B139)))))</f>
        <v/>
      </c>
      <c r="Q139" t="str">
        <f>IF($B139="","",IF(AND(IF(INDEX(GLAPS컨테이너배차관리!$AK:$AK,$B139)="","",INDEX(GLAPS컨테이너배차관리!$AK:$AK,$B139))="Y",IF(INDEX(GLAPS컨테이너배차관리!$AI:$AI,$B139)="","",INDEX(GLAPS컨테이너배차관리!$AI:$AI,$B139))="Y"),"위험물리퍼",IF(IF(INDEX(GLAPS컨테이너배차관리!$AK:$AK,$B139)="","",INDEX(GLAPS컨테이너배차관리!$AK:$AK,$B139))="Y","위험물",IF(IF(INDEX(GLAPS컨테이너배차관리!$AI:$AI,$B139)="","",INDEX(GLAPS컨테이너배차관리!$AI:$AI,$B139))="Y","리퍼",""))))</f>
        <v/>
      </c>
      <c r="R139" t="str">
        <f>IF($B139="","",IF(LEFT(IF(INDEX(GLAPS컨테이너배차관리!$Y:$Y,$B139)="","",INDEX(GLAPS컨테이너배차관리!$Y:$Y,$B139)),2)="22",1,""))</f>
        <v/>
      </c>
      <c r="S139" t="str">
        <f>IF($B139="","",IF(LEFT(IF(INDEX(GLAPS컨테이너배차관리!$Y:$Y,$B139)="","",INDEX(GLAPS컨테이너배차관리!$Y:$Y,$B139)),2)="42",1,""))</f>
        <v/>
      </c>
      <c r="T139" t="str">
        <f>IF($B139="","",IF(LEFT(IF(INDEX(GLAPS컨테이너배차관리!$Y:$Y,$B139)="","",INDEX(GLAPS컨테이너배차관리!$Y:$Y,$B139)),2)="45",1,""))</f>
        <v/>
      </c>
      <c r="U139" t="str">
        <f>IF($B139="","",IF(INDEX(GLAPS컨테이너배차관리!$X:$X,$B139)="","",INDEX(GLAPS컨테이너배차관리!$X:$X,$B139)))</f>
        <v/>
      </c>
      <c r="V139" t="str">
        <f>IF($B139="","",IF(INDEX(GLAPS컨테이너배차관리!$Z:$Z,$B139)="","",INDEX(GLAPS컨테이너배차관리!$Z:$Z,$B139)))</f>
        <v/>
      </c>
      <c r="W139" t="str">
        <f>IF($B139="","",IF(IF(INDEX(GLAPS컨테이너배차관리!$DI:$DI,$B139)="","",INDEX(GLAPS컨테이너배차관리!$DI:$DI,$B139))&lt;&gt;"",IF(INDEX(GLAPS컨테이너배차관리!$DI:$DI,$B139)="","",INDEX(GLAPS컨테이너배차관리!$DI:$DI,$B139)),IF(IF(INDEX(GLAPS컨테이너배차관리!$DJ:$DJ,$B139)="","",INDEX(GLAPS컨테이너배차관리!$DJ:$DJ,$B139))&lt;&gt;"",IF(INDEX(GLAPS컨테이너배차관리!$DJ:$DJ,$B139)="","",INDEX(GLAPS컨테이너배차관리!$DJ:$DJ,$B139)),IF(IF(INDEX(GLAPS컨테이너배차관리!$DK:$DK,$B139)="","",INDEX(GLAPS컨테이너배차관리!$DK:$DK,$B139))&lt;&gt;"",IF(INDEX(GLAPS컨테이너배차관리!$DK:$DK,$B139)="","",INDEX(GLAPS컨테이너배차관리!$DK:$DK,$B139)),IF(IF(INDEX(GLAPS컨테이너배차관리!$DL:$DL,$B139)="","",INDEX(GLAPS컨테이너배차관리!$DL:$DL,$B139))&lt;&gt;"",IF(INDEX(GLAPS컨테이너배차관리!$DL:$DL,$B139)="","",INDEX(GLAPS컨테이너배차관리!$DL:$DL,$B139)),IF(IF(INDEX(GLAPS컨테이너배차관리!$DM:$DM,$B139)="","",INDEX(GLAPS컨테이너배차관리!$DM:$DM,$B139))&lt;&gt;"",IF(INDEX(GLAPS컨테이너배차관리!$DM:$DM,$B139)="","",INDEX(GLAPS컨테이너배차관리!$DM:$DM,$B139)),""))))))</f>
        <v/>
      </c>
      <c r="X139" t="str">
        <f>IF($B139="","",IF(INDEX(GLAPS컨테이너배차관리!$F:$F,$B139)="","",INDEX(GLAPS컨테이너배차관리!$F:$F,$B139)))</f>
        <v/>
      </c>
      <c r="Y139" t="str">
        <f>IF($B139="","",IF(IF(INDEX(GLAPS컨테이너배차관리!$M:$M,$B139)="","",INDEX(GLAPS컨테이너배차관리!$M:$M,$B139))&lt;&gt;"",IF(INDEX(GLAPS컨테이너배차관리!$M:$M,$B139)="","",INDEX(GLAPS컨테이너배차관리!$M:$M,$B139)),IF(IF(INDEX(GLAPS컨테이너배차관리!$N:$N,$B139)="","",INDEX(GLAPS컨테이너배차관리!$N:$N,$B139))&lt;&gt;"",IF(INDEX(GLAPS컨테이너배차관리!$N:$N,$B139)="","",INDEX(GLAPS컨테이너배차관리!$N:$N,$B139)),"")))</f>
        <v/>
      </c>
      <c r="Z139" t="str">
        <f>IF($B139="","",IF(IF(INDEX(GLAPS컨테이너배차관리!$CU:$CU,$B139)="","",INDEX(GLAPS컨테이너배차관리!$CU:$CU,$B139))="","",IFERROR(INT(IF(INDEX(GLAPS컨테이너배차관리!$CU:$CU,$B139)="","",INDEX(GLAPS컨테이너배차관리!$CU:$CU,$B139))),"")))</f>
        <v/>
      </c>
      <c r="AA139" t="str">
        <f>IF($B139="","",IF(AND(IF(INDEX(GLAPS컨테이너배차관리!$CL:$CL,$B139)="","",INDEX(GLAPS컨테이너배차관리!$CL:$CL,$B139))="",IF(INDEX(GLAPS컨테이너배차관리!$CM:$CM,$B139)="","",INDEX(GLAPS컨테이너배차관리!$CM:$CM,$B139))=""),"",IF(OR(IF(INDEX(GLAPS컨테이너배차관리!$CL:$CL,$B139)="","",INDEX(GLAPS컨테이너배차관리!$CL:$CL,$B139))="B000016649",ISNUMBER(SEARCH("B015",IF(INDEX(GLAPS컨테이너배차관리!$CM:$CM,$B139)="","",INDEX(GLAPS컨테이너배차관리!$CM:$CM,$B139)))),ISNUMBER(SEARCH("세방",IF(INDEX(GLAPS컨테이너배차관리!$CM:$CM,$B139)="","",INDEX(GLAPS컨테이너배차관리!$CM:$CM,$B139)))),ISNUMBER(SEARCH("SB",IF(INDEX(GLAPS컨테이너배차관리!$CM:$CM,$B139)="","",INDEX(GLAPS컨테이너배차관리!$CM:$CM,$B139))))),"세방","")))</f>
        <v/>
      </c>
      <c r="AB139" t="str">
        <f>IF($B139="","",IF(IF(INDEX(GLAPS컨테이너배차관리!$CM:$CM,$B139)="","",INDEX(GLAPS컨테이너배차관리!$CM:$CM,$B139))="","",IF(ISNUMBER(SEARCH("이지스두동",IF(INDEX(GLAPS컨테이너배차관리!$CM:$CM,$B139)="","",INDEX(GLAPS컨테이너배차관리!$CM:$CM,$B139)))),"이지스두동",IF(ISNUMBER(SEARCH("이지스녹산",IF(INDEX(GLAPS컨테이너배차관리!$CM:$CM,$B139)="","",INDEX(GLAPS컨테이너배차관리!$CM:$CM,$B139)))),"이지스녹산",IF(ISNUMBER(SEARCH("천우",IF(INDEX(GLAPS컨테이너배차관리!$CM:$CM,$B139)="","",INDEX(GLAPS컨테이너배차관리!$CM:$CM,$B139)))),"천우",IF(OR(ISNUMBER(SEARCH("청암",IF(INDEX(GLAPS컨테이너배차관리!$CM:$CM,$B139)="","",INDEX(GLAPS컨테이너배차관리!$CM:$CM,$B139)))),ISNUMBER(SEARCH("SB청암",IF(INDEX(GLAPS컨테이너배차관리!$CM:$CM,$B139)="","",INDEX(GLAPS컨테이너배차관리!$CM:$CM,$B139))))),"청암신항",IF(INDEX(GLAPS컨테이너배차관리!$CM:$CM,$B139)="","",INDEX(GLAPS컨테이너배차관리!$CM:$CM,$B139))))))))</f>
        <v/>
      </c>
    </row>
    <row r="140" spans="1:28">
      <c r="A140">
        <v>139</v>
      </c>
      <c r="B140" t="str">
        <f>IFERROR(_xlfn.AGGREGATE(15,6,ROW(GLAPS컨테이너배차관리!$X$2:$X$20000)/(GLAPS컨테이너배차관리!$X$2:$X$20000&lt;&gt;""),A140),"")</f>
        <v/>
      </c>
      <c r="C140" t="str">
        <f>IF($B140="","",INT(IF(INDEX(GLAPS컨테이너배차관리!$K:$K,$B140)="","",INDEX(GLAPS컨테이너배차관리!$K:$K,$B140))))</f>
        <v/>
      </c>
      <c r="D140" t="str">
        <f>IF($B140="","",IF(ISNUMBER(SEARCH("이엘에스",IF(INDEX(GLAPS컨테이너배차관리!$AZ:$AZ,$B140)="","",INDEX(GLAPS컨테이너배차관리!$AZ:$AZ,$B140)))),"ELS솔루션",IF(INDEX(GLAPS컨테이너배차관리!$AZ:$AZ,$B140)="","",INDEX(GLAPS컨테이너배차관리!$AZ:$AZ,$B140))))</f>
        <v/>
      </c>
      <c r="E140" t="str">
        <f>IF($B140="","",IF(INDEX(GLAPS컨테이너배차관리!$L:$L,$B140)="","",INDEX(GLAPS컨테이너배차관리!$L:$L,$B140)))</f>
        <v/>
      </c>
      <c r="F140" t="str">
        <f>IF($B140="","",IF(HOUR(IF(INDEX(GLAPS컨테이너배차관리!$L:$L,$B140)="","",INDEX(GLAPS컨테이너배차관리!$L:$L,$B140)))&lt;12,"오전",IF(HOUR(IF(INDEX(GLAPS컨테이너배차관리!$L:$L,$B140)="","",INDEX(GLAPS컨테이너배차관리!$L:$L,$B140)))&lt;18,"오후","잔업")))</f>
        <v/>
      </c>
      <c r="G140" t="str">
        <f>IF($B140="","",IFERROR(INDEX(GLAPS정리!$G$3:$G$264,MATCH(IF(INDEX(GLAPS컨테이너배차관리!$BY:$BY,$B140)="","",INDEX(GLAPS컨테이너배차관리!$BY:$BY,$B140)),GLAPS정리!$H$3:$H$264,0)),TRIM(SUBSTITUTE(SUBSTITUTE(SUBSTITUTE(SUBSTITUTE(SUBSTITUTE(IF(INDEX(GLAPS컨테이너배차관리!$T:$T,$B140)="","",INDEX(GLAPS컨테이너배차관리!$T:$T,$B140)),"[GA]",""),"[GB]",""),"[GC]",""),"[KC]",""),"[GS]",""))))</f>
        <v/>
      </c>
      <c r="H140" t="str">
        <f>IF($B140="","",IFERROR(VLOOKUP(IF(INDEX(GLAPS컨테이너배차관리!$BY:$BY,$B140)="","",INDEX(GLAPS컨테이너배차관리!$BY:$BY,$B140)),GLAPS정리!$BT$3:$BV$200,3,0),""))</f>
        <v/>
      </c>
      <c r="I140" t="str">
        <f>IF($B140="","",LEFT(IF(INDEX(GLAPS컨테이너배차관리!$U:$U,$B140)="","",INDEX(GLAPS컨테이너배차관리!$U:$U,$B140)),FIND("/",IF(INDEX(GLAPS컨테이너배차관리!$U:$U,$B140)="","",INDEX(GLAPS컨테이너배차관리!$U:$U,$B140))&amp;"/")-1))</f>
        <v/>
      </c>
      <c r="J140" t="str">
        <f>IF($B140="","",IF(IF(INDEX(GLAPS컨테이너배차관리!$O:$O,$B140)="","",INDEX(GLAPS컨테이너배차관리!$O:$O,$B140))="EMC","EMA",IFERROR(INDEX(GLAPS정리!$A$2:$A$50,MATCH(IF(INDEX(GLAPS컨테이너배차관리!$O:$O,$B140)="","",INDEX(GLAPS컨테이너배차관리!$O:$O,$B140)),GLAPS정리!$D$2:$D$50,0)),IF(INDEX(GLAPS컨테이너배차관리!$O:$O,$B140)="","",INDEX(GLAPS컨테이너배차관리!$O:$O,$B140)))))</f>
        <v/>
      </c>
      <c r="K140" t="str">
        <f>IF($B140="","",IF(LEFT(IF(INDEX(GLAPS컨테이너배차관리!$Y:$Y,$B140)="","",INDEX(GLAPS컨테이너배차관리!$Y:$Y,$B140)),2)="22","20 Feet",IF(LEFT(IF(INDEX(GLAPS컨테이너배차관리!$Y:$Y,$B140)="","",INDEX(GLAPS컨테이너배차관리!$Y:$Y,$B140)),2)="42","40 Feet","40 Feet H")))</f>
        <v/>
      </c>
      <c r="L140" t="str">
        <f>IF($B140="","",IFERROR(INDEX(GLAPS정리!$BB$2:$BB$80,MATCH(IF(INDEX(GLAPS컨테이너배차관리!$BQ:$BQ,$B140)="","",INDEX(GLAPS컨테이너배차관리!$BQ:$BQ,$B140)),GLAPS정리!$BC$2:$BC$80,0)),IF(INDEX(GLAPS컨테이너배차관리!$BQ:$BQ,$B140)="","",INDEX(GLAPS컨테이너배차관리!$BQ:$BQ,$B140))))</f>
        <v/>
      </c>
      <c r="M140" t="str">
        <f>IF($B140="","",IFERROR(INDEX(GLAPS정리!$V$3:$V$180,MATCH(IF(INDEX(GLAPS컨테이너배차관리!$S:$S,$B140)="","",INDEX(GLAPS컨테이너배차관리!$S:$S,$B140)),GLAPS정리!$W$3:$W$180,0)),IF(INDEX(GLAPS컨테이너배차관리!$S:$S,$B140)="","",INDEX(GLAPS컨테이너배차관리!$S:$S,$B140))))</f>
        <v/>
      </c>
      <c r="N140" t="str">
        <f>IF($B140="","",IF(IF(INDEX(GLAPS컨테이너배차관리!$DF:$DF,$B140)="","",INDEX(GLAPS컨테이너배차관리!$DF:$DF,$B140))&lt;&gt;"",IF(INDEX(GLAPS컨테이너배차관리!$DF:$DF,$B140)="","",INDEX(GLAPS컨테이너배차관리!$DF:$DF,$B140)),IF(IF(INDEX(GLAPS컨테이너배차관리!$DG:$DG,$B140)="","",INDEX(GLAPS컨테이너배차관리!$DG:$DG,$B140))&lt;&gt;"",IF(INDEX(GLAPS컨테이너배차관리!$DG:$DG,$B140)="","",INDEX(GLAPS컨테이너배차관리!$DG:$DG,$B140)),"")))</f>
        <v/>
      </c>
      <c r="O140" t="str">
        <f>IF($B140="","",IF(INDEX(GLAPS컨테이너배차관리!$AB:$AB,$B140)="","",INDEX(GLAPS컨테이너배차관리!$AB:$AB,$B140)))</f>
        <v/>
      </c>
      <c r="P140" t="str">
        <f>IF($B140="","",IF(IF(INDEX(GLAPS컨테이너배차관리!$CP:$CP,$B140)="","",INDEX(GLAPS컨테이너배차관리!$CP:$CP,$B140))="","",IFERROR(INDEX(GLAPS정리!$BH$2:$BH$101,MATCH(IF(INDEX(GLAPS컨테이너배차관리!$CP:$CP,$B140)="","",INDEX(GLAPS컨테이너배차관리!$CP:$CP,$B140)),GLAPS정리!$BI$2:$BI$101,0)),IF(INDEX(GLAPS컨테이너배차관리!$CP:$CP,$B140)="","",INDEX(GLAPS컨테이너배차관리!$CP:$CP,$B140)))))</f>
        <v/>
      </c>
      <c r="Q140" t="str">
        <f>IF($B140="","",IF(AND(IF(INDEX(GLAPS컨테이너배차관리!$AK:$AK,$B140)="","",INDEX(GLAPS컨테이너배차관리!$AK:$AK,$B140))="Y",IF(INDEX(GLAPS컨테이너배차관리!$AI:$AI,$B140)="","",INDEX(GLAPS컨테이너배차관리!$AI:$AI,$B140))="Y"),"위험물리퍼",IF(IF(INDEX(GLAPS컨테이너배차관리!$AK:$AK,$B140)="","",INDEX(GLAPS컨테이너배차관리!$AK:$AK,$B140))="Y","위험물",IF(IF(INDEX(GLAPS컨테이너배차관리!$AI:$AI,$B140)="","",INDEX(GLAPS컨테이너배차관리!$AI:$AI,$B140))="Y","리퍼",""))))</f>
        <v/>
      </c>
      <c r="R140" t="str">
        <f>IF($B140="","",IF(LEFT(IF(INDEX(GLAPS컨테이너배차관리!$Y:$Y,$B140)="","",INDEX(GLAPS컨테이너배차관리!$Y:$Y,$B140)),2)="22",1,""))</f>
        <v/>
      </c>
      <c r="S140" t="str">
        <f>IF($B140="","",IF(LEFT(IF(INDEX(GLAPS컨테이너배차관리!$Y:$Y,$B140)="","",INDEX(GLAPS컨테이너배차관리!$Y:$Y,$B140)),2)="42",1,""))</f>
        <v/>
      </c>
      <c r="T140" t="str">
        <f>IF($B140="","",IF(LEFT(IF(INDEX(GLAPS컨테이너배차관리!$Y:$Y,$B140)="","",INDEX(GLAPS컨테이너배차관리!$Y:$Y,$B140)),2)="45",1,""))</f>
        <v/>
      </c>
      <c r="U140" t="str">
        <f>IF($B140="","",IF(INDEX(GLAPS컨테이너배차관리!$X:$X,$B140)="","",INDEX(GLAPS컨테이너배차관리!$X:$X,$B140)))</f>
        <v/>
      </c>
      <c r="V140" t="str">
        <f>IF($B140="","",IF(INDEX(GLAPS컨테이너배차관리!$Z:$Z,$B140)="","",INDEX(GLAPS컨테이너배차관리!$Z:$Z,$B140)))</f>
        <v/>
      </c>
      <c r="W140" t="str">
        <f>IF($B140="","",IF(IF(INDEX(GLAPS컨테이너배차관리!$DI:$DI,$B140)="","",INDEX(GLAPS컨테이너배차관리!$DI:$DI,$B140))&lt;&gt;"",IF(INDEX(GLAPS컨테이너배차관리!$DI:$DI,$B140)="","",INDEX(GLAPS컨테이너배차관리!$DI:$DI,$B140)),IF(IF(INDEX(GLAPS컨테이너배차관리!$DJ:$DJ,$B140)="","",INDEX(GLAPS컨테이너배차관리!$DJ:$DJ,$B140))&lt;&gt;"",IF(INDEX(GLAPS컨테이너배차관리!$DJ:$DJ,$B140)="","",INDEX(GLAPS컨테이너배차관리!$DJ:$DJ,$B140)),IF(IF(INDEX(GLAPS컨테이너배차관리!$DK:$DK,$B140)="","",INDEX(GLAPS컨테이너배차관리!$DK:$DK,$B140))&lt;&gt;"",IF(INDEX(GLAPS컨테이너배차관리!$DK:$DK,$B140)="","",INDEX(GLAPS컨테이너배차관리!$DK:$DK,$B140)),IF(IF(INDEX(GLAPS컨테이너배차관리!$DL:$DL,$B140)="","",INDEX(GLAPS컨테이너배차관리!$DL:$DL,$B140))&lt;&gt;"",IF(INDEX(GLAPS컨테이너배차관리!$DL:$DL,$B140)="","",INDEX(GLAPS컨테이너배차관리!$DL:$DL,$B140)),IF(IF(INDEX(GLAPS컨테이너배차관리!$DM:$DM,$B140)="","",INDEX(GLAPS컨테이너배차관리!$DM:$DM,$B140))&lt;&gt;"",IF(INDEX(GLAPS컨테이너배차관리!$DM:$DM,$B140)="","",INDEX(GLAPS컨테이너배차관리!$DM:$DM,$B140)),""))))))</f>
        <v/>
      </c>
      <c r="X140" t="str">
        <f>IF($B140="","",IF(INDEX(GLAPS컨테이너배차관리!$F:$F,$B140)="","",INDEX(GLAPS컨테이너배차관리!$F:$F,$B140)))</f>
        <v/>
      </c>
      <c r="Y140" t="str">
        <f>IF($B140="","",IF(IF(INDEX(GLAPS컨테이너배차관리!$M:$M,$B140)="","",INDEX(GLAPS컨테이너배차관리!$M:$M,$B140))&lt;&gt;"",IF(INDEX(GLAPS컨테이너배차관리!$M:$M,$B140)="","",INDEX(GLAPS컨테이너배차관리!$M:$M,$B140)),IF(IF(INDEX(GLAPS컨테이너배차관리!$N:$N,$B140)="","",INDEX(GLAPS컨테이너배차관리!$N:$N,$B140))&lt;&gt;"",IF(INDEX(GLAPS컨테이너배차관리!$N:$N,$B140)="","",INDEX(GLAPS컨테이너배차관리!$N:$N,$B140)),"")))</f>
        <v/>
      </c>
      <c r="Z140" t="str">
        <f>IF($B140="","",IF(IF(INDEX(GLAPS컨테이너배차관리!$CU:$CU,$B140)="","",INDEX(GLAPS컨테이너배차관리!$CU:$CU,$B140))="","",IFERROR(INT(IF(INDEX(GLAPS컨테이너배차관리!$CU:$CU,$B140)="","",INDEX(GLAPS컨테이너배차관리!$CU:$CU,$B140))),"")))</f>
        <v/>
      </c>
      <c r="AA140" t="str">
        <f>IF($B140="","",IF(AND(IF(INDEX(GLAPS컨테이너배차관리!$CL:$CL,$B140)="","",INDEX(GLAPS컨테이너배차관리!$CL:$CL,$B140))="",IF(INDEX(GLAPS컨테이너배차관리!$CM:$CM,$B140)="","",INDEX(GLAPS컨테이너배차관리!$CM:$CM,$B140))=""),"",IF(OR(IF(INDEX(GLAPS컨테이너배차관리!$CL:$CL,$B140)="","",INDEX(GLAPS컨테이너배차관리!$CL:$CL,$B140))="B000016649",ISNUMBER(SEARCH("B015",IF(INDEX(GLAPS컨테이너배차관리!$CM:$CM,$B140)="","",INDEX(GLAPS컨테이너배차관리!$CM:$CM,$B140)))),ISNUMBER(SEARCH("세방",IF(INDEX(GLAPS컨테이너배차관리!$CM:$CM,$B140)="","",INDEX(GLAPS컨테이너배차관리!$CM:$CM,$B140)))),ISNUMBER(SEARCH("SB",IF(INDEX(GLAPS컨테이너배차관리!$CM:$CM,$B140)="","",INDEX(GLAPS컨테이너배차관리!$CM:$CM,$B140))))),"세방","")))</f>
        <v/>
      </c>
      <c r="AB140" t="str">
        <f>IF($B140="","",IF(IF(INDEX(GLAPS컨테이너배차관리!$CM:$CM,$B140)="","",INDEX(GLAPS컨테이너배차관리!$CM:$CM,$B140))="","",IF(ISNUMBER(SEARCH("이지스두동",IF(INDEX(GLAPS컨테이너배차관리!$CM:$CM,$B140)="","",INDEX(GLAPS컨테이너배차관리!$CM:$CM,$B140)))),"이지스두동",IF(ISNUMBER(SEARCH("이지스녹산",IF(INDEX(GLAPS컨테이너배차관리!$CM:$CM,$B140)="","",INDEX(GLAPS컨테이너배차관리!$CM:$CM,$B140)))),"이지스녹산",IF(ISNUMBER(SEARCH("천우",IF(INDEX(GLAPS컨테이너배차관리!$CM:$CM,$B140)="","",INDEX(GLAPS컨테이너배차관리!$CM:$CM,$B140)))),"천우",IF(OR(ISNUMBER(SEARCH("청암",IF(INDEX(GLAPS컨테이너배차관리!$CM:$CM,$B140)="","",INDEX(GLAPS컨테이너배차관리!$CM:$CM,$B140)))),ISNUMBER(SEARCH("SB청암",IF(INDEX(GLAPS컨테이너배차관리!$CM:$CM,$B140)="","",INDEX(GLAPS컨테이너배차관리!$CM:$CM,$B140))))),"청암신항",IF(INDEX(GLAPS컨테이너배차관리!$CM:$CM,$B140)="","",INDEX(GLAPS컨테이너배차관리!$CM:$CM,$B140))))))))</f>
        <v/>
      </c>
    </row>
    <row r="141" spans="1:28">
      <c r="A141">
        <v>140</v>
      </c>
      <c r="B141" t="str">
        <f>IFERROR(_xlfn.AGGREGATE(15,6,ROW(GLAPS컨테이너배차관리!$X$2:$X$20000)/(GLAPS컨테이너배차관리!$X$2:$X$20000&lt;&gt;""),A141),"")</f>
        <v/>
      </c>
      <c r="C141" t="str">
        <f>IF($B141="","",INT(IF(INDEX(GLAPS컨테이너배차관리!$K:$K,$B141)="","",INDEX(GLAPS컨테이너배차관리!$K:$K,$B141))))</f>
        <v/>
      </c>
      <c r="D141" t="str">
        <f>IF($B141="","",IF(ISNUMBER(SEARCH("이엘에스",IF(INDEX(GLAPS컨테이너배차관리!$AZ:$AZ,$B141)="","",INDEX(GLAPS컨테이너배차관리!$AZ:$AZ,$B141)))),"ELS솔루션",IF(INDEX(GLAPS컨테이너배차관리!$AZ:$AZ,$B141)="","",INDEX(GLAPS컨테이너배차관리!$AZ:$AZ,$B141))))</f>
        <v/>
      </c>
      <c r="E141" t="str">
        <f>IF($B141="","",IF(INDEX(GLAPS컨테이너배차관리!$L:$L,$B141)="","",INDEX(GLAPS컨테이너배차관리!$L:$L,$B141)))</f>
        <v/>
      </c>
      <c r="F141" t="str">
        <f>IF($B141="","",IF(HOUR(IF(INDEX(GLAPS컨테이너배차관리!$L:$L,$B141)="","",INDEX(GLAPS컨테이너배차관리!$L:$L,$B141)))&lt;12,"오전",IF(HOUR(IF(INDEX(GLAPS컨테이너배차관리!$L:$L,$B141)="","",INDEX(GLAPS컨테이너배차관리!$L:$L,$B141)))&lt;18,"오후","잔업")))</f>
        <v/>
      </c>
      <c r="G141" t="str">
        <f>IF($B141="","",IFERROR(INDEX(GLAPS정리!$G$3:$G$264,MATCH(IF(INDEX(GLAPS컨테이너배차관리!$BY:$BY,$B141)="","",INDEX(GLAPS컨테이너배차관리!$BY:$BY,$B141)),GLAPS정리!$H$3:$H$264,0)),TRIM(SUBSTITUTE(SUBSTITUTE(SUBSTITUTE(SUBSTITUTE(SUBSTITUTE(IF(INDEX(GLAPS컨테이너배차관리!$T:$T,$B141)="","",INDEX(GLAPS컨테이너배차관리!$T:$T,$B141)),"[GA]",""),"[GB]",""),"[GC]",""),"[KC]",""),"[GS]",""))))</f>
        <v/>
      </c>
      <c r="H141" t="str">
        <f>IF($B141="","",IFERROR(VLOOKUP(IF(INDEX(GLAPS컨테이너배차관리!$BY:$BY,$B141)="","",INDEX(GLAPS컨테이너배차관리!$BY:$BY,$B141)),GLAPS정리!$BT$3:$BV$200,3,0),""))</f>
        <v/>
      </c>
      <c r="I141" t="str">
        <f>IF($B141="","",LEFT(IF(INDEX(GLAPS컨테이너배차관리!$U:$U,$B141)="","",INDEX(GLAPS컨테이너배차관리!$U:$U,$B141)),FIND("/",IF(INDEX(GLAPS컨테이너배차관리!$U:$U,$B141)="","",INDEX(GLAPS컨테이너배차관리!$U:$U,$B141))&amp;"/")-1))</f>
        <v/>
      </c>
      <c r="J141" t="str">
        <f>IF($B141="","",IF(IF(INDEX(GLAPS컨테이너배차관리!$O:$O,$B141)="","",INDEX(GLAPS컨테이너배차관리!$O:$O,$B141))="EMC","EMA",IFERROR(INDEX(GLAPS정리!$A$2:$A$50,MATCH(IF(INDEX(GLAPS컨테이너배차관리!$O:$O,$B141)="","",INDEX(GLAPS컨테이너배차관리!$O:$O,$B141)),GLAPS정리!$D$2:$D$50,0)),IF(INDEX(GLAPS컨테이너배차관리!$O:$O,$B141)="","",INDEX(GLAPS컨테이너배차관리!$O:$O,$B141)))))</f>
        <v/>
      </c>
      <c r="K141" t="str">
        <f>IF($B141="","",IF(LEFT(IF(INDEX(GLAPS컨테이너배차관리!$Y:$Y,$B141)="","",INDEX(GLAPS컨테이너배차관리!$Y:$Y,$B141)),2)="22","20 Feet",IF(LEFT(IF(INDEX(GLAPS컨테이너배차관리!$Y:$Y,$B141)="","",INDEX(GLAPS컨테이너배차관리!$Y:$Y,$B141)),2)="42","40 Feet","40 Feet H")))</f>
        <v/>
      </c>
      <c r="L141" t="str">
        <f>IF($B141="","",IFERROR(INDEX(GLAPS정리!$BB$2:$BB$80,MATCH(IF(INDEX(GLAPS컨테이너배차관리!$BQ:$BQ,$B141)="","",INDEX(GLAPS컨테이너배차관리!$BQ:$BQ,$B141)),GLAPS정리!$BC$2:$BC$80,0)),IF(INDEX(GLAPS컨테이너배차관리!$BQ:$BQ,$B141)="","",INDEX(GLAPS컨테이너배차관리!$BQ:$BQ,$B141))))</f>
        <v/>
      </c>
      <c r="M141" t="str">
        <f>IF($B141="","",IFERROR(INDEX(GLAPS정리!$V$3:$V$180,MATCH(IF(INDEX(GLAPS컨테이너배차관리!$S:$S,$B141)="","",INDEX(GLAPS컨테이너배차관리!$S:$S,$B141)),GLAPS정리!$W$3:$W$180,0)),IF(INDEX(GLAPS컨테이너배차관리!$S:$S,$B141)="","",INDEX(GLAPS컨테이너배차관리!$S:$S,$B141))))</f>
        <v/>
      </c>
      <c r="N141" t="str">
        <f>IF($B141="","",IF(IF(INDEX(GLAPS컨테이너배차관리!$DF:$DF,$B141)="","",INDEX(GLAPS컨테이너배차관리!$DF:$DF,$B141))&lt;&gt;"",IF(INDEX(GLAPS컨테이너배차관리!$DF:$DF,$B141)="","",INDEX(GLAPS컨테이너배차관리!$DF:$DF,$B141)),IF(IF(INDEX(GLAPS컨테이너배차관리!$DG:$DG,$B141)="","",INDEX(GLAPS컨테이너배차관리!$DG:$DG,$B141))&lt;&gt;"",IF(INDEX(GLAPS컨테이너배차관리!$DG:$DG,$B141)="","",INDEX(GLAPS컨테이너배차관리!$DG:$DG,$B141)),"")))</f>
        <v/>
      </c>
      <c r="O141" t="str">
        <f>IF($B141="","",IF(INDEX(GLAPS컨테이너배차관리!$AB:$AB,$B141)="","",INDEX(GLAPS컨테이너배차관리!$AB:$AB,$B141)))</f>
        <v/>
      </c>
      <c r="P141" t="str">
        <f>IF($B141="","",IF(IF(INDEX(GLAPS컨테이너배차관리!$CP:$CP,$B141)="","",INDEX(GLAPS컨테이너배차관리!$CP:$CP,$B141))="","",IFERROR(INDEX(GLAPS정리!$BH$2:$BH$101,MATCH(IF(INDEX(GLAPS컨테이너배차관리!$CP:$CP,$B141)="","",INDEX(GLAPS컨테이너배차관리!$CP:$CP,$B141)),GLAPS정리!$BI$2:$BI$101,0)),IF(INDEX(GLAPS컨테이너배차관리!$CP:$CP,$B141)="","",INDEX(GLAPS컨테이너배차관리!$CP:$CP,$B141)))))</f>
        <v/>
      </c>
      <c r="Q141" t="str">
        <f>IF($B141="","",IF(AND(IF(INDEX(GLAPS컨테이너배차관리!$AK:$AK,$B141)="","",INDEX(GLAPS컨테이너배차관리!$AK:$AK,$B141))="Y",IF(INDEX(GLAPS컨테이너배차관리!$AI:$AI,$B141)="","",INDEX(GLAPS컨테이너배차관리!$AI:$AI,$B141))="Y"),"위험물리퍼",IF(IF(INDEX(GLAPS컨테이너배차관리!$AK:$AK,$B141)="","",INDEX(GLAPS컨테이너배차관리!$AK:$AK,$B141))="Y","위험물",IF(IF(INDEX(GLAPS컨테이너배차관리!$AI:$AI,$B141)="","",INDEX(GLAPS컨테이너배차관리!$AI:$AI,$B141))="Y","리퍼",""))))</f>
        <v/>
      </c>
      <c r="R141" t="str">
        <f>IF($B141="","",IF(LEFT(IF(INDEX(GLAPS컨테이너배차관리!$Y:$Y,$B141)="","",INDEX(GLAPS컨테이너배차관리!$Y:$Y,$B141)),2)="22",1,""))</f>
        <v/>
      </c>
      <c r="S141" t="str">
        <f>IF($B141="","",IF(LEFT(IF(INDEX(GLAPS컨테이너배차관리!$Y:$Y,$B141)="","",INDEX(GLAPS컨테이너배차관리!$Y:$Y,$B141)),2)="42",1,""))</f>
        <v/>
      </c>
      <c r="T141" t="str">
        <f>IF($B141="","",IF(LEFT(IF(INDEX(GLAPS컨테이너배차관리!$Y:$Y,$B141)="","",INDEX(GLAPS컨테이너배차관리!$Y:$Y,$B141)),2)="45",1,""))</f>
        <v/>
      </c>
      <c r="U141" t="str">
        <f>IF($B141="","",IF(INDEX(GLAPS컨테이너배차관리!$X:$X,$B141)="","",INDEX(GLAPS컨테이너배차관리!$X:$X,$B141)))</f>
        <v/>
      </c>
      <c r="V141" t="str">
        <f>IF($B141="","",IF(INDEX(GLAPS컨테이너배차관리!$Z:$Z,$B141)="","",INDEX(GLAPS컨테이너배차관리!$Z:$Z,$B141)))</f>
        <v/>
      </c>
      <c r="W141" t="str">
        <f>IF($B141="","",IF(IF(INDEX(GLAPS컨테이너배차관리!$DI:$DI,$B141)="","",INDEX(GLAPS컨테이너배차관리!$DI:$DI,$B141))&lt;&gt;"",IF(INDEX(GLAPS컨테이너배차관리!$DI:$DI,$B141)="","",INDEX(GLAPS컨테이너배차관리!$DI:$DI,$B141)),IF(IF(INDEX(GLAPS컨테이너배차관리!$DJ:$DJ,$B141)="","",INDEX(GLAPS컨테이너배차관리!$DJ:$DJ,$B141))&lt;&gt;"",IF(INDEX(GLAPS컨테이너배차관리!$DJ:$DJ,$B141)="","",INDEX(GLAPS컨테이너배차관리!$DJ:$DJ,$B141)),IF(IF(INDEX(GLAPS컨테이너배차관리!$DK:$DK,$B141)="","",INDEX(GLAPS컨테이너배차관리!$DK:$DK,$B141))&lt;&gt;"",IF(INDEX(GLAPS컨테이너배차관리!$DK:$DK,$B141)="","",INDEX(GLAPS컨테이너배차관리!$DK:$DK,$B141)),IF(IF(INDEX(GLAPS컨테이너배차관리!$DL:$DL,$B141)="","",INDEX(GLAPS컨테이너배차관리!$DL:$DL,$B141))&lt;&gt;"",IF(INDEX(GLAPS컨테이너배차관리!$DL:$DL,$B141)="","",INDEX(GLAPS컨테이너배차관리!$DL:$DL,$B141)),IF(IF(INDEX(GLAPS컨테이너배차관리!$DM:$DM,$B141)="","",INDEX(GLAPS컨테이너배차관리!$DM:$DM,$B141))&lt;&gt;"",IF(INDEX(GLAPS컨테이너배차관리!$DM:$DM,$B141)="","",INDEX(GLAPS컨테이너배차관리!$DM:$DM,$B141)),""))))))</f>
        <v/>
      </c>
      <c r="X141" t="str">
        <f>IF($B141="","",IF(INDEX(GLAPS컨테이너배차관리!$F:$F,$B141)="","",INDEX(GLAPS컨테이너배차관리!$F:$F,$B141)))</f>
        <v/>
      </c>
      <c r="Y141" t="str">
        <f>IF($B141="","",IF(IF(INDEX(GLAPS컨테이너배차관리!$M:$M,$B141)="","",INDEX(GLAPS컨테이너배차관리!$M:$M,$B141))&lt;&gt;"",IF(INDEX(GLAPS컨테이너배차관리!$M:$M,$B141)="","",INDEX(GLAPS컨테이너배차관리!$M:$M,$B141)),IF(IF(INDEX(GLAPS컨테이너배차관리!$N:$N,$B141)="","",INDEX(GLAPS컨테이너배차관리!$N:$N,$B141))&lt;&gt;"",IF(INDEX(GLAPS컨테이너배차관리!$N:$N,$B141)="","",INDEX(GLAPS컨테이너배차관리!$N:$N,$B141)),"")))</f>
        <v/>
      </c>
      <c r="Z141" t="str">
        <f>IF($B141="","",IF(IF(INDEX(GLAPS컨테이너배차관리!$CU:$CU,$B141)="","",INDEX(GLAPS컨테이너배차관리!$CU:$CU,$B141))="","",IFERROR(INT(IF(INDEX(GLAPS컨테이너배차관리!$CU:$CU,$B141)="","",INDEX(GLAPS컨테이너배차관리!$CU:$CU,$B141))),"")))</f>
        <v/>
      </c>
      <c r="AA141" t="str">
        <f>IF($B141="","",IF(AND(IF(INDEX(GLAPS컨테이너배차관리!$CL:$CL,$B141)="","",INDEX(GLAPS컨테이너배차관리!$CL:$CL,$B141))="",IF(INDEX(GLAPS컨테이너배차관리!$CM:$CM,$B141)="","",INDEX(GLAPS컨테이너배차관리!$CM:$CM,$B141))=""),"",IF(OR(IF(INDEX(GLAPS컨테이너배차관리!$CL:$CL,$B141)="","",INDEX(GLAPS컨테이너배차관리!$CL:$CL,$B141))="B000016649",ISNUMBER(SEARCH("B015",IF(INDEX(GLAPS컨테이너배차관리!$CM:$CM,$B141)="","",INDEX(GLAPS컨테이너배차관리!$CM:$CM,$B141)))),ISNUMBER(SEARCH("세방",IF(INDEX(GLAPS컨테이너배차관리!$CM:$CM,$B141)="","",INDEX(GLAPS컨테이너배차관리!$CM:$CM,$B141)))),ISNUMBER(SEARCH("SB",IF(INDEX(GLAPS컨테이너배차관리!$CM:$CM,$B141)="","",INDEX(GLAPS컨테이너배차관리!$CM:$CM,$B141))))),"세방","")))</f>
        <v/>
      </c>
      <c r="AB141" t="str">
        <f>IF($B141="","",IF(IF(INDEX(GLAPS컨테이너배차관리!$CM:$CM,$B141)="","",INDEX(GLAPS컨테이너배차관리!$CM:$CM,$B141))="","",IF(ISNUMBER(SEARCH("이지스두동",IF(INDEX(GLAPS컨테이너배차관리!$CM:$CM,$B141)="","",INDEX(GLAPS컨테이너배차관리!$CM:$CM,$B141)))),"이지스두동",IF(ISNUMBER(SEARCH("이지스녹산",IF(INDEX(GLAPS컨테이너배차관리!$CM:$CM,$B141)="","",INDEX(GLAPS컨테이너배차관리!$CM:$CM,$B141)))),"이지스녹산",IF(ISNUMBER(SEARCH("천우",IF(INDEX(GLAPS컨테이너배차관리!$CM:$CM,$B141)="","",INDEX(GLAPS컨테이너배차관리!$CM:$CM,$B141)))),"천우",IF(OR(ISNUMBER(SEARCH("청암",IF(INDEX(GLAPS컨테이너배차관리!$CM:$CM,$B141)="","",INDEX(GLAPS컨테이너배차관리!$CM:$CM,$B141)))),ISNUMBER(SEARCH("SB청암",IF(INDEX(GLAPS컨테이너배차관리!$CM:$CM,$B141)="","",INDEX(GLAPS컨테이너배차관리!$CM:$CM,$B141))))),"청암신항",IF(INDEX(GLAPS컨테이너배차관리!$CM:$CM,$B141)="","",INDEX(GLAPS컨테이너배차관리!$CM:$CM,$B141))))))))</f>
        <v/>
      </c>
    </row>
    <row r="142" spans="1:28">
      <c r="A142">
        <v>141</v>
      </c>
      <c r="B142" t="str">
        <f>IFERROR(_xlfn.AGGREGATE(15,6,ROW(GLAPS컨테이너배차관리!$X$2:$X$20000)/(GLAPS컨테이너배차관리!$X$2:$X$20000&lt;&gt;""),A142),"")</f>
        <v/>
      </c>
      <c r="C142" t="str">
        <f>IF($B142="","",INT(IF(INDEX(GLAPS컨테이너배차관리!$K:$K,$B142)="","",INDEX(GLAPS컨테이너배차관리!$K:$K,$B142))))</f>
        <v/>
      </c>
      <c r="D142" t="str">
        <f>IF($B142="","",IF(ISNUMBER(SEARCH("이엘에스",IF(INDEX(GLAPS컨테이너배차관리!$AZ:$AZ,$B142)="","",INDEX(GLAPS컨테이너배차관리!$AZ:$AZ,$B142)))),"ELS솔루션",IF(INDEX(GLAPS컨테이너배차관리!$AZ:$AZ,$B142)="","",INDEX(GLAPS컨테이너배차관리!$AZ:$AZ,$B142))))</f>
        <v/>
      </c>
      <c r="E142" t="str">
        <f>IF($B142="","",IF(INDEX(GLAPS컨테이너배차관리!$L:$L,$B142)="","",INDEX(GLAPS컨테이너배차관리!$L:$L,$B142)))</f>
        <v/>
      </c>
      <c r="F142" t="str">
        <f>IF($B142="","",IF(HOUR(IF(INDEX(GLAPS컨테이너배차관리!$L:$L,$B142)="","",INDEX(GLAPS컨테이너배차관리!$L:$L,$B142)))&lt;12,"오전",IF(HOUR(IF(INDEX(GLAPS컨테이너배차관리!$L:$L,$B142)="","",INDEX(GLAPS컨테이너배차관리!$L:$L,$B142)))&lt;18,"오후","잔업")))</f>
        <v/>
      </c>
      <c r="G142" t="str">
        <f>IF($B142="","",IFERROR(INDEX(GLAPS정리!$G$3:$G$264,MATCH(IF(INDEX(GLAPS컨테이너배차관리!$BY:$BY,$B142)="","",INDEX(GLAPS컨테이너배차관리!$BY:$BY,$B142)),GLAPS정리!$H$3:$H$264,0)),TRIM(SUBSTITUTE(SUBSTITUTE(SUBSTITUTE(SUBSTITUTE(SUBSTITUTE(IF(INDEX(GLAPS컨테이너배차관리!$T:$T,$B142)="","",INDEX(GLAPS컨테이너배차관리!$T:$T,$B142)),"[GA]",""),"[GB]",""),"[GC]",""),"[KC]",""),"[GS]",""))))</f>
        <v/>
      </c>
      <c r="H142" t="str">
        <f>IF($B142="","",IFERROR(VLOOKUP(IF(INDEX(GLAPS컨테이너배차관리!$BY:$BY,$B142)="","",INDEX(GLAPS컨테이너배차관리!$BY:$BY,$B142)),GLAPS정리!$BT$3:$BV$200,3,0),""))</f>
        <v/>
      </c>
      <c r="I142" t="str">
        <f>IF($B142="","",LEFT(IF(INDEX(GLAPS컨테이너배차관리!$U:$U,$B142)="","",INDEX(GLAPS컨테이너배차관리!$U:$U,$B142)),FIND("/",IF(INDEX(GLAPS컨테이너배차관리!$U:$U,$B142)="","",INDEX(GLAPS컨테이너배차관리!$U:$U,$B142))&amp;"/")-1))</f>
        <v/>
      </c>
      <c r="J142" t="str">
        <f>IF($B142="","",IF(IF(INDEX(GLAPS컨테이너배차관리!$O:$O,$B142)="","",INDEX(GLAPS컨테이너배차관리!$O:$O,$B142))="EMC","EMA",IFERROR(INDEX(GLAPS정리!$A$2:$A$50,MATCH(IF(INDEX(GLAPS컨테이너배차관리!$O:$O,$B142)="","",INDEX(GLAPS컨테이너배차관리!$O:$O,$B142)),GLAPS정리!$D$2:$D$50,0)),IF(INDEX(GLAPS컨테이너배차관리!$O:$O,$B142)="","",INDEX(GLAPS컨테이너배차관리!$O:$O,$B142)))))</f>
        <v/>
      </c>
      <c r="K142" t="str">
        <f>IF($B142="","",IF(LEFT(IF(INDEX(GLAPS컨테이너배차관리!$Y:$Y,$B142)="","",INDEX(GLAPS컨테이너배차관리!$Y:$Y,$B142)),2)="22","20 Feet",IF(LEFT(IF(INDEX(GLAPS컨테이너배차관리!$Y:$Y,$B142)="","",INDEX(GLAPS컨테이너배차관리!$Y:$Y,$B142)),2)="42","40 Feet","40 Feet H")))</f>
        <v/>
      </c>
      <c r="L142" t="str">
        <f>IF($B142="","",IFERROR(INDEX(GLAPS정리!$BB$2:$BB$80,MATCH(IF(INDEX(GLAPS컨테이너배차관리!$BQ:$BQ,$B142)="","",INDEX(GLAPS컨테이너배차관리!$BQ:$BQ,$B142)),GLAPS정리!$BC$2:$BC$80,0)),IF(INDEX(GLAPS컨테이너배차관리!$BQ:$BQ,$B142)="","",INDEX(GLAPS컨테이너배차관리!$BQ:$BQ,$B142))))</f>
        <v/>
      </c>
      <c r="M142" t="str">
        <f>IF($B142="","",IFERROR(INDEX(GLAPS정리!$V$3:$V$180,MATCH(IF(INDEX(GLAPS컨테이너배차관리!$S:$S,$B142)="","",INDEX(GLAPS컨테이너배차관리!$S:$S,$B142)),GLAPS정리!$W$3:$W$180,0)),IF(INDEX(GLAPS컨테이너배차관리!$S:$S,$B142)="","",INDEX(GLAPS컨테이너배차관리!$S:$S,$B142))))</f>
        <v/>
      </c>
      <c r="N142" t="str">
        <f>IF($B142="","",IF(IF(INDEX(GLAPS컨테이너배차관리!$DF:$DF,$B142)="","",INDEX(GLAPS컨테이너배차관리!$DF:$DF,$B142))&lt;&gt;"",IF(INDEX(GLAPS컨테이너배차관리!$DF:$DF,$B142)="","",INDEX(GLAPS컨테이너배차관리!$DF:$DF,$B142)),IF(IF(INDEX(GLAPS컨테이너배차관리!$DG:$DG,$B142)="","",INDEX(GLAPS컨테이너배차관리!$DG:$DG,$B142))&lt;&gt;"",IF(INDEX(GLAPS컨테이너배차관리!$DG:$DG,$B142)="","",INDEX(GLAPS컨테이너배차관리!$DG:$DG,$B142)),"")))</f>
        <v/>
      </c>
      <c r="O142" t="str">
        <f>IF($B142="","",IF(INDEX(GLAPS컨테이너배차관리!$AB:$AB,$B142)="","",INDEX(GLAPS컨테이너배차관리!$AB:$AB,$B142)))</f>
        <v/>
      </c>
      <c r="P142" t="str">
        <f>IF($B142="","",IF(IF(INDEX(GLAPS컨테이너배차관리!$CP:$CP,$B142)="","",INDEX(GLAPS컨테이너배차관리!$CP:$CP,$B142))="","",IFERROR(INDEX(GLAPS정리!$BH$2:$BH$101,MATCH(IF(INDEX(GLAPS컨테이너배차관리!$CP:$CP,$B142)="","",INDEX(GLAPS컨테이너배차관리!$CP:$CP,$B142)),GLAPS정리!$BI$2:$BI$101,0)),IF(INDEX(GLAPS컨테이너배차관리!$CP:$CP,$B142)="","",INDEX(GLAPS컨테이너배차관리!$CP:$CP,$B142)))))</f>
        <v/>
      </c>
      <c r="Q142" t="str">
        <f>IF($B142="","",IF(AND(IF(INDEX(GLAPS컨테이너배차관리!$AK:$AK,$B142)="","",INDEX(GLAPS컨테이너배차관리!$AK:$AK,$B142))="Y",IF(INDEX(GLAPS컨테이너배차관리!$AI:$AI,$B142)="","",INDEX(GLAPS컨테이너배차관리!$AI:$AI,$B142))="Y"),"위험물리퍼",IF(IF(INDEX(GLAPS컨테이너배차관리!$AK:$AK,$B142)="","",INDEX(GLAPS컨테이너배차관리!$AK:$AK,$B142))="Y","위험물",IF(IF(INDEX(GLAPS컨테이너배차관리!$AI:$AI,$B142)="","",INDEX(GLAPS컨테이너배차관리!$AI:$AI,$B142))="Y","리퍼",""))))</f>
        <v/>
      </c>
      <c r="R142" t="str">
        <f>IF($B142="","",IF(LEFT(IF(INDEX(GLAPS컨테이너배차관리!$Y:$Y,$B142)="","",INDEX(GLAPS컨테이너배차관리!$Y:$Y,$B142)),2)="22",1,""))</f>
        <v/>
      </c>
      <c r="S142" t="str">
        <f>IF($B142="","",IF(LEFT(IF(INDEX(GLAPS컨테이너배차관리!$Y:$Y,$B142)="","",INDEX(GLAPS컨테이너배차관리!$Y:$Y,$B142)),2)="42",1,""))</f>
        <v/>
      </c>
      <c r="T142" t="str">
        <f>IF($B142="","",IF(LEFT(IF(INDEX(GLAPS컨테이너배차관리!$Y:$Y,$B142)="","",INDEX(GLAPS컨테이너배차관리!$Y:$Y,$B142)),2)="45",1,""))</f>
        <v/>
      </c>
      <c r="U142" t="str">
        <f>IF($B142="","",IF(INDEX(GLAPS컨테이너배차관리!$X:$X,$B142)="","",INDEX(GLAPS컨테이너배차관리!$X:$X,$B142)))</f>
        <v/>
      </c>
      <c r="V142" t="str">
        <f>IF($B142="","",IF(INDEX(GLAPS컨테이너배차관리!$Z:$Z,$B142)="","",INDEX(GLAPS컨테이너배차관리!$Z:$Z,$B142)))</f>
        <v/>
      </c>
      <c r="W142" t="str">
        <f>IF($B142="","",IF(IF(INDEX(GLAPS컨테이너배차관리!$DI:$DI,$B142)="","",INDEX(GLAPS컨테이너배차관리!$DI:$DI,$B142))&lt;&gt;"",IF(INDEX(GLAPS컨테이너배차관리!$DI:$DI,$B142)="","",INDEX(GLAPS컨테이너배차관리!$DI:$DI,$B142)),IF(IF(INDEX(GLAPS컨테이너배차관리!$DJ:$DJ,$B142)="","",INDEX(GLAPS컨테이너배차관리!$DJ:$DJ,$B142))&lt;&gt;"",IF(INDEX(GLAPS컨테이너배차관리!$DJ:$DJ,$B142)="","",INDEX(GLAPS컨테이너배차관리!$DJ:$DJ,$B142)),IF(IF(INDEX(GLAPS컨테이너배차관리!$DK:$DK,$B142)="","",INDEX(GLAPS컨테이너배차관리!$DK:$DK,$B142))&lt;&gt;"",IF(INDEX(GLAPS컨테이너배차관리!$DK:$DK,$B142)="","",INDEX(GLAPS컨테이너배차관리!$DK:$DK,$B142)),IF(IF(INDEX(GLAPS컨테이너배차관리!$DL:$DL,$B142)="","",INDEX(GLAPS컨테이너배차관리!$DL:$DL,$B142))&lt;&gt;"",IF(INDEX(GLAPS컨테이너배차관리!$DL:$DL,$B142)="","",INDEX(GLAPS컨테이너배차관리!$DL:$DL,$B142)),IF(IF(INDEX(GLAPS컨테이너배차관리!$DM:$DM,$B142)="","",INDEX(GLAPS컨테이너배차관리!$DM:$DM,$B142))&lt;&gt;"",IF(INDEX(GLAPS컨테이너배차관리!$DM:$DM,$B142)="","",INDEX(GLAPS컨테이너배차관리!$DM:$DM,$B142)),""))))))</f>
        <v/>
      </c>
      <c r="X142" t="str">
        <f>IF($B142="","",IF(INDEX(GLAPS컨테이너배차관리!$F:$F,$B142)="","",INDEX(GLAPS컨테이너배차관리!$F:$F,$B142)))</f>
        <v/>
      </c>
      <c r="Y142" t="str">
        <f>IF($B142="","",IF(IF(INDEX(GLAPS컨테이너배차관리!$M:$M,$B142)="","",INDEX(GLAPS컨테이너배차관리!$M:$M,$B142))&lt;&gt;"",IF(INDEX(GLAPS컨테이너배차관리!$M:$M,$B142)="","",INDEX(GLAPS컨테이너배차관리!$M:$M,$B142)),IF(IF(INDEX(GLAPS컨테이너배차관리!$N:$N,$B142)="","",INDEX(GLAPS컨테이너배차관리!$N:$N,$B142))&lt;&gt;"",IF(INDEX(GLAPS컨테이너배차관리!$N:$N,$B142)="","",INDEX(GLAPS컨테이너배차관리!$N:$N,$B142)),"")))</f>
        <v/>
      </c>
      <c r="Z142" t="str">
        <f>IF($B142="","",IF(IF(INDEX(GLAPS컨테이너배차관리!$CU:$CU,$B142)="","",INDEX(GLAPS컨테이너배차관리!$CU:$CU,$B142))="","",IFERROR(INT(IF(INDEX(GLAPS컨테이너배차관리!$CU:$CU,$B142)="","",INDEX(GLAPS컨테이너배차관리!$CU:$CU,$B142))),"")))</f>
        <v/>
      </c>
      <c r="AA142" t="str">
        <f>IF($B142="","",IF(AND(IF(INDEX(GLAPS컨테이너배차관리!$CL:$CL,$B142)="","",INDEX(GLAPS컨테이너배차관리!$CL:$CL,$B142))="",IF(INDEX(GLAPS컨테이너배차관리!$CM:$CM,$B142)="","",INDEX(GLAPS컨테이너배차관리!$CM:$CM,$B142))=""),"",IF(OR(IF(INDEX(GLAPS컨테이너배차관리!$CL:$CL,$B142)="","",INDEX(GLAPS컨테이너배차관리!$CL:$CL,$B142))="B000016649",ISNUMBER(SEARCH("B015",IF(INDEX(GLAPS컨테이너배차관리!$CM:$CM,$B142)="","",INDEX(GLAPS컨테이너배차관리!$CM:$CM,$B142)))),ISNUMBER(SEARCH("세방",IF(INDEX(GLAPS컨테이너배차관리!$CM:$CM,$B142)="","",INDEX(GLAPS컨테이너배차관리!$CM:$CM,$B142)))),ISNUMBER(SEARCH("SB",IF(INDEX(GLAPS컨테이너배차관리!$CM:$CM,$B142)="","",INDEX(GLAPS컨테이너배차관리!$CM:$CM,$B142))))),"세방","")))</f>
        <v/>
      </c>
      <c r="AB142" t="str">
        <f>IF($B142="","",IF(IF(INDEX(GLAPS컨테이너배차관리!$CM:$CM,$B142)="","",INDEX(GLAPS컨테이너배차관리!$CM:$CM,$B142))="","",IF(ISNUMBER(SEARCH("이지스두동",IF(INDEX(GLAPS컨테이너배차관리!$CM:$CM,$B142)="","",INDEX(GLAPS컨테이너배차관리!$CM:$CM,$B142)))),"이지스두동",IF(ISNUMBER(SEARCH("이지스녹산",IF(INDEX(GLAPS컨테이너배차관리!$CM:$CM,$B142)="","",INDEX(GLAPS컨테이너배차관리!$CM:$CM,$B142)))),"이지스녹산",IF(ISNUMBER(SEARCH("천우",IF(INDEX(GLAPS컨테이너배차관리!$CM:$CM,$B142)="","",INDEX(GLAPS컨테이너배차관리!$CM:$CM,$B142)))),"천우",IF(OR(ISNUMBER(SEARCH("청암",IF(INDEX(GLAPS컨테이너배차관리!$CM:$CM,$B142)="","",INDEX(GLAPS컨테이너배차관리!$CM:$CM,$B142)))),ISNUMBER(SEARCH("SB청암",IF(INDEX(GLAPS컨테이너배차관리!$CM:$CM,$B142)="","",INDEX(GLAPS컨테이너배차관리!$CM:$CM,$B142))))),"청암신항",IF(INDEX(GLAPS컨테이너배차관리!$CM:$CM,$B142)="","",INDEX(GLAPS컨테이너배차관리!$CM:$CM,$B142))))))))</f>
        <v/>
      </c>
    </row>
    <row r="143" spans="1:28">
      <c r="A143">
        <v>142</v>
      </c>
      <c r="B143" t="str">
        <f>IFERROR(_xlfn.AGGREGATE(15,6,ROW(GLAPS컨테이너배차관리!$X$2:$X$20000)/(GLAPS컨테이너배차관리!$X$2:$X$20000&lt;&gt;""),A143),"")</f>
        <v/>
      </c>
      <c r="C143" t="str">
        <f>IF($B143="","",INT(IF(INDEX(GLAPS컨테이너배차관리!$K:$K,$B143)="","",INDEX(GLAPS컨테이너배차관리!$K:$K,$B143))))</f>
        <v/>
      </c>
      <c r="D143" t="str">
        <f>IF($B143="","",IF(ISNUMBER(SEARCH("이엘에스",IF(INDEX(GLAPS컨테이너배차관리!$AZ:$AZ,$B143)="","",INDEX(GLAPS컨테이너배차관리!$AZ:$AZ,$B143)))),"ELS솔루션",IF(INDEX(GLAPS컨테이너배차관리!$AZ:$AZ,$B143)="","",INDEX(GLAPS컨테이너배차관리!$AZ:$AZ,$B143))))</f>
        <v/>
      </c>
      <c r="E143" t="str">
        <f>IF($B143="","",IF(INDEX(GLAPS컨테이너배차관리!$L:$L,$B143)="","",INDEX(GLAPS컨테이너배차관리!$L:$L,$B143)))</f>
        <v/>
      </c>
      <c r="F143" t="str">
        <f>IF($B143="","",IF(HOUR(IF(INDEX(GLAPS컨테이너배차관리!$L:$L,$B143)="","",INDEX(GLAPS컨테이너배차관리!$L:$L,$B143)))&lt;12,"오전",IF(HOUR(IF(INDEX(GLAPS컨테이너배차관리!$L:$L,$B143)="","",INDEX(GLAPS컨테이너배차관리!$L:$L,$B143)))&lt;18,"오후","잔업")))</f>
        <v/>
      </c>
      <c r="G143" t="str">
        <f>IF($B143="","",IFERROR(INDEX(GLAPS정리!$G$3:$G$264,MATCH(IF(INDEX(GLAPS컨테이너배차관리!$BY:$BY,$B143)="","",INDEX(GLAPS컨테이너배차관리!$BY:$BY,$B143)),GLAPS정리!$H$3:$H$264,0)),TRIM(SUBSTITUTE(SUBSTITUTE(SUBSTITUTE(SUBSTITUTE(SUBSTITUTE(IF(INDEX(GLAPS컨테이너배차관리!$T:$T,$B143)="","",INDEX(GLAPS컨테이너배차관리!$T:$T,$B143)),"[GA]",""),"[GB]",""),"[GC]",""),"[KC]",""),"[GS]",""))))</f>
        <v/>
      </c>
      <c r="H143" t="str">
        <f>IF($B143="","",IFERROR(VLOOKUP(IF(INDEX(GLAPS컨테이너배차관리!$BY:$BY,$B143)="","",INDEX(GLAPS컨테이너배차관리!$BY:$BY,$B143)),GLAPS정리!$BT$3:$BV$200,3,0),""))</f>
        <v/>
      </c>
      <c r="I143" t="str">
        <f>IF($B143="","",LEFT(IF(INDEX(GLAPS컨테이너배차관리!$U:$U,$B143)="","",INDEX(GLAPS컨테이너배차관리!$U:$U,$B143)),FIND("/",IF(INDEX(GLAPS컨테이너배차관리!$U:$U,$B143)="","",INDEX(GLAPS컨테이너배차관리!$U:$U,$B143))&amp;"/")-1))</f>
        <v/>
      </c>
      <c r="J143" t="str">
        <f>IF($B143="","",IF(IF(INDEX(GLAPS컨테이너배차관리!$O:$O,$B143)="","",INDEX(GLAPS컨테이너배차관리!$O:$O,$B143))="EMC","EMA",IFERROR(INDEX(GLAPS정리!$A$2:$A$50,MATCH(IF(INDEX(GLAPS컨테이너배차관리!$O:$O,$B143)="","",INDEX(GLAPS컨테이너배차관리!$O:$O,$B143)),GLAPS정리!$D$2:$D$50,0)),IF(INDEX(GLAPS컨테이너배차관리!$O:$O,$B143)="","",INDEX(GLAPS컨테이너배차관리!$O:$O,$B143)))))</f>
        <v/>
      </c>
      <c r="K143" t="str">
        <f>IF($B143="","",IF(LEFT(IF(INDEX(GLAPS컨테이너배차관리!$Y:$Y,$B143)="","",INDEX(GLAPS컨테이너배차관리!$Y:$Y,$B143)),2)="22","20 Feet",IF(LEFT(IF(INDEX(GLAPS컨테이너배차관리!$Y:$Y,$B143)="","",INDEX(GLAPS컨테이너배차관리!$Y:$Y,$B143)),2)="42","40 Feet","40 Feet H")))</f>
        <v/>
      </c>
      <c r="L143" t="str">
        <f>IF($B143="","",IFERROR(INDEX(GLAPS정리!$BB$2:$BB$80,MATCH(IF(INDEX(GLAPS컨테이너배차관리!$BQ:$BQ,$B143)="","",INDEX(GLAPS컨테이너배차관리!$BQ:$BQ,$B143)),GLAPS정리!$BC$2:$BC$80,0)),IF(INDEX(GLAPS컨테이너배차관리!$BQ:$BQ,$B143)="","",INDEX(GLAPS컨테이너배차관리!$BQ:$BQ,$B143))))</f>
        <v/>
      </c>
      <c r="M143" t="str">
        <f>IF($B143="","",IFERROR(INDEX(GLAPS정리!$V$3:$V$180,MATCH(IF(INDEX(GLAPS컨테이너배차관리!$S:$S,$B143)="","",INDEX(GLAPS컨테이너배차관리!$S:$S,$B143)),GLAPS정리!$W$3:$W$180,0)),IF(INDEX(GLAPS컨테이너배차관리!$S:$S,$B143)="","",INDEX(GLAPS컨테이너배차관리!$S:$S,$B143))))</f>
        <v/>
      </c>
      <c r="N143" t="str">
        <f>IF($B143="","",IF(IF(INDEX(GLAPS컨테이너배차관리!$DF:$DF,$B143)="","",INDEX(GLAPS컨테이너배차관리!$DF:$DF,$B143))&lt;&gt;"",IF(INDEX(GLAPS컨테이너배차관리!$DF:$DF,$B143)="","",INDEX(GLAPS컨테이너배차관리!$DF:$DF,$B143)),IF(IF(INDEX(GLAPS컨테이너배차관리!$DG:$DG,$B143)="","",INDEX(GLAPS컨테이너배차관리!$DG:$DG,$B143))&lt;&gt;"",IF(INDEX(GLAPS컨테이너배차관리!$DG:$DG,$B143)="","",INDEX(GLAPS컨테이너배차관리!$DG:$DG,$B143)),"")))</f>
        <v/>
      </c>
      <c r="O143" t="str">
        <f>IF($B143="","",IF(INDEX(GLAPS컨테이너배차관리!$AB:$AB,$B143)="","",INDEX(GLAPS컨테이너배차관리!$AB:$AB,$B143)))</f>
        <v/>
      </c>
      <c r="P143" t="str">
        <f>IF($B143="","",IF(IF(INDEX(GLAPS컨테이너배차관리!$CP:$CP,$B143)="","",INDEX(GLAPS컨테이너배차관리!$CP:$CP,$B143))="","",IFERROR(INDEX(GLAPS정리!$BH$2:$BH$101,MATCH(IF(INDEX(GLAPS컨테이너배차관리!$CP:$CP,$B143)="","",INDEX(GLAPS컨테이너배차관리!$CP:$CP,$B143)),GLAPS정리!$BI$2:$BI$101,0)),IF(INDEX(GLAPS컨테이너배차관리!$CP:$CP,$B143)="","",INDEX(GLAPS컨테이너배차관리!$CP:$CP,$B143)))))</f>
        <v/>
      </c>
      <c r="Q143" t="str">
        <f>IF($B143="","",IF(AND(IF(INDEX(GLAPS컨테이너배차관리!$AK:$AK,$B143)="","",INDEX(GLAPS컨테이너배차관리!$AK:$AK,$B143))="Y",IF(INDEX(GLAPS컨테이너배차관리!$AI:$AI,$B143)="","",INDEX(GLAPS컨테이너배차관리!$AI:$AI,$B143))="Y"),"위험물리퍼",IF(IF(INDEX(GLAPS컨테이너배차관리!$AK:$AK,$B143)="","",INDEX(GLAPS컨테이너배차관리!$AK:$AK,$B143))="Y","위험물",IF(IF(INDEX(GLAPS컨테이너배차관리!$AI:$AI,$B143)="","",INDEX(GLAPS컨테이너배차관리!$AI:$AI,$B143))="Y","리퍼",""))))</f>
        <v/>
      </c>
      <c r="R143" t="str">
        <f>IF($B143="","",IF(LEFT(IF(INDEX(GLAPS컨테이너배차관리!$Y:$Y,$B143)="","",INDEX(GLAPS컨테이너배차관리!$Y:$Y,$B143)),2)="22",1,""))</f>
        <v/>
      </c>
      <c r="S143" t="str">
        <f>IF($B143="","",IF(LEFT(IF(INDEX(GLAPS컨테이너배차관리!$Y:$Y,$B143)="","",INDEX(GLAPS컨테이너배차관리!$Y:$Y,$B143)),2)="42",1,""))</f>
        <v/>
      </c>
      <c r="T143" t="str">
        <f>IF($B143="","",IF(LEFT(IF(INDEX(GLAPS컨테이너배차관리!$Y:$Y,$B143)="","",INDEX(GLAPS컨테이너배차관리!$Y:$Y,$B143)),2)="45",1,""))</f>
        <v/>
      </c>
      <c r="U143" t="str">
        <f>IF($B143="","",IF(INDEX(GLAPS컨테이너배차관리!$X:$X,$B143)="","",INDEX(GLAPS컨테이너배차관리!$X:$X,$B143)))</f>
        <v/>
      </c>
      <c r="V143" t="str">
        <f>IF($B143="","",IF(INDEX(GLAPS컨테이너배차관리!$Z:$Z,$B143)="","",INDEX(GLAPS컨테이너배차관리!$Z:$Z,$B143)))</f>
        <v/>
      </c>
      <c r="W143" t="str">
        <f>IF($B143="","",IF(IF(INDEX(GLAPS컨테이너배차관리!$DI:$DI,$B143)="","",INDEX(GLAPS컨테이너배차관리!$DI:$DI,$B143))&lt;&gt;"",IF(INDEX(GLAPS컨테이너배차관리!$DI:$DI,$B143)="","",INDEX(GLAPS컨테이너배차관리!$DI:$DI,$B143)),IF(IF(INDEX(GLAPS컨테이너배차관리!$DJ:$DJ,$B143)="","",INDEX(GLAPS컨테이너배차관리!$DJ:$DJ,$B143))&lt;&gt;"",IF(INDEX(GLAPS컨테이너배차관리!$DJ:$DJ,$B143)="","",INDEX(GLAPS컨테이너배차관리!$DJ:$DJ,$B143)),IF(IF(INDEX(GLAPS컨테이너배차관리!$DK:$DK,$B143)="","",INDEX(GLAPS컨테이너배차관리!$DK:$DK,$B143))&lt;&gt;"",IF(INDEX(GLAPS컨테이너배차관리!$DK:$DK,$B143)="","",INDEX(GLAPS컨테이너배차관리!$DK:$DK,$B143)),IF(IF(INDEX(GLAPS컨테이너배차관리!$DL:$DL,$B143)="","",INDEX(GLAPS컨테이너배차관리!$DL:$DL,$B143))&lt;&gt;"",IF(INDEX(GLAPS컨테이너배차관리!$DL:$DL,$B143)="","",INDEX(GLAPS컨테이너배차관리!$DL:$DL,$B143)),IF(IF(INDEX(GLAPS컨테이너배차관리!$DM:$DM,$B143)="","",INDEX(GLAPS컨테이너배차관리!$DM:$DM,$B143))&lt;&gt;"",IF(INDEX(GLAPS컨테이너배차관리!$DM:$DM,$B143)="","",INDEX(GLAPS컨테이너배차관리!$DM:$DM,$B143)),""))))))</f>
        <v/>
      </c>
      <c r="X143" t="str">
        <f>IF($B143="","",IF(INDEX(GLAPS컨테이너배차관리!$F:$F,$B143)="","",INDEX(GLAPS컨테이너배차관리!$F:$F,$B143)))</f>
        <v/>
      </c>
      <c r="Y143" t="str">
        <f>IF($B143="","",IF(IF(INDEX(GLAPS컨테이너배차관리!$M:$M,$B143)="","",INDEX(GLAPS컨테이너배차관리!$M:$M,$B143))&lt;&gt;"",IF(INDEX(GLAPS컨테이너배차관리!$M:$M,$B143)="","",INDEX(GLAPS컨테이너배차관리!$M:$M,$B143)),IF(IF(INDEX(GLAPS컨테이너배차관리!$N:$N,$B143)="","",INDEX(GLAPS컨테이너배차관리!$N:$N,$B143))&lt;&gt;"",IF(INDEX(GLAPS컨테이너배차관리!$N:$N,$B143)="","",INDEX(GLAPS컨테이너배차관리!$N:$N,$B143)),"")))</f>
        <v/>
      </c>
      <c r="Z143" t="str">
        <f>IF($B143="","",IF(IF(INDEX(GLAPS컨테이너배차관리!$CU:$CU,$B143)="","",INDEX(GLAPS컨테이너배차관리!$CU:$CU,$B143))="","",IFERROR(INT(IF(INDEX(GLAPS컨테이너배차관리!$CU:$CU,$B143)="","",INDEX(GLAPS컨테이너배차관리!$CU:$CU,$B143))),"")))</f>
        <v/>
      </c>
      <c r="AA143" t="str">
        <f>IF($B143="","",IF(AND(IF(INDEX(GLAPS컨테이너배차관리!$CL:$CL,$B143)="","",INDEX(GLAPS컨테이너배차관리!$CL:$CL,$B143))="",IF(INDEX(GLAPS컨테이너배차관리!$CM:$CM,$B143)="","",INDEX(GLAPS컨테이너배차관리!$CM:$CM,$B143))=""),"",IF(OR(IF(INDEX(GLAPS컨테이너배차관리!$CL:$CL,$B143)="","",INDEX(GLAPS컨테이너배차관리!$CL:$CL,$B143))="B000016649",ISNUMBER(SEARCH("B015",IF(INDEX(GLAPS컨테이너배차관리!$CM:$CM,$B143)="","",INDEX(GLAPS컨테이너배차관리!$CM:$CM,$B143)))),ISNUMBER(SEARCH("세방",IF(INDEX(GLAPS컨테이너배차관리!$CM:$CM,$B143)="","",INDEX(GLAPS컨테이너배차관리!$CM:$CM,$B143)))),ISNUMBER(SEARCH("SB",IF(INDEX(GLAPS컨테이너배차관리!$CM:$CM,$B143)="","",INDEX(GLAPS컨테이너배차관리!$CM:$CM,$B143))))),"세방","")))</f>
        <v/>
      </c>
      <c r="AB143" t="str">
        <f>IF($B143="","",IF(IF(INDEX(GLAPS컨테이너배차관리!$CM:$CM,$B143)="","",INDEX(GLAPS컨테이너배차관리!$CM:$CM,$B143))="","",IF(ISNUMBER(SEARCH("이지스두동",IF(INDEX(GLAPS컨테이너배차관리!$CM:$CM,$B143)="","",INDEX(GLAPS컨테이너배차관리!$CM:$CM,$B143)))),"이지스두동",IF(ISNUMBER(SEARCH("이지스녹산",IF(INDEX(GLAPS컨테이너배차관리!$CM:$CM,$B143)="","",INDEX(GLAPS컨테이너배차관리!$CM:$CM,$B143)))),"이지스녹산",IF(ISNUMBER(SEARCH("천우",IF(INDEX(GLAPS컨테이너배차관리!$CM:$CM,$B143)="","",INDEX(GLAPS컨테이너배차관리!$CM:$CM,$B143)))),"천우",IF(OR(ISNUMBER(SEARCH("청암",IF(INDEX(GLAPS컨테이너배차관리!$CM:$CM,$B143)="","",INDEX(GLAPS컨테이너배차관리!$CM:$CM,$B143)))),ISNUMBER(SEARCH("SB청암",IF(INDEX(GLAPS컨테이너배차관리!$CM:$CM,$B143)="","",INDEX(GLAPS컨테이너배차관리!$CM:$CM,$B143))))),"청암신항",IF(INDEX(GLAPS컨테이너배차관리!$CM:$CM,$B143)="","",INDEX(GLAPS컨테이너배차관리!$CM:$CM,$B143))))))))</f>
        <v/>
      </c>
    </row>
    <row r="144" spans="1:28">
      <c r="A144">
        <v>143</v>
      </c>
      <c r="B144" t="str">
        <f>IFERROR(_xlfn.AGGREGATE(15,6,ROW(GLAPS컨테이너배차관리!$X$2:$X$20000)/(GLAPS컨테이너배차관리!$X$2:$X$20000&lt;&gt;""),A144),"")</f>
        <v/>
      </c>
      <c r="C144" t="str">
        <f>IF($B144="","",INT(IF(INDEX(GLAPS컨테이너배차관리!$K:$K,$B144)="","",INDEX(GLAPS컨테이너배차관리!$K:$K,$B144))))</f>
        <v/>
      </c>
      <c r="D144" t="str">
        <f>IF($B144="","",IF(ISNUMBER(SEARCH("이엘에스",IF(INDEX(GLAPS컨테이너배차관리!$AZ:$AZ,$B144)="","",INDEX(GLAPS컨테이너배차관리!$AZ:$AZ,$B144)))),"ELS솔루션",IF(INDEX(GLAPS컨테이너배차관리!$AZ:$AZ,$B144)="","",INDEX(GLAPS컨테이너배차관리!$AZ:$AZ,$B144))))</f>
        <v/>
      </c>
      <c r="E144" t="str">
        <f>IF($B144="","",IF(INDEX(GLAPS컨테이너배차관리!$L:$L,$B144)="","",INDEX(GLAPS컨테이너배차관리!$L:$L,$B144)))</f>
        <v/>
      </c>
      <c r="F144" t="str">
        <f>IF($B144="","",IF(HOUR(IF(INDEX(GLAPS컨테이너배차관리!$L:$L,$B144)="","",INDEX(GLAPS컨테이너배차관리!$L:$L,$B144)))&lt;12,"오전",IF(HOUR(IF(INDEX(GLAPS컨테이너배차관리!$L:$L,$B144)="","",INDEX(GLAPS컨테이너배차관리!$L:$L,$B144)))&lt;18,"오후","잔업")))</f>
        <v/>
      </c>
      <c r="G144" t="str">
        <f>IF($B144="","",IFERROR(INDEX(GLAPS정리!$G$3:$G$264,MATCH(IF(INDEX(GLAPS컨테이너배차관리!$BY:$BY,$B144)="","",INDEX(GLAPS컨테이너배차관리!$BY:$BY,$B144)),GLAPS정리!$H$3:$H$264,0)),TRIM(SUBSTITUTE(SUBSTITUTE(SUBSTITUTE(SUBSTITUTE(SUBSTITUTE(IF(INDEX(GLAPS컨테이너배차관리!$T:$T,$B144)="","",INDEX(GLAPS컨테이너배차관리!$T:$T,$B144)),"[GA]",""),"[GB]",""),"[GC]",""),"[KC]",""),"[GS]",""))))</f>
        <v/>
      </c>
      <c r="H144" t="str">
        <f>IF($B144="","",IFERROR(VLOOKUP(IF(INDEX(GLAPS컨테이너배차관리!$BY:$BY,$B144)="","",INDEX(GLAPS컨테이너배차관리!$BY:$BY,$B144)),GLAPS정리!$BT$3:$BV$200,3,0),""))</f>
        <v/>
      </c>
      <c r="I144" t="str">
        <f>IF($B144="","",LEFT(IF(INDEX(GLAPS컨테이너배차관리!$U:$U,$B144)="","",INDEX(GLAPS컨테이너배차관리!$U:$U,$B144)),FIND("/",IF(INDEX(GLAPS컨테이너배차관리!$U:$U,$B144)="","",INDEX(GLAPS컨테이너배차관리!$U:$U,$B144))&amp;"/")-1))</f>
        <v/>
      </c>
      <c r="J144" t="str">
        <f>IF($B144="","",IF(IF(INDEX(GLAPS컨테이너배차관리!$O:$O,$B144)="","",INDEX(GLAPS컨테이너배차관리!$O:$O,$B144))="EMC","EMA",IFERROR(INDEX(GLAPS정리!$A$2:$A$50,MATCH(IF(INDEX(GLAPS컨테이너배차관리!$O:$O,$B144)="","",INDEX(GLAPS컨테이너배차관리!$O:$O,$B144)),GLAPS정리!$D$2:$D$50,0)),IF(INDEX(GLAPS컨테이너배차관리!$O:$O,$B144)="","",INDEX(GLAPS컨테이너배차관리!$O:$O,$B144)))))</f>
        <v/>
      </c>
      <c r="K144" t="str">
        <f>IF($B144="","",IF(LEFT(IF(INDEX(GLAPS컨테이너배차관리!$Y:$Y,$B144)="","",INDEX(GLAPS컨테이너배차관리!$Y:$Y,$B144)),2)="22","20 Feet",IF(LEFT(IF(INDEX(GLAPS컨테이너배차관리!$Y:$Y,$B144)="","",INDEX(GLAPS컨테이너배차관리!$Y:$Y,$B144)),2)="42","40 Feet","40 Feet H")))</f>
        <v/>
      </c>
      <c r="L144" t="str">
        <f>IF($B144="","",IFERROR(INDEX(GLAPS정리!$BB$2:$BB$80,MATCH(IF(INDEX(GLAPS컨테이너배차관리!$BQ:$BQ,$B144)="","",INDEX(GLAPS컨테이너배차관리!$BQ:$BQ,$B144)),GLAPS정리!$BC$2:$BC$80,0)),IF(INDEX(GLAPS컨테이너배차관리!$BQ:$BQ,$B144)="","",INDEX(GLAPS컨테이너배차관리!$BQ:$BQ,$B144))))</f>
        <v/>
      </c>
      <c r="M144" t="str">
        <f>IF($B144="","",IFERROR(INDEX(GLAPS정리!$V$3:$V$180,MATCH(IF(INDEX(GLAPS컨테이너배차관리!$S:$S,$B144)="","",INDEX(GLAPS컨테이너배차관리!$S:$S,$B144)),GLAPS정리!$W$3:$W$180,0)),IF(INDEX(GLAPS컨테이너배차관리!$S:$S,$B144)="","",INDEX(GLAPS컨테이너배차관리!$S:$S,$B144))))</f>
        <v/>
      </c>
      <c r="N144" t="str">
        <f>IF($B144="","",IF(IF(INDEX(GLAPS컨테이너배차관리!$DF:$DF,$B144)="","",INDEX(GLAPS컨테이너배차관리!$DF:$DF,$B144))&lt;&gt;"",IF(INDEX(GLAPS컨테이너배차관리!$DF:$DF,$B144)="","",INDEX(GLAPS컨테이너배차관리!$DF:$DF,$B144)),IF(IF(INDEX(GLAPS컨테이너배차관리!$DG:$DG,$B144)="","",INDEX(GLAPS컨테이너배차관리!$DG:$DG,$B144))&lt;&gt;"",IF(INDEX(GLAPS컨테이너배차관리!$DG:$DG,$B144)="","",INDEX(GLAPS컨테이너배차관리!$DG:$DG,$B144)),"")))</f>
        <v/>
      </c>
      <c r="O144" t="str">
        <f>IF($B144="","",IF(INDEX(GLAPS컨테이너배차관리!$AB:$AB,$B144)="","",INDEX(GLAPS컨테이너배차관리!$AB:$AB,$B144)))</f>
        <v/>
      </c>
      <c r="P144" t="str">
        <f>IF($B144="","",IF(IF(INDEX(GLAPS컨테이너배차관리!$CP:$CP,$B144)="","",INDEX(GLAPS컨테이너배차관리!$CP:$CP,$B144))="","",IFERROR(INDEX(GLAPS정리!$BH$2:$BH$101,MATCH(IF(INDEX(GLAPS컨테이너배차관리!$CP:$CP,$B144)="","",INDEX(GLAPS컨테이너배차관리!$CP:$CP,$B144)),GLAPS정리!$BI$2:$BI$101,0)),IF(INDEX(GLAPS컨테이너배차관리!$CP:$CP,$B144)="","",INDEX(GLAPS컨테이너배차관리!$CP:$CP,$B144)))))</f>
        <v/>
      </c>
      <c r="Q144" t="str">
        <f>IF($B144="","",IF(AND(IF(INDEX(GLAPS컨테이너배차관리!$AK:$AK,$B144)="","",INDEX(GLAPS컨테이너배차관리!$AK:$AK,$B144))="Y",IF(INDEX(GLAPS컨테이너배차관리!$AI:$AI,$B144)="","",INDEX(GLAPS컨테이너배차관리!$AI:$AI,$B144))="Y"),"위험물리퍼",IF(IF(INDEX(GLAPS컨테이너배차관리!$AK:$AK,$B144)="","",INDEX(GLAPS컨테이너배차관리!$AK:$AK,$B144))="Y","위험물",IF(IF(INDEX(GLAPS컨테이너배차관리!$AI:$AI,$B144)="","",INDEX(GLAPS컨테이너배차관리!$AI:$AI,$B144))="Y","리퍼",""))))</f>
        <v/>
      </c>
      <c r="R144" t="str">
        <f>IF($B144="","",IF(LEFT(IF(INDEX(GLAPS컨테이너배차관리!$Y:$Y,$B144)="","",INDEX(GLAPS컨테이너배차관리!$Y:$Y,$B144)),2)="22",1,""))</f>
        <v/>
      </c>
      <c r="S144" t="str">
        <f>IF($B144="","",IF(LEFT(IF(INDEX(GLAPS컨테이너배차관리!$Y:$Y,$B144)="","",INDEX(GLAPS컨테이너배차관리!$Y:$Y,$B144)),2)="42",1,""))</f>
        <v/>
      </c>
      <c r="T144" t="str">
        <f>IF($B144="","",IF(LEFT(IF(INDEX(GLAPS컨테이너배차관리!$Y:$Y,$B144)="","",INDEX(GLAPS컨테이너배차관리!$Y:$Y,$B144)),2)="45",1,""))</f>
        <v/>
      </c>
      <c r="U144" t="str">
        <f>IF($B144="","",IF(INDEX(GLAPS컨테이너배차관리!$X:$X,$B144)="","",INDEX(GLAPS컨테이너배차관리!$X:$X,$B144)))</f>
        <v/>
      </c>
      <c r="V144" t="str">
        <f>IF($B144="","",IF(INDEX(GLAPS컨테이너배차관리!$Z:$Z,$B144)="","",INDEX(GLAPS컨테이너배차관리!$Z:$Z,$B144)))</f>
        <v/>
      </c>
      <c r="W144" t="str">
        <f>IF($B144="","",IF(IF(INDEX(GLAPS컨테이너배차관리!$DI:$DI,$B144)="","",INDEX(GLAPS컨테이너배차관리!$DI:$DI,$B144))&lt;&gt;"",IF(INDEX(GLAPS컨테이너배차관리!$DI:$DI,$B144)="","",INDEX(GLAPS컨테이너배차관리!$DI:$DI,$B144)),IF(IF(INDEX(GLAPS컨테이너배차관리!$DJ:$DJ,$B144)="","",INDEX(GLAPS컨테이너배차관리!$DJ:$DJ,$B144))&lt;&gt;"",IF(INDEX(GLAPS컨테이너배차관리!$DJ:$DJ,$B144)="","",INDEX(GLAPS컨테이너배차관리!$DJ:$DJ,$B144)),IF(IF(INDEX(GLAPS컨테이너배차관리!$DK:$DK,$B144)="","",INDEX(GLAPS컨테이너배차관리!$DK:$DK,$B144))&lt;&gt;"",IF(INDEX(GLAPS컨테이너배차관리!$DK:$DK,$B144)="","",INDEX(GLAPS컨테이너배차관리!$DK:$DK,$B144)),IF(IF(INDEX(GLAPS컨테이너배차관리!$DL:$DL,$B144)="","",INDEX(GLAPS컨테이너배차관리!$DL:$DL,$B144))&lt;&gt;"",IF(INDEX(GLAPS컨테이너배차관리!$DL:$DL,$B144)="","",INDEX(GLAPS컨테이너배차관리!$DL:$DL,$B144)),IF(IF(INDEX(GLAPS컨테이너배차관리!$DM:$DM,$B144)="","",INDEX(GLAPS컨테이너배차관리!$DM:$DM,$B144))&lt;&gt;"",IF(INDEX(GLAPS컨테이너배차관리!$DM:$DM,$B144)="","",INDEX(GLAPS컨테이너배차관리!$DM:$DM,$B144)),""))))))</f>
        <v/>
      </c>
      <c r="X144" t="str">
        <f>IF($B144="","",IF(INDEX(GLAPS컨테이너배차관리!$F:$F,$B144)="","",INDEX(GLAPS컨테이너배차관리!$F:$F,$B144)))</f>
        <v/>
      </c>
      <c r="Y144" t="str">
        <f>IF($B144="","",IF(IF(INDEX(GLAPS컨테이너배차관리!$M:$M,$B144)="","",INDEX(GLAPS컨테이너배차관리!$M:$M,$B144))&lt;&gt;"",IF(INDEX(GLAPS컨테이너배차관리!$M:$M,$B144)="","",INDEX(GLAPS컨테이너배차관리!$M:$M,$B144)),IF(IF(INDEX(GLAPS컨테이너배차관리!$N:$N,$B144)="","",INDEX(GLAPS컨테이너배차관리!$N:$N,$B144))&lt;&gt;"",IF(INDEX(GLAPS컨테이너배차관리!$N:$N,$B144)="","",INDEX(GLAPS컨테이너배차관리!$N:$N,$B144)),"")))</f>
        <v/>
      </c>
      <c r="Z144" t="str">
        <f>IF($B144="","",IF(IF(INDEX(GLAPS컨테이너배차관리!$CU:$CU,$B144)="","",INDEX(GLAPS컨테이너배차관리!$CU:$CU,$B144))="","",IFERROR(INT(IF(INDEX(GLAPS컨테이너배차관리!$CU:$CU,$B144)="","",INDEX(GLAPS컨테이너배차관리!$CU:$CU,$B144))),"")))</f>
        <v/>
      </c>
      <c r="AA144" t="str">
        <f>IF($B144="","",IF(AND(IF(INDEX(GLAPS컨테이너배차관리!$CL:$CL,$B144)="","",INDEX(GLAPS컨테이너배차관리!$CL:$CL,$B144))="",IF(INDEX(GLAPS컨테이너배차관리!$CM:$CM,$B144)="","",INDEX(GLAPS컨테이너배차관리!$CM:$CM,$B144))=""),"",IF(OR(IF(INDEX(GLAPS컨테이너배차관리!$CL:$CL,$B144)="","",INDEX(GLAPS컨테이너배차관리!$CL:$CL,$B144))="B000016649",ISNUMBER(SEARCH("B015",IF(INDEX(GLAPS컨테이너배차관리!$CM:$CM,$B144)="","",INDEX(GLAPS컨테이너배차관리!$CM:$CM,$B144)))),ISNUMBER(SEARCH("세방",IF(INDEX(GLAPS컨테이너배차관리!$CM:$CM,$B144)="","",INDEX(GLAPS컨테이너배차관리!$CM:$CM,$B144)))),ISNUMBER(SEARCH("SB",IF(INDEX(GLAPS컨테이너배차관리!$CM:$CM,$B144)="","",INDEX(GLAPS컨테이너배차관리!$CM:$CM,$B144))))),"세방","")))</f>
        <v/>
      </c>
      <c r="AB144" t="str">
        <f>IF($B144="","",IF(IF(INDEX(GLAPS컨테이너배차관리!$CM:$CM,$B144)="","",INDEX(GLAPS컨테이너배차관리!$CM:$CM,$B144))="","",IF(ISNUMBER(SEARCH("이지스두동",IF(INDEX(GLAPS컨테이너배차관리!$CM:$CM,$B144)="","",INDEX(GLAPS컨테이너배차관리!$CM:$CM,$B144)))),"이지스두동",IF(ISNUMBER(SEARCH("이지스녹산",IF(INDEX(GLAPS컨테이너배차관리!$CM:$CM,$B144)="","",INDEX(GLAPS컨테이너배차관리!$CM:$CM,$B144)))),"이지스녹산",IF(ISNUMBER(SEARCH("천우",IF(INDEX(GLAPS컨테이너배차관리!$CM:$CM,$B144)="","",INDEX(GLAPS컨테이너배차관리!$CM:$CM,$B144)))),"천우",IF(OR(ISNUMBER(SEARCH("청암",IF(INDEX(GLAPS컨테이너배차관리!$CM:$CM,$B144)="","",INDEX(GLAPS컨테이너배차관리!$CM:$CM,$B144)))),ISNUMBER(SEARCH("SB청암",IF(INDEX(GLAPS컨테이너배차관리!$CM:$CM,$B144)="","",INDEX(GLAPS컨테이너배차관리!$CM:$CM,$B144))))),"청암신항",IF(INDEX(GLAPS컨테이너배차관리!$CM:$CM,$B144)="","",INDEX(GLAPS컨테이너배차관리!$CM:$CM,$B144))))))))</f>
        <v/>
      </c>
    </row>
    <row r="145" spans="1:28">
      <c r="A145">
        <v>144</v>
      </c>
      <c r="B145" t="str">
        <f>IFERROR(_xlfn.AGGREGATE(15,6,ROW(GLAPS컨테이너배차관리!$X$2:$X$20000)/(GLAPS컨테이너배차관리!$X$2:$X$20000&lt;&gt;""),A145),"")</f>
        <v/>
      </c>
      <c r="C145" t="str">
        <f>IF($B145="","",INT(IF(INDEX(GLAPS컨테이너배차관리!$K:$K,$B145)="","",INDEX(GLAPS컨테이너배차관리!$K:$K,$B145))))</f>
        <v/>
      </c>
      <c r="D145" t="str">
        <f>IF($B145="","",IF(ISNUMBER(SEARCH("이엘에스",IF(INDEX(GLAPS컨테이너배차관리!$AZ:$AZ,$B145)="","",INDEX(GLAPS컨테이너배차관리!$AZ:$AZ,$B145)))),"ELS솔루션",IF(INDEX(GLAPS컨테이너배차관리!$AZ:$AZ,$B145)="","",INDEX(GLAPS컨테이너배차관리!$AZ:$AZ,$B145))))</f>
        <v/>
      </c>
      <c r="E145" t="str">
        <f>IF($B145="","",IF(INDEX(GLAPS컨테이너배차관리!$L:$L,$B145)="","",INDEX(GLAPS컨테이너배차관리!$L:$L,$B145)))</f>
        <v/>
      </c>
      <c r="F145" t="str">
        <f>IF($B145="","",IF(HOUR(IF(INDEX(GLAPS컨테이너배차관리!$L:$L,$B145)="","",INDEX(GLAPS컨테이너배차관리!$L:$L,$B145)))&lt;12,"오전",IF(HOUR(IF(INDEX(GLAPS컨테이너배차관리!$L:$L,$B145)="","",INDEX(GLAPS컨테이너배차관리!$L:$L,$B145)))&lt;18,"오후","잔업")))</f>
        <v/>
      </c>
      <c r="G145" t="str">
        <f>IF($B145="","",IFERROR(INDEX(GLAPS정리!$G$3:$G$264,MATCH(IF(INDEX(GLAPS컨테이너배차관리!$BY:$BY,$B145)="","",INDEX(GLAPS컨테이너배차관리!$BY:$BY,$B145)),GLAPS정리!$H$3:$H$264,0)),TRIM(SUBSTITUTE(SUBSTITUTE(SUBSTITUTE(SUBSTITUTE(SUBSTITUTE(IF(INDEX(GLAPS컨테이너배차관리!$T:$T,$B145)="","",INDEX(GLAPS컨테이너배차관리!$T:$T,$B145)),"[GA]",""),"[GB]",""),"[GC]",""),"[KC]",""),"[GS]",""))))</f>
        <v/>
      </c>
      <c r="H145" t="str">
        <f>IF($B145="","",IFERROR(VLOOKUP(IF(INDEX(GLAPS컨테이너배차관리!$BY:$BY,$B145)="","",INDEX(GLAPS컨테이너배차관리!$BY:$BY,$B145)),GLAPS정리!$BT$3:$BV$200,3,0),""))</f>
        <v/>
      </c>
      <c r="I145" t="str">
        <f>IF($B145="","",LEFT(IF(INDEX(GLAPS컨테이너배차관리!$U:$U,$B145)="","",INDEX(GLAPS컨테이너배차관리!$U:$U,$B145)),FIND("/",IF(INDEX(GLAPS컨테이너배차관리!$U:$U,$B145)="","",INDEX(GLAPS컨테이너배차관리!$U:$U,$B145))&amp;"/")-1))</f>
        <v/>
      </c>
      <c r="J145" t="str">
        <f>IF($B145="","",IF(IF(INDEX(GLAPS컨테이너배차관리!$O:$O,$B145)="","",INDEX(GLAPS컨테이너배차관리!$O:$O,$B145))="EMC","EMA",IFERROR(INDEX(GLAPS정리!$A$2:$A$50,MATCH(IF(INDEX(GLAPS컨테이너배차관리!$O:$O,$B145)="","",INDEX(GLAPS컨테이너배차관리!$O:$O,$B145)),GLAPS정리!$D$2:$D$50,0)),IF(INDEX(GLAPS컨테이너배차관리!$O:$O,$B145)="","",INDEX(GLAPS컨테이너배차관리!$O:$O,$B145)))))</f>
        <v/>
      </c>
      <c r="K145" t="str">
        <f>IF($B145="","",IF(LEFT(IF(INDEX(GLAPS컨테이너배차관리!$Y:$Y,$B145)="","",INDEX(GLAPS컨테이너배차관리!$Y:$Y,$B145)),2)="22","20 Feet",IF(LEFT(IF(INDEX(GLAPS컨테이너배차관리!$Y:$Y,$B145)="","",INDEX(GLAPS컨테이너배차관리!$Y:$Y,$B145)),2)="42","40 Feet","40 Feet H")))</f>
        <v/>
      </c>
      <c r="L145" t="str">
        <f>IF($B145="","",IFERROR(INDEX(GLAPS정리!$BB$2:$BB$80,MATCH(IF(INDEX(GLAPS컨테이너배차관리!$BQ:$BQ,$B145)="","",INDEX(GLAPS컨테이너배차관리!$BQ:$BQ,$B145)),GLAPS정리!$BC$2:$BC$80,0)),IF(INDEX(GLAPS컨테이너배차관리!$BQ:$BQ,$B145)="","",INDEX(GLAPS컨테이너배차관리!$BQ:$BQ,$B145))))</f>
        <v/>
      </c>
      <c r="M145" t="str">
        <f>IF($B145="","",IFERROR(INDEX(GLAPS정리!$V$3:$V$180,MATCH(IF(INDEX(GLAPS컨테이너배차관리!$S:$S,$B145)="","",INDEX(GLAPS컨테이너배차관리!$S:$S,$B145)),GLAPS정리!$W$3:$W$180,0)),IF(INDEX(GLAPS컨테이너배차관리!$S:$S,$B145)="","",INDEX(GLAPS컨테이너배차관리!$S:$S,$B145))))</f>
        <v/>
      </c>
      <c r="N145" t="str">
        <f>IF($B145="","",IF(IF(INDEX(GLAPS컨테이너배차관리!$DF:$DF,$B145)="","",INDEX(GLAPS컨테이너배차관리!$DF:$DF,$B145))&lt;&gt;"",IF(INDEX(GLAPS컨테이너배차관리!$DF:$DF,$B145)="","",INDEX(GLAPS컨테이너배차관리!$DF:$DF,$B145)),IF(IF(INDEX(GLAPS컨테이너배차관리!$DG:$DG,$B145)="","",INDEX(GLAPS컨테이너배차관리!$DG:$DG,$B145))&lt;&gt;"",IF(INDEX(GLAPS컨테이너배차관리!$DG:$DG,$B145)="","",INDEX(GLAPS컨테이너배차관리!$DG:$DG,$B145)),"")))</f>
        <v/>
      </c>
      <c r="O145" t="str">
        <f>IF($B145="","",IF(INDEX(GLAPS컨테이너배차관리!$AB:$AB,$B145)="","",INDEX(GLAPS컨테이너배차관리!$AB:$AB,$B145)))</f>
        <v/>
      </c>
      <c r="P145" t="str">
        <f>IF($B145="","",IF(IF(INDEX(GLAPS컨테이너배차관리!$CP:$CP,$B145)="","",INDEX(GLAPS컨테이너배차관리!$CP:$CP,$B145))="","",IFERROR(INDEX(GLAPS정리!$BH$2:$BH$101,MATCH(IF(INDEX(GLAPS컨테이너배차관리!$CP:$CP,$B145)="","",INDEX(GLAPS컨테이너배차관리!$CP:$CP,$B145)),GLAPS정리!$BI$2:$BI$101,0)),IF(INDEX(GLAPS컨테이너배차관리!$CP:$CP,$B145)="","",INDEX(GLAPS컨테이너배차관리!$CP:$CP,$B145)))))</f>
        <v/>
      </c>
      <c r="Q145" t="str">
        <f>IF($B145="","",IF(AND(IF(INDEX(GLAPS컨테이너배차관리!$AK:$AK,$B145)="","",INDEX(GLAPS컨테이너배차관리!$AK:$AK,$B145))="Y",IF(INDEX(GLAPS컨테이너배차관리!$AI:$AI,$B145)="","",INDEX(GLAPS컨테이너배차관리!$AI:$AI,$B145))="Y"),"위험물리퍼",IF(IF(INDEX(GLAPS컨테이너배차관리!$AK:$AK,$B145)="","",INDEX(GLAPS컨테이너배차관리!$AK:$AK,$B145))="Y","위험물",IF(IF(INDEX(GLAPS컨테이너배차관리!$AI:$AI,$B145)="","",INDEX(GLAPS컨테이너배차관리!$AI:$AI,$B145))="Y","리퍼",""))))</f>
        <v/>
      </c>
      <c r="R145" t="str">
        <f>IF($B145="","",IF(LEFT(IF(INDEX(GLAPS컨테이너배차관리!$Y:$Y,$B145)="","",INDEX(GLAPS컨테이너배차관리!$Y:$Y,$B145)),2)="22",1,""))</f>
        <v/>
      </c>
      <c r="S145" t="str">
        <f>IF($B145="","",IF(LEFT(IF(INDEX(GLAPS컨테이너배차관리!$Y:$Y,$B145)="","",INDEX(GLAPS컨테이너배차관리!$Y:$Y,$B145)),2)="42",1,""))</f>
        <v/>
      </c>
      <c r="T145" t="str">
        <f>IF($B145="","",IF(LEFT(IF(INDEX(GLAPS컨테이너배차관리!$Y:$Y,$B145)="","",INDEX(GLAPS컨테이너배차관리!$Y:$Y,$B145)),2)="45",1,""))</f>
        <v/>
      </c>
      <c r="U145" t="str">
        <f>IF($B145="","",IF(INDEX(GLAPS컨테이너배차관리!$X:$X,$B145)="","",INDEX(GLAPS컨테이너배차관리!$X:$X,$B145)))</f>
        <v/>
      </c>
      <c r="V145" t="str">
        <f>IF($B145="","",IF(INDEX(GLAPS컨테이너배차관리!$Z:$Z,$B145)="","",INDEX(GLAPS컨테이너배차관리!$Z:$Z,$B145)))</f>
        <v/>
      </c>
      <c r="W145" t="str">
        <f>IF($B145="","",IF(IF(INDEX(GLAPS컨테이너배차관리!$DI:$DI,$B145)="","",INDEX(GLAPS컨테이너배차관리!$DI:$DI,$B145))&lt;&gt;"",IF(INDEX(GLAPS컨테이너배차관리!$DI:$DI,$B145)="","",INDEX(GLAPS컨테이너배차관리!$DI:$DI,$B145)),IF(IF(INDEX(GLAPS컨테이너배차관리!$DJ:$DJ,$B145)="","",INDEX(GLAPS컨테이너배차관리!$DJ:$DJ,$B145))&lt;&gt;"",IF(INDEX(GLAPS컨테이너배차관리!$DJ:$DJ,$B145)="","",INDEX(GLAPS컨테이너배차관리!$DJ:$DJ,$B145)),IF(IF(INDEX(GLAPS컨테이너배차관리!$DK:$DK,$B145)="","",INDEX(GLAPS컨테이너배차관리!$DK:$DK,$B145))&lt;&gt;"",IF(INDEX(GLAPS컨테이너배차관리!$DK:$DK,$B145)="","",INDEX(GLAPS컨테이너배차관리!$DK:$DK,$B145)),IF(IF(INDEX(GLAPS컨테이너배차관리!$DL:$DL,$B145)="","",INDEX(GLAPS컨테이너배차관리!$DL:$DL,$B145))&lt;&gt;"",IF(INDEX(GLAPS컨테이너배차관리!$DL:$DL,$B145)="","",INDEX(GLAPS컨테이너배차관리!$DL:$DL,$B145)),IF(IF(INDEX(GLAPS컨테이너배차관리!$DM:$DM,$B145)="","",INDEX(GLAPS컨테이너배차관리!$DM:$DM,$B145))&lt;&gt;"",IF(INDEX(GLAPS컨테이너배차관리!$DM:$DM,$B145)="","",INDEX(GLAPS컨테이너배차관리!$DM:$DM,$B145)),""))))))</f>
        <v/>
      </c>
      <c r="X145" t="str">
        <f>IF($B145="","",IF(INDEX(GLAPS컨테이너배차관리!$F:$F,$B145)="","",INDEX(GLAPS컨테이너배차관리!$F:$F,$B145)))</f>
        <v/>
      </c>
      <c r="Y145" t="str">
        <f>IF($B145="","",IF(IF(INDEX(GLAPS컨테이너배차관리!$M:$M,$B145)="","",INDEX(GLAPS컨테이너배차관리!$M:$M,$B145))&lt;&gt;"",IF(INDEX(GLAPS컨테이너배차관리!$M:$M,$B145)="","",INDEX(GLAPS컨테이너배차관리!$M:$M,$B145)),IF(IF(INDEX(GLAPS컨테이너배차관리!$N:$N,$B145)="","",INDEX(GLAPS컨테이너배차관리!$N:$N,$B145))&lt;&gt;"",IF(INDEX(GLAPS컨테이너배차관리!$N:$N,$B145)="","",INDEX(GLAPS컨테이너배차관리!$N:$N,$B145)),"")))</f>
        <v/>
      </c>
      <c r="Z145" t="str">
        <f>IF($B145="","",IF(IF(INDEX(GLAPS컨테이너배차관리!$CU:$CU,$B145)="","",INDEX(GLAPS컨테이너배차관리!$CU:$CU,$B145))="","",IFERROR(INT(IF(INDEX(GLAPS컨테이너배차관리!$CU:$CU,$B145)="","",INDEX(GLAPS컨테이너배차관리!$CU:$CU,$B145))),"")))</f>
        <v/>
      </c>
      <c r="AA145" t="str">
        <f>IF($B145="","",IF(AND(IF(INDEX(GLAPS컨테이너배차관리!$CL:$CL,$B145)="","",INDEX(GLAPS컨테이너배차관리!$CL:$CL,$B145))="",IF(INDEX(GLAPS컨테이너배차관리!$CM:$CM,$B145)="","",INDEX(GLAPS컨테이너배차관리!$CM:$CM,$B145))=""),"",IF(OR(IF(INDEX(GLAPS컨테이너배차관리!$CL:$CL,$B145)="","",INDEX(GLAPS컨테이너배차관리!$CL:$CL,$B145))="B000016649",ISNUMBER(SEARCH("B015",IF(INDEX(GLAPS컨테이너배차관리!$CM:$CM,$B145)="","",INDEX(GLAPS컨테이너배차관리!$CM:$CM,$B145)))),ISNUMBER(SEARCH("세방",IF(INDEX(GLAPS컨테이너배차관리!$CM:$CM,$B145)="","",INDEX(GLAPS컨테이너배차관리!$CM:$CM,$B145)))),ISNUMBER(SEARCH("SB",IF(INDEX(GLAPS컨테이너배차관리!$CM:$CM,$B145)="","",INDEX(GLAPS컨테이너배차관리!$CM:$CM,$B145))))),"세방","")))</f>
        <v/>
      </c>
      <c r="AB145" t="str">
        <f>IF($B145="","",IF(IF(INDEX(GLAPS컨테이너배차관리!$CM:$CM,$B145)="","",INDEX(GLAPS컨테이너배차관리!$CM:$CM,$B145))="","",IF(ISNUMBER(SEARCH("이지스두동",IF(INDEX(GLAPS컨테이너배차관리!$CM:$CM,$B145)="","",INDEX(GLAPS컨테이너배차관리!$CM:$CM,$B145)))),"이지스두동",IF(ISNUMBER(SEARCH("이지스녹산",IF(INDEX(GLAPS컨테이너배차관리!$CM:$CM,$B145)="","",INDEX(GLAPS컨테이너배차관리!$CM:$CM,$B145)))),"이지스녹산",IF(ISNUMBER(SEARCH("천우",IF(INDEX(GLAPS컨테이너배차관리!$CM:$CM,$B145)="","",INDEX(GLAPS컨테이너배차관리!$CM:$CM,$B145)))),"천우",IF(OR(ISNUMBER(SEARCH("청암",IF(INDEX(GLAPS컨테이너배차관리!$CM:$CM,$B145)="","",INDEX(GLAPS컨테이너배차관리!$CM:$CM,$B145)))),ISNUMBER(SEARCH("SB청암",IF(INDEX(GLAPS컨테이너배차관리!$CM:$CM,$B145)="","",INDEX(GLAPS컨테이너배차관리!$CM:$CM,$B145))))),"청암신항",IF(INDEX(GLAPS컨테이너배차관리!$CM:$CM,$B145)="","",INDEX(GLAPS컨테이너배차관리!$CM:$CM,$B145))))))))</f>
        <v/>
      </c>
    </row>
    <row r="146" spans="1:28">
      <c r="A146">
        <v>145</v>
      </c>
      <c r="B146" t="str">
        <f>IFERROR(_xlfn.AGGREGATE(15,6,ROW(GLAPS컨테이너배차관리!$X$2:$X$20000)/(GLAPS컨테이너배차관리!$X$2:$X$20000&lt;&gt;""),A146),"")</f>
        <v/>
      </c>
      <c r="C146" t="str">
        <f>IF($B146="","",INT(IF(INDEX(GLAPS컨테이너배차관리!$K:$K,$B146)="","",INDEX(GLAPS컨테이너배차관리!$K:$K,$B146))))</f>
        <v/>
      </c>
      <c r="D146" t="str">
        <f>IF($B146="","",IF(ISNUMBER(SEARCH("이엘에스",IF(INDEX(GLAPS컨테이너배차관리!$AZ:$AZ,$B146)="","",INDEX(GLAPS컨테이너배차관리!$AZ:$AZ,$B146)))),"ELS솔루션",IF(INDEX(GLAPS컨테이너배차관리!$AZ:$AZ,$B146)="","",INDEX(GLAPS컨테이너배차관리!$AZ:$AZ,$B146))))</f>
        <v/>
      </c>
      <c r="E146" t="str">
        <f>IF($B146="","",IF(INDEX(GLAPS컨테이너배차관리!$L:$L,$B146)="","",INDEX(GLAPS컨테이너배차관리!$L:$L,$B146)))</f>
        <v/>
      </c>
      <c r="F146" t="str">
        <f>IF($B146="","",IF(HOUR(IF(INDEX(GLAPS컨테이너배차관리!$L:$L,$B146)="","",INDEX(GLAPS컨테이너배차관리!$L:$L,$B146)))&lt;12,"오전",IF(HOUR(IF(INDEX(GLAPS컨테이너배차관리!$L:$L,$B146)="","",INDEX(GLAPS컨테이너배차관리!$L:$L,$B146)))&lt;18,"오후","잔업")))</f>
        <v/>
      </c>
      <c r="G146" t="str">
        <f>IF($B146="","",IFERROR(INDEX(GLAPS정리!$G$3:$G$264,MATCH(IF(INDEX(GLAPS컨테이너배차관리!$BY:$BY,$B146)="","",INDEX(GLAPS컨테이너배차관리!$BY:$BY,$B146)),GLAPS정리!$H$3:$H$264,0)),TRIM(SUBSTITUTE(SUBSTITUTE(SUBSTITUTE(SUBSTITUTE(SUBSTITUTE(IF(INDEX(GLAPS컨테이너배차관리!$T:$T,$B146)="","",INDEX(GLAPS컨테이너배차관리!$T:$T,$B146)),"[GA]",""),"[GB]",""),"[GC]",""),"[KC]",""),"[GS]",""))))</f>
        <v/>
      </c>
      <c r="H146" t="str">
        <f>IF($B146="","",IFERROR(VLOOKUP(IF(INDEX(GLAPS컨테이너배차관리!$BY:$BY,$B146)="","",INDEX(GLAPS컨테이너배차관리!$BY:$BY,$B146)),GLAPS정리!$BT$3:$BV$200,3,0),""))</f>
        <v/>
      </c>
      <c r="I146" t="str">
        <f>IF($B146="","",LEFT(IF(INDEX(GLAPS컨테이너배차관리!$U:$U,$B146)="","",INDEX(GLAPS컨테이너배차관리!$U:$U,$B146)),FIND("/",IF(INDEX(GLAPS컨테이너배차관리!$U:$U,$B146)="","",INDEX(GLAPS컨테이너배차관리!$U:$U,$B146))&amp;"/")-1))</f>
        <v/>
      </c>
      <c r="J146" t="str">
        <f>IF($B146="","",IF(IF(INDEX(GLAPS컨테이너배차관리!$O:$O,$B146)="","",INDEX(GLAPS컨테이너배차관리!$O:$O,$B146))="EMC","EMA",IFERROR(INDEX(GLAPS정리!$A$2:$A$50,MATCH(IF(INDEX(GLAPS컨테이너배차관리!$O:$O,$B146)="","",INDEX(GLAPS컨테이너배차관리!$O:$O,$B146)),GLAPS정리!$D$2:$D$50,0)),IF(INDEX(GLAPS컨테이너배차관리!$O:$O,$B146)="","",INDEX(GLAPS컨테이너배차관리!$O:$O,$B146)))))</f>
        <v/>
      </c>
      <c r="K146" t="str">
        <f>IF($B146="","",IF(LEFT(IF(INDEX(GLAPS컨테이너배차관리!$Y:$Y,$B146)="","",INDEX(GLAPS컨테이너배차관리!$Y:$Y,$B146)),2)="22","20 Feet",IF(LEFT(IF(INDEX(GLAPS컨테이너배차관리!$Y:$Y,$B146)="","",INDEX(GLAPS컨테이너배차관리!$Y:$Y,$B146)),2)="42","40 Feet","40 Feet H")))</f>
        <v/>
      </c>
      <c r="L146" t="str">
        <f>IF($B146="","",IFERROR(INDEX(GLAPS정리!$BB$2:$BB$80,MATCH(IF(INDEX(GLAPS컨테이너배차관리!$BQ:$BQ,$B146)="","",INDEX(GLAPS컨테이너배차관리!$BQ:$BQ,$B146)),GLAPS정리!$BC$2:$BC$80,0)),IF(INDEX(GLAPS컨테이너배차관리!$BQ:$BQ,$B146)="","",INDEX(GLAPS컨테이너배차관리!$BQ:$BQ,$B146))))</f>
        <v/>
      </c>
      <c r="M146" t="str">
        <f>IF($B146="","",IFERROR(INDEX(GLAPS정리!$V$3:$V$180,MATCH(IF(INDEX(GLAPS컨테이너배차관리!$S:$S,$B146)="","",INDEX(GLAPS컨테이너배차관리!$S:$S,$B146)),GLAPS정리!$W$3:$W$180,0)),IF(INDEX(GLAPS컨테이너배차관리!$S:$S,$B146)="","",INDEX(GLAPS컨테이너배차관리!$S:$S,$B146))))</f>
        <v/>
      </c>
      <c r="N146" t="str">
        <f>IF($B146="","",IF(IF(INDEX(GLAPS컨테이너배차관리!$DF:$DF,$B146)="","",INDEX(GLAPS컨테이너배차관리!$DF:$DF,$B146))&lt;&gt;"",IF(INDEX(GLAPS컨테이너배차관리!$DF:$DF,$B146)="","",INDEX(GLAPS컨테이너배차관리!$DF:$DF,$B146)),IF(IF(INDEX(GLAPS컨테이너배차관리!$DG:$DG,$B146)="","",INDEX(GLAPS컨테이너배차관리!$DG:$DG,$B146))&lt;&gt;"",IF(INDEX(GLAPS컨테이너배차관리!$DG:$DG,$B146)="","",INDEX(GLAPS컨테이너배차관리!$DG:$DG,$B146)),"")))</f>
        <v/>
      </c>
      <c r="O146" t="str">
        <f>IF($B146="","",IF(INDEX(GLAPS컨테이너배차관리!$AB:$AB,$B146)="","",INDEX(GLAPS컨테이너배차관리!$AB:$AB,$B146)))</f>
        <v/>
      </c>
      <c r="P146" t="str">
        <f>IF($B146="","",IF(IF(INDEX(GLAPS컨테이너배차관리!$CP:$CP,$B146)="","",INDEX(GLAPS컨테이너배차관리!$CP:$CP,$B146))="","",IFERROR(INDEX(GLAPS정리!$BH$2:$BH$101,MATCH(IF(INDEX(GLAPS컨테이너배차관리!$CP:$CP,$B146)="","",INDEX(GLAPS컨테이너배차관리!$CP:$CP,$B146)),GLAPS정리!$BI$2:$BI$101,0)),IF(INDEX(GLAPS컨테이너배차관리!$CP:$CP,$B146)="","",INDEX(GLAPS컨테이너배차관리!$CP:$CP,$B146)))))</f>
        <v/>
      </c>
      <c r="Q146" t="str">
        <f>IF($B146="","",IF(AND(IF(INDEX(GLAPS컨테이너배차관리!$AK:$AK,$B146)="","",INDEX(GLAPS컨테이너배차관리!$AK:$AK,$B146))="Y",IF(INDEX(GLAPS컨테이너배차관리!$AI:$AI,$B146)="","",INDEX(GLAPS컨테이너배차관리!$AI:$AI,$B146))="Y"),"위험물리퍼",IF(IF(INDEX(GLAPS컨테이너배차관리!$AK:$AK,$B146)="","",INDEX(GLAPS컨테이너배차관리!$AK:$AK,$B146))="Y","위험물",IF(IF(INDEX(GLAPS컨테이너배차관리!$AI:$AI,$B146)="","",INDEX(GLAPS컨테이너배차관리!$AI:$AI,$B146))="Y","리퍼",""))))</f>
        <v/>
      </c>
      <c r="R146" t="str">
        <f>IF($B146="","",IF(LEFT(IF(INDEX(GLAPS컨테이너배차관리!$Y:$Y,$B146)="","",INDEX(GLAPS컨테이너배차관리!$Y:$Y,$B146)),2)="22",1,""))</f>
        <v/>
      </c>
      <c r="S146" t="str">
        <f>IF($B146="","",IF(LEFT(IF(INDEX(GLAPS컨테이너배차관리!$Y:$Y,$B146)="","",INDEX(GLAPS컨테이너배차관리!$Y:$Y,$B146)),2)="42",1,""))</f>
        <v/>
      </c>
      <c r="T146" t="str">
        <f>IF($B146="","",IF(LEFT(IF(INDEX(GLAPS컨테이너배차관리!$Y:$Y,$B146)="","",INDEX(GLAPS컨테이너배차관리!$Y:$Y,$B146)),2)="45",1,""))</f>
        <v/>
      </c>
      <c r="U146" t="str">
        <f>IF($B146="","",IF(INDEX(GLAPS컨테이너배차관리!$X:$X,$B146)="","",INDEX(GLAPS컨테이너배차관리!$X:$X,$B146)))</f>
        <v/>
      </c>
      <c r="V146" t="str">
        <f>IF($B146="","",IF(INDEX(GLAPS컨테이너배차관리!$Z:$Z,$B146)="","",INDEX(GLAPS컨테이너배차관리!$Z:$Z,$B146)))</f>
        <v/>
      </c>
      <c r="W146" t="str">
        <f>IF($B146="","",IF(IF(INDEX(GLAPS컨테이너배차관리!$DI:$DI,$B146)="","",INDEX(GLAPS컨테이너배차관리!$DI:$DI,$B146))&lt;&gt;"",IF(INDEX(GLAPS컨테이너배차관리!$DI:$DI,$B146)="","",INDEX(GLAPS컨테이너배차관리!$DI:$DI,$B146)),IF(IF(INDEX(GLAPS컨테이너배차관리!$DJ:$DJ,$B146)="","",INDEX(GLAPS컨테이너배차관리!$DJ:$DJ,$B146))&lt;&gt;"",IF(INDEX(GLAPS컨테이너배차관리!$DJ:$DJ,$B146)="","",INDEX(GLAPS컨테이너배차관리!$DJ:$DJ,$B146)),IF(IF(INDEX(GLAPS컨테이너배차관리!$DK:$DK,$B146)="","",INDEX(GLAPS컨테이너배차관리!$DK:$DK,$B146))&lt;&gt;"",IF(INDEX(GLAPS컨테이너배차관리!$DK:$DK,$B146)="","",INDEX(GLAPS컨테이너배차관리!$DK:$DK,$B146)),IF(IF(INDEX(GLAPS컨테이너배차관리!$DL:$DL,$B146)="","",INDEX(GLAPS컨테이너배차관리!$DL:$DL,$B146))&lt;&gt;"",IF(INDEX(GLAPS컨테이너배차관리!$DL:$DL,$B146)="","",INDEX(GLAPS컨테이너배차관리!$DL:$DL,$B146)),IF(IF(INDEX(GLAPS컨테이너배차관리!$DM:$DM,$B146)="","",INDEX(GLAPS컨테이너배차관리!$DM:$DM,$B146))&lt;&gt;"",IF(INDEX(GLAPS컨테이너배차관리!$DM:$DM,$B146)="","",INDEX(GLAPS컨테이너배차관리!$DM:$DM,$B146)),""))))))</f>
        <v/>
      </c>
      <c r="X146" t="str">
        <f>IF($B146="","",IF(INDEX(GLAPS컨테이너배차관리!$F:$F,$B146)="","",INDEX(GLAPS컨테이너배차관리!$F:$F,$B146)))</f>
        <v/>
      </c>
      <c r="Y146" t="str">
        <f>IF($B146="","",IF(IF(INDEX(GLAPS컨테이너배차관리!$M:$M,$B146)="","",INDEX(GLAPS컨테이너배차관리!$M:$M,$B146))&lt;&gt;"",IF(INDEX(GLAPS컨테이너배차관리!$M:$M,$B146)="","",INDEX(GLAPS컨테이너배차관리!$M:$M,$B146)),IF(IF(INDEX(GLAPS컨테이너배차관리!$N:$N,$B146)="","",INDEX(GLAPS컨테이너배차관리!$N:$N,$B146))&lt;&gt;"",IF(INDEX(GLAPS컨테이너배차관리!$N:$N,$B146)="","",INDEX(GLAPS컨테이너배차관리!$N:$N,$B146)),"")))</f>
        <v/>
      </c>
      <c r="Z146" t="str">
        <f>IF($B146="","",IF(IF(INDEX(GLAPS컨테이너배차관리!$CU:$CU,$B146)="","",INDEX(GLAPS컨테이너배차관리!$CU:$CU,$B146))="","",IFERROR(INT(IF(INDEX(GLAPS컨테이너배차관리!$CU:$CU,$B146)="","",INDEX(GLAPS컨테이너배차관리!$CU:$CU,$B146))),"")))</f>
        <v/>
      </c>
      <c r="AA146" t="str">
        <f>IF($B146="","",IF(AND(IF(INDEX(GLAPS컨테이너배차관리!$CL:$CL,$B146)="","",INDEX(GLAPS컨테이너배차관리!$CL:$CL,$B146))="",IF(INDEX(GLAPS컨테이너배차관리!$CM:$CM,$B146)="","",INDEX(GLAPS컨테이너배차관리!$CM:$CM,$B146))=""),"",IF(OR(IF(INDEX(GLAPS컨테이너배차관리!$CL:$CL,$B146)="","",INDEX(GLAPS컨테이너배차관리!$CL:$CL,$B146))="B000016649",ISNUMBER(SEARCH("B015",IF(INDEX(GLAPS컨테이너배차관리!$CM:$CM,$B146)="","",INDEX(GLAPS컨테이너배차관리!$CM:$CM,$B146)))),ISNUMBER(SEARCH("세방",IF(INDEX(GLAPS컨테이너배차관리!$CM:$CM,$B146)="","",INDEX(GLAPS컨테이너배차관리!$CM:$CM,$B146)))),ISNUMBER(SEARCH("SB",IF(INDEX(GLAPS컨테이너배차관리!$CM:$CM,$B146)="","",INDEX(GLAPS컨테이너배차관리!$CM:$CM,$B146))))),"세방","")))</f>
        <v/>
      </c>
      <c r="AB146" t="str">
        <f>IF($B146="","",IF(IF(INDEX(GLAPS컨테이너배차관리!$CM:$CM,$B146)="","",INDEX(GLAPS컨테이너배차관리!$CM:$CM,$B146))="","",IF(ISNUMBER(SEARCH("이지스두동",IF(INDEX(GLAPS컨테이너배차관리!$CM:$CM,$B146)="","",INDEX(GLAPS컨테이너배차관리!$CM:$CM,$B146)))),"이지스두동",IF(ISNUMBER(SEARCH("이지스녹산",IF(INDEX(GLAPS컨테이너배차관리!$CM:$CM,$B146)="","",INDEX(GLAPS컨테이너배차관리!$CM:$CM,$B146)))),"이지스녹산",IF(ISNUMBER(SEARCH("천우",IF(INDEX(GLAPS컨테이너배차관리!$CM:$CM,$B146)="","",INDEX(GLAPS컨테이너배차관리!$CM:$CM,$B146)))),"천우",IF(OR(ISNUMBER(SEARCH("청암",IF(INDEX(GLAPS컨테이너배차관리!$CM:$CM,$B146)="","",INDEX(GLAPS컨테이너배차관리!$CM:$CM,$B146)))),ISNUMBER(SEARCH("SB청암",IF(INDEX(GLAPS컨테이너배차관리!$CM:$CM,$B146)="","",INDEX(GLAPS컨테이너배차관리!$CM:$CM,$B146))))),"청암신항",IF(INDEX(GLAPS컨테이너배차관리!$CM:$CM,$B146)="","",INDEX(GLAPS컨테이너배차관리!$CM:$CM,$B146))))))))</f>
        <v/>
      </c>
    </row>
    <row r="147" spans="1:28">
      <c r="A147">
        <v>146</v>
      </c>
      <c r="B147" t="str">
        <f>IFERROR(_xlfn.AGGREGATE(15,6,ROW(GLAPS컨테이너배차관리!$X$2:$X$20000)/(GLAPS컨테이너배차관리!$X$2:$X$20000&lt;&gt;""),A147),"")</f>
        <v/>
      </c>
      <c r="C147" t="str">
        <f>IF($B147="","",INT(IF(INDEX(GLAPS컨테이너배차관리!$K:$K,$B147)="","",INDEX(GLAPS컨테이너배차관리!$K:$K,$B147))))</f>
        <v/>
      </c>
      <c r="D147" t="str">
        <f>IF($B147="","",IF(ISNUMBER(SEARCH("이엘에스",IF(INDEX(GLAPS컨테이너배차관리!$AZ:$AZ,$B147)="","",INDEX(GLAPS컨테이너배차관리!$AZ:$AZ,$B147)))),"ELS솔루션",IF(INDEX(GLAPS컨테이너배차관리!$AZ:$AZ,$B147)="","",INDEX(GLAPS컨테이너배차관리!$AZ:$AZ,$B147))))</f>
        <v/>
      </c>
      <c r="E147" t="str">
        <f>IF($B147="","",IF(INDEX(GLAPS컨테이너배차관리!$L:$L,$B147)="","",INDEX(GLAPS컨테이너배차관리!$L:$L,$B147)))</f>
        <v/>
      </c>
      <c r="F147" t="str">
        <f>IF($B147="","",IF(HOUR(IF(INDEX(GLAPS컨테이너배차관리!$L:$L,$B147)="","",INDEX(GLAPS컨테이너배차관리!$L:$L,$B147)))&lt;12,"오전",IF(HOUR(IF(INDEX(GLAPS컨테이너배차관리!$L:$L,$B147)="","",INDEX(GLAPS컨테이너배차관리!$L:$L,$B147)))&lt;18,"오후","잔업")))</f>
        <v/>
      </c>
      <c r="G147" t="str">
        <f>IF($B147="","",IFERROR(INDEX(GLAPS정리!$G$3:$G$264,MATCH(IF(INDEX(GLAPS컨테이너배차관리!$BY:$BY,$B147)="","",INDEX(GLAPS컨테이너배차관리!$BY:$BY,$B147)),GLAPS정리!$H$3:$H$264,0)),TRIM(SUBSTITUTE(SUBSTITUTE(SUBSTITUTE(SUBSTITUTE(SUBSTITUTE(IF(INDEX(GLAPS컨테이너배차관리!$T:$T,$B147)="","",INDEX(GLAPS컨테이너배차관리!$T:$T,$B147)),"[GA]",""),"[GB]",""),"[GC]",""),"[KC]",""),"[GS]",""))))</f>
        <v/>
      </c>
      <c r="H147" t="str">
        <f>IF($B147="","",IFERROR(VLOOKUP(IF(INDEX(GLAPS컨테이너배차관리!$BY:$BY,$B147)="","",INDEX(GLAPS컨테이너배차관리!$BY:$BY,$B147)),GLAPS정리!$BT$3:$BV$200,3,0),""))</f>
        <v/>
      </c>
      <c r="I147" t="str">
        <f>IF($B147="","",LEFT(IF(INDEX(GLAPS컨테이너배차관리!$U:$U,$B147)="","",INDEX(GLAPS컨테이너배차관리!$U:$U,$B147)),FIND("/",IF(INDEX(GLAPS컨테이너배차관리!$U:$U,$B147)="","",INDEX(GLAPS컨테이너배차관리!$U:$U,$B147))&amp;"/")-1))</f>
        <v/>
      </c>
      <c r="J147" t="str">
        <f>IF($B147="","",IF(IF(INDEX(GLAPS컨테이너배차관리!$O:$O,$B147)="","",INDEX(GLAPS컨테이너배차관리!$O:$O,$B147))="EMC","EMA",IFERROR(INDEX(GLAPS정리!$A$2:$A$50,MATCH(IF(INDEX(GLAPS컨테이너배차관리!$O:$O,$B147)="","",INDEX(GLAPS컨테이너배차관리!$O:$O,$B147)),GLAPS정리!$D$2:$D$50,0)),IF(INDEX(GLAPS컨테이너배차관리!$O:$O,$B147)="","",INDEX(GLAPS컨테이너배차관리!$O:$O,$B147)))))</f>
        <v/>
      </c>
      <c r="K147" t="str">
        <f>IF($B147="","",IF(LEFT(IF(INDEX(GLAPS컨테이너배차관리!$Y:$Y,$B147)="","",INDEX(GLAPS컨테이너배차관리!$Y:$Y,$B147)),2)="22","20 Feet",IF(LEFT(IF(INDEX(GLAPS컨테이너배차관리!$Y:$Y,$B147)="","",INDEX(GLAPS컨테이너배차관리!$Y:$Y,$B147)),2)="42","40 Feet","40 Feet H")))</f>
        <v/>
      </c>
      <c r="L147" t="str">
        <f>IF($B147="","",IFERROR(INDEX(GLAPS정리!$BB$2:$BB$80,MATCH(IF(INDEX(GLAPS컨테이너배차관리!$BQ:$BQ,$B147)="","",INDEX(GLAPS컨테이너배차관리!$BQ:$BQ,$B147)),GLAPS정리!$BC$2:$BC$80,0)),IF(INDEX(GLAPS컨테이너배차관리!$BQ:$BQ,$B147)="","",INDEX(GLAPS컨테이너배차관리!$BQ:$BQ,$B147))))</f>
        <v/>
      </c>
      <c r="M147" t="str">
        <f>IF($B147="","",IFERROR(INDEX(GLAPS정리!$V$3:$V$180,MATCH(IF(INDEX(GLAPS컨테이너배차관리!$S:$S,$B147)="","",INDEX(GLAPS컨테이너배차관리!$S:$S,$B147)),GLAPS정리!$W$3:$W$180,0)),IF(INDEX(GLAPS컨테이너배차관리!$S:$S,$B147)="","",INDEX(GLAPS컨테이너배차관리!$S:$S,$B147))))</f>
        <v/>
      </c>
      <c r="N147" t="str">
        <f>IF($B147="","",IF(IF(INDEX(GLAPS컨테이너배차관리!$DF:$DF,$B147)="","",INDEX(GLAPS컨테이너배차관리!$DF:$DF,$B147))&lt;&gt;"",IF(INDEX(GLAPS컨테이너배차관리!$DF:$DF,$B147)="","",INDEX(GLAPS컨테이너배차관리!$DF:$DF,$B147)),IF(IF(INDEX(GLAPS컨테이너배차관리!$DG:$DG,$B147)="","",INDEX(GLAPS컨테이너배차관리!$DG:$DG,$B147))&lt;&gt;"",IF(INDEX(GLAPS컨테이너배차관리!$DG:$DG,$B147)="","",INDEX(GLAPS컨테이너배차관리!$DG:$DG,$B147)),"")))</f>
        <v/>
      </c>
      <c r="O147" t="str">
        <f>IF($B147="","",IF(INDEX(GLAPS컨테이너배차관리!$AB:$AB,$B147)="","",INDEX(GLAPS컨테이너배차관리!$AB:$AB,$B147)))</f>
        <v/>
      </c>
      <c r="P147" t="str">
        <f>IF($B147="","",IF(IF(INDEX(GLAPS컨테이너배차관리!$CP:$CP,$B147)="","",INDEX(GLAPS컨테이너배차관리!$CP:$CP,$B147))="","",IFERROR(INDEX(GLAPS정리!$BH$2:$BH$101,MATCH(IF(INDEX(GLAPS컨테이너배차관리!$CP:$CP,$B147)="","",INDEX(GLAPS컨테이너배차관리!$CP:$CP,$B147)),GLAPS정리!$BI$2:$BI$101,0)),IF(INDEX(GLAPS컨테이너배차관리!$CP:$CP,$B147)="","",INDEX(GLAPS컨테이너배차관리!$CP:$CP,$B147)))))</f>
        <v/>
      </c>
      <c r="Q147" t="str">
        <f>IF($B147="","",IF(AND(IF(INDEX(GLAPS컨테이너배차관리!$AK:$AK,$B147)="","",INDEX(GLAPS컨테이너배차관리!$AK:$AK,$B147))="Y",IF(INDEX(GLAPS컨테이너배차관리!$AI:$AI,$B147)="","",INDEX(GLAPS컨테이너배차관리!$AI:$AI,$B147))="Y"),"위험물리퍼",IF(IF(INDEX(GLAPS컨테이너배차관리!$AK:$AK,$B147)="","",INDEX(GLAPS컨테이너배차관리!$AK:$AK,$B147))="Y","위험물",IF(IF(INDEX(GLAPS컨테이너배차관리!$AI:$AI,$B147)="","",INDEX(GLAPS컨테이너배차관리!$AI:$AI,$B147))="Y","리퍼",""))))</f>
        <v/>
      </c>
      <c r="R147" t="str">
        <f>IF($B147="","",IF(LEFT(IF(INDEX(GLAPS컨테이너배차관리!$Y:$Y,$B147)="","",INDEX(GLAPS컨테이너배차관리!$Y:$Y,$B147)),2)="22",1,""))</f>
        <v/>
      </c>
      <c r="S147" t="str">
        <f>IF($B147="","",IF(LEFT(IF(INDEX(GLAPS컨테이너배차관리!$Y:$Y,$B147)="","",INDEX(GLAPS컨테이너배차관리!$Y:$Y,$B147)),2)="42",1,""))</f>
        <v/>
      </c>
      <c r="T147" t="str">
        <f>IF($B147="","",IF(LEFT(IF(INDEX(GLAPS컨테이너배차관리!$Y:$Y,$B147)="","",INDEX(GLAPS컨테이너배차관리!$Y:$Y,$B147)),2)="45",1,""))</f>
        <v/>
      </c>
      <c r="U147" t="str">
        <f>IF($B147="","",IF(INDEX(GLAPS컨테이너배차관리!$X:$X,$B147)="","",INDEX(GLAPS컨테이너배차관리!$X:$X,$B147)))</f>
        <v/>
      </c>
      <c r="V147" t="str">
        <f>IF($B147="","",IF(INDEX(GLAPS컨테이너배차관리!$Z:$Z,$B147)="","",INDEX(GLAPS컨테이너배차관리!$Z:$Z,$B147)))</f>
        <v/>
      </c>
      <c r="W147" t="str">
        <f>IF($B147="","",IF(IF(INDEX(GLAPS컨테이너배차관리!$DI:$DI,$B147)="","",INDEX(GLAPS컨테이너배차관리!$DI:$DI,$B147))&lt;&gt;"",IF(INDEX(GLAPS컨테이너배차관리!$DI:$DI,$B147)="","",INDEX(GLAPS컨테이너배차관리!$DI:$DI,$B147)),IF(IF(INDEX(GLAPS컨테이너배차관리!$DJ:$DJ,$B147)="","",INDEX(GLAPS컨테이너배차관리!$DJ:$DJ,$B147))&lt;&gt;"",IF(INDEX(GLAPS컨테이너배차관리!$DJ:$DJ,$B147)="","",INDEX(GLAPS컨테이너배차관리!$DJ:$DJ,$B147)),IF(IF(INDEX(GLAPS컨테이너배차관리!$DK:$DK,$B147)="","",INDEX(GLAPS컨테이너배차관리!$DK:$DK,$B147))&lt;&gt;"",IF(INDEX(GLAPS컨테이너배차관리!$DK:$DK,$B147)="","",INDEX(GLAPS컨테이너배차관리!$DK:$DK,$B147)),IF(IF(INDEX(GLAPS컨테이너배차관리!$DL:$DL,$B147)="","",INDEX(GLAPS컨테이너배차관리!$DL:$DL,$B147))&lt;&gt;"",IF(INDEX(GLAPS컨테이너배차관리!$DL:$DL,$B147)="","",INDEX(GLAPS컨테이너배차관리!$DL:$DL,$B147)),IF(IF(INDEX(GLAPS컨테이너배차관리!$DM:$DM,$B147)="","",INDEX(GLAPS컨테이너배차관리!$DM:$DM,$B147))&lt;&gt;"",IF(INDEX(GLAPS컨테이너배차관리!$DM:$DM,$B147)="","",INDEX(GLAPS컨테이너배차관리!$DM:$DM,$B147)),""))))))</f>
        <v/>
      </c>
      <c r="X147" t="str">
        <f>IF($B147="","",IF(INDEX(GLAPS컨테이너배차관리!$F:$F,$B147)="","",INDEX(GLAPS컨테이너배차관리!$F:$F,$B147)))</f>
        <v/>
      </c>
      <c r="Y147" t="str">
        <f>IF($B147="","",IF(IF(INDEX(GLAPS컨테이너배차관리!$M:$M,$B147)="","",INDEX(GLAPS컨테이너배차관리!$M:$M,$B147))&lt;&gt;"",IF(INDEX(GLAPS컨테이너배차관리!$M:$M,$B147)="","",INDEX(GLAPS컨테이너배차관리!$M:$M,$B147)),IF(IF(INDEX(GLAPS컨테이너배차관리!$N:$N,$B147)="","",INDEX(GLAPS컨테이너배차관리!$N:$N,$B147))&lt;&gt;"",IF(INDEX(GLAPS컨테이너배차관리!$N:$N,$B147)="","",INDEX(GLAPS컨테이너배차관리!$N:$N,$B147)),"")))</f>
        <v/>
      </c>
      <c r="Z147" t="str">
        <f>IF($B147="","",IF(IF(INDEX(GLAPS컨테이너배차관리!$CU:$CU,$B147)="","",INDEX(GLAPS컨테이너배차관리!$CU:$CU,$B147))="","",IFERROR(INT(IF(INDEX(GLAPS컨테이너배차관리!$CU:$CU,$B147)="","",INDEX(GLAPS컨테이너배차관리!$CU:$CU,$B147))),"")))</f>
        <v/>
      </c>
      <c r="AA147" t="str">
        <f>IF($B147="","",IF(AND(IF(INDEX(GLAPS컨테이너배차관리!$CL:$CL,$B147)="","",INDEX(GLAPS컨테이너배차관리!$CL:$CL,$B147))="",IF(INDEX(GLAPS컨테이너배차관리!$CM:$CM,$B147)="","",INDEX(GLAPS컨테이너배차관리!$CM:$CM,$B147))=""),"",IF(OR(IF(INDEX(GLAPS컨테이너배차관리!$CL:$CL,$B147)="","",INDEX(GLAPS컨테이너배차관리!$CL:$CL,$B147))="B000016649",ISNUMBER(SEARCH("B015",IF(INDEX(GLAPS컨테이너배차관리!$CM:$CM,$B147)="","",INDEX(GLAPS컨테이너배차관리!$CM:$CM,$B147)))),ISNUMBER(SEARCH("세방",IF(INDEX(GLAPS컨테이너배차관리!$CM:$CM,$B147)="","",INDEX(GLAPS컨테이너배차관리!$CM:$CM,$B147)))),ISNUMBER(SEARCH("SB",IF(INDEX(GLAPS컨테이너배차관리!$CM:$CM,$B147)="","",INDEX(GLAPS컨테이너배차관리!$CM:$CM,$B147))))),"세방","")))</f>
        <v/>
      </c>
      <c r="AB147" t="str">
        <f>IF($B147="","",IF(IF(INDEX(GLAPS컨테이너배차관리!$CM:$CM,$B147)="","",INDEX(GLAPS컨테이너배차관리!$CM:$CM,$B147))="","",IF(ISNUMBER(SEARCH("이지스두동",IF(INDEX(GLAPS컨테이너배차관리!$CM:$CM,$B147)="","",INDEX(GLAPS컨테이너배차관리!$CM:$CM,$B147)))),"이지스두동",IF(ISNUMBER(SEARCH("이지스녹산",IF(INDEX(GLAPS컨테이너배차관리!$CM:$CM,$B147)="","",INDEX(GLAPS컨테이너배차관리!$CM:$CM,$B147)))),"이지스녹산",IF(ISNUMBER(SEARCH("천우",IF(INDEX(GLAPS컨테이너배차관리!$CM:$CM,$B147)="","",INDEX(GLAPS컨테이너배차관리!$CM:$CM,$B147)))),"천우",IF(OR(ISNUMBER(SEARCH("청암",IF(INDEX(GLAPS컨테이너배차관리!$CM:$CM,$B147)="","",INDEX(GLAPS컨테이너배차관리!$CM:$CM,$B147)))),ISNUMBER(SEARCH("SB청암",IF(INDEX(GLAPS컨테이너배차관리!$CM:$CM,$B147)="","",INDEX(GLAPS컨테이너배차관리!$CM:$CM,$B147))))),"청암신항",IF(INDEX(GLAPS컨테이너배차관리!$CM:$CM,$B147)="","",INDEX(GLAPS컨테이너배차관리!$CM:$CM,$B147))))))))</f>
        <v/>
      </c>
    </row>
    <row r="148" spans="1:28">
      <c r="A148">
        <v>147</v>
      </c>
      <c r="B148" t="str">
        <f>IFERROR(_xlfn.AGGREGATE(15,6,ROW(GLAPS컨테이너배차관리!$X$2:$X$20000)/(GLAPS컨테이너배차관리!$X$2:$X$20000&lt;&gt;""),A148),"")</f>
        <v/>
      </c>
      <c r="C148" t="str">
        <f>IF($B148="","",INT(IF(INDEX(GLAPS컨테이너배차관리!$K:$K,$B148)="","",INDEX(GLAPS컨테이너배차관리!$K:$K,$B148))))</f>
        <v/>
      </c>
      <c r="D148" t="str">
        <f>IF($B148="","",IF(ISNUMBER(SEARCH("이엘에스",IF(INDEX(GLAPS컨테이너배차관리!$AZ:$AZ,$B148)="","",INDEX(GLAPS컨테이너배차관리!$AZ:$AZ,$B148)))),"ELS솔루션",IF(INDEX(GLAPS컨테이너배차관리!$AZ:$AZ,$B148)="","",INDEX(GLAPS컨테이너배차관리!$AZ:$AZ,$B148))))</f>
        <v/>
      </c>
      <c r="E148" t="str">
        <f>IF($B148="","",IF(INDEX(GLAPS컨테이너배차관리!$L:$L,$B148)="","",INDEX(GLAPS컨테이너배차관리!$L:$L,$B148)))</f>
        <v/>
      </c>
      <c r="F148" t="str">
        <f>IF($B148="","",IF(HOUR(IF(INDEX(GLAPS컨테이너배차관리!$L:$L,$B148)="","",INDEX(GLAPS컨테이너배차관리!$L:$L,$B148)))&lt;12,"오전",IF(HOUR(IF(INDEX(GLAPS컨테이너배차관리!$L:$L,$B148)="","",INDEX(GLAPS컨테이너배차관리!$L:$L,$B148)))&lt;18,"오후","잔업")))</f>
        <v/>
      </c>
      <c r="G148" t="str">
        <f>IF($B148="","",IFERROR(INDEX(GLAPS정리!$G$3:$G$264,MATCH(IF(INDEX(GLAPS컨테이너배차관리!$BY:$BY,$B148)="","",INDEX(GLAPS컨테이너배차관리!$BY:$BY,$B148)),GLAPS정리!$H$3:$H$264,0)),TRIM(SUBSTITUTE(SUBSTITUTE(SUBSTITUTE(SUBSTITUTE(SUBSTITUTE(IF(INDEX(GLAPS컨테이너배차관리!$T:$T,$B148)="","",INDEX(GLAPS컨테이너배차관리!$T:$T,$B148)),"[GA]",""),"[GB]",""),"[GC]",""),"[KC]",""),"[GS]",""))))</f>
        <v/>
      </c>
      <c r="H148" t="str">
        <f>IF($B148="","",IFERROR(VLOOKUP(IF(INDEX(GLAPS컨테이너배차관리!$BY:$BY,$B148)="","",INDEX(GLAPS컨테이너배차관리!$BY:$BY,$B148)),GLAPS정리!$BT$3:$BV$200,3,0),""))</f>
        <v/>
      </c>
      <c r="I148" t="str">
        <f>IF($B148="","",LEFT(IF(INDEX(GLAPS컨테이너배차관리!$U:$U,$B148)="","",INDEX(GLAPS컨테이너배차관리!$U:$U,$B148)),FIND("/",IF(INDEX(GLAPS컨테이너배차관리!$U:$U,$B148)="","",INDEX(GLAPS컨테이너배차관리!$U:$U,$B148))&amp;"/")-1))</f>
        <v/>
      </c>
      <c r="J148" t="str">
        <f>IF($B148="","",IF(IF(INDEX(GLAPS컨테이너배차관리!$O:$O,$B148)="","",INDEX(GLAPS컨테이너배차관리!$O:$O,$B148))="EMC","EMA",IFERROR(INDEX(GLAPS정리!$A$2:$A$50,MATCH(IF(INDEX(GLAPS컨테이너배차관리!$O:$O,$B148)="","",INDEX(GLAPS컨테이너배차관리!$O:$O,$B148)),GLAPS정리!$D$2:$D$50,0)),IF(INDEX(GLAPS컨테이너배차관리!$O:$O,$B148)="","",INDEX(GLAPS컨테이너배차관리!$O:$O,$B148)))))</f>
        <v/>
      </c>
      <c r="K148" t="str">
        <f>IF($B148="","",IF(LEFT(IF(INDEX(GLAPS컨테이너배차관리!$Y:$Y,$B148)="","",INDEX(GLAPS컨테이너배차관리!$Y:$Y,$B148)),2)="22","20 Feet",IF(LEFT(IF(INDEX(GLAPS컨테이너배차관리!$Y:$Y,$B148)="","",INDEX(GLAPS컨테이너배차관리!$Y:$Y,$B148)),2)="42","40 Feet","40 Feet H")))</f>
        <v/>
      </c>
      <c r="L148" t="str">
        <f>IF($B148="","",IFERROR(INDEX(GLAPS정리!$BB$2:$BB$80,MATCH(IF(INDEX(GLAPS컨테이너배차관리!$BQ:$BQ,$B148)="","",INDEX(GLAPS컨테이너배차관리!$BQ:$BQ,$B148)),GLAPS정리!$BC$2:$BC$80,0)),IF(INDEX(GLAPS컨테이너배차관리!$BQ:$BQ,$B148)="","",INDEX(GLAPS컨테이너배차관리!$BQ:$BQ,$B148))))</f>
        <v/>
      </c>
      <c r="M148" t="str">
        <f>IF($B148="","",IFERROR(INDEX(GLAPS정리!$V$3:$V$180,MATCH(IF(INDEX(GLAPS컨테이너배차관리!$S:$S,$B148)="","",INDEX(GLAPS컨테이너배차관리!$S:$S,$B148)),GLAPS정리!$W$3:$W$180,0)),IF(INDEX(GLAPS컨테이너배차관리!$S:$S,$B148)="","",INDEX(GLAPS컨테이너배차관리!$S:$S,$B148))))</f>
        <v/>
      </c>
      <c r="N148" t="str">
        <f>IF($B148="","",IF(IF(INDEX(GLAPS컨테이너배차관리!$DF:$DF,$B148)="","",INDEX(GLAPS컨테이너배차관리!$DF:$DF,$B148))&lt;&gt;"",IF(INDEX(GLAPS컨테이너배차관리!$DF:$DF,$B148)="","",INDEX(GLAPS컨테이너배차관리!$DF:$DF,$B148)),IF(IF(INDEX(GLAPS컨테이너배차관리!$DG:$DG,$B148)="","",INDEX(GLAPS컨테이너배차관리!$DG:$DG,$B148))&lt;&gt;"",IF(INDEX(GLAPS컨테이너배차관리!$DG:$DG,$B148)="","",INDEX(GLAPS컨테이너배차관리!$DG:$DG,$B148)),"")))</f>
        <v/>
      </c>
      <c r="O148" t="str">
        <f>IF($B148="","",IF(INDEX(GLAPS컨테이너배차관리!$AB:$AB,$B148)="","",INDEX(GLAPS컨테이너배차관리!$AB:$AB,$B148)))</f>
        <v/>
      </c>
      <c r="P148" t="str">
        <f>IF($B148="","",IF(IF(INDEX(GLAPS컨테이너배차관리!$CP:$CP,$B148)="","",INDEX(GLAPS컨테이너배차관리!$CP:$CP,$B148))="","",IFERROR(INDEX(GLAPS정리!$BH$2:$BH$101,MATCH(IF(INDEX(GLAPS컨테이너배차관리!$CP:$CP,$B148)="","",INDEX(GLAPS컨테이너배차관리!$CP:$CP,$B148)),GLAPS정리!$BI$2:$BI$101,0)),IF(INDEX(GLAPS컨테이너배차관리!$CP:$CP,$B148)="","",INDEX(GLAPS컨테이너배차관리!$CP:$CP,$B148)))))</f>
        <v/>
      </c>
      <c r="Q148" t="str">
        <f>IF($B148="","",IF(AND(IF(INDEX(GLAPS컨테이너배차관리!$AK:$AK,$B148)="","",INDEX(GLAPS컨테이너배차관리!$AK:$AK,$B148))="Y",IF(INDEX(GLAPS컨테이너배차관리!$AI:$AI,$B148)="","",INDEX(GLAPS컨테이너배차관리!$AI:$AI,$B148))="Y"),"위험물리퍼",IF(IF(INDEX(GLAPS컨테이너배차관리!$AK:$AK,$B148)="","",INDEX(GLAPS컨테이너배차관리!$AK:$AK,$B148))="Y","위험물",IF(IF(INDEX(GLAPS컨테이너배차관리!$AI:$AI,$B148)="","",INDEX(GLAPS컨테이너배차관리!$AI:$AI,$B148))="Y","리퍼",""))))</f>
        <v/>
      </c>
      <c r="R148" t="str">
        <f>IF($B148="","",IF(LEFT(IF(INDEX(GLAPS컨테이너배차관리!$Y:$Y,$B148)="","",INDEX(GLAPS컨테이너배차관리!$Y:$Y,$B148)),2)="22",1,""))</f>
        <v/>
      </c>
      <c r="S148" t="str">
        <f>IF($B148="","",IF(LEFT(IF(INDEX(GLAPS컨테이너배차관리!$Y:$Y,$B148)="","",INDEX(GLAPS컨테이너배차관리!$Y:$Y,$B148)),2)="42",1,""))</f>
        <v/>
      </c>
      <c r="T148" t="str">
        <f>IF($B148="","",IF(LEFT(IF(INDEX(GLAPS컨테이너배차관리!$Y:$Y,$B148)="","",INDEX(GLAPS컨테이너배차관리!$Y:$Y,$B148)),2)="45",1,""))</f>
        <v/>
      </c>
      <c r="U148" t="str">
        <f>IF($B148="","",IF(INDEX(GLAPS컨테이너배차관리!$X:$X,$B148)="","",INDEX(GLAPS컨테이너배차관리!$X:$X,$B148)))</f>
        <v/>
      </c>
      <c r="V148" t="str">
        <f>IF($B148="","",IF(INDEX(GLAPS컨테이너배차관리!$Z:$Z,$B148)="","",INDEX(GLAPS컨테이너배차관리!$Z:$Z,$B148)))</f>
        <v/>
      </c>
      <c r="W148" t="str">
        <f>IF($B148="","",IF(IF(INDEX(GLAPS컨테이너배차관리!$DI:$DI,$B148)="","",INDEX(GLAPS컨테이너배차관리!$DI:$DI,$B148))&lt;&gt;"",IF(INDEX(GLAPS컨테이너배차관리!$DI:$DI,$B148)="","",INDEX(GLAPS컨테이너배차관리!$DI:$DI,$B148)),IF(IF(INDEX(GLAPS컨테이너배차관리!$DJ:$DJ,$B148)="","",INDEX(GLAPS컨테이너배차관리!$DJ:$DJ,$B148))&lt;&gt;"",IF(INDEX(GLAPS컨테이너배차관리!$DJ:$DJ,$B148)="","",INDEX(GLAPS컨테이너배차관리!$DJ:$DJ,$B148)),IF(IF(INDEX(GLAPS컨테이너배차관리!$DK:$DK,$B148)="","",INDEX(GLAPS컨테이너배차관리!$DK:$DK,$B148))&lt;&gt;"",IF(INDEX(GLAPS컨테이너배차관리!$DK:$DK,$B148)="","",INDEX(GLAPS컨테이너배차관리!$DK:$DK,$B148)),IF(IF(INDEX(GLAPS컨테이너배차관리!$DL:$DL,$B148)="","",INDEX(GLAPS컨테이너배차관리!$DL:$DL,$B148))&lt;&gt;"",IF(INDEX(GLAPS컨테이너배차관리!$DL:$DL,$B148)="","",INDEX(GLAPS컨테이너배차관리!$DL:$DL,$B148)),IF(IF(INDEX(GLAPS컨테이너배차관리!$DM:$DM,$B148)="","",INDEX(GLAPS컨테이너배차관리!$DM:$DM,$B148))&lt;&gt;"",IF(INDEX(GLAPS컨테이너배차관리!$DM:$DM,$B148)="","",INDEX(GLAPS컨테이너배차관리!$DM:$DM,$B148)),""))))))</f>
        <v/>
      </c>
      <c r="X148" t="str">
        <f>IF($B148="","",IF(INDEX(GLAPS컨테이너배차관리!$F:$F,$B148)="","",INDEX(GLAPS컨테이너배차관리!$F:$F,$B148)))</f>
        <v/>
      </c>
      <c r="Y148" t="str">
        <f>IF($B148="","",IF(IF(INDEX(GLAPS컨테이너배차관리!$M:$M,$B148)="","",INDEX(GLAPS컨테이너배차관리!$M:$M,$B148))&lt;&gt;"",IF(INDEX(GLAPS컨테이너배차관리!$M:$M,$B148)="","",INDEX(GLAPS컨테이너배차관리!$M:$M,$B148)),IF(IF(INDEX(GLAPS컨테이너배차관리!$N:$N,$B148)="","",INDEX(GLAPS컨테이너배차관리!$N:$N,$B148))&lt;&gt;"",IF(INDEX(GLAPS컨테이너배차관리!$N:$N,$B148)="","",INDEX(GLAPS컨테이너배차관리!$N:$N,$B148)),"")))</f>
        <v/>
      </c>
      <c r="Z148" t="str">
        <f>IF($B148="","",IF(IF(INDEX(GLAPS컨테이너배차관리!$CU:$CU,$B148)="","",INDEX(GLAPS컨테이너배차관리!$CU:$CU,$B148))="","",IFERROR(INT(IF(INDEX(GLAPS컨테이너배차관리!$CU:$CU,$B148)="","",INDEX(GLAPS컨테이너배차관리!$CU:$CU,$B148))),"")))</f>
        <v/>
      </c>
      <c r="AA148" t="str">
        <f>IF($B148="","",IF(AND(IF(INDEX(GLAPS컨테이너배차관리!$CL:$CL,$B148)="","",INDEX(GLAPS컨테이너배차관리!$CL:$CL,$B148))="",IF(INDEX(GLAPS컨테이너배차관리!$CM:$CM,$B148)="","",INDEX(GLAPS컨테이너배차관리!$CM:$CM,$B148))=""),"",IF(OR(IF(INDEX(GLAPS컨테이너배차관리!$CL:$CL,$B148)="","",INDEX(GLAPS컨테이너배차관리!$CL:$CL,$B148))="B000016649",ISNUMBER(SEARCH("B015",IF(INDEX(GLAPS컨테이너배차관리!$CM:$CM,$B148)="","",INDEX(GLAPS컨테이너배차관리!$CM:$CM,$B148)))),ISNUMBER(SEARCH("세방",IF(INDEX(GLAPS컨테이너배차관리!$CM:$CM,$B148)="","",INDEX(GLAPS컨테이너배차관리!$CM:$CM,$B148)))),ISNUMBER(SEARCH("SB",IF(INDEX(GLAPS컨테이너배차관리!$CM:$CM,$B148)="","",INDEX(GLAPS컨테이너배차관리!$CM:$CM,$B148))))),"세방","")))</f>
        <v/>
      </c>
      <c r="AB148" t="str">
        <f>IF($B148="","",IF(IF(INDEX(GLAPS컨테이너배차관리!$CM:$CM,$B148)="","",INDEX(GLAPS컨테이너배차관리!$CM:$CM,$B148))="","",IF(ISNUMBER(SEARCH("이지스두동",IF(INDEX(GLAPS컨테이너배차관리!$CM:$CM,$B148)="","",INDEX(GLAPS컨테이너배차관리!$CM:$CM,$B148)))),"이지스두동",IF(ISNUMBER(SEARCH("이지스녹산",IF(INDEX(GLAPS컨테이너배차관리!$CM:$CM,$B148)="","",INDEX(GLAPS컨테이너배차관리!$CM:$CM,$B148)))),"이지스녹산",IF(ISNUMBER(SEARCH("천우",IF(INDEX(GLAPS컨테이너배차관리!$CM:$CM,$B148)="","",INDEX(GLAPS컨테이너배차관리!$CM:$CM,$B148)))),"천우",IF(OR(ISNUMBER(SEARCH("청암",IF(INDEX(GLAPS컨테이너배차관리!$CM:$CM,$B148)="","",INDEX(GLAPS컨테이너배차관리!$CM:$CM,$B148)))),ISNUMBER(SEARCH("SB청암",IF(INDEX(GLAPS컨테이너배차관리!$CM:$CM,$B148)="","",INDEX(GLAPS컨테이너배차관리!$CM:$CM,$B148))))),"청암신항",IF(INDEX(GLAPS컨테이너배차관리!$CM:$CM,$B148)="","",INDEX(GLAPS컨테이너배차관리!$CM:$CM,$B148))))))))</f>
        <v/>
      </c>
    </row>
    <row r="149" spans="1:28">
      <c r="A149">
        <v>148</v>
      </c>
      <c r="B149" t="str">
        <f>IFERROR(_xlfn.AGGREGATE(15,6,ROW(GLAPS컨테이너배차관리!$X$2:$X$20000)/(GLAPS컨테이너배차관리!$X$2:$X$20000&lt;&gt;""),A149),"")</f>
        <v/>
      </c>
      <c r="C149" t="str">
        <f>IF($B149="","",INT(IF(INDEX(GLAPS컨테이너배차관리!$K:$K,$B149)="","",INDEX(GLAPS컨테이너배차관리!$K:$K,$B149))))</f>
        <v/>
      </c>
      <c r="D149" t="str">
        <f>IF($B149="","",IF(ISNUMBER(SEARCH("이엘에스",IF(INDEX(GLAPS컨테이너배차관리!$AZ:$AZ,$B149)="","",INDEX(GLAPS컨테이너배차관리!$AZ:$AZ,$B149)))),"ELS솔루션",IF(INDEX(GLAPS컨테이너배차관리!$AZ:$AZ,$B149)="","",INDEX(GLAPS컨테이너배차관리!$AZ:$AZ,$B149))))</f>
        <v/>
      </c>
      <c r="E149" t="str">
        <f>IF($B149="","",IF(INDEX(GLAPS컨테이너배차관리!$L:$L,$B149)="","",INDEX(GLAPS컨테이너배차관리!$L:$L,$B149)))</f>
        <v/>
      </c>
      <c r="F149" t="str">
        <f>IF($B149="","",IF(HOUR(IF(INDEX(GLAPS컨테이너배차관리!$L:$L,$B149)="","",INDEX(GLAPS컨테이너배차관리!$L:$L,$B149)))&lt;12,"오전",IF(HOUR(IF(INDEX(GLAPS컨테이너배차관리!$L:$L,$B149)="","",INDEX(GLAPS컨테이너배차관리!$L:$L,$B149)))&lt;18,"오후","잔업")))</f>
        <v/>
      </c>
      <c r="G149" t="str">
        <f>IF($B149="","",IFERROR(INDEX(GLAPS정리!$G$3:$G$264,MATCH(IF(INDEX(GLAPS컨테이너배차관리!$BY:$BY,$B149)="","",INDEX(GLAPS컨테이너배차관리!$BY:$BY,$B149)),GLAPS정리!$H$3:$H$264,0)),TRIM(SUBSTITUTE(SUBSTITUTE(SUBSTITUTE(SUBSTITUTE(SUBSTITUTE(IF(INDEX(GLAPS컨테이너배차관리!$T:$T,$B149)="","",INDEX(GLAPS컨테이너배차관리!$T:$T,$B149)),"[GA]",""),"[GB]",""),"[GC]",""),"[KC]",""),"[GS]",""))))</f>
        <v/>
      </c>
      <c r="H149" t="str">
        <f>IF($B149="","",IFERROR(VLOOKUP(IF(INDEX(GLAPS컨테이너배차관리!$BY:$BY,$B149)="","",INDEX(GLAPS컨테이너배차관리!$BY:$BY,$B149)),GLAPS정리!$BT$3:$BV$200,3,0),""))</f>
        <v/>
      </c>
      <c r="I149" t="str">
        <f>IF($B149="","",LEFT(IF(INDEX(GLAPS컨테이너배차관리!$U:$U,$B149)="","",INDEX(GLAPS컨테이너배차관리!$U:$U,$B149)),FIND("/",IF(INDEX(GLAPS컨테이너배차관리!$U:$U,$B149)="","",INDEX(GLAPS컨테이너배차관리!$U:$U,$B149))&amp;"/")-1))</f>
        <v/>
      </c>
      <c r="J149" t="str">
        <f>IF($B149="","",IF(IF(INDEX(GLAPS컨테이너배차관리!$O:$O,$B149)="","",INDEX(GLAPS컨테이너배차관리!$O:$O,$B149))="EMC","EMA",IFERROR(INDEX(GLAPS정리!$A$2:$A$50,MATCH(IF(INDEX(GLAPS컨테이너배차관리!$O:$O,$B149)="","",INDEX(GLAPS컨테이너배차관리!$O:$O,$B149)),GLAPS정리!$D$2:$D$50,0)),IF(INDEX(GLAPS컨테이너배차관리!$O:$O,$B149)="","",INDEX(GLAPS컨테이너배차관리!$O:$O,$B149)))))</f>
        <v/>
      </c>
      <c r="K149" t="str">
        <f>IF($B149="","",IF(LEFT(IF(INDEX(GLAPS컨테이너배차관리!$Y:$Y,$B149)="","",INDEX(GLAPS컨테이너배차관리!$Y:$Y,$B149)),2)="22","20 Feet",IF(LEFT(IF(INDEX(GLAPS컨테이너배차관리!$Y:$Y,$B149)="","",INDEX(GLAPS컨테이너배차관리!$Y:$Y,$B149)),2)="42","40 Feet","40 Feet H")))</f>
        <v/>
      </c>
      <c r="L149" t="str">
        <f>IF($B149="","",IFERROR(INDEX(GLAPS정리!$BB$2:$BB$80,MATCH(IF(INDEX(GLAPS컨테이너배차관리!$BQ:$BQ,$B149)="","",INDEX(GLAPS컨테이너배차관리!$BQ:$BQ,$B149)),GLAPS정리!$BC$2:$BC$80,0)),IF(INDEX(GLAPS컨테이너배차관리!$BQ:$BQ,$B149)="","",INDEX(GLAPS컨테이너배차관리!$BQ:$BQ,$B149))))</f>
        <v/>
      </c>
      <c r="M149" t="str">
        <f>IF($B149="","",IFERROR(INDEX(GLAPS정리!$V$3:$V$180,MATCH(IF(INDEX(GLAPS컨테이너배차관리!$S:$S,$B149)="","",INDEX(GLAPS컨테이너배차관리!$S:$S,$B149)),GLAPS정리!$W$3:$W$180,0)),IF(INDEX(GLAPS컨테이너배차관리!$S:$S,$B149)="","",INDEX(GLAPS컨테이너배차관리!$S:$S,$B149))))</f>
        <v/>
      </c>
      <c r="N149" t="str">
        <f>IF($B149="","",IF(IF(INDEX(GLAPS컨테이너배차관리!$DF:$DF,$B149)="","",INDEX(GLAPS컨테이너배차관리!$DF:$DF,$B149))&lt;&gt;"",IF(INDEX(GLAPS컨테이너배차관리!$DF:$DF,$B149)="","",INDEX(GLAPS컨테이너배차관리!$DF:$DF,$B149)),IF(IF(INDEX(GLAPS컨테이너배차관리!$DG:$DG,$B149)="","",INDEX(GLAPS컨테이너배차관리!$DG:$DG,$B149))&lt;&gt;"",IF(INDEX(GLAPS컨테이너배차관리!$DG:$DG,$B149)="","",INDEX(GLAPS컨테이너배차관리!$DG:$DG,$B149)),"")))</f>
        <v/>
      </c>
      <c r="O149" t="str">
        <f>IF($B149="","",IF(INDEX(GLAPS컨테이너배차관리!$AB:$AB,$B149)="","",INDEX(GLAPS컨테이너배차관리!$AB:$AB,$B149)))</f>
        <v/>
      </c>
      <c r="P149" t="str">
        <f>IF($B149="","",IF(IF(INDEX(GLAPS컨테이너배차관리!$CP:$CP,$B149)="","",INDEX(GLAPS컨테이너배차관리!$CP:$CP,$B149))="","",IFERROR(INDEX(GLAPS정리!$BH$2:$BH$101,MATCH(IF(INDEX(GLAPS컨테이너배차관리!$CP:$CP,$B149)="","",INDEX(GLAPS컨테이너배차관리!$CP:$CP,$B149)),GLAPS정리!$BI$2:$BI$101,0)),IF(INDEX(GLAPS컨테이너배차관리!$CP:$CP,$B149)="","",INDEX(GLAPS컨테이너배차관리!$CP:$CP,$B149)))))</f>
        <v/>
      </c>
      <c r="Q149" t="str">
        <f>IF($B149="","",IF(AND(IF(INDEX(GLAPS컨테이너배차관리!$AK:$AK,$B149)="","",INDEX(GLAPS컨테이너배차관리!$AK:$AK,$B149))="Y",IF(INDEX(GLAPS컨테이너배차관리!$AI:$AI,$B149)="","",INDEX(GLAPS컨테이너배차관리!$AI:$AI,$B149))="Y"),"위험물리퍼",IF(IF(INDEX(GLAPS컨테이너배차관리!$AK:$AK,$B149)="","",INDEX(GLAPS컨테이너배차관리!$AK:$AK,$B149))="Y","위험물",IF(IF(INDEX(GLAPS컨테이너배차관리!$AI:$AI,$B149)="","",INDEX(GLAPS컨테이너배차관리!$AI:$AI,$B149))="Y","리퍼",""))))</f>
        <v/>
      </c>
      <c r="R149" t="str">
        <f>IF($B149="","",IF(LEFT(IF(INDEX(GLAPS컨테이너배차관리!$Y:$Y,$B149)="","",INDEX(GLAPS컨테이너배차관리!$Y:$Y,$B149)),2)="22",1,""))</f>
        <v/>
      </c>
      <c r="S149" t="str">
        <f>IF($B149="","",IF(LEFT(IF(INDEX(GLAPS컨테이너배차관리!$Y:$Y,$B149)="","",INDEX(GLAPS컨테이너배차관리!$Y:$Y,$B149)),2)="42",1,""))</f>
        <v/>
      </c>
      <c r="T149" t="str">
        <f>IF($B149="","",IF(LEFT(IF(INDEX(GLAPS컨테이너배차관리!$Y:$Y,$B149)="","",INDEX(GLAPS컨테이너배차관리!$Y:$Y,$B149)),2)="45",1,""))</f>
        <v/>
      </c>
      <c r="U149" t="str">
        <f>IF($B149="","",IF(INDEX(GLAPS컨테이너배차관리!$X:$X,$B149)="","",INDEX(GLAPS컨테이너배차관리!$X:$X,$B149)))</f>
        <v/>
      </c>
      <c r="V149" t="str">
        <f>IF($B149="","",IF(INDEX(GLAPS컨테이너배차관리!$Z:$Z,$B149)="","",INDEX(GLAPS컨테이너배차관리!$Z:$Z,$B149)))</f>
        <v/>
      </c>
      <c r="W149" t="str">
        <f>IF($B149="","",IF(IF(INDEX(GLAPS컨테이너배차관리!$DI:$DI,$B149)="","",INDEX(GLAPS컨테이너배차관리!$DI:$DI,$B149))&lt;&gt;"",IF(INDEX(GLAPS컨테이너배차관리!$DI:$DI,$B149)="","",INDEX(GLAPS컨테이너배차관리!$DI:$DI,$B149)),IF(IF(INDEX(GLAPS컨테이너배차관리!$DJ:$DJ,$B149)="","",INDEX(GLAPS컨테이너배차관리!$DJ:$DJ,$B149))&lt;&gt;"",IF(INDEX(GLAPS컨테이너배차관리!$DJ:$DJ,$B149)="","",INDEX(GLAPS컨테이너배차관리!$DJ:$DJ,$B149)),IF(IF(INDEX(GLAPS컨테이너배차관리!$DK:$DK,$B149)="","",INDEX(GLAPS컨테이너배차관리!$DK:$DK,$B149))&lt;&gt;"",IF(INDEX(GLAPS컨테이너배차관리!$DK:$DK,$B149)="","",INDEX(GLAPS컨테이너배차관리!$DK:$DK,$B149)),IF(IF(INDEX(GLAPS컨테이너배차관리!$DL:$DL,$B149)="","",INDEX(GLAPS컨테이너배차관리!$DL:$DL,$B149))&lt;&gt;"",IF(INDEX(GLAPS컨테이너배차관리!$DL:$DL,$B149)="","",INDEX(GLAPS컨테이너배차관리!$DL:$DL,$B149)),IF(IF(INDEX(GLAPS컨테이너배차관리!$DM:$DM,$B149)="","",INDEX(GLAPS컨테이너배차관리!$DM:$DM,$B149))&lt;&gt;"",IF(INDEX(GLAPS컨테이너배차관리!$DM:$DM,$B149)="","",INDEX(GLAPS컨테이너배차관리!$DM:$DM,$B149)),""))))))</f>
        <v/>
      </c>
      <c r="X149" t="str">
        <f>IF($B149="","",IF(INDEX(GLAPS컨테이너배차관리!$F:$F,$B149)="","",INDEX(GLAPS컨테이너배차관리!$F:$F,$B149)))</f>
        <v/>
      </c>
      <c r="Y149" t="str">
        <f>IF($B149="","",IF(IF(INDEX(GLAPS컨테이너배차관리!$M:$M,$B149)="","",INDEX(GLAPS컨테이너배차관리!$M:$M,$B149))&lt;&gt;"",IF(INDEX(GLAPS컨테이너배차관리!$M:$M,$B149)="","",INDEX(GLAPS컨테이너배차관리!$M:$M,$B149)),IF(IF(INDEX(GLAPS컨테이너배차관리!$N:$N,$B149)="","",INDEX(GLAPS컨테이너배차관리!$N:$N,$B149))&lt;&gt;"",IF(INDEX(GLAPS컨테이너배차관리!$N:$N,$B149)="","",INDEX(GLAPS컨테이너배차관리!$N:$N,$B149)),"")))</f>
        <v/>
      </c>
      <c r="Z149" t="str">
        <f>IF($B149="","",IF(IF(INDEX(GLAPS컨테이너배차관리!$CU:$CU,$B149)="","",INDEX(GLAPS컨테이너배차관리!$CU:$CU,$B149))="","",IFERROR(INT(IF(INDEX(GLAPS컨테이너배차관리!$CU:$CU,$B149)="","",INDEX(GLAPS컨테이너배차관리!$CU:$CU,$B149))),"")))</f>
        <v/>
      </c>
      <c r="AA149" t="str">
        <f>IF($B149="","",IF(AND(IF(INDEX(GLAPS컨테이너배차관리!$CL:$CL,$B149)="","",INDEX(GLAPS컨테이너배차관리!$CL:$CL,$B149))="",IF(INDEX(GLAPS컨테이너배차관리!$CM:$CM,$B149)="","",INDEX(GLAPS컨테이너배차관리!$CM:$CM,$B149))=""),"",IF(OR(IF(INDEX(GLAPS컨테이너배차관리!$CL:$CL,$B149)="","",INDEX(GLAPS컨테이너배차관리!$CL:$CL,$B149))="B000016649",ISNUMBER(SEARCH("B015",IF(INDEX(GLAPS컨테이너배차관리!$CM:$CM,$B149)="","",INDEX(GLAPS컨테이너배차관리!$CM:$CM,$B149)))),ISNUMBER(SEARCH("세방",IF(INDEX(GLAPS컨테이너배차관리!$CM:$CM,$B149)="","",INDEX(GLAPS컨테이너배차관리!$CM:$CM,$B149)))),ISNUMBER(SEARCH("SB",IF(INDEX(GLAPS컨테이너배차관리!$CM:$CM,$B149)="","",INDEX(GLAPS컨테이너배차관리!$CM:$CM,$B149))))),"세방","")))</f>
        <v/>
      </c>
      <c r="AB149" t="str">
        <f>IF($B149="","",IF(IF(INDEX(GLAPS컨테이너배차관리!$CM:$CM,$B149)="","",INDEX(GLAPS컨테이너배차관리!$CM:$CM,$B149))="","",IF(ISNUMBER(SEARCH("이지스두동",IF(INDEX(GLAPS컨테이너배차관리!$CM:$CM,$B149)="","",INDEX(GLAPS컨테이너배차관리!$CM:$CM,$B149)))),"이지스두동",IF(ISNUMBER(SEARCH("이지스녹산",IF(INDEX(GLAPS컨테이너배차관리!$CM:$CM,$B149)="","",INDEX(GLAPS컨테이너배차관리!$CM:$CM,$B149)))),"이지스녹산",IF(ISNUMBER(SEARCH("천우",IF(INDEX(GLAPS컨테이너배차관리!$CM:$CM,$B149)="","",INDEX(GLAPS컨테이너배차관리!$CM:$CM,$B149)))),"천우",IF(OR(ISNUMBER(SEARCH("청암",IF(INDEX(GLAPS컨테이너배차관리!$CM:$CM,$B149)="","",INDEX(GLAPS컨테이너배차관리!$CM:$CM,$B149)))),ISNUMBER(SEARCH("SB청암",IF(INDEX(GLAPS컨테이너배차관리!$CM:$CM,$B149)="","",INDEX(GLAPS컨테이너배차관리!$CM:$CM,$B149))))),"청암신항",IF(INDEX(GLAPS컨테이너배차관리!$CM:$CM,$B149)="","",INDEX(GLAPS컨테이너배차관리!$CM:$CM,$B149))))))))</f>
        <v/>
      </c>
    </row>
    <row r="150" spans="1:28">
      <c r="A150">
        <v>149</v>
      </c>
      <c r="B150" t="str">
        <f>IFERROR(_xlfn.AGGREGATE(15,6,ROW(GLAPS컨테이너배차관리!$X$2:$X$20000)/(GLAPS컨테이너배차관리!$X$2:$X$20000&lt;&gt;""),A150),"")</f>
        <v/>
      </c>
      <c r="C150" t="str">
        <f>IF($B150="","",INT(IF(INDEX(GLAPS컨테이너배차관리!$K:$K,$B150)="","",INDEX(GLAPS컨테이너배차관리!$K:$K,$B150))))</f>
        <v/>
      </c>
      <c r="D150" t="str">
        <f>IF($B150="","",IF(ISNUMBER(SEARCH("이엘에스",IF(INDEX(GLAPS컨테이너배차관리!$AZ:$AZ,$B150)="","",INDEX(GLAPS컨테이너배차관리!$AZ:$AZ,$B150)))),"ELS솔루션",IF(INDEX(GLAPS컨테이너배차관리!$AZ:$AZ,$B150)="","",INDEX(GLAPS컨테이너배차관리!$AZ:$AZ,$B150))))</f>
        <v/>
      </c>
      <c r="E150" t="str">
        <f>IF($B150="","",IF(INDEX(GLAPS컨테이너배차관리!$L:$L,$B150)="","",INDEX(GLAPS컨테이너배차관리!$L:$L,$B150)))</f>
        <v/>
      </c>
      <c r="F150" t="str">
        <f>IF($B150="","",IF(HOUR(IF(INDEX(GLAPS컨테이너배차관리!$L:$L,$B150)="","",INDEX(GLAPS컨테이너배차관리!$L:$L,$B150)))&lt;12,"오전",IF(HOUR(IF(INDEX(GLAPS컨테이너배차관리!$L:$L,$B150)="","",INDEX(GLAPS컨테이너배차관리!$L:$L,$B150)))&lt;18,"오후","잔업")))</f>
        <v/>
      </c>
      <c r="G150" t="str">
        <f>IF($B150="","",IFERROR(INDEX(GLAPS정리!$G$3:$G$264,MATCH(IF(INDEX(GLAPS컨테이너배차관리!$BY:$BY,$B150)="","",INDEX(GLAPS컨테이너배차관리!$BY:$BY,$B150)),GLAPS정리!$H$3:$H$264,0)),TRIM(SUBSTITUTE(SUBSTITUTE(SUBSTITUTE(SUBSTITUTE(SUBSTITUTE(IF(INDEX(GLAPS컨테이너배차관리!$T:$T,$B150)="","",INDEX(GLAPS컨테이너배차관리!$T:$T,$B150)),"[GA]",""),"[GB]",""),"[GC]",""),"[KC]",""),"[GS]",""))))</f>
        <v/>
      </c>
      <c r="H150" t="str">
        <f>IF($B150="","",IFERROR(VLOOKUP(IF(INDEX(GLAPS컨테이너배차관리!$BY:$BY,$B150)="","",INDEX(GLAPS컨테이너배차관리!$BY:$BY,$B150)),GLAPS정리!$BT$3:$BV$200,3,0),""))</f>
        <v/>
      </c>
      <c r="I150" t="str">
        <f>IF($B150="","",LEFT(IF(INDEX(GLAPS컨테이너배차관리!$U:$U,$B150)="","",INDEX(GLAPS컨테이너배차관리!$U:$U,$B150)),FIND("/",IF(INDEX(GLAPS컨테이너배차관리!$U:$U,$B150)="","",INDEX(GLAPS컨테이너배차관리!$U:$U,$B150))&amp;"/")-1))</f>
        <v/>
      </c>
      <c r="J150" t="str">
        <f>IF($B150="","",IF(IF(INDEX(GLAPS컨테이너배차관리!$O:$O,$B150)="","",INDEX(GLAPS컨테이너배차관리!$O:$O,$B150))="EMC","EMA",IFERROR(INDEX(GLAPS정리!$A$2:$A$50,MATCH(IF(INDEX(GLAPS컨테이너배차관리!$O:$O,$B150)="","",INDEX(GLAPS컨테이너배차관리!$O:$O,$B150)),GLAPS정리!$D$2:$D$50,0)),IF(INDEX(GLAPS컨테이너배차관리!$O:$O,$B150)="","",INDEX(GLAPS컨테이너배차관리!$O:$O,$B150)))))</f>
        <v/>
      </c>
      <c r="K150" t="str">
        <f>IF($B150="","",IF(LEFT(IF(INDEX(GLAPS컨테이너배차관리!$Y:$Y,$B150)="","",INDEX(GLAPS컨테이너배차관리!$Y:$Y,$B150)),2)="22","20 Feet",IF(LEFT(IF(INDEX(GLAPS컨테이너배차관리!$Y:$Y,$B150)="","",INDEX(GLAPS컨테이너배차관리!$Y:$Y,$B150)),2)="42","40 Feet","40 Feet H")))</f>
        <v/>
      </c>
      <c r="L150" t="str">
        <f>IF($B150="","",IFERROR(INDEX(GLAPS정리!$BB$2:$BB$80,MATCH(IF(INDEX(GLAPS컨테이너배차관리!$BQ:$BQ,$B150)="","",INDEX(GLAPS컨테이너배차관리!$BQ:$BQ,$B150)),GLAPS정리!$BC$2:$BC$80,0)),IF(INDEX(GLAPS컨테이너배차관리!$BQ:$BQ,$B150)="","",INDEX(GLAPS컨테이너배차관리!$BQ:$BQ,$B150))))</f>
        <v/>
      </c>
      <c r="M150" t="str">
        <f>IF($B150="","",IFERROR(INDEX(GLAPS정리!$V$3:$V$180,MATCH(IF(INDEX(GLAPS컨테이너배차관리!$S:$S,$B150)="","",INDEX(GLAPS컨테이너배차관리!$S:$S,$B150)),GLAPS정리!$W$3:$W$180,0)),IF(INDEX(GLAPS컨테이너배차관리!$S:$S,$B150)="","",INDEX(GLAPS컨테이너배차관리!$S:$S,$B150))))</f>
        <v/>
      </c>
      <c r="N150" t="str">
        <f>IF($B150="","",IF(IF(INDEX(GLAPS컨테이너배차관리!$DF:$DF,$B150)="","",INDEX(GLAPS컨테이너배차관리!$DF:$DF,$B150))&lt;&gt;"",IF(INDEX(GLAPS컨테이너배차관리!$DF:$DF,$B150)="","",INDEX(GLAPS컨테이너배차관리!$DF:$DF,$B150)),IF(IF(INDEX(GLAPS컨테이너배차관리!$DG:$DG,$B150)="","",INDEX(GLAPS컨테이너배차관리!$DG:$DG,$B150))&lt;&gt;"",IF(INDEX(GLAPS컨테이너배차관리!$DG:$DG,$B150)="","",INDEX(GLAPS컨테이너배차관리!$DG:$DG,$B150)),"")))</f>
        <v/>
      </c>
      <c r="O150" t="str">
        <f>IF($B150="","",IF(INDEX(GLAPS컨테이너배차관리!$AB:$AB,$B150)="","",INDEX(GLAPS컨테이너배차관리!$AB:$AB,$B150)))</f>
        <v/>
      </c>
      <c r="P150" t="str">
        <f>IF($B150="","",IF(IF(INDEX(GLAPS컨테이너배차관리!$CP:$CP,$B150)="","",INDEX(GLAPS컨테이너배차관리!$CP:$CP,$B150))="","",IFERROR(INDEX(GLAPS정리!$BH$2:$BH$101,MATCH(IF(INDEX(GLAPS컨테이너배차관리!$CP:$CP,$B150)="","",INDEX(GLAPS컨테이너배차관리!$CP:$CP,$B150)),GLAPS정리!$BI$2:$BI$101,0)),IF(INDEX(GLAPS컨테이너배차관리!$CP:$CP,$B150)="","",INDEX(GLAPS컨테이너배차관리!$CP:$CP,$B150)))))</f>
        <v/>
      </c>
      <c r="Q150" t="str">
        <f>IF($B150="","",IF(AND(IF(INDEX(GLAPS컨테이너배차관리!$AK:$AK,$B150)="","",INDEX(GLAPS컨테이너배차관리!$AK:$AK,$B150))="Y",IF(INDEX(GLAPS컨테이너배차관리!$AI:$AI,$B150)="","",INDEX(GLAPS컨테이너배차관리!$AI:$AI,$B150))="Y"),"위험물리퍼",IF(IF(INDEX(GLAPS컨테이너배차관리!$AK:$AK,$B150)="","",INDEX(GLAPS컨테이너배차관리!$AK:$AK,$B150))="Y","위험물",IF(IF(INDEX(GLAPS컨테이너배차관리!$AI:$AI,$B150)="","",INDEX(GLAPS컨테이너배차관리!$AI:$AI,$B150))="Y","리퍼",""))))</f>
        <v/>
      </c>
      <c r="R150" t="str">
        <f>IF($B150="","",IF(LEFT(IF(INDEX(GLAPS컨테이너배차관리!$Y:$Y,$B150)="","",INDEX(GLAPS컨테이너배차관리!$Y:$Y,$B150)),2)="22",1,""))</f>
        <v/>
      </c>
      <c r="S150" t="str">
        <f>IF($B150="","",IF(LEFT(IF(INDEX(GLAPS컨테이너배차관리!$Y:$Y,$B150)="","",INDEX(GLAPS컨테이너배차관리!$Y:$Y,$B150)),2)="42",1,""))</f>
        <v/>
      </c>
      <c r="T150" t="str">
        <f>IF($B150="","",IF(LEFT(IF(INDEX(GLAPS컨테이너배차관리!$Y:$Y,$B150)="","",INDEX(GLAPS컨테이너배차관리!$Y:$Y,$B150)),2)="45",1,""))</f>
        <v/>
      </c>
      <c r="U150" t="str">
        <f>IF($B150="","",IF(INDEX(GLAPS컨테이너배차관리!$X:$X,$B150)="","",INDEX(GLAPS컨테이너배차관리!$X:$X,$B150)))</f>
        <v/>
      </c>
      <c r="V150" t="str">
        <f>IF($B150="","",IF(INDEX(GLAPS컨테이너배차관리!$Z:$Z,$B150)="","",INDEX(GLAPS컨테이너배차관리!$Z:$Z,$B150)))</f>
        <v/>
      </c>
      <c r="W150" t="str">
        <f>IF($B150="","",IF(IF(INDEX(GLAPS컨테이너배차관리!$DI:$DI,$B150)="","",INDEX(GLAPS컨테이너배차관리!$DI:$DI,$B150))&lt;&gt;"",IF(INDEX(GLAPS컨테이너배차관리!$DI:$DI,$B150)="","",INDEX(GLAPS컨테이너배차관리!$DI:$DI,$B150)),IF(IF(INDEX(GLAPS컨테이너배차관리!$DJ:$DJ,$B150)="","",INDEX(GLAPS컨테이너배차관리!$DJ:$DJ,$B150))&lt;&gt;"",IF(INDEX(GLAPS컨테이너배차관리!$DJ:$DJ,$B150)="","",INDEX(GLAPS컨테이너배차관리!$DJ:$DJ,$B150)),IF(IF(INDEX(GLAPS컨테이너배차관리!$DK:$DK,$B150)="","",INDEX(GLAPS컨테이너배차관리!$DK:$DK,$B150))&lt;&gt;"",IF(INDEX(GLAPS컨테이너배차관리!$DK:$DK,$B150)="","",INDEX(GLAPS컨테이너배차관리!$DK:$DK,$B150)),IF(IF(INDEX(GLAPS컨테이너배차관리!$DL:$DL,$B150)="","",INDEX(GLAPS컨테이너배차관리!$DL:$DL,$B150))&lt;&gt;"",IF(INDEX(GLAPS컨테이너배차관리!$DL:$DL,$B150)="","",INDEX(GLAPS컨테이너배차관리!$DL:$DL,$B150)),IF(IF(INDEX(GLAPS컨테이너배차관리!$DM:$DM,$B150)="","",INDEX(GLAPS컨테이너배차관리!$DM:$DM,$B150))&lt;&gt;"",IF(INDEX(GLAPS컨테이너배차관리!$DM:$DM,$B150)="","",INDEX(GLAPS컨테이너배차관리!$DM:$DM,$B150)),""))))))</f>
        <v/>
      </c>
      <c r="X150" t="str">
        <f>IF($B150="","",IF(INDEX(GLAPS컨테이너배차관리!$F:$F,$B150)="","",INDEX(GLAPS컨테이너배차관리!$F:$F,$B150)))</f>
        <v/>
      </c>
      <c r="Y150" t="str">
        <f>IF($B150="","",IF(IF(INDEX(GLAPS컨테이너배차관리!$M:$M,$B150)="","",INDEX(GLAPS컨테이너배차관리!$M:$M,$B150))&lt;&gt;"",IF(INDEX(GLAPS컨테이너배차관리!$M:$M,$B150)="","",INDEX(GLAPS컨테이너배차관리!$M:$M,$B150)),IF(IF(INDEX(GLAPS컨테이너배차관리!$N:$N,$B150)="","",INDEX(GLAPS컨테이너배차관리!$N:$N,$B150))&lt;&gt;"",IF(INDEX(GLAPS컨테이너배차관리!$N:$N,$B150)="","",INDEX(GLAPS컨테이너배차관리!$N:$N,$B150)),"")))</f>
        <v/>
      </c>
      <c r="Z150" t="str">
        <f>IF($B150="","",IF(IF(INDEX(GLAPS컨테이너배차관리!$CU:$CU,$B150)="","",INDEX(GLAPS컨테이너배차관리!$CU:$CU,$B150))="","",IFERROR(INT(IF(INDEX(GLAPS컨테이너배차관리!$CU:$CU,$B150)="","",INDEX(GLAPS컨테이너배차관리!$CU:$CU,$B150))),"")))</f>
        <v/>
      </c>
      <c r="AA150" t="str">
        <f>IF($B150="","",IF(AND(IF(INDEX(GLAPS컨테이너배차관리!$CL:$CL,$B150)="","",INDEX(GLAPS컨테이너배차관리!$CL:$CL,$B150))="",IF(INDEX(GLAPS컨테이너배차관리!$CM:$CM,$B150)="","",INDEX(GLAPS컨테이너배차관리!$CM:$CM,$B150))=""),"",IF(OR(IF(INDEX(GLAPS컨테이너배차관리!$CL:$CL,$B150)="","",INDEX(GLAPS컨테이너배차관리!$CL:$CL,$B150))="B000016649",ISNUMBER(SEARCH("B015",IF(INDEX(GLAPS컨테이너배차관리!$CM:$CM,$B150)="","",INDEX(GLAPS컨테이너배차관리!$CM:$CM,$B150)))),ISNUMBER(SEARCH("세방",IF(INDEX(GLAPS컨테이너배차관리!$CM:$CM,$B150)="","",INDEX(GLAPS컨테이너배차관리!$CM:$CM,$B150)))),ISNUMBER(SEARCH("SB",IF(INDEX(GLAPS컨테이너배차관리!$CM:$CM,$B150)="","",INDEX(GLAPS컨테이너배차관리!$CM:$CM,$B150))))),"세방","")))</f>
        <v/>
      </c>
      <c r="AB150" t="str">
        <f>IF($B150="","",IF(IF(INDEX(GLAPS컨테이너배차관리!$CM:$CM,$B150)="","",INDEX(GLAPS컨테이너배차관리!$CM:$CM,$B150))="","",IF(ISNUMBER(SEARCH("이지스두동",IF(INDEX(GLAPS컨테이너배차관리!$CM:$CM,$B150)="","",INDEX(GLAPS컨테이너배차관리!$CM:$CM,$B150)))),"이지스두동",IF(ISNUMBER(SEARCH("이지스녹산",IF(INDEX(GLAPS컨테이너배차관리!$CM:$CM,$B150)="","",INDEX(GLAPS컨테이너배차관리!$CM:$CM,$B150)))),"이지스녹산",IF(ISNUMBER(SEARCH("천우",IF(INDEX(GLAPS컨테이너배차관리!$CM:$CM,$B150)="","",INDEX(GLAPS컨테이너배차관리!$CM:$CM,$B150)))),"천우",IF(OR(ISNUMBER(SEARCH("청암",IF(INDEX(GLAPS컨테이너배차관리!$CM:$CM,$B150)="","",INDEX(GLAPS컨테이너배차관리!$CM:$CM,$B150)))),ISNUMBER(SEARCH("SB청암",IF(INDEX(GLAPS컨테이너배차관리!$CM:$CM,$B150)="","",INDEX(GLAPS컨테이너배차관리!$CM:$CM,$B150))))),"청암신항",IF(INDEX(GLAPS컨테이너배차관리!$CM:$CM,$B150)="","",INDEX(GLAPS컨테이너배차관리!$CM:$CM,$B150))))))))</f>
        <v/>
      </c>
    </row>
    <row r="151" spans="1:28">
      <c r="A151">
        <v>150</v>
      </c>
      <c r="B151" t="str">
        <f>IFERROR(_xlfn.AGGREGATE(15,6,ROW(GLAPS컨테이너배차관리!$X$2:$X$20000)/(GLAPS컨테이너배차관리!$X$2:$X$20000&lt;&gt;""),A151),"")</f>
        <v/>
      </c>
      <c r="C151" t="str">
        <f>IF($B151="","",INT(IF(INDEX(GLAPS컨테이너배차관리!$K:$K,$B151)="","",INDEX(GLAPS컨테이너배차관리!$K:$K,$B151))))</f>
        <v/>
      </c>
      <c r="D151" t="str">
        <f>IF($B151="","",IF(ISNUMBER(SEARCH("이엘에스",IF(INDEX(GLAPS컨테이너배차관리!$AZ:$AZ,$B151)="","",INDEX(GLAPS컨테이너배차관리!$AZ:$AZ,$B151)))),"ELS솔루션",IF(INDEX(GLAPS컨테이너배차관리!$AZ:$AZ,$B151)="","",INDEX(GLAPS컨테이너배차관리!$AZ:$AZ,$B151))))</f>
        <v/>
      </c>
      <c r="E151" t="str">
        <f>IF($B151="","",IF(INDEX(GLAPS컨테이너배차관리!$L:$L,$B151)="","",INDEX(GLAPS컨테이너배차관리!$L:$L,$B151)))</f>
        <v/>
      </c>
      <c r="F151" t="str">
        <f>IF($B151="","",IF(HOUR(IF(INDEX(GLAPS컨테이너배차관리!$L:$L,$B151)="","",INDEX(GLAPS컨테이너배차관리!$L:$L,$B151)))&lt;12,"오전",IF(HOUR(IF(INDEX(GLAPS컨테이너배차관리!$L:$L,$B151)="","",INDEX(GLAPS컨테이너배차관리!$L:$L,$B151)))&lt;18,"오후","잔업")))</f>
        <v/>
      </c>
      <c r="G151" t="str">
        <f>IF($B151="","",IFERROR(INDEX(GLAPS정리!$G$3:$G$264,MATCH(IF(INDEX(GLAPS컨테이너배차관리!$BY:$BY,$B151)="","",INDEX(GLAPS컨테이너배차관리!$BY:$BY,$B151)),GLAPS정리!$H$3:$H$264,0)),TRIM(SUBSTITUTE(SUBSTITUTE(SUBSTITUTE(SUBSTITUTE(SUBSTITUTE(IF(INDEX(GLAPS컨테이너배차관리!$T:$T,$B151)="","",INDEX(GLAPS컨테이너배차관리!$T:$T,$B151)),"[GA]",""),"[GB]",""),"[GC]",""),"[KC]",""),"[GS]",""))))</f>
        <v/>
      </c>
      <c r="H151" t="str">
        <f>IF($B151="","",IFERROR(VLOOKUP(IF(INDEX(GLAPS컨테이너배차관리!$BY:$BY,$B151)="","",INDEX(GLAPS컨테이너배차관리!$BY:$BY,$B151)),GLAPS정리!$BT$3:$BV$200,3,0),""))</f>
        <v/>
      </c>
      <c r="I151" t="str">
        <f>IF($B151="","",LEFT(IF(INDEX(GLAPS컨테이너배차관리!$U:$U,$B151)="","",INDEX(GLAPS컨테이너배차관리!$U:$U,$B151)),FIND("/",IF(INDEX(GLAPS컨테이너배차관리!$U:$U,$B151)="","",INDEX(GLAPS컨테이너배차관리!$U:$U,$B151))&amp;"/")-1))</f>
        <v/>
      </c>
      <c r="J151" t="str">
        <f>IF($B151="","",IF(IF(INDEX(GLAPS컨테이너배차관리!$O:$O,$B151)="","",INDEX(GLAPS컨테이너배차관리!$O:$O,$B151))="EMC","EMA",IFERROR(INDEX(GLAPS정리!$A$2:$A$50,MATCH(IF(INDEX(GLAPS컨테이너배차관리!$O:$O,$B151)="","",INDEX(GLAPS컨테이너배차관리!$O:$O,$B151)),GLAPS정리!$D$2:$D$50,0)),IF(INDEX(GLAPS컨테이너배차관리!$O:$O,$B151)="","",INDEX(GLAPS컨테이너배차관리!$O:$O,$B151)))))</f>
        <v/>
      </c>
      <c r="K151" t="str">
        <f>IF($B151="","",IF(LEFT(IF(INDEX(GLAPS컨테이너배차관리!$Y:$Y,$B151)="","",INDEX(GLAPS컨테이너배차관리!$Y:$Y,$B151)),2)="22","20 Feet",IF(LEFT(IF(INDEX(GLAPS컨테이너배차관리!$Y:$Y,$B151)="","",INDEX(GLAPS컨테이너배차관리!$Y:$Y,$B151)),2)="42","40 Feet","40 Feet H")))</f>
        <v/>
      </c>
      <c r="L151" t="str">
        <f>IF($B151="","",IFERROR(INDEX(GLAPS정리!$BB$2:$BB$80,MATCH(IF(INDEX(GLAPS컨테이너배차관리!$BQ:$BQ,$B151)="","",INDEX(GLAPS컨테이너배차관리!$BQ:$BQ,$B151)),GLAPS정리!$BC$2:$BC$80,0)),IF(INDEX(GLAPS컨테이너배차관리!$BQ:$BQ,$B151)="","",INDEX(GLAPS컨테이너배차관리!$BQ:$BQ,$B151))))</f>
        <v/>
      </c>
      <c r="M151" t="str">
        <f>IF($B151="","",IFERROR(INDEX(GLAPS정리!$V$3:$V$180,MATCH(IF(INDEX(GLAPS컨테이너배차관리!$S:$S,$B151)="","",INDEX(GLAPS컨테이너배차관리!$S:$S,$B151)),GLAPS정리!$W$3:$W$180,0)),IF(INDEX(GLAPS컨테이너배차관리!$S:$S,$B151)="","",INDEX(GLAPS컨테이너배차관리!$S:$S,$B151))))</f>
        <v/>
      </c>
      <c r="N151" t="str">
        <f>IF($B151="","",IF(IF(INDEX(GLAPS컨테이너배차관리!$DF:$DF,$B151)="","",INDEX(GLAPS컨테이너배차관리!$DF:$DF,$B151))&lt;&gt;"",IF(INDEX(GLAPS컨테이너배차관리!$DF:$DF,$B151)="","",INDEX(GLAPS컨테이너배차관리!$DF:$DF,$B151)),IF(IF(INDEX(GLAPS컨테이너배차관리!$DG:$DG,$B151)="","",INDEX(GLAPS컨테이너배차관리!$DG:$DG,$B151))&lt;&gt;"",IF(INDEX(GLAPS컨테이너배차관리!$DG:$DG,$B151)="","",INDEX(GLAPS컨테이너배차관리!$DG:$DG,$B151)),"")))</f>
        <v/>
      </c>
      <c r="O151" t="str">
        <f>IF($B151="","",IF(INDEX(GLAPS컨테이너배차관리!$AB:$AB,$B151)="","",INDEX(GLAPS컨테이너배차관리!$AB:$AB,$B151)))</f>
        <v/>
      </c>
      <c r="P151" t="str">
        <f>IF($B151="","",IF(IF(INDEX(GLAPS컨테이너배차관리!$CP:$CP,$B151)="","",INDEX(GLAPS컨테이너배차관리!$CP:$CP,$B151))="","",IFERROR(INDEX(GLAPS정리!$BH$2:$BH$101,MATCH(IF(INDEX(GLAPS컨테이너배차관리!$CP:$CP,$B151)="","",INDEX(GLAPS컨테이너배차관리!$CP:$CP,$B151)),GLAPS정리!$BI$2:$BI$101,0)),IF(INDEX(GLAPS컨테이너배차관리!$CP:$CP,$B151)="","",INDEX(GLAPS컨테이너배차관리!$CP:$CP,$B151)))))</f>
        <v/>
      </c>
      <c r="Q151" t="str">
        <f>IF($B151="","",IF(AND(IF(INDEX(GLAPS컨테이너배차관리!$AK:$AK,$B151)="","",INDEX(GLAPS컨테이너배차관리!$AK:$AK,$B151))="Y",IF(INDEX(GLAPS컨테이너배차관리!$AI:$AI,$B151)="","",INDEX(GLAPS컨테이너배차관리!$AI:$AI,$B151))="Y"),"위험물리퍼",IF(IF(INDEX(GLAPS컨테이너배차관리!$AK:$AK,$B151)="","",INDEX(GLAPS컨테이너배차관리!$AK:$AK,$B151))="Y","위험물",IF(IF(INDEX(GLAPS컨테이너배차관리!$AI:$AI,$B151)="","",INDEX(GLAPS컨테이너배차관리!$AI:$AI,$B151))="Y","리퍼",""))))</f>
        <v/>
      </c>
      <c r="R151" t="str">
        <f>IF($B151="","",IF(LEFT(IF(INDEX(GLAPS컨테이너배차관리!$Y:$Y,$B151)="","",INDEX(GLAPS컨테이너배차관리!$Y:$Y,$B151)),2)="22",1,""))</f>
        <v/>
      </c>
      <c r="S151" t="str">
        <f>IF($B151="","",IF(LEFT(IF(INDEX(GLAPS컨테이너배차관리!$Y:$Y,$B151)="","",INDEX(GLAPS컨테이너배차관리!$Y:$Y,$B151)),2)="42",1,""))</f>
        <v/>
      </c>
      <c r="T151" t="str">
        <f>IF($B151="","",IF(LEFT(IF(INDEX(GLAPS컨테이너배차관리!$Y:$Y,$B151)="","",INDEX(GLAPS컨테이너배차관리!$Y:$Y,$B151)),2)="45",1,""))</f>
        <v/>
      </c>
      <c r="U151" t="str">
        <f>IF($B151="","",IF(INDEX(GLAPS컨테이너배차관리!$X:$X,$B151)="","",INDEX(GLAPS컨테이너배차관리!$X:$X,$B151)))</f>
        <v/>
      </c>
      <c r="V151" t="str">
        <f>IF($B151="","",IF(INDEX(GLAPS컨테이너배차관리!$Z:$Z,$B151)="","",INDEX(GLAPS컨테이너배차관리!$Z:$Z,$B151)))</f>
        <v/>
      </c>
      <c r="W151" t="str">
        <f>IF($B151="","",IF(IF(INDEX(GLAPS컨테이너배차관리!$DI:$DI,$B151)="","",INDEX(GLAPS컨테이너배차관리!$DI:$DI,$B151))&lt;&gt;"",IF(INDEX(GLAPS컨테이너배차관리!$DI:$DI,$B151)="","",INDEX(GLAPS컨테이너배차관리!$DI:$DI,$B151)),IF(IF(INDEX(GLAPS컨테이너배차관리!$DJ:$DJ,$B151)="","",INDEX(GLAPS컨테이너배차관리!$DJ:$DJ,$B151))&lt;&gt;"",IF(INDEX(GLAPS컨테이너배차관리!$DJ:$DJ,$B151)="","",INDEX(GLAPS컨테이너배차관리!$DJ:$DJ,$B151)),IF(IF(INDEX(GLAPS컨테이너배차관리!$DK:$DK,$B151)="","",INDEX(GLAPS컨테이너배차관리!$DK:$DK,$B151))&lt;&gt;"",IF(INDEX(GLAPS컨테이너배차관리!$DK:$DK,$B151)="","",INDEX(GLAPS컨테이너배차관리!$DK:$DK,$B151)),IF(IF(INDEX(GLAPS컨테이너배차관리!$DL:$DL,$B151)="","",INDEX(GLAPS컨테이너배차관리!$DL:$DL,$B151))&lt;&gt;"",IF(INDEX(GLAPS컨테이너배차관리!$DL:$DL,$B151)="","",INDEX(GLAPS컨테이너배차관리!$DL:$DL,$B151)),IF(IF(INDEX(GLAPS컨테이너배차관리!$DM:$DM,$B151)="","",INDEX(GLAPS컨테이너배차관리!$DM:$DM,$B151))&lt;&gt;"",IF(INDEX(GLAPS컨테이너배차관리!$DM:$DM,$B151)="","",INDEX(GLAPS컨테이너배차관리!$DM:$DM,$B151)),""))))))</f>
        <v/>
      </c>
      <c r="X151" t="str">
        <f>IF($B151="","",IF(INDEX(GLAPS컨테이너배차관리!$F:$F,$B151)="","",INDEX(GLAPS컨테이너배차관리!$F:$F,$B151)))</f>
        <v/>
      </c>
      <c r="Y151" t="str">
        <f>IF($B151="","",IF(IF(INDEX(GLAPS컨테이너배차관리!$M:$M,$B151)="","",INDEX(GLAPS컨테이너배차관리!$M:$M,$B151))&lt;&gt;"",IF(INDEX(GLAPS컨테이너배차관리!$M:$M,$B151)="","",INDEX(GLAPS컨테이너배차관리!$M:$M,$B151)),IF(IF(INDEX(GLAPS컨테이너배차관리!$N:$N,$B151)="","",INDEX(GLAPS컨테이너배차관리!$N:$N,$B151))&lt;&gt;"",IF(INDEX(GLAPS컨테이너배차관리!$N:$N,$B151)="","",INDEX(GLAPS컨테이너배차관리!$N:$N,$B151)),"")))</f>
        <v/>
      </c>
      <c r="Z151" t="str">
        <f>IF($B151="","",IF(IF(INDEX(GLAPS컨테이너배차관리!$CU:$CU,$B151)="","",INDEX(GLAPS컨테이너배차관리!$CU:$CU,$B151))="","",IFERROR(INT(IF(INDEX(GLAPS컨테이너배차관리!$CU:$CU,$B151)="","",INDEX(GLAPS컨테이너배차관리!$CU:$CU,$B151))),"")))</f>
        <v/>
      </c>
      <c r="AA151" t="str">
        <f>IF($B151="","",IF(AND(IF(INDEX(GLAPS컨테이너배차관리!$CL:$CL,$B151)="","",INDEX(GLAPS컨테이너배차관리!$CL:$CL,$B151))="",IF(INDEX(GLAPS컨테이너배차관리!$CM:$CM,$B151)="","",INDEX(GLAPS컨테이너배차관리!$CM:$CM,$B151))=""),"",IF(OR(IF(INDEX(GLAPS컨테이너배차관리!$CL:$CL,$B151)="","",INDEX(GLAPS컨테이너배차관리!$CL:$CL,$B151))="B000016649",ISNUMBER(SEARCH("B015",IF(INDEX(GLAPS컨테이너배차관리!$CM:$CM,$B151)="","",INDEX(GLAPS컨테이너배차관리!$CM:$CM,$B151)))),ISNUMBER(SEARCH("세방",IF(INDEX(GLAPS컨테이너배차관리!$CM:$CM,$B151)="","",INDEX(GLAPS컨테이너배차관리!$CM:$CM,$B151)))),ISNUMBER(SEARCH("SB",IF(INDEX(GLAPS컨테이너배차관리!$CM:$CM,$B151)="","",INDEX(GLAPS컨테이너배차관리!$CM:$CM,$B151))))),"세방","")))</f>
        <v/>
      </c>
      <c r="AB151" t="str">
        <f>IF($B151="","",IF(IF(INDEX(GLAPS컨테이너배차관리!$CM:$CM,$B151)="","",INDEX(GLAPS컨테이너배차관리!$CM:$CM,$B151))="","",IF(ISNUMBER(SEARCH("이지스두동",IF(INDEX(GLAPS컨테이너배차관리!$CM:$CM,$B151)="","",INDEX(GLAPS컨테이너배차관리!$CM:$CM,$B151)))),"이지스두동",IF(ISNUMBER(SEARCH("이지스녹산",IF(INDEX(GLAPS컨테이너배차관리!$CM:$CM,$B151)="","",INDEX(GLAPS컨테이너배차관리!$CM:$CM,$B151)))),"이지스녹산",IF(ISNUMBER(SEARCH("천우",IF(INDEX(GLAPS컨테이너배차관리!$CM:$CM,$B151)="","",INDEX(GLAPS컨테이너배차관리!$CM:$CM,$B151)))),"천우",IF(OR(ISNUMBER(SEARCH("청암",IF(INDEX(GLAPS컨테이너배차관리!$CM:$CM,$B151)="","",INDEX(GLAPS컨테이너배차관리!$CM:$CM,$B151)))),ISNUMBER(SEARCH("SB청암",IF(INDEX(GLAPS컨테이너배차관리!$CM:$CM,$B151)="","",INDEX(GLAPS컨테이너배차관리!$CM:$CM,$B151))))),"청암신항",IF(INDEX(GLAPS컨테이너배차관리!$CM:$CM,$B151)="","",INDEX(GLAPS컨테이너배차관리!$CM:$CM,$B151))))))))</f>
        <v/>
      </c>
    </row>
    <row r="152" spans="1:28">
      <c r="A152">
        <v>151</v>
      </c>
      <c r="B152" t="str">
        <f>IFERROR(_xlfn.AGGREGATE(15,6,ROW(GLAPS컨테이너배차관리!$X$2:$X$20000)/(GLAPS컨테이너배차관리!$X$2:$X$20000&lt;&gt;""),A152),"")</f>
        <v/>
      </c>
      <c r="C152" t="str">
        <f>IF($B152="","",INT(IF(INDEX(GLAPS컨테이너배차관리!$K:$K,$B152)="","",INDEX(GLAPS컨테이너배차관리!$K:$K,$B152))))</f>
        <v/>
      </c>
      <c r="D152" t="str">
        <f>IF($B152="","",IF(ISNUMBER(SEARCH("이엘에스",IF(INDEX(GLAPS컨테이너배차관리!$AZ:$AZ,$B152)="","",INDEX(GLAPS컨테이너배차관리!$AZ:$AZ,$B152)))),"ELS솔루션",IF(INDEX(GLAPS컨테이너배차관리!$AZ:$AZ,$B152)="","",INDEX(GLAPS컨테이너배차관리!$AZ:$AZ,$B152))))</f>
        <v/>
      </c>
      <c r="E152" t="str">
        <f>IF($B152="","",IF(INDEX(GLAPS컨테이너배차관리!$L:$L,$B152)="","",INDEX(GLAPS컨테이너배차관리!$L:$L,$B152)))</f>
        <v/>
      </c>
      <c r="F152" t="str">
        <f>IF($B152="","",IF(HOUR(IF(INDEX(GLAPS컨테이너배차관리!$L:$L,$B152)="","",INDEX(GLAPS컨테이너배차관리!$L:$L,$B152)))&lt;12,"오전",IF(HOUR(IF(INDEX(GLAPS컨테이너배차관리!$L:$L,$B152)="","",INDEX(GLAPS컨테이너배차관리!$L:$L,$B152)))&lt;18,"오후","잔업")))</f>
        <v/>
      </c>
      <c r="G152" t="str">
        <f>IF($B152="","",IFERROR(INDEX(GLAPS정리!$G$3:$G$264,MATCH(IF(INDEX(GLAPS컨테이너배차관리!$BY:$BY,$B152)="","",INDEX(GLAPS컨테이너배차관리!$BY:$BY,$B152)),GLAPS정리!$H$3:$H$264,0)),TRIM(SUBSTITUTE(SUBSTITUTE(SUBSTITUTE(SUBSTITUTE(SUBSTITUTE(IF(INDEX(GLAPS컨테이너배차관리!$T:$T,$B152)="","",INDEX(GLAPS컨테이너배차관리!$T:$T,$B152)),"[GA]",""),"[GB]",""),"[GC]",""),"[KC]",""),"[GS]",""))))</f>
        <v/>
      </c>
      <c r="H152" t="str">
        <f>IF($B152="","",IFERROR(VLOOKUP(IF(INDEX(GLAPS컨테이너배차관리!$BY:$BY,$B152)="","",INDEX(GLAPS컨테이너배차관리!$BY:$BY,$B152)),GLAPS정리!$BT$3:$BV$200,3,0),""))</f>
        <v/>
      </c>
      <c r="I152" t="str">
        <f>IF($B152="","",LEFT(IF(INDEX(GLAPS컨테이너배차관리!$U:$U,$B152)="","",INDEX(GLAPS컨테이너배차관리!$U:$U,$B152)),FIND("/",IF(INDEX(GLAPS컨테이너배차관리!$U:$U,$B152)="","",INDEX(GLAPS컨테이너배차관리!$U:$U,$B152))&amp;"/")-1))</f>
        <v/>
      </c>
      <c r="J152" t="str">
        <f>IF($B152="","",IF(IF(INDEX(GLAPS컨테이너배차관리!$O:$O,$B152)="","",INDEX(GLAPS컨테이너배차관리!$O:$O,$B152))="EMC","EMA",IFERROR(INDEX(GLAPS정리!$A$2:$A$50,MATCH(IF(INDEX(GLAPS컨테이너배차관리!$O:$O,$B152)="","",INDEX(GLAPS컨테이너배차관리!$O:$O,$B152)),GLAPS정리!$D$2:$D$50,0)),IF(INDEX(GLAPS컨테이너배차관리!$O:$O,$B152)="","",INDEX(GLAPS컨테이너배차관리!$O:$O,$B152)))))</f>
        <v/>
      </c>
      <c r="K152" t="str">
        <f>IF($B152="","",IF(LEFT(IF(INDEX(GLAPS컨테이너배차관리!$Y:$Y,$B152)="","",INDEX(GLAPS컨테이너배차관리!$Y:$Y,$B152)),2)="22","20 Feet",IF(LEFT(IF(INDEX(GLAPS컨테이너배차관리!$Y:$Y,$B152)="","",INDEX(GLAPS컨테이너배차관리!$Y:$Y,$B152)),2)="42","40 Feet","40 Feet H")))</f>
        <v/>
      </c>
      <c r="L152" t="str">
        <f>IF($B152="","",IFERROR(INDEX(GLAPS정리!$BB$2:$BB$80,MATCH(IF(INDEX(GLAPS컨테이너배차관리!$BQ:$BQ,$B152)="","",INDEX(GLAPS컨테이너배차관리!$BQ:$BQ,$B152)),GLAPS정리!$BC$2:$BC$80,0)),IF(INDEX(GLAPS컨테이너배차관리!$BQ:$BQ,$B152)="","",INDEX(GLAPS컨테이너배차관리!$BQ:$BQ,$B152))))</f>
        <v/>
      </c>
      <c r="M152" t="str">
        <f>IF($B152="","",IFERROR(INDEX(GLAPS정리!$V$3:$V$180,MATCH(IF(INDEX(GLAPS컨테이너배차관리!$S:$S,$B152)="","",INDEX(GLAPS컨테이너배차관리!$S:$S,$B152)),GLAPS정리!$W$3:$W$180,0)),IF(INDEX(GLAPS컨테이너배차관리!$S:$S,$B152)="","",INDEX(GLAPS컨테이너배차관리!$S:$S,$B152))))</f>
        <v/>
      </c>
      <c r="N152" t="str">
        <f>IF($B152="","",IF(IF(INDEX(GLAPS컨테이너배차관리!$DF:$DF,$B152)="","",INDEX(GLAPS컨테이너배차관리!$DF:$DF,$B152))&lt;&gt;"",IF(INDEX(GLAPS컨테이너배차관리!$DF:$DF,$B152)="","",INDEX(GLAPS컨테이너배차관리!$DF:$DF,$B152)),IF(IF(INDEX(GLAPS컨테이너배차관리!$DG:$DG,$B152)="","",INDEX(GLAPS컨테이너배차관리!$DG:$DG,$B152))&lt;&gt;"",IF(INDEX(GLAPS컨테이너배차관리!$DG:$DG,$B152)="","",INDEX(GLAPS컨테이너배차관리!$DG:$DG,$B152)),"")))</f>
        <v/>
      </c>
      <c r="O152" t="str">
        <f>IF($B152="","",IF(INDEX(GLAPS컨테이너배차관리!$AB:$AB,$B152)="","",INDEX(GLAPS컨테이너배차관리!$AB:$AB,$B152)))</f>
        <v/>
      </c>
      <c r="P152" t="str">
        <f>IF($B152="","",IF(IF(INDEX(GLAPS컨테이너배차관리!$CP:$CP,$B152)="","",INDEX(GLAPS컨테이너배차관리!$CP:$CP,$B152))="","",IFERROR(INDEX(GLAPS정리!$BH$2:$BH$101,MATCH(IF(INDEX(GLAPS컨테이너배차관리!$CP:$CP,$B152)="","",INDEX(GLAPS컨테이너배차관리!$CP:$CP,$B152)),GLAPS정리!$BI$2:$BI$101,0)),IF(INDEX(GLAPS컨테이너배차관리!$CP:$CP,$B152)="","",INDEX(GLAPS컨테이너배차관리!$CP:$CP,$B152)))))</f>
        <v/>
      </c>
      <c r="Q152" t="str">
        <f>IF($B152="","",IF(AND(IF(INDEX(GLAPS컨테이너배차관리!$AK:$AK,$B152)="","",INDEX(GLAPS컨테이너배차관리!$AK:$AK,$B152))="Y",IF(INDEX(GLAPS컨테이너배차관리!$AI:$AI,$B152)="","",INDEX(GLAPS컨테이너배차관리!$AI:$AI,$B152))="Y"),"위험물리퍼",IF(IF(INDEX(GLAPS컨테이너배차관리!$AK:$AK,$B152)="","",INDEX(GLAPS컨테이너배차관리!$AK:$AK,$B152))="Y","위험물",IF(IF(INDEX(GLAPS컨테이너배차관리!$AI:$AI,$B152)="","",INDEX(GLAPS컨테이너배차관리!$AI:$AI,$B152))="Y","리퍼",""))))</f>
        <v/>
      </c>
      <c r="R152" t="str">
        <f>IF($B152="","",IF(LEFT(IF(INDEX(GLAPS컨테이너배차관리!$Y:$Y,$B152)="","",INDEX(GLAPS컨테이너배차관리!$Y:$Y,$B152)),2)="22",1,""))</f>
        <v/>
      </c>
      <c r="S152" t="str">
        <f>IF($B152="","",IF(LEFT(IF(INDEX(GLAPS컨테이너배차관리!$Y:$Y,$B152)="","",INDEX(GLAPS컨테이너배차관리!$Y:$Y,$B152)),2)="42",1,""))</f>
        <v/>
      </c>
      <c r="T152" t="str">
        <f>IF($B152="","",IF(LEFT(IF(INDEX(GLAPS컨테이너배차관리!$Y:$Y,$B152)="","",INDEX(GLAPS컨테이너배차관리!$Y:$Y,$B152)),2)="45",1,""))</f>
        <v/>
      </c>
      <c r="U152" t="str">
        <f>IF($B152="","",IF(INDEX(GLAPS컨테이너배차관리!$X:$X,$B152)="","",INDEX(GLAPS컨테이너배차관리!$X:$X,$B152)))</f>
        <v/>
      </c>
      <c r="V152" t="str">
        <f>IF($B152="","",IF(INDEX(GLAPS컨테이너배차관리!$Z:$Z,$B152)="","",INDEX(GLAPS컨테이너배차관리!$Z:$Z,$B152)))</f>
        <v/>
      </c>
      <c r="W152" t="str">
        <f>IF($B152="","",IF(IF(INDEX(GLAPS컨테이너배차관리!$DI:$DI,$B152)="","",INDEX(GLAPS컨테이너배차관리!$DI:$DI,$B152))&lt;&gt;"",IF(INDEX(GLAPS컨테이너배차관리!$DI:$DI,$B152)="","",INDEX(GLAPS컨테이너배차관리!$DI:$DI,$B152)),IF(IF(INDEX(GLAPS컨테이너배차관리!$DJ:$DJ,$B152)="","",INDEX(GLAPS컨테이너배차관리!$DJ:$DJ,$B152))&lt;&gt;"",IF(INDEX(GLAPS컨테이너배차관리!$DJ:$DJ,$B152)="","",INDEX(GLAPS컨테이너배차관리!$DJ:$DJ,$B152)),IF(IF(INDEX(GLAPS컨테이너배차관리!$DK:$DK,$B152)="","",INDEX(GLAPS컨테이너배차관리!$DK:$DK,$B152))&lt;&gt;"",IF(INDEX(GLAPS컨테이너배차관리!$DK:$DK,$B152)="","",INDEX(GLAPS컨테이너배차관리!$DK:$DK,$B152)),IF(IF(INDEX(GLAPS컨테이너배차관리!$DL:$DL,$B152)="","",INDEX(GLAPS컨테이너배차관리!$DL:$DL,$B152))&lt;&gt;"",IF(INDEX(GLAPS컨테이너배차관리!$DL:$DL,$B152)="","",INDEX(GLAPS컨테이너배차관리!$DL:$DL,$B152)),IF(IF(INDEX(GLAPS컨테이너배차관리!$DM:$DM,$B152)="","",INDEX(GLAPS컨테이너배차관리!$DM:$DM,$B152))&lt;&gt;"",IF(INDEX(GLAPS컨테이너배차관리!$DM:$DM,$B152)="","",INDEX(GLAPS컨테이너배차관리!$DM:$DM,$B152)),""))))))</f>
        <v/>
      </c>
      <c r="X152" t="str">
        <f>IF($B152="","",IF(INDEX(GLAPS컨테이너배차관리!$F:$F,$B152)="","",INDEX(GLAPS컨테이너배차관리!$F:$F,$B152)))</f>
        <v/>
      </c>
      <c r="Y152" t="str">
        <f>IF($B152="","",IF(IF(INDEX(GLAPS컨테이너배차관리!$M:$M,$B152)="","",INDEX(GLAPS컨테이너배차관리!$M:$M,$B152))&lt;&gt;"",IF(INDEX(GLAPS컨테이너배차관리!$M:$M,$B152)="","",INDEX(GLAPS컨테이너배차관리!$M:$M,$B152)),IF(IF(INDEX(GLAPS컨테이너배차관리!$N:$N,$B152)="","",INDEX(GLAPS컨테이너배차관리!$N:$N,$B152))&lt;&gt;"",IF(INDEX(GLAPS컨테이너배차관리!$N:$N,$B152)="","",INDEX(GLAPS컨테이너배차관리!$N:$N,$B152)),"")))</f>
        <v/>
      </c>
      <c r="Z152" t="str">
        <f>IF($B152="","",IF(IF(INDEX(GLAPS컨테이너배차관리!$CU:$CU,$B152)="","",INDEX(GLAPS컨테이너배차관리!$CU:$CU,$B152))="","",IFERROR(INT(IF(INDEX(GLAPS컨테이너배차관리!$CU:$CU,$B152)="","",INDEX(GLAPS컨테이너배차관리!$CU:$CU,$B152))),"")))</f>
        <v/>
      </c>
      <c r="AA152" t="str">
        <f>IF($B152="","",IF(AND(IF(INDEX(GLAPS컨테이너배차관리!$CL:$CL,$B152)="","",INDEX(GLAPS컨테이너배차관리!$CL:$CL,$B152))="",IF(INDEX(GLAPS컨테이너배차관리!$CM:$CM,$B152)="","",INDEX(GLAPS컨테이너배차관리!$CM:$CM,$B152))=""),"",IF(OR(IF(INDEX(GLAPS컨테이너배차관리!$CL:$CL,$B152)="","",INDEX(GLAPS컨테이너배차관리!$CL:$CL,$B152))="B000016649",ISNUMBER(SEARCH("B015",IF(INDEX(GLAPS컨테이너배차관리!$CM:$CM,$B152)="","",INDEX(GLAPS컨테이너배차관리!$CM:$CM,$B152)))),ISNUMBER(SEARCH("세방",IF(INDEX(GLAPS컨테이너배차관리!$CM:$CM,$B152)="","",INDEX(GLAPS컨테이너배차관리!$CM:$CM,$B152)))),ISNUMBER(SEARCH("SB",IF(INDEX(GLAPS컨테이너배차관리!$CM:$CM,$B152)="","",INDEX(GLAPS컨테이너배차관리!$CM:$CM,$B152))))),"세방","")))</f>
        <v/>
      </c>
      <c r="AB152" t="str">
        <f>IF($B152="","",IF(IF(INDEX(GLAPS컨테이너배차관리!$CM:$CM,$B152)="","",INDEX(GLAPS컨테이너배차관리!$CM:$CM,$B152))="","",IF(ISNUMBER(SEARCH("이지스두동",IF(INDEX(GLAPS컨테이너배차관리!$CM:$CM,$B152)="","",INDEX(GLAPS컨테이너배차관리!$CM:$CM,$B152)))),"이지스두동",IF(ISNUMBER(SEARCH("이지스녹산",IF(INDEX(GLAPS컨테이너배차관리!$CM:$CM,$B152)="","",INDEX(GLAPS컨테이너배차관리!$CM:$CM,$B152)))),"이지스녹산",IF(ISNUMBER(SEARCH("천우",IF(INDEX(GLAPS컨테이너배차관리!$CM:$CM,$B152)="","",INDEX(GLAPS컨테이너배차관리!$CM:$CM,$B152)))),"천우",IF(OR(ISNUMBER(SEARCH("청암",IF(INDEX(GLAPS컨테이너배차관리!$CM:$CM,$B152)="","",INDEX(GLAPS컨테이너배차관리!$CM:$CM,$B152)))),ISNUMBER(SEARCH("SB청암",IF(INDEX(GLAPS컨테이너배차관리!$CM:$CM,$B152)="","",INDEX(GLAPS컨테이너배차관리!$CM:$CM,$B152))))),"청암신항",IF(INDEX(GLAPS컨테이너배차관리!$CM:$CM,$B152)="","",INDEX(GLAPS컨테이너배차관리!$CM:$CM,$B152))))))))</f>
        <v/>
      </c>
    </row>
    <row r="153" spans="1:28">
      <c r="A153">
        <v>152</v>
      </c>
      <c r="B153" t="str">
        <f>IFERROR(_xlfn.AGGREGATE(15,6,ROW(GLAPS컨테이너배차관리!$X$2:$X$20000)/(GLAPS컨테이너배차관리!$X$2:$X$20000&lt;&gt;""),A153),"")</f>
        <v/>
      </c>
      <c r="C153" t="str">
        <f>IF($B153="","",INT(IF(INDEX(GLAPS컨테이너배차관리!$K:$K,$B153)="","",INDEX(GLAPS컨테이너배차관리!$K:$K,$B153))))</f>
        <v/>
      </c>
      <c r="D153" t="str">
        <f>IF($B153="","",IF(ISNUMBER(SEARCH("이엘에스",IF(INDEX(GLAPS컨테이너배차관리!$AZ:$AZ,$B153)="","",INDEX(GLAPS컨테이너배차관리!$AZ:$AZ,$B153)))),"ELS솔루션",IF(INDEX(GLAPS컨테이너배차관리!$AZ:$AZ,$B153)="","",INDEX(GLAPS컨테이너배차관리!$AZ:$AZ,$B153))))</f>
        <v/>
      </c>
      <c r="E153" t="str">
        <f>IF($B153="","",IF(INDEX(GLAPS컨테이너배차관리!$L:$L,$B153)="","",INDEX(GLAPS컨테이너배차관리!$L:$L,$B153)))</f>
        <v/>
      </c>
      <c r="F153" t="str">
        <f>IF($B153="","",IF(HOUR(IF(INDEX(GLAPS컨테이너배차관리!$L:$L,$B153)="","",INDEX(GLAPS컨테이너배차관리!$L:$L,$B153)))&lt;12,"오전",IF(HOUR(IF(INDEX(GLAPS컨테이너배차관리!$L:$L,$B153)="","",INDEX(GLAPS컨테이너배차관리!$L:$L,$B153)))&lt;18,"오후","잔업")))</f>
        <v/>
      </c>
      <c r="G153" t="str">
        <f>IF($B153="","",IFERROR(INDEX(GLAPS정리!$G$3:$G$264,MATCH(IF(INDEX(GLAPS컨테이너배차관리!$BY:$BY,$B153)="","",INDEX(GLAPS컨테이너배차관리!$BY:$BY,$B153)),GLAPS정리!$H$3:$H$264,0)),TRIM(SUBSTITUTE(SUBSTITUTE(SUBSTITUTE(SUBSTITUTE(SUBSTITUTE(IF(INDEX(GLAPS컨테이너배차관리!$T:$T,$B153)="","",INDEX(GLAPS컨테이너배차관리!$T:$T,$B153)),"[GA]",""),"[GB]",""),"[GC]",""),"[KC]",""),"[GS]",""))))</f>
        <v/>
      </c>
      <c r="H153" t="str">
        <f>IF($B153="","",IFERROR(VLOOKUP(IF(INDEX(GLAPS컨테이너배차관리!$BY:$BY,$B153)="","",INDEX(GLAPS컨테이너배차관리!$BY:$BY,$B153)),GLAPS정리!$BT$3:$BV$200,3,0),""))</f>
        <v/>
      </c>
      <c r="I153" t="str">
        <f>IF($B153="","",LEFT(IF(INDEX(GLAPS컨테이너배차관리!$U:$U,$B153)="","",INDEX(GLAPS컨테이너배차관리!$U:$U,$B153)),FIND("/",IF(INDEX(GLAPS컨테이너배차관리!$U:$U,$B153)="","",INDEX(GLAPS컨테이너배차관리!$U:$U,$B153))&amp;"/")-1))</f>
        <v/>
      </c>
      <c r="J153" t="str">
        <f>IF($B153="","",IF(IF(INDEX(GLAPS컨테이너배차관리!$O:$O,$B153)="","",INDEX(GLAPS컨테이너배차관리!$O:$O,$B153))="EMC","EMA",IFERROR(INDEX(GLAPS정리!$A$2:$A$50,MATCH(IF(INDEX(GLAPS컨테이너배차관리!$O:$O,$B153)="","",INDEX(GLAPS컨테이너배차관리!$O:$O,$B153)),GLAPS정리!$D$2:$D$50,0)),IF(INDEX(GLAPS컨테이너배차관리!$O:$O,$B153)="","",INDEX(GLAPS컨테이너배차관리!$O:$O,$B153)))))</f>
        <v/>
      </c>
      <c r="K153" t="str">
        <f>IF($B153="","",IF(LEFT(IF(INDEX(GLAPS컨테이너배차관리!$Y:$Y,$B153)="","",INDEX(GLAPS컨테이너배차관리!$Y:$Y,$B153)),2)="22","20 Feet",IF(LEFT(IF(INDEX(GLAPS컨테이너배차관리!$Y:$Y,$B153)="","",INDEX(GLAPS컨테이너배차관리!$Y:$Y,$B153)),2)="42","40 Feet","40 Feet H")))</f>
        <v/>
      </c>
      <c r="L153" t="str">
        <f>IF($B153="","",IFERROR(INDEX(GLAPS정리!$BB$2:$BB$80,MATCH(IF(INDEX(GLAPS컨테이너배차관리!$BQ:$BQ,$B153)="","",INDEX(GLAPS컨테이너배차관리!$BQ:$BQ,$B153)),GLAPS정리!$BC$2:$BC$80,0)),IF(INDEX(GLAPS컨테이너배차관리!$BQ:$BQ,$B153)="","",INDEX(GLAPS컨테이너배차관리!$BQ:$BQ,$B153))))</f>
        <v/>
      </c>
      <c r="M153" t="str">
        <f>IF($B153="","",IFERROR(INDEX(GLAPS정리!$V$3:$V$180,MATCH(IF(INDEX(GLAPS컨테이너배차관리!$S:$S,$B153)="","",INDEX(GLAPS컨테이너배차관리!$S:$S,$B153)),GLAPS정리!$W$3:$W$180,0)),IF(INDEX(GLAPS컨테이너배차관리!$S:$S,$B153)="","",INDEX(GLAPS컨테이너배차관리!$S:$S,$B153))))</f>
        <v/>
      </c>
      <c r="N153" t="str">
        <f>IF($B153="","",IF(IF(INDEX(GLAPS컨테이너배차관리!$DF:$DF,$B153)="","",INDEX(GLAPS컨테이너배차관리!$DF:$DF,$B153))&lt;&gt;"",IF(INDEX(GLAPS컨테이너배차관리!$DF:$DF,$B153)="","",INDEX(GLAPS컨테이너배차관리!$DF:$DF,$B153)),IF(IF(INDEX(GLAPS컨테이너배차관리!$DG:$DG,$B153)="","",INDEX(GLAPS컨테이너배차관리!$DG:$DG,$B153))&lt;&gt;"",IF(INDEX(GLAPS컨테이너배차관리!$DG:$DG,$B153)="","",INDEX(GLAPS컨테이너배차관리!$DG:$DG,$B153)),"")))</f>
        <v/>
      </c>
      <c r="O153" t="str">
        <f>IF($B153="","",IF(INDEX(GLAPS컨테이너배차관리!$AB:$AB,$B153)="","",INDEX(GLAPS컨테이너배차관리!$AB:$AB,$B153)))</f>
        <v/>
      </c>
      <c r="P153" t="str">
        <f>IF($B153="","",IF(IF(INDEX(GLAPS컨테이너배차관리!$CP:$CP,$B153)="","",INDEX(GLAPS컨테이너배차관리!$CP:$CP,$B153))="","",IFERROR(INDEX(GLAPS정리!$BH$2:$BH$101,MATCH(IF(INDEX(GLAPS컨테이너배차관리!$CP:$CP,$B153)="","",INDEX(GLAPS컨테이너배차관리!$CP:$CP,$B153)),GLAPS정리!$BI$2:$BI$101,0)),IF(INDEX(GLAPS컨테이너배차관리!$CP:$CP,$B153)="","",INDEX(GLAPS컨테이너배차관리!$CP:$CP,$B153)))))</f>
        <v/>
      </c>
      <c r="Q153" t="str">
        <f>IF($B153="","",IF(AND(IF(INDEX(GLAPS컨테이너배차관리!$AK:$AK,$B153)="","",INDEX(GLAPS컨테이너배차관리!$AK:$AK,$B153))="Y",IF(INDEX(GLAPS컨테이너배차관리!$AI:$AI,$B153)="","",INDEX(GLAPS컨테이너배차관리!$AI:$AI,$B153))="Y"),"위험물리퍼",IF(IF(INDEX(GLAPS컨테이너배차관리!$AK:$AK,$B153)="","",INDEX(GLAPS컨테이너배차관리!$AK:$AK,$B153))="Y","위험물",IF(IF(INDEX(GLAPS컨테이너배차관리!$AI:$AI,$B153)="","",INDEX(GLAPS컨테이너배차관리!$AI:$AI,$B153))="Y","리퍼",""))))</f>
        <v/>
      </c>
      <c r="R153" t="str">
        <f>IF($B153="","",IF(LEFT(IF(INDEX(GLAPS컨테이너배차관리!$Y:$Y,$B153)="","",INDEX(GLAPS컨테이너배차관리!$Y:$Y,$B153)),2)="22",1,""))</f>
        <v/>
      </c>
      <c r="S153" t="str">
        <f>IF($B153="","",IF(LEFT(IF(INDEX(GLAPS컨테이너배차관리!$Y:$Y,$B153)="","",INDEX(GLAPS컨테이너배차관리!$Y:$Y,$B153)),2)="42",1,""))</f>
        <v/>
      </c>
      <c r="T153" t="str">
        <f>IF($B153="","",IF(LEFT(IF(INDEX(GLAPS컨테이너배차관리!$Y:$Y,$B153)="","",INDEX(GLAPS컨테이너배차관리!$Y:$Y,$B153)),2)="45",1,""))</f>
        <v/>
      </c>
      <c r="U153" t="str">
        <f>IF($B153="","",IF(INDEX(GLAPS컨테이너배차관리!$X:$X,$B153)="","",INDEX(GLAPS컨테이너배차관리!$X:$X,$B153)))</f>
        <v/>
      </c>
      <c r="V153" t="str">
        <f>IF($B153="","",IF(INDEX(GLAPS컨테이너배차관리!$Z:$Z,$B153)="","",INDEX(GLAPS컨테이너배차관리!$Z:$Z,$B153)))</f>
        <v/>
      </c>
      <c r="W153" t="str">
        <f>IF($B153="","",IF(IF(INDEX(GLAPS컨테이너배차관리!$DI:$DI,$B153)="","",INDEX(GLAPS컨테이너배차관리!$DI:$DI,$B153))&lt;&gt;"",IF(INDEX(GLAPS컨테이너배차관리!$DI:$DI,$B153)="","",INDEX(GLAPS컨테이너배차관리!$DI:$DI,$B153)),IF(IF(INDEX(GLAPS컨테이너배차관리!$DJ:$DJ,$B153)="","",INDEX(GLAPS컨테이너배차관리!$DJ:$DJ,$B153))&lt;&gt;"",IF(INDEX(GLAPS컨테이너배차관리!$DJ:$DJ,$B153)="","",INDEX(GLAPS컨테이너배차관리!$DJ:$DJ,$B153)),IF(IF(INDEX(GLAPS컨테이너배차관리!$DK:$DK,$B153)="","",INDEX(GLAPS컨테이너배차관리!$DK:$DK,$B153))&lt;&gt;"",IF(INDEX(GLAPS컨테이너배차관리!$DK:$DK,$B153)="","",INDEX(GLAPS컨테이너배차관리!$DK:$DK,$B153)),IF(IF(INDEX(GLAPS컨테이너배차관리!$DL:$DL,$B153)="","",INDEX(GLAPS컨테이너배차관리!$DL:$DL,$B153))&lt;&gt;"",IF(INDEX(GLAPS컨테이너배차관리!$DL:$DL,$B153)="","",INDEX(GLAPS컨테이너배차관리!$DL:$DL,$B153)),IF(IF(INDEX(GLAPS컨테이너배차관리!$DM:$DM,$B153)="","",INDEX(GLAPS컨테이너배차관리!$DM:$DM,$B153))&lt;&gt;"",IF(INDEX(GLAPS컨테이너배차관리!$DM:$DM,$B153)="","",INDEX(GLAPS컨테이너배차관리!$DM:$DM,$B153)),""))))))</f>
        <v/>
      </c>
      <c r="X153" t="str">
        <f>IF($B153="","",IF(INDEX(GLAPS컨테이너배차관리!$F:$F,$B153)="","",INDEX(GLAPS컨테이너배차관리!$F:$F,$B153)))</f>
        <v/>
      </c>
      <c r="Y153" t="str">
        <f>IF($B153="","",IF(IF(INDEX(GLAPS컨테이너배차관리!$M:$M,$B153)="","",INDEX(GLAPS컨테이너배차관리!$M:$M,$B153))&lt;&gt;"",IF(INDEX(GLAPS컨테이너배차관리!$M:$M,$B153)="","",INDEX(GLAPS컨테이너배차관리!$M:$M,$B153)),IF(IF(INDEX(GLAPS컨테이너배차관리!$N:$N,$B153)="","",INDEX(GLAPS컨테이너배차관리!$N:$N,$B153))&lt;&gt;"",IF(INDEX(GLAPS컨테이너배차관리!$N:$N,$B153)="","",INDEX(GLAPS컨테이너배차관리!$N:$N,$B153)),"")))</f>
        <v/>
      </c>
      <c r="Z153" t="str">
        <f>IF($B153="","",IF(IF(INDEX(GLAPS컨테이너배차관리!$CU:$CU,$B153)="","",INDEX(GLAPS컨테이너배차관리!$CU:$CU,$B153))="","",IFERROR(INT(IF(INDEX(GLAPS컨테이너배차관리!$CU:$CU,$B153)="","",INDEX(GLAPS컨테이너배차관리!$CU:$CU,$B153))),"")))</f>
        <v/>
      </c>
      <c r="AA153" t="str">
        <f>IF($B153="","",IF(AND(IF(INDEX(GLAPS컨테이너배차관리!$CL:$CL,$B153)="","",INDEX(GLAPS컨테이너배차관리!$CL:$CL,$B153))="",IF(INDEX(GLAPS컨테이너배차관리!$CM:$CM,$B153)="","",INDEX(GLAPS컨테이너배차관리!$CM:$CM,$B153))=""),"",IF(OR(IF(INDEX(GLAPS컨테이너배차관리!$CL:$CL,$B153)="","",INDEX(GLAPS컨테이너배차관리!$CL:$CL,$B153))="B000016649",ISNUMBER(SEARCH("B015",IF(INDEX(GLAPS컨테이너배차관리!$CM:$CM,$B153)="","",INDEX(GLAPS컨테이너배차관리!$CM:$CM,$B153)))),ISNUMBER(SEARCH("세방",IF(INDEX(GLAPS컨테이너배차관리!$CM:$CM,$B153)="","",INDEX(GLAPS컨테이너배차관리!$CM:$CM,$B153)))),ISNUMBER(SEARCH("SB",IF(INDEX(GLAPS컨테이너배차관리!$CM:$CM,$B153)="","",INDEX(GLAPS컨테이너배차관리!$CM:$CM,$B153))))),"세방","")))</f>
        <v/>
      </c>
      <c r="AB153" t="str">
        <f>IF($B153="","",IF(IF(INDEX(GLAPS컨테이너배차관리!$CM:$CM,$B153)="","",INDEX(GLAPS컨테이너배차관리!$CM:$CM,$B153))="","",IF(ISNUMBER(SEARCH("이지스두동",IF(INDEX(GLAPS컨테이너배차관리!$CM:$CM,$B153)="","",INDEX(GLAPS컨테이너배차관리!$CM:$CM,$B153)))),"이지스두동",IF(ISNUMBER(SEARCH("이지스녹산",IF(INDEX(GLAPS컨테이너배차관리!$CM:$CM,$B153)="","",INDEX(GLAPS컨테이너배차관리!$CM:$CM,$B153)))),"이지스녹산",IF(ISNUMBER(SEARCH("천우",IF(INDEX(GLAPS컨테이너배차관리!$CM:$CM,$B153)="","",INDEX(GLAPS컨테이너배차관리!$CM:$CM,$B153)))),"천우",IF(OR(ISNUMBER(SEARCH("청암",IF(INDEX(GLAPS컨테이너배차관리!$CM:$CM,$B153)="","",INDEX(GLAPS컨테이너배차관리!$CM:$CM,$B153)))),ISNUMBER(SEARCH("SB청암",IF(INDEX(GLAPS컨테이너배차관리!$CM:$CM,$B153)="","",INDEX(GLAPS컨테이너배차관리!$CM:$CM,$B153))))),"청암신항",IF(INDEX(GLAPS컨테이너배차관리!$CM:$CM,$B153)="","",INDEX(GLAPS컨테이너배차관리!$CM:$CM,$B153))))))))</f>
        <v/>
      </c>
    </row>
    <row r="154" spans="1:28">
      <c r="A154">
        <v>153</v>
      </c>
      <c r="B154" t="str">
        <f>IFERROR(_xlfn.AGGREGATE(15,6,ROW(GLAPS컨테이너배차관리!$X$2:$X$20000)/(GLAPS컨테이너배차관리!$X$2:$X$20000&lt;&gt;""),A154),"")</f>
        <v/>
      </c>
      <c r="C154" t="str">
        <f>IF($B154="","",INT(IF(INDEX(GLAPS컨테이너배차관리!$K:$K,$B154)="","",INDEX(GLAPS컨테이너배차관리!$K:$K,$B154))))</f>
        <v/>
      </c>
      <c r="D154" t="str">
        <f>IF($B154="","",IF(ISNUMBER(SEARCH("이엘에스",IF(INDEX(GLAPS컨테이너배차관리!$AZ:$AZ,$B154)="","",INDEX(GLAPS컨테이너배차관리!$AZ:$AZ,$B154)))),"ELS솔루션",IF(INDEX(GLAPS컨테이너배차관리!$AZ:$AZ,$B154)="","",INDEX(GLAPS컨테이너배차관리!$AZ:$AZ,$B154))))</f>
        <v/>
      </c>
      <c r="E154" t="str">
        <f>IF($B154="","",IF(INDEX(GLAPS컨테이너배차관리!$L:$L,$B154)="","",INDEX(GLAPS컨테이너배차관리!$L:$L,$B154)))</f>
        <v/>
      </c>
      <c r="F154" t="str">
        <f>IF($B154="","",IF(HOUR(IF(INDEX(GLAPS컨테이너배차관리!$L:$L,$B154)="","",INDEX(GLAPS컨테이너배차관리!$L:$L,$B154)))&lt;12,"오전",IF(HOUR(IF(INDEX(GLAPS컨테이너배차관리!$L:$L,$B154)="","",INDEX(GLAPS컨테이너배차관리!$L:$L,$B154)))&lt;18,"오후","잔업")))</f>
        <v/>
      </c>
      <c r="G154" t="str">
        <f>IF($B154="","",IFERROR(INDEX(GLAPS정리!$G$3:$G$264,MATCH(IF(INDEX(GLAPS컨테이너배차관리!$BY:$BY,$B154)="","",INDEX(GLAPS컨테이너배차관리!$BY:$BY,$B154)),GLAPS정리!$H$3:$H$264,0)),TRIM(SUBSTITUTE(SUBSTITUTE(SUBSTITUTE(SUBSTITUTE(SUBSTITUTE(IF(INDEX(GLAPS컨테이너배차관리!$T:$T,$B154)="","",INDEX(GLAPS컨테이너배차관리!$T:$T,$B154)),"[GA]",""),"[GB]",""),"[GC]",""),"[KC]",""),"[GS]",""))))</f>
        <v/>
      </c>
      <c r="H154" t="str">
        <f>IF($B154="","",IFERROR(VLOOKUP(IF(INDEX(GLAPS컨테이너배차관리!$BY:$BY,$B154)="","",INDEX(GLAPS컨테이너배차관리!$BY:$BY,$B154)),GLAPS정리!$BT$3:$BV$200,3,0),""))</f>
        <v/>
      </c>
      <c r="I154" t="str">
        <f>IF($B154="","",LEFT(IF(INDEX(GLAPS컨테이너배차관리!$U:$U,$B154)="","",INDEX(GLAPS컨테이너배차관리!$U:$U,$B154)),FIND("/",IF(INDEX(GLAPS컨테이너배차관리!$U:$U,$B154)="","",INDEX(GLAPS컨테이너배차관리!$U:$U,$B154))&amp;"/")-1))</f>
        <v/>
      </c>
      <c r="J154" t="str">
        <f>IF($B154="","",IF(IF(INDEX(GLAPS컨테이너배차관리!$O:$O,$B154)="","",INDEX(GLAPS컨테이너배차관리!$O:$O,$B154))="EMC","EMA",IFERROR(INDEX(GLAPS정리!$A$2:$A$50,MATCH(IF(INDEX(GLAPS컨테이너배차관리!$O:$O,$B154)="","",INDEX(GLAPS컨테이너배차관리!$O:$O,$B154)),GLAPS정리!$D$2:$D$50,0)),IF(INDEX(GLAPS컨테이너배차관리!$O:$O,$B154)="","",INDEX(GLAPS컨테이너배차관리!$O:$O,$B154)))))</f>
        <v/>
      </c>
      <c r="K154" t="str">
        <f>IF($B154="","",IF(LEFT(IF(INDEX(GLAPS컨테이너배차관리!$Y:$Y,$B154)="","",INDEX(GLAPS컨테이너배차관리!$Y:$Y,$B154)),2)="22","20 Feet",IF(LEFT(IF(INDEX(GLAPS컨테이너배차관리!$Y:$Y,$B154)="","",INDEX(GLAPS컨테이너배차관리!$Y:$Y,$B154)),2)="42","40 Feet","40 Feet H")))</f>
        <v/>
      </c>
      <c r="L154" t="str">
        <f>IF($B154="","",IFERROR(INDEX(GLAPS정리!$BB$2:$BB$80,MATCH(IF(INDEX(GLAPS컨테이너배차관리!$BQ:$BQ,$B154)="","",INDEX(GLAPS컨테이너배차관리!$BQ:$BQ,$B154)),GLAPS정리!$BC$2:$BC$80,0)),IF(INDEX(GLAPS컨테이너배차관리!$BQ:$BQ,$B154)="","",INDEX(GLAPS컨테이너배차관리!$BQ:$BQ,$B154))))</f>
        <v/>
      </c>
      <c r="M154" t="str">
        <f>IF($B154="","",IFERROR(INDEX(GLAPS정리!$V$3:$V$180,MATCH(IF(INDEX(GLAPS컨테이너배차관리!$S:$S,$B154)="","",INDEX(GLAPS컨테이너배차관리!$S:$S,$B154)),GLAPS정리!$W$3:$W$180,0)),IF(INDEX(GLAPS컨테이너배차관리!$S:$S,$B154)="","",INDEX(GLAPS컨테이너배차관리!$S:$S,$B154))))</f>
        <v/>
      </c>
      <c r="N154" t="str">
        <f>IF($B154="","",IF(IF(INDEX(GLAPS컨테이너배차관리!$DF:$DF,$B154)="","",INDEX(GLAPS컨테이너배차관리!$DF:$DF,$B154))&lt;&gt;"",IF(INDEX(GLAPS컨테이너배차관리!$DF:$DF,$B154)="","",INDEX(GLAPS컨테이너배차관리!$DF:$DF,$B154)),IF(IF(INDEX(GLAPS컨테이너배차관리!$DG:$DG,$B154)="","",INDEX(GLAPS컨테이너배차관리!$DG:$DG,$B154))&lt;&gt;"",IF(INDEX(GLAPS컨테이너배차관리!$DG:$DG,$B154)="","",INDEX(GLAPS컨테이너배차관리!$DG:$DG,$B154)),"")))</f>
        <v/>
      </c>
      <c r="O154" t="str">
        <f>IF($B154="","",IF(INDEX(GLAPS컨테이너배차관리!$AB:$AB,$B154)="","",INDEX(GLAPS컨테이너배차관리!$AB:$AB,$B154)))</f>
        <v/>
      </c>
      <c r="P154" t="str">
        <f>IF($B154="","",IF(IF(INDEX(GLAPS컨테이너배차관리!$CP:$CP,$B154)="","",INDEX(GLAPS컨테이너배차관리!$CP:$CP,$B154))="","",IFERROR(INDEX(GLAPS정리!$BH$2:$BH$101,MATCH(IF(INDEX(GLAPS컨테이너배차관리!$CP:$CP,$B154)="","",INDEX(GLAPS컨테이너배차관리!$CP:$CP,$B154)),GLAPS정리!$BI$2:$BI$101,0)),IF(INDEX(GLAPS컨테이너배차관리!$CP:$CP,$B154)="","",INDEX(GLAPS컨테이너배차관리!$CP:$CP,$B154)))))</f>
        <v/>
      </c>
      <c r="Q154" t="str">
        <f>IF($B154="","",IF(AND(IF(INDEX(GLAPS컨테이너배차관리!$AK:$AK,$B154)="","",INDEX(GLAPS컨테이너배차관리!$AK:$AK,$B154))="Y",IF(INDEX(GLAPS컨테이너배차관리!$AI:$AI,$B154)="","",INDEX(GLAPS컨테이너배차관리!$AI:$AI,$B154))="Y"),"위험물리퍼",IF(IF(INDEX(GLAPS컨테이너배차관리!$AK:$AK,$B154)="","",INDEX(GLAPS컨테이너배차관리!$AK:$AK,$B154))="Y","위험물",IF(IF(INDEX(GLAPS컨테이너배차관리!$AI:$AI,$B154)="","",INDEX(GLAPS컨테이너배차관리!$AI:$AI,$B154))="Y","리퍼",""))))</f>
        <v/>
      </c>
      <c r="R154" t="str">
        <f>IF($B154="","",IF(LEFT(IF(INDEX(GLAPS컨테이너배차관리!$Y:$Y,$B154)="","",INDEX(GLAPS컨테이너배차관리!$Y:$Y,$B154)),2)="22",1,""))</f>
        <v/>
      </c>
      <c r="S154" t="str">
        <f>IF($B154="","",IF(LEFT(IF(INDEX(GLAPS컨테이너배차관리!$Y:$Y,$B154)="","",INDEX(GLAPS컨테이너배차관리!$Y:$Y,$B154)),2)="42",1,""))</f>
        <v/>
      </c>
      <c r="T154" t="str">
        <f>IF($B154="","",IF(LEFT(IF(INDEX(GLAPS컨테이너배차관리!$Y:$Y,$B154)="","",INDEX(GLAPS컨테이너배차관리!$Y:$Y,$B154)),2)="45",1,""))</f>
        <v/>
      </c>
      <c r="U154" t="str">
        <f>IF($B154="","",IF(INDEX(GLAPS컨테이너배차관리!$X:$X,$B154)="","",INDEX(GLAPS컨테이너배차관리!$X:$X,$B154)))</f>
        <v/>
      </c>
      <c r="V154" t="str">
        <f>IF($B154="","",IF(INDEX(GLAPS컨테이너배차관리!$Z:$Z,$B154)="","",INDEX(GLAPS컨테이너배차관리!$Z:$Z,$B154)))</f>
        <v/>
      </c>
      <c r="W154" t="str">
        <f>IF($B154="","",IF(IF(INDEX(GLAPS컨테이너배차관리!$DI:$DI,$B154)="","",INDEX(GLAPS컨테이너배차관리!$DI:$DI,$B154))&lt;&gt;"",IF(INDEX(GLAPS컨테이너배차관리!$DI:$DI,$B154)="","",INDEX(GLAPS컨테이너배차관리!$DI:$DI,$B154)),IF(IF(INDEX(GLAPS컨테이너배차관리!$DJ:$DJ,$B154)="","",INDEX(GLAPS컨테이너배차관리!$DJ:$DJ,$B154))&lt;&gt;"",IF(INDEX(GLAPS컨테이너배차관리!$DJ:$DJ,$B154)="","",INDEX(GLAPS컨테이너배차관리!$DJ:$DJ,$B154)),IF(IF(INDEX(GLAPS컨테이너배차관리!$DK:$DK,$B154)="","",INDEX(GLAPS컨테이너배차관리!$DK:$DK,$B154))&lt;&gt;"",IF(INDEX(GLAPS컨테이너배차관리!$DK:$DK,$B154)="","",INDEX(GLAPS컨테이너배차관리!$DK:$DK,$B154)),IF(IF(INDEX(GLAPS컨테이너배차관리!$DL:$DL,$B154)="","",INDEX(GLAPS컨테이너배차관리!$DL:$DL,$B154))&lt;&gt;"",IF(INDEX(GLAPS컨테이너배차관리!$DL:$DL,$B154)="","",INDEX(GLAPS컨테이너배차관리!$DL:$DL,$B154)),IF(IF(INDEX(GLAPS컨테이너배차관리!$DM:$DM,$B154)="","",INDEX(GLAPS컨테이너배차관리!$DM:$DM,$B154))&lt;&gt;"",IF(INDEX(GLAPS컨테이너배차관리!$DM:$DM,$B154)="","",INDEX(GLAPS컨테이너배차관리!$DM:$DM,$B154)),""))))))</f>
        <v/>
      </c>
      <c r="X154" t="str">
        <f>IF($B154="","",IF(INDEX(GLAPS컨테이너배차관리!$F:$F,$B154)="","",INDEX(GLAPS컨테이너배차관리!$F:$F,$B154)))</f>
        <v/>
      </c>
      <c r="Y154" t="str">
        <f>IF($B154="","",IF(IF(INDEX(GLAPS컨테이너배차관리!$M:$M,$B154)="","",INDEX(GLAPS컨테이너배차관리!$M:$M,$B154))&lt;&gt;"",IF(INDEX(GLAPS컨테이너배차관리!$M:$M,$B154)="","",INDEX(GLAPS컨테이너배차관리!$M:$M,$B154)),IF(IF(INDEX(GLAPS컨테이너배차관리!$N:$N,$B154)="","",INDEX(GLAPS컨테이너배차관리!$N:$N,$B154))&lt;&gt;"",IF(INDEX(GLAPS컨테이너배차관리!$N:$N,$B154)="","",INDEX(GLAPS컨테이너배차관리!$N:$N,$B154)),"")))</f>
        <v/>
      </c>
      <c r="Z154" t="str">
        <f>IF($B154="","",IF(IF(INDEX(GLAPS컨테이너배차관리!$CU:$CU,$B154)="","",INDEX(GLAPS컨테이너배차관리!$CU:$CU,$B154))="","",IFERROR(INT(IF(INDEX(GLAPS컨테이너배차관리!$CU:$CU,$B154)="","",INDEX(GLAPS컨테이너배차관리!$CU:$CU,$B154))),"")))</f>
        <v/>
      </c>
      <c r="AA154" t="str">
        <f>IF($B154="","",IF(AND(IF(INDEX(GLAPS컨테이너배차관리!$CL:$CL,$B154)="","",INDEX(GLAPS컨테이너배차관리!$CL:$CL,$B154))="",IF(INDEX(GLAPS컨테이너배차관리!$CM:$CM,$B154)="","",INDEX(GLAPS컨테이너배차관리!$CM:$CM,$B154))=""),"",IF(OR(IF(INDEX(GLAPS컨테이너배차관리!$CL:$CL,$B154)="","",INDEX(GLAPS컨테이너배차관리!$CL:$CL,$B154))="B000016649",ISNUMBER(SEARCH("B015",IF(INDEX(GLAPS컨테이너배차관리!$CM:$CM,$B154)="","",INDEX(GLAPS컨테이너배차관리!$CM:$CM,$B154)))),ISNUMBER(SEARCH("세방",IF(INDEX(GLAPS컨테이너배차관리!$CM:$CM,$B154)="","",INDEX(GLAPS컨테이너배차관리!$CM:$CM,$B154)))),ISNUMBER(SEARCH("SB",IF(INDEX(GLAPS컨테이너배차관리!$CM:$CM,$B154)="","",INDEX(GLAPS컨테이너배차관리!$CM:$CM,$B154))))),"세방","")))</f>
        <v/>
      </c>
      <c r="AB154" t="str">
        <f>IF($B154="","",IF(IF(INDEX(GLAPS컨테이너배차관리!$CM:$CM,$B154)="","",INDEX(GLAPS컨테이너배차관리!$CM:$CM,$B154))="","",IF(ISNUMBER(SEARCH("이지스두동",IF(INDEX(GLAPS컨테이너배차관리!$CM:$CM,$B154)="","",INDEX(GLAPS컨테이너배차관리!$CM:$CM,$B154)))),"이지스두동",IF(ISNUMBER(SEARCH("이지스녹산",IF(INDEX(GLAPS컨테이너배차관리!$CM:$CM,$B154)="","",INDEX(GLAPS컨테이너배차관리!$CM:$CM,$B154)))),"이지스녹산",IF(ISNUMBER(SEARCH("천우",IF(INDEX(GLAPS컨테이너배차관리!$CM:$CM,$B154)="","",INDEX(GLAPS컨테이너배차관리!$CM:$CM,$B154)))),"천우",IF(OR(ISNUMBER(SEARCH("청암",IF(INDEX(GLAPS컨테이너배차관리!$CM:$CM,$B154)="","",INDEX(GLAPS컨테이너배차관리!$CM:$CM,$B154)))),ISNUMBER(SEARCH("SB청암",IF(INDEX(GLAPS컨테이너배차관리!$CM:$CM,$B154)="","",INDEX(GLAPS컨테이너배차관리!$CM:$CM,$B154))))),"청암신항",IF(INDEX(GLAPS컨테이너배차관리!$CM:$CM,$B154)="","",INDEX(GLAPS컨테이너배차관리!$CM:$CM,$B154))))))))</f>
        <v/>
      </c>
    </row>
    <row r="155" spans="1:28">
      <c r="A155">
        <v>154</v>
      </c>
      <c r="B155" t="str">
        <f>IFERROR(_xlfn.AGGREGATE(15,6,ROW(GLAPS컨테이너배차관리!$X$2:$X$20000)/(GLAPS컨테이너배차관리!$X$2:$X$20000&lt;&gt;""),A155),"")</f>
        <v/>
      </c>
      <c r="C155" t="str">
        <f>IF($B155="","",INT(IF(INDEX(GLAPS컨테이너배차관리!$K:$K,$B155)="","",INDEX(GLAPS컨테이너배차관리!$K:$K,$B155))))</f>
        <v/>
      </c>
      <c r="D155" t="str">
        <f>IF($B155="","",IF(ISNUMBER(SEARCH("이엘에스",IF(INDEX(GLAPS컨테이너배차관리!$AZ:$AZ,$B155)="","",INDEX(GLAPS컨테이너배차관리!$AZ:$AZ,$B155)))),"ELS솔루션",IF(INDEX(GLAPS컨테이너배차관리!$AZ:$AZ,$B155)="","",INDEX(GLAPS컨테이너배차관리!$AZ:$AZ,$B155))))</f>
        <v/>
      </c>
      <c r="E155" t="str">
        <f>IF($B155="","",IF(INDEX(GLAPS컨테이너배차관리!$L:$L,$B155)="","",INDEX(GLAPS컨테이너배차관리!$L:$L,$B155)))</f>
        <v/>
      </c>
      <c r="F155" t="str">
        <f>IF($B155="","",IF(HOUR(IF(INDEX(GLAPS컨테이너배차관리!$L:$L,$B155)="","",INDEX(GLAPS컨테이너배차관리!$L:$L,$B155)))&lt;12,"오전",IF(HOUR(IF(INDEX(GLAPS컨테이너배차관리!$L:$L,$B155)="","",INDEX(GLAPS컨테이너배차관리!$L:$L,$B155)))&lt;18,"오후","잔업")))</f>
        <v/>
      </c>
      <c r="G155" t="str">
        <f>IF($B155="","",IFERROR(INDEX(GLAPS정리!$G$3:$G$264,MATCH(IF(INDEX(GLAPS컨테이너배차관리!$BY:$BY,$B155)="","",INDEX(GLAPS컨테이너배차관리!$BY:$BY,$B155)),GLAPS정리!$H$3:$H$264,0)),TRIM(SUBSTITUTE(SUBSTITUTE(SUBSTITUTE(SUBSTITUTE(SUBSTITUTE(IF(INDEX(GLAPS컨테이너배차관리!$T:$T,$B155)="","",INDEX(GLAPS컨테이너배차관리!$T:$T,$B155)),"[GA]",""),"[GB]",""),"[GC]",""),"[KC]",""),"[GS]",""))))</f>
        <v/>
      </c>
      <c r="H155" t="str">
        <f>IF($B155="","",IFERROR(VLOOKUP(IF(INDEX(GLAPS컨테이너배차관리!$BY:$BY,$B155)="","",INDEX(GLAPS컨테이너배차관리!$BY:$BY,$B155)),GLAPS정리!$BT$3:$BV$200,3,0),""))</f>
        <v/>
      </c>
      <c r="I155" t="str">
        <f>IF($B155="","",LEFT(IF(INDEX(GLAPS컨테이너배차관리!$U:$U,$B155)="","",INDEX(GLAPS컨테이너배차관리!$U:$U,$B155)),FIND("/",IF(INDEX(GLAPS컨테이너배차관리!$U:$U,$B155)="","",INDEX(GLAPS컨테이너배차관리!$U:$U,$B155))&amp;"/")-1))</f>
        <v/>
      </c>
      <c r="J155" t="str">
        <f>IF($B155="","",IF(IF(INDEX(GLAPS컨테이너배차관리!$O:$O,$B155)="","",INDEX(GLAPS컨테이너배차관리!$O:$O,$B155))="EMC","EMA",IFERROR(INDEX(GLAPS정리!$A$2:$A$50,MATCH(IF(INDEX(GLAPS컨테이너배차관리!$O:$O,$B155)="","",INDEX(GLAPS컨테이너배차관리!$O:$O,$B155)),GLAPS정리!$D$2:$D$50,0)),IF(INDEX(GLAPS컨테이너배차관리!$O:$O,$B155)="","",INDEX(GLAPS컨테이너배차관리!$O:$O,$B155)))))</f>
        <v/>
      </c>
      <c r="K155" t="str">
        <f>IF($B155="","",IF(LEFT(IF(INDEX(GLAPS컨테이너배차관리!$Y:$Y,$B155)="","",INDEX(GLAPS컨테이너배차관리!$Y:$Y,$B155)),2)="22","20 Feet",IF(LEFT(IF(INDEX(GLAPS컨테이너배차관리!$Y:$Y,$B155)="","",INDEX(GLAPS컨테이너배차관리!$Y:$Y,$B155)),2)="42","40 Feet","40 Feet H")))</f>
        <v/>
      </c>
      <c r="L155" t="str">
        <f>IF($B155="","",IFERROR(INDEX(GLAPS정리!$BB$2:$BB$80,MATCH(IF(INDEX(GLAPS컨테이너배차관리!$BQ:$BQ,$B155)="","",INDEX(GLAPS컨테이너배차관리!$BQ:$BQ,$B155)),GLAPS정리!$BC$2:$BC$80,0)),IF(INDEX(GLAPS컨테이너배차관리!$BQ:$BQ,$B155)="","",INDEX(GLAPS컨테이너배차관리!$BQ:$BQ,$B155))))</f>
        <v/>
      </c>
      <c r="M155" t="str">
        <f>IF($B155="","",IFERROR(INDEX(GLAPS정리!$V$3:$V$180,MATCH(IF(INDEX(GLAPS컨테이너배차관리!$S:$S,$B155)="","",INDEX(GLAPS컨테이너배차관리!$S:$S,$B155)),GLAPS정리!$W$3:$W$180,0)),IF(INDEX(GLAPS컨테이너배차관리!$S:$S,$B155)="","",INDEX(GLAPS컨테이너배차관리!$S:$S,$B155))))</f>
        <v/>
      </c>
      <c r="N155" t="str">
        <f>IF($B155="","",IF(IF(INDEX(GLAPS컨테이너배차관리!$DF:$DF,$B155)="","",INDEX(GLAPS컨테이너배차관리!$DF:$DF,$B155))&lt;&gt;"",IF(INDEX(GLAPS컨테이너배차관리!$DF:$DF,$B155)="","",INDEX(GLAPS컨테이너배차관리!$DF:$DF,$B155)),IF(IF(INDEX(GLAPS컨테이너배차관리!$DG:$DG,$B155)="","",INDEX(GLAPS컨테이너배차관리!$DG:$DG,$B155))&lt;&gt;"",IF(INDEX(GLAPS컨테이너배차관리!$DG:$DG,$B155)="","",INDEX(GLAPS컨테이너배차관리!$DG:$DG,$B155)),"")))</f>
        <v/>
      </c>
      <c r="O155" t="str">
        <f>IF($B155="","",IF(INDEX(GLAPS컨테이너배차관리!$AB:$AB,$B155)="","",INDEX(GLAPS컨테이너배차관리!$AB:$AB,$B155)))</f>
        <v/>
      </c>
      <c r="P155" t="str">
        <f>IF($B155="","",IF(IF(INDEX(GLAPS컨테이너배차관리!$CP:$CP,$B155)="","",INDEX(GLAPS컨테이너배차관리!$CP:$CP,$B155))="","",IFERROR(INDEX(GLAPS정리!$BH$2:$BH$101,MATCH(IF(INDEX(GLAPS컨테이너배차관리!$CP:$CP,$B155)="","",INDEX(GLAPS컨테이너배차관리!$CP:$CP,$B155)),GLAPS정리!$BI$2:$BI$101,0)),IF(INDEX(GLAPS컨테이너배차관리!$CP:$CP,$B155)="","",INDEX(GLAPS컨테이너배차관리!$CP:$CP,$B155)))))</f>
        <v/>
      </c>
      <c r="Q155" t="str">
        <f>IF($B155="","",IF(AND(IF(INDEX(GLAPS컨테이너배차관리!$AK:$AK,$B155)="","",INDEX(GLAPS컨테이너배차관리!$AK:$AK,$B155))="Y",IF(INDEX(GLAPS컨테이너배차관리!$AI:$AI,$B155)="","",INDEX(GLAPS컨테이너배차관리!$AI:$AI,$B155))="Y"),"위험물리퍼",IF(IF(INDEX(GLAPS컨테이너배차관리!$AK:$AK,$B155)="","",INDEX(GLAPS컨테이너배차관리!$AK:$AK,$B155))="Y","위험물",IF(IF(INDEX(GLAPS컨테이너배차관리!$AI:$AI,$B155)="","",INDEX(GLAPS컨테이너배차관리!$AI:$AI,$B155))="Y","리퍼",""))))</f>
        <v/>
      </c>
      <c r="R155" t="str">
        <f>IF($B155="","",IF(LEFT(IF(INDEX(GLAPS컨테이너배차관리!$Y:$Y,$B155)="","",INDEX(GLAPS컨테이너배차관리!$Y:$Y,$B155)),2)="22",1,""))</f>
        <v/>
      </c>
      <c r="S155" t="str">
        <f>IF($B155="","",IF(LEFT(IF(INDEX(GLAPS컨테이너배차관리!$Y:$Y,$B155)="","",INDEX(GLAPS컨테이너배차관리!$Y:$Y,$B155)),2)="42",1,""))</f>
        <v/>
      </c>
      <c r="T155" t="str">
        <f>IF($B155="","",IF(LEFT(IF(INDEX(GLAPS컨테이너배차관리!$Y:$Y,$B155)="","",INDEX(GLAPS컨테이너배차관리!$Y:$Y,$B155)),2)="45",1,""))</f>
        <v/>
      </c>
      <c r="U155" t="str">
        <f>IF($B155="","",IF(INDEX(GLAPS컨테이너배차관리!$X:$X,$B155)="","",INDEX(GLAPS컨테이너배차관리!$X:$X,$B155)))</f>
        <v/>
      </c>
      <c r="V155" t="str">
        <f>IF($B155="","",IF(INDEX(GLAPS컨테이너배차관리!$Z:$Z,$B155)="","",INDEX(GLAPS컨테이너배차관리!$Z:$Z,$B155)))</f>
        <v/>
      </c>
      <c r="W155" t="str">
        <f>IF($B155="","",IF(IF(INDEX(GLAPS컨테이너배차관리!$DI:$DI,$B155)="","",INDEX(GLAPS컨테이너배차관리!$DI:$DI,$B155))&lt;&gt;"",IF(INDEX(GLAPS컨테이너배차관리!$DI:$DI,$B155)="","",INDEX(GLAPS컨테이너배차관리!$DI:$DI,$B155)),IF(IF(INDEX(GLAPS컨테이너배차관리!$DJ:$DJ,$B155)="","",INDEX(GLAPS컨테이너배차관리!$DJ:$DJ,$B155))&lt;&gt;"",IF(INDEX(GLAPS컨테이너배차관리!$DJ:$DJ,$B155)="","",INDEX(GLAPS컨테이너배차관리!$DJ:$DJ,$B155)),IF(IF(INDEX(GLAPS컨테이너배차관리!$DK:$DK,$B155)="","",INDEX(GLAPS컨테이너배차관리!$DK:$DK,$B155))&lt;&gt;"",IF(INDEX(GLAPS컨테이너배차관리!$DK:$DK,$B155)="","",INDEX(GLAPS컨테이너배차관리!$DK:$DK,$B155)),IF(IF(INDEX(GLAPS컨테이너배차관리!$DL:$DL,$B155)="","",INDEX(GLAPS컨테이너배차관리!$DL:$DL,$B155))&lt;&gt;"",IF(INDEX(GLAPS컨테이너배차관리!$DL:$DL,$B155)="","",INDEX(GLAPS컨테이너배차관리!$DL:$DL,$B155)),IF(IF(INDEX(GLAPS컨테이너배차관리!$DM:$DM,$B155)="","",INDEX(GLAPS컨테이너배차관리!$DM:$DM,$B155))&lt;&gt;"",IF(INDEX(GLAPS컨테이너배차관리!$DM:$DM,$B155)="","",INDEX(GLAPS컨테이너배차관리!$DM:$DM,$B155)),""))))))</f>
        <v/>
      </c>
      <c r="X155" t="str">
        <f>IF($B155="","",IF(INDEX(GLAPS컨테이너배차관리!$F:$F,$B155)="","",INDEX(GLAPS컨테이너배차관리!$F:$F,$B155)))</f>
        <v/>
      </c>
      <c r="Y155" t="str">
        <f>IF($B155="","",IF(IF(INDEX(GLAPS컨테이너배차관리!$M:$M,$B155)="","",INDEX(GLAPS컨테이너배차관리!$M:$M,$B155))&lt;&gt;"",IF(INDEX(GLAPS컨테이너배차관리!$M:$M,$B155)="","",INDEX(GLAPS컨테이너배차관리!$M:$M,$B155)),IF(IF(INDEX(GLAPS컨테이너배차관리!$N:$N,$B155)="","",INDEX(GLAPS컨테이너배차관리!$N:$N,$B155))&lt;&gt;"",IF(INDEX(GLAPS컨테이너배차관리!$N:$N,$B155)="","",INDEX(GLAPS컨테이너배차관리!$N:$N,$B155)),"")))</f>
        <v/>
      </c>
      <c r="Z155" t="str">
        <f>IF($B155="","",IF(IF(INDEX(GLAPS컨테이너배차관리!$CU:$CU,$B155)="","",INDEX(GLAPS컨테이너배차관리!$CU:$CU,$B155))="","",IFERROR(INT(IF(INDEX(GLAPS컨테이너배차관리!$CU:$CU,$B155)="","",INDEX(GLAPS컨테이너배차관리!$CU:$CU,$B155))),"")))</f>
        <v/>
      </c>
      <c r="AA155" t="str">
        <f>IF($B155="","",IF(AND(IF(INDEX(GLAPS컨테이너배차관리!$CL:$CL,$B155)="","",INDEX(GLAPS컨테이너배차관리!$CL:$CL,$B155))="",IF(INDEX(GLAPS컨테이너배차관리!$CM:$CM,$B155)="","",INDEX(GLAPS컨테이너배차관리!$CM:$CM,$B155))=""),"",IF(OR(IF(INDEX(GLAPS컨테이너배차관리!$CL:$CL,$B155)="","",INDEX(GLAPS컨테이너배차관리!$CL:$CL,$B155))="B000016649",ISNUMBER(SEARCH("B015",IF(INDEX(GLAPS컨테이너배차관리!$CM:$CM,$B155)="","",INDEX(GLAPS컨테이너배차관리!$CM:$CM,$B155)))),ISNUMBER(SEARCH("세방",IF(INDEX(GLAPS컨테이너배차관리!$CM:$CM,$B155)="","",INDEX(GLAPS컨테이너배차관리!$CM:$CM,$B155)))),ISNUMBER(SEARCH("SB",IF(INDEX(GLAPS컨테이너배차관리!$CM:$CM,$B155)="","",INDEX(GLAPS컨테이너배차관리!$CM:$CM,$B155))))),"세방","")))</f>
        <v/>
      </c>
      <c r="AB155" t="str">
        <f>IF($B155="","",IF(IF(INDEX(GLAPS컨테이너배차관리!$CM:$CM,$B155)="","",INDEX(GLAPS컨테이너배차관리!$CM:$CM,$B155))="","",IF(ISNUMBER(SEARCH("이지스두동",IF(INDEX(GLAPS컨테이너배차관리!$CM:$CM,$B155)="","",INDEX(GLAPS컨테이너배차관리!$CM:$CM,$B155)))),"이지스두동",IF(ISNUMBER(SEARCH("이지스녹산",IF(INDEX(GLAPS컨테이너배차관리!$CM:$CM,$B155)="","",INDEX(GLAPS컨테이너배차관리!$CM:$CM,$B155)))),"이지스녹산",IF(ISNUMBER(SEARCH("천우",IF(INDEX(GLAPS컨테이너배차관리!$CM:$CM,$B155)="","",INDEX(GLAPS컨테이너배차관리!$CM:$CM,$B155)))),"천우",IF(OR(ISNUMBER(SEARCH("청암",IF(INDEX(GLAPS컨테이너배차관리!$CM:$CM,$B155)="","",INDEX(GLAPS컨테이너배차관리!$CM:$CM,$B155)))),ISNUMBER(SEARCH("SB청암",IF(INDEX(GLAPS컨테이너배차관리!$CM:$CM,$B155)="","",INDEX(GLAPS컨테이너배차관리!$CM:$CM,$B155))))),"청암신항",IF(INDEX(GLAPS컨테이너배차관리!$CM:$CM,$B155)="","",INDEX(GLAPS컨테이너배차관리!$CM:$CM,$B155))))))))</f>
        <v/>
      </c>
    </row>
    <row r="156" spans="1:28">
      <c r="A156">
        <v>155</v>
      </c>
      <c r="B156" t="str">
        <f>IFERROR(_xlfn.AGGREGATE(15,6,ROW(GLAPS컨테이너배차관리!$X$2:$X$20000)/(GLAPS컨테이너배차관리!$X$2:$X$20000&lt;&gt;""),A156),"")</f>
        <v/>
      </c>
      <c r="C156" t="str">
        <f>IF($B156="","",INT(IF(INDEX(GLAPS컨테이너배차관리!$K:$K,$B156)="","",INDEX(GLAPS컨테이너배차관리!$K:$K,$B156))))</f>
        <v/>
      </c>
      <c r="D156" t="str">
        <f>IF($B156="","",IF(ISNUMBER(SEARCH("이엘에스",IF(INDEX(GLAPS컨테이너배차관리!$AZ:$AZ,$B156)="","",INDEX(GLAPS컨테이너배차관리!$AZ:$AZ,$B156)))),"ELS솔루션",IF(INDEX(GLAPS컨테이너배차관리!$AZ:$AZ,$B156)="","",INDEX(GLAPS컨테이너배차관리!$AZ:$AZ,$B156))))</f>
        <v/>
      </c>
      <c r="E156" t="str">
        <f>IF($B156="","",IF(INDEX(GLAPS컨테이너배차관리!$L:$L,$B156)="","",INDEX(GLAPS컨테이너배차관리!$L:$L,$B156)))</f>
        <v/>
      </c>
      <c r="F156" t="str">
        <f>IF($B156="","",IF(HOUR(IF(INDEX(GLAPS컨테이너배차관리!$L:$L,$B156)="","",INDEX(GLAPS컨테이너배차관리!$L:$L,$B156)))&lt;12,"오전",IF(HOUR(IF(INDEX(GLAPS컨테이너배차관리!$L:$L,$B156)="","",INDEX(GLAPS컨테이너배차관리!$L:$L,$B156)))&lt;18,"오후","잔업")))</f>
        <v/>
      </c>
      <c r="G156" t="str">
        <f>IF($B156="","",IFERROR(INDEX(GLAPS정리!$G$3:$G$264,MATCH(IF(INDEX(GLAPS컨테이너배차관리!$BY:$BY,$B156)="","",INDEX(GLAPS컨테이너배차관리!$BY:$BY,$B156)),GLAPS정리!$H$3:$H$264,0)),TRIM(SUBSTITUTE(SUBSTITUTE(SUBSTITUTE(SUBSTITUTE(SUBSTITUTE(IF(INDEX(GLAPS컨테이너배차관리!$T:$T,$B156)="","",INDEX(GLAPS컨테이너배차관리!$T:$T,$B156)),"[GA]",""),"[GB]",""),"[GC]",""),"[KC]",""),"[GS]",""))))</f>
        <v/>
      </c>
      <c r="H156" t="str">
        <f>IF($B156="","",IFERROR(VLOOKUP(IF(INDEX(GLAPS컨테이너배차관리!$BY:$BY,$B156)="","",INDEX(GLAPS컨테이너배차관리!$BY:$BY,$B156)),GLAPS정리!$BT$3:$BV$200,3,0),""))</f>
        <v/>
      </c>
      <c r="I156" t="str">
        <f>IF($B156="","",LEFT(IF(INDEX(GLAPS컨테이너배차관리!$U:$U,$B156)="","",INDEX(GLAPS컨테이너배차관리!$U:$U,$B156)),FIND("/",IF(INDEX(GLAPS컨테이너배차관리!$U:$U,$B156)="","",INDEX(GLAPS컨테이너배차관리!$U:$U,$B156))&amp;"/")-1))</f>
        <v/>
      </c>
      <c r="J156" t="str">
        <f>IF($B156="","",IF(IF(INDEX(GLAPS컨테이너배차관리!$O:$O,$B156)="","",INDEX(GLAPS컨테이너배차관리!$O:$O,$B156))="EMC","EMA",IFERROR(INDEX(GLAPS정리!$A$2:$A$50,MATCH(IF(INDEX(GLAPS컨테이너배차관리!$O:$O,$B156)="","",INDEX(GLAPS컨테이너배차관리!$O:$O,$B156)),GLAPS정리!$D$2:$D$50,0)),IF(INDEX(GLAPS컨테이너배차관리!$O:$O,$B156)="","",INDEX(GLAPS컨테이너배차관리!$O:$O,$B156)))))</f>
        <v/>
      </c>
      <c r="K156" t="str">
        <f>IF($B156="","",IF(LEFT(IF(INDEX(GLAPS컨테이너배차관리!$Y:$Y,$B156)="","",INDEX(GLAPS컨테이너배차관리!$Y:$Y,$B156)),2)="22","20 Feet",IF(LEFT(IF(INDEX(GLAPS컨테이너배차관리!$Y:$Y,$B156)="","",INDEX(GLAPS컨테이너배차관리!$Y:$Y,$B156)),2)="42","40 Feet","40 Feet H")))</f>
        <v/>
      </c>
      <c r="L156" t="str">
        <f>IF($B156="","",IFERROR(INDEX(GLAPS정리!$BB$2:$BB$80,MATCH(IF(INDEX(GLAPS컨테이너배차관리!$BQ:$BQ,$B156)="","",INDEX(GLAPS컨테이너배차관리!$BQ:$BQ,$B156)),GLAPS정리!$BC$2:$BC$80,0)),IF(INDEX(GLAPS컨테이너배차관리!$BQ:$BQ,$B156)="","",INDEX(GLAPS컨테이너배차관리!$BQ:$BQ,$B156))))</f>
        <v/>
      </c>
      <c r="M156" t="str">
        <f>IF($B156="","",IFERROR(INDEX(GLAPS정리!$V$3:$V$180,MATCH(IF(INDEX(GLAPS컨테이너배차관리!$S:$S,$B156)="","",INDEX(GLAPS컨테이너배차관리!$S:$S,$B156)),GLAPS정리!$W$3:$W$180,0)),IF(INDEX(GLAPS컨테이너배차관리!$S:$S,$B156)="","",INDEX(GLAPS컨테이너배차관리!$S:$S,$B156))))</f>
        <v/>
      </c>
      <c r="N156" t="str">
        <f>IF($B156="","",IF(IF(INDEX(GLAPS컨테이너배차관리!$DF:$DF,$B156)="","",INDEX(GLAPS컨테이너배차관리!$DF:$DF,$B156))&lt;&gt;"",IF(INDEX(GLAPS컨테이너배차관리!$DF:$DF,$B156)="","",INDEX(GLAPS컨테이너배차관리!$DF:$DF,$B156)),IF(IF(INDEX(GLAPS컨테이너배차관리!$DG:$DG,$B156)="","",INDEX(GLAPS컨테이너배차관리!$DG:$DG,$B156))&lt;&gt;"",IF(INDEX(GLAPS컨테이너배차관리!$DG:$DG,$B156)="","",INDEX(GLAPS컨테이너배차관리!$DG:$DG,$B156)),"")))</f>
        <v/>
      </c>
      <c r="O156" t="str">
        <f>IF($B156="","",IF(INDEX(GLAPS컨테이너배차관리!$AB:$AB,$B156)="","",INDEX(GLAPS컨테이너배차관리!$AB:$AB,$B156)))</f>
        <v/>
      </c>
      <c r="P156" t="str">
        <f>IF($B156="","",IF(IF(INDEX(GLAPS컨테이너배차관리!$CP:$CP,$B156)="","",INDEX(GLAPS컨테이너배차관리!$CP:$CP,$B156))="","",IFERROR(INDEX(GLAPS정리!$BH$2:$BH$101,MATCH(IF(INDEX(GLAPS컨테이너배차관리!$CP:$CP,$B156)="","",INDEX(GLAPS컨테이너배차관리!$CP:$CP,$B156)),GLAPS정리!$BI$2:$BI$101,0)),IF(INDEX(GLAPS컨테이너배차관리!$CP:$CP,$B156)="","",INDEX(GLAPS컨테이너배차관리!$CP:$CP,$B156)))))</f>
        <v/>
      </c>
      <c r="Q156" t="str">
        <f>IF($B156="","",IF(AND(IF(INDEX(GLAPS컨테이너배차관리!$AK:$AK,$B156)="","",INDEX(GLAPS컨테이너배차관리!$AK:$AK,$B156))="Y",IF(INDEX(GLAPS컨테이너배차관리!$AI:$AI,$B156)="","",INDEX(GLAPS컨테이너배차관리!$AI:$AI,$B156))="Y"),"위험물리퍼",IF(IF(INDEX(GLAPS컨테이너배차관리!$AK:$AK,$B156)="","",INDEX(GLAPS컨테이너배차관리!$AK:$AK,$B156))="Y","위험물",IF(IF(INDEX(GLAPS컨테이너배차관리!$AI:$AI,$B156)="","",INDEX(GLAPS컨테이너배차관리!$AI:$AI,$B156))="Y","리퍼",""))))</f>
        <v/>
      </c>
      <c r="R156" t="str">
        <f>IF($B156="","",IF(LEFT(IF(INDEX(GLAPS컨테이너배차관리!$Y:$Y,$B156)="","",INDEX(GLAPS컨테이너배차관리!$Y:$Y,$B156)),2)="22",1,""))</f>
        <v/>
      </c>
      <c r="S156" t="str">
        <f>IF($B156="","",IF(LEFT(IF(INDEX(GLAPS컨테이너배차관리!$Y:$Y,$B156)="","",INDEX(GLAPS컨테이너배차관리!$Y:$Y,$B156)),2)="42",1,""))</f>
        <v/>
      </c>
      <c r="T156" t="str">
        <f>IF($B156="","",IF(LEFT(IF(INDEX(GLAPS컨테이너배차관리!$Y:$Y,$B156)="","",INDEX(GLAPS컨테이너배차관리!$Y:$Y,$B156)),2)="45",1,""))</f>
        <v/>
      </c>
      <c r="U156" t="str">
        <f>IF($B156="","",IF(INDEX(GLAPS컨테이너배차관리!$X:$X,$B156)="","",INDEX(GLAPS컨테이너배차관리!$X:$X,$B156)))</f>
        <v/>
      </c>
      <c r="V156" t="str">
        <f>IF($B156="","",IF(INDEX(GLAPS컨테이너배차관리!$Z:$Z,$B156)="","",INDEX(GLAPS컨테이너배차관리!$Z:$Z,$B156)))</f>
        <v/>
      </c>
      <c r="W156" t="str">
        <f>IF($B156="","",IF(IF(INDEX(GLAPS컨테이너배차관리!$DI:$DI,$B156)="","",INDEX(GLAPS컨테이너배차관리!$DI:$DI,$B156))&lt;&gt;"",IF(INDEX(GLAPS컨테이너배차관리!$DI:$DI,$B156)="","",INDEX(GLAPS컨테이너배차관리!$DI:$DI,$B156)),IF(IF(INDEX(GLAPS컨테이너배차관리!$DJ:$DJ,$B156)="","",INDEX(GLAPS컨테이너배차관리!$DJ:$DJ,$B156))&lt;&gt;"",IF(INDEX(GLAPS컨테이너배차관리!$DJ:$DJ,$B156)="","",INDEX(GLAPS컨테이너배차관리!$DJ:$DJ,$B156)),IF(IF(INDEX(GLAPS컨테이너배차관리!$DK:$DK,$B156)="","",INDEX(GLAPS컨테이너배차관리!$DK:$DK,$B156))&lt;&gt;"",IF(INDEX(GLAPS컨테이너배차관리!$DK:$DK,$B156)="","",INDEX(GLAPS컨테이너배차관리!$DK:$DK,$B156)),IF(IF(INDEX(GLAPS컨테이너배차관리!$DL:$DL,$B156)="","",INDEX(GLAPS컨테이너배차관리!$DL:$DL,$B156))&lt;&gt;"",IF(INDEX(GLAPS컨테이너배차관리!$DL:$DL,$B156)="","",INDEX(GLAPS컨테이너배차관리!$DL:$DL,$B156)),IF(IF(INDEX(GLAPS컨테이너배차관리!$DM:$DM,$B156)="","",INDEX(GLAPS컨테이너배차관리!$DM:$DM,$B156))&lt;&gt;"",IF(INDEX(GLAPS컨테이너배차관리!$DM:$DM,$B156)="","",INDEX(GLAPS컨테이너배차관리!$DM:$DM,$B156)),""))))))</f>
        <v/>
      </c>
      <c r="X156" t="str">
        <f>IF($B156="","",IF(INDEX(GLAPS컨테이너배차관리!$F:$F,$B156)="","",INDEX(GLAPS컨테이너배차관리!$F:$F,$B156)))</f>
        <v/>
      </c>
      <c r="Y156" t="str">
        <f>IF($B156="","",IF(IF(INDEX(GLAPS컨테이너배차관리!$M:$M,$B156)="","",INDEX(GLAPS컨테이너배차관리!$M:$M,$B156))&lt;&gt;"",IF(INDEX(GLAPS컨테이너배차관리!$M:$M,$B156)="","",INDEX(GLAPS컨테이너배차관리!$M:$M,$B156)),IF(IF(INDEX(GLAPS컨테이너배차관리!$N:$N,$B156)="","",INDEX(GLAPS컨테이너배차관리!$N:$N,$B156))&lt;&gt;"",IF(INDEX(GLAPS컨테이너배차관리!$N:$N,$B156)="","",INDEX(GLAPS컨테이너배차관리!$N:$N,$B156)),"")))</f>
        <v/>
      </c>
      <c r="Z156" t="str">
        <f>IF($B156="","",IF(IF(INDEX(GLAPS컨테이너배차관리!$CU:$CU,$B156)="","",INDEX(GLAPS컨테이너배차관리!$CU:$CU,$B156))="","",IFERROR(INT(IF(INDEX(GLAPS컨테이너배차관리!$CU:$CU,$B156)="","",INDEX(GLAPS컨테이너배차관리!$CU:$CU,$B156))),"")))</f>
        <v/>
      </c>
      <c r="AA156" t="str">
        <f>IF($B156="","",IF(AND(IF(INDEX(GLAPS컨테이너배차관리!$CL:$CL,$B156)="","",INDEX(GLAPS컨테이너배차관리!$CL:$CL,$B156))="",IF(INDEX(GLAPS컨테이너배차관리!$CM:$CM,$B156)="","",INDEX(GLAPS컨테이너배차관리!$CM:$CM,$B156))=""),"",IF(OR(IF(INDEX(GLAPS컨테이너배차관리!$CL:$CL,$B156)="","",INDEX(GLAPS컨테이너배차관리!$CL:$CL,$B156))="B000016649",ISNUMBER(SEARCH("B015",IF(INDEX(GLAPS컨테이너배차관리!$CM:$CM,$B156)="","",INDEX(GLAPS컨테이너배차관리!$CM:$CM,$B156)))),ISNUMBER(SEARCH("세방",IF(INDEX(GLAPS컨테이너배차관리!$CM:$CM,$B156)="","",INDEX(GLAPS컨테이너배차관리!$CM:$CM,$B156)))),ISNUMBER(SEARCH("SB",IF(INDEX(GLAPS컨테이너배차관리!$CM:$CM,$B156)="","",INDEX(GLAPS컨테이너배차관리!$CM:$CM,$B156))))),"세방","")))</f>
        <v/>
      </c>
      <c r="AB156" t="str">
        <f>IF($B156="","",IF(IF(INDEX(GLAPS컨테이너배차관리!$CM:$CM,$B156)="","",INDEX(GLAPS컨테이너배차관리!$CM:$CM,$B156))="","",IF(ISNUMBER(SEARCH("이지스두동",IF(INDEX(GLAPS컨테이너배차관리!$CM:$CM,$B156)="","",INDEX(GLAPS컨테이너배차관리!$CM:$CM,$B156)))),"이지스두동",IF(ISNUMBER(SEARCH("이지스녹산",IF(INDEX(GLAPS컨테이너배차관리!$CM:$CM,$B156)="","",INDEX(GLAPS컨테이너배차관리!$CM:$CM,$B156)))),"이지스녹산",IF(ISNUMBER(SEARCH("천우",IF(INDEX(GLAPS컨테이너배차관리!$CM:$CM,$B156)="","",INDEX(GLAPS컨테이너배차관리!$CM:$CM,$B156)))),"천우",IF(OR(ISNUMBER(SEARCH("청암",IF(INDEX(GLAPS컨테이너배차관리!$CM:$CM,$B156)="","",INDEX(GLAPS컨테이너배차관리!$CM:$CM,$B156)))),ISNUMBER(SEARCH("SB청암",IF(INDEX(GLAPS컨테이너배차관리!$CM:$CM,$B156)="","",INDEX(GLAPS컨테이너배차관리!$CM:$CM,$B156))))),"청암신항",IF(INDEX(GLAPS컨테이너배차관리!$CM:$CM,$B156)="","",INDEX(GLAPS컨테이너배차관리!$CM:$CM,$B156))))))))</f>
        <v/>
      </c>
    </row>
    <row r="157" spans="1:28">
      <c r="A157">
        <v>156</v>
      </c>
      <c r="B157" t="str">
        <f>IFERROR(_xlfn.AGGREGATE(15,6,ROW(GLAPS컨테이너배차관리!$X$2:$X$20000)/(GLAPS컨테이너배차관리!$X$2:$X$20000&lt;&gt;""),A157),"")</f>
        <v/>
      </c>
      <c r="C157" t="str">
        <f>IF($B157="","",INT(IF(INDEX(GLAPS컨테이너배차관리!$K:$K,$B157)="","",INDEX(GLAPS컨테이너배차관리!$K:$K,$B157))))</f>
        <v/>
      </c>
      <c r="D157" t="str">
        <f>IF($B157="","",IF(ISNUMBER(SEARCH("이엘에스",IF(INDEX(GLAPS컨테이너배차관리!$AZ:$AZ,$B157)="","",INDEX(GLAPS컨테이너배차관리!$AZ:$AZ,$B157)))),"ELS솔루션",IF(INDEX(GLAPS컨테이너배차관리!$AZ:$AZ,$B157)="","",INDEX(GLAPS컨테이너배차관리!$AZ:$AZ,$B157))))</f>
        <v/>
      </c>
      <c r="E157" t="str">
        <f>IF($B157="","",IF(INDEX(GLAPS컨테이너배차관리!$L:$L,$B157)="","",INDEX(GLAPS컨테이너배차관리!$L:$L,$B157)))</f>
        <v/>
      </c>
      <c r="F157" t="str">
        <f>IF($B157="","",IF(HOUR(IF(INDEX(GLAPS컨테이너배차관리!$L:$L,$B157)="","",INDEX(GLAPS컨테이너배차관리!$L:$L,$B157)))&lt;12,"오전",IF(HOUR(IF(INDEX(GLAPS컨테이너배차관리!$L:$L,$B157)="","",INDEX(GLAPS컨테이너배차관리!$L:$L,$B157)))&lt;18,"오후","잔업")))</f>
        <v/>
      </c>
      <c r="G157" t="str">
        <f>IF($B157="","",IFERROR(INDEX(GLAPS정리!$G$3:$G$264,MATCH(IF(INDEX(GLAPS컨테이너배차관리!$BY:$BY,$B157)="","",INDEX(GLAPS컨테이너배차관리!$BY:$BY,$B157)),GLAPS정리!$H$3:$H$264,0)),TRIM(SUBSTITUTE(SUBSTITUTE(SUBSTITUTE(SUBSTITUTE(SUBSTITUTE(IF(INDEX(GLAPS컨테이너배차관리!$T:$T,$B157)="","",INDEX(GLAPS컨테이너배차관리!$T:$T,$B157)),"[GA]",""),"[GB]",""),"[GC]",""),"[KC]",""),"[GS]",""))))</f>
        <v/>
      </c>
      <c r="H157" t="str">
        <f>IF($B157="","",IFERROR(VLOOKUP(IF(INDEX(GLAPS컨테이너배차관리!$BY:$BY,$B157)="","",INDEX(GLAPS컨테이너배차관리!$BY:$BY,$B157)),GLAPS정리!$BT$3:$BV$200,3,0),""))</f>
        <v/>
      </c>
      <c r="I157" t="str">
        <f>IF($B157="","",LEFT(IF(INDEX(GLAPS컨테이너배차관리!$U:$U,$B157)="","",INDEX(GLAPS컨테이너배차관리!$U:$U,$B157)),FIND("/",IF(INDEX(GLAPS컨테이너배차관리!$U:$U,$B157)="","",INDEX(GLAPS컨테이너배차관리!$U:$U,$B157))&amp;"/")-1))</f>
        <v/>
      </c>
      <c r="J157" t="str">
        <f>IF($B157="","",IF(IF(INDEX(GLAPS컨테이너배차관리!$O:$O,$B157)="","",INDEX(GLAPS컨테이너배차관리!$O:$O,$B157))="EMC","EMA",IFERROR(INDEX(GLAPS정리!$A$2:$A$50,MATCH(IF(INDEX(GLAPS컨테이너배차관리!$O:$O,$B157)="","",INDEX(GLAPS컨테이너배차관리!$O:$O,$B157)),GLAPS정리!$D$2:$D$50,0)),IF(INDEX(GLAPS컨테이너배차관리!$O:$O,$B157)="","",INDEX(GLAPS컨테이너배차관리!$O:$O,$B157)))))</f>
        <v/>
      </c>
      <c r="K157" t="str">
        <f>IF($B157="","",IF(LEFT(IF(INDEX(GLAPS컨테이너배차관리!$Y:$Y,$B157)="","",INDEX(GLAPS컨테이너배차관리!$Y:$Y,$B157)),2)="22","20 Feet",IF(LEFT(IF(INDEX(GLAPS컨테이너배차관리!$Y:$Y,$B157)="","",INDEX(GLAPS컨테이너배차관리!$Y:$Y,$B157)),2)="42","40 Feet","40 Feet H")))</f>
        <v/>
      </c>
      <c r="L157" t="str">
        <f>IF($B157="","",IFERROR(INDEX(GLAPS정리!$BB$2:$BB$80,MATCH(IF(INDEX(GLAPS컨테이너배차관리!$BQ:$BQ,$B157)="","",INDEX(GLAPS컨테이너배차관리!$BQ:$BQ,$B157)),GLAPS정리!$BC$2:$BC$80,0)),IF(INDEX(GLAPS컨테이너배차관리!$BQ:$BQ,$B157)="","",INDEX(GLAPS컨테이너배차관리!$BQ:$BQ,$B157))))</f>
        <v/>
      </c>
      <c r="M157" t="str">
        <f>IF($B157="","",IFERROR(INDEX(GLAPS정리!$V$3:$V$180,MATCH(IF(INDEX(GLAPS컨테이너배차관리!$S:$S,$B157)="","",INDEX(GLAPS컨테이너배차관리!$S:$S,$B157)),GLAPS정리!$W$3:$W$180,0)),IF(INDEX(GLAPS컨테이너배차관리!$S:$S,$B157)="","",INDEX(GLAPS컨테이너배차관리!$S:$S,$B157))))</f>
        <v/>
      </c>
      <c r="N157" t="str">
        <f>IF($B157="","",IF(IF(INDEX(GLAPS컨테이너배차관리!$DF:$DF,$B157)="","",INDEX(GLAPS컨테이너배차관리!$DF:$DF,$B157))&lt;&gt;"",IF(INDEX(GLAPS컨테이너배차관리!$DF:$DF,$B157)="","",INDEX(GLAPS컨테이너배차관리!$DF:$DF,$B157)),IF(IF(INDEX(GLAPS컨테이너배차관리!$DG:$DG,$B157)="","",INDEX(GLAPS컨테이너배차관리!$DG:$DG,$B157))&lt;&gt;"",IF(INDEX(GLAPS컨테이너배차관리!$DG:$DG,$B157)="","",INDEX(GLAPS컨테이너배차관리!$DG:$DG,$B157)),"")))</f>
        <v/>
      </c>
      <c r="O157" t="str">
        <f>IF($B157="","",IF(INDEX(GLAPS컨테이너배차관리!$AB:$AB,$B157)="","",INDEX(GLAPS컨테이너배차관리!$AB:$AB,$B157)))</f>
        <v/>
      </c>
      <c r="P157" t="str">
        <f>IF($B157="","",IF(IF(INDEX(GLAPS컨테이너배차관리!$CP:$CP,$B157)="","",INDEX(GLAPS컨테이너배차관리!$CP:$CP,$B157))="","",IFERROR(INDEX(GLAPS정리!$BH$2:$BH$101,MATCH(IF(INDEX(GLAPS컨테이너배차관리!$CP:$CP,$B157)="","",INDEX(GLAPS컨테이너배차관리!$CP:$CP,$B157)),GLAPS정리!$BI$2:$BI$101,0)),IF(INDEX(GLAPS컨테이너배차관리!$CP:$CP,$B157)="","",INDEX(GLAPS컨테이너배차관리!$CP:$CP,$B157)))))</f>
        <v/>
      </c>
      <c r="Q157" t="str">
        <f>IF($B157="","",IF(AND(IF(INDEX(GLAPS컨테이너배차관리!$AK:$AK,$B157)="","",INDEX(GLAPS컨테이너배차관리!$AK:$AK,$B157))="Y",IF(INDEX(GLAPS컨테이너배차관리!$AI:$AI,$B157)="","",INDEX(GLAPS컨테이너배차관리!$AI:$AI,$B157))="Y"),"위험물리퍼",IF(IF(INDEX(GLAPS컨테이너배차관리!$AK:$AK,$B157)="","",INDEX(GLAPS컨테이너배차관리!$AK:$AK,$B157))="Y","위험물",IF(IF(INDEX(GLAPS컨테이너배차관리!$AI:$AI,$B157)="","",INDEX(GLAPS컨테이너배차관리!$AI:$AI,$B157))="Y","리퍼",""))))</f>
        <v/>
      </c>
      <c r="R157" t="str">
        <f>IF($B157="","",IF(LEFT(IF(INDEX(GLAPS컨테이너배차관리!$Y:$Y,$B157)="","",INDEX(GLAPS컨테이너배차관리!$Y:$Y,$B157)),2)="22",1,""))</f>
        <v/>
      </c>
      <c r="S157" t="str">
        <f>IF($B157="","",IF(LEFT(IF(INDEX(GLAPS컨테이너배차관리!$Y:$Y,$B157)="","",INDEX(GLAPS컨테이너배차관리!$Y:$Y,$B157)),2)="42",1,""))</f>
        <v/>
      </c>
      <c r="T157" t="str">
        <f>IF($B157="","",IF(LEFT(IF(INDEX(GLAPS컨테이너배차관리!$Y:$Y,$B157)="","",INDEX(GLAPS컨테이너배차관리!$Y:$Y,$B157)),2)="45",1,""))</f>
        <v/>
      </c>
      <c r="U157" t="str">
        <f>IF($B157="","",IF(INDEX(GLAPS컨테이너배차관리!$X:$X,$B157)="","",INDEX(GLAPS컨테이너배차관리!$X:$X,$B157)))</f>
        <v/>
      </c>
      <c r="V157" t="str">
        <f>IF($B157="","",IF(INDEX(GLAPS컨테이너배차관리!$Z:$Z,$B157)="","",INDEX(GLAPS컨테이너배차관리!$Z:$Z,$B157)))</f>
        <v/>
      </c>
      <c r="W157" t="str">
        <f>IF($B157="","",IF(IF(INDEX(GLAPS컨테이너배차관리!$DI:$DI,$B157)="","",INDEX(GLAPS컨테이너배차관리!$DI:$DI,$B157))&lt;&gt;"",IF(INDEX(GLAPS컨테이너배차관리!$DI:$DI,$B157)="","",INDEX(GLAPS컨테이너배차관리!$DI:$DI,$B157)),IF(IF(INDEX(GLAPS컨테이너배차관리!$DJ:$DJ,$B157)="","",INDEX(GLAPS컨테이너배차관리!$DJ:$DJ,$B157))&lt;&gt;"",IF(INDEX(GLAPS컨테이너배차관리!$DJ:$DJ,$B157)="","",INDEX(GLAPS컨테이너배차관리!$DJ:$DJ,$B157)),IF(IF(INDEX(GLAPS컨테이너배차관리!$DK:$DK,$B157)="","",INDEX(GLAPS컨테이너배차관리!$DK:$DK,$B157))&lt;&gt;"",IF(INDEX(GLAPS컨테이너배차관리!$DK:$DK,$B157)="","",INDEX(GLAPS컨테이너배차관리!$DK:$DK,$B157)),IF(IF(INDEX(GLAPS컨테이너배차관리!$DL:$DL,$B157)="","",INDEX(GLAPS컨테이너배차관리!$DL:$DL,$B157))&lt;&gt;"",IF(INDEX(GLAPS컨테이너배차관리!$DL:$DL,$B157)="","",INDEX(GLAPS컨테이너배차관리!$DL:$DL,$B157)),IF(IF(INDEX(GLAPS컨테이너배차관리!$DM:$DM,$B157)="","",INDEX(GLAPS컨테이너배차관리!$DM:$DM,$B157))&lt;&gt;"",IF(INDEX(GLAPS컨테이너배차관리!$DM:$DM,$B157)="","",INDEX(GLAPS컨테이너배차관리!$DM:$DM,$B157)),""))))))</f>
        <v/>
      </c>
      <c r="X157" t="str">
        <f>IF($B157="","",IF(INDEX(GLAPS컨테이너배차관리!$F:$F,$B157)="","",INDEX(GLAPS컨테이너배차관리!$F:$F,$B157)))</f>
        <v/>
      </c>
      <c r="Y157" t="str">
        <f>IF($B157="","",IF(IF(INDEX(GLAPS컨테이너배차관리!$M:$M,$B157)="","",INDEX(GLAPS컨테이너배차관리!$M:$M,$B157))&lt;&gt;"",IF(INDEX(GLAPS컨테이너배차관리!$M:$M,$B157)="","",INDEX(GLAPS컨테이너배차관리!$M:$M,$B157)),IF(IF(INDEX(GLAPS컨테이너배차관리!$N:$N,$B157)="","",INDEX(GLAPS컨테이너배차관리!$N:$N,$B157))&lt;&gt;"",IF(INDEX(GLAPS컨테이너배차관리!$N:$N,$B157)="","",INDEX(GLAPS컨테이너배차관리!$N:$N,$B157)),"")))</f>
        <v/>
      </c>
      <c r="Z157" t="str">
        <f>IF($B157="","",IF(IF(INDEX(GLAPS컨테이너배차관리!$CU:$CU,$B157)="","",INDEX(GLAPS컨테이너배차관리!$CU:$CU,$B157))="","",IFERROR(INT(IF(INDEX(GLAPS컨테이너배차관리!$CU:$CU,$B157)="","",INDEX(GLAPS컨테이너배차관리!$CU:$CU,$B157))),"")))</f>
        <v/>
      </c>
      <c r="AA157" t="str">
        <f>IF($B157="","",IF(AND(IF(INDEX(GLAPS컨테이너배차관리!$CL:$CL,$B157)="","",INDEX(GLAPS컨테이너배차관리!$CL:$CL,$B157))="",IF(INDEX(GLAPS컨테이너배차관리!$CM:$CM,$B157)="","",INDEX(GLAPS컨테이너배차관리!$CM:$CM,$B157))=""),"",IF(OR(IF(INDEX(GLAPS컨테이너배차관리!$CL:$CL,$B157)="","",INDEX(GLAPS컨테이너배차관리!$CL:$CL,$B157))="B000016649",ISNUMBER(SEARCH("B015",IF(INDEX(GLAPS컨테이너배차관리!$CM:$CM,$B157)="","",INDEX(GLAPS컨테이너배차관리!$CM:$CM,$B157)))),ISNUMBER(SEARCH("세방",IF(INDEX(GLAPS컨테이너배차관리!$CM:$CM,$B157)="","",INDEX(GLAPS컨테이너배차관리!$CM:$CM,$B157)))),ISNUMBER(SEARCH("SB",IF(INDEX(GLAPS컨테이너배차관리!$CM:$CM,$B157)="","",INDEX(GLAPS컨테이너배차관리!$CM:$CM,$B157))))),"세방","")))</f>
        <v/>
      </c>
      <c r="AB157" t="str">
        <f>IF($B157="","",IF(IF(INDEX(GLAPS컨테이너배차관리!$CM:$CM,$B157)="","",INDEX(GLAPS컨테이너배차관리!$CM:$CM,$B157))="","",IF(ISNUMBER(SEARCH("이지스두동",IF(INDEX(GLAPS컨테이너배차관리!$CM:$CM,$B157)="","",INDEX(GLAPS컨테이너배차관리!$CM:$CM,$B157)))),"이지스두동",IF(ISNUMBER(SEARCH("이지스녹산",IF(INDEX(GLAPS컨테이너배차관리!$CM:$CM,$B157)="","",INDEX(GLAPS컨테이너배차관리!$CM:$CM,$B157)))),"이지스녹산",IF(ISNUMBER(SEARCH("천우",IF(INDEX(GLAPS컨테이너배차관리!$CM:$CM,$B157)="","",INDEX(GLAPS컨테이너배차관리!$CM:$CM,$B157)))),"천우",IF(OR(ISNUMBER(SEARCH("청암",IF(INDEX(GLAPS컨테이너배차관리!$CM:$CM,$B157)="","",INDEX(GLAPS컨테이너배차관리!$CM:$CM,$B157)))),ISNUMBER(SEARCH("SB청암",IF(INDEX(GLAPS컨테이너배차관리!$CM:$CM,$B157)="","",INDEX(GLAPS컨테이너배차관리!$CM:$CM,$B157))))),"청암신항",IF(INDEX(GLAPS컨테이너배차관리!$CM:$CM,$B157)="","",INDEX(GLAPS컨테이너배차관리!$CM:$CM,$B157))))))))</f>
        <v/>
      </c>
    </row>
    <row r="158" spans="1:28">
      <c r="A158">
        <v>157</v>
      </c>
      <c r="B158" t="str">
        <f>IFERROR(_xlfn.AGGREGATE(15,6,ROW(GLAPS컨테이너배차관리!$X$2:$X$20000)/(GLAPS컨테이너배차관리!$X$2:$X$20000&lt;&gt;""),A158),"")</f>
        <v/>
      </c>
      <c r="C158" t="str">
        <f>IF($B158="","",INT(IF(INDEX(GLAPS컨테이너배차관리!$K:$K,$B158)="","",INDEX(GLAPS컨테이너배차관리!$K:$K,$B158))))</f>
        <v/>
      </c>
      <c r="D158" t="str">
        <f>IF($B158="","",IF(ISNUMBER(SEARCH("이엘에스",IF(INDEX(GLAPS컨테이너배차관리!$AZ:$AZ,$B158)="","",INDEX(GLAPS컨테이너배차관리!$AZ:$AZ,$B158)))),"ELS솔루션",IF(INDEX(GLAPS컨테이너배차관리!$AZ:$AZ,$B158)="","",INDEX(GLAPS컨테이너배차관리!$AZ:$AZ,$B158))))</f>
        <v/>
      </c>
      <c r="E158" t="str">
        <f>IF($B158="","",IF(INDEX(GLAPS컨테이너배차관리!$L:$L,$B158)="","",INDEX(GLAPS컨테이너배차관리!$L:$L,$B158)))</f>
        <v/>
      </c>
      <c r="F158" t="str">
        <f>IF($B158="","",IF(HOUR(IF(INDEX(GLAPS컨테이너배차관리!$L:$L,$B158)="","",INDEX(GLAPS컨테이너배차관리!$L:$L,$B158)))&lt;12,"오전",IF(HOUR(IF(INDEX(GLAPS컨테이너배차관리!$L:$L,$B158)="","",INDEX(GLAPS컨테이너배차관리!$L:$L,$B158)))&lt;18,"오후","잔업")))</f>
        <v/>
      </c>
      <c r="G158" t="str">
        <f>IF($B158="","",IFERROR(INDEX(GLAPS정리!$G$3:$G$264,MATCH(IF(INDEX(GLAPS컨테이너배차관리!$BY:$BY,$B158)="","",INDEX(GLAPS컨테이너배차관리!$BY:$BY,$B158)),GLAPS정리!$H$3:$H$264,0)),TRIM(SUBSTITUTE(SUBSTITUTE(SUBSTITUTE(SUBSTITUTE(SUBSTITUTE(IF(INDEX(GLAPS컨테이너배차관리!$T:$T,$B158)="","",INDEX(GLAPS컨테이너배차관리!$T:$T,$B158)),"[GA]",""),"[GB]",""),"[GC]",""),"[KC]",""),"[GS]",""))))</f>
        <v/>
      </c>
      <c r="H158" t="str">
        <f>IF($B158="","",IFERROR(VLOOKUP(IF(INDEX(GLAPS컨테이너배차관리!$BY:$BY,$B158)="","",INDEX(GLAPS컨테이너배차관리!$BY:$BY,$B158)),GLAPS정리!$BT$3:$BV$200,3,0),""))</f>
        <v/>
      </c>
      <c r="I158" t="str">
        <f>IF($B158="","",LEFT(IF(INDEX(GLAPS컨테이너배차관리!$U:$U,$B158)="","",INDEX(GLAPS컨테이너배차관리!$U:$U,$B158)),FIND("/",IF(INDEX(GLAPS컨테이너배차관리!$U:$U,$B158)="","",INDEX(GLAPS컨테이너배차관리!$U:$U,$B158))&amp;"/")-1))</f>
        <v/>
      </c>
      <c r="J158" t="str">
        <f>IF($B158="","",IF(IF(INDEX(GLAPS컨테이너배차관리!$O:$O,$B158)="","",INDEX(GLAPS컨테이너배차관리!$O:$O,$B158))="EMC","EMA",IFERROR(INDEX(GLAPS정리!$A$2:$A$50,MATCH(IF(INDEX(GLAPS컨테이너배차관리!$O:$O,$B158)="","",INDEX(GLAPS컨테이너배차관리!$O:$O,$B158)),GLAPS정리!$D$2:$D$50,0)),IF(INDEX(GLAPS컨테이너배차관리!$O:$O,$B158)="","",INDEX(GLAPS컨테이너배차관리!$O:$O,$B158)))))</f>
        <v/>
      </c>
      <c r="K158" t="str">
        <f>IF($B158="","",IF(LEFT(IF(INDEX(GLAPS컨테이너배차관리!$Y:$Y,$B158)="","",INDEX(GLAPS컨테이너배차관리!$Y:$Y,$B158)),2)="22","20 Feet",IF(LEFT(IF(INDEX(GLAPS컨테이너배차관리!$Y:$Y,$B158)="","",INDEX(GLAPS컨테이너배차관리!$Y:$Y,$B158)),2)="42","40 Feet","40 Feet H")))</f>
        <v/>
      </c>
      <c r="L158" t="str">
        <f>IF($B158="","",IFERROR(INDEX(GLAPS정리!$BB$2:$BB$80,MATCH(IF(INDEX(GLAPS컨테이너배차관리!$BQ:$BQ,$B158)="","",INDEX(GLAPS컨테이너배차관리!$BQ:$BQ,$B158)),GLAPS정리!$BC$2:$BC$80,0)),IF(INDEX(GLAPS컨테이너배차관리!$BQ:$BQ,$B158)="","",INDEX(GLAPS컨테이너배차관리!$BQ:$BQ,$B158))))</f>
        <v/>
      </c>
      <c r="M158" t="str">
        <f>IF($B158="","",IFERROR(INDEX(GLAPS정리!$V$3:$V$180,MATCH(IF(INDEX(GLAPS컨테이너배차관리!$S:$S,$B158)="","",INDEX(GLAPS컨테이너배차관리!$S:$S,$B158)),GLAPS정리!$W$3:$W$180,0)),IF(INDEX(GLAPS컨테이너배차관리!$S:$S,$B158)="","",INDEX(GLAPS컨테이너배차관리!$S:$S,$B158))))</f>
        <v/>
      </c>
      <c r="N158" t="str">
        <f>IF($B158="","",IF(IF(INDEX(GLAPS컨테이너배차관리!$DF:$DF,$B158)="","",INDEX(GLAPS컨테이너배차관리!$DF:$DF,$B158))&lt;&gt;"",IF(INDEX(GLAPS컨테이너배차관리!$DF:$DF,$B158)="","",INDEX(GLAPS컨테이너배차관리!$DF:$DF,$B158)),IF(IF(INDEX(GLAPS컨테이너배차관리!$DG:$DG,$B158)="","",INDEX(GLAPS컨테이너배차관리!$DG:$DG,$B158))&lt;&gt;"",IF(INDEX(GLAPS컨테이너배차관리!$DG:$DG,$B158)="","",INDEX(GLAPS컨테이너배차관리!$DG:$DG,$B158)),"")))</f>
        <v/>
      </c>
      <c r="O158" t="str">
        <f>IF($B158="","",IF(INDEX(GLAPS컨테이너배차관리!$AB:$AB,$B158)="","",INDEX(GLAPS컨테이너배차관리!$AB:$AB,$B158)))</f>
        <v/>
      </c>
      <c r="P158" t="str">
        <f>IF($B158="","",IF(IF(INDEX(GLAPS컨테이너배차관리!$CP:$CP,$B158)="","",INDEX(GLAPS컨테이너배차관리!$CP:$CP,$B158))="","",IFERROR(INDEX(GLAPS정리!$BH$2:$BH$101,MATCH(IF(INDEX(GLAPS컨테이너배차관리!$CP:$CP,$B158)="","",INDEX(GLAPS컨테이너배차관리!$CP:$CP,$B158)),GLAPS정리!$BI$2:$BI$101,0)),IF(INDEX(GLAPS컨테이너배차관리!$CP:$CP,$B158)="","",INDEX(GLAPS컨테이너배차관리!$CP:$CP,$B158)))))</f>
        <v/>
      </c>
      <c r="Q158" t="str">
        <f>IF($B158="","",IF(AND(IF(INDEX(GLAPS컨테이너배차관리!$AK:$AK,$B158)="","",INDEX(GLAPS컨테이너배차관리!$AK:$AK,$B158))="Y",IF(INDEX(GLAPS컨테이너배차관리!$AI:$AI,$B158)="","",INDEX(GLAPS컨테이너배차관리!$AI:$AI,$B158))="Y"),"위험물리퍼",IF(IF(INDEX(GLAPS컨테이너배차관리!$AK:$AK,$B158)="","",INDEX(GLAPS컨테이너배차관리!$AK:$AK,$B158))="Y","위험물",IF(IF(INDEX(GLAPS컨테이너배차관리!$AI:$AI,$B158)="","",INDEX(GLAPS컨테이너배차관리!$AI:$AI,$B158))="Y","리퍼",""))))</f>
        <v/>
      </c>
      <c r="R158" t="str">
        <f>IF($B158="","",IF(LEFT(IF(INDEX(GLAPS컨테이너배차관리!$Y:$Y,$B158)="","",INDEX(GLAPS컨테이너배차관리!$Y:$Y,$B158)),2)="22",1,""))</f>
        <v/>
      </c>
      <c r="S158" t="str">
        <f>IF($B158="","",IF(LEFT(IF(INDEX(GLAPS컨테이너배차관리!$Y:$Y,$B158)="","",INDEX(GLAPS컨테이너배차관리!$Y:$Y,$B158)),2)="42",1,""))</f>
        <v/>
      </c>
      <c r="T158" t="str">
        <f>IF($B158="","",IF(LEFT(IF(INDEX(GLAPS컨테이너배차관리!$Y:$Y,$B158)="","",INDEX(GLAPS컨테이너배차관리!$Y:$Y,$B158)),2)="45",1,""))</f>
        <v/>
      </c>
      <c r="U158" t="str">
        <f>IF($B158="","",IF(INDEX(GLAPS컨테이너배차관리!$X:$X,$B158)="","",INDEX(GLAPS컨테이너배차관리!$X:$X,$B158)))</f>
        <v/>
      </c>
      <c r="V158" t="str">
        <f>IF($B158="","",IF(INDEX(GLAPS컨테이너배차관리!$Z:$Z,$B158)="","",INDEX(GLAPS컨테이너배차관리!$Z:$Z,$B158)))</f>
        <v/>
      </c>
      <c r="W158" t="str">
        <f>IF($B158="","",IF(IF(INDEX(GLAPS컨테이너배차관리!$DI:$DI,$B158)="","",INDEX(GLAPS컨테이너배차관리!$DI:$DI,$B158))&lt;&gt;"",IF(INDEX(GLAPS컨테이너배차관리!$DI:$DI,$B158)="","",INDEX(GLAPS컨테이너배차관리!$DI:$DI,$B158)),IF(IF(INDEX(GLAPS컨테이너배차관리!$DJ:$DJ,$B158)="","",INDEX(GLAPS컨테이너배차관리!$DJ:$DJ,$B158))&lt;&gt;"",IF(INDEX(GLAPS컨테이너배차관리!$DJ:$DJ,$B158)="","",INDEX(GLAPS컨테이너배차관리!$DJ:$DJ,$B158)),IF(IF(INDEX(GLAPS컨테이너배차관리!$DK:$DK,$B158)="","",INDEX(GLAPS컨테이너배차관리!$DK:$DK,$B158))&lt;&gt;"",IF(INDEX(GLAPS컨테이너배차관리!$DK:$DK,$B158)="","",INDEX(GLAPS컨테이너배차관리!$DK:$DK,$B158)),IF(IF(INDEX(GLAPS컨테이너배차관리!$DL:$DL,$B158)="","",INDEX(GLAPS컨테이너배차관리!$DL:$DL,$B158))&lt;&gt;"",IF(INDEX(GLAPS컨테이너배차관리!$DL:$DL,$B158)="","",INDEX(GLAPS컨테이너배차관리!$DL:$DL,$B158)),IF(IF(INDEX(GLAPS컨테이너배차관리!$DM:$DM,$B158)="","",INDEX(GLAPS컨테이너배차관리!$DM:$DM,$B158))&lt;&gt;"",IF(INDEX(GLAPS컨테이너배차관리!$DM:$DM,$B158)="","",INDEX(GLAPS컨테이너배차관리!$DM:$DM,$B158)),""))))))</f>
        <v/>
      </c>
      <c r="X158" t="str">
        <f>IF($B158="","",IF(INDEX(GLAPS컨테이너배차관리!$F:$F,$B158)="","",INDEX(GLAPS컨테이너배차관리!$F:$F,$B158)))</f>
        <v/>
      </c>
      <c r="Y158" t="str">
        <f>IF($B158="","",IF(IF(INDEX(GLAPS컨테이너배차관리!$M:$M,$B158)="","",INDEX(GLAPS컨테이너배차관리!$M:$M,$B158))&lt;&gt;"",IF(INDEX(GLAPS컨테이너배차관리!$M:$M,$B158)="","",INDEX(GLAPS컨테이너배차관리!$M:$M,$B158)),IF(IF(INDEX(GLAPS컨테이너배차관리!$N:$N,$B158)="","",INDEX(GLAPS컨테이너배차관리!$N:$N,$B158))&lt;&gt;"",IF(INDEX(GLAPS컨테이너배차관리!$N:$N,$B158)="","",INDEX(GLAPS컨테이너배차관리!$N:$N,$B158)),"")))</f>
        <v/>
      </c>
      <c r="Z158" t="str">
        <f>IF($B158="","",IF(IF(INDEX(GLAPS컨테이너배차관리!$CU:$CU,$B158)="","",INDEX(GLAPS컨테이너배차관리!$CU:$CU,$B158))="","",IFERROR(INT(IF(INDEX(GLAPS컨테이너배차관리!$CU:$CU,$B158)="","",INDEX(GLAPS컨테이너배차관리!$CU:$CU,$B158))),"")))</f>
        <v/>
      </c>
      <c r="AA158" t="str">
        <f>IF($B158="","",IF(AND(IF(INDEX(GLAPS컨테이너배차관리!$CL:$CL,$B158)="","",INDEX(GLAPS컨테이너배차관리!$CL:$CL,$B158))="",IF(INDEX(GLAPS컨테이너배차관리!$CM:$CM,$B158)="","",INDEX(GLAPS컨테이너배차관리!$CM:$CM,$B158))=""),"",IF(OR(IF(INDEX(GLAPS컨테이너배차관리!$CL:$CL,$B158)="","",INDEX(GLAPS컨테이너배차관리!$CL:$CL,$B158))="B000016649",ISNUMBER(SEARCH("B015",IF(INDEX(GLAPS컨테이너배차관리!$CM:$CM,$B158)="","",INDEX(GLAPS컨테이너배차관리!$CM:$CM,$B158)))),ISNUMBER(SEARCH("세방",IF(INDEX(GLAPS컨테이너배차관리!$CM:$CM,$B158)="","",INDEX(GLAPS컨테이너배차관리!$CM:$CM,$B158)))),ISNUMBER(SEARCH("SB",IF(INDEX(GLAPS컨테이너배차관리!$CM:$CM,$B158)="","",INDEX(GLAPS컨테이너배차관리!$CM:$CM,$B158))))),"세방","")))</f>
        <v/>
      </c>
      <c r="AB158" t="str">
        <f>IF($B158="","",IF(IF(INDEX(GLAPS컨테이너배차관리!$CM:$CM,$B158)="","",INDEX(GLAPS컨테이너배차관리!$CM:$CM,$B158))="","",IF(ISNUMBER(SEARCH("이지스두동",IF(INDEX(GLAPS컨테이너배차관리!$CM:$CM,$B158)="","",INDEX(GLAPS컨테이너배차관리!$CM:$CM,$B158)))),"이지스두동",IF(ISNUMBER(SEARCH("이지스녹산",IF(INDEX(GLAPS컨테이너배차관리!$CM:$CM,$B158)="","",INDEX(GLAPS컨테이너배차관리!$CM:$CM,$B158)))),"이지스녹산",IF(ISNUMBER(SEARCH("천우",IF(INDEX(GLAPS컨테이너배차관리!$CM:$CM,$B158)="","",INDEX(GLAPS컨테이너배차관리!$CM:$CM,$B158)))),"천우",IF(OR(ISNUMBER(SEARCH("청암",IF(INDEX(GLAPS컨테이너배차관리!$CM:$CM,$B158)="","",INDEX(GLAPS컨테이너배차관리!$CM:$CM,$B158)))),ISNUMBER(SEARCH("SB청암",IF(INDEX(GLAPS컨테이너배차관리!$CM:$CM,$B158)="","",INDEX(GLAPS컨테이너배차관리!$CM:$CM,$B158))))),"청암신항",IF(INDEX(GLAPS컨테이너배차관리!$CM:$CM,$B158)="","",INDEX(GLAPS컨테이너배차관리!$CM:$CM,$B158))))))))</f>
        <v/>
      </c>
    </row>
    <row r="159" spans="1:28">
      <c r="A159">
        <v>158</v>
      </c>
      <c r="B159" t="str">
        <f>IFERROR(_xlfn.AGGREGATE(15,6,ROW(GLAPS컨테이너배차관리!$X$2:$X$20000)/(GLAPS컨테이너배차관리!$X$2:$X$20000&lt;&gt;""),A159),"")</f>
        <v/>
      </c>
      <c r="C159" t="str">
        <f>IF($B159="","",INT(IF(INDEX(GLAPS컨테이너배차관리!$K:$K,$B159)="","",INDEX(GLAPS컨테이너배차관리!$K:$K,$B159))))</f>
        <v/>
      </c>
      <c r="D159" t="str">
        <f>IF($B159="","",IF(ISNUMBER(SEARCH("이엘에스",IF(INDEX(GLAPS컨테이너배차관리!$AZ:$AZ,$B159)="","",INDEX(GLAPS컨테이너배차관리!$AZ:$AZ,$B159)))),"ELS솔루션",IF(INDEX(GLAPS컨테이너배차관리!$AZ:$AZ,$B159)="","",INDEX(GLAPS컨테이너배차관리!$AZ:$AZ,$B159))))</f>
        <v/>
      </c>
      <c r="E159" t="str">
        <f>IF($B159="","",IF(INDEX(GLAPS컨테이너배차관리!$L:$L,$B159)="","",INDEX(GLAPS컨테이너배차관리!$L:$L,$B159)))</f>
        <v/>
      </c>
      <c r="F159" t="str">
        <f>IF($B159="","",IF(HOUR(IF(INDEX(GLAPS컨테이너배차관리!$L:$L,$B159)="","",INDEX(GLAPS컨테이너배차관리!$L:$L,$B159)))&lt;12,"오전",IF(HOUR(IF(INDEX(GLAPS컨테이너배차관리!$L:$L,$B159)="","",INDEX(GLAPS컨테이너배차관리!$L:$L,$B159)))&lt;18,"오후","잔업")))</f>
        <v/>
      </c>
      <c r="G159" t="str">
        <f>IF($B159="","",IFERROR(INDEX(GLAPS정리!$G$3:$G$264,MATCH(IF(INDEX(GLAPS컨테이너배차관리!$BY:$BY,$B159)="","",INDEX(GLAPS컨테이너배차관리!$BY:$BY,$B159)),GLAPS정리!$H$3:$H$264,0)),TRIM(SUBSTITUTE(SUBSTITUTE(SUBSTITUTE(SUBSTITUTE(SUBSTITUTE(IF(INDEX(GLAPS컨테이너배차관리!$T:$T,$B159)="","",INDEX(GLAPS컨테이너배차관리!$T:$T,$B159)),"[GA]",""),"[GB]",""),"[GC]",""),"[KC]",""),"[GS]",""))))</f>
        <v/>
      </c>
      <c r="H159" t="str">
        <f>IF($B159="","",IFERROR(VLOOKUP(IF(INDEX(GLAPS컨테이너배차관리!$BY:$BY,$B159)="","",INDEX(GLAPS컨테이너배차관리!$BY:$BY,$B159)),GLAPS정리!$BT$3:$BV$200,3,0),""))</f>
        <v/>
      </c>
      <c r="I159" t="str">
        <f>IF($B159="","",LEFT(IF(INDEX(GLAPS컨테이너배차관리!$U:$U,$B159)="","",INDEX(GLAPS컨테이너배차관리!$U:$U,$B159)),FIND("/",IF(INDEX(GLAPS컨테이너배차관리!$U:$U,$B159)="","",INDEX(GLAPS컨테이너배차관리!$U:$U,$B159))&amp;"/")-1))</f>
        <v/>
      </c>
      <c r="J159" t="str">
        <f>IF($B159="","",IF(IF(INDEX(GLAPS컨테이너배차관리!$O:$O,$B159)="","",INDEX(GLAPS컨테이너배차관리!$O:$O,$B159))="EMC","EMA",IFERROR(INDEX(GLAPS정리!$A$2:$A$50,MATCH(IF(INDEX(GLAPS컨테이너배차관리!$O:$O,$B159)="","",INDEX(GLAPS컨테이너배차관리!$O:$O,$B159)),GLAPS정리!$D$2:$D$50,0)),IF(INDEX(GLAPS컨테이너배차관리!$O:$O,$B159)="","",INDEX(GLAPS컨테이너배차관리!$O:$O,$B159)))))</f>
        <v/>
      </c>
      <c r="K159" t="str">
        <f>IF($B159="","",IF(LEFT(IF(INDEX(GLAPS컨테이너배차관리!$Y:$Y,$B159)="","",INDEX(GLAPS컨테이너배차관리!$Y:$Y,$B159)),2)="22","20 Feet",IF(LEFT(IF(INDEX(GLAPS컨테이너배차관리!$Y:$Y,$B159)="","",INDEX(GLAPS컨테이너배차관리!$Y:$Y,$B159)),2)="42","40 Feet","40 Feet H")))</f>
        <v/>
      </c>
      <c r="L159" t="str">
        <f>IF($B159="","",IFERROR(INDEX(GLAPS정리!$BB$2:$BB$80,MATCH(IF(INDEX(GLAPS컨테이너배차관리!$BQ:$BQ,$B159)="","",INDEX(GLAPS컨테이너배차관리!$BQ:$BQ,$B159)),GLAPS정리!$BC$2:$BC$80,0)),IF(INDEX(GLAPS컨테이너배차관리!$BQ:$BQ,$B159)="","",INDEX(GLAPS컨테이너배차관리!$BQ:$BQ,$B159))))</f>
        <v/>
      </c>
      <c r="M159" t="str">
        <f>IF($B159="","",IFERROR(INDEX(GLAPS정리!$V$3:$V$180,MATCH(IF(INDEX(GLAPS컨테이너배차관리!$S:$S,$B159)="","",INDEX(GLAPS컨테이너배차관리!$S:$S,$B159)),GLAPS정리!$W$3:$W$180,0)),IF(INDEX(GLAPS컨테이너배차관리!$S:$S,$B159)="","",INDEX(GLAPS컨테이너배차관리!$S:$S,$B159))))</f>
        <v/>
      </c>
      <c r="N159" t="str">
        <f>IF($B159="","",IF(IF(INDEX(GLAPS컨테이너배차관리!$DF:$DF,$B159)="","",INDEX(GLAPS컨테이너배차관리!$DF:$DF,$B159))&lt;&gt;"",IF(INDEX(GLAPS컨테이너배차관리!$DF:$DF,$B159)="","",INDEX(GLAPS컨테이너배차관리!$DF:$DF,$B159)),IF(IF(INDEX(GLAPS컨테이너배차관리!$DG:$DG,$B159)="","",INDEX(GLAPS컨테이너배차관리!$DG:$DG,$B159))&lt;&gt;"",IF(INDEX(GLAPS컨테이너배차관리!$DG:$DG,$B159)="","",INDEX(GLAPS컨테이너배차관리!$DG:$DG,$B159)),"")))</f>
        <v/>
      </c>
      <c r="O159" t="str">
        <f>IF($B159="","",IF(INDEX(GLAPS컨테이너배차관리!$AB:$AB,$B159)="","",INDEX(GLAPS컨테이너배차관리!$AB:$AB,$B159)))</f>
        <v/>
      </c>
      <c r="P159" t="str">
        <f>IF($B159="","",IF(IF(INDEX(GLAPS컨테이너배차관리!$CP:$CP,$B159)="","",INDEX(GLAPS컨테이너배차관리!$CP:$CP,$B159))="","",IFERROR(INDEX(GLAPS정리!$BH$2:$BH$101,MATCH(IF(INDEX(GLAPS컨테이너배차관리!$CP:$CP,$B159)="","",INDEX(GLAPS컨테이너배차관리!$CP:$CP,$B159)),GLAPS정리!$BI$2:$BI$101,0)),IF(INDEX(GLAPS컨테이너배차관리!$CP:$CP,$B159)="","",INDEX(GLAPS컨테이너배차관리!$CP:$CP,$B159)))))</f>
        <v/>
      </c>
      <c r="Q159" t="str">
        <f>IF($B159="","",IF(AND(IF(INDEX(GLAPS컨테이너배차관리!$AK:$AK,$B159)="","",INDEX(GLAPS컨테이너배차관리!$AK:$AK,$B159))="Y",IF(INDEX(GLAPS컨테이너배차관리!$AI:$AI,$B159)="","",INDEX(GLAPS컨테이너배차관리!$AI:$AI,$B159))="Y"),"위험물리퍼",IF(IF(INDEX(GLAPS컨테이너배차관리!$AK:$AK,$B159)="","",INDEX(GLAPS컨테이너배차관리!$AK:$AK,$B159))="Y","위험물",IF(IF(INDEX(GLAPS컨테이너배차관리!$AI:$AI,$B159)="","",INDEX(GLAPS컨테이너배차관리!$AI:$AI,$B159))="Y","리퍼",""))))</f>
        <v/>
      </c>
      <c r="R159" t="str">
        <f>IF($B159="","",IF(LEFT(IF(INDEX(GLAPS컨테이너배차관리!$Y:$Y,$B159)="","",INDEX(GLAPS컨테이너배차관리!$Y:$Y,$B159)),2)="22",1,""))</f>
        <v/>
      </c>
      <c r="S159" t="str">
        <f>IF($B159="","",IF(LEFT(IF(INDEX(GLAPS컨테이너배차관리!$Y:$Y,$B159)="","",INDEX(GLAPS컨테이너배차관리!$Y:$Y,$B159)),2)="42",1,""))</f>
        <v/>
      </c>
      <c r="T159" t="str">
        <f>IF($B159="","",IF(LEFT(IF(INDEX(GLAPS컨테이너배차관리!$Y:$Y,$B159)="","",INDEX(GLAPS컨테이너배차관리!$Y:$Y,$B159)),2)="45",1,""))</f>
        <v/>
      </c>
      <c r="U159" t="str">
        <f>IF($B159="","",IF(INDEX(GLAPS컨테이너배차관리!$X:$X,$B159)="","",INDEX(GLAPS컨테이너배차관리!$X:$X,$B159)))</f>
        <v/>
      </c>
      <c r="V159" t="str">
        <f>IF($B159="","",IF(INDEX(GLAPS컨테이너배차관리!$Z:$Z,$B159)="","",INDEX(GLAPS컨테이너배차관리!$Z:$Z,$B159)))</f>
        <v/>
      </c>
      <c r="W159" t="str">
        <f>IF($B159="","",IF(IF(INDEX(GLAPS컨테이너배차관리!$DI:$DI,$B159)="","",INDEX(GLAPS컨테이너배차관리!$DI:$DI,$B159))&lt;&gt;"",IF(INDEX(GLAPS컨테이너배차관리!$DI:$DI,$B159)="","",INDEX(GLAPS컨테이너배차관리!$DI:$DI,$B159)),IF(IF(INDEX(GLAPS컨테이너배차관리!$DJ:$DJ,$B159)="","",INDEX(GLAPS컨테이너배차관리!$DJ:$DJ,$B159))&lt;&gt;"",IF(INDEX(GLAPS컨테이너배차관리!$DJ:$DJ,$B159)="","",INDEX(GLAPS컨테이너배차관리!$DJ:$DJ,$B159)),IF(IF(INDEX(GLAPS컨테이너배차관리!$DK:$DK,$B159)="","",INDEX(GLAPS컨테이너배차관리!$DK:$DK,$B159))&lt;&gt;"",IF(INDEX(GLAPS컨테이너배차관리!$DK:$DK,$B159)="","",INDEX(GLAPS컨테이너배차관리!$DK:$DK,$B159)),IF(IF(INDEX(GLAPS컨테이너배차관리!$DL:$DL,$B159)="","",INDEX(GLAPS컨테이너배차관리!$DL:$DL,$B159))&lt;&gt;"",IF(INDEX(GLAPS컨테이너배차관리!$DL:$DL,$B159)="","",INDEX(GLAPS컨테이너배차관리!$DL:$DL,$B159)),IF(IF(INDEX(GLAPS컨테이너배차관리!$DM:$DM,$B159)="","",INDEX(GLAPS컨테이너배차관리!$DM:$DM,$B159))&lt;&gt;"",IF(INDEX(GLAPS컨테이너배차관리!$DM:$DM,$B159)="","",INDEX(GLAPS컨테이너배차관리!$DM:$DM,$B159)),""))))))</f>
        <v/>
      </c>
      <c r="X159" t="str">
        <f>IF($B159="","",IF(INDEX(GLAPS컨테이너배차관리!$F:$F,$B159)="","",INDEX(GLAPS컨테이너배차관리!$F:$F,$B159)))</f>
        <v/>
      </c>
      <c r="Y159" t="str">
        <f>IF($B159="","",IF(IF(INDEX(GLAPS컨테이너배차관리!$M:$M,$B159)="","",INDEX(GLAPS컨테이너배차관리!$M:$M,$B159))&lt;&gt;"",IF(INDEX(GLAPS컨테이너배차관리!$M:$M,$B159)="","",INDEX(GLAPS컨테이너배차관리!$M:$M,$B159)),IF(IF(INDEX(GLAPS컨테이너배차관리!$N:$N,$B159)="","",INDEX(GLAPS컨테이너배차관리!$N:$N,$B159))&lt;&gt;"",IF(INDEX(GLAPS컨테이너배차관리!$N:$N,$B159)="","",INDEX(GLAPS컨테이너배차관리!$N:$N,$B159)),"")))</f>
        <v/>
      </c>
      <c r="Z159" t="str">
        <f>IF($B159="","",IF(IF(INDEX(GLAPS컨테이너배차관리!$CU:$CU,$B159)="","",INDEX(GLAPS컨테이너배차관리!$CU:$CU,$B159))="","",IFERROR(INT(IF(INDEX(GLAPS컨테이너배차관리!$CU:$CU,$B159)="","",INDEX(GLAPS컨테이너배차관리!$CU:$CU,$B159))),"")))</f>
        <v/>
      </c>
      <c r="AA159" t="str">
        <f>IF($B159="","",IF(AND(IF(INDEX(GLAPS컨테이너배차관리!$CL:$CL,$B159)="","",INDEX(GLAPS컨테이너배차관리!$CL:$CL,$B159))="",IF(INDEX(GLAPS컨테이너배차관리!$CM:$CM,$B159)="","",INDEX(GLAPS컨테이너배차관리!$CM:$CM,$B159))=""),"",IF(OR(IF(INDEX(GLAPS컨테이너배차관리!$CL:$CL,$B159)="","",INDEX(GLAPS컨테이너배차관리!$CL:$CL,$B159))="B000016649",ISNUMBER(SEARCH("B015",IF(INDEX(GLAPS컨테이너배차관리!$CM:$CM,$B159)="","",INDEX(GLAPS컨테이너배차관리!$CM:$CM,$B159)))),ISNUMBER(SEARCH("세방",IF(INDEX(GLAPS컨테이너배차관리!$CM:$CM,$B159)="","",INDEX(GLAPS컨테이너배차관리!$CM:$CM,$B159)))),ISNUMBER(SEARCH("SB",IF(INDEX(GLAPS컨테이너배차관리!$CM:$CM,$B159)="","",INDEX(GLAPS컨테이너배차관리!$CM:$CM,$B159))))),"세방","")))</f>
        <v/>
      </c>
      <c r="AB159" t="str">
        <f>IF($B159="","",IF(IF(INDEX(GLAPS컨테이너배차관리!$CM:$CM,$B159)="","",INDEX(GLAPS컨테이너배차관리!$CM:$CM,$B159))="","",IF(ISNUMBER(SEARCH("이지스두동",IF(INDEX(GLAPS컨테이너배차관리!$CM:$CM,$B159)="","",INDEX(GLAPS컨테이너배차관리!$CM:$CM,$B159)))),"이지스두동",IF(ISNUMBER(SEARCH("이지스녹산",IF(INDEX(GLAPS컨테이너배차관리!$CM:$CM,$B159)="","",INDEX(GLAPS컨테이너배차관리!$CM:$CM,$B159)))),"이지스녹산",IF(ISNUMBER(SEARCH("천우",IF(INDEX(GLAPS컨테이너배차관리!$CM:$CM,$B159)="","",INDEX(GLAPS컨테이너배차관리!$CM:$CM,$B159)))),"천우",IF(OR(ISNUMBER(SEARCH("청암",IF(INDEX(GLAPS컨테이너배차관리!$CM:$CM,$B159)="","",INDEX(GLAPS컨테이너배차관리!$CM:$CM,$B159)))),ISNUMBER(SEARCH("SB청암",IF(INDEX(GLAPS컨테이너배차관리!$CM:$CM,$B159)="","",INDEX(GLAPS컨테이너배차관리!$CM:$CM,$B159))))),"청암신항",IF(INDEX(GLAPS컨테이너배차관리!$CM:$CM,$B159)="","",INDEX(GLAPS컨테이너배차관리!$CM:$CM,$B159))))))))</f>
        <v/>
      </c>
    </row>
    <row r="160" spans="1:28">
      <c r="A160">
        <v>159</v>
      </c>
      <c r="B160" t="str">
        <f>IFERROR(_xlfn.AGGREGATE(15,6,ROW(GLAPS컨테이너배차관리!$X$2:$X$20000)/(GLAPS컨테이너배차관리!$X$2:$X$20000&lt;&gt;""),A160),"")</f>
        <v/>
      </c>
      <c r="C160" t="str">
        <f>IF($B160="","",INT(IF(INDEX(GLAPS컨테이너배차관리!$K:$K,$B160)="","",INDEX(GLAPS컨테이너배차관리!$K:$K,$B160))))</f>
        <v/>
      </c>
      <c r="D160" t="str">
        <f>IF($B160="","",IF(ISNUMBER(SEARCH("이엘에스",IF(INDEX(GLAPS컨테이너배차관리!$AZ:$AZ,$B160)="","",INDEX(GLAPS컨테이너배차관리!$AZ:$AZ,$B160)))),"ELS솔루션",IF(INDEX(GLAPS컨테이너배차관리!$AZ:$AZ,$B160)="","",INDEX(GLAPS컨테이너배차관리!$AZ:$AZ,$B160))))</f>
        <v/>
      </c>
      <c r="E160" t="str">
        <f>IF($B160="","",IF(INDEX(GLAPS컨테이너배차관리!$L:$L,$B160)="","",INDEX(GLAPS컨테이너배차관리!$L:$L,$B160)))</f>
        <v/>
      </c>
      <c r="F160" t="str">
        <f>IF($B160="","",IF(HOUR(IF(INDEX(GLAPS컨테이너배차관리!$L:$L,$B160)="","",INDEX(GLAPS컨테이너배차관리!$L:$L,$B160)))&lt;12,"오전",IF(HOUR(IF(INDEX(GLAPS컨테이너배차관리!$L:$L,$B160)="","",INDEX(GLAPS컨테이너배차관리!$L:$L,$B160)))&lt;18,"오후","잔업")))</f>
        <v/>
      </c>
      <c r="G160" t="str">
        <f>IF($B160="","",IFERROR(INDEX(GLAPS정리!$G$3:$G$264,MATCH(IF(INDEX(GLAPS컨테이너배차관리!$BY:$BY,$B160)="","",INDEX(GLAPS컨테이너배차관리!$BY:$BY,$B160)),GLAPS정리!$H$3:$H$264,0)),TRIM(SUBSTITUTE(SUBSTITUTE(SUBSTITUTE(SUBSTITUTE(SUBSTITUTE(IF(INDEX(GLAPS컨테이너배차관리!$T:$T,$B160)="","",INDEX(GLAPS컨테이너배차관리!$T:$T,$B160)),"[GA]",""),"[GB]",""),"[GC]",""),"[KC]",""),"[GS]",""))))</f>
        <v/>
      </c>
      <c r="H160" t="str">
        <f>IF($B160="","",IFERROR(VLOOKUP(IF(INDEX(GLAPS컨테이너배차관리!$BY:$BY,$B160)="","",INDEX(GLAPS컨테이너배차관리!$BY:$BY,$B160)),GLAPS정리!$BT$3:$BV$200,3,0),""))</f>
        <v/>
      </c>
      <c r="I160" t="str">
        <f>IF($B160="","",LEFT(IF(INDEX(GLAPS컨테이너배차관리!$U:$U,$B160)="","",INDEX(GLAPS컨테이너배차관리!$U:$U,$B160)),FIND("/",IF(INDEX(GLAPS컨테이너배차관리!$U:$U,$B160)="","",INDEX(GLAPS컨테이너배차관리!$U:$U,$B160))&amp;"/")-1))</f>
        <v/>
      </c>
      <c r="J160" t="str">
        <f>IF($B160="","",IF(IF(INDEX(GLAPS컨테이너배차관리!$O:$O,$B160)="","",INDEX(GLAPS컨테이너배차관리!$O:$O,$B160))="EMC","EMA",IFERROR(INDEX(GLAPS정리!$A$2:$A$50,MATCH(IF(INDEX(GLAPS컨테이너배차관리!$O:$O,$B160)="","",INDEX(GLAPS컨테이너배차관리!$O:$O,$B160)),GLAPS정리!$D$2:$D$50,0)),IF(INDEX(GLAPS컨테이너배차관리!$O:$O,$B160)="","",INDEX(GLAPS컨테이너배차관리!$O:$O,$B160)))))</f>
        <v/>
      </c>
      <c r="K160" t="str">
        <f>IF($B160="","",IF(LEFT(IF(INDEX(GLAPS컨테이너배차관리!$Y:$Y,$B160)="","",INDEX(GLAPS컨테이너배차관리!$Y:$Y,$B160)),2)="22","20 Feet",IF(LEFT(IF(INDEX(GLAPS컨테이너배차관리!$Y:$Y,$B160)="","",INDEX(GLAPS컨테이너배차관리!$Y:$Y,$B160)),2)="42","40 Feet","40 Feet H")))</f>
        <v/>
      </c>
      <c r="L160" t="str">
        <f>IF($B160="","",IFERROR(INDEX(GLAPS정리!$BB$2:$BB$80,MATCH(IF(INDEX(GLAPS컨테이너배차관리!$BQ:$BQ,$B160)="","",INDEX(GLAPS컨테이너배차관리!$BQ:$BQ,$B160)),GLAPS정리!$BC$2:$BC$80,0)),IF(INDEX(GLAPS컨테이너배차관리!$BQ:$BQ,$B160)="","",INDEX(GLAPS컨테이너배차관리!$BQ:$BQ,$B160))))</f>
        <v/>
      </c>
      <c r="M160" t="str">
        <f>IF($B160="","",IFERROR(INDEX(GLAPS정리!$V$3:$V$180,MATCH(IF(INDEX(GLAPS컨테이너배차관리!$S:$S,$B160)="","",INDEX(GLAPS컨테이너배차관리!$S:$S,$B160)),GLAPS정리!$W$3:$W$180,0)),IF(INDEX(GLAPS컨테이너배차관리!$S:$S,$B160)="","",INDEX(GLAPS컨테이너배차관리!$S:$S,$B160))))</f>
        <v/>
      </c>
      <c r="N160" t="str">
        <f>IF($B160="","",IF(IF(INDEX(GLAPS컨테이너배차관리!$DF:$DF,$B160)="","",INDEX(GLAPS컨테이너배차관리!$DF:$DF,$B160))&lt;&gt;"",IF(INDEX(GLAPS컨테이너배차관리!$DF:$DF,$B160)="","",INDEX(GLAPS컨테이너배차관리!$DF:$DF,$B160)),IF(IF(INDEX(GLAPS컨테이너배차관리!$DG:$DG,$B160)="","",INDEX(GLAPS컨테이너배차관리!$DG:$DG,$B160))&lt;&gt;"",IF(INDEX(GLAPS컨테이너배차관리!$DG:$DG,$B160)="","",INDEX(GLAPS컨테이너배차관리!$DG:$DG,$B160)),"")))</f>
        <v/>
      </c>
      <c r="O160" t="str">
        <f>IF($B160="","",IF(INDEX(GLAPS컨테이너배차관리!$AB:$AB,$B160)="","",INDEX(GLAPS컨테이너배차관리!$AB:$AB,$B160)))</f>
        <v/>
      </c>
      <c r="P160" t="str">
        <f>IF($B160="","",IF(IF(INDEX(GLAPS컨테이너배차관리!$CP:$CP,$B160)="","",INDEX(GLAPS컨테이너배차관리!$CP:$CP,$B160))="","",IFERROR(INDEX(GLAPS정리!$BH$2:$BH$101,MATCH(IF(INDEX(GLAPS컨테이너배차관리!$CP:$CP,$B160)="","",INDEX(GLAPS컨테이너배차관리!$CP:$CP,$B160)),GLAPS정리!$BI$2:$BI$101,0)),IF(INDEX(GLAPS컨테이너배차관리!$CP:$CP,$B160)="","",INDEX(GLAPS컨테이너배차관리!$CP:$CP,$B160)))))</f>
        <v/>
      </c>
      <c r="Q160" t="str">
        <f>IF($B160="","",IF(AND(IF(INDEX(GLAPS컨테이너배차관리!$AK:$AK,$B160)="","",INDEX(GLAPS컨테이너배차관리!$AK:$AK,$B160))="Y",IF(INDEX(GLAPS컨테이너배차관리!$AI:$AI,$B160)="","",INDEX(GLAPS컨테이너배차관리!$AI:$AI,$B160))="Y"),"위험물리퍼",IF(IF(INDEX(GLAPS컨테이너배차관리!$AK:$AK,$B160)="","",INDEX(GLAPS컨테이너배차관리!$AK:$AK,$B160))="Y","위험물",IF(IF(INDEX(GLAPS컨테이너배차관리!$AI:$AI,$B160)="","",INDEX(GLAPS컨테이너배차관리!$AI:$AI,$B160))="Y","리퍼",""))))</f>
        <v/>
      </c>
      <c r="R160" t="str">
        <f>IF($B160="","",IF(LEFT(IF(INDEX(GLAPS컨테이너배차관리!$Y:$Y,$B160)="","",INDEX(GLAPS컨테이너배차관리!$Y:$Y,$B160)),2)="22",1,""))</f>
        <v/>
      </c>
      <c r="S160" t="str">
        <f>IF($B160="","",IF(LEFT(IF(INDEX(GLAPS컨테이너배차관리!$Y:$Y,$B160)="","",INDEX(GLAPS컨테이너배차관리!$Y:$Y,$B160)),2)="42",1,""))</f>
        <v/>
      </c>
      <c r="T160" t="str">
        <f>IF($B160="","",IF(LEFT(IF(INDEX(GLAPS컨테이너배차관리!$Y:$Y,$B160)="","",INDEX(GLAPS컨테이너배차관리!$Y:$Y,$B160)),2)="45",1,""))</f>
        <v/>
      </c>
      <c r="U160" t="str">
        <f>IF($B160="","",IF(INDEX(GLAPS컨테이너배차관리!$X:$X,$B160)="","",INDEX(GLAPS컨테이너배차관리!$X:$X,$B160)))</f>
        <v/>
      </c>
      <c r="V160" t="str">
        <f>IF($B160="","",IF(INDEX(GLAPS컨테이너배차관리!$Z:$Z,$B160)="","",INDEX(GLAPS컨테이너배차관리!$Z:$Z,$B160)))</f>
        <v/>
      </c>
      <c r="W160" t="str">
        <f>IF($B160="","",IF(IF(INDEX(GLAPS컨테이너배차관리!$DI:$DI,$B160)="","",INDEX(GLAPS컨테이너배차관리!$DI:$DI,$B160))&lt;&gt;"",IF(INDEX(GLAPS컨테이너배차관리!$DI:$DI,$B160)="","",INDEX(GLAPS컨테이너배차관리!$DI:$DI,$B160)),IF(IF(INDEX(GLAPS컨테이너배차관리!$DJ:$DJ,$B160)="","",INDEX(GLAPS컨테이너배차관리!$DJ:$DJ,$B160))&lt;&gt;"",IF(INDEX(GLAPS컨테이너배차관리!$DJ:$DJ,$B160)="","",INDEX(GLAPS컨테이너배차관리!$DJ:$DJ,$B160)),IF(IF(INDEX(GLAPS컨테이너배차관리!$DK:$DK,$B160)="","",INDEX(GLAPS컨테이너배차관리!$DK:$DK,$B160))&lt;&gt;"",IF(INDEX(GLAPS컨테이너배차관리!$DK:$DK,$B160)="","",INDEX(GLAPS컨테이너배차관리!$DK:$DK,$B160)),IF(IF(INDEX(GLAPS컨테이너배차관리!$DL:$DL,$B160)="","",INDEX(GLAPS컨테이너배차관리!$DL:$DL,$B160))&lt;&gt;"",IF(INDEX(GLAPS컨테이너배차관리!$DL:$DL,$B160)="","",INDEX(GLAPS컨테이너배차관리!$DL:$DL,$B160)),IF(IF(INDEX(GLAPS컨테이너배차관리!$DM:$DM,$B160)="","",INDEX(GLAPS컨테이너배차관리!$DM:$DM,$B160))&lt;&gt;"",IF(INDEX(GLAPS컨테이너배차관리!$DM:$DM,$B160)="","",INDEX(GLAPS컨테이너배차관리!$DM:$DM,$B160)),""))))))</f>
        <v/>
      </c>
      <c r="X160" t="str">
        <f>IF($B160="","",IF(INDEX(GLAPS컨테이너배차관리!$F:$F,$B160)="","",INDEX(GLAPS컨테이너배차관리!$F:$F,$B160)))</f>
        <v/>
      </c>
      <c r="Y160" t="str">
        <f>IF($B160="","",IF(IF(INDEX(GLAPS컨테이너배차관리!$M:$M,$B160)="","",INDEX(GLAPS컨테이너배차관리!$M:$M,$B160))&lt;&gt;"",IF(INDEX(GLAPS컨테이너배차관리!$M:$M,$B160)="","",INDEX(GLAPS컨테이너배차관리!$M:$M,$B160)),IF(IF(INDEX(GLAPS컨테이너배차관리!$N:$N,$B160)="","",INDEX(GLAPS컨테이너배차관리!$N:$N,$B160))&lt;&gt;"",IF(INDEX(GLAPS컨테이너배차관리!$N:$N,$B160)="","",INDEX(GLAPS컨테이너배차관리!$N:$N,$B160)),"")))</f>
        <v/>
      </c>
      <c r="Z160" t="str">
        <f>IF($B160="","",IF(IF(INDEX(GLAPS컨테이너배차관리!$CU:$CU,$B160)="","",INDEX(GLAPS컨테이너배차관리!$CU:$CU,$B160))="","",IFERROR(INT(IF(INDEX(GLAPS컨테이너배차관리!$CU:$CU,$B160)="","",INDEX(GLAPS컨테이너배차관리!$CU:$CU,$B160))),"")))</f>
        <v/>
      </c>
      <c r="AA160" t="str">
        <f>IF($B160="","",IF(AND(IF(INDEX(GLAPS컨테이너배차관리!$CL:$CL,$B160)="","",INDEX(GLAPS컨테이너배차관리!$CL:$CL,$B160))="",IF(INDEX(GLAPS컨테이너배차관리!$CM:$CM,$B160)="","",INDEX(GLAPS컨테이너배차관리!$CM:$CM,$B160))=""),"",IF(OR(IF(INDEX(GLAPS컨테이너배차관리!$CL:$CL,$B160)="","",INDEX(GLAPS컨테이너배차관리!$CL:$CL,$B160))="B000016649",ISNUMBER(SEARCH("B015",IF(INDEX(GLAPS컨테이너배차관리!$CM:$CM,$B160)="","",INDEX(GLAPS컨테이너배차관리!$CM:$CM,$B160)))),ISNUMBER(SEARCH("세방",IF(INDEX(GLAPS컨테이너배차관리!$CM:$CM,$B160)="","",INDEX(GLAPS컨테이너배차관리!$CM:$CM,$B160)))),ISNUMBER(SEARCH("SB",IF(INDEX(GLAPS컨테이너배차관리!$CM:$CM,$B160)="","",INDEX(GLAPS컨테이너배차관리!$CM:$CM,$B160))))),"세방","")))</f>
        <v/>
      </c>
      <c r="AB160" t="str">
        <f>IF($B160="","",IF(IF(INDEX(GLAPS컨테이너배차관리!$CM:$CM,$B160)="","",INDEX(GLAPS컨테이너배차관리!$CM:$CM,$B160))="","",IF(ISNUMBER(SEARCH("이지스두동",IF(INDEX(GLAPS컨테이너배차관리!$CM:$CM,$B160)="","",INDEX(GLAPS컨테이너배차관리!$CM:$CM,$B160)))),"이지스두동",IF(ISNUMBER(SEARCH("이지스녹산",IF(INDEX(GLAPS컨테이너배차관리!$CM:$CM,$B160)="","",INDEX(GLAPS컨테이너배차관리!$CM:$CM,$B160)))),"이지스녹산",IF(ISNUMBER(SEARCH("천우",IF(INDEX(GLAPS컨테이너배차관리!$CM:$CM,$B160)="","",INDEX(GLAPS컨테이너배차관리!$CM:$CM,$B160)))),"천우",IF(OR(ISNUMBER(SEARCH("청암",IF(INDEX(GLAPS컨테이너배차관리!$CM:$CM,$B160)="","",INDEX(GLAPS컨테이너배차관리!$CM:$CM,$B160)))),ISNUMBER(SEARCH("SB청암",IF(INDEX(GLAPS컨테이너배차관리!$CM:$CM,$B160)="","",INDEX(GLAPS컨테이너배차관리!$CM:$CM,$B160))))),"청암신항",IF(INDEX(GLAPS컨테이너배차관리!$CM:$CM,$B160)="","",INDEX(GLAPS컨테이너배차관리!$CM:$CM,$B160))))))))</f>
        <v/>
      </c>
    </row>
    <row r="161" spans="1:28">
      <c r="A161">
        <v>160</v>
      </c>
      <c r="B161" t="str">
        <f>IFERROR(_xlfn.AGGREGATE(15,6,ROW(GLAPS컨테이너배차관리!$X$2:$X$20000)/(GLAPS컨테이너배차관리!$X$2:$X$20000&lt;&gt;""),A161),"")</f>
        <v/>
      </c>
      <c r="C161" t="str">
        <f>IF($B161="","",INT(IF(INDEX(GLAPS컨테이너배차관리!$K:$K,$B161)="","",INDEX(GLAPS컨테이너배차관리!$K:$K,$B161))))</f>
        <v/>
      </c>
      <c r="D161" t="str">
        <f>IF($B161="","",IF(ISNUMBER(SEARCH("이엘에스",IF(INDEX(GLAPS컨테이너배차관리!$AZ:$AZ,$B161)="","",INDEX(GLAPS컨테이너배차관리!$AZ:$AZ,$B161)))),"ELS솔루션",IF(INDEX(GLAPS컨테이너배차관리!$AZ:$AZ,$B161)="","",INDEX(GLAPS컨테이너배차관리!$AZ:$AZ,$B161))))</f>
        <v/>
      </c>
      <c r="E161" t="str">
        <f>IF($B161="","",IF(INDEX(GLAPS컨테이너배차관리!$L:$L,$B161)="","",INDEX(GLAPS컨테이너배차관리!$L:$L,$B161)))</f>
        <v/>
      </c>
      <c r="F161" t="str">
        <f>IF($B161="","",IF(HOUR(IF(INDEX(GLAPS컨테이너배차관리!$L:$L,$B161)="","",INDEX(GLAPS컨테이너배차관리!$L:$L,$B161)))&lt;12,"오전",IF(HOUR(IF(INDEX(GLAPS컨테이너배차관리!$L:$L,$B161)="","",INDEX(GLAPS컨테이너배차관리!$L:$L,$B161)))&lt;18,"오후","잔업")))</f>
        <v/>
      </c>
      <c r="G161" t="str">
        <f>IF($B161="","",IFERROR(INDEX(GLAPS정리!$G$3:$G$264,MATCH(IF(INDEX(GLAPS컨테이너배차관리!$BY:$BY,$B161)="","",INDEX(GLAPS컨테이너배차관리!$BY:$BY,$B161)),GLAPS정리!$H$3:$H$264,0)),TRIM(SUBSTITUTE(SUBSTITUTE(SUBSTITUTE(SUBSTITUTE(SUBSTITUTE(IF(INDEX(GLAPS컨테이너배차관리!$T:$T,$B161)="","",INDEX(GLAPS컨테이너배차관리!$T:$T,$B161)),"[GA]",""),"[GB]",""),"[GC]",""),"[KC]",""),"[GS]",""))))</f>
        <v/>
      </c>
      <c r="H161" t="str">
        <f>IF($B161="","",IFERROR(VLOOKUP(IF(INDEX(GLAPS컨테이너배차관리!$BY:$BY,$B161)="","",INDEX(GLAPS컨테이너배차관리!$BY:$BY,$B161)),GLAPS정리!$BT$3:$BV$200,3,0),""))</f>
        <v/>
      </c>
      <c r="I161" t="str">
        <f>IF($B161="","",LEFT(IF(INDEX(GLAPS컨테이너배차관리!$U:$U,$B161)="","",INDEX(GLAPS컨테이너배차관리!$U:$U,$B161)),FIND("/",IF(INDEX(GLAPS컨테이너배차관리!$U:$U,$B161)="","",INDEX(GLAPS컨테이너배차관리!$U:$U,$B161))&amp;"/")-1))</f>
        <v/>
      </c>
      <c r="J161" t="str">
        <f>IF($B161="","",IF(IF(INDEX(GLAPS컨테이너배차관리!$O:$O,$B161)="","",INDEX(GLAPS컨테이너배차관리!$O:$O,$B161))="EMC","EMA",IFERROR(INDEX(GLAPS정리!$A$2:$A$50,MATCH(IF(INDEX(GLAPS컨테이너배차관리!$O:$O,$B161)="","",INDEX(GLAPS컨테이너배차관리!$O:$O,$B161)),GLAPS정리!$D$2:$D$50,0)),IF(INDEX(GLAPS컨테이너배차관리!$O:$O,$B161)="","",INDEX(GLAPS컨테이너배차관리!$O:$O,$B161)))))</f>
        <v/>
      </c>
      <c r="K161" t="str">
        <f>IF($B161="","",IF(LEFT(IF(INDEX(GLAPS컨테이너배차관리!$Y:$Y,$B161)="","",INDEX(GLAPS컨테이너배차관리!$Y:$Y,$B161)),2)="22","20 Feet",IF(LEFT(IF(INDEX(GLAPS컨테이너배차관리!$Y:$Y,$B161)="","",INDEX(GLAPS컨테이너배차관리!$Y:$Y,$B161)),2)="42","40 Feet","40 Feet H")))</f>
        <v/>
      </c>
      <c r="L161" t="str">
        <f>IF($B161="","",IFERROR(INDEX(GLAPS정리!$BB$2:$BB$80,MATCH(IF(INDEX(GLAPS컨테이너배차관리!$BQ:$BQ,$B161)="","",INDEX(GLAPS컨테이너배차관리!$BQ:$BQ,$B161)),GLAPS정리!$BC$2:$BC$80,0)),IF(INDEX(GLAPS컨테이너배차관리!$BQ:$BQ,$B161)="","",INDEX(GLAPS컨테이너배차관리!$BQ:$BQ,$B161))))</f>
        <v/>
      </c>
      <c r="M161" t="str">
        <f>IF($B161="","",IFERROR(INDEX(GLAPS정리!$V$3:$V$180,MATCH(IF(INDEX(GLAPS컨테이너배차관리!$S:$S,$B161)="","",INDEX(GLAPS컨테이너배차관리!$S:$S,$B161)),GLAPS정리!$W$3:$W$180,0)),IF(INDEX(GLAPS컨테이너배차관리!$S:$S,$B161)="","",INDEX(GLAPS컨테이너배차관리!$S:$S,$B161))))</f>
        <v/>
      </c>
      <c r="N161" t="str">
        <f>IF($B161="","",IF(IF(INDEX(GLAPS컨테이너배차관리!$DF:$DF,$B161)="","",INDEX(GLAPS컨테이너배차관리!$DF:$DF,$B161))&lt;&gt;"",IF(INDEX(GLAPS컨테이너배차관리!$DF:$DF,$B161)="","",INDEX(GLAPS컨테이너배차관리!$DF:$DF,$B161)),IF(IF(INDEX(GLAPS컨테이너배차관리!$DG:$DG,$B161)="","",INDEX(GLAPS컨테이너배차관리!$DG:$DG,$B161))&lt;&gt;"",IF(INDEX(GLAPS컨테이너배차관리!$DG:$DG,$B161)="","",INDEX(GLAPS컨테이너배차관리!$DG:$DG,$B161)),"")))</f>
        <v/>
      </c>
      <c r="O161" t="str">
        <f>IF($B161="","",IF(INDEX(GLAPS컨테이너배차관리!$AB:$AB,$B161)="","",INDEX(GLAPS컨테이너배차관리!$AB:$AB,$B161)))</f>
        <v/>
      </c>
      <c r="P161" t="str">
        <f>IF($B161="","",IF(IF(INDEX(GLAPS컨테이너배차관리!$CP:$CP,$B161)="","",INDEX(GLAPS컨테이너배차관리!$CP:$CP,$B161))="","",IFERROR(INDEX(GLAPS정리!$BH$2:$BH$101,MATCH(IF(INDEX(GLAPS컨테이너배차관리!$CP:$CP,$B161)="","",INDEX(GLAPS컨테이너배차관리!$CP:$CP,$B161)),GLAPS정리!$BI$2:$BI$101,0)),IF(INDEX(GLAPS컨테이너배차관리!$CP:$CP,$B161)="","",INDEX(GLAPS컨테이너배차관리!$CP:$CP,$B161)))))</f>
        <v/>
      </c>
      <c r="Q161" t="str">
        <f>IF($B161="","",IF(AND(IF(INDEX(GLAPS컨테이너배차관리!$AK:$AK,$B161)="","",INDEX(GLAPS컨테이너배차관리!$AK:$AK,$B161))="Y",IF(INDEX(GLAPS컨테이너배차관리!$AI:$AI,$B161)="","",INDEX(GLAPS컨테이너배차관리!$AI:$AI,$B161))="Y"),"위험물리퍼",IF(IF(INDEX(GLAPS컨테이너배차관리!$AK:$AK,$B161)="","",INDEX(GLAPS컨테이너배차관리!$AK:$AK,$B161))="Y","위험물",IF(IF(INDEX(GLAPS컨테이너배차관리!$AI:$AI,$B161)="","",INDEX(GLAPS컨테이너배차관리!$AI:$AI,$B161))="Y","리퍼",""))))</f>
        <v/>
      </c>
      <c r="R161" t="str">
        <f>IF($B161="","",IF(LEFT(IF(INDEX(GLAPS컨테이너배차관리!$Y:$Y,$B161)="","",INDEX(GLAPS컨테이너배차관리!$Y:$Y,$B161)),2)="22",1,""))</f>
        <v/>
      </c>
      <c r="S161" t="str">
        <f>IF($B161="","",IF(LEFT(IF(INDEX(GLAPS컨테이너배차관리!$Y:$Y,$B161)="","",INDEX(GLAPS컨테이너배차관리!$Y:$Y,$B161)),2)="42",1,""))</f>
        <v/>
      </c>
      <c r="T161" t="str">
        <f>IF($B161="","",IF(LEFT(IF(INDEX(GLAPS컨테이너배차관리!$Y:$Y,$B161)="","",INDEX(GLAPS컨테이너배차관리!$Y:$Y,$B161)),2)="45",1,""))</f>
        <v/>
      </c>
      <c r="U161" t="str">
        <f>IF($B161="","",IF(INDEX(GLAPS컨테이너배차관리!$X:$X,$B161)="","",INDEX(GLAPS컨테이너배차관리!$X:$X,$B161)))</f>
        <v/>
      </c>
      <c r="V161" t="str">
        <f>IF($B161="","",IF(INDEX(GLAPS컨테이너배차관리!$Z:$Z,$B161)="","",INDEX(GLAPS컨테이너배차관리!$Z:$Z,$B161)))</f>
        <v/>
      </c>
      <c r="W161" t="str">
        <f>IF($B161="","",IF(IF(INDEX(GLAPS컨테이너배차관리!$DI:$DI,$B161)="","",INDEX(GLAPS컨테이너배차관리!$DI:$DI,$B161))&lt;&gt;"",IF(INDEX(GLAPS컨테이너배차관리!$DI:$DI,$B161)="","",INDEX(GLAPS컨테이너배차관리!$DI:$DI,$B161)),IF(IF(INDEX(GLAPS컨테이너배차관리!$DJ:$DJ,$B161)="","",INDEX(GLAPS컨테이너배차관리!$DJ:$DJ,$B161))&lt;&gt;"",IF(INDEX(GLAPS컨테이너배차관리!$DJ:$DJ,$B161)="","",INDEX(GLAPS컨테이너배차관리!$DJ:$DJ,$B161)),IF(IF(INDEX(GLAPS컨테이너배차관리!$DK:$DK,$B161)="","",INDEX(GLAPS컨테이너배차관리!$DK:$DK,$B161))&lt;&gt;"",IF(INDEX(GLAPS컨테이너배차관리!$DK:$DK,$B161)="","",INDEX(GLAPS컨테이너배차관리!$DK:$DK,$B161)),IF(IF(INDEX(GLAPS컨테이너배차관리!$DL:$DL,$B161)="","",INDEX(GLAPS컨테이너배차관리!$DL:$DL,$B161))&lt;&gt;"",IF(INDEX(GLAPS컨테이너배차관리!$DL:$DL,$B161)="","",INDEX(GLAPS컨테이너배차관리!$DL:$DL,$B161)),IF(IF(INDEX(GLAPS컨테이너배차관리!$DM:$DM,$B161)="","",INDEX(GLAPS컨테이너배차관리!$DM:$DM,$B161))&lt;&gt;"",IF(INDEX(GLAPS컨테이너배차관리!$DM:$DM,$B161)="","",INDEX(GLAPS컨테이너배차관리!$DM:$DM,$B161)),""))))))</f>
        <v/>
      </c>
      <c r="X161" t="str">
        <f>IF($B161="","",IF(INDEX(GLAPS컨테이너배차관리!$F:$F,$B161)="","",INDEX(GLAPS컨테이너배차관리!$F:$F,$B161)))</f>
        <v/>
      </c>
      <c r="Y161" t="str">
        <f>IF($B161="","",IF(IF(INDEX(GLAPS컨테이너배차관리!$M:$M,$B161)="","",INDEX(GLAPS컨테이너배차관리!$M:$M,$B161))&lt;&gt;"",IF(INDEX(GLAPS컨테이너배차관리!$M:$M,$B161)="","",INDEX(GLAPS컨테이너배차관리!$M:$M,$B161)),IF(IF(INDEX(GLAPS컨테이너배차관리!$N:$N,$B161)="","",INDEX(GLAPS컨테이너배차관리!$N:$N,$B161))&lt;&gt;"",IF(INDEX(GLAPS컨테이너배차관리!$N:$N,$B161)="","",INDEX(GLAPS컨테이너배차관리!$N:$N,$B161)),"")))</f>
        <v/>
      </c>
      <c r="Z161" t="str">
        <f>IF($B161="","",IF(IF(INDEX(GLAPS컨테이너배차관리!$CU:$CU,$B161)="","",INDEX(GLAPS컨테이너배차관리!$CU:$CU,$B161))="","",IFERROR(INT(IF(INDEX(GLAPS컨테이너배차관리!$CU:$CU,$B161)="","",INDEX(GLAPS컨테이너배차관리!$CU:$CU,$B161))),"")))</f>
        <v/>
      </c>
      <c r="AA161" t="str">
        <f>IF($B161="","",IF(AND(IF(INDEX(GLAPS컨테이너배차관리!$CL:$CL,$B161)="","",INDEX(GLAPS컨테이너배차관리!$CL:$CL,$B161))="",IF(INDEX(GLAPS컨테이너배차관리!$CM:$CM,$B161)="","",INDEX(GLAPS컨테이너배차관리!$CM:$CM,$B161))=""),"",IF(OR(IF(INDEX(GLAPS컨테이너배차관리!$CL:$CL,$B161)="","",INDEX(GLAPS컨테이너배차관리!$CL:$CL,$B161))="B000016649",ISNUMBER(SEARCH("B015",IF(INDEX(GLAPS컨테이너배차관리!$CM:$CM,$B161)="","",INDEX(GLAPS컨테이너배차관리!$CM:$CM,$B161)))),ISNUMBER(SEARCH("세방",IF(INDEX(GLAPS컨테이너배차관리!$CM:$CM,$B161)="","",INDEX(GLAPS컨테이너배차관리!$CM:$CM,$B161)))),ISNUMBER(SEARCH("SB",IF(INDEX(GLAPS컨테이너배차관리!$CM:$CM,$B161)="","",INDEX(GLAPS컨테이너배차관리!$CM:$CM,$B161))))),"세방","")))</f>
        <v/>
      </c>
      <c r="AB161" t="str">
        <f>IF($B161="","",IF(IF(INDEX(GLAPS컨테이너배차관리!$CM:$CM,$B161)="","",INDEX(GLAPS컨테이너배차관리!$CM:$CM,$B161))="","",IF(ISNUMBER(SEARCH("이지스두동",IF(INDEX(GLAPS컨테이너배차관리!$CM:$CM,$B161)="","",INDEX(GLAPS컨테이너배차관리!$CM:$CM,$B161)))),"이지스두동",IF(ISNUMBER(SEARCH("이지스녹산",IF(INDEX(GLAPS컨테이너배차관리!$CM:$CM,$B161)="","",INDEX(GLAPS컨테이너배차관리!$CM:$CM,$B161)))),"이지스녹산",IF(ISNUMBER(SEARCH("천우",IF(INDEX(GLAPS컨테이너배차관리!$CM:$CM,$B161)="","",INDEX(GLAPS컨테이너배차관리!$CM:$CM,$B161)))),"천우",IF(OR(ISNUMBER(SEARCH("청암",IF(INDEX(GLAPS컨테이너배차관리!$CM:$CM,$B161)="","",INDEX(GLAPS컨테이너배차관리!$CM:$CM,$B161)))),ISNUMBER(SEARCH("SB청암",IF(INDEX(GLAPS컨테이너배차관리!$CM:$CM,$B161)="","",INDEX(GLAPS컨테이너배차관리!$CM:$CM,$B161))))),"청암신항",IF(INDEX(GLAPS컨테이너배차관리!$CM:$CM,$B161)="","",INDEX(GLAPS컨테이너배차관리!$CM:$CM,$B161))))))))</f>
        <v/>
      </c>
    </row>
    <row r="162" spans="1:28">
      <c r="A162">
        <v>161</v>
      </c>
      <c r="B162" t="str">
        <f>IFERROR(_xlfn.AGGREGATE(15,6,ROW(GLAPS컨테이너배차관리!$X$2:$X$20000)/(GLAPS컨테이너배차관리!$X$2:$X$20000&lt;&gt;""),A162),"")</f>
        <v/>
      </c>
      <c r="C162" t="str">
        <f>IF($B162="","",INT(IF(INDEX(GLAPS컨테이너배차관리!$K:$K,$B162)="","",INDEX(GLAPS컨테이너배차관리!$K:$K,$B162))))</f>
        <v/>
      </c>
      <c r="D162" t="str">
        <f>IF($B162="","",IF(ISNUMBER(SEARCH("이엘에스",IF(INDEX(GLAPS컨테이너배차관리!$AZ:$AZ,$B162)="","",INDEX(GLAPS컨테이너배차관리!$AZ:$AZ,$B162)))),"ELS솔루션",IF(INDEX(GLAPS컨테이너배차관리!$AZ:$AZ,$B162)="","",INDEX(GLAPS컨테이너배차관리!$AZ:$AZ,$B162))))</f>
        <v/>
      </c>
      <c r="E162" t="str">
        <f>IF($B162="","",IF(INDEX(GLAPS컨테이너배차관리!$L:$L,$B162)="","",INDEX(GLAPS컨테이너배차관리!$L:$L,$B162)))</f>
        <v/>
      </c>
      <c r="F162" t="str">
        <f>IF($B162="","",IF(HOUR(IF(INDEX(GLAPS컨테이너배차관리!$L:$L,$B162)="","",INDEX(GLAPS컨테이너배차관리!$L:$L,$B162)))&lt;12,"오전",IF(HOUR(IF(INDEX(GLAPS컨테이너배차관리!$L:$L,$B162)="","",INDEX(GLAPS컨테이너배차관리!$L:$L,$B162)))&lt;18,"오후","잔업")))</f>
        <v/>
      </c>
      <c r="G162" t="str">
        <f>IF($B162="","",IFERROR(INDEX(GLAPS정리!$G$3:$G$264,MATCH(IF(INDEX(GLAPS컨테이너배차관리!$BY:$BY,$B162)="","",INDEX(GLAPS컨테이너배차관리!$BY:$BY,$B162)),GLAPS정리!$H$3:$H$264,0)),TRIM(SUBSTITUTE(SUBSTITUTE(SUBSTITUTE(SUBSTITUTE(SUBSTITUTE(IF(INDEX(GLAPS컨테이너배차관리!$T:$T,$B162)="","",INDEX(GLAPS컨테이너배차관리!$T:$T,$B162)),"[GA]",""),"[GB]",""),"[GC]",""),"[KC]",""),"[GS]",""))))</f>
        <v/>
      </c>
      <c r="H162" t="str">
        <f>IF($B162="","",IFERROR(VLOOKUP(IF(INDEX(GLAPS컨테이너배차관리!$BY:$BY,$B162)="","",INDEX(GLAPS컨테이너배차관리!$BY:$BY,$B162)),GLAPS정리!$BT$3:$BV$200,3,0),""))</f>
        <v/>
      </c>
      <c r="I162" t="str">
        <f>IF($B162="","",LEFT(IF(INDEX(GLAPS컨테이너배차관리!$U:$U,$B162)="","",INDEX(GLAPS컨테이너배차관리!$U:$U,$B162)),FIND("/",IF(INDEX(GLAPS컨테이너배차관리!$U:$U,$B162)="","",INDEX(GLAPS컨테이너배차관리!$U:$U,$B162))&amp;"/")-1))</f>
        <v/>
      </c>
      <c r="J162" t="str">
        <f>IF($B162="","",IF(IF(INDEX(GLAPS컨테이너배차관리!$O:$O,$B162)="","",INDEX(GLAPS컨테이너배차관리!$O:$O,$B162))="EMC","EMA",IFERROR(INDEX(GLAPS정리!$A$2:$A$50,MATCH(IF(INDEX(GLAPS컨테이너배차관리!$O:$O,$B162)="","",INDEX(GLAPS컨테이너배차관리!$O:$O,$B162)),GLAPS정리!$D$2:$D$50,0)),IF(INDEX(GLAPS컨테이너배차관리!$O:$O,$B162)="","",INDEX(GLAPS컨테이너배차관리!$O:$O,$B162)))))</f>
        <v/>
      </c>
      <c r="K162" t="str">
        <f>IF($B162="","",IF(LEFT(IF(INDEX(GLAPS컨테이너배차관리!$Y:$Y,$B162)="","",INDEX(GLAPS컨테이너배차관리!$Y:$Y,$B162)),2)="22","20 Feet",IF(LEFT(IF(INDEX(GLAPS컨테이너배차관리!$Y:$Y,$B162)="","",INDEX(GLAPS컨테이너배차관리!$Y:$Y,$B162)),2)="42","40 Feet","40 Feet H")))</f>
        <v/>
      </c>
      <c r="L162" t="str">
        <f>IF($B162="","",IFERROR(INDEX(GLAPS정리!$BB$2:$BB$80,MATCH(IF(INDEX(GLAPS컨테이너배차관리!$BQ:$BQ,$B162)="","",INDEX(GLAPS컨테이너배차관리!$BQ:$BQ,$B162)),GLAPS정리!$BC$2:$BC$80,0)),IF(INDEX(GLAPS컨테이너배차관리!$BQ:$BQ,$B162)="","",INDEX(GLAPS컨테이너배차관리!$BQ:$BQ,$B162))))</f>
        <v/>
      </c>
      <c r="M162" t="str">
        <f>IF($B162="","",IFERROR(INDEX(GLAPS정리!$V$3:$V$180,MATCH(IF(INDEX(GLAPS컨테이너배차관리!$S:$S,$B162)="","",INDEX(GLAPS컨테이너배차관리!$S:$S,$B162)),GLAPS정리!$W$3:$W$180,0)),IF(INDEX(GLAPS컨테이너배차관리!$S:$S,$B162)="","",INDEX(GLAPS컨테이너배차관리!$S:$S,$B162))))</f>
        <v/>
      </c>
      <c r="N162" t="str">
        <f>IF($B162="","",IF(IF(INDEX(GLAPS컨테이너배차관리!$DF:$DF,$B162)="","",INDEX(GLAPS컨테이너배차관리!$DF:$DF,$B162))&lt;&gt;"",IF(INDEX(GLAPS컨테이너배차관리!$DF:$DF,$B162)="","",INDEX(GLAPS컨테이너배차관리!$DF:$DF,$B162)),IF(IF(INDEX(GLAPS컨테이너배차관리!$DG:$DG,$B162)="","",INDEX(GLAPS컨테이너배차관리!$DG:$DG,$B162))&lt;&gt;"",IF(INDEX(GLAPS컨테이너배차관리!$DG:$DG,$B162)="","",INDEX(GLAPS컨테이너배차관리!$DG:$DG,$B162)),"")))</f>
        <v/>
      </c>
      <c r="O162" t="str">
        <f>IF($B162="","",IF(INDEX(GLAPS컨테이너배차관리!$AB:$AB,$B162)="","",INDEX(GLAPS컨테이너배차관리!$AB:$AB,$B162)))</f>
        <v/>
      </c>
      <c r="P162" t="str">
        <f>IF($B162="","",IF(IF(INDEX(GLAPS컨테이너배차관리!$CP:$CP,$B162)="","",INDEX(GLAPS컨테이너배차관리!$CP:$CP,$B162))="","",IFERROR(INDEX(GLAPS정리!$BH$2:$BH$101,MATCH(IF(INDEX(GLAPS컨테이너배차관리!$CP:$CP,$B162)="","",INDEX(GLAPS컨테이너배차관리!$CP:$CP,$B162)),GLAPS정리!$BI$2:$BI$101,0)),IF(INDEX(GLAPS컨테이너배차관리!$CP:$CP,$B162)="","",INDEX(GLAPS컨테이너배차관리!$CP:$CP,$B162)))))</f>
        <v/>
      </c>
      <c r="Q162" t="str">
        <f>IF($B162="","",IF(AND(IF(INDEX(GLAPS컨테이너배차관리!$AK:$AK,$B162)="","",INDEX(GLAPS컨테이너배차관리!$AK:$AK,$B162))="Y",IF(INDEX(GLAPS컨테이너배차관리!$AI:$AI,$B162)="","",INDEX(GLAPS컨테이너배차관리!$AI:$AI,$B162))="Y"),"위험물리퍼",IF(IF(INDEX(GLAPS컨테이너배차관리!$AK:$AK,$B162)="","",INDEX(GLAPS컨테이너배차관리!$AK:$AK,$B162))="Y","위험물",IF(IF(INDEX(GLAPS컨테이너배차관리!$AI:$AI,$B162)="","",INDEX(GLAPS컨테이너배차관리!$AI:$AI,$B162))="Y","리퍼",""))))</f>
        <v/>
      </c>
      <c r="R162" t="str">
        <f>IF($B162="","",IF(LEFT(IF(INDEX(GLAPS컨테이너배차관리!$Y:$Y,$B162)="","",INDEX(GLAPS컨테이너배차관리!$Y:$Y,$B162)),2)="22",1,""))</f>
        <v/>
      </c>
      <c r="S162" t="str">
        <f>IF($B162="","",IF(LEFT(IF(INDEX(GLAPS컨테이너배차관리!$Y:$Y,$B162)="","",INDEX(GLAPS컨테이너배차관리!$Y:$Y,$B162)),2)="42",1,""))</f>
        <v/>
      </c>
      <c r="T162" t="str">
        <f>IF($B162="","",IF(LEFT(IF(INDEX(GLAPS컨테이너배차관리!$Y:$Y,$B162)="","",INDEX(GLAPS컨테이너배차관리!$Y:$Y,$B162)),2)="45",1,""))</f>
        <v/>
      </c>
      <c r="U162" t="str">
        <f>IF($B162="","",IF(INDEX(GLAPS컨테이너배차관리!$X:$X,$B162)="","",INDEX(GLAPS컨테이너배차관리!$X:$X,$B162)))</f>
        <v/>
      </c>
      <c r="V162" t="str">
        <f>IF($B162="","",IF(INDEX(GLAPS컨테이너배차관리!$Z:$Z,$B162)="","",INDEX(GLAPS컨테이너배차관리!$Z:$Z,$B162)))</f>
        <v/>
      </c>
      <c r="W162" t="str">
        <f>IF($B162="","",IF(IF(INDEX(GLAPS컨테이너배차관리!$DI:$DI,$B162)="","",INDEX(GLAPS컨테이너배차관리!$DI:$DI,$B162))&lt;&gt;"",IF(INDEX(GLAPS컨테이너배차관리!$DI:$DI,$B162)="","",INDEX(GLAPS컨테이너배차관리!$DI:$DI,$B162)),IF(IF(INDEX(GLAPS컨테이너배차관리!$DJ:$DJ,$B162)="","",INDEX(GLAPS컨테이너배차관리!$DJ:$DJ,$B162))&lt;&gt;"",IF(INDEX(GLAPS컨테이너배차관리!$DJ:$DJ,$B162)="","",INDEX(GLAPS컨테이너배차관리!$DJ:$DJ,$B162)),IF(IF(INDEX(GLAPS컨테이너배차관리!$DK:$DK,$B162)="","",INDEX(GLAPS컨테이너배차관리!$DK:$DK,$B162))&lt;&gt;"",IF(INDEX(GLAPS컨테이너배차관리!$DK:$DK,$B162)="","",INDEX(GLAPS컨테이너배차관리!$DK:$DK,$B162)),IF(IF(INDEX(GLAPS컨테이너배차관리!$DL:$DL,$B162)="","",INDEX(GLAPS컨테이너배차관리!$DL:$DL,$B162))&lt;&gt;"",IF(INDEX(GLAPS컨테이너배차관리!$DL:$DL,$B162)="","",INDEX(GLAPS컨테이너배차관리!$DL:$DL,$B162)),IF(IF(INDEX(GLAPS컨테이너배차관리!$DM:$DM,$B162)="","",INDEX(GLAPS컨테이너배차관리!$DM:$DM,$B162))&lt;&gt;"",IF(INDEX(GLAPS컨테이너배차관리!$DM:$DM,$B162)="","",INDEX(GLAPS컨테이너배차관리!$DM:$DM,$B162)),""))))))</f>
        <v/>
      </c>
      <c r="X162" t="str">
        <f>IF($B162="","",IF(INDEX(GLAPS컨테이너배차관리!$F:$F,$B162)="","",INDEX(GLAPS컨테이너배차관리!$F:$F,$B162)))</f>
        <v/>
      </c>
      <c r="Y162" t="str">
        <f>IF($B162="","",IF(IF(INDEX(GLAPS컨테이너배차관리!$M:$M,$B162)="","",INDEX(GLAPS컨테이너배차관리!$M:$M,$B162))&lt;&gt;"",IF(INDEX(GLAPS컨테이너배차관리!$M:$M,$B162)="","",INDEX(GLAPS컨테이너배차관리!$M:$M,$B162)),IF(IF(INDEX(GLAPS컨테이너배차관리!$N:$N,$B162)="","",INDEX(GLAPS컨테이너배차관리!$N:$N,$B162))&lt;&gt;"",IF(INDEX(GLAPS컨테이너배차관리!$N:$N,$B162)="","",INDEX(GLAPS컨테이너배차관리!$N:$N,$B162)),"")))</f>
        <v/>
      </c>
      <c r="Z162" t="str">
        <f>IF($B162="","",IF(IF(INDEX(GLAPS컨테이너배차관리!$CU:$CU,$B162)="","",INDEX(GLAPS컨테이너배차관리!$CU:$CU,$B162))="","",IFERROR(INT(IF(INDEX(GLAPS컨테이너배차관리!$CU:$CU,$B162)="","",INDEX(GLAPS컨테이너배차관리!$CU:$CU,$B162))),"")))</f>
        <v/>
      </c>
      <c r="AA162" t="str">
        <f>IF($B162="","",IF(AND(IF(INDEX(GLAPS컨테이너배차관리!$CL:$CL,$B162)="","",INDEX(GLAPS컨테이너배차관리!$CL:$CL,$B162))="",IF(INDEX(GLAPS컨테이너배차관리!$CM:$CM,$B162)="","",INDEX(GLAPS컨테이너배차관리!$CM:$CM,$B162))=""),"",IF(OR(IF(INDEX(GLAPS컨테이너배차관리!$CL:$CL,$B162)="","",INDEX(GLAPS컨테이너배차관리!$CL:$CL,$B162))="B000016649",ISNUMBER(SEARCH("B015",IF(INDEX(GLAPS컨테이너배차관리!$CM:$CM,$B162)="","",INDEX(GLAPS컨테이너배차관리!$CM:$CM,$B162)))),ISNUMBER(SEARCH("세방",IF(INDEX(GLAPS컨테이너배차관리!$CM:$CM,$B162)="","",INDEX(GLAPS컨테이너배차관리!$CM:$CM,$B162)))),ISNUMBER(SEARCH("SB",IF(INDEX(GLAPS컨테이너배차관리!$CM:$CM,$B162)="","",INDEX(GLAPS컨테이너배차관리!$CM:$CM,$B162))))),"세방","")))</f>
        <v/>
      </c>
      <c r="AB162" t="str">
        <f>IF($B162="","",IF(IF(INDEX(GLAPS컨테이너배차관리!$CM:$CM,$B162)="","",INDEX(GLAPS컨테이너배차관리!$CM:$CM,$B162))="","",IF(ISNUMBER(SEARCH("이지스두동",IF(INDEX(GLAPS컨테이너배차관리!$CM:$CM,$B162)="","",INDEX(GLAPS컨테이너배차관리!$CM:$CM,$B162)))),"이지스두동",IF(ISNUMBER(SEARCH("이지스녹산",IF(INDEX(GLAPS컨테이너배차관리!$CM:$CM,$B162)="","",INDEX(GLAPS컨테이너배차관리!$CM:$CM,$B162)))),"이지스녹산",IF(ISNUMBER(SEARCH("천우",IF(INDEX(GLAPS컨테이너배차관리!$CM:$CM,$B162)="","",INDEX(GLAPS컨테이너배차관리!$CM:$CM,$B162)))),"천우",IF(OR(ISNUMBER(SEARCH("청암",IF(INDEX(GLAPS컨테이너배차관리!$CM:$CM,$B162)="","",INDEX(GLAPS컨테이너배차관리!$CM:$CM,$B162)))),ISNUMBER(SEARCH("SB청암",IF(INDEX(GLAPS컨테이너배차관리!$CM:$CM,$B162)="","",INDEX(GLAPS컨테이너배차관리!$CM:$CM,$B162))))),"청암신항",IF(INDEX(GLAPS컨테이너배차관리!$CM:$CM,$B162)="","",INDEX(GLAPS컨테이너배차관리!$CM:$CM,$B162))))))))</f>
        <v/>
      </c>
    </row>
    <row r="163" spans="1:28">
      <c r="A163">
        <v>162</v>
      </c>
      <c r="B163" t="str">
        <f>IFERROR(_xlfn.AGGREGATE(15,6,ROW(GLAPS컨테이너배차관리!$X$2:$X$20000)/(GLAPS컨테이너배차관리!$X$2:$X$20000&lt;&gt;""),A163),"")</f>
        <v/>
      </c>
      <c r="C163" t="str">
        <f>IF($B163="","",INT(IF(INDEX(GLAPS컨테이너배차관리!$K:$K,$B163)="","",INDEX(GLAPS컨테이너배차관리!$K:$K,$B163))))</f>
        <v/>
      </c>
      <c r="D163" t="str">
        <f>IF($B163="","",IF(ISNUMBER(SEARCH("이엘에스",IF(INDEX(GLAPS컨테이너배차관리!$AZ:$AZ,$B163)="","",INDEX(GLAPS컨테이너배차관리!$AZ:$AZ,$B163)))),"ELS솔루션",IF(INDEX(GLAPS컨테이너배차관리!$AZ:$AZ,$B163)="","",INDEX(GLAPS컨테이너배차관리!$AZ:$AZ,$B163))))</f>
        <v/>
      </c>
      <c r="E163" t="str">
        <f>IF($B163="","",IF(INDEX(GLAPS컨테이너배차관리!$L:$L,$B163)="","",INDEX(GLAPS컨테이너배차관리!$L:$L,$B163)))</f>
        <v/>
      </c>
      <c r="F163" t="str">
        <f>IF($B163="","",IF(HOUR(IF(INDEX(GLAPS컨테이너배차관리!$L:$L,$B163)="","",INDEX(GLAPS컨테이너배차관리!$L:$L,$B163)))&lt;12,"오전",IF(HOUR(IF(INDEX(GLAPS컨테이너배차관리!$L:$L,$B163)="","",INDEX(GLAPS컨테이너배차관리!$L:$L,$B163)))&lt;18,"오후","잔업")))</f>
        <v/>
      </c>
      <c r="G163" t="str">
        <f>IF($B163="","",IFERROR(INDEX(GLAPS정리!$G$3:$G$264,MATCH(IF(INDEX(GLAPS컨테이너배차관리!$BY:$BY,$B163)="","",INDEX(GLAPS컨테이너배차관리!$BY:$BY,$B163)),GLAPS정리!$H$3:$H$264,0)),TRIM(SUBSTITUTE(SUBSTITUTE(SUBSTITUTE(SUBSTITUTE(SUBSTITUTE(IF(INDEX(GLAPS컨테이너배차관리!$T:$T,$B163)="","",INDEX(GLAPS컨테이너배차관리!$T:$T,$B163)),"[GA]",""),"[GB]",""),"[GC]",""),"[KC]",""),"[GS]",""))))</f>
        <v/>
      </c>
      <c r="H163" t="str">
        <f>IF($B163="","",IFERROR(VLOOKUP(IF(INDEX(GLAPS컨테이너배차관리!$BY:$BY,$B163)="","",INDEX(GLAPS컨테이너배차관리!$BY:$BY,$B163)),GLAPS정리!$BT$3:$BV$200,3,0),""))</f>
        <v/>
      </c>
      <c r="I163" t="str">
        <f>IF($B163="","",LEFT(IF(INDEX(GLAPS컨테이너배차관리!$U:$U,$B163)="","",INDEX(GLAPS컨테이너배차관리!$U:$U,$B163)),FIND("/",IF(INDEX(GLAPS컨테이너배차관리!$U:$U,$B163)="","",INDEX(GLAPS컨테이너배차관리!$U:$U,$B163))&amp;"/")-1))</f>
        <v/>
      </c>
      <c r="J163" t="str">
        <f>IF($B163="","",IF(IF(INDEX(GLAPS컨테이너배차관리!$O:$O,$B163)="","",INDEX(GLAPS컨테이너배차관리!$O:$O,$B163))="EMC","EMA",IFERROR(INDEX(GLAPS정리!$A$2:$A$50,MATCH(IF(INDEX(GLAPS컨테이너배차관리!$O:$O,$B163)="","",INDEX(GLAPS컨테이너배차관리!$O:$O,$B163)),GLAPS정리!$D$2:$D$50,0)),IF(INDEX(GLAPS컨테이너배차관리!$O:$O,$B163)="","",INDEX(GLAPS컨테이너배차관리!$O:$O,$B163)))))</f>
        <v/>
      </c>
      <c r="K163" t="str">
        <f>IF($B163="","",IF(LEFT(IF(INDEX(GLAPS컨테이너배차관리!$Y:$Y,$B163)="","",INDEX(GLAPS컨테이너배차관리!$Y:$Y,$B163)),2)="22","20 Feet",IF(LEFT(IF(INDEX(GLAPS컨테이너배차관리!$Y:$Y,$B163)="","",INDEX(GLAPS컨테이너배차관리!$Y:$Y,$B163)),2)="42","40 Feet","40 Feet H")))</f>
        <v/>
      </c>
      <c r="L163" t="str">
        <f>IF($B163="","",IFERROR(INDEX(GLAPS정리!$BB$2:$BB$80,MATCH(IF(INDEX(GLAPS컨테이너배차관리!$BQ:$BQ,$B163)="","",INDEX(GLAPS컨테이너배차관리!$BQ:$BQ,$B163)),GLAPS정리!$BC$2:$BC$80,0)),IF(INDEX(GLAPS컨테이너배차관리!$BQ:$BQ,$B163)="","",INDEX(GLAPS컨테이너배차관리!$BQ:$BQ,$B163))))</f>
        <v/>
      </c>
      <c r="M163" t="str">
        <f>IF($B163="","",IFERROR(INDEX(GLAPS정리!$V$3:$V$180,MATCH(IF(INDEX(GLAPS컨테이너배차관리!$S:$S,$B163)="","",INDEX(GLAPS컨테이너배차관리!$S:$S,$B163)),GLAPS정리!$W$3:$W$180,0)),IF(INDEX(GLAPS컨테이너배차관리!$S:$S,$B163)="","",INDEX(GLAPS컨테이너배차관리!$S:$S,$B163))))</f>
        <v/>
      </c>
      <c r="N163" t="str">
        <f>IF($B163="","",IF(IF(INDEX(GLAPS컨테이너배차관리!$DF:$DF,$B163)="","",INDEX(GLAPS컨테이너배차관리!$DF:$DF,$B163))&lt;&gt;"",IF(INDEX(GLAPS컨테이너배차관리!$DF:$DF,$B163)="","",INDEX(GLAPS컨테이너배차관리!$DF:$DF,$B163)),IF(IF(INDEX(GLAPS컨테이너배차관리!$DG:$DG,$B163)="","",INDEX(GLAPS컨테이너배차관리!$DG:$DG,$B163))&lt;&gt;"",IF(INDEX(GLAPS컨테이너배차관리!$DG:$DG,$B163)="","",INDEX(GLAPS컨테이너배차관리!$DG:$DG,$B163)),"")))</f>
        <v/>
      </c>
      <c r="O163" t="str">
        <f>IF($B163="","",IF(INDEX(GLAPS컨테이너배차관리!$AB:$AB,$B163)="","",INDEX(GLAPS컨테이너배차관리!$AB:$AB,$B163)))</f>
        <v/>
      </c>
      <c r="P163" t="str">
        <f>IF($B163="","",IF(IF(INDEX(GLAPS컨테이너배차관리!$CP:$CP,$B163)="","",INDEX(GLAPS컨테이너배차관리!$CP:$CP,$B163))="","",IFERROR(INDEX(GLAPS정리!$BH$2:$BH$101,MATCH(IF(INDEX(GLAPS컨테이너배차관리!$CP:$CP,$B163)="","",INDEX(GLAPS컨테이너배차관리!$CP:$CP,$B163)),GLAPS정리!$BI$2:$BI$101,0)),IF(INDEX(GLAPS컨테이너배차관리!$CP:$CP,$B163)="","",INDEX(GLAPS컨테이너배차관리!$CP:$CP,$B163)))))</f>
        <v/>
      </c>
      <c r="Q163" t="str">
        <f>IF($B163="","",IF(AND(IF(INDEX(GLAPS컨테이너배차관리!$AK:$AK,$B163)="","",INDEX(GLAPS컨테이너배차관리!$AK:$AK,$B163))="Y",IF(INDEX(GLAPS컨테이너배차관리!$AI:$AI,$B163)="","",INDEX(GLAPS컨테이너배차관리!$AI:$AI,$B163))="Y"),"위험물리퍼",IF(IF(INDEX(GLAPS컨테이너배차관리!$AK:$AK,$B163)="","",INDEX(GLAPS컨테이너배차관리!$AK:$AK,$B163))="Y","위험물",IF(IF(INDEX(GLAPS컨테이너배차관리!$AI:$AI,$B163)="","",INDEX(GLAPS컨테이너배차관리!$AI:$AI,$B163))="Y","리퍼",""))))</f>
        <v/>
      </c>
      <c r="R163" t="str">
        <f>IF($B163="","",IF(LEFT(IF(INDEX(GLAPS컨테이너배차관리!$Y:$Y,$B163)="","",INDEX(GLAPS컨테이너배차관리!$Y:$Y,$B163)),2)="22",1,""))</f>
        <v/>
      </c>
      <c r="S163" t="str">
        <f>IF($B163="","",IF(LEFT(IF(INDEX(GLAPS컨테이너배차관리!$Y:$Y,$B163)="","",INDEX(GLAPS컨테이너배차관리!$Y:$Y,$B163)),2)="42",1,""))</f>
        <v/>
      </c>
      <c r="T163" t="str">
        <f>IF($B163="","",IF(LEFT(IF(INDEX(GLAPS컨테이너배차관리!$Y:$Y,$B163)="","",INDEX(GLAPS컨테이너배차관리!$Y:$Y,$B163)),2)="45",1,""))</f>
        <v/>
      </c>
      <c r="U163" t="str">
        <f>IF($B163="","",IF(INDEX(GLAPS컨테이너배차관리!$X:$X,$B163)="","",INDEX(GLAPS컨테이너배차관리!$X:$X,$B163)))</f>
        <v/>
      </c>
      <c r="V163" t="str">
        <f>IF($B163="","",IF(INDEX(GLAPS컨테이너배차관리!$Z:$Z,$B163)="","",INDEX(GLAPS컨테이너배차관리!$Z:$Z,$B163)))</f>
        <v/>
      </c>
      <c r="W163" t="str">
        <f>IF($B163="","",IF(IF(INDEX(GLAPS컨테이너배차관리!$DI:$DI,$B163)="","",INDEX(GLAPS컨테이너배차관리!$DI:$DI,$B163))&lt;&gt;"",IF(INDEX(GLAPS컨테이너배차관리!$DI:$DI,$B163)="","",INDEX(GLAPS컨테이너배차관리!$DI:$DI,$B163)),IF(IF(INDEX(GLAPS컨테이너배차관리!$DJ:$DJ,$B163)="","",INDEX(GLAPS컨테이너배차관리!$DJ:$DJ,$B163))&lt;&gt;"",IF(INDEX(GLAPS컨테이너배차관리!$DJ:$DJ,$B163)="","",INDEX(GLAPS컨테이너배차관리!$DJ:$DJ,$B163)),IF(IF(INDEX(GLAPS컨테이너배차관리!$DK:$DK,$B163)="","",INDEX(GLAPS컨테이너배차관리!$DK:$DK,$B163))&lt;&gt;"",IF(INDEX(GLAPS컨테이너배차관리!$DK:$DK,$B163)="","",INDEX(GLAPS컨테이너배차관리!$DK:$DK,$B163)),IF(IF(INDEX(GLAPS컨테이너배차관리!$DL:$DL,$B163)="","",INDEX(GLAPS컨테이너배차관리!$DL:$DL,$B163))&lt;&gt;"",IF(INDEX(GLAPS컨테이너배차관리!$DL:$DL,$B163)="","",INDEX(GLAPS컨테이너배차관리!$DL:$DL,$B163)),IF(IF(INDEX(GLAPS컨테이너배차관리!$DM:$DM,$B163)="","",INDEX(GLAPS컨테이너배차관리!$DM:$DM,$B163))&lt;&gt;"",IF(INDEX(GLAPS컨테이너배차관리!$DM:$DM,$B163)="","",INDEX(GLAPS컨테이너배차관리!$DM:$DM,$B163)),""))))))</f>
        <v/>
      </c>
      <c r="X163" t="str">
        <f>IF($B163="","",IF(INDEX(GLAPS컨테이너배차관리!$F:$F,$B163)="","",INDEX(GLAPS컨테이너배차관리!$F:$F,$B163)))</f>
        <v/>
      </c>
      <c r="Y163" t="str">
        <f>IF($B163="","",IF(IF(INDEX(GLAPS컨테이너배차관리!$M:$M,$B163)="","",INDEX(GLAPS컨테이너배차관리!$M:$M,$B163))&lt;&gt;"",IF(INDEX(GLAPS컨테이너배차관리!$M:$M,$B163)="","",INDEX(GLAPS컨테이너배차관리!$M:$M,$B163)),IF(IF(INDEX(GLAPS컨테이너배차관리!$N:$N,$B163)="","",INDEX(GLAPS컨테이너배차관리!$N:$N,$B163))&lt;&gt;"",IF(INDEX(GLAPS컨테이너배차관리!$N:$N,$B163)="","",INDEX(GLAPS컨테이너배차관리!$N:$N,$B163)),"")))</f>
        <v/>
      </c>
      <c r="Z163" t="str">
        <f>IF($B163="","",IF(IF(INDEX(GLAPS컨테이너배차관리!$CU:$CU,$B163)="","",INDEX(GLAPS컨테이너배차관리!$CU:$CU,$B163))="","",IFERROR(INT(IF(INDEX(GLAPS컨테이너배차관리!$CU:$CU,$B163)="","",INDEX(GLAPS컨테이너배차관리!$CU:$CU,$B163))),"")))</f>
        <v/>
      </c>
      <c r="AA163" t="str">
        <f>IF($B163="","",IF(AND(IF(INDEX(GLAPS컨테이너배차관리!$CL:$CL,$B163)="","",INDEX(GLAPS컨테이너배차관리!$CL:$CL,$B163))="",IF(INDEX(GLAPS컨테이너배차관리!$CM:$CM,$B163)="","",INDEX(GLAPS컨테이너배차관리!$CM:$CM,$B163))=""),"",IF(OR(IF(INDEX(GLAPS컨테이너배차관리!$CL:$CL,$B163)="","",INDEX(GLAPS컨테이너배차관리!$CL:$CL,$B163))="B000016649",ISNUMBER(SEARCH("B015",IF(INDEX(GLAPS컨테이너배차관리!$CM:$CM,$B163)="","",INDEX(GLAPS컨테이너배차관리!$CM:$CM,$B163)))),ISNUMBER(SEARCH("세방",IF(INDEX(GLAPS컨테이너배차관리!$CM:$CM,$B163)="","",INDEX(GLAPS컨테이너배차관리!$CM:$CM,$B163)))),ISNUMBER(SEARCH("SB",IF(INDEX(GLAPS컨테이너배차관리!$CM:$CM,$B163)="","",INDEX(GLAPS컨테이너배차관리!$CM:$CM,$B163))))),"세방","")))</f>
        <v/>
      </c>
      <c r="AB163" t="str">
        <f>IF($B163="","",IF(IF(INDEX(GLAPS컨테이너배차관리!$CM:$CM,$B163)="","",INDEX(GLAPS컨테이너배차관리!$CM:$CM,$B163))="","",IF(ISNUMBER(SEARCH("이지스두동",IF(INDEX(GLAPS컨테이너배차관리!$CM:$CM,$B163)="","",INDEX(GLAPS컨테이너배차관리!$CM:$CM,$B163)))),"이지스두동",IF(ISNUMBER(SEARCH("이지스녹산",IF(INDEX(GLAPS컨테이너배차관리!$CM:$CM,$B163)="","",INDEX(GLAPS컨테이너배차관리!$CM:$CM,$B163)))),"이지스녹산",IF(ISNUMBER(SEARCH("천우",IF(INDEX(GLAPS컨테이너배차관리!$CM:$CM,$B163)="","",INDEX(GLAPS컨테이너배차관리!$CM:$CM,$B163)))),"천우",IF(OR(ISNUMBER(SEARCH("청암",IF(INDEX(GLAPS컨테이너배차관리!$CM:$CM,$B163)="","",INDEX(GLAPS컨테이너배차관리!$CM:$CM,$B163)))),ISNUMBER(SEARCH("SB청암",IF(INDEX(GLAPS컨테이너배차관리!$CM:$CM,$B163)="","",INDEX(GLAPS컨테이너배차관리!$CM:$CM,$B163))))),"청암신항",IF(INDEX(GLAPS컨테이너배차관리!$CM:$CM,$B163)="","",INDEX(GLAPS컨테이너배차관리!$CM:$CM,$B163))))))))</f>
        <v/>
      </c>
    </row>
    <row r="164" spans="1:28">
      <c r="A164">
        <v>163</v>
      </c>
      <c r="B164" t="str">
        <f>IFERROR(_xlfn.AGGREGATE(15,6,ROW(GLAPS컨테이너배차관리!$X$2:$X$20000)/(GLAPS컨테이너배차관리!$X$2:$X$20000&lt;&gt;""),A164),"")</f>
        <v/>
      </c>
      <c r="C164" t="str">
        <f>IF($B164="","",INT(IF(INDEX(GLAPS컨테이너배차관리!$K:$K,$B164)="","",INDEX(GLAPS컨테이너배차관리!$K:$K,$B164))))</f>
        <v/>
      </c>
      <c r="D164" t="str">
        <f>IF($B164="","",IF(ISNUMBER(SEARCH("이엘에스",IF(INDEX(GLAPS컨테이너배차관리!$AZ:$AZ,$B164)="","",INDEX(GLAPS컨테이너배차관리!$AZ:$AZ,$B164)))),"ELS솔루션",IF(INDEX(GLAPS컨테이너배차관리!$AZ:$AZ,$B164)="","",INDEX(GLAPS컨테이너배차관리!$AZ:$AZ,$B164))))</f>
        <v/>
      </c>
      <c r="E164" t="str">
        <f>IF($B164="","",IF(INDEX(GLAPS컨테이너배차관리!$L:$L,$B164)="","",INDEX(GLAPS컨테이너배차관리!$L:$L,$B164)))</f>
        <v/>
      </c>
      <c r="F164" t="str">
        <f>IF($B164="","",IF(HOUR(IF(INDEX(GLAPS컨테이너배차관리!$L:$L,$B164)="","",INDEX(GLAPS컨테이너배차관리!$L:$L,$B164)))&lt;12,"오전",IF(HOUR(IF(INDEX(GLAPS컨테이너배차관리!$L:$L,$B164)="","",INDEX(GLAPS컨테이너배차관리!$L:$L,$B164)))&lt;18,"오후","잔업")))</f>
        <v/>
      </c>
      <c r="G164" t="str">
        <f>IF($B164="","",IFERROR(INDEX(GLAPS정리!$G$3:$G$264,MATCH(IF(INDEX(GLAPS컨테이너배차관리!$BY:$BY,$B164)="","",INDEX(GLAPS컨테이너배차관리!$BY:$BY,$B164)),GLAPS정리!$H$3:$H$264,0)),TRIM(SUBSTITUTE(SUBSTITUTE(SUBSTITUTE(SUBSTITUTE(SUBSTITUTE(IF(INDEX(GLAPS컨테이너배차관리!$T:$T,$B164)="","",INDEX(GLAPS컨테이너배차관리!$T:$T,$B164)),"[GA]",""),"[GB]",""),"[GC]",""),"[KC]",""),"[GS]",""))))</f>
        <v/>
      </c>
      <c r="H164" t="str">
        <f>IF($B164="","",IFERROR(VLOOKUP(IF(INDEX(GLAPS컨테이너배차관리!$BY:$BY,$B164)="","",INDEX(GLAPS컨테이너배차관리!$BY:$BY,$B164)),GLAPS정리!$BT$3:$BV$200,3,0),""))</f>
        <v/>
      </c>
      <c r="I164" t="str">
        <f>IF($B164="","",LEFT(IF(INDEX(GLAPS컨테이너배차관리!$U:$U,$B164)="","",INDEX(GLAPS컨테이너배차관리!$U:$U,$B164)),FIND("/",IF(INDEX(GLAPS컨테이너배차관리!$U:$U,$B164)="","",INDEX(GLAPS컨테이너배차관리!$U:$U,$B164))&amp;"/")-1))</f>
        <v/>
      </c>
      <c r="J164" t="str">
        <f>IF($B164="","",IF(IF(INDEX(GLAPS컨테이너배차관리!$O:$O,$B164)="","",INDEX(GLAPS컨테이너배차관리!$O:$O,$B164))="EMC","EMA",IFERROR(INDEX(GLAPS정리!$A$2:$A$50,MATCH(IF(INDEX(GLAPS컨테이너배차관리!$O:$O,$B164)="","",INDEX(GLAPS컨테이너배차관리!$O:$O,$B164)),GLAPS정리!$D$2:$D$50,0)),IF(INDEX(GLAPS컨테이너배차관리!$O:$O,$B164)="","",INDEX(GLAPS컨테이너배차관리!$O:$O,$B164)))))</f>
        <v/>
      </c>
      <c r="K164" t="str">
        <f>IF($B164="","",IF(LEFT(IF(INDEX(GLAPS컨테이너배차관리!$Y:$Y,$B164)="","",INDEX(GLAPS컨테이너배차관리!$Y:$Y,$B164)),2)="22","20 Feet",IF(LEFT(IF(INDEX(GLAPS컨테이너배차관리!$Y:$Y,$B164)="","",INDEX(GLAPS컨테이너배차관리!$Y:$Y,$B164)),2)="42","40 Feet","40 Feet H")))</f>
        <v/>
      </c>
      <c r="L164" t="str">
        <f>IF($B164="","",IFERROR(INDEX(GLAPS정리!$BB$2:$BB$80,MATCH(IF(INDEX(GLAPS컨테이너배차관리!$BQ:$BQ,$B164)="","",INDEX(GLAPS컨테이너배차관리!$BQ:$BQ,$B164)),GLAPS정리!$BC$2:$BC$80,0)),IF(INDEX(GLAPS컨테이너배차관리!$BQ:$BQ,$B164)="","",INDEX(GLAPS컨테이너배차관리!$BQ:$BQ,$B164))))</f>
        <v/>
      </c>
      <c r="M164" t="str">
        <f>IF($B164="","",IFERROR(INDEX(GLAPS정리!$V$3:$V$180,MATCH(IF(INDEX(GLAPS컨테이너배차관리!$S:$S,$B164)="","",INDEX(GLAPS컨테이너배차관리!$S:$S,$B164)),GLAPS정리!$W$3:$W$180,0)),IF(INDEX(GLAPS컨테이너배차관리!$S:$S,$B164)="","",INDEX(GLAPS컨테이너배차관리!$S:$S,$B164))))</f>
        <v/>
      </c>
      <c r="N164" t="str">
        <f>IF($B164="","",IF(IF(INDEX(GLAPS컨테이너배차관리!$DF:$DF,$B164)="","",INDEX(GLAPS컨테이너배차관리!$DF:$DF,$B164))&lt;&gt;"",IF(INDEX(GLAPS컨테이너배차관리!$DF:$DF,$B164)="","",INDEX(GLAPS컨테이너배차관리!$DF:$DF,$B164)),IF(IF(INDEX(GLAPS컨테이너배차관리!$DG:$DG,$B164)="","",INDEX(GLAPS컨테이너배차관리!$DG:$DG,$B164))&lt;&gt;"",IF(INDEX(GLAPS컨테이너배차관리!$DG:$DG,$B164)="","",INDEX(GLAPS컨테이너배차관리!$DG:$DG,$B164)),"")))</f>
        <v/>
      </c>
      <c r="O164" t="str">
        <f>IF($B164="","",IF(INDEX(GLAPS컨테이너배차관리!$AB:$AB,$B164)="","",INDEX(GLAPS컨테이너배차관리!$AB:$AB,$B164)))</f>
        <v/>
      </c>
      <c r="P164" t="str">
        <f>IF($B164="","",IF(IF(INDEX(GLAPS컨테이너배차관리!$CP:$CP,$B164)="","",INDEX(GLAPS컨테이너배차관리!$CP:$CP,$B164))="","",IFERROR(INDEX(GLAPS정리!$BH$2:$BH$101,MATCH(IF(INDEX(GLAPS컨테이너배차관리!$CP:$CP,$B164)="","",INDEX(GLAPS컨테이너배차관리!$CP:$CP,$B164)),GLAPS정리!$BI$2:$BI$101,0)),IF(INDEX(GLAPS컨테이너배차관리!$CP:$CP,$B164)="","",INDEX(GLAPS컨테이너배차관리!$CP:$CP,$B164)))))</f>
        <v/>
      </c>
      <c r="Q164" t="str">
        <f>IF($B164="","",IF(AND(IF(INDEX(GLAPS컨테이너배차관리!$AK:$AK,$B164)="","",INDEX(GLAPS컨테이너배차관리!$AK:$AK,$B164))="Y",IF(INDEX(GLAPS컨테이너배차관리!$AI:$AI,$B164)="","",INDEX(GLAPS컨테이너배차관리!$AI:$AI,$B164))="Y"),"위험물리퍼",IF(IF(INDEX(GLAPS컨테이너배차관리!$AK:$AK,$B164)="","",INDEX(GLAPS컨테이너배차관리!$AK:$AK,$B164))="Y","위험물",IF(IF(INDEX(GLAPS컨테이너배차관리!$AI:$AI,$B164)="","",INDEX(GLAPS컨테이너배차관리!$AI:$AI,$B164))="Y","리퍼",""))))</f>
        <v/>
      </c>
      <c r="R164" t="str">
        <f>IF($B164="","",IF(LEFT(IF(INDEX(GLAPS컨테이너배차관리!$Y:$Y,$B164)="","",INDEX(GLAPS컨테이너배차관리!$Y:$Y,$B164)),2)="22",1,""))</f>
        <v/>
      </c>
      <c r="S164" t="str">
        <f>IF($B164="","",IF(LEFT(IF(INDEX(GLAPS컨테이너배차관리!$Y:$Y,$B164)="","",INDEX(GLAPS컨테이너배차관리!$Y:$Y,$B164)),2)="42",1,""))</f>
        <v/>
      </c>
      <c r="T164" t="str">
        <f>IF($B164="","",IF(LEFT(IF(INDEX(GLAPS컨테이너배차관리!$Y:$Y,$B164)="","",INDEX(GLAPS컨테이너배차관리!$Y:$Y,$B164)),2)="45",1,""))</f>
        <v/>
      </c>
      <c r="U164" t="str">
        <f>IF($B164="","",IF(INDEX(GLAPS컨테이너배차관리!$X:$X,$B164)="","",INDEX(GLAPS컨테이너배차관리!$X:$X,$B164)))</f>
        <v/>
      </c>
      <c r="V164" t="str">
        <f>IF($B164="","",IF(INDEX(GLAPS컨테이너배차관리!$Z:$Z,$B164)="","",INDEX(GLAPS컨테이너배차관리!$Z:$Z,$B164)))</f>
        <v/>
      </c>
      <c r="W164" t="str">
        <f>IF($B164="","",IF(IF(INDEX(GLAPS컨테이너배차관리!$DI:$DI,$B164)="","",INDEX(GLAPS컨테이너배차관리!$DI:$DI,$B164))&lt;&gt;"",IF(INDEX(GLAPS컨테이너배차관리!$DI:$DI,$B164)="","",INDEX(GLAPS컨테이너배차관리!$DI:$DI,$B164)),IF(IF(INDEX(GLAPS컨테이너배차관리!$DJ:$DJ,$B164)="","",INDEX(GLAPS컨테이너배차관리!$DJ:$DJ,$B164))&lt;&gt;"",IF(INDEX(GLAPS컨테이너배차관리!$DJ:$DJ,$B164)="","",INDEX(GLAPS컨테이너배차관리!$DJ:$DJ,$B164)),IF(IF(INDEX(GLAPS컨테이너배차관리!$DK:$DK,$B164)="","",INDEX(GLAPS컨테이너배차관리!$DK:$DK,$B164))&lt;&gt;"",IF(INDEX(GLAPS컨테이너배차관리!$DK:$DK,$B164)="","",INDEX(GLAPS컨테이너배차관리!$DK:$DK,$B164)),IF(IF(INDEX(GLAPS컨테이너배차관리!$DL:$DL,$B164)="","",INDEX(GLAPS컨테이너배차관리!$DL:$DL,$B164))&lt;&gt;"",IF(INDEX(GLAPS컨테이너배차관리!$DL:$DL,$B164)="","",INDEX(GLAPS컨테이너배차관리!$DL:$DL,$B164)),IF(IF(INDEX(GLAPS컨테이너배차관리!$DM:$DM,$B164)="","",INDEX(GLAPS컨테이너배차관리!$DM:$DM,$B164))&lt;&gt;"",IF(INDEX(GLAPS컨테이너배차관리!$DM:$DM,$B164)="","",INDEX(GLAPS컨테이너배차관리!$DM:$DM,$B164)),""))))))</f>
        <v/>
      </c>
      <c r="X164" t="str">
        <f>IF($B164="","",IF(INDEX(GLAPS컨테이너배차관리!$F:$F,$B164)="","",INDEX(GLAPS컨테이너배차관리!$F:$F,$B164)))</f>
        <v/>
      </c>
      <c r="Y164" t="str">
        <f>IF($B164="","",IF(IF(INDEX(GLAPS컨테이너배차관리!$M:$M,$B164)="","",INDEX(GLAPS컨테이너배차관리!$M:$M,$B164))&lt;&gt;"",IF(INDEX(GLAPS컨테이너배차관리!$M:$M,$B164)="","",INDEX(GLAPS컨테이너배차관리!$M:$M,$B164)),IF(IF(INDEX(GLAPS컨테이너배차관리!$N:$N,$B164)="","",INDEX(GLAPS컨테이너배차관리!$N:$N,$B164))&lt;&gt;"",IF(INDEX(GLAPS컨테이너배차관리!$N:$N,$B164)="","",INDEX(GLAPS컨테이너배차관리!$N:$N,$B164)),"")))</f>
        <v/>
      </c>
      <c r="Z164" t="str">
        <f>IF($B164="","",IF(IF(INDEX(GLAPS컨테이너배차관리!$CU:$CU,$B164)="","",INDEX(GLAPS컨테이너배차관리!$CU:$CU,$B164))="","",IFERROR(INT(IF(INDEX(GLAPS컨테이너배차관리!$CU:$CU,$B164)="","",INDEX(GLAPS컨테이너배차관리!$CU:$CU,$B164))),"")))</f>
        <v/>
      </c>
      <c r="AA164" t="str">
        <f>IF($B164="","",IF(AND(IF(INDEX(GLAPS컨테이너배차관리!$CL:$CL,$B164)="","",INDEX(GLAPS컨테이너배차관리!$CL:$CL,$B164))="",IF(INDEX(GLAPS컨테이너배차관리!$CM:$CM,$B164)="","",INDEX(GLAPS컨테이너배차관리!$CM:$CM,$B164))=""),"",IF(OR(IF(INDEX(GLAPS컨테이너배차관리!$CL:$CL,$B164)="","",INDEX(GLAPS컨테이너배차관리!$CL:$CL,$B164))="B000016649",ISNUMBER(SEARCH("B015",IF(INDEX(GLAPS컨테이너배차관리!$CM:$CM,$B164)="","",INDEX(GLAPS컨테이너배차관리!$CM:$CM,$B164)))),ISNUMBER(SEARCH("세방",IF(INDEX(GLAPS컨테이너배차관리!$CM:$CM,$B164)="","",INDEX(GLAPS컨테이너배차관리!$CM:$CM,$B164)))),ISNUMBER(SEARCH("SB",IF(INDEX(GLAPS컨테이너배차관리!$CM:$CM,$B164)="","",INDEX(GLAPS컨테이너배차관리!$CM:$CM,$B164))))),"세방","")))</f>
        <v/>
      </c>
      <c r="AB164" t="str">
        <f>IF($B164="","",IF(IF(INDEX(GLAPS컨테이너배차관리!$CM:$CM,$B164)="","",INDEX(GLAPS컨테이너배차관리!$CM:$CM,$B164))="","",IF(ISNUMBER(SEARCH("이지스두동",IF(INDEX(GLAPS컨테이너배차관리!$CM:$CM,$B164)="","",INDEX(GLAPS컨테이너배차관리!$CM:$CM,$B164)))),"이지스두동",IF(ISNUMBER(SEARCH("이지스녹산",IF(INDEX(GLAPS컨테이너배차관리!$CM:$CM,$B164)="","",INDEX(GLAPS컨테이너배차관리!$CM:$CM,$B164)))),"이지스녹산",IF(ISNUMBER(SEARCH("천우",IF(INDEX(GLAPS컨테이너배차관리!$CM:$CM,$B164)="","",INDEX(GLAPS컨테이너배차관리!$CM:$CM,$B164)))),"천우",IF(OR(ISNUMBER(SEARCH("청암",IF(INDEX(GLAPS컨테이너배차관리!$CM:$CM,$B164)="","",INDEX(GLAPS컨테이너배차관리!$CM:$CM,$B164)))),ISNUMBER(SEARCH("SB청암",IF(INDEX(GLAPS컨테이너배차관리!$CM:$CM,$B164)="","",INDEX(GLAPS컨테이너배차관리!$CM:$CM,$B164))))),"청암신항",IF(INDEX(GLAPS컨테이너배차관리!$CM:$CM,$B164)="","",INDEX(GLAPS컨테이너배차관리!$CM:$CM,$B164))))))))</f>
        <v/>
      </c>
    </row>
    <row r="165" spans="1:28">
      <c r="A165">
        <v>164</v>
      </c>
      <c r="B165" t="str">
        <f>IFERROR(_xlfn.AGGREGATE(15,6,ROW(GLAPS컨테이너배차관리!$X$2:$X$20000)/(GLAPS컨테이너배차관리!$X$2:$X$20000&lt;&gt;""),A165),"")</f>
        <v/>
      </c>
      <c r="C165" t="str">
        <f>IF($B165="","",INT(IF(INDEX(GLAPS컨테이너배차관리!$K:$K,$B165)="","",INDEX(GLAPS컨테이너배차관리!$K:$K,$B165))))</f>
        <v/>
      </c>
      <c r="D165" t="str">
        <f>IF($B165="","",IF(ISNUMBER(SEARCH("이엘에스",IF(INDEX(GLAPS컨테이너배차관리!$AZ:$AZ,$B165)="","",INDEX(GLAPS컨테이너배차관리!$AZ:$AZ,$B165)))),"ELS솔루션",IF(INDEX(GLAPS컨테이너배차관리!$AZ:$AZ,$B165)="","",INDEX(GLAPS컨테이너배차관리!$AZ:$AZ,$B165))))</f>
        <v/>
      </c>
      <c r="E165" t="str">
        <f>IF($B165="","",IF(INDEX(GLAPS컨테이너배차관리!$L:$L,$B165)="","",INDEX(GLAPS컨테이너배차관리!$L:$L,$B165)))</f>
        <v/>
      </c>
      <c r="F165" t="str">
        <f>IF($B165="","",IF(HOUR(IF(INDEX(GLAPS컨테이너배차관리!$L:$L,$B165)="","",INDEX(GLAPS컨테이너배차관리!$L:$L,$B165)))&lt;12,"오전",IF(HOUR(IF(INDEX(GLAPS컨테이너배차관리!$L:$L,$B165)="","",INDEX(GLAPS컨테이너배차관리!$L:$L,$B165)))&lt;18,"오후","잔업")))</f>
        <v/>
      </c>
      <c r="G165" t="str">
        <f>IF($B165="","",IFERROR(INDEX(GLAPS정리!$G$3:$G$264,MATCH(IF(INDEX(GLAPS컨테이너배차관리!$BY:$BY,$B165)="","",INDEX(GLAPS컨테이너배차관리!$BY:$BY,$B165)),GLAPS정리!$H$3:$H$264,0)),TRIM(SUBSTITUTE(SUBSTITUTE(SUBSTITUTE(SUBSTITUTE(SUBSTITUTE(IF(INDEX(GLAPS컨테이너배차관리!$T:$T,$B165)="","",INDEX(GLAPS컨테이너배차관리!$T:$T,$B165)),"[GA]",""),"[GB]",""),"[GC]",""),"[KC]",""),"[GS]",""))))</f>
        <v/>
      </c>
      <c r="H165" t="str">
        <f>IF($B165="","",IFERROR(VLOOKUP(IF(INDEX(GLAPS컨테이너배차관리!$BY:$BY,$B165)="","",INDEX(GLAPS컨테이너배차관리!$BY:$BY,$B165)),GLAPS정리!$BT$3:$BV$200,3,0),""))</f>
        <v/>
      </c>
      <c r="I165" t="str">
        <f>IF($B165="","",LEFT(IF(INDEX(GLAPS컨테이너배차관리!$U:$U,$B165)="","",INDEX(GLAPS컨테이너배차관리!$U:$U,$B165)),FIND("/",IF(INDEX(GLAPS컨테이너배차관리!$U:$U,$B165)="","",INDEX(GLAPS컨테이너배차관리!$U:$U,$B165))&amp;"/")-1))</f>
        <v/>
      </c>
      <c r="J165" t="str">
        <f>IF($B165="","",IF(IF(INDEX(GLAPS컨테이너배차관리!$O:$O,$B165)="","",INDEX(GLAPS컨테이너배차관리!$O:$O,$B165))="EMC","EMA",IFERROR(INDEX(GLAPS정리!$A$2:$A$50,MATCH(IF(INDEX(GLAPS컨테이너배차관리!$O:$O,$B165)="","",INDEX(GLAPS컨테이너배차관리!$O:$O,$B165)),GLAPS정리!$D$2:$D$50,0)),IF(INDEX(GLAPS컨테이너배차관리!$O:$O,$B165)="","",INDEX(GLAPS컨테이너배차관리!$O:$O,$B165)))))</f>
        <v/>
      </c>
      <c r="K165" t="str">
        <f>IF($B165="","",IF(LEFT(IF(INDEX(GLAPS컨테이너배차관리!$Y:$Y,$B165)="","",INDEX(GLAPS컨테이너배차관리!$Y:$Y,$B165)),2)="22","20 Feet",IF(LEFT(IF(INDEX(GLAPS컨테이너배차관리!$Y:$Y,$B165)="","",INDEX(GLAPS컨테이너배차관리!$Y:$Y,$B165)),2)="42","40 Feet","40 Feet H")))</f>
        <v/>
      </c>
      <c r="L165" t="str">
        <f>IF($B165="","",IFERROR(INDEX(GLAPS정리!$BB$2:$BB$80,MATCH(IF(INDEX(GLAPS컨테이너배차관리!$BQ:$BQ,$B165)="","",INDEX(GLAPS컨테이너배차관리!$BQ:$BQ,$B165)),GLAPS정리!$BC$2:$BC$80,0)),IF(INDEX(GLAPS컨테이너배차관리!$BQ:$BQ,$B165)="","",INDEX(GLAPS컨테이너배차관리!$BQ:$BQ,$B165))))</f>
        <v/>
      </c>
      <c r="M165" t="str">
        <f>IF($B165="","",IFERROR(INDEX(GLAPS정리!$V$3:$V$180,MATCH(IF(INDEX(GLAPS컨테이너배차관리!$S:$S,$B165)="","",INDEX(GLAPS컨테이너배차관리!$S:$S,$B165)),GLAPS정리!$W$3:$W$180,0)),IF(INDEX(GLAPS컨테이너배차관리!$S:$S,$B165)="","",INDEX(GLAPS컨테이너배차관리!$S:$S,$B165))))</f>
        <v/>
      </c>
      <c r="N165" t="str">
        <f>IF($B165="","",IF(IF(INDEX(GLAPS컨테이너배차관리!$DF:$DF,$B165)="","",INDEX(GLAPS컨테이너배차관리!$DF:$DF,$B165))&lt;&gt;"",IF(INDEX(GLAPS컨테이너배차관리!$DF:$DF,$B165)="","",INDEX(GLAPS컨테이너배차관리!$DF:$DF,$B165)),IF(IF(INDEX(GLAPS컨테이너배차관리!$DG:$DG,$B165)="","",INDEX(GLAPS컨테이너배차관리!$DG:$DG,$B165))&lt;&gt;"",IF(INDEX(GLAPS컨테이너배차관리!$DG:$DG,$B165)="","",INDEX(GLAPS컨테이너배차관리!$DG:$DG,$B165)),"")))</f>
        <v/>
      </c>
      <c r="O165" t="str">
        <f>IF($B165="","",IF(INDEX(GLAPS컨테이너배차관리!$AB:$AB,$B165)="","",INDEX(GLAPS컨테이너배차관리!$AB:$AB,$B165)))</f>
        <v/>
      </c>
      <c r="P165" t="str">
        <f>IF($B165="","",IF(IF(INDEX(GLAPS컨테이너배차관리!$CP:$CP,$B165)="","",INDEX(GLAPS컨테이너배차관리!$CP:$CP,$B165))="","",IFERROR(INDEX(GLAPS정리!$BH$2:$BH$101,MATCH(IF(INDEX(GLAPS컨테이너배차관리!$CP:$CP,$B165)="","",INDEX(GLAPS컨테이너배차관리!$CP:$CP,$B165)),GLAPS정리!$BI$2:$BI$101,0)),IF(INDEX(GLAPS컨테이너배차관리!$CP:$CP,$B165)="","",INDEX(GLAPS컨테이너배차관리!$CP:$CP,$B165)))))</f>
        <v/>
      </c>
      <c r="Q165" t="str">
        <f>IF($B165="","",IF(AND(IF(INDEX(GLAPS컨테이너배차관리!$AK:$AK,$B165)="","",INDEX(GLAPS컨테이너배차관리!$AK:$AK,$B165))="Y",IF(INDEX(GLAPS컨테이너배차관리!$AI:$AI,$B165)="","",INDEX(GLAPS컨테이너배차관리!$AI:$AI,$B165))="Y"),"위험물리퍼",IF(IF(INDEX(GLAPS컨테이너배차관리!$AK:$AK,$B165)="","",INDEX(GLAPS컨테이너배차관리!$AK:$AK,$B165))="Y","위험물",IF(IF(INDEX(GLAPS컨테이너배차관리!$AI:$AI,$B165)="","",INDEX(GLAPS컨테이너배차관리!$AI:$AI,$B165))="Y","리퍼",""))))</f>
        <v/>
      </c>
      <c r="R165" t="str">
        <f>IF($B165="","",IF(LEFT(IF(INDEX(GLAPS컨테이너배차관리!$Y:$Y,$B165)="","",INDEX(GLAPS컨테이너배차관리!$Y:$Y,$B165)),2)="22",1,""))</f>
        <v/>
      </c>
      <c r="S165" t="str">
        <f>IF($B165="","",IF(LEFT(IF(INDEX(GLAPS컨테이너배차관리!$Y:$Y,$B165)="","",INDEX(GLAPS컨테이너배차관리!$Y:$Y,$B165)),2)="42",1,""))</f>
        <v/>
      </c>
      <c r="T165" t="str">
        <f>IF($B165="","",IF(LEFT(IF(INDEX(GLAPS컨테이너배차관리!$Y:$Y,$B165)="","",INDEX(GLAPS컨테이너배차관리!$Y:$Y,$B165)),2)="45",1,""))</f>
        <v/>
      </c>
      <c r="U165" t="str">
        <f>IF($B165="","",IF(INDEX(GLAPS컨테이너배차관리!$X:$X,$B165)="","",INDEX(GLAPS컨테이너배차관리!$X:$X,$B165)))</f>
        <v/>
      </c>
      <c r="V165" t="str">
        <f>IF($B165="","",IF(INDEX(GLAPS컨테이너배차관리!$Z:$Z,$B165)="","",INDEX(GLAPS컨테이너배차관리!$Z:$Z,$B165)))</f>
        <v/>
      </c>
      <c r="W165" t="str">
        <f>IF($B165="","",IF(IF(INDEX(GLAPS컨테이너배차관리!$DI:$DI,$B165)="","",INDEX(GLAPS컨테이너배차관리!$DI:$DI,$B165))&lt;&gt;"",IF(INDEX(GLAPS컨테이너배차관리!$DI:$DI,$B165)="","",INDEX(GLAPS컨테이너배차관리!$DI:$DI,$B165)),IF(IF(INDEX(GLAPS컨테이너배차관리!$DJ:$DJ,$B165)="","",INDEX(GLAPS컨테이너배차관리!$DJ:$DJ,$B165))&lt;&gt;"",IF(INDEX(GLAPS컨테이너배차관리!$DJ:$DJ,$B165)="","",INDEX(GLAPS컨테이너배차관리!$DJ:$DJ,$B165)),IF(IF(INDEX(GLAPS컨테이너배차관리!$DK:$DK,$B165)="","",INDEX(GLAPS컨테이너배차관리!$DK:$DK,$B165))&lt;&gt;"",IF(INDEX(GLAPS컨테이너배차관리!$DK:$DK,$B165)="","",INDEX(GLAPS컨테이너배차관리!$DK:$DK,$B165)),IF(IF(INDEX(GLAPS컨테이너배차관리!$DL:$DL,$B165)="","",INDEX(GLAPS컨테이너배차관리!$DL:$DL,$B165))&lt;&gt;"",IF(INDEX(GLAPS컨테이너배차관리!$DL:$DL,$B165)="","",INDEX(GLAPS컨테이너배차관리!$DL:$DL,$B165)),IF(IF(INDEX(GLAPS컨테이너배차관리!$DM:$DM,$B165)="","",INDEX(GLAPS컨테이너배차관리!$DM:$DM,$B165))&lt;&gt;"",IF(INDEX(GLAPS컨테이너배차관리!$DM:$DM,$B165)="","",INDEX(GLAPS컨테이너배차관리!$DM:$DM,$B165)),""))))))</f>
        <v/>
      </c>
      <c r="X165" t="str">
        <f>IF($B165="","",IF(INDEX(GLAPS컨테이너배차관리!$F:$F,$B165)="","",INDEX(GLAPS컨테이너배차관리!$F:$F,$B165)))</f>
        <v/>
      </c>
      <c r="Y165" t="str">
        <f>IF($B165="","",IF(IF(INDEX(GLAPS컨테이너배차관리!$M:$M,$B165)="","",INDEX(GLAPS컨테이너배차관리!$M:$M,$B165))&lt;&gt;"",IF(INDEX(GLAPS컨테이너배차관리!$M:$M,$B165)="","",INDEX(GLAPS컨테이너배차관리!$M:$M,$B165)),IF(IF(INDEX(GLAPS컨테이너배차관리!$N:$N,$B165)="","",INDEX(GLAPS컨테이너배차관리!$N:$N,$B165))&lt;&gt;"",IF(INDEX(GLAPS컨테이너배차관리!$N:$N,$B165)="","",INDEX(GLAPS컨테이너배차관리!$N:$N,$B165)),"")))</f>
        <v/>
      </c>
      <c r="Z165" t="str">
        <f>IF($B165="","",IF(IF(INDEX(GLAPS컨테이너배차관리!$CU:$CU,$B165)="","",INDEX(GLAPS컨테이너배차관리!$CU:$CU,$B165))="","",IFERROR(INT(IF(INDEX(GLAPS컨테이너배차관리!$CU:$CU,$B165)="","",INDEX(GLAPS컨테이너배차관리!$CU:$CU,$B165))),"")))</f>
        <v/>
      </c>
      <c r="AA165" t="str">
        <f>IF($B165="","",IF(AND(IF(INDEX(GLAPS컨테이너배차관리!$CL:$CL,$B165)="","",INDEX(GLAPS컨테이너배차관리!$CL:$CL,$B165))="",IF(INDEX(GLAPS컨테이너배차관리!$CM:$CM,$B165)="","",INDEX(GLAPS컨테이너배차관리!$CM:$CM,$B165))=""),"",IF(OR(IF(INDEX(GLAPS컨테이너배차관리!$CL:$CL,$B165)="","",INDEX(GLAPS컨테이너배차관리!$CL:$CL,$B165))="B000016649",ISNUMBER(SEARCH("B015",IF(INDEX(GLAPS컨테이너배차관리!$CM:$CM,$B165)="","",INDEX(GLAPS컨테이너배차관리!$CM:$CM,$B165)))),ISNUMBER(SEARCH("세방",IF(INDEX(GLAPS컨테이너배차관리!$CM:$CM,$B165)="","",INDEX(GLAPS컨테이너배차관리!$CM:$CM,$B165)))),ISNUMBER(SEARCH("SB",IF(INDEX(GLAPS컨테이너배차관리!$CM:$CM,$B165)="","",INDEX(GLAPS컨테이너배차관리!$CM:$CM,$B165))))),"세방","")))</f>
        <v/>
      </c>
      <c r="AB165" t="str">
        <f>IF($B165="","",IF(IF(INDEX(GLAPS컨테이너배차관리!$CM:$CM,$B165)="","",INDEX(GLAPS컨테이너배차관리!$CM:$CM,$B165))="","",IF(ISNUMBER(SEARCH("이지스두동",IF(INDEX(GLAPS컨테이너배차관리!$CM:$CM,$B165)="","",INDEX(GLAPS컨테이너배차관리!$CM:$CM,$B165)))),"이지스두동",IF(ISNUMBER(SEARCH("이지스녹산",IF(INDEX(GLAPS컨테이너배차관리!$CM:$CM,$B165)="","",INDEX(GLAPS컨테이너배차관리!$CM:$CM,$B165)))),"이지스녹산",IF(ISNUMBER(SEARCH("천우",IF(INDEX(GLAPS컨테이너배차관리!$CM:$CM,$B165)="","",INDEX(GLAPS컨테이너배차관리!$CM:$CM,$B165)))),"천우",IF(OR(ISNUMBER(SEARCH("청암",IF(INDEX(GLAPS컨테이너배차관리!$CM:$CM,$B165)="","",INDEX(GLAPS컨테이너배차관리!$CM:$CM,$B165)))),ISNUMBER(SEARCH("SB청암",IF(INDEX(GLAPS컨테이너배차관리!$CM:$CM,$B165)="","",INDEX(GLAPS컨테이너배차관리!$CM:$CM,$B165))))),"청암신항",IF(INDEX(GLAPS컨테이너배차관리!$CM:$CM,$B165)="","",INDEX(GLAPS컨테이너배차관리!$CM:$CM,$B165))))))))</f>
        <v/>
      </c>
    </row>
    <row r="166" spans="1:28">
      <c r="A166">
        <v>165</v>
      </c>
      <c r="B166" t="str">
        <f>IFERROR(_xlfn.AGGREGATE(15,6,ROW(GLAPS컨테이너배차관리!$X$2:$X$20000)/(GLAPS컨테이너배차관리!$X$2:$X$20000&lt;&gt;""),A166),"")</f>
        <v/>
      </c>
      <c r="C166" t="str">
        <f>IF($B166="","",INT(IF(INDEX(GLAPS컨테이너배차관리!$K:$K,$B166)="","",INDEX(GLAPS컨테이너배차관리!$K:$K,$B166))))</f>
        <v/>
      </c>
      <c r="D166" t="str">
        <f>IF($B166="","",IF(ISNUMBER(SEARCH("이엘에스",IF(INDEX(GLAPS컨테이너배차관리!$AZ:$AZ,$B166)="","",INDEX(GLAPS컨테이너배차관리!$AZ:$AZ,$B166)))),"ELS솔루션",IF(INDEX(GLAPS컨테이너배차관리!$AZ:$AZ,$B166)="","",INDEX(GLAPS컨테이너배차관리!$AZ:$AZ,$B166))))</f>
        <v/>
      </c>
      <c r="E166" t="str">
        <f>IF($B166="","",IF(INDEX(GLAPS컨테이너배차관리!$L:$L,$B166)="","",INDEX(GLAPS컨테이너배차관리!$L:$L,$B166)))</f>
        <v/>
      </c>
      <c r="F166" t="str">
        <f>IF($B166="","",IF(HOUR(IF(INDEX(GLAPS컨테이너배차관리!$L:$L,$B166)="","",INDEX(GLAPS컨테이너배차관리!$L:$L,$B166)))&lt;12,"오전",IF(HOUR(IF(INDEX(GLAPS컨테이너배차관리!$L:$L,$B166)="","",INDEX(GLAPS컨테이너배차관리!$L:$L,$B166)))&lt;18,"오후","잔업")))</f>
        <v/>
      </c>
      <c r="G166" t="str">
        <f>IF($B166="","",IFERROR(INDEX(GLAPS정리!$G$3:$G$264,MATCH(IF(INDEX(GLAPS컨테이너배차관리!$BY:$BY,$B166)="","",INDEX(GLAPS컨테이너배차관리!$BY:$BY,$B166)),GLAPS정리!$H$3:$H$264,0)),TRIM(SUBSTITUTE(SUBSTITUTE(SUBSTITUTE(SUBSTITUTE(SUBSTITUTE(IF(INDEX(GLAPS컨테이너배차관리!$T:$T,$B166)="","",INDEX(GLAPS컨테이너배차관리!$T:$T,$B166)),"[GA]",""),"[GB]",""),"[GC]",""),"[KC]",""),"[GS]",""))))</f>
        <v/>
      </c>
      <c r="H166" t="str">
        <f>IF($B166="","",IFERROR(VLOOKUP(IF(INDEX(GLAPS컨테이너배차관리!$BY:$BY,$B166)="","",INDEX(GLAPS컨테이너배차관리!$BY:$BY,$B166)),GLAPS정리!$BT$3:$BV$200,3,0),""))</f>
        <v/>
      </c>
      <c r="I166" t="str">
        <f>IF($B166="","",LEFT(IF(INDEX(GLAPS컨테이너배차관리!$U:$U,$B166)="","",INDEX(GLAPS컨테이너배차관리!$U:$U,$B166)),FIND("/",IF(INDEX(GLAPS컨테이너배차관리!$U:$U,$B166)="","",INDEX(GLAPS컨테이너배차관리!$U:$U,$B166))&amp;"/")-1))</f>
        <v/>
      </c>
      <c r="J166" t="str">
        <f>IF($B166="","",IF(IF(INDEX(GLAPS컨테이너배차관리!$O:$O,$B166)="","",INDEX(GLAPS컨테이너배차관리!$O:$O,$B166))="EMC","EMA",IFERROR(INDEX(GLAPS정리!$A$2:$A$50,MATCH(IF(INDEX(GLAPS컨테이너배차관리!$O:$O,$B166)="","",INDEX(GLAPS컨테이너배차관리!$O:$O,$B166)),GLAPS정리!$D$2:$D$50,0)),IF(INDEX(GLAPS컨테이너배차관리!$O:$O,$B166)="","",INDEX(GLAPS컨테이너배차관리!$O:$O,$B166)))))</f>
        <v/>
      </c>
      <c r="K166" t="str">
        <f>IF($B166="","",IF(LEFT(IF(INDEX(GLAPS컨테이너배차관리!$Y:$Y,$B166)="","",INDEX(GLAPS컨테이너배차관리!$Y:$Y,$B166)),2)="22","20 Feet",IF(LEFT(IF(INDEX(GLAPS컨테이너배차관리!$Y:$Y,$B166)="","",INDEX(GLAPS컨테이너배차관리!$Y:$Y,$B166)),2)="42","40 Feet","40 Feet H")))</f>
        <v/>
      </c>
      <c r="L166" t="str">
        <f>IF($B166="","",IFERROR(INDEX(GLAPS정리!$BB$2:$BB$80,MATCH(IF(INDEX(GLAPS컨테이너배차관리!$BQ:$BQ,$B166)="","",INDEX(GLAPS컨테이너배차관리!$BQ:$BQ,$B166)),GLAPS정리!$BC$2:$BC$80,0)),IF(INDEX(GLAPS컨테이너배차관리!$BQ:$BQ,$B166)="","",INDEX(GLAPS컨테이너배차관리!$BQ:$BQ,$B166))))</f>
        <v/>
      </c>
      <c r="M166" t="str">
        <f>IF($B166="","",IFERROR(INDEX(GLAPS정리!$V$3:$V$180,MATCH(IF(INDEX(GLAPS컨테이너배차관리!$S:$S,$B166)="","",INDEX(GLAPS컨테이너배차관리!$S:$S,$B166)),GLAPS정리!$W$3:$W$180,0)),IF(INDEX(GLAPS컨테이너배차관리!$S:$S,$B166)="","",INDEX(GLAPS컨테이너배차관리!$S:$S,$B166))))</f>
        <v/>
      </c>
      <c r="N166" t="str">
        <f>IF($B166="","",IF(IF(INDEX(GLAPS컨테이너배차관리!$DF:$DF,$B166)="","",INDEX(GLAPS컨테이너배차관리!$DF:$DF,$B166))&lt;&gt;"",IF(INDEX(GLAPS컨테이너배차관리!$DF:$DF,$B166)="","",INDEX(GLAPS컨테이너배차관리!$DF:$DF,$B166)),IF(IF(INDEX(GLAPS컨테이너배차관리!$DG:$DG,$B166)="","",INDEX(GLAPS컨테이너배차관리!$DG:$DG,$B166))&lt;&gt;"",IF(INDEX(GLAPS컨테이너배차관리!$DG:$DG,$B166)="","",INDEX(GLAPS컨테이너배차관리!$DG:$DG,$B166)),"")))</f>
        <v/>
      </c>
      <c r="O166" t="str">
        <f>IF($B166="","",IF(INDEX(GLAPS컨테이너배차관리!$AB:$AB,$B166)="","",INDEX(GLAPS컨테이너배차관리!$AB:$AB,$B166)))</f>
        <v/>
      </c>
      <c r="P166" t="str">
        <f>IF($B166="","",IF(IF(INDEX(GLAPS컨테이너배차관리!$CP:$CP,$B166)="","",INDEX(GLAPS컨테이너배차관리!$CP:$CP,$B166))="","",IFERROR(INDEX(GLAPS정리!$BH$2:$BH$101,MATCH(IF(INDEX(GLAPS컨테이너배차관리!$CP:$CP,$B166)="","",INDEX(GLAPS컨테이너배차관리!$CP:$CP,$B166)),GLAPS정리!$BI$2:$BI$101,0)),IF(INDEX(GLAPS컨테이너배차관리!$CP:$CP,$B166)="","",INDEX(GLAPS컨테이너배차관리!$CP:$CP,$B166)))))</f>
        <v/>
      </c>
      <c r="Q166" t="str">
        <f>IF($B166="","",IF(AND(IF(INDEX(GLAPS컨테이너배차관리!$AK:$AK,$B166)="","",INDEX(GLAPS컨테이너배차관리!$AK:$AK,$B166))="Y",IF(INDEX(GLAPS컨테이너배차관리!$AI:$AI,$B166)="","",INDEX(GLAPS컨테이너배차관리!$AI:$AI,$B166))="Y"),"위험물리퍼",IF(IF(INDEX(GLAPS컨테이너배차관리!$AK:$AK,$B166)="","",INDEX(GLAPS컨테이너배차관리!$AK:$AK,$B166))="Y","위험물",IF(IF(INDEX(GLAPS컨테이너배차관리!$AI:$AI,$B166)="","",INDEX(GLAPS컨테이너배차관리!$AI:$AI,$B166))="Y","리퍼",""))))</f>
        <v/>
      </c>
      <c r="R166" t="str">
        <f>IF($B166="","",IF(LEFT(IF(INDEX(GLAPS컨테이너배차관리!$Y:$Y,$B166)="","",INDEX(GLAPS컨테이너배차관리!$Y:$Y,$B166)),2)="22",1,""))</f>
        <v/>
      </c>
      <c r="S166" t="str">
        <f>IF($B166="","",IF(LEFT(IF(INDEX(GLAPS컨테이너배차관리!$Y:$Y,$B166)="","",INDEX(GLAPS컨테이너배차관리!$Y:$Y,$B166)),2)="42",1,""))</f>
        <v/>
      </c>
      <c r="T166" t="str">
        <f>IF($B166="","",IF(LEFT(IF(INDEX(GLAPS컨테이너배차관리!$Y:$Y,$B166)="","",INDEX(GLAPS컨테이너배차관리!$Y:$Y,$B166)),2)="45",1,""))</f>
        <v/>
      </c>
      <c r="U166" t="str">
        <f>IF($B166="","",IF(INDEX(GLAPS컨테이너배차관리!$X:$X,$B166)="","",INDEX(GLAPS컨테이너배차관리!$X:$X,$B166)))</f>
        <v/>
      </c>
      <c r="V166" t="str">
        <f>IF($B166="","",IF(INDEX(GLAPS컨테이너배차관리!$Z:$Z,$B166)="","",INDEX(GLAPS컨테이너배차관리!$Z:$Z,$B166)))</f>
        <v/>
      </c>
      <c r="W166" t="str">
        <f>IF($B166="","",IF(IF(INDEX(GLAPS컨테이너배차관리!$DI:$DI,$B166)="","",INDEX(GLAPS컨테이너배차관리!$DI:$DI,$B166))&lt;&gt;"",IF(INDEX(GLAPS컨테이너배차관리!$DI:$DI,$B166)="","",INDEX(GLAPS컨테이너배차관리!$DI:$DI,$B166)),IF(IF(INDEX(GLAPS컨테이너배차관리!$DJ:$DJ,$B166)="","",INDEX(GLAPS컨테이너배차관리!$DJ:$DJ,$B166))&lt;&gt;"",IF(INDEX(GLAPS컨테이너배차관리!$DJ:$DJ,$B166)="","",INDEX(GLAPS컨테이너배차관리!$DJ:$DJ,$B166)),IF(IF(INDEX(GLAPS컨테이너배차관리!$DK:$DK,$B166)="","",INDEX(GLAPS컨테이너배차관리!$DK:$DK,$B166))&lt;&gt;"",IF(INDEX(GLAPS컨테이너배차관리!$DK:$DK,$B166)="","",INDEX(GLAPS컨테이너배차관리!$DK:$DK,$B166)),IF(IF(INDEX(GLAPS컨테이너배차관리!$DL:$DL,$B166)="","",INDEX(GLAPS컨테이너배차관리!$DL:$DL,$B166))&lt;&gt;"",IF(INDEX(GLAPS컨테이너배차관리!$DL:$DL,$B166)="","",INDEX(GLAPS컨테이너배차관리!$DL:$DL,$B166)),IF(IF(INDEX(GLAPS컨테이너배차관리!$DM:$DM,$B166)="","",INDEX(GLAPS컨테이너배차관리!$DM:$DM,$B166))&lt;&gt;"",IF(INDEX(GLAPS컨테이너배차관리!$DM:$DM,$B166)="","",INDEX(GLAPS컨테이너배차관리!$DM:$DM,$B166)),""))))))</f>
        <v/>
      </c>
      <c r="X166" t="str">
        <f>IF($B166="","",IF(INDEX(GLAPS컨테이너배차관리!$F:$F,$B166)="","",INDEX(GLAPS컨테이너배차관리!$F:$F,$B166)))</f>
        <v/>
      </c>
      <c r="Y166" t="str">
        <f>IF($B166="","",IF(IF(INDEX(GLAPS컨테이너배차관리!$M:$M,$B166)="","",INDEX(GLAPS컨테이너배차관리!$M:$M,$B166))&lt;&gt;"",IF(INDEX(GLAPS컨테이너배차관리!$M:$M,$B166)="","",INDEX(GLAPS컨테이너배차관리!$M:$M,$B166)),IF(IF(INDEX(GLAPS컨테이너배차관리!$N:$N,$B166)="","",INDEX(GLAPS컨테이너배차관리!$N:$N,$B166))&lt;&gt;"",IF(INDEX(GLAPS컨테이너배차관리!$N:$N,$B166)="","",INDEX(GLAPS컨테이너배차관리!$N:$N,$B166)),"")))</f>
        <v/>
      </c>
      <c r="Z166" t="str">
        <f>IF($B166="","",IF(IF(INDEX(GLAPS컨테이너배차관리!$CU:$CU,$B166)="","",INDEX(GLAPS컨테이너배차관리!$CU:$CU,$B166))="","",IFERROR(INT(IF(INDEX(GLAPS컨테이너배차관리!$CU:$CU,$B166)="","",INDEX(GLAPS컨테이너배차관리!$CU:$CU,$B166))),"")))</f>
        <v/>
      </c>
      <c r="AA166" t="str">
        <f>IF($B166="","",IF(AND(IF(INDEX(GLAPS컨테이너배차관리!$CL:$CL,$B166)="","",INDEX(GLAPS컨테이너배차관리!$CL:$CL,$B166))="",IF(INDEX(GLAPS컨테이너배차관리!$CM:$CM,$B166)="","",INDEX(GLAPS컨테이너배차관리!$CM:$CM,$B166))=""),"",IF(OR(IF(INDEX(GLAPS컨테이너배차관리!$CL:$CL,$B166)="","",INDEX(GLAPS컨테이너배차관리!$CL:$CL,$B166))="B000016649",ISNUMBER(SEARCH("B015",IF(INDEX(GLAPS컨테이너배차관리!$CM:$CM,$B166)="","",INDEX(GLAPS컨테이너배차관리!$CM:$CM,$B166)))),ISNUMBER(SEARCH("세방",IF(INDEX(GLAPS컨테이너배차관리!$CM:$CM,$B166)="","",INDEX(GLAPS컨테이너배차관리!$CM:$CM,$B166)))),ISNUMBER(SEARCH("SB",IF(INDEX(GLAPS컨테이너배차관리!$CM:$CM,$B166)="","",INDEX(GLAPS컨테이너배차관리!$CM:$CM,$B166))))),"세방","")))</f>
        <v/>
      </c>
      <c r="AB166" t="str">
        <f>IF($B166="","",IF(IF(INDEX(GLAPS컨테이너배차관리!$CM:$CM,$B166)="","",INDEX(GLAPS컨테이너배차관리!$CM:$CM,$B166))="","",IF(ISNUMBER(SEARCH("이지스두동",IF(INDEX(GLAPS컨테이너배차관리!$CM:$CM,$B166)="","",INDEX(GLAPS컨테이너배차관리!$CM:$CM,$B166)))),"이지스두동",IF(ISNUMBER(SEARCH("이지스녹산",IF(INDEX(GLAPS컨테이너배차관리!$CM:$CM,$B166)="","",INDEX(GLAPS컨테이너배차관리!$CM:$CM,$B166)))),"이지스녹산",IF(ISNUMBER(SEARCH("천우",IF(INDEX(GLAPS컨테이너배차관리!$CM:$CM,$B166)="","",INDEX(GLAPS컨테이너배차관리!$CM:$CM,$B166)))),"천우",IF(OR(ISNUMBER(SEARCH("청암",IF(INDEX(GLAPS컨테이너배차관리!$CM:$CM,$B166)="","",INDEX(GLAPS컨테이너배차관리!$CM:$CM,$B166)))),ISNUMBER(SEARCH("SB청암",IF(INDEX(GLAPS컨테이너배차관리!$CM:$CM,$B166)="","",INDEX(GLAPS컨테이너배차관리!$CM:$CM,$B166))))),"청암신항",IF(INDEX(GLAPS컨테이너배차관리!$CM:$CM,$B166)="","",INDEX(GLAPS컨테이너배차관리!$CM:$CM,$B166))))))))</f>
        <v/>
      </c>
    </row>
    <row r="167" spans="1:28">
      <c r="A167">
        <v>166</v>
      </c>
      <c r="B167" t="str">
        <f>IFERROR(_xlfn.AGGREGATE(15,6,ROW(GLAPS컨테이너배차관리!$X$2:$X$20000)/(GLAPS컨테이너배차관리!$X$2:$X$20000&lt;&gt;""),A167),"")</f>
        <v/>
      </c>
      <c r="C167" t="str">
        <f>IF($B167="","",INT(IF(INDEX(GLAPS컨테이너배차관리!$K:$K,$B167)="","",INDEX(GLAPS컨테이너배차관리!$K:$K,$B167))))</f>
        <v/>
      </c>
      <c r="D167" t="str">
        <f>IF($B167="","",IF(ISNUMBER(SEARCH("이엘에스",IF(INDEX(GLAPS컨테이너배차관리!$AZ:$AZ,$B167)="","",INDEX(GLAPS컨테이너배차관리!$AZ:$AZ,$B167)))),"ELS솔루션",IF(INDEX(GLAPS컨테이너배차관리!$AZ:$AZ,$B167)="","",INDEX(GLAPS컨테이너배차관리!$AZ:$AZ,$B167))))</f>
        <v/>
      </c>
      <c r="E167" t="str">
        <f>IF($B167="","",IF(INDEX(GLAPS컨테이너배차관리!$L:$L,$B167)="","",INDEX(GLAPS컨테이너배차관리!$L:$L,$B167)))</f>
        <v/>
      </c>
      <c r="F167" t="str">
        <f>IF($B167="","",IF(HOUR(IF(INDEX(GLAPS컨테이너배차관리!$L:$L,$B167)="","",INDEX(GLAPS컨테이너배차관리!$L:$L,$B167)))&lt;12,"오전",IF(HOUR(IF(INDEX(GLAPS컨테이너배차관리!$L:$L,$B167)="","",INDEX(GLAPS컨테이너배차관리!$L:$L,$B167)))&lt;18,"오후","잔업")))</f>
        <v/>
      </c>
      <c r="G167" t="str">
        <f>IF($B167="","",IFERROR(INDEX(GLAPS정리!$G$3:$G$264,MATCH(IF(INDEX(GLAPS컨테이너배차관리!$BY:$BY,$B167)="","",INDEX(GLAPS컨테이너배차관리!$BY:$BY,$B167)),GLAPS정리!$H$3:$H$264,0)),TRIM(SUBSTITUTE(SUBSTITUTE(SUBSTITUTE(SUBSTITUTE(SUBSTITUTE(IF(INDEX(GLAPS컨테이너배차관리!$T:$T,$B167)="","",INDEX(GLAPS컨테이너배차관리!$T:$T,$B167)),"[GA]",""),"[GB]",""),"[GC]",""),"[KC]",""),"[GS]",""))))</f>
        <v/>
      </c>
      <c r="H167" t="str">
        <f>IF($B167="","",IFERROR(VLOOKUP(IF(INDEX(GLAPS컨테이너배차관리!$BY:$BY,$B167)="","",INDEX(GLAPS컨테이너배차관리!$BY:$BY,$B167)),GLAPS정리!$BT$3:$BV$200,3,0),""))</f>
        <v/>
      </c>
      <c r="I167" t="str">
        <f>IF($B167="","",LEFT(IF(INDEX(GLAPS컨테이너배차관리!$U:$U,$B167)="","",INDEX(GLAPS컨테이너배차관리!$U:$U,$B167)),FIND("/",IF(INDEX(GLAPS컨테이너배차관리!$U:$U,$B167)="","",INDEX(GLAPS컨테이너배차관리!$U:$U,$B167))&amp;"/")-1))</f>
        <v/>
      </c>
      <c r="J167" t="str">
        <f>IF($B167="","",IF(IF(INDEX(GLAPS컨테이너배차관리!$O:$O,$B167)="","",INDEX(GLAPS컨테이너배차관리!$O:$O,$B167))="EMC","EMA",IFERROR(INDEX(GLAPS정리!$A$2:$A$50,MATCH(IF(INDEX(GLAPS컨테이너배차관리!$O:$O,$B167)="","",INDEX(GLAPS컨테이너배차관리!$O:$O,$B167)),GLAPS정리!$D$2:$D$50,0)),IF(INDEX(GLAPS컨테이너배차관리!$O:$O,$B167)="","",INDEX(GLAPS컨테이너배차관리!$O:$O,$B167)))))</f>
        <v/>
      </c>
      <c r="K167" t="str">
        <f>IF($B167="","",IF(LEFT(IF(INDEX(GLAPS컨테이너배차관리!$Y:$Y,$B167)="","",INDEX(GLAPS컨테이너배차관리!$Y:$Y,$B167)),2)="22","20 Feet",IF(LEFT(IF(INDEX(GLAPS컨테이너배차관리!$Y:$Y,$B167)="","",INDEX(GLAPS컨테이너배차관리!$Y:$Y,$B167)),2)="42","40 Feet","40 Feet H")))</f>
        <v/>
      </c>
      <c r="L167" t="str">
        <f>IF($B167="","",IFERROR(INDEX(GLAPS정리!$BB$2:$BB$80,MATCH(IF(INDEX(GLAPS컨테이너배차관리!$BQ:$BQ,$B167)="","",INDEX(GLAPS컨테이너배차관리!$BQ:$BQ,$B167)),GLAPS정리!$BC$2:$BC$80,0)),IF(INDEX(GLAPS컨테이너배차관리!$BQ:$BQ,$B167)="","",INDEX(GLAPS컨테이너배차관리!$BQ:$BQ,$B167))))</f>
        <v/>
      </c>
      <c r="M167" t="str">
        <f>IF($B167="","",IFERROR(INDEX(GLAPS정리!$V$3:$V$180,MATCH(IF(INDEX(GLAPS컨테이너배차관리!$S:$S,$B167)="","",INDEX(GLAPS컨테이너배차관리!$S:$S,$B167)),GLAPS정리!$W$3:$W$180,0)),IF(INDEX(GLAPS컨테이너배차관리!$S:$S,$B167)="","",INDEX(GLAPS컨테이너배차관리!$S:$S,$B167))))</f>
        <v/>
      </c>
      <c r="N167" t="str">
        <f>IF($B167="","",IF(IF(INDEX(GLAPS컨테이너배차관리!$DF:$DF,$B167)="","",INDEX(GLAPS컨테이너배차관리!$DF:$DF,$B167))&lt;&gt;"",IF(INDEX(GLAPS컨테이너배차관리!$DF:$DF,$B167)="","",INDEX(GLAPS컨테이너배차관리!$DF:$DF,$B167)),IF(IF(INDEX(GLAPS컨테이너배차관리!$DG:$DG,$B167)="","",INDEX(GLAPS컨테이너배차관리!$DG:$DG,$B167))&lt;&gt;"",IF(INDEX(GLAPS컨테이너배차관리!$DG:$DG,$B167)="","",INDEX(GLAPS컨테이너배차관리!$DG:$DG,$B167)),"")))</f>
        <v/>
      </c>
      <c r="O167" t="str">
        <f>IF($B167="","",IF(INDEX(GLAPS컨테이너배차관리!$AB:$AB,$B167)="","",INDEX(GLAPS컨테이너배차관리!$AB:$AB,$B167)))</f>
        <v/>
      </c>
      <c r="P167" t="str">
        <f>IF($B167="","",IF(IF(INDEX(GLAPS컨테이너배차관리!$CP:$CP,$B167)="","",INDEX(GLAPS컨테이너배차관리!$CP:$CP,$B167))="","",IFERROR(INDEX(GLAPS정리!$BH$2:$BH$101,MATCH(IF(INDEX(GLAPS컨테이너배차관리!$CP:$CP,$B167)="","",INDEX(GLAPS컨테이너배차관리!$CP:$CP,$B167)),GLAPS정리!$BI$2:$BI$101,0)),IF(INDEX(GLAPS컨테이너배차관리!$CP:$CP,$B167)="","",INDEX(GLAPS컨테이너배차관리!$CP:$CP,$B167)))))</f>
        <v/>
      </c>
      <c r="Q167" t="str">
        <f>IF($B167="","",IF(AND(IF(INDEX(GLAPS컨테이너배차관리!$AK:$AK,$B167)="","",INDEX(GLAPS컨테이너배차관리!$AK:$AK,$B167))="Y",IF(INDEX(GLAPS컨테이너배차관리!$AI:$AI,$B167)="","",INDEX(GLAPS컨테이너배차관리!$AI:$AI,$B167))="Y"),"위험물리퍼",IF(IF(INDEX(GLAPS컨테이너배차관리!$AK:$AK,$B167)="","",INDEX(GLAPS컨테이너배차관리!$AK:$AK,$B167))="Y","위험물",IF(IF(INDEX(GLAPS컨테이너배차관리!$AI:$AI,$B167)="","",INDEX(GLAPS컨테이너배차관리!$AI:$AI,$B167))="Y","리퍼",""))))</f>
        <v/>
      </c>
      <c r="R167" t="str">
        <f>IF($B167="","",IF(LEFT(IF(INDEX(GLAPS컨테이너배차관리!$Y:$Y,$B167)="","",INDEX(GLAPS컨테이너배차관리!$Y:$Y,$B167)),2)="22",1,""))</f>
        <v/>
      </c>
      <c r="S167" t="str">
        <f>IF($B167="","",IF(LEFT(IF(INDEX(GLAPS컨테이너배차관리!$Y:$Y,$B167)="","",INDEX(GLAPS컨테이너배차관리!$Y:$Y,$B167)),2)="42",1,""))</f>
        <v/>
      </c>
      <c r="T167" t="str">
        <f>IF($B167="","",IF(LEFT(IF(INDEX(GLAPS컨테이너배차관리!$Y:$Y,$B167)="","",INDEX(GLAPS컨테이너배차관리!$Y:$Y,$B167)),2)="45",1,""))</f>
        <v/>
      </c>
      <c r="U167" t="str">
        <f>IF($B167="","",IF(INDEX(GLAPS컨테이너배차관리!$X:$X,$B167)="","",INDEX(GLAPS컨테이너배차관리!$X:$X,$B167)))</f>
        <v/>
      </c>
      <c r="V167" t="str">
        <f>IF($B167="","",IF(INDEX(GLAPS컨테이너배차관리!$Z:$Z,$B167)="","",INDEX(GLAPS컨테이너배차관리!$Z:$Z,$B167)))</f>
        <v/>
      </c>
      <c r="W167" t="str">
        <f>IF($B167="","",IF(IF(INDEX(GLAPS컨테이너배차관리!$DI:$DI,$B167)="","",INDEX(GLAPS컨테이너배차관리!$DI:$DI,$B167))&lt;&gt;"",IF(INDEX(GLAPS컨테이너배차관리!$DI:$DI,$B167)="","",INDEX(GLAPS컨테이너배차관리!$DI:$DI,$B167)),IF(IF(INDEX(GLAPS컨테이너배차관리!$DJ:$DJ,$B167)="","",INDEX(GLAPS컨테이너배차관리!$DJ:$DJ,$B167))&lt;&gt;"",IF(INDEX(GLAPS컨테이너배차관리!$DJ:$DJ,$B167)="","",INDEX(GLAPS컨테이너배차관리!$DJ:$DJ,$B167)),IF(IF(INDEX(GLAPS컨테이너배차관리!$DK:$DK,$B167)="","",INDEX(GLAPS컨테이너배차관리!$DK:$DK,$B167))&lt;&gt;"",IF(INDEX(GLAPS컨테이너배차관리!$DK:$DK,$B167)="","",INDEX(GLAPS컨테이너배차관리!$DK:$DK,$B167)),IF(IF(INDEX(GLAPS컨테이너배차관리!$DL:$DL,$B167)="","",INDEX(GLAPS컨테이너배차관리!$DL:$DL,$B167))&lt;&gt;"",IF(INDEX(GLAPS컨테이너배차관리!$DL:$DL,$B167)="","",INDEX(GLAPS컨테이너배차관리!$DL:$DL,$B167)),IF(IF(INDEX(GLAPS컨테이너배차관리!$DM:$DM,$B167)="","",INDEX(GLAPS컨테이너배차관리!$DM:$DM,$B167))&lt;&gt;"",IF(INDEX(GLAPS컨테이너배차관리!$DM:$DM,$B167)="","",INDEX(GLAPS컨테이너배차관리!$DM:$DM,$B167)),""))))))</f>
        <v/>
      </c>
      <c r="X167" t="str">
        <f>IF($B167="","",IF(INDEX(GLAPS컨테이너배차관리!$F:$F,$B167)="","",INDEX(GLAPS컨테이너배차관리!$F:$F,$B167)))</f>
        <v/>
      </c>
      <c r="Y167" t="str">
        <f>IF($B167="","",IF(IF(INDEX(GLAPS컨테이너배차관리!$M:$M,$B167)="","",INDEX(GLAPS컨테이너배차관리!$M:$M,$B167))&lt;&gt;"",IF(INDEX(GLAPS컨테이너배차관리!$M:$M,$B167)="","",INDEX(GLAPS컨테이너배차관리!$M:$M,$B167)),IF(IF(INDEX(GLAPS컨테이너배차관리!$N:$N,$B167)="","",INDEX(GLAPS컨테이너배차관리!$N:$N,$B167))&lt;&gt;"",IF(INDEX(GLAPS컨테이너배차관리!$N:$N,$B167)="","",INDEX(GLAPS컨테이너배차관리!$N:$N,$B167)),"")))</f>
        <v/>
      </c>
      <c r="Z167" t="str">
        <f>IF($B167="","",IF(IF(INDEX(GLAPS컨테이너배차관리!$CU:$CU,$B167)="","",INDEX(GLAPS컨테이너배차관리!$CU:$CU,$B167))="","",IFERROR(INT(IF(INDEX(GLAPS컨테이너배차관리!$CU:$CU,$B167)="","",INDEX(GLAPS컨테이너배차관리!$CU:$CU,$B167))),"")))</f>
        <v/>
      </c>
      <c r="AA167" t="str">
        <f>IF($B167="","",IF(AND(IF(INDEX(GLAPS컨테이너배차관리!$CL:$CL,$B167)="","",INDEX(GLAPS컨테이너배차관리!$CL:$CL,$B167))="",IF(INDEX(GLAPS컨테이너배차관리!$CM:$CM,$B167)="","",INDEX(GLAPS컨테이너배차관리!$CM:$CM,$B167))=""),"",IF(OR(IF(INDEX(GLAPS컨테이너배차관리!$CL:$CL,$B167)="","",INDEX(GLAPS컨테이너배차관리!$CL:$CL,$B167))="B000016649",ISNUMBER(SEARCH("B015",IF(INDEX(GLAPS컨테이너배차관리!$CM:$CM,$B167)="","",INDEX(GLAPS컨테이너배차관리!$CM:$CM,$B167)))),ISNUMBER(SEARCH("세방",IF(INDEX(GLAPS컨테이너배차관리!$CM:$CM,$B167)="","",INDEX(GLAPS컨테이너배차관리!$CM:$CM,$B167)))),ISNUMBER(SEARCH("SB",IF(INDEX(GLAPS컨테이너배차관리!$CM:$CM,$B167)="","",INDEX(GLAPS컨테이너배차관리!$CM:$CM,$B167))))),"세방","")))</f>
        <v/>
      </c>
      <c r="AB167" t="str">
        <f>IF($B167="","",IF(IF(INDEX(GLAPS컨테이너배차관리!$CM:$CM,$B167)="","",INDEX(GLAPS컨테이너배차관리!$CM:$CM,$B167))="","",IF(ISNUMBER(SEARCH("이지스두동",IF(INDEX(GLAPS컨테이너배차관리!$CM:$CM,$B167)="","",INDEX(GLAPS컨테이너배차관리!$CM:$CM,$B167)))),"이지스두동",IF(ISNUMBER(SEARCH("이지스녹산",IF(INDEX(GLAPS컨테이너배차관리!$CM:$CM,$B167)="","",INDEX(GLAPS컨테이너배차관리!$CM:$CM,$B167)))),"이지스녹산",IF(ISNUMBER(SEARCH("천우",IF(INDEX(GLAPS컨테이너배차관리!$CM:$CM,$B167)="","",INDEX(GLAPS컨테이너배차관리!$CM:$CM,$B167)))),"천우",IF(OR(ISNUMBER(SEARCH("청암",IF(INDEX(GLAPS컨테이너배차관리!$CM:$CM,$B167)="","",INDEX(GLAPS컨테이너배차관리!$CM:$CM,$B167)))),ISNUMBER(SEARCH("SB청암",IF(INDEX(GLAPS컨테이너배차관리!$CM:$CM,$B167)="","",INDEX(GLAPS컨테이너배차관리!$CM:$CM,$B167))))),"청암신항",IF(INDEX(GLAPS컨테이너배차관리!$CM:$CM,$B167)="","",INDEX(GLAPS컨테이너배차관리!$CM:$CM,$B167))))))))</f>
        <v/>
      </c>
    </row>
    <row r="168" spans="1:28">
      <c r="A168">
        <v>167</v>
      </c>
      <c r="B168" t="str">
        <f>IFERROR(_xlfn.AGGREGATE(15,6,ROW(GLAPS컨테이너배차관리!$X$2:$X$20000)/(GLAPS컨테이너배차관리!$X$2:$X$20000&lt;&gt;""),A168),"")</f>
        <v/>
      </c>
      <c r="C168" t="str">
        <f>IF($B168="","",INT(IF(INDEX(GLAPS컨테이너배차관리!$K:$K,$B168)="","",INDEX(GLAPS컨테이너배차관리!$K:$K,$B168))))</f>
        <v/>
      </c>
      <c r="D168" t="str">
        <f>IF($B168="","",IF(ISNUMBER(SEARCH("이엘에스",IF(INDEX(GLAPS컨테이너배차관리!$AZ:$AZ,$B168)="","",INDEX(GLAPS컨테이너배차관리!$AZ:$AZ,$B168)))),"ELS솔루션",IF(INDEX(GLAPS컨테이너배차관리!$AZ:$AZ,$B168)="","",INDEX(GLAPS컨테이너배차관리!$AZ:$AZ,$B168))))</f>
        <v/>
      </c>
      <c r="E168" t="str">
        <f>IF($B168="","",IF(INDEX(GLAPS컨테이너배차관리!$L:$L,$B168)="","",INDEX(GLAPS컨테이너배차관리!$L:$L,$B168)))</f>
        <v/>
      </c>
      <c r="F168" t="str">
        <f>IF($B168="","",IF(HOUR(IF(INDEX(GLAPS컨테이너배차관리!$L:$L,$B168)="","",INDEX(GLAPS컨테이너배차관리!$L:$L,$B168)))&lt;12,"오전",IF(HOUR(IF(INDEX(GLAPS컨테이너배차관리!$L:$L,$B168)="","",INDEX(GLAPS컨테이너배차관리!$L:$L,$B168)))&lt;18,"오후","잔업")))</f>
        <v/>
      </c>
      <c r="G168" t="str">
        <f>IF($B168="","",IFERROR(INDEX(GLAPS정리!$G$3:$G$264,MATCH(IF(INDEX(GLAPS컨테이너배차관리!$BY:$BY,$B168)="","",INDEX(GLAPS컨테이너배차관리!$BY:$BY,$B168)),GLAPS정리!$H$3:$H$264,0)),TRIM(SUBSTITUTE(SUBSTITUTE(SUBSTITUTE(SUBSTITUTE(SUBSTITUTE(IF(INDEX(GLAPS컨테이너배차관리!$T:$T,$B168)="","",INDEX(GLAPS컨테이너배차관리!$T:$T,$B168)),"[GA]",""),"[GB]",""),"[GC]",""),"[KC]",""),"[GS]",""))))</f>
        <v/>
      </c>
      <c r="H168" t="str">
        <f>IF($B168="","",IFERROR(VLOOKUP(IF(INDEX(GLAPS컨테이너배차관리!$BY:$BY,$B168)="","",INDEX(GLAPS컨테이너배차관리!$BY:$BY,$B168)),GLAPS정리!$BT$3:$BV$200,3,0),""))</f>
        <v/>
      </c>
      <c r="I168" t="str">
        <f>IF($B168="","",LEFT(IF(INDEX(GLAPS컨테이너배차관리!$U:$U,$B168)="","",INDEX(GLAPS컨테이너배차관리!$U:$U,$B168)),FIND("/",IF(INDEX(GLAPS컨테이너배차관리!$U:$U,$B168)="","",INDEX(GLAPS컨테이너배차관리!$U:$U,$B168))&amp;"/")-1))</f>
        <v/>
      </c>
      <c r="J168" t="str">
        <f>IF($B168="","",IF(IF(INDEX(GLAPS컨테이너배차관리!$O:$O,$B168)="","",INDEX(GLAPS컨테이너배차관리!$O:$O,$B168))="EMC","EMA",IFERROR(INDEX(GLAPS정리!$A$2:$A$50,MATCH(IF(INDEX(GLAPS컨테이너배차관리!$O:$O,$B168)="","",INDEX(GLAPS컨테이너배차관리!$O:$O,$B168)),GLAPS정리!$D$2:$D$50,0)),IF(INDEX(GLAPS컨테이너배차관리!$O:$O,$B168)="","",INDEX(GLAPS컨테이너배차관리!$O:$O,$B168)))))</f>
        <v/>
      </c>
      <c r="K168" t="str">
        <f>IF($B168="","",IF(LEFT(IF(INDEX(GLAPS컨테이너배차관리!$Y:$Y,$B168)="","",INDEX(GLAPS컨테이너배차관리!$Y:$Y,$B168)),2)="22","20 Feet",IF(LEFT(IF(INDEX(GLAPS컨테이너배차관리!$Y:$Y,$B168)="","",INDEX(GLAPS컨테이너배차관리!$Y:$Y,$B168)),2)="42","40 Feet","40 Feet H")))</f>
        <v/>
      </c>
      <c r="L168" t="str">
        <f>IF($B168="","",IFERROR(INDEX(GLAPS정리!$BB$2:$BB$80,MATCH(IF(INDEX(GLAPS컨테이너배차관리!$BQ:$BQ,$B168)="","",INDEX(GLAPS컨테이너배차관리!$BQ:$BQ,$B168)),GLAPS정리!$BC$2:$BC$80,0)),IF(INDEX(GLAPS컨테이너배차관리!$BQ:$BQ,$B168)="","",INDEX(GLAPS컨테이너배차관리!$BQ:$BQ,$B168))))</f>
        <v/>
      </c>
      <c r="M168" t="str">
        <f>IF($B168="","",IFERROR(INDEX(GLAPS정리!$V$3:$V$180,MATCH(IF(INDEX(GLAPS컨테이너배차관리!$S:$S,$B168)="","",INDEX(GLAPS컨테이너배차관리!$S:$S,$B168)),GLAPS정리!$W$3:$W$180,0)),IF(INDEX(GLAPS컨테이너배차관리!$S:$S,$B168)="","",INDEX(GLAPS컨테이너배차관리!$S:$S,$B168))))</f>
        <v/>
      </c>
      <c r="N168" t="str">
        <f>IF($B168="","",IF(IF(INDEX(GLAPS컨테이너배차관리!$DF:$DF,$B168)="","",INDEX(GLAPS컨테이너배차관리!$DF:$DF,$B168))&lt;&gt;"",IF(INDEX(GLAPS컨테이너배차관리!$DF:$DF,$B168)="","",INDEX(GLAPS컨테이너배차관리!$DF:$DF,$B168)),IF(IF(INDEX(GLAPS컨테이너배차관리!$DG:$DG,$B168)="","",INDEX(GLAPS컨테이너배차관리!$DG:$DG,$B168))&lt;&gt;"",IF(INDEX(GLAPS컨테이너배차관리!$DG:$DG,$B168)="","",INDEX(GLAPS컨테이너배차관리!$DG:$DG,$B168)),"")))</f>
        <v/>
      </c>
      <c r="O168" t="str">
        <f>IF($B168="","",IF(INDEX(GLAPS컨테이너배차관리!$AB:$AB,$B168)="","",INDEX(GLAPS컨테이너배차관리!$AB:$AB,$B168)))</f>
        <v/>
      </c>
      <c r="P168" t="str">
        <f>IF($B168="","",IF(IF(INDEX(GLAPS컨테이너배차관리!$CP:$CP,$B168)="","",INDEX(GLAPS컨테이너배차관리!$CP:$CP,$B168))="","",IFERROR(INDEX(GLAPS정리!$BH$2:$BH$101,MATCH(IF(INDEX(GLAPS컨테이너배차관리!$CP:$CP,$B168)="","",INDEX(GLAPS컨테이너배차관리!$CP:$CP,$B168)),GLAPS정리!$BI$2:$BI$101,0)),IF(INDEX(GLAPS컨테이너배차관리!$CP:$CP,$B168)="","",INDEX(GLAPS컨테이너배차관리!$CP:$CP,$B168)))))</f>
        <v/>
      </c>
      <c r="Q168" t="str">
        <f>IF($B168="","",IF(AND(IF(INDEX(GLAPS컨테이너배차관리!$AK:$AK,$B168)="","",INDEX(GLAPS컨테이너배차관리!$AK:$AK,$B168))="Y",IF(INDEX(GLAPS컨테이너배차관리!$AI:$AI,$B168)="","",INDEX(GLAPS컨테이너배차관리!$AI:$AI,$B168))="Y"),"위험물리퍼",IF(IF(INDEX(GLAPS컨테이너배차관리!$AK:$AK,$B168)="","",INDEX(GLAPS컨테이너배차관리!$AK:$AK,$B168))="Y","위험물",IF(IF(INDEX(GLAPS컨테이너배차관리!$AI:$AI,$B168)="","",INDEX(GLAPS컨테이너배차관리!$AI:$AI,$B168))="Y","리퍼",""))))</f>
        <v/>
      </c>
      <c r="R168" t="str">
        <f>IF($B168="","",IF(LEFT(IF(INDEX(GLAPS컨테이너배차관리!$Y:$Y,$B168)="","",INDEX(GLAPS컨테이너배차관리!$Y:$Y,$B168)),2)="22",1,""))</f>
        <v/>
      </c>
      <c r="S168" t="str">
        <f>IF($B168="","",IF(LEFT(IF(INDEX(GLAPS컨테이너배차관리!$Y:$Y,$B168)="","",INDEX(GLAPS컨테이너배차관리!$Y:$Y,$B168)),2)="42",1,""))</f>
        <v/>
      </c>
      <c r="T168" t="str">
        <f>IF($B168="","",IF(LEFT(IF(INDEX(GLAPS컨테이너배차관리!$Y:$Y,$B168)="","",INDEX(GLAPS컨테이너배차관리!$Y:$Y,$B168)),2)="45",1,""))</f>
        <v/>
      </c>
      <c r="U168" t="str">
        <f>IF($B168="","",IF(INDEX(GLAPS컨테이너배차관리!$X:$X,$B168)="","",INDEX(GLAPS컨테이너배차관리!$X:$X,$B168)))</f>
        <v/>
      </c>
      <c r="V168" t="str">
        <f>IF($B168="","",IF(INDEX(GLAPS컨테이너배차관리!$Z:$Z,$B168)="","",INDEX(GLAPS컨테이너배차관리!$Z:$Z,$B168)))</f>
        <v/>
      </c>
      <c r="W168" t="str">
        <f>IF($B168="","",IF(IF(INDEX(GLAPS컨테이너배차관리!$DI:$DI,$B168)="","",INDEX(GLAPS컨테이너배차관리!$DI:$DI,$B168))&lt;&gt;"",IF(INDEX(GLAPS컨테이너배차관리!$DI:$DI,$B168)="","",INDEX(GLAPS컨테이너배차관리!$DI:$DI,$B168)),IF(IF(INDEX(GLAPS컨테이너배차관리!$DJ:$DJ,$B168)="","",INDEX(GLAPS컨테이너배차관리!$DJ:$DJ,$B168))&lt;&gt;"",IF(INDEX(GLAPS컨테이너배차관리!$DJ:$DJ,$B168)="","",INDEX(GLAPS컨테이너배차관리!$DJ:$DJ,$B168)),IF(IF(INDEX(GLAPS컨테이너배차관리!$DK:$DK,$B168)="","",INDEX(GLAPS컨테이너배차관리!$DK:$DK,$B168))&lt;&gt;"",IF(INDEX(GLAPS컨테이너배차관리!$DK:$DK,$B168)="","",INDEX(GLAPS컨테이너배차관리!$DK:$DK,$B168)),IF(IF(INDEX(GLAPS컨테이너배차관리!$DL:$DL,$B168)="","",INDEX(GLAPS컨테이너배차관리!$DL:$DL,$B168))&lt;&gt;"",IF(INDEX(GLAPS컨테이너배차관리!$DL:$DL,$B168)="","",INDEX(GLAPS컨테이너배차관리!$DL:$DL,$B168)),IF(IF(INDEX(GLAPS컨테이너배차관리!$DM:$DM,$B168)="","",INDEX(GLAPS컨테이너배차관리!$DM:$DM,$B168))&lt;&gt;"",IF(INDEX(GLAPS컨테이너배차관리!$DM:$DM,$B168)="","",INDEX(GLAPS컨테이너배차관리!$DM:$DM,$B168)),""))))))</f>
        <v/>
      </c>
      <c r="X168" t="str">
        <f>IF($B168="","",IF(INDEX(GLAPS컨테이너배차관리!$F:$F,$B168)="","",INDEX(GLAPS컨테이너배차관리!$F:$F,$B168)))</f>
        <v/>
      </c>
      <c r="Y168" t="str">
        <f>IF($B168="","",IF(IF(INDEX(GLAPS컨테이너배차관리!$M:$M,$B168)="","",INDEX(GLAPS컨테이너배차관리!$M:$M,$B168))&lt;&gt;"",IF(INDEX(GLAPS컨테이너배차관리!$M:$M,$B168)="","",INDEX(GLAPS컨테이너배차관리!$M:$M,$B168)),IF(IF(INDEX(GLAPS컨테이너배차관리!$N:$N,$B168)="","",INDEX(GLAPS컨테이너배차관리!$N:$N,$B168))&lt;&gt;"",IF(INDEX(GLAPS컨테이너배차관리!$N:$N,$B168)="","",INDEX(GLAPS컨테이너배차관리!$N:$N,$B168)),"")))</f>
        <v/>
      </c>
      <c r="Z168" t="str">
        <f>IF($B168="","",IF(IF(INDEX(GLAPS컨테이너배차관리!$CU:$CU,$B168)="","",INDEX(GLAPS컨테이너배차관리!$CU:$CU,$B168))="","",IFERROR(INT(IF(INDEX(GLAPS컨테이너배차관리!$CU:$CU,$B168)="","",INDEX(GLAPS컨테이너배차관리!$CU:$CU,$B168))),"")))</f>
        <v/>
      </c>
      <c r="AA168" t="str">
        <f>IF($B168="","",IF(AND(IF(INDEX(GLAPS컨테이너배차관리!$CL:$CL,$B168)="","",INDEX(GLAPS컨테이너배차관리!$CL:$CL,$B168))="",IF(INDEX(GLAPS컨테이너배차관리!$CM:$CM,$B168)="","",INDEX(GLAPS컨테이너배차관리!$CM:$CM,$B168))=""),"",IF(OR(IF(INDEX(GLAPS컨테이너배차관리!$CL:$CL,$B168)="","",INDEX(GLAPS컨테이너배차관리!$CL:$CL,$B168))="B000016649",ISNUMBER(SEARCH("B015",IF(INDEX(GLAPS컨테이너배차관리!$CM:$CM,$B168)="","",INDEX(GLAPS컨테이너배차관리!$CM:$CM,$B168)))),ISNUMBER(SEARCH("세방",IF(INDEX(GLAPS컨테이너배차관리!$CM:$CM,$B168)="","",INDEX(GLAPS컨테이너배차관리!$CM:$CM,$B168)))),ISNUMBER(SEARCH("SB",IF(INDEX(GLAPS컨테이너배차관리!$CM:$CM,$B168)="","",INDEX(GLAPS컨테이너배차관리!$CM:$CM,$B168))))),"세방","")))</f>
        <v/>
      </c>
      <c r="AB168" t="str">
        <f>IF($B168="","",IF(IF(INDEX(GLAPS컨테이너배차관리!$CM:$CM,$B168)="","",INDEX(GLAPS컨테이너배차관리!$CM:$CM,$B168))="","",IF(ISNUMBER(SEARCH("이지스두동",IF(INDEX(GLAPS컨테이너배차관리!$CM:$CM,$B168)="","",INDEX(GLAPS컨테이너배차관리!$CM:$CM,$B168)))),"이지스두동",IF(ISNUMBER(SEARCH("이지스녹산",IF(INDEX(GLAPS컨테이너배차관리!$CM:$CM,$B168)="","",INDEX(GLAPS컨테이너배차관리!$CM:$CM,$B168)))),"이지스녹산",IF(ISNUMBER(SEARCH("천우",IF(INDEX(GLAPS컨테이너배차관리!$CM:$CM,$B168)="","",INDEX(GLAPS컨테이너배차관리!$CM:$CM,$B168)))),"천우",IF(OR(ISNUMBER(SEARCH("청암",IF(INDEX(GLAPS컨테이너배차관리!$CM:$CM,$B168)="","",INDEX(GLAPS컨테이너배차관리!$CM:$CM,$B168)))),ISNUMBER(SEARCH("SB청암",IF(INDEX(GLAPS컨테이너배차관리!$CM:$CM,$B168)="","",INDEX(GLAPS컨테이너배차관리!$CM:$CM,$B168))))),"청암신항",IF(INDEX(GLAPS컨테이너배차관리!$CM:$CM,$B168)="","",INDEX(GLAPS컨테이너배차관리!$CM:$CM,$B168))))))))</f>
        <v/>
      </c>
    </row>
    <row r="169" spans="1:28">
      <c r="A169">
        <v>168</v>
      </c>
      <c r="B169" t="str">
        <f>IFERROR(_xlfn.AGGREGATE(15,6,ROW(GLAPS컨테이너배차관리!$X$2:$X$20000)/(GLAPS컨테이너배차관리!$X$2:$X$20000&lt;&gt;""),A169),"")</f>
        <v/>
      </c>
      <c r="C169" t="str">
        <f>IF($B169="","",INT(IF(INDEX(GLAPS컨테이너배차관리!$K:$K,$B169)="","",INDEX(GLAPS컨테이너배차관리!$K:$K,$B169))))</f>
        <v/>
      </c>
      <c r="D169" t="str">
        <f>IF($B169="","",IF(ISNUMBER(SEARCH("이엘에스",IF(INDEX(GLAPS컨테이너배차관리!$AZ:$AZ,$B169)="","",INDEX(GLAPS컨테이너배차관리!$AZ:$AZ,$B169)))),"ELS솔루션",IF(INDEX(GLAPS컨테이너배차관리!$AZ:$AZ,$B169)="","",INDEX(GLAPS컨테이너배차관리!$AZ:$AZ,$B169))))</f>
        <v/>
      </c>
      <c r="E169" t="str">
        <f>IF($B169="","",IF(INDEX(GLAPS컨테이너배차관리!$L:$L,$B169)="","",INDEX(GLAPS컨테이너배차관리!$L:$L,$B169)))</f>
        <v/>
      </c>
      <c r="F169" t="str">
        <f>IF($B169="","",IF(HOUR(IF(INDEX(GLAPS컨테이너배차관리!$L:$L,$B169)="","",INDEX(GLAPS컨테이너배차관리!$L:$L,$B169)))&lt;12,"오전",IF(HOUR(IF(INDEX(GLAPS컨테이너배차관리!$L:$L,$B169)="","",INDEX(GLAPS컨테이너배차관리!$L:$L,$B169)))&lt;18,"오후","잔업")))</f>
        <v/>
      </c>
      <c r="G169" t="str">
        <f>IF($B169="","",IFERROR(INDEX(GLAPS정리!$G$3:$G$264,MATCH(IF(INDEX(GLAPS컨테이너배차관리!$BY:$BY,$B169)="","",INDEX(GLAPS컨테이너배차관리!$BY:$BY,$B169)),GLAPS정리!$H$3:$H$264,0)),TRIM(SUBSTITUTE(SUBSTITUTE(SUBSTITUTE(SUBSTITUTE(SUBSTITUTE(IF(INDEX(GLAPS컨테이너배차관리!$T:$T,$B169)="","",INDEX(GLAPS컨테이너배차관리!$T:$T,$B169)),"[GA]",""),"[GB]",""),"[GC]",""),"[KC]",""),"[GS]",""))))</f>
        <v/>
      </c>
      <c r="H169" t="str">
        <f>IF($B169="","",IFERROR(VLOOKUP(IF(INDEX(GLAPS컨테이너배차관리!$BY:$BY,$B169)="","",INDEX(GLAPS컨테이너배차관리!$BY:$BY,$B169)),GLAPS정리!$BT$3:$BV$200,3,0),""))</f>
        <v/>
      </c>
      <c r="I169" t="str">
        <f>IF($B169="","",LEFT(IF(INDEX(GLAPS컨테이너배차관리!$U:$U,$B169)="","",INDEX(GLAPS컨테이너배차관리!$U:$U,$B169)),FIND("/",IF(INDEX(GLAPS컨테이너배차관리!$U:$U,$B169)="","",INDEX(GLAPS컨테이너배차관리!$U:$U,$B169))&amp;"/")-1))</f>
        <v/>
      </c>
      <c r="J169" t="str">
        <f>IF($B169="","",IF(IF(INDEX(GLAPS컨테이너배차관리!$O:$O,$B169)="","",INDEX(GLAPS컨테이너배차관리!$O:$O,$B169))="EMC","EMA",IFERROR(INDEX(GLAPS정리!$A$2:$A$50,MATCH(IF(INDEX(GLAPS컨테이너배차관리!$O:$O,$B169)="","",INDEX(GLAPS컨테이너배차관리!$O:$O,$B169)),GLAPS정리!$D$2:$D$50,0)),IF(INDEX(GLAPS컨테이너배차관리!$O:$O,$B169)="","",INDEX(GLAPS컨테이너배차관리!$O:$O,$B169)))))</f>
        <v/>
      </c>
      <c r="K169" t="str">
        <f>IF($B169="","",IF(LEFT(IF(INDEX(GLAPS컨테이너배차관리!$Y:$Y,$B169)="","",INDEX(GLAPS컨테이너배차관리!$Y:$Y,$B169)),2)="22","20 Feet",IF(LEFT(IF(INDEX(GLAPS컨테이너배차관리!$Y:$Y,$B169)="","",INDEX(GLAPS컨테이너배차관리!$Y:$Y,$B169)),2)="42","40 Feet","40 Feet H")))</f>
        <v/>
      </c>
      <c r="L169" t="str">
        <f>IF($B169="","",IFERROR(INDEX(GLAPS정리!$BB$2:$BB$80,MATCH(IF(INDEX(GLAPS컨테이너배차관리!$BQ:$BQ,$B169)="","",INDEX(GLAPS컨테이너배차관리!$BQ:$BQ,$B169)),GLAPS정리!$BC$2:$BC$80,0)),IF(INDEX(GLAPS컨테이너배차관리!$BQ:$BQ,$B169)="","",INDEX(GLAPS컨테이너배차관리!$BQ:$BQ,$B169))))</f>
        <v/>
      </c>
      <c r="M169" t="str">
        <f>IF($B169="","",IFERROR(INDEX(GLAPS정리!$V$3:$V$180,MATCH(IF(INDEX(GLAPS컨테이너배차관리!$S:$S,$B169)="","",INDEX(GLAPS컨테이너배차관리!$S:$S,$B169)),GLAPS정리!$W$3:$W$180,0)),IF(INDEX(GLAPS컨테이너배차관리!$S:$S,$B169)="","",INDEX(GLAPS컨테이너배차관리!$S:$S,$B169))))</f>
        <v/>
      </c>
      <c r="N169" t="str">
        <f>IF($B169="","",IF(IF(INDEX(GLAPS컨테이너배차관리!$DF:$DF,$B169)="","",INDEX(GLAPS컨테이너배차관리!$DF:$DF,$B169))&lt;&gt;"",IF(INDEX(GLAPS컨테이너배차관리!$DF:$DF,$B169)="","",INDEX(GLAPS컨테이너배차관리!$DF:$DF,$B169)),IF(IF(INDEX(GLAPS컨테이너배차관리!$DG:$DG,$B169)="","",INDEX(GLAPS컨테이너배차관리!$DG:$DG,$B169))&lt;&gt;"",IF(INDEX(GLAPS컨테이너배차관리!$DG:$DG,$B169)="","",INDEX(GLAPS컨테이너배차관리!$DG:$DG,$B169)),"")))</f>
        <v/>
      </c>
      <c r="O169" t="str">
        <f>IF($B169="","",IF(INDEX(GLAPS컨테이너배차관리!$AB:$AB,$B169)="","",INDEX(GLAPS컨테이너배차관리!$AB:$AB,$B169)))</f>
        <v/>
      </c>
      <c r="P169" t="str">
        <f>IF($B169="","",IF(IF(INDEX(GLAPS컨테이너배차관리!$CP:$CP,$B169)="","",INDEX(GLAPS컨테이너배차관리!$CP:$CP,$B169))="","",IFERROR(INDEX(GLAPS정리!$BH$2:$BH$101,MATCH(IF(INDEX(GLAPS컨테이너배차관리!$CP:$CP,$B169)="","",INDEX(GLAPS컨테이너배차관리!$CP:$CP,$B169)),GLAPS정리!$BI$2:$BI$101,0)),IF(INDEX(GLAPS컨테이너배차관리!$CP:$CP,$B169)="","",INDEX(GLAPS컨테이너배차관리!$CP:$CP,$B169)))))</f>
        <v/>
      </c>
      <c r="Q169" t="str">
        <f>IF($B169="","",IF(AND(IF(INDEX(GLAPS컨테이너배차관리!$AK:$AK,$B169)="","",INDEX(GLAPS컨테이너배차관리!$AK:$AK,$B169))="Y",IF(INDEX(GLAPS컨테이너배차관리!$AI:$AI,$B169)="","",INDEX(GLAPS컨테이너배차관리!$AI:$AI,$B169))="Y"),"위험물리퍼",IF(IF(INDEX(GLAPS컨테이너배차관리!$AK:$AK,$B169)="","",INDEX(GLAPS컨테이너배차관리!$AK:$AK,$B169))="Y","위험물",IF(IF(INDEX(GLAPS컨테이너배차관리!$AI:$AI,$B169)="","",INDEX(GLAPS컨테이너배차관리!$AI:$AI,$B169))="Y","리퍼",""))))</f>
        <v/>
      </c>
      <c r="R169" t="str">
        <f>IF($B169="","",IF(LEFT(IF(INDEX(GLAPS컨테이너배차관리!$Y:$Y,$B169)="","",INDEX(GLAPS컨테이너배차관리!$Y:$Y,$B169)),2)="22",1,""))</f>
        <v/>
      </c>
      <c r="S169" t="str">
        <f>IF($B169="","",IF(LEFT(IF(INDEX(GLAPS컨테이너배차관리!$Y:$Y,$B169)="","",INDEX(GLAPS컨테이너배차관리!$Y:$Y,$B169)),2)="42",1,""))</f>
        <v/>
      </c>
      <c r="T169" t="str">
        <f>IF($B169="","",IF(LEFT(IF(INDEX(GLAPS컨테이너배차관리!$Y:$Y,$B169)="","",INDEX(GLAPS컨테이너배차관리!$Y:$Y,$B169)),2)="45",1,""))</f>
        <v/>
      </c>
      <c r="U169" t="str">
        <f>IF($B169="","",IF(INDEX(GLAPS컨테이너배차관리!$X:$X,$B169)="","",INDEX(GLAPS컨테이너배차관리!$X:$X,$B169)))</f>
        <v/>
      </c>
      <c r="V169" t="str">
        <f>IF($B169="","",IF(INDEX(GLAPS컨테이너배차관리!$Z:$Z,$B169)="","",INDEX(GLAPS컨테이너배차관리!$Z:$Z,$B169)))</f>
        <v/>
      </c>
      <c r="W169" t="str">
        <f>IF($B169="","",IF(IF(INDEX(GLAPS컨테이너배차관리!$DI:$DI,$B169)="","",INDEX(GLAPS컨테이너배차관리!$DI:$DI,$B169))&lt;&gt;"",IF(INDEX(GLAPS컨테이너배차관리!$DI:$DI,$B169)="","",INDEX(GLAPS컨테이너배차관리!$DI:$DI,$B169)),IF(IF(INDEX(GLAPS컨테이너배차관리!$DJ:$DJ,$B169)="","",INDEX(GLAPS컨테이너배차관리!$DJ:$DJ,$B169))&lt;&gt;"",IF(INDEX(GLAPS컨테이너배차관리!$DJ:$DJ,$B169)="","",INDEX(GLAPS컨테이너배차관리!$DJ:$DJ,$B169)),IF(IF(INDEX(GLAPS컨테이너배차관리!$DK:$DK,$B169)="","",INDEX(GLAPS컨테이너배차관리!$DK:$DK,$B169))&lt;&gt;"",IF(INDEX(GLAPS컨테이너배차관리!$DK:$DK,$B169)="","",INDEX(GLAPS컨테이너배차관리!$DK:$DK,$B169)),IF(IF(INDEX(GLAPS컨테이너배차관리!$DL:$DL,$B169)="","",INDEX(GLAPS컨테이너배차관리!$DL:$DL,$B169))&lt;&gt;"",IF(INDEX(GLAPS컨테이너배차관리!$DL:$DL,$B169)="","",INDEX(GLAPS컨테이너배차관리!$DL:$DL,$B169)),IF(IF(INDEX(GLAPS컨테이너배차관리!$DM:$DM,$B169)="","",INDEX(GLAPS컨테이너배차관리!$DM:$DM,$B169))&lt;&gt;"",IF(INDEX(GLAPS컨테이너배차관리!$DM:$DM,$B169)="","",INDEX(GLAPS컨테이너배차관리!$DM:$DM,$B169)),""))))))</f>
        <v/>
      </c>
      <c r="X169" t="str">
        <f>IF($B169="","",IF(INDEX(GLAPS컨테이너배차관리!$F:$F,$B169)="","",INDEX(GLAPS컨테이너배차관리!$F:$F,$B169)))</f>
        <v/>
      </c>
      <c r="Y169" t="str">
        <f>IF($B169="","",IF(IF(INDEX(GLAPS컨테이너배차관리!$M:$M,$B169)="","",INDEX(GLAPS컨테이너배차관리!$M:$M,$B169))&lt;&gt;"",IF(INDEX(GLAPS컨테이너배차관리!$M:$M,$B169)="","",INDEX(GLAPS컨테이너배차관리!$M:$M,$B169)),IF(IF(INDEX(GLAPS컨테이너배차관리!$N:$N,$B169)="","",INDEX(GLAPS컨테이너배차관리!$N:$N,$B169))&lt;&gt;"",IF(INDEX(GLAPS컨테이너배차관리!$N:$N,$B169)="","",INDEX(GLAPS컨테이너배차관리!$N:$N,$B169)),"")))</f>
        <v/>
      </c>
      <c r="Z169" t="str">
        <f>IF($B169="","",IF(IF(INDEX(GLAPS컨테이너배차관리!$CU:$CU,$B169)="","",INDEX(GLAPS컨테이너배차관리!$CU:$CU,$B169))="","",IFERROR(INT(IF(INDEX(GLAPS컨테이너배차관리!$CU:$CU,$B169)="","",INDEX(GLAPS컨테이너배차관리!$CU:$CU,$B169))),"")))</f>
        <v/>
      </c>
      <c r="AA169" t="str">
        <f>IF($B169="","",IF(AND(IF(INDEX(GLAPS컨테이너배차관리!$CL:$CL,$B169)="","",INDEX(GLAPS컨테이너배차관리!$CL:$CL,$B169))="",IF(INDEX(GLAPS컨테이너배차관리!$CM:$CM,$B169)="","",INDEX(GLAPS컨테이너배차관리!$CM:$CM,$B169))=""),"",IF(OR(IF(INDEX(GLAPS컨테이너배차관리!$CL:$CL,$B169)="","",INDEX(GLAPS컨테이너배차관리!$CL:$CL,$B169))="B000016649",ISNUMBER(SEARCH("B015",IF(INDEX(GLAPS컨테이너배차관리!$CM:$CM,$B169)="","",INDEX(GLAPS컨테이너배차관리!$CM:$CM,$B169)))),ISNUMBER(SEARCH("세방",IF(INDEX(GLAPS컨테이너배차관리!$CM:$CM,$B169)="","",INDEX(GLAPS컨테이너배차관리!$CM:$CM,$B169)))),ISNUMBER(SEARCH("SB",IF(INDEX(GLAPS컨테이너배차관리!$CM:$CM,$B169)="","",INDEX(GLAPS컨테이너배차관리!$CM:$CM,$B169))))),"세방","")))</f>
        <v/>
      </c>
      <c r="AB169" t="str">
        <f>IF($B169="","",IF(IF(INDEX(GLAPS컨테이너배차관리!$CM:$CM,$B169)="","",INDEX(GLAPS컨테이너배차관리!$CM:$CM,$B169))="","",IF(ISNUMBER(SEARCH("이지스두동",IF(INDEX(GLAPS컨테이너배차관리!$CM:$CM,$B169)="","",INDEX(GLAPS컨테이너배차관리!$CM:$CM,$B169)))),"이지스두동",IF(ISNUMBER(SEARCH("이지스녹산",IF(INDEX(GLAPS컨테이너배차관리!$CM:$CM,$B169)="","",INDEX(GLAPS컨테이너배차관리!$CM:$CM,$B169)))),"이지스녹산",IF(ISNUMBER(SEARCH("천우",IF(INDEX(GLAPS컨테이너배차관리!$CM:$CM,$B169)="","",INDEX(GLAPS컨테이너배차관리!$CM:$CM,$B169)))),"천우",IF(OR(ISNUMBER(SEARCH("청암",IF(INDEX(GLAPS컨테이너배차관리!$CM:$CM,$B169)="","",INDEX(GLAPS컨테이너배차관리!$CM:$CM,$B169)))),ISNUMBER(SEARCH("SB청암",IF(INDEX(GLAPS컨테이너배차관리!$CM:$CM,$B169)="","",INDEX(GLAPS컨테이너배차관리!$CM:$CM,$B169))))),"청암신항",IF(INDEX(GLAPS컨테이너배차관리!$CM:$CM,$B169)="","",INDEX(GLAPS컨테이너배차관리!$CM:$CM,$B169))))))))</f>
        <v/>
      </c>
    </row>
    <row r="170" spans="1:28">
      <c r="A170">
        <v>169</v>
      </c>
      <c r="B170" t="str">
        <f>IFERROR(_xlfn.AGGREGATE(15,6,ROW(GLAPS컨테이너배차관리!$X$2:$X$20000)/(GLAPS컨테이너배차관리!$X$2:$X$20000&lt;&gt;""),A170),"")</f>
        <v/>
      </c>
      <c r="C170" t="str">
        <f>IF($B170="","",INT(IF(INDEX(GLAPS컨테이너배차관리!$K:$K,$B170)="","",INDEX(GLAPS컨테이너배차관리!$K:$K,$B170))))</f>
        <v/>
      </c>
      <c r="D170" t="str">
        <f>IF($B170="","",IF(ISNUMBER(SEARCH("이엘에스",IF(INDEX(GLAPS컨테이너배차관리!$AZ:$AZ,$B170)="","",INDEX(GLAPS컨테이너배차관리!$AZ:$AZ,$B170)))),"ELS솔루션",IF(INDEX(GLAPS컨테이너배차관리!$AZ:$AZ,$B170)="","",INDEX(GLAPS컨테이너배차관리!$AZ:$AZ,$B170))))</f>
        <v/>
      </c>
      <c r="E170" t="str">
        <f>IF($B170="","",IF(INDEX(GLAPS컨테이너배차관리!$L:$L,$B170)="","",INDEX(GLAPS컨테이너배차관리!$L:$L,$B170)))</f>
        <v/>
      </c>
      <c r="F170" t="str">
        <f>IF($B170="","",IF(HOUR(IF(INDEX(GLAPS컨테이너배차관리!$L:$L,$B170)="","",INDEX(GLAPS컨테이너배차관리!$L:$L,$B170)))&lt;12,"오전",IF(HOUR(IF(INDEX(GLAPS컨테이너배차관리!$L:$L,$B170)="","",INDEX(GLAPS컨테이너배차관리!$L:$L,$B170)))&lt;18,"오후","잔업")))</f>
        <v/>
      </c>
      <c r="G170" t="str">
        <f>IF($B170="","",IFERROR(INDEX(GLAPS정리!$G$3:$G$264,MATCH(IF(INDEX(GLAPS컨테이너배차관리!$BY:$BY,$B170)="","",INDEX(GLAPS컨테이너배차관리!$BY:$BY,$B170)),GLAPS정리!$H$3:$H$264,0)),TRIM(SUBSTITUTE(SUBSTITUTE(SUBSTITUTE(SUBSTITUTE(SUBSTITUTE(IF(INDEX(GLAPS컨테이너배차관리!$T:$T,$B170)="","",INDEX(GLAPS컨테이너배차관리!$T:$T,$B170)),"[GA]",""),"[GB]",""),"[GC]",""),"[KC]",""),"[GS]",""))))</f>
        <v/>
      </c>
      <c r="H170" t="str">
        <f>IF($B170="","",IFERROR(VLOOKUP(IF(INDEX(GLAPS컨테이너배차관리!$BY:$BY,$B170)="","",INDEX(GLAPS컨테이너배차관리!$BY:$BY,$B170)),GLAPS정리!$BT$3:$BV$200,3,0),""))</f>
        <v/>
      </c>
      <c r="I170" t="str">
        <f>IF($B170="","",LEFT(IF(INDEX(GLAPS컨테이너배차관리!$U:$U,$B170)="","",INDEX(GLAPS컨테이너배차관리!$U:$U,$B170)),FIND("/",IF(INDEX(GLAPS컨테이너배차관리!$U:$U,$B170)="","",INDEX(GLAPS컨테이너배차관리!$U:$U,$B170))&amp;"/")-1))</f>
        <v/>
      </c>
      <c r="J170" t="str">
        <f>IF($B170="","",IF(IF(INDEX(GLAPS컨테이너배차관리!$O:$O,$B170)="","",INDEX(GLAPS컨테이너배차관리!$O:$O,$B170))="EMC","EMA",IFERROR(INDEX(GLAPS정리!$A$2:$A$50,MATCH(IF(INDEX(GLAPS컨테이너배차관리!$O:$O,$B170)="","",INDEX(GLAPS컨테이너배차관리!$O:$O,$B170)),GLAPS정리!$D$2:$D$50,0)),IF(INDEX(GLAPS컨테이너배차관리!$O:$O,$B170)="","",INDEX(GLAPS컨테이너배차관리!$O:$O,$B170)))))</f>
        <v/>
      </c>
      <c r="K170" t="str">
        <f>IF($B170="","",IF(LEFT(IF(INDEX(GLAPS컨테이너배차관리!$Y:$Y,$B170)="","",INDEX(GLAPS컨테이너배차관리!$Y:$Y,$B170)),2)="22","20 Feet",IF(LEFT(IF(INDEX(GLAPS컨테이너배차관리!$Y:$Y,$B170)="","",INDEX(GLAPS컨테이너배차관리!$Y:$Y,$B170)),2)="42","40 Feet","40 Feet H")))</f>
        <v/>
      </c>
      <c r="L170" t="str">
        <f>IF($B170="","",IFERROR(INDEX(GLAPS정리!$BB$2:$BB$80,MATCH(IF(INDEX(GLAPS컨테이너배차관리!$BQ:$BQ,$B170)="","",INDEX(GLAPS컨테이너배차관리!$BQ:$BQ,$B170)),GLAPS정리!$BC$2:$BC$80,0)),IF(INDEX(GLAPS컨테이너배차관리!$BQ:$BQ,$B170)="","",INDEX(GLAPS컨테이너배차관리!$BQ:$BQ,$B170))))</f>
        <v/>
      </c>
      <c r="M170" t="str">
        <f>IF($B170="","",IFERROR(INDEX(GLAPS정리!$V$3:$V$180,MATCH(IF(INDEX(GLAPS컨테이너배차관리!$S:$S,$B170)="","",INDEX(GLAPS컨테이너배차관리!$S:$S,$B170)),GLAPS정리!$W$3:$W$180,0)),IF(INDEX(GLAPS컨테이너배차관리!$S:$S,$B170)="","",INDEX(GLAPS컨테이너배차관리!$S:$S,$B170))))</f>
        <v/>
      </c>
      <c r="N170" t="str">
        <f>IF($B170="","",IF(IF(INDEX(GLAPS컨테이너배차관리!$DF:$DF,$B170)="","",INDEX(GLAPS컨테이너배차관리!$DF:$DF,$B170))&lt;&gt;"",IF(INDEX(GLAPS컨테이너배차관리!$DF:$DF,$B170)="","",INDEX(GLAPS컨테이너배차관리!$DF:$DF,$B170)),IF(IF(INDEX(GLAPS컨테이너배차관리!$DG:$DG,$B170)="","",INDEX(GLAPS컨테이너배차관리!$DG:$DG,$B170))&lt;&gt;"",IF(INDEX(GLAPS컨테이너배차관리!$DG:$DG,$B170)="","",INDEX(GLAPS컨테이너배차관리!$DG:$DG,$B170)),"")))</f>
        <v/>
      </c>
      <c r="O170" t="str">
        <f>IF($B170="","",IF(INDEX(GLAPS컨테이너배차관리!$AB:$AB,$B170)="","",INDEX(GLAPS컨테이너배차관리!$AB:$AB,$B170)))</f>
        <v/>
      </c>
      <c r="P170" t="str">
        <f>IF($B170="","",IF(IF(INDEX(GLAPS컨테이너배차관리!$CP:$CP,$B170)="","",INDEX(GLAPS컨테이너배차관리!$CP:$CP,$B170))="","",IFERROR(INDEX(GLAPS정리!$BH$2:$BH$101,MATCH(IF(INDEX(GLAPS컨테이너배차관리!$CP:$CP,$B170)="","",INDEX(GLAPS컨테이너배차관리!$CP:$CP,$B170)),GLAPS정리!$BI$2:$BI$101,0)),IF(INDEX(GLAPS컨테이너배차관리!$CP:$CP,$B170)="","",INDEX(GLAPS컨테이너배차관리!$CP:$CP,$B170)))))</f>
        <v/>
      </c>
      <c r="Q170" t="str">
        <f>IF($B170="","",IF(AND(IF(INDEX(GLAPS컨테이너배차관리!$AK:$AK,$B170)="","",INDEX(GLAPS컨테이너배차관리!$AK:$AK,$B170))="Y",IF(INDEX(GLAPS컨테이너배차관리!$AI:$AI,$B170)="","",INDEX(GLAPS컨테이너배차관리!$AI:$AI,$B170))="Y"),"위험물리퍼",IF(IF(INDEX(GLAPS컨테이너배차관리!$AK:$AK,$B170)="","",INDEX(GLAPS컨테이너배차관리!$AK:$AK,$B170))="Y","위험물",IF(IF(INDEX(GLAPS컨테이너배차관리!$AI:$AI,$B170)="","",INDEX(GLAPS컨테이너배차관리!$AI:$AI,$B170))="Y","리퍼",""))))</f>
        <v/>
      </c>
      <c r="R170" t="str">
        <f>IF($B170="","",IF(LEFT(IF(INDEX(GLAPS컨테이너배차관리!$Y:$Y,$B170)="","",INDEX(GLAPS컨테이너배차관리!$Y:$Y,$B170)),2)="22",1,""))</f>
        <v/>
      </c>
      <c r="S170" t="str">
        <f>IF($B170="","",IF(LEFT(IF(INDEX(GLAPS컨테이너배차관리!$Y:$Y,$B170)="","",INDEX(GLAPS컨테이너배차관리!$Y:$Y,$B170)),2)="42",1,""))</f>
        <v/>
      </c>
      <c r="T170" t="str">
        <f>IF($B170="","",IF(LEFT(IF(INDEX(GLAPS컨테이너배차관리!$Y:$Y,$B170)="","",INDEX(GLAPS컨테이너배차관리!$Y:$Y,$B170)),2)="45",1,""))</f>
        <v/>
      </c>
      <c r="U170" t="str">
        <f>IF($B170="","",IF(INDEX(GLAPS컨테이너배차관리!$X:$X,$B170)="","",INDEX(GLAPS컨테이너배차관리!$X:$X,$B170)))</f>
        <v/>
      </c>
      <c r="V170" t="str">
        <f>IF($B170="","",IF(INDEX(GLAPS컨테이너배차관리!$Z:$Z,$B170)="","",INDEX(GLAPS컨테이너배차관리!$Z:$Z,$B170)))</f>
        <v/>
      </c>
      <c r="W170" t="str">
        <f>IF($B170="","",IF(IF(INDEX(GLAPS컨테이너배차관리!$DI:$DI,$B170)="","",INDEX(GLAPS컨테이너배차관리!$DI:$DI,$B170))&lt;&gt;"",IF(INDEX(GLAPS컨테이너배차관리!$DI:$DI,$B170)="","",INDEX(GLAPS컨테이너배차관리!$DI:$DI,$B170)),IF(IF(INDEX(GLAPS컨테이너배차관리!$DJ:$DJ,$B170)="","",INDEX(GLAPS컨테이너배차관리!$DJ:$DJ,$B170))&lt;&gt;"",IF(INDEX(GLAPS컨테이너배차관리!$DJ:$DJ,$B170)="","",INDEX(GLAPS컨테이너배차관리!$DJ:$DJ,$B170)),IF(IF(INDEX(GLAPS컨테이너배차관리!$DK:$DK,$B170)="","",INDEX(GLAPS컨테이너배차관리!$DK:$DK,$B170))&lt;&gt;"",IF(INDEX(GLAPS컨테이너배차관리!$DK:$DK,$B170)="","",INDEX(GLAPS컨테이너배차관리!$DK:$DK,$B170)),IF(IF(INDEX(GLAPS컨테이너배차관리!$DL:$DL,$B170)="","",INDEX(GLAPS컨테이너배차관리!$DL:$DL,$B170))&lt;&gt;"",IF(INDEX(GLAPS컨테이너배차관리!$DL:$DL,$B170)="","",INDEX(GLAPS컨테이너배차관리!$DL:$DL,$B170)),IF(IF(INDEX(GLAPS컨테이너배차관리!$DM:$DM,$B170)="","",INDEX(GLAPS컨테이너배차관리!$DM:$DM,$B170))&lt;&gt;"",IF(INDEX(GLAPS컨테이너배차관리!$DM:$DM,$B170)="","",INDEX(GLAPS컨테이너배차관리!$DM:$DM,$B170)),""))))))</f>
        <v/>
      </c>
      <c r="X170" t="str">
        <f>IF($B170="","",IF(INDEX(GLAPS컨테이너배차관리!$F:$F,$B170)="","",INDEX(GLAPS컨테이너배차관리!$F:$F,$B170)))</f>
        <v/>
      </c>
      <c r="Y170" t="str">
        <f>IF($B170="","",IF(IF(INDEX(GLAPS컨테이너배차관리!$M:$M,$B170)="","",INDEX(GLAPS컨테이너배차관리!$M:$M,$B170))&lt;&gt;"",IF(INDEX(GLAPS컨테이너배차관리!$M:$M,$B170)="","",INDEX(GLAPS컨테이너배차관리!$M:$M,$B170)),IF(IF(INDEX(GLAPS컨테이너배차관리!$N:$N,$B170)="","",INDEX(GLAPS컨테이너배차관리!$N:$N,$B170))&lt;&gt;"",IF(INDEX(GLAPS컨테이너배차관리!$N:$N,$B170)="","",INDEX(GLAPS컨테이너배차관리!$N:$N,$B170)),"")))</f>
        <v/>
      </c>
      <c r="Z170" t="str">
        <f>IF($B170="","",IF(IF(INDEX(GLAPS컨테이너배차관리!$CU:$CU,$B170)="","",INDEX(GLAPS컨테이너배차관리!$CU:$CU,$B170))="","",IFERROR(INT(IF(INDEX(GLAPS컨테이너배차관리!$CU:$CU,$B170)="","",INDEX(GLAPS컨테이너배차관리!$CU:$CU,$B170))),"")))</f>
        <v/>
      </c>
      <c r="AA170" t="str">
        <f>IF($B170="","",IF(AND(IF(INDEX(GLAPS컨테이너배차관리!$CL:$CL,$B170)="","",INDEX(GLAPS컨테이너배차관리!$CL:$CL,$B170))="",IF(INDEX(GLAPS컨테이너배차관리!$CM:$CM,$B170)="","",INDEX(GLAPS컨테이너배차관리!$CM:$CM,$B170))=""),"",IF(OR(IF(INDEX(GLAPS컨테이너배차관리!$CL:$CL,$B170)="","",INDEX(GLAPS컨테이너배차관리!$CL:$CL,$B170))="B000016649",ISNUMBER(SEARCH("B015",IF(INDEX(GLAPS컨테이너배차관리!$CM:$CM,$B170)="","",INDEX(GLAPS컨테이너배차관리!$CM:$CM,$B170)))),ISNUMBER(SEARCH("세방",IF(INDEX(GLAPS컨테이너배차관리!$CM:$CM,$B170)="","",INDEX(GLAPS컨테이너배차관리!$CM:$CM,$B170)))),ISNUMBER(SEARCH("SB",IF(INDEX(GLAPS컨테이너배차관리!$CM:$CM,$B170)="","",INDEX(GLAPS컨테이너배차관리!$CM:$CM,$B170))))),"세방","")))</f>
        <v/>
      </c>
      <c r="AB170" t="str">
        <f>IF($B170="","",IF(IF(INDEX(GLAPS컨테이너배차관리!$CM:$CM,$B170)="","",INDEX(GLAPS컨테이너배차관리!$CM:$CM,$B170))="","",IF(ISNUMBER(SEARCH("이지스두동",IF(INDEX(GLAPS컨테이너배차관리!$CM:$CM,$B170)="","",INDEX(GLAPS컨테이너배차관리!$CM:$CM,$B170)))),"이지스두동",IF(ISNUMBER(SEARCH("이지스녹산",IF(INDEX(GLAPS컨테이너배차관리!$CM:$CM,$B170)="","",INDEX(GLAPS컨테이너배차관리!$CM:$CM,$B170)))),"이지스녹산",IF(ISNUMBER(SEARCH("천우",IF(INDEX(GLAPS컨테이너배차관리!$CM:$CM,$B170)="","",INDEX(GLAPS컨테이너배차관리!$CM:$CM,$B170)))),"천우",IF(OR(ISNUMBER(SEARCH("청암",IF(INDEX(GLAPS컨테이너배차관리!$CM:$CM,$B170)="","",INDEX(GLAPS컨테이너배차관리!$CM:$CM,$B170)))),ISNUMBER(SEARCH("SB청암",IF(INDEX(GLAPS컨테이너배차관리!$CM:$CM,$B170)="","",INDEX(GLAPS컨테이너배차관리!$CM:$CM,$B170))))),"청암신항",IF(INDEX(GLAPS컨테이너배차관리!$CM:$CM,$B170)="","",INDEX(GLAPS컨테이너배차관리!$CM:$CM,$B170))))))))</f>
        <v/>
      </c>
    </row>
    <row r="171" spans="1:28">
      <c r="A171">
        <v>170</v>
      </c>
      <c r="B171" t="str">
        <f>IFERROR(_xlfn.AGGREGATE(15,6,ROW(GLAPS컨테이너배차관리!$X$2:$X$20000)/(GLAPS컨테이너배차관리!$X$2:$X$20000&lt;&gt;""),A171),"")</f>
        <v/>
      </c>
      <c r="C171" t="str">
        <f>IF($B171="","",INT(IF(INDEX(GLAPS컨테이너배차관리!$K:$K,$B171)="","",INDEX(GLAPS컨테이너배차관리!$K:$K,$B171))))</f>
        <v/>
      </c>
      <c r="D171" t="str">
        <f>IF($B171="","",IF(ISNUMBER(SEARCH("이엘에스",IF(INDEX(GLAPS컨테이너배차관리!$AZ:$AZ,$B171)="","",INDEX(GLAPS컨테이너배차관리!$AZ:$AZ,$B171)))),"ELS솔루션",IF(INDEX(GLAPS컨테이너배차관리!$AZ:$AZ,$B171)="","",INDEX(GLAPS컨테이너배차관리!$AZ:$AZ,$B171))))</f>
        <v/>
      </c>
      <c r="E171" t="str">
        <f>IF($B171="","",IF(INDEX(GLAPS컨테이너배차관리!$L:$L,$B171)="","",INDEX(GLAPS컨테이너배차관리!$L:$L,$B171)))</f>
        <v/>
      </c>
      <c r="F171" t="str">
        <f>IF($B171="","",IF(HOUR(IF(INDEX(GLAPS컨테이너배차관리!$L:$L,$B171)="","",INDEX(GLAPS컨테이너배차관리!$L:$L,$B171)))&lt;12,"오전",IF(HOUR(IF(INDEX(GLAPS컨테이너배차관리!$L:$L,$B171)="","",INDEX(GLAPS컨테이너배차관리!$L:$L,$B171)))&lt;18,"오후","잔업")))</f>
        <v/>
      </c>
      <c r="G171" t="str">
        <f>IF($B171="","",IFERROR(INDEX(GLAPS정리!$G$3:$G$264,MATCH(IF(INDEX(GLAPS컨테이너배차관리!$BY:$BY,$B171)="","",INDEX(GLAPS컨테이너배차관리!$BY:$BY,$B171)),GLAPS정리!$H$3:$H$264,0)),TRIM(SUBSTITUTE(SUBSTITUTE(SUBSTITUTE(SUBSTITUTE(SUBSTITUTE(IF(INDEX(GLAPS컨테이너배차관리!$T:$T,$B171)="","",INDEX(GLAPS컨테이너배차관리!$T:$T,$B171)),"[GA]",""),"[GB]",""),"[GC]",""),"[KC]",""),"[GS]",""))))</f>
        <v/>
      </c>
      <c r="H171" t="str">
        <f>IF($B171="","",IFERROR(VLOOKUP(IF(INDEX(GLAPS컨테이너배차관리!$BY:$BY,$B171)="","",INDEX(GLAPS컨테이너배차관리!$BY:$BY,$B171)),GLAPS정리!$BT$3:$BV$200,3,0),""))</f>
        <v/>
      </c>
      <c r="I171" t="str">
        <f>IF($B171="","",LEFT(IF(INDEX(GLAPS컨테이너배차관리!$U:$U,$B171)="","",INDEX(GLAPS컨테이너배차관리!$U:$U,$B171)),FIND("/",IF(INDEX(GLAPS컨테이너배차관리!$U:$U,$B171)="","",INDEX(GLAPS컨테이너배차관리!$U:$U,$B171))&amp;"/")-1))</f>
        <v/>
      </c>
      <c r="J171" t="str">
        <f>IF($B171="","",IF(IF(INDEX(GLAPS컨테이너배차관리!$O:$O,$B171)="","",INDEX(GLAPS컨테이너배차관리!$O:$O,$B171))="EMC","EMA",IFERROR(INDEX(GLAPS정리!$A$2:$A$50,MATCH(IF(INDEX(GLAPS컨테이너배차관리!$O:$O,$B171)="","",INDEX(GLAPS컨테이너배차관리!$O:$O,$B171)),GLAPS정리!$D$2:$D$50,0)),IF(INDEX(GLAPS컨테이너배차관리!$O:$O,$B171)="","",INDEX(GLAPS컨테이너배차관리!$O:$O,$B171)))))</f>
        <v/>
      </c>
      <c r="K171" t="str">
        <f>IF($B171="","",IF(LEFT(IF(INDEX(GLAPS컨테이너배차관리!$Y:$Y,$B171)="","",INDEX(GLAPS컨테이너배차관리!$Y:$Y,$B171)),2)="22","20 Feet",IF(LEFT(IF(INDEX(GLAPS컨테이너배차관리!$Y:$Y,$B171)="","",INDEX(GLAPS컨테이너배차관리!$Y:$Y,$B171)),2)="42","40 Feet","40 Feet H")))</f>
        <v/>
      </c>
      <c r="L171" t="str">
        <f>IF($B171="","",IFERROR(INDEX(GLAPS정리!$BB$2:$BB$80,MATCH(IF(INDEX(GLAPS컨테이너배차관리!$BQ:$BQ,$B171)="","",INDEX(GLAPS컨테이너배차관리!$BQ:$BQ,$B171)),GLAPS정리!$BC$2:$BC$80,0)),IF(INDEX(GLAPS컨테이너배차관리!$BQ:$BQ,$B171)="","",INDEX(GLAPS컨테이너배차관리!$BQ:$BQ,$B171))))</f>
        <v/>
      </c>
      <c r="M171" t="str">
        <f>IF($B171="","",IFERROR(INDEX(GLAPS정리!$V$3:$V$180,MATCH(IF(INDEX(GLAPS컨테이너배차관리!$S:$S,$B171)="","",INDEX(GLAPS컨테이너배차관리!$S:$S,$B171)),GLAPS정리!$W$3:$W$180,0)),IF(INDEX(GLAPS컨테이너배차관리!$S:$S,$B171)="","",INDEX(GLAPS컨테이너배차관리!$S:$S,$B171))))</f>
        <v/>
      </c>
      <c r="N171" t="str">
        <f>IF($B171="","",IF(IF(INDEX(GLAPS컨테이너배차관리!$DF:$DF,$B171)="","",INDEX(GLAPS컨테이너배차관리!$DF:$DF,$B171))&lt;&gt;"",IF(INDEX(GLAPS컨테이너배차관리!$DF:$DF,$B171)="","",INDEX(GLAPS컨테이너배차관리!$DF:$DF,$B171)),IF(IF(INDEX(GLAPS컨테이너배차관리!$DG:$DG,$B171)="","",INDEX(GLAPS컨테이너배차관리!$DG:$DG,$B171))&lt;&gt;"",IF(INDEX(GLAPS컨테이너배차관리!$DG:$DG,$B171)="","",INDEX(GLAPS컨테이너배차관리!$DG:$DG,$B171)),"")))</f>
        <v/>
      </c>
      <c r="O171" t="str">
        <f>IF($B171="","",IF(INDEX(GLAPS컨테이너배차관리!$AB:$AB,$B171)="","",INDEX(GLAPS컨테이너배차관리!$AB:$AB,$B171)))</f>
        <v/>
      </c>
      <c r="P171" t="str">
        <f>IF($B171="","",IF(IF(INDEX(GLAPS컨테이너배차관리!$CP:$CP,$B171)="","",INDEX(GLAPS컨테이너배차관리!$CP:$CP,$B171))="","",IFERROR(INDEX(GLAPS정리!$BH$2:$BH$101,MATCH(IF(INDEX(GLAPS컨테이너배차관리!$CP:$CP,$B171)="","",INDEX(GLAPS컨테이너배차관리!$CP:$CP,$B171)),GLAPS정리!$BI$2:$BI$101,0)),IF(INDEX(GLAPS컨테이너배차관리!$CP:$CP,$B171)="","",INDEX(GLAPS컨테이너배차관리!$CP:$CP,$B171)))))</f>
        <v/>
      </c>
      <c r="Q171" t="str">
        <f>IF($B171="","",IF(AND(IF(INDEX(GLAPS컨테이너배차관리!$AK:$AK,$B171)="","",INDEX(GLAPS컨테이너배차관리!$AK:$AK,$B171))="Y",IF(INDEX(GLAPS컨테이너배차관리!$AI:$AI,$B171)="","",INDEX(GLAPS컨테이너배차관리!$AI:$AI,$B171))="Y"),"위험물리퍼",IF(IF(INDEX(GLAPS컨테이너배차관리!$AK:$AK,$B171)="","",INDEX(GLAPS컨테이너배차관리!$AK:$AK,$B171))="Y","위험물",IF(IF(INDEX(GLAPS컨테이너배차관리!$AI:$AI,$B171)="","",INDEX(GLAPS컨테이너배차관리!$AI:$AI,$B171))="Y","리퍼",""))))</f>
        <v/>
      </c>
      <c r="R171" t="str">
        <f>IF($B171="","",IF(LEFT(IF(INDEX(GLAPS컨테이너배차관리!$Y:$Y,$B171)="","",INDEX(GLAPS컨테이너배차관리!$Y:$Y,$B171)),2)="22",1,""))</f>
        <v/>
      </c>
      <c r="S171" t="str">
        <f>IF($B171="","",IF(LEFT(IF(INDEX(GLAPS컨테이너배차관리!$Y:$Y,$B171)="","",INDEX(GLAPS컨테이너배차관리!$Y:$Y,$B171)),2)="42",1,""))</f>
        <v/>
      </c>
      <c r="T171" t="str">
        <f>IF($B171="","",IF(LEFT(IF(INDEX(GLAPS컨테이너배차관리!$Y:$Y,$B171)="","",INDEX(GLAPS컨테이너배차관리!$Y:$Y,$B171)),2)="45",1,""))</f>
        <v/>
      </c>
      <c r="U171" t="str">
        <f>IF($B171="","",IF(INDEX(GLAPS컨테이너배차관리!$X:$X,$B171)="","",INDEX(GLAPS컨테이너배차관리!$X:$X,$B171)))</f>
        <v/>
      </c>
      <c r="V171" t="str">
        <f>IF($B171="","",IF(INDEX(GLAPS컨테이너배차관리!$Z:$Z,$B171)="","",INDEX(GLAPS컨테이너배차관리!$Z:$Z,$B171)))</f>
        <v/>
      </c>
      <c r="W171" t="str">
        <f>IF($B171="","",IF(IF(INDEX(GLAPS컨테이너배차관리!$DI:$DI,$B171)="","",INDEX(GLAPS컨테이너배차관리!$DI:$DI,$B171))&lt;&gt;"",IF(INDEX(GLAPS컨테이너배차관리!$DI:$DI,$B171)="","",INDEX(GLAPS컨테이너배차관리!$DI:$DI,$B171)),IF(IF(INDEX(GLAPS컨테이너배차관리!$DJ:$DJ,$B171)="","",INDEX(GLAPS컨테이너배차관리!$DJ:$DJ,$B171))&lt;&gt;"",IF(INDEX(GLAPS컨테이너배차관리!$DJ:$DJ,$B171)="","",INDEX(GLAPS컨테이너배차관리!$DJ:$DJ,$B171)),IF(IF(INDEX(GLAPS컨테이너배차관리!$DK:$DK,$B171)="","",INDEX(GLAPS컨테이너배차관리!$DK:$DK,$B171))&lt;&gt;"",IF(INDEX(GLAPS컨테이너배차관리!$DK:$DK,$B171)="","",INDEX(GLAPS컨테이너배차관리!$DK:$DK,$B171)),IF(IF(INDEX(GLAPS컨테이너배차관리!$DL:$DL,$B171)="","",INDEX(GLAPS컨테이너배차관리!$DL:$DL,$B171))&lt;&gt;"",IF(INDEX(GLAPS컨테이너배차관리!$DL:$DL,$B171)="","",INDEX(GLAPS컨테이너배차관리!$DL:$DL,$B171)),IF(IF(INDEX(GLAPS컨테이너배차관리!$DM:$DM,$B171)="","",INDEX(GLAPS컨테이너배차관리!$DM:$DM,$B171))&lt;&gt;"",IF(INDEX(GLAPS컨테이너배차관리!$DM:$DM,$B171)="","",INDEX(GLAPS컨테이너배차관리!$DM:$DM,$B171)),""))))))</f>
        <v/>
      </c>
      <c r="X171" t="str">
        <f>IF($B171="","",IF(INDEX(GLAPS컨테이너배차관리!$F:$F,$B171)="","",INDEX(GLAPS컨테이너배차관리!$F:$F,$B171)))</f>
        <v/>
      </c>
      <c r="Y171" t="str">
        <f>IF($B171="","",IF(IF(INDEX(GLAPS컨테이너배차관리!$M:$M,$B171)="","",INDEX(GLAPS컨테이너배차관리!$M:$M,$B171))&lt;&gt;"",IF(INDEX(GLAPS컨테이너배차관리!$M:$M,$B171)="","",INDEX(GLAPS컨테이너배차관리!$M:$M,$B171)),IF(IF(INDEX(GLAPS컨테이너배차관리!$N:$N,$B171)="","",INDEX(GLAPS컨테이너배차관리!$N:$N,$B171))&lt;&gt;"",IF(INDEX(GLAPS컨테이너배차관리!$N:$N,$B171)="","",INDEX(GLAPS컨테이너배차관리!$N:$N,$B171)),"")))</f>
        <v/>
      </c>
      <c r="Z171" t="str">
        <f>IF($B171="","",IF(IF(INDEX(GLAPS컨테이너배차관리!$CU:$CU,$B171)="","",INDEX(GLAPS컨테이너배차관리!$CU:$CU,$B171))="","",IFERROR(INT(IF(INDEX(GLAPS컨테이너배차관리!$CU:$CU,$B171)="","",INDEX(GLAPS컨테이너배차관리!$CU:$CU,$B171))),"")))</f>
        <v/>
      </c>
      <c r="AA171" t="str">
        <f>IF($B171="","",IF(AND(IF(INDEX(GLAPS컨테이너배차관리!$CL:$CL,$B171)="","",INDEX(GLAPS컨테이너배차관리!$CL:$CL,$B171))="",IF(INDEX(GLAPS컨테이너배차관리!$CM:$CM,$B171)="","",INDEX(GLAPS컨테이너배차관리!$CM:$CM,$B171))=""),"",IF(OR(IF(INDEX(GLAPS컨테이너배차관리!$CL:$CL,$B171)="","",INDEX(GLAPS컨테이너배차관리!$CL:$CL,$B171))="B000016649",ISNUMBER(SEARCH("B015",IF(INDEX(GLAPS컨테이너배차관리!$CM:$CM,$B171)="","",INDEX(GLAPS컨테이너배차관리!$CM:$CM,$B171)))),ISNUMBER(SEARCH("세방",IF(INDEX(GLAPS컨테이너배차관리!$CM:$CM,$B171)="","",INDEX(GLAPS컨테이너배차관리!$CM:$CM,$B171)))),ISNUMBER(SEARCH("SB",IF(INDEX(GLAPS컨테이너배차관리!$CM:$CM,$B171)="","",INDEX(GLAPS컨테이너배차관리!$CM:$CM,$B171))))),"세방","")))</f>
        <v/>
      </c>
      <c r="AB171" t="str">
        <f>IF($B171="","",IF(IF(INDEX(GLAPS컨테이너배차관리!$CM:$CM,$B171)="","",INDEX(GLAPS컨테이너배차관리!$CM:$CM,$B171))="","",IF(ISNUMBER(SEARCH("이지스두동",IF(INDEX(GLAPS컨테이너배차관리!$CM:$CM,$B171)="","",INDEX(GLAPS컨테이너배차관리!$CM:$CM,$B171)))),"이지스두동",IF(ISNUMBER(SEARCH("이지스녹산",IF(INDEX(GLAPS컨테이너배차관리!$CM:$CM,$B171)="","",INDEX(GLAPS컨테이너배차관리!$CM:$CM,$B171)))),"이지스녹산",IF(ISNUMBER(SEARCH("천우",IF(INDEX(GLAPS컨테이너배차관리!$CM:$CM,$B171)="","",INDEX(GLAPS컨테이너배차관리!$CM:$CM,$B171)))),"천우",IF(OR(ISNUMBER(SEARCH("청암",IF(INDEX(GLAPS컨테이너배차관리!$CM:$CM,$B171)="","",INDEX(GLAPS컨테이너배차관리!$CM:$CM,$B171)))),ISNUMBER(SEARCH("SB청암",IF(INDEX(GLAPS컨테이너배차관리!$CM:$CM,$B171)="","",INDEX(GLAPS컨테이너배차관리!$CM:$CM,$B171))))),"청암신항",IF(INDEX(GLAPS컨테이너배차관리!$CM:$CM,$B171)="","",INDEX(GLAPS컨테이너배차관리!$CM:$CM,$B171))))))))</f>
        <v/>
      </c>
    </row>
    <row r="172" spans="1:28">
      <c r="A172">
        <v>171</v>
      </c>
      <c r="B172" t="str">
        <f>IFERROR(_xlfn.AGGREGATE(15,6,ROW(GLAPS컨테이너배차관리!$X$2:$X$20000)/(GLAPS컨테이너배차관리!$X$2:$X$20000&lt;&gt;""),A172),"")</f>
        <v/>
      </c>
      <c r="C172" t="str">
        <f>IF($B172="","",INT(IF(INDEX(GLAPS컨테이너배차관리!$K:$K,$B172)="","",INDEX(GLAPS컨테이너배차관리!$K:$K,$B172))))</f>
        <v/>
      </c>
      <c r="D172" t="str">
        <f>IF($B172="","",IF(ISNUMBER(SEARCH("이엘에스",IF(INDEX(GLAPS컨테이너배차관리!$AZ:$AZ,$B172)="","",INDEX(GLAPS컨테이너배차관리!$AZ:$AZ,$B172)))),"ELS솔루션",IF(INDEX(GLAPS컨테이너배차관리!$AZ:$AZ,$B172)="","",INDEX(GLAPS컨테이너배차관리!$AZ:$AZ,$B172))))</f>
        <v/>
      </c>
      <c r="E172" t="str">
        <f>IF($B172="","",IF(INDEX(GLAPS컨테이너배차관리!$L:$L,$B172)="","",INDEX(GLAPS컨테이너배차관리!$L:$L,$B172)))</f>
        <v/>
      </c>
      <c r="F172" t="str">
        <f>IF($B172="","",IF(HOUR(IF(INDEX(GLAPS컨테이너배차관리!$L:$L,$B172)="","",INDEX(GLAPS컨테이너배차관리!$L:$L,$B172)))&lt;12,"오전",IF(HOUR(IF(INDEX(GLAPS컨테이너배차관리!$L:$L,$B172)="","",INDEX(GLAPS컨테이너배차관리!$L:$L,$B172)))&lt;18,"오후","잔업")))</f>
        <v/>
      </c>
      <c r="G172" t="str">
        <f>IF($B172="","",IFERROR(INDEX(GLAPS정리!$G$3:$G$264,MATCH(IF(INDEX(GLAPS컨테이너배차관리!$BY:$BY,$B172)="","",INDEX(GLAPS컨테이너배차관리!$BY:$BY,$B172)),GLAPS정리!$H$3:$H$264,0)),TRIM(SUBSTITUTE(SUBSTITUTE(SUBSTITUTE(SUBSTITUTE(SUBSTITUTE(IF(INDEX(GLAPS컨테이너배차관리!$T:$T,$B172)="","",INDEX(GLAPS컨테이너배차관리!$T:$T,$B172)),"[GA]",""),"[GB]",""),"[GC]",""),"[KC]",""),"[GS]",""))))</f>
        <v/>
      </c>
      <c r="H172" t="str">
        <f>IF($B172="","",IFERROR(VLOOKUP(IF(INDEX(GLAPS컨테이너배차관리!$BY:$BY,$B172)="","",INDEX(GLAPS컨테이너배차관리!$BY:$BY,$B172)),GLAPS정리!$BT$3:$BV$200,3,0),""))</f>
        <v/>
      </c>
      <c r="I172" t="str">
        <f>IF($B172="","",LEFT(IF(INDEX(GLAPS컨테이너배차관리!$U:$U,$B172)="","",INDEX(GLAPS컨테이너배차관리!$U:$U,$B172)),FIND("/",IF(INDEX(GLAPS컨테이너배차관리!$U:$U,$B172)="","",INDEX(GLAPS컨테이너배차관리!$U:$U,$B172))&amp;"/")-1))</f>
        <v/>
      </c>
      <c r="J172" t="str">
        <f>IF($B172="","",IF(IF(INDEX(GLAPS컨테이너배차관리!$O:$O,$B172)="","",INDEX(GLAPS컨테이너배차관리!$O:$O,$B172))="EMC","EMA",IFERROR(INDEX(GLAPS정리!$A$2:$A$50,MATCH(IF(INDEX(GLAPS컨테이너배차관리!$O:$O,$B172)="","",INDEX(GLAPS컨테이너배차관리!$O:$O,$B172)),GLAPS정리!$D$2:$D$50,0)),IF(INDEX(GLAPS컨테이너배차관리!$O:$O,$B172)="","",INDEX(GLAPS컨테이너배차관리!$O:$O,$B172)))))</f>
        <v/>
      </c>
      <c r="K172" t="str">
        <f>IF($B172="","",IF(LEFT(IF(INDEX(GLAPS컨테이너배차관리!$Y:$Y,$B172)="","",INDEX(GLAPS컨테이너배차관리!$Y:$Y,$B172)),2)="22","20 Feet",IF(LEFT(IF(INDEX(GLAPS컨테이너배차관리!$Y:$Y,$B172)="","",INDEX(GLAPS컨테이너배차관리!$Y:$Y,$B172)),2)="42","40 Feet","40 Feet H")))</f>
        <v/>
      </c>
      <c r="L172" t="str">
        <f>IF($B172="","",IFERROR(INDEX(GLAPS정리!$BB$2:$BB$80,MATCH(IF(INDEX(GLAPS컨테이너배차관리!$BQ:$BQ,$B172)="","",INDEX(GLAPS컨테이너배차관리!$BQ:$BQ,$B172)),GLAPS정리!$BC$2:$BC$80,0)),IF(INDEX(GLAPS컨테이너배차관리!$BQ:$BQ,$B172)="","",INDEX(GLAPS컨테이너배차관리!$BQ:$BQ,$B172))))</f>
        <v/>
      </c>
      <c r="M172" t="str">
        <f>IF($B172="","",IFERROR(INDEX(GLAPS정리!$V$3:$V$180,MATCH(IF(INDEX(GLAPS컨테이너배차관리!$S:$S,$B172)="","",INDEX(GLAPS컨테이너배차관리!$S:$S,$B172)),GLAPS정리!$W$3:$W$180,0)),IF(INDEX(GLAPS컨테이너배차관리!$S:$S,$B172)="","",INDEX(GLAPS컨테이너배차관리!$S:$S,$B172))))</f>
        <v/>
      </c>
      <c r="N172" t="str">
        <f>IF($B172="","",IF(IF(INDEX(GLAPS컨테이너배차관리!$DF:$DF,$B172)="","",INDEX(GLAPS컨테이너배차관리!$DF:$DF,$B172))&lt;&gt;"",IF(INDEX(GLAPS컨테이너배차관리!$DF:$DF,$B172)="","",INDEX(GLAPS컨테이너배차관리!$DF:$DF,$B172)),IF(IF(INDEX(GLAPS컨테이너배차관리!$DG:$DG,$B172)="","",INDEX(GLAPS컨테이너배차관리!$DG:$DG,$B172))&lt;&gt;"",IF(INDEX(GLAPS컨테이너배차관리!$DG:$DG,$B172)="","",INDEX(GLAPS컨테이너배차관리!$DG:$DG,$B172)),"")))</f>
        <v/>
      </c>
      <c r="O172" t="str">
        <f>IF($B172="","",IF(INDEX(GLAPS컨테이너배차관리!$AB:$AB,$B172)="","",INDEX(GLAPS컨테이너배차관리!$AB:$AB,$B172)))</f>
        <v/>
      </c>
      <c r="P172" t="str">
        <f>IF($B172="","",IF(IF(INDEX(GLAPS컨테이너배차관리!$CP:$CP,$B172)="","",INDEX(GLAPS컨테이너배차관리!$CP:$CP,$B172))="","",IFERROR(INDEX(GLAPS정리!$BH$2:$BH$101,MATCH(IF(INDEX(GLAPS컨테이너배차관리!$CP:$CP,$B172)="","",INDEX(GLAPS컨테이너배차관리!$CP:$CP,$B172)),GLAPS정리!$BI$2:$BI$101,0)),IF(INDEX(GLAPS컨테이너배차관리!$CP:$CP,$B172)="","",INDEX(GLAPS컨테이너배차관리!$CP:$CP,$B172)))))</f>
        <v/>
      </c>
      <c r="Q172" t="str">
        <f>IF($B172="","",IF(AND(IF(INDEX(GLAPS컨테이너배차관리!$AK:$AK,$B172)="","",INDEX(GLAPS컨테이너배차관리!$AK:$AK,$B172))="Y",IF(INDEX(GLAPS컨테이너배차관리!$AI:$AI,$B172)="","",INDEX(GLAPS컨테이너배차관리!$AI:$AI,$B172))="Y"),"위험물리퍼",IF(IF(INDEX(GLAPS컨테이너배차관리!$AK:$AK,$B172)="","",INDEX(GLAPS컨테이너배차관리!$AK:$AK,$B172))="Y","위험물",IF(IF(INDEX(GLAPS컨테이너배차관리!$AI:$AI,$B172)="","",INDEX(GLAPS컨테이너배차관리!$AI:$AI,$B172))="Y","리퍼",""))))</f>
        <v/>
      </c>
      <c r="R172" t="str">
        <f>IF($B172="","",IF(LEFT(IF(INDEX(GLAPS컨테이너배차관리!$Y:$Y,$B172)="","",INDEX(GLAPS컨테이너배차관리!$Y:$Y,$B172)),2)="22",1,""))</f>
        <v/>
      </c>
      <c r="S172" t="str">
        <f>IF($B172="","",IF(LEFT(IF(INDEX(GLAPS컨테이너배차관리!$Y:$Y,$B172)="","",INDEX(GLAPS컨테이너배차관리!$Y:$Y,$B172)),2)="42",1,""))</f>
        <v/>
      </c>
      <c r="T172" t="str">
        <f>IF($B172="","",IF(LEFT(IF(INDEX(GLAPS컨테이너배차관리!$Y:$Y,$B172)="","",INDEX(GLAPS컨테이너배차관리!$Y:$Y,$B172)),2)="45",1,""))</f>
        <v/>
      </c>
      <c r="U172" t="str">
        <f>IF($B172="","",IF(INDEX(GLAPS컨테이너배차관리!$X:$X,$B172)="","",INDEX(GLAPS컨테이너배차관리!$X:$X,$B172)))</f>
        <v/>
      </c>
      <c r="V172" t="str">
        <f>IF($B172="","",IF(INDEX(GLAPS컨테이너배차관리!$Z:$Z,$B172)="","",INDEX(GLAPS컨테이너배차관리!$Z:$Z,$B172)))</f>
        <v/>
      </c>
      <c r="W172" t="str">
        <f>IF($B172="","",IF(IF(INDEX(GLAPS컨테이너배차관리!$DI:$DI,$B172)="","",INDEX(GLAPS컨테이너배차관리!$DI:$DI,$B172))&lt;&gt;"",IF(INDEX(GLAPS컨테이너배차관리!$DI:$DI,$B172)="","",INDEX(GLAPS컨테이너배차관리!$DI:$DI,$B172)),IF(IF(INDEX(GLAPS컨테이너배차관리!$DJ:$DJ,$B172)="","",INDEX(GLAPS컨테이너배차관리!$DJ:$DJ,$B172))&lt;&gt;"",IF(INDEX(GLAPS컨테이너배차관리!$DJ:$DJ,$B172)="","",INDEX(GLAPS컨테이너배차관리!$DJ:$DJ,$B172)),IF(IF(INDEX(GLAPS컨테이너배차관리!$DK:$DK,$B172)="","",INDEX(GLAPS컨테이너배차관리!$DK:$DK,$B172))&lt;&gt;"",IF(INDEX(GLAPS컨테이너배차관리!$DK:$DK,$B172)="","",INDEX(GLAPS컨테이너배차관리!$DK:$DK,$B172)),IF(IF(INDEX(GLAPS컨테이너배차관리!$DL:$DL,$B172)="","",INDEX(GLAPS컨테이너배차관리!$DL:$DL,$B172))&lt;&gt;"",IF(INDEX(GLAPS컨테이너배차관리!$DL:$DL,$B172)="","",INDEX(GLAPS컨테이너배차관리!$DL:$DL,$B172)),IF(IF(INDEX(GLAPS컨테이너배차관리!$DM:$DM,$B172)="","",INDEX(GLAPS컨테이너배차관리!$DM:$DM,$B172))&lt;&gt;"",IF(INDEX(GLAPS컨테이너배차관리!$DM:$DM,$B172)="","",INDEX(GLAPS컨테이너배차관리!$DM:$DM,$B172)),""))))))</f>
        <v/>
      </c>
      <c r="X172" t="str">
        <f>IF($B172="","",IF(INDEX(GLAPS컨테이너배차관리!$F:$F,$B172)="","",INDEX(GLAPS컨테이너배차관리!$F:$F,$B172)))</f>
        <v/>
      </c>
      <c r="Y172" t="str">
        <f>IF($B172="","",IF(IF(INDEX(GLAPS컨테이너배차관리!$M:$M,$B172)="","",INDEX(GLAPS컨테이너배차관리!$M:$M,$B172))&lt;&gt;"",IF(INDEX(GLAPS컨테이너배차관리!$M:$M,$B172)="","",INDEX(GLAPS컨테이너배차관리!$M:$M,$B172)),IF(IF(INDEX(GLAPS컨테이너배차관리!$N:$N,$B172)="","",INDEX(GLAPS컨테이너배차관리!$N:$N,$B172))&lt;&gt;"",IF(INDEX(GLAPS컨테이너배차관리!$N:$N,$B172)="","",INDEX(GLAPS컨테이너배차관리!$N:$N,$B172)),"")))</f>
        <v/>
      </c>
      <c r="Z172" t="str">
        <f>IF($B172="","",IF(IF(INDEX(GLAPS컨테이너배차관리!$CU:$CU,$B172)="","",INDEX(GLAPS컨테이너배차관리!$CU:$CU,$B172))="","",IFERROR(INT(IF(INDEX(GLAPS컨테이너배차관리!$CU:$CU,$B172)="","",INDEX(GLAPS컨테이너배차관리!$CU:$CU,$B172))),"")))</f>
        <v/>
      </c>
      <c r="AA172" t="str">
        <f>IF($B172="","",IF(AND(IF(INDEX(GLAPS컨테이너배차관리!$CL:$CL,$B172)="","",INDEX(GLAPS컨테이너배차관리!$CL:$CL,$B172))="",IF(INDEX(GLAPS컨테이너배차관리!$CM:$CM,$B172)="","",INDEX(GLAPS컨테이너배차관리!$CM:$CM,$B172))=""),"",IF(OR(IF(INDEX(GLAPS컨테이너배차관리!$CL:$CL,$B172)="","",INDEX(GLAPS컨테이너배차관리!$CL:$CL,$B172))="B000016649",ISNUMBER(SEARCH("B015",IF(INDEX(GLAPS컨테이너배차관리!$CM:$CM,$B172)="","",INDEX(GLAPS컨테이너배차관리!$CM:$CM,$B172)))),ISNUMBER(SEARCH("세방",IF(INDEX(GLAPS컨테이너배차관리!$CM:$CM,$B172)="","",INDEX(GLAPS컨테이너배차관리!$CM:$CM,$B172)))),ISNUMBER(SEARCH("SB",IF(INDEX(GLAPS컨테이너배차관리!$CM:$CM,$B172)="","",INDEX(GLAPS컨테이너배차관리!$CM:$CM,$B172))))),"세방","")))</f>
        <v/>
      </c>
      <c r="AB172" t="str">
        <f>IF($B172="","",IF(IF(INDEX(GLAPS컨테이너배차관리!$CM:$CM,$B172)="","",INDEX(GLAPS컨테이너배차관리!$CM:$CM,$B172))="","",IF(ISNUMBER(SEARCH("이지스두동",IF(INDEX(GLAPS컨테이너배차관리!$CM:$CM,$B172)="","",INDEX(GLAPS컨테이너배차관리!$CM:$CM,$B172)))),"이지스두동",IF(ISNUMBER(SEARCH("이지스녹산",IF(INDEX(GLAPS컨테이너배차관리!$CM:$CM,$B172)="","",INDEX(GLAPS컨테이너배차관리!$CM:$CM,$B172)))),"이지스녹산",IF(ISNUMBER(SEARCH("천우",IF(INDEX(GLAPS컨테이너배차관리!$CM:$CM,$B172)="","",INDEX(GLAPS컨테이너배차관리!$CM:$CM,$B172)))),"천우",IF(OR(ISNUMBER(SEARCH("청암",IF(INDEX(GLAPS컨테이너배차관리!$CM:$CM,$B172)="","",INDEX(GLAPS컨테이너배차관리!$CM:$CM,$B172)))),ISNUMBER(SEARCH("SB청암",IF(INDEX(GLAPS컨테이너배차관리!$CM:$CM,$B172)="","",INDEX(GLAPS컨테이너배차관리!$CM:$CM,$B172))))),"청암신항",IF(INDEX(GLAPS컨테이너배차관리!$CM:$CM,$B172)="","",INDEX(GLAPS컨테이너배차관리!$CM:$CM,$B172))))))))</f>
        <v/>
      </c>
    </row>
    <row r="173" spans="1:28">
      <c r="A173">
        <v>172</v>
      </c>
      <c r="B173" t="str">
        <f>IFERROR(_xlfn.AGGREGATE(15,6,ROW(GLAPS컨테이너배차관리!$X$2:$X$20000)/(GLAPS컨테이너배차관리!$X$2:$X$20000&lt;&gt;""),A173),"")</f>
        <v/>
      </c>
      <c r="C173" t="str">
        <f>IF($B173="","",INT(IF(INDEX(GLAPS컨테이너배차관리!$K:$K,$B173)="","",INDEX(GLAPS컨테이너배차관리!$K:$K,$B173))))</f>
        <v/>
      </c>
      <c r="D173" t="str">
        <f>IF($B173="","",IF(ISNUMBER(SEARCH("이엘에스",IF(INDEX(GLAPS컨테이너배차관리!$AZ:$AZ,$B173)="","",INDEX(GLAPS컨테이너배차관리!$AZ:$AZ,$B173)))),"ELS솔루션",IF(INDEX(GLAPS컨테이너배차관리!$AZ:$AZ,$B173)="","",INDEX(GLAPS컨테이너배차관리!$AZ:$AZ,$B173))))</f>
        <v/>
      </c>
      <c r="E173" t="str">
        <f>IF($B173="","",IF(INDEX(GLAPS컨테이너배차관리!$L:$L,$B173)="","",INDEX(GLAPS컨테이너배차관리!$L:$L,$B173)))</f>
        <v/>
      </c>
      <c r="F173" t="str">
        <f>IF($B173="","",IF(HOUR(IF(INDEX(GLAPS컨테이너배차관리!$L:$L,$B173)="","",INDEX(GLAPS컨테이너배차관리!$L:$L,$B173)))&lt;12,"오전",IF(HOUR(IF(INDEX(GLAPS컨테이너배차관리!$L:$L,$B173)="","",INDEX(GLAPS컨테이너배차관리!$L:$L,$B173)))&lt;18,"오후","잔업")))</f>
        <v/>
      </c>
      <c r="G173" t="str">
        <f>IF($B173="","",IFERROR(INDEX(GLAPS정리!$G$3:$G$264,MATCH(IF(INDEX(GLAPS컨테이너배차관리!$BY:$BY,$B173)="","",INDEX(GLAPS컨테이너배차관리!$BY:$BY,$B173)),GLAPS정리!$H$3:$H$264,0)),TRIM(SUBSTITUTE(SUBSTITUTE(SUBSTITUTE(SUBSTITUTE(SUBSTITUTE(IF(INDEX(GLAPS컨테이너배차관리!$T:$T,$B173)="","",INDEX(GLAPS컨테이너배차관리!$T:$T,$B173)),"[GA]",""),"[GB]",""),"[GC]",""),"[KC]",""),"[GS]",""))))</f>
        <v/>
      </c>
      <c r="H173" t="str">
        <f>IF($B173="","",IFERROR(VLOOKUP(IF(INDEX(GLAPS컨테이너배차관리!$BY:$BY,$B173)="","",INDEX(GLAPS컨테이너배차관리!$BY:$BY,$B173)),GLAPS정리!$BT$3:$BV$200,3,0),""))</f>
        <v/>
      </c>
      <c r="I173" t="str">
        <f>IF($B173="","",LEFT(IF(INDEX(GLAPS컨테이너배차관리!$U:$U,$B173)="","",INDEX(GLAPS컨테이너배차관리!$U:$U,$B173)),FIND("/",IF(INDEX(GLAPS컨테이너배차관리!$U:$U,$B173)="","",INDEX(GLAPS컨테이너배차관리!$U:$U,$B173))&amp;"/")-1))</f>
        <v/>
      </c>
      <c r="J173" t="str">
        <f>IF($B173="","",IF(IF(INDEX(GLAPS컨테이너배차관리!$O:$O,$B173)="","",INDEX(GLAPS컨테이너배차관리!$O:$O,$B173))="EMC","EMA",IFERROR(INDEX(GLAPS정리!$A$2:$A$50,MATCH(IF(INDEX(GLAPS컨테이너배차관리!$O:$O,$B173)="","",INDEX(GLAPS컨테이너배차관리!$O:$O,$B173)),GLAPS정리!$D$2:$D$50,0)),IF(INDEX(GLAPS컨테이너배차관리!$O:$O,$B173)="","",INDEX(GLAPS컨테이너배차관리!$O:$O,$B173)))))</f>
        <v/>
      </c>
      <c r="K173" t="str">
        <f>IF($B173="","",IF(LEFT(IF(INDEX(GLAPS컨테이너배차관리!$Y:$Y,$B173)="","",INDEX(GLAPS컨테이너배차관리!$Y:$Y,$B173)),2)="22","20 Feet",IF(LEFT(IF(INDEX(GLAPS컨테이너배차관리!$Y:$Y,$B173)="","",INDEX(GLAPS컨테이너배차관리!$Y:$Y,$B173)),2)="42","40 Feet","40 Feet H")))</f>
        <v/>
      </c>
      <c r="L173" t="str">
        <f>IF($B173="","",IFERROR(INDEX(GLAPS정리!$BB$2:$BB$80,MATCH(IF(INDEX(GLAPS컨테이너배차관리!$BQ:$BQ,$B173)="","",INDEX(GLAPS컨테이너배차관리!$BQ:$BQ,$B173)),GLAPS정리!$BC$2:$BC$80,0)),IF(INDEX(GLAPS컨테이너배차관리!$BQ:$BQ,$B173)="","",INDEX(GLAPS컨테이너배차관리!$BQ:$BQ,$B173))))</f>
        <v/>
      </c>
      <c r="M173" t="str">
        <f>IF($B173="","",IFERROR(INDEX(GLAPS정리!$V$3:$V$180,MATCH(IF(INDEX(GLAPS컨테이너배차관리!$S:$S,$B173)="","",INDEX(GLAPS컨테이너배차관리!$S:$S,$B173)),GLAPS정리!$W$3:$W$180,0)),IF(INDEX(GLAPS컨테이너배차관리!$S:$S,$B173)="","",INDEX(GLAPS컨테이너배차관리!$S:$S,$B173))))</f>
        <v/>
      </c>
      <c r="N173" t="str">
        <f>IF($B173="","",IF(IF(INDEX(GLAPS컨테이너배차관리!$DF:$DF,$B173)="","",INDEX(GLAPS컨테이너배차관리!$DF:$DF,$B173))&lt;&gt;"",IF(INDEX(GLAPS컨테이너배차관리!$DF:$DF,$B173)="","",INDEX(GLAPS컨테이너배차관리!$DF:$DF,$B173)),IF(IF(INDEX(GLAPS컨테이너배차관리!$DG:$DG,$B173)="","",INDEX(GLAPS컨테이너배차관리!$DG:$DG,$B173))&lt;&gt;"",IF(INDEX(GLAPS컨테이너배차관리!$DG:$DG,$B173)="","",INDEX(GLAPS컨테이너배차관리!$DG:$DG,$B173)),"")))</f>
        <v/>
      </c>
      <c r="O173" t="str">
        <f>IF($B173="","",IF(INDEX(GLAPS컨테이너배차관리!$AB:$AB,$B173)="","",INDEX(GLAPS컨테이너배차관리!$AB:$AB,$B173)))</f>
        <v/>
      </c>
      <c r="P173" t="str">
        <f>IF($B173="","",IF(IF(INDEX(GLAPS컨테이너배차관리!$CP:$CP,$B173)="","",INDEX(GLAPS컨테이너배차관리!$CP:$CP,$B173))="","",IFERROR(INDEX(GLAPS정리!$BH$2:$BH$101,MATCH(IF(INDEX(GLAPS컨테이너배차관리!$CP:$CP,$B173)="","",INDEX(GLAPS컨테이너배차관리!$CP:$CP,$B173)),GLAPS정리!$BI$2:$BI$101,0)),IF(INDEX(GLAPS컨테이너배차관리!$CP:$CP,$B173)="","",INDEX(GLAPS컨테이너배차관리!$CP:$CP,$B173)))))</f>
        <v/>
      </c>
      <c r="Q173" t="str">
        <f>IF($B173="","",IF(AND(IF(INDEX(GLAPS컨테이너배차관리!$AK:$AK,$B173)="","",INDEX(GLAPS컨테이너배차관리!$AK:$AK,$B173))="Y",IF(INDEX(GLAPS컨테이너배차관리!$AI:$AI,$B173)="","",INDEX(GLAPS컨테이너배차관리!$AI:$AI,$B173))="Y"),"위험물리퍼",IF(IF(INDEX(GLAPS컨테이너배차관리!$AK:$AK,$B173)="","",INDEX(GLAPS컨테이너배차관리!$AK:$AK,$B173))="Y","위험물",IF(IF(INDEX(GLAPS컨테이너배차관리!$AI:$AI,$B173)="","",INDEX(GLAPS컨테이너배차관리!$AI:$AI,$B173))="Y","리퍼",""))))</f>
        <v/>
      </c>
      <c r="R173" t="str">
        <f>IF($B173="","",IF(LEFT(IF(INDEX(GLAPS컨테이너배차관리!$Y:$Y,$B173)="","",INDEX(GLAPS컨테이너배차관리!$Y:$Y,$B173)),2)="22",1,""))</f>
        <v/>
      </c>
      <c r="S173" t="str">
        <f>IF($B173="","",IF(LEFT(IF(INDEX(GLAPS컨테이너배차관리!$Y:$Y,$B173)="","",INDEX(GLAPS컨테이너배차관리!$Y:$Y,$B173)),2)="42",1,""))</f>
        <v/>
      </c>
      <c r="T173" t="str">
        <f>IF($B173="","",IF(LEFT(IF(INDEX(GLAPS컨테이너배차관리!$Y:$Y,$B173)="","",INDEX(GLAPS컨테이너배차관리!$Y:$Y,$B173)),2)="45",1,""))</f>
        <v/>
      </c>
      <c r="U173" t="str">
        <f>IF($B173="","",IF(INDEX(GLAPS컨테이너배차관리!$X:$X,$B173)="","",INDEX(GLAPS컨테이너배차관리!$X:$X,$B173)))</f>
        <v/>
      </c>
      <c r="V173" t="str">
        <f>IF($B173="","",IF(INDEX(GLAPS컨테이너배차관리!$Z:$Z,$B173)="","",INDEX(GLAPS컨테이너배차관리!$Z:$Z,$B173)))</f>
        <v/>
      </c>
      <c r="W173" t="str">
        <f>IF($B173="","",IF(IF(INDEX(GLAPS컨테이너배차관리!$DI:$DI,$B173)="","",INDEX(GLAPS컨테이너배차관리!$DI:$DI,$B173))&lt;&gt;"",IF(INDEX(GLAPS컨테이너배차관리!$DI:$DI,$B173)="","",INDEX(GLAPS컨테이너배차관리!$DI:$DI,$B173)),IF(IF(INDEX(GLAPS컨테이너배차관리!$DJ:$DJ,$B173)="","",INDEX(GLAPS컨테이너배차관리!$DJ:$DJ,$B173))&lt;&gt;"",IF(INDEX(GLAPS컨테이너배차관리!$DJ:$DJ,$B173)="","",INDEX(GLAPS컨테이너배차관리!$DJ:$DJ,$B173)),IF(IF(INDEX(GLAPS컨테이너배차관리!$DK:$DK,$B173)="","",INDEX(GLAPS컨테이너배차관리!$DK:$DK,$B173))&lt;&gt;"",IF(INDEX(GLAPS컨테이너배차관리!$DK:$DK,$B173)="","",INDEX(GLAPS컨테이너배차관리!$DK:$DK,$B173)),IF(IF(INDEX(GLAPS컨테이너배차관리!$DL:$DL,$B173)="","",INDEX(GLAPS컨테이너배차관리!$DL:$DL,$B173))&lt;&gt;"",IF(INDEX(GLAPS컨테이너배차관리!$DL:$DL,$B173)="","",INDEX(GLAPS컨테이너배차관리!$DL:$DL,$B173)),IF(IF(INDEX(GLAPS컨테이너배차관리!$DM:$DM,$B173)="","",INDEX(GLAPS컨테이너배차관리!$DM:$DM,$B173))&lt;&gt;"",IF(INDEX(GLAPS컨테이너배차관리!$DM:$DM,$B173)="","",INDEX(GLAPS컨테이너배차관리!$DM:$DM,$B173)),""))))))</f>
        <v/>
      </c>
      <c r="X173" t="str">
        <f>IF($B173="","",IF(INDEX(GLAPS컨테이너배차관리!$F:$F,$B173)="","",INDEX(GLAPS컨테이너배차관리!$F:$F,$B173)))</f>
        <v/>
      </c>
      <c r="Y173" t="str">
        <f>IF($B173="","",IF(IF(INDEX(GLAPS컨테이너배차관리!$M:$M,$B173)="","",INDEX(GLAPS컨테이너배차관리!$M:$M,$B173))&lt;&gt;"",IF(INDEX(GLAPS컨테이너배차관리!$M:$M,$B173)="","",INDEX(GLAPS컨테이너배차관리!$M:$M,$B173)),IF(IF(INDEX(GLAPS컨테이너배차관리!$N:$N,$B173)="","",INDEX(GLAPS컨테이너배차관리!$N:$N,$B173))&lt;&gt;"",IF(INDEX(GLAPS컨테이너배차관리!$N:$N,$B173)="","",INDEX(GLAPS컨테이너배차관리!$N:$N,$B173)),"")))</f>
        <v/>
      </c>
      <c r="Z173" t="str">
        <f>IF($B173="","",IF(IF(INDEX(GLAPS컨테이너배차관리!$CU:$CU,$B173)="","",INDEX(GLAPS컨테이너배차관리!$CU:$CU,$B173))="","",IFERROR(INT(IF(INDEX(GLAPS컨테이너배차관리!$CU:$CU,$B173)="","",INDEX(GLAPS컨테이너배차관리!$CU:$CU,$B173))),"")))</f>
        <v/>
      </c>
      <c r="AA173" t="str">
        <f>IF($B173="","",IF(AND(IF(INDEX(GLAPS컨테이너배차관리!$CL:$CL,$B173)="","",INDEX(GLAPS컨테이너배차관리!$CL:$CL,$B173))="",IF(INDEX(GLAPS컨테이너배차관리!$CM:$CM,$B173)="","",INDEX(GLAPS컨테이너배차관리!$CM:$CM,$B173))=""),"",IF(OR(IF(INDEX(GLAPS컨테이너배차관리!$CL:$CL,$B173)="","",INDEX(GLAPS컨테이너배차관리!$CL:$CL,$B173))="B000016649",ISNUMBER(SEARCH("B015",IF(INDEX(GLAPS컨테이너배차관리!$CM:$CM,$B173)="","",INDEX(GLAPS컨테이너배차관리!$CM:$CM,$B173)))),ISNUMBER(SEARCH("세방",IF(INDEX(GLAPS컨테이너배차관리!$CM:$CM,$B173)="","",INDEX(GLAPS컨테이너배차관리!$CM:$CM,$B173)))),ISNUMBER(SEARCH("SB",IF(INDEX(GLAPS컨테이너배차관리!$CM:$CM,$B173)="","",INDEX(GLAPS컨테이너배차관리!$CM:$CM,$B173))))),"세방","")))</f>
        <v/>
      </c>
      <c r="AB173" t="str">
        <f>IF($B173="","",IF(IF(INDEX(GLAPS컨테이너배차관리!$CM:$CM,$B173)="","",INDEX(GLAPS컨테이너배차관리!$CM:$CM,$B173))="","",IF(ISNUMBER(SEARCH("이지스두동",IF(INDEX(GLAPS컨테이너배차관리!$CM:$CM,$B173)="","",INDEX(GLAPS컨테이너배차관리!$CM:$CM,$B173)))),"이지스두동",IF(ISNUMBER(SEARCH("이지스녹산",IF(INDEX(GLAPS컨테이너배차관리!$CM:$CM,$B173)="","",INDEX(GLAPS컨테이너배차관리!$CM:$CM,$B173)))),"이지스녹산",IF(ISNUMBER(SEARCH("천우",IF(INDEX(GLAPS컨테이너배차관리!$CM:$CM,$B173)="","",INDEX(GLAPS컨테이너배차관리!$CM:$CM,$B173)))),"천우",IF(OR(ISNUMBER(SEARCH("청암",IF(INDEX(GLAPS컨테이너배차관리!$CM:$CM,$B173)="","",INDEX(GLAPS컨테이너배차관리!$CM:$CM,$B173)))),ISNUMBER(SEARCH("SB청암",IF(INDEX(GLAPS컨테이너배차관리!$CM:$CM,$B173)="","",INDEX(GLAPS컨테이너배차관리!$CM:$CM,$B173))))),"청암신항",IF(INDEX(GLAPS컨테이너배차관리!$CM:$CM,$B173)="","",INDEX(GLAPS컨테이너배차관리!$CM:$CM,$B173))))))))</f>
        <v/>
      </c>
    </row>
    <row r="174" spans="1:28">
      <c r="A174">
        <v>173</v>
      </c>
      <c r="B174" t="str">
        <f>IFERROR(_xlfn.AGGREGATE(15,6,ROW(GLAPS컨테이너배차관리!$X$2:$X$20000)/(GLAPS컨테이너배차관리!$X$2:$X$20000&lt;&gt;""),A174),"")</f>
        <v/>
      </c>
      <c r="C174" t="str">
        <f>IF($B174="","",INT(IF(INDEX(GLAPS컨테이너배차관리!$K:$K,$B174)="","",INDEX(GLAPS컨테이너배차관리!$K:$K,$B174))))</f>
        <v/>
      </c>
      <c r="D174" t="str">
        <f>IF($B174="","",IF(ISNUMBER(SEARCH("이엘에스",IF(INDEX(GLAPS컨테이너배차관리!$AZ:$AZ,$B174)="","",INDEX(GLAPS컨테이너배차관리!$AZ:$AZ,$B174)))),"ELS솔루션",IF(INDEX(GLAPS컨테이너배차관리!$AZ:$AZ,$B174)="","",INDEX(GLAPS컨테이너배차관리!$AZ:$AZ,$B174))))</f>
        <v/>
      </c>
      <c r="E174" t="str">
        <f>IF($B174="","",IF(INDEX(GLAPS컨테이너배차관리!$L:$L,$B174)="","",INDEX(GLAPS컨테이너배차관리!$L:$L,$B174)))</f>
        <v/>
      </c>
      <c r="F174" t="str">
        <f>IF($B174="","",IF(HOUR(IF(INDEX(GLAPS컨테이너배차관리!$L:$L,$B174)="","",INDEX(GLAPS컨테이너배차관리!$L:$L,$B174)))&lt;12,"오전",IF(HOUR(IF(INDEX(GLAPS컨테이너배차관리!$L:$L,$B174)="","",INDEX(GLAPS컨테이너배차관리!$L:$L,$B174)))&lt;18,"오후","잔업")))</f>
        <v/>
      </c>
      <c r="G174" t="str">
        <f>IF($B174="","",IFERROR(INDEX(GLAPS정리!$G$3:$G$264,MATCH(IF(INDEX(GLAPS컨테이너배차관리!$BY:$BY,$B174)="","",INDEX(GLAPS컨테이너배차관리!$BY:$BY,$B174)),GLAPS정리!$H$3:$H$264,0)),TRIM(SUBSTITUTE(SUBSTITUTE(SUBSTITUTE(SUBSTITUTE(SUBSTITUTE(IF(INDEX(GLAPS컨테이너배차관리!$T:$T,$B174)="","",INDEX(GLAPS컨테이너배차관리!$T:$T,$B174)),"[GA]",""),"[GB]",""),"[GC]",""),"[KC]",""),"[GS]",""))))</f>
        <v/>
      </c>
      <c r="H174" t="str">
        <f>IF($B174="","",IFERROR(VLOOKUP(IF(INDEX(GLAPS컨테이너배차관리!$BY:$BY,$B174)="","",INDEX(GLAPS컨테이너배차관리!$BY:$BY,$B174)),GLAPS정리!$BT$3:$BV$200,3,0),""))</f>
        <v/>
      </c>
      <c r="I174" t="str">
        <f>IF($B174="","",LEFT(IF(INDEX(GLAPS컨테이너배차관리!$U:$U,$B174)="","",INDEX(GLAPS컨테이너배차관리!$U:$U,$B174)),FIND("/",IF(INDEX(GLAPS컨테이너배차관리!$U:$U,$B174)="","",INDEX(GLAPS컨테이너배차관리!$U:$U,$B174))&amp;"/")-1))</f>
        <v/>
      </c>
      <c r="J174" t="str">
        <f>IF($B174="","",IF(IF(INDEX(GLAPS컨테이너배차관리!$O:$O,$B174)="","",INDEX(GLAPS컨테이너배차관리!$O:$O,$B174))="EMC","EMA",IFERROR(INDEX(GLAPS정리!$A$2:$A$50,MATCH(IF(INDEX(GLAPS컨테이너배차관리!$O:$O,$B174)="","",INDEX(GLAPS컨테이너배차관리!$O:$O,$B174)),GLAPS정리!$D$2:$D$50,0)),IF(INDEX(GLAPS컨테이너배차관리!$O:$O,$B174)="","",INDEX(GLAPS컨테이너배차관리!$O:$O,$B174)))))</f>
        <v/>
      </c>
      <c r="K174" t="str">
        <f>IF($B174="","",IF(LEFT(IF(INDEX(GLAPS컨테이너배차관리!$Y:$Y,$B174)="","",INDEX(GLAPS컨테이너배차관리!$Y:$Y,$B174)),2)="22","20 Feet",IF(LEFT(IF(INDEX(GLAPS컨테이너배차관리!$Y:$Y,$B174)="","",INDEX(GLAPS컨테이너배차관리!$Y:$Y,$B174)),2)="42","40 Feet","40 Feet H")))</f>
        <v/>
      </c>
      <c r="L174" t="str">
        <f>IF($B174="","",IFERROR(INDEX(GLAPS정리!$BB$2:$BB$80,MATCH(IF(INDEX(GLAPS컨테이너배차관리!$BQ:$BQ,$B174)="","",INDEX(GLAPS컨테이너배차관리!$BQ:$BQ,$B174)),GLAPS정리!$BC$2:$BC$80,0)),IF(INDEX(GLAPS컨테이너배차관리!$BQ:$BQ,$B174)="","",INDEX(GLAPS컨테이너배차관리!$BQ:$BQ,$B174))))</f>
        <v/>
      </c>
      <c r="M174" t="str">
        <f>IF($B174="","",IFERROR(INDEX(GLAPS정리!$V$3:$V$180,MATCH(IF(INDEX(GLAPS컨테이너배차관리!$S:$S,$B174)="","",INDEX(GLAPS컨테이너배차관리!$S:$S,$B174)),GLAPS정리!$W$3:$W$180,0)),IF(INDEX(GLAPS컨테이너배차관리!$S:$S,$B174)="","",INDEX(GLAPS컨테이너배차관리!$S:$S,$B174))))</f>
        <v/>
      </c>
      <c r="N174" t="str">
        <f>IF($B174="","",IF(IF(INDEX(GLAPS컨테이너배차관리!$DF:$DF,$B174)="","",INDEX(GLAPS컨테이너배차관리!$DF:$DF,$B174))&lt;&gt;"",IF(INDEX(GLAPS컨테이너배차관리!$DF:$DF,$B174)="","",INDEX(GLAPS컨테이너배차관리!$DF:$DF,$B174)),IF(IF(INDEX(GLAPS컨테이너배차관리!$DG:$DG,$B174)="","",INDEX(GLAPS컨테이너배차관리!$DG:$DG,$B174))&lt;&gt;"",IF(INDEX(GLAPS컨테이너배차관리!$DG:$DG,$B174)="","",INDEX(GLAPS컨테이너배차관리!$DG:$DG,$B174)),"")))</f>
        <v/>
      </c>
      <c r="O174" t="str">
        <f>IF($B174="","",IF(INDEX(GLAPS컨테이너배차관리!$AB:$AB,$B174)="","",INDEX(GLAPS컨테이너배차관리!$AB:$AB,$B174)))</f>
        <v/>
      </c>
      <c r="P174" t="str">
        <f>IF($B174="","",IF(IF(INDEX(GLAPS컨테이너배차관리!$CP:$CP,$B174)="","",INDEX(GLAPS컨테이너배차관리!$CP:$CP,$B174))="","",IFERROR(INDEX(GLAPS정리!$BH$2:$BH$101,MATCH(IF(INDEX(GLAPS컨테이너배차관리!$CP:$CP,$B174)="","",INDEX(GLAPS컨테이너배차관리!$CP:$CP,$B174)),GLAPS정리!$BI$2:$BI$101,0)),IF(INDEX(GLAPS컨테이너배차관리!$CP:$CP,$B174)="","",INDEX(GLAPS컨테이너배차관리!$CP:$CP,$B174)))))</f>
        <v/>
      </c>
      <c r="Q174" t="str">
        <f>IF($B174="","",IF(AND(IF(INDEX(GLAPS컨테이너배차관리!$AK:$AK,$B174)="","",INDEX(GLAPS컨테이너배차관리!$AK:$AK,$B174))="Y",IF(INDEX(GLAPS컨테이너배차관리!$AI:$AI,$B174)="","",INDEX(GLAPS컨테이너배차관리!$AI:$AI,$B174))="Y"),"위험물리퍼",IF(IF(INDEX(GLAPS컨테이너배차관리!$AK:$AK,$B174)="","",INDEX(GLAPS컨테이너배차관리!$AK:$AK,$B174))="Y","위험물",IF(IF(INDEX(GLAPS컨테이너배차관리!$AI:$AI,$B174)="","",INDEX(GLAPS컨테이너배차관리!$AI:$AI,$B174))="Y","리퍼",""))))</f>
        <v/>
      </c>
      <c r="R174" t="str">
        <f>IF($B174="","",IF(LEFT(IF(INDEX(GLAPS컨테이너배차관리!$Y:$Y,$B174)="","",INDEX(GLAPS컨테이너배차관리!$Y:$Y,$B174)),2)="22",1,""))</f>
        <v/>
      </c>
      <c r="S174" t="str">
        <f>IF($B174="","",IF(LEFT(IF(INDEX(GLAPS컨테이너배차관리!$Y:$Y,$B174)="","",INDEX(GLAPS컨테이너배차관리!$Y:$Y,$B174)),2)="42",1,""))</f>
        <v/>
      </c>
      <c r="T174" t="str">
        <f>IF($B174="","",IF(LEFT(IF(INDEX(GLAPS컨테이너배차관리!$Y:$Y,$B174)="","",INDEX(GLAPS컨테이너배차관리!$Y:$Y,$B174)),2)="45",1,""))</f>
        <v/>
      </c>
      <c r="U174" t="str">
        <f>IF($B174="","",IF(INDEX(GLAPS컨테이너배차관리!$X:$X,$B174)="","",INDEX(GLAPS컨테이너배차관리!$X:$X,$B174)))</f>
        <v/>
      </c>
      <c r="V174" t="str">
        <f>IF($B174="","",IF(INDEX(GLAPS컨테이너배차관리!$Z:$Z,$B174)="","",INDEX(GLAPS컨테이너배차관리!$Z:$Z,$B174)))</f>
        <v/>
      </c>
      <c r="W174" t="str">
        <f>IF($B174="","",IF(IF(INDEX(GLAPS컨테이너배차관리!$DI:$DI,$B174)="","",INDEX(GLAPS컨테이너배차관리!$DI:$DI,$B174))&lt;&gt;"",IF(INDEX(GLAPS컨테이너배차관리!$DI:$DI,$B174)="","",INDEX(GLAPS컨테이너배차관리!$DI:$DI,$B174)),IF(IF(INDEX(GLAPS컨테이너배차관리!$DJ:$DJ,$B174)="","",INDEX(GLAPS컨테이너배차관리!$DJ:$DJ,$B174))&lt;&gt;"",IF(INDEX(GLAPS컨테이너배차관리!$DJ:$DJ,$B174)="","",INDEX(GLAPS컨테이너배차관리!$DJ:$DJ,$B174)),IF(IF(INDEX(GLAPS컨테이너배차관리!$DK:$DK,$B174)="","",INDEX(GLAPS컨테이너배차관리!$DK:$DK,$B174))&lt;&gt;"",IF(INDEX(GLAPS컨테이너배차관리!$DK:$DK,$B174)="","",INDEX(GLAPS컨테이너배차관리!$DK:$DK,$B174)),IF(IF(INDEX(GLAPS컨테이너배차관리!$DL:$DL,$B174)="","",INDEX(GLAPS컨테이너배차관리!$DL:$DL,$B174))&lt;&gt;"",IF(INDEX(GLAPS컨테이너배차관리!$DL:$DL,$B174)="","",INDEX(GLAPS컨테이너배차관리!$DL:$DL,$B174)),IF(IF(INDEX(GLAPS컨테이너배차관리!$DM:$DM,$B174)="","",INDEX(GLAPS컨테이너배차관리!$DM:$DM,$B174))&lt;&gt;"",IF(INDEX(GLAPS컨테이너배차관리!$DM:$DM,$B174)="","",INDEX(GLAPS컨테이너배차관리!$DM:$DM,$B174)),""))))))</f>
        <v/>
      </c>
      <c r="X174" t="str">
        <f>IF($B174="","",IF(INDEX(GLAPS컨테이너배차관리!$F:$F,$B174)="","",INDEX(GLAPS컨테이너배차관리!$F:$F,$B174)))</f>
        <v/>
      </c>
      <c r="Y174" t="str">
        <f>IF($B174="","",IF(IF(INDEX(GLAPS컨테이너배차관리!$M:$M,$B174)="","",INDEX(GLAPS컨테이너배차관리!$M:$M,$B174))&lt;&gt;"",IF(INDEX(GLAPS컨테이너배차관리!$M:$M,$B174)="","",INDEX(GLAPS컨테이너배차관리!$M:$M,$B174)),IF(IF(INDEX(GLAPS컨테이너배차관리!$N:$N,$B174)="","",INDEX(GLAPS컨테이너배차관리!$N:$N,$B174))&lt;&gt;"",IF(INDEX(GLAPS컨테이너배차관리!$N:$N,$B174)="","",INDEX(GLAPS컨테이너배차관리!$N:$N,$B174)),"")))</f>
        <v/>
      </c>
      <c r="Z174" t="str">
        <f>IF($B174="","",IF(IF(INDEX(GLAPS컨테이너배차관리!$CU:$CU,$B174)="","",INDEX(GLAPS컨테이너배차관리!$CU:$CU,$B174))="","",IFERROR(INT(IF(INDEX(GLAPS컨테이너배차관리!$CU:$CU,$B174)="","",INDEX(GLAPS컨테이너배차관리!$CU:$CU,$B174))),"")))</f>
        <v/>
      </c>
      <c r="AA174" t="str">
        <f>IF($B174="","",IF(AND(IF(INDEX(GLAPS컨테이너배차관리!$CL:$CL,$B174)="","",INDEX(GLAPS컨테이너배차관리!$CL:$CL,$B174))="",IF(INDEX(GLAPS컨테이너배차관리!$CM:$CM,$B174)="","",INDEX(GLAPS컨테이너배차관리!$CM:$CM,$B174))=""),"",IF(OR(IF(INDEX(GLAPS컨테이너배차관리!$CL:$CL,$B174)="","",INDEX(GLAPS컨테이너배차관리!$CL:$CL,$B174))="B000016649",ISNUMBER(SEARCH("B015",IF(INDEX(GLAPS컨테이너배차관리!$CM:$CM,$B174)="","",INDEX(GLAPS컨테이너배차관리!$CM:$CM,$B174)))),ISNUMBER(SEARCH("세방",IF(INDEX(GLAPS컨테이너배차관리!$CM:$CM,$B174)="","",INDEX(GLAPS컨테이너배차관리!$CM:$CM,$B174)))),ISNUMBER(SEARCH("SB",IF(INDEX(GLAPS컨테이너배차관리!$CM:$CM,$B174)="","",INDEX(GLAPS컨테이너배차관리!$CM:$CM,$B174))))),"세방","")))</f>
        <v/>
      </c>
      <c r="AB174" t="str">
        <f>IF($B174="","",IF(IF(INDEX(GLAPS컨테이너배차관리!$CM:$CM,$B174)="","",INDEX(GLAPS컨테이너배차관리!$CM:$CM,$B174))="","",IF(ISNUMBER(SEARCH("이지스두동",IF(INDEX(GLAPS컨테이너배차관리!$CM:$CM,$B174)="","",INDEX(GLAPS컨테이너배차관리!$CM:$CM,$B174)))),"이지스두동",IF(ISNUMBER(SEARCH("이지스녹산",IF(INDEX(GLAPS컨테이너배차관리!$CM:$CM,$B174)="","",INDEX(GLAPS컨테이너배차관리!$CM:$CM,$B174)))),"이지스녹산",IF(ISNUMBER(SEARCH("천우",IF(INDEX(GLAPS컨테이너배차관리!$CM:$CM,$B174)="","",INDEX(GLAPS컨테이너배차관리!$CM:$CM,$B174)))),"천우",IF(OR(ISNUMBER(SEARCH("청암",IF(INDEX(GLAPS컨테이너배차관리!$CM:$CM,$B174)="","",INDEX(GLAPS컨테이너배차관리!$CM:$CM,$B174)))),ISNUMBER(SEARCH("SB청암",IF(INDEX(GLAPS컨테이너배차관리!$CM:$CM,$B174)="","",INDEX(GLAPS컨테이너배차관리!$CM:$CM,$B174))))),"청암신항",IF(INDEX(GLAPS컨테이너배차관리!$CM:$CM,$B174)="","",INDEX(GLAPS컨테이너배차관리!$CM:$CM,$B174))))))))</f>
        <v/>
      </c>
    </row>
    <row r="175" spans="1:28">
      <c r="A175">
        <v>174</v>
      </c>
      <c r="B175" t="str">
        <f>IFERROR(_xlfn.AGGREGATE(15,6,ROW(GLAPS컨테이너배차관리!$X$2:$X$20000)/(GLAPS컨테이너배차관리!$X$2:$X$20000&lt;&gt;""),A175),"")</f>
        <v/>
      </c>
      <c r="C175" t="str">
        <f>IF($B175="","",INT(IF(INDEX(GLAPS컨테이너배차관리!$K:$K,$B175)="","",INDEX(GLAPS컨테이너배차관리!$K:$K,$B175))))</f>
        <v/>
      </c>
      <c r="D175" t="str">
        <f>IF($B175="","",IF(ISNUMBER(SEARCH("이엘에스",IF(INDEX(GLAPS컨테이너배차관리!$AZ:$AZ,$B175)="","",INDEX(GLAPS컨테이너배차관리!$AZ:$AZ,$B175)))),"ELS솔루션",IF(INDEX(GLAPS컨테이너배차관리!$AZ:$AZ,$B175)="","",INDEX(GLAPS컨테이너배차관리!$AZ:$AZ,$B175))))</f>
        <v/>
      </c>
      <c r="E175" t="str">
        <f>IF($B175="","",IF(INDEX(GLAPS컨테이너배차관리!$L:$L,$B175)="","",INDEX(GLAPS컨테이너배차관리!$L:$L,$B175)))</f>
        <v/>
      </c>
      <c r="F175" t="str">
        <f>IF($B175="","",IF(HOUR(IF(INDEX(GLAPS컨테이너배차관리!$L:$L,$B175)="","",INDEX(GLAPS컨테이너배차관리!$L:$L,$B175)))&lt;12,"오전",IF(HOUR(IF(INDEX(GLAPS컨테이너배차관리!$L:$L,$B175)="","",INDEX(GLAPS컨테이너배차관리!$L:$L,$B175)))&lt;18,"오후","잔업")))</f>
        <v/>
      </c>
      <c r="G175" t="str">
        <f>IF($B175="","",IFERROR(INDEX(GLAPS정리!$G$3:$G$264,MATCH(IF(INDEX(GLAPS컨테이너배차관리!$BY:$BY,$B175)="","",INDEX(GLAPS컨테이너배차관리!$BY:$BY,$B175)),GLAPS정리!$H$3:$H$264,0)),TRIM(SUBSTITUTE(SUBSTITUTE(SUBSTITUTE(SUBSTITUTE(SUBSTITUTE(IF(INDEX(GLAPS컨테이너배차관리!$T:$T,$B175)="","",INDEX(GLAPS컨테이너배차관리!$T:$T,$B175)),"[GA]",""),"[GB]",""),"[GC]",""),"[KC]",""),"[GS]",""))))</f>
        <v/>
      </c>
      <c r="H175" t="str">
        <f>IF($B175="","",IFERROR(VLOOKUP(IF(INDEX(GLAPS컨테이너배차관리!$BY:$BY,$B175)="","",INDEX(GLAPS컨테이너배차관리!$BY:$BY,$B175)),GLAPS정리!$BT$3:$BV$200,3,0),""))</f>
        <v/>
      </c>
      <c r="I175" t="str">
        <f>IF($B175="","",LEFT(IF(INDEX(GLAPS컨테이너배차관리!$U:$U,$B175)="","",INDEX(GLAPS컨테이너배차관리!$U:$U,$B175)),FIND("/",IF(INDEX(GLAPS컨테이너배차관리!$U:$U,$B175)="","",INDEX(GLAPS컨테이너배차관리!$U:$U,$B175))&amp;"/")-1))</f>
        <v/>
      </c>
      <c r="J175" t="str">
        <f>IF($B175="","",IF(IF(INDEX(GLAPS컨테이너배차관리!$O:$O,$B175)="","",INDEX(GLAPS컨테이너배차관리!$O:$O,$B175))="EMC","EMA",IFERROR(INDEX(GLAPS정리!$A$2:$A$50,MATCH(IF(INDEX(GLAPS컨테이너배차관리!$O:$O,$B175)="","",INDEX(GLAPS컨테이너배차관리!$O:$O,$B175)),GLAPS정리!$D$2:$D$50,0)),IF(INDEX(GLAPS컨테이너배차관리!$O:$O,$B175)="","",INDEX(GLAPS컨테이너배차관리!$O:$O,$B175)))))</f>
        <v/>
      </c>
      <c r="K175" t="str">
        <f>IF($B175="","",IF(LEFT(IF(INDEX(GLAPS컨테이너배차관리!$Y:$Y,$B175)="","",INDEX(GLAPS컨테이너배차관리!$Y:$Y,$B175)),2)="22","20 Feet",IF(LEFT(IF(INDEX(GLAPS컨테이너배차관리!$Y:$Y,$B175)="","",INDEX(GLAPS컨테이너배차관리!$Y:$Y,$B175)),2)="42","40 Feet","40 Feet H")))</f>
        <v/>
      </c>
      <c r="L175" t="str">
        <f>IF($B175="","",IFERROR(INDEX(GLAPS정리!$BB$2:$BB$80,MATCH(IF(INDEX(GLAPS컨테이너배차관리!$BQ:$BQ,$B175)="","",INDEX(GLAPS컨테이너배차관리!$BQ:$BQ,$B175)),GLAPS정리!$BC$2:$BC$80,0)),IF(INDEX(GLAPS컨테이너배차관리!$BQ:$BQ,$B175)="","",INDEX(GLAPS컨테이너배차관리!$BQ:$BQ,$B175))))</f>
        <v/>
      </c>
      <c r="M175" t="str">
        <f>IF($B175="","",IFERROR(INDEX(GLAPS정리!$V$3:$V$180,MATCH(IF(INDEX(GLAPS컨테이너배차관리!$S:$S,$B175)="","",INDEX(GLAPS컨테이너배차관리!$S:$S,$B175)),GLAPS정리!$W$3:$W$180,0)),IF(INDEX(GLAPS컨테이너배차관리!$S:$S,$B175)="","",INDEX(GLAPS컨테이너배차관리!$S:$S,$B175))))</f>
        <v/>
      </c>
      <c r="N175" t="str">
        <f>IF($B175="","",IF(IF(INDEX(GLAPS컨테이너배차관리!$DF:$DF,$B175)="","",INDEX(GLAPS컨테이너배차관리!$DF:$DF,$B175))&lt;&gt;"",IF(INDEX(GLAPS컨테이너배차관리!$DF:$DF,$B175)="","",INDEX(GLAPS컨테이너배차관리!$DF:$DF,$B175)),IF(IF(INDEX(GLAPS컨테이너배차관리!$DG:$DG,$B175)="","",INDEX(GLAPS컨테이너배차관리!$DG:$DG,$B175))&lt;&gt;"",IF(INDEX(GLAPS컨테이너배차관리!$DG:$DG,$B175)="","",INDEX(GLAPS컨테이너배차관리!$DG:$DG,$B175)),"")))</f>
        <v/>
      </c>
      <c r="O175" t="str">
        <f>IF($B175="","",IF(INDEX(GLAPS컨테이너배차관리!$AB:$AB,$B175)="","",INDEX(GLAPS컨테이너배차관리!$AB:$AB,$B175)))</f>
        <v/>
      </c>
      <c r="P175" t="str">
        <f>IF($B175="","",IF(IF(INDEX(GLAPS컨테이너배차관리!$CP:$CP,$B175)="","",INDEX(GLAPS컨테이너배차관리!$CP:$CP,$B175))="","",IFERROR(INDEX(GLAPS정리!$BH$2:$BH$101,MATCH(IF(INDEX(GLAPS컨테이너배차관리!$CP:$CP,$B175)="","",INDEX(GLAPS컨테이너배차관리!$CP:$CP,$B175)),GLAPS정리!$BI$2:$BI$101,0)),IF(INDEX(GLAPS컨테이너배차관리!$CP:$CP,$B175)="","",INDEX(GLAPS컨테이너배차관리!$CP:$CP,$B175)))))</f>
        <v/>
      </c>
      <c r="Q175" t="str">
        <f>IF($B175="","",IF(AND(IF(INDEX(GLAPS컨테이너배차관리!$AK:$AK,$B175)="","",INDEX(GLAPS컨테이너배차관리!$AK:$AK,$B175))="Y",IF(INDEX(GLAPS컨테이너배차관리!$AI:$AI,$B175)="","",INDEX(GLAPS컨테이너배차관리!$AI:$AI,$B175))="Y"),"위험물리퍼",IF(IF(INDEX(GLAPS컨테이너배차관리!$AK:$AK,$B175)="","",INDEX(GLAPS컨테이너배차관리!$AK:$AK,$B175))="Y","위험물",IF(IF(INDEX(GLAPS컨테이너배차관리!$AI:$AI,$B175)="","",INDEX(GLAPS컨테이너배차관리!$AI:$AI,$B175))="Y","리퍼",""))))</f>
        <v/>
      </c>
      <c r="R175" t="str">
        <f>IF($B175="","",IF(LEFT(IF(INDEX(GLAPS컨테이너배차관리!$Y:$Y,$B175)="","",INDEX(GLAPS컨테이너배차관리!$Y:$Y,$B175)),2)="22",1,""))</f>
        <v/>
      </c>
      <c r="S175" t="str">
        <f>IF($B175="","",IF(LEFT(IF(INDEX(GLAPS컨테이너배차관리!$Y:$Y,$B175)="","",INDEX(GLAPS컨테이너배차관리!$Y:$Y,$B175)),2)="42",1,""))</f>
        <v/>
      </c>
      <c r="T175" t="str">
        <f>IF($B175="","",IF(LEFT(IF(INDEX(GLAPS컨테이너배차관리!$Y:$Y,$B175)="","",INDEX(GLAPS컨테이너배차관리!$Y:$Y,$B175)),2)="45",1,""))</f>
        <v/>
      </c>
      <c r="U175" t="str">
        <f>IF($B175="","",IF(INDEX(GLAPS컨테이너배차관리!$X:$X,$B175)="","",INDEX(GLAPS컨테이너배차관리!$X:$X,$B175)))</f>
        <v/>
      </c>
      <c r="V175" t="str">
        <f>IF($B175="","",IF(INDEX(GLAPS컨테이너배차관리!$Z:$Z,$B175)="","",INDEX(GLAPS컨테이너배차관리!$Z:$Z,$B175)))</f>
        <v/>
      </c>
      <c r="W175" t="str">
        <f>IF($B175="","",IF(IF(INDEX(GLAPS컨테이너배차관리!$DI:$DI,$B175)="","",INDEX(GLAPS컨테이너배차관리!$DI:$DI,$B175))&lt;&gt;"",IF(INDEX(GLAPS컨테이너배차관리!$DI:$DI,$B175)="","",INDEX(GLAPS컨테이너배차관리!$DI:$DI,$B175)),IF(IF(INDEX(GLAPS컨테이너배차관리!$DJ:$DJ,$B175)="","",INDEX(GLAPS컨테이너배차관리!$DJ:$DJ,$B175))&lt;&gt;"",IF(INDEX(GLAPS컨테이너배차관리!$DJ:$DJ,$B175)="","",INDEX(GLAPS컨테이너배차관리!$DJ:$DJ,$B175)),IF(IF(INDEX(GLAPS컨테이너배차관리!$DK:$DK,$B175)="","",INDEX(GLAPS컨테이너배차관리!$DK:$DK,$B175))&lt;&gt;"",IF(INDEX(GLAPS컨테이너배차관리!$DK:$DK,$B175)="","",INDEX(GLAPS컨테이너배차관리!$DK:$DK,$B175)),IF(IF(INDEX(GLAPS컨테이너배차관리!$DL:$DL,$B175)="","",INDEX(GLAPS컨테이너배차관리!$DL:$DL,$B175))&lt;&gt;"",IF(INDEX(GLAPS컨테이너배차관리!$DL:$DL,$B175)="","",INDEX(GLAPS컨테이너배차관리!$DL:$DL,$B175)),IF(IF(INDEX(GLAPS컨테이너배차관리!$DM:$DM,$B175)="","",INDEX(GLAPS컨테이너배차관리!$DM:$DM,$B175))&lt;&gt;"",IF(INDEX(GLAPS컨테이너배차관리!$DM:$DM,$B175)="","",INDEX(GLAPS컨테이너배차관리!$DM:$DM,$B175)),""))))))</f>
        <v/>
      </c>
      <c r="X175" t="str">
        <f>IF($B175="","",IF(INDEX(GLAPS컨테이너배차관리!$F:$F,$B175)="","",INDEX(GLAPS컨테이너배차관리!$F:$F,$B175)))</f>
        <v/>
      </c>
      <c r="Y175" t="str">
        <f>IF($B175="","",IF(IF(INDEX(GLAPS컨테이너배차관리!$M:$M,$B175)="","",INDEX(GLAPS컨테이너배차관리!$M:$M,$B175))&lt;&gt;"",IF(INDEX(GLAPS컨테이너배차관리!$M:$M,$B175)="","",INDEX(GLAPS컨테이너배차관리!$M:$M,$B175)),IF(IF(INDEX(GLAPS컨테이너배차관리!$N:$N,$B175)="","",INDEX(GLAPS컨테이너배차관리!$N:$N,$B175))&lt;&gt;"",IF(INDEX(GLAPS컨테이너배차관리!$N:$N,$B175)="","",INDEX(GLAPS컨테이너배차관리!$N:$N,$B175)),"")))</f>
        <v/>
      </c>
      <c r="Z175" t="str">
        <f>IF($B175="","",IF(IF(INDEX(GLAPS컨테이너배차관리!$CU:$CU,$B175)="","",INDEX(GLAPS컨테이너배차관리!$CU:$CU,$B175))="","",IFERROR(INT(IF(INDEX(GLAPS컨테이너배차관리!$CU:$CU,$B175)="","",INDEX(GLAPS컨테이너배차관리!$CU:$CU,$B175))),"")))</f>
        <v/>
      </c>
      <c r="AA175" t="str">
        <f>IF($B175="","",IF(AND(IF(INDEX(GLAPS컨테이너배차관리!$CL:$CL,$B175)="","",INDEX(GLAPS컨테이너배차관리!$CL:$CL,$B175))="",IF(INDEX(GLAPS컨테이너배차관리!$CM:$CM,$B175)="","",INDEX(GLAPS컨테이너배차관리!$CM:$CM,$B175))=""),"",IF(OR(IF(INDEX(GLAPS컨테이너배차관리!$CL:$CL,$B175)="","",INDEX(GLAPS컨테이너배차관리!$CL:$CL,$B175))="B000016649",ISNUMBER(SEARCH("B015",IF(INDEX(GLAPS컨테이너배차관리!$CM:$CM,$B175)="","",INDEX(GLAPS컨테이너배차관리!$CM:$CM,$B175)))),ISNUMBER(SEARCH("세방",IF(INDEX(GLAPS컨테이너배차관리!$CM:$CM,$B175)="","",INDEX(GLAPS컨테이너배차관리!$CM:$CM,$B175)))),ISNUMBER(SEARCH("SB",IF(INDEX(GLAPS컨테이너배차관리!$CM:$CM,$B175)="","",INDEX(GLAPS컨테이너배차관리!$CM:$CM,$B175))))),"세방","")))</f>
        <v/>
      </c>
      <c r="AB175" t="str">
        <f>IF($B175="","",IF(IF(INDEX(GLAPS컨테이너배차관리!$CM:$CM,$B175)="","",INDEX(GLAPS컨테이너배차관리!$CM:$CM,$B175))="","",IF(ISNUMBER(SEARCH("이지스두동",IF(INDEX(GLAPS컨테이너배차관리!$CM:$CM,$B175)="","",INDEX(GLAPS컨테이너배차관리!$CM:$CM,$B175)))),"이지스두동",IF(ISNUMBER(SEARCH("이지스녹산",IF(INDEX(GLAPS컨테이너배차관리!$CM:$CM,$B175)="","",INDEX(GLAPS컨테이너배차관리!$CM:$CM,$B175)))),"이지스녹산",IF(ISNUMBER(SEARCH("천우",IF(INDEX(GLAPS컨테이너배차관리!$CM:$CM,$B175)="","",INDEX(GLAPS컨테이너배차관리!$CM:$CM,$B175)))),"천우",IF(OR(ISNUMBER(SEARCH("청암",IF(INDEX(GLAPS컨테이너배차관리!$CM:$CM,$B175)="","",INDEX(GLAPS컨테이너배차관리!$CM:$CM,$B175)))),ISNUMBER(SEARCH("SB청암",IF(INDEX(GLAPS컨테이너배차관리!$CM:$CM,$B175)="","",INDEX(GLAPS컨테이너배차관리!$CM:$CM,$B175))))),"청암신항",IF(INDEX(GLAPS컨테이너배차관리!$CM:$CM,$B175)="","",INDEX(GLAPS컨테이너배차관리!$CM:$CM,$B175))))))))</f>
        <v/>
      </c>
    </row>
    <row r="176" spans="1:28">
      <c r="A176">
        <v>175</v>
      </c>
      <c r="B176" t="str">
        <f>IFERROR(_xlfn.AGGREGATE(15,6,ROW(GLAPS컨테이너배차관리!$X$2:$X$20000)/(GLAPS컨테이너배차관리!$X$2:$X$20000&lt;&gt;""),A176),"")</f>
        <v/>
      </c>
      <c r="C176" t="str">
        <f>IF($B176="","",INT(IF(INDEX(GLAPS컨테이너배차관리!$K:$K,$B176)="","",INDEX(GLAPS컨테이너배차관리!$K:$K,$B176))))</f>
        <v/>
      </c>
      <c r="D176" t="str">
        <f>IF($B176="","",IF(ISNUMBER(SEARCH("이엘에스",IF(INDEX(GLAPS컨테이너배차관리!$AZ:$AZ,$B176)="","",INDEX(GLAPS컨테이너배차관리!$AZ:$AZ,$B176)))),"ELS솔루션",IF(INDEX(GLAPS컨테이너배차관리!$AZ:$AZ,$B176)="","",INDEX(GLAPS컨테이너배차관리!$AZ:$AZ,$B176))))</f>
        <v/>
      </c>
      <c r="E176" t="str">
        <f>IF($B176="","",IF(INDEX(GLAPS컨테이너배차관리!$L:$L,$B176)="","",INDEX(GLAPS컨테이너배차관리!$L:$L,$B176)))</f>
        <v/>
      </c>
      <c r="F176" t="str">
        <f>IF($B176="","",IF(HOUR(IF(INDEX(GLAPS컨테이너배차관리!$L:$L,$B176)="","",INDEX(GLAPS컨테이너배차관리!$L:$L,$B176)))&lt;12,"오전",IF(HOUR(IF(INDEX(GLAPS컨테이너배차관리!$L:$L,$B176)="","",INDEX(GLAPS컨테이너배차관리!$L:$L,$B176)))&lt;18,"오후","잔업")))</f>
        <v/>
      </c>
      <c r="G176" t="str">
        <f>IF($B176="","",IFERROR(INDEX(GLAPS정리!$G$3:$G$264,MATCH(IF(INDEX(GLAPS컨테이너배차관리!$BY:$BY,$B176)="","",INDEX(GLAPS컨테이너배차관리!$BY:$BY,$B176)),GLAPS정리!$H$3:$H$264,0)),TRIM(SUBSTITUTE(SUBSTITUTE(SUBSTITUTE(SUBSTITUTE(SUBSTITUTE(IF(INDEX(GLAPS컨테이너배차관리!$T:$T,$B176)="","",INDEX(GLAPS컨테이너배차관리!$T:$T,$B176)),"[GA]",""),"[GB]",""),"[GC]",""),"[KC]",""),"[GS]",""))))</f>
        <v/>
      </c>
      <c r="H176" t="str">
        <f>IF($B176="","",IFERROR(VLOOKUP(IF(INDEX(GLAPS컨테이너배차관리!$BY:$BY,$B176)="","",INDEX(GLAPS컨테이너배차관리!$BY:$BY,$B176)),GLAPS정리!$BT$3:$BV$200,3,0),""))</f>
        <v/>
      </c>
      <c r="I176" t="str">
        <f>IF($B176="","",LEFT(IF(INDEX(GLAPS컨테이너배차관리!$U:$U,$B176)="","",INDEX(GLAPS컨테이너배차관리!$U:$U,$B176)),FIND("/",IF(INDEX(GLAPS컨테이너배차관리!$U:$U,$B176)="","",INDEX(GLAPS컨테이너배차관리!$U:$U,$B176))&amp;"/")-1))</f>
        <v/>
      </c>
      <c r="J176" t="str">
        <f>IF($B176="","",IF(IF(INDEX(GLAPS컨테이너배차관리!$O:$O,$B176)="","",INDEX(GLAPS컨테이너배차관리!$O:$O,$B176))="EMC","EMA",IFERROR(INDEX(GLAPS정리!$A$2:$A$50,MATCH(IF(INDEX(GLAPS컨테이너배차관리!$O:$O,$B176)="","",INDEX(GLAPS컨테이너배차관리!$O:$O,$B176)),GLAPS정리!$D$2:$D$50,0)),IF(INDEX(GLAPS컨테이너배차관리!$O:$O,$B176)="","",INDEX(GLAPS컨테이너배차관리!$O:$O,$B176)))))</f>
        <v/>
      </c>
      <c r="K176" t="str">
        <f>IF($B176="","",IF(LEFT(IF(INDEX(GLAPS컨테이너배차관리!$Y:$Y,$B176)="","",INDEX(GLAPS컨테이너배차관리!$Y:$Y,$B176)),2)="22","20 Feet",IF(LEFT(IF(INDEX(GLAPS컨테이너배차관리!$Y:$Y,$B176)="","",INDEX(GLAPS컨테이너배차관리!$Y:$Y,$B176)),2)="42","40 Feet","40 Feet H")))</f>
        <v/>
      </c>
      <c r="L176" t="str">
        <f>IF($B176="","",IFERROR(INDEX(GLAPS정리!$BB$2:$BB$80,MATCH(IF(INDEX(GLAPS컨테이너배차관리!$BQ:$BQ,$B176)="","",INDEX(GLAPS컨테이너배차관리!$BQ:$BQ,$B176)),GLAPS정리!$BC$2:$BC$80,0)),IF(INDEX(GLAPS컨테이너배차관리!$BQ:$BQ,$B176)="","",INDEX(GLAPS컨테이너배차관리!$BQ:$BQ,$B176))))</f>
        <v/>
      </c>
      <c r="M176" t="str">
        <f>IF($B176="","",IFERROR(INDEX(GLAPS정리!$V$3:$V$180,MATCH(IF(INDEX(GLAPS컨테이너배차관리!$S:$S,$B176)="","",INDEX(GLAPS컨테이너배차관리!$S:$S,$B176)),GLAPS정리!$W$3:$W$180,0)),IF(INDEX(GLAPS컨테이너배차관리!$S:$S,$B176)="","",INDEX(GLAPS컨테이너배차관리!$S:$S,$B176))))</f>
        <v/>
      </c>
      <c r="N176" t="str">
        <f>IF($B176="","",IF(IF(INDEX(GLAPS컨테이너배차관리!$DF:$DF,$B176)="","",INDEX(GLAPS컨테이너배차관리!$DF:$DF,$B176))&lt;&gt;"",IF(INDEX(GLAPS컨테이너배차관리!$DF:$DF,$B176)="","",INDEX(GLAPS컨테이너배차관리!$DF:$DF,$B176)),IF(IF(INDEX(GLAPS컨테이너배차관리!$DG:$DG,$B176)="","",INDEX(GLAPS컨테이너배차관리!$DG:$DG,$B176))&lt;&gt;"",IF(INDEX(GLAPS컨테이너배차관리!$DG:$DG,$B176)="","",INDEX(GLAPS컨테이너배차관리!$DG:$DG,$B176)),"")))</f>
        <v/>
      </c>
      <c r="O176" t="str">
        <f>IF($B176="","",IF(INDEX(GLAPS컨테이너배차관리!$AB:$AB,$B176)="","",INDEX(GLAPS컨테이너배차관리!$AB:$AB,$B176)))</f>
        <v/>
      </c>
      <c r="P176" t="str">
        <f>IF($B176="","",IF(IF(INDEX(GLAPS컨테이너배차관리!$CP:$CP,$B176)="","",INDEX(GLAPS컨테이너배차관리!$CP:$CP,$B176))="","",IFERROR(INDEX(GLAPS정리!$BH$2:$BH$101,MATCH(IF(INDEX(GLAPS컨테이너배차관리!$CP:$CP,$B176)="","",INDEX(GLAPS컨테이너배차관리!$CP:$CP,$B176)),GLAPS정리!$BI$2:$BI$101,0)),IF(INDEX(GLAPS컨테이너배차관리!$CP:$CP,$B176)="","",INDEX(GLAPS컨테이너배차관리!$CP:$CP,$B176)))))</f>
        <v/>
      </c>
      <c r="Q176" t="str">
        <f>IF($B176="","",IF(AND(IF(INDEX(GLAPS컨테이너배차관리!$AK:$AK,$B176)="","",INDEX(GLAPS컨테이너배차관리!$AK:$AK,$B176))="Y",IF(INDEX(GLAPS컨테이너배차관리!$AI:$AI,$B176)="","",INDEX(GLAPS컨테이너배차관리!$AI:$AI,$B176))="Y"),"위험물리퍼",IF(IF(INDEX(GLAPS컨테이너배차관리!$AK:$AK,$B176)="","",INDEX(GLAPS컨테이너배차관리!$AK:$AK,$B176))="Y","위험물",IF(IF(INDEX(GLAPS컨테이너배차관리!$AI:$AI,$B176)="","",INDEX(GLAPS컨테이너배차관리!$AI:$AI,$B176))="Y","리퍼",""))))</f>
        <v/>
      </c>
      <c r="R176" t="str">
        <f>IF($B176="","",IF(LEFT(IF(INDEX(GLAPS컨테이너배차관리!$Y:$Y,$B176)="","",INDEX(GLAPS컨테이너배차관리!$Y:$Y,$B176)),2)="22",1,""))</f>
        <v/>
      </c>
      <c r="S176" t="str">
        <f>IF($B176="","",IF(LEFT(IF(INDEX(GLAPS컨테이너배차관리!$Y:$Y,$B176)="","",INDEX(GLAPS컨테이너배차관리!$Y:$Y,$B176)),2)="42",1,""))</f>
        <v/>
      </c>
      <c r="T176" t="str">
        <f>IF($B176="","",IF(LEFT(IF(INDEX(GLAPS컨테이너배차관리!$Y:$Y,$B176)="","",INDEX(GLAPS컨테이너배차관리!$Y:$Y,$B176)),2)="45",1,""))</f>
        <v/>
      </c>
      <c r="U176" t="str">
        <f>IF($B176="","",IF(INDEX(GLAPS컨테이너배차관리!$X:$X,$B176)="","",INDEX(GLAPS컨테이너배차관리!$X:$X,$B176)))</f>
        <v/>
      </c>
      <c r="V176" t="str">
        <f>IF($B176="","",IF(INDEX(GLAPS컨테이너배차관리!$Z:$Z,$B176)="","",INDEX(GLAPS컨테이너배차관리!$Z:$Z,$B176)))</f>
        <v/>
      </c>
      <c r="W176" t="str">
        <f>IF($B176="","",IF(IF(INDEX(GLAPS컨테이너배차관리!$DI:$DI,$B176)="","",INDEX(GLAPS컨테이너배차관리!$DI:$DI,$B176))&lt;&gt;"",IF(INDEX(GLAPS컨테이너배차관리!$DI:$DI,$B176)="","",INDEX(GLAPS컨테이너배차관리!$DI:$DI,$B176)),IF(IF(INDEX(GLAPS컨테이너배차관리!$DJ:$DJ,$B176)="","",INDEX(GLAPS컨테이너배차관리!$DJ:$DJ,$B176))&lt;&gt;"",IF(INDEX(GLAPS컨테이너배차관리!$DJ:$DJ,$B176)="","",INDEX(GLAPS컨테이너배차관리!$DJ:$DJ,$B176)),IF(IF(INDEX(GLAPS컨테이너배차관리!$DK:$DK,$B176)="","",INDEX(GLAPS컨테이너배차관리!$DK:$DK,$B176))&lt;&gt;"",IF(INDEX(GLAPS컨테이너배차관리!$DK:$DK,$B176)="","",INDEX(GLAPS컨테이너배차관리!$DK:$DK,$B176)),IF(IF(INDEX(GLAPS컨테이너배차관리!$DL:$DL,$B176)="","",INDEX(GLAPS컨테이너배차관리!$DL:$DL,$B176))&lt;&gt;"",IF(INDEX(GLAPS컨테이너배차관리!$DL:$DL,$B176)="","",INDEX(GLAPS컨테이너배차관리!$DL:$DL,$B176)),IF(IF(INDEX(GLAPS컨테이너배차관리!$DM:$DM,$B176)="","",INDEX(GLAPS컨테이너배차관리!$DM:$DM,$B176))&lt;&gt;"",IF(INDEX(GLAPS컨테이너배차관리!$DM:$DM,$B176)="","",INDEX(GLAPS컨테이너배차관리!$DM:$DM,$B176)),""))))))</f>
        <v/>
      </c>
      <c r="X176" t="str">
        <f>IF($B176="","",IF(INDEX(GLAPS컨테이너배차관리!$F:$F,$B176)="","",INDEX(GLAPS컨테이너배차관리!$F:$F,$B176)))</f>
        <v/>
      </c>
      <c r="Y176" t="str">
        <f>IF($B176="","",IF(IF(INDEX(GLAPS컨테이너배차관리!$M:$M,$B176)="","",INDEX(GLAPS컨테이너배차관리!$M:$M,$B176))&lt;&gt;"",IF(INDEX(GLAPS컨테이너배차관리!$M:$M,$B176)="","",INDEX(GLAPS컨테이너배차관리!$M:$M,$B176)),IF(IF(INDEX(GLAPS컨테이너배차관리!$N:$N,$B176)="","",INDEX(GLAPS컨테이너배차관리!$N:$N,$B176))&lt;&gt;"",IF(INDEX(GLAPS컨테이너배차관리!$N:$N,$B176)="","",INDEX(GLAPS컨테이너배차관리!$N:$N,$B176)),"")))</f>
        <v/>
      </c>
      <c r="Z176" t="str">
        <f>IF($B176="","",IF(IF(INDEX(GLAPS컨테이너배차관리!$CU:$CU,$B176)="","",INDEX(GLAPS컨테이너배차관리!$CU:$CU,$B176))="","",IFERROR(INT(IF(INDEX(GLAPS컨테이너배차관리!$CU:$CU,$B176)="","",INDEX(GLAPS컨테이너배차관리!$CU:$CU,$B176))),"")))</f>
        <v/>
      </c>
      <c r="AA176" t="str">
        <f>IF($B176="","",IF(AND(IF(INDEX(GLAPS컨테이너배차관리!$CL:$CL,$B176)="","",INDEX(GLAPS컨테이너배차관리!$CL:$CL,$B176))="",IF(INDEX(GLAPS컨테이너배차관리!$CM:$CM,$B176)="","",INDEX(GLAPS컨테이너배차관리!$CM:$CM,$B176))=""),"",IF(OR(IF(INDEX(GLAPS컨테이너배차관리!$CL:$CL,$B176)="","",INDEX(GLAPS컨테이너배차관리!$CL:$CL,$B176))="B000016649",ISNUMBER(SEARCH("B015",IF(INDEX(GLAPS컨테이너배차관리!$CM:$CM,$B176)="","",INDEX(GLAPS컨테이너배차관리!$CM:$CM,$B176)))),ISNUMBER(SEARCH("세방",IF(INDEX(GLAPS컨테이너배차관리!$CM:$CM,$B176)="","",INDEX(GLAPS컨테이너배차관리!$CM:$CM,$B176)))),ISNUMBER(SEARCH("SB",IF(INDEX(GLAPS컨테이너배차관리!$CM:$CM,$B176)="","",INDEX(GLAPS컨테이너배차관리!$CM:$CM,$B176))))),"세방","")))</f>
        <v/>
      </c>
      <c r="AB176" t="str">
        <f>IF($B176="","",IF(IF(INDEX(GLAPS컨테이너배차관리!$CM:$CM,$B176)="","",INDEX(GLAPS컨테이너배차관리!$CM:$CM,$B176))="","",IF(ISNUMBER(SEARCH("이지스두동",IF(INDEX(GLAPS컨테이너배차관리!$CM:$CM,$B176)="","",INDEX(GLAPS컨테이너배차관리!$CM:$CM,$B176)))),"이지스두동",IF(ISNUMBER(SEARCH("이지스녹산",IF(INDEX(GLAPS컨테이너배차관리!$CM:$CM,$B176)="","",INDEX(GLAPS컨테이너배차관리!$CM:$CM,$B176)))),"이지스녹산",IF(ISNUMBER(SEARCH("천우",IF(INDEX(GLAPS컨테이너배차관리!$CM:$CM,$B176)="","",INDEX(GLAPS컨테이너배차관리!$CM:$CM,$B176)))),"천우",IF(OR(ISNUMBER(SEARCH("청암",IF(INDEX(GLAPS컨테이너배차관리!$CM:$CM,$B176)="","",INDEX(GLAPS컨테이너배차관리!$CM:$CM,$B176)))),ISNUMBER(SEARCH("SB청암",IF(INDEX(GLAPS컨테이너배차관리!$CM:$CM,$B176)="","",INDEX(GLAPS컨테이너배차관리!$CM:$CM,$B176))))),"청암신항",IF(INDEX(GLAPS컨테이너배차관리!$CM:$CM,$B176)="","",INDEX(GLAPS컨테이너배차관리!$CM:$CM,$B176))))))))</f>
        <v/>
      </c>
    </row>
    <row r="177" spans="1:28">
      <c r="A177">
        <v>176</v>
      </c>
      <c r="B177" t="str">
        <f>IFERROR(_xlfn.AGGREGATE(15,6,ROW(GLAPS컨테이너배차관리!$X$2:$X$20000)/(GLAPS컨테이너배차관리!$X$2:$X$20000&lt;&gt;""),A177),"")</f>
        <v/>
      </c>
      <c r="C177" t="str">
        <f>IF($B177="","",INT(IF(INDEX(GLAPS컨테이너배차관리!$K:$K,$B177)="","",INDEX(GLAPS컨테이너배차관리!$K:$K,$B177))))</f>
        <v/>
      </c>
      <c r="D177" t="str">
        <f>IF($B177="","",IF(ISNUMBER(SEARCH("이엘에스",IF(INDEX(GLAPS컨테이너배차관리!$AZ:$AZ,$B177)="","",INDEX(GLAPS컨테이너배차관리!$AZ:$AZ,$B177)))),"ELS솔루션",IF(INDEX(GLAPS컨테이너배차관리!$AZ:$AZ,$B177)="","",INDEX(GLAPS컨테이너배차관리!$AZ:$AZ,$B177))))</f>
        <v/>
      </c>
      <c r="E177" t="str">
        <f>IF($B177="","",IF(INDEX(GLAPS컨테이너배차관리!$L:$L,$B177)="","",INDEX(GLAPS컨테이너배차관리!$L:$L,$B177)))</f>
        <v/>
      </c>
      <c r="F177" t="str">
        <f>IF($B177="","",IF(HOUR(IF(INDEX(GLAPS컨테이너배차관리!$L:$L,$B177)="","",INDEX(GLAPS컨테이너배차관리!$L:$L,$B177)))&lt;12,"오전",IF(HOUR(IF(INDEX(GLAPS컨테이너배차관리!$L:$L,$B177)="","",INDEX(GLAPS컨테이너배차관리!$L:$L,$B177)))&lt;18,"오후","잔업")))</f>
        <v/>
      </c>
      <c r="G177" t="str">
        <f>IF($B177="","",IFERROR(INDEX(GLAPS정리!$G$3:$G$264,MATCH(IF(INDEX(GLAPS컨테이너배차관리!$BY:$BY,$B177)="","",INDEX(GLAPS컨테이너배차관리!$BY:$BY,$B177)),GLAPS정리!$H$3:$H$264,0)),TRIM(SUBSTITUTE(SUBSTITUTE(SUBSTITUTE(SUBSTITUTE(SUBSTITUTE(IF(INDEX(GLAPS컨테이너배차관리!$T:$T,$B177)="","",INDEX(GLAPS컨테이너배차관리!$T:$T,$B177)),"[GA]",""),"[GB]",""),"[GC]",""),"[KC]",""),"[GS]",""))))</f>
        <v/>
      </c>
      <c r="H177" t="str">
        <f>IF($B177="","",IFERROR(VLOOKUP(IF(INDEX(GLAPS컨테이너배차관리!$BY:$BY,$B177)="","",INDEX(GLAPS컨테이너배차관리!$BY:$BY,$B177)),GLAPS정리!$BT$3:$BV$200,3,0),""))</f>
        <v/>
      </c>
      <c r="I177" t="str">
        <f>IF($B177="","",LEFT(IF(INDEX(GLAPS컨테이너배차관리!$U:$U,$B177)="","",INDEX(GLAPS컨테이너배차관리!$U:$U,$B177)),FIND("/",IF(INDEX(GLAPS컨테이너배차관리!$U:$U,$B177)="","",INDEX(GLAPS컨테이너배차관리!$U:$U,$B177))&amp;"/")-1))</f>
        <v/>
      </c>
      <c r="J177" t="str">
        <f>IF($B177="","",IF(IF(INDEX(GLAPS컨테이너배차관리!$O:$O,$B177)="","",INDEX(GLAPS컨테이너배차관리!$O:$O,$B177))="EMC","EMA",IFERROR(INDEX(GLAPS정리!$A$2:$A$50,MATCH(IF(INDEX(GLAPS컨테이너배차관리!$O:$O,$B177)="","",INDEX(GLAPS컨테이너배차관리!$O:$O,$B177)),GLAPS정리!$D$2:$D$50,0)),IF(INDEX(GLAPS컨테이너배차관리!$O:$O,$B177)="","",INDEX(GLAPS컨테이너배차관리!$O:$O,$B177)))))</f>
        <v/>
      </c>
      <c r="K177" t="str">
        <f>IF($B177="","",IF(LEFT(IF(INDEX(GLAPS컨테이너배차관리!$Y:$Y,$B177)="","",INDEX(GLAPS컨테이너배차관리!$Y:$Y,$B177)),2)="22","20 Feet",IF(LEFT(IF(INDEX(GLAPS컨테이너배차관리!$Y:$Y,$B177)="","",INDEX(GLAPS컨테이너배차관리!$Y:$Y,$B177)),2)="42","40 Feet","40 Feet H")))</f>
        <v/>
      </c>
      <c r="L177" t="str">
        <f>IF($B177="","",IFERROR(INDEX(GLAPS정리!$BB$2:$BB$80,MATCH(IF(INDEX(GLAPS컨테이너배차관리!$BQ:$BQ,$B177)="","",INDEX(GLAPS컨테이너배차관리!$BQ:$BQ,$B177)),GLAPS정리!$BC$2:$BC$80,0)),IF(INDEX(GLAPS컨테이너배차관리!$BQ:$BQ,$B177)="","",INDEX(GLAPS컨테이너배차관리!$BQ:$BQ,$B177))))</f>
        <v/>
      </c>
      <c r="M177" t="str">
        <f>IF($B177="","",IFERROR(INDEX(GLAPS정리!$V$3:$V$180,MATCH(IF(INDEX(GLAPS컨테이너배차관리!$S:$S,$B177)="","",INDEX(GLAPS컨테이너배차관리!$S:$S,$B177)),GLAPS정리!$W$3:$W$180,0)),IF(INDEX(GLAPS컨테이너배차관리!$S:$S,$B177)="","",INDEX(GLAPS컨테이너배차관리!$S:$S,$B177))))</f>
        <v/>
      </c>
      <c r="N177" t="str">
        <f>IF($B177="","",IF(IF(INDEX(GLAPS컨테이너배차관리!$DF:$DF,$B177)="","",INDEX(GLAPS컨테이너배차관리!$DF:$DF,$B177))&lt;&gt;"",IF(INDEX(GLAPS컨테이너배차관리!$DF:$DF,$B177)="","",INDEX(GLAPS컨테이너배차관리!$DF:$DF,$B177)),IF(IF(INDEX(GLAPS컨테이너배차관리!$DG:$DG,$B177)="","",INDEX(GLAPS컨테이너배차관리!$DG:$DG,$B177))&lt;&gt;"",IF(INDEX(GLAPS컨테이너배차관리!$DG:$DG,$B177)="","",INDEX(GLAPS컨테이너배차관리!$DG:$DG,$B177)),"")))</f>
        <v/>
      </c>
      <c r="O177" t="str">
        <f>IF($B177="","",IF(INDEX(GLAPS컨테이너배차관리!$AB:$AB,$B177)="","",INDEX(GLAPS컨테이너배차관리!$AB:$AB,$B177)))</f>
        <v/>
      </c>
      <c r="P177" t="str">
        <f>IF($B177="","",IF(IF(INDEX(GLAPS컨테이너배차관리!$CP:$CP,$B177)="","",INDEX(GLAPS컨테이너배차관리!$CP:$CP,$B177))="","",IFERROR(INDEX(GLAPS정리!$BH$2:$BH$101,MATCH(IF(INDEX(GLAPS컨테이너배차관리!$CP:$CP,$B177)="","",INDEX(GLAPS컨테이너배차관리!$CP:$CP,$B177)),GLAPS정리!$BI$2:$BI$101,0)),IF(INDEX(GLAPS컨테이너배차관리!$CP:$CP,$B177)="","",INDEX(GLAPS컨테이너배차관리!$CP:$CP,$B177)))))</f>
        <v/>
      </c>
      <c r="Q177" t="str">
        <f>IF($B177="","",IF(AND(IF(INDEX(GLAPS컨테이너배차관리!$AK:$AK,$B177)="","",INDEX(GLAPS컨테이너배차관리!$AK:$AK,$B177))="Y",IF(INDEX(GLAPS컨테이너배차관리!$AI:$AI,$B177)="","",INDEX(GLAPS컨테이너배차관리!$AI:$AI,$B177))="Y"),"위험물리퍼",IF(IF(INDEX(GLAPS컨테이너배차관리!$AK:$AK,$B177)="","",INDEX(GLAPS컨테이너배차관리!$AK:$AK,$B177))="Y","위험물",IF(IF(INDEX(GLAPS컨테이너배차관리!$AI:$AI,$B177)="","",INDEX(GLAPS컨테이너배차관리!$AI:$AI,$B177))="Y","리퍼",""))))</f>
        <v/>
      </c>
      <c r="R177" t="str">
        <f>IF($B177="","",IF(LEFT(IF(INDEX(GLAPS컨테이너배차관리!$Y:$Y,$B177)="","",INDEX(GLAPS컨테이너배차관리!$Y:$Y,$B177)),2)="22",1,""))</f>
        <v/>
      </c>
      <c r="S177" t="str">
        <f>IF($B177="","",IF(LEFT(IF(INDEX(GLAPS컨테이너배차관리!$Y:$Y,$B177)="","",INDEX(GLAPS컨테이너배차관리!$Y:$Y,$B177)),2)="42",1,""))</f>
        <v/>
      </c>
      <c r="T177" t="str">
        <f>IF($B177="","",IF(LEFT(IF(INDEX(GLAPS컨테이너배차관리!$Y:$Y,$B177)="","",INDEX(GLAPS컨테이너배차관리!$Y:$Y,$B177)),2)="45",1,""))</f>
        <v/>
      </c>
      <c r="U177" t="str">
        <f>IF($B177="","",IF(INDEX(GLAPS컨테이너배차관리!$X:$X,$B177)="","",INDEX(GLAPS컨테이너배차관리!$X:$X,$B177)))</f>
        <v/>
      </c>
      <c r="V177" t="str">
        <f>IF($B177="","",IF(INDEX(GLAPS컨테이너배차관리!$Z:$Z,$B177)="","",INDEX(GLAPS컨테이너배차관리!$Z:$Z,$B177)))</f>
        <v/>
      </c>
      <c r="W177" t="str">
        <f>IF($B177="","",IF(IF(INDEX(GLAPS컨테이너배차관리!$DI:$DI,$B177)="","",INDEX(GLAPS컨테이너배차관리!$DI:$DI,$B177))&lt;&gt;"",IF(INDEX(GLAPS컨테이너배차관리!$DI:$DI,$B177)="","",INDEX(GLAPS컨테이너배차관리!$DI:$DI,$B177)),IF(IF(INDEX(GLAPS컨테이너배차관리!$DJ:$DJ,$B177)="","",INDEX(GLAPS컨테이너배차관리!$DJ:$DJ,$B177))&lt;&gt;"",IF(INDEX(GLAPS컨테이너배차관리!$DJ:$DJ,$B177)="","",INDEX(GLAPS컨테이너배차관리!$DJ:$DJ,$B177)),IF(IF(INDEX(GLAPS컨테이너배차관리!$DK:$DK,$B177)="","",INDEX(GLAPS컨테이너배차관리!$DK:$DK,$B177))&lt;&gt;"",IF(INDEX(GLAPS컨테이너배차관리!$DK:$DK,$B177)="","",INDEX(GLAPS컨테이너배차관리!$DK:$DK,$B177)),IF(IF(INDEX(GLAPS컨테이너배차관리!$DL:$DL,$B177)="","",INDEX(GLAPS컨테이너배차관리!$DL:$DL,$B177))&lt;&gt;"",IF(INDEX(GLAPS컨테이너배차관리!$DL:$DL,$B177)="","",INDEX(GLAPS컨테이너배차관리!$DL:$DL,$B177)),IF(IF(INDEX(GLAPS컨테이너배차관리!$DM:$DM,$B177)="","",INDEX(GLAPS컨테이너배차관리!$DM:$DM,$B177))&lt;&gt;"",IF(INDEX(GLAPS컨테이너배차관리!$DM:$DM,$B177)="","",INDEX(GLAPS컨테이너배차관리!$DM:$DM,$B177)),""))))))</f>
        <v/>
      </c>
      <c r="X177" t="str">
        <f>IF($B177="","",IF(INDEX(GLAPS컨테이너배차관리!$F:$F,$B177)="","",INDEX(GLAPS컨테이너배차관리!$F:$F,$B177)))</f>
        <v/>
      </c>
      <c r="Y177" t="str">
        <f>IF($B177="","",IF(IF(INDEX(GLAPS컨테이너배차관리!$M:$M,$B177)="","",INDEX(GLAPS컨테이너배차관리!$M:$M,$B177))&lt;&gt;"",IF(INDEX(GLAPS컨테이너배차관리!$M:$M,$B177)="","",INDEX(GLAPS컨테이너배차관리!$M:$M,$B177)),IF(IF(INDEX(GLAPS컨테이너배차관리!$N:$N,$B177)="","",INDEX(GLAPS컨테이너배차관리!$N:$N,$B177))&lt;&gt;"",IF(INDEX(GLAPS컨테이너배차관리!$N:$N,$B177)="","",INDEX(GLAPS컨테이너배차관리!$N:$N,$B177)),"")))</f>
        <v/>
      </c>
      <c r="Z177" t="str">
        <f>IF($B177="","",IF(IF(INDEX(GLAPS컨테이너배차관리!$CU:$CU,$B177)="","",INDEX(GLAPS컨테이너배차관리!$CU:$CU,$B177))="","",IFERROR(INT(IF(INDEX(GLAPS컨테이너배차관리!$CU:$CU,$B177)="","",INDEX(GLAPS컨테이너배차관리!$CU:$CU,$B177))),"")))</f>
        <v/>
      </c>
      <c r="AA177" t="str">
        <f>IF($B177="","",IF(AND(IF(INDEX(GLAPS컨테이너배차관리!$CL:$CL,$B177)="","",INDEX(GLAPS컨테이너배차관리!$CL:$CL,$B177))="",IF(INDEX(GLAPS컨테이너배차관리!$CM:$CM,$B177)="","",INDEX(GLAPS컨테이너배차관리!$CM:$CM,$B177))=""),"",IF(OR(IF(INDEX(GLAPS컨테이너배차관리!$CL:$CL,$B177)="","",INDEX(GLAPS컨테이너배차관리!$CL:$CL,$B177))="B000016649",ISNUMBER(SEARCH("B015",IF(INDEX(GLAPS컨테이너배차관리!$CM:$CM,$B177)="","",INDEX(GLAPS컨테이너배차관리!$CM:$CM,$B177)))),ISNUMBER(SEARCH("세방",IF(INDEX(GLAPS컨테이너배차관리!$CM:$CM,$B177)="","",INDEX(GLAPS컨테이너배차관리!$CM:$CM,$B177)))),ISNUMBER(SEARCH("SB",IF(INDEX(GLAPS컨테이너배차관리!$CM:$CM,$B177)="","",INDEX(GLAPS컨테이너배차관리!$CM:$CM,$B177))))),"세방","")))</f>
        <v/>
      </c>
      <c r="AB177" t="str">
        <f>IF($B177="","",IF(IF(INDEX(GLAPS컨테이너배차관리!$CM:$CM,$B177)="","",INDEX(GLAPS컨테이너배차관리!$CM:$CM,$B177))="","",IF(ISNUMBER(SEARCH("이지스두동",IF(INDEX(GLAPS컨테이너배차관리!$CM:$CM,$B177)="","",INDEX(GLAPS컨테이너배차관리!$CM:$CM,$B177)))),"이지스두동",IF(ISNUMBER(SEARCH("이지스녹산",IF(INDEX(GLAPS컨테이너배차관리!$CM:$CM,$B177)="","",INDEX(GLAPS컨테이너배차관리!$CM:$CM,$B177)))),"이지스녹산",IF(ISNUMBER(SEARCH("천우",IF(INDEX(GLAPS컨테이너배차관리!$CM:$CM,$B177)="","",INDEX(GLAPS컨테이너배차관리!$CM:$CM,$B177)))),"천우",IF(OR(ISNUMBER(SEARCH("청암",IF(INDEX(GLAPS컨테이너배차관리!$CM:$CM,$B177)="","",INDEX(GLAPS컨테이너배차관리!$CM:$CM,$B177)))),ISNUMBER(SEARCH("SB청암",IF(INDEX(GLAPS컨테이너배차관리!$CM:$CM,$B177)="","",INDEX(GLAPS컨테이너배차관리!$CM:$CM,$B177))))),"청암신항",IF(INDEX(GLAPS컨테이너배차관리!$CM:$CM,$B177)="","",INDEX(GLAPS컨테이너배차관리!$CM:$CM,$B177))))))))</f>
        <v/>
      </c>
    </row>
    <row r="178" spans="1:28">
      <c r="A178">
        <v>177</v>
      </c>
      <c r="B178" t="str">
        <f>IFERROR(_xlfn.AGGREGATE(15,6,ROW(GLAPS컨테이너배차관리!$X$2:$X$20000)/(GLAPS컨테이너배차관리!$X$2:$X$20000&lt;&gt;""),A178),"")</f>
        <v/>
      </c>
      <c r="C178" t="str">
        <f>IF($B178="","",INT(IF(INDEX(GLAPS컨테이너배차관리!$K:$K,$B178)="","",INDEX(GLAPS컨테이너배차관리!$K:$K,$B178))))</f>
        <v/>
      </c>
      <c r="D178" t="str">
        <f>IF($B178="","",IF(ISNUMBER(SEARCH("이엘에스",IF(INDEX(GLAPS컨테이너배차관리!$AZ:$AZ,$B178)="","",INDEX(GLAPS컨테이너배차관리!$AZ:$AZ,$B178)))),"ELS솔루션",IF(INDEX(GLAPS컨테이너배차관리!$AZ:$AZ,$B178)="","",INDEX(GLAPS컨테이너배차관리!$AZ:$AZ,$B178))))</f>
        <v/>
      </c>
      <c r="E178" t="str">
        <f>IF($B178="","",IF(INDEX(GLAPS컨테이너배차관리!$L:$L,$B178)="","",INDEX(GLAPS컨테이너배차관리!$L:$L,$B178)))</f>
        <v/>
      </c>
      <c r="F178" t="str">
        <f>IF($B178="","",IF(HOUR(IF(INDEX(GLAPS컨테이너배차관리!$L:$L,$B178)="","",INDEX(GLAPS컨테이너배차관리!$L:$L,$B178)))&lt;12,"오전",IF(HOUR(IF(INDEX(GLAPS컨테이너배차관리!$L:$L,$B178)="","",INDEX(GLAPS컨테이너배차관리!$L:$L,$B178)))&lt;18,"오후","잔업")))</f>
        <v/>
      </c>
      <c r="G178" t="str">
        <f>IF($B178="","",IFERROR(INDEX(GLAPS정리!$G$3:$G$264,MATCH(IF(INDEX(GLAPS컨테이너배차관리!$BY:$BY,$B178)="","",INDEX(GLAPS컨테이너배차관리!$BY:$BY,$B178)),GLAPS정리!$H$3:$H$264,0)),TRIM(SUBSTITUTE(SUBSTITUTE(SUBSTITUTE(SUBSTITUTE(SUBSTITUTE(IF(INDEX(GLAPS컨테이너배차관리!$T:$T,$B178)="","",INDEX(GLAPS컨테이너배차관리!$T:$T,$B178)),"[GA]",""),"[GB]",""),"[GC]",""),"[KC]",""),"[GS]",""))))</f>
        <v/>
      </c>
      <c r="H178" t="str">
        <f>IF($B178="","",IFERROR(VLOOKUP(IF(INDEX(GLAPS컨테이너배차관리!$BY:$BY,$B178)="","",INDEX(GLAPS컨테이너배차관리!$BY:$BY,$B178)),GLAPS정리!$BT$3:$BV$200,3,0),""))</f>
        <v/>
      </c>
      <c r="I178" t="str">
        <f>IF($B178="","",LEFT(IF(INDEX(GLAPS컨테이너배차관리!$U:$U,$B178)="","",INDEX(GLAPS컨테이너배차관리!$U:$U,$B178)),FIND("/",IF(INDEX(GLAPS컨테이너배차관리!$U:$U,$B178)="","",INDEX(GLAPS컨테이너배차관리!$U:$U,$B178))&amp;"/")-1))</f>
        <v/>
      </c>
      <c r="J178" t="str">
        <f>IF($B178="","",IF(IF(INDEX(GLAPS컨테이너배차관리!$O:$O,$B178)="","",INDEX(GLAPS컨테이너배차관리!$O:$O,$B178))="EMC","EMA",IFERROR(INDEX(GLAPS정리!$A$2:$A$50,MATCH(IF(INDEX(GLAPS컨테이너배차관리!$O:$O,$B178)="","",INDEX(GLAPS컨테이너배차관리!$O:$O,$B178)),GLAPS정리!$D$2:$D$50,0)),IF(INDEX(GLAPS컨테이너배차관리!$O:$O,$B178)="","",INDEX(GLAPS컨테이너배차관리!$O:$O,$B178)))))</f>
        <v/>
      </c>
      <c r="K178" t="str">
        <f>IF($B178="","",IF(LEFT(IF(INDEX(GLAPS컨테이너배차관리!$Y:$Y,$B178)="","",INDEX(GLAPS컨테이너배차관리!$Y:$Y,$B178)),2)="22","20 Feet",IF(LEFT(IF(INDEX(GLAPS컨테이너배차관리!$Y:$Y,$B178)="","",INDEX(GLAPS컨테이너배차관리!$Y:$Y,$B178)),2)="42","40 Feet","40 Feet H")))</f>
        <v/>
      </c>
      <c r="L178" t="str">
        <f>IF($B178="","",IFERROR(INDEX(GLAPS정리!$BB$2:$BB$80,MATCH(IF(INDEX(GLAPS컨테이너배차관리!$BQ:$BQ,$B178)="","",INDEX(GLAPS컨테이너배차관리!$BQ:$BQ,$B178)),GLAPS정리!$BC$2:$BC$80,0)),IF(INDEX(GLAPS컨테이너배차관리!$BQ:$BQ,$B178)="","",INDEX(GLAPS컨테이너배차관리!$BQ:$BQ,$B178))))</f>
        <v/>
      </c>
      <c r="M178" t="str">
        <f>IF($B178="","",IFERROR(INDEX(GLAPS정리!$V$3:$V$180,MATCH(IF(INDEX(GLAPS컨테이너배차관리!$S:$S,$B178)="","",INDEX(GLAPS컨테이너배차관리!$S:$S,$B178)),GLAPS정리!$W$3:$W$180,0)),IF(INDEX(GLAPS컨테이너배차관리!$S:$S,$B178)="","",INDEX(GLAPS컨테이너배차관리!$S:$S,$B178))))</f>
        <v/>
      </c>
      <c r="N178" t="str">
        <f>IF($B178="","",IF(IF(INDEX(GLAPS컨테이너배차관리!$DF:$DF,$B178)="","",INDEX(GLAPS컨테이너배차관리!$DF:$DF,$B178))&lt;&gt;"",IF(INDEX(GLAPS컨테이너배차관리!$DF:$DF,$B178)="","",INDEX(GLAPS컨테이너배차관리!$DF:$DF,$B178)),IF(IF(INDEX(GLAPS컨테이너배차관리!$DG:$DG,$B178)="","",INDEX(GLAPS컨테이너배차관리!$DG:$DG,$B178))&lt;&gt;"",IF(INDEX(GLAPS컨테이너배차관리!$DG:$DG,$B178)="","",INDEX(GLAPS컨테이너배차관리!$DG:$DG,$B178)),"")))</f>
        <v/>
      </c>
      <c r="O178" t="str">
        <f>IF($B178="","",IF(INDEX(GLAPS컨테이너배차관리!$AB:$AB,$B178)="","",INDEX(GLAPS컨테이너배차관리!$AB:$AB,$B178)))</f>
        <v/>
      </c>
      <c r="P178" t="str">
        <f>IF($B178="","",IF(IF(INDEX(GLAPS컨테이너배차관리!$CP:$CP,$B178)="","",INDEX(GLAPS컨테이너배차관리!$CP:$CP,$B178))="","",IFERROR(INDEX(GLAPS정리!$BH$2:$BH$101,MATCH(IF(INDEX(GLAPS컨테이너배차관리!$CP:$CP,$B178)="","",INDEX(GLAPS컨테이너배차관리!$CP:$CP,$B178)),GLAPS정리!$BI$2:$BI$101,0)),IF(INDEX(GLAPS컨테이너배차관리!$CP:$CP,$B178)="","",INDEX(GLAPS컨테이너배차관리!$CP:$CP,$B178)))))</f>
        <v/>
      </c>
      <c r="Q178" t="str">
        <f>IF($B178="","",IF(AND(IF(INDEX(GLAPS컨테이너배차관리!$AK:$AK,$B178)="","",INDEX(GLAPS컨테이너배차관리!$AK:$AK,$B178))="Y",IF(INDEX(GLAPS컨테이너배차관리!$AI:$AI,$B178)="","",INDEX(GLAPS컨테이너배차관리!$AI:$AI,$B178))="Y"),"위험물리퍼",IF(IF(INDEX(GLAPS컨테이너배차관리!$AK:$AK,$B178)="","",INDEX(GLAPS컨테이너배차관리!$AK:$AK,$B178))="Y","위험물",IF(IF(INDEX(GLAPS컨테이너배차관리!$AI:$AI,$B178)="","",INDEX(GLAPS컨테이너배차관리!$AI:$AI,$B178))="Y","리퍼",""))))</f>
        <v/>
      </c>
      <c r="R178" t="str">
        <f>IF($B178="","",IF(LEFT(IF(INDEX(GLAPS컨테이너배차관리!$Y:$Y,$B178)="","",INDEX(GLAPS컨테이너배차관리!$Y:$Y,$B178)),2)="22",1,""))</f>
        <v/>
      </c>
      <c r="S178" t="str">
        <f>IF($B178="","",IF(LEFT(IF(INDEX(GLAPS컨테이너배차관리!$Y:$Y,$B178)="","",INDEX(GLAPS컨테이너배차관리!$Y:$Y,$B178)),2)="42",1,""))</f>
        <v/>
      </c>
      <c r="T178" t="str">
        <f>IF($B178="","",IF(LEFT(IF(INDEX(GLAPS컨테이너배차관리!$Y:$Y,$B178)="","",INDEX(GLAPS컨테이너배차관리!$Y:$Y,$B178)),2)="45",1,""))</f>
        <v/>
      </c>
      <c r="U178" t="str">
        <f>IF($B178="","",IF(INDEX(GLAPS컨테이너배차관리!$X:$X,$B178)="","",INDEX(GLAPS컨테이너배차관리!$X:$X,$B178)))</f>
        <v/>
      </c>
      <c r="V178" t="str">
        <f>IF($B178="","",IF(INDEX(GLAPS컨테이너배차관리!$Z:$Z,$B178)="","",INDEX(GLAPS컨테이너배차관리!$Z:$Z,$B178)))</f>
        <v/>
      </c>
      <c r="W178" t="str">
        <f>IF($B178="","",IF(IF(INDEX(GLAPS컨테이너배차관리!$DI:$DI,$B178)="","",INDEX(GLAPS컨테이너배차관리!$DI:$DI,$B178))&lt;&gt;"",IF(INDEX(GLAPS컨테이너배차관리!$DI:$DI,$B178)="","",INDEX(GLAPS컨테이너배차관리!$DI:$DI,$B178)),IF(IF(INDEX(GLAPS컨테이너배차관리!$DJ:$DJ,$B178)="","",INDEX(GLAPS컨테이너배차관리!$DJ:$DJ,$B178))&lt;&gt;"",IF(INDEX(GLAPS컨테이너배차관리!$DJ:$DJ,$B178)="","",INDEX(GLAPS컨테이너배차관리!$DJ:$DJ,$B178)),IF(IF(INDEX(GLAPS컨테이너배차관리!$DK:$DK,$B178)="","",INDEX(GLAPS컨테이너배차관리!$DK:$DK,$B178))&lt;&gt;"",IF(INDEX(GLAPS컨테이너배차관리!$DK:$DK,$B178)="","",INDEX(GLAPS컨테이너배차관리!$DK:$DK,$B178)),IF(IF(INDEX(GLAPS컨테이너배차관리!$DL:$DL,$B178)="","",INDEX(GLAPS컨테이너배차관리!$DL:$DL,$B178))&lt;&gt;"",IF(INDEX(GLAPS컨테이너배차관리!$DL:$DL,$B178)="","",INDEX(GLAPS컨테이너배차관리!$DL:$DL,$B178)),IF(IF(INDEX(GLAPS컨테이너배차관리!$DM:$DM,$B178)="","",INDEX(GLAPS컨테이너배차관리!$DM:$DM,$B178))&lt;&gt;"",IF(INDEX(GLAPS컨테이너배차관리!$DM:$DM,$B178)="","",INDEX(GLAPS컨테이너배차관리!$DM:$DM,$B178)),""))))))</f>
        <v/>
      </c>
      <c r="X178" t="str">
        <f>IF($B178="","",IF(INDEX(GLAPS컨테이너배차관리!$F:$F,$B178)="","",INDEX(GLAPS컨테이너배차관리!$F:$F,$B178)))</f>
        <v/>
      </c>
      <c r="Y178" t="str">
        <f>IF($B178="","",IF(IF(INDEX(GLAPS컨테이너배차관리!$M:$M,$B178)="","",INDEX(GLAPS컨테이너배차관리!$M:$M,$B178))&lt;&gt;"",IF(INDEX(GLAPS컨테이너배차관리!$M:$M,$B178)="","",INDEX(GLAPS컨테이너배차관리!$M:$M,$B178)),IF(IF(INDEX(GLAPS컨테이너배차관리!$N:$N,$B178)="","",INDEX(GLAPS컨테이너배차관리!$N:$N,$B178))&lt;&gt;"",IF(INDEX(GLAPS컨테이너배차관리!$N:$N,$B178)="","",INDEX(GLAPS컨테이너배차관리!$N:$N,$B178)),"")))</f>
        <v/>
      </c>
      <c r="Z178" t="str">
        <f>IF($B178="","",IF(IF(INDEX(GLAPS컨테이너배차관리!$CU:$CU,$B178)="","",INDEX(GLAPS컨테이너배차관리!$CU:$CU,$B178))="","",IFERROR(INT(IF(INDEX(GLAPS컨테이너배차관리!$CU:$CU,$B178)="","",INDEX(GLAPS컨테이너배차관리!$CU:$CU,$B178))),"")))</f>
        <v/>
      </c>
      <c r="AA178" t="str">
        <f>IF($B178="","",IF(AND(IF(INDEX(GLAPS컨테이너배차관리!$CL:$CL,$B178)="","",INDEX(GLAPS컨테이너배차관리!$CL:$CL,$B178))="",IF(INDEX(GLAPS컨테이너배차관리!$CM:$CM,$B178)="","",INDEX(GLAPS컨테이너배차관리!$CM:$CM,$B178))=""),"",IF(OR(IF(INDEX(GLAPS컨테이너배차관리!$CL:$CL,$B178)="","",INDEX(GLAPS컨테이너배차관리!$CL:$CL,$B178))="B000016649",ISNUMBER(SEARCH("B015",IF(INDEX(GLAPS컨테이너배차관리!$CM:$CM,$B178)="","",INDEX(GLAPS컨테이너배차관리!$CM:$CM,$B178)))),ISNUMBER(SEARCH("세방",IF(INDEX(GLAPS컨테이너배차관리!$CM:$CM,$B178)="","",INDEX(GLAPS컨테이너배차관리!$CM:$CM,$B178)))),ISNUMBER(SEARCH("SB",IF(INDEX(GLAPS컨테이너배차관리!$CM:$CM,$B178)="","",INDEX(GLAPS컨테이너배차관리!$CM:$CM,$B178))))),"세방","")))</f>
        <v/>
      </c>
      <c r="AB178" t="str">
        <f>IF($B178="","",IF(IF(INDEX(GLAPS컨테이너배차관리!$CM:$CM,$B178)="","",INDEX(GLAPS컨테이너배차관리!$CM:$CM,$B178))="","",IF(ISNUMBER(SEARCH("이지스두동",IF(INDEX(GLAPS컨테이너배차관리!$CM:$CM,$B178)="","",INDEX(GLAPS컨테이너배차관리!$CM:$CM,$B178)))),"이지스두동",IF(ISNUMBER(SEARCH("이지스녹산",IF(INDEX(GLAPS컨테이너배차관리!$CM:$CM,$B178)="","",INDEX(GLAPS컨테이너배차관리!$CM:$CM,$B178)))),"이지스녹산",IF(ISNUMBER(SEARCH("천우",IF(INDEX(GLAPS컨테이너배차관리!$CM:$CM,$B178)="","",INDEX(GLAPS컨테이너배차관리!$CM:$CM,$B178)))),"천우",IF(OR(ISNUMBER(SEARCH("청암",IF(INDEX(GLAPS컨테이너배차관리!$CM:$CM,$B178)="","",INDEX(GLAPS컨테이너배차관리!$CM:$CM,$B178)))),ISNUMBER(SEARCH("SB청암",IF(INDEX(GLAPS컨테이너배차관리!$CM:$CM,$B178)="","",INDEX(GLAPS컨테이너배차관리!$CM:$CM,$B178))))),"청암신항",IF(INDEX(GLAPS컨테이너배차관리!$CM:$CM,$B178)="","",INDEX(GLAPS컨테이너배차관리!$CM:$CM,$B178))))))))</f>
        <v/>
      </c>
    </row>
    <row r="179" spans="1:28">
      <c r="A179">
        <v>178</v>
      </c>
      <c r="B179" t="str">
        <f>IFERROR(_xlfn.AGGREGATE(15,6,ROW(GLAPS컨테이너배차관리!$X$2:$X$20000)/(GLAPS컨테이너배차관리!$X$2:$X$20000&lt;&gt;""),A179),"")</f>
        <v/>
      </c>
      <c r="C179" t="str">
        <f>IF($B179="","",INT(IF(INDEX(GLAPS컨테이너배차관리!$K:$K,$B179)="","",INDEX(GLAPS컨테이너배차관리!$K:$K,$B179))))</f>
        <v/>
      </c>
      <c r="D179" t="str">
        <f>IF($B179="","",IF(ISNUMBER(SEARCH("이엘에스",IF(INDEX(GLAPS컨테이너배차관리!$AZ:$AZ,$B179)="","",INDEX(GLAPS컨테이너배차관리!$AZ:$AZ,$B179)))),"ELS솔루션",IF(INDEX(GLAPS컨테이너배차관리!$AZ:$AZ,$B179)="","",INDEX(GLAPS컨테이너배차관리!$AZ:$AZ,$B179))))</f>
        <v/>
      </c>
      <c r="E179" t="str">
        <f>IF($B179="","",IF(INDEX(GLAPS컨테이너배차관리!$L:$L,$B179)="","",INDEX(GLAPS컨테이너배차관리!$L:$L,$B179)))</f>
        <v/>
      </c>
      <c r="F179" t="str">
        <f>IF($B179="","",IF(HOUR(IF(INDEX(GLAPS컨테이너배차관리!$L:$L,$B179)="","",INDEX(GLAPS컨테이너배차관리!$L:$L,$B179)))&lt;12,"오전",IF(HOUR(IF(INDEX(GLAPS컨테이너배차관리!$L:$L,$B179)="","",INDEX(GLAPS컨테이너배차관리!$L:$L,$B179)))&lt;18,"오후","잔업")))</f>
        <v/>
      </c>
      <c r="G179" t="str">
        <f>IF($B179="","",IFERROR(INDEX(GLAPS정리!$G$3:$G$264,MATCH(IF(INDEX(GLAPS컨테이너배차관리!$BY:$BY,$B179)="","",INDEX(GLAPS컨테이너배차관리!$BY:$BY,$B179)),GLAPS정리!$H$3:$H$264,0)),TRIM(SUBSTITUTE(SUBSTITUTE(SUBSTITUTE(SUBSTITUTE(SUBSTITUTE(IF(INDEX(GLAPS컨테이너배차관리!$T:$T,$B179)="","",INDEX(GLAPS컨테이너배차관리!$T:$T,$B179)),"[GA]",""),"[GB]",""),"[GC]",""),"[KC]",""),"[GS]",""))))</f>
        <v/>
      </c>
      <c r="H179" t="str">
        <f>IF($B179="","",IFERROR(VLOOKUP(IF(INDEX(GLAPS컨테이너배차관리!$BY:$BY,$B179)="","",INDEX(GLAPS컨테이너배차관리!$BY:$BY,$B179)),GLAPS정리!$BT$3:$BV$200,3,0),""))</f>
        <v/>
      </c>
      <c r="I179" t="str">
        <f>IF($B179="","",LEFT(IF(INDEX(GLAPS컨테이너배차관리!$U:$U,$B179)="","",INDEX(GLAPS컨테이너배차관리!$U:$U,$B179)),FIND("/",IF(INDEX(GLAPS컨테이너배차관리!$U:$U,$B179)="","",INDEX(GLAPS컨테이너배차관리!$U:$U,$B179))&amp;"/")-1))</f>
        <v/>
      </c>
      <c r="J179" t="str">
        <f>IF($B179="","",IF(IF(INDEX(GLAPS컨테이너배차관리!$O:$O,$B179)="","",INDEX(GLAPS컨테이너배차관리!$O:$O,$B179))="EMC","EMA",IFERROR(INDEX(GLAPS정리!$A$2:$A$50,MATCH(IF(INDEX(GLAPS컨테이너배차관리!$O:$O,$B179)="","",INDEX(GLAPS컨테이너배차관리!$O:$O,$B179)),GLAPS정리!$D$2:$D$50,0)),IF(INDEX(GLAPS컨테이너배차관리!$O:$O,$B179)="","",INDEX(GLAPS컨테이너배차관리!$O:$O,$B179)))))</f>
        <v/>
      </c>
      <c r="K179" t="str">
        <f>IF($B179="","",IF(LEFT(IF(INDEX(GLAPS컨테이너배차관리!$Y:$Y,$B179)="","",INDEX(GLAPS컨테이너배차관리!$Y:$Y,$B179)),2)="22","20 Feet",IF(LEFT(IF(INDEX(GLAPS컨테이너배차관리!$Y:$Y,$B179)="","",INDEX(GLAPS컨테이너배차관리!$Y:$Y,$B179)),2)="42","40 Feet","40 Feet H")))</f>
        <v/>
      </c>
      <c r="L179" t="str">
        <f>IF($B179="","",IFERROR(INDEX(GLAPS정리!$BB$2:$BB$80,MATCH(IF(INDEX(GLAPS컨테이너배차관리!$BQ:$BQ,$B179)="","",INDEX(GLAPS컨테이너배차관리!$BQ:$BQ,$B179)),GLAPS정리!$BC$2:$BC$80,0)),IF(INDEX(GLAPS컨테이너배차관리!$BQ:$BQ,$B179)="","",INDEX(GLAPS컨테이너배차관리!$BQ:$BQ,$B179))))</f>
        <v/>
      </c>
      <c r="M179" t="str">
        <f>IF($B179="","",IFERROR(INDEX(GLAPS정리!$V$3:$V$180,MATCH(IF(INDEX(GLAPS컨테이너배차관리!$S:$S,$B179)="","",INDEX(GLAPS컨테이너배차관리!$S:$S,$B179)),GLAPS정리!$W$3:$W$180,0)),IF(INDEX(GLAPS컨테이너배차관리!$S:$S,$B179)="","",INDEX(GLAPS컨테이너배차관리!$S:$S,$B179))))</f>
        <v/>
      </c>
      <c r="N179" t="str">
        <f>IF($B179="","",IF(IF(INDEX(GLAPS컨테이너배차관리!$DF:$DF,$B179)="","",INDEX(GLAPS컨테이너배차관리!$DF:$DF,$B179))&lt;&gt;"",IF(INDEX(GLAPS컨테이너배차관리!$DF:$DF,$B179)="","",INDEX(GLAPS컨테이너배차관리!$DF:$DF,$B179)),IF(IF(INDEX(GLAPS컨테이너배차관리!$DG:$DG,$B179)="","",INDEX(GLAPS컨테이너배차관리!$DG:$DG,$B179))&lt;&gt;"",IF(INDEX(GLAPS컨테이너배차관리!$DG:$DG,$B179)="","",INDEX(GLAPS컨테이너배차관리!$DG:$DG,$B179)),"")))</f>
        <v/>
      </c>
      <c r="O179" t="str">
        <f>IF($B179="","",IF(INDEX(GLAPS컨테이너배차관리!$AB:$AB,$B179)="","",INDEX(GLAPS컨테이너배차관리!$AB:$AB,$B179)))</f>
        <v/>
      </c>
      <c r="P179" t="str">
        <f>IF($B179="","",IF(IF(INDEX(GLAPS컨테이너배차관리!$CP:$CP,$B179)="","",INDEX(GLAPS컨테이너배차관리!$CP:$CP,$B179))="","",IFERROR(INDEX(GLAPS정리!$BH$2:$BH$101,MATCH(IF(INDEX(GLAPS컨테이너배차관리!$CP:$CP,$B179)="","",INDEX(GLAPS컨테이너배차관리!$CP:$CP,$B179)),GLAPS정리!$BI$2:$BI$101,0)),IF(INDEX(GLAPS컨테이너배차관리!$CP:$CP,$B179)="","",INDEX(GLAPS컨테이너배차관리!$CP:$CP,$B179)))))</f>
        <v/>
      </c>
      <c r="Q179" t="str">
        <f>IF($B179="","",IF(AND(IF(INDEX(GLAPS컨테이너배차관리!$AK:$AK,$B179)="","",INDEX(GLAPS컨테이너배차관리!$AK:$AK,$B179))="Y",IF(INDEX(GLAPS컨테이너배차관리!$AI:$AI,$B179)="","",INDEX(GLAPS컨테이너배차관리!$AI:$AI,$B179))="Y"),"위험물리퍼",IF(IF(INDEX(GLAPS컨테이너배차관리!$AK:$AK,$B179)="","",INDEX(GLAPS컨테이너배차관리!$AK:$AK,$B179))="Y","위험물",IF(IF(INDEX(GLAPS컨테이너배차관리!$AI:$AI,$B179)="","",INDEX(GLAPS컨테이너배차관리!$AI:$AI,$B179))="Y","리퍼",""))))</f>
        <v/>
      </c>
      <c r="R179" t="str">
        <f>IF($B179="","",IF(LEFT(IF(INDEX(GLAPS컨테이너배차관리!$Y:$Y,$B179)="","",INDEX(GLAPS컨테이너배차관리!$Y:$Y,$B179)),2)="22",1,""))</f>
        <v/>
      </c>
      <c r="S179" t="str">
        <f>IF($B179="","",IF(LEFT(IF(INDEX(GLAPS컨테이너배차관리!$Y:$Y,$B179)="","",INDEX(GLAPS컨테이너배차관리!$Y:$Y,$B179)),2)="42",1,""))</f>
        <v/>
      </c>
      <c r="T179" t="str">
        <f>IF($B179="","",IF(LEFT(IF(INDEX(GLAPS컨테이너배차관리!$Y:$Y,$B179)="","",INDEX(GLAPS컨테이너배차관리!$Y:$Y,$B179)),2)="45",1,""))</f>
        <v/>
      </c>
      <c r="U179" t="str">
        <f>IF($B179="","",IF(INDEX(GLAPS컨테이너배차관리!$X:$X,$B179)="","",INDEX(GLAPS컨테이너배차관리!$X:$X,$B179)))</f>
        <v/>
      </c>
      <c r="V179" t="str">
        <f>IF($B179="","",IF(INDEX(GLAPS컨테이너배차관리!$Z:$Z,$B179)="","",INDEX(GLAPS컨테이너배차관리!$Z:$Z,$B179)))</f>
        <v/>
      </c>
      <c r="W179" t="str">
        <f>IF($B179="","",IF(IF(INDEX(GLAPS컨테이너배차관리!$DI:$DI,$B179)="","",INDEX(GLAPS컨테이너배차관리!$DI:$DI,$B179))&lt;&gt;"",IF(INDEX(GLAPS컨테이너배차관리!$DI:$DI,$B179)="","",INDEX(GLAPS컨테이너배차관리!$DI:$DI,$B179)),IF(IF(INDEX(GLAPS컨테이너배차관리!$DJ:$DJ,$B179)="","",INDEX(GLAPS컨테이너배차관리!$DJ:$DJ,$B179))&lt;&gt;"",IF(INDEX(GLAPS컨테이너배차관리!$DJ:$DJ,$B179)="","",INDEX(GLAPS컨테이너배차관리!$DJ:$DJ,$B179)),IF(IF(INDEX(GLAPS컨테이너배차관리!$DK:$DK,$B179)="","",INDEX(GLAPS컨테이너배차관리!$DK:$DK,$B179))&lt;&gt;"",IF(INDEX(GLAPS컨테이너배차관리!$DK:$DK,$B179)="","",INDEX(GLAPS컨테이너배차관리!$DK:$DK,$B179)),IF(IF(INDEX(GLAPS컨테이너배차관리!$DL:$DL,$B179)="","",INDEX(GLAPS컨테이너배차관리!$DL:$DL,$B179))&lt;&gt;"",IF(INDEX(GLAPS컨테이너배차관리!$DL:$DL,$B179)="","",INDEX(GLAPS컨테이너배차관리!$DL:$DL,$B179)),IF(IF(INDEX(GLAPS컨테이너배차관리!$DM:$DM,$B179)="","",INDEX(GLAPS컨테이너배차관리!$DM:$DM,$B179))&lt;&gt;"",IF(INDEX(GLAPS컨테이너배차관리!$DM:$DM,$B179)="","",INDEX(GLAPS컨테이너배차관리!$DM:$DM,$B179)),""))))))</f>
        <v/>
      </c>
      <c r="X179" t="str">
        <f>IF($B179="","",IF(INDEX(GLAPS컨테이너배차관리!$F:$F,$B179)="","",INDEX(GLAPS컨테이너배차관리!$F:$F,$B179)))</f>
        <v/>
      </c>
      <c r="Y179" t="str">
        <f>IF($B179="","",IF(IF(INDEX(GLAPS컨테이너배차관리!$M:$M,$B179)="","",INDEX(GLAPS컨테이너배차관리!$M:$M,$B179))&lt;&gt;"",IF(INDEX(GLAPS컨테이너배차관리!$M:$M,$B179)="","",INDEX(GLAPS컨테이너배차관리!$M:$M,$B179)),IF(IF(INDEX(GLAPS컨테이너배차관리!$N:$N,$B179)="","",INDEX(GLAPS컨테이너배차관리!$N:$N,$B179))&lt;&gt;"",IF(INDEX(GLAPS컨테이너배차관리!$N:$N,$B179)="","",INDEX(GLAPS컨테이너배차관리!$N:$N,$B179)),"")))</f>
        <v/>
      </c>
      <c r="Z179" t="str">
        <f>IF($B179="","",IF(IF(INDEX(GLAPS컨테이너배차관리!$CU:$CU,$B179)="","",INDEX(GLAPS컨테이너배차관리!$CU:$CU,$B179))="","",IFERROR(INT(IF(INDEX(GLAPS컨테이너배차관리!$CU:$CU,$B179)="","",INDEX(GLAPS컨테이너배차관리!$CU:$CU,$B179))),"")))</f>
        <v/>
      </c>
      <c r="AA179" t="str">
        <f>IF($B179="","",IF(AND(IF(INDEX(GLAPS컨테이너배차관리!$CL:$CL,$B179)="","",INDEX(GLAPS컨테이너배차관리!$CL:$CL,$B179))="",IF(INDEX(GLAPS컨테이너배차관리!$CM:$CM,$B179)="","",INDEX(GLAPS컨테이너배차관리!$CM:$CM,$B179))=""),"",IF(OR(IF(INDEX(GLAPS컨테이너배차관리!$CL:$CL,$B179)="","",INDEX(GLAPS컨테이너배차관리!$CL:$CL,$B179))="B000016649",ISNUMBER(SEARCH("B015",IF(INDEX(GLAPS컨테이너배차관리!$CM:$CM,$B179)="","",INDEX(GLAPS컨테이너배차관리!$CM:$CM,$B179)))),ISNUMBER(SEARCH("세방",IF(INDEX(GLAPS컨테이너배차관리!$CM:$CM,$B179)="","",INDEX(GLAPS컨테이너배차관리!$CM:$CM,$B179)))),ISNUMBER(SEARCH("SB",IF(INDEX(GLAPS컨테이너배차관리!$CM:$CM,$B179)="","",INDEX(GLAPS컨테이너배차관리!$CM:$CM,$B179))))),"세방","")))</f>
        <v/>
      </c>
      <c r="AB179" t="str">
        <f>IF($B179="","",IF(IF(INDEX(GLAPS컨테이너배차관리!$CM:$CM,$B179)="","",INDEX(GLAPS컨테이너배차관리!$CM:$CM,$B179))="","",IF(ISNUMBER(SEARCH("이지스두동",IF(INDEX(GLAPS컨테이너배차관리!$CM:$CM,$B179)="","",INDEX(GLAPS컨테이너배차관리!$CM:$CM,$B179)))),"이지스두동",IF(ISNUMBER(SEARCH("이지스녹산",IF(INDEX(GLAPS컨테이너배차관리!$CM:$CM,$B179)="","",INDEX(GLAPS컨테이너배차관리!$CM:$CM,$B179)))),"이지스녹산",IF(ISNUMBER(SEARCH("천우",IF(INDEX(GLAPS컨테이너배차관리!$CM:$CM,$B179)="","",INDEX(GLAPS컨테이너배차관리!$CM:$CM,$B179)))),"천우",IF(OR(ISNUMBER(SEARCH("청암",IF(INDEX(GLAPS컨테이너배차관리!$CM:$CM,$B179)="","",INDEX(GLAPS컨테이너배차관리!$CM:$CM,$B179)))),ISNUMBER(SEARCH("SB청암",IF(INDEX(GLAPS컨테이너배차관리!$CM:$CM,$B179)="","",INDEX(GLAPS컨테이너배차관리!$CM:$CM,$B179))))),"청암신항",IF(INDEX(GLAPS컨테이너배차관리!$CM:$CM,$B179)="","",INDEX(GLAPS컨테이너배차관리!$CM:$CM,$B179))))))))</f>
        <v/>
      </c>
    </row>
    <row r="180" spans="1:28">
      <c r="A180">
        <v>179</v>
      </c>
      <c r="B180" t="str">
        <f>IFERROR(_xlfn.AGGREGATE(15,6,ROW(GLAPS컨테이너배차관리!$X$2:$X$20000)/(GLAPS컨테이너배차관리!$X$2:$X$20000&lt;&gt;""),A180),"")</f>
        <v/>
      </c>
      <c r="C180" t="str">
        <f>IF($B180="","",INT(IF(INDEX(GLAPS컨테이너배차관리!$K:$K,$B180)="","",INDEX(GLAPS컨테이너배차관리!$K:$K,$B180))))</f>
        <v/>
      </c>
      <c r="D180" t="str">
        <f>IF($B180="","",IF(ISNUMBER(SEARCH("이엘에스",IF(INDEX(GLAPS컨테이너배차관리!$AZ:$AZ,$B180)="","",INDEX(GLAPS컨테이너배차관리!$AZ:$AZ,$B180)))),"ELS솔루션",IF(INDEX(GLAPS컨테이너배차관리!$AZ:$AZ,$B180)="","",INDEX(GLAPS컨테이너배차관리!$AZ:$AZ,$B180))))</f>
        <v/>
      </c>
      <c r="E180" t="str">
        <f>IF($B180="","",IF(INDEX(GLAPS컨테이너배차관리!$L:$L,$B180)="","",INDEX(GLAPS컨테이너배차관리!$L:$L,$B180)))</f>
        <v/>
      </c>
      <c r="F180" t="str">
        <f>IF($B180="","",IF(HOUR(IF(INDEX(GLAPS컨테이너배차관리!$L:$L,$B180)="","",INDEX(GLAPS컨테이너배차관리!$L:$L,$B180)))&lt;12,"오전",IF(HOUR(IF(INDEX(GLAPS컨테이너배차관리!$L:$L,$B180)="","",INDEX(GLAPS컨테이너배차관리!$L:$L,$B180)))&lt;18,"오후","잔업")))</f>
        <v/>
      </c>
      <c r="G180" t="str">
        <f>IF($B180="","",IFERROR(INDEX(GLAPS정리!$G$3:$G$264,MATCH(IF(INDEX(GLAPS컨테이너배차관리!$BY:$BY,$B180)="","",INDEX(GLAPS컨테이너배차관리!$BY:$BY,$B180)),GLAPS정리!$H$3:$H$264,0)),TRIM(SUBSTITUTE(SUBSTITUTE(SUBSTITUTE(SUBSTITUTE(SUBSTITUTE(IF(INDEX(GLAPS컨테이너배차관리!$T:$T,$B180)="","",INDEX(GLAPS컨테이너배차관리!$T:$T,$B180)),"[GA]",""),"[GB]",""),"[GC]",""),"[KC]",""),"[GS]",""))))</f>
        <v/>
      </c>
      <c r="H180" t="str">
        <f>IF($B180="","",IFERROR(VLOOKUP(IF(INDEX(GLAPS컨테이너배차관리!$BY:$BY,$B180)="","",INDEX(GLAPS컨테이너배차관리!$BY:$BY,$B180)),GLAPS정리!$BT$3:$BV$200,3,0),""))</f>
        <v/>
      </c>
      <c r="I180" t="str">
        <f>IF($B180="","",LEFT(IF(INDEX(GLAPS컨테이너배차관리!$U:$U,$B180)="","",INDEX(GLAPS컨테이너배차관리!$U:$U,$B180)),FIND("/",IF(INDEX(GLAPS컨테이너배차관리!$U:$U,$B180)="","",INDEX(GLAPS컨테이너배차관리!$U:$U,$B180))&amp;"/")-1))</f>
        <v/>
      </c>
      <c r="J180" t="str">
        <f>IF($B180="","",IF(IF(INDEX(GLAPS컨테이너배차관리!$O:$O,$B180)="","",INDEX(GLAPS컨테이너배차관리!$O:$O,$B180))="EMC","EMA",IFERROR(INDEX(GLAPS정리!$A$2:$A$50,MATCH(IF(INDEX(GLAPS컨테이너배차관리!$O:$O,$B180)="","",INDEX(GLAPS컨테이너배차관리!$O:$O,$B180)),GLAPS정리!$D$2:$D$50,0)),IF(INDEX(GLAPS컨테이너배차관리!$O:$O,$B180)="","",INDEX(GLAPS컨테이너배차관리!$O:$O,$B180)))))</f>
        <v/>
      </c>
      <c r="K180" t="str">
        <f>IF($B180="","",IF(LEFT(IF(INDEX(GLAPS컨테이너배차관리!$Y:$Y,$B180)="","",INDEX(GLAPS컨테이너배차관리!$Y:$Y,$B180)),2)="22","20 Feet",IF(LEFT(IF(INDEX(GLAPS컨테이너배차관리!$Y:$Y,$B180)="","",INDEX(GLAPS컨테이너배차관리!$Y:$Y,$B180)),2)="42","40 Feet","40 Feet H")))</f>
        <v/>
      </c>
      <c r="L180" t="str">
        <f>IF($B180="","",IFERROR(INDEX(GLAPS정리!$BB$2:$BB$80,MATCH(IF(INDEX(GLAPS컨테이너배차관리!$BQ:$BQ,$B180)="","",INDEX(GLAPS컨테이너배차관리!$BQ:$BQ,$B180)),GLAPS정리!$BC$2:$BC$80,0)),IF(INDEX(GLAPS컨테이너배차관리!$BQ:$BQ,$B180)="","",INDEX(GLAPS컨테이너배차관리!$BQ:$BQ,$B180))))</f>
        <v/>
      </c>
      <c r="M180" t="str">
        <f>IF($B180="","",IFERROR(INDEX(GLAPS정리!$V$3:$V$180,MATCH(IF(INDEX(GLAPS컨테이너배차관리!$S:$S,$B180)="","",INDEX(GLAPS컨테이너배차관리!$S:$S,$B180)),GLAPS정리!$W$3:$W$180,0)),IF(INDEX(GLAPS컨테이너배차관리!$S:$S,$B180)="","",INDEX(GLAPS컨테이너배차관리!$S:$S,$B180))))</f>
        <v/>
      </c>
      <c r="N180" t="str">
        <f>IF($B180="","",IF(IF(INDEX(GLAPS컨테이너배차관리!$DF:$DF,$B180)="","",INDEX(GLAPS컨테이너배차관리!$DF:$DF,$B180))&lt;&gt;"",IF(INDEX(GLAPS컨테이너배차관리!$DF:$DF,$B180)="","",INDEX(GLAPS컨테이너배차관리!$DF:$DF,$B180)),IF(IF(INDEX(GLAPS컨테이너배차관리!$DG:$DG,$B180)="","",INDEX(GLAPS컨테이너배차관리!$DG:$DG,$B180))&lt;&gt;"",IF(INDEX(GLAPS컨테이너배차관리!$DG:$DG,$B180)="","",INDEX(GLAPS컨테이너배차관리!$DG:$DG,$B180)),"")))</f>
        <v/>
      </c>
      <c r="O180" t="str">
        <f>IF($B180="","",IF(INDEX(GLAPS컨테이너배차관리!$AB:$AB,$B180)="","",INDEX(GLAPS컨테이너배차관리!$AB:$AB,$B180)))</f>
        <v/>
      </c>
      <c r="P180" t="str">
        <f>IF($B180="","",IF(IF(INDEX(GLAPS컨테이너배차관리!$CP:$CP,$B180)="","",INDEX(GLAPS컨테이너배차관리!$CP:$CP,$B180))="","",IFERROR(INDEX(GLAPS정리!$BH$2:$BH$101,MATCH(IF(INDEX(GLAPS컨테이너배차관리!$CP:$CP,$B180)="","",INDEX(GLAPS컨테이너배차관리!$CP:$CP,$B180)),GLAPS정리!$BI$2:$BI$101,0)),IF(INDEX(GLAPS컨테이너배차관리!$CP:$CP,$B180)="","",INDEX(GLAPS컨테이너배차관리!$CP:$CP,$B180)))))</f>
        <v/>
      </c>
      <c r="Q180" t="str">
        <f>IF($B180="","",IF(AND(IF(INDEX(GLAPS컨테이너배차관리!$AK:$AK,$B180)="","",INDEX(GLAPS컨테이너배차관리!$AK:$AK,$B180))="Y",IF(INDEX(GLAPS컨테이너배차관리!$AI:$AI,$B180)="","",INDEX(GLAPS컨테이너배차관리!$AI:$AI,$B180))="Y"),"위험물리퍼",IF(IF(INDEX(GLAPS컨테이너배차관리!$AK:$AK,$B180)="","",INDEX(GLAPS컨테이너배차관리!$AK:$AK,$B180))="Y","위험물",IF(IF(INDEX(GLAPS컨테이너배차관리!$AI:$AI,$B180)="","",INDEX(GLAPS컨테이너배차관리!$AI:$AI,$B180))="Y","리퍼",""))))</f>
        <v/>
      </c>
      <c r="R180" t="str">
        <f>IF($B180="","",IF(LEFT(IF(INDEX(GLAPS컨테이너배차관리!$Y:$Y,$B180)="","",INDEX(GLAPS컨테이너배차관리!$Y:$Y,$B180)),2)="22",1,""))</f>
        <v/>
      </c>
      <c r="S180" t="str">
        <f>IF($B180="","",IF(LEFT(IF(INDEX(GLAPS컨테이너배차관리!$Y:$Y,$B180)="","",INDEX(GLAPS컨테이너배차관리!$Y:$Y,$B180)),2)="42",1,""))</f>
        <v/>
      </c>
      <c r="T180" t="str">
        <f>IF($B180="","",IF(LEFT(IF(INDEX(GLAPS컨테이너배차관리!$Y:$Y,$B180)="","",INDEX(GLAPS컨테이너배차관리!$Y:$Y,$B180)),2)="45",1,""))</f>
        <v/>
      </c>
      <c r="U180" t="str">
        <f>IF($B180="","",IF(INDEX(GLAPS컨테이너배차관리!$X:$X,$B180)="","",INDEX(GLAPS컨테이너배차관리!$X:$X,$B180)))</f>
        <v/>
      </c>
      <c r="V180" t="str">
        <f>IF($B180="","",IF(INDEX(GLAPS컨테이너배차관리!$Z:$Z,$B180)="","",INDEX(GLAPS컨테이너배차관리!$Z:$Z,$B180)))</f>
        <v/>
      </c>
      <c r="W180" t="str">
        <f>IF($B180="","",IF(IF(INDEX(GLAPS컨테이너배차관리!$DI:$DI,$B180)="","",INDEX(GLAPS컨테이너배차관리!$DI:$DI,$B180))&lt;&gt;"",IF(INDEX(GLAPS컨테이너배차관리!$DI:$DI,$B180)="","",INDEX(GLAPS컨테이너배차관리!$DI:$DI,$B180)),IF(IF(INDEX(GLAPS컨테이너배차관리!$DJ:$DJ,$B180)="","",INDEX(GLAPS컨테이너배차관리!$DJ:$DJ,$B180))&lt;&gt;"",IF(INDEX(GLAPS컨테이너배차관리!$DJ:$DJ,$B180)="","",INDEX(GLAPS컨테이너배차관리!$DJ:$DJ,$B180)),IF(IF(INDEX(GLAPS컨테이너배차관리!$DK:$DK,$B180)="","",INDEX(GLAPS컨테이너배차관리!$DK:$DK,$B180))&lt;&gt;"",IF(INDEX(GLAPS컨테이너배차관리!$DK:$DK,$B180)="","",INDEX(GLAPS컨테이너배차관리!$DK:$DK,$B180)),IF(IF(INDEX(GLAPS컨테이너배차관리!$DL:$DL,$B180)="","",INDEX(GLAPS컨테이너배차관리!$DL:$DL,$B180))&lt;&gt;"",IF(INDEX(GLAPS컨테이너배차관리!$DL:$DL,$B180)="","",INDEX(GLAPS컨테이너배차관리!$DL:$DL,$B180)),IF(IF(INDEX(GLAPS컨테이너배차관리!$DM:$DM,$B180)="","",INDEX(GLAPS컨테이너배차관리!$DM:$DM,$B180))&lt;&gt;"",IF(INDEX(GLAPS컨테이너배차관리!$DM:$DM,$B180)="","",INDEX(GLAPS컨테이너배차관리!$DM:$DM,$B180)),""))))))</f>
        <v/>
      </c>
      <c r="X180" t="str">
        <f>IF($B180="","",IF(INDEX(GLAPS컨테이너배차관리!$F:$F,$B180)="","",INDEX(GLAPS컨테이너배차관리!$F:$F,$B180)))</f>
        <v/>
      </c>
      <c r="Y180" t="str">
        <f>IF($B180="","",IF(IF(INDEX(GLAPS컨테이너배차관리!$M:$M,$B180)="","",INDEX(GLAPS컨테이너배차관리!$M:$M,$B180))&lt;&gt;"",IF(INDEX(GLAPS컨테이너배차관리!$M:$M,$B180)="","",INDEX(GLAPS컨테이너배차관리!$M:$M,$B180)),IF(IF(INDEX(GLAPS컨테이너배차관리!$N:$N,$B180)="","",INDEX(GLAPS컨테이너배차관리!$N:$N,$B180))&lt;&gt;"",IF(INDEX(GLAPS컨테이너배차관리!$N:$N,$B180)="","",INDEX(GLAPS컨테이너배차관리!$N:$N,$B180)),"")))</f>
        <v/>
      </c>
      <c r="Z180" t="str">
        <f>IF($B180="","",IF(IF(INDEX(GLAPS컨테이너배차관리!$CU:$CU,$B180)="","",INDEX(GLAPS컨테이너배차관리!$CU:$CU,$B180))="","",IFERROR(INT(IF(INDEX(GLAPS컨테이너배차관리!$CU:$CU,$B180)="","",INDEX(GLAPS컨테이너배차관리!$CU:$CU,$B180))),"")))</f>
        <v/>
      </c>
      <c r="AA180" t="str">
        <f>IF($B180="","",IF(AND(IF(INDEX(GLAPS컨테이너배차관리!$CL:$CL,$B180)="","",INDEX(GLAPS컨테이너배차관리!$CL:$CL,$B180))="",IF(INDEX(GLAPS컨테이너배차관리!$CM:$CM,$B180)="","",INDEX(GLAPS컨테이너배차관리!$CM:$CM,$B180))=""),"",IF(OR(IF(INDEX(GLAPS컨테이너배차관리!$CL:$CL,$B180)="","",INDEX(GLAPS컨테이너배차관리!$CL:$CL,$B180))="B000016649",ISNUMBER(SEARCH("B015",IF(INDEX(GLAPS컨테이너배차관리!$CM:$CM,$B180)="","",INDEX(GLAPS컨테이너배차관리!$CM:$CM,$B180)))),ISNUMBER(SEARCH("세방",IF(INDEX(GLAPS컨테이너배차관리!$CM:$CM,$B180)="","",INDEX(GLAPS컨테이너배차관리!$CM:$CM,$B180)))),ISNUMBER(SEARCH("SB",IF(INDEX(GLAPS컨테이너배차관리!$CM:$CM,$B180)="","",INDEX(GLAPS컨테이너배차관리!$CM:$CM,$B180))))),"세방","")))</f>
        <v/>
      </c>
      <c r="AB180" t="str">
        <f>IF($B180="","",IF(IF(INDEX(GLAPS컨테이너배차관리!$CM:$CM,$B180)="","",INDEX(GLAPS컨테이너배차관리!$CM:$CM,$B180))="","",IF(ISNUMBER(SEARCH("이지스두동",IF(INDEX(GLAPS컨테이너배차관리!$CM:$CM,$B180)="","",INDEX(GLAPS컨테이너배차관리!$CM:$CM,$B180)))),"이지스두동",IF(ISNUMBER(SEARCH("이지스녹산",IF(INDEX(GLAPS컨테이너배차관리!$CM:$CM,$B180)="","",INDEX(GLAPS컨테이너배차관리!$CM:$CM,$B180)))),"이지스녹산",IF(ISNUMBER(SEARCH("천우",IF(INDEX(GLAPS컨테이너배차관리!$CM:$CM,$B180)="","",INDEX(GLAPS컨테이너배차관리!$CM:$CM,$B180)))),"천우",IF(OR(ISNUMBER(SEARCH("청암",IF(INDEX(GLAPS컨테이너배차관리!$CM:$CM,$B180)="","",INDEX(GLAPS컨테이너배차관리!$CM:$CM,$B180)))),ISNUMBER(SEARCH("SB청암",IF(INDEX(GLAPS컨테이너배차관리!$CM:$CM,$B180)="","",INDEX(GLAPS컨테이너배차관리!$CM:$CM,$B180))))),"청암신항",IF(INDEX(GLAPS컨테이너배차관리!$CM:$CM,$B180)="","",INDEX(GLAPS컨테이너배차관리!$CM:$CM,$B180))))))))</f>
        <v/>
      </c>
    </row>
    <row r="181" spans="1:28">
      <c r="A181">
        <v>180</v>
      </c>
      <c r="B181" t="str">
        <f>IFERROR(_xlfn.AGGREGATE(15,6,ROW(GLAPS컨테이너배차관리!$X$2:$X$20000)/(GLAPS컨테이너배차관리!$X$2:$X$20000&lt;&gt;""),A181),"")</f>
        <v/>
      </c>
      <c r="C181" t="str">
        <f>IF($B181="","",INT(IF(INDEX(GLAPS컨테이너배차관리!$K:$K,$B181)="","",INDEX(GLAPS컨테이너배차관리!$K:$K,$B181))))</f>
        <v/>
      </c>
      <c r="D181" t="str">
        <f>IF($B181="","",IF(ISNUMBER(SEARCH("이엘에스",IF(INDEX(GLAPS컨테이너배차관리!$AZ:$AZ,$B181)="","",INDEX(GLAPS컨테이너배차관리!$AZ:$AZ,$B181)))),"ELS솔루션",IF(INDEX(GLAPS컨테이너배차관리!$AZ:$AZ,$B181)="","",INDEX(GLAPS컨테이너배차관리!$AZ:$AZ,$B181))))</f>
        <v/>
      </c>
      <c r="E181" t="str">
        <f>IF($B181="","",IF(INDEX(GLAPS컨테이너배차관리!$L:$L,$B181)="","",INDEX(GLAPS컨테이너배차관리!$L:$L,$B181)))</f>
        <v/>
      </c>
      <c r="F181" t="str">
        <f>IF($B181="","",IF(HOUR(IF(INDEX(GLAPS컨테이너배차관리!$L:$L,$B181)="","",INDEX(GLAPS컨테이너배차관리!$L:$L,$B181)))&lt;12,"오전",IF(HOUR(IF(INDEX(GLAPS컨테이너배차관리!$L:$L,$B181)="","",INDEX(GLAPS컨테이너배차관리!$L:$L,$B181)))&lt;18,"오후","잔업")))</f>
        <v/>
      </c>
      <c r="G181" t="str">
        <f>IF($B181="","",IFERROR(INDEX(GLAPS정리!$G$3:$G$264,MATCH(IF(INDEX(GLAPS컨테이너배차관리!$BY:$BY,$B181)="","",INDEX(GLAPS컨테이너배차관리!$BY:$BY,$B181)),GLAPS정리!$H$3:$H$264,0)),TRIM(SUBSTITUTE(SUBSTITUTE(SUBSTITUTE(SUBSTITUTE(SUBSTITUTE(IF(INDEX(GLAPS컨테이너배차관리!$T:$T,$B181)="","",INDEX(GLAPS컨테이너배차관리!$T:$T,$B181)),"[GA]",""),"[GB]",""),"[GC]",""),"[KC]",""),"[GS]",""))))</f>
        <v/>
      </c>
      <c r="H181" t="str">
        <f>IF($B181="","",IFERROR(VLOOKUP(IF(INDEX(GLAPS컨테이너배차관리!$BY:$BY,$B181)="","",INDEX(GLAPS컨테이너배차관리!$BY:$BY,$B181)),GLAPS정리!$BT$3:$BV$200,3,0),""))</f>
        <v/>
      </c>
      <c r="I181" t="str">
        <f>IF($B181="","",LEFT(IF(INDEX(GLAPS컨테이너배차관리!$U:$U,$B181)="","",INDEX(GLAPS컨테이너배차관리!$U:$U,$B181)),FIND("/",IF(INDEX(GLAPS컨테이너배차관리!$U:$U,$B181)="","",INDEX(GLAPS컨테이너배차관리!$U:$U,$B181))&amp;"/")-1))</f>
        <v/>
      </c>
      <c r="J181" t="str">
        <f>IF($B181="","",IF(IF(INDEX(GLAPS컨테이너배차관리!$O:$O,$B181)="","",INDEX(GLAPS컨테이너배차관리!$O:$O,$B181))="EMC","EMA",IFERROR(INDEX(GLAPS정리!$A$2:$A$50,MATCH(IF(INDEX(GLAPS컨테이너배차관리!$O:$O,$B181)="","",INDEX(GLAPS컨테이너배차관리!$O:$O,$B181)),GLAPS정리!$D$2:$D$50,0)),IF(INDEX(GLAPS컨테이너배차관리!$O:$O,$B181)="","",INDEX(GLAPS컨테이너배차관리!$O:$O,$B181)))))</f>
        <v/>
      </c>
      <c r="K181" t="str">
        <f>IF($B181="","",IF(LEFT(IF(INDEX(GLAPS컨테이너배차관리!$Y:$Y,$B181)="","",INDEX(GLAPS컨테이너배차관리!$Y:$Y,$B181)),2)="22","20 Feet",IF(LEFT(IF(INDEX(GLAPS컨테이너배차관리!$Y:$Y,$B181)="","",INDEX(GLAPS컨테이너배차관리!$Y:$Y,$B181)),2)="42","40 Feet","40 Feet H")))</f>
        <v/>
      </c>
      <c r="L181" t="str">
        <f>IF($B181="","",IFERROR(INDEX(GLAPS정리!$BB$2:$BB$80,MATCH(IF(INDEX(GLAPS컨테이너배차관리!$BQ:$BQ,$B181)="","",INDEX(GLAPS컨테이너배차관리!$BQ:$BQ,$B181)),GLAPS정리!$BC$2:$BC$80,0)),IF(INDEX(GLAPS컨테이너배차관리!$BQ:$BQ,$B181)="","",INDEX(GLAPS컨테이너배차관리!$BQ:$BQ,$B181))))</f>
        <v/>
      </c>
      <c r="M181" t="str">
        <f>IF($B181="","",IFERROR(INDEX(GLAPS정리!$V$3:$V$180,MATCH(IF(INDEX(GLAPS컨테이너배차관리!$S:$S,$B181)="","",INDEX(GLAPS컨테이너배차관리!$S:$S,$B181)),GLAPS정리!$W$3:$W$180,0)),IF(INDEX(GLAPS컨테이너배차관리!$S:$S,$B181)="","",INDEX(GLAPS컨테이너배차관리!$S:$S,$B181))))</f>
        <v/>
      </c>
      <c r="N181" t="str">
        <f>IF($B181="","",IF(IF(INDEX(GLAPS컨테이너배차관리!$DF:$DF,$B181)="","",INDEX(GLAPS컨테이너배차관리!$DF:$DF,$B181))&lt;&gt;"",IF(INDEX(GLAPS컨테이너배차관리!$DF:$DF,$B181)="","",INDEX(GLAPS컨테이너배차관리!$DF:$DF,$B181)),IF(IF(INDEX(GLAPS컨테이너배차관리!$DG:$DG,$B181)="","",INDEX(GLAPS컨테이너배차관리!$DG:$DG,$B181))&lt;&gt;"",IF(INDEX(GLAPS컨테이너배차관리!$DG:$DG,$B181)="","",INDEX(GLAPS컨테이너배차관리!$DG:$DG,$B181)),"")))</f>
        <v/>
      </c>
      <c r="O181" t="str">
        <f>IF($B181="","",IF(INDEX(GLAPS컨테이너배차관리!$AB:$AB,$B181)="","",INDEX(GLAPS컨테이너배차관리!$AB:$AB,$B181)))</f>
        <v/>
      </c>
      <c r="P181" t="str">
        <f>IF($B181="","",IF(IF(INDEX(GLAPS컨테이너배차관리!$CP:$CP,$B181)="","",INDEX(GLAPS컨테이너배차관리!$CP:$CP,$B181))="","",IFERROR(INDEX(GLAPS정리!$BH$2:$BH$101,MATCH(IF(INDEX(GLAPS컨테이너배차관리!$CP:$CP,$B181)="","",INDEX(GLAPS컨테이너배차관리!$CP:$CP,$B181)),GLAPS정리!$BI$2:$BI$101,0)),IF(INDEX(GLAPS컨테이너배차관리!$CP:$CP,$B181)="","",INDEX(GLAPS컨테이너배차관리!$CP:$CP,$B181)))))</f>
        <v/>
      </c>
      <c r="Q181" t="str">
        <f>IF($B181="","",IF(AND(IF(INDEX(GLAPS컨테이너배차관리!$AK:$AK,$B181)="","",INDEX(GLAPS컨테이너배차관리!$AK:$AK,$B181))="Y",IF(INDEX(GLAPS컨테이너배차관리!$AI:$AI,$B181)="","",INDEX(GLAPS컨테이너배차관리!$AI:$AI,$B181))="Y"),"위험물리퍼",IF(IF(INDEX(GLAPS컨테이너배차관리!$AK:$AK,$B181)="","",INDEX(GLAPS컨테이너배차관리!$AK:$AK,$B181))="Y","위험물",IF(IF(INDEX(GLAPS컨테이너배차관리!$AI:$AI,$B181)="","",INDEX(GLAPS컨테이너배차관리!$AI:$AI,$B181))="Y","리퍼",""))))</f>
        <v/>
      </c>
      <c r="R181" t="str">
        <f>IF($B181="","",IF(LEFT(IF(INDEX(GLAPS컨테이너배차관리!$Y:$Y,$B181)="","",INDEX(GLAPS컨테이너배차관리!$Y:$Y,$B181)),2)="22",1,""))</f>
        <v/>
      </c>
      <c r="S181" t="str">
        <f>IF($B181="","",IF(LEFT(IF(INDEX(GLAPS컨테이너배차관리!$Y:$Y,$B181)="","",INDEX(GLAPS컨테이너배차관리!$Y:$Y,$B181)),2)="42",1,""))</f>
        <v/>
      </c>
      <c r="T181" t="str">
        <f>IF($B181="","",IF(LEFT(IF(INDEX(GLAPS컨테이너배차관리!$Y:$Y,$B181)="","",INDEX(GLAPS컨테이너배차관리!$Y:$Y,$B181)),2)="45",1,""))</f>
        <v/>
      </c>
      <c r="U181" t="str">
        <f>IF($B181="","",IF(INDEX(GLAPS컨테이너배차관리!$X:$X,$B181)="","",INDEX(GLAPS컨테이너배차관리!$X:$X,$B181)))</f>
        <v/>
      </c>
      <c r="V181" t="str">
        <f>IF($B181="","",IF(INDEX(GLAPS컨테이너배차관리!$Z:$Z,$B181)="","",INDEX(GLAPS컨테이너배차관리!$Z:$Z,$B181)))</f>
        <v/>
      </c>
      <c r="W181" t="str">
        <f>IF($B181="","",IF(IF(INDEX(GLAPS컨테이너배차관리!$DI:$DI,$B181)="","",INDEX(GLAPS컨테이너배차관리!$DI:$DI,$B181))&lt;&gt;"",IF(INDEX(GLAPS컨테이너배차관리!$DI:$DI,$B181)="","",INDEX(GLAPS컨테이너배차관리!$DI:$DI,$B181)),IF(IF(INDEX(GLAPS컨테이너배차관리!$DJ:$DJ,$B181)="","",INDEX(GLAPS컨테이너배차관리!$DJ:$DJ,$B181))&lt;&gt;"",IF(INDEX(GLAPS컨테이너배차관리!$DJ:$DJ,$B181)="","",INDEX(GLAPS컨테이너배차관리!$DJ:$DJ,$B181)),IF(IF(INDEX(GLAPS컨테이너배차관리!$DK:$DK,$B181)="","",INDEX(GLAPS컨테이너배차관리!$DK:$DK,$B181))&lt;&gt;"",IF(INDEX(GLAPS컨테이너배차관리!$DK:$DK,$B181)="","",INDEX(GLAPS컨테이너배차관리!$DK:$DK,$B181)),IF(IF(INDEX(GLAPS컨테이너배차관리!$DL:$DL,$B181)="","",INDEX(GLAPS컨테이너배차관리!$DL:$DL,$B181))&lt;&gt;"",IF(INDEX(GLAPS컨테이너배차관리!$DL:$DL,$B181)="","",INDEX(GLAPS컨테이너배차관리!$DL:$DL,$B181)),IF(IF(INDEX(GLAPS컨테이너배차관리!$DM:$DM,$B181)="","",INDEX(GLAPS컨테이너배차관리!$DM:$DM,$B181))&lt;&gt;"",IF(INDEX(GLAPS컨테이너배차관리!$DM:$DM,$B181)="","",INDEX(GLAPS컨테이너배차관리!$DM:$DM,$B181)),""))))))</f>
        <v/>
      </c>
      <c r="X181" t="str">
        <f>IF($B181="","",IF(INDEX(GLAPS컨테이너배차관리!$F:$F,$B181)="","",INDEX(GLAPS컨테이너배차관리!$F:$F,$B181)))</f>
        <v/>
      </c>
      <c r="Y181" t="str">
        <f>IF($B181="","",IF(IF(INDEX(GLAPS컨테이너배차관리!$M:$M,$B181)="","",INDEX(GLAPS컨테이너배차관리!$M:$M,$B181))&lt;&gt;"",IF(INDEX(GLAPS컨테이너배차관리!$M:$M,$B181)="","",INDEX(GLAPS컨테이너배차관리!$M:$M,$B181)),IF(IF(INDEX(GLAPS컨테이너배차관리!$N:$N,$B181)="","",INDEX(GLAPS컨테이너배차관리!$N:$N,$B181))&lt;&gt;"",IF(INDEX(GLAPS컨테이너배차관리!$N:$N,$B181)="","",INDEX(GLAPS컨테이너배차관리!$N:$N,$B181)),"")))</f>
        <v/>
      </c>
      <c r="Z181" t="str">
        <f>IF($B181="","",IF(IF(INDEX(GLAPS컨테이너배차관리!$CU:$CU,$B181)="","",INDEX(GLAPS컨테이너배차관리!$CU:$CU,$B181))="","",IFERROR(INT(IF(INDEX(GLAPS컨테이너배차관리!$CU:$CU,$B181)="","",INDEX(GLAPS컨테이너배차관리!$CU:$CU,$B181))),"")))</f>
        <v/>
      </c>
      <c r="AA181" t="str">
        <f>IF($B181="","",IF(AND(IF(INDEX(GLAPS컨테이너배차관리!$CL:$CL,$B181)="","",INDEX(GLAPS컨테이너배차관리!$CL:$CL,$B181))="",IF(INDEX(GLAPS컨테이너배차관리!$CM:$CM,$B181)="","",INDEX(GLAPS컨테이너배차관리!$CM:$CM,$B181))=""),"",IF(OR(IF(INDEX(GLAPS컨테이너배차관리!$CL:$CL,$B181)="","",INDEX(GLAPS컨테이너배차관리!$CL:$CL,$B181))="B000016649",ISNUMBER(SEARCH("B015",IF(INDEX(GLAPS컨테이너배차관리!$CM:$CM,$B181)="","",INDEX(GLAPS컨테이너배차관리!$CM:$CM,$B181)))),ISNUMBER(SEARCH("세방",IF(INDEX(GLAPS컨테이너배차관리!$CM:$CM,$B181)="","",INDEX(GLAPS컨테이너배차관리!$CM:$CM,$B181)))),ISNUMBER(SEARCH("SB",IF(INDEX(GLAPS컨테이너배차관리!$CM:$CM,$B181)="","",INDEX(GLAPS컨테이너배차관리!$CM:$CM,$B181))))),"세방","")))</f>
        <v/>
      </c>
      <c r="AB181" t="str">
        <f>IF($B181="","",IF(IF(INDEX(GLAPS컨테이너배차관리!$CM:$CM,$B181)="","",INDEX(GLAPS컨테이너배차관리!$CM:$CM,$B181))="","",IF(ISNUMBER(SEARCH("이지스두동",IF(INDEX(GLAPS컨테이너배차관리!$CM:$CM,$B181)="","",INDEX(GLAPS컨테이너배차관리!$CM:$CM,$B181)))),"이지스두동",IF(ISNUMBER(SEARCH("이지스녹산",IF(INDEX(GLAPS컨테이너배차관리!$CM:$CM,$B181)="","",INDEX(GLAPS컨테이너배차관리!$CM:$CM,$B181)))),"이지스녹산",IF(ISNUMBER(SEARCH("천우",IF(INDEX(GLAPS컨테이너배차관리!$CM:$CM,$B181)="","",INDEX(GLAPS컨테이너배차관리!$CM:$CM,$B181)))),"천우",IF(OR(ISNUMBER(SEARCH("청암",IF(INDEX(GLAPS컨테이너배차관리!$CM:$CM,$B181)="","",INDEX(GLAPS컨테이너배차관리!$CM:$CM,$B181)))),ISNUMBER(SEARCH("SB청암",IF(INDEX(GLAPS컨테이너배차관리!$CM:$CM,$B181)="","",INDEX(GLAPS컨테이너배차관리!$CM:$CM,$B181))))),"청암신항",IF(INDEX(GLAPS컨테이너배차관리!$CM:$CM,$B181)="","",INDEX(GLAPS컨테이너배차관리!$CM:$CM,$B181))))))))</f>
        <v/>
      </c>
    </row>
    <row r="182" spans="1:28">
      <c r="A182">
        <v>181</v>
      </c>
      <c r="B182" t="str">
        <f>IFERROR(_xlfn.AGGREGATE(15,6,ROW(GLAPS컨테이너배차관리!$X$2:$X$20000)/(GLAPS컨테이너배차관리!$X$2:$X$20000&lt;&gt;""),A182),"")</f>
        <v/>
      </c>
      <c r="C182" t="str">
        <f>IF($B182="","",INT(IF(INDEX(GLAPS컨테이너배차관리!$K:$K,$B182)="","",INDEX(GLAPS컨테이너배차관리!$K:$K,$B182))))</f>
        <v/>
      </c>
      <c r="D182" t="str">
        <f>IF($B182="","",IF(ISNUMBER(SEARCH("이엘에스",IF(INDEX(GLAPS컨테이너배차관리!$AZ:$AZ,$B182)="","",INDEX(GLAPS컨테이너배차관리!$AZ:$AZ,$B182)))),"ELS솔루션",IF(INDEX(GLAPS컨테이너배차관리!$AZ:$AZ,$B182)="","",INDEX(GLAPS컨테이너배차관리!$AZ:$AZ,$B182))))</f>
        <v/>
      </c>
      <c r="E182" t="str">
        <f>IF($B182="","",IF(INDEX(GLAPS컨테이너배차관리!$L:$L,$B182)="","",INDEX(GLAPS컨테이너배차관리!$L:$L,$B182)))</f>
        <v/>
      </c>
      <c r="F182" t="str">
        <f>IF($B182="","",IF(HOUR(IF(INDEX(GLAPS컨테이너배차관리!$L:$L,$B182)="","",INDEX(GLAPS컨테이너배차관리!$L:$L,$B182)))&lt;12,"오전",IF(HOUR(IF(INDEX(GLAPS컨테이너배차관리!$L:$L,$B182)="","",INDEX(GLAPS컨테이너배차관리!$L:$L,$B182)))&lt;18,"오후","잔업")))</f>
        <v/>
      </c>
      <c r="G182" t="str">
        <f>IF($B182="","",IFERROR(INDEX(GLAPS정리!$G$3:$G$264,MATCH(IF(INDEX(GLAPS컨테이너배차관리!$BY:$BY,$B182)="","",INDEX(GLAPS컨테이너배차관리!$BY:$BY,$B182)),GLAPS정리!$H$3:$H$264,0)),TRIM(SUBSTITUTE(SUBSTITUTE(SUBSTITUTE(SUBSTITUTE(SUBSTITUTE(IF(INDEX(GLAPS컨테이너배차관리!$T:$T,$B182)="","",INDEX(GLAPS컨테이너배차관리!$T:$T,$B182)),"[GA]",""),"[GB]",""),"[GC]",""),"[KC]",""),"[GS]",""))))</f>
        <v/>
      </c>
      <c r="H182" t="str">
        <f>IF($B182="","",IFERROR(VLOOKUP(IF(INDEX(GLAPS컨테이너배차관리!$BY:$BY,$B182)="","",INDEX(GLAPS컨테이너배차관리!$BY:$BY,$B182)),GLAPS정리!$BT$3:$BV$200,3,0),""))</f>
        <v/>
      </c>
      <c r="I182" t="str">
        <f>IF($B182="","",LEFT(IF(INDEX(GLAPS컨테이너배차관리!$U:$U,$B182)="","",INDEX(GLAPS컨테이너배차관리!$U:$U,$B182)),FIND("/",IF(INDEX(GLAPS컨테이너배차관리!$U:$U,$B182)="","",INDEX(GLAPS컨테이너배차관리!$U:$U,$B182))&amp;"/")-1))</f>
        <v/>
      </c>
      <c r="J182" t="str">
        <f>IF($B182="","",IF(IF(INDEX(GLAPS컨테이너배차관리!$O:$O,$B182)="","",INDEX(GLAPS컨테이너배차관리!$O:$O,$B182))="EMC","EMA",IFERROR(INDEX(GLAPS정리!$A$2:$A$50,MATCH(IF(INDEX(GLAPS컨테이너배차관리!$O:$O,$B182)="","",INDEX(GLAPS컨테이너배차관리!$O:$O,$B182)),GLAPS정리!$D$2:$D$50,0)),IF(INDEX(GLAPS컨테이너배차관리!$O:$O,$B182)="","",INDEX(GLAPS컨테이너배차관리!$O:$O,$B182)))))</f>
        <v/>
      </c>
      <c r="K182" t="str">
        <f>IF($B182="","",IF(LEFT(IF(INDEX(GLAPS컨테이너배차관리!$Y:$Y,$B182)="","",INDEX(GLAPS컨테이너배차관리!$Y:$Y,$B182)),2)="22","20 Feet",IF(LEFT(IF(INDEX(GLAPS컨테이너배차관리!$Y:$Y,$B182)="","",INDEX(GLAPS컨테이너배차관리!$Y:$Y,$B182)),2)="42","40 Feet","40 Feet H")))</f>
        <v/>
      </c>
      <c r="L182" t="str">
        <f>IF($B182="","",IFERROR(INDEX(GLAPS정리!$BB$2:$BB$80,MATCH(IF(INDEX(GLAPS컨테이너배차관리!$BQ:$BQ,$B182)="","",INDEX(GLAPS컨테이너배차관리!$BQ:$BQ,$B182)),GLAPS정리!$BC$2:$BC$80,0)),IF(INDEX(GLAPS컨테이너배차관리!$BQ:$BQ,$B182)="","",INDEX(GLAPS컨테이너배차관리!$BQ:$BQ,$B182))))</f>
        <v/>
      </c>
      <c r="M182" t="str">
        <f>IF($B182="","",IFERROR(INDEX(GLAPS정리!$V$3:$V$180,MATCH(IF(INDEX(GLAPS컨테이너배차관리!$S:$S,$B182)="","",INDEX(GLAPS컨테이너배차관리!$S:$S,$B182)),GLAPS정리!$W$3:$W$180,0)),IF(INDEX(GLAPS컨테이너배차관리!$S:$S,$B182)="","",INDEX(GLAPS컨테이너배차관리!$S:$S,$B182))))</f>
        <v/>
      </c>
      <c r="N182" t="str">
        <f>IF($B182="","",IF(IF(INDEX(GLAPS컨테이너배차관리!$DF:$DF,$B182)="","",INDEX(GLAPS컨테이너배차관리!$DF:$DF,$B182))&lt;&gt;"",IF(INDEX(GLAPS컨테이너배차관리!$DF:$DF,$B182)="","",INDEX(GLAPS컨테이너배차관리!$DF:$DF,$B182)),IF(IF(INDEX(GLAPS컨테이너배차관리!$DG:$DG,$B182)="","",INDEX(GLAPS컨테이너배차관리!$DG:$DG,$B182))&lt;&gt;"",IF(INDEX(GLAPS컨테이너배차관리!$DG:$DG,$B182)="","",INDEX(GLAPS컨테이너배차관리!$DG:$DG,$B182)),"")))</f>
        <v/>
      </c>
      <c r="O182" t="str">
        <f>IF($B182="","",IF(INDEX(GLAPS컨테이너배차관리!$AB:$AB,$B182)="","",INDEX(GLAPS컨테이너배차관리!$AB:$AB,$B182)))</f>
        <v/>
      </c>
      <c r="P182" t="str">
        <f>IF($B182="","",IF(IF(INDEX(GLAPS컨테이너배차관리!$CP:$CP,$B182)="","",INDEX(GLAPS컨테이너배차관리!$CP:$CP,$B182))="","",IFERROR(INDEX(GLAPS정리!$BH$2:$BH$101,MATCH(IF(INDEX(GLAPS컨테이너배차관리!$CP:$CP,$B182)="","",INDEX(GLAPS컨테이너배차관리!$CP:$CP,$B182)),GLAPS정리!$BI$2:$BI$101,0)),IF(INDEX(GLAPS컨테이너배차관리!$CP:$CP,$B182)="","",INDEX(GLAPS컨테이너배차관리!$CP:$CP,$B182)))))</f>
        <v/>
      </c>
      <c r="Q182" t="str">
        <f>IF($B182="","",IF(AND(IF(INDEX(GLAPS컨테이너배차관리!$AK:$AK,$B182)="","",INDEX(GLAPS컨테이너배차관리!$AK:$AK,$B182))="Y",IF(INDEX(GLAPS컨테이너배차관리!$AI:$AI,$B182)="","",INDEX(GLAPS컨테이너배차관리!$AI:$AI,$B182))="Y"),"위험물리퍼",IF(IF(INDEX(GLAPS컨테이너배차관리!$AK:$AK,$B182)="","",INDEX(GLAPS컨테이너배차관리!$AK:$AK,$B182))="Y","위험물",IF(IF(INDEX(GLAPS컨테이너배차관리!$AI:$AI,$B182)="","",INDEX(GLAPS컨테이너배차관리!$AI:$AI,$B182))="Y","리퍼",""))))</f>
        <v/>
      </c>
      <c r="R182" t="str">
        <f>IF($B182="","",IF(LEFT(IF(INDEX(GLAPS컨테이너배차관리!$Y:$Y,$B182)="","",INDEX(GLAPS컨테이너배차관리!$Y:$Y,$B182)),2)="22",1,""))</f>
        <v/>
      </c>
      <c r="S182" t="str">
        <f>IF($B182="","",IF(LEFT(IF(INDEX(GLAPS컨테이너배차관리!$Y:$Y,$B182)="","",INDEX(GLAPS컨테이너배차관리!$Y:$Y,$B182)),2)="42",1,""))</f>
        <v/>
      </c>
      <c r="T182" t="str">
        <f>IF($B182="","",IF(LEFT(IF(INDEX(GLAPS컨테이너배차관리!$Y:$Y,$B182)="","",INDEX(GLAPS컨테이너배차관리!$Y:$Y,$B182)),2)="45",1,""))</f>
        <v/>
      </c>
      <c r="U182" t="str">
        <f>IF($B182="","",IF(INDEX(GLAPS컨테이너배차관리!$X:$X,$B182)="","",INDEX(GLAPS컨테이너배차관리!$X:$X,$B182)))</f>
        <v/>
      </c>
      <c r="V182" t="str">
        <f>IF($B182="","",IF(INDEX(GLAPS컨테이너배차관리!$Z:$Z,$B182)="","",INDEX(GLAPS컨테이너배차관리!$Z:$Z,$B182)))</f>
        <v/>
      </c>
      <c r="W182" t="str">
        <f>IF($B182="","",IF(IF(INDEX(GLAPS컨테이너배차관리!$DI:$DI,$B182)="","",INDEX(GLAPS컨테이너배차관리!$DI:$DI,$B182))&lt;&gt;"",IF(INDEX(GLAPS컨테이너배차관리!$DI:$DI,$B182)="","",INDEX(GLAPS컨테이너배차관리!$DI:$DI,$B182)),IF(IF(INDEX(GLAPS컨테이너배차관리!$DJ:$DJ,$B182)="","",INDEX(GLAPS컨테이너배차관리!$DJ:$DJ,$B182))&lt;&gt;"",IF(INDEX(GLAPS컨테이너배차관리!$DJ:$DJ,$B182)="","",INDEX(GLAPS컨테이너배차관리!$DJ:$DJ,$B182)),IF(IF(INDEX(GLAPS컨테이너배차관리!$DK:$DK,$B182)="","",INDEX(GLAPS컨테이너배차관리!$DK:$DK,$B182))&lt;&gt;"",IF(INDEX(GLAPS컨테이너배차관리!$DK:$DK,$B182)="","",INDEX(GLAPS컨테이너배차관리!$DK:$DK,$B182)),IF(IF(INDEX(GLAPS컨테이너배차관리!$DL:$DL,$B182)="","",INDEX(GLAPS컨테이너배차관리!$DL:$DL,$B182))&lt;&gt;"",IF(INDEX(GLAPS컨테이너배차관리!$DL:$DL,$B182)="","",INDEX(GLAPS컨테이너배차관리!$DL:$DL,$B182)),IF(IF(INDEX(GLAPS컨테이너배차관리!$DM:$DM,$B182)="","",INDEX(GLAPS컨테이너배차관리!$DM:$DM,$B182))&lt;&gt;"",IF(INDEX(GLAPS컨테이너배차관리!$DM:$DM,$B182)="","",INDEX(GLAPS컨테이너배차관리!$DM:$DM,$B182)),""))))))</f>
        <v/>
      </c>
      <c r="X182" t="str">
        <f>IF($B182="","",IF(INDEX(GLAPS컨테이너배차관리!$F:$F,$B182)="","",INDEX(GLAPS컨테이너배차관리!$F:$F,$B182)))</f>
        <v/>
      </c>
      <c r="Y182" t="str">
        <f>IF($B182="","",IF(IF(INDEX(GLAPS컨테이너배차관리!$M:$M,$B182)="","",INDEX(GLAPS컨테이너배차관리!$M:$M,$B182))&lt;&gt;"",IF(INDEX(GLAPS컨테이너배차관리!$M:$M,$B182)="","",INDEX(GLAPS컨테이너배차관리!$M:$M,$B182)),IF(IF(INDEX(GLAPS컨테이너배차관리!$N:$N,$B182)="","",INDEX(GLAPS컨테이너배차관리!$N:$N,$B182))&lt;&gt;"",IF(INDEX(GLAPS컨테이너배차관리!$N:$N,$B182)="","",INDEX(GLAPS컨테이너배차관리!$N:$N,$B182)),"")))</f>
        <v/>
      </c>
      <c r="Z182" t="str">
        <f>IF($B182="","",IF(IF(INDEX(GLAPS컨테이너배차관리!$CU:$CU,$B182)="","",INDEX(GLAPS컨테이너배차관리!$CU:$CU,$B182))="","",IFERROR(INT(IF(INDEX(GLAPS컨테이너배차관리!$CU:$CU,$B182)="","",INDEX(GLAPS컨테이너배차관리!$CU:$CU,$B182))),"")))</f>
        <v/>
      </c>
      <c r="AA182" t="str">
        <f>IF($B182="","",IF(AND(IF(INDEX(GLAPS컨테이너배차관리!$CL:$CL,$B182)="","",INDEX(GLAPS컨테이너배차관리!$CL:$CL,$B182))="",IF(INDEX(GLAPS컨테이너배차관리!$CM:$CM,$B182)="","",INDEX(GLAPS컨테이너배차관리!$CM:$CM,$B182))=""),"",IF(OR(IF(INDEX(GLAPS컨테이너배차관리!$CL:$CL,$B182)="","",INDEX(GLAPS컨테이너배차관리!$CL:$CL,$B182))="B000016649",ISNUMBER(SEARCH("B015",IF(INDEX(GLAPS컨테이너배차관리!$CM:$CM,$B182)="","",INDEX(GLAPS컨테이너배차관리!$CM:$CM,$B182)))),ISNUMBER(SEARCH("세방",IF(INDEX(GLAPS컨테이너배차관리!$CM:$CM,$B182)="","",INDEX(GLAPS컨테이너배차관리!$CM:$CM,$B182)))),ISNUMBER(SEARCH("SB",IF(INDEX(GLAPS컨테이너배차관리!$CM:$CM,$B182)="","",INDEX(GLAPS컨테이너배차관리!$CM:$CM,$B182))))),"세방","")))</f>
        <v/>
      </c>
      <c r="AB182" t="str">
        <f>IF($B182="","",IF(IF(INDEX(GLAPS컨테이너배차관리!$CM:$CM,$B182)="","",INDEX(GLAPS컨테이너배차관리!$CM:$CM,$B182))="","",IF(ISNUMBER(SEARCH("이지스두동",IF(INDEX(GLAPS컨테이너배차관리!$CM:$CM,$B182)="","",INDEX(GLAPS컨테이너배차관리!$CM:$CM,$B182)))),"이지스두동",IF(ISNUMBER(SEARCH("이지스녹산",IF(INDEX(GLAPS컨테이너배차관리!$CM:$CM,$B182)="","",INDEX(GLAPS컨테이너배차관리!$CM:$CM,$B182)))),"이지스녹산",IF(ISNUMBER(SEARCH("천우",IF(INDEX(GLAPS컨테이너배차관리!$CM:$CM,$B182)="","",INDEX(GLAPS컨테이너배차관리!$CM:$CM,$B182)))),"천우",IF(OR(ISNUMBER(SEARCH("청암",IF(INDEX(GLAPS컨테이너배차관리!$CM:$CM,$B182)="","",INDEX(GLAPS컨테이너배차관리!$CM:$CM,$B182)))),ISNUMBER(SEARCH("SB청암",IF(INDEX(GLAPS컨테이너배차관리!$CM:$CM,$B182)="","",INDEX(GLAPS컨테이너배차관리!$CM:$CM,$B182))))),"청암신항",IF(INDEX(GLAPS컨테이너배차관리!$CM:$CM,$B182)="","",INDEX(GLAPS컨테이너배차관리!$CM:$CM,$B182))))))))</f>
        <v/>
      </c>
    </row>
    <row r="183" spans="1:28">
      <c r="A183">
        <v>182</v>
      </c>
      <c r="B183" t="str">
        <f>IFERROR(_xlfn.AGGREGATE(15,6,ROW(GLAPS컨테이너배차관리!$X$2:$X$20000)/(GLAPS컨테이너배차관리!$X$2:$X$20000&lt;&gt;""),A183),"")</f>
        <v/>
      </c>
      <c r="C183" t="str">
        <f>IF($B183="","",INT(IF(INDEX(GLAPS컨테이너배차관리!$K:$K,$B183)="","",INDEX(GLAPS컨테이너배차관리!$K:$K,$B183))))</f>
        <v/>
      </c>
      <c r="D183" t="str">
        <f>IF($B183="","",IF(ISNUMBER(SEARCH("이엘에스",IF(INDEX(GLAPS컨테이너배차관리!$AZ:$AZ,$B183)="","",INDEX(GLAPS컨테이너배차관리!$AZ:$AZ,$B183)))),"ELS솔루션",IF(INDEX(GLAPS컨테이너배차관리!$AZ:$AZ,$B183)="","",INDEX(GLAPS컨테이너배차관리!$AZ:$AZ,$B183))))</f>
        <v/>
      </c>
      <c r="E183" t="str">
        <f>IF($B183="","",IF(INDEX(GLAPS컨테이너배차관리!$L:$L,$B183)="","",INDEX(GLAPS컨테이너배차관리!$L:$L,$B183)))</f>
        <v/>
      </c>
      <c r="F183" t="str">
        <f>IF($B183="","",IF(HOUR(IF(INDEX(GLAPS컨테이너배차관리!$L:$L,$B183)="","",INDEX(GLAPS컨테이너배차관리!$L:$L,$B183)))&lt;12,"오전",IF(HOUR(IF(INDEX(GLAPS컨테이너배차관리!$L:$L,$B183)="","",INDEX(GLAPS컨테이너배차관리!$L:$L,$B183)))&lt;18,"오후","잔업")))</f>
        <v/>
      </c>
      <c r="G183" t="str">
        <f>IF($B183="","",IFERROR(INDEX(GLAPS정리!$G$3:$G$264,MATCH(IF(INDEX(GLAPS컨테이너배차관리!$BY:$BY,$B183)="","",INDEX(GLAPS컨테이너배차관리!$BY:$BY,$B183)),GLAPS정리!$H$3:$H$264,0)),TRIM(SUBSTITUTE(SUBSTITUTE(SUBSTITUTE(SUBSTITUTE(SUBSTITUTE(IF(INDEX(GLAPS컨테이너배차관리!$T:$T,$B183)="","",INDEX(GLAPS컨테이너배차관리!$T:$T,$B183)),"[GA]",""),"[GB]",""),"[GC]",""),"[KC]",""),"[GS]",""))))</f>
        <v/>
      </c>
      <c r="H183" t="str">
        <f>IF($B183="","",IFERROR(VLOOKUP(IF(INDEX(GLAPS컨테이너배차관리!$BY:$BY,$B183)="","",INDEX(GLAPS컨테이너배차관리!$BY:$BY,$B183)),GLAPS정리!$BT$3:$BV$200,3,0),""))</f>
        <v/>
      </c>
      <c r="I183" t="str">
        <f>IF($B183="","",LEFT(IF(INDEX(GLAPS컨테이너배차관리!$U:$U,$B183)="","",INDEX(GLAPS컨테이너배차관리!$U:$U,$B183)),FIND("/",IF(INDEX(GLAPS컨테이너배차관리!$U:$U,$B183)="","",INDEX(GLAPS컨테이너배차관리!$U:$U,$B183))&amp;"/")-1))</f>
        <v/>
      </c>
      <c r="J183" t="str">
        <f>IF($B183="","",IF(IF(INDEX(GLAPS컨테이너배차관리!$O:$O,$B183)="","",INDEX(GLAPS컨테이너배차관리!$O:$O,$B183))="EMC","EMA",IFERROR(INDEX(GLAPS정리!$A$2:$A$50,MATCH(IF(INDEX(GLAPS컨테이너배차관리!$O:$O,$B183)="","",INDEX(GLAPS컨테이너배차관리!$O:$O,$B183)),GLAPS정리!$D$2:$D$50,0)),IF(INDEX(GLAPS컨테이너배차관리!$O:$O,$B183)="","",INDEX(GLAPS컨테이너배차관리!$O:$O,$B183)))))</f>
        <v/>
      </c>
      <c r="K183" t="str">
        <f>IF($B183="","",IF(LEFT(IF(INDEX(GLAPS컨테이너배차관리!$Y:$Y,$B183)="","",INDEX(GLAPS컨테이너배차관리!$Y:$Y,$B183)),2)="22","20 Feet",IF(LEFT(IF(INDEX(GLAPS컨테이너배차관리!$Y:$Y,$B183)="","",INDEX(GLAPS컨테이너배차관리!$Y:$Y,$B183)),2)="42","40 Feet","40 Feet H")))</f>
        <v/>
      </c>
      <c r="L183" t="str">
        <f>IF($B183="","",IFERROR(INDEX(GLAPS정리!$BB$2:$BB$80,MATCH(IF(INDEX(GLAPS컨테이너배차관리!$BQ:$BQ,$B183)="","",INDEX(GLAPS컨테이너배차관리!$BQ:$BQ,$B183)),GLAPS정리!$BC$2:$BC$80,0)),IF(INDEX(GLAPS컨테이너배차관리!$BQ:$BQ,$B183)="","",INDEX(GLAPS컨테이너배차관리!$BQ:$BQ,$B183))))</f>
        <v/>
      </c>
      <c r="M183" t="str">
        <f>IF($B183="","",IFERROR(INDEX(GLAPS정리!$V$3:$V$180,MATCH(IF(INDEX(GLAPS컨테이너배차관리!$S:$S,$B183)="","",INDEX(GLAPS컨테이너배차관리!$S:$S,$B183)),GLAPS정리!$W$3:$W$180,0)),IF(INDEX(GLAPS컨테이너배차관리!$S:$S,$B183)="","",INDEX(GLAPS컨테이너배차관리!$S:$S,$B183))))</f>
        <v/>
      </c>
      <c r="N183" t="str">
        <f>IF($B183="","",IF(IF(INDEX(GLAPS컨테이너배차관리!$DF:$DF,$B183)="","",INDEX(GLAPS컨테이너배차관리!$DF:$DF,$B183))&lt;&gt;"",IF(INDEX(GLAPS컨테이너배차관리!$DF:$DF,$B183)="","",INDEX(GLAPS컨테이너배차관리!$DF:$DF,$B183)),IF(IF(INDEX(GLAPS컨테이너배차관리!$DG:$DG,$B183)="","",INDEX(GLAPS컨테이너배차관리!$DG:$DG,$B183))&lt;&gt;"",IF(INDEX(GLAPS컨테이너배차관리!$DG:$DG,$B183)="","",INDEX(GLAPS컨테이너배차관리!$DG:$DG,$B183)),"")))</f>
        <v/>
      </c>
      <c r="O183" t="str">
        <f>IF($B183="","",IF(INDEX(GLAPS컨테이너배차관리!$AB:$AB,$B183)="","",INDEX(GLAPS컨테이너배차관리!$AB:$AB,$B183)))</f>
        <v/>
      </c>
      <c r="P183" t="str">
        <f>IF($B183="","",IF(IF(INDEX(GLAPS컨테이너배차관리!$CP:$CP,$B183)="","",INDEX(GLAPS컨테이너배차관리!$CP:$CP,$B183))="","",IFERROR(INDEX(GLAPS정리!$BH$2:$BH$101,MATCH(IF(INDEX(GLAPS컨테이너배차관리!$CP:$CP,$B183)="","",INDEX(GLAPS컨테이너배차관리!$CP:$CP,$B183)),GLAPS정리!$BI$2:$BI$101,0)),IF(INDEX(GLAPS컨테이너배차관리!$CP:$CP,$B183)="","",INDEX(GLAPS컨테이너배차관리!$CP:$CP,$B183)))))</f>
        <v/>
      </c>
      <c r="Q183" t="str">
        <f>IF($B183="","",IF(AND(IF(INDEX(GLAPS컨테이너배차관리!$AK:$AK,$B183)="","",INDEX(GLAPS컨테이너배차관리!$AK:$AK,$B183))="Y",IF(INDEX(GLAPS컨테이너배차관리!$AI:$AI,$B183)="","",INDEX(GLAPS컨테이너배차관리!$AI:$AI,$B183))="Y"),"위험물리퍼",IF(IF(INDEX(GLAPS컨테이너배차관리!$AK:$AK,$B183)="","",INDEX(GLAPS컨테이너배차관리!$AK:$AK,$B183))="Y","위험물",IF(IF(INDEX(GLAPS컨테이너배차관리!$AI:$AI,$B183)="","",INDEX(GLAPS컨테이너배차관리!$AI:$AI,$B183))="Y","리퍼",""))))</f>
        <v/>
      </c>
      <c r="R183" t="str">
        <f>IF($B183="","",IF(LEFT(IF(INDEX(GLAPS컨테이너배차관리!$Y:$Y,$B183)="","",INDEX(GLAPS컨테이너배차관리!$Y:$Y,$B183)),2)="22",1,""))</f>
        <v/>
      </c>
      <c r="S183" t="str">
        <f>IF($B183="","",IF(LEFT(IF(INDEX(GLAPS컨테이너배차관리!$Y:$Y,$B183)="","",INDEX(GLAPS컨테이너배차관리!$Y:$Y,$B183)),2)="42",1,""))</f>
        <v/>
      </c>
      <c r="T183" t="str">
        <f>IF($B183="","",IF(LEFT(IF(INDEX(GLAPS컨테이너배차관리!$Y:$Y,$B183)="","",INDEX(GLAPS컨테이너배차관리!$Y:$Y,$B183)),2)="45",1,""))</f>
        <v/>
      </c>
      <c r="U183" t="str">
        <f>IF($B183="","",IF(INDEX(GLAPS컨테이너배차관리!$X:$X,$B183)="","",INDEX(GLAPS컨테이너배차관리!$X:$X,$B183)))</f>
        <v/>
      </c>
      <c r="V183" t="str">
        <f>IF($B183="","",IF(INDEX(GLAPS컨테이너배차관리!$Z:$Z,$B183)="","",INDEX(GLAPS컨테이너배차관리!$Z:$Z,$B183)))</f>
        <v/>
      </c>
      <c r="W183" t="str">
        <f>IF($B183="","",IF(IF(INDEX(GLAPS컨테이너배차관리!$DI:$DI,$B183)="","",INDEX(GLAPS컨테이너배차관리!$DI:$DI,$B183))&lt;&gt;"",IF(INDEX(GLAPS컨테이너배차관리!$DI:$DI,$B183)="","",INDEX(GLAPS컨테이너배차관리!$DI:$DI,$B183)),IF(IF(INDEX(GLAPS컨테이너배차관리!$DJ:$DJ,$B183)="","",INDEX(GLAPS컨테이너배차관리!$DJ:$DJ,$B183))&lt;&gt;"",IF(INDEX(GLAPS컨테이너배차관리!$DJ:$DJ,$B183)="","",INDEX(GLAPS컨테이너배차관리!$DJ:$DJ,$B183)),IF(IF(INDEX(GLAPS컨테이너배차관리!$DK:$DK,$B183)="","",INDEX(GLAPS컨테이너배차관리!$DK:$DK,$B183))&lt;&gt;"",IF(INDEX(GLAPS컨테이너배차관리!$DK:$DK,$B183)="","",INDEX(GLAPS컨테이너배차관리!$DK:$DK,$B183)),IF(IF(INDEX(GLAPS컨테이너배차관리!$DL:$DL,$B183)="","",INDEX(GLAPS컨테이너배차관리!$DL:$DL,$B183))&lt;&gt;"",IF(INDEX(GLAPS컨테이너배차관리!$DL:$DL,$B183)="","",INDEX(GLAPS컨테이너배차관리!$DL:$DL,$B183)),IF(IF(INDEX(GLAPS컨테이너배차관리!$DM:$DM,$B183)="","",INDEX(GLAPS컨테이너배차관리!$DM:$DM,$B183))&lt;&gt;"",IF(INDEX(GLAPS컨테이너배차관리!$DM:$DM,$B183)="","",INDEX(GLAPS컨테이너배차관리!$DM:$DM,$B183)),""))))))</f>
        <v/>
      </c>
      <c r="X183" t="str">
        <f>IF($B183="","",IF(INDEX(GLAPS컨테이너배차관리!$F:$F,$B183)="","",INDEX(GLAPS컨테이너배차관리!$F:$F,$B183)))</f>
        <v/>
      </c>
      <c r="Y183" t="str">
        <f>IF($B183="","",IF(IF(INDEX(GLAPS컨테이너배차관리!$M:$M,$B183)="","",INDEX(GLAPS컨테이너배차관리!$M:$M,$B183))&lt;&gt;"",IF(INDEX(GLAPS컨테이너배차관리!$M:$M,$B183)="","",INDEX(GLAPS컨테이너배차관리!$M:$M,$B183)),IF(IF(INDEX(GLAPS컨테이너배차관리!$N:$N,$B183)="","",INDEX(GLAPS컨테이너배차관리!$N:$N,$B183))&lt;&gt;"",IF(INDEX(GLAPS컨테이너배차관리!$N:$N,$B183)="","",INDEX(GLAPS컨테이너배차관리!$N:$N,$B183)),"")))</f>
        <v/>
      </c>
      <c r="Z183" t="str">
        <f>IF($B183="","",IF(IF(INDEX(GLAPS컨테이너배차관리!$CU:$CU,$B183)="","",INDEX(GLAPS컨테이너배차관리!$CU:$CU,$B183))="","",IFERROR(INT(IF(INDEX(GLAPS컨테이너배차관리!$CU:$CU,$B183)="","",INDEX(GLAPS컨테이너배차관리!$CU:$CU,$B183))),"")))</f>
        <v/>
      </c>
      <c r="AA183" t="str">
        <f>IF($B183="","",IF(AND(IF(INDEX(GLAPS컨테이너배차관리!$CL:$CL,$B183)="","",INDEX(GLAPS컨테이너배차관리!$CL:$CL,$B183))="",IF(INDEX(GLAPS컨테이너배차관리!$CM:$CM,$B183)="","",INDEX(GLAPS컨테이너배차관리!$CM:$CM,$B183))=""),"",IF(OR(IF(INDEX(GLAPS컨테이너배차관리!$CL:$CL,$B183)="","",INDEX(GLAPS컨테이너배차관리!$CL:$CL,$B183))="B000016649",ISNUMBER(SEARCH("B015",IF(INDEX(GLAPS컨테이너배차관리!$CM:$CM,$B183)="","",INDEX(GLAPS컨테이너배차관리!$CM:$CM,$B183)))),ISNUMBER(SEARCH("세방",IF(INDEX(GLAPS컨테이너배차관리!$CM:$CM,$B183)="","",INDEX(GLAPS컨테이너배차관리!$CM:$CM,$B183)))),ISNUMBER(SEARCH("SB",IF(INDEX(GLAPS컨테이너배차관리!$CM:$CM,$B183)="","",INDEX(GLAPS컨테이너배차관리!$CM:$CM,$B183))))),"세방","")))</f>
        <v/>
      </c>
      <c r="AB183" t="str">
        <f>IF($B183="","",IF(IF(INDEX(GLAPS컨테이너배차관리!$CM:$CM,$B183)="","",INDEX(GLAPS컨테이너배차관리!$CM:$CM,$B183))="","",IF(ISNUMBER(SEARCH("이지스두동",IF(INDEX(GLAPS컨테이너배차관리!$CM:$CM,$B183)="","",INDEX(GLAPS컨테이너배차관리!$CM:$CM,$B183)))),"이지스두동",IF(ISNUMBER(SEARCH("이지스녹산",IF(INDEX(GLAPS컨테이너배차관리!$CM:$CM,$B183)="","",INDEX(GLAPS컨테이너배차관리!$CM:$CM,$B183)))),"이지스녹산",IF(ISNUMBER(SEARCH("천우",IF(INDEX(GLAPS컨테이너배차관리!$CM:$CM,$B183)="","",INDEX(GLAPS컨테이너배차관리!$CM:$CM,$B183)))),"천우",IF(OR(ISNUMBER(SEARCH("청암",IF(INDEX(GLAPS컨테이너배차관리!$CM:$CM,$B183)="","",INDEX(GLAPS컨테이너배차관리!$CM:$CM,$B183)))),ISNUMBER(SEARCH("SB청암",IF(INDEX(GLAPS컨테이너배차관리!$CM:$CM,$B183)="","",INDEX(GLAPS컨테이너배차관리!$CM:$CM,$B183))))),"청암신항",IF(INDEX(GLAPS컨테이너배차관리!$CM:$CM,$B183)="","",INDEX(GLAPS컨테이너배차관리!$CM:$CM,$B183))))))))</f>
        <v/>
      </c>
    </row>
    <row r="184" spans="1:28">
      <c r="A184">
        <v>183</v>
      </c>
      <c r="B184" t="str">
        <f>IFERROR(_xlfn.AGGREGATE(15,6,ROW(GLAPS컨테이너배차관리!$X$2:$X$20000)/(GLAPS컨테이너배차관리!$X$2:$X$20000&lt;&gt;""),A184),"")</f>
        <v/>
      </c>
      <c r="C184" t="str">
        <f>IF($B184="","",INT(IF(INDEX(GLAPS컨테이너배차관리!$K:$K,$B184)="","",INDEX(GLAPS컨테이너배차관리!$K:$K,$B184))))</f>
        <v/>
      </c>
      <c r="D184" t="str">
        <f>IF($B184="","",IF(ISNUMBER(SEARCH("이엘에스",IF(INDEX(GLAPS컨테이너배차관리!$AZ:$AZ,$B184)="","",INDEX(GLAPS컨테이너배차관리!$AZ:$AZ,$B184)))),"ELS솔루션",IF(INDEX(GLAPS컨테이너배차관리!$AZ:$AZ,$B184)="","",INDEX(GLAPS컨테이너배차관리!$AZ:$AZ,$B184))))</f>
        <v/>
      </c>
      <c r="E184" t="str">
        <f>IF($B184="","",IF(INDEX(GLAPS컨테이너배차관리!$L:$L,$B184)="","",INDEX(GLAPS컨테이너배차관리!$L:$L,$B184)))</f>
        <v/>
      </c>
      <c r="F184" t="str">
        <f>IF($B184="","",IF(HOUR(IF(INDEX(GLAPS컨테이너배차관리!$L:$L,$B184)="","",INDEX(GLAPS컨테이너배차관리!$L:$L,$B184)))&lt;12,"오전",IF(HOUR(IF(INDEX(GLAPS컨테이너배차관리!$L:$L,$B184)="","",INDEX(GLAPS컨테이너배차관리!$L:$L,$B184)))&lt;18,"오후","잔업")))</f>
        <v/>
      </c>
      <c r="G184" t="str">
        <f>IF($B184="","",IFERROR(INDEX(GLAPS정리!$G$3:$G$264,MATCH(IF(INDEX(GLAPS컨테이너배차관리!$BY:$BY,$B184)="","",INDEX(GLAPS컨테이너배차관리!$BY:$BY,$B184)),GLAPS정리!$H$3:$H$264,0)),TRIM(SUBSTITUTE(SUBSTITUTE(SUBSTITUTE(SUBSTITUTE(SUBSTITUTE(IF(INDEX(GLAPS컨테이너배차관리!$T:$T,$B184)="","",INDEX(GLAPS컨테이너배차관리!$T:$T,$B184)),"[GA]",""),"[GB]",""),"[GC]",""),"[KC]",""),"[GS]",""))))</f>
        <v/>
      </c>
      <c r="H184" t="str">
        <f>IF($B184="","",IFERROR(VLOOKUP(IF(INDEX(GLAPS컨테이너배차관리!$BY:$BY,$B184)="","",INDEX(GLAPS컨테이너배차관리!$BY:$BY,$B184)),GLAPS정리!$BT$3:$BV$200,3,0),""))</f>
        <v/>
      </c>
      <c r="I184" t="str">
        <f>IF($B184="","",LEFT(IF(INDEX(GLAPS컨테이너배차관리!$U:$U,$B184)="","",INDEX(GLAPS컨테이너배차관리!$U:$U,$B184)),FIND("/",IF(INDEX(GLAPS컨테이너배차관리!$U:$U,$B184)="","",INDEX(GLAPS컨테이너배차관리!$U:$U,$B184))&amp;"/")-1))</f>
        <v/>
      </c>
      <c r="J184" t="str">
        <f>IF($B184="","",IF(IF(INDEX(GLAPS컨테이너배차관리!$O:$O,$B184)="","",INDEX(GLAPS컨테이너배차관리!$O:$O,$B184))="EMC","EMA",IFERROR(INDEX(GLAPS정리!$A$2:$A$50,MATCH(IF(INDEX(GLAPS컨테이너배차관리!$O:$O,$B184)="","",INDEX(GLAPS컨테이너배차관리!$O:$O,$B184)),GLAPS정리!$D$2:$D$50,0)),IF(INDEX(GLAPS컨테이너배차관리!$O:$O,$B184)="","",INDEX(GLAPS컨테이너배차관리!$O:$O,$B184)))))</f>
        <v/>
      </c>
      <c r="K184" t="str">
        <f>IF($B184="","",IF(LEFT(IF(INDEX(GLAPS컨테이너배차관리!$Y:$Y,$B184)="","",INDEX(GLAPS컨테이너배차관리!$Y:$Y,$B184)),2)="22","20 Feet",IF(LEFT(IF(INDEX(GLAPS컨테이너배차관리!$Y:$Y,$B184)="","",INDEX(GLAPS컨테이너배차관리!$Y:$Y,$B184)),2)="42","40 Feet","40 Feet H")))</f>
        <v/>
      </c>
      <c r="L184" t="str">
        <f>IF($B184="","",IFERROR(INDEX(GLAPS정리!$BB$2:$BB$80,MATCH(IF(INDEX(GLAPS컨테이너배차관리!$BQ:$BQ,$B184)="","",INDEX(GLAPS컨테이너배차관리!$BQ:$BQ,$B184)),GLAPS정리!$BC$2:$BC$80,0)),IF(INDEX(GLAPS컨테이너배차관리!$BQ:$BQ,$B184)="","",INDEX(GLAPS컨테이너배차관리!$BQ:$BQ,$B184))))</f>
        <v/>
      </c>
      <c r="M184" t="str">
        <f>IF($B184="","",IFERROR(INDEX(GLAPS정리!$V$3:$V$180,MATCH(IF(INDEX(GLAPS컨테이너배차관리!$S:$S,$B184)="","",INDEX(GLAPS컨테이너배차관리!$S:$S,$B184)),GLAPS정리!$W$3:$W$180,0)),IF(INDEX(GLAPS컨테이너배차관리!$S:$S,$B184)="","",INDEX(GLAPS컨테이너배차관리!$S:$S,$B184))))</f>
        <v/>
      </c>
      <c r="N184" t="str">
        <f>IF($B184="","",IF(IF(INDEX(GLAPS컨테이너배차관리!$DF:$DF,$B184)="","",INDEX(GLAPS컨테이너배차관리!$DF:$DF,$B184))&lt;&gt;"",IF(INDEX(GLAPS컨테이너배차관리!$DF:$DF,$B184)="","",INDEX(GLAPS컨테이너배차관리!$DF:$DF,$B184)),IF(IF(INDEX(GLAPS컨테이너배차관리!$DG:$DG,$B184)="","",INDEX(GLAPS컨테이너배차관리!$DG:$DG,$B184))&lt;&gt;"",IF(INDEX(GLAPS컨테이너배차관리!$DG:$DG,$B184)="","",INDEX(GLAPS컨테이너배차관리!$DG:$DG,$B184)),"")))</f>
        <v/>
      </c>
      <c r="O184" t="str">
        <f>IF($B184="","",IF(INDEX(GLAPS컨테이너배차관리!$AB:$AB,$B184)="","",INDEX(GLAPS컨테이너배차관리!$AB:$AB,$B184)))</f>
        <v/>
      </c>
      <c r="P184" t="str">
        <f>IF($B184="","",IF(IF(INDEX(GLAPS컨테이너배차관리!$CP:$CP,$B184)="","",INDEX(GLAPS컨테이너배차관리!$CP:$CP,$B184))="","",IFERROR(INDEX(GLAPS정리!$BH$2:$BH$101,MATCH(IF(INDEX(GLAPS컨테이너배차관리!$CP:$CP,$B184)="","",INDEX(GLAPS컨테이너배차관리!$CP:$CP,$B184)),GLAPS정리!$BI$2:$BI$101,0)),IF(INDEX(GLAPS컨테이너배차관리!$CP:$CP,$B184)="","",INDEX(GLAPS컨테이너배차관리!$CP:$CP,$B184)))))</f>
        <v/>
      </c>
      <c r="Q184" t="str">
        <f>IF($B184="","",IF(AND(IF(INDEX(GLAPS컨테이너배차관리!$AK:$AK,$B184)="","",INDEX(GLAPS컨테이너배차관리!$AK:$AK,$B184))="Y",IF(INDEX(GLAPS컨테이너배차관리!$AI:$AI,$B184)="","",INDEX(GLAPS컨테이너배차관리!$AI:$AI,$B184))="Y"),"위험물리퍼",IF(IF(INDEX(GLAPS컨테이너배차관리!$AK:$AK,$B184)="","",INDEX(GLAPS컨테이너배차관리!$AK:$AK,$B184))="Y","위험물",IF(IF(INDEX(GLAPS컨테이너배차관리!$AI:$AI,$B184)="","",INDEX(GLAPS컨테이너배차관리!$AI:$AI,$B184))="Y","리퍼",""))))</f>
        <v/>
      </c>
      <c r="R184" t="str">
        <f>IF($B184="","",IF(LEFT(IF(INDEX(GLAPS컨테이너배차관리!$Y:$Y,$B184)="","",INDEX(GLAPS컨테이너배차관리!$Y:$Y,$B184)),2)="22",1,""))</f>
        <v/>
      </c>
      <c r="S184" t="str">
        <f>IF($B184="","",IF(LEFT(IF(INDEX(GLAPS컨테이너배차관리!$Y:$Y,$B184)="","",INDEX(GLAPS컨테이너배차관리!$Y:$Y,$B184)),2)="42",1,""))</f>
        <v/>
      </c>
      <c r="T184" t="str">
        <f>IF($B184="","",IF(LEFT(IF(INDEX(GLAPS컨테이너배차관리!$Y:$Y,$B184)="","",INDEX(GLAPS컨테이너배차관리!$Y:$Y,$B184)),2)="45",1,""))</f>
        <v/>
      </c>
      <c r="U184" t="str">
        <f>IF($B184="","",IF(INDEX(GLAPS컨테이너배차관리!$X:$X,$B184)="","",INDEX(GLAPS컨테이너배차관리!$X:$X,$B184)))</f>
        <v/>
      </c>
      <c r="V184" t="str">
        <f>IF($B184="","",IF(INDEX(GLAPS컨테이너배차관리!$Z:$Z,$B184)="","",INDEX(GLAPS컨테이너배차관리!$Z:$Z,$B184)))</f>
        <v/>
      </c>
      <c r="W184" t="str">
        <f>IF($B184="","",IF(IF(INDEX(GLAPS컨테이너배차관리!$DI:$DI,$B184)="","",INDEX(GLAPS컨테이너배차관리!$DI:$DI,$B184))&lt;&gt;"",IF(INDEX(GLAPS컨테이너배차관리!$DI:$DI,$B184)="","",INDEX(GLAPS컨테이너배차관리!$DI:$DI,$B184)),IF(IF(INDEX(GLAPS컨테이너배차관리!$DJ:$DJ,$B184)="","",INDEX(GLAPS컨테이너배차관리!$DJ:$DJ,$B184))&lt;&gt;"",IF(INDEX(GLAPS컨테이너배차관리!$DJ:$DJ,$B184)="","",INDEX(GLAPS컨테이너배차관리!$DJ:$DJ,$B184)),IF(IF(INDEX(GLAPS컨테이너배차관리!$DK:$DK,$B184)="","",INDEX(GLAPS컨테이너배차관리!$DK:$DK,$B184))&lt;&gt;"",IF(INDEX(GLAPS컨테이너배차관리!$DK:$DK,$B184)="","",INDEX(GLAPS컨테이너배차관리!$DK:$DK,$B184)),IF(IF(INDEX(GLAPS컨테이너배차관리!$DL:$DL,$B184)="","",INDEX(GLAPS컨테이너배차관리!$DL:$DL,$B184))&lt;&gt;"",IF(INDEX(GLAPS컨테이너배차관리!$DL:$DL,$B184)="","",INDEX(GLAPS컨테이너배차관리!$DL:$DL,$B184)),IF(IF(INDEX(GLAPS컨테이너배차관리!$DM:$DM,$B184)="","",INDEX(GLAPS컨테이너배차관리!$DM:$DM,$B184))&lt;&gt;"",IF(INDEX(GLAPS컨테이너배차관리!$DM:$DM,$B184)="","",INDEX(GLAPS컨테이너배차관리!$DM:$DM,$B184)),""))))))</f>
        <v/>
      </c>
      <c r="X184" t="str">
        <f>IF($B184="","",IF(INDEX(GLAPS컨테이너배차관리!$F:$F,$B184)="","",INDEX(GLAPS컨테이너배차관리!$F:$F,$B184)))</f>
        <v/>
      </c>
      <c r="Y184" t="str">
        <f>IF($B184="","",IF(IF(INDEX(GLAPS컨테이너배차관리!$M:$M,$B184)="","",INDEX(GLAPS컨테이너배차관리!$M:$M,$B184))&lt;&gt;"",IF(INDEX(GLAPS컨테이너배차관리!$M:$M,$B184)="","",INDEX(GLAPS컨테이너배차관리!$M:$M,$B184)),IF(IF(INDEX(GLAPS컨테이너배차관리!$N:$N,$B184)="","",INDEX(GLAPS컨테이너배차관리!$N:$N,$B184))&lt;&gt;"",IF(INDEX(GLAPS컨테이너배차관리!$N:$N,$B184)="","",INDEX(GLAPS컨테이너배차관리!$N:$N,$B184)),"")))</f>
        <v/>
      </c>
      <c r="Z184" t="str">
        <f>IF($B184="","",IF(IF(INDEX(GLAPS컨테이너배차관리!$CU:$CU,$B184)="","",INDEX(GLAPS컨테이너배차관리!$CU:$CU,$B184))="","",IFERROR(INT(IF(INDEX(GLAPS컨테이너배차관리!$CU:$CU,$B184)="","",INDEX(GLAPS컨테이너배차관리!$CU:$CU,$B184))),"")))</f>
        <v/>
      </c>
      <c r="AA184" t="str">
        <f>IF($B184="","",IF(AND(IF(INDEX(GLAPS컨테이너배차관리!$CL:$CL,$B184)="","",INDEX(GLAPS컨테이너배차관리!$CL:$CL,$B184))="",IF(INDEX(GLAPS컨테이너배차관리!$CM:$CM,$B184)="","",INDEX(GLAPS컨테이너배차관리!$CM:$CM,$B184))=""),"",IF(OR(IF(INDEX(GLAPS컨테이너배차관리!$CL:$CL,$B184)="","",INDEX(GLAPS컨테이너배차관리!$CL:$CL,$B184))="B000016649",ISNUMBER(SEARCH("B015",IF(INDEX(GLAPS컨테이너배차관리!$CM:$CM,$B184)="","",INDEX(GLAPS컨테이너배차관리!$CM:$CM,$B184)))),ISNUMBER(SEARCH("세방",IF(INDEX(GLAPS컨테이너배차관리!$CM:$CM,$B184)="","",INDEX(GLAPS컨테이너배차관리!$CM:$CM,$B184)))),ISNUMBER(SEARCH("SB",IF(INDEX(GLAPS컨테이너배차관리!$CM:$CM,$B184)="","",INDEX(GLAPS컨테이너배차관리!$CM:$CM,$B184))))),"세방","")))</f>
        <v/>
      </c>
      <c r="AB184" t="str">
        <f>IF($B184="","",IF(IF(INDEX(GLAPS컨테이너배차관리!$CM:$CM,$B184)="","",INDEX(GLAPS컨테이너배차관리!$CM:$CM,$B184))="","",IF(ISNUMBER(SEARCH("이지스두동",IF(INDEX(GLAPS컨테이너배차관리!$CM:$CM,$B184)="","",INDEX(GLAPS컨테이너배차관리!$CM:$CM,$B184)))),"이지스두동",IF(ISNUMBER(SEARCH("이지스녹산",IF(INDEX(GLAPS컨테이너배차관리!$CM:$CM,$B184)="","",INDEX(GLAPS컨테이너배차관리!$CM:$CM,$B184)))),"이지스녹산",IF(ISNUMBER(SEARCH("천우",IF(INDEX(GLAPS컨테이너배차관리!$CM:$CM,$B184)="","",INDEX(GLAPS컨테이너배차관리!$CM:$CM,$B184)))),"천우",IF(OR(ISNUMBER(SEARCH("청암",IF(INDEX(GLAPS컨테이너배차관리!$CM:$CM,$B184)="","",INDEX(GLAPS컨테이너배차관리!$CM:$CM,$B184)))),ISNUMBER(SEARCH("SB청암",IF(INDEX(GLAPS컨테이너배차관리!$CM:$CM,$B184)="","",INDEX(GLAPS컨테이너배차관리!$CM:$CM,$B184))))),"청암신항",IF(INDEX(GLAPS컨테이너배차관리!$CM:$CM,$B184)="","",INDEX(GLAPS컨테이너배차관리!$CM:$CM,$B184))))))))</f>
        <v/>
      </c>
    </row>
    <row r="185" spans="1:28">
      <c r="A185">
        <v>184</v>
      </c>
      <c r="B185" t="str">
        <f>IFERROR(_xlfn.AGGREGATE(15,6,ROW(GLAPS컨테이너배차관리!$X$2:$X$20000)/(GLAPS컨테이너배차관리!$X$2:$X$20000&lt;&gt;""),A185),"")</f>
        <v/>
      </c>
      <c r="C185" t="str">
        <f>IF($B185="","",INT(IF(INDEX(GLAPS컨테이너배차관리!$K:$K,$B185)="","",INDEX(GLAPS컨테이너배차관리!$K:$K,$B185))))</f>
        <v/>
      </c>
      <c r="D185" t="str">
        <f>IF($B185="","",IF(ISNUMBER(SEARCH("이엘에스",IF(INDEX(GLAPS컨테이너배차관리!$AZ:$AZ,$B185)="","",INDEX(GLAPS컨테이너배차관리!$AZ:$AZ,$B185)))),"ELS솔루션",IF(INDEX(GLAPS컨테이너배차관리!$AZ:$AZ,$B185)="","",INDEX(GLAPS컨테이너배차관리!$AZ:$AZ,$B185))))</f>
        <v/>
      </c>
      <c r="E185" t="str">
        <f>IF($B185="","",IF(INDEX(GLAPS컨테이너배차관리!$L:$L,$B185)="","",INDEX(GLAPS컨테이너배차관리!$L:$L,$B185)))</f>
        <v/>
      </c>
      <c r="F185" t="str">
        <f>IF($B185="","",IF(HOUR(IF(INDEX(GLAPS컨테이너배차관리!$L:$L,$B185)="","",INDEX(GLAPS컨테이너배차관리!$L:$L,$B185)))&lt;12,"오전",IF(HOUR(IF(INDEX(GLAPS컨테이너배차관리!$L:$L,$B185)="","",INDEX(GLAPS컨테이너배차관리!$L:$L,$B185)))&lt;18,"오후","잔업")))</f>
        <v/>
      </c>
      <c r="G185" t="str">
        <f>IF($B185="","",IFERROR(INDEX(GLAPS정리!$G$3:$G$264,MATCH(IF(INDEX(GLAPS컨테이너배차관리!$BY:$BY,$B185)="","",INDEX(GLAPS컨테이너배차관리!$BY:$BY,$B185)),GLAPS정리!$H$3:$H$264,0)),TRIM(SUBSTITUTE(SUBSTITUTE(SUBSTITUTE(SUBSTITUTE(SUBSTITUTE(IF(INDEX(GLAPS컨테이너배차관리!$T:$T,$B185)="","",INDEX(GLAPS컨테이너배차관리!$T:$T,$B185)),"[GA]",""),"[GB]",""),"[GC]",""),"[KC]",""),"[GS]",""))))</f>
        <v/>
      </c>
      <c r="H185" t="str">
        <f>IF($B185="","",IFERROR(VLOOKUP(IF(INDEX(GLAPS컨테이너배차관리!$BY:$BY,$B185)="","",INDEX(GLAPS컨테이너배차관리!$BY:$BY,$B185)),GLAPS정리!$BT$3:$BV$200,3,0),""))</f>
        <v/>
      </c>
      <c r="I185" t="str">
        <f>IF($B185="","",LEFT(IF(INDEX(GLAPS컨테이너배차관리!$U:$U,$B185)="","",INDEX(GLAPS컨테이너배차관리!$U:$U,$B185)),FIND("/",IF(INDEX(GLAPS컨테이너배차관리!$U:$U,$B185)="","",INDEX(GLAPS컨테이너배차관리!$U:$U,$B185))&amp;"/")-1))</f>
        <v/>
      </c>
      <c r="J185" t="str">
        <f>IF($B185="","",IF(IF(INDEX(GLAPS컨테이너배차관리!$O:$O,$B185)="","",INDEX(GLAPS컨테이너배차관리!$O:$O,$B185))="EMC","EMA",IFERROR(INDEX(GLAPS정리!$A$2:$A$50,MATCH(IF(INDEX(GLAPS컨테이너배차관리!$O:$O,$B185)="","",INDEX(GLAPS컨테이너배차관리!$O:$O,$B185)),GLAPS정리!$D$2:$D$50,0)),IF(INDEX(GLAPS컨테이너배차관리!$O:$O,$B185)="","",INDEX(GLAPS컨테이너배차관리!$O:$O,$B185)))))</f>
        <v/>
      </c>
      <c r="K185" t="str">
        <f>IF($B185="","",IF(LEFT(IF(INDEX(GLAPS컨테이너배차관리!$Y:$Y,$B185)="","",INDEX(GLAPS컨테이너배차관리!$Y:$Y,$B185)),2)="22","20 Feet",IF(LEFT(IF(INDEX(GLAPS컨테이너배차관리!$Y:$Y,$B185)="","",INDEX(GLAPS컨테이너배차관리!$Y:$Y,$B185)),2)="42","40 Feet","40 Feet H")))</f>
        <v/>
      </c>
      <c r="L185" t="str">
        <f>IF($B185="","",IFERROR(INDEX(GLAPS정리!$BB$2:$BB$80,MATCH(IF(INDEX(GLAPS컨테이너배차관리!$BQ:$BQ,$B185)="","",INDEX(GLAPS컨테이너배차관리!$BQ:$BQ,$B185)),GLAPS정리!$BC$2:$BC$80,0)),IF(INDEX(GLAPS컨테이너배차관리!$BQ:$BQ,$B185)="","",INDEX(GLAPS컨테이너배차관리!$BQ:$BQ,$B185))))</f>
        <v/>
      </c>
      <c r="M185" t="str">
        <f>IF($B185="","",IFERROR(INDEX(GLAPS정리!$V$3:$V$180,MATCH(IF(INDEX(GLAPS컨테이너배차관리!$S:$S,$B185)="","",INDEX(GLAPS컨테이너배차관리!$S:$S,$B185)),GLAPS정리!$W$3:$W$180,0)),IF(INDEX(GLAPS컨테이너배차관리!$S:$S,$B185)="","",INDEX(GLAPS컨테이너배차관리!$S:$S,$B185))))</f>
        <v/>
      </c>
      <c r="N185" t="str">
        <f>IF($B185="","",IF(IF(INDEX(GLAPS컨테이너배차관리!$DF:$DF,$B185)="","",INDEX(GLAPS컨테이너배차관리!$DF:$DF,$B185))&lt;&gt;"",IF(INDEX(GLAPS컨테이너배차관리!$DF:$DF,$B185)="","",INDEX(GLAPS컨테이너배차관리!$DF:$DF,$B185)),IF(IF(INDEX(GLAPS컨테이너배차관리!$DG:$DG,$B185)="","",INDEX(GLAPS컨테이너배차관리!$DG:$DG,$B185))&lt;&gt;"",IF(INDEX(GLAPS컨테이너배차관리!$DG:$DG,$B185)="","",INDEX(GLAPS컨테이너배차관리!$DG:$DG,$B185)),"")))</f>
        <v/>
      </c>
      <c r="O185" t="str">
        <f>IF($B185="","",IF(INDEX(GLAPS컨테이너배차관리!$AB:$AB,$B185)="","",INDEX(GLAPS컨테이너배차관리!$AB:$AB,$B185)))</f>
        <v/>
      </c>
      <c r="P185" t="str">
        <f>IF($B185="","",IF(IF(INDEX(GLAPS컨테이너배차관리!$CP:$CP,$B185)="","",INDEX(GLAPS컨테이너배차관리!$CP:$CP,$B185))="","",IFERROR(INDEX(GLAPS정리!$BH$2:$BH$101,MATCH(IF(INDEX(GLAPS컨테이너배차관리!$CP:$CP,$B185)="","",INDEX(GLAPS컨테이너배차관리!$CP:$CP,$B185)),GLAPS정리!$BI$2:$BI$101,0)),IF(INDEX(GLAPS컨테이너배차관리!$CP:$CP,$B185)="","",INDEX(GLAPS컨테이너배차관리!$CP:$CP,$B185)))))</f>
        <v/>
      </c>
      <c r="Q185" t="str">
        <f>IF($B185="","",IF(AND(IF(INDEX(GLAPS컨테이너배차관리!$AK:$AK,$B185)="","",INDEX(GLAPS컨테이너배차관리!$AK:$AK,$B185))="Y",IF(INDEX(GLAPS컨테이너배차관리!$AI:$AI,$B185)="","",INDEX(GLAPS컨테이너배차관리!$AI:$AI,$B185))="Y"),"위험물리퍼",IF(IF(INDEX(GLAPS컨테이너배차관리!$AK:$AK,$B185)="","",INDEX(GLAPS컨테이너배차관리!$AK:$AK,$B185))="Y","위험물",IF(IF(INDEX(GLAPS컨테이너배차관리!$AI:$AI,$B185)="","",INDEX(GLAPS컨테이너배차관리!$AI:$AI,$B185))="Y","리퍼",""))))</f>
        <v/>
      </c>
      <c r="R185" t="str">
        <f>IF($B185="","",IF(LEFT(IF(INDEX(GLAPS컨테이너배차관리!$Y:$Y,$B185)="","",INDEX(GLAPS컨테이너배차관리!$Y:$Y,$B185)),2)="22",1,""))</f>
        <v/>
      </c>
      <c r="S185" t="str">
        <f>IF($B185="","",IF(LEFT(IF(INDEX(GLAPS컨테이너배차관리!$Y:$Y,$B185)="","",INDEX(GLAPS컨테이너배차관리!$Y:$Y,$B185)),2)="42",1,""))</f>
        <v/>
      </c>
      <c r="T185" t="str">
        <f>IF($B185="","",IF(LEFT(IF(INDEX(GLAPS컨테이너배차관리!$Y:$Y,$B185)="","",INDEX(GLAPS컨테이너배차관리!$Y:$Y,$B185)),2)="45",1,""))</f>
        <v/>
      </c>
      <c r="U185" t="str">
        <f>IF($B185="","",IF(INDEX(GLAPS컨테이너배차관리!$X:$X,$B185)="","",INDEX(GLAPS컨테이너배차관리!$X:$X,$B185)))</f>
        <v/>
      </c>
      <c r="V185" t="str">
        <f>IF($B185="","",IF(INDEX(GLAPS컨테이너배차관리!$Z:$Z,$B185)="","",INDEX(GLAPS컨테이너배차관리!$Z:$Z,$B185)))</f>
        <v/>
      </c>
      <c r="W185" t="str">
        <f>IF($B185="","",IF(IF(INDEX(GLAPS컨테이너배차관리!$DI:$DI,$B185)="","",INDEX(GLAPS컨테이너배차관리!$DI:$DI,$B185))&lt;&gt;"",IF(INDEX(GLAPS컨테이너배차관리!$DI:$DI,$B185)="","",INDEX(GLAPS컨테이너배차관리!$DI:$DI,$B185)),IF(IF(INDEX(GLAPS컨테이너배차관리!$DJ:$DJ,$B185)="","",INDEX(GLAPS컨테이너배차관리!$DJ:$DJ,$B185))&lt;&gt;"",IF(INDEX(GLAPS컨테이너배차관리!$DJ:$DJ,$B185)="","",INDEX(GLAPS컨테이너배차관리!$DJ:$DJ,$B185)),IF(IF(INDEX(GLAPS컨테이너배차관리!$DK:$DK,$B185)="","",INDEX(GLAPS컨테이너배차관리!$DK:$DK,$B185))&lt;&gt;"",IF(INDEX(GLAPS컨테이너배차관리!$DK:$DK,$B185)="","",INDEX(GLAPS컨테이너배차관리!$DK:$DK,$B185)),IF(IF(INDEX(GLAPS컨테이너배차관리!$DL:$DL,$B185)="","",INDEX(GLAPS컨테이너배차관리!$DL:$DL,$B185))&lt;&gt;"",IF(INDEX(GLAPS컨테이너배차관리!$DL:$DL,$B185)="","",INDEX(GLAPS컨테이너배차관리!$DL:$DL,$B185)),IF(IF(INDEX(GLAPS컨테이너배차관리!$DM:$DM,$B185)="","",INDEX(GLAPS컨테이너배차관리!$DM:$DM,$B185))&lt;&gt;"",IF(INDEX(GLAPS컨테이너배차관리!$DM:$DM,$B185)="","",INDEX(GLAPS컨테이너배차관리!$DM:$DM,$B185)),""))))))</f>
        <v/>
      </c>
      <c r="X185" t="str">
        <f>IF($B185="","",IF(INDEX(GLAPS컨테이너배차관리!$F:$F,$B185)="","",INDEX(GLAPS컨테이너배차관리!$F:$F,$B185)))</f>
        <v/>
      </c>
      <c r="Y185" t="str">
        <f>IF($B185="","",IF(IF(INDEX(GLAPS컨테이너배차관리!$M:$M,$B185)="","",INDEX(GLAPS컨테이너배차관리!$M:$M,$B185))&lt;&gt;"",IF(INDEX(GLAPS컨테이너배차관리!$M:$M,$B185)="","",INDEX(GLAPS컨테이너배차관리!$M:$M,$B185)),IF(IF(INDEX(GLAPS컨테이너배차관리!$N:$N,$B185)="","",INDEX(GLAPS컨테이너배차관리!$N:$N,$B185))&lt;&gt;"",IF(INDEX(GLAPS컨테이너배차관리!$N:$N,$B185)="","",INDEX(GLAPS컨테이너배차관리!$N:$N,$B185)),"")))</f>
        <v/>
      </c>
      <c r="Z185" t="str">
        <f>IF($B185="","",IF(IF(INDEX(GLAPS컨테이너배차관리!$CU:$CU,$B185)="","",INDEX(GLAPS컨테이너배차관리!$CU:$CU,$B185))="","",IFERROR(INT(IF(INDEX(GLAPS컨테이너배차관리!$CU:$CU,$B185)="","",INDEX(GLAPS컨테이너배차관리!$CU:$CU,$B185))),"")))</f>
        <v/>
      </c>
      <c r="AA185" t="str">
        <f>IF($B185="","",IF(AND(IF(INDEX(GLAPS컨테이너배차관리!$CL:$CL,$B185)="","",INDEX(GLAPS컨테이너배차관리!$CL:$CL,$B185))="",IF(INDEX(GLAPS컨테이너배차관리!$CM:$CM,$B185)="","",INDEX(GLAPS컨테이너배차관리!$CM:$CM,$B185))=""),"",IF(OR(IF(INDEX(GLAPS컨테이너배차관리!$CL:$CL,$B185)="","",INDEX(GLAPS컨테이너배차관리!$CL:$CL,$B185))="B000016649",ISNUMBER(SEARCH("B015",IF(INDEX(GLAPS컨테이너배차관리!$CM:$CM,$B185)="","",INDEX(GLAPS컨테이너배차관리!$CM:$CM,$B185)))),ISNUMBER(SEARCH("세방",IF(INDEX(GLAPS컨테이너배차관리!$CM:$CM,$B185)="","",INDEX(GLAPS컨테이너배차관리!$CM:$CM,$B185)))),ISNUMBER(SEARCH("SB",IF(INDEX(GLAPS컨테이너배차관리!$CM:$CM,$B185)="","",INDEX(GLAPS컨테이너배차관리!$CM:$CM,$B185))))),"세방","")))</f>
        <v/>
      </c>
      <c r="AB185" t="str">
        <f>IF($B185="","",IF(IF(INDEX(GLAPS컨테이너배차관리!$CM:$CM,$B185)="","",INDEX(GLAPS컨테이너배차관리!$CM:$CM,$B185))="","",IF(ISNUMBER(SEARCH("이지스두동",IF(INDEX(GLAPS컨테이너배차관리!$CM:$CM,$B185)="","",INDEX(GLAPS컨테이너배차관리!$CM:$CM,$B185)))),"이지스두동",IF(ISNUMBER(SEARCH("이지스녹산",IF(INDEX(GLAPS컨테이너배차관리!$CM:$CM,$B185)="","",INDEX(GLAPS컨테이너배차관리!$CM:$CM,$B185)))),"이지스녹산",IF(ISNUMBER(SEARCH("천우",IF(INDEX(GLAPS컨테이너배차관리!$CM:$CM,$B185)="","",INDEX(GLAPS컨테이너배차관리!$CM:$CM,$B185)))),"천우",IF(OR(ISNUMBER(SEARCH("청암",IF(INDEX(GLAPS컨테이너배차관리!$CM:$CM,$B185)="","",INDEX(GLAPS컨테이너배차관리!$CM:$CM,$B185)))),ISNUMBER(SEARCH("SB청암",IF(INDEX(GLAPS컨테이너배차관리!$CM:$CM,$B185)="","",INDEX(GLAPS컨테이너배차관리!$CM:$CM,$B185))))),"청암신항",IF(INDEX(GLAPS컨테이너배차관리!$CM:$CM,$B185)="","",INDEX(GLAPS컨테이너배차관리!$CM:$CM,$B185))))))))</f>
        <v/>
      </c>
    </row>
    <row r="186" spans="1:28">
      <c r="A186">
        <v>185</v>
      </c>
      <c r="B186" t="str">
        <f>IFERROR(_xlfn.AGGREGATE(15,6,ROW(GLAPS컨테이너배차관리!$X$2:$X$20000)/(GLAPS컨테이너배차관리!$X$2:$X$20000&lt;&gt;""),A186),"")</f>
        <v/>
      </c>
      <c r="C186" t="str">
        <f>IF($B186="","",INT(IF(INDEX(GLAPS컨테이너배차관리!$K:$K,$B186)="","",INDEX(GLAPS컨테이너배차관리!$K:$K,$B186))))</f>
        <v/>
      </c>
      <c r="D186" t="str">
        <f>IF($B186="","",IF(ISNUMBER(SEARCH("이엘에스",IF(INDEX(GLAPS컨테이너배차관리!$AZ:$AZ,$B186)="","",INDEX(GLAPS컨테이너배차관리!$AZ:$AZ,$B186)))),"ELS솔루션",IF(INDEX(GLAPS컨테이너배차관리!$AZ:$AZ,$B186)="","",INDEX(GLAPS컨테이너배차관리!$AZ:$AZ,$B186))))</f>
        <v/>
      </c>
      <c r="E186" t="str">
        <f>IF($B186="","",IF(INDEX(GLAPS컨테이너배차관리!$L:$L,$B186)="","",INDEX(GLAPS컨테이너배차관리!$L:$L,$B186)))</f>
        <v/>
      </c>
      <c r="F186" t="str">
        <f>IF($B186="","",IF(HOUR(IF(INDEX(GLAPS컨테이너배차관리!$L:$L,$B186)="","",INDEX(GLAPS컨테이너배차관리!$L:$L,$B186)))&lt;12,"오전",IF(HOUR(IF(INDEX(GLAPS컨테이너배차관리!$L:$L,$B186)="","",INDEX(GLAPS컨테이너배차관리!$L:$L,$B186)))&lt;18,"오후","잔업")))</f>
        <v/>
      </c>
      <c r="G186" t="str">
        <f>IF($B186="","",IFERROR(INDEX(GLAPS정리!$G$3:$G$264,MATCH(IF(INDEX(GLAPS컨테이너배차관리!$BY:$BY,$B186)="","",INDEX(GLAPS컨테이너배차관리!$BY:$BY,$B186)),GLAPS정리!$H$3:$H$264,0)),TRIM(SUBSTITUTE(SUBSTITUTE(SUBSTITUTE(SUBSTITUTE(SUBSTITUTE(IF(INDEX(GLAPS컨테이너배차관리!$T:$T,$B186)="","",INDEX(GLAPS컨테이너배차관리!$T:$T,$B186)),"[GA]",""),"[GB]",""),"[GC]",""),"[KC]",""),"[GS]",""))))</f>
        <v/>
      </c>
      <c r="H186" t="str">
        <f>IF($B186="","",IFERROR(VLOOKUP(IF(INDEX(GLAPS컨테이너배차관리!$BY:$BY,$B186)="","",INDEX(GLAPS컨테이너배차관리!$BY:$BY,$B186)),GLAPS정리!$BT$3:$BV$200,3,0),""))</f>
        <v/>
      </c>
      <c r="I186" t="str">
        <f>IF($B186="","",LEFT(IF(INDEX(GLAPS컨테이너배차관리!$U:$U,$B186)="","",INDEX(GLAPS컨테이너배차관리!$U:$U,$B186)),FIND("/",IF(INDEX(GLAPS컨테이너배차관리!$U:$U,$B186)="","",INDEX(GLAPS컨테이너배차관리!$U:$U,$B186))&amp;"/")-1))</f>
        <v/>
      </c>
      <c r="J186" t="str">
        <f>IF($B186="","",IF(IF(INDEX(GLAPS컨테이너배차관리!$O:$O,$B186)="","",INDEX(GLAPS컨테이너배차관리!$O:$O,$B186))="EMC","EMA",IFERROR(INDEX(GLAPS정리!$A$2:$A$50,MATCH(IF(INDEX(GLAPS컨테이너배차관리!$O:$O,$B186)="","",INDEX(GLAPS컨테이너배차관리!$O:$O,$B186)),GLAPS정리!$D$2:$D$50,0)),IF(INDEX(GLAPS컨테이너배차관리!$O:$O,$B186)="","",INDEX(GLAPS컨테이너배차관리!$O:$O,$B186)))))</f>
        <v/>
      </c>
      <c r="K186" t="str">
        <f>IF($B186="","",IF(LEFT(IF(INDEX(GLAPS컨테이너배차관리!$Y:$Y,$B186)="","",INDEX(GLAPS컨테이너배차관리!$Y:$Y,$B186)),2)="22","20 Feet",IF(LEFT(IF(INDEX(GLAPS컨테이너배차관리!$Y:$Y,$B186)="","",INDEX(GLAPS컨테이너배차관리!$Y:$Y,$B186)),2)="42","40 Feet","40 Feet H")))</f>
        <v/>
      </c>
      <c r="L186" t="str">
        <f>IF($B186="","",IFERROR(INDEX(GLAPS정리!$BB$2:$BB$80,MATCH(IF(INDEX(GLAPS컨테이너배차관리!$BQ:$BQ,$B186)="","",INDEX(GLAPS컨테이너배차관리!$BQ:$BQ,$B186)),GLAPS정리!$BC$2:$BC$80,0)),IF(INDEX(GLAPS컨테이너배차관리!$BQ:$BQ,$B186)="","",INDEX(GLAPS컨테이너배차관리!$BQ:$BQ,$B186))))</f>
        <v/>
      </c>
      <c r="M186" t="str">
        <f>IF($B186="","",IFERROR(INDEX(GLAPS정리!$V$3:$V$180,MATCH(IF(INDEX(GLAPS컨테이너배차관리!$S:$S,$B186)="","",INDEX(GLAPS컨테이너배차관리!$S:$S,$B186)),GLAPS정리!$W$3:$W$180,0)),IF(INDEX(GLAPS컨테이너배차관리!$S:$S,$B186)="","",INDEX(GLAPS컨테이너배차관리!$S:$S,$B186))))</f>
        <v/>
      </c>
      <c r="N186" t="str">
        <f>IF($B186="","",IF(IF(INDEX(GLAPS컨테이너배차관리!$DF:$DF,$B186)="","",INDEX(GLAPS컨테이너배차관리!$DF:$DF,$B186))&lt;&gt;"",IF(INDEX(GLAPS컨테이너배차관리!$DF:$DF,$B186)="","",INDEX(GLAPS컨테이너배차관리!$DF:$DF,$B186)),IF(IF(INDEX(GLAPS컨테이너배차관리!$DG:$DG,$B186)="","",INDEX(GLAPS컨테이너배차관리!$DG:$DG,$B186))&lt;&gt;"",IF(INDEX(GLAPS컨테이너배차관리!$DG:$DG,$B186)="","",INDEX(GLAPS컨테이너배차관리!$DG:$DG,$B186)),"")))</f>
        <v/>
      </c>
      <c r="O186" t="str">
        <f>IF($B186="","",IF(INDEX(GLAPS컨테이너배차관리!$AB:$AB,$B186)="","",INDEX(GLAPS컨테이너배차관리!$AB:$AB,$B186)))</f>
        <v/>
      </c>
      <c r="P186" t="str">
        <f>IF($B186="","",IF(IF(INDEX(GLAPS컨테이너배차관리!$CP:$CP,$B186)="","",INDEX(GLAPS컨테이너배차관리!$CP:$CP,$B186))="","",IFERROR(INDEX(GLAPS정리!$BH$2:$BH$101,MATCH(IF(INDEX(GLAPS컨테이너배차관리!$CP:$CP,$B186)="","",INDEX(GLAPS컨테이너배차관리!$CP:$CP,$B186)),GLAPS정리!$BI$2:$BI$101,0)),IF(INDEX(GLAPS컨테이너배차관리!$CP:$CP,$B186)="","",INDEX(GLAPS컨테이너배차관리!$CP:$CP,$B186)))))</f>
        <v/>
      </c>
      <c r="Q186" t="str">
        <f>IF($B186="","",IF(AND(IF(INDEX(GLAPS컨테이너배차관리!$AK:$AK,$B186)="","",INDEX(GLAPS컨테이너배차관리!$AK:$AK,$B186))="Y",IF(INDEX(GLAPS컨테이너배차관리!$AI:$AI,$B186)="","",INDEX(GLAPS컨테이너배차관리!$AI:$AI,$B186))="Y"),"위험물리퍼",IF(IF(INDEX(GLAPS컨테이너배차관리!$AK:$AK,$B186)="","",INDEX(GLAPS컨테이너배차관리!$AK:$AK,$B186))="Y","위험물",IF(IF(INDEX(GLAPS컨테이너배차관리!$AI:$AI,$B186)="","",INDEX(GLAPS컨테이너배차관리!$AI:$AI,$B186))="Y","리퍼",""))))</f>
        <v/>
      </c>
      <c r="R186" t="str">
        <f>IF($B186="","",IF(LEFT(IF(INDEX(GLAPS컨테이너배차관리!$Y:$Y,$B186)="","",INDEX(GLAPS컨테이너배차관리!$Y:$Y,$B186)),2)="22",1,""))</f>
        <v/>
      </c>
      <c r="S186" t="str">
        <f>IF($B186="","",IF(LEFT(IF(INDEX(GLAPS컨테이너배차관리!$Y:$Y,$B186)="","",INDEX(GLAPS컨테이너배차관리!$Y:$Y,$B186)),2)="42",1,""))</f>
        <v/>
      </c>
      <c r="T186" t="str">
        <f>IF($B186="","",IF(LEFT(IF(INDEX(GLAPS컨테이너배차관리!$Y:$Y,$B186)="","",INDEX(GLAPS컨테이너배차관리!$Y:$Y,$B186)),2)="45",1,""))</f>
        <v/>
      </c>
      <c r="U186" t="str">
        <f>IF($B186="","",IF(INDEX(GLAPS컨테이너배차관리!$X:$X,$B186)="","",INDEX(GLAPS컨테이너배차관리!$X:$X,$B186)))</f>
        <v/>
      </c>
      <c r="V186" t="str">
        <f>IF($B186="","",IF(INDEX(GLAPS컨테이너배차관리!$Z:$Z,$B186)="","",INDEX(GLAPS컨테이너배차관리!$Z:$Z,$B186)))</f>
        <v/>
      </c>
      <c r="W186" t="str">
        <f>IF($B186="","",IF(IF(INDEX(GLAPS컨테이너배차관리!$DI:$DI,$B186)="","",INDEX(GLAPS컨테이너배차관리!$DI:$DI,$B186))&lt;&gt;"",IF(INDEX(GLAPS컨테이너배차관리!$DI:$DI,$B186)="","",INDEX(GLAPS컨테이너배차관리!$DI:$DI,$B186)),IF(IF(INDEX(GLAPS컨테이너배차관리!$DJ:$DJ,$B186)="","",INDEX(GLAPS컨테이너배차관리!$DJ:$DJ,$B186))&lt;&gt;"",IF(INDEX(GLAPS컨테이너배차관리!$DJ:$DJ,$B186)="","",INDEX(GLAPS컨테이너배차관리!$DJ:$DJ,$B186)),IF(IF(INDEX(GLAPS컨테이너배차관리!$DK:$DK,$B186)="","",INDEX(GLAPS컨테이너배차관리!$DK:$DK,$B186))&lt;&gt;"",IF(INDEX(GLAPS컨테이너배차관리!$DK:$DK,$B186)="","",INDEX(GLAPS컨테이너배차관리!$DK:$DK,$B186)),IF(IF(INDEX(GLAPS컨테이너배차관리!$DL:$DL,$B186)="","",INDEX(GLAPS컨테이너배차관리!$DL:$DL,$B186))&lt;&gt;"",IF(INDEX(GLAPS컨테이너배차관리!$DL:$DL,$B186)="","",INDEX(GLAPS컨테이너배차관리!$DL:$DL,$B186)),IF(IF(INDEX(GLAPS컨테이너배차관리!$DM:$DM,$B186)="","",INDEX(GLAPS컨테이너배차관리!$DM:$DM,$B186))&lt;&gt;"",IF(INDEX(GLAPS컨테이너배차관리!$DM:$DM,$B186)="","",INDEX(GLAPS컨테이너배차관리!$DM:$DM,$B186)),""))))))</f>
        <v/>
      </c>
      <c r="X186" t="str">
        <f>IF($B186="","",IF(INDEX(GLAPS컨테이너배차관리!$F:$F,$B186)="","",INDEX(GLAPS컨테이너배차관리!$F:$F,$B186)))</f>
        <v/>
      </c>
      <c r="Y186" t="str">
        <f>IF($B186="","",IF(IF(INDEX(GLAPS컨테이너배차관리!$M:$M,$B186)="","",INDEX(GLAPS컨테이너배차관리!$M:$M,$B186))&lt;&gt;"",IF(INDEX(GLAPS컨테이너배차관리!$M:$M,$B186)="","",INDEX(GLAPS컨테이너배차관리!$M:$M,$B186)),IF(IF(INDEX(GLAPS컨테이너배차관리!$N:$N,$B186)="","",INDEX(GLAPS컨테이너배차관리!$N:$N,$B186))&lt;&gt;"",IF(INDEX(GLAPS컨테이너배차관리!$N:$N,$B186)="","",INDEX(GLAPS컨테이너배차관리!$N:$N,$B186)),"")))</f>
        <v/>
      </c>
      <c r="Z186" t="str">
        <f>IF($B186="","",IF(IF(INDEX(GLAPS컨테이너배차관리!$CU:$CU,$B186)="","",INDEX(GLAPS컨테이너배차관리!$CU:$CU,$B186))="","",IFERROR(INT(IF(INDEX(GLAPS컨테이너배차관리!$CU:$CU,$B186)="","",INDEX(GLAPS컨테이너배차관리!$CU:$CU,$B186))),"")))</f>
        <v/>
      </c>
      <c r="AA186" t="str">
        <f>IF($B186="","",IF(AND(IF(INDEX(GLAPS컨테이너배차관리!$CL:$CL,$B186)="","",INDEX(GLAPS컨테이너배차관리!$CL:$CL,$B186))="",IF(INDEX(GLAPS컨테이너배차관리!$CM:$CM,$B186)="","",INDEX(GLAPS컨테이너배차관리!$CM:$CM,$B186))=""),"",IF(OR(IF(INDEX(GLAPS컨테이너배차관리!$CL:$CL,$B186)="","",INDEX(GLAPS컨테이너배차관리!$CL:$CL,$B186))="B000016649",ISNUMBER(SEARCH("B015",IF(INDEX(GLAPS컨테이너배차관리!$CM:$CM,$B186)="","",INDEX(GLAPS컨테이너배차관리!$CM:$CM,$B186)))),ISNUMBER(SEARCH("세방",IF(INDEX(GLAPS컨테이너배차관리!$CM:$CM,$B186)="","",INDEX(GLAPS컨테이너배차관리!$CM:$CM,$B186)))),ISNUMBER(SEARCH("SB",IF(INDEX(GLAPS컨테이너배차관리!$CM:$CM,$B186)="","",INDEX(GLAPS컨테이너배차관리!$CM:$CM,$B186))))),"세방","")))</f>
        <v/>
      </c>
      <c r="AB186" t="str">
        <f>IF($B186="","",IF(IF(INDEX(GLAPS컨테이너배차관리!$CM:$CM,$B186)="","",INDEX(GLAPS컨테이너배차관리!$CM:$CM,$B186))="","",IF(ISNUMBER(SEARCH("이지스두동",IF(INDEX(GLAPS컨테이너배차관리!$CM:$CM,$B186)="","",INDEX(GLAPS컨테이너배차관리!$CM:$CM,$B186)))),"이지스두동",IF(ISNUMBER(SEARCH("이지스녹산",IF(INDEX(GLAPS컨테이너배차관리!$CM:$CM,$B186)="","",INDEX(GLAPS컨테이너배차관리!$CM:$CM,$B186)))),"이지스녹산",IF(ISNUMBER(SEARCH("천우",IF(INDEX(GLAPS컨테이너배차관리!$CM:$CM,$B186)="","",INDEX(GLAPS컨테이너배차관리!$CM:$CM,$B186)))),"천우",IF(OR(ISNUMBER(SEARCH("청암",IF(INDEX(GLAPS컨테이너배차관리!$CM:$CM,$B186)="","",INDEX(GLAPS컨테이너배차관리!$CM:$CM,$B186)))),ISNUMBER(SEARCH("SB청암",IF(INDEX(GLAPS컨테이너배차관리!$CM:$CM,$B186)="","",INDEX(GLAPS컨테이너배차관리!$CM:$CM,$B186))))),"청암신항",IF(INDEX(GLAPS컨테이너배차관리!$CM:$CM,$B186)="","",INDEX(GLAPS컨테이너배차관리!$CM:$CM,$B186))))))))</f>
        <v/>
      </c>
    </row>
    <row r="187" spans="1:28">
      <c r="A187">
        <v>186</v>
      </c>
      <c r="B187" t="str">
        <f>IFERROR(_xlfn.AGGREGATE(15,6,ROW(GLAPS컨테이너배차관리!$X$2:$X$20000)/(GLAPS컨테이너배차관리!$X$2:$X$20000&lt;&gt;""),A187),"")</f>
        <v/>
      </c>
      <c r="C187" t="str">
        <f>IF($B187="","",INT(IF(INDEX(GLAPS컨테이너배차관리!$K:$K,$B187)="","",INDEX(GLAPS컨테이너배차관리!$K:$K,$B187))))</f>
        <v/>
      </c>
      <c r="D187" t="str">
        <f>IF($B187="","",IF(ISNUMBER(SEARCH("이엘에스",IF(INDEX(GLAPS컨테이너배차관리!$AZ:$AZ,$B187)="","",INDEX(GLAPS컨테이너배차관리!$AZ:$AZ,$B187)))),"ELS솔루션",IF(INDEX(GLAPS컨테이너배차관리!$AZ:$AZ,$B187)="","",INDEX(GLAPS컨테이너배차관리!$AZ:$AZ,$B187))))</f>
        <v/>
      </c>
      <c r="E187" t="str">
        <f>IF($B187="","",IF(INDEX(GLAPS컨테이너배차관리!$L:$L,$B187)="","",INDEX(GLAPS컨테이너배차관리!$L:$L,$B187)))</f>
        <v/>
      </c>
      <c r="F187" t="str">
        <f>IF($B187="","",IF(HOUR(IF(INDEX(GLAPS컨테이너배차관리!$L:$L,$B187)="","",INDEX(GLAPS컨테이너배차관리!$L:$L,$B187)))&lt;12,"오전",IF(HOUR(IF(INDEX(GLAPS컨테이너배차관리!$L:$L,$B187)="","",INDEX(GLAPS컨테이너배차관리!$L:$L,$B187)))&lt;18,"오후","잔업")))</f>
        <v/>
      </c>
      <c r="G187" t="str">
        <f>IF($B187="","",IFERROR(INDEX(GLAPS정리!$G$3:$G$264,MATCH(IF(INDEX(GLAPS컨테이너배차관리!$BY:$BY,$B187)="","",INDEX(GLAPS컨테이너배차관리!$BY:$BY,$B187)),GLAPS정리!$H$3:$H$264,0)),TRIM(SUBSTITUTE(SUBSTITUTE(SUBSTITUTE(SUBSTITUTE(SUBSTITUTE(IF(INDEX(GLAPS컨테이너배차관리!$T:$T,$B187)="","",INDEX(GLAPS컨테이너배차관리!$T:$T,$B187)),"[GA]",""),"[GB]",""),"[GC]",""),"[KC]",""),"[GS]",""))))</f>
        <v/>
      </c>
      <c r="H187" t="str">
        <f>IF($B187="","",IFERROR(VLOOKUP(IF(INDEX(GLAPS컨테이너배차관리!$BY:$BY,$B187)="","",INDEX(GLAPS컨테이너배차관리!$BY:$BY,$B187)),GLAPS정리!$BT$3:$BV$200,3,0),""))</f>
        <v/>
      </c>
      <c r="I187" t="str">
        <f>IF($B187="","",LEFT(IF(INDEX(GLAPS컨테이너배차관리!$U:$U,$B187)="","",INDEX(GLAPS컨테이너배차관리!$U:$U,$B187)),FIND("/",IF(INDEX(GLAPS컨테이너배차관리!$U:$U,$B187)="","",INDEX(GLAPS컨테이너배차관리!$U:$U,$B187))&amp;"/")-1))</f>
        <v/>
      </c>
      <c r="J187" t="str">
        <f>IF($B187="","",IF(IF(INDEX(GLAPS컨테이너배차관리!$O:$O,$B187)="","",INDEX(GLAPS컨테이너배차관리!$O:$O,$B187))="EMC","EMA",IFERROR(INDEX(GLAPS정리!$A$2:$A$50,MATCH(IF(INDEX(GLAPS컨테이너배차관리!$O:$O,$B187)="","",INDEX(GLAPS컨테이너배차관리!$O:$O,$B187)),GLAPS정리!$D$2:$D$50,0)),IF(INDEX(GLAPS컨테이너배차관리!$O:$O,$B187)="","",INDEX(GLAPS컨테이너배차관리!$O:$O,$B187)))))</f>
        <v/>
      </c>
      <c r="K187" t="str">
        <f>IF($B187="","",IF(LEFT(IF(INDEX(GLAPS컨테이너배차관리!$Y:$Y,$B187)="","",INDEX(GLAPS컨테이너배차관리!$Y:$Y,$B187)),2)="22","20 Feet",IF(LEFT(IF(INDEX(GLAPS컨테이너배차관리!$Y:$Y,$B187)="","",INDEX(GLAPS컨테이너배차관리!$Y:$Y,$B187)),2)="42","40 Feet","40 Feet H")))</f>
        <v/>
      </c>
      <c r="L187" t="str">
        <f>IF($B187="","",IFERROR(INDEX(GLAPS정리!$BB$2:$BB$80,MATCH(IF(INDEX(GLAPS컨테이너배차관리!$BQ:$BQ,$B187)="","",INDEX(GLAPS컨테이너배차관리!$BQ:$BQ,$B187)),GLAPS정리!$BC$2:$BC$80,0)),IF(INDEX(GLAPS컨테이너배차관리!$BQ:$BQ,$B187)="","",INDEX(GLAPS컨테이너배차관리!$BQ:$BQ,$B187))))</f>
        <v/>
      </c>
      <c r="M187" t="str">
        <f>IF($B187="","",IFERROR(INDEX(GLAPS정리!$V$3:$V$180,MATCH(IF(INDEX(GLAPS컨테이너배차관리!$S:$S,$B187)="","",INDEX(GLAPS컨테이너배차관리!$S:$S,$B187)),GLAPS정리!$W$3:$W$180,0)),IF(INDEX(GLAPS컨테이너배차관리!$S:$S,$B187)="","",INDEX(GLAPS컨테이너배차관리!$S:$S,$B187))))</f>
        <v/>
      </c>
      <c r="N187" t="str">
        <f>IF($B187="","",IF(IF(INDEX(GLAPS컨테이너배차관리!$DF:$DF,$B187)="","",INDEX(GLAPS컨테이너배차관리!$DF:$DF,$B187))&lt;&gt;"",IF(INDEX(GLAPS컨테이너배차관리!$DF:$DF,$B187)="","",INDEX(GLAPS컨테이너배차관리!$DF:$DF,$B187)),IF(IF(INDEX(GLAPS컨테이너배차관리!$DG:$DG,$B187)="","",INDEX(GLAPS컨테이너배차관리!$DG:$DG,$B187))&lt;&gt;"",IF(INDEX(GLAPS컨테이너배차관리!$DG:$DG,$B187)="","",INDEX(GLAPS컨테이너배차관리!$DG:$DG,$B187)),"")))</f>
        <v/>
      </c>
      <c r="O187" t="str">
        <f>IF($B187="","",IF(INDEX(GLAPS컨테이너배차관리!$AB:$AB,$B187)="","",INDEX(GLAPS컨테이너배차관리!$AB:$AB,$B187)))</f>
        <v/>
      </c>
      <c r="P187" t="str">
        <f>IF($B187="","",IF(IF(INDEX(GLAPS컨테이너배차관리!$CP:$CP,$B187)="","",INDEX(GLAPS컨테이너배차관리!$CP:$CP,$B187))="","",IFERROR(INDEX(GLAPS정리!$BH$2:$BH$101,MATCH(IF(INDEX(GLAPS컨테이너배차관리!$CP:$CP,$B187)="","",INDEX(GLAPS컨테이너배차관리!$CP:$CP,$B187)),GLAPS정리!$BI$2:$BI$101,0)),IF(INDEX(GLAPS컨테이너배차관리!$CP:$CP,$B187)="","",INDEX(GLAPS컨테이너배차관리!$CP:$CP,$B187)))))</f>
        <v/>
      </c>
      <c r="Q187" t="str">
        <f>IF($B187="","",IF(AND(IF(INDEX(GLAPS컨테이너배차관리!$AK:$AK,$B187)="","",INDEX(GLAPS컨테이너배차관리!$AK:$AK,$B187))="Y",IF(INDEX(GLAPS컨테이너배차관리!$AI:$AI,$B187)="","",INDEX(GLAPS컨테이너배차관리!$AI:$AI,$B187))="Y"),"위험물리퍼",IF(IF(INDEX(GLAPS컨테이너배차관리!$AK:$AK,$B187)="","",INDEX(GLAPS컨테이너배차관리!$AK:$AK,$B187))="Y","위험물",IF(IF(INDEX(GLAPS컨테이너배차관리!$AI:$AI,$B187)="","",INDEX(GLAPS컨테이너배차관리!$AI:$AI,$B187))="Y","리퍼",""))))</f>
        <v/>
      </c>
      <c r="R187" t="str">
        <f>IF($B187="","",IF(LEFT(IF(INDEX(GLAPS컨테이너배차관리!$Y:$Y,$B187)="","",INDEX(GLAPS컨테이너배차관리!$Y:$Y,$B187)),2)="22",1,""))</f>
        <v/>
      </c>
      <c r="S187" t="str">
        <f>IF($B187="","",IF(LEFT(IF(INDEX(GLAPS컨테이너배차관리!$Y:$Y,$B187)="","",INDEX(GLAPS컨테이너배차관리!$Y:$Y,$B187)),2)="42",1,""))</f>
        <v/>
      </c>
      <c r="T187" t="str">
        <f>IF($B187="","",IF(LEFT(IF(INDEX(GLAPS컨테이너배차관리!$Y:$Y,$B187)="","",INDEX(GLAPS컨테이너배차관리!$Y:$Y,$B187)),2)="45",1,""))</f>
        <v/>
      </c>
      <c r="U187" t="str">
        <f>IF($B187="","",IF(INDEX(GLAPS컨테이너배차관리!$X:$X,$B187)="","",INDEX(GLAPS컨테이너배차관리!$X:$X,$B187)))</f>
        <v/>
      </c>
      <c r="V187" t="str">
        <f>IF($B187="","",IF(INDEX(GLAPS컨테이너배차관리!$Z:$Z,$B187)="","",INDEX(GLAPS컨테이너배차관리!$Z:$Z,$B187)))</f>
        <v/>
      </c>
      <c r="W187" t="str">
        <f>IF($B187="","",IF(IF(INDEX(GLAPS컨테이너배차관리!$DI:$DI,$B187)="","",INDEX(GLAPS컨테이너배차관리!$DI:$DI,$B187))&lt;&gt;"",IF(INDEX(GLAPS컨테이너배차관리!$DI:$DI,$B187)="","",INDEX(GLAPS컨테이너배차관리!$DI:$DI,$B187)),IF(IF(INDEX(GLAPS컨테이너배차관리!$DJ:$DJ,$B187)="","",INDEX(GLAPS컨테이너배차관리!$DJ:$DJ,$B187))&lt;&gt;"",IF(INDEX(GLAPS컨테이너배차관리!$DJ:$DJ,$B187)="","",INDEX(GLAPS컨테이너배차관리!$DJ:$DJ,$B187)),IF(IF(INDEX(GLAPS컨테이너배차관리!$DK:$DK,$B187)="","",INDEX(GLAPS컨테이너배차관리!$DK:$DK,$B187))&lt;&gt;"",IF(INDEX(GLAPS컨테이너배차관리!$DK:$DK,$B187)="","",INDEX(GLAPS컨테이너배차관리!$DK:$DK,$B187)),IF(IF(INDEX(GLAPS컨테이너배차관리!$DL:$DL,$B187)="","",INDEX(GLAPS컨테이너배차관리!$DL:$DL,$B187))&lt;&gt;"",IF(INDEX(GLAPS컨테이너배차관리!$DL:$DL,$B187)="","",INDEX(GLAPS컨테이너배차관리!$DL:$DL,$B187)),IF(IF(INDEX(GLAPS컨테이너배차관리!$DM:$DM,$B187)="","",INDEX(GLAPS컨테이너배차관리!$DM:$DM,$B187))&lt;&gt;"",IF(INDEX(GLAPS컨테이너배차관리!$DM:$DM,$B187)="","",INDEX(GLAPS컨테이너배차관리!$DM:$DM,$B187)),""))))))</f>
        <v/>
      </c>
      <c r="X187" t="str">
        <f>IF($B187="","",IF(INDEX(GLAPS컨테이너배차관리!$F:$F,$B187)="","",INDEX(GLAPS컨테이너배차관리!$F:$F,$B187)))</f>
        <v/>
      </c>
      <c r="Y187" t="str">
        <f>IF($B187="","",IF(IF(INDEX(GLAPS컨테이너배차관리!$M:$M,$B187)="","",INDEX(GLAPS컨테이너배차관리!$M:$M,$B187))&lt;&gt;"",IF(INDEX(GLAPS컨테이너배차관리!$M:$M,$B187)="","",INDEX(GLAPS컨테이너배차관리!$M:$M,$B187)),IF(IF(INDEX(GLAPS컨테이너배차관리!$N:$N,$B187)="","",INDEX(GLAPS컨테이너배차관리!$N:$N,$B187))&lt;&gt;"",IF(INDEX(GLAPS컨테이너배차관리!$N:$N,$B187)="","",INDEX(GLAPS컨테이너배차관리!$N:$N,$B187)),"")))</f>
        <v/>
      </c>
      <c r="Z187" t="str">
        <f>IF($B187="","",IF(IF(INDEX(GLAPS컨테이너배차관리!$CU:$CU,$B187)="","",INDEX(GLAPS컨테이너배차관리!$CU:$CU,$B187))="","",IFERROR(INT(IF(INDEX(GLAPS컨테이너배차관리!$CU:$CU,$B187)="","",INDEX(GLAPS컨테이너배차관리!$CU:$CU,$B187))),"")))</f>
        <v/>
      </c>
      <c r="AA187" t="str">
        <f>IF($B187="","",IF(AND(IF(INDEX(GLAPS컨테이너배차관리!$CL:$CL,$B187)="","",INDEX(GLAPS컨테이너배차관리!$CL:$CL,$B187))="",IF(INDEX(GLAPS컨테이너배차관리!$CM:$CM,$B187)="","",INDEX(GLAPS컨테이너배차관리!$CM:$CM,$B187))=""),"",IF(OR(IF(INDEX(GLAPS컨테이너배차관리!$CL:$CL,$B187)="","",INDEX(GLAPS컨테이너배차관리!$CL:$CL,$B187))="B000016649",ISNUMBER(SEARCH("B015",IF(INDEX(GLAPS컨테이너배차관리!$CM:$CM,$B187)="","",INDEX(GLAPS컨테이너배차관리!$CM:$CM,$B187)))),ISNUMBER(SEARCH("세방",IF(INDEX(GLAPS컨테이너배차관리!$CM:$CM,$B187)="","",INDEX(GLAPS컨테이너배차관리!$CM:$CM,$B187)))),ISNUMBER(SEARCH("SB",IF(INDEX(GLAPS컨테이너배차관리!$CM:$CM,$B187)="","",INDEX(GLAPS컨테이너배차관리!$CM:$CM,$B187))))),"세방","")))</f>
        <v/>
      </c>
      <c r="AB187" t="str">
        <f>IF($B187="","",IF(IF(INDEX(GLAPS컨테이너배차관리!$CM:$CM,$B187)="","",INDEX(GLAPS컨테이너배차관리!$CM:$CM,$B187))="","",IF(ISNUMBER(SEARCH("이지스두동",IF(INDEX(GLAPS컨테이너배차관리!$CM:$CM,$B187)="","",INDEX(GLAPS컨테이너배차관리!$CM:$CM,$B187)))),"이지스두동",IF(ISNUMBER(SEARCH("이지스녹산",IF(INDEX(GLAPS컨테이너배차관리!$CM:$CM,$B187)="","",INDEX(GLAPS컨테이너배차관리!$CM:$CM,$B187)))),"이지스녹산",IF(ISNUMBER(SEARCH("천우",IF(INDEX(GLAPS컨테이너배차관리!$CM:$CM,$B187)="","",INDEX(GLAPS컨테이너배차관리!$CM:$CM,$B187)))),"천우",IF(OR(ISNUMBER(SEARCH("청암",IF(INDEX(GLAPS컨테이너배차관리!$CM:$CM,$B187)="","",INDEX(GLAPS컨테이너배차관리!$CM:$CM,$B187)))),ISNUMBER(SEARCH("SB청암",IF(INDEX(GLAPS컨테이너배차관리!$CM:$CM,$B187)="","",INDEX(GLAPS컨테이너배차관리!$CM:$CM,$B187))))),"청암신항",IF(INDEX(GLAPS컨테이너배차관리!$CM:$CM,$B187)="","",INDEX(GLAPS컨테이너배차관리!$CM:$CM,$B187))))))))</f>
        <v/>
      </c>
    </row>
    <row r="188" spans="1:28">
      <c r="A188">
        <v>187</v>
      </c>
      <c r="B188" t="str">
        <f>IFERROR(_xlfn.AGGREGATE(15,6,ROW(GLAPS컨테이너배차관리!$X$2:$X$20000)/(GLAPS컨테이너배차관리!$X$2:$X$20000&lt;&gt;""),A188),"")</f>
        <v/>
      </c>
      <c r="C188" t="str">
        <f>IF($B188="","",INT(IF(INDEX(GLAPS컨테이너배차관리!$K:$K,$B188)="","",INDEX(GLAPS컨테이너배차관리!$K:$K,$B188))))</f>
        <v/>
      </c>
      <c r="D188" t="str">
        <f>IF($B188="","",IF(ISNUMBER(SEARCH("이엘에스",IF(INDEX(GLAPS컨테이너배차관리!$AZ:$AZ,$B188)="","",INDEX(GLAPS컨테이너배차관리!$AZ:$AZ,$B188)))),"ELS솔루션",IF(INDEX(GLAPS컨테이너배차관리!$AZ:$AZ,$B188)="","",INDEX(GLAPS컨테이너배차관리!$AZ:$AZ,$B188))))</f>
        <v/>
      </c>
      <c r="E188" t="str">
        <f>IF($B188="","",IF(INDEX(GLAPS컨테이너배차관리!$L:$L,$B188)="","",INDEX(GLAPS컨테이너배차관리!$L:$L,$B188)))</f>
        <v/>
      </c>
      <c r="F188" t="str">
        <f>IF($B188="","",IF(HOUR(IF(INDEX(GLAPS컨테이너배차관리!$L:$L,$B188)="","",INDEX(GLAPS컨테이너배차관리!$L:$L,$B188)))&lt;12,"오전",IF(HOUR(IF(INDEX(GLAPS컨테이너배차관리!$L:$L,$B188)="","",INDEX(GLAPS컨테이너배차관리!$L:$L,$B188)))&lt;18,"오후","잔업")))</f>
        <v/>
      </c>
      <c r="G188" t="str">
        <f>IF($B188="","",IFERROR(INDEX(GLAPS정리!$G$3:$G$264,MATCH(IF(INDEX(GLAPS컨테이너배차관리!$BY:$BY,$B188)="","",INDEX(GLAPS컨테이너배차관리!$BY:$BY,$B188)),GLAPS정리!$H$3:$H$264,0)),TRIM(SUBSTITUTE(SUBSTITUTE(SUBSTITUTE(SUBSTITUTE(SUBSTITUTE(IF(INDEX(GLAPS컨테이너배차관리!$T:$T,$B188)="","",INDEX(GLAPS컨테이너배차관리!$T:$T,$B188)),"[GA]",""),"[GB]",""),"[GC]",""),"[KC]",""),"[GS]",""))))</f>
        <v/>
      </c>
      <c r="H188" t="str">
        <f>IF($B188="","",IFERROR(VLOOKUP(IF(INDEX(GLAPS컨테이너배차관리!$BY:$BY,$B188)="","",INDEX(GLAPS컨테이너배차관리!$BY:$BY,$B188)),GLAPS정리!$BT$3:$BV$200,3,0),""))</f>
        <v/>
      </c>
      <c r="I188" t="str">
        <f>IF($B188="","",LEFT(IF(INDEX(GLAPS컨테이너배차관리!$U:$U,$B188)="","",INDEX(GLAPS컨테이너배차관리!$U:$U,$B188)),FIND("/",IF(INDEX(GLAPS컨테이너배차관리!$U:$U,$B188)="","",INDEX(GLAPS컨테이너배차관리!$U:$U,$B188))&amp;"/")-1))</f>
        <v/>
      </c>
      <c r="J188" t="str">
        <f>IF($B188="","",IF(IF(INDEX(GLAPS컨테이너배차관리!$O:$O,$B188)="","",INDEX(GLAPS컨테이너배차관리!$O:$O,$B188))="EMC","EMA",IFERROR(INDEX(GLAPS정리!$A$2:$A$50,MATCH(IF(INDEX(GLAPS컨테이너배차관리!$O:$O,$B188)="","",INDEX(GLAPS컨테이너배차관리!$O:$O,$B188)),GLAPS정리!$D$2:$D$50,0)),IF(INDEX(GLAPS컨테이너배차관리!$O:$O,$B188)="","",INDEX(GLAPS컨테이너배차관리!$O:$O,$B188)))))</f>
        <v/>
      </c>
      <c r="K188" t="str">
        <f>IF($B188="","",IF(LEFT(IF(INDEX(GLAPS컨테이너배차관리!$Y:$Y,$B188)="","",INDEX(GLAPS컨테이너배차관리!$Y:$Y,$B188)),2)="22","20 Feet",IF(LEFT(IF(INDEX(GLAPS컨테이너배차관리!$Y:$Y,$B188)="","",INDEX(GLAPS컨테이너배차관리!$Y:$Y,$B188)),2)="42","40 Feet","40 Feet H")))</f>
        <v/>
      </c>
      <c r="L188" t="str">
        <f>IF($B188="","",IFERROR(INDEX(GLAPS정리!$BB$2:$BB$80,MATCH(IF(INDEX(GLAPS컨테이너배차관리!$BQ:$BQ,$B188)="","",INDEX(GLAPS컨테이너배차관리!$BQ:$BQ,$B188)),GLAPS정리!$BC$2:$BC$80,0)),IF(INDEX(GLAPS컨테이너배차관리!$BQ:$BQ,$B188)="","",INDEX(GLAPS컨테이너배차관리!$BQ:$BQ,$B188))))</f>
        <v/>
      </c>
      <c r="M188" t="str">
        <f>IF($B188="","",IFERROR(INDEX(GLAPS정리!$V$3:$V$180,MATCH(IF(INDEX(GLAPS컨테이너배차관리!$S:$S,$B188)="","",INDEX(GLAPS컨테이너배차관리!$S:$S,$B188)),GLAPS정리!$W$3:$W$180,0)),IF(INDEX(GLAPS컨테이너배차관리!$S:$S,$B188)="","",INDEX(GLAPS컨테이너배차관리!$S:$S,$B188))))</f>
        <v/>
      </c>
      <c r="N188" t="str">
        <f>IF($B188="","",IF(IF(INDEX(GLAPS컨테이너배차관리!$DF:$DF,$B188)="","",INDEX(GLAPS컨테이너배차관리!$DF:$DF,$B188))&lt;&gt;"",IF(INDEX(GLAPS컨테이너배차관리!$DF:$DF,$B188)="","",INDEX(GLAPS컨테이너배차관리!$DF:$DF,$B188)),IF(IF(INDEX(GLAPS컨테이너배차관리!$DG:$DG,$B188)="","",INDEX(GLAPS컨테이너배차관리!$DG:$DG,$B188))&lt;&gt;"",IF(INDEX(GLAPS컨테이너배차관리!$DG:$DG,$B188)="","",INDEX(GLAPS컨테이너배차관리!$DG:$DG,$B188)),"")))</f>
        <v/>
      </c>
      <c r="O188" t="str">
        <f>IF($B188="","",IF(INDEX(GLAPS컨테이너배차관리!$AB:$AB,$B188)="","",INDEX(GLAPS컨테이너배차관리!$AB:$AB,$B188)))</f>
        <v/>
      </c>
      <c r="P188" t="str">
        <f>IF($B188="","",IF(IF(INDEX(GLAPS컨테이너배차관리!$CP:$CP,$B188)="","",INDEX(GLAPS컨테이너배차관리!$CP:$CP,$B188))="","",IFERROR(INDEX(GLAPS정리!$BH$2:$BH$101,MATCH(IF(INDEX(GLAPS컨테이너배차관리!$CP:$CP,$B188)="","",INDEX(GLAPS컨테이너배차관리!$CP:$CP,$B188)),GLAPS정리!$BI$2:$BI$101,0)),IF(INDEX(GLAPS컨테이너배차관리!$CP:$CP,$B188)="","",INDEX(GLAPS컨테이너배차관리!$CP:$CP,$B188)))))</f>
        <v/>
      </c>
      <c r="Q188" t="str">
        <f>IF($B188="","",IF(AND(IF(INDEX(GLAPS컨테이너배차관리!$AK:$AK,$B188)="","",INDEX(GLAPS컨테이너배차관리!$AK:$AK,$B188))="Y",IF(INDEX(GLAPS컨테이너배차관리!$AI:$AI,$B188)="","",INDEX(GLAPS컨테이너배차관리!$AI:$AI,$B188))="Y"),"위험물리퍼",IF(IF(INDEX(GLAPS컨테이너배차관리!$AK:$AK,$B188)="","",INDEX(GLAPS컨테이너배차관리!$AK:$AK,$B188))="Y","위험물",IF(IF(INDEX(GLAPS컨테이너배차관리!$AI:$AI,$B188)="","",INDEX(GLAPS컨테이너배차관리!$AI:$AI,$B188))="Y","리퍼",""))))</f>
        <v/>
      </c>
      <c r="R188" t="str">
        <f>IF($B188="","",IF(LEFT(IF(INDEX(GLAPS컨테이너배차관리!$Y:$Y,$B188)="","",INDEX(GLAPS컨테이너배차관리!$Y:$Y,$B188)),2)="22",1,""))</f>
        <v/>
      </c>
      <c r="S188" t="str">
        <f>IF($B188="","",IF(LEFT(IF(INDEX(GLAPS컨테이너배차관리!$Y:$Y,$B188)="","",INDEX(GLAPS컨테이너배차관리!$Y:$Y,$B188)),2)="42",1,""))</f>
        <v/>
      </c>
      <c r="T188" t="str">
        <f>IF($B188="","",IF(LEFT(IF(INDEX(GLAPS컨테이너배차관리!$Y:$Y,$B188)="","",INDEX(GLAPS컨테이너배차관리!$Y:$Y,$B188)),2)="45",1,""))</f>
        <v/>
      </c>
      <c r="U188" t="str">
        <f>IF($B188="","",IF(INDEX(GLAPS컨테이너배차관리!$X:$X,$B188)="","",INDEX(GLAPS컨테이너배차관리!$X:$X,$B188)))</f>
        <v/>
      </c>
      <c r="V188" t="str">
        <f>IF($B188="","",IF(INDEX(GLAPS컨테이너배차관리!$Z:$Z,$B188)="","",INDEX(GLAPS컨테이너배차관리!$Z:$Z,$B188)))</f>
        <v/>
      </c>
      <c r="W188" t="str">
        <f>IF($B188="","",IF(IF(INDEX(GLAPS컨테이너배차관리!$DI:$DI,$B188)="","",INDEX(GLAPS컨테이너배차관리!$DI:$DI,$B188))&lt;&gt;"",IF(INDEX(GLAPS컨테이너배차관리!$DI:$DI,$B188)="","",INDEX(GLAPS컨테이너배차관리!$DI:$DI,$B188)),IF(IF(INDEX(GLAPS컨테이너배차관리!$DJ:$DJ,$B188)="","",INDEX(GLAPS컨테이너배차관리!$DJ:$DJ,$B188))&lt;&gt;"",IF(INDEX(GLAPS컨테이너배차관리!$DJ:$DJ,$B188)="","",INDEX(GLAPS컨테이너배차관리!$DJ:$DJ,$B188)),IF(IF(INDEX(GLAPS컨테이너배차관리!$DK:$DK,$B188)="","",INDEX(GLAPS컨테이너배차관리!$DK:$DK,$B188))&lt;&gt;"",IF(INDEX(GLAPS컨테이너배차관리!$DK:$DK,$B188)="","",INDEX(GLAPS컨테이너배차관리!$DK:$DK,$B188)),IF(IF(INDEX(GLAPS컨테이너배차관리!$DL:$DL,$B188)="","",INDEX(GLAPS컨테이너배차관리!$DL:$DL,$B188))&lt;&gt;"",IF(INDEX(GLAPS컨테이너배차관리!$DL:$DL,$B188)="","",INDEX(GLAPS컨테이너배차관리!$DL:$DL,$B188)),IF(IF(INDEX(GLAPS컨테이너배차관리!$DM:$DM,$B188)="","",INDEX(GLAPS컨테이너배차관리!$DM:$DM,$B188))&lt;&gt;"",IF(INDEX(GLAPS컨테이너배차관리!$DM:$DM,$B188)="","",INDEX(GLAPS컨테이너배차관리!$DM:$DM,$B188)),""))))))</f>
        <v/>
      </c>
      <c r="X188" t="str">
        <f>IF($B188="","",IF(INDEX(GLAPS컨테이너배차관리!$F:$F,$B188)="","",INDEX(GLAPS컨테이너배차관리!$F:$F,$B188)))</f>
        <v/>
      </c>
      <c r="Y188" t="str">
        <f>IF($B188="","",IF(IF(INDEX(GLAPS컨테이너배차관리!$M:$M,$B188)="","",INDEX(GLAPS컨테이너배차관리!$M:$M,$B188))&lt;&gt;"",IF(INDEX(GLAPS컨테이너배차관리!$M:$M,$B188)="","",INDEX(GLAPS컨테이너배차관리!$M:$M,$B188)),IF(IF(INDEX(GLAPS컨테이너배차관리!$N:$N,$B188)="","",INDEX(GLAPS컨테이너배차관리!$N:$N,$B188))&lt;&gt;"",IF(INDEX(GLAPS컨테이너배차관리!$N:$N,$B188)="","",INDEX(GLAPS컨테이너배차관리!$N:$N,$B188)),"")))</f>
        <v/>
      </c>
      <c r="Z188" t="str">
        <f>IF($B188="","",IF(IF(INDEX(GLAPS컨테이너배차관리!$CU:$CU,$B188)="","",INDEX(GLAPS컨테이너배차관리!$CU:$CU,$B188))="","",IFERROR(INT(IF(INDEX(GLAPS컨테이너배차관리!$CU:$CU,$B188)="","",INDEX(GLAPS컨테이너배차관리!$CU:$CU,$B188))),"")))</f>
        <v/>
      </c>
      <c r="AA188" t="str">
        <f>IF($B188="","",IF(AND(IF(INDEX(GLAPS컨테이너배차관리!$CL:$CL,$B188)="","",INDEX(GLAPS컨테이너배차관리!$CL:$CL,$B188))="",IF(INDEX(GLAPS컨테이너배차관리!$CM:$CM,$B188)="","",INDEX(GLAPS컨테이너배차관리!$CM:$CM,$B188))=""),"",IF(OR(IF(INDEX(GLAPS컨테이너배차관리!$CL:$CL,$B188)="","",INDEX(GLAPS컨테이너배차관리!$CL:$CL,$B188))="B000016649",ISNUMBER(SEARCH("B015",IF(INDEX(GLAPS컨테이너배차관리!$CM:$CM,$B188)="","",INDEX(GLAPS컨테이너배차관리!$CM:$CM,$B188)))),ISNUMBER(SEARCH("세방",IF(INDEX(GLAPS컨테이너배차관리!$CM:$CM,$B188)="","",INDEX(GLAPS컨테이너배차관리!$CM:$CM,$B188)))),ISNUMBER(SEARCH("SB",IF(INDEX(GLAPS컨테이너배차관리!$CM:$CM,$B188)="","",INDEX(GLAPS컨테이너배차관리!$CM:$CM,$B188))))),"세방","")))</f>
        <v/>
      </c>
      <c r="AB188" t="str">
        <f>IF($B188="","",IF(IF(INDEX(GLAPS컨테이너배차관리!$CM:$CM,$B188)="","",INDEX(GLAPS컨테이너배차관리!$CM:$CM,$B188))="","",IF(ISNUMBER(SEARCH("이지스두동",IF(INDEX(GLAPS컨테이너배차관리!$CM:$CM,$B188)="","",INDEX(GLAPS컨테이너배차관리!$CM:$CM,$B188)))),"이지스두동",IF(ISNUMBER(SEARCH("이지스녹산",IF(INDEX(GLAPS컨테이너배차관리!$CM:$CM,$B188)="","",INDEX(GLAPS컨테이너배차관리!$CM:$CM,$B188)))),"이지스녹산",IF(ISNUMBER(SEARCH("천우",IF(INDEX(GLAPS컨테이너배차관리!$CM:$CM,$B188)="","",INDEX(GLAPS컨테이너배차관리!$CM:$CM,$B188)))),"천우",IF(OR(ISNUMBER(SEARCH("청암",IF(INDEX(GLAPS컨테이너배차관리!$CM:$CM,$B188)="","",INDEX(GLAPS컨테이너배차관리!$CM:$CM,$B188)))),ISNUMBER(SEARCH("SB청암",IF(INDEX(GLAPS컨테이너배차관리!$CM:$CM,$B188)="","",INDEX(GLAPS컨테이너배차관리!$CM:$CM,$B188))))),"청암신항",IF(INDEX(GLAPS컨테이너배차관리!$CM:$CM,$B188)="","",INDEX(GLAPS컨테이너배차관리!$CM:$CM,$B188))))))))</f>
        <v/>
      </c>
    </row>
    <row r="189" spans="1:28">
      <c r="A189">
        <v>188</v>
      </c>
      <c r="B189" t="str">
        <f>IFERROR(_xlfn.AGGREGATE(15,6,ROW(GLAPS컨테이너배차관리!$X$2:$X$20000)/(GLAPS컨테이너배차관리!$X$2:$X$20000&lt;&gt;""),A189),"")</f>
        <v/>
      </c>
      <c r="C189" t="str">
        <f>IF($B189="","",INT(IF(INDEX(GLAPS컨테이너배차관리!$K:$K,$B189)="","",INDEX(GLAPS컨테이너배차관리!$K:$K,$B189))))</f>
        <v/>
      </c>
      <c r="D189" t="str">
        <f>IF($B189="","",IF(ISNUMBER(SEARCH("이엘에스",IF(INDEX(GLAPS컨테이너배차관리!$AZ:$AZ,$B189)="","",INDEX(GLAPS컨테이너배차관리!$AZ:$AZ,$B189)))),"ELS솔루션",IF(INDEX(GLAPS컨테이너배차관리!$AZ:$AZ,$B189)="","",INDEX(GLAPS컨테이너배차관리!$AZ:$AZ,$B189))))</f>
        <v/>
      </c>
      <c r="E189" t="str">
        <f>IF($B189="","",IF(INDEX(GLAPS컨테이너배차관리!$L:$L,$B189)="","",INDEX(GLAPS컨테이너배차관리!$L:$L,$B189)))</f>
        <v/>
      </c>
      <c r="F189" t="str">
        <f>IF($B189="","",IF(HOUR(IF(INDEX(GLAPS컨테이너배차관리!$L:$L,$B189)="","",INDEX(GLAPS컨테이너배차관리!$L:$L,$B189)))&lt;12,"오전",IF(HOUR(IF(INDEX(GLAPS컨테이너배차관리!$L:$L,$B189)="","",INDEX(GLAPS컨테이너배차관리!$L:$L,$B189)))&lt;18,"오후","잔업")))</f>
        <v/>
      </c>
      <c r="G189" t="str">
        <f>IF($B189="","",IFERROR(INDEX(GLAPS정리!$G$3:$G$264,MATCH(IF(INDEX(GLAPS컨테이너배차관리!$BY:$BY,$B189)="","",INDEX(GLAPS컨테이너배차관리!$BY:$BY,$B189)),GLAPS정리!$H$3:$H$264,0)),TRIM(SUBSTITUTE(SUBSTITUTE(SUBSTITUTE(SUBSTITUTE(SUBSTITUTE(IF(INDEX(GLAPS컨테이너배차관리!$T:$T,$B189)="","",INDEX(GLAPS컨테이너배차관리!$T:$T,$B189)),"[GA]",""),"[GB]",""),"[GC]",""),"[KC]",""),"[GS]",""))))</f>
        <v/>
      </c>
      <c r="H189" t="str">
        <f>IF($B189="","",IFERROR(VLOOKUP(IF(INDEX(GLAPS컨테이너배차관리!$BY:$BY,$B189)="","",INDEX(GLAPS컨테이너배차관리!$BY:$BY,$B189)),GLAPS정리!$BT$3:$BV$200,3,0),""))</f>
        <v/>
      </c>
      <c r="I189" t="str">
        <f>IF($B189="","",LEFT(IF(INDEX(GLAPS컨테이너배차관리!$U:$U,$B189)="","",INDEX(GLAPS컨테이너배차관리!$U:$U,$B189)),FIND("/",IF(INDEX(GLAPS컨테이너배차관리!$U:$U,$B189)="","",INDEX(GLAPS컨테이너배차관리!$U:$U,$B189))&amp;"/")-1))</f>
        <v/>
      </c>
      <c r="J189" t="str">
        <f>IF($B189="","",IF(IF(INDEX(GLAPS컨테이너배차관리!$O:$O,$B189)="","",INDEX(GLAPS컨테이너배차관리!$O:$O,$B189))="EMC","EMA",IFERROR(INDEX(GLAPS정리!$A$2:$A$50,MATCH(IF(INDEX(GLAPS컨테이너배차관리!$O:$O,$B189)="","",INDEX(GLAPS컨테이너배차관리!$O:$O,$B189)),GLAPS정리!$D$2:$D$50,0)),IF(INDEX(GLAPS컨테이너배차관리!$O:$O,$B189)="","",INDEX(GLAPS컨테이너배차관리!$O:$O,$B189)))))</f>
        <v/>
      </c>
      <c r="K189" t="str">
        <f>IF($B189="","",IF(LEFT(IF(INDEX(GLAPS컨테이너배차관리!$Y:$Y,$B189)="","",INDEX(GLAPS컨테이너배차관리!$Y:$Y,$B189)),2)="22","20 Feet",IF(LEFT(IF(INDEX(GLAPS컨테이너배차관리!$Y:$Y,$B189)="","",INDEX(GLAPS컨테이너배차관리!$Y:$Y,$B189)),2)="42","40 Feet","40 Feet H")))</f>
        <v/>
      </c>
      <c r="L189" t="str">
        <f>IF($B189="","",IFERROR(INDEX(GLAPS정리!$BB$2:$BB$80,MATCH(IF(INDEX(GLAPS컨테이너배차관리!$BQ:$BQ,$B189)="","",INDEX(GLAPS컨테이너배차관리!$BQ:$BQ,$B189)),GLAPS정리!$BC$2:$BC$80,0)),IF(INDEX(GLAPS컨테이너배차관리!$BQ:$BQ,$B189)="","",INDEX(GLAPS컨테이너배차관리!$BQ:$BQ,$B189))))</f>
        <v/>
      </c>
      <c r="M189" t="str">
        <f>IF($B189="","",IFERROR(INDEX(GLAPS정리!$V$3:$V$180,MATCH(IF(INDEX(GLAPS컨테이너배차관리!$S:$S,$B189)="","",INDEX(GLAPS컨테이너배차관리!$S:$S,$B189)),GLAPS정리!$W$3:$W$180,0)),IF(INDEX(GLAPS컨테이너배차관리!$S:$S,$B189)="","",INDEX(GLAPS컨테이너배차관리!$S:$S,$B189))))</f>
        <v/>
      </c>
      <c r="N189" t="str">
        <f>IF($B189="","",IF(IF(INDEX(GLAPS컨테이너배차관리!$DF:$DF,$B189)="","",INDEX(GLAPS컨테이너배차관리!$DF:$DF,$B189))&lt;&gt;"",IF(INDEX(GLAPS컨테이너배차관리!$DF:$DF,$B189)="","",INDEX(GLAPS컨테이너배차관리!$DF:$DF,$B189)),IF(IF(INDEX(GLAPS컨테이너배차관리!$DG:$DG,$B189)="","",INDEX(GLAPS컨테이너배차관리!$DG:$DG,$B189))&lt;&gt;"",IF(INDEX(GLAPS컨테이너배차관리!$DG:$DG,$B189)="","",INDEX(GLAPS컨테이너배차관리!$DG:$DG,$B189)),"")))</f>
        <v/>
      </c>
      <c r="O189" t="str">
        <f>IF($B189="","",IF(INDEX(GLAPS컨테이너배차관리!$AB:$AB,$B189)="","",INDEX(GLAPS컨테이너배차관리!$AB:$AB,$B189)))</f>
        <v/>
      </c>
      <c r="P189" t="str">
        <f>IF($B189="","",IF(IF(INDEX(GLAPS컨테이너배차관리!$CP:$CP,$B189)="","",INDEX(GLAPS컨테이너배차관리!$CP:$CP,$B189))="","",IFERROR(INDEX(GLAPS정리!$BH$2:$BH$101,MATCH(IF(INDEX(GLAPS컨테이너배차관리!$CP:$CP,$B189)="","",INDEX(GLAPS컨테이너배차관리!$CP:$CP,$B189)),GLAPS정리!$BI$2:$BI$101,0)),IF(INDEX(GLAPS컨테이너배차관리!$CP:$CP,$B189)="","",INDEX(GLAPS컨테이너배차관리!$CP:$CP,$B189)))))</f>
        <v/>
      </c>
      <c r="Q189" t="str">
        <f>IF($B189="","",IF(AND(IF(INDEX(GLAPS컨테이너배차관리!$AK:$AK,$B189)="","",INDEX(GLAPS컨테이너배차관리!$AK:$AK,$B189))="Y",IF(INDEX(GLAPS컨테이너배차관리!$AI:$AI,$B189)="","",INDEX(GLAPS컨테이너배차관리!$AI:$AI,$B189))="Y"),"위험물리퍼",IF(IF(INDEX(GLAPS컨테이너배차관리!$AK:$AK,$B189)="","",INDEX(GLAPS컨테이너배차관리!$AK:$AK,$B189))="Y","위험물",IF(IF(INDEX(GLAPS컨테이너배차관리!$AI:$AI,$B189)="","",INDEX(GLAPS컨테이너배차관리!$AI:$AI,$B189))="Y","리퍼",""))))</f>
        <v/>
      </c>
      <c r="R189" t="str">
        <f>IF($B189="","",IF(LEFT(IF(INDEX(GLAPS컨테이너배차관리!$Y:$Y,$B189)="","",INDEX(GLAPS컨테이너배차관리!$Y:$Y,$B189)),2)="22",1,""))</f>
        <v/>
      </c>
      <c r="S189" t="str">
        <f>IF($B189="","",IF(LEFT(IF(INDEX(GLAPS컨테이너배차관리!$Y:$Y,$B189)="","",INDEX(GLAPS컨테이너배차관리!$Y:$Y,$B189)),2)="42",1,""))</f>
        <v/>
      </c>
      <c r="T189" t="str">
        <f>IF($B189="","",IF(LEFT(IF(INDEX(GLAPS컨테이너배차관리!$Y:$Y,$B189)="","",INDEX(GLAPS컨테이너배차관리!$Y:$Y,$B189)),2)="45",1,""))</f>
        <v/>
      </c>
      <c r="U189" t="str">
        <f>IF($B189="","",IF(INDEX(GLAPS컨테이너배차관리!$X:$X,$B189)="","",INDEX(GLAPS컨테이너배차관리!$X:$X,$B189)))</f>
        <v/>
      </c>
      <c r="V189" t="str">
        <f>IF($B189="","",IF(INDEX(GLAPS컨테이너배차관리!$Z:$Z,$B189)="","",INDEX(GLAPS컨테이너배차관리!$Z:$Z,$B189)))</f>
        <v/>
      </c>
      <c r="W189" t="str">
        <f>IF($B189="","",IF(IF(INDEX(GLAPS컨테이너배차관리!$DI:$DI,$B189)="","",INDEX(GLAPS컨테이너배차관리!$DI:$DI,$B189))&lt;&gt;"",IF(INDEX(GLAPS컨테이너배차관리!$DI:$DI,$B189)="","",INDEX(GLAPS컨테이너배차관리!$DI:$DI,$B189)),IF(IF(INDEX(GLAPS컨테이너배차관리!$DJ:$DJ,$B189)="","",INDEX(GLAPS컨테이너배차관리!$DJ:$DJ,$B189))&lt;&gt;"",IF(INDEX(GLAPS컨테이너배차관리!$DJ:$DJ,$B189)="","",INDEX(GLAPS컨테이너배차관리!$DJ:$DJ,$B189)),IF(IF(INDEX(GLAPS컨테이너배차관리!$DK:$DK,$B189)="","",INDEX(GLAPS컨테이너배차관리!$DK:$DK,$B189))&lt;&gt;"",IF(INDEX(GLAPS컨테이너배차관리!$DK:$DK,$B189)="","",INDEX(GLAPS컨테이너배차관리!$DK:$DK,$B189)),IF(IF(INDEX(GLAPS컨테이너배차관리!$DL:$DL,$B189)="","",INDEX(GLAPS컨테이너배차관리!$DL:$DL,$B189))&lt;&gt;"",IF(INDEX(GLAPS컨테이너배차관리!$DL:$DL,$B189)="","",INDEX(GLAPS컨테이너배차관리!$DL:$DL,$B189)),IF(IF(INDEX(GLAPS컨테이너배차관리!$DM:$DM,$B189)="","",INDEX(GLAPS컨테이너배차관리!$DM:$DM,$B189))&lt;&gt;"",IF(INDEX(GLAPS컨테이너배차관리!$DM:$DM,$B189)="","",INDEX(GLAPS컨테이너배차관리!$DM:$DM,$B189)),""))))))</f>
        <v/>
      </c>
      <c r="X189" t="str">
        <f>IF($B189="","",IF(INDEX(GLAPS컨테이너배차관리!$F:$F,$B189)="","",INDEX(GLAPS컨테이너배차관리!$F:$F,$B189)))</f>
        <v/>
      </c>
      <c r="Y189" t="str">
        <f>IF($B189="","",IF(IF(INDEX(GLAPS컨테이너배차관리!$M:$M,$B189)="","",INDEX(GLAPS컨테이너배차관리!$M:$M,$B189))&lt;&gt;"",IF(INDEX(GLAPS컨테이너배차관리!$M:$M,$B189)="","",INDEX(GLAPS컨테이너배차관리!$M:$M,$B189)),IF(IF(INDEX(GLAPS컨테이너배차관리!$N:$N,$B189)="","",INDEX(GLAPS컨테이너배차관리!$N:$N,$B189))&lt;&gt;"",IF(INDEX(GLAPS컨테이너배차관리!$N:$N,$B189)="","",INDEX(GLAPS컨테이너배차관리!$N:$N,$B189)),"")))</f>
        <v/>
      </c>
      <c r="Z189" t="str">
        <f>IF($B189="","",IF(IF(INDEX(GLAPS컨테이너배차관리!$CU:$CU,$B189)="","",INDEX(GLAPS컨테이너배차관리!$CU:$CU,$B189))="","",IFERROR(INT(IF(INDEX(GLAPS컨테이너배차관리!$CU:$CU,$B189)="","",INDEX(GLAPS컨테이너배차관리!$CU:$CU,$B189))),"")))</f>
        <v/>
      </c>
      <c r="AA189" t="str">
        <f>IF($B189="","",IF(AND(IF(INDEX(GLAPS컨테이너배차관리!$CL:$CL,$B189)="","",INDEX(GLAPS컨테이너배차관리!$CL:$CL,$B189))="",IF(INDEX(GLAPS컨테이너배차관리!$CM:$CM,$B189)="","",INDEX(GLAPS컨테이너배차관리!$CM:$CM,$B189))=""),"",IF(OR(IF(INDEX(GLAPS컨테이너배차관리!$CL:$CL,$B189)="","",INDEX(GLAPS컨테이너배차관리!$CL:$CL,$B189))="B000016649",ISNUMBER(SEARCH("B015",IF(INDEX(GLAPS컨테이너배차관리!$CM:$CM,$B189)="","",INDEX(GLAPS컨테이너배차관리!$CM:$CM,$B189)))),ISNUMBER(SEARCH("세방",IF(INDEX(GLAPS컨테이너배차관리!$CM:$CM,$B189)="","",INDEX(GLAPS컨테이너배차관리!$CM:$CM,$B189)))),ISNUMBER(SEARCH("SB",IF(INDEX(GLAPS컨테이너배차관리!$CM:$CM,$B189)="","",INDEX(GLAPS컨테이너배차관리!$CM:$CM,$B189))))),"세방","")))</f>
        <v/>
      </c>
      <c r="AB189" t="str">
        <f>IF($B189="","",IF(IF(INDEX(GLAPS컨테이너배차관리!$CM:$CM,$B189)="","",INDEX(GLAPS컨테이너배차관리!$CM:$CM,$B189))="","",IF(ISNUMBER(SEARCH("이지스두동",IF(INDEX(GLAPS컨테이너배차관리!$CM:$CM,$B189)="","",INDEX(GLAPS컨테이너배차관리!$CM:$CM,$B189)))),"이지스두동",IF(ISNUMBER(SEARCH("이지스녹산",IF(INDEX(GLAPS컨테이너배차관리!$CM:$CM,$B189)="","",INDEX(GLAPS컨테이너배차관리!$CM:$CM,$B189)))),"이지스녹산",IF(ISNUMBER(SEARCH("천우",IF(INDEX(GLAPS컨테이너배차관리!$CM:$CM,$B189)="","",INDEX(GLAPS컨테이너배차관리!$CM:$CM,$B189)))),"천우",IF(OR(ISNUMBER(SEARCH("청암",IF(INDEX(GLAPS컨테이너배차관리!$CM:$CM,$B189)="","",INDEX(GLAPS컨테이너배차관리!$CM:$CM,$B189)))),ISNUMBER(SEARCH("SB청암",IF(INDEX(GLAPS컨테이너배차관리!$CM:$CM,$B189)="","",INDEX(GLAPS컨테이너배차관리!$CM:$CM,$B189))))),"청암신항",IF(INDEX(GLAPS컨테이너배차관리!$CM:$CM,$B189)="","",INDEX(GLAPS컨테이너배차관리!$CM:$CM,$B189))))))))</f>
        <v/>
      </c>
    </row>
    <row r="190" spans="1:28">
      <c r="A190">
        <v>189</v>
      </c>
      <c r="B190" t="str">
        <f>IFERROR(_xlfn.AGGREGATE(15,6,ROW(GLAPS컨테이너배차관리!$X$2:$X$20000)/(GLAPS컨테이너배차관리!$X$2:$X$20000&lt;&gt;""),A190),"")</f>
        <v/>
      </c>
      <c r="C190" t="str">
        <f>IF($B190="","",INT(IF(INDEX(GLAPS컨테이너배차관리!$K:$K,$B190)="","",INDEX(GLAPS컨테이너배차관리!$K:$K,$B190))))</f>
        <v/>
      </c>
      <c r="D190" t="str">
        <f>IF($B190="","",IF(ISNUMBER(SEARCH("이엘에스",IF(INDEX(GLAPS컨테이너배차관리!$AZ:$AZ,$B190)="","",INDEX(GLAPS컨테이너배차관리!$AZ:$AZ,$B190)))),"ELS솔루션",IF(INDEX(GLAPS컨테이너배차관리!$AZ:$AZ,$B190)="","",INDEX(GLAPS컨테이너배차관리!$AZ:$AZ,$B190))))</f>
        <v/>
      </c>
      <c r="E190" t="str">
        <f>IF($B190="","",IF(INDEX(GLAPS컨테이너배차관리!$L:$L,$B190)="","",INDEX(GLAPS컨테이너배차관리!$L:$L,$B190)))</f>
        <v/>
      </c>
      <c r="F190" t="str">
        <f>IF($B190="","",IF(HOUR(IF(INDEX(GLAPS컨테이너배차관리!$L:$L,$B190)="","",INDEX(GLAPS컨테이너배차관리!$L:$L,$B190)))&lt;12,"오전",IF(HOUR(IF(INDEX(GLAPS컨테이너배차관리!$L:$L,$B190)="","",INDEX(GLAPS컨테이너배차관리!$L:$L,$B190)))&lt;18,"오후","잔업")))</f>
        <v/>
      </c>
      <c r="G190" t="str">
        <f>IF($B190="","",IFERROR(INDEX(GLAPS정리!$G$3:$G$264,MATCH(IF(INDEX(GLAPS컨테이너배차관리!$BY:$BY,$B190)="","",INDEX(GLAPS컨테이너배차관리!$BY:$BY,$B190)),GLAPS정리!$H$3:$H$264,0)),TRIM(SUBSTITUTE(SUBSTITUTE(SUBSTITUTE(SUBSTITUTE(SUBSTITUTE(IF(INDEX(GLAPS컨테이너배차관리!$T:$T,$B190)="","",INDEX(GLAPS컨테이너배차관리!$T:$T,$B190)),"[GA]",""),"[GB]",""),"[GC]",""),"[KC]",""),"[GS]",""))))</f>
        <v/>
      </c>
      <c r="H190" t="str">
        <f>IF($B190="","",IFERROR(VLOOKUP(IF(INDEX(GLAPS컨테이너배차관리!$BY:$BY,$B190)="","",INDEX(GLAPS컨테이너배차관리!$BY:$BY,$B190)),GLAPS정리!$BT$3:$BV$200,3,0),""))</f>
        <v/>
      </c>
      <c r="I190" t="str">
        <f>IF($B190="","",LEFT(IF(INDEX(GLAPS컨테이너배차관리!$U:$U,$B190)="","",INDEX(GLAPS컨테이너배차관리!$U:$U,$B190)),FIND("/",IF(INDEX(GLAPS컨테이너배차관리!$U:$U,$B190)="","",INDEX(GLAPS컨테이너배차관리!$U:$U,$B190))&amp;"/")-1))</f>
        <v/>
      </c>
      <c r="J190" t="str">
        <f>IF($B190="","",IF(IF(INDEX(GLAPS컨테이너배차관리!$O:$O,$B190)="","",INDEX(GLAPS컨테이너배차관리!$O:$O,$B190))="EMC","EMA",IFERROR(INDEX(GLAPS정리!$A$2:$A$50,MATCH(IF(INDEX(GLAPS컨테이너배차관리!$O:$O,$B190)="","",INDEX(GLAPS컨테이너배차관리!$O:$O,$B190)),GLAPS정리!$D$2:$D$50,0)),IF(INDEX(GLAPS컨테이너배차관리!$O:$O,$B190)="","",INDEX(GLAPS컨테이너배차관리!$O:$O,$B190)))))</f>
        <v/>
      </c>
      <c r="K190" t="str">
        <f>IF($B190="","",IF(LEFT(IF(INDEX(GLAPS컨테이너배차관리!$Y:$Y,$B190)="","",INDEX(GLAPS컨테이너배차관리!$Y:$Y,$B190)),2)="22","20 Feet",IF(LEFT(IF(INDEX(GLAPS컨테이너배차관리!$Y:$Y,$B190)="","",INDEX(GLAPS컨테이너배차관리!$Y:$Y,$B190)),2)="42","40 Feet","40 Feet H")))</f>
        <v/>
      </c>
      <c r="L190" t="str">
        <f>IF($B190="","",IFERROR(INDEX(GLAPS정리!$BB$2:$BB$80,MATCH(IF(INDEX(GLAPS컨테이너배차관리!$BQ:$BQ,$B190)="","",INDEX(GLAPS컨테이너배차관리!$BQ:$BQ,$B190)),GLAPS정리!$BC$2:$BC$80,0)),IF(INDEX(GLAPS컨테이너배차관리!$BQ:$BQ,$B190)="","",INDEX(GLAPS컨테이너배차관리!$BQ:$BQ,$B190))))</f>
        <v/>
      </c>
      <c r="M190" t="str">
        <f>IF($B190="","",IFERROR(INDEX(GLAPS정리!$V$3:$V$180,MATCH(IF(INDEX(GLAPS컨테이너배차관리!$S:$S,$B190)="","",INDEX(GLAPS컨테이너배차관리!$S:$S,$B190)),GLAPS정리!$W$3:$W$180,0)),IF(INDEX(GLAPS컨테이너배차관리!$S:$S,$B190)="","",INDEX(GLAPS컨테이너배차관리!$S:$S,$B190))))</f>
        <v/>
      </c>
      <c r="N190" t="str">
        <f>IF($B190="","",IF(IF(INDEX(GLAPS컨테이너배차관리!$DF:$DF,$B190)="","",INDEX(GLAPS컨테이너배차관리!$DF:$DF,$B190))&lt;&gt;"",IF(INDEX(GLAPS컨테이너배차관리!$DF:$DF,$B190)="","",INDEX(GLAPS컨테이너배차관리!$DF:$DF,$B190)),IF(IF(INDEX(GLAPS컨테이너배차관리!$DG:$DG,$B190)="","",INDEX(GLAPS컨테이너배차관리!$DG:$DG,$B190))&lt;&gt;"",IF(INDEX(GLAPS컨테이너배차관리!$DG:$DG,$B190)="","",INDEX(GLAPS컨테이너배차관리!$DG:$DG,$B190)),"")))</f>
        <v/>
      </c>
      <c r="O190" t="str">
        <f>IF($B190="","",IF(INDEX(GLAPS컨테이너배차관리!$AB:$AB,$B190)="","",INDEX(GLAPS컨테이너배차관리!$AB:$AB,$B190)))</f>
        <v/>
      </c>
      <c r="P190" t="str">
        <f>IF($B190="","",IF(IF(INDEX(GLAPS컨테이너배차관리!$CP:$CP,$B190)="","",INDEX(GLAPS컨테이너배차관리!$CP:$CP,$B190))="","",IFERROR(INDEX(GLAPS정리!$BH$2:$BH$101,MATCH(IF(INDEX(GLAPS컨테이너배차관리!$CP:$CP,$B190)="","",INDEX(GLAPS컨테이너배차관리!$CP:$CP,$B190)),GLAPS정리!$BI$2:$BI$101,0)),IF(INDEX(GLAPS컨테이너배차관리!$CP:$CP,$B190)="","",INDEX(GLAPS컨테이너배차관리!$CP:$CP,$B190)))))</f>
        <v/>
      </c>
      <c r="Q190" t="str">
        <f>IF($B190="","",IF(AND(IF(INDEX(GLAPS컨테이너배차관리!$AK:$AK,$B190)="","",INDEX(GLAPS컨테이너배차관리!$AK:$AK,$B190))="Y",IF(INDEX(GLAPS컨테이너배차관리!$AI:$AI,$B190)="","",INDEX(GLAPS컨테이너배차관리!$AI:$AI,$B190))="Y"),"위험물리퍼",IF(IF(INDEX(GLAPS컨테이너배차관리!$AK:$AK,$B190)="","",INDEX(GLAPS컨테이너배차관리!$AK:$AK,$B190))="Y","위험물",IF(IF(INDEX(GLAPS컨테이너배차관리!$AI:$AI,$B190)="","",INDEX(GLAPS컨테이너배차관리!$AI:$AI,$B190))="Y","리퍼",""))))</f>
        <v/>
      </c>
      <c r="R190" t="str">
        <f>IF($B190="","",IF(LEFT(IF(INDEX(GLAPS컨테이너배차관리!$Y:$Y,$B190)="","",INDEX(GLAPS컨테이너배차관리!$Y:$Y,$B190)),2)="22",1,""))</f>
        <v/>
      </c>
      <c r="S190" t="str">
        <f>IF($B190="","",IF(LEFT(IF(INDEX(GLAPS컨테이너배차관리!$Y:$Y,$B190)="","",INDEX(GLAPS컨테이너배차관리!$Y:$Y,$B190)),2)="42",1,""))</f>
        <v/>
      </c>
      <c r="T190" t="str">
        <f>IF($B190="","",IF(LEFT(IF(INDEX(GLAPS컨테이너배차관리!$Y:$Y,$B190)="","",INDEX(GLAPS컨테이너배차관리!$Y:$Y,$B190)),2)="45",1,""))</f>
        <v/>
      </c>
      <c r="U190" t="str">
        <f>IF($B190="","",IF(INDEX(GLAPS컨테이너배차관리!$X:$X,$B190)="","",INDEX(GLAPS컨테이너배차관리!$X:$X,$B190)))</f>
        <v/>
      </c>
      <c r="V190" t="str">
        <f>IF($B190="","",IF(INDEX(GLAPS컨테이너배차관리!$Z:$Z,$B190)="","",INDEX(GLAPS컨테이너배차관리!$Z:$Z,$B190)))</f>
        <v/>
      </c>
      <c r="W190" t="str">
        <f>IF($B190="","",IF(IF(INDEX(GLAPS컨테이너배차관리!$DI:$DI,$B190)="","",INDEX(GLAPS컨테이너배차관리!$DI:$DI,$B190))&lt;&gt;"",IF(INDEX(GLAPS컨테이너배차관리!$DI:$DI,$B190)="","",INDEX(GLAPS컨테이너배차관리!$DI:$DI,$B190)),IF(IF(INDEX(GLAPS컨테이너배차관리!$DJ:$DJ,$B190)="","",INDEX(GLAPS컨테이너배차관리!$DJ:$DJ,$B190))&lt;&gt;"",IF(INDEX(GLAPS컨테이너배차관리!$DJ:$DJ,$B190)="","",INDEX(GLAPS컨테이너배차관리!$DJ:$DJ,$B190)),IF(IF(INDEX(GLAPS컨테이너배차관리!$DK:$DK,$B190)="","",INDEX(GLAPS컨테이너배차관리!$DK:$DK,$B190))&lt;&gt;"",IF(INDEX(GLAPS컨테이너배차관리!$DK:$DK,$B190)="","",INDEX(GLAPS컨테이너배차관리!$DK:$DK,$B190)),IF(IF(INDEX(GLAPS컨테이너배차관리!$DL:$DL,$B190)="","",INDEX(GLAPS컨테이너배차관리!$DL:$DL,$B190))&lt;&gt;"",IF(INDEX(GLAPS컨테이너배차관리!$DL:$DL,$B190)="","",INDEX(GLAPS컨테이너배차관리!$DL:$DL,$B190)),IF(IF(INDEX(GLAPS컨테이너배차관리!$DM:$DM,$B190)="","",INDEX(GLAPS컨테이너배차관리!$DM:$DM,$B190))&lt;&gt;"",IF(INDEX(GLAPS컨테이너배차관리!$DM:$DM,$B190)="","",INDEX(GLAPS컨테이너배차관리!$DM:$DM,$B190)),""))))))</f>
        <v/>
      </c>
      <c r="X190" t="str">
        <f>IF($B190="","",IF(INDEX(GLAPS컨테이너배차관리!$F:$F,$B190)="","",INDEX(GLAPS컨테이너배차관리!$F:$F,$B190)))</f>
        <v/>
      </c>
      <c r="Y190" t="str">
        <f>IF($B190="","",IF(IF(INDEX(GLAPS컨테이너배차관리!$M:$M,$B190)="","",INDEX(GLAPS컨테이너배차관리!$M:$M,$B190))&lt;&gt;"",IF(INDEX(GLAPS컨테이너배차관리!$M:$M,$B190)="","",INDEX(GLAPS컨테이너배차관리!$M:$M,$B190)),IF(IF(INDEX(GLAPS컨테이너배차관리!$N:$N,$B190)="","",INDEX(GLAPS컨테이너배차관리!$N:$N,$B190))&lt;&gt;"",IF(INDEX(GLAPS컨테이너배차관리!$N:$N,$B190)="","",INDEX(GLAPS컨테이너배차관리!$N:$N,$B190)),"")))</f>
        <v/>
      </c>
      <c r="Z190" t="str">
        <f>IF($B190="","",IF(IF(INDEX(GLAPS컨테이너배차관리!$CU:$CU,$B190)="","",INDEX(GLAPS컨테이너배차관리!$CU:$CU,$B190))="","",IFERROR(INT(IF(INDEX(GLAPS컨테이너배차관리!$CU:$CU,$B190)="","",INDEX(GLAPS컨테이너배차관리!$CU:$CU,$B190))),"")))</f>
        <v/>
      </c>
      <c r="AA190" t="str">
        <f>IF($B190="","",IF(AND(IF(INDEX(GLAPS컨테이너배차관리!$CL:$CL,$B190)="","",INDEX(GLAPS컨테이너배차관리!$CL:$CL,$B190))="",IF(INDEX(GLAPS컨테이너배차관리!$CM:$CM,$B190)="","",INDEX(GLAPS컨테이너배차관리!$CM:$CM,$B190))=""),"",IF(OR(IF(INDEX(GLAPS컨테이너배차관리!$CL:$CL,$B190)="","",INDEX(GLAPS컨테이너배차관리!$CL:$CL,$B190))="B000016649",ISNUMBER(SEARCH("B015",IF(INDEX(GLAPS컨테이너배차관리!$CM:$CM,$B190)="","",INDEX(GLAPS컨테이너배차관리!$CM:$CM,$B190)))),ISNUMBER(SEARCH("세방",IF(INDEX(GLAPS컨테이너배차관리!$CM:$CM,$B190)="","",INDEX(GLAPS컨테이너배차관리!$CM:$CM,$B190)))),ISNUMBER(SEARCH("SB",IF(INDEX(GLAPS컨테이너배차관리!$CM:$CM,$B190)="","",INDEX(GLAPS컨테이너배차관리!$CM:$CM,$B190))))),"세방","")))</f>
        <v/>
      </c>
      <c r="AB190" t="str">
        <f>IF($B190="","",IF(IF(INDEX(GLAPS컨테이너배차관리!$CM:$CM,$B190)="","",INDEX(GLAPS컨테이너배차관리!$CM:$CM,$B190))="","",IF(ISNUMBER(SEARCH("이지스두동",IF(INDEX(GLAPS컨테이너배차관리!$CM:$CM,$B190)="","",INDEX(GLAPS컨테이너배차관리!$CM:$CM,$B190)))),"이지스두동",IF(ISNUMBER(SEARCH("이지스녹산",IF(INDEX(GLAPS컨테이너배차관리!$CM:$CM,$B190)="","",INDEX(GLAPS컨테이너배차관리!$CM:$CM,$B190)))),"이지스녹산",IF(ISNUMBER(SEARCH("천우",IF(INDEX(GLAPS컨테이너배차관리!$CM:$CM,$B190)="","",INDEX(GLAPS컨테이너배차관리!$CM:$CM,$B190)))),"천우",IF(OR(ISNUMBER(SEARCH("청암",IF(INDEX(GLAPS컨테이너배차관리!$CM:$CM,$B190)="","",INDEX(GLAPS컨테이너배차관리!$CM:$CM,$B190)))),ISNUMBER(SEARCH("SB청암",IF(INDEX(GLAPS컨테이너배차관리!$CM:$CM,$B190)="","",INDEX(GLAPS컨테이너배차관리!$CM:$CM,$B190))))),"청암신항",IF(INDEX(GLAPS컨테이너배차관리!$CM:$CM,$B190)="","",INDEX(GLAPS컨테이너배차관리!$CM:$CM,$B190))))))))</f>
        <v/>
      </c>
    </row>
    <row r="191" spans="1:28">
      <c r="A191">
        <v>190</v>
      </c>
      <c r="B191" t="str">
        <f>IFERROR(_xlfn.AGGREGATE(15,6,ROW(GLAPS컨테이너배차관리!$X$2:$X$20000)/(GLAPS컨테이너배차관리!$X$2:$X$20000&lt;&gt;""),A191),"")</f>
        <v/>
      </c>
      <c r="C191" t="str">
        <f>IF($B191="","",INT(IF(INDEX(GLAPS컨테이너배차관리!$K:$K,$B191)="","",INDEX(GLAPS컨테이너배차관리!$K:$K,$B191))))</f>
        <v/>
      </c>
      <c r="D191" t="str">
        <f>IF($B191="","",IF(ISNUMBER(SEARCH("이엘에스",IF(INDEX(GLAPS컨테이너배차관리!$AZ:$AZ,$B191)="","",INDEX(GLAPS컨테이너배차관리!$AZ:$AZ,$B191)))),"ELS솔루션",IF(INDEX(GLAPS컨테이너배차관리!$AZ:$AZ,$B191)="","",INDEX(GLAPS컨테이너배차관리!$AZ:$AZ,$B191))))</f>
        <v/>
      </c>
      <c r="E191" t="str">
        <f>IF($B191="","",IF(INDEX(GLAPS컨테이너배차관리!$L:$L,$B191)="","",INDEX(GLAPS컨테이너배차관리!$L:$L,$B191)))</f>
        <v/>
      </c>
      <c r="F191" t="str">
        <f>IF($B191="","",IF(HOUR(IF(INDEX(GLAPS컨테이너배차관리!$L:$L,$B191)="","",INDEX(GLAPS컨테이너배차관리!$L:$L,$B191)))&lt;12,"오전",IF(HOUR(IF(INDEX(GLAPS컨테이너배차관리!$L:$L,$B191)="","",INDEX(GLAPS컨테이너배차관리!$L:$L,$B191)))&lt;18,"오후","잔업")))</f>
        <v/>
      </c>
      <c r="G191" t="str">
        <f>IF($B191="","",IFERROR(INDEX(GLAPS정리!$G$3:$G$264,MATCH(IF(INDEX(GLAPS컨테이너배차관리!$BY:$BY,$B191)="","",INDEX(GLAPS컨테이너배차관리!$BY:$BY,$B191)),GLAPS정리!$H$3:$H$264,0)),TRIM(SUBSTITUTE(SUBSTITUTE(SUBSTITUTE(SUBSTITUTE(SUBSTITUTE(IF(INDEX(GLAPS컨테이너배차관리!$T:$T,$B191)="","",INDEX(GLAPS컨테이너배차관리!$T:$T,$B191)),"[GA]",""),"[GB]",""),"[GC]",""),"[KC]",""),"[GS]",""))))</f>
        <v/>
      </c>
      <c r="H191" t="str">
        <f>IF($B191="","",IFERROR(VLOOKUP(IF(INDEX(GLAPS컨테이너배차관리!$BY:$BY,$B191)="","",INDEX(GLAPS컨테이너배차관리!$BY:$BY,$B191)),GLAPS정리!$BT$3:$BV$200,3,0),""))</f>
        <v/>
      </c>
      <c r="I191" t="str">
        <f>IF($B191="","",LEFT(IF(INDEX(GLAPS컨테이너배차관리!$U:$U,$B191)="","",INDEX(GLAPS컨테이너배차관리!$U:$U,$B191)),FIND("/",IF(INDEX(GLAPS컨테이너배차관리!$U:$U,$B191)="","",INDEX(GLAPS컨테이너배차관리!$U:$U,$B191))&amp;"/")-1))</f>
        <v/>
      </c>
      <c r="J191" t="str">
        <f>IF($B191="","",IF(IF(INDEX(GLAPS컨테이너배차관리!$O:$O,$B191)="","",INDEX(GLAPS컨테이너배차관리!$O:$O,$B191))="EMC","EMA",IFERROR(INDEX(GLAPS정리!$A$2:$A$50,MATCH(IF(INDEX(GLAPS컨테이너배차관리!$O:$O,$B191)="","",INDEX(GLAPS컨테이너배차관리!$O:$O,$B191)),GLAPS정리!$D$2:$D$50,0)),IF(INDEX(GLAPS컨테이너배차관리!$O:$O,$B191)="","",INDEX(GLAPS컨테이너배차관리!$O:$O,$B191)))))</f>
        <v/>
      </c>
      <c r="K191" t="str">
        <f>IF($B191="","",IF(LEFT(IF(INDEX(GLAPS컨테이너배차관리!$Y:$Y,$B191)="","",INDEX(GLAPS컨테이너배차관리!$Y:$Y,$B191)),2)="22","20 Feet",IF(LEFT(IF(INDEX(GLAPS컨테이너배차관리!$Y:$Y,$B191)="","",INDEX(GLAPS컨테이너배차관리!$Y:$Y,$B191)),2)="42","40 Feet","40 Feet H")))</f>
        <v/>
      </c>
      <c r="L191" t="str">
        <f>IF($B191="","",IFERROR(INDEX(GLAPS정리!$BB$2:$BB$80,MATCH(IF(INDEX(GLAPS컨테이너배차관리!$BQ:$BQ,$B191)="","",INDEX(GLAPS컨테이너배차관리!$BQ:$BQ,$B191)),GLAPS정리!$BC$2:$BC$80,0)),IF(INDEX(GLAPS컨테이너배차관리!$BQ:$BQ,$B191)="","",INDEX(GLAPS컨테이너배차관리!$BQ:$BQ,$B191))))</f>
        <v/>
      </c>
      <c r="M191" t="str">
        <f>IF($B191="","",IFERROR(INDEX(GLAPS정리!$V$3:$V$180,MATCH(IF(INDEX(GLAPS컨테이너배차관리!$S:$S,$B191)="","",INDEX(GLAPS컨테이너배차관리!$S:$S,$B191)),GLAPS정리!$W$3:$W$180,0)),IF(INDEX(GLAPS컨테이너배차관리!$S:$S,$B191)="","",INDEX(GLAPS컨테이너배차관리!$S:$S,$B191))))</f>
        <v/>
      </c>
      <c r="N191" t="str">
        <f>IF($B191="","",IF(IF(INDEX(GLAPS컨테이너배차관리!$DF:$DF,$B191)="","",INDEX(GLAPS컨테이너배차관리!$DF:$DF,$B191))&lt;&gt;"",IF(INDEX(GLAPS컨테이너배차관리!$DF:$DF,$B191)="","",INDEX(GLAPS컨테이너배차관리!$DF:$DF,$B191)),IF(IF(INDEX(GLAPS컨테이너배차관리!$DG:$DG,$B191)="","",INDEX(GLAPS컨테이너배차관리!$DG:$DG,$B191))&lt;&gt;"",IF(INDEX(GLAPS컨테이너배차관리!$DG:$DG,$B191)="","",INDEX(GLAPS컨테이너배차관리!$DG:$DG,$B191)),"")))</f>
        <v/>
      </c>
      <c r="O191" t="str">
        <f>IF($B191="","",IF(INDEX(GLAPS컨테이너배차관리!$AB:$AB,$B191)="","",INDEX(GLAPS컨테이너배차관리!$AB:$AB,$B191)))</f>
        <v/>
      </c>
      <c r="P191" t="str">
        <f>IF($B191="","",IF(IF(INDEX(GLAPS컨테이너배차관리!$CP:$CP,$B191)="","",INDEX(GLAPS컨테이너배차관리!$CP:$CP,$B191))="","",IFERROR(INDEX(GLAPS정리!$BH$2:$BH$101,MATCH(IF(INDEX(GLAPS컨테이너배차관리!$CP:$CP,$B191)="","",INDEX(GLAPS컨테이너배차관리!$CP:$CP,$B191)),GLAPS정리!$BI$2:$BI$101,0)),IF(INDEX(GLAPS컨테이너배차관리!$CP:$CP,$B191)="","",INDEX(GLAPS컨테이너배차관리!$CP:$CP,$B191)))))</f>
        <v/>
      </c>
      <c r="Q191" t="str">
        <f>IF($B191="","",IF(AND(IF(INDEX(GLAPS컨테이너배차관리!$AK:$AK,$B191)="","",INDEX(GLAPS컨테이너배차관리!$AK:$AK,$B191))="Y",IF(INDEX(GLAPS컨테이너배차관리!$AI:$AI,$B191)="","",INDEX(GLAPS컨테이너배차관리!$AI:$AI,$B191))="Y"),"위험물리퍼",IF(IF(INDEX(GLAPS컨테이너배차관리!$AK:$AK,$B191)="","",INDEX(GLAPS컨테이너배차관리!$AK:$AK,$B191))="Y","위험물",IF(IF(INDEX(GLAPS컨테이너배차관리!$AI:$AI,$B191)="","",INDEX(GLAPS컨테이너배차관리!$AI:$AI,$B191))="Y","리퍼",""))))</f>
        <v/>
      </c>
      <c r="R191" t="str">
        <f>IF($B191="","",IF(LEFT(IF(INDEX(GLAPS컨테이너배차관리!$Y:$Y,$B191)="","",INDEX(GLAPS컨테이너배차관리!$Y:$Y,$B191)),2)="22",1,""))</f>
        <v/>
      </c>
      <c r="S191" t="str">
        <f>IF($B191="","",IF(LEFT(IF(INDEX(GLAPS컨테이너배차관리!$Y:$Y,$B191)="","",INDEX(GLAPS컨테이너배차관리!$Y:$Y,$B191)),2)="42",1,""))</f>
        <v/>
      </c>
      <c r="T191" t="str">
        <f>IF($B191="","",IF(LEFT(IF(INDEX(GLAPS컨테이너배차관리!$Y:$Y,$B191)="","",INDEX(GLAPS컨테이너배차관리!$Y:$Y,$B191)),2)="45",1,""))</f>
        <v/>
      </c>
      <c r="U191" t="str">
        <f>IF($B191="","",IF(INDEX(GLAPS컨테이너배차관리!$X:$X,$B191)="","",INDEX(GLAPS컨테이너배차관리!$X:$X,$B191)))</f>
        <v/>
      </c>
      <c r="V191" t="str">
        <f>IF($B191="","",IF(INDEX(GLAPS컨테이너배차관리!$Z:$Z,$B191)="","",INDEX(GLAPS컨테이너배차관리!$Z:$Z,$B191)))</f>
        <v/>
      </c>
      <c r="W191" t="str">
        <f>IF($B191="","",IF(IF(INDEX(GLAPS컨테이너배차관리!$DI:$DI,$B191)="","",INDEX(GLAPS컨테이너배차관리!$DI:$DI,$B191))&lt;&gt;"",IF(INDEX(GLAPS컨테이너배차관리!$DI:$DI,$B191)="","",INDEX(GLAPS컨테이너배차관리!$DI:$DI,$B191)),IF(IF(INDEX(GLAPS컨테이너배차관리!$DJ:$DJ,$B191)="","",INDEX(GLAPS컨테이너배차관리!$DJ:$DJ,$B191))&lt;&gt;"",IF(INDEX(GLAPS컨테이너배차관리!$DJ:$DJ,$B191)="","",INDEX(GLAPS컨테이너배차관리!$DJ:$DJ,$B191)),IF(IF(INDEX(GLAPS컨테이너배차관리!$DK:$DK,$B191)="","",INDEX(GLAPS컨테이너배차관리!$DK:$DK,$B191))&lt;&gt;"",IF(INDEX(GLAPS컨테이너배차관리!$DK:$DK,$B191)="","",INDEX(GLAPS컨테이너배차관리!$DK:$DK,$B191)),IF(IF(INDEX(GLAPS컨테이너배차관리!$DL:$DL,$B191)="","",INDEX(GLAPS컨테이너배차관리!$DL:$DL,$B191))&lt;&gt;"",IF(INDEX(GLAPS컨테이너배차관리!$DL:$DL,$B191)="","",INDEX(GLAPS컨테이너배차관리!$DL:$DL,$B191)),IF(IF(INDEX(GLAPS컨테이너배차관리!$DM:$DM,$B191)="","",INDEX(GLAPS컨테이너배차관리!$DM:$DM,$B191))&lt;&gt;"",IF(INDEX(GLAPS컨테이너배차관리!$DM:$DM,$B191)="","",INDEX(GLAPS컨테이너배차관리!$DM:$DM,$B191)),""))))))</f>
        <v/>
      </c>
      <c r="X191" t="str">
        <f>IF($B191="","",IF(INDEX(GLAPS컨테이너배차관리!$F:$F,$B191)="","",INDEX(GLAPS컨테이너배차관리!$F:$F,$B191)))</f>
        <v/>
      </c>
      <c r="Y191" t="str">
        <f>IF($B191="","",IF(IF(INDEX(GLAPS컨테이너배차관리!$M:$M,$B191)="","",INDEX(GLAPS컨테이너배차관리!$M:$M,$B191))&lt;&gt;"",IF(INDEX(GLAPS컨테이너배차관리!$M:$M,$B191)="","",INDEX(GLAPS컨테이너배차관리!$M:$M,$B191)),IF(IF(INDEX(GLAPS컨테이너배차관리!$N:$N,$B191)="","",INDEX(GLAPS컨테이너배차관리!$N:$N,$B191))&lt;&gt;"",IF(INDEX(GLAPS컨테이너배차관리!$N:$N,$B191)="","",INDEX(GLAPS컨테이너배차관리!$N:$N,$B191)),"")))</f>
        <v/>
      </c>
      <c r="Z191" t="str">
        <f>IF($B191="","",IF(IF(INDEX(GLAPS컨테이너배차관리!$CU:$CU,$B191)="","",INDEX(GLAPS컨테이너배차관리!$CU:$CU,$B191))="","",IFERROR(INT(IF(INDEX(GLAPS컨테이너배차관리!$CU:$CU,$B191)="","",INDEX(GLAPS컨테이너배차관리!$CU:$CU,$B191))),"")))</f>
        <v/>
      </c>
      <c r="AA191" t="str">
        <f>IF($B191="","",IF(AND(IF(INDEX(GLAPS컨테이너배차관리!$CL:$CL,$B191)="","",INDEX(GLAPS컨테이너배차관리!$CL:$CL,$B191))="",IF(INDEX(GLAPS컨테이너배차관리!$CM:$CM,$B191)="","",INDEX(GLAPS컨테이너배차관리!$CM:$CM,$B191))=""),"",IF(OR(IF(INDEX(GLAPS컨테이너배차관리!$CL:$CL,$B191)="","",INDEX(GLAPS컨테이너배차관리!$CL:$CL,$B191))="B000016649",ISNUMBER(SEARCH("B015",IF(INDEX(GLAPS컨테이너배차관리!$CM:$CM,$B191)="","",INDEX(GLAPS컨테이너배차관리!$CM:$CM,$B191)))),ISNUMBER(SEARCH("세방",IF(INDEX(GLAPS컨테이너배차관리!$CM:$CM,$B191)="","",INDEX(GLAPS컨테이너배차관리!$CM:$CM,$B191)))),ISNUMBER(SEARCH("SB",IF(INDEX(GLAPS컨테이너배차관리!$CM:$CM,$B191)="","",INDEX(GLAPS컨테이너배차관리!$CM:$CM,$B191))))),"세방","")))</f>
        <v/>
      </c>
      <c r="AB191" t="str">
        <f>IF($B191="","",IF(IF(INDEX(GLAPS컨테이너배차관리!$CM:$CM,$B191)="","",INDEX(GLAPS컨테이너배차관리!$CM:$CM,$B191))="","",IF(ISNUMBER(SEARCH("이지스두동",IF(INDEX(GLAPS컨테이너배차관리!$CM:$CM,$B191)="","",INDEX(GLAPS컨테이너배차관리!$CM:$CM,$B191)))),"이지스두동",IF(ISNUMBER(SEARCH("이지스녹산",IF(INDEX(GLAPS컨테이너배차관리!$CM:$CM,$B191)="","",INDEX(GLAPS컨테이너배차관리!$CM:$CM,$B191)))),"이지스녹산",IF(ISNUMBER(SEARCH("천우",IF(INDEX(GLAPS컨테이너배차관리!$CM:$CM,$B191)="","",INDEX(GLAPS컨테이너배차관리!$CM:$CM,$B191)))),"천우",IF(OR(ISNUMBER(SEARCH("청암",IF(INDEX(GLAPS컨테이너배차관리!$CM:$CM,$B191)="","",INDEX(GLAPS컨테이너배차관리!$CM:$CM,$B191)))),ISNUMBER(SEARCH("SB청암",IF(INDEX(GLAPS컨테이너배차관리!$CM:$CM,$B191)="","",INDEX(GLAPS컨테이너배차관리!$CM:$CM,$B191))))),"청암신항",IF(INDEX(GLAPS컨테이너배차관리!$CM:$CM,$B191)="","",INDEX(GLAPS컨테이너배차관리!$CM:$CM,$B191))))))))</f>
        <v/>
      </c>
    </row>
    <row r="192" spans="1:28">
      <c r="A192">
        <v>191</v>
      </c>
      <c r="B192" t="str">
        <f>IFERROR(_xlfn.AGGREGATE(15,6,ROW(GLAPS컨테이너배차관리!$X$2:$X$20000)/(GLAPS컨테이너배차관리!$X$2:$X$20000&lt;&gt;""),A192),"")</f>
        <v/>
      </c>
      <c r="C192" t="str">
        <f>IF($B192="","",INT(IF(INDEX(GLAPS컨테이너배차관리!$K:$K,$B192)="","",INDEX(GLAPS컨테이너배차관리!$K:$K,$B192))))</f>
        <v/>
      </c>
      <c r="D192" t="str">
        <f>IF($B192="","",IF(ISNUMBER(SEARCH("이엘에스",IF(INDEX(GLAPS컨테이너배차관리!$AZ:$AZ,$B192)="","",INDEX(GLAPS컨테이너배차관리!$AZ:$AZ,$B192)))),"ELS솔루션",IF(INDEX(GLAPS컨테이너배차관리!$AZ:$AZ,$B192)="","",INDEX(GLAPS컨테이너배차관리!$AZ:$AZ,$B192))))</f>
        <v/>
      </c>
      <c r="E192" t="str">
        <f>IF($B192="","",IF(INDEX(GLAPS컨테이너배차관리!$L:$L,$B192)="","",INDEX(GLAPS컨테이너배차관리!$L:$L,$B192)))</f>
        <v/>
      </c>
      <c r="F192" t="str">
        <f>IF($B192="","",IF(HOUR(IF(INDEX(GLAPS컨테이너배차관리!$L:$L,$B192)="","",INDEX(GLAPS컨테이너배차관리!$L:$L,$B192)))&lt;12,"오전",IF(HOUR(IF(INDEX(GLAPS컨테이너배차관리!$L:$L,$B192)="","",INDEX(GLAPS컨테이너배차관리!$L:$L,$B192)))&lt;18,"오후","잔업")))</f>
        <v/>
      </c>
      <c r="G192" t="str">
        <f>IF($B192="","",IFERROR(INDEX(GLAPS정리!$G$3:$G$264,MATCH(IF(INDEX(GLAPS컨테이너배차관리!$BY:$BY,$B192)="","",INDEX(GLAPS컨테이너배차관리!$BY:$BY,$B192)),GLAPS정리!$H$3:$H$264,0)),TRIM(SUBSTITUTE(SUBSTITUTE(SUBSTITUTE(SUBSTITUTE(SUBSTITUTE(IF(INDEX(GLAPS컨테이너배차관리!$T:$T,$B192)="","",INDEX(GLAPS컨테이너배차관리!$T:$T,$B192)),"[GA]",""),"[GB]",""),"[GC]",""),"[KC]",""),"[GS]",""))))</f>
        <v/>
      </c>
      <c r="H192" t="str">
        <f>IF($B192="","",IFERROR(VLOOKUP(IF(INDEX(GLAPS컨테이너배차관리!$BY:$BY,$B192)="","",INDEX(GLAPS컨테이너배차관리!$BY:$BY,$B192)),GLAPS정리!$BT$3:$BV$200,3,0),""))</f>
        <v/>
      </c>
      <c r="I192" t="str">
        <f>IF($B192="","",LEFT(IF(INDEX(GLAPS컨테이너배차관리!$U:$U,$B192)="","",INDEX(GLAPS컨테이너배차관리!$U:$U,$B192)),FIND("/",IF(INDEX(GLAPS컨테이너배차관리!$U:$U,$B192)="","",INDEX(GLAPS컨테이너배차관리!$U:$U,$B192))&amp;"/")-1))</f>
        <v/>
      </c>
      <c r="J192" t="str">
        <f>IF($B192="","",IF(IF(INDEX(GLAPS컨테이너배차관리!$O:$O,$B192)="","",INDEX(GLAPS컨테이너배차관리!$O:$O,$B192))="EMC","EMA",IFERROR(INDEX(GLAPS정리!$A$2:$A$50,MATCH(IF(INDEX(GLAPS컨테이너배차관리!$O:$O,$B192)="","",INDEX(GLAPS컨테이너배차관리!$O:$O,$B192)),GLAPS정리!$D$2:$D$50,0)),IF(INDEX(GLAPS컨테이너배차관리!$O:$O,$B192)="","",INDEX(GLAPS컨테이너배차관리!$O:$O,$B192)))))</f>
        <v/>
      </c>
      <c r="K192" t="str">
        <f>IF($B192="","",IF(LEFT(IF(INDEX(GLAPS컨테이너배차관리!$Y:$Y,$B192)="","",INDEX(GLAPS컨테이너배차관리!$Y:$Y,$B192)),2)="22","20 Feet",IF(LEFT(IF(INDEX(GLAPS컨테이너배차관리!$Y:$Y,$B192)="","",INDEX(GLAPS컨테이너배차관리!$Y:$Y,$B192)),2)="42","40 Feet","40 Feet H")))</f>
        <v/>
      </c>
      <c r="L192" t="str">
        <f>IF($B192="","",IFERROR(INDEX(GLAPS정리!$BB$2:$BB$80,MATCH(IF(INDEX(GLAPS컨테이너배차관리!$BQ:$BQ,$B192)="","",INDEX(GLAPS컨테이너배차관리!$BQ:$BQ,$B192)),GLAPS정리!$BC$2:$BC$80,0)),IF(INDEX(GLAPS컨테이너배차관리!$BQ:$BQ,$B192)="","",INDEX(GLAPS컨테이너배차관리!$BQ:$BQ,$B192))))</f>
        <v/>
      </c>
      <c r="M192" t="str">
        <f>IF($B192="","",IFERROR(INDEX(GLAPS정리!$V$3:$V$180,MATCH(IF(INDEX(GLAPS컨테이너배차관리!$S:$S,$B192)="","",INDEX(GLAPS컨테이너배차관리!$S:$S,$B192)),GLAPS정리!$W$3:$W$180,0)),IF(INDEX(GLAPS컨테이너배차관리!$S:$S,$B192)="","",INDEX(GLAPS컨테이너배차관리!$S:$S,$B192))))</f>
        <v/>
      </c>
      <c r="N192" t="str">
        <f>IF($B192="","",IF(IF(INDEX(GLAPS컨테이너배차관리!$DF:$DF,$B192)="","",INDEX(GLAPS컨테이너배차관리!$DF:$DF,$B192))&lt;&gt;"",IF(INDEX(GLAPS컨테이너배차관리!$DF:$DF,$B192)="","",INDEX(GLAPS컨테이너배차관리!$DF:$DF,$B192)),IF(IF(INDEX(GLAPS컨테이너배차관리!$DG:$DG,$B192)="","",INDEX(GLAPS컨테이너배차관리!$DG:$DG,$B192))&lt;&gt;"",IF(INDEX(GLAPS컨테이너배차관리!$DG:$DG,$B192)="","",INDEX(GLAPS컨테이너배차관리!$DG:$DG,$B192)),"")))</f>
        <v/>
      </c>
      <c r="O192" t="str">
        <f>IF($B192="","",IF(INDEX(GLAPS컨테이너배차관리!$AB:$AB,$B192)="","",INDEX(GLAPS컨테이너배차관리!$AB:$AB,$B192)))</f>
        <v/>
      </c>
      <c r="P192" t="str">
        <f>IF($B192="","",IF(IF(INDEX(GLAPS컨테이너배차관리!$CP:$CP,$B192)="","",INDEX(GLAPS컨테이너배차관리!$CP:$CP,$B192))="","",IFERROR(INDEX(GLAPS정리!$BH$2:$BH$101,MATCH(IF(INDEX(GLAPS컨테이너배차관리!$CP:$CP,$B192)="","",INDEX(GLAPS컨테이너배차관리!$CP:$CP,$B192)),GLAPS정리!$BI$2:$BI$101,0)),IF(INDEX(GLAPS컨테이너배차관리!$CP:$CP,$B192)="","",INDEX(GLAPS컨테이너배차관리!$CP:$CP,$B192)))))</f>
        <v/>
      </c>
      <c r="Q192" t="str">
        <f>IF($B192="","",IF(AND(IF(INDEX(GLAPS컨테이너배차관리!$AK:$AK,$B192)="","",INDEX(GLAPS컨테이너배차관리!$AK:$AK,$B192))="Y",IF(INDEX(GLAPS컨테이너배차관리!$AI:$AI,$B192)="","",INDEX(GLAPS컨테이너배차관리!$AI:$AI,$B192))="Y"),"위험물리퍼",IF(IF(INDEX(GLAPS컨테이너배차관리!$AK:$AK,$B192)="","",INDEX(GLAPS컨테이너배차관리!$AK:$AK,$B192))="Y","위험물",IF(IF(INDEX(GLAPS컨테이너배차관리!$AI:$AI,$B192)="","",INDEX(GLAPS컨테이너배차관리!$AI:$AI,$B192))="Y","리퍼",""))))</f>
        <v/>
      </c>
      <c r="R192" t="str">
        <f>IF($B192="","",IF(LEFT(IF(INDEX(GLAPS컨테이너배차관리!$Y:$Y,$B192)="","",INDEX(GLAPS컨테이너배차관리!$Y:$Y,$B192)),2)="22",1,""))</f>
        <v/>
      </c>
      <c r="S192" t="str">
        <f>IF($B192="","",IF(LEFT(IF(INDEX(GLAPS컨테이너배차관리!$Y:$Y,$B192)="","",INDEX(GLAPS컨테이너배차관리!$Y:$Y,$B192)),2)="42",1,""))</f>
        <v/>
      </c>
      <c r="T192" t="str">
        <f>IF($B192="","",IF(LEFT(IF(INDEX(GLAPS컨테이너배차관리!$Y:$Y,$B192)="","",INDEX(GLAPS컨테이너배차관리!$Y:$Y,$B192)),2)="45",1,""))</f>
        <v/>
      </c>
      <c r="U192" t="str">
        <f>IF($B192="","",IF(INDEX(GLAPS컨테이너배차관리!$X:$X,$B192)="","",INDEX(GLAPS컨테이너배차관리!$X:$X,$B192)))</f>
        <v/>
      </c>
      <c r="V192" t="str">
        <f>IF($B192="","",IF(INDEX(GLAPS컨테이너배차관리!$Z:$Z,$B192)="","",INDEX(GLAPS컨테이너배차관리!$Z:$Z,$B192)))</f>
        <v/>
      </c>
      <c r="W192" t="str">
        <f>IF($B192="","",IF(IF(INDEX(GLAPS컨테이너배차관리!$DI:$DI,$B192)="","",INDEX(GLAPS컨테이너배차관리!$DI:$DI,$B192))&lt;&gt;"",IF(INDEX(GLAPS컨테이너배차관리!$DI:$DI,$B192)="","",INDEX(GLAPS컨테이너배차관리!$DI:$DI,$B192)),IF(IF(INDEX(GLAPS컨테이너배차관리!$DJ:$DJ,$B192)="","",INDEX(GLAPS컨테이너배차관리!$DJ:$DJ,$B192))&lt;&gt;"",IF(INDEX(GLAPS컨테이너배차관리!$DJ:$DJ,$B192)="","",INDEX(GLAPS컨테이너배차관리!$DJ:$DJ,$B192)),IF(IF(INDEX(GLAPS컨테이너배차관리!$DK:$DK,$B192)="","",INDEX(GLAPS컨테이너배차관리!$DK:$DK,$B192))&lt;&gt;"",IF(INDEX(GLAPS컨테이너배차관리!$DK:$DK,$B192)="","",INDEX(GLAPS컨테이너배차관리!$DK:$DK,$B192)),IF(IF(INDEX(GLAPS컨테이너배차관리!$DL:$DL,$B192)="","",INDEX(GLAPS컨테이너배차관리!$DL:$DL,$B192))&lt;&gt;"",IF(INDEX(GLAPS컨테이너배차관리!$DL:$DL,$B192)="","",INDEX(GLAPS컨테이너배차관리!$DL:$DL,$B192)),IF(IF(INDEX(GLAPS컨테이너배차관리!$DM:$DM,$B192)="","",INDEX(GLAPS컨테이너배차관리!$DM:$DM,$B192))&lt;&gt;"",IF(INDEX(GLAPS컨테이너배차관리!$DM:$DM,$B192)="","",INDEX(GLAPS컨테이너배차관리!$DM:$DM,$B192)),""))))))</f>
        <v/>
      </c>
      <c r="X192" t="str">
        <f>IF($B192="","",IF(INDEX(GLAPS컨테이너배차관리!$F:$F,$B192)="","",INDEX(GLAPS컨테이너배차관리!$F:$F,$B192)))</f>
        <v/>
      </c>
      <c r="Y192" t="str">
        <f>IF($B192="","",IF(IF(INDEX(GLAPS컨테이너배차관리!$M:$M,$B192)="","",INDEX(GLAPS컨테이너배차관리!$M:$M,$B192))&lt;&gt;"",IF(INDEX(GLAPS컨테이너배차관리!$M:$M,$B192)="","",INDEX(GLAPS컨테이너배차관리!$M:$M,$B192)),IF(IF(INDEX(GLAPS컨테이너배차관리!$N:$N,$B192)="","",INDEX(GLAPS컨테이너배차관리!$N:$N,$B192))&lt;&gt;"",IF(INDEX(GLAPS컨테이너배차관리!$N:$N,$B192)="","",INDEX(GLAPS컨테이너배차관리!$N:$N,$B192)),"")))</f>
        <v/>
      </c>
      <c r="Z192" t="str">
        <f>IF($B192="","",IF(IF(INDEX(GLAPS컨테이너배차관리!$CU:$CU,$B192)="","",INDEX(GLAPS컨테이너배차관리!$CU:$CU,$B192))="","",IFERROR(INT(IF(INDEX(GLAPS컨테이너배차관리!$CU:$CU,$B192)="","",INDEX(GLAPS컨테이너배차관리!$CU:$CU,$B192))),"")))</f>
        <v/>
      </c>
      <c r="AA192" t="str">
        <f>IF($B192="","",IF(AND(IF(INDEX(GLAPS컨테이너배차관리!$CL:$CL,$B192)="","",INDEX(GLAPS컨테이너배차관리!$CL:$CL,$B192))="",IF(INDEX(GLAPS컨테이너배차관리!$CM:$CM,$B192)="","",INDEX(GLAPS컨테이너배차관리!$CM:$CM,$B192))=""),"",IF(OR(IF(INDEX(GLAPS컨테이너배차관리!$CL:$CL,$B192)="","",INDEX(GLAPS컨테이너배차관리!$CL:$CL,$B192))="B000016649",ISNUMBER(SEARCH("B015",IF(INDEX(GLAPS컨테이너배차관리!$CM:$CM,$B192)="","",INDEX(GLAPS컨테이너배차관리!$CM:$CM,$B192)))),ISNUMBER(SEARCH("세방",IF(INDEX(GLAPS컨테이너배차관리!$CM:$CM,$B192)="","",INDEX(GLAPS컨테이너배차관리!$CM:$CM,$B192)))),ISNUMBER(SEARCH("SB",IF(INDEX(GLAPS컨테이너배차관리!$CM:$CM,$B192)="","",INDEX(GLAPS컨테이너배차관리!$CM:$CM,$B192))))),"세방","")))</f>
        <v/>
      </c>
      <c r="AB192" t="str">
        <f>IF($B192="","",IF(IF(INDEX(GLAPS컨테이너배차관리!$CM:$CM,$B192)="","",INDEX(GLAPS컨테이너배차관리!$CM:$CM,$B192))="","",IF(ISNUMBER(SEARCH("이지스두동",IF(INDEX(GLAPS컨테이너배차관리!$CM:$CM,$B192)="","",INDEX(GLAPS컨테이너배차관리!$CM:$CM,$B192)))),"이지스두동",IF(ISNUMBER(SEARCH("이지스녹산",IF(INDEX(GLAPS컨테이너배차관리!$CM:$CM,$B192)="","",INDEX(GLAPS컨테이너배차관리!$CM:$CM,$B192)))),"이지스녹산",IF(ISNUMBER(SEARCH("천우",IF(INDEX(GLAPS컨테이너배차관리!$CM:$CM,$B192)="","",INDEX(GLAPS컨테이너배차관리!$CM:$CM,$B192)))),"천우",IF(OR(ISNUMBER(SEARCH("청암",IF(INDEX(GLAPS컨테이너배차관리!$CM:$CM,$B192)="","",INDEX(GLAPS컨테이너배차관리!$CM:$CM,$B192)))),ISNUMBER(SEARCH("SB청암",IF(INDEX(GLAPS컨테이너배차관리!$CM:$CM,$B192)="","",INDEX(GLAPS컨테이너배차관리!$CM:$CM,$B192))))),"청암신항",IF(INDEX(GLAPS컨테이너배차관리!$CM:$CM,$B192)="","",INDEX(GLAPS컨테이너배차관리!$CM:$CM,$B192))))))))</f>
        <v/>
      </c>
    </row>
    <row r="193" spans="1:28">
      <c r="A193">
        <v>192</v>
      </c>
      <c r="B193" t="str">
        <f>IFERROR(_xlfn.AGGREGATE(15,6,ROW(GLAPS컨테이너배차관리!$X$2:$X$20000)/(GLAPS컨테이너배차관리!$X$2:$X$20000&lt;&gt;""),A193),"")</f>
        <v/>
      </c>
      <c r="C193" t="str">
        <f>IF($B193="","",INT(IF(INDEX(GLAPS컨테이너배차관리!$K:$K,$B193)="","",INDEX(GLAPS컨테이너배차관리!$K:$K,$B193))))</f>
        <v/>
      </c>
      <c r="D193" t="str">
        <f>IF($B193="","",IF(ISNUMBER(SEARCH("이엘에스",IF(INDEX(GLAPS컨테이너배차관리!$AZ:$AZ,$B193)="","",INDEX(GLAPS컨테이너배차관리!$AZ:$AZ,$B193)))),"ELS솔루션",IF(INDEX(GLAPS컨테이너배차관리!$AZ:$AZ,$B193)="","",INDEX(GLAPS컨테이너배차관리!$AZ:$AZ,$B193))))</f>
        <v/>
      </c>
      <c r="E193" t="str">
        <f>IF($B193="","",IF(INDEX(GLAPS컨테이너배차관리!$L:$L,$B193)="","",INDEX(GLAPS컨테이너배차관리!$L:$L,$B193)))</f>
        <v/>
      </c>
      <c r="F193" t="str">
        <f>IF($B193="","",IF(HOUR(IF(INDEX(GLAPS컨테이너배차관리!$L:$L,$B193)="","",INDEX(GLAPS컨테이너배차관리!$L:$L,$B193)))&lt;12,"오전",IF(HOUR(IF(INDEX(GLAPS컨테이너배차관리!$L:$L,$B193)="","",INDEX(GLAPS컨테이너배차관리!$L:$L,$B193)))&lt;18,"오후","잔업")))</f>
        <v/>
      </c>
      <c r="G193" t="str">
        <f>IF($B193="","",IFERROR(INDEX(GLAPS정리!$G$3:$G$264,MATCH(IF(INDEX(GLAPS컨테이너배차관리!$BY:$BY,$B193)="","",INDEX(GLAPS컨테이너배차관리!$BY:$BY,$B193)),GLAPS정리!$H$3:$H$264,0)),TRIM(SUBSTITUTE(SUBSTITUTE(SUBSTITUTE(SUBSTITUTE(SUBSTITUTE(IF(INDEX(GLAPS컨테이너배차관리!$T:$T,$B193)="","",INDEX(GLAPS컨테이너배차관리!$T:$T,$B193)),"[GA]",""),"[GB]",""),"[GC]",""),"[KC]",""),"[GS]",""))))</f>
        <v/>
      </c>
      <c r="H193" t="str">
        <f>IF($B193="","",IFERROR(VLOOKUP(IF(INDEX(GLAPS컨테이너배차관리!$BY:$BY,$B193)="","",INDEX(GLAPS컨테이너배차관리!$BY:$BY,$B193)),GLAPS정리!$BT$3:$BV$200,3,0),""))</f>
        <v/>
      </c>
      <c r="I193" t="str">
        <f>IF($B193="","",LEFT(IF(INDEX(GLAPS컨테이너배차관리!$U:$U,$B193)="","",INDEX(GLAPS컨테이너배차관리!$U:$U,$B193)),FIND("/",IF(INDEX(GLAPS컨테이너배차관리!$U:$U,$B193)="","",INDEX(GLAPS컨테이너배차관리!$U:$U,$B193))&amp;"/")-1))</f>
        <v/>
      </c>
      <c r="J193" t="str">
        <f>IF($B193="","",IF(IF(INDEX(GLAPS컨테이너배차관리!$O:$O,$B193)="","",INDEX(GLAPS컨테이너배차관리!$O:$O,$B193))="EMC","EMA",IFERROR(INDEX(GLAPS정리!$A$2:$A$50,MATCH(IF(INDEX(GLAPS컨테이너배차관리!$O:$O,$B193)="","",INDEX(GLAPS컨테이너배차관리!$O:$O,$B193)),GLAPS정리!$D$2:$D$50,0)),IF(INDEX(GLAPS컨테이너배차관리!$O:$O,$B193)="","",INDEX(GLAPS컨테이너배차관리!$O:$O,$B193)))))</f>
        <v/>
      </c>
      <c r="K193" t="str">
        <f>IF($B193="","",IF(LEFT(IF(INDEX(GLAPS컨테이너배차관리!$Y:$Y,$B193)="","",INDEX(GLAPS컨테이너배차관리!$Y:$Y,$B193)),2)="22","20 Feet",IF(LEFT(IF(INDEX(GLAPS컨테이너배차관리!$Y:$Y,$B193)="","",INDEX(GLAPS컨테이너배차관리!$Y:$Y,$B193)),2)="42","40 Feet","40 Feet H")))</f>
        <v/>
      </c>
      <c r="L193" t="str">
        <f>IF($B193="","",IFERROR(INDEX(GLAPS정리!$BB$2:$BB$80,MATCH(IF(INDEX(GLAPS컨테이너배차관리!$BQ:$BQ,$B193)="","",INDEX(GLAPS컨테이너배차관리!$BQ:$BQ,$B193)),GLAPS정리!$BC$2:$BC$80,0)),IF(INDEX(GLAPS컨테이너배차관리!$BQ:$BQ,$B193)="","",INDEX(GLAPS컨테이너배차관리!$BQ:$BQ,$B193))))</f>
        <v/>
      </c>
      <c r="M193" t="str">
        <f>IF($B193="","",IFERROR(INDEX(GLAPS정리!$V$3:$V$180,MATCH(IF(INDEX(GLAPS컨테이너배차관리!$S:$S,$B193)="","",INDEX(GLAPS컨테이너배차관리!$S:$S,$B193)),GLAPS정리!$W$3:$W$180,0)),IF(INDEX(GLAPS컨테이너배차관리!$S:$S,$B193)="","",INDEX(GLAPS컨테이너배차관리!$S:$S,$B193))))</f>
        <v/>
      </c>
      <c r="N193" t="str">
        <f>IF($B193="","",IF(IF(INDEX(GLAPS컨테이너배차관리!$DF:$DF,$B193)="","",INDEX(GLAPS컨테이너배차관리!$DF:$DF,$B193))&lt;&gt;"",IF(INDEX(GLAPS컨테이너배차관리!$DF:$DF,$B193)="","",INDEX(GLAPS컨테이너배차관리!$DF:$DF,$B193)),IF(IF(INDEX(GLAPS컨테이너배차관리!$DG:$DG,$B193)="","",INDEX(GLAPS컨테이너배차관리!$DG:$DG,$B193))&lt;&gt;"",IF(INDEX(GLAPS컨테이너배차관리!$DG:$DG,$B193)="","",INDEX(GLAPS컨테이너배차관리!$DG:$DG,$B193)),"")))</f>
        <v/>
      </c>
      <c r="O193" t="str">
        <f>IF($B193="","",IF(INDEX(GLAPS컨테이너배차관리!$AB:$AB,$B193)="","",INDEX(GLAPS컨테이너배차관리!$AB:$AB,$B193)))</f>
        <v/>
      </c>
      <c r="P193" t="str">
        <f>IF($B193="","",IF(IF(INDEX(GLAPS컨테이너배차관리!$CP:$CP,$B193)="","",INDEX(GLAPS컨테이너배차관리!$CP:$CP,$B193))="","",IFERROR(INDEX(GLAPS정리!$BH$2:$BH$101,MATCH(IF(INDEX(GLAPS컨테이너배차관리!$CP:$CP,$B193)="","",INDEX(GLAPS컨테이너배차관리!$CP:$CP,$B193)),GLAPS정리!$BI$2:$BI$101,0)),IF(INDEX(GLAPS컨테이너배차관리!$CP:$CP,$B193)="","",INDEX(GLAPS컨테이너배차관리!$CP:$CP,$B193)))))</f>
        <v/>
      </c>
      <c r="Q193" t="str">
        <f>IF($B193="","",IF(AND(IF(INDEX(GLAPS컨테이너배차관리!$AK:$AK,$B193)="","",INDEX(GLAPS컨테이너배차관리!$AK:$AK,$B193))="Y",IF(INDEX(GLAPS컨테이너배차관리!$AI:$AI,$B193)="","",INDEX(GLAPS컨테이너배차관리!$AI:$AI,$B193))="Y"),"위험물리퍼",IF(IF(INDEX(GLAPS컨테이너배차관리!$AK:$AK,$B193)="","",INDEX(GLAPS컨테이너배차관리!$AK:$AK,$B193))="Y","위험물",IF(IF(INDEX(GLAPS컨테이너배차관리!$AI:$AI,$B193)="","",INDEX(GLAPS컨테이너배차관리!$AI:$AI,$B193))="Y","리퍼",""))))</f>
        <v/>
      </c>
      <c r="R193" t="str">
        <f>IF($B193="","",IF(LEFT(IF(INDEX(GLAPS컨테이너배차관리!$Y:$Y,$B193)="","",INDEX(GLAPS컨테이너배차관리!$Y:$Y,$B193)),2)="22",1,""))</f>
        <v/>
      </c>
      <c r="S193" t="str">
        <f>IF($B193="","",IF(LEFT(IF(INDEX(GLAPS컨테이너배차관리!$Y:$Y,$B193)="","",INDEX(GLAPS컨테이너배차관리!$Y:$Y,$B193)),2)="42",1,""))</f>
        <v/>
      </c>
      <c r="T193" t="str">
        <f>IF($B193="","",IF(LEFT(IF(INDEX(GLAPS컨테이너배차관리!$Y:$Y,$B193)="","",INDEX(GLAPS컨테이너배차관리!$Y:$Y,$B193)),2)="45",1,""))</f>
        <v/>
      </c>
      <c r="U193" t="str">
        <f>IF($B193="","",IF(INDEX(GLAPS컨테이너배차관리!$X:$X,$B193)="","",INDEX(GLAPS컨테이너배차관리!$X:$X,$B193)))</f>
        <v/>
      </c>
      <c r="V193" t="str">
        <f>IF($B193="","",IF(INDEX(GLAPS컨테이너배차관리!$Z:$Z,$B193)="","",INDEX(GLAPS컨테이너배차관리!$Z:$Z,$B193)))</f>
        <v/>
      </c>
      <c r="W193" t="str">
        <f>IF($B193="","",IF(IF(INDEX(GLAPS컨테이너배차관리!$DI:$DI,$B193)="","",INDEX(GLAPS컨테이너배차관리!$DI:$DI,$B193))&lt;&gt;"",IF(INDEX(GLAPS컨테이너배차관리!$DI:$DI,$B193)="","",INDEX(GLAPS컨테이너배차관리!$DI:$DI,$B193)),IF(IF(INDEX(GLAPS컨테이너배차관리!$DJ:$DJ,$B193)="","",INDEX(GLAPS컨테이너배차관리!$DJ:$DJ,$B193))&lt;&gt;"",IF(INDEX(GLAPS컨테이너배차관리!$DJ:$DJ,$B193)="","",INDEX(GLAPS컨테이너배차관리!$DJ:$DJ,$B193)),IF(IF(INDEX(GLAPS컨테이너배차관리!$DK:$DK,$B193)="","",INDEX(GLAPS컨테이너배차관리!$DK:$DK,$B193))&lt;&gt;"",IF(INDEX(GLAPS컨테이너배차관리!$DK:$DK,$B193)="","",INDEX(GLAPS컨테이너배차관리!$DK:$DK,$B193)),IF(IF(INDEX(GLAPS컨테이너배차관리!$DL:$DL,$B193)="","",INDEX(GLAPS컨테이너배차관리!$DL:$DL,$B193))&lt;&gt;"",IF(INDEX(GLAPS컨테이너배차관리!$DL:$DL,$B193)="","",INDEX(GLAPS컨테이너배차관리!$DL:$DL,$B193)),IF(IF(INDEX(GLAPS컨테이너배차관리!$DM:$DM,$B193)="","",INDEX(GLAPS컨테이너배차관리!$DM:$DM,$B193))&lt;&gt;"",IF(INDEX(GLAPS컨테이너배차관리!$DM:$DM,$B193)="","",INDEX(GLAPS컨테이너배차관리!$DM:$DM,$B193)),""))))))</f>
        <v/>
      </c>
      <c r="X193" t="str">
        <f>IF($B193="","",IF(INDEX(GLAPS컨테이너배차관리!$F:$F,$B193)="","",INDEX(GLAPS컨테이너배차관리!$F:$F,$B193)))</f>
        <v/>
      </c>
      <c r="Y193" t="str">
        <f>IF($B193="","",IF(IF(INDEX(GLAPS컨테이너배차관리!$M:$M,$B193)="","",INDEX(GLAPS컨테이너배차관리!$M:$M,$B193))&lt;&gt;"",IF(INDEX(GLAPS컨테이너배차관리!$M:$M,$B193)="","",INDEX(GLAPS컨테이너배차관리!$M:$M,$B193)),IF(IF(INDEX(GLAPS컨테이너배차관리!$N:$N,$B193)="","",INDEX(GLAPS컨테이너배차관리!$N:$N,$B193))&lt;&gt;"",IF(INDEX(GLAPS컨테이너배차관리!$N:$N,$B193)="","",INDEX(GLAPS컨테이너배차관리!$N:$N,$B193)),"")))</f>
        <v/>
      </c>
      <c r="Z193" t="str">
        <f>IF($B193="","",IF(IF(INDEX(GLAPS컨테이너배차관리!$CU:$CU,$B193)="","",INDEX(GLAPS컨테이너배차관리!$CU:$CU,$B193))="","",IFERROR(INT(IF(INDEX(GLAPS컨테이너배차관리!$CU:$CU,$B193)="","",INDEX(GLAPS컨테이너배차관리!$CU:$CU,$B193))),"")))</f>
        <v/>
      </c>
      <c r="AA193" t="str">
        <f>IF($B193="","",IF(AND(IF(INDEX(GLAPS컨테이너배차관리!$CL:$CL,$B193)="","",INDEX(GLAPS컨테이너배차관리!$CL:$CL,$B193))="",IF(INDEX(GLAPS컨테이너배차관리!$CM:$CM,$B193)="","",INDEX(GLAPS컨테이너배차관리!$CM:$CM,$B193))=""),"",IF(OR(IF(INDEX(GLAPS컨테이너배차관리!$CL:$CL,$B193)="","",INDEX(GLAPS컨테이너배차관리!$CL:$CL,$B193))="B000016649",ISNUMBER(SEARCH("B015",IF(INDEX(GLAPS컨테이너배차관리!$CM:$CM,$B193)="","",INDEX(GLAPS컨테이너배차관리!$CM:$CM,$B193)))),ISNUMBER(SEARCH("세방",IF(INDEX(GLAPS컨테이너배차관리!$CM:$CM,$B193)="","",INDEX(GLAPS컨테이너배차관리!$CM:$CM,$B193)))),ISNUMBER(SEARCH("SB",IF(INDEX(GLAPS컨테이너배차관리!$CM:$CM,$B193)="","",INDEX(GLAPS컨테이너배차관리!$CM:$CM,$B193))))),"세방","")))</f>
        <v/>
      </c>
      <c r="AB193" t="str">
        <f>IF($B193="","",IF(IF(INDEX(GLAPS컨테이너배차관리!$CM:$CM,$B193)="","",INDEX(GLAPS컨테이너배차관리!$CM:$CM,$B193))="","",IF(ISNUMBER(SEARCH("이지스두동",IF(INDEX(GLAPS컨테이너배차관리!$CM:$CM,$B193)="","",INDEX(GLAPS컨테이너배차관리!$CM:$CM,$B193)))),"이지스두동",IF(ISNUMBER(SEARCH("이지스녹산",IF(INDEX(GLAPS컨테이너배차관리!$CM:$CM,$B193)="","",INDEX(GLAPS컨테이너배차관리!$CM:$CM,$B193)))),"이지스녹산",IF(ISNUMBER(SEARCH("천우",IF(INDEX(GLAPS컨테이너배차관리!$CM:$CM,$B193)="","",INDEX(GLAPS컨테이너배차관리!$CM:$CM,$B193)))),"천우",IF(OR(ISNUMBER(SEARCH("청암",IF(INDEX(GLAPS컨테이너배차관리!$CM:$CM,$B193)="","",INDEX(GLAPS컨테이너배차관리!$CM:$CM,$B193)))),ISNUMBER(SEARCH("SB청암",IF(INDEX(GLAPS컨테이너배차관리!$CM:$CM,$B193)="","",INDEX(GLAPS컨테이너배차관리!$CM:$CM,$B193))))),"청암신항",IF(INDEX(GLAPS컨테이너배차관리!$CM:$CM,$B193)="","",INDEX(GLAPS컨테이너배차관리!$CM:$CM,$B193))))))))</f>
        <v/>
      </c>
    </row>
    <row r="194" spans="1:28">
      <c r="A194">
        <v>193</v>
      </c>
      <c r="B194" t="str">
        <f>IFERROR(_xlfn.AGGREGATE(15,6,ROW(GLAPS컨테이너배차관리!$X$2:$X$20000)/(GLAPS컨테이너배차관리!$X$2:$X$20000&lt;&gt;""),A194),"")</f>
        <v/>
      </c>
      <c r="C194" t="str">
        <f>IF($B194="","",INT(IF(INDEX(GLAPS컨테이너배차관리!$K:$K,$B194)="","",INDEX(GLAPS컨테이너배차관리!$K:$K,$B194))))</f>
        <v/>
      </c>
      <c r="D194" t="str">
        <f>IF($B194="","",IF(ISNUMBER(SEARCH("이엘에스",IF(INDEX(GLAPS컨테이너배차관리!$AZ:$AZ,$B194)="","",INDEX(GLAPS컨테이너배차관리!$AZ:$AZ,$B194)))),"ELS솔루션",IF(INDEX(GLAPS컨테이너배차관리!$AZ:$AZ,$B194)="","",INDEX(GLAPS컨테이너배차관리!$AZ:$AZ,$B194))))</f>
        <v/>
      </c>
      <c r="E194" t="str">
        <f>IF($B194="","",IF(INDEX(GLAPS컨테이너배차관리!$L:$L,$B194)="","",INDEX(GLAPS컨테이너배차관리!$L:$L,$B194)))</f>
        <v/>
      </c>
      <c r="F194" t="str">
        <f>IF($B194="","",IF(HOUR(IF(INDEX(GLAPS컨테이너배차관리!$L:$L,$B194)="","",INDEX(GLAPS컨테이너배차관리!$L:$L,$B194)))&lt;12,"오전",IF(HOUR(IF(INDEX(GLAPS컨테이너배차관리!$L:$L,$B194)="","",INDEX(GLAPS컨테이너배차관리!$L:$L,$B194)))&lt;18,"오후","잔업")))</f>
        <v/>
      </c>
      <c r="G194" t="str">
        <f>IF($B194="","",IFERROR(INDEX(GLAPS정리!$G$3:$G$264,MATCH(IF(INDEX(GLAPS컨테이너배차관리!$BY:$BY,$B194)="","",INDEX(GLAPS컨테이너배차관리!$BY:$BY,$B194)),GLAPS정리!$H$3:$H$264,0)),TRIM(SUBSTITUTE(SUBSTITUTE(SUBSTITUTE(SUBSTITUTE(SUBSTITUTE(IF(INDEX(GLAPS컨테이너배차관리!$T:$T,$B194)="","",INDEX(GLAPS컨테이너배차관리!$T:$T,$B194)),"[GA]",""),"[GB]",""),"[GC]",""),"[KC]",""),"[GS]",""))))</f>
        <v/>
      </c>
      <c r="H194" t="str">
        <f>IF($B194="","",IFERROR(VLOOKUP(IF(INDEX(GLAPS컨테이너배차관리!$BY:$BY,$B194)="","",INDEX(GLAPS컨테이너배차관리!$BY:$BY,$B194)),GLAPS정리!$BT$3:$BV$200,3,0),""))</f>
        <v/>
      </c>
      <c r="I194" t="str">
        <f>IF($B194="","",LEFT(IF(INDEX(GLAPS컨테이너배차관리!$U:$U,$B194)="","",INDEX(GLAPS컨테이너배차관리!$U:$U,$B194)),FIND("/",IF(INDEX(GLAPS컨테이너배차관리!$U:$U,$B194)="","",INDEX(GLAPS컨테이너배차관리!$U:$U,$B194))&amp;"/")-1))</f>
        <v/>
      </c>
      <c r="J194" t="str">
        <f>IF($B194="","",IF(IF(INDEX(GLAPS컨테이너배차관리!$O:$O,$B194)="","",INDEX(GLAPS컨테이너배차관리!$O:$O,$B194))="EMC","EMA",IFERROR(INDEX(GLAPS정리!$A$2:$A$50,MATCH(IF(INDEX(GLAPS컨테이너배차관리!$O:$O,$B194)="","",INDEX(GLAPS컨테이너배차관리!$O:$O,$B194)),GLAPS정리!$D$2:$D$50,0)),IF(INDEX(GLAPS컨테이너배차관리!$O:$O,$B194)="","",INDEX(GLAPS컨테이너배차관리!$O:$O,$B194)))))</f>
        <v/>
      </c>
      <c r="K194" t="str">
        <f>IF($B194="","",IF(LEFT(IF(INDEX(GLAPS컨테이너배차관리!$Y:$Y,$B194)="","",INDEX(GLAPS컨테이너배차관리!$Y:$Y,$B194)),2)="22","20 Feet",IF(LEFT(IF(INDEX(GLAPS컨테이너배차관리!$Y:$Y,$B194)="","",INDEX(GLAPS컨테이너배차관리!$Y:$Y,$B194)),2)="42","40 Feet","40 Feet H")))</f>
        <v/>
      </c>
      <c r="L194" t="str">
        <f>IF($B194="","",IFERROR(INDEX(GLAPS정리!$BB$2:$BB$80,MATCH(IF(INDEX(GLAPS컨테이너배차관리!$BQ:$BQ,$B194)="","",INDEX(GLAPS컨테이너배차관리!$BQ:$BQ,$B194)),GLAPS정리!$BC$2:$BC$80,0)),IF(INDEX(GLAPS컨테이너배차관리!$BQ:$BQ,$B194)="","",INDEX(GLAPS컨테이너배차관리!$BQ:$BQ,$B194))))</f>
        <v/>
      </c>
      <c r="M194" t="str">
        <f>IF($B194="","",IFERROR(INDEX(GLAPS정리!$V$3:$V$180,MATCH(IF(INDEX(GLAPS컨테이너배차관리!$S:$S,$B194)="","",INDEX(GLAPS컨테이너배차관리!$S:$S,$B194)),GLAPS정리!$W$3:$W$180,0)),IF(INDEX(GLAPS컨테이너배차관리!$S:$S,$B194)="","",INDEX(GLAPS컨테이너배차관리!$S:$S,$B194))))</f>
        <v/>
      </c>
      <c r="N194" t="str">
        <f>IF($B194="","",IF(IF(INDEX(GLAPS컨테이너배차관리!$DF:$DF,$B194)="","",INDEX(GLAPS컨테이너배차관리!$DF:$DF,$B194))&lt;&gt;"",IF(INDEX(GLAPS컨테이너배차관리!$DF:$DF,$B194)="","",INDEX(GLAPS컨테이너배차관리!$DF:$DF,$B194)),IF(IF(INDEX(GLAPS컨테이너배차관리!$DG:$DG,$B194)="","",INDEX(GLAPS컨테이너배차관리!$DG:$DG,$B194))&lt;&gt;"",IF(INDEX(GLAPS컨테이너배차관리!$DG:$DG,$B194)="","",INDEX(GLAPS컨테이너배차관리!$DG:$DG,$B194)),"")))</f>
        <v/>
      </c>
      <c r="O194" t="str">
        <f>IF($B194="","",IF(INDEX(GLAPS컨테이너배차관리!$AB:$AB,$B194)="","",INDEX(GLAPS컨테이너배차관리!$AB:$AB,$B194)))</f>
        <v/>
      </c>
      <c r="P194" t="str">
        <f>IF($B194="","",IF(IF(INDEX(GLAPS컨테이너배차관리!$CP:$CP,$B194)="","",INDEX(GLAPS컨테이너배차관리!$CP:$CP,$B194))="","",IFERROR(INDEX(GLAPS정리!$BH$2:$BH$101,MATCH(IF(INDEX(GLAPS컨테이너배차관리!$CP:$CP,$B194)="","",INDEX(GLAPS컨테이너배차관리!$CP:$CP,$B194)),GLAPS정리!$BI$2:$BI$101,0)),IF(INDEX(GLAPS컨테이너배차관리!$CP:$CP,$B194)="","",INDEX(GLAPS컨테이너배차관리!$CP:$CP,$B194)))))</f>
        <v/>
      </c>
      <c r="Q194" t="str">
        <f>IF($B194="","",IF(AND(IF(INDEX(GLAPS컨테이너배차관리!$AK:$AK,$B194)="","",INDEX(GLAPS컨테이너배차관리!$AK:$AK,$B194))="Y",IF(INDEX(GLAPS컨테이너배차관리!$AI:$AI,$B194)="","",INDEX(GLAPS컨테이너배차관리!$AI:$AI,$B194))="Y"),"위험물리퍼",IF(IF(INDEX(GLAPS컨테이너배차관리!$AK:$AK,$B194)="","",INDEX(GLAPS컨테이너배차관리!$AK:$AK,$B194))="Y","위험물",IF(IF(INDEX(GLAPS컨테이너배차관리!$AI:$AI,$B194)="","",INDEX(GLAPS컨테이너배차관리!$AI:$AI,$B194))="Y","리퍼",""))))</f>
        <v/>
      </c>
      <c r="R194" t="str">
        <f>IF($B194="","",IF(LEFT(IF(INDEX(GLAPS컨테이너배차관리!$Y:$Y,$B194)="","",INDEX(GLAPS컨테이너배차관리!$Y:$Y,$B194)),2)="22",1,""))</f>
        <v/>
      </c>
      <c r="S194" t="str">
        <f>IF($B194="","",IF(LEFT(IF(INDEX(GLAPS컨테이너배차관리!$Y:$Y,$B194)="","",INDEX(GLAPS컨테이너배차관리!$Y:$Y,$B194)),2)="42",1,""))</f>
        <v/>
      </c>
      <c r="T194" t="str">
        <f>IF($B194="","",IF(LEFT(IF(INDEX(GLAPS컨테이너배차관리!$Y:$Y,$B194)="","",INDEX(GLAPS컨테이너배차관리!$Y:$Y,$B194)),2)="45",1,""))</f>
        <v/>
      </c>
      <c r="U194" t="str">
        <f>IF($B194="","",IF(INDEX(GLAPS컨테이너배차관리!$X:$X,$B194)="","",INDEX(GLAPS컨테이너배차관리!$X:$X,$B194)))</f>
        <v/>
      </c>
      <c r="V194" t="str">
        <f>IF($B194="","",IF(INDEX(GLAPS컨테이너배차관리!$Z:$Z,$B194)="","",INDEX(GLAPS컨테이너배차관리!$Z:$Z,$B194)))</f>
        <v/>
      </c>
      <c r="W194" t="str">
        <f>IF($B194="","",IF(IF(INDEX(GLAPS컨테이너배차관리!$DI:$DI,$B194)="","",INDEX(GLAPS컨테이너배차관리!$DI:$DI,$B194))&lt;&gt;"",IF(INDEX(GLAPS컨테이너배차관리!$DI:$DI,$B194)="","",INDEX(GLAPS컨테이너배차관리!$DI:$DI,$B194)),IF(IF(INDEX(GLAPS컨테이너배차관리!$DJ:$DJ,$B194)="","",INDEX(GLAPS컨테이너배차관리!$DJ:$DJ,$B194))&lt;&gt;"",IF(INDEX(GLAPS컨테이너배차관리!$DJ:$DJ,$B194)="","",INDEX(GLAPS컨테이너배차관리!$DJ:$DJ,$B194)),IF(IF(INDEX(GLAPS컨테이너배차관리!$DK:$DK,$B194)="","",INDEX(GLAPS컨테이너배차관리!$DK:$DK,$B194))&lt;&gt;"",IF(INDEX(GLAPS컨테이너배차관리!$DK:$DK,$B194)="","",INDEX(GLAPS컨테이너배차관리!$DK:$DK,$B194)),IF(IF(INDEX(GLAPS컨테이너배차관리!$DL:$DL,$B194)="","",INDEX(GLAPS컨테이너배차관리!$DL:$DL,$B194))&lt;&gt;"",IF(INDEX(GLAPS컨테이너배차관리!$DL:$DL,$B194)="","",INDEX(GLAPS컨테이너배차관리!$DL:$DL,$B194)),IF(IF(INDEX(GLAPS컨테이너배차관리!$DM:$DM,$B194)="","",INDEX(GLAPS컨테이너배차관리!$DM:$DM,$B194))&lt;&gt;"",IF(INDEX(GLAPS컨테이너배차관리!$DM:$DM,$B194)="","",INDEX(GLAPS컨테이너배차관리!$DM:$DM,$B194)),""))))))</f>
        <v/>
      </c>
      <c r="X194" t="str">
        <f>IF($B194="","",IF(INDEX(GLAPS컨테이너배차관리!$F:$F,$B194)="","",INDEX(GLAPS컨테이너배차관리!$F:$F,$B194)))</f>
        <v/>
      </c>
      <c r="Y194" t="str">
        <f>IF($B194="","",IF(IF(INDEX(GLAPS컨테이너배차관리!$M:$M,$B194)="","",INDEX(GLAPS컨테이너배차관리!$M:$M,$B194))&lt;&gt;"",IF(INDEX(GLAPS컨테이너배차관리!$M:$M,$B194)="","",INDEX(GLAPS컨테이너배차관리!$M:$M,$B194)),IF(IF(INDEX(GLAPS컨테이너배차관리!$N:$N,$B194)="","",INDEX(GLAPS컨테이너배차관리!$N:$N,$B194))&lt;&gt;"",IF(INDEX(GLAPS컨테이너배차관리!$N:$N,$B194)="","",INDEX(GLAPS컨테이너배차관리!$N:$N,$B194)),"")))</f>
        <v/>
      </c>
      <c r="Z194" t="str">
        <f>IF($B194="","",IF(IF(INDEX(GLAPS컨테이너배차관리!$CU:$CU,$B194)="","",INDEX(GLAPS컨테이너배차관리!$CU:$CU,$B194))="","",IFERROR(INT(IF(INDEX(GLAPS컨테이너배차관리!$CU:$CU,$B194)="","",INDEX(GLAPS컨테이너배차관리!$CU:$CU,$B194))),"")))</f>
        <v/>
      </c>
      <c r="AA194" t="str">
        <f>IF($B194="","",IF(AND(IF(INDEX(GLAPS컨테이너배차관리!$CL:$CL,$B194)="","",INDEX(GLAPS컨테이너배차관리!$CL:$CL,$B194))="",IF(INDEX(GLAPS컨테이너배차관리!$CM:$CM,$B194)="","",INDEX(GLAPS컨테이너배차관리!$CM:$CM,$B194))=""),"",IF(OR(IF(INDEX(GLAPS컨테이너배차관리!$CL:$CL,$B194)="","",INDEX(GLAPS컨테이너배차관리!$CL:$CL,$B194))="B000016649",ISNUMBER(SEARCH("B015",IF(INDEX(GLAPS컨테이너배차관리!$CM:$CM,$B194)="","",INDEX(GLAPS컨테이너배차관리!$CM:$CM,$B194)))),ISNUMBER(SEARCH("세방",IF(INDEX(GLAPS컨테이너배차관리!$CM:$CM,$B194)="","",INDEX(GLAPS컨테이너배차관리!$CM:$CM,$B194)))),ISNUMBER(SEARCH("SB",IF(INDEX(GLAPS컨테이너배차관리!$CM:$CM,$B194)="","",INDEX(GLAPS컨테이너배차관리!$CM:$CM,$B194))))),"세방","")))</f>
        <v/>
      </c>
      <c r="AB194" t="str">
        <f>IF($B194="","",IF(IF(INDEX(GLAPS컨테이너배차관리!$CM:$CM,$B194)="","",INDEX(GLAPS컨테이너배차관리!$CM:$CM,$B194))="","",IF(ISNUMBER(SEARCH("이지스두동",IF(INDEX(GLAPS컨테이너배차관리!$CM:$CM,$B194)="","",INDEX(GLAPS컨테이너배차관리!$CM:$CM,$B194)))),"이지스두동",IF(ISNUMBER(SEARCH("이지스녹산",IF(INDEX(GLAPS컨테이너배차관리!$CM:$CM,$B194)="","",INDEX(GLAPS컨테이너배차관리!$CM:$CM,$B194)))),"이지스녹산",IF(ISNUMBER(SEARCH("천우",IF(INDEX(GLAPS컨테이너배차관리!$CM:$CM,$B194)="","",INDEX(GLAPS컨테이너배차관리!$CM:$CM,$B194)))),"천우",IF(OR(ISNUMBER(SEARCH("청암",IF(INDEX(GLAPS컨테이너배차관리!$CM:$CM,$B194)="","",INDEX(GLAPS컨테이너배차관리!$CM:$CM,$B194)))),ISNUMBER(SEARCH("SB청암",IF(INDEX(GLAPS컨테이너배차관리!$CM:$CM,$B194)="","",INDEX(GLAPS컨테이너배차관리!$CM:$CM,$B194))))),"청암신항",IF(INDEX(GLAPS컨테이너배차관리!$CM:$CM,$B194)="","",INDEX(GLAPS컨테이너배차관리!$CM:$CM,$B194))))))))</f>
        <v/>
      </c>
    </row>
    <row r="195" spans="1:28">
      <c r="A195">
        <v>194</v>
      </c>
      <c r="B195" t="str">
        <f>IFERROR(_xlfn.AGGREGATE(15,6,ROW(GLAPS컨테이너배차관리!$X$2:$X$20000)/(GLAPS컨테이너배차관리!$X$2:$X$20000&lt;&gt;""),A195),"")</f>
        <v/>
      </c>
      <c r="C195" t="str">
        <f>IF($B195="","",INT(IF(INDEX(GLAPS컨테이너배차관리!$K:$K,$B195)="","",INDEX(GLAPS컨테이너배차관리!$K:$K,$B195))))</f>
        <v/>
      </c>
      <c r="D195" t="str">
        <f>IF($B195="","",IF(ISNUMBER(SEARCH("이엘에스",IF(INDEX(GLAPS컨테이너배차관리!$AZ:$AZ,$B195)="","",INDEX(GLAPS컨테이너배차관리!$AZ:$AZ,$B195)))),"ELS솔루션",IF(INDEX(GLAPS컨테이너배차관리!$AZ:$AZ,$B195)="","",INDEX(GLAPS컨테이너배차관리!$AZ:$AZ,$B195))))</f>
        <v/>
      </c>
      <c r="E195" t="str">
        <f>IF($B195="","",IF(INDEX(GLAPS컨테이너배차관리!$L:$L,$B195)="","",INDEX(GLAPS컨테이너배차관리!$L:$L,$B195)))</f>
        <v/>
      </c>
      <c r="F195" t="str">
        <f>IF($B195="","",IF(HOUR(IF(INDEX(GLAPS컨테이너배차관리!$L:$L,$B195)="","",INDEX(GLAPS컨테이너배차관리!$L:$L,$B195)))&lt;12,"오전",IF(HOUR(IF(INDEX(GLAPS컨테이너배차관리!$L:$L,$B195)="","",INDEX(GLAPS컨테이너배차관리!$L:$L,$B195)))&lt;18,"오후","잔업")))</f>
        <v/>
      </c>
      <c r="G195" t="str">
        <f>IF($B195="","",IFERROR(INDEX(GLAPS정리!$G$3:$G$264,MATCH(IF(INDEX(GLAPS컨테이너배차관리!$BY:$BY,$B195)="","",INDEX(GLAPS컨테이너배차관리!$BY:$BY,$B195)),GLAPS정리!$H$3:$H$264,0)),TRIM(SUBSTITUTE(SUBSTITUTE(SUBSTITUTE(SUBSTITUTE(SUBSTITUTE(IF(INDEX(GLAPS컨테이너배차관리!$T:$T,$B195)="","",INDEX(GLAPS컨테이너배차관리!$T:$T,$B195)),"[GA]",""),"[GB]",""),"[GC]",""),"[KC]",""),"[GS]",""))))</f>
        <v/>
      </c>
      <c r="H195" t="str">
        <f>IF($B195="","",IFERROR(VLOOKUP(IF(INDEX(GLAPS컨테이너배차관리!$BY:$BY,$B195)="","",INDEX(GLAPS컨테이너배차관리!$BY:$BY,$B195)),GLAPS정리!$BT$3:$BV$200,3,0),""))</f>
        <v/>
      </c>
      <c r="I195" t="str">
        <f>IF($B195="","",LEFT(IF(INDEX(GLAPS컨테이너배차관리!$U:$U,$B195)="","",INDEX(GLAPS컨테이너배차관리!$U:$U,$B195)),FIND("/",IF(INDEX(GLAPS컨테이너배차관리!$U:$U,$B195)="","",INDEX(GLAPS컨테이너배차관리!$U:$U,$B195))&amp;"/")-1))</f>
        <v/>
      </c>
      <c r="J195" t="str">
        <f>IF($B195="","",IF(IF(INDEX(GLAPS컨테이너배차관리!$O:$O,$B195)="","",INDEX(GLAPS컨테이너배차관리!$O:$O,$B195))="EMC","EMA",IFERROR(INDEX(GLAPS정리!$A$2:$A$50,MATCH(IF(INDEX(GLAPS컨테이너배차관리!$O:$O,$B195)="","",INDEX(GLAPS컨테이너배차관리!$O:$O,$B195)),GLAPS정리!$D$2:$D$50,0)),IF(INDEX(GLAPS컨테이너배차관리!$O:$O,$B195)="","",INDEX(GLAPS컨테이너배차관리!$O:$O,$B195)))))</f>
        <v/>
      </c>
      <c r="K195" t="str">
        <f>IF($B195="","",IF(LEFT(IF(INDEX(GLAPS컨테이너배차관리!$Y:$Y,$B195)="","",INDEX(GLAPS컨테이너배차관리!$Y:$Y,$B195)),2)="22","20 Feet",IF(LEFT(IF(INDEX(GLAPS컨테이너배차관리!$Y:$Y,$B195)="","",INDEX(GLAPS컨테이너배차관리!$Y:$Y,$B195)),2)="42","40 Feet","40 Feet H")))</f>
        <v/>
      </c>
      <c r="L195" t="str">
        <f>IF($B195="","",IFERROR(INDEX(GLAPS정리!$BB$2:$BB$80,MATCH(IF(INDEX(GLAPS컨테이너배차관리!$BQ:$BQ,$B195)="","",INDEX(GLAPS컨테이너배차관리!$BQ:$BQ,$B195)),GLAPS정리!$BC$2:$BC$80,0)),IF(INDEX(GLAPS컨테이너배차관리!$BQ:$BQ,$B195)="","",INDEX(GLAPS컨테이너배차관리!$BQ:$BQ,$B195))))</f>
        <v/>
      </c>
      <c r="M195" t="str">
        <f>IF($B195="","",IFERROR(INDEX(GLAPS정리!$V$3:$V$180,MATCH(IF(INDEX(GLAPS컨테이너배차관리!$S:$S,$B195)="","",INDEX(GLAPS컨테이너배차관리!$S:$S,$B195)),GLAPS정리!$W$3:$W$180,0)),IF(INDEX(GLAPS컨테이너배차관리!$S:$S,$B195)="","",INDEX(GLAPS컨테이너배차관리!$S:$S,$B195))))</f>
        <v/>
      </c>
      <c r="N195" t="str">
        <f>IF($B195="","",IF(IF(INDEX(GLAPS컨테이너배차관리!$DF:$DF,$B195)="","",INDEX(GLAPS컨테이너배차관리!$DF:$DF,$B195))&lt;&gt;"",IF(INDEX(GLAPS컨테이너배차관리!$DF:$DF,$B195)="","",INDEX(GLAPS컨테이너배차관리!$DF:$DF,$B195)),IF(IF(INDEX(GLAPS컨테이너배차관리!$DG:$DG,$B195)="","",INDEX(GLAPS컨테이너배차관리!$DG:$DG,$B195))&lt;&gt;"",IF(INDEX(GLAPS컨테이너배차관리!$DG:$DG,$B195)="","",INDEX(GLAPS컨테이너배차관리!$DG:$DG,$B195)),"")))</f>
        <v/>
      </c>
      <c r="O195" t="str">
        <f>IF($B195="","",IF(INDEX(GLAPS컨테이너배차관리!$AB:$AB,$B195)="","",INDEX(GLAPS컨테이너배차관리!$AB:$AB,$B195)))</f>
        <v/>
      </c>
      <c r="P195" t="str">
        <f>IF($B195="","",IF(IF(INDEX(GLAPS컨테이너배차관리!$CP:$CP,$B195)="","",INDEX(GLAPS컨테이너배차관리!$CP:$CP,$B195))="","",IFERROR(INDEX(GLAPS정리!$BH$2:$BH$101,MATCH(IF(INDEX(GLAPS컨테이너배차관리!$CP:$CP,$B195)="","",INDEX(GLAPS컨테이너배차관리!$CP:$CP,$B195)),GLAPS정리!$BI$2:$BI$101,0)),IF(INDEX(GLAPS컨테이너배차관리!$CP:$CP,$B195)="","",INDEX(GLAPS컨테이너배차관리!$CP:$CP,$B195)))))</f>
        <v/>
      </c>
      <c r="Q195" t="str">
        <f>IF($B195="","",IF(AND(IF(INDEX(GLAPS컨테이너배차관리!$AK:$AK,$B195)="","",INDEX(GLAPS컨테이너배차관리!$AK:$AK,$B195))="Y",IF(INDEX(GLAPS컨테이너배차관리!$AI:$AI,$B195)="","",INDEX(GLAPS컨테이너배차관리!$AI:$AI,$B195))="Y"),"위험물리퍼",IF(IF(INDEX(GLAPS컨테이너배차관리!$AK:$AK,$B195)="","",INDEX(GLAPS컨테이너배차관리!$AK:$AK,$B195))="Y","위험물",IF(IF(INDEX(GLAPS컨테이너배차관리!$AI:$AI,$B195)="","",INDEX(GLAPS컨테이너배차관리!$AI:$AI,$B195))="Y","리퍼",""))))</f>
        <v/>
      </c>
      <c r="R195" t="str">
        <f>IF($B195="","",IF(LEFT(IF(INDEX(GLAPS컨테이너배차관리!$Y:$Y,$B195)="","",INDEX(GLAPS컨테이너배차관리!$Y:$Y,$B195)),2)="22",1,""))</f>
        <v/>
      </c>
      <c r="S195" t="str">
        <f>IF($B195="","",IF(LEFT(IF(INDEX(GLAPS컨테이너배차관리!$Y:$Y,$B195)="","",INDEX(GLAPS컨테이너배차관리!$Y:$Y,$B195)),2)="42",1,""))</f>
        <v/>
      </c>
      <c r="T195" t="str">
        <f>IF($B195="","",IF(LEFT(IF(INDEX(GLAPS컨테이너배차관리!$Y:$Y,$B195)="","",INDEX(GLAPS컨테이너배차관리!$Y:$Y,$B195)),2)="45",1,""))</f>
        <v/>
      </c>
      <c r="U195" t="str">
        <f>IF($B195="","",IF(INDEX(GLAPS컨테이너배차관리!$X:$X,$B195)="","",INDEX(GLAPS컨테이너배차관리!$X:$X,$B195)))</f>
        <v/>
      </c>
      <c r="V195" t="str">
        <f>IF($B195="","",IF(INDEX(GLAPS컨테이너배차관리!$Z:$Z,$B195)="","",INDEX(GLAPS컨테이너배차관리!$Z:$Z,$B195)))</f>
        <v/>
      </c>
      <c r="W195" t="str">
        <f>IF($B195="","",IF(IF(INDEX(GLAPS컨테이너배차관리!$DI:$DI,$B195)="","",INDEX(GLAPS컨테이너배차관리!$DI:$DI,$B195))&lt;&gt;"",IF(INDEX(GLAPS컨테이너배차관리!$DI:$DI,$B195)="","",INDEX(GLAPS컨테이너배차관리!$DI:$DI,$B195)),IF(IF(INDEX(GLAPS컨테이너배차관리!$DJ:$DJ,$B195)="","",INDEX(GLAPS컨테이너배차관리!$DJ:$DJ,$B195))&lt;&gt;"",IF(INDEX(GLAPS컨테이너배차관리!$DJ:$DJ,$B195)="","",INDEX(GLAPS컨테이너배차관리!$DJ:$DJ,$B195)),IF(IF(INDEX(GLAPS컨테이너배차관리!$DK:$DK,$B195)="","",INDEX(GLAPS컨테이너배차관리!$DK:$DK,$B195))&lt;&gt;"",IF(INDEX(GLAPS컨테이너배차관리!$DK:$DK,$B195)="","",INDEX(GLAPS컨테이너배차관리!$DK:$DK,$B195)),IF(IF(INDEX(GLAPS컨테이너배차관리!$DL:$DL,$B195)="","",INDEX(GLAPS컨테이너배차관리!$DL:$DL,$B195))&lt;&gt;"",IF(INDEX(GLAPS컨테이너배차관리!$DL:$DL,$B195)="","",INDEX(GLAPS컨테이너배차관리!$DL:$DL,$B195)),IF(IF(INDEX(GLAPS컨테이너배차관리!$DM:$DM,$B195)="","",INDEX(GLAPS컨테이너배차관리!$DM:$DM,$B195))&lt;&gt;"",IF(INDEX(GLAPS컨테이너배차관리!$DM:$DM,$B195)="","",INDEX(GLAPS컨테이너배차관리!$DM:$DM,$B195)),""))))))</f>
        <v/>
      </c>
      <c r="X195" t="str">
        <f>IF($B195="","",IF(INDEX(GLAPS컨테이너배차관리!$F:$F,$B195)="","",INDEX(GLAPS컨테이너배차관리!$F:$F,$B195)))</f>
        <v/>
      </c>
      <c r="Y195" t="str">
        <f>IF($B195="","",IF(IF(INDEX(GLAPS컨테이너배차관리!$M:$M,$B195)="","",INDEX(GLAPS컨테이너배차관리!$M:$M,$B195))&lt;&gt;"",IF(INDEX(GLAPS컨테이너배차관리!$M:$M,$B195)="","",INDEX(GLAPS컨테이너배차관리!$M:$M,$B195)),IF(IF(INDEX(GLAPS컨테이너배차관리!$N:$N,$B195)="","",INDEX(GLAPS컨테이너배차관리!$N:$N,$B195))&lt;&gt;"",IF(INDEX(GLAPS컨테이너배차관리!$N:$N,$B195)="","",INDEX(GLAPS컨테이너배차관리!$N:$N,$B195)),"")))</f>
        <v/>
      </c>
      <c r="Z195" t="str">
        <f>IF($B195="","",IF(IF(INDEX(GLAPS컨테이너배차관리!$CU:$CU,$B195)="","",INDEX(GLAPS컨테이너배차관리!$CU:$CU,$B195))="","",IFERROR(INT(IF(INDEX(GLAPS컨테이너배차관리!$CU:$CU,$B195)="","",INDEX(GLAPS컨테이너배차관리!$CU:$CU,$B195))),"")))</f>
        <v/>
      </c>
      <c r="AA195" t="str">
        <f>IF($B195="","",IF(AND(IF(INDEX(GLAPS컨테이너배차관리!$CL:$CL,$B195)="","",INDEX(GLAPS컨테이너배차관리!$CL:$CL,$B195))="",IF(INDEX(GLAPS컨테이너배차관리!$CM:$CM,$B195)="","",INDEX(GLAPS컨테이너배차관리!$CM:$CM,$B195))=""),"",IF(OR(IF(INDEX(GLAPS컨테이너배차관리!$CL:$CL,$B195)="","",INDEX(GLAPS컨테이너배차관리!$CL:$CL,$B195))="B000016649",ISNUMBER(SEARCH("B015",IF(INDEX(GLAPS컨테이너배차관리!$CM:$CM,$B195)="","",INDEX(GLAPS컨테이너배차관리!$CM:$CM,$B195)))),ISNUMBER(SEARCH("세방",IF(INDEX(GLAPS컨테이너배차관리!$CM:$CM,$B195)="","",INDEX(GLAPS컨테이너배차관리!$CM:$CM,$B195)))),ISNUMBER(SEARCH("SB",IF(INDEX(GLAPS컨테이너배차관리!$CM:$CM,$B195)="","",INDEX(GLAPS컨테이너배차관리!$CM:$CM,$B195))))),"세방","")))</f>
        <v/>
      </c>
      <c r="AB195" t="str">
        <f>IF($B195="","",IF(IF(INDEX(GLAPS컨테이너배차관리!$CM:$CM,$B195)="","",INDEX(GLAPS컨테이너배차관리!$CM:$CM,$B195))="","",IF(ISNUMBER(SEARCH("이지스두동",IF(INDEX(GLAPS컨테이너배차관리!$CM:$CM,$B195)="","",INDEX(GLAPS컨테이너배차관리!$CM:$CM,$B195)))),"이지스두동",IF(ISNUMBER(SEARCH("이지스녹산",IF(INDEX(GLAPS컨테이너배차관리!$CM:$CM,$B195)="","",INDEX(GLAPS컨테이너배차관리!$CM:$CM,$B195)))),"이지스녹산",IF(ISNUMBER(SEARCH("천우",IF(INDEX(GLAPS컨테이너배차관리!$CM:$CM,$B195)="","",INDEX(GLAPS컨테이너배차관리!$CM:$CM,$B195)))),"천우",IF(OR(ISNUMBER(SEARCH("청암",IF(INDEX(GLAPS컨테이너배차관리!$CM:$CM,$B195)="","",INDEX(GLAPS컨테이너배차관리!$CM:$CM,$B195)))),ISNUMBER(SEARCH("SB청암",IF(INDEX(GLAPS컨테이너배차관리!$CM:$CM,$B195)="","",INDEX(GLAPS컨테이너배차관리!$CM:$CM,$B195))))),"청암신항",IF(INDEX(GLAPS컨테이너배차관리!$CM:$CM,$B195)="","",INDEX(GLAPS컨테이너배차관리!$CM:$CM,$B195))))))))</f>
        <v/>
      </c>
    </row>
    <row r="196" spans="1:28">
      <c r="A196">
        <v>195</v>
      </c>
      <c r="B196" t="str">
        <f>IFERROR(_xlfn.AGGREGATE(15,6,ROW(GLAPS컨테이너배차관리!$X$2:$X$20000)/(GLAPS컨테이너배차관리!$X$2:$X$20000&lt;&gt;""),A196),"")</f>
        <v/>
      </c>
      <c r="C196" t="str">
        <f>IF($B196="","",INT(IF(INDEX(GLAPS컨테이너배차관리!$K:$K,$B196)="","",INDEX(GLAPS컨테이너배차관리!$K:$K,$B196))))</f>
        <v/>
      </c>
      <c r="D196" t="str">
        <f>IF($B196="","",IF(ISNUMBER(SEARCH("이엘에스",IF(INDEX(GLAPS컨테이너배차관리!$AZ:$AZ,$B196)="","",INDEX(GLAPS컨테이너배차관리!$AZ:$AZ,$B196)))),"ELS솔루션",IF(INDEX(GLAPS컨테이너배차관리!$AZ:$AZ,$B196)="","",INDEX(GLAPS컨테이너배차관리!$AZ:$AZ,$B196))))</f>
        <v/>
      </c>
      <c r="E196" t="str">
        <f>IF($B196="","",IF(INDEX(GLAPS컨테이너배차관리!$L:$L,$B196)="","",INDEX(GLAPS컨테이너배차관리!$L:$L,$B196)))</f>
        <v/>
      </c>
      <c r="F196" t="str">
        <f>IF($B196="","",IF(HOUR(IF(INDEX(GLAPS컨테이너배차관리!$L:$L,$B196)="","",INDEX(GLAPS컨테이너배차관리!$L:$L,$B196)))&lt;12,"오전",IF(HOUR(IF(INDEX(GLAPS컨테이너배차관리!$L:$L,$B196)="","",INDEX(GLAPS컨테이너배차관리!$L:$L,$B196)))&lt;18,"오후","잔업")))</f>
        <v/>
      </c>
      <c r="G196" t="str">
        <f>IF($B196="","",IFERROR(INDEX(GLAPS정리!$G$3:$G$264,MATCH(IF(INDEX(GLAPS컨테이너배차관리!$BY:$BY,$B196)="","",INDEX(GLAPS컨테이너배차관리!$BY:$BY,$B196)),GLAPS정리!$H$3:$H$264,0)),TRIM(SUBSTITUTE(SUBSTITUTE(SUBSTITUTE(SUBSTITUTE(SUBSTITUTE(IF(INDEX(GLAPS컨테이너배차관리!$T:$T,$B196)="","",INDEX(GLAPS컨테이너배차관리!$T:$T,$B196)),"[GA]",""),"[GB]",""),"[GC]",""),"[KC]",""),"[GS]",""))))</f>
        <v/>
      </c>
      <c r="H196" t="str">
        <f>IF($B196="","",IFERROR(VLOOKUP(IF(INDEX(GLAPS컨테이너배차관리!$BY:$BY,$B196)="","",INDEX(GLAPS컨테이너배차관리!$BY:$BY,$B196)),GLAPS정리!$BT$3:$BV$200,3,0),""))</f>
        <v/>
      </c>
      <c r="I196" t="str">
        <f>IF($B196="","",LEFT(IF(INDEX(GLAPS컨테이너배차관리!$U:$U,$B196)="","",INDEX(GLAPS컨테이너배차관리!$U:$U,$B196)),FIND("/",IF(INDEX(GLAPS컨테이너배차관리!$U:$U,$B196)="","",INDEX(GLAPS컨테이너배차관리!$U:$U,$B196))&amp;"/")-1))</f>
        <v/>
      </c>
      <c r="J196" t="str">
        <f>IF($B196="","",IF(IF(INDEX(GLAPS컨테이너배차관리!$O:$O,$B196)="","",INDEX(GLAPS컨테이너배차관리!$O:$O,$B196))="EMC","EMA",IFERROR(INDEX(GLAPS정리!$A$2:$A$50,MATCH(IF(INDEX(GLAPS컨테이너배차관리!$O:$O,$B196)="","",INDEX(GLAPS컨테이너배차관리!$O:$O,$B196)),GLAPS정리!$D$2:$D$50,0)),IF(INDEX(GLAPS컨테이너배차관리!$O:$O,$B196)="","",INDEX(GLAPS컨테이너배차관리!$O:$O,$B196)))))</f>
        <v/>
      </c>
      <c r="K196" t="str">
        <f>IF($B196="","",IF(LEFT(IF(INDEX(GLAPS컨테이너배차관리!$Y:$Y,$B196)="","",INDEX(GLAPS컨테이너배차관리!$Y:$Y,$B196)),2)="22","20 Feet",IF(LEFT(IF(INDEX(GLAPS컨테이너배차관리!$Y:$Y,$B196)="","",INDEX(GLAPS컨테이너배차관리!$Y:$Y,$B196)),2)="42","40 Feet","40 Feet H")))</f>
        <v/>
      </c>
      <c r="L196" t="str">
        <f>IF($B196="","",IFERROR(INDEX(GLAPS정리!$BB$2:$BB$80,MATCH(IF(INDEX(GLAPS컨테이너배차관리!$BQ:$BQ,$B196)="","",INDEX(GLAPS컨테이너배차관리!$BQ:$BQ,$B196)),GLAPS정리!$BC$2:$BC$80,0)),IF(INDEX(GLAPS컨테이너배차관리!$BQ:$BQ,$B196)="","",INDEX(GLAPS컨테이너배차관리!$BQ:$BQ,$B196))))</f>
        <v/>
      </c>
      <c r="M196" t="str">
        <f>IF($B196="","",IFERROR(INDEX(GLAPS정리!$V$3:$V$180,MATCH(IF(INDEX(GLAPS컨테이너배차관리!$S:$S,$B196)="","",INDEX(GLAPS컨테이너배차관리!$S:$S,$B196)),GLAPS정리!$W$3:$W$180,0)),IF(INDEX(GLAPS컨테이너배차관리!$S:$S,$B196)="","",INDEX(GLAPS컨테이너배차관리!$S:$S,$B196))))</f>
        <v/>
      </c>
      <c r="N196" t="str">
        <f>IF($B196="","",IF(IF(INDEX(GLAPS컨테이너배차관리!$DF:$DF,$B196)="","",INDEX(GLAPS컨테이너배차관리!$DF:$DF,$B196))&lt;&gt;"",IF(INDEX(GLAPS컨테이너배차관리!$DF:$DF,$B196)="","",INDEX(GLAPS컨테이너배차관리!$DF:$DF,$B196)),IF(IF(INDEX(GLAPS컨테이너배차관리!$DG:$DG,$B196)="","",INDEX(GLAPS컨테이너배차관리!$DG:$DG,$B196))&lt;&gt;"",IF(INDEX(GLAPS컨테이너배차관리!$DG:$DG,$B196)="","",INDEX(GLAPS컨테이너배차관리!$DG:$DG,$B196)),"")))</f>
        <v/>
      </c>
      <c r="O196" t="str">
        <f>IF($B196="","",IF(INDEX(GLAPS컨테이너배차관리!$AB:$AB,$B196)="","",INDEX(GLAPS컨테이너배차관리!$AB:$AB,$B196)))</f>
        <v/>
      </c>
      <c r="P196" t="str">
        <f>IF($B196="","",IF(IF(INDEX(GLAPS컨테이너배차관리!$CP:$CP,$B196)="","",INDEX(GLAPS컨테이너배차관리!$CP:$CP,$B196))="","",IFERROR(INDEX(GLAPS정리!$BH$2:$BH$101,MATCH(IF(INDEX(GLAPS컨테이너배차관리!$CP:$CP,$B196)="","",INDEX(GLAPS컨테이너배차관리!$CP:$CP,$B196)),GLAPS정리!$BI$2:$BI$101,0)),IF(INDEX(GLAPS컨테이너배차관리!$CP:$CP,$B196)="","",INDEX(GLAPS컨테이너배차관리!$CP:$CP,$B196)))))</f>
        <v/>
      </c>
      <c r="Q196" t="str">
        <f>IF($B196="","",IF(AND(IF(INDEX(GLAPS컨테이너배차관리!$AK:$AK,$B196)="","",INDEX(GLAPS컨테이너배차관리!$AK:$AK,$B196))="Y",IF(INDEX(GLAPS컨테이너배차관리!$AI:$AI,$B196)="","",INDEX(GLAPS컨테이너배차관리!$AI:$AI,$B196))="Y"),"위험물리퍼",IF(IF(INDEX(GLAPS컨테이너배차관리!$AK:$AK,$B196)="","",INDEX(GLAPS컨테이너배차관리!$AK:$AK,$B196))="Y","위험물",IF(IF(INDEX(GLAPS컨테이너배차관리!$AI:$AI,$B196)="","",INDEX(GLAPS컨테이너배차관리!$AI:$AI,$B196))="Y","리퍼",""))))</f>
        <v/>
      </c>
      <c r="R196" t="str">
        <f>IF($B196="","",IF(LEFT(IF(INDEX(GLAPS컨테이너배차관리!$Y:$Y,$B196)="","",INDEX(GLAPS컨테이너배차관리!$Y:$Y,$B196)),2)="22",1,""))</f>
        <v/>
      </c>
      <c r="S196" t="str">
        <f>IF($B196="","",IF(LEFT(IF(INDEX(GLAPS컨테이너배차관리!$Y:$Y,$B196)="","",INDEX(GLAPS컨테이너배차관리!$Y:$Y,$B196)),2)="42",1,""))</f>
        <v/>
      </c>
      <c r="T196" t="str">
        <f>IF($B196="","",IF(LEFT(IF(INDEX(GLAPS컨테이너배차관리!$Y:$Y,$B196)="","",INDEX(GLAPS컨테이너배차관리!$Y:$Y,$B196)),2)="45",1,""))</f>
        <v/>
      </c>
      <c r="U196" t="str">
        <f>IF($B196="","",IF(INDEX(GLAPS컨테이너배차관리!$X:$X,$B196)="","",INDEX(GLAPS컨테이너배차관리!$X:$X,$B196)))</f>
        <v/>
      </c>
      <c r="V196" t="str">
        <f>IF($B196="","",IF(INDEX(GLAPS컨테이너배차관리!$Z:$Z,$B196)="","",INDEX(GLAPS컨테이너배차관리!$Z:$Z,$B196)))</f>
        <v/>
      </c>
      <c r="W196" t="str">
        <f>IF($B196="","",IF(IF(INDEX(GLAPS컨테이너배차관리!$DI:$DI,$B196)="","",INDEX(GLAPS컨테이너배차관리!$DI:$DI,$B196))&lt;&gt;"",IF(INDEX(GLAPS컨테이너배차관리!$DI:$DI,$B196)="","",INDEX(GLAPS컨테이너배차관리!$DI:$DI,$B196)),IF(IF(INDEX(GLAPS컨테이너배차관리!$DJ:$DJ,$B196)="","",INDEX(GLAPS컨테이너배차관리!$DJ:$DJ,$B196))&lt;&gt;"",IF(INDEX(GLAPS컨테이너배차관리!$DJ:$DJ,$B196)="","",INDEX(GLAPS컨테이너배차관리!$DJ:$DJ,$B196)),IF(IF(INDEX(GLAPS컨테이너배차관리!$DK:$DK,$B196)="","",INDEX(GLAPS컨테이너배차관리!$DK:$DK,$B196))&lt;&gt;"",IF(INDEX(GLAPS컨테이너배차관리!$DK:$DK,$B196)="","",INDEX(GLAPS컨테이너배차관리!$DK:$DK,$B196)),IF(IF(INDEX(GLAPS컨테이너배차관리!$DL:$DL,$B196)="","",INDEX(GLAPS컨테이너배차관리!$DL:$DL,$B196))&lt;&gt;"",IF(INDEX(GLAPS컨테이너배차관리!$DL:$DL,$B196)="","",INDEX(GLAPS컨테이너배차관리!$DL:$DL,$B196)),IF(IF(INDEX(GLAPS컨테이너배차관리!$DM:$DM,$B196)="","",INDEX(GLAPS컨테이너배차관리!$DM:$DM,$B196))&lt;&gt;"",IF(INDEX(GLAPS컨테이너배차관리!$DM:$DM,$B196)="","",INDEX(GLAPS컨테이너배차관리!$DM:$DM,$B196)),""))))))</f>
        <v/>
      </c>
      <c r="X196" t="str">
        <f>IF($B196="","",IF(INDEX(GLAPS컨테이너배차관리!$F:$F,$B196)="","",INDEX(GLAPS컨테이너배차관리!$F:$F,$B196)))</f>
        <v/>
      </c>
      <c r="Y196" t="str">
        <f>IF($B196="","",IF(IF(INDEX(GLAPS컨테이너배차관리!$M:$M,$B196)="","",INDEX(GLAPS컨테이너배차관리!$M:$M,$B196))&lt;&gt;"",IF(INDEX(GLAPS컨테이너배차관리!$M:$M,$B196)="","",INDEX(GLAPS컨테이너배차관리!$M:$M,$B196)),IF(IF(INDEX(GLAPS컨테이너배차관리!$N:$N,$B196)="","",INDEX(GLAPS컨테이너배차관리!$N:$N,$B196))&lt;&gt;"",IF(INDEX(GLAPS컨테이너배차관리!$N:$N,$B196)="","",INDEX(GLAPS컨테이너배차관리!$N:$N,$B196)),"")))</f>
        <v/>
      </c>
      <c r="Z196" t="str">
        <f>IF($B196="","",IF(IF(INDEX(GLAPS컨테이너배차관리!$CU:$CU,$B196)="","",INDEX(GLAPS컨테이너배차관리!$CU:$CU,$B196))="","",IFERROR(INT(IF(INDEX(GLAPS컨테이너배차관리!$CU:$CU,$B196)="","",INDEX(GLAPS컨테이너배차관리!$CU:$CU,$B196))),"")))</f>
        <v/>
      </c>
      <c r="AA196" t="str">
        <f>IF($B196="","",IF(AND(IF(INDEX(GLAPS컨테이너배차관리!$CL:$CL,$B196)="","",INDEX(GLAPS컨테이너배차관리!$CL:$CL,$B196))="",IF(INDEX(GLAPS컨테이너배차관리!$CM:$CM,$B196)="","",INDEX(GLAPS컨테이너배차관리!$CM:$CM,$B196))=""),"",IF(OR(IF(INDEX(GLAPS컨테이너배차관리!$CL:$CL,$B196)="","",INDEX(GLAPS컨테이너배차관리!$CL:$CL,$B196))="B000016649",ISNUMBER(SEARCH("B015",IF(INDEX(GLAPS컨테이너배차관리!$CM:$CM,$B196)="","",INDEX(GLAPS컨테이너배차관리!$CM:$CM,$B196)))),ISNUMBER(SEARCH("세방",IF(INDEX(GLAPS컨테이너배차관리!$CM:$CM,$B196)="","",INDEX(GLAPS컨테이너배차관리!$CM:$CM,$B196)))),ISNUMBER(SEARCH("SB",IF(INDEX(GLAPS컨테이너배차관리!$CM:$CM,$B196)="","",INDEX(GLAPS컨테이너배차관리!$CM:$CM,$B196))))),"세방","")))</f>
        <v/>
      </c>
      <c r="AB196" t="str">
        <f>IF($B196="","",IF(IF(INDEX(GLAPS컨테이너배차관리!$CM:$CM,$B196)="","",INDEX(GLAPS컨테이너배차관리!$CM:$CM,$B196))="","",IF(ISNUMBER(SEARCH("이지스두동",IF(INDEX(GLAPS컨테이너배차관리!$CM:$CM,$B196)="","",INDEX(GLAPS컨테이너배차관리!$CM:$CM,$B196)))),"이지스두동",IF(ISNUMBER(SEARCH("이지스녹산",IF(INDEX(GLAPS컨테이너배차관리!$CM:$CM,$B196)="","",INDEX(GLAPS컨테이너배차관리!$CM:$CM,$B196)))),"이지스녹산",IF(ISNUMBER(SEARCH("천우",IF(INDEX(GLAPS컨테이너배차관리!$CM:$CM,$B196)="","",INDEX(GLAPS컨테이너배차관리!$CM:$CM,$B196)))),"천우",IF(OR(ISNUMBER(SEARCH("청암",IF(INDEX(GLAPS컨테이너배차관리!$CM:$CM,$B196)="","",INDEX(GLAPS컨테이너배차관리!$CM:$CM,$B196)))),ISNUMBER(SEARCH("SB청암",IF(INDEX(GLAPS컨테이너배차관리!$CM:$CM,$B196)="","",INDEX(GLAPS컨테이너배차관리!$CM:$CM,$B196))))),"청암신항",IF(INDEX(GLAPS컨테이너배차관리!$CM:$CM,$B196)="","",INDEX(GLAPS컨테이너배차관리!$CM:$CM,$B196))))))))</f>
        <v/>
      </c>
    </row>
    <row r="197" spans="1:28">
      <c r="A197">
        <v>196</v>
      </c>
      <c r="B197" t="str">
        <f>IFERROR(_xlfn.AGGREGATE(15,6,ROW(GLAPS컨테이너배차관리!$X$2:$X$20000)/(GLAPS컨테이너배차관리!$X$2:$X$20000&lt;&gt;""),A197),"")</f>
        <v/>
      </c>
      <c r="C197" t="str">
        <f>IF($B197="","",INT(IF(INDEX(GLAPS컨테이너배차관리!$K:$K,$B197)="","",INDEX(GLAPS컨테이너배차관리!$K:$K,$B197))))</f>
        <v/>
      </c>
      <c r="D197" t="str">
        <f>IF($B197="","",IF(ISNUMBER(SEARCH("이엘에스",IF(INDEX(GLAPS컨테이너배차관리!$AZ:$AZ,$B197)="","",INDEX(GLAPS컨테이너배차관리!$AZ:$AZ,$B197)))),"ELS솔루션",IF(INDEX(GLAPS컨테이너배차관리!$AZ:$AZ,$B197)="","",INDEX(GLAPS컨테이너배차관리!$AZ:$AZ,$B197))))</f>
        <v/>
      </c>
      <c r="E197" t="str">
        <f>IF($B197="","",IF(INDEX(GLAPS컨테이너배차관리!$L:$L,$B197)="","",INDEX(GLAPS컨테이너배차관리!$L:$L,$B197)))</f>
        <v/>
      </c>
      <c r="F197" t="str">
        <f>IF($B197="","",IF(HOUR(IF(INDEX(GLAPS컨테이너배차관리!$L:$L,$B197)="","",INDEX(GLAPS컨테이너배차관리!$L:$L,$B197)))&lt;12,"오전",IF(HOUR(IF(INDEX(GLAPS컨테이너배차관리!$L:$L,$B197)="","",INDEX(GLAPS컨테이너배차관리!$L:$L,$B197)))&lt;18,"오후","잔업")))</f>
        <v/>
      </c>
      <c r="G197" t="str">
        <f>IF($B197="","",IFERROR(INDEX(GLAPS정리!$G$3:$G$264,MATCH(IF(INDEX(GLAPS컨테이너배차관리!$BY:$BY,$B197)="","",INDEX(GLAPS컨테이너배차관리!$BY:$BY,$B197)),GLAPS정리!$H$3:$H$264,0)),TRIM(SUBSTITUTE(SUBSTITUTE(SUBSTITUTE(SUBSTITUTE(SUBSTITUTE(IF(INDEX(GLAPS컨테이너배차관리!$T:$T,$B197)="","",INDEX(GLAPS컨테이너배차관리!$T:$T,$B197)),"[GA]",""),"[GB]",""),"[GC]",""),"[KC]",""),"[GS]",""))))</f>
        <v/>
      </c>
      <c r="H197" t="str">
        <f>IF($B197="","",IFERROR(VLOOKUP(IF(INDEX(GLAPS컨테이너배차관리!$BY:$BY,$B197)="","",INDEX(GLAPS컨테이너배차관리!$BY:$BY,$B197)),GLAPS정리!$BT$3:$BV$200,3,0),""))</f>
        <v/>
      </c>
      <c r="I197" t="str">
        <f>IF($B197="","",LEFT(IF(INDEX(GLAPS컨테이너배차관리!$U:$U,$B197)="","",INDEX(GLAPS컨테이너배차관리!$U:$U,$B197)),FIND("/",IF(INDEX(GLAPS컨테이너배차관리!$U:$U,$B197)="","",INDEX(GLAPS컨테이너배차관리!$U:$U,$B197))&amp;"/")-1))</f>
        <v/>
      </c>
      <c r="J197" t="str">
        <f>IF($B197="","",IF(IF(INDEX(GLAPS컨테이너배차관리!$O:$O,$B197)="","",INDEX(GLAPS컨테이너배차관리!$O:$O,$B197))="EMC","EMA",IFERROR(INDEX(GLAPS정리!$A$2:$A$50,MATCH(IF(INDEX(GLAPS컨테이너배차관리!$O:$O,$B197)="","",INDEX(GLAPS컨테이너배차관리!$O:$O,$B197)),GLAPS정리!$D$2:$D$50,0)),IF(INDEX(GLAPS컨테이너배차관리!$O:$O,$B197)="","",INDEX(GLAPS컨테이너배차관리!$O:$O,$B197)))))</f>
        <v/>
      </c>
      <c r="K197" t="str">
        <f>IF($B197="","",IF(LEFT(IF(INDEX(GLAPS컨테이너배차관리!$Y:$Y,$B197)="","",INDEX(GLAPS컨테이너배차관리!$Y:$Y,$B197)),2)="22","20 Feet",IF(LEFT(IF(INDEX(GLAPS컨테이너배차관리!$Y:$Y,$B197)="","",INDEX(GLAPS컨테이너배차관리!$Y:$Y,$B197)),2)="42","40 Feet","40 Feet H")))</f>
        <v/>
      </c>
      <c r="L197" t="str">
        <f>IF($B197="","",IFERROR(INDEX(GLAPS정리!$BB$2:$BB$80,MATCH(IF(INDEX(GLAPS컨테이너배차관리!$BQ:$BQ,$B197)="","",INDEX(GLAPS컨테이너배차관리!$BQ:$BQ,$B197)),GLAPS정리!$BC$2:$BC$80,0)),IF(INDEX(GLAPS컨테이너배차관리!$BQ:$BQ,$B197)="","",INDEX(GLAPS컨테이너배차관리!$BQ:$BQ,$B197))))</f>
        <v/>
      </c>
      <c r="M197" t="str">
        <f>IF($B197="","",IFERROR(INDEX(GLAPS정리!$V$3:$V$180,MATCH(IF(INDEX(GLAPS컨테이너배차관리!$S:$S,$B197)="","",INDEX(GLAPS컨테이너배차관리!$S:$S,$B197)),GLAPS정리!$W$3:$W$180,0)),IF(INDEX(GLAPS컨테이너배차관리!$S:$S,$B197)="","",INDEX(GLAPS컨테이너배차관리!$S:$S,$B197))))</f>
        <v/>
      </c>
      <c r="N197" t="str">
        <f>IF($B197="","",IF(IF(INDEX(GLAPS컨테이너배차관리!$DF:$DF,$B197)="","",INDEX(GLAPS컨테이너배차관리!$DF:$DF,$B197))&lt;&gt;"",IF(INDEX(GLAPS컨테이너배차관리!$DF:$DF,$B197)="","",INDEX(GLAPS컨테이너배차관리!$DF:$DF,$B197)),IF(IF(INDEX(GLAPS컨테이너배차관리!$DG:$DG,$B197)="","",INDEX(GLAPS컨테이너배차관리!$DG:$DG,$B197))&lt;&gt;"",IF(INDEX(GLAPS컨테이너배차관리!$DG:$DG,$B197)="","",INDEX(GLAPS컨테이너배차관리!$DG:$DG,$B197)),"")))</f>
        <v/>
      </c>
      <c r="O197" t="str">
        <f>IF($B197="","",IF(INDEX(GLAPS컨테이너배차관리!$AB:$AB,$B197)="","",INDEX(GLAPS컨테이너배차관리!$AB:$AB,$B197)))</f>
        <v/>
      </c>
      <c r="P197" t="str">
        <f>IF($B197="","",IF(IF(INDEX(GLAPS컨테이너배차관리!$CP:$CP,$B197)="","",INDEX(GLAPS컨테이너배차관리!$CP:$CP,$B197))="","",IFERROR(INDEX(GLAPS정리!$BH$2:$BH$101,MATCH(IF(INDEX(GLAPS컨테이너배차관리!$CP:$CP,$B197)="","",INDEX(GLAPS컨테이너배차관리!$CP:$CP,$B197)),GLAPS정리!$BI$2:$BI$101,0)),IF(INDEX(GLAPS컨테이너배차관리!$CP:$CP,$B197)="","",INDEX(GLAPS컨테이너배차관리!$CP:$CP,$B197)))))</f>
        <v/>
      </c>
      <c r="Q197" t="str">
        <f>IF($B197="","",IF(AND(IF(INDEX(GLAPS컨테이너배차관리!$AK:$AK,$B197)="","",INDEX(GLAPS컨테이너배차관리!$AK:$AK,$B197))="Y",IF(INDEX(GLAPS컨테이너배차관리!$AI:$AI,$B197)="","",INDEX(GLAPS컨테이너배차관리!$AI:$AI,$B197))="Y"),"위험물리퍼",IF(IF(INDEX(GLAPS컨테이너배차관리!$AK:$AK,$B197)="","",INDEX(GLAPS컨테이너배차관리!$AK:$AK,$B197))="Y","위험물",IF(IF(INDEX(GLAPS컨테이너배차관리!$AI:$AI,$B197)="","",INDEX(GLAPS컨테이너배차관리!$AI:$AI,$B197))="Y","리퍼",""))))</f>
        <v/>
      </c>
      <c r="R197" t="str">
        <f>IF($B197="","",IF(LEFT(IF(INDEX(GLAPS컨테이너배차관리!$Y:$Y,$B197)="","",INDEX(GLAPS컨테이너배차관리!$Y:$Y,$B197)),2)="22",1,""))</f>
        <v/>
      </c>
      <c r="S197" t="str">
        <f>IF($B197="","",IF(LEFT(IF(INDEX(GLAPS컨테이너배차관리!$Y:$Y,$B197)="","",INDEX(GLAPS컨테이너배차관리!$Y:$Y,$B197)),2)="42",1,""))</f>
        <v/>
      </c>
      <c r="T197" t="str">
        <f>IF($B197="","",IF(LEFT(IF(INDEX(GLAPS컨테이너배차관리!$Y:$Y,$B197)="","",INDEX(GLAPS컨테이너배차관리!$Y:$Y,$B197)),2)="45",1,""))</f>
        <v/>
      </c>
      <c r="U197" t="str">
        <f>IF($B197="","",IF(INDEX(GLAPS컨테이너배차관리!$X:$X,$B197)="","",INDEX(GLAPS컨테이너배차관리!$X:$X,$B197)))</f>
        <v/>
      </c>
      <c r="V197" t="str">
        <f>IF($B197="","",IF(INDEX(GLAPS컨테이너배차관리!$Z:$Z,$B197)="","",INDEX(GLAPS컨테이너배차관리!$Z:$Z,$B197)))</f>
        <v/>
      </c>
      <c r="W197" t="str">
        <f>IF($B197="","",IF(IF(INDEX(GLAPS컨테이너배차관리!$DI:$DI,$B197)="","",INDEX(GLAPS컨테이너배차관리!$DI:$DI,$B197))&lt;&gt;"",IF(INDEX(GLAPS컨테이너배차관리!$DI:$DI,$B197)="","",INDEX(GLAPS컨테이너배차관리!$DI:$DI,$B197)),IF(IF(INDEX(GLAPS컨테이너배차관리!$DJ:$DJ,$B197)="","",INDEX(GLAPS컨테이너배차관리!$DJ:$DJ,$B197))&lt;&gt;"",IF(INDEX(GLAPS컨테이너배차관리!$DJ:$DJ,$B197)="","",INDEX(GLAPS컨테이너배차관리!$DJ:$DJ,$B197)),IF(IF(INDEX(GLAPS컨테이너배차관리!$DK:$DK,$B197)="","",INDEX(GLAPS컨테이너배차관리!$DK:$DK,$B197))&lt;&gt;"",IF(INDEX(GLAPS컨테이너배차관리!$DK:$DK,$B197)="","",INDEX(GLAPS컨테이너배차관리!$DK:$DK,$B197)),IF(IF(INDEX(GLAPS컨테이너배차관리!$DL:$DL,$B197)="","",INDEX(GLAPS컨테이너배차관리!$DL:$DL,$B197))&lt;&gt;"",IF(INDEX(GLAPS컨테이너배차관리!$DL:$DL,$B197)="","",INDEX(GLAPS컨테이너배차관리!$DL:$DL,$B197)),IF(IF(INDEX(GLAPS컨테이너배차관리!$DM:$DM,$B197)="","",INDEX(GLAPS컨테이너배차관리!$DM:$DM,$B197))&lt;&gt;"",IF(INDEX(GLAPS컨테이너배차관리!$DM:$DM,$B197)="","",INDEX(GLAPS컨테이너배차관리!$DM:$DM,$B197)),""))))))</f>
        <v/>
      </c>
      <c r="X197" t="str">
        <f>IF($B197="","",IF(INDEX(GLAPS컨테이너배차관리!$F:$F,$B197)="","",INDEX(GLAPS컨테이너배차관리!$F:$F,$B197)))</f>
        <v/>
      </c>
      <c r="Y197" t="str">
        <f>IF($B197="","",IF(IF(INDEX(GLAPS컨테이너배차관리!$M:$M,$B197)="","",INDEX(GLAPS컨테이너배차관리!$M:$M,$B197))&lt;&gt;"",IF(INDEX(GLAPS컨테이너배차관리!$M:$M,$B197)="","",INDEX(GLAPS컨테이너배차관리!$M:$M,$B197)),IF(IF(INDEX(GLAPS컨테이너배차관리!$N:$N,$B197)="","",INDEX(GLAPS컨테이너배차관리!$N:$N,$B197))&lt;&gt;"",IF(INDEX(GLAPS컨테이너배차관리!$N:$N,$B197)="","",INDEX(GLAPS컨테이너배차관리!$N:$N,$B197)),"")))</f>
        <v/>
      </c>
      <c r="Z197" t="str">
        <f>IF($B197="","",IF(IF(INDEX(GLAPS컨테이너배차관리!$CU:$CU,$B197)="","",INDEX(GLAPS컨테이너배차관리!$CU:$CU,$B197))="","",IFERROR(INT(IF(INDEX(GLAPS컨테이너배차관리!$CU:$CU,$B197)="","",INDEX(GLAPS컨테이너배차관리!$CU:$CU,$B197))),"")))</f>
        <v/>
      </c>
      <c r="AA197" t="str">
        <f>IF($B197="","",IF(AND(IF(INDEX(GLAPS컨테이너배차관리!$CL:$CL,$B197)="","",INDEX(GLAPS컨테이너배차관리!$CL:$CL,$B197))="",IF(INDEX(GLAPS컨테이너배차관리!$CM:$CM,$B197)="","",INDEX(GLAPS컨테이너배차관리!$CM:$CM,$B197))=""),"",IF(OR(IF(INDEX(GLAPS컨테이너배차관리!$CL:$CL,$B197)="","",INDEX(GLAPS컨테이너배차관리!$CL:$CL,$B197))="B000016649",ISNUMBER(SEARCH("B015",IF(INDEX(GLAPS컨테이너배차관리!$CM:$CM,$B197)="","",INDEX(GLAPS컨테이너배차관리!$CM:$CM,$B197)))),ISNUMBER(SEARCH("세방",IF(INDEX(GLAPS컨테이너배차관리!$CM:$CM,$B197)="","",INDEX(GLAPS컨테이너배차관리!$CM:$CM,$B197)))),ISNUMBER(SEARCH("SB",IF(INDEX(GLAPS컨테이너배차관리!$CM:$CM,$B197)="","",INDEX(GLAPS컨테이너배차관리!$CM:$CM,$B197))))),"세방","")))</f>
        <v/>
      </c>
      <c r="AB197" t="str">
        <f>IF($B197="","",IF(IF(INDEX(GLAPS컨테이너배차관리!$CM:$CM,$B197)="","",INDEX(GLAPS컨테이너배차관리!$CM:$CM,$B197))="","",IF(ISNUMBER(SEARCH("이지스두동",IF(INDEX(GLAPS컨테이너배차관리!$CM:$CM,$B197)="","",INDEX(GLAPS컨테이너배차관리!$CM:$CM,$B197)))),"이지스두동",IF(ISNUMBER(SEARCH("이지스녹산",IF(INDEX(GLAPS컨테이너배차관리!$CM:$CM,$B197)="","",INDEX(GLAPS컨테이너배차관리!$CM:$CM,$B197)))),"이지스녹산",IF(ISNUMBER(SEARCH("천우",IF(INDEX(GLAPS컨테이너배차관리!$CM:$CM,$B197)="","",INDEX(GLAPS컨테이너배차관리!$CM:$CM,$B197)))),"천우",IF(OR(ISNUMBER(SEARCH("청암",IF(INDEX(GLAPS컨테이너배차관리!$CM:$CM,$B197)="","",INDEX(GLAPS컨테이너배차관리!$CM:$CM,$B197)))),ISNUMBER(SEARCH("SB청암",IF(INDEX(GLAPS컨테이너배차관리!$CM:$CM,$B197)="","",INDEX(GLAPS컨테이너배차관리!$CM:$CM,$B197))))),"청암신항",IF(INDEX(GLAPS컨테이너배차관리!$CM:$CM,$B197)="","",INDEX(GLAPS컨테이너배차관리!$CM:$CM,$B197))))))))</f>
        <v/>
      </c>
    </row>
    <row r="198" spans="1:28">
      <c r="A198">
        <v>197</v>
      </c>
      <c r="B198" t="str">
        <f>IFERROR(_xlfn.AGGREGATE(15,6,ROW(GLAPS컨테이너배차관리!$X$2:$X$20000)/(GLAPS컨테이너배차관리!$X$2:$X$20000&lt;&gt;""),A198),"")</f>
        <v/>
      </c>
      <c r="C198" t="str">
        <f>IF($B198="","",INT(IF(INDEX(GLAPS컨테이너배차관리!$K:$K,$B198)="","",INDEX(GLAPS컨테이너배차관리!$K:$K,$B198))))</f>
        <v/>
      </c>
      <c r="D198" t="str">
        <f>IF($B198="","",IF(ISNUMBER(SEARCH("이엘에스",IF(INDEX(GLAPS컨테이너배차관리!$AZ:$AZ,$B198)="","",INDEX(GLAPS컨테이너배차관리!$AZ:$AZ,$B198)))),"ELS솔루션",IF(INDEX(GLAPS컨테이너배차관리!$AZ:$AZ,$B198)="","",INDEX(GLAPS컨테이너배차관리!$AZ:$AZ,$B198))))</f>
        <v/>
      </c>
      <c r="E198" t="str">
        <f>IF($B198="","",IF(INDEX(GLAPS컨테이너배차관리!$L:$L,$B198)="","",INDEX(GLAPS컨테이너배차관리!$L:$L,$B198)))</f>
        <v/>
      </c>
      <c r="F198" t="str">
        <f>IF($B198="","",IF(HOUR(IF(INDEX(GLAPS컨테이너배차관리!$L:$L,$B198)="","",INDEX(GLAPS컨테이너배차관리!$L:$L,$B198)))&lt;12,"오전",IF(HOUR(IF(INDEX(GLAPS컨테이너배차관리!$L:$L,$B198)="","",INDEX(GLAPS컨테이너배차관리!$L:$L,$B198)))&lt;18,"오후","잔업")))</f>
        <v/>
      </c>
      <c r="G198" t="str">
        <f>IF($B198="","",IFERROR(INDEX(GLAPS정리!$G$3:$G$264,MATCH(IF(INDEX(GLAPS컨테이너배차관리!$BY:$BY,$B198)="","",INDEX(GLAPS컨테이너배차관리!$BY:$BY,$B198)),GLAPS정리!$H$3:$H$264,0)),TRIM(SUBSTITUTE(SUBSTITUTE(SUBSTITUTE(SUBSTITUTE(SUBSTITUTE(IF(INDEX(GLAPS컨테이너배차관리!$T:$T,$B198)="","",INDEX(GLAPS컨테이너배차관리!$T:$T,$B198)),"[GA]",""),"[GB]",""),"[GC]",""),"[KC]",""),"[GS]",""))))</f>
        <v/>
      </c>
      <c r="H198" t="str">
        <f>IF($B198="","",IFERROR(VLOOKUP(IF(INDEX(GLAPS컨테이너배차관리!$BY:$BY,$B198)="","",INDEX(GLAPS컨테이너배차관리!$BY:$BY,$B198)),GLAPS정리!$BT$3:$BV$200,3,0),""))</f>
        <v/>
      </c>
      <c r="I198" t="str">
        <f>IF($B198="","",LEFT(IF(INDEX(GLAPS컨테이너배차관리!$U:$U,$B198)="","",INDEX(GLAPS컨테이너배차관리!$U:$U,$B198)),FIND("/",IF(INDEX(GLAPS컨테이너배차관리!$U:$U,$B198)="","",INDEX(GLAPS컨테이너배차관리!$U:$U,$B198))&amp;"/")-1))</f>
        <v/>
      </c>
      <c r="J198" t="str">
        <f>IF($B198="","",IF(IF(INDEX(GLAPS컨테이너배차관리!$O:$O,$B198)="","",INDEX(GLAPS컨테이너배차관리!$O:$O,$B198))="EMC","EMA",IFERROR(INDEX(GLAPS정리!$A$2:$A$50,MATCH(IF(INDEX(GLAPS컨테이너배차관리!$O:$O,$B198)="","",INDEX(GLAPS컨테이너배차관리!$O:$O,$B198)),GLAPS정리!$D$2:$D$50,0)),IF(INDEX(GLAPS컨테이너배차관리!$O:$O,$B198)="","",INDEX(GLAPS컨테이너배차관리!$O:$O,$B198)))))</f>
        <v/>
      </c>
      <c r="K198" t="str">
        <f>IF($B198="","",IF(LEFT(IF(INDEX(GLAPS컨테이너배차관리!$Y:$Y,$B198)="","",INDEX(GLAPS컨테이너배차관리!$Y:$Y,$B198)),2)="22","20 Feet",IF(LEFT(IF(INDEX(GLAPS컨테이너배차관리!$Y:$Y,$B198)="","",INDEX(GLAPS컨테이너배차관리!$Y:$Y,$B198)),2)="42","40 Feet","40 Feet H")))</f>
        <v/>
      </c>
      <c r="L198" t="str">
        <f>IF($B198="","",IFERROR(INDEX(GLAPS정리!$BB$2:$BB$80,MATCH(IF(INDEX(GLAPS컨테이너배차관리!$BQ:$BQ,$B198)="","",INDEX(GLAPS컨테이너배차관리!$BQ:$BQ,$B198)),GLAPS정리!$BC$2:$BC$80,0)),IF(INDEX(GLAPS컨테이너배차관리!$BQ:$BQ,$B198)="","",INDEX(GLAPS컨테이너배차관리!$BQ:$BQ,$B198))))</f>
        <v/>
      </c>
      <c r="M198" t="str">
        <f>IF($B198="","",IFERROR(INDEX(GLAPS정리!$V$3:$V$180,MATCH(IF(INDEX(GLAPS컨테이너배차관리!$S:$S,$B198)="","",INDEX(GLAPS컨테이너배차관리!$S:$S,$B198)),GLAPS정리!$W$3:$W$180,0)),IF(INDEX(GLAPS컨테이너배차관리!$S:$S,$B198)="","",INDEX(GLAPS컨테이너배차관리!$S:$S,$B198))))</f>
        <v/>
      </c>
      <c r="N198" t="str">
        <f>IF($B198="","",IF(IF(INDEX(GLAPS컨테이너배차관리!$DF:$DF,$B198)="","",INDEX(GLAPS컨테이너배차관리!$DF:$DF,$B198))&lt;&gt;"",IF(INDEX(GLAPS컨테이너배차관리!$DF:$DF,$B198)="","",INDEX(GLAPS컨테이너배차관리!$DF:$DF,$B198)),IF(IF(INDEX(GLAPS컨테이너배차관리!$DG:$DG,$B198)="","",INDEX(GLAPS컨테이너배차관리!$DG:$DG,$B198))&lt;&gt;"",IF(INDEX(GLAPS컨테이너배차관리!$DG:$DG,$B198)="","",INDEX(GLAPS컨테이너배차관리!$DG:$DG,$B198)),"")))</f>
        <v/>
      </c>
      <c r="O198" t="str">
        <f>IF($B198="","",IF(INDEX(GLAPS컨테이너배차관리!$AB:$AB,$B198)="","",INDEX(GLAPS컨테이너배차관리!$AB:$AB,$B198)))</f>
        <v/>
      </c>
      <c r="P198" t="str">
        <f>IF($B198="","",IF(IF(INDEX(GLAPS컨테이너배차관리!$CP:$CP,$B198)="","",INDEX(GLAPS컨테이너배차관리!$CP:$CP,$B198))="","",IFERROR(INDEX(GLAPS정리!$BH$2:$BH$101,MATCH(IF(INDEX(GLAPS컨테이너배차관리!$CP:$CP,$B198)="","",INDEX(GLAPS컨테이너배차관리!$CP:$CP,$B198)),GLAPS정리!$BI$2:$BI$101,0)),IF(INDEX(GLAPS컨테이너배차관리!$CP:$CP,$B198)="","",INDEX(GLAPS컨테이너배차관리!$CP:$CP,$B198)))))</f>
        <v/>
      </c>
      <c r="Q198" t="str">
        <f>IF($B198="","",IF(AND(IF(INDEX(GLAPS컨테이너배차관리!$AK:$AK,$B198)="","",INDEX(GLAPS컨테이너배차관리!$AK:$AK,$B198))="Y",IF(INDEX(GLAPS컨테이너배차관리!$AI:$AI,$B198)="","",INDEX(GLAPS컨테이너배차관리!$AI:$AI,$B198))="Y"),"위험물리퍼",IF(IF(INDEX(GLAPS컨테이너배차관리!$AK:$AK,$B198)="","",INDEX(GLAPS컨테이너배차관리!$AK:$AK,$B198))="Y","위험물",IF(IF(INDEX(GLAPS컨테이너배차관리!$AI:$AI,$B198)="","",INDEX(GLAPS컨테이너배차관리!$AI:$AI,$B198))="Y","리퍼",""))))</f>
        <v/>
      </c>
      <c r="R198" t="str">
        <f>IF($B198="","",IF(LEFT(IF(INDEX(GLAPS컨테이너배차관리!$Y:$Y,$B198)="","",INDEX(GLAPS컨테이너배차관리!$Y:$Y,$B198)),2)="22",1,""))</f>
        <v/>
      </c>
      <c r="S198" t="str">
        <f>IF($B198="","",IF(LEFT(IF(INDEX(GLAPS컨테이너배차관리!$Y:$Y,$B198)="","",INDEX(GLAPS컨테이너배차관리!$Y:$Y,$B198)),2)="42",1,""))</f>
        <v/>
      </c>
      <c r="T198" t="str">
        <f>IF($B198="","",IF(LEFT(IF(INDEX(GLAPS컨테이너배차관리!$Y:$Y,$B198)="","",INDEX(GLAPS컨테이너배차관리!$Y:$Y,$B198)),2)="45",1,""))</f>
        <v/>
      </c>
      <c r="U198" t="str">
        <f>IF($B198="","",IF(INDEX(GLAPS컨테이너배차관리!$X:$X,$B198)="","",INDEX(GLAPS컨테이너배차관리!$X:$X,$B198)))</f>
        <v/>
      </c>
      <c r="V198" t="str">
        <f>IF($B198="","",IF(INDEX(GLAPS컨테이너배차관리!$Z:$Z,$B198)="","",INDEX(GLAPS컨테이너배차관리!$Z:$Z,$B198)))</f>
        <v/>
      </c>
      <c r="W198" t="str">
        <f>IF($B198="","",IF(IF(INDEX(GLAPS컨테이너배차관리!$DI:$DI,$B198)="","",INDEX(GLAPS컨테이너배차관리!$DI:$DI,$B198))&lt;&gt;"",IF(INDEX(GLAPS컨테이너배차관리!$DI:$DI,$B198)="","",INDEX(GLAPS컨테이너배차관리!$DI:$DI,$B198)),IF(IF(INDEX(GLAPS컨테이너배차관리!$DJ:$DJ,$B198)="","",INDEX(GLAPS컨테이너배차관리!$DJ:$DJ,$B198))&lt;&gt;"",IF(INDEX(GLAPS컨테이너배차관리!$DJ:$DJ,$B198)="","",INDEX(GLAPS컨테이너배차관리!$DJ:$DJ,$B198)),IF(IF(INDEX(GLAPS컨테이너배차관리!$DK:$DK,$B198)="","",INDEX(GLAPS컨테이너배차관리!$DK:$DK,$B198))&lt;&gt;"",IF(INDEX(GLAPS컨테이너배차관리!$DK:$DK,$B198)="","",INDEX(GLAPS컨테이너배차관리!$DK:$DK,$B198)),IF(IF(INDEX(GLAPS컨테이너배차관리!$DL:$DL,$B198)="","",INDEX(GLAPS컨테이너배차관리!$DL:$DL,$B198))&lt;&gt;"",IF(INDEX(GLAPS컨테이너배차관리!$DL:$DL,$B198)="","",INDEX(GLAPS컨테이너배차관리!$DL:$DL,$B198)),IF(IF(INDEX(GLAPS컨테이너배차관리!$DM:$DM,$B198)="","",INDEX(GLAPS컨테이너배차관리!$DM:$DM,$B198))&lt;&gt;"",IF(INDEX(GLAPS컨테이너배차관리!$DM:$DM,$B198)="","",INDEX(GLAPS컨테이너배차관리!$DM:$DM,$B198)),""))))))</f>
        <v/>
      </c>
      <c r="X198" t="str">
        <f>IF($B198="","",IF(INDEX(GLAPS컨테이너배차관리!$F:$F,$B198)="","",INDEX(GLAPS컨테이너배차관리!$F:$F,$B198)))</f>
        <v/>
      </c>
      <c r="Y198" t="str">
        <f>IF($B198="","",IF(IF(INDEX(GLAPS컨테이너배차관리!$M:$M,$B198)="","",INDEX(GLAPS컨테이너배차관리!$M:$M,$B198))&lt;&gt;"",IF(INDEX(GLAPS컨테이너배차관리!$M:$M,$B198)="","",INDEX(GLAPS컨테이너배차관리!$M:$M,$B198)),IF(IF(INDEX(GLAPS컨테이너배차관리!$N:$N,$B198)="","",INDEX(GLAPS컨테이너배차관리!$N:$N,$B198))&lt;&gt;"",IF(INDEX(GLAPS컨테이너배차관리!$N:$N,$B198)="","",INDEX(GLAPS컨테이너배차관리!$N:$N,$B198)),"")))</f>
        <v/>
      </c>
      <c r="Z198" t="str">
        <f>IF($B198="","",IF(IF(INDEX(GLAPS컨테이너배차관리!$CU:$CU,$B198)="","",INDEX(GLAPS컨테이너배차관리!$CU:$CU,$B198))="","",IFERROR(INT(IF(INDEX(GLAPS컨테이너배차관리!$CU:$CU,$B198)="","",INDEX(GLAPS컨테이너배차관리!$CU:$CU,$B198))),"")))</f>
        <v/>
      </c>
      <c r="AA198" t="str">
        <f>IF($B198="","",IF(AND(IF(INDEX(GLAPS컨테이너배차관리!$CL:$CL,$B198)="","",INDEX(GLAPS컨테이너배차관리!$CL:$CL,$B198))="",IF(INDEX(GLAPS컨테이너배차관리!$CM:$CM,$B198)="","",INDEX(GLAPS컨테이너배차관리!$CM:$CM,$B198))=""),"",IF(OR(IF(INDEX(GLAPS컨테이너배차관리!$CL:$CL,$B198)="","",INDEX(GLAPS컨테이너배차관리!$CL:$CL,$B198))="B000016649",ISNUMBER(SEARCH("B015",IF(INDEX(GLAPS컨테이너배차관리!$CM:$CM,$B198)="","",INDEX(GLAPS컨테이너배차관리!$CM:$CM,$B198)))),ISNUMBER(SEARCH("세방",IF(INDEX(GLAPS컨테이너배차관리!$CM:$CM,$B198)="","",INDEX(GLAPS컨테이너배차관리!$CM:$CM,$B198)))),ISNUMBER(SEARCH("SB",IF(INDEX(GLAPS컨테이너배차관리!$CM:$CM,$B198)="","",INDEX(GLAPS컨테이너배차관리!$CM:$CM,$B198))))),"세방","")))</f>
        <v/>
      </c>
      <c r="AB198" t="str">
        <f>IF($B198="","",IF(IF(INDEX(GLAPS컨테이너배차관리!$CM:$CM,$B198)="","",INDEX(GLAPS컨테이너배차관리!$CM:$CM,$B198))="","",IF(ISNUMBER(SEARCH("이지스두동",IF(INDEX(GLAPS컨테이너배차관리!$CM:$CM,$B198)="","",INDEX(GLAPS컨테이너배차관리!$CM:$CM,$B198)))),"이지스두동",IF(ISNUMBER(SEARCH("이지스녹산",IF(INDEX(GLAPS컨테이너배차관리!$CM:$CM,$B198)="","",INDEX(GLAPS컨테이너배차관리!$CM:$CM,$B198)))),"이지스녹산",IF(ISNUMBER(SEARCH("천우",IF(INDEX(GLAPS컨테이너배차관리!$CM:$CM,$B198)="","",INDEX(GLAPS컨테이너배차관리!$CM:$CM,$B198)))),"천우",IF(OR(ISNUMBER(SEARCH("청암",IF(INDEX(GLAPS컨테이너배차관리!$CM:$CM,$B198)="","",INDEX(GLAPS컨테이너배차관리!$CM:$CM,$B198)))),ISNUMBER(SEARCH("SB청암",IF(INDEX(GLAPS컨테이너배차관리!$CM:$CM,$B198)="","",INDEX(GLAPS컨테이너배차관리!$CM:$CM,$B198))))),"청암신항",IF(INDEX(GLAPS컨테이너배차관리!$CM:$CM,$B198)="","",INDEX(GLAPS컨테이너배차관리!$CM:$CM,$B198))))))))</f>
        <v/>
      </c>
    </row>
    <row r="199" spans="1:28">
      <c r="A199">
        <v>198</v>
      </c>
      <c r="B199" t="str">
        <f>IFERROR(_xlfn.AGGREGATE(15,6,ROW(GLAPS컨테이너배차관리!$X$2:$X$20000)/(GLAPS컨테이너배차관리!$X$2:$X$20000&lt;&gt;""),A199),"")</f>
        <v/>
      </c>
      <c r="C199" t="str">
        <f>IF($B199="","",INT(IF(INDEX(GLAPS컨테이너배차관리!$K:$K,$B199)="","",INDEX(GLAPS컨테이너배차관리!$K:$K,$B199))))</f>
        <v/>
      </c>
      <c r="D199" t="str">
        <f>IF($B199="","",IF(ISNUMBER(SEARCH("이엘에스",IF(INDEX(GLAPS컨테이너배차관리!$AZ:$AZ,$B199)="","",INDEX(GLAPS컨테이너배차관리!$AZ:$AZ,$B199)))),"ELS솔루션",IF(INDEX(GLAPS컨테이너배차관리!$AZ:$AZ,$B199)="","",INDEX(GLAPS컨테이너배차관리!$AZ:$AZ,$B199))))</f>
        <v/>
      </c>
      <c r="E199" t="str">
        <f>IF($B199="","",IF(INDEX(GLAPS컨테이너배차관리!$L:$L,$B199)="","",INDEX(GLAPS컨테이너배차관리!$L:$L,$B199)))</f>
        <v/>
      </c>
      <c r="F199" t="str">
        <f>IF($B199="","",IF(HOUR(IF(INDEX(GLAPS컨테이너배차관리!$L:$L,$B199)="","",INDEX(GLAPS컨테이너배차관리!$L:$L,$B199)))&lt;12,"오전",IF(HOUR(IF(INDEX(GLAPS컨테이너배차관리!$L:$L,$B199)="","",INDEX(GLAPS컨테이너배차관리!$L:$L,$B199)))&lt;18,"오후","잔업")))</f>
        <v/>
      </c>
      <c r="G199" t="str">
        <f>IF($B199="","",IFERROR(INDEX(GLAPS정리!$G$3:$G$264,MATCH(IF(INDEX(GLAPS컨테이너배차관리!$BY:$BY,$B199)="","",INDEX(GLAPS컨테이너배차관리!$BY:$BY,$B199)),GLAPS정리!$H$3:$H$264,0)),TRIM(SUBSTITUTE(SUBSTITUTE(SUBSTITUTE(SUBSTITUTE(SUBSTITUTE(IF(INDEX(GLAPS컨테이너배차관리!$T:$T,$B199)="","",INDEX(GLAPS컨테이너배차관리!$T:$T,$B199)),"[GA]",""),"[GB]",""),"[GC]",""),"[KC]",""),"[GS]",""))))</f>
        <v/>
      </c>
      <c r="H199" t="str">
        <f>IF($B199="","",IFERROR(VLOOKUP(IF(INDEX(GLAPS컨테이너배차관리!$BY:$BY,$B199)="","",INDEX(GLAPS컨테이너배차관리!$BY:$BY,$B199)),GLAPS정리!$BT$3:$BV$200,3,0),""))</f>
        <v/>
      </c>
      <c r="I199" t="str">
        <f>IF($B199="","",LEFT(IF(INDEX(GLAPS컨테이너배차관리!$U:$U,$B199)="","",INDEX(GLAPS컨테이너배차관리!$U:$U,$B199)),FIND("/",IF(INDEX(GLAPS컨테이너배차관리!$U:$U,$B199)="","",INDEX(GLAPS컨테이너배차관리!$U:$U,$B199))&amp;"/")-1))</f>
        <v/>
      </c>
      <c r="J199" t="str">
        <f>IF($B199="","",IF(IF(INDEX(GLAPS컨테이너배차관리!$O:$O,$B199)="","",INDEX(GLAPS컨테이너배차관리!$O:$O,$B199))="EMC","EMA",IFERROR(INDEX(GLAPS정리!$A$2:$A$50,MATCH(IF(INDEX(GLAPS컨테이너배차관리!$O:$O,$B199)="","",INDEX(GLAPS컨테이너배차관리!$O:$O,$B199)),GLAPS정리!$D$2:$D$50,0)),IF(INDEX(GLAPS컨테이너배차관리!$O:$O,$B199)="","",INDEX(GLAPS컨테이너배차관리!$O:$O,$B199)))))</f>
        <v/>
      </c>
      <c r="K199" t="str">
        <f>IF($B199="","",IF(LEFT(IF(INDEX(GLAPS컨테이너배차관리!$Y:$Y,$B199)="","",INDEX(GLAPS컨테이너배차관리!$Y:$Y,$B199)),2)="22","20 Feet",IF(LEFT(IF(INDEX(GLAPS컨테이너배차관리!$Y:$Y,$B199)="","",INDEX(GLAPS컨테이너배차관리!$Y:$Y,$B199)),2)="42","40 Feet","40 Feet H")))</f>
        <v/>
      </c>
      <c r="L199" t="str">
        <f>IF($B199="","",IFERROR(INDEX(GLAPS정리!$BB$2:$BB$80,MATCH(IF(INDEX(GLAPS컨테이너배차관리!$BQ:$BQ,$B199)="","",INDEX(GLAPS컨테이너배차관리!$BQ:$BQ,$B199)),GLAPS정리!$BC$2:$BC$80,0)),IF(INDEX(GLAPS컨테이너배차관리!$BQ:$BQ,$B199)="","",INDEX(GLAPS컨테이너배차관리!$BQ:$BQ,$B199))))</f>
        <v/>
      </c>
      <c r="M199" t="str">
        <f>IF($B199="","",IFERROR(INDEX(GLAPS정리!$V$3:$V$180,MATCH(IF(INDEX(GLAPS컨테이너배차관리!$S:$S,$B199)="","",INDEX(GLAPS컨테이너배차관리!$S:$S,$B199)),GLAPS정리!$W$3:$W$180,0)),IF(INDEX(GLAPS컨테이너배차관리!$S:$S,$B199)="","",INDEX(GLAPS컨테이너배차관리!$S:$S,$B199))))</f>
        <v/>
      </c>
      <c r="N199" t="str">
        <f>IF($B199="","",IF(IF(INDEX(GLAPS컨테이너배차관리!$DF:$DF,$B199)="","",INDEX(GLAPS컨테이너배차관리!$DF:$DF,$B199))&lt;&gt;"",IF(INDEX(GLAPS컨테이너배차관리!$DF:$DF,$B199)="","",INDEX(GLAPS컨테이너배차관리!$DF:$DF,$B199)),IF(IF(INDEX(GLAPS컨테이너배차관리!$DG:$DG,$B199)="","",INDEX(GLAPS컨테이너배차관리!$DG:$DG,$B199))&lt;&gt;"",IF(INDEX(GLAPS컨테이너배차관리!$DG:$DG,$B199)="","",INDEX(GLAPS컨테이너배차관리!$DG:$DG,$B199)),"")))</f>
        <v/>
      </c>
      <c r="O199" t="str">
        <f>IF($B199="","",IF(INDEX(GLAPS컨테이너배차관리!$AB:$AB,$B199)="","",INDEX(GLAPS컨테이너배차관리!$AB:$AB,$B199)))</f>
        <v/>
      </c>
      <c r="P199" t="str">
        <f>IF($B199="","",IF(IF(INDEX(GLAPS컨테이너배차관리!$CP:$CP,$B199)="","",INDEX(GLAPS컨테이너배차관리!$CP:$CP,$B199))="","",IFERROR(INDEX(GLAPS정리!$BH$2:$BH$101,MATCH(IF(INDEX(GLAPS컨테이너배차관리!$CP:$CP,$B199)="","",INDEX(GLAPS컨테이너배차관리!$CP:$CP,$B199)),GLAPS정리!$BI$2:$BI$101,0)),IF(INDEX(GLAPS컨테이너배차관리!$CP:$CP,$B199)="","",INDEX(GLAPS컨테이너배차관리!$CP:$CP,$B199)))))</f>
        <v/>
      </c>
      <c r="Q199" t="str">
        <f>IF($B199="","",IF(AND(IF(INDEX(GLAPS컨테이너배차관리!$AK:$AK,$B199)="","",INDEX(GLAPS컨테이너배차관리!$AK:$AK,$B199))="Y",IF(INDEX(GLAPS컨테이너배차관리!$AI:$AI,$B199)="","",INDEX(GLAPS컨테이너배차관리!$AI:$AI,$B199))="Y"),"위험물리퍼",IF(IF(INDEX(GLAPS컨테이너배차관리!$AK:$AK,$B199)="","",INDEX(GLAPS컨테이너배차관리!$AK:$AK,$B199))="Y","위험물",IF(IF(INDEX(GLAPS컨테이너배차관리!$AI:$AI,$B199)="","",INDEX(GLAPS컨테이너배차관리!$AI:$AI,$B199))="Y","리퍼",""))))</f>
        <v/>
      </c>
      <c r="R199" t="str">
        <f>IF($B199="","",IF(LEFT(IF(INDEX(GLAPS컨테이너배차관리!$Y:$Y,$B199)="","",INDEX(GLAPS컨테이너배차관리!$Y:$Y,$B199)),2)="22",1,""))</f>
        <v/>
      </c>
      <c r="S199" t="str">
        <f>IF($B199="","",IF(LEFT(IF(INDEX(GLAPS컨테이너배차관리!$Y:$Y,$B199)="","",INDEX(GLAPS컨테이너배차관리!$Y:$Y,$B199)),2)="42",1,""))</f>
        <v/>
      </c>
      <c r="T199" t="str">
        <f>IF($B199="","",IF(LEFT(IF(INDEX(GLAPS컨테이너배차관리!$Y:$Y,$B199)="","",INDEX(GLAPS컨테이너배차관리!$Y:$Y,$B199)),2)="45",1,""))</f>
        <v/>
      </c>
      <c r="U199" t="str">
        <f>IF($B199="","",IF(INDEX(GLAPS컨테이너배차관리!$X:$X,$B199)="","",INDEX(GLAPS컨테이너배차관리!$X:$X,$B199)))</f>
        <v/>
      </c>
      <c r="V199" t="str">
        <f>IF($B199="","",IF(INDEX(GLAPS컨테이너배차관리!$Z:$Z,$B199)="","",INDEX(GLAPS컨테이너배차관리!$Z:$Z,$B199)))</f>
        <v/>
      </c>
      <c r="W199" t="str">
        <f>IF($B199="","",IF(IF(INDEX(GLAPS컨테이너배차관리!$DI:$DI,$B199)="","",INDEX(GLAPS컨테이너배차관리!$DI:$DI,$B199))&lt;&gt;"",IF(INDEX(GLAPS컨테이너배차관리!$DI:$DI,$B199)="","",INDEX(GLAPS컨테이너배차관리!$DI:$DI,$B199)),IF(IF(INDEX(GLAPS컨테이너배차관리!$DJ:$DJ,$B199)="","",INDEX(GLAPS컨테이너배차관리!$DJ:$DJ,$B199))&lt;&gt;"",IF(INDEX(GLAPS컨테이너배차관리!$DJ:$DJ,$B199)="","",INDEX(GLAPS컨테이너배차관리!$DJ:$DJ,$B199)),IF(IF(INDEX(GLAPS컨테이너배차관리!$DK:$DK,$B199)="","",INDEX(GLAPS컨테이너배차관리!$DK:$DK,$B199))&lt;&gt;"",IF(INDEX(GLAPS컨테이너배차관리!$DK:$DK,$B199)="","",INDEX(GLAPS컨테이너배차관리!$DK:$DK,$B199)),IF(IF(INDEX(GLAPS컨테이너배차관리!$DL:$DL,$B199)="","",INDEX(GLAPS컨테이너배차관리!$DL:$DL,$B199))&lt;&gt;"",IF(INDEX(GLAPS컨테이너배차관리!$DL:$DL,$B199)="","",INDEX(GLAPS컨테이너배차관리!$DL:$DL,$B199)),IF(IF(INDEX(GLAPS컨테이너배차관리!$DM:$DM,$B199)="","",INDEX(GLAPS컨테이너배차관리!$DM:$DM,$B199))&lt;&gt;"",IF(INDEX(GLAPS컨테이너배차관리!$DM:$DM,$B199)="","",INDEX(GLAPS컨테이너배차관리!$DM:$DM,$B199)),""))))))</f>
        <v/>
      </c>
      <c r="X199" t="str">
        <f>IF($B199="","",IF(INDEX(GLAPS컨테이너배차관리!$F:$F,$B199)="","",INDEX(GLAPS컨테이너배차관리!$F:$F,$B199)))</f>
        <v/>
      </c>
      <c r="Y199" t="str">
        <f>IF($B199="","",IF(IF(INDEX(GLAPS컨테이너배차관리!$M:$M,$B199)="","",INDEX(GLAPS컨테이너배차관리!$M:$M,$B199))&lt;&gt;"",IF(INDEX(GLAPS컨테이너배차관리!$M:$M,$B199)="","",INDEX(GLAPS컨테이너배차관리!$M:$M,$B199)),IF(IF(INDEX(GLAPS컨테이너배차관리!$N:$N,$B199)="","",INDEX(GLAPS컨테이너배차관리!$N:$N,$B199))&lt;&gt;"",IF(INDEX(GLAPS컨테이너배차관리!$N:$N,$B199)="","",INDEX(GLAPS컨테이너배차관리!$N:$N,$B199)),"")))</f>
        <v/>
      </c>
      <c r="Z199" t="str">
        <f>IF($B199="","",IF(IF(INDEX(GLAPS컨테이너배차관리!$CU:$CU,$B199)="","",INDEX(GLAPS컨테이너배차관리!$CU:$CU,$B199))="","",IFERROR(INT(IF(INDEX(GLAPS컨테이너배차관리!$CU:$CU,$B199)="","",INDEX(GLAPS컨테이너배차관리!$CU:$CU,$B199))),"")))</f>
        <v/>
      </c>
      <c r="AA199" t="str">
        <f>IF($B199="","",IF(AND(IF(INDEX(GLAPS컨테이너배차관리!$CL:$CL,$B199)="","",INDEX(GLAPS컨테이너배차관리!$CL:$CL,$B199))="",IF(INDEX(GLAPS컨테이너배차관리!$CM:$CM,$B199)="","",INDEX(GLAPS컨테이너배차관리!$CM:$CM,$B199))=""),"",IF(OR(IF(INDEX(GLAPS컨테이너배차관리!$CL:$CL,$B199)="","",INDEX(GLAPS컨테이너배차관리!$CL:$CL,$B199))="B000016649",ISNUMBER(SEARCH("B015",IF(INDEX(GLAPS컨테이너배차관리!$CM:$CM,$B199)="","",INDEX(GLAPS컨테이너배차관리!$CM:$CM,$B199)))),ISNUMBER(SEARCH("세방",IF(INDEX(GLAPS컨테이너배차관리!$CM:$CM,$B199)="","",INDEX(GLAPS컨테이너배차관리!$CM:$CM,$B199)))),ISNUMBER(SEARCH("SB",IF(INDEX(GLAPS컨테이너배차관리!$CM:$CM,$B199)="","",INDEX(GLAPS컨테이너배차관리!$CM:$CM,$B199))))),"세방","")))</f>
        <v/>
      </c>
      <c r="AB199" t="str">
        <f>IF($B199="","",IF(IF(INDEX(GLAPS컨테이너배차관리!$CM:$CM,$B199)="","",INDEX(GLAPS컨테이너배차관리!$CM:$CM,$B199))="","",IF(ISNUMBER(SEARCH("이지스두동",IF(INDEX(GLAPS컨테이너배차관리!$CM:$CM,$B199)="","",INDEX(GLAPS컨테이너배차관리!$CM:$CM,$B199)))),"이지스두동",IF(ISNUMBER(SEARCH("이지스녹산",IF(INDEX(GLAPS컨테이너배차관리!$CM:$CM,$B199)="","",INDEX(GLAPS컨테이너배차관리!$CM:$CM,$B199)))),"이지스녹산",IF(ISNUMBER(SEARCH("천우",IF(INDEX(GLAPS컨테이너배차관리!$CM:$CM,$B199)="","",INDEX(GLAPS컨테이너배차관리!$CM:$CM,$B199)))),"천우",IF(OR(ISNUMBER(SEARCH("청암",IF(INDEX(GLAPS컨테이너배차관리!$CM:$CM,$B199)="","",INDEX(GLAPS컨테이너배차관리!$CM:$CM,$B199)))),ISNUMBER(SEARCH("SB청암",IF(INDEX(GLAPS컨테이너배차관리!$CM:$CM,$B199)="","",INDEX(GLAPS컨테이너배차관리!$CM:$CM,$B199))))),"청암신항",IF(INDEX(GLAPS컨테이너배차관리!$CM:$CM,$B199)="","",INDEX(GLAPS컨테이너배차관리!$CM:$CM,$B199))))))))</f>
        <v/>
      </c>
    </row>
    <row r="200" spans="1:28">
      <c r="A200">
        <v>199</v>
      </c>
      <c r="B200" t="str">
        <f>IFERROR(_xlfn.AGGREGATE(15,6,ROW(GLAPS컨테이너배차관리!$X$2:$X$20000)/(GLAPS컨테이너배차관리!$X$2:$X$20000&lt;&gt;""),A200),"")</f>
        <v/>
      </c>
      <c r="C200" t="str">
        <f>IF($B200="","",INT(IF(INDEX(GLAPS컨테이너배차관리!$K:$K,$B200)="","",INDEX(GLAPS컨테이너배차관리!$K:$K,$B200))))</f>
        <v/>
      </c>
      <c r="D200" t="str">
        <f>IF($B200="","",IF(ISNUMBER(SEARCH("이엘에스",IF(INDEX(GLAPS컨테이너배차관리!$AZ:$AZ,$B200)="","",INDEX(GLAPS컨테이너배차관리!$AZ:$AZ,$B200)))),"ELS솔루션",IF(INDEX(GLAPS컨테이너배차관리!$AZ:$AZ,$B200)="","",INDEX(GLAPS컨테이너배차관리!$AZ:$AZ,$B200))))</f>
        <v/>
      </c>
      <c r="E200" t="str">
        <f>IF($B200="","",IF(INDEX(GLAPS컨테이너배차관리!$L:$L,$B200)="","",INDEX(GLAPS컨테이너배차관리!$L:$L,$B200)))</f>
        <v/>
      </c>
      <c r="F200" t="str">
        <f>IF($B200="","",IF(HOUR(IF(INDEX(GLAPS컨테이너배차관리!$L:$L,$B200)="","",INDEX(GLAPS컨테이너배차관리!$L:$L,$B200)))&lt;12,"오전",IF(HOUR(IF(INDEX(GLAPS컨테이너배차관리!$L:$L,$B200)="","",INDEX(GLAPS컨테이너배차관리!$L:$L,$B200)))&lt;18,"오후","잔업")))</f>
        <v/>
      </c>
      <c r="G200" t="str">
        <f>IF($B200="","",IFERROR(INDEX(GLAPS정리!$G$3:$G$264,MATCH(IF(INDEX(GLAPS컨테이너배차관리!$BY:$BY,$B200)="","",INDEX(GLAPS컨테이너배차관리!$BY:$BY,$B200)),GLAPS정리!$H$3:$H$264,0)),TRIM(SUBSTITUTE(SUBSTITUTE(SUBSTITUTE(SUBSTITUTE(SUBSTITUTE(IF(INDEX(GLAPS컨테이너배차관리!$T:$T,$B200)="","",INDEX(GLAPS컨테이너배차관리!$T:$T,$B200)),"[GA]",""),"[GB]",""),"[GC]",""),"[KC]",""),"[GS]",""))))</f>
        <v/>
      </c>
      <c r="H200" t="str">
        <f>IF($B200="","",IFERROR(VLOOKUP(IF(INDEX(GLAPS컨테이너배차관리!$BY:$BY,$B200)="","",INDEX(GLAPS컨테이너배차관리!$BY:$BY,$B200)),GLAPS정리!$BT$3:$BV$200,3,0),""))</f>
        <v/>
      </c>
      <c r="I200" t="str">
        <f>IF($B200="","",LEFT(IF(INDEX(GLAPS컨테이너배차관리!$U:$U,$B200)="","",INDEX(GLAPS컨테이너배차관리!$U:$U,$B200)),FIND("/",IF(INDEX(GLAPS컨테이너배차관리!$U:$U,$B200)="","",INDEX(GLAPS컨테이너배차관리!$U:$U,$B200))&amp;"/")-1))</f>
        <v/>
      </c>
      <c r="J200" t="str">
        <f>IF($B200="","",IF(IF(INDEX(GLAPS컨테이너배차관리!$O:$O,$B200)="","",INDEX(GLAPS컨테이너배차관리!$O:$O,$B200))="EMC","EMA",IFERROR(INDEX(GLAPS정리!$A$2:$A$50,MATCH(IF(INDEX(GLAPS컨테이너배차관리!$O:$O,$B200)="","",INDEX(GLAPS컨테이너배차관리!$O:$O,$B200)),GLAPS정리!$D$2:$D$50,0)),IF(INDEX(GLAPS컨테이너배차관리!$O:$O,$B200)="","",INDEX(GLAPS컨테이너배차관리!$O:$O,$B200)))))</f>
        <v/>
      </c>
      <c r="K200" t="str">
        <f>IF($B200="","",IF(LEFT(IF(INDEX(GLAPS컨테이너배차관리!$Y:$Y,$B200)="","",INDEX(GLAPS컨테이너배차관리!$Y:$Y,$B200)),2)="22","20 Feet",IF(LEFT(IF(INDEX(GLAPS컨테이너배차관리!$Y:$Y,$B200)="","",INDEX(GLAPS컨테이너배차관리!$Y:$Y,$B200)),2)="42","40 Feet","40 Feet H")))</f>
        <v/>
      </c>
      <c r="L200" t="str">
        <f>IF($B200="","",IFERROR(INDEX(GLAPS정리!$BB$2:$BB$80,MATCH(IF(INDEX(GLAPS컨테이너배차관리!$BQ:$BQ,$B200)="","",INDEX(GLAPS컨테이너배차관리!$BQ:$BQ,$B200)),GLAPS정리!$BC$2:$BC$80,0)),IF(INDEX(GLAPS컨테이너배차관리!$BQ:$BQ,$B200)="","",INDEX(GLAPS컨테이너배차관리!$BQ:$BQ,$B200))))</f>
        <v/>
      </c>
      <c r="M200" t="str">
        <f>IF($B200="","",IFERROR(INDEX(GLAPS정리!$V$3:$V$180,MATCH(IF(INDEX(GLAPS컨테이너배차관리!$S:$S,$B200)="","",INDEX(GLAPS컨테이너배차관리!$S:$S,$B200)),GLAPS정리!$W$3:$W$180,0)),IF(INDEX(GLAPS컨테이너배차관리!$S:$S,$B200)="","",INDEX(GLAPS컨테이너배차관리!$S:$S,$B200))))</f>
        <v/>
      </c>
      <c r="N200" t="str">
        <f>IF($B200="","",IF(IF(INDEX(GLAPS컨테이너배차관리!$DF:$DF,$B200)="","",INDEX(GLAPS컨테이너배차관리!$DF:$DF,$B200))&lt;&gt;"",IF(INDEX(GLAPS컨테이너배차관리!$DF:$DF,$B200)="","",INDEX(GLAPS컨테이너배차관리!$DF:$DF,$B200)),IF(IF(INDEX(GLAPS컨테이너배차관리!$DG:$DG,$B200)="","",INDEX(GLAPS컨테이너배차관리!$DG:$DG,$B200))&lt;&gt;"",IF(INDEX(GLAPS컨테이너배차관리!$DG:$DG,$B200)="","",INDEX(GLAPS컨테이너배차관리!$DG:$DG,$B200)),"")))</f>
        <v/>
      </c>
      <c r="O200" t="str">
        <f>IF($B200="","",IF(INDEX(GLAPS컨테이너배차관리!$AB:$AB,$B200)="","",INDEX(GLAPS컨테이너배차관리!$AB:$AB,$B200)))</f>
        <v/>
      </c>
      <c r="P200" t="str">
        <f>IF($B200="","",IF(IF(INDEX(GLAPS컨테이너배차관리!$CP:$CP,$B200)="","",INDEX(GLAPS컨테이너배차관리!$CP:$CP,$B200))="","",IFERROR(INDEX(GLAPS정리!$BH$2:$BH$101,MATCH(IF(INDEX(GLAPS컨테이너배차관리!$CP:$CP,$B200)="","",INDEX(GLAPS컨테이너배차관리!$CP:$CP,$B200)),GLAPS정리!$BI$2:$BI$101,0)),IF(INDEX(GLAPS컨테이너배차관리!$CP:$CP,$B200)="","",INDEX(GLAPS컨테이너배차관리!$CP:$CP,$B200)))))</f>
        <v/>
      </c>
      <c r="Q200" t="str">
        <f>IF($B200="","",IF(AND(IF(INDEX(GLAPS컨테이너배차관리!$AK:$AK,$B200)="","",INDEX(GLAPS컨테이너배차관리!$AK:$AK,$B200))="Y",IF(INDEX(GLAPS컨테이너배차관리!$AI:$AI,$B200)="","",INDEX(GLAPS컨테이너배차관리!$AI:$AI,$B200))="Y"),"위험물리퍼",IF(IF(INDEX(GLAPS컨테이너배차관리!$AK:$AK,$B200)="","",INDEX(GLAPS컨테이너배차관리!$AK:$AK,$B200))="Y","위험물",IF(IF(INDEX(GLAPS컨테이너배차관리!$AI:$AI,$B200)="","",INDEX(GLAPS컨테이너배차관리!$AI:$AI,$B200))="Y","리퍼",""))))</f>
        <v/>
      </c>
      <c r="R200" t="str">
        <f>IF($B200="","",IF(LEFT(IF(INDEX(GLAPS컨테이너배차관리!$Y:$Y,$B200)="","",INDEX(GLAPS컨테이너배차관리!$Y:$Y,$B200)),2)="22",1,""))</f>
        <v/>
      </c>
      <c r="S200" t="str">
        <f>IF($B200="","",IF(LEFT(IF(INDEX(GLAPS컨테이너배차관리!$Y:$Y,$B200)="","",INDEX(GLAPS컨테이너배차관리!$Y:$Y,$B200)),2)="42",1,""))</f>
        <v/>
      </c>
      <c r="T200" t="str">
        <f>IF($B200="","",IF(LEFT(IF(INDEX(GLAPS컨테이너배차관리!$Y:$Y,$B200)="","",INDEX(GLAPS컨테이너배차관리!$Y:$Y,$B200)),2)="45",1,""))</f>
        <v/>
      </c>
      <c r="U200" t="str">
        <f>IF($B200="","",IF(INDEX(GLAPS컨테이너배차관리!$X:$X,$B200)="","",INDEX(GLAPS컨테이너배차관리!$X:$X,$B200)))</f>
        <v/>
      </c>
      <c r="V200" t="str">
        <f>IF($B200="","",IF(INDEX(GLAPS컨테이너배차관리!$Z:$Z,$B200)="","",INDEX(GLAPS컨테이너배차관리!$Z:$Z,$B200)))</f>
        <v/>
      </c>
      <c r="W200" t="str">
        <f>IF($B200="","",IF(IF(INDEX(GLAPS컨테이너배차관리!$DI:$DI,$B200)="","",INDEX(GLAPS컨테이너배차관리!$DI:$DI,$B200))&lt;&gt;"",IF(INDEX(GLAPS컨테이너배차관리!$DI:$DI,$B200)="","",INDEX(GLAPS컨테이너배차관리!$DI:$DI,$B200)),IF(IF(INDEX(GLAPS컨테이너배차관리!$DJ:$DJ,$B200)="","",INDEX(GLAPS컨테이너배차관리!$DJ:$DJ,$B200))&lt;&gt;"",IF(INDEX(GLAPS컨테이너배차관리!$DJ:$DJ,$B200)="","",INDEX(GLAPS컨테이너배차관리!$DJ:$DJ,$B200)),IF(IF(INDEX(GLAPS컨테이너배차관리!$DK:$DK,$B200)="","",INDEX(GLAPS컨테이너배차관리!$DK:$DK,$B200))&lt;&gt;"",IF(INDEX(GLAPS컨테이너배차관리!$DK:$DK,$B200)="","",INDEX(GLAPS컨테이너배차관리!$DK:$DK,$B200)),IF(IF(INDEX(GLAPS컨테이너배차관리!$DL:$DL,$B200)="","",INDEX(GLAPS컨테이너배차관리!$DL:$DL,$B200))&lt;&gt;"",IF(INDEX(GLAPS컨테이너배차관리!$DL:$DL,$B200)="","",INDEX(GLAPS컨테이너배차관리!$DL:$DL,$B200)),IF(IF(INDEX(GLAPS컨테이너배차관리!$DM:$DM,$B200)="","",INDEX(GLAPS컨테이너배차관리!$DM:$DM,$B200))&lt;&gt;"",IF(INDEX(GLAPS컨테이너배차관리!$DM:$DM,$B200)="","",INDEX(GLAPS컨테이너배차관리!$DM:$DM,$B200)),""))))))</f>
        <v/>
      </c>
      <c r="X200" t="str">
        <f>IF($B200="","",IF(INDEX(GLAPS컨테이너배차관리!$F:$F,$B200)="","",INDEX(GLAPS컨테이너배차관리!$F:$F,$B200)))</f>
        <v/>
      </c>
      <c r="Y200" t="str">
        <f>IF($B200="","",IF(IF(INDEX(GLAPS컨테이너배차관리!$M:$M,$B200)="","",INDEX(GLAPS컨테이너배차관리!$M:$M,$B200))&lt;&gt;"",IF(INDEX(GLAPS컨테이너배차관리!$M:$M,$B200)="","",INDEX(GLAPS컨테이너배차관리!$M:$M,$B200)),IF(IF(INDEX(GLAPS컨테이너배차관리!$N:$N,$B200)="","",INDEX(GLAPS컨테이너배차관리!$N:$N,$B200))&lt;&gt;"",IF(INDEX(GLAPS컨테이너배차관리!$N:$N,$B200)="","",INDEX(GLAPS컨테이너배차관리!$N:$N,$B200)),"")))</f>
        <v/>
      </c>
      <c r="Z200" t="str">
        <f>IF($B200="","",IF(IF(INDEX(GLAPS컨테이너배차관리!$CU:$CU,$B200)="","",INDEX(GLAPS컨테이너배차관리!$CU:$CU,$B200))="","",IFERROR(INT(IF(INDEX(GLAPS컨테이너배차관리!$CU:$CU,$B200)="","",INDEX(GLAPS컨테이너배차관리!$CU:$CU,$B200))),"")))</f>
        <v/>
      </c>
      <c r="AA200" t="str">
        <f>IF($B200="","",IF(AND(IF(INDEX(GLAPS컨테이너배차관리!$CL:$CL,$B200)="","",INDEX(GLAPS컨테이너배차관리!$CL:$CL,$B200))="",IF(INDEX(GLAPS컨테이너배차관리!$CM:$CM,$B200)="","",INDEX(GLAPS컨테이너배차관리!$CM:$CM,$B200))=""),"",IF(OR(IF(INDEX(GLAPS컨테이너배차관리!$CL:$CL,$B200)="","",INDEX(GLAPS컨테이너배차관리!$CL:$CL,$B200))="B000016649",ISNUMBER(SEARCH("B015",IF(INDEX(GLAPS컨테이너배차관리!$CM:$CM,$B200)="","",INDEX(GLAPS컨테이너배차관리!$CM:$CM,$B200)))),ISNUMBER(SEARCH("세방",IF(INDEX(GLAPS컨테이너배차관리!$CM:$CM,$B200)="","",INDEX(GLAPS컨테이너배차관리!$CM:$CM,$B200)))),ISNUMBER(SEARCH("SB",IF(INDEX(GLAPS컨테이너배차관리!$CM:$CM,$B200)="","",INDEX(GLAPS컨테이너배차관리!$CM:$CM,$B200))))),"세방","")))</f>
        <v/>
      </c>
      <c r="AB200" t="str">
        <f>IF($B200="","",IF(IF(INDEX(GLAPS컨테이너배차관리!$CM:$CM,$B200)="","",INDEX(GLAPS컨테이너배차관리!$CM:$CM,$B200))="","",IF(ISNUMBER(SEARCH("이지스두동",IF(INDEX(GLAPS컨테이너배차관리!$CM:$CM,$B200)="","",INDEX(GLAPS컨테이너배차관리!$CM:$CM,$B200)))),"이지스두동",IF(ISNUMBER(SEARCH("이지스녹산",IF(INDEX(GLAPS컨테이너배차관리!$CM:$CM,$B200)="","",INDEX(GLAPS컨테이너배차관리!$CM:$CM,$B200)))),"이지스녹산",IF(ISNUMBER(SEARCH("천우",IF(INDEX(GLAPS컨테이너배차관리!$CM:$CM,$B200)="","",INDEX(GLAPS컨테이너배차관리!$CM:$CM,$B200)))),"천우",IF(OR(ISNUMBER(SEARCH("청암",IF(INDEX(GLAPS컨테이너배차관리!$CM:$CM,$B200)="","",INDEX(GLAPS컨테이너배차관리!$CM:$CM,$B200)))),ISNUMBER(SEARCH("SB청암",IF(INDEX(GLAPS컨테이너배차관리!$CM:$CM,$B200)="","",INDEX(GLAPS컨테이너배차관리!$CM:$CM,$B200))))),"청암신항",IF(INDEX(GLAPS컨테이너배차관리!$CM:$CM,$B200)="","",INDEX(GLAPS컨테이너배차관리!$CM:$CM,$B200))))))))</f>
        <v/>
      </c>
    </row>
    <row r="201" spans="1:28">
      <c r="A201">
        <v>200</v>
      </c>
      <c r="B201" t="str">
        <f>IFERROR(_xlfn.AGGREGATE(15,6,ROW(GLAPS컨테이너배차관리!$X$2:$X$20000)/(GLAPS컨테이너배차관리!$X$2:$X$20000&lt;&gt;""),A201),"")</f>
        <v/>
      </c>
      <c r="C201" t="str">
        <f>IF($B201="","",INT(IF(INDEX(GLAPS컨테이너배차관리!$K:$K,$B201)="","",INDEX(GLAPS컨테이너배차관리!$K:$K,$B201))))</f>
        <v/>
      </c>
      <c r="D201" t="str">
        <f>IF($B201="","",IF(ISNUMBER(SEARCH("이엘에스",IF(INDEX(GLAPS컨테이너배차관리!$AZ:$AZ,$B201)="","",INDEX(GLAPS컨테이너배차관리!$AZ:$AZ,$B201)))),"ELS솔루션",IF(INDEX(GLAPS컨테이너배차관리!$AZ:$AZ,$B201)="","",INDEX(GLAPS컨테이너배차관리!$AZ:$AZ,$B201))))</f>
        <v/>
      </c>
      <c r="E201" t="str">
        <f>IF($B201="","",IF(INDEX(GLAPS컨테이너배차관리!$L:$L,$B201)="","",INDEX(GLAPS컨테이너배차관리!$L:$L,$B201)))</f>
        <v/>
      </c>
      <c r="F201" t="str">
        <f>IF($B201="","",IF(HOUR(IF(INDEX(GLAPS컨테이너배차관리!$L:$L,$B201)="","",INDEX(GLAPS컨테이너배차관리!$L:$L,$B201)))&lt;12,"오전",IF(HOUR(IF(INDEX(GLAPS컨테이너배차관리!$L:$L,$B201)="","",INDEX(GLAPS컨테이너배차관리!$L:$L,$B201)))&lt;18,"오후","잔업")))</f>
        <v/>
      </c>
      <c r="G201" t="str">
        <f>IF($B201="","",IFERROR(INDEX(GLAPS정리!$G$3:$G$264,MATCH(IF(INDEX(GLAPS컨테이너배차관리!$BY:$BY,$B201)="","",INDEX(GLAPS컨테이너배차관리!$BY:$BY,$B201)),GLAPS정리!$H$3:$H$264,0)),TRIM(SUBSTITUTE(SUBSTITUTE(SUBSTITUTE(SUBSTITUTE(SUBSTITUTE(IF(INDEX(GLAPS컨테이너배차관리!$T:$T,$B201)="","",INDEX(GLAPS컨테이너배차관리!$T:$T,$B201)),"[GA]",""),"[GB]",""),"[GC]",""),"[KC]",""),"[GS]",""))))</f>
        <v/>
      </c>
      <c r="H201" t="str">
        <f>IF($B201="","",IFERROR(VLOOKUP(IF(INDEX(GLAPS컨테이너배차관리!$BY:$BY,$B201)="","",INDEX(GLAPS컨테이너배차관리!$BY:$BY,$B201)),GLAPS정리!$BT$3:$BV$200,3,0),""))</f>
        <v/>
      </c>
      <c r="I201" t="str">
        <f>IF($B201="","",LEFT(IF(INDEX(GLAPS컨테이너배차관리!$U:$U,$B201)="","",INDEX(GLAPS컨테이너배차관리!$U:$U,$B201)),FIND("/",IF(INDEX(GLAPS컨테이너배차관리!$U:$U,$B201)="","",INDEX(GLAPS컨테이너배차관리!$U:$U,$B201))&amp;"/")-1))</f>
        <v/>
      </c>
      <c r="J201" t="str">
        <f>IF($B201="","",IF(IF(INDEX(GLAPS컨테이너배차관리!$O:$O,$B201)="","",INDEX(GLAPS컨테이너배차관리!$O:$O,$B201))="EMC","EMA",IFERROR(INDEX(GLAPS정리!$A$2:$A$50,MATCH(IF(INDEX(GLAPS컨테이너배차관리!$O:$O,$B201)="","",INDEX(GLAPS컨테이너배차관리!$O:$O,$B201)),GLAPS정리!$D$2:$D$50,0)),IF(INDEX(GLAPS컨테이너배차관리!$O:$O,$B201)="","",INDEX(GLAPS컨테이너배차관리!$O:$O,$B201)))))</f>
        <v/>
      </c>
      <c r="K201" t="str">
        <f>IF($B201="","",IF(LEFT(IF(INDEX(GLAPS컨테이너배차관리!$Y:$Y,$B201)="","",INDEX(GLAPS컨테이너배차관리!$Y:$Y,$B201)),2)="22","20 Feet",IF(LEFT(IF(INDEX(GLAPS컨테이너배차관리!$Y:$Y,$B201)="","",INDEX(GLAPS컨테이너배차관리!$Y:$Y,$B201)),2)="42","40 Feet","40 Feet H")))</f>
        <v/>
      </c>
      <c r="L201" t="str">
        <f>IF($B201="","",IFERROR(INDEX(GLAPS정리!$BB$2:$BB$80,MATCH(IF(INDEX(GLAPS컨테이너배차관리!$BQ:$BQ,$B201)="","",INDEX(GLAPS컨테이너배차관리!$BQ:$BQ,$B201)),GLAPS정리!$BC$2:$BC$80,0)),IF(INDEX(GLAPS컨테이너배차관리!$BQ:$BQ,$B201)="","",INDEX(GLAPS컨테이너배차관리!$BQ:$BQ,$B201))))</f>
        <v/>
      </c>
      <c r="M201" t="str">
        <f>IF($B201="","",IFERROR(INDEX(GLAPS정리!$V$3:$V$180,MATCH(IF(INDEX(GLAPS컨테이너배차관리!$S:$S,$B201)="","",INDEX(GLAPS컨테이너배차관리!$S:$S,$B201)),GLAPS정리!$W$3:$W$180,0)),IF(INDEX(GLAPS컨테이너배차관리!$S:$S,$B201)="","",INDEX(GLAPS컨테이너배차관리!$S:$S,$B201))))</f>
        <v/>
      </c>
      <c r="N201" t="str">
        <f>IF($B201="","",IF(IF(INDEX(GLAPS컨테이너배차관리!$DF:$DF,$B201)="","",INDEX(GLAPS컨테이너배차관리!$DF:$DF,$B201))&lt;&gt;"",IF(INDEX(GLAPS컨테이너배차관리!$DF:$DF,$B201)="","",INDEX(GLAPS컨테이너배차관리!$DF:$DF,$B201)),IF(IF(INDEX(GLAPS컨테이너배차관리!$DG:$DG,$B201)="","",INDEX(GLAPS컨테이너배차관리!$DG:$DG,$B201))&lt;&gt;"",IF(INDEX(GLAPS컨테이너배차관리!$DG:$DG,$B201)="","",INDEX(GLAPS컨테이너배차관리!$DG:$DG,$B201)),"")))</f>
        <v/>
      </c>
      <c r="O201" t="str">
        <f>IF($B201="","",IF(INDEX(GLAPS컨테이너배차관리!$AB:$AB,$B201)="","",INDEX(GLAPS컨테이너배차관리!$AB:$AB,$B201)))</f>
        <v/>
      </c>
      <c r="P201" t="str">
        <f>IF($B201="","",IF(IF(INDEX(GLAPS컨테이너배차관리!$CP:$CP,$B201)="","",INDEX(GLAPS컨테이너배차관리!$CP:$CP,$B201))="","",IFERROR(INDEX(GLAPS정리!$BH$2:$BH$101,MATCH(IF(INDEX(GLAPS컨테이너배차관리!$CP:$CP,$B201)="","",INDEX(GLAPS컨테이너배차관리!$CP:$CP,$B201)),GLAPS정리!$BI$2:$BI$101,0)),IF(INDEX(GLAPS컨테이너배차관리!$CP:$CP,$B201)="","",INDEX(GLAPS컨테이너배차관리!$CP:$CP,$B201)))))</f>
        <v/>
      </c>
      <c r="Q201" t="str">
        <f>IF($B201="","",IF(AND(IF(INDEX(GLAPS컨테이너배차관리!$AK:$AK,$B201)="","",INDEX(GLAPS컨테이너배차관리!$AK:$AK,$B201))="Y",IF(INDEX(GLAPS컨테이너배차관리!$AI:$AI,$B201)="","",INDEX(GLAPS컨테이너배차관리!$AI:$AI,$B201))="Y"),"위험물리퍼",IF(IF(INDEX(GLAPS컨테이너배차관리!$AK:$AK,$B201)="","",INDEX(GLAPS컨테이너배차관리!$AK:$AK,$B201))="Y","위험물",IF(IF(INDEX(GLAPS컨테이너배차관리!$AI:$AI,$B201)="","",INDEX(GLAPS컨테이너배차관리!$AI:$AI,$B201))="Y","리퍼",""))))</f>
        <v/>
      </c>
      <c r="R201" t="str">
        <f>IF($B201="","",IF(LEFT(IF(INDEX(GLAPS컨테이너배차관리!$Y:$Y,$B201)="","",INDEX(GLAPS컨테이너배차관리!$Y:$Y,$B201)),2)="22",1,""))</f>
        <v/>
      </c>
      <c r="S201" t="str">
        <f>IF($B201="","",IF(LEFT(IF(INDEX(GLAPS컨테이너배차관리!$Y:$Y,$B201)="","",INDEX(GLAPS컨테이너배차관리!$Y:$Y,$B201)),2)="42",1,""))</f>
        <v/>
      </c>
      <c r="T201" t="str">
        <f>IF($B201="","",IF(LEFT(IF(INDEX(GLAPS컨테이너배차관리!$Y:$Y,$B201)="","",INDEX(GLAPS컨테이너배차관리!$Y:$Y,$B201)),2)="45",1,""))</f>
        <v/>
      </c>
      <c r="U201" t="str">
        <f>IF($B201="","",IF(INDEX(GLAPS컨테이너배차관리!$X:$X,$B201)="","",INDEX(GLAPS컨테이너배차관리!$X:$X,$B201)))</f>
        <v/>
      </c>
      <c r="V201" t="str">
        <f>IF($B201="","",IF(INDEX(GLAPS컨테이너배차관리!$Z:$Z,$B201)="","",INDEX(GLAPS컨테이너배차관리!$Z:$Z,$B201)))</f>
        <v/>
      </c>
      <c r="W201" t="str">
        <f>IF($B201="","",IF(IF(INDEX(GLAPS컨테이너배차관리!$DI:$DI,$B201)="","",INDEX(GLAPS컨테이너배차관리!$DI:$DI,$B201))&lt;&gt;"",IF(INDEX(GLAPS컨테이너배차관리!$DI:$DI,$B201)="","",INDEX(GLAPS컨테이너배차관리!$DI:$DI,$B201)),IF(IF(INDEX(GLAPS컨테이너배차관리!$DJ:$DJ,$B201)="","",INDEX(GLAPS컨테이너배차관리!$DJ:$DJ,$B201))&lt;&gt;"",IF(INDEX(GLAPS컨테이너배차관리!$DJ:$DJ,$B201)="","",INDEX(GLAPS컨테이너배차관리!$DJ:$DJ,$B201)),IF(IF(INDEX(GLAPS컨테이너배차관리!$DK:$DK,$B201)="","",INDEX(GLAPS컨테이너배차관리!$DK:$DK,$B201))&lt;&gt;"",IF(INDEX(GLAPS컨테이너배차관리!$DK:$DK,$B201)="","",INDEX(GLAPS컨테이너배차관리!$DK:$DK,$B201)),IF(IF(INDEX(GLAPS컨테이너배차관리!$DL:$DL,$B201)="","",INDEX(GLAPS컨테이너배차관리!$DL:$DL,$B201))&lt;&gt;"",IF(INDEX(GLAPS컨테이너배차관리!$DL:$DL,$B201)="","",INDEX(GLAPS컨테이너배차관리!$DL:$DL,$B201)),IF(IF(INDEX(GLAPS컨테이너배차관리!$DM:$DM,$B201)="","",INDEX(GLAPS컨테이너배차관리!$DM:$DM,$B201))&lt;&gt;"",IF(INDEX(GLAPS컨테이너배차관리!$DM:$DM,$B201)="","",INDEX(GLAPS컨테이너배차관리!$DM:$DM,$B201)),""))))))</f>
        <v/>
      </c>
      <c r="X201" t="str">
        <f>IF($B201="","",IF(INDEX(GLAPS컨테이너배차관리!$F:$F,$B201)="","",INDEX(GLAPS컨테이너배차관리!$F:$F,$B201)))</f>
        <v/>
      </c>
      <c r="Y201" t="str">
        <f>IF($B201="","",IF(IF(INDEX(GLAPS컨테이너배차관리!$M:$M,$B201)="","",INDEX(GLAPS컨테이너배차관리!$M:$M,$B201))&lt;&gt;"",IF(INDEX(GLAPS컨테이너배차관리!$M:$M,$B201)="","",INDEX(GLAPS컨테이너배차관리!$M:$M,$B201)),IF(IF(INDEX(GLAPS컨테이너배차관리!$N:$N,$B201)="","",INDEX(GLAPS컨테이너배차관리!$N:$N,$B201))&lt;&gt;"",IF(INDEX(GLAPS컨테이너배차관리!$N:$N,$B201)="","",INDEX(GLAPS컨테이너배차관리!$N:$N,$B201)),"")))</f>
        <v/>
      </c>
      <c r="Z201" t="str">
        <f>IF($B201="","",IF(IF(INDEX(GLAPS컨테이너배차관리!$CU:$CU,$B201)="","",INDEX(GLAPS컨테이너배차관리!$CU:$CU,$B201))="","",IFERROR(INT(IF(INDEX(GLAPS컨테이너배차관리!$CU:$CU,$B201)="","",INDEX(GLAPS컨테이너배차관리!$CU:$CU,$B201))),"")))</f>
        <v/>
      </c>
      <c r="AA201" t="str">
        <f>IF($B201="","",IF(AND(IF(INDEX(GLAPS컨테이너배차관리!$CL:$CL,$B201)="","",INDEX(GLAPS컨테이너배차관리!$CL:$CL,$B201))="",IF(INDEX(GLAPS컨테이너배차관리!$CM:$CM,$B201)="","",INDEX(GLAPS컨테이너배차관리!$CM:$CM,$B201))=""),"",IF(OR(IF(INDEX(GLAPS컨테이너배차관리!$CL:$CL,$B201)="","",INDEX(GLAPS컨테이너배차관리!$CL:$CL,$B201))="B000016649",ISNUMBER(SEARCH("B015",IF(INDEX(GLAPS컨테이너배차관리!$CM:$CM,$B201)="","",INDEX(GLAPS컨테이너배차관리!$CM:$CM,$B201)))),ISNUMBER(SEARCH("세방",IF(INDEX(GLAPS컨테이너배차관리!$CM:$CM,$B201)="","",INDEX(GLAPS컨테이너배차관리!$CM:$CM,$B201)))),ISNUMBER(SEARCH("SB",IF(INDEX(GLAPS컨테이너배차관리!$CM:$CM,$B201)="","",INDEX(GLAPS컨테이너배차관리!$CM:$CM,$B201))))),"세방","")))</f>
        <v/>
      </c>
      <c r="AB201" t="str">
        <f>IF($B201="","",IF(IF(INDEX(GLAPS컨테이너배차관리!$CM:$CM,$B201)="","",INDEX(GLAPS컨테이너배차관리!$CM:$CM,$B201))="","",IF(ISNUMBER(SEARCH("이지스두동",IF(INDEX(GLAPS컨테이너배차관리!$CM:$CM,$B201)="","",INDEX(GLAPS컨테이너배차관리!$CM:$CM,$B201)))),"이지스두동",IF(ISNUMBER(SEARCH("이지스녹산",IF(INDEX(GLAPS컨테이너배차관리!$CM:$CM,$B201)="","",INDEX(GLAPS컨테이너배차관리!$CM:$CM,$B201)))),"이지스녹산",IF(ISNUMBER(SEARCH("천우",IF(INDEX(GLAPS컨테이너배차관리!$CM:$CM,$B201)="","",INDEX(GLAPS컨테이너배차관리!$CM:$CM,$B201)))),"천우",IF(OR(ISNUMBER(SEARCH("청암",IF(INDEX(GLAPS컨테이너배차관리!$CM:$CM,$B201)="","",INDEX(GLAPS컨테이너배차관리!$CM:$CM,$B201)))),ISNUMBER(SEARCH("SB청암",IF(INDEX(GLAPS컨테이너배차관리!$CM:$CM,$B201)="","",INDEX(GLAPS컨테이너배차관리!$CM:$CM,$B201))))),"청암신항",IF(INDEX(GLAPS컨테이너배차관리!$CM:$CM,$B201)="","",INDEX(GLAPS컨테이너배차관리!$CM:$CM,$B201))))))))</f>
        <v/>
      </c>
    </row>
  </sheetData>
  <autoFilter ref="A1:AB1" xr:uid="{4ED4F9AB-44FC-46FA-A435-503917832E06}"/>
  <phoneticPr fontId="3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D347-C156-4788-9759-57CE4CEB70DE}">
  <sheetPr codeName="Sheet5">
    <tabColor rgb="FFFFFF00"/>
  </sheetPr>
  <dimension ref="A1:BV264"/>
  <sheetViews>
    <sheetView topLeftCell="AV1" zoomScale="70" zoomScaleNormal="70" workbookViewId="0">
      <selection activeCell="BH11" sqref="BH11"/>
    </sheetView>
  </sheetViews>
  <sheetFormatPr defaultRowHeight="16.5"/>
  <cols>
    <col min="1" max="4" width="25" customWidth="1"/>
    <col min="5" max="5" width="12.5" customWidth="1"/>
    <col min="7" max="7" width="23" bestFit="1" customWidth="1"/>
    <col min="8" max="8" width="12.25" bestFit="1" customWidth="1"/>
    <col min="9" max="9" width="54.125" bestFit="1" customWidth="1"/>
    <col min="10" max="10" width="24.5" bestFit="1" customWidth="1"/>
    <col min="12" max="12" width="20.75" style="77" bestFit="1" customWidth="1"/>
    <col min="13" max="13" width="10.125" style="77" bestFit="1" customWidth="1"/>
    <col min="14" max="14" width="6.75" style="77" bestFit="1" customWidth="1"/>
    <col min="15" max="15" width="9.625" style="77" bestFit="1" customWidth="1"/>
    <col min="16" max="16" width="42.625" style="77" bestFit="1" customWidth="1"/>
    <col min="17" max="17" width="20.25" style="77" customWidth="1"/>
    <col min="19" max="19" width="30.125" bestFit="1" customWidth="1"/>
    <col min="29" max="29" width="11.75" bestFit="1" customWidth="1"/>
    <col min="30" max="30" width="25.375" customWidth="1"/>
    <col min="31" max="31" width="12.875" bestFit="1" customWidth="1"/>
    <col min="32" max="32" width="37.875" bestFit="1" customWidth="1"/>
    <col min="33" max="33" width="24.25" bestFit="1" customWidth="1"/>
    <col min="37" max="37" width="42.75" bestFit="1" customWidth="1"/>
    <col min="38" max="38" width="19" bestFit="1" customWidth="1"/>
    <col min="39" max="39" width="21.25" bestFit="1" customWidth="1"/>
    <col min="41" max="41" width="16.25" customWidth="1"/>
    <col min="42" max="43" width="20" customWidth="1"/>
    <col min="44" max="44" width="35.75" customWidth="1"/>
    <col min="47" max="47" width="13" bestFit="1" customWidth="1"/>
    <col min="48" max="48" width="10.75" customWidth="1"/>
    <col min="50" max="50" width="15.125" bestFit="1" customWidth="1"/>
    <col min="51" max="51" width="6.625" bestFit="1" customWidth="1"/>
    <col min="52" max="52" width="11.75" bestFit="1" customWidth="1"/>
    <col min="53" max="53" width="11.875" bestFit="1" customWidth="1"/>
    <col min="54" max="54" width="13.375" customWidth="1"/>
    <col min="55" max="55" width="31.125" bestFit="1" customWidth="1"/>
    <col min="56" max="56" width="13.375" customWidth="1"/>
    <col min="59" max="59" width="16.125" style="120" customWidth="1"/>
    <col min="60" max="61" width="17.625" style="120" customWidth="1"/>
    <col min="62" max="62" width="38.875" style="1" bestFit="1" customWidth="1"/>
    <col min="63" max="63" width="14.875" style="108" customWidth="1"/>
    <col min="64" max="64" width="14" style="1" customWidth="1"/>
    <col min="65" max="65" width="18.125" style="1" bestFit="1" customWidth="1"/>
    <col min="66" max="66" width="19.875" style="1" bestFit="1" customWidth="1"/>
    <col min="67" max="67" width="9" style="1"/>
    <col min="68" max="68" width="20.625" style="1" customWidth="1"/>
    <col min="70" max="70" width="15.5" bestFit="1" customWidth="1"/>
    <col min="71" max="71" width="26.375" bestFit="1" customWidth="1"/>
    <col min="72" max="72" width="11.25" bestFit="1" customWidth="1"/>
    <col min="73" max="73" width="14" bestFit="1" customWidth="1"/>
    <col min="74" max="74" width="12.5" bestFit="1" customWidth="1"/>
  </cols>
  <sheetData>
    <row r="1" spans="1:74" ht="27">
      <c r="A1" s="84" t="s">
        <v>1603</v>
      </c>
      <c r="B1" s="27" t="s">
        <v>1744</v>
      </c>
      <c r="C1" s="27" t="s">
        <v>1743</v>
      </c>
      <c r="D1" s="93" t="s">
        <v>1601</v>
      </c>
      <c r="E1" s="27" t="s">
        <v>1602</v>
      </c>
      <c r="G1" s="191" t="s">
        <v>583</v>
      </c>
      <c r="H1" s="192"/>
      <c r="I1" s="192"/>
      <c r="J1" s="193"/>
      <c r="L1" s="198" t="s">
        <v>2320</v>
      </c>
      <c r="M1" s="199"/>
      <c r="N1" s="199"/>
      <c r="O1" s="199"/>
      <c r="P1" s="199"/>
      <c r="Q1" s="200"/>
      <c r="S1" s="49" t="s">
        <v>802</v>
      </c>
      <c r="T1" s="49"/>
      <c r="U1" s="49" t="s">
        <v>801</v>
      </c>
      <c r="V1" s="197" t="s">
        <v>1233</v>
      </c>
      <c r="W1" s="197"/>
      <c r="AC1" s="55" t="s">
        <v>931</v>
      </c>
      <c r="AD1" s="55"/>
      <c r="AE1" s="4"/>
      <c r="AF1" s="55"/>
      <c r="AG1" s="55"/>
      <c r="AJ1" s="81" t="s">
        <v>1430</v>
      </c>
      <c r="AK1" s="81" t="s">
        <v>1431</v>
      </c>
      <c r="AL1" s="82" t="s">
        <v>1432</v>
      </c>
      <c r="AM1" s="81" t="s">
        <v>1433</v>
      </c>
      <c r="AO1" s="59" t="s">
        <v>357</v>
      </c>
      <c r="AP1" s="59" t="s">
        <v>4</v>
      </c>
      <c r="AQ1" s="59" t="s">
        <v>26</v>
      </c>
      <c r="AR1" s="59" t="s">
        <v>52</v>
      </c>
      <c r="AS1" s="78" t="s">
        <v>1693</v>
      </c>
      <c r="AU1" s="50" t="s">
        <v>979</v>
      </c>
      <c r="AV1" s="50" t="s">
        <v>320</v>
      </c>
      <c r="AX1" s="50" t="s">
        <v>120</v>
      </c>
      <c r="AY1" s="50" t="s">
        <v>139</v>
      </c>
      <c r="AZ1" s="71" t="s">
        <v>928</v>
      </c>
      <c r="BB1" s="24" t="s">
        <v>1232</v>
      </c>
      <c r="BC1" s="24" t="s">
        <v>516</v>
      </c>
      <c r="BD1" s="8"/>
      <c r="BG1" s="120" t="s">
        <v>1796</v>
      </c>
      <c r="BH1" s="120" t="s">
        <v>1893</v>
      </c>
      <c r="BI1" s="120" t="s">
        <v>1796</v>
      </c>
      <c r="BJ1" s="103" t="s">
        <v>1431</v>
      </c>
      <c r="BK1" s="104" t="s">
        <v>1430</v>
      </c>
      <c r="BL1" s="105" t="s">
        <v>1797</v>
      </c>
      <c r="BM1" s="106" t="s">
        <v>1432</v>
      </c>
      <c r="BN1" s="103" t="s">
        <v>1433</v>
      </c>
      <c r="BO1" s="107" t="s">
        <v>1798</v>
      </c>
      <c r="BP1" s="107" t="s">
        <v>1799</v>
      </c>
      <c r="BR1" s="107" t="s">
        <v>2314</v>
      </c>
      <c r="BS1" s="107" t="s">
        <v>2315</v>
      </c>
      <c r="BT1" s="107" t="s">
        <v>2316</v>
      </c>
      <c r="BU1" s="107" t="s">
        <v>2317</v>
      </c>
      <c r="BV1" s="107" t="s">
        <v>2318</v>
      </c>
    </row>
    <row r="2" spans="1:74">
      <c r="A2" s="29" t="s">
        <v>1604</v>
      </c>
      <c r="B2" s="29" t="s">
        <v>1745</v>
      </c>
      <c r="C2" s="29" t="s">
        <v>1605</v>
      </c>
      <c r="D2" s="32" t="s">
        <v>1604</v>
      </c>
      <c r="E2" s="23" t="s">
        <v>1573</v>
      </c>
      <c r="G2" s="27" t="s">
        <v>390</v>
      </c>
      <c r="H2" s="27" t="s">
        <v>139</v>
      </c>
      <c r="I2" s="27" t="s">
        <v>353</v>
      </c>
      <c r="J2" s="28" t="s">
        <v>121</v>
      </c>
      <c r="L2" s="159" t="s">
        <v>140</v>
      </c>
      <c r="M2" s="159" t="s">
        <v>139</v>
      </c>
      <c r="N2" s="159" t="s">
        <v>141</v>
      </c>
      <c r="O2" s="159" t="s">
        <v>733</v>
      </c>
      <c r="P2" s="160"/>
      <c r="Q2" s="160"/>
      <c r="S2" s="12" t="s">
        <v>803</v>
      </c>
      <c r="T2" s="12" t="s">
        <v>420</v>
      </c>
      <c r="U2" s="12" t="s">
        <v>421</v>
      </c>
      <c r="V2" s="8" t="s">
        <v>1032</v>
      </c>
      <c r="W2" s="8" t="s">
        <v>1033</v>
      </c>
      <c r="AC2" s="56" t="s">
        <v>357</v>
      </c>
      <c r="AD2" s="56" t="s">
        <v>1662</v>
      </c>
      <c r="AE2" s="56" t="s">
        <v>932</v>
      </c>
      <c r="AF2" s="56" t="s">
        <v>25</v>
      </c>
      <c r="AG2" s="56" t="s">
        <v>364</v>
      </c>
      <c r="AJ2" s="80" t="s">
        <v>1434</v>
      </c>
      <c r="AK2" s="80" t="s">
        <v>1435</v>
      </c>
      <c r="AL2" s="81" t="s">
        <v>1436</v>
      </c>
      <c r="AM2" s="81" t="s">
        <v>1437</v>
      </c>
      <c r="AO2" s="180" t="s">
        <v>945</v>
      </c>
      <c r="AP2" s="60" t="s">
        <v>63</v>
      </c>
      <c r="AQ2" s="61" t="s">
        <v>1694</v>
      </c>
      <c r="AR2" s="61" t="s">
        <v>1695</v>
      </c>
      <c r="AS2" s="8" t="s">
        <v>1405</v>
      </c>
      <c r="AU2" s="8" t="s">
        <v>977</v>
      </c>
      <c r="AV2" s="8" t="s">
        <v>978</v>
      </c>
      <c r="AX2" s="8" t="s">
        <v>913</v>
      </c>
      <c r="AY2" s="51" t="s">
        <v>914</v>
      </c>
      <c r="AZ2" s="8" t="s">
        <v>1218</v>
      </c>
      <c r="BB2" s="15" t="s">
        <v>1028</v>
      </c>
      <c r="BC2" s="8" t="s">
        <v>1235</v>
      </c>
      <c r="BD2" s="15" t="s">
        <v>143</v>
      </c>
      <c r="BG2" s="172" t="s">
        <v>1800</v>
      </c>
      <c r="BH2" s="120" t="s">
        <v>1917</v>
      </c>
      <c r="BI2" s="120" t="s">
        <v>1801</v>
      </c>
      <c r="BJ2" s="109" t="s">
        <v>1802</v>
      </c>
      <c r="BK2" s="108" t="s">
        <v>1434</v>
      </c>
      <c r="BL2" s="1" t="s">
        <v>1477</v>
      </c>
      <c r="BM2" s="110" t="s">
        <v>1436</v>
      </c>
      <c r="BN2" s="110" t="s">
        <v>1437</v>
      </c>
      <c r="BR2" s="107"/>
      <c r="BS2" s="107"/>
      <c r="BT2" s="107"/>
      <c r="BU2" s="107"/>
      <c r="BV2" s="107" t="s">
        <v>2319</v>
      </c>
    </row>
    <row r="3" spans="1:74">
      <c r="A3" s="29" t="s">
        <v>1606</v>
      </c>
      <c r="B3" s="29" t="s">
        <v>1746</v>
      </c>
      <c r="C3" s="29" t="s">
        <v>1607</v>
      </c>
      <c r="D3" s="32" t="s">
        <v>1606</v>
      </c>
      <c r="E3" s="23" t="s">
        <v>1574</v>
      </c>
      <c r="G3" s="29" t="s">
        <v>1017</v>
      </c>
      <c r="H3" s="30" t="s">
        <v>122</v>
      </c>
      <c r="I3" s="30" t="s">
        <v>130</v>
      </c>
      <c r="J3" s="23" t="s">
        <v>584</v>
      </c>
      <c r="L3" s="12" t="s">
        <v>1247</v>
      </c>
      <c r="M3" s="12" t="s">
        <v>118</v>
      </c>
      <c r="N3" s="12">
        <v>100760</v>
      </c>
      <c r="O3" s="12" t="s">
        <v>1320</v>
      </c>
      <c r="P3" s="12" t="s">
        <v>1324</v>
      </c>
      <c r="Q3" s="12"/>
      <c r="S3" s="12" t="s">
        <v>193</v>
      </c>
      <c r="T3" s="12" t="s">
        <v>984</v>
      </c>
      <c r="U3" s="12" t="s">
        <v>192</v>
      </c>
      <c r="V3" s="8" t="s">
        <v>764</v>
      </c>
      <c r="W3" s="8" t="s">
        <v>109</v>
      </c>
      <c r="AC3" s="177" t="s">
        <v>371</v>
      </c>
      <c r="AD3" s="6" t="s">
        <v>1665</v>
      </c>
      <c r="AE3" s="57" t="s">
        <v>66</v>
      </c>
      <c r="AF3" s="6" t="s">
        <v>67</v>
      </c>
      <c r="AG3" s="6" t="s">
        <v>404</v>
      </c>
      <c r="AJ3" s="80" t="s">
        <v>66</v>
      </c>
      <c r="AK3" s="80" t="s">
        <v>67</v>
      </c>
      <c r="AL3" s="81" t="s">
        <v>1436</v>
      </c>
      <c r="AM3" s="80" t="s">
        <v>1438</v>
      </c>
      <c r="AO3" s="181"/>
      <c r="AP3" s="60" t="s">
        <v>55</v>
      </c>
      <c r="AQ3" s="61" t="s">
        <v>1696</v>
      </c>
      <c r="AR3" s="61" t="s">
        <v>1697</v>
      </c>
      <c r="AS3" s="8" t="s">
        <v>1405</v>
      </c>
      <c r="AU3" s="8" t="s">
        <v>1236</v>
      </c>
      <c r="AV3" s="8"/>
      <c r="AX3" s="51" t="s">
        <v>915</v>
      </c>
      <c r="AY3" s="51" t="s">
        <v>916</v>
      </c>
      <c r="AZ3" s="8" t="s">
        <v>389</v>
      </c>
      <c r="BB3" s="15" t="s">
        <v>1031</v>
      </c>
      <c r="BC3" s="8" t="s">
        <v>517</v>
      </c>
      <c r="BD3" s="15" t="s">
        <v>144</v>
      </c>
      <c r="BG3" s="172" t="s">
        <v>1800</v>
      </c>
      <c r="BH3" s="120" t="s">
        <v>1918</v>
      </c>
      <c r="BI3" s="120" t="s">
        <v>1803</v>
      </c>
      <c r="BJ3" s="1" t="s">
        <v>67</v>
      </c>
      <c r="BK3" s="111" t="s">
        <v>1804</v>
      </c>
      <c r="BL3" s="1" t="s">
        <v>1477</v>
      </c>
      <c r="BM3" s="110" t="s">
        <v>1436</v>
      </c>
      <c r="BN3" s="1" t="s">
        <v>1438</v>
      </c>
      <c r="BR3" s="1" t="s">
        <v>1994</v>
      </c>
      <c r="BS3" s="1" t="s">
        <v>1995</v>
      </c>
      <c r="BT3" s="1" t="s">
        <v>1996</v>
      </c>
      <c r="BU3" s="1" t="s">
        <v>1997</v>
      </c>
      <c r="BV3" s="1" t="s">
        <v>1767</v>
      </c>
    </row>
    <row r="4" spans="1:74">
      <c r="A4" s="29" t="s">
        <v>1608</v>
      </c>
      <c r="B4" s="29" t="s">
        <v>1608</v>
      </c>
      <c r="C4" s="29" t="s">
        <v>1609</v>
      </c>
      <c r="D4" s="32" t="s">
        <v>1608</v>
      </c>
      <c r="E4" s="23" t="s">
        <v>1575</v>
      </c>
      <c r="G4" s="66" t="s">
        <v>1018</v>
      </c>
      <c r="H4" s="30" t="s">
        <v>123</v>
      </c>
      <c r="I4" s="65" t="s">
        <v>130</v>
      </c>
      <c r="J4" s="8" t="s">
        <v>584</v>
      </c>
      <c r="L4" s="12" t="s">
        <v>1016</v>
      </c>
      <c r="M4" s="12" t="s">
        <v>118</v>
      </c>
      <c r="N4" s="12">
        <v>100760</v>
      </c>
      <c r="O4" s="12" t="s">
        <v>1320</v>
      </c>
      <c r="P4" s="12" t="s">
        <v>1324</v>
      </c>
      <c r="Q4" s="12"/>
      <c r="S4" s="12" t="s">
        <v>804</v>
      </c>
      <c r="T4" s="12" t="s">
        <v>985</v>
      </c>
      <c r="U4" s="12" t="s">
        <v>827</v>
      </c>
      <c r="V4" s="8" t="s">
        <v>1034</v>
      </c>
      <c r="W4" s="8" t="s">
        <v>110</v>
      </c>
      <c r="AC4" s="178"/>
      <c r="AD4" s="6" t="s">
        <v>1666</v>
      </c>
      <c r="AE4" s="57" t="s">
        <v>69</v>
      </c>
      <c r="AF4" s="6" t="s">
        <v>411</v>
      </c>
      <c r="AG4" s="6" t="s">
        <v>399</v>
      </c>
      <c r="AJ4" s="80" t="s">
        <v>69</v>
      </c>
      <c r="AK4" s="80" t="s">
        <v>1439</v>
      </c>
      <c r="AL4" s="81" t="s">
        <v>1436</v>
      </c>
      <c r="AM4" s="80" t="s">
        <v>1438</v>
      </c>
      <c r="AO4" s="181"/>
      <c r="AP4" s="60" t="s">
        <v>79</v>
      </c>
      <c r="AQ4" s="61" t="s">
        <v>1698</v>
      </c>
      <c r="AR4" s="61" t="s">
        <v>1699</v>
      </c>
      <c r="AS4" s="8" t="s">
        <v>1404</v>
      </c>
      <c r="AU4" s="8" t="s">
        <v>1916</v>
      </c>
      <c r="AV4" s="8" t="s">
        <v>1915</v>
      </c>
      <c r="AX4" s="85" t="s">
        <v>1914</v>
      </c>
      <c r="AY4" s="51" t="s">
        <v>917</v>
      </c>
      <c r="AZ4" s="8" t="s">
        <v>1217</v>
      </c>
      <c r="BB4" s="15" t="s">
        <v>1732</v>
      </c>
      <c r="BC4" s="15" t="s">
        <v>145</v>
      </c>
      <c r="BD4" s="15" t="s">
        <v>146</v>
      </c>
      <c r="BG4" s="172" t="s">
        <v>1800</v>
      </c>
      <c r="BH4" s="120" t="s">
        <v>1919</v>
      </c>
      <c r="BI4" s="120" t="s">
        <v>1805</v>
      </c>
      <c r="BJ4" s="1" t="s">
        <v>1806</v>
      </c>
      <c r="BK4" s="111" t="s">
        <v>1807</v>
      </c>
      <c r="BL4" s="1" t="s">
        <v>1477</v>
      </c>
      <c r="BM4" s="110" t="s">
        <v>1436</v>
      </c>
      <c r="BN4" s="1" t="s">
        <v>1438</v>
      </c>
      <c r="BR4" s="1" t="s">
        <v>1994</v>
      </c>
      <c r="BS4" s="1" t="s">
        <v>1998</v>
      </c>
      <c r="BT4" s="1" t="s">
        <v>1999</v>
      </c>
      <c r="BU4" s="1" t="s">
        <v>2000</v>
      </c>
      <c r="BV4" s="1" t="s">
        <v>1767</v>
      </c>
    </row>
    <row r="5" spans="1:74" ht="27">
      <c r="A5" s="29" t="s">
        <v>1610</v>
      </c>
      <c r="B5" s="29" t="s">
        <v>1747</v>
      </c>
      <c r="C5" s="29" t="s">
        <v>1611</v>
      </c>
      <c r="D5" s="32" t="s">
        <v>1610</v>
      </c>
      <c r="E5" s="23" t="s">
        <v>1576</v>
      </c>
      <c r="G5" s="29" t="s">
        <v>1019</v>
      </c>
      <c r="H5" s="30" t="s">
        <v>124</v>
      </c>
      <c r="I5" s="30" t="s">
        <v>131</v>
      </c>
      <c r="J5" s="23" t="s">
        <v>585</v>
      </c>
      <c r="L5" s="12" t="s">
        <v>1248</v>
      </c>
      <c r="M5" s="12" t="s">
        <v>734</v>
      </c>
      <c r="N5" s="12">
        <v>100760</v>
      </c>
      <c r="O5" s="12" t="s">
        <v>1320</v>
      </c>
      <c r="P5" s="12" t="s">
        <v>1325</v>
      </c>
      <c r="Q5" s="100" t="s">
        <v>1562</v>
      </c>
      <c r="S5" s="12" t="s">
        <v>828</v>
      </c>
      <c r="T5" s="12" t="s">
        <v>986</v>
      </c>
      <c r="U5" s="12" t="s">
        <v>827</v>
      </c>
      <c r="V5" s="8" t="s">
        <v>761</v>
      </c>
      <c r="W5" s="8" t="s">
        <v>965</v>
      </c>
      <c r="AC5" s="178"/>
      <c r="AD5" s="6" t="s">
        <v>1667</v>
      </c>
      <c r="AE5" s="57" t="s">
        <v>73</v>
      </c>
      <c r="AF5" s="6" t="s">
        <v>412</v>
      </c>
      <c r="AG5" s="6" t="s">
        <v>400</v>
      </c>
      <c r="AJ5" s="80" t="s">
        <v>1440</v>
      </c>
      <c r="AK5" s="80" t="s">
        <v>1441</v>
      </c>
      <c r="AL5" s="81" t="s">
        <v>1436</v>
      </c>
      <c r="AM5" s="80" t="s">
        <v>1438</v>
      </c>
      <c r="AO5" s="181"/>
      <c r="AP5" s="60" t="s">
        <v>77</v>
      </c>
      <c r="AQ5" s="61" t="s">
        <v>1700</v>
      </c>
      <c r="AR5" s="61" t="s">
        <v>1701</v>
      </c>
      <c r="AS5" s="8" t="s">
        <v>1405</v>
      </c>
      <c r="AU5" s="8"/>
      <c r="AV5" s="8"/>
      <c r="AX5" s="52" t="s">
        <v>2343</v>
      </c>
      <c r="AY5" s="52" t="s">
        <v>918</v>
      </c>
      <c r="AZ5" s="51" t="s">
        <v>1393</v>
      </c>
      <c r="BB5" s="15" t="s">
        <v>2339</v>
      </c>
      <c r="BC5" s="15" t="s">
        <v>1394</v>
      </c>
      <c r="BD5" s="15" t="s">
        <v>148</v>
      </c>
      <c r="BG5" s="172" t="s">
        <v>1800</v>
      </c>
      <c r="BI5" s="120" t="s">
        <v>1808</v>
      </c>
      <c r="BJ5" s="1" t="s">
        <v>1441</v>
      </c>
      <c r="BK5" s="108" t="s">
        <v>1440</v>
      </c>
      <c r="BL5" s="1" t="s">
        <v>1477</v>
      </c>
      <c r="BM5" s="110" t="s">
        <v>1436</v>
      </c>
      <c r="BN5" s="1" t="s">
        <v>1438</v>
      </c>
      <c r="BR5" s="1" t="s">
        <v>2001</v>
      </c>
      <c r="BS5" s="1" t="s">
        <v>2002</v>
      </c>
      <c r="BT5" s="1" t="s">
        <v>2003</v>
      </c>
      <c r="BU5" s="1" t="s">
        <v>2004</v>
      </c>
      <c r="BV5" s="1" t="s">
        <v>2005</v>
      </c>
    </row>
    <row r="6" spans="1:74" ht="33">
      <c r="A6" s="29" t="s">
        <v>1612</v>
      </c>
      <c r="B6" s="29" t="s">
        <v>1612</v>
      </c>
      <c r="C6" s="29" t="s">
        <v>1613</v>
      </c>
      <c r="D6" s="32" t="s">
        <v>1612</v>
      </c>
      <c r="E6" s="23" t="s">
        <v>1577</v>
      </c>
      <c r="G6" s="29" t="s">
        <v>1020</v>
      </c>
      <c r="H6" s="29" t="s">
        <v>271</v>
      </c>
      <c r="I6" s="29" t="s">
        <v>132</v>
      </c>
      <c r="J6" s="23"/>
      <c r="L6" s="12" t="s">
        <v>1406</v>
      </c>
      <c r="M6" s="12" t="s">
        <v>734</v>
      </c>
      <c r="N6" s="12">
        <v>100760</v>
      </c>
      <c r="O6" s="12" t="s">
        <v>1320</v>
      </c>
      <c r="P6" s="12" t="s">
        <v>1325</v>
      </c>
      <c r="Q6" s="100" t="s">
        <v>1562</v>
      </c>
      <c r="S6" s="12" t="s">
        <v>805</v>
      </c>
      <c r="T6" s="12" t="s">
        <v>427</v>
      </c>
      <c r="U6" s="12" t="s">
        <v>428</v>
      </c>
      <c r="V6" s="8" t="s">
        <v>1035</v>
      </c>
      <c r="W6" s="8" t="s">
        <v>104</v>
      </c>
      <c r="AC6" s="178"/>
      <c r="AD6" s="6" t="s">
        <v>1668</v>
      </c>
      <c r="AE6" s="57" t="s">
        <v>941</v>
      </c>
      <c r="AF6" s="6" t="s">
        <v>76</v>
      </c>
      <c r="AG6" s="6" t="s">
        <v>401</v>
      </c>
      <c r="AJ6" s="80" t="s">
        <v>73</v>
      </c>
      <c r="AK6" s="80" t="s">
        <v>1442</v>
      </c>
      <c r="AL6" s="81" t="s">
        <v>1436</v>
      </c>
      <c r="AM6" s="80" t="s">
        <v>1438</v>
      </c>
      <c r="AO6" s="181"/>
      <c r="AP6" s="60" t="s">
        <v>70</v>
      </c>
      <c r="AQ6" s="61" t="s">
        <v>1726</v>
      </c>
      <c r="AR6" s="61" t="s">
        <v>1702</v>
      </c>
      <c r="AS6" s="8" t="s">
        <v>1405</v>
      </c>
      <c r="AU6" s="8"/>
      <c r="AV6" s="8"/>
      <c r="AX6" s="72" t="s">
        <v>324</v>
      </c>
      <c r="AY6" s="53" t="s">
        <v>919</v>
      </c>
      <c r="AZ6" s="51" t="s">
        <v>1392</v>
      </c>
      <c r="BB6" s="15" t="s">
        <v>1728</v>
      </c>
      <c r="BC6" s="86" t="s">
        <v>1913</v>
      </c>
      <c r="BD6" s="15" t="s">
        <v>332</v>
      </c>
      <c r="BG6" s="172" t="s">
        <v>1800</v>
      </c>
      <c r="BH6" s="120" t="s">
        <v>1920</v>
      </c>
      <c r="BI6" s="120" t="s">
        <v>1809</v>
      </c>
      <c r="BJ6" s="1" t="s">
        <v>1442</v>
      </c>
      <c r="BK6" s="108" t="s">
        <v>73</v>
      </c>
      <c r="BL6" s="1" t="s">
        <v>1477</v>
      </c>
      <c r="BM6" s="110" t="s">
        <v>1436</v>
      </c>
      <c r="BN6" s="1" t="s">
        <v>1438</v>
      </c>
      <c r="BR6" s="1" t="s">
        <v>1399</v>
      </c>
      <c r="BS6" s="1" t="s">
        <v>2006</v>
      </c>
      <c r="BT6" s="1" t="s">
        <v>2007</v>
      </c>
      <c r="BU6" s="1" t="s">
        <v>2008</v>
      </c>
      <c r="BV6" s="1" t="s">
        <v>2009</v>
      </c>
    </row>
    <row r="7" spans="1:74">
      <c r="A7" s="29" t="s">
        <v>1614</v>
      </c>
      <c r="B7" s="29" t="s">
        <v>1748</v>
      </c>
      <c r="C7" s="29" t="s">
        <v>1615</v>
      </c>
      <c r="D7" s="32" t="s">
        <v>1614</v>
      </c>
      <c r="E7" s="23" t="s">
        <v>1578</v>
      </c>
      <c r="G7" s="29" t="s">
        <v>1021</v>
      </c>
      <c r="H7" s="29" t="s">
        <v>273</v>
      </c>
      <c r="I7" s="29" t="s">
        <v>414</v>
      </c>
      <c r="J7" s="23" t="s">
        <v>586</v>
      </c>
      <c r="L7" s="12" t="s">
        <v>1326</v>
      </c>
      <c r="M7" s="12" t="s">
        <v>1327</v>
      </c>
      <c r="N7" s="12">
        <v>100760</v>
      </c>
      <c r="O7" s="12" t="s">
        <v>1320</v>
      </c>
      <c r="P7" s="12" t="s">
        <v>1328</v>
      </c>
      <c r="Q7" s="12"/>
      <c r="S7" s="12" t="s">
        <v>806</v>
      </c>
      <c r="T7" s="12" t="s">
        <v>987</v>
      </c>
      <c r="U7" s="12" t="s">
        <v>445</v>
      </c>
      <c r="V7" s="8" t="s">
        <v>1036</v>
      </c>
      <c r="W7" s="8" t="s">
        <v>101</v>
      </c>
      <c r="AC7" s="178"/>
      <c r="AD7" s="6" t="s">
        <v>1669</v>
      </c>
      <c r="AE7" s="57" t="s">
        <v>80</v>
      </c>
      <c r="AF7" s="6" t="s">
        <v>81</v>
      </c>
      <c r="AG7" s="6" t="s">
        <v>402</v>
      </c>
      <c r="AJ7" s="80" t="s">
        <v>1443</v>
      </c>
      <c r="AK7" s="80" t="s">
        <v>1444</v>
      </c>
      <c r="AL7" s="81" t="s">
        <v>1436</v>
      </c>
      <c r="AM7" s="80" t="s">
        <v>1438</v>
      </c>
      <c r="AO7" s="181"/>
      <c r="AP7" s="60" t="s">
        <v>1451</v>
      </c>
      <c r="AQ7" s="61" t="s">
        <v>1703</v>
      </c>
      <c r="AR7" s="61" t="s">
        <v>1704</v>
      </c>
      <c r="AS7" s="8" t="s">
        <v>1404</v>
      </c>
      <c r="AU7" s="8"/>
      <c r="AV7" s="8"/>
      <c r="AX7" s="72" t="s">
        <v>1224</v>
      </c>
      <c r="AY7" s="53" t="s">
        <v>1225</v>
      </c>
      <c r="AZ7" s="51" t="s">
        <v>929</v>
      </c>
      <c r="BB7" s="15" t="s">
        <v>1426</v>
      </c>
      <c r="BC7" s="85" t="s">
        <v>1425</v>
      </c>
      <c r="BD7" s="15" t="s">
        <v>333</v>
      </c>
      <c r="BG7" s="172" t="s">
        <v>1800</v>
      </c>
      <c r="BI7" s="120" t="s">
        <v>1810</v>
      </c>
      <c r="BJ7" s="1" t="s">
        <v>1444</v>
      </c>
      <c r="BK7" s="108" t="s">
        <v>1443</v>
      </c>
      <c r="BL7" s="1" t="s">
        <v>1477</v>
      </c>
      <c r="BM7" s="110" t="s">
        <v>1436</v>
      </c>
      <c r="BN7" s="1" t="s">
        <v>1438</v>
      </c>
      <c r="BR7" s="1" t="s">
        <v>1399</v>
      </c>
      <c r="BS7" s="1" t="s">
        <v>2010</v>
      </c>
      <c r="BT7" s="1" t="s">
        <v>1993</v>
      </c>
      <c r="BU7" s="1" t="s">
        <v>2008</v>
      </c>
      <c r="BV7" s="1" t="s">
        <v>2011</v>
      </c>
    </row>
    <row r="8" spans="1:74">
      <c r="A8" s="29" t="s">
        <v>1616</v>
      </c>
      <c r="B8" s="29" t="s">
        <v>1616</v>
      </c>
      <c r="C8" s="29" t="s">
        <v>1617</v>
      </c>
      <c r="D8" s="32" t="s">
        <v>1616</v>
      </c>
      <c r="E8" s="23" t="s">
        <v>1577</v>
      </c>
      <c r="G8" s="29" t="s">
        <v>1022</v>
      </c>
      <c r="H8" s="29" t="s">
        <v>384</v>
      </c>
      <c r="I8" s="29" t="s">
        <v>415</v>
      </c>
      <c r="J8" s="23" t="s">
        <v>587</v>
      </c>
      <c r="L8" s="12" t="s">
        <v>1249</v>
      </c>
      <c r="M8" s="12" t="s">
        <v>735</v>
      </c>
      <c r="N8" s="12">
        <v>100760</v>
      </c>
      <c r="O8" s="12" t="s">
        <v>1320</v>
      </c>
      <c r="P8" s="12" t="s">
        <v>1329</v>
      </c>
      <c r="Q8" s="12"/>
      <c r="S8" s="12" t="s">
        <v>807</v>
      </c>
      <c r="T8" s="12" t="s">
        <v>422</v>
      </c>
      <c r="U8" s="12" t="s">
        <v>423</v>
      </c>
      <c r="V8" s="8" t="s">
        <v>762</v>
      </c>
      <c r="W8" s="8" t="s">
        <v>102</v>
      </c>
      <c r="AC8" s="178"/>
      <c r="AD8" s="6" t="s">
        <v>1670</v>
      </c>
      <c r="AE8" s="57" t="s">
        <v>85</v>
      </c>
      <c r="AF8" s="6" t="s">
        <v>86</v>
      </c>
      <c r="AG8" s="6" t="s">
        <v>403</v>
      </c>
      <c r="AJ8" s="80" t="s">
        <v>1445</v>
      </c>
      <c r="AK8" s="80" t="s">
        <v>76</v>
      </c>
      <c r="AL8" s="81" t="s">
        <v>1436</v>
      </c>
      <c r="AM8" s="80" t="s">
        <v>1438</v>
      </c>
      <c r="AO8" s="181"/>
      <c r="AP8" s="60" t="s">
        <v>1712</v>
      </c>
      <c r="AQ8" s="61" t="s">
        <v>1710</v>
      </c>
      <c r="AR8" s="61" t="s">
        <v>1711</v>
      </c>
      <c r="AS8" s="8" t="s">
        <v>1405</v>
      </c>
      <c r="AU8" s="8"/>
      <c r="AV8" s="8"/>
      <c r="AX8" s="72" t="s">
        <v>1219</v>
      </c>
      <c r="AY8" s="53" t="s">
        <v>1226</v>
      </c>
      <c r="AZ8" s="8" t="s">
        <v>1221</v>
      </c>
      <c r="BB8" s="15" t="s">
        <v>1731</v>
      </c>
      <c r="BC8" s="15" t="s">
        <v>1795</v>
      </c>
      <c r="BD8" s="15" t="s">
        <v>335</v>
      </c>
      <c r="BG8" s="172" t="s">
        <v>1800</v>
      </c>
      <c r="BH8" s="120" t="s">
        <v>1921</v>
      </c>
      <c r="BI8" s="120" t="s">
        <v>1811</v>
      </c>
      <c r="BJ8" s="1" t="s">
        <v>76</v>
      </c>
      <c r="BK8" s="108" t="s">
        <v>1445</v>
      </c>
      <c r="BL8" s="1" t="s">
        <v>1477</v>
      </c>
      <c r="BM8" s="110" t="s">
        <v>1436</v>
      </c>
      <c r="BN8" s="1" t="s">
        <v>1438</v>
      </c>
      <c r="BR8" s="1" t="s">
        <v>1399</v>
      </c>
      <c r="BS8" s="1" t="s">
        <v>2012</v>
      </c>
      <c r="BT8" s="1" t="s">
        <v>2013</v>
      </c>
      <c r="BU8" s="1" t="s">
        <v>2008</v>
      </c>
      <c r="BV8" s="1" t="s">
        <v>2011</v>
      </c>
    </row>
    <row r="9" spans="1:74">
      <c r="A9" s="29" t="s">
        <v>1618</v>
      </c>
      <c r="B9" s="29" t="s">
        <v>1749</v>
      </c>
      <c r="C9" s="29" t="s">
        <v>1619</v>
      </c>
      <c r="D9" s="32" t="s">
        <v>1618</v>
      </c>
      <c r="E9" s="23" t="s">
        <v>1591</v>
      </c>
      <c r="G9" s="29" t="s">
        <v>1724</v>
      </c>
      <c r="H9" s="29" t="s">
        <v>272</v>
      </c>
      <c r="I9" s="29" t="s">
        <v>376</v>
      </c>
      <c r="J9" s="23" t="s">
        <v>588</v>
      </c>
      <c r="L9" s="12" t="s">
        <v>1250</v>
      </c>
      <c r="M9" s="12" t="s">
        <v>736</v>
      </c>
      <c r="N9" s="12">
        <v>100760</v>
      </c>
      <c r="O9" s="12" t="s">
        <v>1320</v>
      </c>
      <c r="P9" s="12" t="s">
        <v>1330</v>
      </c>
      <c r="Q9" s="12"/>
      <c r="S9" s="12" t="s">
        <v>164</v>
      </c>
      <c r="T9" s="12" t="s">
        <v>808</v>
      </c>
      <c r="U9" s="12" t="s">
        <v>163</v>
      </c>
      <c r="V9" s="8" t="s">
        <v>767</v>
      </c>
      <c r="W9" s="8" t="s">
        <v>103</v>
      </c>
      <c r="AC9" s="178"/>
      <c r="AD9" s="6" t="s">
        <v>1671</v>
      </c>
      <c r="AE9" s="6" t="s">
        <v>345</v>
      </c>
      <c r="AF9" s="6" t="s">
        <v>365</v>
      </c>
      <c r="AG9" s="6" t="s">
        <v>398</v>
      </c>
      <c r="AJ9" s="80" t="s">
        <v>80</v>
      </c>
      <c r="AK9" s="80" t="s">
        <v>81</v>
      </c>
      <c r="AL9" s="81" t="s">
        <v>1436</v>
      </c>
      <c r="AM9" s="80" t="s">
        <v>1438</v>
      </c>
      <c r="AO9" s="181"/>
      <c r="AP9" s="60" t="s">
        <v>1471</v>
      </c>
      <c r="AQ9" s="61" t="s">
        <v>1713</v>
      </c>
      <c r="AR9" s="61" t="s">
        <v>1714</v>
      </c>
      <c r="AS9" s="8" t="s">
        <v>1404</v>
      </c>
      <c r="AU9" s="8"/>
      <c r="AV9" s="8"/>
      <c r="AX9" s="72" t="s">
        <v>1227</v>
      </c>
      <c r="AY9" s="53" t="s">
        <v>1228</v>
      </c>
      <c r="AZ9" s="8" t="s">
        <v>1211</v>
      </c>
      <c r="BB9" s="15" t="s">
        <v>1730</v>
      </c>
      <c r="BC9" s="15" t="s">
        <v>328</v>
      </c>
      <c r="BD9" s="15" t="s">
        <v>149</v>
      </c>
      <c r="BG9" s="172" t="s">
        <v>1800</v>
      </c>
      <c r="BH9" s="120" t="s">
        <v>1922</v>
      </c>
      <c r="BI9" s="120" t="s">
        <v>1812</v>
      </c>
      <c r="BJ9" s="1" t="s">
        <v>81</v>
      </c>
      <c r="BK9" s="108" t="s">
        <v>80</v>
      </c>
      <c r="BL9" s="1" t="s">
        <v>1477</v>
      </c>
      <c r="BM9" s="110" t="s">
        <v>1436</v>
      </c>
      <c r="BN9" s="1" t="s">
        <v>1438</v>
      </c>
      <c r="BR9" s="1" t="s">
        <v>1401</v>
      </c>
      <c r="BS9" s="1" t="s">
        <v>2014</v>
      </c>
      <c r="BT9" s="1" t="s">
        <v>2015</v>
      </c>
      <c r="BU9" s="1" t="s">
        <v>2008</v>
      </c>
      <c r="BV9" s="1" t="s">
        <v>2016</v>
      </c>
    </row>
    <row r="10" spans="1:74">
      <c r="A10" s="29" t="s">
        <v>1620</v>
      </c>
      <c r="B10" s="29" t="s">
        <v>1750</v>
      </c>
      <c r="C10" s="29" t="s">
        <v>1621</v>
      </c>
      <c r="D10" s="32" t="s">
        <v>1620</v>
      </c>
      <c r="E10" s="23" t="s">
        <v>1579</v>
      </c>
      <c r="G10" s="29" t="s">
        <v>1023</v>
      </c>
      <c r="H10" s="29" t="s">
        <v>383</v>
      </c>
      <c r="I10" s="29" t="s">
        <v>377</v>
      </c>
      <c r="J10" s="23" t="s">
        <v>589</v>
      </c>
      <c r="L10" s="12" t="s">
        <v>119</v>
      </c>
      <c r="M10" s="12" t="s">
        <v>119</v>
      </c>
      <c r="N10" s="12">
        <v>100760</v>
      </c>
      <c r="O10" s="12" t="s">
        <v>1320</v>
      </c>
      <c r="P10" s="12" t="s">
        <v>1331</v>
      </c>
      <c r="Q10" s="12"/>
      <c r="S10" s="12" t="s">
        <v>471</v>
      </c>
      <c r="T10" s="12" t="s">
        <v>808</v>
      </c>
      <c r="U10" s="12" t="s">
        <v>163</v>
      </c>
      <c r="V10" s="8" t="s">
        <v>952</v>
      </c>
      <c r="W10" s="8" t="s">
        <v>957</v>
      </c>
      <c r="AC10" s="179"/>
      <c r="AD10" s="6" t="s">
        <v>1672</v>
      </c>
      <c r="AE10" s="6" t="s">
        <v>942</v>
      </c>
      <c r="AF10" s="6" t="s">
        <v>348</v>
      </c>
      <c r="AG10" s="6" t="s">
        <v>405</v>
      </c>
      <c r="AJ10" s="80" t="s">
        <v>85</v>
      </c>
      <c r="AK10" s="80" t="s">
        <v>86</v>
      </c>
      <c r="AL10" s="81" t="s">
        <v>1436</v>
      </c>
      <c r="AM10" s="80" t="s">
        <v>1438</v>
      </c>
      <c r="AO10" s="181"/>
      <c r="AP10" s="60" t="s">
        <v>1465</v>
      </c>
      <c r="AQ10" s="61" t="s">
        <v>1715</v>
      </c>
      <c r="AR10" s="61" t="s">
        <v>1716</v>
      </c>
      <c r="AS10" s="8" t="s">
        <v>1404</v>
      </c>
      <c r="AU10" s="8"/>
      <c r="AV10" s="8"/>
      <c r="AX10" s="72" t="s">
        <v>1212</v>
      </c>
      <c r="AY10" s="53" t="s">
        <v>1229</v>
      </c>
      <c r="AZ10" s="8" t="s">
        <v>1222</v>
      </c>
      <c r="BB10" s="15" t="s">
        <v>1727</v>
      </c>
      <c r="BC10" s="85" t="s">
        <v>1903</v>
      </c>
      <c r="BD10" s="15" t="s">
        <v>147</v>
      </c>
      <c r="BG10" s="172" t="s">
        <v>1800</v>
      </c>
      <c r="BH10" s="120" t="s">
        <v>1923</v>
      </c>
      <c r="BI10" s="120" t="s">
        <v>1813</v>
      </c>
      <c r="BJ10" s="1" t="s">
        <v>86</v>
      </c>
      <c r="BK10" s="108" t="s">
        <v>85</v>
      </c>
      <c r="BL10" s="1" t="s">
        <v>1477</v>
      </c>
      <c r="BM10" s="110" t="s">
        <v>1436</v>
      </c>
      <c r="BN10" s="1" t="s">
        <v>1438</v>
      </c>
      <c r="BR10" s="1" t="s">
        <v>1401</v>
      </c>
      <c r="BS10" s="1" t="s">
        <v>2017</v>
      </c>
      <c r="BT10" s="1" t="s">
        <v>2018</v>
      </c>
      <c r="BU10" s="1" t="s">
        <v>2008</v>
      </c>
      <c r="BV10" s="1" t="s">
        <v>2016</v>
      </c>
    </row>
    <row r="11" spans="1:74">
      <c r="A11" s="29" t="s">
        <v>1622</v>
      </c>
      <c r="B11" s="29" t="s">
        <v>1751</v>
      </c>
      <c r="C11" s="29" t="s">
        <v>1623</v>
      </c>
      <c r="D11" s="32" t="s">
        <v>1622</v>
      </c>
      <c r="E11" s="23" t="s">
        <v>1580</v>
      </c>
      <c r="G11" s="29" t="s">
        <v>1775</v>
      </c>
      <c r="H11" s="29" t="s">
        <v>274</v>
      </c>
      <c r="I11" s="29" t="s">
        <v>590</v>
      </c>
      <c r="J11" s="23" t="s">
        <v>591</v>
      </c>
      <c r="L11" s="12" t="s">
        <v>1568</v>
      </c>
      <c r="M11" s="12" t="s">
        <v>1567</v>
      </c>
      <c r="N11" s="12">
        <v>100760</v>
      </c>
      <c r="O11" s="12" t="s">
        <v>1320</v>
      </c>
      <c r="P11" s="12" t="s">
        <v>1569</v>
      </c>
      <c r="Q11" s="12"/>
      <c r="S11" s="12" t="s">
        <v>171</v>
      </c>
      <c r="T11" s="12" t="s">
        <v>809</v>
      </c>
      <c r="U11" s="12" t="s">
        <v>170</v>
      </c>
      <c r="V11" s="8" t="s">
        <v>765</v>
      </c>
      <c r="W11" s="8" t="s">
        <v>1012</v>
      </c>
      <c r="AC11" s="177" t="s">
        <v>370</v>
      </c>
      <c r="AD11" s="6"/>
      <c r="AE11" s="6" t="s">
        <v>935</v>
      </c>
      <c r="AF11" s="6" t="s">
        <v>354</v>
      </c>
      <c r="AG11" s="6"/>
      <c r="AJ11" s="80" t="s">
        <v>345</v>
      </c>
      <c r="AK11" s="80" t="s">
        <v>1446</v>
      </c>
      <c r="AL11" s="81" t="s">
        <v>1436</v>
      </c>
      <c r="AM11" s="80" t="s">
        <v>1438</v>
      </c>
      <c r="AO11" s="181"/>
      <c r="AP11" s="62" t="s">
        <v>1719</v>
      </c>
      <c r="AQ11" s="6" t="s">
        <v>1717</v>
      </c>
      <c r="AR11" s="63" t="s">
        <v>1718</v>
      </c>
      <c r="AS11" s="8" t="s">
        <v>1404</v>
      </c>
      <c r="AU11" s="8"/>
      <c r="AV11" s="8"/>
      <c r="AX11" s="72" t="s">
        <v>1230</v>
      </c>
      <c r="AY11" s="53" t="s">
        <v>920</v>
      </c>
      <c r="AZ11" s="8" t="s">
        <v>1220</v>
      </c>
      <c r="BB11" s="15" t="s">
        <v>1908</v>
      </c>
      <c r="BC11" s="85" t="s">
        <v>1905</v>
      </c>
      <c r="BD11" s="74" t="s">
        <v>337</v>
      </c>
      <c r="BG11" s="172" t="s">
        <v>1800</v>
      </c>
      <c r="BH11" s="120" t="s">
        <v>1924</v>
      </c>
      <c r="BI11" s="120" t="s">
        <v>1814</v>
      </c>
      <c r="BJ11" s="1" t="s">
        <v>1446</v>
      </c>
      <c r="BK11" s="108" t="s">
        <v>345</v>
      </c>
      <c r="BL11" s="1" t="s">
        <v>1477</v>
      </c>
      <c r="BM11" s="110" t="s">
        <v>1436</v>
      </c>
      <c r="BN11" s="1" t="s">
        <v>1438</v>
      </c>
      <c r="BR11" s="1" t="s">
        <v>1400</v>
      </c>
      <c r="BS11" s="1" t="s">
        <v>2019</v>
      </c>
      <c r="BT11" s="1" t="s">
        <v>2020</v>
      </c>
      <c r="BU11" s="1" t="s">
        <v>2021</v>
      </c>
      <c r="BV11" s="1" t="s">
        <v>1776</v>
      </c>
    </row>
    <row r="12" spans="1:74">
      <c r="A12" s="29" t="s">
        <v>1624</v>
      </c>
      <c r="B12" s="29" t="s">
        <v>1624</v>
      </c>
      <c r="C12" s="29" t="s">
        <v>1625</v>
      </c>
      <c r="D12" s="32" t="s">
        <v>1624</v>
      </c>
      <c r="E12" s="23" t="s">
        <v>1581</v>
      </c>
      <c r="G12" s="29" t="s">
        <v>1779</v>
      </c>
      <c r="H12" s="29" t="s">
        <v>494</v>
      </c>
      <c r="I12" s="29" t="s">
        <v>592</v>
      </c>
      <c r="J12" s="23" t="s">
        <v>593</v>
      </c>
      <c r="L12" s="12" t="s">
        <v>129</v>
      </c>
      <c r="M12" s="12" t="s">
        <v>509</v>
      </c>
      <c r="N12" s="12">
        <v>100760</v>
      </c>
      <c r="O12" s="12" t="s">
        <v>1320</v>
      </c>
      <c r="P12" s="12" t="s">
        <v>1332</v>
      </c>
      <c r="Q12" s="12"/>
      <c r="S12" s="12" t="s">
        <v>233</v>
      </c>
      <c r="T12" s="12" t="s">
        <v>113</v>
      </c>
      <c r="U12" s="12" t="s">
        <v>232</v>
      </c>
      <c r="V12" s="8" t="s">
        <v>1037</v>
      </c>
      <c r="W12" s="8" t="s">
        <v>104</v>
      </c>
      <c r="AC12" s="178"/>
      <c r="AD12" s="6" t="s">
        <v>1689</v>
      </c>
      <c r="AE12" s="6" t="s">
        <v>936</v>
      </c>
      <c r="AF12" s="6" t="s">
        <v>355</v>
      </c>
      <c r="AG12" s="6" t="s">
        <v>406</v>
      </c>
      <c r="AJ12" s="80" t="s">
        <v>1447</v>
      </c>
      <c r="AK12" s="80" t="s">
        <v>1448</v>
      </c>
      <c r="AL12" s="81" t="s">
        <v>1436</v>
      </c>
      <c r="AM12" s="80" t="s">
        <v>1438</v>
      </c>
      <c r="AO12" s="181"/>
      <c r="AP12" s="62" t="s">
        <v>1722</v>
      </c>
      <c r="AQ12" s="6" t="s">
        <v>1720</v>
      </c>
      <c r="AR12" s="63" t="s">
        <v>1721</v>
      </c>
      <c r="AS12" s="8" t="s">
        <v>1404</v>
      </c>
      <c r="AU12" s="8"/>
      <c r="AV12" s="8"/>
      <c r="AX12" s="72" t="s">
        <v>1231</v>
      </c>
      <c r="AY12" s="53" t="s">
        <v>921</v>
      </c>
      <c r="AZ12" s="8" t="s">
        <v>1210</v>
      </c>
      <c r="BB12" s="15" t="s">
        <v>1909</v>
      </c>
      <c r="BC12" s="85" t="s">
        <v>1907</v>
      </c>
      <c r="BD12" s="15" t="s">
        <v>338</v>
      </c>
      <c r="BG12" s="172" t="s">
        <v>1800</v>
      </c>
      <c r="BH12" s="120" t="s">
        <v>1925</v>
      </c>
      <c r="BI12" s="120" t="s">
        <v>1815</v>
      </c>
      <c r="BJ12" s="1" t="s">
        <v>1448</v>
      </c>
      <c r="BK12" s="108" t="s">
        <v>1447</v>
      </c>
      <c r="BL12" s="1" t="s">
        <v>1477</v>
      </c>
      <c r="BM12" s="110" t="s">
        <v>1436</v>
      </c>
      <c r="BN12" s="1" t="s">
        <v>1438</v>
      </c>
      <c r="BR12" s="1" t="s">
        <v>1400</v>
      </c>
      <c r="BS12" s="1" t="s">
        <v>2022</v>
      </c>
      <c r="BT12" s="1" t="s">
        <v>2023</v>
      </c>
      <c r="BU12" s="1" t="s">
        <v>2024</v>
      </c>
      <c r="BV12" s="1" t="s">
        <v>1776</v>
      </c>
    </row>
    <row r="13" spans="1:74">
      <c r="A13" s="29" t="s">
        <v>1626</v>
      </c>
      <c r="B13" s="29" t="s">
        <v>1752</v>
      </c>
      <c r="C13" s="29" t="s">
        <v>1627</v>
      </c>
      <c r="D13" s="32" t="s">
        <v>1626</v>
      </c>
      <c r="E13" s="23" t="s">
        <v>1582</v>
      </c>
      <c r="G13" s="29" t="s">
        <v>126</v>
      </c>
      <c r="H13" s="29" t="s">
        <v>133</v>
      </c>
      <c r="I13" s="29" t="s">
        <v>375</v>
      </c>
      <c r="J13" s="23"/>
      <c r="L13" s="12" t="s">
        <v>1251</v>
      </c>
      <c r="M13" s="12" t="s">
        <v>509</v>
      </c>
      <c r="N13" s="12">
        <v>100760</v>
      </c>
      <c r="O13" s="12" t="s">
        <v>1320</v>
      </c>
      <c r="P13" s="12" t="s">
        <v>1332</v>
      </c>
      <c r="Q13" s="12" t="s">
        <v>1333</v>
      </c>
      <c r="S13" s="12" t="s">
        <v>811</v>
      </c>
      <c r="T13" s="12" t="s">
        <v>431</v>
      </c>
      <c r="U13" s="12" t="s">
        <v>432</v>
      </c>
      <c r="V13" s="8" t="s">
        <v>1038</v>
      </c>
      <c r="W13" s="8" t="s">
        <v>1039</v>
      </c>
      <c r="AC13" s="178"/>
      <c r="AD13" s="6" t="s">
        <v>1690</v>
      </c>
      <c r="AE13" s="6" t="s">
        <v>937</v>
      </c>
      <c r="AF13" s="6" t="s">
        <v>356</v>
      </c>
      <c r="AG13" s="6" t="s">
        <v>393</v>
      </c>
      <c r="AJ13" s="80" t="s">
        <v>1449</v>
      </c>
      <c r="AK13" s="80" t="s">
        <v>1450</v>
      </c>
      <c r="AL13" s="81" t="s">
        <v>1436</v>
      </c>
      <c r="AM13" s="80" t="s">
        <v>1438</v>
      </c>
      <c r="AO13" s="181"/>
      <c r="AP13" s="62" t="s">
        <v>1475</v>
      </c>
      <c r="AQ13" s="6" t="s">
        <v>1476</v>
      </c>
      <c r="AR13" s="63" t="s">
        <v>1723</v>
      </c>
      <c r="AS13" s="8" t="s">
        <v>1404</v>
      </c>
      <c r="AU13" s="8"/>
      <c r="AV13" s="8"/>
      <c r="AX13" s="8" t="s">
        <v>922</v>
      </c>
      <c r="AY13" s="51" t="s">
        <v>923</v>
      </c>
      <c r="AZ13" s="8" t="s">
        <v>1223</v>
      </c>
      <c r="BB13" s="15" t="s">
        <v>1911</v>
      </c>
      <c r="BC13" s="85" t="s">
        <v>1912</v>
      </c>
      <c r="BD13" s="15"/>
      <c r="BG13" s="172" t="s">
        <v>1816</v>
      </c>
      <c r="BH13" s="120" t="s">
        <v>1926</v>
      </c>
      <c r="BI13" s="120" t="s">
        <v>1449</v>
      </c>
      <c r="BJ13" s="1" t="s">
        <v>1450</v>
      </c>
      <c r="BK13" s="108" t="s">
        <v>1449</v>
      </c>
      <c r="BL13" s="1" t="s">
        <v>1477</v>
      </c>
      <c r="BM13" s="110" t="s">
        <v>1436</v>
      </c>
      <c r="BN13" s="1" t="s">
        <v>1438</v>
      </c>
      <c r="BR13" s="1" t="s">
        <v>2025</v>
      </c>
      <c r="BS13" s="1" t="s">
        <v>150</v>
      </c>
      <c r="BT13" s="1" t="s">
        <v>2026</v>
      </c>
      <c r="BU13" s="1" t="s">
        <v>2008</v>
      </c>
      <c r="BV13" s="1" t="s">
        <v>1771</v>
      </c>
    </row>
    <row r="14" spans="1:74">
      <c r="A14" s="29" t="s">
        <v>1628</v>
      </c>
      <c r="B14" s="29" t="s">
        <v>1753</v>
      </c>
      <c r="C14" s="29" t="s">
        <v>1629</v>
      </c>
      <c r="D14" s="32" t="s">
        <v>1628</v>
      </c>
      <c r="E14" s="23" t="s">
        <v>1583</v>
      </c>
      <c r="G14" s="29" t="s">
        <v>1318</v>
      </c>
      <c r="H14" s="29" t="s">
        <v>1319</v>
      </c>
      <c r="I14" s="29" t="s">
        <v>1323</v>
      </c>
      <c r="J14" s="23"/>
      <c r="L14" s="12" t="s">
        <v>1252</v>
      </c>
      <c r="M14" s="12" t="s">
        <v>737</v>
      </c>
      <c r="N14" s="12">
        <v>100760</v>
      </c>
      <c r="O14" s="12" t="s">
        <v>1320</v>
      </c>
      <c r="P14" s="12" t="s">
        <v>1334</v>
      </c>
      <c r="Q14" s="12"/>
      <c r="S14" s="12" t="s">
        <v>212</v>
      </c>
      <c r="T14" s="12" t="s">
        <v>812</v>
      </c>
      <c r="U14" s="12" t="s">
        <v>211</v>
      </c>
      <c r="V14" s="8" t="s">
        <v>1040</v>
      </c>
      <c r="W14" s="8" t="s">
        <v>1041</v>
      </c>
      <c r="AC14" s="178"/>
      <c r="AD14" s="6"/>
      <c r="AE14" s="57" t="s">
        <v>50</v>
      </c>
      <c r="AF14" s="6" t="s">
        <v>51</v>
      </c>
      <c r="AG14" s="6"/>
      <c r="AJ14" s="80" t="s">
        <v>74</v>
      </c>
      <c r="AK14" s="80" t="s">
        <v>75</v>
      </c>
      <c r="AL14" s="81" t="s">
        <v>1436</v>
      </c>
      <c r="AM14" s="80" t="s">
        <v>1438</v>
      </c>
      <c r="AO14" s="181"/>
      <c r="AP14" s="62"/>
      <c r="AQ14" s="6"/>
      <c r="AR14" s="63"/>
      <c r="AS14" s="8"/>
      <c r="AU14" s="8"/>
      <c r="AV14" s="8"/>
      <c r="AX14" s="8" t="s">
        <v>924</v>
      </c>
      <c r="AY14" s="51" t="s">
        <v>925</v>
      </c>
      <c r="AZ14" s="8" t="s">
        <v>1213</v>
      </c>
      <c r="BG14" s="172" t="s">
        <v>1816</v>
      </c>
      <c r="BH14" s="120" t="s">
        <v>1927</v>
      </c>
      <c r="BI14" s="120" t="s">
        <v>1817</v>
      </c>
      <c r="BJ14" s="1" t="s">
        <v>75</v>
      </c>
      <c r="BK14" s="108" t="s">
        <v>74</v>
      </c>
      <c r="BL14" s="1" t="s">
        <v>1477</v>
      </c>
      <c r="BM14" s="110" t="s">
        <v>1436</v>
      </c>
      <c r="BN14" s="1" t="s">
        <v>1438</v>
      </c>
      <c r="BR14" s="1" t="s">
        <v>2025</v>
      </c>
      <c r="BS14" s="1" t="s">
        <v>2027</v>
      </c>
      <c r="BT14" s="1" t="s">
        <v>2028</v>
      </c>
      <c r="BU14" s="1" t="s">
        <v>2029</v>
      </c>
      <c r="BV14" s="1" t="s">
        <v>2030</v>
      </c>
    </row>
    <row r="15" spans="1:74">
      <c r="A15" s="29" t="s">
        <v>2341</v>
      </c>
      <c r="B15" s="29" t="s">
        <v>1754</v>
      </c>
      <c r="C15" s="29" t="s">
        <v>1630</v>
      </c>
      <c r="D15" s="32" t="s">
        <v>2338</v>
      </c>
      <c r="E15" s="23" t="s">
        <v>1584</v>
      </c>
      <c r="G15" s="29" t="s">
        <v>1564</v>
      </c>
      <c r="H15" s="29" t="s">
        <v>1565</v>
      </c>
      <c r="I15" s="29" t="s">
        <v>1566</v>
      </c>
      <c r="J15" s="23"/>
      <c r="L15" s="12" t="s">
        <v>153</v>
      </c>
      <c r="M15" s="12" t="s">
        <v>153</v>
      </c>
      <c r="N15" s="12">
        <v>100760</v>
      </c>
      <c r="O15" s="12" t="s">
        <v>1320</v>
      </c>
      <c r="P15" s="12" t="s">
        <v>1335</v>
      </c>
      <c r="Q15" s="12"/>
      <c r="S15" s="12" t="s">
        <v>185</v>
      </c>
      <c r="T15" s="12"/>
      <c r="U15" s="12" t="s">
        <v>184</v>
      </c>
      <c r="V15" s="8" t="s">
        <v>1042</v>
      </c>
      <c r="W15" s="8" t="s">
        <v>1043</v>
      </c>
      <c r="AC15" s="178"/>
      <c r="AD15" s="6"/>
      <c r="AE15" s="57" t="s">
        <v>53</v>
      </c>
      <c r="AF15" s="6" t="s">
        <v>54</v>
      </c>
      <c r="AG15" s="6"/>
      <c r="AJ15" s="80" t="s">
        <v>1451</v>
      </c>
      <c r="AK15" s="80" t="s">
        <v>1452</v>
      </c>
      <c r="AL15" s="81" t="s">
        <v>1436</v>
      </c>
      <c r="AM15" s="80" t="s">
        <v>1438</v>
      </c>
      <c r="AO15" s="181"/>
      <c r="AP15" s="62"/>
      <c r="AQ15" s="6"/>
      <c r="AR15" s="63"/>
      <c r="AS15" s="8"/>
      <c r="AX15" s="8" t="s">
        <v>1214</v>
      </c>
      <c r="AY15" s="54" t="s">
        <v>926</v>
      </c>
      <c r="AZ15" s="8" t="s">
        <v>1215</v>
      </c>
      <c r="BG15" s="172" t="s">
        <v>1816</v>
      </c>
      <c r="BH15" s="120" t="s">
        <v>1928</v>
      </c>
      <c r="BI15" s="120" t="s">
        <v>1818</v>
      </c>
      <c r="BJ15" s="109" t="s">
        <v>1819</v>
      </c>
      <c r="BK15" s="108" t="s">
        <v>1451</v>
      </c>
      <c r="BL15" s="1" t="s">
        <v>1477</v>
      </c>
      <c r="BM15" s="110" t="s">
        <v>1436</v>
      </c>
      <c r="BN15" s="1" t="s">
        <v>1438</v>
      </c>
      <c r="BR15" s="1" t="s">
        <v>2025</v>
      </c>
      <c r="BS15" s="1" t="s">
        <v>2031</v>
      </c>
      <c r="BT15" s="1" t="s">
        <v>2032</v>
      </c>
      <c r="BU15" s="1" t="s">
        <v>2029</v>
      </c>
      <c r="BV15" s="1" t="s">
        <v>2033</v>
      </c>
    </row>
    <row r="16" spans="1:74">
      <c r="A16" s="29" t="s">
        <v>1631</v>
      </c>
      <c r="B16" s="29" t="s">
        <v>1631</v>
      </c>
      <c r="C16" s="29" t="s">
        <v>1632</v>
      </c>
      <c r="D16" s="32" t="s">
        <v>1631</v>
      </c>
      <c r="E16" s="23" t="s">
        <v>1585</v>
      </c>
      <c r="G16" s="29" t="s">
        <v>1773</v>
      </c>
      <c r="H16" s="29" t="s">
        <v>275</v>
      </c>
      <c r="I16" s="29" t="s">
        <v>374</v>
      </c>
      <c r="J16" s="23"/>
      <c r="L16" s="12" t="s">
        <v>1253</v>
      </c>
      <c r="M16" s="12" t="s">
        <v>153</v>
      </c>
      <c r="N16" s="12">
        <v>100760</v>
      </c>
      <c r="O16" s="12" t="s">
        <v>1320</v>
      </c>
      <c r="P16" s="12" t="s">
        <v>1335</v>
      </c>
      <c r="Q16" s="12" t="s">
        <v>1336</v>
      </c>
      <c r="S16" s="12" t="s">
        <v>476</v>
      </c>
      <c r="T16" s="12" t="s">
        <v>477</v>
      </c>
      <c r="U16" s="12" t="s">
        <v>829</v>
      </c>
      <c r="V16" s="8" t="s">
        <v>1044</v>
      </c>
      <c r="W16" s="8" t="s">
        <v>1045</v>
      </c>
      <c r="AC16" s="178"/>
      <c r="AD16" s="6"/>
      <c r="AE16" s="57" t="s">
        <v>56</v>
      </c>
      <c r="AF16" s="6" t="s">
        <v>57</v>
      </c>
      <c r="AG16" s="6"/>
      <c r="AJ16" s="80" t="s">
        <v>1453</v>
      </c>
      <c r="AK16" s="80" t="s">
        <v>1454</v>
      </c>
      <c r="AL16" s="81" t="s">
        <v>1436</v>
      </c>
      <c r="AM16" s="80" t="s">
        <v>1438</v>
      </c>
      <c r="AO16" s="181"/>
      <c r="AP16" s="62"/>
      <c r="AQ16" s="6"/>
      <c r="AR16" s="63"/>
      <c r="AS16" s="8"/>
      <c r="AX16" s="8" t="s">
        <v>1897</v>
      </c>
      <c r="AY16" s="54" t="s">
        <v>927</v>
      </c>
      <c r="AZ16" s="8" t="s">
        <v>1216</v>
      </c>
      <c r="BG16" s="172" t="s">
        <v>1816</v>
      </c>
      <c r="BH16" s="120" t="s">
        <v>1929</v>
      </c>
      <c r="BI16" s="120" t="s">
        <v>1820</v>
      </c>
      <c r="BJ16" s="1" t="s">
        <v>1454</v>
      </c>
      <c r="BK16" s="108" t="s">
        <v>1453</v>
      </c>
      <c r="BL16" s="1" t="s">
        <v>1477</v>
      </c>
      <c r="BM16" s="110" t="s">
        <v>1436</v>
      </c>
      <c r="BN16" s="1" t="s">
        <v>1438</v>
      </c>
      <c r="BR16" s="1" t="s">
        <v>2025</v>
      </c>
      <c r="BS16" s="1" t="s">
        <v>2034</v>
      </c>
      <c r="BT16" s="1" t="s">
        <v>2035</v>
      </c>
      <c r="BU16" s="1" t="s">
        <v>2036</v>
      </c>
      <c r="BV16" s="1" t="s">
        <v>1771</v>
      </c>
    </row>
    <row r="17" spans="1:74">
      <c r="A17" s="29" t="s">
        <v>1633</v>
      </c>
      <c r="B17" s="29" t="s">
        <v>1755</v>
      </c>
      <c r="C17" s="29" t="s">
        <v>1634</v>
      </c>
      <c r="D17" s="32" t="s">
        <v>1633</v>
      </c>
      <c r="E17" s="23" t="s">
        <v>1599</v>
      </c>
      <c r="G17" s="29" t="s">
        <v>1780</v>
      </c>
      <c r="H17" s="29" t="s">
        <v>276</v>
      </c>
      <c r="I17" s="29" t="s">
        <v>594</v>
      </c>
      <c r="J17" s="23"/>
      <c r="L17" s="12" t="s">
        <v>785</v>
      </c>
      <c r="M17" s="12" t="s">
        <v>738</v>
      </c>
      <c r="N17" s="12">
        <v>100760</v>
      </c>
      <c r="O17" s="12" t="s">
        <v>1320</v>
      </c>
      <c r="P17" s="12" t="s">
        <v>1337</v>
      </c>
      <c r="Q17" s="12"/>
      <c r="S17" s="12" t="s">
        <v>183</v>
      </c>
      <c r="T17" s="12" t="s">
        <v>813</v>
      </c>
      <c r="U17" s="12" t="s">
        <v>182</v>
      </c>
      <c r="V17" s="8" t="s">
        <v>1046</v>
      </c>
      <c r="W17" s="8" t="s">
        <v>1047</v>
      </c>
      <c r="AC17" s="178"/>
      <c r="AD17" s="6"/>
      <c r="AE17" s="57" t="s">
        <v>59</v>
      </c>
      <c r="AF17" s="6" t="s">
        <v>60</v>
      </c>
      <c r="AG17" s="6"/>
      <c r="AJ17" s="80" t="s">
        <v>68</v>
      </c>
      <c r="AK17" s="80" t="s">
        <v>1455</v>
      </c>
      <c r="AL17" s="81" t="s">
        <v>1436</v>
      </c>
      <c r="AM17" s="80" t="s">
        <v>1438</v>
      </c>
      <c r="AO17" s="181"/>
      <c r="AP17" s="62"/>
      <c r="AQ17" s="6"/>
      <c r="AR17" s="63"/>
      <c r="AS17" s="8"/>
      <c r="AX17" s="8" t="s">
        <v>1240</v>
      </c>
      <c r="AY17" s="54" t="s">
        <v>1241</v>
      </c>
      <c r="AZ17" s="8" t="s">
        <v>1239</v>
      </c>
      <c r="BG17" s="172" t="s">
        <v>1816</v>
      </c>
      <c r="BH17" s="120" t="s">
        <v>1930</v>
      </c>
      <c r="BI17" s="120" t="s">
        <v>1821</v>
      </c>
      <c r="BJ17" s="1" t="s">
        <v>1455</v>
      </c>
      <c r="BK17" s="108" t="s">
        <v>68</v>
      </c>
      <c r="BL17" s="1" t="s">
        <v>1477</v>
      </c>
      <c r="BM17" s="110" t="s">
        <v>1436</v>
      </c>
      <c r="BN17" s="1" t="s">
        <v>1438</v>
      </c>
      <c r="BR17" s="1" t="s">
        <v>2025</v>
      </c>
      <c r="BS17" s="1" t="s">
        <v>2037</v>
      </c>
      <c r="BT17" s="1" t="s">
        <v>2038</v>
      </c>
      <c r="BU17" s="1" t="s">
        <v>2039</v>
      </c>
      <c r="BV17" s="1" t="s">
        <v>1771</v>
      </c>
    </row>
    <row r="18" spans="1:74">
      <c r="A18" s="29" t="s">
        <v>1635</v>
      </c>
      <c r="B18" s="29" t="s">
        <v>1756</v>
      </c>
      <c r="C18" s="29" t="s">
        <v>1636</v>
      </c>
      <c r="D18" s="32" t="s">
        <v>1635</v>
      </c>
      <c r="E18" s="23" t="s">
        <v>1586</v>
      </c>
      <c r="G18" s="29" t="s">
        <v>1781</v>
      </c>
      <c r="H18" s="29" t="s">
        <v>277</v>
      </c>
      <c r="I18" s="29" t="s">
        <v>134</v>
      </c>
      <c r="J18" s="23"/>
      <c r="L18" s="12" t="s">
        <v>1422</v>
      </c>
      <c r="M18" s="12" t="s">
        <v>1423</v>
      </c>
      <c r="N18" s="12">
        <v>100760</v>
      </c>
      <c r="O18" s="12" t="s">
        <v>1338</v>
      </c>
      <c r="P18" s="12" t="s">
        <v>1391</v>
      </c>
      <c r="Q18" s="12"/>
      <c r="S18" s="12" t="s">
        <v>204</v>
      </c>
      <c r="T18" s="12" t="s">
        <v>814</v>
      </c>
      <c r="U18" s="12" t="s">
        <v>203</v>
      </c>
      <c r="V18" s="8" t="s">
        <v>1048</v>
      </c>
      <c r="W18" s="8" t="s">
        <v>1049</v>
      </c>
      <c r="AC18" s="178"/>
      <c r="AD18" s="6" t="s">
        <v>1684</v>
      </c>
      <c r="AE18" s="57" t="s">
        <v>938</v>
      </c>
      <c r="AF18" s="6" t="s">
        <v>78</v>
      </c>
      <c r="AG18" s="6" t="s">
        <v>394</v>
      </c>
      <c r="AJ18" s="80" t="s">
        <v>70</v>
      </c>
      <c r="AK18" s="80" t="s">
        <v>1456</v>
      </c>
      <c r="AL18" s="81" t="s">
        <v>1436</v>
      </c>
      <c r="AM18" s="80" t="s">
        <v>1438</v>
      </c>
      <c r="AO18" s="181"/>
      <c r="AP18" s="62"/>
      <c r="AQ18" s="6"/>
      <c r="AR18" s="63"/>
      <c r="AS18" s="8"/>
      <c r="AX18" s="8" t="s">
        <v>1427</v>
      </c>
      <c r="AY18" s="80" t="s">
        <v>1429</v>
      </c>
      <c r="AZ18" s="8" t="s">
        <v>1428</v>
      </c>
      <c r="BG18" s="172" t="s">
        <v>1816</v>
      </c>
      <c r="BH18" s="120" t="s">
        <v>1895</v>
      </c>
      <c r="BI18" s="120" t="s">
        <v>1822</v>
      </c>
      <c r="BJ18" s="1" t="s">
        <v>1823</v>
      </c>
      <c r="BK18" s="108" t="s">
        <v>70</v>
      </c>
      <c r="BL18" s="1" t="s">
        <v>1477</v>
      </c>
      <c r="BM18" s="110" t="s">
        <v>1436</v>
      </c>
      <c r="BN18" s="1" t="s">
        <v>1438</v>
      </c>
      <c r="BR18" s="1" t="s">
        <v>2040</v>
      </c>
      <c r="BS18" s="1" t="s">
        <v>2041</v>
      </c>
      <c r="BT18" s="1" t="s">
        <v>2042</v>
      </c>
      <c r="BU18" s="1" t="s">
        <v>2043</v>
      </c>
      <c r="BV18" s="1" t="s">
        <v>2044</v>
      </c>
    </row>
    <row r="19" spans="1:74">
      <c r="A19" s="29" t="s">
        <v>1637</v>
      </c>
      <c r="B19" s="29" t="s">
        <v>1758</v>
      </c>
      <c r="C19" s="29" t="s">
        <v>1638</v>
      </c>
      <c r="D19" s="32" t="s">
        <v>1637</v>
      </c>
      <c r="E19" s="23" t="s">
        <v>1587</v>
      </c>
      <c r="G19" s="29" t="s">
        <v>1782</v>
      </c>
      <c r="H19" s="29" t="s">
        <v>278</v>
      </c>
      <c r="I19" s="29" t="s">
        <v>134</v>
      </c>
      <c r="J19" s="23"/>
      <c r="L19" s="12" t="s">
        <v>1254</v>
      </c>
      <c r="M19" s="12" t="s">
        <v>739</v>
      </c>
      <c r="N19" s="12">
        <v>100760</v>
      </c>
      <c r="O19" s="12" t="s">
        <v>1338</v>
      </c>
      <c r="P19" s="12" t="s">
        <v>1339</v>
      </c>
      <c r="Q19" s="12"/>
      <c r="S19" s="12" t="s">
        <v>208</v>
      </c>
      <c r="T19" s="12"/>
      <c r="U19" s="12" t="s">
        <v>207</v>
      </c>
      <c r="V19" s="8" t="s">
        <v>1050</v>
      </c>
      <c r="W19" s="8" t="s">
        <v>958</v>
      </c>
      <c r="AC19" s="178"/>
      <c r="AD19" s="6" t="s">
        <v>1685</v>
      </c>
      <c r="AE19" s="57" t="s">
        <v>61</v>
      </c>
      <c r="AF19" s="6" t="s">
        <v>62</v>
      </c>
      <c r="AG19" s="6" t="s">
        <v>395</v>
      </c>
      <c r="AJ19" s="80" t="s">
        <v>58</v>
      </c>
      <c r="AK19" s="80" t="s">
        <v>1457</v>
      </c>
      <c r="AL19" s="81" t="s">
        <v>1436</v>
      </c>
      <c r="AM19" s="80" t="s">
        <v>1438</v>
      </c>
      <c r="AO19" s="181"/>
      <c r="AP19" s="62"/>
      <c r="AQ19" s="6"/>
      <c r="AR19" s="63"/>
      <c r="AS19" s="8"/>
      <c r="BG19" s="172" t="s">
        <v>1816</v>
      </c>
      <c r="BH19" s="120" t="s">
        <v>1931</v>
      </c>
      <c r="BI19" s="120" t="s">
        <v>1824</v>
      </c>
      <c r="BJ19" s="1" t="s">
        <v>1457</v>
      </c>
      <c r="BK19" s="108" t="s">
        <v>58</v>
      </c>
      <c r="BL19" s="1" t="s">
        <v>1477</v>
      </c>
      <c r="BM19" s="110" t="s">
        <v>1436</v>
      </c>
      <c r="BN19" s="1" t="s">
        <v>1438</v>
      </c>
      <c r="BR19" s="1" t="s">
        <v>2040</v>
      </c>
      <c r="BS19" s="1" t="s">
        <v>2045</v>
      </c>
      <c r="BT19" s="1" t="s">
        <v>2046</v>
      </c>
      <c r="BU19" s="1" t="s">
        <v>2047</v>
      </c>
      <c r="BV19" s="1" t="s">
        <v>2044</v>
      </c>
    </row>
    <row r="20" spans="1:74">
      <c r="A20" s="29" t="s">
        <v>1639</v>
      </c>
      <c r="B20" s="29" t="s">
        <v>1757</v>
      </c>
      <c r="C20" s="29" t="s">
        <v>1640</v>
      </c>
      <c r="D20" s="32" t="s">
        <v>1639</v>
      </c>
      <c r="E20" s="23" t="s">
        <v>1588</v>
      </c>
      <c r="G20" s="29" t="s">
        <v>1784</v>
      </c>
      <c r="H20" s="29" t="s">
        <v>279</v>
      </c>
      <c r="I20" s="29" t="s">
        <v>135</v>
      </c>
      <c r="J20" s="23"/>
      <c r="L20" s="12" t="s">
        <v>152</v>
      </c>
      <c r="M20" s="12" t="s">
        <v>326</v>
      </c>
      <c r="N20" s="12">
        <v>100760</v>
      </c>
      <c r="O20" s="12" t="s">
        <v>1338</v>
      </c>
      <c r="P20" s="12" t="s">
        <v>1340</v>
      </c>
      <c r="Q20" s="12"/>
      <c r="S20" s="12" t="s">
        <v>466</v>
      </c>
      <c r="T20" s="12" t="s">
        <v>988</v>
      </c>
      <c r="U20" s="12" t="s">
        <v>214</v>
      </c>
      <c r="V20" s="8" t="s">
        <v>1051</v>
      </c>
      <c r="W20" s="8" t="s">
        <v>1052</v>
      </c>
      <c r="AC20" s="178"/>
      <c r="AD20" s="6" t="s">
        <v>1686</v>
      </c>
      <c r="AE20" s="57" t="s">
        <v>64</v>
      </c>
      <c r="AF20" s="6" t="s">
        <v>65</v>
      </c>
      <c r="AG20" s="6" t="s">
        <v>396</v>
      </c>
      <c r="AJ20" s="80" t="s">
        <v>55</v>
      </c>
      <c r="AK20" s="80" t="s">
        <v>1458</v>
      </c>
      <c r="AL20" s="81" t="s">
        <v>1436</v>
      </c>
      <c r="AM20" s="80" t="s">
        <v>1438</v>
      </c>
      <c r="AO20" s="181"/>
      <c r="AP20" s="62"/>
      <c r="AQ20" s="6"/>
      <c r="AR20" s="63"/>
      <c r="AS20" s="8"/>
      <c r="BG20" s="172" t="s">
        <v>1816</v>
      </c>
      <c r="BH20" s="120" t="s">
        <v>1932</v>
      </c>
      <c r="BI20" s="120" t="s">
        <v>1825</v>
      </c>
      <c r="BJ20" s="1" t="s">
        <v>1458</v>
      </c>
      <c r="BK20" s="108" t="s">
        <v>55</v>
      </c>
      <c r="BL20" s="1" t="s">
        <v>1477</v>
      </c>
      <c r="BM20" s="110" t="s">
        <v>1436</v>
      </c>
      <c r="BN20" s="1" t="s">
        <v>1438</v>
      </c>
      <c r="BR20" s="1" t="s">
        <v>2040</v>
      </c>
      <c r="BS20" s="1" t="s">
        <v>1397</v>
      </c>
      <c r="BT20" s="1" t="s">
        <v>2048</v>
      </c>
      <c r="BU20" s="1" t="s">
        <v>2049</v>
      </c>
      <c r="BV20" s="1" t="s">
        <v>2044</v>
      </c>
    </row>
    <row r="21" spans="1:74" ht="17.25" thickBot="1">
      <c r="A21" s="29" t="s">
        <v>1641</v>
      </c>
      <c r="B21" s="29" t="s">
        <v>1759</v>
      </c>
      <c r="C21" s="29" t="s">
        <v>1642</v>
      </c>
      <c r="D21" s="32" t="s">
        <v>1641</v>
      </c>
      <c r="E21" s="23" t="s">
        <v>1589</v>
      </c>
      <c r="G21" s="29" t="s">
        <v>1783</v>
      </c>
      <c r="H21" s="29" t="s">
        <v>280</v>
      </c>
      <c r="I21" s="29" t="s">
        <v>127</v>
      </c>
      <c r="J21" s="23"/>
      <c r="L21" s="12" t="s">
        <v>1255</v>
      </c>
      <c r="M21" s="12" t="s">
        <v>378</v>
      </c>
      <c r="N21" s="12">
        <v>100760</v>
      </c>
      <c r="O21" s="12" t="s">
        <v>1338</v>
      </c>
      <c r="P21" s="12" t="s">
        <v>1341</v>
      </c>
      <c r="Q21" s="12"/>
      <c r="S21" s="12" t="s">
        <v>269</v>
      </c>
      <c r="T21" s="12" t="s">
        <v>989</v>
      </c>
      <c r="U21" s="12" t="s">
        <v>235</v>
      </c>
      <c r="V21" s="8" t="s">
        <v>1053</v>
      </c>
      <c r="W21" s="8" t="s">
        <v>1054</v>
      </c>
      <c r="AC21" s="178"/>
      <c r="AD21" s="6"/>
      <c r="AE21" s="57" t="s">
        <v>83</v>
      </c>
      <c r="AF21" s="6" t="s">
        <v>84</v>
      </c>
      <c r="AG21" s="6"/>
      <c r="AJ21" s="80" t="s">
        <v>82</v>
      </c>
      <c r="AK21" s="80" t="s">
        <v>1459</v>
      </c>
      <c r="AL21" s="81" t="s">
        <v>1436</v>
      </c>
      <c r="AM21" s="80" t="s">
        <v>1438</v>
      </c>
      <c r="AO21" s="181"/>
      <c r="AP21" s="62"/>
      <c r="AQ21" s="6"/>
      <c r="AR21" s="63"/>
      <c r="AS21" s="8"/>
      <c r="AW21" t="s">
        <v>1793</v>
      </c>
      <c r="AX21" s="73"/>
      <c r="AY21" s="73"/>
      <c r="AZ21" s="73"/>
      <c r="BG21" s="172" t="s">
        <v>1816</v>
      </c>
      <c r="BH21" s="120" t="s">
        <v>1933</v>
      </c>
      <c r="BI21" s="120" t="s">
        <v>1826</v>
      </c>
      <c r="BJ21" s="1" t="s">
        <v>1459</v>
      </c>
      <c r="BK21" s="108" t="s">
        <v>82</v>
      </c>
      <c r="BL21" s="1" t="s">
        <v>1477</v>
      </c>
      <c r="BM21" s="110" t="s">
        <v>1436</v>
      </c>
      <c r="BN21" s="1" t="s">
        <v>1438</v>
      </c>
      <c r="BR21" s="1" t="s">
        <v>1398</v>
      </c>
      <c r="BS21" s="1" t="s">
        <v>2050</v>
      </c>
      <c r="BT21" s="1" t="s">
        <v>2051</v>
      </c>
      <c r="BU21" s="1" t="s">
        <v>2052</v>
      </c>
      <c r="BV21" s="1" t="s">
        <v>2053</v>
      </c>
    </row>
    <row r="22" spans="1:74" ht="33.75" thickBot="1">
      <c r="A22" s="29" t="s">
        <v>1643</v>
      </c>
      <c r="B22" s="29" t="s">
        <v>1760</v>
      </c>
      <c r="C22" s="29" t="s">
        <v>1644</v>
      </c>
      <c r="D22" s="32" t="s">
        <v>1643</v>
      </c>
      <c r="E22" s="23" t="s">
        <v>1590</v>
      </c>
      <c r="G22" s="29" t="s">
        <v>1025</v>
      </c>
      <c r="H22" s="29" t="s">
        <v>385</v>
      </c>
      <c r="I22" s="32" t="s">
        <v>386</v>
      </c>
      <c r="J22" s="23" t="s">
        <v>1024</v>
      </c>
      <c r="L22" s="12" t="s">
        <v>1256</v>
      </c>
      <c r="M22" s="12" t="s">
        <v>740</v>
      </c>
      <c r="N22" s="12">
        <v>100760</v>
      </c>
      <c r="O22" s="12" t="s">
        <v>1338</v>
      </c>
      <c r="P22" s="12" t="s">
        <v>1342</v>
      </c>
      <c r="Q22" s="12"/>
      <c r="S22" s="12" t="s">
        <v>267</v>
      </c>
      <c r="T22" s="12" t="s">
        <v>990</v>
      </c>
      <c r="U22" s="12" t="s">
        <v>229</v>
      </c>
      <c r="V22" s="8" t="s">
        <v>1055</v>
      </c>
      <c r="W22" s="8" t="s">
        <v>1056</v>
      </c>
      <c r="AC22" s="178"/>
      <c r="AD22" s="6"/>
      <c r="AE22" s="57" t="s">
        <v>939</v>
      </c>
      <c r="AF22" s="6" t="s">
        <v>940</v>
      </c>
      <c r="AG22" s="6"/>
      <c r="AJ22" s="80" t="s">
        <v>79</v>
      </c>
      <c r="AK22" s="80" t="s">
        <v>1460</v>
      </c>
      <c r="AL22" s="81" t="s">
        <v>1436</v>
      </c>
      <c r="AM22" s="80" t="s">
        <v>1438</v>
      </c>
      <c r="AO22" s="181"/>
      <c r="AP22" s="62"/>
      <c r="AQ22" s="6"/>
      <c r="AR22" s="63"/>
      <c r="AS22" s="8"/>
      <c r="AW22" s="79" t="s">
        <v>1413</v>
      </c>
      <c r="AX22" s="79" t="s">
        <v>1414</v>
      </c>
      <c r="AY22" s="73"/>
      <c r="AZ22" s="73"/>
      <c r="BG22" s="172" t="s">
        <v>1816</v>
      </c>
      <c r="BH22" s="120" t="s">
        <v>1934</v>
      </c>
      <c r="BI22" s="120" t="s">
        <v>1827</v>
      </c>
      <c r="BJ22" s="1" t="s">
        <v>1460</v>
      </c>
      <c r="BK22" s="108" t="s">
        <v>79</v>
      </c>
      <c r="BL22" s="1" t="s">
        <v>1477</v>
      </c>
      <c r="BM22" s="110" t="s">
        <v>1436</v>
      </c>
      <c r="BN22" s="1" t="s">
        <v>1438</v>
      </c>
      <c r="BR22" s="1" t="s">
        <v>1398</v>
      </c>
      <c r="BS22" s="1" t="s">
        <v>1024</v>
      </c>
      <c r="BT22" s="1" t="s">
        <v>2054</v>
      </c>
      <c r="BU22" s="1" t="s">
        <v>2055</v>
      </c>
      <c r="BV22" s="1" t="s">
        <v>2053</v>
      </c>
    </row>
    <row r="23" spans="1:74" ht="27">
      <c r="A23" s="29" t="s">
        <v>1645</v>
      </c>
      <c r="B23" s="29" t="s">
        <v>1761</v>
      </c>
      <c r="C23" s="29" t="s">
        <v>1646</v>
      </c>
      <c r="D23" s="32" t="s">
        <v>1645</v>
      </c>
      <c r="E23" s="23" t="s">
        <v>1600</v>
      </c>
      <c r="G23" s="29" t="s">
        <v>1026</v>
      </c>
      <c r="H23" s="29" t="s">
        <v>281</v>
      </c>
      <c r="I23" s="32" t="s">
        <v>495</v>
      </c>
      <c r="J23" s="23"/>
      <c r="L23" s="12" t="s">
        <v>1563</v>
      </c>
      <c r="M23" s="12" t="s">
        <v>1561</v>
      </c>
      <c r="N23" s="12">
        <v>100760</v>
      </c>
      <c r="O23" s="12" t="s">
        <v>1338</v>
      </c>
      <c r="P23" s="12" t="s">
        <v>1570</v>
      </c>
      <c r="Q23" s="100" t="s">
        <v>2321</v>
      </c>
      <c r="S23" s="12" t="s">
        <v>270</v>
      </c>
      <c r="T23" s="12" t="s">
        <v>991</v>
      </c>
      <c r="U23" s="12" t="s">
        <v>246</v>
      </c>
      <c r="V23" s="8" t="s">
        <v>1057</v>
      </c>
      <c r="W23" s="8" t="s">
        <v>1058</v>
      </c>
      <c r="AC23" s="178"/>
      <c r="AD23" s="6" t="s">
        <v>1691</v>
      </c>
      <c r="AE23" s="6" t="s">
        <v>97</v>
      </c>
      <c r="AF23" s="6" t="s">
        <v>98</v>
      </c>
      <c r="AG23" s="6" t="s">
        <v>397</v>
      </c>
      <c r="AJ23" s="80" t="s">
        <v>63</v>
      </c>
      <c r="AK23" s="80" t="s">
        <v>1461</v>
      </c>
      <c r="AL23" s="81" t="s">
        <v>1436</v>
      </c>
      <c r="AM23" s="80" t="s">
        <v>1438</v>
      </c>
      <c r="AO23" s="181"/>
      <c r="AP23" s="62"/>
      <c r="AQ23" s="6"/>
      <c r="AR23" s="63"/>
      <c r="AS23" s="8"/>
      <c r="AW23" t="s">
        <v>285</v>
      </c>
      <c r="AX23" s="73" t="s">
        <v>1415</v>
      </c>
      <c r="AY23" s="73"/>
      <c r="AZ23" s="73"/>
      <c r="BG23" s="172" t="s">
        <v>1816</v>
      </c>
      <c r="BH23" s="172" t="s">
        <v>1935</v>
      </c>
      <c r="BI23" s="173" t="s">
        <v>1828</v>
      </c>
      <c r="BJ23" s="109" t="s">
        <v>1829</v>
      </c>
      <c r="BK23" s="108" t="s">
        <v>63</v>
      </c>
      <c r="BL23" s="1" t="s">
        <v>1477</v>
      </c>
      <c r="BM23" s="110" t="s">
        <v>1436</v>
      </c>
      <c r="BN23" s="1" t="s">
        <v>1438</v>
      </c>
      <c r="BR23" s="1" t="s">
        <v>2040</v>
      </c>
      <c r="BS23" s="1" t="s">
        <v>2056</v>
      </c>
      <c r="BT23" s="1" t="s">
        <v>2057</v>
      </c>
      <c r="BU23" s="1" t="s">
        <v>2055</v>
      </c>
      <c r="BV23" s="1" t="s">
        <v>2044</v>
      </c>
    </row>
    <row r="24" spans="1:74">
      <c r="A24" s="29" t="s">
        <v>1647</v>
      </c>
      <c r="B24" s="29" t="s">
        <v>1762</v>
      </c>
      <c r="C24" s="29" t="s">
        <v>1648</v>
      </c>
      <c r="D24" s="32" t="s">
        <v>1647</v>
      </c>
      <c r="E24" s="23" t="s">
        <v>1592</v>
      </c>
      <c r="G24" s="29" t="s">
        <v>125</v>
      </c>
      <c r="H24" s="29" t="s">
        <v>282</v>
      </c>
      <c r="I24" s="29" t="s">
        <v>136</v>
      </c>
      <c r="J24" s="23"/>
      <c r="L24" s="12" t="s">
        <v>1257</v>
      </c>
      <c r="M24" s="12" t="s">
        <v>1304</v>
      </c>
      <c r="N24" s="12">
        <v>100760</v>
      </c>
      <c r="O24" s="12" t="s">
        <v>1338</v>
      </c>
      <c r="P24" s="12" t="s">
        <v>1343</v>
      </c>
      <c r="Q24" s="12"/>
      <c r="S24" s="12" t="s">
        <v>248</v>
      </c>
      <c r="T24" s="12" t="s">
        <v>992</v>
      </c>
      <c r="U24" s="12" t="s">
        <v>247</v>
      </c>
      <c r="V24" s="8" t="s">
        <v>951</v>
      </c>
      <c r="W24" s="8" t="s">
        <v>956</v>
      </c>
      <c r="AC24" s="179"/>
      <c r="AD24" s="6" t="s">
        <v>1692</v>
      </c>
      <c r="AE24" s="57" t="s">
        <v>381</v>
      </c>
      <c r="AF24" s="6" t="s">
        <v>382</v>
      </c>
      <c r="AG24" s="6" t="s">
        <v>407</v>
      </c>
      <c r="AJ24" s="80" t="s">
        <v>71</v>
      </c>
      <c r="AK24" s="80" t="s">
        <v>72</v>
      </c>
      <c r="AL24" s="81" t="s">
        <v>1436</v>
      </c>
      <c r="AM24" s="80" t="s">
        <v>1438</v>
      </c>
      <c r="AO24" s="181"/>
      <c r="AP24" s="62"/>
      <c r="AQ24" s="6"/>
      <c r="AR24" s="63"/>
      <c r="AS24" s="8"/>
      <c r="AW24" t="s">
        <v>1416</v>
      </c>
      <c r="AX24" s="73" t="s">
        <v>1415</v>
      </c>
      <c r="AY24" s="73"/>
      <c r="AZ24" s="73"/>
      <c r="BG24" s="172" t="s">
        <v>1816</v>
      </c>
      <c r="BH24" s="120" t="s">
        <v>1936</v>
      </c>
      <c r="BI24" s="120" t="s">
        <v>1830</v>
      </c>
      <c r="BJ24" s="1" t="s">
        <v>72</v>
      </c>
      <c r="BK24" s="108" t="s">
        <v>71</v>
      </c>
      <c r="BL24" s="1" t="s">
        <v>1477</v>
      </c>
      <c r="BM24" s="110" t="s">
        <v>1436</v>
      </c>
      <c r="BN24" s="1" t="s">
        <v>1438</v>
      </c>
      <c r="BR24" s="1" t="s">
        <v>2040</v>
      </c>
      <c r="BS24" s="1" t="s">
        <v>2058</v>
      </c>
      <c r="BT24" s="1" t="s">
        <v>2059</v>
      </c>
      <c r="BU24" s="1" t="s">
        <v>2029</v>
      </c>
      <c r="BV24" s="1" t="s">
        <v>2060</v>
      </c>
    </row>
    <row r="25" spans="1:74">
      <c r="A25" s="29" t="s">
        <v>1649</v>
      </c>
      <c r="B25" s="29" t="s">
        <v>1763</v>
      </c>
      <c r="C25" s="29" t="s">
        <v>1650</v>
      </c>
      <c r="D25" s="32" t="s">
        <v>1649</v>
      </c>
      <c r="E25" s="23" t="s">
        <v>1593</v>
      </c>
      <c r="G25" s="30" t="s">
        <v>128</v>
      </c>
      <c r="H25" s="30" t="s">
        <v>283</v>
      </c>
      <c r="I25" s="30" t="s">
        <v>137</v>
      </c>
      <c r="J25" s="23"/>
      <c r="L25" s="12" t="s">
        <v>1258</v>
      </c>
      <c r="M25" s="12" t="s">
        <v>512</v>
      </c>
      <c r="N25" s="12">
        <v>100760</v>
      </c>
      <c r="O25" s="12" t="s">
        <v>1338</v>
      </c>
      <c r="P25" s="12" t="s">
        <v>1259</v>
      </c>
      <c r="Q25" s="12"/>
      <c r="S25" s="12" t="s">
        <v>250</v>
      </c>
      <c r="T25" s="12" t="s">
        <v>993</v>
      </c>
      <c r="U25" s="12" t="s">
        <v>249</v>
      </c>
      <c r="V25" s="8" t="s">
        <v>964</v>
      </c>
      <c r="W25" s="8" t="s">
        <v>511</v>
      </c>
      <c r="AC25" s="177" t="s">
        <v>360</v>
      </c>
      <c r="AD25" s="6" t="s">
        <v>1673</v>
      </c>
      <c r="AE25" s="6">
        <v>11012002</v>
      </c>
      <c r="AF25" s="6" t="s">
        <v>943</v>
      </c>
      <c r="AG25" s="6"/>
      <c r="AJ25" s="80" t="s">
        <v>77</v>
      </c>
      <c r="AK25" s="80" t="s">
        <v>1462</v>
      </c>
      <c r="AL25" s="81" t="s">
        <v>1436</v>
      </c>
      <c r="AM25" s="80" t="s">
        <v>1438</v>
      </c>
      <c r="AO25" s="182"/>
      <c r="AP25" s="62"/>
      <c r="AQ25" s="6"/>
      <c r="AR25" s="63"/>
      <c r="AS25" s="8"/>
      <c r="AW25" t="s">
        <v>1029</v>
      </c>
      <c r="AX25" s="73" t="s">
        <v>145</v>
      </c>
      <c r="AY25" s="73"/>
      <c r="AZ25" s="73"/>
      <c r="BG25" s="172" t="s">
        <v>1816</v>
      </c>
      <c r="BH25" s="120" t="s">
        <v>1937</v>
      </c>
      <c r="BI25" s="120" t="s">
        <v>1831</v>
      </c>
      <c r="BJ25" s="1" t="s">
        <v>1462</v>
      </c>
      <c r="BK25" s="108" t="s">
        <v>77</v>
      </c>
      <c r="BL25" s="1" t="s">
        <v>1477</v>
      </c>
      <c r="BM25" s="110" t="s">
        <v>1436</v>
      </c>
      <c r="BN25" s="1" t="s">
        <v>1438</v>
      </c>
      <c r="BR25" s="1" t="s">
        <v>2040</v>
      </c>
      <c r="BS25" s="1" t="s">
        <v>2061</v>
      </c>
      <c r="BT25" s="1" t="s">
        <v>2062</v>
      </c>
      <c r="BU25" s="1" t="s">
        <v>2029</v>
      </c>
      <c r="BV25" s="1" t="s">
        <v>2063</v>
      </c>
    </row>
    <row r="26" spans="1:74">
      <c r="A26" s="29" t="s">
        <v>1651</v>
      </c>
      <c r="B26" s="29" t="s">
        <v>1651</v>
      </c>
      <c r="C26" s="29" t="s">
        <v>1652</v>
      </c>
      <c r="D26" s="32" t="s">
        <v>1651</v>
      </c>
      <c r="E26" s="23" t="s">
        <v>1594</v>
      </c>
      <c r="G26" s="31" t="s">
        <v>1027</v>
      </c>
      <c r="H26" s="31" t="s">
        <v>284</v>
      </c>
      <c r="I26" s="31" t="s">
        <v>138</v>
      </c>
      <c r="J26" s="25" t="s">
        <v>154</v>
      </c>
      <c r="L26" s="12" t="s">
        <v>1259</v>
      </c>
      <c r="M26" s="12" t="s">
        <v>512</v>
      </c>
      <c r="N26" s="12">
        <v>100760</v>
      </c>
      <c r="O26" s="12" t="s">
        <v>1338</v>
      </c>
      <c r="P26" s="12" t="s">
        <v>1259</v>
      </c>
      <c r="Q26" s="12"/>
      <c r="S26" s="12" t="s">
        <v>256</v>
      </c>
      <c r="T26" s="12" t="s">
        <v>994</v>
      </c>
      <c r="U26" s="12" t="s">
        <v>255</v>
      </c>
      <c r="V26" s="8" t="s">
        <v>1059</v>
      </c>
      <c r="W26" s="8" t="s">
        <v>1060</v>
      </c>
      <c r="AC26" s="179"/>
      <c r="AD26" s="6"/>
      <c r="AE26" s="6">
        <v>11012003</v>
      </c>
      <c r="AF26" s="6" t="s">
        <v>94</v>
      </c>
      <c r="AG26" s="6"/>
      <c r="AJ26" s="80" t="s">
        <v>1463</v>
      </c>
      <c r="AK26" s="80" t="s">
        <v>1464</v>
      </c>
      <c r="AL26" s="81" t="s">
        <v>1436</v>
      </c>
      <c r="AM26" s="80" t="s">
        <v>1438</v>
      </c>
      <c r="AO26" s="183" t="s">
        <v>373</v>
      </c>
      <c r="AP26" s="60" t="s">
        <v>1519</v>
      </c>
      <c r="AQ26" s="61" t="s">
        <v>1705</v>
      </c>
      <c r="AR26" s="61" t="s">
        <v>1706</v>
      </c>
      <c r="AS26" s="85" t="s">
        <v>1707</v>
      </c>
      <c r="AW26" t="s">
        <v>145</v>
      </c>
      <c r="AX26" s="73" t="s">
        <v>145</v>
      </c>
      <c r="AY26" s="73"/>
      <c r="AZ26" s="73"/>
      <c r="BG26" s="172" t="s">
        <v>1816</v>
      </c>
      <c r="BH26" s="120" t="s">
        <v>1938</v>
      </c>
      <c r="BI26" s="120" t="s">
        <v>1832</v>
      </c>
      <c r="BJ26" s="1" t="s">
        <v>1464</v>
      </c>
      <c r="BK26" s="108" t="s">
        <v>1463</v>
      </c>
      <c r="BL26" s="1" t="s">
        <v>1477</v>
      </c>
      <c r="BM26" s="110" t="s">
        <v>1436</v>
      </c>
      <c r="BN26" s="1" t="s">
        <v>1438</v>
      </c>
      <c r="BR26" s="1" t="s">
        <v>1398</v>
      </c>
      <c r="BS26" s="1" t="s">
        <v>154</v>
      </c>
      <c r="BT26" s="1" t="s">
        <v>2064</v>
      </c>
      <c r="BU26" s="1" t="s">
        <v>2029</v>
      </c>
      <c r="BV26" s="1" t="s">
        <v>2065</v>
      </c>
    </row>
    <row r="27" spans="1:74">
      <c r="A27" s="29" t="s">
        <v>1653</v>
      </c>
      <c r="B27" s="29" t="s">
        <v>1653</v>
      </c>
      <c r="C27" s="29" t="s">
        <v>1654</v>
      </c>
      <c r="D27" s="32" t="s">
        <v>1653</v>
      </c>
      <c r="E27" s="23" t="s">
        <v>1595</v>
      </c>
      <c r="G27" s="191" t="s">
        <v>595</v>
      </c>
      <c r="H27" s="192"/>
      <c r="I27" s="192"/>
      <c r="J27" s="193"/>
      <c r="L27" s="12" t="s">
        <v>1260</v>
      </c>
      <c r="M27" s="12" t="s">
        <v>1305</v>
      </c>
      <c r="N27" s="12">
        <v>100760</v>
      </c>
      <c r="O27" s="12" t="s">
        <v>1338</v>
      </c>
      <c r="P27" s="12" t="s">
        <v>1344</v>
      </c>
      <c r="Q27" s="12"/>
      <c r="S27" s="12" t="s">
        <v>226</v>
      </c>
      <c r="T27" s="12"/>
      <c r="U27" s="12" t="s">
        <v>225</v>
      </c>
      <c r="V27" s="8" t="s">
        <v>1061</v>
      </c>
      <c r="W27" s="8" t="s">
        <v>1062</v>
      </c>
      <c r="AC27" s="6" t="s">
        <v>361</v>
      </c>
      <c r="AD27" s="6" t="s">
        <v>1674</v>
      </c>
      <c r="AE27" s="6">
        <v>11012030</v>
      </c>
      <c r="AF27" s="6" t="s">
        <v>944</v>
      </c>
      <c r="AG27" s="6"/>
      <c r="AJ27" s="80" t="s">
        <v>1465</v>
      </c>
      <c r="AK27" s="80" t="s">
        <v>1466</v>
      </c>
      <c r="AL27" s="81" t="s">
        <v>1436</v>
      </c>
      <c r="AM27" s="80" t="s">
        <v>1438</v>
      </c>
      <c r="AO27" s="184"/>
      <c r="AP27" s="60" t="s">
        <v>1504</v>
      </c>
      <c r="AQ27" s="61" t="s">
        <v>1708</v>
      </c>
      <c r="AR27" s="61" t="s">
        <v>1709</v>
      </c>
      <c r="AS27" s="85" t="s">
        <v>1707</v>
      </c>
      <c r="AW27" t="s">
        <v>331</v>
      </c>
      <c r="AX27" s="73" t="s">
        <v>1417</v>
      </c>
      <c r="AY27" s="73"/>
      <c r="AZ27" s="73"/>
      <c r="BG27" s="172" t="s">
        <v>1816</v>
      </c>
      <c r="BH27" s="120" t="s">
        <v>1939</v>
      </c>
      <c r="BI27" s="120" t="s">
        <v>1833</v>
      </c>
      <c r="BJ27" s="1" t="s">
        <v>1466</v>
      </c>
      <c r="BK27" s="108" t="s">
        <v>1465</v>
      </c>
      <c r="BL27" s="1" t="s">
        <v>1477</v>
      </c>
      <c r="BM27" s="110" t="s">
        <v>1436</v>
      </c>
      <c r="BN27" s="1" t="s">
        <v>1438</v>
      </c>
    </row>
    <row r="28" spans="1:74">
      <c r="A28" s="29" t="s">
        <v>1655</v>
      </c>
      <c r="B28" s="29" t="s">
        <v>1764</v>
      </c>
      <c r="C28" s="29" t="s">
        <v>1656</v>
      </c>
      <c r="D28" s="32" t="s">
        <v>1655</v>
      </c>
      <c r="E28" s="23" t="s">
        <v>1596</v>
      </c>
      <c r="G28" s="27" t="s">
        <v>390</v>
      </c>
      <c r="H28" s="27" t="s">
        <v>139</v>
      </c>
      <c r="I28" s="27" t="s">
        <v>353</v>
      </c>
      <c r="J28" s="28" t="s">
        <v>121</v>
      </c>
      <c r="L28" s="12" t="s">
        <v>1261</v>
      </c>
      <c r="M28" s="12" t="s">
        <v>741</v>
      </c>
      <c r="N28" s="12">
        <v>100760</v>
      </c>
      <c r="O28" s="12" t="s">
        <v>1338</v>
      </c>
      <c r="P28" s="12" t="s">
        <v>1345</v>
      </c>
      <c r="Q28" s="12"/>
      <c r="S28" s="12" t="s">
        <v>159</v>
      </c>
      <c r="T28" s="12" t="s">
        <v>460</v>
      </c>
      <c r="U28" s="12" t="s">
        <v>158</v>
      </c>
      <c r="V28" s="8" t="s">
        <v>1063</v>
      </c>
      <c r="W28" s="8" t="s">
        <v>1064</v>
      </c>
      <c r="AC28" s="188" t="s">
        <v>933</v>
      </c>
      <c r="AD28" s="6" t="s">
        <v>1664</v>
      </c>
      <c r="AE28" s="57" t="s">
        <v>41</v>
      </c>
      <c r="AF28" s="6" t="s">
        <v>42</v>
      </c>
      <c r="AG28" s="6"/>
      <c r="AJ28" s="80" t="s">
        <v>1467</v>
      </c>
      <c r="AK28" s="80" t="s">
        <v>1468</v>
      </c>
      <c r="AL28" s="81" t="s">
        <v>1436</v>
      </c>
      <c r="AM28" s="80" t="s">
        <v>1438</v>
      </c>
      <c r="AO28" s="184"/>
      <c r="AP28" s="62"/>
      <c r="AQ28" s="6"/>
      <c r="AR28" s="63"/>
      <c r="AS28" s="8"/>
      <c r="AW28" t="s">
        <v>1418</v>
      </c>
      <c r="AX28" s="73" t="s">
        <v>1418</v>
      </c>
      <c r="AY28" s="73"/>
      <c r="AZ28" s="73"/>
      <c r="BG28" s="172" t="s">
        <v>1816</v>
      </c>
      <c r="BH28" s="120" t="s">
        <v>1940</v>
      </c>
      <c r="BI28" s="120" t="s">
        <v>1834</v>
      </c>
      <c r="BJ28" s="1" t="s">
        <v>1468</v>
      </c>
      <c r="BK28" s="108" t="s">
        <v>1467</v>
      </c>
      <c r="BL28" s="1" t="s">
        <v>1477</v>
      </c>
      <c r="BM28" s="110" t="s">
        <v>1436</v>
      </c>
      <c r="BN28" s="1" t="s">
        <v>1438</v>
      </c>
    </row>
    <row r="29" spans="1:74">
      <c r="A29" s="29" t="s">
        <v>1657</v>
      </c>
      <c r="B29" s="29" t="s">
        <v>1765</v>
      </c>
      <c r="C29" s="29" t="s">
        <v>1658</v>
      </c>
      <c r="D29" s="32" t="s">
        <v>1657</v>
      </c>
      <c r="E29" s="23" t="s">
        <v>1597</v>
      </c>
      <c r="G29" s="33" t="s">
        <v>596</v>
      </c>
      <c r="H29" s="33" t="s">
        <v>10</v>
      </c>
      <c r="I29" s="33" t="s">
        <v>597</v>
      </c>
      <c r="J29" s="33" t="s">
        <v>598</v>
      </c>
      <c r="L29" s="12" t="s">
        <v>1262</v>
      </c>
      <c r="M29" s="12" t="s">
        <v>513</v>
      </c>
      <c r="N29" s="12">
        <v>100760</v>
      </c>
      <c r="O29" s="12" t="s">
        <v>1338</v>
      </c>
      <c r="P29" s="12" t="s">
        <v>1346</v>
      </c>
      <c r="Q29" s="12"/>
      <c r="S29" s="12" t="s">
        <v>181</v>
      </c>
      <c r="T29" s="12" t="s">
        <v>436</v>
      </c>
      <c r="U29" s="12" t="s">
        <v>180</v>
      </c>
      <c r="V29" s="8" t="s">
        <v>1065</v>
      </c>
      <c r="W29" s="8" t="s">
        <v>1066</v>
      </c>
      <c r="AC29" s="189"/>
      <c r="AD29" s="6" t="s">
        <v>1680</v>
      </c>
      <c r="AE29" s="57" t="s">
        <v>340</v>
      </c>
      <c r="AF29" s="6" t="s">
        <v>366</v>
      </c>
      <c r="AG29" s="6"/>
      <c r="AJ29" s="80" t="s">
        <v>1469</v>
      </c>
      <c r="AK29" s="80" t="s">
        <v>1470</v>
      </c>
      <c r="AL29" s="81" t="s">
        <v>1436</v>
      </c>
      <c r="AM29" s="80" t="s">
        <v>1438</v>
      </c>
      <c r="AO29" s="184"/>
      <c r="AP29" s="62"/>
      <c r="AQ29" s="6"/>
      <c r="AR29" s="63"/>
      <c r="AS29" s="8"/>
      <c r="AW29" t="s">
        <v>334</v>
      </c>
      <c r="AX29" s="73" t="s">
        <v>327</v>
      </c>
      <c r="AY29" s="73"/>
      <c r="AZ29" s="73"/>
      <c r="BG29" s="172" t="s">
        <v>1816</v>
      </c>
      <c r="BH29" s="120" t="s">
        <v>1941</v>
      </c>
      <c r="BI29" s="120" t="s">
        <v>1835</v>
      </c>
      <c r="BJ29" s="1" t="s">
        <v>1470</v>
      </c>
      <c r="BK29" s="108" t="s">
        <v>1469</v>
      </c>
      <c r="BL29" s="1" t="s">
        <v>1477</v>
      </c>
      <c r="BM29" s="110" t="s">
        <v>1436</v>
      </c>
      <c r="BN29" s="1" t="s">
        <v>1438</v>
      </c>
    </row>
    <row r="30" spans="1:74">
      <c r="A30" s="29" t="s">
        <v>1659</v>
      </c>
      <c r="B30" s="29" t="s">
        <v>1766</v>
      </c>
      <c r="C30" s="29" t="s">
        <v>1660</v>
      </c>
      <c r="D30" s="32" t="s">
        <v>1659</v>
      </c>
      <c r="E30" s="23" t="s">
        <v>1598</v>
      </c>
      <c r="G30" s="33" t="s">
        <v>599</v>
      </c>
      <c r="H30" s="33" t="s">
        <v>1308</v>
      </c>
      <c r="I30" s="33" t="s">
        <v>600</v>
      </c>
      <c r="J30" s="33" t="s">
        <v>45</v>
      </c>
      <c r="L30" s="12" t="s">
        <v>1263</v>
      </c>
      <c r="M30" s="12" t="s">
        <v>510</v>
      </c>
      <c r="N30" s="12">
        <v>100760</v>
      </c>
      <c r="O30" s="12" t="s">
        <v>1338</v>
      </c>
      <c r="P30" s="12" t="s">
        <v>1347</v>
      </c>
      <c r="Q30" s="12"/>
      <c r="S30" s="12" t="s">
        <v>173</v>
      </c>
      <c r="T30" s="12"/>
      <c r="U30" s="12" t="s">
        <v>172</v>
      </c>
      <c r="V30" s="8" t="s">
        <v>1067</v>
      </c>
      <c r="W30" s="8" t="s">
        <v>966</v>
      </c>
      <c r="AC30" s="190"/>
      <c r="AD30" s="6" t="s">
        <v>1681</v>
      </c>
      <c r="AE30" s="57" t="s">
        <v>934</v>
      </c>
      <c r="AF30" s="6" t="s">
        <v>99</v>
      </c>
      <c r="AG30" s="6"/>
      <c r="AJ30" s="80" t="s">
        <v>1471</v>
      </c>
      <c r="AK30" s="80" t="s">
        <v>1472</v>
      </c>
      <c r="AL30" s="81" t="s">
        <v>1436</v>
      </c>
      <c r="AM30" s="80" t="s">
        <v>1438</v>
      </c>
      <c r="AO30" s="184"/>
      <c r="AP30" s="62"/>
      <c r="AQ30" s="6"/>
      <c r="AR30" s="63"/>
      <c r="AS30" s="8"/>
      <c r="AW30" t="s">
        <v>1030</v>
      </c>
      <c r="AX30" s="73" t="s">
        <v>328</v>
      </c>
      <c r="AY30" s="73"/>
      <c r="AZ30" s="73"/>
      <c r="BG30" s="172" t="s">
        <v>1816</v>
      </c>
      <c r="BH30" s="120" t="s">
        <v>1942</v>
      </c>
      <c r="BI30" s="120" t="s">
        <v>1836</v>
      </c>
      <c r="BJ30" s="1" t="s">
        <v>1472</v>
      </c>
      <c r="BK30" s="108" t="s">
        <v>1471</v>
      </c>
      <c r="BL30" s="1" t="s">
        <v>1477</v>
      </c>
      <c r="BM30" s="110" t="s">
        <v>1436</v>
      </c>
      <c r="BN30" s="1" t="s">
        <v>1438</v>
      </c>
    </row>
    <row r="31" spans="1:74">
      <c r="A31" s="29"/>
      <c r="B31" s="29"/>
      <c r="C31" s="29"/>
      <c r="D31" s="32"/>
      <c r="E31" s="23"/>
      <c r="G31" s="33" t="s">
        <v>601</v>
      </c>
      <c r="H31" s="33" t="s">
        <v>11</v>
      </c>
      <c r="I31" s="33" t="s">
        <v>602</v>
      </c>
      <c r="J31" s="33" t="s">
        <v>598</v>
      </c>
      <c r="L31" s="12" t="s">
        <v>1264</v>
      </c>
      <c r="M31" s="12" t="s">
        <v>742</v>
      </c>
      <c r="N31" s="12">
        <v>100760</v>
      </c>
      <c r="O31" s="12" t="s">
        <v>1338</v>
      </c>
      <c r="P31" s="12" t="s">
        <v>1348</v>
      </c>
      <c r="Q31" s="12"/>
      <c r="S31" s="12" t="s">
        <v>472</v>
      </c>
      <c r="T31" s="12" t="s">
        <v>995</v>
      </c>
      <c r="U31" s="12" t="s">
        <v>473</v>
      </c>
      <c r="V31" s="8" t="s">
        <v>1068</v>
      </c>
      <c r="W31" s="8" t="s">
        <v>1069</v>
      </c>
      <c r="AC31" s="177" t="s">
        <v>369</v>
      </c>
      <c r="AD31" s="6"/>
      <c r="AE31" s="57" t="s">
        <v>39</v>
      </c>
      <c r="AF31" s="6" t="s">
        <v>40</v>
      </c>
      <c r="AG31" s="6"/>
      <c r="AJ31" s="81" t="s">
        <v>1473</v>
      </c>
      <c r="AK31" s="80" t="s">
        <v>1474</v>
      </c>
      <c r="AL31" s="81" t="s">
        <v>1436</v>
      </c>
      <c r="AM31" s="80" t="s">
        <v>1438</v>
      </c>
      <c r="AO31" s="184"/>
      <c r="AP31" s="62"/>
      <c r="AQ31" s="6"/>
      <c r="AR31" s="63"/>
      <c r="AS31" s="8"/>
      <c r="AW31" t="s">
        <v>328</v>
      </c>
      <c r="AX31" s="73" t="s">
        <v>328</v>
      </c>
      <c r="AY31" s="73"/>
      <c r="AZ31" s="73"/>
      <c r="BG31" s="172" t="s">
        <v>1816</v>
      </c>
      <c r="BH31" s="131" t="s">
        <v>2066</v>
      </c>
      <c r="BI31" s="117" t="s">
        <v>1898</v>
      </c>
      <c r="BJ31" s="1" t="s">
        <v>1474</v>
      </c>
      <c r="BK31" s="108" t="s">
        <v>1899</v>
      </c>
      <c r="BL31" s="1" t="s">
        <v>1477</v>
      </c>
      <c r="BM31" s="110" t="s">
        <v>1436</v>
      </c>
      <c r="BN31" s="1" t="s">
        <v>1438</v>
      </c>
      <c r="BP31" s="1" t="s">
        <v>1837</v>
      </c>
    </row>
    <row r="32" spans="1:74">
      <c r="A32" s="29"/>
      <c r="B32" s="29"/>
      <c r="C32" s="29"/>
      <c r="D32" s="32"/>
      <c r="E32" s="23"/>
      <c r="G32" s="33" t="s">
        <v>603</v>
      </c>
      <c r="H32" s="33" t="s">
        <v>12</v>
      </c>
      <c r="I32" s="33" t="s">
        <v>604</v>
      </c>
      <c r="J32" s="34" t="s">
        <v>598</v>
      </c>
      <c r="L32" s="12" t="s">
        <v>1265</v>
      </c>
      <c r="M32" s="12" t="s">
        <v>115</v>
      </c>
      <c r="N32" s="12">
        <v>100760</v>
      </c>
      <c r="O32" s="12" t="s">
        <v>1338</v>
      </c>
      <c r="P32" s="12" t="s">
        <v>1265</v>
      </c>
      <c r="Q32" s="12"/>
      <c r="S32" s="12" t="s">
        <v>467</v>
      </c>
      <c r="T32" s="12"/>
      <c r="U32" s="12" t="s">
        <v>468</v>
      </c>
      <c r="V32" s="8" t="s">
        <v>1070</v>
      </c>
      <c r="W32" s="8" t="s">
        <v>1071</v>
      </c>
      <c r="AC32" s="178"/>
      <c r="AD32" s="6"/>
      <c r="AE32" s="57" t="s">
        <v>35</v>
      </c>
      <c r="AF32" s="6" t="s">
        <v>36</v>
      </c>
      <c r="AG32" s="6"/>
      <c r="AJ32" s="80" t="s">
        <v>1475</v>
      </c>
      <c r="AK32" s="80" t="s">
        <v>1476</v>
      </c>
      <c r="AL32" s="81" t="s">
        <v>1436</v>
      </c>
      <c r="AM32" s="80" t="s">
        <v>1438</v>
      </c>
      <c r="AO32" s="184"/>
      <c r="AP32" s="62"/>
      <c r="AQ32" s="6"/>
      <c r="AR32" s="63"/>
      <c r="AS32" s="8"/>
      <c r="AW32" t="s">
        <v>336</v>
      </c>
      <c r="AX32" s="73" t="s">
        <v>336</v>
      </c>
      <c r="AY32" s="73"/>
      <c r="AZ32" s="73"/>
      <c r="BG32" s="172" t="s">
        <v>2068</v>
      </c>
      <c r="BH32" s="120" t="s">
        <v>1943</v>
      </c>
      <c r="BI32" s="120" t="s">
        <v>2067</v>
      </c>
      <c r="BJ32" s="1" t="s">
        <v>1476</v>
      </c>
      <c r="BK32" s="108" t="s">
        <v>1838</v>
      </c>
      <c r="BL32" s="1" t="s">
        <v>1477</v>
      </c>
      <c r="BM32" s="110" t="s">
        <v>1436</v>
      </c>
      <c r="BN32" s="1" t="s">
        <v>1438</v>
      </c>
    </row>
    <row r="33" spans="1:68">
      <c r="A33" s="29"/>
      <c r="B33" s="29"/>
      <c r="C33" s="29"/>
      <c r="D33" s="32"/>
      <c r="E33" s="23"/>
      <c r="G33" s="33" t="s">
        <v>605</v>
      </c>
      <c r="H33" s="33" t="s">
        <v>13</v>
      </c>
      <c r="I33" s="33" t="s">
        <v>606</v>
      </c>
      <c r="J33" s="33" t="s">
        <v>598</v>
      </c>
      <c r="L33" s="12" t="s">
        <v>1266</v>
      </c>
      <c r="M33" s="12" t="s">
        <v>743</v>
      </c>
      <c r="N33" s="12">
        <v>100760</v>
      </c>
      <c r="O33" s="12" t="s">
        <v>1338</v>
      </c>
      <c r="P33" s="12" t="s">
        <v>1269</v>
      </c>
      <c r="Q33" s="12"/>
      <c r="S33" s="12" t="s">
        <v>478</v>
      </c>
      <c r="T33" s="12"/>
      <c r="U33" s="12" t="s">
        <v>479</v>
      </c>
      <c r="V33" s="8" t="s">
        <v>1072</v>
      </c>
      <c r="W33" s="8" t="s">
        <v>1073</v>
      </c>
      <c r="AC33" s="178"/>
      <c r="AD33" s="6" t="s">
        <v>1682</v>
      </c>
      <c r="AE33" s="57" t="s">
        <v>37</v>
      </c>
      <c r="AF33" s="6" t="s">
        <v>38</v>
      </c>
      <c r="AG33" s="58" t="s">
        <v>493</v>
      </c>
      <c r="AJ33" s="80" t="s">
        <v>1477</v>
      </c>
      <c r="AK33" s="80" t="s">
        <v>1478</v>
      </c>
      <c r="AL33" s="81" t="s">
        <v>1436</v>
      </c>
      <c r="AM33" s="80" t="s">
        <v>1438</v>
      </c>
      <c r="AO33" s="184"/>
      <c r="AP33" s="62"/>
      <c r="AQ33" s="6"/>
      <c r="AR33" s="63"/>
      <c r="AS33" s="8"/>
      <c r="AW33" t="s">
        <v>1419</v>
      </c>
      <c r="AX33" t="s">
        <v>336</v>
      </c>
      <c r="BG33" s="172"/>
      <c r="BJ33" s="114" t="s">
        <v>1478</v>
      </c>
      <c r="BK33" s="113" t="s">
        <v>1477</v>
      </c>
      <c r="BL33" s="114" t="s">
        <v>1477</v>
      </c>
      <c r="BM33" s="115" t="s">
        <v>1436</v>
      </c>
      <c r="BN33" s="114" t="s">
        <v>1438</v>
      </c>
      <c r="BO33" s="116" t="s">
        <v>1839</v>
      </c>
    </row>
    <row r="34" spans="1:68">
      <c r="A34" s="29"/>
      <c r="B34" s="29"/>
      <c r="C34" s="29"/>
      <c r="D34" s="32"/>
      <c r="E34" s="23"/>
      <c r="G34" s="33" t="s">
        <v>351</v>
      </c>
      <c r="H34" s="33" t="s">
        <v>14</v>
      </c>
      <c r="I34" s="33" t="s">
        <v>607</v>
      </c>
      <c r="J34" s="33" t="s">
        <v>608</v>
      </c>
      <c r="L34" s="12" t="s">
        <v>1267</v>
      </c>
      <c r="M34" s="12" t="s">
        <v>515</v>
      </c>
      <c r="N34" s="12">
        <v>100760</v>
      </c>
      <c r="O34" s="12" t="s">
        <v>1338</v>
      </c>
      <c r="P34" s="12" t="s">
        <v>1349</v>
      </c>
      <c r="Q34" s="12"/>
      <c r="S34" s="12" t="s">
        <v>815</v>
      </c>
      <c r="T34" s="12" t="s">
        <v>440</v>
      </c>
      <c r="U34" s="12" t="s">
        <v>441</v>
      </c>
      <c r="V34" s="8" t="s">
        <v>948</v>
      </c>
      <c r="W34" s="8" t="s">
        <v>103</v>
      </c>
      <c r="AC34" s="178"/>
      <c r="AD34" s="6" t="s">
        <v>1688</v>
      </c>
      <c r="AE34" s="57" t="s">
        <v>341</v>
      </c>
      <c r="AF34" s="6" t="s">
        <v>367</v>
      </c>
      <c r="AG34" s="6"/>
      <c r="AJ34" s="80" t="s">
        <v>1479</v>
      </c>
      <c r="AK34" s="80" t="s">
        <v>1478</v>
      </c>
      <c r="AL34" s="81" t="s">
        <v>1436</v>
      </c>
      <c r="AM34" s="80" t="s">
        <v>1438</v>
      </c>
      <c r="AO34" s="184"/>
      <c r="AP34" s="62"/>
      <c r="AQ34" s="6"/>
      <c r="AR34" s="63"/>
      <c r="AS34" s="8"/>
      <c r="AW34" t="s">
        <v>1420</v>
      </c>
      <c r="AX34" t="s">
        <v>336</v>
      </c>
      <c r="BG34" s="172"/>
      <c r="BJ34" s="114" t="s">
        <v>1478</v>
      </c>
      <c r="BK34" s="113" t="s">
        <v>1479</v>
      </c>
      <c r="BL34" s="114" t="s">
        <v>1477</v>
      </c>
      <c r="BM34" s="115" t="s">
        <v>1436</v>
      </c>
      <c r="BN34" s="114" t="s">
        <v>1438</v>
      </c>
      <c r="BO34" s="116" t="s">
        <v>1839</v>
      </c>
    </row>
    <row r="35" spans="1:68">
      <c r="A35" s="29"/>
      <c r="B35" s="29"/>
      <c r="C35" s="29"/>
      <c r="D35" s="32"/>
      <c r="E35" s="23"/>
      <c r="G35" s="33" t="s">
        <v>609</v>
      </c>
      <c r="H35" s="33" t="s">
        <v>610</v>
      </c>
      <c r="I35" s="33" t="s">
        <v>611</v>
      </c>
      <c r="J35" s="33"/>
      <c r="L35" s="12" t="s">
        <v>1268</v>
      </c>
      <c r="M35" s="12" t="s">
        <v>1242</v>
      </c>
      <c r="N35" s="12">
        <v>100760</v>
      </c>
      <c r="O35" s="12" t="s">
        <v>1338</v>
      </c>
      <c r="P35" s="12" t="s">
        <v>1350</v>
      </c>
      <c r="Q35" s="12"/>
      <c r="S35" s="12" t="s">
        <v>482</v>
      </c>
      <c r="T35" s="12" t="s">
        <v>418</v>
      </c>
      <c r="U35" s="12" t="s">
        <v>482</v>
      </c>
      <c r="V35" s="8" t="s">
        <v>947</v>
      </c>
      <c r="W35" s="8" t="s">
        <v>104</v>
      </c>
      <c r="AC35" s="178"/>
      <c r="AD35" s="6" t="s">
        <v>1687</v>
      </c>
      <c r="AE35" s="57" t="s">
        <v>342</v>
      </c>
      <c r="AF35" s="6" t="s">
        <v>368</v>
      </c>
      <c r="AG35" s="58" t="s">
        <v>493</v>
      </c>
      <c r="AJ35" s="80" t="s">
        <v>1480</v>
      </c>
      <c r="AK35" s="80" t="s">
        <v>1481</v>
      </c>
      <c r="AL35" s="81" t="s">
        <v>1436</v>
      </c>
      <c r="AM35" s="80" t="s">
        <v>1438</v>
      </c>
      <c r="AO35" s="184"/>
      <c r="AP35" s="62"/>
      <c r="AQ35" s="6"/>
      <c r="AR35" s="63"/>
      <c r="AS35" s="8"/>
      <c r="AW35" t="s">
        <v>1421</v>
      </c>
      <c r="AX35" t="s">
        <v>336</v>
      </c>
      <c r="BG35" s="172" t="s">
        <v>1816</v>
      </c>
      <c r="BH35" s="120" t="s">
        <v>1944</v>
      </c>
      <c r="BI35" s="120" t="s">
        <v>1840</v>
      </c>
      <c r="BJ35" s="1" t="s">
        <v>1481</v>
      </c>
      <c r="BK35" s="108" t="s">
        <v>1480</v>
      </c>
      <c r="BL35" s="1" t="s">
        <v>1477</v>
      </c>
      <c r="BM35" s="110" t="s">
        <v>1436</v>
      </c>
      <c r="BN35" s="1" t="s">
        <v>1438</v>
      </c>
    </row>
    <row r="36" spans="1:68">
      <c r="A36" s="29"/>
      <c r="B36" s="29"/>
      <c r="C36" s="29"/>
      <c r="D36" s="32"/>
      <c r="E36" s="23"/>
      <c r="G36" s="33" t="s">
        <v>612</v>
      </c>
      <c r="H36" s="33" t="s">
        <v>610</v>
      </c>
      <c r="I36" s="33" t="s">
        <v>613</v>
      </c>
      <c r="J36" s="33"/>
      <c r="L36" s="12" t="s">
        <v>1269</v>
      </c>
      <c r="M36" s="12" t="s">
        <v>743</v>
      </c>
      <c r="N36" s="12">
        <v>100760</v>
      </c>
      <c r="O36" s="12" t="s">
        <v>1338</v>
      </c>
      <c r="P36" s="12" t="s">
        <v>1269</v>
      </c>
      <c r="Q36" s="12"/>
      <c r="S36" s="12" t="s">
        <v>830</v>
      </c>
      <c r="T36" s="12" t="s">
        <v>434</v>
      </c>
      <c r="U36" s="12" t="s">
        <v>435</v>
      </c>
      <c r="V36" s="8" t="s">
        <v>1074</v>
      </c>
      <c r="W36" s="8" t="s">
        <v>1075</v>
      </c>
      <c r="AC36" s="178"/>
      <c r="AD36" s="6"/>
      <c r="AE36" s="57" t="s">
        <v>46</v>
      </c>
      <c r="AF36" s="6" t="s">
        <v>47</v>
      </c>
      <c r="AG36" s="6"/>
      <c r="AJ36" s="80" t="s">
        <v>1482</v>
      </c>
      <c r="AK36" s="80" t="s">
        <v>1483</v>
      </c>
      <c r="AL36" s="81" t="s">
        <v>1436</v>
      </c>
      <c r="AM36" s="80" t="s">
        <v>1438</v>
      </c>
      <c r="AO36" s="185"/>
      <c r="AP36" s="62"/>
      <c r="AQ36" s="6"/>
      <c r="AR36" s="63"/>
      <c r="AS36" s="8"/>
      <c r="BG36" s="172" t="s">
        <v>1816</v>
      </c>
      <c r="BH36" s="131" t="s">
        <v>1945</v>
      </c>
      <c r="BI36" s="117" t="s">
        <v>1896</v>
      </c>
      <c r="BJ36" s="1" t="s">
        <v>1483</v>
      </c>
      <c r="BK36" s="108" t="s">
        <v>1482</v>
      </c>
      <c r="BL36" s="1" t="s">
        <v>1477</v>
      </c>
      <c r="BM36" s="110" t="s">
        <v>1436</v>
      </c>
      <c r="BN36" s="1" t="s">
        <v>1438</v>
      </c>
      <c r="BP36" s="1" t="s">
        <v>1837</v>
      </c>
    </row>
    <row r="37" spans="1:68">
      <c r="A37" s="29"/>
      <c r="B37" s="29"/>
      <c r="C37" s="29"/>
      <c r="D37" s="32"/>
      <c r="E37" s="23"/>
      <c r="G37" s="33" t="s">
        <v>614</v>
      </c>
      <c r="H37" s="33" t="s">
        <v>610</v>
      </c>
      <c r="I37" s="33" t="s">
        <v>615</v>
      </c>
      <c r="J37" s="33"/>
      <c r="L37" s="12" t="s">
        <v>1270</v>
      </c>
      <c r="M37" s="12" t="s">
        <v>502</v>
      </c>
      <c r="N37" s="12">
        <v>100760</v>
      </c>
      <c r="O37" s="12" t="s">
        <v>1338</v>
      </c>
      <c r="P37" s="12" t="s">
        <v>1351</v>
      </c>
      <c r="Q37" s="12"/>
      <c r="S37" s="12" t="s">
        <v>831</v>
      </c>
      <c r="T37" s="12" t="s">
        <v>443</v>
      </c>
      <c r="U37" s="12" t="s">
        <v>438</v>
      </c>
      <c r="V37" s="8" t="s">
        <v>339</v>
      </c>
      <c r="W37" s="8" t="s">
        <v>954</v>
      </c>
      <c r="AC37" s="178"/>
      <c r="AD37" s="6" t="s">
        <v>1683</v>
      </c>
      <c r="AE37" s="57" t="s">
        <v>43</v>
      </c>
      <c r="AF37" s="6" t="s">
        <v>44</v>
      </c>
      <c r="AG37" s="6"/>
      <c r="AJ37" s="80" t="s">
        <v>1484</v>
      </c>
      <c r="AK37" s="80" t="s">
        <v>1485</v>
      </c>
      <c r="AL37" s="81" t="s">
        <v>1436</v>
      </c>
      <c r="AM37" s="80" t="s">
        <v>1438</v>
      </c>
      <c r="BG37" s="172" t="s">
        <v>1816</v>
      </c>
      <c r="BH37" s="120" t="s">
        <v>1946</v>
      </c>
      <c r="BI37" s="120" t="s">
        <v>1484</v>
      </c>
      <c r="BJ37" s="1" t="s">
        <v>1485</v>
      </c>
      <c r="BK37" s="108" t="s">
        <v>1484</v>
      </c>
      <c r="BL37" s="1" t="s">
        <v>1477</v>
      </c>
      <c r="BM37" s="110" t="s">
        <v>1436</v>
      </c>
      <c r="BN37" s="1" t="s">
        <v>1438</v>
      </c>
      <c r="BO37" s="116" t="s">
        <v>1841</v>
      </c>
      <c r="BP37" s="1" t="s">
        <v>1837</v>
      </c>
    </row>
    <row r="38" spans="1:68">
      <c r="A38" s="29"/>
      <c r="B38" s="29"/>
      <c r="C38" s="29"/>
      <c r="D38" s="32"/>
      <c r="E38" s="23"/>
      <c r="G38" s="33" t="s">
        <v>616</v>
      </c>
      <c r="H38" s="33" t="s">
        <v>610</v>
      </c>
      <c r="I38" s="33" t="s">
        <v>617</v>
      </c>
      <c r="J38" s="33"/>
      <c r="L38" s="12" t="s">
        <v>1410</v>
      </c>
      <c r="M38" s="12" t="s">
        <v>1770</v>
      </c>
      <c r="N38" s="12">
        <v>100760</v>
      </c>
      <c r="O38" s="12" t="s">
        <v>1338</v>
      </c>
      <c r="P38" s="12" t="s">
        <v>1409</v>
      </c>
      <c r="Q38" s="12"/>
      <c r="S38" s="12" t="s">
        <v>243</v>
      </c>
      <c r="T38" s="12"/>
      <c r="U38" s="12" t="s">
        <v>242</v>
      </c>
      <c r="V38" s="8" t="s">
        <v>980</v>
      </c>
      <c r="W38" s="8" t="s">
        <v>1076</v>
      </c>
      <c r="AC38" s="179"/>
      <c r="AD38" s="6"/>
      <c r="AE38" s="57" t="s">
        <v>48</v>
      </c>
      <c r="AF38" s="6" t="s">
        <v>49</v>
      </c>
      <c r="AG38" s="6"/>
      <c r="AJ38" s="80" t="s">
        <v>1486</v>
      </c>
      <c r="AK38" s="80" t="s">
        <v>1487</v>
      </c>
      <c r="AL38" s="81" t="s">
        <v>1488</v>
      </c>
      <c r="AM38" s="80" t="s">
        <v>1489</v>
      </c>
      <c r="BG38" s="172" t="s">
        <v>1816</v>
      </c>
      <c r="BH38" s="120" t="s">
        <v>1947</v>
      </c>
      <c r="BI38" s="120" t="s">
        <v>1842</v>
      </c>
      <c r="BJ38" s="1" t="s">
        <v>1843</v>
      </c>
      <c r="BK38" s="108" t="s">
        <v>1719</v>
      </c>
      <c r="BL38" s="1" t="s">
        <v>1477</v>
      </c>
      <c r="BM38" s="110" t="s">
        <v>1844</v>
      </c>
      <c r="BN38" s="1" t="s">
        <v>1438</v>
      </c>
      <c r="BO38" s="116"/>
    </row>
    <row r="39" spans="1:68">
      <c r="A39" s="29"/>
      <c r="B39" s="29"/>
      <c r="C39" s="29"/>
      <c r="D39" s="32"/>
      <c r="E39" s="23"/>
      <c r="G39" s="33" t="s">
        <v>618</v>
      </c>
      <c r="H39" s="33" t="s">
        <v>610</v>
      </c>
      <c r="I39" s="33" t="s">
        <v>619</v>
      </c>
      <c r="J39" s="33"/>
      <c r="L39" s="12" t="s">
        <v>1769</v>
      </c>
      <c r="M39" s="12" t="s">
        <v>1407</v>
      </c>
      <c r="N39" s="12">
        <v>100760</v>
      </c>
      <c r="O39" s="12" t="s">
        <v>1338</v>
      </c>
      <c r="P39" s="12" t="s">
        <v>1408</v>
      </c>
      <c r="Q39" s="12" t="s">
        <v>1424</v>
      </c>
      <c r="S39" s="12" t="s">
        <v>228</v>
      </c>
      <c r="T39" s="12"/>
      <c r="U39" s="12" t="s">
        <v>227</v>
      </c>
      <c r="V39" s="8" t="s">
        <v>950</v>
      </c>
      <c r="W39" s="8" t="s">
        <v>955</v>
      </c>
      <c r="AC39" s="177" t="s">
        <v>358</v>
      </c>
      <c r="AD39" s="6" t="s">
        <v>1676</v>
      </c>
      <c r="AE39" s="57" t="s">
        <v>87</v>
      </c>
      <c r="AF39" s="6" t="s">
        <v>88</v>
      </c>
      <c r="AG39" s="6"/>
      <c r="AJ39" s="80" t="s">
        <v>50</v>
      </c>
      <c r="AK39" s="80" t="s">
        <v>51</v>
      </c>
      <c r="AL39" s="81" t="s">
        <v>1490</v>
      </c>
      <c r="AM39" s="80" t="s">
        <v>1489</v>
      </c>
      <c r="BG39" s="172" t="s">
        <v>1816</v>
      </c>
      <c r="BH39" s="120" t="s">
        <v>1948</v>
      </c>
      <c r="BI39" s="120" t="s">
        <v>1845</v>
      </c>
      <c r="BJ39" s="1" t="s">
        <v>1487</v>
      </c>
      <c r="BK39" s="108" t="s">
        <v>1486</v>
      </c>
      <c r="BL39" s="110" t="s">
        <v>1992</v>
      </c>
      <c r="BM39" s="110" t="s">
        <v>1488</v>
      </c>
      <c r="BN39" s="1" t="s">
        <v>1489</v>
      </c>
      <c r="BO39" s="118" t="s">
        <v>1846</v>
      </c>
    </row>
    <row r="40" spans="1:68">
      <c r="A40" s="29"/>
      <c r="B40" s="29"/>
      <c r="C40" s="29"/>
      <c r="D40" s="32"/>
      <c r="E40" s="23"/>
      <c r="G40" s="33" t="s">
        <v>620</v>
      </c>
      <c r="H40" s="33" t="s">
        <v>610</v>
      </c>
      <c r="I40" s="33" t="s">
        <v>621</v>
      </c>
      <c r="J40" s="33"/>
      <c r="L40" s="12" t="s">
        <v>496</v>
      </c>
      <c r="M40" s="12" t="s">
        <v>744</v>
      </c>
      <c r="N40" s="12">
        <v>100760</v>
      </c>
      <c r="O40" s="12" t="s">
        <v>1338</v>
      </c>
      <c r="P40" s="12" t="s">
        <v>1352</v>
      </c>
      <c r="Q40" s="12" t="s">
        <v>1353</v>
      </c>
      <c r="S40" s="12" t="s">
        <v>198</v>
      </c>
      <c r="T40" s="12" t="s">
        <v>108</v>
      </c>
      <c r="U40" s="12" t="s">
        <v>446</v>
      </c>
      <c r="V40" s="8" t="s">
        <v>1077</v>
      </c>
      <c r="W40" s="8" t="s">
        <v>957</v>
      </c>
      <c r="AC40" s="178"/>
      <c r="AD40" s="6" t="s">
        <v>90</v>
      </c>
      <c r="AE40" s="57" t="s">
        <v>89</v>
      </c>
      <c r="AF40" s="6" t="s">
        <v>90</v>
      </c>
      <c r="AG40" s="6"/>
      <c r="AJ40" s="80" t="s">
        <v>53</v>
      </c>
      <c r="AK40" s="80" t="s">
        <v>54</v>
      </c>
      <c r="AL40" s="80" t="s">
        <v>1488</v>
      </c>
      <c r="AM40" s="80" t="s">
        <v>1489</v>
      </c>
      <c r="BG40" s="172" t="s">
        <v>1816</v>
      </c>
      <c r="BH40" s="120" t="s">
        <v>1949</v>
      </c>
      <c r="BI40" s="120" t="s">
        <v>1847</v>
      </c>
      <c r="BJ40" s="1" t="s">
        <v>51</v>
      </c>
      <c r="BK40" s="108" t="s">
        <v>50</v>
      </c>
      <c r="BL40" s="110" t="s">
        <v>1992</v>
      </c>
      <c r="BM40" s="110" t="s">
        <v>1490</v>
      </c>
      <c r="BN40" s="1" t="s">
        <v>1489</v>
      </c>
    </row>
    <row r="41" spans="1:68">
      <c r="A41" s="29"/>
      <c r="B41" s="29"/>
      <c r="C41" s="29"/>
      <c r="D41" s="32"/>
      <c r="E41" s="23"/>
      <c r="G41" s="26" t="s">
        <v>622</v>
      </c>
      <c r="H41" s="33" t="s">
        <v>17</v>
      </c>
      <c r="I41" s="26" t="s">
        <v>623</v>
      </c>
      <c r="J41" s="33"/>
      <c r="L41" s="12" t="s">
        <v>151</v>
      </c>
      <c r="M41" s="12" t="s">
        <v>387</v>
      </c>
      <c r="N41" s="12">
        <v>100760</v>
      </c>
      <c r="O41" s="12" t="s">
        <v>1338</v>
      </c>
      <c r="P41" s="12" t="s">
        <v>1354</v>
      </c>
      <c r="Q41" s="12"/>
      <c r="S41" s="12" t="s">
        <v>241</v>
      </c>
      <c r="T41" s="12" t="s">
        <v>996</v>
      </c>
      <c r="U41" s="12" t="s">
        <v>240</v>
      </c>
      <c r="V41" s="8" t="s">
        <v>969</v>
      </c>
      <c r="W41" s="8" t="s">
        <v>972</v>
      </c>
      <c r="AC41" s="179"/>
      <c r="AD41" s="6"/>
      <c r="AE41" s="57" t="s">
        <v>91</v>
      </c>
      <c r="AF41" s="6" t="s">
        <v>343</v>
      </c>
      <c r="AG41" s="6"/>
      <c r="AJ41" s="80" t="s">
        <v>56</v>
      </c>
      <c r="AK41" s="80" t="s">
        <v>57</v>
      </c>
      <c r="AL41" s="80" t="s">
        <v>1488</v>
      </c>
      <c r="AM41" s="80" t="s">
        <v>1489</v>
      </c>
      <c r="AP41" s="73"/>
      <c r="AQ41" s="73"/>
      <c r="AR41" s="73"/>
      <c r="AS41" s="73"/>
      <c r="AT41" s="73"/>
      <c r="BG41" s="172" t="s">
        <v>1800</v>
      </c>
      <c r="BH41" s="120" t="s">
        <v>1950</v>
      </c>
      <c r="BI41" s="120" t="s">
        <v>1848</v>
      </c>
      <c r="BJ41" s="109" t="s">
        <v>1849</v>
      </c>
      <c r="BK41" s="119" t="s">
        <v>1850</v>
      </c>
      <c r="BL41" s="110" t="s">
        <v>1992</v>
      </c>
      <c r="BM41" s="110" t="s">
        <v>1490</v>
      </c>
      <c r="BN41" s="1" t="s">
        <v>1489</v>
      </c>
    </row>
    <row r="42" spans="1:68">
      <c r="A42" s="29"/>
      <c r="B42" s="29"/>
      <c r="C42" s="29"/>
      <c r="D42" s="32"/>
      <c r="E42" s="23"/>
      <c r="G42" s="35" t="s">
        <v>624</v>
      </c>
      <c r="H42" s="33" t="s">
        <v>17</v>
      </c>
      <c r="I42" s="35" t="s">
        <v>625</v>
      </c>
      <c r="J42" s="33"/>
      <c r="L42" s="12" t="s">
        <v>1271</v>
      </c>
      <c r="M42" s="12" t="s">
        <v>387</v>
      </c>
      <c r="N42" s="12">
        <v>100760</v>
      </c>
      <c r="O42" s="12" t="s">
        <v>1338</v>
      </c>
      <c r="P42" s="12" t="s">
        <v>1354</v>
      </c>
      <c r="Q42" s="12" t="s">
        <v>1355</v>
      </c>
      <c r="S42" s="12" t="s">
        <v>453</v>
      </c>
      <c r="T42" s="12"/>
      <c r="U42" s="12" t="s">
        <v>454</v>
      </c>
      <c r="V42" s="8" t="s">
        <v>971</v>
      </c>
      <c r="W42" s="8" t="s">
        <v>975</v>
      </c>
      <c r="AC42" s="177" t="s">
        <v>410</v>
      </c>
      <c r="AD42" s="6"/>
      <c r="AE42" s="57" t="s">
        <v>27</v>
      </c>
      <c r="AF42" s="6" t="s">
        <v>28</v>
      </c>
      <c r="AG42" s="6"/>
      <c r="AJ42" s="80" t="s">
        <v>59</v>
      </c>
      <c r="AK42" s="80" t="s">
        <v>60</v>
      </c>
      <c r="AL42" s="80" t="s">
        <v>1488</v>
      </c>
      <c r="AM42" s="80" t="s">
        <v>1489</v>
      </c>
      <c r="AP42" s="73"/>
      <c r="AQ42" s="73"/>
      <c r="AR42" s="73"/>
      <c r="AS42" s="73"/>
      <c r="AT42" s="73"/>
      <c r="AU42" s="73"/>
      <c r="BG42" s="172" t="s">
        <v>1800</v>
      </c>
      <c r="BH42" s="120" t="s">
        <v>1951</v>
      </c>
      <c r="BI42" s="120" t="s">
        <v>1851</v>
      </c>
      <c r="BJ42" s="1" t="s">
        <v>57</v>
      </c>
      <c r="BK42" s="108" t="s">
        <v>56</v>
      </c>
      <c r="BL42" s="110" t="s">
        <v>1992</v>
      </c>
      <c r="BM42" s="1" t="s">
        <v>1488</v>
      </c>
      <c r="BN42" s="1" t="s">
        <v>1489</v>
      </c>
    </row>
    <row r="43" spans="1:68">
      <c r="A43" s="29"/>
      <c r="B43" s="29"/>
      <c r="C43" s="29"/>
      <c r="D43" s="32"/>
      <c r="E43" s="23"/>
      <c r="G43" s="36" t="s">
        <v>626</v>
      </c>
      <c r="H43" s="33" t="s">
        <v>17</v>
      </c>
      <c r="I43" s="35" t="s">
        <v>627</v>
      </c>
      <c r="J43" s="33"/>
      <c r="L43" s="12" t="s">
        <v>1272</v>
      </c>
      <c r="M43" s="12" t="s">
        <v>745</v>
      </c>
      <c r="N43" s="12">
        <v>100760</v>
      </c>
      <c r="O43" s="12" t="s">
        <v>1338</v>
      </c>
      <c r="P43" s="12" t="s">
        <v>1356</v>
      </c>
      <c r="Q43" s="12"/>
      <c r="S43" s="12" t="s">
        <v>175</v>
      </c>
      <c r="T43" s="12"/>
      <c r="U43" s="12" t="s">
        <v>174</v>
      </c>
      <c r="V43" s="8" t="s">
        <v>982</v>
      </c>
      <c r="W43" s="8" t="s">
        <v>1078</v>
      </c>
      <c r="AC43" s="178"/>
      <c r="AD43" s="6" t="s">
        <v>1663</v>
      </c>
      <c r="AE43" s="57" t="s">
        <v>29</v>
      </c>
      <c r="AF43" s="6" t="s">
        <v>30</v>
      </c>
      <c r="AG43" s="6"/>
      <c r="AJ43" s="80" t="s">
        <v>1491</v>
      </c>
      <c r="AK43" s="80" t="s">
        <v>1492</v>
      </c>
      <c r="AL43" s="80" t="s">
        <v>1488</v>
      </c>
      <c r="AM43" s="80" t="s">
        <v>1489</v>
      </c>
      <c r="AP43" s="73"/>
      <c r="AQ43" s="73"/>
      <c r="AR43" s="73"/>
      <c r="AS43" s="73"/>
      <c r="AT43" s="73"/>
      <c r="AU43" s="73"/>
      <c r="BG43" s="172" t="s">
        <v>1800</v>
      </c>
      <c r="BH43" s="120" t="s">
        <v>1952</v>
      </c>
      <c r="BI43" s="120" t="s">
        <v>1852</v>
      </c>
      <c r="BJ43" s="1" t="s">
        <v>60</v>
      </c>
      <c r="BK43" s="108" t="s">
        <v>59</v>
      </c>
      <c r="BL43" s="110" t="s">
        <v>1992</v>
      </c>
      <c r="BM43" s="1" t="s">
        <v>1488</v>
      </c>
      <c r="BN43" s="1" t="s">
        <v>1489</v>
      </c>
    </row>
    <row r="44" spans="1:68">
      <c r="A44" s="29"/>
      <c r="B44" s="29"/>
      <c r="C44" s="29"/>
      <c r="D44" s="32"/>
      <c r="E44" s="23"/>
      <c r="G44" s="36" t="s">
        <v>629</v>
      </c>
      <c r="H44" s="33" t="s">
        <v>1237</v>
      </c>
      <c r="I44" s="35" t="s">
        <v>630</v>
      </c>
      <c r="J44" s="33"/>
      <c r="L44" s="12" t="s">
        <v>1273</v>
      </c>
      <c r="M44" s="12" t="s">
        <v>746</v>
      </c>
      <c r="N44" s="12">
        <v>100760</v>
      </c>
      <c r="O44" s="12" t="s">
        <v>1338</v>
      </c>
      <c r="P44" s="12" t="s">
        <v>1357</v>
      </c>
      <c r="Q44" s="12"/>
      <c r="S44" s="12" t="s">
        <v>261</v>
      </c>
      <c r="T44" s="12" t="s">
        <v>997</v>
      </c>
      <c r="U44" s="12" t="s">
        <v>196</v>
      </c>
      <c r="V44" s="8" t="s">
        <v>1079</v>
      </c>
      <c r="W44" s="8" t="s">
        <v>1078</v>
      </c>
      <c r="AC44" s="178"/>
      <c r="AD44" s="6" t="s">
        <v>1679</v>
      </c>
      <c r="AE44" s="57" t="s">
        <v>31</v>
      </c>
      <c r="AF44" s="6" t="s">
        <v>32</v>
      </c>
      <c r="AG44" s="6"/>
      <c r="AJ44" s="80" t="s">
        <v>1493</v>
      </c>
      <c r="AK44" s="80" t="s">
        <v>1494</v>
      </c>
      <c r="AL44" s="80" t="s">
        <v>1488</v>
      </c>
      <c r="AM44" s="80" t="s">
        <v>1489</v>
      </c>
      <c r="AP44" s="73"/>
      <c r="AQ44" s="73"/>
      <c r="AR44" s="73"/>
      <c r="AS44" s="73"/>
      <c r="AT44" s="73"/>
      <c r="AU44" s="73"/>
      <c r="BG44" s="172" t="s">
        <v>1800</v>
      </c>
      <c r="BH44" s="120" t="s">
        <v>1953</v>
      </c>
      <c r="BI44" s="120" t="s">
        <v>1853</v>
      </c>
      <c r="BJ44" s="1" t="s">
        <v>1492</v>
      </c>
      <c r="BK44" s="108" t="s">
        <v>1491</v>
      </c>
      <c r="BL44" s="110" t="s">
        <v>1992</v>
      </c>
      <c r="BM44" s="1" t="s">
        <v>1488</v>
      </c>
      <c r="BN44" s="1" t="s">
        <v>1489</v>
      </c>
    </row>
    <row r="45" spans="1:68">
      <c r="A45" s="29"/>
      <c r="B45" s="29"/>
      <c r="C45" s="29"/>
      <c r="D45" s="32"/>
      <c r="E45" s="23"/>
      <c r="G45" s="36" t="s">
        <v>288</v>
      </c>
      <c r="H45" s="33" t="s">
        <v>15</v>
      </c>
      <c r="I45" s="35" t="s">
        <v>289</v>
      </c>
      <c r="J45" s="33" t="s">
        <v>631</v>
      </c>
      <c r="L45" s="12" t="s">
        <v>1274</v>
      </c>
      <c r="M45" s="12" t="s">
        <v>747</v>
      </c>
      <c r="N45" s="12">
        <v>100760</v>
      </c>
      <c r="O45" s="12" t="s">
        <v>1338</v>
      </c>
      <c r="P45" s="12" t="s">
        <v>1358</v>
      </c>
      <c r="Q45" s="12"/>
      <c r="S45" s="12" t="s">
        <v>259</v>
      </c>
      <c r="T45" s="12" t="s">
        <v>998</v>
      </c>
      <c r="U45" s="12" t="s">
        <v>165</v>
      </c>
      <c r="V45" s="8" t="s">
        <v>1080</v>
      </c>
      <c r="W45" s="8" t="s">
        <v>1081</v>
      </c>
      <c r="AC45" s="178"/>
      <c r="AD45" s="6"/>
      <c r="AE45" s="57" t="s">
        <v>33</v>
      </c>
      <c r="AF45" s="6" t="s">
        <v>34</v>
      </c>
      <c r="AG45" s="6"/>
      <c r="AJ45" s="80" t="s">
        <v>61</v>
      </c>
      <c r="AK45" s="80" t="s">
        <v>62</v>
      </c>
      <c r="AL45" s="80" t="s">
        <v>1488</v>
      </c>
      <c r="AM45" s="80" t="s">
        <v>1489</v>
      </c>
      <c r="AP45" s="73"/>
      <c r="AQ45" s="73"/>
      <c r="AR45" s="73"/>
      <c r="AS45" s="73"/>
      <c r="AT45" s="73"/>
      <c r="AU45" s="73"/>
      <c r="BG45" s="172" t="s">
        <v>1800</v>
      </c>
      <c r="BH45" s="120" t="s">
        <v>1954</v>
      </c>
      <c r="BI45" s="120" t="s">
        <v>1854</v>
      </c>
      <c r="BJ45" s="1" t="s">
        <v>1494</v>
      </c>
      <c r="BK45" s="108" t="s">
        <v>1493</v>
      </c>
      <c r="BL45" s="110" t="s">
        <v>1992</v>
      </c>
      <c r="BM45" s="1" t="s">
        <v>1488</v>
      </c>
      <c r="BN45" s="1" t="s">
        <v>1489</v>
      </c>
    </row>
    <row r="46" spans="1:68">
      <c r="A46" s="29"/>
      <c r="B46" s="29"/>
      <c r="C46" s="29"/>
      <c r="D46" s="32"/>
      <c r="E46" s="23"/>
      <c r="G46" s="36" t="s">
        <v>290</v>
      </c>
      <c r="H46" s="33" t="s">
        <v>15</v>
      </c>
      <c r="I46" s="35" t="s">
        <v>289</v>
      </c>
      <c r="J46" s="33" t="s">
        <v>598</v>
      </c>
      <c r="L46" s="12" t="s">
        <v>1275</v>
      </c>
      <c r="M46" s="12" t="s">
        <v>408</v>
      </c>
      <c r="N46" s="12">
        <v>100760</v>
      </c>
      <c r="O46" s="12" t="s">
        <v>1338</v>
      </c>
      <c r="P46" s="12" t="s">
        <v>1359</v>
      </c>
      <c r="Q46" s="12"/>
      <c r="S46" s="12" t="s">
        <v>469</v>
      </c>
      <c r="T46" s="12" t="s">
        <v>999</v>
      </c>
      <c r="U46" s="12" t="s">
        <v>470</v>
      </c>
      <c r="V46" s="8" t="s">
        <v>946</v>
      </c>
      <c r="W46" s="8" t="s">
        <v>110</v>
      </c>
      <c r="AC46" s="179"/>
      <c r="AD46" s="6" t="s">
        <v>1789</v>
      </c>
      <c r="AE46" s="57" t="s">
        <v>27</v>
      </c>
      <c r="AF46" s="6" t="s">
        <v>372</v>
      </c>
      <c r="AG46" s="6"/>
      <c r="AJ46" s="80" t="s">
        <v>64</v>
      </c>
      <c r="AK46" s="80" t="s">
        <v>65</v>
      </c>
      <c r="AL46" s="80" t="s">
        <v>1488</v>
      </c>
      <c r="AM46" s="80" t="s">
        <v>1489</v>
      </c>
      <c r="AP46" s="73"/>
      <c r="AQ46" s="73"/>
      <c r="AR46" s="73"/>
      <c r="AS46" s="73"/>
      <c r="AT46" s="73"/>
      <c r="AU46" s="73"/>
      <c r="BG46" s="172" t="s">
        <v>1800</v>
      </c>
      <c r="BH46" s="120" t="s">
        <v>1955</v>
      </c>
      <c r="BI46" s="120" t="s">
        <v>1855</v>
      </c>
      <c r="BJ46" s="1" t="s">
        <v>62</v>
      </c>
      <c r="BK46" s="108" t="s">
        <v>61</v>
      </c>
      <c r="BL46" s="110" t="s">
        <v>1992</v>
      </c>
      <c r="BM46" s="1" t="s">
        <v>1488</v>
      </c>
      <c r="BN46" s="1" t="s">
        <v>1489</v>
      </c>
    </row>
    <row r="47" spans="1:68">
      <c r="A47" s="29"/>
      <c r="B47" s="29"/>
      <c r="C47" s="29"/>
      <c r="D47" s="32"/>
      <c r="E47" s="23"/>
      <c r="G47" s="26" t="s">
        <v>291</v>
      </c>
      <c r="H47" s="33" t="s">
        <v>15</v>
      </c>
      <c r="I47" s="26" t="s">
        <v>289</v>
      </c>
      <c r="J47" s="33" t="s">
        <v>632</v>
      </c>
      <c r="L47" s="12" t="s">
        <v>1276</v>
      </c>
      <c r="M47" s="12" t="s">
        <v>379</v>
      </c>
      <c r="N47" s="12">
        <v>100760</v>
      </c>
      <c r="O47" s="12" t="s">
        <v>1338</v>
      </c>
      <c r="P47" s="12" t="s">
        <v>380</v>
      </c>
      <c r="Q47" s="12"/>
      <c r="S47" s="12" t="s">
        <v>518</v>
      </c>
      <c r="T47" s="12" t="s">
        <v>1000</v>
      </c>
      <c r="U47" s="12" t="s">
        <v>444</v>
      </c>
      <c r="V47" s="8" t="s">
        <v>1082</v>
      </c>
      <c r="W47" s="8" t="s">
        <v>1083</v>
      </c>
      <c r="AC47" s="6" t="s">
        <v>359</v>
      </c>
      <c r="AD47" s="6" t="s">
        <v>1675</v>
      </c>
      <c r="AE47" s="57" t="s">
        <v>92</v>
      </c>
      <c r="AF47" s="6" t="s">
        <v>93</v>
      </c>
      <c r="AG47" s="6"/>
      <c r="AJ47" s="80" t="s">
        <v>1495</v>
      </c>
      <c r="AK47" s="80" t="s">
        <v>1496</v>
      </c>
      <c r="AL47" s="80" t="s">
        <v>1488</v>
      </c>
      <c r="AM47" s="80" t="s">
        <v>1489</v>
      </c>
      <c r="AP47" s="73"/>
      <c r="AQ47" s="73"/>
      <c r="AR47" s="73"/>
      <c r="AS47" s="73"/>
      <c r="AT47" s="73"/>
      <c r="AU47" s="73"/>
      <c r="BG47" s="172" t="s">
        <v>1800</v>
      </c>
      <c r="BH47" s="120" t="s">
        <v>1956</v>
      </c>
      <c r="BI47" s="120" t="s">
        <v>1856</v>
      </c>
      <c r="BJ47" s="1" t="s">
        <v>65</v>
      </c>
      <c r="BK47" s="108" t="s">
        <v>64</v>
      </c>
      <c r="BL47" s="110" t="s">
        <v>1992</v>
      </c>
      <c r="BM47" s="1" t="s">
        <v>1488</v>
      </c>
      <c r="BN47" s="1" t="s">
        <v>1489</v>
      </c>
    </row>
    <row r="48" spans="1:68">
      <c r="A48" s="29"/>
      <c r="B48" s="29"/>
      <c r="C48" s="29"/>
      <c r="D48" s="32"/>
      <c r="E48" s="23"/>
      <c r="G48" s="35" t="s">
        <v>633</v>
      </c>
      <c r="H48" s="33" t="s">
        <v>16</v>
      </c>
      <c r="I48" s="35" t="s">
        <v>634</v>
      </c>
      <c r="J48" s="33" t="s">
        <v>635</v>
      </c>
      <c r="L48" s="12" t="s">
        <v>380</v>
      </c>
      <c r="M48" s="12" t="s">
        <v>1411</v>
      </c>
      <c r="N48" s="12">
        <v>100760</v>
      </c>
      <c r="O48" s="12" t="s">
        <v>1338</v>
      </c>
      <c r="P48" s="12" t="s">
        <v>380</v>
      </c>
      <c r="Q48" s="12"/>
      <c r="S48" s="12" t="s">
        <v>191</v>
      </c>
      <c r="T48" s="12" t="s">
        <v>1001</v>
      </c>
      <c r="U48" s="12" t="s">
        <v>190</v>
      </c>
      <c r="V48" s="8" t="s">
        <v>1084</v>
      </c>
      <c r="W48" s="8" t="s">
        <v>1085</v>
      </c>
      <c r="AC48" s="6" t="s">
        <v>362</v>
      </c>
      <c r="AD48" s="6" t="s">
        <v>1678</v>
      </c>
      <c r="AE48" s="6">
        <v>12276001</v>
      </c>
      <c r="AF48" s="6" t="s">
        <v>95</v>
      </c>
      <c r="AG48" s="6"/>
      <c r="AJ48" s="80" t="s">
        <v>1497</v>
      </c>
      <c r="AK48" s="80" t="s">
        <v>1498</v>
      </c>
      <c r="AL48" s="80" t="s">
        <v>1488</v>
      </c>
      <c r="AM48" s="80" t="s">
        <v>1489</v>
      </c>
      <c r="AP48" s="73"/>
      <c r="AQ48" s="73"/>
      <c r="AR48" s="73"/>
      <c r="AS48" s="73"/>
      <c r="AT48" s="73"/>
      <c r="AU48" s="73"/>
      <c r="BG48" s="172" t="s">
        <v>1800</v>
      </c>
      <c r="BH48" s="120" t="s">
        <v>1957</v>
      </c>
      <c r="BI48" s="120" t="s">
        <v>1857</v>
      </c>
      <c r="BJ48" s="1" t="s">
        <v>1496</v>
      </c>
      <c r="BK48" s="108" t="s">
        <v>1495</v>
      </c>
      <c r="BL48" s="110" t="s">
        <v>1992</v>
      </c>
      <c r="BM48" s="1" t="s">
        <v>1488</v>
      </c>
      <c r="BN48" s="1" t="s">
        <v>1489</v>
      </c>
      <c r="BO48" s="116" t="s">
        <v>1858</v>
      </c>
    </row>
    <row r="49" spans="1:68">
      <c r="A49" s="29"/>
      <c r="B49" s="29"/>
      <c r="C49" s="29"/>
      <c r="D49" s="32"/>
      <c r="E49" s="23"/>
      <c r="G49" s="35" t="s">
        <v>636</v>
      </c>
      <c r="H49" s="33" t="s">
        <v>16</v>
      </c>
      <c r="I49" s="35" t="s">
        <v>634</v>
      </c>
      <c r="J49" s="33" t="s">
        <v>598</v>
      </c>
      <c r="L49" s="12" t="s">
        <v>1572</v>
      </c>
      <c r="M49" s="12" t="s">
        <v>1571</v>
      </c>
      <c r="N49" s="12">
        <v>100760</v>
      </c>
      <c r="O49" s="12" t="s">
        <v>1338</v>
      </c>
      <c r="P49" s="12" t="s">
        <v>1342</v>
      </c>
      <c r="Q49" s="12"/>
      <c r="S49" s="12" t="s">
        <v>218</v>
      </c>
      <c r="T49" s="12"/>
      <c r="U49" s="12" t="s">
        <v>217</v>
      </c>
      <c r="V49" s="8" t="s">
        <v>1086</v>
      </c>
      <c r="W49" s="8" t="s">
        <v>1087</v>
      </c>
      <c r="AC49" s="6" t="s">
        <v>363</v>
      </c>
      <c r="AD49" s="6" t="s">
        <v>1677</v>
      </c>
      <c r="AE49" s="6">
        <v>13112002</v>
      </c>
      <c r="AF49" s="6" t="s">
        <v>96</v>
      </c>
      <c r="AG49" s="6"/>
      <c r="AJ49" s="80" t="s">
        <v>1499</v>
      </c>
      <c r="AK49" s="80" t="s">
        <v>1500</v>
      </c>
      <c r="AL49" s="80" t="s">
        <v>1488</v>
      </c>
      <c r="AM49" s="80" t="s">
        <v>1489</v>
      </c>
      <c r="AP49" s="73"/>
      <c r="AQ49" s="73"/>
      <c r="AR49" s="73"/>
      <c r="AS49" s="73"/>
      <c r="AT49" s="73"/>
      <c r="AU49" s="73"/>
      <c r="BG49" s="172" t="s">
        <v>1800</v>
      </c>
      <c r="BH49" s="120" t="s">
        <v>1958</v>
      </c>
      <c r="BI49" s="120" t="s">
        <v>1859</v>
      </c>
      <c r="BJ49" s="1" t="s">
        <v>1498</v>
      </c>
      <c r="BK49" s="108" t="s">
        <v>1497</v>
      </c>
      <c r="BL49" s="110" t="s">
        <v>1992</v>
      </c>
      <c r="BM49" s="1" t="s">
        <v>1488</v>
      </c>
      <c r="BN49" s="1" t="s">
        <v>1489</v>
      </c>
    </row>
    <row r="50" spans="1:68">
      <c r="A50" s="29"/>
      <c r="B50" s="29"/>
      <c r="C50" s="29"/>
      <c r="D50" s="32"/>
      <c r="E50" s="23"/>
      <c r="G50" s="35" t="s">
        <v>637</v>
      </c>
      <c r="H50" s="33" t="s">
        <v>16</v>
      </c>
      <c r="I50" s="35" t="s">
        <v>634</v>
      </c>
      <c r="J50" s="33" t="s">
        <v>598</v>
      </c>
      <c r="L50" s="12" t="s">
        <v>1244</v>
      </c>
      <c r="M50" s="12" t="s">
        <v>1243</v>
      </c>
      <c r="N50" s="12">
        <v>100760</v>
      </c>
      <c r="O50" s="12" t="s">
        <v>1360</v>
      </c>
      <c r="P50" s="12" t="s">
        <v>1361</v>
      </c>
      <c r="Q50" s="12"/>
      <c r="S50" s="12" t="s">
        <v>474</v>
      </c>
      <c r="T50" s="12" t="s">
        <v>1002</v>
      </c>
      <c r="U50" s="12" t="s">
        <v>475</v>
      </c>
      <c r="V50" s="8" t="s">
        <v>1088</v>
      </c>
      <c r="W50" s="8" t="s">
        <v>1089</v>
      </c>
      <c r="AC50" s="6" t="s">
        <v>1734</v>
      </c>
      <c r="AD50" s="8" t="s">
        <v>1733</v>
      </c>
      <c r="AE50" s="8"/>
      <c r="AF50" s="8"/>
      <c r="AG50" s="8"/>
      <c r="AJ50" s="80" t="s">
        <v>1501</v>
      </c>
      <c r="AK50" s="80" t="s">
        <v>78</v>
      </c>
      <c r="AL50" s="80" t="s">
        <v>1488</v>
      </c>
      <c r="AM50" s="80" t="s">
        <v>1489</v>
      </c>
      <c r="AP50" s="73"/>
      <c r="AQ50" s="73"/>
      <c r="AR50" s="73"/>
      <c r="AS50" s="73"/>
      <c r="AT50" s="73"/>
      <c r="AU50" s="73"/>
      <c r="BG50" s="172" t="s">
        <v>1800</v>
      </c>
      <c r="BH50" s="120" t="s">
        <v>1959</v>
      </c>
      <c r="BI50" s="120" t="s">
        <v>1860</v>
      </c>
      <c r="BJ50" s="1" t="s">
        <v>1500</v>
      </c>
      <c r="BK50" s="108" t="s">
        <v>1499</v>
      </c>
      <c r="BL50" s="110" t="s">
        <v>1992</v>
      </c>
      <c r="BM50" s="1" t="s">
        <v>1488</v>
      </c>
      <c r="BN50" s="1" t="s">
        <v>1489</v>
      </c>
    </row>
    <row r="51" spans="1:68">
      <c r="A51" s="29"/>
      <c r="B51" s="29"/>
      <c r="C51" s="29"/>
      <c r="D51" s="32"/>
      <c r="E51" s="23"/>
      <c r="G51" s="35" t="s">
        <v>638</v>
      </c>
      <c r="H51" s="33" t="s">
        <v>16</v>
      </c>
      <c r="I51" s="35" t="s">
        <v>634</v>
      </c>
      <c r="J51" s="33" t="s">
        <v>598</v>
      </c>
      <c r="L51" s="12" t="s">
        <v>1246</v>
      </c>
      <c r="M51" s="12" t="s">
        <v>1245</v>
      </c>
      <c r="N51" s="12">
        <v>100760</v>
      </c>
      <c r="O51" s="12" t="s">
        <v>1360</v>
      </c>
      <c r="P51" s="12" t="s">
        <v>1362</v>
      </c>
      <c r="Q51" s="12"/>
      <c r="S51" s="12" t="s">
        <v>480</v>
      </c>
      <c r="T51" s="12" t="s">
        <v>1003</v>
      </c>
      <c r="U51" s="12" t="s">
        <v>481</v>
      </c>
      <c r="V51" s="8" t="s">
        <v>1090</v>
      </c>
      <c r="W51" s="8" t="s">
        <v>1091</v>
      </c>
      <c r="AC51" s="6" t="s">
        <v>1788</v>
      </c>
      <c r="AD51" s="8" t="s">
        <v>1788</v>
      </c>
      <c r="AE51" s="8"/>
      <c r="AF51" s="8"/>
      <c r="AG51" s="8"/>
      <c r="AJ51" s="80" t="s">
        <v>83</v>
      </c>
      <c r="AK51" s="80" t="s">
        <v>84</v>
      </c>
      <c r="AL51" s="80" t="s">
        <v>1488</v>
      </c>
      <c r="AM51" s="80" t="s">
        <v>1489</v>
      </c>
      <c r="AP51" s="73"/>
      <c r="AQ51" s="73"/>
      <c r="AR51" s="73"/>
      <c r="AS51" s="73"/>
      <c r="AT51" s="73"/>
      <c r="AU51" s="73"/>
      <c r="BG51" s="172" t="s">
        <v>1800</v>
      </c>
      <c r="BH51" s="120" t="s">
        <v>1960</v>
      </c>
      <c r="BI51" s="120" t="s">
        <v>1861</v>
      </c>
      <c r="BJ51" s="1" t="s">
        <v>78</v>
      </c>
      <c r="BK51" s="108" t="s">
        <v>1501</v>
      </c>
      <c r="BL51" s="110" t="s">
        <v>1992</v>
      </c>
      <c r="BM51" s="1" t="s">
        <v>1488</v>
      </c>
      <c r="BN51" s="1" t="s">
        <v>1489</v>
      </c>
    </row>
    <row r="52" spans="1:68">
      <c r="A52" s="29"/>
      <c r="B52" s="29"/>
      <c r="C52" s="29"/>
      <c r="D52" s="32"/>
      <c r="E52" s="23"/>
      <c r="G52" s="33" t="s">
        <v>639</v>
      </c>
      <c r="H52" s="33" t="s">
        <v>640</v>
      </c>
      <c r="I52" s="33" t="s">
        <v>628</v>
      </c>
      <c r="J52" s="33" t="s">
        <v>641</v>
      </c>
      <c r="L52" s="12" t="s">
        <v>1277</v>
      </c>
      <c r="M52" s="12" t="s">
        <v>100</v>
      </c>
      <c r="N52" s="12">
        <v>100760</v>
      </c>
      <c r="O52" s="12" t="s">
        <v>1360</v>
      </c>
      <c r="P52" s="12" t="s">
        <v>1363</v>
      </c>
      <c r="Q52" s="12"/>
      <c r="S52" s="12" t="s">
        <v>451</v>
      </c>
      <c r="T52" s="12" t="s">
        <v>451</v>
      </c>
      <c r="U52" s="12" t="s">
        <v>452</v>
      </c>
      <c r="V52" s="8" t="s">
        <v>970</v>
      </c>
      <c r="W52" s="8" t="s">
        <v>973</v>
      </c>
      <c r="AC52" s="186" t="s">
        <v>1738</v>
      </c>
      <c r="AD52" s="88" t="s">
        <v>1435</v>
      </c>
      <c r="AE52" s="88" t="s">
        <v>1434</v>
      </c>
      <c r="AJ52" s="80" t="s">
        <v>1502</v>
      </c>
      <c r="AK52" s="80" t="s">
        <v>1503</v>
      </c>
      <c r="AL52" s="80" t="s">
        <v>1488</v>
      </c>
      <c r="AM52" s="80" t="s">
        <v>1489</v>
      </c>
      <c r="AP52" s="73"/>
      <c r="AQ52" s="73"/>
      <c r="AR52" s="73"/>
      <c r="AS52" s="73"/>
      <c r="AT52" s="73"/>
      <c r="AU52" s="73"/>
      <c r="BG52" s="172" t="s">
        <v>1800</v>
      </c>
      <c r="BH52" s="120" t="s">
        <v>1961</v>
      </c>
      <c r="BI52" s="120" t="s">
        <v>1862</v>
      </c>
      <c r="BJ52" s="1" t="s">
        <v>84</v>
      </c>
      <c r="BK52" s="108" t="s">
        <v>83</v>
      </c>
      <c r="BL52" s="110" t="s">
        <v>1992</v>
      </c>
      <c r="BM52" s="1" t="s">
        <v>1488</v>
      </c>
      <c r="BN52" s="1" t="s">
        <v>1489</v>
      </c>
    </row>
    <row r="53" spans="1:68">
      <c r="A53" s="29"/>
      <c r="B53" s="29"/>
      <c r="C53" s="29"/>
      <c r="D53" s="32"/>
      <c r="E53" s="23"/>
      <c r="G53" s="33" t="s">
        <v>642</v>
      </c>
      <c r="H53" s="33" t="s">
        <v>18</v>
      </c>
      <c r="I53" s="33" t="s">
        <v>643</v>
      </c>
      <c r="J53" s="33" t="s">
        <v>598</v>
      </c>
      <c r="L53" s="12" t="s">
        <v>1278</v>
      </c>
      <c r="M53" s="12" t="s">
        <v>748</v>
      </c>
      <c r="N53" s="12">
        <v>100760</v>
      </c>
      <c r="O53" s="12" t="s">
        <v>1360</v>
      </c>
      <c r="P53" s="12" t="s">
        <v>1364</v>
      </c>
      <c r="Q53" s="12"/>
      <c r="S53" s="12" t="s">
        <v>429</v>
      </c>
      <c r="T53" s="12" t="s">
        <v>429</v>
      </c>
      <c r="U53" s="12" t="s">
        <v>430</v>
      </c>
      <c r="V53" s="8" t="s">
        <v>1092</v>
      </c>
      <c r="W53" s="8" t="s">
        <v>1093</v>
      </c>
      <c r="AC53" s="186"/>
      <c r="AD53" s="8" t="s">
        <v>1441</v>
      </c>
      <c r="AE53" s="8" t="s">
        <v>1440</v>
      </c>
      <c r="AJ53" s="80" t="s">
        <v>1504</v>
      </c>
      <c r="AK53" s="80" t="s">
        <v>1505</v>
      </c>
      <c r="AL53" s="80" t="s">
        <v>1488</v>
      </c>
      <c r="AM53" s="80" t="s">
        <v>1489</v>
      </c>
      <c r="AP53" s="73"/>
      <c r="AQ53" s="73"/>
      <c r="AR53" s="73"/>
      <c r="AS53" s="73"/>
      <c r="AT53" s="73"/>
      <c r="AU53" s="73"/>
      <c r="BG53" s="172" t="s">
        <v>1800</v>
      </c>
      <c r="BH53" s="120" t="s">
        <v>1962</v>
      </c>
      <c r="BI53" s="120" t="s">
        <v>1863</v>
      </c>
      <c r="BJ53" s="1" t="s">
        <v>1503</v>
      </c>
      <c r="BK53" s="108" t="s">
        <v>1502</v>
      </c>
      <c r="BL53" s="110" t="s">
        <v>1992</v>
      </c>
      <c r="BM53" s="1" t="s">
        <v>1488</v>
      </c>
      <c r="BN53" s="1" t="s">
        <v>1489</v>
      </c>
    </row>
    <row r="54" spans="1:68">
      <c r="A54" s="29"/>
      <c r="B54" s="29"/>
      <c r="C54" s="29"/>
      <c r="D54" s="32"/>
      <c r="E54" s="23"/>
      <c r="G54" s="33" t="s">
        <v>150</v>
      </c>
      <c r="H54" s="33" t="s">
        <v>19</v>
      </c>
      <c r="I54" s="33" t="s">
        <v>644</v>
      </c>
      <c r="J54" s="33" t="s">
        <v>598</v>
      </c>
      <c r="L54" s="12" t="s">
        <v>1279</v>
      </c>
      <c r="M54" s="12" t="s">
        <v>503</v>
      </c>
      <c r="N54" s="12">
        <v>100760</v>
      </c>
      <c r="O54" s="12" t="s">
        <v>1360</v>
      </c>
      <c r="P54" s="12" t="s">
        <v>1365</v>
      </c>
      <c r="Q54" s="12"/>
      <c r="S54" s="12" t="s">
        <v>252</v>
      </c>
      <c r="T54" s="12" t="s">
        <v>1004</v>
      </c>
      <c r="U54" s="12" t="s">
        <v>251</v>
      </c>
      <c r="V54" s="8" t="s">
        <v>1094</v>
      </c>
      <c r="W54" s="8" t="s">
        <v>1095</v>
      </c>
      <c r="AC54" s="186"/>
      <c r="AD54" s="8" t="s">
        <v>1444</v>
      </c>
      <c r="AE54" s="8" t="s">
        <v>1443</v>
      </c>
      <c r="AJ54" s="80" t="s">
        <v>1506</v>
      </c>
      <c r="AK54" s="80" t="s">
        <v>1507</v>
      </c>
      <c r="AL54" s="80" t="s">
        <v>1488</v>
      </c>
      <c r="AM54" s="80" t="s">
        <v>1489</v>
      </c>
      <c r="AP54" s="73"/>
      <c r="AQ54" s="73"/>
      <c r="AR54" s="73"/>
      <c r="AS54" s="73"/>
      <c r="AT54" s="73"/>
      <c r="AU54" s="73"/>
      <c r="BG54" s="172" t="s">
        <v>1816</v>
      </c>
      <c r="BH54" s="120" t="s">
        <v>1963</v>
      </c>
      <c r="BI54" s="120" t="s">
        <v>1864</v>
      </c>
      <c r="BJ54" s="1" t="s">
        <v>1505</v>
      </c>
      <c r="BK54" s="108" t="s">
        <v>1504</v>
      </c>
      <c r="BL54" s="110" t="s">
        <v>1992</v>
      </c>
      <c r="BM54" s="1" t="s">
        <v>1488</v>
      </c>
      <c r="BN54" s="1" t="s">
        <v>1489</v>
      </c>
    </row>
    <row r="55" spans="1:68">
      <c r="A55" s="29"/>
      <c r="B55" s="29"/>
      <c r="C55" s="29"/>
      <c r="D55" s="32"/>
      <c r="E55" s="23"/>
      <c r="G55" s="33" t="s">
        <v>645</v>
      </c>
      <c r="H55" s="33" t="s">
        <v>20</v>
      </c>
      <c r="I55" s="33" t="s">
        <v>646</v>
      </c>
      <c r="J55" s="33" t="s">
        <v>647</v>
      </c>
      <c r="L55" s="12" t="s">
        <v>1280</v>
      </c>
      <c r="M55" s="12" t="s">
        <v>504</v>
      </c>
      <c r="N55" s="12">
        <v>100760</v>
      </c>
      <c r="O55" s="12" t="s">
        <v>1360</v>
      </c>
      <c r="P55" s="12" t="s">
        <v>1366</v>
      </c>
      <c r="Q55" s="12"/>
      <c r="S55" s="12" t="s">
        <v>216</v>
      </c>
      <c r="T55" s="12"/>
      <c r="U55" s="12" t="s">
        <v>215</v>
      </c>
      <c r="V55" s="8" t="s">
        <v>1096</v>
      </c>
      <c r="W55" s="8" t="s">
        <v>1097</v>
      </c>
      <c r="AC55" s="186"/>
      <c r="AD55" s="8" t="s">
        <v>1450</v>
      </c>
      <c r="AE55" s="8" t="s">
        <v>1449</v>
      </c>
      <c r="AJ55" s="80" t="s">
        <v>1508</v>
      </c>
      <c r="AK55" s="80" t="s">
        <v>1509</v>
      </c>
      <c r="AL55" s="80" t="s">
        <v>1488</v>
      </c>
      <c r="AM55" s="80" t="s">
        <v>1489</v>
      </c>
      <c r="AP55" s="73"/>
      <c r="AQ55" s="73"/>
      <c r="AR55" s="73"/>
      <c r="AS55" s="73"/>
      <c r="AT55" s="73"/>
      <c r="AU55" s="73"/>
      <c r="BG55" s="172" t="s">
        <v>1816</v>
      </c>
      <c r="BH55" s="120" t="s">
        <v>1964</v>
      </c>
      <c r="BI55" s="120" t="s">
        <v>1865</v>
      </c>
      <c r="BJ55" s="1" t="s">
        <v>1507</v>
      </c>
      <c r="BK55" s="108" t="s">
        <v>1506</v>
      </c>
      <c r="BL55" s="110" t="s">
        <v>1992</v>
      </c>
      <c r="BM55" s="1" t="s">
        <v>1488</v>
      </c>
      <c r="BN55" s="1" t="s">
        <v>1489</v>
      </c>
    </row>
    <row r="56" spans="1:68">
      <c r="A56" s="29"/>
      <c r="B56" s="29"/>
      <c r="C56" s="29"/>
      <c r="D56" s="32"/>
      <c r="E56" s="23"/>
      <c r="G56" s="33" t="s">
        <v>648</v>
      </c>
      <c r="H56" s="33" t="s">
        <v>21</v>
      </c>
      <c r="I56" s="33" t="s">
        <v>649</v>
      </c>
      <c r="J56" s="33" t="s">
        <v>650</v>
      </c>
      <c r="L56" s="12" t="s">
        <v>1281</v>
      </c>
      <c r="M56" s="12" t="s">
        <v>749</v>
      </c>
      <c r="N56" s="12">
        <v>100760</v>
      </c>
      <c r="O56" s="12" t="s">
        <v>1360</v>
      </c>
      <c r="P56" s="12" t="s">
        <v>1367</v>
      </c>
      <c r="Q56" s="12"/>
      <c r="S56" s="12" t="s">
        <v>177</v>
      </c>
      <c r="T56" s="12"/>
      <c r="U56" s="12" t="s">
        <v>176</v>
      </c>
      <c r="V56" s="8" t="s">
        <v>1098</v>
      </c>
      <c r="W56" s="8" t="s">
        <v>1099</v>
      </c>
      <c r="AC56" s="186"/>
      <c r="AD56" s="8" t="s">
        <v>75</v>
      </c>
      <c r="AE56" s="8" t="s">
        <v>74</v>
      </c>
      <c r="AJ56" s="80" t="s">
        <v>1510</v>
      </c>
      <c r="AK56" s="80" t="s">
        <v>1511</v>
      </c>
      <c r="AL56" s="80" t="s">
        <v>1488</v>
      </c>
      <c r="AM56" s="80" t="s">
        <v>1489</v>
      </c>
      <c r="AP56" s="73"/>
      <c r="AQ56" s="73"/>
      <c r="AR56" s="73"/>
      <c r="AS56" s="73"/>
      <c r="AT56" s="73"/>
      <c r="AU56" s="73"/>
      <c r="BG56" s="172" t="s">
        <v>1816</v>
      </c>
      <c r="BH56" s="120" t="s">
        <v>1965</v>
      </c>
      <c r="BI56" s="120" t="s">
        <v>1866</v>
      </c>
      <c r="BJ56" s="1" t="s">
        <v>1509</v>
      </c>
      <c r="BK56" s="108" t="s">
        <v>1508</v>
      </c>
      <c r="BL56" s="110" t="s">
        <v>1992</v>
      </c>
      <c r="BM56" s="1" t="s">
        <v>1488</v>
      </c>
      <c r="BN56" s="1" t="s">
        <v>1489</v>
      </c>
    </row>
    <row r="57" spans="1:68">
      <c r="A57" s="29"/>
      <c r="B57" s="29"/>
      <c r="C57" s="29"/>
      <c r="D57" s="32"/>
      <c r="E57" s="23"/>
      <c r="G57" s="33" t="s">
        <v>293</v>
      </c>
      <c r="H57" s="33" t="s">
        <v>292</v>
      </c>
      <c r="I57" s="33" t="s">
        <v>294</v>
      </c>
      <c r="J57" s="33" t="s">
        <v>598</v>
      </c>
      <c r="L57" s="12" t="s">
        <v>1282</v>
      </c>
      <c r="M57" s="12" t="s">
        <v>505</v>
      </c>
      <c r="N57" s="12">
        <v>100760</v>
      </c>
      <c r="O57" s="12" t="s">
        <v>1360</v>
      </c>
      <c r="P57" s="12" t="s">
        <v>1368</v>
      </c>
      <c r="Q57" s="12"/>
      <c r="S57" s="12" t="s">
        <v>202</v>
      </c>
      <c r="T57" s="12" t="s">
        <v>1006</v>
      </c>
      <c r="U57" s="12" t="s">
        <v>201</v>
      </c>
      <c r="V57" s="8" t="s">
        <v>1100</v>
      </c>
      <c r="W57" s="8" t="s">
        <v>1101</v>
      </c>
      <c r="AC57" s="186"/>
      <c r="AD57" s="8" t="s">
        <v>1452</v>
      </c>
      <c r="AE57" s="8" t="s">
        <v>1451</v>
      </c>
      <c r="AJ57" s="80" t="s">
        <v>1415</v>
      </c>
      <c r="AK57" s="80" t="s">
        <v>1512</v>
      </c>
      <c r="AL57" s="80" t="s">
        <v>1488</v>
      </c>
      <c r="AM57" s="80" t="s">
        <v>1489</v>
      </c>
      <c r="AP57" s="73"/>
      <c r="AQ57" s="73"/>
      <c r="AR57" s="73"/>
      <c r="AS57" s="73"/>
      <c r="AT57" s="73"/>
      <c r="AU57" s="73"/>
      <c r="BG57" s="172" t="s">
        <v>1816</v>
      </c>
      <c r="BH57" s="120" t="s">
        <v>1966</v>
      </c>
      <c r="BI57" s="120" t="s">
        <v>1867</v>
      </c>
      <c r="BJ57" s="1" t="s">
        <v>1511</v>
      </c>
      <c r="BK57" s="108" t="s">
        <v>1510</v>
      </c>
      <c r="BL57" s="110" t="s">
        <v>1992</v>
      </c>
      <c r="BM57" s="1" t="s">
        <v>1488</v>
      </c>
      <c r="BN57" s="1" t="s">
        <v>1489</v>
      </c>
      <c r="BP57" s="1" t="s">
        <v>1837</v>
      </c>
    </row>
    <row r="58" spans="1:68">
      <c r="A58" s="29"/>
      <c r="B58" s="29"/>
      <c r="C58" s="29"/>
      <c r="D58" s="32"/>
      <c r="E58" s="23"/>
      <c r="G58" s="33" t="s">
        <v>651</v>
      </c>
      <c r="H58" s="33" t="s">
        <v>295</v>
      </c>
      <c r="I58" s="33" t="s">
        <v>296</v>
      </c>
      <c r="J58" s="33" t="s">
        <v>651</v>
      </c>
      <c r="L58" s="12" t="s">
        <v>1283</v>
      </c>
      <c r="M58" s="12" t="s">
        <v>750</v>
      </c>
      <c r="N58" s="12">
        <v>100760</v>
      </c>
      <c r="O58" s="12" t="s">
        <v>1360</v>
      </c>
      <c r="P58" s="12" t="s">
        <v>1369</v>
      </c>
      <c r="Q58" s="12"/>
      <c r="S58" s="12" t="s">
        <v>265</v>
      </c>
      <c r="T58" s="12" t="s">
        <v>1005</v>
      </c>
      <c r="U58" s="12" t="s">
        <v>210</v>
      </c>
      <c r="V58" s="8" t="s">
        <v>960</v>
      </c>
      <c r="W58" s="8" t="s">
        <v>965</v>
      </c>
      <c r="AC58" s="186"/>
      <c r="AD58" s="8" t="s">
        <v>1454</v>
      </c>
      <c r="AE58" s="8" t="s">
        <v>1453</v>
      </c>
      <c r="AJ58" s="80" t="s">
        <v>1513</v>
      </c>
      <c r="AK58" s="80" t="s">
        <v>1514</v>
      </c>
      <c r="AL58" s="80" t="s">
        <v>1488</v>
      </c>
      <c r="AM58" s="80" t="s">
        <v>1489</v>
      </c>
      <c r="AP58" s="73"/>
      <c r="AQ58" s="73"/>
      <c r="AR58" s="73"/>
      <c r="AS58" s="73"/>
      <c r="AT58" s="73"/>
      <c r="AU58" s="73"/>
      <c r="BJ58" s="114" t="s">
        <v>1512</v>
      </c>
      <c r="BK58" s="113" t="s">
        <v>1415</v>
      </c>
      <c r="BL58" s="114"/>
      <c r="BM58" s="114" t="s">
        <v>1488</v>
      </c>
      <c r="BN58" s="114" t="s">
        <v>1489</v>
      </c>
      <c r="BO58" s="116" t="s">
        <v>1839</v>
      </c>
    </row>
    <row r="59" spans="1:68">
      <c r="A59" s="29"/>
      <c r="B59" s="29"/>
      <c r="C59" s="29"/>
      <c r="D59" s="32"/>
      <c r="E59" s="23"/>
      <c r="G59" s="33" t="s">
        <v>652</v>
      </c>
      <c r="H59" s="33" t="s">
        <v>653</v>
      </c>
      <c r="I59" s="33" t="s">
        <v>297</v>
      </c>
      <c r="J59" s="33" t="s">
        <v>652</v>
      </c>
      <c r="L59" s="12" t="s">
        <v>1284</v>
      </c>
      <c r="M59" s="12" t="s">
        <v>507</v>
      </c>
      <c r="N59" s="12">
        <v>100760</v>
      </c>
      <c r="O59" s="12" t="s">
        <v>1360</v>
      </c>
      <c r="P59" s="12" t="s">
        <v>1370</v>
      </c>
      <c r="Q59" s="12"/>
      <c r="S59" s="12" t="s">
        <v>832</v>
      </c>
      <c r="T59" s="12"/>
      <c r="U59" s="12" t="s">
        <v>160</v>
      </c>
      <c r="V59" s="8" t="s">
        <v>949</v>
      </c>
      <c r="W59" s="8" t="s">
        <v>101</v>
      </c>
      <c r="AC59" s="186"/>
      <c r="AD59" s="8" t="s">
        <v>1455</v>
      </c>
      <c r="AE59" s="8" t="s">
        <v>68</v>
      </c>
      <c r="AJ59" s="80" t="s">
        <v>1515</v>
      </c>
      <c r="AK59" s="80" t="s">
        <v>1516</v>
      </c>
      <c r="AL59" s="80" t="s">
        <v>1488</v>
      </c>
      <c r="AM59" s="80" t="s">
        <v>1489</v>
      </c>
      <c r="AP59" s="73"/>
      <c r="AQ59" s="73"/>
      <c r="AR59" s="73"/>
      <c r="AS59" s="73"/>
      <c r="AT59" s="73"/>
      <c r="AU59" s="73"/>
      <c r="BJ59" s="114" t="s">
        <v>1514</v>
      </c>
      <c r="BK59" s="113" t="s">
        <v>1513</v>
      </c>
      <c r="BL59" s="114"/>
      <c r="BM59" s="114" t="s">
        <v>1488</v>
      </c>
      <c r="BN59" s="114" t="s">
        <v>1489</v>
      </c>
      <c r="BO59" s="116" t="s">
        <v>1839</v>
      </c>
    </row>
    <row r="60" spans="1:68">
      <c r="A60" s="29"/>
      <c r="B60" s="29"/>
      <c r="C60" s="29"/>
      <c r="D60" s="32"/>
      <c r="E60" s="23"/>
      <c r="G60" s="33" t="s">
        <v>299</v>
      </c>
      <c r="H60" s="33" t="s">
        <v>298</v>
      </c>
      <c r="I60" s="37" t="s">
        <v>300</v>
      </c>
      <c r="J60" s="33" t="s">
        <v>598</v>
      </c>
      <c r="L60" s="12" t="s">
        <v>1285</v>
      </c>
      <c r="M60" s="12" t="s">
        <v>507</v>
      </c>
      <c r="N60" s="12">
        <v>100760</v>
      </c>
      <c r="O60" s="12" t="s">
        <v>1360</v>
      </c>
      <c r="P60" s="12" t="s">
        <v>1370</v>
      </c>
      <c r="Q60" s="12"/>
      <c r="S60" s="12" t="s">
        <v>266</v>
      </c>
      <c r="T60" s="12"/>
      <c r="U60" s="12" t="s">
        <v>219</v>
      </c>
      <c r="V60" s="8" t="s">
        <v>1102</v>
      </c>
      <c r="W60" s="8" t="s">
        <v>780</v>
      </c>
      <c r="AC60" s="186"/>
      <c r="AD60" s="8" t="s">
        <v>1456</v>
      </c>
      <c r="AE60" s="8" t="s">
        <v>70</v>
      </c>
      <c r="AJ60" s="80" t="s">
        <v>1517</v>
      </c>
      <c r="AK60" s="80" t="s">
        <v>1518</v>
      </c>
      <c r="AL60" s="80" t="s">
        <v>1488</v>
      </c>
      <c r="AM60" s="80" t="s">
        <v>1489</v>
      </c>
      <c r="AP60" s="73"/>
      <c r="AQ60" s="73"/>
      <c r="AR60" s="73"/>
      <c r="AS60" s="73"/>
      <c r="AT60" s="73"/>
      <c r="AU60" s="73"/>
      <c r="BG60" s="172" t="s">
        <v>1816</v>
      </c>
      <c r="BH60" s="120" t="s">
        <v>1967</v>
      </c>
      <c r="BI60" s="120" t="s">
        <v>1868</v>
      </c>
      <c r="BJ60" s="1" t="s">
        <v>1516</v>
      </c>
      <c r="BK60" s="108" t="s">
        <v>1515</v>
      </c>
      <c r="BL60" s="110" t="s">
        <v>1992</v>
      </c>
      <c r="BM60" s="1" t="s">
        <v>1488</v>
      </c>
      <c r="BN60" s="1" t="s">
        <v>1489</v>
      </c>
      <c r="BP60" s="1" t="s">
        <v>1837</v>
      </c>
    </row>
    <row r="61" spans="1:68">
      <c r="A61" s="29"/>
      <c r="B61" s="29"/>
      <c r="C61" s="29"/>
      <c r="D61" s="32"/>
      <c r="E61" s="23"/>
      <c r="G61" s="33" t="s">
        <v>301</v>
      </c>
      <c r="H61" s="38" t="s">
        <v>654</v>
      </c>
      <c r="I61" s="33" t="s">
        <v>349</v>
      </c>
      <c r="J61" s="39" t="s">
        <v>598</v>
      </c>
      <c r="L61" s="12" t="s">
        <v>1286</v>
      </c>
      <c r="M61" s="12" t="s">
        <v>751</v>
      </c>
      <c r="N61" s="12">
        <v>100760</v>
      </c>
      <c r="O61" s="12" t="s">
        <v>1360</v>
      </c>
      <c r="P61" s="12" t="s">
        <v>1371</v>
      </c>
      <c r="Q61" s="12"/>
      <c r="S61" s="12" t="s">
        <v>833</v>
      </c>
      <c r="T61" s="12"/>
      <c r="U61" s="12" t="s">
        <v>220</v>
      </c>
      <c r="V61" s="8" t="s">
        <v>963</v>
      </c>
      <c r="W61" s="8" t="s">
        <v>109</v>
      </c>
      <c r="AC61" s="186"/>
      <c r="AD61" s="8" t="s">
        <v>1457</v>
      </c>
      <c r="AE61" s="8" t="s">
        <v>58</v>
      </c>
      <c r="AJ61" s="80" t="s">
        <v>1519</v>
      </c>
      <c r="AK61" s="80" t="s">
        <v>1520</v>
      </c>
      <c r="AL61" s="80" t="s">
        <v>1488</v>
      </c>
      <c r="AM61" s="80" t="s">
        <v>1489</v>
      </c>
      <c r="AP61" s="73"/>
      <c r="AQ61" s="73"/>
      <c r="AR61" s="73"/>
      <c r="AS61" s="73"/>
      <c r="AT61" s="73"/>
      <c r="AU61" s="73"/>
      <c r="BG61" s="172" t="s">
        <v>1816</v>
      </c>
      <c r="BH61" s="120" t="s">
        <v>1968</v>
      </c>
      <c r="BI61" s="120" t="s">
        <v>1869</v>
      </c>
      <c r="BJ61" s="109" t="s">
        <v>1870</v>
      </c>
      <c r="BK61" s="108" t="s">
        <v>1517</v>
      </c>
      <c r="BL61" s="110" t="s">
        <v>1992</v>
      </c>
      <c r="BM61" s="1" t="s">
        <v>1488</v>
      </c>
      <c r="BN61" s="1" t="s">
        <v>1489</v>
      </c>
    </row>
    <row r="62" spans="1:68">
      <c r="A62" s="29"/>
      <c r="B62" s="29"/>
      <c r="C62" s="29"/>
      <c r="D62" s="32"/>
      <c r="E62" s="23"/>
      <c r="G62" s="37" t="s">
        <v>655</v>
      </c>
      <c r="H62" s="40" t="s">
        <v>656</v>
      </c>
      <c r="I62" s="33" t="s">
        <v>657</v>
      </c>
      <c r="J62" s="39" t="s">
        <v>598</v>
      </c>
      <c r="L62" s="12" t="s">
        <v>1287</v>
      </c>
      <c r="M62" s="12" t="s">
        <v>752</v>
      </c>
      <c r="N62" s="12">
        <v>100760</v>
      </c>
      <c r="O62" s="12" t="s">
        <v>1360</v>
      </c>
      <c r="P62" s="12" t="s">
        <v>1372</v>
      </c>
      <c r="Q62" s="12"/>
      <c r="S62" s="12" t="s">
        <v>245</v>
      </c>
      <c r="T62" s="12"/>
      <c r="U62" s="12" t="s">
        <v>244</v>
      </c>
      <c r="V62" s="8" t="s">
        <v>1103</v>
      </c>
      <c r="W62" s="8" t="s">
        <v>787</v>
      </c>
      <c r="AC62" s="186"/>
      <c r="AD62" s="8" t="s">
        <v>1458</v>
      </c>
      <c r="AE62" s="8" t="s">
        <v>55</v>
      </c>
      <c r="AJ62" s="80" t="s">
        <v>87</v>
      </c>
      <c r="AK62" s="80" t="s">
        <v>88</v>
      </c>
      <c r="AL62" s="81" t="s">
        <v>1521</v>
      </c>
      <c r="AM62" s="80" t="s">
        <v>1522</v>
      </c>
      <c r="BG62" s="172" t="s">
        <v>1816</v>
      </c>
      <c r="BH62" s="120" t="s">
        <v>1894</v>
      </c>
      <c r="BI62" s="120" t="s">
        <v>1871</v>
      </c>
      <c r="BJ62" s="1" t="s">
        <v>1520</v>
      </c>
      <c r="BK62" s="108" t="s">
        <v>1519</v>
      </c>
      <c r="BL62" s="110" t="s">
        <v>1992</v>
      </c>
      <c r="BM62" s="1" t="s">
        <v>1488</v>
      </c>
      <c r="BN62" s="1" t="s">
        <v>1489</v>
      </c>
    </row>
    <row r="63" spans="1:68">
      <c r="A63" s="29"/>
      <c r="B63" s="29"/>
      <c r="C63" s="29"/>
      <c r="D63" s="32"/>
      <c r="E63" s="23"/>
      <c r="G63" s="33" t="s">
        <v>658</v>
      </c>
      <c r="H63" s="38" t="s">
        <v>1309</v>
      </c>
      <c r="I63" s="33" t="s">
        <v>659</v>
      </c>
      <c r="J63" s="39" t="s">
        <v>598</v>
      </c>
      <c r="L63" s="12" t="s">
        <v>1288</v>
      </c>
      <c r="M63" s="12" t="s">
        <v>753</v>
      </c>
      <c r="N63" s="12">
        <v>100760</v>
      </c>
      <c r="O63" s="12" t="s">
        <v>1360</v>
      </c>
      <c r="P63" s="12" t="s">
        <v>1288</v>
      </c>
      <c r="Q63" s="12"/>
      <c r="S63" s="12" t="s">
        <v>222</v>
      </c>
      <c r="T63" s="12"/>
      <c r="U63" s="12" t="s">
        <v>221</v>
      </c>
      <c r="V63" s="8" t="s">
        <v>959</v>
      </c>
      <c r="W63" s="8" t="s">
        <v>102</v>
      </c>
      <c r="AC63" s="186"/>
      <c r="AD63" s="8" t="s">
        <v>1459</v>
      </c>
      <c r="AE63" s="8" t="s">
        <v>82</v>
      </c>
      <c r="AJ63" s="80" t="s">
        <v>89</v>
      </c>
      <c r="AK63" s="80" t="s">
        <v>90</v>
      </c>
      <c r="AL63" s="80" t="s">
        <v>1523</v>
      </c>
      <c r="AM63" s="80" t="s">
        <v>1522</v>
      </c>
      <c r="BG63" s="172" t="s">
        <v>1800</v>
      </c>
      <c r="BH63" s="120" t="s">
        <v>1969</v>
      </c>
      <c r="BI63" s="120" t="s">
        <v>1872</v>
      </c>
      <c r="BJ63" s="1" t="s">
        <v>88</v>
      </c>
      <c r="BK63" s="108" t="s">
        <v>87</v>
      </c>
      <c r="BL63" s="110" t="s">
        <v>328</v>
      </c>
      <c r="BM63" s="110" t="s">
        <v>1521</v>
      </c>
      <c r="BN63" s="1" t="s">
        <v>1522</v>
      </c>
    </row>
    <row r="64" spans="1:68">
      <c r="A64" s="29"/>
      <c r="B64" s="29"/>
      <c r="C64" s="29"/>
      <c r="D64" s="32"/>
      <c r="E64" s="23"/>
      <c r="G64" s="33" t="s">
        <v>660</v>
      </c>
      <c r="H64" s="38" t="s">
        <v>302</v>
      </c>
      <c r="I64" s="33" t="s">
        <v>661</v>
      </c>
      <c r="J64" s="39" t="s">
        <v>598</v>
      </c>
      <c r="L64" s="12" t="s">
        <v>1289</v>
      </c>
      <c r="M64" s="12" t="s">
        <v>506</v>
      </c>
      <c r="N64" s="12">
        <v>100760</v>
      </c>
      <c r="O64" s="12" t="s">
        <v>1360</v>
      </c>
      <c r="P64" s="12" t="s">
        <v>1289</v>
      </c>
      <c r="Q64" s="12"/>
      <c r="S64" s="12" t="s">
        <v>816</v>
      </c>
      <c r="T64" s="12" t="s">
        <v>416</v>
      </c>
      <c r="U64" s="12" t="s">
        <v>417</v>
      </c>
      <c r="V64" s="8" t="s">
        <v>1104</v>
      </c>
      <c r="W64" s="8" t="s">
        <v>1105</v>
      </c>
      <c r="AC64" s="186"/>
      <c r="AD64" s="8" t="s">
        <v>1460</v>
      </c>
      <c r="AE64" s="8" t="s">
        <v>79</v>
      </c>
      <c r="AJ64" s="80" t="s">
        <v>91</v>
      </c>
      <c r="AK64" s="80" t="s">
        <v>1524</v>
      </c>
      <c r="AL64" s="80" t="s">
        <v>1523</v>
      </c>
      <c r="AM64" s="80" t="s">
        <v>1522</v>
      </c>
      <c r="BG64" s="172" t="s">
        <v>1800</v>
      </c>
      <c r="BH64" s="120" t="s">
        <v>1970</v>
      </c>
      <c r="BI64" s="120" t="s">
        <v>1873</v>
      </c>
      <c r="BJ64" s="1" t="s">
        <v>90</v>
      </c>
      <c r="BK64" s="108" t="s">
        <v>89</v>
      </c>
      <c r="BL64" s="110" t="s">
        <v>328</v>
      </c>
      <c r="BM64" s="1" t="s">
        <v>1523</v>
      </c>
      <c r="BN64" s="1" t="s">
        <v>2337</v>
      </c>
    </row>
    <row r="65" spans="1:68">
      <c r="A65" s="29"/>
      <c r="B65" s="29"/>
      <c r="C65" s="29"/>
      <c r="D65" s="32"/>
      <c r="E65" s="23"/>
      <c r="G65" s="33" t="s">
        <v>304</v>
      </c>
      <c r="H65" s="38" t="s">
        <v>303</v>
      </c>
      <c r="I65" s="33" t="s">
        <v>305</v>
      </c>
      <c r="J65" s="41" t="s">
        <v>662</v>
      </c>
      <c r="L65" s="12" t="s">
        <v>1290</v>
      </c>
      <c r="M65" s="12" t="s">
        <v>499</v>
      </c>
      <c r="N65" s="12">
        <v>100760</v>
      </c>
      <c r="O65" s="12" t="s">
        <v>1360</v>
      </c>
      <c r="P65" s="12" t="s">
        <v>1373</v>
      </c>
      <c r="Q65" s="12"/>
      <c r="S65" s="12" t="s">
        <v>264</v>
      </c>
      <c r="T65" s="12"/>
      <c r="U65" s="12" t="s">
        <v>209</v>
      </c>
      <c r="V65" s="8" t="s">
        <v>1106</v>
      </c>
      <c r="W65" s="8" t="s">
        <v>1107</v>
      </c>
      <c r="AC65" s="186"/>
      <c r="AD65" s="8" t="s">
        <v>1461</v>
      </c>
      <c r="AE65" s="8" t="s">
        <v>63</v>
      </c>
      <c r="AJ65" s="80" t="s">
        <v>328</v>
      </c>
      <c r="AK65" s="80" t="s">
        <v>1525</v>
      </c>
      <c r="AL65" s="80" t="s">
        <v>1523</v>
      </c>
      <c r="AM65" s="81" t="s">
        <v>1522</v>
      </c>
      <c r="BG65" s="172" t="s">
        <v>1800</v>
      </c>
      <c r="BH65" s="120" t="s">
        <v>1971</v>
      </c>
      <c r="BI65" s="120" t="s">
        <v>1874</v>
      </c>
      <c r="BJ65" s="1" t="s">
        <v>1524</v>
      </c>
      <c r="BK65" s="108" t="s">
        <v>91</v>
      </c>
      <c r="BL65" s="110" t="s">
        <v>328</v>
      </c>
      <c r="BM65" s="1" t="s">
        <v>1523</v>
      </c>
      <c r="BN65" s="1" t="s">
        <v>1522</v>
      </c>
    </row>
    <row r="66" spans="1:68">
      <c r="A66" s="29"/>
      <c r="B66" s="29"/>
      <c r="C66" s="29"/>
      <c r="D66" s="32"/>
      <c r="E66" s="23"/>
      <c r="G66" s="33" t="s">
        <v>663</v>
      </c>
      <c r="H66" s="38" t="s">
        <v>664</v>
      </c>
      <c r="I66" s="33" t="s">
        <v>598</v>
      </c>
      <c r="J66" s="39" t="s">
        <v>598</v>
      </c>
      <c r="L66" s="12" t="s">
        <v>116</v>
      </c>
      <c r="M66" s="12" t="s">
        <v>499</v>
      </c>
      <c r="N66" s="12">
        <v>100760</v>
      </c>
      <c r="O66" s="12" t="s">
        <v>1360</v>
      </c>
      <c r="P66" s="12" t="s">
        <v>1373</v>
      </c>
      <c r="Q66" s="12"/>
      <c r="S66" s="12" t="s">
        <v>487</v>
      </c>
      <c r="T66" s="12"/>
      <c r="U66" s="12" t="s">
        <v>488</v>
      </c>
      <c r="V66" s="8" t="s">
        <v>983</v>
      </c>
      <c r="W66" s="8" t="s">
        <v>1108</v>
      </c>
      <c r="AC66" s="186"/>
      <c r="AD66" s="8" t="s">
        <v>72</v>
      </c>
      <c r="AE66" s="8" t="s">
        <v>71</v>
      </c>
      <c r="AJ66" s="80" t="s">
        <v>29</v>
      </c>
      <c r="AK66" s="80" t="s">
        <v>30</v>
      </c>
      <c r="AL66" s="81" t="s">
        <v>1526</v>
      </c>
      <c r="AM66" s="80" t="s">
        <v>1527</v>
      </c>
      <c r="BJ66" s="114" t="s">
        <v>1525</v>
      </c>
      <c r="BK66" s="113" t="s">
        <v>328</v>
      </c>
      <c r="BL66" s="114"/>
      <c r="BM66" s="114" t="s">
        <v>1523</v>
      </c>
      <c r="BN66" s="115" t="s">
        <v>1522</v>
      </c>
    </row>
    <row r="67" spans="1:68">
      <c r="A67" s="29"/>
      <c r="B67" s="29"/>
      <c r="C67" s="29"/>
      <c r="D67" s="32"/>
      <c r="E67" s="23"/>
      <c r="G67" s="33" t="s">
        <v>665</v>
      </c>
      <c r="H67" s="38" t="s">
        <v>666</v>
      </c>
      <c r="I67" s="33" t="s">
        <v>598</v>
      </c>
      <c r="J67" s="39" t="s">
        <v>598</v>
      </c>
      <c r="L67" s="12" t="s">
        <v>508</v>
      </c>
      <c r="M67" s="12" t="s">
        <v>117</v>
      </c>
      <c r="N67" s="12">
        <v>100760</v>
      </c>
      <c r="O67" s="12" t="s">
        <v>1374</v>
      </c>
      <c r="P67" s="12" t="s">
        <v>1375</v>
      </c>
      <c r="Q67" s="12"/>
      <c r="S67" s="12" t="s">
        <v>485</v>
      </c>
      <c r="T67" s="12"/>
      <c r="U67" s="12" t="s">
        <v>486</v>
      </c>
      <c r="V67" s="8" t="s">
        <v>1109</v>
      </c>
      <c r="W67" s="8" t="s">
        <v>1110</v>
      </c>
      <c r="AC67" s="186"/>
      <c r="AD67" s="8" t="s">
        <v>1462</v>
      </c>
      <c r="AE67" s="8" t="s">
        <v>77</v>
      </c>
      <c r="AJ67" s="80" t="s">
        <v>31</v>
      </c>
      <c r="AK67" s="80" t="s">
        <v>32</v>
      </c>
      <c r="AL67" s="80" t="s">
        <v>1528</v>
      </c>
      <c r="AM67" s="80" t="s">
        <v>1527</v>
      </c>
      <c r="BG67" s="172" t="s">
        <v>1800</v>
      </c>
      <c r="BH67" s="120" t="s">
        <v>1972</v>
      </c>
      <c r="BI67" s="120" t="s">
        <v>1875</v>
      </c>
      <c r="BJ67" s="1" t="s">
        <v>30</v>
      </c>
      <c r="BK67" s="108" t="s">
        <v>29</v>
      </c>
      <c r="BL67" s="110" t="s">
        <v>145</v>
      </c>
      <c r="BM67" s="110" t="s">
        <v>1526</v>
      </c>
      <c r="BN67" s="1" t="s">
        <v>2325</v>
      </c>
    </row>
    <row r="68" spans="1:68">
      <c r="A68" s="29"/>
      <c r="B68" s="29"/>
      <c r="C68" s="29"/>
      <c r="D68" s="32"/>
      <c r="E68" s="23"/>
      <c r="G68" s="33" t="s">
        <v>667</v>
      </c>
      <c r="H68" s="38" t="s">
        <v>668</v>
      </c>
      <c r="I68" s="33" t="s">
        <v>598</v>
      </c>
      <c r="J68" s="39" t="s">
        <v>598</v>
      </c>
      <c r="L68" s="12" t="s">
        <v>1291</v>
      </c>
      <c r="M68" s="12" t="s">
        <v>1306</v>
      </c>
      <c r="N68" s="12">
        <v>100760</v>
      </c>
      <c r="O68" s="12" t="s">
        <v>1374</v>
      </c>
      <c r="P68" s="12" t="s">
        <v>1376</v>
      </c>
      <c r="Q68" s="12"/>
      <c r="S68" s="12" t="s">
        <v>425</v>
      </c>
      <c r="T68" s="12"/>
      <c r="U68" s="12" t="s">
        <v>426</v>
      </c>
      <c r="V68" s="8" t="s">
        <v>1111</v>
      </c>
      <c r="W68" s="8" t="s">
        <v>1112</v>
      </c>
      <c r="AC68" s="186"/>
      <c r="AD68" s="8" t="s">
        <v>1464</v>
      </c>
      <c r="AE68" s="8" t="s">
        <v>1463</v>
      </c>
      <c r="AJ68" s="80" t="s">
        <v>35</v>
      </c>
      <c r="AK68" s="80" t="s">
        <v>36</v>
      </c>
      <c r="AL68" s="81" t="s">
        <v>1529</v>
      </c>
      <c r="AM68" s="80" t="s">
        <v>1530</v>
      </c>
      <c r="AP68" s="73"/>
      <c r="AQ68" s="73"/>
      <c r="AR68" s="73"/>
      <c r="AS68" s="73"/>
      <c r="AT68" s="73"/>
      <c r="AU68" s="73"/>
      <c r="BG68" s="172" t="s">
        <v>1800</v>
      </c>
      <c r="BH68" s="120" t="s">
        <v>1973</v>
      </c>
      <c r="BI68" s="120" t="s">
        <v>1876</v>
      </c>
      <c r="BJ68" s="1" t="s">
        <v>32</v>
      </c>
      <c r="BK68" s="108" t="s">
        <v>31</v>
      </c>
      <c r="BL68" s="110" t="s">
        <v>145</v>
      </c>
      <c r="BM68" s="1" t="s">
        <v>1528</v>
      </c>
      <c r="BN68" s="1" t="s">
        <v>1527</v>
      </c>
    </row>
    <row r="69" spans="1:68">
      <c r="A69" s="29"/>
      <c r="B69" s="29"/>
      <c r="C69" s="29"/>
      <c r="D69" s="32"/>
      <c r="E69" s="23"/>
      <c r="G69" s="33" t="s">
        <v>669</v>
      </c>
      <c r="H69" s="38" t="s">
        <v>670</v>
      </c>
      <c r="I69" s="33" t="s">
        <v>598</v>
      </c>
      <c r="J69" s="39" t="s">
        <v>598</v>
      </c>
      <c r="L69" s="12" t="s">
        <v>1292</v>
      </c>
      <c r="M69" s="12" t="s">
        <v>409</v>
      </c>
      <c r="N69" s="12">
        <v>100760</v>
      </c>
      <c r="O69" s="12" t="s">
        <v>1374</v>
      </c>
      <c r="P69" s="12" t="s">
        <v>1377</v>
      </c>
      <c r="Q69" s="12"/>
      <c r="S69" s="12" t="s">
        <v>489</v>
      </c>
      <c r="T69" s="12"/>
      <c r="U69" s="12" t="s">
        <v>490</v>
      </c>
      <c r="V69" s="8" t="s">
        <v>1113</v>
      </c>
      <c r="W69" s="8" t="s">
        <v>1114</v>
      </c>
      <c r="AC69" s="186"/>
      <c r="AD69" s="8" t="s">
        <v>1466</v>
      </c>
      <c r="AE69" s="8" t="s">
        <v>1465</v>
      </c>
      <c r="AJ69" s="80" t="s">
        <v>341</v>
      </c>
      <c r="AK69" s="80" t="s">
        <v>1531</v>
      </c>
      <c r="AL69" s="80" t="s">
        <v>1532</v>
      </c>
      <c r="AM69" s="80" t="s">
        <v>1530</v>
      </c>
      <c r="BG69" s="172" t="s">
        <v>1816</v>
      </c>
      <c r="BH69" s="120" t="s">
        <v>1974</v>
      </c>
      <c r="BI69" s="120" t="s">
        <v>35</v>
      </c>
      <c r="BJ69" s="1" t="s">
        <v>36</v>
      </c>
      <c r="BK69" s="108" t="s">
        <v>35</v>
      </c>
      <c r="BL69" s="110" t="s">
        <v>336</v>
      </c>
      <c r="BM69" s="110" t="s">
        <v>1529</v>
      </c>
      <c r="BN69" s="1" t="s">
        <v>1530</v>
      </c>
      <c r="BP69" s="1" t="s">
        <v>1837</v>
      </c>
    </row>
    <row r="70" spans="1:68">
      <c r="A70" s="29"/>
      <c r="B70" s="29"/>
      <c r="C70" s="29"/>
      <c r="D70" s="32"/>
      <c r="E70" s="23"/>
      <c r="G70" s="33" t="s">
        <v>672</v>
      </c>
      <c r="H70" s="38" t="s">
        <v>671</v>
      </c>
      <c r="I70" s="33" t="s">
        <v>598</v>
      </c>
      <c r="J70" s="39" t="s">
        <v>598</v>
      </c>
      <c r="L70" s="12" t="s">
        <v>155</v>
      </c>
      <c r="M70" s="12" t="s">
        <v>754</v>
      </c>
      <c r="N70" s="12">
        <v>100760</v>
      </c>
      <c r="O70" s="12" t="s">
        <v>1374</v>
      </c>
      <c r="P70" s="12" t="s">
        <v>1378</v>
      </c>
      <c r="Q70" s="12"/>
      <c r="S70" s="12" t="s">
        <v>492</v>
      </c>
      <c r="T70" s="12"/>
      <c r="U70" s="12" t="s">
        <v>491</v>
      </c>
      <c r="V70" s="8" t="s">
        <v>962</v>
      </c>
      <c r="W70" s="8" t="s">
        <v>967</v>
      </c>
      <c r="AC70" s="186"/>
      <c r="AD70" s="8" t="s">
        <v>1468</v>
      </c>
      <c r="AE70" s="8" t="s">
        <v>1467</v>
      </c>
      <c r="AJ70" s="80" t="s">
        <v>39</v>
      </c>
      <c r="AK70" s="80" t="s">
        <v>40</v>
      </c>
      <c r="AL70" s="80" t="s">
        <v>1532</v>
      </c>
      <c r="AM70" s="80" t="s">
        <v>1530</v>
      </c>
      <c r="BG70" s="172" t="s">
        <v>1800</v>
      </c>
      <c r="BH70" s="120" t="s">
        <v>1975</v>
      </c>
      <c r="BI70" s="120" t="s">
        <v>1877</v>
      </c>
      <c r="BJ70" s="1" t="s">
        <v>1531</v>
      </c>
      <c r="BK70" s="119" t="s">
        <v>1878</v>
      </c>
      <c r="BL70" s="110" t="s">
        <v>336</v>
      </c>
      <c r="BM70" s="1" t="s">
        <v>1532</v>
      </c>
      <c r="BN70" s="1" t="s">
        <v>1530</v>
      </c>
    </row>
    <row r="71" spans="1:68">
      <c r="A71" s="29"/>
      <c r="B71" s="29"/>
      <c r="C71" s="29"/>
      <c r="D71" s="32"/>
      <c r="E71" s="23"/>
      <c r="G71" s="33" t="s">
        <v>673</v>
      </c>
      <c r="H71" s="38" t="s">
        <v>674</v>
      </c>
      <c r="I71" s="33" t="s">
        <v>598</v>
      </c>
      <c r="J71" s="39" t="s">
        <v>598</v>
      </c>
      <c r="L71" s="12" t="s">
        <v>497</v>
      </c>
      <c r="M71" s="12" t="s">
        <v>498</v>
      </c>
      <c r="N71" s="12">
        <v>100760</v>
      </c>
      <c r="O71" s="12" t="s">
        <v>1374</v>
      </c>
      <c r="P71" s="12" t="s">
        <v>1379</v>
      </c>
      <c r="Q71" s="12"/>
      <c r="S71" s="12" t="s">
        <v>224</v>
      </c>
      <c r="T71" s="12"/>
      <c r="U71" s="12" t="s">
        <v>223</v>
      </c>
      <c r="V71" s="8" t="s">
        <v>1115</v>
      </c>
      <c r="W71" s="8" t="s">
        <v>1116</v>
      </c>
      <c r="AC71" s="186"/>
      <c r="AD71" s="8" t="s">
        <v>1470</v>
      </c>
      <c r="AE71" s="8" t="s">
        <v>1469</v>
      </c>
      <c r="AJ71" s="80" t="s">
        <v>43</v>
      </c>
      <c r="AK71" s="80" t="s">
        <v>44</v>
      </c>
      <c r="AL71" s="80" t="s">
        <v>1532</v>
      </c>
      <c r="AM71" s="80" t="s">
        <v>1530</v>
      </c>
      <c r="AP71" s="73"/>
      <c r="AQ71" s="73"/>
      <c r="AR71" s="73"/>
      <c r="AS71" s="73"/>
      <c r="AT71" s="73"/>
      <c r="AU71" s="73"/>
      <c r="BG71" s="172" t="s">
        <v>1800</v>
      </c>
      <c r="BH71" s="120" t="s">
        <v>1976</v>
      </c>
      <c r="BI71" s="120" t="s">
        <v>1879</v>
      </c>
      <c r="BJ71" s="1" t="s">
        <v>40</v>
      </c>
      <c r="BK71" s="108" t="s">
        <v>39</v>
      </c>
      <c r="BL71" s="110" t="s">
        <v>336</v>
      </c>
      <c r="BM71" s="1" t="s">
        <v>1532</v>
      </c>
      <c r="BN71" s="1" t="s">
        <v>1530</v>
      </c>
    </row>
    <row r="72" spans="1:68">
      <c r="A72" s="29"/>
      <c r="B72" s="29"/>
      <c r="C72" s="29"/>
      <c r="D72" s="32"/>
      <c r="E72" s="23"/>
      <c r="G72" s="42" t="s">
        <v>675</v>
      </c>
      <c r="H72" s="43" t="s">
        <v>676</v>
      </c>
      <c r="I72" s="42" t="s">
        <v>598</v>
      </c>
      <c r="J72" s="39" t="s">
        <v>598</v>
      </c>
      <c r="L72" s="12" t="s">
        <v>1293</v>
      </c>
      <c r="M72" s="12" t="s">
        <v>755</v>
      </c>
      <c r="N72" s="12">
        <v>100760</v>
      </c>
      <c r="O72" s="12" t="s">
        <v>1374</v>
      </c>
      <c r="P72" s="12" t="s">
        <v>1380</v>
      </c>
      <c r="Q72" s="12"/>
      <c r="S72" s="12" t="s">
        <v>237</v>
      </c>
      <c r="T72" s="12" t="s">
        <v>111</v>
      </c>
      <c r="U72" s="12" t="s">
        <v>236</v>
      </c>
      <c r="V72" s="8" t="s">
        <v>772</v>
      </c>
      <c r="W72" s="8" t="s">
        <v>1117</v>
      </c>
      <c r="AC72" s="186"/>
      <c r="AD72" s="8" t="s">
        <v>1472</v>
      </c>
      <c r="AE72" s="8" t="s">
        <v>1471</v>
      </c>
      <c r="AJ72" s="80" t="s">
        <v>46</v>
      </c>
      <c r="AK72" s="80" t="s">
        <v>47</v>
      </c>
      <c r="AL72" s="80" t="s">
        <v>1532</v>
      </c>
      <c r="AM72" s="80" t="s">
        <v>1530</v>
      </c>
      <c r="BG72" s="172" t="s">
        <v>1800</v>
      </c>
      <c r="BH72" s="120" t="s">
        <v>1977</v>
      </c>
      <c r="BI72" s="120" t="s">
        <v>1880</v>
      </c>
      <c r="BJ72" s="1" t="s">
        <v>44</v>
      </c>
      <c r="BK72" s="108" t="s">
        <v>43</v>
      </c>
      <c r="BL72" s="110" t="s">
        <v>336</v>
      </c>
      <c r="BM72" s="1" t="s">
        <v>1532</v>
      </c>
      <c r="BN72" s="1" t="s">
        <v>1530</v>
      </c>
    </row>
    <row r="73" spans="1:68">
      <c r="A73" s="29"/>
      <c r="B73" s="29"/>
      <c r="C73" s="29"/>
      <c r="D73" s="32"/>
      <c r="E73" s="23"/>
      <c r="G73" s="33" t="s">
        <v>677</v>
      </c>
      <c r="H73" s="38" t="s">
        <v>678</v>
      </c>
      <c r="I73" s="33" t="s">
        <v>598</v>
      </c>
      <c r="J73" s="39" t="s">
        <v>598</v>
      </c>
      <c r="L73" s="12" t="s">
        <v>1294</v>
      </c>
      <c r="M73" s="12" t="s">
        <v>500</v>
      </c>
      <c r="N73" s="12">
        <v>100760</v>
      </c>
      <c r="O73" s="12" t="s">
        <v>1374</v>
      </c>
      <c r="P73" s="12" t="s">
        <v>1381</v>
      </c>
      <c r="Q73" s="12"/>
      <c r="S73" s="12" t="s">
        <v>834</v>
      </c>
      <c r="T73" s="12" t="s">
        <v>108</v>
      </c>
      <c r="U73" s="12" t="s">
        <v>197</v>
      </c>
      <c r="V73" s="8" t="s">
        <v>788</v>
      </c>
      <c r="W73" s="8" t="s">
        <v>1118</v>
      </c>
      <c r="AC73" s="186"/>
      <c r="AD73" s="8" t="s">
        <v>1474</v>
      </c>
      <c r="AE73" s="8" t="s">
        <v>1722</v>
      </c>
      <c r="AJ73" s="80" t="s">
        <v>48</v>
      </c>
      <c r="AK73" s="80" t="s">
        <v>49</v>
      </c>
      <c r="AL73" s="80" t="s">
        <v>1532</v>
      </c>
      <c r="AM73" s="80" t="s">
        <v>1530</v>
      </c>
      <c r="BG73" s="172" t="s">
        <v>1800</v>
      </c>
      <c r="BH73" s="120" t="s">
        <v>1978</v>
      </c>
      <c r="BI73" s="120" t="s">
        <v>1881</v>
      </c>
      <c r="BJ73" s="1" t="s">
        <v>47</v>
      </c>
      <c r="BK73" s="108" t="s">
        <v>46</v>
      </c>
      <c r="BL73" s="110" t="s">
        <v>336</v>
      </c>
      <c r="BM73" s="1" t="s">
        <v>1532</v>
      </c>
      <c r="BN73" s="1" t="s">
        <v>1530</v>
      </c>
    </row>
    <row r="74" spans="1:68">
      <c r="A74" s="29"/>
      <c r="B74" s="29"/>
      <c r="C74" s="29"/>
      <c r="D74" s="32"/>
      <c r="E74" s="23"/>
      <c r="G74" s="33" t="s">
        <v>679</v>
      </c>
      <c r="H74" s="38" t="s">
        <v>680</v>
      </c>
      <c r="I74" s="33" t="s">
        <v>598</v>
      </c>
      <c r="J74" s="39" t="s">
        <v>598</v>
      </c>
      <c r="L74" s="12" t="s">
        <v>1295</v>
      </c>
      <c r="M74" s="12" t="s">
        <v>500</v>
      </c>
      <c r="N74" s="12">
        <v>100760</v>
      </c>
      <c r="O74" s="12" t="s">
        <v>1374</v>
      </c>
      <c r="P74" s="12" t="s">
        <v>1381</v>
      </c>
      <c r="Q74" s="12"/>
      <c r="S74" s="12" t="s">
        <v>200</v>
      </c>
      <c r="T74" s="12"/>
      <c r="U74" s="12" t="s">
        <v>199</v>
      </c>
      <c r="V74" s="8" t="s">
        <v>1119</v>
      </c>
      <c r="W74" s="8" t="s">
        <v>1120</v>
      </c>
      <c r="AC74" s="186"/>
      <c r="AD74" s="8" t="s">
        <v>1476</v>
      </c>
      <c r="AE74" s="8" t="s">
        <v>1475</v>
      </c>
      <c r="AJ74" s="80" t="s">
        <v>336</v>
      </c>
      <c r="AK74" s="80" t="s">
        <v>1533</v>
      </c>
      <c r="AL74" s="80" t="s">
        <v>1532</v>
      </c>
      <c r="AM74" s="80" t="s">
        <v>1530</v>
      </c>
      <c r="AP74" s="73"/>
      <c r="AQ74" s="73"/>
      <c r="AR74" s="73"/>
      <c r="AS74" s="73"/>
      <c r="AT74" s="73"/>
      <c r="AU74" s="73"/>
      <c r="BG74" s="172" t="s">
        <v>1816</v>
      </c>
      <c r="BH74" s="120" t="s">
        <v>1979</v>
      </c>
      <c r="BI74" s="120" t="s">
        <v>48</v>
      </c>
      <c r="BJ74" s="1" t="s">
        <v>49</v>
      </c>
      <c r="BK74" s="108" t="s">
        <v>48</v>
      </c>
      <c r="BL74" s="110" t="s">
        <v>336</v>
      </c>
      <c r="BM74" s="1" t="s">
        <v>1532</v>
      </c>
      <c r="BN74" s="1" t="s">
        <v>1530</v>
      </c>
      <c r="BP74" s="1" t="s">
        <v>1837</v>
      </c>
    </row>
    <row r="75" spans="1:68">
      <c r="A75" s="29"/>
      <c r="B75" s="29"/>
      <c r="C75" s="29"/>
      <c r="D75" s="32"/>
      <c r="E75" s="23"/>
      <c r="G75" s="44"/>
      <c r="H75" s="44"/>
      <c r="I75" s="44"/>
      <c r="J75" s="33"/>
      <c r="L75" s="12" t="s">
        <v>1296</v>
      </c>
      <c r="M75" s="12" t="s">
        <v>756</v>
      </c>
      <c r="N75" s="12">
        <v>100760</v>
      </c>
      <c r="O75" s="12" t="s">
        <v>1374</v>
      </c>
      <c r="P75" s="12" t="s">
        <v>1382</v>
      </c>
      <c r="Q75" s="12"/>
      <c r="S75" s="12" t="s">
        <v>465</v>
      </c>
      <c r="T75" s="12" t="s">
        <v>463</v>
      </c>
      <c r="U75" s="12" t="s">
        <v>464</v>
      </c>
      <c r="V75" s="8" t="s">
        <v>1121</v>
      </c>
      <c r="W75" s="8" t="s">
        <v>1122</v>
      </c>
      <c r="AC75" s="186"/>
      <c r="AD75" s="8" t="s">
        <v>1481</v>
      </c>
      <c r="AE75" s="8" t="s">
        <v>1480</v>
      </c>
      <c r="AJ75" s="80" t="s">
        <v>1534</v>
      </c>
      <c r="AK75" s="80" t="s">
        <v>1535</v>
      </c>
      <c r="AL75" s="80" t="s">
        <v>1532</v>
      </c>
      <c r="AM75" s="80" t="s">
        <v>1530</v>
      </c>
      <c r="AP75" s="73"/>
      <c r="AQ75" s="73"/>
      <c r="AR75" s="73"/>
      <c r="AS75" s="73"/>
      <c r="AT75" s="73"/>
      <c r="BJ75" s="114" t="s">
        <v>1533</v>
      </c>
      <c r="BK75" s="113" t="s">
        <v>336</v>
      </c>
      <c r="BL75" s="114"/>
      <c r="BM75" s="114" t="s">
        <v>1532</v>
      </c>
      <c r="BN75" s="114" t="s">
        <v>1530</v>
      </c>
      <c r="BO75" s="116" t="s">
        <v>1839</v>
      </c>
    </row>
    <row r="76" spans="1:68">
      <c r="A76" s="29"/>
      <c r="B76" s="29"/>
      <c r="C76" s="29"/>
      <c r="D76" s="32"/>
      <c r="E76" s="23"/>
      <c r="G76" s="33"/>
      <c r="H76" s="33"/>
      <c r="I76" s="33"/>
      <c r="J76" s="33"/>
      <c r="L76" s="12" t="s">
        <v>1297</v>
      </c>
      <c r="M76" s="12" t="s">
        <v>757</v>
      </c>
      <c r="N76" s="12">
        <v>100760</v>
      </c>
      <c r="O76" s="12" t="s">
        <v>1374</v>
      </c>
      <c r="P76" s="12" t="s">
        <v>1383</v>
      </c>
      <c r="Q76" s="12"/>
      <c r="S76" s="12" t="s">
        <v>157</v>
      </c>
      <c r="T76" s="12"/>
      <c r="U76" s="12" t="s">
        <v>156</v>
      </c>
      <c r="V76" s="8" t="s">
        <v>1123</v>
      </c>
      <c r="W76" s="8" t="s">
        <v>1124</v>
      </c>
      <c r="AC76" s="186"/>
      <c r="AD76" s="8" t="s">
        <v>1483</v>
      </c>
      <c r="AE76" s="8" t="s">
        <v>1482</v>
      </c>
      <c r="AJ76" s="80" t="s">
        <v>340</v>
      </c>
      <c r="AK76" s="80" t="s">
        <v>1536</v>
      </c>
      <c r="AL76" s="81" t="s">
        <v>1537</v>
      </c>
      <c r="AM76" s="80" t="s">
        <v>1530</v>
      </c>
      <c r="AP76" s="73"/>
      <c r="AQ76" s="73"/>
      <c r="AR76" s="73"/>
      <c r="AS76" s="73"/>
      <c r="AT76" s="73"/>
      <c r="BJ76" s="114" t="s">
        <v>1535</v>
      </c>
      <c r="BK76" s="113" t="s">
        <v>1534</v>
      </c>
      <c r="BL76" s="114"/>
      <c r="BM76" s="114" t="s">
        <v>1532</v>
      </c>
      <c r="BN76" s="114" t="s">
        <v>1530</v>
      </c>
      <c r="BO76" s="116" t="s">
        <v>1839</v>
      </c>
    </row>
    <row r="77" spans="1:68">
      <c r="A77" s="29"/>
      <c r="B77" s="29"/>
      <c r="C77" s="29"/>
      <c r="D77" s="32"/>
      <c r="E77" s="23"/>
      <c r="G77" s="33"/>
      <c r="H77" s="33"/>
      <c r="I77" s="33"/>
      <c r="J77" s="33"/>
      <c r="L77" s="12" t="s">
        <v>1298</v>
      </c>
      <c r="M77" s="12" t="s">
        <v>388</v>
      </c>
      <c r="N77" s="12">
        <v>100760</v>
      </c>
      <c r="O77" s="12" t="s">
        <v>1374</v>
      </c>
      <c r="P77" s="12" t="s">
        <v>1384</v>
      </c>
      <c r="Q77" s="12"/>
      <c r="S77" s="12" t="s">
        <v>187</v>
      </c>
      <c r="T77" s="12"/>
      <c r="U77" s="12" t="s">
        <v>186</v>
      </c>
      <c r="V77" s="8" t="s">
        <v>1125</v>
      </c>
      <c r="W77" s="8" t="s">
        <v>1126</v>
      </c>
      <c r="AC77" s="186"/>
      <c r="AD77" s="8" t="s">
        <v>1485</v>
      </c>
      <c r="AE77" s="8" t="s">
        <v>1484</v>
      </c>
      <c r="AJ77" s="80" t="s">
        <v>41</v>
      </c>
      <c r="AK77" s="80" t="s">
        <v>42</v>
      </c>
      <c r="AL77" s="80" t="s">
        <v>1538</v>
      </c>
      <c r="AM77" s="80" t="s">
        <v>1530</v>
      </c>
      <c r="AP77" s="73"/>
      <c r="AQ77" s="73"/>
      <c r="AR77" s="73"/>
      <c r="AS77" s="73"/>
      <c r="AT77" s="73"/>
      <c r="BG77" s="172" t="s">
        <v>1800</v>
      </c>
      <c r="BH77" s="131" t="s">
        <v>1981</v>
      </c>
      <c r="BI77" s="117" t="s">
        <v>1882</v>
      </c>
      <c r="BJ77" s="1" t="s">
        <v>1536</v>
      </c>
      <c r="BK77" s="108" t="s">
        <v>340</v>
      </c>
      <c r="BL77" s="110" t="s">
        <v>1906</v>
      </c>
      <c r="BM77" s="110" t="s">
        <v>1537</v>
      </c>
      <c r="BN77" s="1" t="s">
        <v>1530</v>
      </c>
    </row>
    <row r="78" spans="1:68">
      <c r="A78" s="29"/>
      <c r="B78" s="29"/>
      <c r="C78" s="29"/>
      <c r="D78" s="32"/>
      <c r="E78" s="23"/>
      <c r="G78" s="33"/>
      <c r="H78" s="33"/>
      <c r="I78" s="33"/>
      <c r="J78" s="33"/>
      <c r="L78" s="12" t="s">
        <v>1238</v>
      </c>
      <c r="M78" s="12" t="s">
        <v>514</v>
      </c>
      <c r="N78" s="12">
        <v>100760</v>
      </c>
      <c r="O78" s="12" t="s">
        <v>1374</v>
      </c>
      <c r="P78" s="12" t="s">
        <v>1385</v>
      </c>
      <c r="Q78" s="12"/>
      <c r="S78" s="12" t="s">
        <v>258</v>
      </c>
      <c r="T78" s="12" t="s">
        <v>189</v>
      </c>
      <c r="U78" s="12" t="s">
        <v>188</v>
      </c>
      <c r="V78" s="8" t="s">
        <v>1127</v>
      </c>
      <c r="W78" s="8" t="s">
        <v>1128</v>
      </c>
      <c r="AC78" s="186"/>
      <c r="AD78" s="8" t="s">
        <v>1487</v>
      </c>
      <c r="AE78" s="8" t="s">
        <v>1486</v>
      </c>
      <c r="AJ78" s="80" t="s">
        <v>1539</v>
      </c>
      <c r="AK78" s="80" t="s">
        <v>1540</v>
      </c>
      <c r="AL78" s="80" t="s">
        <v>1538</v>
      </c>
      <c r="AM78" s="80" t="s">
        <v>1530</v>
      </c>
      <c r="AP78" s="73"/>
      <c r="AQ78" s="73"/>
      <c r="AR78" s="73"/>
      <c r="AS78" s="73"/>
      <c r="AT78" s="73"/>
      <c r="BG78" s="172" t="s">
        <v>1800</v>
      </c>
      <c r="BH78" s="120" t="s">
        <v>1983</v>
      </c>
      <c r="BI78" s="120" t="s">
        <v>1883</v>
      </c>
      <c r="BJ78" s="121" t="s">
        <v>42</v>
      </c>
      <c r="BK78" s="112" t="s">
        <v>41</v>
      </c>
      <c r="BL78" s="110" t="s">
        <v>1906</v>
      </c>
      <c r="BM78" s="1" t="s">
        <v>1538</v>
      </c>
      <c r="BN78" s="1" t="s">
        <v>1530</v>
      </c>
    </row>
    <row r="79" spans="1:68">
      <c r="A79" s="29"/>
      <c r="B79" s="29"/>
      <c r="C79" s="29"/>
      <c r="D79" s="32"/>
      <c r="E79" s="23"/>
      <c r="G79" s="33"/>
      <c r="H79" s="33"/>
      <c r="I79" s="33"/>
      <c r="J79" s="33"/>
      <c r="L79" s="12" t="s">
        <v>1299</v>
      </c>
      <c r="M79" s="12" t="s">
        <v>1307</v>
      </c>
      <c r="N79" s="12">
        <v>100760</v>
      </c>
      <c r="O79" s="12" t="s">
        <v>1374</v>
      </c>
      <c r="P79" s="12" t="s">
        <v>1386</v>
      </c>
      <c r="Q79" s="12"/>
      <c r="S79" s="12" t="s">
        <v>483</v>
      </c>
      <c r="T79" s="12" t="s">
        <v>1011</v>
      </c>
      <c r="U79" s="12" t="s">
        <v>188</v>
      </c>
      <c r="V79" s="8" t="s">
        <v>1129</v>
      </c>
      <c r="W79" s="8" t="s">
        <v>1130</v>
      </c>
      <c r="X79" s="76"/>
      <c r="AC79" s="186"/>
      <c r="AD79" s="8" t="s">
        <v>1505</v>
      </c>
      <c r="AE79" s="8" t="s">
        <v>1504</v>
      </c>
      <c r="AJ79" s="80" t="s">
        <v>1421</v>
      </c>
      <c r="AK79" s="80" t="s">
        <v>1541</v>
      </c>
      <c r="AL79" s="80" t="s">
        <v>1538</v>
      </c>
      <c r="AM79" s="80" t="s">
        <v>1530</v>
      </c>
      <c r="AP79" s="73"/>
      <c r="AQ79" s="73"/>
      <c r="AR79" s="73"/>
      <c r="AS79" s="73"/>
      <c r="AT79" s="73"/>
      <c r="BG79" s="172" t="s">
        <v>1800</v>
      </c>
      <c r="BH79" s="120" t="s">
        <v>1985</v>
      </c>
      <c r="BI79" s="120" t="s">
        <v>1884</v>
      </c>
      <c r="BJ79" s="1" t="s">
        <v>1540</v>
      </c>
      <c r="BK79" s="119" t="s">
        <v>1885</v>
      </c>
      <c r="BL79" s="110" t="s">
        <v>1906</v>
      </c>
      <c r="BM79" s="1" t="s">
        <v>1538</v>
      </c>
      <c r="BN79" s="1" t="s">
        <v>1530</v>
      </c>
    </row>
    <row r="80" spans="1:68">
      <c r="A80" s="29"/>
      <c r="B80" s="29"/>
      <c r="C80" s="29"/>
      <c r="D80" s="32"/>
      <c r="E80" s="23"/>
      <c r="G80" s="33"/>
      <c r="H80" s="33"/>
      <c r="I80" s="33"/>
      <c r="J80" s="33"/>
      <c r="L80" s="12" t="s">
        <v>1300</v>
      </c>
      <c r="M80" s="12" t="s">
        <v>758</v>
      </c>
      <c r="N80" s="12">
        <v>100760</v>
      </c>
      <c r="O80" s="12" t="s">
        <v>1374</v>
      </c>
      <c r="P80" s="12" t="s">
        <v>1387</v>
      </c>
      <c r="Q80" s="12"/>
      <c r="S80" s="12"/>
      <c r="T80" s="12" t="s">
        <v>114</v>
      </c>
      <c r="U80" s="12" t="s">
        <v>1012</v>
      </c>
      <c r="V80" s="8" t="s">
        <v>1131</v>
      </c>
      <c r="W80" s="8" t="s">
        <v>1132</v>
      </c>
      <c r="AC80" s="186"/>
      <c r="AD80" s="8" t="s">
        <v>1507</v>
      </c>
      <c r="AE80" s="8" t="s">
        <v>1506</v>
      </c>
      <c r="AJ80" s="80" t="s">
        <v>1542</v>
      </c>
      <c r="AK80" s="80" t="s">
        <v>42</v>
      </c>
      <c r="AL80" s="80" t="s">
        <v>1538</v>
      </c>
      <c r="AM80" s="80" t="s">
        <v>1530</v>
      </c>
      <c r="AP80" s="73"/>
      <c r="AQ80" s="73"/>
      <c r="AR80" s="73"/>
      <c r="AS80" s="73"/>
      <c r="AT80" s="73"/>
      <c r="BJ80" s="114" t="s">
        <v>1541</v>
      </c>
      <c r="BK80" s="113" t="s">
        <v>1421</v>
      </c>
      <c r="BL80" s="114"/>
      <c r="BM80" s="114" t="s">
        <v>1538</v>
      </c>
      <c r="BN80" s="114" t="s">
        <v>1530</v>
      </c>
      <c r="BO80" s="116" t="s">
        <v>1839</v>
      </c>
    </row>
    <row r="81" spans="1:67">
      <c r="A81" s="29"/>
      <c r="B81" s="29"/>
      <c r="C81" s="29"/>
      <c r="D81" s="32"/>
      <c r="E81" s="23"/>
      <c r="G81" s="33"/>
      <c r="H81" s="33"/>
      <c r="I81" s="33"/>
      <c r="J81" s="33"/>
      <c r="L81" s="12" t="s">
        <v>1301</v>
      </c>
      <c r="M81" s="12" t="s">
        <v>501</v>
      </c>
      <c r="N81" s="12">
        <v>100760</v>
      </c>
      <c r="O81" s="12" t="s">
        <v>1374</v>
      </c>
      <c r="P81" s="12" t="s">
        <v>1388</v>
      </c>
      <c r="Q81" s="12"/>
      <c r="S81" s="12" t="s">
        <v>254</v>
      </c>
      <c r="T81" s="12"/>
      <c r="U81" s="12" t="s">
        <v>253</v>
      </c>
      <c r="V81" s="8" t="s">
        <v>1133</v>
      </c>
      <c r="W81" s="8" t="s">
        <v>1134</v>
      </c>
      <c r="AC81" s="186"/>
      <c r="AD81" s="8" t="s">
        <v>1509</v>
      </c>
      <c r="AE81" s="8" t="s">
        <v>1508</v>
      </c>
      <c r="AJ81" s="80" t="s">
        <v>1543</v>
      </c>
      <c r="AK81" s="80" t="s">
        <v>1544</v>
      </c>
      <c r="AL81" s="80" t="s">
        <v>1538</v>
      </c>
      <c r="AM81" s="80" t="s">
        <v>1530</v>
      </c>
      <c r="BJ81" s="123" t="s">
        <v>42</v>
      </c>
      <c r="BK81" s="124" t="s">
        <v>1542</v>
      </c>
      <c r="BL81" s="125"/>
      <c r="BM81" s="125" t="s">
        <v>1538</v>
      </c>
      <c r="BN81" s="125" t="s">
        <v>1530</v>
      </c>
      <c r="BO81" s="116" t="s">
        <v>1886</v>
      </c>
    </row>
    <row r="82" spans="1:67">
      <c r="A82" s="29"/>
      <c r="B82" s="29"/>
      <c r="C82" s="29"/>
      <c r="D82" s="32"/>
      <c r="E82" s="23"/>
      <c r="G82" s="33"/>
      <c r="H82" s="33"/>
      <c r="I82" s="33"/>
      <c r="J82" s="33"/>
      <c r="L82" s="12" t="s">
        <v>1302</v>
      </c>
      <c r="M82" s="12" t="s">
        <v>759</v>
      </c>
      <c r="N82" s="12">
        <v>100760</v>
      </c>
      <c r="O82" s="12" t="s">
        <v>1374</v>
      </c>
      <c r="P82" s="12" t="s">
        <v>1389</v>
      </c>
      <c r="Q82" s="12"/>
      <c r="S82" s="12" t="s">
        <v>239</v>
      </c>
      <c r="T82" s="12"/>
      <c r="U82" s="12" t="s">
        <v>238</v>
      </c>
      <c r="V82" s="8" t="s">
        <v>1135</v>
      </c>
      <c r="W82" s="8" t="s">
        <v>1136</v>
      </c>
      <c r="AC82" s="186"/>
      <c r="AD82" s="8" t="s">
        <v>1511</v>
      </c>
      <c r="AE82" s="8" t="s">
        <v>1510</v>
      </c>
      <c r="AJ82" s="80" t="s">
        <v>37</v>
      </c>
      <c r="AK82" s="80" t="s">
        <v>38</v>
      </c>
      <c r="AL82" s="81" t="s">
        <v>1545</v>
      </c>
      <c r="AM82" s="80" t="s">
        <v>1530</v>
      </c>
      <c r="BG82" s="172" t="s">
        <v>1800</v>
      </c>
      <c r="BH82" s="120" t="s">
        <v>1987</v>
      </c>
      <c r="BI82" s="120" t="s">
        <v>1887</v>
      </c>
      <c r="BJ82" s="1" t="s">
        <v>1544</v>
      </c>
      <c r="BK82" s="108" t="s">
        <v>1543</v>
      </c>
      <c r="BL82" s="110" t="s">
        <v>1906</v>
      </c>
      <c r="BM82" s="1" t="s">
        <v>1538</v>
      </c>
      <c r="BN82" s="1" t="s">
        <v>1530</v>
      </c>
    </row>
    <row r="83" spans="1:67">
      <c r="A83" s="29"/>
      <c r="B83" s="29"/>
      <c r="C83" s="29"/>
      <c r="D83" s="32"/>
      <c r="E83" s="23"/>
      <c r="G83" s="33"/>
      <c r="H83" s="33"/>
      <c r="I83" s="33"/>
      <c r="J83" s="33"/>
      <c r="L83" s="12" t="s">
        <v>1303</v>
      </c>
      <c r="M83" s="12" t="s">
        <v>760</v>
      </c>
      <c r="N83" s="12">
        <v>100760</v>
      </c>
      <c r="O83" s="12" t="s">
        <v>1374</v>
      </c>
      <c r="P83" s="12" t="s">
        <v>1390</v>
      </c>
      <c r="Q83" s="12"/>
      <c r="S83" s="12" t="s">
        <v>231</v>
      </c>
      <c r="T83" s="12"/>
      <c r="U83" s="12" t="s">
        <v>230</v>
      </c>
      <c r="V83" s="8" t="s">
        <v>783</v>
      </c>
      <c r="W83" s="8" t="s">
        <v>1137</v>
      </c>
      <c r="AC83" s="186"/>
      <c r="AD83" s="8" t="s">
        <v>1516</v>
      </c>
      <c r="AE83" s="8" t="s">
        <v>1515</v>
      </c>
      <c r="AJ83" s="80" t="s">
        <v>342</v>
      </c>
      <c r="AK83" s="80" t="s">
        <v>1546</v>
      </c>
      <c r="AL83" s="80" t="s">
        <v>1547</v>
      </c>
      <c r="AM83" s="80" t="s">
        <v>1530</v>
      </c>
      <c r="BG83" s="172" t="s">
        <v>1800</v>
      </c>
      <c r="BH83" s="120" t="s">
        <v>1989</v>
      </c>
      <c r="BI83" s="120" t="s">
        <v>1888</v>
      </c>
      <c r="BJ83" s="1" t="s">
        <v>38</v>
      </c>
      <c r="BK83" s="108" t="s">
        <v>37</v>
      </c>
      <c r="BL83" s="110" t="s">
        <v>1904</v>
      </c>
      <c r="BM83" s="110" t="s">
        <v>1545</v>
      </c>
      <c r="BN83" s="1" t="s">
        <v>1530</v>
      </c>
    </row>
    <row r="84" spans="1:67">
      <c r="A84" s="67"/>
      <c r="B84" s="67"/>
      <c r="C84" s="67"/>
      <c r="D84" s="67"/>
      <c r="E84" s="67"/>
      <c r="G84" s="33"/>
      <c r="H84" s="33"/>
      <c r="I84" s="33"/>
      <c r="J84" s="33"/>
      <c r="L84" s="161" t="s">
        <v>2322</v>
      </c>
      <c r="M84" s="161" t="s">
        <v>2323</v>
      </c>
      <c r="N84" s="161"/>
      <c r="O84" s="161"/>
      <c r="P84" s="162"/>
      <c r="Q84" s="163" t="s">
        <v>2324</v>
      </c>
      <c r="S84" s="12" t="s">
        <v>835</v>
      </c>
      <c r="T84" s="12" t="s">
        <v>456</v>
      </c>
      <c r="U84" s="12" t="s">
        <v>457</v>
      </c>
      <c r="V84" s="8" t="s">
        <v>1138</v>
      </c>
      <c r="W84" s="8" t="s">
        <v>1139</v>
      </c>
      <c r="AC84" s="186"/>
      <c r="AD84" s="8" t="s">
        <v>1518</v>
      </c>
      <c r="AE84" s="8" t="s">
        <v>1517</v>
      </c>
      <c r="AJ84" s="80" t="s">
        <v>1419</v>
      </c>
      <c r="AK84" s="80" t="s">
        <v>1419</v>
      </c>
      <c r="AL84" s="80" t="s">
        <v>1547</v>
      </c>
      <c r="AM84" s="80" t="s">
        <v>1530</v>
      </c>
      <c r="BG84" s="172" t="s">
        <v>1800</v>
      </c>
      <c r="BH84" s="131" t="s">
        <v>1991</v>
      </c>
      <c r="BI84" s="117" t="s">
        <v>1889</v>
      </c>
      <c r="BJ84" s="1" t="s">
        <v>1546</v>
      </c>
      <c r="BK84" s="108" t="s">
        <v>342</v>
      </c>
      <c r="BL84" s="110" t="s">
        <v>1904</v>
      </c>
      <c r="BM84" s="1" t="s">
        <v>1547</v>
      </c>
      <c r="BN84" s="1" t="s">
        <v>1530</v>
      </c>
    </row>
    <row r="85" spans="1:67">
      <c r="A85" s="67"/>
      <c r="B85" s="67"/>
      <c r="C85" s="67"/>
      <c r="D85" s="67"/>
      <c r="E85" s="67"/>
      <c r="G85" s="194" t="s">
        <v>681</v>
      </c>
      <c r="H85" s="195"/>
      <c r="I85" s="195"/>
      <c r="J85" s="196"/>
      <c r="L85" s="198" t="s">
        <v>595</v>
      </c>
      <c r="M85" s="199"/>
      <c r="N85" s="199"/>
      <c r="O85" s="199"/>
      <c r="P85" s="199"/>
      <c r="Q85" s="200"/>
      <c r="S85" s="12" t="s">
        <v>257</v>
      </c>
      <c r="T85" s="12" t="s">
        <v>162</v>
      </c>
      <c r="U85" s="12" t="s">
        <v>161</v>
      </c>
      <c r="V85" s="8" t="s">
        <v>1140</v>
      </c>
      <c r="W85" s="8" t="s">
        <v>1141</v>
      </c>
      <c r="AC85" s="186"/>
      <c r="AD85" s="8" t="s">
        <v>1520</v>
      </c>
      <c r="AE85" s="8" t="s">
        <v>1519</v>
      </c>
      <c r="AJ85" s="80" t="s">
        <v>1548</v>
      </c>
      <c r="AK85" s="80" t="s">
        <v>1549</v>
      </c>
      <c r="AL85" s="81" t="s">
        <v>1550</v>
      </c>
      <c r="AM85" s="80" t="s">
        <v>1551</v>
      </c>
      <c r="BJ85" s="114" t="s">
        <v>1419</v>
      </c>
      <c r="BK85" s="113" t="s">
        <v>1419</v>
      </c>
      <c r="BL85" s="114"/>
      <c r="BM85" s="114" t="s">
        <v>1547</v>
      </c>
      <c r="BN85" s="114" t="s">
        <v>1530</v>
      </c>
      <c r="BO85" s="116" t="s">
        <v>1839</v>
      </c>
    </row>
    <row r="86" spans="1:67">
      <c r="A86" s="67"/>
      <c r="B86" s="67"/>
      <c r="C86" s="67"/>
      <c r="D86" s="67"/>
      <c r="E86" s="67"/>
      <c r="G86" s="27" t="s">
        <v>390</v>
      </c>
      <c r="H86" s="45" t="s">
        <v>139</v>
      </c>
      <c r="I86" s="27" t="s">
        <v>353</v>
      </c>
      <c r="J86" s="28" t="s">
        <v>121</v>
      </c>
      <c r="L86" s="159" t="s">
        <v>140</v>
      </c>
      <c r="M86" s="159" t="s">
        <v>139</v>
      </c>
      <c r="N86" s="159" t="s">
        <v>141</v>
      </c>
      <c r="O86" s="159" t="s">
        <v>733</v>
      </c>
      <c r="P86" s="160"/>
      <c r="Q86" s="160" t="s">
        <v>1403</v>
      </c>
      <c r="S86" s="12" t="s">
        <v>817</v>
      </c>
      <c r="T86" s="12" t="s">
        <v>447</v>
      </c>
      <c r="U86" s="12" t="s">
        <v>448</v>
      </c>
      <c r="V86" s="8" t="s">
        <v>1142</v>
      </c>
      <c r="W86" s="8" t="s">
        <v>1143</v>
      </c>
      <c r="AC86" s="186"/>
      <c r="AD86" s="8" t="s">
        <v>1544</v>
      </c>
      <c r="AE86" s="8" t="s">
        <v>1543</v>
      </c>
      <c r="AJ86" s="80" t="s">
        <v>1552</v>
      </c>
      <c r="AK86" s="80" t="s">
        <v>1549</v>
      </c>
      <c r="AL86" s="81" t="s">
        <v>1550</v>
      </c>
      <c r="AM86" s="80" t="s">
        <v>1551</v>
      </c>
      <c r="BG86" s="172" t="s">
        <v>1800</v>
      </c>
      <c r="BH86" s="120" t="s">
        <v>1674</v>
      </c>
      <c r="BI86" s="120" t="s">
        <v>1890</v>
      </c>
      <c r="BJ86" s="126" t="s">
        <v>1549</v>
      </c>
      <c r="BK86" s="108" t="s">
        <v>1548</v>
      </c>
      <c r="BL86" s="126" t="s">
        <v>1418</v>
      </c>
      <c r="BM86" s="110" t="s">
        <v>1550</v>
      </c>
      <c r="BN86" s="1" t="s">
        <v>1556</v>
      </c>
    </row>
    <row r="87" spans="1:67">
      <c r="A87" s="67"/>
      <c r="B87" s="67"/>
      <c r="C87" s="67"/>
      <c r="D87" s="67"/>
      <c r="E87" s="67"/>
      <c r="G87" s="46" t="s">
        <v>682</v>
      </c>
      <c r="H87" s="5" t="s">
        <v>22</v>
      </c>
      <c r="I87" s="47" t="s">
        <v>683</v>
      </c>
      <c r="J87" s="47"/>
      <c r="L87" s="164" t="s">
        <v>508</v>
      </c>
      <c r="M87" s="164" t="s">
        <v>1402</v>
      </c>
      <c r="N87" s="165">
        <v>100760</v>
      </c>
      <c r="O87" s="164" t="s">
        <v>761</v>
      </c>
      <c r="P87" s="166"/>
      <c r="Q87" s="166" t="s">
        <v>117</v>
      </c>
      <c r="S87" s="12" t="s">
        <v>818</v>
      </c>
      <c r="T87" s="12" t="s">
        <v>458</v>
      </c>
      <c r="U87" s="12" t="s">
        <v>459</v>
      </c>
      <c r="V87" s="8" t="s">
        <v>1144</v>
      </c>
      <c r="W87" s="8" t="s">
        <v>1145</v>
      </c>
      <c r="AC87" s="186"/>
      <c r="AD87" s="8"/>
      <c r="AE87" s="8"/>
      <c r="AJ87" s="80" t="s">
        <v>1553</v>
      </c>
      <c r="AK87" s="80" t="s">
        <v>1554</v>
      </c>
      <c r="AL87" s="81" t="s">
        <v>1555</v>
      </c>
      <c r="AM87" s="80" t="s">
        <v>1556</v>
      </c>
      <c r="BJ87" s="127" t="s">
        <v>1549</v>
      </c>
      <c r="BK87" s="122" t="s">
        <v>1552</v>
      </c>
      <c r="BL87" s="125"/>
      <c r="BM87" s="128" t="s">
        <v>1550</v>
      </c>
      <c r="BN87" s="125" t="s">
        <v>1556</v>
      </c>
      <c r="BO87" s="116" t="s">
        <v>1886</v>
      </c>
    </row>
    <row r="88" spans="1:67">
      <c r="A88" s="67"/>
      <c r="B88" s="67"/>
      <c r="C88" s="67"/>
      <c r="D88" s="67"/>
      <c r="E88" s="67"/>
      <c r="G88" s="46" t="s">
        <v>352</v>
      </c>
      <c r="H88" s="5" t="s">
        <v>23</v>
      </c>
      <c r="I88" s="47" t="s">
        <v>684</v>
      </c>
      <c r="J88" s="47"/>
      <c r="L88" s="164" t="s">
        <v>152</v>
      </c>
      <c r="M88" s="164" t="s">
        <v>1402</v>
      </c>
      <c r="N88" s="165">
        <v>100760</v>
      </c>
      <c r="O88" s="164" t="s">
        <v>762</v>
      </c>
      <c r="P88" s="166"/>
      <c r="Q88" s="166" t="s">
        <v>326</v>
      </c>
      <c r="S88" s="12" t="s">
        <v>263</v>
      </c>
      <c r="T88" s="12" t="s">
        <v>1010</v>
      </c>
      <c r="U88" s="12" t="s">
        <v>206</v>
      </c>
      <c r="V88" s="8" t="s">
        <v>1146</v>
      </c>
      <c r="W88" s="8" t="s">
        <v>1147</v>
      </c>
      <c r="AC88" s="186"/>
      <c r="AD88" s="8"/>
      <c r="AE88" s="8"/>
      <c r="AJ88" s="80" t="s">
        <v>1557</v>
      </c>
      <c r="AK88" s="80" t="s">
        <v>94</v>
      </c>
      <c r="AL88" s="80" t="s">
        <v>1558</v>
      </c>
      <c r="AM88" s="80" t="s">
        <v>1556</v>
      </c>
      <c r="BJ88" s="129" t="s">
        <v>1554</v>
      </c>
      <c r="BK88" s="122" t="s">
        <v>1553</v>
      </c>
      <c r="BL88" s="122"/>
      <c r="BM88" s="122" t="s">
        <v>1555</v>
      </c>
      <c r="BN88" s="122" t="s">
        <v>1556</v>
      </c>
      <c r="BO88" s="116" t="s">
        <v>1886</v>
      </c>
    </row>
    <row r="89" spans="1:67">
      <c r="A89" s="67"/>
      <c r="B89" s="67"/>
      <c r="C89" s="67"/>
      <c r="D89" s="67"/>
      <c r="E89" s="67"/>
      <c r="G89" s="46" t="s">
        <v>685</v>
      </c>
      <c r="H89" s="5" t="s">
        <v>2</v>
      </c>
      <c r="I89" s="47" t="s">
        <v>686</v>
      </c>
      <c r="J89" s="47"/>
      <c r="L89" s="164" t="s">
        <v>329</v>
      </c>
      <c r="M89" s="164" t="s">
        <v>1402</v>
      </c>
      <c r="N89" s="165">
        <v>100760</v>
      </c>
      <c r="O89" s="164" t="s">
        <v>764</v>
      </c>
      <c r="P89" s="166"/>
      <c r="Q89" s="166" t="s">
        <v>115</v>
      </c>
      <c r="S89" s="12" t="s">
        <v>262</v>
      </c>
      <c r="T89" s="12" t="s">
        <v>819</v>
      </c>
      <c r="U89" s="12" t="s">
        <v>205</v>
      </c>
      <c r="V89" s="8" t="s">
        <v>1148</v>
      </c>
      <c r="W89" s="8" t="s">
        <v>1149</v>
      </c>
      <c r="AC89" s="186"/>
      <c r="AD89" s="8"/>
      <c r="AE89" s="8"/>
      <c r="AJ89" s="80" t="s">
        <v>1417</v>
      </c>
      <c r="AK89" s="80" t="s">
        <v>1559</v>
      </c>
      <c r="AL89" s="80" t="s">
        <v>1558</v>
      </c>
      <c r="AM89" s="80" t="s">
        <v>1556</v>
      </c>
      <c r="BG89" s="172" t="s">
        <v>1800</v>
      </c>
      <c r="BH89" s="120" t="s">
        <v>1673</v>
      </c>
      <c r="BI89" s="120" t="s">
        <v>1891</v>
      </c>
      <c r="BJ89" s="130" t="s">
        <v>94</v>
      </c>
      <c r="BK89" s="112" t="s">
        <v>1892</v>
      </c>
      <c r="BL89" s="110" t="s">
        <v>1417</v>
      </c>
      <c r="BM89" s="1" t="s">
        <v>1558</v>
      </c>
      <c r="BN89" s="1" t="s">
        <v>1556</v>
      </c>
    </row>
    <row r="90" spans="1:67">
      <c r="A90" s="67"/>
      <c r="B90" s="67"/>
      <c r="C90" s="67"/>
      <c r="D90" s="67"/>
      <c r="E90" s="67"/>
      <c r="G90" s="46" t="s">
        <v>687</v>
      </c>
      <c r="H90" s="5" t="s">
        <v>3</v>
      </c>
      <c r="I90" s="47" t="s">
        <v>688</v>
      </c>
      <c r="J90" s="47"/>
      <c r="L90" s="164" t="s">
        <v>155</v>
      </c>
      <c r="M90" s="164" t="s">
        <v>1402</v>
      </c>
      <c r="N90" s="165">
        <v>100760</v>
      </c>
      <c r="O90" s="164" t="s">
        <v>155</v>
      </c>
      <c r="P90" s="166"/>
      <c r="Q90" s="166" t="s">
        <v>754</v>
      </c>
      <c r="S90" s="12" t="s">
        <v>836</v>
      </c>
      <c r="T90" s="12" t="s">
        <v>820</v>
      </c>
      <c r="U90" s="12" t="s">
        <v>433</v>
      </c>
      <c r="V90" s="8" t="s">
        <v>1150</v>
      </c>
      <c r="W90" s="8" t="s">
        <v>1151</v>
      </c>
      <c r="AC90" s="187"/>
      <c r="AD90" s="8"/>
      <c r="AE90" s="8"/>
      <c r="AJ90" s="80" t="s">
        <v>1560</v>
      </c>
      <c r="AK90" s="80" t="s">
        <v>94</v>
      </c>
      <c r="AL90" s="80" t="s">
        <v>1558</v>
      </c>
      <c r="AM90" s="80" t="s">
        <v>1556</v>
      </c>
      <c r="BJ90" s="115" t="s">
        <v>1559</v>
      </c>
      <c r="BK90" s="113" t="s">
        <v>1417</v>
      </c>
      <c r="BL90" s="114"/>
      <c r="BM90" s="114" t="s">
        <v>1558</v>
      </c>
      <c r="BN90" s="114" t="s">
        <v>1556</v>
      </c>
      <c r="BO90" s="116" t="s">
        <v>1839</v>
      </c>
    </row>
    <row r="91" spans="1:67">
      <c r="A91" s="67"/>
      <c r="B91" s="67"/>
      <c r="C91" s="67"/>
      <c r="D91" s="67"/>
      <c r="E91" s="67"/>
      <c r="G91" s="46" t="s">
        <v>689</v>
      </c>
      <c r="H91" s="5" t="s">
        <v>5</v>
      </c>
      <c r="I91" s="47" t="s">
        <v>690</v>
      </c>
      <c r="J91" s="47"/>
      <c r="L91" s="167" t="s">
        <v>129</v>
      </c>
      <c r="M91" s="164" t="s">
        <v>1402</v>
      </c>
      <c r="N91" s="168">
        <v>100760</v>
      </c>
      <c r="O91" s="164" t="s">
        <v>765</v>
      </c>
      <c r="P91" s="166"/>
      <c r="Q91" s="166" t="s">
        <v>129</v>
      </c>
      <c r="S91" s="12" t="s">
        <v>837</v>
      </c>
      <c r="T91" s="12" t="s">
        <v>112</v>
      </c>
      <c r="U91" s="12" t="s">
        <v>213</v>
      </c>
      <c r="V91" s="8" t="s">
        <v>1152</v>
      </c>
      <c r="W91" s="8" t="s">
        <v>1153</v>
      </c>
      <c r="BJ91" s="129" t="s">
        <v>94</v>
      </c>
      <c r="BK91" s="122" t="s">
        <v>1560</v>
      </c>
      <c r="BL91" s="122"/>
      <c r="BM91" s="122" t="s">
        <v>1555</v>
      </c>
      <c r="BN91" s="122" t="s">
        <v>1556</v>
      </c>
      <c r="BO91" s="116" t="s">
        <v>1886</v>
      </c>
    </row>
    <row r="92" spans="1:67">
      <c r="A92" s="67"/>
      <c r="B92" s="67"/>
      <c r="C92" s="67"/>
      <c r="D92" s="67"/>
      <c r="E92" s="67"/>
      <c r="G92" s="46" t="s">
        <v>691</v>
      </c>
      <c r="H92" s="5" t="s">
        <v>6</v>
      </c>
      <c r="I92" s="47" t="s">
        <v>692</v>
      </c>
      <c r="J92" s="47"/>
      <c r="L92" s="164" t="s">
        <v>119</v>
      </c>
      <c r="M92" s="164" t="s">
        <v>1402</v>
      </c>
      <c r="N92" s="165">
        <v>100760</v>
      </c>
      <c r="O92" s="164" t="s">
        <v>766</v>
      </c>
      <c r="P92" s="166"/>
      <c r="Q92" s="166" t="s">
        <v>119</v>
      </c>
      <c r="S92" s="12" t="s">
        <v>838</v>
      </c>
      <c r="T92" s="12"/>
      <c r="U92" s="12" t="s">
        <v>442</v>
      </c>
      <c r="V92" s="8" t="s">
        <v>1154</v>
      </c>
      <c r="W92" s="8" t="s">
        <v>1147</v>
      </c>
      <c r="AK92" t="s">
        <v>1737</v>
      </c>
      <c r="BH92" s="120" t="s">
        <v>2331</v>
      </c>
      <c r="BI92" s="120" t="s">
        <v>2334</v>
      </c>
      <c r="BJ92" s="1" t="s">
        <v>2331</v>
      </c>
      <c r="BK92" s="108" t="s">
        <v>2335</v>
      </c>
      <c r="BL92" s="1" t="s">
        <v>2340</v>
      </c>
      <c r="BM92" s="1" t="s">
        <v>1558</v>
      </c>
      <c r="BN92" s="1" t="s">
        <v>1556</v>
      </c>
      <c r="BO92" s="1" t="s">
        <v>2336</v>
      </c>
    </row>
    <row r="93" spans="1:67">
      <c r="A93" s="67"/>
      <c r="B93" s="67"/>
      <c r="C93" s="67"/>
      <c r="D93" s="67"/>
      <c r="E93" s="67"/>
      <c r="G93" s="46" t="s">
        <v>693</v>
      </c>
      <c r="H93" s="5" t="s">
        <v>8</v>
      </c>
      <c r="I93" s="47" t="s">
        <v>694</v>
      </c>
      <c r="J93" s="47"/>
      <c r="L93" s="164" t="s">
        <v>151</v>
      </c>
      <c r="M93" s="164" t="s">
        <v>1402</v>
      </c>
      <c r="N93" s="165">
        <v>100760</v>
      </c>
      <c r="O93" s="164" t="s">
        <v>767</v>
      </c>
      <c r="P93" s="166"/>
      <c r="Q93" s="166" t="s">
        <v>387</v>
      </c>
      <c r="S93" s="12" t="s">
        <v>268</v>
      </c>
      <c r="T93" s="12" t="s">
        <v>105</v>
      </c>
      <c r="U93" s="12" t="s">
        <v>234</v>
      </c>
      <c r="V93" s="8" t="s">
        <v>1155</v>
      </c>
      <c r="W93" s="8" t="s">
        <v>1156</v>
      </c>
      <c r="AK93" t="s">
        <v>1735</v>
      </c>
      <c r="BH93" s="120" t="s">
        <v>1734</v>
      </c>
    </row>
    <row r="94" spans="1:67">
      <c r="A94" s="67"/>
      <c r="B94" s="67"/>
      <c r="C94" s="67"/>
      <c r="D94" s="67"/>
      <c r="E94" s="67"/>
      <c r="G94" s="46" t="s">
        <v>695</v>
      </c>
      <c r="H94" s="5" t="s">
        <v>7</v>
      </c>
      <c r="I94" s="47" t="s">
        <v>694</v>
      </c>
      <c r="J94" s="47"/>
      <c r="L94" s="164" t="s">
        <v>116</v>
      </c>
      <c r="M94" s="164" t="s">
        <v>1402</v>
      </c>
      <c r="N94" s="165">
        <v>100760</v>
      </c>
      <c r="O94" s="164" t="s">
        <v>768</v>
      </c>
      <c r="P94" s="166"/>
      <c r="Q94" s="166" t="s">
        <v>499</v>
      </c>
      <c r="S94" s="12" t="s">
        <v>839</v>
      </c>
      <c r="T94" s="12"/>
      <c r="U94" s="12" t="s">
        <v>439</v>
      </c>
      <c r="V94" s="8" t="s">
        <v>1157</v>
      </c>
      <c r="W94" s="8" t="s">
        <v>1158</v>
      </c>
      <c r="AK94" t="s">
        <v>1736</v>
      </c>
      <c r="BH94" s="120" t="s">
        <v>1788</v>
      </c>
    </row>
    <row r="95" spans="1:67">
      <c r="A95" s="67"/>
      <c r="B95" s="67"/>
      <c r="C95" s="67"/>
      <c r="D95" s="67"/>
      <c r="E95" s="67"/>
      <c r="G95" s="46" t="s">
        <v>696</v>
      </c>
      <c r="H95" s="5" t="s">
        <v>9</v>
      </c>
      <c r="I95" s="47" t="s">
        <v>697</v>
      </c>
      <c r="J95" s="47"/>
      <c r="L95" s="164" t="s">
        <v>769</v>
      </c>
      <c r="M95" s="164" t="s">
        <v>1402</v>
      </c>
      <c r="N95" s="165">
        <v>100760</v>
      </c>
      <c r="O95" s="164" t="s">
        <v>770</v>
      </c>
      <c r="P95" s="166" t="s">
        <v>1316</v>
      </c>
      <c r="Q95" s="166" t="s">
        <v>763</v>
      </c>
      <c r="S95" s="12" t="s">
        <v>461</v>
      </c>
      <c r="T95" s="12"/>
      <c r="U95" s="12" t="s">
        <v>462</v>
      </c>
      <c r="V95" s="8" t="s">
        <v>778</v>
      </c>
      <c r="W95" s="8" t="s">
        <v>102</v>
      </c>
      <c r="BH95" s="120" t="s">
        <v>1897</v>
      </c>
    </row>
    <row r="96" spans="1:67">
      <c r="A96" s="67"/>
      <c r="B96" s="67"/>
      <c r="C96" s="67"/>
      <c r="D96" s="67"/>
      <c r="E96" s="67"/>
      <c r="G96" s="46" t="s">
        <v>698</v>
      </c>
      <c r="H96" s="5" t="s">
        <v>347</v>
      </c>
      <c r="I96" s="47" t="s">
        <v>699</v>
      </c>
      <c r="J96" s="47"/>
      <c r="L96" s="164" t="s">
        <v>771</v>
      </c>
      <c r="M96" s="164" t="s">
        <v>1402</v>
      </c>
      <c r="N96" s="165">
        <v>100760</v>
      </c>
      <c r="O96" s="164" t="s">
        <v>772</v>
      </c>
      <c r="P96" s="166" t="s">
        <v>1316</v>
      </c>
      <c r="Q96" s="166" t="s">
        <v>763</v>
      </c>
      <c r="S96" s="12" t="s">
        <v>260</v>
      </c>
      <c r="T96" s="12" t="s">
        <v>195</v>
      </c>
      <c r="U96" s="12" t="s">
        <v>194</v>
      </c>
      <c r="V96" s="8" t="s">
        <v>1159</v>
      </c>
      <c r="W96" s="8" t="s">
        <v>1160</v>
      </c>
    </row>
    <row r="97" spans="1:65">
      <c r="A97" s="67"/>
      <c r="B97" s="67"/>
      <c r="C97" s="67"/>
      <c r="D97" s="67"/>
      <c r="E97" s="67"/>
      <c r="G97" s="46" t="s">
        <v>700</v>
      </c>
      <c r="H97" s="5" t="s">
        <v>701</v>
      </c>
      <c r="I97" s="47" t="s">
        <v>702</v>
      </c>
      <c r="J97" s="47"/>
      <c r="L97" s="164" t="s">
        <v>346</v>
      </c>
      <c r="M97" s="164" t="s">
        <v>1402</v>
      </c>
      <c r="N97" s="165">
        <v>100760</v>
      </c>
      <c r="O97" s="164" t="s">
        <v>774</v>
      </c>
      <c r="P97" s="166"/>
      <c r="Q97" s="166" t="s">
        <v>773</v>
      </c>
      <c r="S97" s="12" t="s">
        <v>167</v>
      </c>
      <c r="T97" s="12"/>
      <c r="U97" s="12" t="s">
        <v>166</v>
      </c>
      <c r="V97" s="8" t="s">
        <v>1161</v>
      </c>
      <c r="W97" s="8" t="s">
        <v>1162</v>
      </c>
      <c r="BL97" s="1" t="s">
        <v>1906</v>
      </c>
      <c r="BM97" s="1" t="s">
        <v>1538</v>
      </c>
    </row>
    <row r="98" spans="1:65">
      <c r="A98" s="67"/>
      <c r="B98" s="67"/>
      <c r="C98" s="67"/>
      <c r="D98" s="67"/>
      <c r="E98" s="67"/>
      <c r="G98" s="46" t="s">
        <v>307</v>
      </c>
      <c r="H98" s="5" t="s">
        <v>306</v>
      </c>
      <c r="I98" s="47" t="s">
        <v>703</v>
      </c>
      <c r="J98" s="47"/>
      <c r="L98" s="164" t="s">
        <v>511</v>
      </c>
      <c r="M98" s="164" t="s">
        <v>1402</v>
      </c>
      <c r="N98" s="165">
        <v>100760</v>
      </c>
      <c r="O98" s="164" t="s">
        <v>775</v>
      </c>
      <c r="P98" s="166"/>
      <c r="Q98" s="166" t="s">
        <v>513</v>
      </c>
      <c r="S98" s="12" t="s">
        <v>169</v>
      </c>
      <c r="T98" s="12"/>
      <c r="U98" s="12" t="s">
        <v>168</v>
      </c>
      <c r="V98" s="8" t="s">
        <v>1163</v>
      </c>
      <c r="W98" s="8" t="s">
        <v>1164</v>
      </c>
      <c r="BL98" s="1" t="s">
        <v>336</v>
      </c>
      <c r="BM98" s="1" t="s">
        <v>1538</v>
      </c>
    </row>
    <row r="99" spans="1:65">
      <c r="A99" s="67"/>
      <c r="B99" s="67"/>
      <c r="C99" s="67"/>
      <c r="D99" s="67"/>
      <c r="E99" s="67"/>
      <c r="G99" s="46" t="s">
        <v>704</v>
      </c>
      <c r="H99" s="5" t="s">
        <v>311</v>
      </c>
      <c r="I99" s="47" t="s">
        <v>705</v>
      </c>
      <c r="J99" s="47"/>
      <c r="L99" s="164" t="s">
        <v>511</v>
      </c>
      <c r="M99" s="164" t="s">
        <v>1402</v>
      </c>
      <c r="N99" s="165">
        <v>100760</v>
      </c>
      <c r="O99" s="164" t="s">
        <v>776</v>
      </c>
      <c r="P99" s="166" t="s">
        <v>1316</v>
      </c>
      <c r="Q99" s="166" t="s">
        <v>763</v>
      </c>
      <c r="S99" s="12" t="s">
        <v>179</v>
      </c>
      <c r="T99" s="12"/>
      <c r="U99" s="12" t="s">
        <v>178</v>
      </c>
      <c r="V99" s="8" t="s">
        <v>1165</v>
      </c>
      <c r="W99" s="8" t="s">
        <v>101</v>
      </c>
      <c r="BL99" s="1" t="s">
        <v>336</v>
      </c>
      <c r="BM99" s="1" t="s">
        <v>1547</v>
      </c>
    </row>
    <row r="100" spans="1:65">
      <c r="A100" s="67"/>
      <c r="B100" s="67"/>
      <c r="C100" s="67"/>
      <c r="D100" s="67"/>
      <c r="E100" s="67"/>
      <c r="G100" s="46" t="s">
        <v>706</v>
      </c>
      <c r="H100" s="5" t="s">
        <v>317</v>
      </c>
      <c r="I100" s="47" t="s">
        <v>707</v>
      </c>
      <c r="J100" s="47"/>
      <c r="L100" s="169" t="s">
        <v>769</v>
      </c>
      <c r="M100" s="164" t="s">
        <v>1402</v>
      </c>
      <c r="N100" s="170">
        <v>100760</v>
      </c>
      <c r="O100" s="164" t="s">
        <v>777</v>
      </c>
      <c r="P100" s="166" t="s">
        <v>1316</v>
      </c>
      <c r="Q100" s="166" t="s">
        <v>763</v>
      </c>
      <c r="S100" s="12" t="s">
        <v>840</v>
      </c>
      <c r="T100" s="12" t="s">
        <v>449</v>
      </c>
      <c r="U100" s="12" t="s">
        <v>450</v>
      </c>
      <c r="V100" s="8" t="s">
        <v>1166</v>
      </c>
      <c r="W100" s="8" t="s">
        <v>101</v>
      </c>
      <c r="BL100" s="1" t="s">
        <v>336</v>
      </c>
      <c r="BM100" s="1" t="s">
        <v>1532</v>
      </c>
    </row>
    <row r="101" spans="1:65">
      <c r="A101" s="67"/>
      <c r="B101" s="67"/>
      <c r="C101" s="67"/>
      <c r="D101" s="67"/>
      <c r="E101" s="67"/>
      <c r="G101" s="46" t="s">
        <v>708</v>
      </c>
      <c r="H101" s="5" t="s">
        <v>653</v>
      </c>
      <c r="I101" s="47" t="s">
        <v>709</v>
      </c>
      <c r="J101" s="47"/>
      <c r="L101" s="164" t="s">
        <v>778</v>
      </c>
      <c r="M101" s="164" t="s">
        <v>1402</v>
      </c>
      <c r="N101" s="165">
        <v>100760</v>
      </c>
      <c r="O101" s="164" t="s">
        <v>778</v>
      </c>
      <c r="P101" s="166"/>
      <c r="Q101" s="166" t="s">
        <v>326</v>
      </c>
      <c r="S101" s="12" t="s">
        <v>841</v>
      </c>
      <c r="T101" s="12" t="s">
        <v>418</v>
      </c>
      <c r="U101" s="12" t="s">
        <v>419</v>
      </c>
      <c r="V101" s="8" t="s">
        <v>1167</v>
      </c>
      <c r="W101" s="8" t="s">
        <v>101</v>
      </c>
    </row>
    <row r="102" spans="1:65">
      <c r="A102" s="69"/>
      <c r="B102" s="69"/>
      <c r="C102" s="69"/>
      <c r="D102" s="69"/>
      <c r="E102" s="69"/>
      <c r="G102" s="46" t="s">
        <v>710</v>
      </c>
      <c r="H102" s="5" t="s">
        <v>316</v>
      </c>
      <c r="I102" s="47" t="s">
        <v>711</v>
      </c>
      <c r="J102" s="47"/>
      <c r="L102" s="164" t="s">
        <v>344</v>
      </c>
      <c r="M102" s="164" t="s">
        <v>1402</v>
      </c>
      <c r="N102" s="165">
        <v>100760</v>
      </c>
      <c r="O102" s="164" t="s">
        <v>779</v>
      </c>
      <c r="P102" s="166" t="s">
        <v>1316</v>
      </c>
      <c r="Q102" s="166" t="s">
        <v>763</v>
      </c>
      <c r="S102" s="12" t="s">
        <v>330</v>
      </c>
      <c r="T102" s="12" t="s">
        <v>1007</v>
      </c>
      <c r="U102" s="12" t="s">
        <v>232</v>
      </c>
      <c r="V102" s="8" t="s">
        <v>786</v>
      </c>
      <c r="W102" s="8" t="s">
        <v>1168</v>
      </c>
    </row>
    <row r="103" spans="1:65">
      <c r="A103" s="67"/>
      <c r="B103" s="67"/>
      <c r="C103" s="67"/>
      <c r="D103" s="67"/>
      <c r="E103" s="67"/>
      <c r="G103" s="46" t="s">
        <v>315</v>
      </c>
      <c r="H103" s="5" t="s">
        <v>314</v>
      </c>
      <c r="I103" s="47" t="s">
        <v>712</v>
      </c>
      <c r="J103" s="47"/>
      <c r="L103" s="164" t="s">
        <v>780</v>
      </c>
      <c r="M103" s="164" t="s">
        <v>1402</v>
      </c>
      <c r="N103" s="165">
        <v>100760</v>
      </c>
      <c r="O103" s="164" t="s">
        <v>781</v>
      </c>
      <c r="P103" s="166" t="s">
        <v>1316</v>
      </c>
      <c r="Q103" s="166" t="s">
        <v>763</v>
      </c>
      <c r="S103" s="12" t="s">
        <v>843</v>
      </c>
      <c r="T103" s="12" t="s">
        <v>422</v>
      </c>
      <c r="U103" s="12" t="s">
        <v>842</v>
      </c>
      <c r="V103" s="8" t="s">
        <v>1169</v>
      </c>
      <c r="W103" s="8" t="s">
        <v>1170</v>
      </c>
    </row>
    <row r="104" spans="1:65">
      <c r="A104" s="67"/>
      <c r="B104" s="67"/>
      <c r="C104" s="67"/>
      <c r="D104" s="67"/>
      <c r="E104" s="67"/>
      <c r="G104" s="46" t="s">
        <v>713</v>
      </c>
      <c r="H104" s="5" t="s">
        <v>714</v>
      </c>
      <c r="I104" s="47" t="s">
        <v>715</v>
      </c>
      <c r="J104" s="47"/>
      <c r="L104" s="164" t="s">
        <v>782</v>
      </c>
      <c r="M104" s="164" t="s">
        <v>1402</v>
      </c>
      <c r="N104" s="165">
        <v>100760</v>
      </c>
      <c r="O104" s="164" t="s">
        <v>782</v>
      </c>
      <c r="P104" s="166" t="s">
        <v>1316</v>
      </c>
      <c r="Q104" s="166" t="s">
        <v>763</v>
      </c>
      <c r="S104" s="12" t="s">
        <v>845</v>
      </c>
      <c r="T104" s="12" t="s">
        <v>424</v>
      </c>
      <c r="U104" s="12" t="s">
        <v>844</v>
      </c>
      <c r="V104" s="8" t="s">
        <v>1171</v>
      </c>
      <c r="W104" s="8" t="s">
        <v>110</v>
      </c>
    </row>
    <row r="105" spans="1:65">
      <c r="A105" s="67"/>
      <c r="B105" s="67"/>
      <c r="C105" s="67"/>
      <c r="D105" s="67"/>
      <c r="E105" s="67"/>
      <c r="G105" s="46" t="s">
        <v>309</v>
      </c>
      <c r="H105" s="5" t="s">
        <v>308</v>
      </c>
      <c r="I105" s="47" t="s">
        <v>716</v>
      </c>
      <c r="J105" s="47"/>
      <c r="L105" s="164" t="s">
        <v>1315</v>
      </c>
      <c r="M105" s="164" t="s">
        <v>1402</v>
      </c>
      <c r="N105" s="165">
        <v>100760</v>
      </c>
      <c r="O105" s="164" t="s">
        <v>783</v>
      </c>
      <c r="P105" s="166" t="s">
        <v>1316</v>
      </c>
      <c r="Q105" s="166" t="s">
        <v>763</v>
      </c>
      <c r="S105" s="12" t="s">
        <v>485</v>
      </c>
      <c r="T105" s="12" t="s">
        <v>424</v>
      </c>
      <c r="U105" s="12" t="s">
        <v>846</v>
      </c>
      <c r="V105" s="8" t="s">
        <v>1172</v>
      </c>
      <c r="W105" s="8" t="s">
        <v>104</v>
      </c>
    </row>
    <row r="106" spans="1:65">
      <c r="A106" s="67"/>
      <c r="B106" s="67"/>
      <c r="C106" s="67"/>
      <c r="D106" s="67"/>
      <c r="E106" s="67"/>
      <c r="G106" s="46" t="s">
        <v>717</v>
      </c>
      <c r="H106" s="5" t="s">
        <v>653</v>
      </c>
      <c r="I106" s="47" t="s">
        <v>718</v>
      </c>
      <c r="J106" s="47"/>
      <c r="L106" s="164" t="s">
        <v>784</v>
      </c>
      <c r="M106" s="164" t="s">
        <v>1402</v>
      </c>
      <c r="N106" s="165">
        <v>100760</v>
      </c>
      <c r="O106" s="164" t="s">
        <v>778</v>
      </c>
      <c r="P106" s="166" t="s">
        <v>1316</v>
      </c>
      <c r="Q106" s="166" t="s">
        <v>763</v>
      </c>
      <c r="S106" s="12" t="s">
        <v>848</v>
      </c>
      <c r="T106" s="12" t="s">
        <v>424</v>
      </c>
      <c r="U106" s="12" t="s">
        <v>847</v>
      </c>
      <c r="V106" s="8" t="s">
        <v>766</v>
      </c>
      <c r="W106" s="8" t="s">
        <v>104</v>
      </c>
    </row>
    <row r="107" spans="1:65">
      <c r="A107" s="67"/>
      <c r="B107" s="67"/>
      <c r="C107" s="67"/>
      <c r="D107" s="67"/>
      <c r="E107" s="67"/>
      <c r="G107" s="46" t="s">
        <v>719</v>
      </c>
      <c r="H107" s="5" t="s">
        <v>310</v>
      </c>
      <c r="I107" s="47" t="s">
        <v>720</v>
      </c>
      <c r="J107" s="47"/>
      <c r="L107" s="164" t="s">
        <v>785</v>
      </c>
      <c r="M107" s="164" t="s">
        <v>1402</v>
      </c>
      <c r="N107" s="165">
        <v>100760</v>
      </c>
      <c r="O107" s="164" t="s">
        <v>786</v>
      </c>
      <c r="P107" s="166" t="s">
        <v>1316</v>
      </c>
      <c r="Q107" s="166" t="s">
        <v>763</v>
      </c>
      <c r="S107" s="12" t="s">
        <v>489</v>
      </c>
      <c r="T107" s="12" t="s">
        <v>424</v>
      </c>
      <c r="U107" s="12" t="s">
        <v>849</v>
      </c>
      <c r="V107" s="8" t="s">
        <v>1173</v>
      </c>
      <c r="W107" s="8" t="s">
        <v>110</v>
      </c>
    </row>
    <row r="108" spans="1:65">
      <c r="A108" s="67"/>
      <c r="B108" s="67"/>
      <c r="C108" s="67"/>
      <c r="D108" s="67"/>
      <c r="E108" s="67"/>
      <c r="G108" s="46" t="s">
        <v>313</v>
      </c>
      <c r="H108" s="5" t="s">
        <v>312</v>
      </c>
      <c r="I108" s="47" t="s">
        <v>721</v>
      </c>
      <c r="J108" s="47"/>
      <c r="L108" s="164" t="s">
        <v>1317</v>
      </c>
      <c r="M108" s="164" t="s">
        <v>1402</v>
      </c>
      <c r="N108" s="165">
        <v>100760</v>
      </c>
      <c r="O108" s="164" t="s">
        <v>451</v>
      </c>
      <c r="P108" s="166"/>
      <c r="Q108" s="166" t="s">
        <v>738</v>
      </c>
      <c r="S108" s="12" t="s">
        <v>851</v>
      </c>
      <c r="T108" s="12" t="s">
        <v>424</v>
      </c>
      <c r="U108" s="12" t="s">
        <v>850</v>
      </c>
      <c r="V108" s="8" t="s">
        <v>1174</v>
      </c>
      <c r="W108" s="8" t="s">
        <v>1175</v>
      </c>
    </row>
    <row r="109" spans="1:65">
      <c r="A109" s="67"/>
      <c r="B109" s="67"/>
      <c r="C109" s="67"/>
      <c r="D109" s="67"/>
      <c r="E109" s="67"/>
      <c r="G109" s="46" t="s">
        <v>722</v>
      </c>
      <c r="H109" s="5" t="s">
        <v>295</v>
      </c>
      <c r="I109" s="47" t="s">
        <v>723</v>
      </c>
      <c r="J109" s="47"/>
      <c r="L109" s="164" t="s">
        <v>787</v>
      </c>
      <c r="M109" s="164" t="s">
        <v>1402</v>
      </c>
      <c r="N109" s="165">
        <v>100760</v>
      </c>
      <c r="O109" s="164" t="s">
        <v>777</v>
      </c>
      <c r="P109" s="166" t="s">
        <v>1316</v>
      </c>
      <c r="Q109" s="166" t="s">
        <v>763</v>
      </c>
      <c r="S109" s="12" t="s">
        <v>852</v>
      </c>
      <c r="T109" s="12" t="s">
        <v>427</v>
      </c>
      <c r="U109" s="12" t="s">
        <v>234</v>
      </c>
      <c r="V109" s="8" t="s">
        <v>1176</v>
      </c>
      <c r="W109" s="8" t="s">
        <v>1177</v>
      </c>
    </row>
    <row r="110" spans="1:65">
      <c r="A110" s="67"/>
      <c r="B110" s="67"/>
      <c r="C110" s="67"/>
      <c r="D110" s="67"/>
      <c r="E110" s="67"/>
      <c r="G110" s="46" t="s">
        <v>350</v>
      </c>
      <c r="H110" s="5" t="s">
        <v>24</v>
      </c>
      <c r="I110" s="47" t="s">
        <v>724</v>
      </c>
      <c r="J110" s="47"/>
      <c r="L110" s="164" t="s">
        <v>1314</v>
      </c>
      <c r="M110" s="164" t="s">
        <v>1402</v>
      </c>
      <c r="N110" s="165">
        <v>100760</v>
      </c>
      <c r="O110" s="164" t="s">
        <v>788</v>
      </c>
      <c r="P110" s="166" t="s">
        <v>1316</v>
      </c>
      <c r="Q110" s="166" t="s">
        <v>763</v>
      </c>
      <c r="S110" s="12" t="s">
        <v>181</v>
      </c>
      <c r="T110" s="12" t="s">
        <v>436</v>
      </c>
      <c r="U110" s="12" t="s">
        <v>437</v>
      </c>
      <c r="V110" s="8" t="s">
        <v>768</v>
      </c>
      <c r="W110" s="8" t="s">
        <v>955</v>
      </c>
    </row>
    <row r="111" spans="1:65">
      <c r="A111" s="67"/>
      <c r="B111" s="67"/>
      <c r="C111" s="67"/>
      <c r="D111" s="67"/>
      <c r="E111" s="67"/>
      <c r="G111" s="46" t="s">
        <v>319</v>
      </c>
      <c r="H111" s="5" t="s">
        <v>318</v>
      </c>
      <c r="I111" s="47" t="s">
        <v>725</v>
      </c>
      <c r="J111" s="47"/>
      <c r="L111" s="164" t="s">
        <v>789</v>
      </c>
      <c r="M111" s="164" t="s">
        <v>1402</v>
      </c>
      <c r="N111" s="165">
        <v>100760</v>
      </c>
      <c r="O111" s="164" t="s">
        <v>790</v>
      </c>
      <c r="P111" s="166" t="s">
        <v>1316</v>
      </c>
      <c r="Q111" s="166" t="s">
        <v>763</v>
      </c>
      <c r="S111" s="12" t="s">
        <v>854</v>
      </c>
      <c r="T111" s="12" t="s">
        <v>824</v>
      </c>
      <c r="U111" s="12" t="s">
        <v>853</v>
      </c>
      <c r="V111" s="8" t="s">
        <v>1178</v>
      </c>
      <c r="W111" s="8" t="s">
        <v>1041</v>
      </c>
    </row>
    <row r="112" spans="1:65">
      <c r="A112" s="67"/>
      <c r="B112" s="67"/>
      <c r="C112" s="67"/>
      <c r="D112" s="67"/>
      <c r="E112" s="67"/>
      <c r="G112" s="46" t="s">
        <v>726</v>
      </c>
      <c r="H112" s="5" t="s">
        <v>727</v>
      </c>
      <c r="I112" s="47" t="s">
        <v>661</v>
      </c>
      <c r="J112" s="47"/>
      <c r="L112" s="164" t="s">
        <v>791</v>
      </c>
      <c r="M112" s="164" t="s">
        <v>1402</v>
      </c>
      <c r="N112" s="165">
        <v>100760</v>
      </c>
      <c r="O112" s="164" t="s">
        <v>792</v>
      </c>
      <c r="P112" s="166" t="s">
        <v>1316</v>
      </c>
      <c r="Q112" s="166" t="s">
        <v>763</v>
      </c>
      <c r="S112" s="12" t="s">
        <v>856</v>
      </c>
      <c r="T112" s="12" t="s">
        <v>825</v>
      </c>
      <c r="U112" s="12" t="s">
        <v>855</v>
      </c>
      <c r="V112" s="8" t="s">
        <v>1179</v>
      </c>
      <c r="W112" s="8" t="s">
        <v>1045</v>
      </c>
      <c r="BG112" s="120" t="s">
        <v>1988</v>
      </c>
    </row>
    <row r="113" spans="1:59">
      <c r="A113" s="67"/>
      <c r="B113" s="67"/>
      <c r="C113" s="67"/>
      <c r="D113" s="67"/>
      <c r="E113" s="67"/>
      <c r="G113" s="46" t="s">
        <v>728</v>
      </c>
      <c r="H113" s="5" t="s">
        <v>729</v>
      </c>
      <c r="I113" s="6" t="s">
        <v>730</v>
      </c>
      <c r="J113" s="5" t="s">
        <v>731</v>
      </c>
      <c r="L113" s="164" t="s">
        <v>793</v>
      </c>
      <c r="M113" s="164" t="s">
        <v>1402</v>
      </c>
      <c r="N113" s="165">
        <v>100760</v>
      </c>
      <c r="O113" s="164" t="s">
        <v>794</v>
      </c>
      <c r="P113" s="166" t="s">
        <v>1316</v>
      </c>
      <c r="Q113" s="166" t="s">
        <v>763</v>
      </c>
      <c r="S113" s="12" t="s">
        <v>826</v>
      </c>
      <c r="T113" s="12" t="s">
        <v>826</v>
      </c>
      <c r="U113" s="12" t="s">
        <v>235</v>
      </c>
      <c r="V113" s="8" t="s">
        <v>1180</v>
      </c>
      <c r="W113" s="8" t="s">
        <v>1049</v>
      </c>
      <c r="BG113" s="120" t="s">
        <v>1990</v>
      </c>
    </row>
    <row r="114" spans="1:59">
      <c r="A114" s="67"/>
      <c r="B114" s="67"/>
      <c r="C114" s="67"/>
      <c r="D114" s="67"/>
      <c r="E114" s="67"/>
      <c r="G114" s="46" t="s">
        <v>728</v>
      </c>
      <c r="H114" s="5" t="s">
        <v>732</v>
      </c>
      <c r="I114" s="6" t="s">
        <v>730</v>
      </c>
      <c r="J114" s="5" t="s">
        <v>731</v>
      </c>
      <c r="L114" s="164" t="s">
        <v>103</v>
      </c>
      <c r="M114" s="164" t="s">
        <v>1402</v>
      </c>
      <c r="N114" s="165">
        <v>100760</v>
      </c>
      <c r="O114" s="164" t="s">
        <v>762</v>
      </c>
      <c r="P114" s="166" t="s">
        <v>1316</v>
      </c>
      <c r="Q114" s="166" t="s">
        <v>763</v>
      </c>
      <c r="S114" s="12" t="s">
        <v>858</v>
      </c>
      <c r="T114" s="12" t="s">
        <v>440</v>
      </c>
      <c r="U114" s="12" t="s">
        <v>857</v>
      </c>
      <c r="V114" s="8" t="s">
        <v>1181</v>
      </c>
      <c r="W114" s="8" t="s">
        <v>966</v>
      </c>
    </row>
    <row r="115" spans="1:59">
      <c r="A115" s="67"/>
      <c r="B115" s="67"/>
      <c r="C115" s="67"/>
      <c r="D115" s="67"/>
      <c r="E115" s="67"/>
      <c r="L115" s="164" t="s">
        <v>789</v>
      </c>
      <c r="M115" s="164" t="s">
        <v>1402</v>
      </c>
      <c r="N115" s="165">
        <v>100760</v>
      </c>
      <c r="O115" s="164" t="s">
        <v>795</v>
      </c>
      <c r="P115" s="166" t="s">
        <v>1316</v>
      </c>
      <c r="Q115" s="166" t="s">
        <v>763</v>
      </c>
      <c r="S115" s="12" t="s">
        <v>859</v>
      </c>
      <c r="T115" s="12" t="s">
        <v>1009</v>
      </c>
      <c r="U115" s="12" t="s">
        <v>234</v>
      </c>
      <c r="V115" s="8" t="s">
        <v>1182</v>
      </c>
      <c r="W115" s="8" t="s">
        <v>1073</v>
      </c>
      <c r="BG115" s="120" t="s">
        <v>1980</v>
      </c>
    </row>
    <row r="116" spans="1:59">
      <c r="A116" s="67"/>
      <c r="B116" s="67"/>
      <c r="C116" s="67"/>
      <c r="D116" s="67"/>
      <c r="E116" s="67"/>
      <c r="L116" s="174" t="s">
        <v>796</v>
      </c>
      <c r="M116" s="175"/>
      <c r="N116" s="175"/>
      <c r="O116" s="175"/>
      <c r="P116" s="175"/>
      <c r="Q116" s="176"/>
      <c r="S116" s="12" t="s">
        <v>861</v>
      </c>
      <c r="T116" s="12"/>
      <c r="U116" s="12" t="s">
        <v>860</v>
      </c>
      <c r="V116" s="8" t="s">
        <v>286</v>
      </c>
      <c r="W116" s="8" t="s">
        <v>955</v>
      </c>
      <c r="BG116" s="120" t="s">
        <v>1982</v>
      </c>
    </row>
    <row r="117" spans="1:59">
      <c r="A117" s="67"/>
      <c r="B117" s="67"/>
      <c r="C117" s="67"/>
      <c r="D117" s="67"/>
      <c r="E117" s="67"/>
      <c r="L117" s="159" t="s">
        <v>140</v>
      </c>
      <c r="M117" s="159" t="s">
        <v>139</v>
      </c>
      <c r="N117" s="159" t="s">
        <v>141</v>
      </c>
      <c r="O117" s="159" t="s">
        <v>733</v>
      </c>
      <c r="P117" s="160"/>
      <c r="Q117" s="160"/>
      <c r="S117" s="12" t="s">
        <v>862</v>
      </c>
      <c r="T117" s="12"/>
      <c r="U117" s="12" t="s">
        <v>860</v>
      </c>
      <c r="V117" s="8" t="s">
        <v>1183</v>
      </c>
      <c r="W117" s="8" t="s">
        <v>957</v>
      </c>
      <c r="BG117" s="120" t="s">
        <v>1984</v>
      </c>
    </row>
    <row r="118" spans="1:59">
      <c r="A118" s="67"/>
      <c r="B118" s="67"/>
      <c r="C118" s="67"/>
      <c r="D118" s="67"/>
      <c r="E118" s="67"/>
      <c r="L118" s="161" t="s">
        <v>930</v>
      </c>
      <c r="M118" s="161" t="s">
        <v>1786</v>
      </c>
      <c r="N118" s="161">
        <v>100760</v>
      </c>
      <c r="O118" s="161" t="s">
        <v>797</v>
      </c>
      <c r="P118" s="162"/>
      <c r="Q118" s="162" t="s">
        <v>1791</v>
      </c>
      <c r="S118" s="12" t="s">
        <v>863</v>
      </c>
      <c r="T118" s="12"/>
      <c r="U118" s="12" t="s">
        <v>205</v>
      </c>
      <c r="V118" s="8" t="s">
        <v>1184</v>
      </c>
      <c r="W118" s="8" t="s">
        <v>1089</v>
      </c>
    </row>
    <row r="119" spans="1:59">
      <c r="A119" s="67"/>
      <c r="B119" s="67"/>
      <c r="C119" s="67"/>
      <c r="D119" s="67"/>
      <c r="E119" s="67"/>
      <c r="L119" s="161" t="s">
        <v>930</v>
      </c>
      <c r="M119" s="161" t="s">
        <v>1786</v>
      </c>
      <c r="N119" s="161">
        <v>100760</v>
      </c>
      <c r="O119" s="161" t="s">
        <v>797</v>
      </c>
      <c r="P119" s="162"/>
      <c r="Q119" s="162" t="s">
        <v>1791</v>
      </c>
      <c r="S119" s="12" t="s">
        <v>864</v>
      </c>
      <c r="T119" s="12"/>
      <c r="U119" s="12" t="s">
        <v>205</v>
      </c>
      <c r="V119" s="8" t="s">
        <v>1185</v>
      </c>
      <c r="W119" s="8" t="s">
        <v>973</v>
      </c>
    </row>
    <row r="120" spans="1:59">
      <c r="A120" s="67"/>
      <c r="B120" s="67"/>
      <c r="C120" s="67"/>
      <c r="D120" s="67"/>
      <c r="E120" s="67"/>
      <c r="L120" s="161" t="s">
        <v>930</v>
      </c>
      <c r="M120" s="161" t="s">
        <v>1786</v>
      </c>
      <c r="N120" s="161">
        <v>100760</v>
      </c>
      <c r="O120" s="161" t="s">
        <v>797</v>
      </c>
      <c r="P120" s="162"/>
      <c r="Q120" s="162" t="s">
        <v>1791</v>
      </c>
      <c r="S120" s="12" t="s">
        <v>865</v>
      </c>
      <c r="T120" s="12"/>
      <c r="U120" s="12" t="s">
        <v>206</v>
      </c>
      <c r="V120" s="8" t="s">
        <v>1186</v>
      </c>
      <c r="W120" s="8" t="s">
        <v>1099</v>
      </c>
      <c r="BG120" s="120" t="s">
        <v>1986</v>
      </c>
    </row>
    <row r="121" spans="1:59">
      <c r="A121" s="67"/>
      <c r="B121" s="67"/>
      <c r="C121" s="67"/>
      <c r="D121" s="67"/>
      <c r="E121" s="67"/>
      <c r="L121" s="161" t="s">
        <v>930</v>
      </c>
      <c r="M121" s="161" t="s">
        <v>1786</v>
      </c>
      <c r="N121" s="161">
        <v>100760</v>
      </c>
      <c r="O121" s="161" t="s">
        <v>798</v>
      </c>
      <c r="P121" s="162"/>
      <c r="Q121" s="162" t="s">
        <v>1791</v>
      </c>
      <c r="S121" s="12" t="s">
        <v>835</v>
      </c>
      <c r="T121" s="12"/>
      <c r="U121" s="12" t="s">
        <v>206</v>
      </c>
      <c r="V121" s="8" t="s">
        <v>1187</v>
      </c>
      <c r="W121" s="8" t="s">
        <v>780</v>
      </c>
    </row>
    <row r="122" spans="1:59">
      <c r="A122" s="67"/>
      <c r="B122" s="67"/>
      <c r="C122" s="67"/>
      <c r="D122" s="67"/>
      <c r="E122" s="67"/>
      <c r="L122" s="161" t="s">
        <v>930</v>
      </c>
      <c r="M122" s="161" t="s">
        <v>1786</v>
      </c>
      <c r="N122" s="161">
        <v>100760</v>
      </c>
      <c r="O122" s="161" t="s">
        <v>798</v>
      </c>
      <c r="P122" s="162"/>
      <c r="Q122" s="162" t="s">
        <v>1791</v>
      </c>
      <c r="S122" s="12" t="s">
        <v>830</v>
      </c>
      <c r="T122" s="12"/>
      <c r="U122" s="12" t="s">
        <v>206</v>
      </c>
      <c r="V122" s="8" t="s">
        <v>1188</v>
      </c>
      <c r="W122" s="8" t="s">
        <v>1108</v>
      </c>
    </row>
    <row r="123" spans="1:59">
      <c r="A123" s="67"/>
      <c r="B123" s="67"/>
      <c r="C123" s="67"/>
      <c r="D123" s="67"/>
      <c r="E123" s="67"/>
      <c r="L123" s="161" t="s">
        <v>930</v>
      </c>
      <c r="M123" s="161" t="s">
        <v>1786</v>
      </c>
      <c r="N123" s="161">
        <v>100760</v>
      </c>
      <c r="O123" s="161" t="s">
        <v>798</v>
      </c>
      <c r="P123" s="162"/>
      <c r="Q123" s="162" t="s">
        <v>1791</v>
      </c>
      <c r="S123" s="12" t="s">
        <v>866</v>
      </c>
      <c r="T123" s="12"/>
      <c r="U123" s="12" t="s">
        <v>439</v>
      </c>
      <c r="V123" s="8" t="s">
        <v>287</v>
      </c>
      <c r="W123" s="8" t="s">
        <v>974</v>
      </c>
    </row>
    <row r="124" spans="1:59">
      <c r="A124" s="67"/>
      <c r="B124" s="67"/>
      <c r="C124" s="67"/>
      <c r="D124" s="67"/>
      <c r="E124" s="67"/>
      <c r="L124" s="161" t="s">
        <v>930</v>
      </c>
      <c r="M124" s="161" t="s">
        <v>1786</v>
      </c>
      <c r="N124" s="161">
        <v>100760</v>
      </c>
      <c r="O124" s="161" t="s">
        <v>799</v>
      </c>
      <c r="P124" s="162"/>
      <c r="Q124" s="162" t="s">
        <v>1791</v>
      </c>
      <c r="S124" s="12" t="s">
        <v>868</v>
      </c>
      <c r="T124" s="12"/>
      <c r="U124" s="12" t="s">
        <v>867</v>
      </c>
      <c r="V124" s="8" t="s">
        <v>953</v>
      </c>
      <c r="W124" s="8" t="s">
        <v>958</v>
      </c>
    </row>
    <row r="125" spans="1:59">
      <c r="A125" s="67"/>
      <c r="B125" s="67"/>
      <c r="C125" s="67"/>
      <c r="D125" s="67"/>
      <c r="E125" s="67"/>
      <c r="L125" s="161" t="s">
        <v>930</v>
      </c>
      <c r="M125" s="161" t="s">
        <v>1786</v>
      </c>
      <c r="N125" s="161">
        <v>100760</v>
      </c>
      <c r="O125" s="161" t="s">
        <v>799</v>
      </c>
      <c r="P125" s="162"/>
      <c r="Q125" s="162" t="s">
        <v>1791</v>
      </c>
      <c r="S125" s="12" t="s">
        <v>869</v>
      </c>
      <c r="T125" s="12"/>
      <c r="U125" s="12" t="s">
        <v>433</v>
      </c>
      <c r="V125" s="8" t="s">
        <v>321</v>
      </c>
      <c r="W125" s="8" t="s">
        <v>1091</v>
      </c>
    </row>
    <row r="126" spans="1:59">
      <c r="A126" s="67"/>
      <c r="B126" s="67"/>
      <c r="C126" s="67"/>
      <c r="D126" s="67"/>
      <c r="E126" s="67"/>
      <c r="L126" s="161" t="s">
        <v>930</v>
      </c>
      <c r="M126" s="161" t="s">
        <v>1786</v>
      </c>
      <c r="N126" s="161">
        <v>100760</v>
      </c>
      <c r="O126" s="161" t="s">
        <v>799</v>
      </c>
      <c r="P126" s="162"/>
      <c r="Q126" s="162" t="s">
        <v>1791</v>
      </c>
      <c r="S126" s="12" t="s">
        <v>871</v>
      </c>
      <c r="T126" s="12"/>
      <c r="U126" s="12" t="s">
        <v>870</v>
      </c>
      <c r="V126" s="8" t="s">
        <v>1189</v>
      </c>
      <c r="W126" s="8" t="s">
        <v>1091</v>
      </c>
    </row>
    <row r="127" spans="1:59">
      <c r="A127" s="67"/>
      <c r="B127" s="67"/>
      <c r="C127" s="67"/>
      <c r="D127" s="67"/>
      <c r="E127" s="67"/>
      <c r="L127" s="161" t="s">
        <v>930</v>
      </c>
      <c r="M127" s="161" t="s">
        <v>1786</v>
      </c>
      <c r="N127" s="161">
        <v>100760</v>
      </c>
      <c r="O127" s="161" t="s">
        <v>800</v>
      </c>
      <c r="P127" s="162"/>
      <c r="Q127" s="162" t="s">
        <v>1791</v>
      </c>
      <c r="S127" s="12" t="s">
        <v>873</v>
      </c>
      <c r="T127" s="12"/>
      <c r="U127" s="12" t="s">
        <v>872</v>
      </c>
      <c r="V127" s="8" t="s">
        <v>1190</v>
      </c>
      <c r="W127" s="8" t="s">
        <v>1191</v>
      </c>
    </row>
    <row r="128" spans="1:59">
      <c r="A128" s="67"/>
      <c r="B128" s="67"/>
      <c r="C128" s="67"/>
      <c r="D128" s="67"/>
      <c r="E128" s="67"/>
      <c r="L128" s="161" t="s">
        <v>930</v>
      </c>
      <c r="M128" s="161" t="s">
        <v>1786</v>
      </c>
      <c r="N128" s="161">
        <v>100760</v>
      </c>
      <c r="O128" s="161" t="s">
        <v>800</v>
      </c>
      <c r="P128" s="162"/>
      <c r="Q128" s="162" t="s">
        <v>1791</v>
      </c>
      <c r="S128" s="12" t="s">
        <v>811</v>
      </c>
      <c r="T128" s="12"/>
      <c r="U128" s="12" t="s">
        <v>872</v>
      </c>
      <c r="V128" s="8" t="s">
        <v>1192</v>
      </c>
      <c r="W128" s="8" t="s">
        <v>1191</v>
      </c>
    </row>
    <row r="129" spans="1:23">
      <c r="A129" s="67"/>
      <c r="B129" s="67"/>
      <c r="C129" s="67"/>
      <c r="D129" s="67"/>
      <c r="E129" s="67"/>
      <c r="L129" s="161" t="s">
        <v>930</v>
      </c>
      <c r="M129" s="161" t="s">
        <v>1786</v>
      </c>
      <c r="N129" s="161">
        <v>100760</v>
      </c>
      <c r="O129" s="161" t="s">
        <v>800</v>
      </c>
      <c r="P129" s="162"/>
      <c r="Q129" s="162" t="s">
        <v>1791</v>
      </c>
      <c r="S129" s="12" t="s">
        <v>828</v>
      </c>
      <c r="T129" s="12"/>
      <c r="U129" s="12" t="s">
        <v>827</v>
      </c>
      <c r="V129" s="8" t="s">
        <v>1193</v>
      </c>
      <c r="W129" s="8" t="s">
        <v>973</v>
      </c>
    </row>
    <row r="130" spans="1:23">
      <c r="A130" s="67"/>
      <c r="B130" s="67"/>
      <c r="C130" s="67"/>
      <c r="D130" s="67"/>
      <c r="E130" s="67"/>
      <c r="L130" s="161" t="s">
        <v>1785</v>
      </c>
      <c r="M130" s="161" t="s">
        <v>1787</v>
      </c>
      <c r="N130" s="161">
        <v>100760</v>
      </c>
      <c r="O130" s="161" t="s">
        <v>797</v>
      </c>
      <c r="P130" s="162"/>
      <c r="Q130" s="162" t="s">
        <v>1791</v>
      </c>
      <c r="S130" s="12" t="s">
        <v>874</v>
      </c>
      <c r="T130" s="12"/>
      <c r="U130" s="12" t="s">
        <v>180</v>
      </c>
      <c r="V130" s="8" t="s">
        <v>1194</v>
      </c>
      <c r="W130" s="8" t="s">
        <v>954</v>
      </c>
    </row>
    <row r="131" spans="1:23">
      <c r="A131" s="67"/>
      <c r="B131" s="67"/>
      <c r="C131" s="67"/>
      <c r="D131" s="67"/>
      <c r="E131" s="67"/>
      <c r="L131" s="161" t="s">
        <v>1785</v>
      </c>
      <c r="M131" s="161" t="s">
        <v>1787</v>
      </c>
      <c r="N131" s="161">
        <v>100760</v>
      </c>
      <c r="O131" s="161" t="s">
        <v>799</v>
      </c>
      <c r="P131" s="162"/>
      <c r="Q131" s="162" t="s">
        <v>1791</v>
      </c>
      <c r="S131" s="12" t="s">
        <v>875</v>
      </c>
      <c r="T131" s="12"/>
      <c r="U131" s="12" t="s">
        <v>438</v>
      </c>
      <c r="V131" s="8" t="s">
        <v>981</v>
      </c>
      <c r="W131" s="8" t="s">
        <v>1083</v>
      </c>
    </row>
    <row r="132" spans="1:23">
      <c r="A132" s="67"/>
      <c r="B132" s="67"/>
      <c r="C132" s="67"/>
      <c r="D132" s="67"/>
      <c r="E132" s="67"/>
      <c r="L132" s="161" t="s">
        <v>1785</v>
      </c>
      <c r="M132" s="161" t="s">
        <v>1787</v>
      </c>
      <c r="N132" s="161">
        <v>100760</v>
      </c>
      <c r="O132" s="161" t="s">
        <v>799</v>
      </c>
      <c r="P132" s="162"/>
      <c r="Q132" s="162" t="s">
        <v>1791</v>
      </c>
      <c r="S132" s="12" t="s">
        <v>877</v>
      </c>
      <c r="T132" s="12"/>
      <c r="U132" s="12" t="s">
        <v>876</v>
      </c>
      <c r="V132" s="8" t="s">
        <v>1195</v>
      </c>
      <c r="W132" s="8" t="s">
        <v>102</v>
      </c>
    </row>
    <row r="133" spans="1:23">
      <c r="A133" s="67"/>
      <c r="B133" s="67"/>
      <c r="C133" s="67"/>
      <c r="D133" s="67"/>
      <c r="E133" s="67"/>
      <c r="L133" s="161" t="s">
        <v>1785</v>
      </c>
      <c r="M133" s="161" t="s">
        <v>1787</v>
      </c>
      <c r="N133" s="161">
        <v>100760</v>
      </c>
      <c r="O133" s="161" t="s">
        <v>798</v>
      </c>
      <c r="P133" s="162"/>
      <c r="Q133" s="162" t="s">
        <v>1791</v>
      </c>
      <c r="S133" s="12" t="s">
        <v>878</v>
      </c>
      <c r="T133" s="12"/>
      <c r="U133" s="12" t="s">
        <v>441</v>
      </c>
      <c r="V133" s="8" t="s">
        <v>1196</v>
      </c>
      <c r="W133" s="8" t="s">
        <v>954</v>
      </c>
    </row>
    <row r="134" spans="1:23">
      <c r="A134" s="67"/>
      <c r="B134" s="67"/>
      <c r="C134" s="67"/>
      <c r="D134" s="67"/>
      <c r="E134" s="67"/>
      <c r="L134" s="161" t="s">
        <v>1785</v>
      </c>
      <c r="M134" s="161" t="s">
        <v>1787</v>
      </c>
      <c r="N134" s="161">
        <v>100760</v>
      </c>
      <c r="O134" s="161" t="s">
        <v>800</v>
      </c>
      <c r="P134" s="162"/>
      <c r="Q134" s="162" t="s">
        <v>1791</v>
      </c>
      <c r="S134" s="12" t="s">
        <v>879</v>
      </c>
      <c r="T134" s="12"/>
      <c r="U134" s="12" t="s">
        <v>444</v>
      </c>
      <c r="V134" s="8" t="s">
        <v>391</v>
      </c>
      <c r="W134" s="8" t="s">
        <v>1197</v>
      </c>
    </row>
    <row r="135" spans="1:23">
      <c r="A135" s="67"/>
      <c r="B135" s="67"/>
      <c r="C135" s="67"/>
      <c r="D135" s="67"/>
      <c r="E135" s="67"/>
      <c r="L135" s="161" t="s">
        <v>1785</v>
      </c>
      <c r="M135" s="161" t="s">
        <v>1787</v>
      </c>
      <c r="N135" s="161">
        <v>100760</v>
      </c>
      <c r="O135" s="161" t="s">
        <v>800</v>
      </c>
      <c r="P135" s="162"/>
      <c r="Q135" s="162" t="s">
        <v>1791</v>
      </c>
      <c r="S135" s="12" t="s">
        <v>455</v>
      </c>
      <c r="T135" s="12"/>
      <c r="U135" s="12" t="s">
        <v>197</v>
      </c>
      <c r="V135" s="8" t="s">
        <v>976</v>
      </c>
      <c r="W135" s="8" t="s">
        <v>968</v>
      </c>
    </row>
    <row r="136" spans="1:23">
      <c r="A136" s="67"/>
      <c r="B136" s="67"/>
      <c r="C136" s="67"/>
      <c r="D136" s="67"/>
      <c r="E136" s="67"/>
      <c r="S136" s="12" t="s">
        <v>1008</v>
      </c>
      <c r="T136" s="12"/>
      <c r="U136" s="12" t="s">
        <v>197</v>
      </c>
      <c r="V136" s="8" t="s">
        <v>1198</v>
      </c>
      <c r="W136" s="8" t="s">
        <v>1047</v>
      </c>
    </row>
    <row r="137" spans="1:23">
      <c r="A137" s="67"/>
      <c r="B137" s="67"/>
      <c r="C137" s="67"/>
      <c r="D137" s="67"/>
      <c r="E137" s="67"/>
      <c r="S137" s="12" t="s">
        <v>881</v>
      </c>
      <c r="T137" s="12"/>
      <c r="U137" s="12" t="s">
        <v>880</v>
      </c>
      <c r="V137" s="8" t="s">
        <v>1199</v>
      </c>
      <c r="W137" s="8" t="s">
        <v>1412</v>
      </c>
    </row>
    <row r="138" spans="1:23">
      <c r="A138" s="67"/>
      <c r="B138" s="67"/>
      <c r="C138" s="67"/>
      <c r="D138" s="67"/>
      <c r="E138" s="67"/>
      <c r="S138" s="12" t="s">
        <v>882</v>
      </c>
      <c r="T138" s="12"/>
      <c r="U138" s="12" t="s">
        <v>880</v>
      </c>
      <c r="V138" s="8" t="s">
        <v>1200</v>
      </c>
      <c r="W138" s="8" t="s">
        <v>955</v>
      </c>
    </row>
    <row r="139" spans="1:23">
      <c r="A139" s="67"/>
      <c r="B139" s="67"/>
      <c r="C139" s="67"/>
      <c r="D139" s="67"/>
      <c r="E139" s="67"/>
      <c r="S139" s="12" t="s">
        <v>883</v>
      </c>
      <c r="T139" s="12"/>
      <c r="U139" s="12" t="s">
        <v>880</v>
      </c>
      <c r="V139" s="8" t="s">
        <v>392</v>
      </c>
      <c r="W139" s="8" t="s">
        <v>1201</v>
      </c>
    </row>
    <row r="140" spans="1:23">
      <c r="A140" s="69"/>
      <c r="B140" s="69"/>
      <c r="C140" s="69"/>
      <c r="D140" s="69"/>
      <c r="E140" s="69"/>
      <c r="S140" s="12" t="s">
        <v>884</v>
      </c>
      <c r="T140" s="12"/>
      <c r="U140" s="12" t="s">
        <v>880</v>
      </c>
      <c r="V140" s="8" t="s">
        <v>1202</v>
      </c>
      <c r="W140" s="8" t="s">
        <v>484</v>
      </c>
    </row>
    <row r="141" spans="1:23">
      <c r="A141" s="67"/>
      <c r="B141" s="67"/>
      <c r="C141" s="67"/>
      <c r="D141" s="67"/>
      <c r="E141" s="67"/>
      <c r="S141" s="12" t="s">
        <v>885</v>
      </c>
      <c r="T141" s="12"/>
      <c r="U141" s="12" t="s">
        <v>880</v>
      </c>
      <c r="V141" s="8" t="s">
        <v>1203</v>
      </c>
      <c r="W141" s="8" t="s">
        <v>484</v>
      </c>
    </row>
    <row r="142" spans="1:23">
      <c r="A142" s="67"/>
      <c r="B142" s="67"/>
      <c r="C142" s="67"/>
      <c r="D142" s="67"/>
      <c r="E142" s="67"/>
      <c r="S142" s="12" t="s">
        <v>483</v>
      </c>
      <c r="T142" s="12"/>
      <c r="U142" s="12" t="s">
        <v>188</v>
      </c>
      <c r="V142" s="8" t="s">
        <v>1204</v>
      </c>
      <c r="W142" s="8" t="s">
        <v>1205</v>
      </c>
    </row>
    <row r="143" spans="1:23">
      <c r="A143" s="67"/>
      <c r="B143" s="67"/>
      <c r="C143" s="67"/>
      <c r="D143" s="67"/>
      <c r="E143" s="67"/>
      <c r="S143" s="12" t="s">
        <v>254</v>
      </c>
      <c r="T143" s="12"/>
      <c r="U143" s="12" t="s">
        <v>253</v>
      </c>
      <c r="V143" s="8" t="s">
        <v>1206</v>
      </c>
      <c r="W143" s="8" t="s">
        <v>1207</v>
      </c>
    </row>
    <row r="144" spans="1:23">
      <c r="A144" s="67"/>
      <c r="B144" s="67"/>
      <c r="C144" s="67"/>
      <c r="D144" s="67"/>
      <c r="E144" s="67"/>
      <c r="S144" s="12" t="s">
        <v>193</v>
      </c>
      <c r="T144" s="12"/>
      <c r="U144" s="12" t="s">
        <v>192</v>
      </c>
      <c r="V144" s="8" t="s">
        <v>1208</v>
      </c>
      <c r="W144" s="8" t="s">
        <v>1208</v>
      </c>
    </row>
    <row r="145" spans="1:23">
      <c r="A145" s="68"/>
      <c r="B145" s="68"/>
      <c r="C145" s="68"/>
      <c r="D145" s="68"/>
      <c r="E145" s="68"/>
      <c r="S145" s="12" t="s">
        <v>887</v>
      </c>
      <c r="T145" s="12"/>
      <c r="U145" s="12" t="s">
        <v>886</v>
      </c>
      <c r="V145" s="8" t="s">
        <v>961</v>
      </c>
      <c r="W145" s="8" t="s">
        <v>966</v>
      </c>
    </row>
    <row r="146" spans="1:23">
      <c r="A146" s="67"/>
      <c r="B146" s="67"/>
      <c r="C146" s="67"/>
      <c r="D146" s="67"/>
      <c r="E146" s="67"/>
      <c r="S146" s="12" t="s">
        <v>807</v>
      </c>
      <c r="T146" s="12"/>
      <c r="U146" s="12" t="s">
        <v>842</v>
      </c>
      <c r="V146" s="8" t="s">
        <v>1321</v>
      </c>
      <c r="W146" s="8" t="s">
        <v>1322</v>
      </c>
    </row>
    <row r="147" spans="1:23">
      <c r="A147" s="67"/>
      <c r="B147" s="67"/>
      <c r="C147" s="67"/>
      <c r="D147" s="67"/>
      <c r="E147" s="67"/>
      <c r="S147" s="12" t="s">
        <v>806</v>
      </c>
      <c r="T147" s="12"/>
      <c r="U147" s="12" t="s">
        <v>445</v>
      </c>
      <c r="V147" s="8" t="s">
        <v>1768</v>
      </c>
      <c r="W147" s="8" t="s">
        <v>1091</v>
      </c>
    </row>
    <row r="148" spans="1:23">
      <c r="A148" s="67"/>
      <c r="B148" s="67"/>
      <c r="C148" s="67"/>
      <c r="D148" s="67"/>
      <c r="E148" s="67"/>
      <c r="S148" s="12" t="s">
        <v>889</v>
      </c>
      <c r="T148" s="12"/>
      <c r="U148" s="12" t="s">
        <v>888</v>
      </c>
      <c r="V148" s="8"/>
      <c r="W148" s="8"/>
    </row>
    <row r="149" spans="1:23">
      <c r="A149" s="67"/>
      <c r="B149" s="67"/>
      <c r="C149" s="67"/>
      <c r="D149" s="67"/>
      <c r="E149" s="67"/>
      <c r="S149" s="12" t="s">
        <v>891</v>
      </c>
      <c r="T149" s="12"/>
      <c r="U149" s="12" t="s">
        <v>890</v>
      </c>
      <c r="V149" s="8"/>
      <c r="W149" s="8"/>
    </row>
    <row r="150" spans="1:23">
      <c r="A150" s="67"/>
      <c r="B150" s="67"/>
      <c r="C150" s="67"/>
      <c r="D150" s="67"/>
      <c r="E150" s="67"/>
      <c r="S150" s="12" t="s">
        <v>893</v>
      </c>
      <c r="T150" s="12"/>
      <c r="U150" s="12" t="s">
        <v>892</v>
      </c>
      <c r="V150" s="8"/>
      <c r="W150" s="8"/>
    </row>
    <row r="151" spans="1:23">
      <c r="A151" s="67"/>
      <c r="B151" s="67"/>
      <c r="C151" s="67"/>
      <c r="D151" s="67"/>
      <c r="E151" s="67"/>
      <c r="S151" s="12" t="s">
        <v>895</v>
      </c>
      <c r="T151" s="12"/>
      <c r="U151" s="12" t="s">
        <v>894</v>
      </c>
      <c r="V151" s="8"/>
      <c r="W151" s="8"/>
    </row>
    <row r="152" spans="1:23">
      <c r="A152" s="67"/>
      <c r="B152" s="67"/>
      <c r="C152" s="67"/>
      <c r="D152" s="67"/>
      <c r="E152" s="67"/>
      <c r="S152" s="12" t="s">
        <v>269</v>
      </c>
      <c r="T152" s="12"/>
      <c r="U152" s="12" t="s">
        <v>235</v>
      </c>
      <c r="V152" s="8"/>
      <c r="W152" s="8"/>
    </row>
    <row r="153" spans="1:23">
      <c r="A153" s="67"/>
      <c r="B153" s="67"/>
      <c r="C153" s="67"/>
      <c r="D153" s="67"/>
      <c r="E153" s="67"/>
      <c r="S153" s="12" t="s">
        <v>248</v>
      </c>
      <c r="T153" s="12"/>
      <c r="U153" s="12" t="s">
        <v>249</v>
      </c>
      <c r="V153" s="8"/>
      <c r="W153" s="8"/>
    </row>
    <row r="154" spans="1:23">
      <c r="A154" s="67"/>
      <c r="B154" s="67"/>
      <c r="C154" s="67"/>
      <c r="D154" s="67"/>
      <c r="E154" s="67"/>
      <c r="S154" s="12" t="s">
        <v>897</v>
      </c>
      <c r="T154" s="12"/>
      <c r="U154" s="12" t="s">
        <v>896</v>
      </c>
      <c r="V154" s="8"/>
      <c r="W154" s="8"/>
    </row>
    <row r="155" spans="1:23">
      <c r="A155" s="67"/>
      <c r="B155" s="67"/>
      <c r="C155" s="67"/>
      <c r="D155" s="67"/>
      <c r="E155" s="67"/>
      <c r="S155" s="12" t="s">
        <v>899</v>
      </c>
      <c r="T155" s="12"/>
      <c r="U155" s="12" t="s">
        <v>898</v>
      </c>
      <c r="V155" s="8"/>
      <c r="W155" s="8"/>
    </row>
    <row r="156" spans="1:23">
      <c r="A156" s="67"/>
      <c r="B156" s="67"/>
      <c r="C156" s="67"/>
      <c r="D156" s="67"/>
      <c r="E156" s="67"/>
      <c r="S156" s="12" t="s">
        <v>901</v>
      </c>
      <c r="T156" s="12"/>
      <c r="U156" s="12" t="s">
        <v>900</v>
      </c>
      <c r="V156" s="8"/>
      <c r="W156" s="8"/>
    </row>
    <row r="157" spans="1:23">
      <c r="A157" s="67"/>
      <c r="B157" s="67"/>
      <c r="C157" s="67"/>
      <c r="D157" s="67"/>
      <c r="E157" s="67"/>
      <c r="S157" s="12" t="s">
        <v>261</v>
      </c>
      <c r="T157" s="12" t="s">
        <v>107</v>
      </c>
      <c r="U157" s="12" t="s">
        <v>196</v>
      </c>
      <c r="V157" s="8"/>
      <c r="W157" s="8"/>
    </row>
    <row r="158" spans="1:23">
      <c r="A158" s="67"/>
      <c r="B158" s="67"/>
      <c r="C158" s="67"/>
      <c r="D158" s="67"/>
      <c r="E158" s="67"/>
      <c r="S158" s="12"/>
      <c r="T158" s="12" t="s">
        <v>106</v>
      </c>
      <c r="U158" s="12" t="s">
        <v>240</v>
      </c>
      <c r="V158" s="8"/>
      <c r="W158" s="8"/>
    </row>
    <row r="159" spans="1:23">
      <c r="A159" s="67"/>
      <c r="B159" s="67"/>
      <c r="C159" s="67"/>
      <c r="D159" s="67"/>
      <c r="E159" s="67"/>
      <c r="S159" s="12" t="s">
        <v>903</v>
      </c>
      <c r="T159" s="12"/>
      <c r="U159" s="12" t="s">
        <v>902</v>
      </c>
      <c r="V159" s="8"/>
      <c r="W159" s="8"/>
    </row>
    <row r="160" spans="1:23">
      <c r="A160" s="67"/>
      <c r="B160" s="67"/>
      <c r="C160" s="67"/>
      <c r="D160" s="67"/>
      <c r="E160" s="67"/>
      <c r="S160" s="12" t="s">
        <v>904</v>
      </c>
      <c r="T160" s="12"/>
      <c r="U160" s="12" t="s">
        <v>904</v>
      </c>
      <c r="V160" s="8"/>
      <c r="W160" s="8"/>
    </row>
    <row r="161" spans="1:23">
      <c r="A161" s="67"/>
      <c r="B161" s="67"/>
      <c r="C161" s="67"/>
      <c r="D161" s="67"/>
      <c r="E161" s="67"/>
      <c r="S161" s="12" t="s">
        <v>200</v>
      </c>
      <c r="T161" s="12"/>
      <c r="U161" s="12" t="s">
        <v>199</v>
      </c>
      <c r="V161" s="8"/>
      <c r="W161" s="8"/>
    </row>
    <row r="162" spans="1:23">
      <c r="A162" s="67"/>
      <c r="B162" s="67"/>
      <c r="C162" s="67"/>
      <c r="D162" s="67"/>
      <c r="E162" s="67"/>
      <c r="S162" s="12" t="s">
        <v>906</v>
      </c>
      <c r="T162" s="12"/>
      <c r="U162" s="12" t="s">
        <v>905</v>
      </c>
      <c r="V162" s="8"/>
      <c r="W162" s="8"/>
    </row>
    <row r="163" spans="1:23">
      <c r="A163" s="67"/>
      <c r="B163" s="67"/>
      <c r="C163" s="67"/>
      <c r="D163" s="67"/>
      <c r="E163" s="67"/>
      <c r="S163" s="12" t="s">
        <v>908</v>
      </c>
      <c r="T163" s="12"/>
      <c r="U163" s="12" t="s">
        <v>907</v>
      </c>
      <c r="V163" s="8"/>
      <c r="W163" s="8"/>
    </row>
    <row r="164" spans="1:23">
      <c r="A164" s="67"/>
      <c r="B164" s="67"/>
      <c r="C164" s="67"/>
      <c r="D164" s="67"/>
      <c r="E164" s="67"/>
      <c r="S164" s="12" t="s">
        <v>910</v>
      </c>
      <c r="T164" s="12"/>
      <c r="U164" s="12" t="s">
        <v>909</v>
      </c>
      <c r="V164" s="8"/>
      <c r="W164" s="8"/>
    </row>
    <row r="165" spans="1:23">
      <c r="A165" s="68"/>
      <c r="B165" s="68"/>
      <c r="C165" s="68"/>
      <c r="D165" s="68"/>
      <c r="E165" s="68"/>
      <c r="S165" s="12" t="s">
        <v>911</v>
      </c>
      <c r="T165" s="12"/>
      <c r="U165" s="12" t="s">
        <v>829</v>
      </c>
      <c r="V165" s="8"/>
      <c r="W165" s="8"/>
    </row>
    <row r="166" spans="1:23">
      <c r="A166" s="67"/>
      <c r="B166" s="67"/>
      <c r="C166" s="67"/>
      <c r="D166" s="67"/>
      <c r="E166" s="67"/>
      <c r="S166" s="12" t="s">
        <v>185</v>
      </c>
      <c r="T166" s="12"/>
      <c r="U166" s="12" t="s">
        <v>184</v>
      </c>
      <c r="V166" s="8"/>
      <c r="W166" s="8"/>
    </row>
    <row r="167" spans="1:23">
      <c r="A167" s="67"/>
      <c r="B167" s="67"/>
      <c r="C167" s="67"/>
      <c r="D167" s="67"/>
      <c r="E167" s="67"/>
      <c r="S167" s="12" t="s">
        <v>233</v>
      </c>
      <c r="T167" s="12" t="s">
        <v>810</v>
      </c>
      <c r="U167" s="12" t="s">
        <v>232</v>
      </c>
      <c r="V167" s="8"/>
      <c r="W167" s="8"/>
    </row>
    <row r="168" spans="1:23">
      <c r="A168" s="67"/>
      <c r="B168" s="67"/>
      <c r="C168" s="67"/>
      <c r="D168" s="67"/>
      <c r="E168" s="67"/>
      <c r="S168" s="12" t="s">
        <v>912</v>
      </c>
      <c r="T168" s="12"/>
      <c r="U168" s="12" t="s">
        <v>201</v>
      </c>
      <c r="V168" s="8"/>
      <c r="W168" s="8"/>
    </row>
    <row r="169" spans="1:23">
      <c r="A169" s="67"/>
      <c r="B169" s="67"/>
      <c r="C169" s="67"/>
      <c r="D169" s="67"/>
      <c r="E169" s="67"/>
      <c r="S169" s="12" t="s">
        <v>840</v>
      </c>
      <c r="T169" s="12"/>
      <c r="U169" s="12" t="s">
        <v>450</v>
      </c>
      <c r="V169" s="8"/>
      <c r="W169" s="8"/>
    </row>
    <row r="170" spans="1:23">
      <c r="A170" s="67"/>
      <c r="B170" s="67"/>
      <c r="C170" s="67"/>
      <c r="D170" s="67"/>
      <c r="E170" s="67"/>
      <c r="S170" s="12" t="s">
        <v>821</v>
      </c>
      <c r="T170" s="12"/>
      <c r="U170" s="12" t="s">
        <v>234</v>
      </c>
      <c r="V170" s="8"/>
      <c r="W170" s="8"/>
    </row>
    <row r="171" spans="1:23">
      <c r="A171" s="67"/>
      <c r="B171" s="67"/>
      <c r="C171" s="67"/>
      <c r="D171" s="67"/>
      <c r="E171" s="67"/>
      <c r="S171" s="12" t="s">
        <v>822</v>
      </c>
      <c r="T171" s="12"/>
      <c r="U171" s="12" t="s">
        <v>205</v>
      </c>
      <c r="V171" s="8"/>
      <c r="W171" s="8"/>
    </row>
    <row r="172" spans="1:23">
      <c r="A172" s="67"/>
      <c r="B172" s="67"/>
      <c r="C172" s="67"/>
      <c r="D172" s="67"/>
      <c r="E172" s="67"/>
      <c r="S172" s="12" t="s">
        <v>823</v>
      </c>
      <c r="T172" s="12"/>
      <c r="U172" s="12" t="s">
        <v>213</v>
      </c>
      <c r="V172" s="8"/>
      <c r="W172" s="8"/>
    </row>
    <row r="173" spans="1:23">
      <c r="A173" s="67"/>
      <c r="B173" s="67"/>
      <c r="C173" s="67"/>
      <c r="D173" s="67"/>
      <c r="E173" s="67"/>
      <c r="S173" s="12"/>
      <c r="T173" s="12"/>
      <c r="U173" s="12"/>
      <c r="V173" s="8"/>
      <c r="W173" s="8"/>
    </row>
    <row r="174" spans="1:23">
      <c r="A174" s="67"/>
      <c r="B174" s="67"/>
      <c r="C174" s="67"/>
      <c r="D174" s="67"/>
      <c r="E174" s="67"/>
      <c r="V174" s="8"/>
      <c r="W174" s="8"/>
    </row>
    <row r="175" spans="1:23">
      <c r="A175" s="67"/>
      <c r="B175" s="67"/>
      <c r="C175" s="67"/>
      <c r="D175" s="67"/>
      <c r="E175" s="67"/>
      <c r="V175" s="8"/>
      <c r="W175" s="8"/>
    </row>
    <row r="176" spans="1:23">
      <c r="A176" s="67"/>
      <c r="B176" s="67"/>
      <c r="C176" s="67"/>
      <c r="D176" s="67"/>
      <c r="E176" s="67"/>
      <c r="V176" s="8"/>
      <c r="W176" s="8"/>
    </row>
    <row r="177" spans="1:23">
      <c r="A177" s="67"/>
      <c r="B177" s="67"/>
      <c r="C177" s="67"/>
      <c r="D177" s="67"/>
      <c r="E177" s="67"/>
      <c r="V177" s="8"/>
      <c r="W177" s="8"/>
    </row>
    <row r="178" spans="1:23">
      <c r="A178" s="67"/>
      <c r="B178" s="67"/>
      <c r="C178" s="67"/>
      <c r="D178" s="67"/>
      <c r="E178" s="67"/>
      <c r="V178" s="8"/>
      <c r="W178" s="8"/>
    </row>
    <row r="179" spans="1:23">
      <c r="A179" s="68"/>
      <c r="B179" s="68"/>
      <c r="C179" s="68"/>
      <c r="D179" s="68"/>
      <c r="E179" s="68"/>
      <c r="V179" s="8"/>
      <c r="W179" s="8"/>
    </row>
    <row r="180" spans="1:23">
      <c r="A180" s="67"/>
      <c r="B180" s="67"/>
      <c r="C180" s="67"/>
      <c r="D180" s="67"/>
      <c r="E180" s="67"/>
      <c r="V180" s="8"/>
      <c r="W180" s="8"/>
    </row>
    <row r="181" spans="1:23">
      <c r="A181" s="67"/>
      <c r="B181" s="67"/>
      <c r="C181" s="67"/>
      <c r="D181" s="67"/>
      <c r="E181" s="67"/>
      <c r="V181" s="8"/>
      <c r="W181" s="8"/>
    </row>
    <row r="182" spans="1:23">
      <c r="A182" s="67"/>
      <c r="B182" s="67"/>
      <c r="C182" s="67"/>
      <c r="D182" s="67"/>
      <c r="E182" s="67"/>
      <c r="V182" s="8"/>
      <c r="W182" s="8"/>
    </row>
    <row r="183" spans="1:23">
      <c r="A183" s="67"/>
      <c r="B183" s="67"/>
      <c r="C183" s="67"/>
      <c r="D183" s="67"/>
      <c r="E183" s="67"/>
      <c r="V183" s="8"/>
      <c r="W183" s="8"/>
    </row>
    <row r="184" spans="1:23">
      <c r="A184" s="67"/>
      <c r="B184" s="67"/>
      <c r="C184" s="67"/>
      <c r="D184" s="67"/>
      <c r="E184" s="67"/>
      <c r="V184" s="8"/>
      <c r="W184" s="8"/>
    </row>
    <row r="185" spans="1:23">
      <c r="A185" s="67"/>
      <c r="B185" s="67"/>
      <c r="C185" s="67"/>
      <c r="D185" s="67"/>
      <c r="E185" s="67"/>
    </row>
    <row r="186" spans="1:23">
      <c r="A186" s="67"/>
      <c r="B186" s="67"/>
      <c r="C186" s="67"/>
      <c r="D186" s="67"/>
      <c r="E186" s="67"/>
    </row>
    <row r="187" spans="1:23">
      <c r="A187" s="67"/>
      <c r="B187" s="67"/>
      <c r="C187" s="67"/>
      <c r="D187" s="67"/>
      <c r="E187" s="67"/>
    </row>
    <row r="188" spans="1:23">
      <c r="A188" s="67"/>
      <c r="B188" s="67"/>
      <c r="C188" s="67"/>
      <c r="D188" s="67"/>
      <c r="E188" s="67"/>
    </row>
    <row r="189" spans="1:23">
      <c r="A189" s="67"/>
      <c r="B189" s="67"/>
      <c r="C189" s="67"/>
      <c r="D189" s="67"/>
      <c r="E189" s="67"/>
    </row>
    <row r="190" spans="1:23">
      <c r="A190" s="67"/>
      <c r="B190" s="67"/>
      <c r="C190" s="67"/>
      <c r="D190" s="67"/>
      <c r="E190" s="67"/>
    </row>
    <row r="191" spans="1:23">
      <c r="A191" s="67"/>
      <c r="B191" s="67"/>
      <c r="C191" s="67"/>
      <c r="D191" s="67"/>
      <c r="E191" s="67"/>
    </row>
    <row r="192" spans="1:23">
      <c r="A192" s="67"/>
      <c r="B192" s="67"/>
      <c r="C192" s="67"/>
      <c r="D192" s="67"/>
      <c r="E192" s="67"/>
    </row>
    <row r="193" spans="1:5">
      <c r="A193" s="67"/>
      <c r="B193" s="67"/>
      <c r="C193" s="67"/>
      <c r="D193" s="67"/>
      <c r="E193" s="67"/>
    </row>
    <row r="194" spans="1:5">
      <c r="A194" s="67"/>
      <c r="B194" s="67"/>
      <c r="C194" s="67"/>
      <c r="D194" s="67"/>
      <c r="E194" s="67"/>
    </row>
    <row r="195" spans="1:5">
      <c r="A195" s="67"/>
      <c r="B195" s="67"/>
      <c r="C195" s="67"/>
      <c r="D195" s="67"/>
      <c r="E195" s="67"/>
    </row>
    <row r="196" spans="1:5">
      <c r="A196" s="67"/>
      <c r="B196" s="67"/>
      <c r="C196" s="67"/>
      <c r="D196" s="67"/>
      <c r="E196" s="67"/>
    </row>
    <row r="197" spans="1:5">
      <c r="A197" s="67"/>
      <c r="B197" s="67"/>
      <c r="C197" s="67"/>
      <c r="D197" s="67"/>
      <c r="E197" s="67"/>
    </row>
    <row r="198" spans="1:5">
      <c r="A198" s="67"/>
      <c r="B198" s="67"/>
      <c r="C198" s="67"/>
      <c r="D198" s="67"/>
      <c r="E198" s="67"/>
    </row>
    <row r="199" spans="1:5">
      <c r="A199" s="67"/>
      <c r="B199" s="67"/>
      <c r="C199" s="67"/>
      <c r="D199" s="67"/>
      <c r="E199" s="67"/>
    </row>
    <row r="200" spans="1:5">
      <c r="A200" s="67"/>
      <c r="B200" s="67"/>
      <c r="C200" s="67"/>
      <c r="D200" s="67"/>
      <c r="E200" s="67"/>
    </row>
    <row r="201" spans="1:5">
      <c r="A201" s="67"/>
      <c r="B201" s="67"/>
      <c r="C201" s="67"/>
      <c r="D201" s="67"/>
      <c r="E201" s="67"/>
    </row>
    <row r="202" spans="1:5">
      <c r="A202" s="67"/>
      <c r="B202" s="67"/>
      <c r="C202" s="67"/>
      <c r="D202" s="67"/>
      <c r="E202" s="67"/>
    </row>
    <row r="203" spans="1:5">
      <c r="A203" s="67"/>
      <c r="B203" s="67"/>
      <c r="C203" s="67"/>
      <c r="D203" s="67"/>
      <c r="E203" s="67"/>
    </row>
    <row r="204" spans="1:5">
      <c r="A204" s="67"/>
      <c r="B204" s="67"/>
      <c r="C204" s="67"/>
      <c r="D204" s="67"/>
      <c r="E204" s="67"/>
    </row>
    <row r="205" spans="1:5">
      <c r="A205" s="67"/>
      <c r="B205" s="67"/>
      <c r="C205" s="67"/>
      <c r="D205" s="67"/>
      <c r="E205" s="67"/>
    </row>
    <row r="206" spans="1:5">
      <c r="A206" s="67"/>
      <c r="B206" s="67"/>
      <c r="C206" s="67"/>
      <c r="D206" s="67"/>
      <c r="E206" s="67"/>
    </row>
    <row r="207" spans="1:5">
      <c r="A207" s="67"/>
      <c r="B207" s="67"/>
      <c r="C207" s="67"/>
      <c r="D207" s="67"/>
      <c r="E207" s="67"/>
    </row>
    <row r="208" spans="1:5">
      <c r="A208" s="67"/>
      <c r="B208" s="67"/>
      <c r="C208" s="67"/>
      <c r="D208" s="67"/>
      <c r="E208" s="67"/>
    </row>
    <row r="209" spans="1:5">
      <c r="A209" s="67"/>
      <c r="B209" s="67"/>
      <c r="C209" s="67"/>
      <c r="D209" s="67"/>
      <c r="E209" s="67"/>
    </row>
    <row r="210" spans="1:5">
      <c r="A210" s="67"/>
      <c r="B210" s="67"/>
      <c r="C210" s="67"/>
      <c r="D210" s="67"/>
      <c r="E210" s="67"/>
    </row>
    <row r="211" spans="1:5">
      <c r="A211" s="67"/>
      <c r="B211" s="67"/>
      <c r="C211" s="67"/>
      <c r="D211" s="67"/>
      <c r="E211" s="67"/>
    </row>
    <row r="212" spans="1:5">
      <c r="A212" s="67"/>
      <c r="B212" s="67"/>
      <c r="C212" s="67"/>
      <c r="D212" s="67"/>
      <c r="E212" s="67"/>
    </row>
    <row r="213" spans="1:5">
      <c r="A213" s="67"/>
      <c r="B213" s="67"/>
      <c r="C213" s="67"/>
      <c r="D213" s="67"/>
      <c r="E213" s="67"/>
    </row>
    <row r="214" spans="1:5">
      <c r="A214" s="67"/>
      <c r="B214" s="67"/>
      <c r="C214" s="67"/>
      <c r="D214" s="67"/>
      <c r="E214" s="67"/>
    </row>
    <row r="215" spans="1:5">
      <c r="A215" s="67"/>
      <c r="B215" s="67"/>
      <c r="C215" s="67"/>
      <c r="D215" s="67"/>
      <c r="E215" s="67"/>
    </row>
    <row r="216" spans="1:5">
      <c r="A216" s="67"/>
      <c r="B216" s="67"/>
      <c r="C216" s="67"/>
      <c r="D216" s="67"/>
      <c r="E216" s="67"/>
    </row>
    <row r="217" spans="1:5">
      <c r="A217" s="67"/>
      <c r="B217" s="67"/>
      <c r="C217" s="67"/>
      <c r="D217" s="67"/>
      <c r="E217" s="67"/>
    </row>
    <row r="218" spans="1:5">
      <c r="A218" s="67"/>
      <c r="B218" s="67"/>
      <c r="C218" s="67"/>
      <c r="D218" s="67"/>
      <c r="E218" s="67"/>
    </row>
    <row r="219" spans="1:5">
      <c r="A219" s="67"/>
      <c r="B219" s="67"/>
      <c r="C219" s="67"/>
      <c r="D219" s="67"/>
      <c r="E219" s="67"/>
    </row>
    <row r="220" spans="1:5">
      <c r="A220" s="67"/>
      <c r="B220" s="67"/>
      <c r="C220" s="67"/>
      <c r="D220" s="67"/>
      <c r="E220" s="67"/>
    </row>
    <row r="221" spans="1:5">
      <c r="A221" s="67"/>
      <c r="B221" s="67"/>
      <c r="C221" s="67"/>
      <c r="D221" s="67"/>
      <c r="E221" s="67"/>
    </row>
    <row r="222" spans="1:5">
      <c r="A222" s="67"/>
      <c r="B222" s="67"/>
      <c r="C222" s="67"/>
      <c r="D222" s="67"/>
      <c r="E222" s="67"/>
    </row>
    <row r="223" spans="1:5">
      <c r="A223" s="67"/>
      <c r="B223" s="67"/>
      <c r="C223" s="67"/>
      <c r="D223" s="67"/>
      <c r="E223" s="67"/>
    </row>
    <row r="224" spans="1:5">
      <c r="A224" s="67"/>
      <c r="B224" s="67"/>
      <c r="C224" s="67"/>
      <c r="D224" s="67"/>
      <c r="E224" s="67"/>
    </row>
    <row r="225" spans="1:5">
      <c r="A225" s="67"/>
      <c r="B225" s="67"/>
      <c r="C225" s="67"/>
      <c r="D225" s="67"/>
      <c r="E225" s="67"/>
    </row>
    <row r="226" spans="1:5">
      <c r="A226" s="67"/>
      <c r="B226" s="67"/>
      <c r="C226" s="67"/>
      <c r="D226" s="67"/>
      <c r="E226" s="67"/>
    </row>
    <row r="227" spans="1:5">
      <c r="A227" s="67"/>
      <c r="B227" s="67"/>
      <c r="C227" s="67"/>
      <c r="D227" s="67"/>
      <c r="E227" s="67"/>
    </row>
    <row r="228" spans="1:5">
      <c r="A228" s="67"/>
      <c r="B228" s="67"/>
      <c r="C228" s="67"/>
      <c r="D228" s="67"/>
      <c r="E228" s="67"/>
    </row>
    <row r="229" spans="1:5">
      <c r="A229" s="67"/>
      <c r="B229" s="67"/>
      <c r="C229" s="67"/>
      <c r="D229" s="67"/>
      <c r="E229" s="67"/>
    </row>
    <row r="230" spans="1:5">
      <c r="A230" s="67"/>
      <c r="B230" s="67"/>
      <c r="C230" s="67"/>
      <c r="D230" s="67"/>
      <c r="E230" s="67"/>
    </row>
    <row r="231" spans="1:5">
      <c r="A231" s="67"/>
      <c r="B231" s="67"/>
      <c r="C231" s="67"/>
      <c r="D231" s="67"/>
      <c r="E231" s="67"/>
    </row>
    <row r="232" spans="1:5">
      <c r="A232" s="67"/>
      <c r="B232" s="67"/>
      <c r="C232" s="67"/>
      <c r="D232" s="67"/>
      <c r="E232" s="67"/>
    </row>
    <row r="233" spans="1:5">
      <c r="A233" s="67"/>
      <c r="B233" s="67"/>
      <c r="C233" s="67"/>
      <c r="D233" s="67"/>
      <c r="E233" s="67"/>
    </row>
    <row r="234" spans="1:5">
      <c r="A234" s="67"/>
      <c r="B234" s="67"/>
      <c r="C234" s="67"/>
      <c r="D234" s="67"/>
      <c r="E234" s="67"/>
    </row>
    <row r="235" spans="1:5">
      <c r="A235" s="67"/>
      <c r="B235" s="67"/>
      <c r="C235" s="67"/>
      <c r="D235" s="67"/>
      <c r="E235" s="67"/>
    </row>
    <row r="236" spans="1:5">
      <c r="A236" s="67"/>
      <c r="B236" s="67"/>
      <c r="C236" s="67"/>
      <c r="D236" s="67"/>
      <c r="E236" s="67"/>
    </row>
    <row r="237" spans="1:5">
      <c r="A237" s="67"/>
      <c r="B237" s="67"/>
      <c r="C237" s="67"/>
      <c r="D237" s="67"/>
      <c r="E237" s="67"/>
    </row>
    <row r="238" spans="1:5">
      <c r="A238" s="67"/>
      <c r="B238" s="67"/>
      <c r="C238" s="67"/>
      <c r="D238" s="67"/>
      <c r="E238" s="67"/>
    </row>
    <row r="239" spans="1:5">
      <c r="A239" s="67"/>
      <c r="B239" s="67"/>
      <c r="C239" s="67"/>
      <c r="D239" s="67"/>
      <c r="E239" s="67"/>
    </row>
    <row r="240" spans="1:5">
      <c r="A240" s="67"/>
      <c r="B240" s="67"/>
      <c r="C240" s="67"/>
      <c r="D240" s="67"/>
      <c r="E240" s="67"/>
    </row>
    <row r="241" spans="1:5">
      <c r="A241" s="67"/>
      <c r="B241" s="67"/>
      <c r="C241" s="67"/>
      <c r="D241" s="67"/>
      <c r="E241" s="67"/>
    </row>
    <row r="242" spans="1:5">
      <c r="A242" s="67"/>
      <c r="B242" s="67"/>
      <c r="C242" s="67"/>
      <c r="D242" s="67"/>
      <c r="E242" s="67"/>
    </row>
    <row r="243" spans="1:5">
      <c r="A243" s="67"/>
      <c r="B243" s="67"/>
      <c r="C243" s="67"/>
      <c r="D243" s="67"/>
      <c r="E243" s="67"/>
    </row>
    <row r="244" spans="1:5">
      <c r="A244" s="67"/>
      <c r="B244" s="67"/>
      <c r="C244" s="67"/>
      <c r="D244" s="67"/>
      <c r="E244" s="67"/>
    </row>
    <row r="245" spans="1:5">
      <c r="A245" s="67"/>
      <c r="B245" s="67"/>
      <c r="C245" s="67"/>
      <c r="D245" s="67"/>
      <c r="E245" s="67"/>
    </row>
    <row r="246" spans="1:5">
      <c r="A246" s="67"/>
      <c r="B246" s="67"/>
      <c r="C246" s="67"/>
      <c r="D246" s="67"/>
      <c r="E246" s="67"/>
    </row>
    <row r="247" spans="1:5">
      <c r="A247" s="67"/>
      <c r="B247" s="67"/>
      <c r="C247" s="67"/>
      <c r="D247" s="67"/>
      <c r="E247" s="67"/>
    </row>
    <row r="248" spans="1:5">
      <c r="A248" s="67"/>
      <c r="B248" s="67"/>
      <c r="C248" s="67"/>
      <c r="D248" s="67"/>
      <c r="E248" s="67"/>
    </row>
    <row r="249" spans="1:5">
      <c r="A249" s="67"/>
      <c r="B249" s="67"/>
      <c r="C249" s="67"/>
      <c r="D249" s="67"/>
      <c r="E249" s="67"/>
    </row>
    <row r="250" spans="1:5">
      <c r="A250" s="67"/>
      <c r="B250" s="67"/>
      <c r="C250" s="67"/>
      <c r="D250" s="67"/>
      <c r="E250" s="67"/>
    </row>
    <row r="251" spans="1:5">
      <c r="A251" s="67"/>
      <c r="B251" s="67"/>
      <c r="C251" s="67"/>
      <c r="D251" s="67"/>
      <c r="E251" s="67"/>
    </row>
    <row r="252" spans="1:5">
      <c r="A252" s="67"/>
      <c r="B252" s="67"/>
      <c r="C252" s="67"/>
      <c r="D252" s="67"/>
      <c r="E252" s="67"/>
    </row>
    <row r="253" spans="1:5">
      <c r="A253" s="67"/>
      <c r="B253" s="67"/>
      <c r="C253" s="67"/>
      <c r="D253" s="67"/>
      <c r="E253" s="67"/>
    </row>
    <row r="254" spans="1:5">
      <c r="A254" s="67"/>
      <c r="B254" s="67"/>
      <c r="C254" s="67"/>
      <c r="D254" s="67"/>
      <c r="E254" s="67"/>
    </row>
    <row r="255" spans="1:5">
      <c r="A255" s="67"/>
      <c r="B255" s="67"/>
      <c r="C255" s="67"/>
      <c r="D255" s="67"/>
      <c r="E255" s="67"/>
    </row>
    <row r="256" spans="1:5">
      <c r="A256" s="67"/>
      <c r="B256" s="67"/>
      <c r="C256" s="67"/>
      <c r="D256" s="67"/>
      <c r="E256" s="67"/>
    </row>
    <row r="257" spans="1:5">
      <c r="A257" s="67"/>
      <c r="B257" s="67"/>
      <c r="C257" s="67"/>
      <c r="D257" s="67"/>
      <c r="E257" s="67"/>
    </row>
    <row r="258" spans="1:5">
      <c r="A258" s="67"/>
      <c r="B258" s="67"/>
      <c r="C258" s="67"/>
      <c r="D258" s="67"/>
      <c r="E258" s="67"/>
    </row>
    <row r="259" spans="1:5">
      <c r="A259" s="67"/>
      <c r="B259" s="67"/>
      <c r="C259" s="67"/>
      <c r="D259" s="67"/>
      <c r="E259" s="67"/>
    </row>
    <row r="260" spans="1:5">
      <c r="A260" s="67"/>
      <c r="B260" s="67"/>
      <c r="C260" s="67"/>
      <c r="D260" s="67"/>
      <c r="E260" s="67"/>
    </row>
    <row r="261" spans="1:5">
      <c r="A261" s="67"/>
      <c r="B261" s="67"/>
      <c r="C261" s="67"/>
      <c r="D261" s="67"/>
      <c r="E261" s="67"/>
    </row>
    <row r="262" spans="1:5">
      <c r="A262" s="67"/>
      <c r="B262" s="67"/>
      <c r="C262" s="67"/>
      <c r="D262" s="67"/>
      <c r="E262" s="67"/>
    </row>
    <row r="263" spans="1:5">
      <c r="A263" s="67"/>
      <c r="B263" s="67"/>
      <c r="C263" s="67"/>
      <c r="D263" s="67"/>
      <c r="E263" s="67"/>
    </row>
    <row r="264" spans="1:5">
      <c r="A264" s="67"/>
      <c r="B264" s="67"/>
      <c r="C264" s="67"/>
      <c r="D264" s="67"/>
      <c r="E264" s="67"/>
    </row>
  </sheetData>
  <sheetProtection selectLockedCells="1" selectUnlockedCells="1"/>
  <mergeCells count="17">
    <mergeCell ref="G27:J27"/>
    <mergeCell ref="G85:J85"/>
    <mergeCell ref="V1:W1"/>
    <mergeCell ref="G1:J1"/>
    <mergeCell ref="L1:Q1"/>
    <mergeCell ref="L85:Q85"/>
    <mergeCell ref="L116:Q116"/>
    <mergeCell ref="AC39:AC41"/>
    <mergeCell ref="AO2:AO25"/>
    <mergeCell ref="AO26:AO36"/>
    <mergeCell ref="AC25:AC26"/>
    <mergeCell ref="AC3:AC10"/>
    <mergeCell ref="AC52:AC90"/>
    <mergeCell ref="AC42:AC46"/>
    <mergeCell ref="AC28:AC30"/>
    <mergeCell ref="AC31:AC38"/>
    <mergeCell ref="AC11:AC24"/>
  </mergeCells>
  <phoneticPr fontId="45" type="noConversion"/>
  <conditionalFormatting sqref="B71:C101 B103:C139 B141:C1048576 B31:C69">
    <cfRule type="duplicateValues" dxfId="35" priority="13"/>
  </conditionalFormatting>
  <conditionalFormatting sqref="M3:M83">
    <cfRule type="duplicateValues" dxfId="34" priority="1"/>
  </conditionalFormatting>
  <conditionalFormatting sqref="S115:S172 U115:U172">
    <cfRule type="duplicateValues" dxfId="33" priority="38"/>
  </conditionalFormatting>
  <conditionalFormatting sqref="S1:T1 S50:T58 S60:T60 S62:T72 S74:T89 S93:T93 S95:T99">
    <cfRule type="expression" dxfId="32" priority="32" stopIfTrue="1">
      <formula>AND(COUNTIF(#REF!, S1)+COUNTIF(#REF!, S1)&gt;1,NOT(ISBLANK(S1)))</formula>
    </cfRule>
  </conditionalFormatting>
  <conditionalFormatting sqref="S1:T1">
    <cfRule type="duplicateValues" dxfId="31" priority="35" stopIfTrue="1"/>
    <cfRule type="duplicateValues" dxfId="30" priority="36" stopIfTrue="1"/>
    <cfRule type="duplicateValues" dxfId="29" priority="37" stopIfTrue="1"/>
  </conditionalFormatting>
  <conditionalFormatting sqref="U1:U173">
    <cfRule type="duplicateValues" dxfId="28" priority="39"/>
  </conditionalFormatting>
  <conditionalFormatting sqref="X79">
    <cfRule type="duplicateValues" dxfId="27" priority="14"/>
    <cfRule type="duplicateValues" dxfId="26" priority="15" stopIfTrue="1"/>
    <cfRule type="duplicateValues" dxfId="25" priority="16" stopIfTrue="1"/>
  </conditionalFormatting>
  <conditionalFormatting sqref="AC1">
    <cfRule type="duplicateValues" dxfId="24" priority="2956"/>
    <cfRule type="duplicateValues" dxfId="23" priority="2957"/>
  </conditionalFormatting>
  <conditionalFormatting sqref="AD11">
    <cfRule type="duplicateValues" dxfId="22" priority="6"/>
  </conditionalFormatting>
  <conditionalFormatting sqref="AF11">
    <cfRule type="duplicateValues" dxfId="21" priority="27"/>
  </conditionalFormatting>
  <conditionalFormatting sqref="AP1">
    <cfRule type="duplicateValues" dxfId="20" priority="22"/>
    <cfRule type="duplicateValues" dxfId="19" priority="23"/>
  </conditionalFormatting>
  <conditionalFormatting sqref="AP2:AP27">
    <cfRule type="duplicateValues" dxfId="18" priority="33"/>
  </conditionalFormatting>
  <conditionalFormatting sqref="AP8:AP9">
    <cfRule type="duplicateValues" dxfId="17" priority="5"/>
  </conditionalFormatting>
  <conditionalFormatting sqref="AP11:AP25">
    <cfRule type="duplicateValues" dxfId="16" priority="34"/>
  </conditionalFormatting>
  <conditionalFormatting sqref="AP13">
    <cfRule type="duplicateValues" dxfId="15" priority="3"/>
    <cfRule type="duplicateValues" dxfId="14" priority="4"/>
  </conditionalFormatting>
  <conditionalFormatting sqref="AP15">
    <cfRule type="duplicateValues" dxfId="13" priority="20"/>
    <cfRule type="duplicateValues" dxfId="12" priority="21"/>
  </conditionalFormatting>
  <conditionalFormatting sqref="AP28:AP36">
    <cfRule type="duplicateValues" dxfId="11" priority="18"/>
    <cfRule type="duplicateValues" dxfId="10" priority="19"/>
  </conditionalFormatting>
  <conditionalFormatting sqref="AV1">
    <cfRule type="duplicateValues" dxfId="9" priority="17"/>
  </conditionalFormatting>
  <conditionalFormatting sqref="AY1:AY18">
    <cfRule type="duplicateValues" dxfId="8" priority="287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0CE3-CE83-4285-9EC0-D93D10B15031}">
  <sheetPr codeName="Sheet6">
    <tabColor rgb="FFFF0000"/>
  </sheetPr>
  <dimension ref="A1:O82"/>
  <sheetViews>
    <sheetView topLeftCell="A13" zoomScale="55" zoomScaleNormal="55" workbookViewId="0">
      <selection activeCell="E62" sqref="E62"/>
    </sheetView>
  </sheetViews>
  <sheetFormatPr defaultRowHeight="16.5"/>
  <cols>
    <col min="1" max="1" width="13.125" bestFit="1" customWidth="1"/>
    <col min="2" max="2" width="30.75" customWidth="1"/>
    <col min="4" max="4" width="53" bestFit="1" customWidth="1"/>
    <col min="5" max="5" width="25.625" bestFit="1" customWidth="1"/>
    <col min="6" max="6" width="25.625" style="158" bestFit="1" customWidth="1"/>
    <col min="7" max="7" width="3" customWidth="1"/>
    <col min="9" max="9" width="20.125" bestFit="1" customWidth="1"/>
    <col min="10" max="10" width="20.25" bestFit="1" customWidth="1"/>
    <col min="11" max="11" width="14.125" bestFit="1" customWidth="1"/>
    <col min="12" max="12" width="35.5" bestFit="1" customWidth="1"/>
    <col min="13" max="13" width="20.125" bestFit="1" customWidth="1"/>
    <col min="14" max="14" width="56.25" bestFit="1" customWidth="1"/>
  </cols>
  <sheetData>
    <row r="1" spans="1:15" ht="17.25">
      <c r="A1" s="135">
        <v>16</v>
      </c>
      <c r="B1" s="135" t="s">
        <v>140</v>
      </c>
      <c r="C1" s="135" t="s">
        <v>733</v>
      </c>
      <c r="D1" s="135"/>
      <c r="E1" s="135"/>
      <c r="F1" s="136" t="s">
        <v>1396</v>
      </c>
    </row>
    <row r="2" spans="1:15" ht="17.25">
      <c r="A2" s="137" t="s">
        <v>118</v>
      </c>
      <c r="B2" s="138" t="s">
        <v>2069</v>
      </c>
      <c r="C2" s="138" t="s">
        <v>2070</v>
      </c>
      <c r="D2" s="138" t="s">
        <v>2071</v>
      </c>
      <c r="E2" s="138"/>
      <c r="F2" s="139" t="s">
        <v>2072</v>
      </c>
    </row>
    <row r="3" spans="1:15" ht="17.25">
      <c r="A3" s="137" t="s">
        <v>118</v>
      </c>
      <c r="B3" s="138" t="s">
        <v>2074</v>
      </c>
      <c r="C3" s="138" t="s">
        <v>2070</v>
      </c>
      <c r="D3" s="138" t="s">
        <v>2071</v>
      </c>
      <c r="E3" s="138"/>
      <c r="F3" s="139" t="s">
        <v>2072</v>
      </c>
    </row>
    <row r="4" spans="1:15" ht="17.25">
      <c r="A4" s="137" t="s">
        <v>734</v>
      </c>
      <c r="B4" s="138" t="s">
        <v>2075</v>
      </c>
      <c r="C4" s="138" t="s">
        <v>1320</v>
      </c>
      <c r="D4" s="138" t="s">
        <v>2076</v>
      </c>
      <c r="E4" s="138"/>
      <c r="F4" s="139" t="s">
        <v>2077</v>
      </c>
    </row>
    <row r="5" spans="1:15" ht="17.25">
      <c r="A5" s="137" t="s">
        <v>734</v>
      </c>
      <c r="B5" s="138" t="s">
        <v>2079</v>
      </c>
      <c r="C5" s="138" t="s">
        <v>1320</v>
      </c>
      <c r="D5" s="138" t="s">
        <v>2076</v>
      </c>
      <c r="E5" s="140" t="s">
        <v>2080</v>
      </c>
      <c r="F5" s="139" t="s">
        <v>2081</v>
      </c>
    </row>
    <row r="6" spans="1:15" ht="17.25">
      <c r="A6" s="137" t="s">
        <v>1327</v>
      </c>
      <c r="B6" s="138" t="s">
        <v>2082</v>
      </c>
      <c r="C6" s="138" t="s">
        <v>1320</v>
      </c>
      <c r="D6" s="138" t="s">
        <v>2083</v>
      </c>
      <c r="E6" s="138"/>
      <c r="F6" s="139" t="s">
        <v>2084</v>
      </c>
    </row>
    <row r="7" spans="1:15" ht="17.25">
      <c r="A7" s="137" t="s">
        <v>735</v>
      </c>
      <c r="B7" s="138" t="s">
        <v>2086</v>
      </c>
      <c r="C7" s="138" t="s">
        <v>2070</v>
      </c>
      <c r="D7" s="138" t="s">
        <v>2087</v>
      </c>
      <c r="E7" s="138"/>
      <c r="F7" s="139" t="s">
        <v>2088</v>
      </c>
    </row>
    <row r="8" spans="1:15" ht="17.25">
      <c r="A8" s="137" t="s">
        <v>736</v>
      </c>
      <c r="B8" s="138" t="s">
        <v>2089</v>
      </c>
      <c r="C8" s="138" t="s">
        <v>2070</v>
      </c>
      <c r="D8" s="138" t="s">
        <v>2090</v>
      </c>
      <c r="E8" s="138"/>
      <c r="F8" s="139" t="s">
        <v>2091</v>
      </c>
    </row>
    <row r="9" spans="1:15" ht="17.25">
      <c r="A9" s="137" t="s">
        <v>119</v>
      </c>
      <c r="B9" s="138" t="s">
        <v>2092</v>
      </c>
      <c r="C9" s="138" t="s">
        <v>2070</v>
      </c>
      <c r="D9" s="138" t="s">
        <v>2093</v>
      </c>
      <c r="E9" s="138"/>
      <c r="F9" s="139" t="s">
        <v>2094</v>
      </c>
    </row>
    <row r="10" spans="1:15" ht="17.25">
      <c r="A10" s="141" t="s">
        <v>2096</v>
      </c>
      <c r="B10" s="138" t="s">
        <v>2097</v>
      </c>
      <c r="C10" s="138" t="s">
        <v>2070</v>
      </c>
      <c r="D10" s="138" t="s">
        <v>2098</v>
      </c>
      <c r="E10" s="138"/>
      <c r="F10" s="139" t="s">
        <v>2099</v>
      </c>
    </row>
    <row r="11" spans="1:15" ht="17.25">
      <c r="A11" s="137" t="s">
        <v>509</v>
      </c>
      <c r="B11" s="138" t="s">
        <v>2100</v>
      </c>
      <c r="C11" s="138" t="s">
        <v>2070</v>
      </c>
      <c r="D11" s="138" t="s">
        <v>2101</v>
      </c>
      <c r="E11" s="138"/>
      <c r="F11" s="142"/>
    </row>
    <row r="12" spans="1:15" ht="17.25">
      <c r="A12" s="137" t="s">
        <v>509</v>
      </c>
      <c r="B12" s="138" t="s">
        <v>2102</v>
      </c>
      <c r="C12" s="138" t="s">
        <v>2070</v>
      </c>
      <c r="D12" s="138" t="s">
        <v>2101</v>
      </c>
      <c r="E12" s="138" t="s">
        <v>2103</v>
      </c>
      <c r="F12" s="139" t="s">
        <v>2104</v>
      </c>
      <c r="H12" s="201" t="s">
        <v>2105</v>
      </c>
      <c r="I12" s="201"/>
      <c r="J12" s="201"/>
      <c r="K12" s="201"/>
      <c r="L12" s="201"/>
      <c r="M12" s="201"/>
      <c r="N12" s="201"/>
    </row>
    <row r="13" spans="1:15" ht="17.25">
      <c r="A13" s="137" t="s">
        <v>737</v>
      </c>
      <c r="B13" s="138" t="s">
        <v>2106</v>
      </c>
      <c r="C13" s="138" t="s">
        <v>2070</v>
      </c>
      <c r="D13" s="138" t="s">
        <v>2107</v>
      </c>
      <c r="E13" s="138"/>
      <c r="F13" s="139" t="s">
        <v>2108</v>
      </c>
      <c r="H13" s="143" t="s">
        <v>139</v>
      </c>
      <c r="I13" s="143" t="s">
        <v>140</v>
      </c>
      <c r="J13" s="143" t="s">
        <v>141</v>
      </c>
      <c r="K13" s="143" t="s">
        <v>142</v>
      </c>
      <c r="L13" s="143" t="s">
        <v>325</v>
      </c>
      <c r="M13" s="135" t="s">
        <v>733</v>
      </c>
      <c r="N13" s="143" t="s">
        <v>2109</v>
      </c>
      <c r="O13" s="143" t="s">
        <v>1396</v>
      </c>
    </row>
    <row r="14" spans="1:15" ht="17.25">
      <c r="A14" s="137" t="s">
        <v>153</v>
      </c>
      <c r="B14" s="138" t="s">
        <v>2110</v>
      </c>
      <c r="C14" s="138" t="s">
        <v>2070</v>
      </c>
      <c r="D14" s="138" t="s">
        <v>2111</v>
      </c>
      <c r="E14" s="138"/>
      <c r="F14" s="139" t="s">
        <v>2112</v>
      </c>
      <c r="H14" s="137" t="s">
        <v>734</v>
      </c>
      <c r="I14" s="138" t="s">
        <v>1248</v>
      </c>
      <c r="J14" s="137">
        <v>100760</v>
      </c>
      <c r="K14" s="137">
        <v>2300621</v>
      </c>
      <c r="L14" s="138"/>
      <c r="M14" s="138" t="s">
        <v>2070</v>
      </c>
      <c r="N14" s="144" t="s">
        <v>2080</v>
      </c>
      <c r="O14" s="144" t="s">
        <v>2113</v>
      </c>
    </row>
    <row r="15" spans="1:15" ht="17.25">
      <c r="A15" s="137" t="s">
        <v>153</v>
      </c>
      <c r="B15" s="138" t="s">
        <v>2114</v>
      </c>
      <c r="C15" s="138" t="s">
        <v>2070</v>
      </c>
      <c r="D15" s="138" t="s">
        <v>2111</v>
      </c>
      <c r="E15" s="138" t="s">
        <v>2115</v>
      </c>
      <c r="F15" s="142"/>
      <c r="H15" s="145" t="s">
        <v>2116</v>
      </c>
      <c r="I15" s="146" t="s">
        <v>2117</v>
      </c>
      <c r="J15" s="146">
        <v>100760</v>
      </c>
      <c r="K15" s="146">
        <v>2400391</v>
      </c>
      <c r="L15" s="146"/>
      <c r="M15" s="146" t="s">
        <v>2118</v>
      </c>
      <c r="N15" s="145" t="s">
        <v>2119</v>
      </c>
      <c r="O15" s="144" t="s">
        <v>2113</v>
      </c>
    </row>
    <row r="16" spans="1:15" ht="17.25">
      <c r="A16" s="137" t="s">
        <v>738</v>
      </c>
      <c r="B16" s="138" t="s">
        <v>2120</v>
      </c>
      <c r="C16" s="138" t="s">
        <v>2070</v>
      </c>
      <c r="D16" s="138" t="s">
        <v>2121</v>
      </c>
      <c r="E16" s="138"/>
      <c r="F16" s="139" t="s">
        <v>2122</v>
      </c>
      <c r="H16" s="146" t="s">
        <v>2123</v>
      </c>
      <c r="I16" s="146" t="s">
        <v>2124</v>
      </c>
      <c r="J16" s="146">
        <v>100760</v>
      </c>
      <c r="K16" s="146">
        <v>2300791</v>
      </c>
      <c r="L16" s="146"/>
      <c r="M16" s="146" t="s">
        <v>2118</v>
      </c>
      <c r="N16" s="145" t="s">
        <v>2125</v>
      </c>
      <c r="O16" s="144" t="s">
        <v>2113</v>
      </c>
    </row>
    <row r="17" spans="1:15" ht="17.25">
      <c r="A17" s="146" t="s">
        <v>2126</v>
      </c>
      <c r="B17" s="146" t="s">
        <v>2127</v>
      </c>
      <c r="C17" s="146" t="s">
        <v>2118</v>
      </c>
      <c r="D17" s="146" t="s">
        <v>2128</v>
      </c>
      <c r="E17" s="146"/>
      <c r="F17" s="139" t="s">
        <v>2129</v>
      </c>
      <c r="H17" s="147" t="s">
        <v>743</v>
      </c>
      <c r="I17" s="146" t="s">
        <v>2130</v>
      </c>
      <c r="J17" s="147">
        <v>100760</v>
      </c>
      <c r="K17" s="147">
        <v>2300791</v>
      </c>
      <c r="L17" s="146"/>
      <c r="M17" s="146" t="s">
        <v>2118</v>
      </c>
      <c r="N17" s="145" t="s">
        <v>980</v>
      </c>
      <c r="O17" s="144" t="s">
        <v>2113</v>
      </c>
    </row>
    <row r="18" spans="1:15" ht="17.25">
      <c r="A18" s="147" t="s">
        <v>739</v>
      </c>
      <c r="B18" s="146" t="s">
        <v>2131</v>
      </c>
      <c r="C18" s="146" t="s">
        <v>2118</v>
      </c>
      <c r="D18" s="146" t="s">
        <v>2132</v>
      </c>
      <c r="E18" s="146"/>
      <c r="F18" s="139" t="s">
        <v>2133</v>
      </c>
      <c r="H18" s="147" t="s">
        <v>408</v>
      </c>
      <c r="I18" s="146" t="s">
        <v>2073</v>
      </c>
      <c r="J18" s="147">
        <v>100760</v>
      </c>
      <c r="K18" s="147">
        <v>1700321</v>
      </c>
      <c r="L18" s="146"/>
      <c r="M18" s="146" t="s">
        <v>2118</v>
      </c>
      <c r="N18" s="145" t="s">
        <v>970</v>
      </c>
      <c r="O18" s="144" t="s">
        <v>2113</v>
      </c>
    </row>
    <row r="19" spans="1:15" ht="17.25">
      <c r="A19" s="147" t="s">
        <v>326</v>
      </c>
      <c r="B19" s="146" t="s">
        <v>2134</v>
      </c>
      <c r="C19" s="146" t="s">
        <v>2118</v>
      </c>
      <c r="D19" s="146" t="s">
        <v>2135</v>
      </c>
      <c r="E19" s="146"/>
      <c r="F19" s="139" t="s">
        <v>2136</v>
      </c>
      <c r="H19" s="148" t="s">
        <v>514</v>
      </c>
      <c r="I19" s="139" t="s">
        <v>2137</v>
      </c>
      <c r="J19" s="148">
        <v>100760</v>
      </c>
      <c r="K19" s="148">
        <v>2202428</v>
      </c>
      <c r="L19" s="139"/>
      <c r="M19" s="139" t="s">
        <v>2138</v>
      </c>
      <c r="N19" s="149" t="s">
        <v>2139</v>
      </c>
      <c r="O19" s="144" t="s">
        <v>2113</v>
      </c>
    </row>
    <row r="20" spans="1:15" ht="17.25">
      <c r="A20" s="147" t="s">
        <v>378</v>
      </c>
      <c r="B20" s="146" t="s">
        <v>2140</v>
      </c>
      <c r="C20" s="146" t="s">
        <v>2118</v>
      </c>
      <c r="D20" s="146" t="s">
        <v>2141</v>
      </c>
      <c r="E20" s="146"/>
      <c r="F20" s="139" t="s">
        <v>2142</v>
      </c>
    </row>
    <row r="21" spans="1:15" ht="17.25">
      <c r="A21" s="150" t="s">
        <v>740</v>
      </c>
      <c r="B21" s="150" t="s">
        <v>2143</v>
      </c>
      <c r="C21" s="150" t="s">
        <v>2118</v>
      </c>
      <c r="D21" s="150" t="s">
        <v>2144</v>
      </c>
      <c r="E21" s="146" t="s">
        <v>2145</v>
      </c>
      <c r="F21" s="139" t="s">
        <v>2146</v>
      </c>
    </row>
    <row r="22" spans="1:15" ht="17.25">
      <c r="A22" s="147" t="s">
        <v>2147</v>
      </c>
      <c r="B22" s="146" t="s">
        <v>1774</v>
      </c>
      <c r="C22" s="146" t="s">
        <v>2118</v>
      </c>
      <c r="D22" s="48" t="s">
        <v>2148</v>
      </c>
      <c r="E22" s="83"/>
      <c r="F22" s="139" t="s">
        <v>2113</v>
      </c>
    </row>
    <row r="23" spans="1:15" ht="17.25">
      <c r="A23" s="147" t="s">
        <v>2149</v>
      </c>
      <c r="B23" s="146" t="s">
        <v>2095</v>
      </c>
      <c r="C23" s="146" t="s">
        <v>2118</v>
      </c>
      <c r="D23" s="146" t="s">
        <v>2150</v>
      </c>
      <c r="E23" s="146"/>
      <c r="F23" s="139" t="s">
        <v>2151</v>
      </c>
    </row>
    <row r="24" spans="1:15" ht="17.25">
      <c r="A24" s="147" t="s">
        <v>512</v>
      </c>
      <c r="B24" s="146" t="s">
        <v>2152</v>
      </c>
      <c r="C24" s="146" t="s">
        <v>2118</v>
      </c>
      <c r="D24" s="146" t="s">
        <v>2153</v>
      </c>
      <c r="E24" s="146"/>
      <c r="F24" s="142"/>
    </row>
    <row r="25" spans="1:15" ht="17.25">
      <c r="A25" s="147" t="s">
        <v>512</v>
      </c>
      <c r="B25" s="146" t="s">
        <v>2153</v>
      </c>
      <c r="C25" s="146" t="s">
        <v>2118</v>
      </c>
      <c r="D25" s="146" t="s">
        <v>2153</v>
      </c>
      <c r="E25" s="146"/>
      <c r="F25" s="139" t="s">
        <v>2154</v>
      </c>
    </row>
    <row r="26" spans="1:15" ht="17.25">
      <c r="A26" s="147" t="s">
        <v>2155</v>
      </c>
      <c r="B26" s="146" t="s">
        <v>2156</v>
      </c>
      <c r="C26" s="146" t="s">
        <v>2118</v>
      </c>
      <c r="D26" s="146" t="s">
        <v>2157</v>
      </c>
      <c r="E26" s="146"/>
      <c r="F26" s="139" t="s">
        <v>2158</v>
      </c>
    </row>
    <row r="27" spans="1:15" ht="17.25">
      <c r="A27" s="147" t="s">
        <v>741</v>
      </c>
      <c r="B27" s="146" t="s">
        <v>2159</v>
      </c>
      <c r="C27" s="146" t="s">
        <v>2118</v>
      </c>
      <c r="D27" s="146" t="s">
        <v>2160</v>
      </c>
      <c r="E27" s="146"/>
      <c r="F27" s="139" t="s">
        <v>2161</v>
      </c>
    </row>
    <row r="28" spans="1:15" ht="17.25">
      <c r="A28" s="147" t="s">
        <v>513</v>
      </c>
      <c r="B28" s="146" t="s">
        <v>2162</v>
      </c>
      <c r="C28" s="146" t="s">
        <v>2118</v>
      </c>
      <c r="D28" s="146" t="s">
        <v>2163</v>
      </c>
      <c r="E28" s="146"/>
      <c r="F28" s="139" t="s">
        <v>2164</v>
      </c>
    </row>
    <row r="29" spans="1:15" ht="17.25">
      <c r="A29" s="147" t="s">
        <v>510</v>
      </c>
      <c r="B29" s="146" t="s">
        <v>2165</v>
      </c>
      <c r="C29" s="146" t="s">
        <v>2118</v>
      </c>
      <c r="D29" s="146" t="s">
        <v>2166</v>
      </c>
      <c r="E29" s="146"/>
      <c r="F29" s="139" t="s">
        <v>2167</v>
      </c>
    </row>
    <row r="30" spans="1:15" ht="17.25">
      <c r="A30" s="147" t="s">
        <v>742</v>
      </c>
      <c r="B30" s="146" t="s">
        <v>2168</v>
      </c>
      <c r="C30" s="146" t="s">
        <v>2118</v>
      </c>
      <c r="D30" s="146" t="s">
        <v>2169</v>
      </c>
      <c r="E30" s="146"/>
      <c r="F30" s="139" t="s">
        <v>2170</v>
      </c>
    </row>
    <row r="31" spans="1:15" ht="17.25">
      <c r="A31" s="147" t="s">
        <v>115</v>
      </c>
      <c r="B31" s="146" t="s">
        <v>2124</v>
      </c>
      <c r="C31" s="146" t="s">
        <v>2118</v>
      </c>
      <c r="D31" s="146" t="s">
        <v>2124</v>
      </c>
      <c r="E31" s="146"/>
      <c r="F31" s="139" t="s">
        <v>2171</v>
      </c>
    </row>
    <row r="32" spans="1:15" ht="17.25">
      <c r="A32" s="147" t="s">
        <v>743</v>
      </c>
      <c r="B32" s="146" t="s">
        <v>2172</v>
      </c>
      <c r="C32" s="146" t="s">
        <v>2118</v>
      </c>
      <c r="D32" s="146" t="s">
        <v>2130</v>
      </c>
      <c r="E32" s="146"/>
      <c r="F32" s="142"/>
    </row>
    <row r="33" spans="1:8" ht="17.25">
      <c r="A33" s="147" t="s">
        <v>515</v>
      </c>
      <c r="B33" s="146" t="s">
        <v>2173</v>
      </c>
      <c r="C33" s="146" t="s">
        <v>2118</v>
      </c>
      <c r="D33" s="146" t="s">
        <v>2174</v>
      </c>
      <c r="E33" s="146"/>
      <c r="F33" s="139" t="s">
        <v>2175</v>
      </c>
    </row>
    <row r="34" spans="1:8" ht="17.25">
      <c r="A34" s="147" t="s">
        <v>1242</v>
      </c>
      <c r="B34" s="146" t="s">
        <v>2176</v>
      </c>
      <c r="C34" s="146" t="s">
        <v>2118</v>
      </c>
      <c r="D34" s="146" t="s">
        <v>2177</v>
      </c>
      <c r="E34" s="146"/>
      <c r="F34" s="139" t="s">
        <v>2178</v>
      </c>
    </row>
    <row r="35" spans="1:8" ht="16.5" customHeight="1">
      <c r="A35" s="147" t="s">
        <v>743</v>
      </c>
      <c r="B35" s="146" t="s">
        <v>2130</v>
      </c>
      <c r="C35" s="146" t="s">
        <v>2118</v>
      </c>
      <c r="D35" s="146" t="s">
        <v>2130</v>
      </c>
      <c r="E35" s="146"/>
      <c r="F35" s="139" t="s">
        <v>2179</v>
      </c>
      <c r="H35" s="151"/>
    </row>
    <row r="36" spans="1:8" ht="16.5" customHeight="1">
      <c r="A36" s="147" t="s">
        <v>502</v>
      </c>
      <c r="B36" s="146" t="s">
        <v>2180</v>
      </c>
      <c r="C36" s="146" t="s">
        <v>2118</v>
      </c>
      <c r="D36" s="146" t="s">
        <v>2181</v>
      </c>
      <c r="E36" s="146"/>
      <c r="F36" s="139" t="s">
        <v>2182</v>
      </c>
    </row>
    <row r="37" spans="1:8" ht="17.25">
      <c r="A37" s="147" t="s">
        <v>2183</v>
      </c>
      <c r="B37" s="152" t="s">
        <v>2184</v>
      </c>
      <c r="C37" s="146" t="s">
        <v>2118</v>
      </c>
      <c r="D37" s="146" t="s">
        <v>2185</v>
      </c>
      <c r="E37" s="146" t="s">
        <v>2186</v>
      </c>
      <c r="F37" s="139" t="s">
        <v>2187</v>
      </c>
    </row>
    <row r="38" spans="1:8" ht="17.25">
      <c r="A38" s="147" t="s">
        <v>2188</v>
      </c>
      <c r="B38" s="152" t="s">
        <v>2189</v>
      </c>
      <c r="C38" s="146" t="s">
        <v>2118</v>
      </c>
      <c r="D38" s="146" t="s">
        <v>2189</v>
      </c>
      <c r="E38" s="146" t="s">
        <v>2186</v>
      </c>
      <c r="F38" s="139" t="s">
        <v>2187</v>
      </c>
    </row>
    <row r="39" spans="1:8" ht="17.25">
      <c r="A39" s="153" t="s">
        <v>2190</v>
      </c>
      <c r="B39" s="154" t="s">
        <v>496</v>
      </c>
      <c r="C39" s="154" t="s">
        <v>2118</v>
      </c>
      <c r="D39" s="154" t="s">
        <v>2191</v>
      </c>
      <c r="E39" s="154" t="s">
        <v>2192</v>
      </c>
      <c r="F39" s="139" t="s">
        <v>2193</v>
      </c>
    </row>
    <row r="40" spans="1:8" ht="17.25">
      <c r="A40" s="153" t="s">
        <v>387</v>
      </c>
      <c r="B40" s="154" t="s">
        <v>2194</v>
      </c>
      <c r="C40" s="154" t="s">
        <v>2118</v>
      </c>
      <c r="D40" s="154" t="s">
        <v>2195</v>
      </c>
      <c r="E40" s="154"/>
      <c r="F40" s="139" t="s">
        <v>2196</v>
      </c>
    </row>
    <row r="41" spans="1:8" ht="17.25">
      <c r="A41" s="147" t="s">
        <v>2197</v>
      </c>
      <c r="B41" s="146" t="s">
        <v>2198</v>
      </c>
      <c r="C41" s="146" t="s">
        <v>2118</v>
      </c>
      <c r="D41" s="146" t="s">
        <v>2195</v>
      </c>
      <c r="E41" s="146" t="s">
        <v>2199</v>
      </c>
      <c r="F41" s="139" t="s">
        <v>2200</v>
      </c>
    </row>
    <row r="42" spans="1:8" ht="17.25">
      <c r="A42" s="147" t="s">
        <v>745</v>
      </c>
      <c r="B42" s="146" t="s">
        <v>2201</v>
      </c>
      <c r="C42" s="146" t="s">
        <v>2118</v>
      </c>
      <c r="D42" s="146" t="s">
        <v>2202</v>
      </c>
      <c r="E42" s="146"/>
      <c r="F42" s="139" t="s">
        <v>2203</v>
      </c>
    </row>
    <row r="43" spans="1:8" ht="17.25">
      <c r="A43" s="147" t="s">
        <v>746</v>
      </c>
      <c r="B43" s="146" t="s">
        <v>2204</v>
      </c>
      <c r="C43" s="146" t="s">
        <v>2118</v>
      </c>
      <c r="D43" s="146" t="s">
        <v>2205</v>
      </c>
      <c r="E43" s="146"/>
      <c r="F43" s="139" t="s">
        <v>2206</v>
      </c>
    </row>
    <row r="44" spans="1:8" ht="17.25">
      <c r="A44" s="147" t="s">
        <v>747</v>
      </c>
      <c r="B44" s="146" t="s">
        <v>2207</v>
      </c>
      <c r="C44" s="146" t="s">
        <v>2118</v>
      </c>
      <c r="D44" s="146" t="s">
        <v>2208</v>
      </c>
      <c r="E44" s="146"/>
      <c r="F44" s="139" t="s">
        <v>2209</v>
      </c>
    </row>
    <row r="45" spans="1:8" ht="17.25">
      <c r="A45" s="147" t="s">
        <v>408</v>
      </c>
      <c r="B45" s="146" t="s">
        <v>2073</v>
      </c>
      <c r="C45" s="146" t="s">
        <v>2118</v>
      </c>
      <c r="D45" s="146" t="s">
        <v>2210</v>
      </c>
      <c r="E45" s="146"/>
      <c r="F45" s="139" t="s">
        <v>2211</v>
      </c>
    </row>
    <row r="46" spans="1:8" ht="17.25">
      <c r="A46" s="147" t="s">
        <v>379</v>
      </c>
      <c r="B46" s="146" t="s">
        <v>2212</v>
      </c>
      <c r="C46" s="146" t="s">
        <v>2118</v>
      </c>
      <c r="D46" s="146" t="s">
        <v>344</v>
      </c>
      <c r="E46" s="146"/>
      <c r="F46" s="139" t="s">
        <v>2213</v>
      </c>
    </row>
    <row r="47" spans="1:8" ht="17.25">
      <c r="A47" s="147" t="s">
        <v>2214</v>
      </c>
      <c r="B47" s="146" t="s">
        <v>344</v>
      </c>
      <c r="C47" s="146" t="s">
        <v>2118</v>
      </c>
      <c r="D47" s="146" t="s">
        <v>344</v>
      </c>
      <c r="E47" s="146"/>
      <c r="F47" s="139" t="s">
        <v>2215</v>
      </c>
    </row>
    <row r="48" spans="1:8" ht="17.25">
      <c r="A48" s="147" t="s">
        <v>2216</v>
      </c>
      <c r="B48" s="146" t="s">
        <v>2217</v>
      </c>
      <c r="C48" s="146" t="s">
        <v>2118</v>
      </c>
      <c r="D48" s="152" t="s">
        <v>1342</v>
      </c>
      <c r="E48" s="146"/>
      <c r="F48" s="139" t="s">
        <v>2218</v>
      </c>
    </row>
    <row r="49" spans="1:6" ht="17.25">
      <c r="A49" s="155" t="s">
        <v>1243</v>
      </c>
      <c r="B49" s="156" t="s">
        <v>1244</v>
      </c>
      <c r="C49" s="156" t="s">
        <v>2219</v>
      </c>
      <c r="D49" s="156" t="s">
        <v>2220</v>
      </c>
      <c r="E49" s="156"/>
      <c r="F49" s="139" t="s">
        <v>2221</v>
      </c>
    </row>
    <row r="50" spans="1:6" ht="17.25">
      <c r="A50" s="155" t="s">
        <v>1245</v>
      </c>
      <c r="B50" s="156" t="s">
        <v>1246</v>
      </c>
      <c r="C50" s="156" t="s">
        <v>2219</v>
      </c>
      <c r="D50" s="156" t="s">
        <v>2222</v>
      </c>
      <c r="E50" s="156"/>
      <c r="F50" s="139" t="s">
        <v>2223</v>
      </c>
    </row>
    <row r="51" spans="1:6" ht="17.25">
      <c r="A51" s="155" t="s">
        <v>100</v>
      </c>
      <c r="B51" s="156" t="s">
        <v>2224</v>
      </c>
      <c r="C51" s="156" t="s">
        <v>2219</v>
      </c>
      <c r="D51" s="156" t="s">
        <v>2225</v>
      </c>
      <c r="E51" s="156"/>
      <c r="F51" s="139" t="s">
        <v>2226</v>
      </c>
    </row>
    <row r="52" spans="1:6" ht="17.25">
      <c r="A52" s="155" t="s">
        <v>748</v>
      </c>
      <c r="B52" s="156" t="s">
        <v>2227</v>
      </c>
      <c r="C52" s="156" t="s">
        <v>2219</v>
      </c>
      <c r="D52" s="156" t="s">
        <v>2228</v>
      </c>
      <c r="E52" s="156"/>
      <c r="F52" s="139" t="s">
        <v>2229</v>
      </c>
    </row>
    <row r="53" spans="1:6" ht="17.25">
      <c r="A53" s="155" t="s">
        <v>503</v>
      </c>
      <c r="B53" s="156" t="s">
        <v>2230</v>
      </c>
      <c r="C53" s="156" t="s">
        <v>2219</v>
      </c>
      <c r="D53" s="156" t="s">
        <v>2231</v>
      </c>
      <c r="E53" s="156"/>
      <c r="F53" s="139" t="s">
        <v>2232</v>
      </c>
    </row>
    <row r="54" spans="1:6" ht="17.25">
      <c r="A54" s="155" t="s">
        <v>504</v>
      </c>
      <c r="B54" s="156" t="s">
        <v>2233</v>
      </c>
      <c r="C54" s="156" t="s">
        <v>2219</v>
      </c>
      <c r="D54" s="156" t="s">
        <v>2234</v>
      </c>
      <c r="E54" s="156"/>
      <c r="F54" s="139" t="s">
        <v>2235</v>
      </c>
    </row>
    <row r="55" spans="1:6" ht="17.25">
      <c r="A55" s="155" t="s">
        <v>749</v>
      </c>
      <c r="B55" s="156" t="s">
        <v>2236</v>
      </c>
      <c r="C55" s="156" t="s">
        <v>2219</v>
      </c>
      <c r="D55" s="156" t="s">
        <v>2237</v>
      </c>
      <c r="E55" s="156"/>
      <c r="F55" s="139" t="s">
        <v>2238</v>
      </c>
    </row>
    <row r="56" spans="1:6" ht="17.25">
      <c r="A56" s="155" t="s">
        <v>505</v>
      </c>
      <c r="B56" s="156" t="s">
        <v>2239</v>
      </c>
      <c r="C56" s="156" t="s">
        <v>2219</v>
      </c>
      <c r="D56" s="156" t="s">
        <v>2240</v>
      </c>
      <c r="E56" s="156"/>
      <c r="F56" s="139" t="s">
        <v>2241</v>
      </c>
    </row>
    <row r="57" spans="1:6" ht="17.25">
      <c r="A57" s="155" t="s">
        <v>750</v>
      </c>
      <c r="B57" s="156" t="s">
        <v>2242</v>
      </c>
      <c r="C57" s="156" t="s">
        <v>2219</v>
      </c>
      <c r="D57" s="156" t="s">
        <v>2243</v>
      </c>
      <c r="E57" s="156"/>
      <c r="F57" s="139" t="s">
        <v>2244</v>
      </c>
    </row>
    <row r="58" spans="1:6" ht="17.25">
      <c r="A58" s="155" t="s">
        <v>507</v>
      </c>
      <c r="B58" s="156" t="s">
        <v>2245</v>
      </c>
      <c r="C58" s="156" t="s">
        <v>2219</v>
      </c>
      <c r="D58" s="156" t="s">
        <v>2246</v>
      </c>
      <c r="E58" s="156"/>
      <c r="F58" s="139" t="s">
        <v>2247</v>
      </c>
    </row>
    <row r="59" spans="1:6" ht="17.25">
      <c r="A59" s="155" t="s">
        <v>507</v>
      </c>
      <c r="B59" s="156" t="s">
        <v>2248</v>
      </c>
      <c r="C59" s="156" t="s">
        <v>2219</v>
      </c>
      <c r="D59" s="156" t="s">
        <v>2246</v>
      </c>
      <c r="E59" s="156"/>
      <c r="F59" s="139" t="s">
        <v>2249</v>
      </c>
    </row>
    <row r="60" spans="1:6" ht="17.25">
      <c r="A60" s="155" t="s">
        <v>751</v>
      </c>
      <c r="B60" s="156" t="s">
        <v>2250</v>
      </c>
      <c r="C60" s="156" t="s">
        <v>2219</v>
      </c>
      <c r="D60" s="156" t="s">
        <v>2251</v>
      </c>
      <c r="E60" s="156"/>
      <c r="F60" s="139" t="s">
        <v>2252</v>
      </c>
    </row>
    <row r="61" spans="1:6" ht="17.25">
      <c r="A61" s="155" t="s">
        <v>752</v>
      </c>
      <c r="B61" s="156" t="s">
        <v>2253</v>
      </c>
      <c r="C61" s="156" t="s">
        <v>2219</v>
      </c>
      <c r="D61" s="156" t="s">
        <v>2254</v>
      </c>
      <c r="E61" s="156"/>
      <c r="F61" s="139" t="s">
        <v>2255</v>
      </c>
    </row>
    <row r="62" spans="1:6" ht="17.25">
      <c r="A62" s="155" t="s">
        <v>753</v>
      </c>
      <c r="B62" s="156" t="s">
        <v>2256</v>
      </c>
      <c r="C62" s="156" t="s">
        <v>2219</v>
      </c>
      <c r="D62" s="156" t="s">
        <v>2256</v>
      </c>
      <c r="E62" s="156"/>
      <c r="F62" s="139" t="s">
        <v>2257</v>
      </c>
    </row>
    <row r="63" spans="1:6" ht="17.25">
      <c r="A63" s="155" t="s">
        <v>506</v>
      </c>
      <c r="B63" s="156" t="s">
        <v>2258</v>
      </c>
      <c r="C63" s="156" t="s">
        <v>2219</v>
      </c>
      <c r="D63" s="156" t="s">
        <v>2258</v>
      </c>
      <c r="E63" s="156"/>
      <c r="F63" s="139" t="s">
        <v>2259</v>
      </c>
    </row>
    <row r="64" spans="1:6" ht="17.25">
      <c r="A64" s="155" t="s">
        <v>499</v>
      </c>
      <c r="B64" s="156" t="s">
        <v>2260</v>
      </c>
      <c r="C64" s="156" t="s">
        <v>2219</v>
      </c>
      <c r="D64" s="156" t="s">
        <v>2261</v>
      </c>
      <c r="E64" s="156"/>
      <c r="F64" s="142"/>
    </row>
    <row r="65" spans="1:6" ht="17.25">
      <c r="A65" s="155" t="s">
        <v>499</v>
      </c>
      <c r="B65" s="156" t="s">
        <v>2262</v>
      </c>
      <c r="C65" s="156" t="s">
        <v>2219</v>
      </c>
      <c r="D65" s="156" t="s">
        <v>2261</v>
      </c>
      <c r="E65" s="156"/>
      <c r="F65" s="139" t="s">
        <v>2263</v>
      </c>
    </row>
    <row r="66" spans="1:6" ht="17.25">
      <c r="A66" s="148" t="s">
        <v>117</v>
      </c>
      <c r="B66" s="139" t="s">
        <v>2264</v>
      </c>
      <c r="C66" s="139" t="s">
        <v>2138</v>
      </c>
      <c r="D66" s="139" t="s">
        <v>2265</v>
      </c>
      <c r="E66" s="139"/>
      <c r="F66" s="139" t="s">
        <v>2266</v>
      </c>
    </row>
    <row r="67" spans="1:6" ht="17.25">
      <c r="A67" s="148" t="s">
        <v>2267</v>
      </c>
      <c r="B67" s="139" t="s">
        <v>2268</v>
      </c>
      <c r="C67" s="139" t="s">
        <v>2138</v>
      </c>
      <c r="D67" s="139" t="s">
        <v>2269</v>
      </c>
      <c r="E67" s="139"/>
      <c r="F67" s="139" t="s">
        <v>2270</v>
      </c>
    </row>
    <row r="68" spans="1:6" ht="17.25">
      <c r="A68" s="148" t="s">
        <v>409</v>
      </c>
      <c r="B68" s="139" t="s">
        <v>2078</v>
      </c>
      <c r="C68" s="139" t="s">
        <v>2138</v>
      </c>
      <c r="D68" s="139" t="s">
        <v>2271</v>
      </c>
      <c r="E68" s="139" t="s">
        <v>2272</v>
      </c>
      <c r="F68" s="139" t="s">
        <v>2273</v>
      </c>
    </row>
    <row r="69" spans="1:6" ht="17.25">
      <c r="A69" s="148" t="s">
        <v>754</v>
      </c>
      <c r="B69" s="139" t="s">
        <v>2274</v>
      </c>
      <c r="C69" s="139" t="s">
        <v>2138</v>
      </c>
      <c r="D69" s="139" t="s">
        <v>2275</v>
      </c>
      <c r="E69" s="139"/>
      <c r="F69" s="139" t="s">
        <v>2276</v>
      </c>
    </row>
    <row r="70" spans="1:6" ht="17.25">
      <c r="A70" s="148" t="s">
        <v>2277</v>
      </c>
      <c r="B70" s="139" t="s">
        <v>2278</v>
      </c>
      <c r="C70" s="139" t="s">
        <v>2138</v>
      </c>
      <c r="D70" s="139" t="s">
        <v>2279</v>
      </c>
      <c r="E70" s="139"/>
      <c r="F70" s="139" t="s">
        <v>2280</v>
      </c>
    </row>
    <row r="71" spans="1:6" ht="17.25">
      <c r="A71" s="148" t="s">
        <v>755</v>
      </c>
      <c r="B71" s="139" t="s">
        <v>2281</v>
      </c>
      <c r="C71" s="139" t="s">
        <v>2138</v>
      </c>
      <c r="D71" s="139" t="s">
        <v>2282</v>
      </c>
      <c r="E71" s="139"/>
      <c r="F71" s="139" t="s">
        <v>2283</v>
      </c>
    </row>
    <row r="72" spans="1:6" ht="17.25">
      <c r="A72" s="148" t="s">
        <v>500</v>
      </c>
      <c r="B72" s="139" t="s">
        <v>2284</v>
      </c>
      <c r="C72" s="139" t="s">
        <v>2138</v>
      </c>
      <c r="D72" s="139" t="s">
        <v>2285</v>
      </c>
      <c r="E72" s="139"/>
      <c r="F72" s="142"/>
    </row>
    <row r="73" spans="1:6" ht="17.25">
      <c r="A73" s="148" t="s">
        <v>500</v>
      </c>
      <c r="B73" s="139" t="s">
        <v>2286</v>
      </c>
      <c r="C73" s="139" t="s">
        <v>2138</v>
      </c>
      <c r="D73" s="139" t="s">
        <v>2285</v>
      </c>
      <c r="E73" s="139"/>
      <c r="F73" s="139" t="s">
        <v>2287</v>
      </c>
    </row>
    <row r="74" spans="1:6" ht="17.25">
      <c r="A74" s="148" t="s">
        <v>756</v>
      </c>
      <c r="B74" s="139" t="s">
        <v>2288</v>
      </c>
      <c r="C74" s="139" t="s">
        <v>2138</v>
      </c>
      <c r="D74" s="139" t="s">
        <v>2289</v>
      </c>
      <c r="E74" s="139"/>
      <c r="F74" s="139" t="s">
        <v>2290</v>
      </c>
    </row>
    <row r="75" spans="1:6" ht="17.25">
      <c r="A75" s="148" t="s">
        <v>757</v>
      </c>
      <c r="B75" s="139" t="s">
        <v>2291</v>
      </c>
      <c r="C75" s="139" t="s">
        <v>2138</v>
      </c>
      <c r="D75" s="139" t="s">
        <v>2292</v>
      </c>
      <c r="E75" s="139"/>
      <c r="F75" s="139" t="s">
        <v>2293</v>
      </c>
    </row>
    <row r="76" spans="1:6" ht="17.25">
      <c r="A76" s="148" t="s">
        <v>388</v>
      </c>
      <c r="B76" s="139" t="s">
        <v>2294</v>
      </c>
      <c r="C76" s="139" t="s">
        <v>2138</v>
      </c>
      <c r="D76" s="139" t="s">
        <v>2295</v>
      </c>
      <c r="E76" s="139"/>
      <c r="F76" s="139" t="s">
        <v>2296</v>
      </c>
    </row>
    <row r="77" spans="1:6" ht="17.25">
      <c r="A77" s="148" t="s">
        <v>514</v>
      </c>
      <c r="B77" s="139" t="s">
        <v>2137</v>
      </c>
      <c r="C77" s="139" t="s">
        <v>2138</v>
      </c>
      <c r="D77" s="139" t="s">
        <v>2297</v>
      </c>
      <c r="E77" s="157" t="s">
        <v>2298</v>
      </c>
      <c r="F77" s="139" t="s">
        <v>2113</v>
      </c>
    </row>
    <row r="78" spans="1:6" ht="17.25">
      <c r="A78" s="148" t="s">
        <v>2299</v>
      </c>
      <c r="B78" s="139" t="s">
        <v>2085</v>
      </c>
      <c r="C78" s="139" t="s">
        <v>2138</v>
      </c>
      <c r="D78" s="139" t="s">
        <v>2300</v>
      </c>
      <c r="E78" s="139"/>
      <c r="F78" s="139" t="s">
        <v>2301</v>
      </c>
    </row>
    <row r="79" spans="1:6" ht="17.25">
      <c r="A79" s="148" t="s">
        <v>758</v>
      </c>
      <c r="B79" s="139" t="s">
        <v>2302</v>
      </c>
      <c r="C79" s="139" t="s">
        <v>2138</v>
      </c>
      <c r="D79" s="139" t="s">
        <v>2303</v>
      </c>
      <c r="E79" s="139"/>
      <c r="F79" s="139" t="s">
        <v>2304</v>
      </c>
    </row>
    <row r="80" spans="1:6" ht="17.25">
      <c r="A80" s="148" t="s">
        <v>501</v>
      </c>
      <c r="B80" s="139" t="s">
        <v>2305</v>
      </c>
      <c r="C80" s="139" t="s">
        <v>2138</v>
      </c>
      <c r="D80" s="139" t="s">
        <v>2306</v>
      </c>
      <c r="E80" s="139"/>
      <c r="F80" s="139" t="s">
        <v>2307</v>
      </c>
    </row>
    <row r="81" spans="1:6" ht="17.25">
      <c r="A81" s="148" t="s">
        <v>759</v>
      </c>
      <c r="B81" s="139" t="s">
        <v>2308</v>
      </c>
      <c r="C81" s="139" t="s">
        <v>2138</v>
      </c>
      <c r="D81" s="139" t="s">
        <v>2309</v>
      </c>
      <c r="E81" s="139"/>
      <c r="F81" s="142"/>
    </row>
    <row r="82" spans="1:6" ht="17.25">
      <c r="A82" s="148" t="s">
        <v>760</v>
      </c>
      <c r="B82" s="139" t="s">
        <v>2310</v>
      </c>
      <c r="C82" s="139" t="s">
        <v>2138</v>
      </c>
      <c r="D82" s="139" t="s">
        <v>2311</v>
      </c>
      <c r="E82" s="139"/>
      <c r="F82" s="139" t="s">
        <v>2312</v>
      </c>
    </row>
  </sheetData>
  <sheetProtection algorithmName="SHA-512" hashValue="3SnNJoeh+glLwrqr/8JXen5B3owibITmclWudtD14B3ckUXq2Azsv1AJD6cYl76Izr9Ttk2hUJUNxV1NKVl/8w==" saltValue="8rVgag4VtREmCdpewMa7sQ==" spinCount="100000" sheet="1" objects="1" scenarios="1" selectLockedCells="1" selectUnlockedCells="1"/>
  <mergeCells count="1">
    <mergeCell ref="H12:N12"/>
  </mergeCells>
  <phoneticPr fontId="30" type="noConversion"/>
  <conditionalFormatting sqref="A17">
    <cfRule type="duplicateValues" dxfId="7" priority="6"/>
  </conditionalFormatting>
  <conditionalFormatting sqref="B1:B1048576">
    <cfRule type="duplicateValues" dxfId="6" priority="8"/>
  </conditionalFormatting>
  <conditionalFormatting sqref="B22">
    <cfRule type="duplicateValues" dxfId="5" priority="1"/>
  </conditionalFormatting>
  <conditionalFormatting sqref="I1">
    <cfRule type="duplicateValues" dxfId="4" priority="7"/>
  </conditionalFormatting>
  <conditionalFormatting sqref="I17">
    <cfRule type="duplicateValues" dxfId="3" priority="4"/>
  </conditionalFormatting>
  <conditionalFormatting sqref="I18">
    <cfRule type="duplicateValues" dxfId="2" priority="5"/>
  </conditionalFormatting>
  <conditionalFormatting sqref="I19">
    <cfRule type="duplicateValues" dxfId="1" priority="3"/>
  </conditionalFormatting>
  <conditionalFormatting sqref="P19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1D5C826BE6D5D488D8C0D0A9D2B8B19" ma:contentTypeVersion="14" ma:contentTypeDescription="새 문서를 만듭니다." ma:contentTypeScope="" ma:versionID="2e900bc2c7d3025d8db2ca16e5196180">
  <xsd:schema xmlns:xsd="http://www.w3.org/2001/XMLSchema" xmlns:xs="http://www.w3.org/2001/XMLSchema" xmlns:p="http://schemas.microsoft.com/office/2006/metadata/properties" xmlns:ns3="a42f3a67-a909-42d4-be47-a235656db264" xmlns:ns4="160c8783-3e89-4c4a-9351-79b9933f6df6" targetNamespace="http://schemas.microsoft.com/office/2006/metadata/properties" ma:root="true" ma:fieldsID="b8c36b26c212d34b3397fab8b8959e5c" ns3:_="" ns4:_="">
    <xsd:import namespace="a42f3a67-a909-42d4-be47-a235656db264"/>
    <xsd:import namespace="160c8783-3e89-4c4a-9351-79b9933f6df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f3a67-a909-42d4-be47-a235656db26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c8783-3e89-4c4a-9351-79b9933f6df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2f3a67-a909-42d4-be47-a235656db264" xsi:nil="true"/>
  </documentManagement>
</p:properties>
</file>

<file path=customXml/itemProps1.xml><?xml version="1.0" encoding="utf-8"?>
<ds:datastoreItem xmlns:ds="http://schemas.openxmlformats.org/officeDocument/2006/customXml" ds:itemID="{57A0F565-C229-4D47-B637-6611C927E3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E2D0D0-364A-420E-A5FE-CD7900B4A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f3a67-a909-42d4-be47-a235656db264"/>
    <ds:schemaRef ds:uri="160c8783-3e89-4c4a-9351-79b9933f6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FA00CB-92A2-4A9A-BD65-066528D1EE34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60c8783-3e89-4c4a-9351-79b9933f6df6"/>
    <ds:schemaRef ds:uri="http://www.w3.org/XML/1998/namespace"/>
    <ds:schemaRef ds:uri="http://schemas.microsoft.com/office/2006/metadata/properties"/>
    <ds:schemaRef ds:uri="a42f3a67-a909-42d4-be47-a235656db264"/>
  </ds:schemaRefs>
</ds:datastoreItem>
</file>

<file path=docMetadata/LabelInfo.xml><?xml version="1.0" encoding="utf-8"?>
<clbl:labelList xmlns:clbl="http://schemas.microsoft.com/office/2020/mipLabelMetadata">
  <clbl:label id="{33fda7ce-6156-4e79-840a-31239bced759}" enabled="1" method="Privileged" siteId="{f9ac8ad9-9c79-4fb4-be57-986d607ad4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ELS</vt:lpstr>
      <vt:lpstr>GLAPS컨테이너배차관리</vt:lpstr>
      <vt:lpstr>GLAPS자동계산</vt:lpstr>
      <vt:lpstr>GLAPS정리</vt:lpstr>
      <vt:lpstr>CKD고객사코드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손정희 매니저</dc:creator>
  <cp:lastModifiedBy>hoon</cp:lastModifiedBy>
  <cp:lastPrinted>2025-08-13T00:14:01Z</cp:lastPrinted>
  <dcterms:created xsi:type="dcterms:W3CDTF">2023-11-07T06:46:32Z</dcterms:created>
  <dcterms:modified xsi:type="dcterms:W3CDTF">2026-06-03T05:33:55Z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0x010100C1D5C826BE6D5D488D8C0D0A9D2B8B19</vt:lpwstr>
  </property>
  <property fmtid="{D5CDD505-2E9C-101B-9397-08002B2CF9AE}" pid="3" name="MSIP_Label_78403b88-657c-460c-ad0a-be2016562973_SiteId">
    <vt:lpwstr>f9ac8ad9-9c79-4fb4-be57-986d607ad407</vt:lpwstr>
  </property>
  <property fmtid="{D5CDD505-2E9C-101B-9397-08002B2CF9AE}" pid="4" name="MSIP_Label_78403b88-657c-460c-ad0a-be2016562973_SetDate">
    <vt:lpwstr>2026-05-27T02:01:11Z</vt:lpwstr>
  </property>
  <property fmtid="{D5CDD505-2E9C-101B-9397-08002B2CF9AE}" pid="5" name="MSIP_Label_78403b88-657c-460c-ad0a-be2016562973_Name">
    <vt:lpwstr>보안문서(암호화)</vt:lpwstr>
  </property>
  <property fmtid="{D5CDD505-2E9C-101B-9397-08002B2CF9AE}" pid="6" name="MSIP_Label_78403b88-657c-460c-ad0a-be2016562973_Method">
    <vt:lpwstr>Standard</vt:lpwstr>
  </property>
  <property fmtid="{D5CDD505-2E9C-101B-9397-08002B2CF9AE}" pid="7" name="MSIP_Label_78403b88-657c-460c-ad0a-be2016562973_Enabled">
    <vt:lpwstr>true</vt:lpwstr>
  </property>
  <property fmtid="{D5CDD505-2E9C-101B-9397-08002B2CF9AE}" pid="8" name="MSIP_Label_78403b88-657c-460c-ad0a-be2016562973_ContentBits">
    <vt:lpwstr>8</vt:lpwstr>
  </property>
</Properties>
</file>